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.xml" ContentType="application/vnd.ms-excel.threadedcomment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fc128d035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块规划" sheetId="1" r:id="R4dc7ad5878224f84"/>
    <x:sheet xmlns:r="http://schemas.openxmlformats.org/officeDocument/2006/relationships" name="角色属性分配" sheetId="2" r:id="Rca91e51c117c459c"/>
    <x:sheet xmlns:r="http://schemas.openxmlformats.org/officeDocument/2006/relationships" name="收容物属性分配" sheetId="3" r:id="R9f7fc15b32834709"/>
    <x:sheet xmlns:r="http://schemas.openxmlformats.org/officeDocument/2006/relationships" name="玩家战力曲线" sheetId="4" r:id="R169e24c467cf4480"/>
    <x:sheet xmlns:r="http://schemas.openxmlformats.org/officeDocument/2006/relationships" name="_曲线基线" sheetId="5" r:id="Ree731548bac6453d"/>
    <x:sheet xmlns:r="http://schemas.openxmlformats.org/officeDocument/2006/relationships" name="主线调参" sheetId="6" r:id="Rc463c44110bc4b4e"/>
    <x:sheet xmlns:r="http://schemas.openxmlformats.org/officeDocument/2006/relationships" name="曲线总览" sheetId="7" r:id="R1b667b33fc444e85"/>
    <x:sheet xmlns:r="http://schemas.openxmlformats.org/officeDocument/2006/relationships" name="参数说明" sheetId="8" r:id="Rfdb9f9624b744c09"/>
    <x:sheet xmlns:r="http://schemas.openxmlformats.org/officeDocument/2006/relationships" name="玩家战力_节点" sheetId="9" r:id="R4156b1aeb48c481a"/>
    <x:sheet xmlns:r="http://schemas.openxmlformats.org/officeDocument/2006/relationships" name="本轮调整对比" sheetId="10" r:id="R6c0bc4ea0c0c4197"/>
    <x:sheet xmlns:r="http://schemas.openxmlformats.org/officeDocument/2006/relationships" name="调前玩家曲线" sheetId="11" r:id="R4c5ef8cecf054cc0"/>
    <x:sheet xmlns:r="http://schemas.openxmlformats.org/officeDocument/2006/relationships" name="本轮源表统一" sheetId="12" r:id="Rad2c43ac7963451e"/>
  </x:sheets>
</x:workbook>
</file>

<file path=xl/comments1.xml><?xml version="1.0" encoding="utf-8"?>
<x:comments xmlns:x="http://schemas.openxmlformats.org/spreadsheetml/2006/main">
  <x:authors>
    <x:author>Codex</x:author>
    <x:author>songchengze</x:author>
  </x:authors>
  <x:commentList>
    <x:comment ref="AS3" authorId="0">
      <x:text>
        <x:r>
          <x:t>来源：D:\Vgame\Config\GameConfig\Datas\Attribute\Attribute.xlsx；基础系数已按当前配置除以10。</x:t>
        </x:r>
      </x:text>
    </x:comment>
    <x:comment ref="AU3" authorId="0">
      <x:text>
        <x:r>
          <x:t>来源：玩家战力曲线既有二级属性投放口径；按各养成模块加权进度折算。</x:t>
        </x:r>
      </x:text>
    </x:comment>
    <x:comment ref="AS4" authorId="0">
      <x:text>
        <x:r>
          <x:t>来源：D:\Vgame\Config\GameConfig\Datas\Attribute\Attribute.xlsx；基础系数已按当前配置除以10。</x:t>
        </x:r>
      </x:text>
    </x:comment>
    <x:comment ref="AU4" authorId="0">
      <x:text>
        <x:r>
          <x:t>来源：玩家战力曲线既有二级属性投放口径；按各养成模块加权进度折算。</x:t>
        </x:r>
      </x:text>
    </x:comment>
    <x:comment ref="AS5" authorId="0">
      <x:text>
        <x:r>
          <x:t>来源：D:\Vgame\Config\GameConfig\Datas\Attribute\Attribute.xlsx；基础系数已按当前配置除以10。</x:t>
        </x:r>
      </x:text>
    </x:comment>
    <x:comment ref="AS6" authorId="0">
      <x:text>
        <x:r>
          <x:t>来源：D:\Vgame\Config\GameConfig\Datas\Attribute\Attribute.xlsx；基础系数已按当前配置除以10。</x:t>
        </x:r>
      </x:text>
    </x:comment>
    <x:comment ref="AS7" authorId="0">
      <x:text>
        <x:r>
          <x:t>来源：D:\Vgame\Config\GameConfig\Datas\Attribute\Attribute.xlsx；基础系数已按当前配置除以10。</x:t>
        </x:r>
      </x:text>
    </x:comment>
    <x:comment ref="AS8" authorId="0">
      <x:text>
        <x:r>
          <x:t>来源：D:\Vgame\Config\GameConfig\Datas\Attribute\Attribute.xlsx；基础系数已按当前配置除以10。</x:t>
        </x:r>
      </x:text>
    </x:comment>
    <x:comment ref="AS9" authorId="0">
      <x:text>
        <x:r>
          <x:t>来源：D:\Vgame\Config\GameConfig\Datas\Attribute\Attribute.xlsx；基础系数已按当前配置除以10。</x:t>
        </x:r>
      </x:text>
    </x:comment>
    <x:comment ref="AS10" authorId="0">
      <x:text>
        <x:r>
          <x:t>来源：D:\Vgame\Config\GameConfig\Datas\Attribute\Attribute.xlsx；基础系数已按当前配置除以10。</x:t>
        </x:r>
      </x:text>
    </x:comment>
    <x:comment ref="F11" authorId="1">
      <x:text>
        <x:r>
          <x:t>新上阵位先按部分战力计入，再逐步补满：第3-6关 1.25→2.00；第7-9关 2.33→3.00；第10-14关 3.20→4.00；第20-29关 4.10→5.00。实际人数保留在隐藏AQ列。</x:t>
        </x:r>
      </x:text>
    </x:comment>
    <x:comment ref="AR11" authorId="0">
      <x:text>
        <x:r>
          <x:t>生命、攻击、防御按当前 Attribute.xlsx 的区间1系数计价。</x:t>
        </x:r>
      </x:text>
    </x:comment>
    <x:comment ref="AS11" authorId="0">
      <x:text>
        <x:r>
          <x:t>使用本页暴击、暴伤、增伤快照，并按养成权重折算能量回复与冷却缩减。</x:t>
        </x:r>
      </x:text>
    </x:comment>
    <x:comment ref="AU11" authorId="0">
      <x:text>
        <x:r>
          <x:t>预估队伍战力=四舍五入后的单人战力×有效人数系数F；用于平滑匹配逐关成长，不使用AQ的瞬时满养成人数。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tc={79CE3B60-621E-19E4-BDD6-A498F846D17C}</x:author>
    <x:author>tc={C87D9D44-77CC-AFF5-E834-66598D81BB15}</x:author>
    <x:author>tc={770E6E60-37C5-526F-954B-58753B70DF5C}</x:author>
    <x:author>tc={7B7B2954-7EE6-3E38-54AB-E9B450C2DAB9}</x:author>
  </x:authors>
  <x:commentList>
    <x:comment ref="C1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输入单位统一为相对既定终点目标的完成度。计算时乘回参数说明C27:H27，再使用原属性和战力公式。100%不是理论满养成。</x:t>
        </x:r>
      </x:text>
    </x:comment>
    <x:comment ref="F2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沿用上一版：映射原进度0.06，除以终点0.60，显示10%。未增加或减少属性；本次只统一单位。</x:t>
        </x:r>
      </x:text>
    </x:comment>
    <x:comment ref="F3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后段初始化为DESIGN_PROPOSAL：从4-1试调值接向源表终点；原模型节点形状仅用于初始化，运行时只按本页相邻节点插值。</x:t>
        </x:r>
      </x:text>
    </x:comment>
    <x:comment ref="A4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本轮变更覆盖历史试调批注里的默认数值：3～7章新增进度保留75%。具体数值以当前C:H和新增本轮调整对比页为准；旧批注只作历史记录。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tc={C12D1147-095B-7BAA-C1E3-30AAF19E6330}</x:author>
  </x:authors>
  <x:commentList>
    <x:comment ref="D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DESIGN_PROPOSAL：本轮试算保留75%新增进度，非用户指定精确幅度；只用于生成本轮默认节点。主线调参C:H保持独立可编辑。</x:t>
        </x:r>
      </x:text>
    </x:comment>
  </x:commentList>
</x:comments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%"/>
    <x:numFmt numFmtId="177" formatCode="0.0000"/>
    <x:numFmt numFmtId="200" formatCode="0.00%"/>
    <x:numFmt numFmtId="201" formatCode="#,##0"/>
    <x:numFmt numFmtId="202" formatCode="0.0%"/>
    <x:numFmt numFmtId="203" formatCode="#,##0.00"/>
    <x:numFmt numFmtId="204" formatCode="0"/>
    <x:numFmt numFmtId="205" formatCode="0.00&quot;倍&quot;"/>
    <x:numFmt numFmtId="206" formatCode="0.00"/>
    <x:numFmt numFmtId="207" formatCode="0%"/>
  </x:numFmts>
  <x:fonts count="40">
    <x:font>
      <x:sz val="11"/>
      <x:color theme="1"/>
      <x:name val="宋体"/>
    </x:font>
    <x:font>
      <x:sz val="11"/>
      <x:color theme="1"/>
      <x:name val="微软雅黑"/>
    </x:font>
    <x:font>
      <x:b/>
      <x:sz val="11"/>
      <x:color theme="0"/>
      <x:name val="微软雅黑"/>
    </x:font>
    <x:font>
      <x:sz val="11"/>
      <x:color rgb="FF000000"/>
      <x:name val="微软雅黑"/>
    </x:font>
    <x:font>
      <x:b/>
      <x:sz val="11"/>
      <x:color theme="1"/>
      <x:name val="宋体"/>
    </x:font>
    <x:font>
      <x:sz val="11"/>
      <x:color rgb="FFFF0000"/>
      <x:name val="微软雅黑"/>
    </x:font>
    <x:font>
      <x:sz val="12"/>
      <x:name val="微软雅黑"/>
    </x:font>
    <x:font>
      <x:b/>
      <x:sz val="11"/>
      <x:color theme="1"/>
      <x:name val="微软雅黑"/>
    </x:font>
    <x:font>
      <x:b/>
      <x:sz val="11"/>
      <x:color rgb="FFFF0000"/>
      <x:name val="微软雅黑"/>
    </x:font>
    <x:font>
      <x:b/>
      <x:sz val="14"/>
      <x:color theme="0"/>
      <x:name val="微软雅黑"/>
    </x:font>
    <x:font>
      <x:sz val="11"/>
      <x:name val="微软雅黑"/>
    </x:font>
    <x:font>
      <x:sz val="10"/>
      <x:name val="Arial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theme="1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name val="宋体"/>
    </x:font>
    <x:font>
      <x:b/>
      <x:sz val="11"/>
      <x:color rgb="FFFFFFFF"/>
      <x:name val="微软雅黑"/>
    </x:font>
    <x:font>
      <x:sz val="11"/>
      <x:color rgb="FF0000CC"/>
      <x:name val="微软雅黑"/>
    </x:font>
    <x:font>
      <x:sz val="11"/>
      <x:color rgb="FF666666"/>
      <x:name val="微软雅黑"/>
    </x:font>
    <x:font>
      <x:sz val="10"/>
      <x:color rgb="FF666666"/>
      <x:name val="微软雅黑"/>
    </x:font>
    <x:font>
      <x:b/>
      <x:sz val="11"/>
      <x:color rgb="FFFFFFFF"/>
      <x:name val="宋体"/>
    </x:font>
    <x:font>
      <x:b/>
      <x:sz val="10"/>
      <x:color rgb="FFFFFFFF"/>
      <x:name val="微软雅黑"/>
    </x:font>
    <x:font>
      <x:sz val="10"/>
      <x:color theme="1"/>
      <x:name val="微软雅黑"/>
    </x:font>
  </x:fonts>
  <x:fills count="52">
    <x:fill>
      <x:patternFill patternType="none"/>
    </x:fill>
    <x:fill>
      <x:patternFill patternType="gray125"/>
    </x:fill>
    <x:fill>
      <x:patternFill patternType="solid">
        <x:fgColor theme="1"/>
      </x:patternFill>
    </x:fill>
    <x:fill>
      <x:patternFill patternType="solid">
        <x:fgColor rgb="FF92D050"/>
      </x:patternFill>
    </x:fill>
    <x:fill>
      <x:patternFill patternType="solid">
        <x:fgColor rgb="FFFFC000"/>
      </x:patternFill>
    </x:fill>
    <x:fill>
      <x:patternFill patternType="solid">
        <x:fgColor rgb="FFFEFB54"/>
      </x:patternFill>
    </x:fill>
    <x:fill>
      <x:patternFill patternType="solid">
        <x:fgColor rgb="FFD58EFF"/>
      </x:patternFill>
    </x:fill>
    <x:fill>
      <x:patternFill patternType="solid">
        <x:fgColor rgb="FF8CDDFA"/>
      </x:patternFill>
    </x:fill>
    <x:fill>
      <x:patternFill patternType="solid">
        <x:fgColor rgb="FFDAE2F6"/>
      </x:patternFill>
    </x:fill>
    <x:fill>
      <x:patternFill patternType="solid">
        <x:fgColor theme="0" tint="-0.5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171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17171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243E57"/>
      </x:patternFill>
    </x:fill>
  </x:fills>
  <x:borders count="10">
    <x:border/>
    <x:border>
      <x:left style="thin">
        <x:color rgb="FFDEE0E3"/>
      </x:left>
      <x:right style="thin">
        <x:color rgb="FFDEE0E3"/>
      </x:right>
      <x:top style="thin">
        <x:color rgb="FFDEE0E3"/>
      </x:top>
      <x:bottom style="thin">
        <x:color rgb="FFDEE0E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1" fillId="0" borderId="0"/>
    <x:xf numFmtId="44" fontId="11" fillId="0" borderId="0"/>
    <x:xf numFmtId="9" fontId="0" fillId="0" borderId="0">
      <x:alignment vertical="center"/>
    </x:xf>
    <x:xf numFmtId="41" fontId="11" fillId="0" borderId="0"/>
    <x:xf numFmtId="42" fontId="11" fillId="0" borderId="0"/>
    <x:xf numFmtId="0" fontId="12" fillId="0" borderId="0">
      <x:alignment vertical="center"/>
    </x:xf>
    <x:xf numFmtId="0" fontId="13" fillId="0" borderId="0">
      <x:alignment vertical="center"/>
    </x:xf>
    <x:xf numFmtId="0" fontId="14" fillId="11" borderId="2">
      <x:alignment vertical="center"/>
    </x:xf>
    <x:xf numFmtId="0" fontId="15" fillId="0" borderId="0">
      <x:alignment vertical="center"/>
    </x:xf>
    <x:xf numFmtId="0" fontId="16" fillId="0" borderId="0">
      <x:alignment vertical="center"/>
    </x:xf>
    <x:xf numFmtId="0" fontId="17" fillId="0" borderId="0">
      <x:alignment vertical="center"/>
    </x:xf>
    <x:xf numFmtId="0" fontId="18" fillId="0" borderId="3">
      <x:alignment vertical="center"/>
    </x:xf>
    <x:xf numFmtId="0" fontId="19" fillId="0" borderId="3">
      <x:alignment vertical="center"/>
    </x:xf>
    <x:xf numFmtId="0" fontId="20" fillId="0" borderId="4">
      <x:alignment vertical="center"/>
    </x:xf>
    <x:xf numFmtId="0" fontId="20" fillId="0" borderId="0">
      <x:alignment vertical="center"/>
    </x:xf>
    <x:xf numFmtId="0" fontId="21" fillId="12" borderId="5">
      <x:alignment vertical="center"/>
    </x:xf>
    <x:xf numFmtId="0" fontId="22" fillId="13" borderId="6">
      <x:alignment vertical="center"/>
    </x:xf>
    <x:xf numFmtId="0" fontId="23" fillId="13" borderId="5">
      <x:alignment vertical="center"/>
    </x:xf>
    <x:xf numFmtId="0" fontId="24" fillId="14" borderId="7">
      <x:alignment vertical="center"/>
    </x:xf>
    <x:xf numFmtId="0" fontId="25" fillId="0" borderId="8">
      <x:alignment vertical="center"/>
    </x:xf>
    <x:xf numFmtId="0" fontId="26" fillId="0" borderId="9">
      <x:alignment vertical="center"/>
    </x:xf>
    <x:xf numFmtId="0" fontId="27" fillId="15" borderId="0">
      <x:alignment vertical="center"/>
    </x:xf>
    <x:xf numFmtId="0" fontId="28" fillId="16" borderId="0">
      <x:alignment vertical="center"/>
    </x:xf>
    <x:xf numFmtId="0" fontId="29" fillId="17" borderId="0">
      <x:alignment vertical="center"/>
    </x:xf>
    <x:xf numFmtId="0" fontId="30" fillId="18" borderId="0">
      <x:alignment vertical="center"/>
    </x:xf>
    <x:xf numFmtId="0" fontId="31" fillId="19" borderId="0">
      <x:alignment vertical="center"/>
    </x:xf>
    <x:xf numFmtId="0" fontId="31" fillId="20" borderId="0">
      <x:alignment vertical="center"/>
    </x:xf>
    <x:xf numFmtId="0" fontId="30" fillId="21" borderId="0">
      <x:alignment vertical="center"/>
    </x:xf>
    <x:xf numFmtId="0" fontId="30" fillId="22" borderId="0">
      <x:alignment vertical="center"/>
    </x:xf>
    <x:xf numFmtId="0" fontId="31" fillId="23" borderId="0">
      <x:alignment vertical="center"/>
    </x:xf>
    <x:xf numFmtId="0" fontId="31" fillId="24" borderId="0">
      <x:alignment vertical="center"/>
    </x:xf>
    <x:xf numFmtId="0" fontId="30" fillId="25" borderId="0">
      <x:alignment vertical="center"/>
    </x:xf>
    <x:xf numFmtId="0" fontId="30" fillId="26" borderId="0">
      <x:alignment vertical="center"/>
    </x:xf>
    <x:xf numFmtId="0" fontId="31" fillId="27" borderId="0">
      <x:alignment vertical="center"/>
    </x:xf>
    <x:xf numFmtId="0" fontId="31" fillId="28" borderId="0">
      <x:alignment vertical="center"/>
    </x:xf>
    <x:xf numFmtId="0" fontId="30" fillId="29" borderId="0">
      <x:alignment vertical="center"/>
    </x:xf>
    <x:xf numFmtId="0" fontId="30" fillId="30" borderId="0">
      <x:alignment vertical="center"/>
    </x:xf>
    <x:xf numFmtId="0" fontId="31" fillId="31" borderId="0">
      <x:alignment vertical="center"/>
    </x:xf>
    <x:xf numFmtId="0" fontId="31" fillId="32" borderId="0">
      <x:alignment vertical="center"/>
    </x:xf>
    <x:xf numFmtId="0" fontId="30" fillId="33" borderId="0">
      <x:alignment vertical="center"/>
    </x:xf>
    <x:xf numFmtId="0" fontId="30" fillId="34" borderId="0">
      <x:alignment vertical="center"/>
    </x:xf>
    <x:xf numFmtId="0" fontId="31" fillId="35" borderId="0">
      <x:alignment vertical="center"/>
    </x:xf>
    <x:xf numFmtId="0" fontId="31" fillId="36" borderId="0">
      <x:alignment vertical="center"/>
    </x:xf>
    <x:xf numFmtId="0" fontId="30" fillId="37" borderId="0">
      <x:alignment vertical="center"/>
    </x:xf>
    <x:xf numFmtId="0" fontId="30" fillId="38" borderId="0">
      <x:alignment vertical="center"/>
    </x:xf>
    <x:xf numFmtId="0" fontId="31" fillId="39" borderId="0">
      <x:alignment vertical="center"/>
    </x:xf>
    <x:xf numFmtId="0" fontId="31" fillId="40" borderId="0">
      <x:alignment vertical="center"/>
    </x:xf>
    <x:xf numFmtId="0" fontId="30" fillId="41" borderId="0">
      <x:alignment vertical="center"/>
    </x:xf>
  </x:cellStyleXfs>
  <x:cellXfs count="97">
    <x:xf numFmtId="0" fontId="0" fillId="0" borderId="0" xfId="0"/>
    <x:xf numFmtId="0" fontId="1" fillId="0" borderId="0" xfId="0" applyAlignment="1">
      <x:alignment horizontal="center" vertical="center"/>
    </x:xf>
    <x:xf numFmtId="0" fontId="1" fillId="0" borderId="0" xfId="0" applyAlignment="1">
      <x:alignment horizontal="left" vertical="center"/>
    </x:xf>
    <x:xf numFmtId="0" fontId="2" fillId="2" borderId="0" xfId="0" applyFont="1" applyFill="1" applyAlignment="1">
      <x:alignment horizontal="center" vertical="center"/>
    </x:xf>
    <x:xf numFmtId="0" fontId="1" fillId="3" borderId="0" xfId="0" applyFill="1" applyAlignment="1">
      <x:alignment horizontal="center" vertical="center"/>
    </x:xf>
    <x:xf numFmtId="9" fontId="1" fillId="0" borderId="0" xfId="3" applyAlignment="1">
      <x:alignment horizontal="center" vertical="center"/>
    </x:xf>
    <x:xf numFmtId="10" fontId="1" fillId="0" borderId="0" xfId="0" applyNumberFormat="1" applyAlignment="1">
      <x:alignment horizontal="center" vertical="center"/>
    </x:xf>
    <x:xf numFmtId="0" fontId="1" fillId="0" borderId="0" xfId="0" applyAlignment="1">
      <x:alignment vertical="center"/>
    </x:xf>
    <x:xf numFmtId="0" fontId="1" fillId="4" borderId="0" xfId="0" applyFill="1" applyAlignment="1">
      <x:alignment vertical="center"/>
    </x:xf>
    <x:xf numFmtId="0" fontId="1" fillId="4" borderId="0" xfId="0" applyFill="1" applyAlignment="1">
      <x:alignment horizontal="center" vertical="center"/>
    </x:xf>
    <x:xf numFmtId="2" fontId="1" fillId="0" borderId="0" xfId="0" applyNumberFormat="1" applyAlignment="1">
      <x:alignment horizontal="center" vertical="center"/>
    </x:xf>
    <x:xf numFmtId="176" fontId="1" fillId="0" borderId="0" xfId="3" applyNumberFormat="1" applyAlignment="1">
      <x:alignment horizontal="center" vertical="center"/>
    </x:xf>
    <x:xf numFmtId="0" fontId="1" fillId="4" borderId="0" xfId="0" applyFill="1" applyAlignment="1">
      <x:alignment horizontal="left" vertical="center"/>
    </x:xf>
    <x:xf numFmtId="0" fontId="1" fillId="0" borderId="0" xfId="3" applyNumberFormat="1" applyAlignment="1">
      <x:alignment horizontal="center" vertical="center"/>
    </x:xf>
    <x:xf numFmtId="1" fontId="1" fillId="0" borderId="0" xfId="0" applyNumberFormat="1" applyAlignment="1">
      <x:alignment horizontal="center" vertical="center"/>
    </x:xf>
    <x:xf numFmtId="177" fontId="1" fillId="0" borderId="0" xfId="0" applyNumberFormat="1" applyAlignment="1">
      <x:alignment horizontal="center" vertical="center"/>
    </x:xf>
    <x:xf numFmtId="3" fontId="1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5" borderId="1" xfId="0" applyFont="1" applyFill="1" applyBorder="1" applyAlignment="1">
      <x:alignment horizontal="center" vertical="center"/>
    </x:xf>
    <x:xf numFmtId="0" fontId="1" fillId="3" borderId="0" xfId="0" applyFill="1" applyAlignment="1">
      <x:alignment vertical="center"/>
    </x:xf>
    <x:xf numFmtId="0" fontId="3" fillId="6" borderId="1" xfId="0" applyFont="1" applyFill="1" applyBorder="1" applyAlignment="1">
      <x:alignment horizontal="center" vertical="center"/>
    </x:xf>
    <x:xf numFmtId="0" fontId="3" fillId="7" borderId="1" xfId="0" applyFont="1" applyFill="1" applyBorder="1" applyAlignment="1">
      <x:alignment horizontal="center" vertical="center"/>
    </x:xf>
    <x:xf numFmtId="0" fontId="4" fillId="8" borderId="0" xfId="0" applyFont="1" applyFill="1" applyAlignment="1">
      <x:alignment horizontal="center" vertical="center" wrapText="1"/>
    </x:xf>
    <x:xf numFmtId="0" fontId="0" fillId="0" borderId="0" xfId="0" applyAlignment="1">
      <x:alignment vertical="center"/>
    </x:xf>
    <x:xf numFmtId="0" fontId="2" fillId="2" borderId="0" xfId="0" applyFont="1" applyFill="1" applyAlignment="1">
      <x:alignment vertical="center"/>
    </x:xf>
    <x:xf numFmtId="0" fontId="1" fillId="0" borderId="0" xfId="0" applyAlignment="1">
      <x:alignment horizontal="center" vertical="center" wrapText="1"/>
    </x:xf>
    <x:xf numFmtId="0" fontId="5" fillId="3" borderId="0" xfId="0" applyFont="1" applyFill="1" applyAlignment="1">
      <x:alignment vertical="center"/>
    </x:xf>
    <x:xf numFmtId="0" fontId="1" fillId="9" borderId="0" xfId="0" applyFill="1" applyAlignment="1">
      <x:alignment vertical="center"/>
    </x:xf>
    <x:xf numFmtId="0" fontId="6" fillId="0" borderId="0" xfId="0" applyFont="1" applyAlignment="1">
      <x:alignment horizontal="center" vertical="center"/>
    </x:xf>
    <x:xf numFmtId="0" fontId="1" fillId="0" borderId="0" xfId="0"/>
    <x:xf numFmtId="0" fontId="7" fillId="0" borderId="0" xfId="0" applyFont="1" applyAlignment="1">
      <x:alignment vertical="center"/>
    </x:xf>
    <x:xf numFmtId="0" fontId="8" fillId="0" borderId="0" xfId="0" applyFont="1" applyAlignment="1">
      <x:alignment vertical="center"/>
    </x:xf>
    <x:xf numFmtId="0" fontId="9" fillId="2" borderId="0" xfId="0" applyFont="1" applyFill="1" applyAlignment="1">
      <x:alignment horizontal="center" vertical="center"/>
    </x:xf>
    <x:xf numFmtId="10" fontId="1" fillId="0" borderId="0" xfId="3" applyNumberFormat="1" applyAlignment="1">
      <x:alignment horizontal="center" vertical="center"/>
    </x:xf>
    <x:xf numFmtId="9" fontId="1" fillId="10" borderId="0" xfId="3" applyFill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9" fontId="1" fillId="0" borderId="0" xfId="0" applyNumberFormat="1" applyAlignment="1">
      <x:alignment vertical="center"/>
    </x:xf>
    <x:xf numFmtId="9" fontId="1" fillId="0" borderId="0" xfId="0" applyNumberFormat="1" applyAlignment="1">
      <x:alignment horizontal="center" vertical="center"/>
    </x:xf>
    <x:xf numFmtId="9" fontId="1" fillId="0" borderId="0" xfId="3" applyAlignment="1">
      <x:alignment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42" borderId="0" xfId="0" applyNumberFormat="1" applyFont="1" applyFill="1" applyBorder="1" applyAlignment="1">
      <x:alignment vertical="center"/>
    </x:xf>
    <x:xf numFmtId="0" fontId="33" fillId="42" borderId="0" xfId="0" applyNumberFormat="1" applyFont="1" applyFill="1" applyBorder="1" applyAlignment="1">
      <x:alignment vertical="center"/>
    </x:xf>
    <x:xf numFmtId="0" fontId="1" fillId="43" borderId="0" xfId="0" applyNumberFormat="1" applyFont="1" applyFill="1" applyBorder="1" applyAlignment="1">
      <x:alignment vertical="center"/>
    </x:xf>
    <x:xf numFmtId="0" fontId="1" fillId="43" borderId="0" xfId="0" applyNumberFormat="1" applyFont="1" applyFill="1" applyBorder="1" applyAlignment="1">
      <x:alignment vertical="center" wrapText="1"/>
    </x:xf>
    <x:xf numFmtId="0" fontId="1" fillId="44" borderId="0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 applyAlignment="1">
      <x:alignment vertical="center" wrapText="1"/>
    </x:xf>
    <x:xf numFmtId="0" fontId="1" fillId="45" borderId="0" xfId="0" applyNumberFormat="1" applyFont="1" applyFill="1" applyBorder="1" applyAlignment="1">
      <x:alignment vertical="center"/>
    </x:xf>
    <x:xf numFmtId="0" fontId="1" fillId="45" borderId="0" xfId="0" applyNumberFormat="1" applyFont="1" applyFill="1" applyBorder="1" applyAlignment="1">
      <x:alignment vertical="center" wrapText="1"/>
    </x:xf>
    <x:xf numFmtId="0" fontId="33" fillId="4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4" fillId="43" borderId="0" xfId="0" applyNumberFormat="1" applyFont="1" applyFill="1" applyBorder="1" applyAlignment="1">
      <x:alignment vertical="center"/>
    </x:xf>
    <x:xf numFmtId="0" fontId="1" fillId="46" borderId="0" xfId="0" applyNumberFormat="1" applyFont="1" applyFill="1" applyBorder="1" applyAlignment="1">
      <x:alignment vertical="center"/>
    </x:xf>
    <x:xf numFmtId="0" fontId="35" fillId="46" borderId="0" xfId="0" applyNumberFormat="1" applyFont="1" applyFill="1" applyBorder="1" applyAlignment="1">
      <x:alignment vertical="center"/>
    </x:xf>
    <x:xf numFmtId="200" fontId="34" fillId="43" borderId="0" xfId="0" applyNumberFormat="1" applyFont="1" applyFill="1" applyBorder="1" applyAlignment="1">
      <x:alignment vertical="center"/>
    </x:xf>
    <x:xf numFmtId="201" fontId="1" fillId="45" borderId="0" xfId="0" applyNumberFormat="1" applyFont="1" applyFill="1" applyBorder="1" applyAlignment="1">
      <x:alignment vertical="center"/>
    </x:xf>
    <x:xf numFmtId="202" fontId="1" fillId="45" borderId="0" xfId="0" applyNumberFormat="1" applyFont="1" applyFill="1" applyBorder="1" applyAlignment="1">
      <x:alignment vertical="center"/>
    </x:xf>
    <x:xf numFmtId="0" fontId="36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45" borderId="0" xfId="0" applyNumberFormat="1" applyFont="1" applyFill="1" applyBorder="1" applyAlignment="1">
      <x:alignment vertical="center"/>
    </x:xf>
    <x:xf numFmtId="205" fontId="1" fillId="44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47" borderId="0" xfId="0" applyNumberFormat="1" applyFont="1" applyFill="1" applyBorder="1" applyAlignment="1">
      <x:alignment vertical="center"/>
    </x:xf>
    <x:xf numFmtId="0" fontId="33" fillId="47" borderId="0" xfId="0" applyNumberFormat="1" applyFont="1" applyFill="1" applyBorder="1" applyAlignment="1">
      <x:alignment vertical="center"/>
    </x:xf>
    <x:xf numFmtId="0" fontId="1" fillId="48" borderId="0" xfId="0" applyNumberFormat="1" applyFont="1" applyFill="1" applyBorder="1" applyAlignment="1">
      <x:alignment vertical="center"/>
    </x:xf>
    <x:xf numFmtId="0" fontId="1" fillId="48" borderId="0" xfId="0" applyNumberFormat="1" applyFont="1" applyFill="1" applyBorder="1" applyAlignment="1">
      <x:alignment vertical="center" wrapText="1"/>
    </x:xf>
    <x:xf numFmtId="0" fontId="1" fillId="49" borderId="0" xfId="0" applyNumberFormat="1" applyFont="1" applyFill="1" applyBorder="1" applyAlignment="1">
      <x:alignment vertical="center"/>
    </x:xf>
    <x:xf numFmtId="0" fontId="1" fillId="49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vertical="center"/>
    </x:xf>
    <x:xf numFmtId="0" fontId="33" fillId="47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/>
    <x:xf numFmtId="0" fontId="37" fillId="47" borderId="0" xfId="0" applyNumberFormat="1" applyFont="1" applyFill="1" applyBorder="1"/>
    <x:xf numFmtId="0" fontId="33" fillId="47" borderId="0" xfId="0" applyNumberFormat="1" applyFont="1" applyFill="1" applyBorder="1"/>
    <x:xf numFmtId="0" fontId="1" fillId="47" borderId="0" xfId="0" applyNumberFormat="1" applyFont="1" applyFill="1" applyBorder="1"/>
    <x:xf numFmtId="0" fontId="33" fillId="47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6" fontId="1" fillId="0" borderId="0" xfId="0" applyNumberFormat="1" applyFont="1" applyFill="1" applyBorder="1"/>
    <x:xf numFmtId="0" fontId="38" fillId="47" borderId="0" xfId="0" applyNumberFormat="1" applyFont="1" applyFill="1" applyBorder="1"/>
    <x:xf numFmtId="0" fontId="39" fillId="0" borderId="0" xfId="0" applyNumberFormat="1" applyFont="1" applyFill="1" applyBorder="1"/>
    <x:xf numFmtId="0" fontId="39" fillId="47" borderId="0" xfId="0" applyNumberFormat="1" applyFont="1" applyFill="1" applyBorder="1"/>
    <x:xf numFmtId="0" fontId="38" fillId="47" borderId="0" xfId="0" applyNumberFormat="1" applyFont="1" applyFill="1" applyBorder="1" applyAlignment="1">
      <x:alignment wrapText="1"/>
    </x:xf>
    <x:xf numFmtId="200" fontId="39" fillId="0" borderId="0" xfId="0" applyNumberFormat="1" applyFont="1" applyFill="1" applyBorder="1"/>
    <x:xf numFmtId="200" fontId="39" fillId="5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/>
    </x:xf>
    <x:xf numFmtId="201" fontId="1" fillId="50" borderId="0" xfId="0" applyNumberFormat="1" applyFont="1" applyFill="1" applyBorder="1" applyAlignment="1">
      <x:alignment vertical="center"/>
    </x:xf>
    <x:xf numFmtId="0" fontId="0" fillId="51" borderId="0" xfId="0" applyNumberFormat="1" applyFont="1" applyFill="1" applyBorder="1"/>
    <x:xf numFmtId="0" fontId="37" fillId="51" borderId="0" xfId="0" applyNumberFormat="1" applyFont="1" applyFill="1" applyBorder="1"/>
    <x:xf numFmtId="0" fontId="37" fillId="51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24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666666"/>
      </x:font>
      <x:fill>
        <x:patternFill>
          <x:bgColor rgb="FFE7E6E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DAE2F6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DEE0E3"/>
      <x:rgbColor rgb="00FEFB54"/>
      <x:rgbColor rgb="008CDDFA"/>
      <x:rgbColor rgb="00FF99CC"/>
      <x:rgbColor rgb="00D58EFF"/>
      <x:rgbColor rgb="00FFCC99"/>
      <x:rgbColor rgb="003366FF"/>
      <x:rgbColor rgb="0033CCCC"/>
      <x:rgbColor rgb="0092D050"/>
      <x:rgbColor rgb="00FFC0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265ad29a5c41a1" /><Relationship Type="http://schemas.openxmlformats.org/officeDocument/2006/relationships/theme" Target="/xl/theme/theme1.xml" Id="R4955ffce725f4221" /><Relationship Type="http://schemas.openxmlformats.org/officeDocument/2006/relationships/sheetMetadata" Target="/xl/metadata1.xml" Id="R5ff0f18e3e1e4a13" /><Relationship Type="http://schemas.openxmlformats.org/officeDocument/2006/relationships/sharedStrings" Target="/xl/sharedStrings.xml" Id="R5e13ae4bd23d4969" /><Relationship Type="http://schemas.openxmlformats.org/officeDocument/2006/relationships/worksheet" Target="/xl/worksheets/sheet1.xml" Id="R4dc7ad5878224f84" /><Relationship Type="http://schemas.openxmlformats.org/officeDocument/2006/relationships/worksheet" Target="/xl/worksheets/sheet2.xml" Id="Rca91e51c117c459c" /><Relationship Type="http://schemas.openxmlformats.org/officeDocument/2006/relationships/worksheet" Target="/xl/worksheets/sheet3.xml" Id="R9f7fc15b32834709" /><Relationship Type="http://schemas.openxmlformats.org/officeDocument/2006/relationships/worksheet" Target="/xl/worksheets/sheet4.xml" Id="R169e24c467cf4480" /><Relationship Type="http://schemas.openxmlformats.org/officeDocument/2006/relationships/worksheet" Target="/xl/worksheets/sheet5.xml" Id="Ree731548bac6453d" /><Relationship Type="http://schemas.openxmlformats.org/officeDocument/2006/relationships/worksheet" Target="/xl/worksheets/sheet6.xml" Id="Rc463c44110bc4b4e" /><Relationship Type="http://schemas.openxmlformats.org/officeDocument/2006/relationships/worksheet" Target="/xl/worksheets/sheet7.xml" Id="R1b667b33fc444e85" /><Relationship Type="http://schemas.openxmlformats.org/officeDocument/2006/relationships/worksheet" Target="/xl/worksheets/sheet8.xml" Id="Rfdb9f9624b744c09" /><Relationship Type="http://schemas.openxmlformats.org/officeDocument/2006/relationships/worksheet" Target="/xl/worksheets/sheet9.xml" Id="R4156b1aeb48c481a" /><Relationship Type="http://schemas.openxmlformats.org/officeDocument/2006/relationships/worksheet" Target="/xl/worksheets/sheet10.xml" Id="R6c0bc4ea0c0c4197" /><Relationship Type="http://schemas.openxmlformats.org/officeDocument/2006/relationships/worksheet" Target="/xl/worksheets/sheet11.xml" Id="R4c5ef8cecf054cc0" /><Relationship Type="http://schemas.openxmlformats.org/officeDocument/2006/relationships/worksheet" Target="/xl/worksheets/sheet12.xml" Id="Rad2c43ac7963451e" /><Relationship Type="http://schemas.microsoft.com/office/2017/10/relationships/person" Target="/xl/persons/person.xml" Id="R3c5d5238acf24e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8851bd5a974ef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5b06a8f5d9b4d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各章末战力对比（战力）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原战力</c:v>
          </c:tx>
          <c:spPr>
            <a:solidFill xmlns:a="http://schemas.openxmlformats.org/drawingml/2006/main">
              <a:srgbClr val="7F7F7F"/>
            </a:solidFill>
          </c:spPr>
          <c:marker>
            <c:symbol val="none"/>
          </c:marker>
          <c:cat>
            <c:strRef>
              <c:f>'曲线总览'!$A$25:$A$44</c:f>
              <c:strCache>
                <c:ptCount val="0"/>
              </c:strCache>
            </c:strRef>
          </c:cat>
          <c:val>
            <c:numRef>
              <c:f>'曲线总览'!$B$25:$B$44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节点版战力</c:v>
          </c:tx>
          <c:spPr>
            <a:solidFill xmlns:a="http://schemas.openxmlformats.org/drawingml/2006/main">
              <a:srgbClr val="548235"/>
            </a:solidFill>
          </c:spPr>
          <c:marker>
            <c:symbol val="none"/>
          </c:marker>
          <c:cat>
            <c:strRef>
              <c:f>'曲线总览'!$A$25:$A$44</c:f>
              <c:strCache>
                <c:ptCount val="0"/>
              </c:strCache>
            </c:strRef>
          </c:cat>
          <c:val>
            <c:numRef>
              <c:f>'曲线总览'!$C$25:$C$44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第2～10章末战力｜改前与本轮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改前战力</c:v>
          </c:tx>
          <c:spPr>
            <a:solidFill xmlns:a="http://schemas.openxmlformats.org/drawingml/2006/main">
              <a:srgbClr val="7F7F7F"/>
            </a:solidFill>
          </c:spPr>
          <c:marker>
            <c:symbol val="none"/>
          </c:marker>
          <c:cat>
            <c:strRef>
              <c:f>'本轮调整对比'!$A$12:$A$20</c:f>
              <c:strCache>
                <c:ptCount val="0"/>
              </c:strCache>
            </c:strRef>
          </c:cat>
          <c:val>
            <c:numRef>
              <c:f>'本轮调整对比'!$B$12:$B$20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改后战力</c:v>
          </c:tx>
          <c:spPr>
            <a:solidFill xmlns:a="http://schemas.openxmlformats.org/drawingml/2006/main">
              <a:srgbClr val="548235"/>
            </a:solidFill>
          </c:spPr>
          <c:marker>
            <c:symbol val="none"/>
          </c:marker>
          <c:cat>
            <c:strRef>
              <c:f>'本轮调整对比'!$A$12:$A$20</c:f>
              <c:strCache>
                <c:ptCount val="0"/>
              </c:strCache>
            </c:strRef>
          </c:cat>
          <c:val>
            <c:numRef>
              <c:f>'本轮调整对比'!$C$12:$C$20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8851bd5a974ef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31</xdr:row>
      <xdr:rowOff>0</xdr:rowOff>
    </xdr:from>
    <xdr:to>
      <xdr:col>10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b06a8f5d9b4de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4C324DC8-497A-4B30-9925-1DAFB840113C}"/>
  <xltc:person displayName="User" id="{EDBD73DE-0051-4784-9CE6-3CA5262CBE22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10" dT="2026-08-27T09:18:57.328" personId="{4C324DC8-497A-4B30-9925-1DAFB840113C}" id="{79CE3B60-621E-19E4-BDD6-A498F846D17C}">
    <xltc:text>输入单位统一为相对既定终点目标的完成度。计算时乘回参数说明C27:H27，再使用原属性和战力公式。100%不是理论满养成。</xltc:text>
  </xltc:threadedComment>
  <xltc:threadedComment ref="F29" dT="2026-08-27T09:18:57.329" personId="{4C324DC8-497A-4B30-9925-1DAFB840113C}" id="{C87D9D44-77CC-AFF5-E834-66598D81BB15}">
    <xltc:text>沿用上一版：映射原进度0.06，除以终点0.60，显示10%。未增加或减少属性；本次只统一单位。</xltc:text>
  </xltc:threadedComment>
  <xltc:threadedComment ref="F29" dT="2026-08-27T09:46:16.323" personId="{EDBD73DE-0051-4784-9CE6-3CA5262CBE22}" id="{38DB560D-1E28-43C7-A7CE-580636B4D18D}" parentId="{C87D9D44-77CC-AFF5-E834-66598D81BB15}">
    <xltc:text>本轮已更新：目标完成度由10%降至7.50%，对应原始模块进度4.50%。上条批注为上一版历史值；当前以单元格和本轮调整对比为准。</xltc:text>
  </xltc:threadedComment>
  <xltc:threadedComment ref="F31" dT="2026-08-27T09:18:57.329" personId="{4C324DC8-497A-4B30-9925-1DAFB840113C}" id="{770E6E60-37C5-526F-954B-58753B70DF5C}">
    <xltc:text>后段初始化为DESIGN_PROPOSAL：从4-1试调值接向源表终点；原模型节点形状仅用于初始化，运行时只按本页相邻节点插值。</xltc:text>
  </xltc:threadedComment>
  <xltc:threadedComment ref="F31" dT="2026-08-27T09:46:16.323" personId="{EDBD73DE-0051-4784-9CE6-3CA5262CBE22}" id="{77BEC3BE-EB68-49DA-B9CA-4D692FB8043C}" parentId="{770E6E60-37C5-526F-954B-58753B70DF5C}">
    <xltc:text>本轮4-15属于3～7章放缓范围：相对2-12新增进度保留75%。8-1以后再逐步回补至原终点；仍为可调试案。</xltc:text>
  </xltc:threadedComment>
  <xltc:threadedComment ref="A4" dT="2026-08-27T09:46:16.323" personId="{EDBD73DE-0051-4784-9CE6-3CA5262CBE22}" id="{7B7B2954-7EE6-3E38-54AB-E9B450C2DAB9}">
    <xltc:text>本轮变更覆盖历史试调批注里的默认数值：3～7章新增进度保留75%。具体数值以当前C:H和新增本轮调整对比页为准；旧批注只作历史记录。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5" dT="2026-08-27T09:46:16.323" personId="{EDBD73DE-0051-4784-9CE6-3CA5262CBE22}" id="{C12D1147-095B-7BAA-C1E3-30AAF19E6330}">
    <xltc:text>DESIGN_PROPOSAL：本轮试算保留75%新增进度，非用户指定精确幅度；只用于生成本轮默认节点。主线调参C:H保持独立可编辑。</xltc:text>
  </xltc:threadedComment>
</xltc:ThreadedComment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3a339374505d4b40" /><Relationship Type="http://schemas.openxmlformats.org/officeDocument/2006/relationships/vmlDrawing" Target="/xl/drawings/vmldrawing.vml" Id="R4e09286e838042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6f357102d4954f0f" /><Relationship Type="http://schemas.openxmlformats.org/officeDocument/2006/relationships/vmlDrawing" Target="/xl/drawings/vmldrawing2.vml" Id="Re6871a43c63a46d0" /><Relationship Type="http://schemas.microsoft.com/office/2017/10/relationships/threadedComment" Target="/xl/threadedcomments/threadedcomment.xml" Id="Re6d8e2e925fe4f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8b665346981d4b0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3.xml" Id="R3efe6e73c3e147d6" /><Relationship Type="http://schemas.openxmlformats.org/officeDocument/2006/relationships/vmlDrawing" Target="/xl/drawings/vmldrawing3.vml" Id="Re0a5decb5f4b49b6" /><Relationship Type="http://schemas.microsoft.com/office/2017/10/relationships/threadedComment" Target="/xl/threadedcomments/threadedcomment2.xml" Id="R4f98d8609664492f" /><Relationship Type="http://schemas.openxmlformats.org/officeDocument/2006/relationships/drawing" Target="/xl/drawings/drawing2.xml" Id="R082c1ffd9f454b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5"/>
  <x:cols>
    <x:col min="1" max="1" width="12.866666793823242" style="29" customWidth="1"/>
    <x:col min="2" max="2" width="25.366666793823242" style="29" customWidth="1"/>
    <x:col min="3" max="3" width="17.133333206176758" style="29" customWidth="1"/>
    <x:col min="4" max="5" width="9" style="29" customWidth="1"/>
    <x:col min="6" max="7" width="10.5" style="29" customWidth="1"/>
    <x:col min="8" max="8" width="9" style="29" customWidth="1"/>
    <x:col min="9" max="9" width="10.866666793823242" style="29" customWidth="1"/>
    <x:col min="10" max="11" width="9" style="29" customWidth="1"/>
    <x:col min="12" max="12" width="14" style="29" customWidth="1"/>
    <x:col min="13" max="16384" width="9" style="29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</x:row>
    <x:row r="2">
      <x:c r="A2"/>
      <x:c r="B2" s="7" t="str">
        <x:v>初始标准人属性</x:v>
      </x:c>
      <x:c r="C2" s="3" t="str">
        <x:v>生命</x:v>
      </x:c>
      <x:c r="D2" s="3" t="str">
        <x:v>攻击</x:v>
      </x:c>
      <x:c r="E2" s="3" t="str">
        <x:v>防御</x:v>
      </x:c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</x:row>
    <x:row r="3">
      <x:c r="A3"/>
      <x:c r="B3" s="7"/>
      <x:c r="C3" s="1" t="n">
        <x:v>5000</x:v>
      </x:c>
      <x:c r="D3" s="1" t="n">
        <x:v>1500</x:v>
      </x:c>
      <x:c r="E3" s="1" t="n">
        <x:v>1000</x:v>
      </x:c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</x:row>
    <x:row r="5" s="7" customFormat="1">
      <x:c r="A5"/>
      <x:c r="B5" s="30" t="str">
        <x:v>养成模块数值分配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 s="30" t="str">
        <x:v>这部分是每个角色不同的属性偏向，需要每个角色单独设计</x:v>
      </x:c>
      <x:c r="Q5"/>
      <x:c r="R5"/>
      <x:c r="S5"/>
      <x:c r="T5"/>
      <x:c r="U5"/>
      <x:c r="V5"/>
      <x:c r="W5"/>
      <x:c r="X5"/>
      <x:c r="Y5"/>
    </x:row>
    <x:row r="6" s="7" customFormat="1">
      <x:c r="A6"/>
      <x:c r="B6" s="7" t="str">
        <x:v>该表格决定属性数值分配值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 s="7" t="str">
        <x:v>输出角色（攻击%+暴击爆伤）</x:v>
      </x:c>
      <x:c r="Q6"/>
      <x:c r="R6"/>
      <x:c r="S6"/>
      <x:c r="T6"/>
      <x:c r="U6"/>
      <x:c r="V6"/>
      <x:c r="W6"/>
      <x:c r="X6"/>
      <x:c r="Y6"/>
    </x:row>
    <x:row r="7" s="7" customFormat="1">
      <x:c r="A7"/>
      <x:c r="B7"/>
      <x:c r="C7"/>
      <x:c r="D7" s="7" t="str">
        <x:v>预计基础属性</x:v>
      </x:c>
      <x:c r="E7"/>
      <x:c r="F7"/>
      <x:c r="G7" s="31" t="str">
        <x:v>最终基础属性%</x:v>
      </x:c>
      <x:c r="H7"/>
      <x:c r="I7"/>
      <x:c r="J7" s="7" t="str">
        <x:v>预计全部基础属性%</x:v>
      </x:c>
      <x:c r="K7"/>
      <x:c r="L7"/>
      <x:c r="M7" s="7" t="str">
        <x:v>预计偏向全部二级属性</x:v>
      </x:c>
      <x:c r="N7"/>
      <x:c r="O7"/>
      <x:c r="P7" s="7" t="str">
        <x:v>预计偏向基础属性%+二级属性</x:v>
      </x:c>
      <x:c r="Q7"/>
      <x:c r="R7"/>
      <x:c r="S7"/>
      <x:c r="T7"/>
      <x:c r="U7"/>
      <x:c r="V7"/>
      <x:c r="W7"/>
      <x:c r="X7"/>
      <x:c r="Y7"/>
    </x:row>
    <x:row r="8" s="7" customFormat="1" ht="21" customHeight="1">
      <x:c r="A8" s="3" t="str">
        <x:v>是否裸体属性</x:v>
      </x:c>
      <x:c r="B8" s="32" t="str">
        <x:v>养成模块</x:v>
      </x:c>
      <x:c r="C8" s="3" t="str">
        <x:v>基础属性投放系数</x:v>
      </x:c>
      <x:c r="D8" s="24" t="str">
        <x:v>生命</x:v>
      </x:c>
      <x:c r="E8" s="24" t="str">
        <x:v>攻击</x:v>
      </x:c>
      <x:c r="F8" s="24" t="str">
        <x:v>防御</x:v>
      </x:c>
      <x:c r="G8" s="24" t="str">
        <x:v>生命</x:v>
      </x:c>
      <x:c r="H8" s="24" t="str">
        <x:v>攻击</x:v>
      </x:c>
      <x:c r="I8" s="24" t="str">
        <x:v>防御</x:v>
      </x:c>
      <x:c r="J8" s="24" t="str">
        <x:v>生命</x:v>
      </x:c>
      <x:c r="K8" s="24" t="str">
        <x:v>攻击</x:v>
      </x:c>
      <x:c r="L8" s="24" t="str">
        <x:v>防御</x:v>
      </x:c>
      <x:c r="M8" s="3" t="str">
        <x:v>偏向值</x:v>
      </x:c>
      <x:c r="N8"/>
      <x:c r="O8"/>
      <x:c r="P8" s="3" t="str">
        <x:v>偏向值</x:v>
      </x:c>
      <x:c r="Q8"/>
      <x:c r="R8"/>
      <x:c r="S8" s="3"/>
      <x:c r="T8"/>
      <x:c r="U8"/>
      <x:c r="V8" s="3" t="str">
        <x:v>二级属性占比</x:v>
      </x:c>
      <x:c r="W8"/>
      <x:c r="X8"/>
      <x:c r="Y8"/>
    </x:row>
    <x:row r="9" s="7" customFormat="1">
      <x:c r="A9"/>
      <x:c r="B9"/>
      <x:c r="C9"/>
      <x:c r="D9"/>
      <x:c r="E9"/>
      <x:c r="F9"/>
      <x:c r="G9"/>
      <x:c r="H9"/>
      <x:c r="I9"/>
      <x:c r="J9"/>
      <x:c r="K9"/>
      <x:c r="L9"/>
      <x:c r="M9" s="1"/>
      <x:c r="N9"/>
      <x:c r="O9"/>
      <x:c r="P9"/>
      <x:c r="Q9"/>
      <x:c r="R9"/>
      <x:c r="S9"/>
      <x:c r="T9"/>
      <x:c r="U9"/>
      <x:c r="V9" s="33" t="n">
        <x:f t="shared" ref="V9:V20" si="0">SUM(L9:U9)/$P$22</x:f>
        <x:v>0</x:v>
      </x:c>
      <x:c r="W9"/>
      <x:c r="X9"/>
      <x:c r="Y9"/>
    </x:row>
    <x:row r="10" s="7" customFormat="1">
      <x:c r="A10" s="34" t="str">
        <x:v>是</x:v>
      </x:c>
      <x:c r="B10" s="1" t="str">
        <x:v>初始</x:v>
      </x:c>
      <x:c r="C10" s="1" t="n">
        <x:v>1</x:v>
      </x:c>
      <x:c r="D10" s="7" t="n">
        <x:f>$C10*C$3</x:f>
        <x:v>5000</x:v>
      </x:c>
      <x:c r="E10" s="7" t="n">
        <x:f>$C10*D$3</x:f>
        <x:v>1500</x:v>
      </x:c>
      <x:c r="F10" s="7" t="n">
        <x:f>$C10*E$3</x:f>
        <x:v>1000</x:v>
      </x:c>
      <x:c r="G10"/>
      <x:c r="H10"/>
      <x:c r="I10"/>
      <x:c r="J10"/>
      <x:c r="K10"/>
      <x:c r="L10"/>
      <x:c r="M10" s="1"/>
      <x:c r="N10"/>
      <x:c r="O10"/>
      <x:c r="P10" s="1"/>
      <x:c r="Q10"/>
      <x:c r="R10"/>
      <x:c r="S10"/>
      <x:c r="T10"/>
      <x:c r="U10"/>
      <x:c r="V10" s="33" t="n">
        <x:f t="shared" si="0">SUM(L10:U10)/$P$22</x:f>
        <x:v>0</x:v>
      </x:c>
      <x:c r="W10"/>
      <x:c r="X10"/>
      <x:c r="Y10"/>
    </x:row>
    <x:row r="11" s="7" customFormat="1">
      <x:c r="A11" s="34" t="str">
        <x:v>是</x:v>
      </x:c>
      <x:c r="B11" s="1" t="str">
        <x:v>角色升级</x:v>
      </x:c>
      <x:c r="C11" s="1" t="n">
        <x:v>4.8</x:v>
      </x:c>
      <x:c r="D11" s="7" t="n">
        <x:f>$C11*C$3</x:f>
        <x:v>24000</x:v>
      </x:c>
      <x:c r="E11" s="7" t="n">
        <x:f>$C11*D$3</x:f>
        <x:v>7200</x:v>
      </x:c>
      <x:c r="F11" s="7" t="n">
        <x:f>$C11*E$3</x:f>
        <x:v>4800</x:v>
      </x:c>
      <x:c r="G11"/>
      <x:c r="H11"/>
      <x:c r="I11"/>
      <x:c r="J11"/>
      <x:c r="K11"/>
      <x:c r="L11"/>
      <x:c r="M11" s="1"/>
      <x:c r="N11"/>
      <x:c r="O11"/>
      <x:c r="P11" s="1"/>
      <x:c r="Q11"/>
      <x:c r="R11"/>
      <x:c r="S11"/>
      <x:c r="T11"/>
      <x:c r="U11"/>
      <x:c r="V11" s="33" t="n">
        <x:f t="shared" si="0">SUM(L11:U11)/$P$22</x:f>
        <x:v>0</x:v>
      </x:c>
      <x:c r="W11"/>
      <x:c r="X11"/>
      <x:c r="Y11"/>
    </x:row>
    <x:row r="12" s="7" customFormat="1">
      <x:c r="A12" s="34" t="str">
        <x:v>是</x:v>
      </x:c>
      <x:c r="B12" s="1" t="str">
        <x:v>角色升阶</x:v>
      </x:c>
      <x:c r="C12" s="1" t="n">
        <x:v>1.2</x:v>
      </x:c>
      <x:c r="D12" s="7" t="n">
        <x:f>$C12*C$3</x:f>
        <x:v>6000</x:v>
      </x:c>
      <x:c r="E12" s="7" t="n">
        <x:f>$C12*D$3</x:f>
        <x:v>1800</x:v>
      </x:c>
      <x:c r="F12" s="7" t="n">
        <x:f>$C12*E$3</x:f>
        <x:v>1200</x:v>
      </x:c>
      <x:c r="G12"/>
      <x:c r="H12"/>
      <x:c r="I12"/>
      <x:c r="J12"/>
      <x:c r="K12"/>
      <x:c r="L12"/>
      <x:c r="M12" s="1"/>
      <x:c r="N12"/>
      <x:c r="O12"/>
      <x:c r="P12" s="1"/>
      <x:c r="Q12"/>
      <x:c r="R12"/>
      <x:c r="S12"/>
      <x:c r="T12"/>
      <x:c r="U12"/>
      <x:c r="V12" s="33" t="n">
        <x:f t="shared" si="0">SUM(L12:U12)/$P$22</x:f>
        <x:v>0</x:v>
      </x:c>
      <x:c r="W12"/>
      <x:c r="X12"/>
      <x:c r="Y12"/>
    </x:row>
    <x:row r="13" s="7" customFormat="1">
      <x:c r="A13" s="34" t="str">
        <x:v>是</x:v>
      </x:c>
      <x:c r="B13" s="35" t="str">
        <x:v>角色星盘</x:v>
      </x:c>
      <x:c r="C13" s="1" t="n">
        <x:v>0</x:v>
      </x:c>
      <x:c r="D13" s="7" t="n">
        <x:f>$C13*C$3</x:f>
        <x:v>0</x:v>
      </x:c>
      <x:c r="E13" s="7" t="n">
        <x:f>$C13*D$3</x:f>
        <x:v>0</x:v>
      </x:c>
      <x:c r="F13" s="7" t="n">
        <x:f>$C13*E$3</x:f>
        <x:v>0</x:v>
      </x:c>
      <x:c r="G13" s="7" t="n">
        <x:v>0</x:v>
      </x:c>
      <x:c r="H13" s="7" t="n">
        <x:v>0</x:v>
      </x:c>
      <x:c r="I13" s="7" t="n">
        <x:v>0</x:v>
      </x:c>
      <x:c r="J13" s="36" t="n">
        <x:v>0</x:v>
      </x:c>
      <x:c r="K13" s="36" t="n">
        <x:v>0</x:v>
      </x:c>
      <x:c r="L13" s="36" t="n">
        <x:v>0</x:v>
      </x:c>
      <x:c r="M13" s="1" t="n">
        <x:v>0</x:v>
      </x:c>
      <x:c r="N13"/>
      <x:c r="O13"/>
      <x:c r="P13" s="37" t="n">
        <x:v>1.8</x:v>
      </x:c>
      <x:c r="Q13"/>
      <x:c r="R13"/>
      <x:c r="S13"/>
      <x:c r="T13"/>
      <x:c r="U13"/>
      <x:c r="V13" s="33" t="n">
        <x:f t="shared" si="0">SUM(L13:U13)/$P$22</x:f>
        <x:v>0.09</x:v>
      </x:c>
      <x:c r="W13"/>
      <x:c r="X13"/>
      <x:c r="Y13"/>
    </x:row>
    <x:row r="14" s="7" customFormat="1">
      <x:c r="A14" s="1" t="str">
        <x:v>否</x:v>
      </x:c>
      <x:c r="B14" s="1" t="str">
        <x:v>角色升星</x:v>
      </x:c>
      <x:c r="C14"/>
      <x:c r="D14"/>
      <x:c r="E14"/>
      <x:c r="F14"/>
      <x:c r="G14" s="36" t="n">
        <x:v>0.9</x:v>
      </x:c>
      <x:c r="H14" s="36" t="n">
        <x:v>0.9</x:v>
      </x:c>
      <x:c r="I14" s="36" t="n">
        <x:v>0.9</x:v>
      </x:c>
      <x:c r="J14" s="36" t="n">
        <x:v>0</x:v>
      </x:c>
      <x:c r="K14" s="36" t="n">
        <x:v>0</x:v>
      </x:c>
      <x:c r="L14" s="36" t="n">
        <x:v>0</x:v>
      </x:c>
      <x:c r="M14" s="1" t="n">
        <x:v>0</x:v>
      </x:c>
      <x:c r="N14"/>
      <x:c r="O14"/>
      <x:c r="P14" s="37" t="n">
        <x:v>0.6</x:v>
      </x:c>
      <x:c r="Q14"/>
      <x:c r="R14"/>
      <x:c r="S14" s="37"/>
      <x:c r="T14"/>
      <x:c r="U14"/>
      <x:c r="V14" s="33" t="n">
        <x:f t="shared" si="0">SUM(L14:U14)/$P$22</x:f>
        <x:v>0.03</x:v>
      </x:c>
      <x:c r="W14"/>
      <x:c r="X14"/>
      <x:c r="Y14"/>
    </x:row>
    <x:row r="15" s="7" customFormat="1">
      <x:c r="A15" s="1" t="str">
        <x:v>否</x:v>
      </x:c>
      <x:c r="B15" s="1" t="str">
        <x:v>收容物</x:v>
      </x:c>
      <x:c r="C15" s="1" t="n">
        <x:v>8</x:v>
      </x:c>
      <x:c r="D15" s="7" t="n">
        <x:f t="shared" ref="D15:D20" si="1">$C15*C$3</x:f>
        <x:v>40000</x:v>
      </x:c>
      <x:c r="E15" s="7" t="n">
        <x:f t="shared" ref="E15:E20" si="2">$C15*D$3</x:f>
        <x:v>12000</x:v>
      </x:c>
      <x:c r="F15" s="7" t="n">
        <x:f t="shared" ref="F15:F20" si="3">$C15*E$3</x:f>
        <x:v>8000</x:v>
      </x:c>
      <x:c r="G15" s="7" t="n">
        <x:v>0</x:v>
      </x:c>
      <x:c r="H15" s="7" t="n">
        <x:v>0</x:v>
      </x:c>
      <x:c r="I15" s="7" t="n">
        <x:v>0</x:v>
      </x:c>
      <x:c r="J15" s="7" t="n">
        <x:v>0</x:v>
      </x:c>
      <x:c r="K15" s="7" t="n">
        <x:v>0</x:v>
      </x:c>
      <x:c r="L15" s="7" t="n">
        <x:v>0</x:v>
      </x:c>
      <x:c r="M15" s="1" t="n">
        <x:v>0</x:v>
      </x:c>
      <x:c r="N15"/>
      <x:c r="O15"/>
      <x:c r="P15" s="37" t="n">
        <x:v>1.2</x:v>
      </x:c>
      <x:c r="Q15"/>
      <x:c r="R15"/>
      <x:c r="S15"/>
      <x:c r="T15"/>
      <x:c r="U15"/>
      <x:c r="V15" s="33" t="n">
        <x:f t="shared" si="0">SUM(L15:U15)/$P$22</x:f>
        <x:v>0.06</x:v>
      </x:c>
      <x:c r="W15"/>
      <x:c r="X15"/>
      <x:c r="Y15"/>
    </x:row>
    <x:row r="16" s="7" customFormat="1">
      <x:c r="A16" s="1" t="str">
        <x:v>否</x:v>
      </x:c>
      <x:c r="B16" s="1" t="str">
        <x:v>旅券</x:v>
      </x:c>
      <x:c r="C16" s="1" t="n">
        <x:v>6</x:v>
      </x:c>
      <x:c r="D16" s="7" t="n">
        <x:f t="shared" si="1">$C16*C$3</x:f>
        <x:v>30000</x:v>
      </x:c>
      <x:c r="E16" s="7" t="n">
        <x:f t="shared" si="2">$C16*D$3</x:f>
        <x:v>9000</x:v>
      </x:c>
      <x:c r="F16" s="7" t="n">
        <x:f t="shared" si="3">$C16*E$3</x:f>
        <x:v>6000</x:v>
      </x:c>
      <x:c r="G16" s="7" t="n">
        <x:v>0</x:v>
      </x:c>
      <x:c r="H16" s="7" t="n">
        <x:v>0</x:v>
      </x:c>
      <x:c r="I16" s="7" t="n">
        <x:v>0</x:v>
      </x:c>
      <x:c r="J16" s="7" t="n">
        <x:v>0</x:v>
      </x:c>
      <x:c r="K16" s="7" t="n">
        <x:v>0</x:v>
      </x:c>
      <x:c r="L16" s="7" t="n">
        <x:v>0</x:v>
      </x:c>
      <x:c r="M16" s="1" t="n">
        <x:v>0</x:v>
      </x:c>
      <x:c r="N16"/>
      <x:c r="O16"/>
      <x:c r="P16" s="37" t="n">
        <x:v>4.2</x:v>
      </x:c>
      <x:c r="Q16"/>
      <x:c r="R16"/>
      <x:c r="S16"/>
      <x:c r="T16"/>
      <x:c r="U16"/>
      <x:c r="V16" s="33" t="n">
        <x:f t="shared" si="0">SUM(L16:U16)/$P$22</x:f>
        <x:v>0.21000000000000002</x:v>
      </x:c>
      <x:c r="W16"/>
      <x:c r="X16"/>
      <x:c r="Y16"/>
    </x:row>
    <x:row r="17" s="7" customFormat="1">
      <x:c r="A17" s="1" t="str">
        <x:v>否</x:v>
      </x:c>
      <x:c r="B17" s="1" t="str">
        <x:v>映射装备</x:v>
      </x:c>
      <x:c r="C17" s="1" t="n">
        <x:v>10</x:v>
      </x:c>
      <x:c r="D17" s="7" t="n">
        <x:f t="shared" si="1">$C17*C$3</x:f>
        <x:v>50000</x:v>
      </x:c>
      <x:c r="E17" s="7" t="n">
        <x:f t="shared" si="2">$C17*D$3</x:f>
        <x:v>15000</x:v>
      </x:c>
      <x:c r="F17" s="7" t="n">
        <x:f t="shared" si="3">$C17*E$3</x:f>
        <x:v>10000</x:v>
      </x:c>
      <x:c r="G17" s="7" t="n">
        <x:v>0</x:v>
      </x:c>
      <x:c r="H17" s="7" t="n">
        <x:v>0</x:v>
      </x:c>
      <x:c r="I17" s="7" t="n">
        <x:v>0</x:v>
      </x:c>
      <x:c r="J17" s="36" t="n">
        <x:v>1.2</x:v>
      </x:c>
      <x:c r="K17" s="36" t="n">
        <x:v>1.2</x:v>
      </x:c>
      <x:c r="L17" s="36" t="n">
        <x:v>1.2</x:v>
      </x:c>
      <x:c r="M17" s="37" t="n">
        <x:v>1.6</x:v>
      </x:c>
      <x:c r="N17"/>
      <x:c r="O17"/>
      <x:c r="P17" s="37" t="n">
        <x:v>8.2</x:v>
      </x:c>
      <x:c r="Q17"/>
      <x:c r="R17"/>
      <x:c r="S17" s="37"/>
      <x:c r="T17"/>
      <x:c r="U17"/>
      <x:c r="V17" s="33" t="n">
        <x:f t="shared" si="0">SUM(L17:U17)/$P$22</x:f>
        <x:v>0.55</x:v>
      </x:c>
      <x:c r="W17"/>
      <x:c r="X17"/>
      <x:c r="Y17"/>
    </x:row>
    <x:row r="18" s="7" customFormat="1">
      <x:c r="A18" s="1" t="str">
        <x:v>否</x:v>
      </x:c>
      <x:c r="B18" s="1" t="str">
        <x:v>房车升级</x:v>
      </x:c>
      <x:c r="C18" s="1" t="n">
        <x:v>5</x:v>
      </x:c>
      <x:c r="D18" s="7" t="n">
        <x:f t="shared" si="1">$C18*C$3</x:f>
        <x:v>25000</x:v>
      </x:c>
      <x:c r="E18" s="7" t="n">
        <x:f t="shared" si="2">$C18*D$3</x:f>
        <x:v>7500</x:v>
      </x:c>
      <x:c r="F18" s="7" t="n">
        <x:f t="shared" si="3">$C18*E$3</x:f>
        <x:v>5000</x:v>
      </x:c>
      <x:c r="G18" s="7" t="n">
        <x:v>0</x:v>
      </x:c>
      <x:c r="H18" s="7" t="n">
        <x:v>0</x:v>
      </x:c>
      <x:c r="I18" s="7" t="n">
        <x:v>0</x:v>
      </x:c>
      <x:c r="J18" s="36" t="n">
        <x:v>0</x:v>
      </x:c>
      <x:c r="K18" s="36" t="n">
        <x:v>0</x:v>
      </x:c>
      <x:c r="L18" s="36" t="n">
        <x:v>0</x:v>
      </x:c>
      <x:c r="M18" s="37" t="n">
        <x:v>0</x:v>
      </x:c>
      <x:c r="N18"/>
      <x:c r="O18"/>
      <x:c r="P18" s="37" t="n">
        <x:v>0</x:v>
      </x:c>
      <x:c r="Q18"/>
      <x:c r="R18"/>
      <x:c r="S18" s="37"/>
      <x:c r="T18"/>
      <x:c r="U18"/>
      <x:c r="V18" s="33" t="n">
        <x:f t="shared" si="0">SUM(L18:U18)/$P$22</x:f>
        <x:v>0</x:v>
      </x:c>
      <x:c r="W18"/>
      <x:c r="X18"/>
      <x:c r="Y18"/>
    </x:row>
    <x:row r="19" s="7" customFormat="1">
      <x:c r="A19" s="1" t="str">
        <x:v>否</x:v>
      </x:c>
      <x:c r="B19" s="1" t="str">
        <x:v>房车天赋树</x:v>
      </x:c>
      <x:c r="C19" s="1" t="n">
        <x:v>2</x:v>
      </x:c>
      <x:c r="D19" s="7" t="n">
        <x:f t="shared" si="1">$C19*C$3</x:f>
        <x:v>10000</x:v>
      </x:c>
      <x:c r="E19" s="7" t="n">
        <x:f t="shared" si="2">$C19*D$3</x:f>
        <x:v>3000</x:v>
      </x:c>
      <x:c r="F19" s="7" t="n">
        <x:f t="shared" si="3">$C19*E$3</x:f>
        <x:v>2000</x:v>
      </x:c>
      <x:c r="G19" s="7" t="n">
        <x:v>0</x:v>
      </x:c>
      <x:c r="H19" s="7" t="n">
        <x:v>0</x:v>
      </x:c>
      <x:c r="I19" s="7" t="n">
        <x:v>0</x:v>
      </x:c>
      <x:c r="J19" s="36" t="n">
        <x:v>0</x:v>
      </x:c>
      <x:c r="K19" s="36" t="n">
        <x:v>0</x:v>
      </x:c>
      <x:c r="L19" s="36" t="n">
        <x:v>0</x:v>
      </x:c>
      <x:c r="M19" s="37" t="n">
        <x:v>0</x:v>
      </x:c>
      <x:c r="N19"/>
      <x:c r="O19"/>
      <x:c r="P19" s="37" t="n">
        <x:v>3</x:v>
      </x:c>
      <x:c r="Q19"/>
      <x:c r="R19"/>
      <x:c r="S19" s="37"/>
      <x:c r="T19"/>
      <x:c r="U19"/>
      <x:c r="V19" s="33" t="n">
        <x:f t="shared" si="0">SUM(L19:U19)/$P$22</x:f>
        <x:v>0.15</x:v>
      </x:c>
      <x:c r="W19"/>
      <x:c r="X19"/>
      <x:c r="Y19"/>
    </x:row>
    <x:row r="20" s="7" customFormat="1">
      <x:c r="A20" s="1" t="str">
        <x:v>否</x:v>
      </x:c>
      <x:c r="B20" s="1" t="str">
        <x:v>公会天赋树</x:v>
      </x:c>
      <x:c r="C20" s="1" t="n">
        <x:v>1</x:v>
      </x:c>
      <x:c r="D20" s="7" t="n">
        <x:f t="shared" si="1">$C20*C$3</x:f>
        <x:v>5000</x:v>
      </x:c>
      <x:c r="E20" s="7" t="n">
        <x:f t="shared" si="2">$C20*D$3</x:f>
        <x:v>1500</x:v>
      </x:c>
      <x:c r="F20" s="7" t="n">
        <x:f t="shared" si="3">$C20*E$3</x:f>
        <x:v>1000</x:v>
      </x:c>
      <x:c r="G20" s="7" t="n">
        <x:v>0</x:v>
      </x:c>
      <x:c r="H20" s="7" t="n">
        <x:v>0</x:v>
      </x:c>
      <x:c r="I20" s="7" t="n">
        <x:v>0</x:v>
      </x:c>
      <x:c r="J20" s="36" t="n">
        <x:v>0</x:v>
      </x:c>
      <x:c r="K20" s="36" t="n">
        <x:v>0</x:v>
      </x:c>
      <x:c r="L20" s="36" t="n">
        <x:v>0</x:v>
      </x:c>
      <x:c r="M20" s="37" t="n">
        <x:v>0</x:v>
      </x:c>
      <x:c r="N20"/>
      <x:c r="O20"/>
      <x:c r="P20" s="37" t="n">
        <x:v>1</x:v>
      </x:c>
      <x:c r="Q20"/>
      <x:c r="R20"/>
      <x:c r="S20" s="34"/>
      <x:c r="T20"/>
      <x:c r="U20"/>
      <x:c r="V20" s="33" t="n">
        <x:f t="shared" si="0">SUM(L20:U20)/$P$22</x:f>
        <x:v>0.05</x:v>
      </x:c>
      <x:c r="W20"/>
      <x:c r="X20"/>
      <x:c r="Y20" s="2"/>
    </x:row>
    <x:row r="21" s="7" customFormat="1">
      <x:c r="A21"/>
      <x:c r="B21"/>
      <x:c r="C21"/>
      <x:c r="D21"/>
      <x:c r="E21"/>
      <x:c r="F21"/>
      <x:c r="G21"/>
      <x:c r="H21"/>
      <x:c r="I21"/>
      <x:c r="J21" s="34"/>
      <x:c r="K21"/>
      <x:c r="L21"/>
      <x:c r="M21" s="34"/>
      <x:c r="N21"/>
      <x:c r="O21"/>
      <x:c r="P21" s="34"/>
      <x:c r="Q21"/>
      <x:c r="R21"/>
      <x:c r="S21" s="34"/>
      <x:c r="T21"/>
      <x:c r="U21"/>
      <x:c r="V21" s="1"/>
      <x:c r="W21"/>
      <x:c r="X21"/>
      <x:c r="Y21"/>
    </x:row>
    <x:row r="22" s="7" customFormat="1">
      <x:c r="A22"/>
      <x:c r="B22"/>
      <x:c r="C22"/>
      <x:c r="D22"/>
      <x:c r="E22"/>
      <x:c r="F22"/>
      <x:c r="G22"/>
      <x:c r="H22"/>
      <x:c r="I22"/>
      <x:c r="J22" s="34" t="n">
        <x:f>SUM(J10:J20)</x:f>
        <x:v>1.2</x:v>
      </x:c>
      <x:c r="K22"/>
      <x:c r="L22"/>
      <x:c r="M22" s="34" t="n">
        <x:f>SUM(M10:O20)</x:f>
        <x:v>1.6</x:v>
      </x:c>
      <x:c r="N22"/>
      <x:c r="O22"/>
      <x:c r="P22" s="34" t="n">
        <x:f>SUM(P10:R20)</x:f>
        <x:v>20</x:v>
      </x:c>
      <x:c r="Q22"/>
      <x:c r="R22"/>
      <x:c r="S22" s="34"/>
      <x:c r="T22"/>
      <x:c r="U22"/>
      <x:c r="V22" s="1"/>
      <x:c r="W22"/>
      <x:c r="X22"/>
      <x:c r="Y22"/>
    </x:row>
    <x:row r="23" s="7" customForma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</x:row>
    <x:row r="24" s="7" customFormat="1">
      <x:c r="A24"/>
      <x:c r="B24"/>
      <x:c r="C24"/>
      <x:c r="D24"/>
      <x:c r="E24"/>
      <x:c r="F24" s="7" t="str">
        <x:v>总普通投放</x:v>
      </x:c>
      <x:c r="G24" s="38" t="n">
        <x:f>J22+M22+P22</x:f>
        <x:v>22.8</x:v>
      </x:c>
      <x:c r="H24"/>
      <x:c r="I24" s="7" t="str">
        <x:v>总稀有投放</x:v>
      </x:c>
      <x:c r="J24" s="38" t="n">
        <x:f>S22</x:f>
        <x:v>0</x:v>
      </x:c>
      <x:c r="K24"/>
      <x:c r="L24" s="7" t="str">
        <x:v>总二级投放</x:v>
      </x:c>
      <x:c r="M24" s="38" t="n">
        <x:f>J24+G24</x:f>
        <x:v>22.8</x:v>
      </x:c>
      <x:c r="N24"/>
      <x:c r="O24"/>
      <x:c r="P24"/>
      <x:c r="Q24"/>
      <x:c r="R24"/>
      <x:c r="S24"/>
      <x:c r="T24"/>
      <x:c r="U24"/>
      <x:c r="V24"/>
      <x:c r="W24"/>
      <x:c r="X24"/>
      <x:c r="Y24"/>
    </x:row>
    <x:row r="25" s="7" customFormat="1">
      <x:c r="A25"/>
      <x:c r="B25"/>
      <x:c r="C25"/>
      <x:c r="D25"/>
      <x:c r="E25"/>
      <x:c r="F25" s="7" t="str">
        <x:v>（以攻击力%为基准）</x:v>
      </x:c>
      <x:c r="G25"/>
      <x:c r="H25"/>
      <x:c r="I25"/>
      <x:c r="J25"/>
      <x:c r="K25" s="7" t="str">
        <x:v>预计投放攻击、防御百分比</x:v>
      </x:c>
      <x:c r="L25"/>
      <x:c r="M25" s="7" t="n">
        <x:f>M24/6</x:f>
        <x:v>3.8000000000000003</x:v>
      </x:c>
      <x:c r="N25"/>
      <x:c r="O25"/>
      <x:c r="P25"/>
      <x:c r="Q25"/>
      <x:c r="R25"/>
      <x:c r="S25"/>
      <x:c r="T25"/>
      <x:c r="U25"/>
      <x:c r="V25"/>
      <x:c r="W25"/>
      <x:c r="X25"/>
      <x:c r="Y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</x:row>
    <x:row r="27" ht="21" customHeight="1">
      <x:c r="A27"/>
      <x:c r="B27" s="32" t="str">
        <x:v>属性解释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</x:row>
    <x:row r="28">
      <x:c r="A28"/>
      <x:c r="B28" s="7" t="str">
        <x:v>基础属性</x:v>
      </x:c>
      <x:c r="C28" s="29" t="str">
        <x:v>攻击、防御、辅助</x:v>
      </x:c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</x:row>
    <x:row r="29">
      <x:c r="A29"/>
      <x:c r="B29" s="29" t="str">
        <x:v>裸体属性</x:v>
      </x:c>
      <x:c r="C29" s="29" t="str">
        <x:v>基础属性分为裸体属性和非裸体属性，裸体属性可以被基础属性百分比加成，非裸体属性则不行</x:v>
      </x:c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</x:row>
    <x:row r="30">
      <x:c r="A30"/>
      <x:c r="B30" s="29" t="str">
        <x:v>最终基础属性%</x:v>
      </x:c>
      <x:c r="C30" s="29" t="str">
        <x:v>裸体属性的额外百分比属性，和基础属性百分比相比是另一个额外乘区，非裸体属性也不能被最终基础属性%加成</x:v>
      </x:c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</x:row>
    <x:row r="31">
      <x:c r="A31"/>
      <x:c r="B31" s="29" t="str">
        <x:v>全部基础属性%</x:v>
      </x:c>
      <x:c r="C31" s="29" t="str">
        <x:v>预计投放的固定的基础属性百分比</x:v>
      </x:c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</x:row>
    <x:row r="32">
      <x:c r="A32"/>
      <x:c r="B32" s="29" t="str">
        <x:v>偏向全部二级属性</x:v>
      </x:c>
      <x:c r="C32" s="29" t="str">
        <x:v>所有二级属性，不包括基础属性百分比</x:v>
      </x:c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</x:row>
    <x:row r="33">
      <x:c r="A33"/>
      <x:c r="B33" s="29" t="str">
        <x:v>偏向基础属性%+二级属性</x:v>
      </x:c>
      <x:c r="C33" s="29" t="str">
        <x:v>所有二级属性+基础属性%，具体见属性定价</x:v>
      </x:c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</x:row>
  </x:sheetData>
  <x:mergeCells>
    <x:mergeCell ref="M8:O8"/>
    <x:mergeCell ref="P8:R8"/>
    <x:mergeCell ref="S8:U8"/>
    <x:mergeCell ref="V8:X8"/>
    <x:mergeCell ref="M9:O9"/>
    <x:mergeCell ref="V9:X9"/>
    <x:mergeCell ref="M10:O10"/>
    <x:mergeCell ref="P10:R10"/>
    <x:mergeCell ref="V10:X10"/>
    <x:mergeCell ref="M11:O11"/>
    <x:mergeCell ref="P11:R11"/>
    <x:mergeCell ref="V11:X11"/>
    <x:mergeCell ref="M12:O12"/>
    <x:mergeCell ref="P12:R12"/>
    <x:mergeCell ref="V12:X12"/>
    <x:mergeCell ref="M13:O13"/>
    <x:mergeCell ref="P13:R13"/>
    <x:mergeCell ref="V13:X13"/>
    <x:mergeCell ref="M14:O14"/>
    <x:mergeCell ref="P14:R14"/>
    <x:mergeCell ref="S14:U14"/>
    <x:mergeCell ref="V14:X14"/>
    <x:mergeCell ref="M15:O15"/>
    <x:mergeCell ref="P15:R15"/>
    <x:mergeCell ref="V15:X15"/>
    <x:mergeCell ref="M16:O16"/>
    <x:mergeCell ref="P16:R16"/>
    <x:mergeCell ref="V16:X16"/>
    <x:mergeCell ref="M17:O17"/>
    <x:mergeCell ref="P17:R17"/>
    <x:mergeCell ref="S17:U17"/>
    <x:mergeCell ref="V17:X17"/>
    <x:mergeCell ref="M18:O18"/>
    <x:mergeCell ref="P18:R18"/>
    <x:mergeCell ref="S18:U18"/>
    <x:mergeCell ref="V18:X18"/>
    <x:mergeCell ref="M19:O19"/>
    <x:mergeCell ref="P19:R19"/>
    <x:mergeCell ref="S19:U19"/>
    <x:mergeCell ref="V19:X19"/>
    <x:mergeCell ref="M20:O20"/>
    <x:mergeCell ref="P20:R20"/>
    <x:mergeCell ref="V20:X20"/>
    <x:mergeCell ref="J22:L22"/>
    <x:mergeCell ref="M22:O22"/>
    <x:mergeCell ref="P22:R22"/>
    <x:mergeCell ref="S22:U22"/>
    <x:mergeCell ref="V22:X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5"/>
  <x:cols>
    <x:col min="1" max="1" width="9" style="7" customWidth="1"/>
    <x:col min="2" max="2" width="16.133333206176758" style="7" customWidth="1"/>
    <x:col min="3" max="3" width="13.366666793823242" style="7" customWidth="1"/>
    <x:col min="4" max="7" width="13.5" style="7" customWidth="1"/>
    <x:col min="8" max="8" width="13.133333206176758" style="7" customWidth="1"/>
    <x:col min="9" max="10" width="15" style="7" customWidth="1"/>
    <x:col min="11" max="14" width="10.866666793823242" style="7" customWidth="1"/>
    <x:col min="15" max="15" width="15" style="7" customWidth="1"/>
    <x:col min="16" max="16" width="10.866666793823242" style="7" customWidth="1"/>
    <x:col min="17" max="17" width="15" style="7" customWidth="1"/>
    <x:col min="18" max="18" width="14.866666793823242" style="7" customWidth="1"/>
    <x:col min="19" max="19" width="15" style="7" customWidth="1"/>
    <x:col min="20" max="20" width="12.866666793823242" style="7" customWidth="1"/>
    <x:col min="21" max="21" width="15" style="7" customWidth="1"/>
    <x:col min="22" max="23" width="10.866666793823242" style="7" customWidth="1"/>
    <x:col min="24" max="24" width="15" style="7" customWidth="1"/>
    <x:col min="25" max="25" width="19.133333206176758" style="7" customWidth="1"/>
    <x:col min="26" max="26" width="15" style="7" customWidth="1"/>
    <x:col min="27" max="27" width="15.633333206176758" style="7" customWidth="1"/>
    <x:col min="28" max="29" width="15" style="7" customWidth="1"/>
    <x:col min="30" max="16384" width="9" style="7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</x:row>
    <x:row r="2" ht="15" customHeight="1">
      <x:c r="A2"/>
      <x:c r="B2" s="24" t="str">
        <x:v>职业</x:v>
      </x:c>
      <x:c r="C2" s="24" t="str">
        <x:v>生命</x:v>
      </x:c>
      <x:c r="D2" s="24" t="str">
        <x:v>攻击</x:v>
      </x:c>
      <x:c r="E2" s="24" t="str">
        <x:v>防御</x:v>
      </x:c>
      <x:c r="F2"/>
      <x:c r="G2"/>
      <x:c r="H2"/>
      <x:c r="I2" s="24" t="str">
        <x:v>属性总和</x:v>
      </x:c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</x:row>
    <x:row r="3">
      <x:c r="A3"/>
      <x:c r="B3" s="1" t="str">
        <x:v>坦克（输出）</x:v>
      </x:c>
      <x:c r="C3" s="4" t="n">
        <x:v>1.2</x:v>
      </x:c>
      <x:c r="D3" s="4" t="n">
        <x:v>0.7</x:v>
      </x:c>
      <x:c r="E3" s="4" t="n">
        <x:v>1.1</x:v>
      </x:c>
      <x:c r="F3"/>
      <x:c r="G3"/>
      <x:c r="H3"/>
      <x:c r="I3" s="7" t="n">
        <x:f t="shared" ref="I3:I11" si="0">SUM(C3:E3)</x:f>
        <x:v>3</x:v>
      </x:c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</x:row>
    <x:row r="4">
      <x:c r="A4"/>
      <x:c r="B4" s="1" t="str">
        <x:v>坦克（生命）</x:v>
      </x:c>
      <x:c r="C4" s="4" t="n">
        <x:v>1.4</x:v>
      </x:c>
      <x:c r="D4" s="4" t="n">
        <x:v>0.6</x:v>
      </x:c>
      <x:c r="E4" s="4" t="n">
        <x:v>1</x:v>
      </x:c>
      <x:c r="F4"/>
      <x:c r="G4"/>
      <x:c r="H4"/>
      <x:c r="I4" s="7" t="n">
        <x:f t="shared" si="0">SUM(C4:E4)</x:f>
        <x:v>3</x:v>
      </x:c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</x:row>
    <x:row r="5">
      <x:c r="A5"/>
      <x:c r="B5" s="1" t="str">
        <x:v>坦克（防御）</x:v>
      </x:c>
      <x:c r="C5" s="4" t="n">
        <x:v>1.2</x:v>
      </x:c>
      <x:c r="D5" s="4" t="n">
        <x:v>0.6</x:v>
      </x:c>
      <x:c r="E5" s="4" t="n">
        <x:v>1.2</x:v>
      </x:c>
      <x:c r="F5"/>
      <x:c r="G5"/>
      <x:c r="H5"/>
      <x:c r="I5" s="7" t="n">
        <x:f t="shared" si="0">SUM(C5:E5)</x:f>
        <x:v>3</x:v>
      </x:c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</x:row>
    <x:row r="6">
      <x:c r="A6"/>
      <x:c r="B6" s="1" t="str">
        <x:v>输出（射手）</x:v>
      </x:c>
      <x:c r="C6" s="4" t="n">
        <x:v>0.9</x:v>
      </x:c>
      <x:c r="D6" s="4" t="n">
        <x:v>1.1</x:v>
      </x:c>
      <x:c r="E6" s="4" t="n">
        <x:v>1</x:v>
      </x:c>
      <x:c r="F6"/>
      <x:c r="G6"/>
      <x:c r="H6"/>
      <x:c r="I6" s="7" t="n">
        <x:f t="shared" si="0">SUM(C6:E6)</x:f>
        <x:v>3</x:v>
      </x:c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</x:row>
    <x:row r="7">
      <x:c r="A7"/>
      <x:c r="B7" s="1" t="str">
        <x:v>输出（战士）</x:v>
      </x:c>
      <x:c r="C7" s="4" t="n">
        <x:v>1.05</x:v>
      </x:c>
      <x:c r="D7" s="4" t="n">
        <x:v>0.95</x:v>
      </x:c>
      <x:c r="E7" s="4" t="n">
        <x:v>1</x:v>
      </x:c>
      <x:c r="F7"/>
      <x:c r="G7"/>
      <x:c r="H7"/>
      <x:c r="I7" s="7" t="n">
        <x:f t="shared" si="0">SUM(C7:E7)</x:f>
        <x:v>3</x:v>
      </x:c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</x:row>
    <x:row r="8">
      <x:c r="A8"/>
      <x:c r="B8" s="1" t="str">
        <x:v>输出（法师）</x:v>
      </x:c>
      <x:c r="C8" s="4" t="n">
        <x:v>0.8</x:v>
      </x:c>
      <x:c r="D8" s="4" t="n">
        <x:v>1.2</x:v>
      </x:c>
      <x:c r="E8" s="4" t="n">
        <x:v>1</x:v>
      </x:c>
      <x:c r="F8"/>
      <x:c r="G8"/>
      <x:c r="H8"/>
      <x:c r="I8" s="7" t="n">
        <x:f t="shared" si="0">SUM(C8:E8)</x:f>
        <x:v>3</x:v>
      </x:c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</x:row>
    <x:row r="9">
      <x:c r="A9"/>
      <x:c r="B9" s="1" t="str">
        <x:v>辅助（均衡）</x:v>
      </x:c>
      <x:c r="C9" s="4" t="n">
        <x:v>1.1</x:v>
      </x:c>
      <x:c r="D9" s="4" t="n">
        <x:v>0.85</x:v>
      </x:c>
      <x:c r="E9" s="4" t="n">
        <x:v>1.05</x:v>
      </x:c>
      <x:c r="F9"/>
      <x:c r="G9"/>
      <x:c r="H9"/>
      <x:c r="I9" s="7" t="n">
        <x:f t="shared" si="0">SUM(C9:E9)</x:f>
        <x:v>3</x:v>
      </x:c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</x:row>
    <x:row r="10">
      <x:c r="A10"/>
      <x:c r="B10" s="1" t="str">
        <x:v>辅助（攻击）</x:v>
      </x:c>
      <x:c r="C10" s="4" t="n">
        <x:v>1</x:v>
      </x:c>
      <x:c r="D10" s="4" t="n">
        <x:v>0.9</x:v>
      </x:c>
      <x:c r="E10" s="4" t="n">
        <x:v>1.1</x:v>
      </x:c>
      <x:c r="F10"/>
      <x:c r="G10"/>
      <x:c r="H10"/>
      <x:c r="I10" s="7" t="n">
        <x:f t="shared" si="0">SUM(C10:E10)</x:f>
        <x:v>3</x:v>
      </x:c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</x:row>
    <x:row r="11">
      <x:c r="A11"/>
      <x:c r="B11" s="1" t="str">
        <x:v>辅助（生命）</x:v>
      </x:c>
      <x:c r="C11" s="4" t="n">
        <x:v>1.2</x:v>
      </x:c>
      <x:c r="D11" s="4" t="n">
        <x:v>0.85</x:v>
      </x:c>
      <x:c r="E11" s="4" t="n">
        <x:v>0.95</x:v>
      </x:c>
      <x:c r="F11"/>
      <x:c r="G11"/>
      <x:c r="H11"/>
      <x:c r="I11" s="7" t="n">
        <x:f t="shared" si="0">SUM(C11:E11)</x:f>
        <x:v>3</x:v>
      </x:c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</x:row>
    <x:row r="12">
      <x:c r="A12"/>
      <x:c r="B12" s="1"/>
      <x:c r="C12" s="1"/>
      <x:c r="D12" s="1"/>
      <x:c r="E12" s="1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</x:row>
    <x:row r="13">
      <x:c r="A13"/>
      <x:c r="B13" s="24" t="str">
        <x:v>伤害类型</x:v>
      </x:c>
      <x:c r="C13" s="24" t="str">
        <x:v>品质属性比</x:v>
      </x:c>
      <x:c r="D13"/>
      <x:c r="E13" s="1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</x:row>
    <x:row r="14">
      <x:c r="A14"/>
      <x:c r="B14" s="18" t="str">
        <x:v>SSR</x:v>
      </x:c>
      <x:c r="C14" s="19" t="n">
        <x:v>1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</x:row>
    <x:row r="15">
      <x:c r="A15"/>
      <x:c r="B15" s="20" t="str">
        <x:v>SR</x:v>
      </x:c>
      <x:c r="C15" s="19" t="n">
        <x:v>0.8</x:v>
      </x:c>
      <x:c r="D15"/>
      <x:c r="E15" s="1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</x:row>
    <x:row r="16">
      <x:c r="A16"/>
      <x:c r="B16" s="21" t="str">
        <x:v>R</x:v>
      </x:c>
      <x:c r="C16" s="19" t="n">
        <x:v>0.7</x:v>
      </x:c>
      <x:c r="D16"/>
      <x:c r="E16" s="1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</x:row>
    <x:row r="17">
      <x:c r="A17"/>
      <x:c r="B17"/>
      <x:c r="C17"/>
      <x:c r="D17"/>
      <x:c r="E17" s="1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</x:row>
    <x:row r="18">
      <x:c r="A18"/>
      <x:c r="B18" s="24" t="str">
        <x:v>伤害类型</x:v>
      </x:c>
      <x:c r="C18" s="24" t="str">
        <x:v>专武品质属性比</x:v>
      </x:c>
      <x:c r="D18"/>
      <x:c r="E18" s="1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</x:row>
    <x:row r="19">
      <x:c r="A19"/>
      <x:c r="B19" s="18" t="str">
        <x:v>SSR</x:v>
      </x:c>
      <x:c r="C19" s="19" t="n">
        <x:v>1</x:v>
      </x:c>
      <x:c r="D19"/>
      <x:c r="E19" s="1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</x:row>
    <x:row r="20">
      <x:c r="A20"/>
      <x:c r="B20" s="20" t="str">
        <x:v>SR</x:v>
      </x:c>
      <x:c r="C20" s="19" t="n">
        <x:v>0.75</x:v>
      </x:c>
      <x:c r="D20"/>
      <x:c r="E20" s="1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</x:row>
    <x:row r="21">
      <x:c r="A21"/>
      <x:c r="B21" s="21" t="str">
        <x:v>R</x:v>
      </x:c>
      <x:c r="C21" s="19" t="n">
        <x:v>0.5</x:v>
      </x:c>
      <x:c r="D21" s="1"/>
      <x:c r="E21" s="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</x:row>
    <x:row r="22">
      <x:c r="A22"/>
      <x:c r="B22" s="1"/>
      <x:c r="C22" s="1"/>
      <x:c r="D22" s="1"/>
      <x:c r="E22" s="1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</x:row>
    <x:row r="23">
      <x:c r="A23"/>
      <x:c r="B23" s="1"/>
      <x:c r="C23" s="1"/>
      <x:c r="D23" s="1"/>
      <x:c r="E23" s="1"/>
      <x:c r="F23"/>
      <x:c r="G23"/>
      <x:c r="H23"/>
      <x:c r="I23" s="8" t="str">
        <x:v>裸体属性区</x:v>
      </x:c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</x:row>
    <x:row r="24">
      <x:c r="A24"/>
      <x:c r="B24"/>
      <x:c r="C24"/>
      <x:c r="D24"/>
      <x:c r="E24"/>
      <x:c r="F24"/>
      <x:c r="G24"/>
      <x:c r="H24"/>
      <x:c r="I24" s="7" t="str">
        <x:v>只影响裸体属性：包括基础、升级、突破、星盘</x:v>
      </x:c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</x:row>
    <x:row r="25">
      <x:c r="A25"/>
      <x:c r="B25"/>
      <x:c r="C25"/>
      <x:c r="D25"/>
      <x:c r="E25"/>
      <x:c r="F25"/>
      <x:c r="G25"/>
      <x:c r="H25"/>
      <x:c r="I25" s="7" t="str">
        <x:v>（用于微调角色的基础属性）</x:v>
      </x:c>
      <x:c r="J25"/>
      <x:c r="K25"/>
      <x:c r="L25"/>
      <x:c r="M25"/>
      <x:c r="N25"/>
      <x:c r="O25"/>
      <x:c r="P25"/>
      <x:c r="Q25" s="8" t="str">
        <x:v>星盘二级属性</x:v>
      </x:c>
      <x:c r="R25"/>
      <x:c r="S25"/>
      <x:c r="T25" s="8" t="str">
        <x:v>角色专武系数</x:v>
      </x:c>
      <x:c r="U25"/>
      <x:c r="V25"/>
      <x:c r="W25"/>
      <x:c r="X25" s="8" t="str">
        <x:v>角色专武</x:v>
      </x:c>
      <x:c r="Y25"/>
      <x:c r="Z25"/>
      <x:c r="AA25"/>
      <x:c r="AB25" s="8" t="str">
        <x:v>角色升星</x:v>
      </x:c>
      <x:c r="AC25"/>
    </x:row>
    <x:row r="26" ht="15" customHeight="1">
      <x:c r="A26" s="3" t="str">
        <x:v>武将id</x:v>
      </x:c>
      <x:c r="B26" s="3" t="str">
        <x:v>武将名称</x:v>
      </x:c>
      <x:c r="C26" s="3" t="str">
        <x:v>稀有度</x:v>
      </x:c>
      <x:c r="D26" s="3" t="str">
        <x:v>武将职业</x:v>
      </x:c>
      <x:c r="E26"/>
      <x:c r="F26" s="3" t="str">
        <x:v>职业生命比</x:v>
      </x:c>
      <x:c r="G26" s="3" t="str">
        <x:v>职业攻击比</x:v>
      </x:c>
      <x:c r="H26" s="3" t="str">
        <x:v>职业防御比</x:v>
      </x:c>
      <x:c r="I26" s="3" t="str">
        <x:v>调整生命比</x:v>
      </x:c>
      <x:c r="J26" s="3" t="str">
        <x:v>调整攻击比</x:v>
      </x:c>
      <x:c r="K26" s="3" t="str">
        <x:v>调整防御比</x:v>
      </x:c>
      <x:c r="L26" s="3" t="str">
        <x:v>调整比总和</x:v>
      </x:c>
      <x:c r="M26" s="3" t="str">
        <x:v>品质属性比</x:v>
      </x:c>
      <x:c r="N26" s="3" t="str">
        <x:v>最终生命比</x:v>
      </x:c>
      <x:c r="O26" s="3" t="str">
        <x:v>最终攻击比</x:v>
      </x:c>
      <x:c r="P26" s="3" t="str">
        <x:v>最终防御比</x:v>
      </x:c>
      <x:c r="Q26" s="3" t="str">
        <x:v>二级属性1</x:v>
      </x:c>
      <x:c r="R26" s="3" t="str">
        <x:v>二级属性2</x:v>
      </x:c>
      <x:c r="S26" s="3" t="str">
        <x:v>二级属性3</x:v>
      </x:c>
      <x:c r="T26" s="3" t="str">
        <x:v>专武生命比</x:v>
      </x:c>
      <x:c r="U26" s="3" t="str">
        <x:v>专武攻击比</x:v>
      </x:c>
      <x:c r="V26" s="3" t="str">
        <x:v>专武防御比</x:v>
      </x:c>
      <x:c r="W26" s="3" t="str">
        <x:v>品质系数</x:v>
      </x:c>
      <x:c r="X26" s="3" t="str">
        <x:v>专武最终生命比</x:v>
      </x:c>
      <x:c r="Y26" s="3" t="str">
        <x:v>专武最终攻击比</x:v>
      </x:c>
      <x:c r="Z26" s="3" t="str">
        <x:v>专武最终防御比</x:v>
      </x:c>
      <x:c r="AA26" s="3" t="str">
        <x:v>专武二级属性</x:v>
      </x:c>
      <x:c r="AB26" s="3" t="str">
        <x:v>角色升星属性1</x:v>
      </x:c>
      <x:c r="AC26" s="3" t="str">
        <x:v>角色升星属性2</x:v>
      </x:c>
    </x:row>
    <x:row r="27">
      <x:c r="A27" s="25" t="n">
        <x:v>1003</x:v>
      </x:c>
      <x:c r="B27" s="25" t="str">
        <x:v>塔拉夏</x:v>
      </x:c>
      <x:c r="C27" s="18" t="str">
        <x:v>SSR</x:v>
      </x:c>
      <x:c r="D27" s="1" t="str">
        <x:v>坦克（生命）</x:v>
      </x:c>
      <x:c r="E27"/>
      <x:c r="F27" s="7" t="n">
        <x:f t="shared" ref="F27:F64" si="1">VLOOKUP($D27,$B$3:$E$14,COLUMN(E$26)-COLUMN($C$26),0)</x:f>
        <x:v>1.4</x:v>
      </x:c>
      <x:c r="G27" s="7" t="n">
        <x:f t="shared" ref="G27:G64" si="2">VLOOKUP($D27,$B$3:$E$14,COLUMN(F$26)-COLUMN($C$26),0)</x:f>
        <x:v>0.6</x:v>
      </x:c>
      <x:c r="H27" s="7" t="n">
        <x:f t="shared" ref="H27:H64" si="3">VLOOKUP($D27,$B$3:$E$14,COLUMN(G$26)-COLUMN($C$26),0)</x:f>
        <x:v>1</x:v>
      </x:c>
      <x:c r="I27" s="19" t="n">
        <x:v>1.1</x:v>
      </x:c>
      <x:c r="J27" s="19" t="n">
        <x:v>1.02</x:v>
      </x:c>
      <x:c r="K27" s="19" t="n">
        <x:v>0.9</x:v>
      </x:c>
      <x:c r="L27" s="19" t="n">
        <x:f t="shared" ref="L27:L64" si="4">SUM(I27:K27)</x:f>
        <x:v>3.02</x:v>
      </x:c>
      <x:c r="M27" s="7" t="n">
        <x:f t="shared" ref="M27:M64" si="5">VLOOKUP(C27,$B$14:$C$16,2,0)</x:f>
        <x:v>1</x:v>
      </x:c>
      <x:c r="N27" s="7" t="n">
        <x:f t="shared" ref="N27:N64" si="6">I27*F27*$M27</x:f>
        <x:v>1.54</x:v>
      </x:c>
      <x:c r="O27" s="7" t="n">
        <x:f t="shared" ref="O27:O64" si="7">J27*G27*$M27</x:f>
        <x:v>0.612</x:v>
      </x:c>
      <x:c r="P27" s="7" t="n">
        <x:f t="shared" ref="P27:P64" si="8">K27*H27*$M27</x:f>
        <x:v>0.9</x:v>
      </x:c>
      <x:c r="Q27" s="19" t="str">
        <x:v>生命值百分比</x:v>
      </x:c>
      <x:c r="R27" s="19" t="str">
        <x:v>攻击百分比</x:v>
      </x:c>
      <x:c r="S27" s="19" t="str">
        <x:v>技能冷却等级</x:v>
      </x:c>
      <x:c r="T27" s="19" t="n">
        <x:f t="shared" ref="T27:T37" si="9">I27</x:f>
        <x:v>1.1</x:v>
      </x:c>
      <x:c r="U27" s="19" t="n">
        <x:f t="shared" ref="U27:U37" si="10">J27</x:f>
        <x:v>1.02</x:v>
      </x:c>
      <x:c r="V27" s="19" t="n">
        <x:f t="shared" ref="V27:V37" si="11">K27</x:f>
        <x:v>0.9</x:v>
      </x:c>
      <x:c r="W27" s="7" t="n">
        <x:f t="shared" ref="W27:W64" si="12">VLOOKUP(C27,$B$19:$C$21,2,0)</x:f>
        <x:v>1</x:v>
      </x:c>
      <x:c r="X27" s="7" t="n">
        <x:f t="shared" ref="X27:X64" si="13">F27*T27*$W27</x:f>
        <x:v>1.54</x:v>
      </x:c>
      <x:c r="Y27" s="7" t="n">
        <x:f t="shared" ref="Y27:Y64" si="14">G27*U27*$W27</x:f>
        <x:v>0.612</x:v>
      </x:c>
      <x:c r="Z27" s="7" t="n">
        <x:f t="shared" ref="Z27:Z64" si="15">H27*V27*$W27</x:f>
        <x:v>0.9</x:v>
      </x:c>
      <x:c r="AA27" s="19" t="str">
        <x:v>生命值百分比</x:v>
      </x:c>
      <x:c r="AB27" s="19" t="str">
        <x:v>魔法伤害加成</x:v>
      </x:c>
      <x:c r="AC27" s="19" t="str">
        <x:v>暴击等级</x:v>
      </x:c>
    </x:row>
    <x:row r="28">
      <x:c r="A28" s="1" t="n">
        <x:v>1005</x:v>
      </x:c>
      <x:c r="B28" s="1" t="str">
        <x:v>陈单单</x:v>
      </x:c>
      <x:c r="C28" s="18" t="str">
        <x:v>SSR</x:v>
      </x:c>
      <x:c r="D28" s="1" t="str">
        <x:v>输出（射手）</x:v>
      </x:c>
      <x:c r="E28"/>
      <x:c r="F28" s="7" t="n">
        <x:f t="shared" si="1">VLOOKUP($D28,$B$3:$E$14,COLUMN(E$26)-COLUMN($C$26),0)</x:f>
        <x:v>0.9</x:v>
      </x:c>
      <x:c r="G28" s="7" t="n">
        <x:f t="shared" si="2">VLOOKUP($D28,$B$3:$E$14,COLUMN(F$26)-COLUMN($C$26),0)</x:f>
        <x:v>1.1</x:v>
      </x:c>
      <x:c r="H28" s="7" t="n">
        <x:f t="shared" si="3">VLOOKUP($D28,$B$3:$E$14,COLUMN(G$26)-COLUMN($C$26),0)</x:f>
        <x:v>1</x:v>
      </x:c>
      <x:c r="I28" s="19" t="n">
        <x:v>1.05</x:v>
      </x:c>
      <x:c r="J28" s="19" t="n">
        <x:v>1</x:v>
      </x:c>
      <x:c r="K28" s="19" t="n">
        <x:v>1</x:v>
      </x:c>
      <x:c r="L28" s="19" t="n">
        <x:f t="shared" si="4">SUM(I28:K28)</x:f>
        <x:v>3.05</x:v>
      </x:c>
      <x:c r="M28" s="7" t="n">
        <x:f t="shared" si="5">VLOOKUP(C28,$B$14:$C$16,2,0)</x:f>
        <x:v>1</x:v>
      </x:c>
      <x:c r="N28" s="7" t="n">
        <x:f t="shared" si="6">I28*F28*$M28</x:f>
        <x:v>0.9450000000000001</x:v>
      </x:c>
      <x:c r="O28" s="7" t="n">
        <x:f t="shared" si="7">J28*G28*$M28</x:f>
        <x:v>1.1</x:v>
      </x:c>
      <x:c r="P28" s="7" t="n">
        <x:f t="shared" si="8">K28*H28*$M28</x:f>
        <x:v>1</x:v>
      </x:c>
      <x:c r="Q28" s="19" t="str">
        <x:v>攻击百分比</x:v>
      </x:c>
      <x:c r="R28" s="19" t="str">
        <x:v>暴击等级</x:v>
      </x:c>
      <x:c r="S28" s="19" t="str">
        <x:v>暴击伤害等级</x:v>
      </x:c>
      <x:c r="T28" s="19" t="n">
        <x:f t="shared" si="9">I28</x:f>
        <x:v>1.05</x:v>
      </x:c>
      <x:c r="U28" s="19" t="n">
        <x:f t="shared" si="10">J28</x:f>
        <x:v>1</x:v>
      </x:c>
      <x:c r="V28" s="19" t="n">
        <x:f t="shared" si="11">K28</x:f>
        <x:v>1</x:v>
      </x:c>
      <x:c r="W28" s="7" t="n">
        <x:f t="shared" si="12">VLOOKUP(C28,$B$19:$C$21,2,0)</x:f>
        <x:v>1</x:v>
      </x:c>
      <x:c r="X28" s="7" t="n">
        <x:f t="shared" si="13">F28*T28*$W28</x:f>
        <x:v>0.9450000000000001</x:v>
      </x:c>
      <x:c r="Y28" s="7" t="n">
        <x:f t="shared" si="14">G28*U28*$W28</x:f>
        <x:v>1.1</x:v>
      </x:c>
      <x:c r="Z28" s="7" t="n">
        <x:f t="shared" si="15">H28*V28*$W28</x:f>
        <x:v>1</x:v>
      </x:c>
      <x:c r="AA28" s="19" t="str">
        <x:v>技能伤害加成</x:v>
      </x:c>
      <x:c r="AB28" s="19" t="str">
        <x:v>物理伤害加成</x:v>
      </x:c>
      <x:c r="AC28" s="19" t="str">
        <x:v>必杀伤害加成</x:v>
      </x:c>
    </x:row>
    <x:row r="29">
      <x:c r="A29" s="1" t="n">
        <x:v>1006</x:v>
      </x:c>
      <x:c r="B29" s="1" t="str">
        <x:v>莉莉娅</x:v>
      </x:c>
      <x:c r="C29" s="18" t="str">
        <x:v>SSR</x:v>
      </x:c>
      <x:c r="D29" s="1" t="str">
        <x:v>输出（法师）</x:v>
      </x:c>
      <x:c r="E29"/>
      <x:c r="F29" s="7" t="n">
        <x:f t="shared" si="1">VLOOKUP($D29,$B$3:$E$14,COLUMN(E$26)-COLUMN($C$26),0)</x:f>
        <x:v>0.8</x:v>
      </x:c>
      <x:c r="G29" s="7" t="n">
        <x:f t="shared" si="2">VLOOKUP($D29,$B$3:$E$14,COLUMN(F$26)-COLUMN($C$26),0)</x:f>
        <x:v>1.2</x:v>
      </x:c>
      <x:c r="H29" s="7" t="n">
        <x:f t="shared" si="3">VLOOKUP($D29,$B$3:$E$14,COLUMN(G$26)-COLUMN($C$26),0)</x:f>
        <x:v>1</x:v>
      </x:c>
      <x:c r="I29" s="19" t="n">
        <x:v>1</x:v>
      </x:c>
      <x:c r="J29" s="19" t="n">
        <x:v>1.02</x:v>
      </x:c>
      <x:c r="K29" s="19" t="n">
        <x:v>0.98</x:v>
      </x:c>
      <x:c r="L29" s="19" t="n">
        <x:f t="shared" si="4">SUM(I29:K29)</x:f>
        <x:v>3</x:v>
      </x:c>
      <x:c r="M29" s="7" t="n">
        <x:f t="shared" si="5">VLOOKUP(C29,$B$14:$C$16,2,0)</x:f>
        <x:v>1</x:v>
      </x:c>
      <x:c r="N29" s="7" t="n">
        <x:f t="shared" si="6">I29*F29*$M29</x:f>
        <x:v>0.8</x:v>
      </x:c>
      <x:c r="O29" s="7" t="n">
        <x:f t="shared" si="7">J29*G29*$M29</x:f>
        <x:v>1.224</x:v>
      </x:c>
      <x:c r="P29" s="7" t="n">
        <x:f t="shared" si="8">K29*H29*$M29</x:f>
        <x:v>0.98</x:v>
      </x:c>
      <x:c r="Q29" s="19" t="str">
        <x:v>攻击百分比</x:v>
      </x:c>
      <x:c r="R29" s="19" t="str">
        <x:v>技能伤害加成</x:v>
      </x:c>
      <x:c r="S29" s="19" t="str">
        <x:v>技能冷却等级</x:v>
      </x:c>
      <x:c r="T29" s="19" t="n">
        <x:f t="shared" si="9">I29</x:f>
        <x:v>1</x:v>
      </x:c>
      <x:c r="U29" s="19" t="n">
        <x:f t="shared" si="10">J29</x:f>
        <x:v>1.02</x:v>
      </x:c>
      <x:c r="V29" s="19" t="n">
        <x:f t="shared" si="11">K29</x:f>
        <x:v>0.98</x:v>
      </x:c>
      <x:c r="W29" s="7" t="n">
        <x:f t="shared" si="12">VLOOKUP(C29,$B$19:$C$21,2,0)</x:f>
        <x:v>1</x:v>
      </x:c>
      <x:c r="X29" s="7" t="n">
        <x:f t="shared" si="13">F29*T29*$W29</x:f>
        <x:v>0.8</x:v>
      </x:c>
      <x:c r="Y29" s="7" t="n">
        <x:f t="shared" si="14">G29*U29*$W29</x:f>
        <x:v>1.224</x:v>
      </x:c>
      <x:c r="Z29" s="7" t="n">
        <x:f t="shared" si="15">H29*V29*$W29</x:f>
        <x:v>0.98</x:v>
      </x:c>
      <x:c r="AA29" s="19" t="str">
        <x:v>必杀伤害加成</x:v>
      </x:c>
      <x:c r="AB29" s="19" t="str">
        <x:v>物理伤害加成</x:v>
      </x:c>
      <x:c r="AC29" s="19" t="str">
        <x:v>技能伤害加成</x:v>
      </x:c>
    </x:row>
    <x:row r="30">
      <x:c r="A30" s="1" t="n">
        <x:v>1007</x:v>
      </x:c>
      <x:c r="B30" s="1" t="str">
        <x:v>萨萨莉安</x:v>
      </x:c>
      <x:c r="C30" s="18" t="str">
        <x:v>SSR</x:v>
      </x:c>
      <x:c r="D30" s="1" t="str">
        <x:v>辅助（攻击）</x:v>
      </x:c>
      <x:c r="E30"/>
      <x:c r="F30" s="7" t="n">
        <x:f t="shared" si="1">VLOOKUP($D30,$B$3:$E$14,COLUMN(E$26)-COLUMN($C$26),0)</x:f>
        <x:v>1</x:v>
      </x:c>
      <x:c r="G30" s="7" t="n">
        <x:f t="shared" si="2">VLOOKUP($D30,$B$3:$E$14,COLUMN(F$26)-COLUMN($C$26),0)</x:f>
        <x:v>0.9</x:v>
      </x:c>
      <x:c r="H30" s="7" t="n">
        <x:f t="shared" si="3">VLOOKUP($D30,$B$3:$E$14,COLUMN(G$26)-COLUMN($C$26),0)</x:f>
        <x:v>1.1</x:v>
      </x:c>
      <x:c r="I30" s="19" t="n">
        <x:v>0.9</x:v>
      </x:c>
      <x:c r="J30" s="19" t="n">
        <x:v>1</x:v>
      </x:c>
      <x:c r="K30" s="19" t="n">
        <x:v>1</x:v>
      </x:c>
      <x:c r="L30" s="19" t="n">
        <x:f t="shared" si="4">SUM(I30:K30)</x:f>
        <x:v>2.9</x:v>
      </x:c>
      <x:c r="M30" s="7" t="n">
        <x:f t="shared" si="5">VLOOKUP(C30,$B$14:$C$16,2,0)</x:f>
        <x:v>1</x:v>
      </x:c>
      <x:c r="N30" s="7" t="n">
        <x:f t="shared" si="6">I30*F30*$M30</x:f>
        <x:v>0.9</x:v>
      </x:c>
      <x:c r="O30" s="7" t="n">
        <x:f t="shared" si="7">J30*G30*$M30</x:f>
        <x:v>0.9</x:v>
      </x:c>
      <x:c r="P30" s="7" t="n">
        <x:f t="shared" si="8">K30*H30*$M30</x:f>
        <x:v>1.1</x:v>
      </x:c>
      <x:c r="Q30" s="19" t="str">
        <x:v>攻击百分比</x:v>
      </x:c>
      <x:c r="R30" s="19" t="str">
        <x:v>暴击伤害等级</x:v>
      </x:c>
      <x:c r="S30" s="19" t="str">
        <x:v>能量回复等级</x:v>
      </x:c>
      <x:c r="T30" s="19" t="n">
        <x:f t="shared" si="9">I30</x:f>
        <x:v>0.9</x:v>
      </x:c>
      <x:c r="U30" s="19" t="n">
        <x:f t="shared" si="10">J30</x:f>
        <x:v>1</x:v>
      </x:c>
      <x:c r="V30" s="19" t="n">
        <x:f t="shared" si="11">K30</x:f>
        <x:v>1</x:v>
      </x:c>
      <x:c r="W30" s="7" t="n">
        <x:f t="shared" si="12">VLOOKUP(C30,$B$19:$C$21,2,0)</x:f>
        <x:v>1</x:v>
      </x:c>
      <x:c r="X30" s="7" t="n">
        <x:f t="shared" si="13">F30*T30*$W30</x:f>
        <x:v>0.9</x:v>
      </x:c>
      <x:c r="Y30" s="7" t="n">
        <x:f t="shared" si="14">G30*U30*$W30</x:f>
        <x:v>0.9</x:v>
      </x:c>
      <x:c r="Z30" s="7" t="n">
        <x:f t="shared" si="15">H30*V30*$W30</x:f>
        <x:v>1.1</x:v>
      </x:c>
      <x:c r="AA30" s="19" t="str">
        <x:v>攻击百分比</x:v>
      </x:c>
      <x:c r="AB30" s="19" t="str">
        <x:v>魔法伤害加成</x:v>
      </x:c>
      <x:c r="AC30" s="19" t="str">
        <x:v>暴击伤害等级</x:v>
      </x:c>
    </x:row>
    <x:row r="31">
      <x:c r="A31" s="1" t="n">
        <x:v>1017</x:v>
      </x:c>
      <x:c r="B31" s="1" t="str">
        <x:v>伊戈尔</x:v>
      </x:c>
      <x:c r="C31" s="18" t="str">
        <x:v>SSR</x:v>
      </x:c>
      <x:c r="D31" s="1" t="str">
        <x:v>输出（射手）</x:v>
      </x:c>
      <x:c r="E31"/>
      <x:c r="F31" s="7" t="n">
        <x:f t="shared" si="1">VLOOKUP($D31,$B$3:$E$14,COLUMN(E$26)-COLUMN($C$26),0)</x:f>
        <x:v>0.9</x:v>
      </x:c>
      <x:c r="G31" s="7" t="n">
        <x:f t="shared" si="2">VLOOKUP($D31,$B$3:$E$14,COLUMN(F$26)-COLUMN($C$26),0)</x:f>
        <x:v>1.1</x:v>
      </x:c>
      <x:c r="H31" s="7" t="n">
        <x:f t="shared" si="3">VLOOKUP($D31,$B$3:$E$14,COLUMN(G$26)-COLUMN($C$26),0)</x:f>
        <x:v>1</x:v>
      </x:c>
      <x:c r="I31" s="19" t="n">
        <x:v>1.15</x:v>
      </x:c>
      <x:c r="J31" s="19" t="n">
        <x:v>0.9</x:v>
      </x:c>
      <x:c r="K31" s="19" t="n">
        <x:v>1</x:v>
      </x:c>
      <x:c r="L31" s="19" t="n">
        <x:f t="shared" si="4">SUM(I31:K31)</x:f>
        <x:v>3.05</x:v>
      </x:c>
      <x:c r="M31" s="7" t="n">
        <x:f t="shared" si="5">VLOOKUP(C31,$B$14:$C$16,2,0)</x:f>
        <x:v>1</x:v>
      </x:c>
      <x:c r="N31" s="7" t="n">
        <x:f t="shared" si="6">I31*F31*$M31</x:f>
        <x:v>1.035</x:v>
      </x:c>
      <x:c r="O31" s="7" t="n">
        <x:f t="shared" si="7">J31*G31*$M31</x:f>
        <x:v>0.9900000000000001</x:v>
      </x:c>
      <x:c r="P31" s="7" t="n">
        <x:f t="shared" si="8">K31*H31*$M31</x:f>
        <x:v>1</x:v>
      </x:c>
      <x:c r="Q31" s="19" t="str">
        <x:v>攻击百分比</x:v>
      </x:c>
      <x:c r="R31" s="19" t="str">
        <x:v>技能伤害加成</x:v>
      </x:c>
      <x:c r="S31" s="19" t="str">
        <x:v>技能冷却等级</x:v>
      </x:c>
      <x:c r="T31" s="19" t="n">
        <x:f t="shared" si="9">I31</x:f>
        <x:v>1.15</x:v>
      </x:c>
      <x:c r="U31" s="19" t="n">
        <x:f t="shared" si="10">J31</x:f>
        <x:v>0.9</x:v>
      </x:c>
      <x:c r="V31" s="19" t="n">
        <x:f t="shared" si="11">K31</x:f>
        <x:v>1</x:v>
      </x:c>
      <x:c r="W31" s="7" t="n">
        <x:f t="shared" si="12">VLOOKUP(C31,$B$19:$C$21,2,0)</x:f>
        <x:v>1</x:v>
      </x:c>
      <x:c r="X31" s="7" t="n">
        <x:f t="shared" si="13">F31*T31*$W31</x:f>
        <x:v>1.035</x:v>
      </x:c>
      <x:c r="Y31" s="7" t="n">
        <x:f t="shared" si="14">G31*U31*$W31</x:f>
        <x:v>0.9900000000000001</x:v>
      </x:c>
      <x:c r="Z31" s="7" t="n">
        <x:f t="shared" si="15">H31*V31*$W31</x:f>
        <x:v>1</x:v>
      </x:c>
      <x:c r="AA31" s="19" t="str">
        <x:v>攻击百分比</x:v>
      </x:c>
      <x:c r="AB31" s="19" t="str">
        <x:v>魔法伤害加成</x:v>
      </x:c>
      <x:c r="AC31" s="19" t="str">
        <x:v>必杀伤害加成</x:v>
      </x:c>
    </x:row>
    <x:row r="32">
      <x:c r="A32" s="1" t="n">
        <x:v>1009</x:v>
      </x:c>
      <x:c r="B32" s="1" t="str">
        <x:v>约瑟夫</x:v>
      </x:c>
      <x:c r="C32" s="18" t="str">
        <x:v>SSR</x:v>
      </x:c>
      <x:c r="D32" s="1" t="str">
        <x:v>输出（法师）</x:v>
      </x:c>
      <x:c r="E32"/>
      <x:c r="F32" s="7" t="n">
        <x:f t="shared" si="1">VLOOKUP($D32,$B$3:$E$14,COLUMN(E$26)-COLUMN($C$26),0)</x:f>
        <x:v>0.8</x:v>
      </x:c>
      <x:c r="G32" s="7" t="n">
        <x:f t="shared" si="2">VLOOKUP($D32,$B$3:$E$14,COLUMN(F$26)-COLUMN($C$26),0)</x:f>
        <x:v>1.2</x:v>
      </x:c>
      <x:c r="H32" s="7" t="n">
        <x:f t="shared" si="3">VLOOKUP($D32,$B$3:$E$14,COLUMN(G$26)-COLUMN($C$26),0)</x:f>
        <x:v>1</x:v>
      </x:c>
      <x:c r="I32" s="19" t="n">
        <x:v>1.05</x:v>
      </x:c>
      <x:c r="J32" s="19" t="n">
        <x:v>1</x:v>
      </x:c>
      <x:c r="K32" s="19" t="n">
        <x:v>0.99</x:v>
      </x:c>
      <x:c r="L32" s="19" t="n">
        <x:f t="shared" si="4">SUM(I32:K32)</x:f>
        <x:v>3.04</x:v>
      </x:c>
      <x:c r="M32" s="7" t="n">
        <x:f t="shared" si="5">VLOOKUP(C32,$B$14:$C$16,2,0)</x:f>
        <x:v>1</x:v>
      </x:c>
      <x:c r="N32" s="7" t="n">
        <x:f t="shared" si="6">I32*F32*$M32</x:f>
        <x:v>0.8400000000000001</x:v>
      </x:c>
      <x:c r="O32" s="7" t="n">
        <x:f t="shared" si="7">J32*G32*$M32</x:f>
        <x:v>1.2</x:v>
      </x:c>
      <x:c r="P32" s="7" t="n">
        <x:f t="shared" si="8">K32*H32*$M32</x:f>
        <x:v>0.99</x:v>
      </x:c>
      <x:c r="Q32" s="19" t="str">
        <x:v>攻击百分比</x:v>
      </x:c>
      <x:c r="R32" s="19" t="str">
        <x:v>技能伤害加成</x:v>
      </x:c>
      <x:c r="S32" s="19" t="str">
        <x:v>技能冷却等级</x:v>
      </x:c>
      <x:c r="T32" s="19" t="n">
        <x:f t="shared" si="9">I32</x:f>
        <x:v>1.05</x:v>
      </x:c>
      <x:c r="U32" s="19" t="n">
        <x:f t="shared" si="10">J32</x:f>
        <x:v>1</x:v>
      </x:c>
      <x:c r="V32" s="19" t="n">
        <x:f t="shared" si="11">K32</x:f>
        <x:v>0.99</x:v>
      </x:c>
      <x:c r="W32" s="7" t="n">
        <x:f t="shared" si="12">VLOOKUP(C32,$B$19:$C$21,2,0)</x:f>
        <x:v>1</x:v>
      </x:c>
      <x:c r="X32" s="7" t="n">
        <x:f t="shared" si="13">F32*T32*$W32</x:f>
        <x:v>0.8400000000000001</x:v>
      </x:c>
      <x:c r="Y32" s="7" t="n">
        <x:f t="shared" si="14">G32*U32*$W32</x:f>
        <x:v>1.2</x:v>
      </x:c>
      <x:c r="Z32" s="7" t="n">
        <x:f t="shared" si="15">H32*V32*$W32</x:f>
        <x:v>0.99</x:v>
      </x:c>
      <x:c r="AA32" s="19" t="str">
        <x:v>技能伤害加成</x:v>
      </x:c>
      <x:c r="AB32" s="19" t="str">
        <x:v>魔法伤害加成</x:v>
      </x:c>
      <x:c r="AC32" s="19" t="str">
        <x:v>技能冷却等级</x:v>
      </x:c>
    </x:row>
    <x:row r="33">
      <x:c r="A33" s="1" t="n">
        <x:v>1013</x:v>
      </x:c>
      <x:c r="B33" s="1" t="str">
        <x:v>夏提拉</x:v>
      </x:c>
      <x:c r="C33" s="18" t="str">
        <x:v>SSR</x:v>
      </x:c>
      <x:c r="D33" s="1" t="str">
        <x:v>输出（战士）</x:v>
      </x:c>
      <x:c r="E33"/>
      <x:c r="F33" s="7" t="n">
        <x:f t="shared" si="1">VLOOKUP($D33,$B$3:$E$14,COLUMN(E$26)-COLUMN($C$26),0)</x:f>
        <x:v>1.05</x:v>
      </x:c>
      <x:c r="G33" s="7" t="n">
        <x:f t="shared" si="2">VLOOKUP($D33,$B$3:$E$14,COLUMN(F$26)-COLUMN($C$26),0)</x:f>
        <x:v>0.95</x:v>
      </x:c>
      <x:c r="H33" s="7" t="n">
        <x:f t="shared" si="3">VLOOKUP($D33,$B$3:$E$14,COLUMN(G$26)-COLUMN($C$26),0)</x:f>
        <x:v>1</x:v>
      </x:c>
      <x:c r="I33" s="19" t="n">
        <x:v>1.3</x:v>
      </x:c>
      <x:c r="J33" s="19" t="n">
        <x:v>1</x:v>
      </x:c>
      <x:c r="K33" s="19" t="n">
        <x:v>0.8</x:v>
      </x:c>
      <x:c r="L33" s="19" t="n">
        <x:f t="shared" si="4">SUM(I33:K33)</x:f>
        <x:v>3.0999999999999996</x:v>
      </x:c>
      <x:c r="M33" s="7" t="n">
        <x:f t="shared" si="5">VLOOKUP(C33,$B$14:$C$16,2,0)</x:f>
        <x:v>1</x:v>
      </x:c>
      <x:c r="N33" s="7" t="n">
        <x:f t="shared" si="6">I33*F33*$M33</x:f>
        <x:v>1.3650000000000002</x:v>
      </x:c>
      <x:c r="O33" s="7" t="n">
        <x:f t="shared" si="7">J33*G33*$M33</x:f>
        <x:v>0.95</x:v>
      </x:c>
      <x:c r="P33" s="7" t="n">
        <x:f t="shared" si="8">K33*H33*$M33</x:f>
        <x:v>0.8</x:v>
      </x:c>
      <x:c r="Q33" s="19" t="str">
        <x:v>攻击百分比</x:v>
      </x:c>
      <x:c r="R33" s="19" t="str">
        <x:v>暴击等级</x:v>
      </x:c>
      <x:c r="S33" s="19" t="str">
        <x:v>生命值百分比</x:v>
      </x:c>
      <x:c r="T33" s="19" t="n">
        <x:f t="shared" si="9">I33</x:f>
        <x:v>1.3</x:v>
      </x:c>
      <x:c r="U33" s="19" t="n">
        <x:f t="shared" si="10">J33</x:f>
        <x:v>1</x:v>
      </x:c>
      <x:c r="V33" s="19" t="n">
        <x:f t="shared" si="11">K33</x:f>
        <x:v>0.8</x:v>
      </x:c>
      <x:c r="W33" s="7" t="n">
        <x:f t="shared" si="12">VLOOKUP(C33,$B$19:$C$21,2,0)</x:f>
        <x:v>1</x:v>
      </x:c>
      <x:c r="X33" s="7" t="n">
        <x:f t="shared" si="13">F33*T33*$W33</x:f>
        <x:v>1.3650000000000002</x:v>
      </x:c>
      <x:c r="Y33" s="7" t="n">
        <x:f t="shared" si="14">G33*U33*$W33</x:f>
        <x:v>0.95</x:v>
      </x:c>
      <x:c r="Z33" s="7" t="n">
        <x:f t="shared" si="15">H33*V33*$W33</x:f>
        <x:v>0.8</x:v>
      </x:c>
      <x:c r="AA33" s="19" t="str">
        <x:v>攻击百分比</x:v>
      </x:c>
      <x:c r="AB33" s="19" t="str">
        <x:v>魔法伤害加成</x:v>
      </x:c>
      <x:c r="AC33" s="19" t="str">
        <x:v>暴击伤害等级</x:v>
      </x:c>
    </x:row>
    <x:row r="34">
      <x:c r="A34" s="1" t="n">
        <x:v>1016</x:v>
      </x:c>
      <x:c r="B34" s="1" t="str">
        <x:v>雷诺</x:v>
      </x:c>
      <x:c r="C34" s="18" t="str">
        <x:v>SSR</x:v>
      </x:c>
      <x:c r="D34" s="1" t="str">
        <x:v>坦克（生命）</x:v>
      </x:c>
      <x:c r="E34"/>
      <x:c r="F34" s="7" t="n">
        <x:f t="shared" si="1">VLOOKUP($D34,$B$3:$E$14,COLUMN(E$26)-COLUMN($C$26),0)</x:f>
        <x:v>1.4</x:v>
      </x:c>
      <x:c r="G34" s="7" t="n">
        <x:f t="shared" si="2">VLOOKUP($D34,$B$3:$E$14,COLUMN(F$26)-COLUMN($C$26),0)</x:f>
        <x:v>0.6</x:v>
      </x:c>
      <x:c r="H34" s="7" t="n">
        <x:f t="shared" si="3">VLOOKUP($D34,$B$3:$E$14,COLUMN(G$26)-COLUMN($C$26),0)</x:f>
        <x:v>1</x:v>
      </x:c>
      <x:c r="I34" s="19" t="n">
        <x:v>1</x:v>
      </x:c>
      <x:c r="J34" s="19" t="n">
        <x:v>1</x:v>
      </x:c>
      <x:c r="K34" s="19" t="n">
        <x:v>1.05</x:v>
      </x:c>
      <x:c r="L34" s="19" t="n">
        <x:f t="shared" si="4">SUM(I34:K34)</x:f>
        <x:v>3.05</x:v>
      </x:c>
      <x:c r="M34" s="7" t="n">
        <x:f t="shared" si="5">VLOOKUP(C34,$B$14:$C$16,2,0)</x:f>
        <x:v>1</x:v>
      </x:c>
      <x:c r="N34" s="7" t="n">
        <x:f t="shared" si="6">I34*F34*$M34</x:f>
        <x:v>1.4</x:v>
      </x:c>
      <x:c r="O34" s="7" t="n">
        <x:f t="shared" si="7">J34*G34*$M34</x:f>
        <x:v>0.6</x:v>
      </x:c>
      <x:c r="P34" s="7" t="n">
        <x:f t="shared" si="8">K34*H34*$M34</x:f>
        <x:v>1.05</x:v>
      </x:c>
      <x:c r="Q34" s="19" t="str">
        <x:v>生命值百分比</x:v>
      </x:c>
      <x:c r="R34" s="19" t="str">
        <x:v>防御百分比</x:v>
      </x:c>
      <x:c r="S34" s="19" t="str">
        <x:v>能量回复等级</x:v>
      </x:c>
      <x:c r="T34" s="19" t="n">
        <x:f t="shared" si="9">I34</x:f>
        <x:v>1</x:v>
      </x:c>
      <x:c r="U34" s="19" t="n">
        <x:f t="shared" si="10">J34</x:f>
        <x:v>1</x:v>
      </x:c>
      <x:c r="V34" s="19" t="n">
        <x:f t="shared" si="11">K34</x:f>
        <x:v>1.05</x:v>
      </x:c>
      <x:c r="W34" s="7" t="n">
        <x:f t="shared" si="12">VLOOKUP(C34,$B$19:$C$21,2,0)</x:f>
        <x:v>1</x:v>
      </x:c>
      <x:c r="X34" s="7" t="n">
        <x:f t="shared" si="13">F34*T34*$W34</x:f>
        <x:v>1.4</x:v>
      </x:c>
      <x:c r="Y34" s="7" t="n">
        <x:f t="shared" si="14">G34*U34*$W34</x:f>
        <x:v>0.6</x:v>
      </x:c>
      <x:c r="Z34" s="7" t="n">
        <x:f t="shared" si="15">H34*V34*$W34</x:f>
        <x:v>1.05</x:v>
      </x:c>
      <x:c r="AA34" s="19" t="str">
        <x:v>生命值百分比</x:v>
      </x:c>
      <x:c r="AB34" s="19" t="str">
        <x:v>能量回复等级</x:v>
      </x:c>
      <x:c r="AC34" s="19" t="str">
        <x:v>物理伤害加成</x:v>
      </x:c>
    </x:row>
    <x:row r="35">
      <x:c r="A35" s="1" t="n">
        <x:v>1032</x:v>
      </x:c>
      <x:c r="B35" s="1" t="str">
        <x:v>瞳</x:v>
      </x:c>
      <x:c r="C35" s="18" t="str">
        <x:v>SSR</x:v>
      </x:c>
      <x:c r="D35" s="1" t="str">
        <x:v>输出（战士）</x:v>
      </x:c>
      <x:c r="E35"/>
      <x:c r="F35" s="7" t="n">
        <x:f t="shared" si="1">VLOOKUP($D35,$B$3:$E$14,COLUMN(E$26)-COLUMN($C$26),0)</x:f>
        <x:v>1.05</x:v>
      </x:c>
      <x:c r="G35" s="7" t="n">
        <x:f t="shared" si="2">VLOOKUP($D35,$B$3:$E$14,COLUMN(F$26)-COLUMN($C$26),0)</x:f>
        <x:v>0.95</x:v>
      </x:c>
      <x:c r="H35" s="7" t="n">
        <x:f t="shared" si="3">VLOOKUP($D35,$B$3:$E$14,COLUMN(G$26)-COLUMN($C$26),0)</x:f>
        <x:v>1</x:v>
      </x:c>
      <x:c r="I35" s="19" t="n">
        <x:v>0.95</x:v>
      </x:c>
      <x:c r="J35" s="19" t="n">
        <x:v>1.05</x:v>
      </x:c>
      <x:c r="K35" s="19" t="n">
        <x:v>0.95</x:v>
      </x:c>
      <x:c r="L35" s="19" t="n">
        <x:f t="shared" si="4">SUM(I35:K35)</x:f>
        <x:v>2.95</x:v>
      </x:c>
      <x:c r="M35" s="7" t="n">
        <x:f t="shared" si="5">VLOOKUP(C35,$B$14:$C$16,2,0)</x:f>
        <x:v>1</x:v>
      </x:c>
      <x:c r="N35" s="7" t="n">
        <x:f t="shared" si="6">I35*F35*$M35</x:f>
        <x:v>0.9974999999999999</x:v>
      </x:c>
      <x:c r="O35" s="7" t="n">
        <x:f t="shared" si="7">J35*G35*$M35</x:f>
        <x:v>0.9974999999999999</x:v>
      </x:c>
      <x:c r="P35" s="7" t="n">
        <x:f t="shared" si="8">K35*H35*$M35</x:f>
        <x:v>0.95</x:v>
      </x:c>
      <x:c r="Q35" s="19" t="str">
        <x:v>攻击百分比</x:v>
      </x:c>
      <x:c r="R35" s="19" t="str">
        <x:v>技能伤害加成</x:v>
      </x:c>
      <x:c r="S35" s="19" t="str">
        <x:v>能量回复等级</x:v>
      </x:c>
      <x:c r="T35" s="19" t="n">
        <x:f t="shared" si="9">I35</x:f>
        <x:v>0.95</x:v>
      </x:c>
      <x:c r="U35" s="19" t="n">
        <x:f t="shared" si="10">J35</x:f>
        <x:v>1.05</x:v>
      </x:c>
      <x:c r="V35" s="19" t="n">
        <x:f t="shared" si="11">K35</x:f>
        <x:v>0.95</x:v>
      </x:c>
      <x:c r="W35" s="7" t="n">
        <x:f t="shared" si="12">VLOOKUP(C35,$B$19:$C$21,2,0)</x:f>
        <x:v>1</x:v>
      </x:c>
      <x:c r="X35" s="7" t="n">
        <x:f t="shared" si="13">F35*T35*$W35</x:f>
        <x:v>0.9974999999999999</x:v>
      </x:c>
      <x:c r="Y35" s="7" t="n">
        <x:f t="shared" si="14">G35*U35*$W35</x:f>
        <x:v>0.9974999999999999</x:v>
      </x:c>
      <x:c r="Z35" s="7" t="n">
        <x:f t="shared" si="15">H35*V35*$W35</x:f>
        <x:v>0.95</x:v>
      </x:c>
      <x:c r="AA35" s="19" t="str">
        <x:v>攻击百分比</x:v>
      </x:c>
      <x:c r="AB35" s="19" t="str">
        <x:v>物理伤害加成</x:v>
      </x:c>
      <x:c r="AC35" s="19" t="str">
        <x:v>技能伤害加成</x:v>
      </x:c>
    </x:row>
    <x:row r="36">
      <x:c r="A36" s="1" t="n">
        <x:v>1033</x:v>
      </x:c>
      <x:c r="B36" s="1" t="str">
        <x:v>美第奇</x:v>
      </x:c>
      <x:c r="C36" s="18" t="str">
        <x:v>SSR</x:v>
      </x:c>
      <x:c r="D36" s="1" t="str">
        <x:v>辅助（攻击）</x:v>
      </x:c>
      <x:c r="E36"/>
      <x:c r="F36" s="7" t="n">
        <x:f t="shared" si="1">VLOOKUP($D36,$B$3:$E$14,COLUMN(E$26)-COLUMN($C$26),0)</x:f>
        <x:v>1</x:v>
      </x:c>
      <x:c r="G36" s="7" t="n">
        <x:f t="shared" si="2">VLOOKUP($D36,$B$3:$E$14,COLUMN(F$26)-COLUMN($C$26),0)</x:f>
        <x:v>0.9</x:v>
      </x:c>
      <x:c r="H36" s="7" t="n">
        <x:f t="shared" si="3">VLOOKUP($D36,$B$3:$E$14,COLUMN(G$26)-COLUMN($C$26),0)</x:f>
        <x:v>1.1</x:v>
      </x:c>
      <x:c r="I36" s="19" t="n">
        <x:v>1.1</x:v>
      </x:c>
      <x:c r="J36" s="19" t="n">
        <x:v>0.95</x:v>
      </x:c>
      <x:c r="K36" s="19" t="n">
        <x:v>1</x:v>
      </x:c>
      <x:c r="L36" s="19" t="n">
        <x:f t="shared" si="4">SUM(I36:K36)</x:f>
        <x:v>3.05</x:v>
      </x:c>
      <x:c r="M36" s="7" t="n">
        <x:f t="shared" si="5">VLOOKUP(C36,$B$14:$C$16,2,0)</x:f>
        <x:v>1</x:v>
      </x:c>
      <x:c r="N36" s="7" t="n">
        <x:f t="shared" si="6">I36*F36*$M36</x:f>
        <x:v>1.1</x:v>
      </x:c>
      <x:c r="O36" s="7" t="n">
        <x:f t="shared" si="7">J36*G36*$M36</x:f>
        <x:v>0.855</x:v>
      </x:c>
      <x:c r="P36" s="7" t="n">
        <x:f t="shared" si="8">K36*H36*$M36</x:f>
        <x:v>1.1</x:v>
      </x:c>
      <x:c r="Q36" s="19" t="str">
        <x:v>攻击百分比</x:v>
      </x:c>
      <x:c r="R36" s="19" t="str">
        <x:v>治疗率</x:v>
      </x:c>
      <x:c r="S36" s="19" t="str">
        <x:v>技能冷却等级</x:v>
      </x:c>
      <x:c r="T36" s="19" t="n">
        <x:f t="shared" si="9">I36</x:f>
        <x:v>1.1</x:v>
      </x:c>
      <x:c r="U36" s="19" t="n">
        <x:f t="shared" si="10">J36</x:f>
        <x:v>0.95</x:v>
      </x:c>
      <x:c r="V36" s="19" t="n">
        <x:f t="shared" si="11">K36</x:f>
        <x:v>1</x:v>
      </x:c>
      <x:c r="W36" s="7" t="n">
        <x:f t="shared" si="12">VLOOKUP(C36,$B$19:$C$21,2,0)</x:f>
        <x:v>1</x:v>
      </x:c>
      <x:c r="X36" s="7" t="n">
        <x:f t="shared" si="13">F36*T36*$W36</x:f>
        <x:v>1.1</x:v>
      </x:c>
      <x:c r="Y36" s="7" t="n">
        <x:f t="shared" si="14">G36*U36*$W36</x:f>
        <x:v>0.855</x:v>
      </x:c>
      <x:c r="Z36" s="7" t="n">
        <x:f t="shared" si="15">H36*V36*$W36</x:f>
        <x:v>1.1</x:v>
      </x:c>
      <x:c r="AA36" s="19" t="str">
        <x:v>治疗率</x:v>
      </x:c>
      <x:c r="AB36" s="19" t="str">
        <x:v>魔法伤害加成</x:v>
      </x:c>
      <x:c r="AC36" s="26" t="str">
        <x:v>治疗率</x:v>
      </x:c>
    </x:row>
    <x:row r="37">
      <x:c r="A37" s="1" t="n">
        <x:v>1034</x:v>
      </x:c>
      <x:c r="B37" s="1" t="str">
        <x:v>零号</x:v>
      </x:c>
      <x:c r="C37" s="18" t="str">
        <x:v>SSR</x:v>
      </x:c>
      <x:c r="D37" s="1" t="str">
        <x:v>坦克（输出）</x:v>
      </x:c>
      <x:c r="E37"/>
      <x:c r="F37" s="7" t="n">
        <x:f t="shared" si="1">VLOOKUP($D37,$B$3:$E$14,COLUMN(E$26)-COLUMN($C$26),0)</x:f>
        <x:v>1.2</x:v>
      </x:c>
      <x:c r="G37" s="7" t="n">
        <x:f t="shared" si="2">VLOOKUP($D37,$B$3:$E$14,COLUMN(F$26)-COLUMN($C$26),0)</x:f>
        <x:v>0.7</x:v>
      </x:c>
      <x:c r="H37" s="7" t="n">
        <x:f t="shared" si="3">VLOOKUP($D37,$B$3:$E$14,COLUMN(G$26)-COLUMN($C$26),0)</x:f>
        <x:v>1.1</x:v>
      </x:c>
      <x:c r="I37" s="19" t="n">
        <x:v>0.85</x:v>
      </x:c>
      <x:c r="J37" s="19" t="n">
        <x:v>1.15</x:v>
      </x:c>
      <x:c r="K37" s="19" t="n">
        <x:v>1</x:v>
      </x:c>
      <x:c r="L37" s="19" t="n">
        <x:f t="shared" si="4">SUM(I37:K37)</x:f>
        <x:v>3</x:v>
      </x:c>
      <x:c r="M37" s="7" t="n">
        <x:f t="shared" si="5">VLOOKUP(C37,$B$14:$C$16,2,0)</x:f>
        <x:v>1</x:v>
      </x:c>
      <x:c r="N37" s="7" t="n">
        <x:f t="shared" si="6">I37*F37*$M37</x:f>
        <x:v>1.02</x:v>
      </x:c>
      <x:c r="O37" s="7" t="n">
        <x:f t="shared" si="7">J37*G37*$M37</x:f>
        <x:v>0.8049999999999999</x:v>
      </x:c>
      <x:c r="P37" s="7" t="n">
        <x:f t="shared" si="8">K37*H37*$M37</x:f>
        <x:v>1.1</x:v>
      </x:c>
      <x:c r="Q37" s="19" t="str">
        <x:v>攻击百分比</x:v>
      </x:c>
      <x:c r="R37" s="19" t="str">
        <x:v>技能伤害加成</x:v>
      </x:c>
      <x:c r="S37" s="19" t="str">
        <x:v>暴击等级</x:v>
      </x:c>
      <x:c r="T37" s="19" t="n">
        <x:f t="shared" si="9">I37</x:f>
        <x:v>0.85</x:v>
      </x:c>
      <x:c r="U37" s="19" t="n">
        <x:f t="shared" si="10">J37</x:f>
        <x:v>1.15</x:v>
      </x:c>
      <x:c r="V37" s="19" t="n">
        <x:f t="shared" si="11">K37</x:f>
        <x:v>1</x:v>
      </x:c>
      <x:c r="W37" s="7" t="n">
        <x:f t="shared" si="12">VLOOKUP(C37,$B$19:$C$21,2,0)</x:f>
        <x:v>1</x:v>
      </x:c>
      <x:c r="X37" s="7" t="n">
        <x:f t="shared" si="13">F37*T37*$W37</x:f>
        <x:v>1.02</x:v>
      </x:c>
      <x:c r="Y37" s="7" t="n">
        <x:f t="shared" si="14">G37*U37*$W37</x:f>
        <x:v>0.8049999999999999</x:v>
      </x:c>
      <x:c r="Z37" s="7" t="n">
        <x:f t="shared" si="15">H37*V37*$W37</x:f>
        <x:v>1.1</x:v>
      </x:c>
      <x:c r="AA37" s="19" t="str">
        <x:v>技能伤害加成</x:v>
      </x:c>
      <x:c r="AB37" s="19" t="str">
        <x:v>物理伤害加成</x:v>
      </x:c>
      <x:c r="AC37" s="19" t="str">
        <x:v>暴击等级</x:v>
      </x:c>
    </x:row>
    <x:row r="38">
      <x:c r="A38" s="1" t="n">
        <x:v>1001</x:v>
      </x:c>
      <x:c r="B38" s="1" t="str">
        <x:v>主角</x:v>
      </x:c>
      <x:c r="C38" s="20" t="str">
        <x:v>SR</x:v>
      </x:c>
      <x:c r="D38" s="1" t="str">
        <x:v>输出（射手）</x:v>
      </x:c>
      <x:c r="E38"/>
      <x:c r="F38" s="7" t="n">
        <x:f t="shared" si="1">VLOOKUP($D38,$B$3:$E$14,COLUMN(E$26)-COLUMN($C$26),0)</x:f>
        <x:v>0.9</x:v>
      </x:c>
      <x:c r="G38" s="7" t="n">
        <x:f t="shared" si="2">VLOOKUP($D38,$B$3:$E$14,COLUMN(F$26)-COLUMN($C$26),0)</x:f>
        <x:v>1.1</x:v>
      </x:c>
      <x:c r="H38" s="7" t="n">
        <x:f t="shared" si="3">VLOOKUP($D38,$B$3:$E$14,COLUMN(G$26)-COLUMN($C$26),0)</x:f>
        <x:v>1</x:v>
      </x:c>
      <x:c r="I38" s="19" t="n">
        <x:v>1</x:v>
      </x:c>
      <x:c r="J38" s="19" t="n">
        <x:v>1</x:v>
      </x:c>
      <x:c r="K38" s="19" t="n">
        <x:v>1</x:v>
      </x:c>
      <x:c r="L38" s="19" t="n">
        <x:f t="shared" si="4">SUM(I38:K38)</x:f>
        <x:v>3</x:v>
      </x:c>
      <x:c r="M38" s="7" t="n">
        <x:f t="shared" si="5">VLOOKUP(C38,$B$14:$C$16,2,0)</x:f>
        <x:v>0.8</x:v>
      </x:c>
      <x:c r="N38" s="7" t="n">
        <x:f t="shared" si="6">I38*F38*$M38</x:f>
        <x:v>0.7200000000000001</x:v>
      </x:c>
      <x:c r="O38" s="7" t="n">
        <x:f t="shared" si="7">J38*G38*$M38</x:f>
        <x:v>0.8800000000000001</x:v>
      </x:c>
      <x:c r="P38" s="7" t="n">
        <x:f t="shared" si="8">K38*H38*$M38</x:f>
        <x:v>0.8</x:v>
      </x:c>
      <x:c r="Q38" s="19" t="str">
        <x:v>攻击百分比</x:v>
      </x:c>
      <x:c r="R38" s="19" t="str">
        <x:v>暴击等级</x:v>
      </x:c>
      <x:c r="S38" s="19" t="str">
        <x:v>暴击伤害等级</x:v>
      </x:c>
      <x:c r="T38" s="19" t="n">
        <x:v>1</x:v>
      </x:c>
      <x:c r="U38" s="19" t="n">
        <x:v>1</x:v>
      </x:c>
      <x:c r="V38" s="19" t="n">
        <x:v>1</x:v>
      </x:c>
      <x:c r="W38" s="7" t="n">
        <x:f t="shared" si="12">VLOOKUP(C38,$B$19:$C$21,2,0)</x:f>
        <x:v>0.75</x:v>
      </x:c>
      <x:c r="X38" s="7" t="n">
        <x:f t="shared" si="13">F38*T38*$W38</x:f>
        <x:v>0.675</x:v>
      </x:c>
      <x:c r="Y38" s="7" t="n">
        <x:f t="shared" si="14">G38*U38*$W38</x:f>
        <x:v>0.8250000000000001</x:v>
      </x:c>
      <x:c r="Z38" s="7" t="n">
        <x:f t="shared" si="15">H38*V38*$W38</x:f>
        <x:v>0.75</x:v>
      </x:c>
      <x:c r="AA38" s="19" t="str">
        <x:v>普攻伤害加成</x:v>
      </x:c>
      <x:c r="AB38" s="19" t="str">
        <x:v>物理伤害加成</x:v>
      </x:c>
      <x:c r="AC38" s="19" t="str">
        <x:v>暴击伤害等级</x:v>
      </x:c>
    </x:row>
    <x:row r="39">
      <x:c r="A39" s="1" t="n">
        <x:v>1002</x:v>
      </x:c>
      <x:c r="B39" s="1" t="str">
        <x:v>大暑</x:v>
      </x:c>
      <x:c r="C39" s="20" t="str">
        <x:v>SR</x:v>
      </x:c>
      <x:c r="D39" s="1" t="str">
        <x:v>坦克（生命）</x:v>
      </x:c>
      <x:c r="E39"/>
      <x:c r="F39" s="7" t="n">
        <x:f t="shared" si="1">VLOOKUP($D39,$B$3:$E$14,COLUMN(E$26)-COLUMN($C$26),0)</x:f>
        <x:v>1.4</x:v>
      </x:c>
      <x:c r="G39" s="7" t="n">
        <x:f t="shared" si="2">VLOOKUP($D39,$B$3:$E$14,COLUMN(F$26)-COLUMN($C$26),0)</x:f>
        <x:v>0.6</x:v>
      </x:c>
      <x:c r="H39" s="7" t="n">
        <x:f t="shared" si="3">VLOOKUP($D39,$B$3:$E$14,COLUMN(G$26)-COLUMN($C$26),0)</x:f>
        <x:v>1</x:v>
      </x:c>
      <x:c r="I39" s="19" t="n">
        <x:v>1</x:v>
      </x:c>
      <x:c r="J39" s="19" t="n">
        <x:v>1</x:v>
      </x:c>
      <x:c r="K39" s="19" t="n">
        <x:v>1</x:v>
      </x:c>
      <x:c r="L39" s="19" t="n">
        <x:f t="shared" si="4">SUM(I39:K39)</x:f>
        <x:v>3</x:v>
      </x:c>
      <x:c r="M39" s="7" t="n">
        <x:f t="shared" si="5">VLOOKUP(C39,$B$14:$C$16,2,0)</x:f>
        <x:v>0.8</x:v>
      </x:c>
      <x:c r="N39" s="7" t="n">
        <x:f t="shared" si="6">I39*F39*$M39</x:f>
        <x:v>1.1199999999999999</x:v>
      </x:c>
      <x:c r="O39" s="7" t="n">
        <x:f t="shared" si="7">J39*G39*$M39</x:f>
        <x:v>0.48</x:v>
      </x:c>
      <x:c r="P39" s="7" t="n">
        <x:f t="shared" si="8">K39*H39*$M39</x:f>
        <x:v>0.8</x:v>
      </x:c>
      <x:c r="Q39" s="19" t="str">
        <x:v>防御百分比</x:v>
      </x:c>
      <x:c r="R39" s="19" t="str">
        <x:v>生命值百分比</x:v>
      </x:c>
      <x:c r="S39" s="19" t="str">
        <x:v>技能冷却等级</x:v>
      </x:c>
      <x:c r="T39" s="19" t="n">
        <x:v>1</x:v>
      </x:c>
      <x:c r="U39" s="19" t="n">
        <x:v>1</x:v>
      </x:c>
      <x:c r="V39" s="19" t="n">
        <x:v>1</x:v>
      </x:c>
      <x:c r="W39" s="7" t="n">
        <x:f t="shared" si="12">VLOOKUP(C39,$B$19:$C$21,2,0)</x:f>
        <x:v>0.75</x:v>
      </x:c>
      <x:c r="X39" s="7" t="n">
        <x:f t="shared" si="13">F39*T39*$W39</x:f>
        <x:v>1.0499999999999998</x:v>
      </x:c>
      <x:c r="Y39" s="7" t="n">
        <x:f t="shared" si="14">G39*U39*$W39</x:f>
        <x:v>0.44999999999999996</x:v>
      </x:c>
      <x:c r="Z39" s="7" t="n">
        <x:f t="shared" si="15">H39*V39*$W39</x:f>
        <x:v>0.75</x:v>
      </x:c>
      <x:c r="AA39" s="19" t="str">
        <x:v>防御百分比</x:v>
      </x:c>
      <x:c r="AB39" s="19" t="str">
        <x:v>能量回复等级</x:v>
      </x:c>
      <x:c r="AC39" s="19" t="str">
        <x:v>技能冷却等级</x:v>
      </x:c>
    </x:row>
    <x:row r="40">
      <x:c r="A40" s="1" t="n">
        <x:v>1004</x:v>
      </x:c>
      <x:c r="B40" s="1" t="str">
        <x:v>阿芭</x:v>
      </x:c>
      <x:c r="C40" s="18" t="str">
        <x:v>SSR</x:v>
      </x:c>
      <x:c r="D40" s="1" t="str">
        <x:v>坦克（输出）</x:v>
      </x:c>
      <x:c r="E40"/>
      <x:c r="F40" s="7" t="n">
        <x:f t="shared" si="1">VLOOKUP($D40,$B$3:$E$14,COLUMN(E$26)-COLUMN($C$26),0)</x:f>
        <x:v>1.2</x:v>
      </x:c>
      <x:c r="G40" s="7" t="n">
        <x:f t="shared" si="2">VLOOKUP($D40,$B$3:$E$14,COLUMN(F$26)-COLUMN($C$26),0)</x:f>
        <x:v>0.7</x:v>
      </x:c>
      <x:c r="H40" s="7" t="n">
        <x:f t="shared" si="3">VLOOKUP($D40,$B$3:$E$14,COLUMN(G$26)-COLUMN($C$26),0)</x:f>
        <x:v>1.1</x:v>
      </x:c>
      <x:c r="I40" s="19" t="n">
        <x:v>0.99</x:v>
      </x:c>
      <x:c r="J40" s="19" t="n">
        <x:v>1.01</x:v>
      </x:c>
      <x:c r="K40" s="19" t="n">
        <x:v>0.95</x:v>
      </x:c>
      <x:c r="L40" s="19" t="n">
        <x:f t="shared" si="4">SUM(I40:K40)</x:f>
        <x:v>2.95</x:v>
      </x:c>
      <x:c r="M40" s="7" t="n">
        <x:f t="shared" si="5">VLOOKUP(C40,$B$14:$C$16,2,0)</x:f>
        <x:v>1</x:v>
      </x:c>
      <x:c r="N40" s="7" t="n">
        <x:f t="shared" si="6">I40*F40*$M40</x:f>
        <x:v>1.188</x:v>
      </x:c>
      <x:c r="O40" s="7" t="n">
        <x:f t="shared" si="7">J40*G40*$M40</x:f>
        <x:v>0.707</x:v>
      </x:c>
      <x:c r="P40" s="7" t="n">
        <x:f t="shared" si="8">K40*H40*$M40</x:f>
        <x:v>1.045</x:v>
      </x:c>
      <x:c r="Q40" s="19" t="str">
        <x:v>攻击百分比</x:v>
      </x:c>
      <x:c r="R40" s="19" t="str">
        <x:v>必杀伤害加成</x:v>
      </x:c>
      <x:c r="S40" s="19" t="str">
        <x:v>暴击等级</x:v>
      </x:c>
      <x:c r="T40" s="19" t="n">
        <x:f>I40</x:f>
        <x:v>0.99</x:v>
      </x:c>
      <x:c r="U40" s="19" t="n">
        <x:f>J40</x:f>
        <x:v>1.01</x:v>
      </x:c>
      <x:c r="V40" s="19" t="n">
        <x:f>K40</x:f>
        <x:v>0.95</x:v>
      </x:c>
      <x:c r="W40" s="7" t="n">
        <x:f t="shared" si="12">VLOOKUP(C40,$B$19:$C$21,2,0)</x:f>
        <x:v>1</x:v>
      </x:c>
      <x:c r="X40" s="7" t="n">
        <x:f t="shared" si="13">F40*T40*$W40</x:f>
        <x:v>1.188</x:v>
      </x:c>
      <x:c r="Y40" s="7" t="n">
        <x:f t="shared" si="14">G40*U40*$W40</x:f>
        <x:v>0.707</x:v>
      </x:c>
      <x:c r="Z40" s="7" t="n">
        <x:f t="shared" si="15">H40*V40*$W40</x:f>
        <x:v>1.045</x:v>
      </x:c>
      <x:c r="AA40" s="19" t="str">
        <x:v>攻击百分比</x:v>
      </x:c>
      <x:c r="AB40" s="19" t="str">
        <x:v>魔法伤害加成</x:v>
      </x:c>
      <x:c r="AC40" s="19" t="str">
        <x:v>必杀伤害加成</x:v>
      </x:c>
    </x:row>
    <x:row r="41">
      <x:c r="A41" s="1" t="n">
        <x:v>1011</x:v>
      </x:c>
      <x:c r="B41" s="1" t="str">
        <x:v>陈双双</x:v>
      </x:c>
      <x:c r="C41" s="18" t="str">
        <x:v>SSR</x:v>
      </x:c>
      <x:c r="D41" s="1" t="str">
        <x:v>辅助（攻击）</x:v>
      </x:c>
      <x:c r="E41"/>
      <x:c r="F41" s="7" t="n">
        <x:f t="shared" si="1">VLOOKUP($D41,$B$3:$E$14,COLUMN(E$26)-COLUMN($C$26),0)</x:f>
        <x:v>1</x:v>
      </x:c>
      <x:c r="G41" s="7" t="n">
        <x:f t="shared" si="2">VLOOKUP($D41,$B$3:$E$14,COLUMN(F$26)-COLUMN($C$26),0)</x:f>
        <x:v>0.9</x:v>
      </x:c>
      <x:c r="H41" s="7" t="n">
        <x:f t="shared" si="3">VLOOKUP($D41,$B$3:$E$14,COLUMN(G$26)-COLUMN($C$26),0)</x:f>
        <x:v>1.1</x:v>
      </x:c>
      <x:c r="I41" s="19" t="n">
        <x:v>1.02</x:v>
      </x:c>
      <x:c r="J41" s="19" t="n">
        <x:v>1.01</x:v>
      </x:c>
      <x:c r="K41" s="19" t="n">
        <x:v>0.95</x:v>
      </x:c>
      <x:c r="L41" s="19" t="n">
        <x:f t="shared" si="4">SUM(I41:K41)</x:f>
        <x:v>2.9800000000000004</x:v>
      </x:c>
      <x:c r="M41" s="7" t="n">
        <x:f t="shared" si="5">VLOOKUP(C41,$B$14:$C$16,2,0)</x:f>
        <x:v>1</x:v>
      </x:c>
      <x:c r="N41" s="7" t="n">
        <x:f t="shared" si="6">I41*F41*$M41</x:f>
        <x:v>1.02</x:v>
      </x:c>
      <x:c r="O41" s="7" t="n">
        <x:f t="shared" si="7">J41*G41*$M41</x:f>
        <x:v>0.909</x:v>
      </x:c>
      <x:c r="P41" s="7" t="n">
        <x:f t="shared" si="8">K41*H41*$M41</x:f>
        <x:v>1.045</x:v>
      </x:c>
      <x:c r="Q41" s="19" t="str">
        <x:v>攻击百分比</x:v>
      </x:c>
      <x:c r="R41" s="19" t="str">
        <x:v>治疗率</x:v>
      </x:c>
      <x:c r="S41" s="19" t="str">
        <x:v>能量回复等级</x:v>
      </x:c>
      <x:c r="T41" s="19" t="n">
        <x:v>1</x:v>
      </x:c>
      <x:c r="U41" s="19" t="n">
        <x:v>1</x:v>
      </x:c>
      <x:c r="V41" s="19" t="n">
        <x:v>1</x:v>
      </x:c>
      <x:c r="W41" s="7" t="n">
        <x:f t="shared" si="12">VLOOKUP(C41,$B$19:$C$21,2,0)</x:f>
        <x:v>1</x:v>
      </x:c>
      <x:c r="X41" s="7" t="n">
        <x:f t="shared" si="13">F41*T41*$W41</x:f>
        <x:v>1</x:v>
      </x:c>
      <x:c r="Y41" s="7" t="n">
        <x:f t="shared" si="14">G41*U41*$W41</x:f>
        <x:v>0.9</x:v>
      </x:c>
      <x:c r="Z41" s="7" t="n">
        <x:f t="shared" si="15">H41*V41*$W41</x:f>
        <x:v>1.1</x:v>
      </x:c>
      <x:c r="AA41" s="19" t="str">
        <x:v>治疗率</x:v>
      </x:c>
      <x:c r="AB41" s="19" t="str">
        <x:v>魔法伤害加成</x:v>
      </x:c>
      <x:c r="AC41" s="19" t="str">
        <x:v>治疗率</x:v>
      </x:c>
    </x:row>
    <x:row r="42">
      <x:c r="A42" s="1" t="n">
        <x:v>1014</x:v>
      </x:c>
      <x:c r="B42" s="1" t="str">
        <x:v>克莉丝汀</x:v>
      </x:c>
      <x:c r="C42" s="18" t="str">
        <x:v>SSR</x:v>
      </x:c>
      <x:c r="D42" s="1" t="str">
        <x:v>输出（战士）</x:v>
      </x:c>
      <x:c r="E42"/>
      <x:c r="F42" s="7" t="n">
        <x:f t="shared" si="1">VLOOKUP($D42,$B$3:$E$14,COLUMN(E$26)-COLUMN($C$26),0)</x:f>
        <x:v>1.05</x:v>
      </x:c>
      <x:c r="G42" s="7" t="n">
        <x:f t="shared" si="2">VLOOKUP($D42,$B$3:$E$14,COLUMN(F$26)-COLUMN($C$26),0)</x:f>
        <x:v>0.95</x:v>
      </x:c>
      <x:c r="H42" s="7" t="n">
        <x:f t="shared" si="3">VLOOKUP($D42,$B$3:$E$14,COLUMN(G$26)-COLUMN($C$26),0)</x:f>
        <x:v>1</x:v>
      </x:c>
      <x:c r="I42" s="19" t="n">
        <x:v>1</x:v>
      </x:c>
      <x:c r="J42" s="19" t="n">
        <x:v>1.02</x:v>
      </x:c>
      <x:c r="K42" s="19" t="n">
        <x:v>0.98</x:v>
      </x:c>
      <x:c r="L42" s="19" t="n">
        <x:f t="shared" si="4">SUM(I42:K42)</x:f>
        <x:v>3</x:v>
      </x:c>
      <x:c r="M42" s="7" t="n">
        <x:f t="shared" si="5">VLOOKUP(C42,$B$14:$C$16,2,0)</x:f>
        <x:v>1</x:v>
      </x:c>
      <x:c r="N42" s="7" t="n">
        <x:f t="shared" si="6">I42*F42*$M42</x:f>
        <x:v>1.05</x:v>
      </x:c>
      <x:c r="O42" s="7" t="n">
        <x:f t="shared" si="7">J42*G42*$M42</x:f>
        <x:v>0.969</x:v>
      </x:c>
      <x:c r="P42" s="7" t="n">
        <x:f t="shared" si="8">K42*H42*$M42</x:f>
        <x:v>0.98</x:v>
      </x:c>
      <x:c r="Q42" s="19" t="str">
        <x:v>攻击百分比</x:v>
      </x:c>
      <x:c r="R42" s="19" t="str">
        <x:v>必杀伤害加成</x:v>
      </x:c>
      <x:c r="S42" s="19" t="str">
        <x:v>技能伤害加成</x:v>
      </x:c>
      <x:c r="T42" s="19" t="n">
        <x:v>1</x:v>
      </x:c>
      <x:c r="U42" s="19" t="n">
        <x:v>1</x:v>
      </x:c>
      <x:c r="V42" s="19" t="n">
        <x:v>1</x:v>
      </x:c>
      <x:c r="W42" s="7" t="n">
        <x:f t="shared" si="12">VLOOKUP(C42,$B$19:$C$21,2,0)</x:f>
        <x:v>1</x:v>
      </x:c>
      <x:c r="X42" s="7" t="n">
        <x:f t="shared" si="13">F42*T42*$W42</x:f>
        <x:v>1.05</x:v>
      </x:c>
      <x:c r="Y42" s="7" t="n">
        <x:f t="shared" si="14">G42*U42*$W42</x:f>
        <x:v>0.95</x:v>
      </x:c>
      <x:c r="Z42" s="7" t="n">
        <x:f t="shared" si="15">H42*V42*$W42</x:f>
        <x:v>1</x:v>
      </x:c>
      <x:c r="AA42" s="19" t="str">
        <x:v>攻击百分比</x:v>
      </x:c>
      <x:c r="AB42" s="19" t="str">
        <x:v>物理伤害加成</x:v>
      </x:c>
      <x:c r="AC42" s="19" t="str">
        <x:v>必杀伤害加成</x:v>
      </x:c>
    </x:row>
    <x:row r="43">
      <x:c r="A43" s="1" t="n">
        <x:v>1015</x:v>
      </x:c>
      <x:c r="B43" s="1" t="str">
        <x:v>阿莱克西娅</x:v>
      </x:c>
      <x:c r="C43" s="18" t="str">
        <x:v>SSR</x:v>
      </x:c>
      <x:c r="D43" s="1" t="str">
        <x:v>辅助（生命）</x:v>
      </x:c>
      <x:c r="E43"/>
      <x:c r="F43" s="7" t="n">
        <x:f t="shared" si="1">VLOOKUP($D43,$B$3:$E$14,COLUMN(E$26)-COLUMN($C$26),0)</x:f>
        <x:v>1.2</x:v>
      </x:c>
      <x:c r="G43" s="7" t="n">
        <x:f t="shared" si="2">VLOOKUP($D43,$B$3:$E$14,COLUMN(F$26)-COLUMN($C$26),0)</x:f>
        <x:v>0.85</x:v>
      </x:c>
      <x:c r="H43" s="7" t="n">
        <x:f t="shared" si="3">VLOOKUP($D43,$B$3:$E$14,COLUMN(G$26)-COLUMN($C$26),0)</x:f>
        <x:v>0.95</x:v>
      </x:c>
      <x:c r="I43" s="19" t="n">
        <x:v>1.15</x:v>
      </x:c>
      <x:c r="J43" s="19" t="n">
        <x:v>0.95</x:v>
      </x:c>
      <x:c r="K43" s="19" t="n">
        <x:v>1</x:v>
      </x:c>
      <x:c r="L43" s="19" t="n">
        <x:f t="shared" si="4">SUM(I43:K43)</x:f>
        <x:v>3.0999999999999996</x:v>
      </x:c>
      <x:c r="M43" s="7" t="n">
        <x:f t="shared" si="5">VLOOKUP(C43,$B$14:$C$16,2,0)</x:f>
        <x:v>1</x:v>
      </x:c>
      <x:c r="N43" s="7" t="n">
        <x:f t="shared" si="6">I43*F43*$M43</x:f>
        <x:v>1.38</x:v>
      </x:c>
      <x:c r="O43" s="7" t="n">
        <x:f t="shared" si="7">J43*G43*$M43</x:f>
        <x:v>0.8075</x:v>
      </x:c>
      <x:c r="P43" s="7" t="n">
        <x:f t="shared" si="8">K43*H43*$M43</x:f>
        <x:v>0.95</x:v>
      </x:c>
      <x:c r="Q43" s="19" t="str">
        <x:v>生命值百分比</x:v>
      </x:c>
      <x:c r="R43" s="19" t="str">
        <x:v>治疗率</x:v>
      </x:c>
      <x:c r="S43" s="19" t="str">
        <x:v>技能冷却等级</x:v>
      </x:c>
      <x:c r="T43" s="19" t="n">
        <x:v>1</x:v>
      </x:c>
      <x:c r="U43" s="19" t="n">
        <x:v>1</x:v>
      </x:c>
      <x:c r="V43" s="19" t="n">
        <x:v>1</x:v>
      </x:c>
      <x:c r="W43" s="7" t="n">
        <x:f t="shared" si="12">VLOOKUP(C43,$B$19:$C$21,2,0)</x:f>
        <x:v>1</x:v>
      </x:c>
      <x:c r="X43" s="7" t="n">
        <x:f t="shared" si="13">F43*T43*$W43</x:f>
        <x:v>1.2</x:v>
      </x:c>
      <x:c r="Y43" s="7" t="n">
        <x:f t="shared" si="14">G43*U43*$W43</x:f>
        <x:v>0.85</x:v>
      </x:c>
      <x:c r="Z43" s="7" t="n">
        <x:f t="shared" si="15">H43*V43*$W43</x:f>
        <x:v>0.95</x:v>
      </x:c>
      <x:c r="AA43" s="19" t="str">
        <x:v>生命值百分比</x:v>
      </x:c>
      <x:c r="AB43" s="19" t="str">
        <x:v>魔法伤害加成</x:v>
      </x:c>
      <x:c r="AC43" s="19" t="str">
        <x:v>治疗率</x:v>
      </x:c>
    </x:row>
    <x:row r="44">
      <x:c r="A44" s="1" t="n">
        <x:v>1012</x:v>
      </x:c>
      <x:c r="B44" s="1" t="str">
        <x:v>艾德琳</x:v>
      </x:c>
      <x:c r="C44" s="20" t="str">
        <x:v>SR</x:v>
      </x:c>
      <x:c r="D44" s="1" t="str">
        <x:v>辅助（均衡）</x:v>
      </x:c>
      <x:c r="E44"/>
      <x:c r="F44" s="7" t="n">
        <x:f t="shared" si="1">VLOOKUP($D44,$B$3:$E$14,COLUMN(E$26)-COLUMN($C$26),0)</x:f>
        <x:v>1.1</x:v>
      </x:c>
      <x:c r="G44" s="7" t="n">
        <x:f t="shared" si="2">VLOOKUP($D44,$B$3:$E$14,COLUMN(F$26)-COLUMN($C$26),0)</x:f>
        <x:v>0.85</x:v>
      </x:c>
      <x:c r="H44" s="7" t="n">
        <x:f t="shared" si="3">VLOOKUP($D44,$B$3:$E$14,COLUMN(G$26)-COLUMN($C$26),0)</x:f>
        <x:v>1.05</x:v>
      </x:c>
      <x:c r="I44" s="19" t="n">
        <x:v>0.9</x:v>
      </x:c>
      <x:c r="J44" s="19" t="n">
        <x:v>0.9</x:v>
      </x:c>
      <x:c r="K44" s="19" t="n">
        <x:v>1.1</x:v>
      </x:c>
      <x:c r="L44" s="19" t="n">
        <x:f t="shared" si="4">SUM(I44:K44)</x:f>
        <x:v>2.9000000000000004</x:v>
      </x:c>
      <x:c r="M44" s="7" t="n">
        <x:f t="shared" si="5">VLOOKUP(C44,$B$14:$C$16,2,0)</x:f>
        <x:v>0.8</x:v>
      </x:c>
      <x:c r="N44" s="7" t="n">
        <x:f t="shared" si="6">I44*F44*$M44</x:f>
        <x:v>0.7920000000000001</x:v>
      </x:c>
      <x:c r="O44" s="7" t="n">
        <x:f t="shared" si="7">J44*G44*$M44</x:f>
        <x:v>0.6120000000000001</x:v>
      </x:c>
      <x:c r="P44" s="7" t="n">
        <x:f t="shared" si="8">K44*H44*$M44</x:f>
        <x:v>0.9240000000000003</x:v>
      </x:c>
      <x:c r="Q44" s="19" t="str">
        <x:v>攻击百分比</x:v>
      </x:c>
      <x:c r="R44" s="19" t="str">
        <x:v>能量回复等级</x:v>
      </x:c>
      <x:c r="S44" s="19" t="str">
        <x:v>技能冷却等级</x:v>
      </x:c>
      <x:c r="T44" s="19" t="n">
        <x:v>1</x:v>
      </x:c>
      <x:c r="U44" s="19" t="n">
        <x:v>1</x:v>
      </x:c>
      <x:c r="V44" s="19" t="n">
        <x:v>1</x:v>
      </x:c>
      <x:c r="W44" s="7" t="n">
        <x:f t="shared" si="12">VLOOKUP(C44,$B$19:$C$21,2,0)</x:f>
        <x:v>0.75</x:v>
      </x:c>
      <x:c r="X44" s="7" t="n">
        <x:f t="shared" si="13">F44*T44*$W44</x:f>
        <x:v>0.8250000000000001</x:v>
      </x:c>
      <x:c r="Y44" s="7" t="n">
        <x:f t="shared" si="14">G44*U44*$W44</x:f>
        <x:v>0.6375</x:v>
      </x:c>
      <x:c r="Z44" s="7" t="n">
        <x:f t="shared" si="15">H44*V44*$W44</x:f>
        <x:v>0.7875000000000001</x:v>
      </x:c>
      <x:c r="AA44" s="19" t="str">
        <x:v>必杀伤害加成</x:v>
      </x:c>
      <x:c r="AB44" s="19" t="str">
        <x:v>魔法伤害加成</x:v>
      </x:c>
      <x:c r="AC44" s="19" t="str">
        <x:v>能量回复等级</x:v>
      </x:c>
    </x:row>
    <x:row r="45">
      <x:c r="A45" s="1" t="n">
        <x:v>1008</x:v>
      </x:c>
      <x:c r="B45" s="1" t="str">
        <x:v>薇</x:v>
      </x:c>
      <x:c r="C45" s="18" t="str">
        <x:v>SSR</x:v>
      </x:c>
      <x:c r="D45" s="1" t="str">
        <x:v>输出（射手）</x:v>
      </x:c>
      <x:c r="E45"/>
      <x:c r="F45" s="7" t="n">
        <x:f t="shared" si="1">VLOOKUP($D45,$B$3:$E$14,COLUMN(E$26)-COLUMN($C$26),0)</x:f>
        <x:v>0.9</x:v>
      </x:c>
      <x:c r="G45" s="7" t="n">
        <x:f t="shared" si="2">VLOOKUP($D45,$B$3:$E$14,COLUMN(F$26)-COLUMN($C$26),0)</x:f>
        <x:v>1.1</x:v>
      </x:c>
      <x:c r="H45" s="7" t="n">
        <x:f t="shared" si="3">VLOOKUP($D45,$B$3:$E$14,COLUMN(G$26)-COLUMN($C$26),0)</x:f>
        <x:v>1</x:v>
      </x:c>
      <x:c r="I45" s="19" t="n">
        <x:v>1</x:v>
      </x:c>
      <x:c r="J45" s="19" t="n">
        <x:v>1.05</x:v>
      </x:c>
      <x:c r="K45" s="19" t="n">
        <x:v>1</x:v>
      </x:c>
      <x:c r="L45" s="19" t="n">
        <x:f t="shared" si="4">SUM(I45:K45)</x:f>
        <x:v>3.05</x:v>
      </x:c>
      <x:c r="M45" s="7" t="n">
        <x:f t="shared" si="5">VLOOKUP(C45,$B$14:$C$16,2,0)</x:f>
        <x:v>1</x:v>
      </x:c>
      <x:c r="N45" s="7" t="n">
        <x:f t="shared" si="6">I45*F45*$M45</x:f>
        <x:v>0.9</x:v>
      </x:c>
      <x:c r="O45" s="7" t="n">
        <x:f t="shared" si="7">J45*G45*$M45</x:f>
        <x:v>1.1550000000000002</x:v>
      </x:c>
      <x:c r="P45" s="7" t="n">
        <x:f t="shared" si="8">K45*H45*$M45</x:f>
        <x:v>1</x:v>
      </x:c>
      <x:c r="Q45" s="19" t="str">
        <x:v>技能冷却等级</x:v>
      </x:c>
      <x:c r="R45" s="19" t="str">
        <x:v>攻击百分比</x:v>
      </x:c>
      <x:c r="S45" s="19" t="str">
        <x:v>攻击百分比</x:v>
      </x:c>
      <x:c r="T45" s="19" t="n">
        <x:f>I45</x:f>
        <x:v>1</x:v>
      </x:c>
      <x:c r="U45" s="19" t="n">
        <x:f>J45</x:f>
        <x:v>1.05</x:v>
      </x:c>
      <x:c r="V45" s="19" t="n">
        <x:f>K45</x:f>
        <x:v>1</x:v>
      </x:c>
      <x:c r="W45" s="7" t="n">
        <x:f t="shared" si="12">VLOOKUP(C45,$B$19:$C$21,2,0)</x:f>
        <x:v>1</x:v>
      </x:c>
      <x:c r="X45" s="7" t="n">
        <x:f t="shared" si="13">F45*T45*$W45</x:f>
        <x:v>0.9</x:v>
      </x:c>
      <x:c r="Y45" s="7" t="n">
        <x:f t="shared" si="14">G45*U45*$W45</x:f>
        <x:v>1.1550000000000002</x:v>
      </x:c>
      <x:c r="Z45" s="7" t="n">
        <x:f t="shared" si="15">H45*V45*$W45</x:f>
        <x:v>1</x:v>
      </x:c>
      <x:c r="AA45" s="19" t="str">
        <x:v>普攻伤害加成</x:v>
      </x:c>
      <x:c r="AB45" s="19" t="str">
        <x:v>物理伤害加成</x:v>
      </x:c>
      <x:c r="AC45" s="19" t="str">
        <x:v>暴击等级</x:v>
      </x:c>
    </x:row>
    <x:row r="46">
      <x:c r="A46" s="1" t="n">
        <x:v>1018</x:v>
      </x:c>
      <x:c r="B46" s="1" t="str">
        <x:v>埃莉诺</x:v>
      </x:c>
      <x:c r="C46" s="20" t="str">
        <x:v>SR</x:v>
      </x:c>
      <x:c r="D46" s="1" t="str">
        <x:v>辅助（生命）</x:v>
      </x:c>
      <x:c r="E46"/>
      <x:c r="F46" s="7" t="n">
        <x:f t="shared" si="1">VLOOKUP($D46,$B$3:$E$14,COLUMN(E$26)-COLUMN($C$26),0)</x:f>
        <x:v>1.2</x:v>
      </x:c>
      <x:c r="G46" s="7" t="n">
        <x:f t="shared" si="2">VLOOKUP($D46,$B$3:$E$14,COLUMN(F$26)-COLUMN($C$26),0)</x:f>
        <x:v>0.85</x:v>
      </x:c>
      <x:c r="H46" s="7" t="n">
        <x:f t="shared" si="3">VLOOKUP($D46,$B$3:$E$14,COLUMN(G$26)-COLUMN($C$26),0)</x:f>
        <x:v>0.95</x:v>
      </x:c>
      <x:c r="I46" s="19" t="n">
        <x:v>1.1</x:v>
      </x:c>
      <x:c r="J46" s="19" t="n">
        <x:v>0.95</x:v>
      </x:c>
      <x:c r="K46" s="19" t="n">
        <x:v>1.05</x:v>
      </x:c>
      <x:c r="L46" s="19" t="n">
        <x:f t="shared" si="4">SUM(I46:K46)</x:f>
        <x:v>3.0999999999999996</x:v>
      </x:c>
      <x:c r="M46" s="7" t="n">
        <x:f t="shared" si="5">VLOOKUP(C46,$B$14:$C$16,2,0)</x:f>
        <x:v>0.8</x:v>
      </x:c>
      <x:c r="N46" s="7" t="n">
        <x:f t="shared" si="6">I46*F46*$M46</x:f>
        <x:v>1.056</x:v>
      </x:c>
      <x:c r="O46" s="7" t="n">
        <x:f t="shared" si="7">J46*G46*$M46</x:f>
        <x:v>0.646</x:v>
      </x:c>
      <x:c r="P46" s="7" t="n">
        <x:f t="shared" si="8">K46*H46*$M46</x:f>
        <x:v>0.798</x:v>
      </x:c>
      <x:c r="Q46" s="19" t="str">
        <x:v>生命值百分比</x:v>
      </x:c>
      <x:c r="R46" s="19" t="str">
        <x:v>能量回复等级</x:v>
      </x:c>
      <x:c r="S46" s="19" t="str">
        <x:v>技能冷却等级</x:v>
      </x:c>
      <x:c r="T46" s="19" t="n">
        <x:v>1</x:v>
      </x:c>
      <x:c r="U46" s="19" t="n">
        <x:v>1</x:v>
      </x:c>
      <x:c r="V46" s="19" t="n">
        <x:v>1</x:v>
      </x:c>
      <x:c r="W46" s="7" t="n">
        <x:f t="shared" si="12">VLOOKUP(C46,$B$19:$C$21,2,0)</x:f>
        <x:v>0.75</x:v>
      </x:c>
      <x:c r="X46" s="7" t="n">
        <x:f t="shared" si="13">F46*T46*$W46</x:f>
        <x:v>0.8999999999999999</x:v>
      </x:c>
      <x:c r="Y46" s="7" t="n">
        <x:f t="shared" si="14">G46*U46*$W46</x:f>
        <x:v>0.6375</x:v>
      </x:c>
      <x:c r="Z46" s="7" t="n">
        <x:f t="shared" si="15">H46*V46*$W46</x:f>
        <x:v>0.7124999999999999</x:v>
      </x:c>
      <x:c r="AA46" s="19" t="str">
        <x:v>生命值百分比</x:v>
      </x:c>
      <x:c r="AB46" s="19" t="str">
        <x:v>能量回复等级</x:v>
      </x:c>
      <x:c r="AC46" s="19" t="str">
        <x:v>暴击等级</x:v>
      </x:c>
    </x:row>
    <x:row r="47">
      <x:c r="A47" s="1" t="n">
        <x:v>1026</x:v>
      </x:c>
      <x:c r="B47" s="1" t="str">
        <x:v>乔一</x:v>
      </x:c>
      <x:c r="C47" s="20" t="str">
        <x:v>SR</x:v>
      </x:c>
      <x:c r="D47" s="1" t="str">
        <x:v>输出（法师）</x:v>
      </x:c>
      <x:c r="E47"/>
      <x:c r="F47" s="7" t="n">
        <x:f t="shared" si="1">VLOOKUP($D47,$B$3:$E$14,COLUMN(E$26)-COLUMN($C$26),0)</x:f>
        <x:v>0.8</x:v>
      </x:c>
      <x:c r="G47" s="7" t="n">
        <x:f t="shared" si="2">VLOOKUP($D47,$B$3:$E$14,COLUMN(F$26)-COLUMN($C$26),0)</x:f>
        <x:v>1.2</x:v>
      </x:c>
      <x:c r="H47" s="7" t="n">
        <x:f t="shared" si="3">VLOOKUP($D47,$B$3:$E$14,COLUMN(G$26)-COLUMN($C$26),0)</x:f>
        <x:v>1</x:v>
      </x:c>
      <x:c r="I47" s="19" t="n">
        <x:v>0.96</x:v>
      </x:c>
      <x:c r="J47" s="19" t="n">
        <x:v>1.03</x:v>
      </x:c>
      <x:c r="K47" s="19" t="n">
        <x:v>0.98</x:v>
      </x:c>
      <x:c r="L47" s="19" t="n">
        <x:f t="shared" si="4">SUM(I47:K47)</x:f>
        <x:v>2.9699999999999998</x:v>
      </x:c>
      <x:c r="M47" s="7" t="n">
        <x:f t="shared" si="5">VLOOKUP(C47,$B$14:$C$16,2,0)</x:f>
        <x:v>0.8</x:v>
      </x:c>
      <x:c r="N47" s="7" t="n">
        <x:f t="shared" si="6">I47*F47*$M47</x:f>
        <x:v>0.6144000000000001</x:v>
      </x:c>
      <x:c r="O47" s="7" t="n">
        <x:f t="shared" si="7">J47*G47*$M47</x:f>
        <x:v>0.9888</x:v>
      </x:c>
      <x:c r="P47" s="7" t="n">
        <x:f t="shared" si="8">K47*H47*$M47</x:f>
        <x:v>0.784</x:v>
      </x:c>
      <x:c r="Q47" s="19" t="str">
        <x:v>攻击百分比</x:v>
      </x:c>
      <x:c r="R47" s="19" t="str">
        <x:v>必杀伤害加成</x:v>
      </x:c>
      <x:c r="S47" s="19" t="str">
        <x:v>暴击等级</x:v>
      </x:c>
      <x:c r="T47" s="19" t="n">
        <x:v>1</x:v>
      </x:c>
      <x:c r="U47" s="19" t="n">
        <x:v>1</x:v>
      </x:c>
      <x:c r="V47" s="19" t="n">
        <x:v>1</x:v>
      </x:c>
      <x:c r="W47" s="7" t="n">
        <x:f t="shared" si="12">VLOOKUP(C47,$B$19:$C$21,2,0)</x:f>
        <x:v>0.75</x:v>
      </x:c>
      <x:c r="X47" s="7" t="n">
        <x:f t="shared" si="13">F47*T47*$W47</x:f>
        <x:v>0.6000000000000001</x:v>
      </x:c>
      <x:c r="Y47" s="7" t="n">
        <x:f t="shared" si="14">G47*U47*$W47</x:f>
        <x:v>0.8999999999999999</x:v>
      </x:c>
      <x:c r="Z47" s="7" t="n">
        <x:f t="shared" si="15">H47*V47*$W47</x:f>
        <x:v>0.75</x:v>
      </x:c>
      <x:c r="AA47" s="19" t="str">
        <x:v>攻击百分比</x:v>
      </x:c>
      <x:c r="AB47" s="19" t="str">
        <x:v>物理伤害加成</x:v>
      </x:c>
      <x:c r="AC47" s="19" t="str">
        <x:v>必杀伤害加成</x:v>
      </x:c>
    </x:row>
    <x:row r="48">
      <x:c r="A48" s="1" t="n">
        <x:v>1027</x:v>
      </x:c>
      <x:c r="B48" s="1" t="str">
        <x:v>塞拉菲娜</x:v>
      </x:c>
      <x:c r="C48" s="20" t="str">
        <x:v>SR</x:v>
      </x:c>
      <x:c r="D48" s="1" t="str">
        <x:v>输出（射手）</x:v>
      </x:c>
      <x:c r="E48"/>
      <x:c r="F48" s="7" t="n">
        <x:f t="shared" si="1">VLOOKUP($D48,$B$3:$E$14,COLUMN(E$26)-COLUMN($C$26),0)</x:f>
        <x:v>0.9</x:v>
      </x:c>
      <x:c r="G48" s="7" t="n">
        <x:f t="shared" si="2">VLOOKUP($D48,$B$3:$E$14,COLUMN(F$26)-COLUMN($C$26),0)</x:f>
        <x:v>1.1</x:v>
      </x:c>
      <x:c r="H48" s="7" t="n">
        <x:f t="shared" si="3">VLOOKUP($D48,$B$3:$E$14,COLUMN(G$26)-COLUMN($C$26),0)</x:f>
        <x:v>1</x:v>
      </x:c>
      <x:c r="I48" s="19" t="n">
        <x:v>0.97</x:v>
      </x:c>
      <x:c r="J48" s="19" t="n">
        <x:v>1.05</x:v>
      </x:c>
      <x:c r="K48" s="19" t="n">
        <x:v>1.05</x:v>
      </x:c>
      <x:c r="L48" s="19" t="n">
        <x:f t="shared" si="4">SUM(I48:K48)</x:f>
        <x:v>3.0700000000000003</x:v>
      </x:c>
      <x:c r="M48" s="7" t="n">
        <x:f t="shared" si="5">VLOOKUP(C48,$B$14:$C$16,2,0)</x:f>
        <x:v>0.8</x:v>
      </x:c>
      <x:c r="N48" s="7" t="n">
        <x:f t="shared" si="6">I48*F48*$M48</x:f>
        <x:v>0.6984</x:v>
      </x:c>
      <x:c r="O48" s="7" t="n">
        <x:f t="shared" si="7">J48*G48*$M48</x:f>
        <x:v>0.9240000000000003</x:v>
      </x:c>
      <x:c r="P48" s="7" t="n">
        <x:f t="shared" si="8">K48*H48*$M48</x:f>
        <x:v>0.8400000000000001</x:v>
      </x:c>
      <x:c r="Q48" s="19" t="str">
        <x:v>攻击百分比</x:v>
      </x:c>
      <x:c r="R48" s="19" t="str">
        <x:v>普攻伤害加成</x:v>
      </x:c>
      <x:c r="S48" s="19" t="str">
        <x:v>暴击等级</x:v>
      </x:c>
      <x:c r="T48" s="19" t="n">
        <x:v>1</x:v>
      </x:c>
      <x:c r="U48" s="19" t="n">
        <x:v>1</x:v>
      </x:c>
      <x:c r="V48" s="19" t="n">
        <x:v>1</x:v>
      </x:c>
      <x:c r="W48" s="7" t="n">
        <x:f t="shared" si="12">VLOOKUP(C48,$B$19:$C$21,2,0)</x:f>
        <x:v>0.75</x:v>
      </x:c>
      <x:c r="X48" s="7" t="n">
        <x:f t="shared" si="13">F48*T48*$W48</x:f>
        <x:v>0.675</x:v>
      </x:c>
      <x:c r="Y48" s="7" t="n">
        <x:f t="shared" si="14">G48*U48*$W48</x:f>
        <x:v>0.8250000000000001</x:v>
      </x:c>
      <x:c r="Z48" s="7" t="n">
        <x:f t="shared" si="15">H48*V48*$W48</x:f>
        <x:v>0.75</x:v>
      </x:c>
      <x:c r="AA48" s="19" t="str">
        <x:v>暴击伤害等级</x:v>
      </x:c>
      <x:c r="AB48" s="19" t="str">
        <x:v>物理伤害加成</x:v>
      </x:c>
      <x:c r="AC48" s="19" t="str">
        <x:v>暴击等级</x:v>
      </x:c>
    </x:row>
    <x:row r="49">
      <x:c r="A49" s="1" t="n">
        <x:v>1031</x:v>
      </x:c>
      <x:c r="B49" s="1" t="str">
        <x:v>桑塔</x:v>
      </x:c>
      <x:c r="C49" s="20" t="str">
        <x:v>SR</x:v>
      </x:c>
      <x:c r="D49" s="1" t="str">
        <x:v>输出（战士）</x:v>
      </x:c>
      <x:c r="E49"/>
      <x:c r="F49" s="7" t="n">
        <x:f t="shared" si="1">VLOOKUP($D49,$B$3:$E$14,COLUMN(E$26)-COLUMN($C$26),0)</x:f>
        <x:v>1.05</x:v>
      </x:c>
      <x:c r="G49" s="7" t="n">
        <x:f t="shared" si="2">VLOOKUP($D49,$B$3:$E$14,COLUMN(F$26)-COLUMN($C$26),0)</x:f>
        <x:v>0.95</x:v>
      </x:c>
      <x:c r="H49" s="7" t="n">
        <x:f t="shared" si="3">VLOOKUP($D49,$B$3:$E$14,COLUMN(G$26)-COLUMN($C$26),0)</x:f>
        <x:v>1</x:v>
      </x:c>
      <x:c r="I49" s="19" t="n">
        <x:v>0.98</x:v>
      </x:c>
      <x:c r="J49" s="19" t="n">
        <x:v>0.98</x:v>
      </x:c>
      <x:c r="K49" s="19" t="n">
        <x:v>1.04</x:v>
      </x:c>
      <x:c r="L49" s="19" t="n">
        <x:f t="shared" si="4">SUM(I49:K49)</x:f>
        <x:v>3</x:v>
      </x:c>
      <x:c r="M49" s="7" t="n">
        <x:f t="shared" si="5">VLOOKUP(C49,$B$14:$C$16,2,0)</x:f>
        <x:v>0.8</x:v>
      </x:c>
      <x:c r="N49" s="7" t="n">
        <x:f t="shared" si="6">I49*F49*$M49</x:f>
        <x:v>0.8231999999999999</x:v>
      </x:c>
      <x:c r="O49" s="7" t="n">
        <x:f t="shared" si="7">J49*G49*$M49</x:f>
        <x:v>0.7448</x:v>
      </x:c>
      <x:c r="P49" s="7" t="n">
        <x:f t="shared" si="8">K49*H49*$M49</x:f>
        <x:v>0.8320000000000001</x:v>
      </x:c>
      <x:c r="Q49" s="19" t="str">
        <x:v>攻击百分比</x:v>
      </x:c>
      <x:c r="R49" s="19" t="str">
        <x:v>暴击等级</x:v>
      </x:c>
      <x:c r="S49" s="19" t="str">
        <x:v>普攻伤害加成</x:v>
      </x:c>
      <x:c r="T49" s="19" t="n">
        <x:v>1</x:v>
      </x:c>
      <x:c r="U49" s="19" t="n">
        <x:v>1</x:v>
      </x:c>
      <x:c r="V49" s="19" t="n">
        <x:v>1</x:v>
      </x:c>
      <x:c r="W49" s="7" t="n">
        <x:f t="shared" si="12">VLOOKUP(C49,$B$19:$C$21,2,0)</x:f>
        <x:v>0.75</x:v>
      </x:c>
      <x:c r="X49" s="7" t="n">
        <x:f t="shared" si="13">F49*T49*$W49</x:f>
        <x:v>0.7875000000000001</x:v>
      </x:c>
      <x:c r="Y49" s="7" t="n">
        <x:f t="shared" si="14">G49*U49*$W49</x:f>
        <x:v>0.7124999999999999</x:v>
      </x:c>
      <x:c r="Z49" s="7" t="n">
        <x:f t="shared" si="15">H49*V49*$W49</x:f>
        <x:v>0.75</x:v>
      </x:c>
      <x:c r="AA49" s="19" t="str">
        <x:v>攻击百分比</x:v>
      </x:c>
      <x:c r="AB49" s="19" t="str">
        <x:v>物理伤害加成</x:v>
      </x:c>
      <x:c r="AC49" s="19" t="str">
        <x:v>暴击伤害等级</x:v>
      </x:c>
    </x:row>
    <x:row r="50">
      <x:c r="A50" s="1" t="n">
        <x:v>1020</x:v>
      </x:c>
      <x:c r="B50" s="1" t="str">
        <x:v>卡斯帕</x:v>
      </x:c>
      <x:c r="C50" s="20" t="str">
        <x:v>SR</x:v>
      </x:c>
      <x:c r="D50" s="1" t="str">
        <x:v>辅助（均衡）</x:v>
      </x:c>
      <x:c r="E50"/>
      <x:c r="F50" s="7" t="n">
        <x:f t="shared" si="1">VLOOKUP($D50,$B$3:$E$14,COLUMN(E$26)-COLUMN($C$26),0)</x:f>
        <x:v>1.1</x:v>
      </x:c>
      <x:c r="G50" s="7" t="n">
        <x:f t="shared" si="2">VLOOKUP($D50,$B$3:$E$14,COLUMN(F$26)-COLUMN($C$26),0)</x:f>
        <x:v>0.85</x:v>
      </x:c>
      <x:c r="H50" s="7" t="n">
        <x:f t="shared" si="3">VLOOKUP($D50,$B$3:$E$14,COLUMN(G$26)-COLUMN($C$26),0)</x:f>
        <x:v>1.05</x:v>
      </x:c>
      <x:c r="I50" s="19" t="n">
        <x:v>1</x:v>
      </x:c>
      <x:c r="J50" s="19" t="n">
        <x:v>1.05</x:v>
      </x:c>
      <x:c r="K50" s="19" t="n">
        <x:v>0.98</x:v>
      </x:c>
      <x:c r="L50" s="19" t="n">
        <x:f t="shared" si="4">SUM(I50:K50)</x:f>
        <x:v>3.03</x:v>
      </x:c>
      <x:c r="M50" s="7" t="n">
        <x:f t="shared" si="5">VLOOKUP(C50,$B$14:$C$16,2,0)</x:f>
        <x:v>0.8</x:v>
      </x:c>
      <x:c r="N50" s="7" t="n">
        <x:f t="shared" si="6">I50*F50*$M50</x:f>
        <x:v>0.8800000000000001</x:v>
      </x:c>
      <x:c r="O50" s="7" t="n">
        <x:f t="shared" si="7">J50*G50*$M50</x:f>
        <x:v>0.714</x:v>
      </x:c>
      <x:c r="P50" s="7" t="n">
        <x:f t="shared" si="8">K50*H50*$M50</x:f>
        <x:v>0.8231999999999999</x:v>
      </x:c>
      <x:c r="Q50" s="19" t="str">
        <x:v>攻击百分比</x:v>
      </x:c>
      <x:c r="R50" s="19" t="str">
        <x:v>技能冷却等级</x:v>
      </x:c>
      <x:c r="S50" s="19" t="str">
        <x:v>能量回复等级</x:v>
      </x:c>
      <x:c r="T50" s="19" t="n">
        <x:v>1</x:v>
      </x:c>
      <x:c r="U50" s="19" t="n">
        <x:v>1</x:v>
      </x:c>
      <x:c r="V50" s="19" t="n">
        <x:v>1</x:v>
      </x:c>
      <x:c r="W50" s="7" t="n">
        <x:f t="shared" si="12">VLOOKUP(C50,$B$19:$C$21,2,0)</x:f>
        <x:v>0.75</x:v>
      </x:c>
      <x:c r="X50" s="7" t="n">
        <x:f t="shared" si="13">F50*T50*$W50</x:f>
        <x:v>0.8250000000000001</x:v>
      </x:c>
      <x:c r="Y50" s="7" t="n">
        <x:f t="shared" si="14">G50*U50*$W50</x:f>
        <x:v>0.6375</x:v>
      </x:c>
      <x:c r="Z50" s="7" t="n">
        <x:f t="shared" si="15">H50*V50*$W50</x:f>
        <x:v>0.7875000000000001</x:v>
      </x:c>
      <x:c r="AA50" s="27" t="str">
        <x:v>攻击百分比</x:v>
      </x:c>
      <x:c r="AB50" s="19" t="str">
        <x:v>物理伤害加成</x:v>
      </x:c>
      <x:c r="AC50" s="19" t="str">
        <x:v>技能冷却等级</x:v>
      </x:c>
    </x:row>
    <x:row r="51">
      <x:c r="A51" s="1" t="n">
        <x:v>1021</x:v>
      </x:c>
      <x:c r="B51" s="1" t="str">
        <x:v>梅梅</x:v>
      </x:c>
      <x:c r="C51" s="20" t="str">
        <x:v>SR</x:v>
      </x:c>
      <x:c r="D51" s="1" t="str">
        <x:v>输出（战士）</x:v>
      </x:c>
      <x:c r="E51"/>
      <x:c r="F51" s="7" t="n">
        <x:f t="shared" si="1">VLOOKUP($D51,$B$3:$E$14,COLUMN(E$26)-COLUMN($C$26),0)</x:f>
        <x:v>1.05</x:v>
      </x:c>
      <x:c r="G51" s="7" t="n">
        <x:f t="shared" si="2">VLOOKUP($D51,$B$3:$E$14,COLUMN(F$26)-COLUMN($C$26),0)</x:f>
        <x:v>0.95</x:v>
      </x:c>
      <x:c r="H51" s="7" t="n">
        <x:f t="shared" si="3">VLOOKUP($D51,$B$3:$E$14,COLUMN(G$26)-COLUMN($C$26),0)</x:f>
        <x:v>1</x:v>
      </x:c>
      <x:c r="I51" s="19" t="n">
        <x:v>1.05</x:v>
      </x:c>
      <x:c r="J51" s="19" t="n">
        <x:v>1.01</x:v>
      </x:c>
      <x:c r="K51" s="19" t="n">
        <x:v>0.95</x:v>
      </x:c>
      <x:c r="L51" s="19" t="n">
        <x:f t="shared" si="4">SUM(I51:K51)</x:f>
        <x:v>3.01</x:v>
      </x:c>
      <x:c r="M51" s="7" t="n">
        <x:f t="shared" si="5">VLOOKUP(C51,$B$14:$C$16,2,0)</x:f>
        <x:v>0.8</x:v>
      </x:c>
      <x:c r="N51" s="7" t="n">
        <x:f t="shared" si="6">I51*F51*$M51</x:f>
        <x:v>0.8820000000000001</x:v>
      </x:c>
      <x:c r="O51" s="7" t="n">
        <x:f t="shared" si="7">J51*G51*$M51</x:f>
        <x:v>0.7676</x:v>
      </x:c>
      <x:c r="P51" s="7" t="n">
        <x:f t="shared" si="8">K51*H51*$M51</x:f>
        <x:v>0.76</x:v>
      </x:c>
      <x:c r="Q51" s="19" t="str">
        <x:v>攻击百分比</x:v>
      </x:c>
      <x:c r="R51" s="19" t="str">
        <x:v>普攻伤害加成</x:v>
      </x:c>
      <x:c r="S51" s="19" t="str">
        <x:v>暴击等级</x:v>
      </x:c>
      <x:c r="T51" s="19" t="n">
        <x:v>1</x:v>
      </x:c>
      <x:c r="U51" s="19" t="n">
        <x:v>1</x:v>
      </x:c>
      <x:c r="V51" s="19" t="n">
        <x:v>1</x:v>
      </x:c>
      <x:c r="W51" s="7" t="n">
        <x:f t="shared" si="12">VLOOKUP(C51,$B$19:$C$21,2,0)</x:f>
        <x:v>0.75</x:v>
      </x:c>
      <x:c r="X51" s="7" t="n">
        <x:f t="shared" si="13">F51*T51*$W51</x:f>
        <x:v>0.7875000000000001</x:v>
      </x:c>
      <x:c r="Y51" s="7" t="n">
        <x:f t="shared" si="14">G51*U51*$W51</x:f>
        <x:v>0.7124999999999999</x:v>
      </x:c>
      <x:c r="Z51" s="7" t="n">
        <x:f t="shared" si="15">H51*V51*$W51</x:f>
        <x:v>0.75</x:v>
      </x:c>
      <x:c r="AA51" s="27" t="str">
        <x:v>普攻伤害加成</x:v>
      </x:c>
      <x:c r="AB51" s="19" t="str">
        <x:v>物理伤害加成</x:v>
      </x:c>
      <x:c r="AC51" s="19" t="str">
        <x:v>暴击等级</x:v>
      </x:c>
    </x:row>
    <x:row r="52">
      <x:c r="A52" s="1" t="n">
        <x:v>1023</x:v>
      </x:c>
      <x:c r="B52" s="1" t="str">
        <x:v>马克</x:v>
      </x:c>
      <x:c r="C52" s="20" t="str">
        <x:v>SR</x:v>
      </x:c>
      <x:c r="D52" s="1" t="str">
        <x:v>辅助（攻击）</x:v>
      </x:c>
      <x:c r="E52"/>
      <x:c r="F52" s="7" t="n">
        <x:f t="shared" si="1">VLOOKUP($D52,$B$3:$E$14,COLUMN(E$26)-COLUMN($C$26),0)</x:f>
        <x:v>1</x:v>
      </x:c>
      <x:c r="G52" s="7" t="n">
        <x:f t="shared" si="2">VLOOKUP($D52,$B$3:$E$14,COLUMN(F$26)-COLUMN($C$26),0)</x:f>
        <x:v>0.9</x:v>
      </x:c>
      <x:c r="H52" s="7" t="n">
        <x:f t="shared" si="3">VLOOKUP($D52,$B$3:$E$14,COLUMN(G$26)-COLUMN($C$26),0)</x:f>
        <x:v>1.1</x:v>
      </x:c>
      <x:c r="I52" s="19" t="n">
        <x:v>1.1</x:v>
      </x:c>
      <x:c r="J52" s="19" t="n">
        <x:v>0.9</x:v>
      </x:c>
      <x:c r="K52" s="19" t="n">
        <x:v>1.05</x:v>
      </x:c>
      <x:c r="L52" s="19" t="n">
        <x:f t="shared" si="4">SUM(I52:K52)</x:f>
        <x:v>3.05</x:v>
      </x:c>
      <x:c r="M52" s="7" t="n">
        <x:f t="shared" si="5">VLOOKUP(C52,$B$14:$C$16,2,0)</x:f>
        <x:v>0.8</x:v>
      </x:c>
      <x:c r="N52" s="7" t="n">
        <x:f t="shared" si="6">I52*F52*$M52</x:f>
        <x:v>0.8800000000000001</x:v>
      </x:c>
      <x:c r="O52" s="7" t="n">
        <x:f t="shared" si="7">J52*G52*$M52</x:f>
        <x:v>0.6480000000000001</x:v>
      </x:c>
      <x:c r="P52" s="7" t="n">
        <x:f t="shared" si="8">K52*H52*$M52</x:f>
        <x:v>0.9240000000000003</x:v>
      </x:c>
      <x:c r="Q52" s="19" t="str">
        <x:v>攻击百分比</x:v>
      </x:c>
      <x:c r="R52" s="19" t="str">
        <x:v>必杀伤害加成</x:v>
      </x:c>
      <x:c r="S52" s="19" t="str">
        <x:v>能量回复等级</x:v>
      </x:c>
      <x:c r="T52" s="19" t="n">
        <x:v>1</x:v>
      </x:c>
      <x:c r="U52" s="19" t="n">
        <x:v>1</x:v>
      </x:c>
      <x:c r="V52" s="19" t="n">
        <x:v>1</x:v>
      </x:c>
      <x:c r="W52" s="7" t="n">
        <x:f t="shared" si="12">VLOOKUP(C52,$B$19:$C$21,2,0)</x:f>
        <x:v>0.75</x:v>
      </x:c>
      <x:c r="X52" s="7" t="n">
        <x:f t="shared" si="13">F52*T52*$W52</x:f>
        <x:v>0.75</x:v>
      </x:c>
      <x:c r="Y52" s="7" t="n">
        <x:f t="shared" si="14">G52*U52*$W52</x:f>
        <x:v>0.675</x:v>
      </x:c>
      <x:c r="Z52" s="7" t="n">
        <x:f t="shared" si="15">H52*V52*$W52</x:f>
        <x:v>0.8250000000000001</x:v>
      </x:c>
      <x:c r="AA52" s="27" t="str">
        <x:v>必杀伤害加成</x:v>
      </x:c>
      <x:c r="AB52" s="19" t="str">
        <x:v>物理伤害加成</x:v>
      </x:c>
      <x:c r="AC52" s="19" t="str">
        <x:v>技能伤害加成</x:v>
      </x:c>
    </x:row>
    <x:row r="53">
      <x:c r="A53" s="1" t="n">
        <x:v>1024</x:v>
      </x:c>
      <x:c r="B53" s="1" t="str">
        <x:v>卡薇</x:v>
      </x:c>
      <x:c r="C53" s="20" t="str">
        <x:v>SR</x:v>
      </x:c>
      <x:c r="D53" s="1" t="str">
        <x:v>输出（法师）</x:v>
      </x:c>
      <x:c r="E53"/>
      <x:c r="F53" s="7" t="n">
        <x:f t="shared" si="1">VLOOKUP($D53,$B$3:$E$14,COLUMN(E$26)-COLUMN($C$26),0)</x:f>
        <x:v>0.8</x:v>
      </x:c>
      <x:c r="G53" s="7" t="n">
        <x:f t="shared" si="2">VLOOKUP($D53,$B$3:$E$14,COLUMN(F$26)-COLUMN($C$26),0)</x:f>
        <x:v>1.2</x:v>
      </x:c>
      <x:c r="H53" s="7" t="n">
        <x:f t="shared" si="3">VLOOKUP($D53,$B$3:$E$14,COLUMN(G$26)-COLUMN($C$26),0)</x:f>
        <x:v>1</x:v>
      </x:c>
      <x:c r="I53" s="19" t="n">
        <x:v>0.99</x:v>
      </x:c>
      <x:c r="J53" s="19" t="n">
        <x:v>1</x:v>
      </x:c>
      <x:c r="K53" s="19" t="n">
        <x:v>1</x:v>
      </x:c>
      <x:c r="L53" s="19" t="n">
        <x:f t="shared" si="4">SUM(I53:K53)</x:f>
        <x:v>2.99</x:v>
      </x:c>
      <x:c r="M53" s="7" t="n">
        <x:f t="shared" si="5">VLOOKUP(C53,$B$14:$C$16,2,0)</x:f>
        <x:v>0.8</x:v>
      </x:c>
      <x:c r="N53" s="7" t="n">
        <x:f t="shared" si="6">I53*F53*$M53</x:f>
        <x:v>0.6336</x:v>
      </x:c>
      <x:c r="O53" s="7" t="n">
        <x:f t="shared" si="7">J53*G53*$M53</x:f>
        <x:v>0.96</x:v>
      </x:c>
      <x:c r="P53" s="7" t="n">
        <x:f t="shared" si="8">K53*H53*$M53</x:f>
        <x:v>0.8</x:v>
      </x:c>
      <x:c r="Q53" s="19" t="str">
        <x:v>攻击百分比</x:v>
      </x:c>
      <x:c r="R53" s="19" t="str">
        <x:v>必杀伤害加成</x:v>
      </x:c>
      <x:c r="S53" s="19" t="str">
        <x:v>技能伤害加成</x:v>
      </x:c>
      <x:c r="T53" s="19" t="n">
        <x:v>1</x:v>
      </x:c>
      <x:c r="U53" s="19" t="n">
        <x:v>1</x:v>
      </x:c>
      <x:c r="V53" s="19" t="n">
        <x:v>1</x:v>
      </x:c>
      <x:c r="W53" s="7" t="n">
        <x:f t="shared" si="12">VLOOKUP(C53,$B$19:$C$21,2,0)</x:f>
        <x:v>0.75</x:v>
      </x:c>
      <x:c r="X53" s="7" t="n">
        <x:f t="shared" si="13">F53*T53*$W53</x:f>
        <x:v>0.6000000000000001</x:v>
      </x:c>
      <x:c r="Y53" s="7" t="n">
        <x:f t="shared" si="14">G53*U53*$W53</x:f>
        <x:v>0.8999999999999999</x:v>
      </x:c>
      <x:c r="Z53" s="7" t="n">
        <x:f t="shared" si="15">H53*V53*$W53</x:f>
        <x:v>0.75</x:v>
      </x:c>
      <x:c r="AA53" s="27" t="str">
        <x:v>攻击百分比</x:v>
      </x:c>
      <x:c r="AB53" s="19" t="str">
        <x:v>魔法伤害加成</x:v>
      </x:c>
      <x:c r="AC53" s="19" t="str">
        <x:v>必杀伤害加成</x:v>
      </x:c>
    </x:row>
    <x:row r="54">
      <x:c r="A54" s="1" t="n">
        <x:v>1029</x:v>
      </x:c>
      <x:c r="B54" s="1" t="str">
        <x:v>凯兰</x:v>
      </x:c>
      <x:c r="C54" s="18" t="str">
        <x:v>SSR</x:v>
      </x:c>
      <x:c r="D54" s="1" t="str">
        <x:v>辅助（均衡）</x:v>
      </x:c>
      <x:c r="E54"/>
      <x:c r="F54" s="7" t="n">
        <x:f t="shared" si="1">VLOOKUP($D54,$B$3:$E$14,COLUMN(E$26)-COLUMN($C$26),0)</x:f>
        <x:v>1.1</x:v>
      </x:c>
      <x:c r="G54" s="7" t="n">
        <x:f t="shared" si="2">VLOOKUP($D54,$B$3:$E$14,COLUMN(F$26)-COLUMN($C$26),0)</x:f>
        <x:v>0.85</x:v>
      </x:c>
      <x:c r="H54" s="7" t="n">
        <x:f t="shared" si="3">VLOOKUP($D54,$B$3:$E$14,COLUMN(G$26)-COLUMN($C$26),0)</x:f>
        <x:v>1.05</x:v>
      </x:c>
      <x:c r="I54" s="19" t="n">
        <x:v>1.05</x:v>
      </x:c>
      <x:c r="J54" s="19" t="n">
        <x:v>0.95</x:v>
      </x:c>
      <x:c r="K54" s="19" t="n">
        <x:v>0.95</x:v>
      </x:c>
      <x:c r="L54" s="19" t="n">
        <x:f t="shared" si="4">SUM(I54:K54)</x:f>
        <x:v>2.95</x:v>
      </x:c>
      <x:c r="M54" s="7" t="n">
        <x:f t="shared" si="5">VLOOKUP(C54,$B$14:$C$16,2,0)</x:f>
        <x:v>1</x:v>
      </x:c>
      <x:c r="N54" s="7" t="n">
        <x:f t="shared" si="6">I54*F54*$M54</x:f>
        <x:v>1.1550000000000002</x:v>
      </x:c>
      <x:c r="O54" s="7" t="n">
        <x:f t="shared" si="7">J54*G54*$M54</x:f>
        <x:v>0.8075</x:v>
      </x:c>
      <x:c r="P54" s="7" t="n">
        <x:f t="shared" si="8">K54*H54*$M54</x:f>
        <x:v>0.9974999999999999</x:v>
      </x:c>
      <x:c r="Q54" s="19" t="str">
        <x:v>暴击等级</x:v>
      </x:c>
      <x:c r="R54" s="19" t="str">
        <x:v>能量回复等级</x:v>
      </x:c>
      <x:c r="S54" s="19" t="str">
        <x:v>技能冷却等级</x:v>
      </x:c>
      <x:c r="T54" s="19" t="n">
        <x:v>1</x:v>
      </x:c>
      <x:c r="U54" s="19" t="n">
        <x:v>1</x:v>
      </x:c>
      <x:c r="V54" s="19" t="n">
        <x:v>1</x:v>
      </x:c>
      <x:c r="W54" s="7" t="n">
        <x:f t="shared" si="12">VLOOKUP(C54,$B$19:$C$21,2,0)</x:f>
        <x:v>1</x:v>
      </x:c>
      <x:c r="X54" s="7" t="n">
        <x:f t="shared" si="13">F54*T54*$W54</x:f>
        <x:v>1.1</x:v>
      </x:c>
      <x:c r="Y54" s="7" t="n">
        <x:f t="shared" si="14">G54*U54*$W54</x:f>
        <x:v>0.85</x:v>
      </x:c>
      <x:c r="Z54" s="7" t="n">
        <x:f t="shared" si="15">H54*V54*$W54</x:f>
        <x:v>1.05</x:v>
      </x:c>
      <x:c r="AA54" s="27" t="str">
        <x:v>暴击等级</x:v>
      </x:c>
      <x:c r="AB54" s="19" t="str">
        <x:v>魔法伤害加成</x:v>
      </x:c>
      <x:c r="AC54" s="19" t="str">
        <x:v>能量回复等级</x:v>
      </x:c>
    </x:row>
    <x:row r="55">
      <x:c r="A55" s="1" t="n">
        <x:v>1030</x:v>
      </x:c>
      <x:c r="B55" s="1" t="str">
        <x:v>莫莉</x:v>
      </x:c>
      <x:c r="C55" s="20" t="str">
        <x:v>SR</x:v>
      </x:c>
      <x:c r="D55" s="1" t="str">
        <x:v>坦克（生命）</x:v>
      </x:c>
      <x:c r="E55"/>
      <x:c r="F55" s="7" t="n">
        <x:f t="shared" si="1">VLOOKUP($D55,$B$3:$E$14,COLUMN(E$26)-COLUMN($C$26),0)</x:f>
        <x:v>1.4</x:v>
      </x:c>
      <x:c r="G55" s="7" t="n">
        <x:f t="shared" si="2">VLOOKUP($D55,$B$3:$E$14,COLUMN(F$26)-COLUMN($C$26),0)</x:f>
        <x:v>0.6</x:v>
      </x:c>
      <x:c r="H55" s="7" t="n">
        <x:f t="shared" si="3">VLOOKUP($D55,$B$3:$E$14,COLUMN(G$26)-COLUMN($C$26),0)</x:f>
        <x:v>1</x:v>
      </x:c>
      <x:c r="I55" s="19" t="n">
        <x:v>1</x:v>
      </x:c>
      <x:c r="J55" s="19" t="n">
        <x:v>1</x:v>
      </x:c>
      <x:c r="K55" s="19" t="n">
        <x:v>1.1</x:v>
      </x:c>
      <x:c r="L55" s="19" t="n">
        <x:f t="shared" si="4">SUM(I55:K55)</x:f>
        <x:v>3.1</x:v>
      </x:c>
      <x:c r="M55" s="7" t="n">
        <x:f t="shared" si="5">VLOOKUP(C55,$B$14:$C$16,2,0)</x:f>
        <x:v>0.8</x:v>
      </x:c>
      <x:c r="N55" s="7" t="n">
        <x:f t="shared" si="6">I55*F55*$M55</x:f>
        <x:v>1.1199999999999999</x:v>
      </x:c>
      <x:c r="O55" s="7" t="n">
        <x:f t="shared" si="7">J55*G55*$M55</x:f>
        <x:v>0.48</x:v>
      </x:c>
      <x:c r="P55" s="7" t="n">
        <x:f t="shared" si="8">K55*H55*$M55</x:f>
        <x:v>0.8800000000000001</x:v>
      </x:c>
      <x:c r="Q55" s="19" t="str">
        <x:v>生命值百分比</x:v>
      </x:c>
      <x:c r="R55" s="19" t="str">
        <x:v>攻击百分比</x:v>
      </x:c>
      <x:c r="S55" s="19" t="str">
        <x:v>技能冷却等级</x:v>
      </x:c>
      <x:c r="T55" s="19" t="n">
        <x:v>1</x:v>
      </x:c>
      <x:c r="U55" s="19" t="n">
        <x:v>1</x:v>
      </x:c>
      <x:c r="V55" s="19" t="n">
        <x:v>1</x:v>
      </x:c>
      <x:c r="W55" s="7" t="n">
        <x:f t="shared" si="12">VLOOKUP(C55,$B$19:$C$21,2,0)</x:f>
        <x:v>0.75</x:v>
      </x:c>
      <x:c r="X55" s="7" t="n">
        <x:f t="shared" si="13">F55*T55*$W55</x:f>
        <x:v>1.0499999999999998</x:v>
      </x:c>
      <x:c r="Y55" s="7" t="n">
        <x:f t="shared" si="14">G55*U55*$W55</x:f>
        <x:v>0.44999999999999996</x:v>
      </x:c>
      <x:c r="Z55" s="7" t="n">
        <x:f t="shared" si="15">H55*V55*$W55</x:f>
        <x:v>0.75</x:v>
      </x:c>
      <x:c r="AA55" s="27" t="str">
        <x:v>生命值百分比</x:v>
      </x:c>
      <x:c r="AB55" s="19" t="str">
        <x:v>物理伤害加成</x:v>
      </x:c>
      <x:c r="AC55" s="19" t="str">
        <x:v>必杀伤害加成</x:v>
      </x:c>
    </x:row>
    <x:row r="56">
      <x:c r="A56" s="1" t="n">
        <x:v>1019</x:v>
      </x:c>
      <x:c r="B56" s="1" t="str">
        <x:v>桑尼</x:v>
      </x:c>
      <x:c r="C56" s="20" t="str">
        <x:v>SR</x:v>
      </x:c>
      <x:c r="D56" s="1" t="str">
        <x:v>坦克（生命）</x:v>
      </x:c>
      <x:c r="E56"/>
      <x:c r="F56" s="7" t="n">
        <x:f t="shared" si="1">VLOOKUP($D56,$B$3:$E$14,COLUMN(E$26)-COLUMN($C$26),0)</x:f>
        <x:v>1.4</x:v>
      </x:c>
      <x:c r="G56" s="7" t="n">
        <x:f t="shared" si="2">VLOOKUP($D56,$B$3:$E$14,COLUMN(F$26)-COLUMN($C$26),0)</x:f>
        <x:v>0.6</x:v>
      </x:c>
      <x:c r="H56" s="7" t="n">
        <x:f t="shared" si="3">VLOOKUP($D56,$B$3:$E$14,COLUMN(G$26)-COLUMN($C$26),0)</x:f>
        <x:v>1</x:v>
      </x:c>
      <x:c r="I56" s="19" t="n">
        <x:v>1.03</x:v>
      </x:c>
      <x:c r="J56" s="19" t="n">
        <x:v>0.97</x:v>
      </x:c>
      <x:c r="K56" s="19" t="n">
        <x:v>1.01</x:v>
      </x:c>
      <x:c r="L56" s="19" t="n">
        <x:f t="shared" si="4">SUM(I56:K56)</x:f>
        <x:v>3.01</x:v>
      </x:c>
      <x:c r="M56" s="7" t="n">
        <x:f t="shared" si="5">VLOOKUP(C56,$B$14:$C$16,2,0)</x:f>
        <x:v>0.8</x:v>
      </x:c>
      <x:c r="N56" s="7" t="n">
        <x:f t="shared" si="6">I56*F56*$M56</x:f>
        <x:v>1.1536</x:v>
      </x:c>
      <x:c r="O56" s="7" t="n">
        <x:f t="shared" si="7">J56*G56*$M56</x:f>
        <x:v>0.4656</x:v>
      </x:c>
      <x:c r="P56" s="7" t="n">
        <x:f t="shared" si="8">K56*H56*$M56</x:f>
        <x:v>0.808</x:v>
      </x:c>
      <x:c r="Q56" s="19" t="str">
        <x:v>生命值百分比</x:v>
      </x:c>
      <x:c r="R56" s="19" t="str">
        <x:v>防御百分比</x:v>
      </x:c>
      <x:c r="S56" s="19" t="str">
        <x:v>技能冷却等级</x:v>
      </x:c>
      <x:c r="T56" s="19" t="n">
        <x:v>1</x:v>
      </x:c>
      <x:c r="U56" s="19" t="n">
        <x:v>1</x:v>
      </x:c>
      <x:c r="V56" s="19" t="n">
        <x:v>1</x:v>
      </x:c>
      <x:c r="W56" s="7" t="n">
        <x:f t="shared" si="12">VLOOKUP(C56,$B$19:$C$21,2,0)</x:f>
        <x:v>0.75</x:v>
      </x:c>
      <x:c r="X56" s="7" t="n">
        <x:f t="shared" si="13">F56*T56*$W56</x:f>
        <x:v>1.0499999999999998</x:v>
      </x:c>
      <x:c r="Y56" s="7" t="n">
        <x:f t="shared" si="14">G56*U56*$W56</x:f>
        <x:v>0.44999999999999996</x:v>
      </x:c>
      <x:c r="Z56" s="7" t="n">
        <x:f t="shared" si="15">H56*V56*$W56</x:f>
        <x:v>0.75</x:v>
      </x:c>
      <x:c r="AA56" s="27" t="str">
        <x:v>生命值百分比</x:v>
      </x:c>
      <x:c r="AB56" s="19" t="str">
        <x:v>物理伤害加成</x:v>
      </x:c>
      <x:c r="AC56" s="19" t="str">
        <x:v>能量回复等级</x:v>
      </x:c>
    </x:row>
    <x:row r="57">
      <x:c r="A57" s="1" t="n">
        <x:v>1022</x:v>
      </x:c>
      <x:c r="B57" s="1" t="str">
        <x:v>梅林</x:v>
      </x:c>
      <x:c r="C57" s="20" t="str">
        <x:v>SR</x:v>
      </x:c>
      <x:c r="D57" s="1" t="str">
        <x:v>坦克（生命）</x:v>
      </x:c>
      <x:c r="E57"/>
      <x:c r="F57" s="7" t="n">
        <x:f t="shared" si="1">VLOOKUP($D57,$B$3:$E$14,COLUMN(E$26)-COLUMN($C$26),0)</x:f>
        <x:v>1.4</x:v>
      </x:c>
      <x:c r="G57" s="7" t="n">
        <x:f t="shared" si="2">VLOOKUP($D57,$B$3:$E$14,COLUMN(F$26)-COLUMN($C$26),0)</x:f>
        <x:v>0.6</x:v>
      </x:c>
      <x:c r="H57" s="7" t="n">
        <x:f t="shared" si="3">VLOOKUP($D57,$B$3:$E$14,COLUMN(G$26)-COLUMN($C$26),0)</x:f>
        <x:v>1</x:v>
      </x:c>
      <x:c r="I57" s="19" t="n">
        <x:v>1.1</x:v>
      </x:c>
      <x:c r="J57" s="19" t="n">
        <x:v>0.94</x:v>
      </x:c>
      <x:c r="K57" s="19" t="n">
        <x:v>1</x:v>
      </x:c>
      <x:c r="L57" s="19" t="n">
        <x:f t="shared" si="4">SUM(I57:K57)</x:f>
        <x:v>3.04</x:v>
      </x:c>
      <x:c r="M57" s="7" t="n">
        <x:f t="shared" si="5">VLOOKUP(C57,$B$14:$C$16,2,0)</x:f>
        <x:v>0.8</x:v>
      </x:c>
      <x:c r="N57" s="7" t="n">
        <x:f t="shared" si="6">I57*F57*$M57</x:f>
        <x:v>1.2320000000000002</x:v>
      </x:c>
      <x:c r="O57" s="7" t="n">
        <x:f t="shared" si="7">J57*G57*$M57</x:f>
        <x:v>0.4512</x:v>
      </x:c>
      <x:c r="P57" s="7" t="n">
        <x:f t="shared" si="8">K57*H57*$M57</x:f>
        <x:v>0.8</x:v>
      </x:c>
      <x:c r="Q57" s="19" t="str">
        <x:v>生命值百分比</x:v>
      </x:c>
      <x:c r="R57" s="19" t="str">
        <x:v>防御百分比</x:v>
      </x:c>
      <x:c r="S57" s="19" t="str">
        <x:v>能量回复等级</x:v>
      </x:c>
      <x:c r="T57" s="19" t="n">
        <x:v>1</x:v>
      </x:c>
      <x:c r="U57" s="19" t="n">
        <x:v>1</x:v>
      </x:c>
      <x:c r="V57" s="19" t="n">
        <x:v>1</x:v>
      </x:c>
      <x:c r="W57" s="7" t="n">
        <x:f t="shared" si="12">VLOOKUP(C57,$B$19:$C$21,2,0)</x:f>
        <x:v>0.75</x:v>
      </x:c>
      <x:c r="X57" s="7" t="n">
        <x:f t="shared" si="13">F57*T57*$W57</x:f>
        <x:v>1.0499999999999998</x:v>
      </x:c>
      <x:c r="Y57" s="7" t="n">
        <x:f t="shared" si="14">G57*U57*$W57</x:f>
        <x:v>0.44999999999999996</x:v>
      </x:c>
      <x:c r="Z57" s="7" t="n">
        <x:f t="shared" si="15">H57*V57*$W57</x:f>
        <x:v>0.75</x:v>
      </x:c>
      <x:c r="AA57" s="27" t="str">
        <x:v>生命值百分比</x:v>
      </x:c>
      <x:c r="AB57" s="19" t="str">
        <x:v>物理伤害加成</x:v>
      </x:c>
      <x:c r="AC57" s="19" t="str">
        <x:v>技能冷却等级</x:v>
      </x:c>
    </x:row>
    <x:row r="58">
      <x:c r="A58" s="1" t="n">
        <x:v>1010</x:v>
      </x:c>
      <x:c r="B58" s="1" t="str">
        <x:v>德洛丽丝</x:v>
      </x:c>
      <x:c r="C58" s="20" t="str">
        <x:v>SR</x:v>
      </x:c>
      <x:c r="D58" s="1" t="str">
        <x:v>坦克（防御）</x:v>
      </x:c>
      <x:c r="E58"/>
      <x:c r="F58" s="7" t="n">
        <x:f t="shared" si="1">VLOOKUP($D58,$B$3:$E$14,COLUMN(E$26)-COLUMN($C$26),0)</x:f>
        <x:v>1.2</x:v>
      </x:c>
      <x:c r="G58" s="7" t="n">
        <x:f t="shared" si="2">VLOOKUP($D58,$B$3:$E$14,COLUMN(F$26)-COLUMN($C$26),0)</x:f>
        <x:v>0.6</x:v>
      </x:c>
      <x:c r="H58" s="7" t="n">
        <x:f t="shared" si="3">VLOOKUP($D58,$B$3:$E$14,COLUMN(G$26)-COLUMN($C$26),0)</x:f>
        <x:v>1.2</x:v>
      </x:c>
      <x:c r="I58" s="19" t="n">
        <x:v>1.1</x:v>
      </x:c>
      <x:c r="J58" s="19" t="n">
        <x:v>0.94</x:v>
      </x:c>
      <x:c r="K58" s="19" t="n">
        <x:v>1</x:v>
      </x:c>
      <x:c r="L58" s="19" t="n">
        <x:f t="shared" si="4">SUM(I58:K58)</x:f>
        <x:v>3.04</x:v>
      </x:c>
      <x:c r="M58" s="7" t="n">
        <x:f t="shared" si="5">VLOOKUP(C58,$B$14:$C$16,2,0)</x:f>
        <x:v>0.8</x:v>
      </x:c>
      <x:c r="N58" s="7" t="n">
        <x:f t="shared" si="6">I58*F58*$M58</x:f>
        <x:v>1.056</x:v>
      </x:c>
      <x:c r="O58" s="7" t="n">
        <x:f t="shared" si="7">J58*G58*$M58</x:f>
        <x:v>0.4512</x:v>
      </x:c>
      <x:c r="P58" s="7" t="n">
        <x:f t="shared" si="8">K58*H58*$M58</x:f>
        <x:v>0.96</x:v>
      </x:c>
      <x:c r="Q58" s="19" t="str">
        <x:v>防御百分比</x:v>
      </x:c>
      <x:c r="R58" s="19" t="str">
        <x:v>生命值百分比</x:v>
      </x:c>
      <x:c r="S58" s="19" t="str">
        <x:v>技能冷却等级</x:v>
      </x:c>
      <x:c r="T58" s="19" t="n">
        <x:v>1</x:v>
      </x:c>
      <x:c r="U58" s="19" t="n">
        <x:v>1</x:v>
      </x:c>
      <x:c r="V58" s="19" t="n">
        <x:v>1</x:v>
      </x:c>
      <x:c r="W58" s="7" t="n">
        <x:f t="shared" si="12">VLOOKUP(C58,$B$19:$C$21,2,0)</x:f>
        <x:v>0.75</x:v>
      </x:c>
      <x:c r="X58" s="7" t="n">
        <x:f t="shared" si="13">F58*T58*$W58</x:f>
        <x:v>0.8999999999999999</x:v>
      </x:c>
      <x:c r="Y58" s="7" t="n">
        <x:f t="shared" si="14">G58*U58*$W58</x:f>
        <x:v>0.44999999999999996</x:v>
      </x:c>
      <x:c r="Z58" s="7" t="n">
        <x:f t="shared" si="15">H58*V58*$W58</x:f>
        <x:v>0.8999999999999999</x:v>
      </x:c>
      <x:c r="AA58" s="27" t="str">
        <x:v>防御百分比</x:v>
      </x:c>
      <x:c r="AB58" s="19" t="str">
        <x:v>物理伤害加成</x:v>
      </x:c>
      <x:c r="AC58" s="19" t="str">
        <x:v>技能冷却等级</x:v>
      </x:c>
    </x:row>
    <x:row r="59">
      <x:c r="A59" s="1" t="n">
        <x:v>1040</x:v>
      </x:c>
      <x:c r="B59" s="1" t="str">
        <x:v>小寒</x:v>
      </x:c>
      <x:c r="C59" s="20" t="str">
        <x:v>SR</x:v>
      </x:c>
      <x:c r="D59" s="1" t="str">
        <x:v>辅助（攻击）</x:v>
      </x:c>
      <x:c r="E59"/>
      <x:c r="F59" s="7" t="n">
        <x:f t="shared" si="1">VLOOKUP($D59,$B$3:$E$14,COLUMN(E$26)-COLUMN($C$26),0)</x:f>
        <x:v>1</x:v>
      </x:c>
      <x:c r="G59" s="7" t="n">
        <x:f t="shared" si="2">VLOOKUP($D59,$B$3:$E$14,COLUMN(F$26)-COLUMN($C$26),0)</x:f>
        <x:v>0.9</x:v>
      </x:c>
      <x:c r="H59" s="7" t="n">
        <x:f t="shared" si="3">VLOOKUP($D59,$B$3:$E$14,COLUMN(G$26)-COLUMN($C$26),0)</x:f>
        <x:v>1.1</x:v>
      </x:c>
      <x:c r="I59" s="19" t="n">
        <x:v>1</x:v>
      </x:c>
      <x:c r="J59" s="19" t="n">
        <x:v>1.02</x:v>
      </x:c>
      <x:c r="K59" s="19" t="n">
        <x:v>1</x:v>
      </x:c>
      <x:c r="L59" s="19" t="n">
        <x:f t="shared" si="4">SUM(I59:K59)</x:f>
        <x:v>3.02</x:v>
      </x:c>
      <x:c r="M59" s="7" t="n">
        <x:f t="shared" si="5">VLOOKUP(C59,$B$14:$C$16,2,0)</x:f>
        <x:v>0.8</x:v>
      </x:c>
      <x:c r="N59" s="7" t="n">
        <x:f t="shared" si="6">I59*F59*$M59</x:f>
        <x:v>0.8</x:v>
      </x:c>
      <x:c r="O59" s="7" t="n">
        <x:f t="shared" si="7">J59*G59*$M59</x:f>
        <x:v>0.7344</x:v>
      </x:c>
      <x:c r="P59" s="7" t="n">
        <x:f t="shared" si="8">K59*H59*$M59</x:f>
        <x:v>0.8800000000000001</x:v>
      </x:c>
      <x:c r="Q59" s="19" t="str">
        <x:v>攻击百分比</x:v>
      </x:c>
      <x:c r="R59" s="19" t="str">
        <x:v>治疗率</x:v>
      </x:c>
      <x:c r="S59" s="19" t="str">
        <x:v>能量回复等级</x:v>
      </x:c>
      <x:c r="T59" s="19" t="n">
        <x:v>1</x:v>
      </x:c>
      <x:c r="U59" s="19" t="n">
        <x:v>1</x:v>
      </x:c>
      <x:c r="V59" s="19" t="n">
        <x:v>1</x:v>
      </x:c>
      <x:c r="W59" s="7" t="n">
        <x:f t="shared" si="12">VLOOKUP(C59,$B$19:$C$21,2,0)</x:f>
        <x:v>0.75</x:v>
      </x:c>
      <x:c r="X59" s="7" t="n">
        <x:f t="shared" si="13">F59*T59*$W59</x:f>
        <x:v>0.75</x:v>
      </x:c>
      <x:c r="Y59" s="7" t="n">
        <x:f t="shared" si="14">G59*U59*$W59</x:f>
        <x:v>0.675</x:v>
      </x:c>
      <x:c r="Z59" s="7" t="n">
        <x:f t="shared" si="15">H59*V59*$W59</x:f>
        <x:v>0.8250000000000001</x:v>
      </x:c>
      <x:c r="AA59" s="27" t="str">
        <x:v>防御百分比</x:v>
      </x:c>
      <x:c r="AB59" s="19" t="str">
        <x:v>魔法伤害加成</x:v>
      </x:c>
      <x:c r="AC59" s="19" t="str">
        <x:v>治疗率</x:v>
      </x:c>
    </x:row>
    <x:row r="60" ht="17.25" customHeight="1">
      <x:c r="A60" s="28" t="n">
        <x:v>1035</x:v>
      </x:c>
      <x:c r="B60" s="28" t="str">
        <x:v>碎冰者</x:v>
      </x:c>
      <x:c r="C60" s="21" t="str">
        <x:v>R</x:v>
      </x:c>
      <x:c r="D60" s="1" t="str">
        <x:v>输出（战士）</x:v>
      </x:c>
      <x:c r="E60"/>
      <x:c r="F60" s="7" t="n">
        <x:f t="shared" si="1">VLOOKUP($D60,$B$3:$E$14,COLUMN(E$26)-COLUMN($C$26),0)</x:f>
        <x:v>1.05</x:v>
      </x:c>
      <x:c r="G60" s="7" t="n">
        <x:f t="shared" si="2">VLOOKUP($D60,$B$3:$E$14,COLUMN(F$26)-COLUMN($C$26),0)</x:f>
        <x:v>0.95</x:v>
      </x:c>
      <x:c r="H60" s="7" t="n">
        <x:f t="shared" si="3">VLOOKUP($D60,$B$3:$E$14,COLUMN(G$26)-COLUMN($C$26),0)</x:f>
        <x:v>1</x:v>
      </x:c>
      <x:c r="I60" s="19" t="n">
        <x:v>1</x:v>
      </x:c>
      <x:c r="J60" s="19" t="n">
        <x:v>1</x:v>
      </x:c>
      <x:c r="K60" s="19" t="n">
        <x:v>1</x:v>
      </x:c>
      <x:c r="L60" s="19" t="n">
        <x:f t="shared" si="4">SUM(I60:K60)</x:f>
        <x:v>3</x:v>
      </x:c>
      <x:c r="M60" s="7" t="n">
        <x:f t="shared" si="5">VLOOKUP(C60,$B$14:$C$16,2,0)</x:f>
        <x:v>0.7</x:v>
      </x:c>
      <x:c r="N60" s="7" t="n">
        <x:f t="shared" si="6">I60*F60*$M60</x:f>
        <x:v>0.735</x:v>
      </x:c>
      <x:c r="O60" s="7" t="n">
        <x:f t="shared" si="7">J60*G60*$M60</x:f>
        <x:v>0.6649999999999999</x:v>
      </x:c>
      <x:c r="P60" s="7" t="n">
        <x:f t="shared" si="8">K60*H60*$M60</x:f>
        <x:v>0.7</x:v>
      </x:c>
      <x:c r="Q60" s="19" t="str">
        <x:v>攻击百分比</x:v>
      </x:c>
      <x:c r="R60" s="19" t="str">
        <x:v>暴击等级</x:v>
      </x:c>
      <x:c r="S60" s="19" t="str">
        <x:v>必杀伤害加成</x:v>
      </x:c>
      <x:c r="T60" s="19" t="n">
        <x:v>1</x:v>
      </x:c>
      <x:c r="U60" s="19" t="n">
        <x:v>1</x:v>
      </x:c>
      <x:c r="V60" s="19" t="n">
        <x:v>1</x:v>
      </x:c>
      <x:c r="W60" s="7" t="n">
        <x:f t="shared" si="12">VLOOKUP(C60,$B$19:$C$21,2,0)</x:f>
        <x:v>0.5</x:v>
      </x:c>
      <x:c r="X60" s="7" t="n">
        <x:f t="shared" si="13">F60*T60*$W60</x:f>
        <x:v>0.525</x:v>
      </x:c>
      <x:c r="Y60" s="7" t="n">
        <x:f t="shared" si="14">G60*U60*$W60</x:f>
        <x:v>0.475</x:v>
      </x:c>
      <x:c r="Z60" s="7" t="n">
        <x:f t="shared" si="15">H60*V60*$W60</x:f>
        <x:v>0.5</x:v>
      </x:c>
      <x:c r="AA60" s="27" t="str">
        <x:v>防御百分比</x:v>
      </x:c>
      <x:c r="AB60" s="19" t="str">
        <x:v>魔法伤害加成</x:v>
      </x:c>
      <x:c r="AC60" s="19" t="str">
        <x:v>暴击伤害等级</x:v>
      </x:c>
    </x:row>
    <x:row r="61" ht="17.25" customHeight="1">
      <x:c r="A61" s="28" t="n">
        <x:v>1036</x:v>
      </x:c>
      <x:c r="B61" s="28" t="str">
        <x:v>霜狼法师</x:v>
      </x:c>
      <x:c r="C61" s="21" t="str">
        <x:v>R</x:v>
      </x:c>
      <x:c r="D61" s="1" t="str">
        <x:v>输出（法师）</x:v>
      </x:c>
      <x:c r="E61"/>
      <x:c r="F61" s="7" t="n">
        <x:f t="shared" si="1">VLOOKUP($D61,$B$3:$E$14,COLUMN(E$26)-COLUMN($C$26),0)</x:f>
        <x:v>0.8</x:v>
      </x:c>
      <x:c r="G61" s="7" t="n">
        <x:f t="shared" si="2">VLOOKUP($D61,$B$3:$E$14,COLUMN(F$26)-COLUMN($C$26),0)</x:f>
        <x:v>1.2</x:v>
      </x:c>
      <x:c r="H61" s="7" t="n">
        <x:f t="shared" si="3">VLOOKUP($D61,$B$3:$E$14,COLUMN(G$26)-COLUMN($C$26),0)</x:f>
        <x:v>1</x:v>
      </x:c>
      <x:c r="I61" s="19" t="n">
        <x:v>0.95</x:v>
      </x:c>
      <x:c r="J61" s="19" t="n">
        <x:v>1</x:v>
      </x:c>
      <x:c r="K61" s="19" t="n">
        <x:v>1</x:v>
      </x:c>
      <x:c r="L61" s="19" t="n">
        <x:f t="shared" si="4">SUM(I61:K61)</x:f>
        <x:v>2.95</x:v>
      </x:c>
      <x:c r="M61" s="7" t="n">
        <x:f t="shared" si="5">VLOOKUP(C61,$B$14:$C$16,2,0)</x:f>
        <x:v>0.7</x:v>
      </x:c>
      <x:c r="N61" s="7" t="n">
        <x:f t="shared" si="6">I61*F61*$M61</x:f>
        <x:v>0.5319999999999999</x:v>
      </x:c>
      <x:c r="O61" s="7" t="n">
        <x:f t="shared" si="7">J61*G61*$M61</x:f>
        <x:v>0.84</x:v>
      </x:c>
      <x:c r="P61" s="7" t="n">
        <x:f t="shared" si="8">K61*H61*$M61</x:f>
        <x:v>0.7</x:v>
      </x:c>
      <x:c r="Q61" s="19" t="str">
        <x:v>攻击百分比</x:v>
      </x:c>
      <x:c r="R61" s="19" t="str">
        <x:v>技能伤害加成</x:v>
      </x:c>
      <x:c r="S61" s="19" t="str">
        <x:v>技能冷却等级</x:v>
      </x:c>
      <x:c r="T61" s="19" t="n">
        <x:v>1</x:v>
      </x:c>
      <x:c r="U61" s="19" t="n">
        <x:v>1</x:v>
      </x:c>
      <x:c r="V61" s="19" t="n">
        <x:v>1</x:v>
      </x:c>
      <x:c r="W61" s="7" t="n">
        <x:f t="shared" si="12">VLOOKUP(C61,$B$19:$C$21,2,0)</x:f>
        <x:v>0.5</x:v>
      </x:c>
      <x:c r="X61" s="7" t="n">
        <x:f t="shared" si="13">F61*T61*$W61</x:f>
        <x:v>0.4</x:v>
      </x:c>
      <x:c r="Y61" s="7" t="n">
        <x:f t="shared" si="14">G61*U61*$W61</x:f>
        <x:v>0.6</x:v>
      </x:c>
      <x:c r="Z61" s="7" t="n">
        <x:f t="shared" si="15">H61*V61*$W61</x:f>
        <x:v>0.5</x:v>
      </x:c>
      <x:c r="AA61" s="27" t="str">
        <x:v>防御百分比</x:v>
      </x:c>
      <x:c r="AB61" s="19" t="str">
        <x:v>魔法伤害加成</x:v>
      </x:c>
      <x:c r="AC61" s="19" t="str">
        <x:v>技能冷却等级</x:v>
      </x:c>
    </x:row>
    <x:row r="62" ht="17.25" customHeight="1">
      <x:c r="A62" s="28" t="n">
        <x:v>1037</x:v>
      </x:c>
      <x:c r="B62" s="28" t="str">
        <x:v>霜狼战士</x:v>
      </x:c>
      <x:c r="C62" s="21" t="str">
        <x:v>R</x:v>
      </x:c>
      <x:c r="D62" s="1" t="str">
        <x:v>输出（战士）</x:v>
      </x:c>
      <x:c r="E62"/>
      <x:c r="F62" s="7" t="n">
        <x:f t="shared" si="1">VLOOKUP($D62,$B$3:$E$14,COLUMN(E$26)-COLUMN($C$26),0)</x:f>
        <x:v>1.05</x:v>
      </x:c>
      <x:c r="G62" s="7" t="n">
        <x:f t="shared" si="2">VLOOKUP($D62,$B$3:$E$14,COLUMN(F$26)-COLUMN($C$26),0)</x:f>
        <x:v>0.95</x:v>
      </x:c>
      <x:c r="H62" s="7" t="n">
        <x:f t="shared" si="3">VLOOKUP($D62,$B$3:$E$14,COLUMN(G$26)-COLUMN($C$26),0)</x:f>
        <x:v>1</x:v>
      </x:c>
      <x:c r="I62" s="19" t="n">
        <x:v>1.05</x:v>
      </x:c>
      <x:c r="J62" s="19" t="n">
        <x:v>1.05</x:v>
      </x:c>
      <x:c r="K62" s="19" t="n">
        <x:v>0.95</x:v>
      </x:c>
      <x:c r="L62" s="19" t="n">
        <x:f t="shared" si="4">SUM(I62:K62)</x:f>
        <x:v>3.05</x:v>
      </x:c>
      <x:c r="M62" s="7" t="n">
        <x:f t="shared" si="5">VLOOKUP(C62,$B$14:$C$16,2,0)</x:f>
        <x:v>0.7</x:v>
      </x:c>
      <x:c r="N62" s="7" t="n">
        <x:f t="shared" si="6">I62*F62*$M62</x:f>
        <x:v>0.7717499999999999</x:v>
      </x:c>
      <x:c r="O62" s="7" t="n">
        <x:f t="shared" si="7">J62*G62*$M62</x:f>
        <x:v>0.6982499999999999</x:v>
      </x:c>
      <x:c r="P62" s="7" t="n">
        <x:f t="shared" si="8">K62*H62*$M62</x:f>
        <x:v>0.6649999999999999</x:v>
      </x:c>
      <x:c r="Q62" s="19" t="str">
        <x:v>攻击百分比</x:v>
      </x:c>
      <x:c r="R62" s="19" t="str">
        <x:v>暴击等级</x:v>
      </x:c>
      <x:c r="S62" s="19" t="str">
        <x:v>普攻伤害加成</x:v>
      </x:c>
      <x:c r="T62" s="19" t="n">
        <x:v>1</x:v>
      </x:c>
      <x:c r="U62" s="19" t="n">
        <x:v>1</x:v>
      </x:c>
      <x:c r="V62" s="19" t="n">
        <x:v>1</x:v>
      </x:c>
      <x:c r="W62" s="7" t="n">
        <x:f t="shared" si="12">VLOOKUP(C62,$B$19:$C$21,2,0)</x:f>
        <x:v>0.5</x:v>
      </x:c>
      <x:c r="X62" s="7" t="n">
        <x:f t="shared" si="13">F62*T62*$W62</x:f>
        <x:v>0.525</x:v>
      </x:c>
      <x:c r="Y62" s="7" t="n">
        <x:f t="shared" si="14">G62*U62*$W62</x:f>
        <x:v>0.475</x:v>
      </x:c>
      <x:c r="Z62" s="7" t="n">
        <x:f t="shared" si="15">H62*V62*$W62</x:f>
        <x:v>0.5</x:v>
      </x:c>
      <x:c r="AA62" s="27" t="str">
        <x:v>防御百分比</x:v>
      </x:c>
      <x:c r="AB62" s="19" t="str">
        <x:v>物理伤害加成</x:v>
      </x:c>
      <x:c r="AC62" s="19" t="str">
        <x:v>暴击伤害等级</x:v>
      </x:c>
    </x:row>
    <x:row r="63" ht="17.25" customHeight="1">
      <x:c r="A63" s="28" t="n">
        <x:v>1038</x:v>
      </x:c>
      <x:c r="B63" s="28" t="str">
        <x:v>桑尼商队战斗员</x:v>
      </x:c>
      <x:c r="C63" s="21" t="str">
        <x:v>R</x:v>
      </x:c>
      <x:c r="D63" s="1" t="str">
        <x:v>坦克（防御）</x:v>
      </x:c>
      <x:c r="E63"/>
      <x:c r="F63" s="7" t="n">
        <x:f t="shared" si="1">VLOOKUP($D63,$B$3:$E$14,COLUMN(E$26)-COLUMN($C$26),0)</x:f>
        <x:v>1.2</x:v>
      </x:c>
      <x:c r="G63" s="7" t="n">
        <x:f t="shared" si="2">VLOOKUP($D63,$B$3:$E$14,COLUMN(F$26)-COLUMN($C$26),0)</x:f>
        <x:v>0.6</x:v>
      </x:c>
      <x:c r="H63" s="7" t="n">
        <x:f t="shared" si="3">VLOOKUP($D63,$B$3:$E$14,COLUMN(G$26)-COLUMN($C$26),0)</x:f>
        <x:v>1.2</x:v>
      </x:c>
      <x:c r="I63" s="19" t="n">
        <x:v>1</x:v>
      </x:c>
      <x:c r="J63" s="19" t="n">
        <x:v>1</x:v>
      </x:c>
      <x:c r="K63" s="19" t="n">
        <x:v>1</x:v>
      </x:c>
      <x:c r="L63" s="19" t="n">
        <x:f t="shared" si="4">SUM(I63:K63)</x:f>
        <x:v>3</x:v>
      </x:c>
      <x:c r="M63" s="7" t="n">
        <x:f t="shared" si="5">VLOOKUP(C63,$B$14:$C$16,2,0)</x:f>
        <x:v>0.7</x:v>
      </x:c>
      <x:c r="N63" s="7" t="n">
        <x:f t="shared" si="6">I63*F63*$M63</x:f>
        <x:v>0.84</x:v>
      </x:c>
      <x:c r="O63" s="7" t="n">
        <x:f t="shared" si="7">J63*G63*$M63</x:f>
        <x:v>0.42</x:v>
      </x:c>
      <x:c r="P63" s="7" t="n">
        <x:f t="shared" si="8">K63*H63*$M63</x:f>
        <x:v>0.84</x:v>
      </x:c>
      <x:c r="Q63" s="19" t="str">
        <x:v>防御百分比</x:v>
      </x:c>
      <x:c r="R63" s="19" t="str">
        <x:v>生命值百分比</x:v>
      </x:c>
      <x:c r="S63" s="19" t="str">
        <x:v>技能冷却等级</x:v>
      </x:c>
      <x:c r="T63" s="19" t="n">
        <x:v>1</x:v>
      </x:c>
      <x:c r="U63" s="19" t="n">
        <x:v>1</x:v>
      </x:c>
      <x:c r="V63" s="19" t="n">
        <x:v>1</x:v>
      </x:c>
      <x:c r="W63" s="7" t="n">
        <x:f t="shared" si="12">VLOOKUP(C63,$B$19:$C$21,2,0)</x:f>
        <x:v>0.5</x:v>
      </x:c>
      <x:c r="X63" s="7" t="n">
        <x:f t="shared" si="13">F63*T63*$W63</x:f>
        <x:v>0.6</x:v>
      </x:c>
      <x:c r="Y63" s="7" t="n">
        <x:f t="shared" si="14">G63*U63*$W63</x:f>
        <x:v>0.3</x:v>
      </x:c>
      <x:c r="Z63" s="7" t="n">
        <x:f t="shared" si="15">H63*V63*$W63</x:f>
        <x:v>0.6</x:v>
      </x:c>
      <x:c r="AA63" s="27" t="str">
        <x:v>防御百分比</x:v>
      </x:c>
      <x:c r="AB63" s="19" t="str">
        <x:v>能量回复等级</x:v>
      </x:c>
      <x:c r="AC63" s="19" t="str">
        <x:v>技能冷却等级</x:v>
      </x:c>
    </x:row>
    <x:row r="64" ht="17.25" customHeight="1">
      <x:c r="A64" s="28" t="n">
        <x:v>1039</x:v>
      </x:c>
      <x:c r="B64" s="28" t="str">
        <x:v>桑尼商队枪手</x:v>
      </x:c>
      <x:c r="C64" s="21" t="str">
        <x:v>R</x:v>
      </x:c>
      <x:c r="D64" s="1" t="str">
        <x:v>输出（射手）</x:v>
      </x:c>
      <x:c r="E64"/>
      <x:c r="F64" s="7" t="n">
        <x:f t="shared" si="1">VLOOKUP($D64,$B$3:$E$14,COLUMN(E$26)-COLUMN($C$26),0)</x:f>
        <x:v>0.9</x:v>
      </x:c>
      <x:c r="G64" s="7" t="n">
        <x:f t="shared" si="2">VLOOKUP($D64,$B$3:$E$14,COLUMN(F$26)-COLUMN($C$26),0)</x:f>
        <x:v>1.1</x:v>
      </x:c>
      <x:c r="H64" s="7" t="n">
        <x:f t="shared" si="3">VLOOKUP($D64,$B$3:$E$14,COLUMN(G$26)-COLUMN($C$26),0)</x:f>
        <x:v>1</x:v>
      </x:c>
      <x:c r="I64" s="19" t="n">
        <x:v>1</x:v>
      </x:c>
      <x:c r="J64" s="19" t="n">
        <x:v>1</x:v>
      </x:c>
      <x:c r="K64" s="19" t="n">
        <x:v>1</x:v>
      </x:c>
      <x:c r="L64" s="19" t="n">
        <x:f t="shared" si="4">SUM(I64:K64)</x:f>
        <x:v>3</x:v>
      </x:c>
      <x:c r="M64" s="7" t="n">
        <x:f t="shared" si="5">VLOOKUP(C64,$B$14:$C$16,2,0)</x:f>
        <x:v>0.7</x:v>
      </x:c>
      <x:c r="N64" s="7" t="n">
        <x:f t="shared" si="6">I64*F64*$M64</x:f>
        <x:v>0.63</x:v>
      </x:c>
      <x:c r="O64" s="7" t="n">
        <x:f t="shared" si="7">J64*G64*$M64</x:f>
        <x:v>0.77</x:v>
      </x:c>
      <x:c r="P64" s="7" t="n">
        <x:f t="shared" si="8">K64*H64*$M64</x:f>
        <x:v>0.7</x:v>
      </x:c>
      <x:c r="Q64" s="19" t="str">
        <x:v>攻击百分比</x:v>
      </x:c>
      <x:c r="R64" s="19" t="str">
        <x:v>暴击等级</x:v>
      </x:c>
      <x:c r="S64" s="19" t="str">
        <x:v>暴击伤害等级</x:v>
      </x:c>
      <x:c r="T64" s="19" t="n">
        <x:v>1</x:v>
      </x:c>
      <x:c r="U64" s="19" t="n">
        <x:v>1</x:v>
      </x:c>
      <x:c r="V64" s="19" t="n">
        <x:v>1</x:v>
      </x:c>
      <x:c r="W64" s="7" t="n">
        <x:f t="shared" si="12">VLOOKUP(C64,$B$19:$C$21,2,0)</x:f>
        <x:v>0.5</x:v>
      </x:c>
      <x:c r="X64" s="7" t="n">
        <x:f t="shared" si="13">F64*T64*$W64</x:f>
        <x:v>0.45</x:v>
      </x:c>
      <x:c r="Y64" s="7" t="n">
        <x:f t="shared" si="14">G64*U64*$W64</x:f>
        <x:v>0.55</x:v>
      </x:c>
      <x:c r="Z64" s="7" t="n">
        <x:f t="shared" si="15">H64*V64*$W64</x:f>
        <x:v>0.5</x:v>
      </x:c>
      <x:c r="AA64" s="27" t="str">
        <x:v>防御百分比</x:v>
      </x:c>
      <x:c r="AB64" s="19" t="str">
        <x:v>物理伤害加成</x:v>
      </x:c>
      <x:c r="AC64" s="19" t="str">
        <x:v>暴击伤害等级</x:v>
      </x:c>
    </x:row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cols>
    <x:col min="1" max="1" width="11.866666793823242" customWidth="1"/>
    <x:col min="2" max="2" width="10.866666793823242" customWidth="1"/>
    <x:col min="4" max="4" width="12.866666793823242" customWidth="1"/>
    <x:col min="5" max="5" width="11" customWidth="1"/>
    <x:col min="6" max="10" width="10.866666793823242" customWidth="1"/>
    <x:col min="11" max="11" width="8.883333206176758" customWidth="1"/>
    <x:col min="12" max="14" width="15" customWidth="1"/>
    <x:col min="15" max="15" width="12.866666793823242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</x:row>
    <x:row r="2" s="7" customFormat="1" ht="16.5" customHeight="1">
      <x:c r="A2"/>
      <x:c r="B2" s="1" t="str">
        <x:v>收容物专用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</x:row>
    <x:row r="3" s="7" customFormat="1" ht="15" customHeight="1">
      <x:c r="A3" s="3" t="str">
        <x:v>收容物id</x:v>
      </x:c>
      <x:c r="B3" s="3" t="str">
        <x:v>武将名称</x:v>
      </x:c>
      <x:c r="C3" s="3" t="str">
        <x:v>稀有度</x:v>
      </x:c>
      <x:c r="D3" s="3" t="str">
        <x:v>武将职业</x:v>
      </x:c>
      <x:c r="E3" s="3" t="str">
        <x:v>职业生命比</x:v>
      </x:c>
      <x:c r="F3" s="3" t="str">
        <x:v>职业攻击比</x:v>
      </x:c>
      <x:c r="G3" s="3" t="str">
        <x:v>职业防御比</x:v>
      </x:c>
      <x:c r="H3" s="3" t="str">
        <x:v>专武生命比</x:v>
      </x:c>
      <x:c r="I3" s="3" t="str">
        <x:v>专武攻击比</x:v>
      </x:c>
      <x:c r="J3" s="3" t="str">
        <x:v>专武防御比</x:v>
      </x:c>
      <x:c r="K3" s="3" t="str">
        <x:v>品质系数</x:v>
      </x:c>
      <x:c r="L3" s="3" t="str">
        <x:v>专武最终生命比</x:v>
      </x:c>
      <x:c r="M3" s="3" t="str">
        <x:v>专武最终攻击比</x:v>
      </x:c>
      <x:c r="N3" s="3" t="str">
        <x:v>专武最终防御比</x:v>
      </x:c>
      <x:c r="O3" s="3" t="str">
        <x:v>专武二级属性</x:v>
      </x:c>
    </x:row>
    <x:row r="4" s="7" customFormat="1" ht="16.5" customHeight="1">
      <x:c r="A4" s="7" t="n">
        <x:v>51001</x:v>
      </x:c>
      <x:c r="B4" s="17" t="str">
        <x:v>虚妄之镜</x:v>
      </x:c>
      <x:c r="C4" s="18" t="str">
        <x:v>SSR</x:v>
      </x:c>
      <x:c r="D4" s="1" t="str">
        <x:v>坦克（生命）</x:v>
      </x:c>
      <x:c r="E4" s="7" t="n">
        <x:f>VLOOKUP($D4,'角色属性分配'!$B$3:$E$14,COLUMN('角色属性分配'!E$26)-COLUMN('角色属性分配'!$C$26),0)</x:f>
        <x:v>1.4</x:v>
      </x:c>
      <x:c r="F4" s="7" t="n">
        <x:f>VLOOKUP($D4,'角色属性分配'!$B$3:$E$14,COLUMN('角色属性分配'!F$26)-COLUMN('角色属性分配'!$C$26),0)</x:f>
        <x:v>0.6</x:v>
      </x:c>
      <x:c r="G4" s="7" t="n">
        <x:f>VLOOKUP($D4,'角色属性分配'!$B$3:$E$14,COLUMN('角色属性分配'!G$26)-COLUMN('角色属性分配'!$C$26),0)</x:f>
        <x:v>1</x:v>
      </x:c>
      <x:c r="H4" s="19" t="n">
        <x:v>1.1</x:v>
      </x:c>
      <x:c r="I4" s="19" t="n">
        <x:v>0.9</x:v>
      </x:c>
      <x:c r="J4" s="19" t="n">
        <x:v>1</x:v>
      </x:c>
      <x:c r="K4" s="7" t="n">
        <x:f>VLOOKUP(C4,'角色属性分配'!$B$19:$C$21,2,0)</x:f>
        <x:v>1</x:v>
      </x:c>
      <x:c r="L4" s="7" t="n">
        <x:f t="shared" ref="L4:L42" si="0">E4*H4</x:f>
        <x:v>1.54</x:v>
      </x:c>
      <x:c r="M4" s="7" t="n">
        <x:f t="shared" ref="M4:M42" si="1">F4*I4</x:f>
        <x:v>0.54</x:v>
      </x:c>
      <x:c r="N4" s="7" t="n">
        <x:f t="shared" ref="N4:N42" si="2">G4*J4</x:f>
        <x:v>1</x:v>
      </x:c>
      <x:c r="O4" s="19" t="str">
        <x:v>生命百分比</x:v>
      </x:c>
    </x:row>
    <x:row r="5" s="7" customFormat="1" ht="16.5" customHeight="1">
      <x:c r="A5" s="7" t="n">
        <x:v>51002</x:v>
      </x:c>
      <x:c r="B5" s="17" t="str">
        <x:v>玉液葫芦</x:v>
      </x:c>
      <x:c r="C5" s="18" t="str">
        <x:v>SSR</x:v>
      </x:c>
      <x:c r="D5" s="1" t="str">
        <x:v>输出（法师）</x:v>
      </x:c>
      <x:c r="E5" s="7" t="n">
        <x:f>VLOOKUP($D5,'角色属性分配'!$B$3:$E$14,COLUMN('角色属性分配'!E$26)-COLUMN('角色属性分配'!$C$26),0)</x:f>
        <x:v>0.8</x:v>
      </x:c>
      <x:c r="F5" s="7" t="n">
        <x:f>VLOOKUP($D5,'角色属性分配'!$B$3:$E$14,COLUMN('角色属性分配'!F$26)-COLUMN('角色属性分配'!$C$26),0)</x:f>
        <x:v>1.2</x:v>
      </x:c>
      <x:c r="G5" s="7" t="n">
        <x:f>VLOOKUP($D5,'角色属性分配'!$B$3:$E$14,COLUMN('角色属性分配'!G$26)-COLUMN('角色属性分配'!$C$26),0)</x:f>
        <x:v>1</x:v>
      </x:c>
      <x:c r="H5" s="19" t="n">
        <x:v>0.9</x:v>
      </x:c>
      <x:c r="I5" s="19" t="n">
        <x:v>1.1</x:v>
      </x:c>
      <x:c r="J5" s="19" t="n">
        <x:v>1</x:v>
      </x:c>
      <x:c r="K5" s="7" t="n">
        <x:f>VLOOKUP(C5,'角色属性分配'!$B$19:$C$21,2,0)</x:f>
        <x:v>1</x:v>
      </x:c>
      <x:c r="L5" s="7" t="n">
        <x:f t="shared" si="0">E5*H5</x:f>
        <x:v>0.7200000000000001</x:v>
      </x:c>
      <x:c r="M5" s="7" t="n">
        <x:f t="shared" si="1">F5*I5</x:f>
        <x:v>1.32</x:v>
      </x:c>
      <x:c r="N5" s="7" t="n">
        <x:f t="shared" si="2">G5*J5</x:f>
        <x:v>1</x:v>
      </x:c>
      <x:c r="O5" s="19" t="str">
        <x:v>必杀伤害加成</x:v>
      </x:c>
    </x:row>
    <x:row r="6" s="7" customFormat="1" ht="16.5" customHeight="1">
      <x:c r="A6" s="7" t="n">
        <x:v>51003</x:v>
      </x:c>
      <x:c r="B6" s="17" t="str">
        <x:v>海妖</x:v>
      </x:c>
      <x:c r="C6" s="18" t="str">
        <x:v>SSR</x:v>
      </x:c>
      <x:c r="D6" s="1" t="str">
        <x:v>输出（法师）</x:v>
      </x:c>
      <x:c r="E6" s="7" t="n">
        <x:f>VLOOKUP($D6,'角色属性分配'!$B$3:$E$14,COLUMN('角色属性分配'!E$26)-COLUMN('角色属性分配'!$C$26),0)</x:f>
        <x:v>0.8</x:v>
      </x:c>
      <x:c r="F6" s="7" t="n">
        <x:f>VLOOKUP($D6,'角色属性分配'!$B$3:$E$14,COLUMN('角色属性分配'!F$26)-COLUMN('角色属性分配'!$C$26),0)</x:f>
        <x:v>1.2</x:v>
      </x:c>
      <x:c r="G6" s="7" t="n">
        <x:f>VLOOKUP($D6,'角色属性分配'!$B$3:$E$14,COLUMN('角色属性分配'!G$26)-COLUMN('角色属性分配'!$C$26),0)</x:f>
        <x:v>1</x:v>
      </x:c>
      <x:c r="H6" s="19" t="n">
        <x:v>0.9</x:v>
      </x:c>
      <x:c r="I6" s="19" t="n">
        <x:v>1.1</x:v>
      </x:c>
      <x:c r="J6" s="19" t="n">
        <x:v>1</x:v>
      </x:c>
      <x:c r="K6" s="7" t="n">
        <x:f>VLOOKUP(C6,'角色属性分配'!$B$19:$C$21,2,0)</x:f>
        <x:v>1</x:v>
      </x:c>
      <x:c r="L6" s="7" t="n">
        <x:f t="shared" si="0">E6*H6</x:f>
        <x:v>0.7200000000000001</x:v>
      </x:c>
      <x:c r="M6" s="7" t="n">
        <x:f t="shared" si="1">F6*I6</x:f>
        <x:v>1.32</x:v>
      </x:c>
      <x:c r="N6" s="7" t="n">
        <x:f t="shared" si="2">G6*J6</x:f>
        <x:v>1</x:v>
      </x:c>
      <x:c r="O6" s="19" t="str">
        <x:v>必杀伤害加成</x:v>
      </x:c>
    </x:row>
    <x:row r="7" s="7" customFormat="1" ht="16.5" customHeight="1">
      <x:c r="A7" s="7" t="n">
        <x:v>51004</x:v>
      </x:c>
      <x:c r="B7" s="17" t="str">
        <x:v>回声</x:v>
      </x:c>
      <x:c r="C7" s="18" t="str">
        <x:v>SSR</x:v>
      </x:c>
      <x:c r="D7" s="1" t="str">
        <x:v>辅助（均衡）</x:v>
      </x:c>
      <x:c r="E7" s="7" t="n">
        <x:f>VLOOKUP($D7,'角色属性分配'!$B$3:$E$14,COLUMN('角色属性分配'!E$26)-COLUMN('角色属性分配'!$C$26),0)</x:f>
        <x:v>1.1</x:v>
      </x:c>
      <x:c r="F7" s="7" t="n">
        <x:f>VLOOKUP($D7,'角色属性分配'!$B$3:$E$14,COLUMN('角色属性分配'!F$26)-COLUMN('角色属性分配'!$C$26),0)</x:f>
        <x:v>0.85</x:v>
      </x:c>
      <x:c r="G7" s="7" t="n">
        <x:f>VLOOKUP($D7,'角色属性分配'!$B$3:$E$14,COLUMN('角色属性分配'!G$26)-COLUMN('角色属性分配'!$C$26),0)</x:f>
        <x:v>1.05</x:v>
      </x:c>
      <x:c r="H7" s="19" t="n">
        <x:v>1.05</x:v>
      </x:c>
      <x:c r="I7" s="19" t="n">
        <x:v>0.95</x:v>
      </x:c>
      <x:c r="J7" s="19" t="n">
        <x:v>1</x:v>
      </x:c>
      <x:c r="K7" s="7" t="n">
        <x:f>VLOOKUP(C7,'角色属性分配'!$B$19:$C$21,2,0)</x:f>
        <x:v>1</x:v>
      </x:c>
      <x:c r="L7" s="7" t="n">
        <x:f t="shared" si="0">E7*H7</x:f>
        <x:v>1.1550000000000002</x:v>
      </x:c>
      <x:c r="M7" s="7" t="n">
        <x:f t="shared" si="1">F7*I7</x:f>
        <x:v>0.8075</x:v>
      </x:c>
      <x:c r="N7" s="7" t="n">
        <x:f t="shared" si="2">G7*J7</x:f>
        <x:v>1.05</x:v>
      </x:c>
      <x:c r="O7" s="19" t="str">
        <x:v>能量回复等级</x:v>
      </x:c>
    </x:row>
    <x:row r="8" s="7" customFormat="1" ht="16.5" customHeight="1">
      <x:c r="A8" s="7" t="n">
        <x:v>51005</x:v>
      </x:c>
      <x:c r="B8" s="17" t="str">
        <x:v>亚瑟之手</x:v>
      </x:c>
      <x:c r="C8" s="18" t="str">
        <x:v>SSR</x:v>
      </x:c>
      <x:c r="D8" s="1" t="str">
        <x:v>坦克（防御）</x:v>
      </x:c>
      <x:c r="E8" s="7" t="n">
        <x:f>VLOOKUP($D8,'角色属性分配'!$B$3:$E$14,COLUMN('角色属性分配'!E$26)-COLUMN('角色属性分配'!$C$26),0)</x:f>
        <x:v>1.2</x:v>
      </x:c>
      <x:c r="F8" s="7" t="n">
        <x:f>VLOOKUP($D8,'角色属性分配'!$B$3:$E$14,COLUMN('角色属性分配'!F$26)-COLUMN('角色属性分配'!$C$26),0)</x:f>
        <x:v>0.6</x:v>
      </x:c>
      <x:c r="G8" s="7" t="n">
        <x:f>VLOOKUP($D8,'角色属性分配'!$B$3:$E$14,COLUMN('角色属性分配'!G$26)-COLUMN('角色属性分配'!$C$26),0)</x:f>
        <x:v>1.2</x:v>
      </x:c>
      <x:c r="H8" s="19" t="n">
        <x:v>1.05</x:v>
      </x:c>
      <x:c r="I8" s="19" t="n">
        <x:v>0.9</x:v>
      </x:c>
      <x:c r="J8" s="19" t="n">
        <x:v>1.05</x:v>
      </x:c>
      <x:c r="K8" s="7" t="n">
        <x:f>VLOOKUP(C8,'角色属性分配'!$B$19:$C$21,2,0)</x:f>
        <x:v>1</x:v>
      </x:c>
      <x:c r="L8" s="7" t="n">
        <x:f t="shared" si="0">E8*H8</x:f>
        <x:v>1.26</x:v>
      </x:c>
      <x:c r="M8" s="7" t="n">
        <x:f t="shared" si="1">F8*I8</x:f>
        <x:v>0.54</x:v>
      </x:c>
      <x:c r="N8" s="7" t="n">
        <x:f t="shared" si="2">G8*J8</x:f>
        <x:v>1.26</x:v>
      </x:c>
      <x:c r="O8" s="19" t="str">
        <x:v>生命百分比</x:v>
      </x:c>
    </x:row>
    <x:row r="9" s="7" customFormat="1" ht="16.5" customHeight="1">
      <x:c r="A9" s="7" t="n">
        <x:v>51006</x:v>
      </x:c>
      <x:c r="B9" s="17" t="str">
        <x:v>象</x:v>
      </x:c>
      <x:c r="C9" s="18" t="str">
        <x:v>SSR</x:v>
      </x:c>
      <x:c r="D9" s="1" t="str">
        <x:v>输出（战士）</x:v>
      </x:c>
      <x:c r="E9" s="7" t="n">
        <x:f>VLOOKUP($D9,'角色属性分配'!$B$3:$E$14,COLUMN('角色属性分配'!E$26)-COLUMN('角色属性分配'!$C$26),0)</x:f>
        <x:v>1.05</x:v>
      </x:c>
      <x:c r="F9" s="7" t="n">
        <x:f>VLOOKUP($D9,'角色属性分配'!$B$3:$E$14,COLUMN('角色属性分配'!F$26)-COLUMN('角色属性分配'!$C$26),0)</x:f>
        <x:v>0.95</x:v>
      </x:c>
      <x:c r="G9" s="7" t="n">
        <x:f>VLOOKUP($D9,'角色属性分配'!$B$3:$E$14,COLUMN('角色属性分配'!G$26)-COLUMN('角色属性分配'!$C$26),0)</x:f>
        <x:v>1</x:v>
      </x:c>
      <x:c r="H9" s="19" t="n">
        <x:v>0.9</x:v>
      </x:c>
      <x:c r="I9" s="19" t="n">
        <x:v>1.1</x:v>
      </x:c>
      <x:c r="J9" s="19" t="n">
        <x:v>1</x:v>
      </x:c>
      <x:c r="K9" s="7" t="n">
        <x:f>VLOOKUP(C9,'角色属性分配'!$B$19:$C$21,2,0)</x:f>
        <x:v>1</x:v>
      </x:c>
      <x:c r="L9" s="7" t="n">
        <x:f t="shared" si="0">E9*H9</x:f>
        <x:v>0.9450000000000001</x:v>
      </x:c>
      <x:c r="M9" s="7" t="n">
        <x:f t="shared" si="1">F9*I9</x:f>
        <x:v>1.045</x:v>
      </x:c>
      <x:c r="N9" s="7" t="n">
        <x:f t="shared" si="2">G9*J9</x:f>
        <x:v>1</x:v>
      </x:c>
      <x:c r="O9" s="19" t="str">
        <x:v>技能伤害加成</x:v>
      </x:c>
    </x:row>
    <x:row r="10" s="7" customFormat="1" ht="16.5" customHeight="1">
      <x:c r="A10" s="7" t="n">
        <x:v>51007</x:v>
      </x:c>
      <x:c r="B10" s="17" t="str">
        <x:v>狂乱之牙</x:v>
      </x:c>
      <x:c r="C10" s="18" t="str">
        <x:v>SSR</x:v>
      </x:c>
      <x:c r="D10" s="1" t="str">
        <x:v>输出（战士）</x:v>
      </x:c>
      <x:c r="E10" s="7" t="n">
        <x:f>VLOOKUP($D10,'角色属性分配'!$B$3:$E$14,COLUMN('角色属性分配'!E$26)-COLUMN('角色属性分配'!$C$26),0)</x:f>
        <x:v>1.05</x:v>
      </x:c>
      <x:c r="F10" s="7" t="n">
        <x:f>VLOOKUP($D10,'角色属性分配'!$B$3:$E$14,COLUMN('角色属性分配'!F$26)-COLUMN('角色属性分配'!$C$26),0)</x:f>
        <x:v>0.95</x:v>
      </x:c>
      <x:c r="G10" s="7" t="n">
        <x:f>VLOOKUP($D10,'角色属性分配'!$B$3:$E$14,COLUMN('角色属性分配'!G$26)-COLUMN('角色属性分配'!$C$26),0)</x:f>
        <x:v>1</x:v>
      </x:c>
      <x:c r="H10" s="19" t="n">
        <x:v>0.9</x:v>
      </x:c>
      <x:c r="I10" s="19" t="n">
        <x:v>1.1</x:v>
      </x:c>
      <x:c r="J10" s="19" t="n">
        <x:v>1</x:v>
      </x:c>
      <x:c r="K10" s="7" t="n">
        <x:f>VLOOKUP(C10,'角色属性分配'!$B$19:$C$21,2,0)</x:f>
        <x:v>1</x:v>
      </x:c>
      <x:c r="L10" s="7" t="n">
        <x:f t="shared" si="0">E10*H10</x:f>
        <x:v>0.9450000000000001</x:v>
      </x:c>
      <x:c r="M10" s="7" t="n">
        <x:f t="shared" si="1">F10*I10</x:f>
        <x:v>1.045</x:v>
      </x:c>
      <x:c r="N10" s="7" t="n">
        <x:f t="shared" si="2">G10*J10</x:f>
        <x:v>1</x:v>
      </x:c>
      <x:c r="O10" s="19" t="str">
        <x:v>攻击百分比</x:v>
      </x:c>
    </x:row>
    <x:row r="11" s="7" customFormat="1" ht="16.5" customHeight="1">
      <x:c r="A11" s="7" t="n">
        <x:v>51008</x:v>
      </x:c>
      <x:c r="B11" s="17" t="str">
        <x:v>陈旧的烟匣</x:v>
      </x:c>
      <x:c r="C11" s="18" t="str">
        <x:v>SSR</x:v>
      </x:c>
      <x:c r="D11" s="1" t="str">
        <x:v>坦克（防御）</x:v>
      </x:c>
      <x:c r="E11" s="7" t="n">
        <x:f>VLOOKUP($D11,'角色属性分配'!$B$3:$E$14,COLUMN('角色属性分配'!E$26)-COLUMN('角色属性分配'!$C$26),0)</x:f>
        <x:v>1.2</x:v>
      </x:c>
      <x:c r="F11" s="7" t="n">
        <x:f>VLOOKUP($D11,'角色属性分配'!$B$3:$E$14,COLUMN('角色属性分配'!F$26)-COLUMN('角色属性分配'!$C$26),0)</x:f>
        <x:v>0.6</x:v>
      </x:c>
      <x:c r="G11" s="7" t="n">
        <x:f>VLOOKUP($D11,'角色属性分配'!$B$3:$E$14,COLUMN('角色属性分配'!G$26)-COLUMN('角色属性分配'!$C$26),0)</x:f>
        <x:v>1.2</x:v>
      </x:c>
      <x:c r="H11" s="19" t="n">
        <x:v>1.05</x:v>
      </x:c>
      <x:c r="I11" s="19" t="n">
        <x:v>0.9</x:v>
      </x:c>
      <x:c r="J11" s="19" t="n">
        <x:v>1.05</x:v>
      </x:c>
      <x:c r="K11" s="7" t="n">
        <x:f>VLOOKUP(C11,'角色属性分配'!$B$19:$C$21,2,0)</x:f>
        <x:v>1</x:v>
      </x:c>
      <x:c r="L11" s="7" t="n">
        <x:f t="shared" si="0">E11*H11</x:f>
        <x:v>1.26</x:v>
      </x:c>
      <x:c r="M11" s="7" t="n">
        <x:f t="shared" si="1">F11*I11</x:f>
        <x:v>0.54</x:v>
      </x:c>
      <x:c r="N11" s="7" t="n">
        <x:f t="shared" si="2">G11*J11</x:f>
        <x:v>1.26</x:v>
      </x:c>
      <x:c r="O11" s="19" t="str">
        <x:v>生命百分比</x:v>
      </x:c>
    </x:row>
    <x:row r="12" s="7" customFormat="1" ht="16.5" customHeight="1">
      <x:c r="A12" s="7" t="n">
        <x:v>51009</x:v>
      </x:c>
      <x:c r="B12" s="17" t="str">
        <x:v>断事官印章</x:v>
      </x:c>
      <x:c r="C12" s="18" t="str">
        <x:v>SSR</x:v>
      </x:c>
      <x:c r="D12" s="1" t="str">
        <x:v>输出（法师）</x:v>
      </x:c>
      <x:c r="E12" s="7" t="n">
        <x:f>VLOOKUP($D12,'角色属性分配'!$B$3:$E$14,COLUMN('角色属性分配'!E$26)-COLUMN('角色属性分配'!$C$26),0)</x:f>
        <x:v>0.8</x:v>
      </x:c>
      <x:c r="F12" s="7" t="n">
        <x:f>VLOOKUP($D12,'角色属性分配'!$B$3:$E$14,COLUMN('角色属性分配'!F$26)-COLUMN('角色属性分配'!$C$26),0)</x:f>
        <x:v>1.2</x:v>
      </x:c>
      <x:c r="G12" s="7" t="n">
        <x:f>VLOOKUP($D12,'角色属性分配'!$B$3:$E$14,COLUMN('角色属性分配'!G$26)-COLUMN('角色属性分配'!$C$26),0)</x:f>
        <x:v>1</x:v>
      </x:c>
      <x:c r="H12" s="19" t="n">
        <x:v>0.9</x:v>
      </x:c>
      <x:c r="I12" s="19" t="n">
        <x:v>1.1</x:v>
      </x:c>
      <x:c r="J12" s="19" t="n">
        <x:v>1</x:v>
      </x:c>
      <x:c r="K12" s="7" t="n">
        <x:f>VLOOKUP(C12,'角色属性分配'!$B$19:$C$21,2,0)</x:f>
        <x:v>1</x:v>
      </x:c>
      <x:c r="L12" s="7" t="n">
        <x:f t="shared" si="0">E12*H12</x:f>
        <x:v>0.7200000000000001</x:v>
      </x:c>
      <x:c r="M12" s="7" t="n">
        <x:f t="shared" si="1">F12*I12</x:f>
        <x:v>1.32</x:v>
      </x:c>
      <x:c r="N12" s="7" t="n">
        <x:f t="shared" si="2">G12*J12</x:f>
        <x:v>1</x:v>
      </x:c>
      <x:c r="O12" s="19" t="str">
        <x:v>攻击百分比</x:v>
      </x:c>
    </x:row>
    <x:row r="13" s="7" customFormat="1" ht="16.5" customHeight="1">
      <x:c r="A13" s="7" t="n">
        <x:v>51010</x:v>
      </x:c>
      <x:c r="B13" s="17" t="str">
        <x:v>十字剑章</x:v>
      </x:c>
      <x:c r="C13" s="18" t="str">
        <x:v>SSR</x:v>
      </x:c>
      <x:c r="D13" s="1" t="str">
        <x:v>坦克（防御）</x:v>
      </x:c>
      <x:c r="E13" s="7" t="n">
        <x:f>VLOOKUP($D13,'角色属性分配'!$B$3:$E$14,COLUMN('角色属性分配'!E$26)-COLUMN('角色属性分配'!$C$26),0)</x:f>
        <x:v>1.2</x:v>
      </x:c>
      <x:c r="F13" s="7" t="n">
        <x:f>VLOOKUP($D13,'角色属性分配'!$B$3:$E$14,COLUMN('角色属性分配'!F$26)-COLUMN('角色属性分配'!$C$26),0)</x:f>
        <x:v>0.6</x:v>
      </x:c>
      <x:c r="G13" s="7" t="n">
        <x:f>VLOOKUP($D13,'角色属性分配'!$B$3:$E$14,COLUMN('角色属性分配'!G$26)-COLUMN('角色属性分配'!$C$26),0)</x:f>
        <x:v>1.2</x:v>
      </x:c>
      <x:c r="H13" s="19" t="n">
        <x:v>1.05</x:v>
      </x:c>
      <x:c r="I13" s="19" t="n">
        <x:v>0.9</x:v>
      </x:c>
      <x:c r="J13" s="19" t="n">
        <x:v>1.05</x:v>
      </x:c>
      <x:c r="K13" s="7" t="n">
        <x:f>VLOOKUP(C13,'角色属性分配'!$B$19:$C$21,2,0)</x:f>
        <x:v>1</x:v>
      </x:c>
      <x:c r="L13" s="7" t="n">
        <x:f t="shared" si="0">E13*H13</x:f>
        <x:v>1.26</x:v>
      </x:c>
      <x:c r="M13" s="7" t="n">
        <x:f t="shared" si="1">F13*I13</x:f>
        <x:v>0.54</x:v>
      </x:c>
      <x:c r="N13" s="7" t="n">
        <x:f t="shared" si="2">G13*J13</x:f>
        <x:v>1.26</x:v>
      </x:c>
      <x:c r="O13" s="19" t="str">
        <x:v>技能伤害加成</x:v>
      </x:c>
    </x:row>
    <x:row r="14" s="7" customFormat="1" ht="16.5" customHeight="1">
      <x:c r="A14" s="7" t="n">
        <x:v>51011</x:v>
      </x:c>
      <x:c r="B14" s="17" t="str">
        <x:v>紫罗兰王冠</x:v>
      </x:c>
      <x:c r="C14" s="18" t="str">
        <x:v>SSR</x:v>
      </x:c>
      <x:c r="D14" s="1" t="str">
        <x:v>输出（射手）</x:v>
      </x:c>
      <x:c r="E14" s="7" t="n">
        <x:f>VLOOKUP($D14,'角色属性分配'!$B$3:$E$14,COLUMN('角色属性分配'!E$26)-COLUMN('角色属性分配'!$C$26),0)</x:f>
        <x:v>0.9</x:v>
      </x:c>
      <x:c r="F14" s="7" t="n">
        <x:f>VLOOKUP($D14,'角色属性分配'!$B$3:$E$14,COLUMN('角色属性分配'!F$26)-COLUMN('角色属性分配'!$C$26),0)</x:f>
        <x:v>1.1</x:v>
      </x:c>
      <x:c r="G14" s="7" t="n">
        <x:f>VLOOKUP($D14,'角色属性分配'!$B$3:$E$14,COLUMN('角色属性分配'!G$26)-COLUMN('角色属性分配'!$C$26),0)</x:f>
        <x:v>1</x:v>
      </x:c>
      <x:c r="H14" s="19" t="n">
        <x:v>0.9</x:v>
      </x:c>
      <x:c r="I14" s="19" t="n">
        <x:v>1.1</x:v>
      </x:c>
      <x:c r="J14" s="19" t="n">
        <x:v>1</x:v>
      </x:c>
      <x:c r="K14" s="7" t="n">
        <x:f>VLOOKUP(C14,'角色属性分配'!$B$19:$C$21,2,0)</x:f>
        <x:v>1</x:v>
      </x:c>
      <x:c r="L14" s="7" t="n">
        <x:f t="shared" si="0">E14*H14</x:f>
        <x:v>0.81</x:v>
      </x:c>
      <x:c r="M14" s="7" t="n">
        <x:f t="shared" si="1">F14*I14</x:f>
        <x:v>1.2100000000000002</x:v>
      </x:c>
      <x:c r="N14" s="7" t="n">
        <x:f t="shared" si="2">G14*J14</x:f>
        <x:v>1</x:v>
      </x:c>
      <x:c r="O14" s="19" t="str">
        <x:v>普攻伤害加成</x:v>
      </x:c>
    </x:row>
    <x:row r="15" s="7" customFormat="1" ht="16.5" customHeight="1">
      <x:c r="A15" s="7" t="n">
        <x:v>51012</x:v>
      </x:c>
      <x:c r="B15" s="17" t="str">
        <x:v>破烂玩偶</x:v>
      </x:c>
      <x:c r="C15" s="18" t="str">
        <x:v>SSR</x:v>
      </x:c>
      <x:c r="D15" s="1" t="str">
        <x:v>输出（战士）</x:v>
      </x:c>
      <x:c r="E15" s="7" t="n">
        <x:f>VLOOKUP($D15,'角色属性分配'!$B$3:$E$14,COLUMN('角色属性分配'!E$26)-COLUMN('角色属性分配'!$C$26),0)</x:f>
        <x:v>1.05</x:v>
      </x:c>
      <x:c r="F15" s="7" t="n">
        <x:f>VLOOKUP($D15,'角色属性分配'!$B$3:$E$14,COLUMN('角色属性分配'!F$26)-COLUMN('角色属性分配'!$C$26),0)</x:f>
        <x:v>0.95</x:v>
      </x:c>
      <x:c r="G15" s="7" t="n">
        <x:f>VLOOKUP($D15,'角色属性分配'!$B$3:$E$14,COLUMN('角色属性分配'!G$26)-COLUMN('角色属性分配'!$C$26),0)</x:f>
        <x:v>1</x:v>
      </x:c>
      <x:c r="H15" s="19" t="n">
        <x:v>0.9</x:v>
      </x:c>
      <x:c r="I15" s="19" t="n">
        <x:v>1.1</x:v>
      </x:c>
      <x:c r="J15" s="19" t="n">
        <x:v>1</x:v>
      </x:c>
      <x:c r="K15" s="7" t="n">
        <x:f>VLOOKUP(C15,'角色属性分配'!$B$19:$C$21,2,0)</x:f>
        <x:v>1</x:v>
      </x:c>
      <x:c r="L15" s="7" t="n">
        <x:f t="shared" si="0">E15*H15</x:f>
        <x:v>0.9450000000000001</x:v>
      </x:c>
      <x:c r="M15" s="7" t="n">
        <x:f t="shared" si="1">F15*I15</x:f>
        <x:v>1.045</x:v>
      </x:c>
      <x:c r="N15" s="7" t="n">
        <x:f t="shared" si="2">G15*J15</x:f>
        <x:v>1</x:v>
      </x:c>
      <x:c r="O15" s="19" t="str">
        <x:v>攻击百分比</x:v>
      </x:c>
    </x:row>
    <x:row r="16" s="7" customFormat="1" ht="16.5" customHeight="1">
      <x:c r="A16" s="7" t="n">
        <x:v>51013</x:v>
      </x:c>
      <x:c r="B16" s="17" t="str">
        <x:v>六芒圣楔</x:v>
      </x:c>
      <x:c r="C16" s="18" t="str">
        <x:v>SSR</x:v>
      </x:c>
      <x:c r="D16" s="1" t="str">
        <x:v>输出（射手）</x:v>
      </x:c>
      <x:c r="E16" s="7" t="n">
        <x:f>VLOOKUP($D16,'角色属性分配'!$B$3:$E$14,COLUMN('角色属性分配'!E$26)-COLUMN('角色属性分配'!$C$26),0)</x:f>
        <x:v>0.9</x:v>
      </x:c>
      <x:c r="F16" s="7" t="n">
        <x:f>VLOOKUP($D16,'角色属性分配'!$B$3:$E$14,COLUMN('角色属性分配'!F$26)-COLUMN('角色属性分配'!$C$26),0)</x:f>
        <x:v>1.1</x:v>
      </x:c>
      <x:c r="G16" s="7" t="n">
        <x:f>VLOOKUP($D16,'角色属性分配'!$B$3:$E$14,COLUMN('角色属性分配'!G$26)-COLUMN('角色属性分配'!$C$26),0)</x:f>
        <x:v>1</x:v>
      </x:c>
      <x:c r="H16" s="19" t="n">
        <x:v>0.9</x:v>
      </x:c>
      <x:c r="I16" s="19" t="n">
        <x:v>1.1</x:v>
      </x:c>
      <x:c r="J16" s="19" t="n">
        <x:v>1</x:v>
      </x:c>
      <x:c r="K16" s="7" t="n">
        <x:f>VLOOKUP(C16,'角色属性分配'!$B$19:$C$21,2,0)</x:f>
        <x:v>1</x:v>
      </x:c>
      <x:c r="L16" s="7" t="n">
        <x:f t="shared" si="0">E16*H16</x:f>
        <x:v>0.81</x:v>
      </x:c>
      <x:c r="M16" s="7" t="n">
        <x:f t="shared" si="1">F16*I16</x:f>
        <x:v>1.2100000000000002</x:v>
      </x:c>
      <x:c r="N16" s="7" t="n">
        <x:f t="shared" si="2">G16*J16</x:f>
        <x:v>1</x:v>
      </x:c>
      <x:c r="O16" s="19" t="str">
        <x:v>普攻伤害加成</x:v>
      </x:c>
    </x:row>
    <x:row r="17" s="7" customFormat="1" ht="16.5" customHeight="1">
      <x:c r="A17" s="7" t="n">
        <x:v>52001</x:v>
      </x:c>
      <x:c r="B17" s="17" t="str">
        <x:v>延爆手环</x:v>
      </x:c>
      <x:c r="C17" s="20" t="str">
        <x:v>SR</x:v>
      </x:c>
      <x:c r="D17" s="1" t="str">
        <x:v>输出（射手）</x:v>
      </x:c>
      <x:c r="E17" s="7" t="n">
        <x:f>VLOOKUP($D17,'角色属性分配'!$B$3:$E$14,COLUMN('角色属性分配'!E$26)-COLUMN('角色属性分配'!$C$26),0)</x:f>
        <x:v>0.9</x:v>
      </x:c>
      <x:c r="F17" s="7" t="n">
        <x:f>VLOOKUP($D17,'角色属性分配'!$B$3:$E$14,COLUMN('角色属性分配'!F$26)-COLUMN('角色属性分配'!$C$26),0)</x:f>
        <x:v>1.1</x:v>
      </x:c>
      <x:c r="G17" s="7" t="n">
        <x:f>VLOOKUP($D17,'角色属性分配'!$B$3:$E$14,COLUMN('角色属性分配'!G$26)-COLUMN('角色属性分配'!$C$26),0)</x:f>
        <x:v>1</x:v>
      </x:c>
      <x:c r="H17" s="19" t="n">
        <x:v>0.9</x:v>
      </x:c>
      <x:c r="I17" s="19" t="n">
        <x:v>1.05</x:v>
      </x:c>
      <x:c r="J17" s="19" t="n">
        <x:v>1</x:v>
      </x:c>
      <x:c r="K17" s="7" t="n">
        <x:f>VLOOKUP(C17,'角色属性分配'!$B$19:$C$21,2,0)</x:f>
        <x:v>0.75</x:v>
      </x:c>
      <x:c r="L17" s="7" t="n">
        <x:f t="shared" si="0">E17*H17</x:f>
        <x:v>0.81</x:v>
      </x:c>
      <x:c r="M17" s="7" t="n">
        <x:f t="shared" si="1">F17*I17</x:f>
        <x:v>1.1550000000000002</x:v>
      </x:c>
      <x:c r="N17" s="7" t="n">
        <x:f t="shared" si="2">G17*J17</x:f>
        <x:v>1</x:v>
      </x:c>
      <x:c r="O17" s="19" t="str">
        <x:v>暴击等级</x:v>
      </x:c>
    </x:row>
    <x:row r="18" s="7" customFormat="1" ht="16.5" customHeight="1">
      <x:c r="A18" s="7" t="n">
        <x:v>52002</x:v>
      </x:c>
      <x:c r="B18" s="17" t="str">
        <x:v>紊乱透镜</x:v>
      </x:c>
      <x:c r="C18" s="20" t="str">
        <x:v>SR</x:v>
      </x:c>
      <x:c r="D18" s="1" t="str">
        <x:v>输出（法师）</x:v>
      </x:c>
      <x:c r="E18" s="7" t="n">
        <x:f>VLOOKUP($D18,'角色属性分配'!$B$3:$E$14,COLUMN('角色属性分配'!E$26)-COLUMN('角色属性分配'!$C$26),0)</x:f>
        <x:v>0.8</x:v>
      </x:c>
      <x:c r="F18" s="7" t="n">
        <x:f>VLOOKUP($D18,'角色属性分配'!$B$3:$E$14,COLUMN('角色属性分配'!F$26)-COLUMN('角色属性分配'!$C$26),0)</x:f>
        <x:v>1.2</x:v>
      </x:c>
      <x:c r="G18" s="7" t="n">
        <x:f>VLOOKUP($D18,'角色属性分配'!$B$3:$E$14,COLUMN('角色属性分配'!G$26)-COLUMN('角色属性分配'!$C$26),0)</x:f>
        <x:v>1</x:v>
      </x:c>
      <x:c r="H18" s="19" t="n">
        <x:v>0.9</x:v>
      </x:c>
      <x:c r="I18" s="19" t="n">
        <x:v>1.05</x:v>
      </x:c>
      <x:c r="J18" s="19" t="n">
        <x:v>1</x:v>
      </x:c>
      <x:c r="K18" s="7" t="n">
        <x:f>VLOOKUP(C18,'角色属性分配'!$B$19:$C$21,2,0)</x:f>
        <x:v>0.75</x:v>
      </x:c>
      <x:c r="L18" s="7" t="n">
        <x:f t="shared" si="0">E18*H18</x:f>
        <x:v>0.7200000000000001</x:v>
      </x:c>
      <x:c r="M18" s="7" t="n">
        <x:f t="shared" si="1">F18*I18</x:f>
        <x:v>1.26</x:v>
      </x:c>
      <x:c r="N18" s="7" t="n">
        <x:f t="shared" si="2">G18*J18</x:f>
        <x:v>1</x:v>
      </x:c>
      <x:c r="O18" s="19" t="str">
        <x:v>技能伤害加成</x:v>
      </x:c>
    </x:row>
    <x:row r="19" s="7" customFormat="1" ht="16.5" customHeight="1">
      <x:c r="A19" s="7" t="n">
        <x:v>52003</x:v>
      </x:c>
      <x:c r="B19" s="17" t="str">
        <x:v>幸运故障环</x:v>
      </x:c>
      <x:c r="C19" s="20" t="str">
        <x:v>SR</x:v>
      </x:c>
      <x:c r="D19" s="1" t="str">
        <x:v>坦克（防御）</x:v>
      </x:c>
      <x:c r="E19" s="7" t="n">
        <x:f>VLOOKUP($D19,'角色属性分配'!$B$3:$E$14,COLUMN('角色属性分配'!E$26)-COLUMN('角色属性分配'!$C$26),0)</x:f>
        <x:v>1.2</x:v>
      </x:c>
      <x:c r="F19" s="7" t="n">
        <x:f>VLOOKUP($D19,'角色属性分配'!$B$3:$E$14,COLUMN('角色属性分配'!F$26)-COLUMN('角色属性分配'!$C$26),0)</x:f>
        <x:v>0.6</x:v>
      </x:c>
      <x:c r="G19" s="7" t="n">
        <x:f>VLOOKUP($D19,'角色属性分配'!$B$3:$E$14,COLUMN('角色属性分配'!G$26)-COLUMN('角色属性分配'!$C$26),0)</x:f>
        <x:v>1.2</x:v>
      </x:c>
      <x:c r="H19" s="19" t="n">
        <x:v>1.2</x:v>
      </x:c>
      <x:c r="I19" s="19" t="n">
        <x:v>0.75</x:v>
      </x:c>
      <x:c r="J19" s="19" t="n">
        <x:v>1.3</x:v>
      </x:c>
      <x:c r="K19" s="7" t="n">
        <x:f>VLOOKUP(C19,'角色属性分配'!$B$19:$C$21,2,0)</x:f>
        <x:v>0.75</x:v>
      </x:c>
      <x:c r="L19" s="7" t="n">
        <x:f t="shared" si="0">E19*H19</x:f>
        <x:v>1.44</x:v>
      </x:c>
      <x:c r="M19" s="7" t="n">
        <x:f t="shared" si="1">F19*I19</x:f>
        <x:v>0.44999999999999996</x:v>
      </x:c>
      <x:c r="N19" s="7" t="n">
        <x:f t="shared" si="2">G19*J19</x:f>
        <x:v>1.56</x:v>
      </x:c>
      <x:c r="O19" s="19" t="str">
        <x:v>防御力百分比</x:v>
      </x:c>
    </x:row>
    <x:row r="20" s="7" customFormat="1" ht="16.5" customHeight="1">
      <x:c r="A20" s="7" t="n">
        <x:v>52004</x:v>
      </x:c>
      <x:c r="B20" s="17" t="str">
        <x:v>链式反应器</x:v>
      </x:c>
      <x:c r="C20" s="20" t="str">
        <x:v>SR</x:v>
      </x:c>
      <x:c r="D20" s="1" t="str">
        <x:v>辅助（攻击）</x:v>
      </x:c>
      <x:c r="E20" s="7" t="n">
        <x:f>VLOOKUP($D20,'角色属性分配'!$B$3:$E$14,COLUMN('角色属性分配'!E$26)-COLUMN('角色属性分配'!$C$26),0)</x:f>
        <x:v>1</x:v>
      </x:c>
      <x:c r="F20" s="7" t="n">
        <x:f>VLOOKUP($D20,'角色属性分配'!$B$3:$E$14,COLUMN('角色属性分配'!F$26)-COLUMN('角色属性分配'!$C$26),0)</x:f>
        <x:v>0.9</x:v>
      </x:c>
      <x:c r="G20" s="7" t="n">
        <x:f>VLOOKUP($D20,'角色属性分配'!$B$3:$E$14,COLUMN('角色属性分配'!G$26)-COLUMN('角色属性分配'!$C$26),0)</x:f>
        <x:v>1.1</x:v>
      </x:c>
      <x:c r="H20" s="19" t="n">
        <x:v>1</x:v>
      </x:c>
      <x:c r="I20" s="19" t="n">
        <x:v>1.05</x:v>
      </x:c>
      <x:c r="J20" s="19" t="n">
        <x:v>0.9</x:v>
      </x:c>
      <x:c r="K20" s="7" t="n">
        <x:f>VLOOKUP(C20,'角色属性分配'!$B$19:$C$21,2,0)</x:f>
        <x:v>0.75</x:v>
      </x:c>
      <x:c r="L20" s="7" t="n">
        <x:f t="shared" si="0">E20*H20</x:f>
        <x:v>1</x:v>
      </x:c>
      <x:c r="M20" s="7" t="n">
        <x:f t="shared" si="1">F20*I20</x:f>
        <x:v>0.9450000000000001</x:v>
      </x:c>
      <x:c r="N20" s="7" t="n">
        <x:f t="shared" si="2">G20*J20</x:f>
        <x:v>0.9900000000000001</x:v>
      </x:c>
      <x:c r="O20" s="19" t="str">
        <x:v>能量回复等级</x:v>
      </x:c>
    </x:row>
    <x:row r="21" s="7" customFormat="1" ht="16.5" customHeight="1">
      <x:c r="A21" s="7" t="n">
        <x:v>52005</x:v>
      </x:c>
      <x:c r="B21" s="17" t="str">
        <x:v>狂欢之杯</x:v>
      </x:c>
      <x:c r="C21" s="20" t="str">
        <x:v>SR</x:v>
      </x:c>
      <x:c r="D21" s="1" t="str">
        <x:v>辅助（攻击）</x:v>
      </x:c>
      <x:c r="E21" s="7" t="n">
        <x:f>VLOOKUP($D21,'角色属性分配'!$B$3:$E$14,COLUMN('角色属性分配'!E$26)-COLUMN('角色属性分配'!$C$26),0)</x:f>
        <x:v>1</x:v>
      </x:c>
      <x:c r="F21" s="7" t="n">
        <x:f>VLOOKUP($D21,'角色属性分配'!$B$3:$E$14,COLUMN('角色属性分配'!F$26)-COLUMN('角色属性分配'!$C$26),0)</x:f>
        <x:v>0.9</x:v>
      </x:c>
      <x:c r="G21" s="7" t="n">
        <x:f>VLOOKUP($D21,'角色属性分配'!$B$3:$E$14,COLUMN('角色属性分配'!G$26)-COLUMN('角色属性分配'!$C$26),0)</x:f>
        <x:v>1.1</x:v>
      </x:c>
      <x:c r="H21" s="19" t="n">
        <x:v>1</x:v>
      </x:c>
      <x:c r="I21" s="19" t="n">
        <x:v>0.975</x:v>
      </x:c>
      <x:c r="J21" s="19" t="n">
        <x:v>1.05</x:v>
      </x:c>
      <x:c r="K21" s="7" t="n">
        <x:f>VLOOKUP(C21,'角色属性分配'!$B$19:$C$21,2,0)</x:f>
        <x:v>0.75</x:v>
      </x:c>
      <x:c r="L21" s="7" t="n">
        <x:f t="shared" si="0">E21*H21</x:f>
        <x:v>1</x:v>
      </x:c>
      <x:c r="M21" s="7" t="n">
        <x:f t="shared" si="1">F21*I21</x:f>
        <x:v>0.8775</x:v>
      </x:c>
      <x:c r="N21" s="7" t="n">
        <x:f t="shared" si="2">G21*J21</x:f>
        <x:v>1.1550000000000002</x:v>
      </x:c>
      <x:c r="O21" s="19" t="str">
        <x:v>攻击百分比</x:v>
      </x:c>
    </x:row>
    <x:row r="22" s="7" customFormat="1" ht="16.5" customHeight="1">
      <x:c r="A22" s="7" t="n">
        <x:v>52006</x:v>
      </x:c>
      <x:c r="B22" s="17" t="str">
        <x:v>概率硬币</x:v>
      </x:c>
      <x:c r="C22" s="20" t="str">
        <x:v>SR</x:v>
      </x:c>
      <x:c r="D22" s="1" t="str">
        <x:v>输出（战士）</x:v>
      </x:c>
      <x:c r="E22" s="7" t="n">
        <x:f>VLOOKUP($D22,'角色属性分配'!$B$3:$E$14,COLUMN('角色属性分配'!E$26)-COLUMN('角色属性分配'!$C$26),0)</x:f>
        <x:v>1.05</x:v>
      </x:c>
      <x:c r="F22" s="7" t="n">
        <x:f>VLOOKUP($D22,'角色属性分配'!$B$3:$E$14,COLUMN('角色属性分配'!F$26)-COLUMN('角色属性分配'!$C$26),0)</x:f>
        <x:v>0.95</x:v>
      </x:c>
      <x:c r="G22" s="7" t="n">
        <x:f>VLOOKUP($D22,'角色属性分配'!$B$3:$E$14,COLUMN('角色属性分配'!G$26)-COLUMN('角色属性分配'!$C$26),0)</x:f>
        <x:v>1</x:v>
      </x:c>
      <x:c r="H22" s="19" t="n">
        <x:v>0.9</x:v>
      </x:c>
      <x:c r="I22" s="19" t="n">
        <x:v>1.15</x:v>
      </x:c>
      <x:c r="J22" s="19" t="n">
        <x:v>0.8</x:v>
      </x:c>
      <x:c r="K22" s="7" t="n">
        <x:f>VLOOKUP(C22,'角色属性分配'!$B$19:$C$21,2,0)</x:f>
        <x:v>0.75</x:v>
      </x:c>
      <x:c r="L22" s="7" t="n">
        <x:f t="shared" si="0">E22*H22</x:f>
        <x:v>0.9450000000000001</x:v>
      </x:c>
      <x:c r="M22" s="7" t="n">
        <x:f t="shared" si="1">F22*I22</x:f>
        <x:v>1.0924999999999998</x:v>
      </x:c>
      <x:c r="N22" s="7" t="n">
        <x:f t="shared" si="2">G22*J22</x:f>
        <x:v>0.8</x:v>
      </x:c>
      <x:c r="O22" s="19" t="str">
        <x:v>必杀伤害加成</x:v>
      </x:c>
    </x:row>
    <x:row r="23" s="7" customFormat="1" ht="16.5" customHeight="1">
      <x:c r="A23" s="7" t="n">
        <x:v>52007</x:v>
      </x:c>
      <x:c r="B23" s="17" t="str">
        <x:v>非理性徽章</x:v>
      </x:c>
      <x:c r="C23" s="20" t="str">
        <x:v>SR</x:v>
      </x:c>
      <x:c r="D23" s="1" t="str">
        <x:v>输出（射手）</x:v>
      </x:c>
      <x:c r="E23" s="7" t="n">
        <x:f>VLOOKUP($D23,'角色属性分配'!$B$3:$E$14,COLUMN('角色属性分配'!E$26)-COLUMN('角色属性分配'!$C$26),0)</x:f>
        <x:v>0.9</x:v>
      </x:c>
      <x:c r="F23" s="7" t="n">
        <x:f>VLOOKUP($D23,'角色属性分配'!$B$3:$E$14,COLUMN('角色属性分配'!F$26)-COLUMN('角色属性分配'!$C$26),0)</x:f>
        <x:v>1.1</x:v>
      </x:c>
      <x:c r="G23" s="7" t="n">
        <x:f>VLOOKUP($D23,'角色属性分配'!$B$3:$E$14,COLUMN('角色属性分配'!G$26)-COLUMN('角色属性分配'!$C$26),0)</x:f>
        <x:v>1</x:v>
      </x:c>
      <x:c r="H23" s="19" t="n">
        <x:v>0.95</x:v>
      </x:c>
      <x:c r="I23" s="19" t="n">
        <x:v>1.025</x:v>
      </x:c>
      <x:c r="J23" s="19" t="n">
        <x:v>1</x:v>
      </x:c>
      <x:c r="K23" s="7" t="n">
        <x:f>VLOOKUP(C23,'角色属性分配'!$B$19:$C$21,2,0)</x:f>
        <x:v>0.75</x:v>
      </x:c>
      <x:c r="L23" s="7" t="n">
        <x:f t="shared" si="0">E23*H23</x:f>
        <x:v>0.855</x:v>
      </x:c>
      <x:c r="M23" s="7" t="n">
        <x:f t="shared" si="1">F23*I23</x:f>
        <x:v>1.1275</x:v>
      </x:c>
      <x:c r="N23" s="7" t="n">
        <x:f t="shared" si="2">G23*J23</x:f>
        <x:v>1</x:v>
      </x:c>
      <x:c r="O23" s="19" t="str">
        <x:v>普攻伤害加成</x:v>
      </x:c>
    </x:row>
    <x:row r="24" s="7" customFormat="1" ht="16.5" customHeight="1">
      <x:c r="A24" s="7" t="n">
        <x:v>52008</x:v>
      </x:c>
      <x:c r="B24" s="17" t="str">
        <x:v>专效适频器</x:v>
      </x:c>
      <x:c r="C24" s="20" t="str">
        <x:v>SR</x:v>
      </x:c>
      <x:c r="D24" s="1" t="str">
        <x:v>输出（射手）</x:v>
      </x:c>
      <x:c r="E24" s="7" t="n">
        <x:f>VLOOKUP($D24,'角色属性分配'!$B$3:$E$14,COLUMN('角色属性分配'!E$26)-COLUMN('角色属性分配'!$C$26),0)</x:f>
        <x:v>0.9</x:v>
      </x:c>
      <x:c r="F24" s="7" t="n">
        <x:f>VLOOKUP($D24,'角色属性分配'!$B$3:$E$14,COLUMN('角色属性分配'!F$26)-COLUMN('角色属性分配'!$C$26),0)</x:f>
        <x:v>1.1</x:v>
      </x:c>
      <x:c r="G24" s="7" t="n">
        <x:f>VLOOKUP($D24,'角色属性分配'!$B$3:$E$14,COLUMN('角色属性分配'!G$26)-COLUMN('角色属性分配'!$C$26),0)</x:f>
        <x:v>1</x:v>
      </x:c>
      <x:c r="H24" s="19" t="n">
        <x:v>0.9</x:v>
      </x:c>
      <x:c r="I24" s="19" t="n">
        <x:v>1.05</x:v>
      </x:c>
      <x:c r="J24" s="19" t="n">
        <x:v>1</x:v>
      </x:c>
      <x:c r="K24" s="7" t="n">
        <x:f>VLOOKUP(C24,'角色属性分配'!$B$19:$C$21,2,0)</x:f>
        <x:v>0.75</x:v>
      </x:c>
      <x:c r="L24" s="7" t="n">
        <x:f t="shared" si="0">E24*H24</x:f>
        <x:v>0.81</x:v>
      </x:c>
      <x:c r="M24" s="7" t="n">
        <x:f t="shared" si="1">F24*I24</x:f>
        <x:v>1.1550000000000002</x:v>
      </x:c>
      <x:c r="N24" s="7" t="n">
        <x:f t="shared" si="2">G24*J24</x:f>
        <x:v>1</x:v>
      </x:c>
      <x:c r="O24" s="19" t="str">
        <x:v>攻击百分比</x:v>
      </x:c>
    </x:row>
    <x:row r="25" s="7" customFormat="1" ht="16.5" customHeight="1">
      <x:c r="A25" s="7" t="n">
        <x:v>52009</x:v>
      </x:c>
      <x:c r="B25" s="17" t="str">
        <x:v>应激气泡球</x:v>
      </x:c>
      <x:c r="C25" s="20" t="str">
        <x:v>SR</x:v>
      </x:c>
      <x:c r="D25" s="1" t="str">
        <x:v>坦克（生命）</x:v>
      </x:c>
      <x:c r="E25" s="7" t="n">
        <x:f>VLOOKUP($D25,'角色属性分配'!$B$3:$E$14,COLUMN('角色属性分配'!E$26)-COLUMN('角色属性分配'!$C$26),0)</x:f>
        <x:v>1.4</x:v>
      </x:c>
      <x:c r="F25" s="7" t="n">
        <x:f>VLOOKUP($D25,'角色属性分配'!$B$3:$E$14,COLUMN('角色属性分配'!F$26)-COLUMN('角色属性分配'!$C$26),0)</x:f>
        <x:v>0.6</x:v>
      </x:c>
      <x:c r="G25" s="7" t="n">
        <x:f>VLOOKUP($D25,'角色属性分配'!$B$3:$E$14,COLUMN('角色属性分配'!G$26)-COLUMN('角色属性分配'!$C$26),0)</x:f>
        <x:v>1</x:v>
      </x:c>
      <x:c r="H25" s="19" t="n">
        <x:v>1.35</x:v>
      </x:c>
      <x:c r="I25" s="19" t="n">
        <x:v>0.7</x:v>
      </x:c>
      <x:c r="J25" s="19" t="n">
        <x:v>1.25</x:v>
      </x:c>
      <x:c r="K25" s="7" t="n">
        <x:f>VLOOKUP(C25,'角色属性分配'!$B$19:$C$21,2,0)</x:f>
        <x:v>0.75</x:v>
      </x:c>
      <x:c r="L25" s="7" t="n">
        <x:f t="shared" si="0">E25*H25</x:f>
        <x:v>1.89</x:v>
      </x:c>
      <x:c r="M25" s="7" t="n">
        <x:f t="shared" si="1">F25*I25</x:f>
        <x:v>0.42</x:v>
      </x:c>
      <x:c r="N25" s="7" t="n">
        <x:f t="shared" si="2">G25*J25</x:f>
        <x:v>1.25</x:v>
      </x:c>
      <x:c r="O25" s="19" t="str">
        <x:v>生命百分比</x:v>
      </x:c>
    </x:row>
    <x:row r="26" s="7" customFormat="1" ht="16.5" customHeight="1">
      <x:c r="A26" s="7" t="n">
        <x:v>52010</x:v>
      </x:c>
      <x:c r="B26" s="17" t="str">
        <x:v>节能指环</x:v>
      </x:c>
      <x:c r="C26" s="20" t="str">
        <x:v>SR</x:v>
      </x:c>
      <x:c r="D26" s="1" t="str">
        <x:v>辅助（生命）</x:v>
      </x:c>
      <x:c r="E26" s="7" t="n">
        <x:f>VLOOKUP($D26,'角色属性分配'!$B$3:$E$14,COLUMN('角色属性分配'!E$26)-COLUMN('角色属性分配'!$C$26),0)</x:f>
        <x:v>1.2</x:v>
      </x:c>
      <x:c r="F26" s="7" t="n">
        <x:f>VLOOKUP($D26,'角色属性分配'!$B$3:$E$14,COLUMN('角色属性分配'!F$26)-COLUMN('角色属性分配'!$C$26),0)</x:f>
        <x:v>0.85</x:v>
      </x:c>
      <x:c r="G26" s="7" t="n">
        <x:f>VLOOKUP($D26,'角色属性分配'!$B$3:$E$14,COLUMN('角色属性分配'!G$26)-COLUMN('角色属性分配'!$C$26),0)</x:f>
        <x:v>0.95</x:v>
      </x:c>
      <x:c r="H26" s="19" t="n">
        <x:v>1.2</x:v>
      </x:c>
      <x:c r="I26" s="19" t="n">
        <x:v>0.85</x:v>
      </x:c>
      <x:c r="J26" s="19" t="n">
        <x:v>1.1</x:v>
      </x:c>
      <x:c r="K26" s="7" t="n">
        <x:f>VLOOKUP(C26,'角色属性分配'!$B$19:$C$21,2,0)</x:f>
        <x:v>0.75</x:v>
      </x:c>
      <x:c r="L26" s="7" t="n">
        <x:f t="shared" si="0">E26*H26</x:f>
        <x:v>1.44</x:v>
      </x:c>
      <x:c r="M26" s="7" t="n">
        <x:f t="shared" si="1">F26*I26</x:f>
        <x:v>0.7224999999999999</x:v>
      </x:c>
      <x:c r="N26" s="7" t="n">
        <x:f t="shared" si="2">G26*J26</x:f>
        <x:v>1.045</x:v>
      </x:c>
      <x:c r="O26" s="19" t="str">
        <x:v>能量回复等级</x:v>
      </x:c>
    </x:row>
    <x:row r="27" s="7" customFormat="1" ht="16.5" customHeight="1">
      <x:c r="A27" s="7" t="n">
        <x:v>52011</x:v>
      </x:c>
      <x:c r="B27" s="17" t="str">
        <x:v>传音海螺</x:v>
      </x:c>
      <x:c r="C27" s="20" t="str">
        <x:v>SR</x:v>
      </x:c>
      <x:c r="D27" s="1" t="str">
        <x:v>坦克（生命）</x:v>
      </x:c>
      <x:c r="E27" s="7" t="n">
        <x:f>VLOOKUP($D27,'角色属性分配'!$B$3:$E$14,COLUMN('角色属性分配'!E$26)-COLUMN('角色属性分配'!$C$26),0)</x:f>
        <x:v>1.4</x:v>
      </x:c>
      <x:c r="F27" s="7" t="n">
        <x:f>VLOOKUP($D27,'角色属性分配'!$B$3:$E$14,COLUMN('角色属性分配'!F$26)-COLUMN('角色属性分配'!$C$26),0)</x:f>
        <x:v>0.6</x:v>
      </x:c>
      <x:c r="G27" s="7" t="n">
        <x:f>VLOOKUP($D27,'角色属性分配'!$B$3:$E$14,COLUMN('角色属性分配'!G$26)-COLUMN('角色属性分配'!$C$26),0)</x:f>
        <x:v>1</x:v>
      </x:c>
      <x:c r="H27" s="19" t="n">
        <x:v>1.3</x:v>
      </x:c>
      <x:c r="I27" s="19" t="n">
        <x:v>0.75</x:v>
      </x:c>
      <x:c r="J27" s="19" t="n">
        <x:v>1.2</x:v>
      </x:c>
      <x:c r="K27" s="7" t="n">
        <x:f>VLOOKUP(C27,'角色属性分配'!$B$19:$C$21,2,0)</x:f>
        <x:v>0.75</x:v>
      </x:c>
      <x:c r="L27" s="7" t="n">
        <x:f t="shared" si="0">E27*H27</x:f>
        <x:v>1.8199999999999998</x:v>
      </x:c>
      <x:c r="M27" s="7" t="n">
        <x:f t="shared" si="1">F27*I27</x:f>
        <x:v>0.44999999999999996</x:v>
      </x:c>
      <x:c r="N27" s="7" t="n">
        <x:f t="shared" si="2">G27*J27</x:f>
        <x:v>1.2</x:v>
      </x:c>
      <x:c r="O27" s="19" t="str">
        <x:v>生命百分比</x:v>
      </x:c>
    </x:row>
    <x:row r="28" s="7" customFormat="1" ht="16.5" customHeight="1">
      <x:c r="A28" s="7" t="n">
        <x:v>52012</x:v>
      </x:c>
      <x:c r="B28" s="17" t="str">
        <x:v>百合勋章</x:v>
      </x:c>
      <x:c r="C28" s="20" t="str">
        <x:v>SR</x:v>
      </x:c>
      <x:c r="D28" s="1" t="str">
        <x:v>辅助（攻击）</x:v>
      </x:c>
      <x:c r="E28" s="7" t="n">
        <x:f>VLOOKUP($D28,'角色属性分配'!$B$3:$E$14,COLUMN('角色属性分配'!E$26)-COLUMN('角色属性分配'!$C$26),0)</x:f>
        <x:v>1</x:v>
      </x:c>
      <x:c r="F28" s="7" t="n">
        <x:f>VLOOKUP($D28,'角色属性分配'!$B$3:$E$14,COLUMN('角色属性分配'!F$26)-COLUMN('角色属性分配'!$C$26),0)</x:f>
        <x:v>0.9</x:v>
      </x:c>
      <x:c r="G28" s="7" t="n">
        <x:f>VLOOKUP($D28,'角色属性分配'!$B$3:$E$14,COLUMN('角色属性分配'!G$26)-COLUMN('角色属性分配'!$C$26),0)</x:f>
        <x:v>1.1</x:v>
      </x:c>
      <x:c r="H28" s="19" t="n">
        <x:v>1</x:v>
      </x:c>
      <x:c r="I28" s="19" t="n">
        <x:v>1</x:v>
      </x:c>
      <x:c r="J28" s="19" t="n">
        <x:v>0.95</x:v>
      </x:c>
      <x:c r="K28" s="7" t="n">
        <x:f>VLOOKUP(C28,'角色属性分配'!$B$19:$C$21,2,0)</x:f>
        <x:v>0.75</x:v>
      </x:c>
      <x:c r="L28" s="7" t="n">
        <x:f t="shared" si="0">E28*H28</x:f>
        <x:v>1</x:v>
      </x:c>
      <x:c r="M28" s="7" t="n">
        <x:f t="shared" si="1">F28*I28</x:f>
        <x:v>0.9</x:v>
      </x:c>
      <x:c r="N28" s="7" t="n">
        <x:f t="shared" si="2">G28*J28</x:f>
        <x:v>1.045</x:v>
      </x:c>
      <x:c r="O28" s="19" t="str">
        <x:v>治疗率</x:v>
      </x:c>
    </x:row>
    <x:row r="29" s="7" customFormat="1" ht="16.5" customHeight="1">
      <x:c r="A29" s="7" t="n">
        <x:v>52013</x:v>
      </x:c>
      <x:c r="B29" s="17" t="str">
        <x:v>荒原护目镜</x:v>
      </x:c>
      <x:c r="C29" s="20" t="str">
        <x:v>SR</x:v>
      </x:c>
      <x:c r="D29" s="1" t="str">
        <x:v>辅助（生命）</x:v>
      </x:c>
      <x:c r="E29" s="7" t="n">
        <x:f>VLOOKUP($D29,'角色属性分配'!$B$3:$E$14,COLUMN('角色属性分配'!E$26)-COLUMN('角色属性分配'!$C$26),0)</x:f>
        <x:v>1.2</x:v>
      </x:c>
      <x:c r="F29" s="7" t="n">
        <x:f>VLOOKUP($D29,'角色属性分配'!$B$3:$E$14,COLUMN('角色属性分配'!F$26)-COLUMN('角色属性分配'!$C$26),0)</x:f>
        <x:v>0.85</x:v>
      </x:c>
      <x:c r="G29" s="7" t="n">
        <x:f>VLOOKUP($D29,'角色属性分配'!$B$3:$E$14,COLUMN('角色属性分配'!G$26)-COLUMN('角色属性分配'!$C$26),0)</x:f>
        <x:v>0.95</x:v>
      </x:c>
      <x:c r="H29" s="19" t="n">
        <x:v>1.2</x:v>
      </x:c>
      <x:c r="I29" s="19" t="n">
        <x:v>0.825</x:v>
      </x:c>
      <x:c r="J29" s="19" t="n">
        <x:v>1.2</x:v>
      </x:c>
      <x:c r="K29" s="7" t="n">
        <x:f>VLOOKUP(C29,'角色属性分配'!$B$19:$C$21,2,0)</x:f>
        <x:v>0.75</x:v>
      </x:c>
      <x:c r="L29" s="7" t="n">
        <x:f t="shared" si="0">E29*H29</x:f>
        <x:v>1.44</x:v>
      </x:c>
      <x:c r="M29" s="7" t="n">
        <x:f t="shared" si="1">F29*I29</x:f>
        <x:v>0.7012499999999999</x:v>
      </x:c>
      <x:c r="N29" s="7" t="n">
        <x:f t="shared" si="2">G29*J29</x:f>
        <x:v>1.14</x:v>
      </x:c>
      <x:c r="O29" s="19" t="str">
        <x:v>防御力百分比</x:v>
      </x:c>
    </x:row>
    <x:row r="30" s="7" customFormat="1" ht="16.5" customHeight="1">
      <x:c r="A30" s="7" t="n">
        <x:v>52014</x:v>
      </x:c>
      <x:c r="B30" s="17" t="str">
        <x:v>能量水晶球</x:v>
      </x:c>
      <x:c r="C30" s="20" t="str">
        <x:v>SR</x:v>
      </x:c>
      <x:c r="D30" s="1" t="str">
        <x:v>坦克（生命）</x:v>
      </x:c>
      <x:c r="E30" s="7" t="n">
        <x:f>VLOOKUP($D30,'角色属性分配'!$B$3:$E$14,COLUMN('角色属性分配'!E$26)-COLUMN('角色属性分配'!$C$26),0)</x:f>
        <x:v>1.4</x:v>
      </x:c>
      <x:c r="F30" s="7" t="n">
        <x:f>VLOOKUP($D30,'角色属性分配'!$B$3:$E$14,COLUMN('角色属性分配'!F$26)-COLUMN('角色属性分配'!$C$26),0)</x:f>
        <x:v>0.6</x:v>
      </x:c>
      <x:c r="G30" s="7" t="n">
        <x:f>VLOOKUP($D30,'角色属性分配'!$B$3:$E$14,COLUMN('角色属性分配'!G$26)-COLUMN('角色属性分配'!$C$26),0)</x:f>
        <x:v>1</x:v>
      </x:c>
      <x:c r="H30" s="19" t="n">
        <x:v>1.35</x:v>
      </x:c>
      <x:c r="I30" s="19" t="n">
        <x:v>0.7</x:v>
      </x:c>
      <x:c r="J30" s="19" t="n">
        <x:v>1.15</x:v>
      </x:c>
      <x:c r="K30" s="7" t="n">
        <x:f>VLOOKUP(C30,'角色属性分配'!$B$19:$C$21,2,0)</x:f>
        <x:v>0.75</x:v>
      </x:c>
      <x:c r="L30" s="7" t="n">
        <x:f t="shared" si="0">E30*H30</x:f>
        <x:v>1.89</x:v>
      </x:c>
      <x:c r="M30" s="7" t="n">
        <x:f t="shared" si="1">F30*I30</x:f>
        <x:v>0.42</x:v>
      </x:c>
      <x:c r="N30" s="7" t="n">
        <x:f t="shared" si="2">G30*J30</x:f>
        <x:v>1.15</x:v>
      </x:c>
      <x:c r="O30" s="19" t="str">
        <x:v>生命百分比</x:v>
      </x:c>
    </x:row>
    <x:row r="31" s="7" customFormat="1" ht="16.5" customHeight="1">
      <x:c r="A31" s="7" t="n">
        <x:v>52015</x:v>
      </x:c>
      <x:c r="B31" s="17" t="str">
        <x:v>魔法故事书</x:v>
      </x:c>
      <x:c r="C31" s="20" t="str">
        <x:v>SR</x:v>
      </x:c>
      <x:c r="D31" s="1" t="str">
        <x:v>输出（法师）</x:v>
      </x:c>
      <x:c r="E31" s="7" t="n">
        <x:f>VLOOKUP($D31,'角色属性分配'!$B$3:$E$14,COLUMN('角色属性分配'!E$26)-COLUMN('角色属性分配'!$C$26),0)</x:f>
        <x:v>0.8</x:v>
      </x:c>
      <x:c r="F31" s="7" t="n">
        <x:f>VLOOKUP($D31,'角色属性分配'!$B$3:$E$14,COLUMN('角色属性分配'!F$26)-COLUMN('角色属性分配'!$C$26),0)</x:f>
        <x:v>1.2</x:v>
      </x:c>
      <x:c r="G31" s="7" t="n">
        <x:f>VLOOKUP($D31,'角色属性分配'!$B$3:$E$14,COLUMN('角色属性分配'!G$26)-COLUMN('角色属性分配'!$C$26),0)</x:f>
        <x:v>1</x:v>
      </x:c>
      <x:c r="H31" s="19" t="n">
        <x:v>0.9</x:v>
      </x:c>
      <x:c r="I31" s="19" t="n">
        <x:v>1.05</x:v>
      </x:c>
      <x:c r="J31" s="19" t="n">
        <x:v>0.9</x:v>
      </x:c>
      <x:c r="K31" s="7" t="n">
        <x:f>VLOOKUP(C31,'角色属性分配'!$B$19:$C$21,2,0)</x:f>
        <x:v>0.75</x:v>
      </x:c>
      <x:c r="L31" s="7" t="n">
        <x:f t="shared" si="0">E31*H31</x:f>
        <x:v>0.7200000000000001</x:v>
      </x:c>
      <x:c r="M31" s="7" t="n">
        <x:f t="shared" si="1">F31*I31</x:f>
        <x:v>1.26</x:v>
      </x:c>
      <x:c r="N31" s="7" t="n">
        <x:f t="shared" si="2">G31*J31</x:f>
        <x:v>0.9</x:v>
      </x:c>
      <x:c r="O31" s="19" t="str">
        <x:v>技能伤害加成</x:v>
      </x:c>
    </x:row>
    <x:row r="32" s="7" customFormat="1" ht="16.5" customHeight="1">
      <x:c r="A32" s="7" t="n">
        <x:v>53001</x:v>
      </x:c>
      <x:c r="B32" s="17" t="str">
        <x:v>防辐射贴纸</x:v>
      </x:c>
      <x:c r="C32" s="21" t="str">
        <x:v>R</x:v>
      </x:c>
      <x:c r="D32" s="1" t="str">
        <x:v>坦克（防御）</x:v>
      </x:c>
      <x:c r="E32" s="7" t="n">
        <x:f>VLOOKUP($D32,'角色属性分配'!$B$3:$E$14,COLUMN('角色属性分配'!E$26)-COLUMN('角色属性分配'!$C$26),0)</x:f>
        <x:v>1.2</x:v>
      </x:c>
      <x:c r="F32" s="7" t="n">
        <x:f>VLOOKUP($D32,'角色属性分配'!$B$3:$E$14,COLUMN('角色属性分配'!F$26)-COLUMN('角色属性分配'!$C$26),0)</x:f>
        <x:v>0.6</x:v>
      </x:c>
      <x:c r="G32" s="7" t="n">
        <x:f>VLOOKUP($D32,'角色属性分配'!$B$3:$E$14,COLUMN('角色属性分配'!G$26)-COLUMN('角色属性分配'!$C$26),0)</x:f>
        <x:v>1.2</x:v>
      </x:c>
      <x:c r="H32" s="19" t="n">
        <x:v>1.2</x:v>
      </x:c>
      <x:c r="I32" s="19" t="n">
        <x:v>0.75</x:v>
      </x:c>
      <x:c r="J32" s="19" t="n">
        <x:v>1.3</x:v>
      </x:c>
      <x:c r="K32" s="7" t="n">
        <x:f>VLOOKUP(C32,'角色属性分配'!$B$19:$C$21,2,0)</x:f>
        <x:v>0.5</x:v>
      </x:c>
      <x:c r="L32" s="7" t="n">
        <x:f t="shared" si="0">E32*H32</x:f>
        <x:v>1.44</x:v>
      </x:c>
      <x:c r="M32" s="7" t="n">
        <x:f t="shared" si="1">F32*I32</x:f>
        <x:v>0.44999999999999996</x:v>
      </x:c>
      <x:c r="N32" s="7" t="n">
        <x:f t="shared" si="2">G32*J32</x:f>
        <x:v>1.56</x:v>
      </x:c>
      <x:c r="O32" s="19" t="str">
        <x:v>防御力百分比</x:v>
      </x:c>
    </x:row>
    <x:row r="33" s="7" customFormat="1" ht="16.5" customHeight="1">
      <x:c r="A33" s="7" t="n">
        <x:v>53002</x:v>
      </x:c>
      <x:c r="B33" s="17" t="str">
        <x:v>折射手镜</x:v>
      </x:c>
      <x:c r="C33" s="21" t="str">
        <x:v>R</x:v>
      </x:c>
      <x:c r="D33" s="1" t="str">
        <x:v>输出（法师）</x:v>
      </x:c>
      <x:c r="E33" s="7" t="n">
        <x:f>VLOOKUP($D33,'角色属性分配'!$B$3:$E$14,COLUMN('角色属性分配'!E$26)-COLUMN('角色属性分配'!$C$26),0)</x:f>
        <x:v>0.8</x:v>
      </x:c>
      <x:c r="F33" s="7" t="n">
        <x:f>VLOOKUP($D33,'角色属性分配'!$B$3:$E$14,COLUMN('角色属性分配'!F$26)-COLUMN('角色属性分配'!$C$26),0)</x:f>
        <x:v>1.2</x:v>
      </x:c>
      <x:c r="G33" s="7" t="n">
        <x:f>VLOOKUP($D33,'角色属性分配'!$B$3:$E$14,COLUMN('角色属性分配'!G$26)-COLUMN('角色属性分配'!$C$26),0)</x:f>
        <x:v>1</x:v>
      </x:c>
      <x:c r="H33" s="19" t="n">
        <x:v>0.9</x:v>
      </x:c>
      <x:c r="I33" s="19" t="n">
        <x:v>1.05</x:v>
      </x:c>
      <x:c r="J33" s="19" t="n">
        <x:v>1</x:v>
      </x:c>
      <x:c r="K33" s="7" t="n">
        <x:f>VLOOKUP(C33,'角色属性分配'!$B$19:$C$21,2,0)</x:f>
        <x:v>0.5</x:v>
      </x:c>
      <x:c r="L33" s="7" t="n">
        <x:f t="shared" si="0">E33*H33</x:f>
        <x:v>0.7200000000000001</x:v>
      </x:c>
      <x:c r="M33" s="7" t="n">
        <x:f t="shared" si="1">F33*I33</x:f>
        <x:v>1.26</x:v>
      </x:c>
      <x:c r="N33" s="7" t="n">
        <x:f t="shared" si="2">G33*J33</x:f>
        <x:v>1</x:v>
      </x:c>
      <x:c r="O33" s="19" t="str">
        <x:v>技能伤害加成</x:v>
      </x:c>
    </x:row>
    <x:row r="34" s="7" customFormat="1" ht="16.5" customHeight="1">
      <x:c r="A34" s="7" t="n">
        <x:v>53003</x:v>
      </x:c>
      <x:c r="B34" s="17" t="str">
        <x:v>运动腕带</x:v>
      </x:c>
      <x:c r="C34" s="21" t="str">
        <x:v>R</x:v>
      </x:c>
      <x:c r="D34" s="1" t="str">
        <x:v>输出（战士）</x:v>
      </x:c>
      <x:c r="E34" s="7" t="n">
        <x:f>VLOOKUP($D34,'角色属性分配'!$B$3:$E$14,COLUMN('角色属性分配'!E$26)-COLUMN('角色属性分配'!$C$26),0)</x:f>
        <x:v>1.05</x:v>
      </x:c>
      <x:c r="F34" s="7" t="n">
        <x:f>VLOOKUP($D34,'角色属性分配'!$B$3:$E$14,COLUMN('角色属性分配'!F$26)-COLUMN('角色属性分配'!$C$26),0)</x:f>
        <x:v>0.95</x:v>
      </x:c>
      <x:c r="G34" s="7" t="n">
        <x:f>VLOOKUP($D34,'角色属性分配'!$B$3:$E$14,COLUMN('角色属性分配'!G$26)-COLUMN('角色属性分配'!$C$26),0)</x:f>
        <x:v>1</x:v>
      </x:c>
      <x:c r="H34" s="19" t="n">
        <x:v>0.9</x:v>
      </x:c>
      <x:c r="I34" s="19" t="n">
        <x:v>1.15</x:v>
      </x:c>
      <x:c r="J34" s="19" t="n">
        <x:v>0.8</x:v>
      </x:c>
      <x:c r="K34" s="7" t="n">
        <x:f>VLOOKUP(C34,'角色属性分配'!$B$19:$C$21,2,0)</x:f>
        <x:v>0.5</x:v>
      </x:c>
      <x:c r="L34" s="7" t="n">
        <x:f t="shared" si="0">E34*H34</x:f>
        <x:v>0.9450000000000001</x:v>
      </x:c>
      <x:c r="M34" s="7" t="n">
        <x:f t="shared" si="1">F34*I34</x:f>
        <x:v>1.0924999999999998</x:v>
      </x:c>
      <x:c r="N34" s="7" t="n">
        <x:f t="shared" si="2">G34*J34</x:f>
        <x:v>0.8</x:v>
      </x:c>
      <x:c r="O34" s="19" t="str">
        <x:v>攻击百分比</x:v>
      </x:c>
    </x:row>
    <x:row r="35" s="7" customFormat="1" ht="16.5" customHeight="1">
      <x:c r="A35" s="7" t="n">
        <x:v>53004</x:v>
      </x:c>
      <x:c r="B35" s="17" t="str">
        <x:v>流星吊坠</x:v>
      </x:c>
      <x:c r="C35" s="21" t="str">
        <x:v>R</x:v>
      </x:c>
      <x:c r="D35" s="1" t="str">
        <x:v>输出（法师）</x:v>
      </x:c>
      <x:c r="E35" s="7" t="n">
        <x:f>VLOOKUP($D35,'角色属性分配'!$B$3:$E$14,COLUMN('角色属性分配'!E$26)-COLUMN('角色属性分配'!$C$26),0)</x:f>
        <x:v>0.8</x:v>
      </x:c>
      <x:c r="F35" s="7" t="n">
        <x:f>VLOOKUP($D35,'角色属性分配'!$B$3:$E$14,COLUMN('角色属性分配'!F$26)-COLUMN('角色属性分配'!$C$26),0)</x:f>
        <x:v>1.2</x:v>
      </x:c>
      <x:c r="G35" s="7" t="n">
        <x:f>VLOOKUP($D35,'角色属性分配'!$B$3:$E$14,COLUMN('角色属性分配'!G$26)-COLUMN('角色属性分配'!$C$26),0)</x:f>
        <x:v>1</x:v>
      </x:c>
      <x:c r="H35" s="19" t="n">
        <x:v>0.9</x:v>
      </x:c>
      <x:c r="I35" s="19" t="n">
        <x:v>1.05</x:v>
      </x:c>
      <x:c r="J35" s="19" t="n">
        <x:v>1</x:v>
      </x:c>
      <x:c r="K35" s="7" t="n">
        <x:f>VLOOKUP(C35,'角色属性分配'!$B$19:$C$21,2,0)</x:f>
        <x:v>0.5</x:v>
      </x:c>
      <x:c r="L35" s="7" t="n">
        <x:f t="shared" si="0">E35*H35</x:f>
        <x:v>0.7200000000000001</x:v>
      </x:c>
      <x:c r="M35" s="7" t="n">
        <x:f t="shared" si="1">F35*I35</x:f>
        <x:v>1.26</x:v>
      </x:c>
      <x:c r="N35" s="7" t="n">
        <x:f t="shared" si="2">G35*J35</x:f>
        <x:v>1</x:v>
      </x:c>
      <x:c r="O35" s="19" t="str">
        <x:v>攻击百分比</x:v>
      </x:c>
    </x:row>
    <x:row r="36" s="7" customFormat="1" ht="16.5" customHeight="1">
      <x:c r="A36" s="7" t="n">
        <x:v>53005</x:v>
      </x:c>
      <x:c r="B36" s="17" t="str">
        <x:v>随身充电宝</x:v>
      </x:c>
      <x:c r="C36" s="21" t="str">
        <x:v>R</x:v>
      </x:c>
      <x:c r="D36" s="1" t="str">
        <x:v>辅助（均衡）</x:v>
      </x:c>
      <x:c r="E36" s="7" t="n">
        <x:f>VLOOKUP($D36,'角色属性分配'!$B$3:$E$14,COLUMN('角色属性分配'!E$26)-COLUMN('角色属性分配'!$C$26),0)</x:f>
        <x:v>1.1</x:v>
      </x:c>
      <x:c r="F36" s="7" t="n">
        <x:f>VLOOKUP($D36,'角色属性分配'!$B$3:$E$14,COLUMN('角色属性分配'!F$26)-COLUMN('角色属性分配'!$C$26),0)</x:f>
        <x:v>0.85</x:v>
      </x:c>
      <x:c r="G36" s="7" t="n">
        <x:f>VLOOKUP($D36,'角色属性分配'!$B$3:$E$14,COLUMN('角色属性分配'!G$26)-COLUMN('角色属性分配'!$C$26),0)</x:f>
        <x:v>1.05</x:v>
      </x:c>
      <x:c r="H36" s="19" t="n">
        <x:v>1.1</x:v>
      </x:c>
      <x:c r="I36" s="19" t="n">
        <x:v>0.9</x:v>
      </x:c>
      <x:c r="J36" s="19" t="n">
        <x:v>1.1</x:v>
      </x:c>
      <x:c r="K36" s="7" t="n">
        <x:f>VLOOKUP(C36,'角色属性分配'!$B$19:$C$21,2,0)</x:f>
        <x:v>0.5</x:v>
      </x:c>
      <x:c r="L36" s="7" t="n">
        <x:f t="shared" si="0">E36*H36</x:f>
        <x:v>1.2100000000000002</x:v>
      </x:c>
      <x:c r="M36" s="7" t="n">
        <x:f t="shared" si="1">F36*I36</x:f>
        <x:v>0.765</x:v>
      </x:c>
      <x:c r="N36" s="7" t="n">
        <x:f t="shared" si="2">G36*J36</x:f>
        <x:v>1.1550000000000002</x:v>
      </x:c>
      <x:c r="O36" s="19" t="str">
        <x:v>能量回复等级</x:v>
      </x:c>
    </x:row>
    <x:row r="37" s="7" customFormat="1" ht="16.5" customHeight="1">
      <x:c r="A37" s="7" t="n">
        <x:v>53006</x:v>
      </x:c>
      <x:c r="B37" s="17" t="str">
        <x:v>事运符</x:v>
      </x:c>
      <x:c r="C37" s="21" t="str">
        <x:v>R</x:v>
      </x:c>
      <x:c r="D37" s="1" t="str">
        <x:v>输出（法师）</x:v>
      </x:c>
      <x:c r="E37" s="7" t="n">
        <x:f>VLOOKUP($D37,'角色属性分配'!$B$3:$E$14,COLUMN('角色属性分配'!E$26)-COLUMN('角色属性分配'!$C$26),0)</x:f>
        <x:v>0.8</x:v>
      </x:c>
      <x:c r="F37" s="7" t="n">
        <x:f>VLOOKUP($D37,'角色属性分配'!$B$3:$E$14,COLUMN('角色属性分配'!F$26)-COLUMN('角色属性分配'!$C$26),0)</x:f>
        <x:v>1.2</x:v>
      </x:c>
      <x:c r="G37" s="7" t="n">
        <x:f>VLOOKUP($D37,'角色属性分配'!$B$3:$E$14,COLUMN('角色属性分配'!G$26)-COLUMN('角色属性分配'!$C$26),0)</x:f>
        <x:v>1</x:v>
      </x:c>
      <x:c r="H37" s="19" t="n">
        <x:v>0.9</x:v>
      </x:c>
      <x:c r="I37" s="19" t="n">
        <x:v>1.15</x:v>
      </x:c>
      <x:c r="J37" s="19" t="n">
        <x:v>0.8</x:v>
      </x:c>
      <x:c r="K37" s="7" t="n">
        <x:f>VLOOKUP(C37,'角色属性分配'!$B$19:$C$21,2,0)</x:f>
        <x:v>0.5</x:v>
      </x:c>
      <x:c r="L37" s="7" t="n">
        <x:f t="shared" si="0">E37*H37</x:f>
        <x:v>0.7200000000000001</x:v>
      </x:c>
      <x:c r="M37" s="7" t="n">
        <x:f t="shared" si="1">F37*I37</x:f>
        <x:v>1.38</x:v>
      </x:c>
      <x:c r="N37" s="7" t="n">
        <x:f t="shared" si="2">G37*J37</x:f>
        <x:v>0.8</x:v>
      </x:c>
      <x:c r="O37" s="19" t="str">
        <x:v>必杀伤害加成</x:v>
      </x:c>
    </x:row>
    <x:row r="38" s="7" customFormat="1" ht="16.5" customHeight="1">
      <x:c r="A38" s="7" t="n">
        <x:v>53007</x:v>
      </x:c>
      <x:c r="B38" s="17" t="str">
        <x:v>棉花拳套</x:v>
      </x:c>
      <x:c r="C38" s="21" t="str">
        <x:v>R</x:v>
      </x:c>
      <x:c r="D38" s="1" t="str">
        <x:v>输出（射手）</x:v>
      </x:c>
      <x:c r="E38" s="7" t="n">
        <x:f>VLOOKUP($D38,'角色属性分配'!$B$3:$E$14,COLUMN('角色属性分配'!E$26)-COLUMN('角色属性分配'!$C$26),0)</x:f>
        <x:v>0.9</x:v>
      </x:c>
      <x:c r="F38" s="7" t="n">
        <x:f>VLOOKUP($D38,'角色属性分配'!$B$3:$E$14,COLUMN('角色属性分配'!F$26)-COLUMN('角色属性分配'!$C$26),0)</x:f>
        <x:v>1.1</x:v>
      </x:c>
      <x:c r="G38" s="7" t="n">
        <x:f>VLOOKUP($D38,'角色属性分配'!$B$3:$E$14,COLUMN('角色属性分配'!G$26)-COLUMN('角色属性分配'!$C$26),0)</x:f>
        <x:v>1</x:v>
      </x:c>
      <x:c r="H38" s="19" t="n">
        <x:v>0.95</x:v>
      </x:c>
      <x:c r="I38" s="19" t="n">
        <x:v>1.025</x:v>
      </x:c>
      <x:c r="J38" s="19" t="n">
        <x:v>1</x:v>
      </x:c>
      <x:c r="K38" s="7" t="n">
        <x:f>VLOOKUP(C38,'角色属性分配'!$B$19:$C$21,2,0)</x:f>
        <x:v>0.5</x:v>
      </x:c>
      <x:c r="L38" s="7" t="n">
        <x:f t="shared" si="0">E38*H38</x:f>
        <x:v>0.855</x:v>
      </x:c>
      <x:c r="M38" s="7" t="n">
        <x:f t="shared" si="1">F38*I38</x:f>
        <x:v>1.1275</x:v>
      </x:c>
      <x:c r="N38" s="7" t="n">
        <x:f t="shared" si="2">G38*J38</x:f>
        <x:v>1</x:v>
      </x:c>
      <x:c r="O38" s="19" t="str">
        <x:v>普攻伤害加成</x:v>
      </x:c>
    </x:row>
    <x:row r="39" s="7" customFormat="1" ht="16.5" customHeight="1">
      <x:c r="A39" s="7" t="n">
        <x:v>53008</x:v>
      </x:c>
      <x:c r="B39" s="17" t="str">
        <x:v>旧怀表</x:v>
      </x:c>
      <x:c r="C39" s="21" t="str">
        <x:v>R</x:v>
      </x:c>
      <x:c r="D39" s="1" t="str">
        <x:v>辅助（均衡）</x:v>
      </x:c>
      <x:c r="E39" s="7" t="n">
        <x:f>VLOOKUP($D39,'角色属性分配'!$B$3:$E$14,COLUMN('角色属性分配'!E$26)-COLUMN('角色属性分配'!$C$26),0)</x:f>
        <x:v>1.1</x:v>
      </x:c>
      <x:c r="F39" s="7" t="n">
        <x:f>VLOOKUP($D39,'角色属性分配'!$B$3:$E$14,COLUMN('角色属性分配'!F$26)-COLUMN('角色属性分配'!$C$26),0)</x:f>
        <x:v>0.85</x:v>
      </x:c>
      <x:c r="G39" s="7" t="n">
        <x:f>VLOOKUP($D39,'角色属性分配'!$B$3:$E$14,COLUMN('角色属性分配'!G$26)-COLUMN('角色属性分配'!$C$26),0)</x:f>
        <x:v>1.05</x:v>
      </x:c>
      <x:c r="H39" s="19" t="n">
        <x:v>1</x:v>
      </x:c>
      <x:c r="I39" s="19" t="n">
        <x:v>0.9</x:v>
      </x:c>
      <x:c r="J39" s="19" t="n">
        <x:v>1</x:v>
      </x:c>
      <x:c r="K39" s="7" t="n">
        <x:f>VLOOKUP(C39,'角色属性分配'!$B$19:$C$21,2,0)</x:f>
        <x:v>0.5</x:v>
      </x:c>
      <x:c r="L39" s="7" t="n">
        <x:f t="shared" si="0">E39*H39</x:f>
        <x:v>1.1</x:v>
      </x:c>
      <x:c r="M39" s="7" t="n">
        <x:f t="shared" si="1">F39*I39</x:f>
        <x:v>0.765</x:v>
      </x:c>
      <x:c r="N39" s="7" t="n">
        <x:f t="shared" si="2">G39*J39</x:f>
        <x:v>1.05</x:v>
      </x:c>
      <x:c r="O39" s="19" t="str">
        <x:v>技能冷却等级</x:v>
      </x:c>
    </x:row>
    <x:row r="40" s="7" customFormat="1" ht="16.5" customHeight="1">
      <x:c r="A40" s="7" t="n">
        <x:v>53009</x:v>
      </x:c>
      <x:c r="B40" s="17" t="str">
        <x:v>捕梦网</x:v>
      </x:c>
      <x:c r="C40" s="21" t="str">
        <x:v>R</x:v>
      </x:c>
      <x:c r="D40" s="1" t="str">
        <x:v>辅助（生命）</x:v>
      </x:c>
      <x:c r="E40" s="7" t="n">
        <x:f>VLOOKUP($D40,'角色属性分配'!$B$3:$E$14,COLUMN('角色属性分配'!E$26)-COLUMN('角色属性分配'!$C$26),0)</x:f>
        <x:v>1.2</x:v>
      </x:c>
      <x:c r="F40" s="7" t="n">
        <x:f>VLOOKUP($D40,'角色属性分配'!$B$3:$E$14,COLUMN('角色属性分配'!F$26)-COLUMN('角色属性分配'!$C$26),0)</x:f>
        <x:v>0.85</x:v>
      </x:c>
      <x:c r="G40" s="7" t="n">
        <x:f>VLOOKUP($D40,'角色属性分配'!$B$3:$E$14,COLUMN('角色属性分配'!G$26)-COLUMN('角色属性分配'!$C$26),0)</x:f>
        <x:v>0.95</x:v>
      </x:c>
      <x:c r="H40" s="19" t="n">
        <x:v>1.05</x:v>
      </x:c>
      <x:c r="I40" s="19" t="n">
        <x:v>0.875</x:v>
      </x:c>
      <x:c r="J40" s="19" t="n">
        <x:v>1.05</x:v>
      </x:c>
      <x:c r="K40" s="7" t="n">
        <x:f>VLOOKUP(C40,'角色属性分配'!$B$19:$C$21,2,0)</x:f>
        <x:v>0.5</x:v>
      </x:c>
      <x:c r="L40" s="7" t="n">
        <x:f t="shared" si="0">E40*H40</x:f>
        <x:v>1.26</x:v>
      </x:c>
      <x:c r="M40" s="7" t="n">
        <x:f t="shared" si="1">F40*I40</x:f>
        <x:v>0.74375</x:v>
      </x:c>
      <x:c r="N40" s="7" t="n">
        <x:f t="shared" si="2">G40*J40</x:f>
        <x:v>0.9974999999999999</x:v>
      </x:c>
      <x:c r="O40" s="19" t="str">
        <x:v>治疗率</x:v>
      </x:c>
    </x:row>
    <x:row r="41" s="7" customFormat="1" ht="16.5" customHeight="1">
      <x:c r="A41" s="7" t="n">
        <x:v>53010</x:v>
      </x:c>
      <x:c r="B41" s="17" t="str">
        <x:v>随身凸透镜</x:v>
      </x:c>
      <x:c r="C41" s="21" t="str">
        <x:v>R</x:v>
      </x:c>
      <x:c r="D41" s="1" t="str">
        <x:v>输出（法师）</x:v>
      </x:c>
      <x:c r="E41" s="7" t="n">
        <x:f>VLOOKUP($D41,'角色属性分配'!$B$3:$E$14,COLUMN('角色属性分配'!E$26)-COLUMN('角色属性分配'!$C$26),0)</x:f>
        <x:v>0.8</x:v>
      </x:c>
      <x:c r="F41" s="7" t="n">
        <x:f>VLOOKUP($D41,'角色属性分配'!$B$3:$E$14,COLUMN('角色属性分配'!F$26)-COLUMN('角色属性分配'!$C$26),0)</x:f>
        <x:v>1.2</x:v>
      </x:c>
      <x:c r="G41" s="7" t="n">
        <x:f>VLOOKUP($D41,'角色属性分配'!$B$3:$E$14,COLUMN('角色属性分配'!G$26)-COLUMN('角色属性分配'!$C$26),0)</x:f>
        <x:v>1</x:v>
      </x:c>
      <x:c r="H41" s="19" t="n">
        <x:v>0.85</x:v>
      </x:c>
      <x:c r="I41" s="19" t="n">
        <x:v>1</x:v>
      </x:c>
      <x:c r="J41" s="19" t="n">
        <x:v>0.9</x:v>
      </x:c>
      <x:c r="K41" s="7" t="n">
        <x:f>VLOOKUP(C41,'角色属性分配'!$B$19:$C$21,2,0)</x:f>
        <x:v>0.5</x:v>
      </x:c>
      <x:c r="L41" s="7" t="n">
        <x:f t="shared" si="0">E41*H41</x:f>
        <x:v>0.68</x:v>
      </x:c>
      <x:c r="M41" s="7" t="n">
        <x:f t="shared" si="1">F41*I41</x:f>
        <x:v>1.2</x:v>
      </x:c>
      <x:c r="N41" s="7" t="n">
        <x:f t="shared" si="2">G41*J41</x:f>
        <x:v>0.9</x:v>
      </x:c>
      <x:c r="O41" s="19" t="str">
        <x:v>攻击百分比</x:v>
      </x:c>
    </x:row>
    <x:row r="42" s="7" customFormat="1" ht="16.5" customHeight="1">
      <x:c r="A42" s="7" t="n">
        <x:v>53011</x:v>
      </x:c>
      <x:c r="B42" s="17" t="str">
        <x:v>脆巧能量棒</x:v>
      </x:c>
      <x:c r="C42" s="21" t="str">
        <x:v>R</x:v>
      </x:c>
      <x:c r="D42" s="1" t="str">
        <x:v>辅助（攻击）</x:v>
      </x:c>
      <x:c r="E42" s="7" t="n">
        <x:f>VLOOKUP($D42,'角色属性分配'!$B$3:$E$14,COLUMN('角色属性分配'!E$26)-COLUMN('角色属性分配'!$C$26),0)</x:f>
        <x:v>1</x:v>
      </x:c>
      <x:c r="F42" s="7" t="n">
        <x:f>VLOOKUP($D42,'角色属性分配'!$B$3:$E$14,COLUMN('角色属性分配'!F$26)-COLUMN('角色属性分配'!$C$26),0)</x:f>
        <x:v>0.9</x:v>
      </x:c>
      <x:c r="G42" s="7" t="n">
        <x:f>VLOOKUP($D42,'角色属性分配'!$B$3:$E$14,COLUMN('角色属性分配'!G$26)-COLUMN('角色属性分配'!$C$26),0)</x:f>
        <x:v>1.1</x:v>
      </x:c>
      <x:c r="H42" s="19" t="n">
        <x:v>1</x:v>
      </x:c>
      <x:c r="I42" s="19" t="n">
        <x:v>0.95</x:v>
      </x:c>
      <x:c r="J42" s="19" t="n">
        <x:v>0.95</x:v>
      </x:c>
      <x:c r="K42" s="7" t="n">
        <x:f>VLOOKUP(C42,'角色属性分配'!$B$19:$C$21,2,0)</x:f>
        <x:v>0.5</x:v>
      </x:c>
      <x:c r="L42" s="7" t="n">
        <x:f t="shared" si="0">E42*H42</x:f>
        <x:v>1</x:v>
      </x:c>
      <x:c r="M42" s="7" t="n">
        <x:f t="shared" si="1">F42*I42</x:f>
        <x:v>0.855</x:v>
      </x:c>
      <x:c r="N42" s="7" t="n">
        <x:f t="shared" si="2">G42*J42</x:f>
        <x:v>1.045</x:v>
      </x:c>
      <x:c r="O42" s="19" t="str">
        <x:v>能量回复等级</x:v>
      </x:c>
    </x:row>
    <x:row r="43" s="7" customFormat="1" ht="16.5" customHeight="1">
      <x:c r="A43"/>
      <x:c r="B43"/>
      <x:c r="C43" s="22" t="str">
        <x:v>技能效果</x:v>
      </x:c>
      <x:c r="D43"/>
      <x:c r="E43"/>
      <x:c r="F43"/>
      <x:c r="G43"/>
      <x:c r="H43"/>
      <x:c r="I43"/>
      <x:c r="J43"/>
      <x:c r="K43"/>
      <x:c r="L43"/>
      <x:c r="M43"/>
      <x:c r="N43"/>
      <x:c r="O43"/>
    </x:row>
    <x:row r="44" s="7" customFormat="1" ht="16.5" customHeight="1">
      <x:c r="A44"/>
      <x:c r="B44" s="17" t="str">
        <x:v>延爆手环</x:v>
      </x:c>
      <x:c r="C44" s="23" t="str">
        <x:v>角色使用持续性必杀时，则在必杀持续期间暴击率提升10%，暴击伤害提升15%</x:v>
      </x:c>
      <x:c r="D44"/>
      <x:c r="E44"/>
      <x:c r="F44"/>
      <x:c r="G44"/>
      <x:c r="H44"/>
      <x:c r="I44"/>
      <x:c r="J44"/>
      <x:c r="K44"/>
      <x:c r="L44"/>
      <x:c r="M44"/>
      <x:c r="N44"/>
      <x:c r="O44"/>
    </x:row>
    <x:row r="45" s="7" customFormat="1" ht="16.5" customHeight="1">
      <x:c r="A45"/>
      <x:c r="B45" s="17" t="str">
        <x:v>紊乱透镜</x:v>
      </x:c>
      <x:c r="C45" s="23" t="str">
        <x:v>攻击时，若目标携带至少2个【异常状态】，则对其造成伤害提升30%</x:v>
      </x:c>
      <x:c r="D45"/>
      <x:c r="E45"/>
      <x:c r="F45"/>
      <x:c r="G45"/>
      <x:c r="H45"/>
      <x:c r="I45"/>
      <x:c r="J45"/>
      <x:c r="K45"/>
      <x:c r="L45"/>
      <x:c r="M45"/>
      <x:c r="N45"/>
      <x:c r="O45"/>
    </x:row>
    <x:row r="46" s="7" customFormat="1" ht="16.5" customHeight="1">
      <x:c r="A46"/>
      <x:c r="B46" s="17" t="str">
        <x:v>幸运故障环</x:v>
      </x:c>
      <x:c r="C46" s="23" t="str">
        <x:v>每次受击有50%概率减免伤害15%</x:v>
      </x:c>
      <x:c r="D46"/>
      <x:c r="E46"/>
      <x:c r="F46"/>
      <x:c r="G46"/>
      <x:c r="H46"/>
      <x:c r="I46"/>
      <x:c r="J46"/>
      <x:c r="K46"/>
      <x:c r="L46"/>
      <x:c r="M46"/>
      <x:c r="N46"/>
      <x:c r="O46"/>
    </x:row>
    <x:row r="47" s="7" customFormat="1" ht="16.5" customHeight="1">
      <x:c r="A47"/>
      <x:c r="B47" s="17" t="str">
        <x:v>链式反应器</x:v>
      </x:c>
      <x:c r="C47" s="23" t="str">
        <x:v>己方全体每释放一次必杀，则己方全体造成伤害提升3%，最多叠加8层</x:v>
      </x:c>
      <x:c r="D47"/>
      <x:c r="E47"/>
      <x:c r="F47"/>
      <x:c r="G47"/>
      <x:c r="H47"/>
      <x:c r="I47"/>
      <x:c r="J47"/>
      <x:c r="K47"/>
      <x:c r="L47"/>
      <x:c r="M47"/>
      <x:c r="N47"/>
      <x:c r="O47"/>
    </x:row>
    <x:row r="48" s="7" customFormat="1" ht="16.5" customHeight="1">
      <x:c r="A48"/>
      <x:c r="B48" s="17" t="str">
        <x:v>狂欢之杯</x:v>
      </x:c>
      <x:c r="C48" s="23" t="str">
        <x:v>角色释放必杀后，己方全体施加的【流血】伤害提高10%，自身施加的【流血】伤害额外提高20%</x:v>
      </x:c>
      <x:c r="D48"/>
      <x:c r="E48"/>
      <x:c r="F48"/>
      <x:c r="G48"/>
      <x:c r="H48"/>
      <x:c r="I48"/>
      <x:c r="J48"/>
      <x:c r="K48"/>
      <x:c r="L48"/>
      <x:c r="M48"/>
      <x:c r="N48"/>
      <x:c r="O48"/>
    </x:row>
    <x:row r="49" s="7" customFormat="1" ht="16.5" customHeight="1">
      <x:c r="A49"/>
      <x:c r="B49" s="17" t="str">
        <x:v>概率硬币</x:v>
      </x:c>
      <x:c r="C49" s="23" t="str">
        <x:v>释放必杀技后，有30%的概率使自身所有伤害提高10%。</x:v>
      </x:c>
      <x:c r="D49"/>
      <x:c r="E49"/>
      <x:c r="F49"/>
      <x:c r="G49"/>
      <x:c r="H49"/>
      <x:c r="I49"/>
      <x:c r="J49"/>
      <x:c r="K49"/>
      <x:c r="L49"/>
      <x:c r="M49"/>
      <x:c r="N49"/>
      <x:c r="O49"/>
    </x:row>
    <x:row r="50" s="7" customFormat="1" ht="16.5" customHeight="1">
      <x:c r="A50"/>
      <x:c r="B50" s="17" t="str">
        <x:v>非理性徽章</x:v>
      </x:c>
      <x:c r="C50" s="23" t="str">
        <x:v>释放必杀技后，增强普攻伤害20%，持续10s。</x:v>
      </x:c>
      <x:c r="D50"/>
      <x:c r="E50"/>
      <x:c r="F50"/>
      <x:c r="G50"/>
      <x:c r="H50"/>
      <x:c r="I50"/>
      <x:c r="J50"/>
      <x:c r="K50"/>
      <x:c r="L50"/>
      <x:c r="M50"/>
      <x:c r="N50"/>
      <x:c r="O50"/>
    </x:row>
    <x:row r="51" s="7" customFormat="1" ht="16.5" customHeight="1">
      <x:c r="A51"/>
      <x:c r="B51" s="17" t="str">
        <x:v>专效适频器</x:v>
      </x:c>
      <x:c r="C51" s="23" t="str">
        <x:v>当敌方有dot效果时，自身攻击力提升20%。</x:v>
      </x:c>
      <x:c r="D51"/>
      <x:c r="E51"/>
      <x:c r="F51"/>
      <x:c r="G51"/>
      <x:c r="H51"/>
      <x:c r="I51"/>
      <x:c r="J51"/>
      <x:c r="K51"/>
      <x:c r="L51"/>
      <x:c r="M51"/>
      <x:c r="N51"/>
      <x:c r="O51"/>
    </x:row>
    <x:row r="52" s="7" customFormat="1" ht="16.5" customHeight="1">
      <x:c r="A52"/>
      <x:c r="B52" s="17" t="str">
        <x:v>应激气泡球</x:v>
      </x:c>
      <x:c r="C52" s="23" t="str">
        <x:v>生命值低于15%时，生成相当于自身生命值30%的护盾。</x:v>
      </x:c>
      <x:c r="D52"/>
      <x:c r="E52"/>
      <x:c r="F52"/>
      <x:c r="G52"/>
      <x:c r="H52"/>
      <x:c r="I52"/>
      <x:c r="J52"/>
      <x:c r="K52"/>
      <x:c r="L52"/>
      <x:c r="M52"/>
      <x:c r="N52"/>
      <x:c r="O52"/>
    </x:row>
    <x:row r="53">
      <x:c r="A53"/>
      <x:c r="B53" s="17" t="str">
        <x:v>节能指环</x:v>
      </x:c>
      <x:c r="C53" s="23" t="str">
        <x:v>生命值低于30%时，回复25%必杀能量。</x:v>
      </x:c>
      <x:c r="D53"/>
      <x:c r="E53"/>
      <x:c r="F53"/>
      <x:c r="G53"/>
      <x:c r="H53"/>
      <x:c r="I53"/>
      <x:c r="J53"/>
      <x:c r="K53"/>
      <x:c r="L53"/>
      <x:c r="M53"/>
      <x:c r="N53"/>
      <x:c r="O53"/>
    </x:row>
    <x:row r="54">
      <x:c r="A54"/>
      <x:c r="B54" s="17" t="str">
        <x:v>防辐射贴纸</x:v>
      </x:c>
      <x:c r="C54" s="23" t="str">
        <x:v>处于护盾效果下时，受到的伤害降低10%</x:v>
      </x:c>
      <x:c r="D54"/>
      <x:c r="E54"/>
      <x:c r="F54"/>
      <x:c r="G54"/>
      <x:c r="H54"/>
      <x:c r="I54"/>
      <x:c r="J54"/>
      <x:c r="K54"/>
      <x:c r="L54"/>
      <x:c r="M54"/>
      <x:c r="N54"/>
      <x:c r="O54"/>
    </x:row>
    <x:row r="55">
      <x:c r="A55"/>
      <x:c r="B55" s="17" t="str">
        <x:v>折射手镜</x:v>
      </x:c>
      <x:c r="C55" s="23" t="str">
        <x:v>处于护盾效果下时，额外获得10%技能伤害加成。</x:v>
      </x:c>
      <x:c r="D55"/>
      <x:c r="E55"/>
      <x:c r="F55"/>
      <x:c r="G55"/>
      <x:c r="H55"/>
      <x:c r="I55"/>
      <x:c r="J55"/>
      <x:c r="K55"/>
      <x:c r="L55"/>
      <x:c r="M55"/>
      <x:c r="N55"/>
      <x:c r="O55"/>
    </x:row>
    <x:row r="56">
      <x:c r="A56"/>
      <x:c r="B56" s="17" t="str">
        <x:v>运动腕带</x:v>
      </x:c>
      <x:c r="C56" s="23" t="str">
        <x:v>释放必杀时，攻击力提升10%，持续10s。</x:v>
      </x:c>
      <x:c r="D56"/>
      <x:c r="E56"/>
      <x:c r="F56"/>
      <x:c r="G56"/>
      <x:c r="H56"/>
      <x:c r="I56"/>
      <x:c r="J56"/>
      <x:c r="K56"/>
      <x:c r="L56"/>
      <x:c r="M56"/>
      <x:c r="N56"/>
      <x:c r="O56"/>
    </x:row>
    <x:row r="57">
      <x:c r="A57"/>
      <x:c r="B57" s="17" t="str">
        <x:v>流星吊坠</x:v>
      </x:c>
      <x:c r="C57" s="23" t="str">
        <x:v>释放必杀时，攻击力提升10%，持续10s。</x:v>
      </x:c>
      <x:c r="D57"/>
      <x:c r="E57"/>
      <x:c r="F57"/>
      <x:c r="G57"/>
      <x:c r="H57"/>
      <x:c r="I57"/>
      <x:c r="J57"/>
      <x:c r="K57"/>
      <x:c r="L57"/>
      <x:c r="M57"/>
      <x:c r="N57"/>
      <x:c r="O57"/>
    </x:row>
    <x:row r="58">
      <x:c r="A58"/>
      <x:c r="B58" s="17" t="str">
        <x:v>随身充电宝</x:v>
      </x:c>
      <x:c r="C58" s="23" t="str">
        <x:v>释放必杀后，回复必杀消耗能量的5%</x:v>
      </x:c>
      <x:c r="D58"/>
      <x:c r="E58"/>
      <x:c r="F58"/>
      <x:c r="G58"/>
      <x:c r="H58"/>
      <x:c r="I58"/>
      <x:c r="J58"/>
      <x:c r="K58"/>
      <x:c r="L58"/>
      <x:c r="M58"/>
      <x:c r="N58"/>
      <x:c r="O58"/>
    </x:row>
    <x:row r="59">
      <x:c r="A59"/>
      <x:c r="B59" s="17" t="str">
        <x:v>事运符</x:v>
      </x:c>
      <x:c r="C59" s="23" t="str">
        <x:v>必杀技能伤害提升15%</x:v>
      </x:c>
      <x:c r="D59"/>
      <x:c r="E59"/>
      <x:c r="F59"/>
      <x:c r="G59"/>
      <x:c r="H59"/>
      <x:c r="I59"/>
      <x:c r="J59"/>
      <x:c r="K59"/>
      <x:c r="L59"/>
      <x:c r="M59"/>
      <x:c r="N59"/>
      <x:c r="O59"/>
    </x:row>
    <x:row r="60">
      <x:c r="A60"/>
      <x:c r="B60" s="17" t="str">
        <x:v>棉花拳套</x:v>
      </x:c>
      <x:c r="C60" s="23" t="str">
        <x:v>普攻伤害提升15%</x:v>
      </x:c>
      <x:c r="D60"/>
      <x:c r="E60"/>
      <x:c r="F60"/>
      <x:c r="G60"/>
      <x:c r="H60"/>
      <x:c r="I60"/>
      <x:c r="J60"/>
      <x:c r="K60"/>
      <x:c r="L60"/>
      <x:c r="M60"/>
      <x:c r="N60"/>
      <x:c r="O60"/>
    </x:row>
    <x:row r="61">
      <x:c r="A61"/>
      <x:c r="B61" s="17" t="str">
        <x:v>传音海螺</x:v>
      </x:c>
      <x:c r="C61" s="23" t="str">
        <x:v>每过5秒，恢复自身3%/5%/6%/7%/9%/10%已损失的生命值。</x:v>
      </x:c>
      <x:c r="D61"/>
      <x:c r="E61"/>
      <x:c r="F61"/>
      <x:c r="G61"/>
      <x:c r="H61"/>
      <x:c r="I61"/>
      <x:c r="J61"/>
      <x:c r="K61"/>
      <x:c r="L61"/>
      <x:c r="M61"/>
      <x:c r="N61"/>
      <x:c r="O61"/>
    </x:row>
    <x:row r="62">
      <x:c r="A62"/>
      <x:c r="B62" s="17" t="str">
        <x:v>百合勋章</x:v>
      </x:c>
      <x:c r="C62" s="23" t="str">
        <x:v>进行治疗时，自身额外获得8%/12%/14%/18%/21%/25%的暴击率。</x:v>
      </x:c>
      <x:c r="D62"/>
      <x:c r="E62"/>
      <x:c r="F62"/>
      <x:c r="G62"/>
      <x:c r="H62"/>
      <x:c r="I62"/>
      <x:c r="J62"/>
      <x:c r="K62"/>
      <x:c r="L62"/>
      <x:c r="M62"/>
      <x:c r="N62"/>
      <x:c r="O62"/>
    </x:row>
    <x:row r="63">
      <x:c r="A63"/>
      <x:c r="B63" s="17" t="str">
        <x:v>荒原护目镜</x:v>
      </x:c>
      <x:c r="C63" s="23" t="str">
        <x:v>施加的护盾量提升8%/12%/14%/18%/21%/25%。</x:v>
      </x:c>
      <x:c r="D63"/>
      <x:c r="E63"/>
      <x:c r="F63"/>
      <x:c r="G63"/>
      <x:c r="H63"/>
      <x:c r="I63"/>
      <x:c r="J63"/>
      <x:c r="K63"/>
      <x:c r="L63"/>
      <x:c r="M63"/>
      <x:c r="N63"/>
      <x:c r="O63"/>
    </x:row>
    <x:row r="64">
      <x:c r="A64"/>
      <x:c r="B64" s="17" t="str">
        <x:v>能量水晶球</x:v>
      </x:c>
      <x:c r="C64" s="23" t="str">
        <x:v>最大生命值提升10%，当自身生命值高于60%时，受到的伤害降低3%/5%/6%/7%/9%/10%。</x:v>
      </x:c>
      <x:c r="D64"/>
      <x:c r="E64"/>
      <x:c r="F64"/>
      <x:c r="G64"/>
      <x:c r="H64"/>
      <x:c r="I64"/>
      <x:c r="J64"/>
      <x:c r="K64"/>
      <x:c r="L64"/>
      <x:c r="M64"/>
      <x:c r="N64"/>
      <x:c r="O64"/>
    </x:row>
    <x:row r="65">
      <x:c r="A65"/>
      <x:c r="B65" s="17" t="str">
        <x:v>魔法故事书</x:v>
      </x:c>
      <x:c r="C65" s="23" t="str">
        <x:v>进入战斗后，获得10%技能冷却，技能伤害提高6%/9%/11%/14%/17%/20%。</x:v>
      </x:c>
      <x:c r="D65"/>
      <x:c r="E65"/>
      <x:c r="F65"/>
      <x:c r="G65"/>
      <x:c r="H65"/>
      <x:c r="I65"/>
      <x:c r="J65"/>
      <x:c r="K65"/>
      <x:c r="L65"/>
      <x:c r="M65"/>
      <x:c r="N65"/>
      <x:c r="O6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6.5"/>
  <x:cols>
    <x:col min="1" max="3" width="9" style="1" customWidth="1"/>
    <x:col min="4" max="4" width="9.866666793823242" style="1" customWidth="1"/>
    <x:col min="5" max="5" width="16.758333206176758" style="1" customWidth="1"/>
    <x:col min="6" max="6" width="17" style="1" customWidth="1"/>
    <x:col min="7" max="9" width="14.758333206176758" style="1" customWidth="1"/>
    <x:col min="10" max="10" width="14.866666793823242" style="1" customWidth="1"/>
    <x:col min="11" max="12" width="15.366666793823242" style="1" customWidth="1"/>
    <x:col min="13" max="14" width="12.866666793823242" style="1" customWidth="1"/>
    <x:col min="15" max="16" width="15" style="1" customWidth="1"/>
    <x:col min="17" max="19" width="12.866666793823242" style="1" customWidth="1"/>
    <x:col min="20" max="21" width="15" style="1" customWidth="1"/>
    <x:col min="22" max="24" width="12.866666793823242" style="1" customWidth="1"/>
    <x:col min="25" max="26" width="13.258333206176758" style="1" customWidth="1"/>
    <x:col min="27" max="27" width="12.866666793823242" style="1" customWidth="1"/>
    <x:col min="28" max="28" width="17.133333206176758" style="1" customWidth="1"/>
    <x:col min="29" max="32" width="15" style="1" customWidth="1"/>
    <x:col min="33" max="33" width="10.866666793823242" style="1" customWidth="1"/>
    <x:col min="34" max="36" width="14.133333206176758" style="1" customWidth="1"/>
    <x:col min="37" max="37" width="10.866666793823242" style="1" customWidth="1"/>
    <x:col min="38" max="40" width="15" style="1" customWidth="1"/>
    <x:col min="41" max="41" width="12.633333206176758" style="1" customWidth="1"/>
    <x:col min="42" max="42" width="9" style="1" customWidth="1"/>
    <x:col min="43" max="43" width="9" style="1" hidden="1" customWidth="1"/>
    <x:col min="44" max="44" width="18.625" style="1" customWidth="1"/>
    <x:col min="45" max="16384" width="16" style="1" customWidth="1"/>
    <x:col min="48" max="48" width="23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</x:row>
    <x:row r="2" customHeight="1">
      <x:c r="A2" s="2" t="str">
        <x:v>以关卡进度做玩家战力预估</x:v>
      </x:c>
      <x:c r="B2"/>
      <x:c r="C2"/>
      <x:c r="D2"/>
      <x:c r="E2" s="3" t="str">
        <x:v>基础进度</x:v>
      </x:c>
      <x:c r="F2"/>
      <x:c r="G2" s="3" t="str">
        <x:v>角色等级进度</x:v>
      </x:c>
      <x:c r="H2" s="3" t="str">
        <x:v>星盘/升星进度</x:v>
      </x:c>
      <x:c r="I2" s="3" t="str">
        <x:v>收容物进度</x:v>
      </x:c>
      <x:c r="J2" s="3" t="str">
        <x:v>映射装备进度</x:v>
      </x:c>
      <x:c r="K2" s="3" t="str">
        <x:v>旅券进度</x:v>
      </x:c>
      <x:c r="L2" s="3" t="str">
        <x:v>房车进度</x:v>
      </x:c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 s="3" t="str">
        <x:v>预计bossTTK</x:v>
      </x:c>
      <x:c r="AN2" s="3"/>
      <x:c r="AO2"/>
      <x:c r="AP2"/>
      <x:c r="AQ2"/>
      <x:c r="AR2" t="str">
        <x:v>战力计算参数（当前配置）</x:v>
      </x:c>
      <x:c r="AS2" s="3"/>
      <x:c r="AT2"/>
      <x:c r="AU2" s="3"/>
    </x:row>
    <x:row r="3" customHeight="1">
      <x:c r="A3" s="2" t="str">
        <x:v>以主线作为标准</x:v>
      </x:c>
      <x:c r="B3"/>
      <x:c r="C3"/>
      <x:c r="D3" s="1" t="str">
        <x:v>起始进度</x:v>
      </x:c>
      <x:c r="E3" s="4" t="n">
        <x:v>1</x:v>
      </x:c>
      <x:c r="F3"/>
      <x:c r="G3" s="4" t="n">
        <x:v>0</x:v>
      </x:c>
      <x:c r="H3" s="4" t="n">
        <x:v>0</x:v>
      </x:c>
      <x:c r="I3" s="4" t="n">
        <x:v>0</x:v>
      </x:c>
      <x:c r="J3" s="4" t="n">
        <x:v>0</x:v>
      </x:c>
      <x:c r="K3" s="4" t="n">
        <x:v>0</x:v>
      </x:c>
      <x:c r="L3" s="4" t="n">
        <x:v>0</x:v>
      </x:c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 s="4" t="n">
        <x:v>35</x:v>
      </x:c>
      <x:c r="AN3" s="4"/>
      <x:c r="AO3"/>
      <x:c r="AP3"/>
      <x:c r="AQ3"/>
      <x:c r="AR3" s="1" t="str">
        <x:v>生命战力系数</x:v>
      </x:c>
      <x:c r="AS3" s="4" t="n">
        <x:v>0.03</x:v>
      </x:c>
      <x:c r="AT3" s="1" t="str">
        <x:v>满投放能量回复</x:v>
      </x:c>
      <x:c r="AU3" s="4" t="n">
        <x:v>1.2</x:v>
      </x:c>
    </x:row>
    <x:row r="4" customHeight="1">
      <x:c r="A4" s="2" t="str">
        <x:v>预计达到上限的章节</x:v>
      </x:c>
      <x:c r="B4"/>
      <x:c r="C4" s="4" t="n">
        <x:v>20</x:v>
      </x:c>
      <x:c r="D4" s="1" t="str">
        <x:v>结束进度</x:v>
      </x:c>
      <x:c r="E4" s="4" t="n">
        <x:v>1</x:v>
      </x:c>
      <x:c r="F4"/>
      <x:c r="G4" s="4" t="n">
        <x:v>0.9</x:v>
      </x:c>
      <x:c r="H4" s="4" t="n">
        <x:v>0.7</x:v>
      </x:c>
      <x:c r="I4" s="4" t="n">
        <x:v>0.65</x:v>
      </x:c>
      <x:c r="J4" s="4" t="n">
        <x:v>0.6</x:v>
      </x:c>
      <x:c r="K4" s="4" t="n">
        <x:v>0.65</x:v>
      </x:c>
      <x:c r="L4" s="4" t="n">
        <x:v>0.7</x:v>
      </x:c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 s="4" t="n">
        <x:v>55</x:v>
      </x:c>
      <x:c r="AN4" s="4"/>
      <x:c r="AO4"/>
      <x:c r="AP4"/>
      <x:c r="AQ4"/>
      <x:c r="AR4" s="1" t="str">
        <x:v>攻击战力系数</x:v>
      </x:c>
      <x:c r="AS4" s="4" t="n">
        <x:v>0.1</x:v>
      </x:c>
      <x:c r="AT4" s="1" t="str">
        <x:v>满投放冷却缩减</x:v>
      </x:c>
      <x:c r="AU4" s="4" t="n">
        <x:v>0.6</x:v>
      </x:c>
    </x:row>
    <x:row r="5" customHeight="1">
      <x:c r="A5" s="2" t="str">
        <x:v>预计达到上限的关卡</x:v>
      </x:c>
      <x:c r="B5"/>
      <x:c r="C5" s="1" t="n">
        <x:f>4+8+12+15*(C4-3)</x:f>
        <x:v>279</x:v>
      </x:c>
      <x:c r="D5" s="1" t="str">
        <x:v>函数参数1</x:v>
      </x:c>
      <x:c r="E5" s="4" t="n">
        <x:v>0.999999</x:v>
      </x:c>
      <x:c r="F5"/>
      <x:c r="G5" s="4" t="n">
        <x:v>0.985</x:v>
      </x:c>
      <x:c r="H5" s="4" t="n">
        <x:v>0.98</x:v>
      </x:c>
      <x:c r="I5" s="4" t="n">
        <x:v>0.98</x:v>
      </x:c>
      <x:c r="J5" s="4" t="n">
        <x:v>0.98</x:v>
      </x:c>
      <x:c r="K5" s="4" t="n">
        <x:v>0.98</x:v>
      </x:c>
      <x:c r="L5" s="4" t="n">
        <x:v>0.98</x:v>
      </x:c>
      <x:c r="M5"/>
      <x:c r="N5"/>
      <x:c r="O5"/>
      <x:c r="P5"/>
      <x:c r="Q5"/>
      <x:c r="R5"/>
      <x:c r="S5"/>
      <x:c r="T5"/>
      <x:c r="U5"/>
      <x:c r="V5"/>
      <x:c r="W5"/>
      <x:c r="X5"/>
      <x:c r="Y5"/>
      <x:c r="Z5" s="1" t="n">
        <x:v>1.2</x:v>
      </x:c>
      <x:c r="AA5" s="1" t="n">
        <x:v>1</x:v>
      </x:c>
      <x:c r="AB5" s="1" t="n">
        <x:v>1</x:v>
      </x:c>
      <x:c r="AC5" s="1" t="n">
        <x:v>1</x:v>
      </x:c>
      <x:c r="AD5"/>
      <x:c r="AE5"/>
      <x:c r="AF5"/>
      <x:c r="AG5"/>
      <x:c r="AH5"/>
      <x:c r="AI5"/>
      <x:c r="AJ5"/>
      <x:c r="AK5"/>
      <x:c r="AL5" s="3" t="str">
        <x:v>单位时间伤害上限</x:v>
      </x:c>
      <x:c r="AM5" s="4" t="n">
        <x:v>1.01</x:v>
      </x:c>
      <x:c r="AN5" s="4"/>
      <x:c r="AO5"/>
      <x:c r="AP5"/>
      <x:c r="AQ5"/>
      <x:c r="AR5" s="1" t="str">
        <x:v>防御战力系数</x:v>
      </x:c>
      <x:c r="AS5" s="4" t="n">
        <x:v>0.15</x:v>
      </x:c>
      <x:c r="AT5"/>
      <x:c r="AU5" s="4"/>
    </x:row>
    <x:row r="6" customHeight="1">
      <x:c r="A6" s="2"/>
      <x:c r="B6"/>
      <x:c r="C6"/>
      <x:c r="D6" s="1" t="str">
        <x:v>函数参数2</x:v>
      </x:c>
      <x:c r="E6" s="4"/>
      <x:c r="F6"/>
      <x:c r="G6" s="4"/>
      <x:c r="H6" s="4"/>
      <x:c r="I6" s="4"/>
      <x:c r="J6" s="4"/>
      <x:c r="K6" s="4"/>
      <x:c r="L6" s="4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 s="1" t="n">
        <x:f>MAX(AL12:AL290)</x:f>
        <x:v>2497204.4717253866</x:v>
      </x:c>
      <x:c r="AM6" s="4"/>
      <x:c r="AN6" s="4"/>
      <x:c r="AO6"/>
      <x:c r="AP6"/>
      <x:c r="AQ6"/>
      <x:c r="AR6" s="1" t="str">
        <x:v>暴击战力系数</x:v>
      </x:c>
      <x:c r="AS6" s="4" t="n">
        <x:v>5.5556</x:v>
      </x:c>
      <x:c r="AT6"/>
      <x:c r="AU6" s="4"/>
    </x:row>
    <x:row r="7" customHeight="1">
      <x:c r="A7" s="2"/>
      <x:c r="B7"/>
      <x:c r="C7"/>
      <x:c r="D7" s="1" t="str">
        <x:v>函数参数3</x:v>
      </x:c>
      <x:c r="E7" s="4"/>
      <x:c r="F7"/>
      <x:c r="G7" s="4"/>
      <x:c r="H7" s="4"/>
      <x:c r="I7" s="4"/>
      <x:c r="J7" s="4"/>
      <x:c r="K7" s="4"/>
      <x:c r="L7" s="4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 s="4"/>
      <x:c r="AN7" s="4"/>
      <x:c r="AO7"/>
      <x:c r="AP7"/>
      <x:c r="AQ7"/>
      <x:c r="AR7" s="1" t="str">
        <x:v>暴伤战力系数</x:v>
      </x:c>
      <x:c r="AS7" s="4" t="n">
        <x:v>1.8519</x:v>
      </x:c>
      <x:c r="AT7"/>
      <x:c r="AU7" s="4"/>
    </x:row>
    <x:row r="8" customHeight="1">
      <x:c r="A8" s="2"/>
      <x:c r="B8"/>
      <x:c r="C8"/>
      <x:c r="D8" s="1" t="str">
        <x:v>起始关卡</x:v>
      </x:c>
      <x:c r="E8" s="4" t="n">
        <x:v>1</x:v>
      </x:c>
      <x:c r="F8"/>
      <x:c r="G8" s="4" t="n">
        <x:v>1</x:v>
      </x:c>
      <x:c r="H8" s="4" t="n">
        <x:v>14</x:v>
      </x:c>
      <x:c r="I8" s="4" t="n">
        <x:v>64</x:v>
      </x:c>
      <x:c r="J8" s="4" t="n">
        <x:v>30</x:v>
      </x:c>
      <x:c r="K8" s="4" t="n">
        <x:v>100</x:v>
      </x:c>
      <x:c r="L8" s="4" t="n">
        <x:v>15</x:v>
      </x:c>
      <x:c r="M8"/>
      <x:c r="N8"/>
      <x:c r="O8"/>
      <x:c r="P8"/>
      <x:c r="Q8"/>
      <x:c r="R8"/>
      <x:c r="S8"/>
      <x:c r="T8"/>
      <x:c r="U8"/>
      <x:c r="V8" s="4" t="n">
        <x:v>0.7</x:v>
      </x:c>
      <x:c r="W8" s="4" t="n">
        <x:v>0</x:v>
      </x:c>
      <x:c r="X8" s="1" t="n">
        <x:v>0.275</x:v>
      </x:c>
      <x:c r="Y8" s="4" t="n">
        <x:v>1</x:v>
      </x:c>
      <x:c r="Z8" s="4" t="n">
        <x:v>1</x:v>
      </x:c>
      <x:c r="AA8" s="4" t="n">
        <x:v>1</x:v>
      </x:c>
      <x:c r="AB8" s="4" t="n">
        <x:v>1</x:v>
      </x:c>
      <x:c r="AC8" s="4" t="n">
        <x:v>1</x:v>
      </x:c>
      <x:c r="AD8"/>
      <x:c r="AE8"/>
      <x:c r="AF8"/>
      <x:c r="AG8"/>
      <x:c r="AH8"/>
      <x:c r="AI8"/>
      <x:c r="AJ8"/>
      <x:c r="AK8"/>
      <x:c r="AL8"/>
      <x:c r="AM8" s="4" t="n">
        <x:v>1</x:v>
      </x:c>
      <x:c r="AN8" s="4"/>
      <x:c r="AO8"/>
      <x:c r="AP8"/>
      <x:c r="AQ8"/>
      <x:c r="AR8" s="1" t="str">
        <x:v>增伤战力系数</x:v>
      </x:c>
      <x:c r="AS8" s="4" t="n">
        <x:v>3.0303</x:v>
      </x:c>
      <x:c r="AT8"/>
      <x:c r="AU8" s="4"/>
    </x:row>
    <x:row r="9" customHeight="1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 s="5" t="n">
        <x:f>'模块规划'!$M$25</x:f>
        <x:v>3.8000000000000003</x:v>
      </x:c>
      <x:c r="P9"/>
      <x:c r="Q9"/>
      <x:c r="R9"/>
      <x:c r="S9"/>
      <x:c r="T9" s="5" t="n">
        <x:f>'模块规划'!$M$25</x:f>
        <x:v>3.8000000000000003</x:v>
      </x:c>
      <x:c r="U9"/>
      <x:c r="V9" s="1" t="n">
        <x:v>1</x:v>
      </x:c>
      <x:c r="W9" s="1" t="n">
        <x:v>0.4</x:v>
      </x:c>
      <x:c r="X9" s="1" t="n">
        <x:v>0.55</x:v>
      </x:c>
      <x:c r="Y9" s="4" t="n">
        <x:v>1</x:v>
      </x:c>
      <x:c r="Z9" s="1" t="n">
        <x:v>1</x:v>
      </x:c>
      <x:c r="AA9" s="1" t="n">
        <x:v>1</x:v>
      </x:c>
      <x:c r="AB9" s="1" t="n">
        <x:v>1</x:v>
      </x:c>
      <x:c r="AC9" s="1" t="n">
        <x:v>1</x:v>
      </x:c>
      <x:c r="AD9"/>
      <x:c r="AE9" s="5" t="n">
        <x:v>0</x:v>
      </x:c>
      <x:c r="AF9" s="5" t="n">
        <x:v>0.307692307692308</x:v>
      </x:c>
      <x:c r="AG9" s="1" t="n">
        <x:v>0.54529914529915</x:v>
      </x:c>
      <x:c r="AH9" s="1" t="n">
        <x:v>0.7</x:v>
      </x:c>
      <x:c r="AI9" s="1" t="n">
        <x:v>1.95</x:v>
      </x:c>
      <x:c r="AJ9" s="1" t="n">
        <x:v>1.6</x:v>
      </x:c>
      <x:c r="AK9"/>
      <x:c r="AL9"/>
      <x:c r="AM9"/>
      <x:c r="AN9"/>
      <x:c r="AO9"/>
      <x:c r="AP9"/>
      <x:c r="AQ9"/>
      <x:c r="AR9" t="str">
        <x:v>能量回复战力系数</x:v>
      </x:c>
      <x:c r="AS9" t="n">
        <x:v>3.0303</x:v>
      </x:c>
      <x:c r="AT9"/>
      <x:c r="AU9"/>
    </x:row>
    <x:row r="10" customHeight="1">
      <x:c r="A10"/>
      <x:c r="B10"/>
      <x:c r="C10"/>
      <x:c r="D10"/>
      <x:c r="E10"/>
      <x:c r="F10"/>
      <x:c r="G10"/>
      <x:c r="H10" s="6" t="n">
        <x:f>'模块规划'!V13+'模块规划'!V14</x:f>
        <x:v>0.12</x:v>
      </x:c>
      <x:c r="I10" s="6" t="n">
        <x:f>'模块规划'!V15</x:f>
        <x:v>0.06</x:v>
      </x:c>
      <x:c r="J10" s="6" t="n">
        <x:f>'模块规划'!V17</x:f>
        <x:v>0.55</x:v>
      </x:c>
      <x:c r="K10" s="6" t="n">
        <x:f>'模块规划'!V16</x:f>
        <x:v>0.21000000000000002</x:v>
      </x:c>
      <x:c r="L10" s="6" t="n">
        <x:f>'模块规划'!V18+'模块规划'!V19</x:f>
        <x:v>0.15</x:v>
      </x:c>
      <x:c r="M10" s="7" t="str">
        <x:v>裸体基础属性</x:v>
      </x:c>
      <x:c r="N10" s="7" t="str">
        <x:v>额外基础属性</x:v>
      </x:c>
      <x:c r="O10" s="7" t="str">
        <x:v>基础属性百分比</x:v>
      </x:c>
      <x:c r="P10" s="8" t="str">
        <x:v>算百分比后基础</x:v>
      </x:c>
      <x:c r="Q10" s="7"/>
      <x:c r="R10" s="7" t="str">
        <x:v>裸体基础属性</x:v>
      </x:c>
      <x:c r="S10" s="7" t="str">
        <x:v>额外基础属性</x:v>
      </x:c>
      <x:c r="T10" s="7" t="str">
        <x:v>基础属性百分比</x:v>
      </x:c>
      <x:c r="U10" s="8" t="str">
        <x:v>算百分比后基础</x:v>
      </x:c>
      <x:c r="V10"/>
      <x:c r="W10"/>
      <x:c r="X10"/>
      <x:c r="Y10" s="1" t="str">
        <x:v>战斗内效果</x:v>
      </x:c>
      <x:c r="Z10"/>
      <x:c r="AA10"/>
      <x:c r="AB10"/>
      <x:c r="AC10"/>
      <x:c r="AD10" s="9"/>
      <x:c r="AE10"/>
      <x:c r="AF10"/>
      <x:c r="AG10"/>
      <x:c r="AH10"/>
      <x:c r="AI10"/>
      <x:c r="AJ10"/>
      <x:c r="AK10" s="9"/>
      <x:c r="AL10"/>
      <x:c r="AM10"/>
      <x:c r="AN10"/>
      <x:c r="AO10"/>
      <x:c r="AP10"/>
      <x:c r="AQ10"/>
      <x:c r="AR10" t="str">
        <x:v>冷却缩减战力系数</x:v>
      </x:c>
      <x:c r="AS10" t="n">
        <x:v>4</x:v>
      </x:c>
      <x:c r="AT10"/>
      <x:c r="AU10"/>
    </x:row>
    <x:row r="11" customHeight="1">
      <x:c r="A11" s="3" t="str">
        <x:v>玩家等级</x:v>
      </x:c>
      <x:c r="B11" s="3" t="str">
        <x:v>关卡id</x:v>
      </x:c>
      <x:c r="C11" s="3" t="str">
        <x:v>章节</x:v>
      </x:c>
      <x:c r="D11" s="3" t="str">
        <x:v>关卡</x:v>
      </x:c>
      <x:c r="E11" s="3" t="str">
        <x:v>基础进度</x:v>
      </x:c>
      <x:c r="F11" s="3" t="str">
        <x:v>有效人数系数</x:v>
      </x:c>
      <x:c r="G11" s="3" t="str">
        <x:v>角色等级进度</x:v>
      </x:c>
      <x:c r="H11" s="3" t="str">
        <x:v>星盘/升星进度</x:v>
      </x:c>
      <x:c r="I11" s="3" t="str">
        <x:v>收容物进度</x:v>
      </x:c>
      <x:c r="J11" s="3" t="str">
        <x:v>映射装备进度</x:v>
      </x:c>
      <x:c r="K11" s="3" t="str">
        <x:v>旅券进度</x:v>
      </x:c>
      <x:c r="L11" s="3" t="str">
        <x:v>房车进度</x:v>
      </x:c>
      <x:c r="M11" s="3" t="str">
        <x:v>防御</x:v>
      </x:c>
      <x:c r="N11" s="3" t="str">
        <x:v>防御</x:v>
      </x:c>
      <x:c r="O11" s="3" t="str">
        <x:v>防御%</x:v>
      </x:c>
      <x:c r="P11" s="3" t="str">
        <x:v>防御</x:v>
      </x:c>
      <x:c r="Q11" s="3" t="str">
        <x:v>减伤率</x:v>
      </x:c>
      <x:c r="R11" s="3" t="str">
        <x:v>攻击</x:v>
      </x:c>
      <x:c r="S11" s="3" t="str">
        <x:v>攻击</x:v>
      </x:c>
      <x:c r="T11" s="3" t="str">
        <x:v>攻击%</x:v>
      </x:c>
      <x:c r="U11" s="3" t="str">
        <x:v>攻击</x:v>
      </x:c>
      <x:c r="V11" s="3" t="str">
        <x:v>普攻系数倍率</x:v>
      </x:c>
      <x:c r="W11" s="3" t="str">
        <x:v>技能系数倍率</x:v>
      </x:c>
      <x:c r="X11" s="3" t="str">
        <x:v>必杀系数倍率</x:v>
      </x:c>
      <x:c r="Y11" s="3" t="str">
        <x:v>角色天赋倍率</x:v>
      </x:c>
      <x:c r="Z11" s="3" t="str">
        <x:v>星盘/升星天赋倍率</x:v>
      </x:c>
      <x:c r="AA11" s="3" t="str">
        <x:v>收容物天赋倍率</x:v>
      </x:c>
      <x:c r="AB11" s="3" t="str">
        <x:v>映射装备天赋倍率</x:v>
      </x:c>
      <x:c r="AC11" s="3" t="str">
        <x:v>旅券/房车天赋倍率</x:v>
      </x:c>
      <x:c r="AD11" s="3" t="str">
        <x:v>战斗内总倍率</x:v>
      </x:c>
      <x:c r="AE11" s="3" t="str">
        <x:v>攻速倍率</x:v>
      </x:c>
      <x:c r="AF11" s="3" t="str">
        <x:v>技能倍率</x:v>
      </x:c>
      <x:c r="AG11" s="3" t="str">
        <x:v>必杀倍率</x:v>
      </x:c>
      <x:c r="AH11" s="3" t="str">
        <x:v>暴击</x:v>
      </x:c>
      <x:c r="AI11" s="3" t="str">
        <x:v>暴击伤害</x:v>
      </x:c>
      <x:c r="AJ11" s="3" t="str">
        <x:v>增伤倍率</x:v>
      </x:c>
      <x:c r="AK11" s="3" t="str">
        <x:v>养成总倍率</x:v>
      </x:c>
      <x:c r="AL11" s="3" t="str">
        <x:v>标准玩家DPS</x:v>
      </x:c>
      <x:c r="AM11" s="3" t="str">
        <x:v>预计bossTTK</x:v>
      </x:c>
      <x:c r="AN11" s="3" t="str">
        <x:v>玩家队伍EHP</x:v>
      </x:c>
      <x:c r="AO11" s="3" t="str">
        <x:v>Boss目标EHP</x:v>
      </x:c>
      <x:c r="AP11" s="3" t="str">
        <x:v>怪物等级</x:v>
      </x:c>
      <x:c r="AQ11" s="3" t="str">
        <x:v>实际上阵人数</x:v>
      </x:c>
      <x:c r="AR11" s="3" t="str">
        <x:v>单人基础战力</x:v>
      </x:c>
      <x:c r="AS11" s="3" t="str">
        <x:v>二级属性倍率</x:v>
      </x:c>
      <x:c r="AT11" s="3" t="str">
        <x:v>单人战力</x:v>
      </x:c>
      <x:c r="AU11" s="3" t="str">
        <x:v>预估队伍战力</x:v>
      </x:c>
      <x:c r="AV11" t="str">
        <x:v>推荐战力（3位有效）</x:v>
      </x:c>
    </x:row>
    <x:row r="12" customHeight="1">
      <x:c r="A12" s="1" t="n">
        <x:f>IFERROR(XLOOKUP(B12,'_曲线基线'!$G$3:$G$107,'_曲线基线'!$J$3:$J$107,""),"")</x:f>
        <x:v>1</x:v>
      </x:c>
      <x:c r="B12" s="1" t="n" cm="1">
        <x:f t="array" ref="B12:B290">SEQUENCE(C5,1,1,1)</x:f>
        <x:v>1</x:v>
      </x:c>
      <x:c r="C12" s="1" t="n">
        <x:v>0</x:v>
      </x:c>
      <x:c r="D12" s="1" t="n">
        <x:v>1</x:v>
      </x:c>
      <x:c r="E12" s="1" t="n">
        <x:f t="shared" ref="E12:E75" si="0">IF($B12&lt;E$8,0,E$3+(E$4-E$3)*(POWER(E$5,$B12-E$8)-1)/(POWER(E$5,$C$5-E$8)-1))</x:f>
        <x:v>1</x:v>
      </x:c>
      <x:c r="F12" s="10" t="n">
        <x:f t="shared" ref="F12:F75" si="1">1+IF(B12&lt;3,0,MIN(1,(B12-2)/4))+IF(B12&lt;7,0,MIN(1,(B12-6)/3))+IF(B12&lt;10,0,MIN(1,(B12-9)/5))+IF(B12&lt;20,0,MIN(1,(B12-19)/10))</x:f>
        <x:v>1</x:v>
      </x:c>
      <x:c r="G12" s="11" t="n">
        <x:f t="shared" ref="G12:L12" si="2">'玩家战力_节点'!G12</x:f>
        <x:v>0</x:v>
      </x:c>
      <x:c r="H12" s="11" t="n">
        <x:f t="shared" si="2">'玩家战力_节点'!H12</x:f>
        <x:v>0</x:v>
      </x:c>
      <x:c r="I12" s="11" t="n">
        <x:f t="shared" si="2">'玩家战力_节点'!I12</x:f>
        <x:v>0</x:v>
      </x:c>
      <x:c r="J12" s="11" t="n">
        <x:f t="shared" si="2">'玩家战力_节点'!J12</x:f>
        <x:v>0</x:v>
      </x:c>
      <x:c r="K12" s="11" t="n">
        <x:f t="shared" si="2">'玩家战力_节点'!K12</x:f>
        <x:v>0</x:v>
      </x:c>
      <x:c r="L12" s="11" t="n">
        <x:f t="shared" si="2">'玩家战力_节点'!L12</x:f>
        <x:v>0</x:v>
      </x:c>
      <x:c r="M12" s="2" t="n">
        <x:f>E12*'模块规划'!$F$10+G12*'模块规划'!$F$11+H12*'模块规划'!$F$13</x:f>
        <x:v>1000</x:v>
      </x:c>
      <x:c r="N12" s="2" t="n">
        <x:f>I12*'模块规划'!$F$15+J12*'模块规划'!$F$17+K12*'模块规划'!$F$16+L12*'模块规划'!$F$18</x:f>
        <x:v>0</x:v>
      </x:c>
      <x:c r="O12" s="2" t="n">
        <x:f t="shared" ref="O12:O75" si="3">1+O$9*SUMPRODUCT($H$10:$L$10,H12:L12)/SUM($H$10:$L$10)</x:f>
        <x:v>1</x:v>
      </x:c>
      <x:c r="P12" s="12" t="n">
        <x:f t="shared" ref="P12:P75" si="4">M12*O12+N12</x:f>
        <x:v>1000</x:v>
      </x:c>
      <x:c r="Q12" s="7" t="n">
        <x:f>P12/(P12+'_曲线基线'!$L$2)</x:f>
        <x:v>0.04</x:v>
      </x:c>
      <x:c r="R12" s="2" t="n">
        <x:f>E12*'模块规划'!$E$10+G12*'模块规划'!$E$11+H12*'模块规划'!$E$13</x:f>
        <x:v>1500</x:v>
      </x:c>
      <x:c r="S12" s="2" t="n">
        <x:f>I12*'模块规划'!$E$15+J12*'模块规划'!$E$17+K12*'模块规划'!$E$16+L12*'模块规划'!$E$18</x:f>
        <x:v>0</x:v>
      </x:c>
      <x:c r="T12" s="2" t="n">
        <x:f t="shared" ref="T12:T75" si="5">1+T$9*SUMPRODUCT($H$10:$L$10,H12:L12)/SUM($H$10:$L$10)</x:f>
        <x:v>1</x:v>
      </x:c>
      <x:c r="U12" s="12" t="n">
        <x:f t="shared" ref="U12:U75" si="6">R12*T12+S12</x:f>
        <x:v>1500</x:v>
      </x:c>
      <x:c r="V12" s="2" t="n">
        <x:f t="shared" ref="V12:V75" si="7">V$8+(V$9-V$8)*H12</x:f>
        <x:v>0.7</x:v>
      </x:c>
      <x:c r="W12" s="2" t="n">
        <x:f t="shared" ref="W12:W75" si="8">IF(B12&lt;$H$8,0,W$8+(W$9-W$8)*H12)</x:f>
        <x:v>0</x:v>
      </x:c>
      <x:c r="X12" s="2" t="n">
        <x:f t="shared" ref="X12:X75" si="9">X$8+(X$9-X$8)*H12</x:f>
        <x:v>0.275</x:v>
      </x:c>
      <x:c r="Y12" s="2" t="n">
        <x:f t="shared" ref="Y12:Y75" si="10">Y$8+(Y$9-Y$8)*G12</x:f>
        <x:v>1</x:v>
      </x:c>
      <x:c r="Z12" s="2" t="n">
        <x:f t="shared" ref="Z12:Z75" si="11">Z$8+(Z$9-Z$8)*H12</x:f>
        <x:v>1</x:v>
      </x:c>
      <x:c r="AA12" s="2" t="n">
        <x:f t="shared" ref="AA12:AA75" si="12">AA$8+(AA$9-AA$8)*I12</x:f>
        <x:v>1</x:v>
      </x:c>
      <x:c r="AB12" s="2" t="n">
        <x:f t="shared" ref="AB12:AB75" si="13">AB$8+(AB$9-AB$8)*J12</x:f>
        <x:v>1</x:v>
      </x:c>
      <x:c r="AC12" s="2" t="n">
        <x:f t="shared" ref="AC12:AC75" si="14">AC$8+(AC$9-AC$8)*MAX(K12,L12)</x:f>
        <x:v>1</x:v>
      </x:c>
      <x:c r="AD12" s="1" t="n">
        <x:f t="shared" ref="AD12:AD75" si="15">(V12*AE12+W12*AF12+X12*AG12)*PRODUCT(Y12:AC12)</x:f>
        <x:v>0.975</x:v>
      </x:c>
      <x:c r="AE12" s="2" t="n">
        <x:f t="shared" ref="AE12:AE75" si="16">1+AE$9*($H$10*H12+$I$10*I12+$J$10*J12+$K$10*K12+$L$10*L12)</x:f>
        <x:v>1</x:v>
      </x:c>
      <x:c r="AF12" s="2" t="n">
        <x:f t="shared" ref="AF12:AF75" si="17">1+AF$9*($H$10*H12+$I$10*I12+$J$10*J12+$K$10*K12+$L$10*L12)</x:f>
        <x:v>1</x:v>
      </x:c>
      <x:c r="AG12" s="2" t="n">
        <x:f t="shared" ref="AG12:AG75" si="18">1+AG$9*($H$10*H12+$I$10*I12+$J$10*J12+$K$10*K12+$L$10*L12)</x:f>
        <x:v>1</x:v>
      </x:c>
      <x:c r="AH12" s="2" t="n">
        <x:f>MIN(1,'_曲线基线'!$L$3+AH$9*($H$10*H12+$I$10*I12+$J$10*J12+$K$10*K12+$L$10*L12))</x:f>
        <x:v>0.05</x:v>
      </x:c>
      <x:c r="AI12" s="2" t="n">
        <x:f>'_曲线基线'!$L$4+AI$9*($H$10*H12+$I$10*I12+$J$10*J12+$K$10*K12+$L$10*L12)</x:f>
        <x:v>2</x:v>
      </x:c>
      <x:c r="AJ12" s="2" t="n">
        <x:f t="shared" ref="AJ12:AJ75" si="19">1+AJ$9*($H$10*H12+$I$10*I12+$J$10*J12+$K$10*K12+$L$10*L12)</x:f>
        <x:v>1</x:v>
      </x:c>
      <x:c r="AK12" s="1" t="n">
        <x:f t="shared" ref="AK12:AK75" si="20">(1+AH12*(AI12-1))*AJ12</x:f>
        <x:v>1.05</x:v>
      </x:c>
      <x:c r="AL12" s="1" t="n">
        <x:f t="shared" ref="AL12:AL75" si="21">U12*AD12*AK12*F12</x:f>
        <x:v>1535.625</x:v>
      </x:c>
      <x:c r="AM12" s="13" t="n">
        <x:f t="shared" ref="AM12:AM75" si="22">IF($B12&lt;AM$8,0,AM$3+(AM$4-AM$3)*(POWER(AM$5,$B12-AM$8)-1)/(POWER(AM$5,$C$5-AM$8)-1))</x:f>
        <x:v>35</x:v>
      </x:c>
      <x:c r="AN12" s="13" t="n">
        <x:f>(((E12*'模块规划'!$D$10+G12*'模块规划'!$D$11+H12*'模块规划'!$D$13)*(1+'模块规划'!$G$14*H12)+(I12*'模块规划'!$D$15+J12*'模块规划'!$D$17+K12*'模块规划'!$D$16+L12*'模块规划'!$D$18))*(1+'模块规划'!$J$17*J12))*F12/(1-Q12)</x:f>
        <x:v>5208.333333333334</x:v>
      </x:c>
      <x:c r="AO12" s="1" t="n">
        <x:f t="shared" ref="AO12:AO75" si="23">AL12*AM12</x:f>
        <x:v>53746.875</x:v>
      </x:c>
      <x:c r="AP12" s="1" t="n">
        <x:f>IF(AO12="","",INDEX('_曲线基线'!$A$3:$A$502,MIN(ROWS('_曲线基线'!$A$3:$A$502),COUNTIF('_曲线基线'!$E$3:$E$502,"&lt;"&amp;AO12)+1)))</x:f>
        <x:v>5</x:v>
      </x:c>
      <x:c r="AQ12" s="14" t="n">
        <x:f t="shared" ref="AQ12:AQ75" si="24">IF(B12&lt;=2,1,IF(B12&lt;=6,2,IF(B12&lt;=9,3,IF(B12&lt;=19,4,5))))</x:f>
        <x:v>1</x:v>
      </x:c>
      <x:c r="AR12" s="10" t="n">
        <x:f>AN12*(1-Q12)/F12*$AS$3+U12*$AS$4+P12*$AS$5</x:f>
        <x:v>450</x:v>
      </x:c>
      <x:c r="AS12" s="15" t="n">
        <x:f>1+AH12*$AS$6+AI12*$AS$7+(AJ12-1)*$AS$8+($H$10*H12+$I$10*I12+$J$10*J12+$K$10*K12+$L$10*L12)*$AU$3*$AS$9+($H$10*H12+$I$10*I12+$J$10*J12+$K$10*K12+$L$10*L12)*$AU$4*$AS$10</x:f>
        <x:v>4.98158</x:v>
      </x:c>
      <x:c r="AT12" s="16" t="n">
        <x:f>ROUND(AR12*AS12,0)</x:f>
        <x:v>2242</x:v>
      </x:c>
      <x:c r="AU12" s="16" t="n">
        <x:f>ROUND(AT12*F12,0)</x:f>
        <x:v>2242</x:v>
      </x:c>
      <x:c r="AV12" t="n">
        <x:f>IF(AU12&gt;0,ROUND(AU12,-MAX(0,INT(LOG10(AU12))-2)),0)</x:f>
        <x:v>2240</x:v>
      </x:c>
    </x:row>
    <x:row r="13" customHeight="1">
      <x:c r="A13" s="1" t="n">
        <x:f>IFERROR(XLOOKUP(B13,'_曲线基线'!$G$3:$G$107,'_曲线基线'!$J$3:$J$107,""),"")</x:f>
        <x:v>2</x:v>
      </x:c>
      <x:c r="B13" s="1" t="n">
        <x:v>2</x:v>
      </x:c>
      <x:c r="C13" s="1" t="n">
        <x:v>0</x:v>
      </x:c>
      <x:c r="D13" s="1" t="n">
        <x:v>2</x:v>
      </x:c>
      <x:c r="E13" s="1" t="n">
        <x:f t="shared" si="0">IF($B13&lt;E$8,0,E$3+(E$4-E$3)*(POWER(E$5,$B13-E$8)-1)/(POWER(E$5,$C$5-E$8)-1))</x:f>
        <x:v>1</x:v>
      </x:c>
      <x:c r="F13" s="10" t="n">
        <x:f t="shared" si="1">1+IF(B13&lt;3,0,MIN(1,(B13-2)/4))+IF(B13&lt;7,0,MIN(1,(B13-6)/3))+IF(B13&lt;10,0,MIN(1,(B13-9)/5))+IF(B13&lt;20,0,MIN(1,(B13-19)/10))</x:f>
        <x:v>1</x:v>
      </x:c>
      <x:c r="G13" s="11" t="n">
        <x:f t="shared" ref="G13:L13" si="25">'玩家战力_节点'!G13</x:f>
        <x:v>0.0136024015260871</x:v>
      </x:c>
      <x:c r="H13" s="11" t="n">
        <x:f t="shared" si="25">'玩家战力_节点'!H13</x:f>
        <x:v>0</x:v>
      </x:c>
      <x:c r="I13" s="11" t="n">
        <x:f t="shared" si="25">'玩家战力_节点'!I13</x:f>
        <x:v>0</x:v>
      </x:c>
      <x:c r="J13" s="11" t="n">
        <x:f t="shared" si="25">'玩家战力_节点'!J13</x:f>
        <x:v>0</x:v>
      </x:c>
      <x:c r="K13" s="11" t="n">
        <x:f t="shared" si="25">'玩家战力_节点'!K13</x:f>
        <x:v>0</x:v>
      </x:c>
      <x:c r="L13" s="11" t="n">
        <x:f t="shared" si="25">'玩家战力_节点'!L13</x:f>
        <x:v>0</x:v>
      </x:c>
      <x:c r="M13" s="2" t="n">
        <x:f>E13*'模块规划'!$F$10+G13*'模块规划'!$F$11+H13*'模块规划'!$F$13</x:f>
        <x:v>1065.291527325218</x:v>
      </x:c>
      <x:c r="N13" s="2" t="n">
        <x:f>I13*'模块规划'!$F$15+J13*'模块规划'!$F$17+K13*'模块规划'!$F$16+L13*'模块规划'!$F$18</x:f>
        <x:v>0</x:v>
      </x:c>
      <x:c r="O13" s="2" t="n">
        <x:f t="shared" si="3">1+O$9*SUMPRODUCT($H$10:$L$10,H13:L13)/SUM($H$10:$L$10)</x:f>
        <x:v>1</x:v>
      </x:c>
      <x:c r="P13" s="12" t="n">
        <x:f t="shared" si="4">M13*O13+N13</x:f>
        <x:v>1065.291527325218</x:v>
      </x:c>
      <x:c r="Q13" s="7" t="n">
        <x:f>P13/(P13+'_曲线基线'!$L$2)</x:f>
        <x:v>0.04250066376303177</x:v>
      </x:c>
      <x:c r="R13" s="2" t="n">
        <x:f>E13*'模块规划'!$E$10+G13*'模块规划'!$E$11+H13*'模块规划'!$E$13</x:f>
        <x:v>1597.937290987827</x:v>
      </x:c>
      <x:c r="S13" s="2" t="n">
        <x:f>I13*'模块规划'!$E$15+J13*'模块规划'!$E$17+K13*'模块规划'!$E$16+L13*'模块规划'!$E$18</x:f>
        <x:v>0</x:v>
      </x:c>
      <x:c r="T13" s="2" t="n">
        <x:f t="shared" si="5">1+T$9*SUMPRODUCT($H$10:$L$10,H13:L13)/SUM($H$10:$L$10)</x:f>
        <x:v>1</x:v>
      </x:c>
      <x:c r="U13" s="12" t="n">
        <x:f t="shared" si="6">R13*T13+S13</x:f>
        <x:v>1597.937290987827</x:v>
      </x:c>
      <x:c r="V13" s="2" t="n">
        <x:f t="shared" si="7">V$8+(V$9-V$8)*H13</x:f>
        <x:v>0.7</x:v>
      </x:c>
      <x:c r="W13" s="2" t="n">
        <x:f t="shared" si="8">IF(B13&lt;$H$8,0,W$8+(W$9-W$8)*H13)</x:f>
        <x:v>0</x:v>
      </x:c>
      <x:c r="X13" s="2" t="n">
        <x:f t="shared" si="9">X$8+(X$9-X$8)*H13</x:f>
        <x:v>0.275</x:v>
      </x:c>
      <x:c r="Y13" s="2" t="n">
        <x:f t="shared" si="10">Y$8+(Y$9-Y$8)*G13</x:f>
        <x:v>1</x:v>
      </x:c>
      <x:c r="Z13" s="2" t="n">
        <x:f t="shared" si="11">Z$8+(Z$9-Z$8)*H13</x:f>
        <x:v>1</x:v>
      </x:c>
      <x:c r="AA13" s="2" t="n">
        <x:f t="shared" si="12">AA$8+(AA$9-AA$8)*I13</x:f>
        <x:v>1</x:v>
      </x:c>
      <x:c r="AB13" s="2" t="n">
        <x:f t="shared" si="13">AB$8+(AB$9-AB$8)*J13</x:f>
        <x:v>1</x:v>
      </x:c>
      <x:c r="AC13" s="2" t="n">
        <x:f t="shared" si="14">AC$8+(AC$9-AC$8)*MAX(K13,L13)</x:f>
        <x:v>1</x:v>
      </x:c>
      <x:c r="AD13" s="1" t="n">
        <x:f t="shared" si="15">(V13*AE13+W13*AF13+X13*AG13)*PRODUCT(Y13:AC13)</x:f>
        <x:v>0.975</x:v>
      </x:c>
      <x:c r="AE13" s="2" t="n">
        <x:f t="shared" si="16">1+AE$9*($H$10*H13+$I$10*I13+$J$10*J13+$K$10*K13+$L$10*L13)</x:f>
        <x:v>1</x:v>
      </x:c>
      <x:c r="AF13" s="2" t="n">
        <x:f t="shared" si="17">1+AF$9*($H$10*H13+$I$10*I13+$J$10*J13+$K$10*K13+$L$10*L13)</x:f>
        <x:v>1</x:v>
      </x:c>
      <x:c r="AG13" s="2" t="n">
        <x:f t="shared" si="18">1+AG$9*($H$10*H13+$I$10*I13+$J$10*J13+$K$10*K13+$L$10*L13)</x:f>
        <x:v>1</x:v>
      </x:c>
      <x:c r="AH13" s="2" t="n">
        <x:f>MIN(1,'_曲线基线'!$L$3+AH$9*($H$10*H13+$I$10*I13+$J$10*J13+$K$10*K13+$L$10*L13))</x:f>
        <x:v>0.05</x:v>
      </x:c>
      <x:c r="AI13" s="2" t="n">
        <x:f>'_曲线基线'!$L$4+AI$9*($H$10*H13+$I$10*I13+$J$10*J13+$K$10*K13+$L$10*L13)</x:f>
        <x:v>2</x:v>
      </x:c>
      <x:c r="AJ13" s="2" t="n">
        <x:f t="shared" si="19">1+AJ$9*($H$10*H13+$I$10*I13+$J$10*J13+$K$10*K13+$L$10*L13)</x:f>
        <x:v>1</x:v>
      </x:c>
      <x:c r="AK13" s="1" t="n">
        <x:f t="shared" si="20">(1+AH13*(AI13-1))*AJ13</x:f>
        <x:v>1.05</x:v>
      </x:c>
      <x:c r="AL13" s="1" t="n">
        <x:f t="shared" si="21">U13*AD13*AK13*F13</x:f>
        <x:v>1635.888301648788</x:v>
      </x:c>
      <x:c r="AM13" s="13" t="n">
        <x:f t="shared" si="22">IF($B13&lt;AM$8,0,AM$3+(AM$4-AM$3)*(POWER(AM$5,$B13-AM$8)-1)/(POWER(AM$5,$C$5-AM$8)-1))</x:f>
        <x:v>35.013424639921865</x:v>
      </x:c>
      <x:c r="AN13" s="13" t="n">
        <x:f>(((E13*'模块规划'!$D$10+G13*'模块规划'!$D$11+H13*'模块规划'!$D$13)*(1+'模块规划'!$G$14*H13)+(I13*'模块规划'!$D$15+J13*'模块规划'!$D$17+K13*'模块规划'!$D$16+L13*'模块规划'!$D$18))*(1+'模块规划'!$J$17*J13))*F13/(1-Q13)</x:f>
        <x:v>5562.883894582527</x:v>
      </x:c>
      <x:c r="AO13" s="1" t="n">
        <x:f t="shared" si="23">AL13*AM13</x:f>
        <x:v>57278.05176910961</x:v>
      </x:c>
      <x:c r="AP13" s="1" t="n">
        <x:f>IF(AO13="","",INDEX('_曲线基线'!$A$3:$A$502,MIN(ROWS('_曲线基线'!$A$3:$A$502),COUNTIF('_曲线基线'!$E$3:$E$502,"&lt;"&amp;AO13)+1)))</x:f>
        <x:v>5</x:v>
      </x:c>
      <x:c r="AQ13" s="14" t="n">
        <x:f t="shared" si="24">IF(B13&lt;=2,1,IF(B13&lt;=6,2,IF(B13&lt;=9,3,IF(B13&lt;=19,4,5))))</x:f>
        <x:v>1</x:v>
      </x:c>
      <x:c r="AR13" s="10" t="n">
        <x:f t="shared" ref="AR13:AR75" si="26">AN13*(1-Q13)/F13*$AS$3+U13*$AS$4+P13*$AS$5</x:f>
        <x:v>479.3811872963481</x:v>
      </x:c>
      <x:c r="AS13" s="15" t="n">
        <x:f t="shared" ref="AS13:AS75" si="27">1+AH13*$AS$6+AI13*$AS$7+(AJ13-1)*$AS$8+($H$10*H13+$I$10*I13+$J$10*J13+$K$10*K13+$L$10*L13)*$AU$3*$AS$9+($H$10*H13+$I$10*I13+$J$10*J13+$K$10*K13+$L$10*L13)*$AU$4*$AS$10</x:f>
        <x:v>4.98158</x:v>
      </x:c>
      <x:c r="AT13" s="16" t="n">
        <x:f t="shared" ref="AT13:AT75" si="28">ROUND(AR13*AS13,0)</x:f>
        <x:v>2388</x:v>
      </x:c>
      <x:c r="AU13" s="16" t="n">
        <x:f t="shared" ref="AU13:AU75" si="29">ROUND(AT13*F13,0)</x:f>
        <x:v>2388</x:v>
      </x:c>
      <x:c r="AV13" t="n">
        <x:f>IF(AU13&gt;0,ROUND(AU13,-MAX(0,INT(LOG10(AU13))-2)),0)</x:f>
        <x:v>2390</x:v>
      </x:c>
    </x:row>
    <x:row r="14" customHeight="1">
      <x:c r="A14" s="1" t="n">
        <x:f>IFERROR(XLOOKUP(B14,'_曲线基线'!$G$3:$G$107,'_曲线基线'!$J$3:$J$107,""),"")</x:f>
        <x:v>3</x:v>
      </x:c>
      <x:c r="B14" s="1" t="n">
        <x:v>3</x:v>
      </x:c>
      <x:c r="C14" s="1" t="n">
        <x:v>0</x:v>
      </x:c>
      <x:c r="D14" s="1" t="n">
        <x:v>3</x:v>
      </x:c>
      <x:c r="E14" s="1" t="n">
        <x:f t="shared" si="0">IF($B14&lt;E$8,0,E$3+(E$4-E$3)*(POWER(E$5,$B14-E$8)-1)/(POWER(E$5,$C$5-E$8)-1))</x:f>
        <x:v>1</x:v>
      </x:c>
      <x:c r="F14" s="10" t="n">
        <x:f t="shared" si="1">1+IF(B14&lt;3,0,MIN(1,(B14-2)/4))+IF(B14&lt;7,0,MIN(1,(B14-6)/3))+IF(B14&lt;10,0,MIN(1,(B14-9)/5))+IF(B14&lt;20,0,MIN(1,(B14-19)/10))</x:f>
        <x:v>1.25</x:v>
      </x:c>
      <x:c r="G14" s="11" t="n">
        <x:f t="shared" ref="G14:L14" si="30">'玩家战力_节点'!G14</x:f>
        <x:v>0.0272048030521742</x:v>
      </x:c>
      <x:c r="H14" s="11" t="n">
        <x:f t="shared" si="30">'玩家战力_节点'!H14</x:f>
        <x:v>0</x:v>
      </x:c>
      <x:c r="I14" s="11" t="n">
        <x:f t="shared" si="30">'玩家战力_节点'!I14</x:f>
        <x:v>0</x:v>
      </x:c>
      <x:c r="J14" s="11" t="n">
        <x:f t="shared" si="30">'玩家战力_节点'!J14</x:f>
        <x:v>0</x:v>
      </x:c>
      <x:c r="K14" s="11" t="n">
        <x:f t="shared" si="30">'玩家战力_节点'!K14</x:f>
        <x:v>0</x:v>
      </x:c>
      <x:c r="L14" s="11" t="n">
        <x:f t="shared" si="30">'玩家战力_节点'!L14</x:f>
        <x:v>0</x:v>
      </x:c>
      <x:c r="M14" s="2" t="n">
        <x:f>E14*'模块规划'!$F$10+G14*'模块规划'!$F$11+H14*'模块规划'!$F$13</x:f>
        <x:v>1130.5830546504362</x:v>
      </x:c>
      <x:c r="N14" s="2" t="n">
        <x:f>I14*'模块规划'!$F$15+J14*'模块规划'!$F$17+K14*'模块规划'!$F$16+L14*'模块规划'!$F$18</x:f>
        <x:v>0</x:v>
      </x:c>
      <x:c r="O14" s="2" t="n">
        <x:f t="shared" si="3">1+O$9*SUMPRODUCT($H$10:$L$10,H14:L14)/SUM($H$10:$L$10)</x:f>
        <x:v>1</x:v>
      </x:c>
      <x:c r="P14" s="12" t="n">
        <x:f t="shared" si="4">M14*O14+N14</x:f>
        <x:v>1130.5830546504362</x:v>
      </x:c>
      <x:c r="Q14" s="7" t="n">
        <x:f>P14/(P14+'_曲线基线'!$L$2)</x:f>
        <x:v>0.044988333624882644</x:v>
      </x:c>
      <x:c r="R14" s="2" t="n">
        <x:f>E14*'模块规划'!$E$10+G14*'模块规划'!$E$11+H14*'模块规划'!$E$13</x:f>
        <x:v>1695.874581975654</x:v>
      </x:c>
      <x:c r="S14" s="2" t="n">
        <x:f>I14*'模块规划'!$E$15+J14*'模块规划'!$E$17+K14*'模块规划'!$E$16+L14*'模块规划'!$E$18</x:f>
        <x:v>0</x:v>
      </x:c>
      <x:c r="T14" s="2" t="n">
        <x:f t="shared" si="5">1+T$9*SUMPRODUCT($H$10:$L$10,H14:L14)/SUM($H$10:$L$10)</x:f>
        <x:v>1</x:v>
      </x:c>
      <x:c r="U14" s="12" t="n">
        <x:f t="shared" si="6">R14*T14+S14</x:f>
        <x:v>1695.874581975654</x:v>
      </x:c>
      <x:c r="V14" s="2" t="n">
        <x:f t="shared" si="7">V$8+(V$9-V$8)*H14</x:f>
        <x:v>0.7</x:v>
      </x:c>
      <x:c r="W14" s="2" t="n">
        <x:f t="shared" si="8">IF(B14&lt;$H$8,0,W$8+(W$9-W$8)*H14)</x:f>
        <x:v>0</x:v>
      </x:c>
      <x:c r="X14" s="2" t="n">
        <x:f t="shared" si="9">X$8+(X$9-X$8)*H14</x:f>
        <x:v>0.275</x:v>
      </x:c>
      <x:c r="Y14" s="2" t="n">
        <x:f t="shared" si="10">Y$8+(Y$9-Y$8)*G14</x:f>
        <x:v>1</x:v>
      </x:c>
      <x:c r="Z14" s="2" t="n">
        <x:f t="shared" si="11">Z$8+(Z$9-Z$8)*H14</x:f>
        <x:v>1</x:v>
      </x:c>
      <x:c r="AA14" s="2" t="n">
        <x:f t="shared" si="12">AA$8+(AA$9-AA$8)*I14</x:f>
        <x:v>1</x:v>
      </x:c>
      <x:c r="AB14" s="2" t="n">
        <x:f t="shared" si="13">AB$8+(AB$9-AB$8)*J14</x:f>
        <x:v>1</x:v>
      </x:c>
      <x:c r="AC14" s="2" t="n">
        <x:f t="shared" si="14">AC$8+(AC$9-AC$8)*MAX(K14,L14)</x:f>
        <x:v>1</x:v>
      </x:c>
      <x:c r="AD14" s="1" t="n">
        <x:f t="shared" si="15">(V14*AE14+W14*AF14+X14*AG14)*PRODUCT(Y14:AC14)</x:f>
        <x:v>0.975</x:v>
      </x:c>
      <x:c r="AE14" s="2" t="n">
        <x:f t="shared" si="16">1+AE$9*($H$10*H14+$I$10*I14+$J$10*J14+$K$10*K14+$L$10*L14)</x:f>
        <x:v>1</x:v>
      </x:c>
      <x:c r="AF14" s="2" t="n">
        <x:f t="shared" si="17">1+AF$9*($H$10*H14+$I$10*I14+$J$10*J14+$K$10*K14+$L$10*L14)</x:f>
        <x:v>1</x:v>
      </x:c>
      <x:c r="AG14" s="2" t="n">
        <x:f t="shared" si="18">1+AG$9*($H$10*H14+$I$10*I14+$J$10*J14+$K$10*K14+$L$10*L14)</x:f>
        <x:v>1</x:v>
      </x:c>
      <x:c r="AH14" s="2" t="n">
        <x:f>MIN(1,'_曲线基线'!$L$3+AH$9*($H$10*H14+$I$10*I14+$J$10*J14+$K$10*K14+$L$10*L14))</x:f>
        <x:v>0.05</x:v>
      </x:c>
      <x:c r="AI14" s="2" t="n">
        <x:f>'_曲线基线'!$L$4+AI$9*($H$10*H14+$I$10*I14+$J$10*J14+$K$10*K14+$L$10*L14)</x:f>
        <x:v>2</x:v>
      </x:c>
      <x:c r="AJ14" s="2" t="n">
        <x:f t="shared" si="19">1+AJ$9*($H$10*H14+$I$10*I14+$J$10*J14+$K$10*K14+$L$10*L14)</x:f>
        <x:v>1</x:v>
      </x:c>
      <x:c r="AK14" s="1" t="n">
        <x:f t="shared" si="20">(1+AH14*(AI14-1))*AJ14</x:f>
        <x:v>1.05</x:v>
      </x:c>
      <x:c r="AL14" s="1" t="n">
        <x:f t="shared" si="21">U14*AD14*AK14*F14</x:f>
        <x:v>2170.1895041219695</x:v>
      </x:c>
      <x:c r="AM14" s="13" t="n">
        <x:f t="shared" si="22">IF($B14&lt;AM$8,0,AM$3+(AM$4-AM$3)*(POWER(AM$5,$B14-AM$8)-1)/(POWER(AM$5,$C$5-AM$8)-1))</x:f>
        <x:v>35.02698352624296</x:v>
      </x:c>
      <x:c r="AN14" s="13" t="n">
        <x:f>(((E14*'模块规划'!$D$10+G14*'模块规划'!$D$11+H14*'模块规划'!$D$13)*(1+'模块规划'!$G$14*H14)+(I14*'模块规划'!$D$15+J14*'模块规划'!$D$17+K14*'模块规划'!$D$16+L14*'模块规划'!$D$18))*(1+'模块规划'!$J$17*J14))*F14/(1-Q14)</x:f>
        <x:v>7399.013373716974</x:v>
      </x:c>
      <x:c r="AO14" s="1" t="n">
        <x:f t="shared" si="23">AL14*AM14</x:f>
        <x:v>76015.1920097056</x:v>
      </x:c>
      <x:c r="AP14" s="1" t="n">
        <x:f>IF(AO14="","",INDEX('_曲线基线'!$A$3:$A$502,MIN(ROWS('_曲线基线'!$A$3:$A$502),COUNTIF('_曲线基线'!$E$3:$E$502,"&lt;"&amp;AO14)+1)))</x:f>
        <x:v>7</x:v>
      </x:c>
      <x:c r="AQ14" s="14" t="n">
        <x:f t="shared" si="24">IF(B14&lt;=2,1,IF(B14&lt;=6,2,IF(B14&lt;=9,3,IF(B14&lt;=19,4,5))))</x:f>
        <x:v>2</x:v>
      </x:c>
      <x:c r="AR14" s="10" t="n">
        <x:f t="shared" si="26">AN14*(1-Q14)/F14*$AS$3+U14*$AS$4+P14*$AS$5</x:f>
        <x:v>508.76237459269623</x:v>
      </x:c>
      <x:c r="AS14" s="15" t="n">
        <x:f t="shared" si="27">1+AH14*$AS$6+AI14*$AS$7+(AJ14-1)*$AS$8+($H$10*H14+$I$10*I14+$J$10*J14+$K$10*K14+$L$10*L14)*$AU$3*$AS$9+($H$10*H14+$I$10*I14+$J$10*J14+$K$10*K14+$L$10*L14)*$AU$4*$AS$10</x:f>
        <x:v>4.98158</x:v>
      </x:c>
      <x:c r="AT14" s="16" t="n">
        <x:f t="shared" si="28">ROUND(AR14*AS14,0)</x:f>
        <x:v>2534</x:v>
      </x:c>
      <x:c r="AU14" s="16" t="n">
        <x:f t="shared" si="29">ROUND(AT14*F14,0)</x:f>
        <x:v>3168</x:v>
      </x:c>
      <x:c r="AV14" t="n">
        <x:f>IF(AU14&gt;0,ROUND(AU14,-MAX(0,INT(LOG10(AU14))-2)),0)</x:f>
        <x:v>3170</x:v>
      </x:c>
    </x:row>
    <x:row r="15" customHeight="1">
      <x:c r="A15" s="1" t="n">
        <x:f>IFERROR(XLOOKUP(B15,'_曲线基线'!$G$3:$G$107,'_曲线基线'!$J$3:$J$107,""),"")</x:f>
        <x:v>4</x:v>
      </x:c>
      <x:c r="B15" s="1" t="n">
        <x:v>4</x:v>
      </x:c>
      <x:c r="C15" s="1" t="n">
        <x:v>0</x:v>
      </x:c>
      <x:c r="D15" s="1" t="n">
        <x:v>4</x:v>
      </x:c>
      <x:c r="E15" s="1" t="n">
        <x:f t="shared" si="0">IF($B15&lt;E$8,0,E$3+(E$4-E$3)*(POWER(E$5,$B15-E$8)-1)/(POWER(E$5,$C$5-E$8)-1))</x:f>
        <x:v>1</x:v>
      </x:c>
      <x:c r="F15" s="10" t="n">
        <x:f t="shared" si="1">1+IF(B15&lt;3,0,MIN(1,(B15-2)/4))+IF(B15&lt;7,0,MIN(1,(B15-6)/3))+IF(B15&lt;10,0,MIN(1,(B15-9)/5))+IF(B15&lt;20,0,MIN(1,(B15-19)/10))</x:f>
        <x:v>1.5</x:v>
      </x:c>
      <x:c r="G15" s="11" t="n">
        <x:f t="shared" ref="G15:L15" si="31">'玩家战力_节点'!G15</x:f>
        <x:v>0.0405019214608875</x:v>
      </x:c>
      <x:c r="H15" s="11" t="n">
        <x:f t="shared" si="31">'玩家战力_节点'!H15</x:f>
        <x:v>0</x:v>
      </x:c>
      <x:c r="I15" s="11" t="n">
        <x:f t="shared" si="31">'玩家战力_节点'!I15</x:f>
        <x:v>0</x:v>
      </x:c>
      <x:c r="J15" s="11" t="n">
        <x:f t="shared" si="31">'玩家战力_节点'!J15</x:f>
        <x:v>0</x:v>
      </x:c>
      <x:c r="K15" s="11" t="n">
        <x:f t="shared" si="31">'玩家战力_节点'!K15</x:f>
        <x:v>0</x:v>
      </x:c>
      <x:c r="L15" s="11" t="n">
        <x:f t="shared" si="31">'玩家战力_节点'!L15</x:f>
        <x:v>0</x:v>
      </x:c>
      <x:c r="M15" s="2" t="n">
        <x:f>E15*'模块规划'!$F$10+G15*'模块规划'!$F$11+H15*'模块规划'!$F$13</x:f>
        <x:v>1194.40922301226</x:v>
      </x:c>
      <x:c r="N15" s="2" t="n">
        <x:f>I15*'模块规划'!$F$15+J15*'模块规划'!$F$17+K15*'模块规划'!$F$16+L15*'模块规划'!$F$18</x:f>
        <x:v>0</x:v>
      </x:c>
      <x:c r="O15" s="2" t="n">
        <x:f t="shared" si="3">1+O$9*SUMPRODUCT($H$10:$L$10,H15:L15)/SUM($H$10:$L$10)</x:f>
        <x:v>1</x:v>
      </x:c>
      <x:c r="P15" s="12" t="n">
        <x:f t="shared" si="4">M15*O15+N15</x:f>
        <x:v>1194.40922301226</x:v>
      </x:c>
      <x:c r="Q15" s="7" t="n">
        <x:f>P15/(P15+'_曲线基线'!$L$2)</x:f>
        <x:v>0.04740770908497039</x:v>
      </x:c>
      <x:c r="R15" s="2" t="n">
        <x:f>E15*'模块规划'!$E$10+G15*'模块规划'!$E$11+H15*'模块规划'!$E$13</x:f>
        <x:v>1791.61383451839</x:v>
      </x:c>
      <x:c r="S15" s="2" t="n">
        <x:f>I15*'模块规划'!$E$15+J15*'模块规划'!$E$17+K15*'模块规划'!$E$16+L15*'模块规划'!$E$18</x:f>
        <x:v>0</x:v>
      </x:c>
      <x:c r="T15" s="2" t="n">
        <x:f t="shared" si="5">1+T$9*SUMPRODUCT($H$10:$L$10,H15:L15)/SUM($H$10:$L$10)</x:f>
        <x:v>1</x:v>
      </x:c>
      <x:c r="U15" s="12" t="n">
        <x:f t="shared" si="6">R15*T15+S15</x:f>
        <x:v>1791.61383451839</x:v>
      </x:c>
      <x:c r="V15" s="2" t="n">
        <x:f t="shared" si="7">V$8+(V$9-V$8)*H15</x:f>
        <x:v>0.7</x:v>
      </x:c>
      <x:c r="W15" s="2" t="n">
        <x:f t="shared" si="8">IF(B15&lt;$H$8,0,W$8+(W$9-W$8)*H15)</x:f>
        <x:v>0</x:v>
      </x:c>
      <x:c r="X15" s="2" t="n">
        <x:f t="shared" si="9">X$8+(X$9-X$8)*H15</x:f>
        <x:v>0.275</x:v>
      </x:c>
      <x:c r="Y15" s="2" t="n">
        <x:f t="shared" si="10">Y$8+(Y$9-Y$8)*G15</x:f>
        <x:v>1</x:v>
      </x:c>
      <x:c r="Z15" s="2" t="n">
        <x:f t="shared" si="11">Z$8+(Z$9-Z$8)*H15</x:f>
        <x:v>1</x:v>
      </x:c>
      <x:c r="AA15" s="2" t="n">
        <x:f t="shared" si="12">AA$8+(AA$9-AA$8)*I15</x:f>
        <x:v>1</x:v>
      </x:c>
      <x:c r="AB15" s="2" t="n">
        <x:f t="shared" si="13">AB$8+(AB$9-AB$8)*J15</x:f>
        <x:v>1</x:v>
      </x:c>
      <x:c r="AC15" s="2" t="n">
        <x:f t="shared" si="14">AC$8+(AC$9-AC$8)*MAX(K15,L15)</x:f>
        <x:v>1</x:v>
      </x:c>
      <x:c r="AD15" s="1" t="n">
        <x:f t="shared" si="15">(V15*AE15+W15*AF15+X15*AG15)*PRODUCT(Y15:AC15)</x:f>
        <x:v>0.975</x:v>
      </x:c>
      <x:c r="AE15" s="2" t="n">
        <x:f t="shared" si="16">1+AE$9*($H$10*H15+$I$10*I15+$J$10*J15+$K$10*K15+$L$10*L15)</x:f>
        <x:v>1</x:v>
      </x:c>
      <x:c r="AF15" s="2" t="n">
        <x:f t="shared" si="17">1+AF$9*($H$10*H15+$I$10*I15+$J$10*J15+$K$10*K15+$L$10*L15)</x:f>
        <x:v>1</x:v>
      </x:c>
      <x:c r="AG15" s="2" t="n">
        <x:f t="shared" si="18">1+AG$9*($H$10*H15+$I$10*I15+$J$10*J15+$K$10*K15+$L$10*L15)</x:f>
        <x:v>1</x:v>
      </x:c>
      <x:c r="AH15" s="2" t="n">
        <x:f>MIN(1,'_曲线基线'!$L$3+AH$9*($H$10*H15+$I$10*I15+$J$10*J15+$K$10*K15+$L$10*L15))</x:f>
        <x:v>0.05</x:v>
      </x:c>
      <x:c r="AI15" s="2" t="n">
        <x:f>'_曲线基线'!$L$4+AI$9*($H$10*H15+$I$10*I15+$J$10*J15+$K$10*K15+$L$10*L15)</x:f>
        <x:v>2</x:v>
      </x:c>
      <x:c r="AJ15" s="2" t="n">
        <x:f t="shared" si="19">1+AJ$9*($H$10*H15+$I$10*I15+$J$10*J15+$K$10*K15+$L$10*L15)</x:f>
        <x:v>1</x:v>
      </x:c>
      <x:c r="AK15" s="1" t="n">
        <x:f t="shared" si="20">(1+AH15*(AI15-1))*AJ15</x:f>
        <x:v>1.05</x:v>
      </x:c>
      <x:c r="AL15" s="1" t="n">
        <x:f t="shared" si="21">U15*AD15*AK15*F15</x:f>
        <x:v>2751.2469946323026</x:v>
      </x:c>
      <x:c r="AM15" s="13" t="n">
        <x:f t="shared" si="22">IF($B15&lt;AM$8,0,AM$3+(AM$4-AM$3)*(POWER(AM$5,$B15-AM$8)-1)/(POWER(AM$5,$C$5-AM$8)-1))</x:f>
        <x:v>35.04067800142725</x:v>
      </x:c>
      <x:c r="AN15" s="13" t="n">
        <x:f>(((E15*'模块规划'!$D$10+G15*'模块规划'!$D$11+H15*'模块规划'!$D$13)*(1+'模块规划'!$G$14*H15)+(I15*'模块规划'!$D$15+J15*'模块规划'!$D$17+K15*'模块规划'!$D$16+L15*'模块规划'!$D$18))*(1+'模块规划'!$J$17*J15))*F15/(1-Q15)</x:f>
        <x:v>9403.885857597184</x:v>
      </x:c>
      <x:c r="AO15" s="1" t="n">
        <x:f t="shared" si="23">AL15*AM15</x:f>
        <x:v>96405.56004130497</x:v>
      </x:c>
      <x:c r="AP15" s="1" t="n">
        <x:f>IF(AO15="","",INDEX('_曲线基线'!$A$3:$A$502,MIN(ROWS('_曲线基线'!$A$3:$A$502),COUNTIF('_曲线基线'!$E$3:$E$502,"&lt;"&amp;AO15)+1)))</x:f>
        <x:v>9</x:v>
      </x:c>
      <x:c r="AQ15" s="14" t="n">
        <x:f t="shared" si="24">IF(B15&lt;=2,1,IF(B15&lt;=6,2,IF(B15&lt;=9,3,IF(B15&lt;=19,4,5))))</x:f>
        <x:v>2</x:v>
      </x:c>
      <x:c r="AR15" s="10" t="n">
        <x:f t="shared" si="26">AN15*(1-Q15)/F15*$AS$3+U15*$AS$4+P15*$AS$5</x:f>
        <x:v>537.484150355517</x:v>
      </x:c>
      <x:c r="AS15" s="15" t="n">
        <x:f t="shared" si="27">1+AH15*$AS$6+AI15*$AS$7+(AJ15-1)*$AS$8+($H$10*H15+$I$10*I15+$J$10*J15+$K$10*K15+$L$10*L15)*$AU$3*$AS$9+($H$10*H15+$I$10*I15+$J$10*J15+$K$10*K15+$L$10*L15)*$AU$4*$AS$10</x:f>
        <x:v>4.98158</x:v>
      </x:c>
      <x:c r="AT15" s="16" t="n">
        <x:f t="shared" si="28">ROUND(AR15*AS15,0)</x:f>
        <x:v>2678</x:v>
      </x:c>
      <x:c r="AU15" s="16" t="n">
        <x:f t="shared" si="29">ROUND(AT15*F15,0)</x:f>
        <x:v>4017</x:v>
      </x:c>
      <x:c r="AV15" t="n">
        <x:f>IF(AU15&gt;0,ROUND(AU15,-MAX(0,INT(LOG10(AU15))-2)),0)</x:f>
        <x:v>4020</x:v>
      </x:c>
    </x:row>
    <x:row r="16" customHeight="1">
      <x:c r="A16" s="1" t="n">
        <x:f>IFERROR(XLOOKUP(B16,'_曲线基线'!$G$3:$G$107,'_曲线基线'!$J$3:$J$107,""),"")</x:f>
        <x:v>5</x:v>
      </x:c>
      <x:c r="B16" s="1" t="n">
        <x:v>5</x:v>
      </x:c>
      <x:c r="C16" s="1" t="n">
        <x:v>1</x:v>
      </x:c>
      <x:c r="D16" s="1" t="n">
        <x:v>1</x:v>
      </x:c>
      <x:c r="E16" s="1" t="n">
        <x:f t="shared" si="0">IF($B16&lt;E$8,0,E$3+(E$4-E$3)*(POWER(E$5,$B16-E$8)-1)/(POWER(E$5,$C$5-E$8)-1))</x:f>
        <x:v>1</x:v>
      </x:c>
      <x:c r="F16" s="10" t="n">
        <x:f t="shared" si="1">1+IF(B16&lt;3,0,MIN(1,(B16-2)/4))+IF(B16&lt;7,0,MIN(1,(B16-6)/3))+IF(B16&lt;10,0,MIN(1,(B16-9)/5))+IF(B16&lt;20,0,MIN(1,(B16-19)/10))</x:f>
        <x:v>1.75</x:v>
      </x:c>
      <x:c r="G16" s="11" t="n">
        <x:f t="shared" ref="G16:L16" si="32">'玩家战力_节点'!G16</x:f>
        <x:v>0.05359958309347</x:v>
      </x:c>
      <x:c r="H16" s="11" t="n">
        <x:f t="shared" si="32">'玩家战力_节点'!H16</x:f>
        <x:v>0</x:v>
      </x:c>
      <x:c r="I16" s="11" t="n">
        <x:f t="shared" si="32">'玩家战力_节点'!I16</x:f>
        <x:v>0</x:v>
      </x:c>
      <x:c r="J16" s="11" t="n">
        <x:f t="shared" si="32">'玩家战力_节点'!J16</x:f>
        <x:v>0</x:v>
      </x:c>
      <x:c r="K16" s="11" t="n">
        <x:f t="shared" si="32">'玩家战力_节点'!K16</x:f>
        <x:v>0</x:v>
      </x:c>
      <x:c r="L16" s="11" t="n">
        <x:f t="shared" si="32">'玩家战力_节点'!L16</x:f>
        <x:v>0</x:v>
      </x:c>
      <x:c r="M16" s="2" t="n">
        <x:f>E16*'模块规划'!$F$10+G16*'模块规划'!$F$11+H16*'模块规划'!$F$13</x:f>
        <x:v>1257.277998848656</x:v>
      </x:c>
      <x:c r="N16" s="2" t="n">
        <x:f>I16*'模块规划'!$F$15+J16*'模块规划'!$F$17+K16*'模块规划'!$F$16+L16*'模块规划'!$F$18</x:f>
        <x:v>0</x:v>
      </x:c>
      <x:c r="O16" s="2" t="n">
        <x:f t="shared" si="3">1+O$9*SUMPRODUCT($H$10:$L$10,H16:L16)/SUM($H$10:$L$10)</x:f>
        <x:v>1</x:v>
      </x:c>
      <x:c r="P16" s="12" t="n">
        <x:f t="shared" si="4">M16*O16+N16</x:f>
        <x:v>1257.277998848656</x:v>
      </x:c>
      <x:c r="Q16" s="7" t="n">
        <x:f>P16/(P16+'_曲线基线'!$L$2)</x:f>
        <x:v>0.049778839940945674</x:v>
      </x:c>
      <x:c r="R16" s="2" t="n">
        <x:f>E16*'模块规划'!$E$10+G16*'模块规划'!$E$11+H16*'模块规划'!$E$13</x:f>
        <x:v>1885.916998272984</x:v>
      </x:c>
      <x:c r="S16" s="2" t="n">
        <x:f>I16*'模块规划'!$E$15+J16*'模块规划'!$E$17+K16*'模块规划'!$E$16+L16*'模块规划'!$E$18</x:f>
        <x:v>0</x:v>
      </x:c>
      <x:c r="T16" s="2" t="n">
        <x:f t="shared" si="5">1+T$9*SUMPRODUCT($H$10:$L$10,H16:L16)/SUM($H$10:$L$10)</x:f>
        <x:v>1</x:v>
      </x:c>
      <x:c r="U16" s="12" t="n">
        <x:f t="shared" si="6">R16*T16+S16</x:f>
        <x:v>1885.916998272984</x:v>
      </x:c>
      <x:c r="V16" s="2" t="n">
        <x:f t="shared" si="7">V$8+(V$9-V$8)*H16</x:f>
        <x:v>0.7</x:v>
      </x:c>
      <x:c r="W16" s="2" t="n">
        <x:f t="shared" si="8">IF(B16&lt;$H$8,0,W$8+(W$9-W$8)*H16)</x:f>
        <x:v>0</x:v>
      </x:c>
      <x:c r="X16" s="2" t="n">
        <x:f t="shared" si="9">X$8+(X$9-X$8)*H16</x:f>
        <x:v>0.275</x:v>
      </x:c>
      <x:c r="Y16" s="2" t="n">
        <x:f t="shared" si="10">Y$8+(Y$9-Y$8)*G16</x:f>
        <x:v>1</x:v>
      </x:c>
      <x:c r="Z16" s="2" t="n">
        <x:f t="shared" si="11">Z$8+(Z$9-Z$8)*H16</x:f>
        <x:v>1</x:v>
      </x:c>
      <x:c r="AA16" s="2" t="n">
        <x:f t="shared" si="12">AA$8+(AA$9-AA$8)*I16</x:f>
        <x:v>1</x:v>
      </x:c>
      <x:c r="AB16" s="2" t="n">
        <x:f t="shared" si="13">AB$8+(AB$9-AB$8)*J16</x:f>
        <x:v>1</x:v>
      </x:c>
      <x:c r="AC16" s="2" t="n">
        <x:f t="shared" si="14">AC$8+(AC$9-AC$8)*MAX(K16,L16)</x:f>
        <x:v>1</x:v>
      </x:c>
      <x:c r="AD16" s="1" t="n">
        <x:f t="shared" si="15">(V16*AE16+W16*AF16+X16*AG16)*PRODUCT(Y16:AC16)</x:f>
        <x:v>0.975</x:v>
      </x:c>
      <x:c r="AE16" s="2" t="n">
        <x:f t="shared" si="16">1+AE$9*($H$10*H16+$I$10*I16+$J$10*J16+$K$10*K16+$L$10*L16)</x:f>
        <x:v>1</x:v>
      </x:c>
      <x:c r="AF16" s="2" t="n">
        <x:f t="shared" si="17">1+AF$9*($H$10*H16+$I$10*I16+$J$10*J16+$K$10*K16+$L$10*L16)</x:f>
        <x:v>1</x:v>
      </x:c>
      <x:c r="AG16" s="2" t="n">
        <x:f t="shared" si="18">1+AG$9*($H$10*H16+$I$10*I16+$J$10*J16+$K$10*K16+$L$10*L16)</x:f>
        <x:v>1</x:v>
      </x:c>
      <x:c r="AH16" s="2" t="n">
        <x:f>MIN(1,'_曲线基线'!$L$3+AH$9*($H$10*H16+$I$10*I16+$J$10*J16+$K$10*K16+$L$10*L16))</x:f>
        <x:v>0.05</x:v>
      </x:c>
      <x:c r="AI16" s="2" t="n">
        <x:f>'_曲线基线'!$L$4+AI$9*($H$10*H16+$I$10*I16+$J$10*J16+$K$10*K16+$L$10*L16)</x:f>
        <x:v>2</x:v>
      </x:c>
      <x:c r="AJ16" s="2" t="n">
        <x:f t="shared" si="19">1+AJ$9*($H$10*H16+$I$10*I16+$J$10*J16+$K$10*K16+$L$10*L16)</x:f>
        <x:v>1</x:v>
      </x:c>
      <x:c r="AK16" s="1" t="n">
        <x:f t="shared" si="20">(1+AH16*(AI16-1))*AJ16</x:f>
        <x:v>1.05</x:v>
      </x:c>
      <x:c r="AL16" s="1" t="n">
        <x:f t="shared" si="21">U16*AD16*AK16*F16</x:f>
        <x:v>3378.738172218443</x:v>
      </x:c>
      <x:c r="AM16" s="13" t="n">
        <x:f t="shared" si="22">IF($B16&lt;AM$8,0,AM$3+(AM$4-AM$3)*(POWER(AM$5,$B16-AM$8)-1)/(POWER(AM$5,$C$5-AM$8)-1))</x:f>
        <x:v>35.05450942136339</x:v>
      </x:c>
      <x:c r="AN16" s="13" t="n">
        <x:f>(((E16*'模块规划'!$D$10+G16*'模块规划'!$D$11+H16*'模块规划'!$D$13)*(1+'模块规划'!$G$14*H16)+(I16*'模块规划'!$D$15+J16*'模块规划'!$D$17+K16*'模块规划'!$D$16+L16*'模块规划'!$D$18))*(1+'模块规划'!$J$17*J16))*F16/(1-Q16)</x:f>
        <x:v>11577.496852671688</x:v>
      </x:c>
      <x:c r="AO16" s="1" t="n">
        <x:f t="shared" si="23">AL16*AM16</x:f>
        <x:v>118440.00909035154</x:v>
      </x:c>
      <x:c r="AP16" s="1" t="n">
        <x:f>IF(AO16="","",INDEX('_曲线基线'!$A$3:$A$502,MIN(ROWS('_曲线基线'!$A$3:$A$502),COUNTIF('_曲线基线'!$E$3:$E$502,"&lt;"&amp;AO16)+1)))</x:f>
        <x:v>10</x:v>
      </x:c>
      <x:c r="AQ16" s="14" t="n">
        <x:f t="shared" si="24">IF(B16&lt;=2,1,IF(B16&lt;=6,2,IF(B16&lt;=9,3,IF(B16&lt;=19,4,5))))</x:f>
        <x:v>2</x:v>
      </x:c>
      <x:c r="AR16" s="10" t="n">
        <x:f t="shared" si="26">AN16*(1-Q16)/F16*$AS$3+U16*$AS$4+P16*$AS$5</x:f>
        <x:v>565.7750994818953</x:v>
      </x:c>
      <x:c r="AS16" s="15" t="n">
        <x:f t="shared" si="27">1+AH16*$AS$6+AI16*$AS$7+(AJ16-1)*$AS$8+($H$10*H16+$I$10*I16+$J$10*J16+$K$10*K16+$L$10*L16)*$AU$3*$AS$9+($H$10*H16+$I$10*I16+$J$10*J16+$K$10*K16+$L$10*L16)*$AU$4*$AS$10</x:f>
        <x:v>4.98158</x:v>
      </x:c>
      <x:c r="AT16" s="16" t="n">
        <x:f t="shared" si="28">ROUND(AR16*AS16,0)</x:f>
        <x:v>2818</x:v>
      </x:c>
      <x:c r="AU16" s="16" t="n">
        <x:f t="shared" si="29">ROUND(AT16*F16,0)</x:f>
        <x:v>4932</x:v>
      </x:c>
      <x:c r="AV16" t="n">
        <x:f>IF(AU16&gt;0,ROUND(AU16,-MAX(0,INT(LOG10(AU16))-2)),0)</x:f>
        <x:v>4930</x:v>
      </x:c>
    </x:row>
    <x:row r="17" customHeight="1">
      <x:c r="A17" s="1" t="n">
        <x:f>IFERROR(XLOOKUP(B17,'_曲线基线'!$G$3:$G$107,'_曲线基线'!$J$3:$J$107,""),"")</x:f>
        <x:v>6</x:v>
      </x:c>
      <x:c r="B17" s="1" t="n">
        <x:v>6</x:v>
      </x:c>
      <x:c r="C17" s="1" t="n">
        <x:v>1</x:v>
      </x:c>
      <x:c r="D17" s="1" t="n">
        <x:v>2</x:v>
      </x:c>
      <x:c r="E17" s="1" t="n">
        <x:f t="shared" si="0">IF($B17&lt;E$8,0,E$3+(E$4-E$3)*(POWER(E$5,$B17-E$8)-1)/(POWER(E$5,$C$5-E$8)-1))</x:f>
        <x:v>1</x:v>
      </x:c>
      <x:c r="F17" s="10" t="n">
        <x:f t="shared" si="1">1+IF(B17&lt;3,0,MIN(1,(B17-2)/4))+IF(B17&lt;7,0,MIN(1,(B17-6)/3))+IF(B17&lt;10,0,MIN(1,(B17-9)/5))+IF(B17&lt;20,0,MIN(1,(B17-19)/10))</x:f>
        <x:v>2</x:v>
      </x:c>
      <x:c r="G17" s="11" t="n">
        <x:f t="shared" ref="G17:L17" si="33">'玩家战力_节点'!G17</x:f>
        <x:v>0.0665007798015639</x:v>
      </x:c>
      <x:c r="H17" s="11" t="n">
        <x:f t="shared" si="33">'玩家战力_节点'!H17</x:f>
        <x:v>0</x:v>
      </x:c>
      <x:c r="I17" s="11" t="n">
        <x:f t="shared" si="33">'玩家战力_节点'!I17</x:f>
        <x:v>0</x:v>
      </x:c>
      <x:c r="J17" s="11" t="n">
        <x:f t="shared" si="33">'玩家战力_节点'!J17</x:f>
        <x:v>0</x:v>
      </x:c>
      <x:c r="K17" s="11" t="n">
        <x:f t="shared" si="33">'玩家战力_节点'!K17</x:f>
        <x:v>0</x:v>
      </x:c>
      <x:c r="L17" s="11" t="n">
        <x:f t="shared" si="33">'玩家战力_节点'!L17</x:f>
        <x:v>0</x:v>
      </x:c>
      <x:c r="M17" s="2" t="n">
        <x:f>E17*'模块规划'!$F$10+G17*'模块规划'!$F$11+H17*'模块规划'!$F$13</x:f>
        <x:v>1319.2037430475066</x:v>
      </x:c>
      <x:c r="N17" s="2" t="n">
        <x:f>I17*'模块规划'!$F$15+J17*'模块规划'!$F$17+K17*'模块规划'!$F$16+L17*'模块规划'!$F$18</x:f>
        <x:v>0</x:v>
      </x:c>
      <x:c r="O17" s="2" t="n">
        <x:f t="shared" si="3">1+O$9*SUMPRODUCT($H$10:$L$10,H17:L17)/SUM($H$10:$L$10)</x:f>
        <x:v>1</x:v>
      </x:c>
      <x:c r="P17" s="12" t="n">
        <x:f t="shared" si="4">M17*O17+N17</x:f>
        <x:v>1319.2037430475066</x:v>
      </x:c>
      <x:c r="Q17" s="7" t="n">
        <x:f>P17/(P17+'_曲线基线'!$L$2)</x:f>
        <x:v>0.05210289219343051</x:v>
      </x:c>
      <x:c r="R17" s="2" t="n">
        <x:f>E17*'模块规划'!$E$10+G17*'模块规划'!$E$11+H17*'模块规划'!$E$13</x:f>
        <x:v>1978.80561457126</x:v>
      </x:c>
      <x:c r="S17" s="2" t="n">
        <x:f>I17*'模块规划'!$E$15+J17*'模块规划'!$E$17+K17*'模块规划'!$E$16+L17*'模块规划'!$E$18</x:f>
        <x:v>0</x:v>
      </x:c>
      <x:c r="T17" s="2" t="n">
        <x:f t="shared" si="5">1+T$9*SUMPRODUCT($H$10:$L$10,H17:L17)/SUM($H$10:$L$10)</x:f>
        <x:v>1</x:v>
      </x:c>
      <x:c r="U17" s="12" t="n">
        <x:f t="shared" si="6">R17*T17+S17</x:f>
        <x:v>1978.80561457126</x:v>
      </x:c>
      <x:c r="V17" s="2" t="n">
        <x:f t="shared" si="7">V$8+(V$9-V$8)*H17</x:f>
        <x:v>0.7</x:v>
      </x:c>
      <x:c r="W17" s="2" t="n">
        <x:f t="shared" si="8">IF(B17&lt;$H$8,0,W$8+(W$9-W$8)*H17)</x:f>
        <x:v>0</x:v>
      </x:c>
      <x:c r="X17" s="2" t="n">
        <x:f t="shared" si="9">X$8+(X$9-X$8)*H17</x:f>
        <x:v>0.275</x:v>
      </x:c>
      <x:c r="Y17" s="2" t="n">
        <x:f t="shared" si="10">Y$8+(Y$9-Y$8)*G17</x:f>
        <x:v>1</x:v>
      </x:c>
      <x:c r="Z17" s="2" t="n">
        <x:f t="shared" si="11">Z$8+(Z$9-Z$8)*H17</x:f>
        <x:v>1</x:v>
      </x:c>
      <x:c r="AA17" s="2" t="n">
        <x:f t="shared" si="12">AA$8+(AA$9-AA$8)*I17</x:f>
        <x:v>1</x:v>
      </x:c>
      <x:c r="AB17" s="2" t="n">
        <x:f t="shared" si="13">AB$8+(AB$9-AB$8)*J17</x:f>
        <x:v>1</x:v>
      </x:c>
      <x:c r="AC17" s="2" t="n">
        <x:f t="shared" si="14">AC$8+(AC$9-AC$8)*MAX(K17,L17)</x:f>
        <x:v>1</x:v>
      </x:c>
      <x:c r="AD17" s="1" t="n">
        <x:f t="shared" si="15">(V17*AE17+W17*AF17+X17*AG17)*PRODUCT(Y17:AC17)</x:f>
        <x:v>0.975</x:v>
      </x:c>
      <x:c r="AE17" s="2" t="n">
        <x:f t="shared" si="16">1+AE$9*($H$10*H17+$I$10*I17+$J$10*J17+$K$10*K17+$L$10*L17)</x:f>
        <x:v>1</x:v>
      </x:c>
      <x:c r="AF17" s="2" t="n">
        <x:f t="shared" si="17">1+AF$9*($H$10*H17+$I$10*I17+$J$10*J17+$K$10*K17+$L$10*L17)</x:f>
        <x:v>1</x:v>
      </x:c>
      <x:c r="AG17" s="2" t="n">
        <x:f t="shared" si="18">1+AG$9*($H$10*H17+$I$10*I17+$J$10*J17+$K$10*K17+$L$10*L17)</x:f>
        <x:v>1</x:v>
      </x:c>
      <x:c r="AH17" s="2" t="n">
        <x:f>MIN(1,'_曲线基线'!$L$3+AH$9*($H$10*H17+$I$10*I17+$J$10*J17+$K$10*K17+$L$10*L17))</x:f>
        <x:v>0.05</x:v>
      </x:c>
      <x:c r="AI17" s="2" t="n">
        <x:f>'_曲线基线'!$L$4+AI$9*($H$10*H17+$I$10*I17+$J$10*J17+$K$10*K17+$L$10*L17)</x:f>
        <x:v>2</x:v>
      </x:c>
      <x:c r="AJ17" s="2" t="n">
        <x:f t="shared" si="19">1+AJ$9*($H$10*H17+$I$10*I17+$J$10*J17+$K$10*K17+$L$10*L17)</x:f>
        <x:v>1</x:v>
      </x:c>
      <x:c r="AK17" s="1" t="n">
        <x:f t="shared" si="20">(1+AH17*(AI17-1))*AJ17</x:f>
        <x:v>1.05</x:v>
      </x:c>
      <x:c r="AL17" s="1" t="n">
        <x:f t="shared" si="21">U17*AD17*AK17*F17</x:f>
        <x:v>4051.604495834655</x:v>
      </x:c>
      <x:c r="AM17" s="13" t="n">
        <x:f t="shared" si="22">IF($B17&lt;AM$8,0,AM$3+(AM$4-AM$3)*(POWER(AM$5,$B17-AM$8)-1)/(POWER(AM$5,$C$5-AM$8)-1))</x:f>
        <x:v>35.0684791554989</x:v>
      </x:c>
      <x:c r="AN17" s="13" t="n">
        <x:f>(((E17*'模块规划'!$D$10+G17*'模块规划'!$D$11+H17*'模块规划'!$D$13)*(1+'模块规划'!$G$14*H17)+(I17*'模块规划'!$D$15+J17*'模块规划'!$D$17+K17*'模块规划'!$D$16+L17*'模块规划'!$D$18))*(1+'模块规划'!$J$17*J17))*F17/(1-Q17)</x:f>
        <x:v>13917.161812004464</x:v>
      </x:c>
      <x:c r="AO17" s="1" t="n">
        <x:f t="shared" si="23">AL17*AM17</x:f>
        <x:v>142083.60780850323</x:v>
      </x:c>
      <x:c r="AP17" s="1" t="n">
        <x:f>IF(AO17="","",INDEX('_曲线基线'!$A$3:$A$502,MIN(ROWS('_曲线基线'!$A$3:$A$502),COUNTIF('_曲线基线'!$E$3:$E$502,"&lt;"&amp;AO17)+1)))</x:f>
        <x:v>12</x:v>
      </x:c>
      <x:c r="AQ17" s="14" t="n">
        <x:f t="shared" si="24">IF(B17&lt;=2,1,IF(B17&lt;=6,2,IF(B17&lt;=9,3,IF(B17&lt;=19,4,5))))</x:f>
        <x:v>2</x:v>
      </x:c>
      <x:c r="AR17" s="10" t="n">
        <x:f t="shared" si="26">AN17*(1-Q17)/F17*$AS$3+U17*$AS$4+P17*$AS$5</x:f>
        <x:v>593.641684371378</x:v>
      </x:c>
      <x:c r="AS17" s="15" t="n">
        <x:f t="shared" si="27">1+AH17*$AS$6+AI17*$AS$7+(AJ17-1)*$AS$8+($H$10*H17+$I$10*I17+$J$10*J17+$K$10*K17+$L$10*L17)*$AU$3*$AS$9+($H$10*H17+$I$10*I17+$J$10*J17+$K$10*K17+$L$10*L17)*$AU$4*$AS$10</x:f>
        <x:v>4.98158</x:v>
      </x:c>
      <x:c r="AT17" s="16" t="n">
        <x:f t="shared" si="28">ROUND(AR17*AS17,0)</x:f>
        <x:v>2957</x:v>
      </x:c>
      <x:c r="AU17" s="16" t="n">
        <x:f t="shared" si="29">ROUND(AT17*F17,0)</x:f>
        <x:v>5914</x:v>
      </x:c>
      <x:c r="AV17" t="n">
        <x:f>IF(AU17&gt;0,ROUND(AU17,-MAX(0,INT(LOG10(AU17))-2)),0)</x:f>
        <x:v>5910</x:v>
      </x:c>
    </x:row>
    <x:row r="18" customHeight="1">
      <x:c r="A18" s="1" t="n">
        <x:f>IFERROR(XLOOKUP(B18,'_曲线基线'!$G$3:$G$107,'_曲线基线'!$J$3:$J$107,""),"")</x:f>
        <x:v>6</x:v>
      </x:c>
      <x:c r="B18" s="1" t="n">
        <x:v>7</x:v>
      </x:c>
      <x:c r="C18" s="1" t="n">
        <x:v>1</x:v>
      </x:c>
      <x:c r="D18" s="1" t="n">
        <x:v>3</x:v>
      </x:c>
      <x:c r="E18" s="1" t="n">
        <x:f t="shared" si="0">IF($B18&lt;E$8,0,E$3+(E$4-E$3)*(POWER(E$5,$B18-E$8)-1)/(POWER(E$5,$C$5-E$8)-1))</x:f>
        <x:v>1</x:v>
      </x:c>
      <x:c r="F18" s="10" t="n">
        <x:f t="shared" si="1">1+IF(B18&lt;3,0,MIN(1,(B18-2)/4))+IF(B18&lt;7,0,MIN(1,(B18-6)/3))+IF(B18&lt;10,0,MIN(1,(B18-9)/5))+IF(B18&lt;20,0,MIN(1,(B18-19)/10))</x:f>
        <x:v>2.3333333333333335</x:v>
      </x:c>
      <x:c r="G18" s="11" t="n">
        <x:f t="shared" ref="G18:L18" si="34">'玩家战力_节点'!G18</x:f>
        <x:v>0.0792084585590362</x:v>
      </x:c>
      <x:c r="H18" s="11" t="n">
        <x:f t="shared" si="34">'玩家战力_节点'!H18</x:f>
        <x:v>0</x:v>
      </x:c>
      <x:c r="I18" s="11" t="n">
        <x:f t="shared" si="34">'玩家战力_节点'!I18</x:f>
        <x:v>0</x:v>
      </x:c>
      <x:c r="J18" s="11" t="n">
        <x:f t="shared" si="34">'玩家战力_节点'!J18</x:f>
        <x:v>0</x:v>
      </x:c>
      <x:c r="K18" s="11" t="n">
        <x:f t="shared" si="34">'玩家战力_节点'!K18</x:f>
        <x:v>0</x:v>
      </x:c>
      <x:c r="L18" s="11" t="n">
        <x:f t="shared" si="34">'玩家战力_节点'!L18</x:f>
        <x:v>0</x:v>
      </x:c>
      <x:c r="M18" s="2" t="n">
        <x:f>E18*'模块规划'!$F$10+G18*'模块规划'!$F$11+H18*'模块规划'!$F$13</x:f>
        <x:v>1380.2006010833738</x:v>
      </x:c>
      <x:c r="N18" s="2" t="n">
        <x:f>I18*'模块规划'!$F$15+J18*'模块规划'!$F$17+K18*'模块规划'!$F$16+L18*'模块规划'!$F$18</x:f>
        <x:v>0</x:v>
      </x:c>
      <x:c r="O18" s="2" t="n">
        <x:f t="shared" si="3">1+O$9*SUMPRODUCT($H$10:$L$10,H18:L18)/SUM($H$10:$L$10)</x:f>
        <x:v>1</x:v>
      </x:c>
      <x:c r="P18" s="12" t="n">
        <x:f t="shared" si="4">M18*O18+N18</x:f>
        <x:v>1380.2006010833738</x:v>
      </x:c>
      <x:c r="Q18" s="7" t="n">
        <x:f>P18/(P18+'_曲线基线'!$L$2)</x:f>
        <x:v>0.05438099654044732</x:v>
      </x:c>
      <x:c r="R18" s="2" t="n">
        <x:f>E18*'模块规划'!$E$10+G18*'模块规划'!$E$11+H18*'模块规划'!$E$13</x:f>
        <x:v>2070.3009016250608</x:v>
      </x:c>
      <x:c r="S18" s="2" t="n">
        <x:f>I18*'模块规划'!$E$15+J18*'模块规划'!$E$17+K18*'模块规划'!$E$16+L18*'模块规划'!$E$18</x:f>
        <x:v>0</x:v>
      </x:c>
      <x:c r="T18" s="2" t="n">
        <x:f t="shared" si="5">1+T$9*SUMPRODUCT($H$10:$L$10,H18:L18)/SUM($H$10:$L$10)</x:f>
        <x:v>1</x:v>
      </x:c>
      <x:c r="U18" s="12" t="n">
        <x:f t="shared" si="6">R18*T18+S18</x:f>
        <x:v>2070.3009016250608</x:v>
      </x:c>
      <x:c r="V18" s="2" t="n">
        <x:f t="shared" si="7">V$8+(V$9-V$8)*H18</x:f>
        <x:v>0.7</x:v>
      </x:c>
      <x:c r="W18" s="2" t="n">
        <x:f t="shared" si="8">IF(B18&lt;$H$8,0,W$8+(W$9-W$8)*H18)</x:f>
        <x:v>0</x:v>
      </x:c>
      <x:c r="X18" s="2" t="n">
        <x:f t="shared" si="9">X$8+(X$9-X$8)*H18</x:f>
        <x:v>0.275</x:v>
      </x:c>
      <x:c r="Y18" s="2" t="n">
        <x:f t="shared" si="10">Y$8+(Y$9-Y$8)*G18</x:f>
        <x:v>1</x:v>
      </x:c>
      <x:c r="Z18" s="2" t="n">
        <x:f t="shared" si="11">Z$8+(Z$9-Z$8)*H18</x:f>
        <x:v>1</x:v>
      </x:c>
      <x:c r="AA18" s="2" t="n">
        <x:f t="shared" si="12">AA$8+(AA$9-AA$8)*I18</x:f>
        <x:v>1</x:v>
      </x:c>
      <x:c r="AB18" s="2" t="n">
        <x:f t="shared" si="13">AB$8+(AB$9-AB$8)*J18</x:f>
        <x:v>1</x:v>
      </x:c>
      <x:c r="AC18" s="2" t="n">
        <x:f t="shared" si="14">AC$8+(AC$9-AC$8)*MAX(K18,L18)</x:f>
        <x:v>1</x:v>
      </x:c>
      <x:c r="AD18" s="1" t="n">
        <x:f t="shared" si="15">(V18*AE18+W18*AF18+X18*AG18)*PRODUCT(Y18:AC18)</x:f>
        <x:v>0.975</x:v>
      </x:c>
      <x:c r="AE18" s="2" t="n">
        <x:f t="shared" si="16">1+AE$9*($H$10*H18+$I$10*I18+$J$10*J18+$K$10*K18+$L$10*L18)</x:f>
        <x:v>1</x:v>
      </x:c>
      <x:c r="AF18" s="2" t="n">
        <x:f t="shared" si="17">1+AF$9*($H$10*H18+$I$10*I18+$J$10*J18+$K$10*K18+$L$10*L18)</x:f>
        <x:v>1</x:v>
      </x:c>
      <x:c r="AG18" s="2" t="n">
        <x:f t="shared" si="18">1+AG$9*($H$10*H18+$I$10*I18+$J$10*J18+$K$10*K18+$L$10*L18)</x:f>
        <x:v>1</x:v>
      </x:c>
      <x:c r="AH18" s="2" t="n">
        <x:f>MIN(1,'_曲线基线'!$L$3+AH$9*($H$10*H18+$I$10*I18+$J$10*J18+$K$10*K18+$L$10*L18))</x:f>
        <x:v>0.05</x:v>
      </x:c>
      <x:c r="AI18" s="2" t="n">
        <x:f>'_曲线基线'!$L$4+AI$9*($H$10*H18+$I$10*I18+$J$10*J18+$K$10*K18+$L$10*L18)</x:f>
        <x:v>2</x:v>
      </x:c>
      <x:c r="AJ18" s="2" t="n">
        <x:f t="shared" si="19">1+AJ$9*($H$10*H18+$I$10*I18+$J$10*J18+$K$10*K18+$L$10*L18)</x:f>
        <x:v>1</x:v>
      </x:c>
      <x:c r="AK18" s="1" t="n">
        <x:f t="shared" si="20">(1+AH18*(AI18-1))*AJ18</x:f>
        <x:v>1.05</x:v>
      </x:c>
      <x:c r="AL18" s="1" t="n">
        <x:f t="shared" si="21">U18*AD18*AK18*F18</x:f>
        <x:v>4945.431278756864</x:v>
      </x:c>
      <x:c r="AM18" s="13" t="n">
        <x:f t="shared" si="22">IF($B18&lt;AM$8,0,AM$3+(AM$4-AM$3)*(POWER(AM$5,$B18-AM$8)-1)/(POWER(AM$5,$C$5-AM$8)-1))</x:f>
        <x:v>35.08258858697575</x:v>
      </x:c>
      <x:c r="AN18" s="13" t="n">
        <x:f>(((E18*'模块规划'!$D$10+G18*'模块规划'!$D$11+H18*'模块规划'!$D$13)*(1+'模块规划'!$G$14*H18)+(I18*'模块规划'!$D$15+J18*'模块规划'!$D$17+K18*'模块规划'!$D$16+L18*'模块规划'!$D$18))*(1+'模块规划'!$J$17*J18))*F18/(1-Q18)</x:f>
        <x:v>17028.359505321056</x:v>
      </x:c>
      <x:c r="AO18" s="1" t="n">
        <x:f t="shared" si="23">AL18*AM18</x:f>
        <x:v>173498.53093778846</x:v>
      </x:c>
      <x:c r="AP18" s="1" t="n">
        <x:f>IF(AO18="","",INDEX('_曲线基线'!$A$3:$A$502,MIN(ROWS('_曲线基线'!$A$3:$A$502),COUNTIF('_曲线基线'!$E$3:$E$502,"&lt;"&amp;AO18)+1)))</x:f>
        <x:v>14</x:v>
      </x:c>
      <x:c r="AQ18" s="14" t="n">
        <x:f t="shared" si="24">IF(B18&lt;=2,1,IF(B18&lt;=6,2,IF(B18&lt;=9,3,IF(B18&lt;=19,4,5))))</x:f>
        <x:v>3</x:v>
      </x:c>
      <x:c r="AR18" s="10" t="n">
        <x:f t="shared" si="26">AN18*(1-Q18)/F18*$AS$3+U18*$AS$4+P18*$AS$5</x:f>
        <x:v>621.0902704875183</x:v>
      </x:c>
      <x:c r="AS18" s="15" t="n">
        <x:f t="shared" si="27">1+AH18*$AS$6+AI18*$AS$7+(AJ18-1)*$AS$8+($H$10*H18+$I$10*I18+$J$10*J18+$K$10*K18+$L$10*L18)*$AU$3*$AS$9+($H$10*H18+$I$10*I18+$J$10*J18+$K$10*K18+$L$10*L18)*$AU$4*$AS$10</x:f>
        <x:v>4.98158</x:v>
      </x:c>
      <x:c r="AT18" s="16" t="n">
        <x:f t="shared" si="28">ROUND(AR18*AS18,0)</x:f>
        <x:v>3094</x:v>
      </x:c>
      <x:c r="AU18" s="16" t="n">
        <x:f t="shared" si="29">ROUND(AT18*F18,0)</x:f>
        <x:v>7219</x:v>
      </x:c>
      <x:c r="AV18" t="n">
        <x:f>IF(AU18&gt;0,ROUND(AU18,-MAX(0,INT(LOG10(AU18))-2)),0)</x:f>
        <x:v>7220</x:v>
      </x:c>
    </x:row>
    <x:row r="19" customHeight="1">
      <x:c r="A19" s="1" t="n">
        <x:f>IFERROR(XLOOKUP(B19,'_曲线基线'!$G$3:$G$107,'_曲线基线'!$J$3:$J$107,""),"")</x:f>
        <x:v>7</x:v>
      </x:c>
      <x:c r="B19" s="1" t="n">
        <x:v>8</x:v>
      </x:c>
      <x:c r="C19" s="1" t="n">
        <x:v>1</x:v>
      </x:c>
      <x:c r="D19" s="1" t="n">
        <x:v>4</x:v>
      </x:c>
      <x:c r="E19" s="1" t="n">
        <x:f t="shared" si="0">IF($B19&lt;E$8,0,E$3+(E$4-E$3)*(POWER(E$5,$B19-E$8)-1)/(POWER(E$5,$C$5-E$8)-1))</x:f>
        <x:v>1</x:v>
      </x:c>
      <x:c r="F19" s="10" t="n">
        <x:f t="shared" si="1">1+IF(B19&lt;3,0,MIN(1,(B19-2)/4))+IF(B19&lt;7,0,MIN(1,(B19-6)/3))+IF(B19&lt;10,0,MIN(1,(B19-9)/5))+IF(B19&lt;20,0,MIN(1,(B19-19)/10))</x:f>
        <x:v>2.6666666666666665</x:v>
      </x:c>
      <x:c r="G19" s="11" t="n">
        <x:f t="shared" ref="G19:L19" si="35">'玩家战力_节点'!G19</x:f>
        <x:v>0.0916316441583256</x:v>
      </x:c>
      <x:c r="H19" s="11" t="n">
        <x:f t="shared" si="35">'玩家战力_节点'!H19</x:f>
        <x:v>0</x:v>
      </x:c>
      <x:c r="I19" s="11" t="n">
        <x:f t="shared" si="35">'玩家战力_节点'!I19</x:f>
        <x:v>0</x:v>
      </x:c>
      <x:c r="J19" s="11" t="n">
        <x:f t="shared" si="35">'玩家战力_节点'!J19</x:f>
        <x:v>0</x:v>
      </x:c>
      <x:c r="K19" s="11" t="n">
        <x:f t="shared" si="35">'玩家战力_节点'!K19</x:f>
        <x:v>0</x:v>
      </x:c>
      <x:c r="L19" s="11" t="n">
        <x:f t="shared" si="35">'玩家战力_节点'!L19</x:f>
        <x:v>0</x:v>
      </x:c>
      <x:c r="M19" s="2" t="n">
        <x:f>E19*'模块规划'!$F$10+G19*'模块规划'!$F$11+H19*'模块规划'!$F$13</x:f>
        <x:v>1439.8318919599628</x:v>
      </x:c>
      <x:c r="N19" s="2" t="n">
        <x:f>I19*'模块规划'!$F$15+J19*'模块规划'!$F$17+K19*'模块规划'!$F$16+L19*'模块规划'!$F$18</x:f>
        <x:v>0</x:v>
      </x:c>
      <x:c r="O19" s="2" t="n">
        <x:f t="shared" si="3">1+O$9*SUMPRODUCT($H$10:$L$10,H19:L19)/SUM($H$10:$L$10)</x:f>
        <x:v>1</x:v>
      </x:c>
      <x:c r="P19" s="12" t="n">
        <x:f t="shared" si="4">M19*O19+N19</x:f>
        <x:v>1439.8318919599628</x:v>
      </x:c>
      <x:c r="Q19" s="7" t="n">
        <x:f>P19/(P19+'_曲线基线'!$L$2)</x:f>
        <x:v>0.056597539562162326</x:v>
      </x:c>
      <x:c r="R19" s="2" t="n">
        <x:f>E19*'模块规划'!$E$10+G19*'模块规划'!$E$11+H19*'模块规划'!$E$13</x:f>
        <x:v>2159.7478379399445</x:v>
      </x:c>
      <x:c r="S19" s="2" t="n">
        <x:f>I19*'模块规划'!$E$15+J19*'模块规划'!$E$17+K19*'模块规划'!$E$16+L19*'模块规划'!$E$18</x:f>
        <x:v>0</x:v>
      </x:c>
      <x:c r="T19" s="2" t="n">
        <x:f t="shared" si="5">1+T$9*SUMPRODUCT($H$10:$L$10,H19:L19)/SUM($H$10:$L$10)</x:f>
        <x:v>1</x:v>
      </x:c>
      <x:c r="U19" s="12" t="n">
        <x:f t="shared" si="6">R19*T19+S19</x:f>
        <x:v>2159.7478379399445</x:v>
      </x:c>
      <x:c r="V19" s="2" t="n">
        <x:f t="shared" si="7">V$8+(V$9-V$8)*H19</x:f>
        <x:v>0.7</x:v>
      </x:c>
      <x:c r="W19" s="2" t="n">
        <x:f t="shared" si="8">IF(B19&lt;$H$8,0,W$8+(W$9-W$8)*H19)</x:f>
        <x:v>0</x:v>
      </x:c>
      <x:c r="X19" s="2" t="n">
        <x:f t="shared" si="9">X$8+(X$9-X$8)*H19</x:f>
        <x:v>0.275</x:v>
      </x:c>
      <x:c r="Y19" s="2" t="n">
        <x:f t="shared" si="10">Y$8+(Y$9-Y$8)*G19</x:f>
        <x:v>1</x:v>
      </x:c>
      <x:c r="Z19" s="2" t="n">
        <x:f t="shared" si="11">Z$8+(Z$9-Z$8)*H19</x:f>
        <x:v>1</x:v>
      </x:c>
      <x:c r="AA19" s="2" t="n">
        <x:f t="shared" si="12">AA$8+(AA$9-AA$8)*I19</x:f>
        <x:v>1</x:v>
      </x:c>
      <x:c r="AB19" s="2" t="n">
        <x:f t="shared" si="13">AB$8+(AB$9-AB$8)*J19</x:f>
        <x:v>1</x:v>
      </x:c>
      <x:c r="AC19" s="2" t="n">
        <x:f t="shared" si="14">AC$8+(AC$9-AC$8)*MAX(K19,L19)</x:f>
        <x:v>1</x:v>
      </x:c>
      <x:c r="AD19" s="1" t="n">
        <x:f t="shared" si="15">(V19*AE19+W19*AF19+X19*AG19)*PRODUCT(Y19:AC19)</x:f>
        <x:v>0.975</x:v>
      </x:c>
      <x:c r="AE19" s="2" t="n">
        <x:f t="shared" si="16">1+AE$9*($H$10*H19+$I$10*I19+$J$10*J19+$K$10*K19+$L$10*L19)</x:f>
        <x:v>1</x:v>
      </x:c>
      <x:c r="AF19" s="2" t="n">
        <x:f t="shared" si="17">1+AF$9*($H$10*H19+$I$10*I19+$J$10*J19+$K$10*K19+$L$10*L19)</x:f>
        <x:v>1</x:v>
      </x:c>
      <x:c r="AG19" s="2" t="n">
        <x:f t="shared" si="18">1+AG$9*($H$10*H19+$I$10*I19+$J$10*J19+$K$10*K19+$L$10*L19)</x:f>
        <x:v>1</x:v>
      </x:c>
      <x:c r="AH19" s="2" t="n">
        <x:f>MIN(1,'_曲线基线'!$L$3+AH$9*($H$10*H19+$I$10*I19+$J$10*J19+$K$10*K19+$L$10*L19))</x:f>
        <x:v>0.05</x:v>
      </x:c>
      <x:c r="AI19" s="2" t="n">
        <x:f>'_曲线基线'!$L$4+AI$9*($H$10*H19+$I$10*I19+$J$10*J19+$K$10*K19+$L$10*L19)</x:f>
        <x:v>2</x:v>
      </x:c>
      <x:c r="AJ19" s="2" t="n">
        <x:f t="shared" si="19">1+AJ$9*($H$10*H19+$I$10*I19+$J$10*J19+$K$10*K19+$L$10*L19)</x:f>
        <x:v>1</x:v>
      </x:c>
      <x:c r="AK19" s="1" t="n">
        <x:f t="shared" si="20">(1+AH19*(AI19-1))*AJ19</x:f>
        <x:v>1.05</x:v>
      </x:c>
      <x:c r="AL19" s="1" t="n">
        <x:f t="shared" si="21">U19*AD19*AK19*F19</x:f>
        <x:v>5896.111597576049</x:v>
      </x:c>
      <x:c r="AM19" s="13" t="n">
        <x:f t="shared" si="22">IF($B19&lt;AM$8,0,AM$3+(AM$4-AM$3)*(POWER(AM$5,$B19-AM$8)-1)/(POWER(AM$5,$C$5-AM$8)-1))</x:f>
        <x:v>35.096839112767384</x:v>
      </x:c>
      <x:c r="AN19" s="13" t="n">
        <x:f>(((E19*'模块规划'!$D$10+G19*'模块规划'!$D$11+H19*'模块规划'!$D$13)*(1+'模块规划'!$G$14*H19)+(I19*'模块规划'!$D$15+J19*'模块规划'!$D$17+K19*'模块规划'!$D$16+L19*'模块规划'!$D$18))*(1+'模块规划'!$J$17*J19))*F19/(1-Q19)</x:f>
        <x:v>20349.489602302285</x:v>
      </x:c>
      <x:c r="AO19" s="1" t="n">
        <x:f t="shared" si="23">AL19*AM19</x:f>
        <x:v>206934.88013104844</x:v>
      </x:c>
      <x:c r="AP19" s="1" t="n">
        <x:f>IF(AO19="","",INDEX('_曲线基线'!$A$3:$A$502,MIN(ROWS('_曲线基线'!$A$3:$A$502),COUNTIF('_曲线基线'!$E$3:$E$502,"&lt;"&amp;AO19)+1)))</x:f>
        <x:v>17</x:v>
      </x:c>
      <x:c r="AQ19" s="14" t="n">
        <x:f t="shared" si="24">IF(B19&lt;=2,1,IF(B19&lt;=6,2,IF(B19&lt;=9,3,IF(B19&lt;=19,4,5))))</x:f>
        <x:v>3</x:v>
      </x:c>
      <x:c r="AR19" s="10" t="n">
        <x:f t="shared" si="26">AN19*(1-Q19)/F19*$AS$3+U19*$AS$4+P19*$AS$5</x:f>
        <x:v>647.9243513819833</x:v>
      </x:c>
      <x:c r="AS19" s="15" t="n">
        <x:f t="shared" si="27">1+AH19*$AS$6+AI19*$AS$7+(AJ19-1)*$AS$8+($H$10*H19+$I$10*I19+$J$10*J19+$K$10*K19+$L$10*L19)*$AU$3*$AS$9+($H$10*H19+$I$10*I19+$J$10*J19+$K$10*K19+$L$10*L19)*$AU$4*$AS$10</x:f>
        <x:v>4.98158</x:v>
      </x:c>
      <x:c r="AT19" s="16" t="n">
        <x:f t="shared" si="28">ROUND(AR19*AS19,0)</x:f>
        <x:v>3228</x:v>
      </x:c>
      <x:c r="AU19" s="16" t="n">
        <x:f t="shared" si="29">ROUND(AT19*F19,0)</x:f>
        <x:v>8608</x:v>
      </x:c>
      <x:c r="AV19" t="n">
        <x:f>IF(AU19&gt;0,ROUND(AU19,-MAX(0,INT(LOG10(AU19))-2)),0)</x:f>
        <x:v>8610</x:v>
      </x:c>
    </x:row>
    <x:row r="20" customHeight="1">
      <x:c r="A20" s="1" t="n">
        <x:f>IFERROR(XLOOKUP(B20,'_曲线基线'!$G$3:$G$107,'_曲线基线'!$J$3:$J$107,""),"")</x:f>
        <x:v>8</x:v>
      </x:c>
      <x:c r="B20" s="1" t="n">
        <x:v>9</x:v>
      </x:c>
      <x:c r="C20" s="1" t="n">
        <x:v>1</x:v>
      </x:c>
      <x:c r="D20" s="1" t="n">
        <x:v>5</x:v>
      </x:c>
      <x:c r="E20" s="1" t="n">
        <x:f t="shared" si="0">IF($B20&lt;E$8,0,E$3+(E$4-E$3)*(POWER(E$5,$B20-E$8)-1)/(POWER(E$5,$C$5-E$8)-1))</x:f>
        <x:v>1</x:v>
      </x:c>
      <x:c r="F20" s="10" t="n">
        <x:f t="shared" si="1">1+IF(B20&lt;3,0,MIN(1,(B20-2)/4))+IF(B20&lt;7,0,MIN(1,(B20-6)/3))+IF(B20&lt;10,0,MIN(1,(B20-9)/5))+IF(B20&lt;20,0,MIN(1,(B20-19)/10))</x:f>
        <x:v>3</x:v>
      </x:c>
      <x:c r="G20" s="11" t="n">
        <x:f t="shared" ref="G20:L20" si="36">'玩家战力_节点'!G20</x:f>
        <x:v>0.104054829757615</x:v>
      </x:c>
      <x:c r="H20" s="11" t="n">
        <x:f t="shared" si="36">'玩家战力_节点'!H20</x:f>
        <x:v>0</x:v>
      </x:c>
      <x:c r="I20" s="11" t="n">
        <x:f t="shared" si="36">'玩家战力_节点'!I20</x:f>
        <x:v>0</x:v>
      </x:c>
      <x:c r="J20" s="11" t="n">
        <x:f t="shared" si="36">'玩家战力_节点'!J20</x:f>
        <x:v>0</x:v>
      </x:c>
      <x:c r="K20" s="11" t="n">
        <x:f t="shared" si="36">'玩家战力_节点'!K20</x:f>
        <x:v>0</x:v>
      </x:c>
      <x:c r="L20" s="11" t="n">
        <x:f t="shared" si="36">'玩家战力_节点'!L20</x:f>
        <x:v>0</x:v>
      </x:c>
      <x:c r="M20" s="2" t="n">
        <x:f>E20*'模块规划'!$F$10+G20*'模块规划'!$F$11+H20*'模块规划'!$F$13</x:f>
        <x:v>1499.463182836552</x:v>
      </x:c>
      <x:c r="N20" s="2" t="n">
        <x:f>I20*'模块规划'!$F$15+J20*'模块规划'!$F$17+K20*'模块规划'!$F$16+L20*'模块规划'!$F$18</x:f>
        <x:v>0</x:v>
      </x:c>
      <x:c r="O20" s="2" t="n">
        <x:f t="shared" si="3">1+O$9*SUMPRODUCT($H$10:$L$10,H20:L20)/SUM($H$10:$L$10)</x:f>
        <x:v>1</x:v>
      </x:c>
      <x:c r="P20" s="12" t="n">
        <x:f t="shared" si="4">M20*O20+N20</x:f>
        <x:v>1499.463182836552</x:v>
      </x:c>
      <x:c r="Q20" s="7" t="n">
        <x:f>P20/(P20+'_曲线基线'!$L$2)</x:f>
        <x:v>0.05880371567374119</x:v>
      </x:c>
      <x:c r="R20" s="2" t="n">
        <x:f>E20*'模块规划'!$E$10+G20*'模块规划'!$E$11+H20*'模块规划'!$E$13</x:f>
        <x:v>2249.194774254828</x:v>
      </x:c>
      <x:c r="S20" s="2" t="n">
        <x:f>I20*'模块规划'!$E$15+J20*'模块规划'!$E$17+K20*'模块规划'!$E$16+L20*'模块规划'!$E$18</x:f>
        <x:v>0</x:v>
      </x:c>
      <x:c r="T20" s="2" t="n">
        <x:f t="shared" si="5">1+T$9*SUMPRODUCT($H$10:$L$10,H20:L20)/SUM($H$10:$L$10)</x:f>
        <x:v>1</x:v>
      </x:c>
      <x:c r="U20" s="12" t="n">
        <x:f t="shared" si="6">R20*T20+S20</x:f>
        <x:v>2249.194774254828</x:v>
      </x:c>
      <x:c r="V20" s="2" t="n">
        <x:f t="shared" si="7">V$8+(V$9-V$8)*H20</x:f>
        <x:v>0.7</x:v>
      </x:c>
      <x:c r="W20" s="2" t="n">
        <x:f t="shared" si="8">IF(B20&lt;$H$8,0,W$8+(W$9-W$8)*H20)</x:f>
        <x:v>0</x:v>
      </x:c>
      <x:c r="X20" s="2" t="n">
        <x:f t="shared" si="9">X$8+(X$9-X$8)*H20</x:f>
        <x:v>0.275</x:v>
      </x:c>
      <x:c r="Y20" s="2" t="n">
        <x:f t="shared" si="10">Y$8+(Y$9-Y$8)*G20</x:f>
        <x:v>1</x:v>
      </x:c>
      <x:c r="Z20" s="2" t="n">
        <x:f t="shared" si="11">Z$8+(Z$9-Z$8)*H20</x:f>
        <x:v>1</x:v>
      </x:c>
      <x:c r="AA20" s="2" t="n">
        <x:f t="shared" si="12">AA$8+(AA$9-AA$8)*I20</x:f>
        <x:v>1</x:v>
      </x:c>
      <x:c r="AB20" s="2" t="n">
        <x:f t="shared" si="13">AB$8+(AB$9-AB$8)*J20</x:f>
        <x:v>1</x:v>
      </x:c>
      <x:c r="AC20" s="2" t="n">
        <x:f t="shared" si="14">AC$8+(AC$9-AC$8)*MAX(K20,L20)</x:f>
        <x:v>1</x:v>
      </x:c>
      <x:c r="AD20" s="1" t="n">
        <x:f t="shared" si="15">(V20*AE20+W20*AF20+X20*AG20)*PRODUCT(Y20:AC20)</x:f>
        <x:v>0.975</x:v>
      </x:c>
      <x:c r="AE20" s="2" t="n">
        <x:f t="shared" si="16">1+AE$9*($H$10*H20+$I$10*I20+$J$10*J20+$K$10*K20+$L$10*L20)</x:f>
        <x:v>1</x:v>
      </x:c>
      <x:c r="AF20" s="2" t="n">
        <x:f t="shared" si="17">1+AF$9*($H$10*H20+$I$10*I20+$J$10*J20+$K$10*K20+$L$10*L20)</x:f>
        <x:v>1</x:v>
      </x:c>
      <x:c r="AG20" s="2" t="n">
        <x:f t="shared" si="18">1+AG$9*($H$10*H20+$I$10*I20+$J$10*J20+$K$10*K20+$L$10*L20)</x:f>
        <x:v>1</x:v>
      </x:c>
      <x:c r="AH20" s="2" t="n">
        <x:f>MIN(1,'_曲线基线'!$L$3+AH$9*($H$10*H20+$I$10*I20+$J$10*J20+$K$10*K20+$L$10*L20))</x:f>
        <x:v>0.05</x:v>
      </x:c>
      <x:c r="AI20" s="2" t="n">
        <x:f>'_曲线基线'!$L$4+AI$9*($H$10*H20+$I$10*I20+$J$10*J20+$K$10*K20+$L$10*L20)</x:f>
        <x:v>2</x:v>
      </x:c>
      <x:c r="AJ20" s="2" t="n">
        <x:f t="shared" si="19">1+AJ$9*($H$10*H20+$I$10*I20+$J$10*J20+$K$10*K20+$L$10*L20)</x:f>
        <x:v>1</x:v>
      </x:c>
      <x:c r="AK20" s="1" t="n">
        <x:f t="shared" si="20">(1+AH20*(AI20-1))*AJ20</x:f>
        <x:v>1.05</x:v>
      </x:c>
      <x:c r="AL20" s="1" t="n">
        <x:f t="shared" si="21">U20*AD20*AK20*F20</x:f>
        <x:v>6907.839450430141</x:v>
      </x:c>
      <x:c r="AM20" s="13" t="n">
        <x:f t="shared" si="22">IF($B20&lt;AM$8,0,AM$3+(AM$4-AM$3)*(POWER(AM$5,$B20-AM$8)-1)/(POWER(AM$5,$C$5-AM$8)-1))</x:f>
        <x:v>35.11123214381692</x:v>
      </x:c>
      <x:c r="AN20" s="13" t="n">
        <x:f>(((E20*'模块规划'!$D$10+G20*'模块规划'!$D$11+H20*'模块规划'!$D$13)*(1+'模块规划'!$G$14*H20)+(I20*'模块规划'!$D$15+J20*'模块规划'!$D$17+K20*'模块规划'!$D$16+L20*'模块规划'!$D$18))*(1+'模块规划'!$J$17*J20))*F20/(1-Q20)</x:f>
        <x:v>23897.191390474734</x:v>
      </x:c>
      <x:c r="AO20" s="1" t="n">
        <x:f t="shared" si="23">AL20*AM20</x:f>
        <x:v>242542.75455626938</x:v>
      </x:c>
      <x:c r="AP20" s="1" t="n">
        <x:f>IF(AO20="","",INDEX('_曲线基线'!$A$3:$A$502,MIN(ROWS('_曲线基线'!$A$3:$A$502),COUNTIF('_曲线基线'!$E$3:$E$502,"&lt;"&amp;AO20)+1)))</x:f>
        <x:v>19</x:v>
      </x:c>
      <x:c r="AQ20" s="14" t="n">
        <x:f t="shared" si="24">IF(B20&lt;=2,1,IF(B20&lt;=6,2,IF(B20&lt;=9,3,IF(B20&lt;=19,4,5))))</x:f>
        <x:v>3</x:v>
      </x:c>
      <x:c r="AR20" s="10" t="n">
        <x:f t="shared" si="26">AN20*(1-Q20)/F20*$AS$3+U20*$AS$4+P20*$AS$5</x:f>
        <x:v>674.7584322764484</x:v>
      </x:c>
      <x:c r="AS20" s="15" t="n">
        <x:f t="shared" si="27">1+AH20*$AS$6+AI20*$AS$7+(AJ20-1)*$AS$8+($H$10*H20+$I$10*I20+$J$10*J20+$K$10*K20+$L$10*L20)*$AU$3*$AS$9+($H$10*H20+$I$10*I20+$J$10*J20+$K$10*K20+$L$10*L20)*$AU$4*$AS$10</x:f>
        <x:v>4.98158</x:v>
      </x:c>
      <x:c r="AT20" s="16" t="n">
        <x:f t="shared" si="28">ROUND(AR20*AS20,0)</x:f>
        <x:v>3361</x:v>
      </x:c>
      <x:c r="AU20" s="16" t="n">
        <x:f t="shared" si="29">ROUND(AT20*F20,0)</x:f>
        <x:v>10083</x:v>
      </x:c>
      <x:c r="AV20" t="n">
        <x:f>IF(AU20&gt;0,ROUND(AU20,-MAX(0,INT(LOG10(AU20))-2)),0)</x:f>
        <x:v>10100</x:v>
      </x:c>
    </x:row>
    <x:row r="21" customHeight="1">
      <x:c r="A21" s="1" t="n">
        <x:f>IFERROR(XLOOKUP(B21,'_曲线基线'!$G$3:$G$107,'_曲线基线'!$J$3:$J$107,""),"")</x:f>
        <x:v>9</x:v>
      </x:c>
      <x:c r="B21" s="1" t="n">
        <x:v>10</x:v>
      </x:c>
      <x:c r="C21" s="1" t="n">
        <x:v>1</x:v>
      </x:c>
      <x:c r="D21" s="1" t="n">
        <x:v>6</x:v>
      </x:c>
      <x:c r="E21" s="1" t="n">
        <x:f t="shared" si="0">IF($B21&lt;E$8,0,E$3+(E$4-E$3)*(POWER(E$5,$B21-E$8)-1)/(POWER(E$5,$C$5-E$8)-1))</x:f>
        <x:v>1</x:v>
      </x:c>
      <x:c r="F21" s="10" t="n">
        <x:f t="shared" si="1">1+IF(B21&lt;3,0,MIN(1,(B21-2)/4))+IF(B21&lt;7,0,MIN(1,(B21-6)/3))+IF(B21&lt;10,0,MIN(1,(B21-9)/5))+IF(B21&lt;20,0,MIN(1,(B21-19)/10))</x:f>
        <x:v>3.2</x:v>
      </x:c>
      <x:c r="G21" s="11" t="n">
        <x:f t="shared" ref="G21:L21" si="37">'玩家战力_节点'!G21</x:f>
        <x:v>0.11619919776574701</x:v>
      </x:c>
      <x:c r="H21" s="11" t="n">
        <x:f t="shared" si="37">'玩家战力_节点'!H21</x:f>
        <x:v>0</x:v>
      </x:c>
      <x:c r="I21" s="11" t="n">
        <x:f t="shared" si="37">'玩家战力_节点'!I21</x:f>
        <x:v>0</x:v>
      </x:c>
      <x:c r="J21" s="11" t="n">
        <x:f t="shared" si="37">'玩家战力_节点'!J21</x:f>
        <x:v>0</x:v>
      </x:c>
      <x:c r="K21" s="11" t="n">
        <x:f t="shared" si="37">'玩家战力_节点'!K21</x:f>
        <x:v>0</x:v>
      </x:c>
      <x:c r="L21" s="11" t="n">
        <x:f t="shared" si="37">'玩家战力_节点'!L21</x:f>
        <x:v>0</x:v>
      </x:c>
      <x:c r="M21" s="2" t="n">
        <x:f>E21*'模块规划'!$F$10+G21*'模块规划'!$F$11+H21*'模块规划'!$F$13</x:f>
        <x:v>1557.7561492755858</x:v>
      </x:c>
      <x:c r="N21" s="2" t="n">
        <x:f>I21*'模块规划'!$F$15+J21*'模块规划'!$F$17+K21*'模块规划'!$F$16+L21*'模块规划'!$F$18</x:f>
        <x:v>0</x:v>
      </x:c>
      <x:c r="O21" s="2" t="n">
        <x:f t="shared" si="3">1+O$9*SUMPRODUCT($H$10:$L$10,H21:L21)/SUM($H$10:$L$10)</x:f>
        <x:v>1</x:v>
      </x:c>
      <x:c r="P21" s="12" t="n">
        <x:f t="shared" si="4">M21*O21+N21</x:f>
        <x:v>1557.7561492755858</x:v>
      </x:c>
      <x:c r="Q21" s="7" t="n">
        <x:f>P21/(P21+'_曲线基线'!$L$2)</x:f>
        <x:v>0.060950426953648634</x:v>
      </x:c>
      <x:c r="R21" s="2" t="n">
        <x:f>E21*'模块规划'!$E$10+G21*'模块规划'!$E$11+H21*'模块规划'!$E$13</x:f>
        <x:v>2336.6342239133783</x:v>
      </x:c>
      <x:c r="S21" s="2" t="n">
        <x:f>I21*'模块规划'!$E$15+J21*'模块规划'!$E$17+K21*'模块规划'!$E$16+L21*'模块规划'!$E$18</x:f>
        <x:v>0</x:v>
      </x:c>
      <x:c r="T21" s="2" t="n">
        <x:f t="shared" si="5">1+T$9*SUMPRODUCT($H$10:$L$10,H21:L21)/SUM($H$10:$L$10)</x:f>
        <x:v>1</x:v>
      </x:c>
      <x:c r="U21" s="12" t="n">
        <x:f t="shared" si="6">R21*T21+S21</x:f>
        <x:v>2336.6342239133783</x:v>
      </x:c>
      <x:c r="V21" s="2" t="n">
        <x:f t="shared" si="7">V$8+(V$9-V$8)*H21</x:f>
        <x:v>0.7</x:v>
      </x:c>
      <x:c r="W21" s="2" t="n">
        <x:f t="shared" si="8">IF(B21&lt;$H$8,0,W$8+(W$9-W$8)*H21)</x:f>
        <x:v>0</x:v>
      </x:c>
      <x:c r="X21" s="2" t="n">
        <x:f t="shared" si="9">X$8+(X$9-X$8)*H21</x:f>
        <x:v>0.275</x:v>
      </x:c>
      <x:c r="Y21" s="2" t="n">
        <x:f t="shared" si="10">Y$8+(Y$9-Y$8)*G21</x:f>
        <x:v>1</x:v>
      </x:c>
      <x:c r="Z21" s="2" t="n">
        <x:f t="shared" si="11">Z$8+(Z$9-Z$8)*H21</x:f>
        <x:v>1</x:v>
      </x:c>
      <x:c r="AA21" s="2" t="n">
        <x:f t="shared" si="12">AA$8+(AA$9-AA$8)*I21</x:f>
        <x:v>1</x:v>
      </x:c>
      <x:c r="AB21" s="2" t="n">
        <x:f t="shared" si="13">AB$8+(AB$9-AB$8)*J21</x:f>
        <x:v>1</x:v>
      </x:c>
      <x:c r="AC21" s="2" t="n">
        <x:f t="shared" si="14">AC$8+(AC$9-AC$8)*MAX(K21,L21)</x:f>
        <x:v>1</x:v>
      </x:c>
      <x:c r="AD21" s="1" t="n">
        <x:f t="shared" si="15">(V21*AE21+W21*AF21+X21*AG21)*PRODUCT(Y21:AC21)</x:f>
        <x:v>0.975</x:v>
      </x:c>
      <x:c r="AE21" s="2" t="n">
        <x:f t="shared" si="16">1+AE$9*($H$10*H21+$I$10*I21+$J$10*J21+$K$10*K21+$L$10*L21)</x:f>
        <x:v>1</x:v>
      </x:c>
      <x:c r="AF21" s="2" t="n">
        <x:f t="shared" si="17">1+AF$9*($H$10*H21+$I$10*I21+$J$10*J21+$K$10*K21+$L$10*L21)</x:f>
        <x:v>1</x:v>
      </x:c>
      <x:c r="AG21" s="2" t="n">
        <x:f t="shared" si="18">1+AG$9*($H$10*H21+$I$10*I21+$J$10*J21+$K$10*K21+$L$10*L21)</x:f>
        <x:v>1</x:v>
      </x:c>
      <x:c r="AH21" s="2" t="n">
        <x:f>MIN(1,'_曲线基线'!$L$3+AH$9*($H$10*H21+$I$10*I21+$J$10*J21+$K$10*K21+$L$10*L21))</x:f>
        <x:v>0.05</x:v>
      </x:c>
      <x:c r="AI21" s="2" t="n">
        <x:f>'_曲线基线'!$L$4+AI$9*($H$10*H21+$I$10*I21+$J$10*J21+$K$10*K21+$L$10*L21)</x:f>
        <x:v>2</x:v>
      </x:c>
      <x:c r="AJ21" s="2" t="n">
        <x:f t="shared" si="19">1+AJ$9*($H$10*H21+$I$10*I21+$J$10*J21+$K$10*K21+$L$10*L21)</x:f>
        <x:v>1</x:v>
      </x:c>
      <x:c r="AK21" s="1" t="n">
        <x:f t="shared" si="20">(1+AH21*(AI21-1))*AJ21</x:f>
        <x:v>1.05</x:v>
      </x:c>
      <x:c r="AL21" s="1" t="n">
        <x:f t="shared" si="21">U21*AD21*AK21*F21</x:f>
        <x:v>7654.813717540227</x:v>
      </x:c>
      <x:c r="AM21" s="13" t="n">
        <x:f t="shared" si="22">IF($B21&lt;AM$8,0,AM$3+(AM$4-AM$3)*(POWER(AM$5,$B21-AM$8)-1)/(POWER(AM$5,$C$5-AM$8)-1))</x:f>
        <x:v>35.125769105176964</x:v>
      </x:c>
      <x:c r="AN21" s="13" t="n">
        <x:f>(((E21*'模块规划'!$D$10+G21*'模块规划'!$D$11+H21*'模块规划'!$D$13)*(1+'模块规划'!$G$14*H21)+(I21*'模块规划'!$D$15+J21*'模块规划'!$D$17+K21*'模块规划'!$D$16+L21*'模块规划'!$D$18))*(1+'模块规划'!$J$17*J21))*F21/(1-Q21)</x:f>
        <x:v>26541.83453547997</x:v>
      </x:c>
      <x:c r="AO21" s="1" t="n">
        <x:f t="shared" si="23">AL21*AM21</x:f>
        <x:v>268881.2191854593</x:v>
      </x:c>
      <x:c r="AP21" s="1" t="n">
        <x:f>IF(AO21="","",INDEX('_曲线基线'!$A$3:$A$502,MIN(ROWS('_曲线基线'!$A$3:$A$502),COUNTIF('_曲线基线'!$E$3:$E$502,"&lt;"&amp;AO21)+1)))</x:f>
        <x:v>21</x:v>
      </x:c>
      <x:c r="AQ21" s="14" t="n">
        <x:f t="shared" si="24">IF(B21&lt;=2,1,IF(B21&lt;=6,2,IF(B21&lt;=9,3,IF(B21&lt;=19,4,5))))</x:f>
        <x:v>4</x:v>
      </x:c>
      <x:c r="AR21" s="10" t="n">
        <x:f t="shared" si="26">AN21*(1-Q21)/F21*$AS$3+U21*$AS$4+P21*$AS$5</x:f>
        <x:v>700.9902671740135</x:v>
      </x:c>
      <x:c r="AS21" s="15" t="n">
        <x:f t="shared" si="27">1+AH21*$AS$6+AI21*$AS$7+(AJ21-1)*$AS$8+($H$10*H21+$I$10*I21+$J$10*J21+$K$10*K21+$L$10*L21)*$AU$3*$AS$9+($H$10*H21+$I$10*I21+$J$10*J21+$K$10*K21+$L$10*L21)*$AU$4*$AS$10</x:f>
        <x:v>4.98158</x:v>
      </x:c>
      <x:c r="AT21" s="16" t="n">
        <x:f t="shared" si="28">ROUND(AR21*AS21,0)</x:f>
        <x:v>3492</x:v>
      </x:c>
      <x:c r="AU21" s="16" t="n">
        <x:f t="shared" si="29">ROUND(AT21*F21,0)</x:f>
        <x:v>11174</x:v>
      </x:c>
      <x:c r="AV21" t="n">
        <x:f>IF(AU21&gt;0,ROUND(AU21,-MAX(0,INT(LOG10(AU21))-2)),0)</x:f>
        <x:v>11200</x:v>
      </x:c>
    </x:row>
    <x:row r="22" customHeight="1">
      <x:c r="A22" s="1" t="n">
        <x:f>IFERROR(XLOOKUP(B22,'_曲线基线'!$G$3:$G$107,'_曲线基线'!$J$3:$J$107,""),"")</x:f>
        <x:v>10</x:v>
      </x:c>
      <x:c r="B22" s="1" t="n">
        <x:v>11</x:v>
      </x:c>
      <x:c r="C22" s="1" t="n">
        <x:v>1</x:v>
      </x:c>
      <x:c r="D22" s="1" t="n">
        <x:v>7</x:v>
      </x:c>
      <x:c r="E22" s="1" t="n">
        <x:f t="shared" si="0">IF($B22&lt;E$8,0,E$3+(E$4-E$3)*(POWER(E$5,$B22-E$8)-1)/(POWER(E$5,$C$5-E$8)-1))</x:f>
        <x:v>1</x:v>
      </x:c>
      <x:c r="F22" s="10" t="n">
        <x:f t="shared" si="1">1+IF(B22&lt;3,0,MIN(1,(B22-2)/4))+IF(B22&lt;7,0,MIN(1,(B22-6)/3))+IF(B22&lt;10,0,MIN(1,(B22-9)/5))+IF(B22&lt;20,0,MIN(1,(B22-19)/10))</x:f>
        <x:v>3.4</x:v>
      </x:c>
      <x:c r="G22" s="11" t="n">
        <x:f t="shared" ref="G22:L22" si="38">'玩家战力_节点'!G22</x:f>
        <x:v>0.1280716837350965</x:v>
      </x:c>
      <x:c r="H22" s="11" t="n">
        <x:f t="shared" si="38">'玩家战力_节点'!H22</x:f>
        <x:v>0</x:v>
      </x:c>
      <x:c r="I22" s="11" t="n">
        <x:f t="shared" si="38">'玩家战力_节点'!I22</x:f>
        <x:v>0</x:v>
      </x:c>
      <x:c r="J22" s="11" t="n">
        <x:f t="shared" si="38">'玩家战力_节点'!J22</x:f>
        <x:v>0</x:v>
      </x:c>
      <x:c r="K22" s="11" t="n">
        <x:f t="shared" si="38">'玩家战力_节点'!K22</x:f>
        <x:v>0</x:v>
      </x:c>
      <x:c r="L22" s="11" t="n">
        <x:f t="shared" si="38">'玩家战力_节点'!L22</x:f>
        <x:v>0</x:v>
      </x:c>
      <x:c r="M22" s="2" t="n">
        <x:f>E22*'模块规划'!$F$10+G22*'模块规划'!$F$11+H22*'模块规划'!$F$13</x:f>
        <x:v>1614.7440819284632</x:v>
      </x:c>
      <x:c r="N22" s="2" t="n">
        <x:f>I22*'模块规划'!$F$15+J22*'模块规划'!$F$17+K22*'模块规划'!$F$16+L22*'模块规划'!$F$18</x:f>
        <x:v>0</x:v>
      </x:c>
      <x:c r="O22" s="2" t="n">
        <x:f t="shared" si="3">1+O$9*SUMPRODUCT($H$10:$L$10,H22:L22)/SUM($H$10:$L$10)</x:f>
        <x:v>1</x:v>
      </x:c>
      <x:c r="P22" s="12" t="n">
        <x:f t="shared" si="4">M22*O22+N22</x:f>
        <x:v>1614.7440819284632</x:v>
      </x:c>
      <x:c r="Q22" s="7" t="n">
        <x:f>P22/(P22+'_曲线基线'!$L$2)</x:f>
        <x:v>0.0630396336096009</x:v>
      </x:c>
      <x:c r="R22" s="2" t="n">
        <x:f>E22*'模块规划'!$E$10+G22*'模块规划'!$E$11+H22*'模块规划'!$E$13</x:f>
        <x:v>2422.116122892695</x:v>
      </x:c>
      <x:c r="S22" s="2" t="n">
        <x:f>I22*'模块规划'!$E$15+J22*'模块规划'!$E$17+K22*'模块规划'!$E$16+L22*'模块规划'!$E$18</x:f>
        <x:v>0</x:v>
      </x:c>
      <x:c r="T22" s="2" t="n">
        <x:f t="shared" si="5">1+T$9*SUMPRODUCT($H$10:$L$10,H22:L22)/SUM($H$10:$L$10)</x:f>
        <x:v>1</x:v>
      </x:c>
      <x:c r="U22" s="12" t="n">
        <x:f t="shared" si="6">R22*T22+S22</x:f>
        <x:v>2422.116122892695</x:v>
      </x:c>
      <x:c r="V22" s="2" t="n">
        <x:f t="shared" si="7">V$8+(V$9-V$8)*H22</x:f>
        <x:v>0.7</x:v>
      </x:c>
      <x:c r="W22" s="2" t="n">
        <x:f t="shared" si="8">IF(B22&lt;$H$8,0,W$8+(W$9-W$8)*H22)</x:f>
        <x:v>0</x:v>
      </x:c>
      <x:c r="X22" s="2" t="n">
        <x:f t="shared" si="9">X$8+(X$9-X$8)*H22</x:f>
        <x:v>0.275</x:v>
      </x:c>
      <x:c r="Y22" s="2" t="n">
        <x:f t="shared" si="10">Y$8+(Y$9-Y$8)*G22</x:f>
        <x:v>1</x:v>
      </x:c>
      <x:c r="Z22" s="2" t="n">
        <x:f t="shared" si="11">Z$8+(Z$9-Z$8)*H22</x:f>
        <x:v>1</x:v>
      </x:c>
      <x:c r="AA22" s="2" t="n">
        <x:f t="shared" si="12">AA$8+(AA$9-AA$8)*I22</x:f>
        <x:v>1</x:v>
      </x:c>
      <x:c r="AB22" s="2" t="n">
        <x:f t="shared" si="13">AB$8+(AB$9-AB$8)*J22</x:f>
        <x:v>1</x:v>
      </x:c>
      <x:c r="AC22" s="2" t="n">
        <x:f t="shared" si="14">AC$8+(AC$9-AC$8)*MAX(K22,L22)</x:f>
        <x:v>1</x:v>
      </x:c>
      <x:c r="AD22" s="1" t="n">
        <x:f t="shared" si="15">(V22*AE22+W22*AF22+X22*AG22)*PRODUCT(Y22:AC22)</x:f>
        <x:v>0.975</x:v>
      </x:c>
      <x:c r="AE22" s="2" t="n">
        <x:f t="shared" si="16">1+AE$9*($H$10*H22+$I$10*I22+$J$10*J22+$K$10*K22+$L$10*L22)</x:f>
        <x:v>1</x:v>
      </x:c>
      <x:c r="AF22" s="2" t="n">
        <x:f t="shared" si="17">1+AF$9*($H$10*H22+$I$10*I22+$J$10*J22+$K$10*K22+$L$10*L22)</x:f>
        <x:v>1</x:v>
      </x:c>
      <x:c r="AG22" s="2" t="n">
        <x:f t="shared" si="18">1+AG$9*($H$10*H22+$I$10*I22+$J$10*J22+$K$10*K22+$L$10*L22)</x:f>
        <x:v>1</x:v>
      </x:c>
      <x:c r="AH22" s="2" t="n">
        <x:f>MIN(1,'_曲线基线'!$L$3+AH$9*($H$10*H22+$I$10*I22+$J$10*J22+$K$10*K22+$L$10*L22))</x:f>
        <x:v>0.05</x:v>
      </x:c>
      <x:c r="AI22" s="2" t="n">
        <x:f>'_曲线基线'!$L$4+AI$9*($H$10*H22+$I$10*I22+$J$10*J22+$K$10*K22+$L$10*L22)</x:f>
        <x:v>2</x:v>
      </x:c>
      <x:c r="AJ22" s="2" t="n">
        <x:f t="shared" si="19">1+AJ$9*($H$10*H22+$I$10*I22+$J$10*J22+$K$10*K22+$L$10*L22)</x:f>
        <x:v>1</x:v>
      </x:c>
      <x:c r="AK22" s="1" t="n">
        <x:f t="shared" si="20">(1+AH22*(AI22-1))*AJ22</x:f>
        <x:v>1.05</x:v>
      </x:c>
      <x:c r="AL22" s="1" t="n">
        <x:f t="shared" si="21">U22*AD22*AK22*F22</x:f>
        <x:v>8430.780694758749</x:v>
      </x:c>
      <x:c r="AM22" s="13" t="n">
        <x:f t="shared" si="22">IF($B22&lt;AM$8,0,AM$3+(AM$4-AM$3)*(POWER(AM$5,$B22-AM$8)-1)/(POWER(AM$5,$C$5-AM$8)-1))</x:f>
        <x:v>35.1404514361506</x:v>
      </x:c>
      <x:c r="AN22" s="13" t="n">
        <x:f>(((E22*'模块规划'!$D$10+G22*'模块规划'!$D$11+H22*'模块规划'!$D$13)*(1+'模块规划'!$G$14*H22)+(I22*'模块规划'!$D$15+J22*'模块规划'!$D$17+K22*'模块规划'!$D$16+L22*'模块规划'!$D$18))*(1+'模块规划'!$J$17*J22))*F22/(1-Q22)</x:f>
        <x:v>29297.556628287657</x:v>
      </x:c>
      <x:c r="AO22" s="1" t="n">
        <x:f t="shared" si="23">AL22*AM22</x:f>
        <x:v>296261.43957300583</x:v>
      </x:c>
      <x:c r="AP22" s="1" t="n">
        <x:f>IF(AO22="","",INDEX('_曲线基线'!$A$3:$A$502,MIN(ROWS('_曲线基线'!$A$3:$A$502),COUNTIF('_曲线基线'!$E$3:$E$502,"&lt;"&amp;AO22)+1)))</x:f>
        <x:v>23</x:v>
      </x:c>
      <x:c r="AQ22" s="14" t="n">
        <x:f t="shared" si="24">IF(B22&lt;=2,1,IF(B22&lt;=6,2,IF(B22&lt;=9,3,IF(B22&lt;=19,4,5))))</x:f>
        <x:v>4</x:v>
      </x:c>
      <x:c r="AR22" s="10" t="n">
        <x:f t="shared" si="26">AN22*(1-Q22)/F22*$AS$3+U22*$AS$4+P22*$AS$5</x:f>
        <x:v>726.6348368678084</x:v>
      </x:c>
      <x:c r="AS22" s="15" t="n">
        <x:f t="shared" si="27">1+AH22*$AS$6+AI22*$AS$7+(AJ22-1)*$AS$8+($H$10*H22+$I$10*I22+$J$10*J22+$K$10*K22+$L$10*L22)*$AU$3*$AS$9+($H$10*H22+$I$10*I22+$J$10*J22+$K$10*K22+$L$10*L22)*$AU$4*$AS$10</x:f>
        <x:v>4.98158</x:v>
      </x:c>
      <x:c r="AT22" s="16" t="n">
        <x:f t="shared" si="28">ROUND(AR22*AS22,0)</x:f>
        <x:v>3620</x:v>
      </x:c>
      <x:c r="AU22" s="16" t="n">
        <x:f t="shared" si="29">ROUND(AT22*F22,0)</x:f>
        <x:v>12308</x:v>
      </x:c>
      <x:c r="AV22" t="n">
        <x:f>IF(AU22&gt;0,ROUND(AU22,-MAX(0,INT(LOG10(AU22))-2)),0)</x:f>
        <x:v>12300</x:v>
      </x:c>
    </x:row>
    <x:row r="23" customHeight="1">
      <x:c r="A23" s="1" t="n">
        <x:f>IFERROR(XLOOKUP(B23,'_曲线基线'!$G$3:$G$107,'_曲线基线'!$J$3:$J$107,""),"")</x:f>
        <x:v>10</x:v>
      </x:c>
      <x:c r="B23" s="1" t="n">
        <x:v>12</x:v>
      </x:c>
      <x:c r="C23" s="1" t="n">
        <x:v>1</x:v>
      </x:c>
      <x:c r="D23" s="1" t="n">
        <x:v>8</x:v>
      </x:c>
      <x:c r="E23" s="1" t="n">
        <x:f t="shared" si="0">IF($B23&lt;E$8,0,E$3+(E$4-E$3)*(POWER(E$5,$B23-E$8)-1)/(POWER(E$5,$C$5-E$8)-1))</x:f>
        <x:v>1</x:v>
      </x:c>
      <x:c r="F23" s="10" t="n">
        <x:f t="shared" si="1">1+IF(B23&lt;3,0,MIN(1,(B23-2)/4))+IF(B23&lt;7,0,MIN(1,(B23-6)/3))+IF(B23&lt;10,0,MIN(1,(B23-9)/5))+IF(B23&lt;20,0,MIN(1,(B23-19)/10))</x:f>
        <x:v>3.6</x:v>
      </x:c>
      <x:c r="G23" s="11" t="n">
        <x:f t="shared" ref="G23:L23" si="39">'玩家战力_节点'!G23</x:f>
        <x:v>0.139944169704446</x:v>
      </x:c>
      <x:c r="H23" s="11" t="n">
        <x:f t="shared" si="39">'玩家战力_节点'!H23</x:f>
        <x:v>0</x:v>
      </x:c>
      <x:c r="I23" s="11" t="n">
        <x:f t="shared" si="39">'玩家战力_节点'!I23</x:f>
        <x:v>0</x:v>
      </x:c>
      <x:c r="J23" s="11" t="n">
        <x:f t="shared" si="39">'玩家战力_节点'!J23</x:f>
        <x:v>0</x:v>
      </x:c>
      <x:c r="K23" s="11" t="n">
        <x:f t="shared" si="39">'玩家战力_节点'!K23</x:f>
        <x:v>0</x:v>
      </x:c>
      <x:c r="L23" s="11" t="n">
        <x:f t="shared" si="39">'玩家战力_节点'!L23</x:f>
        <x:v>0</x:v>
      </x:c>
      <x:c r="M23" s="2" t="n">
        <x:f>E23*'模块规划'!$F$10+G23*'模块规划'!$F$11+H23*'模块规划'!$F$13</x:f>
        <x:v>1671.732014581341</x:v>
      </x:c>
      <x:c r="N23" s="2" t="n">
        <x:f>I23*'模块规划'!$F$15+J23*'模块规划'!$F$17+K23*'模块规划'!$F$16+L23*'模块规划'!$F$18</x:f>
        <x:v>0</x:v>
      </x:c>
      <x:c r="O23" s="2" t="n">
        <x:f t="shared" si="3">1+O$9*SUMPRODUCT($H$10:$L$10,H23:L23)/SUM($H$10:$L$10)</x:f>
        <x:v>1</x:v>
      </x:c>
      <x:c r="P23" s="12" t="n">
        <x:f t="shared" si="4">M23*O23+N23</x:f>
        <x:v>1671.732014581341</x:v>
      </x:c>
      <x:c r="Q23" s="7" t="n">
        <x:f>P23/(P23+'_曲线基线'!$L$2)</x:f>
        <x:v>0.06511956472714074</x:v>
      </x:c>
      <x:c r="R23" s="2" t="n">
        <x:f>E23*'模块规划'!$E$10+G23*'模块规划'!$E$11+H23*'模块规划'!$E$13</x:f>
        <x:v>2507.5980218720115</x:v>
      </x:c>
      <x:c r="S23" s="2" t="n">
        <x:f>I23*'模块规划'!$E$15+J23*'模块规划'!$E$17+K23*'模块规划'!$E$16+L23*'模块规划'!$E$18</x:f>
        <x:v>0</x:v>
      </x:c>
      <x:c r="T23" s="2" t="n">
        <x:f t="shared" si="5">1+T$9*SUMPRODUCT($H$10:$L$10,H23:L23)/SUM($H$10:$L$10)</x:f>
        <x:v>1</x:v>
      </x:c>
      <x:c r="U23" s="12" t="n">
        <x:f t="shared" si="6">R23*T23+S23</x:f>
        <x:v>2507.5980218720115</x:v>
      </x:c>
      <x:c r="V23" s="2" t="n">
        <x:f t="shared" si="7">V$8+(V$9-V$8)*H23</x:f>
        <x:v>0.7</x:v>
      </x:c>
      <x:c r="W23" s="2" t="n">
        <x:f t="shared" si="8">IF(B23&lt;$H$8,0,W$8+(W$9-W$8)*H23)</x:f>
        <x:v>0</x:v>
      </x:c>
      <x:c r="X23" s="2" t="n">
        <x:f t="shared" si="9">X$8+(X$9-X$8)*H23</x:f>
        <x:v>0.275</x:v>
      </x:c>
      <x:c r="Y23" s="2" t="n">
        <x:f t="shared" si="10">Y$8+(Y$9-Y$8)*G23</x:f>
        <x:v>1</x:v>
      </x:c>
      <x:c r="Z23" s="2" t="n">
        <x:f t="shared" si="11">Z$8+(Z$9-Z$8)*H23</x:f>
        <x:v>1</x:v>
      </x:c>
      <x:c r="AA23" s="2" t="n">
        <x:f t="shared" si="12">AA$8+(AA$9-AA$8)*I23</x:f>
        <x:v>1</x:v>
      </x:c>
      <x:c r="AB23" s="2" t="n">
        <x:f t="shared" si="13">AB$8+(AB$9-AB$8)*J23</x:f>
        <x:v>1</x:v>
      </x:c>
      <x:c r="AC23" s="2" t="n">
        <x:f t="shared" si="14">AC$8+(AC$9-AC$8)*MAX(K23,L23)</x:f>
        <x:v>1</x:v>
      </x:c>
      <x:c r="AD23" s="1" t="n">
        <x:f t="shared" si="15">(V23*AE23+W23*AF23+X23*AG23)*PRODUCT(Y23:AC23)</x:f>
        <x:v>0.975</x:v>
      </x:c>
      <x:c r="AE23" s="2" t="n">
        <x:f t="shared" si="16">1+AE$9*($H$10*H23+$I$10*I23+$J$10*J23+$K$10*K23+$L$10*L23)</x:f>
        <x:v>1</x:v>
      </x:c>
      <x:c r="AF23" s="2" t="n">
        <x:f t="shared" si="17">1+AF$9*($H$10*H23+$I$10*I23+$J$10*J23+$K$10*K23+$L$10*L23)</x:f>
        <x:v>1</x:v>
      </x:c>
      <x:c r="AG23" s="2" t="n">
        <x:f t="shared" si="18">1+AG$9*($H$10*H23+$I$10*I23+$J$10*J23+$K$10*K23+$L$10*L23)</x:f>
        <x:v>1</x:v>
      </x:c>
      <x:c r="AH23" s="2" t="n">
        <x:f>MIN(1,'_曲线基线'!$L$3+AH$9*($H$10*H23+$I$10*I23+$J$10*J23+$K$10*K23+$L$10*L23))</x:f>
        <x:v>0.05</x:v>
      </x:c>
      <x:c r="AI23" s="2" t="n">
        <x:f>'_曲线基线'!$L$4+AI$9*($H$10*H23+$I$10*I23+$J$10*J23+$K$10*K23+$L$10*L23)</x:f>
        <x:v>2</x:v>
      </x:c>
      <x:c r="AJ23" s="2" t="n">
        <x:f t="shared" si="19">1+AJ$9*($H$10*H23+$I$10*I23+$J$10*J23+$K$10*K23+$L$10*L23)</x:f>
        <x:v>1</x:v>
      </x:c>
      <x:c r="AK23" s="1" t="n">
        <x:f t="shared" si="20">(1+AH23*(AI23-1))*AJ23</x:f>
        <x:v>1.05</x:v>
      </x:c>
      <x:c r="AL23" s="1" t="n">
        <x:f t="shared" si="21">U23*AD23*AK23*F23</x:f>
        <x:v>9241.7525096093</x:v>
      </x:c>
      <x:c r="AM23" s="13" t="n">
        <x:f t="shared" si="22">IF($B23&lt;AM$8,0,AM$3+(AM$4-AM$3)*(POWER(AM$5,$B23-AM$8)-1)/(POWER(AM$5,$C$5-AM$8)-1))</x:f>
        <x:v>35.155280590433975</x:v>
      </x:c>
      <x:c r="AN23" s="13" t="n">
        <x:f>(((E23*'模块规划'!$D$10+G23*'模块规划'!$D$11+H23*'模块规划'!$D$13)*(1+'模块规划'!$G$14*H23)+(I23*'模块规划'!$D$15+J23*'模块规划'!$D$17+K23*'模块规划'!$D$16+L23*'模块规划'!$D$18))*(1+'模块规划'!$J$17*J23))*F23/(1-Q23)</x:f>
        <x:v>32187.19220889627</x:v>
      </x:c>
      <x:c r="AO23" s="1" t="n">
        <x:f t="shared" si="23">AL23*AM23</x:f>
        <x:v>324896.4026226623</x:v>
      </x:c>
      <x:c r="AP23" s="1" t="n">
        <x:f>IF(AO23="","",INDEX('_曲线基线'!$A$3:$A$502,MIN(ROWS('_曲线基线'!$A$3:$A$502),COUNTIF('_曲线基线'!$E$3:$E$502,"&lt;"&amp;AO23)+1)))</x:f>
        <x:v>24</x:v>
      </x:c>
      <x:c r="AQ23" s="14" t="n">
        <x:f t="shared" si="24">IF(B23&lt;=2,1,IF(B23&lt;=6,2,IF(B23&lt;=9,3,IF(B23&lt;=19,4,5))))</x:f>
        <x:v>4</x:v>
      </x:c>
      <x:c r="AR23" s="10" t="n">
        <x:f t="shared" si="26">AN23*(1-Q23)/F23*$AS$3+U23*$AS$4+P23*$AS$5</x:f>
        <x:v>752.2794065616033</x:v>
      </x:c>
      <x:c r="AS23" s="15" t="n">
        <x:f t="shared" si="27">1+AH23*$AS$6+AI23*$AS$7+(AJ23-1)*$AS$8+($H$10*H23+$I$10*I23+$J$10*J23+$K$10*K23+$L$10*L23)*$AU$3*$AS$9+($H$10*H23+$I$10*I23+$J$10*J23+$K$10*K23+$L$10*L23)*$AU$4*$AS$10</x:f>
        <x:v>4.98158</x:v>
      </x:c>
      <x:c r="AT23" s="16" t="n">
        <x:f t="shared" si="28">ROUND(AR23*AS23,0)</x:f>
        <x:v>3748</x:v>
      </x:c>
      <x:c r="AU23" s="16" t="n">
        <x:f t="shared" si="29">ROUND(AT23*F23,0)</x:f>
        <x:v>13493</x:v>
      </x:c>
      <x:c r="AV23" t="n">
        <x:f>IF(AU23&gt;0,ROUND(AU23,-MAX(0,INT(LOG10(AU23))-2)),0)</x:f>
        <x:v>13500</x:v>
      </x:c>
    </x:row>
    <x:row r="24" customHeight="1">
      <x:c r="A24" s="1" t="n">
        <x:f>IFERROR(XLOOKUP(B24,'_曲线基线'!$G$3:$G$107,'_曲线基线'!$J$3:$J$107,""),"")</x:f>
        <x:v>11</x:v>
      </x:c>
      <x:c r="B24" s="1" t="n">
        <x:v>13</x:v>
      </x:c>
      <x:c r="C24" s="1" t="n">
        <x:v>2</x:v>
      </x:c>
      <x:c r="D24" s="1" t="n">
        <x:v>1</x:v>
      </x:c>
      <x:c r="E24" s="1" t="n">
        <x:f t="shared" si="0">IF($B24&lt;E$8,0,E$3+(E$4-E$3)*(POWER(E$5,$B24-E$8)-1)/(POWER(E$5,$C$5-E$8)-1))</x:f>
        <x:v>1</x:v>
      </x:c>
      <x:c r="F24" s="10" t="n">
        <x:f t="shared" si="1">1+IF(B24&lt;3,0,MIN(1,(B24-2)/4))+IF(B24&lt;7,0,MIN(1,(B24-6)/3))+IF(B24&lt;10,0,MIN(1,(B24-9)/5))+IF(B24&lt;20,0,MIN(1,(B24-19)/10))</x:f>
        <x:v>3.8</x:v>
      </x:c>
      <x:c r="G24" s="11" t="n">
        <x:f t="shared" ref="G24:L24" si="40">'玩家战力_节点'!G24</x:f>
        <x:v>0.151550197613375</x:v>
      </x:c>
      <x:c r="H24" s="11" t="n">
        <x:f t="shared" si="40">'玩家战力_节点'!H24</x:f>
        <x:v>0</x:v>
      </x:c>
      <x:c r="I24" s="11" t="n">
        <x:f t="shared" si="40">'玩家战力_节点'!I24</x:f>
        <x:v>0</x:v>
      </x:c>
      <x:c r="J24" s="11" t="n">
        <x:f t="shared" si="40">'玩家战力_节点'!J24</x:f>
        <x:v>0</x:v>
      </x:c>
      <x:c r="K24" s="11" t="n">
        <x:f t="shared" si="40">'玩家战力_节点'!K24</x:f>
        <x:v>0</x:v>
      </x:c>
      <x:c r="L24" s="11" t="n">
        <x:f t="shared" si="40">'玩家战力_节点'!L24</x:f>
        <x:v>0</x:v>
      </x:c>
      <x:c r="M24" s="2" t="n">
        <x:f>E24*'模块规划'!$F$10+G24*'模块规划'!$F$11+H24*'模块规划'!$F$13</x:f>
        <x:v>1727.4409485442</x:v>
      </x:c>
      <x:c r="N24" s="2" t="n">
        <x:f>I24*'模块规划'!$F$15+J24*'模块规划'!$F$17+K24*'模块规划'!$F$16+L24*'模块规划'!$F$18</x:f>
        <x:v>0</x:v>
      </x:c>
      <x:c r="O24" s="2" t="n">
        <x:f t="shared" si="3">1+O$9*SUMPRODUCT($H$10:$L$10,H24:L24)/SUM($H$10:$L$10)</x:f>
        <x:v>1</x:v>
      </x:c>
      <x:c r="P24" s="12" t="n">
        <x:f t="shared" si="4">M24*O24+N24</x:f>
        <x:v>1727.4409485442</x:v>
      </x:c>
      <x:c r="Q24" s="7" t="n">
        <x:f>P24/(P24+'_曲线基线'!$L$2)</x:f>
        <x:v>0.067143908793694</x:v>
      </x:c>
      <x:c r="R24" s="2" t="n">
        <x:f>E24*'模块规划'!$E$10+G24*'模块规划'!$E$11+H24*'模块规划'!$E$13</x:f>
        <x:v>2591.1614228163</x:v>
      </x:c>
      <x:c r="S24" s="2" t="n">
        <x:f>I24*'模块规划'!$E$15+J24*'模块规划'!$E$17+K24*'模块规划'!$E$16+L24*'模块规划'!$E$18</x:f>
        <x:v>0</x:v>
      </x:c>
      <x:c r="T24" s="2" t="n">
        <x:f t="shared" si="5">1+T$9*SUMPRODUCT($H$10:$L$10,H24:L24)/SUM($H$10:$L$10)</x:f>
        <x:v>1</x:v>
      </x:c>
      <x:c r="U24" s="12" t="n">
        <x:f t="shared" si="6">R24*T24+S24</x:f>
        <x:v>2591.1614228163</x:v>
      </x:c>
      <x:c r="V24" s="2" t="n">
        <x:f t="shared" si="7">V$8+(V$9-V$8)*H24</x:f>
        <x:v>0.7</x:v>
      </x:c>
      <x:c r="W24" s="2" t="n">
        <x:f t="shared" si="8">IF(B24&lt;$H$8,0,W$8+(W$9-W$8)*H24)</x:f>
        <x:v>0</x:v>
      </x:c>
      <x:c r="X24" s="2" t="n">
        <x:f t="shared" si="9">X$8+(X$9-X$8)*H24</x:f>
        <x:v>0.275</x:v>
      </x:c>
      <x:c r="Y24" s="2" t="n">
        <x:f t="shared" si="10">Y$8+(Y$9-Y$8)*G24</x:f>
        <x:v>1</x:v>
      </x:c>
      <x:c r="Z24" s="2" t="n">
        <x:f t="shared" si="11">Z$8+(Z$9-Z$8)*H24</x:f>
        <x:v>1</x:v>
      </x:c>
      <x:c r="AA24" s="2" t="n">
        <x:f t="shared" si="12">AA$8+(AA$9-AA$8)*I24</x:f>
        <x:v>1</x:v>
      </x:c>
      <x:c r="AB24" s="2" t="n">
        <x:f t="shared" si="13">AB$8+(AB$9-AB$8)*J24</x:f>
        <x:v>1</x:v>
      </x:c>
      <x:c r="AC24" s="2" t="n">
        <x:f t="shared" si="14">AC$8+(AC$9-AC$8)*MAX(K24,L24)</x:f>
        <x:v>1</x:v>
      </x:c>
      <x:c r="AD24" s="1" t="n">
        <x:f t="shared" si="15">(V24*AE24+W24*AF24+X24*AG24)*PRODUCT(Y24:AC24)</x:f>
        <x:v>0.975</x:v>
      </x:c>
      <x:c r="AE24" s="2" t="n">
        <x:f t="shared" si="16">1+AE$9*($H$10*H24+$I$10*I24+$J$10*J24+$K$10*K24+$L$10*L24)</x:f>
        <x:v>1</x:v>
      </x:c>
      <x:c r="AF24" s="2" t="n">
        <x:f t="shared" si="17">1+AF$9*($H$10*H24+$I$10*I24+$J$10*J24+$K$10*K24+$L$10*L24)</x:f>
        <x:v>1</x:v>
      </x:c>
      <x:c r="AG24" s="2" t="n">
        <x:f t="shared" si="18">1+AG$9*($H$10*H24+$I$10*I24+$J$10*J24+$K$10*K24+$L$10*L24)</x:f>
        <x:v>1</x:v>
      </x:c>
      <x:c r="AH24" s="2" t="n">
        <x:f>MIN(1,'_曲线基线'!$L$3+AH$9*($H$10*H24+$I$10*I24+$J$10*J24+$K$10*K24+$L$10*L24))</x:f>
        <x:v>0.05</x:v>
      </x:c>
      <x:c r="AI24" s="2" t="n">
        <x:f>'_曲线基线'!$L$4+AI$9*($H$10*H24+$I$10*I24+$J$10*J24+$K$10*K24+$L$10*L24)</x:f>
        <x:v>2</x:v>
      </x:c>
      <x:c r="AJ24" s="2" t="n">
        <x:f t="shared" si="19">1+AJ$9*($H$10*H24+$I$10*I24+$J$10*J24+$K$10*K24+$L$10*L24)</x:f>
        <x:v>1</x:v>
      </x:c>
      <x:c r="AK24" s="1" t="n">
        <x:f t="shared" si="20">(1+AH24*(AI24-1))*AJ24</x:f>
        <x:v>1.05</x:v>
      </x:c>
      <x:c r="AL24" s="1" t="n">
        <x:f t="shared" si="21">U24*AD24*AK24*F24</x:f>
        <x:v>10080.26572511111</x:v>
      </x:c>
      <x:c r="AM24" s="13" t="n">
        <x:f t="shared" si="22">IF($B24&lt;AM$8,0,AM$3+(AM$4-AM$3)*(POWER(AM$5,$B24-AM$8)-1)/(POWER(AM$5,$C$5-AM$8)-1))</x:f>
        <x:v>35.17025803626018</x:v>
      </x:c>
      <x:c r="AN24" s="13" t="n">
        <x:f>(((E24*'模块规划'!$D$10+G24*'模块规划'!$D$11+H24*'模块规划'!$D$13)*(1+'模块规划'!$G$14*H24)+(I24*'模块规划'!$D$15+J24*'模块规划'!$D$17+K24*'模块规划'!$D$16+L24*'模块规划'!$D$18))*(1+'模块规划'!$J$17*J24))*F24/(1-Q24)</x:f>
        <x:v>35183.75270498307</x:v>
      </x:c>
      <x:c r="AO24" s="1" t="n">
        <x:f t="shared" si="23">AL24*AM24</x:f>
        <x:v>354525.5466262271</x:v>
      </x:c>
      <x:c r="AP24" s="1" t="n">
        <x:f>IF(AO24="","",INDEX('_曲线基线'!$A$3:$A$502,MIN(ROWS('_曲线基线'!$A$3:$A$502),COUNTIF('_曲线基线'!$E$3:$E$502,"&lt;"&amp;AO24)+1)))</x:f>
        <x:v>26</x:v>
      </x:c>
      <x:c r="AQ24" s="14" t="n">
        <x:f t="shared" si="24">IF(B24&lt;=2,1,IF(B24&lt;=6,2,IF(B24&lt;=9,3,IF(B24&lt;=19,4,5))))</x:f>
        <x:v>4</x:v>
      </x:c>
      <x:c r="AR24" s="10" t="n">
        <x:f t="shared" si="26">AN24*(1-Q24)/F24*$AS$3+U24*$AS$4+P24*$AS$5</x:f>
        <x:v>777.34842684489</x:v>
      </x:c>
      <x:c r="AS24" s="15" t="n">
        <x:f t="shared" si="27">1+AH24*$AS$6+AI24*$AS$7+(AJ24-1)*$AS$8+($H$10*H24+$I$10*I24+$J$10*J24+$K$10*K24+$L$10*L24)*$AU$3*$AS$9+($H$10*H24+$I$10*I24+$J$10*J24+$K$10*K24+$L$10*L24)*$AU$4*$AS$10</x:f>
        <x:v>4.98158</x:v>
      </x:c>
      <x:c r="AT24" s="16" t="n">
        <x:f t="shared" si="28">ROUND(AR24*AS24,0)</x:f>
        <x:v>3872</x:v>
      </x:c>
      <x:c r="AU24" s="16" t="n">
        <x:f t="shared" si="29">ROUND(AT24*F24,0)</x:f>
        <x:v>14714</x:v>
      </x:c>
      <x:c r="AV24" t="n">
        <x:f>IF(AU24&gt;0,ROUND(AU24,-MAX(0,INT(LOG10(AU24))-2)),0)</x:f>
        <x:v>14700</x:v>
      </x:c>
    </x:row>
    <x:row r="25" customHeight="1">
      <x:c r="A25" s="1" t="n">
        <x:f>IFERROR(XLOOKUP(B25,'_曲线基线'!$G$3:$G$107,'_曲线基线'!$J$3:$J$107,""),"")</x:f>
        <x:v>12</x:v>
      </x:c>
      <x:c r="B25" s="1" t="n">
        <x:v>14</x:v>
      </x:c>
      <x:c r="C25" s="1" t="n">
        <x:v>2</x:v>
      </x:c>
      <x:c r="D25" s="1" t="n">
        <x:v>2</x:v>
      </x:c>
      <x:c r="E25" s="1" t="n">
        <x:f t="shared" si="0">IF($B25&lt;E$8,0,E$3+(E$4-E$3)*(POWER(E$5,$B25-E$8)-1)/(POWER(E$5,$C$5-E$8)-1))</x:f>
        <x:v>1</x:v>
      </x:c>
      <x:c r="F25" s="10" t="n">
        <x:f t="shared" si="1">1+IF(B25&lt;3,0,MIN(1,(B25-2)/4))+IF(B25&lt;7,0,MIN(1,(B25-6)/3))+IF(B25&lt;10,0,MIN(1,(B25-9)/5))+IF(B25&lt;20,0,MIN(1,(B25-19)/10))</x:f>
        <x:v>4</x:v>
      </x:c>
      <x:c r="G25" s="11" t="n">
        <x:f t="shared" ref="G25:L25" si="41">'玩家战力_节点'!G25</x:f>
        <x:v>0.16298213510367</x:v>
      </x:c>
      <x:c r="H25" s="11" t="n">
        <x:f t="shared" si="41">'玩家战力_节点'!H25</x:f>
        <x:v>0</x:v>
      </x:c>
      <x:c r="I25" s="11" t="n">
        <x:f t="shared" si="41">'玩家战力_节点'!I25</x:f>
        <x:v>0</x:v>
      </x:c>
      <x:c r="J25" s="11" t="n">
        <x:f t="shared" si="41">'玩家战力_节点'!J25</x:f>
        <x:v>0</x:v>
      </x:c>
      <x:c r="K25" s="11" t="n">
        <x:f t="shared" si="41">'玩家战力_节点'!K25</x:f>
        <x:v>0</x:v>
      </x:c>
      <x:c r="L25" s="11" t="n">
        <x:f t="shared" si="41">'玩家战力_节点'!L25</x:f>
        <x:v>0</x:v>
      </x:c>
      <x:c r="M25" s="2" t="n">
        <x:f>E25*'模块规划'!$F$10+G25*'模块规划'!$F$11+H25*'模块规划'!$F$13</x:f>
        <x:v>1782.314248497616</x:v>
      </x:c>
      <x:c r="N25" s="2" t="n">
        <x:f>I25*'模块规划'!$F$15+J25*'模块规划'!$F$17+K25*'模块规划'!$F$16+L25*'模块规划'!$F$18</x:f>
        <x:v>0</x:v>
      </x:c>
      <x:c r="O25" s="2" t="n">
        <x:f t="shared" si="3">1+O$9*SUMPRODUCT($H$10:$L$10,H25:L25)/SUM($H$10:$L$10)</x:f>
        <x:v>1</x:v>
      </x:c>
      <x:c r="P25" s="12" t="n">
        <x:f t="shared" si="4">M25*O25+N25</x:f>
        <x:v>1782.314248497616</x:v>
      </x:c>
      <x:c r="Q25" s="7" t="n">
        <x:f>P25/(P25+'_曲线基线'!$L$2)</x:f>
        <x:v>0.06912933537769887</x:v>
      </x:c>
      <x:c r="R25" s="2" t="n">
        <x:f>E25*'模块规划'!$E$10+G25*'模块规划'!$E$11+H25*'模块规划'!$E$13</x:f>
        <x:v>2673.471372746424</x:v>
      </x:c>
      <x:c r="S25" s="2" t="n">
        <x:f>I25*'模块规划'!$E$15+J25*'模块规划'!$E$17+K25*'模块规划'!$E$16+L25*'模块规划'!$E$18</x:f>
        <x:v>0</x:v>
      </x:c>
      <x:c r="T25" s="2" t="n">
        <x:f t="shared" si="5">1+T$9*SUMPRODUCT($H$10:$L$10,H25:L25)/SUM($H$10:$L$10)</x:f>
        <x:v>1</x:v>
      </x:c>
      <x:c r="U25" s="12" t="n">
        <x:f t="shared" si="6">R25*T25+S25</x:f>
        <x:v>2673.471372746424</x:v>
      </x:c>
      <x:c r="V25" s="2" t="n">
        <x:f t="shared" si="7">V$8+(V$9-V$8)*H25</x:f>
        <x:v>0.7</x:v>
      </x:c>
      <x:c r="W25" s="2" t="n">
        <x:f t="shared" si="8">IF(B25&lt;$H$8,0,W$8+(W$9-W$8)*H25)</x:f>
        <x:v>0</x:v>
      </x:c>
      <x:c r="X25" s="2" t="n">
        <x:f t="shared" si="9">X$8+(X$9-X$8)*H25</x:f>
        <x:v>0.275</x:v>
      </x:c>
      <x:c r="Y25" s="2" t="n">
        <x:f t="shared" si="10">Y$8+(Y$9-Y$8)*G25</x:f>
        <x:v>1</x:v>
      </x:c>
      <x:c r="Z25" s="2" t="n">
        <x:f t="shared" si="11">Z$8+(Z$9-Z$8)*H25</x:f>
        <x:v>1</x:v>
      </x:c>
      <x:c r="AA25" s="2" t="n">
        <x:f t="shared" si="12">AA$8+(AA$9-AA$8)*I25</x:f>
        <x:v>1</x:v>
      </x:c>
      <x:c r="AB25" s="2" t="n">
        <x:f t="shared" si="13">AB$8+(AB$9-AB$8)*J25</x:f>
        <x:v>1</x:v>
      </x:c>
      <x:c r="AC25" s="2" t="n">
        <x:f t="shared" si="14">AC$8+(AC$9-AC$8)*MAX(K25,L25)</x:f>
        <x:v>1</x:v>
      </x:c>
      <x:c r="AD25" s="1" t="n">
        <x:f t="shared" si="15">(V25*AE25+W25*AF25+X25*AG25)*PRODUCT(Y25:AC25)</x:f>
        <x:v>0.975</x:v>
      </x:c>
      <x:c r="AE25" s="2" t="n">
        <x:f t="shared" si="16">1+AE$9*($H$10*H25+$I$10*I25+$J$10*J25+$K$10*K25+$L$10*L25)</x:f>
        <x:v>1</x:v>
      </x:c>
      <x:c r="AF25" s="2" t="n">
        <x:f t="shared" si="17">1+AF$9*($H$10*H25+$I$10*I25+$J$10*J25+$K$10*K25+$L$10*L25)</x:f>
        <x:v>1</x:v>
      </x:c>
      <x:c r="AG25" s="2" t="n">
        <x:f t="shared" si="18">1+AG$9*($H$10*H25+$I$10*I25+$J$10*J25+$K$10*K25+$L$10*L25)</x:f>
        <x:v>1</x:v>
      </x:c>
      <x:c r="AH25" s="2" t="n">
        <x:f>MIN(1,'_曲线基线'!$L$3+AH$9*($H$10*H25+$I$10*I25+$J$10*J25+$K$10*K25+$L$10*L25))</x:f>
        <x:v>0.05</x:v>
      </x:c>
      <x:c r="AI25" s="2" t="n">
        <x:f>'_曲线基线'!$L$4+AI$9*($H$10*H25+$I$10*I25+$J$10*J25+$K$10*K25+$L$10*L25)</x:f>
        <x:v>2</x:v>
      </x:c>
      <x:c r="AJ25" s="2" t="n">
        <x:f t="shared" si="19">1+AJ$9*($H$10*H25+$I$10*I25+$J$10*J25+$K$10*K25+$L$10*L25)</x:f>
        <x:v>1</x:v>
      </x:c>
      <x:c r="AK25" s="1" t="n">
        <x:f t="shared" si="20">(1+AH25*(AI25-1))*AJ25</x:f>
        <x:v>1.05</x:v>
      </x:c>
      <x:c r="AL25" s="1" t="n">
        <x:f t="shared" si="21">U25*AD25*AK25*F25</x:f>
        <x:v>10947.865271396608</x:v>
      </x:c>
      <x:c r="AM25" s="13" t="n">
        <x:f t="shared" si="22">IF($B25&lt;AM$8,0,AM$3+(AM$4-AM$3)*(POWER(AM$5,$B25-AM$8)-1)/(POWER(AM$5,$C$5-AM$8)-1))</x:f>
        <x:v>35.185385256544656</x:v>
      </x:c>
      <x:c r="AN25" s="13" t="n">
        <x:f>(((E25*'模块规划'!$D$10+G25*'模块规划'!$D$11+H25*'模块规划'!$D$13)*(1+'模块规划'!$G$14*H25)+(I25*'模块规划'!$D$15+J25*'模块规划'!$D$17+K25*'模块规划'!$D$16+L25*'模块规划'!$D$18))*(1+'模块规划'!$J$17*J25))*F25/(1-Q25)</x:f>
        <x:v>38293.488370283674</x:v>
      </x:c>
      <x:c r="AO25" s="1" t="n">
        <x:f t="shared" si="23">AL25*AM25</x:f>
        <x:v>385204.85731083545</x:v>
      </x:c>
      <x:c r="AP25" s="1" t="n">
        <x:f>IF(AO25="","",INDEX('_曲线基线'!$A$3:$A$502,MIN(ROWS('_曲线基线'!$A$3:$A$502),COUNTIF('_曲线基线'!$E$3:$E$502,"&lt;"&amp;AO25)+1)))</x:f>
        <x:v>28</x:v>
      </x:c>
      <x:c r="AQ25" s="14" t="n">
        <x:f t="shared" si="24">IF(B25&lt;=2,1,IF(B25&lt;=6,2,IF(B25&lt;=9,3,IF(B25&lt;=19,4,5))))</x:f>
        <x:v>4</x:v>
      </x:c>
      <x:c r="AR25" s="10" t="n">
        <x:f t="shared" si="26">AN25*(1-Q25)/F25*$AS$3+U25*$AS$4+P25*$AS$5</x:f>
        <x:v>802.0414118239273</x:v>
      </x:c>
      <x:c r="AS25" s="15" t="n">
        <x:f t="shared" si="27">1+AH25*$AS$6+AI25*$AS$7+(AJ25-1)*$AS$8+($H$10*H25+$I$10*I25+$J$10*J25+$K$10*K25+$L$10*L25)*$AU$3*$AS$9+($H$10*H25+$I$10*I25+$J$10*J25+$K$10*K25+$L$10*L25)*$AU$4*$AS$10</x:f>
        <x:v>4.98158</x:v>
      </x:c>
      <x:c r="AT25" s="16" t="n">
        <x:f t="shared" si="28">ROUND(AR25*AS25,0)</x:f>
        <x:v>3995</x:v>
      </x:c>
      <x:c r="AU25" s="16" t="n">
        <x:f t="shared" si="29">ROUND(AT25*F25,0)</x:f>
        <x:v>15980</x:v>
      </x:c>
      <x:c r="AV25" t="n">
        <x:f>IF(AU25&gt;0,ROUND(AU25,-MAX(0,INT(LOG10(AU25))-2)),0)</x:f>
        <x:v>16000</x:v>
      </x:c>
    </x:row>
    <x:row r="26" customHeight="1">
      <x:c r="A26" s="1" t="n">
        <x:f>IFERROR(XLOOKUP(B26,'_曲线基线'!$G$3:$G$107,'_曲线基线'!$J$3:$J$107,""),"")</x:f>
        <x:v>13</x:v>
      </x:c>
      <x:c r="B26" s="1" t="n">
        <x:v>15</x:v>
      </x:c>
      <x:c r="C26" s="1" t="n">
        <x:v>2</x:v>
      </x:c>
      <x:c r="D26" s="1" t="n">
        <x:v>3</x:v>
      </x:c>
      <x:c r="E26" s="1" t="n">
        <x:f t="shared" si="0">IF($B26&lt;E$8,0,E$3+(E$4-E$3)*(POWER(E$5,$B26-E$8)-1)/(POWER(E$5,$C$5-E$8)-1))</x:f>
        <x:v>1</x:v>
      </x:c>
      <x:c r="F26" s="10" t="n">
        <x:f t="shared" si="1">1+IF(B26&lt;3,0,MIN(1,(B26-2)/4))+IF(B26&lt;7,0,MIN(1,(B26-6)/3))+IF(B26&lt;10,0,MIN(1,(B26-9)/5))+IF(B26&lt;20,0,MIN(1,(B26-19)/10))</x:f>
        <x:v>4</x:v>
      </x:c>
      <x:c r="G26" s="11" t="n">
        <x:f t="shared" ref="G26:L26" si="42">'玩家战力_节点'!G26</x:f>
        <x:v>0.174242593531611</x:v>
      </x:c>
      <x:c r="H26" s="11" t="n">
        <x:f t="shared" si="42">'玩家战力_节点'!H26</x:f>
        <x:v>0.014066542239511398</x:v>
      </x:c>
      <x:c r="I26" s="11" t="n">
        <x:f t="shared" si="42">'玩家战力_节点'!I26</x:f>
        <x:v>0</x:v>
      </x:c>
      <x:c r="J26" s="11" t="n">
        <x:f t="shared" si="42">'玩家战力_节点'!J26</x:f>
        <x:v>0</x:v>
      </x:c>
      <x:c r="K26" s="11" t="n">
        <x:f t="shared" si="42">'玩家战力_节点'!K26</x:f>
        <x:v>0</x:v>
      </x:c>
      <x:c r="L26" s="11" t="n">
        <x:f t="shared" si="42">'玩家战力_节点'!L26</x:f>
        <x:v>0</x:v>
      </x:c>
      <x:c r="M26" s="2" t="n">
        <x:f>E26*'模块规划'!$F$10+G26*'模块规划'!$F$11+H26*'模块规划'!$F$13</x:f>
        <x:v>1836.3644489517328</x:v>
      </x:c>
      <x:c r="N26" s="2" t="n">
        <x:f>I26*'模块规划'!$F$15+J26*'模块规划'!$F$17+K26*'模块规划'!$F$16+L26*'模块规划'!$F$18</x:f>
        <x:v>0</x:v>
      </x:c>
      <x:c r="O26" s="2" t="n">
        <x:f t="shared" si="3">1+O$9*SUMPRODUCT($H$10:$L$10,H26:L26)/SUM($H$10:$L$10)</x:f>
        <x:v>1.0058847185882727</x:v>
      </x:c>
      <x:c r="P26" s="12" t="n">
        <x:f t="shared" si="4">M26*O26+N26</x:f>
        <x:v>1847.1709369593223</x:v>
      </x:c>
      <x:c r="Q26" s="7" t="n">
        <x:f>P26/(P26+'_曲线基线'!$L$2)</x:f>
        <x:v>0.07146511088058849</x:v>
      </x:c>
      <x:c r="R26" s="2" t="n">
        <x:f>E26*'模块规划'!$E$10+G26*'模块规划'!$E$11+H26*'模块规划'!$E$13</x:f>
        <x:v>2754.546673427599</x:v>
      </x:c>
      <x:c r="S26" s="2" t="n">
        <x:f>I26*'模块规划'!$E$15+J26*'模块规划'!$E$17+K26*'模块规划'!$E$16+L26*'模块规划'!$E$18</x:f>
        <x:v>0</x:v>
      </x:c>
      <x:c r="T26" s="2" t="n">
        <x:f t="shared" si="5">1+T$9*SUMPRODUCT($H$10:$L$10,H26:L26)/SUM($H$10:$L$10)</x:f>
        <x:v>1.0058847185882727</x:v>
      </x:c>
      <x:c r="U26" s="12" t="n">
        <x:f t="shared" si="6">R26*T26+S26</x:f>
        <x:v>2770.756405438983</x:v>
      </x:c>
      <x:c r="V26" s="2" t="n">
        <x:f t="shared" si="7">V$8+(V$9-V$8)*H26</x:f>
        <x:v>0.7042199626718534</x:v>
      </x:c>
      <x:c r="W26" s="2" t="n">
        <x:f t="shared" si="8">IF(B26&lt;$H$8,0,W$8+(W$9-W$8)*H26)</x:f>
        <x:v>0.00562661689580456</x:v>
      </x:c>
      <x:c r="X26" s="2" t="n">
        <x:f t="shared" si="9">X$8+(X$9-X$8)*H26</x:f>
        <x:v>0.27886829911586564</x:v>
      </x:c>
      <x:c r="Y26" s="2" t="n">
        <x:f t="shared" si="10">Y$8+(Y$9-Y$8)*G26</x:f>
        <x:v>1</x:v>
      </x:c>
      <x:c r="Z26" s="2" t="n">
        <x:f t="shared" si="11">Z$8+(Z$9-Z$8)*H26</x:f>
        <x:v>1</x:v>
      </x:c>
      <x:c r="AA26" s="2" t="n">
        <x:f t="shared" si="12">AA$8+(AA$9-AA$8)*I26</x:f>
        <x:v>1</x:v>
      </x:c>
      <x:c r="AB26" s="2" t="n">
        <x:f t="shared" si="13">AB$8+(AB$9-AB$8)*J26</x:f>
        <x:v>1</x:v>
      </x:c>
      <x:c r="AC26" s="2" t="n">
        <x:f t="shared" si="14">AC$8+(AC$9-AC$8)*MAX(K26,L26)</x:f>
        <x:v>1</x:v>
      </x:c>
      <x:c r="AD26" s="1" t="n">
        <x:f t="shared" si="15">(V26*AE26+W26*AF26+X26*AG26)*PRODUCT(Y26:AC26)</x:f>
        <x:v>0.9889744872624077</x:v>
      </x:c>
      <x:c r="AE26" s="2" t="n">
        <x:f t="shared" si="16">1+AE$9*($H$10*H26+$I$10*I26+$J$10*J26+$K$10*K26+$L$10*L26)</x:f>
        <x:v>1</x:v>
      </x:c>
      <x:c r="AF26" s="2" t="n">
        <x:f t="shared" si="17">1+AF$9*($H$10*H26+$I$10*I26+$J$10*J26+$K$10*K26+$L$10*L26)</x:f>
        <x:v>1.0005193800211512</x:v>
      </x:c>
      <x:c r="AG26" s="2" t="n">
        <x:f t="shared" si="18">1+AG$9*($H$10*H26+$I$10*I26+$J$10*J26+$K$10*K26+$L$10*L26)</x:f>
        <x:v>1.0009204568152623</x:v>
      </x:c>
      <x:c r="AH26" s="2" t="n">
        <x:f>MIN(1,'_曲线基线'!$L$3+AH$9*($H$10*H26+$I$10*I26+$J$10*J26+$K$10*K26+$L$10*L26))</x:f>
        <x:v>0.05118158954811896</x:v>
      </x:c>
      <x:c r="AI26" s="2" t="n">
        <x:f>'_曲线基线'!$L$4+AI$9*($H$10*H26+$I$10*I26+$J$10*J26+$K$10*K26+$L$10*L26)</x:f>
        <x:v>2.0032915708840457</x:v>
      </x:c>
      <x:c r="AJ26" s="2" t="n">
        <x:f t="shared" si="19">1+AJ$9*($H$10*H26+$I$10*I26+$J$10*J26+$K$10*K26+$L$10*L26)</x:f>
        <x:v>1.0027007761099862</x:v>
      </x:c>
      <x:c r="AK26" s="1" t="n">
        <x:f t="shared" si="20">(1+AH26*(AI26-1))*AJ26</x:f>
        <x:v>1.0541895184962742</x:v>
      </x:c>
      <x:c r="AL26" s="1" t="n">
        <x:f t="shared" si="21">U26*AD26*AK26*F26</x:f>
        <x:v>11554.7916589384</x:v>
      </x:c>
      <x:c r="AM26" s="13" t="n">
        <x:f t="shared" si="22">IF($B26&lt;AM$8,0,AM$3+(AM$4-AM$3)*(POWER(AM$5,$B26-AM$8)-1)/(POWER(AM$5,$C$5-AM$8)-1))</x:f>
        <x:v>35.20066374903197</x:v>
      </x:c>
      <x:c r="AN26" s="13" t="n">
        <x:f>(((E26*'模块规划'!$D$10+G26*'模块规划'!$D$11+H26*'模块规划'!$D$13)*(1+'模块规划'!$G$14*H26)+(I26*'模块规划'!$D$15+J26*'模块规划'!$D$17+K26*'模块规划'!$D$16+L26*'模块规划'!$D$18))*(1+'模块规划'!$J$17*J26))*F26/(1-Q26)</x:f>
        <x:v>40054.770995084655</x:v>
      </x:c>
      <x:c r="AO26" s="1" t="n">
        <x:f t="shared" si="23">AL26*AM26</x:f>
        <x:v>406736.3358764099</x:v>
      </x:c>
      <x:c r="AP26" s="1" t="n">
        <x:f>IF(AO26="","",INDEX('_曲线基线'!$A$3:$A$502,MIN(ROWS('_曲线基线'!$A$3:$A$502),COUNTIF('_曲线基线'!$E$3:$E$502,"&lt;"&amp;AO26)+1)))</x:f>
        <x:v>29</x:v>
      </x:c>
      <x:c r="AQ26" s="14" t="n">
        <x:f t="shared" si="24">IF(B26&lt;=2,1,IF(B26&lt;=6,2,IF(B26&lt;=9,3,IF(B26&lt;=19,4,5))))</x:f>
        <x:v>4</x:v>
      </x:c>
      <x:c r="AR26" s="10" t="n">
        <x:f t="shared" si="26">AN26*(1-Q26)/F26*$AS$3+U26*$AS$4+P26*$AS$5</x:f>
        <x:v>833.0931736724792</x:v>
      </x:c>
      <x:c r="AS26" s="15" t="n">
        <x:f t="shared" si="27">1+AH26*$AS$6+AI26*$AS$7+(AJ26-1)*$AS$8+($H$10*H26+$I$10*I26+$J$10*J26+$K$10*K26+$L$10*L26)*$AU$3*$AS$9+($H$10*H26+$I$10*I26+$J$10*J26+$K$10*K26+$L$10*L26)*$AU$4*$AS$10</x:f>
        <x:v>5.012613546409333</x:v>
      </x:c>
      <x:c r="AT26" s="16" t="n">
        <x:f t="shared" si="28">ROUND(AR26*AS26,0)</x:f>
        <x:v>4176</x:v>
      </x:c>
      <x:c r="AU26" s="16" t="n">
        <x:f t="shared" si="29">ROUND(AT26*F26,0)</x:f>
        <x:v>16704</x:v>
      </x:c>
      <x:c r="AV26" t="n">
        <x:f>IF(AU26&gt;0,ROUND(AU26,-MAX(0,INT(LOG10(AU26))-2)),0)</x:f>
        <x:v>16700</x:v>
      </x:c>
    </x:row>
    <x:row r="27" customHeight="1">
      <x:c r="A27" s="1" t="n">
        <x:f>IFERROR(XLOOKUP(B27,'_曲线基线'!$G$3:$G$107,'_曲线基线'!$J$3:$J$107,""),"")</x:f>
        <x:v>13</x:v>
      </x:c>
      <x:c r="B27" s="1" t="n">
        <x:v>16</x:v>
      </x:c>
      <x:c r="C27" s="1" t="n">
        <x:v>2</x:v>
      </x:c>
      <x:c r="D27" s="1" t="n">
        <x:v>4</x:v>
      </x:c>
      <x:c r="E27" s="1" t="n">
        <x:f t="shared" si="0">IF($B27&lt;E$8,0,E$3+(E$4-E$3)*(POWER(E$5,$B27-E$8)-1)/(POWER(E$5,$C$5-E$8)-1))</x:f>
        <x:v>1</x:v>
      </x:c>
      <x:c r="F27" s="10" t="n">
        <x:f t="shared" si="1">1+IF(B27&lt;3,0,MIN(1,(B27-2)/4))+IF(B27&lt;7,0,MIN(1,(B27-6)/3))+IF(B27&lt;10,0,MIN(1,(B27-9)/5))+IF(B27&lt;20,0,MIN(1,(B27-19)/10))</x:f>
        <x:v>4</x:v>
      </x:c>
      <x:c r="G27" s="11" t="n">
        <x:f t="shared" ref="G27:L27" si="43">'玩家战力_节点'!G27</x:f>
        <x:v>0.1850063524131008</x:v>
      </x:c>
      <x:c r="H27" s="11" t="n">
        <x:f t="shared" si="43">'玩家战力_节点'!H27</x:f>
        <x:v>0.027311263506995063</x:v>
      </x:c>
      <x:c r="I27" s="11" t="n">
        <x:f t="shared" si="43">'玩家战力_节点'!I27</x:f>
        <x:v>0</x:v>
      </x:c>
      <x:c r="J27" s="11" t="n">
        <x:f t="shared" si="43">'玩家战力_节点'!J27</x:f>
        <x:v>0</x:v>
      </x:c>
      <x:c r="K27" s="11" t="n">
        <x:f t="shared" si="43">'玩家战力_节点'!K27</x:f>
        <x:v>0</x:v>
      </x:c>
      <x:c r="L27" s="11" t="n">
        <x:f t="shared" si="43">'玩家战力_节点'!L27</x:f>
        <x:v>0.013516332790513761</x:v>
      </x:c>
      <x:c r="M27" s="2" t="n">
        <x:f>E27*'模块规划'!$F$10+G27*'模块规划'!$F$11+H27*'模块规划'!$F$13</x:f>
        <x:v>1888.0304915828838</x:v>
      </x:c>
      <x:c r="N27" s="2" t="n">
        <x:f>I27*'模块规划'!$F$15+J27*'模块规划'!$F$17+K27*'模块规划'!$F$16+L27*'模块规划'!$F$18</x:f>
        <x:v>67.5816639525688</x:v>
      </x:c>
      <x:c r="O27" s="2" t="n">
        <x:f t="shared" si="3">1+O$9*SUMPRODUCT($H$10:$L$10,H27:L27)/SUM($H$10:$L$10)</x:f>
        <x:v>1.0184938035319107</x:v>
      </x:c>
      <x:c r="P27" s="12" t="n">
        <x:f t="shared" si="4">M27*O27+N27</x:f>
        <x:v>1990.529020509043</x:v>
      </x:c>
      <x:c r="Q27" s="7" t="n">
        <x:f>P27/(P27+'_曲线基线'!$L$2)</x:f>
        <x:v>0.07658670660140557</x:v>
      </x:c>
      <x:c r="R27" s="2" t="n">
        <x:f>E27*'模块规划'!$E$10+G27*'模块规划'!$E$11+H27*'模块规划'!$E$13</x:f>
        <x:v>2832.0457373743257</x:v>
      </x:c>
      <x:c r="S27" s="2" t="n">
        <x:f>I27*'模块规划'!$E$15+J27*'模块规划'!$E$17+K27*'模块规划'!$E$16+L27*'模块规划'!$E$18</x:f>
        <x:v>101.37249592885321</x:v>
      </x:c>
      <x:c r="T27" s="2" t="n">
        <x:f t="shared" si="5">1+T$9*SUMPRODUCT($H$10:$L$10,H27:L27)/SUM($H$10:$L$10)</x:f>
        <x:v>1.0184938035319107</x:v>
      </x:c>
      <x:c r="U27" s="12" t="n">
        <x:f t="shared" si="6">R27*T27+S27</x:f>
        <x:v>2985.793530763565</x:v>
      </x:c>
      <x:c r="V27" s="2" t="n">
        <x:f t="shared" si="7">V$8+(V$9-V$8)*H27</x:f>
        <x:v>0.7081933790520984</x:v>
      </x:c>
      <x:c r="W27" s="2" t="n">
        <x:f t="shared" si="8">IF(B27&lt;$H$8,0,W$8+(W$9-W$8)*H27)</x:f>
        <x:v>0.010924505402798025</x:v>
      </x:c>
      <x:c r="X27" s="2" t="n">
        <x:f t="shared" si="9">X$8+(X$9-X$8)*H27</x:f>
        <x:v>0.28251059746442364</x:v>
      </x:c>
      <x:c r="Y27" s="2" t="n">
        <x:f t="shared" si="10">Y$8+(Y$9-Y$8)*G27</x:f>
        <x:v>1</x:v>
      </x:c>
      <x:c r="Z27" s="2" t="n">
        <x:f t="shared" si="11">Z$8+(Z$9-Z$8)*H27</x:f>
        <x:v>1</x:v>
      </x:c>
      <x:c r="AA27" s="2" t="n">
        <x:f t="shared" si="12">AA$8+(AA$9-AA$8)*I27</x:f>
        <x:v>1</x:v>
      </x:c>
      <x:c r="AB27" s="2" t="n">
        <x:f t="shared" si="13">AB$8+(AB$9-AB$8)*J27</x:f>
        <x:v>1</x:v>
      </x:c>
      <x:c r="AC27" s="2" t="n">
        <x:f t="shared" si="14">AC$8+(AC$9-AC$8)*MAX(K27,L27)</x:f>
        <x:v>1</x:v>
      </x:c>
      <x:c r="AD27" s="1" t="n">
        <x:f t="shared" si="15">(V27*AE27+W27*AF27+X27*AG27)*PRODUCT(Y27:AC27)</x:f>
        <x:v>1.0024635328698288</x:v>
      </x:c>
      <x:c r="AE27" s="2" t="n">
        <x:f t="shared" si="16">1+AE$9*($H$10*H27+$I$10*I27+$J$10*J27+$K$10*K27+$L$10*L27)</x:f>
        <x:v>1</x:v>
      </x:c>
      <x:c r="AF27" s="2" t="n">
        <x:f t="shared" si="17">1+AF$9*($H$10*H27+$I$10*I27+$J$10*J27+$K$10*K27+$L$10*L27)</x:f>
        <x:v>1.0016322466275127</x:v>
      </x:c>
      <x:c r="AG27" s="2" t="n">
        <x:f t="shared" si="18">1+AG$9*($H$10*H27+$I$10*I27+$J$10*J27+$K$10*K27+$L$10*L27)</x:f>
        <x:v>1.0028927037454254</x:v>
      </x:c>
      <x:c r="AH27" s="2" t="n">
        <x:f>MIN(1,'_曲线基线'!$L$3+AH$9*($H$10*H27+$I$10*I27+$J$10*J27+$K$10*K27+$L$10*L27))</x:f>
        <x:v>0.05371336107759153</x:v>
      </x:c>
      <x:c r="AI27" s="2" t="n">
        <x:f>'_曲线基线'!$L$4+AI$9*($H$10*H27+$I$10*I27+$J$10*J27+$K$10*K27+$L$10*L27)</x:f>
        <x:v>2.0103443630018623</x:v>
      </x:c>
      <x:c r="AJ27" s="2" t="n">
        <x:f t="shared" si="19">1+AJ$9*($H$10*H27+$I$10*I27+$J$10*J27+$K$10*K27+$L$10*L27)</x:f>
        <x:v>1.0084876824630664</x:v>
      </x:c>
      <x:c r="AK27" s="1" t="n">
        <x:f t="shared" si="20">(1+AH27*(AI27-1))*AJ27</x:f>
        <x:v>1.0632172920138387</x:v>
      </x:c>
      <x:c r="AL27" s="1" t="n">
        <x:f t="shared" si="21">U27*AD27*AK27*F27</x:f>
        <x:v>12729.471655766125</x:v>
      </x:c>
      <x:c r="AM27" s="13" t="n">
        <x:f t="shared" si="22">IF($B27&lt;AM$8,0,AM$3+(AM$4-AM$3)*(POWER(AM$5,$B27-AM$8)-1)/(POWER(AM$5,$C$5-AM$8)-1))</x:f>
        <x:v>35.21609502644416</x:v>
      </x:c>
      <x:c r="AN27" s="13" t="n">
        <x:f>(((E27*'模块规划'!$D$10+G27*'模块规划'!$D$11+H27*'模块规划'!$D$13)*(1+'模块规划'!$G$14*H27)+(I27*'模块规划'!$D$15+J27*'模块规划'!$D$17+K27*'模块规划'!$D$16+L27*'模块规划'!$D$18))*(1+'模块规划'!$J$17*J27))*F27/(1-Q27)</x:f>
        <x:v>43361.30350918934</x:v>
      </x:c>
      <x:c r="AO27" s="1" t="n">
        <x:f t="shared" si="23">AL27*AM27</x:f>
        <x:v>448282.2834658873</x:v>
      </x:c>
      <x:c r="AP27" s="1" t="n">
        <x:f>IF(AO27="","",INDEX('_曲线基线'!$A$3:$A$502,MIN(ROWS('_曲线基线'!$A$3:$A$502),COUNTIF('_曲线基线'!$E$3:$E$502,"&lt;"&amp;AO27)+1)))</x:f>
        <x:v>31</x:v>
      </x:c>
      <x:c r="AQ27" s="14" t="n">
        <x:f t="shared" si="24">IF(B27&lt;=2,1,IF(B27&lt;=6,2,IF(B27&lt;=9,3,IF(B27&lt;=19,4,5))))</x:f>
        <x:v>4</x:v>
      </x:c>
      <x:c r="AR27" s="10" t="n">
        <x:f t="shared" si="26">AN27*(1-Q27)/F27*$AS$3+U27*$AS$4+P27*$AS$5</x:f>
        <x:v>897.4617367487872</x:v>
      </x:c>
      <x:c r="AS27" s="15" t="n">
        <x:f t="shared" si="27">1+AH27*$AS$6+AI27*$AS$7+(AJ27-1)*$AS$8+($H$10*H27+$I$10*I27+$J$10*J27+$K$10*K27+$L$10*L27)*$AU$3*$AS$9+($H$10*H27+$I$10*I27+$J$10*J27+$K$10*K27+$L$10*L27)*$AU$4*$AS$10</x:f>
        <x:v>5.079108590634118</x:v>
      </x:c>
      <x:c r="AT27" s="16" t="n">
        <x:f t="shared" si="28">ROUND(AR27*AS27,0)</x:f>
        <x:v>4558</x:v>
      </x:c>
      <x:c r="AU27" s="16" t="n">
        <x:f t="shared" si="29">ROUND(AT27*F27,0)</x:f>
        <x:v>18232</x:v>
      </x:c>
      <x:c r="AV27" t="n">
        <x:f>IF(AU27&gt;0,ROUND(AU27,-MAX(0,INT(LOG10(AU27))-2)),0)</x:f>
        <x:v>18200</x:v>
      </x:c>
    </x:row>
    <x:row r="28" customHeight="1">
      <x:c r="A28" s="1" t="n">
        <x:f>IFERROR(XLOOKUP(B28,'_曲线基线'!$G$3:$G$107,'_曲线基线'!$J$3:$J$107,""),"")</x:f>
        <x:v>13</x:v>
      </x:c>
      <x:c r="B28" s="1" t="n">
        <x:v>17</x:v>
      </x:c>
      <x:c r="C28" s="1" t="n">
        <x:v>2</x:v>
      </x:c>
      <x:c r="D28" s="1" t="n">
        <x:v>5</x:v>
      </x:c>
      <x:c r="E28" s="1" t="n">
        <x:f t="shared" si="0">IF($B28&lt;E$8,0,E$3+(E$4-E$3)*(POWER(E$5,$B28-E$8)-1)/(POWER(E$5,$C$5-E$8)-1))</x:f>
        <x:v>1</x:v>
      </x:c>
      <x:c r="F28" s="10" t="n">
        <x:f t="shared" si="1">1+IF(B28&lt;3,0,MIN(1,(B28-2)/4))+IF(B28&lt;7,0,MIN(1,(B28-6)/3))+IF(B28&lt;10,0,MIN(1,(B28-9)/5))+IF(B28&lt;20,0,MIN(1,(B28-19)/10))</x:f>
        <x:v>4</x:v>
      </x:c>
      <x:c r="G28" s="11" t="n">
        <x:f t="shared" ref="G28:L28" si="44">'玩家战力_节点'!G28</x:f>
        <x:v>0.1957701112945906</x:v>
      </x:c>
      <x:c r="H28" s="11" t="n">
        <x:f t="shared" si="44">'玩家战力_节点'!H28</x:f>
        <x:v>0.04055598477447872</x:v>
      </x:c>
      <x:c r="I28" s="11" t="n">
        <x:f t="shared" si="44">'玩家战力_节点'!I28</x:f>
        <x:v>0</x:v>
      </x:c>
      <x:c r="J28" s="11" t="n">
        <x:f t="shared" si="44">'玩家战力_节点'!J28</x:f>
        <x:v>0</x:v>
      </x:c>
      <x:c r="K28" s="11" t="n">
        <x:f t="shared" si="44">'玩家战力_节点'!K28</x:f>
        <x:v>0</x:v>
      </x:c>
      <x:c r="L28" s="11" t="n">
        <x:f t="shared" si="44">'玩家战力_节点'!L28</x:f>
        <x:v>0.027032665581027522</x:v>
      </x:c>
      <x:c r="M28" s="2" t="n">
        <x:f>E28*'模块规划'!$F$10+G28*'模块规划'!$F$11+H28*'模块规划'!$F$13</x:f>
        <x:v>1939.6965342140347</x:v>
      </x:c>
      <x:c r="N28" s="2" t="n">
        <x:f>I28*'模块规划'!$F$15+J28*'模块规划'!$F$17+K28*'模块规划'!$F$16+L28*'模块规划'!$F$18</x:f>
        <x:v>135.1633279051376</x:v>
      </x:c>
      <x:c r="O28" s="2" t="n">
        <x:f t="shared" si="3">1+O$9*SUMPRODUCT($H$10:$L$10,H28:L28)/SUM($H$10:$L$10)</x:f>
        <x:v>1.0311028884755487</x:v>
      </x:c>
      <x:c r="P28" s="12" t="n">
        <x:f t="shared" si="4">M28*O28+N28</x:f>
        <x:v>2135.1900270992396</x:v>
      </x:c>
      <x:c r="Q28" s="7" t="n">
        <x:f>P28/(P28+'_曲线基线'!$L$2)</x:f>
        <x:v>0.08169789562981132</x:v>
      </x:c>
      <x:c r="R28" s="2" t="n">
        <x:f>E28*'模块规划'!$E$10+G28*'模块规划'!$E$11+H28*'模块规划'!$E$13</x:f>
        <x:v>2909.5448013210525</x:v>
      </x:c>
      <x:c r="S28" s="2" t="n">
        <x:f>I28*'模块规划'!$E$15+J28*'模块规划'!$E$17+K28*'模块规划'!$E$16+L28*'模块规划'!$E$18</x:f>
        <x:v>202.74499185770642</x:v>
      </x:c>
      <x:c r="T28" s="2" t="n">
        <x:f t="shared" si="5">1+T$9*SUMPRODUCT($H$10:$L$10,H28:L28)/SUM($H$10:$L$10)</x:f>
        <x:v>1.0311028884755487</x:v>
      </x:c>
      <x:c r="U28" s="12" t="n">
        <x:f t="shared" si="6">R28*T28+S28</x:f>
        <x:v>3202.78504064886</x:v>
      </x:c>
      <x:c r="V28" s="2" t="n">
        <x:f t="shared" si="7">V$8+(V$9-V$8)*H28</x:f>
        <x:v>0.7121667954323436</x:v>
      </x:c>
      <x:c r="W28" s="2" t="n">
        <x:f t="shared" si="8">IF(B28&lt;$H$8,0,W$8+(W$9-W$8)*H28)</x:f>
        <x:v>0.01622239390979149</x:v>
      </x:c>
      <x:c r="X28" s="2" t="n">
        <x:f t="shared" si="9">X$8+(X$9-X$8)*H28</x:f>
        <x:v>0.28615289581298164</x:v>
      </x:c>
      <x:c r="Y28" s="2" t="n">
        <x:f t="shared" si="10">Y$8+(Y$9-Y$8)*G28</x:f>
        <x:v>1</x:v>
      </x:c>
      <x:c r="Z28" s="2" t="n">
        <x:f t="shared" si="11">Z$8+(Z$9-Z$8)*H28</x:f>
        <x:v>1</x:v>
      </x:c>
      <x:c r="AA28" s="2" t="n">
        <x:f t="shared" si="12">AA$8+(AA$9-AA$8)*I28</x:f>
        <x:v>1</x:v>
      </x:c>
      <x:c r="AB28" s="2" t="n">
        <x:f t="shared" si="13">AB$8+(AB$9-AB$8)*J28</x:f>
        <x:v>1</x:v>
      </x:c>
      <x:c r="AC28" s="2" t="n">
        <x:f t="shared" si="14">AC$8+(AC$9-AC$8)*MAX(K28,L28)</x:f>
        <x:v>1</x:v>
      </x:c>
      <x:c r="AD28" s="1" t="n">
        <x:f t="shared" si="15">(V28*AE28+W28*AF28+X28*AG28)*PRODUCT(Y28:AC28)</x:f>
        <x:v>1.0159787371871307</x:v>
      </x:c>
      <x:c r="AE28" s="2" t="n">
        <x:f t="shared" si="16">1+AE$9*($H$10*H28+$I$10*I28+$J$10*J28+$K$10*K28+$L$10*L28)</x:f>
        <x:v>1</x:v>
      </x:c>
      <x:c r="AF28" s="2" t="n">
        <x:f t="shared" si="17">1+AF$9*($H$10*H28+$I$10*I28+$J$10*J28+$K$10*K28+$L$10*L28)</x:f>
        <x:v>1.0027451132338743</x:v>
      </x:c>
      <x:c r="AG28" s="2" t="n">
        <x:f t="shared" si="18">1+AG$9*($H$10*H28+$I$10*I28+$J$10*J28+$K$10*K28+$L$10*L28)</x:f>
        <x:v>1.0048649506755885</x:v>
      </x:c>
      <x:c r="AH28" s="2" t="n">
        <x:f>MIN(1,'_曲线基线'!$L$3+AH$9*($H$10*H28+$I$10*I28+$J$10*J28+$K$10*K28+$L$10*L28))</x:f>
        <x:v>0.056245132607064104</x:v>
      </x:c>
      <x:c r="AI28" s="2" t="n">
        <x:f>'_曲线基线'!$L$4+AI$9*($H$10*H28+$I$10*I28+$J$10*J28+$K$10*K28+$L$10*L28)</x:f>
        <x:v>2.0173971551196788</x:v>
      </x:c>
      <x:c r="AJ28" s="2" t="n">
        <x:f t="shared" si="19">1+AJ$9*($H$10*H28+$I$10*I28+$J$10*J28+$K$10*K28+$L$10*L28)</x:f>
        <x:v>1.0142745888161466</x:v>
      </x:c>
      <x:c r="AK28" s="1" t="n">
        <x:f t="shared" si="20">(1+AH28*(AI28-1))*AJ28</x:f>
        <x:v>1.072315070621543</x:v>
      </x:c>
      <x:c r="AL28" s="1" t="n">
        <x:f t="shared" si="21">U28*AD28*AK28*F28</x:f>
        <x:v>13957.087827322654</x:v>
      </x:c>
      <x:c r="AM28" s="13" t="n">
        <x:f t="shared" si="22">IF($B28&lt;AM$8,0,AM$3+(AM$4-AM$3)*(POWER(AM$5,$B28-AM$8)-1)/(POWER(AM$5,$C$5-AM$8)-1))</x:f>
        <x:v>35.23168061663046</x:v>
      </x:c>
      <x:c r="AN28" s="13" t="n">
        <x:f>(((E28*'模块规划'!$D$10+G28*'模块规划'!$D$11+H28*'模块规划'!$D$13)*(1+'模块规划'!$G$14*H28)+(I28*'模块规划'!$D$15+J28*'模块规划'!$D$17+K28*'模块规划'!$D$16+L28*'模块规划'!$D$18))*(1+'模块规划'!$J$17*J28))*F28/(1-Q28)</x:f>
        <x:v>46731.016398760905</x:v>
      </x:c>
      <x:c r="AO28" s="1" t="n">
        <x:f t="shared" si="23">AL28*AM28</x:f>
        <x:v>491731.6606704925</x:v>
      </x:c>
      <x:c r="AP28" s="1" t="n">
        <x:f>IF(AO28="","",INDEX('_曲线基线'!$A$3:$A$502,MIN(ROWS('_曲线基线'!$A$3:$A$502),COUNTIF('_曲线基线'!$E$3:$E$502,"&lt;"&amp;AO28)+1)))</x:f>
        <x:v>33</x:v>
      </x:c>
      <x:c r="AQ28" s="14" t="n">
        <x:f t="shared" si="24">IF(B28&lt;=2,1,IF(B28&lt;=6,2,IF(B28&lt;=9,3,IF(B28&lt;=19,4,5))))</x:f>
        <x:v>4</x:v>
      </x:c>
      <x:c r="AR28" s="10" t="n">
        <x:f t="shared" si="26">AN28*(1-Q28)/F28*$AS$3+U28*$AS$4+P28*$AS$5</x:f>
        <x:v>962.4059383673214</x:v>
      </x:c>
      <x:c r="AS28" s="15" t="n">
        <x:f t="shared" si="27">1+AH28*$AS$6+AI28*$AS$7+(AJ28-1)*$AS$8+($H$10*H28+$I$10*I28+$J$10*J28+$K$10*K28+$L$10*L28)*$AU$3*$AS$9+($H$10*H28+$I$10*I28+$J$10*J28+$K$10*K28+$L$10*L28)*$AU$4*$AS$10</x:f>
        <x:v>5.1456036348589045</x:v>
      </x:c>
      <x:c r="AT28" s="16" t="n">
        <x:f t="shared" si="28">ROUND(AR28*AS28,0)</x:f>
        <x:v>4952</x:v>
      </x:c>
      <x:c r="AU28" s="16" t="n">
        <x:f t="shared" si="29">ROUND(AT28*F28,0)</x:f>
        <x:v>19808</x:v>
      </x:c>
      <x:c r="AV28" t="n">
        <x:f>IF(AU28&gt;0,ROUND(AU28,-MAX(0,INT(LOG10(AU28))-2)),0)</x:f>
        <x:v>19800</x:v>
      </x:c>
    </x:row>
    <x:row r="29" customHeight="1">
      <x:c r="A29" s="1" t="n">
        <x:f>IFERROR(XLOOKUP(B29,'_曲线基线'!$G$3:$G$107,'_曲线基线'!$J$3:$J$107,""),"")</x:f>
        <x:v>14</x:v>
      </x:c>
      <x:c r="B29" s="1" t="n">
        <x:v>18</x:v>
      </x:c>
      <x:c r="C29" s="1" t="n">
        <x:v>2</x:v>
      </x:c>
      <x:c r="D29" s="1" t="n">
        <x:v>6</x:v>
      </x:c>
      <x:c r="E29" s="1" t="n">
        <x:f t="shared" si="0">IF($B29&lt;E$8,0,E$3+(E$4-E$3)*(POWER(E$5,$B29-E$8)-1)/(POWER(E$5,$C$5-E$8)-1))</x:f>
        <x:v>1</x:v>
      </x:c>
      <x:c r="F29" s="10" t="n">
        <x:f t="shared" si="1">1+IF(B29&lt;3,0,MIN(1,(B29-2)/4))+IF(B29&lt;7,0,MIN(1,(B29-6)/3))+IF(B29&lt;10,0,MIN(1,(B29-9)/5))+IF(B29&lt;20,0,MIN(1,(B29-19)/10))</x:f>
        <x:v>4</x:v>
      </x:c>
      <x:c r="G29" s="11" t="n">
        <x:f t="shared" ref="G29:L29" si="45">'玩家战力_节点'!G29</x:f>
        <x:v>0.20653387017608038</x:v>
      </x:c>
      <x:c r="H29" s="11" t="n">
        <x:f t="shared" si="45">'玩家战力_节点'!H29</x:f>
        <x:v>0.053800706041962375</x:v>
      </x:c>
      <x:c r="I29" s="11" t="n">
        <x:f t="shared" si="45">'玩家战力_节点'!I29</x:f>
        <x:v>0</x:v>
      </x:c>
      <x:c r="J29" s="11" t="n">
        <x:f t="shared" si="45">'玩家战力_节点'!J29</x:f>
        <x:v>0</x:v>
      </x:c>
      <x:c r="K29" s="11" t="n">
        <x:f t="shared" si="45">'玩家战力_节点'!K29</x:f>
        <x:v>0</x:v>
      </x:c>
      <x:c r="L29" s="11" t="n">
        <x:f t="shared" si="45">'玩家战力_节点'!L29</x:f>
        <x:v>0.04054899837154128</x:v>
      </x:c>
      <x:c r="M29" s="2" t="n">
        <x:f>E29*'模块规划'!$F$10+G29*'模块规划'!$F$11+H29*'模块规划'!$F$13</x:f>
        <x:v>1991.3625768451857</x:v>
      </x:c>
      <x:c r="N29" s="2" t="n">
        <x:f>I29*'模块规划'!$F$15+J29*'模块规划'!$F$17+K29*'模块规划'!$F$16+L29*'模块规划'!$F$18</x:f>
        <x:v>202.7449918577064</x:v>
      </x:c>
      <x:c r="O29" s="2" t="n">
        <x:f t="shared" si="3">1+O$9*SUMPRODUCT($H$10:$L$10,H29:L29)/SUM($H$10:$L$10)</x:f>
        <x:v>1.0437119734191866</x:v>
      </x:c>
      <x:c r="P29" s="12" t="n">
        <x:f t="shared" si="4">M29*O29+N29</x:f>
        <x:v>2281.153956729912</x:v>
      </x:c>
      <x:c r="Q29" s="7" t="n">
        <x:f>P29/(P29+'_曲线基线'!$L$2)</x:f>
        <x:v>0.08679808963052661</x:v>
      </x:c>
      <x:c r="R29" s="2" t="n">
        <x:f>E29*'模块规划'!$E$10+G29*'模块规划'!$E$11+H29*'模块规划'!$E$13</x:f>
        <x:v>2987.0438652677785</x:v>
      </x:c>
      <x:c r="S29" s="2" t="n">
        <x:f>I29*'模块规划'!$E$15+J29*'模块规划'!$E$17+K29*'模块规划'!$E$16+L29*'模块规划'!$E$18</x:f>
        <x:v>304.1174877865596</x:v>
      </x:c>
      <x:c r="T29" s="2" t="n">
        <x:f t="shared" si="5">1+T$9*SUMPRODUCT($H$10:$L$10,H29:L29)/SUM($H$10:$L$10)</x:f>
        <x:v>1.0437119734191866</x:v>
      </x:c>
      <x:c r="U29" s="12" t="n">
        <x:f t="shared" si="6">R29*T29+S29</x:f>
        <x:v>3421.730935094868</x:v>
      </x:c>
      <x:c r="V29" s="2" t="n">
        <x:f t="shared" si="7">V$8+(V$9-V$8)*H29</x:f>
        <x:v>0.7161402118125887</x:v>
      </x:c>
      <x:c r="W29" s="2" t="n">
        <x:f t="shared" si="8">IF(B29&lt;$H$8,0,W$8+(W$9-W$8)*H29)</x:f>
        <x:v>0.021520282416784952</x:v>
      </x:c>
      <x:c r="X29" s="2" t="n">
        <x:f t="shared" si="9">X$8+(X$9-X$8)*H29</x:f>
        <x:v>0.28979519416153965</x:v>
      </x:c>
      <x:c r="Y29" s="2" t="n">
        <x:f t="shared" si="10">Y$8+(Y$9-Y$8)*G29</x:f>
        <x:v>1</x:v>
      </x:c>
      <x:c r="Z29" s="2" t="n">
        <x:f t="shared" si="11">Z$8+(Z$9-Z$8)*H29</x:f>
        <x:v>1</x:v>
      </x:c>
      <x:c r="AA29" s="2" t="n">
        <x:f t="shared" si="12">AA$8+(AA$9-AA$8)*I29</x:f>
        <x:v>1</x:v>
      </x:c>
      <x:c r="AB29" s="2" t="n">
        <x:f t="shared" si="13">AB$8+(AB$9-AB$8)*J29</x:f>
        <x:v>1</x:v>
      </x:c>
      <x:c r="AC29" s="2" t="n">
        <x:f t="shared" si="14">AC$8+(AC$9-AC$8)*MAX(K29,L29)</x:f>
        <x:v>1</x:v>
      </x:c>
      <x:c r="AD29" s="1" t="n">
        <x:f t="shared" si="15">(V29*AE29+W29*AF29+X29*AG29)*PRODUCT(Y29:AC29)</x:f>
        <x:v>1.029520100214313</x:v>
      </x:c>
      <x:c r="AE29" s="2" t="n">
        <x:f t="shared" si="16">1+AE$9*($H$10*H29+$I$10*I29+$J$10*J29+$K$10*K29+$L$10*L29)</x:f>
        <x:v>1</x:v>
      </x:c>
      <x:c r="AF29" s="2" t="n">
        <x:f t="shared" si="17">1+AF$9*($H$10*H29+$I$10*I29+$J$10*J29+$K$10*K29+$L$10*L29)</x:f>
        <x:v>1.0038579798402358</x:v>
      </x:c>
      <x:c r="AG29" s="2" t="n">
        <x:f t="shared" si="18">1+AG$9*($H$10*H29+$I$10*I29+$J$10*J29+$K$10*K29+$L$10*L29)</x:f>
        <x:v>1.0068371976057515</x:v>
      </x:c>
      <x:c r="AH29" s="2" t="n">
        <x:f>MIN(1,'_曲线基线'!$L$3+AH$9*($H$10*H29+$I$10*I29+$J$10*J29+$K$10*K29+$L$10*L29))</x:f>
        <x:v>0.058776904136536676</x:v>
      </x:c>
      <x:c r="AI29" s="2" t="n">
        <x:f>'_曲线基线'!$L$4+AI$9*($H$10*H29+$I$10*I29+$J$10*J29+$K$10*K29+$L$10*L29)</x:f>
        <x:v>2.024449947237495</x:v>
      </x:c>
      <x:c r="AJ29" s="2" t="n">
        <x:f t="shared" si="19">1+AJ$9*($H$10*H29+$I$10*I29+$J$10*J29+$K$10*K29+$L$10*L29)</x:f>
        <x:v>1.0200614951692266</x:v>
      </x:c>
      <x:c r="AK29" s="1" t="n">
        <x:f t="shared" si="20">(1+AH29*(AI29-1))*AJ29</x:f>
        <x:v>1.0814834743074089</x:v>
      </x:c>
      <x:c r="AL29" s="1" t="n">
        <x:f t="shared" si="21">U29*AD29*AK29*F29</x:f>
        <x:v>15239.14373061354</x:v>
      </x:c>
      <x:c r="AM29" s="13" t="n">
        <x:f t="shared" si="22">IF($B29&lt;AM$8,0,AM$3+(AM$4-AM$3)*(POWER(AM$5,$B29-AM$8)-1)/(POWER(AM$5,$C$5-AM$8)-1))</x:f>
        <x:v>35.24742206271864</x:v>
      </x:c>
      <x:c r="AN29" s="13" t="n">
        <x:f>(((E29*'模块规划'!$D$10+G29*'模块规划'!$D$11+H29*'模块规划'!$D$13)*(1+'模块规划'!$G$14*H29)+(I29*'模块规划'!$D$15+J29*'模块规划'!$D$17+K29*'模块规划'!$D$16+L29*'模块规划'!$D$18))*(1+'模块规划'!$J$17*J29))*F29/(1-Q29)</x:f>
        <x:v>50164.823004673635</x:v>
      </x:c>
      <x:c r="AO29" s="1" t="n">
        <x:f t="shared" si="23">AL29*AM29</x:f>
        <x:v>537140.5309473681</x:v>
      </x:c>
      <x:c r="AP29" s="1" t="n">
        <x:f>IF(AO29="","",INDEX('_曲线基线'!$A$3:$A$502,MIN(ROWS('_曲线基线'!$A$3:$A$502),COUNTIF('_曲线基线'!$E$3:$E$502,"&lt;"&amp;AO29)+1)))</x:f>
        <x:v>35</x:v>
      </x:c>
      <x:c r="AQ29" s="14" t="n">
        <x:f t="shared" si="24">IF(B29&lt;=2,1,IF(B29&lt;=6,2,IF(B29&lt;=9,3,IF(B29&lt;=19,4,5))))</x:f>
        <x:v>4</x:v>
      </x:c>
      <x:c r="AR29" s="10" t="n">
        <x:f t="shared" si="26">AN29*(1-Q29)/F29*$AS$3+U29*$AS$4+P29*$AS$5</x:f>
        <x:v>1027.925778528082</x:v>
      </x:c>
      <x:c r="AS29" s="15" t="n">
        <x:f t="shared" si="27">1+AH29*$AS$6+AI29*$AS$7+(AJ29-1)*$AS$8+($H$10*H29+$I$10*I29+$J$10*J29+$K$10*K29+$L$10*L29)*$AU$3*$AS$9+($H$10*H29+$I$10*I29+$J$10*J29+$K$10*K29+$L$10*L29)*$AU$4*$AS$10</x:f>
        <x:v>5.212098679083688</x:v>
      </x:c>
      <x:c r="AT29" s="16" t="n">
        <x:f t="shared" si="28">ROUND(AR29*AS29,0)</x:f>
        <x:v>5358</x:v>
      </x:c>
      <x:c r="AU29" s="16" t="n">
        <x:f t="shared" si="29">ROUND(AT29*F29,0)</x:f>
        <x:v>21432</x:v>
      </x:c>
      <x:c r="AV29" t="n">
        <x:f>IF(AU29&gt;0,ROUND(AU29,-MAX(0,INT(LOG10(AU29))-2)),0)</x:f>
        <x:v>21400</x:v>
      </x:c>
    </x:row>
    <x:row r="30" customHeight="1">
      <x:c r="A30" s="1" t="n">
        <x:f>IFERROR(XLOOKUP(B30,'_曲线基线'!$G$3:$G$107,'_曲线基线'!$J$3:$J$107,""),"")</x:f>
        <x:v>14</x:v>
      </x:c>
      <x:c r="B30" s="1" t="n">
        <x:v>19</x:v>
      </x:c>
      <x:c r="C30" s="1" t="n">
        <x:v>2</x:v>
      </x:c>
      <x:c r="D30" s="1" t="n">
        <x:v>7</x:v>
      </x:c>
      <x:c r="E30" s="1" t="n">
        <x:f t="shared" si="0">IF($B30&lt;E$8,0,E$3+(E$4-E$3)*(POWER(E$5,$B30-E$8)-1)/(POWER(E$5,$C$5-E$8)-1))</x:f>
        <x:v>1</x:v>
      </x:c>
      <x:c r="F30" s="10" t="n">
        <x:f t="shared" si="1">1+IF(B30&lt;3,0,MIN(1,(B30-2)/4))+IF(B30&lt;7,0,MIN(1,(B30-6)/3))+IF(B30&lt;10,0,MIN(1,(B30-9)/5))+IF(B30&lt;20,0,MIN(1,(B30-19)/10))</x:f>
        <x:v>4</x:v>
      </x:c>
      <x:c r="G30" s="11" t="n">
        <x:f t="shared" ref="G30:L30" si="46">'玩家战力_节点'!G30</x:f>
        <x:v>0.21729762905757022</x:v>
      </x:c>
      <x:c r="H30" s="11" t="n">
        <x:f t="shared" si="46">'玩家战力_节点'!H30</x:f>
        <x:v>0.06704542730944604</x:v>
      </x:c>
      <x:c r="I30" s="11" t="n">
        <x:f t="shared" si="46">'玩家战力_节点'!I30</x:f>
        <x:v>0</x:v>
      </x:c>
      <x:c r="J30" s="11" t="n">
        <x:f t="shared" si="46">'玩家战力_节点'!J30</x:f>
        <x:v>0</x:v>
      </x:c>
      <x:c r="K30" s="11" t="n">
        <x:f t="shared" si="46">'玩家战力_节点'!K30</x:f>
        <x:v>0</x:v>
      </x:c>
      <x:c r="L30" s="11" t="n">
        <x:f t="shared" si="46">'玩家战力_节点'!L30</x:f>
        <x:v>0.054065331162055044</x:v>
      </x:c>
      <x:c r="M30" s="2" t="n">
        <x:f>E30*'模块规划'!$F$10+G30*'模块规划'!$F$11+H30*'模块规划'!$F$13</x:f>
        <x:v>2043.028619476337</x:v>
      </x:c>
      <x:c r="N30" s="2" t="n">
        <x:f>I30*'模块规划'!$F$15+J30*'模块规划'!$F$17+K30*'模块规划'!$F$16+L30*'模块规划'!$F$18</x:f>
        <x:v>270.3266558102752</x:v>
      </x:c>
      <x:c r="O30" s="2" t="n">
        <x:f t="shared" si="3">1+O$9*SUMPRODUCT($H$10:$L$10,H30:L30)/SUM($H$10:$L$10)</x:f>
        <x:v>1.0563210583628246</x:v>
      </x:c>
      <x:c r="P30" s="12" t="n">
        <x:f t="shared" si="4">M30*O30+N30</x:f>
        <x:v>2428.42080940106</x:v>
      </x:c>
      <x:c r="Q30" s="7" t="n">
        <x:f>P30/(P30+'_曲线基线'!$L$2)</x:f>
        <x:v>0.09188671646007798</x:v>
      </x:c>
      <x:c r="R30" s="2" t="n">
        <x:f>E30*'模块规划'!$E$10+G30*'模块规划'!$E$11+H30*'模块规划'!$E$13</x:f>
        <x:v>3064.5429292145054</x:v>
      </x:c>
      <x:c r="S30" s="2" t="n">
        <x:f>I30*'模块规划'!$E$15+J30*'模块规划'!$E$17+K30*'模块规划'!$E$16+L30*'模块规划'!$E$18</x:f>
        <x:v>405.48998371541285</x:v>
      </x:c>
      <x:c r="T30" s="2" t="n">
        <x:f t="shared" si="5">1+T$9*SUMPRODUCT($H$10:$L$10,H30:L30)/SUM($H$10:$L$10)</x:f>
        <x:v>1.0563210583628246</x:v>
      </x:c>
      <x:c r="U30" s="12" t="n">
        <x:f t="shared" si="6">R30*T30+S30</x:f>
        <x:v>3642.63121410159</x:v>
      </x:c>
      <x:c r="V30" s="2" t="n">
        <x:f t="shared" si="7">V$8+(V$9-V$8)*H30</x:f>
        <x:v>0.7201136281928338</x:v>
      </x:c>
      <x:c r="W30" s="2" t="n">
        <x:f t="shared" si="8">IF(B30&lt;$H$8,0,W$8+(W$9-W$8)*H30)</x:f>
        <x:v>0.026818170923778417</x:v>
      </x:c>
      <x:c r="X30" s="2" t="n">
        <x:f t="shared" si="9">X$8+(X$9-X$8)*H30</x:f>
        <x:v>0.2934374925100977</x:v>
      </x:c>
      <x:c r="Y30" s="2" t="n">
        <x:f t="shared" si="10">Y$8+(Y$9-Y$8)*G30</x:f>
        <x:v>1</x:v>
      </x:c>
      <x:c r="Z30" s="2" t="n">
        <x:f t="shared" si="11">Z$8+(Z$9-Z$8)*H30</x:f>
        <x:v>1</x:v>
      </x:c>
      <x:c r="AA30" s="2" t="n">
        <x:f t="shared" si="12">AA$8+(AA$9-AA$8)*I30</x:f>
        <x:v>1</x:v>
      </x:c>
      <x:c r="AB30" s="2" t="n">
        <x:f t="shared" si="13">AB$8+(AB$9-AB$8)*J30</x:f>
        <x:v>1</x:v>
      </x:c>
      <x:c r="AC30" s="2" t="n">
        <x:f t="shared" si="14">AC$8+(AC$9-AC$8)*MAX(K30,L30)</x:f>
        <x:v>1</x:v>
      </x:c>
      <x:c r="AD30" s="1" t="n">
        <x:f t="shared" si="15">(V30*AE30+W30*AF30+X30*AG30)*PRODUCT(Y30:AC30)</x:f>
        <x:v>1.0430876219513763</x:v>
      </x:c>
      <x:c r="AE30" s="2" t="n">
        <x:f t="shared" si="16">1+AE$9*($H$10*H30+$I$10*I30+$J$10*J30+$K$10*K30+$L$10*L30)</x:f>
        <x:v>1</x:v>
      </x:c>
      <x:c r="AF30" s="2" t="n">
        <x:f t="shared" si="17">1+AF$9*($H$10*H30+$I$10*I30+$J$10*J30+$K$10*K30+$L$10*L30)</x:f>
        <x:v>1.0049708464465974</x:v>
      </x:c>
      <x:c r="AG30" s="2" t="n">
        <x:f t="shared" si="18">1+AG$9*($H$10*H30+$I$10*I30+$J$10*J30+$K$10*K30+$L$10*L30)</x:f>
        <x:v>1.0088094445359146</x:v>
      </x:c>
      <x:c r="AH30" s="2" t="n">
        <x:f>MIN(1,'_曲线基线'!$L$3+AH$9*($H$10*H30+$I$10*I30+$J$10*J30+$K$10*K30+$L$10*L30))</x:f>
        <x:v>0.06130867566600925</x:v>
      </x:c>
      <x:c r="AI30" s="2" t="n">
        <x:f>'_曲线基线'!$L$4+AI$9*($H$10*H30+$I$10*I30+$J$10*J30+$K$10*K30+$L$10*L30)</x:f>
        <x:v>2.0315027393553113</x:v>
      </x:c>
      <x:c r="AJ30" s="2" t="n">
        <x:f t="shared" si="19">1+AJ$9*($H$10*H30+$I$10*I30+$J$10*J30+$K$10*K30+$L$10*L30)</x:f>
        <x:v>1.0258484015223068</x:v>
      </x:c>
      <x:c r="AK30" s="1" t="n">
        <x:f t="shared" si="20">(1+AH30*(AI30-1))*AJ30</x:f>
        <x:v>1.0907231230594603</x:v>
      </x:c>
      <x:c r="AL30" s="1" t="n">
        <x:f t="shared" si="21">U30*AD30*AK30*F30</x:f>
        <x:v>16577.1744599968</x:v>
      </x:c>
      <x:c r="AM30" s="13" t="n">
        <x:f t="shared" si="22">IF($B30&lt;AM$8,0,AM$3+(AM$4-AM$3)*(POWER(AM$5,$B30-AM$8)-1)/(POWER(AM$5,$C$5-AM$8)-1))</x:f>
        <x:v>35.26332092326769</x:v>
      </x:c>
      <x:c r="AN30" s="13" t="n">
        <x:f>(((E30*'模块规划'!$D$10+G30*'模块规划'!$D$11+H30*'模块规划'!$D$13)*(1+'模块规划'!$G$14*H30)+(I30*'模块规划'!$D$15+J30*'模块规划'!$D$17+K30*'模块规划'!$D$16+L30*'模块规划'!$D$18))*(1+'模块规划'!$J$17*J30))*F30/(1-Q30)</x:f>
        <x:v>53663.64469214134</x:v>
      </x:c>
      <x:c r="AO30" s="1" t="n">
        <x:f t="shared" si="23">AL30*AM30</x:f>
        <x:v>584566.222983864</x:v>
      </x:c>
      <x:c r="AP30" s="1" t="n">
        <x:f>IF(AO30="","",INDEX('_曲线基线'!$A$3:$A$502,MIN(ROWS('_曲线基线'!$A$3:$A$502),COUNTIF('_曲线基线'!$E$3:$E$502,"&lt;"&amp;AO30)+1)))</x:f>
        <x:v>37</x:v>
      </x:c>
      <x:c r="AQ30" s="14" t="n">
        <x:f t="shared" si="24">IF(B30&lt;=2,1,IF(B30&lt;=6,2,IF(B30&lt;=9,3,IF(B30&lt;=19,4,5))))</x:f>
        <x:v>4</x:v>
      </x:c>
      <x:c r="AR30" s="10" t="n">
        <x:f t="shared" si="26">AN30*(1-Q30)/F30*$AS$3+U30*$AS$4+P30*$AS$5</x:f>
        <x:v>1094.0212572310693</x:v>
      </x:c>
      <x:c r="AS30" s="15" t="n">
        <x:f t="shared" si="27">1+AH30*$AS$6+AI30*$AS$7+(AJ30-1)*$AS$8+($H$10*H30+$I$10*I30+$J$10*J30+$K$10*K30+$L$10*L30)*$AU$3*$AS$9+($H$10*H30+$I$10*I30+$J$10*J30+$K$10*K30+$L$10*L30)*$AU$4*$AS$10</x:f>
        <x:v>5.278593723308474</x:v>
      </x:c>
      <x:c r="AT30" s="16" t="n">
        <x:f t="shared" si="28">ROUND(AR30*AS30,0)</x:f>
        <x:v>5775</x:v>
      </x:c>
      <x:c r="AU30" s="16" t="n">
        <x:f t="shared" si="29">ROUND(AT30*F30,0)</x:f>
        <x:v>23100</x:v>
      </x:c>
      <x:c r="AV30" t="n">
        <x:f>IF(AU30&gt;0,ROUND(AU30,-MAX(0,INT(LOG10(AU30))-2)),0)</x:f>
        <x:v>23100</x:v>
      </x:c>
    </x:row>
    <x:row r="31" customHeight="1">
      <x:c r="A31" s="1" t="n">
        <x:f>IFERROR(XLOOKUP(B31,'_曲线基线'!$G$3:$G$107,'_曲线基线'!$J$3:$J$107,""),"")</x:f>
        <x:v>15</x:v>
      </x:c>
      <x:c r="B31" s="1" t="n">
        <x:v>20</x:v>
      </x:c>
      <x:c r="C31" s="1" t="n">
        <x:v>2</x:v>
      </x:c>
      <x:c r="D31" s="1" t="n">
        <x:v>8</x:v>
      </x:c>
      <x:c r="E31" s="1" t="n">
        <x:f t="shared" si="0">IF($B31&lt;E$8,0,E$3+(E$4-E$3)*(POWER(E$5,$B31-E$8)-1)/(POWER(E$5,$C$5-E$8)-1))</x:f>
        <x:v>1</x:v>
      </x:c>
      <x:c r="F31" s="10" t="n">
        <x:f t="shared" si="1">1+IF(B31&lt;3,0,MIN(1,(B31-2)/4))+IF(B31&lt;7,0,MIN(1,(B31-6)/3))+IF(B31&lt;10,0,MIN(1,(B31-9)/5))+IF(B31&lt;20,0,MIN(1,(B31-19)/10))</x:f>
        <x:v>4.1</x:v>
      </x:c>
      <x:c r="G31" s="11" t="n">
        <x:f t="shared" ref="G31:L31" si="47">'玩家战力_节点'!G31</x:f>
        <x:v>0.22806138793906</x:v>
      </x:c>
      <x:c r="H31" s="11" t="n">
        <x:f t="shared" si="47">'玩家战力_节点'!H31</x:f>
        <x:v>0.0802901485769297</x:v>
      </x:c>
      <x:c r="I31" s="11" t="n">
        <x:f t="shared" si="47">'玩家战力_节点'!I31</x:f>
        <x:v>0</x:v>
      </x:c>
      <x:c r="J31" s="11" t="n">
        <x:f t="shared" si="47">'玩家战力_节点'!J31</x:f>
        <x:v>0</x:v>
      </x:c>
      <x:c r="K31" s="11" t="n">
        <x:f t="shared" si="47">'玩家战力_节点'!K31</x:f>
        <x:v>0</x:v>
      </x:c>
      <x:c r="L31" s="11" t="n">
        <x:f t="shared" si="47">'玩家战力_节点'!L31</x:f>
        <x:v>0.0675816639525688</x:v>
      </x:c>
      <x:c r="M31" s="2" t="n">
        <x:f>E31*'模块规划'!$F$10+G31*'模块规划'!$F$11+H31*'模块规划'!$F$13</x:f>
        <x:v>2094.694662107488</x:v>
      </x:c>
      <x:c r="N31" s="2" t="n">
        <x:f>I31*'模块规划'!$F$15+J31*'模块规划'!$F$17+K31*'模块规划'!$F$16+L31*'模块规划'!$F$18</x:f>
        <x:v>337.90831976284403</x:v>
      </x:c>
      <x:c r="O31" s="2" t="n">
        <x:f t="shared" si="3">1+O$9*SUMPRODUCT($H$10:$L$10,H31:L31)/SUM($H$10:$L$10)</x:f>
        <x:v>1.0689301433064626</x:v>
      </x:c>
      <x:c r="P31" s="12" t="n">
        <x:f t="shared" si="4">M31*O31+N31</x:f>
        <x:v>2576.990585112683</x:v>
      </x:c>
      <x:c r="Q31" s="7" t="n">
        <x:f>P31/(P31+'_曲线基线'!$L$2)</x:f>
        <x:v>0.09696322000265167</x:v>
      </x:c>
      <x:c r="R31" s="2" t="n">
        <x:f>E31*'模块规划'!$E$10+G31*'模块规划'!$E$11+H31*'模块规划'!$E$13</x:f>
        <x:v>3142.0419931612323</x:v>
      </x:c>
      <x:c r="S31" s="2" t="n">
        <x:f>I31*'模块规划'!$E$15+J31*'模块规划'!$E$17+K31*'模块规划'!$E$16+L31*'模块规划'!$E$18</x:f>
        <x:v>506.862479644266</x:v>
      </x:c>
      <x:c r="T31" s="2" t="n">
        <x:f t="shared" si="5">1+T$9*SUMPRODUCT($H$10:$L$10,H31:L31)/SUM($H$10:$L$10)</x:f>
        <x:v>1.0689301433064626</x:v>
      </x:c>
      <x:c r="U31" s="12" t="n">
        <x:f t="shared" si="6">R31*T31+S31</x:f>
        <x:v>3865.4858776690253</x:v>
      </x:c>
      <x:c r="V31" s="2" t="n">
        <x:f t="shared" si="7">V$8+(V$9-V$8)*H31</x:f>
        <x:v>0.7240870445730788</x:v>
      </x:c>
      <x:c r="W31" s="2" t="n">
        <x:f t="shared" si="8">IF(B31&lt;$H$8,0,W$8+(W$9-W$8)*H31)</x:f>
        <x:v>0.032116059430771886</x:v>
      </x:c>
      <x:c r="X31" s="2" t="n">
        <x:f t="shared" si="9">X$8+(X$9-X$8)*H31</x:f>
        <x:v>0.2970797908586557</x:v>
      </x:c>
      <x:c r="Y31" s="2" t="n">
        <x:f t="shared" si="10">Y$8+(Y$9-Y$8)*G31</x:f>
        <x:v>1</x:v>
      </x:c>
      <x:c r="Z31" s="2" t="n">
        <x:f t="shared" si="11">Z$8+(Z$9-Z$8)*H31</x:f>
        <x:v>1</x:v>
      </x:c>
      <x:c r="AA31" s="2" t="n">
        <x:f t="shared" si="12">AA$8+(AA$9-AA$8)*I31</x:f>
        <x:v>1</x:v>
      </x:c>
      <x:c r="AB31" s="2" t="n">
        <x:f t="shared" si="13">AB$8+(AB$9-AB$8)*J31</x:f>
        <x:v>1</x:v>
      </x:c>
      <x:c r="AC31" s="2" t="n">
        <x:f t="shared" si="14">AC$8+(AC$9-AC$8)*MAX(K31,L31)</x:f>
        <x:v>1</x:v>
      </x:c>
      <x:c r="AD31" s="1" t="n">
        <x:f t="shared" si="15">(V31*AE31+W31*AF31+X31*AG31)*PRODUCT(Y31:AC31)</x:f>
        <x:v>1.05668130239832</x:v>
      </x:c>
      <x:c r="AE31" s="2" t="n">
        <x:f t="shared" si="16">1+AE$9*($H$10*H31+$I$10*I31+$J$10*J31+$K$10*K31+$L$10*L31)</x:f>
        <x:v>1</x:v>
      </x:c>
      <x:c r="AF31" s="2" t="n">
        <x:f t="shared" si="17">1+AF$9*($H$10*H31+$I$10*I31+$J$10*J31+$K$10*K31+$L$10*L31)</x:f>
        <x:v>1.006083713052959</x:v>
      </x:c>
      <x:c r="AG31" s="2" t="n">
        <x:f t="shared" si="18">1+AG$9*($H$10*H31+$I$10*I31+$J$10*J31+$K$10*K31+$L$10*L31)</x:f>
        <x:v>1.0107816914660774</x:v>
      </x:c>
      <x:c r="AH31" s="2" t="n">
        <x:f>MIN(1,'_曲线基线'!$L$3+AH$9*($H$10*H31+$I$10*I31+$J$10*J31+$K$10*K31+$L$10*L31))</x:f>
        <x:v>0.06384044719548182</x:v>
      </x:c>
      <x:c r="AI31" s="2" t="n">
        <x:f>'_曲线基线'!$L$4+AI$9*($H$10*H31+$I$10*I31+$J$10*J31+$K$10*K31+$L$10*L31)</x:f>
        <x:v>2.038555531473128</x:v>
      </x:c>
      <x:c r="AJ31" s="2" t="n">
        <x:f t="shared" si="19">1+AJ$9*($H$10*H31+$I$10*I31+$J$10*J31+$K$10*K31+$L$10*L31)</x:f>
        <x:v>1.031635307875387</x:v>
      </x:c>
      <x:c r="AK31" s="1" t="n">
        <x:f t="shared" si="20">(1+AH31*(AI31-1))*AJ31</x:f>
        <x:v>1.1000346368657192</x:v>
      </x:c>
      <x:c r="AL31" s="1" t="n">
        <x:f t="shared" si="21">U31*AD31*AK31*F31</x:f>
        <x:v>18422.065855640878</x:v>
      </x:c>
      <x:c r="AM31" s="13" t="n">
        <x:f t="shared" si="22">IF($B31&lt;AM$8,0,AM$3+(AM$4-AM$3)*(POWER(AM$5,$B31-AM$8)-1)/(POWER(AM$5,$C$5-AM$8)-1))</x:f>
        <x:v>35.27937877242224</x:v>
      </x:c>
      <x:c r="AN31" s="13" t="n">
        <x:f>(((E31*'模块规划'!$D$10+G31*'模块规划'!$D$11+H31*'模块规划'!$D$13)*(1+'模块规划'!$G$14*H31)+(I31*'模块规划'!$D$15+J31*'模块规划'!$D$17+K31*'模块规划'!$D$16+L31*'模块规划'!$D$18))*(1+'模块规划'!$J$17*J31))*F31/(1-Q31)</x:f>
        <x:v>58659.12112198521</x:v>
      </x:c>
      <x:c r="AO31" s="1" t="n">
        <x:f t="shared" si="23">AL31*AM31</x:f>
        <x:v>649919.0390916613</x:v>
      </x:c>
      <x:c r="AP31" s="1" t="n">
        <x:f>IF(AO31="","",INDEX('_曲线基线'!$A$3:$A$502,MIN(ROWS('_曲线基线'!$A$3:$A$502),COUNTIF('_曲线基线'!$E$3:$E$502,"&lt;"&amp;AO31)+1)))</x:f>
        <x:v>40</x:v>
      </x:c>
      <x:c r="AQ31" s="14" t="n">
        <x:f t="shared" si="24">IF(B31&lt;=2,1,IF(B31&lt;=6,2,IF(B31&lt;=9,3,IF(B31&lt;=19,4,5))))</x:f>
        <x:v>5</x:v>
      </x:c>
      <x:c r="AR31" s="10" t="n">
        <x:f t="shared" si="26">AN31*(1-Q31)/F31*$AS$3+U31*$AS$4+P31*$AS$5</x:f>
        <x:v>1160.6923744762828</x:v>
      </x:c>
      <x:c r="AS31" s="15" t="n">
        <x:f t="shared" si="27">1+AH31*$AS$6+AI31*$AS$7+(AJ31-1)*$AS$8+($H$10*H31+$I$10*I31+$J$10*J31+$K$10*K31+$L$10*L31)*$AU$3*$AS$9+($H$10*H31+$I$10*I31+$J$10*J31+$K$10*K31+$L$10*L31)*$AU$4*$AS$10</x:f>
        <x:v>5.34508876753326</x:v>
      </x:c>
      <x:c r="AT31" s="16" t="n">
        <x:f t="shared" si="28">ROUND(AR31*AS31,0)</x:f>
        <x:v>6204</x:v>
      </x:c>
      <x:c r="AU31" s="16" t="n">
        <x:f t="shared" si="29">ROUND(AT31*F31,0)</x:f>
        <x:v>25436</x:v>
      </x:c>
      <x:c r="AV31" t="n">
        <x:f>IF(AU31&gt;0,ROUND(AU31,-MAX(0,INT(LOG10(AU31))-2)),0)</x:f>
        <x:v>25400</x:v>
      </x:c>
    </x:row>
    <x:row r="32" customHeight="1">
      <x:c r="A32" s="1" t="n">
        <x:f>IFERROR(XLOOKUP(B32,'_曲线基线'!$G$3:$G$107,'_曲线基线'!$J$3:$J$107,""),"")</x:f>
        <x:v>15</x:v>
      </x:c>
      <x:c r="B32" s="1" t="n">
        <x:v>21</x:v>
      </x:c>
      <x:c r="C32" s="1" t="n">
        <x:v>2</x:v>
      </x:c>
      <x:c r="D32" s="1" t="n">
        <x:v>9</x:v>
      </x:c>
      <x:c r="E32" s="1" t="n">
        <x:f t="shared" si="0">IF($B32&lt;E$8,0,E$3+(E$4-E$3)*(POWER(E$5,$B32-E$8)-1)/(POWER(E$5,$C$5-E$8)-1))</x:f>
        <x:v>1</x:v>
      </x:c>
      <x:c r="F32" s="10" t="n">
        <x:f t="shared" si="1">1+IF(B32&lt;3,0,MIN(1,(B32-2)/4))+IF(B32&lt;7,0,MIN(1,(B32-6)/3))+IF(B32&lt;10,0,MIN(1,(B32-9)/5))+IF(B32&lt;20,0,MIN(1,(B32-19)/10))</x:f>
        <x:v>4.2</x:v>
      </x:c>
      <x:c r="G32" s="11" t="n">
        <x:f t="shared" ref="G32:L32" si="48">'玩家战力_节点'!G32</x:f>
        <x:v>0.23811656679098858</x:v>
      </x:c>
      <x:c r="H32" s="11" t="n">
        <x:f t="shared" si="48">'玩家战力_节点'!H32</x:f>
        <x:v>0.09238202504109197</x:v>
      </x:c>
      <x:c r="I32" s="11" t="n">
        <x:f t="shared" si="48">'玩家战力_节点'!I32</x:f>
        <x:v>0</x:v>
      </x:c>
      <x:c r="J32" s="11" t="n">
        <x:f t="shared" si="48">'玩家战力_节点'!J32</x:f>
        <x:v>0</x:v>
      </x:c>
      <x:c r="K32" s="11" t="n">
        <x:f t="shared" si="48">'玩家战力_节点'!K32</x:f>
        <x:v>0</x:v>
      </x:c>
      <x:c r="L32" s="11" t="n">
        <x:f t="shared" si="48">'玩家战力_节点'!L32</x:f>
        <x:v>0.07992151037520692</x:v>
      </x:c>
      <x:c r="M32" s="2" t="n">
        <x:f>E32*'模块规划'!$F$10+G32*'模块规划'!$F$11+H32*'模块规划'!$F$13</x:f>
        <x:v>2142.9595205967453</x:v>
      </x:c>
      <x:c r="N32" s="2" t="n">
        <x:f>I32*'模块规划'!$F$15+J32*'模块规划'!$F$17+K32*'模块规划'!$F$16+L32*'模块规划'!$F$18</x:f>
        <x:v>399.6075518760346</x:v>
      </x:c>
      <x:c r="O32" s="2" t="n">
        <x:f t="shared" si="3">1+O$9*SUMPRODUCT($H$10:$L$10,H32:L32)/SUM($H$10:$L$10)</x:f>
        <x:v>1.0804417103968862</x:v>
      </x:c>
      <x:c r="P32" s="12" t="n">
        <x:f t="shared" si="4">M32*O32+N32</x:f>
        <x:v>2714.950401620873</x:v>
      </x:c>
      <x:c r="Q32" s="7" t="n">
        <x:f>P32/(P32+'_曲线基线'!$L$2)</x:f>
        <x:v>0.10162663081179252</x:v>
      </x:c>
      <x:c r="R32" s="2" t="n">
        <x:f>E32*'模块规划'!$E$10+G32*'模块规划'!$E$11+H32*'模块规划'!$E$13</x:f>
        <x:v>3214.439280895118</x:v>
      </x:c>
      <x:c r="S32" s="2" t="n">
        <x:f>I32*'模块规划'!$E$15+J32*'模块规划'!$E$17+K32*'模块规划'!$E$16+L32*'模块规划'!$E$18</x:f>
        <x:v>599.4113278140519</x:v>
      </x:c>
      <x:c r="T32" s="2" t="n">
        <x:f t="shared" si="5">1+T$9*SUMPRODUCT($H$10:$L$10,H32:L32)/SUM($H$10:$L$10)</x:f>
        <x:v>1.0804417103968862</x:v>
      </x:c>
      <x:c r="U32" s="12" t="n">
        <x:f t="shared" si="6">R32*T32+S32</x:f>
        <x:v>4072.42560243131</x:v>
      </x:c>
      <x:c r="V32" s="2" t="n">
        <x:f t="shared" si="7">V$8+(V$9-V$8)*H32</x:f>
        <x:v>0.7277146075123275</x:v>
      </x:c>
      <x:c r="W32" s="2" t="n">
        <x:f t="shared" si="8">IF(B32&lt;$H$8,0,W$8+(W$9-W$8)*H32)</x:f>
        <x:v>0.03695281001643679</x:v>
      </x:c>
      <x:c r="X32" s="2" t="n">
        <x:f t="shared" si="9">X$8+(X$9-X$8)*H32</x:f>
        <x:v>0.3004050568863003</x:v>
      </x:c>
      <x:c r="Y32" s="2" t="n">
        <x:f t="shared" si="10">Y$8+(Y$9-Y$8)*G32</x:f>
        <x:v>1</x:v>
      </x:c>
      <x:c r="Z32" s="2" t="n">
        <x:f t="shared" si="11">Z$8+(Z$9-Z$8)*H32</x:f>
        <x:v>1</x:v>
      </x:c>
      <x:c r="AA32" s="2" t="n">
        <x:f t="shared" si="12">AA$8+(AA$9-AA$8)*I32</x:f>
        <x:v>1</x:v>
      </x:c>
      <x:c r="AB32" s="2" t="n">
        <x:f t="shared" si="13">AB$8+(AB$9-AB$8)*J32</x:f>
        <x:v>1</x:v>
      </x:c>
      <x:c r="AC32" s="2" t="n">
        <x:f t="shared" si="14">AC$8+(AC$9-AC$8)*MAX(K32,L32)</x:f>
        <x:v>1</x:v>
      </x:c>
      <x:c r="AD32" s="1" t="n">
        <x:f t="shared" si="15">(V32*AE32+W32*AF32+X32*AG32)*PRODUCT(Y32:AC32)</x:f>
        <x:v>1.0691146064453692</x:v>
      </x:c>
      <x:c r="AE32" s="2" t="n">
        <x:f t="shared" si="16">1+AE$9*($H$10*H32+$I$10*I32+$J$10*J32+$K$10*K32+$L$10*L32)</x:f>
        <x:v>1</x:v>
      </x:c>
      <x:c r="AF32" s="2" t="n">
        <x:f t="shared" si="17">1+AF$9*($H$10*H32+$I$10*I32+$J$10*J32+$K$10*K32+$L$10*L32)</x:f>
        <x:v>1.0070997137111422</x:v>
      </x:c>
      <x:c r="AG32" s="2" t="n">
        <x:f t="shared" si="18">1+AG$9*($H$10*H32+$I$10*I32+$J$10*J32+$K$10*K32+$L$10*L32)</x:f>
        <x:v>1.012582270410302</x:v>
      </x:c>
      <x:c r="AH32" s="2" t="n">
        <x:f>MIN(1,'_曲线基线'!$L$3+AH$9*($H$10*H32+$I$10*I32+$J$10*J32+$K$10*K32+$L$10*L32))</x:f>
        <x:v>0.06615184869284846</x:v>
      </x:c>
      <x:c r="AI32" s="2" t="n">
        <x:f>'_曲线基线'!$L$4+AI$9*($H$10*H32+$I$10*I32+$J$10*J32+$K$10*K32+$L$10*L32)</x:f>
        <x:v>2.0449944356443637</x:v>
      </x:c>
      <x:c r="AJ32" s="2" t="n">
        <x:f t="shared" si="19">1+AJ$9*($H$10*H32+$I$10*I32+$J$10*J32+$K$10*K32+$L$10*L32)</x:f>
        <x:v>1.0369185112979393</x:v>
      </x:c>
      <x:c r="AK32" s="1" t="n">
        <x:f t="shared" si="20">(1+AH32*(AI32-1))*AJ32</x:f>
        <x:v>1.1085989395232771</x:v>
      </x:c>
      <x:c r="AL32" s="1" t="n">
        <x:f t="shared" si="21">U32*AD32*AK32*F32</x:f>
        <x:v>20272.21349547981</x:v>
      </x:c>
      <x:c r="AM32" s="13" t="n">
        <x:f t="shared" si="22">IF($B32&lt;AM$8,0,AM$3+(AM$4-AM$3)*(POWER(AM$5,$B32-AM$8)-1)/(POWER(AM$5,$C$5-AM$8)-1))</x:f>
        <x:v>35.29559720006833</x:v>
      </x:c>
      <x:c r="AN32" s="13" t="n">
        <x:f>(((E32*'模块规划'!$D$10+G32*'模块规划'!$D$11+H32*'模块规划'!$D$13)*(1+'模块规划'!$G$14*H32)+(I32*'模块规划'!$D$15+J32*'模块规划'!$D$17+K32*'模块规划'!$D$16+L32*'模块规划'!$D$18))*(1+'模块规划'!$J$17*J32))*F32/(1-Q32)</x:f>
        <x:v>63598.90135805182</x:v>
      </x:c>
      <x:c r="AO32" s="1" t="n">
        <x:f t="shared" si="23">AL32*AM32</x:f>
        <x:v>715519.8818902445</x:v>
      </x:c>
      <x:c r="AP32" s="1" t="n">
        <x:f>IF(AO32="","",INDEX('_曲线基线'!$A$3:$A$502,MIN(ROWS('_曲线基线'!$A$3:$A$502),COUNTIF('_曲线基线'!$E$3:$E$502,"&lt;"&amp;AO32)+1)))</x:f>
        <x:v>43</x:v>
      </x:c>
      <x:c r="AQ32" s="14" t="n">
        <x:f t="shared" si="24">IF(B32&lt;=2,1,IF(B32&lt;=6,2,IF(B32&lt;=9,3,IF(B32&lt;=19,4,5))))</x:f>
        <x:v>5</x:v>
      </x:c>
      <x:c r="AR32" s="10" t="n">
        <x:f t="shared" si="26">AN32*(1-Q32)/F32*$AS$3+U32*$AS$4+P32*$AS$5</x:f>
        <x:v>1222.596258269844</x:v>
      </x:c>
      <x:c r="AS32" s="15" t="n">
        <x:f t="shared" si="27">1+AH32*$AS$6+AI32*$AS$7+(AJ32-1)*$AS$8+($H$10*H32+$I$10*I32+$J$10*J32+$K$10*K32+$L$10*L32)*$AU$3*$AS$9+($H$10*H32+$I$10*I32+$J$10*J32+$K$10*K32+$L$10*L32)*$AU$4*$AS$10</x:f>
        <x:v>5.405795961290449</x:v>
      </x:c>
      <x:c r="AT32" s="16" t="n">
        <x:f t="shared" si="28">ROUND(AR32*AS32,0)</x:f>
        <x:v>6609</x:v>
      </x:c>
      <x:c r="AU32" s="16" t="n">
        <x:f t="shared" si="29">ROUND(AT32*F32,0)</x:f>
        <x:v>27758</x:v>
      </x:c>
      <x:c r="AV32" t="n">
        <x:f>IF(AU32&gt;0,ROUND(AU32,-MAX(0,INT(LOG10(AU32))-2)),0)</x:f>
        <x:v>27800</x:v>
      </x:c>
    </x:row>
    <x:row r="33" customHeight="1">
      <x:c r="A33" s="1" t="n">
        <x:f>IFERROR(XLOOKUP(B33,'_曲线基线'!$G$3:$G$107,'_曲线基线'!$J$3:$J$107,""),"")</x:f>
        <x:v>15</x:v>
      </x:c>
      <x:c r="B33" s="1" t="n">
        <x:v>22</x:v>
      </x:c>
      <x:c r="C33" s="1" t="n">
        <x:v>2</x:v>
      </x:c>
      <x:c r="D33" s="1" t="n">
        <x:v>10</x:v>
      </x:c>
      <x:c r="E33" s="1" t="n">
        <x:f t="shared" si="0">IF($B33&lt;E$8,0,E$3+(E$4-E$3)*(POWER(E$5,$B33-E$8)-1)/(POWER(E$5,$C$5-E$8)-1))</x:f>
        <x:v>1</x:v>
      </x:c>
      <x:c r="F33" s="10" t="n">
        <x:f t="shared" si="1">1+IF(B33&lt;3,0,MIN(1,(B33-2)/4))+IF(B33&lt;7,0,MIN(1,(B33-6)/3))+IF(B33&lt;10,0,MIN(1,(B33-9)/5))+IF(B33&lt;20,0,MIN(1,(B33-19)/10))</x:f>
        <x:v>4.3</x:v>
      </x:c>
      <x:c r="G33" s="11" t="n">
        <x:f t="shared" ref="G33:L33" si="49">'玩家战力_节点'!G33</x:f>
        <x:v>0.2481717456429172</x:v>
      </x:c>
      <x:c r="H33" s="11" t="n">
        <x:f t="shared" si="49">'玩家战力_节点'!H33</x:f>
        <x:v>0.10447390150525424</x:v>
      </x:c>
      <x:c r="I33" s="11" t="n">
        <x:f t="shared" si="49">'玩家战力_节点'!I33</x:f>
        <x:v>0</x:v>
      </x:c>
      <x:c r="J33" s="11" t="n">
        <x:f t="shared" si="49">'玩家战力_节点'!J33</x:f>
        <x:v>0</x:v>
      </x:c>
      <x:c r="K33" s="11" t="n">
        <x:f t="shared" si="49">'玩家战力_节点'!K33</x:f>
        <x:v>0</x:v>
      </x:c>
      <x:c r="L33" s="11" t="n">
        <x:f t="shared" si="49">'玩家战力_节点'!L33</x:f>
        <x:v>0.09226135679784503</x:v>
      </x:c>
      <x:c r="M33" s="2" t="n">
        <x:f>E33*'模块规划'!$F$10+G33*'模块规划'!$F$11+H33*'模块规划'!$F$13</x:f>
        <x:v>2191.2243790860025</x:v>
      </x:c>
      <x:c r="N33" s="2" t="n">
        <x:f>I33*'模块规划'!$F$15+J33*'模块规划'!$F$17+K33*'模块规划'!$F$16+L33*'模块规划'!$F$18</x:f>
        <x:v>461.30678398922515</x:v>
      </x:c>
      <x:c r="O33" s="2" t="n">
        <x:f t="shared" si="3">1+O$9*SUMPRODUCT($H$10:$L$10,H33:L33)/SUM($H$10:$L$10)</x:f>
        <x:v>1.0919532774873097</x:v>
      </x:c>
      <x:c r="P33" s="12" t="n">
        <x:f t="shared" si="4">M33*O33+N33</x:f>
        <x:v>2854.0214264422807</x:v>
      </x:c>
      <x:c r="Q33" s="7" t="n">
        <x:f>P33/(P33+'_曲线基线'!$L$2)</x:f>
        <x:v>0.10627910736795715</x:v>
      </x:c>
      <x:c r="R33" s="2" t="n">
        <x:f>E33*'模块规划'!$E$10+G33*'模块规划'!$E$11+H33*'模块规划'!$E$13</x:f>
        <x:v>3286.8365686290035</x:v>
      </x:c>
      <x:c r="S33" s="2" t="n">
        <x:f>I33*'模块规划'!$E$15+J33*'模块规划'!$E$17+K33*'模块规划'!$E$16+L33*'模块规划'!$E$18</x:f>
        <x:v>691.9601759838378</x:v>
      </x:c>
      <x:c r="T33" s="2" t="n">
        <x:f t="shared" si="5">1+T$9*SUMPRODUCT($H$10:$L$10,H33:L33)/SUM($H$10:$L$10)</x:f>
        <x:v>1.0919532774873097</x:v>
      </x:c>
      <x:c r="U33" s="12" t="n">
        <x:f t="shared" si="6">R33*T33+S33</x:f>
        <x:v>4281.032139663421</x:v>
      </x:c>
      <x:c r="V33" s="2" t="n">
        <x:f t="shared" si="7">V$8+(V$9-V$8)*H33</x:f>
        <x:v>0.7313421704515762</x:v>
      </x:c>
      <x:c r="W33" s="2" t="n">
        <x:f t="shared" si="8">IF(B33&lt;$H$8,0,W$8+(W$9-W$8)*H33)</x:f>
        <x:v>0.0417895606021017</x:v>
      </x:c>
      <x:c r="X33" s="2" t="n">
        <x:f t="shared" si="9">X$8+(X$9-X$8)*H33</x:f>
        <x:v>0.3037303229139449</x:v>
      </x:c>
      <x:c r="Y33" s="2" t="n">
        <x:f t="shared" si="10">Y$8+(Y$9-Y$8)*G33</x:f>
        <x:v>1</x:v>
      </x:c>
      <x:c r="Z33" s="2" t="n">
        <x:f t="shared" si="11">Z$8+(Z$9-Z$8)*H33</x:f>
        <x:v>1</x:v>
      </x:c>
      <x:c r="AA33" s="2" t="n">
        <x:f t="shared" si="12">AA$8+(AA$9-AA$8)*I33</x:f>
        <x:v>1</x:v>
      </x:c>
      <x:c r="AB33" s="2" t="n">
        <x:f t="shared" si="13">AB$8+(AB$9-AB$8)*J33</x:f>
        <x:v>1</x:v>
      </x:c>
      <x:c r="AC33" s="2" t="n">
        <x:f t="shared" si="14">AC$8+(AC$9-AC$8)*MAX(K33,L33)</x:f>
        <x:v>1</x:v>
      </x:c>
      <x:c r="AD33" s="1" t="n">
        <x:f t="shared" si="15">(V33*AE33+W33*AF33+X33*AG33)*PRODUCT(Y33:AC33)</x:f>
        <x:v>1.0815697135839621</x:v>
      </x:c>
      <x:c r="AE33" s="2" t="n">
        <x:f t="shared" si="16">1+AE$9*($H$10*H33+$I$10*I33+$J$10*J33+$K$10*K33+$L$10*L33)</x:f>
        <x:v>1</x:v>
      </x:c>
      <x:c r="AF33" s="2" t="n">
        <x:f t="shared" si="17">1+AF$9*($H$10*H33+$I$10*I33+$J$10*J33+$K$10*K33+$L$10*L33)</x:f>
        <x:v>1.0081157143693253</x:v>
      </x:c>
      <x:c r="AG33" s="2" t="n">
        <x:f t="shared" si="18">1+AG$9*($H$10*H33+$I$10*I33+$J$10*J33+$K$10*K33+$L$10*L33)</x:f>
        <x:v>1.0143828493545266</x:v>
      </x:c>
      <x:c r="AH33" s="2" t="n">
        <x:f>MIN(1,'_曲线基线'!$L$3+AH$9*($H$10*H33+$I$10*I33+$J$10*J33+$K$10*K33+$L$10*L33))</x:f>
        <x:v>0.06846325019021508</x:v>
      </x:c>
      <x:c r="AI33" s="2" t="n">
        <x:f>'_曲线基线'!$L$4+AI$9*($H$10*H33+$I$10*I33+$J$10*J33+$K$10*K33+$L$10*L33)</x:f>
        <x:v>2.051433339815599</x:v>
      </x:c>
      <x:c r="AJ33" s="2" t="n">
        <x:f t="shared" si="19">1+AJ$9*($H$10*H33+$I$10*I33+$J$10*J33+$K$10*K33+$L$10*L33)</x:f>
        <x:v>1.0422017147204916</x:v>
      </x:c>
      <x:c r="AK33" s="1" t="n">
        <x:f t="shared" si="20">(1+AH33*(AI33-1))*AJ33</x:f>
        <x:v>1.1172241297044425</x:v>
      </x:c>
      <x:c r="AL33" s="1" t="n">
        <x:f t="shared" si="21">U33*AD33*AK33*F33</x:f>
        <x:v>22243.942736740184</x:v>
      </x:c>
      <x:c r="AM33" s="13" t="n">
        <x:f t="shared" si="22">IF($B33&lt;AM$8,0,AM$3+(AM$4-AM$3)*(POWER(AM$5,$B33-AM$8)-1)/(POWER(AM$5,$C$5-AM$8)-1))</x:f>
        <x:v>35.311977811990886</x:v>
      </x:c>
      <x:c r="AN33" s="13" t="n">
        <x:f>(((E33*'模块规划'!$D$10+G33*'模块规划'!$D$11+H33*'模块规划'!$D$13)*(1+'模块规划'!$G$14*H33)+(I33*'模块规划'!$D$15+J33*'模块规划'!$D$17+K33*'模块规划'!$D$16+L33*'模块规划'!$D$18))*(1+'模块规划'!$J$17*J33))*F33/(1-Q33)</x:f>
        <x:v>68767.70361748728</x:v>
      </x:c>
      <x:c r="AO33" s="1" t="n">
        <x:f t="shared" si="23">AL33*AM33</x:f>
        <x:v>785477.6123709652</x:v>
      </x:c>
      <x:c r="AP33" s="1" t="n">
        <x:f>IF(AO33="","",INDEX('_曲线基线'!$A$3:$A$502,MIN(ROWS('_曲线基线'!$A$3:$A$502),COUNTIF('_曲线基线'!$E$3:$E$502,"&lt;"&amp;AO33)+1)))</x:f>
        <x:v>45</x:v>
      </x:c>
      <x:c r="AQ33" s="14" t="n">
        <x:f t="shared" si="24">IF(B33&lt;=2,1,IF(B33&lt;=6,2,IF(B33&lt;=9,3,IF(B33&lt;=19,4,5))))</x:f>
        <x:v>5</x:v>
      </x:c>
      <x:c r="AR33" s="10" t="n">
        <x:f t="shared" si="26">AN33*(1-Q33)/F33*$AS$3+U33*$AS$4+P33*$AS$5</x:f>
        <x:v>1284.9910799881015</x:v>
      </x:c>
      <x:c r="AS33" s="15" t="n">
        <x:f t="shared" si="27">1+AH33*$AS$6+AI33*$AS$7+(AJ33-1)*$AS$8+($H$10*H33+$I$10*I33+$J$10*J33+$K$10*K33+$L$10*L33)*$AU$3*$AS$9+($H$10*H33+$I$10*I33+$J$10*J33+$K$10*K33+$L$10*L33)*$AU$4*$AS$10</x:f>
        <x:v>5.466503155047639</x:v>
      </x:c>
      <x:c r="AT33" s="16" t="n">
        <x:f t="shared" si="28">ROUND(AR33*AS33,0)</x:f>
        <x:v>7024</x:v>
      </x:c>
      <x:c r="AU33" s="16" t="n">
        <x:f t="shared" si="29">ROUND(AT33*F33,0)</x:f>
        <x:v>30203</x:v>
      </x:c>
      <x:c r="AV33" t="n">
        <x:f>IF(AU33&gt;0,ROUND(AU33,-MAX(0,INT(LOG10(AU33))-2)),0)</x:f>
        <x:v>30200</x:v>
      </x:c>
    </x:row>
    <x:row r="34" customHeight="1">
      <x:c r="A34" s="1" t="n">
        <x:f>IFERROR(XLOOKUP(B34,'_曲线基线'!$G$3:$G$107,'_曲线基线'!$J$3:$J$107,""),"")</x:f>
        <x:v>16</x:v>
      </x:c>
      <x:c r="B34" s="1" t="n">
        <x:v>23</x:v>
      </x:c>
      <x:c r="C34" s="1" t="n">
        <x:v>2</x:v>
      </x:c>
      <x:c r="D34" s="1" t="n">
        <x:v>11</x:v>
      </x:c>
      <x:c r="E34" s="1" t="n">
        <x:f t="shared" si="0">IF($B34&lt;E$8,0,E$3+(E$4-E$3)*(POWER(E$5,$B34-E$8)-1)/(POWER(E$5,$C$5-E$8)-1))</x:f>
        <x:v>1</x:v>
      </x:c>
      <x:c r="F34" s="10" t="n">
        <x:f t="shared" si="1">1+IF(B34&lt;3,0,MIN(1,(B34-2)/4))+IF(B34&lt;7,0,MIN(1,(B34-6)/3))+IF(B34&lt;10,0,MIN(1,(B34-9)/5))+IF(B34&lt;20,0,MIN(1,(B34-19)/10))</x:f>
        <x:v>4.4</x:v>
      </x:c>
      <x:c r="G34" s="11" t="n">
        <x:f t="shared" ref="G34:L34" si="50">'玩家战力_节点'!G34</x:f>
        <x:v>0.2582269244948458</x:v>
      </x:c>
      <x:c r="H34" s="11" t="n">
        <x:f t="shared" si="50">'玩家战力_节点'!H34</x:f>
        <x:v>0.1165657779694165</x:v>
      </x:c>
      <x:c r="I34" s="11" t="n">
        <x:f t="shared" si="50">'玩家战力_节点'!I34</x:f>
        <x:v>0</x:v>
      </x:c>
      <x:c r="J34" s="11" t="n">
        <x:f t="shared" si="50">'玩家战力_节点'!J34</x:f>
        <x:v>0</x:v>
      </x:c>
      <x:c r="K34" s="11" t="n">
        <x:f t="shared" si="50">'玩家战力_节点'!K34</x:f>
        <x:v>0</x:v>
      </x:c>
      <x:c r="L34" s="11" t="n">
        <x:f t="shared" si="50">'玩家战力_节点'!L34</x:f>
        <x:v>0.10460120322048315</x:v>
      </x:c>
      <x:c r="M34" s="2" t="n">
        <x:f>E34*'模块规划'!$F$10+G34*'模块规划'!$F$11+H34*'模块规划'!$F$13</x:f>
        <x:v>2239.4892375752597</x:v>
      </x:c>
      <x:c r="N34" s="2" t="n">
        <x:f>I34*'模块规划'!$F$15+J34*'模块规划'!$F$17+K34*'模块规划'!$F$16+L34*'模块规划'!$F$18</x:f>
        <x:v>523.0060161024157</x:v>
      </x:c>
      <x:c r="O34" s="2" t="n">
        <x:f t="shared" si="3">1+O$9*SUMPRODUCT($H$10:$L$10,H34:L34)/SUM($H$10:$L$10)</x:f>
        <x:v>1.1034648445777333</x:v>
      </x:c>
      <x:c r="P34" s="12" t="n">
        <x:f t="shared" si="4">M34*O34+N34</x:f>
        <x:v>2994.2036595769064</x:v>
      </x:c>
      <x:c r="Q34" s="7" t="n">
        <x:f>P34/(P34+'_曲线基线'!$L$2)</x:f>
        <x:v>0.11092024411376306</x:v>
      </x:c>
      <x:c r="R34" s="2" t="n">
        <x:f>E34*'模块规划'!$E$10+G34*'模块规划'!$E$11+H34*'模块规划'!$E$13</x:f>
        <x:v>3359.23385636289</x:v>
      </x:c>
      <x:c r="S34" s="2" t="n">
        <x:f>I34*'模块规划'!$E$15+J34*'模块规划'!$E$17+K34*'模块规划'!$E$16+L34*'模块规划'!$E$18</x:f>
        <x:v>784.5090241536236</x:v>
      </x:c>
      <x:c r="T34" s="2" t="n">
        <x:f t="shared" si="5">1+T$9*SUMPRODUCT($H$10:$L$10,H34:L34)/SUM($H$10:$L$10)</x:f>
        <x:v>1.1034648445777333</x:v>
      </x:c>
      <x:c r="U34" s="12" t="n">
        <x:f t="shared" si="6">R34*T34+S34</x:f>
        <x:v>4491.30548936536</x:v>
      </x:c>
      <x:c r="V34" s="2" t="n">
        <x:f t="shared" si="7">V$8+(V$9-V$8)*H34</x:f>
        <x:v>0.7349697333908249</x:v>
      </x:c>
      <x:c r="W34" s="2" t="n">
        <x:f t="shared" si="8">IF(B34&lt;$H$8,0,W$8+(W$9-W$8)*H34)</x:f>
        <x:v>0.046626311187766604</x:v>
      </x:c>
      <x:c r="X34" s="2" t="n">
        <x:f t="shared" si="9">X$8+(X$9-X$8)*H34</x:f>
        <x:v>0.3070555889415896</x:v>
      </x:c>
      <x:c r="Y34" s="2" t="n">
        <x:f t="shared" si="10">Y$8+(Y$9-Y$8)*G34</x:f>
        <x:v>1</x:v>
      </x:c>
      <x:c r="Z34" s="2" t="n">
        <x:f t="shared" si="11">Z$8+(Z$9-Z$8)*H34</x:f>
        <x:v>1</x:v>
      </x:c>
      <x:c r="AA34" s="2" t="n">
        <x:f t="shared" si="12">AA$8+(AA$9-AA$8)*I34</x:f>
        <x:v>1</x:v>
      </x:c>
      <x:c r="AB34" s="2" t="n">
        <x:f t="shared" si="13">AB$8+(AB$9-AB$8)*J34</x:f>
        <x:v>1</x:v>
      </x:c>
      <x:c r="AC34" s="2" t="n">
        <x:f t="shared" si="14">AC$8+(AC$9-AC$8)*MAX(K34,L34)</x:f>
        <x:v>1</x:v>
      </x:c>
      <x:c r="AD34" s="1" t="n">
        <x:f t="shared" si="15">(V34*AE34+W34*AF34+X34*AG34)*PRODUCT(Y34:AC34)</x:f>
        <x:v>1.094046623814099</x:v>
      </x:c>
      <x:c r="AE34" s="2" t="n">
        <x:f t="shared" si="16">1+AE$9*($H$10*H34+$I$10*I34+$J$10*J34+$K$10*K34+$L$10*L34)</x:f>
        <x:v>1</x:v>
      </x:c>
      <x:c r="AF34" s="2" t="n">
        <x:f t="shared" si="17">1+AF$9*($H$10*H34+$I$10*I34+$J$10*J34+$K$10*K34+$L$10*L34)</x:f>
        <x:v>1.0091317150275085</x:v>
      </x:c>
      <x:c r="AG34" s="2" t="n">
        <x:f t="shared" si="18">1+AG$9*($H$10*H34+$I$10*I34+$J$10*J34+$K$10*K34+$L$10*L34)</x:f>
        <x:v>1.0161834282987512</x:v>
      </x:c>
      <x:c r="AH34" s="2" t="n">
        <x:f>MIN(1,'_曲线基线'!$L$3+AH$9*($H$10*H34+$I$10*I34+$J$10*J34+$K$10*K34+$L$10*L34))</x:f>
        <x:v>0.07077465168758171</x:v>
      </x:c>
      <x:c r="AI34" s="2" t="n">
        <x:f>'_曲线基线'!$L$4+AI$9*($H$10*H34+$I$10*I34+$J$10*J34+$K$10*K34+$L$10*L34)</x:f>
        <x:v>2.057872243986835</x:v>
      </x:c>
      <x:c r="AJ34" s="2" t="n">
        <x:f t="shared" si="19">1+AJ$9*($H$10*H34+$I$10*I34+$J$10*J34+$K$10*K34+$L$10*L34)</x:f>
        <x:v>1.047484918143044</x:v>
      </x:c>
      <x:c r="AK34" s="1" t="n">
        <x:f t="shared" si="20">(1+AH34*(AI34-1))*AJ34</x:f>
        <x:v>1.125910679185315</x:v>
      </x:c>
      <x:c r="AL34" s="1" t="n">
        <x:f t="shared" si="21">U34*AD34*AK34*F34</x:f>
        <x:v>24342.492284820208</x:v>
      </x:c>
      <x:c r="AM34" s="13" t="n">
        <x:f t="shared" si="22">IF($B34&lt;AM$8,0,AM$3+(AM$4-AM$3)*(POWER(AM$5,$B34-AM$8)-1)/(POWER(AM$5,$C$5-AM$8)-1))</x:f>
        <x:v>35.32852223003266</x:v>
      </x:c>
      <x:c r="AN34" s="13" t="n">
        <x:f>(((E34*'模块规划'!$D$10+G34*'模块规划'!$D$11+H34*'模块规划'!$D$13)*(1+'模块规划'!$G$14*H34)+(I34*'模块规划'!$D$15+J34*'模块规划'!$D$17+K34*'模块规划'!$D$16+L34*'模块规划'!$D$18))*(1+'模块规划'!$J$17*J34))*F34/(1-Q34)</x:f>
        <x:v>74170.67106513023</x:v>
      </x:c>
      <x:c r="AO34" s="1" t="n">
        <x:f t="shared" si="23">AL34*AM34</x:f>
        <x:v>859984.2798186692</x:v>
      </x:c>
      <x:c r="AP34" s="1" t="n">
        <x:f>IF(AO34="","",INDEX('_曲线基线'!$A$3:$A$502,MIN(ROWS('_曲线基线'!$A$3:$A$502),COUNTIF('_曲线基线'!$E$3:$E$502,"&lt;"&amp;AO34)+1)))</x:f>
        <x:v>48</x:v>
      </x:c>
      <x:c r="AQ34" s="14" t="n">
        <x:f t="shared" si="24">IF(B34&lt;=2,1,IF(B34&lt;=6,2,IF(B34&lt;=9,3,IF(B34&lt;=19,4,5))))</x:f>
        <x:v>5</x:v>
      </x:c>
      <x:c r="AR34" s="10" t="n">
        <x:f t="shared" si="26">AN34*(1-Q34)/F34*$AS$3+U34*$AS$4+P34*$AS$5</x:f>
        <x:v>1347.876839631056</x:v>
      </x:c>
      <x:c r="AS34" s="15" t="n">
        <x:f t="shared" si="27">1+AH34*$AS$6+AI34*$AS$7+(AJ34-1)*$AS$8+($H$10*H34+$I$10*I34+$J$10*J34+$K$10*K34+$L$10*L34)*$AU$3*$AS$9+($H$10*H34+$I$10*I34+$J$10*J34+$K$10*K34+$L$10*L34)*$AU$4*$AS$10</x:f>
        <x:v>5.52721034880483</x:v>
      </x:c>
      <x:c r="AT34" s="16" t="n">
        <x:f t="shared" si="28">ROUND(AR34*AS34,0)</x:f>
        <x:v>7450</x:v>
      </x:c>
      <x:c r="AU34" s="16" t="n">
        <x:f t="shared" si="29">ROUND(AT34*F34,0)</x:f>
        <x:v>32780</x:v>
      </x:c>
      <x:c r="AV34" t="n">
        <x:f>IF(AU34&gt;0,ROUND(AU34,-MAX(0,INT(LOG10(AU34))-2)),0)</x:f>
        <x:v>32800</x:v>
      </x:c>
    </x:row>
    <x:row r="35" customHeight="1">
      <x:c r="A35" s="1" t="n">
        <x:f>IFERROR(XLOOKUP(B35,'_曲线基线'!$G$3:$G$107,'_曲线基线'!$J$3:$J$107,""),"")</x:f>
        <x:v>16</x:v>
      </x:c>
      <x:c r="B35" s="1" t="n">
        <x:v>24</x:v>
      </x:c>
      <x:c r="C35" s="1" t="n">
        <x:v>2</x:v>
      </x:c>
      <x:c r="D35" s="1" t="n">
        <x:v>12</x:v>
      </x:c>
      <x:c r="E35" s="1" t="n">
        <x:f t="shared" si="0">IF($B35&lt;E$8,0,E$3+(E$4-E$3)*(POWER(E$5,$B35-E$8)-1)/(POWER(E$5,$C$5-E$8)-1))</x:f>
        <x:v>1</x:v>
      </x:c>
      <x:c r="F35" s="10" t="n">
        <x:f t="shared" si="1">1+IF(B35&lt;3,0,MIN(1,(B35-2)/4))+IF(B35&lt;7,0,MIN(1,(B35-6)/3))+IF(B35&lt;10,0,MIN(1,(B35-9)/5))+IF(B35&lt;20,0,MIN(1,(B35-19)/10))</x:f>
        <x:v>4.5</x:v>
      </x:c>
      <x:c r="G35" s="11" t="n">
        <x:f t="shared" ref="G35:L35" si="51">'玩家战力_节点'!G35</x:f>
        <x:v>0.2682821033467744</x:v>
      </x:c>
      <x:c r="H35" s="11" t="n">
        <x:f t="shared" si="51">'玩家战力_节点'!H35</x:f>
        <x:v>0.12865765443357877</x:v>
      </x:c>
      <x:c r="I35" s="11" t="n">
        <x:f t="shared" si="51">'玩家战力_节点'!I35</x:f>
        <x:v>0</x:v>
      </x:c>
      <x:c r="J35" s="11" t="n">
        <x:f t="shared" si="51">'玩家战力_节点'!J35</x:f>
        <x:v>0</x:v>
      </x:c>
      <x:c r="K35" s="11" t="n">
        <x:f t="shared" si="51">'玩家战力_节点'!K35</x:f>
        <x:v>0</x:v>
      </x:c>
      <x:c r="L35" s="11" t="n">
        <x:f t="shared" si="51">'玩家战力_节点'!L35</x:f>
        <x:v>0.11694104964312126</x:v>
      </x:c>
      <x:c r="M35" s="2" t="n">
        <x:f>E35*'模块规划'!$F$10+G35*'模块规划'!$F$11+H35*'模块规划'!$F$13</x:f>
        <x:v>2287.754096064517</x:v>
      </x:c>
      <x:c r="N35" s="2" t="n">
        <x:f>I35*'模块规划'!$F$15+J35*'模块规划'!$F$17+K35*'模块规划'!$F$16+L35*'模块规划'!$F$18</x:f>
        <x:v>584.7052482156063</x:v>
      </x:c>
      <x:c r="O35" s="2" t="n">
        <x:f t="shared" si="3">1+O$9*SUMPRODUCT($H$10:$L$10,H35:L35)/SUM($H$10:$L$10)</x:f>
        <x:v>1.1149764116681569</x:v>
      </x:c>
      <x:c r="P35" s="12" t="n">
        <x:f t="shared" si="4">M35*O35+N35</x:f>
        <x:v>3135.497101024749</x:v>
      </x:c>
      <x:c r="Q35" s="7" t="n">
        <x:f>P35/(P35+'_曲线基线'!$L$2)</x:f>
        <x:v>0.11554964662528108</x:v>
      </x:c>
      <x:c r="R35" s="2" t="n">
        <x:f>E35*'模块规划'!$E$10+G35*'模块规划'!$E$11+H35*'模块规划'!$E$13</x:f>
        <x:v>3431.6311440967756</x:v>
      </x:c>
      <x:c r="S35" s="2" t="n">
        <x:f>I35*'模块规划'!$E$15+J35*'模块规划'!$E$17+K35*'模块规划'!$E$16+L35*'模块规划'!$E$18</x:f>
        <x:v>877.0578723234095</x:v>
      </x:c>
      <x:c r="T35" s="2" t="n">
        <x:f t="shared" si="5">1+T$9*SUMPRODUCT($H$10:$L$10,H35:L35)/SUM($H$10:$L$10)</x:f>
        <x:v>1.1149764116681569</x:v>
      </x:c>
      <x:c r="U35" s="12" t="n">
        <x:f t="shared" si="6">R35*T35+S35</x:f>
        <x:v>4703.245651537124</x:v>
      </x:c>
      <x:c r="V35" s="2" t="n">
        <x:f t="shared" si="7">V$8+(V$9-V$8)*H35</x:f>
        <x:v>0.7385972963300735</x:v>
      </x:c>
      <x:c r="W35" s="2" t="n">
        <x:f t="shared" si="8">IF(B35&lt;$H$8,0,W$8+(W$9-W$8)*H35)</x:f>
        <x:v>0.05146306177343151</x:v>
      </x:c>
      <x:c r="X35" s="2" t="n">
        <x:f t="shared" si="9">X$8+(X$9-X$8)*H35</x:f>
        <x:v>0.3103808549692342</x:v>
      </x:c>
      <x:c r="Y35" s="2" t="n">
        <x:f t="shared" si="10">Y$8+(Y$9-Y$8)*G35</x:f>
        <x:v>1</x:v>
      </x:c>
      <x:c r="Z35" s="2" t="n">
        <x:f t="shared" si="11">Z$8+(Z$9-Z$8)*H35</x:f>
        <x:v>1</x:v>
      </x:c>
      <x:c r="AA35" s="2" t="n">
        <x:f t="shared" si="12">AA$8+(AA$9-AA$8)*I35</x:f>
        <x:v>1</x:v>
      </x:c>
      <x:c r="AB35" s="2" t="n">
        <x:f t="shared" si="13">AB$8+(AB$9-AB$8)*J35</x:f>
        <x:v>1</x:v>
      </x:c>
      <x:c r="AC35" s="2" t="n">
        <x:f t="shared" si="14">AC$8+(AC$9-AC$8)*MAX(K35,L35)</x:f>
        <x:v>1</x:v>
      </x:c>
      <x:c r="AD35" s="1" t="n">
        <x:f t="shared" si="15">(V35*AE35+W35*AF35+X35*AG35)*PRODUCT(Y35:AC35)</x:f>
        <x:v>1.106545337135779</x:v>
      </x:c>
      <x:c r="AE35" s="2" t="n">
        <x:f t="shared" si="16">1+AE$9*($H$10*H35+$I$10*I35+$J$10*J35+$K$10*K35+$L$10*L35)</x:f>
        <x:v>1</x:v>
      </x:c>
      <x:c r="AF35" s="2" t="n">
        <x:f t="shared" si="17">1+AF$9*($H$10*H35+$I$10*I35+$J$10*J35+$K$10*K35+$L$10*L35)</x:f>
        <x:v>1.0101477156856915</x:v>
      </x:c>
      <x:c r="AG35" s="2" t="n">
        <x:f t="shared" si="18">1+AG$9*($H$10*H35+$I$10*I35+$J$10*J35+$K$10*K35+$L$10*L35)</x:f>
        <x:v>1.0179840072429758</x:v>
      </x:c>
      <x:c r="AH35" s="2" t="n">
        <x:f>MIN(1,'_曲线基线'!$L$3+AH$9*($H$10*H35+$I$10*I35+$J$10*J35+$K$10*K35+$L$10*L35))</x:f>
        <x:v>0.07308605318494835</x:v>
      </x:c>
      <x:c r="AI35" s="2" t="n">
        <x:f>'_曲线基线'!$L$4+AI$9*($H$10*H35+$I$10*I35+$J$10*J35+$K$10*K35+$L$10*L35)</x:f>
        <x:v>2.0643111481580703</x:v>
      </x:c>
      <x:c r="AJ35" s="2" t="n">
        <x:f t="shared" si="19">1+AJ$9*($H$10*H35+$I$10*I35+$J$10*J35+$K$10*K35+$L$10*L35)</x:f>
        <x:v>1.0527681215655962</x:v>
      </x:c>
      <x:c r="AK35" s="1" t="n">
        <x:f t="shared" si="20">(1+AH35*(AI35-1))*AJ35</x:f>
        <x:v>1.1346590597419943</x:v>
      </x:c>
      <x:c r="AL35" s="1" t="n">
        <x:f t="shared" si="21">U35*AD35*AK35*F35</x:f>
        <x:v>26573.25615624613</x:v>
      </x:c>
      <x:c r="AM35" s="13" t="n">
        <x:f t="shared" si="22">IF($B35&lt;AM$8,0,AM$3+(AM$4-AM$3)*(POWER(AM$5,$B35-AM$8)-1)/(POWER(AM$5,$C$5-AM$8)-1))</x:f>
        <x:v>35.345232092254854</x:v>
      </x:c>
      <x:c r="AN35" s="13" t="n">
        <x:f>(((E35*'模块规划'!$D$10+G35*'模块规划'!$D$11+H35*'模块规划'!$D$13)*(1+'模块规划'!$G$14*H35)+(I35*'模块规划'!$D$15+J35*'模块规划'!$D$17+K35*'模块规划'!$D$16+L35*'模块规划'!$D$18))*(1+'模块规划'!$J$17*J35))*F35/(1-Q35)</x:f>
        <x:v>79813.02824329917</x:v>
      </x:c>
      <x:c r="AO35" s="1" t="n">
        <x:f t="shared" si="23">AL35*AM35</x:f>
        <x:v>939237.9062894596</x:v>
      </x:c>
      <x:c r="AP35" s="1" t="n">
        <x:f>IF(AO35="","",INDEX('_曲线基线'!$A$3:$A$502,MIN(ROWS('_曲线基线'!$A$3:$A$502),COUNTIF('_曲线基线'!$E$3:$E$502,"&lt;"&amp;AO35)+1)))</x:f>
        <x:v>50</x:v>
      </x:c>
      <x:c r="AQ35" s="14" t="n">
        <x:f t="shared" si="24">IF(B35&lt;=2,1,IF(B35&lt;=6,2,IF(B35&lt;=9,3,IF(B35&lt;=19,4,5))))</x:f>
        <x:v>5</x:v>
      </x:c>
      <x:c r="AR35" s="10" t="n">
        <x:f t="shared" si="26">AN35*(1-Q35)/F35*$AS$3+U35*$AS$4+P35*$AS$5</x:f>
        <x:v>1411.2535371987074</x:v>
      </x:c>
      <x:c r="AS35" s="15" t="n">
        <x:f t="shared" si="27">1+AH35*$AS$6+AI35*$AS$7+(AJ35-1)*$AS$8+($H$10*H35+$I$10*I35+$J$10*J35+$K$10*K35+$L$10*L35)*$AU$3*$AS$9+($H$10*H35+$I$10*I35+$J$10*J35+$K$10*K35+$L$10*L35)*$AU$4*$AS$10</x:f>
        <x:v>5.587917542562019</x:v>
      </x:c>
      <x:c r="AT35" s="16" t="n">
        <x:f t="shared" si="28">ROUND(AR35*AS35,0)</x:f>
        <x:v>7886</x:v>
      </x:c>
      <x:c r="AU35" s="16" t="n">
        <x:f t="shared" si="29">ROUND(AT35*F35,0)</x:f>
        <x:v>35487</x:v>
      </x:c>
      <x:c r="AV35" t="n">
        <x:f>IF(AU35&gt;0,ROUND(AU35,-MAX(0,INT(LOG10(AU35))-2)),0)</x:f>
        <x:v>35500</x:v>
      </x:c>
    </x:row>
    <x:row r="36" customHeight="1">
      <x:c r="A36" s="1" t="n">
        <x:f>IFERROR(XLOOKUP(B36,'_曲线基线'!$G$3:$G$107,'_曲线基线'!$J$3:$J$107,""),"")</x:f>
        <x:v>17</x:v>
      </x:c>
      <x:c r="B36" s="1" t="n">
        <x:v>25</x:v>
      </x:c>
      <x:c r="C36" s="1" t="n">
        <x:v>3</x:v>
      </x:c>
      <x:c r="D36" s="1" t="n">
        <x:v>1</x:v>
      </x:c>
      <x:c r="E36" s="1" t="n">
        <x:f t="shared" si="0">IF($B36&lt;E$8,0,E$3+(E$4-E$3)*(POWER(E$5,$B36-E$8)-1)/(POWER(E$5,$C$5-E$8)-1))</x:f>
        <x:v>1</x:v>
      </x:c>
      <x:c r="F36" s="10" t="n">
        <x:f t="shared" si="1">1+IF(B36&lt;3,0,MIN(1,(B36-2)/4))+IF(B36&lt;7,0,MIN(1,(B36-6)/3))+IF(B36&lt;10,0,MIN(1,(B36-9)/5))+IF(B36&lt;20,0,MIN(1,(B36-19)/10))</x:f>
        <x:v>4.6</x:v>
      </x:c>
      <x:c r="G36" s="11" t="n">
        <x:f t="shared" ref="G36:L36" si="52">'玩家战力_节点'!G36</x:f>
        <x:v>0.27554282252499507</x:v>
      </x:c>
      <x:c r="H36" s="11" t="n">
        <x:f t="shared" si="52">'玩家战力_节点'!H36</x:f>
        <x:v>0.13727769629670855</x:v>
      </x:c>
      <x:c r="I36" s="11" t="n">
        <x:f t="shared" si="52">'玩家战力_节点'!I36</x:f>
        <x:v>0</x:v>
      </x:c>
      <x:c r="J36" s="11" t="n">
        <x:f t="shared" si="52">'玩家战力_节点'!J36</x:f>
        <x:v>0</x:v>
      </x:c>
      <x:c r="K36" s="11" t="n">
        <x:f t="shared" si="52">'玩家战力_节点'!K36</x:f>
        <x:v>0</x:v>
      </x:c>
      <x:c r="L36" s="11" t="n">
        <x:f t="shared" si="52">'玩家战力_节点'!L36</x:f>
        <x:v>0.12148526241078032</x:v>
      </x:c>
      <x:c r="M36" s="2" t="n">
        <x:f>E36*'模块规划'!$F$10+G36*'模块规划'!$F$11+H36*'模块规划'!$F$13</x:f>
        <x:v>2322.6055481199764</x:v>
      </x:c>
      <x:c r="N36" s="2" t="n">
        <x:f>I36*'模块规划'!$F$15+J36*'模块规划'!$F$17+K36*'模块规划'!$F$16+L36*'模块规划'!$F$18</x:f>
        <x:v>607.4263120539016</x:v>
      </x:c>
      <x:c r="O36" s="2" t="n">
        <x:f t="shared" si="3">1+O$9*SUMPRODUCT($H$10:$L$10,H36:L36)/SUM($H$10:$L$10)</x:f>
        <x:v>1.1209589257664623</x:v>
      </x:c>
      <x:c r="P36" s="12" t="n">
        <x:f t="shared" si="4">M36*O36+N36</x:f>
        <x:v>3210.971732253696</x:v>
      </x:c>
      <x:c r="Q36" s="7" t="n">
        <x:f>P36/(P36+'_曲线基线'!$L$2)</x:f>
        <x:v>0.1180028322343104</x:v>
      </x:c>
      <x:c r="R36" s="2" t="n">
        <x:f>E36*'模块规划'!$E$10+G36*'模块规划'!$E$11+H36*'模块规划'!$E$13</x:f>
        <x:v>3483.9083221799647</x:v>
      </x:c>
      <x:c r="S36" s="2" t="n">
        <x:f>I36*'模块规划'!$E$15+J36*'模块规划'!$E$17+K36*'模块规划'!$E$16+L36*'模块规划'!$E$18</x:f>
        <x:v>911.1394680808525</x:v>
      </x:c>
      <x:c r="T36" s="2" t="n">
        <x:f t="shared" si="5">1+T$9*SUMPRODUCT($H$10:$L$10,H36:L36)/SUM($H$10:$L$10)</x:f>
        <x:v>1.1209589257664623</x:v>
      </x:c>
      <x:c r="U36" s="12" t="n">
        <x:f t="shared" si="6">R36*T36+S36</x:f>
        <x:v>4816.4575983805435</x:v>
      </x:c>
      <x:c r="V36" s="2" t="n">
        <x:f t="shared" si="7">V$8+(V$9-V$8)*H36</x:f>
        <x:v>0.7411833088890125</x:v>
      </x:c>
      <x:c r="W36" s="2" t="n">
        <x:f t="shared" si="8">IF(B36&lt;$H$8,0,W$8+(W$9-W$8)*H36)</x:f>
        <x:v>0.054911078518683425</x:v>
      </x:c>
      <x:c r="X36" s="2" t="n">
        <x:f t="shared" si="9">X$8+(X$9-X$8)*H36</x:f>
        <x:v>0.31275136648159485</x:v>
      </x:c>
      <x:c r="Y36" s="2" t="n">
        <x:f t="shared" si="10">Y$8+(Y$9-Y$8)*G36</x:f>
        <x:v>1</x:v>
      </x:c>
      <x:c r="Z36" s="2" t="n">
        <x:f t="shared" si="11">Z$8+(Z$9-Z$8)*H36</x:f>
        <x:v>1</x:v>
      </x:c>
      <x:c r="AA36" s="2" t="n">
        <x:f t="shared" si="12">AA$8+(AA$9-AA$8)*I36</x:f>
        <x:v>1</x:v>
      </x:c>
      <x:c r="AB36" s="2" t="n">
        <x:f t="shared" si="13">AB$8+(AB$9-AB$8)*J36</x:f>
        <x:v>1</x:v>
      </x:c>
      <x:c r="AC36" s="2" t="n">
        <x:f t="shared" si="14">AC$8+(AC$9-AC$8)*MAX(K36,L36)</x:f>
        <x:v>1</x:v>
      </x:c>
      <x:c r="AD36" s="1" t="n">
        <x:f t="shared" si="15">(V36*AE36+W36*AF36+X36*AG36)*PRODUCT(Y36:AC36)</x:f>
        <x:v>1.1153491505940178</x:v>
      </x:c>
      <x:c r="AE36" s="2" t="n">
        <x:f t="shared" si="16">1+AE$9*($H$10*H36+$I$10*I36+$J$10*J36+$K$10*K36+$L$10*L36)</x:f>
        <x:v>1</x:v>
      </x:c>
      <x:c r="AF36" s="2" t="n">
        <x:f t="shared" si="17">1+AF$9*($H$10*H36+$I$10*I36+$J$10*J36+$K$10*K36+$L$10*L36)</x:f>
        <x:v>1.010675727051453</x:v>
      </x:c>
      <x:c r="AG36" s="2" t="n">
        <x:f t="shared" si="18">1+AG$9*($H$10*H36+$I$10*I36+$J$10*J36+$K$10*K36+$L$10*L36)</x:f>
        <x:v>1.018919760718964</x:v>
      </x:c>
      <x:c r="AH36" s="2" t="n">
        <x:f>MIN(1,'_曲线基线'!$L$3+AH$9*($H$10*H36+$I$10*I36+$J$10*J36+$K$10*K36+$L$10*L36))</x:f>
        <x:v>0.07428727904205545</x:v>
      </x:c>
      <x:c r="AI36" s="2" t="n">
        <x:f>'_曲线基线'!$L$4+AI$9*($H$10*H36+$I$10*I36+$J$10*J36+$K$10*K36+$L$10*L36)</x:f>
        <x:v>2.067657420188583</x:v>
      </x:c>
      <x:c r="AJ36" s="2" t="n">
        <x:f t="shared" si="19">1+AJ$9*($H$10*H36+$I$10*I36+$J$10*J36+$K$10*K36+$L$10*L36)</x:f>
        <x:v>1.0555137806675554</x:v>
      </x:c>
      <x:c r="AK36" s="1" t="n">
        <x:f t="shared" si="20">(1+AH36*(AI36-1))*AJ36</x:f>
        <x:v>1.1392301300941026</x:v>
      </x:c>
      <x:c r="AL36" s="1" t="n">
        <x:f t="shared" si="21">U36*AD36*AK36*F36</x:f>
        <x:v>28151.910715430065</x:v>
      </x:c>
      <x:c r="AM36" s="13" t="n">
        <x:f t="shared" si="22">IF($B36&lt;AM$8,0,AM$3+(AM$4-AM$3)*(POWER(AM$5,$B36-AM$8)-1)/(POWER(AM$5,$C$5-AM$8)-1))</x:f>
        <x:v>35.362109053099275</x:v>
      </x:c>
      <x:c r="AN36" s="13" t="n">
        <x:f>(((E36*'模块规划'!$D$10+G36*'模块规划'!$D$11+H36*'模块规划'!$D$13)*(1+'模块规划'!$G$14*H36)+(I36*'模块规划'!$D$15+J36*'模块规划'!$D$17+K36*'模块规划'!$D$16+L36*'模块规划'!$D$18))*(1+'模块规划'!$J$17*J36))*F36/(1-Q36)</x:f>
        <x:v>83890.02099610947</x:v>
      </x:c>
      <x:c r="AO36" s="1" t="n">
        <x:f t="shared" si="23">AL36*AM36</x:f>
        <x:v>995510.936772152</x:v>
      </x:c>
      <x:c r="AP36" s="1" t="n">
        <x:f>IF(AO36="","",INDEX('_曲线基线'!$A$3:$A$502,MIN(ROWS('_曲线基线'!$A$3:$A$502),COUNTIF('_曲线基线'!$E$3:$E$502,"&lt;"&amp;AO36)+1)))</x:f>
        <x:v>52</x:v>
      </x:c>
      <x:c r="AQ36" s="14" t="n">
        <x:f t="shared" si="24">IF(B36&lt;=2,1,IF(B36&lt;=6,2,IF(B36&lt;=9,3,IF(B36&lt;=19,4,5))))</x:f>
        <x:v>5</x:v>
      </x:c>
      <x:c r="AR36" s="10" t="n">
        <x:f t="shared" si="26">AN36*(1-Q36)/F36*$AS$3+U36*$AS$4+P36*$AS$5</x:f>
        <x:v>1445.8399604741921</x:v>
      </x:c>
      <x:c r="AS36" s="15" t="n">
        <x:f t="shared" si="27">1+AH36*$AS$6+AI36*$AS$7+(AJ36-1)*$AS$8+($H$10*H36+$I$10*I36+$J$10*J36+$K$10*K36+$L$10*L36)*$AU$3*$AS$9+($H$10*H36+$I$10*I36+$J$10*J36+$K$10*K36+$L$10*L36)*$AU$4*$AS$10</x:f>
        <x:v>5.619466821619177</x:v>
      </x:c>
      <x:c r="AT36" s="16" t="n">
        <x:f t="shared" si="28">ROUND(AR36*AS36,0)</x:f>
        <x:v>8125</x:v>
      </x:c>
      <x:c r="AU36" s="16" t="n">
        <x:f t="shared" si="29">ROUND(AT36*F36,0)</x:f>
        <x:v>37375</x:v>
      </x:c>
      <x:c r="AV36" t="n">
        <x:f>IF(AU36&gt;0,ROUND(AU36,-MAX(0,INT(LOG10(AU36))-2)),0)</x:f>
        <x:v>37400</x:v>
      </x:c>
    </x:row>
    <x:row r="37" customHeight="1">
      <x:c r="A37" s="1" t="n">
        <x:f>IFERROR(XLOOKUP(B37,'_曲线基线'!$G$3:$G$107,'_曲线基线'!$J$3:$J$107,""),"")</x:f>
        <x:v>17</x:v>
      </x:c>
      <x:c r="B37" s="1" t="n">
        <x:v>26</x:v>
      </x:c>
      <x:c r="C37" s="1" t="n">
        <x:v>3</x:v>
      </x:c>
      <x:c r="D37" s="1" t="n">
        <x:v>2</x:v>
      </x:c>
      <x:c r="E37" s="1" t="n">
        <x:f t="shared" si="0">IF($B37&lt;E$8,0,E$3+(E$4-E$3)*(POWER(E$5,$B37-E$8)-1)/(POWER(E$5,$C$5-E$8)-1))</x:f>
        <x:v>1</x:v>
      </x:c>
      <x:c r="F37" s="10" t="n">
        <x:f t="shared" si="1">1+IF(B37&lt;3,0,MIN(1,(B37-2)/4))+IF(B37&lt;7,0,MIN(1,(B37-6)/3))+IF(B37&lt;10,0,MIN(1,(B37-9)/5))+IF(B37&lt;20,0,MIN(1,(B37-19)/10))</x:f>
        <x:v>4.7</x:v>
      </x:c>
      <x:c r="G37" s="11" t="n">
        <x:f t="shared" ref="G37:L37" si="53">'玩家战力_节点'!G37</x:f>
        <x:v>0.2825353183493047</x:v>
      </x:c>
      <x:c r="H37" s="11" t="n">
        <x:f t="shared" si="53">'玩家战力_节点'!H37</x:f>
        <x:v>0.14547527025292806</x:v>
      </x:c>
      <x:c r="I37" s="11" t="n">
        <x:f t="shared" si="53">'玩家战力_节点'!I37</x:f>
        <x:v>0</x:v>
      </x:c>
      <x:c r="J37" s="11" t="n">
        <x:f t="shared" si="53">'玩家战力_节点'!J37</x:f>
        <x:v>0</x:v>
      </x:c>
      <x:c r="K37" s="11" t="n">
        <x:f t="shared" si="53">'玩家战力_节点'!K37</x:f>
        <x:v>0</x:v>
      </x:c>
      <x:c r="L37" s="11" t="n">
        <x:f t="shared" si="53">'玩家战力_节点'!L37</x:f>
        <x:v>0.1259852624107803</x:v>
      </x:c>
      <x:c r="M37" s="2" t="n">
        <x:f>E37*'模块规划'!$F$10+G37*'模块规划'!$F$11+H37*'模块规划'!$F$13</x:f>
        <x:v>2356.1695280766626</x:v>
      </x:c>
      <x:c r="N37" s="2" t="n">
        <x:f>I37*'模块规划'!$F$15+J37*'模块规划'!$F$17+K37*'模块规划'!$F$16+L37*'模块规划'!$F$18</x:f>
        <x:v>629.9263120539016</x:v>
      </x:c>
      <x:c r="O37" s="2" t="n">
        <x:f t="shared" si="3">1+O$9*SUMPRODUCT($H$10:$L$10,H37:L37)/SUM($H$10:$L$10)</x:f>
        <x:v>1.126741580559156</x:v>
      </x:c>
      <x:c r="P37" s="12" t="n">
        <x:f t="shared" si="4">M37*O37+N37</x:f>
        <x:v>3284.7204901843215</x:v>
      </x:c>
      <x:c r="Q37" s="7" t="n">
        <x:f>P37/(P37+'_曲线基线'!$L$2)</x:f>
        <x:v>0.12038681104928305</x:v>
      </x:c>
      <x:c r="R37" s="2" t="n">
        <x:f>E37*'模块规划'!$E$10+G37*'模块规划'!$E$11+H37*'模块规划'!$E$13</x:f>
        <x:v>3534.2542921149934</x:v>
      </x:c>
      <x:c r="S37" s="2" t="n">
        <x:f>I37*'模块规划'!$E$15+J37*'模块规划'!$E$17+K37*'模块规划'!$E$16+L37*'模块规划'!$E$18</x:f>
        <x:v>944.8894680808523</x:v>
      </x:c>
      <x:c r="T37" s="2" t="n">
        <x:f t="shared" si="5">1+T$9*SUMPRODUCT($H$10:$L$10,H37:L37)/SUM($H$10:$L$10)</x:f>
        <x:v>1.126741580559156</x:v>
      </x:c>
      <x:c r="U37" s="12" t="n">
        <x:f t="shared" si="6">R37*T37+S37</x:f>
        <x:v>4927.080735276481</x:v>
      </x:c>
      <x:c r="V37" s="2" t="n">
        <x:f t="shared" si="7">V$8+(V$9-V$8)*H37</x:f>
        <x:v>0.7436425810758783</x:v>
      </x:c>
      <x:c r="W37" s="2" t="n">
        <x:f t="shared" si="8">IF(B37&lt;$H$8,0,W$8+(W$9-W$8)*H37)</x:f>
        <x:v>0.05819010810117123</x:v>
      </x:c>
      <x:c r="X37" s="2" t="n">
        <x:f t="shared" si="9">X$8+(X$9-X$8)*H37</x:f>
        <x:v>0.31500569931955524</x:v>
      </x:c>
      <x:c r="Y37" s="2" t="n">
        <x:f t="shared" si="10">Y$8+(Y$9-Y$8)*G37</x:f>
        <x:v>1</x:v>
      </x:c>
      <x:c r="Z37" s="2" t="n">
        <x:f t="shared" si="11">Z$8+(Z$9-Z$8)*H37</x:f>
        <x:v>1</x:v>
      </x:c>
      <x:c r="AA37" s="2" t="n">
        <x:f t="shared" si="12">AA$8+(AA$9-AA$8)*I37</x:f>
        <x:v>1</x:v>
      </x:c>
      <x:c r="AB37" s="2" t="n">
        <x:f t="shared" si="13">AB$8+(AB$9-AB$8)*J37</x:f>
        <x:v>1</x:v>
      </x:c>
      <x:c r="AC37" s="2" t="n">
        <x:f t="shared" si="14">AC$8+(AC$9-AC$8)*MAX(K37,L37)</x:f>
        <x:v>1</x:v>
      </x:c>
      <x:c r="AD37" s="1" t="n">
        <x:f t="shared" si="15">(V37*AE37+W37*AF37+X37*AG37)*PRODUCT(Y37:AC37)</x:f>
        <x:v>1.1237340615661098</x:v>
      </x:c>
      <x:c r="AE37" s="2" t="n">
        <x:f t="shared" si="16">1+AE$9*($H$10*H37+$I$10*I37+$J$10*J37+$K$10*K37+$L$10*L37)</x:f>
        <x:v>1</x:v>
      </x:c>
      <x:c r="AF37" s="2" t="n">
        <x:f t="shared" si="17">1+AF$9*($H$10*H37+$I$10*I37+$J$10*J37+$K$10*K37+$L$10*L37)</x:f>
        <x:v>1.0111860990129133</x:v>
      </x:c>
      <x:c r="AG37" s="2" t="n">
        <x:f t="shared" si="18">1+AG$9*($H$10*H37+$I$10*I37+$J$10*J37+$K$10*K37+$L$10*L37)</x:f>
        <x:v>1.0198242532506634</x:v>
      </x:c>
      <x:c r="AH37" s="2" t="n">
        <x:f>MIN(1,'_曲线基线'!$L$3+AH$9*($H$10*H37+$I$10*I37+$J$10*J37+$K$10*K37+$L$10*L37))</x:f>
        <x:v>0.07544837525437789</x:v>
      </x:c>
      <x:c r="AI37" s="2" t="n">
        <x:f>'_曲线基线'!$L$4+AI$9*($H$10*H37+$I$10*I37+$J$10*J37+$K$10*K37+$L$10*L37)</x:f>
        <x:v>2.0708919024943384</x:v>
      </x:c>
      <x:c r="AJ37" s="2" t="n">
        <x:f t="shared" si="19">1+AJ$9*($H$10*H37+$I$10*I37+$J$10*J37+$K$10*K37+$L$10*L37)</x:f>
        <x:v>1.0581677148671496</x:v>
      </x:c>
      <x:c r="AK37" s="1" t="n">
        <x:f t="shared" si="20">(1+AH37*(AI37-1))*AJ37</x:f>
        <x:v>1.1436645489893578</x:v>
      </x:c>
      <x:c r="AL37" s="1" t="n">
        <x:f t="shared" si="21">U37*AD37*AK37*F37</x:f>
        <x:v>29761.152194734936</x:v>
      </x:c>
      <x:c r="AM37" s="13" t="n">
        <x:f t="shared" si="22">IF($B37&lt;AM$8,0,AM$3+(AM$4-AM$3)*(POWER(AM$5,$B37-AM$8)-1)/(POWER(AM$5,$C$5-AM$8)-1))</x:f>
        <x:v>35.37915478355213</x:v>
      </x:c>
      <x:c r="AN37" s="13" t="n">
        <x:f>(((E37*'模块规划'!$D$10+G37*'模块规划'!$D$11+H37*'模块规划'!$D$13)*(1+'模块规划'!$G$14*H37)+(I37*'模块规划'!$D$15+J37*'模块规划'!$D$17+K37*'模块规划'!$D$16+L37*'模块规划'!$D$18))*(1+'模块规划'!$J$17*J37))*F37/(1-Q37)</x:f>
        <x:v>88019.05229648268</x:v>
      </x:c>
      <x:c r="AO37" s="1" t="n">
        <x:f t="shared" si="23">AL37*AM37</x:f>
        <x:v>1052924.4100343795</x:v>
      </x:c>
      <x:c r="AP37" s="1" t="n">
        <x:f>IF(AO37="","",INDEX('_曲线基线'!$A$3:$A$502,MIN(ROWS('_曲线基线'!$A$3:$A$502),COUNTIF('_曲线基线'!$E$3:$E$502,"&lt;"&amp;AO37)+1)))</x:f>
        <x:v>54</x:v>
      </x:c>
      <x:c r="AQ37" s="14" t="n">
        <x:f t="shared" si="24">IF(B37&lt;=2,1,IF(B37&lt;=6,2,IF(B37&lt;=9,3,IF(B37&lt;=19,4,5))))</x:f>
        <x:v>5</x:v>
      </x:c>
      <x:c r="AR37" s="10" t="n">
        <x:f t="shared" si="26">AN37*(1-Q37)/F37*$AS$3+U37*$AS$4+P37*$AS$5</x:f>
        <x:v>1479.603716920801</x:v>
      </x:c>
      <x:c r="AS37" s="15" t="n">
        <x:f t="shared" si="27">1+AH37*$AS$6+AI37*$AS$7+(AJ37-1)*$AS$8+($H$10*H37+$I$10*I37+$J$10*J37+$K$10*K37+$L$10*L37)*$AU$3*$AS$9+($H$10*H37+$I$10*I37+$J$10*J37+$K$10*K37+$L$10*L37)*$AU$4*$AS$10</x:f>
        <x:v>5.649962126226577</x:v>
      </x:c>
      <x:c r="AT37" s="16" t="n">
        <x:f t="shared" si="28">ROUND(AR37*AS37,0)</x:f>
        <x:v>8360</x:v>
      </x:c>
      <x:c r="AU37" s="16" t="n">
        <x:f t="shared" si="29">ROUND(AT37*F37,0)</x:f>
        <x:v>39292</x:v>
      </x:c>
      <x:c r="AV37" t="n">
        <x:f>IF(AU37&gt;0,ROUND(AU37,-MAX(0,INT(LOG10(AU37))-2)),0)</x:f>
        <x:v>39300</x:v>
      </x:c>
    </x:row>
    <x:row r="38" customHeight="1">
      <x:c r="A38" s="1" t="n">
        <x:f>IFERROR(XLOOKUP(B38,'_曲线基线'!$G$3:$G$107,'_曲线基线'!$J$3:$J$107,""),"")</x:f>
        <x:v>17</x:v>
      </x:c>
      <x:c r="B38" s="1" t="n">
        <x:v>27</x:v>
      </x:c>
      <x:c r="C38" s="1" t="n">
        <x:v>3</x:v>
      </x:c>
      <x:c r="D38" s="1" t="n">
        <x:v>3</x:v>
      </x:c>
      <x:c r="E38" s="1" t="n">
        <x:f t="shared" si="0">IF($B38&lt;E$8,0,E$3+(E$4-E$3)*(POWER(E$5,$B38-E$8)-1)/(POWER(E$5,$C$5-E$8)-1))</x:f>
        <x:v>1</x:v>
      </x:c>
      <x:c r="F38" s="10" t="n">
        <x:f t="shared" si="1">1+IF(B38&lt;3,0,MIN(1,(B38-2)/4))+IF(B38&lt;7,0,MIN(1,(B38-6)/3))+IF(B38&lt;10,0,MIN(1,(B38-9)/5))+IF(B38&lt;20,0,MIN(1,(B38-19)/10))</x:f>
        <x:v>4.8</x:v>
      </x:c>
      <x:c r="G38" s="11" t="n">
        <x:f t="shared" ref="G38:L38" si="54">'玩家战力_节点'!G38</x:f>
        <x:v>0.28952781417361423</x:v>
      </x:c>
      <x:c r="H38" s="11" t="n">
        <x:f t="shared" si="54">'玩家战力_节点'!H38</x:f>
        <x:v>0.1536728442091476</x:v>
      </x:c>
      <x:c r="I38" s="11" t="n">
        <x:f t="shared" si="54">'玩家战力_节点'!I38</x:f>
        <x:v>0</x:v>
      </x:c>
      <x:c r="J38" s="11" t="n">
        <x:f t="shared" si="54">'玩家战力_节点'!J38</x:f>
        <x:v>0</x:v>
      </x:c>
      <x:c r="K38" s="11" t="n">
        <x:f t="shared" si="54">'玩家战力_节点'!K38</x:f>
        <x:v>0</x:v>
      </x:c>
      <x:c r="L38" s="11" t="n">
        <x:f t="shared" si="54">'玩家战力_节点'!L38</x:f>
        <x:v>0.13048526241078032</x:v>
      </x:c>
      <x:c r="M38" s="2" t="n">
        <x:f>E38*'模块规划'!$F$10+G38*'模块规划'!$F$11+H38*'模块规划'!$F$13</x:f>
        <x:v>2389.7335080333482</x:v>
      </x:c>
      <x:c r="N38" s="2" t="n">
        <x:f>I38*'模块规划'!$F$15+J38*'模块规划'!$F$17+K38*'模块规划'!$F$16+L38*'模块规划'!$F$18</x:f>
        <x:v>652.4263120539016</x:v>
      </x:c>
      <x:c r="O38" s="2" t="n">
        <x:f t="shared" si="3">1+O$9*SUMPRODUCT($H$10:$L$10,H38:L38)/SUM($H$10:$L$10)</x:f>
        <x:v>1.1325242353518497</x:v>
      </x:c>
      <x:c r="P38" s="12" t="n">
        <x:f t="shared" si="4">M38*O38+N38</x:f>
        <x:v>3358.8574259340626</x:v>
      </x:c>
      <x:c r="Q38" s="7" t="n">
        <x:f>P38/(P38+'_曲线基线'!$L$2)</x:f>
        <x:v>0.12277038377889742</x:v>
      </x:c>
      <x:c r="R38" s="2" t="n">
        <x:f>E38*'模块规划'!$E$10+G38*'模块规划'!$E$11+H38*'模块规划'!$E$13</x:f>
        <x:v>3584.6002620500226</x:v>
      </x:c>
      <x:c r="S38" s="2" t="n">
        <x:f>I38*'模块规划'!$E$15+J38*'模块规划'!$E$17+K38*'模块规划'!$E$16+L38*'模块规划'!$E$18</x:f>
        <x:v>978.6394680808523</x:v>
      </x:c>
      <x:c r="T38" s="2" t="n">
        <x:f t="shared" si="5">1+T$9*SUMPRODUCT($H$10:$L$10,H38:L38)/SUM($H$10:$L$10)</x:f>
        <x:v>1.1325242353518497</x:v>
      </x:c>
      <x:c r="U38" s="12" t="n">
        <x:f t="shared" si="6">R38*T38+S38</x:f>
        <x:v>5038.286138901094</x:v>
      </x:c>
      <x:c r="V38" s="2" t="n">
        <x:f t="shared" si="7">V$8+(V$9-V$8)*H38</x:f>
        <x:v>0.7461018532627443</x:v>
      </x:c>
      <x:c r="W38" s="2" t="n">
        <x:f t="shared" si="8">IF(B38&lt;$H$8,0,W$8+(W$9-W$8)*H38)</x:f>
        <x:v>0.06146913768365904</x:v>
      </x:c>
      <x:c r="X38" s="2" t="n">
        <x:f t="shared" si="9">X$8+(X$9-X$8)*H38</x:f>
        <x:v>0.31726003215751564</x:v>
      </x:c>
      <x:c r="Y38" s="2" t="n">
        <x:f t="shared" si="10">Y$8+(Y$9-Y$8)*G38</x:f>
        <x:v>1</x:v>
      </x:c>
      <x:c r="Z38" s="2" t="n">
        <x:f t="shared" si="11">Z$8+(Z$9-Z$8)*H38</x:f>
        <x:v>1</x:v>
      </x:c>
      <x:c r="AA38" s="2" t="n">
        <x:f t="shared" si="12">AA$8+(AA$9-AA$8)*I38</x:f>
        <x:v>1</x:v>
      </x:c>
      <x:c r="AB38" s="2" t="n">
        <x:f t="shared" si="13">AB$8+(AB$9-AB$8)*J38</x:f>
        <x:v>1</x:v>
      </x:c>
      <x:c r="AC38" s="2" t="n">
        <x:f t="shared" si="14">AC$8+(AC$9-AC$8)*MAX(K38,L38)</x:f>
        <x:v>1</x:v>
      </x:c>
      <x:c r="AD38" s="1" t="n">
        <x:f t="shared" si="15">(V38*AE38+W38*AF38+X38*AG38)*PRODUCT(Y38:AC38)</x:f>
        <x:v>1.132126397642153</x:v>
      </x:c>
      <x:c r="AE38" s="2" t="n">
        <x:f t="shared" si="16">1+AE$9*($H$10*H38+$I$10*I38+$J$10*J38+$K$10*K38+$L$10*L38)</x:f>
        <x:v>1</x:v>
      </x:c>
      <x:c r="AF38" s="2" t="n">
        <x:f t="shared" si="17">1+AF$9*($H$10*H38+$I$10*I38+$J$10*J38+$K$10*K38+$L$10*L38)</x:f>
        <x:v>1.0116964709743739</x:v>
      </x:c>
      <x:c r="AG38" s="2" t="n">
        <x:f t="shared" si="18">1+AG$9*($H$10*H38+$I$10*I38+$J$10*J38+$K$10*K38+$L$10*L38)</x:f>
        <x:v>1.0207287457823626</x:v>
      </x:c>
      <x:c r="AH38" s="2" t="n">
        <x:f>MIN(1,'_曲线基线'!$L$3+AH$9*($H$10*H38+$I$10*I38+$J$10*J38+$K$10*K38+$L$10*L38))</x:f>
        <x:v>0.07660947146670033</x:v>
      </x:c>
      <x:c r="AI38" s="2" t="n">
        <x:f>'_曲线基线'!$L$4+AI$9*($H$10*H38+$I$10*I38+$J$10*J38+$K$10*K38+$L$10*L38)</x:f>
        <x:v>2.0741263848000937</x:v>
      </x:c>
      <x:c r="AJ38" s="2" t="n">
        <x:f t="shared" si="19">1+AJ$9*($H$10*H38+$I$10*I38+$J$10*J38+$K$10*K38+$L$10*L38)</x:f>
        <x:v>1.0608216490667437</x:v>
      </x:c>
      <x:c r="AK38" s="1" t="n">
        <x:f t="shared" si="20">(1+AH38*(AI38-1))*AJ38</x:f>
        <x:v>1.148114811040014</x:v>
      </x:c>
      <x:c r="AL38" s="1" t="n">
        <x:f t="shared" si="21">U38*AD38*AK38*F38</x:f>
        <x:v>31434.336831653138</x:v>
      </x:c>
      <x:c r="AM38" s="13" t="n">
        <x:f t="shared" si="22">IF($B38&lt;AM$8,0,AM$3+(AM$4-AM$3)*(POWER(AM$5,$B38-AM$8)-1)/(POWER(AM$5,$C$5-AM$8)-1))</x:f>
        <x:v>35.39637097130952</x:v>
      </x:c>
      <x:c r="AN38" s="13" t="n">
        <x:f>(((E38*'模块规划'!$D$10+G38*'模块规划'!$D$11+H38*'模块规划'!$D$13)*(1+'模块规划'!$G$14*H38)+(I38*'模块规划'!$D$15+J38*'模块规划'!$D$17+K38*'模块规划'!$D$16+L38*'模块规划'!$D$18))*(1+'模块规划'!$J$17*J38))*F38/(1-Q38)</x:f>
        <x:v>92272.48660908219</x:v>
      </x:c>
      <x:c r="AO38" s="1" t="n">
        <x:f t="shared" si="23">AL38*AM38</x:f>
        <x:v>1112661.4477302928</x:v>
      </x:c>
      <x:c r="AP38" s="1" t="n">
        <x:f>IF(AO38="","",INDEX('_曲线基线'!$A$3:$A$502,MIN(ROWS('_曲线基线'!$A$3:$A$502),COUNTIF('_曲线基线'!$E$3:$E$502,"&lt;"&amp;AO38)+1)))</x:f>
        <x:v>55</x:v>
      </x:c>
      <x:c r="AQ38" s="14" t="n">
        <x:f t="shared" si="24">IF(B38&lt;=2,1,IF(B38&lt;=6,2,IF(B38&lt;=9,3,IF(B38&lt;=19,4,5))))</x:f>
        <x:v>5</x:v>
      </x:c>
      <x:c r="AR38" s="10" t="n">
        <x:f t="shared" si="26">AN38*(1-Q38)/F38*$AS$3+U38*$AS$4+P38*$AS$5</x:f>
        <x:v>1513.5582153792936</x:v>
      </x:c>
      <x:c r="AS38" s="15" t="n">
        <x:f t="shared" si="27">1+AH38*$AS$6+AI38*$AS$7+(AJ38-1)*$AS$8+($H$10*H38+$I$10*I38+$J$10*J38+$K$10*K38+$L$10*L38)*$AU$3*$AS$9+($H$10*H38+$I$10*I38+$J$10*J38+$K$10*K38+$L$10*L38)*$AU$4*$AS$10</x:f>
        <x:v>5.680457430833978</x:v>
      </x:c>
      <x:c r="AT38" s="16" t="n">
        <x:f t="shared" si="28">ROUND(AR38*AS38,0)</x:f>
        <x:v>8598</x:v>
      </x:c>
      <x:c r="AU38" s="16" t="n">
        <x:f t="shared" si="29">ROUND(AT38*F38,0)</x:f>
        <x:v>41270</x:v>
      </x:c>
      <x:c r="AV38" t="n">
        <x:f>IF(AU38&gt;0,ROUND(AU38,-MAX(0,INT(LOG10(AU38))-2)),0)</x:f>
        <x:v>41300</x:v>
      </x:c>
    </x:row>
    <x:row r="39" customHeight="1">
      <x:c r="A39" s="1" t="n">
        <x:f>IFERROR(XLOOKUP(B39,'_曲线基线'!$G$3:$G$107,'_曲线基线'!$J$3:$J$107,""),"")</x:f>
        <x:v>18</x:v>
      </x:c>
      <x:c r="B39" s="1" t="n">
        <x:v>28</x:v>
      </x:c>
      <x:c r="C39" s="1" t="n">
        <x:v>3</x:v>
      </x:c>
      <x:c r="D39" s="1" t="n">
        <x:v>4</x:v>
      </x:c>
      <x:c r="E39" s="1" t="n">
        <x:f t="shared" si="0">IF($B39&lt;E$8,0,E$3+(E$4-E$3)*(POWER(E$5,$B39-E$8)-1)/(POWER(E$5,$C$5-E$8)-1))</x:f>
        <x:v>1</x:v>
      </x:c>
      <x:c r="F39" s="10" t="n">
        <x:f t="shared" si="1">1+IF(B39&lt;3,0,MIN(1,(B39-2)/4))+IF(B39&lt;7,0,MIN(1,(B39-6)/3))+IF(B39&lt;10,0,MIN(1,(B39-9)/5))+IF(B39&lt;20,0,MIN(1,(B39-19)/10))</x:f>
        <x:v>4.9</x:v>
      </x:c>
      <x:c r="G39" s="11" t="n">
        <x:f t="shared" ref="G39:L39" si="55">'玩家战力_节点'!G39</x:f>
        <x:v>0.2965203099979238</x:v>
      </x:c>
      <x:c r="H39" s="11" t="n">
        <x:f t="shared" si="55">'玩家战力_节点'!H39</x:f>
        <x:v>0.1618704181653671</x:v>
      </x:c>
      <x:c r="I39" s="11" t="n">
        <x:f t="shared" si="55">'玩家战力_节点'!I39</x:f>
        <x:v>0</x:v>
      </x:c>
      <x:c r="J39" s="11" t="n">
        <x:f t="shared" si="55">'玩家战力_节点'!J39</x:f>
        <x:v>0</x:v>
      </x:c>
      <x:c r="K39" s="11" t="n">
        <x:f t="shared" si="55">'玩家战力_节点'!K39</x:f>
        <x:v>0</x:v>
      </x:c>
      <x:c r="L39" s="11" t="n">
        <x:f t="shared" si="55">'玩家战力_节点'!L39</x:f>
        <x:v>0.1349852624107803</x:v>
      </x:c>
      <x:c r="M39" s="2" t="n">
        <x:f>E39*'模块规划'!$F$10+G39*'模块规划'!$F$11+H39*'模块规划'!$F$13</x:f>
        <x:v>2423.297487990034</x:v>
      </x:c>
      <x:c r="N39" s="2" t="n">
        <x:f>I39*'模块规划'!$F$15+J39*'模块规划'!$F$17+K39*'模块规划'!$F$16+L39*'模块规划'!$F$18</x:f>
        <x:v>674.9263120539015</x:v>
      </x:c>
      <x:c r="O39" s="2" t="n">
        <x:f t="shared" si="3">1+O$9*SUMPRODUCT($H$10:$L$10,H39:L39)/SUM($H$10:$L$10)</x:f>
        <x:v>1.1383068901445432</x:v>
      </x:c>
      <x:c r="P39" s="12" t="n">
        <x:f t="shared" si="4">M39*O39+N39</x:f>
        <x:v>3433.3825395029207</x:v>
      </x:c>
      <x:c r="Q39" s="7" t="n">
        <x:f>P39/(P39+'_曲线基线'!$L$2)</x:f>
        <x:v>0.12515345253393356</x:v>
      </x:c>
      <x:c r="R39" s="2" t="n">
        <x:f>E39*'模块规划'!$E$10+G39*'模块规划'!$E$11+H39*'模块规划'!$E$13</x:f>
        <x:v>3634.9462319850513</x:v>
      </x:c>
      <x:c r="S39" s="2" t="n">
        <x:f>I39*'模块规划'!$E$15+J39*'模块规划'!$E$17+K39*'模块规划'!$E$16+L39*'模块规划'!$E$18</x:f>
        <x:v>1012.3894680808522</x:v>
      </x:c>
      <x:c r="T39" s="2" t="n">
        <x:f t="shared" si="5">1+T$9*SUMPRODUCT($H$10:$L$10,H39:L39)/SUM($H$10:$L$10)</x:f>
        <x:v>1.1383068901445432</x:v>
      </x:c>
      <x:c r="U39" s="12" t="n">
        <x:f t="shared" si="6">R39*T39+S39</x:f>
        <x:v>5150.073809254382</x:v>
      </x:c>
      <x:c r="V39" s="2" t="n">
        <x:f t="shared" si="7">V$8+(V$9-V$8)*H39</x:f>
        <x:v>0.7485611254496101</x:v>
      </x:c>
      <x:c r="W39" s="2" t="n">
        <x:f t="shared" si="8">IF(B39&lt;$H$8,0,W$8+(W$9-W$8)*H39)</x:f>
        <x:v>0.06474816726614684</x:v>
      </x:c>
      <x:c r="X39" s="2" t="n">
        <x:f t="shared" si="9">X$8+(X$9-X$8)*H39</x:f>
        <x:v>0.319514364995476</x:v>
      </x:c>
      <x:c r="Y39" s="2" t="n">
        <x:f t="shared" si="10">Y$8+(Y$9-Y$8)*G39</x:f>
        <x:v>1</x:v>
      </x:c>
      <x:c r="Z39" s="2" t="n">
        <x:f t="shared" si="11">Z$8+(Z$9-Z$8)*H39</x:f>
        <x:v>1</x:v>
      </x:c>
      <x:c r="AA39" s="2" t="n">
        <x:f t="shared" si="12">AA$8+(AA$9-AA$8)*I39</x:f>
        <x:v>1</x:v>
      </x:c>
      <x:c r="AB39" s="2" t="n">
        <x:f t="shared" si="13">AB$8+(AB$9-AB$8)*J39</x:f>
        <x:v>1</x:v>
      </x:c>
      <x:c r="AC39" s="2" t="n">
        <x:f t="shared" si="14">AC$8+(AC$9-AC$8)*MAX(K39,L39)</x:f>
        <x:v>1</x:v>
      </x:c>
      <x:c r="AD39" s="1" t="n">
        <x:f t="shared" si="15">(V39*AE39+W39*AF39+X39*AG39)*PRODUCT(Y39:AC39)</x:f>
        <x:v>1.1405261588221471</x:v>
      </x:c>
      <x:c r="AE39" s="2" t="n">
        <x:f t="shared" si="16">1+AE$9*($H$10*H39+$I$10*I39+$J$10*J39+$K$10*K39+$L$10*L39)</x:f>
        <x:v>1</x:v>
      </x:c>
      <x:c r="AF39" s="2" t="n">
        <x:f t="shared" si="17">1+AF$9*($H$10*H39+$I$10*I39+$J$10*J39+$K$10*K39+$L$10*L39)</x:f>
        <x:v>1.0122068429358342</x:v>
      </x:c>
      <x:c r="AG39" s="2" t="n">
        <x:f t="shared" si="18">1+AG$9*($H$10*H39+$I$10*I39+$J$10*J39+$K$10*K39+$L$10*L39)</x:f>
        <x:v>1.0216332383140618</x:v>
      </x:c>
      <x:c r="AH39" s="2" t="n">
        <x:f>MIN(1,'_曲线基线'!$L$3+AH$9*($H$10*H39+$I$10*I39+$J$10*J39+$K$10*K39+$L$10*L39))</x:f>
        <x:v>0.07777056767902277</x:v>
      </x:c>
      <x:c r="AI39" s="2" t="n">
        <x:f>'_曲线基线'!$L$4+AI$9*($H$10*H39+$I$10*I39+$J$10*J39+$K$10*K39+$L$10*L39)</x:f>
        <x:v>2.077360867105849</x:v>
      </x:c>
      <x:c r="AJ39" s="2" t="n">
        <x:f t="shared" si="19">1+AJ$9*($H$10*H39+$I$10*I39+$J$10*J39+$K$10*K39+$L$10*L39)</x:f>
        <x:v>1.0634755832663378</x:v>
      </x:c>
      <x:c r="AK39" s="1" t="n">
        <x:f t="shared" si="20">(1+AH39*(AI39-1))*AJ39</x:f>
        <x:v>1.1525809760478893</x:v>
      </x:c>
      <x:c r="AL39" s="1" t="n">
        <x:f t="shared" si="21">U39*AD39*AK39*F39</x:f>
        <x:v>33173.11321735053</x:v>
      </x:c>
      <x:c r="AM39" s="13" t="n">
        <x:f t="shared" si="22">IF($B39&lt;AM$8,0,AM$3+(AM$4-AM$3)*(POWER(AM$5,$B39-AM$8)-1)/(POWER(AM$5,$C$5-AM$8)-1))</x:f>
        <x:v>35.413759320944486</x:v>
      </x:c>
      <x:c r="AN39" s="13" t="n">
        <x:f>(((E39*'模块规划'!$D$10+G39*'模块规划'!$D$11+H39*'模块规划'!$D$13)*(1+'模块规划'!$G$14*H39)+(I39*'模块规划'!$D$15+J39*'模块规划'!$D$17+K39*'模块规划'!$D$16+L39*'模块规划'!$D$18))*(1+'模块规划'!$J$17*J39))*F39/(1-Q39)</x:f>
        <x:v>96652.17318935909</x:v>
      </x:c>
      <x:c r="AO39" s="1" t="n">
        <x:f t="shared" si="23">AL39*AM39</x:f>
        <x:v>1174784.6474056942</x:v>
      </x:c>
      <x:c r="AP39" s="1" t="n">
        <x:f>IF(AO39="","",INDEX('_曲线基线'!$A$3:$A$502,MIN(ROWS('_曲线基线'!$A$3:$A$502),COUNTIF('_曲线基线'!$E$3:$E$502,"&lt;"&amp;AO39)+1)))</x:f>
        <x:v>57</x:v>
      </x:c>
      <x:c r="AQ39" s="14" t="n">
        <x:f t="shared" si="24">IF(B39&lt;=2,1,IF(B39&lt;=6,2,IF(B39&lt;=9,3,IF(B39&lt;=19,4,5))))</x:f>
        <x:v>5</x:v>
      </x:c>
      <x:c r="AR39" s="10" t="n">
        <x:f t="shared" si="26">AN39*(1-Q39)/F39*$AS$3+U39*$AS$4+P39*$AS$5</x:f>
        <x:v>1547.7034558496707</x:v>
      </x:c>
      <x:c r="AS39" s="15" t="n">
        <x:f t="shared" si="27">1+AH39*$AS$6+AI39*$AS$7+(AJ39-1)*$AS$8+($H$10*H39+$I$10*I39+$J$10*J39+$K$10*K39+$L$10*L39)*$AU$3*$AS$9+($H$10*H39+$I$10*I39+$J$10*J39+$K$10*K39+$L$10*L39)*$AU$4*$AS$10</x:f>
        <x:v>5.710952735441378</x:v>
      </x:c>
      <x:c r="AT39" s="16" t="n">
        <x:f t="shared" si="28">ROUND(AR39*AS39,0)</x:f>
        <x:v>8839</x:v>
      </x:c>
      <x:c r="AU39" s="16" t="n">
        <x:f t="shared" si="29">ROUND(AT39*F39,0)</x:f>
        <x:v>43311</x:v>
      </x:c>
      <x:c r="AV39" t="n">
        <x:f>IF(AU39&gt;0,ROUND(AU39,-MAX(0,INT(LOG10(AU39))-2)),0)</x:f>
        <x:v>43300</x:v>
      </x:c>
    </x:row>
    <x:row r="40" customHeight="1">
      <x:c r="A40" s="1" t="n">
        <x:f>IFERROR(XLOOKUP(B40,'_曲线基线'!$G$3:$G$107,'_曲线基线'!$J$3:$J$107,""),"")</x:f>
        <x:v>18</x:v>
      </x:c>
      <x:c r="B40" s="1" t="n">
        <x:v>29</x:v>
      </x:c>
      <x:c r="C40" s="1" t="n">
        <x:v>3</x:v>
      </x:c>
      <x:c r="D40" s="1" t="n">
        <x:v>5</x:v>
      </x:c>
      <x:c r="E40" s="1" t="n">
        <x:f t="shared" si="0">IF($B40&lt;E$8,0,E$3+(E$4-E$3)*(POWER(E$5,$B40-E$8)-1)/(POWER(E$5,$C$5-E$8)-1))</x:f>
        <x:v>1</x:v>
      </x:c>
      <x:c r="F40" s="10" t="n">
        <x:f t="shared" si="1">1+IF(B40&lt;3,0,MIN(1,(B40-2)/4))+IF(B40&lt;7,0,MIN(1,(B40-6)/3))+IF(B40&lt;10,0,MIN(1,(B40-9)/5))+IF(B40&lt;20,0,MIN(1,(B40-19)/10))</x:f>
        <x:v>5</x:v>
      </x:c>
      <x:c r="G40" s="11" t="n">
        <x:f t="shared" ref="G40:L40" si="56">'玩家战力_节点'!G40</x:f>
        <x:v>0.3035128058222334</x:v>
      </x:c>
      <x:c r="H40" s="11" t="n">
        <x:f t="shared" si="56">'玩家战力_节点'!H40</x:f>
        <x:v>0.17006799212158663</x:v>
      </x:c>
      <x:c r="I40" s="11" t="n">
        <x:f t="shared" si="56">'玩家战力_节点'!I40</x:f>
        <x:v>0</x:v>
      </x:c>
      <x:c r="J40" s="11" t="n">
        <x:f t="shared" si="56">'玩家战力_节点'!J40</x:f>
        <x:v>0</x:v>
      </x:c>
      <x:c r="K40" s="11" t="n">
        <x:f t="shared" si="56">'玩家战力_节点'!K40</x:f>
        <x:v>0</x:v>
      </x:c>
      <x:c r="L40" s="11" t="n">
        <x:f t="shared" si="56">'玩家战力_节点'!L40</x:f>
        <x:v>0.1394852624107803</x:v>
      </x:c>
      <x:c r="M40" s="2" t="n">
        <x:f>E40*'模块规划'!$F$10+G40*'模块规划'!$F$11+H40*'模块规划'!$F$13</x:f>
        <x:v>2456.86146794672</x:v>
      </x:c>
      <x:c r="N40" s="2" t="n">
        <x:f>I40*'模块规划'!$F$15+J40*'模块规划'!$F$17+K40*'模块规划'!$F$16+L40*'模块规划'!$F$18</x:f>
        <x:v>697.4263120539015</x:v>
      </x:c>
      <x:c r="O40" s="2" t="n">
        <x:f t="shared" si="3">1+O$9*SUMPRODUCT($H$10:$L$10,H40:L40)/SUM($H$10:$L$10)</x:f>
        <x:v>1.144089544937237</x:v>
      </x:c>
      <x:c r="P40" s="12" t="n">
        <x:f t="shared" si="4">M40*O40+N40</x:f>
        <x:v>3508.2958308908965</x:v>
      </x:c>
      <x:c r="Q40" s="7" t="n">
        <x:f>P40/(P40+'_曲线基线'!$L$2)</x:f>
        <x:v>0.12753592052587998</x:v>
      </x:c>
      <x:c r="R40" s="2" t="n">
        <x:f>E40*'模块规划'!$E$10+G40*'模块规划'!$E$11+H40*'模块规划'!$E$13</x:f>
        <x:v>3685.2922019200805</x:v>
      </x:c>
      <x:c r="S40" s="2" t="n">
        <x:f>I40*'模块规划'!$E$15+J40*'模块规划'!$E$17+K40*'模块规划'!$E$16+L40*'模块规划'!$E$18</x:f>
        <x:v>1046.1394680808523</x:v>
      </x:c>
      <x:c r="T40" s="2" t="n">
        <x:f t="shared" si="5">1+T$9*SUMPRODUCT($H$10:$L$10,H40:L40)/SUM($H$10:$L$10)</x:f>
        <x:v>1.144089544937237</x:v>
      </x:c>
      <x:c r="U40" s="12" t="n">
        <x:f t="shared" si="6">R40*T40+S40</x:f>
        <x:v>5262.443746336346</x:v>
      </x:c>
      <x:c r="V40" s="2" t="n">
        <x:f t="shared" si="7">V$8+(V$9-V$8)*H40</x:f>
        <x:v>0.751020397636476</x:v>
      </x:c>
      <x:c r="W40" s="2" t="n">
        <x:f t="shared" si="8">IF(B40&lt;$H$8,0,W$8+(W$9-W$8)*H40)</x:f>
        <x:v>0.06802719684863466</x:v>
      </x:c>
      <x:c r="X40" s="2" t="n">
        <x:f t="shared" si="9">X$8+(X$9-X$8)*H40</x:f>
        <x:v>0.32176869783343637</x:v>
      </x:c>
      <x:c r="Y40" s="2" t="n">
        <x:f t="shared" si="10">Y$8+(Y$9-Y$8)*G40</x:f>
        <x:v>1</x:v>
      </x:c>
      <x:c r="Z40" s="2" t="n">
        <x:f t="shared" si="11">Z$8+(Z$9-Z$8)*H40</x:f>
        <x:v>1</x:v>
      </x:c>
      <x:c r="AA40" s="2" t="n">
        <x:f t="shared" si="12">AA$8+(AA$9-AA$8)*I40</x:f>
        <x:v>1</x:v>
      </x:c>
      <x:c r="AB40" s="2" t="n">
        <x:f t="shared" si="13">AB$8+(AB$9-AB$8)*J40</x:f>
        <x:v>1</x:v>
      </x:c>
      <x:c r="AC40" s="2" t="n">
        <x:f t="shared" si="14">AC$8+(AC$9-AC$8)*MAX(K40,L40)</x:f>
        <x:v>1</x:v>
      </x:c>
      <x:c r="AD40" s="1" t="n">
        <x:f t="shared" si="15">(V40*AE40+W40*AF40+X40*AG40)*PRODUCT(Y40:AC40)</x:f>
        <x:v>1.1489333451060928</x:v>
      </x:c>
      <x:c r="AE40" s="2" t="n">
        <x:f t="shared" si="16">1+AE$9*($H$10*H40+$I$10*I40+$J$10*J40+$K$10*K40+$L$10*L40)</x:f>
        <x:v>1</x:v>
      </x:c>
      <x:c r="AF40" s="2" t="n">
        <x:f t="shared" si="17">1+AF$9*($H$10*H40+$I$10*I40+$J$10*J40+$K$10*K40+$L$10*L40)</x:f>
        <x:v>1.0127172148972947</x:v>
      </x:c>
      <x:c r="AG40" s="2" t="n">
        <x:f t="shared" si="18">1+AG$9*($H$10*H40+$I$10*I40+$J$10*J40+$K$10*K40+$L$10*L40)</x:f>
        <x:v>1.0225377308457613</x:v>
      </x:c>
      <x:c r="AH40" s="2" t="n">
        <x:f>MIN(1,'_曲线基线'!$L$3+AH$9*($H$10*H40+$I$10*I40+$J$10*J40+$K$10*K40+$L$10*L40))</x:f>
        <x:v>0.0789316638913452</x:v>
      </x:c>
      <x:c r="AI40" s="2" t="n">
        <x:f>'_曲线基线'!$L$4+AI$9*($H$10*H40+$I$10*I40+$J$10*J40+$K$10*K40+$L$10*L40)</x:f>
        <x:v>2.0805953494116043</x:v>
      </x:c>
      <x:c r="AJ40" s="2" t="n">
        <x:f t="shared" si="19">1+AJ$9*($H$10*H40+$I$10*I40+$J$10*J40+$K$10*K40+$L$10*L40)</x:f>
        <x:v>1.066129517465932</x:v>
      </x:c>
      <x:c r="AK40" s="1" t="n">
        <x:f t="shared" si="20">(1+AH40*(AI40-1))*AJ40</x:f>
        <x:v>1.1570631038148023</x:v>
      </x:c>
      <x:c r="AL40" s="1" t="n">
        <x:f t="shared" si="21">U40*AD40*AK40*F40</x:f>
        <x:v>34979.15789613861</x:v>
      </x:c>
      <x:c r="AM40" s="13" t="n">
        <x:f t="shared" si="22">IF($B40&lt;AM$8,0,AM$3+(AM$4-AM$3)*(POWER(AM$5,$B40-AM$8)-1)/(POWER(AM$5,$C$5-AM$8)-1))</x:f>
        <x:v>35.4313215540758</x:v>
      </x:c>
      <x:c r="AN40" s="13" t="n">
        <x:f>(((E40*'模块规划'!$D$10+G40*'模块规划'!$D$11+H40*'模块规划'!$D$13)*(1+'模块规划'!$G$14*H40)+(I40*'模块规划'!$D$15+J40*'模块规划'!$D$17+K40*'模块规划'!$D$16+L40*'模块规划'!$D$18))*(1+'模块规划'!$J$17*J40))*F40/(1-Q40)</x:f>
        <x:v>101159.97925168664</x:v>
      </x:c>
      <x:c r="AO40" s="1" t="n">
        <x:f t="shared" si="23">AL40*AM40</x:f>
        <x:v>1239357.7911088767</x:v>
      </x:c>
      <x:c r="AP40" s="1" t="n">
        <x:f>IF(AO40="","",INDEX('_曲线基线'!$A$3:$A$502,MIN(ROWS('_曲线基线'!$A$3:$A$502),COUNTIF('_曲线基线'!$E$3:$E$502,"&lt;"&amp;AO40)+1)))</x:f>
        <x:v>59</x:v>
      </x:c>
      <x:c r="AQ40" s="14" t="n">
        <x:f t="shared" si="24">IF(B40&lt;=2,1,IF(B40&lt;=6,2,IF(B40&lt;=9,3,IF(B40&lt;=19,4,5))))</x:f>
        <x:v>5</x:v>
      </x:c>
      <x:c r="AR40" s="10" t="n">
        <x:f t="shared" si="26">AN40*(1-Q40)/F40*$AS$3+U40*$AS$4+P40*$AS$5</x:f>
        <x:v>1582.0394383319322</x:v>
      </x:c>
      <x:c r="AS40" s="15" t="n">
        <x:f t="shared" si="27">1+AH40*$AS$6+AI40*$AS$7+(AJ40-1)*$AS$8+($H$10*H40+$I$10*I40+$J$10*J40+$K$10*K40+$L$10*L40)*$AU$3*$AS$9+($H$10*H40+$I$10*I40+$J$10*J40+$K$10*K40+$L$10*L40)*$AU$4*$AS$10</x:f>
        <x:v>5.74144804004878</x:v>
      </x:c>
      <x:c r="AT40" s="16" t="n">
        <x:f t="shared" si="28">ROUND(AR40*AS40,0)</x:f>
        <x:v>9083</x:v>
      </x:c>
      <x:c r="AU40" s="16" t="n">
        <x:f t="shared" si="29">ROUND(AT40*F40,0)</x:f>
        <x:v>45415</x:v>
      </x:c>
      <x:c r="AV40" t="n">
        <x:f>IF(AU40&gt;0,ROUND(AU40,-MAX(0,INT(LOG10(AU40))-2)),0)</x:f>
        <x:v>45400</x:v>
      </x:c>
    </x:row>
    <x:row r="41" customHeight="1">
      <x:c r="A41" s="1" t="n">
        <x:f>IFERROR(XLOOKUP(B41,'_曲线基线'!$G$3:$G$107,'_曲线基线'!$J$3:$J$107,""),"")</x:f>
        <x:v>19</x:v>
      </x:c>
      <x:c r="B41" s="1" t="n">
        <x:v>30</x:v>
      </x:c>
      <x:c r="C41" s="1" t="n">
        <x:v>3</x:v>
      </x:c>
      <x:c r="D41" s="1" t="n">
        <x:v>6</x:v>
      </x:c>
      <x:c r="E41" s="1" t="n">
        <x:f t="shared" si="0">IF($B41&lt;E$8,0,E$3+(E$4-E$3)*(POWER(E$5,$B41-E$8)-1)/(POWER(E$5,$C$5-E$8)-1))</x:f>
        <x:v>1</x:v>
      </x:c>
      <x:c r="F41" s="10" t="n">
        <x:f t="shared" si="1">1+IF(B41&lt;3,0,MIN(1,(B41-2)/4))+IF(B41&lt;7,0,MIN(1,(B41-6)/3))+IF(B41&lt;10,0,MIN(1,(B41-9)/5))+IF(B41&lt;20,0,MIN(1,(B41-19)/10))</x:f>
        <x:v>5</x:v>
      </x:c>
      <x:c r="G41" s="11" t="n">
        <x:f t="shared" ref="G41:L41" si="57">'玩家战力_节点'!G41</x:f>
        <x:v>0.31024506446332223</x:v>
      </x:c>
      <x:c r="H41" s="11" t="n">
        <x:f t="shared" si="57">'玩家战力_节点'!H41</x:f>
        <x:v>0.17785982723095636</x:v>
      </x:c>
      <x:c r="I41" s="11" t="n">
        <x:f t="shared" si="57">'玩家战力_节点'!I41</x:f>
        <x:v>0</x:v>
      </x:c>
      <x:c r="J41" s="11" t="n">
        <x:f t="shared" si="57">'玩家战力_节点'!J41</x:f>
        <x:v>0</x:v>
      </x:c>
      <x:c r="K41" s="11" t="n">
        <x:f t="shared" si="57">'玩家战力_节点'!K41</x:f>
        <x:v>0</x:v>
      </x:c>
      <x:c r="L41" s="11" t="n">
        <x:f t="shared" si="57">'玩家战力_节点'!L41</x:f>
        <x:v>0.1439852624107803</x:v>
      </x:c>
      <x:c r="M41" s="2" t="n">
        <x:f>E41*'模块规划'!$F$10+G41*'模块规划'!$F$11+H41*'模块规划'!$F$13</x:f>
        <x:v>2489.176309423947</x:v>
      </x:c>
      <x:c r="N41" s="2" t="n">
        <x:f>I41*'模块规划'!$F$15+J41*'模块规划'!$F$17+K41*'模块规划'!$F$16+L41*'模块规划'!$F$18</x:f>
        <x:v>719.9263120539015</x:v>
      </x:c>
      <x:c r="O41" s="2" t="n">
        <x:f t="shared" si="3">1+O$9*SUMPRODUCT($H$10:$L$10,H41:L41)/SUM($H$10:$L$10)</x:f>
        <x:v>1.1497024594417073</x:v>
      </x:c>
      <x:c r="P41" s="12" t="n">
        <x:f t="shared" si="4">M41*O41+N41</x:f>
        <x:v>3581.738436982646</x:v>
      </x:c>
      <x:c r="Q41" s="7" t="n">
        <x:f>P41/(P41+'_曲线基线'!$L$2)</x:f>
        <x:v>0.1298590531255316</x:v>
      </x:c>
      <x:c r="R41" s="2" t="n">
        <x:f>E41*'模块规划'!$E$10+G41*'模块规划'!$E$11+H41*'模块规划'!$E$13</x:f>
        <x:v>3733.76446413592</x:v>
      </x:c>
      <x:c r="S41" s="2" t="n">
        <x:f>I41*'模块规划'!$E$15+J41*'模块规划'!$E$17+K41*'模块规划'!$E$16+L41*'模块规划'!$E$18</x:f>
        <x:v>1079.8894680808523</x:v>
      </x:c>
      <x:c r="T41" s="2" t="n">
        <x:f t="shared" si="5">1+T$9*SUMPRODUCT($H$10:$L$10,H41:L41)/SUM($H$10:$L$10)</x:f>
        <x:v>1.1497024594417073</x:v>
      </x:c>
      <x:c r="U41" s="12" t="n">
        <x:f t="shared" si="6">R41*T41+S41</x:f>
        <x:v>5372.607655473968</x:v>
      </x:c>
      <x:c r="V41" s="2" t="n">
        <x:f t="shared" si="7">V$8+(V$9-V$8)*H41</x:f>
        <x:v>0.7533579481692869</x:v>
      </x:c>
      <x:c r="W41" s="2" t="n">
        <x:f t="shared" si="8">IF(B41&lt;$H$8,0,W$8+(W$9-W$8)*H41)</x:f>
        <x:v>0.07114393089238255</x:v>
      </x:c>
      <x:c r="X41" s="2" t="n">
        <x:f t="shared" si="9">X$8+(X$9-X$8)*H41</x:f>
        <x:v>0.32391145248851305</x:v>
      </x:c>
      <x:c r="Y41" s="2" t="n">
        <x:f t="shared" si="10">Y$8+(Y$9-Y$8)*G41</x:f>
        <x:v>1</x:v>
      </x:c>
      <x:c r="Z41" s="2" t="n">
        <x:f t="shared" si="11">Z$8+(Z$9-Z$8)*H41</x:f>
        <x:v>1</x:v>
      </x:c>
      <x:c r="AA41" s="2" t="n">
        <x:f t="shared" si="12">AA$8+(AA$9-AA$8)*I41</x:f>
        <x:v>1</x:v>
      </x:c>
      <x:c r="AB41" s="2" t="n">
        <x:f t="shared" si="13">AB$8+(AB$9-AB$8)*J41</x:f>
        <x:v>1</x:v>
      </x:c>
      <x:c r="AC41" s="2" t="n">
        <x:f t="shared" si="14">AC$8+(AC$9-AC$8)*MAX(K41,L41)</x:f>
        <x:v>1</x:v>
      </x:c>
      <x:c r="AD41" s="1" t="n">
        <x:f t="shared" si="15">(V41*AE41+W41*AF41+X41*AG41)*PRODUCT(Y41:AC41)</x:f>
        <x:v>1.1569379330710512</x:v>
      </x:c>
      <x:c r="AE41" s="2" t="n">
        <x:f t="shared" si="16">1+AE$9*($H$10*H41+$I$10*I41+$J$10*J41+$K$10*K41+$L$10*L41)</x:f>
        <x:v>1</x:v>
      </x:c>
      <x:c r="AF41" s="2" t="n">
        <x:f t="shared" si="17">1+AF$9*($H$10*H41+$I$10*I41+$J$10*J41+$K$10*K41+$L$10*L41)</x:f>
        <x:v>1.013212605732102</x:v>
      </x:c>
      <x:c r="AG41" s="2" t="n">
        <x:f t="shared" si="18">1+AG$9*($H$10*H41+$I$10*I41+$J$10*J41+$K$10*K41+$L$10*L41)</x:f>
        <x:v>1.0234156734918922</x:v>
      </x:c>
      <x:c r="AH41" s="2" t="n">
        <x:f>MIN(1,'_曲线基线'!$L$3+AH$9*($H$10*H41+$I$10*I41+$J$10*J41+$K$10*K41+$L$10*L41))</x:f>
        <x:v>0.08005867804053227</x:v>
      </x:c>
      <x:c r="AI41" s="2" t="n">
        <x:f>'_曲线基线'!$L$4+AI$9*($H$10*H41+$I$10*I41+$J$10*J41+$K$10*K41+$L$10*L41)</x:f>
        <x:v>2.083734888827197</x:v>
      </x:c>
      <x:c r="AJ41" s="2" t="n">
        <x:f t="shared" si="19">1+AJ$9*($H$10*H41+$I$10*I41+$J$10*J41+$K$10*K41+$L$10*L41)</x:f>
        <x:v>1.0687055498069309</x:v>
      </x:c>
      <x:c r="AK41" s="1" t="n">
        <x:f t="shared" si="20">(1+AH41*(AI41-1))*AJ41</x:f>
        <x:v>1.1614289895482153</x:v>
      </x:c>
      <x:c r="AL41" s="1" t="n">
        <x:f t="shared" si="21">U41*AD41*AK41*F41</x:f>
        <x:v>36095.898235044086</x:v>
      </x:c>
      <x:c r="AM41" s="13" t="n">
        <x:f t="shared" si="22">IF($B41&lt;AM$8,0,AM$3+(AM$4-AM$3)*(POWER(AM$5,$B41-AM$8)-1)/(POWER(AM$5,$C$5-AM$8)-1))</x:f>
        <x:v>35.44905940953843</x:v>
      </x:c>
      <x:c r="AN41" s="13" t="n">
        <x:f>(((E41*'模块规划'!$D$10+G41*'模块规划'!$D$11+H41*'模块规划'!$D$13)*(1+'模块规划'!$G$14*H41)+(I41*'模块规划'!$D$15+J41*'模块规划'!$D$17+K41*'模块规划'!$D$16+L41*'模块规划'!$D$18))*(1+'模块规划'!$J$17*J41))*F41/(1-Q41)</x:f>
        <x:v>103648.57141660507</x:v>
      </x:c>
      <x:c r="AO41" s="1" t="n">
        <x:f t="shared" si="23">AL41*AM41</x:f>
        <x:v>1279565.6409747312</x:v>
      </x:c>
      <x:c r="AP41" s="1" t="n">
        <x:f>IF(AO41="","",INDEX('_曲线基线'!$A$3:$A$502,MIN(ROWS('_曲线基线'!$A$3:$A$502),COUNTIF('_曲线基线'!$E$3:$E$502,"&lt;"&amp;AO41)+1)))</x:f>
        <x:v>60</x:v>
      </x:c>
      <x:c r="AQ41" s="14" t="n">
        <x:f t="shared" si="24">IF(B41&lt;=2,1,IF(B41&lt;=6,2,IF(B41&lt;=9,3,IF(B41&lt;=19,4,5))))</x:f>
        <x:v>5</x:v>
      </x:c>
      <x:c r="AR41" s="10" t="n">
        <x:f t="shared" si="26">AN41*(1-Q41)/F41*$AS$3+U41*$AS$4+P41*$AS$5</x:f>
        <x:v>1615.654727542578</x:v>
      </x:c>
      <x:c r="AS41" s="15" t="n">
        <x:f t="shared" si="27">1+AH41*$AS$6+AI41*$AS$7+(AJ41-1)*$AS$8+($H$10*H41+$I$10*I41+$J$10*J41+$K$10*K41+$L$10*L41)*$AU$3*$AS$9+($H$10*H41+$I$10*I41+$J$10*J41+$K$10*K41+$L$10*L41)*$AU$4*$AS$10</x:f>
        <x:v>5.771048205316363</x:v>
      </x:c>
      <x:c r="AT41" s="16" t="n">
        <x:f t="shared" si="28">ROUND(AR41*AS41,0)</x:f>
        <x:v>9324</x:v>
      </x:c>
      <x:c r="AU41" s="16" t="n">
        <x:f t="shared" si="29">ROUND(AT41*F41,0)</x:f>
        <x:v>46620</x:v>
      </x:c>
      <x:c r="AV41" t="n">
        <x:f>IF(AU41&gt;0,ROUND(AU41,-MAX(0,INT(LOG10(AU41))-2)),0)</x:f>
        <x:v>46600</x:v>
      </x:c>
    </x:row>
    <x:row r="42" customHeight="1">
      <x:c r="A42" s="1" t="n">
        <x:f>IFERROR(XLOOKUP(B42,'_曲线基线'!$G$3:$G$107,'_曲线基线'!$J$3:$J$107,""),"")</x:f>
        <x:v>19</x:v>
      </x:c>
      <x:c r="B42" s="1" t="n">
        <x:v>31</x:v>
      </x:c>
      <x:c r="C42" s="1" t="n">
        <x:v>3</x:v>
      </x:c>
      <x:c r="D42" s="1" t="n">
        <x:v>7</x:v>
      </x:c>
      <x:c r="E42" s="1" t="n">
        <x:f t="shared" si="0">IF($B42&lt;E$8,0,E$3+(E$4-E$3)*(POWER(E$5,$B42-E$8)-1)/(POWER(E$5,$C$5-E$8)-1))</x:f>
        <x:v>1</x:v>
      </x:c>
      <x:c r="F42" s="10" t="n">
        <x:f t="shared" si="1">1+IF(B42&lt;3,0,MIN(1,(B42-2)/4))+IF(B42&lt;7,0,MIN(1,(B42-6)/3))+IF(B42&lt;10,0,MIN(1,(B42-9)/5))+IF(B42&lt;20,0,MIN(1,(B42-19)/10))</x:f>
        <x:v>5</x:v>
      </x:c>
      <x:c r="G42" s="11" t="n">
        <x:f t="shared" ref="G42:L42" si="58">'玩家战力_节点'!G42</x:f>
        <x:v>0.3167286219843448</x:v>
      </x:c>
      <x:c r="H42" s="11" t="n">
        <x:f t="shared" si="58">'玩家战力_节点'!H42</x:f>
        <x:v>0.18526978481328923</x:v>
      </x:c>
      <x:c r="I42" s="11" t="n">
        <x:f t="shared" si="58">'玩家战力_节点'!I42</x:f>
        <x:v>0</x:v>
      </x:c>
      <x:c r="J42" s="11" t="n">
        <x:f t="shared" si="58">'玩家战力_节点'!J42</x:f>
        <x:v>0.0046875</x:v>
      </x:c>
      <x:c r="K42" s="11" t="n">
        <x:f t="shared" si="58">'玩家战力_节点'!K42</x:f>
        <x:v>0</x:v>
      </x:c>
      <x:c r="L42" s="11" t="n">
        <x:f t="shared" si="58">'玩家战力_节点'!L42</x:f>
        <x:v>0.1479227624107803</x:v>
      </x:c>
      <x:c r="M42" s="2" t="n">
        <x:f>E42*'模块规划'!$F$10+G42*'模块规划'!$F$11+H42*'模块规划'!$F$13</x:f>
        <x:v>2520.297385524855</x:v>
      </x:c>
      <x:c r="N42" s="2" t="n">
        <x:f>I42*'模块规划'!$F$15+J42*'模块规划'!$F$17+K42*'模块规划'!$F$16+L42*'模块规划'!$F$18</x:f>
        <x:v>786.4888120539016</x:v>
      </x:c>
      <x:c r="O42" s="2" t="n">
        <x:f t="shared" si="3">1+O$9*SUMPRODUCT($H$10:$L$10,H42:L42)/SUM($H$10:$L$10)</x:f>
        <x:v>1.1638494233477108</x:v>
      </x:c>
      <x:c r="P42" s="12" t="n">
        <x:f t="shared" si="4">M42*O42+N42</x:f>
        <x:v>3719.7354708617477</x:v>
      </x:c>
      <x:c r="Q42" s="7" t="n">
        <x:f>P42/(P42+'_曲线基线'!$L$2)</x:f>
        <x:v>0.13419087187075918</x:v>
      </x:c>
      <x:c r="R42" s="2" t="n">
        <x:f>E42*'模块规划'!$E$10+G42*'模块规划'!$E$11+H42*'模块规划'!$E$13</x:f>
        <x:v>3780.4460782872825</x:v>
      </x:c>
      <x:c r="S42" s="2" t="n">
        <x:f>I42*'模块规划'!$E$15+J42*'模块规划'!$E$17+K42*'模块规划'!$E$16+L42*'模块规划'!$E$18</x:f>
        <x:v>1179.7332180808523</x:v>
      </x:c>
      <x:c r="T42" s="2" t="n">
        <x:f t="shared" si="5">1+T$9*SUMPRODUCT($H$10:$L$10,H42:L42)/SUM($H$10:$L$10)</x:f>
        <x:v>1.1638494233477108</x:v>
      </x:c>
      <x:c r="U42" s="12" t="n">
        <x:f t="shared" si="6">R42*T42+S42</x:f>
        <x:v>5579.603206292621</x:v>
      </x:c>
      <x:c r="V42" s="2" t="n">
        <x:f t="shared" si="7">V$8+(V$9-V$8)*H42</x:f>
        <x:v>0.7555809354439867</x:v>
      </x:c>
      <x:c r="W42" s="2" t="n">
        <x:f t="shared" si="8">IF(B42&lt;$H$8,0,W$8+(W$9-W$8)*H42)</x:f>
        <x:v>0.0741079139253157</x:v>
      </x:c>
      <x:c r="X42" s="2" t="n">
        <x:f t="shared" si="9">X$8+(X$9-X$8)*H42</x:f>
        <x:v>0.3259491908236546</x:v>
      </x:c>
      <x:c r="Y42" s="2" t="n">
        <x:f t="shared" si="10">Y$8+(Y$9-Y$8)*G42</x:f>
        <x:v>1</x:v>
      </x:c>
      <x:c r="Z42" s="2" t="n">
        <x:f t="shared" si="11">Z$8+(Z$9-Z$8)*H42</x:f>
        <x:v>1</x:v>
      </x:c>
      <x:c r="AA42" s="2" t="n">
        <x:f t="shared" si="12">AA$8+(AA$9-AA$8)*I42</x:f>
        <x:v>1</x:v>
      </x:c>
      <x:c r="AB42" s="2" t="n">
        <x:f t="shared" si="13">AB$8+(AB$9-AB$8)*J42</x:f>
        <x:v>1</x:v>
      </x:c>
      <x:c r="AC42" s="2" t="n">
        <x:f t="shared" si="14">AC$8+(AC$9-AC$8)*MAX(K42,L42)</x:f>
        <x:v>1</x:v>
      </x:c>
      <x:c r="AD42" s="1" t="n">
        <x:f t="shared" si="15">(V42*AE42+W42*AF42+X42*AG42)*PRODUCT(Y42:AC42)</x:f>
        <x:v>1.1650633080720543</x:v>
      </x:c>
      <x:c r="AE42" s="2" t="n">
        <x:f t="shared" si="16">1+AE$9*($H$10*H42+$I$10*I42+$J$10*J42+$K$10*K42+$L$10*L42)</x:f>
        <x:v>1</x:v>
      </x:c>
      <x:c r="AF42" s="2" t="n">
        <x:f t="shared" si="17">1+AF$9*($H$10*H42+$I$10*I42+$J$10*J42+$K$10*K42+$L$10*L42)</x:f>
        <x:v>1.0144612041659113</x:v>
      </x:c>
      <x:c r="AG42" s="2" t="n">
        <x:f t="shared" si="18">1+AG$9*($H$10*H42+$I$10*I42+$J$10*J42+$K$10*K42+$L$10*L42)</x:f>
        <x:v>1.0256284673829208</x:v>
      </x:c>
      <x:c r="AH42" s="2" t="n">
        <x:f>MIN(1,'_曲线基线'!$L$3+AH$9*($H$10*H42+$I$10*I42+$J$10*J42+$K$10*K42+$L$10*L42))</x:f>
        <x:v>0.08289923947744823</x:v>
      </x:c>
      <x:c r="AI42" s="2" t="n">
        <x:f>'_曲线基线'!$L$4+AI$9*($H$10*H42+$I$10*I42+$J$10*J42+$K$10*K42+$L$10*L42)</x:f>
        <x:v>2.091647881401463</x:v>
      </x:c>
      <x:c r="AJ42" s="2" t="n">
        <x:f t="shared" si="19">1+AJ$9*($H$10*H42+$I$10*I42+$J$10*J42+$K$10*K42+$L$10*L42)</x:f>
        <x:v>1.075198261662739</x:v>
      </x:c>
      <x:c r="AK42" s="1" t="n">
        <x:f t="shared" si="20">(1+AH42*(AI42-1))*AJ42</x:f>
        <x:v>1.1725002412858947</x:v>
      </x:c>
      <x:c r="AL42" s="1" t="n">
        <x:f t="shared" si="21">U42*AD42*AK42*F42</x:f>
        <x:v>38109.722399748614</x:v>
      </x:c>
      <x:c r="AM42" s="13" t="n">
        <x:f t="shared" si="22">IF($B42&lt;AM$8,0,AM$3+(AM$4-AM$3)*(POWER(AM$5,$B42-AM$8)-1)/(POWER(AM$5,$C$5-AM$8)-1))</x:f>
        <x:v>35.46697464355568</x:v>
      </x:c>
      <x:c r="AN42" s="13" t="n">
        <x:f>(((E42*'模块规划'!$D$10+G42*'模块规划'!$D$11+H42*'模块规划'!$D$13)*(1+'模块规划'!$G$14*H42)+(I42*'模块规划'!$D$15+J42*'模块规划'!$D$17+K42*'模块规划'!$D$16+L42*'模块规划'!$D$18))*(1+'模块规划'!$J$17*J42))*F42/(1-Q42)</x:f>
        <x:v>108222.24163592543</x:v>
      </x:c>
      <x:c r="AO42" s="1" t="n">
        <x:f t="shared" si="23">AL42*AM42</x:f>
        <x:v>1351636.55802483</x:v>
      </x:c>
      <x:c r="AP42" s="1" t="n">
        <x:f>IF(AO42="","",INDEX('_曲线基线'!$A$3:$A$502,MIN(ROWS('_曲线基线'!$A$3:$A$502),COUNTIF('_曲线基线'!$E$3:$E$502,"&lt;"&amp;AO42)+1)))</x:f>
        <x:v>62</x:v>
      </x:c>
      <x:c r="AQ42" s="14" t="n">
        <x:f t="shared" si="24">IF(B42&lt;=2,1,IF(B42&lt;=6,2,IF(B42&lt;=9,3,IF(B42&lt;=19,4,5))))</x:f>
        <x:v>5</x:v>
      </x:c>
      <x:c r="AR42" s="10" t="n">
        <x:f t="shared" si="26">AN42*(1-Q42)/F42*$AS$3+U42*$AS$4+P42*$AS$5</x:f>
        <x:v>1678.11946930848</x:v>
      </x:c>
      <x:c r="AS42" s="15" t="n">
        <x:f t="shared" si="27">1+AH42*$AS$6+AI42*$AS$7+(AJ42-1)*$AS$8+($H$10*H42+$I$10*I42+$J$10*J42+$K$10*K42+$L$10*L42)*$AU$3*$AS$9+($H$10*H42+$I$10*I42+$J$10*J42+$K$10*K42+$L$10*L42)*$AU$4*$AS$10</x:f>
        <x:v>5.845653380456434</x:v>
      </x:c>
      <x:c r="AT42" s="16" t="n">
        <x:f t="shared" si="28">ROUND(AR42*AS42,0)</x:f>
        <x:v>9810</x:v>
      </x:c>
      <x:c r="AU42" s="16" t="n">
        <x:f t="shared" si="29">ROUND(AT42*F42,0)</x:f>
        <x:v>49050</x:v>
      </x:c>
      <x:c r="AV42" t="n">
        <x:f>IF(AU42&gt;0,ROUND(AU42,-MAX(0,INT(LOG10(AU42))-2)),0)</x:f>
        <x:v>49100</x:v>
      </x:c>
    </x:row>
    <x:row r="43" customHeight="1">
      <x:c r="A43" s="1" t="n">
        <x:f>IFERROR(XLOOKUP(B43,'_曲线基线'!$G$3:$G$107,'_曲线基线'!$J$3:$J$107,""),"")</x:f>
        <x:v>19</x:v>
      </x:c>
      <x:c r="B43" s="1" t="n">
        <x:v>32</x:v>
      </x:c>
      <x:c r="C43" s="1" t="n">
        <x:v>3</x:v>
      </x:c>
      <x:c r="D43" s="1" t="n">
        <x:v>8</x:v>
      </x:c>
      <x:c r="E43" s="1" t="n">
        <x:f t="shared" si="0">IF($B43&lt;E$8,0,E$3+(E$4-E$3)*(POWER(E$5,$B43-E$8)-1)/(POWER(E$5,$C$5-E$8)-1))</x:f>
        <x:v>1</x:v>
      </x:c>
      <x:c r="F43" s="10" t="n">
        <x:f t="shared" si="1">1+IF(B43&lt;3,0,MIN(1,(B43-2)/4))+IF(B43&lt;7,0,MIN(1,(B43-6)/3))+IF(B43&lt;10,0,MIN(1,(B43-9)/5))+IF(B43&lt;20,0,MIN(1,(B43-19)/10))</x:f>
        <x:v>5</x:v>
      </x:c>
      <x:c r="G43" s="11" t="n">
        <x:f t="shared" ref="G43:L43" si="59">'玩家战力_节点'!G43</x:f>
        <x:v>0.3232121795053674</x:v>
      </x:c>
      <x:c r="H43" s="11" t="n">
        <x:f t="shared" si="59">'玩家战力_节点'!H43</x:f>
        <x:v>0.1926797423956221</x:v>
      </x:c>
      <x:c r="I43" s="11" t="n">
        <x:f t="shared" si="59">'玩家战力_节点'!I43</x:f>
        <x:v>0</x:v>
      </x:c>
      <x:c r="J43" s="11" t="n">
        <x:f t="shared" si="59">'玩家战力_节点'!J43</x:f>
        <x:v>0.009375</x:v>
      </x:c>
      <x:c r="K43" s="11" t="n">
        <x:f t="shared" si="59">'玩家战力_节点'!K43</x:f>
        <x:v>0</x:v>
      </x:c>
      <x:c r="L43" s="11" t="n">
        <x:f t="shared" si="59">'玩家战力_节点'!L43</x:f>
        <x:v>0.1518602624107803</x:v>
      </x:c>
      <x:c r="M43" s="2" t="n">
        <x:f>E43*'模块规划'!$F$10+G43*'模块规划'!$F$11+H43*'模块规划'!$F$13</x:f>
        <x:v>2551.4184616257635</x:v>
      </x:c>
      <x:c r="N43" s="2" t="n">
        <x:f>I43*'模块规划'!$F$15+J43*'模块规划'!$F$17+K43*'模块规划'!$F$16+L43*'模块规划'!$F$18</x:f>
        <x:v>853.0513120539015</x:v>
      </x:c>
      <x:c r="O43" s="2" t="n">
        <x:f t="shared" si="3">1+O$9*SUMPRODUCT($H$10:$L$10,H43:L43)/SUM($H$10:$L$10)</x:f>
        <x:v>1.1779963872537142</x:v>
      </x:c>
      <x:c r="P43" s="12" t="n">
        <x:f t="shared" si="4">M43*O43+N43</x:f>
        <x:v>3858.61304222148</x:v>
      </x:c>
      <x:c r="Q43" s="7" t="n">
        <x:f>P43/(P43+'_曲线基线'!$L$2)</x:f>
        <x:v>0.13850700450785217</x:v>
      </x:c>
      <x:c r="R43" s="2" t="n">
        <x:f>E43*'模块规划'!$E$10+G43*'模块规划'!$E$11+H43*'模块规划'!$E$13</x:f>
        <x:v>3827.127692438645</x:v>
      </x:c>
      <x:c r="S43" s="2" t="n">
        <x:f>I43*'模块规划'!$E$15+J43*'模块规划'!$E$17+K43*'模块规划'!$E$16+L43*'模块规划'!$E$18</x:f>
        <x:v>1279.576968080852</x:v>
      </x:c>
      <x:c r="T43" s="2" t="n">
        <x:f t="shared" si="5">1+T$9*SUMPRODUCT($H$10:$L$10,H43:L43)/SUM($H$10:$L$10)</x:f>
        <x:v>1.1779963872537142</x:v>
      </x:c>
      <x:c r="U43" s="12" t="n">
        <x:f t="shared" si="6">R43*T43+S43</x:f>
        <x:v>5787.91956333222</x:v>
      </x:c>
      <x:c r="V43" s="2" t="n">
        <x:f t="shared" si="7">V$8+(V$9-V$8)*H43</x:f>
        <x:v>0.7578039227186866</x:v>
      </x:c>
      <x:c r="W43" s="2" t="n">
        <x:f t="shared" si="8">IF(B43&lt;$H$8,0,W$8+(W$9-W$8)*H43)</x:f>
        <x:v>0.07707189695824884</x:v>
      </x:c>
      <x:c r="X43" s="2" t="n">
        <x:f t="shared" si="9">X$8+(X$9-X$8)*H43</x:f>
        <x:v>0.3279869291587961</x:v>
      </x:c>
      <x:c r="Y43" s="2" t="n">
        <x:f t="shared" si="10">Y$8+(Y$9-Y$8)*G43</x:f>
        <x:v>1</x:v>
      </x:c>
      <x:c r="Z43" s="2" t="n">
        <x:f t="shared" si="11">Z$8+(Z$9-Z$8)*H43</x:f>
        <x:v>1</x:v>
      </x:c>
      <x:c r="AA43" s="2" t="n">
        <x:f t="shared" si="12">AA$8+(AA$9-AA$8)*I43</x:f>
        <x:v>1</x:v>
      </x:c>
      <x:c r="AB43" s="2" t="n">
        <x:f t="shared" si="13">AB$8+(AB$9-AB$8)*J43</x:f>
        <x:v>1</x:v>
      </x:c>
      <x:c r="AC43" s="2" t="n">
        <x:f t="shared" si="14">AC$8+(AC$9-AC$8)*MAX(K43,L43)</x:f>
        <x:v>1</x:v>
      </x:c>
      <x:c r="AD43" s="1" t="n">
        <x:f t="shared" si="15">(V43*AE43+W43*AF43+X43*AG43)*PRODUCT(Y43:AC43)</x:f>
        <x:v>1.173205102912082</x:v>
      </x:c>
      <x:c r="AE43" s="2" t="n">
        <x:f t="shared" si="16">1+AE$9*($H$10*H43+$I$10*I43+$J$10*J43+$K$10*K43+$L$10*L43)</x:f>
        <x:v>1</x:v>
      </x:c>
      <x:c r="AF43" s="2" t="n">
        <x:f t="shared" si="17">1+AF$9*($H$10*H43+$I$10*I43+$J$10*J43+$K$10*K43+$L$10*L43)</x:f>
        <x:v>1.0157098025997204</x:v>
      </x:c>
      <x:c r="AG43" s="2" t="n">
        <x:f t="shared" si="18">1+AG$9*($H$10*H43+$I$10*I43+$J$10*J43+$K$10*K43+$L$10*L43)</x:f>
        <x:v>1.0278412612739494</x:v>
      </x:c>
      <x:c r="AH43" s="2" t="n">
        <x:f>MIN(1,'_曲线基线'!$L$3+AH$9*($H$10*H43+$I$10*I43+$J$10*J43+$K$10*K43+$L$10*L43))</x:f>
        <x:v>0.08573980091436419</x:v>
      </x:c>
      <x:c r="AI43" s="2" t="n">
        <x:f>'_曲线基线'!$L$4+AI$9*($H$10*H43+$I$10*I43+$J$10*J43+$K$10*K43+$L$10*L43)</x:f>
        <x:v>2.099560873975729</x:v>
      </x:c>
      <x:c r="AJ43" s="2" t="n">
        <x:f t="shared" si="19">1+AJ$9*($H$10*H43+$I$10*I43+$J$10*J43+$K$10*K43+$L$10*L43)</x:f>
        <x:v>1.0816909735185467</x:v>
      </x:c>
      <x:c r="AK43" s="1" t="n">
        <x:f t="shared" si="20">(1+AH43*(AI43-1))*AJ43</x:f>
        <x:v>1.183668612820667</x:v>
      </x:c>
      <x:c r="AL43" s="1" t="n">
        <x:f t="shared" si="21">U43*AD43*AK43*F43</x:f>
        <x:v>40188.01597502603</x:v>
      </x:c>
      <x:c r="AM43" s="13" t="n">
        <x:f t="shared" si="22">IF($B43&lt;AM$8,0,AM$3+(AM$4-AM$3)*(POWER(AM$5,$B43-AM$8)-1)/(POWER(AM$5,$C$5-AM$8)-1))</x:f>
        <x:v>35.485069029913106</x:v>
      </x:c>
      <x:c r="AN43" s="13" t="n">
        <x:f>(((E43*'模块规划'!$D$10+G43*'模块规划'!$D$11+H43*'模块规划'!$D$13)*(1+'模块规划'!$G$14*H43)+(I43*'模块规划'!$D$15+J43*'模块规划'!$D$17+K43*'模块规划'!$D$16+L43*'模块规划'!$D$18))*(1+'模块规划'!$J$17*J43))*F43/(1-Q43)</x:f>
        <x:v>112891.03866998134</x:v>
      </x:c>
      <x:c r="AO43" s="1" t="n">
        <x:f t="shared" si="23">AL43*AM43</x:f>
        <x:v>1426074.5210490492</x:v>
      </x:c>
      <x:c r="AP43" s="1" t="n">
        <x:f>IF(AO43="","",INDEX('_曲线基线'!$A$3:$A$502,MIN(ROWS('_曲线基线'!$A$3:$A$502),COUNTIF('_曲线基线'!$E$3:$E$502,"&lt;"&amp;AO43)+1)))</x:f>
        <x:v>63</x:v>
      </x:c>
      <x:c r="AQ43" s="14" t="n">
        <x:f t="shared" si="24">IF(B43&lt;=2,1,IF(B43&lt;=6,2,IF(B43&lt;=9,3,IF(B43&lt;=19,4,5))))</x:f>
        <x:v>5</x:v>
      </x:c>
      <x:c r="AR43" s="10" t="n">
        <x:f t="shared" si="26">AN43*(1-Q43)/F43*$AS$3+U43*$AS$4+P43*$AS$5</x:f>
        <x:v>1741.1129470745768</x:v>
      </x:c>
      <x:c r="AS43" s="15" t="n">
        <x:f t="shared" si="27">1+AH43*$AS$6+AI43*$AS$7+(AJ43-1)*$AS$8+($H$10*H43+$I$10*I43+$J$10*J43+$K$10*K43+$L$10*L43)*$AU$3*$AS$9+($H$10*H43+$I$10*I43+$J$10*J43+$K$10*K43+$L$10*L43)*$AU$4*$AS$10</x:f>
        <x:v>5.920258555596506</x:v>
      </x:c>
      <x:c r="AT43" s="16" t="n">
        <x:f t="shared" si="28">ROUND(AR43*AS43,0)</x:f>
        <x:v>10308</x:v>
      </x:c>
      <x:c r="AU43" s="16" t="n">
        <x:f t="shared" si="29">ROUND(AT43*F43,0)</x:f>
        <x:v>51540</x:v>
      </x:c>
      <x:c r="AV43" t="n">
        <x:f>IF(AU43&gt;0,ROUND(AU43,-MAX(0,INT(LOG10(AU43))-2)),0)</x:f>
        <x:v>51500</x:v>
      </x:c>
    </x:row>
    <x:row r="44" customHeight="1">
      <x:c r="A44" s="1" t="n">
        <x:f>IFERROR(XLOOKUP(B44,'_曲线基线'!$G$3:$G$107,'_曲线基线'!$J$3:$J$107,""),"")</x:f>
        <x:v>20</x:v>
      </x:c>
      <x:c r="B44" s="1" t="n">
        <x:v>33</x:v>
      </x:c>
      <x:c r="C44" s="1" t="n">
        <x:v>3</x:v>
      </x:c>
      <x:c r="D44" s="1" t="n">
        <x:v>9</x:v>
      </x:c>
      <x:c r="E44" s="1" t="n">
        <x:f t="shared" si="0">IF($B44&lt;E$8,0,E$3+(E$4-E$3)*(POWER(E$5,$B44-E$8)-1)/(POWER(E$5,$C$5-E$8)-1))</x:f>
        <x:v>1</x:v>
      </x:c>
      <x:c r="F44" s="10" t="n">
        <x:f t="shared" si="1">1+IF(B44&lt;3,0,MIN(1,(B44-2)/4))+IF(B44&lt;7,0,MIN(1,(B44-6)/3))+IF(B44&lt;10,0,MIN(1,(B44-9)/5))+IF(B44&lt;20,0,MIN(1,(B44-19)/10))</x:f>
        <x:v>5</x:v>
      </x:c>
      <x:c r="G44" s="11" t="n">
        <x:f t="shared" ref="G44:L44" si="60">'玩家战力_节点'!G44</x:f>
        <x:v>0.32969573702638993</x:v>
      </x:c>
      <x:c r="H44" s="11" t="n">
        <x:f t="shared" si="60">'玩家战力_节点'!H44</x:f>
        <x:v>0.20008969997795498</x:v>
      </x:c>
      <x:c r="I44" s="11" t="n">
        <x:f t="shared" si="60">'玩家战力_节点'!I44</x:f>
        <x:v>0</x:v>
      </x:c>
      <x:c r="J44" s="11" t="n">
        <x:f t="shared" si="60">'玩家战力_节点'!J44</x:f>
        <x:v>0.014062499999999999</x:v>
      </x:c>
      <x:c r="K44" s="11" t="n">
        <x:f t="shared" si="60">'玩家战力_节点'!K44</x:f>
        <x:v>0</x:v>
      </x:c>
      <x:c r="L44" s="11" t="n">
        <x:f t="shared" si="60">'玩家战力_节点'!L44</x:f>
        <x:v>0.1557977624107803</x:v>
      </x:c>
      <x:c r="M44" s="2" t="n">
        <x:f>E44*'模块规划'!$F$10+G44*'模块规划'!$F$11+H44*'模块规划'!$F$13</x:f>
        <x:v>2582.5395377266714</x:v>
      </x:c>
      <x:c r="N44" s="2" t="n">
        <x:f>I44*'模块规划'!$F$15+J44*'模块规划'!$F$17+K44*'模块规划'!$F$16+L44*'模块规划'!$F$18</x:f>
        <x:v>919.6138120539015</x:v>
      </x:c>
      <x:c r="O44" s="2" t="n">
        <x:f t="shared" si="3">1+O$9*SUMPRODUCT($H$10:$L$10,H44:L44)/SUM($H$10:$L$10)</x:f>
        <x:v>1.1921433511597177</x:v>
      </x:c>
      <x:c r="P44" s="12" t="n">
        <x:f t="shared" si="4">M44*O44+N44</x:f>
        <x:v>3998.371151061844</x:v>
      </x:c>
      <x:c r="Q44" s="7" t="n">
        <x:f>P44/(P44+'_曲线基线'!$L$2)</x:f>
        <x:v>0.14280727723370454</x:v>
      </x:c>
      <x:c r="R44" s="2" t="n">
        <x:f>E44*'模块规划'!$E$10+G44*'模块规划'!$E$11+H44*'模块规划'!$E$13</x:f>
        <x:v>3873.8093065900075</x:v>
      </x:c>
      <x:c r="S44" s="2" t="n">
        <x:f>I44*'模块规划'!$E$15+J44*'模块规划'!$E$17+K44*'模块规划'!$E$16+L44*'模块规划'!$E$18</x:f>
        <x:v>1379.4207180808523</x:v>
      </x:c>
      <x:c r="T44" s="2" t="n">
        <x:f t="shared" si="5">1+T$9*SUMPRODUCT($H$10:$L$10,H44:L44)/SUM($H$10:$L$10)</x:f>
        <x:v>1.1921433511597177</x:v>
      </x:c>
      <x:c r="U44" s="12" t="n">
        <x:f t="shared" si="6">R44*T44+S44</x:f>
        <x:v>5997.556726592767</x:v>
      </x:c>
      <x:c r="V44" s="2" t="n">
        <x:f t="shared" si="7">V$8+(V$9-V$8)*H44</x:f>
        <x:v>0.7600269099933865</x:v>
      </x:c>
      <x:c r="W44" s="2" t="n">
        <x:f t="shared" si="8">IF(B44&lt;$H$8,0,W$8+(W$9-W$8)*H44)</x:f>
        <x:v>0.080035879991182</x:v>
      </x:c>
      <x:c r="X44" s="2" t="n">
        <x:f t="shared" si="9">X$8+(X$9-X$8)*H44</x:f>
        <x:v>0.33002466749393766</x:v>
      </x:c>
      <x:c r="Y44" s="2" t="n">
        <x:f t="shared" si="10">Y$8+(Y$9-Y$8)*G44</x:f>
        <x:v>1</x:v>
      </x:c>
      <x:c r="Z44" s="2" t="n">
        <x:f t="shared" si="11">Z$8+(Z$9-Z$8)*H44</x:f>
        <x:v>1</x:v>
      </x:c>
      <x:c r="AA44" s="2" t="n">
        <x:f t="shared" si="12">AA$8+(AA$9-AA$8)*I44</x:f>
        <x:v>1</x:v>
      </x:c>
      <x:c r="AB44" s="2" t="n">
        <x:f t="shared" si="13">AB$8+(AB$9-AB$8)*J44</x:f>
        <x:v>1</x:v>
      </x:c>
      <x:c r="AC44" s="2" t="n">
        <x:f t="shared" si="14">AC$8+(AC$9-AC$8)*MAX(K44,L44)</x:f>
        <x:v>1</x:v>
      </x:c>
      <x:c r="AD44" s="1" t="n">
        <x:f t="shared" si="15">(V44*AE44+W44*AF44+X44*AG44)*PRODUCT(Y44:AC44)</x:f>
        <x:v>1.1813633175911344</x:v>
      </x:c>
      <x:c r="AE44" s="2" t="n">
        <x:f t="shared" si="16">1+AE$9*($H$10*H44+$I$10*I44+$J$10*J44+$K$10*K44+$L$10*L44)</x:f>
        <x:v>1</x:v>
      </x:c>
      <x:c r="AF44" s="2" t="n">
        <x:f t="shared" si="17">1+AF$9*($H$10*H44+$I$10*I44+$J$10*J44+$K$10*K44+$L$10*L44)</x:f>
        <x:v>1.0169584010335297</x:v>
      </x:c>
      <x:c r="AG44" s="2" t="n">
        <x:f t="shared" si="18">1+AG$9*($H$10*H44+$I$10*I44+$J$10*J44+$K$10*K44+$L$10*L44)</x:f>
        <x:v>1.030054055164978</x:v>
      </x:c>
      <x:c r="AH44" s="2" t="n">
        <x:f>MIN(1,'_曲线基线'!$L$3+AH$9*($H$10*H44+$I$10*I44+$J$10*J44+$K$10*K44+$L$10*L44))</x:f>
        <x:v>0.08858036235128014</x:v>
      </x:c>
      <x:c r="AI44" s="2" t="n">
        <x:f>'_曲线基线'!$L$4+AI$9*($H$10*H44+$I$10*I44+$J$10*J44+$K$10*K44+$L$10*L44)</x:f>
        <x:v>2.1074738665499946</x:v>
      </x:c>
      <x:c r="AJ44" s="2" t="n">
        <x:f t="shared" si="19">1+AJ$9*($H$10*H44+$I$10*I44+$J$10*J44+$K$10*K44+$L$10*L44)</x:f>
        <x:v>1.0881836853743545</x:v>
      </x:c>
      <x:c r="AK44" s="1" t="n">
        <x:f t="shared" si="20">(1+AH44*(AI44-1))*AJ44</x:f>
        <x:v>1.1949349797859439</x:v>
      </x:c>
      <x:c r="AL44" s="1" t="n">
        <x:f t="shared" si="21">U44*AD44*AK44*F44</x:f>
        <x:v>42332.32529750872</x:v>
      </x:c>
      <x:c r="AM44" s="13" t="n">
        <x:f t="shared" si="22">IF($B44&lt;AM$8,0,AM$3+(AM$4-AM$3)*(POWER(AM$5,$B44-AM$8)-1)/(POWER(AM$5,$C$5-AM$8)-1))</x:f>
        <x:v>35.50334436013411</x:v>
      </x:c>
      <x:c r="AN44" s="13" t="n">
        <x:f>(((E44*'模块规划'!$D$10+G44*'模块规划'!$D$11+H44*'模块规划'!$D$13)*(1+'模块规划'!$G$14*H44)+(I44*'模块规划'!$D$15+J44*'模块规划'!$D$17+K44*'模块规划'!$D$16+L44*'模块规划'!$D$18))*(1+'模块规划'!$J$17*J44))*F44/(1-Q44)</x:f>
        <x:v>117656.32359146411</x:v>
      </x:c>
      <x:c r="AO44" s="1" t="n">
        <x:f t="shared" si="23">AL44*AM44</x:f>
        <x:v>1502939.1226026688</x:v>
      </x:c>
      <x:c r="AP44" s="1" t="n">
        <x:f>IF(AO44="","",INDEX('_曲线基线'!$A$3:$A$502,MIN(ROWS('_曲线基线'!$A$3:$A$502),COUNTIF('_曲线基线'!$E$3:$E$502,"&lt;"&amp;AO44)+1)))</x:f>
        <x:v>65</x:v>
      </x:c>
      <x:c r="AQ44" s="14" t="n">
        <x:f t="shared" si="24">IF(B44&lt;=2,1,IF(B44&lt;=6,2,IF(B44&lt;=9,3,IF(B44&lt;=19,4,5))))</x:f>
        <x:v>5</x:v>
      </x:c>
      <x:c r="AR44" s="10" t="n">
        <x:f t="shared" si="26">AN44*(1-Q44)/F44*$AS$3+U44*$AS$4+P44*$AS$5</x:f>
        <x:v>1804.63621153879</x:v>
      </x:c>
      <x:c r="AS44" s="15" t="n">
        <x:f t="shared" si="27">1+AH44*$AS$6+AI44*$AS$7+(AJ44-1)*$AS$8+($H$10*H44+$I$10*I44+$J$10*J44+$K$10*K44+$L$10*L44)*$AU$3*$AS$9+($H$10*H44+$I$10*I44+$J$10*J44+$K$10*K44+$L$10*L44)*$AU$4*$AS$10</x:f>
        <x:v>5.994863730736576</x:v>
      </x:c>
      <x:c r="AT44" s="16" t="n">
        <x:f t="shared" si="28">ROUND(AR44*AS44,0)</x:f>
        <x:v>10819</x:v>
      </x:c>
      <x:c r="AU44" s="16" t="n">
        <x:f t="shared" si="29">ROUND(AT44*F44,0)</x:f>
        <x:v>54095</x:v>
      </x:c>
      <x:c r="AV44" t="n">
        <x:f>IF(AU44&gt;0,ROUND(AU44,-MAX(0,INT(LOG10(AU44))-2)),0)</x:f>
        <x:v>54100</x:v>
      </x:c>
    </x:row>
    <x:row r="45" customHeight="1">
      <x:c r="A45" s="1" t="n">
        <x:f>IFERROR(XLOOKUP(B45,'_曲线基线'!$G$3:$G$107,'_曲线基线'!$J$3:$J$107,""),"")</x:f>
        <x:v>20</x:v>
      </x:c>
      <x:c r="B45" s="1" t="n">
        <x:v>34</x:v>
      </x:c>
      <x:c r="C45" s="1" t="n">
        <x:v>3</x:v>
      </x:c>
      <x:c r="D45" s="1" t="n">
        <x:v>10</x:v>
      </x:c>
      <x:c r="E45" s="1" t="n">
        <x:f t="shared" si="0">IF($B45&lt;E$8,0,E$3+(E$4-E$3)*(POWER(E$5,$B45-E$8)-1)/(POWER(E$5,$C$5-E$8)-1))</x:f>
        <x:v>1</x:v>
      </x:c>
      <x:c r="F45" s="10" t="n">
        <x:f t="shared" si="1">1+IF(B45&lt;3,0,MIN(1,(B45-2)/4))+IF(B45&lt;7,0,MIN(1,(B45-6)/3))+IF(B45&lt;10,0,MIN(1,(B45-9)/5))+IF(B45&lt;20,0,MIN(1,(B45-19)/10))</x:f>
        <x:v>5</x:v>
      </x:c>
      <x:c r="G45" s="11" t="n">
        <x:f t="shared" ref="G45:L45" si="61">'玩家战力_节点'!G45</x:f>
        <x:v>0.3361792945474125</x:v>
      </x:c>
      <x:c r="H45" s="11" t="n">
        <x:f t="shared" si="61">'玩家战力_节点'!H45</x:f>
        <x:v>0.20749965756028785</x:v>
      </x:c>
      <x:c r="I45" s="11" t="n">
        <x:f t="shared" si="61">'玩家战力_节点'!I45</x:f>
        <x:v>0</x:v>
      </x:c>
      <x:c r="J45" s="11" t="n">
        <x:f t="shared" si="61">'玩家战力_节点'!J45</x:f>
        <x:v>0.01875</x:v>
      </x:c>
      <x:c r="K45" s="11" t="n">
        <x:f t="shared" si="61">'玩家战力_节点'!K45</x:f>
        <x:v>0</x:v>
      </x:c>
      <x:c r="L45" s="11" t="n">
        <x:f t="shared" si="61">'玩家战力_节点'!L45</x:f>
        <x:v>0.15973526241078032</x:v>
      </x:c>
      <x:c r="M45" s="2" t="n">
        <x:f>E45*'模块规划'!$F$10+G45*'模块规划'!$F$11+H45*'模块规划'!$F$13</x:f>
        <x:v>2613.66061382758</x:v>
      </x:c>
      <x:c r="N45" s="2" t="n">
        <x:f>I45*'模块规划'!$F$15+J45*'模块规划'!$F$17+K45*'模块规划'!$F$16+L45*'模块规划'!$F$18</x:f>
        <x:v>986.1763120539016</x:v>
      </x:c>
      <x:c r="O45" s="2" t="n">
        <x:f t="shared" si="3">1+O$9*SUMPRODUCT($H$10:$L$10,H45:L45)/SUM($H$10:$L$10)</x:f>
        <x:v>1.2062903150657212</x:v>
      </x:c>
      <x:c r="P45" s="12" t="n">
        <x:f t="shared" si="4">M45*O45+N45</x:f>
        <x:v>4139.00979738284</x:v>
      </x:c>
      <x:c r="Q45" s="7" t="n">
        <x:f>P45/(P45+'_曲线基线'!$L$2)</x:f>
        <x:v>0.14709152266501582</x:v>
      </x:c>
      <x:c r="R45" s="2" t="n">
        <x:f>E45*'模块规划'!$E$10+G45*'模块规划'!$E$11+H45*'模块规划'!$E$13</x:f>
        <x:v>3920.4909207413702</x:v>
      </x:c>
      <x:c r="S45" s="2" t="n">
        <x:f>I45*'模块规划'!$E$15+J45*'模块规划'!$E$17+K45*'模块规划'!$E$16+L45*'模块规划'!$E$18</x:f>
        <x:v>1479.2644680808523</x:v>
      </x:c>
      <x:c r="T45" s="2" t="n">
        <x:f t="shared" si="5">1+T$9*SUMPRODUCT($H$10:$L$10,H45:L45)/SUM($H$10:$L$10)</x:f>
        <x:v>1.2062903150657212</x:v>
      </x:c>
      <x:c r="U45" s="12" t="n">
        <x:f t="shared" si="6">R45*T45+S45</x:f>
        <x:v>6208.5146960742595</x:v>
      </x:c>
      <x:c r="V45" s="2" t="n">
        <x:f t="shared" si="7">V$8+(V$9-V$8)*H45</x:f>
        <x:v>0.7622498972680863</x:v>
      </x:c>
      <x:c r="W45" s="2" t="n">
        <x:f t="shared" si="8">IF(B45&lt;$H$8,0,W$8+(W$9-W$8)*H45)</x:f>
        <x:v>0.08299986302411515</x:v>
      </x:c>
      <x:c r="X45" s="2" t="n">
        <x:f t="shared" si="9">X$8+(X$9-X$8)*H45</x:f>
        <x:v>0.3320624058290792</x:v>
      </x:c>
      <x:c r="Y45" s="2" t="n">
        <x:f t="shared" si="10">Y$8+(Y$9-Y$8)*G45</x:f>
        <x:v>1</x:v>
      </x:c>
      <x:c r="Z45" s="2" t="n">
        <x:f t="shared" si="11">Z$8+(Z$9-Z$8)*H45</x:f>
        <x:v>1</x:v>
      </x:c>
      <x:c r="AA45" s="2" t="n">
        <x:f t="shared" si="12">AA$8+(AA$9-AA$8)*I45</x:f>
        <x:v>1</x:v>
      </x:c>
      <x:c r="AB45" s="2" t="n">
        <x:f t="shared" si="13">AB$8+(AB$9-AB$8)*J45</x:f>
        <x:v>1</x:v>
      </x:c>
      <x:c r="AC45" s="2" t="n">
        <x:f t="shared" si="14">AC$8+(AC$9-AC$8)*MAX(K45,L45)</x:f>
        <x:v>1</x:v>
      </x:c>
      <x:c r="AD45" s="1" t="n">
        <x:f t="shared" si="15">(V45*AE45+W45*AF45+X45*AG45)*PRODUCT(Y45:AC45)</x:f>
        <x:v>1.1895379521092113</x:v>
      </x:c>
      <x:c r="AE45" s="2" t="n">
        <x:f t="shared" si="16">1+AE$9*($H$10*H45+$I$10*I45+$J$10*J45+$K$10*K45+$L$10*L45)</x:f>
        <x:v>1</x:v>
      </x:c>
      <x:c r="AF45" s="2" t="n">
        <x:f t="shared" si="17">1+AF$9*($H$10*H45+$I$10*I45+$J$10*J45+$K$10*K45+$L$10*L45)</x:f>
        <x:v>1.018206999467339</x:v>
      </x:c>
      <x:c r="AG45" s="2" t="n">
        <x:f t="shared" si="18">1+AG$9*($H$10*H45+$I$10*I45+$J$10*J45+$K$10*K45+$L$10*L45)</x:f>
        <x:v>1.0322668490560065</x:v>
      </x:c>
      <x:c r="AH45" s="2" t="n">
        <x:f>MIN(1,'_曲线基线'!$L$3+AH$9*($H$10*H45+$I$10*I45+$J$10*J45+$K$10*K45+$L$10*L45))</x:f>
        <x:v>0.0914209237881961</x:v>
      </x:c>
      <x:c r="AI45" s="2" t="n">
        <x:f>'_曲线基线'!$L$4+AI$9*($H$10*H45+$I$10*I45+$J$10*J45+$K$10*K45+$L$10*L45)</x:f>
        <x:v>2.1153868591242606</x:v>
      </x:c>
      <x:c r="AJ45" s="2" t="n">
        <x:f t="shared" si="19">1+AJ$9*($H$10*H45+$I$10*I45+$J$10*J45+$K$10*K45+$L$10*L45)</x:f>
        <x:v>1.0946763972301625</x:v>
      </x:c>
      <x:c r="AK45" s="1" t="n">
        <x:f t="shared" si="20">(1+AH45*(AI45-1))*AJ45</x:f>
        <x:v>1.2063002178151383</x:v>
      </x:c>
      <x:c r="AL45" s="1" t="n">
        <x:f t="shared" si="21">U45*AD45*AK45*F45</x:f>
        <x:v>44544.2269978621</x:v>
      </x:c>
      <x:c r="AM45" s="13" t="n">
        <x:f t="shared" si="22">IF($B45&lt;AM$8,0,AM$3+(AM$4-AM$3)*(POWER(AM$5,$B45-AM$8)-1)/(POWER(AM$5,$C$5-AM$8)-1))</x:f>
        <x:v>35.521802443657315</x:v>
      </x:c>
      <x:c r="AN45" s="13" t="n">
        <x:f>(((E45*'模块规划'!$D$10+G45*'模块规划'!$D$11+H45*'模块规划'!$D$13)*(1+'模块规划'!$G$14*H45)+(I45*'模块规划'!$D$15+J45*'模块规划'!$D$17+K45*'模块规划'!$D$16+L45*'模块规划'!$D$18))*(1+'模块规划'!$J$17*J45))*F45/(1-Q45)</x:f>
        <x:v>122519.47128475165</x:v>
      </x:c>
      <x:c r="AO45" s="1" t="n">
        <x:f t="shared" si="23">AL45*AM45</x:f>
        <x:v>1582291.231423484</x:v>
      </x:c>
      <x:c r="AP45" s="1" t="n">
        <x:f>IF(AO45="","",INDEX('_曲线基线'!$A$3:$A$502,MIN(ROWS('_曲线基线'!$A$3:$A$502),COUNTIF('_曲线基线'!$E$3:$E$502,"&lt;"&amp;AO45)+1)))</x:f>
        <x:v>67</x:v>
      </x:c>
      <x:c r="AQ45" s="14" t="n">
        <x:f t="shared" si="24">IF(B45&lt;=2,1,IF(B45&lt;=6,2,IF(B45&lt;=9,3,IF(B45&lt;=19,4,5))))</x:f>
        <x:v>5</x:v>
      </x:c>
      <x:c r="AR45" s="10" t="n">
        <x:f t="shared" si="26">AN45*(1-Q45)/F45*$AS$3+U45*$AS$4+P45*$AS$5</x:f>
        <x:v>1868.6903133990409</x:v>
      </x:c>
      <x:c r="AS45" s="15" t="n">
        <x:f t="shared" si="27">1+AH45*$AS$6+AI45*$AS$7+(AJ45-1)*$AS$8+($H$10*H45+$I$10*I45+$J$10*J45+$K$10*K45+$L$10*L45)*$AU$3*$AS$9+($H$10*H45+$I$10*I45+$J$10*J45+$K$10*K45+$L$10*L45)*$AU$4*$AS$10</x:f>
        <x:v>6.069468905876647</x:v>
      </x:c>
      <x:c r="AT45" s="16" t="n">
        <x:f t="shared" si="28">ROUND(AR45*AS45,0)</x:f>
        <x:v>11342</x:v>
      </x:c>
      <x:c r="AU45" s="16" t="n">
        <x:f t="shared" si="29">ROUND(AT45*F45,0)</x:f>
        <x:v>56710</x:v>
      </x:c>
      <x:c r="AV45" t="n">
        <x:f>IF(AU45&gt;0,ROUND(AU45,-MAX(0,INT(LOG10(AU45))-2)),0)</x:f>
        <x:v>56700</x:v>
      </x:c>
    </x:row>
    <x:row r="46" customHeight="1">
      <x:c r="A46" s="1" t="n">
        <x:f>IFERROR(XLOOKUP(B46,'_曲线基线'!$G$3:$G$107,'_曲线基线'!$J$3:$J$107,""),"")</x:f>
        <x:v>20</x:v>
      </x:c>
      <x:c r="B46" s="1" t="n">
        <x:v>35</x:v>
      </x:c>
      <x:c r="C46" s="1" t="n">
        <x:v>3</x:v>
      </x:c>
      <x:c r="D46" s="1" t="n">
        <x:v>11</x:v>
      </x:c>
      <x:c r="E46" s="1" t="n">
        <x:f t="shared" si="0">IF($B46&lt;E$8,0,E$3+(E$4-E$3)*(POWER(E$5,$B46-E$8)-1)/(POWER(E$5,$C$5-E$8)-1))</x:f>
        <x:v>1</x:v>
      </x:c>
      <x:c r="F46" s="10" t="n">
        <x:f t="shared" si="1">1+IF(B46&lt;3,0,MIN(1,(B46-2)/4))+IF(B46&lt;7,0,MIN(1,(B46-6)/3))+IF(B46&lt;10,0,MIN(1,(B46-9)/5))+IF(B46&lt;20,0,MIN(1,(B46-19)/10))</x:f>
        <x:v>5</x:v>
      </x:c>
      <x:c r="G46" s="11" t="n">
        <x:f t="shared" ref="G46:L46" si="62">'玩家战力_节点'!G46</x:f>
        <x:v>0.3422370760314779</x:v>
      </x:c>
      <x:c r="H46" s="11" t="n">
        <x:f t="shared" si="62">'玩家战力_节点'!H46</x:f>
        <x:v>0.21426670973006823</x:v>
      </x:c>
      <x:c r="I46" s="11" t="n">
        <x:f t="shared" si="62">'玩家战力_节点'!I46</x:f>
        <x:v>0</x:v>
      </x:c>
      <x:c r="J46" s="11" t="n">
        <x:f t="shared" si="62">'玩家战力_节点'!J46</x:f>
        <x:v>0.024</x:v>
      </x:c>
      <x:c r="K46" s="11" t="n">
        <x:f t="shared" si="62">'玩家战力_节点'!K46</x:f>
        <x:v>0</x:v>
      </x:c>
      <x:c r="L46" s="11" t="n">
        <x:f t="shared" si="62">'玩家战力_节点'!L46</x:f>
        <x:v>0.16363526241078033</x:v>
      </x:c>
      <x:c r="M46" s="2" t="n">
        <x:f>E46*'模块规划'!$F$10+G46*'模块规划'!$F$11+H46*'模块规划'!$F$13</x:f>
        <x:v>2642.737964951094</x:v>
      </x:c>
      <x:c r="N46" s="2" t="n">
        <x:f>I46*'模块规划'!$F$15+J46*'模块规划'!$F$17+K46*'模块规划'!$F$16+L46*'模块规划'!$F$18</x:f>
        <x:v>1058.1763120539017</x:v>
      </x:c>
      <x:c r="O46" s="2" t="n">
        <x:f t="shared" si="3">1+O$9*SUMPRODUCT($H$10:$L$10,H46:L46)/SUM($H$10:$L$10)</x:f>
        <x:v>1.221227265331244</x:v>
      </x:c>
      <x:c r="P46" s="12" t="n">
        <x:f t="shared" si="4">M46*O46+N46</x:f>
        <x:v>4285.559969978183</x:v>
      </x:c>
      <x:c r="Q46" s="7" t="n">
        <x:f>P46/(P46+'_曲线基线'!$L$2)</x:f>
        <x:v>0.15151052249016123</x:v>
      </x:c>
      <x:c r="R46" s="2" t="n">
        <x:f>E46*'模块规划'!$E$10+G46*'模块规划'!$E$11+H46*'模块规划'!$E$13</x:f>
        <x:v>3964.106947426641</x:v>
      </x:c>
      <x:c r="S46" s="2" t="n">
        <x:f>I46*'模块规划'!$E$15+J46*'模块规划'!$E$17+K46*'模块规划'!$E$16+L46*'模块规划'!$E$18</x:f>
        <x:v>1587.2644680808526</x:v>
      </x:c>
      <x:c r="T46" s="2" t="n">
        <x:f t="shared" si="5">1+T$9*SUMPRODUCT($H$10:$L$10,H46:L46)/SUM($H$10:$L$10)</x:f>
        <x:v>1.221227265331244</x:v>
      </x:c>
      <x:c r="U46" s="12" t="n">
        <x:f t="shared" si="6">R46*T46+S46</x:f>
        <x:v>6428.339954967275</x:v>
      </x:c>
      <x:c r="V46" s="2" t="n">
        <x:f t="shared" si="7">V$8+(V$9-V$8)*H46</x:f>
        <x:v>0.7642800129190205</x:v>
      </x:c>
      <x:c r="W46" s="2" t="n">
        <x:f t="shared" si="8">IF(B46&lt;$H$8,0,W$8+(W$9-W$8)*H46)</x:f>
        <x:v>0.08570668389202729</x:v>
      </x:c>
      <x:c r="X46" s="2" t="n">
        <x:f t="shared" si="9">X$8+(X$9-X$8)*H46</x:f>
        <x:v>0.33392334517576877</x:v>
      </x:c>
      <x:c r="Y46" s="2" t="n">
        <x:f t="shared" si="10">Y$8+(Y$9-Y$8)*G46</x:f>
        <x:v>1</x:v>
      </x:c>
      <x:c r="Z46" s="2" t="n">
        <x:f t="shared" si="11">Z$8+(Z$9-Z$8)*H46</x:f>
        <x:v>1</x:v>
      </x:c>
      <x:c r="AA46" s="2" t="n">
        <x:f t="shared" si="12">AA$8+(AA$9-AA$8)*I46</x:f>
        <x:v>1</x:v>
      </x:c>
      <x:c r="AB46" s="2" t="n">
        <x:f t="shared" si="13">AB$8+(AB$9-AB$8)*J46</x:f>
        <x:v>1</x:v>
      </x:c>
      <x:c r="AC46" s="2" t="n">
        <x:f t="shared" si="14">AC$8+(AC$9-AC$8)*MAX(K46,L46)</x:f>
        <x:v>1</x:v>
      </x:c>
      <x:c r="AD46" s="1" t="n">
        <x:f t="shared" si="15">(V46*AE46+W46*AF46+X46*AG46)*PRODUCT(Y46:AC46)</x:f>
        <x:v>1.1971383116614331</x:v>
      </x:c>
      <x:c r="AE46" s="2" t="n">
        <x:f t="shared" si="16">1+AE$9*($H$10*H46+$I$10*I46+$J$10*J46+$K$10*K46+$L$10*L46)</x:f>
        <x:v>1</x:v>
      </x:c>
      <x:c r="AF46" s="2" t="n">
        <x:f t="shared" si="17">1+AF$9*($H$10*H46+$I$10*I46+$J$10*J46+$K$10*K46+$L$10*L46)</x:f>
        <x:v>1.0195253213936077</x:v>
      </x:c>
      <x:c r="AG46" s="2" t="n">
        <x:f t="shared" si="18">1+AG$9*($H$10*H46+$I$10*I46+$J$10*J46+$K$10*K46+$L$10*L46)</x:f>
        <x:v>1.034603208469783</x:v>
      </x:c>
      <x:c r="AH46" s="2" t="n">
        <x:f>MIN(1,'_曲线基线'!$L$3+AH$9*($H$10*H46+$I$10*I46+$J$10*J46+$K$10*K46+$L$10*L46))</x:f>
        <x:v>0.09442010617045768</x:v>
      </x:c>
      <x:c r="AI46" s="2" t="n">
        <x:f>'_曲线基线'!$L$4+AI$9*($H$10*H46+$I$10*I46+$J$10*J46+$K$10*K46+$L$10*L46)</x:f>
        <x:v>2.1237417243319894</x:v>
      </x:c>
      <x:c r="AJ46" s="2" t="n">
        <x:f t="shared" si="19">1+AJ$9*($H$10*H46+$I$10*I46+$J$10*J46+$K$10*K46+$L$10*L46)</x:f>
        <x:v>1.1015316712467604</x:v>
      </x:c>
      <x:c r="AK46" s="1" t="n">
        <x:f t="shared" si="20">(1+AH46*(AI46-1))*AJ46</x:f>
        <x:v>1.2184083816177407</x:v>
      </x:c>
      <x:c r="AL46" s="1" t="n">
        <x:f t="shared" si="21">U46*AD46*AK46*F46</x:f>
        <x:v>46881.99105896728</x:v>
      </x:c>
      <x:c r="AM46" s="13" t="n">
        <x:f t="shared" si="22">IF($B46&lt;AM$8,0,AM$3+(AM$4-AM$3)*(POWER(AM$5,$B46-AM$8)-1)/(POWER(AM$5,$C$5-AM$8)-1))</x:f>
        <x:v>35.54044510801575</x:v>
      </x:c>
      <x:c r="AN46" s="13" t="n">
        <x:f>(((E46*'模块规划'!$D$10+G46*'模块规划'!$D$11+H46*'模块规划'!$D$13)*(1+'模块规划'!$G$14*H46)+(I46*'模块规划'!$D$15+J46*'模块规划'!$D$17+K46*'模块规划'!$D$16+L46*'模块规划'!$D$18))*(1+'模块规划'!$J$17*J46))*F46/(1-Q46)</x:f>
        <x:v>127632.80024401098</x:v>
      </x:c>
      <x:c r="AO46" s="1" t="n">
        <x:f t="shared" si="23">AL46*AM46</x:f>
        <x:v>1666206.8297857118</x:v>
      </x:c>
      <x:c r="AP46" s="1" t="n">
        <x:f>IF(AO46="","",INDEX('_曲线基线'!$A$3:$A$502,MIN(ROWS('_曲线基线'!$A$3:$A$502),COUNTIF('_曲线基线'!$E$3:$E$502,"&lt;"&amp;AO46)+1)))</x:f>
        <x:v>68</x:v>
      </x:c>
      <x:c r="AQ46" s="14" t="n">
        <x:f t="shared" si="24">IF(B46&lt;=2,1,IF(B46&lt;=6,2,IF(B46&lt;=9,3,IF(B46&lt;=19,4,5))))</x:f>
        <x:v>5</x:v>
      </x:c>
      <x:c r="AR46" s="10" t="n">
        <x:f t="shared" si="26">AN46*(1-Q46)/F46*$AS$3+U46*$AS$4+P46*$AS$5</x:f>
        <x:v>1935.438518946406</x:v>
      </x:c>
      <x:c r="AS46" s="15" t="n">
        <x:f t="shared" si="27">1+AH46*$AS$6+AI46*$AS$7+(AJ46-1)*$AS$8+($H$10*H46+$I$10*I46+$J$10*J46+$K$10*K46+$L$10*L46)*$AU$3*$AS$9+($H$10*H46+$I$10*I46+$J$10*J46+$K$10*K46+$L$10*L46)*$AU$4*$AS$10</x:f>
        <x:v>6.148240138914497</x:v>
      </x:c>
      <x:c r="AT46" s="16" t="n">
        <x:f t="shared" si="28">ROUND(AR46*AS46,0)</x:f>
        <x:v>11900</x:v>
      </x:c>
      <x:c r="AU46" s="16" t="n">
        <x:f t="shared" si="29">ROUND(AT46*F46,0)</x:f>
        <x:v>59500</x:v>
      </x:c>
      <x:c r="AV46" t="n">
        <x:f>IF(AU46&gt;0,ROUND(AU46,-MAX(0,INT(LOG10(AU46))-2)),0)</x:f>
        <x:v>59500</x:v>
      </x:c>
    </x:row>
    <x:row r="47" customHeight="1">
      <x:c r="A47" s="1" t="n">
        <x:f>IFERROR(XLOOKUP(B47,'_曲线基线'!$G$3:$G$107,'_曲线基线'!$J$3:$J$107,""),"")</x:f>
        <x:v>21</x:v>
      </x:c>
      <x:c r="B47" s="1" t="n">
        <x:v>36</x:v>
      </x:c>
      <x:c r="C47" s="1" t="n">
        <x:v>3</x:v>
      </x:c>
      <x:c r="D47" s="1" t="n">
        <x:v>12</x:v>
      </x:c>
      <x:c r="E47" s="1" t="n">
        <x:f t="shared" si="0">IF($B47&lt;E$8,0,E$3+(E$4-E$3)*(POWER(E$5,$B47-E$8)-1)/(POWER(E$5,$C$5-E$8)-1))</x:f>
        <x:v>1</x:v>
      </x:c>
      <x:c r="F47" s="10" t="n">
        <x:f t="shared" si="1">1+IF(B47&lt;3,0,MIN(1,(B47-2)/4))+IF(B47&lt;7,0,MIN(1,(B47-6)/3))+IF(B47&lt;10,0,MIN(1,(B47-9)/5))+IF(B47&lt;20,0,MIN(1,(B47-19)/10))</x:f>
        <x:v>5</x:v>
      </x:c>
      <x:c r="G47" s="11" t="n">
        <x:f t="shared" ref="G47:L47" si="63">'玩家战力_节点'!G47</x:f>
        <x:v>0.3482948575155432</x:v>
      </x:c>
      <x:c r="H47" s="11" t="n">
        <x:f t="shared" si="63">'玩家战力_节点'!H47</x:f>
        <x:v>0.22103376189984858</x:v>
      </x:c>
      <x:c r="I47" s="11" t="n">
        <x:f t="shared" si="63">'玩家战力_节点'!I47</x:f>
        <x:v>0</x:v>
      </x:c>
      <x:c r="J47" s="11" t="n">
        <x:f t="shared" si="63">'玩家战力_节点'!J47</x:f>
        <x:v>0.029249999999999998</x:v>
      </x:c>
      <x:c r="K47" s="11" t="n">
        <x:f t="shared" si="63">'玩家战力_节点'!K47</x:f>
        <x:v>0</x:v>
      </x:c>
      <x:c r="L47" s="11" t="n">
        <x:f t="shared" si="63">'玩家战力_节点'!L47</x:f>
        <x:v>0.16753526241078032</x:v>
      </x:c>
      <x:c r="M47" s="2" t="n">
        <x:f>E47*'模块规划'!$F$10+G47*'模块规划'!$F$11+H47*'模块规划'!$F$13</x:f>
        <x:v>2671.815316074607</x:v>
      </x:c>
      <x:c r="N47" s="2" t="n">
        <x:f>I47*'模块规划'!$F$15+J47*'模块规划'!$F$17+K47*'模块规划'!$F$16+L47*'模块规划'!$F$18</x:f>
        <x:v>1130.1763120539017</x:v>
      </x:c>
      <x:c r="O47" s="2" t="n">
        <x:f t="shared" si="3">1+O$9*SUMPRODUCT($H$10:$L$10,H47:L47)/SUM($H$10:$L$10)</x:f>
        <x:v>1.2361642155967667</x:v>
      </x:c>
      <x:c r="P47" s="12" t="n">
        <x:f t="shared" si="4">M47*O47+N47</x:f>
        <x:v>4432.978796468696</x:v>
      </x:c>
      <x:c r="Q47" s="7" t="n">
        <x:f>P47/(P47+'_曲线基线'!$L$2)</x:f>
        <x:v>0.1559097563502302</x:v>
      </x:c>
      <x:c r="R47" s="2" t="n">
        <x:f>E47*'模块规划'!$E$10+G47*'模块规划'!$E$11+H47*'模块规划'!$E$13</x:f>
        <x:v>4007.722974111911</x:v>
      </x:c>
      <x:c r="S47" s="2" t="n">
        <x:f>I47*'模块规划'!$E$15+J47*'模块规划'!$E$17+K47*'模块规划'!$E$16+L47*'模块规划'!$E$18</x:f>
        <x:v>1695.2644680808523</x:v>
      </x:c>
      <x:c r="T47" s="2" t="n">
        <x:f t="shared" si="5">1+T$9*SUMPRODUCT($H$10:$L$10,H47:L47)/SUM($H$10:$L$10)</x:f>
        <x:v>1.2361642155967667</x:v>
      </x:c>
      <x:c r="U47" s="12" t="n">
        <x:f t="shared" si="6">R47*T47+S47</x:f>
        <x:v>6649.468194703044</x:v>
      </x:c>
      <x:c r="V47" s="2" t="n">
        <x:f t="shared" si="7">V$8+(V$9-V$8)*H47</x:f>
        <x:v>0.7663101285699545</x:v>
      </x:c>
      <x:c r="W47" s="2" t="n">
        <x:f t="shared" si="8">IF(B47&lt;$H$8,0,W$8+(W$9-W$8)*H47)</x:f>
        <x:v>0.08841350475993943</x:v>
      </x:c>
      <x:c r="X47" s="2" t="n">
        <x:f t="shared" si="9">X$8+(X$9-X$8)*H47</x:f>
        <x:v>0.3357842845224584</x:v>
      </x:c>
      <x:c r="Y47" s="2" t="n">
        <x:f t="shared" si="10">Y$8+(Y$9-Y$8)*G47</x:f>
        <x:v>1</x:v>
      </x:c>
      <x:c r="Z47" s="2" t="n">
        <x:f t="shared" si="11">Z$8+(Z$9-Z$8)*H47</x:f>
        <x:v>1</x:v>
      </x:c>
      <x:c r="AA47" s="2" t="n">
        <x:f t="shared" si="12">AA$8+(AA$9-AA$8)*I47</x:f>
        <x:v>1</x:v>
      </x:c>
      <x:c r="AB47" s="2" t="n">
        <x:f t="shared" si="13">AB$8+(AB$9-AB$8)*J47</x:f>
        <x:v>1</x:v>
      </x:c>
      <x:c r="AC47" s="2" t="n">
        <x:f t="shared" si="14">AC$8+(AC$9-AC$8)*MAX(K47,L47)</x:f>
        <x:v>1</x:v>
      </x:c>
      <x:c r="AD47" s="1" t="n">
        <x:f t="shared" si="15">(V47*AE47+W47*AF47+X47*AG47)*PRODUCT(Y47:AC47)</x:f>
        <x:v>1.2047545037825784</x:v>
      </x:c>
      <x:c r="AE47" s="2" t="n">
        <x:f t="shared" si="16">1+AE$9*($H$10*H47+$I$10*I47+$J$10*J47+$K$10*K47+$L$10*L47)</x:f>
        <x:v>1</x:v>
      </x:c>
      <x:c r="AF47" s="2" t="n">
        <x:f t="shared" si="17">1+AF$9*($H$10*H47+$I$10*I47+$J$10*J47+$K$10*K47+$L$10*L47)</x:f>
        <x:v>1.0208436433198766</x:v>
      </x:c>
      <x:c r="AG47" s="2" t="n">
        <x:f t="shared" si="18">1+AG$9*($H$10*H47+$I$10*I47+$J$10*J47+$K$10*K47+$L$10*L47)</x:f>
        <x:v>1.0369395678835593</x:v>
      </x:c>
      <x:c r="AH47" s="2" t="n">
        <x:f>MIN(1,'_曲线基线'!$L$3+AH$9*($H$10*H47+$I$10*I47+$J$10*J47+$K$10*K47+$L$10*L47))</x:f>
        <x:v>0.09741928855271921</x:v>
      </x:c>
      <x:c r="AI47" s="2" t="n">
        <x:f>'_曲线基线'!$L$4+AI$9*($H$10*H47+$I$10*I47+$J$10*J47+$K$10*K47+$L$10*L47)</x:f>
        <x:v>2.1320965895397177</x:v>
      </x:c>
      <x:c r="AJ47" s="2" t="n">
        <x:f t="shared" si="19">1+AJ$9*($H$10*H47+$I$10*I47+$J$10*J47+$K$10*K47+$L$10*L47)</x:f>
        <x:v>1.1083869452633581</x:v>
      </x:c>
      <x:c r="AK47" s="1" t="n">
        <x:f t="shared" si="20">(1+AH47*(AI47-1))*AJ47</x:f>
        <x:v>1.2306287738128334</x:v>
      </x:c>
      <x:c r="AL47" s="1" t="n">
        <x:f t="shared" si="21">U47*AD47*AK47*F47</x:f>
        <x:v>49292.69250725898</x:v>
      </x:c>
      <x:c r="AM47" s="13" t="n">
        <x:f t="shared" si="22">IF($B47&lt;AM$8,0,AM$3+(AM$4-AM$3)*(POWER(AM$5,$B47-AM$8)-1)/(POWER(AM$5,$C$5-AM$8)-1))</x:f>
        <x:v>35.55927419901778</x:v>
      </x:c>
      <x:c r="AN47" s="13" t="n">
        <x:f>(((E47*'模块规划'!$D$10+G47*'模块规划'!$D$11+H47*'模块规划'!$D$13)*(1+'模块规划'!$G$14*H47)+(I47*'模块规划'!$D$15+J47*'模块规划'!$D$17+K47*'模块规划'!$D$16+L47*'模块规划'!$D$18))*(1+'模块规划'!$J$17*J47))*F47/(1-Q47)</x:f>
        <x:v>132853.17102398578</x:v>
      </x:c>
      <x:c r="AO47" s="1" t="n">
        <x:f t="shared" si="23">AL47*AM47</x:f>
        <x:v>1752812.3688734912</x:v>
      </x:c>
      <x:c r="AP47" s="1" t="n">
        <x:f>IF(AO47="","",INDEX('_曲线基线'!$A$3:$A$502,MIN(ROWS('_曲线基线'!$A$3:$A$502),COUNTIF('_曲线基线'!$E$3:$E$502,"&lt;"&amp;AO47)+1)))</x:f>
        <x:v>70</x:v>
      </x:c>
      <x:c r="AQ47" s="14" t="n">
        <x:f t="shared" si="24">IF(B47&lt;=2,1,IF(B47&lt;=6,2,IF(B47&lt;=9,3,IF(B47&lt;=19,4,5))))</x:f>
        <x:v>5</x:v>
      </x:c>
      <x:c r="AR47" s="10" t="n">
        <x:f t="shared" si="26">AN47*(1-Q47)/F47*$AS$3+U47*$AS$4+P47*$AS$5</x:f>
        <x:v>2002.734031936293</x:v>
      </x:c>
      <x:c r="AS47" s="15" t="n">
        <x:f t="shared" si="27">1+AH47*$AS$6+AI47*$AS$7+(AJ47-1)*$AS$8+($H$10*H47+$I$10*I47+$J$10*J47+$K$10*K47+$L$10*L47)*$AU$3*$AS$9+($H$10*H47+$I$10*I47+$J$10*J47+$K$10*K47+$L$10*L47)*$AU$4*$AS$10</x:f>
        <x:v>6.227011371952347</x:v>
      </x:c>
      <x:c r="AT47" s="16" t="n">
        <x:f t="shared" si="28">ROUND(AR47*AS47,0)</x:f>
        <x:v>12471</x:v>
      </x:c>
      <x:c r="AU47" s="16" t="n">
        <x:f t="shared" si="29">ROUND(AT47*F47,0)</x:f>
        <x:v>62355</x:v>
      </x:c>
      <x:c r="AV47" t="n">
        <x:f>IF(AU47&gt;0,ROUND(AU47,-MAX(0,INT(LOG10(AU47))-2)),0)</x:f>
        <x:v>62400</x:v>
      </x:c>
    </x:row>
    <x:row r="48" customHeight="1">
      <x:c r="A48" s="1" t="n">
        <x:f>IFERROR(XLOOKUP(B48,'_曲线基线'!$G$3:$G$107,'_曲线基线'!$J$3:$J$107,""),"")</x:f>
        <x:v>21</x:v>
      </x:c>
      <x:c r="B48" s="1" t="n">
        <x:v>37</x:v>
      </x:c>
      <x:c r="C48" s="1" t="n">
        <x:v>3</x:v>
      </x:c>
      <x:c r="D48" s="1" t="n">
        <x:v>13</x:v>
      </x:c>
      <x:c r="E48" s="1" t="n">
        <x:f t="shared" si="0">IF($B48&lt;E$8,0,E$3+(E$4-E$3)*(POWER(E$5,$B48-E$8)-1)/(POWER(E$5,$C$5-E$8)-1))</x:f>
        <x:v>1</x:v>
      </x:c>
      <x:c r="F48" s="10" t="n">
        <x:f t="shared" si="1">1+IF(B48&lt;3,0,MIN(1,(B48-2)/4))+IF(B48&lt;7,0,MIN(1,(B48-6)/3))+IF(B48&lt;10,0,MIN(1,(B48-9)/5))+IF(B48&lt;20,0,MIN(1,(B48-19)/10))</x:f>
        <x:v>5</x:v>
      </x:c>
      <x:c r="G48" s="11" t="n">
        <x:f t="shared" ref="G48:L48" si="64">'玩家战力_节点'!G48</x:f>
        <x:v>0.35435263899960856</x:v>
      </x:c>
      <x:c r="H48" s="11" t="n">
        <x:f t="shared" si="64">'玩家战力_节点'!H48</x:f>
        <x:v>0.22780081406962896</x:v>
      </x:c>
      <x:c r="I48" s="11" t="n">
        <x:f t="shared" si="64">'玩家战力_节点'!I48</x:f>
        <x:v>0</x:v>
      </x:c>
      <x:c r="J48" s="11" t="n">
        <x:f t="shared" si="64">'玩家战力_节点'!J48</x:f>
        <x:v>0.0345</x:v>
      </x:c>
      <x:c r="K48" s="11" t="n">
        <x:f t="shared" si="64">'玩家战力_节点'!K48</x:f>
        <x:v>0</x:v>
      </x:c>
      <x:c r="L48" s="11" t="n">
        <x:f t="shared" si="64">'玩家战力_节点'!L48</x:f>
        <x:v>0.17143526241078033</x:v>
      </x:c>
      <x:c r="M48" s="2" t="n">
        <x:f>E48*'模块规划'!$F$10+G48*'模块规划'!$F$11+H48*'模块规划'!$F$13</x:f>
        <x:v>2700.8926671981208</x:v>
      </x:c>
      <x:c r="N48" s="2" t="n">
        <x:f>I48*'模块规划'!$F$15+J48*'模块规划'!$F$17+K48*'模块规划'!$F$16+L48*'模块规划'!$F$18</x:f>
        <x:v>1202.1763120539017</x:v>
      </x:c>
      <x:c r="O48" s="2" t="n">
        <x:f t="shared" si="3">1+O$9*SUMPRODUCT($H$10:$L$10,H48:L48)/SUM($H$10:$L$10)</x:f>
        <x:v>1.2511011658622895</x:v>
      </x:c>
      <x:c r="P48" s="12" t="n">
        <x:f t="shared" si="4">M48*O48+N48</x:f>
        <x:v>4581.26627685438</x:v>
      </x:c>
      <x:c r="Q48" s="7" t="n">
        <x:f>P48/(P48+'_曲线基线'!$L$2)</x:f>
        <x:v>0.1602891289867157</x:v>
      </x:c>
      <x:c r="R48" s="2" t="n">
        <x:f>E48*'模块规划'!$E$10+G48*'模块规划'!$E$11+H48*'模块规划'!$E$13</x:f>
        <x:v>4051.3390007971816</x:v>
      </x:c>
      <x:c r="S48" s="2" t="n">
        <x:f>I48*'模块规划'!$E$15+J48*'模块规划'!$E$17+K48*'模块规划'!$E$16+L48*'模块规划'!$E$18</x:f>
        <x:v>1803.2644680808526</x:v>
      </x:c>
      <x:c r="T48" s="2" t="n">
        <x:f t="shared" si="5">1+T$9*SUMPRODUCT($H$10:$L$10,H48:L48)/SUM($H$10:$L$10)</x:f>
        <x:v>1.2511011658622895</x:v>
      </x:c>
      <x:c r="U48" s="12" t="n">
        <x:f t="shared" si="6">R48*T48+S48</x:f>
        <x:v>6871.899415281569</x:v>
      </x:c>
      <x:c r="V48" s="2" t="n">
        <x:f t="shared" si="7">V$8+(V$9-V$8)*H48</x:f>
        <x:v>0.7683402442208886</x:v>
      </x:c>
      <x:c r="W48" s="2" t="n">
        <x:f t="shared" si="8">IF(B48&lt;$H$8,0,W$8+(W$9-W$8)*H48)</x:f>
        <x:v>0.09112032562785159</x:v>
      </x:c>
      <x:c r="X48" s="2" t="n">
        <x:f t="shared" si="9">X$8+(X$9-X$8)*H48</x:f>
        <x:v>0.33764522386914797</x:v>
      </x:c>
      <x:c r="Y48" s="2" t="n">
        <x:f t="shared" si="10">Y$8+(Y$9-Y$8)*G48</x:f>
        <x:v>1</x:v>
      </x:c>
      <x:c r="Z48" s="2" t="n">
        <x:f t="shared" si="11">Z$8+(Z$9-Z$8)*H48</x:f>
        <x:v>1</x:v>
      </x:c>
      <x:c r="AA48" s="2" t="n">
        <x:f t="shared" si="12">AA$8+(AA$9-AA$8)*I48</x:f>
        <x:v>1</x:v>
      </x:c>
      <x:c r="AB48" s="2" t="n">
        <x:f t="shared" si="13">AB$8+(AB$9-AB$8)*J48</x:f>
        <x:v>1</x:v>
      </x:c>
      <x:c r="AC48" s="2" t="n">
        <x:f t="shared" si="14">AC$8+(AC$9-AC$8)*MAX(K48,L48)</x:f>
        <x:v>1</x:v>
      </x:c>
      <x:c r="AD48" s="1" t="n">
        <x:f t="shared" si="15">(V48*AE48+W48*AF48+X48*AG48)*PRODUCT(Y48:AC48)</x:f>
        <x:v>1.2123865284726474</x:v>
      </x:c>
      <x:c r="AE48" s="2" t="n">
        <x:f t="shared" si="16">1+AE$9*($H$10*H48+$I$10*I48+$J$10*J48+$K$10*K48+$L$10*L48)</x:f>
        <x:v>1</x:v>
      </x:c>
      <x:c r="AF48" s="2" t="n">
        <x:f t="shared" si="17">1+AF$9*($H$10*H48+$I$10*I48+$J$10*J48+$K$10*K48+$L$10*L48)</x:f>
        <x:v>1.0221619652461453</x:v>
      </x:c>
      <x:c r="AG48" s="2" t="n">
        <x:f t="shared" si="18">1+AG$9*($H$10*H48+$I$10*I48+$J$10*J48+$K$10*K48+$L$10*L48)</x:f>
        <x:v>1.0392759272973358</x:v>
      </x:c>
      <x:c r="AH48" s="2" t="n">
        <x:f>MIN(1,'_曲线基线'!$L$3+AH$9*($H$10*H48+$I$10*I48+$J$10*J48+$K$10*K48+$L$10*L48))</x:f>
        <x:v>0.10041847093498077</x:v>
      </x:c>
      <x:c r="AI48" s="2" t="n">
        <x:f>'_曲线基线'!$L$4+AI$9*($H$10*H48+$I$10*I48+$J$10*J48+$K$10*K48+$L$10*L48)</x:f>
        <x:v>2.1404514547474465</x:v>
      </x:c>
      <x:c r="AJ48" s="2" t="n">
        <x:f t="shared" si="19">1+AJ$9*($H$10*H48+$I$10*I48+$J$10*J48+$K$10*K48+$L$10*L48)</x:f>
        <x:v>1.115242219279956</x:v>
      </x:c>
      <x:c r="AK48" s="1" t="n">
        <x:f t="shared" si="20">(1+AH48*(AI48-1))*AJ48</x:f>
        <x:v>1.24296242506747</x:v>
      </x:c>
      <x:c r="AL48" s="1" t="n">
        <x:f t="shared" si="21">U48*AD48*AK48*F48</x:f>
        <x:v>51778.07502736098</x:v>
      </x:c>
      <x:c r="AM48" s="13" t="n">
        <x:f t="shared" si="22">IF($B48&lt;AM$8,0,AM$3+(AM$4-AM$3)*(POWER(AM$5,$B48-AM$8)-1)/(POWER(AM$5,$C$5-AM$8)-1))</x:f>
        <x:v>35.57829158092983</x:v>
      </x:c>
      <x:c r="AN48" s="13" t="n">
        <x:f>(((E48*'模块规划'!$D$10+G48*'模块规划'!$D$11+H48*'模块规划'!$D$13)*(1+'模块规划'!$G$14*H48)+(I48*'模块规划'!$D$15+J48*'模块规划'!$D$17+K48*'模块规划'!$D$16+L48*'模块规划'!$D$18))*(1+'模块规划'!$J$17*J48))*F48/(1-Q48)</x:f>
        <x:v>138182.08097015216</x:v>
      </x:c>
      <x:c r="AO48" s="1" t="n">
        <x:f t="shared" si="23">AL48*AM48</x:f>
        <x:v>1842175.4508227103</x:v>
      </x:c>
      <x:c r="AP48" s="1" t="n">
        <x:f>IF(AO48="","",INDEX('_曲线基线'!$A$3:$A$502,MIN(ROWS('_曲线基线'!$A$3:$A$502),COUNTIF('_曲线基线'!$E$3:$E$502,"&lt;"&amp;AO48)+1)))</x:f>
        <x:v>72</x:v>
      </x:c>
      <x:c r="AQ48" s="14" t="n">
        <x:f t="shared" si="24">IF(B48&lt;=2,1,IF(B48&lt;=6,2,IF(B48&lt;=9,3,IF(B48&lt;=19,4,5))))</x:f>
        <x:v>5</x:v>
      </x:c>
      <x:c r="AR48" s="10" t="n">
        <x:f t="shared" si="26">AN48*(1-Q48)/F48*$AS$3+U48*$AS$4+P48*$AS$5</x:f>
        <x:v>2070.577856475562</x:v>
      </x:c>
      <x:c r="AS48" s="15" t="n">
        <x:f t="shared" si="27">1+AH48*$AS$6+AI48*$AS$7+(AJ48-1)*$AS$8+($H$10*H48+$I$10*I48+$J$10*J48+$K$10*K48+$L$10*L48)*$AU$3*$AS$9+($H$10*H48+$I$10*I48+$J$10*J48+$K$10*K48+$L$10*L48)*$AU$4*$AS$10</x:f>
        <x:v>6.305782604990199</x:v>
      </x:c>
      <x:c r="AT48" s="16" t="n">
        <x:f t="shared" si="28">ROUND(AR48*AS48,0)</x:f>
        <x:v>13057</x:v>
      </x:c>
      <x:c r="AU48" s="16" t="n">
        <x:f t="shared" si="29">ROUND(AT48*F48,0)</x:f>
        <x:v>65285</x:v>
      </x:c>
      <x:c r="AV48" t="n">
        <x:f>IF(AU48&gt;0,ROUND(AU48,-MAX(0,INT(LOG10(AU48))-2)),0)</x:f>
        <x:v>65300</x:v>
      </x:c>
    </x:row>
    <x:row r="49" customHeight="1">
      <x:c r="A49" s="1" t="n">
        <x:f>IFERROR(XLOOKUP(B49,'_曲线基线'!$G$3:$G$107,'_曲线基线'!$J$3:$J$107,""),"")</x:f>
        <x:v>21</x:v>
      </x:c>
      <x:c r="B49" s="1" t="n">
        <x:v>38</x:v>
      </x:c>
      <x:c r="C49" s="1" t="n">
        <x:v>3</x:v>
      </x:c>
      <x:c r="D49" s="1" t="n">
        <x:v>14</x:v>
      </x:c>
      <x:c r="E49" s="1" t="n">
        <x:f t="shared" si="0">IF($B49&lt;E$8,0,E$3+(E$4-E$3)*(POWER(E$5,$B49-E$8)-1)/(POWER(E$5,$C$5-E$8)-1))</x:f>
        <x:v>1</x:v>
      </x:c>
      <x:c r="F49" s="10" t="n">
        <x:f t="shared" si="1">1+IF(B49&lt;3,0,MIN(1,(B49-2)/4))+IF(B49&lt;7,0,MIN(1,(B49-6)/3))+IF(B49&lt;10,0,MIN(1,(B49-9)/5))+IF(B49&lt;20,0,MIN(1,(B49-19)/10))</x:f>
        <x:v>5</x:v>
      </x:c>
      <x:c r="G49" s="11" t="n">
        <x:f t="shared" ref="G49:L49" si="65">'玩家战力_节点'!G49</x:f>
        <x:v>0.3604104204836739</x:v>
      </x:c>
      <x:c r="H49" s="11" t="n">
        <x:f t="shared" si="65">'玩家战力_节点'!H49</x:f>
        <x:v>0.2345678662394093</x:v>
      </x:c>
      <x:c r="I49" s="11" t="n">
        <x:f t="shared" si="65">'玩家战力_节点'!I49</x:f>
        <x:v>0</x:v>
      </x:c>
      <x:c r="J49" s="11" t="n">
        <x:f t="shared" si="65">'玩家战力_节点'!J49</x:f>
        <x:v>0.03975</x:v>
      </x:c>
      <x:c r="K49" s="11" t="n">
        <x:f t="shared" si="65">'玩家战力_节点'!K49</x:f>
        <x:v>0</x:v>
      </x:c>
      <x:c r="L49" s="11" t="n">
        <x:f t="shared" si="65">'玩家战力_节点'!L49</x:f>
        <x:v>0.17533526241078035</x:v>
      </x:c>
      <x:c r="M49" s="2" t="n">
        <x:f>E49*'模块规划'!$F$10+G49*'模块规划'!$F$11+H49*'模块规划'!$F$13</x:f>
        <x:v>2729.9700183216346</x:v>
      </x:c>
      <x:c r="N49" s="2" t="n">
        <x:f>I49*'模块规划'!$F$15+J49*'模块规划'!$F$17+K49*'模块规划'!$F$16+L49*'模块规划'!$F$18</x:f>
        <x:v>1274.1763120539017</x:v>
      </x:c>
      <x:c r="O49" s="2" t="n">
        <x:f t="shared" si="3">1+O$9*SUMPRODUCT($H$10:$L$10,H49:L49)/SUM($H$10:$L$10)</x:f>
        <x:v>1.2660381161278123</x:v>
      </x:c>
      <x:c r="P49" s="12" t="n">
        <x:f t="shared" si="4">M49*O49+N49</x:f>
        <x:v>4730.422411135233</x:v>
      </x:c>
      <x:c r="Q49" s="7" t="n">
        <x:f>P49/(P49+'_曲线基线'!$L$2)</x:f>
        <x:v>0.16464855070497791</x:v>
      </x:c>
      <x:c r="R49" s="2" t="n">
        <x:f>E49*'模块规划'!$E$10+G49*'模块规划'!$E$11+H49*'模块规划'!$E$13</x:f>
        <x:v>4094.955027482452</x:v>
      </x:c>
      <x:c r="S49" s="2" t="n">
        <x:f>I49*'模块规划'!$E$15+J49*'模块规划'!$E$17+K49*'模块规划'!$E$16+L49*'模块规划'!$E$18</x:f>
        <x:v>1911.2644680808526</x:v>
      </x:c>
      <x:c r="T49" s="2" t="n">
        <x:f t="shared" si="5">1+T$9*SUMPRODUCT($H$10:$L$10,H49:L49)/SUM($H$10:$L$10)</x:f>
        <x:v>1.2660381161278123</x:v>
      </x:c>
      <x:c r="U49" s="12" t="n">
        <x:f t="shared" si="6">R49*T49+S49</x:f>
        <x:v>7095.633616702849</x:v>
      </x:c>
      <x:c r="V49" s="2" t="n">
        <x:f t="shared" si="7">V$8+(V$9-V$8)*H49</x:f>
        <x:v>0.7703703598718228</x:v>
      </x:c>
      <x:c r="W49" s="2" t="n">
        <x:f t="shared" si="8">IF(B49&lt;$H$8,0,W$8+(W$9-W$8)*H49)</x:f>
        <x:v>0.09382714649576374</x:v>
      </x:c>
      <x:c r="X49" s="2" t="n">
        <x:f t="shared" si="9">X$8+(X$9-X$8)*H49</x:f>
        <x:v>0.3395061632158376</x:v>
      </x:c>
      <x:c r="Y49" s="2" t="n">
        <x:f t="shared" si="10">Y$8+(Y$9-Y$8)*G49</x:f>
        <x:v>1</x:v>
      </x:c>
      <x:c r="Z49" s="2" t="n">
        <x:f t="shared" si="11">Z$8+(Z$9-Z$8)*H49</x:f>
        <x:v>1</x:v>
      </x:c>
      <x:c r="AA49" s="2" t="n">
        <x:f t="shared" si="12">AA$8+(AA$9-AA$8)*I49</x:f>
        <x:v>1</x:v>
      </x:c>
      <x:c r="AB49" s="2" t="n">
        <x:f t="shared" si="13">AB$8+(AB$9-AB$8)*J49</x:f>
        <x:v>1</x:v>
      </x:c>
      <x:c r="AC49" s="2" t="n">
        <x:f t="shared" si="14">AC$8+(AC$9-AC$8)*MAX(K49,L49)</x:f>
        <x:v>1</x:v>
      </x:c>
      <x:c r="AD49" s="1" t="n">
        <x:f t="shared" si="15">(V49*AE49+W49*AF49+X49*AG49)*PRODUCT(Y49:AC49)</x:f>
        <x:v>1.22003438573164</x:v>
      </x:c>
      <x:c r="AE49" s="2" t="n">
        <x:f t="shared" si="16">1+AE$9*($H$10*H49+$I$10*I49+$J$10*J49+$K$10*K49+$L$10*L49)</x:f>
        <x:v>1</x:v>
      </x:c>
      <x:c r="AF49" s="2" t="n">
        <x:f t="shared" si="17">1+AF$9*($H$10*H49+$I$10*I49+$J$10*J49+$K$10*K49+$L$10*L49)</x:f>
        <x:v>1.0234802871724142</x:v>
      </x:c>
      <x:c r="AG49" s="2" t="n">
        <x:f t="shared" si="18">1+AG$9*($H$10*H49+$I$10*I49+$J$10*J49+$K$10*K49+$L$10*L49)</x:f>
        <x:v>1.0416122867111122</x:v>
      </x:c>
      <x:c r="AH49" s="2" t="n">
        <x:f>MIN(1,'_曲线基线'!$L$3+AH$9*($H$10*H49+$I$10*I49+$J$10*J49+$K$10*K49+$L$10*L49))</x:f>
        <x:v>0.10341765331724231</x:v>
      </x:c>
      <x:c r="AI49" s="2" t="n">
        <x:f>'_曲线基线'!$L$4+AI$9*($H$10*H49+$I$10*I49+$J$10*J49+$K$10*K49+$L$10*L49)</x:f>
        <x:v>2.148806319955175</x:v>
      </x:c>
      <x:c r="AJ49" s="2" t="n">
        <x:f t="shared" si="19">1+AJ$9*($H$10*H49+$I$10*I49+$J$10*J49+$K$10*K49+$L$10*L49)</x:f>
        <x:v>1.122097493296554</x:v>
      </x:c>
      <x:c r="AK49" s="1" t="n">
        <x:f t="shared" si="20">(1+AH49*(AI49-1))*AJ49</x:f>
        <x:v>1.2554103660487033</x:v>
      </x:c>
      <x:c r="AL49" s="1" t="n">
        <x:f t="shared" si="21">U49*AD49*AK49*F49</x:f>
        <x:v>54339.91670495911</x:v>
      </x:c>
      <x:c r="AM49" s="13" t="n">
        <x:f t="shared" si="22">IF($B49&lt;AM$8,0,AM$3+(AM$4-AM$3)*(POWER(AM$5,$B49-AM$8)-1)/(POWER(AM$5,$C$5-AM$8)-1))</x:f>
        <x:v>35.59749913666099</x:v>
      </x:c>
      <x:c r="AN49" s="13" t="n">
        <x:f>(((E49*'模块规划'!$D$10+G49*'模块规划'!$D$11+H49*'模块规划'!$D$13)*(1+'模块规划'!$G$14*H49)+(I49*'模块规划'!$D$15+J49*'模块规划'!$D$17+K49*'模块规划'!$D$16+L49*'模块规划'!$D$18))*(1+'模块规划'!$J$17*J49))*F49/(1-Q49)</x:f>
        <x:v>143621.04196543043</x:v>
      </x:c>
      <x:c r="AO49" s="1" t="n">
        <x:f t="shared" si="23">AL49*AM49</x:f>
        <x:v>1934365.1379910123</x:v>
      </x:c>
      <x:c r="AP49" s="1" t="n">
        <x:f>IF(AO49="","",INDEX('_曲线基线'!$A$3:$A$502,MIN(ROWS('_曲线基线'!$A$3:$A$502),COUNTIF('_曲线基线'!$E$3:$E$502,"&lt;"&amp;AO49)+1)))</x:f>
        <x:v>74</x:v>
      </x:c>
      <x:c r="AQ49" s="14" t="n">
        <x:f t="shared" si="24">IF(B49&lt;=2,1,IF(B49&lt;=6,2,IF(B49&lt;=9,3,IF(B49&lt;=19,4,5))))</x:f>
        <x:v>5</x:v>
      </x:c>
      <x:c r="AR49" s="10" t="n">
        <x:f t="shared" si="26">AN49*(1-Q49)/F49*$AS$3+U49*$AS$4+P49*$AS$5</x:f>
        <x:v>2138.9709966710707</x:v>
      </x:c>
      <x:c r="AS49" s="15" t="n">
        <x:f t="shared" si="27">1+AH49*$AS$6+AI49*$AS$7+(AJ49-1)*$AS$8+($H$10*H49+$I$10*I49+$J$10*J49+$K$10*K49+$L$10*L49)*$AU$3*$AS$9+($H$10*H49+$I$10*I49+$J$10*J49+$K$10*K49+$L$10*L49)*$AU$4*$AS$10</x:f>
        <x:v>6.384553838028049</x:v>
      </x:c>
      <x:c r="AT49" s="16" t="n">
        <x:f t="shared" si="28">ROUND(AR49*AS49,0)</x:f>
        <x:v>13656</x:v>
      </x:c>
      <x:c r="AU49" s="16" t="n">
        <x:f t="shared" si="29">ROUND(AT49*F49,0)</x:f>
        <x:v>68280</x:v>
      </x:c>
      <x:c r="AV49" t="n">
        <x:f>IF(AU49&gt;0,ROUND(AU49,-MAX(0,INT(LOG10(AU49))-2)),0)</x:f>
        <x:v>68300</x:v>
      </x:c>
    </x:row>
    <x:row r="50" customHeight="1">
      <x:c r="A50" s="1" t="n">
        <x:f>IFERROR(XLOOKUP(B50,'_曲线基线'!$G$3:$G$107,'_曲线基线'!$J$3:$J$107,""),"")</x:f>
        <x:v>22</x:v>
      </x:c>
      <x:c r="B50" s="1" t="n">
        <x:v>39</x:v>
      </x:c>
      <x:c r="C50" s="1" t="n">
        <x:v>3</x:v>
      </x:c>
      <x:c r="D50" s="1" t="n">
        <x:v>15</x:v>
      </x:c>
      <x:c r="E50" s="1" t="n">
        <x:f t="shared" si="0">IF($B50&lt;E$8,0,E$3+(E$4-E$3)*(POWER(E$5,$B50-E$8)-1)/(POWER(E$5,$C$5-E$8)-1))</x:f>
        <x:v>1</x:v>
      </x:c>
      <x:c r="F50" s="10" t="n">
        <x:f t="shared" si="1">1+IF(B50&lt;3,0,MIN(1,(B50-2)/4))+IF(B50&lt;7,0,MIN(1,(B50-6)/3))+IF(B50&lt;10,0,MIN(1,(B50-9)/5))+IF(B50&lt;20,0,MIN(1,(B50-19)/10))</x:f>
        <x:v>5</x:v>
      </x:c>
      <x:c r="G50" s="11" t="n">
        <x:f t="shared" ref="G50:L50" si="66">'玩家战力_节点'!G50</x:f>
        <x:v>0.36646820196773927</x:v>
      </x:c>
      <x:c r="H50" s="11" t="n">
        <x:f t="shared" si="66">'玩家战力_节点'!H50</x:f>
        <x:v>0.2413349184091897</x:v>
      </x:c>
      <x:c r="I50" s="11" t="n">
        <x:f t="shared" si="66">'玩家战力_节点'!I50</x:f>
        <x:v>0</x:v>
      </x:c>
      <x:c r="J50" s="11" t="n">
        <x:f t="shared" si="66">'玩家战力_节点'!J50</x:f>
        <x:v>0.045000000000000005</x:v>
      </x:c>
      <x:c r="K50" s="11" t="n">
        <x:f t="shared" si="66">'玩家战力_节点'!K50</x:f>
        <x:v>0</x:v>
      </x:c>
      <x:c r="L50" s="11" t="n">
        <x:f t="shared" si="66">'玩家战力_节点'!L50</x:f>
        <x:v>0.17923526241078033</x:v>
      </x:c>
      <x:c r="M50" s="2" t="n">
        <x:f>E50*'模块规划'!$F$10+G50*'模块规划'!$F$11+H50*'模块规划'!$F$13</x:f>
        <x:v>2759.0473694451484</x:v>
      </x:c>
      <x:c r="N50" s="2" t="n">
        <x:f>I50*'模块规划'!$F$15+J50*'模块规划'!$F$17+K50*'模块规划'!$F$16+L50*'模块规划'!$F$18</x:f>
        <x:v>1346.1763120539017</x:v>
      </x:c>
      <x:c r="O50" s="2" t="n">
        <x:f t="shared" si="3">1+O$9*SUMPRODUCT($H$10:$L$10,H50:L50)/SUM($H$10:$L$10)</x:f>
        <x:v>1.2809750663933352</x:v>
      </x:c>
      <x:c r="P50" s="12" t="n">
        <x:f t="shared" si="4">M50*O50+N50</x:f>
        <x:v>4880.447199311258</x:v>
      </x:c>
      <x:c r="Q50" s="7" t="n">
        <x:f>P50/(P50+'_曲线基线'!$L$2)</x:f>
        <x:v>0.16898793725838315</x:v>
      </x:c>
      <x:c r="R50" s="2" t="n">
        <x:f>E50*'模块规划'!$E$10+G50*'模块规划'!$E$11+H50*'模块规划'!$E$13</x:f>
        <x:v>4138.571054167723</x:v>
      </x:c>
      <x:c r="S50" s="2" t="n">
        <x:f>I50*'模块规划'!$E$15+J50*'模块规划'!$E$17+K50*'模块规划'!$E$16+L50*'模块规划'!$E$18</x:f>
        <x:v>2019.2644680808526</x:v>
      </x:c>
      <x:c r="T50" s="2" t="n">
        <x:f t="shared" si="5">1+T$9*SUMPRODUCT($H$10:$L$10,H50:L50)/SUM($H$10:$L$10)</x:f>
        <x:v>1.2809750663933352</x:v>
      </x:c>
      <x:c r="U50" s="12" t="n">
        <x:f t="shared" si="6">R50*T50+S50</x:f>
        <x:v>7320.670798966887</x:v>
      </x:c>
      <x:c r="V50" s="2" t="n">
        <x:f t="shared" si="7">V$8+(V$9-V$8)*H50</x:f>
        <x:v>0.7724004755227569</x:v>
      </x:c>
      <x:c r="W50" s="2" t="n">
        <x:f t="shared" si="8">IF(B50&lt;$H$8,0,W$8+(W$9-W$8)*H50)</x:f>
        <x:v>0.09653396736367588</x:v>
      </x:c>
      <x:c r="X50" s="2" t="n">
        <x:f t="shared" si="9">X$8+(X$9-X$8)*H50</x:f>
        <x:v>0.3413671025625272</x:v>
      </x:c>
      <x:c r="Y50" s="2" t="n">
        <x:f t="shared" si="10">Y$8+(Y$9-Y$8)*G50</x:f>
        <x:v>1</x:v>
      </x:c>
      <x:c r="Z50" s="2" t="n">
        <x:f t="shared" si="11">Z$8+(Z$9-Z$8)*H50</x:f>
        <x:v>1</x:v>
      </x:c>
      <x:c r="AA50" s="2" t="n">
        <x:f t="shared" si="12">AA$8+(AA$9-AA$8)*I50</x:f>
        <x:v>1</x:v>
      </x:c>
      <x:c r="AB50" s="2" t="n">
        <x:f t="shared" si="13">AB$8+(AB$9-AB$8)*J50</x:f>
        <x:v>1</x:v>
      </x:c>
      <x:c r="AC50" s="2" t="n">
        <x:f t="shared" si="14">AC$8+(AC$9-AC$8)*MAX(K50,L50)</x:f>
        <x:v>1</x:v>
      </x:c>
      <x:c r="AD50" s="1" t="n">
        <x:f t="shared" si="15">(V50*AE50+W50*AF50+X50*AG50)*PRODUCT(Y50:AC50)</x:f>
        <x:v>1.227698075559556</x:v>
      </x:c>
      <x:c r="AE50" s="2" t="n">
        <x:f t="shared" si="16">1+AE$9*($H$10*H50+$I$10*I50+$J$10*J50+$K$10*K50+$L$10*L50)</x:f>
        <x:v>1</x:v>
      </x:c>
      <x:c r="AF50" s="2" t="n">
        <x:f t="shared" si="17">1+AF$9*($H$10*H50+$I$10*I50+$J$10*J50+$K$10*K50+$L$10*L50)</x:f>
        <x:v>1.0247986090986831</x:v>
      </x:c>
      <x:c r="AG50" s="2" t="n">
        <x:f t="shared" si="18">1+AG$9*($H$10*H50+$I$10*I50+$J$10*J50+$K$10*K50+$L$10*L50)</x:f>
        <x:v>1.0439486461248886</x:v>
      </x:c>
      <x:c r="AH50" s="2" t="n">
        <x:f>MIN(1,'_曲线基线'!$L$3+AH$9*($H$10*H50+$I$10*I50+$J$10*J50+$K$10*K50+$L$10*L50))</x:f>
        <x:v>0.10641683569950387</x:v>
      </x:c>
      <x:c r="AI50" s="2" t="n">
        <x:f>'_曲线基线'!$L$4+AI$9*($H$10*H50+$I$10*I50+$J$10*J50+$K$10*K50+$L$10*L50)</x:f>
        <x:v>2.1571611851629036</x:v>
      </x:c>
      <x:c r="AJ50" s="2" t="n">
        <x:f t="shared" si="19">1+AJ$9*($H$10*H50+$I$10*I50+$J$10*J50+$K$10*K50+$L$10*L50)</x:f>
        <x:v>1.1289527673131516</x:v>
      </x:c>
      <x:c r="AK50" s="1" t="n">
        <x:f t="shared" si="20">(1+AH50*(AI50-1))*AJ50</x:f>
        <x:v>1.2679736274235858</x:v>
      </x:c>
      <x:c r="AL50" s="1" t="n">
        <x:f t="shared" si="21">U50*AD50*AK50*F50</x:f>
        <x:v>56980.0305564188</x:v>
      </x:c>
      <x:c r="AM50" s="13" t="n">
        <x:f t="shared" si="22">IF($B50&lt;AM$8,0,AM$3+(AM$4-AM$3)*(POWER(AM$5,$B50-AM$8)-1)/(POWER(AM$5,$C$5-AM$8)-1))</x:f>
        <x:v>35.61689876794947</x:v>
      </x:c>
      <x:c r="AN50" s="13" t="n">
        <x:f>(((E50*'模块规划'!$D$10+G50*'模块规划'!$D$11+H50*'模块规划'!$D$13)*(1+'模块规划'!$G$14*H50)+(I50*'模块规划'!$D$15+J50*'模块规划'!$D$17+K50*'模块规划'!$D$16+L50*'模块规划'!$D$18))*(1+'模块规划'!$J$17*J50))*F50/(1-Q50)</x:f>
        <x:v>149171.5804907562</x:v>
      </x:c>
      <x:c r="AO50" s="1" t="n">
        <x:f t="shared" si="23">AL50*AM50</x:f>
        <x:v>2029451.980122636</x:v>
      </x:c>
      <x:c r="AP50" s="1" t="n">
        <x:f>IF(AO50="","",INDEX('_曲线基线'!$A$3:$A$502,MIN(ROWS('_曲线基线'!$A$3:$A$502),COUNTIF('_曲线基线'!$E$3:$E$502,"&lt;"&amp;AO50)+1)))</x:f>
        <x:v>75</x:v>
      </x:c>
      <x:c r="AQ50" s="14" t="n">
        <x:f t="shared" si="24">IF(B50&lt;=2,1,IF(B50&lt;=6,2,IF(B50&lt;=9,3,IF(B50&lt;=19,4,5))))</x:f>
        <x:v>5</x:v>
      </x:c>
      <x:c r="AR50" s="10" t="n">
        <x:f t="shared" si="26">AN50*(1-Q50)/F50*$AS$3+U50*$AS$4+P50*$AS$5</x:f>
        <x:v>2207.91445662968</x:v>
      </x:c>
      <x:c r="AS50" s="15" t="n">
        <x:f t="shared" si="27">1+AH50*$AS$6+AI50*$AS$7+(AJ50-1)*$AS$8+($H$10*H50+$I$10*I50+$J$10*J50+$K$10*K50+$L$10*L50)*$AU$3*$AS$9+($H$10*H50+$I$10*I50+$J$10*J50+$K$10*K50+$L$10*L50)*$AU$4*$AS$10</x:f>
        <x:v>6.463325071065899</x:v>
      </x:c>
      <x:c r="AT50" s="16" t="n">
        <x:f t="shared" si="28">ROUND(AR50*AS50,0)</x:f>
        <x:v>14270</x:v>
      </x:c>
      <x:c r="AU50" s="16" t="n">
        <x:f t="shared" si="29">ROUND(AT50*F50,0)</x:f>
        <x:v>71350</x:v>
      </x:c>
      <x:c r="AV50" t="n">
        <x:f>IF(AU50&gt;0,ROUND(AU50,-MAX(0,INT(LOG10(AU50))-2)),0)</x:f>
        <x:v>71400</x:v>
      </x:c>
    </x:row>
    <x:row r="51" customHeight="1">
      <x:c r="A51" s="1" t="n">
        <x:f>IFERROR(XLOOKUP(B51,'_曲线基线'!$G$3:$G$107,'_曲线基线'!$J$3:$J$107,""),"")</x:f>
        <x:v>22</x:v>
      </x:c>
      <x:c r="B51" s="1" t="n">
        <x:v>40</x:v>
      </x:c>
      <x:c r="C51" s="1" t="n">
        <x:f t="shared" ref="C51:C114" si="67">C36+1</x:f>
        <x:v>4</x:v>
      </x:c>
      <x:c r="D51" s="1" t="n">
        <x:f t="shared" ref="D51:D114" si="68">D36</x:f>
        <x:v>1</x:v>
      </x:c>
      <x:c r="E51" s="1" t="n">
        <x:f t="shared" si="0">IF($B51&lt;E$8,0,E$3+(E$4-E$3)*(POWER(E$5,$B51-E$8)-1)/(POWER(E$5,$C$5-E$8)-1))</x:f>
        <x:v>1</x:v>
      </x:c>
      <x:c r="F51" s="10" t="n">
        <x:f t="shared" si="1">1+IF(B51&lt;3,0,MIN(1,(B51-2)/4))+IF(B51&lt;7,0,MIN(1,(B51-6)/3))+IF(B51&lt;10,0,MIN(1,(B51-9)/5))+IF(B51&lt;20,0,MIN(1,(B51-19)/10))</x:f>
        <x:v>5</x:v>
      </x:c>
      <x:c r="G51" s="11" t="n">
        <x:f t="shared" ref="G51:L51" si="69">'玩家战力_节点'!G51</x:f>
        <x:v>0.3722561296666454</x:v>
      </x:c>
      <x:c r="H51" s="11" t="n">
        <x:f t="shared" si="69">'玩家战力_节点'!H51</x:f>
        <x:v>0.24770141499280726</x:v>
      </x:c>
      <x:c r="I51" s="11" t="n">
        <x:f t="shared" si="69">'玩家战力_节点'!I51</x:f>
        <x:v>0</x:v>
      </x:c>
      <x:c r="J51" s="11" t="n">
        <x:f t="shared" si="69">'玩家战力_节点'!J51</x:f>
        <x:v>0.05025</x:v>
      </x:c>
      <x:c r="K51" s="11" t="n">
        <x:f t="shared" si="69">'玩家战力_节点'!K51</x:f>
        <x:v>0</x:v>
      </x:c>
      <x:c r="L51" s="11" t="n">
        <x:f t="shared" si="69">'玩家战力_节点'!L51</x:f>
        <x:v>0.1837352624107803</x:v>
      </x:c>
      <x:c r="M51" s="2" t="n">
        <x:f>E51*'模块规划'!$F$10+G51*'模块规划'!$F$11+H51*'模块规划'!$F$13</x:f>
        <x:v>2786.829422399898</x:v>
      </x:c>
      <x:c r="N51" s="2" t="n">
        <x:f>I51*'模块规划'!$F$15+J51*'模块规划'!$F$17+K51*'模块规划'!$F$16+L51*'模块规划'!$F$18</x:f>
        <x:v>1421.1763120539017</x:v>
      </x:c>
      <x:c r="O51" s="2" t="n">
        <x:f t="shared" si="3">1+O$9*SUMPRODUCT($H$10:$L$10,H51:L51)/SUM($H$10:$L$10)</x:f>
        <x:v>1.2960582062485</x:v>
      </x:c>
      <x:c r="P51" s="12" t="n">
        <x:f t="shared" si="4">M51*O51+N51</x:f>
        <x:v>5033.0694543700565</x:v>
      </x:c>
      <x:c r="Q51" s="7" t="n">
        <x:f>P51/(P51+'_曲线基线'!$L$2)</x:f>
        <x:v>0.1733564362624593</x:v>
      </x:c>
      <x:c r="R51" s="2" t="n">
        <x:f>E51*'模块规划'!$E$10+G51*'模块规划'!$E$11+H51*'模块规划'!$E$13</x:f>
        <x:v>4180.2441335998465</x:v>
      </x:c>
      <x:c r="S51" s="2" t="n">
        <x:f>I51*'模块规划'!$E$15+J51*'模块规划'!$E$17+K51*'模块规划'!$E$16+L51*'模块规划'!$E$18</x:f>
        <x:v>2131.7644680808526</x:v>
      </x:c>
      <x:c r="T51" s="2" t="n">
        <x:f t="shared" si="5">1+T$9*SUMPRODUCT($H$10:$L$10,H51:L51)/SUM($H$10:$L$10)</x:f>
        <x:v>1.2960582062485</x:v>
      </x:c>
      <x:c r="U51" s="12" t="n">
        <x:f t="shared" si="6">R51*T51+S51</x:f>
        <x:v>7549.604181555084</x:v>
      </x:c>
      <x:c r="V51" s="2" t="n">
        <x:f t="shared" si="7">V$8+(V$9-V$8)*H51</x:f>
        <x:v>0.7743104244978422</x:v>
      </x:c>
      <x:c r="W51" s="2" t="n">
        <x:f t="shared" si="8">IF(B51&lt;$H$8,0,W$8+(W$9-W$8)*H51)</x:f>
        <x:v>0.09908056599712291</x:v>
      </x:c>
      <x:c r="X51" s="2" t="n">
        <x:f t="shared" si="9">X$8+(X$9-X$8)*H51</x:f>
        <x:v>0.343117889123022</x:v>
      </x:c>
      <x:c r="Y51" s="2" t="n">
        <x:f t="shared" si="10">Y$8+(Y$9-Y$8)*G51</x:f>
        <x:v>1</x:v>
      </x:c>
      <x:c r="Z51" s="2" t="n">
        <x:f t="shared" si="11">Z$8+(Z$9-Z$8)*H51</x:f>
        <x:v>1</x:v>
      </x:c>
      <x:c r="AA51" s="2" t="n">
        <x:f t="shared" si="12">AA$8+(AA$9-AA$8)*I51</x:f>
        <x:v>1</x:v>
      </x:c>
      <x:c r="AB51" s="2" t="n">
        <x:f t="shared" si="13">AB$8+(AB$9-AB$8)*J51</x:f>
        <x:v>1</x:v>
      </x:c>
      <x:c r="AC51" s="2" t="n">
        <x:f t="shared" si="14">AC$8+(AC$9-AC$8)*MAX(K51,L51)</x:f>
        <x:v>1</x:v>
      </x:c>
      <x:c r="AD51" s="1" t="n">
        <x:f t="shared" si="15">(V51*AE51+W51*AF51+X51*AG51)*PRODUCT(Y51:AC51)</x:f>
        <x:v>1.2349868975230671</x:v>
      </x:c>
      <x:c r="AE51" s="2" t="n">
        <x:f t="shared" si="16">1+AE$9*($H$10*H51+$I$10*I51+$J$10*J51+$K$10*K51+$L$10*L51)</x:f>
        <x:v>1</x:v>
      </x:c>
      <x:c r="AF51" s="2" t="n">
        <x:f t="shared" si="17">1+AF$9*($H$10*H51+$I$10*I51+$J$10*J51+$K$10*K51+$L$10*L51)</x:f>
        <x:v>1.0261298335879243</x:v>
      </x:c>
      <x:c r="AG51" s="2" t="n">
        <x:f t="shared" si="18">1+AG$9*($H$10*H51+$I$10*I51+$J$10*J51+$K$10*K51+$L$10*L51)</x:f>
        <x:v>1.0463078717474885</x:v>
      </x:c>
      <x:c r="AH51" s="2" t="n">
        <x:f>MIN(1,'_曲线基线'!$L$3+AH$9*($H$10*H51+$I$10*I51+$J$10*J51+$K$10*K51+$L$10*L51))</x:f>
        <x:v>0.10944537141252775</x:v>
      </x:c>
      <x:c r="AI51" s="2" t="n">
        <x:f>'_曲线基线'!$L$4+AI$9*($H$10*H51+$I$10*I51+$J$10*J51+$K$10*K51+$L$10*L51)</x:f>
        <x:v>2.16559782036347</x:v>
      </x:c>
      <x:c r="AJ51" s="2" t="n">
        <x:f t="shared" si="19">1+AJ$9*($H$10*H51+$I$10*I51+$J$10*J51+$K$10*K51+$L$10*L51)</x:f>
        <x:v>1.1358751346572062</x:v>
      </x:c>
      <x:c r="AK51" s="1" t="n">
        <x:f t="shared" si="20">(1+AH51*(AI51-1))*AJ51</x:f>
        <x:v>1.2807779149878014</x:v>
      </x:c>
      <x:c r="AL51" s="1" t="n">
        <x:f t="shared" si="21">U51*AD51*AK51*F51</x:f>
        <x:v>59707.703455528346</x:v>
      </x:c>
      <x:c r="AM51" s="13" t="n">
        <x:f t="shared" si="22">IF($B51&lt;AM$8,0,AM$3+(AM$4-AM$3)*(POWER(AM$5,$B51-AM$8)-1)/(POWER(AM$5,$C$5-AM$8)-1))</x:f>
        <x:v>35.63649239555084</x:v>
      </x:c>
      <x:c r="AN51" s="13" t="n">
        <x:f>(((E51*'模块规划'!$D$10+G51*'模块规划'!$D$11+H51*'模块规划'!$D$13)*(1+'模块规划'!$G$14*H51)+(I51*'模块规划'!$D$15+J51*'模块规划'!$D$17+K51*'模块规划'!$D$16+L51*'模块规划'!$D$18))*(1+'模块规划'!$J$17*J51))*F51/(1-Q51)</x:f>
        <x:v>154857.631643349</x:v>
      </x:c>
      <x:c r="AO51" s="1" t="n">
        <x:f t="shared" si="23">AL51*AM51</x:f>
        <x:v>2127773.1201487402</x:v>
      </x:c>
      <x:c r="AP51" s="1" t="n">
        <x:f>IF(AO51="","",INDEX('_曲线基线'!$A$3:$A$502,MIN(ROWS('_曲线基线'!$A$3:$A$502),COUNTIF('_曲线基线'!$E$3:$E$502,"&lt;"&amp;AO51)+1)))</x:f>
        <x:v>77</x:v>
      </x:c>
      <x:c r="AQ51" s="14" t="n">
        <x:f t="shared" si="24">IF(B51&lt;=2,1,IF(B51&lt;=6,2,IF(B51&lt;=9,3,IF(B51&lt;=19,4,5))))</x:f>
        <x:v>5</x:v>
      </x:c>
      <x:c r="AR51" s="10" t="n">
        <x:f t="shared" si="26">AN51*(1-Q51)/F51*$AS$3+U51*$AS$4+P51*$AS$5</x:f>
        <x:v>2277.993223272697</x:v>
      </x:c>
      <x:c r="AS51" s="15" t="n">
        <x:f t="shared" si="27">1+AH51*$AS$6+AI51*$AS$7+(AJ51-1)*$AS$8+($H$10*H51+$I$10*I51+$J$10*J51+$K$10*K51+$L$10*L51)*$AU$3*$AS$9+($H$10*H51+$I$10*I51+$J$10*J51+$K$10*K51+$L$10*L51)*$AU$4*$AS$10</x:f>
        <x:v>6.54286724690189</x:v>
      </x:c>
      <x:c r="AT51" s="16" t="n">
        <x:f t="shared" si="28">ROUND(AR51*AS51,0)</x:f>
        <x:v>14905</x:v>
      </x:c>
      <x:c r="AU51" s="16" t="n">
        <x:f t="shared" si="29">ROUND(AT51*F51,0)</x:f>
        <x:v>74525</x:v>
      </x:c>
      <x:c r="AV51" t="n">
        <x:f>IF(AU51&gt;0,ROUND(AU51,-MAX(0,INT(LOG10(AU51))-2)),0)</x:f>
        <x:v>74500</x:v>
      </x:c>
    </x:row>
    <x:row r="52" customHeight="1">
      <x:c r="A52" s="1" t="n">
        <x:f>IFERROR(XLOOKUP(B52,'_曲线基线'!$G$3:$G$107,'_曲线基线'!$J$3:$J$107,""),"")</x:f>
        <x:v>22</x:v>
      </x:c>
      <x:c r="B52" s="1" t="n">
        <x:v>41</x:v>
      </x:c>
      <x:c r="C52" s="1" t="n">
        <x:f t="shared" si="67">C37+1</x:f>
        <x:v>4</x:v>
      </x:c>
      <x:c r="D52" s="1" t="n">
        <x:f t="shared" si="68">D37</x:f>
        <x:v>2</x:v>
      </x:c>
      <x:c r="E52" s="1" t="n">
        <x:f t="shared" si="0">IF($B52&lt;E$8,0,E$3+(E$4-E$3)*(POWER(E$5,$B52-E$8)-1)/(POWER(E$5,$C$5-E$8)-1))</x:f>
        <x:v>1</x:v>
      </x:c>
      <x:c r="F52" s="10" t="n">
        <x:f t="shared" si="1">1+IF(B52&lt;3,0,MIN(1,(B52-2)/4))+IF(B52&lt;7,0,MIN(1,(B52-6)/3))+IF(B52&lt;10,0,MIN(1,(B52-9)/5))+IF(B52&lt;20,0,MIN(1,(B52-19)/10))</x:f>
        <x:v>5</x:v>
      </x:c>
      <x:c r="G52" s="11" t="n">
        <x:f t="shared" ref="G52:L52" si="70">'玩家战力_节点'!G52</x:f>
        <x:v>0.3774333964408005</x:v>
      </x:c>
      <x:c r="H52" s="11" t="n">
        <x:f t="shared" si="70">'玩家战力_节点'!H52</x:f>
        <x:v>0.25319094707562073</x:v>
      </x:c>
      <x:c r="I52" s="11" t="n">
        <x:f t="shared" si="70">'玩家战力_节点'!I52</x:f>
        <x:v>0</x:v>
      </x:c>
      <x:c r="J52" s="11" t="n">
        <x:f t="shared" si="70">'玩家战力_节点'!J52</x:f>
        <x:v>0.05734112384977115</x:v>
      </x:c>
      <x:c r="K52" s="11" t="n">
        <x:f t="shared" si="70">'玩家战力_节点'!K52</x:f>
        <x:v>0</x:v>
      </x:c>
      <x:c r="L52" s="11" t="n">
        <x:f t="shared" si="70">'玩家战力_节点'!L52</x:f>
        <x:v>0.19030752353983646</x:v>
      </x:c>
      <x:c r="M52" s="2" t="n">
        <x:f>E52*'模块规划'!$F$10+G52*'模块规划'!$F$11+H52*'模块规划'!$F$13</x:f>
        <x:v>2811.6803029158423</x:v>
      </x:c>
      <x:c r="N52" s="2" t="n">
        <x:f>I52*'模块规划'!$F$15+J52*'模块规划'!$F$17+K52*'模块规划'!$F$16+L52*'模块规划'!$F$18</x:f>
        <x:v>1524.9488561968938</x:v>
      </x:c>
      <x:c r="O52" s="2" t="n">
        <x:f t="shared" si="3">1+O$9*SUMPRODUCT($H$10:$L$10,H52:L52)/SUM($H$10:$L$10)</x:f>
        <x:v>1.3153883570001943</x:v>
      </x:c>
      <x:c r="P52" s="12" t="n">
        <x:f t="shared" si="4">M52*O52+N52</x:f>
        <x:v>5223.400390259172</x:v>
      </x:c>
      <x:c r="Q52" s="7" t="n">
        <x:f>P52/(P52+'_曲线基线'!$L$2)</x:f>
        <x:v>0.17874033550182788</x:v>
      </x:c>
      <x:c r="R52" s="2" t="n">
        <x:f>E52*'模块规划'!$E$10+G52*'模块规划'!$E$11+H52*'模块规划'!$E$13</x:f>
        <x:v>4217.520454373764</x:v>
      </x:c>
      <x:c r="S52" s="2" t="n">
        <x:f>I52*'模块规划'!$E$15+J52*'模块规划'!$E$17+K52*'模块规划'!$E$16+L52*'模块规划'!$E$18</x:f>
        <x:v>2287.4232842953406</x:v>
      </x:c>
      <x:c r="T52" s="2" t="n">
        <x:f t="shared" si="5">1+T$9*SUMPRODUCT($H$10:$L$10,H52:L52)/SUM($H$10:$L$10)</x:f>
        <x:v>1.3153883570001943</x:v>
      </x:c>
      <x:c r="U52" s="12" t="n">
        <x:f t="shared" si="6">R52*T52+S52</x:f>
        <x:v>7835.100585388758</x:v>
      </x:c>
      <x:c r="V52" s="2" t="n">
        <x:f t="shared" si="7">V$8+(V$9-V$8)*H52</x:f>
        <x:v>0.7759572841226862</x:v>
      </x:c>
      <x:c r="W52" s="2" t="n">
        <x:f t="shared" si="8">IF(B52&lt;$H$8,0,W$8+(W$9-W$8)*H52)</x:f>
        <x:v>0.1012763788302483</x:v>
      </x:c>
      <x:c r="X52" s="2" t="n">
        <x:f t="shared" si="9">X$8+(X$9-X$8)*H52</x:f>
        <x:v>0.34462751044579576</x:v>
      </x:c>
      <x:c r="Y52" s="2" t="n">
        <x:f t="shared" si="10">Y$8+(Y$9-Y$8)*G52</x:f>
        <x:v>1</x:v>
      </x:c>
      <x:c r="Z52" s="2" t="n">
        <x:f t="shared" si="11">Z$8+(Z$9-Z$8)*H52</x:f>
        <x:v>1</x:v>
      </x:c>
      <x:c r="AA52" s="2" t="n">
        <x:f t="shared" si="12">AA$8+(AA$9-AA$8)*I52</x:f>
        <x:v>1</x:v>
      </x:c>
      <x:c r="AB52" s="2" t="n">
        <x:f t="shared" si="13">AB$8+(AB$9-AB$8)*J52</x:f>
        <x:v>1</x:v>
      </x:c>
      <x:c r="AC52" s="2" t="n">
        <x:f t="shared" si="14">AC$8+(AC$9-AC$8)*MAX(K52,L52)</x:f>
        <x:v>1</x:v>
      </x:c>
      <x:c r="AD52" s="1" t="n">
        <x:f t="shared" si="15">(V52*AE52+W52*AF52+X52*AG52)*PRODUCT(Y52:AC52)</x:f>
        <x:v>1.2416812470913328</x:v>
      </x:c>
      <x:c r="AE52" s="2" t="n">
        <x:f t="shared" si="16">1+AE$9*($H$10*H52+$I$10*I52+$J$10*J52+$K$10*K52+$L$10*L52)</x:f>
        <x:v>1</x:v>
      </x:c>
      <x:c r="AF52" s="2" t="n">
        <x:f t="shared" si="17">1+AF$9*($H$10*H52+$I$10*I52+$J$10*J52+$K$10*K52+$L$10*L52)</x:f>
        <x:v>1.0278358954761304</x:v>
      </x:c>
      <x:c r="AG52" s="2" t="n">
        <x:f t="shared" si="18">1+AG$9*($H$10*H52+$I$10*I52+$J$10*J52+$K$10*K52+$L$10*L52)</x:f>
        <x:v>1.049331392538254</x:v>
      </x:c>
      <x:c r="AH52" s="2" t="n">
        <x:f>MIN(1,'_曲线基线'!$L$3+AH$9*($H$10*H52+$I$10*I52+$J$10*J52+$K$10*K52+$L$10*L52))</x:f>
        <x:v>0.11332666220819686</x:v>
      </x:c>
      <x:c r="AI52" s="2" t="n">
        <x:f>'_曲线基线'!$L$4+AI$9*($H$10*H52+$I$10*I52+$J$10*J52+$K$10*K52+$L$10*L52)</x:f>
        <x:v>2.176409987579977</x:v>
      </x:c>
      <x:c r="AJ52" s="2" t="n">
        <x:f t="shared" si="19">1+AJ$9*($H$10*H52+$I$10*I52+$J$10*J52+$K$10*K52+$L$10*L52)</x:f>
        <x:v>1.1447466564758786</x:v>
      </x:c>
      <x:c r="AK52" s="1" t="n">
        <x:f t="shared" si="20">(1+AH52*(AI52-1))*AJ52</x:f>
        <x:v>1.2973626978540904</x:v>
      </x:c>
      <x:c r="AL52" s="1" t="n">
        <x:f t="shared" si="21">U52*AD52*AK52*F52</x:f>
        <x:v>63108.24595516575</x:v>
      </x:c>
      <x:c r="AM52" s="13" t="n">
        <x:f t="shared" si="22">IF($B52&lt;AM$8,0,AM$3+(AM$4-AM$3)*(POWER(AM$5,$B52-AM$8)-1)/(POWER(AM$5,$C$5-AM$8)-1))</x:f>
        <x:v>35.65628195942821</x:v>
      </x:c>
      <x:c r="AN52" s="13" t="n">
        <x:f>(((E52*'模块规划'!$D$10+G52*'模块规划'!$D$11+H52*'模块规划'!$D$13)*(1+'模块规划'!$G$14*H52)+(I52*'模块规划'!$D$15+J52*'模块规划'!$D$17+K52*'模块规划'!$D$16+L52*'模块规划'!$D$18))*(1+'模块规划'!$J$17*J52))*F52/(1-Q52)</x:f>
        <x:v>161940.83180592075</x:v>
      </x:c>
      <x:c r="AO52" s="1" t="n">
        <x:f t="shared" si="23">AL52*AM52</x:f>
        <x:v>2250205.411742335</x:v>
      </x:c>
      <x:c r="AP52" s="1" t="n">
        <x:f>IF(AO52="","",INDEX('_曲线基线'!$A$3:$A$502,MIN(ROWS('_曲线基线'!$A$3:$A$502),COUNTIF('_曲线基线'!$E$3:$E$502,"&lt;"&amp;AO52)+1)))</x:f>
        <x:v>79</x:v>
      </x:c>
      <x:c r="AQ52" s="14" t="n">
        <x:f t="shared" si="24">IF(B52&lt;=2,1,IF(B52&lt;=6,2,IF(B52&lt;=9,3,IF(B52&lt;=19,4,5))))</x:f>
        <x:v>5</x:v>
      </x:c>
      <x:c r="AR52" s="10" t="n">
        <x:f t="shared" si="26">AN52*(1-Q52)/F52*$AS$3+U52*$AS$4+P52*$AS$5</x:f>
        <x:v>2364.9929562626644</x:v>
      </x:c>
      <x:c r="AS52" s="15" t="n">
        <x:f t="shared" si="27">1+AH52*$AS$6+AI52*$AS$7+(AJ52-1)*$AS$8+($H$10*H52+$I$10*I52+$J$10*J52+$K$10*K52+$L$10*L52)*$AU$3*$AS$9+($H$10*H52+$I$10*I52+$J$10*J52+$K$10*K52+$L$10*L52)*$AU$4*$AS$10</x:f>
        <x:v>6.644806383235032</x:v>
      </x:c>
      <x:c r="AT52" s="16" t="n">
        <x:f t="shared" si="28">ROUND(AR52*AS52,0)</x:f>
        <x:v>15715</x:v>
      </x:c>
      <x:c r="AU52" s="16" t="n">
        <x:f t="shared" si="29">ROUND(AT52*F52,0)</x:f>
        <x:v>78575</x:v>
      </x:c>
      <x:c r="AV52" t="n">
        <x:f>IF(AU52&gt;0,ROUND(AU52,-MAX(0,INT(LOG10(AU52))-2)),0)</x:f>
        <x:v>78600</x:v>
      </x:c>
    </x:row>
    <x:row r="53" customHeight="1">
      <x:c r="A53" s="1" t="n">
        <x:f>IFERROR(XLOOKUP(B53,'_曲线基线'!$G$3:$G$107,'_曲线基线'!$J$3:$J$107,""),"")</x:f>
        <x:v>23</x:v>
      </x:c>
      <x:c r="B53" s="1" t="n">
        <x:v>42</x:v>
      </x:c>
      <x:c r="C53" s="1" t="n">
        <x:f t="shared" si="67">C38+1</x:f>
        <x:v>4</x:v>
      </x:c>
      <x:c r="D53" s="1" t="n">
        <x:f t="shared" si="68">D38</x:f>
        <x:v>3</x:v>
      </x:c>
      <x:c r="E53" s="1" t="n">
        <x:f t="shared" si="0">IF($B53&lt;E$8,0,E$3+(E$4-E$3)*(POWER(E$5,$B53-E$8)-1)/(POWER(E$5,$C$5-E$8)-1))</x:f>
        <x:v>1</x:v>
      </x:c>
      <x:c r="F53" s="10" t="n">
        <x:f t="shared" si="1">1+IF(B53&lt;3,0,MIN(1,(B53-2)/4))+IF(B53&lt;7,0,MIN(1,(B53-6)/3))+IF(B53&lt;10,0,MIN(1,(B53-9)/5))+IF(B53&lt;20,0,MIN(1,(B53-19)/10))</x:f>
        <x:v>5</x:v>
      </x:c>
      <x:c r="G53" s="11" t="n">
        <x:f t="shared" ref="G53:L53" si="71">'玩家战力_节点'!G53</x:f>
        <x:v>0.3826106632149555</x:v>
      </x:c>
      <x:c r="H53" s="11" t="n">
        <x:f t="shared" si="71">'玩家战力_节点'!H53</x:f>
        <x:v>0.2586804791584343</x:v>
      </x:c>
      <x:c r="I53" s="11" t="n">
        <x:f t="shared" si="71">'玩家战力_节点'!I53</x:f>
        <x:v>0</x:v>
      </x:c>
      <x:c r="J53" s="11" t="n">
        <x:f t="shared" si="71">'玩家战力_节点'!J53</x:f>
        <x:v>0.0644322476995423</x:v>
      </x:c>
      <x:c r="K53" s="11" t="n">
        <x:f t="shared" si="71">'玩家战力_节点'!K53</x:f>
        <x:v>0</x:v>
      </x:c>
      <x:c r="L53" s="11" t="n">
        <x:f t="shared" si="71">'玩家战力_节点'!L53</x:f>
        <x:v>0.19687978466889255</x:v>
      </x:c>
      <x:c r="M53" s="2" t="n">
        <x:f>E53*'模块规划'!$F$10+G53*'模块规划'!$F$11+H53*'模块规划'!$F$13</x:f>
        <x:v>2836.5311834317863</x:v>
      </x:c>
      <x:c r="N53" s="2" t="n">
        <x:f>I53*'模块规划'!$F$15+J53*'模块规划'!$F$17+K53*'模块规划'!$F$16+L53*'模块规划'!$F$18</x:f>
        <x:v>1628.7214003398858</x:v>
      </x:c>
      <x:c r="O53" s="2" t="n">
        <x:f t="shared" si="3">1+O$9*SUMPRODUCT($H$10:$L$10,H53:L53)/SUM($H$10:$L$10)</x:f>
        <x:v>1.3347185077518884</x:v>
      </x:c>
      <x:c r="P53" s="12" t="n">
        <x:f t="shared" si="4">M53*O53+N53</x:f>
        <x:v>5414.6920686816575</x:v>
      </x:c>
      <x:c r="Q53" s="7" t="n">
        <x:f>P53/(P53+'_曲线基线'!$L$2)</x:f>
        <x:v>0.18408120867077768</x:v>
      </x:c>
      <x:c r="R53" s="2" t="n">
        <x:f>E53*'模块规划'!$E$10+G53*'模块规划'!$E$11+H53*'模块规划'!$E$13</x:f>
        <x:v>4254.79677514768</x:v>
      </x:c>
      <x:c r="S53" s="2" t="n">
        <x:f>I53*'模块规划'!$E$15+J53*'模块规划'!$E$17+K53*'模块规划'!$E$16+L53*'模块规划'!$E$18</x:f>
        <x:v>2443.0821005098287</x:v>
      </x:c>
      <x:c r="T53" s="2" t="n">
        <x:f t="shared" si="5">1+T$9*SUMPRODUCT($H$10:$L$10,H53:L53)/SUM($H$10:$L$10)</x:f>
        <x:v>1.3347185077518884</x:v>
      </x:c>
      <x:c r="U53" s="12" t="n">
        <x:f t="shared" si="6">R53*T53+S53</x:f>
        <x:v>8122.038103022487</x:v>
      </x:c>
      <x:c r="V53" s="2" t="n">
        <x:f t="shared" si="7">V$8+(V$9-V$8)*H53</x:f>
        <x:v>0.7776041437475303</x:v>
      </x:c>
      <x:c r="W53" s="2" t="n">
        <x:f t="shared" si="8">IF(B53&lt;$H$8,0,W$8+(W$9-W$8)*H53)</x:f>
        <x:v>0.10347219166337372</x:v>
      </x:c>
      <x:c r="X53" s="2" t="n">
        <x:f t="shared" si="9">X$8+(X$9-X$8)*H53</x:f>
        <x:v>0.3461371317685695</x:v>
      </x:c>
      <x:c r="Y53" s="2" t="n">
        <x:f t="shared" si="10">Y$8+(Y$9-Y$8)*G53</x:f>
        <x:v>1</x:v>
      </x:c>
      <x:c r="Z53" s="2" t="n">
        <x:f t="shared" si="11">Z$8+(Z$9-Z$8)*H53</x:f>
        <x:v>1</x:v>
      </x:c>
      <x:c r="AA53" s="2" t="n">
        <x:f t="shared" si="12">AA$8+(AA$9-AA$8)*I53</x:f>
        <x:v>1</x:v>
      </x:c>
      <x:c r="AB53" s="2" t="n">
        <x:f t="shared" si="13">AB$8+(AB$9-AB$8)*J53</x:f>
        <x:v>1</x:v>
      </x:c>
      <x:c r="AC53" s="2" t="n">
        <x:f t="shared" si="14">AC$8+(AC$9-AC$8)*MAX(K53,L53)</x:f>
        <x:v>1</x:v>
      </x:c>
      <x:c r="AD53" s="1" t="n">
        <x:f t="shared" si="15">(V53*AE53+W53*AF53+X53*AG53)*PRODUCT(Y53:AC53)</x:f>
        <x:v>1.248392217787686</x:v>
      </x:c>
      <x:c r="AE53" s="2" t="n">
        <x:f t="shared" si="16">1+AE$9*($H$10*H53+$I$10*I53+$J$10*J53+$K$10*K53+$L$10*L53)</x:f>
        <x:v>1</x:v>
      </x:c>
      <x:c r="AF53" s="2" t="n">
        <x:f t="shared" si="17">1+AF$9*($H$10*H53+$I$10*I53+$J$10*J53+$K$10*K53+$L$10*L53)</x:f>
        <x:v>1.0295419573643367</x:v>
      </x:c>
      <x:c r="AG53" s="2" t="n">
        <x:f t="shared" si="18">1+AG$9*($H$10*H53+$I$10*I53+$J$10*J53+$K$10*K53+$L$10*L53)</x:f>
        <x:v>1.0523549133290193</x:v>
      </x:c>
      <x:c r="AH53" s="2" t="n">
        <x:f>MIN(1,'_曲线基线'!$L$3+AH$9*($H$10*H53+$I$10*I53+$J$10*J53+$K$10*K53+$L$10*L53))</x:f>
        <x:v>0.11720795300386598</x:v>
      </x:c>
      <x:c r="AI53" s="2" t="n">
        <x:f>'_曲线基线'!$L$4+AI$9*($H$10*H53+$I$10*I53+$J$10*J53+$K$10*K53+$L$10*L53)</x:f>
        <x:v>2.187222154796484</x:v>
      </x:c>
      <x:c r="AJ53" s="2" t="n">
        <x:f t="shared" si="19">1+AJ$9*($H$10*H53+$I$10*I53+$J$10*J53+$K$10*K53+$L$10*L53)</x:f>
        <x:v>1.153618178294551</x:v>
      </x:c>
      <x:c r="AK53" s="1" t="n">
        <x:f t="shared" si="20">(1+AH53*(AI53-1))*AJ53</x:f>
        <x:v>1.3141463149042893</x:v>
      </x:c>
      <x:c r="AL53" s="1" t="n">
        <x:f t="shared" si="21">U53*AD53*AK53*F53</x:f>
        <x:v>66623.86157568157</x:v>
      </x:c>
      <x:c r="AM53" s="13" t="n">
        <x:f t="shared" si="22">IF($B53&lt;AM$8,0,AM$3+(AM$4-AM$3)*(POWER(AM$5,$B53-AM$8)-1)/(POWER(AM$5,$C$5-AM$8)-1))</x:f>
        <x:v>35.676269418944365</x:v>
      </x:c>
      <x:c r="AN53" s="13" t="n">
        <x:f>(((E53*'模块规划'!$D$10+G53*'模块规划'!$D$11+H53*'模块规划'!$D$13)*(1+'模块规划'!$G$14*H53)+(I53*'模块规划'!$D$15+J53*'模块规划'!$D$17+K53*'模块规划'!$D$16+L53*'模块规划'!$D$18))*(1+'模块规划'!$J$17*J53))*F53/(1-Q53)</x:f>
        <x:v>169193.90679273073</x:v>
      </x:c>
      <x:c r="AO53" s="1" t="n">
        <x:f t="shared" si="23">AL53*AM53</x:f>
        <x:v>2376890.8353044707</x:v>
      </x:c>
      <x:c r="AP53" s="1" t="n">
        <x:f>IF(AO53="","",INDEX('_曲线基线'!$A$3:$A$502,MIN(ROWS('_曲线基线'!$A$3:$A$502),COUNTIF('_曲线基线'!$E$3:$E$502,"&lt;"&amp;AO53)+1)))</x:f>
        <x:v>81</x:v>
      </x:c>
      <x:c r="AQ53" s="14" t="n">
        <x:f t="shared" si="24">IF(B53&lt;=2,1,IF(B53&lt;=6,2,IF(B53&lt;=9,3,IF(B53&lt;=19,4,5))))</x:f>
        <x:v>5</x:v>
      </x:c>
      <x:c r="AR53" s="10" t="n">
        <x:f t="shared" si="26">AN53*(1-Q53)/F53*$AS$3+U53*$AS$4+P53*$AS$5</x:f>
        <x:v>2452.698548188061</x:v>
      </x:c>
      <x:c r="AS53" s="15" t="n">
        <x:f t="shared" si="27">1+AH53*$AS$6+AI53*$AS$7+(AJ53-1)*$AS$8+($H$10*H53+$I$10*I53+$J$10*J53+$K$10*K53+$L$10*L53)*$AU$3*$AS$9+($H$10*H53+$I$10*I53+$J$10*J53+$K$10*K53+$L$10*L53)*$AU$4*$AS$10</x:f>
        <x:v>6.746745519568174</x:v>
      </x:c>
      <x:c r="AT53" s="16" t="n">
        <x:f t="shared" si="28">ROUND(AR53*AS53,0)</x:f>
        <x:v>16548</x:v>
      </x:c>
      <x:c r="AU53" s="16" t="n">
        <x:f t="shared" si="29">ROUND(AT53*F53,0)</x:f>
        <x:v>82740</x:v>
      </x:c>
      <x:c r="AV53" t="n">
        <x:f>IF(AU53&gt;0,ROUND(AU53,-MAX(0,INT(LOG10(AU53))-2)),0)</x:f>
        <x:v>82700</x:v>
      </x:c>
    </x:row>
    <x:row r="54" customHeight="1">
      <x:c r="A54" s="1" t="n">
        <x:f>IFERROR(XLOOKUP(B54,'_曲线基线'!$G$3:$G$107,'_曲线基线'!$J$3:$J$107,""),"")</x:f>
        <x:v>23</x:v>
      </x:c>
      <x:c r="B54" s="1" t="n">
        <x:v>43</x:v>
      </x:c>
      <x:c r="C54" s="1" t="n">
        <x:f t="shared" si="67">C39+1</x:f>
        <x:v>4</x:v>
      </x:c>
      <x:c r="D54" s="1" t="n">
        <x:f t="shared" si="68">D39</x:f>
        <x:v>4</x:v>
      </x:c>
      <x:c r="E54" s="1" t="n">
        <x:f t="shared" si="0">IF($B54&lt;E$8,0,E$3+(E$4-E$3)*(POWER(E$5,$B54-E$8)-1)/(POWER(E$5,$C$5-E$8)-1))</x:f>
        <x:v>1</x:v>
      </x:c>
      <x:c r="F54" s="10" t="n">
        <x:f t="shared" si="1">1+IF(B54&lt;3,0,MIN(1,(B54-2)/4))+IF(B54&lt;7,0,MIN(1,(B54-6)/3))+IF(B54&lt;10,0,MIN(1,(B54-9)/5))+IF(B54&lt;20,0,MIN(1,(B54-19)/10))</x:f>
        <x:v>5</x:v>
      </x:c>
      <x:c r="G54" s="11" t="n">
        <x:f t="shared" ref="G54:L54" si="72">'玩家战力_节点'!G54</x:f>
        <x:v>0.3877879299891106</x:v>
      </x:c>
      <x:c r="H54" s="11" t="n">
        <x:f t="shared" si="72">'玩家战力_节点'!H54</x:f>
        <x:v>0.2641700112412478</x:v>
      </x:c>
      <x:c r="I54" s="11" t="n">
        <x:f t="shared" si="72">'玩家战力_节点'!I54</x:f>
        <x:v>0</x:v>
      </x:c>
      <x:c r="J54" s="11" t="n">
        <x:f t="shared" si="72">'玩家战力_节点'!J54</x:f>
        <x:v>0.07152337154931344</x:v>
      </x:c>
      <x:c r="K54" s="11" t="n">
        <x:f t="shared" si="72">'玩家战力_节点'!K54</x:f>
        <x:v>0</x:v>
      </x:c>
      <x:c r="L54" s="11" t="n">
        <x:f t="shared" si="72">'玩家战力_节点'!L54</x:f>
        <x:v>0.2034520457979487</x:v>
      </x:c>
      <x:c r="M54" s="2" t="n">
        <x:f>E54*'模块规划'!$F$10+G54*'模块规划'!$F$11+H54*'模块规划'!$F$13</x:f>
        <x:v>2861.382063947731</x:v>
      </x:c>
      <x:c r="N54" s="2" t="n">
        <x:f>I54*'模块规划'!$F$15+J54*'模块规划'!$F$17+K54*'模块规划'!$F$16+L54*'模块规划'!$F$18</x:f>
        <x:v>1732.4939444828779</x:v>
      </x:c>
      <x:c r="O54" s="2" t="n">
        <x:f t="shared" si="3">1+O$9*SUMPRODUCT($H$10:$L$10,H54:L54)/SUM($H$10:$L$10)</x:f>
        <x:v>1.3540486585035825</x:v>
      </x:c>
      <x:c r="P54" s="12" t="n">
        <x:f t="shared" si="4">M54*O54+N54</x:f>
        <x:v>5606.944489637515</x:v>
      </x:c>
      <x:c r="Q54" s="7" t="n">
        <x:f>P54/(P54+'_曲线基线'!$L$2)</x:f>
        <x:v>0.18937936981642792</x:v>
      </x:c>
      <x:c r="R54" s="2" t="n">
        <x:f>E54*'模块规划'!$E$10+G54*'模块规划'!$E$11+H54*'模块规划'!$E$13</x:f>
        <x:v>4292.073095921596</x:v>
      </x:c>
      <x:c r="S54" s="2" t="n">
        <x:f>I54*'模块规划'!$E$15+J54*'模块规划'!$E$17+K54*'模块规划'!$E$16+L54*'模块规划'!$E$18</x:f>
        <x:v>2598.740916724317</x:v>
      </x:c>
      <x:c r="T54" s="2" t="n">
        <x:f t="shared" si="5">1+T$9*SUMPRODUCT($H$10:$L$10,H54:L54)/SUM($H$10:$L$10)</x:f>
        <x:v>1.3540486585035825</x:v>
      </x:c>
      <x:c r="U54" s="12" t="n">
        <x:f t="shared" si="6">R54*T54+S54</x:f>
        <x:v>8410.416734456272</x:v>
      </x:c>
      <x:c r="V54" s="2" t="n">
        <x:f t="shared" si="7">V$8+(V$9-V$8)*H54</x:f>
        <x:v>0.7792510033723743</x:v>
      </x:c>
      <x:c r="W54" s="2" t="n">
        <x:f t="shared" si="8">IF(B54&lt;$H$8,0,W$8+(W$9-W$8)*H54)</x:f>
        <x:v>0.10566800449649912</x:v>
      </x:c>
      <x:c r="X54" s="2" t="n">
        <x:f t="shared" si="9">X$8+(X$9-X$8)*H54</x:f>
        <x:v>0.3476467530913432</x:v>
      </x:c>
      <x:c r="Y54" s="2" t="n">
        <x:f t="shared" si="10">Y$8+(Y$9-Y$8)*G54</x:f>
        <x:v>1</x:v>
      </x:c>
      <x:c r="Z54" s="2" t="n">
        <x:f t="shared" si="11">Z$8+(Z$9-Z$8)*H54</x:f>
        <x:v>1</x:v>
      </x:c>
      <x:c r="AA54" s="2" t="n">
        <x:f t="shared" si="12">AA$8+(AA$9-AA$8)*I54</x:f>
        <x:v>1</x:v>
      </x:c>
      <x:c r="AB54" s="2" t="n">
        <x:f t="shared" si="13">AB$8+(AB$9-AB$8)*J54</x:f>
        <x:v>1</x:v>
      </x:c>
      <x:c r="AC54" s="2" t="n">
        <x:f t="shared" si="14">AC$8+(AC$9-AC$8)*MAX(K54,L54)</x:f>
        <x:v>1</x:v>
      </x:c>
      <x:c r="AD54" s="1" t="n">
        <x:f t="shared" si="15">(V54*AE54+W54*AF54+X54*AG54)*PRODUCT(Y54:AC54)</x:f>
        <x:v>1.2551198096121272</x:v>
      </x:c>
      <x:c r="AE54" s="2" t="n">
        <x:f t="shared" si="16">1+AE$9*($H$10*H54+$I$10*I54+$J$10*J54+$K$10*K54+$L$10*L54)</x:f>
        <x:v>1</x:v>
      </x:c>
      <x:c r="AF54" s="2" t="n">
        <x:f t="shared" si="17">1+AF$9*($H$10*H54+$I$10*I54+$J$10*J54+$K$10*K54+$L$10*L54)</x:f>
        <x:v>1.0312480192525428</x:v>
      </x:c>
      <x:c r="AG54" s="2" t="n">
        <x:f t="shared" si="18">1+AG$9*($H$10*H54+$I$10*I54+$J$10*J54+$K$10*K54+$L$10*L54)</x:f>
        <x:v>1.055378434119785</x:v>
      </x:c>
      <x:c r="AH54" s="2" t="n">
        <x:f>MIN(1,'_曲线基线'!$L$3+AH$9*($H$10*H54+$I$10*I54+$J$10*J54+$K$10*K54+$L$10*L54))</x:f>
        <x:v>0.1210892437995351</x:v>
      </x:c>
      <x:c r="AI54" s="2" t="n">
        <x:f>'_曲线基线'!$L$4+AI$9*($H$10*H54+$I$10*I54+$J$10*J54+$K$10*K54+$L$10*L54)</x:f>
        <x:v>2.1980343220129908</x:v>
      </x:c>
      <x:c r="AJ54" s="2" t="n">
        <x:f t="shared" si="19">1+AJ$9*($H$10*H54+$I$10*I54+$J$10*J54+$K$10*K54+$L$10*L54)</x:f>
        <x:v>1.162489700113223</x:v>
      </x:c>
      <x:c r="AK54" s="1" t="n">
        <x:f t="shared" si="20">(1+AH54*(AI54-1))*AJ54</x:f>
        <x:v>1.3311309999076648</x:v>
      </x:c>
      <x:c r="AL54" s="1" t="n">
        <x:f t="shared" si="21">U54*AD54*AK54*F54</x:f>
        <x:v>70257.63095709268</x:v>
      </x:c>
      <x:c r="AM54" s="13" t="n">
        <x:f t="shared" si="22">IF($B54&lt;AM$8,0,AM$3+(AM$4-AM$3)*(POWER(AM$5,$B54-AM$8)-1)/(POWER(AM$5,$C$5-AM$8)-1))</x:f>
        <x:v>35.69645675305568</x:v>
      </x:c>
      <x:c r="AN54" s="13" t="n">
        <x:f>(((E54*'模块规划'!$D$10+G54*'模块规划'!$D$11+H54*'模块规划'!$D$13)*(1+'模块规划'!$G$14*H54)+(I54*'模块规划'!$D$15+J54*'模块规划'!$D$17+K54*'模块规划'!$D$16+L54*'模块规划'!$D$18))*(1+'模块规划'!$J$17*J54))*F54/(1-Q54)</x:f>
        <x:v>176619.3211419989</x:v>
      </x:c>
      <x:c r="AO54" s="1" t="n">
        <x:f t="shared" si="23">AL54*AM54</x:f>
        <x:v>2507948.485032005</x:v>
      </x:c>
      <x:c r="AP54" s="1" t="n">
        <x:f>IF(AO54="","",INDEX('_曲线基线'!$A$3:$A$502,MIN(ROWS('_曲线基线'!$A$3:$A$502),COUNTIF('_曲线基线'!$E$3:$E$502,"&lt;"&amp;AO54)+1)))</x:f>
        <x:v>83</x:v>
      </x:c>
      <x:c r="AQ54" s="14" t="n">
        <x:f t="shared" si="24">IF(B54&lt;=2,1,IF(B54&lt;=6,2,IF(B54&lt;=9,3,IF(B54&lt;=19,4,5))))</x:f>
        <x:v>5</x:v>
      </x:c>
      <x:c r="AR54" s="10" t="n">
        <x:f t="shared" si="26">AN54*(1-Q54)/F54*$AS$3+U54*$AS$4+P54*$AS$5</x:f>
        <x:v>2541.1109393315855</x:v>
      </x:c>
      <x:c r="AS54" s="15" t="n">
        <x:f t="shared" si="27">1+AH54*$AS$6+AI54*$AS$7+(AJ54-1)*$AS$8+($H$10*H54+$I$10*I54+$J$10*J54+$K$10*K54+$L$10*L54)*$AU$3*$AS$9+($H$10*H54+$I$10*I54+$J$10*J54+$K$10*K54+$L$10*L54)*$AU$4*$AS$10</x:f>
        <x:v>6.848684655901314</x:v>
      </x:c>
      <x:c r="AT54" s="16" t="n">
        <x:f t="shared" si="28">ROUND(AR54*AS54,0)</x:f>
        <x:v>17403</x:v>
      </x:c>
      <x:c r="AU54" s="16" t="n">
        <x:f t="shared" si="29">ROUND(AT54*F54,0)</x:f>
        <x:v>87015</x:v>
      </x:c>
      <x:c r="AV54" t="n">
        <x:f>IF(AU54&gt;0,ROUND(AU54,-MAX(0,INT(LOG10(AU54))-2)),0)</x:f>
        <x:v>87000</x:v>
      </x:c>
    </x:row>
    <x:row r="55" customHeight="1">
      <x:c r="A55" s="1" t="n">
        <x:f>IFERROR(XLOOKUP(B55,'_曲线基线'!$G$3:$G$107,'_曲线基线'!$J$3:$J$107,""),"")</x:f>
        <x:v>23</x:v>
      </x:c>
      <x:c r="B55" s="1" t="n">
        <x:v>44</x:v>
      </x:c>
      <x:c r="C55" s="1" t="n">
        <x:f t="shared" si="67">C40+1</x:f>
        <x:v>4</x:v>
      </x:c>
      <x:c r="D55" s="1" t="n">
        <x:f t="shared" si="68">D40</x:f>
        <x:v>5</x:v>
      </x:c>
      <x:c r="E55" s="1" t="n">
        <x:f t="shared" si="0">IF($B55&lt;E$8,0,E$3+(E$4-E$3)*(POWER(E$5,$B55-E$8)-1)/(POWER(E$5,$C$5-E$8)-1))</x:f>
        <x:v>1</x:v>
      </x:c>
      <x:c r="F55" s="10" t="n">
        <x:f t="shared" si="1">1+IF(B55&lt;3,0,MIN(1,(B55-2)/4))+IF(B55&lt;7,0,MIN(1,(B55-6)/3))+IF(B55&lt;10,0,MIN(1,(B55-9)/5))+IF(B55&lt;20,0,MIN(1,(B55-19)/10))</x:f>
        <x:v>5</x:v>
      </x:c>
      <x:c r="G55" s="11" t="n">
        <x:f t="shared" ref="G55:L55" si="73">'玩家战力_节点'!G55</x:f>
        <x:v>0.3929651967632656</x:v>
      </x:c>
      <x:c r="H55" s="11" t="n">
        <x:f t="shared" si="73">'玩家战力_节点'!H55</x:f>
        <x:v>0.2696595433240612</x:v>
      </x:c>
      <x:c r="I55" s="11" t="n">
        <x:f t="shared" si="73">'玩家战力_节点'!I55</x:f>
        <x:v>0</x:v>
      </x:c>
      <x:c r="J55" s="11" t="n">
        <x:f t="shared" si="73">'玩家战力_节点'!J55</x:f>
        <x:v>0.07861449539908459</x:v>
      </x:c>
      <x:c r="K55" s="11" t="n">
        <x:f t="shared" si="73">'玩家战力_节点'!K55</x:f>
        <x:v>0</x:v>
      </x:c>
      <x:c r="L55" s="11" t="n">
        <x:f t="shared" si="73">'玩家战力_节点'!L55</x:f>
        <x:v>0.21002430692700486</x:v>
      </x:c>
      <x:c r="M55" s="2" t="n">
        <x:f>E55*'模块规划'!$F$10+G55*'模块规划'!$F$11+H55*'模块规划'!$F$13</x:f>
        <x:v>2886.232944463675</x:v>
      </x:c>
      <x:c r="N55" s="2" t="n">
        <x:f>I55*'模块规划'!$F$15+J55*'模块规划'!$F$17+K55*'模块规划'!$F$16+L55*'模块规划'!$F$18</x:f>
        <x:v>1836.2664886258704</x:v>
      </x:c>
      <x:c r="O55" s="2" t="n">
        <x:f t="shared" si="3">1+O$9*SUMPRODUCT($H$10:$L$10,H55:L55)/SUM($H$10:$L$10)</x:f>
        <x:v>1.3733788092552768</x:v>
      </x:c>
      <x:c r="P55" s="12" t="n">
        <x:f t="shared" si="4">M55*O55+N55</x:f>
        <x:v>5800.157653126744</x:v>
      </x:c>
      <x:c r="Q55" s="7" t="n">
        <x:f>P55/(P55+'_曲线基线'!$L$2)</x:f>
        <x:v>0.19463513316407471</x:v>
      </x:c>
      <x:c r="R55" s="2" t="n">
        <x:f>E55*'模块规划'!$E$10+G55*'模块规划'!$E$11+H55*'模块规划'!$E$13</x:f>
        <x:v>4329.3494166955115</x:v>
      </x:c>
      <x:c r="S55" s="2" t="n">
        <x:f>I55*'模块规划'!$E$15+J55*'模块规划'!$E$17+K55*'模块规划'!$E$16+L55*'模块规划'!$E$18</x:f>
        <x:v>2754.3997329388053</x:v>
      </x:c>
      <x:c r="T55" s="2" t="n">
        <x:f t="shared" si="5">1+T$9*SUMPRODUCT($H$10:$L$10,H55:L55)/SUM($H$10:$L$10)</x:f>
        <x:v>1.3733788092552768</x:v>
      </x:c>
      <x:c r="U55" s="12" t="n">
        <x:f t="shared" si="6">R55*T55+S55</x:f>
        <x:v>8700.236479690115</x:v>
      </x:c>
      <x:c r="V55" s="2" t="n">
        <x:f t="shared" si="7">V$8+(V$9-V$8)*H55</x:f>
        <x:v>0.7808978629972183</x:v>
      </x:c>
      <x:c r="W55" s="2" t="n">
        <x:f t="shared" si="8">IF(B55&lt;$H$8,0,W$8+(W$9-W$8)*H55)</x:f>
        <x:v>0.1078638173296245</x:v>
      </x:c>
      <x:c r="X55" s="2" t="n">
        <x:f t="shared" si="9">X$8+(X$9-X$8)*H55</x:f>
        <x:v>0.34915637441411684</x:v>
      </x:c>
      <x:c r="Y55" s="2" t="n">
        <x:f t="shared" si="10">Y$8+(Y$9-Y$8)*G55</x:f>
        <x:v>1</x:v>
      </x:c>
      <x:c r="Z55" s="2" t="n">
        <x:f t="shared" si="11">Z$8+(Z$9-Z$8)*H55</x:f>
        <x:v>1</x:v>
      </x:c>
      <x:c r="AA55" s="2" t="n">
        <x:f t="shared" si="12">AA$8+(AA$9-AA$8)*I55</x:f>
        <x:v>1</x:v>
      </x:c>
      <x:c r="AB55" s="2" t="n">
        <x:f t="shared" si="13">AB$8+(AB$9-AB$8)*J55</x:f>
        <x:v>1</x:v>
      </x:c>
      <x:c r="AC55" s="2" t="n">
        <x:f t="shared" si="14">AC$8+(AC$9-AC$8)*MAX(K55,L55)</x:f>
        <x:v>1</x:v>
      </x:c>
      <x:c r="AD55" s="1" t="n">
        <x:f t="shared" si="15">(V55*AE55+W55*AF55+X55*AG55)*PRODUCT(Y55:AC55)</x:f>
        <x:v>1.2618640225646556</x:v>
      </x:c>
      <x:c r="AE55" s="2" t="n">
        <x:f t="shared" si="16">1+AE$9*($H$10*H55+$I$10*I55+$J$10*J55+$K$10*K55+$L$10*L55)</x:f>
        <x:v>1</x:v>
      </x:c>
      <x:c r="AF55" s="2" t="n">
        <x:f t="shared" si="17">1+AF$9*($H$10*H55+$I$10*I55+$J$10*J55+$K$10*K55+$L$10*L55)</x:f>
        <x:v>1.0329540811407492</x:v>
      </x:c>
      <x:c r="AG55" s="2" t="n">
        <x:f t="shared" si="18">1+AG$9*($H$10*H55+$I$10*I55+$J$10*J55+$K$10*K55+$L$10*L55)</x:f>
        <x:v>1.0584019549105503</x:v>
      </x:c>
      <x:c r="AH55" s="2" t="n">
        <x:f>MIN(1,'_曲线基线'!$L$3+AH$9*($H$10*H55+$I$10*I55+$J$10*J55+$K$10*K55+$L$10*L55))</x:f>
        <x:v>0.12497053459520421</x:v>
      </x:c>
      <x:c r="AI55" s="2" t="n">
        <x:f>'_曲线基线'!$L$4+AI$9*($H$10*H55+$I$10*I55+$J$10*J55+$K$10*K55+$L$10*L55)</x:f>
        <x:v>2.2088464892294977</x:v>
      </x:c>
      <x:c r="AJ55" s="2" t="n">
        <x:f t="shared" si="19">1+AJ$9*($H$10*H55+$I$10*I55+$J$10*J55+$K$10*K55+$L$10*L55)</x:f>
        <x:v>1.1713612219318954</x:v>
      </x:c>
      <x:c r="AK55" s="1" t="n">
        <x:f t="shared" si="20">(1+AH55*(AI55-1))*AJ55</x:f>
        <x:v>1.348318986633484</x:v>
      </x:c>
      <x:c r="AL55" s="1" t="n">
        <x:f t="shared" si="21">U55*AD55*AK55*F55</x:f>
        <x:v>74012.70380462497</x:v>
      </x:c>
      <x:c r="AM55" s="13" t="n">
        <x:f t="shared" si="22">IF($B55&lt;AM$8,0,AM$3+(AM$4-AM$3)*(POWER(AM$5,$B55-AM$8)-1)/(POWER(AM$5,$C$5-AM$8)-1))</x:f>
        <x:v>35.7168459605081</x:v>
      </x:c>
      <x:c r="AN55" s="13" t="n">
        <x:f>(((E55*'模块规划'!$D$10+G55*'模块规划'!$D$11+H55*'模块规划'!$D$13)*(1+'模块规划'!$G$14*H55)+(I55*'模块规划'!$D$15+J55*'模块规划'!$D$17+K55*'模块规划'!$D$16+L55*'模块规划'!$D$18))*(1+'模块规划'!$J$17*J55))*F55/(1-Q55)</x:f>
        <x:v>184219.56115684114</x:v>
      </x:c>
      <x:c r="AO55" s="1" t="n">
        <x:f t="shared" si="23">AL55*AM55</x:f>
        <x:v>2643500.340910502</x:v>
      </x:c>
      <x:c r="AP55" s="1" t="n">
        <x:f>IF(AO55="","",INDEX('_曲线基线'!$A$3:$A$502,MIN(ROWS('_曲线基线'!$A$3:$A$502),COUNTIF('_曲线基线'!$E$3:$E$502,"&lt;"&amp;AO55)+1)))</x:f>
        <x:v>85</x:v>
      </x:c>
      <x:c r="AQ55" s="14" t="n">
        <x:f t="shared" si="24">IF(B55&lt;=2,1,IF(B55&lt;=6,2,IF(B55&lt;=9,3,IF(B55&lt;=19,4,5))))</x:f>
        <x:v>5</x:v>
      </x:c>
      <x:c r="AR55" s="10" t="n">
        <x:f t="shared" si="26">AN55*(1-Q55)/F55*$AS$3+U55*$AS$4+P55*$AS$5</x:f>
        <x:v>2630.2310699759346</x:v>
      </x:c>
      <x:c r="AS55" s="15" t="n">
        <x:f t="shared" si="27">1+AH55*$AS$6+AI55*$AS$7+(AJ55-1)*$AS$8+($H$10*H55+$I$10*I55+$J$10*J55+$K$10*K55+$L$10*L55)*$AU$3*$AS$9+($H$10*H55+$I$10*I55+$J$10*J55+$K$10*K55+$L$10*L55)*$AU$4*$AS$10</x:f>
        <x:v>6.950623792234456</x:v>
      </x:c>
      <x:c r="AT55" s="16" t="n">
        <x:f t="shared" si="28">ROUND(AR55*AS55,0)</x:f>
        <x:v>18282</x:v>
      </x:c>
      <x:c r="AU55" s="16" t="n">
        <x:f t="shared" si="29">ROUND(AT55*F55,0)</x:f>
        <x:v>91410</x:v>
      </x:c>
      <x:c r="AV55" t="n">
        <x:f>IF(AU55&gt;0,ROUND(AU55,-MAX(0,INT(LOG10(AU55))-2)),0)</x:f>
        <x:v>91400</x:v>
      </x:c>
    </x:row>
    <x:row r="56" customHeight="1">
      <x:c r="A56" s="1" t="n">
        <x:f>IFERROR(XLOOKUP(B56,'_曲线基线'!$G$3:$G$107,'_曲线基线'!$J$3:$J$107,""),"")</x:f>
        <x:v>24</x:v>
      </x:c>
      <x:c r="B56" s="1" t="n">
        <x:v>45</x:v>
      </x:c>
      <x:c r="C56" s="1" t="n">
        <x:f t="shared" si="67">C41+1</x:f>
        <x:v>4</x:v>
      </x:c>
      <x:c r="D56" s="1" t="n">
        <x:f t="shared" si="68">D41</x:f>
        <x:v>6</x:v>
      </x:c>
      <x:c r="E56" s="1" t="n">
        <x:f t="shared" si="0">IF($B56&lt;E$8,0,E$3+(E$4-E$3)*(POWER(E$5,$B56-E$8)-1)/(POWER(E$5,$C$5-E$8)-1))</x:f>
        <x:v>1</x:v>
      </x:c>
      <x:c r="F56" s="10" t="n">
        <x:f t="shared" si="1">1+IF(B56&lt;3,0,MIN(1,(B56-2)/4))+IF(B56&lt;7,0,MIN(1,(B56-6)/3))+IF(B56&lt;10,0,MIN(1,(B56-9)/5))+IF(B56&lt;20,0,MIN(1,(B56-19)/10))</x:f>
        <x:v>5</x:v>
      </x:c>
      <x:c r="G56" s="11" t="n">
        <x:f t="shared" ref="G56:L56" si="74">'玩家战力_节点'!G56</x:f>
        <x:v>0.39814246353742067</x:v>
      </x:c>
      <x:c r="H56" s="11" t="n">
        <x:f t="shared" si="74">'玩家战力_节点'!H56</x:f>
        <x:v>0.2751490754068747</x:v>
      </x:c>
      <x:c r="I56" s="11" t="n">
        <x:f t="shared" si="74">'玩家战力_节点'!I56</x:f>
        <x:v>0</x:v>
      </x:c>
      <x:c r="J56" s="11" t="n">
        <x:f t="shared" si="74">'玩家战力_节点'!J56</x:f>
        <x:v>0.08570561924885574</x:v>
      </x:c>
      <x:c r="K56" s="11" t="n">
        <x:f t="shared" si="74">'玩家战力_节点'!K56</x:f>
        <x:v>0</x:v>
      </x:c>
      <x:c r="L56" s="11" t="n">
        <x:f t="shared" si="74">'玩家战力_节点'!L56</x:f>
        <x:v>0.21659656805606095</x:v>
      </x:c>
      <x:c r="M56" s="2" t="n">
        <x:f>E56*'模块规划'!$F$10+G56*'模块规划'!$F$11+H56*'模块规划'!$F$13</x:f>
        <x:v>2911.0838249796193</x:v>
      </x:c>
      <x:c r="N56" s="2" t="n">
        <x:f>I56*'模块规划'!$F$15+J56*'模块规划'!$F$17+K56*'模块规划'!$F$16+L56*'模块规划'!$F$18</x:f>
        <x:v>1940.0390327688622</x:v>
      </x:c>
      <x:c r="O56" s="2" t="n">
        <x:f t="shared" si="3">1+O$9*SUMPRODUCT($H$10:$L$10,H56:L56)/SUM($H$10:$L$10)</x:f>
        <x:v>1.3927089600069709</x:v>
      </x:c>
      <x:c r="P56" s="12" t="n">
        <x:f t="shared" si="4">M56*O56+N56</x:f>
        <x:v>5994.331559149343</x:v>
      </x:c>
      <x:c r="Q56" s="7" t="n">
        <x:f>P56/(P56+'_曲线基线'!$L$2)</x:f>
        <x:v>0.1998488130108323</x:v>
      </x:c>
      <x:c r="R56" s="2" t="n">
        <x:f>E56*'模块规划'!$E$10+G56*'模块规划'!$E$11+H56*'模块规划'!$E$13</x:f>
        <x:v>4366.625737469429</x:v>
      </x:c>
      <x:c r="S56" s="2" t="n">
        <x:f>I56*'模块规划'!$E$15+J56*'模块规划'!$E$17+K56*'模块规划'!$E$16+L56*'模块规划'!$E$18</x:f>
        <x:v>2910.058549153293</x:v>
      </x:c>
      <x:c r="T56" s="2" t="n">
        <x:f t="shared" si="5">1+T$9*SUMPRODUCT($H$10:$L$10,H56:L56)/SUM($H$10:$L$10)</x:f>
        <x:v>1.3927089600069709</x:v>
      </x:c>
      <x:c r="U56" s="12" t="n">
        <x:f t="shared" si="6">R56*T56+S56</x:f>
        <x:v>8991.497338724013</x:v>
      </x:c>
      <x:c r="V56" s="2" t="n">
        <x:f t="shared" si="7">V$8+(V$9-V$8)*H56</x:f>
        <x:v>0.7825447226220624</x:v>
      </x:c>
      <x:c r="W56" s="2" t="n">
        <x:f t="shared" si="8">IF(B56&lt;$H$8,0,W$8+(W$9-W$8)*H56)</x:f>
        <x:v>0.11005963016274989</x:v>
      </x:c>
      <x:c r="X56" s="2" t="n">
        <x:f t="shared" si="9">X$8+(X$9-X$8)*H56</x:f>
        <x:v>0.35066599573689056</x:v>
      </x:c>
      <x:c r="Y56" s="2" t="n">
        <x:f t="shared" si="10">Y$8+(Y$9-Y$8)*G56</x:f>
        <x:v>1</x:v>
      </x:c>
      <x:c r="Z56" s="2" t="n">
        <x:f t="shared" si="11">Z$8+(Z$9-Z$8)*H56</x:f>
        <x:v>1</x:v>
      </x:c>
      <x:c r="AA56" s="2" t="n">
        <x:f t="shared" si="12">AA$8+(AA$9-AA$8)*I56</x:f>
        <x:v>1</x:v>
      </x:c>
      <x:c r="AB56" s="2" t="n">
        <x:f t="shared" si="13">AB$8+(AB$9-AB$8)*J56</x:f>
        <x:v>1</x:v>
      </x:c>
      <x:c r="AC56" s="2" t="n">
        <x:f t="shared" si="14">AC$8+(AC$9-AC$8)*MAX(K56,L56)</x:f>
        <x:v>1</x:v>
      </x:c>
      <x:c r="AD56" s="1" t="n">
        <x:f t="shared" si="15">(V56*AE56+W56*AF56+X56*AG56)*PRODUCT(Y56:AC56)</x:f>
        <x:v>1.2686248566452718</x:v>
      </x:c>
      <x:c r="AE56" s="2" t="n">
        <x:f t="shared" si="16">1+AE$9*($H$10*H56+$I$10*I56+$J$10*J56+$K$10*K56+$L$10*L56)</x:f>
        <x:v>1</x:v>
      </x:c>
      <x:c r="AF56" s="2" t="n">
        <x:f t="shared" si="17">1+AF$9*($H$10*H56+$I$10*I56+$J$10*J56+$K$10*K56+$L$10*L56)</x:f>
        <x:v>1.0346601430289553</x:v>
      </x:c>
      <x:c r="AG56" s="2" t="n">
        <x:f t="shared" si="18">1+AG$9*($H$10*H56+$I$10*I56+$J$10*J56+$K$10*K56+$L$10*L56)</x:f>
        <x:v>1.0614254757013157</x:v>
      </x:c>
      <x:c r="AH56" s="2" t="n">
        <x:f>MIN(1,'_曲线基线'!$L$3+AH$9*($H$10*H56+$I$10*I56+$J$10*J56+$K$10*K56+$L$10*L56))</x:f>
        <x:v>0.1288518253908733</x:v>
      </x:c>
      <x:c r="AI56" s="2" t="n">
        <x:f>'_曲线基线'!$L$4+AI$9*($H$10*H56+$I$10*I56+$J$10*J56+$K$10*K56+$L$10*L56)</x:f>
        <x:v>2.219658656446004</x:v>
      </x:c>
      <x:c r="AJ56" s="2" t="n">
        <x:f t="shared" si="19">1+AJ$9*($H$10*H56+$I$10*I56+$J$10*J56+$K$10*K56+$L$10*L56)</x:f>
        <x:v>1.1802327437505675</x:v>
      </x:c>
      <x:c r="AK56" s="1" t="n">
        <x:f t="shared" si="20">(1+AH56*(AI56-1))*AJ56</x:f>
        <x:v>1.3657125088510127</x:v>
      </x:c>
      <x:c r="AL56" s="1" t="n">
        <x:f t="shared" si="21">U56*AD56*AK56*F56</x:f>
        <x:v>77892.30003934425</x:v>
      </x:c>
      <x:c r="AM56" s="13" t="n">
        <x:f t="shared" si="22">IF($B56&lt;AM$8,0,AM$3+(AM$4-AM$3)*(POWER(AM$5,$B56-AM$8)-1)/(POWER(AM$5,$C$5-AM$8)-1))</x:f>
        <x:v>35.73743906003505</x:v>
      </x:c>
      <x:c r="AN56" s="13" t="n">
        <x:f>(((E56*'模块规划'!$D$10+G56*'模块规划'!$D$11+H56*'模块规划'!$D$13)*(1+'模块规划'!$G$14*H56)+(I56*'模块规划'!$D$15+J56*'模块规划'!$D$17+K56*'模块规划'!$D$16+L56*'模块规划'!$D$18))*(1+'模块规划'!$J$17*J56))*F56/(1-Q56)</x:f>
        <x:v>191997.13496800308</x:v>
      </x:c>
      <x:c r="AO56" s="1" t="n">
        <x:f t="shared" si="23">AL56*AM56</x:f>
        <x:v>2783671.325902031</x:v>
      </x:c>
      <x:c r="AP56" s="1" t="n">
        <x:f>IF(AO56="","",INDEX('_曲线基线'!$A$3:$A$502,MIN(ROWS('_曲线基线'!$A$3:$A$502),COUNTIF('_曲线基线'!$E$3:$E$502,"&lt;"&amp;AO56)+1)))</x:f>
        <x:v>87</x:v>
      </x:c>
      <x:c r="AQ56" s="14" t="n">
        <x:f t="shared" si="24">IF(B56&lt;=2,1,IF(B56&lt;=6,2,IF(B56&lt;=9,3,IF(B56&lt;=19,4,5))))</x:f>
        <x:v>5</x:v>
      </x:c>
      <x:c r="AR56" s="10" t="n">
        <x:f t="shared" si="26">AN56*(1-Q56)/F56*$AS$3+U56*$AS$4+P56*$AS$5</x:f>
        <x:v>2720.0598804038054</x:v>
      </x:c>
      <x:c r="AS56" s="15" t="n">
        <x:f t="shared" si="27">1+AH56*$AS$6+AI56*$AS$7+(AJ56-1)*$AS$8+($H$10*H56+$I$10*I56+$J$10*J56+$K$10*K56+$L$10*L56)*$AU$3*$AS$9+($H$10*H56+$I$10*I56+$J$10*J56+$K$10*K56+$L$10*L56)*$AU$4*$AS$10</x:f>
        <x:v>7.052562928567596</x:v>
      </x:c>
      <x:c r="AT56" s="16" t="n">
        <x:f t="shared" si="28">ROUND(AR56*AS56,0)</x:f>
        <x:v>19183</x:v>
      </x:c>
      <x:c r="AU56" s="16" t="n">
        <x:f t="shared" si="29">ROUND(AT56*F56,0)</x:f>
        <x:v>95915</x:v>
      </x:c>
      <x:c r="AV56" t="n">
        <x:f>IF(AU56&gt;0,ROUND(AU56,-MAX(0,INT(LOG10(AU56))-2)),0)</x:f>
        <x:v>95900</x:v>
      </x:c>
    </x:row>
    <x:row r="57" customHeight="1">
      <x:c r="A57" s="1" t="n">
        <x:f>IFERROR(XLOOKUP(B57,'_曲线基线'!$G$3:$G$107,'_曲线基线'!$J$3:$J$107,""),"")</x:f>
        <x:v>24</x:v>
      </x:c>
      <x:c r="B57" s="1" t="n">
        <x:v>46</x:v>
      </x:c>
      <x:c r="C57" s="1" t="n">
        <x:f t="shared" si="67">C42+1</x:f>
        <x:v>4</x:v>
      </x:c>
      <x:c r="D57" s="1" t="n">
        <x:f t="shared" si="68">D42</x:f>
        <x:v>7</x:v>
      </x:c>
      <x:c r="E57" s="1" t="n">
        <x:f t="shared" si="0">IF($B57&lt;E$8,0,E$3+(E$4-E$3)*(POWER(E$5,$B57-E$8)-1)/(POWER(E$5,$C$5-E$8)-1))</x:f>
        <x:v>1</x:v>
      </x:c>
      <x:c r="F57" s="10" t="n">
        <x:f t="shared" si="1">1+IF(B57&lt;3,0,MIN(1,(B57-2)/4))+IF(B57&lt;7,0,MIN(1,(B57-6)/3))+IF(B57&lt;10,0,MIN(1,(B57-9)/5))+IF(B57&lt;20,0,MIN(1,(B57-19)/10))</x:f>
        <x:v>5</x:v>
      </x:c>
      <x:c r="G57" s="11" t="n">
        <x:f t="shared" ref="G57:L57" si="75">'玩家战力_节点'!G57</x:f>
        <x:v>0.4033197303115757</x:v>
      </x:c>
      <x:c r="H57" s="11" t="n">
        <x:f t="shared" si="75">'玩家战力_节点'!H57</x:f>
        <x:v>0.2806386074896882</x:v>
      </x:c>
      <x:c r="I57" s="11" t="n">
        <x:f t="shared" si="75">'玩家战力_节点'!I57</x:f>
        <x:v>0</x:v>
      </x:c>
      <x:c r="J57" s="11" t="n">
        <x:f t="shared" si="75">'玩家战力_节点'!J57</x:f>
        <x:v>0.09279674309862689</x:v>
      </x:c>
      <x:c r="K57" s="11" t="n">
        <x:f t="shared" si="75">'玩家战力_节点'!K57</x:f>
        <x:v>0</x:v>
      </x:c>
      <x:c r="L57" s="11" t="n">
        <x:f t="shared" si="75">'玩家战力_节点'!L57</x:f>
        <x:v>0.2231688291851171</x:v>
      </x:c>
      <x:c r="M57" s="2" t="n">
        <x:f>E57*'模块规划'!$F$10+G57*'模块规划'!$F$11+H57*'模块规划'!$F$13</x:f>
        <x:v>2935.9347054955633</x:v>
      </x:c>
      <x:c r="N57" s="2" t="n">
        <x:f>I57*'模块规划'!$F$15+J57*'模块规划'!$F$17+K57*'模块规划'!$F$16+L57*'模块规划'!$F$18</x:f>
        <x:v>2043.8115769118544</x:v>
      </x:c>
      <x:c r="O57" s="2" t="n">
        <x:f t="shared" si="3">1+O$9*SUMPRODUCT($H$10:$L$10,H57:L57)/SUM($H$10:$L$10)</x:f>
        <x:v>1.412039110758665</x:v>
      </x:c>
      <x:c r="P57" s="12" t="n">
        <x:f t="shared" si="4">M57*O57+N57</x:f>
        <x:v>6189.466207705313</x:v>
      </x:c>
      <x:c r="Q57" s="7" t="n">
        <x:f>P57/(P57+'_曲线基线'!$L$2)</x:f>
        <x:v>0.20502072362331347</x:v>
      </x:c>
      <x:c r="R57" s="2" t="n">
        <x:f>E57*'模块规划'!$E$10+G57*'模块规划'!$E$11+H57*'模块规划'!$E$13</x:f>
        <x:v>4403.902058243345</x:v>
      </x:c>
      <x:c r="S57" s="2" t="n">
        <x:f>I57*'模块规划'!$E$15+J57*'模块规划'!$E$17+K57*'模块规划'!$E$16+L57*'模块规划'!$E$18</x:f>
        <x:v>3065.7173653677814</x:v>
      </x:c>
      <x:c r="T57" s="2" t="n">
        <x:f t="shared" si="5">1+T$9*SUMPRODUCT($H$10:$L$10,H57:L57)/SUM($H$10:$L$10)</x:f>
        <x:v>1.412039110758665</x:v>
      </x:c>
      <x:c r="U57" s="12" t="n">
        <x:f t="shared" si="6">R57*T57+S57</x:f>
        <x:v>9284.199311557968</x:v>
      </x:c>
      <x:c r="V57" s="2" t="n">
        <x:f t="shared" si="7">V$8+(V$9-V$8)*H57</x:f>
        <x:v>0.7841915822469064</x:v>
      </x:c>
      <x:c r="W57" s="2" t="n">
        <x:f t="shared" si="8">IF(B57&lt;$H$8,0,W$8+(W$9-W$8)*H57)</x:f>
        <x:v>0.1122554429958753</x:v>
      </x:c>
      <x:c r="X57" s="2" t="n">
        <x:f t="shared" si="9">X$8+(X$9-X$8)*H57</x:f>
        <x:v>0.35217561705966427</x:v>
      </x:c>
      <x:c r="Y57" s="2" t="n">
        <x:f t="shared" si="10">Y$8+(Y$9-Y$8)*G57</x:f>
        <x:v>1</x:v>
      </x:c>
      <x:c r="Z57" s="2" t="n">
        <x:f t="shared" si="11">Z$8+(Z$9-Z$8)*H57</x:f>
        <x:v>1</x:v>
      </x:c>
      <x:c r="AA57" s="2" t="n">
        <x:f t="shared" si="12">AA$8+(AA$9-AA$8)*I57</x:f>
        <x:v>1</x:v>
      </x:c>
      <x:c r="AB57" s="2" t="n">
        <x:f t="shared" si="13">AB$8+(AB$9-AB$8)*J57</x:f>
        <x:v>1</x:v>
      </x:c>
      <x:c r="AC57" s="2" t="n">
        <x:f t="shared" si="14">AC$8+(AC$9-AC$8)*MAX(K57,L57)</x:f>
        <x:v>1</x:v>
      </x:c>
      <x:c r="AD57" s="1" t="n">
        <x:f t="shared" si="15">(V57*AE57+W57*AF57+X57*AG57)*PRODUCT(Y57:AC57)</x:f>
        <x:v>1.2754023118539757</x:v>
      </x:c>
      <x:c r="AE57" s="2" t="n">
        <x:f t="shared" si="16">1+AE$9*($H$10*H57+$I$10*I57+$J$10*J57+$K$10*K57+$L$10*L57)</x:f>
        <x:v>1</x:v>
      </x:c>
      <x:c r="AF57" s="2" t="n">
        <x:f t="shared" si="17">1+AF$9*($H$10*H57+$I$10*I57+$J$10*J57+$K$10*K57+$L$10*L57)</x:f>
        <x:v>1.0363662049171616</x:v>
      </x:c>
      <x:c r="AG57" s="2" t="n">
        <x:f t="shared" si="18">1+AG$9*($H$10*H57+$I$10*I57+$J$10*J57+$K$10*K57+$L$10*L57)</x:f>
        <x:v>1.0644489964920814</x:v>
      </x:c>
      <x:c r="AH57" s="2" t="n">
        <x:f>MIN(1,'_曲线基线'!$L$3+AH$9*($H$10*H57+$I$10*I57+$J$10*J57+$K$10*K57+$L$10*L57))</x:f>
        <x:v>0.13273311618654246</x:v>
      </x:c>
      <x:c r="AI57" s="2" t="n">
        <x:f>'_曲线基线'!$L$4+AI$9*($H$10*H57+$I$10*I57+$J$10*J57+$K$10*K57+$L$10*L57)</x:f>
        <x:v>2.230470823662511</x:v>
      </x:c>
      <x:c r="AJ57" s="2" t="n">
        <x:f t="shared" si="19">1+AJ$9*($H$10*H57+$I$10*I57+$J$10*J57+$K$10*K57+$L$10*L57)</x:f>
        <x:v>1.1891042655692399</x:v>
      </x:c>
      <x:c r="AK57" s="1" t="n">
        <x:f t="shared" si="20">(1+AH57*(AI57-1))*AJ57</x:f>
        <x:v>1.3833138003295191</x:v>
      </x:c>
      <x:c r="AL57" s="1" t="n">
        <x:f t="shared" si="21">U57*AD57*AK57*F57</x:f>
        <x:v>81899.71096070373</x:v>
      </x:c>
      <x:c r="AM57" s="13" t="n">
        <x:f t="shared" si="22">IF($B57&lt;AM$8,0,AM$3+(AM$4-AM$3)*(POWER(AM$5,$B57-AM$8)-1)/(POWER(AM$5,$C$5-AM$8)-1))</x:f>
        <x:v>35.75823809055727</x:v>
      </x:c>
      <x:c r="AN57" s="13" t="n">
        <x:f>(((E57*'模块规划'!$D$10+G57*'模块规划'!$D$11+H57*'模块规划'!$D$13)*(1+'模块规划'!$G$14*H57)+(I57*'模块规划'!$D$15+J57*'模块规划'!$D$17+K57*'模块规划'!$D$16+L57*'模块规划'!$D$18))*(1+'模块规划'!$J$17*J57))*F57/(1-Q57)</x:f>
        <x:v>199954.57259659437</x:v>
      </x:c>
      <x:c r="AO57" s="1" t="n">
        <x:f t="shared" si="23">AL57*AM57</x:f>
        <x:v>2928589.364080667</x:v>
      </x:c>
      <x:c r="AP57" s="1" t="n">
        <x:f>IF(AO57="","",INDEX('_曲线基线'!$A$3:$A$502,MIN(ROWS('_曲线基线'!$A$3:$A$502),COUNTIF('_曲线基线'!$E$3:$E$502,"&lt;"&amp;AO57)+1)))</x:f>
        <x:v>89</x:v>
      </x:c>
      <x:c r="AQ57" s="14" t="n">
        <x:f t="shared" si="24">IF(B57&lt;=2,1,IF(B57&lt;=6,2,IF(B57&lt;=9,3,IF(B57&lt;=19,4,5))))</x:f>
        <x:v>5</x:v>
      </x:c>
      <x:c r="AR57" s="10" t="n">
        <x:f t="shared" si="26">AN57*(1-Q57)/F57*$AS$3+U57*$AS$4+P57*$AS$5</x:f>
        <x:v>2810.598310897895</x:v>
      </x:c>
      <x:c r="AS57" s="15" t="n">
        <x:f t="shared" si="27">1+AH57*$AS$6+AI57*$AS$7+(AJ57-1)*$AS$8+($H$10*H57+$I$10*I57+$J$10*J57+$K$10*K57+$L$10*L57)*$AU$3*$AS$9+($H$10*H57+$I$10*I57+$J$10*J57+$K$10*K57+$L$10*L57)*$AU$4*$AS$10</x:f>
        <x:v>7.154502064900738</x:v>
      </x:c>
      <x:c r="AT57" s="16" t="n">
        <x:f t="shared" si="28">ROUND(AR57*AS57,0)</x:f>
        <x:v>20108</x:v>
      </x:c>
      <x:c r="AU57" s="16" t="n">
        <x:f t="shared" si="29">ROUND(AT57*F57,0)</x:f>
        <x:v>100540</x:v>
      </x:c>
      <x:c r="AV57" t="n">
        <x:f>IF(AU57&gt;0,ROUND(AU57,-MAX(0,INT(LOG10(AU57))-2)),0)</x:f>
        <x:v>101000</x:v>
      </x:c>
    </x:row>
    <x:row r="58" customHeight="1">
      <x:c r="A58" s="1" t="n">
        <x:f>IFERROR(XLOOKUP(B58,'_曲线基线'!$G$3:$G$107,'_曲线基线'!$J$3:$J$107,""),"")</x:f>
        <x:v>24</x:v>
      </x:c>
      <x:c r="B58" s="1" t="n">
        <x:v>47</x:v>
      </x:c>
      <x:c r="C58" s="1" t="n">
        <x:f t="shared" si="67">C43+1</x:f>
        <x:v>4</x:v>
      </x:c>
      <x:c r="D58" s="1" t="n">
        <x:f t="shared" si="68">D43</x:f>
        <x:v>8</x:v>
      </x:c>
      <x:c r="E58" s="1" t="n">
        <x:f t="shared" si="0">IF($B58&lt;E$8,0,E$3+(E$4-E$3)*(POWER(E$5,$B58-E$8)-1)/(POWER(E$5,$C$5-E$8)-1))</x:f>
        <x:v>1</x:v>
      </x:c>
      <x:c r="F58" s="10" t="n">
        <x:f t="shared" si="1">1+IF(B58&lt;3,0,MIN(1,(B58-2)/4))+IF(B58&lt;7,0,MIN(1,(B58-6)/3))+IF(B58&lt;10,0,MIN(1,(B58-9)/5))+IF(B58&lt;20,0,MIN(1,(B58-19)/10))</x:f>
        <x:v>5</x:v>
      </x:c>
      <x:c r="G58" s="11" t="n">
        <x:f t="shared" ref="G58:L58" si="76">'玩家战力_节点'!G58</x:f>
        <x:v>0.4084969970857308</x:v>
      </x:c>
      <x:c r="H58" s="11" t="n">
        <x:f t="shared" si="76">'玩家战力_节点'!H58</x:f>
        <x:v>0.2861281395725017</x:v>
      </x:c>
      <x:c r="I58" s="11" t="n">
        <x:f t="shared" si="76">'玩家战力_节点'!I58</x:f>
        <x:v>0</x:v>
      </x:c>
      <x:c r="J58" s="11" t="n">
        <x:f t="shared" si="76">'玩家战力_节点'!J58</x:f>
        <x:v>0.09988786694839803</x:v>
      </x:c>
      <x:c r="K58" s="11" t="n">
        <x:f t="shared" si="76">'玩家战力_节点'!K58</x:f>
        <x:v>0</x:v>
      </x:c>
      <x:c r="L58" s="11" t="n">
        <x:f t="shared" si="76">'玩家战力_节点'!L58</x:f>
        <x:v>0.2297410903141732</x:v>
      </x:c>
      <x:c r="M58" s="2" t="n">
        <x:f>E58*'模块规划'!$F$10+G58*'模块规划'!$F$11+H58*'模块规划'!$F$13</x:f>
        <x:v>2960.785586011508</x:v>
      </x:c>
      <x:c r="N58" s="2" t="n">
        <x:f>I58*'模块规划'!$F$15+J58*'模块规划'!$F$17+K58*'模块规划'!$F$16+L58*'模块规划'!$F$18</x:f>
        <x:v>2147.584121054846</x:v>
      </x:c>
      <x:c r="O58" s="2" t="n">
        <x:f t="shared" si="3">1+O$9*SUMPRODUCT($H$10:$L$10,H58:L58)/SUM($H$10:$L$10)</x:f>
        <x:v>1.4313692615103593</x:v>
      </x:c>
      <x:c r="P58" s="12" t="n">
        <x:f t="shared" si="4">M58*O58+N58</x:f>
        <x:v>6385.561598794654</x:v>
      </x:c>
      <x:c r="Q58" s="7" t="n">
        <x:f>P58/(P58+'_曲线基线'!$L$2)</x:f>
        <x:v>0.21015117913923825</x:v>
      </x:c>
      <x:c r="R58" s="2" t="n">
        <x:f>E58*'模块规划'!$E$10+G58*'模块规划'!$E$11+H58*'模块规划'!$E$13</x:f>
        <x:v>4441.178379017261</x:v>
      </x:c>
      <x:c r="S58" s="2" t="n">
        <x:f>I58*'模块规划'!$E$15+J58*'模块规划'!$E$17+K58*'模块规划'!$E$16+L58*'模块规划'!$E$18</x:f>
        <x:v>3221.3761815822695</x:v>
      </x:c>
      <x:c r="T58" s="2" t="n">
        <x:f t="shared" si="5">1+T$9*SUMPRODUCT($H$10:$L$10,H58:L58)/SUM($H$10:$L$10)</x:f>
        <x:v>1.4313692615103593</x:v>
      </x:c>
      <x:c r="U58" s="12" t="n">
        <x:f t="shared" si="6">R58*T58+S58</x:f>
        <x:v>9578.34239819198</x:v>
      </x:c>
      <x:c r="V58" s="2" t="n">
        <x:f t="shared" si="7">V$8+(V$9-V$8)*H58</x:f>
        <x:v>0.7858384418717504</x:v>
      </x:c>
      <x:c r="W58" s="2" t="n">
        <x:f t="shared" si="8">IF(B58&lt;$H$8,0,W$8+(W$9-W$8)*H58)</x:f>
        <x:v>0.11445125582900069</x:v>
      </x:c>
      <x:c r="X58" s="2" t="n">
        <x:f t="shared" si="9">X$8+(X$9-X$8)*H58</x:f>
        <x:v>0.353685238382438</x:v>
      </x:c>
      <x:c r="Y58" s="2" t="n">
        <x:f t="shared" si="10">Y$8+(Y$9-Y$8)*G58</x:f>
        <x:v>1</x:v>
      </x:c>
      <x:c r="Z58" s="2" t="n">
        <x:f t="shared" si="11">Z$8+(Z$9-Z$8)*H58</x:f>
        <x:v>1</x:v>
      </x:c>
      <x:c r="AA58" s="2" t="n">
        <x:f t="shared" si="12">AA$8+(AA$9-AA$8)*I58</x:f>
        <x:v>1</x:v>
      </x:c>
      <x:c r="AB58" s="2" t="n">
        <x:f t="shared" si="13">AB$8+(AB$9-AB$8)*J58</x:f>
        <x:v>1</x:v>
      </x:c>
      <x:c r="AC58" s="2" t="n">
        <x:f t="shared" si="14">AC$8+(AC$9-AC$8)*MAX(K58,L58)</x:f>
        <x:v>1</x:v>
      </x:c>
      <x:c r="AD58" s="1" t="n">
        <x:f t="shared" si="15">(V58*AE58+W58*AF58+X58*AG58)*PRODUCT(Y58:AC58)</x:f>
        <x:v>1.282196388190767</x:v>
      </x:c>
      <x:c r="AE58" s="2" t="n">
        <x:f t="shared" si="16">1+AE$9*($H$10*H58+$I$10*I58+$J$10*J58+$K$10*K58+$L$10*L58)</x:f>
        <x:v>1</x:v>
      </x:c>
      <x:c r="AF58" s="2" t="n">
        <x:f t="shared" si="17">1+AF$9*($H$10*H58+$I$10*I58+$J$10*J58+$K$10*K58+$L$10*L58)</x:f>
        <x:v>1.0380722668053677</x:v>
      </x:c>
      <x:c r="AG58" s="2" t="n">
        <x:f t="shared" si="18">1+AG$9*($H$10*H58+$I$10*I58+$J$10*J58+$K$10*K58+$L$10*L58)</x:f>
        <x:v>1.0674725172828468</x:v>
      </x:c>
      <x:c r="AH58" s="2" t="n">
        <x:f>MIN(1,'_曲线基线'!$L$3+AH$9*($H$10*H58+$I$10*I58+$J$10*J58+$K$10*K58+$L$10*L58))</x:f>
        <x:v>0.13661440698221156</x:v>
      </x:c>
      <x:c r="AI58" s="2" t="n">
        <x:f>'_曲线基线'!$L$4+AI$9*($H$10*H58+$I$10*I58+$J$10*J58+$K$10*K58+$L$10*L58)</x:f>
        <x:v>2.241282990879018</x:v>
      </x:c>
      <x:c r="AJ58" s="2" t="n">
        <x:f t="shared" si="19">1+AJ$9*($H$10*H58+$I$10*I58+$J$10*J58+$K$10*K58+$L$10*L58)</x:f>
        <x:v>1.1979757873879122</x:v>
      </x:c>
      <x:c r="AK58" s="1" t="n">
        <x:f t="shared" si="20">(1+AH58*(AI58-1))*AJ58</x:f>
        <x:v>1.4011250948382694</x:v>
      </x:c>
      <x:c r="AL58" s="1" t="n">
        <x:f t="shared" si="21">U58*AD58*AK58*F58</x:f>
        <x:v>86038.30042106398</x:v>
      </x:c>
      <x:c r="AM58" s="13" t="n">
        <x:f t="shared" si="22">IF($B58&lt;AM$8,0,AM$3+(AM$4-AM$3)*(POWER(AM$5,$B58-AM$8)-1)/(POWER(AM$5,$C$5-AM$8)-1))</x:f>
        <x:v>35.77924511138471</x:v>
      </x:c>
      <x:c r="AN58" s="13" t="n">
        <x:f>(((E58*'模块规划'!$D$10+G58*'模块规划'!$D$11+H58*'模块规划'!$D$13)*(1+'模块规划'!$G$14*H58)+(I58*'模块规划'!$D$15+J58*'模块规划'!$D$17+K58*'模块规划'!$D$16+L58*'模块规划'!$D$18))*(1+'模块规划'!$J$17*J58))*F58/(1-Q58)</x:f>
        <x:v>208094.42601682228</x:v>
      </x:c>
      <x:c r="AO58" s="1" t="n">
        <x:f t="shared" si="23">AL58*AM58</x:f>
        <x:v>3078385.4397322023</x:v>
      </x:c>
      <x:c r="AP58" s="1" t="n">
        <x:f>IF(AO58="","",INDEX('_曲线基线'!$A$3:$A$502,MIN(ROWS('_曲线基线'!$A$3:$A$502),COUNTIF('_曲线基线'!$E$3:$E$502,"&lt;"&amp;AO58)+1)))</x:f>
        <x:v>91</x:v>
      </x:c>
      <x:c r="AQ58" s="14" t="n">
        <x:f t="shared" si="24">IF(B58&lt;=2,1,IF(B58&lt;=6,2,IF(B58&lt;=9,3,IF(B58&lt;=19,4,5))))</x:f>
        <x:v>5</x:v>
      </x:c>
      <x:c r="AR58" s="10" t="n">
        <x:f t="shared" si="26">AN58*(1-Q58)/F58*$AS$3+U58*$AS$4+P58*$AS$5</x:f>
        <x:v>2901.8473017409005</x:v>
      </x:c>
      <x:c r="AS58" s="15" t="n">
        <x:f t="shared" si="27">1+AH58*$AS$6+AI58*$AS$7+(AJ58-1)*$AS$8+($H$10*H58+$I$10*I58+$J$10*J58+$K$10*K58+$L$10*L58)*$AU$3*$AS$9+($H$10*H58+$I$10*I58+$J$10*J58+$K$10*K58+$L$10*L58)*$AU$4*$AS$10</x:f>
        <x:v>7.256441201233879</x:v>
      </x:c>
      <x:c r="AT58" s="16" t="n">
        <x:f t="shared" si="28">ROUND(AR58*AS58,0)</x:f>
        <x:v>21057</x:v>
      </x:c>
      <x:c r="AU58" s="16" t="n">
        <x:f t="shared" si="29">ROUND(AT58*F58,0)</x:f>
        <x:v>105285</x:v>
      </x:c>
      <x:c r="AV58" t="n">
        <x:f>IF(AU58&gt;0,ROUND(AU58,-MAX(0,INT(LOG10(AU58))-2)),0)</x:f>
        <x:v>105000</x:v>
      </x:c>
    </x:row>
    <x:row r="59" customHeight="1">
      <x:c r="A59" s="1" t="n">
        <x:f>IFERROR(XLOOKUP(B59,'_曲线基线'!$G$3:$G$107,'_曲线基线'!$J$3:$J$107,""),"")</x:f>
        <x:v>25</x:v>
      </x:c>
      <x:c r="B59" s="1" t="n">
        <x:v>48</x:v>
      </x:c>
      <x:c r="C59" s="1" t="n">
        <x:f t="shared" si="67">C44+1</x:f>
        <x:v>4</x:v>
      </x:c>
      <x:c r="D59" s="1" t="n">
        <x:f t="shared" si="68">D44</x:f>
        <x:v>9</x:v>
      </x:c>
      <x:c r="E59" s="1" t="n">
        <x:f t="shared" si="0">IF($B59&lt;E$8,0,E$3+(E$4-E$3)*(POWER(E$5,$B59-E$8)-1)/(POWER(E$5,$C$5-E$8)-1))</x:f>
        <x:v>1</x:v>
      </x:c>
      <x:c r="F59" s="10" t="n">
        <x:f t="shared" si="1">1+IF(B59&lt;3,0,MIN(1,(B59-2)/4))+IF(B59&lt;7,0,MIN(1,(B59-6)/3))+IF(B59&lt;10,0,MIN(1,(B59-9)/5))+IF(B59&lt;20,0,MIN(1,(B59-19)/10))</x:f>
        <x:v>5</x:v>
      </x:c>
      <x:c r="G59" s="11" t="n">
        <x:f t="shared" ref="G59:L59" si="77">'玩家战力_节点'!G59</x:f>
        <x:v>0.4136742638598858</x:v>
      </x:c>
      <x:c r="H59" s="11" t="n">
        <x:f t="shared" si="77">'玩家战力_节点'!H59</x:f>
        <x:v>0.2916176716553152</x:v>
      </x:c>
      <x:c r="I59" s="11" t="n">
        <x:f t="shared" si="77">'玩家战力_节点'!I59</x:f>
        <x:v>0</x:v>
      </x:c>
      <x:c r="J59" s="11" t="n">
        <x:f t="shared" si="77">'玩家战力_节点'!J59</x:f>
        <x:v>0.10697899079816921</x:v>
      </x:c>
      <x:c r="K59" s="11" t="n">
        <x:f t="shared" si="77">'玩家战力_节点'!K59</x:f>
        <x:v>0</x:v>
      </x:c>
      <x:c r="L59" s="11" t="n">
        <x:f t="shared" si="77">'玩家战力_节点'!L59</x:f>
        <x:v>0.23631335144322935</x:v>
      </x:c>
      <x:c r="M59" s="2" t="n">
        <x:f>E59*'模块规划'!$F$10+G59*'模块规划'!$F$11+H59*'模块规划'!$F$13</x:f>
        <x:v>2985.636466527452</x:v>
      </x:c>
      <x:c r="N59" s="2" t="n">
        <x:f>I59*'模块规划'!$F$15+J59*'模块规划'!$F$17+K59*'模块规划'!$F$16+L59*'模块规划'!$F$18</x:f>
        <x:v>2251.356665197839</x:v>
      </x:c>
      <x:c r="O59" s="2" t="n">
        <x:f t="shared" si="3">1+O$9*SUMPRODUCT($H$10:$L$10,H59:L59)/SUM($H$10:$L$10)</x:f>
        <x:v>1.4506994122620533</x:v>
      </x:c>
      <x:c r="P59" s="12" t="n">
        <x:f t="shared" si="4">M59*O59+N59</x:f>
        <x:v>6582.617732417367</x:v>
      </x:c>
      <x:c r="Q59" s="7" t="n">
        <x:f>P59/(P59+'_曲线基线'!$L$2)</x:f>
        <x:v>0.21524049347286048</x:v>
      </x:c>
      <x:c r="R59" s="2" t="n">
        <x:f>E59*'模块规划'!$E$10+G59*'模块规划'!$E$11+H59*'模块规划'!$E$13</x:f>
        <x:v>4478.454699791178</x:v>
      </x:c>
      <x:c r="S59" s="2" t="n">
        <x:f>I59*'模块规划'!$E$15+J59*'模块规划'!$E$17+K59*'模块规划'!$E$16+L59*'模块规划'!$E$18</x:f>
        <x:v>3377.034997796758</x:v>
      </x:c>
      <x:c r="T59" s="2" t="n">
        <x:f t="shared" si="5">1+T$9*SUMPRODUCT($H$10:$L$10,H59:L59)/SUM($H$10:$L$10)</x:f>
        <x:v>1.4506994122620533</x:v>
      </x:c>
      <x:c r="U59" s="12" t="n">
        <x:f t="shared" si="6">R59*T59+S59</x:f>
        <x:v>9873.92659862605</x:v>
      </x:c>
      <x:c r="V59" s="2" t="n">
        <x:f t="shared" si="7">V$8+(V$9-V$8)*H59</x:f>
        <x:v>0.7874853014965946</x:v>
      </x:c>
      <x:c r="W59" s="2" t="n">
        <x:f t="shared" si="8">IF(B59&lt;$H$8,0,W$8+(W$9-W$8)*H59)</x:f>
        <x:v>0.1166470686621261</x:v>
      </x:c>
      <x:c r="X59" s="2" t="n">
        <x:f t="shared" si="9">X$8+(X$9-X$8)*H59</x:f>
        <x:v>0.3551948597052117</x:v>
      </x:c>
      <x:c r="Y59" s="2" t="n">
        <x:f t="shared" si="10">Y$8+(Y$9-Y$8)*G59</x:f>
        <x:v>1</x:v>
      </x:c>
      <x:c r="Z59" s="2" t="n">
        <x:f t="shared" si="11">Z$8+(Z$9-Z$8)*H59</x:f>
        <x:v>1</x:v>
      </x:c>
      <x:c r="AA59" s="2" t="n">
        <x:f t="shared" si="12">AA$8+(AA$9-AA$8)*I59</x:f>
        <x:v>1</x:v>
      </x:c>
      <x:c r="AB59" s="2" t="n">
        <x:f t="shared" si="13">AB$8+(AB$9-AB$8)*J59</x:f>
        <x:v>1</x:v>
      </x:c>
      <x:c r="AC59" s="2" t="n">
        <x:f t="shared" si="14">AC$8+(AC$9-AC$8)*MAX(K59,L59)</x:f>
        <x:v>1</x:v>
      </x:c>
      <x:c r="AD59" s="1" t="n">
        <x:f t="shared" si="15">(V59*AE59+W59*AF59+X59*AG59)*PRODUCT(Y59:AC59)</x:f>
        <x:v>1.2890070856556464</x:v>
      </x:c>
      <x:c r="AE59" s="2" t="n">
        <x:f t="shared" si="16">1+AE$9*($H$10*H59+$I$10*I59+$J$10*J59+$K$10*K59+$L$10*L59)</x:f>
        <x:v>1</x:v>
      </x:c>
      <x:c r="AF59" s="2" t="n">
        <x:f t="shared" si="17">1+AF$9*($H$10*H59+$I$10*I59+$J$10*J59+$K$10*K59+$L$10*L59)</x:f>
        <x:v>1.039778328693574</x:v>
      </x:c>
      <x:c r="AG59" s="2" t="n">
        <x:f t="shared" si="18">1+AG$9*($H$10*H59+$I$10*I59+$J$10*J59+$K$10*K59+$L$10*L59)</x:f>
        <x:v>1.0704960380736122</x:v>
      </x:c>
      <x:c r="AH59" s="2" t="n">
        <x:f>MIN(1,'_曲线基线'!$L$3+AH$9*($H$10*H59+$I$10*I59+$J$10*J59+$K$10*K59+$L$10*L59))</x:f>
        <x:v>0.1404956977778807</x:v>
      </x:c>
      <x:c r="AI59" s="2" t="n">
        <x:f>'_曲线基线'!$L$4+AI$9*($H$10*H59+$I$10*I59+$J$10*J59+$K$10*K59+$L$10*L59)</x:f>
        <x:v>2.252095158095525</x:v>
      </x:c>
      <x:c r="AJ59" s="2" t="n">
        <x:f t="shared" si="19">1+AJ$9*($H$10*H59+$I$10*I59+$J$10*J59+$K$10*K59+$L$10*L59)</x:f>
        <x:v>1.2068473092065846</x:v>
      </x:c>
      <x:c r="AK59" s="1" t="n">
        <x:f t="shared" si="20">(1+AH59*(AI59-1))*AJ59</x:f>
        <x:v>1.41914862614653</x:v>
      </x:c>
      <x:c r="AL59" s="1" t="n">
        <x:f t="shared" si="21">U59*AD59*AK59*F59</x:f>
        <x:v>90311.50601224208</x:v>
      </x:c>
      <x:c r="AM59" s="13" t="n">
        <x:f t="shared" si="22">IF($B59&lt;AM$8,0,AM$3+(AM$4-AM$3)*(POWER(AM$5,$B59-AM$8)-1)/(POWER(AM$5,$C$5-AM$8)-1))</x:f>
        <x:v>35.80046220242043</x:v>
      </x:c>
      <x:c r="AN59" s="13" t="n">
        <x:f>(((E59*'模块规划'!$D$10+G59*'模块规划'!$D$11+H59*'模块规划'!$D$13)*(1+'模块规划'!$G$14*H59)+(I59*'模块规划'!$D$15+J59*'模块规划'!$D$17+K59*'模块规划'!$D$16+L59*'模块规划'!$D$18))*(1+'模块规划'!$J$17*J59))*F59/(1-Q59)</x:f>
        <x:v>216419.26921872594</x:v>
      </x:c>
      <x:c r="AO59" s="1" t="n">
        <x:f t="shared" si="23">AL59*AM59</x:f>
        <x:v>3233193.657434938</x:v>
      </x:c>
      <x:c r="AP59" s="1" t="n">
        <x:f>IF(AO59="","",INDEX('_曲线基线'!$A$3:$A$502,MIN(ROWS('_曲线基线'!$A$3:$A$502),COUNTIF('_曲线基线'!$E$3:$E$502,"&lt;"&amp;AO59)+1)))</x:f>
        <x:v>93</x:v>
      </x:c>
      <x:c r="AQ59" s="14" t="n">
        <x:f t="shared" si="24">IF(B59&lt;=2,1,IF(B59&lt;=6,2,IF(B59&lt;=9,3,IF(B59&lt;=19,4,5))))</x:f>
        <x:v>5</x:v>
      </x:c>
      <x:c r="AR59" s="10" t="n">
        <x:f t="shared" si="26">AN59*(1-Q59)/F59*$AS$3+U59*$AS$4+P59*$AS$5</x:f>
        <x:v>2993.8077932155193</x:v>
      </x:c>
      <x:c r="AS59" s="15" t="n">
        <x:f t="shared" si="27">1+AH59*$AS$6+AI59*$AS$7+(AJ59-1)*$AS$8+($H$10*H59+$I$10*I59+$J$10*J59+$K$10*K59+$L$10*L59)*$AU$3*$AS$9+($H$10*H59+$I$10*I59+$J$10*J59+$K$10*K59+$L$10*L59)*$AU$4*$AS$10</x:f>
        <x:v>7.358380337567021</x:v>
      </x:c>
      <x:c r="AT59" s="16" t="n">
        <x:f t="shared" si="28">ROUND(AR59*AS59,0)</x:f>
        <x:v>22030</x:v>
      </x:c>
      <x:c r="AU59" s="16" t="n">
        <x:f t="shared" si="29">ROUND(AT59*F59,0)</x:f>
        <x:v>110150</x:v>
      </x:c>
      <x:c r="AV59" t="n">
        <x:f>IF(AU59&gt;0,ROUND(AU59,-MAX(0,INT(LOG10(AU59))-2)),0)</x:f>
        <x:v>110000</x:v>
      </x:c>
    </x:row>
    <x:row r="60" customHeight="1">
      <x:c r="A60" s="1" t="n">
        <x:f>IFERROR(XLOOKUP(B60,'_曲线基线'!$G$3:$G$107,'_曲线基线'!$J$3:$J$107,""),"")</x:f>
        <x:v>25</x:v>
      </x:c>
      <x:c r="B60" s="1" t="n">
        <x:v>49</x:v>
      </x:c>
      <x:c r="C60" s="1" t="n">
        <x:f t="shared" si="67">C45+1</x:f>
        <x:v>4</x:v>
      </x:c>
      <x:c r="D60" s="1" t="n">
        <x:f t="shared" si="68">D45</x:f>
        <x:v>10</x:v>
      </x:c>
      <x:c r="E60" s="1" t="n">
        <x:f t="shared" si="0">IF($B60&lt;E$8,0,E$3+(E$4-E$3)*(POWER(E$5,$B60-E$8)-1)/(POWER(E$5,$C$5-E$8)-1))</x:f>
        <x:v>1</x:v>
      </x:c>
      <x:c r="F60" s="10" t="n">
        <x:f t="shared" si="1">1+IF(B60&lt;3,0,MIN(1,(B60-2)/4))+IF(B60&lt;7,0,MIN(1,(B60-6)/3))+IF(B60&lt;10,0,MIN(1,(B60-9)/5))+IF(B60&lt;20,0,MIN(1,(B60-19)/10))</x:f>
        <x:v>5</x:v>
      </x:c>
      <x:c r="G60" s="11" t="n">
        <x:f t="shared" ref="G60:L60" si="78">'玩家战力_节点'!G60</x:f>
        <x:v>0.4188515306340409</x:v>
      </x:c>
      <x:c r="H60" s="11" t="n">
        <x:f t="shared" si="78">'玩家战力_节点'!H60</x:f>
        <x:v>0.2971072037381287</x:v>
      </x:c>
      <x:c r="I60" s="11" t="n">
        <x:f t="shared" si="78">'玩家战力_节点'!I60</x:f>
        <x:v>0</x:v>
      </x:c>
      <x:c r="J60" s="11" t="n">
        <x:f t="shared" si="78">'玩家战力_节点'!J60</x:f>
        <x:v>0.11407011464794034</x:v>
      </x:c>
      <x:c r="K60" s="11" t="n">
        <x:f t="shared" si="78">'玩家战力_节点'!K60</x:f>
        <x:v>0</x:v>
      </x:c>
      <x:c r="L60" s="11" t="n">
        <x:f t="shared" si="78">'玩家战力_节点'!L60</x:f>
        <x:v>0.2428856125722855</x:v>
      </x:c>
      <x:c r="M60" s="2" t="n">
        <x:f>E60*'模块规划'!$F$10+G60*'模块规划'!$F$11+H60*'模块规划'!$F$13</x:f>
        <x:v>3010.4873470433963</x:v>
      </x:c>
      <x:c r="N60" s="2" t="n">
        <x:f>I60*'模块规划'!$F$15+J60*'模块规划'!$F$17+K60*'模块规划'!$F$16+L60*'模块规划'!$F$18</x:f>
        <x:v>2355.129209340831</x:v>
      </x:c>
      <x:c r="O60" s="2" t="n">
        <x:f t="shared" si="3">1+O$9*SUMPRODUCT($H$10:$L$10,H60:L60)/SUM($H$10:$L$10)</x:f>
        <x:v>1.4700295630137474</x:v>
      </x:c>
      <x:c r="P60" s="12" t="n">
        <x:f t="shared" si="4">M60*O60+N60</x:f>
        <x:v>6780.63460857345</x:v>
      </x:c>
      <x:c r="Q60" s="7" t="n">
        <x:f>P60/(P60+'_曲线基线'!$L$2)</x:f>
        <x:v>0.22028898022410537</x:v>
      </x:c>
      <x:c r="R60" s="2" t="n">
        <x:f>E60*'模块规划'!$E$10+G60*'模块规划'!$E$11+H60*'模块规划'!$E$13</x:f>
        <x:v>4515.731020565095</x:v>
      </x:c>
      <x:c r="S60" s="2" t="n">
        <x:f>I60*'模块规划'!$E$15+J60*'模块规划'!$E$17+K60*'模块规划'!$E$16+L60*'模块规划'!$E$18</x:f>
        <x:v>3532.693814011246</x:v>
      </x:c>
      <x:c r="T60" s="2" t="n">
        <x:f t="shared" si="5">1+T$9*SUMPRODUCT($H$10:$L$10,H60:L60)/SUM($H$10:$L$10)</x:f>
        <x:v>1.4700295630137474</x:v>
      </x:c>
      <x:c r="U60" s="12" t="n">
        <x:f t="shared" si="6">R60*T60+S60</x:f>
        <x:v>10170.951912860175</x:v>
      </x:c>
      <x:c r="V60" s="2" t="n">
        <x:f t="shared" si="7">V$8+(V$9-V$8)*H60</x:f>
        <x:v>0.7891321611214386</x:v>
      </x:c>
      <x:c r="W60" s="2" t="n">
        <x:f t="shared" si="8">IF(B60&lt;$H$8,0,W$8+(W$9-W$8)*H60)</x:f>
        <x:v>0.11884288149525149</x:v>
      </x:c>
      <x:c r="X60" s="2" t="n">
        <x:f t="shared" si="9">X$8+(X$9-X$8)*H60</x:f>
        <x:v>0.3567044810279854</x:v>
      </x:c>
      <x:c r="Y60" s="2" t="n">
        <x:f t="shared" si="10">Y$8+(Y$9-Y$8)*G60</x:f>
        <x:v>1</x:v>
      </x:c>
      <x:c r="Z60" s="2" t="n">
        <x:f t="shared" si="11">Z$8+(Z$9-Z$8)*H60</x:f>
        <x:v>1</x:v>
      </x:c>
      <x:c r="AA60" s="2" t="n">
        <x:f t="shared" si="12">AA$8+(AA$9-AA$8)*I60</x:f>
        <x:v>1</x:v>
      </x:c>
      <x:c r="AB60" s="2" t="n">
        <x:f t="shared" si="13">AB$8+(AB$9-AB$8)*J60</x:f>
        <x:v>1</x:v>
      </x:c>
      <x:c r="AC60" s="2" t="n">
        <x:f t="shared" si="14">AC$8+(AC$9-AC$8)*MAX(K60,L60)</x:f>
        <x:v>1</x:v>
      </x:c>
      <x:c r="AD60" s="1" t="n">
        <x:f t="shared" si="15">(V60*AE60+W60*AF60+X60*AG60)*PRODUCT(Y60:AC60)</x:f>
        <x:v>1.295834404248613</x:v>
      </x:c>
      <x:c r="AE60" s="2" t="n">
        <x:f t="shared" si="16">1+AE$9*($H$10*H60+$I$10*I60+$J$10*J60+$K$10*K60+$L$10*L60)</x:f>
        <x:v>1</x:v>
      </x:c>
      <x:c r="AF60" s="2" t="n">
        <x:f t="shared" si="17">1+AF$9*($H$10*H60+$I$10*I60+$J$10*J60+$K$10*K60+$L$10*L60)</x:f>
        <x:v>1.04148439058178</x:v>
      </x:c>
      <x:c r="AG60" s="2" t="n">
        <x:f t="shared" si="18">1+AG$9*($H$10*H60+$I$10*I60+$J$10*J60+$K$10*K60+$L$10*L60)</x:f>
        <x:v>1.0735195588643776</x:v>
      </x:c>
      <x:c r="AH60" s="2" t="n">
        <x:f>MIN(1,'_曲线基线'!$L$3+AH$9*($H$10*H60+$I$10*I60+$J$10*J60+$K$10*K60+$L$10*L60))</x:f>
        <x:v>0.1443769885735498</x:v>
      </x:c>
      <x:c r="AI60" s="2" t="n">
        <x:f>'_曲线基线'!$L$4+AI$9*($H$10*H60+$I$10*I60+$J$10*J60+$K$10*K60+$L$10*L60)</x:f>
        <x:v>2.2629073253120318</x:v>
      </x:c>
      <x:c r="AJ60" s="2" t="n">
        <x:f t="shared" si="19">1+AJ$9*($H$10*H60+$I$10*I60+$J$10*J60+$K$10*K60+$L$10*L60)</x:f>
        <x:v>1.2157188310252567</x:v>
      </x:c>
      <x:c r="AK60" s="1" t="n">
        <x:f t="shared" si="20">(1+AH60*(AI60-1))*AJ60</x:f>
        <x:v>1.4373866280235679</x:v>
      </x:c>
      <x:c r="AL60" s="1" t="n">
        <x:f t="shared" si="21">U60*AD60*AK60*F60</x:f>
        <x:v>94722.8402641455</x:v>
      </x:c>
      <x:c r="AM60" s="13" t="n">
        <x:f t="shared" si="22">IF($B60&lt;AM$8,0,AM$3+(AM$4-AM$3)*(POWER(AM$5,$B60-AM$8)-1)/(POWER(AM$5,$C$5-AM$8)-1))</x:f>
        <x:v>35.8218914643665</x:v>
      </x:c>
      <x:c r="AN60" s="13" t="n">
        <x:f>(((E60*'模块规划'!$D$10+G60*'模块规划'!$D$11+H60*'模块规划'!$D$13)*(1+'模块规划'!$G$14*H60)+(I60*'模块规划'!$D$15+J60*'模块规划'!$D$17+K60*'模块规划'!$D$16+L60*'模块规划'!$D$18))*(1+'模块规划'!$J$17*J60))*F60/(1-Q60)</x:f>
        <x:v>224931.69827091054</x:v>
      </x:c>
      <x:c r="AO60" s="1" t="n">
        <x:f t="shared" si="23">AL60*AM60</x:f>
        <x:v>3393151.3031387455</x:v>
      </x:c>
      <x:c r="AP60" s="1" t="n">
        <x:f>IF(AO60="","",INDEX('_曲线基线'!$A$3:$A$502,MIN(ROWS('_曲线基线'!$A$3:$A$502),COUNTIF('_曲线基线'!$E$3:$E$502,"&lt;"&amp;AO60)+1)))</x:f>
        <x:v>95</x:v>
      </x:c>
      <x:c r="AQ60" s="14" t="n">
        <x:f t="shared" si="24">IF(B60&lt;=2,1,IF(B60&lt;=6,2,IF(B60&lt;=9,3,IF(B60&lt;=19,4,5))))</x:f>
        <x:v>5</x:v>
      </x:c>
      <x:c r="AR60" s="10" t="n">
        <x:f t="shared" si="26">AN60*(1-Q60)/F60*$AS$3+U60*$AS$4+P60*$AS$5</x:f>
        <x:v>3086.480725604448</x:v>
      </x:c>
      <x:c r="AS60" s="15" t="n">
        <x:f t="shared" si="27">1+AH60*$AS$6+AI60*$AS$7+(AJ60-1)*$AS$8+($H$10*H60+$I$10*I60+$J$10*J60+$K$10*K60+$L$10*L60)*$AU$3*$AS$9+($H$10*H60+$I$10*I60+$J$10*J60+$K$10*K60+$L$10*L60)*$AU$4*$AS$10</x:f>
        <x:v>7.460319473900161</x:v>
      </x:c>
      <x:c r="AT60" s="16" t="n">
        <x:f t="shared" si="28">ROUND(AR60*AS60,0)</x:f>
        <x:v>23026</x:v>
      </x:c>
      <x:c r="AU60" s="16" t="n">
        <x:f t="shared" si="29">ROUND(AT60*F60,0)</x:f>
        <x:v>115130</x:v>
      </x:c>
      <x:c r="AV60" t="n">
        <x:f>IF(AU60&gt;0,ROUND(AU60,-MAX(0,INT(LOG10(AU60))-2)),0)</x:f>
        <x:v>115000</x:v>
      </x:c>
    </x:row>
    <x:row r="61" customHeight="1">
      <x:c r="A61" s="1" t="n">
        <x:f>IFERROR(XLOOKUP(B61,'_曲线基线'!$G$3:$G$107,'_曲线基线'!$J$3:$J$107,""),"")</x:f>
        <x:v>25</x:v>
      </x:c>
      <x:c r="B61" s="1" t="n">
        <x:v>50</x:v>
      </x:c>
      <x:c r="C61" s="1" t="n">
        <x:f t="shared" si="67">C46+1</x:f>
        <x:v>4</x:v>
      </x:c>
      <x:c r="D61" s="1" t="n">
        <x:f t="shared" si="68">D46</x:f>
        <x:v>11</x:v>
      </x:c>
      <x:c r="E61" s="1" t="n">
        <x:f t="shared" si="0">IF($B61&lt;E$8,0,E$3+(E$4-E$3)*(POWER(E$5,$B61-E$8)-1)/(POWER(E$5,$C$5-E$8)-1))</x:f>
        <x:v>1</x:v>
      </x:c>
      <x:c r="F61" s="10" t="n">
        <x:f t="shared" si="1">1+IF(B61&lt;3,0,MIN(1,(B61-2)/4))+IF(B61&lt;7,0,MIN(1,(B61-6)/3))+IF(B61&lt;10,0,MIN(1,(B61-9)/5))+IF(B61&lt;20,0,MIN(1,(B61-19)/10))</x:f>
        <x:v>5</x:v>
      </x:c>
      <x:c r="G61" s="11" t="n">
        <x:f t="shared" ref="G61:L61" si="79">'玩家战力_节点'!G61</x:f>
        <x:v>0.42402879740819593</x:v>
      </x:c>
      <x:c r="H61" s="11" t="n">
        <x:f t="shared" si="79">'玩家战力_节点'!H61</x:f>
        <x:v>0.3025967358209422</x:v>
      </x:c>
      <x:c r="I61" s="11" t="n">
        <x:f t="shared" si="79">'玩家战力_节点'!I61</x:f>
        <x:v>0</x:v>
      </x:c>
      <x:c r="J61" s="11" t="n">
        <x:f t="shared" si="79">'玩家战力_节点'!J61</x:f>
        <x:v>0.12116123849771149</x:v>
      </x:c>
      <x:c r="K61" s="11" t="n">
        <x:f t="shared" si="79">'玩家战力_节点'!K61</x:f>
        <x:v>0</x:v>
      </x:c>
      <x:c r="L61" s="11" t="n">
        <x:f t="shared" si="79">'玩家战力_节点'!L61</x:f>
        <x:v>0.24945787370134162</x:v>
      </x:c>
      <x:c r="M61" s="2" t="n">
        <x:f>E61*'模块规划'!$F$10+G61*'模块规划'!$F$11+H61*'模块规划'!$F$13</x:f>
        <x:v>3035.3382275593403</x:v>
      </x:c>
      <x:c r="N61" s="2" t="n">
        <x:f>I61*'模块规划'!$F$15+J61*'模块规划'!$F$17+K61*'模块规划'!$F$16+L61*'模块规划'!$F$18</x:f>
        <x:v>2458.901753483823</x:v>
      </x:c>
      <x:c r="O61" s="2" t="n">
        <x:f t="shared" si="3">1+O$9*SUMPRODUCT($H$10:$L$10,H61:L61)/SUM($H$10:$L$10)</x:f>
        <x:v>1.4893597137654417</x:v>
      </x:c>
      <x:c r="P61" s="12" t="n">
        <x:f t="shared" si="4">M61*O61+N61</x:f>
        <x:v>6979.612227262905</x:v>
      </x:c>
      <x:c r="Q61" s="7" t="n">
        <x:f>P61/(P61+'_曲线基线'!$L$2)</x:f>
        <x:v>0.2252969525913128</x:v>
      </x:c>
      <x:c r="R61" s="2" t="n">
        <x:f>E61*'模块规划'!$E$10+G61*'模块规划'!$E$11+H61*'模块规划'!$E$13</x:f>
        <x:v>4553.007341339011</x:v>
      </x:c>
      <x:c r="S61" s="2" t="n">
        <x:f>I61*'模块规划'!$E$15+J61*'模块规划'!$E$17+K61*'模块规划'!$E$16+L61*'模块规划'!$E$18</x:f>
        <x:v>3688.352630225734</x:v>
      </x:c>
      <x:c r="T61" s="2" t="n">
        <x:f t="shared" si="5">1+T$9*SUMPRODUCT($H$10:$L$10,H61:L61)/SUM($H$10:$L$10)</x:f>
        <x:v>1.4893597137654417</x:v>
      </x:c>
      <x:c r="U61" s="12" t="n">
        <x:f t="shared" si="6">R61*T61+S61</x:f>
        <x:v>10469.418340894357</x:v>
      </x:c>
      <x:c r="V61" s="2" t="n">
        <x:f t="shared" si="7">V$8+(V$9-V$8)*H61</x:f>
        <x:v>0.7907790207462826</x:v>
      </x:c>
      <x:c r="W61" s="2" t="n">
        <x:f t="shared" si="8">IF(B61&lt;$H$8,0,W$8+(W$9-W$8)*H61)</x:f>
        <x:v>0.12103869432837688</x:v>
      </x:c>
      <x:c r="X61" s="2" t="n">
        <x:f t="shared" si="9">X$8+(X$9-X$8)*H61</x:f>
        <x:v>0.3582141023507591</x:v>
      </x:c>
      <x:c r="Y61" s="2" t="n">
        <x:f t="shared" si="10">Y$8+(Y$9-Y$8)*G61</x:f>
        <x:v>1</x:v>
      </x:c>
      <x:c r="Z61" s="2" t="n">
        <x:f t="shared" si="11">Z$8+(Z$9-Z$8)*H61</x:f>
        <x:v>1</x:v>
      </x:c>
      <x:c r="AA61" s="2" t="n">
        <x:f t="shared" si="12">AA$8+(AA$9-AA$8)*I61</x:f>
        <x:v>1</x:v>
      </x:c>
      <x:c r="AB61" s="2" t="n">
        <x:f t="shared" si="13">AB$8+(AB$9-AB$8)*J61</x:f>
        <x:v>1</x:v>
      </x:c>
      <x:c r="AC61" s="2" t="n">
        <x:f t="shared" si="14">AC$8+(AC$9-AC$8)*MAX(K61,L61)</x:f>
        <x:v>1</x:v>
      </x:c>
      <x:c r="AD61" s="1" t="n">
        <x:f t="shared" si="15">(V61*AE61+W61*AF61+X61*AG61)*PRODUCT(Y61:AC61)</x:f>
        <x:v>1.3026783439696672</x:v>
      </x:c>
      <x:c r="AE61" s="2" t="n">
        <x:f t="shared" si="16">1+AE$9*($H$10*H61+$I$10*I61+$J$10*J61+$K$10*K61+$L$10*L61)</x:f>
        <x:v>1</x:v>
      </x:c>
      <x:c r="AF61" s="2" t="n">
        <x:f t="shared" si="17">1+AF$9*($H$10*H61+$I$10*I61+$J$10*J61+$K$10*K61+$L$10*L61)</x:f>
        <x:v>1.0431904524699864</x:v>
      </x:c>
      <x:c r="AG61" s="2" t="n">
        <x:f t="shared" si="18">1+AG$9*($H$10*H61+$I$10*I61+$J$10*J61+$K$10*K61+$L$10*L61)</x:f>
        <x:v>1.0765430796551432</x:v>
      </x:c>
      <x:c r="AH61" s="2" t="n">
        <x:f>MIN(1,'_曲线基线'!$L$3+AH$9*($H$10*H61+$I$10*I61+$J$10*J61+$K$10*K61+$L$10*L61))</x:f>
        <x:v>0.14825827936921893</x:v>
      </x:c>
      <x:c r="AI61" s="2" t="n">
        <x:f>'_曲线基线'!$L$4+AI$9*($H$10*H61+$I$10*I61+$J$10*J61+$K$10*K61+$L$10*L61)</x:f>
        <x:v>2.2737194925285387</x:v>
      </x:c>
      <x:c r="AJ61" s="2" t="n">
        <x:f t="shared" si="19">1+AJ$9*($H$10*H61+$I$10*I61+$J$10*J61+$K$10*K61+$L$10*L61)</x:f>
        <x:v>1.224590352843929</x:v>
      </x:c>
      <x:c r="AK61" s="1" t="n">
        <x:f t="shared" si="20">(1+AH61*(AI61-1))*AJ61</x:f>
        <x:v>1.45584133423865</x:v>
      </x:c>
      <x:c r="AL61" s="1" t="n">
        <x:f t="shared" si="21">U61*AD61*AK61*F61</x:f>
        <x:v>99275.89185554768</x:v>
      </x:c>
      <x:c r="AM61" s="13" t="n">
        <x:f t="shared" si="22">IF($B61&lt;AM$8,0,AM$3+(AM$4-AM$3)*(POWER(AM$5,$B61-AM$8)-1)/(POWER(AM$5,$C$5-AM$8)-1))</x:f>
        <x:v>35.84353501893204</x:v>
      </x:c>
      <x:c r="AN61" s="13" t="n">
        <x:f>(((E61*'模块规划'!$D$10+G61*'模块规划'!$D$11+H61*'模块规划'!$D$13)*(1+'模块规划'!$G$14*H61)+(I61*'模块规划'!$D$15+J61*'模块规划'!$D$17+K61*'模块规划'!$D$16+L61*'模块规划'!$D$18))*(1+'模块规划'!$J$17*J61))*F61/(1-Q61)</x:f>
        <x:v>233634.33138328083</x:v>
      </x:c>
      <x:c r="AO61" s="1" t="n">
        <x:f t="shared" si="23">AL61*AM61</x:f>
        <x:v>3558398.906260033</x:v>
      </x:c>
      <x:c r="AP61" s="1" t="n">
        <x:f>IF(AO61="","",INDEX('_曲线基线'!$A$3:$A$502,MIN(ROWS('_曲线基线'!$A$3:$A$502),COUNTIF('_曲线基线'!$E$3:$E$502,"&lt;"&amp;AO61)+1)))</x:f>
        <x:v>96</x:v>
      </x:c>
      <x:c r="AQ61" s="14" t="n">
        <x:f t="shared" si="24">IF(B61&lt;=2,1,IF(B61&lt;=6,2,IF(B61&lt;=9,3,IF(B61&lt;=19,4,5))))</x:f>
        <x:v>5</x:v>
      </x:c>
      <x:c r="AR61" s="10" t="n">
        <x:f t="shared" si="26">AN61*(1-Q61)/F61*$AS$3+U61*$AS$4+P61*$AS$5</x:f>
        <x:v>3179.8670391903843</x:v>
      </x:c>
      <x:c r="AS61" s="15" t="n">
        <x:f t="shared" si="27">1+AH61*$AS$6+AI61*$AS$7+(AJ61-1)*$AS$8+($H$10*H61+$I$10*I61+$J$10*J61+$K$10*K61+$L$10*L61)*$AU$3*$AS$9+($H$10*H61+$I$10*I61+$J$10*J61+$K$10*K61+$L$10*L61)*$AU$4*$AS$10</x:f>
        <x:v>7.562258610233304</x:v>
      </x:c>
      <x:c r="AT61" s="16" t="n">
        <x:f t="shared" si="28">ROUND(AR61*AS61,0)</x:f>
        <x:v>24047</x:v>
      </x:c>
      <x:c r="AU61" s="16" t="n">
        <x:f t="shared" si="29">ROUND(AT61*F61,0)</x:f>
        <x:v>120235</x:v>
      </x:c>
      <x:c r="AV61" t="n">
        <x:f>IF(AU61&gt;0,ROUND(AU61,-MAX(0,INT(LOG10(AU61))-2)),0)</x:f>
        <x:v>120000</x:v>
      </x:c>
    </x:row>
    <x:row r="62" customHeight="1">
      <x:c r="A62" s="1" t="n">
        <x:f>IFERROR(XLOOKUP(B62,'_曲线基线'!$G$3:$G$107,'_曲线基线'!$J$3:$J$107,""),"")</x:f>
        <x:v>26</x:v>
      </x:c>
      <x:c r="B62" s="1" t="n">
        <x:v>51</x:v>
      </x:c>
      <x:c r="C62" s="1" t="n">
        <x:f t="shared" si="67">C47+1</x:f>
        <x:v>4</x:v>
      </x:c>
      <x:c r="D62" s="1" t="n">
        <x:f t="shared" si="68">D47</x:f>
        <x:v>12</x:v>
      </x:c>
      <x:c r="E62" s="1" t="n">
        <x:f t="shared" si="0">IF($B62&lt;E$8,0,E$3+(E$4-E$3)*(POWER(E$5,$B62-E$8)-1)/(POWER(E$5,$C$5-E$8)-1))</x:f>
        <x:v>1</x:v>
      </x:c>
      <x:c r="F62" s="10" t="n">
        <x:f t="shared" si="1">1+IF(B62&lt;3,0,MIN(1,(B62-2)/4))+IF(B62&lt;7,0,MIN(1,(B62-6)/3))+IF(B62&lt;10,0,MIN(1,(B62-9)/5))+IF(B62&lt;20,0,MIN(1,(B62-19)/10))</x:f>
        <x:v>5</x:v>
      </x:c>
      <x:c r="G62" s="11" t="n">
        <x:f t="shared" ref="G62:L62" si="80">'玩家战力_节点'!G62</x:f>
        <x:v>0.429206064182351</x:v>
      </x:c>
      <x:c r="H62" s="11" t="n">
        <x:f t="shared" si="80">'玩家战力_节点'!H62</x:f>
        <x:v>0.30808626790375576</x:v>
      </x:c>
      <x:c r="I62" s="11" t="n">
        <x:f t="shared" si="80">'玩家战力_节点'!I62</x:f>
        <x:v>0</x:v>
      </x:c>
      <x:c r="J62" s="11" t="n">
        <x:f t="shared" si="80">'玩家战力_节点'!J62</x:f>
        <x:v>0.12825236234748263</x:v>
      </x:c>
      <x:c r="K62" s="11" t="n">
        <x:f t="shared" si="80">'玩家战力_节点'!K62</x:f>
        <x:v>0</x:v>
      </x:c>
      <x:c r="L62" s="11" t="n">
        <x:f t="shared" si="80">'玩家战力_节点'!L62</x:f>
        <x:v>0.2560301348303977</x:v>
      </x:c>
      <x:c r="M62" s="2" t="n">
        <x:f>E62*'模块规划'!$F$10+G62*'模块规划'!$F$11+H62*'模块规划'!$F$13</x:f>
        <x:v>3060.189108075285</x:v>
      </x:c>
      <x:c r="N62" s="2" t="n">
        <x:f>I62*'模块规划'!$F$15+J62*'模块规划'!$F$17+K62*'模块规划'!$F$16+L62*'模块规划'!$F$18</x:f>
        <x:v>2562.674297626815</x:v>
      </x:c>
      <x:c r="O62" s="2" t="n">
        <x:f t="shared" si="3">1+O$9*SUMPRODUCT($H$10:$L$10,H62:L62)/SUM($H$10:$L$10)</x:f>
        <x:v>1.5086898645171358</x:v>
      </x:c>
      <x:c r="P62" s="12" t="n">
        <x:f t="shared" si="4">M62*O62+N62</x:f>
        <x:v>7179.550588485731</x:v>
      </x:c>
      <x:c r="Q62" s="7" t="n">
        <x:f>P62/(P62+'_曲线基线'!$L$2)</x:f>
        <x:v>0.23026472328748257</x:v>
      </x:c>
      <x:c r="R62" s="2" t="n">
        <x:f>E62*'模块规划'!$E$10+G62*'模块规划'!$E$11+H62*'模块规划'!$E$13</x:f>
        <x:v>4590.283662112927</x:v>
      </x:c>
      <x:c r="S62" s="2" t="n">
        <x:f>I62*'模块规划'!$E$15+J62*'模块规划'!$E$17+K62*'模块规划'!$E$16+L62*'模块规划'!$E$18</x:f>
        <x:v>3844.0114464402222</x:v>
      </x:c>
      <x:c r="T62" s="2" t="n">
        <x:f t="shared" si="5">1+T$9*SUMPRODUCT($H$10:$L$10,H62:L62)/SUM($H$10:$L$10)</x:f>
        <x:v>1.5086898645171358</x:v>
      </x:c>
      <x:c r="U62" s="12" t="n">
        <x:f t="shared" si="6">R62*T62+S62</x:f>
        <x:v>10769.325882728597</x:v>
      </x:c>
      <x:c r="V62" s="2" t="n">
        <x:f t="shared" si="7">V$8+(V$9-V$8)*H62</x:f>
        <x:v>0.7924258803711267</x:v>
      </x:c>
      <x:c r="W62" s="2" t="n">
        <x:f t="shared" si="8">IF(B62&lt;$H$8,0,W$8+(W$9-W$8)*H62)</x:f>
        <x:v>0.1232345071615023</x:v>
      </x:c>
      <x:c r="X62" s="2" t="n">
        <x:f t="shared" si="9">X$8+(X$9-X$8)*H62</x:f>
        <x:v>0.3597237236735329</x:v>
      </x:c>
      <x:c r="Y62" s="2" t="n">
        <x:f t="shared" si="10">Y$8+(Y$9-Y$8)*G62</x:f>
        <x:v>1</x:v>
      </x:c>
      <x:c r="Z62" s="2" t="n">
        <x:f t="shared" si="11">Z$8+(Z$9-Z$8)*H62</x:f>
        <x:v>1</x:v>
      </x:c>
      <x:c r="AA62" s="2" t="n">
        <x:f t="shared" si="12">AA$8+(AA$9-AA$8)*I62</x:f>
        <x:v>1</x:v>
      </x:c>
      <x:c r="AB62" s="2" t="n">
        <x:f t="shared" si="13">AB$8+(AB$9-AB$8)*J62</x:f>
        <x:v>1</x:v>
      </x:c>
      <x:c r="AC62" s="2" t="n">
        <x:f t="shared" si="14">AC$8+(AC$9-AC$8)*MAX(K62,L62)</x:f>
        <x:v>1</x:v>
      </x:c>
      <x:c r="AD62" s="1" t="n">
        <x:f t="shared" si="15">(V62*AE62+W62*AF62+X62*AG62)*PRODUCT(Y62:AC62)</x:f>
        <x:v>1.3095389048188095</x:v>
      </x:c>
      <x:c r="AE62" s="2" t="n">
        <x:f t="shared" si="16">1+AE$9*($H$10*H62+$I$10*I62+$J$10*J62+$K$10*K62+$L$10*L62)</x:f>
        <x:v>1</x:v>
      </x:c>
      <x:c r="AF62" s="2" t="n">
        <x:f t="shared" si="17">1+AF$9*($H$10*H62+$I$10*I62+$J$10*J62+$K$10*K62+$L$10*L62)</x:f>
        <x:v>1.0448965143581925</x:v>
      </x:c>
      <x:c r="AG62" s="2" t="n">
        <x:f t="shared" si="18">1+AG$9*($H$10*H62+$I$10*I62+$J$10*J62+$K$10*K62+$L$10*L62)</x:f>
        <x:v>1.0795666004459086</x:v>
      </x:c>
      <x:c r="AH62" s="2" t="n">
        <x:f>MIN(1,'_曲线基线'!$L$3+AH$9*($H$10*H62+$I$10*I62+$J$10*J62+$K$10*K62+$L$10*L62))</x:f>
        <x:v>0.15213957016488805</x:v>
      </x:c>
      <x:c r="AI62" s="2" t="n">
        <x:f>'_曲线基线'!$L$4+AI$9*($H$10*H62+$I$10*I62+$J$10*J62+$K$10*K62+$L$10*L62)</x:f>
        <x:v>2.284531659745045</x:v>
      </x:c>
      <x:c r="AJ62" s="2" t="n">
        <x:f t="shared" si="19">1+AJ$9*($H$10*H62+$I$10*I62+$J$10*J62+$K$10*K62+$L$10*L62)</x:f>
        <x:v>1.2334618746626012</x:v>
      </x:c>
      <x:c r="AK62" s="1" t="n">
        <x:f t="shared" si="20">(1+AH62*(AI62-1))*AJ62</x:f>
        <x:v>1.4745149785610427</x:v>
      </x:c>
      <x:c r="AL62" s="1" t="n">
        <x:f t="shared" si="21">U62*AD62*AK62*F62</x:f>
        <x:v>103974.32683706062</x:v>
      </x:c>
      <x:c r="AM62" s="13" t="n">
        <x:f t="shared" si="22">IF($B62&lt;AM$8,0,AM$3+(AM$4-AM$3)*(POWER(AM$5,$B62-AM$8)-1)/(POWER(AM$5,$C$5-AM$8)-1))</x:f>
        <x:v>35.865395009043226</x:v>
      </x:c>
      <x:c r="AN62" s="13" t="n">
        <x:f>(((E62*'模块规划'!$D$10+G62*'模块规划'!$D$11+H62*'模块规划'!$D$13)*(1+'模块规划'!$G$14*H62)+(I62*'模块规划'!$D$15+J62*'模块规划'!$D$17+K62*'模块规划'!$D$16+L62*'模块规划'!$D$18))*(1+'模块规划'!$J$17*J62))*F62/(1-Q62)</x:f>
        <x:v>242529.8089697755</x:v>
      </x:c>
      <x:c r="AO62" s="1" t="n">
        <x:f t="shared" si="23">AL62*AM62</x:f>
        <x:v>3729080.302810543</x:v>
      </x:c>
      <x:c r="AP62" s="1" t="n">
        <x:f>IF(AO62="","",INDEX('_曲线基线'!$A$3:$A$502,MIN(ROWS('_曲线基线'!$A$3:$A$502),COUNTIF('_曲线基线'!$E$3:$E$502,"&lt;"&amp;AO62)+1)))</x:f>
        <x:v>98</x:v>
      </x:c>
      <x:c r="AQ62" s="14" t="n">
        <x:f t="shared" si="24">IF(B62&lt;=2,1,IF(B62&lt;=6,2,IF(B62&lt;=9,3,IF(B62&lt;=19,4,5))))</x:f>
        <x:v>5</x:v>
      </x:c>
      <x:c r="AR62" s="10" t="n">
        <x:f t="shared" si="26">AN62*(1-Q62)/F62*$AS$3+U62*$AS$4+P62*$AS$5</x:f>
        <x:v>3273.967674256024</x:v>
      </x:c>
      <x:c r="AS62" s="15" t="n">
        <x:f t="shared" si="27">1+AH62*$AS$6+AI62*$AS$7+(AJ62-1)*$AS$8+($H$10*H62+$I$10*I62+$J$10*J62+$K$10*K62+$L$10*L62)*$AU$3*$AS$9+($H$10*H62+$I$10*I62+$J$10*J62+$K$10*K62+$L$10*L62)*$AU$4*$AS$10</x:f>
        <x:v>7.664197746566444</x:v>
      </x:c>
      <x:c r="AT62" s="16" t="n">
        <x:f t="shared" si="28">ROUND(AR62*AS62,0)</x:f>
        <x:v>25092</x:v>
      </x:c>
      <x:c r="AU62" s="16" t="n">
        <x:f t="shared" si="29">ROUND(AT62*F62,0)</x:f>
        <x:v>125460</x:v>
      </x:c>
      <x:c r="AV62" t="n">
        <x:f>IF(AU62&gt;0,ROUND(AU62,-MAX(0,INT(LOG10(AU62))-2)),0)</x:f>
        <x:v>125000</x:v>
      </x:c>
    </x:row>
    <x:row r="63" customHeight="1">
      <x:c r="A63" s="1" t="n">
        <x:f>IFERROR(XLOOKUP(B63,'_曲线基线'!$G$3:$G$107,'_曲线基线'!$J$3:$J$107,""),"")</x:f>
        <x:v>26</x:v>
      </x:c>
      <x:c r="B63" s="1" t="n">
        <x:v>52</x:v>
      </x:c>
      <x:c r="C63" s="1" t="n">
        <x:f t="shared" si="67">C48+1</x:f>
        <x:v>4</x:v>
      </x:c>
      <x:c r="D63" s="1" t="n">
        <x:f t="shared" si="68">D48</x:f>
        <x:v>13</x:v>
      </x:c>
      <x:c r="E63" s="1" t="n">
        <x:f t="shared" si="0">IF($B63&lt;E$8,0,E$3+(E$4-E$3)*(POWER(E$5,$B63-E$8)-1)/(POWER(E$5,$C$5-E$8)-1))</x:f>
        <x:v>1</x:v>
      </x:c>
      <x:c r="F63" s="10" t="n">
        <x:f t="shared" si="1">1+IF(B63&lt;3,0,MIN(1,(B63-2)/4))+IF(B63&lt;7,0,MIN(1,(B63-6)/3))+IF(B63&lt;10,0,MIN(1,(B63-9)/5))+IF(B63&lt;20,0,MIN(1,(B63-19)/10))</x:f>
        <x:v>5</x:v>
      </x:c>
      <x:c r="G63" s="11" t="n">
        <x:f t="shared" ref="G63:L63" si="81">'玩家战力_节点'!G63</x:f>
        <x:v>0.434383330956506</x:v>
      </x:c>
      <x:c r="H63" s="11" t="n">
        <x:f t="shared" si="81">'玩家战力_节点'!H63</x:f>
        <x:v>0.3135757999865692</x:v>
      </x:c>
      <x:c r="I63" s="11" t="n">
        <x:f t="shared" si="81">'玩家战力_节点'!I63</x:f>
        <x:v>0</x:v>
      </x:c>
      <x:c r="J63" s="11" t="n">
        <x:f t="shared" si="81">'玩家战力_节点'!J63</x:f>
        <x:v>0.13534348619725378</x:v>
      </x:c>
      <x:c r="K63" s="11" t="n">
        <x:f t="shared" si="81">'玩家战力_节点'!K63</x:f>
        <x:v>0</x:v>
      </x:c>
      <x:c r="L63" s="11" t="n">
        <x:f t="shared" si="81">'玩家战力_节点'!L63</x:f>
        <x:v>0.26260239595945384</x:v>
      </x:c>
      <x:c r="M63" s="2" t="n">
        <x:f>E63*'模块规划'!$F$10+G63*'模块规划'!$F$11+H63*'模块规划'!$F$13</x:f>
        <x:v>3085.039988591229</x:v>
      </x:c>
      <x:c r="N63" s="2" t="n">
        <x:f>I63*'模块规划'!$F$15+J63*'模块规划'!$F$17+K63*'模块规划'!$F$16+L63*'模块规划'!$F$18</x:f>
        <x:v>2666.446841769807</x:v>
      </x:c>
      <x:c r="O63" s="2" t="n">
        <x:f t="shared" si="3">1+O$9*SUMPRODUCT($H$10:$L$10,H63:L63)/SUM($H$10:$L$10)</x:f>
        <x:v>1.5280200152688301</x:v>
      </x:c>
      <x:c r="P63" s="12" t="n">
        <x:f t="shared" si="4">M63*O63+N63</x:f>
        <x:v>7380.4496922419285</x:v>
      </x:c>
      <x:c r="Q63" s="7" t="n">
        <x:f>P63/(P63+'_曲线基线'!$L$2)</x:f>
        <x:v>0.23519260445992174</x:v>
      </x:c>
      <x:c r="R63" s="2" t="n">
        <x:f>E63*'模块规划'!$E$10+G63*'模块规划'!$E$11+H63*'模块规划'!$E$13</x:f>
        <x:v>4627.5599828868435</x:v>
      </x:c>
      <x:c r="S63" s="2" t="n">
        <x:f>I63*'模块规划'!$E$15+J63*'模块规划'!$E$17+K63*'模块规划'!$E$16+L63*'模块规划'!$E$18</x:f>
        <x:v>3999.6702626547103</x:v>
      </x:c>
      <x:c r="T63" s="2" t="n">
        <x:f t="shared" si="5">1+T$9*SUMPRODUCT($H$10:$L$10,H63:L63)/SUM($H$10:$L$10)</x:f>
        <x:v>1.5280200152688301</x:v>
      </x:c>
      <x:c r="U63" s="12" t="n">
        <x:f t="shared" si="6">R63*T63+S63</x:f>
        <x:v>11070.674538362891</x:v>
      </x:c>
      <x:c r="V63" s="2" t="n">
        <x:f t="shared" si="7">V$8+(V$9-V$8)*H63</x:f>
        <x:v>0.7940727399959707</x:v>
      </x:c>
      <x:c r="W63" s="2" t="n">
        <x:f t="shared" si="8">IF(B63&lt;$H$8,0,W$8+(W$9-W$8)*H63)</x:f>
        <x:v>0.1254303199946277</x:v>
      </x:c>
      <x:c r="X63" s="2" t="n">
        <x:f t="shared" si="9">X$8+(X$9-X$8)*H63</x:f>
        <x:v>0.36123334499630655</x:v>
      </x:c>
      <x:c r="Y63" s="2" t="n">
        <x:f t="shared" si="10">Y$8+(Y$9-Y$8)*G63</x:f>
        <x:v>1</x:v>
      </x:c>
      <x:c r="Z63" s="2" t="n">
        <x:f t="shared" si="11">Z$8+(Z$9-Z$8)*H63</x:f>
        <x:v>1</x:v>
      </x:c>
      <x:c r="AA63" s="2" t="n">
        <x:f t="shared" si="12">AA$8+(AA$9-AA$8)*I63</x:f>
        <x:v>1</x:v>
      </x:c>
      <x:c r="AB63" s="2" t="n">
        <x:f t="shared" si="13">AB$8+(AB$9-AB$8)*J63</x:f>
        <x:v>1</x:v>
      </x:c>
      <x:c r="AC63" s="2" t="n">
        <x:f t="shared" si="14">AC$8+(AC$9-AC$8)*MAX(K63,L63)</x:f>
        <x:v>1</x:v>
      </x:c>
      <x:c r="AD63" s="1" t="n">
        <x:f t="shared" si="15">(V63*AE63+W63*AF63+X63*AG63)*PRODUCT(Y63:AC63)</x:f>
        <x:v>1.316416086796039</x:v>
      </x:c>
      <x:c r="AE63" s="2" t="n">
        <x:f t="shared" si="16">1+AE$9*($H$10*H63+$I$10*I63+$J$10*J63+$K$10*K63+$L$10*L63)</x:f>
        <x:v>1</x:v>
      </x:c>
      <x:c r="AF63" s="2" t="n">
        <x:f t="shared" si="17">1+AF$9*($H$10*H63+$I$10*I63+$J$10*J63+$K$10*K63+$L$10*L63)</x:f>
        <x:v>1.0466025762463989</x:v>
      </x:c>
      <x:c r="AG63" s="2" t="n">
        <x:f t="shared" si="18">1+AG$9*($H$10*H63+$I$10*I63+$J$10*J63+$K$10*K63+$L$10*L63)</x:f>
        <x:v>1.082590121236674</x:v>
      </x:c>
      <x:c r="AH63" s="2" t="n">
        <x:f>MIN(1,'_曲线基线'!$L$3+AH$9*($H$10*H63+$I$10*I63+$J$10*J63+$K$10*K63+$L$10*L63))</x:f>
        <x:v>0.15602086096055717</x:v>
      </x:c>
      <x:c r="AI63" s="2" t="n">
        <x:f>'_曲线基线'!$L$4+AI$9*($H$10*H63+$I$10*I63+$J$10*J63+$K$10*K63+$L$10*L63)</x:f>
        <x:v>2.295343826961552</x:v>
      </x:c>
      <x:c r="AJ63" s="2" t="n">
        <x:f t="shared" si="19">1+AJ$9*($H$10*H63+$I$10*I63+$J$10*J63+$K$10*K63+$L$10*L63)</x:f>
        <x:v>1.2423333964812735</x:v>
      </x:c>
      <x:c r="AK63" s="1" t="n">
        <x:f t="shared" si="20">(1+AH63*(AI63-1))*AJ63</x:f>
        <x:v>1.4934097947600136</x:v>
      </x:c>
      <x:c r="AL63" s="1" t="n">
        <x:f t="shared" si="21">U63*AD63*AK63*F63</x:f>
        <x:v>108821.88986636115</x:v>
      </x:c>
      <x:c r="AM63" s="13" t="n">
        <x:f t="shared" si="22">IF($B63&lt;AM$8,0,AM$3+(AM$4-AM$3)*(POWER(AM$5,$B63-AM$8)-1)/(POWER(AM$5,$C$5-AM$8)-1))</x:f>
        <x:v>35.887473599055525</x:v>
      </x:c>
      <x:c r="AN63" s="13" t="n">
        <x:f>(((E63*'模块规划'!$D$10+G63*'模块规划'!$D$11+H63*'模块规划'!$D$13)*(1+'模块规划'!$G$14*H63)+(I63*'模块规划'!$D$15+J63*'模块规划'!$D$17+K63*'模块规划'!$D$16+L63*'模块规划'!$D$18))*(1+'模块规划'!$J$17*J63))*F63/(1-Q63)</x:f>
        <x:v>251620.79371110108</x:v>
      </x:c>
      <x:c r="AO63" s="1" t="n">
        <x:f t="shared" si="23">AL63*AM63</x:f>
        <x:v>3905342.6995783634</x:v>
      </x:c>
      <x:c r="AP63" s="1" t="n">
        <x:f>IF(AO63="","",INDEX('_曲线基线'!$A$3:$A$502,MIN(ROWS('_曲线基线'!$A$3:$A$502),COUNTIF('_曲线基线'!$E$3:$E$502,"&lt;"&amp;AO63)+1)))</x:f>
        <x:v>100</x:v>
      </x:c>
      <x:c r="AQ63" s="14" t="n">
        <x:f t="shared" si="24">IF(B63&lt;=2,1,IF(B63&lt;=6,2,IF(B63&lt;=9,3,IF(B63&lt;=19,4,5))))</x:f>
        <x:v>5</x:v>
      </x:c>
      <x:c r="AR63" s="10" t="n">
        <x:f t="shared" si="26">AN63*(1-Q63)/F63*$AS$3+U63*$AS$4+P63*$AS$5</x:f>
        <x:v>3368.7835710840654</x:v>
      </x:c>
      <x:c r="AS63" s="15" t="n">
        <x:f t="shared" si="27">1+AH63*$AS$6+AI63*$AS$7+(AJ63-1)*$AS$8+($H$10*H63+$I$10*I63+$J$10*J63+$K$10*K63+$L$10*L63)*$AU$3*$AS$9+($H$10*H63+$I$10*I63+$J$10*J63+$K$10*K63+$L$10*L63)*$AU$4*$AS$10</x:f>
        <x:v>7.766136882899586</x:v>
      </x:c>
      <x:c r="AT63" s="16" t="n">
        <x:f t="shared" si="28">ROUND(AR63*AS63,0)</x:f>
        <x:v>26162</x:v>
      </x:c>
      <x:c r="AU63" s="16" t="n">
        <x:f t="shared" si="29">ROUND(AT63*F63,0)</x:f>
        <x:v>130810</x:v>
      </x:c>
      <x:c r="AV63" t="n">
        <x:f>IF(AU63&gt;0,ROUND(AU63,-MAX(0,INT(LOG10(AU63))-2)),0)</x:f>
        <x:v>131000</x:v>
      </x:c>
    </x:row>
    <x:row r="64" customHeight="1">
      <x:c r="A64" s="1" t="n">
        <x:f>IFERROR(XLOOKUP(B64,'_曲线基线'!$G$3:$G$107,'_曲线基线'!$J$3:$J$107,""),"")</x:f>
        <x:v>26</x:v>
      </x:c>
      <x:c r="B64" s="1" t="n">
        <x:v>53</x:v>
      </x:c>
      <x:c r="C64" s="1" t="n">
        <x:f t="shared" si="67">C49+1</x:f>
        <x:v>4</x:v>
      </x:c>
      <x:c r="D64" s="1" t="n">
        <x:f t="shared" si="68">D49</x:f>
        <x:v>14</x:v>
      </x:c>
      <x:c r="E64" s="1" t="n">
        <x:f t="shared" si="0">IF($B64&lt;E$8,0,E$3+(E$4-E$3)*(POWER(E$5,$B64-E$8)-1)/(POWER(E$5,$C$5-E$8)-1))</x:f>
        <x:v>1</x:v>
      </x:c>
      <x:c r="F64" s="10" t="n">
        <x:f t="shared" si="1">1+IF(B64&lt;3,0,MIN(1,(B64-2)/4))+IF(B64&lt;7,0,MIN(1,(B64-6)/3))+IF(B64&lt;10,0,MIN(1,(B64-9)/5))+IF(B64&lt;20,0,MIN(1,(B64-19)/10))</x:f>
        <x:v>5</x:v>
      </x:c>
      <x:c r="G64" s="11" t="n">
        <x:f t="shared" ref="G64:L64" si="82">'玩家战力_节点'!G64</x:f>
        <x:v>0.4395605977306611</x:v>
      </x:c>
      <x:c r="H64" s="11" t="n">
        <x:f t="shared" si="82">'玩家战力_节点'!H64</x:f>
        <x:v>0.3190653320693827</x:v>
      </x:c>
      <x:c r="I64" s="11" t="n">
        <x:f t="shared" si="82">'玩家战力_节点'!I64</x:f>
        <x:v>0</x:v>
      </x:c>
      <x:c r="J64" s="11" t="n">
        <x:f t="shared" si="82">'玩家战力_节点'!J64</x:f>
        <x:v>0.14243461004702496</x:v>
      </x:c>
      <x:c r="K64" s="11" t="n">
        <x:f t="shared" si="82">'玩家战力_节点'!K64</x:f>
        <x:v>0</x:v>
      </x:c>
      <x:c r="L64" s="11" t="n">
        <x:f t="shared" si="82">'玩家战力_节点'!L64</x:f>
        <x:v>0.26917465708850996</x:v>
      </x:c>
      <x:c r="M64" s="2" t="n">
        <x:f>E64*'模块规划'!$F$10+G64*'模块规划'!$F$11+H64*'模块规划'!$F$13</x:f>
        <x:v>3109.8908691071733</x:v>
      </x:c>
      <x:c r="N64" s="2" t="n">
        <x:f>I64*'模块规划'!$F$15+J64*'模块规划'!$F$17+K64*'模块规划'!$F$16+L64*'模块规划'!$F$18</x:f>
        <x:v>2770.219385912799</x:v>
      </x:c>
      <x:c r="O64" s="2" t="n">
        <x:f t="shared" si="3">1+O$9*SUMPRODUCT($H$10:$L$10,H64:L64)/SUM($H$10:$L$10)</x:f>
        <x:v>1.5473501660205242</x:v>
      </x:c>
      <x:c r="P64" s="12" t="n">
        <x:f t="shared" si="4">M64*O64+N64</x:f>
        <x:v>7582.309538531496</x:v>
      </x:c>
      <x:c r="Q64" s="7" t="n">
        <x:f>P64/(P64+'_曲线基线'!$L$2)</x:f>
        <x:v>0.24008090761319467</x:v>
      </x:c>
      <x:c r="R64" s="2" t="n">
        <x:f>E64*'模块规划'!$E$10+G64*'模块规划'!$E$11+H64*'模块规划'!$E$13</x:f>
        <x:v>4664.83630366076</x:v>
      </x:c>
      <x:c r="S64" s="2" t="n">
        <x:f>I64*'模块规划'!$E$15+J64*'模块规划'!$E$17+K64*'模块规划'!$E$16+L64*'模块规划'!$E$18</x:f>
        <x:v>4155.329078869199</x:v>
      </x:c>
      <x:c r="T64" s="2" t="n">
        <x:f t="shared" si="5">1+T$9*SUMPRODUCT($H$10:$L$10,H64:L64)/SUM($H$10:$L$10)</x:f>
        <x:v>1.5473501660205242</x:v>
      </x:c>
      <x:c r="U64" s="12" t="n">
        <x:f t="shared" si="6">R64*T64+S64</x:f>
        <x:v>11373.464307797243</x:v>
      </x:c>
      <x:c r="V64" s="2" t="n">
        <x:f t="shared" si="7">V$8+(V$9-V$8)*H64</x:f>
        <x:v>0.7957195996208147</x:v>
      </x:c>
      <x:c r="W64" s="2" t="n">
        <x:f t="shared" si="8">IF(B64&lt;$H$8,0,W$8+(W$9-W$8)*H64)</x:f>
        <x:v>0.1276261328277531</x:v>
      </x:c>
      <x:c r="X64" s="2" t="n">
        <x:f t="shared" si="9">X$8+(X$9-X$8)*H64</x:f>
        <x:v>0.36274296631908026</x:v>
      </x:c>
      <x:c r="Y64" s="2" t="n">
        <x:f t="shared" si="10">Y$8+(Y$9-Y$8)*G64</x:f>
        <x:v>1</x:v>
      </x:c>
      <x:c r="Z64" s="2" t="n">
        <x:f t="shared" si="11">Z$8+(Z$9-Z$8)*H64</x:f>
        <x:v>1</x:v>
      </x:c>
      <x:c r="AA64" s="2" t="n">
        <x:f t="shared" si="12">AA$8+(AA$9-AA$8)*I64</x:f>
        <x:v>1</x:v>
      </x:c>
      <x:c r="AB64" s="2" t="n">
        <x:f t="shared" si="13">AB$8+(AB$9-AB$8)*J64</x:f>
        <x:v>1</x:v>
      </x:c>
      <x:c r="AC64" s="2" t="n">
        <x:f t="shared" si="14">AC$8+(AC$9-AC$8)*MAX(K64,L64)</x:f>
        <x:v>1</x:v>
      </x:c>
      <x:c r="AD64" s="1" t="n">
        <x:f t="shared" si="15">(V64*AE64+W64*AF64+X64*AG64)*PRODUCT(Y64:AC64)</x:f>
        <x:v>1.3233098899013565</x:v>
      </x:c>
      <x:c r="AE64" s="2" t="n">
        <x:f t="shared" si="16">1+AE$9*($H$10*H64+$I$10*I64+$J$10*J64+$K$10*K64+$L$10*L64)</x:f>
        <x:v>1</x:v>
      </x:c>
      <x:c r="AF64" s="2" t="n">
        <x:f t="shared" si="17">1+AF$9*($H$10*H64+$I$10*I64+$J$10*J64+$K$10*K64+$L$10*L64)</x:f>
        <x:v>1.048308638134605</x:v>
      </x:c>
      <x:c r="AG64" s="2" t="n">
        <x:f t="shared" si="18">1+AG$9*($H$10*H64+$I$10*I64+$J$10*J64+$K$10*K64+$L$10*L64)</x:f>
        <x:v>1.0856136420274396</x:v>
      </x:c>
      <x:c r="AH64" s="2" t="n">
        <x:f>MIN(1,'_曲线基线'!$L$3+AH$9*($H$10*H64+$I$10*I64+$J$10*J64+$K$10*K64+$L$10*L64))</x:f>
        <x:v>0.1599021517562263</x:v>
      </x:c>
      <x:c r="AI64" s="2" t="n">
        <x:f>'_曲线基线'!$L$4+AI$9*($H$10*H64+$I$10*I64+$J$10*J64+$K$10*K64+$L$10*L64)</x:f>
        <x:v>2.306155994178059</x:v>
      </x:c>
      <x:c r="AJ64" s="2" t="n">
        <x:f t="shared" si="19">1+AJ$9*($H$10*H64+$I$10*I64+$J$10*J64+$K$10*K64+$L$10*L64)</x:f>
        <x:v>1.2512049182999458</x:v>
      </x:c>
      <x:c r="AK64" s="1" t="n">
        <x:f t="shared" si="20">(1+AH64*(AI64-1))*AJ64</x:f>
        <x:v>1.5125280166048287</x:v>
      </x:c>
      <x:c r="AL64" s="1" t="n">
        <x:f t="shared" si="21">U64*AD64*AK64*F64</x:f>
        <x:v>113822.40545572739</x:v>
      </x:c>
      <x:c r="AM64" s="13" t="n">
        <x:f t="shared" si="22">IF($B64&lt;AM$8,0,AM$3+(AM$4-AM$3)*(POWER(AM$5,$B64-AM$8)-1)/(POWER(AM$5,$C$5-AM$8)-1))</x:f>
        <x:v>35.90977297496795</x:v>
      </x:c>
      <x:c r="AN64" s="13" t="n">
        <x:f>(((E64*'模块规划'!$D$10+G64*'模块规划'!$D$11+H64*'模块规划'!$D$13)*(1+'模块规划'!$G$14*H64)+(I64*'模块规划'!$D$15+J64*'模块规划'!$D$17+K64*'模块规划'!$D$16+L64*'模块规划'!$D$18))*(1+'模块规划'!$J$17*J64))*F64/(1-Q64)</x:f>
        <x:v>260909.970617466</x:v>
      </x:c>
      <x:c r="AO64" s="1" t="n">
        <x:f t="shared" si="23">AL64*AM64</x:f>
        <x:v>4087336.7393799243</x:v>
      </x:c>
      <x:c r="AP64" s="1" t="n">
        <x:f>IF(AO64="","",INDEX('_曲线基线'!$A$3:$A$502,MIN(ROWS('_曲线基线'!$A$3:$A$502),COUNTIF('_曲线基线'!$E$3:$E$502,"&lt;"&amp;AO64)+1)))</x:f>
        <x:v>102</x:v>
      </x:c>
      <x:c r="AQ64" s="14" t="n">
        <x:f t="shared" si="24">IF(B64&lt;=2,1,IF(B64&lt;=6,2,IF(B64&lt;=9,3,IF(B64&lt;=19,4,5))))</x:f>
        <x:v>5</x:v>
      </x:c>
      <x:c r="AR64" s="10" t="n">
        <x:f t="shared" si="26">AN64*(1-Q64)/F64*$AS$3+U64*$AS$4+P64*$AS$5</x:f>
        <x:v>3464.315669957206</x:v>
      </x:c>
      <x:c r="AS64" s="15" t="n">
        <x:f t="shared" si="27">1+AH64*$AS$6+AI64*$AS$7+(AJ64-1)*$AS$8+($H$10*H64+$I$10*I64+$J$10*J64+$K$10*K64+$L$10*L64)*$AU$3*$AS$9+($H$10*H64+$I$10*I64+$J$10*J64+$K$10*K64+$L$10*L64)*$AU$4*$AS$10</x:f>
        <x:v>7.868076019232728</x:v>
      </x:c>
      <x:c r="AT64" s="16" t="n">
        <x:f t="shared" si="28">ROUND(AR64*AS64,0)</x:f>
        <x:v>27257</x:v>
      </x:c>
      <x:c r="AU64" s="16" t="n">
        <x:f t="shared" si="29">ROUND(AT64*F64,0)</x:f>
        <x:v>136285</x:v>
      </x:c>
      <x:c r="AV64" t="n">
        <x:f>IF(AU64&gt;0,ROUND(AU64,-MAX(0,INT(LOG10(AU64))-2)),0)</x:f>
        <x:v>136000</x:v>
      </x:c>
    </x:row>
    <x:row r="65" customHeight="1">
      <x:c r="A65" s="1" t="n">
        <x:f>IFERROR(XLOOKUP(B65,'_曲线基线'!$G$3:$G$107,'_曲线基线'!$J$3:$J$107,""),"")</x:f>
        <x:v>27</x:v>
      </x:c>
      <x:c r="B65" s="1" t="n">
        <x:v>54</x:v>
      </x:c>
      <x:c r="C65" s="1" t="n">
        <x:f t="shared" si="67">C50+1</x:f>
        <x:v>4</x:v>
      </x:c>
      <x:c r="D65" s="1" t="n">
        <x:f t="shared" si="68">D50</x:f>
        <x:v>15</x:v>
      </x:c>
      <x:c r="E65" s="1" t="n">
        <x:f t="shared" si="0">IF($B65&lt;E$8,0,E$3+(E$4-E$3)*(POWER(E$5,$B65-E$8)-1)/(POWER(E$5,$C$5-E$8)-1))</x:f>
        <x:v>1</x:v>
      </x:c>
      <x:c r="F65" s="10" t="n">
        <x:f t="shared" si="1">1+IF(B65&lt;3,0,MIN(1,(B65-2)/4))+IF(B65&lt;7,0,MIN(1,(B65-6)/3))+IF(B65&lt;10,0,MIN(1,(B65-9)/5))+IF(B65&lt;20,0,MIN(1,(B65-19)/10))</x:f>
        <x:v>5</x:v>
      </x:c>
      <x:c r="G65" s="11" t="n">
        <x:f t="shared" ref="G65:L65" si="83">'玩家战力_节点'!G65</x:f>
        <x:v>0.4447378645048161</x:v>
      </x:c>
      <x:c r="H65" s="11" t="n">
        <x:f t="shared" si="83">'玩家战力_节点'!H65</x:f>
        <x:v>0.3245548641521962</x:v>
      </x:c>
      <x:c r="I65" s="11" t="n">
        <x:f t="shared" si="83">'玩家战力_节点'!I65</x:f>
        <x:v>0</x:v>
      </x:c>
      <x:c r="J65" s="11" t="n">
        <x:f t="shared" si="83">'玩家战力_节点'!J65</x:f>
        <x:v>0.14952573389679608</x:v>
      </x:c>
      <x:c r="K65" s="11" t="n">
        <x:f t="shared" si="83">'玩家战力_节点'!K65</x:f>
        <x:v>0</x:v>
      </x:c>
      <x:c r="L65" s="11" t="n">
        <x:f t="shared" si="83">'玩家战力_节点'!L65</x:f>
        <x:v>0.27574691821756614</x:v>
      </x:c>
      <x:c r="M65" s="2" t="n">
        <x:f>E65*'模块规划'!$F$10+G65*'模块规划'!$F$11+H65*'模块规划'!$F$13</x:f>
        <x:v>3134.7417496231174</x:v>
      </x:c>
      <x:c r="N65" s="2" t="n">
        <x:f>I65*'模块规划'!$F$15+J65*'模块规划'!$F$17+K65*'模块规划'!$F$16+L65*'模块规划'!$F$18</x:f>
        <x:v>2873.9919300557913</x:v>
      </x:c>
      <x:c r="O65" s="2" t="n">
        <x:f t="shared" si="3">1+O$9*SUMPRODUCT($H$10:$L$10,H65:L65)/SUM($H$10:$L$10)</x:f>
        <x:v>1.5666803167722185</x:v>
      </x:c>
      <x:c r="P65" s="12" t="n">
        <x:f t="shared" si="4">M65*O65+N65</x:f>
        <x:v>7785.130127354435</x:v>
      </x:c>
      <x:c r="Q65" s="7" t="n">
        <x:f>P65/(P65+'_曲线基线'!$L$2)</x:f>
        <x:v>0.24492994353527955</x:v>
      </x:c>
      <x:c r="R65" s="2" t="n">
        <x:f>E65*'模块规划'!$E$10+G65*'模块规划'!$E$11+H65*'模块规划'!$E$13</x:f>
        <x:v>4702.112624434676</x:v>
      </x:c>
      <x:c r="S65" s="2" t="n">
        <x:f>I65*'模块规划'!$E$15+J65*'模块规划'!$E$17+K65*'模块规划'!$E$16+L65*'模块规划'!$E$18</x:f>
        <x:v>4310.987895083686</x:v>
      </x:c>
      <x:c r="T65" s="2" t="n">
        <x:f t="shared" si="5">1+T$9*SUMPRODUCT($H$10:$L$10,H65:L65)/SUM($H$10:$L$10)</x:f>
        <x:v>1.5666803167722185</x:v>
      </x:c>
      <x:c r="U65" s="12" t="n">
        <x:f t="shared" si="6">R65*T65+S65</x:f>
        <x:v>11677.695191031653</x:v>
      </x:c>
      <x:c r="V65" s="2" t="n">
        <x:f t="shared" si="7">V$8+(V$9-V$8)*H65</x:f>
        <x:v>0.7973664592456589</x:v>
      </x:c>
      <x:c r="W65" s="2" t="n">
        <x:f t="shared" si="8">IF(B65&lt;$H$8,0,W$8+(W$9-W$8)*H65)</x:f>
        <x:v>0.12982194566087848</x:v>
      </x:c>
      <x:c r="X65" s="2" t="n">
        <x:f t="shared" si="9">X$8+(X$9-X$8)*H65</x:f>
        <x:v>0.364252587641854</x:v>
      </x:c>
      <x:c r="Y65" s="2" t="n">
        <x:f t="shared" si="10">Y$8+(Y$9-Y$8)*G65</x:f>
        <x:v>1</x:v>
      </x:c>
      <x:c r="Z65" s="2" t="n">
        <x:f t="shared" si="11">Z$8+(Z$9-Z$8)*H65</x:f>
        <x:v>1</x:v>
      </x:c>
      <x:c r="AA65" s="2" t="n">
        <x:f t="shared" si="12">AA$8+(AA$9-AA$8)*I65</x:f>
        <x:v>1</x:v>
      </x:c>
      <x:c r="AB65" s="2" t="n">
        <x:f t="shared" si="13">AB$8+(AB$9-AB$8)*J65</x:f>
        <x:v>1</x:v>
      </x:c>
      <x:c r="AC65" s="2" t="n">
        <x:f t="shared" si="14">AC$8+(AC$9-AC$8)*MAX(K65,L65)</x:f>
        <x:v>1</x:v>
      </x:c>
      <x:c r="AD65" s="1" t="n">
        <x:f t="shared" si="15">(V65*AE65+W65*AF65+X65*AG65)*PRODUCT(Y65:AC65)</x:f>
        <x:v>1.3302203141347613</x:v>
      </x:c>
      <x:c r="AE65" s="2" t="n">
        <x:f t="shared" si="16">1+AE$9*($H$10*H65+$I$10*I65+$J$10*J65+$K$10*K65+$L$10*L65)</x:f>
        <x:v>1</x:v>
      </x:c>
      <x:c r="AF65" s="2" t="n">
        <x:f t="shared" si="17">1+AF$9*($H$10*H65+$I$10*I65+$J$10*J65+$K$10*K65+$L$10*L65)</x:f>
        <x:v>1.0500147000228113</x:v>
      </x:c>
      <x:c r="AG65" s="2" t="n">
        <x:f t="shared" si="18">1+AG$9*($H$10*H65+$I$10*I65+$J$10*J65+$K$10*K65+$L$10*L65)</x:f>
        <x:v>1.088637162818205</x:v>
      </x:c>
      <x:c r="AH65" s="2" t="n">
        <x:f>MIN(1,'_曲线基线'!$L$3+AH$9*($H$10*H65+$I$10*I65+$J$10*J65+$K$10*K65+$L$10*L65))</x:f>
        <x:v>0.16378344255189542</x:v>
      </x:c>
      <x:c r="AI65" s="2" t="n">
        <x:f>'_曲线基线'!$L$4+AI$9*($H$10*H65+$I$10*I65+$J$10*J65+$K$10*K65+$L$10*L65)</x:f>
        <x:v>2.316968161394566</x:v>
      </x:c>
      <x:c r="AJ65" s="2" t="n">
        <x:f t="shared" si="19">1+AJ$9*($H$10*H65+$I$10*I65+$J$10*J65+$K$10*K65+$L$10*L65)</x:f>
        <x:v>1.2600764401186182</x:v>
      </x:c>
      <x:c r="AK65" s="1" t="n">
        <x:f t="shared" si="20">(1+AH65*(AI65-1))*AJ65</x:f>
        <x:v>1.5318718778647553</x:v>
      </x:c>
      <x:c r="AL65" s="1" t="n">
        <x:f t="shared" si="21">U65*AD65*AK65*F65</x:f>
        <x:v>118979.77923194061</x:v>
      </x:c>
      <x:c r="AM65" s="13" t="n">
        <x:f t="shared" si="22">IF($B65&lt;AM$8,0,AM$3+(AM$4-AM$3)*(POWER(AM$5,$B65-AM$8)-1)/(POWER(AM$5,$C$5-AM$8)-1))</x:f>
        <x:v>35.93229534463949</x:v>
      </x:c>
      <x:c r="AN65" s="13" t="n">
        <x:f>(((E65*'模块规划'!$D$10+G65*'模块规划'!$D$11+H65*'模块规划'!$D$13)*(1+'模块规划'!$G$14*H65)+(I65*'模块规划'!$D$15+J65*'模块规划'!$D$17+K65*'模块规划'!$D$16+L65*'模块规划'!$D$18))*(1+'模块规划'!$J$17*J65))*F65/(1-Q65)</x:f>
        <x:v>270400.0470913143</x:v>
      </x:c>
      <x:c r="AO65" s="1" t="n">
        <x:f t="shared" si="23">AL65*AM65</x:f>
        <x:v>4275216.567402095</x:v>
      </x:c>
      <x:c r="AP65" s="1" t="n">
        <x:f>IF(AO65="","",INDEX('_曲线基线'!$A$3:$A$502,MIN(ROWS('_曲线基线'!$A$3:$A$502),COUNTIF('_曲线基线'!$E$3:$E$502,"&lt;"&amp;AO65)+1)))</x:f>
        <x:v>104</x:v>
      </x:c>
      <x:c r="AQ65" s="14" t="n">
        <x:f t="shared" si="24">IF(B65&lt;=2,1,IF(B65&lt;=6,2,IF(B65&lt;=9,3,IF(B65&lt;=19,4,5))))</x:f>
        <x:v>5</x:v>
      </x:c>
      <x:c r="AR65" s="10" t="n">
        <x:f t="shared" si="26">AN65*(1-Q65)/F65*$AS$3+U65*$AS$4+P65*$AS$5</x:f>
        <x:v>3560.564911158141</x:v>
      </x:c>
      <x:c r="AS65" s="15" t="n">
        <x:f t="shared" si="27">1+AH65*$AS$6+AI65*$AS$7+(AJ65-1)*$AS$8+($H$10*H65+$I$10*I65+$J$10*J65+$K$10*K65+$L$10*L65)*$AU$3*$AS$9+($H$10*H65+$I$10*I65+$J$10*J65+$K$10*K65+$L$10*L65)*$AU$4*$AS$10</x:f>
        <x:v>7.970015155565869</x:v>
      </x:c>
      <x:c r="AT65" s="16" t="n">
        <x:f t="shared" si="28">ROUND(AR65*AS65,0)</x:f>
        <x:v>28378</x:v>
      </x:c>
      <x:c r="AU65" s="16" t="n">
        <x:f t="shared" si="29">ROUND(AT65*F65,0)</x:f>
        <x:v>141890</x:v>
      </x:c>
      <x:c r="AV65" t="n">
        <x:f>IF(AU65&gt;0,ROUND(AU65,-MAX(0,INT(LOG10(AU65))-2)),0)</x:f>
        <x:v>142000</x:v>
      </x:c>
    </x:row>
    <x:row r="66" customHeight="1">
      <x:c r="A66" s="1" t="n">
        <x:f>IFERROR(XLOOKUP(B66,'_曲线基线'!$G$3:$G$107,'_曲线基线'!$J$3:$J$107,""),"")</x:f>
        <x:v>27</x:v>
      </x:c>
      <x:c r="B66" s="1" t="n">
        <x:v>55</x:v>
      </x:c>
      <x:c r="C66" s="1" t="n">
        <x:f t="shared" si="67">C51+1</x:f>
        <x:v>5</x:v>
      </x:c>
      <x:c r="D66" s="1" t="n">
        <x:f t="shared" si="68">D51</x:f>
        <x:v>1</x:v>
      </x:c>
      <x:c r="E66" s="1" t="n">
        <x:f t="shared" si="0">IF($B66&lt;E$8,0,E$3+(E$4-E$3)*(POWER(E$5,$B66-E$8)-1)/(POWER(E$5,$C$5-E$8)-1))</x:f>
        <x:v>1</x:v>
      </x:c>
      <x:c r="F66" s="10" t="n">
        <x:f t="shared" si="1">1+IF(B66&lt;3,0,MIN(1,(B66-2)/4))+IF(B66&lt;7,0,MIN(1,(B66-6)/3))+IF(B66&lt;10,0,MIN(1,(B66-9)/5))+IF(B66&lt;20,0,MIN(1,(B66-19)/10))</x:f>
        <x:v>5</x:v>
      </x:c>
      <x:c r="G66" s="11" t="n">
        <x:f t="shared" ref="G66:L66" si="84">'玩家战力_节点'!G66</x:f>
        <x:v>0.4493517472656667</x:v>
      </x:c>
      <x:c r="H66" s="11" t="n">
        <x:f t="shared" si="84">'玩家战力_节点'!H66</x:f>
        <x:v>0.32925696182095343</x:v>
      </x:c>
      <x:c r="I66" s="11" t="n">
        <x:f t="shared" si="84">'玩家战力_节点'!I66</x:f>
        <x:v>0</x:v>
      </x:c>
      <x:c r="J66" s="11" t="n">
        <x:f t="shared" si="84">'玩家战力_节点'!J66</x:f>
        <x:v>0.15559968636120897</x:v>
      </x:c>
      <x:c r="K66" s="11" t="n">
        <x:f t="shared" si="84">'玩家战力_节点'!K66</x:f>
        <x:v>0</x:v>
      </x:c>
      <x:c r="L66" s="11" t="n">
        <x:f t="shared" si="84">'玩家战力_节点'!L66</x:f>
        <x:v>0.2813764351358035</x:v>
      </x:c>
      <x:c r="M66" s="2" t="n">
        <x:f>E66*'模块规划'!$F$10+G66*'模块规划'!$F$11+H66*'模块规划'!$F$13</x:f>
        <x:v>3156.8883868752</x:v>
      </x:c>
      <x:c r="N66" s="2" t="n">
        <x:f>I66*'模块规划'!$F$15+J66*'模块规划'!$F$17+K66*'模块规划'!$F$16+L66*'模块规划'!$F$18</x:f>
        <x:v>2962.879039291107</x:v>
      </x:c>
      <x:c r="O66" s="2" t="n">
        <x:f t="shared" si="3">1+O$9*SUMPRODUCT($H$10:$L$10,H66:L66)/SUM($H$10:$L$10)</x:f>
        <x:v>1.583237694598798</x:v>
      </x:c>
      <x:c r="P66" s="12" t="n">
        <x:f t="shared" si="4">M66*O66+N66</x:f>
        <x:v>7960.983731033117</x:v>
      </x:c>
      <x:c r="Q66" s="7" t="n">
        <x:f>P66/(P66+'_曲线基线'!$L$2)</x:f>
        <x:v>0.24908443989173118</x:v>
      </x:c>
      <x:c r="R66" s="2" t="n">
        <x:f>E66*'模块规划'!$E$10+G66*'模块规划'!$E$11+H66*'模块规划'!$E$13</x:f>
        <x:v>4735.3325803128</x:v>
      </x:c>
      <x:c r="S66" s="2" t="n">
        <x:f>I66*'模块规划'!$E$15+J66*'模块规划'!$E$17+K66*'模块规划'!$E$16+L66*'模块规划'!$E$18</x:f>
        <x:v>4444.31855893666</x:v>
      </x:c>
      <x:c r="T66" s="2" t="n">
        <x:f t="shared" si="5">1+T$9*SUMPRODUCT($H$10:$L$10,H66:L66)/SUM($H$10:$L$10)</x:f>
        <x:v>1.583237694598798</x:v>
      </x:c>
      <x:c r="U66" s="12" t="n">
        <x:f t="shared" si="6">R66*T66+S66</x:f>
        <x:v>11941.475596549675</x:v>
      </x:c>
      <x:c r="V66" s="2" t="n">
        <x:f t="shared" si="7">V$8+(V$9-V$8)*H66</x:f>
        <x:v>0.798777088546286</x:v>
      </x:c>
      <x:c r="W66" s="2" t="n">
        <x:f t="shared" si="8">IF(B66&lt;$H$8,0,W$8+(W$9-W$8)*H66)</x:f>
        <x:v>0.13170278472838137</x:v>
      </x:c>
      <x:c r="X66" s="2" t="n">
        <x:f t="shared" si="9">X$8+(X$9-X$8)*H66</x:f>
        <x:v>0.3655456645007622</x:v>
      </x:c>
      <x:c r="Y66" s="2" t="n">
        <x:f t="shared" si="10">Y$8+(Y$9-Y$8)*G66</x:f>
        <x:v>1</x:v>
      </x:c>
      <x:c r="Z66" s="2" t="n">
        <x:f t="shared" si="11">Z$8+(Z$9-Z$8)*H66</x:f>
        <x:v>1</x:v>
      </x:c>
      <x:c r="AA66" s="2" t="n">
        <x:f t="shared" si="12">AA$8+(AA$9-AA$8)*I66</x:f>
        <x:v>1</x:v>
      </x:c>
      <x:c r="AB66" s="2" t="n">
        <x:f t="shared" si="13">AB$8+(AB$9-AB$8)*J66</x:f>
        <x:v>1</x:v>
      </x:c>
      <x:c r="AC66" s="2" t="n">
        <x:f t="shared" si="14">AC$8+(AC$9-AC$8)*MAX(K66,L66)</x:f>
        <x:v>1</x:v>
      </x:c>
      <x:c r="AD66" s="1" t="n">
        <x:f t="shared" si="15">(V66*AE66+W66*AF66+X66*AG66)*PRODUCT(Y66:AC66)</x:f>
        <x:v>1.336152702911082</x:v>
      </x:c>
      <x:c r="AE66" s="2" t="n">
        <x:f t="shared" si="16">1+AE$9*($H$10*H66+$I$10*I66+$J$10*J66+$K$10*K66+$L$10*L66)</x:f>
        <x:v>1</x:v>
      </x:c>
      <x:c r="AF66" s="2" t="n">
        <x:f t="shared" si="17">1+AF$9*($H$10*H66+$I$10*I66+$J$10*J66+$K$10*K66+$L$10*L66)</x:f>
        <x:v>1.051476039442323</x:v>
      </x:c>
      <x:c r="AG66" s="2" t="n">
        <x:f t="shared" si="18">1+AG$9*($H$10*H66+$I$10*I66+$J$10*J66+$K$10*K66+$L$10*L66)</x:f>
        <x:v>1.0912269810116733</x:v>
      </x:c>
      <x:c r="AH66" s="2" t="n">
        <x:f>MIN(1,'_曲线基线'!$L$3+AH$9*($H$10*H66+$I$10*I66+$J$10*J66+$K$10*K66+$L$10*L66))</x:f>
        <x:v>0.1671079897312849</x:v>
      </x:c>
      <x:c r="AI66" s="2" t="n">
        <x:f>'_曲线基线'!$L$4+AI$9*($H$10*H66+$I$10*I66+$J$10*J66+$K$10*K66+$L$10*L66)</x:f>
        <x:v>2.3262293999657224</x:v>
      </x:c>
      <x:c r="AJ66" s="2" t="n">
        <x:f t="shared" si="19">1+AJ$9*($H$10*H66+$I$10*I66+$J$10*J66+$K$10*K66+$L$10*L66)</x:f>
        <x:v>1.2676754051000798</x:v>
      </x:c>
      <x:c r="AK66" s="1" t="n">
        <x:f t="shared" si="20">(1+AH66*(AI66-1))*AJ66</x:f>
        <x:v>1.5486221019424946</x:v>
      </x:c>
      <x:c r="AL66" s="1" t="n">
        <x:f t="shared" si="21">U66*AD66*AK66*F66</x:f>
        <x:v>123546.24424520248</x:v>
      </x:c>
      <x:c r="AM66" s="13" t="n">
        <x:f t="shared" si="22">IF($B66&lt;AM$8,0,AM$3+(AM$4-AM$3)*(POWER(AM$5,$B66-AM$8)-1)/(POWER(AM$5,$C$5-AM$8)-1))</x:f>
        <x:v>35.95504293800776</x:v>
      </x:c>
      <x:c r="AN66" s="13" t="n">
        <x:f>(((E66*'模块规划'!$D$10+G66*'模块规划'!$D$11+H66*'模块规划'!$D$13)*(1+'模块规划'!$G$14*H66)+(I66*'模块规划'!$D$15+J66*'模块规划'!$D$17+K66*'模块规划'!$D$16+L66*'模块规划'!$D$18))*(1+'模块规划'!$J$17*J66))*F66/(1-Q66)</x:f>
        <x:v>278746.5938106992</x:v>
      </x:c>
      <x:c r="AO66" s="1" t="n">
        <x:f t="shared" si="23">AL66*AM66</x:f>
        <x:v>4442110.516665849</x:v>
      </x:c>
      <x:c r="AP66" s="1" t="n">
        <x:f>IF(AO66="","",INDEX('_曲线基线'!$A$3:$A$502,MIN(ROWS('_曲线基线'!$A$3:$A$502),COUNTIF('_曲线基线'!$E$3:$E$502,"&lt;"&amp;AO66)+1)))</x:f>
        <x:v>106</x:v>
      </x:c>
      <x:c r="AQ66" s="14" t="n">
        <x:f t="shared" si="24">IF(B66&lt;=2,1,IF(B66&lt;=6,2,IF(B66&lt;=9,3,IF(B66&lt;=19,4,5))))</x:f>
        <x:v>5</x:v>
      </x:c>
      <x:c r="AR66" s="10" t="n">
        <x:f t="shared" si="26">AN66*(1-Q66)/F66*$AS$3+U66*$AS$4+P66*$AS$5</x:f>
        <x:v>3644.1860470277343</x:v>
      </x:c>
      <x:c r="AS66" s="15" t="n">
        <x:f t="shared" si="27">1+AH66*$AS$6+AI66*$AS$7+(AJ66-1)*$AS$8+($H$10*H66+$I$10*I66+$J$10*J66+$K$10*K66+$L$10*L66)*$AU$3*$AS$9+($H$10*H66+$I$10*I66+$J$10*J66+$K$10*K66+$L$10*L66)*$AU$4*$AS$10</x:f>
        <x:v>8.05733184632862</x:v>
      </x:c>
      <x:c r="AT66" s="16" t="n">
        <x:f t="shared" si="28">ROUND(AR66*AS66,0)</x:f>
        <x:v>29362</x:v>
      </x:c>
      <x:c r="AU66" s="16" t="n">
        <x:f t="shared" si="29">ROUND(AT66*F66,0)</x:f>
        <x:v>146810</x:v>
      </x:c>
      <x:c r="AV66" t="n">
        <x:f>IF(AU66&gt;0,ROUND(AU66,-MAX(0,INT(LOG10(AU66))-2)),0)</x:f>
        <x:v>147000</x:v>
      </x:c>
    </x:row>
    <x:row r="67" customHeight="1">
      <x:c r="A67" s="1" t="n">
        <x:f>IFERROR(XLOOKUP(B67,'_曲线基线'!$G$3:$G$107,'_曲线基线'!$J$3:$J$107,""),"")</x:f>
        <x:v>27</x:v>
      </x:c>
      <x:c r="B67" s="1" t="n">
        <x:v>56</x:v>
      </x:c>
      <x:c r="C67" s="1" t="n">
        <x:f t="shared" si="67">C52+1</x:f>
        <x:v>5</x:v>
      </x:c>
      <x:c r="D67" s="1" t="n">
        <x:f t="shared" si="68">D52</x:f>
        <x:v>2</x:v>
      </x:c>
      <x:c r="E67" s="1" t="n">
        <x:f t="shared" si="0">IF($B67&lt;E$8,0,E$3+(E$4-E$3)*(POWER(E$5,$B67-E$8)-1)/(POWER(E$5,$C$5-E$8)-1))</x:f>
        <x:v>1</x:v>
      </x:c>
      <x:c r="F67" s="10" t="n">
        <x:f t="shared" si="1">1+IF(B67&lt;3,0,MIN(1,(B67-2)/4))+IF(B67&lt;7,0,MIN(1,(B67-6)/3))+IF(B67&lt;10,0,MIN(1,(B67-9)/5))+IF(B67&lt;20,0,MIN(1,(B67-19)/10))</x:f>
        <x:v>5</x:v>
      </x:c>
      <x:c r="G67" s="11" t="n">
        <x:f t="shared" ref="G67:L67" si="85">'玩家战力_节点'!G67</x:f>
        <x:v>0.45363307358359145</x:v>
      </x:c>
      <x:c r="H67" s="11" t="n">
        <x:f t="shared" si="85">'玩家战力_节点'!H67</x:f>
        <x:v>0.3335130705704604</x:v>
      </x:c>
      <x:c r="I67" s="11" t="n">
        <x:f t="shared" si="85">'玩家战力_节点'!I67</x:f>
        <x:v>0</x:v>
      </x:c>
      <x:c r="J67" s="11" t="n">
        <x:f t="shared" si="85">'玩家战力_节点'!J67</x:f>
        <x:v>0.16109753095079396</x:v>
      </x:c>
      <x:c r="K67" s="11" t="n">
        <x:f t="shared" si="85">'玩家战力_节点'!K67</x:f>
        <x:v>0</x:v>
      </x:c>
      <x:c r="L67" s="11" t="n">
        <x:f t="shared" si="85">'玩家战力_节点'!L67</x:f>
        <x:v>0.2864719984139554</x:v>
      </x:c>
      <x:c r="M67" s="2" t="n">
        <x:f>E67*'模块规划'!$F$10+G67*'模块规划'!$F$11+H67*'模块规划'!$F$13</x:f>
        <x:v>3177.438753201239</x:v>
      </x:c>
      <x:c r="N67" s="2" t="n">
        <x:f>I67*'模块规划'!$F$15+J67*'模块规划'!$F$17+K67*'模块规划'!$F$16+L67*'模块规划'!$F$18</x:f>
        <x:v>3043.3353015777166</x:v>
      </x:c>
      <x:c r="O67" s="2" t="n">
        <x:f t="shared" si="3">1+O$9*SUMPRODUCT($H$10:$L$10,H67:L67)/SUM($H$10:$L$10)</x:f>
        <x:v>1.598224622902059</x:v>
      </x:c>
      <x:c r="P67" s="12" t="n">
        <x:f t="shared" si="4">M67*O67+N67</x:f>
        <x:v>8121.596154707155</x:v>
      </x:c>
      <x:c r="Q67" s="7" t="n">
        <x:f>P67/(P67+'_曲线基线'!$L$2)</x:f>
        <x:v>0.25283912155520333</x:v>
      </x:c>
      <x:c r="R67" s="2" t="n">
        <x:f>E67*'模块规划'!$E$10+G67*'模块规划'!$E$11+H67*'模块规划'!$E$13</x:f>
        <x:v>4766.158129801859</x:v>
      </x:c>
      <x:c r="S67" s="2" t="n">
        <x:f>I67*'模块规划'!$E$15+J67*'模块规划'!$E$17+K67*'模块规划'!$E$16+L67*'模块规划'!$E$18</x:f>
        <x:v>4565.002952366574</x:v>
      </x:c>
      <x:c r="T67" s="2" t="n">
        <x:f t="shared" si="5">1+T$9*SUMPRODUCT($H$10:$L$10,H67:L67)/SUM($H$10:$L$10)</x:f>
        <x:v>1.598224622902059</x:v>
      </x:c>
      <x:c r="U67" s="12" t="n">
        <x:f t="shared" si="6">R67*T67+S67</x:f>
        <x:v>12182.394232060733</x:v>
      </x:c>
      <x:c r="V67" s="2" t="n">
        <x:f t="shared" si="7">V$8+(V$9-V$8)*H67</x:f>
        <x:v>0.800053921171138</x:v>
      </x:c>
      <x:c r="W67" s="2" t="n">
        <x:f t="shared" si="8">IF(B67&lt;$H$8,0,W$8+(W$9-W$8)*H67)</x:f>
        <x:v>0.13340522822818418</x:v>
      </x:c>
      <x:c r="X67" s="2" t="n">
        <x:f t="shared" si="9">X$8+(X$9-X$8)*H67</x:f>
        <x:v>0.36671609440687664</x:v>
      </x:c>
      <x:c r="Y67" s="2" t="n">
        <x:f t="shared" si="10">Y$8+(Y$9-Y$8)*G67</x:f>
        <x:v>1</x:v>
      </x:c>
      <x:c r="Z67" s="2" t="n">
        <x:f t="shared" si="11">Z$8+(Z$9-Z$8)*H67</x:f>
        <x:v>1</x:v>
      </x:c>
      <x:c r="AA67" s="2" t="n">
        <x:f t="shared" si="12">AA$8+(AA$9-AA$8)*I67</x:f>
        <x:v>1</x:v>
      </x:c>
      <x:c r="AB67" s="2" t="n">
        <x:f t="shared" si="13">AB$8+(AB$9-AB$8)*J67</x:f>
        <x:v>1</x:v>
      </x:c>
      <x:c r="AC67" s="2" t="n">
        <x:f t="shared" si="14">AC$8+(AC$9-AC$8)*MAX(K67,L67)</x:f>
        <x:v>1</x:v>
      </x:c>
      <x:c r="AD67" s="1" t="n">
        <x:f t="shared" si="15">(V67*AE67+W67*AF67+X67*AG67)*PRODUCT(Y67:AC67)</x:f>
        <x:v>1.3415329255976105</x:v>
      </x:c>
      <x:c r="AE67" s="2" t="n">
        <x:f t="shared" si="16">1+AE$9*($H$10*H67+$I$10*I67+$J$10*J67+$K$10*K67+$L$10*L67)</x:f>
        <x:v>1</x:v>
      </x:c>
      <x:c r="AF67" s="2" t="n">
        <x:f t="shared" si="17">1+AF$9*($H$10*H67+$I$10*I67+$J$10*J67+$K$10*K67+$L$10*L67)</x:f>
        <x:v>1.0527987723856878</x:v>
      </x:c>
      <x:c r="AG67" s="2" t="n">
        <x:f t="shared" si="18">1+AG$9*($H$10*H67+$I$10*I67+$J$10*J67+$K$10*K67+$L$10*L67)</x:f>
        <x:v>1.0935711577279696</x:v>
      </x:c>
      <x:c r="AH67" s="2" t="n">
        <x:f>MIN(1,'_曲线基线'!$L$3+AH$9*($H$10*H67+$I$10*I67+$J$10*J67+$K$10*K67+$L$10*L67))</x:f>
        <x:v>0.17011720717743967</x:v>
      </x:c>
      <x:c r="AI67" s="2" t="n">
        <x:f>'_曲线基线'!$L$4+AI$9*($H$10*H67+$I$10*I67+$J$10*J67+$K$10*K67+$L$10*L67)</x:f>
        <x:v>2.3346122199942965</x:v>
      </x:c>
      <x:c r="AJ67" s="2" t="n">
        <x:f t="shared" si="19">1+AJ$9*($H$10*H67+$I$10*I67+$J$10*J67+$K$10*K67+$L$10*L67)</x:f>
        <x:v>1.2745536164055764</x:v>
      </x:c>
      <x:c r="AK67" s="1" t="n">
        <x:f t="shared" si="20">(1+AH67*(AI67-1))*AJ67</x:f>
        <x:v>1.5639289112506791</x:v>
      </x:c>
      <x:c r="AL67" s="1" t="n">
        <x:f t="shared" si="21">U67*AD67*AK67*F67</x:f>
        <x:v>127797.09981722989</x:v>
      </x:c>
      <x:c r="AM67" s="13" t="n">
        <x:f t="shared" si="22">IF($B67&lt;AM$8,0,AM$3+(AM$4-AM$3)*(POWER(AM$5,$B67-AM$8)-1)/(POWER(AM$5,$C$5-AM$8)-1))</x:f>
        <x:v>35.97801800730971</x:v>
      </x:c>
      <x:c r="AN67" s="13" t="n">
        <x:f>(((E67*'模块规划'!$D$10+G67*'模块规划'!$D$11+H67*'模块规划'!$D$13)*(1+'模块规划'!$G$14*H67)+(I67*'模块规划'!$D$15+J67*'模块规划'!$D$17+K67*'模块规划'!$D$16+L67*'模块规划'!$D$18))*(1+'模块规划'!$J$17*J67))*F67/(1-Q67)</x:f>
        <x:v>286466.9714298991</x:v>
      </x:c>
      <x:c r="AO67" s="1" t="n">
        <x:f t="shared" si="23">AL67*AM67</x:f>
        <x:v>4597886.358506253</x:v>
      </x:c>
      <x:c r="AP67" s="1" t="n">
        <x:f>IF(AO67="","",INDEX('_曲线基线'!$A$3:$A$502,MIN(ROWS('_曲线基线'!$A$3:$A$502),COUNTIF('_曲线基线'!$E$3:$E$502,"&lt;"&amp;AO67)+1)))</x:f>
        <x:v>107</x:v>
      </x:c>
      <x:c r="AQ67" s="14" t="n">
        <x:f t="shared" si="24">IF(B67&lt;=2,1,IF(B67&lt;=6,2,IF(B67&lt;=9,3,IF(B67&lt;=19,4,5))))</x:f>
        <x:v>5</x:v>
      </x:c>
      <x:c r="AR67" s="10" t="n">
        <x:f t="shared" si="26">AN67*(1-Q67)/F67*$AS$3+U67*$AS$4+P67*$AS$5</x:f>
        <x:v>3720.7003305260496</x:v>
      </x:c>
      <x:c r="AS67" s="15" t="n">
        <x:f t="shared" si="27">1+AH67*$AS$6+AI67*$AS$7+(AJ67-1)*$AS$8+($H$10*H67+$I$10*I67+$J$10*J67+$K$10*K67+$L$10*L67)*$AU$3*$AS$9+($H$10*H67+$I$10*I67+$J$10*J67+$K$10*K67+$L$10*L67)*$AU$4*$AS$10</x:f>
        <x:v>8.136366642649968</x:v>
      </x:c>
      <x:c r="AT67" s="16" t="n">
        <x:f t="shared" si="28">ROUND(AR67*AS67,0)</x:f>
        <x:v>30273</x:v>
      </x:c>
      <x:c r="AU67" s="16" t="n">
        <x:f t="shared" si="29">ROUND(AT67*F67,0)</x:f>
        <x:v>151365</x:v>
      </x:c>
      <x:c r="AV67" t="n">
        <x:f>IF(AU67&gt;0,ROUND(AU67,-MAX(0,INT(LOG10(AU67))-2)),0)</x:f>
        <x:v>151000</x:v>
      </x:c>
    </x:row>
    <x:row r="68" customHeight="1">
      <x:c r="A68" s="1" t="n">
        <x:f>IFERROR(XLOOKUP(B68,'_曲线基线'!$G$3:$G$107,'_曲线基线'!$J$3:$J$107,""),"")</x:f>
        <x:v>28</x:v>
      </x:c>
      <x:c r="B68" s="1" t="n">
        <x:v>57</x:v>
      </x:c>
      <x:c r="C68" s="1" t="n">
        <x:f t="shared" si="67">C53+1</x:f>
        <x:v>5</x:v>
      </x:c>
      <x:c r="D68" s="1" t="n">
        <x:f t="shared" si="68">D53</x:f>
        <x:v>3</x:v>
      </x:c>
      <x:c r="E68" s="1" t="n">
        <x:f t="shared" si="0">IF($B68&lt;E$8,0,E$3+(E$4-E$3)*(POWER(E$5,$B68-E$8)-1)/(POWER(E$5,$C$5-E$8)-1))</x:f>
        <x:v>1</x:v>
      </x:c>
      <x:c r="F68" s="10" t="n">
        <x:f t="shared" si="1">1+IF(B68&lt;3,0,MIN(1,(B68-2)/4))+IF(B68&lt;7,0,MIN(1,(B68-6)/3))+IF(B68&lt;10,0,MIN(1,(B68-9)/5))+IF(B68&lt;20,0,MIN(1,(B68-19)/10))</x:f>
        <x:v>5</x:v>
      </x:c>
      <x:c r="G68" s="11" t="n">
        <x:f t="shared" ref="G68:L68" si="86">'玩家战力_节点'!G68</x:f>
        <x:v>0.4579143999015162</x:v>
      </x:c>
      <x:c r="H68" s="11" t="n">
        <x:f t="shared" si="86">'玩家战力_节点'!H68</x:f>
        <x:v>0.3377691793199674</x:v>
      </x:c>
      <x:c r="I68" s="11" t="n">
        <x:f t="shared" si="86">'玩家战力_节点'!I68</x:f>
        <x:v>0</x:v>
      </x:c>
      <x:c r="J68" s="11" t="n">
        <x:f t="shared" si="86">'玩家战力_节点'!J68</x:f>
        <x:v>0.16659537554037893</x:v>
      </x:c>
      <x:c r="K68" s="11" t="n">
        <x:f t="shared" si="86">'玩家战力_节点'!K68</x:f>
        <x:v>0</x:v>
      </x:c>
      <x:c r="L68" s="11" t="n">
        <x:f t="shared" si="86">'玩家战力_节点'!L68</x:f>
        <x:v>0.2915675616921073</x:v>
      </x:c>
      <x:c r="M68" s="2" t="n">
        <x:f>E68*'模块规划'!$F$10+G68*'模块规划'!$F$11+H68*'模块规划'!$F$13</x:f>
        <x:v>3197.989119527278</x:v>
      </x:c>
      <x:c r="N68" s="2" t="n">
        <x:f>I68*'模块规划'!$F$15+J68*'模块规划'!$F$17+K68*'模块规划'!$F$16+L68*'模块规划'!$F$18</x:f>
        <x:v>3123.791563864326</x:v>
      </x:c>
      <x:c r="O68" s="2" t="n">
        <x:f t="shared" si="3">1+O$9*SUMPRODUCT($H$10:$L$10,H68:L68)/SUM($H$10:$L$10)</x:f>
        <x:v>1.6132115512053198</x:v>
      </x:c>
      <x:c r="P68" s="12" t="n">
        <x:f t="shared" si="4">M68*O68+N68</x:f>
        <x:v>8282.82455211466</x:v>
      </x:c>
      <x:c r="Q68" s="7" t="n">
        <x:f>P68/(P68+'_曲线基线'!$L$2)</x:f>
        <x:v>0.25657062747850856</x:v>
      </x:c>
      <x:c r="R68" s="2" t="n">
        <x:f>E68*'模块规划'!$E$10+G68*'模块规划'!$E$11+H68*'模块规划'!$E$13</x:f>
        <x:v>4796.983679290917</x:v>
      </x:c>
      <x:c r="S68" s="2" t="n">
        <x:f>I68*'模块规划'!$E$15+J68*'模块规划'!$E$17+K68*'模块规划'!$E$16+L68*'模块规划'!$E$18</x:f>
        <x:v>4685.687345796488</x:v>
      </x:c>
      <x:c r="T68" s="2" t="n">
        <x:f t="shared" si="5">1+T$9*SUMPRODUCT($H$10:$L$10,H68:L68)/SUM($H$10:$L$10)</x:f>
        <x:v>1.6132115512053198</x:v>
      </x:c>
      <x:c r="U68" s="12" t="n">
        <x:f t="shared" si="6">R68*T68+S68</x:f>
        <x:v>12424.23682817199</x:v>
      </x:c>
      <x:c r="V68" s="2" t="n">
        <x:f t="shared" si="7">V$8+(V$9-V$8)*H68</x:f>
        <x:v>0.8013307537959902</x:v>
      </x:c>
      <x:c r="W68" s="2" t="n">
        <x:f t="shared" si="8">IF(B68&lt;$H$8,0,W$8+(W$9-W$8)*H68)</x:f>
        <x:v>0.13510767172798696</x:v>
      </x:c>
      <x:c r="X68" s="2" t="n">
        <x:f t="shared" si="9">X$8+(X$9-X$8)*H68</x:f>
        <x:v>0.36788652431299107</x:v>
      </x:c>
      <x:c r="Y68" s="2" t="n">
        <x:f t="shared" si="10">Y$8+(Y$9-Y$8)*G68</x:f>
        <x:v>1</x:v>
      </x:c>
      <x:c r="Z68" s="2" t="n">
        <x:f t="shared" si="11">Z$8+(Z$9-Z$8)*H68</x:f>
        <x:v>1</x:v>
      </x:c>
      <x:c r="AA68" s="2" t="n">
        <x:f t="shared" si="12">AA$8+(AA$9-AA$8)*I68</x:f>
        <x:v>1</x:v>
      </x:c>
      <x:c r="AB68" s="2" t="n">
        <x:f t="shared" si="13">AB$8+(AB$9-AB$8)*J68</x:f>
        <x:v>1</x:v>
      </x:c>
      <x:c r="AC68" s="2" t="n">
        <x:f t="shared" si="14">AC$8+(AC$9-AC$8)*MAX(K68,L68)</x:f>
        <x:v>1</x:v>
      </x:c>
      <x:c r="AD68" s="1" t="n">
        <x:f t="shared" si="15">(V68*AE68+W68*AF68+X68*AG68)*PRODUCT(Y68:AC68)</x:f>
        <x:v>1.3469231394294094</x:v>
      </x:c>
      <x:c r="AE68" s="2" t="n">
        <x:f t="shared" si="16">1+AE$9*($H$10*H68+$I$10*I68+$J$10*J68+$K$10*K68+$L$10*L68)</x:f>
        <x:v>1</x:v>
      </x:c>
      <x:c r="AF68" s="2" t="n">
        <x:f t="shared" si="17">1+AF$9*($H$10*H68+$I$10*I68+$J$10*J68+$K$10*K68+$L$10*L68)</x:f>
        <x:v>1.0541215053290525</x:v>
      </x:c>
      <x:c r="AG68" s="2" t="n">
        <x:f t="shared" si="18">1+AG$9*($H$10*H68+$I$10*I68+$J$10*J68+$K$10*K68+$L$10*L68)</x:f>
        <x:v>1.095915334444266</x:v>
      </x:c>
      <x:c r="AH68" s="2" t="n">
        <x:f>MIN(1,'_曲线基线'!$L$3+AH$9*($H$10*H68+$I$10*I68+$J$10*J68+$K$10*K68+$L$10*L68))</x:f>
        <x:v>0.1731264246235944</x:v>
      </x:c>
      <x:c r="AI68" s="2" t="n">
        <x:f>'_曲线基线'!$L$4+AI$9*($H$10*H68+$I$10*I68+$J$10*J68+$K$10*K68+$L$10*L68)</x:f>
        <x:v>2.34299504002287</x:v>
      </x:c>
      <x:c r="AJ68" s="2" t="n">
        <x:f t="shared" si="19">1+AJ$9*($H$10*H68+$I$10*I68+$J$10*J68+$K$10*K68+$L$10*L68)</x:f>
        <x:v>1.281431827711073</x:v>
      </x:c>
      <x:c r="AK68" s="1" t="n">
        <x:f t="shared" si="20">(1+AH68*(AI68-1))*AJ68</x:f>
        <x:v>1.5793748888526375</x:v>
      </x:c>
      <x:c r="AL68" s="1" t="n">
        <x:f t="shared" si="21">U68*AD68*AK68*F68</x:f>
        <x:v>132150.1827938623</x:v>
      </x:c>
      <x:c r="AM68" s="13" t="n">
        <x:f t="shared" si="22">IF($B68&lt;AM$8,0,AM$3+(AM$4-AM$3)*(POWER(AM$5,$B68-AM$8)-1)/(POWER(AM$5,$C$5-AM$8)-1))</x:f>
        <x:v>36.00122282730467</x:v>
      </x:c>
      <x:c r="AN68" s="13" t="n">
        <x:f>(((E68*'模块规划'!$D$10+G68*'模块规划'!$D$11+H68*'模块规划'!$D$13)*(1+'模块规划'!$G$14*H68)+(I68*'模块规划'!$D$15+J68*'模块规划'!$D$17+K68*'模块规划'!$D$16+L68*'模块规划'!$D$18))*(1+'模块规划'!$J$17*J68))*F68/(1-Q68)</x:f>
        <x:v>294315.4348125676</x:v>
      </x:c>
      <x:c r="AO68" s="1" t="n">
        <x:f t="shared" si="23">AL68*AM68</x:f>
        <x:v>4757568.177430881</x:v>
      </x:c>
      <x:c r="AP68" s="1" t="n">
        <x:f>IF(AO68="","",INDEX('_曲线基线'!$A$3:$A$502,MIN(ROWS('_曲线基线'!$A$3:$A$502),COUNTIF('_曲线基线'!$E$3:$E$502,"&lt;"&amp;AO68)+1)))</x:f>
        <x:v>109</x:v>
      </x:c>
      <x:c r="AQ68" s="14" t="n">
        <x:f t="shared" si="24">IF(B68&lt;=2,1,IF(B68&lt;=6,2,IF(B68&lt;=9,3,IF(B68&lt;=19,4,5))))</x:f>
        <x:v>5</x:v>
      </x:c>
      <x:c r="AR68" s="10" t="n">
        <x:f t="shared" si="26">AN68*(1-Q68)/F68*$AS$3+U68*$AS$4+P68*$AS$5</x:f>
        <x:v>3797.66379979098</x:v>
      </x:c>
      <x:c r="AS68" s="15" t="n">
        <x:f t="shared" si="27">1+AH68*$AS$6+AI68*$AS$7+(AJ68-1)*$AS$8+($H$10*H68+$I$10*I68+$J$10*J68+$K$10*K68+$L$10*L68)*$AU$3*$AS$9+($H$10*H68+$I$10*I68+$J$10*J68+$K$10*K68+$L$10*L68)*$AU$4*$AS$10</x:f>
        <x:v>8.215401438971316</x:v>
      </x:c>
      <x:c r="AT68" s="16" t="n">
        <x:f t="shared" si="28">ROUND(AR68*AS68,0)</x:f>
        <x:v>31199</x:v>
      </x:c>
      <x:c r="AU68" s="16" t="n">
        <x:f t="shared" si="29">ROUND(AT68*F68,0)</x:f>
        <x:v>155995</x:v>
      </x:c>
      <x:c r="AV68" t="n">
        <x:f>IF(AU68&gt;0,ROUND(AU68,-MAX(0,INT(LOG10(AU68))-2)),0)</x:f>
        <x:v>156000</x:v>
      </x:c>
    </x:row>
    <x:row r="69" customHeight="1">
      <x:c r="A69" s="1" t="n">
        <x:f>IFERROR(XLOOKUP(B69,'_曲线基线'!$G$3:$G$107,'_曲线基线'!$J$3:$J$107,""),"")</x:f>
        <x:v>28</x:v>
      </x:c>
      <x:c r="B69" s="1" t="n">
        <x:v>58</x:v>
      </x:c>
      <x:c r="C69" s="1" t="n">
        <x:f t="shared" si="67">C54+1</x:f>
        <x:v>5</x:v>
      </x:c>
      <x:c r="D69" s="1" t="n">
        <x:f t="shared" si="68">D54</x:f>
        <x:v>4</x:v>
      </x:c>
      <x:c r="E69" s="1" t="n">
        <x:f t="shared" si="0">IF($B69&lt;E$8,0,E$3+(E$4-E$3)*(POWER(E$5,$B69-E$8)-1)/(POWER(E$5,$C$5-E$8)-1))</x:f>
        <x:v>1</x:v>
      </x:c>
      <x:c r="F69" s="10" t="n">
        <x:f t="shared" si="1">1+IF(B69&lt;3,0,MIN(1,(B69-2)/4))+IF(B69&lt;7,0,MIN(1,(B69-6)/3))+IF(B69&lt;10,0,MIN(1,(B69-9)/5))+IF(B69&lt;20,0,MIN(1,(B69-19)/10))</x:f>
        <x:v>5</x:v>
      </x:c>
      <x:c r="G69" s="11" t="n">
        <x:f t="shared" ref="G69:L69" si="87">'玩家战力_节点'!G69</x:f>
        <x:v>0.46219572621944094</x:v>
      </x:c>
      <x:c r="H69" s="11" t="n">
        <x:f t="shared" si="87">'玩家战力_节点'!H69</x:f>
        <x:v>0.3420252880694744</x:v>
      </x:c>
      <x:c r="I69" s="11" t="n">
        <x:f t="shared" si="87">'玩家战力_节点'!I69</x:f>
        <x:v>0</x:v>
      </x:c>
      <x:c r="J69" s="11" t="n">
        <x:f t="shared" si="87">'玩家战力_节点'!J69</x:f>
        <x:v>0.1720932201299639</x:v>
      </x:c>
      <x:c r="K69" s="11" t="n">
        <x:f t="shared" si="87">'玩家战力_节点'!K69</x:f>
        <x:v>0</x:v>
      </x:c>
      <x:c r="L69" s="11" t="n">
        <x:f t="shared" si="87">'玩家战力_节点'!L69</x:f>
        <x:v>0.29666312497025915</x:v>
      </x:c>
      <x:c r="M69" s="2" t="n">
        <x:f>E69*'模块规划'!$F$10+G69*'模块规划'!$F$11+H69*'模块规划'!$F$13</x:f>
        <x:v>3218.5394858533164</x:v>
      </x:c>
      <x:c r="N69" s="2" t="n">
        <x:f>I69*'模块规划'!$F$15+J69*'模块规划'!$F$17+K69*'模块规划'!$F$16+L69*'模块规划'!$F$18</x:f>
        <x:v>3204.247826150935</x:v>
      </x:c>
      <x:c r="O69" s="2" t="n">
        <x:f t="shared" si="3">1+O$9*SUMPRODUCT($H$10:$L$10,H69:L69)/SUM($H$10:$L$10)</x:f>
        <x:v>1.6281984795085807</x:v>
      </x:c>
      <x:c r="P69" s="12" t="n">
        <x:f t="shared" si="4">M69*O69+N69</x:f>
        <x:v>8444.668923255635</x:v>
      </x:c>
      <x:c r="Q69" s="7" t="n">
        <x:f>P69/(P69+'_曲线基线'!$L$2)</x:f>
        <x:v>0.2602790906336751</x:v>
      </x:c>
      <x:c r="R69" s="2" t="n">
        <x:f>E69*'模块规划'!$E$10+G69*'模块规划'!$E$11+H69*'模块规划'!$E$13</x:f>
        <x:v>4827.809228779975</x:v>
      </x:c>
      <x:c r="S69" s="2" t="n">
        <x:f>I69*'模块规划'!$E$15+J69*'模块规划'!$E$17+K69*'模块规划'!$E$16+L69*'模块规划'!$E$18</x:f>
        <x:v>4806.3717392264025</x:v>
      </x:c>
      <x:c r="T69" s="2" t="n">
        <x:f t="shared" si="5">1+T$9*SUMPRODUCT($H$10:$L$10,H69:L69)/SUM($H$10:$L$10)</x:f>
        <x:v>1.6281984795085807</x:v>
      </x:c>
      <x:c r="U69" s="12" t="n">
        <x:f t="shared" si="6">R69*T69+S69</x:f>
        <x:v>12667.00338488345</x:v>
      </x:c>
      <x:c r="V69" s="2" t="n">
        <x:f t="shared" si="7">V$8+(V$9-V$8)*H69</x:f>
        <x:v>0.8026075864208423</x:v>
      </x:c>
      <x:c r="W69" s="2" t="n">
        <x:f t="shared" si="8">IF(B69&lt;$H$8,0,W$8+(W$9-W$8)*H69)</x:f>
        <x:v>0.13681011522778977</x:v>
      </x:c>
      <x:c r="X69" s="2" t="n">
        <x:f t="shared" si="9">X$8+(X$9-X$8)*H69</x:f>
        <x:v>0.3690569542191055</x:v>
      </x:c>
      <x:c r="Y69" s="2" t="n">
        <x:f t="shared" si="10">Y$8+(Y$9-Y$8)*G69</x:f>
        <x:v>1</x:v>
      </x:c>
      <x:c r="Z69" s="2" t="n">
        <x:f t="shared" si="11">Z$8+(Z$9-Z$8)*H69</x:f>
        <x:v>1</x:v>
      </x:c>
      <x:c r="AA69" s="2" t="n">
        <x:f t="shared" si="12">AA$8+(AA$9-AA$8)*I69</x:f>
        <x:v>1</x:v>
      </x:c>
      <x:c r="AB69" s="2" t="n">
        <x:f t="shared" si="13">AB$8+(AB$9-AB$8)*J69</x:f>
        <x:v>1</x:v>
      </x:c>
      <x:c r="AC69" s="2" t="n">
        <x:f t="shared" si="14">AC$8+(AC$9-AC$8)*MAX(K69,L69)</x:f>
        <x:v>1</x:v>
      </x:c>
      <x:c r="AD69" s="1" t="n">
        <x:f t="shared" si="15">(V69*AE69+W69*AF69+X69*AG69)*PRODUCT(Y69:AC69)</x:f>
        <x:v>1.3523233444064793</x:v>
      </x:c>
      <x:c r="AE69" s="2" t="n">
        <x:f t="shared" si="16">1+AE$9*($H$10*H69+$I$10*I69+$J$10*J69+$K$10*K69+$L$10*L69)</x:f>
        <x:v>1</x:v>
      </x:c>
      <x:c r="AF69" s="2" t="n">
        <x:f t="shared" si="17">1+AF$9*($H$10*H69+$I$10*I69+$J$10*J69+$K$10*K69+$L$10*L69)</x:f>
        <x:v>1.0554442382724172</x:v>
      </x:c>
      <x:c r="AG69" s="2" t="n">
        <x:f t="shared" si="18">1+AG$9*($H$10*H69+$I$10*I69+$J$10*J69+$K$10*K69+$L$10*L69)</x:f>
        <x:v>1.0982595111605624</x:v>
      </x:c>
      <x:c r="AH69" s="2" t="n">
        <x:f>MIN(1,'_曲线基线'!$L$3+AH$9*($H$10*H69+$I$10*I69+$J$10*J69+$K$10*K69+$L$10*L69))</x:f>
        <x:v>0.17613564206974913</x:v>
      </x:c>
      <x:c r="AI69" s="2" t="n">
        <x:f>'_曲线基线'!$L$4+AI$9*($H$10*H69+$I$10*I69+$J$10*J69+$K$10*K69+$L$10*L69)</x:f>
        <x:v>2.351377860051444</x:v>
      </x:c>
      <x:c r="AJ69" s="2" t="n">
        <x:f t="shared" si="19">1+AJ$9*($H$10*H69+$I$10*I69+$J$10*J69+$K$10*K69+$L$10*L69)</x:f>
        <x:v>1.2883100390165696</x:v>
      </x:c>
      <x:c r="AK69" s="1" t="n">
        <x:f t="shared" si="20">(1+AH69*(AI69-1))*AJ69</x:f>
        <x:v>1.5949610757957065</x:v>
      </x:c>
      <x:c r="AL69" s="1" t="n">
        <x:f t="shared" si="21">U69*AD69*AK69*F69</x:f>
        <x:v>136607.49410330804</x:v>
      </x:c>
      <x:c r="AM69" s="13" t="n">
        <x:f t="shared" si="22">IF($B69&lt;AM$8,0,AM$3+(AM$4-AM$3)*(POWER(AM$5,$B69-AM$8)-1)/(POWER(AM$5,$C$5-AM$8)-1))</x:f>
        <x:v>36.02465969549959</x:v>
      </x:c>
      <x:c r="AN69" s="13" t="n">
        <x:f>(((E69*'模块规划'!$D$10+G69*'模块规划'!$D$11+H69*'模块规划'!$D$13)*(1+'模块规划'!$G$14*H69)+(I69*'模块规划'!$D$15+J69*'模块规划'!$D$17+K69*'模块规划'!$D$16+L69*'模块规划'!$D$18))*(1+'模块规划'!$J$17*J69))*F69/(1-Q69)</x:f>
        <x:v>302293.34430054325</x:v>
      </x:c>
      <x:c r="AO69" s="1" t="n">
        <x:f t="shared" si="23">AL69*AM69</x:f>
        <x:v>4921238.4869266385</x:v>
      </x:c>
      <x:c r="AP69" s="1" t="n">
        <x:f>IF(AO69="","",INDEX('_曲线基线'!$A$3:$A$502,MIN(ROWS('_曲线基线'!$A$3:$A$502),COUNTIF('_曲线基线'!$E$3:$E$502,"&lt;"&amp;AO69)+1)))</x:f>
        <x:v>110</x:v>
      </x:c>
      <x:c r="AQ69" s="14" t="n">
        <x:f t="shared" si="24">IF(B69&lt;=2,1,IF(B69&lt;=6,2,IF(B69&lt;=9,3,IF(B69&lt;=19,4,5))))</x:f>
        <x:v>5</x:v>
      </x:c>
      <x:c r="AR69" s="10" t="n">
        <x:f t="shared" si="26">AN69*(1-Q69)/F69*$AS$3+U69*$AS$4+P69*$AS$5</x:f>
        <x:v>3875.0769222250024</x:v>
      </x:c>
      <x:c r="AS69" s="15" t="n">
        <x:f t="shared" si="27">1+AH69*$AS$6+AI69*$AS$7+(AJ69-1)*$AS$8+($H$10*H69+$I$10*I69+$J$10*J69+$K$10*K69+$L$10*L69)*$AU$3*$AS$9+($H$10*H69+$I$10*I69+$J$10*J69+$K$10*K69+$L$10*L69)*$AU$4*$AS$10</x:f>
        <x:v>8.294436235292666</x:v>
      </x:c>
      <x:c r="AT69" s="16" t="n">
        <x:f t="shared" si="28">ROUND(AR69*AS69,0)</x:f>
        <x:v>32142</x:v>
      </x:c>
      <x:c r="AU69" s="16" t="n">
        <x:f t="shared" si="29">ROUND(AT69*F69,0)</x:f>
        <x:v>160710</x:v>
      </x:c>
      <x:c r="AV69" t="n">
        <x:f>IF(AU69&gt;0,ROUND(AU69,-MAX(0,INT(LOG10(AU69))-2)),0)</x:f>
        <x:v>161000</x:v>
      </x:c>
    </x:row>
    <x:row r="70" customHeight="1">
      <x:c r="A70" s="1" t="n">
        <x:f>IFERROR(XLOOKUP(B70,'_曲线基线'!$G$3:$G$107,'_曲线基线'!$J$3:$J$107,""),"")</x:f>
        <x:v>28</x:v>
      </x:c>
      <x:c r="B70" s="1" t="n">
        <x:v>59</x:v>
      </x:c>
      <x:c r="C70" s="1" t="n">
        <x:f t="shared" si="67">C55+1</x:f>
        <x:v>5</x:v>
      </x:c>
      <x:c r="D70" s="1" t="n">
        <x:f t="shared" si="68">D55</x:f>
        <x:v>5</x:v>
      </x:c>
      <x:c r="E70" s="1" t="n">
        <x:f t="shared" si="0">IF($B70&lt;E$8,0,E$3+(E$4-E$3)*(POWER(E$5,$B70-E$8)-1)/(POWER(E$5,$C$5-E$8)-1))</x:f>
        <x:v>1</x:v>
      </x:c>
      <x:c r="F70" s="10" t="n">
        <x:f t="shared" si="1">1+IF(B70&lt;3,0,MIN(1,(B70-2)/4))+IF(B70&lt;7,0,MIN(1,(B70-6)/3))+IF(B70&lt;10,0,MIN(1,(B70-9)/5))+IF(B70&lt;20,0,MIN(1,(B70-19)/10))</x:f>
        <x:v>5</x:v>
      </x:c>
      <x:c r="G70" s="11" t="n">
        <x:f t="shared" ref="G70:L70" si="88">'玩家战力_节点'!G70</x:f>
        <x:v>0.4664770525373657</x:v>
      </x:c>
      <x:c r="H70" s="11" t="n">
        <x:f t="shared" si="88">'玩家战力_节点'!H70</x:f>
        <x:v>0.34628139681898146</x:v>
      </x:c>
      <x:c r="I70" s="11" t="n">
        <x:f t="shared" si="88">'玩家战力_节点'!I70</x:f>
        <x:v>0</x:v>
      </x:c>
      <x:c r="J70" s="11" t="n">
        <x:f t="shared" si="88">'玩家战力_节点'!J70</x:f>
        <x:v>0.17759106471954889</x:v>
      </x:c>
      <x:c r="K70" s="11" t="n">
        <x:f t="shared" si="88">'玩家战力_节点'!K70</x:f>
        <x:v>0</x:v>
      </x:c>
      <x:c r="L70" s="11" t="n">
        <x:f t="shared" si="88">'玩家战力_节点'!L70</x:f>
        <x:v>0.301758688248411</x:v>
      </x:c>
      <x:c r="M70" s="2" t="n">
        <x:f>E70*'模块规划'!$F$10+G70*'模块规划'!$F$11+H70*'模块规划'!$F$13</x:f>
        <x:v>3239.0898521793556</x:v>
      </x:c>
      <x:c r="N70" s="2" t="n">
        <x:f>I70*'模块规划'!$F$15+J70*'模块规划'!$F$17+K70*'模块规划'!$F$16+L70*'模块规划'!$F$18</x:f>
        <x:v>3284.7040884375438</x:v>
      </x:c>
      <x:c r="O70" s="2" t="n">
        <x:f t="shared" si="3">1+O$9*SUMPRODUCT($H$10:$L$10,H70:L70)/SUM($H$10:$L$10)</x:f>
        <x:v>1.6431854078118415</x:v>
      </x:c>
      <x:c r="P70" s="12" t="n">
        <x:f t="shared" si="4">M70*O70+N70</x:f>
        <x:v>8607.129268130077</x:v>
      </x:c>
      <x:c r="Q70" s="7" t="n">
        <x:f>P70/(P70+'_曲线基线'!$L$2)</x:f>
        <x:v>0.2639646439695202</x:v>
      </x:c>
      <x:c r="R70" s="2" t="n">
        <x:f>E70*'模块规划'!$E$10+G70*'模块规划'!$E$11+H70*'模块规划'!$E$13</x:f>
        <x:v>4858.634778269034</x:v>
      </x:c>
      <x:c r="S70" s="2" t="n">
        <x:f>I70*'模块规划'!$E$15+J70*'模块规划'!$E$17+K70*'模块规划'!$E$16+L70*'模块规划'!$E$18</x:f>
        <x:v>4927.056132656317</x:v>
      </x:c>
      <x:c r="T70" s="2" t="n">
        <x:f t="shared" si="5">1+T$9*SUMPRODUCT($H$10:$L$10,H70:L70)/SUM($H$10:$L$10)</x:f>
        <x:v>1.6431854078118415</x:v>
      </x:c>
      <x:c r="U70" s="12" t="n">
        <x:f t="shared" si="6">R70*T70+S70</x:f>
        <x:v>12910.693902195115</x:v>
      </x:c>
      <x:c r="V70" s="2" t="n">
        <x:f t="shared" si="7">V$8+(V$9-V$8)*H70</x:f>
        <x:v>0.8038844190456944</x:v>
      </x:c>
      <x:c r="W70" s="2" t="n">
        <x:f t="shared" si="8">IF(B70&lt;$H$8,0,W$8+(W$9-W$8)*H70)</x:f>
        <x:v>0.13851255872759258</x:v>
      </x:c>
      <x:c r="X70" s="2" t="n">
        <x:f t="shared" si="9">X$8+(X$9-X$8)*H70</x:f>
        <x:v>0.37022738412521994</x:v>
      </x:c>
      <x:c r="Y70" s="2" t="n">
        <x:f t="shared" si="10">Y$8+(Y$9-Y$8)*G70</x:f>
        <x:v>1</x:v>
      </x:c>
      <x:c r="Z70" s="2" t="n">
        <x:f t="shared" si="11">Z$8+(Z$9-Z$8)*H70</x:f>
        <x:v>1</x:v>
      </x:c>
      <x:c r="AA70" s="2" t="n">
        <x:f t="shared" si="12">AA$8+(AA$9-AA$8)*I70</x:f>
        <x:v>1</x:v>
      </x:c>
      <x:c r="AB70" s="2" t="n">
        <x:f t="shared" si="13">AB$8+(AB$9-AB$8)*J70</x:f>
        <x:v>1</x:v>
      </x:c>
      <x:c r="AC70" s="2" t="n">
        <x:f t="shared" si="14">AC$8+(AC$9-AC$8)*MAX(K70,L70)</x:f>
        <x:v>1</x:v>
      </x:c>
      <x:c r="AD70" s="1" t="n">
        <x:f t="shared" si="15">(V70*AE70+W70*AF70+X70*AG70)*PRODUCT(Y70:AC70)</x:f>
        <x:v>1.35773354052882</x:v>
      </x:c>
      <x:c r="AE70" s="2" t="n">
        <x:f t="shared" si="16">1+AE$9*($H$10*H70+$I$10*I70+$J$10*J70+$K$10*K70+$L$10*L70)</x:f>
        <x:v>1</x:v>
      </x:c>
      <x:c r="AF70" s="2" t="n">
        <x:f t="shared" si="17">1+AF$9*($H$10*H70+$I$10*I70+$J$10*J70+$K$10*K70+$L$10*L70)</x:f>
        <x:v>1.056766971215782</x:v>
      </x:c>
      <x:c r="AG70" s="2" t="n">
        <x:f t="shared" si="18">1+AG$9*($H$10*H70+$I$10*I70+$J$10*J70+$K$10*K70+$L$10*L70)</x:f>
        <x:v>1.1006036878768588</x:v>
      </x:c>
      <x:c r="AH70" s="2" t="n">
        <x:f>MIN(1,'_曲线基线'!$L$3+AH$9*($H$10*H70+$I$10*I70+$J$10*J70+$K$10*K70+$L$10*L70))</x:f>
        <x:v>0.17914485951590392</x:v>
      </x:c>
      <x:c r="AI70" s="2" t="n">
        <x:f>'_曲线基线'!$L$4+AI$9*($H$10*H70+$I$10*I70+$J$10*J70+$K$10*K70+$L$10*L70)</x:f>
        <x:v>2.359760680080018</x:v>
      </x:c>
      <x:c r="AJ70" s="2" t="n">
        <x:f t="shared" si="19">1+AJ$9*($H$10*H70+$I$10*I70+$J$10*J70+$K$10*K70+$L$10*L70)</x:f>
        <x:v>1.2951882503220662</x:v>
      </x:c>
      <x:c r="AK70" s="1" t="n">
        <x:f t="shared" si="20">(1+AH70*(AI70-1))*AJ70</x:f>
        <x:v>1.6106885131272224</x:v>
      </x:c>
      <x:c r="AL70" s="1" t="n">
        <x:f t="shared" si="21">U70*AD70*AK70*F70</x:f>
        <x:v>141171.06695154484</x:v>
      </x:c>
      <x:c r="AM70" s="13" t="n">
        <x:f t="shared" si="22">IF($B70&lt;AM$8,0,AM$3+(AM$4-AM$3)*(POWER(AM$5,$B70-AM$8)-1)/(POWER(AM$5,$C$5-AM$8)-1))</x:f>
        <x:v>36.04833093237645</x:v>
      </x:c>
      <x:c r="AN70" s="13" t="n">
        <x:f>(((E70*'模块规划'!$D$10+G70*'模块规划'!$D$11+H70*'模块规划'!$D$13)*(1+'模块规划'!$G$14*H70)+(I70*'模块规划'!$D$15+J70*'模块规划'!$D$17+K70*'模块规划'!$D$16+L70*'模块规划'!$D$18))*(1+'模块规划'!$J$17*J70))*F70/(1-Q70)</x:f>
        <x:v>310402.069130767</x:v>
      </x:c>
      <x:c r="AO70" s="1" t="n">
        <x:f t="shared" si="23">AL70*AM70</x:f>
        <x:v>5088981.339545961</x:v>
      </x:c>
      <x:c r="AP70" s="1" t="n">
        <x:f>IF(AO70="","",INDEX('_曲线基线'!$A$3:$A$502,MIN(ROWS('_曲线基线'!$A$3:$A$502),COUNTIF('_曲线基线'!$E$3:$E$502,"&lt;"&amp;AO70)+1)))</x:f>
        <x:v>112</x:v>
      </x:c>
      <x:c r="AQ70" s="14" t="n">
        <x:f t="shared" si="24">IF(B70&lt;=2,1,IF(B70&lt;=6,2,IF(B70&lt;=9,3,IF(B70&lt;=19,4,5))))</x:f>
        <x:v>5</x:v>
      </x:c>
      <x:c r="AR70" s="10" t="n">
        <x:f t="shared" si="26">AN70*(1-Q70)/F70*$AS$3+U70*$AS$4+P70*$AS$5</x:f>
        <x:v>3952.9401652305933</x:v>
      </x:c>
      <x:c r="AS70" s="15" t="n">
        <x:f t="shared" si="27">1+AH70*$AS$6+AI70*$AS$7+(AJ70-1)*$AS$8+($H$10*H70+$I$10*I70+$J$10*J70+$K$10*K70+$L$10*L70)*$AU$3*$AS$9+($H$10*H70+$I$10*I70+$J$10*J70+$K$10*K70+$L$10*L70)*$AU$4*$AS$10</x:f>
        <x:v>8.373471031614017</x:v>
      </x:c>
      <x:c r="AT70" s="16" t="n">
        <x:f t="shared" si="28">ROUND(AR70*AS70,0)</x:f>
        <x:v>33100</x:v>
      </x:c>
      <x:c r="AU70" s="16" t="n">
        <x:f t="shared" si="29">ROUND(AT70*F70,0)</x:f>
        <x:v>165500</x:v>
      </x:c>
      <x:c r="AV70" t="n">
        <x:f>IF(AU70&gt;0,ROUND(AU70,-MAX(0,INT(LOG10(AU70))-2)),0)</x:f>
        <x:v>166000</x:v>
      </x:c>
    </x:row>
    <x:row r="71" customHeight="1">
      <x:c r="A71" s="1" t="n">
        <x:f>IFERROR(XLOOKUP(B71,'_曲线基线'!$G$3:$G$107,'_曲线基线'!$J$3:$J$107,""),"")</x:f>
        <x:v>29</x:v>
      </x:c>
      <x:c r="B71" s="1" t="n">
        <x:v>60</x:v>
      </x:c>
      <x:c r="C71" s="1" t="n">
        <x:f t="shared" si="67">C56+1</x:f>
        <x:v>5</x:v>
      </x:c>
      <x:c r="D71" s="1" t="n">
        <x:f t="shared" si="68">D56</x:f>
        <x:v>6</x:v>
      </x:c>
      <x:c r="E71" s="1" t="n">
        <x:f t="shared" si="0">IF($B71&lt;E$8,0,E$3+(E$4-E$3)*(POWER(E$5,$B71-E$8)-1)/(POWER(E$5,$C$5-E$8)-1))</x:f>
        <x:v>1</x:v>
      </x:c>
      <x:c r="F71" s="10" t="n">
        <x:f t="shared" si="1">1+IF(B71&lt;3,0,MIN(1,(B71-2)/4))+IF(B71&lt;7,0,MIN(1,(B71-6)/3))+IF(B71&lt;10,0,MIN(1,(B71-9)/5))+IF(B71&lt;20,0,MIN(1,(B71-19)/10))</x:f>
        <x:v>5</x:v>
      </x:c>
      <x:c r="G71" s="11" t="n">
        <x:f t="shared" ref="G71:L71" si="89">'玩家战力_节点'!G71</x:f>
        <x:v>0.4707583788552904</x:v>
      </x:c>
      <x:c r="H71" s="11" t="n">
        <x:f t="shared" si="89">'玩家战力_节点'!H71</x:f>
        <x:v>0.35053750556848845</x:v>
      </x:c>
      <x:c r="I71" s="11" t="n">
        <x:f t="shared" si="89">'玩家战力_节点'!I71</x:f>
        <x:v>0</x:v>
      </x:c>
      <x:c r="J71" s="11" t="n">
        <x:f t="shared" si="89">'玩家战力_节点'!J71</x:f>
        <x:v>0.18308890930913385</x:v>
      </x:c>
      <x:c r="K71" s="11" t="n">
        <x:f t="shared" si="89">'玩家战力_节点'!K71</x:f>
        <x:v>0</x:v>
      </x:c>
      <x:c r="L71" s="11" t="n">
        <x:f t="shared" si="89">'玩家战力_节点'!L71</x:f>
        <x:v>0.30685425152656287</x:v>
      </x:c>
      <x:c r="M71" s="2" t="n">
        <x:f>E71*'模块规划'!$F$10+G71*'模块规划'!$F$11+H71*'模块规划'!$F$13</x:f>
        <x:v>3259.640218505394</x:v>
      </x:c>
      <x:c r="N71" s="2" t="n">
        <x:f>I71*'模块规划'!$F$15+J71*'模块规划'!$F$17+K71*'模块规划'!$F$16+L71*'模块规划'!$F$18</x:f>
        <x:v>3365.160350724153</x:v>
      </x:c>
      <x:c r="O71" s="2" t="n">
        <x:f t="shared" si="3">1+O$9*SUMPRODUCT($H$10:$L$10,H71:L71)/SUM($H$10:$L$10)</x:f>
        <x:v>1.6581723361151024</x:v>
      </x:c>
      <x:c r="P71" s="12" t="n">
        <x:f t="shared" si="4">M71*O71+N71</x:f>
        <x:v>8770.205586737984</x:v>
      </x:c>
      <x:c r="Q71" s="7" t="n">
        <x:f>P71/(P71+'_曲线基线'!$L$2)</x:f>
        <x:v>0.2676274203872332</x:v>
      </x:c>
      <x:c r="R71" s="2" t="n">
        <x:f>E71*'模块规划'!$E$10+G71*'模块规划'!$E$11+H71*'模块规划'!$E$13</x:f>
        <x:v>4889.460327758091</x:v>
      </x:c>
      <x:c r="S71" s="2" t="n">
        <x:f>I71*'模块规划'!$E$15+J71*'模块规划'!$E$17+K71*'模块规划'!$E$16+L71*'模块规划'!$E$18</x:f>
        <x:v>5047.740526086229</x:v>
      </x:c>
      <x:c r="T71" s="2" t="n">
        <x:f t="shared" si="5">1+T$9*SUMPRODUCT($H$10:$L$10,H71:L71)/SUM($H$10:$L$10)</x:f>
        <x:v>1.6581723361151024</x:v>
      </x:c>
      <x:c r="U71" s="12" t="n">
        <x:f t="shared" si="6">R71*T71+S71</x:f>
        <x:v>13155.308380106977</x:v>
      </x:c>
      <x:c r="V71" s="2" t="n">
        <x:f t="shared" si="7">V$8+(V$9-V$8)*H71</x:f>
        <x:v>0.8051612516705465</x:v>
      </x:c>
      <x:c r="W71" s="2" t="n">
        <x:f t="shared" si="8">IF(B71&lt;$H$8,0,W$8+(W$9-W$8)*H71)</x:f>
        <x:v>0.14021500222739539</x:v>
      </x:c>
      <x:c r="X71" s="2" t="n">
        <x:f t="shared" si="9">X$8+(X$9-X$8)*H71</x:f>
        <x:v>0.3713978140313344</x:v>
      </x:c>
      <x:c r="Y71" s="2" t="n">
        <x:f t="shared" si="10">Y$8+(Y$9-Y$8)*G71</x:f>
        <x:v>1</x:v>
      </x:c>
      <x:c r="Z71" s="2" t="n">
        <x:f t="shared" si="11">Z$8+(Z$9-Z$8)*H71</x:f>
        <x:v>1</x:v>
      </x:c>
      <x:c r="AA71" s="2" t="n">
        <x:f t="shared" si="12">AA$8+(AA$9-AA$8)*I71</x:f>
        <x:v>1</x:v>
      </x:c>
      <x:c r="AB71" s="2" t="n">
        <x:f t="shared" si="13">AB$8+(AB$9-AB$8)*J71</x:f>
        <x:v>1</x:v>
      </x:c>
      <x:c r="AC71" s="2" t="n">
        <x:f t="shared" si="14">AC$8+(AC$9-AC$8)*MAX(K71,L71)</x:f>
        <x:v>1</x:v>
      </x:c>
      <x:c r="AD71" s="1" t="n">
        <x:f t="shared" si="15">(V71*AE71+W71*AF71+X71*AG71)*PRODUCT(Y71:AC71)</x:f>
        <x:v>1.3631537277964314</x:v>
      </x:c>
      <x:c r="AE71" s="2" t="n">
        <x:f t="shared" si="16">1+AE$9*($H$10*H71+$I$10*I71+$J$10*J71+$K$10*K71+$L$10*L71)</x:f>
        <x:v>1</x:v>
      </x:c>
      <x:c r="AF71" s="2" t="n">
        <x:f t="shared" si="17">1+AF$9*($H$10*H71+$I$10*I71+$J$10*J71+$K$10*K71+$L$10*L71)</x:f>
        <x:v>1.0580897041591468</x:v>
      </x:c>
      <x:c r="AG71" s="2" t="n">
        <x:f t="shared" si="18">1+AG$9*($H$10*H71+$I$10*I71+$J$10*J71+$K$10*K71+$L$10*L71)</x:f>
        <x:v>1.1029478645931552</x:v>
      </x:c>
      <x:c r="AH71" s="2" t="n">
        <x:f>MIN(1,'_曲线基线'!$L$3+AH$9*($H$10*H71+$I$10*I71+$J$10*J71+$K$10*K71+$L$10*L71))</x:f>
        <x:v>0.18215407696205865</x:v>
      </x:c>
      <x:c r="AI71" s="2" t="n">
        <x:f>'_曲线基线'!$L$4+AI$9*($H$10*H71+$I$10*I71+$J$10*J71+$K$10*K71+$L$10*L71)</x:f>
        <x:v>2.3681435001085918</x:v>
      </x:c>
      <x:c r="AJ71" s="2" t="n">
        <x:f t="shared" si="19">1+AJ$9*($H$10*H71+$I$10*I71+$J$10*J71+$K$10*K71+$L$10*L71)</x:f>
        <x:v>1.3020664616275628</x:v>
      </x:c>
      <x:c r="AK71" s="1" t="n">
        <x:f t="shared" si="20">(1+AH71*(AI71-1))*AJ71</x:f>
        <x:v>1.6265582418945221</x:v>
      </x:c>
      <x:c r="AL71" s="1" t="n">
        <x:f t="shared" si="21">U71*AD71*AK71*F71</x:f>
        <x:v>145842.96720834717</x:v>
      </x:c>
      <x:c r="AM71" s="13" t="n">
        <x:f t="shared" si="22">IF($B71&lt;AM$8,0,AM$3+(AM$4-AM$3)*(POWER(AM$5,$B71-AM$8)-1)/(POWER(AM$5,$C$5-AM$8)-1))</x:f>
        <x:v>36.072238881622084</x:v>
      </x:c>
      <x:c r="AN71" s="13" t="n">
        <x:f>(((E71*'模块规划'!$D$10+G71*'模块规划'!$D$11+H71*'模块规划'!$D$13)*(1+'模块规划'!$G$14*H71)+(I71*'模块规划'!$D$15+J71*'模块规划'!$D$17+K71*'模块规划'!$D$16+L71*'模块规划'!$D$18))*(1+'模块规划'!$J$17*J71))*F71/(1-Q71)</x:f>
        <x:v>318642.9874552751</x:v>
      </x:c>
      <x:c r="AO71" s="1" t="n">
        <x:f t="shared" si="23">AL71*AM71</x:f>
        <x:v>5260882.352344075</x:v>
      </x:c>
      <x:c r="AP71" s="1" t="n">
        <x:f>IF(AO71="","",INDEX('_曲线基线'!$A$3:$A$502,MIN(ROWS('_曲线基线'!$A$3:$A$502),COUNTIF('_曲线基线'!$E$3:$E$502,"&lt;"&amp;AO71)+1)))</x:f>
        <x:v>113</x:v>
      </x:c>
      <x:c r="AQ71" s="14" t="n">
        <x:f t="shared" si="24">IF(B71&lt;=2,1,IF(B71&lt;=6,2,IF(B71&lt;=9,3,IF(B71&lt;=19,4,5))))</x:f>
        <x:v>5</x:v>
      </x:c>
      <x:c r="AR71" s="10" t="n">
        <x:f t="shared" si="26">AN71*(1-Q71)/F71*$AS$3+U71*$AS$4+P71*$AS$5</x:f>
        <x:v>4031.253996210225</x:v>
      </x:c>
      <x:c r="AS71" s="15" t="n">
        <x:f t="shared" si="27">1+AH71*$AS$6+AI71*$AS$7+(AJ71-1)*$AS$8+($H$10*H71+$I$10*I71+$J$10*J71+$K$10*K71+$L$10*L71)*$AU$3*$AS$9+($H$10*H71+$I$10*I71+$J$10*J71+$K$10*K71+$L$10*L71)*$AU$4*$AS$10</x:f>
        <x:v>8.452505827935365</x:v>
      </x:c>
      <x:c r="AT71" s="16" t="n">
        <x:f t="shared" si="28">ROUND(AR71*AS71,0)</x:f>
        <x:v>34074</x:v>
      </x:c>
      <x:c r="AU71" s="16" t="n">
        <x:f t="shared" si="29">ROUND(AT71*F71,0)</x:f>
        <x:v>170370</x:v>
      </x:c>
      <x:c r="AV71" t="n">
        <x:f>IF(AU71&gt;0,ROUND(AU71,-MAX(0,INT(LOG10(AU71))-2)),0)</x:f>
        <x:v>170000</x:v>
      </x:c>
    </x:row>
    <x:row r="72" customHeight="1">
      <x:c r="A72" s="1" t="n">
        <x:f>IFERROR(XLOOKUP(B72,'_曲线基线'!$G$3:$G$107,'_曲线基线'!$J$3:$J$107,""),"")</x:f>
        <x:v>29</x:v>
      </x:c>
      <x:c r="B72" s="1" t="n">
        <x:v>61</x:v>
      </x:c>
      <x:c r="C72" s="1" t="n">
        <x:f t="shared" si="67">C57+1</x:f>
        <x:v>5</x:v>
      </x:c>
      <x:c r="D72" s="1" t="n">
        <x:f t="shared" si="68">D57</x:f>
        <x:v>7</x:v>
      </x:c>
      <x:c r="E72" s="1" t="n">
        <x:f t="shared" si="0">IF($B72&lt;E$8,0,E$3+(E$4-E$3)*(POWER(E$5,$B72-E$8)-1)/(POWER(E$5,$C$5-E$8)-1))</x:f>
        <x:v>1</x:v>
      </x:c>
      <x:c r="F72" s="10" t="n">
        <x:f t="shared" si="1">1+IF(B72&lt;3,0,MIN(1,(B72-2)/4))+IF(B72&lt;7,0,MIN(1,(B72-6)/3))+IF(B72&lt;10,0,MIN(1,(B72-9)/5))+IF(B72&lt;20,0,MIN(1,(B72-19)/10))</x:f>
        <x:v>5</x:v>
      </x:c>
      <x:c r="G72" s="11" t="n">
        <x:f t="shared" ref="G72:L72" si="90">'玩家战力_节点'!G72</x:f>
        <x:v>0.4750397051732152</x:v>
      </x:c>
      <x:c r="H72" s="11" t="n">
        <x:f t="shared" si="90">'玩家战力_节点'!H72</x:f>
        <x:v>0.35479361431799544</x:v>
      </x:c>
      <x:c r="I72" s="11" t="n">
        <x:f t="shared" si="90">'玩家战力_节点'!I72</x:f>
        <x:v>0</x:v>
      </x:c>
      <x:c r="J72" s="11" t="n">
        <x:f t="shared" si="90">'玩家战力_节点'!J72</x:f>
        <x:v>0.18858675389871885</x:v>
      </x:c>
      <x:c r="K72" s="11" t="n">
        <x:f t="shared" si="90">'玩家战力_节点'!K72</x:f>
        <x:v>0</x:v>
      </x:c>
      <x:c r="L72" s="11" t="n">
        <x:f t="shared" si="90">'玩家战力_节点'!L72</x:f>
        <x:v>0.31194981480471473</x:v>
      </x:c>
      <x:c r="M72" s="2" t="n">
        <x:f>E72*'模块规划'!$F$10+G72*'模块规划'!$F$11+H72*'模块规划'!$F$13</x:f>
        <x:v>3280.190584831433</x:v>
      </x:c>
      <x:c r="N72" s="2" t="n">
        <x:f>I72*'模块规划'!$F$15+J72*'模块规划'!$F$17+K72*'模块规划'!$F$16+L72*'模块规划'!$F$18</x:f>
        <x:v>3445.616613010762</x:v>
      </x:c>
      <x:c r="O72" s="2" t="n">
        <x:f t="shared" si="3">1+O$9*SUMPRODUCT($H$10:$L$10,H72:L72)/SUM($H$10:$L$10)</x:f>
        <x:v>1.6731592644183633</x:v>
      </x:c>
      <x:c r="P72" s="12" t="n">
        <x:f t="shared" si="4">M72*O72+N72</x:f>
        <x:v>8933.897879079363</x:v>
      </x:c>
      <x:c r="Q72" s="7" t="n">
        <x:f>P72/(P72+'_曲线基线'!$L$2)</x:f>
        <x:v>0.27126755271669356</x:v>
      </x:c>
      <x:c r="R72" s="2" t="n">
        <x:f>E72*'模块规划'!$E$10+G72*'模块规划'!$E$11+H72*'模块规划'!$E$13</x:f>
        <x:v>4920.28587724715</x:v>
      </x:c>
      <x:c r="S72" s="2" t="n">
        <x:f>I72*'模块规划'!$E$15+J72*'模块规划'!$E$17+K72*'模块规划'!$E$16+L72*'模块规划'!$E$18</x:f>
        <x:v>5168.424919516143</x:v>
      </x:c>
      <x:c r="T72" s="2" t="n">
        <x:f t="shared" si="5">1+T$9*SUMPRODUCT($H$10:$L$10,H72:L72)/SUM($H$10:$L$10)</x:f>
        <x:v>1.6731592644183633</x:v>
      </x:c>
      <x:c r="U72" s="12" t="n">
        <x:f t="shared" si="6">R72*T72+S72</x:f>
        <x:v>13400.846818619046</x:v>
      </x:c>
      <x:c r="V72" s="2" t="n">
        <x:f t="shared" si="7">V$8+(V$9-V$8)*H72</x:f>
        <x:v>0.8064380842953986</x:v>
      </x:c>
      <x:c r="W72" s="2" t="n">
        <x:f t="shared" si="8">IF(B72&lt;$H$8,0,W$8+(W$9-W$8)*H72)</x:f>
        <x:v>0.1419174457271982</x:v>
      </x:c>
      <x:c r="X72" s="2" t="n">
        <x:f t="shared" si="9">X$8+(X$9-X$8)*H72</x:f>
        <x:v>0.3725682439374488</x:v>
      </x:c>
      <x:c r="Y72" s="2" t="n">
        <x:f t="shared" si="10">Y$8+(Y$9-Y$8)*G72</x:f>
        <x:v>1</x:v>
      </x:c>
      <x:c r="Z72" s="2" t="n">
        <x:f t="shared" si="11">Z$8+(Z$9-Z$8)*H72</x:f>
        <x:v>1</x:v>
      </x:c>
      <x:c r="AA72" s="2" t="n">
        <x:f t="shared" si="12">AA$8+(AA$9-AA$8)*I72</x:f>
        <x:v>1</x:v>
      </x:c>
      <x:c r="AB72" s="2" t="n">
        <x:f t="shared" si="13">AB$8+(AB$9-AB$8)*J72</x:f>
        <x:v>1</x:v>
      </x:c>
      <x:c r="AC72" s="2" t="n">
        <x:f t="shared" si="14">AC$8+(AC$9-AC$8)*MAX(K72,L72)</x:f>
        <x:v>1</x:v>
      </x:c>
      <x:c r="AD72" s="1" t="n">
        <x:f t="shared" si="15">(V72*AE72+W72*AF72+X72*AG72)*PRODUCT(Y72:AC72)</x:f>
        <x:v>1.3685839062093135</x:v>
      </x:c>
      <x:c r="AE72" s="2" t="n">
        <x:f t="shared" si="16">1+AE$9*($H$10*H72+$I$10*I72+$J$10*J72+$K$10*K72+$L$10*L72)</x:f>
        <x:v>1</x:v>
      </x:c>
      <x:c r="AF72" s="2" t="n">
        <x:f t="shared" si="17">1+AF$9*($H$10*H72+$I$10*I72+$J$10*J72+$K$10*K72+$L$10*L72)</x:f>
        <x:v>1.0594124371025115</x:v>
      </x:c>
      <x:c r="AG72" s="2" t="n">
        <x:f t="shared" si="18">1+AG$9*($H$10*H72+$I$10*I72+$J$10*J72+$K$10*K72+$L$10*L72)</x:f>
        <x:v>1.1052920413094516</x:v>
      </x:c>
      <x:c r="AH72" s="2" t="n">
        <x:f>MIN(1,'_曲线基线'!$L$3+AH$9*($H$10*H72+$I$10*I72+$J$10*J72+$K$10*K72+$L$10*L72))</x:f>
        <x:v>0.18516329440821344</x:v>
      </x:c>
      <x:c r="AI72" s="2" t="n">
        <x:f>'_曲线基线'!$L$4+AI$9*($H$10*H72+$I$10*I72+$J$10*J72+$K$10*K72+$L$10*L72)</x:f>
        <x:v>2.376526320137166</x:v>
      </x:c>
      <x:c r="AJ72" s="2" t="n">
        <x:f t="shared" si="19">1+AJ$9*($H$10*H72+$I$10*I72+$J$10*J72+$K$10*K72+$L$10*L72)</x:f>
        <x:v>1.3089446729330594</x:v>
      </x:c>
      <x:c r="AK72" s="1" t="n">
        <x:f t="shared" si="20">(1+AH72*(AI72-1))*AJ72</x:f>
        <x:v>1.6425713031449423</x:v>
      </x:c>
      <x:c r="AL72" s="1" t="n">
        <x:f t="shared" si="21">U72*AD72*AK72*F72</x:f>
        <x:v>150625.2937962187</x:v>
      </x:c>
      <x:c r="AM72" s="13" t="n">
        <x:f t="shared" si="22">IF($B72&lt;AM$8,0,AM$3+(AM$4-AM$3)*(POWER(AM$5,$B72-AM$8)-1)/(POWER(AM$5,$C$5-AM$8)-1))</x:f>
        <x:v>36.096385910360176</x:v>
      </x:c>
      <x:c r="AN72" s="13" t="n">
        <x:f>(((E72*'模块规划'!$D$10+G72*'模块规划'!$D$11+H72*'模块规划'!$D$13)*(1+'模块规划'!$G$14*H72)+(I72*'模块规划'!$D$15+J72*'模块规划'!$D$17+K72*'模块规划'!$D$16+L72*'模块规划'!$D$18))*(1+'模块规划'!$J$17*J72))*F72/(1-Q72)</x:f>
        <x:v>327017.4863611938</x:v>
      </x:c>
      <x:c r="AO72" s="1" t="n">
        <x:f t="shared" si="23">AL72*AM72</x:f>
        <x:v>5437028.732729691</x:v>
      </x:c>
      <x:c r="AP72" s="1" t="n">
        <x:f>IF(AO72="","",INDEX('_曲线基线'!$A$3:$A$502,MIN(ROWS('_曲线基线'!$A$3:$A$502),COUNTIF('_曲线基线'!$E$3:$E$502,"&lt;"&amp;AO72)+1)))</x:f>
        <x:v>114</x:v>
      </x:c>
      <x:c r="AQ72" s="14" t="n">
        <x:f t="shared" si="24">IF(B72&lt;=2,1,IF(B72&lt;=6,2,IF(B72&lt;=9,3,IF(B72&lt;=19,4,5))))</x:f>
        <x:v>5</x:v>
      </x:c>
      <x:c r="AR72" s="10" t="n">
        <x:f t="shared" si="26">AN72*(1-Q72)/F72*$AS$3+U72*$AS$4+P72*$AS$5</x:f>
        <x:v>4110.018882566377</x:v>
      </x:c>
      <x:c r="AS72" s="15" t="n">
        <x:f t="shared" si="27">1+AH72*$AS$6+AI72*$AS$7+(AJ72-1)*$AS$8+($H$10*H72+$I$10*I72+$J$10*J72+$K$10*K72+$L$10*L72)*$AU$3*$AS$9+($H$10*H72+$I$10*I72+$J$10*J72+$K$10*K72+$L$10*L72)*$AU$4*$AS$10</x:f>
        <x:v>8.531540624256714</x:v>
      </x:c>
      <x:c r="AT72" s="16" t="n">
        <x:f t="shared" si="28">ROUND(AR72*AS72,0)</x:f>
        <x:v>35065</x:v>
      </x:c>
      <x:c r="AU72" s="16" t="n">
        <x:f t="shared" si="29">ROUND(AT72*F72,0)</x:f>
        <x:v>175325</x:v>
      </x:c>
      <x:c r="AV72" t="n">
        <x:f>IF(AU72&gt;0,ROUND(AU72,-MAX(0,INT(LOG10(AU72))-2)),0)</x:f>
        <x:v>175000</x:v>
      </x:c>
    </x:row>
    <x:row r="73" customHeight="1">
      <x:c r="A73" s="1" t="n">
        <x:f>IFERROR(XLOOKUP(B73,'_曲线基线'!$G$3:$G$107,'_曲线基线'!$J$3:$J$107,""),"")</x:f>
        <x:v>29</x:v>
      </x:c>
      <x:c r="B73" s="1" t="n">
        <x:v>62</x:v>
      </x:c>
      <x:c r="C73" s="1" t="n">
        <x:f t="shared" si="67">C58+1</x:f>
        <x:v>5</x:v>
      </x:c>
      <x:c r="D73" s="1" t="n">
        <x:f t="shared" si="68">D58</x:f>
        <x:v>8</x:v>
      </x:c>
      <x:c r="E73" s="1" t="n">
        <x:f t="shared" si="0">IF($B73&lt;E$8,0,E$3+(E$4-E$3)*(POWER(E$5,$B73-E$8)-1)/(POWER(E$5,$C$5-E$8)-1))</x:f>
        <x:v>1</x:v>
      </x:c>
      <x:c r="F73" s="10" t="n">
        <x:f t="shared" si="1">1+IF(B73&lt;3,0,MIN(1,(B73-2)/4))+IF(B73&lt;7,0,MIN(1,(B73-6)/3))+IF(B73&lt;10,0,MIN(1,(B73-9)/5))+IF(B73&lt;20,0,MIN(1,(B73-19)/10))</x:f>
        <x:v>5</x:v>
      </x:c>
      <x:c r="G73" s="11" t="n">
        <x:f t="shared" ref="G73:L73" si="91">'玩家战力_节点'!G73</x:f>
        <x:v>0.47932103149113997</x:v>
      </x:c>
      <x:c r="H73" s="11" t="n">
        <x:f t="shared" si="91">'玩家战力_节点'!H73</x:f>
        <x:v>0.35904972306750244</x:v>
      </x:c>
      <x:c r="I73" s="11" t="n">
        <x:f t="shared" si="91">'玩家战力_节点'!I73</x:f>
        <x:v>0</x:v>
      </x:c>
      <x:c r="J73" s="11" t="n">
        <x:f t="shared" si="91">'玩家战力_节点'!J73</x:f>
        <x:v>0.1940845984883038</x:v>
      </x:c>
      <x:c r="K73" s="11" t="n">
        <x:f t="shared" si="91">'玩家战力_节点'!K73</x:f>
        <x:v>0</x:v>
      </x:c>
      <x:c r="L73" s="11" t="n">
        <x:f t="shared" si="91">'玩家战力_节点'!L73</x:f>
        <x:v>0.31704537808286665</x:v>
      </x:c>
      <x:c r="M73" s="2" t="n">
        <x:f>E73*'模块规划'!$F$10+G73*'模块规划'!$F$11+H73*'模块规划'!$F$13</x:f>
        <x:v>3300.740951157472</x:v>
      </x:c>
      <x:c r="N73" s="2" t="n">
        <x:f>I73*'模块规划'!$F$15+J73*'模块规划'!$F$17+K73*'模块规划'!$F$16+L73*'模块规划'!$F$18</x:f>
        <x:v>3526.072875297371</x:v>
      </x:c>
      <x:c r="O73" s="2" t="n">
        <x:f t="shared" si="3">1+O$9*SUMPRODUCT($H$10:$L$10,H73:L73)/SUM($H$10:$L$10)</x:f>
        <x:v>1.6881461927216241</x:v>
      </x:c>
      <x:c r="P73" s="12" t="n">
        <x:f t="shared" si="4">M73*O73+N73</x:f>
        <x:v>9098.20614515421</x:v>
      </x:c>
      <x:c r="Q73" s="7" t="n">
        <x:f>P73/(P73+'_曲线基线'!$L$2)</x:f>
        <x:v>0.27488517369350685</x:v>
      </x:c>
      <x:c r="R73" s="2" t="n">
        <x:f>E73*'模块规划'!$E$10+G73*'模块规划'!$E$11+H73*'模块规划'!$E$13</x:f>
        <x:v>4951.111426736208</x:v>
      </x:c>
      <x:c r="S73" s="2" t="n">
        <x:f>I73*'模块规划'!$E$15+J73*'模块规划'!$E$17+K73*'模块规划'!$E$16+L73*'模块规划'!$E$18</x:f>
        <x:v>5289.109312946057</x:v>
      </x:c>
      <x:c r="T73" s="2" t="n">
        <x:f t="shared" si="5">1+T$9*SUMPRODUCT($H$10:$L$10,H73:L73)/SUM($H$10:$L$10)</x:f>
        <x:v>1.6881461927216241</x:v>
      </x:c>
      <x:c r="U73" s="12" t="n">
        <x:f t="shared" si="6">R73*T73+S73</x:f>
        <x:v>13647.309217731316</x:v>
      </x:c>
      <x:c r="V73" s="2" t="n">
        <x:f t="shared" si="7">V$8+(V$9-V$8)*H73</x:f>
        <x:v>0.8077149169202507</x:v>
      </x:c>
      <x:c r="W73" s="2" t="n">
        <x:f t="shared" si="8">IF(B73&lt;$H$8,0,W$8+(W$9-W$8)*H73)</x:f>
        <x:v>0.14361988922700097</x:v>
      </x:c>
      <x:c r="X73" s="2" t="n">
        <x:f t="shared" si="9">X$8+(X$9-X$8)*H73</x:f>
        <x:v>0.3737386738435632</x:v>
      </x:c>
      <x:c r="Y73" s="2" t="n">
        <x:f t="shared" si="10">Y$8+(Y$9-Y$8)*G73</x:f>
        <x:v>1</x:v>
      </x:c>
      <x:c r="Z73" s="2" t="n">
        <x:f t="shared" si="11">Z$8+(Z$9-Z$8)*H73</x:f>
        <x:v>1</x:v>
      </x:c>
      <x:c r="AA73" s="2" t="n">
        <x:f t="shared" si="12">AA$8+(AA$9-AA$8)*I73</x:f>
        <x:v>1</x:v>
      </x:c>
      <x:c r="AB73" s="2" t="n">
        <x:f t="shared" si="13">AB$8+(AB$9-AB$8)*J73</x:f>
        <x:v>1</x:v>
      </x:c>
      <x:c r="AC73" s="2" t="n">
        <x:f t="shared" si="14">AC$8+(AC$9-AC$8)*MAX(K73,L73)</x:f>
        <x:v>1</x:v>
      </x:c>
      <x:c r="AD73" s="1" t="n">
        <x:f t="shared" si="15">(V73*AE73+W73*AF73+X73*AG73)*PRODUCT(Y73:AC73)</x:f>
        <x:v>1.3740240757674662</x:v>
      </x:c>
      <x:c r="AE73" s="2" t="n">
        <x:f t="shared" si="16">1+AE$9*($H$10*H73+$I$10*I73+$J$10*J73+$K$10*K73+$L$10*L73)</x:f>
        <x:v>1</x:v>
      </x:c>
      <x:c r="AF73" s="2" t="n">
        <x:f t="shared" si="17">1+AF$9*($H$10*H73+$I$10*I73+$J$10*J73+$K$10*K73+$L$10*L73)</x:f>
        <x:v>1.0607351700458763</x:v>
      </x:c>
      <x:c r="AG73" s="2" t="n">
        <x:f t="shared" si="18">1+AG$9*($H$10*H73+$I$10*I73+$J$10*J73+$K$10*K73+$L$10*L73)</x:f>
        <x:v>1.107636218025748</x:v>
      </x:c>
      <x:c r="AH73" s="2" t="n">
        <x:f>MIN(1,'_曲线基线'!$L$3+AH$9*($H$10*H73+$I$10*I73+$J$10*J73+$K$10*K73+$L$10*L73))</x:f>
        <x:v>0.18817251185436817</x:v>
      </x:c>
      <x:c r="AI73" s="2" t="n">
        <x:f>'_曲线基线'!$L$4+AI$9*($H$10*H73+$I$10*I73+$J$10*J73+$K$10*K73+$L$10*L73)</x:f>
        <x:v>2.38490914016574</x:v>
      </x:c>
      <x:c r="AJ73" s="2" t="n">
        <x:f t="shared" si="19">1+AJ$9*($H$10*H73+$I$10*I73+$J$10*J73+$K$10*K73+$L$10*L73)</x:f>
        <x:v>1.3158228842385558</x:v>
      </x:c>
      <x:c r="AK73" s="1" t="n">
        <x:f t="shared" si="20">(1+AH73*(AI73-1))*AJ73</x:f>
        <x:v>1.6587287379258187</x:v>
      </x:c>
      <x:c r="AL73" s="1" t="n">
        <x:f t="shared" si="21">U73*AD73*AK73*F73</x:f>
        <x:v>155520.17908224033</x:v>
      </x:c>
      <x:c r="AM73" s="13" t="n">
        <x:f t="shared" si="22">IF($B73&lt;AM$8,0,AM$3+(AM$4-AM$3)*(POWER(AM$5,$B73-AM$8)-1)/(POWER(AM$5,$C$5-AM$8)-1))</x:f>
        <x:v>36.120774409385646</x:v>
      </x:c>
      <x:c r="AN73" s="13" t="n">
        <x:f>(((E73*'模块规划'!$D$10+G73*'模块规划'!$D$11+H73*'模块规划'!$D$13)*(1+'模块规划'!$G$14*H73)+(I73*'模块规划'!$D$15+J73*'模块规划'!$D$17+K73*'模块规划'!$D$16+L73*'模块规划'!$D$18))*(1+'模块规划'!$J$17*J73))*F73/(1-Q73)</x:f>
        <x:v>335526.96189073194</x:v>
      </x:c>
      <x:c r="AO73" s="1" t="n">
        <x:f t="shared" si="23">AL73*AM73</x:f>
        <x:v>5617509.304736859</x:v>
      </x:c>
      <x:c r="AP73" s="1" t="n">
        <x:f>IF(AO73="","",INDEX('_曲线基线'!$A$3:$A$502,MIN(ROWS('_曲线基线'!$A$3:$A$502),COUNTIF('_曲线基线'!$E$3:$E$502,"&lt;"&amp;AO73)+1)))</x:f>
        <x:v>116</x:v>
      </x:c>
      <x:c r="AQ73" s="14" t="n">
        <x:f t="shared" si="24">IF(B73&lt;=2,1,IF(B73&lt;=6,2,IF(B73&lt;=9,3,IF(B73&lt;=19,4,5))))</x:f>
        <x:v>5</x:v>
      </x:c>
      <x:c r="AR73" s="10" t="n">
        <x:f t="shared" si="26">AN73*(1-Q73)/F73*$AS$3+U73*$AS$4+P73*$AS$5</x:f>
        <x:v>4189.235291701524</x:v>
      </x:c>
      <x:c r="AS73" s="15" t="n">
        <x:f t="shared" si="27">1+AH73*$AS$6+AI73*$AS$7+(AJ73-1)*$AS$8+($H$10*H73+$I$10*I73+$J$10*J73+$K$10*K73+$L$10*L73)*$AU$3*$AS$9+($H$10*H73+$I$10*I73+$J$10*J73+$K$10*K73+$L$10*L73)*$AU$4*$AS$10</x:f>
        <x:v>8.610575420578062</x:v>
      </x:c>
      <x:c r="AT73" s="16" t="n">
        <x:f t="shared" si="28">ROUND(AR73*AS73,0)</x:f>
        <x:v>36072</x:v>
      </x:c>
      <x:c r="AU73" s="16" t="n">
        <x:f t="shared" si="29">ROUND(AT73*F73,0)</x:f>
        <x:v>180360</x:v>
      </x:c>
      <x:c r="AV73" t="n">
        <x:f>IF(AU73&gt;0,ROUND(AU73,-MAX(0,INT(LOG10(AU73))-2)),0)</x:f>
        <x:v>180000</x:v>
      </x:c>
    </x:row>
    <x:row r="74" customHeight="1">
      <x:c r="A74" s="1" t="n">
        <x:f>IFERROR(XLOOKUP(B74,'_曲线基线'!$G$3:$G$107,'_曲线基线'!$J$3:$J$107,""),"")</x:f>
        <x:v>29</x:v>
      </x:c>
      <x:c r="B74" s="1" t="n">
        <x:v>63</x:v>
      </x:c>
      <x:c r="C74" s="1" t="n">
        <x:f t="shared" si="67">C59+1</x:f>
        <x:v>5</x:v>
      </x:c>
      <x:c r="D74" s="1" t="n">
        <x:f t="shared" si="68">D59</x:f>
        <x:v>9</x:v>
      </x:c>
      <x:c r="E74" s="1" t="n">
        <x:f t="shared" si="0">IF($B74&lt;E$8,0,E$3+(E$4-E$3)*(POWER(E$5,$B74-E$8)-1)/(POWER(E$5,$C$5-E$8)-1))</x:f>
        <x:v>1</x:v>
      </x:c>
      <x:c r="F74" s="10" t="n">
        <x:f t="shared" si="1">1+IF(B74&lt;3,0,MIN(1,(B74-2)/4))+IF(B74&lt;7,0,MIN(1,(B74-6)/3))+IF(B74&lt;10,0,MIN(1,(B74-9)/5))+IF(B74&lt;20,0,MIN(1,(B74-19)/10))</x:f>
        <x:v>5</x:v>
      </x:c>
      <x:c r="G74" s="11" t="n">
        <x:f t="shared" ref="G74:L74" si="92">'玩家战力_节点'!G74</x:f>
        <x:v>0.4836023578090647</x:v>
      </x:c>
      <x:c r="H74" s="11" t="n">
        <x:f t="shared" si="92">'玩家战力_节点'!H74</x:f>
        <x:v>0.36330583181700943</x:v>
      </x:c>
      <x:c r="I74" s="11" t="n">
        <x:f t="shared" si="92">'玩家战力_节点'!I74</x:f>
        <x:v>0</x:v>
      </x:c>
      <x:c r="J74" s="11" t="n">
        <x:f t="shared" si="92">'玩家战力_节点'!J74</x:f>
        <x:v>0.19958244307788878</x:v>
      </x:c>
      <x:c r="K74" s="11" t="n">
        <x:f t="shared" si="92">'玩家战力_节点'!K74</x:f>
        <x:v>0</x:v>
      </x:c>
      <x:c r="L74" s="11" t="n">
        <x:f t="shared" si="92">'玩家战力_节点'!L74</x:f>
        <x:v>0.3221409413610185</x:v>
      </x:c>
      <x:c r="M74" s="2" t="n">
        <x:f>E74*'模块规划'!$F$10+G74*'模块规划'!$F$11+H74*'模块规划'!$F$13</x:f>
        <x:v>3321.2913174835103</x:v>
      </x:c>
      <x:c r="N74" s="2" t="n">
        <x:f>I74*'模块规划'!$F$15+J74*'模块规划'!$F$17+K74*'模块规划'!$F$16+L74*'模块规划'!$F$18</x:f>
        <x:v>3606.52913758398</x:v>
      </x:c>
      <x:c r="O74" s="2" t="n">
        <x:f t="shared" si="3">1+O$9*SUMPRODUCT($H$10:$L$10,H74:L74)/SUM($H$10:$L$10)</x:f>
        <x:v>1.703133121024885</x:v>
      </x:c>
      <x:c r="P74" s="12" t="n">
        <x:f t="shared" si="4">M74*O74+N74</x:f>
        <x:v>9263.130384962524</x:v>
      </x:c>
      <x:c r="Q74" s="7" t="n">
        <x:f>P74/(P74+'_曲线基线'!$L$2)</x:f>
        <x:v>0.2784804159367444</x:v>
      </x:c>
      <x:c r="R74" s="2" t="n">
        <x:f>E74*'模块规划'!$E$10+G74*'模块规划'!$E$11+H74*'模块规划'!$E$13</x:f>
        <x:v>4981.936976225266</x:v>
      </x:c>
      <x:c r="S74" s="2" t="n">
        <x:f>I74*'模块规划'!$E$15+J74*'模块规划'!$E$17+K74*'模块规划'!$E$16+L74*'模块规划'!$E$18</x:f>
        <x:v>5409.793706375971</x:v>
      </x:c>
      <x:c r="T74" s="2" t="n">
        <x:f t="shared" si="5">1+T$9*SUMPRODUCT($H$10:$L$10,H74:L74)/SUM($H$10:$L$10)</x:f>
        <x:v>1.703133121024885</x:v>
      </x:c>
      <x:c r="U74" s="12" t="n">
        <x:f t="shared" si="6">R74*T74+S74</x:f>
        <x:v>13894.695577443787</x:v>
      </x:c>
      <x:c r="V74" s="2" t="n">
        <x:f t="shared" si="7">V$8+(V$9-V$8)*H74</x:f>
        <x:v>0.8089917495451028</x:v>
      </x:c>
      <x:c r="W74" s="2" t="n">
        <x:f t="shared" si="8">IF(B74&lt;$H$8,0,W$8+(W$9-W$8)*H74)</x:f>
        <x:v>0.14532233272680378</x:v>
      </x:c>
      <x:c r="X74" s="2" t="n">
        <x:f t="shared" si="9">X$8+(X$9-X$8)*H74</x:f>
        <x:v>0.3749091037496776</x:v>
      </x:c>
      <x:c r="Y74" s="2" t="n">
        <x:f t="shared" si="10">Y$8+(Y$9-Y$8)*G74</x:f>
        <x:v>1</x:v>
      </x:c>
      <x:c r="Z74" s="2" t="n">
        <x:f t="shared" si="11">Z$8+(Z$9-Z$8)*H74</x:f>
        <x:v>1</x:v>
      </x:c>
      <x:c r="AA74" s="2" t="n">
        <x:f t="shared" si="12">AA$8+(AA$9-AA$8)*I74</x:f>
        <x:v>1</x:v>
      </x:c>
      <x:c r="AB74" s="2" t="n">
        <x:f t="shared" si="13">AB$8+(AB$9-AB$8)*J74</x:f>
        <x:v>1</x:v>
      </x:c>
      <x:c r="AC74" s="2" t="n">
        <x:f t="shared" si="14">AC$8+(AC$9-AC$8)*MAX(K74,L74)</x:f>
        <x:v>1</x:v>
      </x:c>
      <x:c r="AD74" s="1" t="n">
        <x:f t="shared" si="15">(V74*AE74+W74*AF74+X74*AG74)*PRODUCT(Y74:AC74)</x:f>
        <x:v>1.37947423647089</x:v>
      </x:c>
      <x:c r="AE74" s="2" t="n">
        <x:f t="shared" si="16">1+AE$9*($H$10*H74+$I$10*I74+$J$10*J74+$K$10*K74+$L$10*L74)</x:f>
        <x:v>1</x:v>
      </x:c>
      <x:c r="AF74" s="2" t="n">
        <x:f t="shared" si="17">1+AF$9*($H$10*H74+$I$10*I74+$J$10*J74+$K$10*K74+$L$10*L74)</x:f>
        <x:v>1.062057902989241</x:v>
      </x:c>
      <x:c r="AG74" s="2" t="n">
        <x:f t="shared" si="18">1+AG$9*($H$10*H74+$I$10*I74+$J$10*J74+$K$10*K74+$L$10*L74)</x:f>
        <x:v>1.1099803947420444</x:v>
      </x:c>
      <x:c r="AH74" s="2" t="n">
        <x:f>MIN(1,'_曲线基线'!$L$3+AH$9*($H$10*H74+$I$10*I74+$J$10*J74+$K$10*K74+$L$10*L74))</x:f>
        <x:v>0.1911817293005229</x:v>
      </x:c>
      <x:c r="AI74" s="2" t="n">
        <x:f>'_曲线基线'!$L$4+AI$9*($H$10*H74+$I$10*I74+$J$10*J74+$K$10*K74+$L$10*L74)</x:f>
        <x:v>2.393291960194314</x:v>
      </x:c>
      <x:c r="AJ74" s="2" t="n">
        <x:f t="shared" si="19">1+AJ$9*($H$10*H74+$I$10*I74+$J$10*J74+$K$10*K74+$L$10*L74)</x:f>
        <x:v>1.3227010955440524</x:v>
      </x:c>
      <x:c r="AK74" s="1" t="n">
        <x:f t="shared" si="20">(1+AH74*(AI74-1))*AJ74</x:f>
        <x:v>1.6750315872844888</x:v>
      </x:c>
      <x:c r="AL74" s="1" t="n">
        <x:f t="shared" si="21">U74*AD74*AK74*F74</x:f>
        <x:v>160529.78927284406</x:v>
      </x:c>
      <x:c r="AM74" s="13" t="n">
        <x:f t="shared" si="22">IF($B74&lt;AM$8,0,AM$3+(AM$4-AM$3)*(POWER(AM$5,$B74-AM$8)-1)/(POWER(AM$5,$C$5-AM$8)-1))</x:f>
        <x:v>36.14540679340137</x:v>
      </x:c>
      <x:c r="AN74" s="13" t="n">
        <x:f>(((E74*'模块规划'!$D$10+G74*'模块规划'!$D$11+H74*'模块规划'!$D$13)*(1+'模块规划'!$G$14*H74)+(I74*'模块规划'!$D$15+J74*'模块规划'!$D$17+K74*'模块规划'!$D$16+L74*'模块规划'!$D$18))*(1+'模块规划'!$J$17*J74))*F74/(1-Q74)</x:f>
        <x:v>344172.81906117493</x:v>
      </x:c>
      <x:c r="AO74" s="1" t="n">
        <x:f t="shared" si="23">AL74*AM74</x:f>
        <x:v>5802414.535725948</x:v>
      </x:c>
      <x:c r="AP74" s="1" t="n">
        <x:f>IF(AO74="","",INDEX('_曲线基线'!$A$3:$A$502,MIN(ROWS('_曲线基线'!$A$3:$A$502),COUNTIF('_曲线基线'!$E$3:$E$502,"&lt;"&amp;AO74)+1)))</x:f>
        <x:v>117</x:v>
      </x:c>
      <x:c r="AQ74" s="14" t="n">
        <x:f t="shared" si="24">IF(B74&lt;=2,1,IF(B74&lt;=6,2,IF(B74&lt;=9,3,IF(B74&lt;=19,4,5))))</x:f>
        <x:v>5</x:v>
      </x:c>
      <x:c r="AR74" s="10" t="n">
        <x:f t="shared" si="26">AN74*(1-Q74)/F74*$AS$3+U74*$AS$4+P74*$AS$5</x:f>
        <x:v>4268.90369101814</x:v>
      </x:c>
      <x:c r="AS74" s="15" t="n">
        <x:f t="shared" si="27">1+AH74*$AS$6+AI74*$AS$7+(AJ74-1)*$AS$8+($H$10*H74+$I$10*I74+$J$10*J74+$K$10*K74+$L$10*L74)*$AU$3*$AS$9+($H$10*H74+$I$10*I74+$J$10*J74+$K$10*K74+$L$10*L74)*$AU$4*$AS$10</x:f>
        <x:v>8.689610216899412</x:v>
      </x:c>
      <x:c r="AT74" s="16" t="n">
        <x:f t="shared" si="28">ROUND(AR74*AS74,0)</x:f>
        <x:v>37095</x:v>
      </x:c>
      <x:c r="AU74" s="16" t="n">
        <x:f t="shared" si="29">ROUND(AT74*F74,0)</x:f>
        <x:v>185475</x:v>
      </x:c>
      <x:c r="AV74" t="n">
        <x:f>IF(AU74&gt;0,ROUND(AU74,-MAX(0,INT(LOG10(AU74))-2)),0)</x:f>
        <x:v>185000</x:v>
      </x:c>
    </x:row>
    <x:row r="75" customHeight="1">
      <x:c r="A75" s="1" t="n">
        <x:f>IFERROR(XLOOKUP(B75,'_曲线基线'!$G$3:$G$107,'_曲线基线'!$J$3:$J$107,""),"")</x:f>
        <x:v>30</x:v>
      </x:c>
      <x:c r="B75" s="1" t="n">
        <x:v>64</x:v>
      </x:c>
      <x:c r="C75" s="1" t="n">
        <x:f t="shared" si="67">C60+1</x:f>
        <x:v>5</x:v>
      </x:c>
      <x:c r="D75" s="1" t="n">
        <x:f t="shared" si="68">D60</x:f>
        <x:v>10</x:v>
      </x:c>
      <x:c r="E75" s="1" t="n">
        <x:f t="shared" si="0">IF($B75&lt;E$8,0,E$3+(E$4-E$3)*(POWER(E$5,$B75-E$8)-1)/(POWER(E$5,$C$5-E$8)-1))</x:f>
        <x:v>1</x:v>
      </x:c>
      <x:c r="F75" s="10" t="n">
        <x:f t="shared" si="1">1+IF(B75&lt;3,0,MIN(1,(B75-2)/4))+IF(B75&lt;7,0,MIN(1,(B75-6)/3))+IF(B75&lt;10,0,MIN(1,(B75-9)/5))+IF(B75&lt;20,0,MIN(1,(B75-19)/10))</x:f>
        <x:v>5</x:v>
      </x:c>
      <x:c r="G75" s="11" t="n">
        <x:f t="shared" ref="G75:L75" si="93">'玩家战力_节点'!G75</x:f>
        <x:v>0.48788368412698946</x:v>
      </x:c>
      <x:c r="H75" s="11" t="n">
        <x:f t="shared" si="93">'玩家战力_节点'!H75</x:f>
        <x:v>0.3675619405665165</x:v>
      </x:c>
      <x:c r="I75" s="11" t="n">
        <x:f t="shared" si="93">'玩家战力_节点'!I75</x:f>
        <x:v>0</x:v>
      </x:c>
      <x:c r="J75" s="11" t="n">
        <x:f t="shared" si="93">'玩家战力_节点'!J75</x:f>
        <x:v>0.20508028766747377</x:v>
      </x:c>
      <x:c r="K75" s="11" t="n">
        <x:f t="shared" si="93">'玩家战力_节点'!K75</x:f>
        <x:v>0</x:v>
      </x:c>
      <x:c r="L75" s="11" t="n">
        <x:f t="shared" si="93">'玩家战力_节点'!L75</x:f>
        <x:v>0.32723650463917037</x:v>
      </x:c>
      <x:c r="M75" s="2" t="n">
        <x:f>E75*'模块规划'!$F$10+G75*'模块规划'!$F$11+H75*'模块规划'!$F$13</x:f>
        <x:v>3341.8416838095495</x:v>
      </x:c>
      <x:c r="N75" s="2" t="n">
        <x:f>I75*'模块规划'!$F$15+J75*'模块规划'!$F$17+K75*'模块规划'!$F$16+L75*'模块规划'!$F$18</x:f>
        <x:v>3686.9853998705894</x:v>
      </x:c>
      <x:c r="O75" s="2" t="n">
        <x:f t="shared" si="3">1+O$9*SUMPRODUCT($H$10:$L$10,H75:L75)/SUM($H$10:$L$10)</x:f>
        <x:v>1.7181200493281459</x:v>
      </x:c>
      <x:c r="P75" s="12" t="n">
        <x:f t="shared" si="4">M75*O75+N75</x:f>
        <x:v>9428.670598504306</x:v>
      </x:c>
      <x:c r="Q75" s="7" t="n">
        <x:f>P75/(P75+'_曲线基线'!$L$2)</x:f>
        <x:v>0.28205341192737027</x:v>
      </x:c>
      <x:c r="R75" s="2" t="n">
        <x:f>E75*'模块规划'!$E$10+G75*'模块规划'!$E$11+H75*'模块规划'!$E$13</x:f>
        <x:v>5012.7625257143245</x:v>
      </x:c>
      <x:c r="S75" s="2" t="n">
        <x:f>I75*'模块规划'!$E$15+J75*'模块规划'!$E$17+K75*'模块规划'!$E$16+L75*'模块规划'!$E$18</x:f>
        <x:v>5530.478099805885</x:v>
      </x:c>
      <x:c r="T75" s="2" t="n">
        <x:f t="shared" si="5">1+T$9*SUMPRODUCT($H$10:$L$10,H75:L75)/SUM($H$10:$L$10)</x:f>
        <x:v>1.7181200493281459</x:v>
      </x:c>
      <x:c r="U75" s="12" t="n">
        <x:f t="shared" si="6">R75*T75+S75</x:f>
        <x:v>14143.005897756462</x:v>
      </x:c>
      <x:c r="V75" s="2" t="n">
        <x:f t="shared" si="7">V$8+(V$9-V$8)*H75</x:f>
        <x:v>0.8102685821699549</x:v>
      </x:c>
      <x:c r="W75" s="2" t="n">
        <x:f t="shared" si="8">IF(B75&lt;$H$8,0,W$8+(W$9-W$8)*H75)</x:f>
        <x:v>0.1470247762266066</x:v>
      </x:c>
      <x:c r="X75" s="2" t="n">
        <x:f t="shared" si="9">X$8+(X$9-X$8)*H75</x:f>
        <x:v>0.37607953365579205</x:v>
      </x:c>
      <x:c r="Y75" s="2" t="n">
        <x:f t="shared" si="10">Y$8+(Y$9-Y$8)*G75</x:f>
        <x:v>1</x:v>
      </x:c>
      <x:c r="Z75" s="2" t="n">
        <x:f t="shared" si="11">Z$8+(Z$9-Z$8)*H75</x:f>
        <x:v>1</x:v>
      </x:c>
      <x:c r="AA75" s="2" t="n">
        <x:f t="shared" si="12">AA$8+(AA$9-AA$8)*I75</x:f>
        <x:v>1</x:v>
      </x:c>
      <x:c r="AB75" s="2" t="n">
        <x:f t="shared" si="13">AB$8+(AB$9-AB$8)*J75</x:f>
        <x:v>1</x:v>
      </x:c>
      <x:c r="AC75" s="2" t="n">
        <x:f t="shared" si="14">AC$8+(AC$9-AC$8)*MAX(K75,L75)</x:f>
        <x:v>1</x:v>
      </x:c>
      <x:c r="AD75" s="1" t="n">
        <x:f t="shared" si="15">(V75*AE75+W75*AF75+X75*AG75)*PRODUCT(Y75:AC75)</x:f>
        <x:v>1.3849343883195844</x:v>
      </x:c>
      <x:c r="AE75" s="2" t="n">
        <x:f t="shared" si="16">1+AE$9*($H$10*H75+$I$10*I75+$J$10*J75+$K$10*K75+$L$10*L75)</x:f>
        <x:v>1</x:v>
      </x:c>
      <x:c r="AF75" s="2" t="n">
        <x:f t="shared" si="17">1+AF$9*($H$10*H75+$I$10*I75+$J$10*J75+$K$10*K75+$L$10*L75)</x:f>
        <x:v>1.0633806359326057</x:v>
      </x:c>
      <x:c r="AG75" s="2" t="n">
        <x:f t="shared" si="18">1+AG$9*($H$10*H75+$I$10*I75+$J$10*J75+$K$10*K75+$L$10*L75)</x:f>
        <x:v>1.1123245714583407</x:v>
      </x:c>
      <x:c r="AH75" s="2" t="n">
        <x:f>MIN(1,'_曲线基线'!$L$3+AH$9*($H$10*H75+$I$10*I75+$J$10*J75+$K$10*K75+$L$10*L75))</x:f>
        <x:v>0.1941909467466777</x:v>
      </x:c>
      <x:c r="AI75" s="2" t="n">
        <x:f>'_曲线基线'!$L$4+AI$9*($H$10*H75+$I$10*I75+$J$10*J75+$K$10*K75+$L$10*L75)</x:f>
        <x:v>2.401674780222888</x:v>
      </x:c>
      <x:c r="AJ75" s="2" t="n">
        <x:f t="shared" si="19">1+AJ$9*($H$10*H75+$I$10*I75+$J$10*J75+$K$10*K75+$L$10*L75)</x:f>
        <x:v>1.329579306849549</x:v>
      </x:c>
      <x:c r="AK75" s="1" t="n">
        <x:f t="shared" si="20">(1+AH75*(AI75-1))*AJ75</x:f>
        <x:v>1.6914808922682893</x:v>
      </x:c>
      <x:c r="AL75" s="1" t="n">
        <x:f t="shared" si="21">U75*AD75*AK75*F75</x:f>
        <x:v>165656.32481152235</x:v>
      </x:c>
      <x:c r="AM75" s="13" t="n">
        <x:f t="shared" si="22">IF($B75&lt;AM$8,0,AM$3+(AM$4-AM$3)*(POWER(AM$5,$B75-AM$8)-1)/(POWER(AM$5,$C$5-AM$8)-1))</x:f>
        <x:v>36.170285501257254</x:v>
      </x:c>
      <x:c r="AN75" s="13" t="n">
        <x:f>(((E75*'模块规划'!$D$10+G75*'模块规划'!$D$11+H75*'模块规划'!$D$13)*(1+'模块规划'!$G$14*H75)+(I75*'模块规划'!$D$15+J75*'模块规划'!$D$17+K75*'模块规划'!$D$16+L75*'模块规划'!$D$18))*(1+'模块规划'!$J$17*J75))*F75/(1-Q75)</x:f>
        <x:v>352956.4718848786</x:v>
      </x:c>
      <x:c r="AO75" s="1" t="n">
        <x:f t="shared" si="23">AL75*AM75</x:f>
        <x:v>5991836.563521769</x:v>
      </x:c>
      <x:c r="AP75" s="1" t="n">
        <x:f>IF(AO75="","",INDEX('_曲线基线'!$A$3:$A$502,MIN(ROWS('_曲线基线'!$A$3:$A$502),COUNTIF('_曲线基线'!$E$3:$E$502,"&lt;"&amp;AO75)+1)))</x:f>
        <x:v>119</x:v>
      </x:c>
      <x:c r="AQ75" s="14" t="n">
        <x:f t="shared" si="24">IF(B75&lt;=2,1,IF(B75&lt;=6,2,IF(B75&lt;=9,3,IF(B75&lt;=19,4,5))))</x:f>
        <x:v>5</x:v>
      </x:c>
      <x:c r="AR75" s="10" t="n">
        <x:f t="shared" si="26">AN75*(1-Q75)/F75*$AS$3+U75*$AS$4+P75*$AS$5</x:f>
        <x:v>4349.0245479187015</x:v>
      </x:c>
      <x:c r="AS75" s="15" t="n">
        <x:f t="shared" si="27">1+AH75*$AS$6+AI75*$AS$7+(AJ75-1)*$AS$8+($H$10*H75+$I$10*I75+$J$10*J75+$K$10*K75+$L$10*L75)*$AU$3*$AS$9+($H$10*H75+$I$10*I75+$J$10*J75+$K$10*K75+$L$10*L75)*$AU$4*$AS$10</x:f>
        <x:v>8.768645013220763</x:v>
      </x:c>
      <x:c r="AT75" s="16" t="n">
        <x:f t="shared" si="28">ROUND(AR75*AS75,0)</x:f>
        <x:v>38135</x:v>
      </x:c>
      <x:c r="AU75" s="16" t="n">
        <x:f t="shared" si="29">ROUND(AT75*F75,0)</x:f>
        <x:v>190675</x:v>
      </x:c>
      <x:c r="AV75" t="n">
        <x:f>IF(AU75&gt;0,ROUND(AU75,-MAX(0,INT(LOG10(AU75))-2)),0)</x:f>
        <x:v>191000</x:v>
      </x:c>
    </x:row>
    <x:row r="76" customHeight="1">
      <x:c r="A76" s="1" t="n">
        <x:f>IFERROR(XLOOKUP(B76,'_曲线基线'!$G$3:$G$107,'_曲线基线'!$J$3:$J$107,""),"")</x:f>
        <x:v>30</x:v>
      </x:c>
      <x:c r="B76" s="1" t="n">
        <x:v>65</x:v>
      </x:c>
      <x:c r="C76" s="1" t="n">
        <x:f t="shared" si="67">C61+1</x:f>
        <x:v>5</x:v>
      </x:c>
      <x:c r="D76" s="1" t="n">
        <x:f t="shared" si="68">D61</x:f>
        <x:v>11</x:v>
      </x:c>
      <x:c r="E76" s="1" t="n">
        <x:f t="shared" ref="E76:E139" si="94">IF($B76&lt;E$8,0,E$3+(E$4-E$3)*(POWER(E$5,$B76-E$8)-1)/(POWER(E$5,$C$5-E$8)-1))</x:f>
        <x:v>1</x:v>
      </x:c>
      <x:c r="F76" s="10" t="n">
        <x:f t="shared" ref="F76:F139" si="95">1+IF(B76&lt;3,0,MIN(1,(B76-2)/4))+IF(B76&lt;7,0,MIN(1,(B76-6)/3))+IF(B76&lt;10,0,MIN(1,(B76-9)/5))+IF(B76&lt;20,0,MIN(1,(B76-19)/10))</x:f>
        <x:v>5</x:v>
      </x:c>
      <x:c r="G76" s="11" t="n">
        <x:f t="shared" ref="G76:L76" si="96">'玩家战力_节点'!G76</x:f>
        <x:v>0.49173315039503696</x:v>
      </x:c>
      <x:c r="H76" s="11" t="n">
        <x:f t="shared" si="96">'玩家战力_节点'!H76</x:f>
        <x:v>0.3712532614135746</x:v>
      </x:c>
      <x:c r="I76" s="11" t="n">
        <x:f t="shared" si="96">'玩家战力_节点'!I76</x:f>
        <x:v>0.009491009711373075</x:v>
      </x:c>
      <x:c r="J76" s="11" t="n">
        <x:f t="shared" si="96">'玩家战力_节点'!J76</x:f>
        <x:v>0.20984856534594498</x:v>
      </x:c>
      <x:c r="K76" s="11" t="n">
        <x:f t="shared" si="96">'玩家战力_节点'!K76</x:f>
        <x:v>0</x:v>
      </x:c>
      <x:c r="L76" s="11" t="n">
        <x:f t="shared" si="96">'玩家战力_节点'!L76</x:f>
        <x:v>0.3316558839509241</x:v>
      </x:c>
      <x:c r="M76" s="2" t="n">
        <x:f>E76*'模块规划'!$F$10+G76*'模块规划'!$F$11+H76*'模块规划'!$F$13</x:f>
        <x:v>3360.3191218961774</x:v>
      </x:c>
      <x:c r="N76" s="2" t="n">
        <x:f>I76*'模块规划'!$F$15+J76*'模块规划'!$F$17+K76*'模块规划'!$F$16+L76*'模块规划'!$F$18</x:f>
        <x:v>3832.6931509050546</x:v>
      </x:c>
      <x:c r="O76" s="2" t="n">
        <x:f t="shared" ref="O76:O139" si="97">1+O$9*SUMPRODUCT($H$10:$L$10,H76:L76)/SUM($H$10:$L$10)</x:f>
        <x:v>1.7331034796732432</x:v>
      </x:c>
      <x:c r="P76" s="12" t="n">
        <x:f t="shared" ref="P76:P139" si="98">M76*O76+N76</x:f>
        <x:v>9656.473913875856</x:v>
      </x:c>
      <x:c r="Q76" s="7" t="n">
        <x:f>P76/(P76+'_曲线基线'!$L$2)</x:f>
        <x:v>0.2869128221389435</x:v>
      </x:c>
      <x:c r="R76" s="2" t="n">
        <x:f>E76*'模块规划'!$E$10+G76*'模块规划'!$E$11+H76*'模块规划'!$E$13</x:f>
        <x:v>5040.478682844267</x:v>
      </x:c>
      <x:c r="S76" s="2" t="n">
        <x:f>I76*'模块规划'!$E$15+J76*'模块规划'!$E$17+K76*'模块规划'!$E$16+L76*'模块规划'!$E$18</x:f>
        <x:v>5749.039726357582</x:v>
      </x:c>
      <x:c r="T76" s="2" t="n">
        <x:f t="shared" ref="T76:T139" si="99">1+T$9*SUMPRODUCT($H$10:$L$10,H76:L76)/SUM($H$10:$L$10)</x:f>
        <x:v>1.7331034796732432</x:v>
      </x:c>
      <x:c r="U76" s="12" t="n">
        <x:f t="shared" ref="U76:U139" si="100">R76*T76+S76</x:f>
        <x:v>14484.710870813786</x:v>
      </x:c>
      <x:c r="V76" s="2" t="n">
        <x:f t="shared" ref="V76:V139" si="101">V$8+(V$9-V$8)*H76</x:f>
        <x:v>0.8113759784240724</x:v>
      </x:c>
      <x:c r="W76" s="2" t="n">
        <x:f t="shared" ref="W76:W139" si="102">IF(B76&lt;$H$8,0,W$8+(W$9-W$8)*H76)</x:f>
        <x:v>0.14850130456542984</x:v>
      </x:c>
      <x:c r="X76" s="2" t="n">
        <x:f t="shared" ref="X76:X139" si="103">X$8+(X$9-X$8)*H76</x:f>
        <x:v>0.37709464688873306</x:v>
      </x:c>
      <x:c r="Y76" s="2" t="n">
        <x:f t="shared" ref="Y76:Y139" si="104">Y$8+(Y$9-Y$8)*G76</x:f>
        <x:v>1</x:v>
      </x:c>
      <x:c r="Z76" s="2" t="n">
        <x:f t="shared" ref="Z76:Z139" si="105">Z$8+(Z$9-Z$8)*H76</x:f>
        <x:v>1</x:v>
      </x:c>
      <x:c r="AA76" s="2" t="n">
        <x:f t="shared" ref="AA76:AA139" si="106">AA$8+(AA$9-AA$8)*I76</x:f>
        <x:v>1</x:v>
      </x:c>
      <x:c r="AB76" s="2" t="n">
        <x:f t="shared" ref="AB76:AB139" si="107">AB$8+(AB$9-AB$8)*J76</x:f>
        <x:v>1</x:v>
      </x:c>
      <x:c r="AC76" s="2" t="n">
        <x:f t="shared" ref="AC76:AC139" si="108">AC$8+(AC$9-AC$8)*MAX(K76,L76)</x:f>
        <x:v>1</x:v>
      </x:c>
      <x:c r="AD76" s="1" t="n">
        <x:f t="shared" ref="AD76:AD139" si="109">(V76*AE76+W76*AF76+X76*AG76)*PRODUCT(Y76:AC76)</x:f>
        <x:v>1.38982118350122</x:v>
      </x:c>
      <x:c r="AE76" s="2" t="n">
        <x:f t="shared" ref="AE76:AE139" si="110">1+AE$9*($H$10*H76+$I$10*I76+$J$10*J76+$K$10*K76+$L$10*L76)</x:f>
        <x:v>1</x:v>
      </x:c>
      <x:c r="AF76" s="2" t="n">
        <x:f t="shared" ref="AF76:AF139" si="111">1+AF$9*($H$10*H76+$I$10*I76+$J$10*J76+$K$10*K76+$L$10*L76)</x:f>
        <x:v>1.0647030601492984</x:v>
      </x:c>
      <x:c r="AG76" s="2" t="n">
        <x:f t="shared" ref="AG76:AG139" si="112">1+AG$9*($H$10*H76+$I$10*I76+$J$10*J76+$K$10*K76+$L$10*L76)</x:f>
        <x:v>1.1146682010423687</x:v>
      </x:c>
      <x:c r="AH76" s="2" t="n">
        <x:f>MIN(1,'_曲线基线'!$L$3+AH$9*($H$10*H76+$I$10*I76+$J$10*J76+$K$10*K76+$L$10*L76))</x:f>
        <x:v>0.19719946183965376</x:v>
      </x:c>
      <x:c r="AI76" s="2" t="n">
        <x:f>'_曲线基线'!$L$4+AI$9*($H$10*H76+$I$10*I76+$J$10*J76+$K$10*K76+$L$10*L76)</x:f>
        <x:v>2.4100556436961784</x:v>
      </x:c>
      <x:c r="AJ76" s="2" t="n">
        <x:f t="shared" ref="AJ76:AJ139" si="113">1+AJ$9*($H$10*H76+$I$10*I76+$J$10*J76+$K$10*K76+$L$10*L76)</x:f>
        <x:v>1.3364559127763516</x:v>
      </x:c>
      <x:c r="AK76" s="1" t="n">
        <x:f t="shared" ref="AK76:AK139" si="114">(1+AH76*(AI76-1))*AJ76</x:f>
        <x:v>1.7080738029311202</x:v>
      </x:c>
      <x:c r="AL76" s="1" t="n">
        <x:f t="shared" ref="AL76:AL139" si="115">U76*AD76*AK76*F76</x:f>
        <x:v>171927.51805629695</x:v>
      </x:c>
      <x:c r="AM76" s="13" t="n">
        <x:f t="shared" ref="AM76:AM139" si="116">IF($B76&lt;AM$8,0,AM$3+(AM$4-AM$3)*(POWER(AM$5,$B76-AM$8)-1)/(POWER(AM$5,$C$5-AM$8)-1))</x:f>
        <x:v>36.19541299619169</x:v>
      </x:c>
      <x:c r="AN76" s="13" t="n">
        <x:f>(((E76*'模块规划'!$D$10+G76*'模块规划'!$D$11+H76*'模块规划'!$D$13)*(1+'模块规划'!$G$14*H76)+(I76*'模块规划'!$D$15+J76*'模块规划'!$D$17+K76*'模块规划'!$D$16+L76*'模块规划'!$D$18))*(1+'模块规划'!$J$17*J76))*F76/(1-Q76)</x:f>
        <x:v>364957.3536018215</x:v>
      </x:c>
      <x:c r="AO76" s="1" t="n">
        <x:f t="shared" ref="AO76:AO139" si="117">AL76*AM76</x:f>
        <x:v>6222987.521457872</x:v>
      </x:c>
      <x:c r="AP76" s="1" t="n">
        <x:f>IF(AO76="","",INDEX('_曲线基线'!$A$3:$A$502,MIN(ROWS('_曲线基线'!$A$3:$A$502),COUNTIF('_曲线基线'!$E$3:$E$502,"&lt;"&amp;AO76)+1)))</x:f>
        <x:v>121</x:v>
      </x:c>
      <x:c r="AQ76" s="14" t="n">
        <x:f t="shared" ref="AQ76:AQ139" si="118">IF(B76&lt;=2,1,IF(B76&lt;=6,2,IF(B76&lt;=9,3,IF(B76&lt;=19,4,5))))</x:f>
        <x:v>5</x:v>
      </x:c>
      <x:c r="AR76" s="10" t="n">
        <x:f t="shared" ref="AR76:AR139" si="119">AN76*(1-Q76)/F76*$AS$3+U76*$AS$4+P76*$AS$5</x:f>
        <x:v>4458.4206300801325</x:v>
      </x:c>
      <x:c r="AS76" s="15" t="n">
        <x:f t="shared" ref="AS76:AS139" si="120">1+AH76*$AS$6+AI76*$AS$7+(AJ76-1)*$AS$8+($H$10*H76+$I$10*I76+$J$10*J76+$K$10*K76+$L$10*L76)*$AU$3*$AS$9+($H$10*H76+$I$10*I76+$J$10*J76+$K$10*K76+$L$10*L76)*$AU$4*$AS$10</x:f>
        <x:v>8.847661362772673</x:v>
      </x:c>
      <x:c r="AT76" s="16" t="n">
        <x:f t="shared" ref="AT76:AT139" si="121">ROUND(AR76*AS76,0)</x:f>
        <x:v>39447</x:v>
      </x:c>
      <x:c r="AU76" s="16" t="n">
        <x:f t="shared" ref="AU76:AU139" si="122">ROUND(AT76*F76,0)</x:f>
        <x:v>197235</x:v>
      </x:c>
      <x:c r="AV76" t="n">
        <x:f>IF(AU76&gt;0,ROUND(AU76,-MAX(0,INT(LOG10(AU76))-2)),0)</x:f>
        <x:v>197000</x:v>
      </x:c>
    </x:row>
    <x:row r="77" customHeight="1">
      <x:c r="A77" s="1" t="n">
        <x:f>IFERROR(XLOOKUP(B77,'_曲线基线'!$G$3:$G$107,'_曲线基线'!$J$3:$J$107,""),"")</x:f>
        <x:v>30</x:v>
      </x:c>
      <x:c r="B77" s="1" t="n">
        <x:v>66</x:v>
      </x:c>
      <x:c r="C77" s="1" t="n">
        <x:f t="shared" si="67">C62+1</x:f>
        <x:v>5</x:v>
      </x:c>
      <x:c r="D77" s="1" t="n">
        <x:f t="shared" si="68">D62</x:f>
        <x:v>12</x:v>
      </x:c>
      <x:c r="E77" s="1" t="n">
        <x:f t="shared" si="94">IF($B77&lt;E$8,0,E$3+(E$4-E$3)*(POWER(E$5,$B77-E$8)-1)/(POWER(E$5,$C$5-E$8)-1))</x:f>
        <x:v>1</x:v>
      </x:c>
      <x:c r="F77" s="10" t="n">
        <x:f t="shared" si="95">1+IF(B77&lt;3,0,MIN(1,(B77-2)/4))+IF(B77&lt;7,0,MIN(1,(B77-6)/3))+IF(B77&lt;10,0,MIN(1,(B77-9)/5))+IF(B77&lt;20,0,MIN(1,(B77-19)/10))</x:f>
        <x:v>5</x:v>
      </x:c>
      <x:c r="G77" s="11" t="n">
        <x:f t="shared" ref="G77:L77" si="123">'玩家战力_节点'!G77</x:f>
        <x:v>0.49558261666308445</x:v>
      </x:c>
      <x:c r="H77" s="11" t="n">
        <x:f t="shared" si="123">'玩家战力_节点'!H77</x:f>
        <x:v>0.37494458226063265</x:v>
      </x:c>
      <x:c r="I77" s="11" t="n">
        <x:f t="shared" si="123">'玩家战力_节点'!I77</x:f>
        <x:v>0.01898201942274615</x:v>
      </x:c>
      <x:c r="J77" s="11" t="n">
        <x:f t="shared" si="123">'玩家战力_节点'!J77</x:f>
        <x:v>0.21461684302441617</x:v>
      </x:c>
      <x:c r="K77" s="11" t="n">
        <x:f t="shared" si="123">'玩家战力_节点'!K77</x:f>
        <x:v>0</x:v>
      </x:c>
      <x:c r="L77" s="11" t="n">
        <x:f t="shared" si="123">'玩家战力_节点'!L77</x:f>
        <x:v>0.33607526326267784</x:v>
      </x:c>
      <x:c r="M77" s="2" t="n">
        <x:f>E77*'模块规划'!$F$10+G77*'模块规划'!$F$11+H77*'模块规划'!$F$13</x:f>
        <x:v>3378.7965599828053</x:v>
      </x:c>
      <x:c r="N77" s="2" t="n">
        <x:f>I77*'模块规划'!$F$15+J77*'模块规划'!$F$17+K77*'模块规划'!$F$16+L77*'模块规划'!$F$18</x:f>
        <x:v>3978.40090193952</x:v>
      </x:c>
      <x:c r="O77" s="2" t="n">
        <x:f t="shared" si="97">1+O$9*SUMPRODUCT($H$10:$L$10,H77:L77)/SUM($H$10:$L$10)</x:f>
        <x:v>1.7480869100183405</x:v>
      </x:c>
      <x:c r="P77" s="12" t="n">
        <x:f t="shared" si="98">M77*O77+N77</x:f>
        <x:v>9884.83094006046</x:v>
      </x:c>
      <x:c r="Q77" s="7" t="n">
        <x:f>P77/(P77+'_曲线基线'!$L$2)</x:f>
        <x:v>0.2917184671083627</x:v>
      </x:c>
      <x:c r="R77" s="2" t="n">
        <x:f>E77*'模块规划'!$E$10+G77*'模块规划'!$E$11+H77*'模块规划'!$E$13</x:f>
        <x:v>5068.194839974209</x:v>
      </x:c>
      <x:c r="S77" s="2" t="n">
        <x:f>I77*'模块规划'!$E$15+J77*'模块规划'!$E$17+K77*'模块规划'!$E$16+L77*'模块规划'!$E$18</x:f>
        <x:v>5967.60135290928</x:v>
      </x:c>
      <x:c r="T77" s="2" t="n">
        <x:f t="shared" si="99">1+T$9*SUMPRODUCT($H$10:$L$10,H77:L77)/SUM($H$10:$L$10)</x:f>
        <x:v>1.7480869100183405</x:v>
      </x:c>
      <x:c r="U77" s="12" t="n">
        <x:f t="shared" si="100">R77*T77+S77</x:f>
        <x:v>14827.246410090691</x:v>
      </x:c>
      <x:c r="V77" s="2" t="n">
        <x:f t="shared" si="101">V$8+(V$9-V$8)*H77</x:f>
        <x:v>0.8124833746781898</x:v>
      </x:c>
      <x:c r="W77" s="2" t="n">
        <x:f t="shared" si="102">IF(B77&lt;$H$8,0,W$8+(W$9-W$8)*H77)</x:f>
        <x:v>0.14997783290425307</x:v>
      </x:c>
      <x:c r="X77" s="2" t="n">
        <x:f t="shared" si="103">X$8+(X$9-X$8)*H77</x:f>
        <x:v>0.378109760121674</x:v>
      </x:c>
      <x:c r="Y77" s="2" t="n">
        <x:f t="shared" si="104">Y$8+(Y$9-Y$8)*G77</x:f>
        <x:v>1</x:v>
      </x:c>
      <x:c r="Z77" s="2" t="n">
        <x:f t="shared" si="105">Z$8+(Z$9-Z$8)*H77</x:f>
        <x:v>1</x:v>
      </x:c>
      <x:c r="AA77" s="2" t="n">
        <x:f t="shared" si="106">AA$8+(AA$9-AA$8)*I77</x:f>
        <x:v>1</x:v>
      </x:c>
      <x:c r="AB77" s="2" t="n">
        <x:f t="shared" si="107">AB$8+(AB$9-AB$8)*J77</x:f>
        <x:v>1</x:v>
      </x:c>
      <x:c r="AC77" s="2" t="n">
        <x:f t="shared" si="108">AC$8+(AC$9-AC$8)*MAX(K77,L77)</x:f>
        <x:v>1</x:v>
      </x:c>
      <x:c r="AD77" s="1" t="n">
        <x:f t="shared" si="109">(V77*AE77+W77*AF77+X77*AG77)*PRODUCT(Y77:AC77)</x:f>
        <x:v>1.3947166419753265</x:v>
      </x:c>
      <x:c r="AE77" s="2" t="n">
        <x:f t="shared" si="110">1+AE$9*($H$10*H77+$I$10*I77+$J$10*J77+$K$10*K77+$L$10*L77)</x:f>
        <x:v>1</x:v>
      </x:c>
      <x:c r="AF77" s="2" t="n">
        <x:f t="shared" si="111">1+AF$9*($H$10*H77+$I$10*I77+$J$10*J77+$K$10*K77+$L$10*L77)</x:f>
        <x:v>1.0660254843659913</x:v>
      </x:c>
      <x:c r="AG77" s="2" t="n">
        <x:f t="shared" si="112">1+AG$9*($H$10*H77+$I$10*I77+$J$10*J77+$K$10*K77+$L$10*L77)</x:f>
        <x:v>1.1170118306263965</x:v>
      </x:c>
      <x:c r="AH77" s="2" t="n">
        <x:f>MIN(1,'_曲线基线'!$L$3+AH$9*($H$10*H77+$I$10*I77+$J$10*J77+$K$10*K77+$L$10*L77))</x:f>
        <x:v>0.20020797693262987</x:v>
      </x:c>
      <x:c r="AI77" s="2" t="n">
        <x:f>'_曲线基线'!$L$4+AI$9*($H$10*H77+$I$10*I77+$J$10*J77+$K$10*K77+$L$10*L77)</x:f>
        <x:v>2.418436507169469</x:v>
      </x:c>
      <x:c r="AJ77" s="2" t="n">
        <x:f t="shared" si="113">1+AJ$9*($H$10*H77+$I$10*I77+$J$10*J77+$K$10*K77+$L$10*L77)</x:f>
        <x:v>1.343332518703154</x:v>
      </x:c>
      <x:c r="AK77" s="1" t="n">
        <x:f t="shared" si="114">(1+AH77*(AI77-1))*AJ77</x:f>
        <x:v>1.7248151817413904</x:v>
      </x:c>
      <x:c r="AL77" s="1" t="n">
        <x:f t="shared" si="115">U77*AD77*AK77*F77</x:f>
        <x:v>178344.22812945428</x:v>
      </x:c>
      <x:c r="AM77" s="13" t="n">
        <x:f t="shared" si="116">IF($B77&lt;AM$8,0,AM$3+(AM$4-AM$3)*(POWER(AM$5,$B77-AM$8)-1)/(POWER(AM$5,$C$5-AM$8)-1))</x:f>
        <x:v>36.22079176607548</x:v>
      </x:c>
      <x:c r="AN77" s="13" t="n">
        <x:f>(((E77*'模块规划'!$D$10+G77*'模块规划'!$D$11+H77*'模块规划'!$D$13)*(1+'模块规划'!$G$14*H77)+(I77*'模块规划'!$D$15+J77*'模块规划'!$D$17+K77*'模块规划'!$D$16+L77*'模块规划'!$D$18))*(1+'模块规划'!$J$17*J77))*F77/(1-Q77)</x:f>
        <x:v>377173.0402404321</x:v>
      </x:c>
      <x:c r="AO77" s="1" t="n">
        <x:f t="shared" si="117">AL77*AM77</x:f>
        <x:v>6459769.149758425</x:v>
      </x:c>
      <x:c r="AP77" s="1" t="n">
        <x:f>IF(AO77="","",INDEX('_曲线基线'!$A$3:$A$502,MIN(ROWS('_曲线基线'!$A$3:$A$502),COUNTIF('_曲线基线'!$E$3:$E$502,"&lt;"&amp;AO77)+1)))</x:f>
        <x:v>122</x:v>
      </x:c>
      <x:c r="AQ77" s="14" t="n">
        <x:f t="shared" si="118">IF(B77&lt;=2,1,IF(B77&lt;=6,2,IF(B77&lt;=9,3,IF(B77&lt;=19,4,5))))</x:f>
        <x:v>5</x:v>
      </x:c>
      <x:c r="AR77" s="10" t="n">
        <x:f t="shared" si="119">AN77*(1-Q77)/F77*$AS$3+U77*$AS$4+P77*$AS$5</x:f>
        <x:v>4568.317476659493</x:v>
      </x:c>
      <x:c r="AS77" s="15" t="n">
        <x:f t="shared" si="120">1+AH77*$AS$6+AI77*$AS$7+(AJ77-1)*$AS$8+($H$10*H77+$I$10*I77+$J$10*J77+$K$10*K77+$L$10*L77)*$AU$3*$AS$9+($H$10*H77+$I$10*I77+$J$10*J77+$K$10*K77+$L$10*L77)*$AU$4*$AS$10</x:f>
        <x:v>8.926677712324581</x:v>
      </x:c>
      <x:c r="AT77" s="16" t="n">
        <x:f t="shared" si="121">ROUND(AR77*AS77,0)</x:f>
        <x:v>40780</x:v>
      </x:c>
      <x:c r="AU77" s="16" t="n">
        <x:f t="shared" si="122">ROUND(AT77*F77,0)</x:f>
        <x:v>203900</x:v>
      </x:c>
      <x:c r="AV77" t="n">
        <x:f>IF(AU77&gt;0,ROUND(AU77,-MAX(0,INT(LOG10(AU77))-2)),0)</x:f>
        <x:v>204000</x:v>
      </x:c>
    </x:row>
    <x:row r="78" customHeight="1">
      <x:c r="A78" s="1" t="n">
        <x:f>IFERROR(XLOOKUP(B78,'_曲线基线'!$G$3:$G$107,'_曲线基线'!$J$3:$J$107,""),"")</x:f>
        <x:v>30</x:v>
      </x:c>
      <x:c r="B78" s="1" t="n">
        <x:v>67</x:v>
      </x:c>
      <x:c r="C78" s="1" t="n">
        <x:f t="shared" si="67">C63+1</x:f>
        <x:v>5</x:v>
      </x:c>
      <x:c r="D78" s="1" t="n">
        <x:f t="shared" si="68">D63</x:f>
        <x:v>13</x:v>
      </x:c>
      <x:c r="E78" s="1" t="n">
        <x:f t="shared" si="94">IF($B78&lt;E$8,0,E$3+(E$4-E$3)*(POWER(E$5,$B78-E$8)-1)/(POWER(E$5,$C$5-E$8)-1))</x:f>
        <x:v>1</x:v>
      </x:c>
      <x:c r="F78" s="10" t="n">
        <x:f t="shared" si="95">1+IF(B78&lt;3,0,MIN(1,(B78-2)/4))+IF(B78&lt;7,0,MIN(1,(B78-6)/3))+IF(B78&lt;10,0,MIN(1,(B78-9)/5))+IF(B78&lt;20,0,MIN(1,(B78-19)/10))</x:f>
        <x:v>5</x:v>
      </x:c>
      <x:c r="G78" s="11" t="n">
        <x:f t="shared" ref="G78:L78" si="124">'玩家战力_节点'!G78</x:f>
        <x:v>0.49943208293113195</x:v>
      </x:c>
      <x:c r="H78" s="11" t="n">
        <x:f t="shared" si="124">'玩家战力_节点'!H78</x:f>
        <x:v>0.3786359031076908</x:v>
      </x:c>
      <x:c r="I78" s="11" t="n">
        <x:f t="shared" si="124">'玩家战力_节点'!I78</x:f>
        <x:v>0.02847302913411922</x:v>
      </x:c>
      <x:c r="J78" s="11" t="n">
        <x:f t="shared" si="124">'玩家战力_节点'!J78</x:f>
        <x:v>0.21938512070288738</x:v>
      </x:c>
      <x:c r="K78" s="11" t="n">
        <x:f t="shared" si="124">'玩家战力_节点'!K78</x:f>
        <x:v>0</x:v>
      </x:c>
      <x:c r="L78" s="11" t="n">
        <x:f t="shared" si="124">'玩家战力_节点'!L78</x:f>
        <x:v>0.3404946425744316</x:v>
      </x:c>
      <x:c r="M78" s="2" t="n">
        <x:f>E78*'模块规划'!$F$10+G78*'模块规划'!$F$11+H78*'模块规划'!$F$13</x:f>
        <x:v>3397.273998069433</x:v>
      </x:c>
      <x:c r="N78" s="2" t="n">
        <x:f>I78*'模块规划'!$F$15+J78*'模块规划'!$F$17+K78*'模块规划'!$F$16+L78*'模块规划'!$F$18</x:f>
        <x:v>4124.108652973986</x:v>
      </x:c>
      <x:c r="O78" s="2" t="n">
        <x:f t="shared" si="97">1+O$9*SUMPRODUCT($H$10:$L$10,H78:L78)/SUM($H$10:$L$10)</x:f>
        <x:v>1.7630703403634378</x:v>
      </x:c>
      <x:c r="P78" s="12" t="n">
        <x:f t="shared" si="98">M78*O78+N78</x:f>
        <x:v>10113.741677058119</x:v>
      </x:c>
      <x:c r="Q78" s="7" t="n">
        <x:f>P78/(P78+'_曲线基线'!$L$2)</x:f>
        <x:v>0.2964711925417353</x:v>
      </x:c>
      <x:c r="R78" s="2" t="n">
        <x:f>E78*'模块规划'!$E$10+G78*'模块规划'!$E$11+H78*'模块规划'!$E$13</x:f>
        <x:v>5095.91099710415</x:v>
      </x:c>
      <x:c r="S78" s="2" t="n">
        <x:f>I78*'模块规划'!$E$15+J78*'模块规划'!$E$17+K78*'模块规划'!$E$16+L78*'模块规划'!$E$18</x:f>
        <x:v>6186.162979460978</x:v>
      </x:c>
      <x:c r="T78" s="2" t="n">
        <x:f t="shared" si="99">1+T$9*SUMPRODUCT($H$10:$L$10,H78:L78)/SUM($H$10:$L$10)</x:f>
        <x:v>1.7630703403634378</x:v>
      </x:c>
      <x:c r="U78" s="12" t="n">
        <x:f t="shared" si="100">R78*T78+S78</x:f>
        <x:v>15170.612515587178</x:v>
      </x:c>
      <x:c r="V78" s="2" t="n">
        <x:f t="shared" si="101">V$8+(V$9-V$8)*H78</x:f>
        <x:v>0.8135907709323073</x:v>
      </x:c>
      <x:c r="W78" s="2" t="n">
        <x:f t="shared" si="102">IF(B78&lt;$H$8,0,W$8+(W$9-W$8)*H78)</x:f>
        <x:v>0.15145436124307632</x:v>
      </x:c>
      <x:c r="X78" s="2" t="n">
        <x:f t="shared" si="103">X$8+(X$9-X$8)*H78</x:f>
        <x:v>0.379124873354615</x:v>
      </x:c>
      <x:c r="Y78" s="2" t="n">
        <x:f t="shared" si="104">Y$8+(Y$9-Y$8)*G78</x:f>
        <x:v>1</x:v>
      </x:c>
      <x:c r="Z78" s="2" t="n">
        <x:f t="shared" si="105">Z$8+(Z$9-Z$8)*H78</x:f>
        <x:v>1</x:v>
      </x:c>
      <x:c r="AA78" s="2" t="n">
        <x:f t="shared" si="106">AA$8+(AA$9-AA$8)*I78</x:f>
        <x:v>1</x:v>
      </x:c>
      <x:c r="AB78" s="2" t="n">
        <x:f t="shared" si="107">AB$8+(AB$9-AB$8)*J78</x:f>
        <x:v>1</x:v>
      </x:c>
      <x:c r="AC78" s="2" t="n">
        <x:f t="shared" si="108">AC$8+(AC$9-AC$8)*MAX(K78,L78)</x:f>
        <x:v>1</x:v>
      </x:c>
      <x:c r="AD78" s="1" t="n">
        <x:f t="shared" si="109">(V78*AE78+W78*AF78+X78*AG78)*PRODUCT(Y78:AC78)</x:f>
        <x:v>1.399620763741905</x:v>
      </x:c>
      <x:c r="AE78" s="2" t="n">
        <x:f t="shared" si="110">1+AE$9*($H$10*H78+$I$10*I78+$J$10*J78+$K$10*K78+$L$10*L78)</x:f>
        <x:v>1</x:v>
      </x:c>
      <x:c r="AF78" s="2" t="n">
        <x:f t="shared" si="111">1+AF$9*($H$10*H78+$I$10*I78+$J$10*J78+$K$10*K78+$L$10*L78)</x:f>
        <x:v>1.067347908582684</x:v>
      </x:c>
      <x:c r="AG78" s="2" t="n">
        <x:f t="shared" si="112">1+AG$9*($H$10*H78+$I$10*I78+$J$10*J78+$K$10*K78+$L$10*L78)</x:f>
        <x:v>1.1193554602104243</x:v>
      </x:c>
      <x:c r="AH78" s="2" t="n">
        <x:f>MIN(1,'_曲线基线'!$L$3+AH$9*($H$10*H78+$I$10*I78+$J$10*J78+$K$10*K78+$L$10*L78))</x:f>
        <x:v>0.203216492025606</x:v>
      </x:c>
      <x:c r="AI78" s="2" t="n">
        <x:f>'_曲线基线'!$L$4+AI$9*($H$10*H78+$I$10*I78+$J$10*J78+$K$10*K78+$L$10*L78)</x:f>
        <x:v>2.4268173706427594</x:v>
      </x:c>
      <x:c r="AJ78" s="2" t="n">
        <x:f t="shared" si="113">1+AJ$9*($H$10*H78+$I$10*I78+$J$10*J78+$K$10*K78+$L$10*L78)</x:f>
        <x:v>1.3502091246299566</x:v>
      </x:c>
      <x:c r="AK78" s="1" t="n">
        <x:f t="shared" si="114">(1+AH78*(AI78-1))*AJ78</x:f>
        <x:v>1.7417060690176638</x:v>
      </x:c>
      <x:c r="AL78" s="1" t="n">
        <x:f t="shared" si="115">U78*AD78*AK78*F78</x:f>
        <x:v>184909.13290360433</x:v>
      </x:c>
      <x:c r="AM78" s="13" t="n">
        <x:f t="shared" si="116">IF($B78&lt;AM$8,0,AM$3+(AM$4-AM$3)*(POWER(AM$5,$B78-AM$8)-1)/(POWER(AM$5,$C$5-AM$8)-1))</x:f>
        <x:v>36.2464243236581</x:v>
      </x:c>
      <x:c r="AN78" s="13" t="n">
        <x:f>(((E78*'模块规划'!$D$10+G78*'模块规划'!$D$11+H78*'模块规划'!$D$13)*(1+'模块规划'!$G$14*H78)+(I78*'模块规划'!$D$15+J78*'模块规划'!$D$17+K78*'模块规划'!$D$16+L78*'模块规划'!$D$18))*(1+'模块规划'!$J$17*J78))*F78/(1-Q78)</x:f>
        <x:v>389605.67622917594</x:v>
      </x:c>
      <x:c r="AO78" s="1" t="n">
        <x:f t="shared" si="117">AL78*AM78</x:f>
        <x:v>6702294.892543732</x:v>
      </x:c>
      <x:c r="AP78" s="1" t="n">
        <x:f>IF(AO78="","",INDEX('_曲线基线'!$A$3:$A$502,MIN(ROWS('_曲线基线'!$A$3:$A$502),COUNTIF('_曲线基线'!$E$3:$E$502,"&lt;"&amp;AO78)+1)))</x:f>
        <x:v>124</x:v>
      </x:c>
      <x:c r="AQ78" s="14" t="n">
        <x:f t="shared" si="118">IF(B78&lt;=2,1,IF(B78&lt;=6,2,IF(B78&lt;=9,3,IF(B78&lt;=19,4,5))))</x:f>
        <x:v>5</x:v>
      </x:c>
      <x:c r="AR78" s="10" t="n">
        <x:f t="shared" si="119">AN78*(1-Q78)/F78*$AS$3+U78*$AS$4+P78*$AS$5</x:f>
        <x:v>4678.715403776333</x:v>
      </x:c>
      <x:c r="AS78" s="15" t="n">
        <x:f t="shared" si="120">1+AH78*$AS$6+AI78*$AS$7+(AJ78-1)*$AS$8+($H$10*H78+$I$10*I78+$J$10*J78+$K$10*K78+$L$10*L78)*$AU$3*$AS$9+($H$10*H78+$I$10*I78+$J$10*J78+$K$10*K78+$L$10*L78)*$AU$4*$AS$10</x:f>
        <x:v>9.005694061876493</x:v>
      </x:c>
      <x:c r="AT78" s="16" t="n">
        <x:f t="shared" si="121">ROUND(AR78*AS78,0)</x:f>
        <x:v>42135</x:v>
      </x:c>
      <x:c r="AU78" s="16" t="n">
        <x:f t="shared" si="122">ROUND(AT78*F78,0)</x:f>
        <x:v>210675</x:v>
      </x:c>
      <x:c r="AV78" t="n">
        <x:f>IF(AU78&gt;0,ROUND(AU78,-MAX(0,INT(LOG10(AU78))-2)),0)</x:f>
        <x:v>211000</x:v>
      </x:c>
    </x:row>
    <x:row r="79" customHeight="1">
      <x:c r="A79" s="1" t="n">
        <x:f>IFERROR(XLOOKUP(B79,'_曲线基线'!$G$3:$G$107,'_曲线基线'!$J$3:$J$107,""),"")</x:f>
        <x:v>31</x:v>
      </x:c>
      <x:c r="B79" s="1" t="n">
        <x:v>68</x:v>
      </x:c>
      <x:c r="C79" s="1" t="n">
        <x:f t="shared" si="67">C64+1</x:f>
        <x:v>5</x:v>
      </x:c>
      <x:c r="D79" s="1" t="n">
        <x:f t="shared" si="68">D64</x:f>
        <x:v>14</x:v>
      </x:c>
      <x:c r="E79" s="1" t="n">
        <x:f t="shared" si="94">IF($B79&lt;E$8,0,E$3+(E$4-E$3)*(POWER(E$5,$B79-E$8)-1)/(POWER(E$5,$C$5-E$8)-1))</x:f>
        <x:v>1</x:v>
      </x:c>
      <x:c r="F79" s="10" t="n">
        <x:f t="shared" si="95">1+IF(B79&lt;3,0,MIN(1,(B79-2)/4))+IF(B79&lt;7,0,MIN(1,(B79-6)/3))+IF(B79&lt;10,0,MIN(1,(B79-9)/5))+IF(B79&lt;20,0,MIN(1,(B79-19)/10))</x:f>
        <x:v>5</x:v>
      </x:c>
      <x:c r="G79" s="11" t="n">
        <x:f t="shared" ref="G79:L79" si="125">'玩家战力_节点'!G79</x:f>
        <x:v>0.5032815491991794</x:v>
      </x:c>
      <x:c r="H79" s="11" t="n">
        <x:f t="shared" si="125">'玩家战力_节点'!H79</x:f>
        <x:v>0.3823272239547489</x:v>
      </x:c>
      <x:c r="I79" s="11" t="n">
        <x:f t="shared" si="125">'玩家战力_节点'!I79</x:f>
        <x:v>0.0379640388454923</x:v>
      </x:c>
      <x:c r="J79" s="11" t="n">
        <x:f t="shared" si="125">'玩家战力_节点'!J79</x:f>
        <x:v>0.22415339838135853</x:v>
      </x:c>
      <x:c r="K79" s="11" t="n">
        <x:f t="shared" si="125">'玩家战力_节点'!K79</x:f>
        <x:v>0</x:v>
      </x:c>
      <x:c r="L79" s="11" t="n">
        <x:f t="shared" si="125">'玩家战力_节点'!L79</x:f>
        <x:v>0.34491402188618536</x:v>
      </x:c>
      <x:c r="M79" s="2" t="n">
        <x:f>E79*'模块规划'!$F$10+G79*'模块规划'!$F$11+H79*'模块规划'!$F$13</x:f>
        <x:v>3415.751436156061</x:v>
      </x:c>
      <x:c r="N79" s="2" t="n">
        <x:f>I79*'模块规划'!$F$15+J79*'模块规划'!$F$17+K79*'模块规划'!$F$16+L79*'模块规划'!$F$18</x:f>
        <x:v>4269.81640400845</x:v>
      </x:c>
      <x:c r="O79" s="2" t="n">
        <x:f t="shared" si="97">1+O$9*SUMPRODUCT($H$10:$L$10,H79:L79)/SUM($H$10:$L$10)</x:f>
        <x:v>1.7780537707085347</x:v>
      </x:c>
      <x:c r="P79" s="12" t="n">
        <x:f t="shared" si="98">M79*O79+N79</x:f>
        <x:v>10343.206124868826</x:v>
      </x:c>
      <x:c r="Q79" s="7" t="n">
        <x:f>P79/(P79+'_曲线基线'!$L$2)</x:f>
        <x:v>0.3011718267438938</x:v>
      </x:c>
      <x:c r="R79" s="2" t="n">
        <x:f>E79*'模块规划'!$E$10+G79*'模块规划'!$E$11+H79*'模块规划'!$E$13</x:f>
        <x:v>5123.627154234092</x:v>
      </x:c>
      <x:c r="S79" s="2" t="n">
        <x:f>I79*'模块规划'!$E$15+J79*'模块规划'!$E$17+K79*'模块规划'!$E$16+L79*'模块规划'!$E$18</x:f>
        <x:v>6404.724606012676</x:v>
      </x:c>
      <x:c r="T79" s="2" t="n">
        <x:f t="shared" si="99">1+T$9*SUMPRODUCT($H$10:$L$10,H79:L79)/SUM($H$10:$L$10)</x:f>
        <x:v>1.7780537707085347</x:v>
      </x:c>
      <x:c r="U79" s="12" t="n">
        <x:f t="shared" si="100">R79*T79+S79</x:f>
        <x:v>15514.809187303243</x:v>
      </x:c>
      <x:c r="V79" s="2" t="n">
        <x:f t="shared" si="101">V$8+(V$9-V$8)*H79</x:f>
        <x:v>0.8146981671864246</x:v>
      </x:c>
      <x:c r="W79" s="2" t="n">
        <x:f t="shared" si="102">IF(B79&lt;$H$8,0,W$8+(W$9-W$8)*H79)</x:f>
        <x:v>0.15293088958189957</x:v>
      </x:c>
      <x:c r="X79" s="2" t="n">
        <x:f t="shared" si="103">X$8+(X$9-X$8)*H79</x:f>
        <x:v>0.380139986587556</x:v>
      </x:c>
      <x:c r="Y79" s="2" t="n">
        <x:f t="shared" si="104">Y$8+(Y$9-Y$8)*G79</x:f>
        <x:v>1</x:v>
      </x:c>
      <x:c r="Z79" s="2" t="n">
        <x:f t="shared" si="105">Z$8+(Z$9-Z$8)*H79</x:f>
        <x:v>1</x:v>
      </x:c>
      <x:c r="AA79" s="2" t="n">
        <x:f t="shared" si="106">AA$8+(AA$9-AA$8)*I79</x:f>
        <x:v>1</x:v>
      </x:c>
      <x:c r="AB79" s="2" t="n">
        <x:f t="shared" si="107">AB$8+(AB$9-AB$8)*J79</x:f>
        <x:v>1</x:v>
      </x:c>
      <x:c r="AC79" s="2" t="n">
        <x:f t="shared" si="108">AC$8+(AC$9-AC$8)*MAX(K79,L79)</x:f>
        <x:v>1</x:v>
      </x:c>
      <x:c r="AD79" s="1" t="n">
        <x:f t="shared" si="109">(V79*AE79+W79*AF79+X79*AG79)*PRODUCT(Y79:AC79)</x:f>
        <x:v>1.4045335488009547</x:v>
      </x:c>
      <x:c r="AE79" s="2" t="n">
        <x:f t="shared" si="110">1+AE$9*($H$10*H79+$I$10*I79+$J$10*J79+$K$10*K79+$L$10*L79)</x:f>
        <x:v>1</x:v>
      </x:c>
      <x:c r="AF79" s="2" t="n">
        <x:f t="shared" si="111">1+AF$9*($H$10*H79+$I$10*I79+$J$10*J79+$K$10*K79+$L$10*L79)</x:f>
        <x:v>1.0686703327993767</x:v>
      </x:c>
      <x:c r="AG79" s="2" t="n">
        <x:f t="shared" si="112">1+AG$9*($H$10*H79+$I$10*I79+$J$10*J79+$K$10*K79+$L$10*L79)</x:f>
        <x:v>1.121699089794452</x:v>
      </x:c>
      <x:c r="AH79" s="2" t="n">
        <x:f>MIN(1,'_曲线基线'!$L$3+AH$9*($H$10*H79+$I$10*I79+$J$10*J79+$K$10*K79+$L$10*L79))</x:f>
        <x:v>0.2062250071185821</x:v>
      </x:c>
      <x:c r="AI79" s="2" t="n">
        <x:f>'_曲线基线'!$L$4+AI$9*($H$10*H79+$I$10*I79+$J$10*J79+$K$10*K79+$L$10*L79)</x:f>
        <x:v>2.43519823411605</x:v>
      </x:c>
      <x:c r="AJ79" s="2" t="n">
        <x:f t="shared" si="113">1+AJ$9*($H$10*H79+$I$10*I79+$J$10*J79+$K$10*K79+$L$10*L79)</x:f>
        <x:v>1.3570857305567592</x:v>
      </x:c>
      <x:c r="AK79" s="1" t="n">
        <x:f t="shared" si="114">(1+AH79*(AI79-1))*AJ79</x:f>
        <x:v>1.758747505078503</x:v>
      </x:c>
      <x:c r="AL79" s="1" t="n">
        <x:f t="shared" si="115">U79*AD79*AK79*F79</x:f>
        <x:v>191624.950037364</x:v>
      </x:c>
      <x:c r="AM79" s="13" t="n">
        <x:f t="shared" si="116">IF($B79&lt;AM$8,0,AM$3+(AM$4-AM$3)*(POWER(AM$5,$B79-AM$8)-1)/(POWER(AM$5,$C$5-AM$8)-1))</x:f>
        <x:v>36.27231320681655</x:v>
      </x:c>
      <x:c r="AN79" s="13" t="n">
        <x:f>(((E79*'模块规划'!$D$10+G79*'模块规划'!$D$11+H79*'模块规划'!$D$13)*(1+'模块规划'!$G$14*H79)+(I79*'模块规划'!$D$15+J79*'模块规划'!$D$17+K79*'模块规划'!$D$16+L79*'模块规划'!$D$18))*(1+'模块规划'!$J$17*J79))*F79/(1-Q79)</x:f>
        <x:v>402257.4157323003</x:v>
      </x:c>
      <x:c r="AO79" s="1" t="n">
        <x:f t="shared" si="117">AL79*AM79</x:f>
        <x:v>6950680.20599584</x:v>
      </x:c>
      <x:c r="AP79" s="1" t="n">
        <x:f>IF(AO79="","",INDEX('_曲线基线'!$A$3:$A$502,MIN(ROWS('_曲线基线'!$A$3:$A$502),COUNTIF('_曲线基线'!$E$3:$E$502,"&lt;"&amp;AO79)+1)))</x:f>
        <x:v>126</x:v>
      </x:c>
      <x:c r="AQ79" s="14" t="n">
        <x:f t="shared" si="118">IF(B79&lt;=2,1,IF(B79&lt;=6,2,IF(B79&lt;=9,3,IF(B79&lt;=19,4,5))))</x:f>
        <x:v>5</x:v>
      </x:c>
      <x:c r="AR79" s="10" t="n">
        <x:f t="shared" si="119">AN79*(1-Q79)/F79*$AS$3+U79*$AS$4+P79*$AS$5</x:f>
        <x:v>4789.614727550201</x:v>
      </x:c>
      <x:c r="AS79" s="15" t="n">
        <x:f t="shared" si="120">1+AH79*$AS$6+AI79*$AS$7+(AJ79-1)*$AS$8+($H$10*H79+$I$10*I79+$J$10*J79+$K$10*K79+$L$10*L79)*$AU$3*$AS$9+($H$10*H79+$I$10*I79+$J$10*J79+$K$10*K79+$L$10*L79)*$AU$4*$AS$10</x:f>
        <x:v>9.084710411428405</x:v>
      </x:c>
      <x:c r="AT79" s="16" t="n">
        <x:f t="shared" si="121">ROUND(AR79*AS79,0)</x:f>
        <x:v>43512</x:v>
      </x:c>
      <x:c r="AU79" s="16" t="n">
        <x:f t="shared" si="122">ROUND(AT79*F79,0)</x:f>
        <x:v>217560</x:v>
      </x:c>
      <x:c r="AV79" t="n">
        <x:f>IF(AU79&gt;0,ROUND(AU79,-MAX(0,INT(LOG10(AU79))-2)),0)</x:f>
        <x:v>218000</x:v>
      </x:c>
    </x:row>
    <x:row r="80" customHeight="1">
      <x:c r="A80" s="1" t="n">
        <x:f>IFERROR(XLOOKUP(B80,'_曲线基线'!$G$3:$G$107,'_曲线基线'!$J$3:$J$107,""),"")</x:f>
        <x:v>31</x:v>
      </x:c>
      <x:c r="B80" s="1" t="n">
        <x:v>69</x:v>
      </x:c>
      <x:c r="C80" s="1" t="n">
        <x:f t="shared" si="67">C65+1</x:f>
        <x:v>5</x:v>
      </x:c>
      <x:c r="D80" s="1" t="n">
        <x:f t="shared" si="68">D65</x:f>
        <x:v>15</x:v>
      </x:c>
      <x:c r="E80" s="1" t="n">
        <x:f t="shared" si="94">IF($B80&lt;E$8,0,E$3+(E$4-E$3)*(POWER(E$5,$B80-E$8)-1)/(POWER(E$5,$C$5-E$8)-1))</x:f>
        <x:v>1</x:v>
      </x:c>
      <x:c r="F80" s="10" t="n">
        <x:f t="shared" si="95">1+IF(B80&lt;3,0,MIN(1,(B80-2)/4))+IF(B80&lt;7,0,MIN(1,(B80-6)/3))+IF(B80&lt;10,0,MIN(1,(B80-9)/5))+IF(B80&lt;20,0,MIN(1,(B80-19)/10))</x:f>
        <x:v>5</x:v>
      </x:c>
      <x:c r="G80" s="11" t="n">
        <x:f t="shared" ref="G80:L80" si="126">'玩家战力_节点'!G80</x:f>
        <x:v>0.5071310154672269</x:v>
      </x:c>
      <x:c r="H80" s="11" t="n">
        <x:f t="shared" si="126">'玩家战力_节点'!H80</x:f>
        <x:v>0.38601854480180703</x:v>
      </x:c>
      <x:c r="I80" s="11" t="n">
        <x:f t="shared" si="126">'玩家战力_节点'!I80</x:f>
        <x:v>0.04745504855686537</x:v>
      </x:c>
      <x:c r="J80" s="11" t="n">
        <x:f t="shared" si="126">'玩家战力_节点'!J80</x:f>
        <x:v>0.22892167605982974</x:v>
      </x:c>
      <x:c r="K80" s="11" t="n">
        <x:f t="shared" si="126">'玩家战力_节点'!K80</x:f>
        <x:v>0</x:v>
      </x:c>
      <x:c r="L80" s="11" t="n">
        <x:f t="shared" si="126">'玩家战力_节点'!L80</x:f>
        <x:v>0.3493334011979391</x:v>
      </x:c>
      <x:c r="M80" s="2" t="n">
        <x:f>E80*'模块规划'!$F$10+G80*'模块规划'!$F$11+H80*'模块规划'!$F$13</x:f>
        <x:v>3434.2288742426895</x:v>
      </x:c>
      <x:c r="N80" s="2" t="n">
        <x:f>I80*'模块规划'!$F$15+J80*'模块规划'!$F$17+K80*'模块规划'!$F$16+L80*'模块规划'!$F$18</x:f>
        <x:v>4415.524155042916</x:v>
      </x:c>
      <x:c r="O80" s="2" t="n">
        <x:f t="shared" si="97">1+O$9*SUMPRODUCT($H$10:$L$10,H80:L80)/SUM($H$10:$L$10)</x:f>
        <x:v>1.7930372010536322</x:v>
      </x:c>
      <x:c r="P80" s="12" t="n">
        <x:f t="shared" si="98">M80*O80+N80</x:f>
        <x:v>10573.224283492595</x:v>
      </x:c>
      <x:c r="Q80" s="7" t="n">
        <x:f>P80/(P80+'_曲线基线'!$L$2)</x:f>
        <x:v>0.30582118106181116</x:v>
      </x:c>
      <x:c r="R80" s="2" t="n">
        <x:f>E80*'模块规划'!$E$10+G80*'模块规划'!$E$11+H80*'模块规划'!$E$13</x:f>
        <x:v>5151.343311364034</x:v>
      </x:c>
      <x:c r="S80" s="2" t="n">
        <x:f>I80*'模块规划'!$E$15+J80*'模块规划'!$E$17+K80*'模块规划'!$E$16+L80*'模块规划'!$E$18</x:f>
        <x:v>6623.286232564374</x:v>
      </x:c>
      <x:c r="T80" s="2" t="n">
        <x:f t="shared" si="99">1+T$9*SUMPRODUCT($H$10:$L$10,H80:L80)/SUM($H$10:$L$10)</x:f>
        <x:v>1.7930372010536322</x:v>
      </x:c>
      <x:c r="U80" s="12" t="n">
        <x:f t="shared" si="100">R80*T80+S80</x:f>
        <x:v>15859.83642523889</x:v>
      </x:c>
      <x:c r="V80" s="2" t="n">
        <x:f t="shared" si="101">V$8+(V$9-V$8)*H80</x:f>
        <x:v>0.8158055634405421</x:v>
      </x:c>
      <x:c r="W80" s="2" t="n">
        <x:f t="shared" si="102">IF(B80&lt;$H$8,0,W$8+(W$9-W$8)*H80)</x:f>
        <x:v>0.15440741792072282</x:v>
      </x:c>
      <x:c r="X80" s="2" t="n">
        <x:f t="shared" si="103">X$8+(X$9-X$8)*H80</x:f>
        <x:v>0.38115509982049695</x:v>
      </x:c>
      <x:c r="Y80" s="2" t="n">
        <x:f t="shared" si="104">Y$8+(Y$9-Y$8)*G80</x:f>
        <x:v>1</x:v>
      </x:c>
      <x:c r="Z80" s="2" t="n">
        <x:f t="shared" si="105">Z$8+(Z$9-Z$8)*H80</x:f>
        <x:v>1</x:v>
      </x:c>
      <x:c r="AA80" s="2" t="n">
        <x:f t="shared" si="106">AA$8+(AA$9-AA$8)*I80</x:f>
        <x:v>1</x:v>
      </x:c>
      <x:c r="AB80" s="2" t="n">
        <x:f t="shared" si="107">AB$8+(AB$9-AB$8)*J80</x:f>
        <x:v>1</x:v>
      </x:c>
      <x:c r="AC80" s="2" t="n">
        <x:f t="shared" si="108">AC$8+(AC$9-AC$8)*MAX(K80,L80)</x:f>
        <x:v>1</x:v>
      </x:c>
      <x:c r="AD80" s="1" t="n">
        <x:f t="shared" si="109">(V80*AE80+W80*AF80+X80*AG80)*PRODUCT(Y80:AC80)</x:f>
        <x:v>1.4094549971524761</x:v>
      </x:c>
      <x:c r="AE80" s="2" t="n">
        <x:f t="shared" si="110">1+AE$9*($H$10*H80+$I$10*I80+$J$10*J80+$K$10*K80+$L$10*L80)</x:f>
        <x:v>1</x:v>
      </x:c>
      <x:c r="AF80" s="2" t="n">
        <x:f t="shared" si="111">1+AF$9*($H$10*H80+$I$10*I80+$J$10*J80+$K$10*K80+$L$10*L80)</x:f>
        <x:v>1.0699927570160697</x:v>
      </x:c>
      <x:c r="AG80" s="2" t="n">
        <x:f t="shared" si="112">1+AG$9*($H$10*H80+$I$10*I80+$J$10*J80+$K$10*K80+$L$10*L80)</x:f>
        <x:v>1.1240427193784799</x:v>
      </x:c>
      <x:c r="AH80" s="2" t="n">
        <x:f>MIN(1,'_曲线基线'!$L$3+AH$9*($H$10*H80+$I$10*I80+$J$10*J80+$K$10*K80+$L$10*L80))</x:f>
        <x:v>0.20923352221155822</x:v>
      </x:c>
      <x:c r="AI80" s="2" t="n">
        <x:f>'_曲线基线'!$L$4+AI$9*($H$10*H80+$I$10*I80+$J$10*J80+$K$10*K80+$L$10*L80)</x:f>
        <x:v>2.4435790975893408</x:v>
      </x:c>
      <x:c r="AJ80" s="2" t="n">
        <x:f t="shared" si="113">1+AJ$9*($H$10*H80+$I$10*I80+$J$10*J80+$K$10*K80+$L$10*L80)</x:f>
        <x:v>1.3639623364835616</x:v>
      </x:c>
      <x:c r="AK80" s="1" t="n">
        <x:f t="shared" si="114">(1+AH80*(AI80-1))*AJ80</x:f>
        <x:v>1.775940530242472</x:v>
      </x:c>
      <x:c r="AL80" s="1" t="n">
        <x:f t="shared" si="115">U80*AD80*AK80*F80</x:f>
        <x:v>198494.43739449827</x:v>
      </x:c>
      <x:c r="AM80" s="13" t="n">
        <x:f t="shared" si="116">IF($B80&lt;AM$8,0,AM$3+(AM$4-AM$3)*(POWER(AM$5,$B80-AM$8)-1)/(POWER(AM$5,$C$5-AM$8)-1))</x:f>
        <x:v>36.29846097880658</x:v>
      </x:c>
      <x:c r="AN80" s="13" t="n">
        <x:f>(((E80*'模块规划'!$D$10+G80*'模块规划'!$D$11+H80*'模块规划'!$D$13)*(1+'模块规划'!$G$14*H80)+(I80*'模块规划'!$D$15+J80*'模块规划'!$D$17+K80*'模块规划'!$D$16+L80*'模块规划'!$D$18))*(1+'模块规划'!$J$17*J80))*F80/(1-Q80)</x:f>
        <x:v>415130.42266199057</x:v>
      </x:c>
      <x:c r="AO80" s="1" t="n">
        <x:f t="shared" si="117">AL80*AM80</x:f>
        <x:v>7205042.590274361</x:v>
      </x:c>
      <x:c r="AP80" s="1" t="n">
        <x:f>IF(AO80="","",INDEX('_曲线基线'!$A$3:$A$502,MIN(ROWS('_曲线基线'!$A$3:$A$502),COUNTIF('_曲线基线'!$E$3:$E$502,"&lt;"&amp;AO80)+1)))</x:f>
        <x:v>127</x:v>
      </x:c>
      <x:c r="AQ80" s="14" t="n">
        <x:f t="shared" si="118">IF(B80&lt;=2,1,IF(B80&lt;=6,2,IF(B80&lt;=9,3,IF(B80&lt;=19,4,5))))</x:f>
        <x:v>5</x:v>
      </x:c>
      <x:c r="AR80" s="10" t="n">
        <x:f t="shared" si="119">AN80*(1-Q80)/F80*$AS$3+U80*$AS$4+P80*$AS$5</x:f>
        <x:v>4901.015764100648</x:v>
      </x:c>
      <x:c r="AS80" s="15" t="n">
        <x:f t="shared" si="120">1+AH80*$AS$6+AI80*$AS$7+(AJ80-1)*$AS$8+($H$10*H80+$I$10*I80+$J$10*J80+$K$10*K80+$L$10*L80)*$AU$3*$AS$9+($H$10*H80+$I$10*I80+$J$10*J80+$K$10*K80+$L$10*L80)*$AU$4*$AS$10</x:f>
        <x:v>9.163726760980314</x:v>
      </x:c>
      <x:c r="AT80" s="16" t="n">
        <x:f t="shared" si="121">ROUND(AR80*AS80,0)</x:f>
        <x:v>44912</x:v>
      </x:c>
      <x:c r="AU80" s="16" t="n">
        <x:f t="shared" si="122">ROUND(AT80*F80,0)</x:f>
        <x:v>224560</x:v>
      </x:c>
      <x:c r="AV80" t="n">
        <x:f>IF(AU80&gt;0,ROUND(AU80,-MAX(0,INT(LOG10(AU80))-2)),0)</x:f>
        <x:v>225000</x:v>
      </x:c>
    </x:row>
    <x:row r="81" customHeight="1">
      <x:c r="A81" s="1" t="n">
        <x:f>IFERROR(XLOOKUP(B81,'_曲线基线'!$G$3:$G$107,'_曲线基线'!$J$3:$J$107,""),"")</x:f>
        <x:v>31</x:v>
      </x:c>
      <x:c r="B81" s="1" t="n">
        <x:v>70</x:v>
      </x:c>
      <x:c r="C81" s="1" t="n">
        <x:f t="shared" si="67">C66+1</x:f>
        <x:v>6</x:v>
      </x:c>
      <x:c r="D81" s="1" t="n">
        <x:f t="shared" si="68">D66</x:f>
        <x:v>1</x:v>
      </x:c>
      <x:c r="E81" s="1" t="n">
        <x:f t="shared" si="94">IF($B81&lt;E$8,0,E$3+(E$4-E$3)*(POWER(E$5,$B81-E$8)-1)/(POWER(E$5,$C$5-E$8)-1))</x:f>
        <x:v>1</x:v>
      </x:c>
      <x:c r="F81" s="10" t="n">
        <x:f t="shared" si="95">1+IF(B81&lt;3,0,MIN(1,(B81-2)/4))+IF(B81&lt;7,0,MIN(1,(B81-6)/3))+IF(B81&lt;10,0,MIN(1,(B81-9)/5))+IF(B81&lt;20,0,MIN(1,(B81-19)/10))</x:f>
        <x:v>5</x:v>
      </x:c>
      <x:c r="G81" s="11" t="n">
        <x:f t="shared" ref="G81:L81" si="127">'玩家战力_节点'!G81</x:f>
        <x:v>0.5108090009636408</x:v>
      </x:c>
      <x:c r="H81" s="11" t="n">
        <x:f t="shared" si="127">'玩家战力_节点'!H81</x:f>
        <x:v>0.3894913688575724</x:v>
      </x:c>
      <x:c r="I81" s="11" t="n">
        <x:f t="shared" si="127">'玩家战力_节点'!I81</x:f>
        <x:v>0.05638426609302923</x:v>
      </x:c>
      <x:c r="J81" s="11" t="n">
        <x:f t="shared" si="127">'玩家战力_节点'!J81</x:f>
        <x:v>0.23340770968098182</x:v>
      </x:c>
      <x:c r="K81" s="11" t="n">
        <x:f t="shared" si="127">'玩家战力_节点'!K81</x:f>
        <x:v>0</x:v>
      </x:c>
      <x:c r="L81" s="11" t="n">
        <x:f t="shared" si="127">'玩家战力_节点'!L81</x:f>
        <x:v>0.35349118845656824</x:v>
      </x:c>
      <x:c r="M81" s="2" t="n">
        <x:f>E81*'模块规划'!$F$10+G81*'模块规划'!$F$11+H81*'模块规划'!$F$13</x:f>
        <x:v>3451.8832046254756</x:v>
      </x:c>
      <x:c r="N81" s="2" t="n">
        <x:f>I81*'模块规划'!$F$15+J81*'模块规划'!$F$17+K81*'模块规划'!$F$16+L81*'模块规划'!$F$18</x:f>
        <x:v>4552.6071678368935</x:v>
      </x:c>
      <x:c r="O81" s="2" t="n">
        <x:f t="shared" si="97">1+O$9*SUMPRODUCT($H$10:$L$10,H81:L81)/SUM($H$10:$L$10)</x:f>
        <x:v>1.8071337316713392</x:v>
      </x:c>
      <x:c r="P81" s="12" t="n">
        <x:f t="shared" si="98">M81*O81+N81</x:f>
        <x:v>10790.62174470535</x:v>
      </x:c>
      <x:c r="Q81" s="7" t="n">
        <x:f>P81/(P81+'_曲线基线'!$L$2)</x:f>
        <x:v>0.31015892224885383</x:v>
      </x:c>
      <x:c r="R81" s="2" t="n">
        <x:f>E81*'模块规划'!$E$10+G81*'模块规划'!$E$11+H81*'模块规划'!$E$13</x:f>
        <x:v>5177.824806938213</x:v>
      </x:c>
      <x:c r="S81" s="2" t="n">
        <x:f>I81*'模块规划'!$E$15+J81*'模块规划'!$E$17+K81*'模块规划'!$E$16+L81*'模块规划'!$E$18</x:f>
        <x:v>6828.91075175534</x:v>
      </x:c>
      <x:c r="T81" s="2" t="n">
        <x:f t="shared" si="99">1+T$9*SUMPRODUCT($H$10:$L$10,H81:L81)/SUM($H$10:$L$10)</x:f>
        <x:v>1.8071337316713392</x:v>
      </x:c>
      <x:c r="U81" s="12" t="n">
        <x:f t="shared" si="100">R81*T81+S81</x:f>
        <x:v>16185.932617058024</x:v>
      </x:c>
      <x:c r="V81" s="2" t="n">
        <x:f t="shared" si="101">V$8+(V$9-V$8)*H81</x:f>
        <x:v>0.8168474106572717</x:v>
      </x:c>
      <x:c r="W81" s="2" t="n">
        <x:f t="shared" si="102">IF(B81&lt;$H$8,0,W$8+(W$9-W$8)*H81)</x:f>
        <x:v>0.15579654754302896</x:v>
      </x:c>
      <x:c r="X81" s="2" t="n">
        <x:f t="shared" si="103">X$8+(X$9-X$8)*H81</x:f>
        <x:v>0.3821101264358324</x:v>
      </x:c>
      <x:c r="Y81" s="2" t="n">
        <x:f t="shared" si="104">Y$8+(Y$9-Y$8)*G81</x:f>
        <x:v>1</x:v>
      </x:c>
      <x:c r="Z81" s="2" t="n">
        <x:f t="shared" si="105">Z$8+(Z$9-Z$8)*H81</x:f>
        <x:v>1</x:v>
      </x:c>
      <x:c r="AA81" s="2" t="n">
        <x:f t="shared" si="106">AA$8+(AA$9-AA$8)*I81</x:f>
        <x:v>1</x:v>
      </x:c>
      <x:c r="AB81" s="2" t="n">
        <x:f t="shared" si="107">AB$8+(AB$9-AB$8)*J81</x:f>
        <x:v>1</x:v>
      </x:c>
      <x:c r="AC81" s="2" t="n">
        <x:f t="shared" si="108">AC$8+(AC$9-AC$8)*MAX(K81,L81)</x:f>
        <x:v>1</x:v>
      </x:c>
      <x:c r="AD81" s="1" t="n">
        <x:f t="shared" si="109">(V81*AE81+W81*AF81+X81*AG81)*PRODUCT(Y81:AC81)</x:f>
        <x:v>1.4140930442352857</x:v>
      </x:c>
      <x:c r="AE81" s="2" t="n">
        <x:f t="shared" si="110">1+AE$9*($H$10*H81+$I$10*I81+$J$10*J81+$K$10*K81+$L$10*L81)</x:f>
        <x:v>1</x:v>
      </x:c>
      <x:c r="AF81" s="2" t="n">
        <x:f t="shared" si="111">1+AF$9*($H$10*H81+$I$10*I81+$J$10*J81+$K$10*K81+$L$10*L81)</x:f>
        <x:v>1.071236904252774</x:v>
      </x:c>
      <x:c r="AG81" s="2" t="n">
        <x:f t="shared" si="112">1+AG$9*($H$10*H81+$I$10*I81+$J$10*J81+$K$10*K81+$L$10*L81)</x:f>
        <x:v>1.126247624759084</x:v>
      </x:c>
      <x:c r="AH81" s="2" t="n">
        <x:f>MIN(1,'_曲线基线'!$L$3+AH$9*($H$10*H81+$I$10*I81+$J$10*J81+$K$10*K81+$L$10*L81))</x:f>
        <x:v>0.21206395717506094</x:v>
      </x:c>
      <x:c r="AI81" s="2" t="n">
        <x:f>'_曲线基线'!$L$4+AI$9*($H$10*H81+$I$10*I81+$J$10*J81+$K$10*K81+$L$10*L81)</x:f>
        <x:v>2.4514638807019553</x:v>
      </x:c>
      <x:c r="AJ81" s="2" t="n">
        <x:f t="shared" si="113">1+AJ$9*($H$10*H81+$I$10*I81+$J$10*J81+$K$10*K81+$L$10*L81)</x:f>
        <x:v>1.3704319021144251</x:v>
      </x:c>
      <x:c r="AK81" s="1" t="n">
        <x:f t="shared" si="114">(1+AH81*(AI81-1))*AJ81</x:f>
        <x:v>1.7922551916627136</x:v>
      </x:c>
      <x:c r="AL81" s="1" t="n">
        <x:f t="shared" si="115">U81*AD81*AK81*F81</x:f>
        <x:v>205109.40062811226</x:v>
      </x:c>
      <x:c r="AM81" s="13" t="n">
        <x:f t="shared" si="116">IF($B81&lt;AM$8,0,AM$3+(AM$4-AM$3)*(POWER(AM$5,$B81-AM$8)-1)/(POWER(AM$5,$C$5-AM$8)-1))</x:f>
        <x:v>36.32487022851652</x:v>
      </x:c>
      <x:c r="AN81" s="13" t="n">
        <x:f>(((E81*'模块规划'!$D$10+G81*'模块规划'!$D$11+H81*'模块规划'!$D$13)*(1+'模块规划'!$G$14*H81)+(I81*'模块规划'!$D$15+J81*'模块规划'!$D$17+K81*'模块规划'!$D$16+L81*'模块规划'!$D$18))*(1+'模块规划'!$J$17*J81))*F81/(1-Q81)</x:f>
        <x:v>427468.367251895</x:v>
      </x:c>
      <x:c r="AO81" s="1" t="n">
        <x:f t="shared" si="117">AL81*AM81</x:f>
        <x:v>7450572.360464982</x:v>
      </x:c>
      <x:c r="AP81" s="1" t="n">
        <x:f>IF(AO81="","",INDEX('_曲线基线'!$A$3:$A$502,MIN(ROWS('_曲线基线'!$A$3:$A$502),COUNTIF('_曲线基线'!$E$3:$E$502,"&lt;"&amp;AO81)+1)))</x:f>
        <x:v>129</x:v>
      </x:c>
      <x:c r="AQ81" s="14" t="n">
        <x:f t="shared" si="118">IF(B81&lt;=2,1,IF(B81&lt;=6,2,IF(B81&lt;=9,3,IF(B81&lt;=19,4,5))))</x:f>
        <x:v>5</x:v>
      </x:c>
      <x:c r="AR81" s="10" t="n">
        <x:f t="shared" si="119">AN81*(1-Q81)/F81*$AS$3+U81*$AS$4+P81*$AS$5</x:f>
        <x:v>5006.497958429025</x:v>
      </x:c>
      <x:c r="AS81" s="15" t="n">
        <x:f t="shared" si="120">1+AH81*$AS$6+AI81*$AS$7+(AJ81-1)*$AS$8+($H$10*H81+$I$10*I81+$J$10*J81+$K$10*K81+$L$10*L81)*$AU$3*$AS$9+($H$10*H81+$I$10*I81+$J$10*J81+$K$10*K81+$L$10*L81)*$AU$4*$AS$10</x:f>
        <x:v>9.238065972035708</x:v>
      </x:c>
      <x:c r="AT81" s="16" t="n">
        <x:f t="shared" si="121">ROUND(AR81*AS81,0)</x:f>
        <x:v>46250</x:v>
      </x:c>
      <x:c r="AU81" s="16" t="n">
        <x:f t="shared" si="122">ROUND(AT81*F81,0)</x:f>
        <x:v>231250</x:v>
      </x:c>
      <x:c r="AV81" t="n">
        <x:f>IF(AU81&gt;0,ROUND(AU81,-MAX(0,INT(LOG10(AU81))-2)),0)</x:f>
        <x:v>231000</x:v>
      </x:c>
    </x:row>
    <x:row r="82" customHeight="1">
      <x:c r="A82" s="1" t="n">
        <x:f>IFERROR(XLOOKUP(B82,'_曲线基线'!$G$3:$G$107,'_曲线基线'!$J$3:$J$107,""),"")</x:f>
        <x:v>32</x:v>
      </x:c>
      <x:c r="B82" s="1" t="n">
        <x:v>71</x:v>
      </x:c>
      <x:c r="C82" s="1" t="n">
        <x:f t="shared" si="67">C67+1</x:f>
        <x:v>6</x:v>
      </x:c>
      <x:c r="D82" s="1" t="n">
        <x:f t="shared" si="68">D67</x:f>
        <x:v>2</x:v>
      </x:c>
      <x:c r="E82" s="1" t="n">
        <x:f t="shared" si="94">IF($B82&lt;E$8,0,E$3+(E$4-E$3)*(POWER(E$5,$B82-E$8)-1)/(POWER(E$5,$C$5-E$8)-1))</x:f>
        <x:v>1</x:v>
      </x:c>
      <x:c r="F82" s="10" t="n">
        <x:f t="shared" si="95">1+IF(B82&lt;3,0,MIN(1,(B82-2)/4))+IF(B82&lt;7,0,MIN(1,(B82-6)/3))+IF(B82&lt;10,0,MIN(1,(B82-9)/5))+IF(B82&lt;20,0,MIN(1,(B82-19)/10))</x:f>
        <x:v>5</x:v>
      </x:c>
      <x:c r="G82" s="11" t="n">
        <x:f t="shared" ref="G82:L82" si="128">'玩家战力_节点'!G82</x:f>
        <x:v>0.5140989370335067</x:v>
      </x:c>
      <x:c r="H82" s="11" t="n">
        <x:f t="shared" si="128">'玩家战力_节点'!H82</x:f>
        <x:v>0.392485822529494</x:v>
      </x:c>
      <x:c r="I82" s="11" t="n">
        <x:f t="shared" si="128">'玩家战力_节点'!I82</x:f>
        <x:v>0.06408351253028079</x:v>
      </x:c>
      <x:c r="J82" s="11" t="n">
        <x:f t="shared" si="128">'玩家战力_节点'!J82</x:f>
        <x:v>0.2372758065478308</x:v>
      </x:c>
      <x:c r="K82" s="11" t="n">
        <x:f t="shared" si="128">'玩家战力_节点'!K82</x:f>
        <x:v>0</x:v>
      </x:c>
      <x:c r="L82" s="11" t="n">
        <x:f t="shared" si="128">'玩家战力_节点'!L82</x:f>
        <x:v>0.35707625384535513</x:v>
      </x:c>
      <x:c r="M82" s="2" t="n">
        <x:f>E82*'模块规划'!$F$10+G82*'模块规划'!$F$11+H82*'模块规划'!$F$13</x:f>
        <x:v>3467.674897760832</x:v>
      </x:c>
      <x:c r="N82" s="2" t="n">
        <x:f>I82*'模块规划'!$F$15+J82*'模块规划'!$F$17+K82*'模块规划'!$F$16+L82*'模块规划'!$F$18</x:f>
        <x:v>4670.80743494733</x:v>
      </x:c>
      <x:c r="O82" s="2" t="n">
        <x:f t="shared" si="97">1+O$9*SUMPRODUCT($H$10:$L$10,H82:L82)/SUM($H$10:$L$10)</x:f>
        <x:v>1.8192885103735525</x:v>
      </x:c>
      <x:c r="P82" s="12" t="n">
        <x:f t="shared" si="98">M82*O82+N82</x:f>
        <x:v>10979.508534154396</x:v>
      </x:c>
      <x:c r="Q82" s="7" t="n">
        <x:f>P82/(P82+'_曲线基线'!$L$2)</x:f>
        <x:v>0.3138840136485588</x:v>
      </x:c>
      <x:c r="R82" s="2" t="n">
        <x:f>E82*'模块规划'!$E$10+G82*'模块规划'!$E$11+H82*'模块规划'!$E$13</x:f>
        <x:v>5201.512346641248</x:v>
      </x:c>
      <x:c r="S82" s="2" t="n">
        <x:f>I82*'模块规划'!$E$15+J82*'模块规划'!$E$17+K82*'模块规划'!$E$16+L82*'模块规划'!$E$18</x:f>
        <x:v>7006.211152420994</x:v>
      </x:c>
      <x:c r="T82" s="2" t="n">
        <x:f t="shared" si="99">1+T$9*SUMPRODUCT($H$10:$L$10,H82:L82)/SUM($H$10:$L$10)</x:f>
        <x:v>1.8192885103735525</x:v>
      </x:c>
      <x:c r="U82" s="12" t="n">
        <x:f t="shared" si="100">R82*T82+S82</x:f>
        <x:v>16469.26280123159</x:v>
      </x:c>
      <x:c r="V82" s="2" t="n">
        <x:f t="shared" si="101">V$8+(V$9-V$8)*H82</x:f>
        <x:v>0.8177457467588481</x:v>
      </x:c>
      <x:c r="W82" s="2" t="n">
        <x:f t="shared" si="102">IF(B82&lt;$H$8,0,W$8+(W$9-W$8)*H82)</x:f>
        <x:v>0.1569943290117976</x:v>
      </x:c>
      <x:c r="X82" s="2" t="n">
        <x:f t="shared" si="103">X$8+(X$9-X$8)*H82</x:f>
        <x:v>0.3829336011956109</x:v>
      </x:c>
      <x:c r="Y82" s="2" t="n">
        <x:f t="shared" si="104">Y$8+(Y$9-Y$8)*G82</x:f>
        <x:v>1</x:v>
      </x:c>
      <x:c r="Z82" s="2" t="n">
        <x:f t="shared" si="105">Z$8+(Z$9-Z$8)*H82</x:f>
        <x:v>1</x:v>
      </x:c>
      <x:c r="AA82" s="2" t="n">
        <x:f t="shared" si="106">AA$8+(AA$9-AA$8)*I82</x:f>
        <x:v>1</x:v>
      </x:c>
      <x:c r="AB82" s="2" t="n">
        <x:f t="shared" si="107">AB$8+(AB$9-AB$8)*J82</x:f>
        <x:v>1</x:v>
      </x:c>
      <x:c r="AC82" s="2" t="n">
        <x:f t="shared" si="108">AC$8+(AC$9-AC$8)*MAX(K82,L82)</x:f>
        <x:v>1</x:v>
      </x:c>
      <x:c r="AD82" s="1" t="n">
        <x:f t="shared" si="109">(V82*AE82+W82*AF82+X82*AG82)*PRODUCT(Y82:AC82)</x:f>
        <x:v>1.4180983716203037</x:v>
      </x:c>
      <x:c r="AE82" s="2" t="n">
        <x:f t="shared" si="110">1+AE$9*($H$10*H82+$I$10*I82+$J$10*J82+$K$10*K82+$L$10*L82)</x:f>
        <x:v>1</x:v>
      </x:c>
      <x:c r="AF82" s="2" t="n">
        <x:f t="shared" si="111">1+AF$9*($H$10*H82+$I$10*I82+$J$10*J82+$K$10*K82+$L$10*L82)</x:f>
        <x:v>1.0723096741949127</x:v>
      </x:c>
      <x:c r="AG82" s="2" t="n">
        <x:f t="shared" si="112">1+AG$9*($H$10*H82+$I$10*I82+$J$10*J82+$K$10*K82+$L$10*L82)</x:f>
        <x:v>1.1281488114898743</x:v>
      </x:c>
      <x:c r="AH82" s="2" t="n">
        <x:f>MIN(1,'_曲线基线'!$L$3+AH$9*($H$10*H82+$I$10*I82+$J$10*J82+$K$10*K82+$L$10*L82))</x:f>
        <x:v>0.21450450879342642</x:v>
      </x:c>
      <x:c r="AI82" s="2" t="n">
        <x:f>'_曲线基线'!$L$4+AI$9*($H$10*H82+$I$10*I82+$J$10*J82+$K$10*K82+$L$10*L82)</x:f>
        <x:v>2.4582625602102595</x:v>
      </x:c>
      <x:c r="AJ82" s="2" t="n">
        <x:f t="shared" si="113">1+AJ$9*($H$10*H82+$I$10*I82+$J$10*J82+$K$10*K82+$L$10*L82)</x:f>
        <x:v>1.3760103058135462</x:v>
      </x:c>
      <x:c r="AK82" s="1" t="n">
        <x:f t="shared" si="114">(1+AH82*(AI82-1))*AJ82</x:f>
        <x:v>1.8064316878897269</x:v>
      </x:c>
      <x:c r="AL82" s="1" t="n">
        <x:f t="shared" si="115">U82*AD82*AK82*F82</x:f>
        <x:v>210946.3743130773</x:v>
      </x:c>
      <x:c r="AM82" s="13" t="n">
        <x:f t="shared" si="116">IF($B82&lt;AM$8,0,AM$3+(AM$4-AM$3)*(POWER(AM$5,$B82-AM$8)-1)/(POWER(AM$5,$C$5-AM$8)-1))</x:f>
        <x:v>36.35154357072355</x:v>
      </x:c>
      <x:c r="AN82" s="13" t="n">
        <x:f>(((E82*'模块规划'!$D$10+G82*'模块规划'!$D$11+H82*'模块规划'!$D$13)*(1+'模块规划'!$G$14*H82)+(I82*'模块规划'!$D$15+J82*'模块规划'!$D$17+K82*'模块规划'!$D$16+L82*'模块规划'!$D$18))*(1+'模块规划'!$J$17*J82))*F82/(1-Q82)</x:f>
        <x:v>438316.6544915118</x:v>
      </x:c>
      <x:c r="AO82" s="1" t="n">
        <x:f t="shared" si="117">AL82*AM82</x:f>
        <x:v>7668226.316927989</x:v>
      </x:c>
      <x:c r="AP82" s="1" t="n">
        <x:f>IF(AO82="","",INDEX('_曲线基线'!$A$3:$A$502,MIN(ROWS('_曲线基线'!$A$3:$A$502),COUNTIF('_曲线基线'!$E$3:$E$502,"&lt;"&amp;AO82)+1)))</x:f>
        <x:v>130</x:v>
      </x:c>
      <x:c r="AQ82" s="14" t="n">
        <x:f t="shared" si="118">IF(B82&lt;=2,1,IF(B82&lt;=6,2,IF(B82&lt;=9,3,IF(B82&lt;=19,4,5))))</x:f>
        <x:v>5</x:v>
      </x:c>
      <x:c r="AR82" s="10" t="n">
        <x:f t="shared" si="119">AN82*(1-Q82)/F82*$AS$3+U82*$AS$4+P82*$AS$5</x:f>
        <x:v>5098.268942630564</x:v>
      </x:c>
      <x:c r="AS82" s="15" t="n">
        <x:f t="shared" si="120">1+AH82*$AS$6+AI82*$AS$7+(AJ82-1)*$AS$8+($H$10*H82+$I$10*I82+$J$10*J82+$K$10*K82+$L$10*L82)*$AU$3*$AS$9+($H$10*H82+$I$10*I82+$J$10*J82+$K$10*K82+$L$10*L82)*$AU$4*$AS$10</x:f>
        <x:v>9.30216519501334</x:v>
      </x:c>
      <x:c r="AT82" s="16" t="n">
        <x:f t="shared" si="121">ROUND(AR82*AS82,0)</x:f>
        <x:v>47425</x:v>
      </x:c>
      <x:c r="AU82" s="16" t="n">
        <x:f t="shared" si="122">ROUND(AT82*F82,0)</x:f>
        <x:v>237125</x:v>
      </x:c>
      <x:c r="AV82" t="n">
        <x:f>IF(AU82&gt;0,ROUND(AU82,-MAX(0,INT(LOG10(AU82))-2)),0)</x:f>
        <x:v>237000</x:v>
      </x:c>
    </x:row>
    <x:row r="83" customHeight="1">
      <x:c r="A83" s="1" t="n">
        <x:f>IFERROR(XLOOKUP(B83,'_曲线基线'!$G$3:$G$107,'_曲线基线'!$J$3:$J$107,""),"")</x:f>
        <x:v>32</x:v>
      </x:c>
      <x:c r="B83" s="1" t="n">
        <x:v>72</x:v>
      </x:c>
      <x:c r="C83" s="1" t="n">
        <x:f t="shared" si="67">C68+1</x:f>
        <x:v>6</x:v>
      </x:c>
      <x:c r="D83" s="1" t="n">
        <x:f t="shared" si="68">D68</x:f>
        <x:v>3</x:v>
      </x:c>
      <x:c r="E83" s="1" t="n">
        <x:f t="shared" si="94">IF($B83&lt;E$8,0,E$3+(E$4-E$3)*(POWER(E$5,$B83-E$8)-1)/(POWER(E$5,$C$5-E$8)-1))</x:f>
        <x:v>1</x:v>
      </x:c>
      <x:c r="F83" s="10" t="n">
        <x:f t="shared" si="95">1+IF(B83&lt;3,0,MIN(1,(B83-2)/4))+IF(B83&lt;7,0,MIN(1,(B83-6)/3))+IF(B83&lt;10,0,MIN(1,(B83-9)/5))+IF(B83&lt;20,0,MIN(1,(B83-19)/10))</x:f>
        <x:v>5</x:v>
      </x:c>
      <x:c r="G83" s="11" t="n">
        <x:f t="shared" ref="G83:L83" si="129">'玩家战力_节点'!G83</x:f>
        <x:v>0.5173888731033728</x:v>
      </x:c>
      <x:c r="H83" s="11" t="n">
        <x:f t="shared" si="129">'玩家战力_节点'!H83</x:f>
        <x:v>0.3954802762014155</x:v>
      </x:c>
      <x:c r="I83" s="11" t="n">
        <x:f t="shared" si="129">'玩家战力_节点'!I83</x:f>
        <x:v>0.07178275896753235</x:v>
      </x:c>
      <x:c r="J83" s="11" t="n">
        <x:f t="shared" si="129">'玩家战力_节点'!J83</x:f>
        <x:v>0.24114390341467978</x:v>
      </x:c>
      <x:c r="K83" s="11" t="n">
        <x:f t="shared" si="129">'玩家战力_节点'!K83</x:f>
        <x:v>0</x:v>
      </x:c>
      <x:c r="L83" s="11" t="n">
        <x:f t="shared" si="129">'玩家战力_节点'!L83</x:f>
        <x:v>0.360661319234142</x:v>
      </x:c>
      <x:c r="M83" s="2" t="n">
        <x:f>E83*'模块规划'!$F$10+G83*'模块规划'!$F$11+H83*'模块规划'!$F$13</x:f>
        <x:v>3483.4665908961892</x:v>
      </x:c>
      <x:c r="N83" s="2" t="n">
        <x:f>I83*'模块规划'!$F$15+J83*'模块规划'!$F$17+K83*'模块规划'!$F$16+L83*'模块规划'!$F$18</x:f>
        <x:v>4789.007702057766</x:v>
      </x:c>
      <x:c r="O83" s="2" t="n">
        <x:f t="shared" si="97">1+O$9*SUMPRODUCT($H$10:$L$10,H83:L83)/SUM($H$10:$L$10)</x:f>
        <x:v>1.8314432890757657</x:v>
      </x:c>
      <x:c r="P83" s="12" t="n">
        <x:f t="shared" si="98">M83*O83+N83</x:f>
        <x:v>11168.779212674228</x:v>
      </x:c>
      <x:c r="Q83" s="7" t="n">
        <x:f>P83/(P83+'_曲线基线'!$L$2)</x:f>
        <x:v>0.31757653983761797</x:v>
      </x:c>
      <x:c r="R83" s="2" t="n">
        <x:f>E83*'模块规划'!$E$10+G83*'模块规划'!$E$11+H83*'模块规划'!$E$13</x:f>
        <x:v>5225.199886344284</x:v>
      </x:c>
      <x:c r="S83" s="2" t="n">
        <x:f>I83*'模块规划'!$E$15+J83*'模块规划'!$E$17+K83*'模块规划'!$E$16+L83*'模块规划'!$E$18</x:f>
        <x:v>7183.511553086651</x:v>
      </x:c>
      <x:c r="T83" s="2" t="n">
        <x:f t="shared" si="99">1+T$9*SUMPRODUCT($H$10:$L$10,H83:L83)/SUM($H$10:$L$10)</x:f>
        <x:v>1.8314432890757657</x:v>
      </x:c>
      <x:c r="U83" s="12" t="n">
        <x:f t="shared" si="100">R83*T83+S83</x:f>
        <x:v>16753.168819011342</x:v>
      </x:c>
      <x:c r="V83" s="2" t="n">
        <x:f t="shared" si="101">V$8+(V$9-V$8)*H83</x:f>
        <x:v>0.8186440828604247</x:v>
      </x:c>
      <x:c r="W83" s="2" t="n">
        <x:f t="shared" si="102">IF(B83&lt;$H$8,0,W$8+(W$9-W$8)*H83)</x:f>
        <x:v>0.15819211048056622</x:v>
      </x:c>
      <x:c r="X83" s="2" t="n">
        <x:f t="shared" si="103">X$8+(X$9-X$8)*H83</x:f>
        <x:v>0.3837570759553893</x:v>
      </x:c>
      <x:c r="Y83" s="2" t="n">
        <x:f t="shared" si="104">Y$8+(Y$9-Y$8)*G83</x:f>
        <x:v>1</x:v>
      </x:c>
      <x:c r="Z83" s="2" t="n">
        <x:f t="shared" si="105">Z$8+(Z$9-Z$8)*H83</x:f>
        <x:v>1</x:v>
      </x:c>
      <x:c r="AA83" s="2" t="n">
        <x:f t="shared" si="106">AA$8+(AA$9-AA$8)*I83</x:f>
        <x:v>1</x:v>
      </x:c>
      <x:c r="AB83" s="2" t="n">
        <x:f t="shared" si="107">AB$8+(AB$9-AB$8)*J83</x:f>
        <x:v>1</x:v>
      </x:c>
      <x:c r="AC83" s="2" t="n">
        <x:f t="shared" si="108">AC$8+(AC$9-AC$8)*MAX(K83,L83)</x:f>
        <x:v>1</x:v>
      </x:c>
      <x:c r="AD83" s="1" t="n">
        <x:f t="shared" si="109">(V83*AE83+W83*AF83+X83*AG83)*PRODUCT(Y83:AC83)</x:f>
        <x:v>1.4221094000518084</x:v>
      </x:c>
      <x:c r="AE83" s="2" t="n">
        <x:f t="shared" si="110">1+AE$9*($H$10*H83+$I$10*I83+$J$10*J83+$K$10*K83+$L$10*L83)</x:f>
        <x:v>1</x:v>
      </x:c>
      <x:c r="AF83" s="2" t="n">
        <x:f t="shared" si="111">1+AF$9*($H$10*H83+$I$10*I83+$J$10*J83+$K$10*K83+$L$10*L83)</x:f>
        <x:v>1.0733824441370514</x:v>
      </x:c>
      <x:c r="AG83" s="2" t="n">
        <x:f t="shared" si="112">1+AG$9*($H$10*H83+$I$10*I83+$J$10*J83+$K$10*K83+$L$10*L83)</x:f>
        <x:v>1.1300499982206644</x:v>
      </x:c>
      <x:c r="AH83" s="2" t="n">
        <x:f>MIN(1,'_曲线基线'!$L$3+AH$9*($H$10*H83+$I$10*I83+$J$10*J83+$K$10*K83+$L$10*L83))</x:f>
        <x:v>0.2169450604117919</x:v>
      </x:c>
      <x:c r="AI83" s="2" t="n">
        <x:f>'_曲线基线'!$L$4+AI$9*($H$10*H83+$I$10*I83+$J$10*J83+$K$10*K83+$L$10*L83)</x:f>
        <x:v>2.465061239718563</x:v>
      </x:c>
      <x:c r="AJ83" s="2" t="n">
        <x:f t="shared" si="113">1+AJ$9*($H$10*H83+$I$10*I83+$J$10*J83+$K$10*K83+$L$10*L83)</x:f>
        <x:v>1.381588709512667</x:v>
      </x:c>
      <x:c r="AK83" s="1" t="n">
        <x:f t="shared" si="114">(1+AH83*(AI83-1))*AJ83</x:f>
        <x:v>1.8207098242853255</x:v>
      </x:c>
      <x:c r="AL83" s="1" t="n">
        <x:f t="shared" si="115">U83*AD83*AK83*F83</x:f>
        <x:v>216890.5908554325</x:v>
      </x:c>
      <x:c r="AM83" s="13" t="n">
        <x:f t="shared" si="116">IF($B83&lt;AM$8,0,AM$3+(AM$4-AM$3)*(POWER(AM$5,$B83-AM$8)-1)/(POWER(AM$5,$C$5-AM$8)-1))</x:f>
        <x:v>36.378483646352656</x:v>
      </x:c>
      <x:c r="AN83" s="13" t="n">
        <x:f>(((E83*'模块规划'!$D$10+G83*'模块规划'!$D$11+H83*'模块规划'!$D$13)*(1+'模块规划'!$G$14*H83)+(I83*'模块规划'!$D$15+J83*'模块规划'!$D$17+K83*'模块规划'!$D$16+L83*'模块规划'!$D$18))*(1+'模块规划'!$J$17*J83))*F83/(1-Q83)</x:f>
        <x:v>449316.59184260905</x:v>
      </x:c>
      <x:c r="AO83" s="1" t="n">
        <x:f t="shared" si="117">AL83*AM83</x:f>
        <x:v>7890150.812482116</x:v>
      </x:c>
      <x:c r="AP83" s="1" t="n">
        <x:f>IF(AO83="","",INDEX('_曲线基线'!$A$3:$A$502,MIN(ROWS('_曲线基线'!$A$3:$A$502),COUNTIF('_曲线基线'!$E$3:$E$502,"&lt;"&amp;AO83)+1)))</x:f>
        <x:v>132</x:v>
      </x:c>
      <x:c r="AQ83" s="14" t="n">
        <x:f t="shared" si="118">IF(B83&lt;=2,1,IF(B83&lt;=6,2,IF(B83&lt;=9,3,IF(B83&lt;=19,4,5))))</x:f>
        <x:v>5</x:v>
      </x:c>
      <x:c r="AR83" s="10" t="n">
        <x:f t="shared" si="119">AN83*(1-Q83)/F83*$AS$3+U83*$AS$4+P83*$AS$5</x:f>
        <x:v>5190.37886368388</x:v>
      </x:c>
      <x:c r="AS83" s="15" t="n">
        <x:f t="shared" si="120">1+AH83*$AS$6+AI83*$AS$7+(AJ83-1)*$AS$8+($H$10*H83+$I$10*I83+$J$10*J83+$K$10*K83+$L$10*L83)*$AU$3*$AS$9+($H$10*H83+$I$10*I83+$J$10*J83+$K$10*K83+$L$10*L83)*$AU$4*$AS$10</x:f>
        <x:v>9.36626441799097</x:v>
      </x:c>
      <x:c r="AT83" s="16" t="n">
        <x:f t="shared" si="121">ROUND(AR83*AS83,0)</x:f>
        <x:v>48614</x:v>
      </x:c>
      <x:c r="AU83" s="16" t="n">
        <x:f t="shared" si="122">ROUND(AT83*F83,0)</x:f>
        <x:v>243070</x:v>
      </x:c>
      <x:c r="AV83" t="n">
        <x:f>IF(AU83&gt;0,ROUND(AU83,-MAX(0,INT(LOG10(AU83))-2)),0)</x:f>
        <x:v>243000</x:v>
      </x:c>
    </x:row>
    <x:row r="84" customHeight="1">
      <x:c r="A84" s="1" t="n">
        <x:f>IFERROR(XLOOKUP(B84,'_曲线基线'!$G$3:$G$107,'_曲线基线'!$J$3:$J$107,""),"")</x:f>
        <x:v>32</x:v>
      </x:c>
      <x:c r="B84" s="1" t="n">
        <x:v>73</x:v>
      </x:c>
      <x:c r="C84" s="1" t="n">
        <x:f t="shared" si="67">C69+1</x:f>
        <x:v>6</x:v>
      </x:c>
      <x:c r="D84" s="1" t="n">
        <x:f t="shared" si="68">D69</x:f>
        <x:v>4</x:v>
      </x:c>
      <x:c r="E84" s="1" t="n">
        <x:f t="shared" si="94">IF($B84&lt;E$8,0,E$3+(E$4-E$3)*(POWER(E$5,$B84-E$8)-1)/(POWER(E$5,$C$5-E$8)-1))</x:f>
        <x:v>1</x:v>
      </x:c>
      <x:c r="F84" s="10" t="n">
        <x:f t="shared" si="95">1+IF(B84&lt;3,0,MIN(1,(B84-2)/4))+IF(B84&lt;7,0,MIN(1,(B84-6)/3))+IF(B84&lt;10,0,MIN(1,(B84-9)/5))+IF(B84&lt;20,0,MIN(1,(B84-19)/10))</x:f>
        <x:v>5</x:v>
      </x:c>
      <x:c r="G84" s="11" t="n">
        <x:f t="shared" ref="G84:L84" si="130">'玩家战力_节点'!G84</x:f>
        <x:v>0.5206788091732387</x:v>
      </x:c>
      <x:c r="H84" s="11" t="n">
        <x:f t="shared" si="130">'玩家战力_节点'!H84</x:f>
        <x:v>0.39847472987333715</x:v>
      </x:c>
      <x:c r="I84" s="11" t="n">
        <x:f t="shared" si="130">'玩家战力_节点'!I84</x:f>
        <x:v>0.0794820054047839</x:v>
      </x:c>
      <x:c r="J84" s="11" t="n">
        <x:f t="shared" si="130">'玩家战力_节点'!J84</x:f>
        <x:v>0.24501200028152875</x:v>
      </x:c>
      <x:c r="K84" s="11" t="n">
        <x:f t="shared" si="130">'玩家战力_节点'!K84</x:f>
        <x:v>0</x:v>
      </x:c>
      <x:c r="L84" s="11" t="n">
        <x:f t="shared" si="130">'玩家战力_节点'!L84</x:f>
        <x:v>0.36424638462292885</x:v>
      </x:c>
      <x:c r="M84" s="2" t="n">
        <x:f>E84*'模块规划'!$F$10+G84*'模块规划'!$F$11+H84*'模块规划'!$F$13</x:f>
        <x:v>3499.258284031546</x:v>
      </x:c>
      <x:c r="N84" s="2" t="n">
        <x:f>I84*'模块规划'!$F$15+J84*'模块规划'!$F$17+K84*'模块规划'!$F$16+L84*'模块规划'!$F$18</x:f>
        <x:v>4907.207969168203</x:v>
      </x:c>
      <x:c r="O84" s="2" t="n">
        <x:f t="shared" si="97">1+O$9*SUMPRODUCT($H$10:$L$10,H84:L84)/SUM($H$10:$L$10)</x:f>
        <x:v>1.843598067777979</x:v>
      </x:c>
      <x:c r="P84" s="12" t="n">
        <x:f t="shared" si="98">M84*O84+N84</x:f>
        <x:v>11358.433780264848</x:v>
      </x:c>
      <x:c r="Q84" s="7" t="n">
        <x:f>P84/(P84+'_曲线基线'!$L$2)</x:f>
        <x:v>0.3212369035023408</x:v>
      </x:c>
      <x:c r="R84" s="2" t="n">
        <x:f>E84*'模块规划'!$E$10+G84*'模块规划'!$E$11+H84*'模块规划'!$E$13</x:f>
        <x:v>5248.8874260473185</x:v>
      </x:c>
      <x:c r="S84" s="2" t="n">
        <x:f>I84*'模块规划'!$E$15+J84*'模块规划'!$E$17+K84*'模块规划'!$E$16+L84*'模块规划'!$E$18</x:f>
        <x:v>7360.811953752304</x:v>
      </x:c>
      <x:c r="T84" s="2" t="n">
        <x:f t="shared" si="99">1+T$9*SUMPRODUCT($H$10:$L$10,H84:L84)/SUM($H$10:$L$10)</x:f>
        <x:v>1.843598067777979</x:v>
      </x:c>
      <x:c r="U84" s="12" t="n">
        <x:f t="shared" si="100">R84*T84+S84</x:f>
        <x:v>17037.65067039727</x:v>
      </x:c>
      <x:c r="V84" s="2" t="n">
        <x:f t="shared" si="101">V$8+(V$9-V$8)*H84</x:f>
        <x:v>0.8195424189620011</x:v>
      </x:c>
      <x:c r="W84" s="2" t="n">
        <x:f t="shared" si="102">IF(B84&lt;$H$8,0,W$8+(W$9-W$8)*H84)</x:f>
        <x:v>0.15938989194933487</x:v>
      </x:c>
      <x:c r="X84" s="2" t="n">
        <x:f t="shared" si="103">X$8+(X$9-X$8)*H84</x:f>
        <x:v>0.3845805507151677</x:v>
      </x:c>
      <x:c r="Y84" s="2" t="n">
        <x:f t="shared" si="104">Y$8+(Y$9-Y$8)*G84</x:f>
        <x:v>1</x:v>
      </x:c>
      <x:c r="Z84" s="2" t="n">
        <x:f t="shared" si="105">Z$8+(Z$9-Z$8)*H84</x:f>
        <x:v>1</x:v>
      </x:c>
      <x:c r="AA84" s="2" t="n">
        <x:f t="shared" si="106">AA$8+(AA$9-AA$8)*I84</x:f>
        <x:v>1</x:v>
      </x:c>
      <x:c r="AB84" s="2" t="n">
        <x:f t="shared" si="107">AB$8+(AB$9-AB$8)*J84</x:f>
        <x:v>1</x:v>
      </x:c>
      <x:c r="AC84" s="2" t="n">
        <x:f t="shared" si="108">AC$8+(AC$9-AC$8)*MAX(K84,L84)</x:f>
        <x:v>1</x:v>
      </x:c>
      <x:c r="AD84" s="1" t="n">
        <x:f t="shared" si="109">(V84*AE84+W84*AF84+X84*AG84)*PRODUCT(Y84:AC84)</x:f>
        <x:v>1.4261261295297998</x:v>
      </x:c>
      <x:c r="AE84" s="2" t="n">
        <x:f t="shared" si="110">1+AE$9*($H$10*H84+$I$10*I84+$J$10*J84+$K$10*K84+$L$10*L84)</x:f>
        <x:v>1</x:v>
      </x:c>
      <x:c r="AF84" s="2" t="n">
        <x:f t="shared" si="111">1+AF$9*($H$10*H84+$I$10*I84+$J$10*J84+$K$10*K84+$L$10*L84)</x:f>
        <x:v>1.07445521407919</x:v>
      </x:c>
      <x:c r="AG84" s="2" t="n">
        <x:f t="shared" si="112">1+AG$9*($H$10*H84+$I$10*I84+$J$10*J84+$K$10*K84+$L$10*L84)</x:f>
        <x:v>1.1319511849514545</x:v>
      </x:c>
      <x:c r="AH84" s="2" t="n">
        <x:f>MIN(1,'_曲线基线'!$L$3+AH$9*($H$10*H84+$I$10*I84+$J$10*J84+$K$10*K84+$L$10*L84))</x:f>
        <x:v>0.21938561203015733</x:v>
      </x:c>
      <x:c r="AI84" s="2" t="n">
        <x:f>'_曲线基线'!$L$4+AI$9*($H$10*H84+$I$10*I84+$J$10*J84+$K$10*K84+$L$10*L84)</x:f>
        <x:v>2.471859919226867</x:v>
      </x:c>
      <x:c r="AJ84" s="2" t="n">
        <x:f t="shared" si="113">1+AJ$9*($H$10*H84+$I$10*I84+$J$10*J84+$K$10*K84+$L$10*L84)</x:f>
        <x:v>1.3871671132117882</x:v>
      </x:c>
      <x:c r="AK84" s="1" t="n">
        <x:f t="shared" si="114">(1+AH84*(AI84-1))*AJ84</x:f>
        <x:v>1.8350901562084376</x:v>
      </x:c>
      <x:c r="AL84" s="1" t="n">
        <x:f t="shared" si="115">U84*AD84*AK84*F84</x:f>
        <x:v>222943.62405798992</x:v>
      </x:c>
      <x:c r="AM84" s="13" t="n">
        <x:f t="shared" si="116">IF($B84&lt;AM$8,0,AM$3+(AM$4-AM$3)*(POWER(AM$5,$B84-AM$8)-1)/(POWER(AM$5,$C$5-AM$8)-1))</x:f>
        <x:v>36.40569312273805</x:v>
      </x:c>
      <x:c r="AN84" s="13" t="n">
        <x:f>(((E84*'模块规划'!$D$10+G84*'模块规划'!$D$11+H84*'模块规划'!$D$13)*(1+'模块规划'!$G$14*H84)+(I84*'模块规划'!$D$15+J84*'模块规划'!$D$17+K84*'模块规划'!$D$16+L84*'模块规划'!$D$18))*(1+'模块规划'!$J$17*J84))*F84/(1-Q84)</x:f>
        <x:v>460469.3878656869</x:v>
      </x:c>
      <x:c r="AO84" s="1" t="n">
        <x:f t="shared" si="117">AL84*AM84</x:f>
        <x:v>8116417.161126261</x:v>
      </x:c>
      <x:c r="AP84" s="1" t="n">
        <x:f>IF(AO84="","",INDEX('_曲线基线'!$A$3:$A$502,MIN(ROWS('_曲线基线'!$A$3:$A$502),COUNTIF('_曲线基线'!$E$3:$E$502,"&lt;"&amp;AO84)+1)))</x:f>
        <x:v>133</x:v>
      </x:c>
      <x:c r="AQ84" s="14" t="n">
        <x:f t="shared" si="118">IF(B84&lt;=2,1,IF(B84&lt;=6,2,IF(B84&lt;=9,3,IF(B84&lt;=19,4,5))))</x:f>
        <x:v>5</x:v>
      </x:c>
      <x:c r="AR84" s="10" t="n">
        <x:f t="shared" si="119">AN84*(1-Q84)/F84*$AS$3+U84*$AS$4+P84*$AS$5</x:f>
        <x:v>5282.827899380026</x:v>
      </x:c>
      <x:c r="AS84" s="15" t="n">
        <x:f t="shared" si="120">1+AH84*$AS$6+AI84*$AS$7+(AJ84-1)*$AS$8+($H$10*H84+$I$10*I84+$J$10*J84+$K$10*K84+$L$10*L84)*$AU$3*$AS$9+($H$10*H84+$I$10*I84+$J$10*J84+$K$10*K84+$L$10*L84)*$AU$4*$AS$10</x:f>
        <x:v>9.430363640968602</x:v>
      </x:c>
      <x:c r="AT84" s="16" t="n">
        <x:f t="shared" si="121">ROUND(AR84*AS84,0)</x:f>
        <x:v>49819</x:v>
      </x:c>
      <x:c r="AU84" s="16" t="n">
        <x:f t="shared" si="122">ROUND(AT84*F84,0)</x:f>
        <x:v>249095</x:v>
      </x:c>
      <x:c r="AV84" t="n">
        <x:f>IF(AU84&gt;0,ROUND(AU84,-MAX(0,INT(LOG10(AU84))-2)),0)</x:f>
        <x:v>249000</x:v>
      </x:c>
    </x:row>
    <x:row r="85" customHeight="1">
      <x:c r="A85" s="1" t="n">
        <x:f>IFERROR(XLOOKUP(B85,'_曲线基线'!$G$3:$G$107,'_曲线基线'!$J$3:$J$107,""),"")</x:f>
        <x:v>32</x:v>
      </x:c>
      <x:c r="B85" s="1" t="n">
        <x:v>74</x:v>
      </x:c>
      <x:c r="C85" s="1" t="n">
        <x:f t="shared" si="67">C70+1</x:f>
        <x:v>6</x:v>
      </x:c>
      <x:c r="D85" s="1" t="n">
        <x:f t="shared" si="68">D70</x:f>
        <x:v>5</x:v>
      </x:c>
      <x:c r="E85" s="1" t="n">
        <x:f t="shared" si="94">IF($B85&lt;E$8,0,E$3+(E$4-E$3)*(POWER(E$5,$B85-E$8)-1)/(POWER(E$5,$C$5-E$8)-1))</x:f>
        <x:v>1</x:v>
      </x:c>
      <x:c r="F85" s="10" t="n">
        <x:f t="shared" si="95">1+IF(B85&lt;3,0,MIN(1,(B85-2)/4))+IF(B85&lt;7,0,MIN(1,(B85-6)/3))+IF(B85&lt;10,0,MIN(1,(B85-9)/5))+IF(B85&lt;20,0,MIN(1,(B85-19)/10))</x:f>
        <x:v>5</x:v>
      </x:c>
      <x:c r="G85" s="11" t="n">
        <x:f t="shared" ref="G85:L85" si="131">'玩家战力_节点'!G85</x:f>
        <x:v>0.5239687452431048</x:v>
      </x:c>
      <x:c r="H85" s="11" t="n">
        <x:f t="shared" si="131">'玩家战力_节点'!H85</x:f>
        <x:v>0.4014691835452587</x:v>
      </x:c>
      <x:c r="I85" s="11" t="n">
        <x:f t="shared" si="131">'玩家战力_节点'!I85</x:f>
        <x:v>0.08718125184203546</x:v>
      </x:c>
      <x:c r="J85" s="11" t="n">
        <x:f t="shared" si="131">'玩家战力_节点'!J85</x:f>
        <x:v>0.24888009714837778</x:v>
      </x:c>
      <x:c r="K85" s="11" t="n">
        <x:f t="shared" si="131">'玩家战力_节点'!K85</x:f>
        <x:v>0</x:v>
      </x:c>
      <x:c r="L85" s="11" t="n">
        <x:f t="shared" si="131">'玩家战力_节点'!L85</x:f>
        <x:v>0.3678314500117158</x:v>
      </x:c>
      <x:c r="M85" s="2" t="n">
        <x:f>E85*'模块规划'!$F$10+G85*'模块规划'!$F$11+H85*'模块规划'!$F$13</x:f>
        <x:v>3515.049977166903</x:v>
      </x:c>
      <x:c r="N85" s="2" t="n">
        <x:f>I85*'模块规划'!$F$15+J85*'模块规划'!$F$17+K85*'模块规划'!$F$16+L85*'模块规划'!$F$18</x:f>
        <x:v>5025.40823627864</x:v>
      </x:c>
      <x:c r="O85" s="2" t="n">
        <x:f t="shared" si="97">1+O$9*SUMPRODUCT($H$10:$L$10,H85:L85)/SUM($H$10:$L$10)</x:f>
        <x:v>1.8557528464801925</x:v>
      </x:c>
      <x:c r="P85" s="12" t="n">
        <x:f t="shared" si="98">M85*O85+N85</x:f>
        <x:v>11548.472236926256</x:v>
      </x:c>
      <x:c r="Q85" s="7" t="n">
        <x:f>P85/(P85+'_曲线基线'!$L$2)</x:f>
        <x:v>0.3248655008281956</x:v>
      </x:c>
      <x:c r="R85" s="2" t="n">
        <x:f>E85*'模块规划'!$E$10+G85*'模块规划'!$E$11+H85*'模块规划'!$E$13</x:f>
        <x:v>5272.574965750355</x:v>
      </x:c>
      <x:c r="S85" s="2" t="n">
        <x:f>I85*'模块规划'!$E$15+J85*'模块规划'!$E$17+K85*'模块规划'!$E$16+L85*'模块规划'!$E$18</x:f>
        <x:v>7538.112354417961</x:v>
      </x:c>
      <x:c r="T85" s="2" t="n">
        <x:f t="shared" si="99">1+T$9*SUMPRODUCT($H$10:$L$10,H85:L85)/SUM($H$10:$L$10)</x:f>
        <x:v>1.8557528464801925</x:v>
      </x:c>
      <x:c r="U85" s="12" t="n">
        <x:f t="shared" si="100">R85*T85+S85</x:f>
        <x:v>17322.708355389383</x:v>
      </x:c>
      <x:c r="V85" s="2" t="n">
        <x:f t="shared" si="101">V$8+(V$9-V$8)*H85</x:f>
        <x:v>0.8204407550635776</x:v>
      </x:c>
      <x:c r="W85" s="2" t="n">
        <x:f t="shared" si="102">IF(B85&lt;$H$8,0,W$8+(W$9-W$8)*H85)</x:f>
        <x:v>0.16058767341810348</x:v>
      </x:c>
      <x:c r="X85" s="2" t="n">
        <x:f t="shared" si="103">X$8+(X$9-X$8)*H85</x:f>
        <x:v>0.3854040254749462</x:v>
      </x:c>
      <x:c r="Y85" s="2" t="n">
        <x:f t="shared" si="104">Y$8+(Y$9-Y$8)*G85</x:f>
        <x:v>1</x:v>
      </x:c>
      <x:c r="Z85" s="2" t="n">
        <x:f t="shared" si="105">Z$8+(Z$9-Z$8)*H85</x:f>
        <x:v>1</x:v>
      </x:c>
      <x:c r="AA85" s="2" t="n">
        <x:f t="shared" si="106">AA$8+(AA$9-AA$8)*I85</x:f>
        <x:v>1</x:v>
      </x:c>
      <x:c r="AB85" s="2" t="n">
        <x:f t="shared" si="107">AB$8+(AB$9-AB$8)*J85</x:f>
        <x:v>1</x:v>
      </x:c>
      <x:c r="AC85" s="2" t="n">
        <x:f t="shared" si="108">AC$8+(AC$9-AC$8)*MAX(K85,L85)</x:f>
        <x:v>1</x:v>
      </x:c>
      <x:c r="AD85" s="1" t="n">
        <x:f t="shared" si="109">(V85*AE85+W85*AF85+X85*AG85)*PRODUCT(Y85:AC85)</x:f>
        <x:v>1.430148560054278</x:v>
      </x:c>
      <x:c r="AE85" s="2" t="n">
        <x:f t="shared" si="110">1+AE$9*($H$10*H85+$I$10*I85+$J$10*J85+$K$10*K85+$L$10*L85)</x:f>
        <x:v>1</x:v>
      </x:c>
      <x:c r="AF85" s="2" t="n">
        <x:f t="shared" si="111">1+AF$9*($H$10*H85+$I$10*I85+$J$10*J85+$K$10*K85+$L$10*L85)</x:f>
        <x:v>1.0755279840213288</x:v>
      </x:c>
      <x:c r="AG85" s="2" t="n">
        <x:f t="shared" si="112">1+AG$9*($H$10*H85+$I$10*I85+$J$10*J85+$K$10*K85+$L$10*L85)</x:f>
        <x:v>1.1338523716822448</x:v>
      </x:c>
      <x:c r="AH85" s="2" t="n">
        <x:f>MIN(1,'_曲线基线'!$L$3+AH$9*($H$10*H85+$I$10*I85+$J$10*J85+$K$10*K85+$L$10*L85))</x:f>
        <x:v>0.2218261636485228</x:v>
      </x:c>
      <x:c r="AI85" s="2" t="n">
        <x:f>'_曲线基线'!$L$4+AI$9*($H$10*H85+$I$10*I85+$J$10*J85+$K$10*K85+$L$10*L85)</x:f>
        <x:v>2.4786585987351706</x:v>
      </x:c>
      <x:c r="AJ85" s="2" t="n">
        <x:f t="shared" si="113">1+AJ$9*($H$10*H85+$I$10*I85+$J$10*J85+$K$10*K85+$L$10*L85)</x:f>
        <x:v>1.3927455169109093</x:v>
      </x:c>
      <x:c r="AK85" s="1" t="n">
        <x:f t="shared" si="114">(1+AH85*(AI85-1))*AJ85</x:f>
        <x:v>1.8495732390179893</x:v>
      </x:c>
      <x:c r="AL85" s="1" t="n">
        <x:f t="shared" si="115">U85*AD85*AK85*F85</x:f>
        <x:v>229107.06631710505</x:v>
      </x:c>
      <x:c r="AM85" s="13" t="n">
        <x:f t="shared" si="116">IF($B85&lt;AM$8,0,AM$3+(AM$4-AM$3)*(POWER(AM$5,$B85-AM$8)-1)/(POWER(AM$5,$C$5-AM$8)-1))</x:f>
        <x:v>36.4331746938873</x:v>
      </x:c>
      <x:c r="AN85" s="13" t="n">
        <x:f>(((E85*'模块规划'!$D$10+G85*'模块规划'!$D$11+H85*'模块规划'!$D$13)*(1+'模块规划'!$G$14*H85)+(I85*'模块规划'!$D$15+J85*'模块规划'!$D$17+K85*'模块规划'!$D$16+L85*'模块规划'!$D$18))*(1+'模块规划'!$J$17*J85))*F85/(1-Q85)</x:f>
        <x:v>471776.2556390656</x:v>
      </x:c>
      <x:c r="AO85" s="1" t="n">
        <x:f t="shared" si="117">AL85*AM85</x:f>
        <x:v>8347097.770735112</x:v>
      </x:c>
      <x:c r="AP85" s="1" t="n">
        <x:f>IF(AO85="","",INDEX('_曲线基线'!$A$3:$A$502,MIN(ROWS('_曲线基线'!$A$3:$A$502),COUNTIF('_曲线基线'!$E$3:$E$502,"&lt;"&amp;AO85)+1)))</x:f>
        <x:v>135</x:v>
      </x:c>
      <x:c r="AQ85" s="14" t="n">
        <x:f t="shared" si="118">IF(B85&lt;=2,1,IF(B85&lt;=6,2,IF(B85&lt;=9,3,IF(B85&lt;=19,4,5))))</x:f>
        <x:v>5</x:v>
      </x:c>
      <x:c r="AR85" s="10" t="n">
        <x:f t="shared" si="119">AN85*(1-Q85)/F85*$AS$3+U85*$AS$4+P85*$AS$5</x:f>
        <x:v>5375.616227510055</x:v>
      </x:c>
      <x:c r="AS85" s="15" t="n">
        <x:f t="shared" si="120">1+AH85*$AS$6+AI85*$AS$7+(AJ85-1)*$AS$8+($H$10*H85+$I$10*I85+$J$10*J85+$K$10*K85+$L$10*L85)*$AU$3*$AS$9+($H$10*H85+$I$10*I85+$J$10*J85+$K$10*K85+$L$10*L85)*$AU$4*$AS$10</x:f>
        <x:v>9.494462863946234</x:v>
      </x:c>
      <x:c r="AT85" s="16" t="n">
        <x:f t="shared" si="121">ROUND(AR85*AS85,0)</x:f>
        <x:v>51039</x:v>
      </x:c>
      <x:c r="AU85" s="16" t="n">
        <x:f t="shared" si="122">ROUND(AT85*F85,0)</x:f>
        <x:v>255195</x:v>
      </x:c>
      <x:c r="AV85" t="n">
        <x:f>IF(AU85&gt;0,ROUND(AU85,-MAX(0,INT(LOG10(AU85))-2)),0)</x:f>
        <x:v>255000</x:v>
      </x:c>
    </x:row>
    <x:row r="86" customHeight="1">
      <x:c r="A86" s="1" t="n">
        <x:f>IFERROR(XLOOKUP(B86,'_曲线基线'!$G$3:$G$107,'_曲线基线'!$J$3:$J$107,""),"")</x:f>
        <x:v>33</x:v>
      </x:c>
      <x:c r="B86" s="1" t="n">
        <x:v>75</x:v>
      </x:c>
      <x:c r="C86" s="1" t="n">
        <x:f t="shared" si="67">C71+1</x:f>
        <x:v>6</x:v>
      </x:c>
      <x:c r="D86" s="1" t="n">
        <x:f t="shared" si="68">D71</x:f>
        <x:v>6</x:v>
      </x:c>
      <x:c r="E86" s="1" t="n">
        <x:f t="shared" si="94">IF($B86&lt;E$8,0,E$3+(E$4-E$3)*(POWER(E$5,$B86-E$8)-1)/(POWER(E$5,$C$5-E$8)-1))</x:f>
        <x:v>1</x:v>
      </x:c>
      <x:c r="F86" s="10" t="n">
        <x:f t="shared" si="95">1+IF(B86&lt;3,0,MIN(1,(B86-2)/4))+IF(B86&lt;7,0,MIN(1,(B86-6)/3))+IF(B86&lt;10,0,MIN(1,(B86-9)/5))+IF(B86&lt;20,0,MIN(1,(B86-19)/10))</x:f>
        <x:v>5</x:v>
      </x:c>
      <x:c r="G86" s="11" t="n">
        <x:f t="shared" ref="G86:L86" si="132">'玩家战力_节点'!G86</x:f>
        <x:v>0.5272586813129708</x:v>
      </x:c>
      <x:c r="H86" s="11" t="n">
        <x:f t="shared" si="132">'玩家战力_节点'!H86</x:f>
        <x:v>0.40446363721718026</x:v>
      </x:c>
      <x:c r="I86" s="11" t="n">
        <x:f t="shared" si="132">'玩家战力_节点'!I86</x:f>
        <x:v>0.094880498279287</x:v>
      </x:c>
      <x:c r="J86" s="11" t="n">
        <x:f t="shared" si="132">'玩家战力_节点'!J86</x:f>
        <x:v>0.25274819401522675</x:v>
      </x:c>
      <x:c r="K86" s="11" t="n">
        <x:f t="shared" si="132">'玩家战力_节点'!K86</x:f>
        <x:v>0</x:v>
      </x:c>
      <x:c r="L86" s="11" t="n">
        <x:f t="shared" si="132">'玩家战力_节点'!L86</x:f>
        <x:v>0.3714165154005027</x:v>
      </x:c>
      <x:c r="M86" s="2" t="n">
        <x:f>E86*'模块规划'!$F$10+G86*'模块规划'!$F$11+H86*'模块规划'!$F$13</x:f>
        <x:v>3530.84167030226</x:v>
      </x:c>
      <x:c r="N86" s="2" t="n">
        <x:f>I86*'模块规划'!$F$15+J86*'模块规划'!$F$17+K86*'模块规划'!$F$16+L86*'模块规划'!$F$18</x:f>
        <x:v>5143.608503389077</x:v>
      </x:c>
      <x:c r="O86" s="2" t="n">
        <x:f t="shared" si="97">1+O$9*SUMPRODUCT($H$10:$L$10,H86:L86)/SUM($H$10:$L$10)</x:f>
        <x:v>1.8679076251824056</x:v>
      </x:c>
      <x:c r="P86" s="12" t="n">
        <x:f t="shared" si="98">M86*O86+N86</x:f>
        <x:v>11738.89458265845</x:v>
      </x:c>
      <x:c r="Q86" s="7" t="n">
        <x:f>P86/(P86+'_曲线基线'!$L$2)</x:f>
        <x:v>0.3284627216297423</x:v>
      </x:c>
      <x:c r="R86" s="2" t="n">
        <x:f>E86*'模块规划'!$E$10+G86*'模块规划'!$E$11+H86*'模块规划'!$E$13</x:f>
        <x:v>5296.26250545339</x:v>
      </x:c>
      <x:c r="S86" s="2" t="n">
        <x:f>I86*'模块规划'!$E$15+J86*'模块规划'!$E$17+K86*'模块规划'!$E$16+L86*'模块规划'!$E$18</x:f>
        <x:v>7715.412755083615</x:v>
      </x:c>
      <x:c r="T86" s="2" t="n">
        <x:f t="shared" si="99">1+T$9*SUMPRODUCT($H$10:$L$10,H86:L86)/SUM($H$10:$L$10)</x:f>
        <x:v>1.8679076251824056</x:v>
      </x:c>
      <x:c r="U86" s="12" t="n">
        <x:f t="shared" si="100">R86*T86+S86</x:f>
        <x:v>17608.341873987672</x:v>
      </x:c>
      <x:c r="V86" s="2" t="n">
        <x:f t="shared" si="101">V$8+(V$9-V$8)*H86</x:f>
        <x:v>0.821339091165154</x:v>
      </x:c>
      <x:c r="W86" s="2" t="n">
        <x:f t="shared" si="102">IF(B86&lt;$H$8,0,W$8+(W$9-W$8)*H86)</x:f>
        <x:v>0.16178545488687213</x:v>
      </x:c>
      <x:c r="X86" s="2" t="n">
        <x:f t="shared" si="103">X$8+(X$9-X$8)*H86</x:f>
        <x:v>0.38622750023472463</x:v>
      </x:c>
      <x:c r="Y86" s="2" t="n">
        <x:f t="shared" si="104">Y$8+(Y$9-Y$8)*G86</x:f>
        <x:v>1</x:v>
      </x:c>
      <x:c r="Z86" s="2" t="n">
        <x:f t="shared" si="105">Z$8+(Z$9-Z$8)*H86</x:f>
        <x:v>1</x:v>
      </x:c>
      <x:c r="AA86" s="2" t="n">
        <x:f t="shared" si="106">AA$8+(AA$9-AA$8)*I86</x:f>
        <x:v>1</x:v>
      </x:c>
      <x:c r="AB86" s="2" t="n">
        <x:f t="shared" si="107">AB$8+(AB$9-AB$8)*J86</x:f>
        <x:v>1</x:v>
      </x:c>
      <x:c r="AC86" s="2" t="n">
        <x:f t="shared" si="108">AC$8+(AC$9-AC$8)*MAX(K86,L86)</x:f>
        <x:v>1</x:v>
      </x:c>
      <x:c r="AD86" s="1" t="n">
        <x:f t="shared" si="109">(V86*AE86+W86*AF86+X86*AG86)*PRODUCT(Y86:AC86)</x:f>
        <x:v>1.434176691625243</x:v>
      </x:c>
      <x:c r="AE86" s="2" t="n">
        <x:f t="shared" si="110">1+AE$9*($H$10*H86+$I$10*I86+$J$10*J86+$K$10*K86+$L$10*L86)</x:f>
        <x:v>1</x:v>
      </x:c>
      <x:c r="AF86" s="2" t="n">
        <x:f t="shared" si="111">1+AF$9*($H$10*H86+$I$10*I86+$J$10*J86+$K$10*K86+$L$10*L86)</x:f>
        <x:v>1.0766007539634674</x:v>
      </x:c>
      <x:c r="AG86" s="2" t="n">
        <x:f t="shared" si="112">1+AG$9*($H$10*H86+$I$10*I86+$J$10*J86+$K$10*K86+$L$10*L86)</x:f>
        <x:v>1.135753558413035</x:v>
      </x:c>
      <x:c r="AH86" s="2" t="n">
        <x:f>MIN(1,'_曲线基线'!$L$3+AH$9*($H$10*H86+$I$10*I86+$J$10*J86+$K$10*K86+$L$10*L86))</x:f>
        <x:v>0.22426671526688824</x:v>
      </x:c>
      <x:c r="AI86" s="2" t="n">
        <x:f>'_曲线基线'!$L$4+AI$9*($H$10*H86+$I$10*I86+$J$10*J86+$K$10*K86+$L$10*L86)</x:f>
        <x:v>2.4854572782434743</x:v>
      </x:c>
      <x:c r="AJ86" s="2" t="n">
        <x:f t="shared" si="113">1+AJ$9*($H$10*H86+$I$10*I86+$J$10*J86+$K$10*K86+$L$10*L86)</x:f>
        <x:v>1.3983239206100304</x:v>
      </x:c>
      <x:c r="AK86" s="1" t="n">
        <x:f t="shared" si="114">(1+AH86*(AI86-1))*AJ86</x:f>
        <x:v>1.864159628072907</x:v>
      </x:c>
      <x:c r="AL86" s="1" t="n">
        <x:f t="shared" si="115">U86*AD86*AK86*F86</x:f>
        <x:v>235382.52877914638</x:v>
      </x:c>
      <x:c r="AM86" s="13" t="n">
        <x:f t="shared" si="116">IF($B86&lt;AM$8,0,AM$3+(AM$4-AM$3)*(POWER(AM$5,$B86-AM$8)-1)/(POWER(AM$5,$C$5-AM$8)-1))</x:f>
        <x:v>36.46093108074804</x:v>
      </x:c>
      <x:c r="AN86" s="13" t="n">
        <x:f>(((E86*'模块规划'!$D$10+G86*'模块规划'!$D$11+H86*'模块规划'!$D$13)*(1+'模块规划'!$G$14*H86)+(I86*'模块规划'!$D$15+J86*'模块规划'!$D$17+K86*'模块规划'!$D$16+L86*'模块规划'!$D$18))*(1+'模块规划'!$J$17*J86))*F86/(1-Q86)</x:f>
        <x:v>483238.4127636239</x:v>
      </x:c>
      <x:c r="AO86" s="1" t="n">
        <x:f t="shared" si="117">AL86*AM86</x:f>
        <x:v>8582266.159428649</x:v>
      </x:c>
      <x:c r="AP86" s="1" t="n">
        <x:f>IF(AO86="","",INDEX('_曲线基线'!$A$3:$A$502,MIN(ROWS('_曲线基线'!$A$3:$A$502),COUNTIF('_曲线基线'!$E$3:$E$502,"&lt;"&amp;AO86)+1)))</x:f>
        <x:v>136</x:v>
      </x:c>
      <x:c r="AQ86" s="14" t="n">
        <x:f t="shared" si="118">IF(B86&lt;=2,1,IF(B86&lt;=6,2,IF(B86&lt;=9,3,IF(B86&lt;=19,4,5))))</x:f>
        <x:v>5</x:v>
      </x:c>
      <x:c r="AR86" s="10" t="n">
        <x:f t="shared" si="119">AN86*(1-Q86)/F86*$AS$3+U86*$AS$4+P86*$AS$5</x:f>
        <x:v>5468.744025865018</x:v>
      </x:c>
      <x:c r="AS86" s="15" t="n">
        <x:f t="shared" si="120">1+AH86*$AS$6+AI86*$AS$7+(AJ86-1)*$AS$8+($H$10*H86+$I$10*I86+$J$10*J86+$K$10*K86+$L$10*L86)*$AU$3*$AS$9+($H$10*H86+$I$10*I86+$J$10*J86+$K$10*K86+$L$10*L86)*$AU$4*$AS$10</x:f>
        <x:v>9.558562086923866</x:v>
      </x:c>
      <x:c r="AT86" s="16" t="n">
        <x:f t="shared" si="121">ROUND(AR86*AS86,0)</x:f>
        <x:v>52273</x:v>
      </x:c>
      <x:c r="AU86" s="16" t="n">
        <x:f t="shared" si="122">ROUND(AT86*F86,0)</x:f>
        <x:v>261365</x:v>
      </x:c>
      <x:c r="AV86" t="n">
        <x:f>IF(AU86&gt;0,ROUND(AU86,-MAX(0,INT(LOG10(AU86))-2)),0)</x:f>
        <x:v>261000</x:v>
      </x:c>
    </x:row>
    <x:row r="87" customHeight="1">
      <x:c r="A87" s="1" t="n">
        <x:f>IFERROR(XLOOKUP(B87,'_曲线基线'!$G$3:$G$107,'_曲线基线'!$J$3:$J$107,""),"")</x:f>
        <x:v>33</x:v>
      </x:c>
      <x:c r="B87" s="1" t="n">
        <x:v>76</x:v>
      </x:c>
      <x:c r="C87" s="1" t="n">
        <x:f t="shared" si="67">C72+1</x:f>
        <x:v>6</x:v>
      </x:c>
      <x:c r="D87" s="1" t="n">
        <x:f t="shared" si="68">D72</x:f>
        <x:v>7</x:v>
      </x:c>
      <x:c r="E87" s="1" t="n">
        <x:f t="shared" si="94">IF($B87&lt;E$8,0,E$3+(E$4-E$3)*(POWER(E$5,$B87-E$8)-1)/(POWER(E$5,$C$5-E$8)-1))</x:f>
        <x:v>1</x:v>
      </x:c>
      <x:c r="F87" s="10" t="n">
        <x:f t="shared" si="95">1+IF(B87&lt;3,0,MIN(1,(B87-2)/4))+IF(B87&lt;7,0,MIN(1,(B87-6)/3))+IF(B87&lt;10,0,MIN(1,(B87-9)/5))+IF(B87&lt;20,0,MIN(1,(B87-19)/10))</x:f>
        <x:v>5</x:v>
      </x:c>
      <x:c r="G87" s="11" t="n">
        <x:f t="shared" ref="G87:L87" si="133">'玩家战力_节点'!G87</x:f>
        <x:v>0.5305486173828368</x:v>
      </x:c>
      <x:c r="H87" s="11" t="n">
        <x:f t="shared" si="133">'玩家战力_节点'!H87</x:f>
        <x:v>0.4074580908891018</x:v>
      </x:c>
      <x:c r="I87" s="11" t="n">
        <x:f t="shared" si="133">'玩家战力_节点'!I87</x:f>
        <x:v>0.10257974471653858</x:v>
      </x:c>
      <x:c r="J87" s="11" t="n">
        <x:f t="shared" si="133">'玩家战力_节点'!J87</x:f>
        <x:v>0.2566162908820757</x:v>
      </x:c>
      <x:c r="K87" s="11" t="n">
        <x:f t="shared" si="133">'玩家战力_节点'!K87</x:f>
        <x:v>0</x:v>
      </x:c>
      <x:c r="L87" s="11" t="n">
        <x:f t="shared" si="133">'玩家战力_节点'!L87</x:f>
        <x:v>0.37500158078928963</x:v>
      </x:c>
      <x:c r="M87" s="2" t="n">
        <x:f>E87*'模块规划'!$F$10+G87*'模块规划'!$F$11+H87*'模块规划'!$F$13</x:f>
        <x:v>3546.6333634376165</x:v>
      </x:c>
      <x:c r="N87" s="2" t="n">
        <x:f>I87*'模块规划'!$F$15+J87*'模块规划'!$F$17+K87*'模块规划'!$F$16+L87*'模块规划'!$F$18</x:f>
        <x:v>5261.808770499514</x:v>
      </x:c>
      <x:c r="O87" s="2" t="n">
        <x:f t="shared" si="97">1+O$9*SUMPRODUCT($H$10:$L$10,H87:L87)/SUM($H$10:$L$10)</x:f>
        <x:v>1.880062403884619</x:v>
      </x:c>
      <x:c r="P87" s="12" t="n">
        <x:f t="shared" si="98">M87*O87+N87</x:f>
        <x:v>11929.700817461431</x:v>
      </x:c>
      <x:c r="Q87" s="7" t="n">
        <x:f>P87/(P87+'_曲线基线'!$L$2)</x:f>
        <x:v>0.3320289494774677</x:v>
      </x:c>
      <x:c r="R87" s="2" t="n">
        <x:f>E87*'模块规划'!$E$10+G87*'模块规划'!$E$11+H87*'模块规划'!$E$13</x:f>
        <x:v>5319.9500451564245</x:v>
      </x:c>
      <x:c r="S87" s="2" t="n">
        <x:f>I87*'模块规划'!$E$15+J87*'模块规划'!$E$17+K87*'模块规划'!$E$16+L87*'模块规划'!$E$18</x:f>
        <x:v>7892.71315574927</x:v>
      </x:c>
      <x:c r="T87" s="2" t="n">
        <x:f t="shared" si="99">1+T$9*SUMPRODUCT($H$10:$L$10,H87:L87)/SUM($H$10:$L$10)</x:f>
        <x:v>1.880062403884619</x:v>
      </x:c>
      <x:c r="U87" s="12" t="n">
        <x:f t="shared" si="100">R87*T87+S87</x:f>
        <x:v>17894.551226192147</x:v>
      </x:c>
      <x:c r="V87" s="2" t="n">
        <x:f t="shared" si="101">V$8+(V$9-V$8)*H87</x:f>
        <x:v>0.8222374272667305</x:v>
      </x:c>
      <x:c r="W87" s="2" t="n">
        <x:f t="shared" si="102">IF(B87&lt;$H$8,0,W$8+(W$9-W$8)*H87)</x:f>
        <x:v>0.16298323635564071</x:v>
      </x:c>
      <x:c r="X87" s="2" t="n">
        <x:f t="shared" si="103">X$8+(X$9-X$8)*H87</x:f>
        <x:v>0.387050974994503</x:v>
      </x:c>
      <x:c r="Y87" s="2" t="n">
        <x:f t="shared" si="104">Y$8+(Y$9-Y$8)*G87</x:f>
        <x:v>1</x:v>
      </x:c>
      <x:c r="Z87" s="2" t="n">
        <x:f t="shared" si="105">Z$8+(Z$9-Z$8)*H87</x:f>
        <x:v>1</x:v>
      </x:c>
      <x:c r="AA87" s="2" t="n">
        <x:f t="shared" si="106">AA$8+(AA$9-AA$8)*I87</x:f>
        <x:v>1</x:v>
      </x:c>
      <x:c r="AB87" s="2" t="n">
        <x:f t="shared" si="107">AB$8+(AB$9-AB$8)*J87</x:f>
        <x:v>1</x:v>
      </x:c>
      <x:c r="AC87" s="2" t="n">
        <x:f t="shared" si="108">AC$8+(AC$9-AC$8)*MAX(K87,L87)</x:f>
        <x:v>1</x:v>
      </x:c>
      <x:c r="AD87" s="1" t="n">
        <x:f t="shared" si="109">(V87*AE87+W87*AF87+X87*AG87)*PRODUCT(Y87:AC87)</x:f>
        <x:v>1.4382105242426946</x:v>
      </x:c>
      <x:c r="AE87" s="2" t="n">
        <x:f t="shared" si="110">1+AE$9*($H$10*H87+$I$10*I87+$J$10*J87+$K$10*K87+$L$10*L87)</x:f>
        <x:v>1</x:v>
      </x:c>
      <x:c r="AF87" s="2" t="n">
        <x:f t="shared" si="111">1+AF$9*($H$10*H87+$I$10*I87+$J$10*J87+$K$10*K87+$L$10*L87)</x:f>
        <x:v>1.0776735239056061</x:v>
      </x:c>
      <x:c r="AG87" s="2" t="n">
        <x:f t="shared" si="112">1+AG$9*($H$10*H87+$I$10*I87+$J$10*J87+$K$10*K87+$L$10*L87)</x:f>
        <x:v>1.1376547451438253</x:v>
      </x:c>
      <x:c r="AH87" s="2" t="n">
        <x:f>MIN(1,'_曲线基线'!$L$3+AH$9*($H$10*H87+$I$10*I87+$J$10*J87+$K$10*K87+$L$10*L87))</x:f>
        <x:v>0.22670726688525372</x:v>
      </x:c>
      <x:c r="AI87" s="2" t="n">
        <x:f>'_曲线基线'!$L$4+AI$9*($H$10*H87+$I$10*I87+$J$10*J87+$K$10*K87+$L$10*L87)</x:f>
        <x:v>2.492255957751778</x:v>
      </x:c>
      <x:c r="AJ87" s="2" t="n">
        <x:f t="shared" si="113">1+AJ$9*($H$10*H87+$I$10*I87+$J$10*J87+$K$10*K87+$L$10*L87)</x:f>
        <x:v>1.4039023243091513</x:v>
      </x:c>
      <x:c r="AK87" s="1" t="n">
        <x:f t="shared" si="114">(1+AH87*(AI87-1))*AJ87</x:f>
        <x:v>1.8788498787321177</x:v>
      </x:c>
      <x:c r="AL87" s="1" t="n">
        <x:f t="shared" si="115">U87*AD87*AK87*F87</x:f>
        <x:v>241771.6414977732</x:v>
      </x:c>
      <x:c r="AM87" s="13" t="n">
        <x:f t="shared" si="116">IF($B87&lt;AM$8,0,AM$3+(AM$4-AM$3)*(POWER(AM$5,$B87-AM$8)-1)/(POWER(AM$5,$C$5-AM$8)-1))</x:f>
        <x:v>36.48896503147739</x:v>
      </x:c>
      <x:c r="AN87" s="13" t="n">
        <x:f>(((E87*'模块规划'!$D$10+G87*'模块规划'!$D$11+H87*'模块规划'!$D$13)*(1+'模块规划'!$G$14*H87)+(I87*'模块规划'!$D$15+J87*'模块规划'!$D$17+K87*'模块规划'!$D$16+L87*'模块规划'!$D$18))*(1+'模块规划'!$J$17*J87))*F87/(1-Q87)</x:f>
        <x:v>494857.0813675398</x:v>
      </x:c>
      <x:c r="AO87" s="1" t="n">
        <x:f t="shared" si="117">AL87*AM87</x:f>
        <x:v>8821996.972215135</x:v>
      </x:c>
      <x:c r="AP87" s="1" t="n">
        <x:f>IF(AO87="","",INDEX('_曲线基线'!$A$3:$A$502,MIN(ROWS('_曲线基线'!$A$3:$A$502),COUNTIF('_曲线基线'!$E$3:$E$502,"&lt;"&amp;AO87)+1)))</x:f>
        <x:v>137</x:v>
      </x:c>
      <x:c r="AQ87" s="14" t="n">
        <x:f t="shared" si="118">IF(B87&lt;=2,1,IF(B87&lt;=6,2,IF(B87&lt;=9,3,IF(B87&lt;=19,4,5))))</x:f>
        <x:v>5</x:v>
      </x:c>
      <x:c r="AR87" s="10" t="n">
        <x:f t="shared" si="119">AN87*(1-Q87)/F87*$AS$3+U87*$AS$4+P87*$AS$5</x:f>
        <x:v>5562.211472235968</x:v>
      </x:c>
      <x:c r="AS87" s="15" t="n">
        <x:f t="shared" si="120">1+AH87*$AS$6+AI87*$AS$7+(AJ87-1)*$AS$8+($H$10*H87+$I$10*I87+$J$10*J87+$K$10*K87+$L$10*L87)*$AU$3*$AS$9+($H$10*H87+$I$10*I87+$J$10*J87+$K$10*K87+$L$10*L87)*$AU$4*$AS$10</x:f>
        <x:v>9.622661309901499</x:v>
      </x:c>
      <x:c r="AT87" s="16" t="n">
        <x:f t="shared" si="121">ROUND(AR87*AS87,0)</x:f>
        <x:v>53523</x:v>
      </x:c>
      <x:c r="AU87" s="16" t="n">
        <x:f t="shared" si="122">ROUND(AT87*F87,0)</x:f>
        <x:v>267615</x:v>
      </x:c>
      <x:c r="AV87" t="n">
        <x:f>IF(AU87&gt;0,ROUND(AU87,-MAX(0,INT(LOG10(AU87))-2)),0)</x:f>
        <x:v>268000</x:v>
      </x:c>
    </x:row>
    <x:row r="88" customHeight="1">
      <x:c r="A88" s="1" t="n">
        <x:f>IFERROR(XLOOKUP(B88,'_曲线基线'!$G$3:$G$107,'_曲线基线'!$J$3:$J$107,""),"")</x:f>
        <x:v>33</x:v>
      </x:c>
      <x:c r="B88" s="1" t="n">
        <x:v>77</x:v>
      </x:c>
      <x:c r="C88" s="1" t="n">
        <x:f t="shared" si="67">C73+1</x:f>
        <x:v>6</x:v>
      </x:c>
      <x:c r="D88" s="1" t="n">
        <x:f t="shared" si="68">D73</x:f>
        <x:v>8</x:v>
      </x:c>
      <x:c r="E88" s="1" t="n">
        <x:f t="shared" si="94">IF($B88&lt;E$8,0,E$3+(E$4-E$3)*(POWER(E$5,$B88-E$8)-1)/(POWER(E$5,$C$5-E$8)-1))</x:f>
        <x:v>1</x:v>
      </x:c>
      <x:c r="F88" s="10" t="n">
        <x:f t="shared" si="95">1+IF(B88&lt;3,0,MIN(1,(B88-2)/4))+IF(B88&lt;7,0,MIN(1,(B88-6)/3))+IF(B88&lt;10,0,MIN(1,(B88-9)/5))+IF(B88&lt;20,0,MIN(1,(B88-19)/10))</x:f>
        <x:v>5</x:v>
      </x:c>
      <x:c r="G88" s="11" t="n">
        <x:f t="shared" ref="G88:L88" si="134">'玩家战力_节点'!G88</x:f>
        <x:v>0.5338385534527028</x:v>
      </x:c>
      <x:c r="H88" s="11" t="n">
        <x:f t="shared" si="134">'玩家战力_节点'!H88</x:f>
        <x:v>0.4104525445610234</x:v>
      </x:c>
      <x:c r="I88" s="11" t="n">
        <x:f t="shared" si="134">'玩家战力_节点'!I88</x:f>
        <x:v>0.11027899115379011</x:v>
      </x:c>
      <x:c r="J88" s="11" t="n">
        <x:f t="shared" si="134">'玩家战力_节点'!J88</x:f>
        <x:v>0.2604843877489247</x:v>
      </x:c>
      <x:c r="K88" s="11" t="n">
        <x:f t="shared" si="134">'玩家战力_节点'!K88</x:f>
        <x:v>0</x:v>
      </x:c>
      <x:c r="L88" s="11" t="n">
        <x:f t="shared" si="134">'玩家战力_节点'!L88</x:f>
        <x:v>0.37858664617807647</x:v>
      </x:c>
      <x:c r="M88" s="2" t="n">
        <x:f>E88*'模块规划'!$F$10+G88*'模块规划'!$F$11+H88*'模块规划'!$F$13</x:f>
        <x:v>3562.4250565729735</x:v>
      </x:c>
      <x:c r="N88" s="2" t="n">
        <x:f>I88*'模块规划'!$F$15+J88*'模块规划'!$F$17+K88*'模块规划'!$F$16+L88*'模块规划'!$F$18</x:f>
        <x:v>5380.009037609951</x:v>
      </x:c>
      <x:c r="O88" s="2" t="n">
        <x:f t="shared" si="97">1+O$9*SUMPRODUCT($H$10:$L$10,H88:L88)/SUM($H$10:$L$10)</x:f>
        <x:v>1.8922171825868324</x:v>
      </x:c>
      <x:c r="P88" s="12" t="n">
        <x:f t="shared" si="98">M88*O88+N88</x:f>
        <x:v>12120.8909413352</x:v>
      </x:c>
      <x:c r="Q88" s="7" t="n">
        <x:f>P88/(P88+'_曲线基线'!$L$2)</x:f>
        <x:v>0.335564561821607</x:v>
      </x:c>
      <x:c r="R88" s="2" t="n">
        <x:f>E88*'模块规划'!$E$10+G88*'模块规划'!$E$11+H88*'模块规划'!$E$13</x:f>
        <x:v>5343.63758485946</x:v>
      </x:c>
      <x:c r="S88" s="2" t="n">
        <x:f>I88*'模块规划'!$E$15+J88*'模块规划'!$E$17+K88*'模块规划'!$E$16+L88*'模块规划'!$E$18</x:f>
        <x:v>8070.013556414924</x:v>
      </x:c>
      <x:c r="T88" s="2" t="n">
        <x:f t="shared" si="99">1+T$9*SUMPRODUCT($H$10:$L$10,H88:L88)/SUM($H$10:$L$10)</x:f>
        <x:v>1.8922171825868324</x:v>
      </x:c>
      <x:c r="U88" s="12" t="n">
        <x:f t="shared" si="100">R88*T88+S88</x:f>
        <x:v>18181.336412002798</x:v>
      </x:c>
      <x:c r="V88" s="2" t="n">
        <x:f t="shared" si="101">V$8+(V$9-V$8)*H88</x:f>
        <x:v>0.823135763368307</x:v>
      </x:c>
      <x:c r="W88" s="2" t="n">
        <x:f t="shared" si="102">IF(B88&lt;$H$8,0,W$8+(W$9-W$8)*H88)</x:f>
        <x:v>0.1641810178244094</x:v>
      </x:c>
      <x:c r="X88" s="2" t="n">
        <x:f t="shared" si="103">X$8+(X$9-X$8)*H88</x:f>
        <x:v>0.3878744497542815</x:v>
      </x:c>
      <x:c r="Y88" s="2" t="n">
        <x:f t="shared" si="104">Y$8+(Y$9-Y$8)*G88</x:f>
        <x:v>1</x:v>
      </x:c>
      <x:c r="Z88" s="2" t="n">
        <x:f t="shared" si="105">Z$8+(Z$9-Z$8)*H88</x:f>
        <x:v>1</x:v>
      </x:c>
      <x:c r="AA88" s="2" t="n">
        <x:f t="shared" si="106">AA$8+(AA$9-AA$8)*I88</x:f>
        <x:v>1</x:v>
      </x:c>
      <x:c r="AB88" s="2" t="n">
        <x:f t="shared" si="107">AB$8+(AB$9-AB$8)*J88</x:f>
        <x:v>1</x:v>
      </x:c>
      <x:c r="AC88" s="2" t="n">
        <x:f t="shared" si="108">AC$8+(AC$9-AC$8)*MAX(K88,L88)</x:f>
        <x:v>1</x:v>
      </x:c>
      <x:c r="AD88" s="1" t="n">
        <x:f t="shared" si="109">(V88*AE88+W88*AF88+X88*AG88)*PRODUCT(Y88:AC88)</x:f>
        <x:v>1.442250057906633</x:v>
      </x:c>
      <x:c r="AE88" s="2" t="n">
        <x:f t="shared" si="110">1+AE$9*($H$10*H88+$I$10*I88+$J$10*J88+$K$10*K88+$L$10*L88)</x:f>
        <x:v>1</x:v>
      </x:c>
      <x:c r="AF88" s="2" t="n">
        <x:f t="shared" si="111">1+AF$9*($H$10*H88+$I$10*I88+$J$10*J88+$K$10*K88+$L$10*L88)</x:f>
        <x:v>1.0787462938477448</x:v>
      </x:c>
      <x:c r="AG88" s="2" t="n">
        <x:f t="shared" si="112">1+AG$9*($H$10*H88+$I$10*I88+$J$10*J88+$K$10*K88+$L$10*L88)</x:f>
        <x:v>1.1395559318746153</x:v>
      </x:c>
      <x:c r="AH88" s="2" t="n">
        <x:f>MIN(1,'_曲线基线'!$L$3+AH$9*($H$10*H88+$I$10*I88+$J$10*J88+$K$10*K88+$L$10*L88))</x:f>
        <x:v>0.2291478185036192</x:v>
      </x:c>
      <x:c r="AI88" s="2" t="n">
        <x:f>'_曲线基线'!$L$4+AI$9*($H$10*H88+$I$10*I88+$J$10*J88+$K$10*K88+$L$10*L88)</x:f>
        <x:v>2.499054637260082</x:v>
      </x:c>
      <x:c r="AJ88" s="2" t="n">
        <x:f t="shared" si="113">1+AJ$9*($H$10*H88+$I$10*I88+$J$10*J88+$K$10*K88+$L$10*L88)</x:f>
        <x:v>1.4094807280082724</x:v>
      </x:c>
      <x:c r="AK88" s="1" t="n">
        <x:f t="shared" si="114">(1+AH88*(AI88-1))*AJ88</x:f>
        <x:v>1.8936445463545484</x:v>
      </x:c>
      <x:c r="AL88" s="1" t="n">
        <x:f t="shared" si="115">U88*AD88*AK88*F88</x:f>
        <x:v>248276.05359202245</x:v>
      </x:c>
      <x:c r="AM88" s="13" t="n">
        <x:f t="shared" si="116">IF($B88&lt;AM$8,0,AM$3+(AM$4-AM$3)*(POWER(AM$5,$B88-AM$8)-1)/(POWER(AM$5,$C$5-AM$8)-1))</x:f>
        <x:v>36.517279321714035</x:v>
      </x:c>
      <x:c r="AN88" s="13" t="n">
        <x:f>(((E88*'模块规划'!$D$10+G88*'模块规划'!$D$11+H88*'模块规划'!$D$13)*(1+'模块规划'!$G$14*H88)+(I88*'模块规划'!$D$15+J88*'模块规划'!$D$17+K88*'模块规划'!$D$16+L88*'模块规划'!$D$18))*(1+'模块规划'!$J$17*J88))*F88/(1-Q88)</x:f>
        <x:v>506633.4881110297</x:v>
      </x:c>
      <x:c r="AO88" s="1" t="n">
        <x:f t="shared" si="117">AL88*AM88</x:f>
        <x:v>9066365.997912727</x:v>
      </x:c>
      <x:c r="AP88" s="1" t="n">
        <x:f>IF(AO88="","",INDEX('_曲线基线'!$A$3:$A$502,MIN(ROWS('_曲线基线'!$A$3:$A$502),COUNTIF('_曲线基线'!$E$3:$E$502,"&lt;"&amp;AO88)+1)))</x:f>
        <x:v>139</x:v>
      </x:c>
      <x:c r="AQ88" s="14" t="n">
        <x:f t="shared" si="118">IF(B88&lt;=2,1,IF(B88&lt;=6,2,IF(B88&lt;=9,3,IF(B88&lt;=19,4,5))))</x:f>
        <x:v>5</x:v>
      </x:c>
      <x:c r="AR88" s="10" t="n">
        <x:f t="shared" si="119">AN88*(1-Q88)/F88*$AS$3+U88*$AS$4+P88*$AS$5</x:f>
        <x:v>5656.018744413958</x:v>
      </x:c>
      <x:c r="AS88" s="15" t="n">
        <x:f t="shared" si="120">1+AH88*$AS$6+AI88*$AS$7+(AJ88-1)*$AS$8+($H$10*H88+$I$10*I88+$J$10*J88+$K$10*K88+$L$10*L88)*$AU$3*$AS$9+($H$10*H88+$I$10*I88+$J$10*J88+$K$10*K88+$L$10*L88)*$AU$4*$AS$10</x:f>
        <x:v>9.68676053287913</x:v>
      </x:c>
      <x:c r="AT88" s="16" t="n">
        <x:f t="shared" si="121">ROUND(AR88*AS88,0)</x:f>
        <x:v>54788</x:v>
      </x:c>
      <x:c r="AU88" s="16" t="n">
        <x:f t="shared" si="122">ROUND(AT88*F88,0)</x:f>
        <x:v>273940</x:v>
      </x:c>
      <x:c r="AV88" t="n">
        <x:f>IF(AU88&gt;0,ROUND(AU88,-MAX(0,INT(LOG10(AU88))-2)),0)</x:f>
        <x:v>274000</x:v>
      </x:c>
    </x:row>
    <x:row r="89" customHeight="1">
      <x:c r="A89" s="1" t="n">
        <x:f>IFERROR(XLOOKUP(B89,'_曲线基线'!$G$3:$G$107,'_曲线基线'!$J$3:$J$107,""),"")</x:f>
        <x:v>33</x:v>
      </x:c>
      <x:c r="B89" s="1" t="n">
        <x:v>78</x:v>
      </x:c>
      <x:c r="C89" s="1" t="n">
        <x:f t="shared" si="67">C74+1</x:f>
        <x:v>6</x:v>
      </x:c>
      <x:c r="D89" s="1" t="n">
        <x:f t="shared" si="68">D74</x:f>
        <x:v>9</x:v>
      </x:c>
      <x:c r="E89" s="1" t="n">
        <x:f t="shared" si="94">IF($B89&lt;E$8,0,E$3+(E$4-E$3)*(POWER(E$5,$B89-E$8)-1)/(POWER(E$5,$C$5-E$8)-1))</x:f>
        <x:v>1</x:v>
      </x:c>
      <x:c r="F89" s="10" t="n">
        <x:f t="shared" si="95">1+IF(B89&lt;3,0,MIN(1,(B89-2)/4))+IF(B89&lt;7,0,MIN(1,(B89-6)/3))+IF(B89&lt;10,0,MIN(1,(B89-9)/5))+IF(B89&lt;20,0,MIN(1,(B89-19)/10))</x:f>
        <x:v>5</x:v>
      </x:c>
      <x:c r="G89" s="11" t="n">
        <x:f t="shared" ref="G89:L89" si="135">'玩家战力_节点'!G89</x:f>
        <x:v>0.5371284895225688</x:v>
      </x:c>
      <x:c r="H89" s="11" t="n">
        <x:f t="shared" si="135">'玩家战力_节点'!H89</x:f>
        <x:v>0.413446998232945</x:v>
      </x:c>
      <x:c r="I89" s="11" t="n">
        <x:f t="shared" si="135">'玩家战力_节点'!I89</x:f>
        <x:v>0.11797823759104169</x:v>
      </x:c>
      <x:c r="J89" s="11" t="n">
        <x:f t="shared" si="135">'玩家战力_节点'!J89</x:f>
        <x:v>0.26435248461577365</x:v>
      </x:c>
      <x:c r="K89" s="11" t="n">
        <x:f t="shared" si="135">'玩家战力_节点'!K89</x:f>
        <x:v>0</x:v>
      </x:c>
      <x:c r="L89" s="11" t="n">
        <x:f t="shared" si="135">'玩家战力_节点'!L89</x:f>
        <x:v>0.38217171156686336</x:v>
      </x:c>
      <x:c r="M89" s="2" t="n">
        <x:f>E89*'模块规划'!$F$10+G89*'模块规划'!$F$11+H89*'模块规划'!$F$13</x:f>
        <x:v>3578.21674970833</x:v>
      </x:c>
      <x:c r="N89" s="2" t="n">
        <x:f>I89*'模块规划'!$F$15+J89*'模块规划'!$F$17+K89*'模块规划'!$F$16+L89*'模块规划'!$F$18</x:f>
        <x:v>5498.209304720387</x:v>
      </x:c>
      <x:c r="O89" s="2" t="n">
        <x:f t="shared" si="97">1+O$9*SUMPRODUCT($H$10:$L$10,H89:L89)/SUM($H$10:$L$10)</x:f>
        <x:v>1.9043719612890455</x:v>
      </x:c>
      <x:c r="P89" s="12" t="n">
        <x:f t="shared" si="98">M89*O89+N89</x:f>
        <x:v>12312.464954279752</x:v>
      </x:c>
      <x:c r="Q89" s="7" t="n">
        <x:f>P89/(P89+'_曲线基线'!$L$2)</x:f>
        <x:v>0.33906993011303727</x:v>
      </x:c>
      <x:c r="R89" s="2" t="n">
        <x:f>E89*'模块规划'!$E$10+G89*'模块规划'!$E$11+H89*'模块规划'!$E$13</x:f>
        <x:v>5367.325124562495</x:v>
      </x:c>
      <x:c r="S89" s="2" t="n">
        <x:f>I89*'模块规划'!$E$15+J89*'模块规划'!$E$17+K89*'模块规划'!$E$16+L89*'模块规划'!$E$18</x:f>
        <x:v>8247.31395708058</x:v>
      </x:c>
      <x:c r="T89" s="2" t="n">
        <x:f t="shared" si="99">1+T$9*SUMPRODUCT($H$10:$L$10,H89:L89)/SUM($H$10:$L$10)</x:f>
        <x:v>1.9043719612890455</x:v>
      </x:c>
      <x:c r="U89" s="12" t="n">
        <x:f t="shared" si="100">R89*T89+S89</x:f>
        <x:v>18468.697431419627</x:v>
      </x:c>
      <x:c r="V89" s="2" t="n">
        <x:f t="shared" si="101">V$8+(V$9-V$8)*H89</x:f>
        <x:v>0.8240340994698835</x:v>
      </x:c>
      <x:c r="W89" s="2" t="n">
        <x:f t="shared" si="102">IF(B89&lt;$H$8,0,W$8+(W$9-W$8)*H89)</x:f>
        <x:v>0.165378799293178</x:v>
      </x:c>
      <x:c r="X89" s="2" t="n">
        <x:f t="shared" si="103">X$8+(X$9-X$8)*H89</x:f>
        <x:v>0.38869792451405993</x:v>
      </x:c>
      <x:c r="Y89" s="2" t="n">
        <x:f t="shared" si="104">Y$8+(Y$9-Y$8)*G89</x:f>
        <x:v>1</x:v>
      </x:c>
      <x:c r="Z89" s="2" t="n">
        <x:f t="shared" si="105">Z$8+(Z$9-Z$8)*H89</x:f>
        <x:v>1</x:v>
      </x:c>
      <x:c r="AA89" s="2" t="n">
        <x:f t="shared" si="106">AA$8+(AA$9-AA$8)*I89</x:f>
        <x:v>1</x:v>
      </x:c>
      <x:c r="AB89" s="2" t="n">
        <x:f t="shared" si="107">AB$8+(AB$9-AB$8)*J89</x:f>
        <x:v>1</x:v>
      </x:c>
      <x:c r="AC89" s="2" t="n">
        <x:f t="shared" si="108">AC$8+(AC$9-AC$8)*MAX(K89,L89)</x:f>
        <x:v>1</x:v>
      </x:c>
      <x:c r="AD89" s="1" t="n">
        <x:f t="shared" si="109">(V89*AE89+W89*AF89+X89*AG89)*PRODUCT(Y89:AC89)</x:f>
        <x:v>1.4462952926170582</x:v>
      </x:c>
      <x:c r="AE89" s="2" t="n">
        <x:f t="shared" si="110">1+AE$9*($H$10*H89+$I$10*I89+$J$10*J89+$K$10*K89+$L$10*L89)</x:f>
        <x:v>1</x:v>
      </x:c>
      <x:c r="AF89" s="2" t="n">
        <x:f t="shared" si="111">1+AF$9*($H$10*H89+$I$10*I89+$J$10*J89+$K$10*K89+$L$10*L89)</x:f>
        <x:v>1.0798190637898835</x:v>
      </x:c>
      <x:c r="AG89" s="2" t="n">
        <x:f t="shared" si="112">1+AG$9*($H$10*H89+$I$10*I89+$J$10*J89+$K$10*K89+$L$10*L89)</x:f>
        <x:v>1.1414571186054057</x:v>
      </x:c>
      <x:c r="AH89" s="2" t="n">
        <x:f>MIN(1,'_曲线基线'!$L$3+AH$9*($H$10*H89+$I$10*I89+$J$10*J89+$K$10*K89+$L$10*L89))</x:f>
        <x:v>0.23158837012198463</x:v>
      </x:c>
      <x:c r="AI89" s="2" t="n">
        <x:f>'_曲线基线'!$L$4+AI$9*($H$10*H89+$I$10*I89+$J$10*J89+$K$10*K89+$L$10*L89)</x:f>
        <x:v>2.505853316768386</x:v>
      </x:c>
      <x:c r="AJ89" s="2" t="n">
        <x:f t="shared" si="113">1+AJ$9*($H$10*H89+$I$10*I89+$J$10*J89+$K$10*K89+$L$10*L89)</x:f>
        <x:v>1.4150591317073935</x:v>
      </x:c>
      <x:c r="AK89" s="1" t="n">
        <x:f t="shared" si="114">(1+AH89*(AI89-1))*AJ89</x:f>
        <x:v>1.9085441862991255</x:v>
      </x:c>
      <x:c r="AL89" s="1" t="n">
        <x:f t="shared" si="115">U89*AD89*AK89*F89</x:f>
        <x:v>254897.43340520805</x:v>
      </x:c>
      <x:c r="AM89" s="13" t="n">
        <x:f t="shared" si="116">IF($B89&lt;AM$8,0,AM$3+(AM$4-AM$3)*(POWER(AM$5,$B89-AM$8)-1)/(POWER(AM$5,$C$5-AM$8)-1))</x:f>
        <x:v>36.54587675485304</x:v>
      </x:c>
      <x:c r="AN89" s="13" t="n">
        <x:f>(((E89*'模块规划'!$D$10+G89*'模块规划'!$D$11+H89*'模块规划'!$D$13)*(1+'模块规划'!$G$14*H89)+(I89*'模块规划'!$D$15+J89*'模块规划'!$D$17+K89*'模块规划'!$D$16+L89*'模块规划'!$D$18))*(1+'模块规划'!$J$17*J89))*F89/(1-Q89)</x:f>
        <x:v>518568.86419108836</x:v>
      </x:c>
      <x:c r="AO89" s="1" t="n">
        <x:f t="shared" si="117">AL89*AM89</x:f>
        <x:v>9315450.186355093</x:v>
      </x:c>
      <x:c r="AP89" s="1" t="n">
        <x:f>IF(AO89="","",INDEX('_曲线基线'!$A$3:$A$502,MIN(ROWS('_曲线基线'!$A$3:$A$502),COUNTIF('_曲线基线'!$E$3:$E$502,"&lt;"&amp;AO89)+1)))</x:f>
        <x:v>140</x:v>
      </x:c>
      <x:c r="AQ89" s="14" t="n">
        <x:f t="shared" si="118">IF(B89&lt;=2,1,IF(B89&lt;=6,2,IF(B89&lt;=9,3,IF(B89&lt;=19,4,5))))</x:f>
        <x:v>5</x:v>
      </x:c>
      <x:c r="AR89" s="10" t="n">
        <x:f t="shared" si="119">AN89*(1-Q89)/F89*$AS$3+U89*$AS$4+P89*$AS$5</x:f>
        <x:v>5750.166020190039</x:v>
      </x:c>
      <x:c r="AS89" s="15" t="n">
        <x:f t="shared" si="120">1+AH89*$AS$6+AI89*$AS$7+(AJ89-1)*$AS$8+($H$10*H89+$I$10*I89+$J$10*J89+$K$10*K89+$L$10*L89)*$AU$3*$AS$9+($H$10*H89+$I$10*I89+$J$10*J89+$K$10*K89+$L$10*L89)*$AU$4*$AS$10</x:f>
        <x:v>9.750859755856762</x:v>
      </x:c>
      <x:c r="AT89" s="16" t="n">
        <x:f t="shared" si="121">ROUND(AR89*AS89,0)</x:f>
        <x:v>56069</x:v>
      </x:c>
      <x:c r="AU89" s="16" t="n">
        <x:f t="shared" si="122">ROUND(AT89*F89,0)</x:f>
        <x:v>280345</x:v>
      </x:c>
      <x:c r="AV89" t="n">
        <x:f>IF(AU89&gt;0,ROUND(AU89,-MAX(0,INT(LOG10(AU89))-2)),0)</x:f>
        <x:v>280000</x:v>
      </x:c>
    </x:row>
    <x:row r="90" customHeight="1">
      <x:c r="A90" s="1" t="n">
        <x:f>IFERROR(XLOOKUP(B90,'_曲线基线'!$G$3:$G$107,'_曲线基线'!$J$3:$J$107,""),"")</x:f>
        <x:v>33</x:v>
      </x:c>
      <x:c r="B90" s="1" t="n">
        <x:v>79</x:v>
      </x:c>
      <x:c r="C90" s="1" t="n">
        <x:f t="shared" si="67">C75+1</x:f>
        <x:v>6</x:v>
      </x:c>
      <x:c r="D90" s="1" t="n">
        <x:f t="shared" si="68">D75</x:f>
        <x:v>10</x:v>
      </x:c>
      <x:c r="E90" s="1" t="n">
        <x:f t="shared" si="94">IF($B90&lt;E$8,0,E$3+(E$4-E$3)*(POWER(E$5,$B90-E$8)-1)/(POWER(E$5,$C$5-E$8)-1))</x:f>
        <x:v>1</x:v>
      </x:c>
      <x:c r="F90" s="10" t="n">
        <x:f t="shared" si="95">1+IF(B90&lt;3,0,MIN(1,(B90-2)/4))+IF(B90&lt;7,0,MIN(1,(B90-6)/3))+IF(B90&lt;10,0,MIN(1,(B90-9)/5))+IF(B90&lt;20,0,MIN(1,(B90-19)/10))</x:f>
        <x:v>5</x:v>
      </x:c>
      <x:c r="G90" s="11" t="n">
        <x:f t="shared" ref="G90:L90" si="136">'玩家战力_节点'!G90</x:f>
        <x:v>0.5404184255924347</x:v>
      </x:c>
      <x:c r="H90" s="11" t="n">
        <x:f t="shared" si="136">'玩家战力_节点'!H90</x:f>
        <x:v>0.41644145190486653</x:v>
      </x:c>
      <x:c r="I90" s="11" t="n">
        <x:f t="shared" si="136">'玩家战力_节点'!I90</x:f>
        <x:v>0.12567748402829323</x:v>
      </x:c>
      <x:c r="J90" s="11" t="n">
        <x:f t="shared" si="136">'玩家战力_节点'!J90</x:f>
        <x:v>0.2682205814826227</x:v>
      </x:c>
      <x:c r="K90" s="11" t="n">
        <x:f t="shared" si="136">'玩家战力_节点'!K90</x:f>
        <x:v>0</x:v>
      </x:c>
      <x:c r="L90" s="11" t="n">
        <x:f t="shared" si="136">'玩家战力_节点'!L90</x:f>
        <x:v>0.38575677695565025</x:v>
      </x:c>
      <x:c r="M90" s="2" t="n">
        <x:f>E90*'模块规划'!$F$10+G90*'模块规划'!$F$11+H90*'模块规划'!$F$13</x:f>
        <x:v>3594.0084428436867</x:v>
      </x:c>
      <x:c r="N90" s="2" t="n">
        <x:f>I90*'模块规划'!$F$15+J90*'模块规划'!$F$17+K90*'模块规划'!$F$16+L90*'模块规划'!$F$18</x:f>
        <x:v>5616.409571830824</x:v>
      </x:c>
      <x:c r="O90" s="2" t="n">
        <x:f t="shared" si="97">1+O$9*SUMPRODUCT($H$10:$L$10,H90:L90)/SUM($H$10:$L$10)</x:f>
        <x:v>1.916526739991259</x:v>
      </x:c>
      <x:c r="P90" s="12" t="n">
        <x:f t="shared" si="98">M90*O90+N90</x:f>
        <x:v>12504.422856295096</x:v>
      </x:c>
      <x:c r="Q90" s="7" t="n">
        <x:f>P90/(P90+'_曲线基线'!$L$2)</x:f>
        <x:v>0.34254541992132165</x:v>
      </x:c>
      <x:c r="R90" s="2" t="n">
        <x:f>E90*'模块规划'!$E$10+G90*'模块规划'!$E$11+H90*'模块规划'!$E$13</x:f>
        <x:v>5391.01266426553</x:v>
      </x:c>
      <x:c r="S90" s="2" t="n">
        <x:f>I90*'模块规划'!$E$15+J90*'模块规划'!$E$17+K90*'模块规划'!$E$16+L90*'模块规划'!$E$18</x:f>
        <x:v>8424.614357746235</x:v>
      </x:c>
      <x:c r="T90" s="2" t="n">
        <x:f t="shared" si="99">1+T$9*SUMPRODUCT($H$10:$L$10,H90:L90)/SUM($H$10:$L$10)</x:f>
        <x:v>1.916526739991259</x:v>
      </x:c>
      <x:c r="U90" s="12" t="n">
        <x:f t="shared" si="100">R90*T90+S90</x:f>
        <x:v>18756.634284442644</x:v>
      </x:c>
      <x:c r="V90" s="2" t="n">
        <x:f t="shared" si="101">V$8+(V$9-V$8)*H90</x:f>
        <x:v>0.8249324355714599</x:v>
      </x:c>
      <x:c r="W90" s="2" t="n">
        <x:f t="shared" si="102">IF(B90&lt;$H$8,0,W$8+(W$9-W$8)*H90)</x:f>
        <x:v>0.16657658076194662</x:v>
      </x:c>
      <x:c r="X90" s="2" t="n">
        <x:f t="shared" si="103">X$8+(X$9-X$8)*H90</x:f>
        <x:v>0.38952139927383833</x:v>
      </x:c>
      <x:c r="Y90" s="2" t="n">
        <x:f t="shared" si="104">Y$8+(Y$9-Y$8)*G90</x:f>
        <x:v>1</x:v>
      </x:c>
      <x:c r="Z90" s="2" t="n">
        <x:f t="shared" si="105">Z$8+(Z$9-Z$8)*H90</x:f>
        <x:v>1</x:v>
      </x:c>
      <x:c r="AA90" s="2" t="n">
        <x:f t="shared" si="106">AA$8+(AA$9-AA$8)*I90</x:f>
        <x:v>1</x:v>
      </x:c>
      <x:c r="AB90" s="2" t="n">
        <x:f t="shared" si="107">AB$8+(AB$9-AB$8)*J90</x:f>
        <x:v>1</x:v>
      </x:c>
      <x:c r="AC90" s="2" t="n">
        <x:f t="shared" si="108">AC$8+(AC$9-AC$8)*MAX(K90,L90)</x:f>
        <x:v>1</x:v>
      </x:c>
      <x:c r="AD90" s="1" t="n">
        <x:f t="shared" si="109">(V90*AE90+W90*AF90+X90*AG90)*PRODUCT(Y90:AC90)</x:f>
        <x:v>1.45034622837397</x:v>
      </x:c>
      <x:c r="AE90" s="2" t="n">
        <x:f t="shared" si="110">1+AE$9*($H$10*H90+$I$10*I90+$J$10*J90+$K$10*K90+$L$10*L90)</x:f>
        <x:v>1</x:v>
      </x:c>
      <x:c r="AF90" s="2" t="n">
        <x:f t="shared" si="111">1+AF$9*($H$10*H90+$I$10*I90+$J$10*J90+$K$10*K90+$L$10*L90)</x:f>
        <x:v>1.0808918337320221</x:v>
      </x:c>
      <x:c r="AG90" s="2" t="n">
        <x:f t="shared" si="112">1+AG$9*($H$10*H90+$I$10*I90+$J$10*J90+$K$10*K90+$L$10*L90)</x:f>
        <x:v>1.1433583053361958</x:v>
      </x:c>
      <x:c r="AH90" s="2" t="n">
        <x:f>MIN(1,'_曲线基线'!$L$3+AH$9*($H$10*H90+$I$10*I90+$J$10*J90+$K$10*K90+$L$10*L90))</x:f>
        <x:v>0.23402892174035012</x:v>
      </x:c>
      <x:c r="AI90" s="2" t="n">
        <x:f>'_曲线基线'!$L$4+AI$9*($H$10*H90+$I$10*I90+$J$10*J90+$K$10*K90+$L$10*L90)</x:f>
        <x:v>2.5126519962766896</x:v>
      </x:c>
      <x:c r="AJ90" s="2" t="n">
        <x:f t="shared" si="113">1+AJ$9*($H$10*H90+$I$10*I90+$J$10*J90+$K$10*K90+$L$10*L90)</x:f>
        <x:v>1.4206375354065146</x:v>
      </x:c>
      <x:c r="AK90" s="1" t="n">
        <x:f t="shared" si="114">(1+AH90*(AI90-1))*AJ90</x:f>
        <x:v>1.9235493539247757</x:v>
      </x:c>
      <x:c r="AL90" s="1" t="n">
        <x:f t="shared" si="115">U90*AD90*AK90*F90</x:f>
        <x:v>261637.4686646338</x:v>
      </x:c>
      <x:c r="AM90" s="13" t="n">
        <x:f t="shared" si="116">IF($B90&lt;AM$8,0,AM$3+(AM$4-AM$3)*(POWER(AM$5,$B90-AM$8)-1)/(POWER(AM$5,$C$5-AM$8)-1))</x:f>
        <x:v>36.57476016232344</x:v>
      </x:c>
      <x:c r="AN90" s="13" t="n">
        <x:f>(((E90*'模块规划'!$D$10+G90*'模块规划'!$D$11+H90*'模块规划'!$D$13)*(1+'模块规划'!$G$14*H90)+(I90*'模块规划'!$D$15+J90*'模块规划'!$D$17+K90*'模块规划'!$D$16+L90*'模块规划'!$D$18))*(1+'模块规划'!$J$17*J90))*F90/(1-Q90)</x:f>
        <x:v>530664.4453462287</x:v>
      </x:c>
      <x:c r="AO90" s="1" t="n">
        <x:f t="shared" si="117">AL90*AM90</x:f>
        <x:v>9569327.665886397</x:v>
      </x:c>
      <x:c r="AP90" s="1" t="n">
        <x:f>IF(AO90="","",INDEX('_曲线基线'!$A$3:$A$502,MIN(ROWS('_曲线基线'!$A$3:$A$502),COUNTIF('_曲线基线'!$E$3:$E$502,"&lt;"&amp;AO90)+1)))</x:f>
        <x:v>141</x:v>
      </x:c>
      <x:c r="AQ90" s="14" t="n">
        <x:f t="shared" si="118">IF(B90&lt;=2,1,IF(B90&lt;=6,2,IF(B90&lt;=9,3,IF(B90&lt;=19,4,5))))</x:f>
        <x:v>5</x:v>
      </x:c>
      <x:c r="AR90" s="10" t="n">
        <x:f t="shared" si="119">AN90*(1-Q90)/F90*$AS$3+U90*$AS$4+P90*$AS$5</x:f>
        <x:v>5844.653477355266</x:v>
      </x:c>
      <x:c r="AS90" s="15" t="n">
        <x:f t="shared" si="120">1+AH90*$AS$6+AI90*$AS$7+(AJ90-1)*$AS$8+($H$10*H90+$I$10*I90+$J$10*J90+$K$10*K90+$L$10*L90)*$AU$3*$AS$9+($H$10*H90+$I$10*I90+$J$10*J90+$K$10*K90+$L$10*L90)*$AU$4*$AS$10</x:f>
        <x:v>9.814958978834394</x:v>
      </x:c>
      <x:c r="AT90" s="16" t="n">
        <x:f t="shared" si="121">ROUND(AR90*AS90,0)</x:f>
        <x:v>57365</x:v>
      </x:c>
      <x:c r="AU90" s="16" t="n">
        <x:f t="shared" si="122">ROUND(AT90*F90,0)</x:f>
        <x:v>286825</x:v>
      </x:c>
      <x:c r="AV90" t="n">
        <x:f>IF(AU90&gt;0,ROUND(AU90,-MAX(0,INT(LOG10(AU90))-2)),0)</x:f>
        <x:v>287000</x:v>
      </x:c>
    </x:row>
    <x:row r="91" customHeight="1">
      <x:c r="A91" s="1" t="n">
        <x:f>IFERROR(XLOOKUP(B91,'_曲线基线'!$G$3:$G$107,'_曲线基线'!$J$3:$J$107,""),"")</x:f>
        <x:v>34</x:v>
      </x:c>
      <x:c r="B91" s="1" t="n">
        <x:v>80</x:v>
      </x:c>
      <x:c r="C91" s="1" t="n">
        <x:f t="shared" si="67">C76+1</x:f>
        <x:v>6</x:v>
      </x:c>
      <x:c r="D91" s="1" t="n">
        <x:f t="shared" si="68">D76</x:f>
        <x:v>11</x:v>
      </x:c>
      <x:c r="E91" s="1" t="n">
        <x:f t="shared" si="94">IF($B91&lt;E$8,0,E$3+(E$4-E$3)*(POWER(E$5,$B91-E$8)-1)/(POWER(E$5,$C$5-E$8)-1))</x:f>
        <x:v>1</x:v>
      </x:c>
      <x:c r="F91" s="10" t="n">
        <x:f t="shared" si="95">1+IF(B91&lt;3,0,MIN(1,(B91-2)/4))+IF(B91&lt;7,0,MIN(1,(B91-6)/3))+IF(B91&lt;10,0,MIN(1,(B91-9)/5))+IF(B91&lt;20,0,MIN(1,(B91-19)/10))</x:f>
        <x:v>5</x:v>
      </x:c>
      <x:c r="G91" s="11" t="n">
        <x:f t="shared" ref="G91:L91" si="137">'玩家战力_节点'!G91</x:f>
        <x:v>0.5437083616623007</x:v>
      </x:c>
      <x:c r="H91" s="11" t="n">
        <x:f t="shared" si="137">'玩家战力_节点'!H91</x:f>
        <x:v>0.4194359055767881</x:v>
      </x:c>
      <x:c r="I91" s="11" t="n">
        <x:f t="shared" si="137">'玩家战力_节点'!I91</x:f>
        <x:v>0.1333767304655448</x:v>
      </x:c>
      <x:c r="J91" s="11" t="n">
        <x:f t="shared" si="137">'玩家战力_节点'!J91</x:f>
        <x:v>0.27208867834947165</x:v>
      </x:c>
      <x:c r="K91" s="11" t="n">
        <x:f t="shared" si="137">'玩家战力_节点'!K91</x:f>
        <x:v>0</x:v>
      </x:c>
      <x:c r="L91" s="11" t="n">
        <x:f t="shared" si="137">'玩家战力_节点'!L91</x:f>
        <x:v>0.3893418423444372</x:v>
      </x:c>
      <x:c r="M91" s="2" t="n">
        <x:f>E91*'模块规划'!$F$10+G91*'模块规划'!$F$11+H91*'模块规划'!$F$13</x:f>
        <x:v>3609.8001359790437</x:v>
      </x:c>
      <x:c r="N91" s="2" t="n">
        <x:f>I91*'模块规划'!$F$15+J91*'模块规划'!$F$17+K91*'模块规划'!$F$16+L91*'模块规划'!$F$18</x:f>
        <x:v>5734.60983894126</x:v>
      </x:c>
      <x:c r="O91" s="2" t="n">
        <x:f t="shared" si="97">1+O$9*SUMPRODUCT($H$10:$L$10,H91:L91)/SUM($H$10:$L$10)</x:f>
        <x:v>1.9286815186934723</x:v>
      </x:c>
      <x:c r="P91" s="12" t="n">
        <x:f t="shared" si="98">M91*O91+N91</x:f>
        <x:v>12696.764647381224</x:v>
      </x:c>
      <x:c r="Q91" s="7" t="n">
        <x:f>P91/(P91+'_曲线基线'!$L$2)</x:f>
        <x:v>0.34599139104998183</x:v>
      </x:c>
      <x:c r="R91" s="2" t="n">
        <x:f>E91*'模块规划'!$E$10+G91*'模块规划'!$E$11+H91*'模块规划'!$E$13</x:f>
        <x:v>5414.700203968565</x:v>
      </x:c>
      <x:c r="S91" s="2" t="n">
        <x:f>I91*'模块规划'!$E$15+J91*'模块规划'!$E$17+K91*'模块规划'!$E$16+L91*'模块规划'!$E$18</x:f>
        <x:v>8601.914758411891</x:v>
      </x:c>
      <x:c r="T91" s="2" t="n">
        <x:f t="shared" si="99">1+T$9*SUMPRODUCT($H$10:$L$10,H91:L91)/SUM($H$10:$L$10)</x:f>
        <x:v>1.9286815186934723</x:v>
      </x:c>
      <x:c r="U91" s="12" t="n">
        <x:f t="shared" si="100">R91*T91+S91</x:f>
        <x:v>19045.146971071837</x:v>
      </x:c>
      <x:c r="V91" s="2" t="n">
        <x:f t="shared" si="101">V$8+(V$9-V$8)*H91</x:f>
        <x:v>0.8258307716730364</x:v>
      </x:c>
      <x:c r="W91" s="2" t="n">
        <x:f t="shared" si="102">IF(B91&lt;$H$8,0,W$8+(W$9-W$8)*H91)</x:f>
        <x:v>0.16777436223071526</x:v>
      </x:c>
      <x:c r="X91" s="2" t="n">
        <x:f t="shared" si="103">X$8+(X$9-X$8)*H91</x:f>
        <x:v>0.39034487403361673</x:v>
      </x:c>
      <x:c r="Y91" s="2" t="n">
        <x:f t="shared" si="104">Y$8+(Y$9-Y$8)*G91</x:f>
        <x:v>1</x:v>
      </x:c>
      <x:c r="Z91" s="2" t="n">
        <x:f t="shared" si="105">Z$8+(Z$9-Z$8)*H91</x:f>
        <x:v>1</x:v>
      </x:c>
      <x:c r="AA91" s="2" t="n">
        <x:f t="shared" si="106">AA$8+(AA$9-AA$8)*I91</x:f>
        <x:v>1</x:v>
      </x:c>
      <x:c r="AB91" s="2" t="n">
        <x:f t="shared" si="107">AB$8+(AB$9-AB$8)*J91</x:f>
        <x:v>1</x:v>
      </x:c>
      <x:c r="AC91" s="2" t="n">
        <x:f t="shared" si="108">AC$8+(AC$9-AC$8)*MAX(K91,L91)</x:f>
        <x:v>1</x:v>
      </x:c>
      <x:c r="AD91" s="1" t="n">
        <x:f t="shared" si="109">(V91*AE91+W91*AF91+X91*AG91)*PRODUCT(Y91:AC91)</x:f>
        <x:v>1.454402865177369</x:v>
      </x:c>
      <x:c r="AE91" s="2" t="n">
        <x:f t="shared" si="110">1+AE$9*($H$10*H91+$I$10*I91+$J$10*J91+$K$10*K91+$L$10*L91)</x:f>
        <x:v>1</x:v>
      </x:c>
      <x:c r="AF91" s="2" t="n">
        <x:f t="shared" si="111">1+AF$9*($H$10*H91+$I$10*I91+$J$10*J91+$K$10*K91+$L$10*L91)</x:f>
        <x:v>1.0819646036741608</x:v>
      </x:c>
      <x:c r="AG91" s="2" t="n">
        <x:f t="shared" si="112">1+AG$9*($H$10*H91+$I$10*I91+$J$10*J91+$K$10*K91+$L$10*L91)</x:f>
        <x:v>1.145259492066986</x:v>
      </x:c>
      <x:c r="AH91" s="2" t="n">
        <x:f>MIN(1,'_曲线基线'!$L$3+AH$9*($H$10*H91+$I$10*I91+$J$10*J91+$K$10*K91+$L$10*L91))</x:f>
        <x:v>0.23646947335871554</x:v>
      </x:c>
      <x:c r="AI91" s="2" t="n">
        <x:f>'_曲线基线'!$L$4+AI$9*($H$10*H91+$I$10*I91+$J$10*J91+$K$10*K91+$L$10*L91)</x:f>
        <x:v>2.5194506757849933</x:v>
      </x:c>
      <x:c r="AJ91" s="2" t="n">
        <x:f t="shared" si="113">1+AJ$9*($H$10*H91+$I$10*I91+$J$10*J91+$K$10*K91+$L$10*L91)</x:f>
        <x:v>1.4262159391056355</x:v>
      </x:c>
      <x:c r="AK91" s="1" t="n">
        <x:f t="shared" si="114">(1+AH91*(AI91-1))*AJ91</x:f>
        <x:v>1.9386606045904256</x:v>
      </x:c>
      <x:c r="AL91" s="1" t="n">
        <x:f t="shared" si="115">U91*AD91*AK91*F91</x:f>
        <x:v>268497.8666421212</x:v>
      </x:c>
      <x:c r="AM91" s="13" t="n">
        <x:f t="shared" si="116">IF($B91&lt;AM$8,0,AM$3+(AM$4-AM$3)*(POWER(AM$5,$B91-AM$8)-1)/(POWER(AM$5,$C$5-AM$8)-1))</x:f>
        <x:v>36.60393240386854</x:v>
      </x:c>
      <x:c r="AN91" s="13" t="n">
        <x:f>(((E91*'模块规划'!$D$10+G91*'模块规划'!$D$11+H91*'模块规划'!$D$13)*(1+'模块规划'!$G$14*H91)+(I91*'模块规划'!$D$15+J91*'模块规划'!$D$17+K91*'模块规划'!$D$16+L91*'模块规划'!$D$18))*(1+'模块规划'!$J$17*J91))*F91/(1-Q91)</x:f>
        <x:v>542921.471861221</x:v>
      </x:c>
      <x:c r="AO91" s="1" t="n">
        <x:f t="shared" si="117">AL91*AM91</x:f>
        <x:v>9828077.761151114</x:v>
      </x:c>
      <x:c r="AP91" s="1" t="n">
        <x:f>IF(AO91="","",INDEX('_曲线基线'!$A$3:$A$502,MIN(ROWS('_曲线基线'!$A$3:$A$502),COUNTIF('_曲线基线'!$E$3:$E$502,"&lt;"&amp;AO91)+1)))</x:f>
        <x:v>143</x:v>
      </x:c>
      <x:c r="AQ91" s="14" t="n">
        <x:f t="shared" si="118">IF(B91&lt;=2,1,IF(B91&lt;=6,2,IF(B91&lt;=9,3,IF(B91&lt;=19,4,5))))</x:f>
        <x:v>5</x:v>
      </x:c>
      <x:c r="AR91" s="10" t="n">
        <x:f t="shared" si="119">AN91*(1-Q91)/F91*$AS$3+U91*$AS$4+P91*$AS$5</x:f>
        <x:v>5939.481293700688</x:v>
      </x:c>
      <x:c r="AS91" s="15" t="n">
        <x:f t="shared" si="120">1+AH91*$AS$6+AI91*$AS$7+(AJ91-1)*$AS$8+($H$10*H91+$I$10*I91+$J$10*J91+$K$10*K91+$L$10*L91)*$AU$3*$AS$9+($H$10*H91+$I$10*I91+$J$10*J91+$K$10*K91+$L$10*L91)*$AU$4*$AS$10</x:f>
        <x:v>9.879058201812025</x:v>
      </x:c>
      <x:c r="AT91" s="16" t="n">
        <x:f t="shared" si="121">ROUND(AR91*AS91,0)</x:f>
        <x:v>58676</x:v>
      </x:c>
      <x:c r="AU91" s="16" t="n">
        <x:f t="shared" si="122">ROUND(AT91*F91,0)</x:f>
        <x:v>293380</x:v>
      </x:c>
      <x:c r="AV91" t="n">
        <x:f>IF(AU91&gt;0,ROUND(AU91,-MAX(0,INT(LOG10(AU91))-2)),0)</x:f>
        <x:v>293000</x:v>
      </x:c>
    </x:row>
    <x:row r="92" customHeight="1">
      <x:c r="A92" s="1" t="n">
        <x:f>IFERROR(XLOOKUP(B92,'_曲线基线'!$G$3:$G$107,'_曲线基线'!$J$3:$J$107,""),"")</x:f>
        <x:v>34</x:v>
      </x:c>
      <x:c r="B92" s="1" t="n">
        <x:v>81</x:v>
      </x:c>
      <x:c r="C92" s="1" t="n">
        <x:f t="shared" si="67">C77+1</x:f>
        <x:v>6</x:v>
      </x:c>
      <x:c r="D92" s="1" t="n">
        <x:f t="shared" si="68">D77</x:f>
        <x:v>12</x:v>
      </x:c>
      <x:c r="E92" s="1" t="n">
        <x:f t="shared" si="94">IF($B92&lt;E$8,0,E$3+(E$4-E$3)*(POWER(E$5,$B92-E$8)-1)/(POWER(E$5,$C$5-E$8)-1))</x:f>
        <x:v>1</x:v>
      </x:c>
      <x:c r="F92" s="10" t="n">
        <x:f t="shared" si="95">1+IF(B92&lt;3,0,MIN(1,(B92-2)/4))+IF(B92&lt;7,0,MIN(1,(B92-6)/3))+IF(B92&lt;10,0,MIN(1,(B92-9)/5))+IF(B92&lt;20,0,MIN(1,(B92-19)/10))</x:f>
        <x:v>5</x:v>
      </x:c>
      <x:c r="G92" s="11" t="n">
        <x:f t="shared" ref="G92:L92" si="138">'玩家战力_节点'!G92</x:f>
        <x:v>0.5469982977321668</x:v>
      </x:c>
      <x:c r="H92" s="11" t="n">
        <x:f t="shared" si="138">'玩家战力_节点'!H92</x:f>
        <x:v>0.42243035924870964</x:v>
      </x:c>
      <x:c r="I92" s="11" t="n">
        <x:f t="shared" si="138">'玩家战力_节点'!I92</x:f>
        <x:v>0.14107597690279636</x:v>
      </x:c>
      <x:c r="J92" s="11" t="n">
        <x:f t="shared" si="138">'玩家战力_节点'!J92</x:f>
        <x:v>0.27595677521632067</x:v>
      </x:c>
      <x:c r="K92" s="11" t="n">
        <x:f t="shared" si="138">'玩家战力_节点'!K92</x:f>
        <x:v>0</x:v>
      </x:c>
      <x:c r="L92" s="11" t="n">
        <x:f t="shared" si="138">'玩家战力_节点'!L92</x:f>
        <x:v>0.3929269077332241</x:v>
      </x:c>
      <x:c r="M92" s="2" t="n">
        <x:f>E92*'模块规划'!$F$10+G92*'模块规划'!$F$11+H92*'模块规划'!$F$13</x:f>
        <x:v>3625.5918291144008</x:v>
      </x:c>
      <x:c r="N92" s="2" t="n">
        <x:f>I92*'模块规划'!$F$15+J92*'模块规划'!$F$17+K92*'模块规划'!$F$16+L92*'模块规划'!$F$18</x:f>
        <x:v>5852.810106051698</x:v>
      </x:c>
      <x:c r="O92" s="2" t="n">
        <x:f t="shared" si="97">1+O$9*SUMPRODUCT($H$10:$L$10,H92:L92)/SUM($H$10:$L$10)</x:f>
        <x:v>1.9408362973956859</x:v>
      </x:c>
      <x:c r="P92" s="12" t="n">
        <x:f t="shared" si="98">M92*O92+N92</x:f>
        <x:v>12889.490327538144</x:v>
      </x:c>
      <x:c r="Q92" s="7" t="n">
        <x:f>P92/(P92+'_曲线基线'!$L$2)</x:f>
        <x:v>0.3494081976490765</x:v>
      </x:c>
      <x:c r="R92" s="2" t="n">
        <x:f>E92*'模块规划'!$E$10+G92*'模块规划'!$E$11+H92*'模块规划'!$E$13</x:f>
        <x:v>5438.387743671601</x:v>
      </x:c>
      <x:c r="S92" s="2" t="n">
        <x:f>I92*'模块规划'!$E$15+J92*'模块规划'!$E$17+K92*'模块规划'!$E$16+L92*'模块规划'!$E$18</x:f>
        <x:v>8779.215159077547</x:v>
      </x:c>
      <x:c r="T92" s="2" t="n">
        <x:f t="shared" si="99">1+T$9*SUMPRODUCT($H$10:$L$10,H92:L92)/SUM($H$10:$L$10)</x:f>
        <x:v>1.9408362973956859</x:v>
      </x:c>
      <x:c r="U92" s="12" t="n">
        <x:f t="shared" si="100">R92*T92+S92</x:f>
        <x:v>19334.235491307216</x:v>
      </x:c>
      <x:c r="V92" s="2" t="n">
        <x:f t="shared" si="101">V$8+(V$9-V$8)*H92</x:f>
        <x:v>0.8267291077746128</x:v>
      </x:c>
      <x:c r="W92" s="2" t="n">
        <x:f t="shared" si="102">IF(B92&lt;$H$8,0,W$8+(W$9-W$8)*H92)</x:f>
        <x:v>0.16897214369948388</x:v>
      </x:c>
      <x:c r="X92" s="2" t="n">
        <x:f t="shared" si="103">X$8+(X$9-X$8)*H92</x:f>
        <x:v>0.3911683487933952</x:v>
      </x:c>
      <x:c r="Y92" s="2" t="n">
        <x:f t="shared" si="104">Y$8+(Y$9-Y$8)*G92</x:f>
        <x:v>1</x:v>
      </x:c>
      <x:c r="Z92" s="2" t="n">
        <x:f t="shared" si="105">Z$8+(Z$9-Z$8)*H92</x:f>
        <x:v>1</x:v>
      </x:c>
      <x:c r="AA92" s="2" t="n">
        <x:f t="shared" si="106">AA$8+(AA$9-AA$8)*I92</x:f>
        <x:v>1</x:v>
      </x:c>
      <x:c r="AB92" s="2" t="n">
        <x:f t="shared" si="107">AB$8+(AB$9-AB$8)*J92</x:f>
        <x:v>1</x:v>
      </x:c>
      <x:c r="AC92" s="2" t="n">
        <x:f t="shared" si="108">AC$8+(AC$9-AC$8)*MAX(K92,L92)</x:f>
        <x:v>1</x:v>
      </x:c>
      <x:c r="AD92" s="1" t="n">
        <x:f t="shared" si="109">(V92*AE92+W92*AF92+X92*AG92)*PRODUCT(Y92:AC92)</x:f>
        <x:v>1.4584652030272542</x:v>
      </x:c>
      <x:c r="AE92" s="2" t="n">
        <x:f t="shared" si="110">1+AE$9*($H$10*H92+$I$10*I92+$J$10*J92+$K$10*K92+$L$10*L92)</x:f>
        <x:v>1</x:v>
      </x:c>
      <x:c r="AF92" s="2" t="n">
        <x:f t="shared" si="111">1+AF$9*($H$10*H92+$I$10*I92+$J$10*J92+$K$10*K92+$L$10*L92)</x:f>
        <x:v>1.0830373736162995</x:v>
      </x:c>
      <x:c r="AG92" s="2" t="n">
        <x:f t="shared" si="112">1+AG$9*($H$10*H92+$I$10*I92+$J$10*J92+$K$10*K92+$L$10*L92)</x:f>
        <x:v>1.1471606787977762</x:v>
      </x:c>
      <x:c r="AH92" s="2" t="n">
        <x:f>MIN(1,'_曲线基线'!$L$3+AH$9*($H$10*H92+$I$10*I92+$J$10*J92+$K$10*K92+$L$10*L92))</x:f>
        <x:v>0.23891002497708103</x:v>
      </x:c>
      <x:c r="AI92" s="2" t="n">
        <x:f>'_曲线基线'!$L$4+AI$9*($H$10*H92+$I$10*I92+$J$10*J92+$K$10*K92+$L$10*L92)</x:f>
        <x:v>2.526249355293297</x:v>
      </x:c>
      <x:c r="AJ92" s="2" t="n">
        <x:f t="shared" si="113">1+AJ$9*($H$10*H92+$I$10*I92+$J$10*J92+$K$10*K92+$L$10*L92)</x:f>
        <x:v>1.4317943428047566</x:v>
      </x:c>
      <x:c r="AK92" s="1" t="n">
        <x:f t="shared" si="114">(1+AH92*(AI92-1))*AJ92</x:f>
        <x:v>1.953878493655002</x:v>
      </x:c>
      <x:c r="AL92" s="1" t="n">
        <x:f t="shared" si="115">U92*AD92*AK92*F92</x:f>
        <x:v>275480.3543153553</x:v>
      </x:c>
      <x:c r="AM92" s="13" t="n">
        <x:f t="shared" si="116">IF($B92&lt;AM$8,0,AM$3+(AM$4-AM$3)*(POWER(AM$5,$B92-AM$8)-1)/(POWER(AM$5,$C$5-AM$8)-1))</x:f>
        <x:v>36.6333963678291</x:v>
      </x:c>
      <x:c r="AN92" s="13" t="n">
        <x:f>(((E92*'模块规划'!$D$10+G92*'模块规划'!$D$11+H92*'模块规划'!$D$13)*(1+'模块规划'!$G$14*H92)+(I92*'模块规划'!$D$15+J92*'模块规划'!$D$17+K92*'模块规划'!$D$16+L92*'模块规划'!$D$18))*(1+'模块规划'!$J$17*J92))*F92/(1-Q92)</x:f>
        <x:v>555341.1885718334</x:v>
      </x:c>
      <x:c r="AO92" s="1" t="n">
        <x:f t="shared" si="117">AL92*AM92</x:f>
        <x:v>10091781.011184411</x:v>
      </x:c>
      <x:c r="AP92" s="1" t="n">
        <x:f>IF(AO92="","",INDEX('_曲线基线'!$A$3:$A$502,MIN(ROWS('_曲线基线'!$A$3:$A$502),COUNTIF('_曲线基线'!$E$3:$E$502,"&lt;"&amp;AO92)+1)))</x:f>
        <x:v>144</x:v>
      </x:c>
      <x:c r="AQ92" s="14" t="n">
        <x:f t="shared" si="118">IF(B92&lt;=2,1,IF(B92&lt;=6,2,IF(B92&lt;=9,3,IF(B92&lt;=19,4,5))))</x:f>
        <x:v>5</x:v>
      </x:c>
      <x:c r="AR92" s="10" t="n">
        <x:f t="shared" si="119">AN92*(1-Q92)/F92*$AS$3+U92*$AS$4+P92*$AS$5</x:f>
        <x:v>6034.649647017363</x:v>
      </x:c>
      <x:c r="AS92" s="15" t="n">
        <x:f t="shared" si="120">1+AH92*$AS$6+AI92*$AS$7+(AJ92-1)*$AS$8+($H$10*H92+$I$10*I92+$J$10*J92+$K$10*K92+$L$10*L92)*$AU$3*$AS$9+($H$10*H92+$I$10*I92+$J$10*J92+$K$10*K92+$L$10*L92)*$AU$4*$AS$10</x:f>
        <x:v>9.943157424789659</x:v>
      </x:c>
      <x:c r="AT92" s="16" t="n">
        <x:f t="shared" si="121">ROUND(AR92*AS92,0)</x:f>
        <x:v>60003</x:v>
      </x:c>
      <x:c r="AU92" s="16" t="n">
        <x:f t="shared" si="122">ROUND(AT92*F92,0)</x:f>
        <x:v>300015</x:v>
      </x:c>
      <x:c r="AV92" t="n">
        <x:f>IF(AU92&gt;0,ROUND(AU92,-MAX(0,INT(LOG10(AU92))-2)),0)</x:f>
        <x:v>300000</x:v>
      </x:c>
    </x:row>
    <x:row r="93" customHeight="1">
      <x:c r="A93" s="1" t="n">
        <x:f>IFERROR(XLOOKUP(B93,'_曲线基线'!$G$3:$G$107,'_曲线基线'!$J$3:$J$107,""),"")</x:f>
        <x:v>34</x:v>
      </x:c>
      <x:c r="B93" s="1" t="n">
        <x:v>82</x:v>
      </x:c>
      <x:c r="C93" s="1" t="n">
        <x:f t="shared" si="67">C78+1</x:f>
        <x:v>6</x:v>
      </x:c>
      <x:c r="D93" s="1" t="n">
        <x:f t="shared" si="68">D78</x:f>
        <x:v>13</x:v>
      </x:c>
      <x:c r="E93" s="1" t="n">
        <x:f t="shared" si="94">IF($B93&lt;E$8,0,E$3+(E$4-E$3)*(POWER(E$5,$B93-E$8)-1)/(POWER(E$5,$C$5-E$8)-1))</x:f>
        <x:v>1</x:v>
      </x:c>
      <x:c r="F93" s="10" t="n">
        <x:f t="shared" si="95">1+IF(B93&lt;3,0,MIN(1,(B93-2)/4))+IF(B93&lt;7,0,MIN(1,(B93-6)/3))+IF(B93&lt;10,0,MIN(1,(B93-9)/5))+IF(B93&lt;20,0,MIN(1,(B93-19)/10))</x:f>
        <x:v>5</x:v>
      </x:c>
      <x:c r="G93" s="11" t="n">
        <x:f t="shared" ref="G93:L93" si="139">'玩家战力_节点'!G93</x:f>
        <x:v>0.5502882338020327</x:v>
      </x:c>
      <x:c r="H93" s="11" t="n">
        <x:f t="shared" si="139">'玩家战力_节点'!H93</x:f>
        <x:v>0.4254248129206313</x:v>
      </x:c>
      <x:c r="I93" s="11" t="n">
        <x:f t="shared" si="139">'玩家战力_节点'!I93</x:f>
        <x:v>0.14877522334004792</x:v>
      </x:c>
      <x:c r="J93" s="11" t="n">
        <x:f t="shared" si="139">'玩家战力_节点'!J93</x:f>
        <x:v>0.27982487208316964</x:v>
      </x:c>
      <x:c r="K93" s="11" t="n">
        <x:f t="shared" si="139">'玩家战力_节点'!K93</x:f>
        <x:v>0</x:v>
      </x:c>
      <x:c r="L93" s="11" t="n">
        <x:f t="shared" si="139">'玩家战力_节点'!L93</x:f>
        <x:v>0.3965119731220109</x:v>
      </x:c>
      <x:c r="M93" s="2" t="n">
        <x:f>E93*'模块规划'!$F$10+G93*'模块规划'!$F$11+H93*'模块规划'!$F$13</x:f>
        <x:v>3641.3835222497573</x:v>
      </x:c>
      <x:c r="N93" s="2" t="n">
        <x:f>I93*'模块规划'!$F$15+J93*'模块规划'!$F$17+K93*'模块规划'!$F$16+L93*'模块规划'!$F$18</x:f>
        <x:v>5971.010373162135</x:v>
      </x:c>
      <x:c r="O93" s="2" t="n">
        <x:f t="shared" si="97">1+O$9*SUMPRODUCT($H$10:$L$10,H93:L93)/SUM($H$10:$L$10)</x:f>
        <x:v>1.9529910760978988</x:v>
      </x:c>
      <x:c r="P93" s="12" t="n">
        <x:f t="shared" si="98">M93*O93+N93</x:f>
        <x:v>13082.599896765845</x:v>
      </x:c>
      <x:c r="Q93" s="7" t="n">
        <x:f>P93/(P93+'_曲线基线'!$L$2)</x:f>
        <x:v>0.35279618832515686</x:v>
      </x:c>
      <x:c r="R93" s="2" t="n">
        <x:f>E93*'模块规划'!$E$10+G93*'模块规划'!$E$11+H93*'模块规划'!$E$13</x:f>
        <x:v>5462.075283374636</x:v>
      </x:c>
      <x:c r="S93" s="2" t="n">
        <x:f>I93*'模块规划'!$E$15+J93*'模块规划'!$E$17+K93*'模块规划'!$E$16+L93*'模块规划'!$E$18</x:f>
        <x:v>8956.5155597432</x:v>
      </x:c>
      <x:c r="T93" s="2" t="n">
        <x:f t="shared" si="99">1+T$9*SUMPRODUCT($H$10:$L$10,H93:L93)/SUM($H$10:$L$10)</x:f>
        <x:v>1.9529910760978988</x:v>
      </x:c>
      <x:c r="U93" s="12" t="n">
        <x:f t="shared" si="100">R93*T93+S93</x:f>
        <x:v>19623.899845148764</x:v>
      </x:c>
      <x:c r="V93" s="2" t="n">
        <x:f t="shared" si="101">V$8+(V$9-V$8)*H93</x:f>
        <x:v>0.8276274438761894</x:v>
      </x:c>
      <x:c r="W93" s="2" t="n">
        <x:f t="shared" si="102">IF(B93&lt;$H$8,0,W$8+(W$9-W$8)*H93)</x:f>
        <x:v>0.17016992516825252</x:v>
      </x:c>
      <x:c r="X93" s="2" t="n">
        <x:f t="shared" si="103">X$8+(X$9-X$8)*H93</x:f>
        <x:v>0.39199182355317364</x:v>
      </x:c>
      <x:c r="Y93" s="2" t="n">
        <x:f t="shared" si="104">Y$8+(Y$9-Y$8)*G93</x:f>
        <x:v>1</x:v>
      </x:c>
      <x:c r="Z93" s="2" t="n">
        <x:f t="shared" si="105">Z$8+(Z$9-Z$8)*H93</x:f>
        <x:v>1</x:v>
      </x:c>
      <x:c r="AA93" s="2" t="n">
        <x:f t="shared" si="106">AA$8+(AA$9-AA$8)*I93</x:f>
        <x:v>1</x:v>
      </x:c>
      <x:c r="AB93" s="2" t="n">
        <x:f t="shared" si="107">AB$8+(AB$9-AB$8)*J93</x:f>
        <x:v>1</x:v>
      </x:c>
      <x:c r="AC93" s="2" t="n">
        <x:f t="shared" si="108">AC$8+(AC$9-AC$8)*MAX(K93,L93)</x:f>
        <x:v>1</x:v>
      </x:c>
      <x:c r="AD93" s="1" t="n">
        <x:f t="shared" si="109">(V93*AE93+W93*AF93+X93*AG93)*PRODUCT(Y93:AC93)</x:f>
        <x:v>1.4625332419236265</x:v>
      </x:c>
      <x:c r="AE93" s="2" t="n">
        <x:f t="shared" si="110">1+AE$9*($H$10*H93+$I$10*I93+$J$10*J93+$K$10*K93+$L$10*L93)</x:f>
        <x:v>1</x:v>
      </x:c>
      <x:c r="AF93" s="2" t="n">
        <x:f t="shared" si="111">1+AF$9*($H$10*H93+$I$10*I93+$J$10*J93+$K$10*K93+$L$10*L93)</x:f>
        <x:v>1.0841101435584382</x:v>
      </x:c>
      <x:c r="AG93" s="2" t="n">
        <x:f t="shared" si="112">1+AG$9*($H$10*H93+$I$10*I93+$J$10*J93+$K$10*K93+$L$10*L93)</x:f>
        <x:v>1.1490618655285665</x:v>
      </x:c>
      <x:c r="AH93" s="2" t="n">
        <x:f>MIN(1,'_曲线基线'!$L$3+AH$9*($H$10*H93+$I$10*I93+$J$10*J93+$K$10*K93+$L$10*L93))</x:f>
        <x:v>0.2413505765954465</x:v>
      </x:c>
      <x:c r="AI93" s="2" t="n">
        <x:f>'_曲线基线'!$L$4+AI$9*($H$10*H93+$I$10*I93+$J$10*J93+$K$10*K93+$L$10*L93)</x:f>
        <x:v>2.5330480348016007</x:v>
      </x:c>
      <x:c r="AJ93" s="2" t="n">
        <x:f t="shared" si="113">1+AJ$9*($H$10*H93+$I$10*I93+$J$10*J93+$K$10*K93+$L$10*L93)</x:f>
        <x:v>1.4373727465038777</x:v>
      </x:c>
      <x:c r="AK93" s="1" t="n">
        <x:f t="shared" si="114">(1+AH93*(AI93-1))*AJ93</x:f>
        <x:v>1.969203576477432</x:v>
      </x:c>
      <x:c r="AL93" s="1" t="n">
        <x:f t="shared" si="115">U93*AD93*AK93*F93</x:f>
        <x:v>282586.67853005015</x:v>
      </x:c>
      <x:c r="AM93" s="13" t="n">
        <x:f t="shared" si="116">IF($B93&lt;AM$8,0,AM$3+(AM$4-AM$3)*(POWER(AM$5,$B93-AM$8)-1)/(POWER(AM$5,$C$5-AM$8)-1))</x:f>
        <x:v>36.66315497142926</x:v>
      </x:c>
      <x:c r="AN93" s="13" t="n">
        <x:f>(((E93*'模块规划'!$D$10+G93*'模块规划'!$D$11+H93*'模块规划'!$D$13)*(1+'模块规划'!$G$14*H93)+(I93*'模块规划'!$D$15+J93*'模块规划'!$D$17+K93*'模块规划'!$D$16+L93*'模块规划'!$D$18))*(1+'模块规划'!$J$17*J93))*F93/(1-Q93)</x:f>
        <x:v>567924.8448695713</x:v>
      </x:c>
      <x:c r="AO93" s="1" t="n">
        <x:f t="shared" si="117">AL93*AM93</x:f>
        <x:v>10360519.187808689</x:v>
      </x:c>
      <x:c r="AP93" s="1" t="n">
        <x:f>IF(AO93="","",INDEX('_曲线基线'!$A$3:$A$502,MIN(ROWS('_曲线基线'!$A$3:$A$502),COUNTIF('_曲线基线'!$E$3:$E$502,"&lt;"&amp;AO93)+1)))</x:f>
        <x:v>146</x:v>
      </x:c>
      <x:c r="AQ93" s="14" t="n">
        <x:f t="shared" si="118">IF(B93&lt;=2,1,IF(B93&lt;=6,2,IF(B93&lt;=9,3,IF(B93&lt;=19,4,5))))</x:f>
        <x:v>5</x:v>
      </x:c>
      <x:c r="AR93" s="10" t="n">
        <x:f t="shared" si="119">AN93*(1-Q93)/F93*$AS$3+U93*$AS$4+P93*$AS$5</x:f>
        <x:v>6130.158715096335</x:v>
      </x:c>
      <x:c r="AS93" s="15" t="n">
        <x:f t="shared" si="120">1+AH93*$AS$6+AI93*$AS$7+(AJ93-1)*$AS$8+($H$10*H93+$I$10*I93+$J$10*J93+$K$10*K93+$L$10*L93)*$AU$3*$AS$9+($H$10*H93+$I$10*I93+$J$10*J93+$K$10*K93+$L$10*L93)*$AU$4*$AS$10</x:f>
        <x:v>10.007256647767289</x:v>
      </x:c>
      <x:c r="AT93" s="16" t="n">
        <x:f t="shared" si="121">ROUND(AR93*AS93,0)</x:f>
        <x:v>61346</x:v>
      </x:c>
      <x:c r="AU93" s="16" t="n">
        <x:f t="shared" si="122">ROUND(AT93*F93,0)</x:f>
        <x:v>306730</x:v>
      </x:c>
      <x:c r="AV93" t="n">
        <x:f>IF(AU93&gt;0,ROUND(AU93,-MAX(0,INT(LOG10(AU93))-2)),0)</x:f>
        <x:v>307000</x:v>
      </x:c>
    </x:row>
    <x:row r="94" customHeight="1">
      <x:c r="A94" s="1" t="n">
        <x:f>IFERROR(XLOOKUP(B94,'_曲线基线'!$G$3:$G$107,'_曲线基线'!$J$3:$J$107,""),"")</x:f>
        <x:v>34</x:v>
      </x:c>
      <x:c r="B94" s="1" t="n">
        <x:v>83</x:v>
      </x:c>
      <x:c r="C94" s="1" t="n">
        <x:f t="shared" si="67">C79+1</x:f>
        <x:v>6</x:v>
      </x:c>
      <x:c r="D94" s="1" t="n">
        <x:f t="shared" si="68">D79</x:f>
        <x:v>14</x:v>
      </x:c>
      <x:c r="E94" s="1" t="n">
        <x:f t="shared" si="94">IF($B94&lt;E$8,0,E$3+(E$4-E$3)*(POWER(E$5,$B94-E$8)-1)/(POWER(E$5,$C$5-E$8)-1))</x:f>
        <x:v>1</x:v>
      </x:c>
      <x:c r="F94" s="10" t="n">
        <x:f t="shared" si="95">1+IF(B94&lt;3,0,MIN(1,(B94-2)/4))+IF(B94&lt;7,0,MIN(1,(B94-6)/3))+IF(B94&lt;10,0,MIN(1,(B94-9)/5))+IF(B94&lt;20,0,MIN(1,(B94-19)/10))</x:f>
        <x:v>5</x:v>
      </x:c>
      <x:c r="G94" s="11" t="n">
        <x:f t="shared" ref="G94:L94" si="140">'玩家战力_节点'!G94</x:f>
        <x:v>0.5535781698718988</x:v>
      </x:c>
      <x:c r="H94" s="11" t="n">
        <x:f t="shared" si="140">'玩家战力_节点'!H94</x:f>
        <x:v>0.4284192665925528</x:v>
      </x:c>
      <x:c r="I94" s="11" t="n">
        <x:f t="shared" si="140">'玩家战力_节点'!I94</x:f>
        <x:v>0.15647446977729945</x:v>
      </x:c>
      <x:c r="J94" s="11" t="n">
        <x:f t="shared" si="140">'玩家战力_节点'!J94</x:f>
        <x:v>0.2836929689500186</x:v>
      </x:c>
      <x:c r="K94" s="11" t="n">
        <x:f t="shared" si="140">'玩家战力_节点'!K94</x:f>
        <x:v>0</x:v>
      </x:c>
      <x:c r="L94" s="11" t="n">
        <x:f t="shared" si="140">'玩家战力_节点'!L94</x:f>
        <x:v>0.40009703851079786</x:v>
      </x:c>
      <x:c r="M94" s="2" t="n">
        <x:f>E94*'模块规划'!$F$10+G94*'模块规划'!$F$11+H94*'模块规划'!$F$13</x:f>
        <x:v>3657.1752153851144</x:v>
      </x:c>
      <x:c r="N94" s="2" t="n">
        <x:f>I94*'模块规划'!$F$15+J94*'模块规划'!$F$17+K94*'模块规划'!$F$16+L94*'模块规划'!$F$18</x:f>
        <x:v>6089.210640272571</x:v>
      </x:c>
      <x:c r="O94" s="2" t="n">
        <x:f t="shared" si="97">1+O$9*SUMPRODUCT($H$10:$L$10,H94:L94)/SUM($H$10:$L$10)</x:f>
        <x:v>1.9651458548001124</x:v>
      </x:c>
      <x:c r="P94" s="12" t="n">
        <x:f t="shared" si="98">M94*O94+N94</x:f>
        <x:v>13276.093355064337</x:v>
      </x:c>
      <x:c r="Q94" s="7" t="n">
        <x:f>P94/(P94+'_曲线基线'!$L$2)</x:f>
        <x:v>0.35615570624867116</x:v>
      </x:c>
      <x:c r="R94" s="2" t="n">
        <x:f>E94*'模块规划'!$E$10+G94*'模块规划'!$E$11+H94*'模块规划'!$E$13</x:f>
        <x:v>5485.762823077672</x:v>
      </x:c>
      <x:c r="S94" s="2" t="n">
        <x:f>I94*'模块规划'!$E$15+J94*'模块规划'!$E$17+K94*'模块规划'!$E$16+L94*'模块规划'!$E$18</x:f>
        <x:v>9133.815960408856</x:v>
      </x:c>
      <x:c r="T94" s="2" t="n">
        <x:f t="shared" si="99">1+T$9*SUMPRODUCT($H$10:$L$10,H94:L94)/SUM($H$10:$L$10)</x:f>
        <x:v>1.9651458548001124</x:v>
      </x:c>
      <x:c r="U94" s="12" t="n">
        <x:f t="shared" si="100">R94*T94+S94</x:f>
        <x:v>19914.140032596504</x:v>
      </x:c>
      <x:c r="V94" s="2" t="n">
        <x:f t="shared" si="101">V$8+(V$9-V$8)*H94</x:f>
        <x:v>0.8285257799777658</x:v>
      </x:c>
      <x:c r="W94" s="2" t="n">
        <x:f t="shared" si="102">IF(B94&lt;$H$8,0,W$8+(W$9-W$8)*H94)</x:f>
        <x:v>0.17136770663702114</x:v>
      </x:c>
      <x:c r="X94" s="2" t="n">
        <x:f t="shared" si="103">X$8+(X$9-X$8)*H94</x:f>
        <x:v>0.39281529831295203</x:v>
      </x:c>
      <x:c r="Y94" s="2" t="n">
        <x:f t="shared" si="104">Y$8+(Y$9-Y$8)*G94</x:f>
        <x:v>1</x:v>
      </x:c>
      <x:c r="Z94" s="2" t="n">
        <x:f t="shared" si="105">Z$8+(Z$9-Z$8)*H94</x:f>
        <x:v>1</x:v>
      </x:c>
      <x:c r="AA94" s="2" t="n">
        <x:f t="shared" si="106">AA$8+(AA$9-AA$8)*I94</x:f>
        <x:v>1</x:v>
      </x:c>
      <x:c r="AB94" s="2" t="n">
        <x:f t="shared" si="107">AB$8+(AB$9-AB$8)*J94</x:f>
        <x:v>1</x:v>
      </x:c>
      <x:c r="AC94" s="2" t="n">
        <x:f t="shared" si="108">AC$8+(AC$9-AC$8)*MAX(K94,L94)</x:f>
        <x:v>1</x:v>
      </x:c>
      <x:c r="AD94" s="1" t="n">
        <x:f t="shared" si="109">(V94*AE94+W94*AF94+X94*AG94)*PRODUCT(Y94:AC94)</x:f>
        <x:v>1.4666069818664853</x:v>
      </x:c>
      <x:c r="AE94" s="2" t="n">
        <x:f t="shared" si="110">1+AE$9*($H$10*H94+$I$10*I94+$J$10*J94+$K$10*K94+$L$10*L94)</x:f>
        <x:v>1</x:v>
      </x:c>
      <x:c r="AF94" s="2" t="n">
        <x:f t="shared" si="111">1+AF$9*($H$10*H94+$I$10*I94+$J$10*J94+$K$10*K94+$L$10*L94)</x:f>
        <x:v>1.0851829135005768</x:v>
      </x:c>
      <x:c r="AG94" s="2" t="n">
        <x:f t="shared" si="112">1+AG$9*($H$10*H94+$I$10*I94+$J$10*J94+$K$10*K94+$L$10*L94)</x:f>
        <x:v>1.1509630522593566</x:v>
      </x:c>
      <x:c r="AH94" s="2" t="n">
        <x:f>MIN(1,'_曲线基线'!$L$3+AH$9*($H$10*H94+$I$10*I94+$J$10*J94+$K$10*K94+$L$10*L94))</x:f>
        <x:v>0.243791128213812</x:v>
      </x:c>
      <x:c r="AI94" s="2" t="n">
        <x:f>'_曲线基线'!$L$4+AI$9*($H$10*H94+$I$10*I94+$J$10*J94+$K$10*K94+$L$10*L94)</x:f>
        <x:v>2.539846714309905</x:v>
      </x:c>
      <x:c r="AJ94" s="2" t="n">
        <x:f t="shared" si="113">1+AJ$9*($H$10*H94+$I$10*I94+$J$10*J94+$K$10*K94+$L$10*L94)</x:f>
        <x:v>1.4429511502029988</x:v>
      </x:c>
      <x:c r="AK94" s="1" t="n">
        <x:f t="shared" si="114">(1+AH94*(AI94-1))*AJ94</x:f>
        <x:v>1.9846364084166417</x:v>
      </x:c>
      <x:c r="AL94" s="1" t="n">
        <x:f t="shared" si="115">U94*AD94*AK94*F94</x:f>
        <x:v>289818.606162935</x:v>
      </x:c>
      <x:c r="AM94" s="13" t="n">
        <x:f t="shared" si="116">IF($B94&lt;AM$8,0,AM$3+(AM$4-AM$3)*(POWER(AM$5,$B94-AM$8)-1)/(POWER(AM$5,$C$5-AM$8)-1))</x:f>
        <x:v>36.69321116106542</x:v>
      </x:c>
      <x:c r="AN94" s="13" t="n">
        <x:f>(((E94*'模块规划'!$D$10+G94*'模块规划'!$D$11+H94*'模块规划'!$D$13)*(1+'模块规划'!$G$14*H94)+(I94*'模块规划'!$D$15+J94*'模块规划'!$D$17+K94*'模块规划'!$D$16+L94*'模块规划'!$D$18))*(1+'模块规划'!$J$17*J94))*F94/(1-Q94)</x:f>
        <x:v>580673.6947064166</x:v>
      </x:c>
      <x:c r="AO94" s="1" t="n">
        <x:f t="shared" si="117">AL94*AM94</x:f>
        <x:v>10634375.314342229</x:v>
      </x:c>
      <x:c r="AP94" s="1" t="n">
        <x:f>IF(AO94="","",INDEX('_曲线基线'!$A$3:$A$502,MIN(ROWS('_曲线基线'!$A$3:$A$502),COUNTIF('_曲线基线'!$E$3:$E$502,"&lt;"&amp;AO94)+1)))</x:f>
        <x:v>147</x:v>
      </x:c>
      <x:c r="AQ94" s="14" t="n">
        <x:f t="shared" si="118">IF(B94&lt;=2,1,IF(B94&lt;=6,2,IF(B94&lt;=9,3,IF(B94&lt;=19,4,5))))</x:f>
        <x:v>5</x:v>
      </x:c>
      <x:c r="AR94" s="10" t="n">
        <x:f t="shared" si="119">AN94*(1-Q94)/F94*$AS$3+U94*$AS$4+P94*$AS$5</x:f>
        <x:v>6226.008675728666</x:v>
      </x:c>
      <x:c r="AS94" s="15" t="n">
        <x:f t="shared" si="120">1+AH94*$AS$6+AI94*$AS$7+(AJ94-1)*$AS$8+($H$10*H94+$I$10*I94+$J$10*J94+$K$10*K94+$L$10*L94)*$AU$3*$AS$9+($H$10*H94+$I$10*I94+$J$10*J94+$K$10*K94+$L$10*L94)*$AU$4*$AS$10</x:f>
        <x:v>10.071355870744922</x:v>
      </x:c>
      <x:c r="AT94" s="16" t="n">
        <x:f t="shared" si="121">ROUND(AR94*AS94,0)</x:f>
        <x:v>62704</x:v>
      </x:c>
      <x:c r="AU94" s="16" t="n">
        <x:f t="shared" si="122">ROUND(AT94*F94,0)</x:f>
        <x:v>313520</x:v>
      </x:c>
      <x:c r="AV94" t="n">
        <x:f>IF(AU94&gt;0,ROUND(AU94,-MAX(0,INT(LOG10(AU94))-2)),0)</x:f>
        <x:v>314000</x:v>
      </x:c>
    </x:row>
    <x:row r="95" customHeight="1">
      <x:c r="A95" s="1" t="n">
        <x:f>IFERROR(XLOOKUP(B95,'_曲线基线'!$G$3:$G$107,'_曲线基线'!$J$3:$J$107,""),"")</x:f>
        <x:v>34</x:v>
      </x:c>
      <x:c r="B95" s="1" t="n">
        <x:v>84</x:v>
      </x:c>
      <x:c r="C95" s="1" t="n">
        <x:f t="shared" si="67">C80+1</x:f>
        <x:v>6</x:v>
      </x:c>
      <x:c r="D95" s="1" t="n">
        <x:f t="shared" si="68">D80</x:f>
        <x:v>15</x:v>
      </x:c>
      <x:c r="E95" s="1" t="n">
        <x:f t="shared" si="94">IF($B95&lt;E$8,0,E$3+(E$4-E$3)*(POWER(E$5,$B95-E$8)-1)/(POWER(E$5,$C$5-E$8)-1))</x:f>
        <x:v>1</x:v>
      </x:c>
      <x:c r="F95" s="10" t="n">
        <x:f t="shared" si="95">1+IF(B95&lt;3,0,MIN(1,(B95-2)/4))+IF(B95&lt;7,0,MIN(1,(B95-6)/3))+IF(B95&lt;10,0,MIN(1,(B95-9)/5))+IF(B95&lt;20,0,MIN(1,(B95-19)/10))</x:f>
        <x:v>5</x:v>
      </x:c>
      <x:c r="G95" s="11" t="n">
        <x:f t="shared" ref="G95:L95" si="141">'玩家战力_节点'!G95</x:f>
        <x:v>0.5568681059417647</x:v>
      </x:c>
      <x:c r="H95" s="11" t="n">
        <x:f t="shared" si="141">'玩家战力_节点'!H95</x:f>
        <x:v>0.4314137202644744</x:v>
      </x:c>
      <x:c r="I95" s="11" t="n">
        <x:f t="shared" si="141">'玩家战力_节点'!I95</x:f>
        <x:v>0.164173716214551</x:v>
      </x:c>
      <x:c r="J95" s="11" t="n">
        <x:f t="shared" si="141">'玩家战力_节点'!J95</x:f>
        <x:v>0.2875610658168676</x:v>
      </x:c>
      <x:c r="K95" s="11" t="n">
        <x:f t="shared" si="141">'玩家战力_节点'!K95</x:f>
        <x:v>0</x:v>
      </x:c>
      <x:c r="L95" s="11" t="n">
        <x:f t="shared" si="141">'玩家战力_节点'!L95</x:f>
        <x:v>0.40368210389958475</x:v>
      </x:c>
      <x:c r="M95" s="2" t="n">
        <x:f>E95*'模块规划'!$F$10+G95*'模块规划'!$F$11+H95*'模块规划'!$F$13</x:f>
        <x:v>3672.9669085204705</x:v>
      </x:c>
      <x:c r="N95" s="2" t="n">
        <x:f>I95*'模块规划'!$F$15+J95*'模块规划'!$F$17+K95*'模块规划'!$F$16+L95*'模块规划'!$F$18</x:f>
        <x:v>6207.410907383008</x:v>
      </x:c>
      <x:c r="O95" s="2" t="n">
        <x:f t="shared" si="97">1+O$9*SUMPRODUCT($H$10:$L$10,H95:L95)/SUM($H$10:$L$10)</x:f>
        <x:v>1.9773006335023253</x:v>
      </x:c>
      <x:c r="P95" s="12" t="n">
        <x:f t="shared" si="98">M95*O95+N95</x:f>
        <x:v>13469.970702433611</x:v>
      </x:c>
      <x:c r="Q95" s="7" t="n">
        <x:f>P95/(P95+'_曲线基线'!$L$2)</x:f>
        <x:v>0.35948708925888645</x:v>
      </x:c>
      <x:c r="R95" s="2" t="n">
        <x:f>E95*'模块规划'!$E$10+G95*'模块规划'!$E$11+H95*'模块规划'!$E$13</x:f>
        <x:v>5509.450362780706</x:v>
      </x:c>
      <x:c r="S95" s="2" t="n">
        <x:f>I95*'模块规划'!$E$15+J95*'模块规划'!$E$17+K95*'模块规划'!$E$16+L95*'模块规划'!$E$18</x:f>
        <x:v>9311.116361074512</x:v>
      </x:c>
      <x:c r="T95" s="2" t="n">
        <x:f t="shared" si="99">1+T$9*SUMPRODUCT($H$10:$L$10,H95:L95)/SUM($H$10:$L$10)</x:f>
        <x:v>1.9773006335023253</x:v>
      </x:c>
      <x:c r="U95" s="12" t="n">
        <x:f t="shared" si="100">R95*T95+S95</x:f>
        <x:v>20204.956053650418</x:v>
      </x:c>
      <x:c r="V95" s="2" t="n">
        <x:f t="shared" si="101">V$8+(V$9-V$8)*H95</x:f>
        <x:v>0.8294241160793423</x:v>
      </x:c>
      <x:c r="W95" s="2" t="n">
        <x:f t="shared" si="102">IF(B95&lt;$H$8,0,W$8+(W$9-W$8)*H95)</x:f>
        <x:v>0.17256548810578975</x:v>
      </x:c>
      <x:c r="X95" s="2" t="n">
        <x:f t="shared" si="103">X$8+(X$9-X$8)*H95</x:f>
        <x:v>0.3936387730727305</x:v>
      </x:c>
      <x:c r="Y95" s="2" t="n">
        <x:f t="shared" si="104">Y$8+(Y$9-Y$8)*G95</x:f>
        <x:v>1</x:v>
      </x:c>
      <x:c r="Z95" s="2" t="n">
        <x:f t="shared" si="105">Z$8+(Z$9-Z$8)*H95</x:f>
        <x:v>1</x:v>
      </x:c>
      <x:c r="AA95" s="2" t="n">
        <x:f t="shared" si="106">AA$8+(AA$9-AA$8)*I95</x:f>
        <x:v>1</x:v>
      </x:c>
      <x:c r="AB95" s="2" t="n">
        <x:f t="shared" si="107">AB$8+(AB$9-AB$8)*J95</x:f>
        <x:v>1</x:v>
      </x:c>
      <x:c r="AC95" s="2" t="n">
        <x:f t="shared" si="108">AC$8+(AC$9-AC$8)*MAX(K95,L95)</x:f>
        <x:v>1</x:v>
      </x:c>
      <x:c r="AD95" s="1" t="n">
        <x:f t="shared" si="109">(V95*AE95+W95*AF95+X95*AG95)*PRODUCT(Y95:AC95)</x:f>
        <x:v>1.4706864228558314</x:v>
      </x:c>
      <x:c r="AE95" s="2" t="n">
        <x:f t="shared" si="110">1+AE$9*($H$10*H95+$I$10*I95+$J$10*J95+$K$10*K95+$L$10*L95)</x:f>
        <x:v>1</x:v>
      </x:c>
      <x:c r="AF95" s="2" t="n">
        <x:f t="shared" si="111">1+AF$9*($H$10*H95+$I$10*I95+$J$10*J95+$K$10*K95+$L$10*L95)</x:f>
        <x:v>1.0862556834427155</x:v>
      </x:c>
      <x:c r="AG95" s="2" t="n">
        <x:f t="shared" si="112">1+AG$9*($H$10*H95+$I$10*I95+$J$10*J95+$K$10*K95+$L$10*L95)</x:f>
        <x:v>1.152864238990147</x:v>
      </x:c>
      <x:c r="AH95" s="2" t="n">
        <x:f>MIN(1,'_曲线基线'!$L$3+AH$9*($H$10*H95+$I$10*I95+$J$10*J95+$K$10*K95+$L$10*L95))</x:f>
        <x:v>0.24623167983217742</x:v>
      </x:c>
      <x:c r="AI95" s="2" t="n">
        <x:f>'_曲线基线'!$L$4+AI$9*($H$10*H95+$I$10*I95+$J$10*J95+$K$10*K95+$L$10*L95)</x:f>
        <x:v>2.5466453938182085</x:v>
      </x:c>
      <x:c r="AJ95" s="2" t="n">
        <x:f t="shared" si="113">1+AJ$9*($H$10*H95+$I$10*I95+$J$10*J95+$K$10*K95+$L$10*L95)</x:f>
        <x:v>1.44852955390212</x:v>
      </x:c>
      <x:c r="AK95" s="1" t="n">
        <x:f t="shared" si="114">(1+AH95*(AI95-1))*AJ95</x:f>
        <x:v>2.000177544831558</x:v>
      </x:c>
      <x:c r="AL95" s="1" t="n">
        <x:f t="shared" si="115">U95*AD95*AK95*F95</x:f>
        <x:v>297177.92428556393</x:v>
      </x:c>
      <x:c r="AM95" s="13" t="n">
        <x:f t="shared" si="116">IF($B95&lt;AM$8,0,AM$3+(AM$4-AM$3)*(POWER(AM$5,$B95-AM$8)-1)/(POWER(AM$5,$C$5-AM$8)-1))</x:f>
        <x:v>36.72356791259794</x:v>
      </x:c>
      <x:c r="AN95" s="13" t="n">
        <x:f>(((E95*'模块规划'!$D$10+G95*'模块规划'!$D$11+H95*'模块规划'!$D$13)*(1+'模块规划'!$G$14*H95)+(I95*'模块规划'!$D$15+J95*'模块规划'!$D$17+K95*'模块规划'!$D$16+L95*'模块规划'!$D$18))*(1+'模块规划'!$J$17*J95))*F95/(1-Q95)</x:f>
        <x:v>593588.996599568</x:v>
      </x:c>
      <x:c r="AO95" s="1" t="n">
        <x:f t="shared" si="117">AL95*AM95</x:f>
        <x:v>10913433.684625797</x:v>
      </x:c>
      <x:c r="AP95" s="1" t="n">
        <x:f>IF(AO95="","",INDEX('_曲线基线'!$A$3:$A$502,MIN(ROWS('_曲线基线'!$A$3:$A$502),COUNTIF('_曲线基线'!$E$3:$E$502,"&lt;"&amp;AO95)+1)))</x:f>
        <x:v>148</x:v>
      </x:c>
      <x:c r="AQ95" s="14" t="n">
        <x:f t="shared" si="118">IF(B95&lt;=2,1,IF(B95&lt;=6,2,IF(B95&lt;=9,3,IF(B95&lt;=19,4,5))))</x:f>
        <x:v>5</x:v>
      </x:c>
      <x:c r="AR95" s="10" t="n">
        <x:f t="shared" si="119">AN95*(1-Q95)/F95*$AS$3+U95*$AS$4+P95*$AS$5</x:f>
        <x:v>6322.199706705402</x:v>
      </x:c>
      <x:c r="AS95" s="15" t="n">
        <x:f t="shared" si="120">1+AH95*$AS$6+AI95*$AS$7+(AJ95-1)*$AS$8+($H$10*H95+$I$10*I95+$J$10*J95+$K$10*K95+$L$10*L95)*$AU$3*$AS$9+($H$10*H95+$I$10*I95+$J$10*J95+$K$10*K95+$L$10*L95)*$AU$4*$AS$10</x:f>
        <x:v>10.135455093722555</x:v>
      </x:c>
      <x:c r="AT95" s="16" t="n">
        <x:f t="shared" si="121">ROUND(AR95*AS95,0)</x:f>
        <x:v>64078</x:v>
      </x:c>
      <x:c r="AU95" s="16" t="n">
        <x:f t="shared" si="122">ROUND(AT95*F95,0)</x:f>
        <x:v>320390</x:v>
      </x:c>
      <x:c r="AV95" t="n">
        <x:f>IF(AU95&gt;0,ROUND(AU95,-MAX(0,INT(LOG10(AU95))-2)),0)</x:f>
        <x:v>320000</x:v>
      </x:c>
    </x:row>
    <x:row r="96" customHeight="1">
      <x:c r="A96" s="1" t="n">
        <x:f>IFERROR(XLOOKUP(B96,'_曲线基线'!$G$3:$G$107,'_曲线基线'!$J$3:$J$107,""),"")</x:f>
        <x:v>35</x:v>
      </x:c>
      <x:c r="B96" s="1" t="n">
        <x:v>85</x:v>
      </x:c>
      <x:c r="C96" s="1" t="n">
        <x:f t="shared" si="67">C81+1</x:f>
        <x:v>7</x:v>
      </x:c>
      <x:c r="D96" s="1" t="n">
        <x:f t="shared" si="68">D81</x:f>
        <x:v>1</x:v>
      </x:c>
      <x:c r="E96" s="1" t="n">
        <x:f t="shared" si="94">IF($B96&lt;E$8,0,E$3+(E$4-E$3)*(POWER(E$5,$B96-E$8)-1)/(POWER(E$5,$C$5-E$8)-1))</x:f>
        <x:v>1</x:v>
      </x:c>
      <x:c r="F96" s="10" t="n">
        <x:f t="shared" si="95">1+IF(B96&lt;3,0,MIN(1,(B96-2)/4))+IF(B96&lt;7,0,MIN(1,(B96-6)/3))+IF(B96&lt;10,0,MIN(1,(B96-9)/5))+IF(B96&lt;20,0,MIN(1,(B96-19)/10))</x:f>
        <x:v>5</x:v>
      </x:c>
      <x:c r="G96" s="11" t="n">
        <x:f t="shared" ref="G96:L96" si="142">'玩家战力_节点'!G96</x:f>
        <x:v>0.5598000350810604</x:v>
      </x:c>
      <x:c r="H96" s="11" t="n">
        <x:f t="shared" si="142">'玩家战力_节点'!H96</x:f>
        <x:v>0.43397864081098647</x:v>
      </x:c>
      <x:c r="I96" s="11" t="n">
        <x:f t="shared" si="142">'玩家战力_节点'!I96</x:f>
        <x:v>0.17076856039756125</x:v>
      </x:c>
      <x:c r="J96" s="11" t="n">
        <x:f t="shared" si="142">'玩家战力_节点'!J96</x:f>
        <x:v>0.29087431164287963</x:v>
      </x:c>
      <x:c r="K96" s="11" t="n">
        <x:f t="shared" si="142">'玩家战力_节点'!K96</x:f>
        <x:v>0</x:v>
      </x:c>
      <x:c r="L96" s="11" t="n">
        <x:f t="shared" si="142">'玩家战力_节点'!L96</x:f>
        <x:v>0.4067529171041806</x:v>
      </x:c>
      <x:c r="M96" s="2" t="n">
        <x:f>E96*'模块规划'!$F$10+G96*'模块规划'!$F$11+H96*'模块规划'!$F$13</x:f>
        <x:v>3687.0401683890896</x:v>
      </x:c>
      <x:c r="N96" s="2" t="n">
        <x:f>I96*'模块规划'!$F$15+J96*'模块规划'!$F$17+K96*'模块规划'!$F$16+L96*'模块规划'!$F$18</x:f>
        <x:v>6308.656185130189</x:v>
      </x:c>
      <x:c r="O96" s="2" t="n">
        <x:f t="shared" si="97">1+O$9*SUMPRODUCT($H$10:$L$10,H96:L96)/SUM($H$10:$L$10)</x:f>
        <x:v>1.98771189547106</x:v>
      </x:c>
      <x:c r="P96" s="12" t="n">
        <x:f t="shared" si="98">M96*O96+N96</x:f>
        <x:v>13637.429786916804</x:v>
      </x:c>
      <x:c r="Q96" s="7" t="n">
        <x:f>P96/(P96+'_曲线基线'!$L$2)</x:f>
        <x:v>0.36233690409054786</x:v>
      </x:c>
      <x:c r="R96" s="2" t="n">
        <x:f>E96*'模块规划'!$E$10+G96*'模块规划'!$E$11+H96*'模块规划'!$E$13</x:f>
        <x:v>5530.560252583635</x:v>
      </x:c>
      <x:c r="S96" s="2" t="n">
        <x:f>I96*'模块规划'!$E$15+J96*'模块规划'!$E$17+K96*'模块规划'!$E$16+L96*'模块规划'!$E$18</x:f>
        <x:v>9462.984277695283</x:v>
      </x:c>
      <x:c r="T96" s="2" t="n">
        <x:f t="shared" si="99">1+T$9*SUMPRODUCT($H$10:$L$10,H96:L96)/SUM($H$10:$L$10)</x:f>
        <x:v>1.98771189547106</x:v>
      </x:c>
      <x:c r="U96" s="12" t="n">
        <x:f t="shared" si="100">R96*T96+S96</x:f>
        <x:v>20456.144680375204</x:v>
      </x:c>
      <x:c r="V96" s="2" t="n">
        <x:f t="shared" si="101">V$8+(V$9-V$8)*H96</x:f>
        <x:v>0.8301935922432959</x:v>
      </x:c>
      <x:c r="W96" s="2" t="n">
        <x:f t="shared" si="102">IF(B96&lt;$H$8,0,W$8+(W$9-W$8)*H96)</x:f>
        <x:v>0.1735914563243946</x:v>
      </x:c>
      <x:c r="X96" s="2" t="n">
        <x:f t="shared" si="103">X$8+(X$9-X$8)*H96</x:f>
        <x:v>0.3943441262230213</x:v>
      </x:c>
      <x:c r="Y96" s="2" t="n">
        <x:f t="shared" si="104">Y$8+(Y$9-Y$8)*G96</x:f>
        <x:v>1</x:v>
      </x:c>
      <x:c r="Z96" s="2" t="n">
        <x:f t="shared" si="105">Z$8+(Z$9-Z$8)*H96</x:f>
        <x:v>1</x:v>
      </x:c>
      <x:c r="AA96" s="2" t="n">
        <x:f t="shared" si="106">AA$8+(AA$9-AA$8)*I96</x:f>
        <x:v>1</x:v>
      </x:c>
      <x:c r="AB96" s="2" t="n">
        <x:f t="shared" si="107">AB$8+(AB$9-AB$8)*J96</x:f>
        <x:v>1</x:v>
      </x:c>
      <x:c r="AC96" s="2" t="n">
        <x:f t="shared" si="108">AC$8+(AC$9-AC$8)*MAX(K96,L96)</x:f>
        <x:v>1</x:v>
      </x:c>
      <x:c r="AD96" s="1" t="n">
        <x:f t="shared" si="109">(V96*AE96+W96*AF96+X96*AG96)*PRODUCT(Y96:AC96)</x:f>
        <x:v>1.4741852300265221</x:v>
      </x:c>
      <x:c r="AE96" s="2" t="n">
        <x:f t="shared" si="110">1+AE$9*($H$10*H96+$I$10*I96+$J$10*J96+$K$10*K96+$L$10*L96)</x:f>
        <x:v>1</x:v>
      </x:c>
      <x:c r="AF96" s="2" t="n">
        <x:f t="shared" si="111">1+AF$9*($H$10*H96+$I$10*I96+$J$10*J96+$K$10*K96+$L$10*L96)</x:f>
        <x:v>1.0871745721508872</x:v>
      </x:c>
      <x:c r="AG96" s="2" t="n">
        <x:f t="shared" si="112">1+AG$9*($H$10*H96+$I$10*I96+$J$10*J96+$K$10*K96+$L$10*L96)</x:f>
        <x:v>1.154492713978518</x:v>
      </x:c>
      <x:c r="AH96" s="2" t="n">
        <x:f>MIN(1,'_曲线基线'!$L$3+AH$9*($H$10*H96+$I$10*I96+$J$10*J96+$K$10*K96+$L$10*L96))</x:f>
        <x:v>0.24832215164326804</x:v>
      </x:c>
      <x:c r="AI96" s="2" t="n">
        <x:f>'_曲线基线'!$L$4+AI$9*($H$10*H96+$I$10*I96+$J$10*J96+$K$10*K96+$L$10*L96)</x:f>
        <x:v>2.552468851006247</x:v>
      </x:c>
      <x:c r="AJ96" s="2" t="n">
        <x:f t="shared" si="113">1+AJ$9*($H$10*H96+$I$10*I96+$J$10*J96+$K$10*K96+$L$10*L96)</x:f>
        <x:v>1.4533077751846126</x:v>
      </x:c>
      <x:c r="AK96" s="1" t="n">
        <x:f t="shared" si="114">(1+AH96*(AI96-1))*AJ96</x:f>
        <x:v>2.0135759514421747</x:v>
      </x:c>
      <x:c r="AL96" s="1" t="n">
        <x:f t="shared" si="115">U96*AD96*AK96*F96</x:f>
        <x:v>303608.45540367527</x:v>
      </x:c>
      <x:c r="AM96" s="13" t="n">
        <x:f t="shared" si="116">IF($B96&lt;AM$8,0,AM$3+(AM$4-AM$3)*(POWER(AM$5,$B96-AM$8)-1)/(POWER(AM$5,$C$5-AM$8)-1))</x:f>
        <x:v>36.75422823164579</x:v>
      </x:c>
      <x:c r="AN96" s="13" t="n">
        <x:f>(((E96*'模块规划'!$D$10+G96*'模块规划'!$D$11+H96*'模块规划'!$D$13)*(1+'模块规划'!$G$14*H96)+(I96*'模块规划'!$D$15+J96*'模块规划'!$D$17+K96*'模块规划'!$D$16+L96*'模块规划'!$D$18))*(1+'模块规划'!$J$17*J96))*F96/(1-Q96)</x:f>
        <x:v>604842.67487879</x:v>
      </x:c>
      <x:c r="AO96" s="1" t="n">
        <x:f t="shared" si="117">AL96*AM96</x:f>
        <x:v>11158894.462964132</x:v>
      </x:c>
      <x:c r="AP96" s="1" t="n">
        <x:f>IF(AO96="","",INDEX('_曲线基线'!$A$3:$A$502,MIN(ROWS('_曲线基线'!$A$3:$A$502),COUNTIF('_曲线基线'!$E$3:$E$502,"&lt;"&amp;AO96)+1)))</x:f>
        <x:v>149</x:v>
      </x:c>
      <x:c r="AQ96" s="14" t="n">
        <x:f t="shared" si="118">IF(B96&lt;=2,1,IF(B96&lt;=6,2,IF(B96&lt;=9,3,IF(B96&lt;=19,4,5))))</x:f>
        <x:v>5</x:v>
      </x:c>
      <x:c r="AR96" s="10" t="n">
        <x:f t="shared" si="119">AN96*(1-Q96)/F96*$AS$3+U96*$AS$4+P96*$AS$5</x:f>
        <x:v>6405.344051683222</x:v>
      </x:c>
      <x:c r="AS96" s="15" t="n">
        <x:f t="shared" si="120">1+AH96*$AS$6+AI96*$AS$7+(AJ96-1)*$AS$8+($H$10*H96+$I$10*I96+$J$10*J96+$K$10*K96+$L$10*L96)*$AU$3*$AS$9+($H$10*H96+$I$10*I96+$J$10*J96+$K$10*K96+$L$10*L96)*$AU$4*$AS$10</x:f>
        <x:v>10.190359738123107</x:v>
      </x:c>
      <x:c r="AT96" s="16" t="n">
        <x:f t="shared" si="121">ROUND(AR96*AS96,0)</x:f>
        <x:v>65273</x:v>
      </x:c>
      <x:c r="AU96" s="16" t="n">
        <x:f t="shared" si="122">ROUND(AT96*F96,0)</x:f>
        <x:v>326365</x:v>
      </x:c>
      <x:c r="AV96" t="n">
        <x:f>IF(AU96&gt;0,ROUND(AU96,-MAX(0,INT(LOG10(AU96))-2)),0)</x:f>
        <x:v>326000</x:v>
      </x:c>
    </x:row>
    <x:row r="97" customHeight="1">
      <x:c r="A97" s="1" t="n">
        <x:f>IFERROR(XLOOKUP(B97,'_曲线基线'!$G$3:$G$107,'_曲线基线'!$J$3:$J$107,""),"")</x:f>
        <x:v>35</x:v>
      </x:c>
      <x:c r="B97" s="1" t="n">
        <x:v>86</x:v>
      </x:c>
      <x:c r="C97" s="1" t="n">
        <x:f t="shared" si="67">C82+1</x:f>
        <x:v>7</x:v>
      </x:c>
      <x:c r="D97" s="1" t="n">
        <x:f t="shared" si="68">D82</x:f>
        <x:v>2</x:v>
      </x:c>
      <x:c r="E97" s="1" t="n">
        <x:f t="shared" si="94">IF($B97&lt;E$8,0,E$3+(E$4-E$3)*(POWER(E$5,$B97-E$8)-1)/(POWER(E$5,$C$5-E$8)-1))</x:f>
        <x:v>1</x:v>
      </x:c>
      <x:c r="F97" s="10" t="n">
        <x:f t="shared" si="95">1+IF(B97&lt;3,0,MIN(1,(B97-2)/4))+IF(B97&lt;7,0,MIN(1,(B97-6)/3))+IF(B97&lt;10,0,MIN(1,(B97-9)/5))+IF(B97&lt;20,0,MIN(1,(B97-19)/10))</x:f>
        <x:v>5</x:v>
      </x:c>
      <x:c r="G97" s="11" t="n">
        <x:f t="shared" ref="G97:L97" si="143">'玩家战力_节点'!G97</x:f>
        <x:v>0.5624226281932587</x:v>
      </x:c>
      <x:c r="H97" s="11" t="n">
        <x:f t="shared" si="143">'玩家战力_节点'!H97</x:f>
        <x:v>0.43619025177237075</x:v>
      </x:c>
      <x:c r="I97" s="11" t="n">
        <x:f t="shared" si="143">'玩家战力_节点'!I97</x:f>
        <x:v>0.17645498592976794</x:v>
      </x:c>
      <x:c r="J97" s="11" t="n">
        <x:f t="shared" si="143">'玩家战力_节点'!J97</x:f>
        <x:v>0.29373116847477376</x:v>
      </x:c>
      <x:c r="K97" s="11" t="n">
        <x:f t="shared" si="143">'玩家战力_节点'!K97</x:f>
        <x:v>0</x:v>
      </x:c>
      <x:c r="L97" s="11" t="n">
        <x:f t="shared" si="143">'玩家战力_节点'!L97</x:f>
        <x:v>0.40940073563130197</x:v>
      </x:c>
      <x:c r="M97" s="2" t="n">
        <x:f>E97*'模块规划'!$F$10+G97*'模块规划'!$F$11+H97*'模块规划'!$F$13</x:f>
        <x:v>3699.628615327642</x:v>
      </x:c>
      <x:c r="N97" s="2" t="n">
        <x:f>I97*'模块规划'!$F$15+J97*'模块规划'!$F$17+K97*'模块规划'!$F$16+L97*'模块规划'!$F$18</x:f>
        <x:v>6395.95525034239</x:v>
      </x:c>
      <x:c r="O97" s="2" t="n">
        <x:f t="shared" si="97">1+O$9*SUMPRODUCT($H$10:$L$10,H97:L97)/SUM($H$10:$L$10)</x:f>
        <x:v>1.9966890394700072</x:v>
      </x:c>
      <x:c r="P97" s="12" t="n">
        <x:f t="shared" si="98">M97*O97+N97</x:f>
        <x:v>13782.963156676691</x:v>
      </x:c>
      <x:c r="Q97" s="7" t="n">
        <x:f>P97/(P97+'_曲线基线'!$L$2)</x:f>
        <x:v>0.364793070874884</x:v>
      </x:c>
      <x:c r="R97" s="2" t="n">
        <x:f>E97*'模块规划'!$E$10+G97*'模块规划'!$E$11+H97*'模块规划'!$E$13</x:f>
        <x:v>5549.442922991462</x:v>
      </x:c>
      <x:c r="S97" s="2" t="n">
        <x:f>I97*'模块规划'!$E$15+J97*'模块规划'!$E$17+K97*'模块规划'!$E$16+L97*'模块规划'!$E$18</x:f>
        <x:v>9593.932875513587</x:v>
      </x:c>
      <x:c r="T97" s="2" t="n">
        <x:f t="shared" si="99">1+T$9*SUMPRODUCT($H$10:$L$10,H97:L97)/SUM($H$10:$L$10)</x:f>
        <x:v>1.9966890394700072</x:v>
      </x:c>
      <x:c r="U97" s="12" t="n">
        <x:f t="shared" si="100">R97*T97+S97</x:f>
        <x:v>20674.444735015037</x:v>
      </x:c>
      <x:c r="V97" s="2" t="n">
        <x:f t="shared" si="101">V$8+(V$9-V$8)*H97</x:f>
        <x:v>0.8308570755317112</x:v>
      </x:c>
      <x:c r="W97" s="2" t="n">
        <x:f t="shared" si="102">IF(B97&lt;$H$8,0,W$8+(W$9-W$8)*H97)</x:f>
        <x:v>0.1744761007089483</x:v>
      </x:c>
      <x:c r="X97" s="2" t="n">
        <x:f t="shared" si="103">X$8+(X$9-X$8)*H97</x:f>
        <x:v>0.394952319237402</x:v>
      </x:c>
      <x:c r="Y97" s="2" t="n">
        <x:f t="shared" si="104">Y$8+(Y$9-Y$8)*G97</x:f>
        <x:v>1</x:v>
      </x:c>
      <x:c r="Z97" s="2" t="n">
        <x:f t="shared" si="105">Z$8+(Z$9-Z$8)*H97</x:f>
        <x:v>1</x:v>
      </x:c>
      <x:c r="AA97" s="2" t="n">
        <x:f t="shared" si="106">AA$8+(AA$9-AA$8)*I97</x:f>
        <x:v>1</x:v>
      </x:c>
      <x:c r="AB97" s="2" t="n">
        <x:f t="shared" si="107">AB$8+(AB$9-AB$8)*J97</x:f>
        <x:v>1</x:v>
      </x:c>
      <x:c r="AC97" s="2" t="n">
        <x:f t="shared" si="108">AC$8+(AC$9-AC$8)*MAX(K97,L97)</x:f>
        <x:v>1</x:v>
      </x:c>
      <x:c r="AD97" s="1" t="n">
        <x:f t="shared" si="109">(V97*AE97+W97*AF97+X97*AG97)*PRODUCT(Y97:AC97)</x:f>
        <x:v>1.4772054459551387</x:v>
      </x:c>
      <x:c r="AE97" s="2" t="n">
        <x:f t="shared" si="110">1+AE$9*($H$10*H97+$I$10*I97+$J$10*J97+$K$10*K97+$L$10*L97)</x:f>
        <x:v>1</x:v>
      </x:c>
      <x:c r="AF97" s="2" t="n">
        <x:f t="shared" si="111">1+AF$9*($H$10*H97+$I$10*I97+$J$10*J97+$K$10*K97+$L$10*L97)</x:f>
        <x:v>1.0879668868843975</x:v>
      </x:c>
      <x:c r="AG97" s="2" t="n">
        <x:f t="shared" si="112">1+AG$9*($H$10*H97+$I$10*I97+$J$10*J97+$K$10*K97+$L$10*L97)</x:f>
        <x:v>1.155896871756239</x:v>
      </x:c>
      <x:c r="AH97" s="2" t="n">
        <x:f>MIN(1,'_曲线基线'!$L$3+AH$9*($H$10*H97+$I$10*I97+$J$10*J97+$K$10*K97+$L$10*L97))</x:f>
        <x:v>0.250124667662004</x:v>
      </x:c>
      <x:c r="AI97" s="2" t="n">
        <x:f>'_曲线基线'!$L$4+AI$9*($H$10*H97+$I$10*I97+$J$10*J97+$K$10*K97+$L$10*L97)</x:f>
        <x:v>2.557490145629868</x:v>
      </x:c>
      <x:c r="AJ97" s="2" t="n">
        <x:f t="shared" si="113">1+AJ$9*($H$10*H97+$I$10*I97+$J$10*J97+$K$10*K97+$L$10*L97)</x:f>
        <x:v>1.4574278117988664</x:v>
      </x:c>
      <x:c r="AK97" s="1" t="n">
        <x:f t="shared" si="114">(1+AH97*(AI97-1))*AJ97</x:f>
        <x:v>2.0251931623078248</x:v>
      </x:c>
      <x:c r="AL97" s="1" t="n">
        <x:f t="shared" si="115">U97*AD97*AK97*F97</x:f>
        <x:v>309251.07011396403</x:v>
      </x:c>
      <x:c r="AM97" s="13" t="n">
        <x:f t="shared" si="116">IF($B97&lt;AM$8,0,AM$3+(AM$4-AM$3)*(POWER(AM$5,$B97-AM$8)-1)/(POWER(AM$5,$C$5-AM$8)-1))</x:f>
        <x:v>36.78519515388412</x:v>
      </x:c>
      <x:c r="AN97" s="13" t="n">
        <x:f>(((E97*'模块规划'!$D$10+G97*'模块规划'!$D$11+H97*'模块规划'!$D$13)*(1+'模块规划'!$G$14*H97)+(I97*'模块规划'!$D$15+J97*'模块规划'!$D$17+K97*'模块规划'!$D$16+L97*'模块规划'!$D$18))*(1+'模块规划'!$J$17*J97))*F97/(1-Q97)</x:f>
        <x:v>614695.1047203236</x:v>
      </x:c>
      <x:c r="AO97" s="1" t="n">
        <x:f t="shared" si="117">AL97*AM97</x:f>
        <x:v>11375860.965689667</x:v>
      </x:c>
      <x:c r="AP97" s="1" t="n">
        <x:f>IF(AO97="","",INDEX('_曲线基线'!$A$3:$A$502,MIN(ROWS('_曲线基线'!$A$3:$A$502),COUNTIF('_曲线基线'!$E$3:$E$502,"&lt;"&amp;AO97)+1)))</x:f>
        <x:v>150</x:v>
      </x:c>
      <x:c r="AQ97" s="14" t="n">
        <x:f t="shared" si="118">IF(B97&lt;=2,1,IF(B97&lt;=6,2,IF(B97&lt;=9,3,IF(B97&lt;=19,4,5))))</x:f>
        <x:v>5</x:v>
      </x:c>
      <x:c r="AR97" s="10" t="n">
        <x:f t="shared" si="119">AN97*(1-Q97)/F97*$AS$3+U97*$AS$4+P97*$AS$5</x:f>
        <x:v>6477.640485908838</x:v>
      </x:c>
      <x:c r="AS97" s="15" t="n">
        <x:f t="shared" si="120">1+AH97*$AS$6+AI97*$AS$7+(AJ97-1)*$AS$8+($H$10*H97+$I$10*I97+$J$10*J97+$K$10*K97+$L$10*L97)*$AU$3*$AS$9+($H$10*H97+$I$10*I97+$J$10*J97+$K$10*K97+$L$10*L97)*$AU$4*$AS$10</x:f>
        <x:v>10.237701443717965</x:v>
      </x:c>
      <x:c r="AT97" s="16" t="n">
        <x:f t="shared" si="121">ROUND(AR97*AS97,0)</x:f>
        <x:v>66316</x:v>
      </x:c>
      <x:c r="AU97" s="16" t="n">
        <x:f t="shared" si="122">ROUND(AT97*F97,0)</x:f>
        <x:v>331580</x:v>
      </x:c>
      <x:c r="AV97" t="n">
        <x:f>IF(AU97&gt;0,ROUND(AU97,-MAX(0,INT(LOG10(AU97))-2)),0)</x:f>
        <x:v>332000</x:v>
      </x:c>
    </x:row>
    <x:row r="98" customHeight="1">
      <x:c r="A98" s="1" t="n">
        <x:f>IFERROR(XLOOKUP(B98,'_曲线基线'!$G$3:$G$107,'_曲线基线'!$J$3:$J$107,""),"")</x:f>
        <x:v>35</x:v>
      </x:c>
      <x:c r="B98" s="1" t="n">
        <x:v>87</x:v>
      </x:c>
      <x:c r="C98" s="1" t="n">
        <x:f t="shared" si="67">C83+1</x:f>
        <x:v>7</x:v>
      </x:c>
      <x:c r="D98" s="1" t="n">
        <x:f t="shared" si="68">D83</x:f>
        <x:v>3</x:v>
      </x:c>
      <x:c r="E98" s="1" t="n">
        <x:f t="shared" si="94">IF($B98&lt;E$8,0,E$3+(E$4-E$3)*(POWER(E$5,$B98-E$8)-1)/(POWER(E$5,$C$5-E$8)-1))</x:f>
        <x:v>1</x:v>
      </x:c>
      <x:c r="F98" s="10" t="n">
        <x:f t="shared" si="95">1+IF(B98&lt;3,0,MIN(1,(B98-2)/4))+IF(B98&lt;7,0,MIN(1,(B98-6)/3))+IF(B98&lt;10,0,MIN(1,(B98-9)/5))+IF(B98&lt;20,0,MIN(1,(B98-19)/10))</x:f>
        <x:v>5</x:v>
      </x:c>
      <x:c r="G98" s="11" t="n">
        <x:f t="shared" ref="G98:L98" si="144">'玩家战力_节点'!G98</x:f>
        <x:v>0.565045221305457</x:v>
      </x:c>
      <x:c r="H98" s="11" t="n">
        <x:f t="shared" si="144">'玩家战力_节点'!H98</x:f>
        <x:v>0.43840186273375503</x:v>
      </x:c>
      <x:c r="I98" s="11" t="n">
        <x:f t="shared" si="144">'玩家战力_节点'!I98</x:f>
        <x:v>0.18214141146197466</x:v>
      </x:c>
      <x:c r="J98" s="11" t="n">
        <x:f t="shared" si="144">'玩家战力_节点'!J98</x:f>
        <x:v>0.2965880253066679</x:v>
      </x:c>
      <x:c r="K98" s="11" t="n">
        <x:f t="shared" si="144">'玩家战力_节点'!K98</x:f>
        <x:v>0</x:v>
      </x:c>
      <x:c r="L98" s="11" t="n">
        <x:f t="shared" si="144">'玩家战力_节点'!L98</x:f>
        <x:v>0.4120485541584234</x:v>
      </x:c>
      <x:c r="M98" s="2" t="n">
        <x:f>E98*'模块规划'!$F$10+G98*'模块规划'!$F$11+H98*'模块规划'!$F$13</x:f>
        <x:v>3712.2170622661934</x:v>
      </x:c>
      <x:c r="N98" s="2" t="n">
        <x:f>I98*'模块规划'!$F$15+J98*'模块规划'!$F$17+K98*'模块规划'!$F$16+L98*'模块规划'!$F$18</x:f>
        <x:v>6483.254315554593</x:v>
      </x:c>
      <x:c r="O98" s="2" t="n">
        <x:f t="shared" si="97">1+O$9*SUMPRODUCT($H$10:$L$10,H98:L98)/SUM($H$10:$L$10)</x:f>
        <x:v>2.005666183468954</x:v>
      </x:c>
      <x:c r="P98" s="12" t="n">
        <x:f t="shared" si="98">M98*O98+N98</x:f>
        <x:v>13928.722543038362</x:v>
      </x:c>
      <x:c r="Q98" s="7" t="n">
        <x:f>P98/(P98+'_曲线基线'!$L$2)</x:f>
        <x:v>0.3672341594746094</x:v>
      </x:c>
      <x:c r="R98" s="2" t="n">
        <x:f>E98*'模块规划'!$E$10+G98*'模块规划'!$E$11+H98*'模块规划'!$E$13</x:f>
        <x:v>5568.32559339929</x:v>
      </x:c>
      <x:c r="S98" s="2" t="n">
        <x:f>I98*'模块规划'!$E$15+J98*'模块规划'!$E$17+K98*'模块规划'!$E$16+L98*'模块规划'!$E$18</x:f>
        <x:v>9724.88147333189</x:v>
      </x:c>
      <x:c r="T98" s="2" t="n">
        <x:f t="shared" si="99">1+T$9*SUMPRODUCT($H$10:$L$10,H98:L98)/SUM($H$10:$L$10)</x:f>
        <x:v>2.005666183468954</x:v>
      </x:c>
      <x:c r="U98" s="12" t="n">
        <x:f t="shared" si="100">R98*T98+S98</x:f>
        <x:v>20893.08381455754</x:v>
      </x:c>
      <x:c r="V98" s="2" t="n">
        <x:f t="shared" si="101">V$8+(V$9-V$8)*H98</x:f>
        <x:v>0.8315205588201264</x:v>
      </x:c>
      <x:c r="W98" s="2" t="n">
        <x:f t="shared" si="102">IF(B98&lt;$H$8,0,W$8+(W$9-W$8)*H98)</x:f>
        <x:v>0.17536074509350202</x:v>
      </x:c>
      <x:c r="X98" s="2" t="n">
        <x:f t="shared" si="103">X$8+(X$9-X$8)*H98</x:f>
        <x:v>0.3955605122517827</x:v>
      </x:c>
      <x:c r="Y98" s="2" t="n">
        <x:f t="shared" si="104">Y$8+(Y$9-Y$8)*G98</x:f>
        <x:v>1</x:v>
      </x:c>
      <x:c r="Z98" s="2" t="n">
        <x:f t="shared" si="105">Z$8+(Z$9-Z$8)*H98</x:f>
        <x:v>1</x:v>
      </x:c>
      <x:c r="AA98" s="2" t="n">
        <x:f t="shared" si="106">AA$8+(AA$9-AA$8)*I98</x:f>
        <x:v>1</x:v>
      </x:c>
      <x:c r="AB98" s="2" t="n">
        <x:f t="shared" si="107">AB$8+(AB$9-AB$8)*J98</x:f>
        <x:v>1</x:v>
      </x:c>
      <x:c r="AC98" s="2" t="n">
        <x:f t="shared" si="108">AC$8+(AC$9-AC$8)*MAX(K98,L98)</x:f>
        <x:v>1</x:v>
      </x:c>
      <x:c r="AD98" s="1" t="n">
        <x:f t="shared" si="109">(V98*AE98+W98*AF98+X98*AG98)*PRODUCT(Y98:AC98)</x:f>
        <x:v>1.4802287717152176</x:v>
      </x:c>
      <x:c r="AE98" s="2" t="n">
        <x:f t="shared" si="110">1+AE$9*($H$10*H98+$I$10*I98+$J$10*J98+$K$10*K98+$L$10*L98)</x:f>
        <x:v>1</x:v>
      </x:c>
      <x:c r="AF98" s="2" t="n">
        <x:f t="shared" si="111">1+AF$9*($H$10*H98+$I$10*I98+$J$10*J98+$K$10*K98+$L$10*L98)</x:f>
        <x:v>1.0887592016179077</x:v>
      </x:c>
      <x:c r="AG98" s="2" t="n">
        <x:f t="shared" si="112">1+AG$9*($H$10*H98+$I$10*I98+$J$10*J98+$K$10*K98+$L$10*L98)</x:f>
        <x:v>1.1573010295339599</x:v>
      </x:c>
      <x:c r="AH98" s="2" t="n">
        <x:f>MIN(1,'_曲线基线'!$L$3+AH$9*($H$10*H98+$I$10*I98+$J$10*J98+$K$10*K98+$L$10*L98))</x:f>
        <x:v>0.2519271836807399</x:v>
      </x:c>
      <x:c r="AI98" s="2" t="n">
        <x:f>'_曲线基线'!$L$4+AI$9*($H$10*H98+$I$10*I98+$J$10*J98+$K$10*K98+$L$10*L98)</x:f>
        <x:v>2.56251144025349</x:v>
      </x:c>
      <x:c r="AJ98" s="2" t="n">
        <x:f t="shared" si="113">1+AJ$9*($H$10*H98+$I$10*I98+$J$10*J98+$K$10*K98+$L$10*L98)</x:f>
        <x:v>1.46154784841312</x:v>
      </x:c>
      <x:c r="AK98" s="1" t="n">
        <x:f t="shared" si="114">(1+AH98*(AI98-1))*AJ98</x:f>
        <x:v>2.036870237733149</x:v>
      </x:c>
      <x:c r="AL98" s="1" t="n">
        <x:f t="shared" si="115">U98*AD98*AK98*F98</x:f>
        <x:v>314966.783031065</x:v>
      </x:c>
      <x:c r="AM98" s="13" t="n">
        <x:f t="shared" si="116">IF($B98&lt;AM$8,0,AM$3+(AM$4-AM$3)*(POWER(AM$5,$B98-AM$8)-1)/(POWER(AM$5,$C$5-AM$8)-1))</x:f>
        <x:v>36.81647174534483</x:v>
      </x:c>
      <x:c r="AN98" s="13" t="n">
        <x:f>(((E98*'模块规划'!$D$10+G98*'模块规划'!$D$11+H98*'模块规划'!$D$13)*(1+'模块规划'!$G$14*H98)+(I98*'模块规划'!$D$15+J98*'模块规划'!$D$17+K98*'模块规划'!$D$16+L98*'模块规划'!$D$18))*(1+'模块规划'!$J$17*J98))*F98/(1-Q98)</x:f>
        <x:v>624642.2094254444</x:v>
      </x:c>
      <x:c r="AO98" s="1" t="n">
        <x:f t="shared" si="117">AL98*AM98</x:f>
        <x:v>11595965.66818536</x:v>
      </x:c>
      <x:c r="AP98" s="1" t="n">
        <x:f>IF(AO98="","",INDEX('_曲线基线'!$A$3:$A$502,MIN(ROWS('_曲线基线'!$A$3:$A$502),COUNTIF('_曲线基线'!$E$3:$E$502,"&lt;"&amp;AO98)+1)))</x:f>
        <x:v>151</x:v>
      </x:c>
      <x:c r="AQ98" s="14" t="n">
        <x:f t="shared" si="118">IF(B98&lt;=2,1,IF(B98&lt;=6,2,IF(B98&lt;=9,3,IF(B98&lt;=19,4,5))))</x:f>
        <x:v>5</x:v>
      </x:c>
      <x:c r="AR98" s="10" t="n">
        <x:f t="shared" si="119">AN98*(1-Q98)/F98*$AS$3+U98*$AS$4+P98*$AS$5</x:f>
        <x:v>6550.130278959878</x:v>
      </x:c>
      <x:c r="AS98" s="15" t="n">
        <x:f t="shared" si="120">1+AH98*$AS$6+AI98*$AS$7+(AJ98-1)*$AS$8+($H$10*H98+$I$10*I98+$J$10*J98+$K$10*K98+$L$10*L98)*$AU$3*$AS$9+($H$10*H98+$I$10*I98+$J$10*J98+$K$10*K98+$L$10*L98)*$AU$4*$AS$10</x:f>
        <x:v>10.285043149312823</x:v>
      </x:c>
      <x:c r="AT98" s="16" t="n">
        <x:f t="shared" si="121">ROUND(AR98*AS98,0)</x:f>
        <x:v>67368</x:v>
      </x:c>
      <x:c r="AU98" s="16" t="n">
        <x:f t="shared" si="122">ROUND(AT98*F98,0)</x:f>
        <x:v>336840</x:v>
      </x:c>
      <x:c r="AV98" t="n">
        <x:f>IF(AU98&gt;0,ROUND(AU98,-MAX(0,INT(LOG10(AU98))-2)),0)</x:f>
        <x:v>337000</x:v>
      </x:c>
    </x:row>
    <x:row r="99" customHeight="1">
      <x:c r="A99" s="1" t="n">
        <x:f>IFERROR(XLOOKUP(B99,'_曲线基线'!$G$3:$G$107,'_曲线基线'!$J$3:$J$107,""),"")</x:f>
        <x:v>35</x:v>
      </x:c>
      <x:c r="B99" s="1" t="n">
        <x:v>88</x:v>
      </x:c>
      <x:c r="C99" s="1" t="n">
        <x:f t="shared" si="67">C84+1</x:f>
        <x:v>7</x:v>
      </x:c>
      <x:c r="D99" s="1" t="n">
        <x:f t="shared" si="68">D84</x:f>
        <x:v>4</x:v>
      </x:c>
      <x:c r="E99" s="1" t="n">
        <x:f t="shared" si="94">IF($B99&lt;E$8,0,E$3+(E$4-E$3)*(POWER(E$5,$B99-E$8)-1)/(POWER(E$5,$C$5-E$8)-1))</x:f>
        <x:v>1</x:v>
      </x:c>
      <x:c r="F99" s="10" t="n">
        <x:f t="shared" si="95">1+IF(B99&lt;3,0,MIN(1,(B99-2)/4))+IF(B99&lt;7,0,MIN(1,(B99-6)/3))+IF(B99&lt;10,0,MIN(1,(B99-9)/5))+IF(B99&lt;20,0,MIN(1,(B99-19)/10))</x:f>
        <x:v>5</x:v>
      </x:c>
      <x:c r="G99" s="11" t="n">
        <x:f t="shared" ref="G99:L99" si="145">'玩家战力_节点'!G99</x:f>
        <x:v>0.5676678144176553</x:v>
      </x:c>
      <x:c r="H99" s="11" t="n">
        <x:f t="shared" si="145">'玩家战力_节点'!H99</x:f>
        <x:v>0.4406134736951393</x:v>
      </x:c>
      <x:c r="I99" s="11" t="n">
        <x:f t="shared" si="145">'玩家战力_节点'!I99</x:f>
        <x:v>0.18782783699418132</x:v>
      </x:c>
      <x:c r="J99" s="11" t="n">
        <x:f t="shared" si="145">'玩家战力_节点'!J99</x:f>
        <x:v>0.299444882138562</x:v>
      </x:c>
      <x:c r="K99" s="11" t="n">
        <x:f t="shared" si="145">'玩家战力_节点'!K99</x:f>
        <x:v>0</x:v>
      </x:c>
      <x:c r="L99" s="11" t="n">
        <x:f t="shared" si="145">'玩家战力_节点'!L99</x:f>
        <x:v>0.4146963726855447</x:v>
      </x:c>
      <x:c r="M99" s="2" t="n">
        <x:f>E99*'模块规划'!$F$10+G99*'模块规划'!$F$11+H99*'模块规划'!$F$13</x:f>
        <x:v>3724.8055092047457</x:v>
      </x:c>
      <x:c r="N99" s="2" t="n">
        <x:f>I99*'模块规划'!$F$15+J99*'模块规划'!$F$17+K99*'模块规划'!$F$16+L99*'模块规划'!$F$18</x:f>
        <x:v>6570.553380766794</x:v>
      </x:c>
      <x:c r="O99" s="2" t="n">
        <x:f t="shared" si="97">1+O$9*SUMPRODUCT($H$10:$L$10,H99:L99)/SUM($H$10:$L$10)</x:f>
        <x:v>2.014643327467901</x:v>
      </x:c>
      <x:c r="P99" s="12" t="n">
        <x:f t="shared" si="98">M99*O99+N99</x:f>
        <x:v>14074.707946001814</x:v>
      </x:c>
      <x:c r="Q99" s="7" t="n">
        <x:f>P99/(P99+'_曲线基线'!$L$2)</x:f>
        <x:v>0.36966029958687535</x:v>
      </x:c>
      <x:c r="R99" s="2" t="n">
        <x:f>E99*'模块规划'!$E$10+G99*'模块规划'!$E$11+H99*'模块规划'!$E$13</x:f>
        <x:v>5587.208263807119</x:v>
      </x:c>
      <x:c r="S99" s="2" t="n">
        <x:f>I99*'模块规划'!$E$15+J99*'模块规划'!$E$17+K99*'模块规划'!$E$16+L99*'模块规划'!$E$18</x:f>
        <x:v>9855.83007115019</x:v>
      </x:c>
      <x:c r="T99" s="2" t="n">
        <x:f t="shared" si="99">1+T$9*SUMPRODUCT($H$10:$L$10,H99:L99)/SUM($H$10:$L$10)</x:f>
        <x:v>2.014643327467901</x:v>
      </x:c>
      <x:c r="U99" s="12" t="n">
        <x:f t="shared" si="100">R99*T99+S99</x:f>
        <x:v>21112.06191900272</x:v>
      </x:c>
      <x:c r="V99" s="2" t="n">
        <x:f t="shared" si="101">V$8+(V$9-V$8)*H99</x:f>
        <x:v>0.8321840421085418</x:v>
      </x:c>
      <x:c r="W99" s="2" t="n">
        <x:f t="shared" si="102">IF(B99&lt;$H$8,0,W$8+(W$9-W$8)*H99)</x:f>
        <x:v>0.17624538947805574</x:v>
      </x:c>
      <x:c r="X99" s="2" t="n">
        <x:f t="shared" si="103">X$8+(X$9-X$8)*H99</x:f>
        <x:v>0.3961687052661633</x:v>
      </x:c>
      <x:c r="Y99" s="2" t="n">
        <x:f t="shared" si="104">Y$8+(Y$9-Y$8)*G99</x:f>
        <x:v>1</x:v>
      </x:c>
      <x:c r="Z99" s="2" t="n">
        <x:f t="shared" si="105">Z$8+(Z$9-Z$8)*H99</x:f>
        <x:v>1</x:v>
      </x:c>
      <x:c r="AA99" s="2" t="n">
        <x:f t="shared" si="106">AA$8+(AA$9-AA$8)*I99</x:f>
        <x:v>1</x:v>
      </x:c>
      <x:c r="AB99" s="2" t="n">
        <x:f t="shared" si="107">AB$8+(AB$9-AB$8)*J99</x:f>
        <x:v>1</x:v>
      </x:c>
      <x:c r="AC99" s="2" t="n">
        <x:f t="shared" si="108">AC$8+(AC$9-AC$8)*MAX(K99,L99)</x:f>
        <x:v>1</x:v>
      </x:c>
      <x:c r="AD99" s="1" t="n">
        <x:f t="shared" si="109">(V99*AE99+W99*AF99+X99*AG99)*PRODUCT(Y99:AC99)</x:f>
        <x:v>1.4832552073067595</x:v>
      </x:c>
      <x:c r="AE99" s="2" t="n">
        <x:f t="shared" si="110">1+AE$9*($H$10*H99+$I$10*I99+$J$10*J99+$K$10*K99+$L$10*L99)</x:f>
        <x:v>1</x:v>
      </x:c>
      <x:c r="AF99" s="2" t="n">
        <x:f t="shared" si="111">1+AF$9*($H$10*H99+$I$10*I99+$J$10*J99+$K$10*K99+$L$10*L99)</x:f>
        <x:v>1.089551516351418</x:v>
      </x:c>
      <x:c r="AG99" s="2" t="n">
        <x:f t="shared" si="112">1+AG$9*($H$10*H99+$I$10*I99+$J$10*J99+$K$10*K99+$L$10*L99)</x:f>
        <x:v>1.158705187311681</x:v>
      </x:c>
      <x:c r="AH99" s="2" t="n">
        <x:f>MIN(1,'_曲线基线'!$L$3+AH$9*($H$10*H99+$I$10*I99+$J$10*J99+$K$10*K99+$L$10*L99))</x:f>
        <x:v>0.2537296996994759</x:v>
      </x:c>
      <x:c r="AI99" s="2" t="n">
        <x:f>'_曲线基线'!$L$4+AI$9*($H$10*H99+$I$10*I99+$J$10*J99+$K$10*K99+$L$10*L99)</x:f>
        <x:v>2.5675327348771115</x:v>
      </x:c>
      <x:c r="AJ99" s="2" t="n">
        <x:f t="shared" si="113">1+AJ$9*($H$10*H99+$I$10*I99+$J$10*J99+$K$10*K99+$L$10*L99)</x:f>
        <x:v>1.4656678850273734</x:v>
      </x:c>
      <x:c r="AK99" s="1" t="n">
        <x:f t="shared" si="114">(1+AH99*(AI99-1))*AJ99</x:f>
        <x:v>2.0486074014599653</x:v>
      </x:c>
      <x:c r="AL99" s="1" t="n">
        <x:f t="shared" si="115">U99*AD99*AK99*F99</x:f>
        <x:v>320756.35856546747</x:v>
      </x:c>
      <x:c r="AM99" s="13" t="n">
        <x:f t="shared" si="116">IF($B99&lt;AM$8,0,AM$3+(AM$4-AM$3)*(POWER(AM$5,$B99-AM$8)-1)/(POWER(AM$5,$C$5-AM$8)-1))</x:f>
        <x:v>36.848061102720145</x:v>
      </x:c>
      <x:c r="AN99" s="13" t="n">
        <x:f>(((E99*'模块规划'!$D$10+G99*'模块规划'!$D$11+H99*'模块规划'!$D$13)*(1+'模块规划'!$G$14*H99)+(I99*'模块规划'!$D$15+J99*'模块规划'!$D$17+K99*'模块规划'!$D$16+L99*'模块规划'!$D$18))*(1+'模块规划'!$J$17*J99))*F99/(1-Q99)</x:f>
        <x:v>634684.5261300027</x:v>
      </x:c>
      <x:c r="AO99" s="1" t="n">
        <x:f t="shared" si="117">AL99*AM99</x:f>
        <x:v>11819249.899506357</x:v>
      </x:c>
      <x:c r="AP99" s="1" t="n">
        <x:f>IF(AO99="","",INDEX('_曲线基线'!$A$3:$A$502,MIN(ROWS('_曲线基线'!$A$3:$A$502),COUNTIF('_曲线基线'!$E$3:$E$502,"&lt;"&amp;AO99)+1)))</x:f>
        <x:v>152</x:v>
      </x:c>
      <x:c r="AQ99" s="14" t="n">
        <x:f t="shared" si="118">IF(B99&lt;=2,1,IF(B99&lt;=6,2,IF(B99&lt;=9,3,IF(B99&lt;=19,4,5))))</x:f>
        <x:v>5</x:v>
      </x:c>
      <x:c r="AR99" s="10" t="n">
        <x:f t="shared" si="119">AN99*(1-Q99)/F99*$AS$3+U99*$AS$4+P99*$AS$5</x:f>
        <x:v>6622.813508146335</x:v>
      </x:c>
      <x:c r="AS99" s="15" t="n">
        <x:f t="shared" si="120">1+AH99*$AS$6+AI99*$AS$7+(AJ99-1)*$AS$8+($H$10*H99+$I$10*I99+$J$10*J99+$K$10*K99+$L$10*L99)*$AU$3*$AS$9+($H$10*H99+$I$10*I99+$J$10*J99+$K$10*K99+$L$10*L99)*$AU$4*$AS$10</x:f>
        <x:v>10.332384854907678</x:v>
      </x:c>
      <x:c r="AT99" s="16" t="n">
        <x:f t="shared" si="121">ROUND(AR99*AS99,0)</x:f>
        <x:v>68429</x:v>
      </x:c>
      <x:c r="AU99" s="16" t="n">
        <x:f t="shared" si="122">ROUND(AT99*F99,0)</x:f>
        <x:v>342145</x:v>
      </x:c>
      <x:c r="AV99" t="n">
        <x:f>IF(AU99&gt;0,ROUND(AU99,-MAX(0,INT(LOG10(AU99))-2)),0)</x:f>
        <x:v>342000</x:v>
      </x:c>
    </x:row>
    <x:row r="100" customHeight="1">
      <x:c r="A100" s="1" t="n">
        <x:f>IFERROR(XLOOKUP(B100,'_曲线基线'!$G$3:$G$107,'_曲线基线'!$J$3:$J$107,""),"")</x:f>
        <x:v>35</x:v>
      </x:c>
      <x:c r="B100" s="1" t="n">
        <x:v>89</x:v>
      </x:c>
      <x:c r="C100" s="1" t="n">
        <x:f t="shared" si="67">C85+1</x:f>
        <x:v>7</x:v>
      </x:c>
      <x:c r="D100" s="1" t="n">
        <x:f t="shared" si="68">D85</x:f>
        <x:v>5</x:v>
      </x:c>
      <x:c r="E100" s="1" t="n">
        <x:f t="shared" si="94">IF($B100&lt;E$8,0,E$3+(E$4-E$3)*(POWER(E$5,$B100-E$8)-1)/(POWER(E$5,$C$5-E$8)-1))</x:f>
        <x:v>1</x:v>
      </x:c>
      <x:c r="F100" s="10" t="n">
        <x:f t="shared" si="95">1+IF(B100&lt;3,0,MIN(1,(B100-2)/4))+IF(B100&lt;7,0,MIN(1,(B100-6)/3))+IF(B100&lt;10,0,MIN(1,(B100-9)/5))+IF(B100&lt;20,0,MIN(1,(B100-19)/10))</x:f>
        <x:v>5</x:v>
      </x:c>
      <x:c r="G100" s="11" t="n">
        <x:f t="shared" ref="G100:L100" si="146">'玩家战力_节点'!G100</x:f>
        <x:v>0.5702904075298536</x:v>
      </x:c>
      <x:c r="H100" s="11" t="n">
        <x:f t="shared" si="146">'玩家战力_节点'!H100</x:f>
        <x:v>0.44282508465652365</x:v>
      </x:c>
      <x:c r="I100" s="11" t="n">
        <x:f t="shared" si="146">'玩家战力_节点'!I100</x:f>
        <x:v>0.193514262526388</x:v>
      </x:c>
      <x:c r="J100" s="11" t="n">
        <x:f t="shared" si="146">'玩家战力_节点'!J100</x:f>
        <x:v>0.3023017389704561</x:v>
      </x:c>
      <x:c r="K100" s="11" t="n">
        <x:f t="shared" si="146">'玩家战力_节点'!K100</x:f>
        <x:v>0</x:v>
      </x:c>
      <x:c r="L100" s="11" t="n">
        <x:f t="shared" si="146">'玩家战力_节点'!L100</x:f>
        <x:v>0.4173441912126661</x:v>
      </x:c>
      <x:c r="M100" s="2" t="n">
        <x:f>E100*'模块规划'!$F$10+G100*'模块规划'!$F$11+H100*'模块规划'!$F$13</x:f>
        <x:v>3737.393956143297</x:v>
      </x:c>
      <x:c r="N100" s="2" t="n">
        <x:f>I100*'模块规划'!$F$15+J100*'模块规划'!$F$17+K100*'模块规划'!$F$16+L100*'模块规划'!$F$18</x:f>
        <x:v>6657.852445978995</x:v>
      </x:c>
      <x:c r="O100" s="2" t="n">
        <x:f t="shared" si="97">1+O$9*SUMPRODUCT($H$10:$L$10,H100:L100)/SUM($H$10:$L$10)</x:f>
        <x:v>2.023620471466848</x:v>
      </x:c>
      <x:c r="P100" s="12" t="n">
        <x:f t="shared" si="98">M100*O100+N100</x:f>
        <x:v>14220.919365567042</x:v>
      </x:c>
      <x:c r="Q100" s="7" t="n">
        <x:f>P100/(P100+'_曲线基线'!$L$2)</x:f>
        <x:v>0.37207161945922657</x:v>
      </x:c>
      <x:c r="R100" s="2" t="n">
        <x:f>E100*'模块规划'!$E$10+G100*'模块规划'!$E$11+H100*'模块规划'!$E$13</x:f>
        <x:v>5606.090934214946</x:v>
      </x:c>
      <x:c r="S100" s="2" t="n">
        <x:f>I100*'模块规划'!$E$15+J100*'模块规划'!$E$17+K100*'模块规划'!$E$16+L100*'模块规划'!$E$18</x:f>
        <x:v>9986.778668968493</x:v>
      </x:c>
      <x:c r="T100" s="2" t="n">
        <x:f t="shared" si="99">1+T$9*SUMPRODUCT($H$10:$L$10,H100:L100)/SUM($H$10:$L$10)</x:f>
        <x:v>2.023620471466848</x:v>
      </x:c>
      <x:c r="U100" s="12" t="n">
        <x:f t="shared" si="100">R100*T100+S100</x:f>
        <x:v>21331.379048350565</x:v>
      </x:c>
      <x:c r="V100" s="2" t="n">
        <x:f t="shared" si="101">V$8+(V$9-V$8)*H100</x:f>
        <x:v>0.8328475253969571</x:v>
      </x:c>
      <x:c r="W100" s="2" t="n">
        <x:f t="shared" si="102">IF(B100&lt;$H$8,0,W$8+(W$9-W$8)*H100)</x:f>
        <x:v>0.17713003386260948</x:v>
      </x:c>
      <x:c r="X100" s="2" t="n">
        <x:f t="shared" si="103">X$8+(X$9-X$8)*H100</x:f>
        <x:v>0.396776898280544</x:v>
      </x:c>
      <x:c r="Y100" s="2" t="n">
        <x:f t="shared" si="104">Y$8+(Y$9-Y$8)*G100</x:f>
        <x:v>1</x:v>
      </x:c>
      <x:c r="Z100" s="2" t="n">
        <x:f t="shared" si="105">Z$8+(Z$9-Z$8)*H100</x:f>
        <x:v>1</x:v>
      </x:c>
      <x:c r="AA100" s="2" t="n">
        <x:f t="shared" si="106">AA$8+(AA$9-AA$8)*I100</x:f>
        <x:v>1</x:v>
      </x:c>
      <x:c r="AB100" s="2" t="n">
        <x:f t="shared" si="107">AB$8+(AB$9-AB$8)*J100</x:f>
        <x:v>1</x:v>
      </x:c>
      <x:c r="AC100" s="2" t="n">
        <x:f t="shared" si="108">AC$8+(AC$9-AC$8)*MAX(K100,L100)</x:f>
        <x:v>1</x:v>
      </x:c>
      <x:c r="AD100" s="1" t="n">
        <x:f t="shared" si="109">(V100*AE100+W100*AF100+X100*AG100)*PRODUCT(Y100:AC100)</x:f>
        <x:v>1.486284752729764</x:v>
      </x:c>
      <x:c r="AE100" s="2" t="n">
        <x:f t="shared" si="110">1+AE$9*($H$10*H100+$I$10*I100+$J$10*J100+$K$10*K100+$L$10*L100)</x:f>
        <x:v>1</x:v>
      </x:c>
      <x:c r="AF100" s="2" t="n">
        <x:f t="shared" si="111">1+AF$9*($H$10*H100+$I$10*I100+$J$10*J100+$K$10*K100+$L$10*L100)</x:f>
        <x:v>1.0903438310849283</x:v>
      </x:c>
      <x:c r="AG100" s="2" t="n">
        <x:f t="shared" si="112">1+AG$9*($H$10*H100+$I$10*I100+$J$10*J100+$K$10*K100+$L$10*L100)</x:f>
        <x:v>1.160109345089402</x:v>
      </x:c>
      <x:c r="AH100" s="2" t="n">
        <x:f>MIN(1,'_曲线基线'!$L$3+AH$9*($H$10*H100+$I$10*I100+$J$10*J100+$K$10*K100+$L$10*L100))</x:f>
        <x:v>0.25553221571821183</x:v>
      </x:c>
      <x:c r="AI100" s="2" t="n">
        <x:f>'_曲线基线'!$L$4+AI$9*($H$10*H100+$I$10*I100+$J$10*J100+$K$10*K100+$L$10*L100)</x:f>
        <x:v>2.5725540295007328</x:v>
      </x:c>
      <x:c r="AJ100" s="2" t="n">
        <x:f t="shared" si="113">1+AJ$9*($H$10*H100+$I$10*I100+$J$10*J100+$K$10*K100+$L$10*L100)</x:f>
        <x:v>1.469787921641627</x:v>
      </x:c>
      <x:c r="AK100" s="1" t="n">
        <x:f t="shared" si="114">(1+AH100*(AI100-1))*AJ100</x:f>
        <x:v>2.0604048772300922</x:v>
      </x:c>
      <x:c r="AL100" s="1" t="n">
        <x:f t="shared" si="115">U100*AD100*AK100*F100</x:f>
        <x:v>326620.5675305642</x:v>
      </x:c>
      <x:c r="AM100" s="13" t="n">
        <x:f t="shared" si="116">IF($B100&lt;AM$8,0,AM$3+(AM$4-AM$3)*(POWER(AM$5,$B100-AM$8)-1)/(POWER(AM$5,$C$5-AM$8)-1))</x:f>
        <x:v>36.87996635366921</x:v>
      </x:c>
      <x:c r="AN100" s="13" t="n">
        <x:f>(((E100*'模块规划'!$D$10+G100*'模块规划'!$D$11+H100*'模块规划'!$D$13)*(1+'模块规划'!$G$14*H100)+(I100*'模块规划'!$D$15+J100*'模块规划'!$D$17+K100*'模块规划'!$D$16+L100*'模块规划'!$D$18))*(1+'模块规划'!$J$17*J100))*F100/(1-Q100)</x:f>
        <x:v>644822.5934662244</x:v>
      </x:c>
      <x:c r="AO100" s="1" t="n">
        <x:f t="shared" si="117">AL100*AM100</x:f>
        <x:v>12045755.54094355</x:v>
      </x:c>
      <x:c r="AP100" s="1" t="n">
        <x:f>IF(AO100="","",INDEX('_曲线基线'!$A$3:$A$502,MIN(ROWS('_曲线基线'!$A$3:$A$502),COUNTIF('_曲线基线'!$E$3:$E$502,"&lt;"&amp;AO100)+1)))</x:f>
        <x:v>153</x:v>
      </x:c>
      <x:c r="AQ100" s="14" t="n">
        <x:f t="shared" si="118">IF(B100&lt;=2,1,IF(B100&lt;=6,2,IF(B100&lt;=9,3,IF(B100&lt;=19,4,5))))</x:f>
        <x:v>5</x:v>
      </x:c>
      <x:c r="AR100" s="10" t="n">
        <x:f t="shared" si="119">AN100*(1-Q100)/F100*$AS$3+U100*$AS$4+P100*$AS$5</x:f>
        <x:v>6695.6902507782</x:v>
      </x:c>
      <x:c r="AS100" s="15" t="n">
        <x:f t="shared" si="120">1+AH100*$AS$6+AI100*$AS$7+(AJ100-1)*$AS$8+($H$10*H100+$I$10*I100+$J$10*J100+$K$10*K100+$L$10*L100)*$AU$3*$AS$9+($H$10*H100+$I$10*I100+$J$10*J100+$K$10*K100+$L$10*L100)*$AU$4*$AS$10</x:f>
        <x:v>10.379726560502533</x:v>
      </x:c>
      <x:c r="AT100" s="16" t="n">
        <x:f t="shared" si="121">ROUND(AR100*AS100,0)</x:f>
        <x:v>69499</x:v>
      </x:c>
      <x:c r="AU100" s="16" t="n">
        <x:f t="shared" si="122">ROUND(AT100*F100,0)</x:f>
        <x:v>347495</x:v>
      </x:c>
      <x:c r="AV100" t="n">
        <x:f>IF(AU100&gt;0,ROUND(AU100,-MAX(0,INT(LOG10(AU100))-2)),0)</x:f>
        <x:v>347000</x:v>
      </x:c>
    </x:row>
    <x:row r="101" customHeight="1">
      <x:c r="A101" s="1" t="n">
        <x:f>IFERROR(XLOOKUP(B101,'_曲线基线'!$G$3:$G$107,'_曲线基线'!$J$3:$J$107,""),"")</x:f>
        <x:v>36</x:v>
      </x:c>
      <x:c r="B101" s="1" t="n">
        <x:v>90</x:v>
      </x:c>
      <x:c r="C101" s="1" t="n">
        <x:f t="shared" si="67">C86+1</x:f>
        <x:v>7</x:v>
      </x:c>
      <x:c r="D101" s="1" t="n">
        <x:f t="shared" si="68">D86</x:f>
        <x:v>6</x:v>
      </x:c>
      <x:c r="E101" s="1" t="n">
        <x:f t="shared" si="94">IF($B101&lt;E$8,0,E$3+(E$4-E$3)*(POWER(E$5,$B101-E$8)-1)/(POWER(E$5,$C$5-E$8)-1))</x:f>
        <x:v>1</x:v>
      </x:c>
      <x:c r="F101" s="10" t="n">
        <x:f t="shared" si="95">1+IF(B101&lt;3,0,MIN(1,(B101-2)/4))+IF(B101&lt;7,0,MIN(1,(B101-6)/3))+IF(B101&lt;10,0,MIN(1,(B101-9)/5))+IF(B101&lt;20,0,MIN(1,(B101-19)/10))</x:f>
        <x:v>5</x:v>
      </x:c>
      <x:c r="G101" s="11" t="n">
        <x:f t="shared" ref="G101:L101" si="147">'玩家战力_节点'!G101</x:f>
        <x:v>0.572913000642052</x:v>
      </x:c>
      <x:c r="H101" s="11" t="n">
        <x:f t="shared" si="147">'玩家战力_节点'!H101</x:f>
        <x:v>0.445036695617908</x:v>
      </x:c>
      <x:c r="I101" s="11" t="n">
        <x:f t="shared" si="147">'玩家战力_节点'!I101</x:f>
        <x:v>0.19920068805859473</x:v>
      </x:c>
      <x:c r="J101" s="11" t="n">
        <x:f t="shared" si="147">'玩家战力_节点'!J101</x:f>
        <x:v>0.3051585958023503</x:v>
      </x:c>
      <x:c r="K101" s="11" t="n">
        <x:f t="shared" si="147">'玩家战力_节点'!K101</x:f>
        <x:v>0</x:v>
      </x:c>
      <x:c r="L101" s="11" t="n">
        <x:f t="shared" si="147">'玩家战力_节点'!L101</x:f>
        <x:v>0.41999200973978745</x:v>
      </x:c>
      <x:c r="M101" s="2" t="n">
        <x:f>E101*'模块规划'!$F$10+G101*'模块规划'!$F$11+H101*'模块规划'!$F$13</x:f>
        <x:v>3749.9824030818495</x:v>
      </x:c>
      <x:c r="N101" s="2" t="n">
        <x:f>I101*'模块规划'!$F$15+J101*'模块规划'!$F$17+K101*'模块规划'!$F$16+L101*'模块规划'!$F$18</x:f>
        <x:v>6745.151511191198</x:v>
      </x:c>
      <x:c r="O101" s="2" t="n">
        <x:f t="shared" si="97">1+O$9*SUMPRODUCT($H$10:$L$10,H101:L101)/SUM($H$10:$L$10)</x:f>
        <x:v>2.032597615465795</x:v>
      </x:c>
      <x:c r="P101" s="12" t="n">
        <x:f t="shared" si="98">M101*O101+N101</x:f>
        <x:v>14367.356801734059</x:v>
      </x:c>
      <x:c r="Q101" s="7" t="n">
        <x:f>P101/(P101+'_曲线基线'!$L$2)</x:f>
        <x:v>0.37446824590962463</x:v>
      </x:c>
      <x:c r="R101" s="2" t="n">
        <x:f>E101*'模块规划'!$E$10+G101*'模块规划'!$E$11+H101*'模块规划'!$E$13</x:f>
        <x:v>5624.9736046227745</x:v>
      </x:c>
      <x:c r="S101" s="2" t="n">
        <x:f>I101*'模块规划'!$E$15+J101*'模块规划'!$E$17+K101*'模块规划'!$E$16+L101*'模块规划'!$E$18</x:f>
        <x:v>10117.727266786798</x:v>
      </x:c>
      <x:c r="T101" s="2" t="n">
        <x:f t="shared" si="99">1+T$9*SUMPRODUCT($H$10:$L$10,H101:L101)/SUM($H$10:$L$10)</x:f>
        <x:v>2.032597615465795</x:v>
      </x:c>
      <x:c r="U101" s="12" t="n">
        <x:f t="shared" si="100">R101*T101+S101</x:f>
        <x:v>21551.035202601088</x:v>
      </x:c>
      <x:c r="V101" s="2" t="n">
        <x:f t="shared" si="101">V$8+(V$9-V$8)*H101</x:f>
        <x:v>0.8335110086853723</x:v>
      </x:c>
      <x:c r="W101" s="2" t="n">
        <x:f t="shared" si="102">IF(B101&lt;$H$8,0,W$8+(W$9-W$8)*H101)</x:f>
        <x:v>0.17801467824716322</x:v>
      </x:c>
      <x:c r="X101" s="2" t="n">
        <x:f t="shared" si="103">X$8+(X$9-X$8)*H101</x:f>
        <x:v>0.3973850912949247</x:v>
      </x:c>
      <x:c r="Y101" s="2" t="n">
        <x:f t="shared" si="104">Y$8+(Y$9-Y$8)*G101</x:f>
        <x:v>1</x:v>
      </x:c>
      <x:c r="Z101" s="2" t="n">
        <x:f t="shared" si="105">Z$8+(Z$9-Z$8)*H101</x:f>
        <x:v>1</x:v>
      </x:c>
      <x:c r="AA101" s="2" t="n">
        <x:f t="shared" si="106">AA$8+(AA$9-AA$8)*I101</x:f>
        <x:v>1</x:v>
      </x:c>
      <x:c r="AB101" s="2" t="n">
        <x:f t="shared" si="107">AB$8+(AB$9-AB$8)*J101</x:f>
        <x:v>1</x:v>
      </x:c>
      <x:c r="AC101" s="2" t="n">
        <x:f t="shared" si="108">AC$8+(AC$9-AC$8)*MAX(K101,L101)</x:f>
        <x:v>1</x:v>
      </x:c>
      <x:c r="AD101" s="1" t="n">
        <x:f t="shared" si="109">(V101*AE101+W101*AF101+X101*AG101)*PRODUCT(Y101:AC101)</x:f>
        <x:v>1.489317407984231</x:v>
      </x:c>
      <x:c r="AE101" s="2" t="n">
        <x:f t="shared" si="110">1+AE$9*($H$10*H101+$I$10*I101+$J$10*J101+$K$10*K101+$L$10*L101)</x:f>
        <x:v>1</x:v>
      </x:c>
      <x:c r="AF101" s="2" t="n">
        <x:f t="shared" si="111">1+AF$9*($H$10*H101+$I$10*I101+$J$10*J101+$K$10*K101+$L$10*L101)</x:f>
        <x:v>1.0911361458184388</x:v>
      </x:c>
      <x:c r="AG101" s="2" t="n">
        <x:f t="shared" si="112">1+AG$9*($H$10*H101+$I$10*I101+$J$10*J101+$K$10*K101+$L$10*L101)</x:f>
        <x:v>1.161513502867123</x:v>
      </x:c>
      <x:c r="AH101" s="2" t="n">
        <x:f>MIN(1,'_曲线基线'!$L$3+AH$9*($H$10*H101+$I$10*I101+$J$10*J101+$K$10*K101+$L$10*L101))</x:f>
        <x:v>0.25733473173694776</x:v>
      </x:c>
      <x:c r="AI101" s="2" t="n">
        <x:f>'_曲线基线'!$L$4+AI$9*($H$10*H101+$I$10*I101+$J$10*J101+$K$10*K101+$L$10*L101)</x:f>
        <x:v>2.5775753241243544</x:v>
      </x:c>
      <x:c r="AJ101" s="2" t="n">
        <x:f t="shared" si="113">1+AJ$9*($H$10*H101+$I$10*I101+$J$10*J101+$K$10*K101+$L$10*L101)</x:f>
        <x:v>1.4739079582558807</x:v>
      </x:c>
      <x:c r="AK101" s="1" t="n">
        <x:f t="shared" si="114">(1+AH101*(AI101-1))*AJ101</x:f>
        <x:v>2.0722628887853487</x:v>
      </x:c>
      <x:c r="AL101" s="1" t="n">
        <x:f t="shared" si="115">U101*AD101*AK101*F101</x:f>
        <x:v>332560.18718110106</x:v>
      </x:c>
      <x:c r="AM101" s="13" t="n">
        <x:f t="shared" si="116">IF($B101&lt;AM$8,0,AM$3+(AM$4-AM$3)*(POWER(AM$5,$B101-AM$8)-1)/(POWER(AM$5,$C$5-AM$8)-1))</x:f>
        <x:v>36.91219065712777</x:v>
      </x:c>
      <x:c r="AN101" s="13" t="n">
        <x:f>(((E101*'模块规划'!$D$10+G101*'模块规划'!$D$11+H101*'模块规划'!$D$13)*(1+'模块规划'!$G$14*H101)+(I101*'模块规划'!$D$15+J101*'模块规划'!$D$17+K101*'模块规划'!$D$16+L101*'模块规划'!$D$18))*(1+'模块规划'!$J$17*J101))*F101/(1-Q101)</x:f>
        <x:v>655056.9515639229</x:v>
      </x:c>
      <x:c r="AO101" s="1" t="n">
        <x:f t="shared" si="117">AL101*AM101</x:f>
        <x:v>12275525.034198903</x:v>
      </x:c>
      <x:c r="AP101" s="1" t="n">
        <x:f>IF(AO101="","",INDEX('_曲线基线'!$A$3:$A$502,MIN(ROWS('_曲线基线'!$A$3:$A$502),COUNTIF('_曲线基线'!$E$3:$E$502,"&lt;"&amp;AO101)+1)))</x:f>
        <x:v>154</x:v>
      </x:c>
      <x:c r="AQ101" s="14" t="n">
        <x:f t="shared" si="118">IF(B101&lt;=2,1,IF(B101&lt;=6,2,IF(B101&lt;=9,3,IF(B101&lt;=19,4,5))))</x:f>
        <x:v>5</x:v>
      </x:c>
      <x:c r="AR101" s="10" t="n">
        <x:f t="shared" si="119">AN101*(1-Q101)/F101*$AS$3+U101*$AS$4+P101*$AS$5</x:f>
        <x:v>6768.760584165466</x:v>
      </x:c>
      <x:c r="AS101" s="15" t="n">
        <x:f t="shared" si="120">1+AH101*$AS$6+AI101*$AS$7+(AJ101-1)*$AS$8+($H$10*H101+$I$10*I101+$J$10*J101+$K$10*K101+$L$10*L101)*$AU$3*$AS$9+($H$10*H101+$I$10*I101+$J$10*J101+$K$10*K101+$L$10*L101)*$AU$4*$AS$10</x:f>
        <x:v>10.427068266097391</x:v>
      </x:c>
      <x:c r="AT101" s="16" t="n">
        <x:f t="shared" si="121">ROUND(AR101*AS101,0)</x:f>
        <x:v>70578</x:v>
      </x:c>
      <x:c r="AU101" s="16" t="n">
        <x:f t="shared" si="122">ROUND(AT101*F101,0)</x:f>
        <x:v>352890</x:v>
      </x:c>
      <x:c r="AV101" t="n">
        <x:f>IF(AU101&gt;0,ROUND(AU101,-MAX(0,INT(LOG10(AU101))-2)),0)</x:f>
        <x:v>353000</x:v>
      </x:c>
    </x:row>
    <x:row r="102" customHeight="1">
      <x:c r="A102" s="1" t="n">
        <x:f>IFERROR(XLOOKUP(B102,'_曲线基线'!$G$3:$G$107,'_曲线基线'!$J$3:$J$107,""),"")</x:f>
        <x:v>36</x:v>
      </x:c>
      <x:c r="B102" s="1" t="n">
        <x:v>91</x:v>
      </x:c>
      <x:c r="C102" s="1" t="n">
        <x:f t="shared" si="67">C87+1</x:f>
        <x:v>7</x:v>
      </x:c>
      <x:c r="D102" s="1" t="n">
        <x:f t="shared" si="68">D87</x:f>
        <x:v>7</x:v>
      </x:c>
      <x:c r="E102" s="1" t="n">
        <x:f t="shared" si="94">IF($B102&lt;E$8,0,E$3+(E$4-E$3)*(POWER(E$5,$B102-E$8)-1)/(POWER(E$5,$C$5-E$8)-1))</x:f>
        <x:v>1</x:v>
      </x:c>
      <x:c r="F102" s="10" t="n">
        <x:f t="shared" si="95">1+IF(B102&lt;3,0,MIN(1,(B102-2)/4))+IF(B102&lt;7,0,MIN(1,(B102-6)/3))+IF(B102&lt;10,0,MIN(1,(B102-9)/5))+IF(B102&lt;20,0,MIN(1,(B102-19)/10))</x:f>
        <x:v>5</x:v>
      </x:c>
      <x:c r="G102" s="11" t="n">
        <x:f t="shared" ref="G102:L102" si="148">'玩家战力_节点'!G102</x:f>
        <x:v>0.5755355937542502</x:v>
      </x:c>
      <x:c r="H102" s="11" t="n">
        <x:f t="shared" si="148">'玩家战力_节点'!H102</x:f>
        <x:v>0.4472483065792922</x:v>
      </x:c>
      <x:c r="I102" s="11" t="n">
        <x:f t="shared" si="148">'玩家战力_节点'!I102</x:f>
        <x:v>0.20488711359080142</x:v>
      </x:c>
      <x:c r="J102" s="11" t="n">
        <x:f t="shared" si="148">'玩家战力_节点'!J102</x:f>
        <x:v>0.30801545263424435</x:v>
      </x:c>
      <x:c r="K102" s="11" t="n">
        <x:f t="shared" si="148">'玩家战力_节点'!K102</x:f>
        <x:v>0</x:v>
      </x:c>
      <x:c r="L102" s="11" t="n">
        <x:f t="shared" si="148">'玩家战力_节点'!L102</x:f>
        <x:v>0.4226398282669089</x:v>
      </x:c>
      <x:c r="M102" s="2" t="n">
        <x:f>E102*'模块规划'!$F$10+G102*'模块规划'!$F$11+H102*'模块规划'!$F$13</x:f>
        <x:v>3762.570850020401</x:v>
      </x:c>
      <x:c r="N102" s="2" t="n">
        <x:f>I102*'模块规划'!$F$15+J102*'模块规划'!$F$17+K102*'模块规划'!$F$16+L102*'模块规划'!$F$18</x:f>
        <x:v>6832.4505764034</x:v>
      </x:c>
      <x:c r="O102" s="2" t="n">
        <x:f t="shared" si="97">1+O$9*SUMPRODUCT($H$10:$L$10,H102:L102)/SUM($H$10:$L$10)</x:f>
        <x:v>2.041574759464742</x:v>
      </x:c>
      <x:c r="P102" s="12" t="n">
        <x:f t="shared" si="98">M102*O102+N102</x:f>
        <x:v>14514.02025450285</x:v>
      </x:c>
      <x:c r="Q102" s="7" t="n">
        <x:f>P102/(P102+'_曲线基线'!$L$2)</x:f>
        <x:v>0.3768503043461413</x:v>
      </x:c>
      <x:c r="R102" s="2" t="n">
        <x:f>E102*'模块规划'!$E$10+G102*'模块规划'!$E$11+H102*'模块规划'!$E$13</x:f>
        <x:v>5643.856275030602</x:v>
      </x:c>
      <x:c r="S102" s="2" t="n">
        <x:f>I102*'模块规划'!$E$15+J102*'模块规划'!$E$17+K102*'模块规划'!$E$16+L102*'模块规划'!$E$18</x:f>
        <x:v>10248.675864605098</x:v>
      </x:c>
      <x:c r="T102" s="2" t="n">
        <x:f t="shared" si="99">1+T$9*SUMPRODUCT($H$10:$L$10,H102:L102)/SUM($H$10:$L$10)</x:f>
        <x:v>2.041574759464742</x:v>
      </x:c>
      <x:c r="U102" s="12" t="n">
        <x:f t="shared" si="100">R102*T102+S102</x:f>
        <x:v>21771.030381754274</x:v>
      </x:c>
      <x:c r="V102" s="2" t="n">
        <x:f t="shared" si="101">V$8+(V$9-V$8)*H102</x:f>
        <x:v>0.8341744919737877</x:v>
      </x:c>
      <x:c r="W102" s="2" t="n">
        <x:f t="shared" si="102">IF(B102&lt;$H$8,0,W$8+(W$9-W$8)*H102)</x:f>
        <x:v>0.1788993226317169</x:v>
      </x:c>
      <x:c r="X102" s="2" t="n">
        <x:f t="shared" si="103">X$8+(X$9-X$8)*H102</x:f>
        <x:v>0.39799328430930536</x:v>
      </x:c>
      <x:c r="Y102" s="2" t="n">
        <x:f t="shared" si="104">Y$8+(Y$9-Y$8)*G102</x:f>
        <x:v>1</x:v>
      </x:c>
      <x:c r="Z102" s="2" t="n">
        <x:f t="shared" si="105">Z$8+(Z$9-Z$8)*H102</x:f>
        <x:v>1</x:v>
      </x:c>
      <x:c r="AA102" s="2" t="n">
        <x:f t="shared" si="106">AA$8+(AA$9-AA$8)*I102</x:f>
        <x:v>1</x:v>
      </x:c>
      <x:c r="AB102" s="2" t="n">
        <x:f t="shared" si="107">AB$8+(AB$9-AB$8)*J102</x:f>
        <x:v>1</x:v>
      </x:c>
      <x:c r="AC102" s="2" t="n">
        <x:f t="shared" si="108">AC$8+(AC$9-AC$8)*MAX(K102,L102)</x:f>
        <x:v>1</x:v>
      </x:c>
      <x:c r="AD102" s="1" t="n">
        <x:f t="shared" si="109">(V102*AE102+W102*AF102+X102*AG102)*PRODUCT(Y102:AC102)</x:f>
        <x:v>1.4923531730701605</x:v>
      </x:c>
      <x:c r="AE102" s="2" t="n">
        <x:f t="shared" si="110">1+AE$9*($H$10*H102+$I$10*I102+$J$10*J102+$K$10*K102+$L$10*L102)</x:f>
        <x:v>1</x:v>
      </x:c>
      <x:c r="AF102" s="2" t="n">
        <x:f t="shared" si="111">1+AF$9*($H$10*H102+$I$10*I102+$J$10*J102+$K$10*K102+$L$10*L102)</x:f>
        <x:v>1.091928460551949</x:v>
      </x:c>
      <x:c r="AG102" s="2" t="n">
        <x:f t="shared" si="112">1+AG$9*($H$10*H102+$I$10*I102+$J$10*J102+$K$10*K102+$L$10*L102)</x:f>
        <x:v>1.1629176606448441</x:v>
      </x:c>
      <x:c r="AH102" s="2" t="n">
        <x:f>MIN(1,'_曲线基线'!$L$3+AH$9*($H$10*H102+$I$10*I102+$J$10*J102+$K$10*K102+$L$10*L102))</x:f>
        <x:v>0.2591372477556837</x:v>
      </x:c>
      <x:c r="AI102" s="2" t="n">
        <x:f>'_曲线基线'!$L$4+AI$9*($H$10*H102+$I$10*I102+$J$10*J102+$K$10*K102+$L$10*L102)</x:f>
        <x:v>2.582596618747976</x:v>
      </x:c>
      <x:c r="AJ102" s="2" t="n">
        <x:f t="shared" si="113">1+AJ$9*($H$10*H102+$I$10*I102+$J$10*J102+$K$10*K102+$L$10*L102)</x:f>
        <x:v>1.4780279948701343</x:v>
      </x:c>
      <x:c r="AK102" s="1" t="n">
        <x:f t="shared" si="114">(1+AH102*(AI102-1))*AJ102</x:f>
        <x:v>2.0841816598675513</x:v>
      </x:c>
      <x:c r="AL102" s="1" t="n">
        <x:f t="shared" si="115">U102*AD102*AK102*F102</x:f>
        <x:v>338576.00125176786</x:v>
      </x:c>
      <x:c r="AM102" s="13" t="n">
        <x:f t="shared" si="116">IF($B102&lt;AM$8,0,AM$3+(AM$4-AM$3)*(POWER(AM$5,$B102-AM$8)-1)/(POWER(AM$5,$C$5-AM$8)-1))</x:f>
        <x:v>36.94473720362092</x:v>
      </x:c>
      <x:c r="AN102" s="13" t="n">
        <x:f>(((E102*'模块规划'!$D$10+G102*'模块规划'!$D$11+H102*'模块规划'!$D$13)*(1+'模块规划'!$G$14*H102)+(I102*'模块规划'!$D$15+J102*'模块规划'!$D$17+K102*'模块规划'!$D$16+L102*'模块规划'!$D$18))*(1+'模块规划'!$J$17*J102))*F102/(1-Q102)</x:f>
        <x:v>665388.1420517128</x:v>
      </x:c>
      <x:c r="AO102" s="1" t="n">
        <x:f t="shared" si="117">AL102*AM102</x:f>
        <x:v>12508601.38969939</x:v>
      </x:c>
      <x:c r="AP102" s="1" t="n">
        <x:f>IF(AO102="","",INDEX('_曲线基线'!$A$3:$A$502,MIN(ROWS('_曲线基线'!$A$3:$A$502),COUNTIF('_曲线基线'!$E$3:$E$502,"&lt;"&amp;AO102)+1)))</x:f>
        <x:v>156</x:v>
      </x:c>
      <x:c r="AQ102" s="14" t="n">
        <x:f t="shared" si="118">IF(B102&lt;=2,1,IF(B102&lt;=6,2,IF(B102&lt;=9,3,IF(B102&lt;=19,4,5))))</x:f>
        <x:v>5</x:v>
      </x:c>
      <x:c r="AR102" s="10" t="n">
        <x:f t="shared" si="119">AN102*(1-Q102)/F102*$AS$3+U102*$AS$4+P102*$AS$5</x:f>
        <x:v>6842.024585618123</x:v>
      </x:c>
      <x:c r="AS102" s="15" t="n">
        <x:f t="shared" si="120">1+AH102*$AS$6+AI102*$AS$7+(AJ102-1)*$AS$8+($H$10*H102+$I$10*I102+$J$10*J102+$K$10*K102+$L$10*L102)*$AU$3*$AS$9+($H$10*H102+$I$10*I102+$J$10*J102+$K$10*K102+$L$10*L102)*$AU$4*$AS$10</x:f>
        <x:v>10.474409971692248</x:v>
      </x:c>
      <x:c r="AT102" s="16" t="n">
        <x:f t="shared" si="121">ROUND(AR102*AS102,0)</x:f>
        <x:v>71666</x:v>
      </x:c>
      <x:c r="AU102" s="16" t="n">
        <x:f t="shared" si="122">ROUND(AT102*F102,0)</x:f>
        <x:v>358330</x:v>
      </x:c>
      <x:c r="AV102" t="n">
        <x:f>IF(AU102&gt;0,ROUND(AU102,-MAX(0,INT(LOG10(AU102))-2)),0)</x:f>
        <x:v>358000</x:v>
      </x:c>
    </x:row>
    <x:row r="103" customHeight="1">
      <x:c r="A103" s="1" t="n">
        <x:f>IFERROR(XLOOKUP(B103,'_曲线基线'!$G$3:$G$107,'_曲线基线'!$J$3:$J$107,""),"")</x:f>
        <x:v>36</x:v>
      </x:c>
      <x:c r="B103" s="1" t="n">
        <x:v>92</x:v>
      </x:c>
      <x:c r="C103" s="1" t="n">
        <x:f t="shared" si="67">C88+1</x:f>
        <x:v>7</x:v>
      </x:c>
      <x:c r="D103" s="1" t="n">
        <x:f t="shared" si="68">D88</x:f>
        <x:v>8</x:v>
      </x:c>
      <x:c r="E103" s="1" t="n">
        <x:f t="shared" si="94">IF($B103&lt;E$8,0,E$3+(E$4-E$3)*(POWER(E$5,$B103-E$8)-1)/(POWER(E$5,$C$5-E$8)-1))</x:f>
        <x:v>1</x:v>
      </x:c>
      <x:c r="F103" s="10" t="n">
        <x:f t="shared" si="95">1+IF(B103&lt;3,0,MIN(1,(B103-2)/4))+IF(B103&lt;7,0,MIN(1,(B103-6)/3))+IF(B103&lt;10,0,MIN(1,(B103-9)/5))+IF(B103&lt;20,0,MIN(1,(B103-19)/10))</x:f>
        <x:v>5</x:v>
      </x:c>
      <x:c r="G103" s="11" t="n">
        <x:f t="shared" ref="G103:L103" si="149">'玩家战力_节点'!G103</x:f>
        <x:v>0.5781581868664486</x:v>
      </x:c>
      <x:c r="H103" s="11" t="n">
        <x:f t="shared" si="149">'玩家战力_节点'!H103</x:f>
        <x:v>0.44945991754067655</x:v>
      </x:c>
      <x:c r="I103" s="11" t="n">
        <x:f t="shared" si="149">'玩家战力_节点'!I103</x:f>
        <x:v>0.21057353912300808</x:v>
      </x:c>
      <x:c r="J103" s="11" t="n">
        <x:f t="shared" si="149">'玩家战力_节点'!J103</x:f>
        <x:v>0.31087230946613853</x:v>
      </x:c>
      <x:c r="K103" s="11" t="n">
        <x:f t="shared" si="149">'玩家战力_节点'!K103</x:f>
        <x:v>0</x:v>
      </x:c>
      <x:c r="L103" s="11" t="n">
        <x:f t="shared" si="149">'玩家战力_节点'!L103</x:f>
        <x:v>0.4252876467940302</x:v>
      </x:c>
      <x:c r="M103" s="2" t="n">
        <x:f>E103*'模块规划'!$F$10+G103*'模块规划'!$F$11+H103*'模块规划'!$F$13</x:f>
        <x:v>3775.1592969589533</x:v>
      </x:c>
      <x:c r="N103" s="2" t="n">
        <x:f>I103*'模块规划'!$F$15+J103*'模块规划'!$F$17+K103*'模块规划'!$F$16+L103*'模块规划'!$F$18</x:f>
        <x:v>6919.749641615601</x:v>
      </x:c>
      <x:c r="O103" s="2" t="n">
        <x:f t="shared" si="97">1+O$9*SUMPRODUCT($H$10:$L$10,H103:L103)/SUM($H$10:$L$10)</x:f>
        <x:v>2.050551903463689</x:v>
      </x:c>
      <x:c r="P103" s="12" t="n">
        <x:f t="shared" si="98">M103*O103+N103</x:f>
        <x:v>14660.909723873425</x:v>
      </x:c>
      <x:c r="Q103" s="7" t="n">
        <x:f>P103/(P103+'_曲线基线'!$L$2)</x:f>
        <x:v>0.3792179187863289</x:v>
      </x:c>
      <x:c r="R103" s="2" t="n">
        <x:f>E103*'模块规划'!$E$10+G103*'模块规划'!$E$11+H103*'模块规划'!$E$13</x:f>
        <x:v>5662.73894543843</x:v>
      </x:c>
      <x:c r="S103" s="2" t="n">
        <x:f>I103*'模块规划'!$E$15+J103*'模块规划'!$E$17+K103*'模块规划'!$E$16+L103*'模块规划'!$E$18</x:f>
        <x:v>10379.624462423402</x:v>
      </x:c>
      <x:c r="T103" s="2" t="n">
        <x:f t="shared" si="99">1+T$9*SUMPRODUCT($H$10:$L$10,H103:L103)/SUM($H$10:$L$10)</x:f>
        <x:v>2.050551903463689</x:v>
      </x:c>
      <x:c r="U103" s="12" t="n">
        <x:f t="shared" si="100">R103*T103+S103</x:f>
        <x:v>21991.364585810137</x:v>
      </x:c>
      <x:c r="V103" s="2" t="n">
        <x:f t="shared" si="101">V$8+(V$9-V$8)*H103</x:f>
        <x:v>0.8348379752622029</x:v>
      </x:c>
      <x:c r="W103" s="2" t="n">
        <x:f t="shared" si="102">IF(B103&lt;$H$8,0,W$8+(W$9-W$8)*H103)</x:f>
        <x:v>0.17978396701627064</x:v>
      </x:c>
      <x:c r="X103" s="2" t="n">
        <x:f t="shared" si="103">X$8+(X$9-X$8)*H103</x:f>
        <x:v>0.3986014773236861</x:v>
      </x:c>
      <x:c r="Y103" s="2" t="n">
        <x:f t="shared" si="104">Y$8+(Y$9-Y$8)*G103</x:f>
        <x:v>1</x:v>
      </x:c>
      <x:c r="Z103" s="2" t="n">
        <x:f t="shared" si="105">Z$8+(Z$9-Z$8)*H103</x:f>
        <x:v>1</x:v>
      </x:c>
      <x:c r="AA103" s="2" t="n">
        <x:f t="shared" si="106">AA$8+(AA$9-AA$8)*I103</x:f>
        <x:v>1</x:v>
      </x:c>
      <x:c r="AB103" s="2" t="n">
        <x:f t="shared" si="107">AB$8+(AB$9-AB$8)*J103</x:f>
        <x:v>1</x:v>
      </x:c>
      <x:c r="AC103" s="2" t="n">
        <x:f t="shared" si="108">AC$8+(AC$9-AC$8)*MAX(K103,L103)</x:f>
        <x:v>1</x:v>
      </x:c>
      <x:c r="AD103" s="1" t="n">
        <x:f t="shared" si="109">(V103*AE103+W103*AF103+X103*AG103)*PRODUCT(Y103:AC103)</x:f>
        <x:v>1.4953920479875529</x:v>
      </x:c>
      <x:c r="AE103" s="2" t="n">
        <x:f t="shared" si="110">1+AE$9*($H$10*H103+$I$10*I103+$J$10*J103+$K$10*K103+$L$10*L103)</x:f>
        <x:v>1</x:v>
      </x:c>
      <x:c r="AF103" s="2" t="n">
        <x:f t="shared" si="111">1+AF$9*($H$10*H103+$I$10*I103+$J$10*J103+$K$10*K103+$L$10*L103)</x:f>
        <x:v>1.0927207752854593</x:v>
      </x:c>
      <x:c r="AG103" s="2" t="n">
        <x:f t="shared" si="112">1+AG$9*($H$10*H103+$I$10*I103+$J$10*J103+$K$10*K103+$L$10*L103)</x:f>
        <x:v>1.1643218184225652</x:v>
      </x:c>
      <x:c r="AH103" s="2" t="n">
        <x:f>MIN(1,'_曲线基线'!$L$3+AH$9*($H$10*H103+$I$10*I103+$J$10*J103+$K$10*K103+$L$10*L103))</x:f>
        <x:v>0.2609397637744197</x:v>
      </x:c>
      <x:c r="AI103" s="2" t="n">
        <x:f>'_曲线基线'!$L$4+AI$9*($H$10*H103+$I$10*I103+$J$10*J103+$K$10*K103+$L$10*L103)</x:f>
        <x:v>2.5876179133715977</x:v>
      </x:c>
      <x:c r="AJ103" s="2" t="n">
        <x:f t="shared" si="113">1+AJ$9*($H$10*H103+$I$10*I103+$J$10*J103+$K$10*K103+$L$10*L103)</x:f>
        <x:v>1.4821480314843878</x:v>
      </x:c>
      <x:c r="AK103" s="1" t="n">
        <x:f t="shared" si="114">(1+AH103*(AI103-1))*AJ103</x:f>
        <x:v>2.0961614142185203</x:v>
      </x:c>
      <x:c r="AL103" s="1" t="n">
        <x:f t="shared" si="115">U103*AD103*AK103*F103</x:f>
        <x:v>344668.7999959368</x:v>
      </x:c>
      <x:c r="AM103" s="13" t="n">
        <x:f t="shared" si="116">IF($B103&lt;AM$8,0,AM$3+(AM$4-AM$3)*(POWER(AM$5,$B103-AM$8)-1)/(POWER(AM$5,$C$5-AM$8)-1))</x:f>
        <x:v>36.977609215578994</x:v>
      </x:c>
      <x:c r="AN103" s="13" t="n">
        <x:f>(((E103*'模块规划'!$D$10+G103*'模块规划'!$D$11+H103*'模块规划'!$D$13)*(1+'模块规划'!$G$14*H103)+(I103*'模块规划'!$D$15+J103*'模块规划'!$D$17+K103*'模块规划'!$D$16+L103*'模块规划'!$D$18))*(1+'模块规划'!$J$17*J103))*F103/(1-Q103)</x:f>
        <x:v>675816.7080582242</x:v>
      </x:c>
      <x:c r="AO103" s="1" t="n">
        <x:f t="shared" si="117">AL103*AM103</x:f>
        <x:v>12745028.195052305</x:v>
      </x:c>
      <x:c r="AP103" s="1" t="n">
        <x:f>IF(AO103="","",INDEX('_曲线基线'!$A$3:$A$502,MIN(ROWS('_曲线基线'!$A$3:$A$502),COUNTIF('_曲线基线'!$E$3:$E$502,"&lt;"&amp;AO103)+1)))</x:f>
        <x:v>157</x:v>
      </x:c>
      <x:c r="AQ103" s="14" t="n">
        <x:f t="shared" si="118">IF(B103&lt;=2,1,IF(B103&lt;=6,2,IF(B103&lt;=9,3,IF(B103&lt;=19,4,5))))</x:f>
        <x:v>5</x:v>
      </x:c>
      <x:c r="AR103" s="10" t="n">
        <x:f t="shared" si="119">AN103*(1-Q103)/F103*$AS$3+U103*$AS$4+P103*$AS$5</x:f>
        <x:v>6915.482332446165</x:v>
      </x:c>
      <x:c r="AS103" s="15" t="n">
        <x:f t="shared" si="120">1+AH103*$AS$6+AI103*$AS$7+(AJ103-1)*$AS$8+($H$10*H103+$I$10*I103+$J$10*J103+$K$10*K103+$L$10*L103)*$AU$3*$AS$9+($H$10*H103+$I$10*I103+$J$10*J103+$K$10*K103+$L$10*L103)*$AU$4*$AS$10</x:f>
        <x:v>10.521751677287105</x:v>
      </x:c>
      <x:c r="AT103" s="16" t="n">
        <x:f t="shared" si="121">ROUND(AR103*AS103,0)</x:f>
        <x:v>72763</x:v>
      </x:c>
      <x:c r="AU103" s="16" t="n">
        <x:f t="shared" si="122">ROUND(AT103*F103,0)</x:f>
        <x:v>363815</x:v>
      </x:c>
      <x:c r="AV103" t="n">
        <x:f>IF(AU103&gt;0,ROUND(AU103,-MAX(0,INT(LOG10(AU103))-2)),0)</x:f>
        <x:v>364000</x:v>
      </x:c>
    </x:row>
    <x:row r="104" customHeight="1">
      <x:c r="A104" s="1" t="n">
        <x:f>IFERROR(XLOOKUP(B104,'_曲线基线'!$G$3:$G$107,'_曲线基线'!$J$3:$J$107,""),"")</x:f>
        <x:v>36</x:v>
      </x:c>
      <x:c r="B104" s="1" t="n">
        <x:v>93</x:v>
      </x:c>
      <x:c r="C104" s="1" t="n">
        <x:f t="shared" si="67">C89+1</x:f>
        <x:v>7</x:v>
      </x:c>
      <x:c r="D104" s="1" t="n">
        <x:f t="shared" si="68">D89</x:f>
        <x:v>9</x:v>
      </x:c>
      <x:c r="E104" s="1" t="n">
        <x:f t="shared" si="94">IF($B104&lt;E$8,0,E$3+(E$4-E$3)*(POWER(E$5,$B104-E$8)-1)/(POWER(E$5,$C$5-E$8)-1))</x:f>
        <x:v>1</x:v>
      </x:c>
      <x:c r="F104" s="10" t="n">
        <x:f t="shared" si="95">1+IF(B104&lt;3,0,MIN(1,(B104-2)/4))+IF(B104&lt;7,0,MIN(1,(B104-6)/3))+IF(B104&lt;10,0,MIN(1,(B104-9)/5))+IF(B104&lt;20,0,MIN(1,(B104-19)/10))</x:f>
        <x:v>5</x:v>
      </x:c>
      <x:c r="G104" s="11" t="n">
        <x:f t="shared" ref="G104:L104" si="150">'玩家战力_节点'!G104</x:f>
        <x:v>0.580780779978647</x:v>
      </x:c>
      <x:c r="H104" s="11" t="n">
        <x:f t="shared" si="150">'玩家战力_节点'!H104</x:f>
        <x:v>0.4516715285020609</x:v>
      </x:c>
      <x:c r="I104" s="11" t="n">
        <x:f t="shared" si="150">'玩家战力_节点'!I104</x:f>
        <x:v>0.2162599646552148</x:v>
      </x:c>
      <x:c r="J104" s="11" t="n">
        <x:f t="shared" si="150">'玩家战力_节点'!J104</x:f>
        <x:v>0.3137291662980326</x:v>
      </x:c>
      <x:c r="K104" s="11" t="n">
        <x:f t="shared" si="150">'玩家战力_节点'!K104</x:f>
        <x:v>0</x:v>
      </x:c>
      <x:c r="L104" s="11" t="n">
        <x:f t="shared" si="150">'玩家战力_节点'!L104</x:f>
        <x:v>0.42793546532115156</x:v>
      </x:c>
      <x:c r="M104" s="2" t="n">
        <x:f>E104*'模块规划'!$F$10+G104*'模块规划'!$F$11+H104*'模块规划'!$F$13</x:f>
        <x:v>3787.7477438975056</x:v>
      </x:c>
      <x:c r="N104" s="2" t="n">
        <x:f>I104*'模块规划'!$F$15+J104*'模块规划'!$F$17+K104*'模块规划'!$F$16+L104*'模块规划'!$F$18</x:f>
        <x:v>7007.048706827803</x:v>
      </x:c>
      <x:c r="O104" s="2" t="n">
        <x:f t="shared" si="97">1+O$9*SUMPRODUCT($H$10:$L$10,H104:L104)/SUM($H$10:$L$10)</x:f>
        <x:v>2.0595290474626364</x:v>
      </x:c>
      <x:c r="P104" s="12" t="n">
        <x:f t="shared" si="98">M104*O104+N104</x:f>
        <x:v>14808.025209845782</x:v>
      </x:c>
      <x:c r="Q104" s="7" t="n">
        <x:f>P104/(P104+'_曲线基线'!$L$2)</x:f>
        <x:v>0.3815712118762723</x:v>
      </x:c>
      <x:c r="R104" s="2" t="n">
        <x:f>E104*'模块规划'!$E$10+G104*'模块规划'!$E$11+H104*'模块规划'!$E$13</x:f>
        <x:v>5681.6216158462585</x:v>
      </x:c>
      <x:c r="S104" s="2" t="n">
        <x:f>I104*'模块规划'!$E$15+J104*'模块规划'!$E$17+K104*'模块规划'!$E$16+L104*'模块规划'!$E$18</x:f>
        <x:v>10510.573060241702</x:v>
      </x:c>
      <x:c r="T104" s="2" t="n">
        <x:f t="shared" si="99">1+T$9*SUMPRODUCT($H$10:$L$10,H104:L104)/SUM($H$10:$L$10)</x:f>
        <x:v>2.0595290474626364</x:v>
      </x:c>
      <x:c r="U104" s="12" t="n">
        <x:f t="shared" si="100">R104*T104+S104</x:f>
        <x:v>22212.03781476867</x:v>
      </x:c>
      <x:c r="V104" s="2" t="n">
        <x:f t="shared" si="101">V$8+(V$9-V$8)*H104</x:f>
        <x:v>0.8355014585506182</x:v>
      </x:c>
      <x:c r="W104" s="2" t="n">
        <x:f t="shared" si="102">IF(B104&lt;$H$8,0,W$8+(W$9-W$8)*H104)</x:f>
        <x:v>0.18066861140082435</x:v>
      </x:c>
      <x:c r="X104" s="2" t="n">
        <x:f t="shared" si="103">X$8+(X$9-X$8)*H104</x:f>
        <x:v>0.39920967033806676</x:v>
      </x:c>
      <x:c r="Y104" s="2" t="n">
        <x:f t="shared" si="104">Y$8+(Y$9-Y$8)*G104</x:f>
        <x:v>1</x:v>
      </x:c>
      <x:c r="Z104" s="2" t="n">
        <x:f t="shared" si="105">Z$8+(Z$9-Z$8)*H104</x:f>
        <x:v>1</x:v>
      </x:c>
      <x:c r="AA104" s="2" t="n">
        <x:f t="shared" si="106">AA$8+(AA$9-AA$8)*I104</x:f>
        <x:v>1</x:v>
      </x:c>
      <x:c r="AB104" s="2" t="n">
        <x:f t="shared" si="107">AB$8+(AB$9-AB$8)*J104</x:f>
        <x:v>1</x:v>
      </x:c>
      <x:c r="AC104" s="2" t="n">
        <x:f t="shared" si="108">AC$8+(AC$9-AC$8)*MAX(K104,L104)</x:f>
        <x:v>1</x:v>
      </x:c>
      <x:c r="AD104" s="1" t="n">
        <x:f t="shared" si="109">(V104*AE104+W104*AF104+X104*AG104)*PRODUCT(Y104:AC104)</x:f>
        <x:v>1.4984340327364074</x:v>
      </x:c>
      <x:c r="AE104" s="2" t="n">
        <x:f t="shared" si="110">1+AE$9*($H$10*H104+$I$10*I104+$J$10*J104+$K$10*K104+$L$10*L104)</x:f>
        <x:v>1</x:v>
      </x:c>
      <x:c r="AF104" s="2" t="n">
        <x:f t="shared" si="111">1+AF$9*($H$10*H104+$I$10*I104+$J$10*J104+$K$10*K104+$L$10*L104)</x:f>
        <x:v>1.0935130900189696</x:v>
      </x:c>
      <x:c r="AG104" s="2" t="n">
        <x:f t="shared" si="112">1+AG$9*($H$10*H104+$I$10*I104+$J$10*J104+$K$10*K104+$L$10*L104)</x:f>
        <x:v>1.1657259762002863</x:v>
      </x:c>
      <x:c r="AH104" s="2" t="n">
        <x:f>MIN(1,'_曲线基线'!$L$3+AH$9*($H$10*H104+$I$10*I104+$J$10*J104+$K$10*K104+$L$10*L104))</x:f>
        <x:v>0.2627422797931556</x:v>
      </x:c>
      <x:c r="AI104" s="2" t="n">
        <x:f>'_曲线基线'!$L$4+AI$9*($H$10*H104+$I$10*I104+$J$10*J104+$K$10*K104+$L$10*L104)</x:f>
        <x:v>2.5926392079952194</x:v>
      </x:c>
      <x:c r="AJ104" s="2" t="n">
        <x:f t="shared" si="113">1+AJ$9*($H$10*H104+$I$10*I104+$J$10*J104+$K$10*K104+$L$10*L104)</x:f>
        <x:v>1.4862680680986413</x:v>
      </x:c>
      <x:c r="AK104" s="1" t="n">
        <x:f t="shared" si="114">(1+AH104*(AI104-1))*AJ104</x:f>
        <x:v>2.1082023755800727</x:v>
      </x:c>
      <x:c r="AL104" s="1" t="n">
        <x:f t="shared" si="115">U104*AD104*AK104*F104</x:f>
        <x:v>350839.3802245391</x:v>
      </x:c>
      <x:c r="AM104" s="13" t="n">
        <x:f t="shared" si="116">IF($B104&lt;AM$8,0,AM$3+(AM$4-AM$3)*(POWER(AM$5,$B104-AM$8)-1)/(POWER(AM$5,$C$5-AM$8)-1))</x:f>
        <x:v>37.010809947656654</x:v>
      </x:c>
      <x:c r="AN104" s="13" t="n">
        <x:f>(((E104*'模块规划'!$D$10+G104*'模块规划'!$D$11+H104*'模块规划'!$D$13)*(1+'模块规划'!$G$14*H104)+(I104*'模块规划'!$D$15+J104*'模块规划'!$D$17+K104*'模块规划'!$D$16+L104*'模块规划'!$D$18))*(1+'模块规划'!$J$17*J104))*F104/(1-Q104)</x:f>
        <x:v>686343.1942133148</x:v>
      </x:c>
      <x:c r="AO104" s="1" t="n">
        <x:f t="shared" si="117">AL104*AM104</x:f>
        <x:v>12984849.623644067</x:v>
      </x:c>
      <x:c r="AP104" s="1" t="n">
        <x:f>IF(AO104="","",INDEX('_曲线基线'!$A$3:$A$502,MIN(ROWS('_曲线基线'!$A$3:$A$502),COUNTIF('_曲线基线'!$E$3:$E$502,"&lt;"&amp;AO104)+1)))</x:f>
        <x:v>158</x:v>
      </x:c>
      <x:c r="AQ104" s="14" t="n">
        <x:f t="shared" si="118">IF(B104&lt;=2,1,IF(B104&lt;=6,2,IF(B104&lt;=9,3,IF(B104&lt;=19,4,5))))</x:f>
        <x:v>5</x:v>
      </x:c>
      <x:c r="AR104" s="10" t="n">
        <x:f t="shared" si="119">AN104*(1-Q104)/F104*$AS$3+U104*$AS$4+P104*$AS$5</x:f>
        <x:v>6989.133901959586</x:v>
      </x:c>
      <x:c r="AS104" s="15" t="n">
        <x:f t="shared" si="120">1+AH104*$AS$6+AI104*$AS$7+(AJ104-1)*$AS$8+($H$10*H104+$I$10*I104+$J$10*J104+$K$10*K104+$L$10*L104)*$AU$3*$AS$9+($H$10*H104+$I$10*I104+$J$10*J104+$K$10*K104+$L$10*L104)*$AU$4*$AS$10</x:f>
        <x:v>10.569093382881961</x:v>
      </x:c>
      <x:c r="AT104" s="16" t="n">
        <x:f t="shared" si="121">ROUND(AR104*AS104,0)</x:f>
        <x:v>73869</x:v>
      </x:c>
      <x:c r="AU104" s="16" t="n">
        <x:f t="shared" si="122">ROUND(AT104*F104,0)</x:f>
        <x:v>369345</x:v>
      </x:c>
      <x:c r="AV104" t="n">
        <x:f>IF(AU104&gt;0,ROUND(AU104,-MAX(0,INT(LOG10(AU104))-2)),0)</x:f>
        <x:v>369000</x:v>
      </x:c>
    </x:row>
    <x:row r="105" customHeight="1">
      <x:c r="A105" s="1" t="n">
        <x:f>IFERROR(XLOOKUP(B105,'_曲线基线'!$G$3:$G$107,'_曲线基线'!$J$3:$J$107,""),"")</x:f>
        <x:v>36</x:v>
      </x:c>
      <x:c r="B105" s="1" t="n">
        <x:v>94</x:v>
      </x:c>
      <x:c r="C105" s="1" t="n">
        <x:f t="shared" si="67">C90+1</x:f>
        <x:v>7</x:v>
      </x:c>
      <x:c r="D105" s="1" t="n">
        <x:f t="shared" si="68">D90</x:f>
        <x:v>10</x:v>
      </x:c>
      <x:c r="E105" s="1" t="n">
        <x:f t="shared" si="94">IF($B105&lt;E$8,0,E$3+(E$4-E$3)*(POWER(E$5,$B105-E$8)-1)/(POWER(E$5,$C$5-E$8)-1))</x:f>
        <x:v>1</x:v>
      </x:c>
      <x:c r="F105" s="10" t="n">
        <x:f t="shared" si="95">1+IF(B105&lt;3,0,MIN(1,(B105-2)/4))+IF(B105&lt;7,0,MIN(1,(B105-6)/3))+IF(B105&lt;10,0,MIN(1,(B105-9)/5))+IF(B105&lt;20,0,MIN(1,(B105-19)/10))</x:f>
        <x:v>5</x:v>
      </x:c>
      <x:c r="G105" s="11" t="n">
        <x:f t="shared" ref="G105:L105" si="151">'玩家战力_节点'!G105</x:f>
        <x:v>0.5834033730908452</x:v>
      </x:c>
      <x:c r="H105" s="11" t="n">
        <x:f t="shared" si="151">'玩家战力_节点'!H105</x:f>
        <x:v>0.4538831394634451</x:v>
      </x:c>
      <x:c r="I105" s="11" t="n">
        <x:f t="shared" si="151">'玩家战力_节点'!I105</x:f>
        <x:v>0.2219463901874215</x:v>
      </x:c>
      <x:c r="J105" s="11" t="n">
        <x:f t="shared" si="151">'玩家战力_节点'!J105</x:f>
        <x:v>0.31658602312992673</x:v>
      </x:c>
      <x:c r="K105" s="11" t="n">
        <x:f t="shared" si="151">'玩家战力_节点'!K105</x:f>
        <x:v>0</x:v>
      </x:c>
      <x:c r="L105" s="11" t="n">
        <x:f t="shared" si="151">'玩家战力_节点'!L105</x:f>
        <x:v>0.430583283848273</x:v>
      </x:c>
      <x:c r="M105" s="2" t="n">
        <x:f>E105*'模块规划'!$F$10+G105*'模块规划'!$F$11+H105*'模块规划'!$F$13</x:f>
        <x:v>3800.336190836057</x:v>
      </x:c>
      <x:c r="N105" s="2" t="n">
        <x:f>I105*'模块规划'!$F$15+J105*'模块规划'!$F$17+K105*'模块规划'!$F$16+L105*'模块规划'!$F$18</x:f>
        <x:v>7094.347772040004</x:v>
      </x:c>
      <x:c r="O105" s="2" t="n">
        <x:f t="shared" si="97">1+O$9*SUMPRODUCT($H$10:$L$10,H105:L105)/SUM($H$10:$L$10)</x:f>
        <x:v>2.0685061914615837</x:v>
      </x:c>
      <x:c r="P105" s="12" t="n">
        <x:f t="shared" si="98">M105*O105+N105</x:f>
        <x:v>14955.36671241992</x:v>
      </x:c>
      <x:c r="Q105" s="7" t="n">
        <x:f>P105/(P105+'_曲线基线'!$L$2)</x:f>
        <x:v>0.38391030490933065</x:v>
      </x:c>
      <x:c r="R105" s="2" t="n">
        <x:f>E105*'模块规划'!$E$10+G105*'模块规划'!$E$11+H105*'模块规划'!$E$13</x:f>
        <x:v>5700.504286254086</x:v>
      </x:c>
      <x:c r="S105" s="2" t="n">
        <x:f>I105*'模块规划'!$E$15+J105*'模块规划'!$E$17+K105*'模块规划'!$E$16+L105*'模块规划'!$E$18</x:f>
        <x:v>10641.521658060006</x:v>
      </x:c>
      <x:c r="T105" s="2" t="n">
        <x:f t="shared" si="99">1+T$9*SUMPRODUCT($H$10:$L$10,H105:L105)/SUM($H$10:$L$10)</x:f>
        <x:v>2.0685061914615837</x:v>
      </x:c>
      <x:c r="U105" s="12" t="n">
        <x:f t="shared" si="100">R105*T105+S105</x:f>
        <x:v>22433.050068629876</x:v>
      </x:c>
      <x:c r="V105" s="2" t="n">
        <x:f t="shared" si="101">V$8+(V$9-V$8)*H105</x:f>
        <x:v>0.8361649418390336</x:v>
      </x:c>
      <x:c r="W105" s="2" t="n">
        <x:f t="shared" si="102">IF(B105&lt;$H$8,0,W$8+(W$9-W$8)*H105)</x:f>
        <x:v>0.18155325578537806</x:v>
      </x:c>
      <x:c r="X105" s="2" t="n">
        <x:f t="shared" si="103">X$8+(X$9-X$8)*H105</x:f>
        <x:v>0.39981786335244746</x:v>
      </x:c>
      <x:c r="Y105" s="2" t="n">
        <x:f t="shared" si="104">Y$8+(Y$9-Y$8)*G105</x:f>
        <x:v>1</x:v>
      </x:c>
      <x:c r="Z105" s="2" t="n">
        <x:f t="shared" si="105">Z$8+(Z$9-Z$8)*H105</x:f>
        <x:v>1</x:v>
      </x:c>
      <x:c r="AA105" s="2" t="n">
        <x:f t="shared" si="106">AA$8+(AA$9-AA$8)*I105</x:f>
        <x:v>1</x:v>
      </x:c>
      <x:c r="AB105" s="2" t="n">
        <x:f t="shared" si="107">AB$8+(AB$9-AB$8)*J105</x:f>
        <x:v>1</x:v>
      </x:c>
      <x:c r="AC105" s="2" t="n">
        <x:f t="shared" si="108">AC$8+(AC$9-AC$8)*MAX(K105,L105)</x:f>
        <x:v>1</x:v>
      </x:c>
      <x:c r="AD105" s="1" t="n">
        <x:f t="shared" si="109">(V105*AE105+W105*AF105+X105*AG105)*PRODUCT(Y105:AC105)</x:f>
        <x:v>1.501479127316725</x:v>
      </x:c>
      <x:c r="AE105" s="2" t="n">
        <x:f t="shared" si="110">1+AE$9*($H$10*H105+$I$10*I105+$J$10*J105+$K$10*K105+$L$10*L105)</x:f>
        <x:v>1</x:v>
      </x:c>
      <x:c r="AF105" s="2" t="n">
        <x:f t="shared" si="111">1+AF$9*($H$10*H105+$I$10*I105+$J$10*J105+$K$10*K105+$L$10*L105)</x:f>
        <x:v>1.0943054047524798</x:v>
      </x:c>
      <x:c r="AG105" s="2" t="n">
        <x:f t="shared" si="112">1+AG$9*($H$10*H105+$I$10*I105+$J$10*J105+$K$10*K105+$L$10*L105)</x:f>
        <x:v>1.1671301339780074</x:v>
      </x:c>
      <x:c r="AH105" s="2" t="n">
        <x:f>MIN(1,'_曲线基线'!$L$3+AH$9*($H$10*H105+$I$10*I105+$J$10*J105+$K$10*K105+$L$10*L105))</x:f>
        <x:v>0.26454479581189155</x:v>
      </x:c>
      <x:c r="AI105" s="2" t="n">
        <x:f>'_曲线基线'!$L$4+AI$9*($H$10*H105+$I$10*I105+$J$10*J105+$K$10*K105+$L$10*L105)</x:f>
        <x:v>2.5976605026188406</x:v>
      </x:c>
      <x:c r="AJ105" s="2" t="n">
        <x:f t="shared" si="113">1+AJ$9*($H$10*H105+$I$10*I105+$J$10*J105+$K$10*K105+$L$10*L105)</x:f>
        <x:v>1.490388104712895</x:v>
      </x:c>
      <x:c r="AK105" s="1" t="n">
        <x:f t="shared" si="114">(1+AH105*(AI105-1))*AJ105</x:f>
        <x:v>2.1203047676940274</x:v>
      </x:c>
      <x:c r="AL105" s="1" t="n">
        <x:f t="shared" si="115">U105*AD105*AK105*F105</x:f>
        <x:v>357088.54534509074</x:v>
      </x:c>
      <x:c r="AM105" s="13" t="n">
        <x:f t="shared" si="116">IF($B105&lt;AM$8,0,AM$3+(AM$4-AM$3)*(POWER(AM$5,$B105-AM$8)-1)/(POWER(AM$5,$C$5-AM$8)-1))</x:f>
        <x:v>37.04434268705509</x:v>
      </x:c>
      <x:c r="AN105" s="13" t="n">
        <x:f>(((E105*'模块规划'!$D$10+G105*'模块规划'!$D$11+H105*'模块规划'!$D$13)*(1+'模块规划'!$G$14*H105)+(I105*'模块规划'!$D$15+J105*'模块规划'!$D$17+K105*'模块规划'!$D$16+L105*'模块规划'!$D$18))*(1+'模块规划'!$J$17*J105))*F105/(1-Q105)</x:f>
        <x:v>696968.1466492843</x:v>
      </x:c>
      <x:c r="AO105" s="1" t="n">
        <x:f t="shared" si="117">AL105*AM105</x:f>
        <x:v>13228110.443385553</x:v>
      </x:c>
      <x:c r="AP105" s="1" t="n">
        <x:f>IF(AO105="","",INDEX('_曲线基线'!$A$3:$A$502,MIN(ROWS('_曲线基线'!$A$3:$A$502),COUNTIF('_曲线基线'!$E$3:$E$502,"&lt;"&amp;AO105)+1)))</x:f>
        <x:v>159</x:v>
      </x:c>
      <x:c r="AQ105" s="14" t="n">
        <x:f t="shared" si="118">IF(B105&lt;=2,1,IF(B105&lt;=6,2,IF(B105&lt;=9,3,IF(B105&lt;=19,4,5))))</x:f>
        <x:v>5</x:v>
      </x:c>
      <x:c r="AR105" s="10" t="n">
        <x:f t="shared" si="119">AN105*(1-Q105)/F105*$AS$3+U105*$AS$4+P105*$AS$5</x:f>
        <x:v>7062.979371468375</x:v>
      </x:c>
      <x:c r="AS105" s="15" t="n">
        <x:f t="shared" si="120">1+AH105*$AS$6+AI105*$AS$7+(AJ105-1)*$AS$8+($H$10*H105+$I$10*I105+$J$10*J105+$K$10*K105+$L$10*L105)*$AU$3*$AS$9+($H$10*H105+$I$10*I105+$J$10*J105+$K$10*K105+$L$10*L105)*$AU$4*$AS$10</x:f>
        <x:v>10.61643508847682</x:v>
      </x:c>
      <x:c r="AT105" s="16" t="n">
        <x:f t="shared" si="121">ROUND(AR105*AS105,0)</x:f>
        <x:v>74984</x:v>
      </x:c>
      <x:c r="AU105" s="16" t="n">
        <x:f t="shared" si="122">ROUND(AT105*F105,0)</x:f>
        <x:v>374920</x:v>
      </x:c>
      <x:c r="AV105" t="n">
        <x:f>IF(AU105&gt;0,ROUND(AU105,-MAX(0,INT(LOG10(AU105))-2)),0)</x:f>
        <x:v>375000</x:v>
      </x:c>
    </x:row>
    <x:row r="106" customHeight="1">
      <x:c r="A106" s="1" t="n">
        <x:f>IFERROR(XLOOKUP(B106,'_曲线基线'!$G$3:$G$107,'_曲线基线'!$J$3:$J$107,""),"")</x:f>
        <x:v>37</x:v>
      </x:c>
      <x:c r="B106" s="1" t="n">
        <x:v>95</x:v>
      </x:c>
      <x:c r="C106" s="1" t="n">
        <x:f t="shared" si="67">C91+1</x:f>
        <x:v>7</x:v>
      </x:c>
      <x:c r="D106" s="1" t="n">
        <x:f t="shared" si="68">D91</x:f>
        <x:v>11</x:v>
      </x:c>
      <x:c r="E106" s="1" t="n">
        <x:f t="shared" si="94">IF($B106&lt;E$8,0,E$3+(E$4-E$3)*(POWER(E$5,$B106-E$8)-1)/(POWER(E$5,$C$5-E$8)-1))</x:f>
        <x:v>1</x:v>
      </x:c>
      <x:c r="F106" s="10" t="n">
        <x:f t="shared" si="95">1+IF(B106&lt;3,0,MIN(1,(B106-2)/4))+IF(B106&lt;7,0,MIN(1,(B106-6)/3))+IF(B106&lt;10,0,MIN(1,(B106-9)/5))+IF(B106&lt;20,0,MIN(1,(B106-19)/10))</x:f>
        <x:v>5</x:v>
      </x:c>
      <x:c r="G106" s="11" t="n">
        <x:f t="shared" ref="G106:L106" si="152">'玩家战力_节点'!G106</x:f>
        <x:v>0.5860259662030435</x:v>
      </x:c>
      <x:c r="H106" s="11" t="n">
        <x:f t="shared" si="152">'玩家战力_节点'!H106</x:f>
        <x:v>0.45609475042482944</x:v>
      </x:c>
      <x:c r="I106" s="11" t="n">
        <x:f t="shared" si="152">'玩家战力_节点'!I106</x:f>
        <x:v>0.22763281571962818</x:v>
      </x:c>
      <x:c r="J106" s="11" t="n">
        <x:f t="shared" si="152">'玩家战力_节点'!J106</x:f>
        <x:v>0.31944287996182086</x:v>
      </x:c>
      <x:c r="K106" s="11" t="n">
        <x:f t="shared" si="152">'玩家战力_节点'!K106</x:f>
        <x:v>0</x:v>
      </x:c>
      <x:c r="L106" s="11" t="n">
        <x:f t="shared" si="152">'玩家战力_节点'!L106</x:f>
        <x:v>0.4332311023753943</x:v>
      </x:c>
      <x:c r="M106" s="2" t="n">
        <x:f>E106*'模块规划'!$F$10+G106*'模块规划'!$F$11+H106*'模块规划'!$F$13</x:f>
        <x:v>3812.9246377746085</x:v>
      </x:c>
      <x:c r="N106" s="2" t="n">
        <x:f>I106*'模块规划'!$F$15+J106*'模块规划'!$F$17+K106*'模块规划'!$F$16+L106*'模块规划'!$F$18</x:f>
        <x:v>7181.646837252205</x:v>
      </x:c>
      <x:c r="O106" s="2" t="n">
        <x:f t="shared" si="97">1+O$9*SUMPRODUCT($H$10:$L$10,H106:L106)/SUM($H$10:$L$10)</x:f>
        <x:v>2.0774833354605304</x:v>
      </x:c>
      <x:c r="P106" s="12" t="n">
        <x:f t="shared" si="98">M106*O106+N106</x:f>
        <x:v>15102.934231595835</x:v>
      </x:c>
      <x:c r="Q106" s="7" t="n">
        <x:f>P106/(P106+'_曲线基线'!$L$2)</x:f>
        <x:v>0.3862353178445726</x:v>
      </x:c>
      <x:c r="R106" s="2" t="n">
        <x:f>E106*'模块规划'!$E$10+G106*'模块规划'!$E$11+H106*'模块规划'!$E$13</x:f>
        <x:v>5719.386956661913</x:v>
      </x:c>
      <x:c r="S106" s="2" t="n">
        <x:f>I106*'模块规划'!$E$15+J106*'模块规划'!$E$17+K106*'模块规划'!$E$16+L106*'模块规划'!$E$18</x:f>
        <x:v>10772.470255878306</x:v>
      </x:c>
      <x:c r="T106" s="2" t="n">
        <x:f t="shared" si="99">1+T$9*SUMPRODUCT($H$10:$L$10,H106:L106)/SUM($H$10:$L$10)</x:f>
        <x:v>2.0774833354605304</x:v>
      </x:c>
      <x:c r="U106" s="12" t="n">
        <x:f t="shared" si="100">R106*T106+S106</x:f>
        <x:v>22654.401347393752</x:v>
      </x:c>
      <x:c r="V106" s="2" t="n">
        <x:f t="shared" si="101">V$8+(V$9-V$8)*H106</x:f>
        <x:v>0.8368284251274488</x:v>
      </x:c>
      <x:c r="W106" s="2" t="n">
        <x:f t="shared" si="102">IF(B106&lt;$H$8,0,W$8+(W$9-W$8)*H106)</x:f>
        <x:v>0.18243790016993178</x:v>
      </x:c>
      <x:c r="X106" s="2" t="n">
        <x:f t="shared" si="103">X$8+(X$9-X$8)*H106</x:f>
        <x:v>0.40042605636682815</x:v>
      </x:c>
      <x:c r="Y106" s="2" t="n">
        <x:f t="shared" si="104">Y$8+(Y$9-Y$8)*G106</x:f>
        <x:v>1</x:v>
      </x:c>
      <x:c r="Z106" s="2" t="n">
        <x:f t="shared" si="105">Z$8+(Z$9-Z$8)*H106</x:f>
        <x:v>1</x:v>
      </x:c>
      <x:c r="AA106" s="2" t="n">
        <x:f t="shared" si="106">AA$8+(AA$9-AA$8)*I106</x:f>
        <x:v>1</x:v>
      </x:c>
      <x:c r="AB106" s="2" t="n">
        <x:f t="shared" si="107">AB$8+(AB$9-AB$8)*J106</x:f>
        <x:v>1</x:v>
      </x:c>
      <x:c r="AC106" s="2" t="n">
        <x:f t="shared" si="108">AC$8+(AC$9-AC$8)*MAX(K106,L106)</x:f>
        <x:v>1</x:v>
      </x:c>
      <x:c r="AD106" s="1" t="n">
        <x:f t="shared" si="109">(V106*AE106+W106*AF106+X106*AG106)*PRODUCT(Y106:AC106)</x:f>
        <x:v>1.5045273317285046</x:v>
      </x:c>
      <x:c r="AE106" s="2" t="n">
        <x:f t="shared" si="110">1+AE$9*($H$10*H106+$I$10*I106+$J$10*J106+$K$10*K106+$L$10*L106)</x:f>
        <x:v>1</x:v>
      </x:c>
      <x:c r="AF106" s="2" t="n">
        <x:f t="shared" si="111">1+AF$9*($H$10*H106+$I$10*I106+$J$10*J106+$K$10*K106+$L$10*L106)</x:f>
        <x:v>1.09509771948599</x:v>
      </x:c>
      <x:c r="AG106" s="2" t="n">
        <x:f t="shared" si="112">1+AG$9*($H$10*H106+$I$10*I106+$J$10*J106+$K$10*K106+$L$10*L106)</x:f>
        <x:v>1.1685342917557284</x:v>
      </x:c>
      <x:c r="AH106" s="2" t="n">
        <x:f>MIN(1,'_曲线基线'!$L$3+AH$9*($H$10*H106+$I$10*I106+$J$10*J106+$K$10*K106+$L$10*L106))</x:f>
        <x:v>0.2663473118306275</x:v>
      </x:c>
      <x:c r="AI106" s="2" t="n">
        <x:f>'_曲线基线'!$L$4+AI$9*($H$10*H106+$I$10*I106+$J$10*J106+$K$10*K106+$L$10*L106)</x:f>
        <x:v>2.6026817972424623</x:v>
      </x:c>
      <x:c r="AJ106" s="2" t="n">
        <x:f t="shared" si="113">1+AJ$9*($H$10*H106+$I$10*I106+$J$10*J106+$K$10*K106+$L$10*L106)</x:f>
        <x:v>1.4945081413271486</x:v>
      </x:c>
      <x:c r="AK106" s="1" t="n">
        <x:f t="shared" si="114">(1+AH106*(AI106-1))*AJ106</x:f>
        <x:v>2.1324688143022024</x:v>
      </x:c>
      <x:c r="AL106" s="1" t="n">
        <x:f t="shared" si="115">U106*AD106*AK106*F106</x:f>
        <x:v>363417.1054008595</x:v>
      </x:c>
      <x:c r="AM106" s="13" t="n">
        <x:f t="shared" si="116">IF($B106&lt;AM$8,0,AM$3+(AM$4-AM$3)*(POWER(AM$5,$B106-AM$8)-1)/(POWER(AM$5,$C$5-AM$8)-1))</x:f>
        <x:v>37.07821075384751</x:v>
      </x:c>
      <x:c r="AN106" s="13" t="n">
        <x:f>(((E106*'模块规划'!$D$10+G106*'模块规划'!$D$11+H106*'模块规划'!$D$13)*(1+'模块规划'!$G$14*H106)+(I106*'模块规划'!$D$15+J106*'模块规划'!$D$17+K106*'模块规划'!$D$16+L106*'模块规划'!$D$18))*(1+'模块规划'!$J$17*J106))*F106/(1-Q106)</x:f>
        <x:v>707692.113002087</x:v>
      </x:c>
      <x:c r="AO106" s="1" t="n">
        <x:f t="shared" si="117">AL106*AM106</x:f>
        <x:v>13474856.025606282</x:v>
      </x:c>
      <x:c r="AP106" s="1" t="n">
        <x:f>IF(AO106="","",INDEX('_曲线基线'!$A$3:$A$502,MIN(ROWS('_曲线基线'!$A$3:$A$502),COUNTIF('_曲线基线'!$E$3:$E$502,"&lt;"&amp;AO106)+1)))</x:f>
        <x:v>160</x:v>
      </x:c>
      <x:c r="AQ106" s="14" t="n">
        <x:f t="shared" si="118">IF(B106&lt;=2,1,IF(B106&lt;=6,2,IF(B106&lt;=9,3,IF(B106&lt;=19,4,5))))</x:f>
        <x:v>5</x:v>
      </x:c>
      <x:c r="AR106" s="10" t="n">
        <x:f t="shared" si="119">AN106*(1-Q106)/F106*$AS$3+U106*$AS$4+P106*$AS$5</x:f>
        <x:v>7137.018818282523</x:v>
      </x:c>
      <x:c r="AS106" s="15" t="n">
        <x:f t="shared" si="120">1+AH106*$AS$6+AI106*$AS$7+(AJ106-1)*$AS$8+($H$10*H106+$I$10*I106+$J$10*J106+$K$10*K106+$L$10*L106)*$AU$3*$AS$9+($H$10*H106+$I$10*I106+$J$10*J106+$K$10*K106+$L$10*L106)*$AU$4*$AS$10</x:f>
        <x:v>10.663776794071676</x:v>
      </x:c>
      <x:c r="AT106" s="16" t="n">
        <x:f t="shared" si="121">ROUND(AR106*AS106,0)</x:f>
        <x:v>76108</x:v>
      </x:c>
      <x:c r="AU106" s="16" t="n">
        <x:f t="shared" si="122">ROUND(AT106*F106,0)</x:f>
        <x:v>380540</x:v>
      </x:c>
      <x:c r="AV106" t="n">
        <x:f>IF(AU106&gt;0,ROUND(AU106,-MAX(0,INT(LOG10(AU106))-2)),0)</x:f>
        <x:v>381000</x:v>
      </x:c>
    </x:row>
    <x:row r="107" customHeight="1">
      <x:c r="A107" s="1" t="n">
        <x:f>IFERROR(XLOOKUP(B107,'_曲线基线'!$G$3:$G$107,'_曲线基线'!$J$3:$J$107,""),"")</x:f>
        <x:v>37</x:v>
      </x:c>
      <x:c r="B107" s="1" t="n">
        <x:v>96</x:v>
      </x:c>
      <x:c r="C107" s="1" t="n">
        <x:f t="shared" si="67">C92+1</x:f>
        <x:v>7</x:v>
      </x:c>
      <x:c r="D107" s="1" t="n">
        <x:f t="shared" si="68">D92</x:f>
        <x:v>12</x:v>
      </x:c>
      <x:c r="E107" s="1" t="n">
        <x:f t="shared" si="94">IF($B107&lt;E$8,0,E$3+(E$4-E$3)*(POWER(E$5,$B107-E$8)-1)/(POWER(E$5,$C$5-E$8)-1))</x:f>
        <x:v>1</x:v>
      </x:c>
      <x:c r="F107" s="10" t="n">
        <x:f t="shared" si="95">1+IF(B107&lt;3,0,MIN(1,(B107-2)/4))+IF(B107&lt;7,0,MIN(1,(B107-6)/3))+IF(B107&lt;10,0,MIN(1,(B107-9)/5))+IF(B107&lt;20,0,MIN(1,(B107-19)/10))</x:f>
        <x:v>5</x:v>
      </x:c>
      <x:c r="G107" s="11" t="n">
        <x:f t="shared" ref="G107:L107" si="153">'玩家战力_节点'!G107</x:f>
        <x:v>0.5886485593152418</x:v>
      </x:c>
      <x:c r="H107" s="11" t="n">
        <x:f t="shared" si="153">'玩家战力_节点'!H107</x:f>
        <x:v>0.4583063613862138</x:v>
      </x:c>
      <x:c r="I107" s="11" t="n">
        <x:f t="shared" si="153">'玩家战力_节点'!I107</x:f>
        <x:v>0.2333192412518349</x:v>
      </x:c>
      <x:c r="J107" s="11" t="n">
        <x:f t="shared" si="153">'玩家战力_节点'!J107</x:f>
        <x:v>0.322299736793715</x:v>
      </x:c>
      <x:c r="K107" s="11" t="n">
        <x:f t="shared" si="153">'玩家战力_节点'!K107</x:f>
        <x:v>0</x:v>
      </x:c>
      <x:c r="L107" s="11" t="n">
        <x:f t="shared" si="153">'玩家战力_节点'!L107</x:f>
        <x:v>0.4358789209025157</x:v>
      </x:c>
      <x:c r="M107" s="2" t="n">
        <x:f>E107*'模块规划'!$F$10+G107*'模块规划'!$F$11+H107*'模块规划'!$F$13</x:f>
        <x:v>3825.513084713161</x:v>
      </x:c>
      <x:c r="N107" s="2" t="n">
        <x:f>I107*'模块规划'!$F$15+J107*'模块规划'!$F$17+K107*'模块规划'!$F$16+L107*'模块规划'!$F$18</x:f>
        <x:v>7268.9459024644075</x:v>
      </x:c>
      <x:c r="O107" s="2" t="n">
        <x:f t="shared" si="97">1+O$9*SUMPRODUCT($H$10:$L$10,H107:L107)/SUM($H$10:$L$10)</x:f>
        <x:v>2.086460479459477</x:v>
      </x:c>
      <x:c r="P107" s="12" t="n">
        <x:f t="shared" si="98">M107*O107+N107</x:f>
        <x:v>15250.727767373533</x:v>
      </x:c>
      <x:c r="Q107" s="7" t="n">
        <x:f>P107/(P107+'_曲线基线'!$L$2)</x:f>
        <x:v>0.38854636932491293</x:v>
      </x:c>
      <x:c r="R107" s="2" t="n">
        <x:f>E107*'模块规划'!$E$10+G107*'模块规划'!$E$11+H107*'模块规划'!$E$13</x:f>
        <x:v>5738.269627069742</x:v>
      </x:c>
      <x:c r="S107" s="2" t="n">
        <x:f>I107*'模块规划'!$E$15+J107*'模块规划'!$E$17+K107*'模块规划'!$E$16+L107*'模块规划'!$E$18</x:f>
        <x:v>10903.41885369661</x:v>
      </x:c>
      <x:c r="T107" s="2" t="n">
        <x:f t="shared" si="99">1+T$9*SUMPRODUCT($H$10:$L$10,H107:L107)/SUM($H$10:$L$10)</x:f>
        <x:v>2.086460479459477</x:v>
      </x:c>
      <x:c r="U107" s="12" t="n">
        <x:f t="shared" si="100">R107*T107+S107</x:f>
        <x:v>22876.0916510603</x:v>
      </x:c>
      <x:c r="V107" s="2" t="n">
        <x:f t="shared" si="101">V$8+(V$9-V$8)*H107</x:f>
        <x:v>0.8374919084158641</x:v>
      </x:c>
      <x:c r="W107" s="2" t="n">
        <x:f t="shared" si="102">IF(B107&lt;$H$8,0,W$8+(W$9-W$8)*H107)</x:f>
        <x:v>0.18332254455448552</x:v>
      </x:c>
      <x:c r="X107" s="2" t="n">
        <x:f t="shared" si="103">X$8+(X$9-X$8)*H107</x:f>
        <x:v>0.4010342493812088</x:v>
      </x:c>
      <x:c r="Y107" s="2" t="n">
        <x:f t="shared" si="104">Y$8+(Y$9-Y$8)*G107</x:f>
        <x:v>1</x:v>
      </x:c>
      <x:c r="Z107" s="2" t="n">
        <x:f t="shared" si="105">Z$8+(Z$9-Z$8)*H107</x:f>
        <x:v>1</x:v>
      </x:c>
      <x:c r="AA107" s="2" t="n">
        <x:f t="shared" si="106">AA$8+(AA$9-AA$8)*I107</x:f>
        <x:v>1</x:v>
      </x:c>
      <x:c r="AB107" s="2" t="n">
        <x:f t="shared" si="107">AB$8+(AB$9-AB$8)*J107</x:f>
        <x:v>1</x:v>
      </x:c>
      <x:c r="AC107" s="2" t="n">
        <x:f t="shared" si="108">AC$8+(AC$9-AC$8)*MAX(K107,L107)</x:f>
        <x:v>1</x:v>
      </x:c>
      <x:c r="AD107" s="1" t="n">
        <x:f t="shared" si="109">(V107*AE107+W107*AF107+X107*AG107)*PRODUCT(Y107:AC107)</x:f>
        <x:v>1.5075786459717473</x:v>
      </x:c>
      <x:c r="AE107" s="2" t="n">
        <x:f t="shared" si="110">1+AE$9*($H$10*H107+$I$10*I107+$J$10*J107+$K$10*K107+$L$10*L107)</x:f>
        <x:v>1</x:v>
      </x:c>
      <x:c r="AF107" s="2" t="n">
        <x:f t="shared" si="111">1+AF$9*($H$10*H107+$I$10*I107+$J$10*J107+$K$10*K107+$L$10*L107)</x:f>
        <x:v>1.0958900342195006</x:v>
      </x:c>
      <x:c r="AG107" s="2" t="n">
        <x:f t="shared" si="112">1+AG$9*($H$10*H107+$I$10*I107+$J$10*J107+$K$10*K107+$L$10*L107)</x:f>
        <x:v>1.1699384495334495</x:v>
      </x:c>
      <x:c r="AH107" s="2" t="n">
        <x:f>MIN(1,'_曲线基线'!$L$3+AH$9*($H$10*H107+$I$10*I107+$J$10*J107+$K$10*K107+$L$10*L107))</x:f>
        <x:v>0.2681498278493634</x:v>
      </x:c>
      <x:c r="AI107" s="2" t="n">
        <x:f>'_曲线基线'!$L$4+AI$9*($H$10*H107+$I$10*I107+$J$10*J107+$K$10*K107+$L$10*L107)</x:f>
        <x:v>2.607703091866084</x:v>
      </x:c>
      <x:c r="AJ107" s="2" t="n">
        <x:f t="shared" si="113">1+AJ$9*($H$10*H107+$I$10*I107+$J$10*J107+$K$10*K107+$L$10*L107)</x:f>
        <x:v>1.4986281779414021</x:v>
      </x:c>
      <x:c r="AK107" s="1" t="n">
        <x:f t="shared" si="114">(1+AH107*(AI107-1))*AJ107</x:f>
        <x:v>2.144694739146416</x:v>
      </x:c>
      <x:c r="AL107" s="1" t="n">
        <x:f t="shared" si="115">U107*AD107*AK107*F107</x:f>
        <x:v>369825.8771101773</x:v>
      </x:c>
      <x:c r="AM107" s="13" t="n">
        <x:f t="shared" si="116">IF($B107&lt;AM$8,0,AM$3+(AM$4-AM$3)*(POWER(AM$5,$B107-AM$8)-1)/(POWER(AM$5,$C$5-AM$8)-1))</x:f>
        <x:v>37.11241750130785</x:v>
      </x:c>
      <x:c r="AN107" s="13" t="n">
        <x:f>(((E107*'模块规划'!$D$10+G107*'模块规划'!$D$11+H107*'模块规划'!$D$13)*(1+'模块规划'!$G$14*H107)+(I107*'模块规划'!$D$15+J107*'模块规划'!$D$17+K107*'模块规划'!$D$16+L107*'模块规划'!$D$18))*(1+'模块规划'!$J$17*J107))*F107/(1-Q107)</x:f>
        <x:v>718515.6424125469</x:v>
      </x:c>
      <x:c r="AO107" s="1" t="n">
        <x:f t="shared" si="117">AL107*AM107</x:f>
        <x:v>13725132.354100272</x:v>
      </x:c>
      <x:c r="AP107" s="1" t="n">
        <x:f>IF(AO107="","",INDEX('_曲线基线'!$A$3:$A$502,MIN(ROWS('_曲线基线'!$A$3:$A$502),COUNTIF('_曲线基线'!$E$3:$E$502,"&lt;"&amp;AO107)+1)))</x:f>
        <x:v>161</x:v>
      </x:c>
      <x:c r="AQ107" s="14" t="n">
        <x:f t="shared" si="118">IF(B107&lt;=2,1,IF(B107&lt;=6,2,IF(B107&lt;=9,3,IF(B107&lt;=19,4,5))))</x:f>
        <x:v>5</x:v>
      </x:c>
      <x:c r="AR107" s="10" t="n">
        <x:f t="shared" si="119">AN107*(1-Q107)/F107*$AS$3+U107*$AS$4+P107*$AS$5</x:f>
        <x:v>7211.252319712026</x:v>
      </x:c>
      <x:c r="AS107" s="15" t="n">
        <x:f t="shared" si="120">1+AH107*$AS$6+AI107*$AS$7+(AJ107-1)*$AS$8+($H$10*H107+$I$10*I107+$J$10*J107+$K$10*K107+$L$10*L107)*$AU$3*$AS$9+($H$10*H107+$I$10*I107+$J$10*J107+$K$10*K107+$L$10*L107)*$AU$4*$AS$10</x:f>
        <x:v>10.711118499666531</x:v>
      </x:c>
      <x:c r="AT107" s="16" t="n">
        <x:f t="shared" si="121">ROUND(AR107*AS107,0)</x:f>
        <x:v>77241</x:v>
      </x:c>
      <x:c r="AU107" s="16" t="n">
        <x:f t="shared" si="122">ROUND(AT107*F107,0)</x:f>
        <x:v>386205</x:v>
      </x:c>
      <x:c r="AV107" t="n">
        <x:f>IF(AU107&gt;0,ROUND(AU107,-MAX(0,INT(LOG10(AU107))-2)),0)</x:f>
        <x:v>386000</x:v>
      </x:c>
    </x:row>
    <x:row r="108" customHeight="1">
      <x:c r="A108" s="1" t="n">
        <x:f>IFERROR(XLOOKUP(B108,'_曲线基线'!$G$3:$G$107,'_曲线基线'!$J$3:$J$107,""),"")</x:f>
        <x:v>37</x:v>
      </x:c>
      <x:c r="B108" s="1" t="n">
        <x:v>97</x:v>
      </x:c>
      <x:c r="C108" s="1" t="n">
        <x:f t="shared" si="67">C93+1</x:f>
        <x:v>7</x:v>
      </x:c>
      <x:c r="D108" s="1" t="n">
        <x:f t="shared" si="68">D93</x:f>
        <x:v>13</x:v>
      </x:c>
      <x:c r="E108" s="1" t="n">
        <x:f t="shared" si="94">IF($B108&lt;E$8,0,E$3+(E$4-E$3)*(POWER(E$5,$B108-E$8)-1)/(POWER(E$5,$C$5-E$8)-1))</x:f>
        <x:v>1</x:v>
      </x:c>
      <x:c r="F108" s="10" t="n">
        <x:f t="shared" si="95">1+IF(B108&lt;3,0,MIN(1,(B108-2)/4))+IF(B108&lt;7,0,MIN(1,(B108-6)/3))+IF(B108&lt;10,0,MIN(1,(B108-9)/5))+IF(B108&lt;20,0,MIN(1,(B108-19)/10))</x:f>
        <x:v>5</x:v>
      </x:c>
      <x:c r="G108" s="11" t="n">
        <x:f t="shared" ref="G108:L108" si="154">'玩家战力_节点'!G108</x:f>
        <x:v>0.5912711524274402</x:v>
      </x:c>
      <x:c r="H108" s="11" t="n">
        <x:f t="shared" si="154">'玩家战力_节点'!H108</x:f>
        <x:v>0.4605179723475981</x:v>
      </x:c>
      <x:c r="I108" s="11" t="n">
        <x:f t="shared" si="154">'玩家战力_节点'!I108</x:f>
        <x:v>0.2390056667840416</x:v>
      </x:c>
      <x:c r="J108" s="11" t="n">
        <x:f t="shared" si="154">'玩家战力_节点'!J108</x:f>
        <x:v>0.32515659362560906</x:v>
      </x:c>
      <x:c r="K108" s="11" t="n">
        <x:f t="shared" si="154">'玩家战力_节点'!K108</x:f>
        <x:v>0</x:v>
      </x:c>
      <x:c r="L108" s="11" t="n">
        <x:f t="shared" si="154">'玩家战力_节点'!L108</x:f>
        <x:v>0.438526739429637</x:v>
      </x:c>
      <x:c r="M108" s="2" t="n">
        <x:f>E108*'模块规划'!$F$10+G108*'模块规划'!$F$11+H108*'模块规划'!$F$13</x:f>
        <x:v>3838.1015316517132</x:v>
      </x:c>
      <x:c r="N108" s="2" t="n">
        <x:f>I108*'模块规划'!$F$15+J108*'模块规划'!$F$17+K108*'模块规划'!$F$16+L108*'模块规划'!$F$18</x:f>
        <x:v>7356.244967676608</x:v>
      </x:c>
      <x:c r="O108" s="2" t="n">
        <x:f t="shared" si="97">1+O$9*SUMPRODUCT($H$10:$L$10,H108:L108)/SUM($H$10:$L$10)</x:f>
        <x:v>2.095437623458424</x:v>
      </x:c>
      <x:c r="P108" s="12" t="n">
        <x:f t="shared" si="98">M108*O108+N108</x:f>
        <x:v>15398.747319753013</x:v>
      </x:c>
      <x:c r="Q108" s="7" t="n">
        <x:f>P108/(P108+'_曲线基线'!$L$2)</x:f>
        <x:v>0.39084357669495434</x:v>
      </x:c>
      <x:c r="R108" s="2" t="n">
        <x:f>E108*'模块规划'!$E$10+G108*'模块规划'!$E$11+H108*'模块规划'!$E$13</x:f>
        <x:v>5757.15229747757</x:v>
      </x:c>
      <x:c r="S108" s="2" t="n">
        <x:f>I108*'模块规划'!$E$15+J108*'模块规划'!$E$17+K108*'模块规划'!$E$16+L108*'模块规划'!$E$18</x:f>
        <x:v>11034.367451514912</x:v>
      </x:c>
      <x:c r="T108" s="2" t="n">
        <x:f t="shared" si="99">1+T$9*SUMPRODUCT($H$10:$L$10,H108:L108)/SUM($H$10:$L$10)</x:f>
        <x:v>2.095437623458424</x:v>
      </x:c>
      <x:c r="U108" s="12" t="n">
        <x:f t="shared" si="100">R108*T108+S108</x:f>
        <x:v>23098.120979629515</x:v>
      </x:c>
      <x:c r="V108" s="2" t="n">
        <x:f t="shared" si="101">V$8+(V$9-V$8)*H108</x:f>
        <x:v>0.8381553917042794</x:v>
      </x:c>
      <x:c r="W108" s="2" t="n">
        <x:f t="shared" si="102">IF(B108&lt;$H$8,0,W$8+(W$9-W$8)*H108)</x:f>
        <x:v>0.18420718893903926</x:v>
      </x:c>
      <x:c r="X108" s="2" t="n">
        <x:f t="shared" si="103">X$8+(X$9-X$8)*H108</x:f>
        <x:v>0.40164244239558955</x:v>
      </x:c>
      <x:c r="Y108" s="2" t="n">
        <x:f t="shared" si="104">Y$8+(Y$9-Y$8)*G108</x:f>
        <x:v>1</x:v>
      </x:c>
      <x:c r="Z108" s="2" t="n">
        <x:f t="shared" si="105">Z$8+(Z$9-Z$8)*H108</x:f>
        <x:v>1</x:v>
      </x:c>
      <x:c r="AA108" s="2" t="n">
        <x:f t="shared" si="106">AA$8+(AA$9-AA$8)*I108</x:f>
        <x:v>1</x:v>
      </x:c>
      <x:c r="AB108" s="2" t="n">
        <x:f t="shared" si="107">AB$8+(AB$9-AB$8)*J108</x:f>
        <x:v>1</x:v>
      </x:c>
      <x:c r="AC108" s="2" t="n">
        <x:f t="shared" si="108">AC$8+(AC$9-AC$8)*MAX(K108,L108)</x:f>
        <x:v>1</x:v>
      </x:c>
      <x:c r="AD108" s="1" t="n">
        <x:f t="shared" si="109">(V108*AE108+W108*AF108+X108*AG108)*PRODUCT(Y108:AC108)</x:f>
        <x:v>1.5106330700464525</x:v>
      </x:c>
      <x:c r="AE108" s="2" t="n">
        <x:f t="shared" si="110">1+AE$9*($H$10*H108+$I$10*I108+$J$10*J108+$K$10*K108+$L$10*L108)</x:f>
        <x:v>1</x:v>
      </x:c>
      <x:c r="AF108" s="2" t="n">
        <x:f t="shared" si="111">1+AF$9*($H$10*H108+$I$10*I108+$J$10*J108+$K$10*K108+$L$10*L108)</x:f>
        <x:v>1.0966823489530109</x:v>
      </x:c>
      <x:c r="AG108" s="2" t="n">
        <x:f t="shared" si="112">1+AG$9*($H$10*H108+$I$10*I108+$J$10*J108+$K$10*K108+$L$10*L108)</x:f>
        <x:v>1.1713426073111703</x:v>
      </x:c>
      <x:c r="AH108" s="2" t="n">
        <x:f>MIN(1,'_曲线基线'!$L$3+AH$9*($H$10*H108+$I$10*I108+$J$10*J108+$K$10*K108+$L$10*L108))</x:f>
        <x:v>0.26995234386809935</x:v>
      </x:c>
      <x:c r="AI108" s="2" t="n">
        <x:f>'_曲线基线'!$L$4+AI$9*($H$10*H108+$I$10*I108+$J$10*J108+$K$10*K108+$L$10*L108)</x:f>
        <x:v>2.612724386489705</x:v>
      </x:c>
      <x:c r="AJ108" s="2" t="n">
        <x:f t="shared" si="113">1+AJ$9*($H$10*H108+$I$10*I108+$J$10*J108+$K$10*K108+$L$10*L108)</x:f>
        <x:v>1.5027482145556559</x:v>
      </x:c>
      <x:c r="AK108" s="1" t="n">
        <x:f t="shared" si="114">(1+AH108*(AI108-1))*AJ108</x:f>
        <x:v>2.1569827659684866</x:v>
      </x:c>
      <x:c r="AL108" s="1" t="n">
        <x:f t="shared" si="115">U108*AD108*AK108*F108</x:f>
        <x:v>376315.68390589784</x:v>
      </x:c>
      <x:c r="AM108" s="13" t="n">
        <x:f t="shared" si="116">IF($B108&lt;AM$8,0,AM$3+(AM$4-AM$3)*(POWER(AM$5,$B108-AM$8)-1)/(POWER(AM$5,$C$5-AM$8)-1))</x:f>
        <x:v>37.1469663162428</x:v>
      </x:c>
      <x:c r="AN108" s="13" t="n">
        <x:f>(((E108*'模块规划'!$D$10+G108*'模块规划'!$D$11+H108*'模块规划'!$D$13)*(1+'模块规划'!$G$14*H108)+(I108*'模块规划'!$D$15+J108*'模块规划'!$D$17+K108*'模块规划'!$D$16+L108*'模块规划'!$D$18))*(1+'模块规划'!$J$17*J108))*F108/(1-Q108)</x:f>
        <x:v>729439.2855275687</x:v>
      </x:c>
      <x:c r="AO108" s="1" t="n">
        <x:f t="shared" si="117">AL108*AM108</x:f>
        <x:v>13978986.03432626</x:v>
      </x:c>
      <x:c r="AP108" s="1" t="n">
        <x:f>IF(AO108="","",INDEX('_曲线基线'!$A$3:$A$502,MIN(ROWS('_曲线基线'!$A$3:$A$502),COUNTIF('_曲线基线'!$E$3:$E$502,"&lt;"&amp;AO108)+1)))</x:f>
        <x:v>162</x:v>
      </x:c>
      <x:c r="AQ108" s="14" t="n">
        <x:f t="shared" si="118">IF(B108&lt;=2,1,IF(B108&lt;=6,2,IF(B108&lt;=9,3,IF(B108&lt;=19,4,5))))</x:f>
        <x:v>5</x:v>
      </x:c>
      <x:c r="AR108" s="10" t="n">
        <x:f t="shared" si="119">AN108*(1-Q108)/F108*$AS$3+U108*$AS$4+P108*$AS$5</x:f>
        <x:v>7285.679953066874</x:v>
      </x:c>
      <x:c r="AS108" s="15" t="n">
        <x:f t="shared" si="120">1+AH108*$AS$6+AI108*$AS$7+(AJ108-1)*$AS$8+($H$10*H108+$I$10*I108+$J$10*J108+$K$10*K108+$L$10*L108)*$AU$3*$AS$9+($H$10*H108+$I$10*I108+$J$10*J108+$K$10*K108+$L$10*L108)*$AU$4*$AS$10</x:f>
        <x:v>10.758460205261388</x:v>
      </x:c>
      <x:c r="AT108" s="16" t="n">
        <x:f t="shared" si="121">ROUND(AR108*AS108,0)</x:f>
        <x:v>78383</x:v>
      </x:c>
      <x:c r="AU108" s="16" t="n">
        <x:f t="shared" si="122">ROUND(AT108*F108,0)</x:f>
        <x:v>391915</x:v>
      </x:c>
      <x:c r="AV108" t="n">
        <x:f>IF(AU108&gt;0,ROUND(AU108,-MAX(0,INT(LOG10(AU108))-2)),0)</x:f>
        <x:v>392000</x:v>
      </x:c>
    </x:row>
    <x:row r="109" customHeight="1">
      <x:c r="A109" s="1" t="n">
        <x:f>IFERROR(XLOOKUP(B109,'_曲线基线'!$G$3:$G$107,'_曲线基线'!$J$3:$J$107,""),"")</x:f>
        <x:v>37</x:v>
      </x:c>
      <x:c r="B109" s="1" t="n">
        <x:v>98</x:v>
      </x:c>
      <x:c r="C109" s="1" t="n">
        <x:f t="shared" si="67">C94+1</x:f>
        <x:v>7</x:v>
      </x:c>
      <x:c r="D109" s="1" t="n">
        <x:f t="shared" si="68">D94</x:f>
        <x:v>14</x:v>
      </x:c>
      <x:c r="E109" s="1" t="n">
        <x:f t="shared" si="94">IF($B109&lt;E$8,0,E$3+(E$4-E$3)*(POWER(E$5,$B109-E$8)-1)/(POWER(E$5,$C$5-E$8)-1))</x:f>
        <x:v>1</x:v>
      </x:c>
      <x:c r="F109" s="10" t="n">
        <x:f t="shared" si="95">1+IF(B109&lt;3,0,MIN(1,(B109-2)/4))+IF(B109&lt;7,0,MIN(1,(B109-6)/3))+IF(B109&lt;10,0,MIN(1,(B109-9)/5))+IF(B109&lt;20,0,MIN(1,(B109-19)/10))</x:f>
        <x:v>5</x:v>
      </x:c>
      <x:c r="G109" s="11" t="n">
        <x:f t="shared" ref="G109:L109" si="155">'玩家战力_节点'!G109</x:f>
        <x:v>0.5938937455396385</x:v>
      </x:c>
      <x:c r="H109" s="11" t="n">
        <x:f t="shared" si="155">'玩家战力_节点'!H109</x:f>
        <x:v>0.46272958330898234</x:v>
      </x:c>
      <x:c r="I109" s="11" t="n">
        <x:f t="shared" si="155">'玩家战力_节点'!I109</x:f>
        <x:v>0.2446920923162483</x:v>
      </x:c>
      <x:c r="J109" s="11" t="n">
        <x:f t="shared" si="155">'玩家战力_节点'!J109</x:f>
        <x:v>0.32801345045750324</x:v>
      </x:c>
      <x:c r="K109" s="11" t="n">
        <x:f t="shared" si="155">'玩家战力_节点'!K109</x:f>
        <x:v>0</x:v>
      </x:c>
      <x:c r="L109" s="11" t="n">
        <x:f t="shared" si="155">'玩家战力_节点'!L109</x:f>
        <x:v>0.4411745579567584</x:v>
      </x:c>
      <x:c r="M109" s="2" t="n">
        <x:f>E109*'模块规划'!$F$10+G109*'模块规划'!$F$11+H109*'模块规划'!$F$13</x:f>
        <x:v>3850.6899785902647</x:v>
      </x:c>
      <x:c r="N109" s="2" t="n">
        <x:f>I109*'模块规划'!$F$15+J109*'模块规划'!$F$17+K109*'模块规划'!$F$16+L109*'模块规划'!$F$18</x:f>
        <x:v>7443.544032888811</x:v>
      </x:c>
      <x:c r="O109" s="2" t="n">
        <x:f t="shared" si="97">1+O$9*SUMPRODUCT($H$10:$L$10,H109:L109)/SUM($H$10:$L$10)</x:f>
        <x:v>2.1044147674573717</x:v>
      </x:c>
      <x:c r="P109" s="12" t="n">
        <x:f t="shared" si="98">M109*O109+N109</x:f>
        <x:v>15546.992888734274</x:v>
      </x:c>
      <x:c r="Q109" s="7" t="n">
        <x:f>P109/(P109+'_曲线基线'!$L$2)</x:f>
        <x:v>0.3931270560185408</x:v>
      </x:c>
      <x:c r="R109" s="2" t="n">
        <x:f>E109*'模块规划'!$E$10+G109*'模块规划'!$E$11+H109*'模块规划'!$E$13</x:f>
        <x:v>5776.034967885397</x:v>
      </x:c>
      <x:c r="S109" s="2" t="n">
        <x:f>I109*'模块规划'!$E$15+J109*'模块规划'!$E$17+K109*'模块规划'!$E$16+L109*'模块规划'!$E$18</x:f>
        <x:v>11165.316049333216</x:v>
      </x:c>
      <x:c r="T109" s="2" t="n">
        <x:f t="shared" si="99">1+T$9*SUMPRODUCT($H$10:$L$10,H109:L109)/SUM($H$10:$L$10)</x:f>
        <x:v>2.1044147674573717</x:v>
      </x:c>
      <x:c r="U109" s="12" t="n">
        <x:f t="shared" si="100">R109*T109+S109</x:f>
        <x:v>23320.48933310141</x:v>
      </x:c>
      <x:c r="V109" s="2" t="n">
        <x:f t="shared" si="101">V$8+(V$9-V$8)*H109</x:f>
        <x:v>0.8388188749926947</x:v>
      </x:c>
      <x:c r="W109" s="2" t="n">
        <x:f t="shared" si="102">IF(B109&lt;$H$8,0,W$8+(W$9-W$8)*H109)</x:f>
        <x:v>0.18509183332359294</x:v>
      </x:c>
      <x:c r="X109" s="2" t="n">
        <x:f t="shared" si="103">X$8+(X$9-X$8)*H109</x:f>
        <x:v>0.4022506354099702</x:v>
      </x:c>
      <x:c r="Y109" s="2" t="n">
        <x:f t="shared" si="104">Y$8+(Y$9-Y$8)*G109</x:f>
        <x:v>1</x:v>
      </x:c>
      <x:c r="Z109" s="2" t="n">
        <x:f t="shared" si="105">Z$8+(Z$9-Z$8)*H109</x:f>
        <x:v>1</x:v>
      </x:c>
      <x:c r="AA109" s="2" t="n">
        <x:f t="shared" si="106">AA$8+(AA$9-AA$8)*I109</x:f>
        <x:v>1</x:v>
      </x:c>
      <x:c r="AB109" s="2" t="n">
        <x:f t="shared" si="107">AB$8+(AB$9-AB$8)*J109</x:f>
        <x:v>1</x:v>
      </x:c>
      <x:c r="AC109" s="2" t="n">
        <x:f t="shared" si="108">AC$8+(AC$9-AC$8)*MAX(K109,L109)</x:f>
        <x:v>1</x:v>
      </x:c>
      <x:c r="AD109" s="1" t="n">
        <x:f t="shared" si="109">(V109*AE109+W109*AF109+X109*AG109)*PRODUCT(Y109:AC109)</x:f>
        <x:v>1.51369060395262</x:v>
      </x:c>
      <x:c r="AE109" s="2" t="n">
        <x:f t="shared" si="110">1+AE$9*($H$10*H109+$I$10*I109+$J$10*J109+$K$10*K109+$L$10*L109)</x:f>
        <x:v>1</x:v>
      </x:c>
      <x:c r="AF109" s="2" t="n">
        <x:f t="shared" si="111">1+AF$9*($H$10*H109+$I$10*I109+$J$10*J109+$K$10*K109+$L$10*L109)</x:f>
        <x:v>1.0974746636865211</x:v>
      </x:c>
      <x:c r="AG109" s="2" t="n">
        <x:f t="shared" si="112">1+AG$9*($H$10*H109+$I$10*I109+$J$10*J109+$K$10*K109+$L$10*L109)</x:f>
        <x:v>1.1727467650888914</x:v>
      </x:c>
      <x:c r="AH109" s="2" t="n">
        <x:f>MIN(1,'_曲线基线'!$L$3+AH$9*($H$10*H109+$I$10*I109+$J$10*J109+$K$10*K109+$L$10*L109))</x:f>
        <x:v>0.2717548598868353</x:v>
      </x:c>
      <x:c r="AI109" s="2" t="n">
        <x:f>'_曲线基线'!$L$4+AI$9*($H$10*H109+$I$10*I109+$J$10*J109+$K$10*K109+$L$10*L109)</x:f>
        <x:v>2.617745681113327</x:v>
      </x:c>
      <x:c r="AJ109" s="2" t="n">
        <x:f t="shared" si="113">1+AJ$9*($H$10*H109+$I$10*I109+$J$10*J109+$K$10*K109+$L$10*L109)</x:f>
        <x:v>1.5068682511699092</x:v>
      </x:c>
      <x:c r="AK109" s="1" t="n">
        <x:f t="shared" si="114">(1+AH109*(AI109-1))*AJ109</x:f>
        <x:v>2.1693331185102323</x:v>
      </x:c>
      <x:c r="AL109" s="1" t="n">
        <x:f t="shared" si="115">U109*AD109*AK109*F109</x:f>
        <x:v>382887.3559749977</x:v>
      </x:c>
      <x:c r="AM109" s="13" t="n">
        <x:f t="shared" si="116">IF($B109&lt;AM$8,0,AM$3+(AM$4-AM$3)*(POWER(AM$5,$B109-AM$8)-1)/(POWER(AM$5,$C$5-AM$8)-1))</x:f>
        <x:v>37.1818606193271</x:v>
      </x:c>
      <x:c r="AN109" s="13" t="n">
        <x:f>(((E109*'模块规划'!$D$10+G109*'模块规划'!$D$11+H109*'模块规划'!$D$13)*(1+'模块规划'!$G$14*H109)+(I109*'模块规划'!$D$15+J109*'模块规划'!$D$17+K109*'模块规划'!$D$16+L109*'模块规划'!$D$18))*(1+'模块规划'!$J$17*J109))*F109/(1-Q109)</x:f>
        <x:v>740463.5945013535</x:v>
      </x:c>
      <x:c r="AO109" s="1" t="n">
        <x:f t="shared" si="117">AL109*AM109</x:f>
        <x:v>14236464.302765042</x:v>
      </x:c>
      <x:c r="AP109" s="1" t="n">
        <x:f>IF(AO109="","",INDEX('_曲线基线'!$A$3:$A$502,MIN(ROWS('_曲线基线'!$A$3:$A$502),COUNTIF('_曲线基线'!$E$3:$E$502,"&lt;"&amp;AO109)+1)))</x:f>
        <x:v>163</x:v>
      </x:c>
      <x:c r="AQ109" s="14" t="n">
        <x:f t="shared" si="118">IF(B109&lt;=2,1,IF(B109&lt;=6,2,IF(B109&lt;=9,3,IF(B109&lt;=19,4,5))))</x:f>
        <x:v>5</x:v>
      </x:c>
      <x:c r="AR109" s="10" t="n">
        <x:f t="shared" si="119">AN109*(1-Q109)/F109*$AS$3+U109*$AS$4+P109*$AS$5</x:f>
        <x:v>7360.30179565706</x:v>
      </x:c>
      <x:c r="AS109" s="15" t="n">
        <x:f t="shared" si="120">1+AH109*$AS$6+AI109*$AS$7+(AJ109-1)*$AS$8+($H$10*H109+$I$10*I109+$J$10*J109+$K$10*K109+$L$10*L109)*$AU$3*$AS$9+($H$10*H109+$I$10*I109+$J$10*J109+$K$10*K109+$L$10*L109)*$AU$4*$AS$10</x:f>
        <x:v>10.805801910856243</x:v>
      </x:c>
      <x:c r="AT109" s="16" t="n">
        <x:f t="shared" si="121">ROUND(AR109*AS109,0)</x:f>
        <x:v>79534</x:v>
      </x:c>
      <x:c r="AU109" s="16" t="n">
        <x:f t="shared" si="122">ROUND(AT109*F109,0)</x:f>
        <x:v>397670</x:v>
      </x:c>
      <x:c r="AV109" t="n">
        <x:f>IF(AU109&gt;0,ROUND(AU109,-MAX(0,INT(LOG10(AU109))-2)),0)</x:f>
        <x:v>398000</x:v>
      </x:c>
    </x:row>
    <x:row r="110" customHeight="1">
      <x:c r="A110" s="1" t="n">
        <x:f>IFERROR(XLOOKUP(B110,'_曲线基线'!$G$3:$G$107,'_曲线基线'!$J$3:$J$107,""),"")</x:f>
        <x:v>37</x:v>
      </x:c>
      <x:c r="B110" s="1" t="n">
        <x:v>99</x:v>
      </x:c>
      <x:c r="C110" s="1" t="n">
        <x:f t="shared" si="67">C95+1</x:f>
        <x:v>7</x:v>
      </x:c>
      <x:c r="D110" s="1" t="n">
        <x:f t="shared" si="68">D95</x:f>
        <x:v>15</x:v>
      </x:c>
      <x:c r="E110" s="1" t="n">
        <x:f t="shared" si="94">IF($B110&lt;E$8,0,E$3+(E$4-E$3)*(POWER(E$5,$B110-E$8)-1)/(POWER(E$5,$C$5-E$8)-1))</x:f>
        <x:v>1</x:v>
      </x:c>
      <x:c r="F110" s="10" t="n">
        <x:f t="shared" si="95">1+IF(B110&lt;3,0,MIN(1,(B110-2)/4))+IF(B110&lt;7,0,MIN(1,(B110-6)/3))+IF(B110&lt;10,0,MIN(1,(B110-9)/5))+IF(B110&lt;20,0,MIN(1,(B110-19)/10))</x:f>
        <x:v>5</x:v>
      </x:c>
      <x:c r="G110" s="11" t="n">
        <x:f t="shared" ref="G110:L110" si="156">'玩家战力_节点'!G110</x:f>
        <x:v>0.5965163386518368</x:v>
      </x:c>
      <x:c r="H110" s="11" t="n">
        <x:f t="shared" si="156">'玩家战力_节点'!H110</x:f>
        <x:v>0.4649411942703667</x:v>
      </x:c>
      <x:c r="I110" s="11" t="n">
        <x:f t="shared" si="156">'玩家战力_节点'!I110</x:f>
        <x:v>0.250378517848455</x:v>
      </x:c>
      <x:c r="J110" s="11" t="n">
        <x:f t="shared" si="156">'玩家战力_节点'!J110</x:f>
        <x:v>0.3308703072893973</x:v>
      </x:c>
      <x:c r="K110" s="11" t="n">
        <x:f t="shared" si="156">'玩家战力_节点'!K110</x:f>
        <x:v>0</x:v>
      </x:c>
      <x:c r="L110" s="11" t="n">
        <x:f t="shared" si="156">'玩家战力_节点'!L110</x:f>
        <x:v>0.4438223764838798</x:v>
      </x:c>
      <x:c r="M110" s="2" t="n">
        <x:f>E110*'模块规划'!$F$10+G110*'模块规划'!$F$11+H110*'模块规划'!$F$13</x:f>
        <x:v>3863.278425528817</x:v>
      </x:c>
      <x:c r="N110" s="2" t="n">
        <x:f>I110*'模块规划'!$F$15+J110*'模块规划'!$F$17+K110*'模块规划'!$F$16+L110*'模块规划'!$F$18</x:f>
        <x:v>7530.843098101012</x:v>
      </x:c>
      <x:c r="O110" s="2" t="n">
        <x:f t="shared" si="97">1+O$9*SUMPRODUCT($H$10:$L$10,H110:L110)/SUM($H$10:$L$10)</x:f>
        <x:v>2.1133919114563184</x:v>
      </x:c>
      <x:c r="P110" s="12" t="n">
        <x:f t="shared" si="98">M110*O110+N110</x:f>
        <x:v>15695.464474317316</x:v>
      </x:c>
      <x:c r="Q110" s="7" t="n">
        <x:f>P110/(P110+'_曲线基线'!$L$2)</x:f>
        <x:v>0.39539692209602867</x:v>
      </x:c>
      <x:c r="R110" s="2" t="n">
        <x:f>E110*'模块规划'!$E$10+G110*'模块规划'!$E$11+H110*'模块规划'!$E$13</x:f>
        <x:v>5794.9176382932255</x:v>
      </x:c>
      <x:c r="S110" s="2" t="n">
        <x:f>I110*'模块规划'!$E$15+J110*'模块规划'!$E$17+K110*'模块规划'!$E$16+L110*'模块规划'!$E$18</x:f>
        <x:v>11296.264647151518</x:v>
      </x:c>
      <x:c r="T110" s="2" t="n">
        <x:f t="shared" si="99">1+T$9*SUMPRODUCT($H$10:$L$10,H110:L110)/SUM($H$10:$L$10)</x:f>
        <x:v>2.1133919114563184</x:v>
      </x:c>
      <x:c r="U110" s="12" t="n">
        <x:f t="shared" si="100">R110*T110+S110</x:f>
        <x:v>23543.196711475972</x:v>
      </x:c>
      <x:c r="V110" s="2" t="n">
        <x:f t="shared" si="101">V$8+(V$9-V$8)*H110</x:f>
        <x:v>0.83948235828111</x:v>
      </x:c>
      <x:c r="W110" s="2" t="n">
        <x:f t="shared" si="102">IF(B110&lt;$H$8,0,W$8+(W$9-W$8)*H110)</x:f>
        <x:v>0.18597647770814668</x:v>
      </x:c>
      <x:c r="X110" s="2" t="n">
        <x:f t="shared" si="103">X$8+(X$9-X$8)*H110</x:f>
        <x:v>0.40285882842435083</x:v>
      </x:c>
      <x:c r="Y110" s="2" t="n">
        <x:f t="shared" si="104">Y$8+(Y$9-Y$8)*G110</x:f>
        <x:v>1</x:v>
      </x:c>
      <x:c r="Z110" s="2" t="n">
        <x:f t="shared" si="105">Z$8+(Z$9-Z$8)*H110</x:f>
        <x:v>1</x:v>
      </x:c>
      <x:c r="AA110" s="2" t="n">
        <x:f t="shared" si="106">AA$8+(AA$9-AA$8)*I110</x:f>
        <x:v>1</x:v>
      </x:c>
      <x:c r="AB110" s="2" t="n">
        <x:f t="shared" si="107">AB$8+(AB$9-AB$8)*J110</x:f>
        <x:v>1</x:v>
      </x:c>
      <x:c r="AC110" s="2" t="n">
        <x:f t="shared" si="108">AC$8+(AC$9-AC$8)*MAX(K110,L110)</x:f>
        <x:v>1</x:v>
      </x:c>
      <x:c r="AD110" s="1" t="n">
        <x:f t="shared" si="109">(V110*AE110+W110*AF110+X110*AG110)*PRODUCT(Y110:AC110)</x:f>
        <x:v>1.5167512476902505</x:v>
      </x:c>
      <x:c r="AE110" s="2" t="n">
        <x:f t="shared" si="110">1+AE$9*($H$10*H110+$I$10*I110+$J$10*J110+$K$10*K110+$L$10*L110)</x:f>
        <x:v>1</x:v>
      </x:c>
      <x:c r="AF110" s="2" t="n">
        <x:f t="shared" si="111">1+AF$9*($H$10*H110+$I$10*I110+$J$10*J110+$K$10*K110+$L$10*L110)</x:f>
        <x:v>1.0982669784200314</x:v>
      </x:c>
      <x:c r="AG110" s="2" t="n">
        <x:f t="shared" si="112">1+AG$9*($H$10*H110+$I$10*I110+$J$10*J110+$K$10*K110+$L$10*L110)</x:f>
        <x:v>1.1741509228666125</x:v>
      </x:c>
      <x:c r="AH110" s="2" t="n">
        <x:f>MIN(1,'_曲线基线'!$L$3+AH$9*($H$10*H110+$I$10*I110+$J$10*J110+$K$10*K110+$L$10*L110))</x:f>
        <x:v>0.2735573759055712</x:v>
      </x:c>
      <x:c r="AI110" s="2" t="n">
        <x:f>'_曲线基线'!$L$4+AI$9*($H$10*H110+$I$10*I110+$J$10*J110+$K$10*K110+$L$10*L110)</x:f>
        <x:v>2.6227669757369485</x:v>
      </x:c>
      <x:c r="AJ110" s="2" t="n">
        <x:f t="shared" si="113">1+AJ$9*($H$10*H110+$I$10*I110+$J$10*J110+$K$10*K110+$L$10*L110)</x:f>
        <x:v>1.510988287784163</x:v>
      </x:c>
      <x:c r="AK110" s="1" t="n">
        <x:f t="shared" si="114">(1+AH110*(AI110-1))*AJ110</x:f>
        <x:v>2.1817460205134718</x:v>
      </x:c>
      <x:c r="AL110" s="1" t="n">
        <x:f t="shared" si="115">U110*AD110*AK110*F110</x:f>
        <x:v>389541.73029832507</x:v>
      </x:c>
      <x:c r="AM110" s="13" t="n">
        <x:f t="shared" si="116">IF($B110&lt;AM$8,0,AM$3+(AM$4-AM$3)*(POWER(AM$5,$B110-AM$8)-1)/(POWER(AM$5,$C$5-AM$8)-1))</x:f>
        <x:v>37.21710386544224</x:v>
      </x:c>
      <x:c r="AN110" s="13" t="n">
        <x:f>(((E110*'模块规划'!$D$10+G110*'模块规划'!$D$11+H110*'模块规划'!$D$13)*(1+'模块规划'!$G$14*H110)+(I110*'模块规划'!$D$15+J110*'模块规划'!$D$17+K110*'模块规划'!$D$16+L110*'模块规划'!$D$18))*(1+'模块规划'!$J$17*J110))*F110/(1-Q110)</x:f>
        <x:v>751589.12299661</x:v>
      </x:c>
      <x:c r="AO110" s="1" t="n">
        <x:f t="shared" si="117">AL110*AM110</x:f>
        <x:v>14497615.036436852</x:v>
      </x:c>
      <x:c r="AP110" s="1" t="n">
        <x:f>IF(AO110="","",INDEX('_曲线基线'!$A$3:$A$502,MIN(ROWS('_曲线基线'!$A$3:$A$502),COUNTIF('_曲线基线'!$E$3:$E$502,"&lt;"&amp;AO110)+1)))</x:f>
        <x:v>164</x:v>
      </x:c>
      <x:c r="AQ110" s="14" t="n">
        <x:f t="shared" si="118">IF(B110&lt;=2,1,IF(B110&lt;=6,2,IF(B110&lt;=9,3,IF(B110&lt;=19,4,5))))</x:f>
        <x:v>5</x:v>
      </x:c>
      <x:c r="AR110" s="10" t="n">
        <x:f t="shared" si="119">AN110*(1-Q110)/F110*$AS$3+U110*$AS$4+P110*$AS$5</x:f>
        <x:v>7435.117924792576</x:v>
      </x:c>
      <x:c r="AS110" s="15" t="n">
        <x:f t="shared" si="120">1+AH110*$AS$6+AI110*$AS$7+(AJ110-1)*$AS$8+($H$10*H110+$I$10*I110+$J$10*J110+$K$10*K110+$L$10*L110)*$AU$3*$AS$9+($H$10*H110+$I$10*I110+$J$10*J110+$K$10*K110+$L$10*L110)*$AU$4*$AS$10</x:f>
        <x:v>10.853143616451101</x:v>
      </x:c>
      <x:c r="AT110" s="16" t="n">
        <x:f t="shared" si="121">ROUND(AR110*AS110,0)</x:f>
        <x:v>80694</x:v>
      </x:c>
      <x:c r="AU110" s="16" t="n">
        <x:f t="shared" si="122">ROUND(AT110*F110,0)</x:f>
        <x:v>403470</x:v>
      </x:c>
      <x:c r="AV110" t="n">
        <x:f>IF(AU110&gt;0,ROUND(AU110,-MAX(0,INT(LOG10(AU110))-2)),0)</x:f>
        <x:v>403000</x:v>
      </x:c>
    </x:row>
    <x:row r="111" customHeight="1">
      <x:c r="A111" s="1" t="n">
        <x:f>IFERROR(XLOOKUP(B111,'_曲线基线'!$G$3:$G$107,'_曲线基线'!$J$3:$J$107,""),"")</x:f>
        <x:v>38</x:v>
      </x:c>
      <x:c r="B111" s="1" t="n">
        <x:v>100</x:v>
      </x:c>
      <x:c r="C111" s="1" t="n">
        <x:f t="shared" si="67">C96+1</x:f>
        <x:v>8</x:v>
      </x:c>
      <x:c r="D111" s="1" t="n">
        <x:f t="shared" si="68">D96</x:f>
        <x:v>1</x:v>
      </x:c>
      <x:c r="E111" s="1" t="n">
        <x:f t="shared" si="94">IF($B111&lt;E$8,0,E$3+(E$4-E$3)*(POWER(E$5,$B111-E$8)-1)/(POWER(E$5,$C$5-E$8)-1))</x:f>
        <x:v>1</x:v>
      </x:c>
      <x:c r="F111" s="10" t="n">
        <x:f t="shared" si="95">1+IF(B111&lt;3,0,MIN(1,(B111-2)/4))+IF(B111&lt;7,0,MIN(1,(B111-6)/3))+IF(B111&lt;10,0,MIN(1,(B111-9)/5))+IF(B111&lt;20,0,MIN(1,(B111-19)/10))</x:f>
        <x:v>5</x:v>
      </x:c>
      <x:c r="G111" s="11" t="n">
        <x:f t="shared" ref="G111:L111" si="157">'玩家战力_节点'!G111</x:f>
        <x:v>0.5988535443004814</x:v>
      </x:c>
      <x:c r="H111" s="11" t="n">
        <x:f t="shared" si="157">'玩家战力_节点'!H111</x:f>
        <x:v>0.46683556533676124</x:v>
      </x:c>
      <x:c r="I111" s="11" t="n">
        <x:f t="shared" si="157">'玩家战力_节点'!I111</x:f>
        <x:v>0.2552492659987868</x:v>
      </x:c>
      <x:c r="J111" s="11" t="n">
        <x:f t="shared" si="157">'玩家战力_节点'!J111</x:f>
        <x:v>0.3333173682859582</x:v>
      </x:c>
      <x:c r="K111" s="11" t="n">
        <x:f t="shared" si="157">'玩家战力_节点'!K111</x:f>
        <x:v>0</x:v>
      </x:c>
      <x:c r="L111" s="11" t="n">
        <x:f t="shared" si="157">'玩家战力_节点'!L111</x:f>
        <x:v>0.4460903842367907</x:v>
      </x:c>
      <x:c r="M111" s="2" t="n">
        <x:f>E111*'模块规划'!$F$10+G111*'模块规划'!$F$11+H111*'模块规划'!$F$13</x:f>
        <x:v>3874.497012642311</x:v>
      </x:c>
      <x:c r="N111" s="2" t="n">
        <x:f>I111*'模块规划'!$F$15+J111*'模块规划'!$F$17+K111*'模块规划'!$F$16+L111*'模块规划'!$F$18</x:f>
        <x:v>7605.61973203383</x:v>
      </x:c>
      <x:c r="O111" s="2" t="n">
        <x:f t="shared" si="97">1+O$9*SUMPRODUCT($H$10:$L$10,H111:L111)/SUM($H$10:$L$10)</x:f>
        <x:v>2.1210813478659727</x:v>
      </x:c>
      <x:c r="P111" s="12" t="n">
        <x:f t="shared" si="98">M111*O111+N111</x:f>
        <x:v>15823.743077911866</x:v>
      </x:c>
      <x:c r="Q111" s="7" t="n">
        <x:f>P111/(P111+'_曲线基线'!$L$2)</x:f>
        <x:v>0.39734444466844865</x:v>
      </x:c>
      <x:c r="R111" s="2" t="n">
        <x:f>E111*'模块规划'!$E$10+G111*'模块规划'!$E$11+H111*'模块规划'!$E$13</x:f>
        <x:v>5811.745518963467</x:v>
      </x:c>
      <x:c r="S111" s="2" t="n">
        <x:f>I111*'模块规划'!$E$15+J111*'模块规划'!$E$17+K111*'模块规划'!$E$16+L111*'模块规划'!$E$18</x:f>
        <x:v>11408.429598050745</x:v>
      </x:c>
      <x:c r="T111" s="2" t="n">
        <x:f t="shared" si="99">1+T$9*SUMPRODUCT($H$10:$L$10,H111:L111)/SUM($H$10:$L$10)</x:f>
        <x:v>2.1210813478659727</x:v>
      </x:c>
      <x:c r="U111" s="12" t="n">
        <x:f t="shared" si="100">R111*T111+S111</x:f>
        <x:v>23735.614616867802</x:v>
      </x:c>
      <x:c r="V111" s="2" t="n">
        <x:f t="shared" si="101">V$8+(V$9-V$8)*H111</x:f>
        <x:v>0.8400506696010284</x:v>
      </x:c>
      <x:c r="W111" s="2" t="n">
        <x:f t="shared" si="102">IF(B111&lt;$H$8,0,W$8+(W$9-W$8)*H111)</x:f>
        <x:v>0.1867342261347045</x:v>
      </x:c>
      <x:c r="X111" s="2" t="n">
        <x:f t="shared" si="103">X$8+(X$9-X$8)*H111</x:f>
        <x:v>0.40337978046760936</x:v>
      </x:c>
      <x:c r="Y111" s="2" t="n">
        <x:f t="shared" si="104">Y$8+(Y$9-Y$8)*G111</x:f>
        <x:v>1</x:v>
      </x:c>
      <x:c r="Z111" s="2" t="n">
        <x:f t="shared" si="105">Z$8+(Z$9-Z$8)*H111</x:f>
        <x:v>1</x:v>
      </x:c>
      <x:c r="AA111" s="2" t="n">
        <x:f t="shared" si="106">AA$8+(AA$9-AA$8)*I111</x:f>
        <x:v>1</x:v>
      </x:c>
      <x:c r="AB111" s="2" t="n">
        <x:f t="shared" si="107">AB$8+(AB$9-AB$8)*J111</x:f>
        <x:v>1</x:v>
      </x:c>
      <x:c r="AC111" s="2" t="n">
        <x:f t="shared" si="108">AC$8+(AC$9-AC$8)*MAX(K111,L111)</x:f>
        <x:v>1</x:v>
      </x:c>
      <x:c r="AD111" s="1" t="n">
        <x:f t="shared" si="109">(V111*AE111+W111*AF111+X111*AG111)*PRODUCT(Y111:AC111)</x:f>
        <x:v>1.5193753365076699</x:v>
      </x:c>
      <x:c r="AE111" s="2" t="n">
        <x:f t="shared" si="110">1+AE$9*($H$10*H111+$I$10*I111+$J$10*J111+$K$10*K111+$L$10*L111)</x:f>
        <x:v>1</x:v>
      </x:c>
      <x:c r="AF111" s="2" t="n">
        <x:f t="shared" si="111">1+AF$9*($H$10*H111+$I$10*I111+$J$10*J111+$K$10*K111+$L$10*L111)</x:f>
        <x:v>1.0989456412286567</x:v>
      </x:c>
      <x:c r="AG111" s="2" t="n">
        <x:f t="shared" si="112">1+AG$9*($H$10*H111+$I$10*I111+$J$10*J111+$K$10*K111+$L$10*L111)</x:f>
        <x:v>1.1753536641774542</x:v>
      </x:c>
      <x:c r="AH111" s="2" t="n">
        <x:f>MIN(1,'_曲线基线'!$L$3+AH$9*($H$10*H111+$I$10*I111+$J$10*J111+$K$10*K111+$L$10*L111))</x:f>
        <x:v>0.2751013337951939</x:v>
      </x:c>
      <x:c r="AI111" s="2" t="n">
        <x:f>'_曲线基线'!$L$4+AI$9*($H$10*H111+$I$10*I111+$J$10*J111+$K$10*K111+$L$10*L111)</x:f>
        <x:v>2.6270680012866117</x:v>
      </x:c>
      <x:c r="AJ111" s="2" t="n">
        <x:f t="shared" si="113">1+AJ$9*($H$10*H111+$I$10*I111+$J$10*J111+$K$10*K111+$L$10*L111)</x:f>
        <x:v>1.5145173343890148</x:v>
      </x:c>
      <x:c r="AK111" s="1" t="n">
        <x:f t="shared" si="114">(1+AH111*(AI111-1))*AJ111</x:f>
        <x:v>2.192428283775638</x:v>
      </x:c>
      <x:c r="AL111" s="1" t="n">
        <x:f t="shared" si="115">U111*AD111*AK111*F111</x:f>
        <x:v>395331.0762524642</x:v>
      </x:c>
      <x:c r="AM111" s="13" t="n">
        <x:f t="shared" si="116">IF($B111&lt;AM$8,0,AM$3+(AM$4-AM$3)*(POWER(AM$5,$B111-AM$8)-1)/(POWER(AM$5,$C$5-AM$8)-1))</x:f>
        <x:v>37.252699544018526</x:v>
      </x:c>
      <x:c r="AN111" s="13" t="n">
        <x:f>(((E111*'模块规划'!$D$10+G111*'模块规划'!$D$11+H111*'模块规划'!$D$13)*(1+'模块规划'!$G$14*H111)+(I111*'模块规划'!$D$15+J111*'模块规划'!$D$17+K111*'模块规划'!$D$16+L111*'模块规划'!$D$18))*(1+'模块规划'!$J$17*J111))*F111/(1-Q111)</x:f>
        <x:v>761253.2955452682</x:v>
      </x:c>
      <x:c r="AO111" s="1" t="n">
        <x:f t="shared" si="117">AL111*AM111</x:f>
        <x:v>14727149.804046527</x:v>
      </x:c>
      <x:c r="AP111" s="1" t="n">
        <x:f>IF(AO111="","",INDEX('_曲线基线'!$A$3:$A$502,MIN(ROWS('_曲线基线'!$A$3:$A$502),COUNTIF('_曲线基线'!$E$3:$E$502,"&lt;"&amp;AO111)+1)))</x:f>
        <x:v>164</x:v>
      </x:c>
      <x:c r="AQ111" s="14" t="n">
        <x:f t="shared" si="118">IF(B111&lt;=2,1,IF(B111&lt;=6,2,IF(B111&lt;=9,3,IF(B111&lt;=19,4,5))))</x:f>
        <x:v>5</x:v>
      </x:c>
      <x:c r="AR111" s="10" t="n">
        <x:f t="shared" si="119">AN111*(1-Q111)/F111*$AS$3+U111*$AS$4+P111*$AS$5</x:f>
        <x:v>7499.764088822403</x:v>
      </x:c>
      <x:c r="AS111" s="15" t="n">
        <x:f t="shared" si="120">1+AH111*$AS$6+AI111*$AS$7+(AJ111-1)*$AS$8+($H$10*H111+$I$10*I111+$J$10*J111+$K$10*K111+$L$10*L111)*$AU$3*$AS$9+($H$10*H111+$I$10*I111+$J$10*J111+$K$10*K111+$L$10*L111)*$AU$4*$AS$10</x:f>
        <x:v>10.893694490397083</x:v>
      </x:c>
      <x:c r="AT111" s="16" t="n">
        <x:f t="shared" si="121">ROUND(AR111*AS111,0)</x:f>
        <x:v>81700</x:v>
      </x:c>
      <x:c r="AU111" s="16" t="n">
        <x:f t="shared" si="122">ROUND(AT111*F111,0)</x:f>
        <x:v>408500</x:v>
      </x:c>
      <x:c r="AV111" t="n">
        <x:f>IF(AU111&gt;0,ROUND(AU111,-MAX(0,INT(LOG10(AU111))-2)),0)</x:f>
        <x:v>409000</x:v>
      </x:c>
    </x:row>
    <x:row r="112" customHeight="1">
      <x:c r="A112" s="1" t="n">
        <x:f>IFERROR(XLOOKUP(B112,'_曲线基线'!$G$3:$G$107,'_曲线基线'!$J$3:$J$107,""),"")</x:f>
        <x:v>38</x:v>
      </x:c>
      <x:c r="B112" s="1" t="n">
        <x:v>101</x:v>
      </x:c>
      <x:c r="C112" s="1" t="n">
        <x:f t="shared" si="67">C97+1</x:f>
        <x:v>8</x:v>
      </x:c>
      <x:c r="D112" s="1" t="n">
        <x:f t="shared" si="68">D97</x:f>
        <x:v>2</x:v>
      </x:c>
      <x:c r="E112" s="1" t="n">
        <x:f t="shared" si="94">IF($B112&lt;E$8,0,E$3+(E$4-E$3)*(POWER(E$5,$B112-E$8)-1)/(POWER(E$5,$C$5-E$8)-1))</x:f>
        <x:v>1</x:v>
      </x:c>
      <x:c r="F112" s="10" t="n">
        <x:f t="shared" si="95">1+IF(B112&lt;3,0,MIN(1,(B112-2)/4))+IF(B112&lt;7,0,MIN(1,(B112-6)/3))+IF(B112&lt;10,0,MIN(1,(B112-9)/5))+IF(B112&lt;20,0,MIN(1,(B112-19)/10))</x:f>
        <x:v>5</x:v>
      </x:c>
      <x:c r="G112" s="11" t="n">
        <x:f t="shared" ref="G112:L112" si="158">'玩家战力_节点'!G112</x:f>
        <x:v>0.6016142540445126</x:v>
      </x:c>
      <x:c r="H112" s="11" t="n">
        <x:f t="shared" si="158">'玩家战力_节点'!H112</x:f>
        <x:v>0.4691413315865919</x:v>
      </x:c>
      <x:c r="I112" s="11" t="n">
        <x:f t="shared" si="158">'玩家战力_节点'!I112</x:f>
        <x:v>0.2600339011861636</x:v>
      </x:c>
      <x:c r="J112" s="11" t="n">
        <x:f t="shared" si="158">'玩家战力_节点'!J112</x:f>
        <x:v>0.33610306615777913</x:v>
      </x:c>
      <x:c r="K112" s="11" t="n">
        <x:f t="shared" si="158">'玩家战力_节点'!K112</x:f>
        <x:v>0.00904534902982068</x:v>
      </x:c>
      <x:c r="L112" s="11" t="n">
        <x:f t="shared" si="158">'玩家战力_节点'!L112</x:f>
        <x:v>0.4487099061287764</x:v>
      </x:c>
      <x:c r="M112" s="2" t="n">
        <x:f>E112*'模块规划'!$F$10+G112*'模块规划'!$F$11+H112*'模块规划'!$F$13</x:f>
        <x:v>3887.7484194136605</x:v>
      </x:c>
      <x:c r="N112" s="2" t="n">
        <x:f>I112*'模块规划'!$F$15+J112*'模块规划'!$F$17+K112*'模块规划'!$F$16+L112*'模块规划'!$F$18</x:f>
        <x:v>7739.123495889906</x:v>
      </x:c>
      <x:c r="O112" s="2" t="n">
        <x:f t="shared" si="97">1+O$9*SUMPRODUCT($H$10:$L$10,H112:L112)/SUM($H$10:$L$10)</x:f>
        <x:v>2.136380201800816</x:v>
      </x:c>
      <x:c r="P112" s="12" t="n">
        <x:f t="shared" si="98">M112*O112+N112</x:f>
        <x:v>16044.832248707666</x:v>
      </x:c>
      <x:c r="Q112" s="7" t="n">
        <x:f>P112/(P112+'_曲线基线'!$L$2)</x:f>
        <x:v>0.4006717308505011</x:v>
      </x:c>
      <x:c r="R112" s="2" t="n">
        <x:f>E112*'模块规划'!$E$10+G112*'模块规划'!$E$11+H112*'模块规划'!$E$13</x:f>
        <x:v>5831.622629120491</x:v>
      </x:c>
      <x:c r="S112" s="2" t="n">
        <x:f>I112*'模块规划'!$E$15+J112*'模块规划'!$E$17+K112*'模块规划'!$E$16+L112*'模块规划'!$E$18</x:f>
        <x:v>11608.68524383486</x:v>
      </x:c>
      <x:c r="T112" s="2" t="n">
        <x:f t="shared" si="99">1+T$9*SUMPRODUCT($H$10:$L$10,H112:L112)/SUM($H$10:$L$10)</x:f>
        <x:v>2.136380201800816</x:v>
      </x:c>
      <x:c r="U112" s="12" t="n">
        <x:f t="shared" si="100">R112*T112+S112</x:f>
        <x:v>24067.2483730615</x:v>
      </x:c>
      <x:c r="V112" s="2" t="n">
        <x:f t="shared" si="101">V$8+(V$9-V$8)*H112</x:f>
        <x:v>0.8407423994759775</x:v>
      </x:c>
      <x:c r="W112" s="2" t="n">
        <x:f t="shared" si="102">IF(B112&lt;$H$8,0,W$8+(W$9-W$8)*H112)</x:f>
        <x:v>0.18765653263463677</x:v>
      </x:c>
      <x:c r="X112" s="2" t="n">
        <x:f t="shared" si="103">X$8+(X$9-X$8)*H112</x:f>
        <x:v>0.4040138661863128</x:v>
      </x:c>
      <x:c r="Y112" s="2" t="n">
        <x:f t="shared" si="104">Y$8+(Y$9-Y$8)*G112</x:f>
        <x:v>1</x:v>
      </x:c>
      <x:c r="Z112" s="2" t="n">
        <x:f t="shared" si="105">Z$8+(Z$9-Z$8)*H112</x:f>
        <x:v>1</x:v>
      </x:c>
      <x:c r="AA112" s="2" t="n">
        <x:f t="shared" si="106">AA$8+(AA$9-AA$8)*I112</x:f>
        <x:v>1</x:v>
      </x:c>
      <x:c r="AB112" s="2" t="n">
        <x:f t="shared" si="107">AB$8+(AB$9-AB$8)*J112</x:f>
        <x:v>1</x:v>
      </x:c>
      <x:c r="AC112" s="2" t="n">
        <x:f t="shared" si="108">AC$8+(AC$9-AC$8)*MAX(K112,L112)</x:f>
        <x:v>1</x:v>
      </x:c>
      <x:c r="AD112" s="1" t="n">
        <x:f t="shared" si="109">(V112*AE112+W112*AF112+X112*AG112)*PRODUCT(Y112:AC112)</x:f>
        <x:v>1.5230460834200845</x:v>
      </x:c>
      <x:c r="AE112" s="2" t="n">
        <x:f t="shared" si="110">1+AE$9*($H$10*H112+$I$10*I112+$J$10*J112+$K$10*K112+$L$10*L112)</x:f>
        <x:v>1</x:v>
      </x:c>
      <x:c r="AF112" s="2" t="n">
        <x:f t="shared" si="111">1+AF$9*($H$10*H112+$I$10*I112+$J$10*J112+$K$10*K112+$L$10*L112)</x:f>
        <x:v>1.1002959044504366</x:v>
      </x:c>
      <x:c r="AG112" s="2" t="n">
        <x:f t="shared" si="112">1+AG$9*($H$10*H112+$I$10*I112+$J$10*J112+$K$10*K112+$L$10*L112)</x:f>
        <x:v>1.1777466306649416</x:v>
      </x:c>
      <x:c r="AH112" s="2" t="n">
        <x:f>MIN(1,'_曲线基线'!$L$3+AH$9*($H$10*H112+$I$10*I112+$J$10*J112+$K$10*K112+$L$10*L112))</x:f>
        <x:v>0.2781731826247428</x:v>
      </x:c>
      <x:c r="AI112" s="2" t="n">
        <x:f>'_曲线基线'!$L$4+AI$9*($H$10*H112+$I$10*I112+$J$10*J112+$K$10*K112+$L$10*L112)</x:f>
        <x:v>2.6356252944546403</x:v>
      </x:c>
      <x:c r="AJ112" s="2" t="n">
        <x:f t="shared" si="113">1+AJ$9*($H$10*H112+$I$10*I112+$J$10*J112+$K$10*K112+$L$10*L112)</x:f>
        <x:v>1.5215387031422694</x:v>
      </x:c>
      <x:c r="AK112" s="1" t="n">
        <x:f t="shared" si="114">(1+AH112*(AI112-1))*AJ112</x:f>
        <x:v>2.213819175697868</x:v>
      </x:c>
      <x:c r="AL112" s="1" t="n">
        <x:f t="shared" si="115">U112*AD112*AK112*F112</x:f>
        <x:v>405743.55804063025</x:v>
      </x:c>
      <x:c r="AM112" s="13" t="n">
        <x:f t="shared" si="116">IF($B112&lt;AM$8,0,AM$3+(AM$4-AM$3)*(POWER(AM$5,$B112-AM$8)-1)/(POWER(AM$5,$C$5-AM$8)-1))</x:f>
        <x:v>37.28865117938058</x:v>
      </x:c>
      <x:c r="AN112" s="13" t="n">
        <x:f>(((E112*'模块规划'!$D$10+G112*'模块规划'!$D$11+H112*'模块规划'!$D$13)*(1+'模块规划'!$G$14*H112)+(I112*'模块规划'!$D$15+J112*'模块规划'!$D$17+K112*'模块规划'!$D$16+L112*'模块规划'!$D$18))*(1+'模块规划'!$J$17*J112))*F112/(1-Q112)</x:f>
        <x:v>776696.1726326202</x:v>
      </x:c>
      <x:c r="AO112" s="1" t="n">
        <x:f t="shared" si="117">AL112*AM112</x:f>
        <x:v>15129630.004057819</x:v>
      </x:c>
      <x:c r="AP112" s="1" t="n">
        <x:f>IF(AO112="","",INDEX('_曲线基线'!$A$3:$A$502,MIN(ROWS('_曲线基线'!$A$3:$A$502),COUNTIF('_曲线基线'!$E$3:$E$502,"&lt;"&amp;AO112)+1)))</x:f>
        <x:v>166</x:v>
      </x:c>
      <x:c r="AQ112" s="14" t="n">
        <x:f t="shared" si="118">IF(B112&lt;=2,1,IF(B112&lt;=6,2,IF(B112&lt;=9,3,IF(B112&lt;=19,4,5))))</x:f>
        <x:v>5</x:v>
      </x:c>
      <x:c r="AR112" s="10" t="n">
        <x:f t="shared" si="119">AN112*(1-Q112)/F112*$AS$3+U112*$AS$4+P112*$AS$5</x:f>
        <x:v>7606.425511405991</x:v>
      </x:c>
      <x:c r="AS112" s="15" t="n">
        <x:f t="shared" si="120">1+AH112*$AS$6+AI112*$AS$7+(AJ112-1)*$AS$8+($H$10*H112+$I$10*I112+$J$10*J112+$K$10*K112+$L$10*L112)*$AU$3*$AS$9+($H$10*H112+$I$10*I112+$J$10*J112+$K$10*K112+$L$10*L112)*$AU$4*$AS$10</x:f>
        <x:v>10.974374252135007</x:v>
      </x:c>
      <x:c r="AT112" s="16" t="n">
        <x:f t="shared" si="121">ROUND(AR112*AS112,0)</x:f>
        <x:v>83476</x:v>
      </x:c>
      <x:c r="AU112" s="16" t="n">
        <x:f t="shared" si="122">ROUND(AT112*F112,0)</x:f>
        <x:v>417380</x:v>
      </x:c>
      <x:c r="AV112" t="n">
        <x:f>IF(AU112&gt;0,ROUND(AU112,-MAX(0,INT(LOG10(AU112))-2)),0)</x:f>
        <x:v>417000</x:v>
      </x:c>
    </x:row>
    <x:row r="113" customHeight="1">
      <x:c r="A113" s="1" t="n">
        <x:f>IFERROR(XLOOKUP(B113,'_曲线基线'!$G$3:$G$107,'_曲线基线'!$J$3:$J$107,""),"")</x:f>
        <x:v>38</x:v>
      </x:c>
      <x:c r="B113" s="1" t="n">
        <x:v>102</x:v>
      </x:c>
      <x:c r="C113" s="1" t="n">
        <x:f t="shared" si="67">C98+1</x:f>
        <x:v>8</x:v>
      </x:c>
      <x:c r="D113" s="1" t="n">
        <x:f t="shared" si="68">D98</x:f>
        <x:v>3</x:v>
      </x:c>
      <x:c r="E113" s="1" t="n">
        <x:f t="shared" si="94">IF($B113&lt;E$8,0,E$3+(E$4-E$3)*(POWER(E$5,$B113-E$8)-1)/(POWER(E$5,$C$5-E$8)-1))</x:f>
        <x:v>1</x:v>
      </x:c>
      <x:c r="F113" s="10" t="n">
        <x:f t="shared" si="95">1+IF(B113&lt;3,0,MIN(1,(B113-2)/4))+IF(B113&lt;7,0,MIN(1,(B113-6)/3))+IF(B113&lt;10,0,MIN(1,(B113-9)/5))+IF(B113&lt;20,0,MIN(1,(B113-19)/10))</x:f>
        <x:v>5</x:v>
      </x:c>
      <x:c r="G113" s="11" t="n">
        <x:f t="shared" ref="G113:L113" si="159">'玩家战力_节点'!G113</x:f>
        <x:v>0.6043749637885436</x:v>
      </x:c>
      <x:c r="H113" s="11" t="n">
        <x:f t="shared" si="159">'玩家战力_节点'!H113</x:f>
        <x:v>0.47144709783642247</x:v>
      </x:c>
      <x:c r="I113" s="11" t="n">
        <x:f t="shared" si="159">'玩家战力_节点'!I113</x:f>
        <x:v>0.26481853637354047</x:v>
      </x:c>
      <x:c r="J113" s="11" t="n">
        <x:f t="shared" si="159">'玩家战力_节点'!J113</x:f>
        <x:v>0.33888876402960005</x:v>
      </x:c>
      <x:c r="K113" s="11" t="n">
        <x:f t="shared" si="159">'玩家战力_节点'!K113</x:f>
        <x:v>0.01809069805964136</x:v>
      </x:c>
      <x:c r="L113" s="11" t="n">
        <x:f t="shared" si="159">'玩家战力_节点'!L113</x:f>
        <x:v>0.45132942802076226</x:v>
      </x:c>
      <x:c r="M113" s="2" t="n">
        <x:f>E113*'模块规划'!$F$10+G113*'模块规划'!$F$11+H113*'模块规划'!$F$13</x:f>
        <x:v>3900.999826185009</x:v>
      </x:c>
      <x:c r="N113" s="2" t="n">
        <x:f>I113*'模块规划'!$F$15+J113*'模块规划'!$F$17+K113*'模块规划'!$F$16+L113*'模块规划'!$F$18</x:f>
        <x:v>7872.627259745983</x:v>
      </x:c>
      <x:c r="O113" s="2" t="n">
        <x:f t="shared" si="97">1+O$9*SUMPRODUCT($H$10:$L$10,H113:L113)/SUM($H$10:$L$10)</x:f>
        <x:v>2.1516790557356593</x:v>
      </x:c>
      <x:c r="P113" s="12" t="n">
        <x:f t="shared" si="98">M113*O113+N113</x:f>
        <x:v>16266.326882176714</x:v>
      </x:c>
      <x:c r="Q113" s="7" t="n">
        <x:f>P113/(P113+'_曲线基线'!$L$2)</x:f>
        <x:v>0.4039684804073043</x:v>
      </x:c>
      <x:c r="R113" s="2" t="n">
        <x:f>E113*'模块规划'!$E$10+G113*'模块规划'!$E$11+H113*'模块规划'!$E$13</x:f>
        <x:v>5851.499739277514</x:v>
      </x:c>
      <x:c r="S113" s="2" t="n">
        <x:f>I113*'模块规划'!$E$15+J113*'模块规划'!$E$17+K113*'模块规划'!$E$16+L113*'模块规划'!$E$18</x:f>
        <x:v>11808.940889618978</x:v>
      </x:c>
      <x:c r="T113" s="2" t="n">
        <x:f t="shared" si="99">1+T$9*SUMPRODUCT($H$10:$L$10,H113:L113)/SUM($H$10:$L$10)</x:f>
        <x:v>2.1516790557356593</x:v>
      </x:c>
      <x:c r="U113" s="12" t="n">
        <x:f t="shared" si="100">R113*T113+S113</x:f>
        <x:v>24399.490323265076</x:v>
      </x:c>
      <x:c r="V113" s="2" t="n">
        <x:f t="shared" si="101">V$8+(V$9-V$8)*H113</x:f>
        <x:v>0.8414341293509267</x:v>
      </x:c>
      <x:c r="W113" s="2" t="n">
        <x:f t="shared" si="102">IF(B113&lt;$H$8,0,W$8+(W$9-W$8)*H113)</x:f>
        <x:v>0.188578839134569</x:v>
      </x:c>
      <x:c r="X113" s="2" t="n">
        <x:f t="shared" si="103">X$8+(X$9-X$8)*H113</x:f>
        <x:v>0.40464795190501623</x:v>
      </x:c>
      <x:c r="Y113" s="2" t="n">
        <x:f t="shared" si="104">Y$8+(Y$9-Y$8)*G113</x:f>
        <x:v>1</x:v>
      </x:c>
      <x:c r="Z113" s="2" t="n">
        <x:f t="shared" si="105">Z$8+(Z$9-Z$8)*H113</x:f>
        <x:v>1</x:v>
      </x:c>
      <x:c r="AA113" s="2" t="n">
        <x:f t="shared" si="106">AA$8+(AA$9-AA$8)*I113</x:f>
        <x:v>1</x:v>
      </x:c>
      <x:c r="AB113" s="2" t="n">
        <x:f t="shared" si="107">AB$8+(AB$9-AB$8)*J113</x:f>
        <x:v>1</x:v>
      </x:c>
      <x:c r="AC113" s="2" t="n">
        <x:f t="shared" si="108">AC$8+(AC$9-AC$8)*MAX(K113,L113)</x:f>
        <x:v>1</x:v>
      </x:c>
      <x:c r="AD113" s="1" t="n">
        <x:f t="shared" si="109">(V113*AE113+W113*AF113+X113*AG113)*PRODUCT(Y113:AC113)</x:f>
        <x:v>1.5267223557373413</x:v>
      </x:c>
      <x:c r="AE113" s="2" t="n">
        <x:f t="shared" si="110">1+AE$9*($H$10*H113+$I$10*I113+$J$10*J113+$K$10*K113+$L$10*L113)</x:f>
        <x:v>1</x:v>
      </x:c>
      <x:c r="AF113" s="2" t="n">
        <x:f t="shared" si="111">1+AF$9*($H$10*H113+$I$10*I113+$J$10*J113+$K$10*K113+$L$10*L113)</x:f>
        <x:v>1.1016461676722162</x:v>
      </x:c>
      <x:c r="AG113" s="2" t="n">
        <x:f t="shared" si="112">1+AG$9*($H$10*H113+$I$10*I113+$J$10*J113+$K$10*K113+$L$10*L113)</x:f>
        <x:v>1.1801395971524289</x:v>
      </x:c>
      <x:c r="AH113" s="2" t="n">
        <x:f>MIN(1,'_曲线基线'!$L$3+AH$9*($H$10*H113+$I$10*I113+$J$10*J113+$K$10*K113+$L$10*L113))</x:f>
        <x:v>0.28124503145429147</x:v>
      </x:c>
      <x:c r="AI113" s="2" t="n">
        <x:f>'_曲线基线'!$L$4+AI$9*($H$10*H113+$I$10*I113+$J$10*J113+$K$10*K113+$L$10*L113)</x:f>
        <x:v>2.6441825876226694</x:v>
      </x:c>
      <x:c r="AJ113" s="2" t="n">
        <x:f t="shared" si="113">1+AJ$9*($H$10*H113+$I$10*I113+$J$10*J113+$K$10*K113+$L$10*L113)</x:f>
        <x:v>1.5285600718955235</x:v>
      </x:c>
      <x:c r="AK113" s="1" t="n">
        <x:f t="shared" si="114">(1+AH113*(AI113-1))*AJ113</x:f>
        <x:v>2.2353940438229567</x:v>
      </x:c>
      <x:c r="AL113" s="1" t="n">
        <x:f t="shared" si="115">U113*AD113*AK113*F113</x:f>
        <x:v>416356.08220134873</x:v>
      </x:c>
      <x:c r="AM113" s="13" t="n">
        <x:f t="shared" si="116">IF($B113&lt;AM$8,0,AM$3+(AM$4-AM$3)*(POWER(AM$5,$B113-AM$8)-1)/(POWER(AM$5,$C$5-AM$8)-1))</x:f>
        <x:v>37.32496233109626</x:v>
      </x:c>
      <x:c r="AN113" s="13" t="n">
        <x:f>(((E113*'模块规划'!$D$10+G113*'模块规划'!$D$11+H113*'模块规划'!$D$13)*(1+'模块规划'!$G$14*H113)+(I113*'模块规划'!$D$15+J113*'模块规划'!$D$17+K113*'模块规划'!$D$16+L113*'模块规划'!$D$18))*(1+'模块规划'!$J$17*J113))*F113/(1-Q113)</x:f>
        <x:v>792319.1049332435</x:v>
      </x:c>
      <x:c r="AO113" s="1" t="n">
        <x:f t="shared" si="117">AL113*AM113</x:f>
        <x:v>15540475.084488159</x:v>
      </x:c>
      <x:c r="AP113" s="1" t="n">
        <x:f>IF(AO113="","",INDEX('_曲线基线'!$A$3:$A$502,MIN(ROWS('_曲线基线'!$A$3:$A$502),COUNTIF('_曲线基线'!$E$3:$E$502,"&lt;"&amp;AO113)+1)))</x:f>
        <x:v>167</x:v>
      </x:c>
      <x:c r="AQ113" s="14" t="n">
        <x:f t="shared" si="118">IF(B113&lt;=2,1,IF(B113&lt;=6,2,IF(B113&lt;=9,3,IF(B113&lt;=19,4,5))))</x:f>
        <x:v>5</x:v>
      </x:c>
      <x:c r="AR113" s="10" t="n">
        <x:f t="shared" si="119">AN113*(1-Q113)/F113*$AS$3+U113*$AS$4+P113*$AS$5</x:f>
        <x:v>7713.381025347129</x:v>
      </x:c>
      <x:c r="AS113" s="15" t="n">
        <x:f t="shared" si="120">1+AH113*$AS$6+AI113*$AS$7+(AJ113-1)*$AS$8+($H$10*H113+$I$10*I113+$J$10*J113+$K$10*K113+$L$10*L113)*$AU$3*$AS$9+($H$10*H113+$I$10*I113+$J$10*J113+$K$10*K113+$L$10*L113)*$AU$4*$AS$10</x:f>
        <x:v>11.055054013872926</x:v>
      </x:c>
      <x:c r="AT113" s="16" t="n">
        <x:f t="shared" si="121">ROUND(AR113*AS113,0)</x:f>
        <x:v>85272</x:v>
      </x:c>
      <x:c r="AU113" s="16" t="n">
        <x:f t="shared" si="122">ROUND(AT113*F113,0)</x:f>
        <x:v>426360</x:v>
      </x:c>
      <x:c r="AV113" t="n">
        <x:f>IF(AU113&gt;0,ROUND(AU113,-MAX(0,INT(LOG10(AU113))-2)),0)</x:f>
        <x:v>426000</x:v>
      </x:c>
    </x:row>
    <x:row r="114" customHeight="1">
      <x:c r="A114" s="1" t="n">
        <x:f>IFERROR(XLOOKUP(B114,'_曲线基线'!$G$3:$G$107,'_曲线基线'!$J$3:$J$107,""),"")</x:f>
        <x:v>38</x:v>
      </x:c>
      <x:c r="B114" s="1" t="n">
        <x:v>103</x:v>
      </x:c>
      <x:c r="C114" s="1" t="n">
        <x:f t="shared" si="67">C99+1</x:f>
        <x:v>8</x:v>
      </x:c>
      <x:c r="D114" s="1" t="n">
        <x:f t="shared" si="68">D99</x:f>
        <x:v>4</x:v>
      </x:c>
      <x:c r="E114" s="1" t="n">
        <x:f t="shared" si="94">IF($B114&lt;E$8,0,E$3+(E$4-E$3)*(POWER(E$5,$B114-E$8)-1)/(POWER(E$5,$C$5-E$8)-1))</x:f>
        <x:v>1</x:v>
      </x:c>
      <x:c r="F114" s="10" t="n">
        <x:f t="shared" si="95">1+IF(B114&lt;3,0,MIN(1,(B114-2)/4))+IF(B114&lt;7,0,MIN(1,(B114-6)/3))+IF(B114&lt;10,0,MIN(1,(B114-9)/5))+IF(B114&lt;20,0,MIN(1,(B114-19)/10))</x:f>
        <x:v>5</x:v>
      </x:c>
      <x:c r="G114" s="11" t="n">
        <x:f t="shared" ref="G114:L114" si="160">'玩家战力_节点'!G114</x:f>
        <x:v>0.6071356735325748</x:v>
      </x:c>
      <x:c r="H114" s="11" t="n">
        <x:f t="shared" si="160">'玩家战力_节点'!H114</x:f>
        <x:v>0.4737528640862531</x:v>
      </x:c>
      <x:c r="I114" s="11" t="n">
        <x:f t="shared" si="160">'玩家战力_节点'!I114</x:f>
        <x:v>0.26960317156091734</x:v>
      </x:c>
      <x:c r="J114" s="11" t="n">
        <x:f t="shared" si="160">'玩家战力_节点'!J114</x:f>
        <x:v>0.3416744619014209</x:v>
      </x:c>
      <x:c r="K114" s="11" t="n">
        <x:f t="shared" si="160">'玩家战力_节点'!K114</x:f>
        <x:v>0.027136047089462042</x:v>
      </x:c>
      <x:c r="L114" s="11" t="n">
        <x:f t="shared" si="160">'玩家战力_节点'!L114</x:f>
        <x:v>0.45394894991274803</x:v>
      </x:c>
      <x:c r="M114" s="2" t="n">
        <x:f>E114*'模块规划'!$F$10+G114*'模块规划'!$F$11+H114*'模块规划'!$F$13</x:f>
        <x:v>3914.251232956359</x:v>
      </x:c>
      <x:c r="N114" s="2" t="n">
        <x:f>I114*'模块规划'!$F$15+J114*'模块规划'!$F$17+K114*'模块规划'!$F$16+L114*'模块规划'!$F$18</x:f>
        <x:v>8006.131023602062</x:v>
      </x:c>
      <x:c r="O114" s="2" t="n">
        <x:f t="shared" si="97">1+O$9*SUMPRODUCT($H$10:$L$10,H114:L114)/SUM($H$10:$L$10)</x:f>
        <x:v>2.1669779096705026</x:v>
      </x:c>
      <x:c r="P114" s="12" t="n">
        <x:f t="shared" si="98">M114*O114+N114</x:f>
        <x:v>16488.22697831902</x:v>
      </x:c>
      <x:c r="Q114" s="7" t="n">
        <x:f>P114/(P114+'_曲线基线'!$L$2)</x:f>
        <x:v>0.4072350954549893</x:v>
      </x:c>
      <x:c r="R114" s="2" t="n">
        <x:f>E114*'模块规划'!$E$10+G114*'模块规划'!$E$11+H114*'模块规划'!$E$13</x:f>
        <x:v>5871.376849434539</x:v>
      </x:c>
      <x:c r="S114" s="2" t="n">
        <x:f>I114*'模块规划'!$E$15+J114*'模块规划'!$E$17+K114*'模块规划'!$E$16+L114*'模块规划'!$E$18</x:f>
        <x:v>12009.19653540309</x:v>
      </x:c>
      <x:c r="T114" s="2" t="n">
        <x:f t="shared" si="99">1+T$9*SUMPRODUCT($H$10:$L$10,H114:L114)/SUM($H$10:$L$10)</x:f>
        <x:v>2.1669779096705026</x:v>
      </x:c>
      <x:c r="U114" s="12" t="n">
        <x:f t="shared" si="100">R114*T114+S114</x:f>
        <x:v>24732.340467478527</x:v>
      </x:c>
      <x:c r="V114" s="2" t="n">
        <x:f t="shared" si="101">V$8+(V$9-V$8)*H114</x:f>
        <x:v>0.8421258592258759</x:v>
      </x:c>
      <x:c r="W114" s="2" t="n">
        <x:f t="shared" si="102">IF(B114&lt;$H$8,0,W$8+(W$9-W$8)*H114)</x:f>
        <x:v>0.18950114563450127</x:v>
      </x:c>
      <x:c r="X114" s="2" t="n">
        <x:f t="shared" si="103">X$8+(X$9-X$8)*H114</x:f>
        <x:v>0.4052820376237196</x:v>
      </x:c>
      <x:c r="Y114" s="2" t="n">
        <x:f t="shared" si="104">Y$8+(Y$9-Y$8)*G114</x:f>
        <x:v>1</x:v>
      </x:c>
      <x:c r="Z114" s="2" t="n">
        <x:f t="shared" si="105">Z$8+(Z$9-Z$8)*H114</x:f>
        <x:v>1</x:v>
      </x:c>
      <x:c r="AA114" s="2" t="n">
        <x:f t="shared" si="106">AA$8+(AA$9-AA$8)*I114</x:f>
        <x:v>1</x:v>
      </x:c>
      <x:c r="AB114" s="2" t="n">
        <x:f t="shared" si="107">AB$8+(AB$9-AB$8)*J114</x:f>
        <x:v>1</x:v>
      </x:c>
      <x:c r="AC114" s="2" t="n">
        <x:f t="shared" si="108">AC$8+(AC$9-AC$8)*MAX(K114,L114)</x:f>
        <x:v>1</x:v>
      </x:c>
      <x:c r="AD114" s="1" t="n">
        <x:f t="shared" si="109">(V114*AE114+W114*AF114+X114*AG114)*PRODUCT(Y114:AC114)</x:f>
        <x:v>1.5304041534594401</x:v>
      </x:c>
      <x:c r="AE114" s="2" t="n">
        <x:f t="shared" si="110">1+AE$9*($H$10*H114+$I$10*I114+$J$10*J114+$K$10*K114+$L$10*L114)</x:f>
        <x:v>1</x:v>
      </x:c>
      <x:c r="AF114" s="2" t="n">
        <x:f t="shared" si="111">1+AF$9*($H$10*H114+$I$10*I114+$J$10*J114+$K$10*K114+$L$10*L114)</x:f>
        <x:v>1.102996430893996</x:v>
      </x:c>
      <x:c r="AG114" s="2" t="n">
        <x:f t="shared" si="112">1+AG$9*($H$10*H114+$I$10*I114+$J$10*J114+$K$10*K114+$L$10*L114)</x:f>
        <x:v>1.1825325636399162</x:v>
      </x:c>
      <x:c r="AH114" s="2" t="n">
        <x:f>MIN(1,'_曲线基线'!$L$3+AH$9*($H$10*H114+$I$10*I114+$J$10*J114+$K$10*K114+$L$10*L114))</x:f>
        <x:v>0.28431688028384033</x:v>
      </x:c>
      <x:c r="AI114" s="2" t="n">
        <x:f>'_曲线基线'!$L$4+AI$9*($H$10*H114+$I$10*I114+$J$10*J114+$K$10*K114+$L$10*L114)</x:f>
        <x:v>2.652739880790698</x:v>
      </x:c>
      <x:c r="AJ114" s="2" t="n">
        <x:f t="shared" si="113">1+AJ$9*($H$10*H114+$I$10*I114+$J$10*J114+$K$10*K114+$L$10*L114)</x:f>
        <x:v>1.535581440648778</x:v>
      </x:c>
      <x:c r="AK114" s="1" t="n">
        <x:f t="shared" si="114">(1+AH114*(AI114-1))*AJ114</x:f>
        <x:v>2.2571539955630535</x:v>
      </x:c>
      <x:c r="AL114" s="1" t="n">
        <x:f t="shared" si="115">U114*AD114*AK114*F114</x:f>
        <x:v>427171.77218970197</x:v>
      </x:c>
      <x:c r="AM114" s="13" t="n">
        <x:f t="shared" si="116">IF($B114&lt;AM$8,0,AM$3+(AM$4-AM$3)*(POWER(AM$5,$B114-AM$8)-1)/(POWER(AM$5,$C$5-AM$8)-1))</x:f>
        <x:v>37.361636594329084</x:v>
      </x:c>
      <x:c r="AN114" s="13" t="n">
        <x:f>(((E114*'模块规划'!$D$10+G114*'模块规划'!$D$11+H114*'模块规划'!$D$13)*(1+'模块规划'!$G$14*H114)+(I114*'模块规划'!$D$15+J114*'模块规划'!$D$17+K114*'模块规划'!$D$16+L114*'模块规划'!$D$18))*(1+'模块规划'!$J$17*J114))*F114/(1-Q114)</x:f>
        <x:v>808123.253655679</x:v>
      </x:c>
      <x:c r="AO114" s="1" t="n">
        <x:f t="shared" si="117">AL114*AM114</x:f>
        <x:v>15959836.515907176</x:v>
      </x:c>
      <x:c r="AP114" s="1" t="n">
        <x:f>IF(AO114="","",INDEX('_曲线基线'!$A$3:$A$502,MIN(ROWS('_曲线基线'!$A$3:$A$502),COUNTIF('_曲线基线'!$E$3:$E$502,"&lt;"&amp;AO114)+1)))</x:f>
        <x:v>169</x:v>
      </x:c>
      <x:c r="AQ114" s="14" t="n">
        <x:f t="shared" si="118">IF(B114&lt;=2,1,IF(B114&lt;=6,2,IF(B114&lt;=9,3,IF(B114&lt;=19,4,5))))</x:f>
        <x:v>5</x:v>
      </x:c>
      <x:c r="AR114" s="10" t="n">
        <x:f t="shared" si="119">AN114*(1-Q114)/F114*$AS$3+U114*$AS$4+P114*$AS$5</x:f>
        <x:v>7820.630713378578</x:v>
      </x:c>
      <x:c r="AS114" s="15" t="n">
        <x:f t="shared" si="120">1+AH114*$AS$6+AI114*$AS$7+(AJ114-1)*$AS$8+($H$10*H114+$I$10*I114+$J$10*J114+$K$10*K114+$L$10*L114)*$AU$3*$AS$9+($H$10*H114+$I$10*I114+$J$10*J114+$K$10*K114+$L$10*L114)*$AU$4*$AS$10</x:f>
        <x:v>11.13573377561085</x:v>
      </x:c>
      <x:c r="AT114" s="16" t="n">
        <x:f t="shared" si="121">ROUND(AR114*AS114,0)</x:f>
        <x:v>87088</x:v>
      </x:c>
      <x:c r="AU114" s="16" t="n">
        <x:f t="shared" si="122">ROUND(AT114*F114,0)</x:f>
        <x:v>435440</x:v>
      </x:c>
      <x:c r="AV114" t="n">
        <x:f>IF(AU114&gt;0,ROUND(AU114,-MAX(0,INT(LOG10(AU114))-2)),0)</x:f>
        <x:v>435000</x:v>
      </x:c>
    </x:row>
    <x:row r="115" customHeight="1">
      <x:c r="A115" s="1" t="n">
        <x:f>IFERROR(XLOOKUP(B115,'_曲线基线'!$G$3:$G$107,'_曲线基线'!$J$3:$J$107,""),"")</x:f>
        <x:v>38</x:v>
      </x:c>
      <x:c r="B115" s="1" t="n">
        <x:v>104</x:v>
      </x:c>
      <x:c r="C115" s="1" t="n">
        <x:f t="shared" ref="C115:C178" si="161">C100+1</x:f>
        <x:v>8</x:v>
      </x:c>
      <x:c r="D115" s="1" t="n">
        <x:f t="shared" ref="D115:D178" si="162">D100</x:f>
        <x:v>5</x:v>
      </x:c>
      <x:c r="E115" s="1" t="n">
        <x:f t="shared" si="94">IF($B115&lt;E$8,0,E$3+(E$4-E$3)*(POWER(E$5,$B115-E$8)-1)/(POWER(E$5,$C$5-E$8)-1))</x:f>
        <x:v>1</x:v>
      </x:c>
      <x:c r="F115" s="10" t="n">
        <x:f t="shared" si="95">1+IF(B115&lt;3,0,MIN(1,(B115-2)/4))+IF(B115&lt;7,0,MIN(1,(B115-6)/3))+IF(B115&lt;10,0,MIN(1,(B115-9)/5))+IF(B115&lt;20,0,MIN(1,(B115-19)/10))</x:f>
        <x:v>5</x:v>
      </x:c>
      <x:c r="G115" s="11" t="n">
        <x:f t="shared" ref="G115:L115" si="163">'玩家战力_节点'!G115</x:f>
        <x:v>0.6098963832766059</x:v>
      </x:c>
      <x:c r="H115" s="11" t="n">
        <x:f t="shared" si="163">'玩家战力_节点'!H115</x:f>
        <x:v>0.47605863033608364</x:v>
      </x:c>
      <x:c r="I115" s="11" t="n">
        <x:f t="shared" si="163">'玩家战力_节点'!I115</x:f>
        <x:v>0.27438780674829416</x:v>
      </x:c>
      <x:c r="J115" s="11" t="n">
        <x:f t="shared" si="163">'玩家战力_节点'!J115</x:f>
        <x:v>0.34446015977324185</x:v>
      </x:c>
      <x:c r="K115" s="11" t="n">
        <x:f t="shared" si="163">'玩家战力_节点'!K115</x:f>
        <x:v>0.03618139611928272</x:v>
      </x:c>
      <x:c r="L115" s="11" t="n">
        <x:f t="shared" si="163">'玩家战力_节点'!L115</x:f>
        <x:v>0.45656847180473376</x:v>
      </x:c>
      <x:c r="M115" s="2" t="n">
        <x:f>E115*'模块规划'!$F$10+G115*'模块规划'!$F$11+H115*'模块规划'!$F$13</x:f>
        <x:v>3927.5026397277084</x:v>
      </x:c>
      <x:c r="N115" s="2" t="n">
        <x:f>I115*'模块规划'!$F$15+J115*'模块规划'!$F$17+K115*'模块规划'!$F$16+L115*'模块规划'!$F$18</x:f>
        <x:v>8139.634787458138</x:v>
      </x:c>
      <x:c r="O115" s="2" t="n">
        <x:f t="shared" si="97">1+O$9*SUMPRODUCT($H$10:$L$10,H115:L115)/SUM($H$10:$L$10)</x:f>
        <x:v>2.182276763605346</x:v>
      </x:c>
      <x:c r="P115" s="12" t="n">
        <x:f t="shared" si="98">M115*O115+N115</x:f>
        <x:v>16710.532537134575</x:v>
      </x:c>
      <x:c r="Q115" s="7" t="n">
        <x:f>P115/(P115+'_曲线基线'!$L$2)</x:f>
        <x:v>0.41047197115124623</x:v>
      </x:c>
      <x:c r="R115" s="2" t="n">
        <x:f>E115*'模块规划'!$E$10+G115*'模块规划'!$E$11+H115*'模块规划'!$E$13</x:f>
        <x:v>5891.253959591562</x:v>
      </x:c>
      <x:c r="S115" s="2" t="n">
        <x:f>I115*'模块规划'!$E$15+J115*'模块规划'!$E$17+K115*'模块规划'!$E$16+L115*'模块规划'!$E$18</x:f>
        <x:v>12209.452181187207</x:v>
      </x:c>
      <x:c r="T115" s="2" t="n">
        <x:f t="shared" si="99">1+T$9*SUMPRODUCT($H$10:$L$10,H115:L115)/SUM($H$10:$L$10)</x:f>
        <x:v>2.182276763605346</x:v>
      </x:c>
      <x:c r="U115" s="12" t="n">
        <x:f t="shared" si="100">R115*T115+S115</x:f>
        <x:v>25065.79880570186</x:v>
      </x:c>
      <x:c r="V115" s="2" t="n">
        <x:f t="shared" si="101">V$8+(V$9-V$8)*H115</x:f>
        <x:v>0.842817589100825</x:v>
      </x:c>
      <x:c r="W115" s="2" t="n">
        <x:f t="shared" si="102">IF(B115&lt;$H$8,0,W$8+(W$9-W$8)*H115)</x:f>
        <x:v>0.19042345213443346</x:v>
      </x:c>
      <x:c r="X115" s="2" t="n">
        <x:f t="shared" si="103">X$8+(X$9-X$8)*H115</x:f>
        <x:v>0.405916123342423</x:v>
      </x:c>
      <x:c r="Y115" s="2" t="n">
        <x:f t="shared" si="104">Y$8+(Y$9-Y$8)*G115</x:f>
        <x:v>1</x:v>
      </x:c>
      <x:c r="Z115" s="2" t="n">
        <x:f t="shared" si="105">Z$8+(Z$9-Z$8)*H115</x:f>
        <x:v>1</x:v>
      </x:c>
      <x:c r="AA115" s="2" t="n">
        <x:f t="shared" si="106">AA$8+(AA$9-AA$8)*I115</x:f>
        <x:v>1</x:v>
      </x:c>
      <x:c r="AB115" s="2" t="n">
        <x:f t="shared" si="107">AB$8+(AB$9-AB$8)*J115</x:f>
        <x:v>1</x:v>
      </x:c>
      <x:c r="AC115" s="2" t="n">
        <x:f t="shared" si="108">AC$8+(AC$9-AC$8)*MAX(K115,L115)</x:f>
        <x:v>1</x:v>
      </x:c>
      <x:c r="AD115" s="1" t="n">
        <x:f t="shared" si="109">(V115*AE115+W115*AF115+X115*AG115)*PRODUCT(Y115:AC115)</x:f>
        <x:v>1.5340914765863813</x:v>
      </x:c>
      <x:c r="AE115" s="2" t="n">
        <x:f t="shared" si="110">1+AE$9*($H$10*H115+$I$10*I115+$J$10*J115+$K$10*K115+$L$10*L115)</x:f>
        <x:v>1</x:v>
      </x:c>
      <x:c r="AF115" s="2" t="n">
        <x:f t="shared" si="111">1+AF$9*($H$10*H115+$I$10*I115+$J$10*J115+$K$10*K115+$L$10*L115)</x:f>
        <x:v>1.1043466941157756</x:v>
      </x:c>
      <x:c r="AG115" s="2" t="n">
        <x:f t="shared" si="112">1+AG$9*($H$10*H115+$I$10*I115+$J$10*J115+$K$10*K115+$L$10*L115)</x:f>
        <x:v>1.1849255301274035</x:v>
      </x:c>
      <x:c r="AH115" s="2" t="n">
        <x:f>MIN(1,'_曲线基线'!$L$3+AH$9*($H$10*H115+$I$10*I115+$J$10*J115+$K$10*K115+$L$10*L115))</x:f>
        <x:v>0.2873887291133891</x:v>
      </x:c>
      <x:c r="AI115" s="2" t="n">
        <x:f>'_曲线基线'!$L$4+AI$9*($H$10*H115+$I$10*I115+$J$10*J115+$K$10*K115+$L$10*L115)</x:f>
        <x:v>2.661297173958727</x:v>
      </x:c>
      <x:c r="AJ115" s="2" t="n">
        <x:f t="shared" si="113">1+AJ$9*($H$10*H115+$I$10*I115+$J$10*J115+$K$10*K115+$L$10*L115)</x:f>
        <x:v>1.5426028094020323</x:v>
      </x:c>
      <x:c r="AK115" s="1" t="n">
        <x:f t="shared" si="114">(1+AH115*(AI115-1))*AJ115</x:f>
        <x:v>2.2791001383303056</x:v>
      </x:c>
      <x:c r="AL115" s="1" t="n">
        <x:f t="shared" si="115">U115*AD115*AK115*F115</x:f>
        <x:v>438193.78970775864</x:v>
      </x:c>
      <x:c r="AM115" s="13" t="n">
        <x:f t="shared" si="116">IF($B115&lt;AM$8,0,AM$3+(AM$4-AM$3)*(POWER(AM$5,$B115-AM$8)-1)/(POWER(AM$5,$C$5-AM$8)-1))</x:f>
        <x:v>37.39867760019425</x:v>
      </x:c>
      <x:c r="AN115" s="13" t="n">
        <x:f>(((E115*'模块规划'!$D$10+G115*'模块规划'!$D$11+H115*'模块规划'!$D$13)*(1+'模块规划'!$G$14*H115)+(I115*'模块规划'!$D$15+J115*'模块规划'!$D$17+K115*'模块规划'!$D$16+L115*'模块规划'!$D$18))*(1+'模块规划'!$J$17*J115))*F115/(1-Q115)</x:f>
        <x:v>824109.7834328178</x:v>
      </x:c>
      <x:c r="AO115" s="1" t="n">
        <x:f t="shared" si="117">AL115*AM115</x:f>
        <x:v>16387868.26768778</x:v>
      </x:c>
      <x:c r="AP115" s="1" t="n">
        <x:f>IF(AO115="","",INDEX('_曲线基线'!$A$3:$A$502,MIN(ROWS('_曲线基线'!$A$3:$A$502),COUNTIF('_曲线基线'!$E$3:$E$502,"&lt;"&amp;AO115)+1)))</x:f>
        <x:v>170</x:v>
      </x:c>
      <x:c r="AQ115" s="14" t="n">
        <x:f t="shared" si="118">IF(B115&lt;=2,1,IF(B115&lt;=6,2,IF(B115&lt;=9,3,IF(B115&lt;=19,4,5))))</x:f>
        <x:v>5</x:v>
      </x:c>
      <x:c r="AR115" s="10" t="n">
        <x:f t="shared" si="119">AN115*(1-Q115)/F115*$AS$3+U115*$AS$4+P115*$AS$5</x:f>
        <x:v>7928.174658233106</x:v>
      </x:c>
      <x:c r="AS115" s="15" t="n">
        <x:f t="shared" si="120">1+AH115*$AS$6+AI115*$AS$7+(AJ115-1)*$AS$8+($H$10*H115+$I$10*I115+$J$10*J115+$K$10*K115+$L$10*L115)*$AU$3*$AS$9+($H$10*H115+$I$10*I115+$J$10*J115+$K$10*K115+$L$10*L115)*$AU$4*$AS$10</x:f>
        <x:v>11.216413537348773</x:v>
      </x:c>
      <x:c r="AT115" s="16" t="n">
        <x:f t="shared" si="121">ROUND(AR115*AS115,0)</x:f>
        <x:v>88926</x:v>
      </x:c>
      <x:c r="AU115" s="16" t="n">
        <x:f t="shared" si="122">ROUND(AT115*F115,0)</x:f>
        <x:v>444630</x:v>
      </x:c>
      <x:c r="AV115" t="n">
        <x:f>IF(AU115&gt;0,ROUND(AU115,-MAX(0,INT(LOG10(AU115))-2)),0)</x:f>
        <x:v>445000</x:v>
      </x:c>
    </x:row>
    <x:row r="116" customHeight="1">
      <x:c r="A116" s="1" t="n">
        <x:f>IFERROR(XLOOKUP(B116,'_曲线基线'!$G$3:$G$107,'_曲线基线'!$J$3:$J$107,""),"")</x:f>
        <x:v>39</x:v>
      </x:c>
      <x:c r="B116" s="1" t="n">
        <x:v>105</x:v>
      </x:c>
      <x:c r="C116" s="1" t="n">
        <x:f t="shared" si="161">C101+1</x:f>
        <x:v>8</x:v>
      </x:c>
      <x:c r="D116" s="1" t="n">
        <x:f t="shared" si="162">D101</x:f>
        <x:v>6</x:v>
      </x:c>
      <x:c r="E116" s="1" t="n">
        <x:f t="shared" si="94">IF($B116&lt;E$8,0,E$3+(E$4-E$3)*(POWER(E$5,$B116-E$8)-1)/(POWER(E$5,$C$5-E$8)-1))</x:f>
        <x:v>1</x:v>
      </x:c>
      <x:c r="F116" s="10" t="n">
        <x:f t="shared" si="95">1+IF(B116&lt;3,0,MIN(1,(B116-2)/4))+IF(B116&lt;7,0,MIN(1,(B116-6)/3))+IF(B116&lt;10,0,MIN(1,(B116-9)/5))+IF(B116&lt;20,0,MIN(1,(B116-19)/10))</x:f>
        <x:v>5</x:v>
      </x:c>
      <x:c r="G116" s="11" t="n">
        <x:f t="shared" ref="G116:L116" si="164">'玩家战力_节点'!G116</x:f>
        <x:v>0.6126570930206371</x:v>
      </x:c>
      <x:c r="H116" s="11" t="n">
        <x:f t="shared" si="164">'玩家战力_节点'!H116</x:f>
        <x:v>0.4783643965859143</x:v>
      </x:c>
      <x:c r="I116" s="11" t="n">
        <x:f t="shared" si="164">'玩家战力_节点'!I116</x:f>
        <x:v>0.27917244193567103</x:v>
      </x:c>
      <x:c r="J116" s="11" t="n">
        <x:f t="shared" si="164">'玩家战力_节点'!J116</x:f>
        <x:v>0.34724585764506277</x:v>
      </x:c>
      <x:c r="K116" s="11" t="n">
        <x:f t="shared" si="164">'玩家战力_节点'!K116</x:f>
        <x:v>0.04522674514910341</x:v>
      </x:c>
      <x:c r="L116" s="11" t="n">
        <x:f t="shared" si="164">'玩家战力_节点'!L116</x:f>
        <x:v>0.4591879936967196</x:v>
      </x:c>
      <x:c r="M116" s="2" t="n">
        <x:f>E116*'模块规划'!$F$10+G116*'模块规划'!$F$11+H116*'模块规划'!$F$13</x:f>
        <x:v>3940.754046499058</x:v>
      </x:c>
      <x:c r="N116" s="2" t="n">
        <x:f>I116*'模块规划'!$F$15+J116*'模块规划'!$F$17+K116*'模块规划'!$F$16+L116*'模块规划'!$F$18</x:f>
        <x:v>8273.138551314216</x:v>
      </x:c>
      <x:c r="O116" s="2" t="n">
        <x:f t="shared" si="97">1+O$9*SUMPRODUCT($H$10:$L$10,H116:L116)/SUM($H$10:$L$10)</x:f>
        <x:v>2.1975756175401893</x:v>
      </x:c>
      <x:c r="P116" s="12" t="n">
        <x:f t="shared" si="98">M116*O116+N116</x:f>
        <x:v>16933.243558623384</x:v>
      </x:c>
      <x:c r="Q116" s="7" t="n">
        <x:f>P116/(P116+'_曲线基线'!$L$2)</x:f>
        <x:v>0.4136794958447916</x:v>
      </x:c>
      <x:c r="R116" s="2" t="n">
        <x:f>E116*'模块规划'!$E$10+G116*'模块规划'!$E$11+H116*'模块规划'!$E$13</x:f>
        <x:v>5911.131069748587</x:v>
      </x:c>
      <x:c r="S116" s="2" t="n">
        <x:f>I116*'模块规划'!$E$15+J116*'模块规划'!$E$17+K116*'模块规划'!$E$16+L116*'模块规划'!$E$18</x:f>
        <x:v>12409.70782697132</x:v>
      </x:c>
      <x:c r="T116" s="2" t="n">
        <x:f t="shared" si="99">1+T$9*SUMPRODUCT($H$10:$L$10,H116:L116)/SUM($H$10:$L$10)</x:f>
        <x:v>2.1975756175401893</x:v>
      </x:c>
      <x:c r="U116" s="12" t="n">
        <x:f t="shared" si="100">R116*T116+S116</x:f>
        <x:v>25399.865337935073</x:v>
      </x:c>
      <x:c r="V116" s="2" t="n">
        <x:f t="shared" si="101">V$8+(V$9-V$8)*H116</x:f>
        <x:v>0.8435093189757743</x:v>
      </x:c>
      <x:c r="W116" s="2" t="n">
        <x:f t="shared" si="102">IF(B116&lt;$H$8,0,W$8+(W$9-W$8)*H116)</x:f>
        <x:v>0.19134575863436573</x:v>
      </x:c>
      <x:c r="X116" s="2" t="n">
        <x:f t="shared" si="103">X$8+(X$9-X$8)*H116</x:f>
        <x:v>0.4065502090611265</x:v>
      </x:c>
      <x:c r="Y116" s="2" t="n">
        <x:f t="shared" si="104">Y$8+(Y$9-Y$8)*G116</x:f>
        <x:v>1</x:v>
      </x:c>
      <x:c r="Z116" s="2" t="n">
        <x:f t="shared" si="105">Z$8+(Z$9-Z$8)*H116</x:f>
        <x:v>1</x:v>
      </x:c>
      <x:c r="AA116" s="2" t="n">
        <x:f t="shared" si="106">AA$8+(AA$9-AA$8)*I116</x:f>
        <x:v>1</x:v>
      </x:c>
      <x:c r="AB116" s="2" t="n">
        <x:f t="shared" si="107">AB$8+(AB$9-AB$8)*J116</x:f>
        <x:v>1</x:v>
      </x:c>
      <x:c r="AC116" s="2" t="n">
        <x:f t="shared" si="108">AC$8+(AC$9-AC$8)*MAX(K116,L116)</x:f>
        <x:v>1</x:v>
      </x:c>
      <x:c r="AD116" s="1" t="n">
        <x:f t="shared" si="109">(V116*AE116+W116*AF116+X116*AG116)*PRODUCT(Y116:AC116)</x:f>
        <x:v>1.5377843251181649</x:v>
      </x:c>
      <x:c r="AE116" s="2" t="n">
        <x:f t="shared" si="110">1+AE$9*($H$10*H116+$I$10*I116+$J$10*J116+$K$10*K116+$L$10*L116)</x:f>
        <x:v>1</x:v>
      </x:c>
      <x:c r="AF116" s="2" t="n">
        <x:f t="shared" si="111">1+AF$9*($H$10*H116+$I$10*I116+$J$10*J116+$K$10*K116+$L$10*L116)</x:f>
        <x:v>1.1056969573375552</x:v>
      </x:c>
      <x:c r="AG116" s="2" t="n">
        <x:f t="shared" si="112">1+AG$9*($H$10*H116+$I$10*I116+$J$10*J116+$K$10*K116+$L$10*L116)</x:f>
        <x:v>1.1873184966148909</x:v>
      </x:c>
      <x:c r="AH116" s="2" t="n">
        <x:f>MIN(1,'_曲线基线'!$L$3+AH$9*($H$10*H116+$I$10*I116+$J$10*J116+$K$10*K116+$L$10*L116))</x:f>
        <x:v>0.2904605779429379</x:v>
      </x:c>
      <x:c r="AI116" s="2" t="n">
        <x:f>'_曲线基线'!$L$4+AI$9*($H$10*H116+$I$10*I116+$J$10*J116+$K$10*K116+$L$10*L116)</x:f>
        <x:v>2.6698544671267554</x:v>
      </x:c>
      <x:c r="AJ116" s="2" t="n">
        <x:f t="shared" si="113">1+AJ$9*($H$10*H116+$I$10*I116+$J$10*J116+$K$10*K116+$L$10*L116)</x:f>
        <x:v>1.5496241781552866</x:v>
      </x:c>
      <x:c r="AK116" s="1" t="n">
        <x:f t="shared" si="114">(1+AH116*(AI116-1))*AJ116</x:f>
        <x:v>2.30123357953686</x:v>
      </x:c>
      <x:c r="AL116" s="1" t="n">
        <x:f t="shared" si="115">U116*AD116*AK116*F116</x:f>
        <x:v>449425.33502381237</x:v>
      </x:c>
      <x:c r="AM116" s="13" t="n">
        <x:f t="shared" si="116">IF($B116&lt;AM$8,0,AM$3+(AM$4-AM$3)*(POWER(AM$5,$B116-AM$8)-1)/(POWER(AM$5,$C$5-AM$8)-1))</x:f>
        <x:v>37.43608901611806</x:v>
      </x:c>
      <x:c r="AN116" s="13" t="n">
        <x:f>(((E116*'模块规划'!$D$10+G116*'模块规划'!$D$11+H116*'模块规划'!$D$13)*(1+'模块规划'!$G$14*H116)+(I116*'模块规划'!$D$15+J116*'模块规划'!$D$17+K116*'模块规划'!$D$16+L116*'模块规划'!$D$18))*(1+'模块规划'!$J$17*J116))*F116/(1-Q116)</x:f>
        <x:v>840279.8623242285</x:v>
      </x:c>
      <x:c r="AO116" s="1" t="n">
        <x:f t="shared" si="117">AL116*AM116</x:f>
        <x:v>16824726.84805012</x:v>
      </x:c>
      <x:c r="AP116" s="1" t="n">
        <x:f>IF(AO116="","",INDEX('_曲线基线'!$A$3:$A$502,MIN(ROWS('_曲线基线'!$A$3:$A$502),COUNTIF('_曲线基线'!$E$3:$E$502,"&lt;"&amp;AO116)+1)))</x:f>
        <x:v>172</x:v>
      </x:c>
      <x:c r="AQ116" s="14" t="n">
        <x:f t="shared" si="118">IF(B116&lt;=2,1,IF(B116&lt;=6,2,IF(B116&lt;=9,3,IF(B116&lt;=19,4,5))))</x:f>
        <x:v>5</x:v>
      </x:c>
      <x:c r="AR116" s="10" t="n">
        <x:f t="shared" si="119">AN116*(1-Q116)/F116*$AS$3+U116*$AS$4+P116*$AS$5</x:f>
        <x:v>8036.01294264348</x:v>
      </x:c>
      <x:c r="AS116" s="15" t="n">
        <x:f t="shared" si="120">1+AH116*$AS$6+AI116*$AS$7+(AJ116-1)*$AS$8+($H$10*H116+$I$10*I116+$J$10*J116+$K$10*K116+$L$10*L116)*$AU$3*$AS$9+($H$10*H116+$I$10*I116+$J$10*J116+$K$10*K116+$L$10*L116)*$AU$4*$AS$10</x:f>
        <x:v>11.297093299086692</x:v>
      </x:c>
      <x:c r="AT116" s="16" t="n">
        <x:f t="shared" si="121">ROUND(AR116*AS116,0)</x:f>
        <x:v>90784</x:v>
      </x:c>
      <x:c r="AU116" s="16" t="n">
        <x:f t="shared" si="122">ROUND(AT116*F116,0)</x:f>
        <x:v>453920</x:v>
      </x:c>
      <x:c r="AV116" t="n">
        <x:f>IF(AU116&gt;0,ROUND(AU116,-MAX(0,INT(LOG10(AU116))-2)),0)</x:f>
        <x:v>454000</x:v>
      </x:c>
    </x:row>
    <x:row r="117" customHeight="1">
      <x:c r="A117" s="1" t="str">
        <x:f>IFERROR(XLOOKUP(B117,'_曲线基线'!$G$3:$G$107,'_曲线基线'!$J$3:$J$107,""),"")</x:f>
      </x:c>
      <x:c r="B117" s="1" t="n">
        <x:v>106</x:v>
      </x:c>
      <x:c r="C117" s="1" t="n">
        <x:f t="shared" si="161">C102+1</x:f>
        <x:v>8</x:v>
      </x:c>
      <x:c r="D117" s="1" t="n">
        <x:f t="shared" si="162">D102</x:f>
        <x:v>7</x:v>
      </x:c>
      <x:c r="E117" s="1" t="n">
        <x:f t="shared" si="94">IF($B117&lt;E$8,0,E$3+(E$4-E$3)*(POWER(E$5,$B117-E$8)-1)/(POWER(E$5,$C$5-E$8)-1))</x:f>
        <x:v>1</x:v>
      </x:c>
      <x:c r="F117" s="10" t="n">
        <x:f t="shared" si="95">1+IF(B117&lt;3,0,MIN(1,(B117-2)/4))+IF(B117&lt;7,0,MIN(1,(B117-6)/3))+IF(B117&lt;10,0,MIN(1,(B117-9)/5))+IF(B117&lt;20,0,MIN(1,(B117-19)/10))</x:f>
        <x:v>5</x:v>
      </x:c>
      <x:c r="G117" s="11" t="n">
        <x:f t="shared" ref="G117:L117" si="165">'玩家战力_节点'!G117</x:f>
        <x:v>0.6154178027646681</x:v>
      </x:c>
      <x:c r="H117" s="11" t="n">
        <x:f t="shared" si="165">'玩家战力_节点'!H117</x:f>
        <x:v>0.4806701628357449</x:v>
      </x:c>
      <x:c r="I117" s="11" t="n">
        <x:f t="shared" si="165">'玩家战力_节点'!I117</x:f>
        <x:v>0.2839570771230479</x:v>
      </x:c>
      <x:c r="J117" s="11" t="n">
        <x:f t="shared" si="165">'玩家战力_节点'!J117</x:f>
        <x:v>0.3500315555168837</x:v>
      </x:c>
      <x:c r="K117" s="11" t="n">
        <x:f t="shared" si="165">'玩家战力_节点'!K117</x:f>
        <x:v>0.054272094178924084</x:v>
      </x:c>
      <x:c r="L117" s="11" t="n">
        <x:f t="shared" si="165">'玩家战力_节点'!L117</x:f>
        <x:v>0.4618075155887053</x:v>
      </x:c>
      <x:c r="M117" s="2" t="n">
        <x:f>E117*'模块规划'!$F$10+G117*'模块规划'!$F$11+H117*'模块规划'!$F$13</x:f>
        <x:v>3954.0054532704066</x:v>
      </x:c>
      <x:c r="N117" s="2" t="n">
        <x:f>I117*'模块规划'!$F$15+J117*'模块规划'!$F$17+K117*'模块规划'!$F$16+L117*'模块规划'!$F$18</x:f>
        <x:v>8406.642315170291</x:v>
      </x:c>
      <x:c r="O117" s="2" t="n">
        <x:f t="shared" si="97">1+O$9*SUMPRODUCT($H$10:$L$10,H117:L117)/SUM($H$10:$L$10)</x:f>
        <x:v>2.2128744714750326</x:v>
      </x:c>
      <x:c r="P117" s="12" t="n">
        <x:f t="shared" si="98">M117*O117+N117</x:f>
        <x:v>17156.36004278544</x:v>
      </x:c>
      <x:c r="Q117" s="7" t="n">
        <x:f>P117/(P117+'_曲线基线'!$L$2)</x:f>
        <x:v>0.41685805122100167</x:v>
      </x:c>
      <x:c r="R117" s="2" t="n">
        <x:f>E117*'模块规划'!$E$10+G117*'模块规划'!$E$11+H117*'模块规划'!$E$13</x:f>
        <x:v>5931.00817990561</x:v>
      </x:c>
      <x:c r="S117" s="2" t="n">
        <x:f>I117*'模块规划'!$E$15+J117*'模块规划'!$E$17+K117*'模块规划'!$E$16+L117*'模块规划'!$E$18</x:f>
        <x:v>12609.963472755437</x:v>
      </x:c>
      <x:c r="T117" s="2" t="n">
        <x:f t="shared" si="99">1+T$9*SUMPRODUCT($H$10:$L$10,H117:L117)/SUM($H$10:$L$10)</x:f>
        <x:v>2.2128744714750326</x:v>
      </x:c>
      <x:c r="U117" s="12" t="n">
        <x:f t="shared" si="100">R117*T117+S117</x:f>
        <x:v>25734.54006417816</x:v>
      </x:c>
      <x:c r="V117" s="2" t="n">
        <x:f t="shared" si="101">V$8+(V$9-V$8)*H117</x:f>
        <x:v>0.8442010488507234</x:v>
      </x:c>
      <x:c r="W117" s="2" t="n">
        <x:f t="shared" si="102">IF(B117&lt;$H$8,0,W$8+(W$9-W$8)*H117)</x:f>
        <x:v>0.19226806513429795</x:v>
      </x:c>
      <x:c r="X117" s="2" t="n">
        <x:f t="shared" si="103">X$8+(X$9-X$8)*H117</x:f>
        <x:v>0.40718429477982987</x:v>
      </x:c>
      <x:c r="Y117" s="2" t="n">
        <x:f t="shared" si="104">Y$8+(Y$9-Y$8)*G117</x:f>
        <x:v>1</x:v>
      </x:c>
      <x:c r="Z117" s="2" t="n">
        <x:f t="shared" si="105">Z$8+(Z$9-Z$8)*H117</x:f>
        <x:v>1</x:v>
      </x:c>
      <x:c r="AA117" s="2" t="n">
        <x:f t="shared" si="106">AA$8+(AA$9-AA$8)*I117</x:f>
        <x:v>1</x:v>
      </x:c>
      <x:c r="AB117" s="2" t="n">
        <x:f t="shared" si="107">AB$8+(AB$9-AB$8)*J117</x:f>
        <x:v>1</x:v>
      </x:c>
      <x:c r="AC117" s="2" t="n">
        <x:f t="shared" si="108">AC$8+(AC$9-AC$8)*MAX(K117,L117)</x:f>
        <x:v>1</x:v>
      </x:c>
      <x:c r="AD117" s="1" t="n">
        <x:f t="shared" si="109">(V117*AE117+W117*AF117+X117*AG117)*PRODUCT(Y117:AC117)</x:f>
        <x:v>1.5414826990547907</x:v>
      </x:c>
      <x:c r="AE117" s="2" t="n">
        <x:f t="shared" si="110">1+AE$9*($H$10*H117+$I$10*I117+$J$10*J117+$K$10*K117+$L$10*L117)</x:f>
        <x:v>1</x:v>
      </x:c>
      <x:c r="AF117" s="2" t="n">
        <x:f t="shared" si="111">1+AF$9*($H$10*H117+$I$10*I117+$J$10*J117+$K$10*K117+$L$10*L117)</x:f>
        <x:v>1.107047220559335</x:v>
      </x:c>
      <x:c r="AG117" s="2" t="n">
        <x:f t="shared" si="112">1+AG$9*($H$10*H117+$I$10*I117+$J$10*J117+$K$10*K117+$L$10*L117)</x:f>
        <x:v>1.1897114631023784</x:v>
      </x:c>
      <x:c r="AH117" s="2" t="n">
        <x:f>MIN(1,'_曲线基线'!$L$3+AH$9*($H$10*H117+$I$10*I117+$J$10*J117+$K$10*K117+$L$10*L117))</x:f>
        <x:v>0.2935324267724867</x:v>
      </x:c>
      <x:c r="AI117" s="2" t="n">
        <x:f>'_曲线基线'!$L$4+AI$9*($H$10*H117+$I$10*I117+$J$10*J117+$K$10*K117+$L$10*L117)</x:f>
        <x:v>2.678411760294784</x:v>
      </x:c>
      <x:c r="AJ117" s="2" t="n">
        <x:f t="shared" si="113">1+AJ$9*($H$10*H117+$I$10*I117+$J$10*J117+$K$10*K117+$L$10*L117)</x:f>
        <x:v>1.5566455469085412</x:v>
      </x:c>
      <x:c r="AK117" s="1" t="n">
        <x:f t="shared" si="114">(1+AH117*(AI117-1))*AJ117</x:f>
        <x:v>2.3235554265948655</x:v>
      </x:c>
      <x:c r="AL117" s="1" t="n">
        <x:f t="shared" si="115">U117*AD117*AK117*F117</x:f>
        <x:v>460869.64729325706</x:v>
      </x:c>
      <x:c r="AM117" s="13" t="n">
        <x:f t="shared" si="116">IF($B117&lt;AM$8,0,AM$3+(AM$4-AM$3)*(POWER(AM$5,$B117-AM$8)-1)/(POWER(AM$5,$C$5-AM$8)-1))</x:f>
        <x:v>37.47387454620111</x:v>
      </x:c>
      <x:c r="AN117" s="13" t="n">
        <x:f>(((E117*'模块规划'!$D$10+G117*'模块规划'!$D$11+H117*'模块规划'!$D$13)*(1+'模块规划'!$G$14*H117)+(I117*'模块规划'!$D$15+J117*'模块规划'!$D$17+K117*'模块规划'!$D$16+L117*'模块规划'!$D$18))*(1+'模块规划'!$J$17*J117))*F117/(1-Q117)</x:f>
        <x:v>856634.6618184878</x:v>
      </x:c>
      <x:c r="AO117" s="1" t="n">
        <x:f t="shared" si="117">AL117*AM117</x:f>
        <x:v>17270571.344819468</x:v>
      </x:c>
      <x:c r="AP117" s="1" t="n">
        <x:f>IF(AO117="","",INDEX('_曲线基线'!$A$3:$A$502,MIN(ROWS('_曲线基线'!$A$3:$A$502),COUNTIF('_曲线基线'!$E$3:$E$502,"&lt;"&amp;AO117)+1)))</x:f>
        <x:v>174</x:v>
      </x:c>
      <x:c r="AQ117" s="14" t="n">
        <x:f t="shared" si="118">IF(B117&lt;=2,1,IF(B117&lt;=6,2,IF(B117&lt;=9,3,IF(B117&lt;=19,4,5))))</x:f>
        <x:v>5</x:v>
      </x:c>
      <x:c r="AR117" s="10" t="n">
        <x:f t="shared" si="119">AN117*(1-Q117)/F117*$AS$3+U117*$AS$4+P117*$AS$5</x:f>
        <x:v>8144.145649342459</x:v>
      </x:c>
      <x:c r="AS117" s="15" t="n">
        <x:f t="shared" si="120">1+AH117*$AS$6+AI117*$AS$7+(AJ117-1)*$AS$8+($H$10*H117+$I$10*I117+$J$10*J117+$K$10*K117+$L$10*L117)*$AU$3*$AS$9+($H$10*H117+$I$10*I117+$J$10*J117+$K$10*K117+$L$10*L117)*$AU$4*$AS$10</x:f>
        <x:v>11.377773060824616</x:v>
      </x:c>
      <x:c r="AT117" s="16" t="n">
        <x:f t="shared" si="121">ROUND(AR117*AS117,0)</x:f>
        <x:v>92662</x:v>
      </x:c>
      <x:c r="AU117" s="16" t="n">
        <x:f t="shared" si="122">ROUND(AT117*F117,0)</x:f>
        <x:v>463310</x:v>
      </x:c>
      <x:c r="AV117" t="n">
        <x:f>IF(AU117&gt;0,ROUND(AU117,-MAX(0,INT(LOG10(AU117))-2)),0)</x:f>
        <x:v>463000</x:v>
      </x:c>
    </x:row>
    <x:row r="118" customHeight="1">
      <x:c r="A118" s="1" t="str">
        <x:f>IFERROR(XLOOKUP(B118,'_曲线基线'!$G$3:$G$107,'_曲线基线'!$J$3:$J$107,""),"")</x:f>
      </x:c>
      <x:c r="B118" s="1" t="n">
        <x:v>107</x:v>
      </x:c>
      <x:c r="C118" s="1" t="n">
        <x:f t="shared" si="161">C103+1</x:f>
        <x:v>8</x:v>
      </x:c>
      <x:c r="D118" s="1" t="n">
        <x:f t="shared" si="162">D103</x:f>
        <x:v>8</x:v>
      </x:c>
      <x:c r="E118" s="1" t="n">
        <x:f t="shared" si="94">IF($B118&lt;E$8,0,E$3+(E$4-E$3)*(POWER(E$5,$B118-E$8)-1)/(POWER(E$5,$C$5-E$8)-1))</x:f>
        <x:v>1</x:v>
      </x:c>
      <x:c r="F118" s="10" t="n">
        <x:f t="shared" si="95">1+IF(B118&lt;3,0,MIN(1,(B118-2)/4))+IF(B118&lt;7,0,MIN(1,(B118-6)/3))+IF(B118&lt;10,0,MIN(1,(B118-9)/5))+IF(B118&lt;20,0,MIN(1,(B118-19)/10))</x:f>
        <x:v>5</x:v>
      </x:c>
      <x:c r="G118" s="11" t="n">
        <x:f t="shared" ref="G118:L118" si="166">'玩家战力_节点'!G118</x:f>
        <x:v>0.6181785125086993</x:v>
      </x:c>
      <x:c r="H118" s="11" t="n">
        <x:f t="shared" si="166">'玩家战力_节点'!H118</x:f>
        <x:v>0.4829759290855755</x:v>
      </x:c>
      <x:c r="I118" s="11" t="n">
        <x:f t="shared" si="166">'玩家战力_节点'!I118</x:f>
        <x:v>0.2887417123104247</x:v>
      </x:c>
      <x:c r="J118" s="11" t="n">
        <x:f t="shared" si="166">'玩家战力_节点'!J118</x:f>
        <x:v>0.35281725338870457</x:v>
      </x:c>
      <x:c r="K118" s="11" t="n">
        <x:f t="shared" si="166">'玩家战力_节点'!K118</x:f>
        <x:v>0.06331744320874477</x:v>
      </x:c>
      <x:c r="L118" s="11" t="n">
        <x:f t="shared" si="166">'玩家战力_节点'!L118</x:f>
        <x:v>0.4644270374806911</x:v>
      </x:c>
      <x:c r="M118" s="2" t="n">
        <x:f>E118*'模块规划'!$F$10+G118*'模块规划'!$F$11+H118*'模块规划'!$F$13</x:f>
        <x:v>3967.2568600417567</x:v>
      </x:c>
      <x:c r="N118" s="2" t="n">
        <x:f>I118*'模块规划'!$F$15+J118*'模块规划'!$F$17+K118*'模块规划'!$F$16+L118*'模块规划'!$F$18</x:f>
        <x:v>8540.146079026366</x:v>
      </x:c>
      <x:c r="O118" s="2" t="n">
        <x:f t="shared" si="97">1+O$9*SUMPRODUCT($H$10:$L$10,H118:L118)/SUM($H$10:$L$10)</x:f>
        <x:v>2.228173325409876</x:v>
      </x:c>
      <x:c r="P118" s="12" t="n">
        <x:f t="shared" si="98">M118*O118+N118</x:f>
        <x:v>17379.88198962075</x:v>
      </x:c>
      <x:c r="Q118" s="7" t="n">
        <x:f>P118/(P118+'_曲线基线'!$L$2)</x:f>
        <x:v>0.4200080124438276</x:v>
      </x:c>
      <x:c r="R118" s="2" t="n">
        <x:f>E118*'模块规划'!$E$10+G118*'模块规划'!$E$11+H118*'模块规划'!$E$13</x:f>
        <x:v>5950.885290062634</x:v>
      </x:c>
      <x:c r="S118" s="2" t="n">
        <x:f>I118*'模块规划'!$E$15+J118*'模块规划'!$E$17+K118*'模块规划'!$E$16+L118*'模块规划'!$E$18</x:f>
        <x:v>12810.219118539551</x:v>
      </x:c>
      <x:c r="T118" s="2" t="n">
        <x:f t="shared" si="99">1+T$9*SUMPRODUCT($H$10:$L$10,H118:L118)/SUM($H$10:$L$10)</x:f>
        <x:v>2.228173325409876</x:v>
      </x:c>
      <x:c r="U118" s="12" t="n">
        <x:f t="shared" si="100">R118*T118+S118</x:f>
        <x:v>26069.822984431124</x:v>
      </x:c>
      <x:c r="V118" s="2" t="n">
        <x:f t="shared" si="101">V$8+(V$9-V$8)*H118</x:f>
        <x:v>0.8448927787256726</x:v>
      </x:c>
      <x:c r="W118" s="2" t="n">
        <x:f t="shared" si="102">IF(B118&lt;$H$8,0,W$8+(W$9-W$8)*H118)</x:f>
        <x:v>0.19319037163423022</x:v>
      </x:c>
      <x:c r="X118" s="2" t="n">
        <x:f t="shared" si="103">X$8+(X$9-X$8)*H118</x:f>
        <x:v>0.4078183804985333</x:v>
      </x:c>
      <x:c r="Y118" s="2" t="n">
        <x:f t="shared" si="104">Y$8+(Y$9-Y$8)*G118</x:f>
        <x:v>1</x:v>
      </x:c>
      <x:c r="Z118" s="2" t="n">
        <x:f t="shared" si="105">Z$8+(Z$9-Z$8)*H118</x:f>
        <x:v>1</x:v>
      </x:c>
      <x:c r="AA118" s="2" t="n">
        <x:f t="shared" si="106">AA$8+(AA$9-AA$8)*I118</x:f>
        <x:v>1</x:v>
      </x:c>
      <x:c r="AB118" s="2" t="n">
        <x:f t="shared" si="107">AB$8+(AB$9-AB$8)*J118</x:f>
        <x:v>1</x:v>
      </x:c>
      <x:c r="AC118" s="2" t="n">
        <x:f t="shared" si="108">AC$8+(AC$9-AC$8)*MAX(K118,L118)</x:f>
        <x:v>1</x:v>
      </x:c>
      <x:c r="AD118" s="1" t="n">
        <x:f t="shared" si="109">(V118*AE118+W118*AF118+X118*AG118)*PRODUCT(Y118:AC118)</x:f>
        <x:v>1.5451865983962587</x:v>
      </x:c>
      <x:c r="AE118" s="2" t="n">
        <x:f t="shared" si="110">1+AE$9*($H$10*H118+$I$10*I118+$J$10*J118+$K$10*K118+$L$10*L118)</x:f>
        <x:v>1</x:v>
      </x:c>
      <x:c r="AF118" s="2" t="n">
        <x:f t="shared" si="111">1+AF$9*($H$10*H118+$I$10*I118+$J$10*J118+$K$10*K118+$L$10*L118)</x:f>
        <x:v>1.1083974837811146</x:v>
      </x:c>
      <x:c r="AG118" s="2" t="n">
        <x:f t="shared" si="112">1+AG$9*($H$10*H118+$I$10*I118+$J$10*J118+$K$10*K118+$L$10*L118)</x:f>
        <x:v>1.1921044295898657</x:v>
      </x:c>
      <x:c r="AH118" s="2" t="n">
        <x:f>MIN(1,'_曲线基线'!$L$3+AH$9*($H$10*H118+$I$10*I118+$J$10*J118+$K$10*K118+$L$10*L118))</x:f>
        <x:v>0.2966042756020355</x:v>
      </x:c>
      <x:c r="AI118" s="2" t="n">
        <x:f>'_曲线基线'!$L$4+AI$9*($H$10*H118+$I$10*I118+$J$10*J118+$K$10*K118+$L$10*L118)</x:f>
        <x:v>2.6869690534628132</x:v>
      </x:c>
      <x:c r="AJ118" s="2" t="n">
        <x:f t="shared" si="113">1+AJ$9*($H$10*H118+$I$10*I118+$J$10*J118+$K$10*K118+$L$10*L118)</x:f>
        <x:v>1.5636669156617955</x:v>
      </x:c>
      <x:c r="AK118" s="1" t="n">
        <x:f t="shared" si="114">(1+AH118*(AI118-1))*AJ118</x:f>
        <x:v>2.346066786916468</x:v>
      </x:c>
      <x:c r="AL118" s="1" t="n">
        <x:f t="shared" si="115">U118*AD118*AK118*F118</x:f>
        <x:v>472530.00488110434</x:v>
      </x:c>
      <x:c r="AM118" s="13" t="n">
        <x:f t="shared" si="116">IF($B118&lt;AM$8,0,AM$3+(AM$4-AM$3)*(POWER(AM$5,$B118-AM$8)-1)/(POWER(AM$5,$C$5-AM$8)-1))</x:f>
        <x:v>37.512037931584985</x:v>
      </x:c>
      <x:c r="AN118" s="13" t="n">
        <x:f>(((E118*'模块规划'!$D$10+G118*'模块规划'!$D$11+H118*'模块规划'!$D$13)*(1+'模块规划'!$G$14*H118)+(I118*'模块规划'!$D$15+J118*'模块规划'!$D$17+K118*'模块规划'!$D$16+L118*'模块规划'!$D$18))*(1+'模块规划'!$J$17*J118))*F118/(1-Q118)</x:f>
        <x:v>873175.3568355114</x:v>
      </x:c>
      <x:c r="AO118" s="1" t="n">
        <x:f t="shared" si="117">AL118*AM118</x:f>
        <x:v>17725563.466912024</x:v>
      </x:c>
      <x:c r="AP118" s="1" t="n">
        <x:f>IF(AO118="","",INDEX('_曲线基线'!$A$3:$A$502,MIN(ROWS('_曲线基线'!$A$3:$A$502),COUNTIF('_曲线基线'!$E$3:$E$502,"&lt;"&amp;AO118)+1)))</x:f>
        <x:v>175</x:v>
      </x:c>
      <x:c r="AQ118" s="14" t="n">
        <x:f t="shared" si="118">IF(B118&lt;=2,1,IF(B118&lt;=6,2,IF(B118&lt;=9,3,IF(B118&lt;=19,4,5))))</x:f>
        <x:v>5</x:v>
      </x:c>
      <x:c r="AR118" s="10" t="n">
        <x:f t="shared" si="119">AN118*(1-Q118)/F118*$AS$3+U118*$AS$4+P118*$AS$5</x:f>
        <x:v>8252.572861062814</x:v>
      </x:c>
      <x:c r="AS118" s="15" t="n">
        <x:f t="shared" si="120">1+AH118*$AS$6+AI118*$AS$7+(AJ118-1)*$AS$8+($H$10*H118+$I$10*I118+$J$10*J118+$K$10*K118+$L$10*L118)*$AU$3*$AS$9+($H$10*H118+$I$10*I118+$J$10*J118+$K$10*K118+$L$10*L118)*$AU$4*$AS$10</x:f>
        <x:v>11.458452822562538</x:v>
      </x:c>
      <x:c r="AT118" s="16" t="n">
        <x:f t="shared" si="121">ROUND(AR118*AS118,0)</x:f>
        <x:v>94562</x:v>
      </x:c>
      <x:c r="AU118" s="16" t="n">
        <x:f t="shared" si="122">ROUND(AT118*F118,0)</x:f>
        <x:v>472810</x:v>
      </x:c>
      <x:c r="AV118" t="n">
        <x:f>IF(AU118&gt;0,ROUND(AU118,-MAX(0,INT(LOG10(AU118))-2)),0)</x:f>
        <x:v>473000</x:v>
      </x:c>
    </x:row>
    <x:row r="119" customHeight="1">
      <x:c r="A119" s="1" t="str">
        <x:f>IFERROR(XLOOKUP(B119,'_曲线基线'!$G$3:$G$107,'_曲线基线'!$J$3:$J$107,""),"")</x:f>
      </x:c>
      <x:c r="B119" s="1" t="n">
        <x:v>108</x:v>
      </x:c>
      <x:c r="C119" s="1" t="n">
        <x:f t="shared" si="161">C104+1</x:f>
        <x:v>8</x:v>
      </x:c>
      <x:c r="D119" s="1" t="n">
        <x:f t="shared" si="162">D104</x:f>
        <x:v>9</x:v>
      </x:c>
      <x:c r="E119" s="1" t="n">
        <x:f t="shared" si="94">IF($B119&lt;E$8,0,E$3+(E$4-E$3)*(POWER(E$5,$B119-E$8)-1)/(POWER(E$5,$C$5-E$8)-1))</x:f>
        <x:v>1</x:v>
      </x:c>
      <x:c r="F119" s="10" t="n">
        <x:f t="shared" si="95">1+IF(B119&lt;3,0,MIN(1,(B119-2)/4))+IF(B119&lt;7,0,MIN(1,(B119-6)/3))+IF(B119&lt;10,0,MIN(1,(B119-9)/5))+IF(B119&lt;20,0,MIN(1,(B119-19)/10))</x:f>
        <x:v>5</x:v>
      </x:c>
      <x:c r="G119" s="11" t="n">
        <x:f t="shared" ref="G119:L119" si="167">'玩家战力_节点'!G119</x:f>
        <x:v>0.6209392222527303</x:v>
      </x:c>
      <x:c r="H119" s="11" t="n">
        <x:f t="shared" si="167">'玩家战力_节点'!H119</x:f>
        <x:v>0.4852816953354061</x:v>
      </x:c>
      <x:c r="I119" s="11" t="n">
        <x:f t="shared" si="167">'玩家战力_节点'!I119</x:f>
        <x:v>0.29352634749780154</x:v>
      </x:c>
      <x:c r="J119" s="11" t="n">
        <x:f t="shared" si="167">'玩家战力_节点'!J119</x:f>
        <x:v>0.3556029512605255</x:v>
      </x:c>
      <x:c r="K119" s="11" t="n">
        <x:f t="shared" si="167">'玩家战力_节点'!K119</x:f>
        <x:v>0.07236279223856544</x:v>
      </x:c>
      <x:c r="L119" s="11" t="n">
        <x:f t="shared" si="167">'玩家战力_节点'!L119</x:f>
        <x:v>0.46704655937267686</x:v>
      </x:c>
      <x:c r="M119" s="2" t="n">
        <x:f>E119*'模块规划'!$F$10+G119*'模块规划'!$F$11+H119*'模块规划'!$F$13</x:f>
        <x:v>3980.508266813106</x:v>
      </x:c>
      <x:c r="N119" s="2" t="n">
        <x:f>I119*'模块规划'!$F$15+J119*'模块规划'!$F$17+K119*'模块规划'!$F$16+L119*'模块规划'!$F$18</x:f>
        <x:v>8673.649842882445</x:v>
      </x:c>
      <x:c r="O119" s="2" t="n">
        <x:f t="shared" si="97">1+O$9*SUMPRODUCT($H$10:$L$10,H119:L119)/SUM($H$10:$L$10)</x:f>
        <x:v>2.243472179344719</x:v>
      </x:c>
      <x:c r="P119" s="12" t="n">
        <x:f t="shared" si="98">M119*O119+N119</x:f>
        <x:v>17603.809399129314</x:v>
      </x:c>
      <x:c r="Q119" s="7" t="n">
        <x:f>P119/(P119+'_曲线基线'!$L$2)</x:f>
        <x:v>0.4231297482941004</x:v>
      </x:c>
      <x:c r="R119" s="2" t="n">
        <x:f>E119*'模块规划'!$E$10+G119*'模块规划'!$E$11+H119*'模块规划'!$E$13</x:f>
        <x:v>5970.762400219659</x:v>
      </x:c>
      <x:c r="S119" s="2" t="n">
        <x:f>I119*'模块规划'!$E$15+J119*'模块规划'!$E$17+K119*'模块规划'!$E$16+L119*'模块规划'!$E$18</x:f>
        <x:v>13010.474764323666</x:v>
      </x:c>
      <x:c r="T119" s="2" t="n">
        <x:f t="shared" si="99">1+T$9*SUMPRODUCT($H$10:$L$10,H119:L119)/SUM($H$10:$L$10)</x:f>
        <x:v>2.243472179344719</x:v>
      </x:c>
      <x:c r="U119" s="12" t="n">
        <x:f t="shared" si="100">R119*T119+S119</x:f>
        <x:v>26405.71409869397</x:v>
      </x:c>
      <x:c r="V119" s="2" t="n">
        <x:f t="shared" si="101">V$8+(V$9-V$8)*H119</x:f>
        <x:v>0.8455845086006218</x:v>
      </x:c>
      <x:c r="W119" s="2" t="n">
        <x:f t="shared" si="102">IF(B119&lt;$H$8,0,W$8+(W$9-W$8)*H119)</x:f>
        <x:v>0.19411267813416244</x:v>
      </x:c>
      <x:c r="X119" s="2" t="n">
        <x:f t="shared" si="103">X$8+(X$9-X$8)*H119</x:f>
        <x:v>0.40845246621723674</x:v>
      </x:c>
      <x:c r="Y119" s="2" t="n">
        <x:f t="shared" si="104">Y$8+(Y$9-Y$8)*G119</x:f>
        <x:v>1</x:v>
      </x:c>
      <x:c r="Z119" s="2" t="n">
        <x:f t="shared" si="105">Z$8+(Z$9-Z$8)*H119</x:f>
        <x:v>1</x:v>
      </x:c>
      <x:c r="AA119" s="2" t="n">
        <x:f t="shared" si="106">AA$8+(AA$9-AA$8)*I119</x:f>
        <x:v>1</x:v>
      </x:c>
      <x:c r="AB119" s="2" t="n">
        <x:f t="shared" si="107">AB$8+(AB$9-AB$8)*J119</x:f>
        <x:v>1</x:v>
      </x:c>
      <x:c r="AC119" s="2" t="n">
        <x:f t="shared" si="108">AC$8+(AC$9-AC$8)*MAX(K119,L119)</x:f>
        <x:v>1</x:v>
      </x:c>
      <x:c r="AD119" s="1" t="n">
        <x:f t="shared" si="109">(V119*AE119+W119*AF119+X119*AG119)*PRODUCT(Y119:AC119)</x:f>
        <x:v>1.5488960231425688</x:v>
      </x:c>
      <x:c r="AE119" s="2" t="n">
        <x:f t="shared" si="110">1+AE$9*($H$10*H119+$I$10*I119+$J$10*J119+$K$10*K119+$L$10*L119)</x:f>
        <x:v>1</x:v>
      </x:c>
      <x:c r="AF119" s="2" t="n">
        <x:f t="shared" si="111">1+AF$9*($H$10*H119+$I$10*I119+$J$10*J119+$K$10*K119+$L$10*L119)</x:f>
        <x:v>1.1097477470028942</x:v>
      </x:c>
      <x:c r="AG119" s="2" t="n">
        <x:f t="shared" si="112">1+AG$9*($H$10*H119+$I$10*I119+$J$10*J119+$K$10*K119+$L$10*L119)</x:f>
        <x:v>1.194497396077353</x:v>
      </x:c>
      <x:c r="AH119" s="2" t="n">
        <x:f>MIN(1,'_曲线基线'!$L$3+AH$9*($H$10*H119+$I$10*I119+$J$10*J119+$K$10*K119+$L$10*L119))</x:f>
        <x:v>0.29967612443158426</x:v>
      </x:c>
      <x:c r="AI119" s="2" t="n">
        <x:f>'_曲线基线'!$L$4+AI$9*($H$10*H119+$I$10*I119+$J$10*J119+$K$10*K119+$L$10*L119)</x:f>
        <x:v>2.695526346630842</x:v>
      </x:c>
      <x:c r="AJ119" s="2" t="n">
        <x:f t="shared" si="113">1+AJ$9*($H$10*H119+$I$10*I119+$J$10*J119+$K$10*K119+$L$10*L119)</x:f>
        <x:v>1.5706882844150498</x:v>
      </x:c>
      <x:c r="AK119" s="1" t="n">
        <x:f t="shared" si="114">(1+AH119*(AI119-1))*AJ119</x:f>
        <x:v>2.368768767913816</x:v>
      </x:c>
      <x:c r="AL119" s="1" t="n">
        <x:f t="shared" si="115">U119*AD119*AK119*F119</x:f>
        <x:v>484409.72568614664</x:v>
      </x:c>
      <x:c r="AM119" s="13" t="n">
        <x:f t="shared" si="116">IF($B119&lt;AM$8,0,AM$3+(AM$4-AM$3)*(POWER(AM$5,$B119-AM$8)-1)/(POWER(AM$5,$C$5-AM$8)-1))</x:f>
        <x:v>37.55058295082271</x:v>
      </x:c>
      <x:c r="AN119" s="13" t="n">
        <x:f>(((E119*'模块规划'!$D$10+G119*'模块规划'!$D$11+H119*'模块规划'!$D$13)*(1+'模块规划'!$G$14*H119)+(I119*'模块规划'!$D$15+J119*'模块规划'!$D$17+K119*'模块规划'!$D$16+L119*'模块规划'!$D$18))*(1+'模块规划'!$J$17*J119))*F119/(1-Q119)</x:f>
        <x:v>889903.1257288803</x:v>
      </x:c>
      <x:c r="AO119" s="1" t="n">
        <x:f t="shared" si="117">AL119*AM119</x:f>
        <x:v>18189867.586562924</x:v>
      </x:c>
      <x:c r="AP119" s="1" t="n">
        <x:f>IF(AO119="","",INDEX('_曲线基线'!$A$3:$A$502,MIN(ROWS('_曲线基线'!$A$3:$A$502),COUNTIF('_曲线基线'!$E$3:$E$502,"&lt;"&amp;AO119)+1)))</x:f>
        <x:v>177</x:v>
      </x:c>
      <x:c r="AQ119" s="14" t="n">
        <x:f t="shared" si="118">IF(B119&lt;=2,1,IF(B119&lt;=6,2,IF(B119&lt;=9,3,IF(B119&lt;=19,4,5))))</x:f>
        <x:v>5</x:v>
      </x:c>
      <x:c r="AR119" s="10" t="n">
        <x:f t="shared" si="119">AN119*(1-Q119)/F119*$AS$3+U119*$AS$4+P119*$AS$5</x:f>
        <x:v>8361.29466053731</x:v>
      </x:c>
      <x:c r="AS119" s="15" t="n">
        <x:f t="shared" si="120">1+AH119*$AS$6+AI119*$AS$7+(AJ119-1)*$AS$8+($H$10*H119+$I$10*I119+$J$10*J119+$K$10*K119+$L$10*L119)*$AU$3*$AS$9+($H$10*H119+$I$10*I119+$J$10*J119+$K$10*K119+$L$10*L119)*$AU$4*$AS$10</x:f>
        <x:v>11.539132584300459</x:v>
      </x:c>
      <x:c r="AT119" s="16" t="n">
        <x:f t="shared" si="121">ROUND(AR119*AS119,0)</x:f>
        <x:v>96482</x:v>
      </x:c>
      <x:c r="AU119" s="16" t="n">
        <x:f t="shared" si="122">ROUND(AT119*F119,0)</x:f>
        <x:v>482410</x:v>
      </x:c>
      <x:c r="AV119" t="n">
        <x:f>IF(AU119&gt;0,ROUND(AU119,-MAX(0,INT(LOG10(AU119))-2)),0)</x:f>
        <x:v>482000</x:v>
      </x:c>
    </x:row>
    <x:row r="120" customHeight="1">
      <x:c r="A120" s="1" t="str">
        <x:f>IFERROR(XLOOKUP(B120,'_曲线基线'!$G$3:$G$107,'_曲线基线'!$J$3:$J$107,""),"")</x:f>
      </x:c>
      <x:c r="B120" s="1" t="n">
        <x:v>109</x:v>
      </x:c>
      <x:c r="C120" s="1" t="n">
        <x:f t="shared" si="161">C105+1</x:f>
        <x:v>8</x:v>
      </x:c>
      <x:c r="D120" s="1" t="n">
        <x:f t="shared" si="162">D105</x:f>
        <x:v>10</x:v>
      </x:c>
      <x:c r="E120" s="1" t="n">
        <x:f t="shared" si="94">IF($B120&lt;E$8,0,E$3+(E$4-E$3)*(POWER(E$5,$B120-E$8)-1)/(POWER(E$5,$C$5-E$8)-1))</x:f>
        <x:v>1</x:v>
      </x:c>
      <x:c r="F120" s="10" t="n">
        <x:f t="shared" si="95">1+IF(B120&lt;3,0,MIN(1,(B120-2)/4))+IF(B120&lt;7,0,MIN(1,(B120-6)/3))+IF(B120&lt;10,0,MIN(1,(B120-9)/5))+IF(B120&lt;20,0,MIN(1,(B120-19)/10))</x:f>
        <x:v>5</x:v>
      </x:c>
      <x:c r="G120" s="11" t="n">
        <x:f t="shared" ref="G120:L120" si="168">'玩家战力_节点'!G120</x:f>
        <x:v>0.6236999319967614</x:v>
      </x:c>
      <x:c r="H120" s="11" t="n">
        <x:f t="shared" si="168">'玩家战力_节点'!H120</x:f>
        <x:v>0.48758746158523675</x:v>
      </x:c>
      <x:c r="I120" s="11" t="n">
        <x:f t="shared" si="168">'玩家战力_节点'!I120</x:f>
        <x:v>0.2983109826851784</x:v>
      </x:c>
      <x:c r="J120" s="11" t="n">
        <x:f t="shared" si="168">'玩家战力_节点'!J120</x:f>
        <x:v>0.3583886491323464</x:v>
      </x:c>
      <x:c r="K120" s="11" t="n">
        <x:f t="shared" si="168">'玩家战力_节点'!K120</x:f>
        <x:v>0.08140814126838614</x:v>
      </x:c>
      <x:c r="L120" s="11" t="n">
        <x:f t="shared" si="168">'玩家战力_节点'!L120</x:f>
        <x:v>0.46966608126466264</x:v>
      </x:c>
      <x:c r="M120" s="2" t="n">
        <x:f>E120*'模块规划'!$F$10+G120*'模块规划'!$F$11+H120*'模块规划'!$F$13</x:f>
        <x:v>3993.759673584455</x:v>
      </x:c>
      <x:c r="N120" s="2" t="n">
        <x:f>I120*'模块规划'!$F$15+J120*'模块规划'!$F$17+K120*'模块规划'!$F$16+L120*'模块规划'!$F$18</x:f>
        <x:v>8807.153606738522</x:v>
      </x:c>
      <x:c r="O120" s="2" t="n">
        <x:f t="shared" si="97">1+O$9*SUMPRODUCT($H$10:$L$10,H120:L120)/SUM($H$10:$L$10)</x:f>
        <x:v>2.2587710332795625</x:v>
      </x:c>
      <x:c r="P120" s="12" t="n">
        <x:f t="shared" si="98">M120*O120+N120</x:f>
        <x:v>17828.14227131113</x:v>
      </x:c>
      <x:c r="Q120" s="7" t="n">
        <x:f>P120/(P120+'_曲线基线'!$L$2)</x:f>
        <x:v>0.4262236213043343</x:v>
      </x:c>
      <x:c r="R120" s="2" t="n">
        <x:f>E120*'模块规划'!$E$10+G120*'模块规划'!$E$11+H120*'模块规划'!$E$13</x:f>
        <x:v>5990.639510376683</x:v>
      </x:c>
      <x:c r="S120" s="2" t="n">
        <x:f>I120*'模块规划'!$E$15+J120*'模块规划'!$E$17+K120*'模块规划'!$E$16+L120*'模块规划'!$E$18</x:f>
        <x:v>13210.730410107783</x:v>
      </x:c>
      <x:c r="T120" s="2" t="n">
        <x:f t="shared" si="99">1+T$9*SUMPRODUCT($H$10:$L$10,H120:L120)/SUM($H$10:$L$10)</x:f>
        <x:v>2.2587710332795625</x:v>
      </x:c>
      <x:c r="U120" s="12" t="n">
        <x:f t="shared" si="100">R120*T120+S120</x:f>
        <x:v>26742.213406966694</x:v>
      </x:c>
      <x:c r="V120" s="2" t="n">
        <x:f t="shared" si="101">V$8+(V$9-V$8)*H120</x:f>
        <x:v>0.846276238475571</x:v>
      </x:c>
      <x:c r="W120" s="2" t="n">
        <x:f t="shared" si="102">IF(B120&lt;$H$8,0,W$8+(W$9-W$8)*H120)</x:f>
        <x:v>0.19503498463409472</x:v>
      </x:c>
      <x:c r="X120" s="2" t="n">
        <x:f t="shared" si="103">X$8+(X$9-X$8)*H120</x:f>
        <x:v>0.4090865519359401</x:v>
      </x:c>
      <x:c r="Y120" s="2" t="n">
        <x:f t="shared" si="104">Y$8+(Y$9-Y$8)*G120</x:f>
        <x:v>1</x:v>
      </x:c>
      <x:c r="Z120" s="2" t="n">
        <x:f t="shared" si="105">Z$8+(Z$9-Z$8)*H120</x:f>
        <x:v>1</x:v>
      </x:c>
      <x:c r="AA120" s="2" t="n">
        <x:f t="shared" si="106">AA$8+(AA$9-AA$8)*I120</x:f>
        <x:v>1</x:v>
      </x:c>
      <x:c r="AB120" s="2" t="n">
        <x:f t="shared" si="107">AB$8+(AB$9-AB$8)*J120</x:f>
        <x:v>1</x:v>
      </x:c>
      <x:c r="AC120" s="2" t="n">
        <x:f t="shared" si="108">AC$8+(AC$9-AC$8)*MAX(K120,L120)</x:f>
        <x:v>1</x:v>
      </x:c>
      <x:c r="AD120" s="1" t="n">
        <x:f t="shared" si="109">(V120*AE120+W120*AF120+X120*AG120)*PRODUCT(Y120:AC120)</x:f>
        <x:v>1.5526109732937212</x:v>
      </x:c>
      <x:c r="AE120" s="2" t="n">
        <x:f t="shared" si="110">1+AE$9*($H$10*H120+$I$10*I120+$J$10*J120+$K$10*K120+$L$10*L120)</x:f>
        <x:v>1</x:v>
      </x:c>
      <x:c r="AF120" s="2" t="n">
        <x:f t="shared" si="111">1+AF$9*($H$10*H120+$I$10*I120+$J$10*J120+$K$10*K120+$L$10*L120)</x:f>
        <x:v>1.111098010224674</x:v>
      </x:c>
      <x:c r="AG120" s="2" t="n">
        <x:f t="shared" si="112">1+AG$9*($H$10*H120+$I$10*I120+$J$10*J120+$K$10*K120+$L$10*L120)</x:f>
        <x:v>1.1968903625648404</x:v>
      </x:c>
      <x:c r="AH120" s="2" t="n">
        <x:f>MIN(1,'_曲线基线'!$L$3+AH$9*($H$10*H120+$I$10*I120+$J$10*J120+$K$10*K120+$L$10*L120))</x:f>
        <x:v>0.3027479732611331</x:v>
      </x:c>
      <x:c r="AI120" s="2" t="n">
        <x:f>'_曲线基线'!$L$4+AI$9*($H$10*H120+$I$10*I120+$J$10*J120+$K$10*K120+$L$10*L120)</x:f>
        <x:v>2.7040836397988706</x:v>
      </x:c>
      <x:c r="AJ120" s="2" t="n">
        <x:f t="shared" si="113">1+AJ$9*($H$10*H120+$I$10*I120+$J$10*J120+$K$10*K120+$L$10*L120)</x:f>
        <x:v>1.5777096531683044</x:v>
      </x:c>
      <x:c r="AK120" s="1" t="n">
        <x:f t="shared" si="114">(1+AH120*(AI120-1))*AJ120</x:f>
        <x:v>2.3916624769990573</x:v>
      </x:c>
      <x:c r="AL120" s="1" t="n">
        <x:f t="shared" si="115">U120*AD120*AK120*F120</x:f>
        <x:v>496512.16746676876</x:v>
      </x:c>
      <x:c r="AM120" s="13" t="n">
        <x:f t="shared" si="116">IF($B120&lt;AM$8,0,AM$3+(AM$4-AM$3)*(POWER(AM$5,$B120-AM$8)-1)/(POWER(AM$5,$C$5-AM$8)-1))</x:f>
        <x:v>37.5895134202528</x:v>
      </x:c>
      <x:c r="AN120" s="13" t="n">
        <x:f>(((E120*'模块规划'!$D$10+G120*'模块规划'!$D$11+H120*'模块规划'!$D$13)*(1+'模块规划'!$G$14*H120)+(I120*'模块规划'!$D$15+J120*'模块规划'!$D$17+K120*'模块规划'!$D$16+L120*'模块规划'!$D$18))*(1+'模块规划'!$J$17*J120))*F120/(1-Q120)</x:f>
        <x:v>906819.1502881733</x:v>
      </x:c>
      <x:c r="AO120" s="1" t="n">
        <x:f t="shared" si="117">AL120*AM120</x:f>
        <x:v>18663650.78231091</x:v>
      </x:c>
      <x:c r="AP120" s="1" t="n">
        <x:f>IF(AO120="","",INDEX('_曲线基线'!$A$3:$A$502,MIN(ROWS('_曲线基线'!$A$3:$A$502),COUNTIF('_曲线基线'!$E$3:$E$502,"&lt;"&amp;AO120)+1)))</x:f>
        <x:v>178</x:v>
      </x:c>
      <x:c r="AQ120" s="14" t="n">
        <x:f t="shared" si="118">IF(B120&lt;=2,1,IF(B120&lt;=6,2,IF(B120&lt;=9,3,IF(B120&lt;=19,4,5))))</x:f>
        <x:v>5</x:v>
      </x:c>
      <x:c r="AR120" s="10" t="n">
        <x:f t="shared" si="119">AN120*(1-Q120)/F120*$AS$3+U120*$AS$4+P120*$AS$5</x:f>
        <x:v>8470.311130498712</x:v>
      </x:c>
      <x:c r="AS120" s="15" t="n">
        <x:f t="shared" si="120">1+AH120*$AS$6+AI120*$AS$7+(AJ120-1)*$AS$8+($H$10*H120+$I$10*I120+$J$10*J120+$K$10*K120+$L$10*L120)*$AU$3*$AS$9+($H$10*H120+$I$10*I120+$J$10*J120+$K$10*K120+$L$10*L120)*$AU$4*$AS$10</x:f>
        <x:v>11.619812346038383</x:v>
      </x:c>
      <x:c r="AT120" s="16" t="n">
        <x:f t="shared" si="121">ROUND(AR120*AS120,0)</x:f>
        <x:v>98423</x:v>
      </x:c>
      <x:c r="AU120" s="16" t="n">
        <x:f t="shared" si="122">ROUND(AT120*F120,0)</x:f>
        <x:v>492115</x:v>
      </x:c>
      <x:c r="AV120" t="n">
        <x:f>IF(AU120&gt;0,ROUND(AU120,-MAX(0,INT(LOG10(AU120))-2)),0)</x:f>
        <x:v>492000</x:v>
      </x:c>
    </x:row>
    <x:row r="121" customHeight="1">
      <x:c r="A121" s="1" t="str">
        <x:f>IFERROR(XLOOKUP(B121,'_曲线基线'!$G$3:$G$107,'_曲线基线'!$J$3:$J$107,""),"")</x:f>
      </x:c>
      <x:c r="B121" s="1" t="n">
        <x:v>110</x:v>
      </x:c>
      <x:c r="C121" s="1" t="n">
        <x:f t="shared" si="161">C106+1</x:f>
        <x:v>8</x:v>
      </x:c>
      <x:c r="D121" s="1" t="n">
        <x:f t="shared" si="162">D106</x:f>
        <x:v>11</x:v>
      </x:c>
      <x:c r="E121" s="1" t="n">
        <x:f t="shared" si="94">IF($B121&lt;E$8,0,E$3+(E$4-E$3)*(POWER(E$5,$B121-E$8)-1)/(POWER(E$5,$C$5-E$8)-1))</x:f>
        <x:v>1</x:v>
      </x:c>
      <x:c r="F121" s="10" t="n">
        <x:f t="shared" si="95">1+IF(B121&lt;3,0,MIN(1,(B121-2)/4))+IF(B121&lt;7,0,MIN(1,(B121-6)/3))+IF(B121&lt;10,0,MIN(1,(B121-9)/5))+IF(B121&lt;20,0,MIN(1,(B121-19)/10))</x:f>
        <x:v>5</x:v>
      </x:c>
      <x:c r="G121" s="11" t="n">
        <x:f t="shared" ref="G121:L121" si="169">'玩家战力_节点'!G121</x:f>
        <x:v>0.6264606417407925</x:v>
      </x:c>
      <x:c r="H121" s="11" t="n">
        <x:f t="shared" si="169">'玩家战力_节点'!H121</x:f>
        <x:v>0.4898932278350674</x:v>
      </x:c>
      <x:c r="I121" s="11" t="n">
        <x:f t="shared" si="169">'玩家战力_节点'!I121</x:f>
        <x:v>0.3030956178725553</x:v>
      </x:c>
      <x:c r="J121" s="11" t="n">
        <x:f t="shared" si="169">'玩家战力_节点'!J121</x:f>
        <x:v>0.36117434700416734</x:v>
      </x:c>
      <x:c r="K121" s="11" t="n">
        <x:f t="shared" si="169">'玩家战力_节点'!K121</x:f>
        <x:v>0.09045349029820682</x:v>
      </x:c>
      <x:c r="L121" s="11" t="n">
        <x:f t="shared" si="169">'玩家战力_节点'!L121</x:f>
        <x:v>0.47228560315664847</x:v>
      </x:c>
      <x:c r="M121" s="2" t="n">
        <x:f>E121*'模块规划'!$F$10+G121*'模块规划'!$F$11+H121*'模块规划'!$F$13</x:f>
        <x:v>4007.011080355804</x:v>
      </x:c>
      <x:c r="N121" s="2" t="n">
        <x:f>I121*'模块规划'!$F$15+J121*'模块规划'!$F$17+K121*'模块规划'!$F$16+L121*'模块规划'!$F$18</x:f>
        <x:v>8940.6573705946</x:v>
      </x:c>
      <x:c r="O121" s="2" t="n">
        <x:f t="shared" si="97">1+O$9*SUMPRODUCT($H$10:$L$10,H121:L121)/SUM($H$10:$L$10)</x:f>
        <x:v>2.274069887214406</x:v>
      </x:c>
      <x:c r="P121" s="12" t="n">
        <x:f t="shared" si="98">M121*O121+N121</x:f>
        <x:v>18052.880606166196</x:v>
      </x:c>
      <x:c r="Q121" s="7" t="n">
        <x:f>P121/(P121+'_曲线基线'!$L$2)</x:f>
        <x:v>0.4292899878901306</x:v>
      </x:c>
      <x:c r="R121" s="2" t="n">
        <x:f>E121*'模块规划'!$E$10+G121*'模块规划'!$E$11+H121*'模块规划'!$E$13</x:f>
        <x:v>6010.516620533706</x:v>
      </x:c>
      <x:c r="S121" s="2" t="n">
        <x:f>I121*'模块规划'!$E$15+J121*'模块规划'!$E$17+K121*'模块规划'!$E$16+L121*'模块规划'!$E$18</x:f>
        <x:v>13410.986055891899</x:v>
      </x:c>
      <x:c r="T121" s="2" t="n">
        <x:f t="shared" si="99">1+T$9*SUMPRODUCT($H$10:$L$10,H121:L121)/SUM($H$10:$L$10)</x:f>
        <x:v>2.274069887214406</x:v>
      </x:c>
      <x:c r="U121" s="12" t="n">
        <x:f t="shared" si="100">R121*T121+S121</x:f>
        <x:v>27079.320909249298</x:v>
      </x:c>
      <x:c r="V121" s="2" t="n">
        <x:f t="shared" si="101">V$8+(V$9-V$8)*H121</x:f>
        <x:v>0.8469679683505202</x:v>
      </x:c>
      <x:c r="W121" s="2" t="n">
        <x:f t="shared" si="102">IF(B121&lt;$H$8,0,W$8+(W$9-W$8)*H121)</x:f>
        <x:v>0.19595729113402696</x:v>
      </x:c>
      <x:c r="X121" s="2" t="n">
        <x:f t="shared" si="103">X$8+(X$9-X$8)*H121</x:f>
        <x:v>0.40972063765464356</x:v>
      </x:c>
      <x:c r="Y121" s="2" t="n">
        <x:f t="shared" si="104">Y$8+(Y$9-Y$8)*G121</x:f>
        <x:v>1</x:v>
      </x:c>
      <x:c r="Z121" s="2" t="n">
        <x:f t="shared" si="105">Z$8+(Z$9-Z$8)*H121</x:f>
        <x:v>1</x:v>
      </x:c>
      <x:c r="AA121" s="2" t="n">
        <x:f t="shared" si="106">AA$8+(AA$9-AA$8)*I121</x:f>
        <x:v>1</x:v>
      </x:c>
      <x:c r="AB121" s="2" t="n">
        <x:f t="shared" si="107">AB$8+(AB$9-AB$8)*J121</x:f>
        <x:v>1</x:v>
      </x:c>
      <x:c r="AC121" s="2" t="n">
        <x:f t="shared" si="108">AC$8+(AC$9-AC$8)*MAX(K121,L121)</x:f>
        <x:v>1</x:v>
      </x:c>
      <x:c r="AD121" s="1" t="n">
        <x:f t="shared" si="109">(V121*AE121+W121*AF121+X121*AG121)*PRODUCT(Y121:AC121)</x:f>
        <x:v>1.556331448849716</x:v>
      </x:c>
      <x:c r="AE121" s="2" t="n">
        <x:f t="shared" si="110">1+AE$9*($H$10*H121+$I$10*I121+$J$10*J121+$K$10*K121+$L$10*L121)</x:f>
        <x:v>1</x:v>
      </x:c>
      <x:c r="AF121" s="2" t="n">
        <x:f t="shared" si="111">1+AF$9*($H$10*H121+$I$10*I121+$J$10*J121+$K$10*K121+$L$10*L121)</x:f>
        <x:v>1.1124482734464536</x:v>
      </x:c>
      <x:c r="AG121" s="2" t="n">
        <x:f t="shared" si="112">1+AG$9*($H$10*H121+$I$10*I121+$J$10*J121+$K$10*K121+$L$10*L121)</x:f>
        <x:v>1.1992833290523277</x:v>
      </x:c>
      <x:c r="AH121" s="2" t="n">
        <x:f>MIN(1,'_曲线基线'!$L$3+AH$9*($H$10*H121+$I$10*I121+$J$10*J121+$K$10*K121+$L$10*L121))</x:f>
        <x:v>0.30581982209068187</x:v>
      </x:c>
      <x:c r="AI121" s="2" t="n">
        <x:f>'_曲线基线'!$L$4+AI$9*($H$10*H121+$I$10*I121+$J$10*J121+$K$10*K121+$L$10*L121)</x:f>
        <x:v>2.7126409329668997</x:v>
      </x:c>
      <x:c r="AJ121" s="2" t="n">
        <x:f t="shared" si="113">1+AJ$9*($H$10*H121+$I$10*I121+$J$10*J121+$K$10*K121+$L$10*L121)</x:f>
        <x:v>1.5847310219215587</x:v>
      </x:c>
      <x:c r="AK121" s="1" t="n">
        <x:f t="shared" si="114">(1+AH121*(AI121-1))*AJ121</x:f>
        <x:v>2.4147490215843384</x:v>
      </x:c>
      <x:c r="AL121" s="1" t="n">
        <x:f t="shared" si="115">U121*AD121*AK121*F121</x:f>
        <x:v>508840.7281684127</x:v>
      </x:c>
      <x:c r="AM121" s="13" t="n">
        <x:f t="shared" si="116">IF($B121&lt;AM$8,0,AM$3+(AM$4-AM$3)*(POWER(AM$5,$B121-AM$8)-1)/(POWER(AM$5,$C$5-AM$8)-1))</x:f>
        <x:v>37.628833194377194</x:v>
      </x:c>
      <x:c r="AN121" s="13" t="n">
        <x:f>(((E121*'模块规划'!$D$10+G121*'模块规划'!$D$11+H121*'模块规划'!$D$13)*(1+'模块规划'!$G$14*H121)+(I121*'模块规划'!$D$15+J121*'模块规划'!$D$17+K121*'模块规划'!$D$16+L121*'模块规划'!$D$18))*(1+'模块规划'!$J$17*J121))*F121/(1-Q121)</x:f>
        <x:v>923924.6157412946</x:v>
      </x:c>
      <x:c r="AO121" s="1" t="n">
        <x:f t="shared" si="117">AL121*AM121</x:f>
        <x:v>19147082.88275463</x:v>
      </x:c>
      <x:c r="AP121" s="1" t="n">
        <x:f>IF(AO121="","",INDEX('_曲线基线'!$A$3:$A$502,MIN(ROWS('_曲线基线'!$A$3:$A$502),COUNTIF('_曲线基线'!$E$3:$E$502,"&lt;"&amp;AO121)+1)))</x:f>
        <x:v>180</x:v>
      </x:c>
      <x:c r="AQ121" s="14" t="n">
        <x:f t="shared" si="118">IF(B121&lt;=2,1,IF(B121&lt;=6,2,IF(B121&lt;=9,3,IF(B121&lt;=19,4,5))))</x:f>
        <x:v>5</x:v>
      </x:c>
      <x:c r="AR121" s="10" t="n">
        <x:f t="shared" si="119">AN121*(1-Q121)/F121*$AS$3+U121*$AS$4+P121*$AS$5</x:f>
        <x:v>8579.622353679782</x:v>
      </x:c>
      <x:c r="AS121" s="15" t="n">
        <x:f t="shared" si="120">1+AH121*$AS$6+AI121*$AS$7+(AJ121-1)*$AS$8+($H$10*H121+$I$10*I121+$J$10*J121+$K$10*K121+$L$10*L121)*$AU$3*$AS$9+($H$10*H121+$I$10*I121+$J$10*J121+$K$10*K121+$L$10*L121)*$AU$4*$AS$10</x:f>
        <x:v>11.700492107776304</x:v>
      </x:c>
      <x:c r="AT121" s="16" t="n">
        <x:f t="shared" si="121">ROUND(AR121*AS121,0)</x:f>
        <x:v>100386</x:v>
      </x:c>
      <x:c r="AU121" s="16" t="n">
        <x:f t="shared" si="122">ROUND(AT121*F121,0)</x:f>
        <x:v>501930</x:v>
      </x:c>
      <x:c r="AV121" t="n">
        <x:f>IF(AU121&gt;0,ROUND(AU121,-MAX(0,INT(LOG10(AU121))-2)),0)</x:f>
        <x:v>502000</x:v>
      </x:c>
    </x:row>
    <x:row r="122" customHeight="1">
      <x:c r="A122" s="1" t="str">
        <x:f>IFERROR(XLOOKUP(B122,'_曲线基线'!$G$3:$G$107,'_曲线基线'!$J$3:$J$107,""),"")</x:f>
      </x:c>
      <x:c r="B122" s="1" t="n">
        <x:v>111</x:v>
      </x:c>
      <x:c r="C122" s="1" t="n">
        <x:f t="shared" si="161">C107+1</x:f>
        <x:v>8</x:v>
      </x:c>
      <x:c r="D122" s="1" t="n">
        <x:f t="shared" si="162">D107</x:f>
        <x:v>12</x:v>
      </x:c>
      <x:c r="E122" s="1" t="n">
        <x:f t="shared" si="94">IF($B122&lt;E$8,0,E$3+(E$4-E$3)*(POWER(E$5,$B122-E$8)-1)/(POWER(E$5,$C$5-E$8)-1))</x:f>
        <x:v>1</x:v>
      </x:c>
      <x:c r="F122" s="10" t="n">
        <x:f t="shared" si="95">1+IF(B122&lt;3,0,MIN(1,(B122-2)/4))+IF(B122&lt;7,0,MIN(1,(B122-6)/3))+IF(B122&lt;10,0,MIN(1,(B122-9)/5))+IF(B122&lt;20,0,MIN(1,(B122-19)/10))</x:f>
        <x:v>5</x:v>
      </x:c>
      <x:c r="G122" s="11" t="n">
        <x:f t="shared" ref="G122:L122" si="170">'玩家战力_节点'!G122</x:f>
        <x:v>0.6292213514848237</x:v>
      </x:c>
      <x:c r="H122" s="11" t="n">
        <x:f t="shared" si="170">'玩家战力_节点'!H122</x:f>
        <x:v>0.4921989940848979</x:v>
      </x:c>
      <x:c r="I122" s="11" t="n">
        <x:f t="shared" si="170">'玩家战力_节点'!I122</x:f>
        <x:v>0.3078802530599321</x:v>
      </x:c>
      <x:c r="J122" s="11" t="n">
        <x:f t="shared" si="170">'玩家战力_节点'!J122</x:f>
        <x:v>0.36396004487598826</x:v>
      </x:c>
      <x:c r="K122" s="11" t="n">
        <x:f t="shared" si="170">'玩家战力_节点'!K122</x:f>
        <x:v>0.09949883932802749</x:v>
      </x:c>
      <x:c r="L122" s="11" t="n">
        <x:f t="shared" si="170">'玩家战力_节点'!L122</x:f>
        <x:v>0.4749051250486342</x:v>
      </x:c>
      <x:c r="M122" s="2" t="n">
        <x:f>E122*'模块规划'!$F$10+G122*'模块规划'!$F$11+H122*'模块规划'!$F$13</x:f>
        <x:v>4020.2624871271537</x:v>
      </x:c>
      <x:c r="N122" s="2" t="n">
        <x:f>I122*'模块规划'!$F$15+J122*'模块规划'!$F$17+K122*'模块规划'!$F$16+L122*'模块规划'!$F$18</x:f>
        <x:v>9074.161134450675</x:v>
      </x:c>
      <x:c r="O122" s="2" t="n">
        <x:f t="shared" si="97">1+O$9*SUMPRODUCT($H$10:$L$10,H122:L122)/SUM($H$10:$L$10)</x:f>
        <x:v>2.2893687411492487</x:v>
      </x:c>
      <x:c r="P122" s="12" t="n">
        <x:f t="shared" si="98">M122*O122+N122</x:f>
        <x:v>18278.024403694515</x:v>
      </x:c>
      <x:c r="Q122" s="7" t="n">
        <x:f>P122/(P122+'_曲线基线'!$L$2)</x:f>
        <x:v>0.43232919847828244</x:v>
      </x:c>
      <x:c r="R122" s="2" t="n">
        <x:f>E122*'模块规划'!$E$10+G122*'模块规划'!$E$11+H122*'模块规划'!$E$13</x:f>
        <x:v>6030.393730690731</x:v>
      </x:c>
      <x:c r="S122" s="2" t="n">
        <x:f>I122*'模块规划'!$E$15+J122*'模块规划'!$E$17+K122*'模块规划'!$E$16+L122*'模块规划'!$E$18</x:f>
        <x:v>13611.241701676014</x:v>
      </x:c>
      <x:c r="T122" s="2" t="n">
        <x:f t="shared" si="99">1+T$9*SUMPRODUCT($H$10:$L$10,H122:L122)/SUM($H$10:$L$10)</x:f>
        <x:v>2.2893687411492487</x:v>
      </x:c>
      <x:c r="U122" s="12" t="n">
        <x:f t="shared" si="100">R122*T122+S122</x:f>
        <x:v>27417.036605541776</x:v>
      </x:c>
      <x:c r="V122" s="2" t="n">
        <x:f t="shared" si="101">V$8+(V$9-V$8)*H122</x:f>
        <x:v>0.8476596982254694</x:v>
      </x:c>
      <x:c r="W122" s="2" t="n">
        <x:f t="shared" si="102">IF(B122&lt;$H$8,0,W$8+(W$9-W$8)*H122)</x:f>
        <x:v>0.19687959763395918</x:v>
      </x:c>
      <x:c r="X122" s="2" t="n">
        <x:f t="shared" si="103">X$8+(X$9-X$8)*H122</x:f>
        <x:v>0.410354723373347</x:v>
      </x:c>
      <x:c r="Y122" s="2" t="n">
        <x:f t="shared" si="104">Y$8+(Y$9-Y$8)*G122</x:f>
        <x:v>1</x:v>
      </x:c>
      <x:c r="Z122" s="2" t="n">
        <x:f t="shared" si="105">Z$8+(Z$9-Z$8)*H122</x:f>
        <x:v>1</x:v>
      </x:c>
      <x:c r="AA122" s="2" t="n">
        <x:f t="shared" si="106">AA$8+(AA$9-AA$8)*I122</x:f>
        <x:v>1</x:v>
      </x:c>
      <x:c r="AB122" s="2" t="n">
        <x:f t="shared" si="107">AB$8+(AB$9-AB$8)*J122</x:f>
        <x:v>1</x:v>
      </x:c>
      <x:c r="AC122" s="2" t="n">
        <x:f t="shared" si="108">AC$8+(AC$9-AC$8)*MAX(K122,L122)</x:f>
        <x:v>1</x:v>
      </x:c>
      <x:c r="AD122" s="1" t="n">
        <x:f t="shared" si="109">(V122*AE122+W122*AF122+X122*AG122)*PRODUCT(Y122:AC122)</x:f>
        <x:v>1.5600574498105528</x:v>
      </x:c>
      <x:c r="AE122" s="2" t="n">
        <x:f t="shared" si="110">1+AE$9*($H$10*H122+$I$10*I122+$J$10*J122+$K$10*K122+$L$10*L122)</x:f>
        <x:v>1</x:v>
      </x:c>
      <x:c r="AF122" s="2" t="n">
        <x:f t="shared" si="111">1+AF$9*($H$10*H122+$I$10*I122+$J$10*J122+$K$10*K122+$L$10*L122)</x:f>
        <x:v>1.1137985366682335</x:v>
      </x:c>
      <x:c r="AG122" s="2" t="n">
        <x:f t="shared" si="112">1+AG$9*($H$10*H122+$I$10*I122+$J$10*J122+$K$10*K122+$L$10*L122)</x:f>
        <x:v>1.2016762955398153</x:v>
      </x:c>
      <x:c r="AH122" s="2" t="n">
        <x:f>MIN(1,'_曲线基线'!$L$3+AH$9*($H$10*H122+$I$10*I122+$J$10*J122+$K$10*K122+$L$10*L122))</x:f>
        <x:v>0.3088916709202307</x:v>
      </x:c>
      <x:c r="AI122" s="2" t="n">
        <x:f>'_曲线基线'!$L$4+AI$9*($H$10*H122+$I$10*I122+$J$10*J122+$K$10*K122+$L$10*L122)</x:f>
        <x:v>2.7211982261349283</x:v>
      </x:c>
      <x:c r="AJ122" s="2" t="n">
        <x:f t="shared" si="113">1+AJ$9*($H$10*H122+$I$10*I122+$J$10*J122+$K$10*K122+$L$10*L122)</x:f>
        <x:v>1.591752390674813</x:v>
      </x:c>
      <x:c r="AK122" s="1" t="n">
        <x:f t="shared" si="114">(1+AH122*(AI122-1))*AJ122</x:f>
        <x:v>2.4380295090818076</x:v>
      </x:c>
      <x:c r="AL122" s="1" t="n">
        <x:f t="shared" si="115">U122*AD122*AK122*F122</x:f>
        <x:v>521398.8462527008</x:v>
      </x:c>
      <x:c r="AM122" s="13" t="n">
        <x:f t="shared" si="116">IF($B122&lt;AM$8,0,AM$3+(AM$4-AM$3)*(POWER(AM$5,$B122-AM$8)-1)/(POWER(AM$5,$C$5-AM$8)-1))</x:f>
        <x:v>37.66854616624284</x:v>
      </x:c>
      <x:c r="AN122" s="13" t="n">
        <x:f>(((E122*'模块规划'!$D$10+G122*'模块规划'!$D$11+H122*'模块规划'!$D$13)*(1+'模块规划'!$G$14*H122)+(I122*'模块规划'!$D$15+J122*'模块规划'!$D$17+K122*'模块规划'!$D$16+L122*'模块规划'!$D$18))*(1+'模块规划'!$J$17*J122))*F122/(1-Q122)</x:f>
        <x:v>941220.7107568042</x:v>
      </x:c>
      <x:c r="AO122" s="1" t="n">
        <x:f t="shared" si="117">AL122*AM122</x:f>
        <x:v>19640336.511095613</x:v>
      </x:c>
      <x:c r="AP122" s="1" t="n">
        <x:f>IF(AO122="","",INDEX('_曲线基线'!$A$3:$A$502,MIN(ROWS('_曲线基线'!$A$3:$A$502),COUNTIF('_曲线基线'!$E$3:$E$502,"&lt;"&amp;AO122)+1)))</x:f>
        <x:v>181</x:v>
      </x:c>
      <x:c r="AQ122" s="14" t="n">
        <x:f t="shared" si="118">IF(B122&lt;=2,1,IF(B122&lt;=6,2,IF(B122&lt;=9,3,IF(B122&lt;=19,4,5))))</x:f>
        <x:v>5</x:v>
      </x:c>
      <x:c r="AR122" s="10" t="n">
        <x:f t="shared" si="119">AN122*(1-Q122)/F122*$AS$3+U122*$AS$4+P122*$AS$5</x:f>
        <x:v>8689.228412813289</x:v>
      </x:c>
      <x:c r="AS122" s="15" t="n">
        <x:f t="shared" si="120">1+AH122*$AS$6+AI122*$AS$7+(AJ122-1)*$AS$8+($H$10*H122+$I$10*I122+$J$10*J122+$K$10*K122+$L$10*L122)*$AU$3*$AS$9+($H$10*H122+$I$10*I122+$J$10*J122+$K$10*K122+$L$10*L122)*$AU$4*$AS$10</x:f>
        <x:v>11.781171869514228</x:v>
      </x:c>
      <x:c r="AT122" s="16" t="n">
        <x:f t="shared" si="121">ROUND(AR122*AS122,0)</x:f>
        <x:v>102369</x:v>
      </x:c>
      <x:c r="AU122" s="16" t="n">
        <x:f t="shared" si="122">ROUND(AT122*F122,0)</x:f>
        <x:v>511845</x:v>
      </x:c>
      <x:c r="AV122" t="n">
        <x:f>IF(AU122&gt;0,ROUND(AU122,-MAX(0,INT(LOG10(AU122))-2)),0)</x:f>
        <x:v>512000</x:v>
      </x:c>
    </x:row>
    <x:row r="123" customHeight="1">
      <x:c r="A123" s="1" t="str">
        <x:f>IFERROR(XLOOKUP(B123,'_曲线基线'!$G$3:$G$107,'_曲线基线'!$J$3:$J$107,""),"")</x:f>
      </x:c>
      <x:c r="B123" s="1" t="n">
        <x:v>112</x:v>
      </x:c>
      <x:c r="C123" s="1" t="n">
        <x:f t="shared" si="161">C108+1</x:f>
        <x:v>8</x:v>
      </x:c>
      <x:c r="D123" s="1" t="n">
        <x:f t="shared" si="162">D108</x:f>
        <x:v>13</x:v>
      </x:c>
      <x:c r="E123" s="1" t="n">
        <x:f t="shared" si="94">IF($B123&lt;E$8,0,E$3+(E$4-E$3)*(POWER(E$5,$B123-E$8)-1)/(POWER(E$5,$C$5-E$8)-1))</x:f>
        <x:v>1</x:v>
      </x:c>
      <x:c r="F123" s="10" t="n">
        <x:f t="shared" si="95">1+IF(B123&lt;3,0,MIN(1,(B123-2)/4))+IF(B123&lt;7,0,MIN(1,(B123-6)/3))+IF(B123&lt;10,0,MIN(1,(B123-9)/5))+IF(B123&lt;20,0,MIN(1,(B123-19)/10))</x:f>
        <x:v>5</x:v>
      </x:c>
      <x:c r="G123" s="11" t="n">
        <x:f t="shared" ref="G123:L123" si="171">'玩家战力_节点'!G123</x:f>
        <x:v>0.6319820612288548</x:v>
      </x:c>
      <x:c r="H123" s="11" t="n">
        <x:f t="shared" si="171">'玩家战力_节点'!H123</x:f>
        <x:v>0.4945047603347285</x:v>
      </x:c>
      <x:c r="I123" s="11" t="n">
        <x:f t="shared" si="171">'玩家战力_节点'!I123</x:f>
        <x:v>0.312664888247309</x:v>
      </x:c>
      <x:c r="J123" s="11" t="n">
        <x:f t="shared" si="171">'玩家战力_节点'!J123</x:f>
        <x:v>0.36674574274780913</x:v>
      </x:c>
      <x:c r="K123" s="11" t="n">
        <x:f t="shared" si="171">'玩家战力_节点'!K123</x:f>
        <x:v>0.10854418835784817</x:v>
      </x:c>
      <x:c r="L123" s="11" t="n">
        <x:f t="shared" si="171">'玩家战力_节点'!L123</x:f>
        <x:v>0.4775246469406199</x:v>
      </x:c>
      <x:c r="M123" s="2" t="n">
        <x:f>E123*'模块规划'!$F$10+G123*'模块规划'!$F$11+H123*'模块规划'!$F$13</x:f>
        <x:v>4033.5138938985033</x:v>
      </x:c>
      <x:c r="N123" s="2" t="n">
        <x:f>I123*'模块规划'!$F$15+J123*'模块规划'!$F$17+K123*'模块规划'!$F$16+L123*'模块规划'!$F$18</x:f>
        <x:v>9207.664898306752</x:v>
      </x:c>
      <x:c r="O123" s="2" t="n">
        <x:f t="shared" si="97">1+O$9*SUMPRODUCT($H$10:$L$10,H123:L123)/SUM($H$10:$L$10)</x:f>
        <x:v>2.304667595084092</x:v>
      </x:c>
      <x:c r="P123" s="12" t="n">
        <x:f t="shared" si="98">M123*O123+N123</x:f>
        <x:v>18503.573663896088</x:v>
      </x:c>
      <x:c r="Q123" s="7" t="n">
        <x:f>P123/(P123+'_曲线基线'!$L$2)</x:f>
        <x:v>0.4353415976316745</x:v>
      </x:c>
      <x:c r="R123" s="2" t="n">
        <x:f>E123*'模块规划'!$E$10+G123*'模块规划'!$E$11+H123*'模块规划'!$E$13</x:f>
        <x:v>6050.270840847755</x:v>
      </x:c>
      <x:c r="S123" s="2" t="n">
        <x:f>I123*'模块规划'!$E$15+J123*'模块规划'!$E$17+K123*'模块规划'!$E$16+L123*'模块规划'!$E$18</x:f>
        <x:v>13811.497347460128</x:v>
      </x:c>
      <x:c r="T123" s="2" t="n">
        <x:f t="shared" si="99">1+T$9*SUMPRODUCT($H$10:$L$10,H123:L123)/SUM($H$10:$L$10)</x:f>
        <x:v>2.304667595084092</x:v>
      </x:c>
      <x:c r="U123" s="12" t="n">
        <x:f t="shared" si="100">R123*T123+S123</x:f>
        <x:v>27755.36049584413</x:v>
      </x:c>
      <x:c r="V123" s="2" t="n">
        <x:f t="shared" si="101">V$8+(V$9-V$8)*H123</x:f>
        <x:v>0.8483514281004185</x:v>
      </x:c>
      <x:c r="W123" s="2" t="n">
        <x:f t="shared" si="102">IF(B123&lt;$H$8,0,W$8+(W$9-W$8)*H123)</x:f>
        <x:v>0.19780190413389143</x:v>
      </x:c>
      <x:c r="X123" s="2" t="n">
        <x:f t="shared" si="103">X$8+(X$9-X$8)*H123</x:f>
        <x:v>0.4109888090920504</x:v>
      </x:c>
      <x:c r="Y123" s="2" t="n">
        <x:f t="shared" si="104">Y$8+(Y$9-Y$8)*G123</x:f>
        <x:v>1</x:v>
      </x:c>
      <x:c r="Z123" s="2" t="n">
        <x:f t="shared" si="105">Z$8+(Z$9-Z$8)*H123</x:f>
        <x:v>1</x:v>
      </x:c>
      <x:c r="AA123" s="2" t="n">
        <x:f t="shared" si="106">AA$8+(AA$9-AA$8)*I123</x:f>
        <x:v>1</x:v>
      </x:c>
      <x:c r="AB123" s="2" t="n">
        <x:f t="shared" si="107">AB$8+(AB$9-AB$8)*J123</x:f>
        <x:v>1</x:v>
      </x:c>
      <x:c r="AC123" s="2" t="n">
        <x:f t="shared" si="108">AC$8+(AC$9-AC$8)*MAX(K123,L123)</x:f>
        <x:v>1</x:v>
      </x:c>
      <x:c r="AD123" s="1" t="n">
        <x:f t="shared" si="109">(V123*AE123+W123*AF123+X123*AG123)*PRODUCT(Y123:AC123)</x:f>
        <x:v>1.563788976176232</x:v>
      </x:c>
      <x:c r="AE123" s="2" t="n">
        <x:f t="shared" si="110">1+AE$9*($H$10*H123+$I$10*I123+$J$10*J123+$K$10*K123+$L$10*L123)</x:f>
        <x:v>1</x:v>
      </x:c>
      <x:c r="AF123" s="2" t="n">
        <x:f t="shared" si="111">1+AF$9*($H$10*H123+$I$10*I123+$J$10*J123+$K$10*K123+$L$10*L123)</x:f>
        <x:v>1.1151487998900131</x:v>
      </x:c>
      <x:c r="AG123" s="2" t="n">
        <x:f t="shared" si="112">1+AG$9*($H$10*H123+$I$10*I123+$J$10*J123+$K$10*K123+$L$10*L123)</x:f>
        <x:v>1.2040692620273026</x:v>
      </x:c>
      <x:c r="AH123" s="2" t="n">
        <x:f>MIN(1,'_曲线基线'!$L$3+AH$9*($H$10*H123+$I$10*I123+$J$10*J123+$K$10*K123+$L$10*L123))</x:f>
        <x:v>0.3119635197497794</x:v>
      </x:c>
      <x:c r="AI123" s="2" t="n">
        <x:f>'_曲线基线'!$L$4+AI$9*($H$10*H123+$I$10*I123+$J$10*J123+$K$10*K123+$L$10*L123)</x:f>
        <x:v>2.729755519302957</x:v>
      </x:c>
      <x:c r="AJ123" s="2" t="n">
        <x:f t="shared" si="113">1+AJ$9*($H$10*H123+$I$10*I123+$J$10*J123+$K$10*K123+$L$10*L123)</x:f>
        <x:v>1.5987737594280675</x:v>
      </x:c>
      <x:c r="AK123" s="1" t="n">
        <x:f t="shared" si="114">(1+AH123*(AI123-1))*AJ123</x:f>
        <x:v>2.461505046903612</x:v>
      </x:c>
      <x:c r="AL123" s="1" t="n">
        <x:f t="shared" si="115">U123*AD123*AK123*F123</x:f>
        <x:v>534190.0010282187</x:v>
      </x:c>
      <x:c r="AM123" s="13" t="n">
        <x:f t="shared" si="116">IF($B123&lt;AM$8,0,AM$3+(AM$4-AM$3)*(POWER(AM$5,$B123-AM$8)-1)/(POWER(AM$5,$C$5-AM$8)-1))</x:f>
        <x:v>37.70865626782714</x:v>
      </x:c>
      <x:c r="AN123" s="13" t="n">
        <x:f>(((E123*'模块规划'!$D$10+G123*'模块规划'!$D$11+H123*'模块规划'!$D$13)*(1+'模块规划'!$G$14*H123)+(I123*'模块规划'!$D$15+J123*'模块规划'!$D$17+K123*'模块规划'!$D$16+L123*'模块规划'!$D$18))*(1+'模块规划'!$J$17*J123))*F123/(1-Q123)</x:f>
        <x:v>958708.6274462478</x:v>
      </x:c>
      <x:c r="AO123" s="1" t="n">
        <x:f t="shared" si="117">AL123*AM123</x:f>
        <x:v>20143587.13048332</x:v>
      </x:c>
      <x:c r="AP123" s="1" t="n">
        <x:f>IF(AO123="","",INDEX('_曲线基线'!$A$3:$A$502,MIN(ROWS('_曲线基线'!$A$3:$A$502),COUNTIF('_曲线基线'!$E$3:$E$502,"&lt;"&amp;AO123)+1)))</x:f>
        <x:v>183</x:v>
      </x:c>
      <x:c r="AQ123" s="14" t="n">
        <x:f t="shared" si="118">IF(B123&lt;=2,1,IF(B123&lt;=6,2,IF(B123&lt;=9,3,IF(B123&lt;=19,4,5))))</x:f>
        <x:v>5</x:v>
      </x:c>
      <x:c r="AR123" s="10" t="n">
        <x:f t="shared" si="119">AN123*(1-Q123)/F123*$AS$3+U123*$AS$4+P123*$AS$5</x:f>
        <x:v>8799.129390631995</x:v>
      </x:c>
      <x:c r="AS123" s="15" t="n">
        <x:f t="shared" si="120">1+AH123*$AS$6+AI123*$AS$7+(AJ123-1)*$AS$8+($H$10*H123+$I$10*I123+$J$10*J123+$K$10*K123+$L$10*L123)*$AU$3*$AS$9+($H$10*H123+$I$10*I123+$J$10*J123+$K$10*K123+$L$10*L123)*$AU$4*$AS$10</x:f>
        <x:v>11.86185163125215</x:v>
      </x:c>
      <x:c r="AT123" s="16" t="n">
        <x:f t="shared" si="121">ROUND(AR123*AS123,0)</x:f>
        <x:v>104374</x:v>
      </x:c>
      <x:c r="AU123" s="16" t="n">
        <x:f t="shared" si="122">ROUND(AT123*F123,0)</x:f>
        <x:v>521870</x:v>
      </x:c>
      <x:c r="AV123" t="n">
        <x:f>IF(AU123&gt;0,ROUND(AU123,-MAX(0,INT(LOG10(AU123))-2)),0)</x:f>
        <x:v>522000</x:v>
      </x:c>
    </x:row>
    <x:row r="124" customHeight="1">
      <x:c r="A124" s="1" t="str">
        <x:f>IFERROR(XLOOKUP(B124,'_曲线基线'!$G$3:$G$107,'_曲线基线'!$J$3:$J$107,""),"")</x:f>
      </x:c>
      <x:c r="B124" s="1" t="n">
        <x:v>113</x:v>
      </x:c>
      <x:c r="C124" s="1" t="n">
        <x:f t="shared" si="161">C109+1</x:f>
        <x:v>8</x:v>
      </x:c>
      <x:c r="D124" s="1" t="n">
        <x:f t="shared" si="162">D109</x:f>
        <x:v>14</x:v>
      </x:c>
      <x:c r="E124" s="1" t="n">
        <x:f t="shared" si="94">IF($B124&lt;E$8,0,E$3+(E$4-E$3)*(POWER(E$5,$B124-E$8)-1)/(POWER(E$5,$C$5-E$8)-1))</x:f>
        <x:v>1</x:v>
      </x:c>
      <x:c r="F124" s="10" t="n">
        <x:f t="shared" si="95">1+IF(B124&lt;3,0,MIN(1,(B124-2)/4))+IF(B124&lt;7,0,MIN(1,(B124-6)/3))+IF(B124&lt;10,0,MIN(1,(B124-9)/5))+IF(B124&lt;20,0,MIN(1,(B124-19)/10))</x:f>
        <x:v>5</x:v>
      </x:c>
      <x:c r="G124" s="11" t="n">
        <x:f t="shared" ref="G124:L124" si="172">'玩家战力_节点'!G124</x:f>
        <x:v>0.6347427709728859</x:v>
      </x:c>
      <x:c r="H124" s="11" t="n">
        <x:f t="shared" si="172">'玩家战力_节点'!H124</x:f>
        <x:v>0.49681052658455915</x:v>
      </x:c>
      <x:c r="I124" s="11" t="n">
        <x:f t="shared" si="172">'玩家战力_节点'!I124</x:f>
        <x:v>0.31744952343468585</x:v>
      </x:c>
      <x:c r="J124" s="11" t="n">
        <x:f t="shared" si="172">'玩家战力_节点'!J124</x:f>
        <x:v>0.36953144061963006</x:v>
      </x:c>
      <x:c r="K124" s="11" t="n">
        <x:f t="shared" si="172">'玩家战力_节点'!K124</x:f>
        <x:v>0.11758953738766886</x:v>
      </x:c>
      <x:c r="L124" s="11" t="n">
        <x:f t="shared" si="172">'玩家战力_节点'!L124</x:f>
        <x:v>0.48014416883260574</x:v>
      </x:c>
      <x:c r="M124" s="2" t="n">
        <x:f>E124*'模块规划'!$F$10+G124*'模块规划'!$F$11+H124*'模块规划'!$F$13</x:f>
        <x:v>4046.7653006698524</x:v>
      </x:c>
      <x:c r="N124" s="2" t="n">
        <x:f>I124*'模块规划'!$F$15+J124*'模块规划'!$F$17+K124*'模块规划'!$F$16+L124*'模块规划'!$F$18</x:f>
        <x:v>9341.168662162829</x:v>
      </x:c>
      <x:c r="O124" s="2" t="n">
        <x:f t="shared" si="97">1+O$9*SUMPRODUCT($H$10:$L$10,H124:L124)/SUM($H$10:$L$10)</x:f>
        <x:v>2.319966449018936</x:v>
      </x:c>
      <x:c r="P124" s="12" t="n">
        <x:f t="shared" si="98">M124*O124+N124</x:f>
        <x:v>18729.52838677091</x:v>
      </x:c>
      <x:c r="Q124" s="7" t="n">
        <x:f>P124/(P124+'_曲线基线'!$L$2)</x:f>
        <x:v>0.43832752417107385</x:v>
      </x:c>
      <x:c r="R124" s="2" t="n">
        <x:f>E124*'模块规划'!$E$10+G124*'模块规划'!$E$11+H124*'模块规划'!$E$13</x:f>
        <x:v>6070.147951004778</x:v>
      </x:c>
      <x:c r="S124" s="2" t="n">
        <x:f>I124*'模块规划'!$E$15+J124*'模块规划'!$E$17+K124*'模块规划'!$E$16+L124*'模块规划'!$E$18</x:f>
        <x:v>14011.752993244245</x:v>
      </x:c>
      <x:c r="T124" s="2" t="n">
        <x:f t="shared" si="99">1+T$9*SUMPRODUCT($H$10:$L$10,H124:L124)/SUM($H$10:$L$10)</x:f>
        <x:v>2.319966449018936</x:v>
      </x:c>
      <x:c r="U124" s="12" t="n">
        <x:f t="shared" si="100">R124*T124+S124</x:f>
        <x:v>28094.29258015637</x:v>
      </x:c>
      <x:c r="V124" s="2" t="n">
        <x:f t="shared" si="101">V$8+(V$9-V$8)*H124</x:f>
        <x:v>0.8490431579753677</x:v>
      </x:c>
      <x:c r="W124" s="2" t="n">
        <x:f t="shared" si="102">IF(B124&lt;$H$8,0,W$8+(W$9-W$8)*H124)</x:f>
        <x:v>0.19872421063382367</x:v>
      </x:c>
      <x:c r="X124" s="2" t="n">
        <x:f t="shared" si="103">X$8+(X$9-X$8)*H124</x:f>
        <x:v>0.41162289481075376</x:v>
      </x:c>
      <x:c r="Y124" s="2" t="n">
        <x:f t="shared" si="104">Y$8+(Y$9-Y$8)*G124</x:f>
        <x:v>1</x:v>
      </x:c>
      <x:c r="Z124" s="2" t="n">
        <x:f t="shared" si="105">Z$8+(Z$9-Z$8)*H124</x:f>
        <x:v>1</x:v>
      </x:c>
      <x:c r="AA124" s="2" t="n">
        <x:f t="shared" si="106">AA$8+(AA$9-AA$8)*I124</x:f>
        <x:v>1</x:v>
      </x:c>
      <x:c r="AB124" s="2" t="n">
        <x:f t="shared" si="107">AB$8+(AB$9-AB$8)*J124</x:f>
        <x:v>1</x:v>
      </x:c>
      <x:c r="AC124" s="2" t="n">
        <x:f t="shared" si="108">AC$8+(AC$9-AC$8)*MAX(K124,L124)</x:f>
        <x:v>1</x:v>
      </x:c>
      <x:c r="AD124" s="1" t="n">
        <x:f t="shared" si="109">(V124*AE124+W124*AF124+X124*AG124)*PRODUCT(Y124:AC124)</x:f>
        <x:v>1.5675260279467533</x:v>
      </x:c>
      <x:c r="AE124" s="2" t="n">
        <x:f t="shared" si="110">1+AE$9*($H$10*H124+$I$10*I124+$J$10*J124+$K$10*K124+$L$10*L124)</x:f>
        <x:v>1</x:v>
      </x:c>
      <x:c r="AF124" s="2" t="n">
        <x:f t="shared" si="111">1+AF$9*($H$10*H124+$I$10*I124+$J$10*J124+$K$10*K124+$L$10*L124)</x:f>
        <x:v>1.1164990631117928</x:v>
      </x:c>
      <x:c r="AG124" s="2" t="n">
        <x:f t="shared" si="112">1+AG$9*($H$10*H124+$I$10*I124+$J$10*J124+$K$10*K124+$L$10*L124)</x:f>
        <x:v>1.20646222851479</x:v>
      </x:c>
      <x:c r="AH124" s="2" t="n">
        <x:f>MIN(1,'_曲线基线'!$L$3+AH$9*($H$10*H124+$I$10*I124+$J$10*J124+$K$10*K124+$L$10*L124))</x:f>
        <x:v>0.3150353685793283</x:v>
      </x:c>
      <x:c r="AI124" s="2" t="n">
        <x:f>'_曲线基线'!$L$4+AI$9*($H$10*H124+$I$10*I124+$J$10*J124+$K$10*K124+$L$10*L124)</x:f>
        <x:v>2.738312812470986</x:v>
      </x:c>
      <x:c r="AJ124" s="2" t="n">
        <x:f t="shared" si="113">1+AJ$9*($H$10*H124+$I$10*I124+$J$10*J124+$K$10*K124+$L$10*L124)</x:f>
        <x:v>1.6057951281813219</x:v>
      </x:c>
      <x:c r="AK124" s="1" t="n">
        <x:f t="shared" si="114">(1+AH124*(AI124-1))*AJ124</x:f>
        <x:v>2.4851767424619005</x:v>
      </x:c>
      <x:c r="AL124" s="1" t="n">
        <x:f t="shared" si="115">U124*AD124*AK124*F124</x:f>
        <x:v>547217.7129829645</x:v>
      </x:c>
      <x:c r="AM124" s="13" t="n">
        <x:f t="shared" si="116">IF($B124&lt;AM$8,0,AM$3+(AM$4-AM$3)*(POWER(AM$5,$B124-AM$8)-1)/(POWER(AM$5,$C$5-AM$8)-1))</x:f>
        <x:v>37.749167470427274</x:v>
      </x:c>
      <x:c r="AN124" s="13" t="n">
        <x:f>(((E124*'模块规划'!$D$10+G124*'模块规划'!$D$11+H124*'模块规划'!$D$13)*(1+'模块规划'!$G$14*H124)+(I124*'模块规划'!$D$15+J124*'模块规划'!$D$17+K124*'模块规划'!$D$16+L124*'模块规划'!$D$18))*(1+'模块规划'!$J$17*J124))*F124/(1-Q124)</x:f>
        <x:v>976389.5613664851</x:v>
      </x:c>
      <x:c r="AO124" s="1" t="n">
        <x:f t="shared" si="117">AL124*AM124</x:f>
        <x:v>20657013.090178132</x:v>
      </x:c>
      <x:c r="AP124" s="1" t="n">
        <x:f>IF(AO124="","",INDEX('_曲线基线'!$A$3:$A$502,MIN(ROWS('_曲线基线'!$A$3:$A$502),COUNTIF('_曲线基线'!$E$3:$E$502,"&lt;"&amp;AO124)+1)))</x:f>
        <x:v>184</x:v>
      </x:c>
      <x:c r="AQ124" s="14" t="n">
        <x:f t="shared" si="118">IF(B124&lt;=2,1,IF(B124&lt;=6,2,IF(B124&lt;=9,3,IF(B124&lt;=19,4,5))))</x:f>
        <x:v>5</x:v>
      </x:c>
      <x:c r="AR124" s="10" t="n">
        <x:f t="shared" si="119">AN124*(1-Q124)/F124*$AS$3+U124*$AS$4+P124*$AS$5</x:f>
        <x:v>8909.325369868671</x:v>
      </x:c>
      <x:c r="AS124" s="15" t="n">
        <x:f t="shared" si="120">1+AH124*$AS$6+AI124*$AS$7+(AJ124-1)*$AS$8+($H$10*H124+$I$10*I124+$J$10*J124+$K$10*K124+$L$10*L124)*$AU$3*$AS$9+($H$10*H124+$I$10*I124+$J$10*J124+$K$10*K124+$L$10*L124)*$AU$4*$AS$10</x:f>
        <x:v>11.942531392990071</x:v>
      </x:c>
      <x:c r="AT124" s="16" t="n">
        <x:f t="shared" si="121">ROUND(AR124*AS124,0)</x:f>
        <x:v>106400</x:v>
      </x:c>
      <x:c r="AU124" s="16" t="n">
        <x:f t="shared" si="122">ROUND(AT124*F124,0)</x:f>
        <x:v>532000</x:v>
      </x:c>
      <x:c r="AV124" t="n">
        <x:f>IF(AU124&gt;0,ROUND(AU124,-MAX(0,INT(LOG10(AU124))-2)),0)</x:f>
        <x:v>532000</x:v>
      </x:c>
    </x:row>
    <x:row r="125" customHeight="1">
      <x:c r="A125" s="1" t="str">
        <x:f>IFERROR(XLOOKUP(B125,'_曲线基线'!$G$3:$G$107,'_曲线基线'!$J$3:$J$107,""),"")</x:f>
      </x:c>
      <x:c r="B125" s="1" t="n">
        <x:v>114</x:v>
      </x:c>
      <x:c r="C125" s="1" t="n">
        <x:f t="shared" si="161">C110+1</x:f>
        <x:v>8</x:v>
      </x:c>
      <x:c r="D125" s="1" t="n">
        <x:f t="shared" si="162">D110</x:f>
        <x:v>15</x:v>
      </x:c>
      <x:c r="E125" s="1" t="n">
        <x:f t="shared" si="94">IF($B125&lt;E$8,0,E$3+(E$4-E$3)*(POWER(E$5,$B125-E$8)-1)/(POWER(E$5,$C$5-E$8)-1))</x:f>
        <x:v>1</x:v>
      </x:c>
      <x:c r="F125" s="10" t="n">
        <x:f t="shared" si="95">1+IF(B125&lt;3,0,MIN(1,(B125-2)/4))+IF(B125&lt;7,0,MIN(1,(B125-6)/3))+IF(B125&lt;10,0,MIN(1,(B125-9)/5))+IF(B125&lt;20,0,MIN(1,(B125-19)/10))</x:f>
        <x:v>5</x:v>
      </x:c>
      <x:c r="G125" s="11" t="n">
        <x:f t="shared" ref="G125:L125" si="173">'玩家战力_节点'!G125</x:f>
        <x:v>0.6375034807169171</x:v>
      </x:c>
      <x:c r="H125" s="11" t="n">
        <x:f t="shared" si="173">'玩家战力_节点'!H125</x:f>
        <x:v>0.4991162928343898</x:v>
      </x:c>
      <x:c r="I125" s="11" t="n">
        <x:f t="shared" si="173">'玩家战力_节点'!I125</x:f>
        <x:v>0.32223415862206267</x:v>
      </x:c>
      <x:c r="J125" s="11" t="n">
        <x:f t="shared" si="173">'玩家战力_节点'!J125</x:f>
        <x:v>0.372317138491451</x:v>
      </x:c>
      <x:c r="K125" s="11" t="n">
        <x:f t="shared" si="173">'玩家战力_节点'!K125</x:f>
        <x:v>0.12663488641748954</x:v>
      </x:c>
      <x:c r="L125" s="11" t="n">
        <x:f t="shared" si="173">'玩家战力_节点'!L125</x:f>
        <x:v>0.4827636907245915</x:v>
      </x:c>
      <x:c r="M125" s="2" t="n">
        <x:f>E125*'模块规划'!$F$10+G125*'模块规划'!$F$11+H125*'模块规划'!$F$13</x:f>
        <x:v>4060.016707441202</x:v>
      </x:c>
      <x:c r="N125" s="2" t="n">
        <x:f>I125*'模块规划'!$F$15+J125*'模块规划'!$F$17+K125*'模块规划'!$F$16+L125*'模块规划'!$F$18</x:f>
        <x:v>9474.672426018906</x:v>
      </x:c>
      <x:c r="O125" s="2" t="n">
        <x:f t="shared" si="97">1+O$9*SUMPRODUCT($H$10:$L$10,H125:L125)/SUM($H$10:$L$10)</x:f>
        <x:v>2.335265302953778</x:v>
      </x:c>
      <x:c r="P125" s="12" t="n">
        <x:f t="shared" si="98">M125*O125+N125</x:f>
        <x:v>18955.888572318985</x:v>
      </x:c>
      <x:c r="Q125" s="7" t="n">
        <x:f>P125/(P125+'_曲线基线'!$L$2)</x:f>
        <x:v>0.44128731129389936</x:v>
      </x:c>
      <x:c r="R125" s="2" t="n">
        <x:f>E125*'模块规划'!$E$10+G125*'模块规划'!$E$11+H125*'模块规划'!$E$13</x:f>
        <x:v>6090.025061161803</x:v>
      </x:c>
      <x:c r="S125" s="2" t="n">
        <x:f>I125*'模块规划'!$E$15+J125*'模块规划'!$E$17+K125*'模块规划'!$E$16+L125*'模块规划'!$E$18</x:f>
        <x:v>14212.00863902836</x:v>
      </x:c>
      <x:c r="T125" s="2" t="n">
        <x:f t="shared" si="99">1+T$9*SUMPRODUCT($H$10:$L$10,H125:L125)/SUM($H$10:$L$10)</x:f>
        <x:v>2.335265302953778</x:v>
      </x:c>
      <x:c r="U125" s="12" t="n">
        <x:f t="shared" si="100">R125*T125+S125</x:f>
        <x:v>28433.83285847848</x:v>
      </x:c>
      <x:c r="V125" s="2" t="n">
        <x:f t="shared" si="101">V$8+(V$9-V$8)*H125</x:f>
        <x:v>0.8497348878503169</x:v>
      </x:c>
      <x:c r="W125" s="2" t="n">
        <x:f t="shared" si="102">IF(B125&lt;$H$8,0,W$8+(W$9-W$8)*H125)</x:f>
        <x:v>0.19964651713375592</x:v>
      </x:c>
      <x:c r="X125" s="2" t="n">
        <x:f t="shared" si="103">X$8+(X$9-X$8)*H125</x:f>
        <x:v>0.41225698052945725</x:v>
      </x:c>
      <x:c r="Y125" s="2" t="n">
        <x:f t="shared" si="104">Y$8+(Y$9-Y$8)*G125</x:f>
        <x:v>1</x:v>
      </x:c>
      <x:c r="Z125" s="2" t="n">
        <x:f t="shared" si="105">Z$8+(Z$9-Z$8)*H125</x:f>
        <x:v>1</x:v>
      </x:c>
      <x:c r="AA125" s="2" t="n">
        <x:f t="shared" si="106">AA$8+(AA$9-AA$8)*I125</x:f>
        <x:v>1</x:v>
      </x:c>
      <x:c r="AB125" s="2" t="n">
        <x:f t="shared" si="107">AB$8+(AB$9-AB$8)*J125</x:f>
        <x:v>1</x:v>
      </x:c>
      <x:c r="AC125" s="2" t="n">
        <x:f t="shared" si="108">AC$8+(AC$9-AC$8)*MAX(K125,L125)</x:f>
        <x:v>1</x:v>
      </x:c>
      <x:c r="AD125" s="1" t="n">
        <x:f t="shared" si="109">(V125*AE125+W125*AF125+X125*AG125)*PRODUCT(Y125:AC125)</x:f>
        <x:v>1.5712686051221172</x:v>
      </x:c>
      <x:c r="AE125" s="2" t="n">
        <x:f t="shared" si="110">1+AE$9*($H$10*H125+$I$10*I125+$J$10*J125+$K$10*K125+$L$10*L125)</x:f>
        <x:v>1</x:v>
      </x:c>
      <x:c r="AF125" s="2" t="n">
        <x:f t="shared" si="111">1+AF$9*($H$10*H125+$I$10*I125+$J$10*J125+$K$10*K125+$L$10*L125)</x:f>
        <x:v>1.1178493263335725</x:v>
      </x:c>
      <x:c r="AG125" s="2" t="n">
        <x:f t="shared" si="112">1+AG$9*($H$10*H125+$I$10*I125+$J$10*J125+$K$10*K125+$L$10*L125)</x:f>
        <x:v>1.2088551950022772</x:v>
      </x:c>
      <x:c r="AH125" s="2" t="n">
        <x:f>MIN(1,'_曲线基线'!$L$3+AH$9*($H$10*H125+$I$10*I125+$J$10*J125+$K$10*K125+$L$10*L125))</x:f>
        <x:v>0.318107217408877</x:v>
      </x:c>
      <x:c r="AI125" s="2" t="n">
        <x:f>'_曲线基线'!$L$4+AI$9*($H$10*H125+$I$10*I125+$J$10*J125+$K$10*K125+$L$10*L125)</x:f>
        <x:v>2.7468701056390143</x:v>
      </x:c>
      <x:c r="AJ125" s="2" t="n">
        <x:f t="shared" si="113">1+AJ$9*($H$10*H125+$I$10*I125+$J$10*J125+$K$10*K125+$L$10*L125)</x:f>
        <x:v>1.6128164969345762</x:v>
      </x:c>
      <x:c r="AK125" s="1" t="n">
        <x:f t="shared" si="114">(1+AH125*(AI125-1))*AJ125</x:f>
        <x:v>2.5090457031688174</x:v>
      </x:c>
      <x:c r="AL125" s="1" t="n">
        <x:f t="shared" si="115">U125*AD125*AK125*F125</x:f>
        <x:v>560485.5441184646</x:v>
      </x:c>
      <x:c r="AM125" s="13" t="n">
        <x:f t="shared" si="116">IF($B125&lt;AM$8,0,AM$3+(AM$4-AM$3)*(POWER(AM$5,$B125-AM$8)-1)/(POWER(AM$5,$C$5-AM$8)-1))</x:f>
        <x:v>37.79008378505342</x:v>
      </x:c>
      <x:c r="AN125" s="13" t="n">
        <x:f>(((E125*'模块规划'!$D$10+G125*'模块规划'!$D$11+H125*'模块规划'!$D$13)*(1+'模块规划'!$G$14*H125)+(I125*'模块规划'!$D$15+J125*'模块规划'!$D$17+K125*'模块规划'!$D$16+L125*'模块规划'!$D$18))*(1+'模块规划'!$J$17*J125))*F125/(1-Q125)</x:f>
        <x:v>994264.7115220204</x:v>
      </x:c>
      <x:c r="AO125" s="1" t="n">
        <x:f t="shared" si="117">AL125*AM125</x:f>
        <x:v>21180795.67254803</x:v>
      </x:c>
      <x:c r="AP125" s="1" t="n">
        <x:f>IF(AO125="","",INDEX('_曲线基线'!$A$3:$A$502,MIN(ROWS('_曲线基线'!$A$3:$A$502),COUNTIF('_曲线基线'!$E$3:$E$502,"&lt;"&amp;AO125)+1)))</x:f>
        <x:v>186</x:v>
      </x:c>
      <x:c r="AQ125" s="14" t="n">
        <x:f t="shared" si="118">IF(B125&lt;=2,1,IF(B125&lt;=6,2,IF(B125&lt;=9,3,IF(B125&lt;=19,4,5))))</x:f>
        <x:v>5</x:v>
      </x:c>
      <x:c r="AR125" s="10" t="n">
        <x:f t="shared" si="119">AN125*(1-Q125)/F125*$AS$3+U125*$AS$4+P125*$AS$5</x:f>
        <x:v>9019.816433256077</x:v>
      </x:c>
      <x:c r="AS125" s="15" t="n">
        <x:f t="shared" si="120">1+AH125*$AS$6+AI125*$AS$7+(AJ125-1)*$AS$8+($H$10*H125+$I$10*I125+$J$10*J125+$K$10*K125+$L$10*L125)*$AU$3*$AS$9+($H$10*H125+$I$10*I125+$J$10*J125+$K$10*K125+$L$10*L125)*$AU$4*$AS$10</x:f>
        <x:v>12.023211154727994</x:v>
      </x:c>
      <x:c r="AT125" s="16" t="n">
        <x:f t="shared" si="121">ROUND(AR125*AS125,0)</x:f>
        <x:v>108447</x:v>
      </x:c>
      <x:c r="AU125" s="16" t="n">
        <x:f t="shared" si="122">ROUND(AT125*F125,0)</x:f>
        <x:v>542235</x:v>
      </x:c>
      <x:c r="AV125" t="n">
        <x:f>IF(AU125&gt;0,ROUND(AU125,-MAX(0,INT(LOG10(AU125))-2)),0)</x:f>
        <x:v>542000</x:v>
      </x:c>
    </x:row>
    <x:row r="126" customHeight="1">
      <x:c r="A126" s="1" t="str">
        <x:f>IFERROR(XLOOKUP(B126,'_曲线基线'!$G$3:$G$107,'_曲线基线'!$J$3:$J$107,""),"")</x:f>
      </x:c>
      <x:c r="B126" s="1" t="n">
        <x:v>115</x:v>
      </x:c>
      <x:c r="C126" s="1" t="n">
        <x:f t="shared" si="161">C111+1</x:f>
        <x:v>9</x:v>
      </x:c>
      <x:c r="D126" s="1" t="n">
        <x:f t="shared" si="162">D111</x:f>
        <x:v>1</x:v>
      </x:c>
      <x:c r="E126" s="1" t="n">
        <x:f t="shared" si="94">IF($B126&lt;E$8,0,E$3+(E$4-E$3)*(POWER(E$5,$B126-E$8)-1)/(POWER(E$5,$C$5-E$8)-1))</x:f>
        <x:v>1</x:v>
      </x:c>
      <x:c r="F126" s="10" t="n">
        <x:f t="shared" si="95">1+IF(B126&lt;3,0,MIN(1,(B126-2)/4))+IF(B126&lt;7,0,MIN(1,(B126-6)/3))+IF(B126&lt;10,0,MIN(1,(B126-9)/5))+IF(B126&lt;20,0,MIN(1,(B126-19)/10))</x:f>
        <x:v>5</x:v>
      </x:c>
      <x:c r="G126" s="11" t="n">
        <x:f t="shared" ref="G126:L126" si="174">'玩家战力_节点'!G126</x:f>
        <x:v>0.64008873446466</x:v>
      </x:c>
      <x:c r="H126" s="11" t="n">
        <x:f t="shared" si="174">'玩家战力_节点'!H126</x:f>
        <x:v>0.5012268371739156</x:v>
      </x:c>
      <x:c r="I126" s="11" t="n">
        <x:f t="shared" si="174">'玩家战力_节点'!I126</x:f>
        <x:v>0.3265168452865829</x:v>
      </x:c>
      <x:c r="J126" s="11" t="n">
        <x:f t="shared" si="174">'玩家战力_节点'!J126</x:f>
        <x:v>0.37485065772158194</x:v>
      </x:c>
      <x:c r="K126" s="11" t="n">
        <x:f t="shared" si="174">'玩家战力_节点'!K126</x:f>
        <x:v>0.13462663315862497</x:v>
      </x:c>
      <x:c r="L126" s="11" t="n">
        <x:f t="shared" si="174">'玩家战力_节点'!L126</x:f>
        <x:v>0.48514948607062097</x:v>
      </x:c>
      <x:c r="M126" s="2" t="n">
        <x:f>E126*'模块规划'!$F$10+G126*'模块规划'!$F$11+H126*'模块规划'!$F$13</x:f>
        <x:v>4072.425925430368</x:v>
      </x:c>
      <x:c r="N126" s="2" t="n">
        <x:f>I126*'模块规划'!$F$15+J126*'模块规划'!$F$17+K126*'模块规划'!$F$16+L126*'模块规划'!$F$18</x:f>
        <x:v>9594.148568813338</x:v>
      </x:c>
      <x:c r="O126" s="2" t="n">
        <x:f t="shared" si="97">1+O$9*SUMPRODUCT($H$10:$L$10,H126:L126)/SUM($H$10:$L$10)</x:f>
        <x:v>2.349000379298706</x:v>
      </x:c>
      <x:c r="P126" s="12" t="n">
        <x:f t="shared" si="98">M126*O126+N126</x:f>
        <x:v>19160.278612315156</x:v>
      </x:c>
      <x:c r="Q126" s="7" t="n">
        <x:f>P126/(P126+'_曲线基线'!$L$2)</x:f>
        <x:v>0.443933154009994</x:v>
      </x:c>
      <x:c r="R126" s="2" t="n">
        <x:f>E126*'模块规划'!$E$10+G126*'模块规划'!$E$11+H126*'模块规划'!$E$13</x:f>
        <x:v>6108.638888145551</x:v>
      </x:c>
      <x:c r="S126" s="2" t="n">
        <x:f>I126*'模块规划'!$E$15+J126*'模块规划'!$E$17+K126*'模块规划'!$E$16+L126*'模块规划'!$E$18</x:f>
        <x:v>14391.222853220008</x:v>
      </x:c>
      <x:c r="T126" s="2" t="n">
        <x:f t="shared" si="99">1+T$9*SUMPRODUCT($H$10:$L$10,H126:L126)/SUM($H$10:$L$10)</x:f>
        <x:v>2.349000379298706</x:v>
      </x:c>
      <x:c r="U126" s="12" t="n">
        <x:f t="shared" si="100">R126*T126+S126</x:f>
        <x:v>28740.417918472733</x:v>
      </x:c>
      <x:c r="V126" s="2" t="n">
        <x:f t="shared" si="101">V$8+(V$9-V$8)*H126</x:f>
        <x:v>0.8503680511521746</x:v>
      </x:c>
      <x:c r="W126" s="2" t="n">
        <x:f t="shared" si="102">IF(B126&lt;$H$8,0,W$8+(W$9-W$8)*H126)</x:f>
        <x:v>0.20049073486956626</x:v>
      </x:c>
      <x:c r="X126" s="2" t="n">
        <x:f t="shared" si="103">X$8+(X$9-X$8)*H126</x:f>
        <x:v>0.4128373802228268</x:v>
      </x:c>
      <x:c r="Y126" s="2" t="n">
        <x:f t="shared" si="104">Y$8+(Y$9-Y$8)*G126</x:f>
        <x:v>1</x:v>
      </x:c>
      <x:c r="Z126" s="2" t="n">
        <x:f t="shared" si="105">Z$8+(Z$9-Z$8)*H126</x:f>
        <x:v>1</x:v>
      </x:c>
      <x:c r="AA126" s="2" t="n">
        <x:f t="shared" si="106">AA$8+(AA$9-AA$8)*I126</x:f>
        <x:v>1</x:v>
      </x:c>
      <x:c r="AB126" s="2" t="n">
        <x:f t="shared" si="107">AB$8+(AB$9-AB$8)*J126</x:f>
        <x:v>1</x:v>
      </x:c>
      <x:c r="AC126" s="2" t="n">
        <x:f t="shared" si="108">AC$8+(AC$9-AC$8)*MAX(K126,L126)</x:f>
        <x:v>1</x:v>
      </x:c>
      <x:c r="AD126" s="1" t="n">
        <x:f t="shared" si="109">(V126*AE126+W126*AF126+X126*AG126)*PRODUCT(Y126:AC126)</x:f>
        <x:v>1.5746770667120549</x:v>
      </x:c>
      <x:c r="AE126" s="2" t="n">
        <x:f t="shared" si="110">1+AE$9*($H$10*H126+$I$10*I126+$J$10*J126+$K$10*K126+$L$10*L126)</x:f>
        <x:v>1</x:v>
      </x:c>
      <x:c r="AF126" s="2" t="n">
        <x:f t="shared" si="111">1+AF$9*($H$10*H126+$I$10*I126+$J$10*J126+$K$10*K126+$L$10*L126)</x:f>
        <x:v>1.1190615719381045</x:v>
      </x:c>
      <x:c r="AG126" s="2" t="n">
        <x:f t="shared" si="112">1+AG$9*($H$10*H126+$I$10*I126+$J$10*J126+$K$10*K126+$L$10*L126)</x:f>
        <x:v>1.2110035636014203</x:v>
      </x:c>
      <x:c r="AH126" s="2" t="n">
        <x:f>MIN(1,'_曲线基线'!$L$3+AH$9*($H$10*H126+$I$10*I126+$J$10*J126+$K$10*K126+$L$10*L126))</x:f>
        <x:v>0.32086507615918747</x:v>
      </x:c>
      <x:c r="AI126" s="2" t="n">
        <x:f>'_曲线基线'!$L$4+AI$9*($H$10*H126+$I$10*I126+$J$10*J126+$K$10*K126+$L$10*L126)</x:f>
        <x:v>2.7545527121577367</x:v>
      </x:c>
      <x:c r="AJ126" s="2" t="n">
        <x:f t="shared" si="113">1+AJ$9*($H$10*H126+$I$10*I126+$J$10*J126+$K$10*K126+$L$10*L126)</x:f>
        <x:v>1.619120174078143</x:v>
      </x:c>
      <x:c r="AK126" s="1" t="n">
        <x:f t="shared" si="114">(1+AH126*(AI126-1))*AJ126</x:f>
        <x:v>2.530643851523991</x:v>
      </x:c>
      <x:c r="AL126" s="1" t="n">
        <x:f t="shared" si="115">U126*AD126*AK126*F126</x:f>
        <x:v>572645.1873929171</x:v>
      </x:c>
      <x:c r="AM126" s="13" t="n">
        <x:f t="shared" si="116">IF($B126&lt;AM$8,0,AM$3+(AM$4-AM$3)*(POWER(AM$5,$B126-AM$8)-1)/(POWER(AM$5,$C$5-AM$8)-1))</x:f>
        <x:v>37.831409262825815</x:v>
      </x:c>
      <x:c r="AN126" s="13" t="n">
        <x:f>(((E126*'模块规划'!$D$10+G126*'模块规划'!$D$11+H126*'模块规划'!$D$13)*(1+'模块规划'!$G$14*H126)+(I126*'模块规划'!$D$15+J126*'模块规划'!$D$17+K126*'模块规划'!$D$16+L126*'模块规划'!$D$18))*(1+'模块规划'!$J$17*J126))*F126/(1-Q126)</x:f>
        <x:v>1010558.924610117</x:v>
      </x:c>
      <x:c r="AO126" s="1" t="n">
        <x:f t="shared" si="117">AL126*AM126</x:f>
        <x:v>21663974.44664903</x:v>
      </x:c>
      <x:c r="AP126" s="1" t="n">
        <x:f>IF(AO126="","",INDEX('_曲线基线'!$A$3:$A$502,MIN(ROWS('_曲线基线'!$A$3:$A$502),COUNTIF('_曲线基线'!$E$3:$E$502,"&lt;"&amp;AO126)+1)))</x:f>
        <x:v>187</x:v>
      </x:c>
      <x:c r="AQ126" s="14" t="n">
        <x:f t="shared" si="118">IF(B126&lt;=2,1,IF(B126&lt;=6,2,IF(B126&lt;=9,3,IF(B126&lt;=19,4,5))))</x:f>
        <x:v>5</x:v>
      </x:c>
      <x:c r="AR126" s="10" t="n">
        <x:f t="shared" si="119">AN126*(1-Q126)/F126*$AS$3+U126*$AS$4+P126*$AS$5</x:f>
        <x:v>9119.713467064548</x:v>
      </x:c>
      <x:c r="AS126" s="15" t="n">
        <x:f t="shared" si="120">1+AH126*$AS$6+AI126*$AS$7+(AJ126-1)*$AS$8+($H$10*H126+$I$10*I126+$J$10*J126+$K$10*K126+$L$10*L126)*$AU$3*$AS$9+($H$10*H126+$I$10*I126+$J$10*J126+$K$10*K126+$L$10*L126)*$AU$4*$AS$10</x:f>
        <x:v>12.095644207012853</x:v>
      </x:c>
      <x:c r="AT126" s="16" t="n">
        <x:f t="shared" si="121">ROUND(AR126*AS126,0)</x:f>
        <x:v>110309</x:v>
      </x:c>
      <x:c r="AU126" s="16" t="n">
        <x:f t="shared" si="122">ROUND(AT126*F126,0)</x:f>
        <x:v>551545</x:v>
      </x:c>
      <x:c r="AV126" t="n">
        <x:f>IF(AU126&gt;0,ROUND(AU126,-MAX(0,INT(LOG10(AU126))-2)),0)</x:f>
        <x:v>552000</x:v>
      </x:c>
    </x:row>
    <x:row r="127" customHeight="1">
      <x:c r="A127" s="1" t="str">
        <x:f>IFERROR(XLOOKUP(B127,'_曲线基线'!$G$3:$G$107,'_曲线基线'!$J$3:$J$107,""),"")</x:f>
      </x:c>
      <x:c r="B127" s="1" t="n">
        <x:v>116</x:v>
      </x:c>
      <x:c r="C127" s="1" t="n">
        <x:f t="shared" si="161">C112+1</x:f>
        <x:v>9</x:v>
      </x:c>
      <x:c r="D127" s="1" t="n">
        <x:f t="shared" si="162">D112</x:f>
        <x:v>2</x:v>
      </x:c>
      <x:c r="E127" s="1" t="n">
        <x:f t="shared" si="94">IF($B127&lt;E$8,0,E$3+(E$4-E$3)*(POWER(E$5,$B127-E$8)-1)/(POWER(E$5,$C$5-E$8)-1))</x:f>
        <x:v>1</x:v>
      </x:c>
      <x:c r="F127" s="10" t="n">
        <x:f t="shared" si="95">1+IF(B127&lt;3,0,MIN(1,(B127-2)/4))+IF(B127&lt;7,0,MIN(1,(B127-6)/3))+IF(B127&lt;10,0,MIN(1,(B127-9)/5))+IF(B127&lt;20,0,MIN(1,(B127-19)/10))</x:f>
        <x:v>5</x:v>
      </x:c>
      <x:c r="G127" s="11" t="n">
        <x:f t="shared" ref="G127:L127" si="175">'玩家战力_节点'!G127</x:f>
        <x:v>0.6425188450190857</x:v>
      </x:c>
      <x:c r="H127" s="11" t="n">
        <x:f t="shared" si="175">'玩家战力_节点'!H127</x:f>
        <x:v>0.5031733304900632</x:v>
      </x:c>
      <x:c r="I127" s="11" t="n">
        <x:f t="shared" si="175">'玩家战力_节点'!I127</x:f>
        <x:v>0.33037772904624596</x:v>
      </x:c>
      <x:c r="J127" s="11" t="n">
        <x:f t="shared" si="175">'玩家战力_节点'!J127</x:f>
        <x:v>0.37717226342121335</x:v>
      </x:c>
      <x:c r="K127" s="11" t="n">
        <x:f t="shared" si="175">'玩家战力_节点'!K127</x:f>
        <x:v>0.1417330052334445</x:v>
      </x:c>
      <x:c r="L127" s="11" t="n">
        <x:f t="shared" si="175">'玩家战力_节点'!L127</x:f>
        <x:v>0.4873388737542359</x:v>
      </x:c>
      <x:c r="M127" s="2" t="n">
        <x:f>E127*'模块规划'!$F$10+G127*'模块规划'!$F$11+H127*'模块规划'!$F$13</x:f>
        <x:v>4084.0904560916115</x:v>
      </x:c>
      <x:c r="N127" s="2" t="n">
        <x:f>I127*'模块规划'!$F$15+J127*'模块规划'!$F$17+K127*'模块规划'!$F$16+L127*'模块规划'!$F$18</x:f>
        <x:v>9701.836866753947</x:v>
      </x:c>
      <x:c r="O127" s="2" t="n">
        <x:f t="shared" si="97">1+O$9*SUMPRODUCT($H$10:$L$10,H127:L127)/SUM($H$10:$L$10)</x:f>
        <x:v>2.3614213648555524</x:v>
      </x:c>
      <x:c r="P127" s="12" t="n">
        <x:f t="shared" si="98">M127*O127+N127</x:f>
        <x:v>19346.095325771334</x:v>
      </x:c>
      <x:c r="Q127" s="7" t="n">
        <x:f>P127/(P127+'_曲线基线'!$L$2)</x:f>
        <x:v>0.44631690998633394</x:v>
      </x:c>
      <x:c r="R127" s="2" t="n">
        <x:f>E127*'模块规划'!$E$10+G127*'模块规划'!$E$11+H127*'模块规划'!$E$13</x:f>
        <x:v>6126.135684137417</x:v>
      </x:c>
      <x:c r="S127" s="2" t="n">
        <x:f>I127*'模块规划'!$E$15+J127*'模块规划'!$E$17+K127*'模块规划'!$E$16+L127*'模块规划'!$E$18</x:f>
        <x:v>14552.75530013092</x:v>
      </x:c>
      <x:c r="T127" s="2" t="n">
        <x:f t="shared" si="99">1+T$9*SUMPRODUCT($H$10:$L$10,H127:L127)/SUM($H$10:$L$10)</x:f>
        <x:v>2.3614213648555524</x:v>
      </x:c>
      <x:c r="U127" s="12" t="n">
        <x:f t="shared" si="100">R127*T127+S127</x:f>
        <x:v>29019.142988657004</x:v>
      </x:c>
      <x:c r="V127" s="2" t="n">
        <x:f t="shared" si="101">V$8+(V$9-V$8)*H127</x:f>
        <x:v>0.8509519991470189</x:v>
      </x:c>
      <x:c r="W127" s="2" t="n">
        <x:f t="shared" si="102">IF(B127&lt;$H$8,0,W$8+(W$9-W$8)*H127)</x:f>
        <x:v>0.20126933219602527</x:v>
      </x:c>
      <x:c r="X127" s="2" t="n">
        <x:f t="shared" si="103">X$8+(X$9-X$8)*H127</x:f>
        <x:v>0.4133726658847674</x:v>
      </x:c>
      <x:c r="Y127" s="2" t="n">
        <x:f t="shared" si="104">Y$8+(Y$9-Y$8)*G127</x:f>
        <x:v>1</x:v>
      </x:c>
      <x:c r="Z127" s="2" t="n">
        <x:f t="shared" si="105">Z$8+(Z$9-Z$8)*H127</x:f>
        <x:v>1</x:v>
      </x:c>
      <x:c r="AA127" s="2" t="n">
        <x:f t="shared" si="106">AA$8+(AA$9-AA$8)*I127</x:f>
        <x:v>1</x:v>
      </x:c>
      <x:c r="AB127" s="2" t="n">
        <x:f t="shared" si="107">AB$8+(AB$9-AB$8)*J127</x:f>
        <x:v>1</x:v>
      </x:c>
      <x:c r="AC127" s="2" t="n">
        <x:f t="shared" si="108">AC$8+(AC$9-AC$8)*MAX(K127,L127)</x:f>
        <x:v>1</x:v>
      </x:c>
      <x:c r="AD127" s="1" t="n">
        <x:f t="shared" si="109">(V127*AE127+W127*AF127+X127*AG127)*PRODUCT(Y127:AC127)</x:f>
        <x:v>1.577804301367494</x:v>
      </x:c>
      <x:c r="AE127" s="2" t="n">
        <x:f t="shared" si="110">1+AE$9*($H$10*H127+$I$10*I127+$J$10*J127+$K$10*K127+$L$10*L127)</x:f>
        <x:v>1</x:v>
      </x:c>
      <x:c r="AF127" s="2" t="n">
        <x:f t="shared" si="111">1+AF$9*($H$10*H127+$I$10*I127+$J$10*J127+$K$10*K127+$L$10*L127)</x:f>
        <x:v>1.1201578370601257</x:v>
      </x:c>
      <x:c r="AG127" s="2" t="n">
        <x:f t="shared" si="112">1+AG$9*($H$10*H127+$I$10*I127+$J$10*J127+$K$10*K127+$L$10*L127)</x:f>
        <x:v>1.2129463890121135</x:v>
      </x:c>
      <x:c r="AH127" s="2" t="n">
        <x:f>MIN(1,'_曲线基线'!$L$3+AH$9*($H$10*H127+$I$10*I127+$J$10*J127+$K$10*K127+$L$10*L127))</x:f>
        <x:v>0.32335907931178587</x:v>
      </x:c>
      <x:c r="AI127" s="2" t="n">
        <x:f>'_曲线基线'!$L$4+AI$9*($H$10*H127+$I$10*I127+$J$10*J127+$K$10*K127+$L$10*L127)</x:f>
        <x:v>2.761500292368546</x:v>
      </x:c>
      <x:c r="AJ127" s="2" t="n">
        <x:f t="shared" si="113">1+AJ$9*($H$10*H127+$I$10*I127+$J$10*J127+$K$10*K127+$L$10*L127)</x:f>
        <x:v>1.6248207527126535</x:v>
      </x:c>
      <x:c r="AK127" s="1" t="n">
        <x:f t="shared" si="114">(1+AH127*(AI127-1))*AJ127</x:f>
        <x:v>2.5503139621903816</x:v>
      </x:c>
      <x:c r="AL127" s="1" t="n">
        <x:f t="shared" si="115">U127*AD127*AK127*F127</x:f>
        <x:v>583850.1162202351</x:v>
      </x:c>
      <x:c r="AM127" s="13" t="n">
        <x:f t="shared" si="116">IF($B127&lt;AM$8,0,AM$3+(AM$4-AM$3)*(POWER(AM$5,$B127-AM$8)-1)/(POWER(AM$5,$C$5-AM$8)-1))</x:f>
        <x:v>37.873147995375945</x:v>
      </x:c>
      <x:c r="AN127" s="13" t="n">
        <x:f>(((E127*'模块规划'!$D$10+G127*'模块规划'!$D$11+H127*'模块规划'!$D$13)*(1+'模块规划'!$G$14*H127)+(I127*'模块规划'!$D$15+J127*'模块规划'!$D$17+K127*'模块规划'!$D$16+L127*'模块规划'!$D$18))*(1+'模块规划'!$J$17*J127))*F127/(1-Q127)</x:f>
        <x:v>1025502.4129998017</x:v>
      </x:c>
      <x:c r="AO127" s="1" t="n">
        <x:f t="shared" si="117">AL127*AM127</x:f>
        <x:v>22112241.858726412</x:v>
      </x:c>
      <x:c r="AP127" s="1" t="n">
        <x:f>IF(AO127="","",INDEX('_曲线基线'!$A$3:$A$502,MIN(ROWS('_曲线基线'!$A$3:$A$502),COUNTIF('_曲线基线'!$E$3:$E$502,"&lt;"&amp;AO127)+1)))</x:f>
        <x:v>188</x:v>
      </x:c>
      <x:c r="AQ127" s="14" t="n">
        <x:f t="shared" si="118">IF(B127&lt;=2,1,IF(B127&lt;=6,2,IF(B127&lt;=9,3,IF(B127&lt;=19,4,5))))</x:f>
        <x:v>5</x:v>
      </x:c>
      <x:c r="AR127" s="10" t="n">
        <x:f t="shared" si="119">AN127*(1-Q127)/F127*$AS$3+U127*$AS$4+P127*$AS$5</x:f>
        <x:v>9210.648666808605</x:v>
      </x:c>
      <x:c r="AS127" s="15" t="n">
        <x:f t="shared" si="120">1+AH127*$AS$6+AI127*$AS$7+(AJ127-1)*$AS$8+($H$10*H127+$I$10*I127+$J$10*J127+$K$10*K127+$L$10*L127)*$AU$3*$AS$9+($H$10*H127+$I$10*I127+$J$10*J127+$K$10*K127+$L$10*L127)*$AU$4*$AS$10</x:f>
        <x:v>12.161147293684868</x:v>
      </x:c>
      <x:c r="AT127" s="16" t="n">
        <x:f t="shared" si="121">ROUND(AR127*AS127,0)</x:f>
        <x:v>112012</x:v>
      </x:c>
      <x:c r="AU127" s="16" t="n">
        <x:f t="shared" si="122">ROUND(AT127*F127,0)</x:f>
        <x:v>560060</x:v>
      </x:c>
      <x:c r="AV127" t="n">
        <x:f>IF(AU127&gt;0,ROUND(AU127,-MAX(0,INT(LOG10(AU127))-2)),0)</x:f>
        <x:v>560000</x:v>
      </x:c>
    </x:row>
    <x:row r="128" customHeight="1">
      <x:c r="A128" s="1" t="str">
        <x:f>IFERROR(XLOOKUP(B128,'_曲线基线'!$G$3:$G$107,'_曲线基线'!$J$3:$J$107,""),"")</x:f>
      </x:c>
      <x:c r="B128" s="1" t="n">
        <x:v>117</x:v>
      </x:c>
      <x:c r="C128" s="1" t="n">
        <x:f t="shared" si="161">C113+1</x:f>
        <x:v>9</x:v>
      </x:c>
      <x:c r="D128" s="1" t="n">
        <x:f t="shared" si="162">D113</x:f>
        <x:v>3</x:v>
      </x:c>
      <x:c r="E128" s="1" t="n">
        <x:f t="shared" si="94">IF($B128&lt;E$8,0,E$3+(E$4-E$3)*(POWER(E$5,$B128-E$8)-1)/(POWER(E$5,$C$5-E$8)-1))</x:f>
        <x:v>1</x:v>
      </x:c>
      <x:c r="F128" s="10" t="n">
        <x:f t="shared" si="95">1+IF(B128&lt;3,0,MIN(1,(B128-2)/4))+IF(B128&lt;7,0,MIN(1,(B128-6)/3))+IF(B128&lt;10,0,MIN(1,(B128-9)/5))+IF(B128&lt;20,0,MIN(1,(B128-19)/10))</x:f>
        <x:v>5</x:v>
      </x:c>
      <x:c r="G128" s="11" t="n">
        <x:f t="shared" ref="G128:L128" si="176">'玩家战力_节点'!G128</x:f>
        <x:v>0.6449489555735116</x:v>
      </x:c>
      <x:c r="H128" s="11" t="n">
        <x:f t="shared" si="176">'玩家战力_节点'!H128</x:f>
        <x:v>0.5051198238062108</x:v>
      </x:c>
      <x:c r="I128" s="11" t="n">
        <x:f t="shared" si="176">'玩家战力_节点'!I128</x:f>
        <x:v>0.3342386128059091</x:v>
      </x:c>
      <x:c r="J128" s="11" t="n">
        <x:f t="shared" si="176">'玩家战力_节点'!J128</x:f>
        <x:v>0.37949386912084476</x:v>
      </x:c>
      <x:c r="K128" s="11" t="n">
        <x:f t="shared" si="176">'玩家战力_节点'!K128</x:f>
        <x:v>0.14883937730826405</x:v>
      </x:c>
      <x:c r="L128" s="11" t="n">
        <x:f t="shared" si="176">'玩家战力_节点'!L128</x:f>
        <x:v>0.4895282614378509</x:v>
      </x:c>
      <x:c r="M128" s="2" t="n">
        <x:f>E128*'模块规划'!$F$10+G128*'模块规划'!$F$11+H128*'模块规划'!$F$13</x:f>
        <x:v>4095.754986752856</x:v>
      </x:c>
      <x:c r="N128" s="2" t="n">
        <x:f>I128*'模块规划'!$F$15+J128*'模块规划'!$F$17+K128*'模块规划'!$F$16+L128*'模块规划'!$F$18</x:f>
        <x:v>9809.52516469456</x:v>
      </x:c>
      <x:c r="O128" s="2" t="n">
        <x:f t="shared" si="97">1+O$9*SUMPRODUCT($H$10:$L$10,H128:L128)/SUM($H$10:$L$10)</x:f>
        <x:v>2.3738423504123993</x:v>
      </x:c>
      <x:c r="P128" s="12" t="n">
        <x:f t="shared" si="98">M128*O128+N128</x:f>
        <x:v>19532.201809161263</x:v>
      </x:c>
      <x:c r="Q128" s="7" t="n">
        <x:f>P128/(P128+'_曲线基线'!$L$2)</x:f>
        <x:v>0.4486839855881296</x:v>
      </x:c>
      <x:c r="R128" s="2" t="n">
        <x:f>E128*'模块规划'!$E$10+G128*'模块规划'!$E$11+H128*'模块规划'!$E$13</x:f>
        <x:v>6143.632480129284</x:v>
      </x:c>
      <x:c r="S128" s="2" t="n">
        <x:f>I128*'模块规划'!$E$15+J128*'模块规划'!$E$17+K128*'模块规划'!$E$16+L128*'模块规划'!$E$18</x:f>
        <x:v>14714.287747041837</x:v>
      </x:c>
      <x:c r="T128" s="2" t="n">
        <x:f t="shared" si="99">1+T$9*SUMPRODUCT($H$10:$L$10,H128:L128)/SUM($H$10:$L$10)</x:f>
        <x:v>2.3738423504123993</x:v>
      </x:c>
      <x:c r="U128" s="12" t="n">
        <x:f t="shared" si="100">R128*T128+S128</x:f>
        <x:v>29298.302713741894</x:v>
      </x:c>
      <x:c r="V128" s="2" t="n">
        <x:f t="shared" si="101">V$8+(V$9-V$8)*H128</x:f>
        <x:v>0.8515359471418632</x:v>
      </x:c>
      <x:c r="W128" s="2" t="n">
        <x:f t="shared" si="102">IF(B128&lt;$H$8,0,W$8+(W$9-W$8)*H128)</x:f>
        <x:v>0.20204792952248432</x:v>
      </x:c>
      <x:c r="X128" s="2" t="n">
        <x:f t="shared" si="103">X$8+(X$9-X$8)*H128</x:f>
        <x:v>0.413907951546708</x:v>
      </x:c>
      <x:c r="Y128" s="2" t="n">
        <x:f t="shared" si="104">Y$8+(Y$9-Y$8)*G128</x:f>
        <x:v>1</x:v>
      </x:c>
      <x:c r="Z128" s="2" t="n">
        <x:f t="shared" si="105">Z$8+(Z$9-Z$8)*H128</x:f>
        <x:v>1</x:v>
      </x:c>
      <x:c r="AA128" s="2" t="n">
        <x:f t="shared" si="106">AA$8+(AA$9-AA$8)*I128</x:f>
        <x:v>1</x:v>
      </x:c>
      <x:c r="AB128" s="2" t="n">
        <x:f t="shared" si="107">AB$8+(AB$9-AB$8)*J128</x:f>
        <x:v>1</x:v>
      </x:c>
      <x:c r="AC128" s="2" t="n">
        <x:f t="shared" si="108">AC$8+(AC$9-AC$8)*MAX(K128,L128)</x:f>
        <x:v>1</x:v>
      </x:c>
      <x:c r="AD128" s="1" t="n">
        <x:f t="shared" si="109">(V128*AE128+W128*AF128+X128*AG128)*PRODUCT(Y128:AC128)</x:f>
        <x:v>1.580935323054291</x:v>
      </x:c>
      <x:c r="AE128" s="2" t="n">
        <x:f t="shared" si="110">1+AE$9*($H$10*H128+$I$10*I128+$J$10*J128+$K$10*K128+$L$10*L128)</x:f>
        <x:v>1</x:v>
      </x:c>
      <x:c r="AF128" s="2" t="n">
        <x:f t="shared" si="111">1+AF$9*($H$10*H128+$I$10*I128+$J$10*J128+$K$10*K128+$L$10*L128)</x:f>
        <x:v>1.1212541021821472</x:v>
      </x:c>
      <x:c r="AG128" s="2" t="n">
        <x:f t="shared" si="112">1+AG$9*($H$10*H128+$I$10*I128+$J$10*J128+$K$10*K128+$L$10*L128)</x:f>
        <x:v>1.2148892144228067</x:v>
      </x:c>
      <x:c r="AH128" s="2" t="n">
        <x:f>MIN(1,'_曲线基线'!$L$3+AH$9*($H$10*H128+$I$10*I128+$J$10*J128+$K$10*K128+$L$10*L128))</x:f>
        <x:v>0.32585308246438427</x:v>
      </x:c>
      <x:c r="AI128" s="2" t="n">
        <x:f>'_曲线基线'!$L$4+AI$9*($H$10*H128+$I$10*I128+$J$10*J128+$K$10*K128+$L$10*L128)</x:f>
        <x:v>2.7684478725793564</x:v>
      </x:c>
      <x:c r="AJ128" s="2" t="n">
        <x:f t="shared" si="113">1+AJ$9*($H$10*H128+$I$10*I128+$J$10*J128+$K$10*K128+$L$10*L128)</x:f>
        <x:v>1.6305213313471643</x:v>
      </x:c>
      <x:c r="AK128" s="1" t="n">
        <x:f t="shared" si="114">(1+AH128*(AI128-1))*AJ128</x:f>
        <x:v>2.570116081166417</x:v>
      </x:c>
      <x:c r="AL128" s="1" t="n">
        <x:f t="shared" si="115">U128*AD128*AK128*F128</x:f>
        <x:v>595222.4570603311</x:v>
      </x:c>
      <x:c r="AM128" s="13" t="n">
        <x:f t="shared" si="116">IF($B128&lt;AM$8,0,AM$3+(AM$4-AM$3)*(POWER(AM$5,$B128-AM$8)-1)/(POWER(AM$5,$C$5-AM$8)-1))</x:f>
        <x:v>37.91530411525157</x:v>
      </x:c>
      <x:c r="AN128" s="13" t="n">
        <x:f>(((E128*'模块规划'!$D$10+G128*'模块规划'!$D$11+H128*'模块规划'!$D$13)*(1+'模块规划'!$G$14*H128)+(I128*'模块规划'!$D$15+J128*'模块规划'!$D$17+K128*'模块规划'!$D$16+L128*'模块规划'!$D$18))*(1+'模块规划'!$J$17*J128))*F128/(1-Q128)</x:f>
        <x:v>1040579.6363749051</x:v>
      </x:c>
      <x:c r="AO128" s="1" t="n">
        <x:f t="shared" si="117">AL128*AM128</x:f>
        <x:v>22568040.475669727</x:v>
      </x:c>
      <x:c r="AP128" s="1" t="n">
        <x:f>IF(AO128="","",INDEX('_曲线基线'!$A$3:$A$502,MIN(ROWS('_曲线基线'!$A$3:$A$502),COUNTIF('_曲线基线'!$E$3:$E$502,"&lt;"&amp;AO128)+1)))</x:f>
        <x:v>189</x:v>
      </x:c>
      <x:c r="AQ128" s="14" t="n">
        <x:f t="shared" si="118">IF(B128&lt;=2,1,IF(B128&lt;=6,2,IF(B128&lt;=9,3,IF(B128&lt;=19,4,5))))</x:f>
        <x:v>5</x:v>
      </x:c>
      <x:c r="AR128" s="10" t="n">
        <x:f t="shared" si="119">AN128*(1-Q128)/F128*$AS$3+U128*$AS$4+P128*$AS$5</x:f>
        <x:v>9301.789849574574</x:v>
      </x:c>
      <x:c r="AS128" s="15" t="n">
        <x:f t="shared" si="120">1+AH128*$AS$6+AI128*$AS$7+(AJ128-1)*$AS$8+($H$10*H128+$I$10*I128+$J$10*J128+$K$10*K128+$L$10*L128)*$AU$3*$AS$9+($H$10*H128+$I$10*I128+$J$10*J128+$K$10*K128+$L$10*L128)*$AU$4*$AS$10</x:f>
        <x:v>12.226650380356885</x:v>
      </x:c>
      <x:c r="AT128" s="16" t="n">
        <x:f t="shared" si="121">ROUND(AR128*AS128,0)</x:f>
        <x:v>113730</x:v>
      </x:c>
      <x:c r="AU128" s="16" t="n">
        <x:f t="shared" si="122">ROUND(AT128*F128,0)</x:f>
        <x:v>568650</x:v>
      </x:c>
      <x:c r="AV128" t="n">
        <x:f>IF(AU128&gt;0,ROUND(AU128,-MAX(0,INT(LOG10(AU128))-2)),0)</x:f>
        <x:v>569000</x:v>
      </x:c>
    </x:row>
    <x:row r="129" customHeight="1">
      <x:c r="A129" s="1" t="str">
        <x:f>IFERROR(XLOOKUP(B129,'_曲线基线'!$G$3:$G$107,'_曲线基线'!$J$3:$J$107,""),"")</x:f>
      </x:c>
      <x:c r="B129" s="1" t="n">
        <x:v>118</x:v>
      </x:c>
      <x:c r="C129" s="1" t="n">
        <x:f t="shared" si="161">C114+1</x:f>
        <x:v>9</x:v>
      </x:c>
      <x:c r="D129" s="1" t="n">
        <x:f t="shared" si="162">D114</x:f>
        <x:v>4</x:v>
      </x:c>
      <x:c r="E129" s="1" t="n">
        <x:f t="shared" si="94">IF($B129&lt;E$8,0,E$3+(E$4-E$3)*(POWER(E$5,$B129-E$8)-1)/(POWER(E$5,$C$5-E$8)-1))</x:f>
        <x:v>1</x:v>
      </x:c>
      <x:c r="F129" s="10" t="n">
        <x:f t="shared" si="95">1+IF(B129&lt;3,0,MIN(1,(B129-2)/4))+IF(B129&lt;7,0,MIN(1,(B129-6)/3))+IF(B129&lt;10,0,MIN(1,(B129-9)/5))+IF(B129&lt;20,0,MIN(1,(B129-19)/10))</x:f>
        <x:v>5</x:v>
      </x:c>
      <x:c r="G129" s="11" t="n">
        <x:f t="shared" ref="G129:L129" si="177">'玩家战力_节点'!G129</x:f>
        <x:v>0.6473790661279374</x:v>
      </x:c>
      <x:c r="H129" s="11" t="n">
        <x:f t="shared" si="177">'玩家战力_节点'!H129</x:f>
        <x:v>0.5070663171223584</x:v>
      </x:c>
      <x:c r="I129" s="11" t="n">
        <x:f t="shared" si="177">'玩家战力_节点'!I129</x:f>
        <x:v>0.33809949656557214</x:v>
      </x:c>
      <x:c r="J129" s="11" t="n">
        <x:f t="shared" si="177">'玩家战力_节点'!J129</x:f>
        <x:v>0.38181547482047606</x:v>
      </x:c>
      <x:c r="K129" s="11" t="n">
        <x:f t="shared" si="177">'玩家战力_节点'!K129</x:f>
        <x:v>0.1559457493830836</x:v>
      </x:c>
      <x:c r="L129" s="11" t="n">
        <x:f t="shared" si="177">'玩家战力_节点'!L129</x:f>
        <x:v>0.49171764912146587</x:v>
      </x:c>
      <x:c r="M129" s="2" t="n">
        <x:f>E129*'模块规划'!$F$10+G129*'模块规划'!$F$11+H129*'模块规划'!$F$13</x:f>
        <x:v>4107.4195174141</x:v>
      </x:c>
      <x:c r="N129" s="2" t="n">
        <x:f>I129*'模块规划'!$F$15+J129*'模块规划'!$F$17+K129*'模块规划'!$F$16+L129*'模块规划'!$F$18</x:f>
        <x:v>9917.213462635169</x:v>
      </x:c>
      <x:c r="O129" s="2" t="n">
        <x:f t="shared" si="97">1+O$9*SUMPRODUCT($H$10:$L$10,H129:L129)/SUM($H$10:$L$10)</x:f>
        <x:v>2.3862633359692453</x:v>
      </x:c>
      <x:c r="P129" s="12" t="n">
        <x:f t="shared" si="98">M129*O129+N129</x:f>
        <x:v>19718.598062484925</x:v>
      </x:c>
      <x:c r="Q129" s="7" t="n">
        <x:f>P129/(P129+'_曲线基线'!$L$2)</x:f>
        <x:v>0.4510345467689075</x:v>
      </x:c>
      <x:c r="R129" s="2" t="n">
        <x:f>E129*'模块规划'!$E$10+G129*'模块规划'!$E$11+H129*'模块规划'!$E$13</x:f>
        <x:v>6161.129276121149</x:v>
      </x:c>
      <x:c r="S129" s="2" t="n">
        <x:f>I129*'模块规划'!$E$15+J129*'模块规划'!$E$17+K129*'模块规划'!$E$16+L129*'模块规划'!$E$18</x:f>
        <x:v>14875.820193952753</x:v>
      </x:c>
      <x:c r="T129" s="2" t="n">
        <x:f t="shared" si="99">1+T$9*SUMPRODUCT($H$10:$L$10,H129:L129)/SUM($H$10:$L$10)</x:f>
        <x:v>2.3862633359692453</x:v>
      </x:c>
      <x:c r="U129" s="12" t="n">
        <x:f t="shared" si="100">R129*T129+S129</x:f>
        <x:v>29577.897093727388</x:v>
      </x:c>
      <x:c r="V129" s="2" t="n">
        <x:f t="shared" si="101">V$8+(V$9-V$8)*H129</x:f>
        <x:v>0.8521198951367075</x:v>
      </x:c>
      <x:c r="W129" s="2" t="n">
        <x:f t="shared" si="102">IF(B129&lt;$H$8,0,W$8+(W$9-W$8)*H129)</x:f>
        <x:v>0.20282652684894337</x:v>
      </x:c>
      <x:c r="X129" s="2" t="n">
        <x:f t="shared" si="103">X$8+(X$9-X$8)*H129</x:f>
        <x:v>0.4144432372086486</x:v>
      </x:c>
      <x:c r="Y129" s="2" t="n">
        <x:f t="shared" si="104">Y$8+(Y$9-Y$8)*G129</x:f>
        <x:v>1</x:v>
      </x:c>
      <x:c r="Z129" s="2" t="n">
        <x:f t="shared" si="105">Z$8+(Z$9-Z$8)*H129</x:f>
        <x:v>1</x:v>
      </x:c>
      <x:c r="AA129" s="2" t="n">
        <x:f t="shared" si="106">AA$8+(AA$9-AA$8)*I129</x:f>
        <x:v>1</x:v>
      </x:c>
      <x:c r="AB129" s="2" t="n">
        <x:f t="shared" si="107">AB$8+(AB$9-AB$8)*J129</x:f>
        <x:v>1</x:v>
      </x:c>
      <x:c r="AC129" s="2" t="n">
        <x:f t="shared" si="108">AC$8+(AC$9-AC$8)*MAX(K129,L129)</x:f>
        <x:v>1</x:v>
      </x:c>
      <x:c r="AD129" s="1" t="n">
        <x:f t="shared" si="109">(V129*AE129+W129*AF129+X129*AG129)*PRODUCT(Y129:AC129)</x:f>
        <x:v>1.5840701317724468</x:v>
      </x:c>
      <x:c r="AE129" s="2" t="n">
        <x:f t="shared" si="110">1+AE$9*($H$10*H129+$I$10*I129+$J$10*J129+$K$10*K129+$L$10*L129)</x:f>
        <x:v>1</x:v>
      </x:c>
      <x:c r="AF129" s="2" t="n">
        <x:f t="shared" si="111">1+AF$9*($H$10*H129+$I$10*I129+$J$10*J129+$K$10*K129+$L$10*L129)</x:f>
        <x:v>1.1223503673041684</x:v>
      </x:c>
      <x:c r="AG129" s="2" t="n">
        <x:f t="shared" si="112">1+AG$9*($H$10*H129+$I$10*I129+$J$10*J129+$K$10*K129+$L$10*L129)</x:f>
        <x:v>1.2168320398335</x:v>
      </x:c>
      <x:c r="AH129" s="2" t="n">
        <x:f>MIN(1,'_曲线基线'!$L$3+AH$9*($H$10*H129+$I$10*I129+$J$10*J129+$K$10*K129+$L$10*L129))</x:f>
        <x:v>0.3283470856169826</x:v>
      </x:c>
      <x:c r="AI129" s="2" t="n">
        <x:f>'_曲线基线'!$L$4+AI$9*($H$10*H129+$I$10*I129+$J$10*J129+$K$10*K129+$L$10*L129)</x:f>
        <x:v>2.775395452790166</x:v>
      </x:c>
      <x:c r="AJ129" s="2" t="n">
        <x:f t="shared" si="113">1+AJ$9*($H$10*H129+$I$10*I129+$J$10*J129+$K$10*K129+$L$10*L129)</x:f>
        <x:v>1.6362219099816746</x:v>
      </x:c>
      <x:c r="AK129" s="1" t="n">
        <x:f t="shared" si="114">(1+AH129*(AI129-1))*AJ129</x:f>
        <x:v>2.5900508011054644</x:v>
      </x:c>
      <x:c r="AL129" s="1" t="n">
        <x:f t="shared" si="115">U129*AD129*AK129*F129</x:f>
        <x:v>606764.2513798876</x:v>
      </x:c>
      <x:c r="AM129" s="13" t="n">
        <x:f t="shared" si="116">IF($B129&lt;AM$8,0,AM$3+(AM$4-AM$3)*(POWER(AM$5,$B129-AM$8)-1)/(POWER(AM$5,$C$5-AM$8)-1))</x:f>
        <x:v>37.95788179632596</x:v>
      </x:c>
      <x:c r="AN129" s="13" t="n">
        <x:f>(((E129*'模块规划'!$D$10+G129*'模块规划'!$D$11+H129*'模块规划'!$D$13)*(1+'模块规划'!$G$14*H129)+(I129*'模块规划'!$D$15+J129*'模块规划'!$D$17+K129*'模块规划'!$D$16+L129*'模块规划'!$D$18))*(1+'模块规划'!$J$17*J129))*F129/(1-Q129)</x:f>
        <x:v>1055791.2850389096</x:v>
      </x:c>
      <x:c r="AO129" s="1" t="n">
        <x:f t="shared" si="117">AL129*AM129</x:f>
        <x:v>23031485.73211398</x:v>
      </x:c>
      <x:c r="AP129" s="1" t="n">
        <x:f>IF(AO129="","",INDEX('_曲线基线'!$A$3:$A$502,MIN(ROWS('_曲线基线'!$A$3:$A$502),COUNTIF('_曲线基线'!$E$3:$E$502,"&lt;"&amp;AO129)+1)))</x:f>
        <x:v>191</x:v>
      </x:c>
      <x:c r="AQ129" s="14" t="n">
        <x:f t="shared" si="118">IF(B129&lt;=2,1,IF(B129&lt;=6,2,IF(B129&lt;=9,3,IF(B129&lt;=19,4,5))))</x:f>
        <x:v>5</x:v>
      </x:c>
      <x:c r="AR129" s="10" t="n">
        <x:f t="shared" si="119">AN129*(1-Q129)/F129*$AS$3+U129*$AS$4+P129*$AS$5</x:f>
        <x:v>9393.137066598414</x:v>
      </x:c>
      <x:c r="AS129" s="15" t="n">
        <x:f t="shared" si="120">1+AH129*$AS$6+AI129*$AS$7+(AJ129-1)*$AS$8+($H$10*H129+$I$10*I129+$J$10*J129+$K$10*K129+$L$10*L129)*$AU$3*$AS$9+($H$10*H129+$I$10*I129+$J$10*J129+$K$10*K129+$L$10*L129)*$AU$4*$AS$10</x:f>
        <x:v>12.292153467028898</x:v>
      </x:c>
      <x:c r="AT129" s="16" t="n">
        <x:f t="shared" si="121">ROUND(AR129*AS129,0)</x:f>
        <x:v>115462</x:v>
      </x:c>
      <x:c r="AU129" s="16" t="n">
        <x:f t="shared" si="122">ROUND(AT129*F129,0)</x:f>
        <x:v>577310</x:v>
      </x:c>
      <x:c r="AV129" t="n">
        <x:f>IF(AU129&gt;0,ROUND(AU129,-MAX(0,INT(LOG10(AU129))-2)),0)</x:f>
        <x:v>577000</x:v>
      </x:c>
    </x:row>
    <x:row r="130" customHeight="1">
      <x:c r="A130" s="1" t="str">
        <x:f>IFERROR(XLOOKUP(B130,'_曲线基线'!$G$3:$G$107,'_曲线基线'!$J$3:$J$107,""),"")</x:f>
      </x:c>
      <x:c r="B130" s="1" t="n">
        <x:v>119</x:v>
      </x:c>
      <x:c r="C130" s="1" t="n">
        <x:f t="shared" si="161">C115+1</x:f>
        <x:v>9</x:v>
      </x:c>
      <x:c r="D130" s="1" t="n">
        <x:f t="shared" si="162">D115</x:f>
        <x:v>5</x:v>
      </x:c>
      <x:c r="E130" s="1" t="n">
        <x:f t="shared" si="94">IF($B130&lt;E$8,0,E$3+(E$4-E$3)*(POWER(E$5,$B130-E$8)-1)/(POWER(E$5,$C$5-E$8)-1))</x:f>
        <x:v>1</x:v>
      </x:c>
      <x:c r="F130" s="10" t="n">
        <x:f t="shared" si="95">1+IF(B130&lt;3,0,MIN(1,(B130-2)/4))+IF(B130&lt;7,0,MIN(1,(B130-6)/3))+IF(B130&lt;10,0,MIN(1,(B130-9)/5))+IF(B130&lt;20,0,MIN(1,(B130-19)/10))</x:f>
        <x:v>5</x:v>
      </x:c>
      <x:c r="G130" s="11" t="n">
        <x:f t="shared" ref="G130:L130" si="178">'玩家战力_节点'!G130</x:f>
        <x:v>0.6498091766823632</x:v>
      </x:c>
      <x:c r="H130" s="11" t="n">
        <x:f t="shared" si="178">'玩家战力_节点'!H130</x:f>
        <x:v>0.509012810438506</x:v>
      </x:c>
      <x:c r="I130" s="11" t="n">
        <x:f t="shared" si="178">'玩家战力_节点'!I130</x:f>
        <x:v>0.3419603803252353</x:v>
      </x:c>
      <x:c r="J130" s="11" t="n">
        <x:f t="shared" si="178">'玩家战力_节点'!J130</x:f>
        <x:v>0.3841370805201075</x:v>
      </x:c>
      <x:c r="K130" s="11" t="n">
        <x:f t="shared" si="178">'玩家战力_节点'!K130</x:f>
        <x:v>0.16305212145790313</x:v>
      </x:c>
      <x:c r="L130" s="11" t="n">
        <x:f t="shared" si="178">'玩家战力_节点'!L130</x:f>
        <x:v>0.4939070368050809</x:v>
      </x:c>
      <x:c r="M130" s="2" t="n">
        <x:f>E130*'模块规划'!$F$10+G130*'模块规划'!$F$11+H130*'模块规划'!$F$13</x:f>
        <x:v>4119.084048075343</x:v>
      </x:c>
      <x:c r="N130" s="2" t="n">
        <x:f>I130*'模块规划'!$F$15+J130*'模块规划'!$F$17+K130*'模块规划'!$F$16+L130*'模块规划'!$F$18</x:f>
        <x:v>10024.901760575782</x:v>
      </x:c>
      <x:c r="O130" s="2" t="n">
        <x:f t="shared" si="97">1+O$9*SUMPRODUCT($H$10:$L$10,H130:L130)/SUM($H$10:$L$10)</x:f>
        <x:v>2.398684321526092</x:v>
      </x:c>
      <x:c r="P130" s="12" t="n">
        <x:f t="shared" si="98">M130*O130+N130</x:f>
        <x:v>19905.284085742336</x:v>
      </x:c>
      <x:c r="Q130" s="7" t="n">
        <x:f>P130/(P130+'_曲线基线'!$L$2)</x:f>
        <x:v>0.4533687573201768</x:v>
      </x:c>
      <x:c r="R130" s="2" t="n">
        <x:f>E130*'模块规划'!$E$10+G130*'模块规划'!$E$11+H130*'模块规划'!$E$13</x:f>
        <x:v>6178.626072113015</x:v>
      </x:c>
      <x:c r="S130" s="2" t="n">
        <x:f>I130*'模块规划'!$E$15+J130*'模块规划'!$E$17+K130*'模块规划'!$E$16+L130*'模块规划'!$E$18</x:f>
        <x:v>15037.35264086367</x:v>
      </x:c>
      <x:c r="T130" s="2" t="n">
        <x:f t="shared" si="99">1+T$9*SUMPRODUCT($H$10:$L$10,H130:L130)/SUM($H$10:$L$10)</x:f>
        <x:v>2.398684321526092</x:v>
      </x:c>
      <x:c r="U130" s="12" t="n">
        <x:f t="shared" si="100">R130*T130+S130</x:f>
        <x:v>29857.9261286135</x:v>
      </x:c>
      <x:c r="V130" s="2" t="n">
        <x:f t="shared" si="101">V$8+(V$9-V$8)*H130</x:f>
        <x:v>0.8527038431315518</x:v>
      </x:c>
      <x:c r="W130" s="2" t="n">
        <x:f t="shared" si="102">IF(B130&lt;$H$8,0,W$8+(W$9-W$8)*H130)</x:f>
        <x:v>0.2036051241754024</x:v>
      </x:c>
      <x:c r="X130" s="2" t="n">
        <x:f t="shared" si="103">X$8+(X$9-X$8)*H130</x:f>
        <x:v>0.4149785228705892</x:v>
      </x:c>
      <x:c r="Y130" s="2" t="n">
        <x:f t="shared" si="104">Y$8+(Y$9-Y$8)*G130</x:f>
        <x:v>1</x:v>
      </x:c>
      <x:c r="Z130" s="2" t="n">
        <x:f t="shared" si="105">Z$8+(Z$9-Z$8)*H130</x:f>
        <x:v>1</x:v>
      </x:c>
      <x:c r="AA130" s="2" t="n">
        <x:f t="shared" si="106">AA$8+(AA$9-AA$8)*I130</x:f>
        <x:v>1</x:v>
      </x:c>
      <x:c r="AB130" s="2" t="n">
        <x:f t="shared" si="107">AB$8+(AB$9-AB$8)*J130</x:f>
        <x:v>1</x:v>
      </x:c>
      <x:c r="AC130" s="2" t="n">
        <x:f t="shared" si="108">AC$8+(AC$9-AC$8)*MAX(K130,L130)</x:f>
        <x:v>1</x:v>
      </x:c>
      <x:c r="AD130" s="1" t="n">
        <x:f t="shared" si="109">(V130*AE130+W130*AF130+X130*AG130)*PRODUCT(Y130:AC130)</x:f>
        <x:v>1.5872087275219604</x:v>
      </x:c>
      <x:c r="AE130" s="2" t="n">
        <x:f t="shared" si="110">1+AE$9*($H$10*H130+$I$10*I130+$J$10*J130+$K$10*K130+$L$10*L130)</x:f>
        <x:v>1</x:v>
      </x:c>
      <x:c r="AF130" s="2" t="n">
        <x:f t="shared" si="111">1+AF$9*($H$10*H130+$I$10*I130+$J$10*J130+$K$10*K130+$L$10*L130)</x:f>
        <x:v>1.1234466324261896</x:v>
      </x:c>
      <x:c r="AG130" s="2" t="n">
        <x:f t="shared" si="112">1+AG$9*($H$10*H130+$I$10*I130+$J$10*J130+$K$10*K130+$L$10*L130)</x:f>
        <x:v>1.2187748652441932</x:v>
      </x:c>
      <x:c r="AH130" s="2" t="n">
        <x:f>MIN(1,'_曲线基线'!$L$3+AH$9*($H$10*H130+$I$10*I130+$J$10*J130+$K$10*K130+$L$10*L130))</x:f>
        <x:v>0.330841088769581</x:v>
      </x:c>
      <x:c r="AI130" s="2" t="n">
        <x:f>'_曲线基线'!$L$4+AI$9*($H$10*H130+$I$10*I130+$J$10*J130+$K$10*K130+$L$10*L130)</x:f>
        <x:v>2.7823430330009757</x:v>
      </x:c>
      <x:c r="AJ130" s="2" t="n">
        <x:f t="shared" si="113">1+AJ$9*($H$10*H130+$I$10*I130+$J$10*J130+$K$10*K130+$L$10*L130)</x:f>
        <x:v>1.6419224886161854</x:v>
      </x:c>
      <x:c r="AK130" s="1" t="n">
        <x:f t="shared" si="114">(1+AH130*(AI130-1))*AJ130</x:f>
        <x:v>2.610118714660898</x:v>
      </x:c>
      <x:c r="AL130" s="1" t="n">
        <x:f t="shared" si="115">U130*AD130*AK130*F130</x:f>
        <x:v>618477.5601189609</x:v>
      </x:c>
      <x:c r="AM130" s="13" t="n">
        <x:f t="shared" si="116">IF($B130&lt;AM$8,0,AM$3+(AM$4-AM$3)*(POWER(AM$5,$B130-AM$8)-1)/(POWER(AM$5,$C$5-AM$8)-1))</x:f>
        <x:v>38.000885254211084</x:v>
      </x:c>
      <x:c r="AN130" s="13" t="n">
        <x:f>(((E130*'模块规划'!$D$10+G130*'模块规划'!$D$11+H130*'模块规划'!$D$13)*(1+'模块规划'!$G$14*H130)+(I130*'模块规划'!$D$15+J130*'模块规划'!$D$17+K130*'模块规划'!$D$16+L130*'模块规划'!$D$18))*(1+'模块规划'!$J$17*J130))*F130/(1-Q130)</x:f>
        <x:v>1071138.0509983988</x:v>
      </x:c>
      <x:c r="AO130" s="1" t="n">
        <x:f t="shared" si="117">AL130*AM130</x:f>
        <x:v>23502694.79438507</x:v>
      </x:c>
      <x:c r="AP130" s="1" t="n">
        <x:f>IF(AO130="","",INDEX('_曲线基线'!$A$3:$A$502,MIN(ROWS('_曲线基线'!$A$3:$A$502),COUNTIF('_曲线基线'!$E$3:$E$502,"&lt;"&amp;AO130)+1)))</x:f>
        <x:v>192</x:v>
      </x:c>
      <x:c r="AQ130" s="14" t="n">
        <x:f t="shared" si="118">IF(B130&lt;=2,1,IF(B130&lt;=6,2,IF(B130&lt;=9,3,IF(B130&lt;=19,4,5))))</x:f>
        <x:v>5</x:v>
      </x:c>
      <x:c r="AR130" s="10" t="n">
        <x:f t="shared" si="119">AN130*(1-Q130)/F130*$AS$3+U130*$AS$4+P130*$AS$5</x:f>
        <x:v>9484.690369116093</x:v>
      </x:c>
      <x:c r="AS130" s="15" t="n">
        <x:f t="shared" si="120">1+AH130*$AS$6+AI130*$AS$7+(AJ130-1)*$AS$8+($H$10*H130+$I$10*I130+$J$10*J130+$K$10*K130+$L$10*L130)*$AU$3*$AS$9+($H$10*H130+$I$10*I130+$J$10*J130+$K$10*K130+$L$10*L130)*$AU$4*$AS$10</x:f>
        <x:v>12.357656553700915</x:v>
      </x:c>
      <x:c r="AT130" s="16" t="n">
        <x:f t="shared" si="121">ROUND(AR130*AS130,0)</x:f>
        <x:v>117209</x:v>
      </x:c>
      <x:c r="AU130" s="16" t="n">
        <x:f t="shared" si="122">ROUND(AT130*F130,0)</x:f>
        <x:v>586045</x:v>
      </x:c>
      <x:c r="AV130" t="n">
        <x:f>IF(AU130&gt;0,ROUND(AU130,-MAX(0,INT(LOG10(AU130))-2)),0)</x:f>
        <x:v>586000</x:v>
      </x:c>
    </x:row>
    <x:row r="131" customHeight="1">
      <x:c r="A131" s="1" t="str">
        <x:f>IFERROR(XLOOKUP(B131,'_曲线基线'!$G$3:$G$107,'_曲线基线'!$J$3:$J$107,""),"")</x:f>
      </x:c>
      <x:c r="B131" s="1" t="n">
        <x:v>120</x:v>
      </x:c>
      <x:c r="C131" s="1" t="n">
        <x:f t="shared" si="161">C116+1</x:f>
        <x:v>9</x:v>
      </x:c>
      <x:c r="D131" s="1" t="n">
        <x:f t="shared" si="162">D116</x:f>
        <x:v>6</x:v>
      </x:c>
      <x:c r="E131" s="1" t="n">
        <x:f t="shared" si="94">IF($B131&lt;E$8,0,E$3+(E$4-E$3)*(POWER(E$5,$B131-E$8)-1)/(POWER(E$5,$C$5-E$8)-1))</x:f>
        <x:v>1</x:v>
      </x:c>
      <x:c r="F131" s="10" t="n">
        <x:f t="shared" si="95">1+IF(B131&lt;3,0,MIN(1,(B131-2)/4))+IF(B131&lt;7,0,MIN(1,(B131-6)/3))+IF(B131&lt;10,0,MIN(1,(B131-9)/5))+IF(B131&lt;20,0,MIN(1,(B131-19)/10))</x:f>
        <x:v>5</x:v>
      </x:c>
      <x:c r="G131" s="11" t="n">
        <x:f t="shared" ref="G131:L131" si="179">'玩家战力_节点'!G131</x:f>
        <x:v>0.6522392872367889</x:v>
      </x:c>
      <x:c r="H131" s="11" t="n">
        <x:f t="shared" si="179">'玩家战力_节点'!H131</x:f>
        <x:v>0.5109593037546535</x:v>
      </x:c>
      <x:c r="I131" s="11" t="n">
        <x:f t="shared" si="179">'玩家战力_节点'!I131</x:f>
        <x:v>0.3458212640848983</x:v>
      </x:c>
      <x:c r="J131" s="11" t="n">
        <x:f t="shared" si="179">'玩家战力_节点'!J131</x:f>
        <x:v>0.3864586862197389</x:v>
      </x:c>
      <x:c r="K131" s="11" t="n">
        <x:f t="shared" si="179">'玩家战力_节点'!K131</x:f>
        <x:v>0.17015849353272264</x:v>
      </x:c>
      <x:c r="L131" s="11" t="n">
        <x:f t="shared" si="179">'玩家战力_节点'!L131</x:f>
        <x:v>0.4960964244886959</x:v>
      </x:c>
      <x:c r="M131" s="2" t="n">
        <x:f>E131*'模块规划'!$F$10+G131*'模块规划'!$F$11+H131*'模块规划'!$F$13</x:f>
        <x:v>4130.748578736587</x:v>
      </x:c>
      <x:c r="N131" s="2" t="n">
        <x:f>I131*'模块规划'!$F$15+J131*'模块规划'!$F$17+K131*'模块规划'!$F$16+L131*'模块规划'!$F$18</x:f>
        <x:v>10132.59005851639</x:v>
      </x:c>
      <x:c r="O131" s="2" t="n">
        <x:f t="shared" si="97">1+O$9*SUMPRODUCT($H$10:$L$10,H131:L131)/SUM($H$10:$L$10)</x:f>
        <x:v>2.4111053070829382</x:v>
      </x:c>
      <x:c r="P131" s="12" t="n">
        <x:f t="shared" si="98">M131*O131+N131</x:f>
        <x:v>20092.25987893348</x:v>
      </x:c>
      <x:c r="Q131" s="7" t="n">
        <x:f>P131/(P131+'_曲线基线'!$L$2)</x:f>
        <x:v>0.45568677890636344</x:v>
      </x:c>
      <x:c r="R131" s="2" t="n">
        <x:f>E131*'模块规划'!$E$10+G131*'模块规划'!$E$11+H131*'模块规划'!$E$13</x:f>
        <x:v>6196.122868104881</x:v>
      </x:c>
      <x:c r="S131" s="2" t="n">
        <x:f>I131*'模块规划'!$E$15+J131*'模块规划'!$E$17+K131*'模块规划'!$E$16+L131*'模块规划'!$E$18</x:f>
        <x:v>15198.885087774586</x:v>
      </x:c>
      <x:c r="T131" s="2" t="n">
        <x:f t="shared" si="99">1+T$9*SUMPRODUCT($H$10:$L$10,H131:L131)/SUM($H$10:$L$10)</x:f>
        <x:v>2.4111053070829382</x:v>
      </x:c>
      <x:c r="U131" s="12" t="n">
        <x:f t="shared" si="100">R131*T131+S131</x:f>
        <x:v>30138.38981840022</x:v>
      </x:c>
      <x:c r="V131" s="2" t="n">
        <x:f t="shared" si="101">V$8+(V$9-V$8)*H131</x:f>
        <x:v>0.8532877911263961</x:v>
      </x:c>
      <x:c r="W131" s="2" t="n">
        <x:f t="shared" si="102">IF(B131&lt;$H$8,0,W$8+(W$9-W$8)*H131)</x:f>
        <x:v>0.2043837215018614</x:v>
      </x:c>
      <x:c r="X131" s="2" t="n">
        <x:f t="shared" si="103">X$8+(X$9-X$8)*H131</x:f>
        <x:v>0.4155138085325297</x:v>
      </x:c>
      <x:c r="Y131" s="2" t="n">
        <x:f t="shared" si="104">Y$8+(Y$9-Y$8)*G131</x:f>
        <x:v>1</x:v>
      </x:c>
      <x:c r="Z131" s="2" t="n">
        <x:f t="shared" si="105">Z$8+(Z$9-Z$8)*H131</x:f>
        <x:v>1</x:v>
      </x:c>
      <x:c r="AA131" s="2" t="n">
        <x:f t="shared" si="106">AA$8+(AA$9-AA$8)*I131</x:f>
        <x:v>1</x:v>
      </x:c>
      <x:c r="AB131" s="2" t="n">
        <x:f t="shared" si="107">AB$8+(AB$9-AB$8)*J131</x:f>
        <x:v>1</x:v>
      </x:c>
      <x:c r="AC131" s="2" t="n">
        <x:f t="shared" si="108">AC$8+(AC$9-AC$8)*MAX(K131,L131)</x:f>
        <x:v>1</x:v>
      </x:c>
      <x:c r="AD131" s="1" t="n">
        <x:f t="shared" si="109">(V131*AE131+W131*AF131+X131*AG131)*PRODUCT(Y131:AC131)</x:f>
        <x:v>1.5903511103028323</x:v>
      </x:c>
      <x:c r="AE131" s="2" t="n">
        <x:f t="shared" si="110">1+AE$9*($H$10*H131+$I$10*I131+$J$10*J131+$K$10*K131+$L$10*L131)</x:f>
        <x:v>1</x:v>
      </x:c>
      <x:c r="AF131" s="2" t="n">
        <x:f t="shared" si="111">1+AF$9*($H$10*H131+$I$10*I131+$J$10*J131+$K$10*K131+$L$10*L131)</x:f>
        <x:v>1.1245428975482108</x:v>
      </x:c>
      <x:c r="AG131" s="2" t="n">
        <x:f t="shared" si="112">1+AG$9*($H$10*H131+$I$10*I131+$J$10*J131+$K$10*K131+$L$10*L131)</x:f>
        <x:v>1.2207176906548864</x:v>
      </x:c>
      <x:c r="AH131" s="2" t="n">
        <x:f>MIN(1,'_曲线基线'!$L$3+AH$9*($H$10*H131+$I$10*I131+$J$10*J131+$K$10*K131+$L$10*L131))</x:f>
        <x:v>0.33333509192217936</x:v>
      </x:c>
      <x:c r="AI131" s="2" t="n">
        <x:f>'_曲线基线'!$L$4+AI$9*($H$10*H131+$I$10*I131+$J$10*J131+$K$10*K131+$L$10*L131)</x:f>
        <x:v>2.7892906132117856</x:v>
      </x:c>
      <x:c r="AJ131" s="2" t="n">
        <x:f t="shared" si="113">1+AJ$9*($H$10*H131+$I$10*I131+$J$10*J131+$K$10*K131+$L$10*L131)</x:f>
        <x:v>1.647623067250696</x:v>
      </x:c>
      <x:c r="AK131" s="1" t="n">
        <x:f t="shared" si="114">(1+AH131*(AI131-1))*AJ131</x:f>
        <x:v>2.6303204144860857</x:v>
      </x:c>
      <x:c r="AL131" s="1" t="n">
        <x:f t="shared" si="115">U131*AD131*AK131*F131</x:f>
        <x:v>630364.4638198011</x:v>
      </x:c>
      <x:c r="AM131" s="13" t="n">
        <x:f t="shared" si="116">IF($B131&lt;AM$8,0,AM$3+(AM$4-AM$3)*(POWER(AM$5,$B131-AM$8)-1)/(POWER(AM$5,$C$5-AM$8)-1))</x:f>
        <x:v>38.04431874667507</x:v>
      </x:c>
      <x:c r="AN131" s="13" t="n">
        <x:f>(((E131*'模块规划'!$D$10+G131*'模块规划'!$D$11+H131*'模块规划'!$D$13)*(1+'模块规划'!$G$14*H131)+(I131*'模块规划'!$D$15+J131*'模块规划'!$D$17+K131*'模块规划'!$D$16+L131*'模块规划'!$D$18))*(1+'模块规划'!$J$17*J131))*F131/(1-Q131)</x:f>
        <x:v>1086620.6279640838</x:v>
      </x:c>
      <x:c r="AO131" s="1" t="n">
        <x:f t="shared" si="117">AL131*AM131</x:f>
        <x:v>23981786.588137437</x:v>
      </x:c>
      <x:c r="AP131" s="1" t="n">
        <x:f>IF(AO131="","",INDEX('_曲线基线'!$A$3:$A$502,MIN(ROWS('_曲线基线'!$A$3:$A$502),COUNTIF('_曲线基线'!$E$3:$E$502,"&lt;"&amp;AO131)+1)))</x:f>
        <x:v>193</x:v>
      </x:c>
      <x:c r="AQ131" s="14" t="n">
        <x:f t="shared" si="118">IF(B131&lt;=2,1,IF(B131&lt;=6,2,IF(B131&lt;=9,3,IF(B131&lt;=19,4,5))))</x:f>
        <x:v>5</x:v>
      </x:c>
      <x:c r="AR131" s="10" t="n">
        <x:f t="shared" si="119">AN131*(1-Q131)/F131*$AS$3+U131*$AS$4+P131*$AS$5</x:f>
        <x:v>9576.449808363566</x:v>
      </x:c>
      <x:c r="AS131" s="15" t="n">
        <x:f t="shared" si="120">1+AH131*$AS$6+AI131*$AS$7+(AJ131-1)*$AS$8+($H$10*H131+$I$10*I131+$J$10*J131+$K$10*K131+$L$10*L131)*$AU$3*$AS$9+($H$10*H131+$I$10*I131+$J$10*J131+$K$10*K131+$L$10*L131)*$AU$4*$AS$10</x:f>
        <x:v>12.423159640372932</x:v>
      </x:c>
      <x:c r="AT131" s="16" t="n">
        <x:f t="shared" si="121">ROUND(AR131*AS131,0)</x:f>
        <x:v>118970</x:v>
      </x:c>
      <x:c r="AU131" s="16" t="n">
        <x:f t="shared" si="122">ROUND(AT131*F131,0)</x:f>
        <x:v>594850</x:v>
      </x:c>
      <x:c r="AV131" t="n">
        <x:f>IF(AU131&gt;0,ROUND(AU131,-MAX(0,INT(LOG10(AU131))-2)),0)</x:f>
        <x:v>595000</x:v>
      </x:c>
    </x:row>
    <x:row r="132" customHeight="1">
      <x:c r="A132" s="1" t="str">
        <x:f>IFERROR(XLOOKUP(B132,'_曲线基线'!$G$3:$G$107,'_曲线基线'!$J$3:$J$107,""),"")</x:f>
      </x:c>
      <x:c r="B132" s="1" t="n">
        <x:v>121</x:v>
      </x:c>
      <x:c r="C132" s="1" t="n">
        <x:f t="shared" si="161">C117+1</x:f>
        <x:v>9</x:v>
      </x:c>
      <x:c r="D132" s="1" t="n">
        <x:f t="shared" si="162">D117</x:f>
        <x:v>7</x:v>
      </x:c>
      <x:c r="E132" s="1" t="n">
        <x:f t="shared" si="94">IF($B132&lt;E$8,0,E$3+(E$4-E$3)*(POWER(E$5,$B132-E$8)-1)/(POWER(E$5,$C$5-E$8)-1))</x:f>
        <x:v>1</x:v>
      </x:c>
      <x:c r="F132" s="10" t="n">
        <x:f t="shared" si="95">1+IF(B132&lt;3,0,MIN(1,(B132-2)/4))+IF(B132&lt;7,0,MIN(1,(B132-6)/3))+IF(B132&lt;10,0,MIN(1,(B132-9)/5))+IF(B132&lt;20,0,MIN(1,(B132-19)/10))</x:f>
        <x:v>5</x:v>
      </x:c>
      <x:c r="G132" s="11" t="n">
        <x:f t="shared" ref="G132:L132" si="180">'玩家战力_节点'!G132</x:f>
        <x:v>0.6546693977912148</x:v>
      </x:c>
      <x:c r="H132" s="11" t="n">
        <x:f t="shared" si="180">'玩家战力_节点'!H132</x:f>
        <x:v>0.5129057970708011</x:v>
      </x:c>
      <x:c r="I132" s="11" t="n">
        <x:f t="shared" si="180">'玩家战力_节点'!I132</x:f>
        <x:v>0.3496821478445615</x:v>
      </x:c>
      <x:c r="J132" s="11" t="n">
        <x:f t="shared" si="180">'玩家战力_节点'!J132</x:f>
        <x:v>0.3887802919193703</x:v>
      </x:c>
      <x:c r="K132" s="11" t="n">
        <x:f t="shared" si="180">'玩家战力_节点'!K132</x:f>
        <x:v>0.17726486560754218</x:v>
      </x:c>
      <x:c r="L132" s="11" t="n">
        <x:f t="shared" si="180">'玩家战力_节点'!L132</x:f>
        <x:v>0.4982858121723109</x:v>
      </x:c>
      <x:c r="M132" s="2" t="n">
        <x:f>E132*'模块规划'!$F$10+G132*'模块规划'!$F$11+H132*'模块规划'!$F$13</x:f>
        <x:v>4142.413109397831</x:v>
      </x:c>
      <x:c r="N132" s="2" t="n">
        <x:f>I132*'模块规划'!$F$15+J132*'模块规划'!$F$17+K132*'模块规划'!$F$16+L132*'模块规划'!$F$18</x:f>
        <x:v>10240.278356457002</x:v>
      </x:c>
      <x:c r="O132" s="2" t="n">
        <x:f t="shared" si="97">1+O$9*SUMPRODUCT($H$10:$L$10,H132:L132)/SUM($H$10:$L$10)</x:f>
        <x:v>2.423526292639785</x:v>
      </x:c>
      <x:c r="P132" s="12" t="n">
        <x:f t="shared" si="98">M132*O132+N132</x:f>
        <x:v>20279.525442058373</x:v>
      </x:c>
      <x:c r="Q132" s="7" t="n">
        <x:f>P132/(P132+'_曲线基线'!$L$2)</x:f>
        <x:v>0.4579887710990712</x:v>
      </x:c>
      <x:c r="R132" s="2" t="n">
        <x:f>E132*'模块规划'!$E$10+G132*'模块规划'!$E$11+H132*'模块规划'!$E$13</x:f>
        <x:v>6213.619664096746</x:v>
      </x:c>
      <x:c r="S132" s="2" t="n">
        <x:f>I132*'模块规划'!$E$15+J132*'模块规划'!$E$17+K132*'模块规划'!$E$16+L132*'模块规划'!$E$18</x:f>
        <x:v>15360.417534685505</x:v>
      </x:c>
      <x:c r="T132" s="2" t="n">
        <x:f t="shared" si="99">1+T$9*SUMPRODUCT($H$10:$L$10,H132:L132)/SUM($H$10:$L$10)</x:f>
        <x:v>2.423526292639785</x:v>
      </x:c>
      <x:c r="U132" s="12" t="n">
        <x:f t="shared" si="100">R132*T132+S132</x:f>
        <x:v>30419.28816308756</x:v>
      </x:c>
      <x:c r="V132" s="2" t="n">
        <x:f t="shared" si="101">V$8+(V$9-V$8)*H132</x:f>
        <x:v>0.8538717391212403</x:v>
      </x:c>
      <x:c r="W132" s="2" t="n">
        <x:f t="shared" si="102">IF(B132&lt;$H$8,0,W$8+(W$9-W$8)*H132)</x:f>
        <x:v>0.20516231882832045</x:v>
      </x:c>
      <x:c r="X132" s="2" t="n">
        <x:f t="shared" si="103">X$8+(X$9-X$8)*H132</x:f>
        <x:v>0.41604909419447034</x:v>
      </x:c>
      <x:c r="Y132" s="2" t="n">
        <x:f t="shared" si="104">Y$8+(Y$9-Y$8)*G132</x:f>
        <x:v>1</x:v>
      </x:c>
      <x:c r="Z132" s="2" t="n">
        <x:f t="shared" si="105">Z$8+(Z$9-Z$8)*H132</x:f>
        <x:v>1</x:v>
      </x:c>
      <x:c r="AA132" s="2" t="n">
        <x:f t="shared" si="106">AA$8+(AA$9-AA$8)*I132</x:f>
        <x:v>1</x:v>
      </x:c>
      <x:c r="AB132" s="2" t="n">
        <x:f t="shared" si="107">AB$8+(AB$9-AB$8)*J132</x:f>
        <x:v>1</x:v>
      </x:c>
      <x:c r="AC132" s="2" t="n">
        <x:f t="shared" si="108">AC$8+(AC$9-AC$8)*MAX(K132,L132)</x:f>
        <x:v>1</x:v>
      </x:c>
      <x:c r="AD132" s="1" t="n">
        <x:f t="shared" si="109">(V132*AE132+W132*AF132+X132*AG132)*PRODUCT(Y132:AC132)</x:f>
        <x:v>1.593497280115062</x:v>
      </x:c>
      <x:c r="AE132" s="2" t="n">
        <x:f t="shared" si="110">1+AE$9*($H$10*H132+$I$10*I132+$J$10*J132+$K$10*K132+$L$10*L132)</x:f>
        <x:v>1</x:v>
      </x:c>
      <x:c r="AF132" s="2" t="n">
        <x:f t="shared" si="111">1+AF$9*($H$10*H132+$I$10*I132+$J$10*J132+$K$10*K132+$L$10*L132)</x:f>
        <x:v>1.125639162670232</x:v>
      </x:c>
      <x:c r="AG132" s="2" t="n">
        <x:f t="shared" si="112">1+AG$9*($H$10*H132+$I$10*I132+$J$10*J132+$K$10*K132+$L$10*L132)</x:f>
        <x:v>1.2226605160655797</x:v>
      </x:c>
      <x:c r="AH132" s="2" t="n">
        <x:f>MIN(1,'_曲线基线'!$L$3+AH$9*($H$10*H132+$I$10*I132+$J$10*J132+$K$10*K132+$L$10*L132))</x:f>
        <x:v>0.33582909507477776</x:v>
      </x:c>
      <x:c r="AI132" s="2" t="n">
        <x:f>'_曲线基线'!$L$4+AI$9*($H$10*H132+$I$10*I132+$J$10*J132+$K$10*K132+$L$10*L132)</x:f>
        <x:v>2.796238193422595</x:v>
      </x:c>
      <x:c r="AJ132" s="2" t="n">
        <x:f t="shared" si="113">1+AJ$9*($H$10*H132+$I$10*I132+$J$10*J132+$K$10*K132+$L$10*L132)</x:f>
        <x:v>1.6533236458852065</x:v>
      </x:c>
      <x:c r="AK132" s="1" t="n">
        <x:f t="shared" si="114">(1+AH132*(AI132-1))*AJ132</x:f>
        <x:v>2.6506564932343997</x:v>
      </x:c>
      <x:c r="AL132" s="1" t="n">
        <x:f t="shared" si="115">U132*AD132*AK132*F132</x:f>
        <x:v>642427.0627562061</x:v>
      </x:c>
      <x:c r="AM132" s="13" t="n">
        <x:f t="shared" si="116">IF($B132&lt;AM$8,0,AM$3+(AM$4-AM$3)*(POWER(AM$5,$B132-AM$8)-1)/(POWER(AM$5,$C$5-AM$8)-1))</x:f>
        <x:v>38.088186574063684</x:v>
      </x:c>
      <x:c r="AN132" s="13" t="n">
        <x:f>(((E132*'模块规划'!$D$10+G132*'模块规划'!$D$11+H132*'模块规划'!$D$13)*(1+'模块规划'!$G$14*H132)+(I132*'模块规划'!$D$15+J132*'模块规划'!$D$17+K132*'模块规划'!$D$16+L132*'模块规划'!$D$18))*(1+'模块规划'!$J$17*J132))*F132/(1-Q132)</x:f>
        <x:v>1102239.711351841</x:v>
      </x:c>
      <x:c r="AO132" s="1" t="n">
        <x:f t="shared" si="117">AL132*AM132</x:f>
        <x:v>24468881.8264861</x:v>
      </x:c>
      <x:c r="AP132" s="1" t="n">
        <x:f>IF(AO132="","",INDEX('_曲线基线'!$A$3:$A$502,MIN(ROWS('_曲线基线'!$A$3:$A$502),COUNTIF('_曲线基线'!$E$3:$E$502,"&lt;"&amp;AO132)+1)))</x:f>
        <x:v>194</x:v>
      </x:c>
      <x:c r="AQ132" s="14" t="n">
        <x:f t="shared" si="118">IF(B132&lt;=2,1,IF(B132&lt;=6,2,IF(B132&lt;=9,3,IF(B132&lt;=19,4,5))))</x:f>
        <x:v>5</x:v>
      </x:c>
      <x:c r="AR132" s="10" t="n">
        <x:f t="shared" si="119">AN132*(1-Q132)/F132*$AS$3+U132*$AS$4+P132*$AS$5</x:f>
        <x:v>9668.415435576811</x:v>
      </x:c>
      <x:c r="AS132" s="15" t="n">
        <x:f t="shared" si="120">1+AH132*$AS$6+AI132*$AS$7+(AJ132-1)*$AS$8+($H$10*H132+$I$10*I132+$J$10*J132+$K$10*K132+$L$10*L132)*$AU$3*$AS$9+($H$10*H132+$I$10*I132+$J$10*J132+$K$10*K132+$L$10*L132)*$AU$4*$AS$10</x:f>
        <x:v>12.488662727044947</x:v>
      </x:c>
      <x:c r="AT132" s="16" t="n">
        <x:f t="shared" si="121">ROUND(AR132*AS132,0)</x:f>
        <x:v>120746</x:v>
      </x:c>
      <x:c r="AU132" s="16" t="n">
        <x:f t="shared" si="122">ROUND(AT132*F132,0)</x:f>
        <x:v>603730</x:v>
      </x:c>
      <x:c r="AV132" t="n">
        <x:f>IF(AU132&gt;0,ROUND(AU132,-MAX(0,INT(LOG10(AU132))-2)),0)</x:f>
        <x:v>604000</x:v>
      </x:c>
    </x:row>
    <x:row r="133" customHeight="1">
      <x:c r="A133" s="1" t="str">
        <x:f>IFERROR(XLOOKUP(B133,'_曲线基线'!$G$3:$G$107,'_曲线基线'!$J$3:$J$107,""),"")</x:f>
      </x:c>
      <x:c r="B133" s="1" t="n">
        <x:v>122</x:v>
      </x:c>
      <x:c r="C133" s="1" t="n">
        <x:f t="shared" si="161">C118+1</x:f>
        <x:v>9</x:v>
      </x:c>
      <x:c r="D133" s="1" t="n">
        <x:f t="shared" si="162">D118</x:f>
        <x:v>8</x:v>
      </x:c>
      <x:c r="E133" s="1" t="n">
        <x:f t="shared" si="94">IF($B133&lt;E$8,0,E$3+(E$4-E$3)*(POWER(E$5,$B133-E$8)-1)/(POWER(E$5,$C$5-E$8)-1))</x:f>
        <x:v>1</x:v>
      </x:c>
      <x:c r="F133" s="10" t="n">
        <x:f t="shared" si="95">1+IF(B133&lt;3,0,MIN(1,(B133-2)/4))+IF(B133&lt;7,0,MIN(1,(B133-6)/3))+IF(B133&lt;10,0,MIN(1,(B133-9)/5))+IF(B133&lt;20,0,MIN(1,(B133-19)/10))</x:f>
        <x:v>5</x:v>
      </x:c>
      <x:c r="G133" s="11" t="n">
        <x:f t="shared" ref="G133:L133" si="181">'玩家战力_节点'!G133</x:f>
        <x:v>0.6570995083456406</x:v>
      </x:c>
      <x:c r="H133" s="11" t="n">
        <x:f t="shared" si="181">'玩家战力_节点'!H133</x:f>
        <x:v>0.5148522903869487</x:v>
      </x:c>
      <x:c r="I133" s="11" t="n">
        <x:f t="shared" si="181">'玩家战力_节点'!I133</x:f>
        <x:v>0.3535430316042245</x:v>
      </x:c>
      <x:c r="J133" s="11" t="n">
        <x:f t="shared" si="181">'玩家战力_节点'!J133</x:f>
        <x:v>0.3911018976190016</x:v>
      </x:c>
      <x:c r="K133" s="11" t="n">
        <x:f t="shared" si="181">'玩家战力_节点'!K133</x:f>
        <x:v>0.18437123768236172</x:v>
      </x:c>
      <x:c r="L133" s="11" t="n">
        <x:f t="shared" si="181">'玩家战力_节点'!L133</x:f>
        <x:v>0.5004751998559258</x:v>
      </x:c>
      <x:c r="M133" s="2" t="n">
        <x:f>E133*'模块规划'!$F$10+G133*'模块规划'!$F$11+H133*'模块规划'!$F$13</x:f>
        <x:v>4154.077640059075</x:v>
      </x:c>
      <x:c r="N133" s="2" t="n">
        <x:f>I133*'模块规划'!$F$15+J133*'模块规划'!$F$17+K133*'模块规划'!$F$16+L133*'模块规划'!$F$18</x:f>
        <x:v>10347.966654397611</x:v>
      </x:c>
      <x:c r="O133" s="2" t="n">
        <x:f t="shared" si="97">1+O$9*SUMPRODUCT($H$10:$L$10,H133:L133)/SUM($H$10:$L$10)</x:f>
        <x:v>2.435947278196631</x:v>
      </x:c>
      <x:c r="P133" s="12" t="n">
        <x:f t="shared" si="98">M133*O133+N133</x:f>
        <x:v>20467.080775117</x:v>
      </x:c>
      <x:c r="Q133" s="7" t="n">
        <x:f>P133/(P133+'_曲线基线'!$L$2)</x:f>
        <x:v>0.46027489141068195</x:v>
      </x:c>
      <x:c r="R133" s="2" t="n">
        <x:f>E133*'模块规划'!$E$10+G133*'模块规划'!$E$11+H133*'模块规划'!$E$13</x:f>
        <x:v>6231.116460088612</x:v>
      </x:c>
      <x:c r="S133" s="2" t="n">
        <x:f>I133*'模块规划'!$E$15+J133*'模块规划'!$E$17+K133*'模块规划'!$E$16+L133*'模块规划'!$E$18</x:f>
        <x:v>15521.949981596417</x:v>
      </x:c>
      <x:c r="T133" s="2" t="n">
        <x:f t="shared" si="99">1+T$9*SUMPRODUCT($H$10:$L$10,H133:L133)/SUM($H$10:$L$10)</x:f>
        <x:v>2.435947278196631</x:v>
      </x:c>
      <x:c r="U133" s="12" t="n">
        <x:f t="shared" si="100">R133*T133+S133</x:f>
        <x:v>30700.6211626755</x:v>
      </x:c>
      <x:c r="V133" s="2" t="n">
        <x:f t="shared" si="101">V$8+(V$9-V$8)*H133</x:f>
        <x:v>0.8544556871160846</x:v>
      </x:c>
      <x:c r="W133" s="2" t="n">
        <x:f t="shared" si="102">IF(B133&lt;$H$8,0,W$8+(W$9-W$8)*H133)</x:f>
        <x:v>0.2059409161547795</x:v>
      </x:c>
      <x:c r="X133" s="2" t="n">
        <x:f t="shared" si="103">X$8+(X$9-X$8)*H133</x:f>
        <x:v>0.41658437985641095</x:v>
      </x:c>
      <x:c r="Y133" s="2" t="n">
        <x:f t="shared" si="104">Y$8+(Y$9-Y$8)*G133</x:f>
        <x:v>1</x:v>
      </x:c>
      <x:c r="Z133" s="2" t="n">
        <x:f t="shared" si="105">Z$8+(Z$9-Z$8)*H133</x:f>
        <x:v>1</x:v>
      </x:c>
      <x:c r="AA133" s="2" t="n">
        <x:f t="shared" si="106">AA$8+(AA$9-AA$8)*I133</x:f>
        <x:v>1</x:v>
      </x:c>
      <x:c r="AB133" s="2" t="n">
        <x:f t="shared" si="107">AB$8+(AB$9-AB$8)*J133</x:f>
        <x:v>1</x:v>
      </x:c>
      <x:c r="AC133" s="2" t="n">
        <x:f t="shared" si="108">AC$8+(AC$9-AC$8)*MAX(K133,L133)</x:f>
        <x:v>1</x:v>
      </x:c>
      <x:c r="AD133" s="1" t="n">
        <x:f t="shared" si="109">(V133*AE133+W133*AF133+X133*AG133)*PRODUCT(Y133:AC133)</x:f>
        <x:v>1.5966472369586504</x:v>
      </x:c>
      <x:c r="AE133" s="2" t="n">
        <x:f t="shared" si="110">1+AE$9*($H$10*H133+$I$10*I133+$J$10*J133+$K$10*K133+$L$10*L133)</x:f>
        <x:v>1</x:v>
      </x:c>
      <x:c r="AF133" s="2" t="n">
        <x:f t="shared" si="111">1+AF$9*($H$10*H133+$I$10*I133+$J$10*J133+$K$10*K133+$L$10*L133)</x:f>
        <x:v>1.1267354277922534</x:v>
      </x:c>
      <x:c r="AG133" s="2" t="n">
        <x:f t="shared" si="112">1+AG$9*($H$10*H133+$I$10*I133+$J$10*J133+$K$10*K133+$L$10*L133)</x:f>
        <x:v>1.224603341476273</x:v>
      </x:c>
      <x:c r="AH133" s="2" t="n">
        <x:f>MIN(1,'_曲线基线'!$L$3+AH$9*($H$10*H133+$I$10*I133+$J$10*J133+$K$10*K133+$L$10*L133))</x:f>
        <x:v>0.3383230982273761</x:v>
      </x:c>
      <x:c r="AI133" s="2" t="n">
        <x:f>'_曲线基线'!$L$4+AI$9*($H$10*H133+$I$10*I133+$J$10*J133+$K$10*K133+$L$10*L133)</x:f>
        <x:v>2.803185773633405</x:v>
      </x:c>
      <x:c r="AJ133" s="2" t="n">
        <x:f t="shared" si="113">1+AJ$9*($H$10*H133+$I$10*I133+$J$10*J133+$K$10*K133+$L$10*L133)</x:f>
        <x:v>1.6590242245197169</x:v>
      </x:c>
      <x:c r="AK133" s="1" t="n">
        <x:f t="shared" si="114">(1+AH133*(AI133-1))*AJ133</x:f>
        <x:v>2.6711275435592094</x:v>
      </x:c>
      <x:c r="AL133" s="1" t="n">
        <x:f t="shared" si="115">U133*AD133*AK133*F133</x:f>
        <x:v>654667.4770634026</x:v>
      </x:c>
      <x:c r="AM133" s="13" t="n">
        <x:f t="shared" si="116">IF($B133&lt;AM$8,0,AM$3+(AM$4-AM$3)*(POWER(AM$5,$B133-AM$8)-1)/(POWER(AM$5,$C$5-AM$8)-1))</x:f>
        <x:v>38.13249307972619</x:v>
      </x:c>
      <x:c r="AN133" s="13" t="n">
        <x:f>(((E133*'模块规划'!$D$10+G133*'模块规划'!$D$11+H133*'模块规划'!$D$13)*(1+'模块规划'!$G$14*H133)+(I133*'模块规划'!$D$15+J133*'模块规划'!$D$17+K133*'模块规划'!$D$16+L133*'模块规划'!$D$18))*(1+'模块规划'!$J$17*J133))*F133/(1-Q133)</x:f>
        <x:v>1117995.998283737</x:v>
      </x:c>
      <x:c r="AO133" s="1" t="n">
        <x:f t="shared" si="117">AL133*AM133</x:f>
        <x:v>24964103.038642004</x:v>
      </x:c>
      <x:c r="AP133" s="1" t="n">
        <x:f>IF(AO133="","",INDEX('_曲线基线'!$A$3:$A$502,MIN(ROWS('_曲线基线'!$A$3:$A$502),COUNTIF('_曲线基线'!$E$3:$E$502,"&lt;"&amp;AO133)+1)))</x:f>
        <x:v>196</x:v>
      </x:c>
      <x:c r="AQ133" s="14" t="n">
        <x:f t="shared" si="118">IF(B133&lt;=2,1,IF(B133&lt;=6,2,IF(B133&lt;=9,3,IF(B133&lt;=19,4,5))))</x:f>
        <x:v>5</x:v>
      </x:c>
      <x:c r="AR133" s="10" t="n">
        <x:f t="shared" si="119">AN133*(1-Q133)/F133*$AS$3+U133*$AS$4+P133*$AS$5</x:f>
        <x:v>9760.587301991778</x:v>
      </x:c>
      <x:c r="AS133" s="15" t="n">
        <x:f t="shared" si="120">1+AH133*$AS$6+AI133*$AS$7+(AJ133-1)*$AS$8+($H$10*H133+$I$10*I133+$J$10*J133+$K$10*K133+$L$10*L133)*$AU$3*$AS$9+($H$10*H133+$I$10*I133+$J$10*J133+$K$10*K133+$L$10*L133)*$AU$4*$AS$10</x:f>
        <x:v>12.55416581371696</x:v>
      </x:c>
      <x:c r="AT133" s="16" t="n">
        <x:f t="shared" si="121">ROUND(AR133*AS133,0)</x:f>
        <x:v>122536</x:v>
      </x:c>
      <x:c r="AU133" s="16" t="n">
        <x:f t="shared" si="122">ROUND(AT133*F133,0)</x:f>
        <x:v>612680</x:v>
      </x:c>
      <x:c r="AV133" t="n">
        <x:f>IF(AU133&gt;0,ROUND(AU133,-MAX(0,INT(LOG10(AU133))-2)),0)</x:f>
        <x:v>613000</x:v>
      </x:c>
    </x:row>
    <x:row r="134" customHeight="1">
      <x:c r="A134" s="1" t="str">
        <x:f>IFERROR(XLOOKUP(B134,'_曲线基线'!$G$3:$G$107,'_曲线基线'!$J$3:$J$107,""),"")</x:f>
      </x:c>
      <x:c r="B134" s="1" t="n">
        <x:v>123</x:v>
      </x:c>
      <x:c r="C134" s="1" t="n">
        <x:f t="shared" si="161">C119+1</x:f>
        <x:v>9</x:v>
      </x:c>
      <x:c r="D134" s="1" t="n">
        <x:f t="shared" si="162">D119</x:f>
        <x:v>9</x:v>
      </x:c>
      <x:c r="E134" s="1" t="n">
        <x:f t="shared" si="94">IF($B134&lt;E$8,0,E$3+(E$4-E$3)*(POWER(E$5,$B134-E$8)-1)/(POWER(E$5,$C$5-E$8)-1))</x:f>
        <x:v>1</x:v>
      </x:c>
      <x:c r="F134" s="10" t="n">
        <x:f t="shared" si="95">1+IF(B134&lt;3,0,MIN(1,(B134-2)/4))+IF(B134&lt;7,0,MIN(1,(B134-6)/3))+IF(B134&lt;10,0,MIN(1,(B134-9)/5))+IF(B134&lt;20,0,MIN(1,(B134-19)/10))</x:f>
        <x:v>5</x:v>
      </x:c>
      <x:c r="G134" s="11" t="n">
        <x:f t="shared" ref="G134:L134" si="182">'玩家战力_节点'!G134</x:f>
        <x:v>0.6595296189000662</x:v>
      </x:c>
      <x:c r="H134" s="11" t="n">
        <x:f t="shared" si="182">'玩家战力_节点'!H134</x:f>
        <x:v>0.5167987837030962</x:v>
      </x:c>
      <x:c r="I134" s="11" t="n">
        <x:f t="shared" si="182">'玩家战力_节点'!I134</x:f>
        <x:v>0.35740391536388755</x:v>
      </x:c>
      <x:c r="J134" s="11" t="n">
        <x:f t="shared" si="182">'玩家战力_节点'!J134</x:f>
        <x:v>0.393423503318633</x:v>
      </x:c>
      <x:c r="K134" s="11" t="n">
        <x:f t="shared" si="182">'玩家战力_节点'!K134</x:f>
        <x:v>0.19147760975718126</x:v>
      </x:c>
      <x:c r="L134" s="11" t="n">
        <x:f t="shared" si="182">'玩家战力_节点'!L134</x:f>
        <x:v>0.5026645875395408</x:v>
      </x:c>
      <x:c r="M134" s="2" t="n">
        <x:f>E134*'模块规划'!$F$10+G134*'模块规划'!$F$11+H134*'模块规划'!$F$13</x:f>
        <x:v>4165.7421707203175</x:v>
      </x:c>
      <x:c r="N134" s="2" t="n">
        <x:f>I134*'模块规划'!$F$15+J134*'模块规划'!$F$17+K134*'模块规划'!$F$16+L134*'模块规划'!$F$18</x:f>
        <x:v>10455.654952338222</x:v>
      </x:c>
      <x:c r="O134" s="2" t="n">
        <x:f t="shared" si="97">1+O$9*SUMPRODUCT($H$10:$L$10,H134:L134)/SUM($H$10:$L$10)</x:f>
        <x:v>2.448368263753477</x:v>
      </x:c>
      <x:c r="P134" s="12" t="n">
        <x:f t="shared" si="98">M134*O134+N134</x:f>
        <x:v>20654.925878109367</x:v>
      </x:c>
      <x:c r="Q134" s="7" t="n">
        <x:f>P134/(P134+'_曲线基线'!$L$2)</x:f>
        <x:v>0.462545295327313</x:v>
      </x:c>
      <x:c r="R134" s="2" t="n">
        <x:f>E134*'模块规划'!$E$10+G134*'模块规划'!$E$11+H134*'模块规划'!$E$13</x:f>
        <x:v>6248.613256080477</x:v>
      </x:c>
      <x:c r="S134" s="2" t="n">
        <x:f>I134*'模块规划'!$E$15+J134*'模块规划'!$E$17+K134*'模块规划'!$E$16+L134*'模块规划'!$E$18</x:f>
        <x:v>15683.482428507334</x:v>
      </x:c>
      <x:c r="T134" s="2" t="n">
        <x:f t="shared" si="99">1+T$9*SUMPRODUCT($H$10:$L$10,H134:L134)/SUM($H$10:$L$10)</x:f>
        <x:v>2.448368263753477</x:v>
      </x:c>
      <x:c r="U134" s="12" t="n">
        <x:f t="shared" si="100">R134*T134+S134</x:f>
        <x:v>30982.388817164054</x:v>
      </x:c>
      <x:c r="V134" s="2" t="n">
        <x:f t="shared" si="101">V$8+(V$9-V$8)*H134</x:f>
        <x:v>0.8550396351109288</x:v>
      </x:c>
      <x:c r="W134" s="2" t="n">
        <x:f t="shared" si="102">IF(B134&lt;$H$8,0,W$8+(W$9-W$8)*H134)</x:f>
        <x:v>0.2067195134812385</x:v>
      </x:c>
      <x:c r="X134" s="2" t="n">
        <x:f t="shared" si="103">X$8+(X$9-X$8)*H134</x:f>
        <x:v>0.41711966551835145</x:v>
      </x:c>
      <x:c r="Y134" s="2" t="n">
        <x:f t="shared" si="104">Y$8+(Y$9-Y$8)*G134</x:f>
        <x:v>1</x:v>
      </x:c>
      <x:c r="Z134" s="2" t="n">
        <x:f t="shared" si="105">Z$8+(Z$9-Z$8)*H134</x:f>
        <x:v>1</x:v>
      </x:c>
      <x:c r="AA134" s="2" t="n">
        <x:f t="shared" si="106">AA$8+(AA$9-AA$8)*I134</x:f>
        <x:v>1</x:v>
      </x:c>
      <x:c r="AB134" s="2" t="n">
        <x:f t="shared" si="107">AB$8+(AB$9-AB$8)*J134</x:f>
        <x:v>1</x:v>
      </x:c>
      <x:c r="AC134" s="2" t="n">
        <x:f t="shared" si="108">AC$8+(AC$9-AC$8)*MAX(K134,L134)</x:f>
        <x:v>1</x:v>
      </x:c>
      <x:c r="AD134" s="1" t="n">
        <x:f t="shared" si="109">(V134*AE134+W134*AF134+X134*AG134)*PRODUCT(Y134:AC134)</x:f>
        <x:v>1.5998009808335967</x:v>
      </x:c>
      <x:c r="AE134" s="2" t="n">
        <x:f t="shared" si="110">1+AE$9*($H$10*H134+$I$10*I134+$J$10*J134+$K$10*K134+$L$10*L134)</x:f>
        <x:v>1</x:v>
      </x:c>
      <x:c r="AF134" s="2" t="n">
        <x:f t="shared" si="111">1+AF$9*($H$10*H134+$I$10*I134+$J$10*J134+$K$10*K134+$L$10*L134)</x:f>
        <x:v>1.1278316929142747</x:v>
      </x:c>
      <x:c r="AG134" s="2" t="n">
        <x:f t="shared" si="112">1+AG$9*($H$10*H134+$I$10*I134+$J$10*J134+$K$10*K134+$L$10*L134)</x:f>
        <x:v>1.2265461668869662</x:v>
      </x:c>
      <x:c r="AH134" s="2" t="n">
        <x:f>MIN(1,'_曲线基线'!$L$3+AH$9*($H$10*H134+$I$10*I134+$J$10*J134+$K$10*K134+$L$10*L134))</x:f>
        <x:v>0.34081710137997445</x:v>
      </x:c>
      <x:c r="AI134" s="2" t="n">
        <x:f>'_曲线基线'!$L$4+AI$9*($H$10*H134+$I$10*I134+$J$10*J134+$K$10*K134+$L$10*L134)</x:f>
        <x:v>2.810133353844215</x:v>
      </x:c>
      <x:c r="AJ134" s="2" t="n">
        <x:f t="shared" si="113">1+AJ$9*($H$10*H134+$I$10*I134+$J$10*J134+$K$10*K134+$L$10*L134)</x:f>
        <x:v>1.6647248031542274</x:v>
      </x:c>
      <x:c r="AK134" s="1" t="n">
        <x:f t="shared" si="114">(1+AH134*(AI134-1))*AJ134</x:f>
        <x:v>2.6917341581138863</x:v>
      </x:c>
      <x:c r="AL134" s="1" t="n">
        <x:f t="shared" si="115">U134*AD134*AK134*F134</x:f>
        <x:v>667087.8468684609</x:v>
      </x:c>
      <x:c r="AM134" s="13" t="n">
        <x:f t="shared" si="116">IF($B134&lt;AM$8,0,AM$3+(AM$4-AM$3)*(POWER(AM$5,$B134-AM$8)-1)/(POWER(AM$5,$C$5-AM$8)-1))</x:f>
        <x:v>38.17724265044532</x:v>
      </x:c>
      <x:c r="AN134" s="13" t="n">
        <x:f>(((E134*'模块规划'!$D$10+G134*'模块规划'!$D$11+H134*'模块规划'!$D$13)*(1+'模块规划'!$G$14*H134)+(I134*'模块规划'!$D$15+J134*'模块规划'!$D$17+K134*'模块规划'!$D$16+L134*'模块规划'!$D$18))*(1+'模块规划'!$J$17*J134))*F134/(1-Q134)</x:f>
        <x:v>1133890.1875890635</x:v>
      </x:c>
      <x:c r="AO134" s="1" t="n">
        <x:f t="shared" si="117">AL134*AM134</x:f>
        <x:v>25467574.59906034</x:v>
      </x:c>
      <x:c r="AP134" s="1" t="n">
        <x:f>IF(AO134="","",INDEX('_曲线基线'!$A$3:$A$502,MIN(ROWS('_曲线基线'!$A$3:$A$502),COUNTIF('_曲线基线'!$E$3:$E$502,"&lt;"&amp;AO134)+1)))</x:f>
        <x:v>197</x:v>
      </x:c>
      <x:c r="AQ134" s="14" t="n">
        <x:f t="shared" si="118">IF(B134&lt;=2,1,IF(B134&lt;=6,2,IF(B134&lt;=9,3,IF(B134&lt;=19,4,5))))</x:f>
        <x:v>5</x:v>
      </x:c>
      <x:c r="AR134" s="10" t="n">
        <x:f t="shared" si="119">AN134*(1-Q134)/F134*$AS$3+U134*$AS$4+P134*$AS$5</x:f>
        <x:v>9852.965458844437</x:v>
      </x:c>
      <x:c r="AS134" s="15" t="n">
        <x:f t="shared" si="120">1+AH134*$AS$6+AI134*$AS$7+(AJ134-1)*$AS$8+($H$10*H134+$I$10*I134+$J$10*J134+$K$10*K134+$L$10*L134)*$AU$3*$AS$9+($H$10*H134+$I$10*I134+$J$10*J134+$K$10*K134+$L$10*L134)*$AU$4*$AS$10</x:f>
        <x:v>12.619668900388975</x:v>
      </x:c>
      <x:c r="AT134" s="16" t="n">
        <x:f t="shared" si="121">ROUND(AR134*AS134,0)</x:f>
        <x:v>124341</x:v>
      </x:c>
      <x:c r="AU134" s="16" t="n">
        <x:f t="shared" si="122">ROUND(AT134*F134,0)</x:f>
        <x:v>621705</x:v>
      </x:c>
      <x:c r="AV134" t="n">
        <x:f>IF(AU134&gt;0,ROUND(AU134,-MAX(0,INT(LOG10(AU134))-2)),0)</x:f>
        <x:v>622000</x:v>
      </x:c>
    </x:row>
    <x:row r="135" customHeight="1">
      <x:c r="A135" s="1" t="str">
        <x:f>IFERROR(XLOOKUP(B135,'_曲线基线'!$G$3:$G$107,'_曲线基线'!$J$3:$J$107,""),"")</x:f>
      </x:c>
      <x:c r="B135" s="1" t="n">
        <x:v>124</x:v>
      </x:c>
      <x:c r="C135" s="1" t="n">
        <x:f t="shared" si="161">C120+1</x:f>
        <x:v>9</x:v>
      </x:c>
      <x:c r="D135" s="1" t="n">
        <x:f t="shared" si="162">D120</x:f>
        <x:v>10</x:v>
      </x:c>
      <x:c r="E135" s="1" t="n">
        <x:f t="shared" si="94">IF($B135&lt;E$8,0,E$3+(E$4-E$3)*(POWER(E$5,$B135-E$8)-1)/(POWER(E$5,$C$5-E$8)-1))</x:f>
        <x:v>1</x:v>
      </x:c>
      <x:c r="F135" s="10" t="n">
        <x:f t="shared" si="95">1+IF(B135&lt;3,0,MIN(1,(B135-2)/4))+IF(B135&lt;7,0,MIN(1,(B135-6)/3))+IF(B135&lt;10,0,MIN(1,(B135-9)/5))+IF(B135&lt;20,0,MIN(1,(B135-19)/10))</x:f>
        <x:v>5</x:v>
      </x:c>
      <x:c r="G135" s="11" t="n">
        <x:f t="shared" ref="G135:L135" si="183">'玩家战力_节点'!G135</x:f>
        <x:v>0.6619597294544921</x:v>
      </x:c>
      <x:c r="H135" s="11" t="n">
        <x:f t="shared" si="183">'玩家战力_节点'!H135</x:f>
        <x:v>0.5187452770192438</x:v>
      </x:c>
      <x:c r="I135" s="11" t="n">
        <x:f t="shared" si="183">'玩家战力_节点'!I135</x:f>
        <x:v>0.3612647991235507</x:v>
      </x:c>
      <x:c r="J135" s="11" t="n">
        <x:f t="shared" si="183">'玩家战力_节点'!J135</x:f>
        <x:v>0.39574510901826443</x:v>
      </x:c>
      <x:c r="K135" s="11" t="n">
        <x:f t="shared" si="183">'玩家战力_节点'!K135</x:f>
        <x:v>0.19858398183200077</x:v>
      </x:c>
      <x:c r="L135" s="11" t="n">
        <x:f t="shared" si="183">'玩家战力_节点'!L135</x:f>
        <x:v>0.5048539752231558</x:v>
      </x:c>
      <x:c r="M135" s="2" t="n">
        <x:f>E135*'模块规划'!$F$10+G135*'模块规划'!$F$11+H135*'模块规划'!$F$13</x:f>
        <x:v>4177.406701381562</x:v>
      </x:c>
      <x:c r="N135" s="2" t="n">
        <x:f>I135*'模块规划'!$F$15+J135*'模块规划'!$F$17+K135*'模块规划'!$F$16+L135*'模块规划'!$F$18</x:f>
        <x:v>10563.343250278835</x:v>
      </x:c>
      <x:c r="O135" s="2" t="n">
        <x:f t="shared" si="97">1+O$9*SUMPRODUCT($H$10:$L$10,H135:L135)/SUM($H$10:$L$10)</x:f>
        <x:v>2.4607892493103236</x:v>
      </x:c>
      <x:c r="P135" s="12" t="n">
        <x:f t="shared" si="98">M135*O135+N135</x:f>
        <x:v>20843.060751035482</x:v>
      </x:c>
      <x:c r="Q135" s="7" t="n">
        <x:f>P135/(P135+'_曲线基线'!$L$2)</x:f>
        <x:v>0.4648001363411437</x:v>
      </x:c>
      <x:c r="R135" s="2" t="n">
        <x:f>E135*'模块规划'!$E$10+G135*'模块规划'!$E$11+H135*'模块规划'!$E$13</x:f>
        <x:v>6266.110052072343</x:v>
      </x:c>
      <x:c r="S135" s="2" t="n">
        <x:f>I135*'模块规划'!$E$15+J135*'模块规划'!$E$17+K135*'模块规划'!$E$16+L135*'模块规划'!$E$18</x:f>
        <x:v>15845.014875418248</x:v>
      </x:c>
      <x:c r="T135" s="2" t="n">
        <x:f t="shared" si="99">1+T$9*SUMPRODUCT($H$10:$L$10,H135:L135)/SUM($H$10:$L$10)</x:f>
        <x:v>2.4607892493103236</x:v>
      </x:c>
      <x:c r="U135" s="12" t="n">
        <x:f t="shared" si="100">R135*T135+S135</x:f>
        <x:v>31264.59112655322</x:v>
      </x:c>
      <x:c r="V135" s="2" t="n">
        <x:f t="shared" si="101">V$8+(V$9-V$8)*H135</x:f>
        <x:v>0.8556235831057731</x:v>
      </x:c>
      <x:c r="W135" s="2" t="n">
        <x:f t="shared" si="102">IF(B135&lt;$H$8,0,W$8+(W$9-W$8)*H135)</x:f>
        <x:v>0.20749811080769753</x:v>
      </x:c>
      <x:c r="X135" s="2" t="n">
        <x:f t="shared" si="103">X$8+(X$9-X$8)*H135</x:f>
        <x:v>0.41765495118029206</x:v>
      </x:c>
      <x:c r="Y135" s="2" t="n">
        <x:f t="shared" si="104">Y$8+(Y$9-Y$8)*G135</x:f>
        <x:v>1</x:v>
      </x:c>
      <x:c r="Z135" s="2" t="n">
        <x:f t="shared" si="105">Z$8+(Z$9-Z$8)*H135</x:f>
        <x:v>1</x:v>
      </x:c>
      <x:c r="AA135" s="2" t="n">
        <x:f t="shared" si="106">AA$8+(AA$9-AA$8)*I135</x:f>
        <x:v>1</x:v>
      </x:c>
      <x:c r="AB135" s="2" t="n">
        <x:f t="shared" si="107">AB$8+(AB$9-AB$8)*J135</x:f>
        <x:v>1</x:v>
      </x:c>
      <x:c r="AC135" s="2" t="n">
        <x:f t="shared" si="108">AC$8+(AC$9-AC$8)*MAX(K135,L135)</x:f>
        <x:v>1</x:v>
      </x:c>
      <x:c r="AD135" s="1" t="n">
        <x:f t="shared" si="109">(V135*AE135+W135*AF135+X135*AG135)*PRODUCT(Y135:AC135)</x:f>
        <x:v>1.6029585117399012</x:v>
      </x:c>
      <x:c r="AE135" s="2" t="n">
        <x:f t="shared" si="110">1+AE$9*($H$10*H135+$I$10*I135+$J$10*J135+$K$10*K135+$L$10*L135)</x:f>
        <x:v>1</x:v>
      </x:c>
      <x:c r="AF135" s="2" t="n">
        <x:f t="shared" si="111">1+AF$9*($H$10*H135+$I$10*I135+$J$10*J135+$K$10*K135+$L$10*L135)</x:f>
        <x:v>1.1289279580362959</x:v>
      </x:c>
      <x:c r="AG135" s="2" t="n">
        <x:f t="shared" si="112">1+AG$9*($H$10*H135+$I$10*I135+$J$10*J135+$K$10*K135+$L$10*L135)</x:f>
        <x:v>1.2284889922976594</x:v>
      </x:c>
      <x:c r="AH135" s="2" t="n">
        <x:f>MIN(1,'_曲线基线'!$L$3+AH$9*($H$10*H135+$I$10*I135+$J$10*J135+$K$10*K135+$L$10*L135))</x:f>
        <x:v>0.34331110453257285</x:v>
      </x:c>
      <x:c r="AI135" s="2" t="n">
        <x:f>'_曲线基线'!$L$4+AI$9*($H$10*H135+$I$10*I135+$J$10*J135+$K$10*K135+$L$10*L135)</x:f>
        <x:v>2.8170809340550242</x:v>
      </x:c>
      <x:c r="AJ135" s="2" t="n">
        <x:f t="shared" si="113">1+AJ$9*($H$10*H135+$I$10*I135+$J$10*J135+$K$10*K135+$L$10*L135)</x:f>
        <x:v>1.670425381788738</x:v>
      </x:c>
      <x:c r="AK135" s="1" t="n">
        <x:f t="shared" si="114">(1+AH135*(AI135-1))*AJ135</x:f>
        <x:v>2.712476929551801</x:v>
      </x:c>
      <x:c r="AL135" s="1" t="n">
        <x:f t="shared" si="115">U135*AD135*AK135*F135</x:f>
        <x:v>679690.3324212407</x:v>
      </x:c>
      <x:c r="AM135" s="13" t="n">
        <x:f t="shared" si="116">IF($B135&lt;AM$8,0,AM$3+(AM$4-AM$3)*(POWER(AM$5,$B135-AM$8)-1)/(POWER(AM$5,$C$5-AM$8)-1))</x:f>
        <x:v>38.22243971687164</x:v>
      </x:c>
      <x:c r="AN135" s="13" t="n">
        <x:f>(((E135*'模块规划'!$D$10+G135*'模块规划'!$D$11+H135*'模块规划'!$D$13)*(1+'模块规划'!$G$14*H135)+(I135*'模块规划'!$D$15+J135*'模块规划'!$D$17+K135*'模块规划'!$D$16+L135*'模块规划'!$D$18))*(1+'模块规划'!$J$17*J135))*F135/(1-Q135)</x:f>
        <x:v>1149922.9798053678</x:v>
      </x:c>
      <x:c r="AO135" s="1" t="n">
        <x:f t="shared" si="117">AL135*AM135</x:f>
        <x:v>25979422.757111322</x:v>
      </x:c>
      <x:c r="AP135" s="1" t="n">
        <x:f>IF(AO135="","",INDEX('_曲线基线'!$A$3:$A$502,MIN(ROWS('_曲线基线'!$A$3:$A$502),COUNTIF('_曲线基线'!$E$3:$E$502,"&lt;"&amp;AO135)+1)))</x:f>
        <x:v>198</x:v>
      </x:c>
      <x:c r="AQ135" s="14" t="n">
        <x:f t="shared" si="118">IF(B135&lt;=2,1,IF(B135&lt;=6,2,IF(B135&lt;=9,3,IF(B135&lt;=19,4,5))))</x:f>
        <x:v>5</x:v>
      </x:c>
      <x:c r="AR135" s="10" t="n">
        <x:f t="shared" si="119">AN135*(1-Q135)/F135*$AS$3+U135*$AS$4+P135*$AS$5</x:f>
        <x:v>9945.549957370757</x:v>
      </x:c>
      <x:c r="AS135" s="15" t="n">
        <x:f t="shared" si="120">1+AH135*$AS$6+AI135*$AS$7+(AJ135-1)*$AS$8+($H$10*H135+$I$10*I135+$J$10*J135+$K$10*K135+$L$10*L135)*$AU$3*$AS$9+($H$10*H135+$I$10*I135+$J$10*J135+$K$10*K135+$L$10*L135)*$AU$4*$AS$10</x:f>
        <x:v>12.68517198706099</x:v>
      </x:c>
      <x:c r="AT135" s="16" t="n">
        <x:f t="shared" si="121">ROUND(AR135*AS135,0)</x:f>
        <x:v>126161</x:v>
      </x:c>
      <x:c r="AU135" s="16" t="n">
        <x:f t="shared" si="122">ROUND(AT135*F135,0)</x:f>
        <x:v>630805</x:v>
      </x:c>
      <x:c r="AV135" t="n">
        <x:f>IF(AU135&gt;0,ROUND(AU135,-MAX(0,INT(LOG10(AU135))-2)),0)</x:f>
        <x:v>631000</x:v>
      </x:c>
    </x:row>
    <x:row r="136" customHeight="1">
      <x:c r="A136" s="1" t="str">
        <x:f>IFERROR(XLOOKUP(B136,'_曲线基线'!$G$3:$G$107,'_曲线基线'!$J$3:$J$107,""),"")</x:f>
      </x:c>
      <x:c r="B136" s="1" t="n">
        <x:v>125</x:v>
      </x:c>
      <x:c r="C136" s="1" t="n">
        <x:f t="shared" si="161">C121+1</x:f>
        <x:v>9</x:v>
      </x:c>
      <x:c r="D136" s="1" t="n">
        <x:f t="shared" si="162">D121</x:f>
        <x:v>11</x:v>
      </x:c>
      <x:c r="E136" s="1" t="n">
        <x:f t="shared" si="94">IF($B136&lt;E$8,0,E$3+(E$4-E$3)*(POWER(E$5,$B136-E$8)-1)/(POWER(E$5,$C$5-E$8)-1))</x:f>
        <x:v>1</x:v>
      </x:c>
      <x:c r="F136" s="10" t="n">
        <x:f t="shared" si="95">1+IF(B136&lt;3,0,MIN(1,(B136-2)/4))+IF(B136&lt;7,0,MIN(1,(B136-6)/3))+IF(B136&lt;10,0,MIN(1,(B136-9)/5))+IF(B136&lt;20,0,MIN(1,(B136-19)/10))</x:f>
        <x:v>5</x:v>
      </x:c>
      <x:c r="G136" s="11" t="n">
        <x:f t="shared" ref="G136:L136" si="184">'玩家战力_节点'!G136</x:f>
        <x:v>0.6643898400089179</x:v>
      </x:c>
      <x:c r="H136" s="11" t="n">
        <x:f t="shared" si="184">'玩家战力_节点'!H136</x:f>
        <x:v>0.5206917703353914</x:v>
      </x:c>
      <x:c r="I136" s="11" t="n">
        <x:f t="shared" si="184">'玩家战力_节点'!I136</x:f>
        <x:v>0.36512568288321373</x:v>
      </x:c>
      <x:c r="J136" s="11" t="n">
        <x:f t="shared" si="184">'玩家战力_节点'!J136</x:f>
        <x:v>0.39806671471789584</x:v>
      </x:c>
      <x:c r="K136" s="11" t="n">
        <x:f t="shared" si="184">'玩家战力_节点'!K136</x:f>
        <x:v>0.20569035390682033</x:v>
      </x:c>
      <x:c r="L136" s="11" t="n">
        <x:f t="shared" si="184">'玩家战力_节点'!L136</x:f>
        <x:v>0.5070433629067708</x:v>
      </x:c>
      <x:c r="M136" s="2" t="n">
        <x:f>E136*'模块规划'!$F$10+G136*'模块规划'!$F$11+H136*'模块规划'!$F$13</x:f>
        <x:v>4189.071232042806</x:v>
      </x:c>
      <x:c r="N136" s="2" t="n">
        <x:f>I136*'模块规划'!$F$15+J136*'模块规划'!$F$17+K136*'模块规划'!$F$16+L136*'模块规划'!$F$18</x:f>
        <x:v>10671.031548219444</x:v>
      </x:c>
      <x:c r="O136" s="2" t="n">
        <x:f t="shared" si="97">1+O$9*SUMPRODUCT($H$10:$L$10,H136:L136)/SUM($H$10:$L$10)</x:f>
        <x:v>2.473210234867171</x:v>
      </x:c>
      <x:c r="P136" s="12" t="n">
        <x:f t="shared" si="98">M136*O136+N136</x:f>
        <x:v>21031.48539389534</x:v>
      </x:c>
      <x:c r="Q136" s="7" t="n">
        <x:f>P136/(P136+'_曲线基线'!$L$2)</x:f>
        <x:v>0.4670395659821263</x:v>
      </x:c>
      <x:c r="R136" s="2" t="n">
        <x:f>E136*'模块规划'!$E$10+G136*'模块规划'!$E$11+H136*'模块规划'!$E$13</x:f>
        <x:v>6283.606848064209</x:v>
      </x:c>
      <x:c r="S136" s="2" t="n">
        <x:f>I136*'模块规划'!$E$15+J136*'模块规划'!$E$17+K136*'模块规划'!$E$16+L136*'模块规划'!$E$18</x:f>
        <x:v>16006.547322329165</x:v>
      </x:c>
      <x:c r="T136" s="2" t="n">
        <x:f t="shared" si="99">1+T$9*SUMPRODUCT($H$10:$L$10,H136:L136)/SUM($H$10:$L$10)</x:f>
        <x:v>2.473210234867171</x:v>
      </x:c>
      <x:c r="U136" s="12" t="n">
        <x:f t="shared" si="100">R136*T136+S136</x:f>
        <x:v>31547.22809084301</x:v>
      </x:c>
      <x:c r="V136" s="2" t="n">
        <x:f t="shared" si="101">V$8+(V$9-V$8)*H136</x:f>
        <x:v>0.8562075311006174</x:v>
      </x:c>
      <x:c r="W136" s="2" t="n">
        <x:f t="shared" si="102">IF(B136&lt;$H$8,0,W$8+(W$9-W$8)*H136)</x:f>
        <x:v>0.20827670813415655</x:v>
      </x:c>
      <x:c r="X136" s="2" t="n">
        <x:f t="shared" si="103">X$8+(X$9-X$8)*H136</x:f>
        <x:v>0.41819023684223267</x:v>
      </x:c>
      <x:c r="Y136" s="2" t="n">
        <x:f t="shared" si="104">Y$8+(Y$9-Y$8)*G136</x:f>
        <x:v>1</x:v>
      </x:c>
      <x:c r="Z136" s="2" t="n">
        <x:f t="shared" si="105">Z$8+(Z$9-Z$8)*H136</x:f>
        <x:v>1</x:v>
      </x:c>
      <x:c r="AA136" s="2" t="n">
        <x:f t="shared" si="106">AA$8+(AA$9-AA$8)*I136</x:f>
        <x:v>1</x:v>
      </x:c>
      <x:c r="AB136" s="2" t="n">
        <x:f t="shared" si="107">AB$8+(AB$9-AB$8)*J136</x:f>
        <x:v>1</x:v>
      </x:c>
      <x:c r="AC136" s="2" t="n">
        <x:f t="shared" si="108">AC$8+(AC$9-AC$8)*MAX(K136,L136)</x:f>
        <x:v>1</x:v>
      </x:c>
      <x:c r="AD136" s="1" t="n">
        <x:f t="shared" si="109">(V136*AE136+W136*AF136+X136*AG136)*PRODUCT(Y136:AC136)</x:f>
        <x:v>1.606119829677564</x:v>
      </x:c>
      <x:c r="AE136" s="2" t="n">
        <x:f t="shared" si="110">1+AE$9*($H$10*H136+$I$10*I136+$J$10*J136+$K$10*K136+$L$10*L136)</x:f>
        <x:v>1</x:v>
      </x:c>
      <x:c r="AF136" s="2" t="n">
        <x:f t="shared" si="111">1+AF$9*($H$10*H136+$I$10*I136+$J$10*J136+$K$10*K136+$L$10*L136)</x:f>
        <x:v>1.1300242231583173</x:v>
      </x:c>
      <x:c r="AG136" s="2" t="n">
        <x:f t="shared" si="112">1+AG$9*($H$10*H136+$I$10*I136+$J$10*J136+$K$10*K136+$L$10*L136)</x:f>
        <x:v>1.2304318177083529</x:v>
      </x:c>
      <x:c r="AH136" s="2" t="n">
        <x:f>MIN(1,'_曲线基线'!$L$3+AH$9*($H$10*H136+$I$10*I136+$J$10*J136+$K$10*K136+$L$10*L136))</x:f>
        <x:v>0.34580510768517125</x:v>
      </x:c>
      <x:c r="AI136" s="2" t="n">
        <x:f>'_曲线基线'!$L$4+AI$9*($H$10*H136+$I$10*I136+$J$10*J136+$K$10*K136+$L$10*L136)</x:f>
        <x:v>2.8240285142658346</x:v>
      </x:c>
      <x:c r="AJ136" s="2" t="n">
        <x:f t="shared" si="113">1+AJ$9*($H$10*H136+$I$10*I136+$J$10*J136+$K$10*K136+$L$10*L136)</x:f>
        <x:v>1.6761259604232488</x:v>
      </x:c>
      <x:c r="AK136" s="1" t="n">
        <x:f t="shared" si="114">(1+AH136*(AI136-1))*AJ136</x:f>
        <x:v>2.7333564505263253</x:v>
      </x:c>
      <x:c r="AL136" s="1" t="n">
        <x:f t="shared" si="115">U136*AD136*AK136*F136</x:f>
        <x:v>692477.1142258728</x:v>
      </x:c>
      <x:c r="AM136" s="13" t="n">
        <x:f t="shared" si="116">IF($B136&lt;AM$8,0,AM$3+(AM$4-AM$3)*(POWER(AM$5,$B136-AM$8)-1)/(POWER(AM$5,$C$5-AM$8)-1))</x:f>
        <x:v>38.268088753962225</x:v>
      </x:c>
      <x:c r="AN136" s="13" t="n">
        <x:f>(((E136*'模块规划'!$D$10+G136*'模块规划'!$D$11+H136*'模块规划'!$D$13)*(1+'模块规划'!$G$14*H136)+(I136*'模块规划'!$D$15+J136*'模块规划'!$D$17+K136*'模块规划'!$D$16+L136*'模块规划'!$D$18))*(1+'模块规划'!$J$17*J136))*F136/(1-Q136)</x:f>
        <x:v>1166095.0771794813</x:v>
      </x:c>
      <x:c r="AO136" s="1" t="n">
        <x:f t="shared" si="117">AL136*AM136</x:f>
        <x:v>26499775.667283338</x:v>
      </x:c>
      <x:c r="AP136" s="1" t="n">
        <x:f>IF(AO136="","",INDEX('_曲线基线'!$A$3:$A$502,MIN(ROWS('_曲线基线'!$A$3:$A$502),COUNTIF('_曲线基线'!$E$3:$E$502,"&lt;"&amp;AO136)+1)))</x:f>
        <x:v>199</x:v>
      </x:c>
      <x:c r="AQ136" s="14" t="n">
        <x:f t="shared" si="118">IF(B136&lt;=2,1,IF(B136&lt;=6,2,IF(B136&lt;=9,3,IF(B136&lt;=19,4,5))))</x:f>
        <x:v>5</x:v>
      </x:c>
      <x:c r="AR136" s="10" t="n">
        <x:f t="shared" si="119">AN136*(1-Q136)/F136*$AS$3+U136*$AS$4+P136*$AS$5</x:f>
        <x:v>10038.340848806696</x:v>
      </x:c>
      <x:c r="AS136" s="15" t="n">
        <x:f t="shared" si="120">1+AH136*$AS$6+AI136*$AS$7+(AJ136-1)*$AS$8+($H$10*H136+$I$10*I136+$J$10*J136+$K$10*K136+$L$10*L136)*$AU$3*$AS$9+($H$10*H136+$I$10*I136+$J$10*J136+$K$10*K136+$L$10*L136)*$AU$4*$AS$10</x:f>
        <x:v>12.75067507373301</x:v>
      </x:c>
      <x:c r="AT136" s="16" t="n">
        <x:f t="shared" si="121">ROUND(AR136*AS136,0)</x:f>
        <x:v>127996</x:v>
      </x:c>
      <x:c r="AU136" s="16" t="n">
        <x:f t="shared" si="122">ROUND(AT136*F136,0)</x:f>
        <x:v>639980</x:v>
      </x:c>
      <x:c r="AV136" t="n">
        <x:f>IF(AU136&gt;0,ROUND(AU136,-MAX(0,INT(LOG10(AU136))-2)),0)</x:f>
        <x:v>640000</x:v>
      </x:c>
    </x:row>
    <x:row r="137" customHeight="1">
      <x:c r="A137" s="1" t="str">
        <x:f>IFERROR(XLOOKUP(B137,'_曲线基线'!$G$3:$G$107,'_曲线基线'!$J$3:$J$107,""),"")</x:f>
      </x:c>
      <x:c r="B137" s="1" t="n">
        <x:v>126</x:v>
      </x:c>
      <x:c r="C137" s="1" t="n">
        <x:f t="shared" si="161">C122+1</x:f>
        <x:v>9</x:v>
      </x:c>
      <x:c r="D137" s="1" t="n">
        <x:f t="shared" si="162">D122</x:f>
        <x:v>12</x:v>
      </x:c>
      <x:c r="E137" s="1" t="n">
        <x:f t="shared" si="94">IF($B137&lt;E$8,0,E$3+(E$4-E$3)*(POWER(E$5,$B137-E$8)-1)/(POWER(E$5,$C$5-E$8)-1))</x:f>
        <x:v>1</x:v>
      </x:c>
      <x:c r="F137" s="10" t="n">
        <x:f t="shared" si="95">1+IF(B137&lt;3,0,MIN(1,(B137-2)/4))+IF(B137&lt;7,0,MIN(1,(B137-6)/3))+IF(B137&lt;10,0,MIN(1,(B137-9)/5))+IF(B137&lt;20,0,MIN(1,(B137-19)/10))</x:f>
        <x:v>5</x:v>
      </x:c>
      <x:c r="G137" s="11" t="n">
        <x:f t="shared" ref="G137:L137" si="185">'玩家战力_节点'!G137</x:f>
        <x:v>0.6668199505633438</x:v>
      </x:c>
      <x:c r="H137" s="11" t="n">
        <x:f t="shared" si="185">'玩家战力_节点'!H137</x:f>
        <x:v>0.522638263651539</x:v>
      </x:c>
      <x:c r="I137" s="11" t="n">
        <x:f t="shared" si="185">'玩家战力_节点'!I137</x:f>
        <x:v>0.3689865666428769</x:v>
      </x:c>
      <x:c r="J137" s="11" t="n">
        <x:f t="shared" si="185">'玩家战力_节点'!J137</x:f>
        <x:v>0.4003883204175272</x:v>
      </x:c>
      <x:c r="K137" s="11" t="n">
        <x:f t="shared" si="185">'玩家战力_节点'!K137</x:f>
        <x:v>0.21279672598163984</x:v>
      </x:c>
      <x:c r="L137" s="11" t="n">
        <x:f t="shared" si="185">'玩家战力_节点'!L137</x:f>
        <x:v>0.5092327505903859</x:v>
      </x:c>
      <x:c r="M137" s="2" t="n">
        <x:f>E137*'模块规划'!$F$10+G137*'模块规划'!$F$11+H137*'模块规划'!$F$13</x:f>
        <x:v>4200.73576270405</x:v>
      </x:c>
      <x:c r="N137" s="2" t="n">
        <x:f>I137*'模块规划'!$F$15+J137*'模块规划'!$F$17+K137*'模块规划'!$F$16+L137*'模块规划'!$F$18</x:f>
        <x:v>10778.719846160056</x:v>
      </x:c>
      <x:c r="O137" s="2" t="n">
        <x:f t="shared" si="97">1+O$9*SUMPRODUCT($H$10:$L$10,H137:L137)/SUM($H$10:$L$10)</x:f>
        <x:v>2.4856312204240174</x:v>
      </x:c>
      <x:c r="P137" s="12" t="n">
        <x:f t="shared" si="98">M137*O137+N137</x:f>
        <x:v>21220.199806688943</x:v>
      </x:c>
      <x:c r="Q137" s="7" t="n">
        <x:f>P137/(P137+'_曲线基线'!$L$2)</x:f>
        <x:v>0.46926373384909426</x:v>
      </x:c>
      <x:c r="R137" s="2" t="n">
        <x:f>E137*'模块规划'!$E$10+G137*'模块规划'!$E$11+H137*'模块规划'!$E$13</x:f>
        <x:v>6301.103644056075</x:v>
      </x:c>
      <x:c r="S137" s="2" t="n">
        <x:f>I137*'模块规划'!$E$15+J137*'模块规划'!$E$17+K137*'模块规划'!$E$16+L137*'模块规划'!$E$18</x:f>
        <x:v>16168.079769240085</x:v>
      </x:c>
      <x:c r="T137" s="2" t="n">
        <x:f t="shared" si="99">1+T$9*SUMPRODUCT($H$10:$L$10,H137:L137)/SUM($H$10:$L$10)</x:f>
        <x:v>2.4856312204240174</x:v>
      </x:c>
      <x:c r="U137" s="12" t="n">
        <x:f t="shared" si="100">R137*T137+S137</x:f>
        <x:v>31830.29971003341</x:v>
      </x:c>
      <x:c r="V137" s="2" t="n">
        <x:f t="shared" si="101">V$8+(V$9-V$8)*H137</x:f>
        <x:v>0.8567914790954616</x:v>
      </x:c>
      <x:c r="W137" s="2" t="n">
        <x:f t="shared" si="102">IF(B137&lt;$H$8,0,W$8+(W$9-W$8)*H137)</x:f>
        <x:v>0.2090553054606156</x:v>
      </x:c>
      <x:c r="X137" s="2" t="n">
        <x:f t="shared" si="103">X$8+(X$9-X$8)*H137</x:f>
        <x:v>0.4187255225041733</x:v>
      </x:c>
      <x:c r="Y137" s="2" t="n">
        <x:f t="shared" si="104">Y$8+(Y$9-Y$8)*G137</x:f>
        <x:v>1</x:v>
      </x:c>
      <x:c r="Z137" s="2" t="n">
        <x:f t="shared" si="105">Z$8+(Z$9-Z$8)*H137</x:f>
        <x:v>1</x:v>
      </x:c>
      <x:c r="AA137" s="2" t="n">
        <x:f t="shared" si="106">AA$8+(AA$9-AA$8)*I137</x:f>
        <x:v>1</x:v>
      </x:c>
      <x:c r="AB137" s="2" t="n">
        <x:f t="shared" si="107">AB$8+(AB$9-AB$8)*J137</x:f>
        <x:v>1</x:v>
      </x:c>
      <x:c r="AC137" s="2" t="n">
        <x:f t="shared" si="108">AC$8+(AC$9-AC$8)*MAX(K137,L137)</x:f>
        <x:v>1</x:v>
      </x:c>
      <x:c r="AD137" s="1" t="n">
        <x:f t="shared" si="109">(V137*AE137+W137*AF137+X137*AG137)*PRODUCT(Y137:AC137)</x:f>
        <x:v>1.6092849346465852</x:v>
      </x:c>
      <x:c r="AE137" s="2" t="n">
        <x:f t="shared" si="110">1+AE$9*($H$10*H137+$I$10*I137+$J$10*J137+$K$10*K137+$L$10*L137)</x:f>
        <x:v>1</x:v>
      </x:c>
      <x:c r="AF137" s="2" t="n">
        <x:f t="shared" si="111">1+AF$9*($H$10*H137+$I$10*I137+$J$10*J137+$K$10*K137+$L$10*L137)</x:f>
        <x:v>1.1311204882803385</x:v>
      </x:c>
      <x:c r="AG137" s="2" t="n">
        <x:f t="shared" si="112">1+AG$9*($H$10*H137+$I$10*I137+$J$10*J137+$K$10*K137+$L$10*L137)</x:f>
        <x:v>1.232374643119046</x:v>
      </x:c>
      <x:c r="AH137" s="2" t="n">
        <x:f>MIN(1,'_曲线基线'!$L$3+AH$9*($H$10*H137+$I$10*I137+$J$10*J137+$K$10*K137+$L$10*L137))</x:f>
        <x:v>0.34829911083776965</x:v>
      </x:c>
      <x:c r="AI137" s="2" t="n">
        <x:f>'_曲线基线'!$L$4+AI$9*($H$10*H137+$I$10*I137+$J$10*J137+$K$10*K137+$L$10*L137)</x:f>
        <x:v>2.830976094476644</x:v>
      </x:c>
      <x:c r="AJ137" s="2" t="n">
        <x:f t="shared" si="113">1+AJ$9*($H$10*H137+$I$10*I137+$J$10*J137+$K$10*K137+$L$10*L137)</x:f>
        <x:v>1.6818265390577594</x:v>
      </x:c>
      <x:c r="AK137" s="1" t="n">
        <x:f t="shared" si="114">(1+AH137*(AI137-1))*AJ137</x:f>
        <x:v>2.7543733136908273</x:v>
      </x:c>
      <x:c r="AL137" s="1" t="n">
        <x:f t="shared" si="115">U137*AD137*AK137*F137</x:f>
        <x:v>705450.3931727696</x:v>
      </x:c>
      <x:c r="AM137" s="13" t="n">
        <x:f t="shared" si="116">IF($B137&lt;AM$8,0,AM$3+(AM$4-AM$3)*(POWER(AM$5,$B137-AM$8)-1)/(POWER(AM$5,$C$5-AM$8)-1))</x:f>
        <x:v>38.31419428142372</x:v>
      </x:c>
      <x:c r="AN137" s="13" t="n">
        <x:f>(((E137*'模块规划'!$D$10+G137*'模块规划'!$D$11+H137*'模块规划'!$D$13)*(1+'模块规划'!$G$14*H137)+(I137*'模块规划'!$D$15+J137*'模块规划'!$D$17+K137*'模块规划'!$D$16+L137*'模块规划'!$D$18))*(1+'模块规划'!$J$17*J137))*F137/(1-Q137)</x:f>
        <x:v>1182407.1836685536</x:v>
      </x:c>
      <x:c r="AO137" s="1" t="n">
        <x:f t="shared" si="117">AL137*AM137</x:f>
        <x:v>27028763.41992824</x:v>
      </x:c>
      <x:c r="AP137" s="1" t="n">
        <x:f>IF(AO137="","",INDEX('_曲线基线'!$A$3:$A$502,MIN(ROWS('_曲线基线'!$A$3:$A$502),COUNTIF('_曲线基线'!$E$3:$E$502,"&lt;"&amp;AO137)+1)))</x:f>
        <x:v>201</x:v>
      </x:c>
      <x:c r="AQ137" s="14" t="n">
        <x:f t="shared" si="118">IF(B137&lt;=2,1,IF(B137&lt;=6,2,IF(B137&lt;=9,3,IF(B137&lt;=19,4,5))))</x:f>
        <x:v>5</x:v>
      </x:c>
      <x:c r="AR137" s="10" t="n">
        <x:f t="shared" si="119">AN137*(1-Q137)/F137*$AS$3+U137*$AS$4+P137*$AS$5</x:f>
        <x:v>10131.33818438822</x:v>
      </x:c>
      <x:c r="AS137" s="15" t="n">
        <x:f t="shared" si="120">1+AH137*$AS$6+AI137*$AS$7+(AJ137-1)*$AS$8+($H$10*H137+$I$10*I137+$J$10*J137+$K$10*K137+$L$10*L137)*$AU$3*$AS$9+($H$10*H137+$I$10*I137+$J$10*J137+$K$10*K137+$L$10*L137)*$AU$4*$AS$10</x:f>
        <x:v>12.816178160405022</x:v>
      </x:c>
      <x:c r="AT137" s="16" t="n">
        <x:f t="shared" si="121">ROUND(AR137*AS137,0)</x:f>
        <x:v>129845</x:v>
      </x:c>
      <x:c r="AU137" s="16" t="n">
        <x:f t="shared" si="122">ROUND(AT137*F137,0)</x:f>
        <x:v>649225</x:v>
      </x:c>
      <x:c r="AV137" t="n">
        <x:f>IF(AU137&gt;0,ROUND(AU137,-MAX(0,INT(LOG10(AU137))-2)),0)</x:f>
        <x:v>649000</x:v>
      </x:c>
    </x:row>
    <x:row r="138" customHeight="1">
      <x:c r="A138" s="1" t="str">
        <x:f>IFERROR(XLOOKUP(B138,'_曲线基线'!$G$3:$G$107,'_曲线基线'!$J$3:$J$107,""),"")</x:f>
      </x:c>
      <x:c r="B138" s="1" t="n">
        <x:v>127</x:v>
      </x:c>
      <x:c r="C138" s="1" t="n">
        <x:f t="shared" si="161">C123+1</x:f>
        <x:v>9</x:v>
      </x:c>
      <x:c r="D138" s="1" t="n">
        <x:f t="shared" si="162">D123</x:f>
        <x:v>13</x:v>
      </x:c>
      <x:c r="E138" s="1" t="n">
        <x:f t="shared" si="94">IF($B138&lt;E$8,0,E$3+(E$4-E$3)*(POWER(E$5,$B138-E$8)-1)/(POWER(E$5,$C$5-E$8)-1))</x:f>
        <x:v>1</x:v>
      </x:c>
      <x:c r="F138" s="10" t="n">
        <x:f t="shared" si="95">1+IF(B138&lt;3,0,MIN(1,(B138-2)/4))+IF(B138&lt;7,0,MIN(1,(B138-6)/3))+IF(B138&lt;10,0,MIN(1,(B138-9)/5))+IF(B138&lt;20,0,MIN(1,(B138-19)/10))</x:f>
        <x:v>5</x:v>
      </x:c>
      <x:c r="G138" s="11" t="n">
        <x:f t="shared" ref="G138:L138" si="186">'玩家战力_节点'!G138</x:f>
        <x:v>0.6692500611177694</x:v>
      </x:c>
      <x:c r="H138" s="11" t="n">
        <x:f t="shared" si="186">'玩家战力_节点'!H138</x:f>
        <x:v>0.5245847569676866</x:v>
      </x:c>
      <x:c r="I138" s="11" t="n">
        <x:f t="shared" si="186">'玩家战力_节点'!I138</x:f>
        <x:v>0.3728474504025399</x:v>
      </x:c>
      <x:c r="J138" s="11" t="n">
        <x:f t="shared" si="186">'玩家战力_节点'!J138</x:f>
        <x:v>0.40270992611715856</x:v>
      </x:c>
      <x:c r="K138" s="11" t="n">
        <x:f t="shared" si="186">'玩家战力_节点'!K138</x:f>
        <x:v>0.21990309805645938</x:v>
      </x:c>
      <x:c r="L138" s="11" t="n">
        <x:f t="shared" si="186">'玩家战力_节点'!L138</x:f>
        <x:v>0.5114221382740008</x:v>
      </x:c>
      <x:c r="M138" s="2" t="n">
        <x:f>E138*'模块规划'!$F$10+G138*'模块规划'!$F$11+H138*'模块规划'!$F$13</x:f>
        <x:v>4212.400293365294</x:v>
      </x:c>
      <x:c r="N138" s="2" t="n">
        <x:f>I138*'模块规划'!$F$15+J138*'模块规划'!$F$17+K138*'模块规划'!$F$16+L138*'模块规划'!$F$18</x:f>
        <x:v>10886.408144100666</x:v>
      </x:c>
      <x:c r="O138" s="2" t="n">
        <x:f t="shared" si="97">1+O$9*SUMPRODUCT($H$10:$L$10,H138:L138)/SUM($H$10:$L$10)</x:f>
        <x:v>2.4980522059808634</x:v>
      </x:c>
      <x:c r="P138" s="12" t="n">
        <x:f t="shared" si="98">M138*O138+N138</x:f>
        <x:v>21409.203989416274</x:v>
      </x:c>
      <x:c r="Q138" s="7" t="n">
        <x:f>P138/(P138+'_曲线基线'!$L$2)</x:f>
        <x:v>0.47147278764028133</x:v>
      </x:c>
      <x:c r="R138" s="2" t="n">
        <x:f>E138*'模块规划'!$E$10+G138*'模块规划'!$E$11+H138*'模块规划'!$E$13</x:f>
        <x:v>6318.60044004794</x:v>
      </x:c>
      <x:c r="S138" s="2" t="n">
        <x:f>I138*'模块规划'!$E$15+J138*'模块规划'!$E$17+K138*'模块规划'!$E$16+L138*'模块规划'!$E$18</x:f>
        <x:v>16329.612216150996</x:v>
      </x:c>
      <x:c r="T138" s="2" t="n">
        <x:f t="shared" si="99">1+T$9*SUMPRODUCT($H$10:$L$10,H138:L138)/SUM($H$10:$L$10)</x:f>
        <x:v>2.4980522059808634</x:v>
      </x:c>
      <x:c r="U138" s="12" t="n">
        <x:f t="shared" si="100">R138*T138+S138</x:f>
        <x:v>32113.805984124403</x:v>
      </x:c>
      <x:c r="V138" s="2" t="n">
        <x:f t="shared" si="101">V$8+(V$9-V$8)*H138</x:f>
        <x:v>0.857375427090306</x:v>
      </x:c>
      <x:c r="W138" s="2" t="n">
        <x:f t="shared" si="102">IF(B138&lt;$H$8,0,W$8+(W$9-W$8)*H138)</x:f>
        <x:v>0.20983390278707464</x:v>
      </x:c>
      <x:c r="X138" s="2" t="n">
        <x:f t="shared" si="103">X$8+(X$9-X$8)*H138</x:f>
        <x:v>0.4192608081661139</x:v>
      </x:c>
      <x:c r="Y138" s="2" t="n">
        <x:f t="shared" si="104">Y$8+(Y$9-Y$8)*G138</x:f>
        <x:v>1</x:v>
      </x:c>
      <x:c r="Z138" s="2" t="n">
        <x:f t="shared" si="105">Z$8+(Z$9-Z$8)*H138</x:f>
        <x:v>1</x:v>
      </x:c>
      <x:c r="AA138" s="2" t="n">
        <x:f t="shared" si="106">AA$8+(AA$9-AA$8)*I138</x:f>
        <x:v>1</x:v>
      </x:c>
      <x:c r="AB138" s="2" t="n">
        <x:f t="shared" si="107">AB$8+(AB$9-AB$8)*J138</x:f>
        <x:v>1</x:v>
      </x:c>
      <x:c r="AC138" s="2" t="n">
        <x:f t="shared" si="108">AC$8+(AC$9-AC$8)*MAX(K138,L138)</x:f>
        <x:v>1</x:v>
      </x:c>
      <x:c r="AD138" s="1" t="n">
        <x:f t="shared" si="109">(V138*AE138+W138*AF138+X138*AG138)*PRODUCT(Y138:AC138)</x:f>
        <x:v>1.6124538266469643</x:v>
      </x:c>
      <x:c r="AE138" s="2" t="n">
        <x:f t="shared" si="110">1+AE$9*($H$10*H138+$I$10*I138+$J$10*J138+$K$10*K138+$L$10*L138)</x:f>
        <x:v>1</x:v>
      </x:c>
      <x:c r="AF138" s="2" t="n">
        <x:f t="shared" si="111">1+AF$9*($H$10*H138+$I$10*I138+$J$10*J138+$K$10*K138+$L$10*L138)</x:f>
        <x:v>1.1322167534023597</x:v>
      </x:c>
      <x:c r="AG138" s="2" t="n">
        <x:f t="shared" si="112">1+AG$9*($H$10*H138+$I$10*I138+$J$10*J138+$K$10*K138+$L$10*L138)</x:f>
        <x:v>1.2343174685297393</x:v>
      </x:c>
      <x:c r="AH138" s="2" t="n">
        <x:f>MIN(1,'_曲线基线'!$L$3+AH$9*($H$10*H138+$I$10*I138+$J$10*J138+$K$10*K138+$L$10*L138))</x:f>
        <x:v>0.350793113990368</x:v>
      </x:c>
      <x:c r="AI138" s="2" t="n">
        <x:f>'_曲线基线'!$L$4+AI$9*($H$10*H138+$I$10*I138+$J$10*J138+$K$10*K138+$L$10*L138)</x:f>
        <x:v>2.837923674687454</x:v>
      </x:c>
      <x:c r="AJ138" s="2" t="n">
        <x:f t="shared" si="113">1+AJ$9*($H$10*H138+$I$10*I138+$J$10*J138+$K$10*K138+$L$10*L138)</x:f>
        <x:v>1.68752711769227</x:v>
      </x:c>
      <x:c r="AK138" s="1" t="n">
        <x:f t="shared" si="114">(1+AH138*(AI138-1))*AJ138</x:f>
        <x:v>2.775528111698679</x:v>
      </x:c>
      <x:c r="AL138" s="1" t="n">
        <x:f t="shared" si="115">U138*AD138*AK138*F138</x:f>
        <x:v>718612.3906711799</x:v>
      </x:c>
      <x:c r="AM138" s="13" t="n">
        <x:f t="shared" si="116">IF($B138&lt;AM$8,0,AM$3+(AM$4-AM$3)*(POWER(AM$5,$B138-AM$8)-1)/(POWER(AM$5,$C$5-AM$8)-1))</x:f>
        <x:v>38.36076086415982</x:v>
      </x:c>
      <x:c r="AN138" s="13" t="n">
        <x:f>(((E138*'模块规划'!$D$10+G138*'模块规划'!$D$11+H138*'模块规划'!$D$13)*(1+'模块规划'!$G$14*H138)+(I138*'模块规划'!$D$15+J138*'模块规划'!$D$17+K138*'模块规划'!$D$16+L138*'模块规划'!$D$18))*(1+'模块规划'!$J$17*J138))*F138/(1-Q138)</x:f>
        <x:v>1198860.0049410807</x:v>
      </x:c>
      <x:c r="AO138" s="1" t="n">
        <x:f t="shared" si="117">AL138*AM138</x:f>
        <x:v>27566518.072559327</x:v>
      </x:c>
      <x:c r="AP138" s="1" t="n">
        <x:f>IF(AO138="","",INDEX('_曲线基线'!$A$3:$A$502,MIN(ROWS('_曲线基线'!$A$3:$A$502),COUNTIF('_曲线基线'!$E$3:$E$502,"&lt;"&amp;AO138)+1)))</x:f>
        <x:v>202</x:v>
      </x:c>
      <x:c r="AQ138" s="14" t="n">
        <x:f t="shared" si="118">IF(B138&lt;=2,1,IF(B138&lt;=6,2,IF(B138&lt;=9,3,IF(B138&lt;=19,4,5))))</x:f>
        <x:v>5</x:v>
      </x:c>
      <x:c r="AR138" s="10" t="n">
        <x:f t="shared" si="119">AN138*(1-Q138)/F138*$AS$3+U138*$AS$4+P138*$AS$5</x:f>
        <x:v>10224.54201535129</x:v>
      </x:c>
      <x:c r="AS138" s="15" t="n">
        <x:f t="shared" si="120">1+AH138*$AS$6+AI138*$AS$7+(AJ138-1)*$AS$8+($H$10*H138+$I$10*I138+$J$10*J138+$K$10*K138+$L$10*L138)*$AU$3*$AS$9+($H$10*H138+$I$10*I138+$J$10*J138+$K$10*K138+$L$10*L138)*$AU$4*$AS$10</x:f>
        <x:v>12.88168124707704</x:v>
      </x:c>
      <x:c r="AT138" s="16" t="n">
        <x:f t="shared" si="121">ROUND(AR138*AS138,0)</x:f>
        <x:v>131709</x:v>
      </x:c>
      <x:c r="AU138" s="16" t="n">
        <x:f t="shared" si="122">ROUND(AT138*F138,0)</x:f>
        <x:v>658545</x:v>
      </x:c>
      <x:c r="AV138" t="n">
        <x:f>IF(AU138&gt;0,ROUND(AU138,-MAX(0,INT(LOG10(AU138))-2)),0)</x:f>
        <x:v>659000</x:v>
      </x:c>
    </x:row>
    <x:row r="139" customHeight="1">
      <x:c r="A139" s="1" t="str">
        <x:f>IFERROR(XLOOKUP(B139,'_曲线基线'!$G$3:$G$107,'_曲线基线'!$J$3:$J$107,""),"")</x:f>
      </x:c>
      <x:c r="B139" s="1" t="n">
        <x:v>128</x:v>
      </x:c>
      <x:c r="C139" s="1" t="n">
        <x:f t="shared" si="161">C124+1</x:f>
        <x:v>9</x:v>
      </x:c>
      <x:c r="D139" s="1" t="n">
        <x:f t="shared" si="162">D124</x:f>
        <x:v>14</x:v>
      </x:c>
      <x:c r="E139" s="1" t="n">
        <x:f t="shared" si="94">IF($B139&lt;E$8,0,E$3+(E$4-E$3)*(POWER(E$5,$B139-E$8)-1)/(POWER(E$5,$C$5-E$8)-1))</x:f>
        <x:v>1</x:v>
      </x:c>
      <x:c r="F139" s="10" t="n">
        <x:f t="shared" si="95">1+IF(B139&lt;3,0,MIN(1,(B139-2)/4))+IF(B139&lt;7,0,MIN(1,(B139-6)/3))+IF(B139&lt;10,0,MIN(1,(B139-9)/5))+IF(B139&lt;20,0,MIN(1,(B139-19)/10))</x:f>
        <x:v>5</x:v>
      </x:c>
      <x:c r="G139" s="11" t="n">
        <x:f t="shared" ref="G139:L139" si="187">'玩家战力_节点'!G139</x:f>
        <x:v>0.6716801716721953</x:v>
      </x:c>
      <x:c r="H139" s="11" t="n">
        <x:f t="shared" si="187">'玩家战力_节点'!H139</x:f>
        <x:v>0.5265312502838342</x:v>
      </x:c>
      <x:c r="I139" s="11" t="n">
        <x:f t="shared" si="187">'玩家战力_节点'!I139</x:f>
        <x:v>0.37670833416220306</x:v>
      </x:c>
      <x:c r="J139" s="11" t="n">
        <x:f t="shared" si="187">'玩家战力_节点'!J139</x:f>
        <x:v>0.40503153181678997</x:v>
      </x:c>
      <x:c r="K139" s="11" t="n">
        <x:f t="shared" si="187">'玩家战力_节点'!K139</x:f>
        <x:v>0.22700947013127892</x:v>
      </x:c>
      <x:c r="L139" s="11" t="n">
        <x:f t="shared" si="187">'玩家战力_节点'!L139</x:f>
        <x:v>0.5136115259576157</x:v>
      </x:c>
      <x:c r="M139" s="2" t="n">
        <x:f>E139*'模块规划'!$F$10+G139*'模块规划'!$F$11+H139*'模块规划'!$F$13</x:f>
        <x:v>4224.064824026537</x:v>
      </x:c>
      <x:c r="N139" s="2" t="n">
        <x:f>I139*'模块规划'!$F$15+J139*'模块规划'!$F$17+K139*'模块规划'!$F$16+L139*'模块规划'!$F$18</x:f>
        <x:v>10994.096442041275</x:v>
      </x:c>
      <x:c r="O139" s="2" t="n">
        <x:f t="shared" si="97">1+O$9*SUMPRODUCT($H$10:$L$10,H139:L139)/SUM($H$10:$L$10)</x:f>
        <x:v>2.5104731915377094</x:v>
      </x:c>
      <x:c r="P139" s="12" t="n">
        <x:f t="shared" si="98">M139*O139+N139</x:f>
        <x:v>21598.49794207735</x:v>
      </x:c>
      <x:c r="Q139" s="7" t="n">
        <x:f>P139/(P139+'_曲线基线'!$L$2)</x:f>
        <x:v>0.4736668731832656</x:v>
      </x:c>
      <x:c r="R139" s="2" t="n">
        <x:f>E139*'模块规划'!$E$10+G139*'模块规划'!$E$11+H139*'模块规划'!$E$13</x:f>
        <x:v>6336.097236039806</x:v>
      </x:c>
      <x:c r="S139" s="2" t="n">
        <x:f>I139*'模块规划'!$E$15+J139*'模块规划'!$E$17+K139*'模块规划'!$E$16+L139*'模块规划'!$E$18</x:f>
        <x:v>16491.144663061914</x:v>
      </x:c>
      <x:c r="T139" s="2" t="n">
        <x:f t="shared" si="99">1+T$9*SUMPRODUCT($H$10:$L$10,H139:L139)/SUM($H$10:$L$10)</x:f>
        <x:v>2.5104731915377094</x:v>
      </x:c>
      <x:c r="U139" s="12" t="n">
        <x:f t="shared" si="100">R139*T139+S139</x:f>
        <x:v>32397.746913116025</x:v>
      </x:c>
      <x:c r="V139" s="2" t="n">
        <x:f t="shared" si="101">V$8+(V$9-V$8)*H139</x:f>
        <x:v>0.8579593750851502</x:v>
      </x:c>
      <x:c r="W139" s="2" t="n">
        <x:f t="shared" si="102">IF(B139&lt;$H$8,0,W$8+(W$9-W$8)*H139)</x:f>
        <x:v>0.2106125001135337</x:v>
      </x:c>
      <x:c r="X139" s="2" t="n">
        <x:f t="shared" si="103">X$8+(X$9-X$8)*H139</x:f>
        <x:v>0.41979609382805444</x:v>
      </x:c>
      <x:c r="Y139" s="2" t="n">
        <x:f t="shared" si="104">Y$8+(Y$9-Y$8)*G139</x:f>
        <x:v>1</x:v>
      </x:c>
      <x:c r="Z139" s="2" t="n">
        <x:f t="shared" si="105">Z$8+(Z$9-Z$8)*H139</x:f>
        <x:v>1</x:v>
      </x:c>
      <x:c r="AA139" s="2" t="n">
        <x:f t="shared" si="106">AA$8+(AA$9-AA$8)*I139</x:f>
        <x:v>1</x:v>
      </x:c>
      <x:c r="AB139" s="2" t="n">
        <x:f t="shared" si="107">AB$8+(AB$9-AB$8)*J139</x:f>
        <x:v>1</x:v>
      </x:c>
      <x:c r="AC139" s="2" t="n">
        <x:f t="shared" si="108">AC$8+(AC$9-AC$8)*MAX(K139,L139)</x:f>
        <x:v>1</x:v>
      </x:c>
      <x:c r="AD139" s="1" t="n">
        <x:f t="shared" si="109">(V139*AE139+W139*AF139+X139*AG139)*PRODUCT(Y139:AC139)</x:f>
        <x:v>1.6156265056787016</x:v>
      </x:c>
      <x:c r="AE139" s="2" t="n">
        <x:f t="shared" si="110">1+AE$9*($H$10*H139+$I$10*I139+$J$10*J139+$K$10*K139+$L$10*L139)</x:f>
        <x:v>1</x:v>
      </x:c>
      <x:c r="AF139" s="2" t="n">
        <x:f t="shared" si="111">1+AF$9*($H$10*H139+$I$10*I139+$J$10*J139+$K$10*K139+$L$10*L139)</x:f>
        <x:v>1.133313018524381</x:v>
      </x:c>
      <x:c r="AG139" s="2" t="n">
        <x:f t="shared" si="112">1+AG$9*($H$10*H139+$I$10*I139+$J$10*J139+$K$10*K139+$L$10*L139)</x:f>
        <x:v>1.2362602939404326</x:v>
      </x:c>
      <x:c r="AH139" s="2" t="n">
        <x:f>MIN(1,'_曲线基线'!$L$3+AH$9*($H$10*H139+$I$10*I139+$J$10*J139+$K$10*K139+$L$10*L139))</x:f>
        <x:v>0.35328711714296634</x:v>
      </x:c>
      <x:c r="AI139" s="2" t="n">
        <x:f>'_曲线基线'!$L$4+AI$9*($H$10*H139+$I$10*I139+$J$10*J139+$K$10*K139+$L$10*L139)</x:f>
        <x:v>2.8448712548982638</x:v>
      </x:c>
      <x:c r="AJ139" s="2" t="n">
        <x:f t="shared" si="113">1+AJ$9*($H$10*H139+$I$10*I139+$J$10*J139+$K$10*K139+$L$10*L139)</x:f>
        <x:v>1.6932276963267805</x:v>
      </x:c>
      <x:c r="AK139" s="1" t="n">
        <x:f t="shared" si="114">(1+AH139*(AI139-1))*AJ139</x:f>
        <x:v>2.7968214372032514</x:v>
      </x:c>
      <x:c r="AL139" s="1" t="n">
        <x:f t="shared" si="115">U139*AD139*AK139*F139</x:f>
        <x:v>731965.3487822742</x:v>
      </x:c>
      <x:c r="AM139" s="13" t="n">
        <x:f t="shared" si="116">IF($B139&lt;AM$8,0,AM$3+(AM$4-AM$3)*(POWER(AM$5,$B139-AM$8)-1)/(POWER(AM$5,$C$5-AM$8)-1))</x:f>
        <x:v>38.40779311272329</x:v>
      </x:c>
      <x:c r="AN139" s="13" t="n">
        <x:f>(((E139*'模块规划'!$D$10+G139*'模块规划'!$D$11+H139*'模块规划'!$D$13)*(1+'模块规划'!$G$14*H139)+(I139*'模块规划'!$D$15+J139*'模块规划'!$D$17+K139*'模块规划'!$D$16+L139*'模块规划'!$D$18))*(1+'模块规划'!$J$17*J139))*F139/(1-Q139)</x:f>
        <x:v>1215454.2483779395</x:v>
      </x:c>
      <x:c r="AO139" s="1" t="n">
        <x:f t="shared" si="117">AL139*AM139</x:f>
        <x:v>28113173.68171193</x:v>
      </x:c>
      <x:c r="AP139" s="1" t="n">
        <x:f>IF(AO139="","",INDEX('_曲线基线'!$A$3:$A$502,MIN(ROWS('_曲线基线'!$A$3:$A$502),COUNTIF('_曲线基线'!$E$3:$E$502,"&lt;"&amp;AO139)+1)))</x:f>
        <x:v>203</x:v>
      </x:c>
      <x:c r="AQ139" s="14" t="n">
        <x:f t="shared" si="118">IF(B139&lt;=2,1,IF(B139&lt;=6,2,IF(B139&lt;=9,3,IF(B139&lt;=19,4,5))))</x:f>
        <x:v>5</x:v>
      </x:c>
      <x:c r="AR139" s="10" t="n">
        <x:f t="shared" si="119">AN139*(1-Q139)/F139*$AS$3+U139*$AS$4+P139*$AS$5</x:f>
        <x:v>10317.952392931873</x:v>
      </x:c>
      <x:c r="AS139" s="15" t="n">
        <x:f t="shared" si="120">1+AH139*$AS$6+AI139*$AS$7+(AJ139-1)*$AS$8+($H$10*H139+$I$10*I139+$J$10*J139+$K$10*K139+$L$10*L139)*$AU$3*$AS$9+($H$10*H139+$I$10*I139+$J$10*J139+$K$10*K139+$L$10*L139)*$AU$4*$AS$10</x:f>
        <x:v>12.947184333749055</x:v>
      </x:c>
      <x:c r="AT139" s="16" t="n">
        <x:f t="shared" si="121">ROUND(AR139*AS139,0)</x:f>
        <x:v>133588</x:v>
      </x:c>
      <x:c r="AU139" s="16" t="n">
        <x:f t="shared" si="122">ROUND(AT139*F139,0)</x:f>
        <x:v>667940</x:v>
      </x:c>
      <x:c r="AV139" t="n">
        <x:f>IF(AU139&gt;0,ROUND(AU139,-MAX(0,INT(LOG10(AU139))-2)),0)</x:f>
        <x:v>668000</x:v>
      </x:c>
    </x:row>
    <x:row r="140" customHeight="1">
      <x:c r="A140" s="1" t="str">
        <x:f>IFERROR(XLOOKUP(B140,'_曲线基线'!$G$3:$G$107,'_曲线基线'!$J$3:$J$107,""),"")</x:f>
      </x:c>
      <x:c r="B140" s="1" t="n">
        <x:v>129</x:v>
      </x:c>
      <x:c r="C140" s="1" t="n">
        <x:f t="shared" si="161">C125+1</x:f>
        <x:v>9</x:v>
      </x:c>
      <x:c r="D140" s="1" t="n">
        <x:f t="shared" si="162">D125</x:f>
        <x:v>15</x:v>
      </x:c>
      <x:c r="E140" s="1" t="n">
        <x:f t="shared" ref="E140:E203" si="188">IF($B140&lt;E$8,0,E$3+(E$4-E$3)*(POWER(E$5,$B140-E$8)-1)/(POWER(E$5,$C$5-E$8)-1))</x:f>
        <x:v>1</x:v>
      </x:c>
      <x:c r="F140" s="10" t="n">
        <x:f t="shared" ref="F140:F203" si="189">1+IF(B140&lt;3,0,MIN(1,(B140-2)/4))+IF(B140&lt;7,0,MIN(1,(B140-6)/3))+IF(B140&lt;10,0,MIN(1,(B140-9)/5))+IF(B140&lt;20,0,MIN(1,(B140-19)/10))</x:f>
        <x:v>5</x:v>
      </x:c>
      <x:c r="G140" s="11" t="n">
        <x:f t="shared" ref="G140:L140" si="190">'玩家战力_节点'!G140</x:f>
        <x:v>0.6741102822266211</x:v>
      </x:c>
      <x:c r="H140" s="11" t="n">
        <x:f t="shared" si="190">'玩家战力_节点'!H140</x:f>
        <x:v>0.5284777435999818</x:v>
      </x:c>
      <x:c r="I140" s="11" t="n">
        <x:f t="shared" si="190">'玩家战力_节点'!I140</x:f>
        <x:v>0.3805692179218661</x:v>
      </x:c>
      <x:c r="J140" s="11" t="n">
        <x:f t="shared" si="190">'玩家战力_节点'!J140</x:f>
        <x:v>0.4073531375164214</x:v>
      </x:c>
      <x:c r="K140" s="11" t="n">
        <x:f t="shared" si="190">'玩家战力_节点'!K140</x:f>
        <x:v>0.23411584220609846</x:v>
      </x:c>
      <x:c r="L140" s="11" t="n">
        <x:f t="shared" si="190">'玩家战力_节点'!L140</x:f>
        <x:v>0.5158009136412307</x:v>
      </x:c>
      <x:c r="M140" s="2" t="n">
        <x:f>E140*'模块规划'!$F$10+G140*'模块规划'!$F$11+H140*'模块规划'!$F$13</x:f>
        <x:v>4235.729354687781</x:v>
      </x:c>
      <x:c r="N140" s="2" t="n">
        <x:f>I140*'模块规划'!$F$15+J140*'模块规划'!$F$17+K140*'模块规划'!$F$16+L140*'模块规划'!$F$18</x:f>
        <x:v>11101.784739981886</x:v>
      </x:c>
      <x:c r="O140" s="2" t="n">
        <x:f t="shared" ref="O140:O203" si="191">1+O$9*SUMPRODUCT($H$10:$L$10,H140:L140)/SUM($H$10:$L$10)</x:f>
        <x:v>2.5228941770945563</x:v>
      </x:c>
      <x:c r="P140" s="12" t="n">
        <x:f t="shared" ref="P140:P203" si="192">M140*O140+N140</x:f>
        <x:v>21788.081664672172</x:v>
      </x:c>
      <x:c r="Q140" s="7" t="n">
        <x:f>P140/(P140+'_曲线基线'!$L$2)</x:f>
        <x:v>0.47584613446434865</x:v>
      </x:c>
      <x:c r="R140" s="2" t="n">
        <x:f>E140*'模块规划'!$E$10+G140*'模块规划'!$E$11+H140*'模块规划'!$E$13</x:f>
        <x:v>6353.594032031671</x:v>
      </x:c>
      <x:c r="S140" s="2" t="n">
        <x:f>I140*'模块规划'!$E$15+J140*'模块规划'!$E$17+K140*'模块规划'!$E$16+L140*'模块规划'!$E$18</x:f>
        <x:v>16652.67710997283</x:v>
      </x:c>
      <x:c r="T140" s="2" t="n">
        <x:f t="shared" ref="T140:T203" si="193">1+T$9*SUMPRODUCT($H$10:$L$10,H140:L140)/SUM($H$10:$L$10)</x:f>
        <x:v>2.5228941770945563</x:v>
      </x:c>
      <x:c r="U140" s="12" t="n">
        <x:f t="shared" ref="U140:U203" si="194">R140*T140+S140</x:f>
        <x:v>32682.122497008255</x:v>
      </x:c>
      <x:c r="V140" s="2" t="n">
        <x:f t="shared" ref="V140:V203" si="195">V$8+(V$9-V$8)*H140</x:f>
        <x:v>0.8585433230799945</x:v>
      </x:c>
      <x:c r="W140" s="2" t="n">
        <x:f t="shared" ref="W140:W203" si="196">IF(B140&lt;$H$8,0,W$8+(W$9-W$8)*H140)</x:f>
        <x:v>0.21139109743999274</x:v>
      </x:c>
      <x:c r="X140" s="2" t="n">
        <x:f t="shared" ref="X140:X203" si="197">X$8+(X$9-X$8)*H140</x:f>
        <x:v>0.420331379489995</x:v>
      </x:c>
      <x:c r="Y140" s="2" t="n">
        <x:f t="shared" ref="Y140:Y203" si="198">Y$8+(Y$9-Y$8)*G140</x:f>
        <x:v>1</x:v>
      </x:c>
      <x:c r="Z140" s="2" t="n">
        <x:f t="shared" ref="Z140:Z203" si="199">Z$8+(Z$9-Z$8)*H140</x:f>
        <x:v>1</x:v>
      </x:c>
      <x:c r="AA140" s="2" t="n">
        <x:f t="shared" ref="AA140:AA203" si="200">AA$8+(AA$9-AA$8)*I140</x:f>
        <x:v>1</x:v>
      </x:c>
      <x:c r="AB140" s="2" t="n">
        <x:f t="shared" ref="AB140:AB203" si="201">AB$8+(AB$9-AB$8)*J140</x:f>
        <x:v>1</x:v>
      </x:c>
      <x:c r="AC140" s="2" t="n">
        <x:f t="shared" ref="AC140:AC203" si="202">AC$8+(AC$9-AC$8)*MAX(K140,L140)</x:f>
        <x:v>1</x:v>
      </x:c>
      <x:c r="AD140" s="1" t="n">
        <x:f t="shared" ref="AD140:AD203" si="203">(V140*AE140+W140*AF140+X140*AG140)*PRODUCT(Y140:AC140)</x:f>
        <x:v>1.6188029717417969</x:v>
      </x:c>
      <x:c r="AE140" s="2" t="n">
        <x:f t="shared" ref="AE140:AE203" si="204">1+AE$9*($H$10*H140+$I$10*I140+$J$10*J140+$K$10*K140+$L$10*L140)</x:f>
        <x:v>1</x:v>
      </x:c>
      <x:c r="AF140" s="2" t="n">
        <x:f t="shared" ref="AF140:AF203" si="205">1+AF$9*($H$10*H140+$I$10*I140+$J$10*J140+$K$10*K140+$L$10*L140)</x:f>
        <x:v>1.1344092836464021</x:v>
      </x:c>
      <x:c r="AG140" s="2" t="n">
        <x:f t="shared" ref="AG140:AG203" si="206">1+AG$9*($H$10*H140+$I$10*I140+$J$10*J140+$K$10*K140+$L$10*L140)</x:f>
        <x:v>1.2382031193511258</x:v>
      </x:c>
      <x:c r="AH140" s="2" t="n">
        <x:f>MIN(1,'_曲线基线'!$L$3+AH$9*($H$10*H140+$I$10*I140+$J$10*J140+$K$10*K140+$L$10*L140))</x:f>
        <x:v>0.35578112029556475</x:v>
      </x:c>
      <x:c r="AI140" s="2" t="n">
        <x:f>'_曲线基线'!$L$4+AI$9*($H$10*H140+$I$10*I140+$J$10*J140+$K$10*K140+$L$10*L140)</x:f>
        <x:v>2.851818835109073</x:v>
      </x:c>
      <x:c r="AJ140" s="2" t="n">
        <x:f t="shared" ref="AJ140:AJ203" si="207">1+AJ$9*($H$10*H140+$I$10*I140+$J$10*J140+$K$10*K140+$L$10*L140)</x:f>
        <x:v>1.698928274961291</x:v>
      </x:c>
      <x:c r="AK140" s="1" t="n">
        <x:f t="shared" ref="AK140:AK203" si="208">(1+AH140*(AI140-1))*AJ140</x:f>
        <x:v>2.8182538828579142</x:v>
      </x:c>
      <x:c r="AL140" s="1" t="n">
        <x:f t="shared" ref="AL140:AL203" si="209">U140*AD140*AK140*F140</x:f>
        <x:v>745511.5303527676</x:v>
      </x:c>
      <x:c r="AM140" s="13" t="n">
        <x:f t="shared" ref="AM140:AM203" si="210">IF($B140&lt;AM$8,0,AM$3+(AM$4-AM$3)*(POWER(AM$5,$B140-AM$8)-1)/(POWER(AM$5,$C$5-AM$8)-1))</x:f>
        <x:v>38.45529568377239</x:v>
      </x:c>
      <x:c r="AN140" s="13" t="n">
        <x:f>(((E140*'模块规划'!$D$10+G140*'模块规划'!$D$11+H140*'模块规划'!$D$13)*(1+'模块规划'!$G$14*H140)+(I140*'模块规划'!$D$15+J140*'模块规划'!$D$17+K140*'模块规划'!$D$16+L140*'模块规划'!$D$18))*(1+'模块规划'!$J$17*J140))*F140/(1-Q140)</x:f>
        <x:v>1232190.6230734158</x:v>
      </x:c>
      <x:c r="AO140" s="1" t="n">
        <x:f t="shared" ref="AO140:AO203" si="211">AL140*AM140</x:f>
        <x:v>28668866.33537733</x:v>
      </x:c>
      <x:c r="AP140" s="1" t="n">
        <x:f>IF(AO140="","",INDEX('_曲线基线'!$A$3:$A$502,MIN(ROWS('_曲线基线'!$A$3:$A$502),COUNTIF('_曲线基线'!$E$3:$E$502,"&lt;"&amp;AO140)+1)))</x:f>
        <x:v>204</x:v>
      </x:c>
      <x:c r="AQ140" s="14" t="n">
        <x:f t="shared" ref="AQ140:AQ203" si="212">IF(B140&lt;=2,1,IF(B140&lt;=6,2,IF(B140&lt;=9,3,IF(B140&lt;=19,4,5))))</x:f>
        <x:v>5</x:v>
      </x:c>
      <x:c r="AR140" s="10" t="n">
        <x:f t="shared" ref="AR140:AR203" si="213">AN140*(1-Q140)/F140*$AS$3+U140*$AS$4+P140*$AS$5</x:f>
        <x:v>10411.569368365934</x:v>
      </x:c>
      <x:c r="AS140" s="15" t="n">
        <x:f t="shared" ref="AS140:AS203" si="214">1+AH140*$AS$6+AI140*$AS$7+(AJ140-1)*$AS$8+($H$10*H140+$I$10*I140+$J$10*J140+$K$10*K140+$L$10*L140)*$AU$3*$AS$9+($H$10*H140+$I$10*I140+$J$10*J140+$K$10*K140+$L$10*L140)*$AU$4*$AS$10</x:f>
        <x:v>13.012687420421068</x:v>
      </x:c>
      <x:c r="AT140" s="16" t="n">
        <x:f t="shared" ref="AT140:AT203" si="215">ROUND(AR140*AS140,0)</x:f>
        <x:v>135482</x:v>
      </x:c>
      <x:c r="AU140" s="16" t="n">
        <x:f t="shared" ref="AU140:AU203" si="216">ROUND(AT140*F140,0)</x:f>
        <x:v>677410</x:v>
      </x:c>
      <x:c r="AV140" t="n">
        <x:f>IF(AU140&gt;0,ROUND(AU140,-MAX(0,INT(LOG10(AU140))-2)),0)</x:f>
        <x:v>677000</x:v>
      </x:c>
    </x:row>
    <x:row r="141" customHeight="1">
      <x:c r="A141" s="1" t="str">
        <x:f>IFERROR(XLOOKUP(B141,'_曲线基线'!$G$3:$G$107,'_曲线基线'!$J$3:$J$107,""),"")</x:f>
      </x:c>
      <x:c r="B141" s="1" t="n">
        <x:v>130</x:v>
      </x:c>
      <x:c r="C141" s="1" t="n">
        <x:f t="shared" si="161">C126+1</x:f>
        <x:v>10</x:v>
      </x:c>
      <x:c r="D141" s="1" t="n">
        <x:f t="shared" si="162">D126</x:f>
        <x:v>1</x:v>
      </x:c>
      <x:c r="E141" s="1" t="n">
        <x:f t="shared" si="188">IF($B141&lt;E$8,0,E$3+(E$4-E$3)*(POWER(E$5,$B141-E$8)-1)/(POWER(E$5,$C$5-E$8)-1))</x:f>
        <x:v>1</x:v>
      </x:c>
      <x:c r="F141" s="10" t="n">
        <x:f t="shared" si="189">1+IF(B141&lt;3,0,MIN(1,(B141-2)/4))+IF(B141&lt;7,0,MIN(1,(B141-6)/3))+IF(B141&lt;10,0,MIN(1,(B141-9)/5))+IF(B141&lt;20,0,MIN(1,(B141-19)/10))</x:f>
        <x:v>5</x:v>
      </x:c>
      <x:c r="G141" s="11" t="n">
        <x:f t="shared" ref="G141:L141" si="217">'玩家战力_节点'!G141</x:f>
        <x:v>0.676395461244375</x:v>
      </x:c>
      <x:c r="H141" s="11" t="n">
        <x:f t="shared" si="217">'玩家战力_节点'!H141</x:f>
        <x:v>0.5302752182632255</x:v>
      </x:c>
      <x:c r="I141" s="11" t="n">
        <x:f t="shared" si="217">'玩家战力_节点'!I141</x:f>
        <x:v>0.3840469495415554</x:v>
      </x:c>
      <x:c r="J141" s="11" t="n">
        <x:f t="shared" si="217">'玩家战力_节点'!J141</x:f>
        <x:v>0.4094822478070226</x:v>
      </x:c>
      <x:c r="K141" s="11" t="n">
        <x:f t="shared" si="217">'玩家战力_节点'!K141</x:f>
        <x:v>0.2404179685202288</x:v>
      </x:c>
      <x:c r="L141" s="11" t="n">
        <x:f t="shared" si="217">'玩家战力_节点'!L141</x:f>
        <x:v>0.5178118909457453</x:v>
      </x:c>
      <x:c r="M141" s="2" t="n">
        <x:f>E141*'模块规划'!$F$10+G141*'模块规划'!$F$11+H141*'模块规划'!$F$13</x:f>
        <x:v>4246.698213973</x:v>
      </x:c>
      <x:c r="N141" s="2" t="n">
        <x:f>I141*'模块规划'!$F$15+J141*'模块规划'!$F$17+K141*'模块规划'!$F$16+L141*'模块规划'!$F$18</x:f>
        <x:v>11198.765340252769</x:v>
      </x:c>
      <x:c r="O141" s="2" t="n">
        <x:f t="shared" si="191">1+O$9*SUMPRODUCT($H$10:$L$10,H141:L141)/SUM($H$10:$L$10)</x:f>
        <x:v>2.5341214850077067</x:v>
      </x:c>
      <x:c r="P141" s="12" t="n">
        <x:f t="shared" si="192">M141*O141+N141</x:f>
        <x:v>21960.4145246256</x:v>
      </x:c>
      <x:c r="Q141" s="7" t="n">
        <x:f>P141/(P141+'_曲线基线'!$L$2)</x:f>
        <x:v>0.4778114982592075</x:v>
      </x:c>
      <x:c r="R141" s="2" t="n">
        <x:f>E141*'模块规划'!$E$10+G141*'模块规划'!$E$11+H141*'模块规划'!$E$13</x:f>
        <x:v>6370.0473209595</x:v>
      </x:c>
      <x:c r="S141" s="2" t="n">
        <x:f>I141*'模块规划'!$E$15+J141*'模块规划'!$E$17+K141*'模块规划'!$E$16+L141*'模块规划'!$E$18</x:f>
        <x:v>16798.14801037915</x:v>
      </x:c>
      <x:c r="T141" s="2" t="n">
        <x:f t="shared" si="193">1+T$9*SUMPRODUCT($H$10:$L$10,H141:L141)/SUM($H$10:$L$10)</x:f>
        <x:v>2.5341214850077067</x:v>
      </x:c>
      <x:c r="U141" s="12" t="n">
        <x:f t="shared" si="194">R141*T141+S141</x:f>
        <x:v>32940.621786938405</x:v>
      </x:c>
      <x:c r="V141" s="2" t="n">
        <x:f t="shared" si="195">V$8+(V$9-V$8)*H141</x:f>
        <x:v>0.8590825654789677</x:v>
      </x:c>
      <x:c r="W141" s="2" t="n">
        <x:f t="shared" si="196">IF(B141&lt;$H$8,0,W$8+(W$9-W$8)*H141)</x:f>
        <x:v>0.21211008730529024</x:v>
      </x:c>
      <x:c r="X141" s="2" t="n">
        <x:f t="shared" si="197">X$8+(X$9-X$8)*H141</x:f>
        <x:v>0.42082568502238704</x:v>
      </x:c>
      <x:c r="Y141" s="2" t="n">
        <x:f t="shared" si="198">Y$8+(Y$9-Y$8)*G141</x:f>
        <x:v>1</x:v>
      </x:c>
      <x:c r="Z141" s="2" t="n">
        <x:f t="shared" si="199">Z$8+(Z$9-Z$8)*H141</x:f>
        <x:v>1</x:v>
      </x:c>
      <x:c r="AA141" s="2" t="n">
        <x:f t="shared" si="200">AA$8+(AA$9-AA$8)*I141</x:f>
        <x:v>1</x:v>
      </x:c>
      <x:c r="AB141" s="2" t="n">
        <x:f t="shared" si="201">AB$8+(AB$9-AB$8)*J141</x:f>
        <x:v>1</x:v>
      </x:c>
      <x:c r="AC141" s="2" t="n">
        <x:f t="shared" si="202">AC$8+(AC$9-AC$8)*MAX(K141,L141)</x:f>
        <x:v>1</x:v>
      </x:c>
      <x:c r="AD141" s="1" t="n">
        <x:f t="shared" si="203">(V141*AE141+W141*AF141+X141*AG141)*PRODUCT(Y141:AC141)</x:f>
        <x:v>1.6217190950207794</x:v>
      </x:c>
      <x:c r="AE141" s="2" t="n">
        <x:f t="shared" si="204">1+AE$9*($H$10*H141+$I$10*I141+$J$10*J141+$K$10*K141+$L$10*L141)</x:f>
        <x:v>1</x:v>
      </x:c>
      <x:c r="AF141" s="2" t="n">
        <x:f t="shared" si="205">1+AF$9*($H$10*H141+$I$10*I141+$J$10*J141+$K$10*K141+$L$10*L141)</x:f>
        <x:v>1.1354001958427855</x:v>
      </x:c>
      <x:c r="AG141" s="2" t="n">
        <x:f t="shared" si="206">1+AG$9*($H$10*H141+$I$10*I141+$J$10*J141+$K$10*K141+$L$10*L141)</x:f>
        <x:v>1.2399592359658274</x:v>
      </x:c>
      <x:c r="AH141" s="2" t="n">
        <x:f>MIN(1,'_曲线基线'!$L$3+AH$9*($H$10*H141+$I$10*I141+$J$10*J141+$K$10*K141+$L$10*L141))</x:f>
        <x:v>0.3580354455423368</x:v>
      </x:c>
      <x:c r="AI141" s="2" t="n">
        <x:f>'_曲线基线'!$L$4+AI$9*($H$10*H141+$I$10*I141+$J$10*J141+$K$10*K141+$L$10*L141)</x:f>
        <x:v>2.8580987411536527</x:v>
      </x:c>
      <x:c r="AJ141" s="2" t="n">
        <x:f t="shared" si="207">1+AJ$9*($H$10*H141+$I$10*I141+$J$10*J141+$K$10*K141+$L$10*L141)</x:f>
        <x:v>1.7040810183824844</x:v>
      </x:c>
      <x:c r="AK141" s="1" t="n">
        <x:f t="shared" si="208">(1+AH141*(AI141-1))*AJ141</x:f>
        <x:v>2.837746836042402</x:v>
      </x:c>
      <x:c r="AL141" s="1" t="n">
        <x:f t="shared" si="209">U141*AD141*AK141*F141</x:f>
        <x:v>757968.3570253532</x:v>
      </x:c>
      <x:c r="AM141" s="13" t="n">
        <x:f t="shared" si="210">IF($B141&lt;AM$8,0,AM$3+(AM$4-AM$3)*(POWER(AM$5,$B141-AM$8)-1)/(POWER(AM$5,$C$5-AM$8)-1))</x:f>
        <x:v>38.503273280531985</x:v>
      </x:c>
      <x:c r="AN141" s="13" t="n">
        <x:f>(((E141*'模块规划'!$D$10+G141*'模块规划'!$D$11+H141*'模块规划'!$D$13)*(1+'模块规划'!$G$14*H141)+(I141*'模块规划'!$D$15+J141*'模块规划'!$D$17+K141*'模块规划'!$D$16+L141*'模块规划'!$D$18))*(1+'模块规划'!$J$17*J141))*F141/(1-Q141)</x:f>
        <x:v>1247521.3745948873</x:v>
      </x:c>
      <x:c r="AO141" s="1" t="n">
        <x:f t="shared" si="211">AL141*AM141</x:f>
        <x:v>29184262.788543012</x:v>
      </x:c>
      <x:c r="AP141" s="1" t="n">
        <x:f>IF(AO141="","",INDEX('_曲线基线'!$A$3:$A$502,MIN(ROWS('_曲线基线'!$A$3:$A$502),COUNTIF('_曲线基线'!$E$3:$E$502,"&lt;"&amp;AO141)+1)))</x:f>
        <x:v>205</x:v>
      </x:c>
      <x:c r="AQ141" s="14" t="n">
        <x:f t="shared" si="212">IF(B141&lt;=2,1,IF(B141&lt;=6,2,IF(B141&lt;=9,3,IF(B141&lt;=19,4,5))))</x:f>
        <x:v>5</x:v>
      </x:c>
      <x:c r="AR141" s="10" t="n">
        <x:f t="shared" si="213">AN141*(1-Q141)/F141*$AS$3+U141*$AS$4+P141*$AS$5</x:f>
        <x:v>10496.77226232359</x:v>
      </x:c>
      <x:c r="AS141" s="15" t="n">
        <x:f t="shared" si="214">1+AH141*$AS$6+AI141*$AS$7+(AJ141-1)*$AS$8+($H$10*H141+$I$10*I141+$J$10*J141+$K$10*K141+$L$10*L141)*$AU$3*$AS$9+($H$10*H141+$I$10*I141+$J$10*J141+$K$10*K141+$L$10*L141)*$AU$4*$AS$10</x:f>
        <x:v>13.071895550078956</x:v>
      </x:c>
      <x:c r="AT141" s="16" t="n">
        <x:f t="shared" si="215">ROUND(AR141*AS141,0)</x:f>
        <x:v>137213</x:v>
      </x:c>
      <x:c r="AU141" s="16" t="n">
        <x:f t="shared" si="216">ROUND(AT141*F141,0)</x:f>
        <x:v>686065</x:v>
      </x:c>
      <x:c r="AV141" t="n">
        <x:f>IF(AU141&gt;0,ROUND(AU141,-MAX(0,INT(LOG10(AU141))-2)),0)</x:f>
        <x:v>686000</x:v>
      </x:c>
    </x:row>
    <x:row r="142" customHeight="1">
      <x:c r="A142" s="1" t="str">
        <x:f>IFERROR(XLOOKUP(B142,'_曲线基线'!$G$3:$G$107,'_曲线基线'!$J$3:$J$107,""),"")</x:f>
      </x:c>
      <x:c r="B142" s="1" t="n">
        <x:v>131</x:v>
      </x:c>
      <x:c r="C142" s="1" t="n">
        <x:f t="shared" si="161">C127+1</x:f>
        <x:v>10</x:v>
      </x:c>
      <x:c r="D142" s="1" t="n">
        <x:f t="shared" si="162">D127</x:f>
        <x:v>2</x:v>
      </x:c>
      <x:c r="E142" s="1" t="n">
        <x:f t="shared" si="188">IF($B142&lt;E$8,0,E$3+(E$4-E$3)*(POWER(E$5,$B142-E$8)-1)/(POWER(E$5,$C$5-E$8)-1))</x:f>
        <x:v>1</x:v>
      </x:c>
      <x:c r="F142" s="10" t="n">
        <x:f t="shared" si="189">1+IF(B142&lt;3,0,MIN(1,(B142-2)/4))+IF(B142&lt;7,0,MIN(1,(B142-6)/3))+IF(B142&lt;10,0,MIN(1,(B142-9)/5))+IF(B142&lt;20,0,MIN(1,(B142-19)/10))</x:f>
        <x:v>5</x:v>
      </x:c>
      <x:c r="G142" s="11" t="n">
        <x:f t="shared" ref="G142:L142" si="218">'玩家战力_节点'!G142</x:f>
        <x:v>0.6785525898822368</x:v>
      </x:c>
      <x:c r="H142" s="11" t="n">
        <x:f t="shared" si="218">'玩家战力_节点'!H142</x:f>
        <x:v>0.5319475539146218</x:v>
      </x:c>
      <x:c r="I142" s="11" t="n">
        <x:f t="shared" si="218">'玩家战力_节点'!I142</x:f>
        <x:v>0.38720292761395586</x:v>
      </x:c>
      <x:c r="J142" s="11" t="n">
        <x:f t="shared" si="218">'玩家战力_节点'!J142</x:f>
        <x:v>0.4114497093053289</x:v>
      </x:c>
      <x:c r="K142" s="11" t="n">
        <x:f t="shared" si="218">'玩家战力_节点'!K142</x:f>
        <x:v>0.24604472622905546</x:v>
      </x:c>
      <x:c r="L142" s="11" t="n">
        <x:f t="shared" si="218">'玩家战力_节点'!L142</x:f>
        <x:v>0.519673047418376</x:v>
      </x:c>
      <x:c r="M142" s="2" t="n">
        <x:f>E142*'模块规划'!$F$10+G142*'模块规划'!$F$11+H142*'模块规划'!$F$13</x:f>
        <x:v>4257.052431434737</x:v>
      </x:c>
      <x:c r="N142" s="2" t="n">
        <x:f>I142*'模块规划'!$F$15+J142*'模块规划'!$F$17+K142*'模块规划'!$F$16+L142*'模块规划'!$F$18</x:f>
        <x:v>11286.754108431149</x:v>
      </x:c>
      <x:c r="O142" s="2" t="n">
        <x:f t="shared" si="191">1+O$9*SUMPRODUCT($H$10:$L$10,H142:L142)/SUM($H$10:$L$10)</x:f>
        <x:v>2.5443463973288516</x:v>
      </x:c>
      <x:c r="P142" s="12" t="n">
        <x:f t="shared" si="192">M142*O142+N142</x:f>
        <x:v>22118.17012559215</x:v>
      </x:c>
      <x:c r="Q142" s="7" t="n">
        <x:f>P142/(P142+'_曲线基线'!$L$2)</x:f>
        <x:v>0.4795977391418272</x:v>
      </x:c>
      <x:c r="R142" s="2" t="n">
        <x:f>E142*'模块规划'!$E$10+G142*'模块规划'!$E$11+H142*'模块规划'!$E$13</x:f>
        <x:v>6385.578647152105</x:v>
      </x:c>
      <x:c r="S142" s="2" t="n">
        <x:f>I142*'模块规划'!$E$15+J142*'模块规划'!$E$17+K142*'模块规划'!$E$16+L142*'模块规划'!$E$18</x:f>
        <x:v>16930.131162646725</x:v>
      </x:c>
      <x:c r="T142" s="2" t="n">
        <x:f t="shared" si="193">1+T$9*SUMPRODUCT($H$10:$L$10,H142:L142)/SUM($H$10:$L$10)</x:f>
        <x:v>2.5443463973288516</x:v>
      </x:c>
      <x:c r="U142" s="12" t="n">
        <x:f t="shared" si="194">R142*T142+S142</x:f>
        <x:v>33177.255188388226</x:v>
      </x:c>
      <x:c r="V142" s="2" t="n">
        <x:f t="shared" si="195">V$8+(V$9-V$8)*H142</x:f>
        <x:v>0.8595842661743865</x:v>
      </x:c>
      <x:c r="W142" s="2" t="n">
        <x:f t="shared" si="196">IF(B142&lt;$H$8,0,W$8+(W$9-W$8)*H142)</x:f>
        <x:v>0.2127790215658487</x:v>
      </x:c>
      <x:c r="X142" s="2" t="n">
        <x:f t="shared" si="197">X$8+(X$9-X$8)*H142</x:f>
        <x:v>0.42128557732652105</x:v>
      </x:c>
      <x:c r="Y142" s="2" t="n">
        <x:f t="shared" si="198">Y$8+(Y$9-Y$8)*G142</x:f>
        <x:v>1</x:v>
      </x:c>
      <x:c r="Z142" s="2" t="n">
        <x:f t="shared" si="199">Z$8+(Z$9-Z$8)*H142</x:f>
        <x:v>1</x:v>
      </x:c>
      <x:c r="AA142" s="2" t="n">
        <x:f t="shared" si="200">AA$8+(AA$9-AA$8)*I142</x:f>
        <x:v>1</x:v>
      </x:c>
      <x:c r="AB142" s="2" t="n">
        <x:f t="shared" si="201">AB$8+(AB$9-AB$8)*J142</x:f>
        <x:v>1</x:v>
      </x:c>
      <x:c r="AC142" s="2" t="n">
        <x:f t="shared" si="202">AC$8+(AC$9-AC$8)*MAX(K142,L142)</x:f>
        <x:v>1</x:v>
      </x:c>
      <x:c r="AD142" s="1" t="n">
        <x:f t="shared" si="203">(V142*AE142+W142*AF142+X142*AG142)*PRODUCT(Y142:AC142)</x:f>
        <x:v>1.6244163456322926</x:v>
      </x:c>
      <x:c r="AE142" s="2" t="n">
        <x:f t="shared" si="204">1+AE$9*($H$10*H142+$I$10*I142+$J$10*J142+$K$10*K142+$L$10*L142)</x:f>
        <x:v>1</x:v>
      </x:c>
      <x:c r="AF142" s="2" t="n">
        <x:f t="shared" si="205">1+AF$9*($H$10*H142+$I$10*I142+$J$10*J142+$K$10*K142+$L$10*L142)</x:f>
        <x:v>1.1363026374970404</x:v>
      </x:c>
      <x:c r="AG142" s="2" t="n">
        <x:f t="shared" si="206">1+AG$9*($H$10*H142+$I$10*I142+$J$10*J142+$K$10*K142+$L$10*L142)</x:f>
        <x:v>1.2415585631197568</x:v>
      </x:c>
      <x:c r="AH142" s="2" t="n">
        <x:f>MIN(1,'_曲线基线'!$L$3+AH$9*($H$10*H142+$I$10*I142+$J$10*J142+$K$10*K142+$L$10*L142))</x:f>
        <x:v>0.3600885003057666</x:v>
      </x:c>
      <x:c r="AI142" s="2" t="n">
        <x:f>'_曲线基线'!$L$4+AI$9*($H$10*H142+$I$10*I142+$J$10*J142+$K$10*K142+$L$10*L142)</x:f>
        <x:v>2.8638179651374926</x:v>
      </x:c>
      <x:c r="AJ142" s="2" t="n">
        <x:f t="shared" si="207">1+AJ$9*($H$10*H142+$I$10*I142+$J$10*J142+$K$10*K142+$L$10*L142)</x:f>
        <x:v>1.7087737149846096</x:v>
      </x:c>
      <x:c r="AK142" s="1" t="n">
        <x:f t="shared" si="208">(1+AH142*(AI142-1))*AJ142</x:f>
        <x:v>2.8555991079805545</x:v>
      </x:c>
      <x:c r="AL142" s="1" t="n">
        <x:f t="shared" si="209">U142*AD142*AK142*F142</x:f>
        <x:v>769493.6602916918</x:v>
      </x:c>
      <x:c r="AM142" s="13" t="n">
        <x:f t="shared" si="210">IF($B142&lt;AM$8,0,AM$3+(AM$4-AM$3)*(POWER(AM$5,$B142-AM$8)-1)/(POWER(AM$5,$C$5-AM$8)-1))</x:f>
        <x:v>38.55173065325917</x:v>
      </x:c>
      <x:c r="AN142" s="13" t="n">
        <x:f>(((E142*'模块规划'!$D$10+G142*'模块规划'!$D$11+H142*'模块规划'!$D$13)*(1+'模块规划'!$G$14*H142)+(I142*'模块规划'!$D$15+J142*'模块规划'!$D$17+K142*'模块规划'!$D$16+L142*'模块规划'!$D$18))*(1+'模块规划'!$J$17*J142))*F142/(1-Q142)</x:f>
        <x:v>1261656.4490719137</x:v>
      </x:c>
      <x:c r="AO142" s="1" t="n">
        <x:f t="shared" si="211">AL142*AM142</x:f>
        <x:v>29665312.330955815</x:v>
      </x:c>
      <x:c r="AP142" s="1" t="n">
        <x:f>IF(AO142="","",INDEX('_曲线基线'!$A$3:$A$502,MIN(ROWS('_曲线基线'!$A$3:$A$502),COUNTIF('_曲线基线'!$E$3:$E$502,"&lt;"&amp;AO142)+1)))</x:f>
        <x:v>206</x:v>
      </x:c>
      <x:c r="AQ142" s="14" t="n">
        <x:f t="shared" si="212">IF(B142&lt;=2,1,IF(B142&lt;=6,2,IF(B142&lt;=9,3,IF(B142&lt;=19,4,5))))</x:f>
        <x:v>5</x:v>
      </x:c>
      <x:c r="AR142" s="10" t="n">
        <x:f t="shared" si="213">AN142*(1-Q142)/F142*$AS$3+U142*$AS$4+P142*$AS$5</x:f>
        <x:v>10574.864248817554</x:v>
      </x:c>
      <x:c r="AS142" s="15" t="n">
        <x:f t="shared" si="214">1+AH142*$AS$6+AI142*$AS$7+(AJ142-1)*$AS$8+($H$10*H142+$I$10*I142+$J$10*J142+$K$10*K142+$L$10*L142)*$AU$3*$AS$9+($H$10*H142+$I$10*I142+$J$10*J142+$K$10*K142+$L$10*L142)*$AU$4*$AS$10</x:f>
        <x:v>13.125817464320011</x:v>
      </x:c>
      <x:c r="AT142" s="16" t="n">
        <x:f t="shared" si="215">ROUND(AR142*AS142,0)</x:f>
        <x:v>138804</x:v>
      </x:c>
      <x:c r="AU142" s="16" t="n">
        <x:f t="shared" si="216">ROUND(AT142*F142,0)</x:f>
        <x:v>694020</x:v>
      </x:c>
      <x:c r="AV142" t="n">
        <x:f>IF(AU142&gt;0,ROUND(AU142,-MAX(0,INT(LOG10(AU142))-2)),0)</x:f>
        <x:v>694000</x:v>
      </x:c>
    </x:row>
    <x:row r="143" customHeight="1">
      <x:c r="A143" s="1" t="str">
        <x:f>IFERROR(XLOOKUP(B143,'_曲线基线'!$G$3:$G$107,'_曲线基线'!$J$3:$J$107,""),"")</x:f>
      </x:c>
      <x:c r="B143" s="1" t="n">
        <x:v>132</x:v>
      </x:c>
      <x:c r="C143" s="1" t="n">
        <x:f t="shared" si="161">C128+1</x:f>
        <x:v>10</x:v>
      </x:c>
      <x:c r="D143" s="1" t="n">
        <x:f t="shared" si="162">D128</x:f>
        <x:v>3</x:v>
      </x:c>
      <x:c r="E143" s="1" t="n">
        <x:f t="shared" si="188">IF($B143&lt;E$8,0,E$3+(E$4-E$3)*(POWER(E$5,$B143-E$8)-1)/(POWER(E$5,$C$5-E$8)-1))</x:f>
        <x:v>1</x:v>
      </x:c>
      <x:c r="F143" s="10" t="n">
        <x:f t="shared" si="189">1+IF(B143&lt;3,0,MIN(1,(B143-2)/4))+IF(B143&lt;7,0,MIN(1,(B143-6)/3))+IF(B143&lt;10,0,MIN(1,(B143-9)/5))+IF(B143&lt;20,0,MIN(1,(B143-19)/10))</x:f>
        <x:v>5</x:v>
      </x:c>
      <x:c r="G143" s="11" t="n">
        <x:f t="shared" ref="G143:L143" si="219">'玩家战力_节点'!G143</x:f>
        <x:v>0.6807097185200985</x:v>
      </x:c>
      <x:c r="H143" s="11" t="n">
        <x:f t="shared" si="219">'玩家战力_节点'!H143</x:f>
        <x:v>0.5336198895660179</x:v>
      </x:c>
      <x:c r="I143" s="11" t="n">
        <x:f t="shared" si="219">'玩家战力_节点'!I143</x:f>
        <x:v>0.39035890568635623</x:v>
      </x:c>
      <x:c r="J143" s="11" t="n">
        <x:f t="shared" si="219">'玩家战力_节点'!J143</x:f>
        <x:v>0.41341717080363516</x:v>
      </x:c>
      <x:c r="K143" s="11" t="n">
        <x:f t="shared" si="219">'玩家战力_节点'!K143</x:f>
        <x:v>0.25167148393788213</x:v>
      </x:c>
      <x:c r="L143" s="11" t="n">
        <x:f t="shared" si="219">'玩家战力_节点'!L143</x:f>
        <x:v>0.5215342038910069</x:v>
      </x:c>
      <x:c r="M143" s="2" t="n">
        <x:f>E143*'模块规划'!$F$10+G143*'模块规划'!$F$11+H143*'模块规划'!$F$13</x:f>
        <x:v>4267.406648896473</x:v>
      </x:c>
      <x:c r="N143" s="2" t="n">
        <x:f>I143*'模块规划'!$F$15+J143*'模块规划'!$F$17+K143*'模块规划'!$F$16+L143*'模块规划'!$F$18</x:f>
        <x:v>11374.742876609529</x:v>
      </x:c>
      <x:c r="O143" s="2" t="n">
        <x:f t="shared" si="191">1+O$9*SUMPRODUCT($H$10:$L$10,H143:L143)/SUM($H$10:$L$10)</x:f>
        <x:v>2.5545713096499956</x:v>
      </x:c>
      <x:c r="P143" s="12" t="n">
        <x:f t="shared" si="192">M143*O143+N143</x:f>
        <x:v>22276.137468490087</x:v>
      </x:c>
      <x:c r="Q143" s="7" t="n">
        <x:f>P143/(P143+'_曲线基线'!$L$2)</x:f>
        <x:v>0.48137417440377656</x:v>
      </x:c>
      <x:c r="R143" s="2" t="n">
        <x:f>E143*'模块规划'!$E$10+G143*'模块规划'!$E$11+H143*'模块规划'!$E$13</x:f>
        <x:v>6401.109973344709</x:v>
      </x:c>
      <x:c r="S143" s="2" t="n">
        <x:f>I143*'模块规划'!$E$15+J143*'模块规划'!$E$17+K143*'模块规划'!$E$16+L143*'模块规划'!$E$18</x:f>
        <x:v>17062.11431491429</x:v>
      </x:c>
      <x:c r="T143" s="2" t="n">
        <x:f t="shared" si="193">1+T$9*SUMPRODUCT($H$10:$L$10,H143:L143)/SUM($H$10:$L$10)</x:f>
        <x:v>2.5545713096499956</x:v>
      </x:c>
      <x:c r="U143" s="12" t="n">
        <x:f t="shared" si="194">R143*T143+S143</x:f>
        <x:v>33414.206202735135</x:v>
      </x:c>
      <x:c r="V143" s="2" t="n">
        <x:f t="shared" si="195">V$8+(V$9-V$8)*H143</x:f>
        <x:v>0.8600859668698053</x:v>
      </x:c>
      <x:c r="W143" s="2" t="n">
        <x:f t="shared" si="196">IF(B143&lt;$H$8,0,W$8+(W$9-W$8)*H143)</x:f>
        <x:v>0.2134479558264072</x:v>
      </x:c>
      <x:c r="X143" s="2" t="n">
        <x:f t="shared" si="197">X$8+(X$9-X$8)*H143</x:f>
        <x:v>0.42174546963065496</x:v>
      </x:c>
      <x:c r="Y143" s="2" t="n">
        <x:f t="shared" si="198">Y$8+(Y$9-Y$8)*G143</x:f>
        <x:v>1</x:v>
      </x:c>
      <x:c r="Z143" s="2" t="n">
        <x:f t="shared" si="199">Z$8+(Z$9-Z$8)*H143</x:f>
        <x:v>1</x:v>
      </x:c>
      <x:c r="AA143" s="2" t="n">
        <x:f t="shared" si="200">AA$8+(AA$9-AA$8)*I143</x:f>
        <x:v>1</x:v>
      </x:c>
      <x:c r="AB143" s="2" t="n">
        <x:f t="shared" si="201">AB$8+(AB$9-AB$8)*J143</x:f>
        <x:v>1</x:v>
      </x:c>
      <x:c r="AC143" s="2" t="n">
        <x:f t="shared" si="202">AC$8+(AC$9-AC$8)*MAX(K143,L143)</x:f>
        <x:v>1</x:v>
      </x:c>
      <x:c r="AD143" s="1" t="n">
        <x:f t="shared" si="203">(V143*AE143+W143*AF143+X143*AG143)*PRODUCT(Y143:AC143)</x:f>
        <x:v>1.627116274628587</x:v>
      </x:c>
      <x:c r="AE143" s="2" t="n">
        <x:f t="shared" si="204">1+AE$9*($H$10*H143+$I$10*I143+$J$10*J143+$K$10*K143+$L$10*L143)</x:f>
        <x:v>1</x:v>
      </x:c>
      <x:c r="AF143" s="2" t="n">
        <x:f t="shared" si="205">1+AF$9*($H$10*H143+$I$10*I143+$J$10*J143+$K$10*K143+$L$10*L143)</x:f>
        <x:v>1.1372050791512953</x:v>
      </x:c>
      <x:c r="AG143" s="2" t="n">
        <x:f t="shared" si="206">1+AG$9*($H$10*H143+$I$10*I143+$J$10*J143+$K$10*K143+$L$10*L143)</x:f>
        <x:v>1.2431578902736862</x:v>
      </x:c>
      <x:c r="AH143" s="2" t="n">
        <x:f>MIN(1,'_曲线基线'!$L$3+AH$9*($H$10*H143+$I$10*I143+$J$10*J143+$K$10*K143+$L$10*L143))</x:f>
        <x:v>0.3621415550691964</x:v>
      </x:c>
      <x:c r="AI143" s="2" t="n">
        <x:f>'_曲线基线'!$L$4+AI$9*($H$10*H143+$I$10*I143+$J$10*J143+$K$10*K143+$L$10*L143)</x:f>
        <x:v>2.869537189121333</x:v>
      </x:c>
      <x:c r="AJ143" s="2" t="n">
        <x:f t="shared" si="207">1+AJ$9*($H$10*H143+$I$10*I143+$J$10*J143+$K$10*K143+$L$10*L143)</x:f>
        <x:v>1.7134664115867348</x:v>
      </x:c>
      <x:c r="AK143" s="1" t="n">
        <x:f t="shared" si="208">(1+AH143*(AI143-1))*AJ143</x:f>
        <x:v>2.8735467502789476</x:v>
      </x:c>
      <x:c r="AL143" s="1" t="n">
        <x:f t="shared" si="209">U143*AD143*AK143*F143</x:f>
        <x:v>781156.4243384793</x:v>
      </x:c>
      <x:c r="AM143" s="13" t="n">
        <x:f t="shared" si="210">IF($B143&lt;AM$8,0,AM$3+(AM$4-AM$3)*(POWER(AM$5,$B143-AM$8)-1)/(POWER(AM$5,$C$5-AM$8)-1))</x:f>
        <x:v>38.60067259971363</x:v>
      </x:c>
      <x:c r="AN143" s="13" t="n">
        <x:f>(((E143*'模块规划'!$D$10+G143*'模块规划'!$D$11+H143*'模块规划'!$D$13)*(1+'模块规划'!$G$14*H143)+(I143*'模块规划'!$D$15+J143*'模块规划'!$D$17+K143*'模块规划'!$D$16+L143*'模块规划'!$D$18))*(1+'模块规划'!$J$17*J143))*F143/(1-Q143)</x:f>
        <x:v>1275891.9851987187</x:v>
      </x:c>
      <x:c r="AO143" s="1" t="n">
        <x:f t="shared" si="211">AL143*AM143</x:f>
        <x:v>30153163.385052614</x:v>
      </x:c>
      <x:c r="AP143" s="1" t="n">
        <x:f>IF(AO143="","",INDEX('_曲线基线'!$A$3:$A$502,MIN(ROWS('_曲线基线'!$A$3:$A$502),COUNTIF('_曲线基线'!$E$3:$E$502,"&lt;"&amp;AO143)+1)))</x:f>
        <x:v>207</x:v>
      </x:c>
      <x:c r="AQ143" s="14" t="n">
        <x:f t="shared" si="212">IF(B143&lt;=2,1,IF(B143&lt;=6,2,IF(B143&lt;=9,3,IF(B143&lt;=19,4,5))))</x:f>
        <x:v>5</x:v>
      </x:c>
      <x:c r="AR143" s="10" t="n">
        <x:f t="shared" si="213">AN143*(1-Q143)/F143*$AS$3+U143*$AS$4+P143*$AS$5</x:f>
        <x:v>10653.104445718767</x:v>
      </x:c>
      <x:c r="AS143" s="15" t="n">
        <x:f t="shared" si="214">1+AH143*$AS$6+AI143*$AS$7+(AJ143-1)*$AS$8+($H$10*H143+$I$10*I143+$J$10*J143+$K$10*K143+$L$10*L143)*$AU$3*$AS$9+($H$10*H143+$I$10*I143+$J$10*J143+$K$10*K143+$L$10*L143)*$AU$4*$AS$10</x:f>
        <x:v>13.17973937856107</x:v>
      </x:c>
      <x:c r="AT143" s="16" t="n">
        <x:f t="shared" si="215">ROUND(AR143*AS143,0)</x:f>
        <x:v>140405</x:v>
      </x:c>
      <x:c r="AU143" s="16" t="n">
        <x:f t="shared" si="216">ROUND(AT143*F143,0)</x:f>
        <x:v>702025</x:v>
      </x:c>
      <x:c r="AV143" t="n">
        <x:f>IF(AU143&gt;0,ROUND(AU143,-MAX(0,INT(LOG10(AU143))-2)),0)</x:f>
        <x:v>702000</x:v>
      </x:c>
    </x:row>
    <x:row r="144" customHeight="1">
      <x:c r="A144" s="1" t="str">
        <x:f>IFERROR(XLOOKUP(B144,'_曲线基线'!$G$3:$G$107,'_曲线基线'!$J$3:$J$107,""),"")</x:f>
      </x:c>
      <x:c r="B144" s="1" t="n">
        <x:v>133</x:v>
      </x:c>
      <x:c r="C144" s="1" t="n">
        <x:f t="shared" si="161">C129+1</x:f>
        <x:v>10</x:v>
      </x:c>
      <x:c r="D144" s="1" t="n">
        <x:f t="shared" si="162">D129</x:f>
        <x:v>4</x:v>
      </x:c>
      <x:c r="E144" s="1" t="n">
        <x:f t="shared" si="188">IF($B144&lt;E$8,0,E$3+(E$4-E$3)*(POWER(E$5,$B144-E$8)-1)/(POWER(E$5,$C$5-E$8)-1))</x:f>
        <x:v>1</x:v>
      </x:c>
      <x:c r="F144" s="10" t="n">
        <x:f t="shared" si="189">1+IF(B144&lt;3,0,MIN(1,(B144-2)/4))+IF(B144&lt;7,0,MIN(1,(B144-6)/3))+IF(B144&lt;10,0,MIN(1,(B144-9)/5))+IF(B144&lt;20,0,MIN(1,(B144-19)/10))</x:f>
        <x:v>5</x:v>
      </x:c>
      <x:c r="G144" s="11" t="n">
        <x:f t="shared" ref="G144:L144" si="220">'玩家战力_节点'!G144</x:f>
        <x:v>0.6828668471579603</x:v>
      </x:c>
      <x:c r="H144" s="11" t="n">
        <x:f t="shared" si="220">'玩家战力_节点'!H144</x:f>
        <x:v>0.5352922252174142</x:v>
      </x:c>
      <x:c r="I144" s="11" t="n">
        <x:f t="shared" si="220">'玩家战力_节点'!I144</x:f>
        <x:v>0.39351488375875665</x:v>
      </x:c>
      <x:c r="J144" s="11" t="n">
        <x:f t="shared" si="220">'玩家战力_节点'!J144</x:f>
        <x:v>0.4153846323019415</x:v>
      </x:c>
      <x:c r="K144" s="11" t="n">
        <x:f t="shared" si="220">'玩家战力_节点'!K144</x:f>
        <x:v>0.25729824164670884</x:v>
      </x:c>
      <x:c r="L144" s="11" t="n">
        <x:f t="shared" si="220">'玩家战力_节点'!L144</x:f>
        <x:v>0.5233953603636377</x:v>
      </x:c>
      <x:c r="M144" s="2" t="n">
        <x:f>E144*'模块规划'!$F$10+G144*'模块规划'!$F$11+H144*'模块规划'!$F$13</x:f>
        <x:v>4277.76086635821</x:v>
      </x:c>
      <x:c r="N144" s="2" t="n">
        <x:f>I144*'模块规划'!$F$15+J144*'模块规划'!$F$17+K144*'模块规划'!$F$16+L144*'模块规划'!$F$18</x:f>
        <x:v>11462.731644787907</x:v>
      </x:c>
      <x:c r="O144" s="2" t="n">
        <x:f t="shared" si="191">1+O$9*SUMPRODUCT($H$10:$L$10,H144:L144)/SUM($H$10:$L$10)</x:f>
        <x:v>2.56479622197114</x:v>
      </x:c>
      <x:c r="P144" s="12" t="n">
        <x:f t="shared" si="192">M144*O144+N144</x:f>
        <x:v>22434.316553319433</x:v>
      </x:c>
      <x:c r="Q144" s="7" t="n">
        <x:f>P144/(P144+'_曲线基线'!$L$2)</x:f>
        <x:v>0.483140879818025</x:v>
      </x:c>
      <x:c r="R144" s="2" t="n">
        <x:f>E144*'模块规划'!$E$10+G144*'模块规划'!$E$11+H144*'模块规划'!$E$13</x:f>
        <x:v>6416.641299537314</x:v>
      </x:c>
      <x:c r="S144" s="2" t="n">
        <x:f>I144*'模块规划'!$E$15+J144*'模块规划'!$E$17+K144*'模块规划'!$E$16+L144*'模块规划'!$E$18</x:f>
        <x:v>17194.097467181866</x:v>
      </x:c>
      <x:c r="T144" s="2" t="n">
        <x:f t="shared" si="193">1+T$9*SUMPRODUCT($H$10:$L$10,H144:L144)/SUM($H$10:$L$10)</x:f>
        <x:v>2.56479622197114</x:v>
      </x:c>
      <x:c r="U144" s="12" t="n">
        <x:f t="shared" si="194">R144*T144+S144</x:f>
        <x:v>33651.47482997915</x:v>
      </x:c>
      <x:c r="V144" s="2" t="n">
        <x:f t="shared" si="195">V$8+(V$9-V$8)*H144</x:f>
        <x:v>0.8605876675652242</x:v>
      </x:c>
      <x:c r="W144" s="2" t="n">
        <x:f t="shared" si="196">IF(B144&lt;$H$8,0,W$8+(W$9-W$8)*H144)</x:f>
        <x:v>0.21411689008696566</x:v>
      </x:c>
      <x:c r="X144" s="2" t="n">
        <x:f t="shared" si="197">X$8+(X$9-X$8)*H144</x:f>
        <x:v>0.4222053619347889</x:v>
      </x:c>
      <x:c r="Y144" s="2" t="n">
        <x:f t="shared" si="198">Y$8+(Y$9-Y$8)*G144</x:f>
        <x:v>1</x:v>
      </x:c>
      <x:c r="Z144" s="2" t="n">
        <x:f t="shared" si="199">Z$8+(Z$9-Z$8)*H144</x:f>
        <x:v>1</x:v>
      </x:c>
      <x:c r="AA144" s="2" t="n">
        <x:f t="shared" si="200">AA$8+(AA$9-AA$8)*I144</x:f>
        <x:v>1</x:v>
      </x:c>
      <x:c r="AB144" s="2" t="n">
        <x:f t="shared" si="201">AB$8+(AB$9-AB$8)*J144</x:f>
        <x:v>1</x:v>
      </x:c>
      <x:c r="AC144" s="2" t="n">
        <x:f t="shared" si="202">AC$8+(AC$9-AC$8)*MAX(K144,L144)</x:f>
        <x:v>1</x:v>
      </x:c>
      <x:c r="AD144" s="1" t="n">
        <x:f t="shared" si="203">(V144*AE144+W144*AF144+X144*AG144)*PRODUCT(Y144:AC144)</x:f>
        <x:v>1.6298188820096624</x:v>
      </x:c>
      <x:c r="AE144" s="2" t="n">
        <x:f t="shared" si="204">1+AE$9*($H$10*H144+$I$10*I144+$J$10*J144+$K$10*K144+$L$10*L144)</x:f>
        <x:v>1</x:v>
      </x:c>
      <x:c r="AF144" s="2" t="n">
        <x:f t="shared" si="205">1+AF$9*($H$10*H144+$I$10*I144+$J$10*J144+$K$10*K144+$L$10*L144)</x:f>
        <x:v>1.13810752080555</x:v>
      </x:c>
      <x:c r="AG144" s="2" t="n">
        <x:f t="shared" si="206">1+AG$9*($H$10*H144+$I$10*I144+$J$10*J144+$K$10*K144+$L$10*L144)</x:f>
        <x:v>1.2447572174276158</x:v>
      </x:c>
      <x:c r="AH144" s="2" t="n">
        <x:f>MIN(1,'_曲线基线'!$L$3+AH$9*($H$10*H144+$I$10*I144+$J$10*J144+$K$10*K144+$L$10*L144))</x:f>
        <x:v>0.3641946098326262</x:v>
      </x:c>
      <x:c r="AI144" s="2" t="n">
        <x:f>'_曲线基线'!$L$4+AI$9*($H$10*H144+$I$10*I144+$J$10*J144+$K$10*K144+$L$10*L144)</x:f>
        <x:v>2.875256413105173</x:v>
      </x:c>
      <x:c r="AJ144" s="2" t="n">
        <x:f t="shared" si="207">1+AJ$9*($H$10*H144+$I$10*I144+$J$10*J144+$K$10*K144+$L$10*L144)</x:f>
        <x:v>1.71815910818886</x:v>
      </x:c>
      <x:c r="AK144" s="1" t="n">
        <x:f t="shared" si="208">(1+AH144*(AI144-1))*AJ144</x:f>
        <x:v>2.8915900935440653</x:v>
      </x:c>
      <x:c r="AL144" s="1" t="n">
        <x:f t="shared" si="209">U144*AD144*AK144*F144</x:f>
        <x:v>792957.9911183671</x:v>
      </x:c>
      <x:c r="AM144" s="13" t="n">
        <x:f t="shared" si="210">IF($B144&lt;AM$8,0,AM$3+(AM$4-AM$3)*(POWER(AM$5,$B144-AM$8)-1)/(POWER(AM$5,$C$5-AM$8)-1))</x:f>
        <x:v>38.65010396563264</x:v>
      </x:c>
      <x:c r="AN144" s="13" t="n">
        <x:f>(((E144*'模块规划'!$D$10+G144*'模块规划'!$D$11+H144*'模块规划'!$D$13)*(1+'模块规划'!$G$14*H144)+(I144*'模块规划'!$D$15+J144*'模块规划'!$D$17+K144*'模块规划'!$D$16+L144*'模块规划'!$D$18))*(1+'模块规划'!$J$17*J144))*F144/(1-Q144)</x:f>
        <x:v>1290228.4084480614</x:v>
      </x:c>
      <x:c r="AO144" s="1" t="n">
        <x:f t="shared" si="211">AL144*AM144</x:f>
        <x:v>30647908.79710409</x:v>
      </x:c>
      <x:c r="AP144" s="1" t="n">
        <x:f>IF(AO144="","",INDEX('_曲线基线'!$A$3:$A$502,MIN(ROWS('_曲线基线'!$A$3:$A$502),COUNTIF('_曲线基线'!$E$3:$E$502,"&lt;"&amp;AO144)+1)))</x:f>
        <x:v>209</x:v>
      </x:c>
      <x:c r="AQ144" s="14" t="n">
        <x:f t="shared" si="212">IF(B144&lt;=2,1,IF(B144&lt;=6,2,IF(B144&lt;=9,3,IF(B144&lt;=19,4,5))))</x:f>
        <x:v>5</x:v>
      </x:c>
      <x:c r="AR144" s="10" t="n">
        <x:f t="shared" si="213">AN144*(1-Q144)/F144*$AS$3+U144*$AS$4+P144*$AS$5</x:f>
        <x:v>10731.49288614136</x:v>
      </x:c>
      <x:c r="AS144" s="15" t="n">
        <x:f t="shared" si="214">1+AH144*$AS$6+AI144*$AS$7+(AJ144-1)*$AS$8+($H$10*H144+$I$10*I144+$J$10*J144+$K$10*K144+$L$10*L144)*$AU$3*$AS$9+($H$10*H144+$I$10*I144+$J$10*J144+$K$10*K144+$L$10*L144)*$AU$4*$AS$10</x:f>
        <x:v>13.233661292802129</x:v>
      </x:c>
      <x:c r="AT144" s="16" t="n">
        <x:f t="shared" si="215">ROUND(AR144*AS144,0)</x:f>
        <x:v>142017</x:v>
      </x:c>
      <x:c r="AU144" s="16" t="n">
        <x:f t="shared" si="216">ROUND(AT144*F144,0)</x:f>
        <x:v>710085</x:v>
      </x:c>
      <x:c r="AV144" t="n">
        <x:f>IF(AU144&gt;0,ROUND(AU144,-MAX(0,INT(LOG10(AU144))-2)),0)</x:f>
        <x:v>710000</x:v>
      </x:c>
    </x:row>
    <x:row r="145" customHeight="1">
      <x:c r="A145" s="1" t="str">
        <x:f>IFERROR(XLOOKUP(B145,'_曲线基线'!$G$3:$G$107,'_曲线基线'!$J$3:$J$107,""),"")</x:f>
      </x:c>
      <x:c r="B145" s="1" t="n">
        <x:v>134</x:v>
      </x:c>
      <x:c r="C145" s="1" t="n">
        <x:f t="shared" si="161">C130+1</x:f>
        <x:v>10</x:v>
      </x:c>
      <x:c r="D145" s="1" t="n">
        <x:f t="shared" si="162">D130</x:f>
        <x:v>5</x:v>
      </x:c>
      <x:c r="E145" s="1" t="n">
        <x:f t="shared" si="188">IF($B145&lt;E$8,0,E$3+(E$4-E$3)*(POWER(E$5,$B145-E$8)-1)/(POWER(E$5,$C$5-E$8)-1))</x:f>
        <x:v>1</x:v>
      </x:c>
      <x:c r="F145" s="10" t="n">
        <x:f t="shared" si="189">1+IF(B145&lt;3,0,MIN(1,(B145-2)/4))+IF(B145&lt;7,0,MIN(1,(B145-6)/3))+IF(B145&lt;10,0,MIN(1,(B145-9)/5))+IF(B145&lt;20,0,MIN(1,(B145-19)/10))</x:f>
        <x:v>5</x:v>
      </x:c>
      <x:c r="G145" s="11" t="n">
        <x:f t="shared" ref="G145:L145" si="221">'玩家战力_节点'!G145</x:f>
        <x:v>0.6850239757958221</x:v>
      </x:c>
      <x:c r="H145" s="11" t="n">
        <x:f t="shared" si="221">'玩家战力_节点'!H145</x:f>
        <x:v>0.5369645608688104</x:v>
      </x:c>
      <x:c r="I145" s="11" t="n">
        <x:f t="shared" si="221">'玩家战力_节点'!I145</x:f>
        <x:v>0.396670861831157</x:v>
      </x:c>
      <x:c r="J145" s="11" t="n">
        <x:f t="shared" si="221">'玩家战力_节点'!J145</x:f>
        <x:v>0.41735209380024785</x:v>
      </x:c>
      <x:c r="K145" s="11" t="n">
        <x:f t="shared" si="221">'玩家战力_节点'!K145</x:f>
        <x:v>0.2629249993555355</x:v>
      </x:c>
      <x:c r="L145" s="11" t="n">
        <x:f t="shared" si="221">'玩家战力_节点'!L145</x:f>
        <x:v>0.5252565168362684</x:v>
      </x:c>
      <x:c r="M145" s="2" t="n">
        <x:f>E145*'模块规划'!$F$10+G145*'模块规划'!$F$11+H145*'模块规划'!$F$13</x:f>
        <x:v>4288.115083819946</x:v>
      </x:c>
      <x:c r="N145" s="2" t="n">
        <x:f>I145*'模块规划'!$F$15+J145*'模块规划'!$F$17+K145*'模块规划'!$F$16+L145*'模块规划'!$F$18</x:f>
        <x:v>11550.72041296629</x:v>
      </x:c>
      <x:c r="O145" s="2" t="n">
        <x:f t="shared" si="191">1+O$9*SUMPRODUCT($H$10:$L$10,H145:L145)/SUM($H$10:$L$10)</x:f>
        <x:v>2.5750211342922844</x:v>
      </x:c>
      <x:c r="P145" s="12" t="n">
        <x:f t="shared" si="192">M145*O145+N145</x:f>
        <x:v>22592.70738008018</x:v>
      </x:c>
      <x:c r="Q145" s="7" t="n">
        <x:f>P145/(P145+'_曲线基线'!$L$2)</x:f>
        <x:v>0.48489793039455914</x:v>
      </x:c>
      <x:c r="R145" s="2" t="n">
        <x:f>E145*'模块规划'!$E$10+G145*'模块规划'!$E$11+H145*'模块规划'!$E$13</x:f>
        <x:v>6432.172625729919</x:v>
      </x:c>
      <x:c r="S145" s="2" t="n">
        <x:f>I145*'模块规划'!$E$15+J145*'模块规划'!$E$17+K145*'模块规划'!$E$16+L145*'模块规划'!$E$18</x:f>
        <x:v>17326.080619449433</x:v>
      </x:c>
      <x:c r="T145" s="2" t="n">
        <x:f t="shared" si="193">1+T$9*SUMPRODUCT($H$10:$L$10,H145:L145)/SUM($H$10:$L$10)</x:f>
        <x:v>2.5750211342922844</x:v>
      </x:c>
      <x:c r="U145" s="12" t="n">
        <x:f t="shared" si="194">R145*T145+S145</x:f>
        <x:v>33889.06107012027</x:v>
      </x:c>
      <x:c r="V145" s="2" t="n">
        <x:f t="shared" si="195">V$8+(V$9-V$8)*H145</x:f>
        <x:v>0.8610893682606431</x:v>
      </x:c>
      <x:c r="W145" s="2" t="n">
        <x:f t="shared" si="196">IF(B145&lt;$H$8,0,W$8+(W$9-W$8)*H145)</x:f>
        <x:v>0.21478582434752416</x:v>
      </x:c>
      <x:c r="X145" s="2" t="n">
        <x:f t="shared" si="197">X$8+(X$9-X$8)*H145</x:f>
        <x:v>0.42266525423892287</x:v>
      </x:c>
      <x:c r="Y145" s="2" t="n">
        <x:f t="shared" si="198">Y$8+(Y$9-Y$8)*G145</x:f>
        <x:v>1</x:v>
      </x:c>
      <x:c r="Z145" s="2" t="n">
        <x:f t="shared" si="199">Z$8+(Z$9-Z$8)*H145</x:f>
        <x:v>1</x:v>
      </x:c>
      <x:c r="AA145" s="2" t="n">
        <x:f t="shared" si="200">AA$8+(AA$9-AA$8)*I145</x:f>
        <x:v>1</x:v>
      </x:c>
      <x:c r="AB145" s="2" t="n">
        <x:f t="shared" si="201">AB$8+(AB$9-AB$8)*J145</x:f>
        <x:v>1</x:v>
      </x:c>
      <x:c r="AC145" s="2" t="n">
        <x:f t="shared" si="202">AC$8+(AC$9-AC$8)*MAX(K145,L145)</x:f>
        <x:v>1</x:v>
      </x:c>
      <x:c r="AD145" s="1" t="n">
        <x:f t="shared" si="203">(V145*AE145+W145*AF145+X145*AG145)*PRODUCT(Y145:AC145)</x:f>
        <x:v>1.632524167775519</x:v>
      </x:c>
      <x:c r="AE145" s="2" t="n">
        <x:f t="shared" si="204">1+AE$9*($H$10*H145+$I$10*I145+$J$10*J145+$K$10*K145+$L$10*L145)</x:f>
        <x:v>1</x:v>
      </x:c>
      <x:c r="AF145" s="2" t="n">
        <x:f t="shared" si="205">1+AF$9*($H$10*H145+$I$10*I145+$J$10*J145+$K$10*K145+$L$10*L145)</x:f>
        <x:v>1.139009962459805</x:v>
      </x:c>
      <x:c r="AG145" s="2" t="n">
        <x:f t="shared" si="206">1+AG$9*($H$10*H145+$I$10*I145+$J$10*J145+$K$10*K145+$L$10*L145)</x:f>
        <x:v>1.2463565445815452</x:v>
      </x:c>
      <x:c r="AH145" s="2" t="n">
        <x:f>MIN(1,'_曲线基线'!$L$3+AH$9*($H$10*H145+$I$10*I145+$J$10*J145+$K$10*K145+$L$10*L145))</x:f>
        <x:v>0.36624766459605596</x:v>
      </x:c>
      <x:c r="AI145" s="2" t="n">
        <x:f>'_曲线基线'!$L$4+AI$9*($H$10*H145+$I$10*I145+$J$10*J145+$K$10*K145+$L$10*L145)</x:f>
        <x:v>2.880975637089013</x:v>
      </x:c>
      <x:c r="AJ145" s="2" t="n">
        <x:f t="shared" si="207">1+AJ$9*($H$10*H145+$I$10*I145+$J$10*J145+$K$10*K145+$L$10*L145)</x:f>
        <x:v>1.7228518047909853</x:v>
      </x:c>
      <x:c r="AK145" s="1" t="n">
        <x:f t="shared" si="208">(1+AH145*(AI145-1))*AJ145</x:f>
        <x:v>2.9097294683823907</x:v>
      </x:c>
      <x:c r="AL145" s="1" t="n">
        <x:f t="shared" si="209">U145*AD145*AK145*F145</x:f>
        <x:v>804899.7128356902</x:v>
      </x:c>
      <x:c r="AM145" s="13" t="n">
        <x:f t="shared" si="210">IF($B145&lt;AM$8,0,AM$3+(AM$4-AM$3)*(POWER(AM$5,$B145-AM$8)-1)/(POWER(AM$5,$C$5-AM$8)-1))</x:f>
        <x:v>38.70002964521083</x:v>
      </x:c>
      <x:c r="AN145" s="13" t="n">
        <x:f>(((E145*'模块规划'!$D$10+G145*'模块规划'!$D$11+H145*'模块规划'!$D$13)*(1+'模块规划'!$G$14*H145)+(I145*'模块规划'!$D$15+J145*'模块规划'!$D$17+K145*'模块规划'!$D$16+L145*'模块规划'!$D$18))*(1+'模块规划'!$J$17*J145))*F145/(1-Q145)</x:f>
        <x:v>1304666.1451855558</x:v>
      </x:c>
      <x:c r="AO145" s="1" t="n">
        <x:f t="shared" si="211">AL145*AM145</x:f>
        <x:v>31149642.7481629</x:v>
      </x:c>
      <x:c r="AP145" s="1" t="n">
        <x:f>IF(AO145="","",INDEX('_曲线基线'!$A$3:$A$502,MIN(ROWS('_曲线基线'!$A$3:$A$502),COUNTIF('_曲线基线'!$E$3:$E$502,"&lt;"&amp;AO145)+1)))</x:f>
        <x:v>210</x:v>
      </x:c>
      <x:c r="AQ145" s="14" t="n">
        <x:f t="shared" si="212">IF(B145&lt;=2,1,IF(B145&lt;=6,2,IF(B145&lt;=9,3,IF(B145&lt;=19,4,5))))</x:f>
        <x:v>5</x:v>
      </x:c>
      <x:c r="AR145" s="10" t="n">
        <x:f t="shared" si="213">AN145*(1-Q145)/F145*$AS$3+U145*$AS$4+P145*$AS$5</x:f>
        <x:v>10810.029603199448</x:v>
      </x:c>
      <x:c r="AS145" s="15" t="n">
        <x:f t="shared" si="214">1+AH145*$AS$6+AI145*$AS$7+(AJ145-1)*$AS$8+($H$10*H145+$I$10*I145+$J$10*J145+$K$10*K145+$L$10*L145)*$AU$3*$AS$9+($H$10*H145+$I$10*I145+$J$10*J145+$K$10*K145+$L$10*L145)*$AU$4*$AS$10</x:f>
        <x:v>13.287583207043184</x:v>
      </x:c>
      <x:c r="AT145" s="16" t="n">
        <x:f t="shared" si="215">ROUND(AR145*AS145,0)</x:f>
        <x:v>143639</x:v>
      </x:c>
      <x:c r="AU145" s="16" t="n">
        <x:f t="shared" si="216">ROUND(AT145*F145,0)</x:f>
        <x:v>718195</x:v>
      </x:c>
      <x:c r="AV145" t="n">
        <x:f>IF(AU145&gt;0,ROUND(AU145,-MAX(0,INT(LOG10(AU145))-2)),0)</x:f>
        <x:v>718000</x:v>
      </x:c>
    </x:row>
    <x:row r="146" customHeight="1">
      <x:c r="A146" s="1" t="str">
        <x:f>IFERROR(XLOOKUP(B146,'_曲线基线'!$G$3:$G$107,'_曲线基线'!$J$3:$J$107,""),"")</x:f>
      </x:c>
      <x:c r="B146" s="1" t="n">
        <x:v>135</x:v>
      </x:c>
      <x:c r="C146" s="1" t="n">
        <x:f t="shared" si="161">C131+1</x:f>
        <x:v>10</x:v>
      </x:c>
      <x:c r="D146" s="1" t="n">
        <x:f t="shared" si="162">D131</x:f>
        <x:v>6</x:v>
      </x:c>
      <x:c r="E146" s="1" t="n">
        <x:f t="shared" si="188">IF($B146&lt;E$8,0,E$3+(E$4-E$3)*(POWER(E$5,$B146-E$8)-1)/(POWER(E$5,$C$5-E$8)-1))</x:f>
        <x:v>1</x:v>
      </x:c>
      <x:c r="F146" s="10" t="n">
        <x:f t="shared" si="189">1+IF(B146&lt;3,0,MIN(1,(B146-2)/4))+IF(B146&lt;7,0,MIN(1,(B146-6)/3))+IF(B146&lt;10,0,MIN(1,(B146-9)/5))+IF(B146&lt;20,0,MIN(1,(B146-19)/10))</x:f>
        <x:v>5</x:v>
      </x:c>
      <x:c r="G146" s="11" t="n">
        <x:f t="shared" ref="G146:L146" si="222">'玩家战力_节点'!G146</x:f>
        <x:v>0.6871811044336839</x:v>
      </x:c>
      <x:c r="H146" s="11" t="n">
        <x:f t="shared" si="222">'玩家战力_节点'!H146</x:f>
        <x:v>0.5386368965202065</x:v>
      </x:c>
      <x:c r="I146" s="11" t="n">
        <x:f t="shared" si="222">'玩家战力_节点'!I146</x:f>
        <x:v>0.39982683990355744</x:v>
      </x:c>
      <x:c r="J146" s="11" t="n">
        <x:f t="shared" si="222">'玩家战力_节点'!J146</x:f>
        <x:v>0.4193195552985541</x:v>
      </x:c>
      <x:c r="K146" s="11" t="n">
        <x:f t="shared" si="222">'玩家战力_节点'!K146</x:f>
        <x:v>0.2685517570643622</x:v>
      </x:c>
      <x:c r="L146" s="11" t="n">
        <x:f t="shared" si="222">'玩家战力_节点'!L146</x:f>
        <x:v>0.5271176733088992</x:v>
      </x:c>
      <x:c r="M146" s="2" t="n">
        <x:f>E146*'模块规划'!$F$10+G146*'模块规划'!$F$11+H146*'模块规划'!$F$13</x:f>
        <x:v>4298.469301281682</x:v>
      </x:c>
      <x:c r="N146" s="2" t="n">
        <x:f>I146*'模块规划'!$F$15+J146*'模块规划'!$F$17+K146*'模块规划'!$F$16+L146*'模块规划'!$F$18</x:f>
        <x:v>11638.709181144668</x:v>
      </x:c>
      <x:c r="O146" s="2" t="n">
        <x:f t="shared" si="191">1+O$9*SUMPRODUCT($H$10:$L$10,H146:L146)/SUM($H$10:$L$10)</x:f>
        <x:v>2.5852460466134284</x:v>
      </x:c>
      <x:c r="P146" s="12" t="n">
        <x:f t="shared" si="192">M146*O146+N146</x:f>
        <x:v>22751.309948772323</x:v>
      </x:c>
      <x:c r="Q146" s="7" t="n">
        <x:f>P146/(P146+'_曲线基线'!$L$2)</x:f>
        <x:v>0.4866454003898936</x:v>
      </x:c>
      <x:c r="R146" s="2" t="n">
        <x:f>E146*'模块规划'!$E$10+G146*'模块规划'!$E$11+H146*'模块规划'!$E$13</x:f>
        <x:v>6447.703951922524</x:v>
      </x:c>
      <x:c r="S146" s="2" t="n">
        <x:f>I146*'模块规划'!$E$15+J146*'模块规划'!$E$17+K146*'模块规划'!$E$16+L146*'模块规划'!$E$18</x:f>
        <x:v>17458.063771717003</x:v>
      </x:c>
      <x:c r="T146" s="2" t="n">
        <x:f t="shared" si="193">1+T$9*SUMPRODUCT($H$10:$L$10,H146:L146)/SUM($H$10:$L$10)</x:f>
        <x:v>2.5852460466134284</x:v>
      </x:c>
      <x:c r="U146" s="12" t="n">
        <x:f t="shared" si="194">R146*T146+S146</x:f>
        <x:v>34126.964923158484</x:v>
      </x:c>
      <x:c r="V146" s="2" t="n">
        <x:f t="shared" si="195">V$8+(V$9-V$8)*H146</x:f>
        <x:v>0.861591068956062</x:v>
      </x:c>
      <x:c r="W146" s="2" t="n">
        <x:f t="shared" si="196">IF(B146&lt;$H$8,0,W$8+(W$9-W$8)*H146)</x:f>
        <x:v>0.2154547586080826</x:v>
      </x:c>
      <x:c r="X146" s="2" t="n">
        <x:f t="shared" si="197">X$8+(X$9-X$8)*H146</x:f>
        <x:v>0.42312514654305683</x:v>
      </x:c>
      <x:c r="Y146" s="2" t="n">
        <x:f t="shared" si="198">Y$8+(Y$9-Y$8)*G146</x:f>
        <x:v>1</x:v>
      </x:c>
      <x:c r="Z146" s="2" t="n">
        <x:f t="shared" si="199">Z$8+(Z$9-Z$8)*H146</x:f>
        <x:v>1</x:v>
      </x:c>
      <x:c r="AA146" s="2" t="n">
        <x:f t="shared" si="200">AA$8+(AA$9-AA$8)*I146</x:f>
        <x:v>1</x:v>
      </x:c>
      <x:c r="AB146" s="2" t="n">
        <x:f t="shared" si="201">AB$8+(AB$9-AB$8)*J146</x:f>
        <x:v>1</x:v>
      </x:c>
      <x:c r="AC146" s="2" t="n">
        <x:f t="shared" si="202">AC$8+(AC$9-AC$8)*MAX(K146,L146)</x:f>
        <x:v>1</x:v>
      </x:c>
      <x:c r="AD146" s="1" t="n">
        <x:f t="shared" si="203">(V146*AE146+W146*AF146+X146*AG146)*PRODUCT(Y146:AC146)</x:f>
        <x:v>1.6352321319261567</x:v>
      </x:c>
      <x:c r="AE146" s="2" t="n">
        <x:f t="shared" si="204">1+AE$9*($H$10*H146+$I$10*I146+$J$10*J146+$K$10*K146+$L$10*L146)</x:f>
        <x:v>1</x:v>
      </x:c>
      <x:c r="AF146" s="2" t="n">
        <x:f t="shared" si="205">1+AF$9*($H$10*H146+$I$10*I146+$J$10*J146+$K$10*K146+$L$10*L146)</x:f>
        <x:v>1.1399124041140598</x:v>
      </x:c>
      <x:c r="AG146" s="2" t="n">
        <x:f t="shared" si="206">1+AG$9*($H$10*H146+$I$10*I146+$J$10*J146+$K$10*K146+$L$10*L146)</x:f>
        <x:v>1.2479558717354746</x:v>
      </x:c>
      <x:c r="AH146" s="2" t="n">
        <x:f>MIN(1,'_曲线基线'!$L$3+AH$9*($H$10*H146+$I$10*I146+$J$10*J146+$K$10*K146+$L$10*L146))</x:f>
        <x:v>0.3683007193594857</x:v>
      </x:c>
      <x:c r="AI146" s="2" t="n">
        <x:f>'_曲线基线'!$L$4+AI$9*($H$10*H146+$I$10*I146+$J$10*J146+$K$10*K146+$L$10*L146)</x:f>
        <x:v>2.8866948610728533</x:v>
      </x:c>
      <x:c r="AJ146" s="2" t="n">
        <x:f t="shared" si="207">1+AJ$9*($H$10*H146+$I$10*I146+$J$10*J146+$K$10*K146+$L$10*L146)</x:f>
        <x:v>1.7275445013931103</x:v>
      </x:c>
      <x:c r="AK146" s="1" t="n">
        <x:f t="shared" si="208">(1+AH146*(AI146-1))*AJ146</x:f>
        <x:v>2.9279652054004073</x:v>
      </x:c>
      <x:c r="AL146" s="1" t="n">
        <x:f t="shared" si="209">U146*AD146*AK146*F146</x:f>
        <x:v>816982.9520014873</x:v>
      </x:c>
      <x:c r="AM146" s="13" t="n">
        <x:f t="shared" si="210">IF($B146&lt;AM$8,0,AM$3+(AM$4-AM$3)*(POWER(AM$5,$B146-AM$8)-1)/(POWER(AM$5,$C$5-AM$8)-1))</x:f>
        <x:v>38.75045458158481</x:v>
      </x:c>
      <x:c r="AN146" s="13" t="n">
        <x:f>(((E146*'模块规划'!$D$10+G146*'模块规划'!$D$11+H146*'模块规划'!$D$13)*(1+'模块规划'!$G$14*H146)+(I146*'模块规划'!$D$15+J146*'模块规划'!$D$17+K146*'模块规划'!$D$16+L146*'模块规划'!$D$18))*(1+'模块规划'!$J$17*J146))*F146/(1-Q146)</x:f>
        <x:v>1319205.6226701643</x:v>
      </x:c>
      <x:c r="AO146" s="1" t="n">
        <x:f t="shared" si="211">AL146*AM146</x:f>
        <x:v>31658460.775462717</x:v>
      </x:c>
      <x:c r="AP146" s="1" t="n">
        <x:f>IF(AO146="","",INDEX('_曲线基线'!$A$3:$A$502,MIN(ROWS('_曲线基线'!$A$3:$A$502),COUNTIF('_曲线基线'!$E$3:$E$502,"&lt;"&amp;AO146)+1)))</x:f>
        <x:v>211</x:v>
      </x:c>
      <x:c r="AQ146" s="14" t="n">
        <x:f t="shared" si="212">IF(B146&lt;=2,1,IF(B146&lt;=6,2,IF(B146&lt;=9,3,IF(B146&lt;=19,4,5))))</x:f>
        <x:v>5</x:v>
      </x:c>
      <x:c r="AR146" s="10" t="n">
        <x:f t="shared" si="213">AN146*(1-Q146)/F146*$AS$3+U146*$AS$4+P146*$AS$5</x:f>
        <x:v>10888.714630007156</x:v>
      </x:c>
      <x:c r="AS146" s="15" t="n">
        <x:f t="shared" si="214">1+AH146*$AS$6+AI146*$AS$7+(AJ146-1)*$AS$8+($H$10*H146+$I$10*I146+$J$10*J146+$K$10*K146+$L$10*L146)*$AU$3*$AS$9+($H$10*H146+$I$10*I146+$J$10*J146+$K$10*K146+$L$10*L146)*$AU$4*$AS$10</x:f>
        <x:v>13.341505121284241</x:v>
      </x:c>
      <x:c r="AT146" s="16" t="n">
        <x:f t="shared" si="215">ROUND(AR146*AS146,0)</x:f>
        <x:v>145272</x:v>
      </x:c>
      <x:c r="AU146" s="16" t="n">
        <x:f t="shared" si="216">ROUND(AT146*F146,0)</x:f>
        <x:v>726360</x:v>
      </x:c>
      <x:c r="AV146" t="n">
        <x:f>IF(AU146&gt;0,ROUND(AU146,-MAX(0,INT(LOG10(AU146))-2)),0)</x:f>
        <x:v>726000</x:v>
      </x:c>
    </x:row>
    <x:row r="147" customHeight="1">
      <x:c r="A147" s="1" t="str">
        <x:f>IFERROR(XLOOKUP(B147,'_曲线基线'!$G$3:$G$107,'_曲线基线'!$J$3:$J$107,""),"")</x:f>
      </x:c>
      <x:c r="B147" s="1" t="n">
        <x:v>136</x:v>
      </x:c>
      <x:c r="C147" s="1" t="n">
        <x:f t="shared" si="161">C132+1</x:f>
        <x:v>10</x:v>
      </x:c>
      <x:c r="D147" s="1" t="n">
        <x:f t="shared" si="162">D132</x:f>
        <x:v>7</x:v>
      </x:c>
      <x:c r="E147" s="1" t="n">
        <x:f t="shared" si="188">IF($B147&lt;E$8,0,E$3+(E$4-E$3)*(POWER(E$5,$B147-E$8)-1)/(POWER(E$5,$C$5-E$8)-1))</x:f>
        <x:v>1</x:v>
      </x:c>
      <x:c r="F147" s="10" t="n">
        <x:f t="shared" si="189">1+IF(B147&lt;3,0,MIN(1,(B147-2)/4))+IF(B147&lt;7,0,MIN(1,(B147-6)/3))+IF(B147&lt;10,0,MIN(1,(B147-9)/5))+IF(B147&lt;20,0,MIN(1,(B147-19)/10))</x:f>
        <x:v>5</x:v>
      </x:c>
      <x:c r="G147" s="11" t="n">
        <x:f t="shared" ref="G147:L147" si="223">'玩家战力_节点'!G147</x:f>
        <x:v>0.6893382330715457</x:v>
      </x:c>
      <x:c r="H147" s="11" t="n">
        <x:f t="shared" si="223">'玩家战力_节点'!H147</x:f>
        <x:v>0.5403092321716028</x:v>
      </x:c>
      <x:c r="I147" s="11" t="n">
        <x:f t="shared" si="223">'玩家战力_节点'!I147</x:f>
        <x:v>0.4029828179759578</x:v>
      </x:c>
      <x:c r="J147" s="11" t="n">
        <x:f t="shared" si="223">'玩家战力_节点'!J147</x:f>
        <x:v>0.4212870167968604</x:v>
      </x:c>
      <x:c r="K147" s="11" t="n">
        <x:f t="shared" si="223">'玩家战力_节点'!K147</x:f>
        <x:v>0.2741785147731889</x:v>
      </x:c>
      <x:c r="L147" s="11" t="n">
        <x:f t="shared" si="223">'玩家战力_节点'!L147</x:f>
        <x:v>0.52897882978153</x:v>
      </x:c>
      <x:c r="M147" s="2" t="n">
        <x:f>E147*'模块规划'!$F$10+G147*'模块规划'!$F$11+H147*'模块规划'!$F$13</x:f>
        <x:v>4308.82351874342</x:v>
      </x:c>
      <x:c r="N147" s="2" t="n">
        <x:f>I147*'模块规划'!$F$15+J147*'模块规划'!$F$17+K147*'模块规划'!$F$16+L147*'模块规划'!$F$18</x:f>
        <x:v>11726.69794932305</x:v>
      </x:c>
      <x:c r="O147" s="2" t="n">
        <x:f t="shared" si="191">1+O$9*SUMPRODUCT($H$10:$L$10,H147:L147)/SUM($H$10:$L$10)</x:f>
        <x:v>2.5954709589345732</x:v>
      </x:c>
      <x:c r="P147" s="12" t="n">
        <x:f t="shared" si="192">M147*O147+N147</x:f>
        <x:v>22910.124259395878</x:v>
      </x:c>
      <x:c r="Q147" s="7" t="n">
        <x:f>P147/(P147+'_曲线基线'!$L$2)</x:f>
        <x:v>0.48838336331643994</x:v>
      </x:c>
      <x:c r="R147" s="2" t="n">
        <x:f>E147*'模块规划'!$E$10+G147*'模块规划'!$E$11+H147*'模块规划'!$E$13</x:f>
        <x:v>6463.235278115129</x:v>
      </x:c>
      <x:c r="S147" s="2" t="n">
        <x:f>I147*'模块规划'!$E$15+J147*'模块规划'!$E$17+K147*'模块规划'!$E$16+L147*'模块规划'!$E$18</x:f>
        <x:v>17590.046923984577</x:v>
      </x:c>
      <x:c r="T147" s="2" t="n">
        <x:f t="shared" si="193">1+T$9*SUMPRODUCT($H$10:$L$10,H147:L147)/SUM($H$10:$L$10)</x:f>
        <x:v>2.5954709589345732</x:v>
      </x:c>
      <x:c r="U147" s="12" t="n">
        <x:f t="shared" si="194">R147*T147+S147</x:f>
        <x:v>34365.18638909381</x:v>
      </x:c>
      <x:c r="V147" s="2" t="n">
        <x:f t="shared" si="195">V$8+(V$9-V$8)*H147</x:f>
        <x:v>0.8620927696514809</x:v>
      </x:c>
      <x:c r="W147" s="2" t="n">
        <x:f t="shared" si="196">IF(B147&lt;$H$8,0,W$8+(W$9-W$8)*H147)</x:f>
        <x:v>0.2161236928686411</x:v>
      </x:c>
      <x:c r="X147" s="2" t="n">
        <x:f t="shared" si="197">X$8+(X$9-X$8)*H147</x:f>
        <x:v>0.4235850388471908</x:v>
      </x:c>
      <x:c r="Y147" s="2" t="n">
        <x:f t="shared" si="198">Y$8+(Y$9-Y$8)*G147</x:f>
        <x:v>1</x:v>
      </x:c>
      <x:c r="Z147" s="2" t="n">
        <x:f t="shared" si="199">Z$8+(Z$9-Z$8)*H147</x:f>
        <x:v>1</x:v>
      </x:c>
      <x:c r="AA147" s="2" t="n">
        <x:f t="shared" si="200">AA$8+(AA$9-AA$8)*I147</x:f>
        <x:v>1</x:v>
      </x:c>
      <x:c r="AB147" s="2" t="n">
        <x:f t="shared" si="201">AB$8+(AB$9-AB$8)*J147</x:f>
        <x:v>1</x:v>
      </x:c>
      <x:c r="AC147" s="2" t="n">
        <x:f t="shared" si="202">AC$8+(AC$9-AC$8)*MAX(K147,L147)</x:f>
        <x:v>1</x:v>
      </x:c>
      <x:c r="AD147" s="1" t="n">
        <x:f t="shared" si="203">(V147*AE147+W147*AF147+X147*AG147)*PRODUCT(Y147:AC147)</x:f>
        <x:v>1.6379427744615758</x:v>
      </x:c>
      <x:c r="AE147" s="2" t="n">
        <x:f t="shared" si="204">1+AE$9*($H$10*H147+$I$10*I147+$J$10*J147+$K$10*K147+$L$10*L147)</x:f>
        <x:v>1</x:v>
      </x:c>
      <x:c r="AF147" s="2" t="n">
        <x:f t="shared" si="205">1+AF$9*($H$10*H147+$I$10*I147+$J$10*J147+$K$10*K147+$L$10*L147)</x:f>
        <x:v>1.1408148457683147</x:v>
      </x:c>
      <x:c r="AG147" s="2" t="n">
        <x:f t="shared" si="206">1+AG$9*($H$10*H147+$I$10*I147+$J$10*J147+$K$10*K147+$L$10*L147)</x:f>
        <x:v>1.249555198889404</x:v>
      </x:c>
      <x:c r="AH147" s="2" t="n">
        <x:f>MIN(1,'_曲线基线'!$L$3+AH$9*($H$10*H147+$I$10*I147+$J$10*J147+$K$10*K147+$L$10*L147))</x:f>
        <x:v>0.37035377412291554</x:v>
      </x:c>
      <x:c r="AI147" s="2" t="n">
        <x:f>'_曲线基线'!$L$4+AI$9*($H$10*H147+$I$10*I147+$J$10*J147+$K$10*K147+$L$10*L147)</x:f>
        <x:v>2.8924140850566933</x:v>
      </x:c>
      <x:c r="AJ147" s="2" t="n">
        <x:f t="shared" si="207">1+AJ$9*($H$10*H147+$I$10*I147+$J$10*J147+$K$10*K147+$L$10*L147)</x:f>
        <x:v>1.7322371979952356</x:v>
      </x:c>
      <x:c r="AK147" s="1" t="n">
        <x:f t="shared" si="208">(1+AH147*(AI147-1))*AJ147</x:f>
        <x:v>2.946297635204599</x:v>
      </x:c>
      <x:c r="AL147" s="1" t="n">
        <x:f t="shared" si="209">U147*AD147*AK147*F147</x:f>
        <x:v>829209.0814887041</x:v>
      </x:c>
      <x:c r="AM147" s="13" t="n">
        <x:f t="shared" si="210">IF($B147&lt;AM$8,0,AM$3+(AM$4-AM$3)*(POWER(AM$5,$B147-AM$8)-1)/(POWER(AM$5,$C$5-AM$8)-1))</x:f>
        <x:v>38.80138376732253</x:v>
      </x:c>
      <x:c r="AN147" s="13" t="n">
        <x:f>(((E147*'模块规划'!$D$10+G147*'模块规划'!$D$11+H147*'模块规划'!$D$13)*(1+'模块规划'!$G$14*H147)+(I147*'模块规划'!$D$15+J147*'模块规划'!$D$17+K147*'模块规划'!$D$16+L147*'模块规划'!$D$18))*(1+'模块规划'!$J$17*J147))*F147/(1-Q147)</x:f>
        <x:v>1333847.2690546806</x:v>
      </x:c>
      <x:c r="AO147" s="1" t="n">
        <x:f t="shared" si="211">AL147*AM147</x:f>
        <x:v>32174459.794192225</x:v>
      </x:c>
      <x:c r="AP147" s="1" t="n">
        <x:f>IF(AO147="","",INDEX('_曲线基线'!$A$3:$A$502,MIN(ROWS('_曲线基线'!$A$3:$A$502),COUNTIF('_曲线基线'!$E$3:$E$502,"&lt;"&amp;AO147)+1)))</x:f>
        <x:v>212</x:v>
      </x:c>
      <x:c r="AQ147" s="14" t="n">
        <x:f t="shared" si="212">IF(B147&lt;=2,1,IF(B147&lt;=6,2,IF(B147&lt;=9,3,IF(B147&lt;=19,4,5))))</x:f>
        <x:v>5</x:v>
      </x:c>
      <x:c r="AR147" s="10" t="n">
        <x:f t="shared" si="213">AN147*(1-Q147)/F147*$AS$3+U147*$AS$4+P147*$AS$5</x:f>
        <x:v>10967.547999678607</x:v>
      </x:c>
      <x:c r="AS147" s="15" t="n">
        <x:f t="shared" si="214">1+AH147*$AS$6+AI147*$AS$7+(AJ147-1)*$AS$8+($H$10*H147+$I$10*I147+$J$10*J147+$K$10*K147+$L$10*L147)*$AU$3*$AS$9+($H$10*H147+$I$10*I147+$J$10*J147+$K$10*K147+$L$10*L147)*$AU$4*$AS$10</x:f>
        <x:v>13.395427035525298</x:v>
      </x:c>
      <x:c r="AT147" s="16" t="n">
        <x:f t="shared" si="215">ROUND(AR147*AS147,0)</x:f>
        <x:v>146915</x:v>
      </x:c>
      <x:c r="AU147" s="16" t="n">
        <x:f t="shared" si="216">ROUND(AT147*F147,0)</x:f>
        <x:v>734575</x:v>
      </x:c>
      <x:c r="AV147" t="n">
        <x:f>IF(AU147&gt;0,ROUND(AU147,-MAX(0,INT(LOG10(AU147))-2)),0)</x:f>
        <x:v>735000</x:v>
      </x:c>
    </x:row>
    <x:row r="148" customHeight="1">
      <x:c r="A148" s="1" t="str">
        <x:f>IFERROR(XLOOKUP(B148,'_曲线基线'!$G$3:$G$107,'_曲线基线'!$J$3:$J$107,""),"")</x:f>
      </x:c>
      <x:c r="B148" s="1" t="n">
        <x:v>137</x:v>
      </x:c>
      <x:c r="C148" s="1" t="n">
        <x:f t="shared" si="161">C133+1</x:f>
        <x:v>10</x:v>
      </x:c>
      <x:c r="D148" s="1" t="n">
        <x:f t="shared" si="162">D133</x:f>
        <x:v>8</x:v>
      </x:c>
      <x:c r="E148" s="1" t="n">
        <x:f t="shared" si="188">IF($B148&lt;E$8,0,E$3+(E$4-E$3)*(POWER(E$5,$B148-E$8)-1)/(POWER(E$5,$C$5-E$8)-1))</x:f>
        <x:v>1</x:v>
      </x:c>
      <x:c r="F148" s="10" t="n">
        <x:f t="shared" si="189">1+IF(B148&lt;3,0,MIN(1,(B148-2)/4))+IF(B148&lt;7,0,MIN(1,(B148-6)/3))+IF(B148&lt;10,0,MIN(1,(B148-9)/5))+IF(B148&lt;20,0,MIN(1,(B148-19)/10))</x:f>
        <x:v>5</x:v>
      </x:c>
      <x:c r="G148" s="11" t="n">
        <x:f t="shared" ref="G148:L148" si="224">'玩家战力_节点'!G148</x:f>
        <x:v>0.6914953617094074</x:v>
      </x:c>
      <x:c r="H148" s="11" t="n">
        <x:f t="shared" si="224">'玩家战力_节点'!H148</x:f>
        <x:v>0.541981567822999</x:v>
      </x:c>
      <x:c r="I148" s="11" t="n">
        <x:f t="shared" si="224">'玩家战力_节点'!I148</x:f>
        <x:v>0.4061387960483583</x:v>
      </x:c>
      <x:c r="J148" s="11" t="n">
        <x:f t="shared" si="224">'玩家战力_节点'!J148</x:f>
        <x:v>0.42325447829516677</x:v>
      </x:c>
      <x:c r="K148" s="11" t="n">
        <x:f t="shared" si="224">'玩家战力_节点'!K148</x:f>
        <x:v>0.27980527248201553</x:v>
      </x:c>
      <x:c r="L148" s="11" t="n">
        <x:f t="shared" si="224">'玩家战力_节点'!L148</x:f>
        <x:v>0.5308399862541608</x:v>
      </x:c>
      <x:c r="M148" s="2" t="n">
        <x:f>E148*'模块规划'!$F$10+G148*'模块规划'!$F$11+H148*'模块规划'!$F$13</x:f>
        <x:v>4319.177736205156</x:v>
      </x:c>
      <x:c r="N148" s="2" t="n">
        <x:f>I148*'模块规划'!$F$15+J148*'模块规划'!$F$17+K148*'模块规划'!$F$16+L148*'模块规划'!$F$18</x:f>
        <x:v>11814.686717501432</x:v>
      </x:c>
      <x:c r="O148" s="2" t="n">
        <x:f t="shared" si="191">1+O$9*SUMPRODUCT($H$10:$L$10,H148:L148)/SUM($H$10:$L$10)</x:f>
        <x:v>2.605695871255718</x:v>
      </x:c>
      <x:c r="P148" s="12" t="n">
        <x:f t="shared" si="192">M148*O148+N148</x:f>
        <x:v>23069.150311950827</x:v>
      </x:c>
      <x:c r="Q148" s="7" t="n">
        <x:f>P148/(P148+'_曲线基线'!$L$2)</x:f>
        <x:v>0.4901118919517352</x:v>
      </x:c>
      <x:c r="R148" s="2" t="n">
        <x:f>E148*'模块规划'!$E$10+G148*'模块规划'!$E$11+H148*'模块规划'!$E$13</x:f>
        <x:v>6478.766604307733</x:v>
      </x:c>
      <x:c r="S148" s="2" t="n">
        <x:f>I148*'模块规划'!$E$15+J148*'模块规划'!$E$17+K148*'模块规划'!$E$16+L148*'模块规划'!$E$18</x:f>
        <x:v>17722.030076252147</x:v>
      </x:c>
      <x:c r="T148" s="2" t="n">
        <x:f t="shared" si="193">1+T$9*SUMPRODUCT($H$10:$L$10,H148:L148)/SUM($H$10:$L$10)</x:f>
        <x:v>2.605695871255718</x:v>
      </x:c>
      <x:c r="U148" s="12" t="n">
        <x:f t="shared" si="194">R148*T148+S148</x:f>
        <x:v>34603.72546792624</x:v>
      </x:c>
      <x:c r="V148" s="2" t="n">
        <x:f t="shared" si="195">V$8+(V$9-V$8)*H148</x:f>
        <x:v>0.8625944703468997</x:v>
      </x:c>
      <x:c r="W148" s="2" t="n">
        <x:f t="shared" si="196">IF(B148&lt;$H$8,0,W$8+(W$9-W$8)*H148)</x:f>
        <x:v>0.2167926271291996</x:v>
      </x:c>
      <x:c r="X148" s="2" t="n">
        <x:f t="shared" si="197">X$8+(X$9-X$8)*H148</x:f>
        <x:v>0.4240449311513248</x:v>
      </x:c>
      <x:c r="Y148" s="2" t="n">
        <x:f t="shared" si="198">Y$8+(Y$9-Y$8)*G148</x:f>
        <x:v>1</x:v>
      </x:c>
      <x:c r="Z148" s="2" t="n">
        <x:f t="shared" si="199">Z$8+(Z$9-Z$8)*H148</x:f>
        <x:v>1</x:v>
      </x:c>
      <x:c r="AA148" s="2" t="n">
        <x:f t="shared" si="200">AA$8+(AA$9-AA$8)*I148</x:f>
        <x:v>1</x:v>
      </x:c>
      <x:c r="AB148" s="2" t="n">
        <x:f t="shared" si="201">AB$8+(AB$9-AB$8)*J148</x:f>
        <x:v>1</x:v>
      </x:c>
      <x:c r="AC148" s="2" t="n">
        <x:f t="shared" si="202">AC$8+(AC$9-AC$8)*MAX(K148,L148)</x:f>
        <x:v>1</x:v>
      </x:c>
      <x:c r="AD148" s="1" t="n">
        <x:f t="shared" si="203">(V148*AE148+W148*AF148+X148*AG148)*PRODUCT(Y148:AC148)</x:f>
        <x:v>1.6406560953817757</x:v>
      </x:c>
      <x:c r="AE148" s="2" t="n">
        <x:f t="shared" si="204">1+AE$9*($H$10*H148+$I$10*I148+$J$10*J148+$K$10*K148+$L$10*L148)</x:f>
        <x:v>1</x:v>
      </x:c>
      <x:c r="AF148" s="2" t="n">
        <x:f t="shared" si="205">1+AF$9*($H$10*H148+$I$10*I148+$J$10*J148+$K$10*K148+$L$10*L148)</x:f>
        <x:v>1.1417172874225696</x:v>
      </x:c>
      <x:c r="AG148" s="2" t="n">
        <x:f t="shared" si="206">1+AG$9*($H$10*H148+$I$10*I148+$J$10*J148+$K$10*K148+$L$10*L148)</x:f>
        <x:v>1.2511545260433334</x:v>
      </x:c>
      <x:c r="AH148" s="2" t="n">
        <x:f>MIN(1,'_曲线基线'!$L$3+AH$9*($H$10*H148+$I$10*I148+$J$10*J148+$K$10*K148+$L$10*L148))</x:f>
        <x:v>0.37240682888634535</x:v>
      </x:c>
      <x:c r="AI148" s="2" t="n">
        <x:f>'_曲线基线'!$L$4+AI$9*($H$10*H148+$I$10*I148+$J$10*J148+$K$10*K148+$L$10*L148)</x:f>
        <x:v>2.8981333090405332</x:v>
      </x:c>
      <x:c r="AJ148" s="2" t="n">
        <x:f t="shared" si="207">1+AJ$9*($H$10*H148+$I$10*I148+$J$10*J148+$K$10*K148+$L$10*L148)</x:f>
        <x:v>1.736929894597361</x:v>
      </x:c>
      <x:c r="AK148" s="1" t="n">
        <x:f t="shared" si="208">(1+AH148*(AI148-1))*AJ148</x:f>
        <x:v>2.96472708840145</x:v>
      </x:c>
      <x:c r="AL148" s="1" t="n">
        <x:f t="shared" si="209">U148*AD148*AK148*F148</x:f>
        <x:v>841579.4845875816</x:v>
      </x:c>
      <x:c r="AM148" s="13" t="n">
        <x:f t="shared" si="210">IF($B148&lt;AM$8,0,AM$3+(AM$4-AM$3)*(POWER(AM$5,$B148-AM$8)-1)/(POWER(AM$5,$C$5-AM$8)-1))</x:f>
        <x:v>38.85282224491762</x:v>
      </x:c>
      <x:c r="AN148" s="13" t="n">
        <x:f>(((E148*'模块规划'!$D$10+G148*'模块规划'!$D$11+H148*'模块规划'!$D$13)*(1+'模块规划'!$G$14*H148)+(I148*'模块规划'!$D$15+J148*'模块规划'!$D$17+K148*'模块规划'!$D$16+L148*'模块规划'!$D$18))*(1+'模块规划'!$J$17*J148))*F148/(1-Q148)</x:f>
        <x:v>1348591.513386218</x:v>
      </x:c>
      <x:c r="AO148" s="1" t="n">
        <x:f t="shared" si="211">AL148*AM148</x:f>
        <x:v>32697738.119650695</x:v>
      </x:c>
      <x:c r="AP148" s="1" t="n">
        <x:f>IF(AO148="","",INDEX('_曲线基线'!$A$3:$A$502,MIN(ROWS('_曲线基线'!$A$3:$A$502),COUNTIF('_曲线基线'!$E$3:$E$502,"&lt;"&amp;AO148)+1)))</x:f>
        <x:v>213</x:v>
      </x:c>
      <x:c r="AQ148" s="14" t="n">
        <x:f t="shared" si="212">IF(B148&lt;=2,1,IF(B148&lt;=6,2,IF(B148&lt;=9,3,IF(B148&lt;=19,4,5))))</x:f>
        <x:v>5</x:v>
      </x:c>
      <x:c r="AR148" s="10" t="n">
        <x:f t="shared" si="213">AN148*(1-Q148)/F148*$AS$3+U148*$AS$4+P148*$AS$5</x:f>
        <x:v>11046.529745327918</x:v>
      </x:c>
      <x:c r="AS148" s="15" t="n">
        <x:f t="shared" si="214">1+AH148*$AS$6+AI148*$AS$7+(AJ148-1)*$AS$8+($H$10*H148+$I$10*I148+$J$10*J148+$K$10*K148+$L$10*L148)*$AU$3*$AS$9+($H$10*H148+$I$10*I148+$J$10*J148+$K$10*K148+$L$10*L148)*$AU$4*$AS$10</x:f>
        <x:v>13.449348949766357</x:v>
      </x:c>
      <x:c r="AT148" s="16" t="n">
        <x:f t="shared" si="215">ROUND(AR148*AS148,0)</x:f>
        <x:v>148569</x:v>
      </x:c>
      <x:c r="AU148" s="16" t="n">
        <x:f t="shared" si="216">ROUND(AT148*F148,0)</x:f>
        <x:v>742845</x:v>
      </x:c>
      <x:c r="AV148" t="n">
        <x:f>IF(AU148&gt;0,ROUND(AU148,-MAX(0,INT(LOG10(AU148))-2)),0)</x:f>
        <x:v>743000</x:v>
      </x:c>
    </x:row>
    <x:row r="149" customHeight="1">
      <x:c r="A149" s="1" t="str">
        <x:f>IFERROR(XLOOKUP(B149,'_曲线基线'!$G$3:$G$107,'_曲线基线'!$J$3:$J$107,""),"")</x:f>
      </x:c>
      <x:c r="B149" s="1" t="n">
        <x:v>138</x:v>
      </x:c>
      <x:c r="C149" s="1" t="n">
        <x:f t="shared" si="161">C134+1</x:f>
        <x:v>10</x:v>
      </x:c>
      <x:c r="D149" s="1" t="n">
        <x:f t="shared" si="162">D134</x:f>
        <x:v>9</x:v>
      </x:c>
      <x:c r="E149" s="1" t="n">
        <x:f t="shared" si="188">IF($B149&lt;E$8,0,E$3+(E$4-E$3)*(POWER(E$5,$B149-E$8)-1)/(POWER(E$5,$C$5-E$8)-1))</x:f>
        <x:v>1</x:v>
      </x:c>
      <x:c r="F149" s="10" t="n">
        <x:f t="shared" si="189">1+IF(B149&lt;3,0,MIN(1,(B149-2)/4))+IF(B149&lt;7,0,MIN(1,(B149-6)/3))+IF(B149&lt;10,0,MIN(1,(B149-9)/5))+IF(B149&lt;20,0,MIN(1,(B149-19)/10))</x:f>
        <x:v>5</x:v>
      </x:c>
      <x:c r="G149" s="11" t="n">
        <x:f t="shared" ref="G149:L149" si="225">'玩家战力_节点'!G149</x:f>
        <x:v>0.6936524903472692</x:v>
      </x:c>
      <x:c r="H149" s="11" t="n">
        <x:f t="shared" si="225">'玩家战力_节点'!H149</x:f>
        <x:v>0.5436539034743951</x:v>
      </x:c>
      <x:c r="I149" s="11" t="n">
        <x:f t="shared" si="225">'玩家战力_节点'!I149</x:f>
        <x:v>0.4092947741207587</x:v>
      </x:c>
      <x:c r="J149" s="11" t="n">
        <x:f t="shared" si="225">'玩家战力_节点'!J149</x:f>
        <x:v>0.42522193979347306</x:v>
      </x:c>
      <x:c r="K149" s="11" t="n">
        <x:f t="shared" si="225">'玩家战力_节点'!K149</x:f>
        <x:v>0.28543203019084223</x:v>
      </x:c>
      <x:c r="L149" s="11" t="n">
        <x:f t="shared" si="225">'玩家战力_节点'!L149</x:f>
        <x:v>0.5327011427267917</x:v>
      </x:c>
      <x:c r="M149" s="2" t="n">
        <x:f>E149*'模块规划'!$F$10+G149*'模块规划'!$F$11+H149*'模块规划'!$F$13</x:f>
        <x:v>4329.531953666892</x:v>
      </x:c>
      <x:c r="N149" s="2" t="n">
        <x:f>I149*'模块规划'!$F$15+J149*'模块规划'!$F$17+K149*'模块规划'!$F$16+L149*'模块规划'!$F$18</x:f>
        <x:v>11902.675485679812</x:v>
      </x:c>
      <x:c r="O149" s="2" t="n">
        <x:f t="shared" si="191">1+O$9*SUMPRODUCT($H$10:$L$10,H149:L149)/SUM($H$10:$L$10)</x:f>
        <x:v>2.615920783576862</x:v>
      </x:c>
      <x:c r="P149" s="12" t="n">
        <x:f t="shared" si="192">M149*O149+N149</x:f>
        <x:v>23228.38810643717</x:v>
      </x:c>
      <x:c r="Q149" s="7" t="n">
        <x:f>P149/(P149+'_曲线基线'!$L$2)</x:f>
        <x:v>0.49183105834753593</x:v>
      </x:c>
      <x:c r="R149" s="2" t="n">
        <x:f>E149*'模块规划'!$E$10+G149*'模块规划'!$E$11+H149*'模块规划'!$E$13</x:f>
        <x:v>6494.297930500338</x:v>
      </x:c>
      <x:c r="S149" s="2" t="n">
        <x:f>I149*'模块规划'!$E$15+J149*'模块规划'!$E$17+K149*'模块规划'!$E$16+L149*'模块规划'!$E$18</x:f>
        <x:v>17854.013228519718</x:v>
      </x:c>
      <x:c r="T149" s="2" t="n">
        <x:f t="shared" si="193">1+T$9*SUMPRODUCT($H$10:$L$10,H149:L149)/SUM($H$10:$L$10)</x:f>
        <x:v>2.615920783576862</x:v>
      </x:c>
      <x:c r="U149" s="12" t="n">
        <x:f t="shared" si="194">R149*T149+S149</x:f>
        <x:v>34842.58215965576</x:v>
      </x:c>
      <x:c r="V149" s="2" t="n">
        <x:f t="shared" si="195">V$8+(V$9-V$8)*H149</x:f>
        <x:v>0.8630961710423185</x:v>
      </x:c>
      <x:c r="W149" s="2" t="n">
        <x:f t="shared" si="196">IF(B149&lt;$H$8,0,W$8+(W$9-W$8)*H149)</x:f>
        <x:v>0.21746156138975806</x:v>
      </x:c>
      <x:c r="X149" s="2" t="n">
        <x:f t="shared" si="197">X$8+(X$9-X$8)*H149</x:f>
        <x:v>0.4245048234554587</x:v>
      </x:c>
      <x:c r="Y149" s="2" t="n">
        <x:f t="shared" si="198">Y$8+(Y$9-Y$8)*G149</x:f>
        <x:v>1</x:v>
      </x:c>
      <x:c r="Z149" s="2" t="n">
        <x:f t="shared" si="199">Z$8+(Z$9-Z$8)*H149</x:f>
        <x:v>1</x:v>
      </x:c>
      <x:c r="AA149" s="2" t="n">
        <x:f t="shared" si="200">AA$8+(AA$9-AA$8)*I149</x:f>
        <x:v>1</x:v>
      </x:c>
      <x:c r="AB149" s="2" t="n">
        <x:f t="shared" si="201">AB$8+(AB$9-AB$8)*J149</x:f>
        <x:v>1</x:v>
      </x:c>
      <x:c r="AC149" s="2" t="n">
        <x:f t="shared" si="202">AC$8+(AC$9-AC$8)*MAX(K149,L149)</x:f>
        <x:v>1</x:v>
      </x:c>
      <x:c r="AD149" s="1" t="n">
        <x:f t="shared" si="203">(V149*AE149+W149*AF149+X149*AG149)*PRODUCT(Y149:AC149)</x:f>
        <x:v>1.643372094686757</x:v>
      </x:c>
      <x:c r="AE149" s="2" t="n">
        <x:f t="shared" si="204">1+AE$9*($H$10*H149+$I$10*I149+$J$10*J149+$K$10*K149+$L$10*L149)</x:f>
        <x:v>1</x:v>
      </x:c>
      <x:c r="AF149" s="2" t="n">
        <x:f t="shared" si="205">1+AF$9*($H$10*H149+$I$10*I149+$J$10*J149+$K$10*K149+$L$10*L149)</x:f>
        <x:v>1.1426197290768243</x:v>
      </x:c>
      <x:c r="AG149" s="2" t="n">
        <x:f t="shared" si="206">1+AG$9*($H$10*H149+$I$10*I149+$J$10*J149+$K$10*K149+$L$10*L149)</x:f>
        <x:v>1.2527538531972628</x:v>
      </x:c>
      <x:c r="AH149" s="2" t="n">
        <x:f>MIN(1,'_曲线基线'!$L$3+AH$9*($H$10*H149+$I$10*I149+$J$10*J149+$K$10*K149+$L$10*L149))</x:f>
        <x:v>0.3744598836497751</x:v>
      </x:c>
      <x:c r="AI149" s="2" t="n">
        <x:f>'_曲线基线'!$L$4+AI$9*($H$10*H149+$I$10*I149+$J$10*J149+$K$10*K149+$L$10*L149)</x:f>
        <x:v>2.9038525330243736</x:v>
      </x:c>
      <x:c r="AJ149" s="2" t="n">
        <x:f t="shared" si="207">1+AJ$9*($H$10*H149+$I$10*I149+$J$10*J149+$K$10*K149+$L$10*L149)</x:f>
        <x:v>1.7416225911994863</x:v>
      </x:c>
      <x:c r="AK149" s="1" t="n">
        <x:f t="shared" si="208">(1+AH149*(AI149-1))*AJ149</x:f>
        <x:v>2.9832538955974424</x:v>
      </x:c>
      <x:c r="AL149" s="1" t="n">
        <x:f t="shared" si="209">U149*AD149*AK149*F149</x:f>
        <x:v>854095.5550612314</x:v>
      </x:c>
      <x:c r="AM149" s="13" t="n">
        <x:f t="shared" si="210">IF($B149&lt;AM$8,0,AM$3+(AM$4-AM$3)*(POWER(AM$5,$B149-AM$8)-1)/(POWER(AM$5,$C$5-AM$8)-1))</x:f>
        <x:v>38.904775107288664</x:v>
      </x:c>
      <x:c r="AN149" s="13" t="n">
        <x:f>(((E149*'模块规划'!$D$10+G149*'模块规划'!$D$11+H149*'模块规划'!$D$13)*(1+'模块规划'!$G$14*H149)+(I149*'模块规划'!$D$15+J149*'模块规划'!$D$17+K149*'模块规划'!$D$16+L149*'模块规划'!$D$18))*(1+'模块规划'!$J$17*J149))*F149/(1-Q149)</x:f>
        <x:v>1363438.7856066977</x:v>
      </x:c>
      <x:c r="AO149" s="1" t="n">
        <x:f t="shared" si="211">AL149*AM149</x:f>
        <x:v>33228395.48979209</x:v>
      </x:c>
      <x:c r="AP149" s="1" t="n">
        <x:f>IF(AO149="","",INDEX('_曲线基线'!$A$3:$A$502,MIN(ROWS('_曲线基线'!$A$3:$A$502),COUNTIF('_曲线基线'!$E$3:$E$502,"&lt;"&amp;AO149)+1)))</x:f>
        <x:v>214</x:v>
      </x:c>
      <x:c r="AQ149" s="14" t="n">
        <x:f t="shared" si="212">IF(B149&lt;=2,1,IF(B149&lt;=6,2,IF(B149&lt;=9,3,IF(B149&lt;=19,4,5))))</x:f>
        <x:v>5</x:v>
      </x:c>
      <x:c r="AR149" s="10" t="n">
        <x:f t="shared" si="213">AN149*(1-Q149)/F149*$AS$3+U149*$AS$4+P149*$AS$5</x:f>
        <x:v>11125.65990006921</x:v>
      </x:c>
      <x:c r="AS149" s="15" t="n">
        <x:f t="shared" si="214">1+AH149*$AS$6+AI149*$AS$7+(AJ149-1)*$AS$8+($H$10*H149+$I$10*I149+$J$10*J149+$K$10*K149+$L$10*L149)*$AU$3*$AS$9+($H$10*H149+$I$10*I149+$J$10*J149+$K$10*K149+$L$10*L149)*$AU$4*$AS$10</x:f>
        <x:v>13.503270864007412</x:v>
      </x:c>
      <x:c r="AT149" s="16" t="n">
        <x:f t="shared" si="215">ROUND(AR149*AS149,0)</x:f>
        <x:v>150233</x:v>
      </x:c>
      <x:c r="AU149" s="16" t="n">
        <x:f t="shared" si="216">ROUND(AT149*F149,0)</x:f>
        <x:v>751165</x:v>
      </x:c>
      <x:c r="AV149" t="n">
        <x:f>IF(AU149&gt;0,ROUND(AU149,-MAX(0,INT(LOG10(AU149))-2)),0)</x:f>
        <x:v>751000</x:v>
      </x:c>
    </x:row>
    <x:row r="150" customHeight="1">
      <x:c r="A150" s="1" t="str">
        <x:f>IFERROR(XLOOKUP(B150,'_曲线基线'!$G$3:$G$107,'_曲线基线'!$J$3:$J$107,""),"")</x:f>
      </x:c>
      <x:c r="B150" s="1" t="n">
        <x:v>139</x:v>
      </x:c>
      <x:c r="C150" s="1" t="n">
        <x:f t="shared" si="161">C135+1</x:f>
        <x:v>10</x:v>
      </x:c>
      <x:c r="D150" s="1" t="n">
        <x:f t="shared" si="162">D135</x:f>
        <x:v>10</x:v>
      </x:c>
      <x:c r="E150" s="1" t="n">
        <x:f t="shared" si="188">IF($B150&lt;E$8,0,E$3+(E$4-E$3)*(POWER(E$5,$B150-E$8)-1)/(POWER(E$5,$C$5-E$8)-1))</x:f>
        <x:v>1</x:v>
      </x:c>
      <x:c r="F150" s="10" t="n">
        <x:f t="shared" si="189">1+IF(B150&lt;3,0,MIN(1,(B150-2)/4))+IF(B150&lt;7,0,MIN(1,(B150-6)/3))+IF(B150&lt;10,0,MIN(1,(B150-9)/5))+IF(B150&lt;20,0,MIN(1,(B150-19)/10))</x:f>
        <x:v>5</x:v>
      </x:c>
      <x:c r="G150" s="11" t="n">
        <x:f t="shared" ref="G150:L150" si="226">'玩家战力_节点'!G150</x:f>
        <x:v>0.695809618985131</x:v>
      </x:c>
      <x:c r="H150" s="11" t="n">
        <x:f t="shared" si="226">'玩家战力_节点'!H150</x:f>
        <x:v>0.5453262391257913</x:v>
      </x:c>
      <x:c r="I150" s="11" t="n">
        <x:f t="shared" si="226">'玩家战力_节点'!I150</x:f>
        <x:v>0.4124507521931591</x:v>
      </x:c>
      <x:c r="J150" s="11" t="n">
        <x:f t="shared" si="226">'玩家战力_节点'!J150</x:f>
        <x:v>0.42718940129177935</x:v>
      </x:c>
      <x:c r="K150" s="11" t="n">
        <x:f t="shared" si="226">'玩家战力_节点'!K150</x:f>
        <x:v>0.29105878789966894</x:v>
      </x:c>
      <x:c r="L150" s="11" t="n">
        <x:f t="shared" si="226">'玩家战力_节点'!L150</x:f>
        <x:v>0.5345622991994224</x:v>
      </x:c>
      <x:c r="M150" s="2" t="n">
        <x:f>E150*'模块规划'!$F$10+G150*'模块规划'!$F$11+H150*'模块规划'!$F$13</x:f>
        <x:v>4339.886171128629</x:v>
      </x:c>
      <x:c r="N150" s="2" t="n">
        <x:f>I150*'模块规划'!$F$15+J150*'模块规划'!$F$17+K150*'模块规划'!$F$16+L150*'模块规划'!$F$18</x:f>
        <x:v>11990.664253858193</x:v>
      </x:c>
      <x:c r="O150" s="2" t="n">
        <x:f t="shared" si="191">1+O$9*SUMPRODUCT($H$10:$L$10,H150:L150)/SUM($H$10:$L$10)</x:f>
        <x:v>2.626145695898006</x:v>
      </x:c>
      <x:c r="P150" s="12" t="n">
        <x:f t="shared" si="192">M150*O150+N150</x:f>
        <x:v>23387.83764285492</x:v>
      </x:c>
      <x:c r="Q150" s="7" t="n">
        <x:f>P150/(P150+'_曲线基线'!$L$2)</x:f>
        <x:v>0.493540933838776</x:v>
      </x:c>
      <x:c r="R150" s="2" t="n">
        <x:f>E150*'模块规划'!$E$10+G150*'模块规划'!$E$11+H150*'模块规划'!$E$13</x:f>
        <x:v>6509.829256692944</x:v>
      </x:c>
      <x:c r="S150" s="2" t="n">
        <x:f>I150*'模块规划'!$E$15+J150*'模块规划'!$E$17+K150*'模块规划'!$E$16+L150*'模块规划'!$E$18</x:f>
        <x:v>17985.99638078729</x:v>
      </x:c>
      <x:c r="T150" s="2" t="n">
        <x:f t="shared" si="193">1+T$9*SUMPRODUCT($H$10:$L$10,H150:L150)/SUM($H$10:$L$10)</x:f>
        <x:v>2.626145695898006</x:v>
      </x:c>
      <x:c r="U150" s="12" t="n">
        <x:f t="shared" si="194">R150*T150+S150</x:f>
        <x:v>35081.75646428238</x:v>
      </x:c>
      <x:c r="V150" s="2" t="n">
        <x:f t="shared" si="195">V$8+(V$9-V$8)*H150</x:f>
        <x:v>0.8635978717377374</x:v>
      </x:c>
      <x:c r="W150" s="2" t="n">
        <x:f t="shared" si="196">IF(B150&lt;$H$8,0,W$8+(W$9-W$8)*H150)</x:f>
        <x:v>0.2181304956503165</x:v>
      </x:c>
      <x:c r="X150" s="2" t="n">
        <x:f t="shared" si="197">X$8+(X$9-X$8)*H150</x:f>
        <x:v>0.4249647157595926</x:v>
      </x:c>
      <x:c r="Y150" s="2" t="n">
        <x:f t="shared" si="198">Y$8+(Y$9-Y$8)*G150</x:f>
        <x:v>1</x:v>
      </x:c>
      <x:c r="Z150" s="2" t="n">
        <x:f t="shared" si="199">Z$8+(Z$9-Z$8)*H150</x:f>
        <x:v>1</x:v>
      </x:c>
      <x:c r="AA150" s="2" t="n">
        <x:f t="shared" si="200">AA$8+(AA$9-AA$8)*I150</x:f>
        <x:v>1</x:v>
      </x:c>
      <x:c r="AB150" s="2" t="n">
        <x:f t="shared" si="201">AB$8+(AB$9-AB$8)*J150</x:f>
        <x:v>1</x:v>
      </x:c>
      <x:c r="AC150" s="2" t="n">
        <x:f t="shared" si="202">AC$8+(AC$9-AC$8)*MAX(K150,L150)</x:f>
        <x:v>1</x:v>
      </x:c>
      <x:c r="AD150" s="1" t="n">
        <x:f t="shared" si="203">(V150*AE150+W150*AF150+X150*AG150)*PRODUCT(Y150:AC150)</x:f>
        <x:v>1.6460907723765188</x:v>
      </x:c>
      <x:c r="AE150" s="2" t="n">
        <x:f t="shared" si="204">1+AE$9*($H$10*H150+$I$10*I150+$J$10*J150+$K$10*K150+$L$10*L150)</x:f>
        <x:v>1</x:v>
      </x:c>
      <x:c r="AF150" s="2" t="n">
        <x:f t="shared" si="205">1+AF$9*($H$10*H150+$I$10*I150+$J$10*J150+$K$10*K150+$L$10*L150)</x:f>
        <x:v>1.1435221707310792</x:v>
      </x:c>
      <x:c r="AG150" s="2" t="n">
        <x:f t="shared" si="206">1+AG$9*($H$10*H150+$I$10*I150+$J$10*J150+$K$10*K150+$L$10*L150)</x:f>
        <x:v>1.2543531803511923</x:v>
      </x:c>
      <x:c r="AH150" s="2" t="n">
        <x:f>MIN(1,'_曲线基线'!$L$3+AH$9*($H$10*H150+$I$10*I150+$J$10*J150+$K$10*K150+$L$10*L150))</x:f>
        <x:v>0.3765129384132049</x:v>
      </x:c>
      <x:c r="AI150" s="2" t="n">
        <x:f>'_曲线基线'!$L$4+AI$9*($H$10*H150+$I$10*I150+$J$10*J150+$K$10*K150+$L$10*L150)</x:f>
        <x:v>2.9095717570082136</x:v>
      </x:c>
      <x:c r="AJ150" s="2" t="n">
        <x:f t="shared" si="207">1+AJ$9*($H$10*H150+$I$10*I150+$J$10*J150+$K$10*K150+$L$10*L150)</x:f>
        <x:v>1.7463152878016113</x:v>
      </x:c>
      <x:c r="AK150" s="1" t="n">
        <x:f t="shared" si="208">(1+AH150*(AI150-1))*AJ150</x:f>
        <x:v>3.00187838739906</x:v>
      </x:c>
      <x:c r="AL150" s="1" t="n">
        <x:f t="shared" si="209">U150*AD150*AK150*F150</x:f>
        <x:v>866758.6972013973</x:v>
      </x:c>
      <x:c r="AM150" s="13" t="n">
        <x:f t="shared" si="210">IF($B150&lt;AM$8,0,AM$3+(AM$4-AM$3)*(POWER(AM$5,$B150-AM$8)-1)/(POWER(AM$5,$C$5-AM$8)-1))</x:f>
        <x:v>38.95724749828342</x:v>
      </x:c>
      <x:c r="AN150" s="13" t="n">
        <x:f>(((E150*'模块规划'!$D$10+G150*'模块规划'!$D$11+H150*'模块规划'!$D$13)*(1+'模块规划'!$G$14*H150)+(I150*'模块规划'!$D$15+J150*'模块规划'!$D$17+K150*'模块规划'!$D$16+L150*'模块规划'!$D$18))*(1+'模块规划'!$J$17*J150))*F150/(1-Q150)</x:f>
        <x:v>1378389.5165533328</x:v>
      </x:c>
      <x:c r="AO150" s="1" t="n">
        <x:f t="shared" si="211">AL150*AM150</x:f>
        <x:v>33766533.08816453</x:v>
      </x:c>
      <x:c r="AP150" s="1" t="n">
        <x:f>IF(AO150="","",INDEX('_曲线基线'!$A$3:$A$502,MIN(ROWS('_曲线基线'!$A$3:$A$502),COUNTIF('_曲线基线'!$E$3:$E$502,"&lt;"&amp;AO150)+1)))</x:f>
        <x:v>215</x:v>
      </x:c>
      <x:c r="AQ150" s="14" t="n">
        <x:f t="shared" si="212">IF(B150&lt;=2,1,IF(B150&lt;=6,2,IF(B150&lt;=9,3,IF(B150&lt;=19,4,5))))</x:f>
        <x:v>5</x:v>
      </x:c>
      <x:c r="AR150" s="10" t="n">
        <x:f t="shared" si="213">AN150*(1-Q150)/F150*$AS$3+U150*$AS$4+P150*$AS$5</x:f>
        <x:v>11204.938497016608</x:v>
      </x:c>
      <x:c r="AS150" s="15" t="n">
        <x:f t="shared" si="214">1+AH150*$AS$6+AI150*$AS$7+(AJ150-1)*$AS$8+($H$10*H150+$I$10*I150+$J$10*J150+$K$10*K150+$L$10*L150)*$AU$3*$AS$9+($H$10*H150+$I$10*I150+$J$10*J150+$K$10*K150+$L$10*L150)*$AU$4*$AS$10</x:f>
        <x:v>13.557192778248469</x:v>
      </x:c>
      <x:c r="AT150" s="16" t="n">
        <x:f t="shared" si="215">ROUND(AR150*AS150,0)</x:f>
        <x:v>151908</x:v>
      </x:c>
      <x:c r="AU150" s="16" t="n">
        <x:f t="shared" si="216">ROUND(AT150*F150,0)</x:f>
        <x:v>759540</x:v>
      </x:c>
      <x:c r="AV150" t="n">
        <x:f>IF(AU150&gt;0,ROUND(AU150,-MAX(0,INT(LOG10(AU150))-2)),0)</x:f>
        <x:v>760000</x:v>
      </x:c>
    </x:row>
    <x:row r="151" customHeight="1">
      <x:c r="A151" s="1" t="str">
        <x:f>IFERROR(XLOOKUP(B151,'_曲线基线'!$G$3:$G$107,'_曲线基线'!$J$3:$J$107,""),"")</x:f>
      </x:c>
      <x:c r="B151" s="1" t="n">
        <x:v>140</x:v>
      </x:c>
      <x:c r="C151" s="1" t="n">
        <x:f t="shared" si="161">C136+1</x:f>
        <x:v>10</x:v>
      </x:c>
      <x:c r="D151" s="1" t="n">
        <x:f t="shared" si="162">D136</x:f>
        <x:v>11</x:v>
      </x:c>
      <x:c r="E151" s="1" t="n">
        <x:f t="shared" si="188">IF($B151&lt;E$8,0,E$3+(E$4-E$3)*(POWER(E$5,$B151-E$8)-1)/(POWER(E$5,$C$5-E$8)-1))</x:f>
        <x:v>1</x:v>
      </x:c>
      <x:c r="F151" s="10" t="n">
        <x:f t="shared" si="189">1+IF(B151&lt;3,0,MIN(1,(B151-2)/4))+IF(B151&lt;7,0,MIN(1,(B151-6)/3))+IF(B151&lt;10,0,MIN(1,(B151-9)/5))+IF(B151&lt;20,0,MIN(1,(B151-19)/10))</x:f>
        <x:v>5</x:v>
      </x:c>
      <x:c r="G151" s="11" t="n">
        <x:f t="shared" ref="G151:L151" si="227">'玩家战力_节点'!G151</x:f>
        <x:v>0.6979667476229928</x:v>
      </x:c>
      <x:c r="H151" s="11" t="n">
        <x:f t="shared" si="227">'玩家战力_节点'!H151</x:f>
        <x:v>0.5469985747771875</x:v>
      </x:c>
      <x:c r="I151" s="11" t="n">
        <x:f t="shared" si="227">'玩家战力_节点'!I151</x:f>
        <x:v>0.4156067302655595</x:v>
      </x:c>
      <x:c r="J151" s="11" t="n">
        <x:f t="shared" si="227">'玩家战力_节点'!J151</x:f>
        <x:v>0.42915686279008564</x:v>
      </x:c>
      <x:c r="K151" s="11" t="n">
        <x:f t="shared" si="227">'玩家战力_节点'!K151</x:f>
        <x:v>0.2966855456084956</x:v>
      </x:c>
      <x:c r="L151" s="11" t="n">
        <x:f t="shared" si="227">'玩家战力_节点'!L151</x:f>
        <x:v>0.5364234556720533</x:v>
      </x:c>
      <x:c r="M151" s="2" t="n">
        <x:f>E151*'模块规划'!$F$10+G151*'模块规划'!$F$11+H151*'模块规划'!$F$13</x:f>
        <x:v>4350.240388590366</x:v>
      </x:c>
      <x:c r="N151" s="2" t="n">
        <x:f>I151*'模块规划'!$F$15+J151*'模块规划'!$F$17+K151*'模块规划'!$F$16+L151*'模块规划'!$F$18</x:f>
        <x:v>12078.653022036573</x:v>
      </x:c>
      <x:c r="O151" s="2" t="n">
        <x:f t="shared" si="191">1+O$9*SUMPRODUCT($H$10:$L$10,H151:L151)/SUM($H$10:$L$10)</x:f>
        <x:v>2.636370608219151</x:v>
      </x:c>
      <x:c r="P151" s="12" t="n">
        <x:f t="shared" si="192">M151*O151+N151</x:f>
        <x:v>23547.49892120407</x:v>
      </x:c>
      <x:c r="Q151" s="7" t="n">
        <x:f>P151/(P151+'_曲线基线'!$L$2)</x:f>
        <x:v>0.49524158905239357</x:v>
      </x:c>
      <x:c r="R151" s="2" t="n">
        <x:f>E151*'模块规划'!$E$10+G151*'模块规划'!$E$11+H151*'模块规划'!$E$13</x:f>
        <x:v>6525.360582885548</x:v>
      </x:c>
      <x:c r="S151" s="2" t="n">
        <x:f>I151*'模块规划'!$E$15+J151*'模块规划'!$E$17+K151*'模块规划'!$E$16+L151*'模块规划'!$E$18</x:f>
        <x:v>18117.97953305486</x:v>
      </x:c>
      <x:c r="T151" s="2" t="n">
        <x:f t="shared" si="193">1+T$9*SUMPRODUCT($H$10:$L$10,H151:L151)/SUM($H$10:$L$10)</x:f>
        <x:v>2.636370608219151</x:v>
      </x:c>
      <x:c r="U151" s="12" t="n">
        <x:f t="shared" si="194">R151*T151+S151</x:f>
        <x:v>35321.2483818061</x:v>
      </x:c>
      <x:c r="V151" s="2" t="n">
        <x:f t="shared" si="195">V$8+(V$9-V$8)*H151</x:f>
        <x:v>0.8640995724331562</x:v>
      </x:c>
      <x:c r="W151" s="2" t="n">
        <x:f t="shared" si="196">IF(B151&lt;$H$8,0,W$8+(W$9-W$8)*H151)</x:f>
        <x:v>0.218799429910875</x:v>
      </x:c>
      <x:c r="X151" s="2" t="n">
        <x:f t="shared" si="197">X$8+(X$9-X$8)*H151</x:f>
        <x:v>0.4254246080637266</x:v>
      </x:c>
      <x:c r="Y151" s="2" t="n">
        <x:f t="shared" si="198">Y$8+(Y$9-Y$8)*G151</x:f>
        <x:v>1</x:v>
      </x:c>
      <x:c r="Z151" s="2" t="n">
        <x:f t="shared" si="199">Z$8+(Z$9-Z$8)*H151</x:f>
        <x:v>1</x:v>
      </x:c>
      <x:c r="AA151" s="2" t="n">
        <x:f t="shared" si="200">AA$8+(AA$9-AA$8)*I151</x:f>
        <x:v>1</x:v>
      </x:c>
      <x:c r="AB151" s="2" t="n">
        <x:f t="shared" si="201">AB$8+(AB$9-AB$8)*J151</x:f>
        <x:v>1</x:v>
      </x:c>
      <x:c r="AC151" s="2" t="n">
        <x:f t="shared" si="202">AC$8+(AC$9-AC$8)*MAX(K151,L151)</x:f>
        <x:v>1</x:v>
      </x:c>
      <x:c r="AD151" s="1" t="n">
        <x:f t="shared" si="203">(V151*AE151+W151*AF151+X151*AG151)*PRODUCT(Y151:AC151)</x:f>
        <x:v>1.6488121284510626</x:v>
      </x:c>
      <x:c r="AE151" s="2" t="n">
        <x:f t="shared" si="204">1+AE$9*($H$10*H151+$I$10*I151+$J$10*J151+$K$10*K151+$L$10*L151)</x:f>
        <x:v>1</x:v>
      </x:c>
      <x:c r="AF151" s="2" t="n">
        <x:f t="shared" si="205">1+AF$9*($H$10*H151+$I$10*I151+$J$10*J151+$K$10*K151+$L$10*L151)</x:f>
        <x:v>1.144424612385334</x:v>
      </x:c>
      <x:c r="AG151" s="2" t="n">
        <x:f t="shared" si="206">1+AG$9*($H$10*H151+$I$10*I151+$J$10*J151+$K$10*K151+$L$10*L151)</x:f>
        <x:v>1.2559525075051219</x:v>
      </x:c>
      <x:c r="AH151" s="2" t="n">
        <x:f>MIN(1,'_曲线基线'!$L$3+AH$9*($H$10*H151+$I$10*I151+$J$10*J151+$K$10*K151+$L$10*L151))</x:f>
        <x:v>0.3785659931766347</x:v>
      </x:c>
      <x:c r="AI151" s="2" t="n">
        <x:f>'_曲线基线'!$L$4+AI$9*($H$10*H151+$I$10*I151+$J$10*J151+$K$10*K151+$L$10*L151)</x:f>
        <x:v>2.9152909809920535</x:v>
      </x:c>
      <x:c r="AJ151" s="2" t="n">
        <x:f t="shared" si="207">1+AJ$9*($H$10*H151+$I$10*I151+$J$10*J151+$K$10*K151+$L$10*L151)</x:f>
        <x:v>1.7510079844037365</x:v>
      </x:c>
      <x:c r="AK151" s="1" t="n">
        <x:f t="shared" si="208">(1+AH151*(AI151-1))*AJ151</x:f>
        <x:v>3.0206008944127865</x:v>
      </x:c>
      <x:c r="AL151" s="1" t="n">
        <x:f t="shared" si="209">U151*AD151*AK151*F151</x:f>
        <x:v>879570.3258844016</x:v>
      </x:c>
      <x:c r="AM151" s="13" t="n">
        <x:f t="shared" si="210">IF($B151&lt;AM$8,0,AM$3+(AM$4-AM$3)*(POWER(AM$5,$B151-AM$8)-1)/(POWER(AM$5,$C$5-AM$8)-1))</x:f>
        <x:v>39.01024461318812</x:v>
      </x:c>
      <x:c r="AN151" s="13" t="n">
        <x:f>(((E151*'模块规划'!$D$10+G151*'模块规划'!$D$11+H151*'模块规划'!$D$13)*(1+'模块规划'!$G$14*H151)+(I151*'模块规划'!$D$15+J151*'模块规划'!$D$17+K151*'模块规划'!$D$16+L151*'模块规划'!$D$18))*(1+'模块规划'!$J$17*J151))*F151/(1-Q151)</x:f>
        <x:v>1393444.137959119</x:v>
      </x:c>
      <x:c r="AO151" s="1" t="n">
        <x:f t="shared" si="211">AL151*AM151</x:f>
        <x:v>34312253.5672521</x:v>
      </x:c>
      <x:c r="AP151" s="1" t="n">
        <x:f>IF(AO151="","",INDEX('_曲线基线'!$A$3:$A$502,MIN(ROWS('_曲线基线'!$A$3:$A$502),COUNTIF('_曲线基线'!$E$3:$E$502,"&lt;"&amp;AO151)+1)))</x:f>
        <x:v>216</x:v>
      </x:c>
      <x:c r="AQ151" s="14" t="n">
        <x:f t="shared" si="212">IF(B151&lt;=2,1,IF(B151&lt;=6,2,IF(B151&lt;=9,3,IF(B151&lt;=19,4,5))))</x:f>
        <x:v>5</x:v>
      </x:c>
      <x:c r="AR151" s="10" t="n">
        <x:f t="shared" si="213">AN151*(1-Q151)/F151*$AS$3+U151*$AS$4+P151*$AS$5</x:f>
        <x:v>11284.365569284233</x:v>
      </x:c>
      <x:c r="AS151" s="15" t="n">
        <x:f t="shared" si="214">1+AH151*$AS$6+AI151*$AS$7+(AJ151-1)*$AS$8+($H$10*H151+$I$10*I151+$J$10*J151+$K$10*K151+$L$10*L151)*$AU$3*$AS$9+($H$10*H151+$I$10*I151+$J$10*J151+$K$10*K151+$L$10*L151)*$AU$4*$AS$10</x:f>
        <x:v>13.611114692489526</x:v>
      </x:c>
      <x:c r="AT151" s="16" t="n">
        <x:f t="shared" si="215">ROUND(AR151*AS151,0)</x:f>
        <x:v>153593</x:v>
      </x:c>
      <x:c r="AU151" s="16" t="n">
        <x:f t="shared" si="216">ROUND(AT151*F151,0)</x:f>
        <x:v>767965</x:v>
      </x:c>
      <x:c r="AV151" t="n">
        <x:f>IF(AU151&gt;0,ROUND(AU151,-MAX(0,INT(LOG10(AU151))-2)),0)</x:f>
        <x:v>768000</x:v>
      </x:c>
    </x:row>
    <x:row r="152" customHeight="1">
      <x:c r="A152" s="1" t="str">
        <x:f>IFERROR(XLOOKUP(B152,'_曲线基线'!$G$3:$G$107,'_曲线基线'!$J$3:$J$107,""),"")</x:f>
      </x:c>
      <x:c r="B152" s="1" t="n">
        <x:v>141</x:v>
      </x:c>
      <x:c r="C152" s="1" t="n">
        <x:f t="shared" si="161">C137+1</x:f>
        <x:v>10</x:v>
      </x:c>
      <x:c r="D152" s="1" t="n">
        <x:f t="shared" si="162">D137</x:f>
        <x:v>12</x:v>
      </x:c>
      <x:c r="E152" s="1" t="n">
        <x:f t="shared" si="188">IF($B152&lt;E$8,0,E$3+(E$4-E$3)*(POWER(E$5,$B152-E$8)-1)/(POWER(E$5,$C$5-E$8)-1))</x:f>
        <x:v>1</x:v>
      </x:c>
      <x:c r="F152" s="10" t="n">
        <x:f t="shared" si="189">1+IF(B152&lt;3,0,MIN(1,(B152-2)/4))+IF(B152&lt;7,0,MIN(1,(B152-6)/3))+IF(B152&lt;10,0,MIN(1,(B152-9)/5))+IF(B152&lt;20,0,MIN(1,(B152-19)/10))</x:f>
        <x:v>5</x:v>
      </x:c>
      <x:c r="G152" s="11" t="n">
        <x:f t="shared" ref="G152:L152" si="228">'玩家战力_节点'!G152</x:f>
        <x:v>0.7001238762608546</x:v>
      </x:c>
      <x:c r="H152" s="11" t="n">
        <x:f t="shared" si="228">'玩家战力_节点'!H152</x:f>
        <x:v>0.5486709104285836</x:v>
      </x:c>
      <x:c r="I152" s="11" t="n">
        <x:f t="shared" si="228">'玩家战力_节点'!I152</x:f>
        <x:v>0.41876270833795987</x:v>
      </x:c>
      <x:c r="J152" s="11" t="n">
        <x:f t="shared" si="228">'玩家战力_节点'!J152</x:f>
        <x:v>0.431124324288392</x:v>
      </x:c>
      <x:c r="K152" s="11" t="n">
        <x:f t="shared" si="228">'玩家战力_节点'!K152</x:f>
        <x:v>0.3023123033173223</x:v>
      </x:c>
      <x:c r="L152" s="11" t="n">
        <x:f t="shared" si="228">'玩家战力_节点'!L152</x:f>
        <x:v>0.538284612144684</x:v>
      </x:c>
      <x:c r="M152" s="2" t="n">
        <x:f>E152*'模块规划'!$F$10+G152*'模块规划'!$F$11+H152*'模块规划'!$F$13</x:f>
        <x:v>4360.594606052102</x:v>
      </x:c>
      <x:c r="N152" s="2" t="n">
        <x:f>I152*'模块规划'!$F$15+J152*'模块规划'!$F$17+K152*'模块规划'!$F$16+L152*'模块规划'!$F$18</x:f>
        <x:v>12166.641790214953</x:v>
      </x:c>
      <x:c r="O152" s="2" t="n">
        <x:f t="shared" si="191">1+O$9*SUMPRODUCT($H$10:$L$10,H152:L152)/SUM($H$10:$L$10)</x:f>
        <x:v>2.6465955205402953</x:v>
      </x:c>
      <x:c r="P152" s="12" t="n">
        <x:f t="shared" si="192">M152*O152+N152</x:f>
        <x:v>23707.37194148462</x:v>
      </x:c>
      <x:c r="Q152" s="7" t="n">
        <x:f>P152/(P152+'_曲线基线'!$L$2)</x:f>
        <x:v>0.49693309391602725</x:v>
      </x:c>
      <x:c r="R152" s="2" t="n">
        <x:f>E152*'模块规划'!$E$10+G152*'模块规划'!$E$11+H152*'模块规划'!$E$13</x:f>
        <x:v>6540.891909078153</x:v>
      </x:c>
      <x:c r="S152" s="2" t="n">
        <x:f>I152*'模块规划'!$E$15+J152*'模块规划'!$E$17+K152*'模块规划'!$E$16+L152*'模块规划'!$E$18</x:f>
        <x:v>18249.96268532243</x:v>
      </x:c>
      <x:c r="T152" s="2" t="n">
        <x:f t="shared" si="193">1+T$9*SUMPRODUCT($H$10:$L$10,H152:L152)/SUM($H$10:$L$10)</x:f>
        <x:v>2.6465955205402953</x:v>
      </x:c>
      <x:c r="U152" s="12" t="n">
        <x:f t="shared" si="194">R152*T152+S152</x:f>
        <x:v>35561.05791222693</x:v>
      </x:c>
      <x:c r="V152" s="2" t="n">
        <x:f t="shared" si="195">V$8+(V$9-V$8)*H152</x:f>
        <x:v>0.864601273128575</x:v>
      </x:c>
      <x:c r="W152" s="2" t="n">
        <x:f t="shared" si="196">IF(B152&lt;$H$8,0,W$8+(W$9-W$8)*H152)</x:f>
        <x:v>0.21946836417143345</x:v>
      </x:c>
      <x:c r="X152" s="2" t="n">
        <x:f t="shared" si="197">X$8+(X$9-X$8)*H152</x:f>
        <x:v>0.4258845003678605</x:v>
      </x:c>
      <x:c r="Y152" s="2" t="n">
        <x:f t="shared" si="198">Y$8+(Y$9-Y$8)*G152</x:f>
        <x:v>1</x:v>
      </x:c>
      <x:c r="Z152" s="2" t="n">
        <x:f t="shared" si="199">Z$8+(Z$9-Z$8)*H152</x:f>
        <x:v>1</x:v>
      </x:c>
      <x:c r="AA152" s="2" t="n">
        <x:f t="shared" si="200">AA$8+(AA$9-AA$8)*I152</x:f>
        <x:v>1</x:v>
      </x:c>
      <x:c r="AB152" s="2" t="n">
        <x:f t="shared" si="201">AB$8+(AB$9-AB$8)*J152</x:f>
        <x:v>1</x:v>
      </x:c>
      <x:c r="AC152" s="2" t="n">
        <x:f t="shared" si="202">AC$8+(AC$9-AC$8)*MAX(K152,L152)</x:f>
        <x:v>1</x:v>
      </x:c>
      <x:c r="AD152" s="1" t="n">
        <x:f t="shared" si="203">(V152*AE152+W152*AF152+X152*AG152)*PRODUCT(Y152:AC152)</x:f>
        <x:v>1.651536162910387</x:v>
      </x:c>
      <x:c r="AE152" s="2" t="n">
        <x:f t="shared" si="204">1+AE$9*($H$10*H152+$I$10*I152+$J$10*J152+$K$10*K152+$L$10*L152)</x:f>
        <x:v>1</x:v>
      </x:c>
      <x:c r="AF152" s="2" t="n">
        <x:f t="shared" si="205">1+AF$9*($H$10*H152+$I$10*I152+$J$10*J152+$K$10*K152+$L$10*L152)</x:f>
        <x:v>1.145327054039589</x:v>
      </x:c>
      <x:c r="AG152" s="2" t="n">
        <x:f t="shared" si="206">1+AG$9*($H$10*H152+$I$10*I152+$J$10*J152+$K$10*K152+$L$10*L152)</x:f>
        <x:v>1.2575518346590513</x:v>
      </x:c>
      <x:c r="AH152" s="2" t="n">
        <x:f>MIN(1,'_曲线基线'!$L$3+AH$9*($H$10*H152+$I$10*I152+$J$10*J152+$K$10*K152+$L$10*L152))</x:f>
        <x:v>0.38061904794006446</x:v>
      </x:c>
      <x:c r="AI152" s="2" t="n">
        <x:f>'_曲线基线'!$L$4+AI$9*($H$10*H152+$I$10*I152+$J$10*J152+$K$10*K152+$L$10*L152)</x:f>
        <x:v>2.921010204975894</x:v>
      </x:c>
      <x:c r="AJ152" s="2" t="n">
        <x:f t="shared" si="207">1+AJ$9*($H$10*H152+$I$10*I152+$J$10*J152+$K$10*K152+$L$10*L152)</x:f>
        <x:v>1.7557006810058617</x:v>
      </x:c>
      <x:c r="AK152" s="1" t="n">
        <x:f t="shared" si="208">(1+AH152*(AI152-1))*AJ152</x:f>
        <x:v>3.0394217472451053</x:v>
      </x:c>
      <x:c r="AL152" s="1" t="n">
        <x:f t="shared" si="209">U152*AD152*AK152*F152</x:f>
        <x:v>892531.8666272764</x:v>
      </x:c>
      <x:c r="AM152" s="13" t="n">
        <x:f t="shared" si="210">IF($B152&lt;AM$8,0,AM$3+(AM$4-AM$3)*(POWER(AM$5,$B152-AM$8)-1)/(POWER(AM$5,$C$5-AM$8)-1))</x:f>
        <x:v>39.063771699241876</x:v>
      </x:c>
      <x:c r="AN152" s="13" t="n">
        <x:f>(((E152*'模块规划'!$D$10+G152*'模块规划'!$D$11+H152*'模块规划'!$D$13)*(1+'模块规划'!$G$14*H152)+(I152*'模块规划'!$D$15+J152*'模块规划'!$D$17+K152*'模块规划'!$D$16+L152*'模块规划'!$D$18))*(1+'模块规划'!$J$17*J152))*F152/(1-Q152)</x:f>
        <x:v>1408603.0824533147</x:v>
      </x:c>
      <x:c r="AO152" s="1" t="n">
        <x:f t="shared" si="211">AL152*AM152</x:f>
        <x:v>34865661.07222612</x:v>
      </x:c>
      <x:c r="AP152" s="1" t="n">
        <x:f>IF(AO152="","",INDEX('_曲线基线'!$A$3:$A$502,MIN(ROWS('_曲线基线'!$A$3:$A$502),COUNTIF('_曲线基线'!$E$3:$E$502,"&lt;"&amp;AO152)+1)))</x:f>
        <x:v>217</x:v>
      </x:c>
      <x:c r="AQ152" s="14" t="n">
        <x:f t="shared" si="212">IF(B152&lt;=2,1,IF(B152&lt;=6,2,IF(B152&lt;=9,3,IF(B152&lt;=19,4,5))))</x:f>
        <x:v>5</x:v>
      </x:c>
      <x:c r="AR152" s="10" t="n">
        <x:f t="shared" si="213">AN152*(1-Q152)/F152*$AS$3+U152*$AS$4+P152*$AS$5</x:f>
        <x:v>11363.941149986204</x:v>
      </x:c>
      <x:c r="AS152" s="15" t="n">
        <x:f t="shared" si="214">1+AH152*$AS$6+AI152*$AS$7+(AJ152-1)*$AS$8+($H$10*H152+$I$10*I152+$J$10*J152+$K$10*K152+$L$10*L152)*$AU$3*$AS$9+($H$10*H152+$I$10*I152+$J$10*J152+$K$10*K152+$L$10*L152)*$AU$4*$AS$10</x:f>
        <x:v>13.665036606730583</x:v>
      </x:c>
      <x:c r="AT152" s="16" t="n">
        <x:f t="shared" si="215">ROUND(AR152*AS152,0)</x:f>
        <x:v>155289</x:v>
      </x:c>
      <x:c r="AU152" s="16" t="n">
        <x:f t="shared" si="216">ROUND(AT152*F152,0)</x:f>
        <x:v>776445</x:v>
      </x:c>
      <x:c r="AV152" t="n">
        <x:f>IF(AU152&gt;0,ROUND(AU152,-MAX(0,INT(LOG10(AU152))-2)),0)</x:f>
        <x:v>776000</x:v>
      </x:c>
    </x:row>
    <x:row r="153" customHeight="1">
      <x:c r="A153" s="1" t="str">
        <x:f>IFERROR(XLOOKUP(B153,'_曲线基线'!$G$3:$G$107,'_曲线基线'!$J$3:$J$107,""),"")</x:f>
      </x:c>
      <x:c r="B153" s="1" t="n">
        <x:v>142</x:v>
      </x:c>
      <x:c r="C153" s="1" t="n">
        <x:f t="shared" si="161">C138+1</x:f>
        <x:v>10</x:v>
      </x:c>
      <x:c r="D153" s="1" t="n">
        <x:f t="shared" si="162">D138</x:f>
        <x:v>13</x:v>
      </x:c>
      <x:c r="E153" s="1" t="n">
        <x:f t="shared" si="188">IF($B153&lt;E$8,0,E$3+(E$4-E$3)*(POWER(E$5,$B153-E$8)-1)/(POWER(E$5,$C$5-E$8)-1))</x:f>
        <x:v>1</x:v>
      </x:c>
      <x:c r="F153" s="10" t="n">
        <x:f t="shared" si="189">1+IF(B153&lt;3,0,MIN(1,(B153-2)/4))+IF(B153&lt;7,0,MIN(1,(B153-6)/3))+IF(B153&lt;10,0,MIN(1,(B153-9)/5))+IF(B153&lt;20,0,MIN(1,(B153-19)/10))</x:f>
        <x:v>5</x:v>
      </x:c>
      <x:c r="G153" s="11" t="n">
        <x:f t="shared" ref="G153:L153" si="229">'玩家战力_节点'!G153</x:f>
        <x:v>0.7022810048987164</x:v>
      </x:c>
      <x:c r="H153" s="11" t="n">
        <x:f t="shared" si="229">'玩家战力_节点'!H153</x:f>
        <x:v>0.5503432460799799</x:v>
      </x:c>
      <x:c r="I153" s="11" t="n">
        <x:f t="shared" si="229">'玩家战力_节点'!I153</x:f>
        <x:v>0.4219186864103603</x:v>
      </x:c>
      <x:c r="J153" s="11" t="n">
        <x:f t="shared" si="229">'玩家战力_节点'!J153</x:f>
        <x:v>0.4330917857866983</x:v>
      </x:c>
      <x:c r="K153" s="11" t="n">
        <x:f t="shared" si="229">'玩家战力_节点'!K153</x:f>
        <x:v>0.307939061026149</x:v>
      </x:c>
      <x:c r="L153" s="11" t="n">
        <x:f t="shared" si="229">'玩家战力_节点'!L153</x:f>
        <x:v>0.5401457686173148</x:v>
      </x:c>
      <x:c r="M153" s="2" t="n">
        <x:f>E153*'模块规划'!$F$10+G153*'模块规划'!$F$11+H153*'模块规划'!$F$13</x:f>
        <x:v>4370.948823513839</x:v>
      </x:c>
      <x:c r="N153" s="2" t="n">
        <x:f>I153*'模块规划'!$F$15+J153*'模块规划'!$F$17+K153*'模块规划'!$F$16+L153*'模块规划'!$F$18</x:f>
        <x:v>12254.630558393334</x:v>
      </x:c>
      <x:c r="O153" s="2" t="n">
        <x:f t="shared" si="191">1+O$9*SUMPRODUCT($H$10:$L$10,H153:L153)/SUM($H$10:$L$10)</x:f>
        <x:v>2.6568204328614398</x:v>
      </x:c>
      <x:c r="P153" s="12" t="n">
        <x:f t="shared" si="192">M153*O153+N153</x:f>
        <x:v>23867.45670369657</x:v>
      </x:c>
      <x:c r="Q153" s="7" t="n">
        <x:f>P153/(P153+'_曲线基线'!$L$2)</x:f>
        <x:v>0.49861551766658624</x:v>
      </x:c>
      <x:c r="R153" s="2" t="n">
        <x:f>E153*'模块规划'!$E$10+G153*'模块规划'!$E$11+H153*'模块规划'!$E$13</x:f>
        <x:v>6556.423235270758</x:v>
      </x:c>
      <x:c r="S153" s="2" t="n">
        <x:f>I153*'模块规划'!$E$15+J153*'模块规划'!$E$17+K153*'模块规划'!$E$16+L153*'模块规划'!$E$18</x:f>
        <x:v>18381.94583759</x:v>
      </x:c>
      <x:c r="T153" s="2" t="n">
        <x:f t="shared" si="193">1+T$9*SUMPRODUCT($H$10:$L$10,H153:L153)/SUM($H$10:$L$10)</x:f>
        <x:v>2.6568204328614398</x:v>
      </x:c>
      <x:c r="U153" s="12" t="n">
        <x:f t="shared" si="194">R153*T153+S153</x:f>
        <x:v>35801.185055544855</x:v>
      </x:c>
      <x:c r="V153" s="2" t="n">
        <x:f t="shared" si="195">V$8+(V$9-V$8)*H153</x:f>
        <x:v>0.8651029738239939</x:v>
      </x:c>
      <x:c r="W153" s="2" t="n">
        <x:f t="shared" si="196">IF(B153&lt;$H$8,0,W$8+(W$9-W$8)*H153)</x:f>
        <x:v>0.22013729843199195</x:v>
      </x:c>
      <x:c r="X153" s="2" t="n">
        <x:f t="shared" si="197">X$8+(X$9-X$8)*H153</x:f>
        <x:v>0.42634439267199453</x:v>
      </x:c>
      <x:c r="Y153" s="2" t="n">
        <x:f t="shared" si="198">Y$8+(Y$9-Y$8)*G153</x:f>
        <x:v>1</x:v>
      </x:c>
      <x:c r="Z153" s="2" t="n">
        <x:f t="shared" si="199">Z$8+(Z$9-Z$8)*H153</x:f>
        <x:v>1</x:v>
      </x:c>
      <x:c r="AA153" s="2" t="n">
        <x:f t="shared" si="200">AA$8+(AA$9-AA$8)*I153</x:f>
        <x:v>1</x:v>
      </x:c>
      <x:c r="AB153" s="2" t="n">
        <x:f t="shared" si="201">AB$8+(AB$9-AB$8)*J153</x:f>
        <x:v>1</x:v>
      </x:c>
      <x:c r="AC153" s="2" t="n">
        <x:f t="shared" si="202">AC$8+(AC$9-AC$8)*MAX(K153,L153)</x:f>
        <x:v>1</x:v>
      </x:c>
      <x:c r="AD153" s="1" t="n">
        <x:f t="shared" si="203">(V153*AE153+W153*AF153+X153*AG153)*PRODUCT(Y153:AC153)</x:f>
        <x:v>1.6542628757544926</x:v>
      </x:c>
      <x:c r="AE153" s="2" t="n">
        <x:f t="shared" si="204">1+AE$9*($H$10*H153+$I$10*I153+$J$10*J153+$K$10*K153+$L$10*L153)</x:f>
        <x:v>1</x:v>
      </x:c>
      <x:c r="AF153" s="2" t="n">
        <x:f t="shared" si="205">1+AF$9*($H$10*H153+$I$10*I153+$J$10*J153+$K$10*K153+$L$10*L153)</x:f>
        <x:v>1.1462294956938437</x:v>
      </x:c>
      <x:c r="AG153" s="2" t="n">
        <x:f t="shared" si="206">1+AG$9*($H$10*H153+$I$10*I153+$J$10*J153+$K$10*K153+$L$10*L153)</x:f>
        <x:v>1.2591511618129807</x:v>
      </x:c>
      <x:c r="AH153" s="2" t="n">
        <x:f>MIN(1,'_曲线基线'!$L$3+AH$9*($H$10*H153+$I$10*I153+$J$10*J153+$K$10*K153+$L$10*L153))</x:f>
        <x:v>0.3826721027034943</x:v>
      </x:c>
      <x:c r="AI153" s="2" t="n">
        <x:f>'_曲线基线'!$L$4+AI$9*($H$10*H153+$I$10*I153+$J$10*J153+$K$10*K153+$L$10*L153)</x:f>
        <x:v>2.9267294289597343</x:v>
      </x:c>
      <x:c r="AJ153" s="2" t="n">
        <x:f t="shared" si="207">1+AJ$9*($H$10*H153+$I$10*I153+$J$10*J153+$K$10*K153+$L$10*L153)</x:f>
        <x:v>1.760393377607987</x:v>
      </x:c>
      <x:c r="AK153" s="1" t="n">
        <x:f t="shared" si="208">(1+AH153*(AI153-1))*AJ153</x:f>
        <x:v>3.058341276502501</x:v>
      </x:c>
      <x:c r="AL153" s="1" t="n">
        <x:f t="shared" si="209">U153*AD153*AK153*F153</x:f>
        <x:v>905644.7556440876</x:v>
      </x:c>
      <x:c r="AM153" s="13" t="n">
        <x:f t="shared" si="210">IF($B153&lt;AM$8,0,AM$3+(AM$4-AM$3)*(POWER(AM$5,$B153-AM$8)-1)/(POWER(AM$5,$C$5-AM$8)-1))</x:f>
        <x:v>39.11783405615616</x:v>
      </x:c>
      <x:c r="AN153" s="13" t="n">
        <x:f>(((E153*'模块规划'!$D$10+G153*'模块规划'!$D$11+H153*'模块规划'!$D$13)*(1+'模块规划'!$G$14*H153)+(I153*'模块规划'!$D$15+J153*'模块规划'!$D$17+K153*'模块规划'!$D$16+L153*'模块规划'!$D$18))*(1+'模块规划'!$J$17*J153))*F153/(1-Q153)</x:f>
        <x:v>1423866.7835619391</x:v>
      </x:c>
      <x:c r="AO153" s="1" t="n">
        <x:f t="shared" si="211">AL153*AM153</x:f>
        <x:v>35426861.26511352</x:v>
      </x:c>
      <x:c r="AP153" s="1" t="n">
        <x:f>IF(AO153="","",INDEX('_曲线基线'!$A$3:$A$502,MIN(ROWS('_曲线基线'!$A$3:$A$502),COUNTIF('_曲线基线'!$E$3:$E$502,"&lt;"&amp;AO153)+1)))</x:f>
        <x:v>218</x:v>
      </x:c>
      <x:c r="AQ153" s="14" t="n">
        <x:f t="shared" si="212">IF(B153&lt;=2,1,IF(B153&lt;=6,2,IF(B153&lt;=9,3,IF(B153&lt;=19,4,5))))</x:f>
        <x:v>5</x:v>
      </x:c>
      <x:c r="AR153" s="10" t="n">
        <x:f t="shared" si="213">AN153*(1-Q153)/F153*$AS$3+U153*$AS$4+P153*$AS$5</x:f>
        <x:v>11443.665272236645</x:v>
      </x:c>
      <x:c r="AS153" s="15" t="n">
        <x:f t="shared" si="214">1+AH153*$AS$6+AI153*$AS$7+(AJ153-1)*$AS$8+($H$10*H153+$I$10*I153+$J$10*J153+$K$10*K153+$L$10*L153)*$AU$3*$AS$9+($H$10*H153+$I$10*I153+$J$10*J153+$K$10*K153+$L$10*L153)*$AU$4*$AS$10</x:f>
        <x:v>13.71895852097164</x:v>
      </x:c>
      <x:c r="AT153" s="16" t="n">
        <x:f t="shared" si="215">ROUND(AR153*AS153,0)</x:f>
        <x:v>156995</x:v>
      </x:c>
      <x:c r="AU153" s="16" t="n">
        <x:f t="shared" si="216">ROUND(AT153*F153,0)</x:f>
        <x:v>784975</x:v>
      </x:c>
      <x:c r="AV153" t="n">
        <x:f>IF(AU153&gt;0,ROUND(AU153,-MAX(0,INT(LOG10(AU153))-2)),0)</x:f>
        <x:v>785000</x:v>
      </x:c>
    </x:row>
    <x:row r="154" customHeight="1">
      <x:c r="A154" s="1" t="str">
        <x:f>IFERROR(XLOOKUP(B154,'_曲线基线'!$G$3:$G$107,'_曲线基线'!$J$3:$J$107,""),"")</x:f>
      </x:c>
      <x:c r="B154" s="1" t="n">
        <x:v>143</x:v>
      </x:c>
      <x:c r="C154" s="1" t="n">
        <x:f t="shared" si="161">C139+1</x:f>
        <x:v>10</x:v>
      </x:c>
      <x:c r="D154" s="1" t="n">
        <x:f t="shared" si="162">D139</x:f>
        <x:v>14</x:v>
      </x:c>
      <x:c r="E154" s="1" t="n">
        <x:f t="shared" si="188">IF($B154&lt;E$8,0,E$3+(E$4-E$3)*(POWER(E$5,$B154-E$8)-1)/(POWER(E$5,$C$5-E$8)-1))</x:f>
        <x:v>1</x:v>
      </x:c>
      <x:c r="F154" s="10" t="n">
        <x:f t="shared" si="189">1+IF(B154&lt;3,0,MIN(1,(B154-2)/4))+IF(B154&lt;7,0,MIN(1,(B154-6)/3))+IF(B154&lt;10,0,MIN(1,(B154-9)/5))+IF(B154&lt;20,0,MIN(1,(B154-19)/10))</x:f>
        <x:v>5</x:v>
      </x:c>
      <x:c r="G154" s="11" t="n">
        <x:f t="shared" ref="G154:L154" si="230">'玩家战力_节点'!G154</x:f>
        <x:v>0.7044381335365781</x:v>
      </x:c>
      <x:c r="H154" s="11" t="n">
        <x:f t="shared" si="230">'玩家战力_节点'!H154</x:f>
        <x:v>0.5520155817313761</x:v>
      </x:c>
      <x:c r="I154" s="11" t="n">
        <x:f t="shared" si="230">'玩家战力_节点'!I154</x:f>
        <x:v>0.42507466448276066</x:v>
      </x:c>
      <x:c r="J154" s="11" t="n">
        <x:f t="shared" si="230">'玩家战力_节点'!J154</x:f>
        <x:v>0.43505924728500456</x:v>
      </x:c>
      <x:c r="K154" s="11" t="n">
        <x:f t="shared" si="230">'玩家战力_节点'!K154</x:f>
        <x:v>0.31356581873497563</x:v>
      </x:c>
      <x:c r="L154" s="11" t="n">
        <x:f t="shared" si="230">'玩家战力_节点'!L154</x:f>
        <x:v>0.5420069250899456</x:v>
      </x:c>
      <x:c r="M154" s="2" t="n">
        <x:f>E154*'模块规划'!$F$10+G154*'模块规划'!$F$11+H154*'模块规划'!$F$13</x:f>
        <x:v>4381.303040975576</x:v>
      </x:c>
      <x:c r="N154" s="2" t="n">
        <x:f>I154*'模块规划'!$F$15+J154*'模块规划'!$F$17+K154*'模块规划'!$F$16+L154*'模块规划'!$F$18</x:f>
        <x:v>12342.619326571712</x:v>
      </x:c>
      <x:c r="O154" s="2" t="n">
        <x:f t="shared" si="191">1+O$9*SUMPRODUCT($H$10:$L$10,H154:L154)/SUM($H$10:$L$10)</x:f>
        <x:v>2.6670453451825837</x:v>
      </x:c>
      <x:c r="P154" s="12" t="n">
        <x:f t="shared" si="192">M154*O154+N154</x:f>
        <x:v>24027.75320783992</x:v>
      </x:c>
      <x:c r="Q154" s="7" t="n">
        <x:f>P154/(P154+'_曲线基线'!$L$2)</x:f>
        <x:v>0.5002889288586936</x:v>
      </x:c>
      <x:c r="R154" s="2" t="n">
        <x:f>E154*'模块规划'!$E$10+G154*'模块规划'!$E$11+H154*'模块规划'!$E$13</x:f>
        <x:v>6571.954561463363</x:v>
      </x:c>
      <x:c r="S154" s="2" t="n">
        <x:f>I154*'模块规划'!$E$15+J154*'模块规划'!$E$17+K154*'模块规划'!$E$16+L154*'模块规划'!$E$18</x:f>
        <x:v>18513.928989857566</x:v>
      </x:c>
      <x:c r="T154" s="2" t="n">
        <x:f t="shared" si="193">1+T$9*SUMPRODUCT($H$10:$L$10,H154:L154)/SUM($H$10:$L$10)</x:f>
        <x:v>2.6670453451825837</x:v>
      </x:c>
      <x:c r="U154" s="12" t="n">
        <x:f t="shared" si="194">R154*T154+S154</x:f>
        <x:v>36041.62981175988</x:v>
      </x:c>
      <x:c r="V154" s="2" t="n">
        <x:f t="shared" si="195">V$8+(V$9-V$8)*H154</x:f>
        <x:v>0.8656046745194128</x:v>
      </x:c>
      <x:c r="W154" s="2" t="n">
        <x:f t="shared" si="196">IF(B154&lt;$H$8,0,W$8+(W$9-W$8)*H154)</x:f>
        <x:v>0.22080623269255045</x:v>
      </x:c>
      <x:c r="X154" s="2" t="n">
        <x:f t="shared" si="197">X$8+(X$9-X$8)*H154</x:f>
        <x:v>0.42680428497612843</x:v>
      </x:c>
      <x:c r="Y154" s="2" t="n">
        <x:f t="shared" si="198">Y$8+(Y$9-Y$8)*G154</x:f>
        <x:v>1</x:v>
      </x:c>
      <x:c r="Z154" s="2" t="n">
        <x:f t="shared" si="199">Z$8+(Z$9-Z$8)*H154</x:f>
        <x:v>1</x:v>
      </x:c>
      <x:c r="AA154" s="2" t="n">
        <x:f t="shared" si="200">AA$8+(AA$9-AA$8)*I154</x:f>
        <x:v>1</x:v>
      </x:c>
      <x:c r="AB154" s="2" t="n">
        <x:f t="shared" si="201">AB$8+(AB$9-AB$8)*J154</x:f>
        <x:v>1</x:v>
      </x:c>
      <x:c r="AC154" s="2" t="n">
        <x:f t="shared" si="202">AC$8+(AC$9-AC$8)*MAX(K154,L154)</x:f>
        <x:v>1</x:v>
      </x:c>
      <x:c r="AD154" s="1" t="n">
        <x:f t="shared" si="203">(V154*AE154+W154*AF154+X154*AG154)*PRODUCT(Y154:AC154)</x:f>
        <x:v>1.6569922669833796</x:v>
      </x:c>
      <x:c r="AE154" s="2" t="n">
        <x:f t="shared" si="204">1+AE$9*($H$10*H154+$I$10*I154+$J$10*J154+$K$10*K154+$L$10*L154)</x:f>
        <x:v>1</x:v>
      </x:c>
      <x:c r="AF154" s="2" t="n">
        <x:f t="shared" si="205">1+AF$9*($H$10*H154+$I$10*I154+$J$10*J154+$K$10*K154+$L$10*L154)</x:f>
        <x:v>1.1471319373480986</x:v>
      </x:c>
      <x:c r="AG154" s="2" t="n">
        <x:f t="shared" si="206">1+AG$9*($H$10*H154+$I$10*I154+$J$10*J154+$K$10*K154+$L$10*L154)</x:f>
        <x:v>1.26075048896691</x:v>
      </x:c>
      <x:c r="AH154" s="2" t="n">
        <x:f>MIN(1,'_曲线基线'!$L$3+AH$9*($H$10*H154+$I$10*I154+$J$10*J154+$K$10*K154+$L$10*L154))</x:f>
        <x:v>0.384725157466924</x:v>
      </x:c>
      <x:c r="AI154" s="2" t="n">
        <x:f>'_曲线基线'!$L$4+AI$9*($H$10*H154+$I$10*I154+$J$10*J154+$K$10*K154+$L$10*L154)</x:f>
        <x:v>2.932448652943574</x:v>
      </x:c>
      <x:c r="AJ154" s="2" t="n">
        <x:f t="shared" si="207">1+AJ$9*($H$10*H154+$I$10*I154+$J$10*J154+$K$10*K154+$L$10*L154)</x:f>
        <x:v>1.765086074210112</x:v>
      </x:c>
      <x:c r="AK154" s="1" t="n">
        <x:f t="shared" si="208">(1+AH154*(AI154-1))*AJ154</x:f>
        <x:v>3.077359812791454</x:v>
      </x:c>
      <x:c r="AL154" s="1" t="n">
        <x:f t="shared" si="209">U154*AD154*AK154*F154</x:f>
        <x:v>918910.4399024372</x:v>
      </x:c>
      <x:c r="AM154" s="13" t="n">
        <x:f t="shared" si="210">IF($B154&lt;AM$8,0,AM$3+(AM$4-AM$3)*(POWER(AM$5,$B154-AM$8)-1)/(POWER(AM$5,$C$5-AM$8)-1))</x:f>
        <x:v>39.17243703663959</x:v>
      </x:c>
      <x:c r="AN154" s="13" t="n">
        <x:f>(((E154*'模块规划'!$D$10+G154*'模块规划'!$D$11+H154*'模块规划'!$D$13)*(1+'模块规划'!$G$14*H154)+(I154*'模块规划'!$D$15+J154*'模块规划'!$D$17+K154*'模块规划'!$D$16+L154*'模块规划'!$D$18))*(1+'模块规划'!$J$17*J154))*F154/(1-Q154)</x:f>
        <x:v>1439235.6757082467</x:v>
      </x:c>
      <x:c r="AO154" s="1" t="n">
        <x:f t="shared" si="211">AL154*AM154</x:f>
        <x:v>35995961.34938901</x:v>
      </x:c>
      <x:c r="AP154" s="1" t="n">
        <x:f>IF(AO154="","",INDEX('_曲线基线'!$A$3:$A$502,MIN(ROWS('_曲线基线'!$A$3:$A$502),COUNTIF('_曲线基线'!$E$3:$E$502,"&lt;"&amp;AO154)+1)))</x:f>
        <x:v>219</x:v>
      </x:c>
      <x:c r="AQ154" s="14" t="n">
        <x:f t="shared" si="212">IF(B154&lt;=2,1,IF(B154&lt;=6,2,IF(B154&lt;=9,3,IF(B154&lt;=19,4,5))))</x:f>
        <x:v>5</x:v>
      </x:c>
      <x:c r="AR154" s="10" t="n">
        <x:f t="shared" si="213">AN154*(1-Q154)/F154*$AS$3+U154*$AS$4+P154*$AS$5</x:f>
        <x:v>11523.537969149675</x:v>
      </x:c>
      <x:c r="AS154" s="15" t="n">
        <x:f t="shared" si="214">1+AH154*$AS$6+AI154*$AS$7+(AJ154-1)*$AS$8+($H$10*H154+$I$10*I154+$J$10*J154+$K$10*K154+$L$10*L154)*$AU$3*$AS$9+($H$10*H154+$I$10*I154+$J$10*J154+$K$10*K154+$L$10*L154)*$AU$4*$AS$10</x:f>
        <x:v>13.772880435212695</x:v>
      </x:c>
      <x:c r="AT154" s="16" t="n">
        <x:f t="shared" si="215">ROUND(AR154*AS154,0)</x:f>
        <x:v>158712</x:v>
      </x:c>
      <x:c r="AU154" s="16" t="n">
        <x:f t="shared" si="216">ROUND(AT154*F154,0)</x:f>
        <x:v>793560</x:v>
      </x:c>
      <x:c r="AV154" t="n">
        <x:f>IF(AU154&gt;0,ROUND(AU154,-MAX(0,INT(LOG10(AU154))-2)),0)</x:f>
        <x:v>794000</x:v>
      </x:c>
    </x:row>
    <x:row r="155" customHeight="1">
      <x:c r="A155" s="1" t="str">
        <x:f>IFERROR(XLOOKUP(B155,'_曲线基线'!$G$3:$G$107,'_曲线基线'!$J$3:$J$107,""),"")</x:f>
      </x:c>
      <x:c r="B155" s="1" t="n">
        <x:v>144</x:v>
      </x:c>
      <x:c r="C155" s="1" t="n">
        <x:f t="shared" si="161">C140+1</x:f>
        <x:v>10</x:v>
      </x:c>
      <x:c r="D155" s="1" t="n">
        <x:f t="shared" si="162">D140</x:f>
        <x:v>15</x:v>
      </x:c>
      <x:c r="E155" s="1" t="n">
        <x:f t="shared" si="188">IF($B155&lt;E$8,0,E$3+(E$4-E$3)*(POWER(E$5,$B155-E$8)-1)/(POWER(E$5,$C$5-E$8)-1))</x:f>
        <x:v>1</x:v>
      </x:c>
      <x:c r="F155" s="10" t="n">
        <x:f t="shared" si="189">1+IF(B155&lt;3,0,MIN(1,(B155-2)/4))+IF(B155&lt;7,0,MIN(1,(B155-6)/3))+IF(B155&lt;10,0,MIN(1,(B155-9)/5))+IF(B155&lt;20,0,MIN(1,(B155-19)/10))</x:f>
        <x:v>5</x:v>
      </x:c>
      <x:c r="G155" s="11" t="n">
        <x:f t="shared" ref="G155:L155" si="231">'玩家战力_节点'!G155</x:f>
        <x:v>0.7065952621744399</x:v>
      </x:c>
      <x:c r="H155" s="11" t="n">
        <x:f t="shared" si="231">'玩家战力_节点'!H155</x:f>
        <x:v>0.5536879173827722</x:v>
      </x:c>
      <x:c r="I155" s="11" t="n">
        <x:f t="shared" si="231">'玩家战力_节点'!I155</x:f>
        <x:v>0.42823064255516113</x:v>
      </x:c>
      <x:c r="J155" s="11" t="n">
        <x:f t="shared" si="231">'玩家战力_节点'!J155</x:f>
        <x:v>0.4370267087833109</x:v>
      </x:c>
      <x:c r="K155" s="11" t="n">
        <x:f t="shared" si="231">'玩家战力_节点'!K155</x:f>
        <x:v>0.31919257644380233</x:v>
      </x:c>
      <x:c r="L155" s="11" t="n">
        <x:f t="shared" si="231">'玩家战力_节点'!L155</x:f>
        <x:v>0.5438680815625764</x:v>
      </x:c>
      <x:c r="M155" s="2" t="n">
        <x:f>E155*'模块规划'!$F$10+G155*'模块规划'!$F$11+H155*'模块规划'!$F$13</x:f>
        <x:v>4391.657258437312</x:v>
      </x:c>
      <x:c r="N155" s="2" t="n">
        <x:f>I155*'模块规划'!$F$15+J155*'模块规划'!$F$17+K155*'模块规划'!$F$16+L155*'模块规划'!$F$18</x:f>
        <x:v>12430.608094750094</x:v>
      </x:c>
      <x:c r="O155" s="2" t="n">
        <x:f t="shared" si="191">1+O$9*SUMPRODUCT($H$10:$L$10,H155:L155)/SUM($H$10:$L$10)</x:f>
        <x:v>2.6772702575037286</x:v>
      </x:c>
      <x:c r="P155" s="12" t="n">
        <x:f t="shared" si="192">M155*O155+N155</x:f>
        <x:v>24188.261453914674</x:v>
      </x:c>
      <x:c r="Q155" s="7" t="n">
        <x:f>P155/(P155+'_曲线基线'!$L$2)</x:f>
        <x:v>0.5019533953730072</x:v>
      </x:c>
      <x:c r="R155" s="2" t="n">
        <x:f>E155*'模块规划'!$E$10+G155*'模块规划'!$E$11+H155*'模块规划'!$E$13</x:f>
        <x:v>6587.485887655967</x:v>
      </x:c>
      <x:c r="S155" s="2" t="n">
        <x:f>I155*'模块规划'!$E$15+J155*'模块规划'!$E$17+K155*'模块规划'!$E$16+L155*'模块规划'!$E$18</x:f>
        <x:v>18645.91214212514</x:v>
      </x:c>
      <x:c r="T155" s="2" t="n">
        <x:f t="shared" si="193">1+T$9*SUMPRODUCT($H$10:$L$10,H155:L155)/SUM($H$10:$L$10)</x:f>
        <x:v>2.6772702575037286</x:v>
      </x:c>
      <x:c r="U155" s="12" t="n">
        <x:f t="shared" si="194">R155*T155+S155</x:f>
        <x:v>36282.39218087201</x:v>
      </x:c>
      <x:c r="V155" s="2" t="n">
        <x:f t="shared" si="195">V$8+(V$9-V$8)*H155</x:f>
        <x:v>0.8661063752148317</x:v>
      </x:c>
      <x:c r="W155" s="2" t="n">
        <x:f t="shared" si="196">IF(B155&lt;$H$8,0,W$8+(W$9-W$8)*H155)</x:f>
        <x:v>0.2214751669531089</x:v>
      </x:c>
      <x:c r="X155" s="2" t="n">
        <x:f t="shared" si="197">X$8+(X$9-X$8)*H155</x:f>
        <x:v>0.4272641772802624</x:v>
      </x:c>
      <x:c r="Y155" s="2" t="n">
        <x:f t="shared" si="198">Y$8+(Y$9-Y$8)*G155</x:f>
        <x:v>1</x:v>
      </x:c>
      <x:c r="Z155" s="2" t="n">
        <x:f t="shared" si="199">Z$8+(Z$9-Z$8)*H155</x:f>
        <x:v>1</x:v>
      </x:c>
      <x:c r="AA155" s="2" t="n">
        <x:f t="shared" si="200">AA$8+(AA$9-AA$8)*I155</x:f>
        <x:v>1</x:v>
      </x:c>
      <x:c r="AB155" s="2" t="n">
        <x:f t="shared" si="201">AB$8+(AB$9-AB$8)*J155</x:f>
        <x:v>1</x:v>
      </x:c>
      <x:c r="AC155" s="2" t="n">
        <x:f t="shared" si="202">AC$8+(AC$9-AC$8)*MAX(K155,L155)</x:f>
        <x:v>1</x:v>
      </x:c>
      <x:c r="AD155" s="1" t="n">
        <x:f t="shared" si="203">(V155*AE155+W155*AF155+X155*AG155)*PRODUCT(Y155:AC155)</x:f>
        <x:v>1.6597243365970475</x:v>
      </x:c>
      <x:c r="AE155" s="2" t="n">
        <x:f t="shared" si="204">1+AE$9*($H$10*H155+$I$10*I155+$J$10*J155+$K$10*K155+$L$10*L155)</x:f>
        <x:v>1</x:v>
      </x:c>
      <x:c r="AF155" s="2" t="n">
        <x:f t="shared" si="205">1+AF$9*($H$10*H155+$I$10*I155+$J$10*J155+$K$10*K155+$L$10*L155)</x:f>
        <x:v>1.1480343790023535</x:v>
      </x:c>
      <x:c r="AG155" s="2" t="n">
        <x:f t="shared" si="206">1+AG$9*($H$10*H155+$I$10*I155+$J$10*J155+$K$10*K155+$L$10*L155)</x:f>
        <x:v>1.2623498161208395</x:v>
      </x:c>
      <x:c r="AH155" s="2" t="n">
        <x:f>MIN(1,'_曲线基线'!$L$3+AH$9*($H$10*H155+$I$10*I155+$J$10*J155+$K$10*K155+$L$10*L155))</x:f>
        <x:v>0.3867782122303538</x:v>
      </x:c>
      <x:c r="AI155" s="2" t="n">
        <x:f>'_曲线基线'!$L$4+AI$9*($H$10*H155+$I$10*I155+$J$10*J155+$K$10*K155+$L$10*L155)</x:f>
        <x:v>2.938167876927414</x:v>
      </x:c>
      <x:c r="AJ155" s="2" t="n">
        <x:f t="shared" si="207">1+AJ$9*($H$10*H155+$I$10*I155+$J$10*J155+$K$10*K155+$L$10*L155)</x:f>
        <x:v>1.7697787708122372</x:v>
      </x:c>
      <x:c r="AK155" s="1" t="n">
        <x:f t="shared" si="208">(1+AH155*(AI155-1))*AJ155</x:f>
        <x:v>3.0964776867184516</x:v>
      </x:c>
      <x:c r="AL155" s="1" t="n">
        <x:f t="shared" si="209">U155*AD155*AK155*F155</x:f>
        <x:v>932330.3771801632</x:v>
      </x:c>
      <x:c r="AM155" s="13" t="n">
        <x:f t="shared" si="210">IF($B155&lt;AM$8,0,AM$3+(AM$4-AM$3)*(POWER(AM$5,$B155-AM$8)-1)/(POWER(AM$5,$C$5-AM$8)-1))</x:f>
        <x:v>39.227586046927854</x:v>
      </x:c>
      <x:c r="AN155" s="13" t="n">
        <x:f>(((E155*'模块规划'!$D$10+G155*'模块规划'!$D$11+H155*'模块规划'!$D$13)*(1+'模块规划'!$G$14*H155)+(I155*'模块规划'!$D$15+J155*'模块规划'!$D$17+K155*'模块规划'!$D$16+L155*'模块规划'!$D$18))*(1+'模块规划'!$J$17*J155))*F155/(1-Q155)</x:f>
        <x:v>1454710.1942132236</x:v>
      </x:c>
      <x:c r="AO155" s="1" t="n">
        <x:f t="shared" si="211">AL155*AM155</x:f>
        <x:v>36573070.09499955</x:v>
      </x:c>
      <x:c r="AP155" s="1" t="n">
        <x:f>IF(AO155="","",INDEX('_曲线基线'!$A$3:$A$502,MIN(ROWS('_曲线基线'!$A$3:$A$502),COUNTIF('_曲线基线'!$E$3:$E$502,"&lt;"&amp;AO155)+1)))</x:f>
        <x:v>220</x:v>
      </x:c>
      <x:c r="AQ155" s="14" t="n">
        <x:f t="shared" si="212">IF(B155&lt;=2,1,IF(B155&lt;=6,2,IF(B155&lt;=9,3,IF(B155&lt;=19,4,5))))</x:f>
        <x:v>5</x:v>
      </x:c>
      <x:c r="AR155" s="10" t="n">
        <x:f t="shared" si="213">AN155*(1-Q155)/F155*$AS$3+U155*$AS$4+P155*$AS$5</x:f>
        <x:v>11603.559273839419</x:v>
      </x:c>
      <x:c r="AS155" s="15" t="n">
        <x:f t="shared" si="214">1+AH155*$AS$6+AI155*$AS$7+(AJ155-1)*$AS$8+($H$10*H155+$I$10*I155+$J$10*J155+$K$10*K155+$L$10*L155)*$AU$3*$AS$9+($H$10*H155+$I$10*I155+$J$10*J155+$K$10*K155+$L$10*L155)*$AU$4*$AS$10</x:f>
        <x:v>13.826802349453752</x:v>
      </x:c>
      <x:c r="AT155" s="16" t="n">
        <x:f t="shared" si="215">ROUND(AR155*AS155,0)</x:f>
        <x:v>160440</x:v>
      </x:c>
      <x:c r="AU155" s="16" t="n">
        <x:f t="shared" si="216">ROUND(AT155*F155,0)</x:f>
        <x:v>802200</x:v>
      </x:c>
      <x:c r="AV155" t="n">
        <x:f>IF(AU155&gt;0,ROUND(AU155,-MAX(0,INT(LOG10(AU155))-2)),0)</x:f>
        <x:v>802000</x:v>
      </x:c>
    </x:row>
    <x:row r="156" customHeight="1">
      <x:c r="A156" s="1" t="str">
        <x:f>IFERROR(XLOOKUP(B156,'_曲线基线'!$G$3:$G$107,'_曲线基线'!$J$3:$J$107,""),"")</x:f>
      </x:c>
      <x:c r="B156" s="1" t="n">
        <x:v>145</x:v>
      </x:c>
      <x:c r="C156" s="1" t="n">
        <x:f t="shared" si="161">C141+1</x:f>
        <x:v>11</x:v>
      </x:c>
      <x:c r="D156" s="1" t="n">
        <x:f t="shared" si="162">D141</x:f>
        <x:v>1</x:v>
      </x:c>
      <x:c r="E156" s="1" t="n">
        <x:f t="shared" si="188">IF($B156&lt;E$8,0,E$3+(E$4-E$3)*(POWER(E$5,$B156-E$8)-1)/(POWER(E$5,$C$5-E$8)-1))</x:f>
        <x:v>1</x:v>
      </x:c>
      <x:c r="F156" s="10" t="n">
        <x:f t="shared" si="189">1+IF(B156&lt;3,0,MIN(1,(B156-2)/4))+IF(B156&lt;7,0,MIN(1,(B156-6)/3))+IF(B156&lt;10,0,MIN(1,(B156-9)/5))+IF(B156&lt;20,0,MIN(1,(B156-19)/10))</x:f>
        <x:v>5</x:v>
      </x:c>
      <x:c r="G156" s="11" t="n">
        <x:f t="shared" ref="G156:L156" si="232">'玩家战力_节点'!G156</x:f>
        <x:v>0.7086328195834423</x:v>
      </x:c>
      <x:c r="H156" s="11" t="n">
        <x:f t="shared" si="232">'玩家战力_节点'!H156</x:f>
        <x:v>0.5552466223795348</x:v>
      </x:c>
      <x:c r="I156" s="11" t="n">
        <x:f t="shared" si="232">'玩家战力_节点'!I156</x:f>
        <x:v>0.431094457011522</x:v>
      </x:c>
      <x:c r="J156" s="11" t="n">
        <x:f t="shared" si="232">'玩家战力_节点'!J156</x:f>
        <x:v>0.43884738745332147</x:v>
      </x:c>
      <x:c r="K156" s="11" t="n">
        <x:f t="shared" si="232">'玩家战力_节点'!K156</x:f>
        <x:v>0.3242060755404157</x:v>
      </x:c>
      <x:c r="L156" s="11" t="n">
        <x:f t="shared" si="232">'玩家战力_节点'!L156</x:f>
        <x:v>0.5455931954138604</x:v>
      </x:c>
      <x:c r="M156" s="2" t="n">
        <x:f>E156*'模块规划'!$F$10+G156*'模块规划'!$F$11+H156*'模块规划'!$F$13</x:f>
        <x:v>4401.437534000523</x:v>
      </x:c>
      <x:c r="N156" s="2" t="n">
        <x:f>I156*'模块规划'!$F$15+J156*'模块规划'!$F$17+K156*'模块规划'!$F$16+L156*'模块规划'!$F$18</x:f>
        <x:v>12510.431960937185</x:v>
      </x:c>
      <x:c r="O156" s="2" t="n">
        <x:f t="shared" si="191">1+O$9*SUMPRODUCT($H$10:$L$10,H156:L156)/SUM($H$10:$L$10)</x:f>
        <x:v>2.686584959126871</x:v>
      </x:c>
      <x:c r="P156" s="12" t="n">
        <x:f t="shared" si="192">M156*O156+N156</x:f>
        <x:v>24335.267838319458</x:v>
      </x:c>
      <x:c r="Q156" s="7" t="n">
        <x:f>P156/(P156+'_曲线基线'!$L$2)</x:f>
        <x:v>0.5034681491725764</x:v>
      </x:c>
      <x:c r="R156" s="2" t="n">
        <x:f>E156*'模块规划'!$E$10+G156*'模块规划'!$E$11+H156*'模块规划'!$E$13</x:f>
        <x:v>6602.156301000784</x:v>
      </x:c>
      <x:c r="S156" s="2" t="n">
        <x:f>I156*'模块规划'!$E$15+J156*'模块规划'!$E$17+K156*'模块规划'!$E$16+L156*'模块规划'!$E$18</x:f>
        <x:v>18765.647941405783</x:v>
      </x:c>
      <x:c r="T156" s="2" t="n">
        <x:f t="shared" si="193">1+T$9*SUMPRODUCT($H$10:$L$10,H156:L156)/SUM($H$10:$L$10)</x:f>
        <x:v>2.686584959126871</x:v>
      </x:c>
      <x:c r="U156" s="12" t="n">
        <x:f t="shared" si="194">R156*T156+S156</x:f>
        <x:v>36502.901757479194</x:v>
      </x:c>
      <x:c r="V156" s="2" t="n">
        <x:f t="shared" si="195">V$8+(V$9-V$8)*H156</x:f>
        <x:v>0.8665739867138604</x:v>
      </x:c>
      <x:c r="W156" s="2" t="n">
        <x:f t="shared" si="196">IF(B156&lt;$H$8,0,W$8+(W$9-W$8)*H156)</x:f>
        <x:v>0.22209864895181394</x:v>
      </x:c>
      <x:c r="X156" s="2" t="n">
        <x:f t="shared" si="197">X$8+(X$9-X$8)*H156</x:f>
        <x:v>0.4276928211543721</x:v>
      </x:c>
      <x:c r="Y156" s="2" t="n">
        <x:f t="shared" si="198">Y$8+(Y$9-Y$8)*G156</x:f>
        <x:v>1</x:v>
      </x:c>
      <x:c r="Z156" s="2" t="n">
        <x:f t="shared" si="199">Z$8+(Z$9-Z$8)*H156</x:f>
        <x:v>1</x:v>
      </x:c>
      <x:c r="AA156" s="2" t="n">
        <x:f t="shared" si="200">AA$8+(AA$9-AA$8)*I156</x:f>
        <x:v>1</x:v>
      </x:c>
      <x:c r="AB156" s="2" t="n">
        <x:f t="shared" si="201">AB$8+(AB$9-AB$8)*J156</x:f>
        <x:v>1</x:v>
      </x:c>
      <x:c r="AC156" s="2" t="n">
        <x:f t="shared" si="202">AC$8+(AC$9-AC$8)*MAX(K156,L156)</x:f>
        <x:v>1</x:v>
      </x:c>
      <x:c r="AD156" s="1" t="n">
        <x:f t="shared" si="203">(V156*AE156+W156*AF156+X156*AG156)*PRODUCT(Y156:AC156)</x:f>
        <x:v>1.6622545442462113</x:v>
      </x:c>
      <x:c r="AE156" s="2" t="n">
        <x:f t="shared" si="204">1+AE$9*($H$10*H156+$I$10*I156+$J$10*J156+$K$10*K156+$L$10*L156)</x:f>
        <x:v>1</x:v>
      </x:c>
      <x:c r="AF156" s="2" t="n">
        <x:f t="shared" si="205">1+AF$9*($H$10*H156+$I$10*I156+$J$10*J156+$K$10*K156+$L$10*L156)</x:f>
        <x:v>1.1488564862711166</x:v>
      </x:c>
      <x:c r="AG156" s="2" t="n">
        <x:f t="shared" si="206">1+AG$9*($H$10*H156+$I$10*I156+$J$10*J156+$K$10*K156+$L$10*L156)</x:f>
        <x:v>1.263806772891592</x:v>
      </x:c>
      <x:c r="AH156" s="2" t="n">
        <x:f>MIN(1,'_曲线基线'!$L$3+AH$9*($H$10*H156+$I$10*I156+$J$10*J156+$K$10*K156+$L$10*L156))</x:f>
        <x:v>0.38864850626679004</x:v>
      </x:c>
      <x:c r="AI156" s="2" t="n">
        <x:f>'_曲线基线'!$L$4+AI$9*($H$10*H156+$I$10*I156+$J$10*J156+$K$10*K156+$L$10*L156)</x:f>
        <x:v>2.943377981743201</x:v>
      </x:c>
      <x:c r="AJ156" s="2" t="n">
        <x:f t="shared" si="207">1+AJ$9*($H$10*H156+$I$10*I156+$J$10*J156+$K$10*K156+$L$10*L156)</x:f>
        <x:v>1.774053728609806</x:v>
      </x:c>
      <x:c r="AK156" s="1" t="n">
        <x:f t="shared" si="208">(1+AH156*(AI156-1))*AJ156</x:f>
        <x:v>3.113980454139186</x:v>
      </x:c>
      <x:c r="AL156" s="1" t="n">
        <x:f t="shared" si="209">U156*AD156*AK156*F156</x:f>
        <x:v>944736.7401009756</x:v>
      </x:c>
      <x:c r="AM156" s="13" t="n">
        <x:f t="shared" si="210">IF($B156&lt;AM$8,0,AM$3+(AM$4-AM$3)*(POWER(AM$5,$B156-AM$8)-1)/(POWER(AM$5,$C$5-AM$8)-1))</x:f>
        <x:v>39.283286547319</x:v>
      </x:c>
      <x:c r="AN156" s="13" t="n">
        <x:f>(((E156*'模块规划'!$D$10+G156*'模块规划'!$D$11+H156*'模块规划'!$D$13)*(1+'模块规划'!$G$14*H156)+(I156*'模块规划'!$D$15+J156*'模块规划'!$D$17+K156*'模块规划'!$D$16+L156*'模块规划'!$D$18))*(1+'模块规划'!$J$17*J156))*F156/(1-Q156)</x:f>
        <x:v>1468975.8214466728</x:v>
      </x:c>
      <x:c r="AO156" s="1" t="n">
        <x:f t="shared" si="211">AL156*AM156</x:f>
        <x:v>37112364.07316666</x:v>
      </x:c>
      <x:c r="AP156" s="1" t="n">
        <x:f>IF(AO156="","",INDEX('_曲线基线'!$A$3:$A$502,MIN(ROWS('_曲线基线'!$A$3:$A$502),COUNTIF('_曲线基线'!$E$3:$E$502,"&lt;"&amp;AO156)+1)))</x:f>
        <x:v>221</x:v>
      </x:c>
      <x:c r="AQ156" s="14" t="n">
        <x:f t="shared" si="212">IF(B156&lt;=2,1,IF(B156&lt;=6,2,IF(B156&lt;=9,3,IF(B156&lt;=19,4,5))))</x:f>
        <x:v>5</x:v>
      </x:c>
      <x:c r="AR156" s="10" t="n">
        <x:f t="shared" si="213">AN156*(1-Q156)/F156*$AS$3+U156*$AS$4+P156*$AS$5</x:f>
        <x:v>11676.940052157745</x:v>
      </x:c>
      <x:c r="AS156" s="15" t="n">
        <x:f t="shared" si="214">1+AH156*$AS$6+AI156*$AS$7+(AJ156-1)*$AS$8+($H$10*H156+$I$10*I156+$J$10*J156+$K$10*K156+$L$10*L156)*$AU$3*$AS$9+($H$10*H156+$I$10*I156+$J$10*J156+$K$10*K156+$L$10*L156)*$AU$4*$AS$10</x:f>
        <x:v>13.875924192881739</x:v>
      </x:c>
      <x:c r="AT156" s="16" t="n">
        <x:f t="shared" si="215">ROUND(AR156*AS156,0)</x:f>
        <x:v>162028</x:v>
      </x:c>
      <x:c r="AU156" s="16" t="n">
        <x:f t="shared" si="216">ROUND(AT156*F156,0)</x:f>
        <x:v>810140</x:v>
      </x:c>
      <x:c r="AV156" t="n">
        <x:f>IF(AU156&gt;0,ROUND(AU156,-MAX(0,INT(LOG10(AU156))-2)),0)</x:f>
        <x:v>810000</x:v>
      </x:c>
    </x:row>
    <x:row r="157" customHeight="1">
      <x:c r="A157" s="1" t="str">
        <x:f>IFERROR(XLOOKUP(B157,'_曲线基线'!$G$3:$G$107,'_曲线基线'!$J$3:$J$107,""),"")</x:f>
      </x:c>
      <x:c r="B157" s="1" t="n">
        <x:v>146</x:v>
      </x:c>
      <x:c r="C157" s="1" t="n">
        <x:f t="shared" si="161">C142+1</x:f>
        <x:v>11</x:v>
      </x:c>
      <x:c r="D157" s="1" t="n">
        <x:f t="shared" si="162">D142</x:f>
        <x:v>2</x:v>
      </x:c>
      <x:c r="E157" s="1" t="n">
        <x:f t="shared" si="188">IF($B157&lt;E$8,0,E$3+(E$4-E$3)*(POWER(E$5,$B157-E$8)-1)/(POWER(E$5,$C$5-E$8)-1))</x:f>
        <x:v>1</x:v>
      </x:c>
      <x:c r="F157" s="10" t="n">
        <x:f t="shared" si="189">1+IF(B157&lt;3,0,MIN(1,(B157-2)/4))+IF(B157&lt;7,0,MIN(1,(B157-6)/3))+IF(B157&lt;10,0,MIN(1,(B157-9)/5))+IF(B157&lt;20,0,MIN(1,(B157-19)/10))</x:f>
        <x:v>5</x:v>
      </x:c>
      <x:c r="G157" s="11" t="n">
        <x:f t="shared" ref="G157:L157" si="233">'玩家战力_节点'!G157</x:f>
        <x:v>0.710564811667945</x:v>
      </x:c>
      <x:c r="H157" s="11" t="n">
        <x:f t="shared" si="233">'玩家战力_节点'!H157</x:f>
        <x:v>0.556709967021756</x:v>
      </x:c>
      <x:c r="I157" s="11" t="n">
        <x:f t="shared" si="233">'玩家战力_节点'!I157</x:f>
        <x:v>0.43371308388096486</x:v>
      </x:c>
      <x:c r="J157" s="11" t="n">
        <x:f t="shared" si="233">'玩家战力_节点'!J157</x:f>
        <x:v>0.440544884024346</x:v>
      </x:c>
      <x:c r="K157" s="11" t="n">
        <x:f t="shared" si="233">'玩家战力_节点'!K157</x:f>
        <x:v>0.3287049198647343</x:v>
      </x:c>
      <x:c r="L157" s="11" t="n">
        <x:f t="shared" si="233">'玩家战力_节点'!L157</x:f>
        <x:v>0.5472041404904738</x:v>
      </x:c>
      <x:c r="M157" s="2" t="n">
        <x:f>E157*'模块规划'!$F$10+G157*'模块规划'!$F$11+H157*'模块规划'!$F$13</x:f>
        <x:v>4410.711096006136</x:v>
      </x:c>
      <x:c r="N157" s="2" t="n">
        <x:f>I157*'模块规划'!$F$15+J157*'模块规划'!$F$17+K157*'模块规划'!$F$16+L157*'模块规划'!$F$18</x:f>
        <x:v>12583.403732931954</x:v>
      </x:c>
      <x:c r="O157" s="2" t="n">
        <x:f t="shared" si="191">1+O$9*SUMPRODUCT($H$10:$L$10,H157:L157)/SUM($H$10:$L$10)</x:f>
        <x:v>2.6951357998433876</x:v>
      </x:c>
      <x:c r="P157" s="12" t="n">
        <x:f t="shared" si="192">M157*O157+N157</x:f>
        <x:v>24470.869110544558</x:v>
      </x:c>
      <x:c r="Q157" s="7" t="n">
        <x:f>P157/(P157+'_曲线基线'!$L$2)</x:f>
        <x:v>0.5048572381637172</x:v>
      </x:c>
      <x:c r="R157" s="2" t="n">
        <x:f>E157*'模块规划'!$E$10+G157*'模块规划'!$E$11+H157*'模块规划'!$E$13</x:f>
        <x:v>6616.0666440092045</x:v>
      </x:c>
      <x:c r="S157" s="2" t="n">
        <x:f>I157*'模块规划'!$E$15+J157*'模块规划'!$E$17+K157*'模块规划'!$E$16+L157*'模块规划'!$E$18</x:f>
        <x:v>18875.10559939793</x:v>
      </x:c>
      <x:c r="T157" s="2" t="n">
        <x:f t="shared" si="193">1+T$9*SUMPRODUCT($H$10:$L$10,H157:L157)/SUM($H$10:$L$10)</x:f>
        <x:v>2.6951357998433876</x:v>
      </x:c>
      <x:c r="U157" s="12" t="n">
        <x:f t="shared" si="194">R157*T157+S157</x:f>
        <x:v>36706.303665816835</x:v>
      </x:c>
      <x:c r="V157" s="2" t="n">
        <x:f t="shared" si="195">V$8+(V$9-V$8)*H157</x:f>
        <x:v>0.8670129901065268</x:v>
      </x:c>
      <x:c r="W157" s="2" t="n">
        <x:f t="shared" si="196">IF(B157&lt;$H$8,0,W$8+(W$9-W$8)*H157)</x:f>
        <x:v>0.2226839868087024</x:v>
      </x:c>
      <x:c r="X157" s="2" t="n">
        <x:f t="shared" si="197">X$8+(X$9-X$8)*H157</x:f>
        <x:v>0.42809524093098295</x:v>
      </x:c>
      <x:c r="Y157" s="2" t="n">
        <x:f t="shared" si="198">Y$8+(Y$9-Y$8)*G157</x:f>
        <x:v>1</x:v>
      </x:c>
      <x:c r="Z157" s="2" t="n">
        <x:f t="shared" si="199">Z$8+(Z$9-Z$8)*H157</x:f>
        <x:v>1</x:v>
      </x:c>
      <x:c r="AA157" s="2" t="n">
        <x:f t="shared" si="200">AA$8+(AA$9-AA$8)*I157</x:f>
        <x:v>1</x:v>
      </x:c>
      <x:c r="AB157" s="2" t="n">
        <x:f t="shared" si="201">AB$8+(AB$9-AB$8)*J157</x:f>
        <x:v>1</x:v>
      </x:c>
      <x:c r="AC157" s="2" t="n">
        <x:f t="shared" si="202">AC$8+(AC$9-AC$8)*MAX(K157,L157)</x:f>
        <x:v>1</x:v>
      </x:c>
      <x:c r="AD157" s="1" t="n">
        <x:f t="shared" si="203">(V157*AE157+W157*AF157+X157*AG157)*PRODUCT(Y157:AC157)</x:f>
        <x:v>1.6646152227760174</x:v>
      </x:c>
      <x:c r="AE157" s="2" t="n">
        <x:f t="shared" si="204">1+AE$9*($H$10*H157+$I$10*I157+$J$10*J157+$K$10*K157+$L$10*L157)</x:f>
        <x:v>1</x:v>
      </x:c>
      <x:c r="AF157" s="2" t="n">
        <x:f t="shared" si="205">1+AF$9*($H$10*H157+$I$10*I157+$J$10*J157+$K$10*K157+$L$10*L157)</x:f>
        <x:v>1.149611175856623</x:v>
      </x:c>
      <x:c r="AG157" s="2" t="n">
        <x:f t="shared" si="206">1+AG$9*($H$10*H157+$I$10*I157+$J$10*J157+$K$10*K157+$L$10*L157)</x:f>
        <x:v>1.265144250545906</x:v>
      </x:c>
      <x:c r="AH157" s="2" t="n">
        <x:f>MIN(1,'_曲线基线'!$L$3+AH$9*($H$10*H157+$I$10*I157+$J$10*J157+$K$10*K157+$L$10*L157))</x:f>
        <x:v>0.3903654250738169</x:v>
      </x:c>
      <x:c r="AI157" s="2" t="n">
        <x:f>'_曲线基线'!$L$4+AI$9*($H$10*H157+$I$10*I157+$J$10*J157+$K$10*K157+$L$10*L157)</x:f>
        <x:v>2.948160826991347</x:v>
      </x:c>
      <x:c r="AJ157" s="2" t="n">
        <x:f t="shared" si="207">1+AJ$9*($H$10*H157+$I$10*I157+$J$10*J157+$K$10*K157+$L$10*L157)</x:f>
        <x:v>1.7779781144544389</x:v>
      </x:c>
      <x:c r="AK157" s="1" t="n">
        <x:f t="shared" si="208">(1+AH157*(AI157-1))*AJ157</x:f>
        <x:v>3.13012092158223</x:v>
      </x:c>
      <x:c r="AL157" s="1" t="n">
        <x:f t="shared" si="209">U157*AD157*AK157*F157</x:f>
        <x:v>956281.237189549</x:v>
      </x:c>
      <x:c r="AM157" s="13" t="n">
        <x:f t="shared" si="210">IF($B157&lt;AM$8,0,AM$3+(AM$4-AM$3)*(POWER(AM$5,$B157-AM$8)-1)/(POWER(AM$5,$C$5-AM$8)-1))</x:f>
        <x:v>39.33954405271406</x:v>
      </x:c>
      <x:c r="AN157" s="13" t="n">
        <x:f>(((E157*'模块规划'!$D$10+G157*'模块规划'!$D$11+H157*'模块规划'!$D$13)*(1+'模块规划'!$G$14*H157)+(I157*'模块规划'!$D$15+J157*'模块规划'!$D$17+K157*'模块规划'!$D$16+L157*'模块规划'!$D$18))*(1+'模块规划'!$J$17*J157))*F157/(1-Q157)</x:f>
        <x:v>1482216.4427242633</x:v>
      </x:c>
      <x:c r="AO157" s="1" t="n">
        <x:f t="shared" si="211">AL157*AM157</x:f>
        <x:v>37619667.857202165</x:v>
      </x:c>
      <x:c r="AP157" s="1" t="n">
        <x:f>IF(AO157="","",INDEX('_曲线基线'!$A$3:$A$502,MIN(ROWS('_曲线基线'!$A$3:$A$502),COUNTIF('_曲线基线'!$E$3:$E$502,"&lt;"&amp;AO157)+1)))</x:f>
        <x:v>222</x:v>
      </x:c>
      <x:c r="AQ157" s="14" t="n">
        <x:f t="shared" si="212">IF(B157&lt;=2,1,IF(B157&lt;=6,2,IF(B157&lt;=9,3,IF(B157&lt;=19,4,5))))</x:f>
        <x:v>5</x:v>
      </x:c>
      <x:c r="AR157" s="10" t="n">
        <x:f t="shared" si="213">AN157*(1-Q157)/F157*$AS$3+U157*$AS$4+P157*$AS$5</x:f>
        <x:v>11744.71319170122</x:v>
      </x:c>
      <x:c r="AS157" s="15" t="n">
        <x:f t="shared" si="214">1+AH157*$AS$6+AI157*$AS$7+(AJ157-1)*$AS$8+($H$10*H157+$I$10*I157+$J$10*J157+$K$10*K157+$L$10*L157)*$AU$3*$AS$9+($H$10*H157+$I$10*I157+$J$10*J157+$K$10*K157+$L$10*L157)*$AU$4*$AS$10</x:f>
        <x:v>13.921017753131784</x:v>
      </x:c>
      <x:c r="AT157" s="16" t="n">
        <x:f t="shared" si="215">ROUND(AR157*AS157,0)</x:f>
        <x:v>163498</x:v>
      </x:c>
      <x:c r="AU157" s="16" t="n">
        <x:f t="shared" si="216">ROUND(AT157*F157,0)</x:f>
        <x:v>817490</x:v>
      </x:c>
      <x:c r="AV157" t="n">
        <x:f>IF(AU157&gt;0,ROUND(AU157,-MAX(0,INT(LOG10(AU157))-2)),0)</x:f>
        <x:v>817000</x:v>
      </x:c>
    </x:row>
    <x:row r="158" customHeight="1">
      <x:c r="A158" s="1" t="str">
        <x:f>IFERROR(XLOOKUP(B158,'_曲线基线'!$G$3:$G$107,'_曲线基线'!$J$3:$J$107,""),"")</x:f>
      </x:c>
      <x:c r="B158" s="1" t="n">
        <x:v>147</x:v>
      </x:c>
      <x:c r="C158" s="1" t="n">
        <x:f t="shared" si="161">C143+1</x:f>
        <x:v>11</x:v>
      </x:c>
      <x:c r="D158" s="1" t="n">
        <x:f t="shared" si="162">D143</x:f>
        <x:v>3</x:v>
      </x:c>
      <x:c r="E158" s="1" t="n">
        <x:f t="shared" si="188">IF($B158&lt;E$8,0,E$3+(E$4-E$3)*(POWER(E$5,$B158-E$8)-1)/(POWER(E$5,$C$5-E$8)-1))</x:f>
        <x:v>1</x:v>
      </x:c>
      <x:c r="F158" s="10" t="n">
        <x:f t="shared" si="189">1+IF(B158&lt;3,0,MIN(1,(B158-2)/4))+IF(B158&lt;7,0,MIN(1,(B158-6)/3))+IF(B158&lt;10,0,MIN(1,(B158-9)/5))+IF(B158&lt;20,0,MIN(1,(B158-19)/10))</x:f>
        <x:v>5</x:v>
      </x:c>
      <x:c r="G158" s="11" t="n">
        <x:f t="shared" ref="G158:L158" si="234">'玩家战力_节点'!G158</x:f>
        <x:v>0.7124968037524477</x:v>
      </x:c>
      <x:c r="H158" s="11" t="n">
        <x:f t="shared" si="234">'玩家战力_节点'!H158</x:f>
        <x:v>0.5581733116639773</x:v>
      </x:c>
      <x:c r="I158" s="11" t="n">
        <x:f t="shared" si="234">'玩家战力_节点'!I158</x:f>
        <x:v>0.43633171075040766</x:v>
      </x:c>
      <x:c r="J158" s="11" t="n">
        <x:f t="shared" si="234">'玩家战力_节点'!J158</x:f>
        <x:v>0.44224238059537047</x:v>
      </x:c>
      <x:c r="K158" s="11" t="n">
        <x:f t="shared" si="234">'玩家战力_节点'!K158</x:f>
        <x:v>0.333203764189053</x:v>
      </x:c>
      <x:c r="L158" s="11" t="n">
        <x:f t="shared" si="234">'玩家战力_节点'!L158</x:f>
        <x:v>0.5488150855670874</x:v>
      </x:c>
      <x:c r="M158" s="2" t="n">
        <x:f>E158*'模块规划'!$F$10+G158*'模块规划'!$F$11+H158*'模块规划'!$F$13</x:f>
        <x:v>4419.984658011749</x:v>
      </x:c>
      <x:c r="N158" s="2" t="n">
        <x:f>I158*'模块规划'!$F$15+J158*'模块规划'!$F$17+K158*'模块规划'!$F$16+L158*'模块规划'!$F$18</x:f>
        <x:v>12656.37550492672</x:v>
      </x:c>
      <x:c r="O158" s="2" t="n">
        <x:f t="shared" si="191">1+O$9*SUMPRODUCT($H$10:$L$10,H158:L158)/SUM($H$10:$L$10)</x:f>
        <x:v>2.703686640559904</x:v>
      </x:c>
      <x:c r="P158" s="12" t="n">
        <x:f t="shared" si="192">M158*O158+N158</x:f>
        <x:v>24606.628976272823</x:v>
      </x:c>
      <x:c r="Q158" s="7" t="n">
        <x:f>P158/(P158+'_曲线基线'!$L$2)</x:f>
        <x:v>0.506240187697124</x:v>
      </x:c>
      <x:c r="R158" s="2" t="n">
        <x:f>E158*'模块规划'!$E$10+G158*'模块规划'!$E$11+H158*'模块规划'!$E$13</x:f>
        <x:v>6629.976987017623</x:v>
      </x:c>
      <x:c r="S158" s="2" t="n">
        <x:f>I158*'模块规划'!$E$15+J158*'模块规划'!$E$17+K158*'模块规划'!$E$16+L158*'模块规划'!$E$18</x:f>
        <x:v>18984.56325739008</x:v>
      </x:c>
      <x:c r="T158" s="2" t="n">
        <x:f t="shared" si="193">1+T$9*SUMPRODUCT($H$10:$L$10,H158:L158)/SUM($H$10:$L$10)</x:f>
        <x:v>2.703686640559904</x:v>
      </x:c>
      <x:c r="U158" s="12" t="n">
        <x:f t="shared" si="194">R158*T158+S158</x:f>
        <x:v>36909.94346440923</x:v>
      </x:c>
      <x:c r="V158" s="2" t="n">
        <x:f t="shared" si="195">V$8+(V$9-V$8)*H158</x:f>
        <x:v>0.8674519934991931</x:v>
      </x:c>
      <x:c r="W158" s="2" t="n">
        <x:f t="shared" si="196">IF(B158&lt;$H$8,0,W$8+(W$9-W$8)*H158)</x:f>
        <x:v>0.22326932466559093</x:v>
      </x:c>
      <x:c r="X158" s="2" t="n">
        <x:f t="shared" si="197">X$8+(X$9-X$8)*H158</x:f>
        <x:v>0.42849766070759376</x:v>
      </x:c>
      <x:c r="Y158" s="2" t="n">
        <x:f t="shared" si="198">Y$8+(Y$9-Y$8)*G158</x:f>
        <x:v>1</x:v>
      </x:c>
      <x:c r="Z158" s="2" t="n">
        <x:f t="shared" si="199">Z$8+(Z$9-Z$8)*H158</x:f>
        <x:v>1</x:v>
      </x:c>
      <x:c r="AA158" s="2" t="n">
        <x:f t="shared" si="200">AA$8+(AA$9-AA$8)*I158</x:f>
        <x:v>1</x:v>
      </x:c>
      <x:c r="AB158" s="2" t="n">
        <x:f t="shared" si="201">AB$8+(AB$9-AB$8)*J158</x:f>
        <x:v>1</x:v>
      </x:c>
      <x:c r="AC158" s="2" t="n">
        <x:f t="shared" si="202">AC$8+(AC$9-AC$8)*MAX(K158,L158)</x:f>
        <x:v>1</x:v>
      </x:c>
      <x:c r="AD158" s="1" t="n">
        <x:f t="shared" si="203">(V158*AE158+W158*AF158+X158*AG158)*PRODUCT(Y158:AC158)</x:f>
        <x:v>1.6669778612575104</x:v>
      </x:c>
      <x:c r="AE158" s="2" t="n">
        <x:f t="shared" si="204">1+AE$9*($H$10*H158+$I$10*I158+$J$10*J158+$K$10*K158+$L$10*L158)</x:f>
        <x:v>1</x:v>
      </x:c>
      <x:c r="AF158" s="2" t="n">
        <x:f t="shared" si="205">1+AF$9*($H$10*H158+$I$10*I158+$J$10*J158+$K$10*K158+$L$10*L158)</x:f>
        <x:v>1.1503658654421294</x:v>
      </x:c>
      <x:c r="AG158" s="2" t="n">
        <x:f t="shared" si="206">1+AG$9*($H$10*H158+$I$10*I158+$J$10*J158+$K$10*K158+$L$10*L158)</x:f>
        <x:v>1.26648172820022</x:v>
      </x:c>
      <x:c r="AH158" s="2" t="n">
        <x:f>MIN(1,'_曲线基线'!$L$3+AH$9*($H$10*H158+$I$10*I158+$J$10*J158+$K$10*K158+$L$10*L158))</x:f>
        <x:v>0.39208234388084373</x:v>
      </x:c>
      <x:c r="AI158" s="2" t="n">
        <x:f>'_曲线基线'!$L$4+AI$9*($H$10*H158+$I$10*I158+$J$10*J158+$K$10*K158+$L$10*L158)</x:f>
        <x:v>2.9529436722394933</x:v>
      </x:c>
      <x:c r="AJ158" s="2" t="n">
        <x:f t="shared" si="207">1+AJ$9*($H$10*H158+$I$10*I158+$J$10*J158+$K$10*K158+$L$10*L158)</x:f>
        <x:v>1.7819025002990716</x:v>
      </x:c>
      <x:c r="AK158" s="1" t="n">
        <x:f t="shared" si="208">(1+AH158*(AI158-1))*AJ158</x:f>
        <x:v>3.146331496619099</x:v>
      </x:c>
      <x:c r="AL158" s="1" t="n">
        <x:f t="shared" si="209">U158*AD158*AK158*F158</x:f>
        <x:v>967938.3437378703</x:v>
      </x:c>
      <x:c r="AM158" s="13" t="n">
        <x:f t="shared" si="210">IF($B158&lt;AM$8,0,AM$3+(AM$4-AM$3)*(POWER(AM$5,$B158-AM$8)-1)/(POWER(AM$5,$C$5-AM$8)-1))</x:f>
        <x:v>39.39636413316307</x:v>
      </x:c>
      <x:c r="AN158" s="13" t="n">
        <x:f>(((E158*'模块规划'!$D$10+G158*'模块规划'!$D$11+H158*'模块规划'!$D$13)*(1+'模块规划'!$G$14*H158)+(I158*'模块规划'!$D$15+J158*'模块规划'!$D$17+K158*'模块规划'!$D$16+L158*'模块规划'!$D$18))*(1+'模块规划'!$J$17*J158))*F158/(1-Q158)</x:f>
        <x:v>1495533.9810669282</x:v>
      </x:c>
      <x:c r="AO158" s="1" t="n">
        <x:f t="shared" si="211">AL158*AM158</x:f>
        <x:v>38133251.448347904</x:v>
      </x:c>
      <x:c r="AP158" s="1" t="n">
        <x:f>IF(AO158="","",INDEX('_曲线基线'!$A$3:$A$502,MIN(ROWS('_曲线基线'!$A$3:$A$502),COUNTIF('_曲线基线'!$E$3:$E$502,"&lt;"&amp;AO158)+1)))</x:f>
        <x:v>223</x:v>
      </x:c>
      <x:c r="AQ158" s="14" t="n">
        <x:f t="shared" si="212">IF(B158&lt;=2,1,IF(B158&lt;=6,2,IF(B158&lt;=9,3,IF(B158&lt;=19,4,5))))</x:f>
        <x:v>5</x:v>
      </x:c>
      <x:c r="AR158" s="10" t="n">
        <x:f t="shared" si="213">AN158*(1-Q158)/F158*$AS$3+U158*$AS$4+P158*$AS$5</x:f>
        <x:v>11812.596159586923</x:v>
      </x:c>
      <x:c r="AS158" s="15" t="n">
        <x:f t="shared" si="214">1+AH158*$AS$6+AI158*$AS$7+(AJ158-1)*$AS$8+($H$10*H158+$I$10*I158+$J$10*J158+$K$10*K158+$L$10*L158)*$AU$3*$AS$9+($H$10*H158+$I$10*I158+$J$10*J158+$K$10*K158+$L$10*L158)*$AU$4*$AS$10</x:f>
        <x:v>13.966111313381823</x:v>
      </x:c>
      <x:c r="AT158" s="16" t="n">
        <x:f t="shared" si="215">ROUND(AR158*AS158,0)</x:f>
        <x:v>164976</x:v>
      </x:c>
      <x:c r="AU158" s="16" t="n">
        <x:f t="shared" si="216">ROUND(AT158*F158,0)</x:f>
        <x:v>824880</x:v>
      </x:c>
      <x:c r="AV158" t="n">
        <x:f>IF(AU158&gt;0,ROUND(AU158,-MAX(0,INT(LOG10(AU158))-2)),0)</x:f>
        <x:v>825000</x:v>
      </x:c>
    </x:row>
    <x:row r="159" customHeight="1">
      <x:c r="A159" s="1" t="str">
        <x:f>IFERROR(XLOOKUP(B159,'_曲线基线'!$G$3:$G$107,'_曲线基线'!$J$3:$J$107,""),"")</x:f>
      </x:c>
      <x:c r="B159" s="1" t="n">
        <x:v>148</x:v>
      </x:c>
      <x:c r="C159" s="1" t="n">
        <x:f t="shared" si="161">C144+1</x:f>
        <x:v>11</x:v>
      </x:c>
      <x:c r="D159" s="1" t="n">
        <x:f t="shared" si="162">D144</x:f>
        <x:v>4</x:v>
      </x:c>
      <x:c r="E159" s="1" t="n">
        <x:f t="shared" si="188">IF($B159&lt;E$8,0,E$3+(E$4-E$3)*(POWER(E$5,$B159-E$8)-1)/(POWER(E$5,$C$5-E$8)-1))</x:f>
        <x:v>1</x:v>
      </x:c>
      <x:c r="F159" s="10" t="n">
        <x:f t="shared" si="189">1+IF(B159&lt;3,0,MIN(1,(B159-2)/4))+IF(B159&lt;7,0,MIN(1,(B159-6)/3))+IF(B159&lt;10,0,MIN(1,(B159-9)/5))+IF(B159&lt;20,0,MIN(1,(B159-19)/10))</x:f>
        <x:v>5</x:v>
      </x:c>
      <x:c r="G159" s="11" t="n">
        <x:f t="shared" ref="G159:L159" si="235">'玩家战力_节点'!G159</x:f>
        <x:v>0.7144287958369505</x:v>
      </x:c>
      <x:c r="H159" s="11" t="n">
        <x:f t="shared" si="235">'玩家战力_节点'!H159</x:f>
        <x:v>0.5596366563061985</x:v>
      </x:c>
      <x:c r="I159" s="11" t="n">
        <x:f t="shared" si="235">'玩家战力_节点'!I159</x:f>
        <x:v>0.43895033761985053</x:v>
      </x:c>
      <x:c r="J159" s="11" t="n">
        <x:f t="shared" si="235">'玩家战力_节点'!J159</x:f>
        <x:v>0.443939877166395</x:v>
      </x:c>
      <x:c r="K159" s="11" t="n">
        <x:f t="shared" si="235">'玩家战力_节点'!K159</x:f>
        <x:v>0.33770260851337164</x:v>
      </x:c>
      <x:c r="L159" s="11" t="n">
        <x:f t="shared" si="235">'玩家战力_节点'!L159</x:f>
        <x:v>0.5504260306437008</x:v>
      </x:c>
      <x:c r="M159" s="2" t="n">
        <x:f>E159*'模块规划'!$F$10+G159*'模块规划'!$F$11+H159*'模块规划'!$F$13</x:f>
        <x:v>4429.258220017362</x:v>
      </x:c>
      <x:c r="N159" s="2" t="n">
        <x:f>I159*'模块规划'!$F$15+J159*'模块规划'!$F$17+K159*'模块规划'!$F$16+L159*'模块规划'!$F$18</x:f>
        <x:v>12729.34727692149</x:v>
      </x:c>
      <x:c r="O159" s="2" t="n">
        <x:f t="shared" si="191">1+O$9*SUMPRODUCT($H$10:$L$10,H159:L159)/SUM($H$10:$L$10)</x:f>
        <x:v>2.7122374812764205</x:v>
      </x:c>
      <x:c r="P159" s="12" t="n">
        <x:f t="shared" si="192">M159*O159+N159</x:f>
        <x:v>24742.54743550426</x:v>
      </x:c>
      <x:c r="Q159" s="7" t="n">
        <x:f>P159/(P159+'_曲线基线'!$L$2)</x:f>
        <x:v>0.507617035573354</x:v>
      </x:c>
      <x:c r="R159" s="2" t="n">
        <x:f>E159*'模块规划'!$E$10+G159*'模块规划'!$E$11+H159*'模块规划'!$E$13</x:f>
        <x:v>6643.887330026044</x:v>
      </x:c>
      <x:c r="S159" s="2" t="n">
        <x:f>I159*'模块规划'!$E$15+J159*'模块规划'!$E$17+K159*'模块规划'!$E$16+L159*'模块规划'!$E$18</x:f>
        <x:v>19094.02091538223</x:v>
      </x:c>
      <x:c r="T159" s="2" t="n">
        <x:f t="shared" si="193">1+T$9*SUMPRODUCT($H$10:$L$10,H159:L159)/SUM($H$10:$L$10)</x:f>
        <x:v>2.7122374812764205</x:v>
      </x:c>
      <x:c r="U159" s="12" t="n">
        <x:f t="shared" si="194">R159*T159+S159</x:f>
        <x:v>37113.82115325639</x:v>
      </x:c>
      <x:c r="V159" s="2" t="n">
        <x:f t="shared" si="195">V$8+(V$9-V$8)*H159</x:f>
        <x:v>0.8678909968918596</x:v>
      </x:c>
      <x:c r="W159" s="2" t="n">
        <x:f t="shared" si="196">IF(B159&lt;$H$8,0,W$8+(W$9-W$8)*H159)</x:f>
        <x:v>0.22385466252247943</x:v>
      </x:c>
      <x:c r="X159" s="2" t="n">
        <x:f t="shared" si="197">X$8+(X$9-X$8)*H159</x:f>
        <x:v>0.42890008048420464</x:v>
      </x:c>
      <x:c r="Y159" s="2" t="n">
        <x:f t="shared" si="198">Y$8+(Y$9-Y$8)*G159</x:f>
        <x:v>1</x:v>
      </x:c>
      <x:c r="Z159" s="2" t="n">
        <x:f t="shared" si="199">Z$8+(Z$9-Z$8)*H159</x:f>
        <x:v>1</x:v>
      </x:c>
      <x:c r="AA159" s="2" t="n">
        <x:f t="shared" si="200">AA$8+(AA$9-AA$8)*I159</x:f>
        <x:v>1</x:v>
      </x:c>
      <x:c r="AB159" s="2" t="n">
        <x:f t="shared" si="201">AB$8+(AB$9-AB$8)*J159</x:f>
        <x:v>1</x:v>
      </x:c>
      <x:c r="AC159" s="2" t="n">
        <x:f t="shared" si="202">AC$8+(AC$9-AC$8)*MAX(K159,L159)</x:f>
        <x:v>1</x:v>
      </x:c>
      <x:c r="AD159" s="1" t="n">
        <x:f t="shared" si="203">(V159*AE159+W159*AF159+X159*AG159)*PRODUCT(Y159:AC159)</x:f>
        <x:v>1.6693424596906903</x:v>
      </x:c>
      <x:c r="AE159" s="2" t="n">
        <x:f t="shared" si="204">1+AE$9*($H$10*H159+$I$10*I159+$J$10*J159+$K$10*K159+$L$10*L159)</x:f>
        <x:v>1</x:v>
      </x:c>
      <x:c r="AF159" s="2" t="n">
        <x:f t="shared" si="205">1+AF$9*($H$10*H159+$I$10*I159+$J$10*J159+$K$10*K159+$L$10*L159)</x:f>
        <x:v>1.1511205550276356</x:v>
      </x:c>
      <x:c r="AG159" s="2" t="n">
        <x:f t="shared" si="206">1+AG$9*($H$10*H159+$I$10*I159+$J$10*J159+$K$10*K159+$L$10*L159)</x:f>
        <x:v>1.2678192058545341</x:v>
      </x:c>
      <x:c r="AH159" s="2" t="n">
        <x:f>MIN(1,'_曲线基线'!$L$3+AH$9*($H$10*H159+$I$10*I159+$J$10*J159+$K$10*K159+$L$10*L159))</x:f>
        <x:v>0.3937992626878707</x:v>
      </x:c>
      <x:c r="AI159" s="2" t="n">
        <x:f>'_曲线基线'!$L$4+AI$9*($H$10*H159+$I$10*I159+$J$10*J159+$K$10*K159+$L$10*L159)</x:f>
        <x:v>2.95772651748764</x:v>
      </x:c>
      <x:c r="AJ159" s="2" t="n">
        <x:f t="shared" si="207">1+AJ$9*($H$10*H159+$I$10*I159+$J$10*J159+$K$10*K159+$L$10*L159)</x:f>
        <x:v>1.7858268861437046</x:v>
      </x:c>
      <x:c r="AK159" s="1" t="n">
        <x:f t="shared" si="208">(1+AH159*(AI159-1))*AJ159</x:f>
        <x:v>3.1626123726064104</x:v>
      </x:c>
      <x:c r="AL159" s="1" t="n">
        <x:f t="shared" si="209">U159*AD159*AK159*F159</x:f>
        <x:v>979708.9609549236</x:v>
      </x:c>
      <x:c r="AM159" s="13" t="n">
        <x:f t="shared" si="210">IF($B159&lt;AM$8,0,AM$3+(AM$4-AM$3)*(POWER(AM$5,$B159-AM$8)-1)/(POWER(AM$5,$C$5-AM$8)-1))</x:f>
        <x:v>39.45375241441657</x:v>
      </x:c>
      <x:c r="AN159" s="13" t="n">
        <x:f>(((E159*'模块规划'!$D$10+G159*'模块规划'!$D$11+H159*'模块规划'!$D$13)*(1+'模块规划'!$G$14*H159)+(I159*'模块规划'!$D$15+J159*'模块规划'!$D$17+K159*'模块规划'!$D$16+L159*'模块规划'!$D$18))*(1+'模块规划'!$J$17*J159))*F159/(1-Q159)</x:f>
        <x:v>1508928.709839103</x:v>
      </x:c>
      <x:c r="AO159" s="1" t="n">
        <x:f t="shared" si="211">AL159*AM159</x:f>
        <x:v>38653194.78370087</x:v>
      </x:c>
      <x:c r="AP159" s="1" t="n">
        <x:f>IF(AO159="","",INDEX('_曲线基线'!$A$3:$A$502,MIN(ROWS('_曲线基线'!$A$3:$A$502),COUNTIF('_曲线基线'!$E$3:$E$502,"&lt;"&amp;AO159)+1)))</x:f>
        <x:v>224</x:v>
      </x:c>
      <x:c r="AQ159" s="14" t="n">
        <x:f t="shared" si="212">IF(B159&lt;=2,1,IF(B159&lt;=6,2,IF(B159&lt;=9,3,IF(B159&lt;=19,4,5))))</x:f>
        <x:v>5</x:v>
      </x:c>
      <x:c r="AR159" s="10" t="n">
        <x:f t="shared" si="213">AN159*(1-Q159)/F159*$AS$3+U159*$AS$4+P159*$AS$5</x:f>
        <x:v>11880.58897820559</x:v>
      </x:c>
      <x:c r="AS159" s="15" t="n">
        <x:f t="shared" si="214">1+AH159*$AS$6+AI159*$AS$7+(AJ159-1)*$AS$8+($H$10*H159+$I$10*I159+$J$10*J159+$K$10*K159+$L$10*L159)*$AU$3*$AS$9+($H$10*H159+$I$10*I159+$J$10*J159+$K$10*K159+$L$10*L159)*$AU$4*$AS$10</x:f>
        <x:v>14.01120487363187</x:v>
      </x:c>
      <x:c r="AT159" s="16" t="n">
        <x:f t="shared" si="215">ROUND(AR159*AS159,0)</x:f>
        <x:v>166461</x:v>
      </x:c>
      <x:c r="AU159" s="16" t="n">
        <x:f t="shared" si="216">ROUND(AT159*F159,0)</x:f>
        <x:v>832305</x:v>
      </x:c>
      <x:c r="AV159" t="n">
        <x:f>IF(AU159&gt;0,ROUND(AU159,-MAX(0,INT(LOG10(AU159))-2)),0)</x:f>
        <x:v>832000</x:v>
      </x:c>
    </x:row>
    <x:row r="160" customHeight="1">
      <x:c r="A160" s="1" t="str">
        <x:f>IFERROR(XLOOKUP(B160,'_曲线基线'!$G$3:$G$107,'_曲线基线'!$J$3:$J$107,""),"")</x:f>
      </x:c>
      <x:c r="B160" s="1" t="n">
        <x:v>149</x:v>
      </x:c>
      <x:c r="C160" s="1" t="n">
        <x:f t="shared" si="161">C145+1</x:f>
        <x:v>11</x:v>
      </x:c>
      <x:c r="D160" s="1" t="n">
        <x:f t="shared" si="162">D145</x:f>
        <x:v>5</x:v>
      </x:c>
      <x:c r="E160" s="1" t="n">
        <x:f t="shared" si="188">IF($B160&lt;E$8,0,E$3+(E$4-E$3)*(POWER(E$5,$B160-E$8)-1)/(POWER(E$5,$C$5-E$8)-1))</x:f>
        <x:v>1</x:v>
      </x:c>
      <x:c r="F160" s="10" t="n">
        <x:f t="shared" si="189">1+IF(B160&lt;3,0,MIN(1,(B160-2)/4))+IF(B160&lt;7,0,MIN(1,(B160-6)/3))+IF(B160&lt;10,0,MIN(1,(B160-9)/5))+IF(B160&lt;20,0,MIN(1,(B160-19)/10))</x:f>
        <x:v>5</x:v>
      </x:c>
      <x:c r="G160" s="11" t="n">
        <x:f t="shared" ref="G160:L160" si="236">'玩家战力_节点'!G160</x:f>
        <x:v>0.7163607879214533</x:v>
      </x:c>
      <x:c r="H160" s="11" t="n">
        <x:f t="shared" si="236">'玩家战力_节点'!H160</x:f>
        <x:v>0.5611000009484198</x:v>
      </x:c>
      <x:c r="I160" s="11" t="n">
        <x:f t="shared" si="236">'玩家战力_节点'!I160</x:f>
        <x:v>0.44156896448929334</x:v>
      </x:c>
      <x:c r="J160" s="11" t="n">
        <x:f t="shared" si="236">'玩家战力_节点'!J160</x:f>
        <x:v>0.4456373737374195</x:v>
      </x:c>
      <x:c r="K160" s="11" t="n">
        <x:f t="shared" si="236">'玩家战力_节点'!K160</x:f>
        <x:v>0.3422014528376904</x:v>
      </x:c>
      <x:c r="L160" s="11" t="n">
        <x:f t="shared" si="236">'玩家战力_节点'!L160</x:f>
        <x:v>0.5520369757203143</x:v>
      </x:c>
      <x:c r="M160" s="2" t="n">
        <x:f>E160*'模块规划'!$F$10+G160*'模块规划'!$F$11+H160*'模块规划'!$F$13</x:f>
        <x:v>4438.531782022976</x:v>
      </x:c>
      <x:c r="N160" s="2" t="n">
        <x:f>I160*'模块规划'!$F$15+J160*'模块规划'!$F$17+K160*'模块规划'!$F$16+L160*'模块规划'!$F$18</x:f>
        <x:v>12802.319048916255</x:v>
      </x:c>
      <x:c r="O160" s="2" t="n">
        <x:f t="shared" si="191">1+O$9*SUMPRODUCT($H$10:$L$10,H160:L160)/SUM($H$10:$L$10)</x:f>
        <x:v>2.720788321992937</x:v>
      </x:c>
      <x:c r="P160" s="12" t="n">
        <x:f t="shared" si="192">M160*O160+N160</x:f>
        <x:v>24878.624488238867</x:v>
      </x:c>
      <x:c r="Q160" s="7" t="n">
        <x:f>P160/(P160+'_曲线基线'!$L$2)</x:f>
        <x:v>0.508987819291542</x:v>
      </x:c>
      <x:c r="R160" s="2" t="n">
        <x:f>E160*'模块规划'!$E$10+G160*'模块规划'!$E$11+H160*'模块规划'!$E$13</x:f>
        <x:v>6657.7976730344635</x:v>
      </x:c>
      <x:c r="S160" s="2" t="n">
        <x:f>I160*'模块规划'!$E$15+J160*'模块规划'!$E$17+K160*'模块规划'!$E$16+L160*'模块规划'!$E$18</x:f>
        <x:v>19203.478573374385</x:v>
      </x:c>
      <x:c r="T160" s="2" t="n">
        <x:f t="shared" si="193">1+T$9*SUMPRODUCT($H$10:$L$10,H160:L160)/SUM($H$10:$L$10)</x:f>
        <x:v>2.720788321992937</x:v>
      </x:c>
      <x:c r="U160" s="12" t="n">
        <x:f t="shared" si="194">R160*T160+S160</x:f>
        <x:v>37317.9367323583</x:v>
      </x:c>
      <x:c r="V160" s="2" t="n">
        <x:f t="shared" si="195">V$8+(V$9-V$8)*H160</x:f>
        <x:v>0.8683300002845259</x:v>
      </x:c>
      <x:c r="W160" s="2" t="n">
        <x:f t="shared" si="196">IF(B160&lt;$H$8,0,W$8+(W$9-W$8)*H160)</x:f>
        <x:v>0.22444000037936795</x:v>
      </x:c>
      <x:c r="X160" s="2" t="n">
        <x:f t="shared" si="197">X$8+(X$9-X$8)*H160</x:f>
        <x:v>0.4293025002608155</x:v>
      </x:c>
      <x:c r="Y160" s="2" t="n">
        <x:f t="shared" si="198">Y$8+(Y$9-Y$8)*G160</x:f>
        <x:v>1</x:v>
      </x:c>
      <x:c r="Z160" s="2" t="n">
        <x:f t="shared" si="199">Z$8+(Z$9-Z$8)*H160</x:f>
        <x:v>1</x:v>
      </x:c>
      <x:c r="AA160" s="2" t="n">
        <x:f t="shared" si="200">AA$8+(AA$9-AA$8)*I160</x:f>
        <x:v>1</x:v>
      </x:c>
      <x:c r="AB160" s="2" t="n">
        <x:f t="shared" si="201">AB$8+(AB$9-AB$8)*J160</x:f>
        <x:v>1</x:v>
      </x:c>
      <x:c r="AC160" s="2" t="n">
        <x:f t="shared" si="202">AC$8+(AC$9-AC$8)*MAX(K160,L160)</x:f>
        <x:v>1</x:v>
      </x:c>
      <x:c r="AD160" s="1" t="n">
        <x:f t="shared" si="203">(V160*AE160+W160*AF160+X160*AG160)*PRODUCT(Y160:AC160)</x:f>
        <x:v>1.671709018075557</x:v>
      </x:c>
      <x:c r="AE160" s="2" t="n">
        <x:f t="shared" si="204">1+AE$9*($H$10*H160+$I$10*I160+$J$10*J160+$K$10*K160+$L$10*L160)</x:f>
        <x:v>1</x:v>
      </x:c>
      <x:c r="AF160" s="2" t="n">
        <x:f t="shared" si="205">1+AF$9*($H$10*H160+$I$10*I160+$J$10*J160+$K$10*K160+$L$10*L160)</x:f>
        <x:v>1.151875244613142</x:v>
      </x:c>
      <x:c r="AG160" s="2" t="n">
        <x:f t="shared" si="206">1+AG$9*($H$10*H160+$I$10*I160+$J$10*J160+$K$10*K160+$L$10*L160)</x:f>
        <x:v>1.2691566835088481</x:v>
      </x:c>
      <x:c r="AH160" s="2" t="n">
        <x:f>MIN(1,'_曲线基线'!$L$3+AH$9*($H$10*H160+$I$10*I160+$J$10*J160+$K$10*K160+$L$10*L160))</x:f>
        <x:v>0.39551618149489753</x:v>
      </x:c>
      <x:c r="AI160" s="2" t="n">
        <x:f>'_曲线基线'!$L$4+AI$9*($H$10*H160+$I$10*I160+$J$10*J160+$K$10*K160+$L$10*L160)</x:f>
        <x:v>2.962509362735786</x:v>
      </x:c>
      <x:c r="AJ160" s="2" t="n">
        <x:f t="shared" si="207">1+AJ$9*($H$10*H160+$I$10*I160+$J$10*J160+$K$10*K160+$L$10*L160)</x:f>
        <x:v>1.7897512719883375</x:v>
      </x:c>
      <x:c r="AK160" s="1" t="n">
        <x:f t="shared" si="208">(1+AH160*(AI160-1))*AJ160</x:f>
        <x:v>3.17896374290078</x:v>
      </x:c>
      <x:c r="AL160" s="1" t="n">
        <x:f t="shared" si="209">U160*AD160*AK160*F160</x:f>
        <x:v>991593.9957023247</x:v>
      </x:c>
      <x:c r="AM160" s="13" t="n">
        <x:f t="shared" si="210">IF($B160&lt;AM$8,0,AM$3+(AM$4-AM$3)*(POWER(AM$5,$B160-AM$8)-1)/(POWER(AM$5,$C$5-AM$8)-1))</x:f>
        <x:v>39.511714578482604</x:v>
      </x:c>
      <x:c r="AN160" s="13" t="n">
        <x:f>(((E160*'模块规划'!$D$10+G160*'模块规划'!$D$11+H160*'模块规划'!$D$13)*(1+'模块规划'!$G$14*H160)+(I160*'模块规划'!$D$15+J160*'模块规划'!$D$17+K160*'模块规划'!$D$16+L160*'模块规划'!$D$18))*(1+'模块规划'!$J$17*J160))*F160/(1-Q160)</x:f>
        <x:v>1522400.9029012115</x:v>
      </x:c>
      <x:c r="AO160" s="1" t="n">
        <x:f t="shared" si="211">AL160*AM160</x:f>
        <x:v>39179578.93592736</x:v>
      </x:c>
      <x:c r="AP160" s="1" t="n">
        <x:f>IF(AO160="","",INDEX('_曲线基线'!$A$3:$A$502,MIN(ROWS('_曲线基线'!$A$3:$A$502),COUNTIF('_曲线基线'!$E$3:$E$502,"&lt;"&amp;AO160)+1)))</x:f>
        <x:v>225</x:v>
      </x:c>
      <x:c r="AQ160" s="14" t="n">
        <x:f t="shared" si="212">IF(B160&lt;=2,1,IF(B160&lt;=6,2,IF(B160&lt;=9,3,IF(B160&lt;=19,4,5))))</x:f>
        <x:v>5</x:v>
      </x:c>
      <x:c r="AR160" s="10" t="n">
        <x:f t="shared" si="213">AN160*(1-Q160)/F160*$AS$3+U160*$AS$4+P160*$AS$5</x:f>
        <x:v>11948.691669947955</x:v>
      </x:c>
      <x:c r="AS160" s="15" t="n">
        <x:f t="shared" si="214">1+AH160*$AS$6+AI160*$AS$7+(AJ160-1)*$AS$8+($H$10*H160+$I$10*I160+$J$10*J160+$K$10*K160+$L$10*L160)*$AU$3*$AS$9+($H$10*H160+$I$10*I160+$J$10*J160+$K$10*K160+$L$10*L160)*$AU$4*$AS$10</x:f>
        <x:v>14.056298433881915</x:v>
      </x:c>
      <x:c r="AT160" s="16" t="n">
        <x:f t="shared" si="215">ROUND(AR160*AS160,0)</x:f>
        <x:v>167954</x:v>
      </x:c>
      <x:c r="AU160" s="16" t="n">
        <x:f t="shared" si="216">ROUND(AT160*F160,0)</x:f>
        <x:v>839770</x:v>
      </x:c>
      <x:c r="AV160" t="n">
        <x:f>IF(AU160&gt;0,ROUND(AU160,-MAX(0,INT(LOG10(AU160))-2)),0)</x:f>
        <x:v>840000</x:v>
      </x:c>
    </x:row>
    <x:row r="161" customHeight="1">
      <x:c r="A161" s="1" t="str">
        <x:f>IFERROR(XLOOKUP(B161,'_曲线基线'!$G$3:$G$107,'_曲线基线'!$J$3:$J$107,""),"")</x:f>
      </x:c>
      <x:c r="B161" s="1" t="n">
        <x:v>150</x:v>
      </x:c>
      <x:c r="C161" s="1" t="n">
        <x:f t="shared" si="161">C146+1</x:f>
        <x:v>11</x:v>
      </x:c>
      <x:c r="D161" s="1" t="n">
        <x:f t="shared" si="162">D146</x:f>
        <x:v>6</x:v>
      </x:c>
      <x:c r="E161" s="1" t="n">
        <x:f t="shared" si="188">IF($B161&lt;E$8,0,E$3+(E$4-E$3)*(POWER(E$5,$B161-E$8)-1)/(POWER(E$5,$C$5-E$8)-1))</x:f>
        <x:v>1</x:v>
      </x:c>
      <x:c r="F161" s="10" t="n">
        <x:f t="shared" si="189">1+IF(B161&lt;3,0,MIN(1,(B161-2)/4))+IF(B161&lt;7,0,MIN(1,(B161-6)/3))+IF(B161&lt;10,0,MIN(1,(B161-9)/5))+IF(B161&lt;20,0,MIN(1,(B161-19)/10))</x:f>
        <x:v>5</x:v>
      </x:c>
      <x:c r="G161" s="11" t="n">
        <x:f t="shared" ref="G161:L161" si="237">'玩家战力_节点'!G161</x:f>
        <x:v>0.7182927800059561</x:v>
      </x:c>
      <x:c r="H161" s="11" t="n">
        <x:f t="shared" si="237">'玩家战力_节点'!H161</x:f>
        <x:v>0.562563345590641</x:v>
      </x:c>
      <x:c r="I161" s="11" t="n">
        <x:f t="shared" si="237">'玩家战力_节点'!I161</x:f>
        <x:v>0.4441875913587362</x:v>
      </x:c>
      <x:c r="J161" s="11" t="n">
        <x:f t="shared" si="237">'玩家战力_节点'!J161</x:f>
        <x:v>0.44733487030844404</x:v>
      </x:c>
      <x:c r="K161" s="11" t="n">
        <x:f t="shared" si="237">'玩家战力_节点'!K161</x:f>
        <x:v>0.346700297162009</x:v>
      </x:c>
      <x:c r="L161" s="11" t="n">
        <x:f t="shared" si="237">'玩家战力_节点'!L161</x:f>
        <x:v>0.5536479207969277</x:v>
      </x:c>
      <x:c r="M161" s="2" t="n">
        <x:f>E161*'模块规划'!$F$10+G161*'模块规划'!$F$11+H161*'模块规划'!$F$13</x:f>
        <x:v>4447.805344028589</x:v>
      </x:c>
      <x:c r="N161" s="2" t="n">
        <x:f>I161*'模块规划'!$F$15+J161*'模块规划'!$F$17+K161*'模块规划'!$F$16+L161*'模块规划'!$F$18</x:f>
        <x:v>12875.290820911023</x:v>
      </x:c>
      <x:c r="O161" s="2" t="n">
        <x:f t="shared" si="191">1+O$9*SUMPRODUCT($H$10:$L$10,H161:L161)/SUM($H$10:$L$10)</x:f>
        <x:v>2.729339162709454</x:v>
      </x:c>
      <x:c r="P161" s="12" t="n">
        <x:f t="shared" si="192">M161*O161+N161</x:f>
        <x:v>25014.860134476647</x:v>
      </x:c>
      <x:c r="Q161" s="7" t="n">
        <x:f>P161/(P161+'_曲线基线'!$L$2)</x:f>
        <x:v>0.5103525760523674</x:v>
      </x:c>
      <x:c r="R161" s="2" t="n">
        <x:f>E161*'模块规划'!$E$10+G161*'模块规划'!$E$11+H161*'模块规划'!$E$13</x:f>
        <x:v>6671.708016042884</x:v>
      </x:c>
      <x:c r="S161" s="2" t="n">
        <x:f>I161*'模块规划'!$E$15+J161*'模块规划'!$E$17+K161*'模块规划'!$E$16+L161*'模块规划'!$E$18</x:f>
        <x:v>19312.936231366533</x:v>
      </x:c>
      <x:c r="T161" s="2" t="n">
        <x:f t="shared" si="193">1+T$9*SUMPRODUCT($H$10:$L$10,H161:L161)/SUM($H$10:$L$10)</x:f>
        <x:v>2.729339162709454</x:v>
      </x:c>
      <x:c r="U161" s="12" t="n">
        <x:f t="shared" si="194">R161*T161+S161</x:f>
        <x:v>37522.290201714975</x:v>
      </x:c>
      <x:c r="V161" s="2" t="n">
        <x:f t="shared" si="195">V$8+(V$9-V$8)*H161</x:f>
        <x:v>0.8687690036771922</x:v>
      </x:c>
      <x:c r="W161" s="2" t="n">
        <x:f t="shared" si="196">IF(B161&lt;$H$8,0,W$8+(W$9-W$8)*H161)</x:f>
        <x:v>0.22502533823625642</x:v>
      </x:c>
      <x:c r="X161" s="2" t="n">
        <x:f t="shared" si="197">X$8+(X$9-X$8)*H161</x:f>
        <x:v>0.42970492003742633</x:v>
      </x:c>
      <x:c r="Y161" s="2" t="n">
        <x:f t="shared" si="198">Y$8+(Y$9-Y$8)*G161</x:f>
        <x:v>1</x:v>
      </x:c>
      <x:c r="Z161" s="2" t="n">
        <x:f t="shared" si="199">Z$8+(Z$9-Z$8)*H161</x:f>
        <x:v>1</x:v>
      </x:c>
      <x:c r="AA161" s="2" t="n">
        <x:f t="shared" si="200">AA$8+(AA$9-AA$8)*I161</x:f>
        <x:v>1</x:v>
      </x:c>
      <x:c r="AB161" s="2" t="n">
        <x:f t="shared" si="201">AB$8+(AB$9-AB$8)*J161</x:f>
        <x:v>1</x:v>
      </x:c>
      <x:c r="AC161" s="2" t="n">
        <x:f t="shared" si="202">AC$8+(AC$9-AC$8)*MAX(K161,L161)</x:f>
        <x:v>1</x:v>
      </x:c>
      <x:c r="AD161" s="1" t="n">
        <x:f t="shared" si="203">(V161*AE161+W161*AF161+X161*AG161)*PRODUCT(Y161:AC161)</x:f>
        <x:v>1.6740775364121108</x:v>
      </x:c>
      <x:c r="AE161" s="2" t="n">
        <x:f t="shared" si="204">1+AE$9*($H$10*H161+$I$10*I161+$J$10*J161+$K$10*K161+$L$10*L161)</x:f>
        <x:v>1</x:v>
      </x:c>
      <x:c r="AF161" s="2" t="n">
        <x:f t="shared" si="205">1+AF$9*($H$10*H161+$I$10*I161+$J$10*J161+$K$10*K161+$L$10*L161)</x:f>
        <x:v>1.1526299341986483</x:v>
      </x:c>
      <x:c r="AG161" s="2" t="n">
        <x:f t="shared" si="206">1+AG$9*($H$10*H161+$I$10*I161+$J$10*J161+$K$10*K161+$L$10*L161)</x:f>
        <x:v>1.2704941611631622</x:v>
      </x:c>
      <x:c r="AH161" s="2" t="n">
        <x:f>MIN(1,'_曲线基线'!$L$3+AH$9*($H$10*H161+$I$10*I161+$J$10*J161+$K$10*K161+$L$10*L161))</x:f>
        <x:v>0.39723310030192444</x:v>
      </x:c>
      <x:c r="AI161" s="2" t="n">
        <x:f>'_曲线基线'!$L$4+AI$9*($H$10*H161+$I$10*I161+$J$10*J161+$K$10*K161+$L$10*L161)</x:f>
        <x:v>2.9672922079839323</x:v>
      </x:c>
      <x:c r="AJ161" s="2" t="n">
        <x:f t="shared" si="207">1+AJ$9*($H$10*H161+$I$10*I161+$J$10*J161+$K$10*K161+$L$10*L161)</x:f>
        <x:v>1.7936756578329702</x:v>
      </x:c>
      <x:c r="AK161" s="1" t="n">
        <x:f t="shared" si="208">(1+AH161*(AI161-1))*AJ161</x:f>
        <x:v>3.1953858008588236</x:v>
      </x:c>
      <x:c r="AL161" s="1" t="n">
        <x:f t="shared" si="209">U161*AD161*AK161*F161</x:f>
        <x:v>1003594.3605194767</x:v>
      </x:c>
      <x:c r="AM161" s="13" t="n">
        <x:f t="shared" si="210">IF($B161&lt;AM$8,0,AM$3+(AM$4-AM$3)*(POWER(AM$5,$B161-AM$8)-1)/(POWER(AM$5,$C$5-AM$8)-1))</x:f>
        <x:v>39.5702563641893</x:v>
      </x:c>
      <x:c r="AN161" s="13" t="n">
        <x:f>(((E161*'模块规划'!$D$10+G161*'模块规划'!$D$11+H161*'模块规划'!$D$13)*(1+'模块规划'!$G$14*H161)+(I161*'模块规划'!$D$15+J161*'模块规划'!$D$17+K161*'模块规划'!$D$16+L161*'模块规划'!$D$18))*(1+'模块规划'!$J$17*J161))*F161/(1-Q161)</x:f>
        <x:v>1535950.8346099143</x:v>
      </x:c>
      <x:c r="AO161" s="1" t="n">
        <x:f t="shared" si="211">AL161*AM161</x:f>
        <x:v>39712486.13141031</x:v>
      </x:c>
      <x:c r="AP161" s="1" t="n">
        <x:f>IF(AO161="","",INDEX('_曲线基线'!$A$3:$A$502,MIN(ROWS('_曲线基线'!$A$3:$A$502),COUNTIF('_曲线基线'!$E$3:$E$502,"&lt;"&amp;AO161)+1)))</x:f>
        <x:v>226</x:v>
      </x:c>
      <x:c r="AQ161" s="14" t="n">
        <x:f t="shared" si="212">IF(B161&lt;=2,1,IF(B161&lt;=6,2,IF(B161&lt;=9,3,IF(B161&lt;=19,4,5))))</x:f>
        <x:v>5</x:v>
      </x:c>
      <x:c r="AR161" s="10" t="n">
        <x:f t="shared" si="213">AN161*(1-Q161)/F161*$AS$3+U161*$AS$4+P161*$AS$5</x:f>
        <x:v>12016.904257204758</x:v>
      </x:c>
      <x:c r="AS161" s="15" t="n">
        <x:f t="shared" si="214">1+AH161*$AS$6+AI161*$AS$7+(AJ161-1)*$AS$8+($H$10*H161+$I$10*I161+$J$10*J161+$K$10*K161+$L$10*L161)*$AU$3*$AS$9+($H$10*H161+$I$10*I161+$J$10*J161+$K$10*K161+$L$10*L161)*$AU$4*$AS$10</x:f>
        <x:v>14.101391994131959</x:v>
      </x:c>
      <x:c r="AT161" s="16" t="n">
        <x:f t="shared" si="215">ROUND(AR161*AS161,0)</x:f>
        <x:v>169455</x:v>
      </x:c>
      <x:c r="AU161" s="16" t="n">
        <x:f t="shared" si="216">ROUND(AT161*F161,0)</x:f>
        <x:v>847275</x:v>
      </x:c>
      <x:c r="AV161" t="n">
        <x:f>IF(AU161&gt;0,ROUND(AU161,-MAX(0,INT(LOG10(AU161))-2)),0)</x:f>
        <x:v>847000</x:v>
      </x:c>
    </x:row>
    <x:row r="162" customHeight="1">
      <x:c r="A162" s="1" t="str">
        <x:f>IFERROR(XLOOKUP(B162,'_曲线基线'!$G$3:$G$107,'_曲线基线'!$J$3:$J$107,""),"")</x:f>
      </x:c>
      <x:c r="B162" s="1" t="n">
        <x:v>151</x:v>
      </x:c>
      <x:c r="C162" s="1" t="n">
        <x:f t="shared" si="161">C147+1</x:f>
        <x:v>11</x:v>
      </x:c>
      <x:c r="D162" s="1" t="n">
        <x:f t="shared" si="162">D147</x:f>
        <x:v>7</x:v>
      </x:c>
      <x:c r="E162" s="1" t="n">
        <x:f t="shared" si="188">IF($B162&lt;E$8,0,E$3+(E$4-E$3)*(POWER(E$5,$B162-E$8)-1)/(POWER(E$5,$C$5-E$8)-1))</x:f>
        <x:v>1</x:v>
      </x:c>
      <x:c r="F162" s="10" t="n">
        <x:f t="shared" si="189">1+IF(B162&lt;3,0,MIN(1,(B162-2)/4))+IF(B162&lt;7,0,MIN(1,(B162-6)/3))+IF(B162&lt;10,0,MIN(1,(B162-9)/5))+IF(B162&lt;20,0,MIN(1,(B162-19)/10))</x:f>
        <x:v>5</x:v>
      </x:c>
      <x:c r="G162" s="11" t="n">
        <x:f t="shared" ref="G162:L162" si="238">'玩家战力_节点'!G162</x:f>
        <x:v>0.7202247720904588</x:v>
      </x:c>
      <x:c r="H162" s="11" t="n">
        <x:f t="shared" si="238">'玩家战力_节点'!H162</x:f>
        <x:v>0.5640266902328623</x:v>
      </x:c>
      <x:c r="I162" s="11" t="n">
        <x:f t="shared" si="238">'玩家战力_节点'!I162</x:f>
        <x:v>0.446806218228179</x:v>
      </x:c>
      <x:c r="J162" s="11" t="n">
        <x:f t="shared" si="238">'玩家战力_节点'!J162</x:f>
        <x:v>0.4490323668794685</x:v>
      </x:c>
      <x:c r="K162" s="11" t="n">
        <x:f t="shared" si="238">'玩家战力_节点'!K162</x:f>
        <x:v>0.3511991414863277</x:v>
      </x:c>
      <x:c r="L162" s="11" t="n">
        <x:f t="shared" si="238">'玩家战力_节点'!L162</x:f>
        <x:v>0.5552588658735412</x:v>
      </x:c>
      <x:c r="M162" s="2" t="n">
        <x:f>E162*'模块规划'!$F$10+G162*'模块规划'!$F$11+H162*'模块规划'!$F$13</x:f>
        <x:v>4457.078906034202</x:v>
      </x:c>
      <x:c r="N162" s="2" t="n">
        <x:f>I162*'模块规划'!$F$15+J162*'模块规划'!$F$17+K162*'模块规划'!$F$16+L162*'模块规划'!$F$18</x:f>
        <x:v>12948.26259290579</x:v>
      </x:c>
      <x:c r="O162" s="2" t="n">
        <x:f t="shared" si="191">1+O$9*SUMPRODUCT($H$10:$L$10,H162:L162)/SUM($H$10:$L$10)</x:f>
        <x:v>2.7378900034259703</x:v>
      </x:c>
      <x:c r="P162" s="12" t="n">
        <x:f t="shared" si="192">M162*O162+N162</x:f>
        <x:v>25151.25437421759</x:v>
      </x:c>
      <x:c r="Q162" s="7" t="n">
        <x:f>P162/(P162+'_曲线基线'!$L$2)</x:f>
        <x:v>0.5117113427609844</x:v>
      </x:c>
      <x:c r="R162" s="2" t="n">
        <x:f>E162*'模块规划'!$E$10+G162*'模块规划'!$E$11+H162*'模块规划'!$E$13</x:f>
        <x:v>6685.618359051303</x:v>
      </x:c>
      <x:c r="S162" s="2" t="n">
        <x:f>I162*'模块规划'!$E$15+J162*'模块规划'!$E$17+K162*'模块规划'!$E$16+L162*'模块规划'!$E$18</x:f>
        <x:v>19422.393889358686</x:v>
      </x:c>
      <x:c r="T162" s="2" t="n">
        <x:f t="shared" si="193">1+T$9*SUMPRODUCT($H$10:$L$10,H162:L162)/SUM($H$10:$L$10)</x:f>
        <x:v>2.7378900034259703</x:v>
      </x:c>
      <x:c r="U162" s="12" t="n">
        <x:f t="shared" si="194">R162*T162+S162</x:f>
        <x:v>37726.88156132639</x:v>
      </x:c>
      <x:c r="V162" s="2" t="n">
        <x:f t="shared" si="195">V$8+(V$9-V$8)*H162</x:f>
        <x:v>0.8692080070698587</x:v>
      </x:c>
      <x:c r="W162" s="2" t="n">
        <x:f t="shared" si="196">IF(B162&lt;$H$8,0,W$8+(W$9-W$8)*H162)</x:f>
        <x:v>0.22561067609314495</x:v>
      </x:c>
      <x:c r="X162" s="2" t="n">
        <x:f t="shared" si="197">X$8+(X$9-X$8)*H162</x:f>
        <x:v>0.43010733981403715</x:v>
      </x:c>
      <x:c r="Y162" s="2" t="n">
        <x:f t="shared" si="198">Y$8+(Y$9-Y$8)*G162</x:f>
        <x:v>1</x:v>
      </x:c>
      <x:c r="Z162" s="2" t="n">
        <x:f t="shared" si="199">Z$8+(Z$9-Z$8)*H162</x:f>
        <x:v>1</x:v>
      </x:c>
      <x:c r="AA162" s="2" t="n">
        <x:f t="shared" si="200">AA$8+(AA$9-AA$8)*I162</x:f>
        <x:v>1</x:v>
      </x:c>
      <x:c r="AB162" s="2" t="n">
        <x:f t="shared" si="201">AB$8+(AB$9-AB$8)*J162</x:f>
        <x:v>1</x:v>
      </x:c>
      <x:c r="AC162" s="2" t="n">
        <x:f t="shared" si="202">AC$8+(AC$9-AC$8)*MAX(K162,L162)</x:f>
        <x:v>1</x:v>
      </x:c>
      <x:c r="AD162" s="1" t="n">
        <x:f t="shared" si="203">(V162*AE162+W162*AF162+X162*AG162)*PRODUCT(Y162:AC162)</x:f>
        <x:v>1.6764480147003513</x:v>
      </x:c>
      <x:c r="AE162" s="2" t="n">
        <x:f t="shared" si="204">1+AE$9*($H$10*H162+$I$10*I162+$J$10*J162+$K$10*K162+$L$10*L162)</x:f>
        <x:v>1</x:v>
      </x:c>
      <x:c r="AF162" s="2" t="n">
        <x:f t="shared" si="205">1+AF$9*($H$10*H162+$I$10*I162+$J$10*J162+$K$10*K162+$L$10*L162)</x:f>
        <x:v>1.1533846237841545</x:v>
      </x:c>
      <x:c r="AG162" s="2" t="n">
        <x:f t="shared" si="206">1+AG$9*($H$10*H162+$I$10*I162+$J$10*J162+$K$10*K162+$L$10*L162)</x:f>
        <x:v>1.271831638817476</x:v>
      </x:c>
      <x:c r="AH162" s="2" t="n">
        <x:f>MIN(1,'_曲线基线'!$L$3+AH$9*($H$10*H162+$I$10*I162+$J$10*J162+$K$10*K162+$L$10*L162))</x:f>
        <x:v>0.3989500191089513</x:v>
      </x:c>
      <x:c r="AI162" s="2" t="n">
        <x:f>'_曲线基线'!$L$4+AI$9*($H$10*H162+$I$10*I162+$J$10*J162+$K$10*K162+$L$10*L162)</x:f>
        <x:v>2.9720750532320785</x:v>
      </x:c>
      <x:c r="AJ162" s="2" t="n">
        <x:f t="shared" si="207">1+AJ$9*($H$10*H162+$I$10*I162+$J$10*J162+$K$10*K162+$L$10*L162)</x:f>
        <x:v>1.797600043677603</x:v>
      </x:c>
      <x:c r="AK162" s="1" t="n">
        <x:f t="shared" si="208">(1+AH162*(AI162-1))*AJ162</x:f>
        <x:v>3.2118787398371587</x:v>
      </x:c>
      <x:c r="AL162" s="1" t="n">
        <x:f t="shared" si="209">U162*AD162*AK162*F162</x:f>
        <x:v>1015710.9736488002</x:v>
      </x:c>
      <x:c r="AM162" s="13" t="n">
        <x:f t="shared" si="210">IF($B162&lt;AM$8,0,AM$3+(AM$4-AM$3)*(POWER(AM$5,$B162-AM$8)-1)/(POWER(AM$5,$C$5-AM$8)-1))</x:f>
        <x:v>39.62938356775306</x:v>
      </x:c>
      <x:c r="AN162" s="13" t="n">
        <x:f>(((E162*'模块规划'!$D$10+G162*'模块规划'!$D$11+H162*'模块规划'!$D$13)*(1+'模块规划'!$G$14*H162)+(I162*'模块规划'!$D$15+J162*'模块规划'!$D$17+K162*'模块规划'!$D$16+L162*'模块规划'!$D$18))*(1+'模块规划'!$J$17*J162))*F162/(1-Q162)</x:f>
        <x:v>1549578.7798183535</x:v>
      </x:c>
      <x:c r="AO162" s="1" t="n">
        <x:f t="shared" si="211">AL162*AM162</x:f>
        <x:v>40251999.76870422</x:v>
      </x:c>
      <x:c r="AP162" s="1" t="n">
        <x:f>IF(AO162="","",INDEX('_曲线基线'!$A$3:$A$502,MIN(ROWS('_曲线基线'!$A$3:$A$502),COUNTIF('_曲线基线'!$E$3:$E$502,"&lt;"&amp;AO162)+1)))</x:f>
        <x:v>227</x:v>
      </x:c>
      <x:c r="AQ162" s="14" t="n">
        <x:f t="shared" si="212">IF(B162&lt;=2,1,IF(B162&lt;=6,2,IF(B162&lt;=9,3,IF(B162&lt;=19,4,5))))</x:f>
        <x:v>5</x:v>
      </x:c>
      <x:c r="AR162" s="10" t="n">
        <x:f t="shared" si="213">AN162*(1-Q162)/F162*$AS$3+U162*$AS$4+P162*$AS$5</x:f>
        <x:v>12085.226762366734</x:v>
      </x:c>
      <x:c r="AS162" s="15" t="n">
        <x:f t="shared" si="214">1+AH162*$AS$6+AI162*$AS$7+(AJ162-1)*$AS$8+($H$10*H162+$I$10*I162+$J$10*J162+$K$10*K162+$L$10*L162)*$AU$3*$AS$9+($H$10*H162+$I$10*I162+$J$10*J162+$K$10*K162+$L$10*L162)*$AU$4*$AS$10</x:f>
        <x:v>14.146485554382004</x:v>
      </x:c>
      <x:c r="AT162" s="16" t="n">
        <x:f t="shared" si="215">ROUND(AR162*AS162,0)</x:f>
        <x:v>170963</x:v>
      </x:c>
      <x:c r="AU162" s="16" t="n">
        <x:f t="shared" si="216">ROUND(AT162*F162,0)</x:f>
        <x:v>854815</x:v>
      </x:c>
      <x:c r="AV162" t="n">
        <x:f>IF(AU162&gt;0,ROUND(AU162,-MAX(0,INT(LOG10(AU162))-2)),0)</x:f>
        <x:v>855000</x:v>
      </x:c>
    </x:row>
    <x:row r="163" customHeight="1">
      <x:c r="A163" s="1" t="str">
        <x:f>IFERROR(XLOOKUP(B163,'_曲线基线'!$G$3:$G$107,'_曲线基线'!$J$3:$J$107,""),"")</x:f>
      </x:c>
      <x:c r="B163" s="1" t="n">
        <x:v>152</x:v>
      </x:c>
      <x:c r="C163" s="1" t="n">
        <x:f t="shared" si="161">C148+1</x:f>
        <x:v>11</x:v>
      </x:c>
      <x:c r="D163" s="1" t="n">
        <x:f t="shared" si="162">D148</x:f>
        <x:v>8</x:v>
      </x:c>
      <x:c r="E163" s="1" t="n">
        <x:f t="shared" si="188">IF($B163&lt;E$8,0,E$3+(E$4-E$3)*(POWER(E$5,$B163-E$8)-1)/(POWER(E$5,$C$5-E$8)-1))</x:f>
        <x:v>1</x:v>
      </x:c>
      <x:c r="F163" s="10" t="n">
        <x:f t="shared" si="189">1+IF(B163&lt;3,0,MIN(1,(B163-2)/4))+IF(B163&lt;7,0,MIN(1,(B163-6)/3))+IF(B163&lt;10,0,MIN(1,(B163-9)/5))+IF(B163&lt;20,0,MIN(1,(B163-19)/10))</x:f>
        <x:v>5</x:v>
      </x:c>
      <x:c r="G163" s="11" t="n">
        <x:f t="shared" ref="G163:L163" si="239">'玩家战力_节点'!G163</x:f>
        <x:v>0.7221567641749616</x:v>
      </x:c>
      <x:c r="H163" s="11" t="n">
        <x:f t="shared" si="239">'玩家战力_节点'!H163</x:f>
        <x:v>0.5654900348750835</x:v>
      </x:c>
      <x:c r="I163" s="11" t="n">
        <x:f t="shared" si="239">'玩家战力_节点'!I163</x:f>
        <x:v>0.4494248450976219</x:v>
      </x:c>
      <x:c r="J163" s="11" t="n">
        <x:f t="shared" si="239">'玩家战力_节点'!J163</x:f>
        <x:v>0.450729863450493</x:v>
      </x:c>
      <x:c r="K163" s="11" t="n">
        <x:f t="shared" si="239">'玩家战力_节点'!K163</x:f>
        <x:v>0.3556979858106463</x:v>
      </x:c>
      <x:c r="L163" s="11" t="n">
        <x:f t="shared" si="239">'玩家战力_节点'!L163</x:f>
        <x:v>0.5568698109501546</x:v>
      </x:c>
      <x:c r="M163" s="2" t="n">
        <x:f>E163*'模块规划'!$F$10+G163*'模块规划'!$F$11+H163*'模块规划'!$F$13</x:f>
        <x:v>4466.352468039815</x:v>
      </x:c>
      <x:c r="N163" s="2" t="n">
        <x:f>I163*'模块规划'!$F$15+J163*'模块规划'!$F$17+K163*'模块规划'!$F$16+L163*'模块规划'!$F$18</x:f>
        <x:v>13021.234364900556</x:v>
      </x:c>
      <x:c r="O163" s="2" t="n">
        <x:f t="shared" si="191">1+O$9*SUMPRODUCT($H$10:$L$10,H163:L163)/SUM($H$10:$L$10)</x:f>
        <x:v>2.746440844142487</x:v>
      </x:c>
      <x:c r="P163" s="12" t="n">
        <x:f t="shared" si="192">M163*O163+N163</x:f>
        <x:v>25287.807207461705</x:v>
      </x:c>
      <x:c r="Q163" s="7" t="n">
        <x:f>P163/(P163+'_曲线基线'!$L$2)</x:f>
        <x:v>0.5130641560299191</x:v>
      </x:c>
      <x:c r="R163" s="2" t="n">
        <x:f>E163*'模块规划'!$E$10+G163*'模块规划'!$E$11+H163*'模块规划'!$E$13</x:f>
        <x:v>6699.528702059723</x:v>
      </x:c>
      <x:c r="S163" s="2" t="n">
        <x:f>I163*'模块规划'!$E$15+J163*'模块规划'!$E$17+K163*'模块规划'!$E$16+L163*'模块规划'!$E$18</x:f>
        <x:v>19531.85154735083</x:v>
      </x:c>
      <x:c r="T163" s="2" t="n">
        <x:f t="shared" si="193">1+T$9*SUMPRODUCT($H$10:$L$10,H163:L163)/SUM($H$10:$L$10)</x:f>
        <x:v>2.746440844142487</x:v>
      </x:c>
      <x:c r="U163" s="12" t="n">
        <x:f t="shared" si="194">R163*T163+S163</x:f>
        <x:v>37931.710811192555</x:v>
      </x:c>
      <x:c r="V163" s="2" t="n">
        <x:f t="shared" si="195">V$8+(V$9-V$8)*H163</x:f>
        <x:v>0.869647010462525</x:v>
      </x:c>
      <x:c r="W163" s="2" t="n">
        <x:f t="shared" si="196">IF(B163&lt;$H$8,0,W$8+(W$9-W$8)*H163)</x:f>
        <x:v>0.22619601395003341</x:v>
      </x:c>
      <x:c r="X163" s="2" t="n">
        <x:f t="shared" si="197">X$8+(X$9-X$8)*H163</x:f>
        <x:v>0.43050975959064797</x:v>
      </x:c>
      <x:c r="Y163" s="2" t="n">
        <x:f t="shared" si="198">Y$8+(Y$9-Y$8)*G163</x:f>
        <x:v>1</x:v>
      </x:c>
      <x:c r="Z163" s="2" t="n">
        <x:f t="shared" si="199">Z$8+(Z$9-Z$8)*H163</x:f>
        <x:v>1</x:v>
      </x:c>
      <x:c r="AA163" s="2" t="n">
        <x:f t="shared" si="200">AA$8+(AA$9-AA$8)*I163</x:f>
        <x:v>1</x:v>
      </x:c>
      <x:c r="AB163" s="2" t="n">
        <x:f t="shared" si="201">AB$8+(AB$9-AB$8)*J163</x:f>
        <x:v>1</x:v>
      </x:c>
      <x:c r="AC163" s="2" t="n">
        <x:f t="shared" si="202">AC$8+(AC$9-AC$8)*MAX(K163,L163)</x:f>
        <x:v>1</x:v>
      </x:c>
      <x:c r="AD163" s="1" t="n">
        <x:f t="shared" si="203">(V163*AE163+W163*AF163+X163*AG163)*PRODUCT(Y163:AC163)</x:f>
        <x:v>1.6788204529402786</x:v>
      </x:c>
      <x:c r="AE163" s="2" t="n">
        <x:f t="shared" si="204">1+AE$9*($H$10*H163+$I$10*I163+$J$10*J163+$K$10*K163+$L$10*L163)</x:f>
        <x:v>1</x:v>
      </x:c>
      <x:c r="AF163" s="2" t="n">
        <x:f t="shared" si="205">1+AF$9*($H$10*H163+$I$10*I163+$J$10*J163+$K$10*K163+$L$10*L163)</x:f>
        <x:v>1.154139313369661</x:v>
      </x:c>
      <x:c r="AG163" s="2" t="n">
        <x:f t="shared" si="206">1+AG$9*($H$10*H163+$I$10*I163+$J$10*J163+$K$10*K163+$L$10*L163)</x:f>
        <x:v>1.27316911647179</x:v>
      </x:c>
      <x:c r="AH163" s="2" t="n">
        <x:f>MIN(1,'_曲线基线'!$L$3+AH$9*($H$10*H163+$I$10*I163+$J$10*J163+$K$10*K163+$L$10*L163))</x:f>
        <x:v>0.4006669379159782</x:v>
      </x:c>
      <x:c r="AI163" s="2" t="n">
        <x:f>'_曲线基线'!$L$4+AI$9*($H$10*H163+$I$10*I163+$J$10*J163+$K$10*K163+$L$10*L163)</x:f>
        <x:v>2.976857898480225</x:v>
      </x:c>
      <x:c r="AJ163" s="2" t="n">
        <x:f t="shared" si="207">1+AJ$9*($H$10*H163+$I$10*I163+$J$10*J163+$K$10*K163+$L$10*L163)</x:f>
        <x:v>1.8015244295222361</x:v>
      </x:c>
      <x:c r="AK163" s="1" t="n">
        <x:f t="shared" si="208">(1+AH163*(AI163-1))*AJ163</x:f>
        <x:v>3.2284427531924034</x:v>
      </x:c>
      <x:c r="AL163" s="1" t="n">
        <x:f t="shared" si="209">U163*AD163*AK163*F163</x:f>
        <x:v>1027944.759061032</x:v>
      </x:c>
      <x:c r="AM163" s="13" t="n">
        <x:f t="shared" si="210">IF($B163&lt;AM$8,0,AM$3+(AM$4-AM$3)*(POWER(AM$5,$B163-AM$8)-1)/(POWER(AM$5,$C$5-AM$8)-1))</x:f>
        <x:v>39.689102043352456</x:v>
      </x:c>
      <x:c r="AN163" s="13" t="n">
        <x:f>(((E163*'模块规划'!$D$10+G163*'模块规划'!$D$11+H163*'模块规划'!$D$13)*(1+'模块规划'!$G$14*H163)+(I163*'模块规划'!$D$15+J163*'模块规划'!$D$17+K163*'模块规划'!$D$16+L163*'模块规划'!$D$18))*(1+'模块规划'!$J$17*J163))*F163/(1-Q163)</x:f>
        <x:v>1563285.0138763988</x:v>
      </x:c>
      <x:c r="AO163" s="1" t="n">
        <x:f t="shared" si="211">AL163*AM163</x:f>
        <x:v>40798204.43730265</x:v>
      </x:c>
      <x:c r="AP163" s="1" t="n">
        <x:f>IF(AO163="","",INDEX('_曲线基线'!$A$3:$A$502,MIN(ROWS('_曲线基线'!$A$3:$A$502),COUNTIF('_曲线基线'!$E$3:$E$502,"&lt;"&amp;AO163)+1)))</x:f>
        <x:v>227</x:v>
      </x:c>
      <x:c r="AQ163" s="14" t="n">
        <x:f t="shared" si="212">IF(B163&lt;=2,1,IF(B163&lt;=6,2,IF(B163&lt;=9,3,IF(B163&lt;=19,4,5))))</x:f>
        <x:v>5</x:v>
      </x:c>
      <x:c r="AR163" s="10" t="n">
        <x:f t="shared" si="213">AN163*(1-Q163)/F163*$AS$3+U163*$AS$4+P163*$AS$5</x:f>
        <x:v>12153.659207824614</x:v>
      </x:c>
      <x:c r="AS163" s="15" t="n">
        <x:f t="shared" si="214">1+AH163*$AS$6+AI163*$AS$7+(AJ163-1)*$AS$8+($H$10*H163+$I$10*I163+$J$10*J163+$K$10*K163+$L$10*L163)*$AU$3*$AS$9+($H$10*H163+$I$10*I163+$J$10*J163+$K$10*K163+$L$10*L163)*$AU$4*$AS$10</x:f>
        <x:v>14.191579114632049</x:v>
      </x:c>
      <x:c r="AT163" s="16" t="n">
        <x:f t="shared" si="215">ROUND(AR163*AS163,0)</x:f>
        <x:v>172480</x:v>
      </x:c>
      <x:c r="AU163" s="16" t="n">
        <x:f t="shared" si="216">ROUND(AT163*F163,0)</x:f>
        <x:v>862400</x:v>
      </x:c>
      <x:c r="AV163" t="n">
        <x:f>IF(AU163&gt;0,ROUND(AU163,-MAX(0,INT(LOG10(AU163))-2)),0)</x:f>
        <x:v>862000</x:v>
      </x:c>
    </x:row>
    <x:row r="164" customHeight="1">
      <x:c r="A164" s="1" t="str">
        <x:f>IFERROR(XLOOKUP(B164,'_曲线基线'!$G$3:$G$107,'_曲线基线'!$J$3:$J$107,""),"")</x:f>
      </x:c>
      <x:c r="B164" s="1" t="n">
        <x:v>153</x:v>
      </x:c>
      <x:c r="C164" s="1" t="n">
        <x:f t="shared" si="161">C149+1</x:f>
        <x:v>11</x:v>
      </x:c>
      <x:c r="D164" s="1" t="n">
        <x:f t="shared" si="162">D149</x:f>
        <x:v>9</x:v>
      </x:c>
      <x:c r="E164" s="1" t="n">
        <x:f t="shared" si="188">IF($B164&lt;E$8,0,E$3+(E$4-E$3)*(POWER(E$5,$B164-E$8)-1)/(POWER(E$5,$C$5-E$8)-1))</x:f>
        <x:v>1</x:v>
      </x:c>
      <x:c r="F164" s="10" t="n">
        <x:f t="shared" si="189">1+IF(B164&lt;3,0,MIN(1,(B164-2)/4))+IF(B164&lt;7,0,MIN(1,(B164-6)/3))+IF(B164&lt;10,0,MIN(1,(B164-9)/5))+IF(B164&lt;20,0,MIN(1,(B164-19)/10))</x:f>
        <x:v>5</x:v>
      </x:c>
      <x:c r="G164" s="11" t="n">
        <x:f t="shared" ref="G164:L164" si="240">'玩家战力_节点'!G164</x:f>
        <x:v>0.7240887562594644</x:v>
      </x:c>
      <x:c r="H164" s="11" t="n">
        <x:f t="shared" si="240">'玩家战力_节点'!H164</x:f>
        <x:v>0.5669533795173048</x:v>
      </x:c>
      <x:c r="I164" s="11" t="n">
        <x:f t="shared" si="240">'玩家战力_节点'!I164</x:f>
        <x:v>0.4520434719670647</x:v>
      </x:c>
      <x:c r="J164" s="11" t="n">
        <x:f t="shared" si="240">'玩家战力_节点'!J164</x:f>
        <x:v>0.4524273600215175</x:v>
      </x:c>
      <x:c r="K164" s="11" t="n">
        <x:f t="shared" si="240">'玩家战力_节点'!K164</x:f>
        <x:v>0.36019683013496495</x:v>
      </x:c>
      <x:c r="L164" s="11" t="n">
        <x:f t="shared" si="240">'玩家战力_节点'!L164</x:f>
        <x:v>0.558480756026768</x:v>
      </x:c>
      <x:c r="M164" s="2" t="n">
        <x:f>E164*'模块规划'!$F$10+G164*'模块规划'!$F$11+H164*'模块规划'!$F$13</x:f>
        <x:v>4475.626030045429</x:v>
      </x:c>
      <x:c r="N164" s="2" t="n">
        <x:f>I164*'模块规划'!$F$15+J164*'模块规划'!$F$17+K164*'模块规划'!$F$16+L164*'模块规划'!$F$18</x:f>
        <x:v>13094.206136895322</x:v>
      </x:c>
      <x:c r="O164" s="2" t="n">
        <x:f t="shared" si="191">1+O$9*SUMPRODUCT($H$10:$L$10,H164:L164)/SUM($H$10:$L$10)</x:f>
        <x:v>2.7549916848590037</x:v>
      </x:c>
      <x:c r="P164" s="12" t="n">
        <x:f t="shared" si="192">M164*O164+N164</x:f>
        <x:v>25424.51863420899</x:v>
      </x:c>
      <x:c r="Q164" s="7" t="n">
        <x:f>P164/(P164+'_曲线基线'!$L$2)</x:f>
        <x:v>0.5144110521819328</x:v>
      </x:c>
      <x:c r="R164" s="2" t="n">
        <x:f>E164*'模块规划'!$E$10+G164*'模块规划'!$E$11+H164*'模块规划'!$E$13</x:f>
        <x:v>6713.439045068144</x:v>
      </x:c>
      <x:c r="S164" s="2" t="n">
        <x:f>I164*'模块规划'!$E$15+J164*'模块规划'!$E$17+K164*'模块规划'!$E$16+L164*'模块规划'!$E$18</x:f>
        <x:v>19641.309205342983</x:v>
      </x:c>
      <x:c r="T164" s="2" t="n">
        <x:f t="shared" si="193">1+T$9*SUMPRODUCT($H$10:$L$10,H164:L164)/SUM($H$10:$L$10)</x:f>
        <x:v>2.7549916848590037</x:v>
      </x:c>
      <x:c r="U164" s="12" t="n">
        <x:f t="shared" si="194">R164*T164+S164</x:f>
        <x:v>38136.77795131349</x:v>
      </x:c>
      <x:c r="V164" s="2" t="n">
        <x:f t="shared" si="195">V$8+(V$9-V$8)*H164</x:f>
        <x:v>0.8700860138551915</x:v>
      </x:c>
      <x:c r="W164" s="2" t="n">
        <x:f t="shared" si="196">IF(B164&lt;$H$8,0,W$8+(W$9-W$8)*H164)</x:f>
        <x:v>0.22678135180692194</x:v>
      </x:c>
      <x:c r="X164" s="2" t="n">
        <x:f t="shared" si="197">X$8+(X$9-X$8)*H164</x:f>
        <x:v>0.4309121793672589</x:v>
      </x:c>
      <x:c r="Y164" s="2" t="n">
        <x:f t="shared" si="198">Y$8+(Y$9-Y$8)*G164</x:f>
        <x:v>1</x:v>
      </x:c>
      <x:c r="Z164" s="2" t="n">
        <x:f t="shared" si="199">Z$8+(Z$9-Z$8)*H164</x:f>
        <x:v>1</x:v>
      </x:c>
      <x:c r="AA164" s="2" t="n">
        <x:f t="shared" si="200">AA$8+(AA$9-AA$8)*I164</x:f>
        <x:v>1</x:v>
      </x:c>
      <x:c r="AB164" s="2" t="n">
        <x:f t="shared" si="201">AB$8+(AB$9-AB$8)*J164</x:f>
        <x:v>1</x:v>
      </x:c>
      <x:c r="AC164" s="2" t="n">
        <x:f t="shared" si="202">AC$8+(AC$9-AC$8)*MAX(K164,L164)</x:f>
        <x:v>1</x:v>
      </x:c>
      <x:c r="AD164" s="1" t="n">
        <x:f t="shared" si="203">(V164*AE164+W164*AF164+X164*AG164)*PRODUCT(Y164:AC164)</x:f>
        <x:v>1.6811948511318935</x:v>
      </x:c>
      <x:c r="AE164" s="2" t="n">
        <x:f t="shared" si="204">1+AE$9*($H$10*H164+$I$10*I164+$J$10*J164+$K$10*K164+$L$10*L164)</x:f>
        <x:v>1</x:v>
      </x:c>
      <x:c r="AF164" s="2" t="n">
        <x:f t="shared" si="205">1+AF$9*($H$10*H164+$I$10*I164+$J$10*J164+$K$10*K164+$L$10*L164)</x:f>
        <x:v>1.1548940029551673</x:v>
      </x:c>
      <x:c r="AG164" s="2" t="n">
        <x:f t="shared" si="206">1+AG$9*($H$10*H164+$I$10*I164+$J$10*J164+$K$10*K164+$L$10*L164)</x:f>
        <x:v>1.274506594126104</x:v>
      </x:c>
      <x:c r="AH164" s="2" t="n">
        <x:f>MIN(1,'_曲线基线'!$L$3+AH$9*($H$10*H164+$I$10*I164+$J$10*J164+$K$10*K164+$L$10*L164))</x:f>
        <x:v>0.40238385672300503</x:v>
      </x:c>
      <x:c r="AI164" s="2" t="n">
        <x:f>'_曲线基线'!$L$4+AI$9*($H$10*H164+$I$10*I164+$J$10*J164+$K$10*K164+$L$10*L164)</x:f>
        <x:v>2.9816407437283714</x:v>
      </x:c>
      <x:c r="AJ164" s="2" t="n">
        <x:f t="shared" si="207">1+AJ$9*($H$10*H164+$I$10*I164+$J$10*J164+$K$10*K164+$L$10*L164)</x:f>
        <x:v>1.8054488153668689</x:v>
      </x:c>
      <x:c r="AK164" s="1" t="n">
        <x:f t="shared" si="208">(1+AH164*(AI164-1))*AJ164</x:f>
        <x:v>3.245078034281171</x:v>
      </x:c>
      <x:c r="AL164" s="1" t="n">
        <x:f t="shared" si="209">U164*AD164*AK164*F164</x:f>
        <x:v>1040296.6464805935</x:v>
      </x:c>
      <x:c r="AM164" s="13" t="n">
        <x:f t="shared" si="210">IF($B164&lt;AM$8,0,AM$3+(AM$4-AM$3)*(POWER(AM$5,$B164-AM$8)-1)/(POWER(AM$5,$C$5-AM$8)-1))</x:f>
        <x:v>39.749417703707856</x:v>
      </x:c>
      <x:c r="AN164" s="13" t="n">
        <x:f>(((E164*'模块规划'!$D$10+G164*'模块规划'!$D$11+H164*'模块规划'!$D$13)*(1+'模块规划'!$G$14*H164)+(I164*'模块规划'!$D$15+J164*'模块规划'!$D$17+K164*'模块规划'!$D$16+L164*'模块规划'!$D$18))*(1+'模块规划'!$J$17*J164))*F164/(1-Q164)</x:f>
        <x:v>1577069.8126308983</x:v>
      </x:c>
      <x:c r="AO164" s="1" t="n">
        <x:f t="shared" si="211">AL164*AM164</x:f>
        <x:v>41351185.93672361</x:v>
      </x:c>
      <x:c r="AP164" s="1" t="n">
        <x:f>IF(AO164="","",INDEX('_曲线基线'!$A$3:$A$502,MIN(ROWS('_曲线基线'!$A$3:$A$502),COUNTIF('_曲线基线'!$E$3:$E$502,"&lt;"&amp;AO164)+1)))</x:f>
        <x:v>228</x:v>
      </x:c>
      <x:c r="AQ164" s="14" t="n">
        <x:f t="shared" si="212">IF(B164&lt;=2,1,IF(B164&lt;=6,2,IF(B164&lt;=9,3,IF(B164&lt;=19,4,5))))</x:f>
        <x:v>5</x:v>
      </x:c>
      <x:c r="AR164" s="10" t="n">
        <x:f t="shared" si="213">AN164*(1-Q164)/F164*$AS$3+U164*$AS$4+P164*$AS$5</x:f>
        <x:v>12222.201615969143</x:v>
      </x:c>
      <x:c r="AS164" s="15" t="n">
        <x:f t="shared" si="214">1+AH164*$AS$6+AI164*$AS$7+(AJ164-1)*$AS$8+($H$10*H164+$I$10*I164+$J$10*J164+$K$10*K164+$L$10*L164)*$AU$3*$AS$9+($H$10*H164+$I$10*I164+$J$10*J164+$K$10*K164+$L$10*L164)*$AU$4*$AS$10</x:f>
        <x:v>14.23667267488209</x:v>
      </x:c>
      <x:c r="AT164" s="16" t="n">
        <x:f t="shared" si="215">ROUND(AR164*AS164,0)</x:f>
        <x:v>174003</x:v>
      </x:c>
      <x:c r="AU164" s="16" t="n">
        <x:f t="shared" si="216">ROUND(AT164*F164,0)</x:f>
        <x:v>870015</x:v>
      </x:c>
      <x:c r="AV164" t="n">
        <x:f>IF(AU164&gt;0,ROUND(AU164,-MAX(0,INT(LOG10(AU164))-2)),0)</x:f>
        <x:v>870000</x:v>
      </x:c>
    </x:row>
    <x:row r="165" customHeight="1">
      <x:c r="A165" s="1" t="str">
        <x:f>IFERROR(XLOOKUP(B165,'_曲线基线'!$G$3:$G$107,'_曲线基线'!$J$3:$J$107,""),"")</x:f>
      </x:c>
      <x:c r="B165" s="1" t="n">
        <x:v>154</x:v>
      </x:c>
      <x:c r="C165" s="1" t="n">
        <x:f t="shared" si="161">C150+1</x:f>
        <x:v>11</x:v>
      </x:c>
      <x:c r="D165" s="1" t="n">
        <x:f t="shared" si="162">D150</x:f>
        <x:v>10</x:v>
      </x:c>
      <x:c r="E165" s="1" t="n">
        <x:f t="shared" si="188">IF($B165&lt;E$8,0,E$3+(E$4-E$3)*(POWER(E$5,$B165-E$8)-1)/(POWER(E$5,$C$5-E$8)-1))</x:f>
        <x:v>1</x:v>
      </x:c>
      <x:c r="F165" s="10" t="n">
        <x:f t="shared" si="189">1+IF(B165&lt;3,0,MIN(1,(B165-2)/4))+IF(B165&lt;7,0,MIN(1,(B165-6)/3))+IF(B165&lt;10,0,MIN(1,(B165-9)/5))+IF(B165&lt;20,0,MIN(1,(B165-19)/10))</x:f>
        <x:v>5</x:v>
      </x:c>
      <x:c r="G165" s="11" t="n">
        <x:f t="shared" ref="G165:L165" si="241">'玩家战力_节点'!G165</x:f>
        <x:v>0.7260207483439671</x:v>
      </x:c>
      <x:c r="H165" s="11" t="n">
        <x:f t="shared" si="241">'玩家战力_节点'!H165</x:f>
        <x:v>0.568416724159526</x:v>
      </x:c>
      <x:c r="I165" s="11" t="n">
        <x:f t="shared" si="241">'玩家战力_节点'!I165</x:f>
        <x:v>0.45466209883650754</x:v>
      </x:c>
      <x:c r="J165" s="11" t="n">
        <x:f t="shared" si="241">'玩家战力_节点'!J165</x:f>
        <x:v>0.454124856592542</x:v>
      </x:c>
      <x:c r="K165" s="11" t="n">
        <x:f t="shared" si="241">'玩家战力_节点'!K165</x:f>
        <x:v>0.3646956744592837</x:v>
      </x:c>
      <x:c r="L165" s="11" t="n">
        <x:f t="shared" si="241">'玩家战力_节点'!L165</x:f>
        <x:v>0.5600917011033816</x:v>
      </x:c>
      <x:c r="M165" s="2" t="n">
        <x:f>E165*'模块规划'!$F$10+G165*'模块规划'!$F$11+H165*'模块规划'!$F$13</x:f>
        <x:v>4484.899592051042</x:v>
      </x:c>
      <x:c r="N165" s="2" t="n">
        <x:f>I165*'模块规划'!$F$15+J165*'模块规划'!$F$17+K165*'模块规划'!$F$16+L165*'模块规划'!$F$18</x:f>
        <x:v>13167.177908890091</x:v>
      </x:c>
      <x:c r="O165" s="2" t="n">
        <x:f t="shared" si="191">1+O$9*SUMPRODUCT($H$10:$L$10,H165:L165)/SUM($H$10:$L$10)</x:f>
        <x:v>2.76354252557552</x:v>
      </x:c>
      <x:c r="P165" s="12" t="n">
        <x:f t="shared" si="192">M165*O165+N165</x:f>
        <x:v>25561.38865445945</x:v>
      </x:c>
      <x:c r="Q165" s="7" t="n">
        <x:f>P165/(P165+'_曲线基线'!$L$2)</x:f>
        <x:v>0.5157520672528508</x:v>
      </x:c>
      <x:c r="R165" s="2" t="n">
        <x:f>E165*'模块规划'!$E$10+G165*'模块规划'!$E$11+H165*'模块规划'!$E$13</x:f>
        <x:v>6727.349388076564</x:v>
      </x:c>
      <x:c r="S165" s="2" t="n">
        <x:f>I165*'模块规划'!$E$15+J165*'模块规划'!$E$17+K165*'模块规划'!$E$16+L165*'模块规划'!$E$18</x:f>
        <x:v>19750.766863335135</x:v>
      </x:c>
      <x:c r="T165" s="2" t="n">
        <x:f t="shared" si="193">1+T$9*SUMPRODUCT($H$10:$L$10,H165:L165)/SUM($H$10:$L$10)</x:f>
        <x:v>2.76354252557552</x:v>
      </x:c>
      <x:c r="U165" s="12" t="n">
        <x:f t="shared" si="194">R165*T165+S165</x:f>
        <x:v>38342.08298168917</x:v>
      </x:c>
      <x:c r="V165" s="2" t="n">
        <x:f t="shared" si="195">V$8+(V$9-V$8)*H165</x:f>
        <x:v>0.8705250172478578</x:v>
      </x:c>
      <x:c r="W165" s="2" t="n">
        <x:f t="shared" si="196">IF(B165&lt;$H$8,0,W$8+(W$9-W$8)*H165)</x:f>
        <x:v>0.22736668966381043</x:v>
      </x:c>
      <x:c r="X165" s="2" t="n">
        <x:f t="shared" si="197">X$8+(X$9-X$8)*H165</x:f>
        <x:v>0.4313145991438697</x:v>
      </x:c>
      <x:c r="Y165" s="2" t="n">
        <x:f t="shared" si="198">Y$8+(Y$9-Y$8)*G165</x:f>
        <x:v>1</x:v>
      </x:c>
      <x:c r="Z165" s="2" t="n">
        <x:f t="shared" si="199">Z$8+(Z$9-Z$8)*H165</x:f>
        <x:v>1</x:v>
      </x:c>
      <x:c r="AA165" s="2" t="n">
        <x:f t="shared" si="200">AA$8+(AA$9-AA$8)*I165</x:f>
        <x:v>1</x:v>
      </x:c>
      <x:c r="AB165" s="2" t="n">
        <x:f t="shared" si="201">AB$8+(AB$9-AB$8)*J165</x:f>
        <x:v>1</x:v>
      </x:c>
      <x:c r="AC165" s="2" t="n">
        <x:f t="shared" si="202">AC$8+(AC$9-AC$8)*MAX(K165,L165)</x:f>
        <x:v>1</x:v>
      </x:c>
      <x:c r="AD165" s="1" t="n">
        <x:f t="shared" si="203">(V165*AE165+W165*AF165+X165*AG165)*PRODUCT(Y165:AC165)</x:f>
        <x:v>1.683571209275195</x:v>
      </x:c>
      <x:c r="AE165" s="2" t="n">
        <x:f t="shared" si="204">1+AE$9*($H$10*H165+$I$10*I165+$J$10*J165+$K$10*K165+$L$10*L165)</x:f>
        <x:v>1</x:v>
      </x:c>
      <x:c r="AF165" s="2" t="n">
        <x:f t="shared" si="205">1+AF$9*($H$10*H165+$I$10*I165+$J$10*J165+$K$10*K165+$L$10*L165)</x:f>
        <x:v>1.1556486925406735</x:v>
      </x:c>
      <x:c r="AG165" s="2" t="n">
        <x:f t="shared" si="206">1+AG$9*($H$10*H165+$I$10*I165+$J$10*J165+$K$10*K165+$L$10*L165)</x:f>
        <x:v>1.275844071780418</x:v>
      </x:c>
      <x:c r="AH165" s="2" t="n">
        <x:f>MIN(1,'_曲线基线'!$L$3+AH$9*($H$10*H165+$I$10*I165+$J$10*J165+$K$10*K165+$L$10*L165))</x:f>
        <x:v>0.40410077553003193</x:v>
      </x:c>
      <x:c r="AI165" s="2" t="n">
        <x:f>'_曲线基线'!$L$4+AI$9*($H$10*H165+$I$10*I165+$J$10*J165+$K$10*K165+$L$10*L165)</x:f>
        <x:v>2.9864235889765176</x:v>
      </x:c>
      <x:c r="AJ165" s="2" t="n">
        <x:f t="shared" si="207">1+AJ$9*($H$10*H165+$I$10*I165+$J$10*J165+$K$10*K165+$L$10*L165)</x:f>
        <x:v>1.8093732012115016</x:v>
      </x:c>
      <x:c r="AK165" s="1" t="n">
        <x:f t="shared" si="208">(1+AH165*(AI165-1))*AJ165</x:f>
        <x:v>3.2617847764600807</x:v>
      </x:c>
      <x:c r="AL165" s="1" t="n">
        <x:f t="shared" si="209">U165*AD165*AK165*F165</x:f>
        <x:v>1052767.5714110318</x:v>
      </x:c>
      <x:c r="AM165" s="13" t="n">
        <x:f t="shared" si="210">IF($B165&lt;AM$8,0,AM$3+(AM$4-AM$3)*(POWER(AM$5,$B165-AM$8)-1)/(POWER(AM$5,$C$5-AM$8)-1))</x:f>
        <x:v>39.8103365206668</x:v>
      </x:c>
      <x:c r="AN165" s="13" t="n">
        <x:f>(((E165*'模块规划'!$D$10+G165*'模块规划'!$D$11+H165*'模块规划'!$D$13)*(1+'模块规划'!$G$14*H165)+(I165*'模块规划'!$D$15+J165*'模块规划'!$D$17+K165*'模块规划'!$D$16+L165*'模块规划'!$D$18))*(1+'模块规划'!$J$17*J165))*F165/(1-Q165)</x:f>
        <x:v>1590933.4524259185</x:v>
      </x:c>
      <x:c r="AO165" s="1" t="n">
        <x:f t="shared" si="211">AL165*AM165</x:f>
        <x:v>41911031.29591829</x:v>
      </x:c>
      <x:c r="AP165" s="1" t="n">
        <x:f>IF(AO165="","",INDEX('_曲线基线'!$A$3:$A$502,MIN(ROWS('_曲线基线'!$A$3:$A$502),COUNTIF('_曲线基线'!$E$3:$E$502,"&lt;"&amp;AO165)+1)))</x:f>
        <x:v>229</x:v>
      </x:c>
      <x:c r="AQ165" s="14" t="n">
        <x:f t="shared" si="212">IF(B165&lt;=2,1,IF(B165&lt;=6,2,IF(B165&lt;=9,3,IF(B165&lt;=19,4,5))))</x:f>
        <x:v>5</x:v>
      </x:c>
      <x:c r="AR165" s="10" t="n">
        <x:f t="shared" si="213">AN165*(1-Q165)/F165*$AS$3+U165*$AS$4+P165*$AS$5</x:f>
        <x:v>12290.85400919105</x:v>
      </x:c>
      <x:c r="AS165" s="15" t="n">
        <x:f t="shared" si="214">1+AH165*$AS$6+AI165*$AS$7+(AJ165-1)*$AS$8+($H$10*H165+$I$10*I165+$J$10*J165+$K$10*K165+$L$10*L165)*$AU$3*$AS$9+($H$10*H165+$I$10*I165+$J$10*J165+$K$10*K165+$L$10*L165)*$AU$4*$AS$10</x:f>
        <x:v>14.281766235132135</x:v>
      </x:c>
      <x:c r="AT165" s="16" t="n">
        <x:f t="shared" si="215">ROUND(AR165*AS165,0)</x:f>
        <x:v>175535</x:v>
      </x:c>
      <x:c r="AU165" s="16" t="n">
        <x:f t="shared" si="216">ROUND(AT165*F165,0)</x:f>
        <x:v>877675</x:v>
      </x:c>
      <x:c r="AV165" t="n">
        <x:f>IF(AU165&gt;0,ROUND(AU165,-MAX(0,INT(LOG10(AU165))-2)),0)</x:f>
        <x:v>878000</x:v>
      </x:c>
    </x:row>
    <x:row r="166" customHeight="1">
      <x:c r="A166" s="1" t="str">
        <x:f>IFERROR(XLOOKUP(B166,'_曲线基线'!$G$3:$G$107,'_曲线基线'!$J$3:$J$107,""),"")</x:f>
      </x:c>
      <x:c r="B166" s="1" t="n">
        <x:v>155</x:v>
      </x:c>
      <x:c r="C166" s="1" t="n">
        <x:f t="shared" si="161">C151+1</x:f>
        <x:v>11</x:v>
      </x:c>
      <x:c r="D166" s="1" t="n">
        <x:f t="shared" si="162">D151</x:f>
        <x:v>11</x:v>
      </x:c>
      <x:c r="E166" s="1" t="n">
        <x:f t="shared" si="188">IF($B166&lt;E$8,0,E$3+(E$4-E$3)*(POWER(E$5,$B166-E$8)-1)/(POWER(E$5,$C$5-E$8)-1))</x:f>
        <x:v>1</x:v>
      </x:c>
      <x:c r="F166" s="10" t="n">
        <x:f t="shared" si="189">1+IF(B166&lt;3,0,MIN(1,(B166-2)/4))+IF(B166&lt;7,0,MIN(1,(B166-6)/3))+IF(B166&lt;10,0,MIN(1,(B166-9)/5))+IF(B166&lt;20,0,MIN(1,(B166-19)/10))</x:f>
        <x:v>5</x:v>
      </x:c>
      <x:c r="G166" s="11" t="n">
        <x:f t="shared" ref="G166:L166" si="242">'玩家战力_节点'!G166</x:f>
        <x:v>0.7279527404284699</x:v>
      </x:c>
      <x:c r="H166" s="11" t="n">
        <x:f t="shared" si="242">'玩家战力_节点'!H166</x:f>
        <x:v>0.5698800688017474</x:v>
      </x:c>
      <x:c r="I166" s="11" t="n">
        <x:f t="shared" si="242">'玩家战力_节点'!I166</x:f>
        <x:v>0.45728072570595035</x:v>
      </x:c>
      <x:c r="J166" s="11" t="n">
        <x:f t="shared" si="242">'玩家战力_节点'!J166</x:f>
        <x:v>0.45582235316356645</x:v>
      </x:c>
      <x:c r="K166" s="11" t="n">
        <x:f t="shared" si="242">'玩家战力_节点'!K166</x:f>
        <x:v>0.3691945187836023</x:v>
      </x:c>
      <x:c r="L166" s="11" t="n">
        <x:f t="shared" si="242">'玩家战力_节点'!L166</x:f>
        <x:v>0.561702646179995</x:v>
      </x:c>
      <x:c r="M166" s="2" t="n">
        <x:f>E166*'模块规划'!$F$10+G166*'模块规划'!$F$11+H166*'模块规划'!$F$13</x:f>
        <x:v>4494.173154056656</x:v>
      </x:c>
      <x:c r="N166" s="2" t="n">
        <x:f>I166*'模块规划'!$F$15+J166*'模块规划'!$F$17+K166*'模块规划'!$F$16+L166*'模块规划'!$F$18</x:f>
        <x:v>13240.149680884857</x:v>
      </x:c>
      <x:c r="O166" s="2" t="n">
        <x:f t="shared" si="191">1+O$9*SUMPRODUCT($H$10:$L$10,H166:L166)/SUM($H$10:$L$10)</x:f>
        <x:v>2.772093366292036</x:v>
      </x:c>
      <x:c r="P166" s="12" t="n">
        <x:f t="shared" si="192">M166*O166+N166</x:f>
        <x:v>25698.41726821307</x:v>
      </x:c>
      <x:c r="Q166" s="7" t="n">
        <x:f>P166/(P166+'_曲线基线'!$L$2)</x:f>
        <x:v>0.5170872369943597</x:v>
      </x:c>
      <x:c r="R166" s="2" t="n">
        <x:f>E166*'模块规划'!$E$10+G166*'模块规划'!$E$11+H166*'模块规划'!$E$13</x:f>
        <x:v>6741.259731084983</x:v>
      </x:c>
      <x:c r="S166" s="2" t="n">
        <x:f>I166*'模块规划'!$E$15+J166*'模块规划'!$E$17+K166*'模块规划'!$E$16+L166*'模块规划'!$E$18</x:f>
        <x:v>19860.224521327284</x:v>
      </x:c>
      <x:c r="T166" s="2" t="n">
        <x:f t="shared" si="193">1+T$9*SUMPRODUCT($H$10:$L$10,H166:L166)/SUM($H$10:$L$10)</x:f>
        <x:v>2.772093366292036</x:v>
      </x:c>
      <x:c r="U166" s="12" t="n">
        <x:f t="shared" si="194">R166*T166+S166</x:f>
        <x:v>38547.6259023196</x:v>
      </x:c>
      <x:c r="V166" s="2" t="n">
        <x:f t="shared" si="195">V$8+(V$9-V$8)*H166</x:f>
        <x:v>0.8709640206405243</x:v>
      </x:c>
      <x:c r="W166" s="2" t="n">
        <x:f t="shared" si="196">IF(B166&lt;$H$8,0,W$8+(W$9-W$8)*H166)</x:f>
        <x:v>0.22795202752069896</x:v>
      </x:c>
      <x:c r="X166" s="2" t="n">
        <x:f t="shared" si="197">X$8+(X$9-X$8)*H166</x:f>
        <x:v>0.43171701892048053</x:v>
      </x:c>
      <x:c r="Y166" s="2" t="n">
        <x:f t="shared" si="198">Y$8+(Y$9-Y$8)*G166</x:f>
        <x:v>1</x:v>
      </x:c>
      <x:c r="Z166" s="2" t="n">
        <x:f t="shared" si="199">Z$8+(Z$9-Z$8)*H166</x:f>
        <x:v>1</x:v>
      </x:c>
      <x:c r="AA166" s="2" t="n">
        <x:f t="shared" si="200">AA$8+(AA$9-AA$8)*I166</x:f>
        <x:v>1</x:v>
      </x:c>
      <x:c r="AB166" s="2" t="n">
        <x:f t="shared" si="201">AB$8+(AB$9-AB$8)*J166</x:f>
        <x:v>1</x:v>
      </x:c>
      <x:c r="AC166" s="2" t="n">
        <x:f t="shared" si="202">AC$8+(AC$9-AC$8)*MAX(K166,L166)</x:f>
        <x:v>1</x:v>
      </x:c>
      <x:c r="AD166" s="1" t="n">
        <x:f t="shared" si="203">(V166*AE166+W166*AF166+X166*AG166)*PRODUCT(Y166:AC166)</x:f>
        <x:v>1.6859495273701834</x:v>
      </x:c>
      <x:c r="AE166" s="2" t="n">
        <x:f t="shared" si="204">1+AE$9*($H$10*H166+$I$10*I166+$J$10*J166+$K$10*K166+$L$10*L166)</x:f>
        <x:v>1</x:v>
      </x:c>
      <x:c r="AF166" s="2" t="n">
        <x:f t="shared" si="205">1+AF$9*($H$10*H166+$I$10*I166+$J$10*J166+$K$10*K166+$L$10*L166)</x:f>
        <x:v>1.1564033821261799</x:v>
      </x:c>
      <x:c r="AG166" s="2" t="n">
        <x:f t="shared" si="206">1+AG$9*($H$10*H166+$I$10*I166+$J$10*J166+$K$10*K166+$L$10*L166)</x:f>
        <x:v>1.277181549434732</x:v>
      </x:c>
      <x:c r="AH166" s="2" t="n">
        <x:f>MIN(1,'_曲线基线'!$L$3+AH$9*($H$10*H166+$I$10*I166+$J$10*J166+$K$10*K166+$L$10*L166))</x:f>
        <x:v>0.4058176943370588</x:v>
      </x:c>
      <x:c r="AI166" s="2" t="n">
        <x:f>'_曲线基线'!$L$4+AI$9*($H$10*H166+$I$10*I166+$J$10*J166+$K$10*K166+$L$10*L166)</x:f>
        <x:v>2.991206434224664</x:v>
      </x:c>
      <x:c r="AJ166" s="2" t="n">
        <x:f t="shared" si="207">1+AJ$9*($H$10*H166+$I$10*I166+$J$10*J166+$K$10*K166+$L$10*L166)</x:f>
        <x:v>1.8132975870561343</x:v>
      </x:c>
      <x:c r="AK166" s="1" t="n">
        <x:f t="shared" si="208">(1+AH166*(AI166-1))*AJ166</x:f>
        <x:v>3.278563173085747</x:v>
      </x:c>
      <x:c r="AL166" s="1" t="n">
        <x:f t="shared" si="209">U166*AD166*AK166*F166</x:f>
        <x:v>1065358.4751605317</x:v>
      </x:c>
      <x:c r="AM166" s="13" t="n">
        <x:f t="shared" si="210">IF($B166&lt;AM$8,0,AM$3+(AM$4-AM$3)*(POWER(AM$5,$B166-AM$8)-1)/(POWER(AM$5,$C$5-AM$8)-1))</x:f>
        <x:v>39.87186452579534</x:v>
      </x:c>
      <x:c r="AN166" s="13" t="n">
        <x:f>(((E166*'模块规划'!$D$10+G166*'模块规划'!$D$11+H166*'模块规划'!$D$13)*(1+'模块规划'!$G$14*H166)+(I166*'模块规划'!$D$15+J166*'模块规划'!$D$17+K166*'模块规划'!$D$16+L166*'模块规划'!$D$18))*(1+'模块规划'!$J$17*J166))*F166/(1-Q166)</x:f>
        <x:v>1604876.2101029973</x:v>
      </x:c>
      <x:c r="AO166" s="1" t="n">
        <x:f t="shared" si="211">AL166*AM166</x:f>
        <x:v>42477828.79300862</x:v>
      </x:c>
      <x:c r="AP166" s="1" t="n">
        <x:f>IF(AO166="","",INDEX('_曲线基线'!$A$3:$A$502,MIN(ROWS('_曲线基线'!$A$3:$A$502),COUNTIF('_曲线基线'!$E$3:$E$502,"&lt;"&amp;AO166)+1)))</x:f>
        <x:v>230</x:v>
      </x:c>
      <x:c r="AQ166" s="14" t="n">
        <x:f t="shared" si="212">IF(B166&lt;=2,1,IF(B166&lt;=6,2,IF(B166&lt;=9,3,IF(B166&lt;=19,4,5))))</x:f>
        <x:v>5</x:v>
      </x:c>
      <x:c r="AR166" s="10" t="n">
        <x:f t="shared" si="213">AN166*(1-Q166)/F166*$AS$3+U166*$AS$4+P166*$AS$5</x:f>
        <x:v>12359.616409881073</x:v>
      </x:c>
      <x:c r="AS166" s="15" t="n">
        <x:f t="shared" si="214">1+AH166*$AS$6+AI166*$AS$7+(AJ166-1)*$AS$8+($H$10*H166+$I$10*I166+$J$10*J166+$K$10*K166+$L$10*L166)*$AU$3*$AS$9+($H$10*H166+$I$10*I166+$J$10*J166+$K$10*K166+$L$10*L166)*$AU$4*$AS$10</x:f>
        <x:v>14.326859795382177</x:v>
      </x:c>
      <x:c r="AT166" s="16" t="n">
        <x:f t="shared" si="215">ROUND(AR166*AS166,0)</x:f>
        <x:v>177074</x:v>
      </x:c>
      <x:c r="AU166" s="16" t="n">
        <x:f t="shared" si="216">ROUND(AT166*F166,0)</x:f>
        <x:v>885370</x:v>
      </x:c>
      <x:c r="AV166" t="n">
        <x:f>IF(AU166&gt;0,ROUND(AU166,-MAX(0,INT(LOG10(AU166))-2)),0)</x:f>
        <x:v>885000</x:v>
      </x:c>
    </x:row>
    <x:row r="167" customHeight="1">
      <x:c r="A167" s="1" t="str">
        <x:f>IFERROR(XLOOKUP(B167,'_曲线基线'!$G$3:$G$107,'_曲线基线'!$J$3:$J$107,""),"")</x:f>
      </x:c>
      <x:c r="B167" s="1" t="n">
        <x:v>156</x:v>
      </x:c>
      <x:c r="C167" s="1" t="n">
        <x:f t="shared" si="161">C152+1</x:f>
        <x:v>11</x:v>
      </x:c>
      <x:c r="D167" s="1" t="n">
        <x:f t="shared" si="162">D152</x:f>
        <x:v>12</x:v>
      </x:c>
      <x:c r="E167" s="1" t="n">
        <x:f t="shared" si="188">IF($B167&lt;E$8,0,E$3+(E$4-E$3)*(POWER(E$5,$B167-E$8)-1)/(POWER(E$5,$C$5-E$8)-1))</x:f>
        <x:v>1</x:v>
      </x:c>
      <x:c r="F167" s="10" t="n">
        <x:f t="shared" si="189">1+IF(B167&lt;3,0,MIN(1,(B167-2)/4))+IF(B167&lt;7,0,MIN(1,(B167-6)/3))+IF(B167&lt;10,0,MIN(1,(B167-9)/5))+IF(B167&lt;20,0,MIN(1,(B167-19)/10))</x:f>
        <x:v>5</x:v>
      </x:c>
      <x:c r="G167" s="11" t="n">
        <x:f t="shared" ref="G167:L167" si="243">'玩家战力_节点'!G167</x:f>
        <x:v>0.7298847325129726</x:v>
      </x:c>
      <x:c r="H167" s="11" t="n">
        <x:f t="shared" si="243">'玩家战力_节点'!H167</x:f>
        <x:v>0.5713434134439686</x:v>
      </x:c>
      <x:c r="I167" s="11" t="n">
        <x:f t="shared" si="243">'玩家战力_节点'!I167</x:f>
        <x:v>0.4598993525753932</x:v>
      </x:c>
      <x:c r="J167" s="11" t="n">
        <x:f t="shared" si="243">'玩家战力_节点'!J167</x:f>
        <x:v>0.45751984973459103</x:v>
      </x:c>
      <x:c r="K167" s="11" t="n">
        <x:f t="shared" si="243">'玩家战力_节点'!K167</x:f>
        <x:v>0.373693363107921</x:v>
      </x:c>
      <x:c r="L167" s="11" t="n">
        <x:f t="shared" si="243">'玩家战力_节点'!L167</x:f>
        <x:v>0.5633135912566085</x:v>
      </x:c>
      <x:c r="M167" s="2" t="n">
        <x:f>E167*'模块规划'!$F$10+G167*'模块规划'!$F$11+H167*'模块规划'!$F$13</x:f>
        <x:v>4503.446716062268</x:v>
      </x:c>
      <x:c r="N167" s="2" t="n">
        <x:f>I167*'模块规划'!$F$15+J167*'模块规划'!$F$17+K167*'模块规划'!$F$16+L167*'模块规划'!$F$18</x:f>
        <x:v>13313.121452879624</x:v>
      </x:c>
      <x:c r="O167" s="2" t="n">
        <x:f t="shared" si="191">1+O$9*SUMPRODUCT($H$10:$L$10,H167:L167)/SUM($H$10:$L$10)</x:f>
        <x:v>2.780644207008553</x:v>
      </x:c>
      <x:c r="P167" s="12" t="n">
        <x:f t="shared" si="192">M167*O167+N167</x:f>
        <x:v>25835.60447546986</x:v>
      </x:c>
      <x:c r="Q167" s="7" t="n">
        <x:f>P167/(P167+'_曲线基线'!$L$2)</x:f>
        <x:v>0.5184165968767709</x:v>
      </x:c>
      <x:c r="R167" s="2" t="n">
        <x:f>E167*'模块规划'!$E$10+G167*'模块规划'!$E$11+H167*'模块规划'!$E$13</x:f>
        <x:v>6755.170074093403</x:v>
      </x:c>
      <x:c r="S167" s="2" t="n">
        <x:f>I167*'模块规划'!$E$15+J167*'模块规划'!$E$17+K167*'模块规划'!$E$16+L167*'模块规划'!$E$18</x:f>
        <x:v>19969.682179319436</x:v>
      </x:c>
      <x:c r="T167" s="2" t="n">
        <x:f t="shared" si="193">1+T$9*SUMPRODUCT($H$10:$L$10,H167:L167)/SUM($H$10:$L$10)</x:f>
        <x:v>2.780644207008553</x:v>
      </x:c>
      <x:c r="U167" s="12" t="n">
        <x:f t="shared" si="194">R167*T167+S167</x:f>
        <x:v>38753.40671320479</x:v>
      </x:c>
      <x:c r="V167" s="2" t="n">
        <x:f t="shared" si="195">V$8+(V$9-V$8)*H167</x:f>
        <x:v>0.8714030240331906</x:v>
      </x:c>
      <x:c r="W167" s="2" t="n">
        <x:f t="shared" si="196">IF(B167&lt;$H$8,0,W$8+(W$9-W$8)*H167)</x:f>
        <x:v>0.22853736537758743</x:v>
      </x:c>
      <x:c r="X167" s="2" t="n">
        <x:f t="shared" si="197">X$8+(X$9-X$8)*H167</x:f>
        <x:v>0.43211943869709135</x:v>
      </x:c>
      <x:c r="Y167" s="2" t="n">
        <x:f t="shared" si="198">Y$8+(Y$9-Y$8)*G167</x:f>
        <x:v>1</x:v>
      </x:c>
      <x:c r="Z167" s="2" t="n">
        <x:f t="shared" si="199">Z$8+(Z$9-Z$8)*H167</x:f>
        <x:v>1</x:v>
      </x:c>
      <x:c r="AA167" s="2" t="n">
        <x:f t="shared" si="200">AA$8+(AA$9-AA$8)*I167</x:f>
        <x:v>1</x:v>
      </x:c>
      <x:c r="AB167" s="2" t="n">
        <x:f t="shared" si="201">AB$8+(AB$9-AB$8)*J167</x:f>
        <x:v>1</x:v>
      </x:c>
      <x:c r="AC167" s="2" t="n">
        <x:f t="shared" si="202">AC$8+(AC$9-AC$8)*MAX(K167,L167)</x:f>
        <x:v>1</x:v>
      </x:c>
      <x:c r="AD167" s="1" t="n">
        <x:f t="shared" si="203">(V167*AE167+W167*AF167+X167*AG167)*PRODUCT(Y167:AC167)</x:f>
        <x:v>1.6883298054168585</x:v>
      </x:c>
      <x:c r="AE167" s="2" t="n">
        <x:f t="shared" si="204">1+AE$9*($H$10*H167+$I$10*I167+$J$10*J167+$K$10*K167+$L$10*L167)</x:f>
        <x:v>1</x:v>
      </x:c>
      <x:c r="AF167" s="2" t="n">
        <x:f t="shared" si="205">1+AF$9*($H$10*H167+$I$10*I167+$J$10*J167+$K$10*K167+$L$10*L167)</x:f>
        <x:v>1.1571580717116863</x:v>
      </x:c>
      <x:c r="AG167" s="2" t="n">
        <x:f t="shared" si="206">1+AG$9*($H$10*H167+$I$10*I167+$J$10*J167+$K$10*K167+$L$10*L167)</x:f>
        <x:v>1.278519027089046</x:v>
      </x:c>
      <x:c r="AH167" s="2" t="n">
        <x:f>MIN(1,'_曲线基线'!$L$3+AH$9*($H$10*H167+$I$10*I167+$J$10*J167+$K$10*K167+$L$10*L167))</x:f>
        <x:v>0.4075346131440857</x:v>
      </x:c>
      <x:c r="AI167" s="2" t="n">
        <x:f>'_曲线基线'!$L$4+AI$9*($H$10*H167+$I$10*I167+$J$10*J167+$K$10*K167+$L$10*L167)</x:f>
        <x:v>2.99598927947281</x:v>
      </x:c>
      <x:c r="AJ167" s="2" t="n">
        <x:f t="shared" si="207">1+AJ$9*($H$10*H167+$I$10*I167+$J$10*J167+$K$10*K167+$L$10*L167)</x:f>
        <x:v>1.8172219729007675</x:v>
      </x:c>
      <x:c r="AK167" s="1" t="n">
        <x:f t="shared" si="208">(1+AH167*(AI167-1))*AJ167</x:f>
        <x:v>3.2954134175147893</x:v>
      </x:c>
      <x:c r="AL167" s="1" t="n">
        <x:f t="shared" si="209">U167*AD167*AK167*F167</x:f>
        <x:v>1078070.3048674995</x:v>
      </x:c>
      <x:c r="AM167" s="13" t="n">
        <x:f t="shared" si="210">IF($B167&lt;AM$8,0,AM$3+(AM$4-AM$3)*(POWER(AM$5,$B167-AM$8)-1)/(POWER(AM$5,$C$5-AM$8)-1))</x:f>
        <x:v>39.93400781097516</x:v>
      </x:c>
      <x:c r="AN167" s="13" t="n">
        <x:f>(((E167*'模块规划'!$D$10+G167*'模块规划'!$D$11+H167*'模块规划'!$D$13)*(1+'模块规划'!$G$14*H167)+(I167*'模块规划'!$D$15+J167*'模块规划'!$D$17+K167*'模块规划'!$D$16+L167*'模块规划'!$D$18))*(1+'模块规划'!$J$17*J167))*F167/(1-Q167)</x:f>
        <x:v>1618898.3630013869</x:v>
      </x:c>
      <x:c r="AO167" s="1" t="n">
        <x:f t="shared" si="211">AL167*AM167</x:f>
        <x:v>43051667.9753591</x:v>
      </x:c>
      <x:c r="AP167" s="1" t="n">
        <x:f>IF(AO167="","",INDEX('_曲线基线'!$A$3:$A$502,MIN(ROWS('_曲线基线'!$A$3:$A$502),COUNTIF('_曲线基线'!$E$3:$E$502,"&lt;"&amp;AO167)+1)))</x:f>
        <x:v>231</x:v>
      </x:c>
      <x:c r="AQ167" s="14" t="n">
        <x:f t="shared" si="212">IF(B167&lt;=2,1,IF(B167&lt;=6,2,IF(B167&lt;=9,3,IF(B167&lt;=19,4,5))))</x:f>
        <x:v>5</x:v>
      </x:c>
      <x:c r="AR167" s="10" t="n">
        <x:f t="shared" si="213">AN167*(1-Q167)/F167*$AS$3+U167*$AS$4+P167*$AS$5</x:f>
        <x:v>12428.488840429953</x:v>
      </x:c>
      <x:c r="AS167" s="15" t="n">
        <x:f t="shared" si="214">1+AH167*$AS$6+AI167*$AS$7+(AJ167-1)*$AS$8+($H$10*H167+$I$10*I167+$J$10*J167+$K$10*K167+$L$10*L167)*$AU$3*$AS$9+($H$10*H167+$I$10*I167+$J$10*J167+$K$10*K167+$L$10*L167)*$AU$4*$AS$10</x:f>
        <x:v>14.371953355632222</x:v>
      </x:c>
      <x:c r="AT167" s="16" t="n">
        <x:f t="shared" si="215">ROUND(AR167*AS167,0)</x:f>
        <x:v>178622</x:v>
      </x:c>
      <x:c r="AU167" s="16" t="n">
        <x:f t="shared" si="216">ROUND(AT167*F167,0)</x:f>
        <x:v>893110</x:v>
      </x:c>
      <x:c r="AV167" t="n">
        <x:f>IF(AU167&gt;0,ROUND(AU167,-MAX(0,INT(LOG10(AU167))-2)),0)</x:f>
        <x:v>893000</x:v>
      </x:c>
    </x:row>
    <x:row r="168" customHeight="1">
      <x:c r="A168" s="1" t="str">
        <x:f>IFERROR(XLOOKUP(B168,'_曲线基线'!$G$3:$G$107,'_曲线基线'!$J$3:$J$107,""),"")</x:f>
      </x:c>
      <x:c r="B168" s="1" t="n">
        <x:v>157</x:v>
      </x:c>
      <x:c r="C168" s="1" t="n">
        <x:f t="shared" si="161">C153+1</x:f>
        <x:v>11</x:v>
      </x:c>
      <x:c r="D168" s="1" t="n">
        <x:f t="shared" si="162">D153</x:f>
        <x:v>13</x:v>
      </x:c>
      <x:c r="E168" s="1" t="n">
        <x:f t="shared" si="188">IF($B168&lt;E$8,0,E$3+(E$4-E$3)*(POWER(E$5,$B168-E$8)-1)/(POWER(E$5,$C$5-E$8)-1))</x:f>
        <x:v>1</x:v>
      </x:c>
      <x:c r="F168" s="10" t="n">
        <x:f t="shared" si="189">1+IF(B168&lt;3,0,MIN(1,(B168-2)/4))+IF(B168&lt;7,0,MIN(1,(B168-6)/3))+IF(B168&lt;10,0,MIN(1,(B168-9)/5))+IF(B168&lt;20,0,MIN(1,(B168-19)/10))</x:f>
        <x:v>5</x:v>
      </x:c>
      <x:c r="G168" s="11" t="n">
        <x:f t="shared" ref="G168:L168" si="244">'玩家战力_节点'!G168</x:f>
        <x:v>0.7318167245974755</x:v>
      </x:c>
      <x:c r="H168" s="11" t="n">
        <x:f t="shared" si="244">'玩家战力_节点'!H168</x:f>
        <x:v>0.5728067580861897</x:v>
      </x:c>
      <x:c r="I168" s="11" t="n">
        <x:f t="shared" si="244">'玩家战力_节点'!I168</x:f>
        <x:v>0.462517979444836</x:v>
      </x:c>
      <x:c r="J168" s="11" t="n">
        <x:f t="shared" si="244">'玩家战力_节点'!J168</x:f>
        <x:v>0.4592173463056155</x:v>
      </x:c>
      <x:c r="K168" s="11" t="n">
        <x:f t="shared" si="244">'玩家战力_节点'!K168</x:f>
        <x:v>0.37819220743223964</x:v>
      </x:c>
      <x:c r="L168" s="11" t="n">
        <x:f t="shared" si="244">'玩家战力_节点'!L168</x:f>
        <x:v>0.564924536333222</x:v>
      </x:c>
      <x:c r="M168" s="2" t="n">
        <x:f>E168*'模块规划'!$F$10+G168*'模块规划'!$F$11+H168*'模块规划'!$F$13</x:f>
        <x:v>4512.720278067882</x:v>
      </x:c>
      <x:c r="N168" s="2" t="n">
        <x:f>I168*'模块规划'!$F$15+J168*'模块规划'!$F$17+K168*'模块规划'!$F$16+L168*'模块规划'!$F$18</x:f>
        <x:v>13386.093224874392</x:v>
      </x:c>
      <x:c r="O168" s="2" t="n">
        <x:f t="shared" si="191">1+O$9*SUMPRODUCT($H$10:$L$10,H168:L168)/SUM($H$10:$L$10)</x:f>
        <x:v>2.7891950477250695</x:v>
      </x:c>
      <x:c r="P168" s="12" t="n">
        <x:f t="shared" si="192">M168*O168+N168</x:f>
        <x:v>25972.95027622983</x:v>
      </x:c>
      <x:c r="Q168" s="7" t="n">
        <x:f>P168/(P168+'_曲线基线'!$L$2)</x:f>
        <x:v>0.5197401820917534</x:v>
      </x:c>
      <x:c r="R168" s="2" t="n">
        <x:f>E168*'模块规划'!$E$10+G168*'模块规划'!$E$11+H168*'模块规划'!$E$13</x:f>
        <x:v>6769.0804171018235</x:v>
      </x:c>
      <x:c r="S168" s="2" t="n">
        <x:f>I168*'模块规划'!$E$15+J168*'模块规划'!$E$17+K168*'模块规划'!$E$16+L168*'模块规划'!$E$18</x:f>
        <x:v>20079.139837311588</x:v>
      </x:c>
      <x:c r="T168" s="2" t="n">
        <x:f t="shared" si="193">1+T$9*SUMPRODUCT($H$10:$L$10,H168:L168)/SUM($H$10:$L$10)</x:f>
        <x:v>2.7891950477250695</x:v>
      </x:c>
      <x:c r="U168" s="12" t="n">
        <x:f t="shared" si="194">R168*T168+S168</x:f>
        <x:v>38959.42541434475</x:v>
      </x:c>
      <x:c r="V168" s="2" t="n">
        <x:f t="shared" si="195">V$8+(V$9-V$8)*H168</x:f>
        <x:v>0.8718420274258569</x:v>
      </x:c>
      <x:c r="W168" s="2" t="n">
        <x:f t="shared" si="196">IF(B168&lt;$H$8,0,W$8+(W$9-W$8)*H168)</x:f>
        <x:v>0.22912270323447592</x:v>
      </x:c>
      <x:c r="X168" s="2" t="n">
        <x:f t="shared" si="197">X$8+(X$9-X$8)*H168</x:f>
        <x:v>0.4325218584737022</x:v>
      </x:c>
      <x:c r="Y168" s="2" t="n">
        <x:f t="shared" si="198">Y$8+(Y$9-Y$8)*G168</x:f>
        <x:v>1</x:v>
      </x:c>
      <x:c r="Z168" s="2" t="n">
        <x:f t="shared" si="199">Z$8+(Z$9-Z$8)*H168</x:f>
        <x:v>1</x:v>
      </x:c>
      <x:c r="AA168" s="2" t="n">
        <x:f t="shared" si="200">AA$8+(AA$9-AA$8)*I168</x:f>
        <x:v>1</x:v>
      </x:c>
      <x:c r="AB168" s="2" t="n">
        <x:f t="shared" si="201">AB$8+(AB$9-AB$8)*J168</x:f>
        <x:v>1</x:v>
      </x:c>
      <x:c r="AC168" s="2" t="n">
        <x:f t="shared" si="202">AC$8+(AC$9-AC$8)*MAX(K168,L168)</x:f>
        <x:v>1</x:v>
      </x:c>
      <x:c r="AD168" s="1" t="n">
        <x:f t="shared" si="203">(V168*AE168+W168*AF168+X168*AG168)*PRODUCT(Y168:AC168)</x:f>
        <x:v>1.690712043415221</x:v>
      </x:c>
      <x:c r="AE168" s="2" t="n">
        <x:f t="shared" si="204">1+AE$9*($H$10*H168+$I$10*I168+$J$10*J168+$K$10*K168+$L$10*L168)</x:f>
        <x:v>1</x:v>
      </x:c>
      <x:c r="AF168" s="2" t="n">
        <x:f t="shared" si="205">1+AF$9*($H$10*H168+$I$10*I168+$J$10*J168+$K$10*K168+$L$10*L168)</x:f>
        <x:v>1.1579127612971924</x:v>
      </x:c>
      <x:c r="AG168" s="2" t="n">
        <x:f t="shared" si="206">1+AG$9*($H$10*H168+$I$10*I168+$J$10*J168+$K$10*K168+$L$10*L168)</x:f>
        <x:v>1.27985650474336</x:v>
      </x:c>
      <x:c r="AH168" s="2" t="n">
        <x:f>MIN(1,'_曲线基线'!$L$3+AH$9*($H$10*H168+$I$10*I168+$J$10*J168+$K$10*K168+$L$10*L168))</x:f>
        <x:v>0.4092515319511126</x:v>
      </x:c>
      <x:c r="AI168" s="2" t="n">
        <x:f>'_曲线基线'!$L$4+AI$9*($H$10*H168+$I$10*I168+$J$10*J168+$K$10*K168+$L$10*L168)</x:f>
        <x:v>3.0007721247209567</x:v>
      </x:c>
      <x:c r="AJ168" s="2" t="n">
        <x:f t="shared" si="207">1+AJ$9*($H$10*H168+$I$10*I168+$J$10*J168+$K$10*K168+$L$10*L168)</x:f>
        <x:v>1.8211463587454002</x:v>
      </x:c>
      <x:c r="AK168" s="1" t="n">
        <x:f t="shared" si="208">(1+AH168*(AI168-1))*AJ168</x:f>
        <x:v>3.3123357031038223</x:v>
      </x:c>
      <x:c r="AL168" s="1" t="n">
        <x:f t="shared" si="209">U168*AD168*AK168*F168</x:f>
        <x:v>1090904.0135262148</x:v>
      </x:c>
      <x:c r="AM168" s="13" t="n">
        <x:f t="shared" si="210">IF($B168&lt;AM$8,0,AM$3+(AM$4-AM$3)*(POWER(AM$5,$B168-AM$8)-1)/(POWER(AM$5,$C$5-AM$8)-1))</x:f>
        <x:v>39.996772529006776</x:v>
      </x:c>
      <x:c r="AN168" s="13" t="n">
        <x:f>(((E168*'模块规划'!$D$10+G168*'模块规划'!$D$11+H168*'模块规划'!$D$13)*(1+'模块规划'!$G$14*H168)+(I168*'模块规划'!$D$15+J168*'模块规划'!$D$17+K168*'模块规划'!$D$16+L168*'模块规划'!$D$18))*(1+'模块规划'!$J$17*J168))*F168/(1-Q168)</x:f>
        <x:v>1633000.1889583003</x:v>
      </x:c>
      <x:c r="AO168" s="1" t="n">
        <x:f t="shared" si="211">AL168*AM168</x:f>
        <x:v>43632639.67998854</x:v>
      </x:c>
      <x:c r="AP168" s="1" t="n">
        <x:f>IF(AO168="","",INDEX('_曲线基线'!$A$3:$A$502,MIN(ROWS('_曲线基线'!$A$3:$A$502),COUNTIF('_曲线基线'!$E$3:$E$502,"&lt;"&amp;AO168)+1)))</x:f>
        <x:v>232</x:v>
      </x:c>
      <x:c r="AQ168" s="14" t="n">
        <x:f t="shared" si="212">IF(B168&lt;=2,1,IF(B168&lt;=6,2,IF(B168&lt;=9,3,IF(B168&lt;=19,4,5))))</x:f>
        <x:v>5</x:v>
      </x:c>
      <x:c r="AR168" s="10" t="n">
        <x:f t="shared" si="213">AN168*(1-Q168)/F168*$AS$3+U168*$AS$4+P168*$AS$5</x:f>
        <x:v>12497.471323228423</x:v>
      </x:c>
      <x:c r="AS168" s="15" t="n">
        <x:f t="shared" si="214">1+AH168*$AS$6+AI168*$AS$7+(AJ168-1)*$AS$8+($H$10*H168+$I$10*I168+$J$10*J168+$K$10*K168+$L$10*L168)*$AU$3*$AS$9+($H$10*H168+$I$10*I168+$J$10*J168+$K$10*K168+$L$10*L168)*$AU$4*$AS$10</x:f>
        <x:v>14.417046915882267</x:v>
      </x:c>
      <x:c r="AT168" s="16" t="n">
        <x:f t="shared" si="215">ROUND(AR168*AS168,0)</x:f>
        <x:v>180177</x:v>
      </x:c>
      <x:c r="AU168" s="16" t="n">
        <x:f t="shared" si="216">ROUND(AT168*F168,0)</x:f>
        <x:v>900885</x:v>
      </x:c>
      <x:c r="AV168" t="n">
        <x:f>IF(AU168&gt;0,ROUND(AU168,-MAX(0,INT(LOG10(AU168))-2)),0)</x:f>
        <x:v>901000</x:v>
      </x:c>
    </x:row>
    <x:row r="169" customHeight="1">
      <x:c r="A169" s="1" t="str">
        <x:f>IFERROR(XLOOKUP(B169,'_曲线基线'!$G$3:$G$107,'_曲线基线'!$J$3:$J$107,""),"")</x:f>
      </x:c>
      <x:c r="B169" s="1" t="n">
        <x:v>158</x:v>
      </x:c>
      <x:c r="C169" s="1" t="n">
        <x:f t="shared" si="161">C154+1</x:f>
        <x:v>11</x:v>
      </x:c>
      <x:c r="D169" s="1" t="n">
        <x:f t="shared" si="162">D154</x:f>
        <x:v>14</x:v>
      </x:c>
      <x:c r="E169" s="1" t="n">
        <x:f t="shared" si="188">IF($B169&lt;E$8,0,E$3+(E$4-E$3)*(POWER(E$5,$B169-E$8)-1)/(POWER(E$5,$C$5-E$8)-1))</x:f>
        <x:v>1</x:v>
      </x:c>
      <x:c r="F169" s="10" t="n">
        <x:f t="shared" si="189">1+IF(B169&lt;3,0,MIN(1,(B169-2)/4))+IF(B169&lt;7,0,MIN(1,(B169-6)/3))+IF(B169&lt;10,0,MIN(1,(B169-9)/5))+IF(B169&lt;20,0,MIN(1,(B169-19)/10))</x:f>
        <x:v>5</x:v>
      </x:c>
      <x:c r="G169" s="11" t="n">
        <x:f t="shared" ref="G169:L169" si="245">'玩家战力_节点'!G169</x:f>
        <x:v>0.7337487166819782</x:v>
      </x:c>
      <x:c r="H169" s="11" t="n">
        <x:f t="shared" si="245">'玩家战力_节点'!H169</x:f>
        <x:v>0.5742701027284111</x:v>
      </x:c>
      <x:c r="I169" s="11" t="n">
        <x:f t="shared" si="245">'玩家战力_节点'!I169</x:f>
        <x:v>0.4651366063142789</x:v>
      </x:c>
      <x:c r="J169" s="11" t="n">
        <x:f t="shared" si="245">'玩家战力_节点'!J169</x:f>
        <x:v>0.46091484287664003</x:v>
      </x:c>
      <x:c r="K169" s="11" t="n">
        <x:f t="shared" si="245">'玩家战力_节点'!K169</x:f>
        <x:v>0.3826910517565584</x:v>
      </x:c>
      <x:c r="L169" s="11" t="n">
        <x:f t="shared" si="245">'玩家战力_节点'!L169</x:f>
        <x:v>0.5665354814098355</x:v>
      </x:c>
      <x:c r="M169" s="2" t="n">
        <x:f>E169*'模块规划'!$F$10+G169*'模块规划'!$F$11+H169*'模块规划'!$F$13</x:f>
        <x:v>4521.993840073495</x:v>
      </x:c>
      <x:c r="N169" s="2" t="n">
        <x:f>I169*'模块规划'!$F$15+J169*'模块规划'!$F$17+K169*'模块规划'!$F$16+L169*'模块规划'!$F$18</x:f>
        <x:v>13459.06499686916</x:v>
      </x:c>
      <x:c r="O169" s="2" t="n">
        <x:f t="shared" si="191">1+O$9*SUMPRODUCT($H$10:$L$10,H169:L169)/SUM($H$10:$L$10)</x:f>
        <x:v>2.797745888441586</x:v>
      </x:c>
      <x:c r="P169" s="12" t="n">
        <x:f t="shared" si="192">M169*O169+N169</x:f>
        <x:v>26110.45467049296</x:v>
      </x:c>
      <x:c r="Q169" s="7" t="n">
        <x:f>P169/(P169+'_曲线基线'!$L$2)</x:f>
        <x:v>0.5210580275550332</x:v>
      </x:c>
      <x:c r="R169" s="2" t="n">
        <x:f>E169*'模块规划'!$E$10+G169*'模块规划'!$E$11+H169*'模块规划'!$E$13</x:f>
        <x:v>6782.990760110243</x:v>
      </x:c>
      <x:c r="S169" s="2" t="n">
        <x:f>I169*'模块规划'!$E$15+J169*'模块规划'!$E$17+K169*'模块规划'!$E$16+L169*'模块规划'!$E$18</x:f>
        <x:v>20188.597495303737</x:v>
      </x:c>
      <x:c r="T169" s="2" t="n">
        <x:f t="shared" si="193">1+T$9*SUMPRODUCT($H$10:$L$10,H169:L169)/SUM($H$10:$L$10)</x:f>
        <x:v>2.797745888441586</x:v>
      </x:c>
      <x:c r="U169" s="12" t="n">
        <x:f t="shared" si="194">R169*T169+S169</x:f>
        <x:v>39165.682005739436</x:v>
      </x:c>
      <x:c r="V169" s="2" t="n">
        <x:f t="shared" si="195">V$8+(V$9-V$8)*H169</x:f>
        <x:v>0.8722810308185233</x:v>
      </x:c>
      <x:c r="W169" s="2" t="n">
        <x:f t="shared" si="196">IF(B169&lt;$H$8,0,W$8+(W$9-W$8)*H169)</x:f>
        <x:v>0.22970804109136445</x:v>
      </x:c>
      <x:c r="X169" s="2" t="n">
        <x:f t="shared" si="197">X$8+(X$9-X$8)*H169</x:f>
        <x:v>0.4329242782503131</x:v>
      </x:c>
      <x:c r="Y169" s="2" t="n">
        <x:f t="shared" si="198">Y$8+(Y$9-Y$8)*G169</x:f>
        <x:v>1</x:v>
      </x:c>
      <x:c r="Z169" s="2" t="n">
        <x:f t="shared" si="199">Z$8+(Z$9-Z$8)*H169</x:f>
        <x:v>1</x:v>
      </x:c>
      <x:c r="AA169" s="2" t="n">
        <x:f t="shared" si="200">AA$8+(AA$9-AA$8)*I169</x:f>
        <x:v>1</x:v>
      </x:c>
      <x:c r="AB169" s="2" t="n">
        <x:f t="shared" si="201">AB$8+(AB$9-AB$8)*J169</x:f>
        <x:v>1</x:v>
      </x:c>
      <x:c r="AC169" s="2" t="n">
        <x:f t="shared" si="202">AC$8+(AC$9-AC$8)*MAX(K169,L169)</x:f>
        <x:v>1</x:v>
      </x:c>
      <x:c r="AD169" s="1" t="n">
        <x:f t="shared" si="203">(V169*AE169+W169*AF169+X169*AG169)*PRODUCT(Y169:AC169)</x:f>
        <x:v>1.6930962413652701</x:v>
      </x:c>
      <x:c r="AE169" s="2" t="n">
        <x:f t="shared" si="204">1+AE$9*($H$10*H169+$I$10*I169+$J$10*J169+$K$10*K169+$L$10*L169)</x:f>
        <x:v>1</x:v>
      </x:c>
      <x:c r="AF169" s="2" t="n">
        <x:f t="shared" si="205">1+AF$9*($H$10*H169+$I$10*I169+$J$10*J169+$K$10*K169+$L$10*L169)</x:f>
        <x:v>1.1586674508826988</x:v>
      </x:c>
      <x:c r="AG169" s="2" t="n">
        <x:f t="shared" si="206">1+AG$9*($H$10*H169+$I$10*I169+$J$10*J169+$K$10*K169+$L$10*L169)</x:f>
        <x:v>1.281193982397674</x:v>
      </x:c>
      <x:c r="AH169" s="2" t="n">
        <x:f>MIN(1,'_曲线基线'!$L$3+AH$9*($H$10*H169+$I$10*I169+$J$10*J169+$K$10*K169+$L$10*L169))</x:f>
        <x:v>0.4109684507581394</x:v>
      </x:c>
      <x:c r="AI169" s="2" t="n">
        <x:f>'_曲线基线'!$L$4+AI$9*($H$10*H169+$I$10*I169+$J$10*J169+$K$10*K169+$L$10*L169)</x:f>
        <x:v>3.0055549699691024</x:v>
      </x:c>
      <x:c r="AJ169" s="2" t="n">
        <x:f t="shared" si="207">1+AJ$9*($H$10*H169+$I$10*I169+$J$10*J169+$K$10*K169+$L$10*L169)</x:f>
        <x:v>1.825070744590033</x:v>
      </x:c>
      <x:c r="AK169" s="1" t="n">
        <x:f t="shared" si="208">(1+AH169*(AI169-1))*AJ169</x:f>
        <x:v>3.3293302232094613</x:v>
      </x:c>
      <x:c r="AL169" s="1" t="n">
        <x:f t="shared" si="209">U169*AD169*AK169*F169</x:f>
        <x:v>1103860.5600125554</x:v>
      </x:c>
      <x:c r="AM169" s="13" t="n">
        <x:f t="shared" si="210">IF($B169&lt;AM$8,0,AM$3+(AM$4-AM$3)*(POWER(AM$5,$B169-AM$8)-1)/(POWER(AM$5,$C$5-AM$8)-1))</x:f>
        <x:v>40.060164894218715</x:v>
      </x:c>
      <x:c r="AN169" s="13" t="n">
        <x:f>(((E169*'模块规划'!$D$10+G169*'模块规划'!$D$11+H169*'模块规划'!$D$13)*(1+'模块规划'!$G$14*H169)+(I169*'模块规划'!$D$15+J169*'模块规划'!$D$17+K169*'模块规划'!$D$16+L169*'模块规划'!$D$18))*(1+'模块规划'!$J$17*J169))*F169/(1-Q169)</x:f>
        <x:v>1647181.9663091586</x:v>
      </x:c>
      <x:c r="AO169" s="1" t="n">
        <x:f t="shared" si="211">AL169*AM169</x:f>
        <x:v>44220836.054327585</x:v>
      </x:c>
      <x:c r="AP169" s="1" t="n">
        <x:f>IF(AO169="","",INDEX('_曲线基线'!$A$3:$A$502,MIN(ROWS('_曲线基线'!$A$3:$A$502),COUNTIF('_曲线基线'!$E$3:$E$502,"&lt;"&amp;AO169)+1)))</x:f>
        <x:v>233</x:v>
      </x:c>
      <x:c r="AQ169" s="14" t="n">
        <x:f t="shared" si="212">IF(B169&lt;=2,1,IF(B169&lt;=6,2,IF(B169&lt;=9,3,IF(B169&lt;=19,4,5))))</x:f>
        <x:v>5</x:v>
      </x:c>
      <x:c r="AR169" s="10" t="n">
        <x:f t="shared" si="213">AN169*(1-Q169)/F169*$AS$3+U169*$AS$4+P169*$AS$5</x:f>
        <x:v>12566.56388066721</x:v>
      </x:c>
      <x:c r="AS169" s="15" t="n">
        <x:f t="shared" si="214">1+AH169*$AS$6+AI169*$AS$7+(AJ169-1)*$AS$8+($H$10*H169+$I$10*I169+$J$10*J169+$K$10*K169+$L$10*L169)*$AU$3*$AS$9+($H$10*H169+$I$10*I169+$J$10*J169+$K$10*K169+$L$10*L169)*$AU$4*$AS$10</x:f>
        <x:v>14.462140476132308</x:v>
      </x:c>
      <x:c r="AT169" s="16" t="n">
        <x:f t="shared" si="215">ROUND(AR169*AS169,0)</x:f>
        <x:v>181739</x:v>
      </x:c>
      <x:c r="AU169" s="16" t="n">
        <x:f t="shared" si="216">ROUND(AT169*F169,0)</x:f>
        <x:v>908695</x:v>
      </x:c>
      <x:c r="AV169" t="n">
        <x:f>IF(AU169&gt;0,ROUND(AU169,-MAX(0,INT(LOG10(AU169))-2)),0)</x:f>
        <x:v>909000</x:v>
      </x:c>
    </x:row>
    <x:row r="170" customHeight="1">
      <x:c r="A170" s="1" t="str">
        <x:f>IFERROR(XLOOKUP(B170,'_曲线基线'!$G$3:$G$107,'_曲线基线'!$J$3:$J$107,""),"")</x:f>
      </x:c>
      <x:c r="B170" s="1" t="n">
        <x:v>159</x:v>
      </x:c>
      <x:c r="C170" s="1" t="n">
        <x:f t="shared" si="161">C155+1</x:f>
        <x:v>11</x:v>
      </x:c>
      <x:c r="D170" s="1" t="n">
        <x:f t="shared" si="162">D155</x:f>
        <x:v>15</x:v>
      </x:c>
      <x:c r="E170" s="1" t="n">
        <x:f t="shared" si="188">IF($B170&lt;E$8,0,E$3+(E$4-E$3)*(POWER(E$5,$B170-E$8)-1)/(POWER(E$5,$C$5-E$8)-1))</x:f>
        <x:v>1</x:v>
      </x:c>
      <x:c r="F170" s="10" t="n">
        <x:f t="shared" si="189">1+IF(B170&lt;3,0,MIN(1,(B170-2)/4))+IF(B170&lt;7,0,MIN(1,(B170-6)/3))+IF(B170&lt;10,0,MIN(1,(B170-9)/5))+IF(B170&lt;20,0,MIN(1,(B170-19)/10))</x:f>
        <x:v>5</x:v>
      </x:c>
      <x:c r="G170" s="11" t="n">
        <x:f t="shared" ref="G170:L170" si="246">'玩家战力_节点'!G170</x:f>
        <x:v>0.735680708766481</x:v>
      </x:c>
      <x:c r="H170" s="11" t="n">
        <x:f t="shared" si="246">'玩家战力_节点'!H170</x:f>
        <x:v>0.5757334473706323</x:v>
      </x:c>
      <x:c r="I170" s="11" t="n">
        <x:f t="shared" si="246">'玩家战力_节点'!I170</x:f>
        <x:v>0.4677552331837217</x:v>
      </x:c>
      <x:c r="J170" s="11" t="n">
        <x:f t="shared" si="246">'玩家战力_节点'!J170</x:f>
        <x:v>0.4626123394476645</x:v>
      </x:c>
      <x:c r="K170" s="11" t="n">
        <x:f t="shared" si="246">'玩家战力_节点'!K170</x:f>
        <x:v>0.387189896080877</x:v>
      </x:c>
      <x:c r="L170" s="11" t="n">
        <x:f t="shared" si="246">'玩家战力_节点'!L170</x:f>
        <x:v>0.568146426486449</x:v>
      </x:c>
      <x:c r="M170" s="2" t="n">
        <x:f>E170*'模块规划'!$F$10+G170*'模块规划'!$F$11+H170*'模块规划'!$F$13</x:f>
        <x:v>4531.267402079109</x:v>
      </x:c>
      <x:c r="N170" s="2" t="n">
        <x:f>I170*'模块规划'!$F$15+J170*'模块规划'!$F$17+K170*'模块规划'!$F$16+L170*'模块规划'!$F$18</x:f>
        <x:v>13532.036768863927</x:v>
      </x:c>
      <x:c r="O170" s="2" t="n">
        <x:f t="shared" si="191">1+O$9*SUMPRODUCT($H$10:$L$10,H170:L170)/SUM($H$10:$L$10)</x:f>
        <x:v>2.8062967291581025</x:v>
      </x:c>
      <x:c r="P170" s="12" t="n">
        <x:f t="shared" si="192">M170*O170+N170</x:f>
        <x:v>26248.117658259263</x:v>
      </x:c>
      <x:c r="Q170" s="7" t="n">
        <x:f>P170/(P170+'_曲线基线'!$L$2)</x:f>
        <x:v>0.5223701679090634</x:v>
      </x:c>
      <x:c r="R170" s="2" t="n">
        <x:f>E170*'模块规划'!$E$10+G170*'模块规划'!$E$11+H170*'模块规划'!$E$13</x:f>
        <x:v>6796.901103118663</x:v>
      </x:c>
      <x:c r="S170" s="2" t="n">
        <x:f>I170*'模块规划'!$E$15+J170*'模块规划'!$E$17+K170*'模块规划'!$E$16+L170*'模块规划'!$E$18</x:f>
        <x:v>20298.05515329589</x:v>
      </x:c>
      <x:c r="T170" s="2" t="n">
        <x:f t="shared" si="193">1+T$9*SUMPRODUCT($H$10:$L$10,H170:L170)/SUM($H$10:$L$10)</x:f>
        <x:v>2.8062967291581025</x:v>
      </x:c>
      <x:c r="U170" s="12" t="n">
        <x:f t="shared" si="194">R170*T170+S170</x:f>
        <x:v>39372.17648738889</x:v>
      </x:c>
      <x:c r="V170" s="2" t="n">
        <x:f t="shared" si="195">V$8+(V$9-V$8)*H170</x:f>
        <x:v>0.8727200342111896</x:v>
      </x:c>
      <x:c r="W170" s="2" t="n">
        <x:f t="shared" si="196">IF(B170&lt;$H$8,0,W$8+(W$9-W$8)*H170)</x:f>
        <x:v>0.2302933789482529</x:v>
      </x:c>
      <x:c r="X170" s="2" t="n">
        <x:f t="shared" si="197">X$8+(X$9-X$8)*H170</x:f>
        <x:v>0.4333266980269239</x:v>
      </x:c>
      <x:c r="Y170" s="2" t="n">
        <x:f t="shared" si="198">Y$8+(Y$9-Y$8)*G170</x:f>
        <x:v>1</x:v>
      </x:c>
      <x:c r="Z170" s="2" t="n">
        <x:f t="shared" si="199">Z$8+(Z$9-Z$8)*H170</x:f>
        <x:v>1</x:v>
      </x:c>
      <x:c r="AA170" s="2" t="n">
        <x:f t="shared" si="200">AA$8+(AA$9-AA$8)*I170</x:f>
        <x:v>1</x:v>
      </x:c>
      <x:c r="AB170" s="2" t="n">
        <x:f t="shared" si="201">AB$8+(AB$9-AB$8)*J170</x:f>
        <x:v>1</x:v>
      </x:c>
      <x:c r="AC170" s="2" t="n">
        <x:f t="shared" si="202">AC$8+(AC$9-AC$8)*MAX(K170,L170)</x:f>
        <x:v>1</x:v>
      </x:c>
      <x:c r="AD170" s="1" t="n">
        <x:f t="shared" si="203">(V170*AE170+W170*AF170+X170*AG170)*PRODUCT(Y170:AC170)</x:f>
        <x:v>1.6954823992670063</x:v>
      </x:c>
      <x:c r="AE170" s="2" t="n">
        <x:f t="shared" si="204">1+AE$9*($H$10*H170+$I$10*I170+$J$10*J170+$K$10*K170+$L$10*L170)</x:f>
        <x:v>1</x:v>
      </x:c>
      <x:c r="AF170" s="2" t="n">
        <x:f t="shared" si="205">1+AF$9*($H$10*H170+$I$10*I170+$J$10*J170+$K$10*K170+$L$10*L170)</x:f>
        <x:v>1.1594221404682052</x:v>
      </x:c>
      <x:c r="AG170" s="2" t="n">
        <x:f t="shared" si="206">1+AG$9*($H$10*H170+$I$10*I170+$J$10*J170+$K$10*K170+$L$10*L170)</x:f>
        <x:v>1.282531460051988</x:v>
      </x:c>
      <x:c r="AH170" s="2" t="n">
        <x:f>MIN(1,'_曲线基线'!$L$3+AH$9*($H$10*H170+$I$10*I170+$J$10*J170+$K$10*K170+$L$10*L170))</x:f>
        <x:v>0.41268536956516627</x:v>
      </x:c>
      <x:c r="AI170" s="2" t="n">
        <x:f>'_曲线基线'!$L$4+AI$9*($H$10*H170+$I$10*I170+$J$10*J170+$K$10*K170+$L$10*L170)</x:f>
        <x:v>3.010337815217249</x:v>
      </x:c>
      <x:c r="AJ170" s="2" t="n">
        <x:f t="shared" si="207">1+AJ$9*($H$10*H170+$I$10*I170+$J$10*J170+$K$10*K170+$L$10*L170)</x:f>
        <x:v>1.8289951304346659</x:v>
      </x:c>
      <x:c r="AK170" s="1" t="n">
        <x:f t="shared" si="208">(1+AH170*(AI170-1))*AJ170</x:f>
        <x:v>3.3463971711883262</x:v>
      </x:c>
      <x:c r="AL170" s="1" t="n">
        <x:f t="shared" si="209">U170*AD170*AK170*F170</x:f>
        <x:v>1116940.9091097983</x:v>
      </x:c>
      <x:c r="AM170" s="13" t="n">
        <x:f t="shared" si="210">IF($B170&lt;AM$8,0,AM$3+(AM$4-AM$3)*(POWER(AM$5,$B170-AM$8)-1)/(POWER(AM$5,$C$5-AM$8)-1))</x:f>
        <x:v>40.12419118308277</x:v>
      </x:c>
      <x:c r="AN170" s="13" t="n">
        <x:f>(((E170*'模块规划'!$D$10+G170*'模块规划'!$D$11+H170*'模块规划'!$D$13)*(1+'模块规划'!$G$14*H170)+(I170*'模块规划'!$D$15+J170*'模块规划'!$D$17+K170*'模块规划'!$D$16+L170*'模块规划'!$D$18))*(1+'模块规划'!$J$17*J170))*F170/(1-Q170)</x:f>
        <x:v>1661443.9738878405</x:v>
      </x:c>
      <x:c r="AO170" s="1" t="n">
        <x:f t="shared" si="211">AL170*AM170</x:f>
        <x:v>44816350.577327825</x:v>
      </x:c>
      <x:c r="AP170" s="1" t="n">
        <x:f>IF(AO170="","",INDEX('_曲线基线'!$A$3:$A$502,MIN(ROWS('_曲线基线'!$A$3:$A$502),COUNTIF('_曲线基线'!$E$3:$E$502,"&lt;"&amp;AO170)+1)))</x:f>
        <x:v>234</x:v>
      </x:c>
      <x:c r="AQ170" s="14" t="n">
        <x:f t="shared" si="212">IF(B170&lt;=2,1,IF(B170&lt;=6,2,IF(B170&lt;=9,3,IF(B170&lt;=19,4,5))))</x:f>
        <x:v>5</x:v>
      </x:c>
      <x:c r="AR170" s="10" t="n">
        <x:f t="shared" si="213">AN170*(1-Q170)/F170*$AS$3+U170*$AS$4+P170*$AS$5</x:f>
        <x:v>12635.766535137065</x:v>
      </x:c>
      <x:c r="AS170" s="15" t="n">
        <x:f t="shared" si="214">1+AH170*$AS$6+AI170*$AS$7+(AJ170-1)*$AS$8+($H$10*H170+$I$10*I170+$J$10*J170+$K$10*K170+$L$10*L170)*$AU$3*$AS$9+($H$10*H170+$I$10*I170+$J$10*J170+$K$10*K170+$L$10*L170)*$AU$4*$AS$10</x:f>
        <x:v>14.507234036382355</x:v>
      </x:c>
      <x:c r="AT170" s="16" t="n">
        <x:f t="shared" si="215">ROUND(AR170*AS170,0)</x:f>
        <x:v>183310</x:v>
      </x:c>
      <x:c r="AU170" s="16" t="n">
        <x:f t="shared" si="216">ROUND(AT170*F170,0)</x:f>
        <x:v>916550</x:v>
      </x:c>
      <x:c r="AV170" t="n">
        <x:f>IF(AU170&gt;0,ROUND(AU170,-MAX(0,INT(LOG10(AU170))-2)),0)</x:f>
        <x:v>917000</x:v>
      </x:c>
    </x:row>
    <x:row r="171" customHeight="1">
      <x:c r="A171" s="1" t="str">
        <x:f>IFERROR(XLOOKUP(B171,'_曲线基线'!$G$3:$G$107,'_曲线基线'!$J$3:$J$107,""),"")</x:f>
      </x:c>
      <x:c r="B171" s="1" t="n">
        <x:v>160</x:v>
      </x:c>
      <x:c r="C171" s="1" t="n">
        <x:f t="shared" si="161">C156+1</x:f>
        <x:v>12</x:v>
      </x:c>
      <x:c r="D171" s="1" t="n">
        <x:f t="shared" si="162">D156</x:f>
        <x:v>1</x:v>
      </x:c>
      <x:c r="E171" s="1" t="n">
        <x:f t="shared" si="188">IF($B171&lt;E$8,0,E$3+(E$4-E$3)*(POWER(E$5,$B171-E$8)-1)/(POWER(E$5,$C$5-E$8)-1))</x:f>
        <x:v>1</x:v>
      </x:c>
      <x:c r="F171" s="10" t="n">
        <x:f t="shared" si="189">1+IF(B171&lt;3,0,MIN(1,(B171-2)/4))+IF(B171&lt;7,0,MIN(1,(B171-6)/3))+IF(B171&lt;10,0,MIN(1,(B171-9)/5))+IF(B171&lt;20,0,MIN(1,(B171-19)/10))</x:f>
        <x:v>5</x:v>
      </x:c>
      <x:c r="G171" s="11" t="n">
        <x:f t="shared" ref="G171:L171" si="247">'玩家战力_节点'!G171</x:f>
        <x:v>0.7375141648631718</x:v>
      </x:c>
      <x:c r="H171" s="11" t="n">
        <x:f t="shared" si="247">'玩家战力_节点'!H171</x:f>
        <x:v>0.5771102311700564</x:v>
      </x:c>
      <x:c r="I171" s="11" t="n">
        <x:f t="shared" si="247">'玩家战力_节点'!I171</x:f>
        <x:v>0.47015129749801066</x:v>
      </x:c>
      <x:c r="J171" s="11" t="n">
        <x:f t="shared" si="247">'玩家战力_节点'!J171</x:f>
        <x:v>0.46419802072231087</x:v>
      </x:c>
      <x:c r="K171" s="11" t="n">
        <x:f t="shared" si="247">'玩家战力_节点'!K171</x:f>
        <x:v>0.39122157613075653</x:v>
      </x:c>
      <x:c r="L171" s="11" t="n">
        <x:f t="shared" si="247">'玩家战力_节点'!L171</x:f>
        <x:v>0.5696537378737362</x:v>
      </x:c>
      <x:c r="M171" s="2" t="n">
        <x:f>E171*'模块规划'!$F$10+G171*'模块规划'!$F$11+H171*'模块规划'!$F$13</x:f>
        <x:v>4540.067991343225</x:v>
      </x:c>
      <x:c r="N171" s="2" t="n">
        <x:f>I171*'模块规划'!$F$15+J171*'模块规划'!$F$17+K171*'模块规划'!$F$16+L171*'模块规划'!$F$18</x:f>
        <x:v>13598.788733360414</x:v>
      </x:c>
      <x:c r="O171" s="2" t="n">
        <x:f t="shared" si="191">1+O$9*SUMPRODUCT($H$10:$L$10,H171:L171)/SUM($H$10:$L$10)</x:f>
        <x:v>2.8141541953147664</x:v>
      </x:c>
      <x:c r="P171" s="12" t="n">
        <x:f t="shared" si="192">M171*O171+N171</x:f>
        <x:v>26375.240118213234</x:v>
      </x:c>
      <x:c r="Q171" s="7" t="n">
        <x:f>P171/(P171+'_曲线基线'!$L$2)</x:f>
        <x:v>0.5235754719246933</x:v>
      </x:c>
      <x:c r="R171" s="2" t="n">
        <x:f>E171*'模块规划'!$E$10+G171*'模块规划'!$E$11+H171*'模块规划'!$E$13</x:f>
        <x:v>6810.101987014837</x:v>
      </x:c>
      <x:c r="S171" s="2" t="n">
        <x:f>I171*'模块规划'!$E$15+J171*'模块规划'!$E$17+K171*'模块规划'!$E$16+L171*'模块规划'!$E$18</x:f>
        <x:v>20398.183100040624</x:v>
      </x:c>
      <x:c r="T171" s="2" t="n">
        <x:f t="shared" si="193">1+T$9*SUMPRODUCT($H$10:$L$10,H171:L171)/SUM($H$10:$L$10)</x:f>
        <x:v>2.8141541953147664</x:v>
      </x:c>
      <x:c r="U171" s="12" t="n">
        <x:f t="shared" si="194">R171*T171+S171</x:f>
        <x:v>39562.86017731985</x:v>
      </x:c>
      <x:c r="V171" s="2" t="n">
        <x:f t="shared" si="195">V$8+(V$9-V$8)*H171</x:f>
        <x:v>0.8731330693510169</x:v>
      </x:c>
      <x:c r="W171" s="2" t="n">
        <x:f t="shared" si="196">IF(B171&lt;$H$8,0,W$8+(W$9-W$8)*H171)</x:f>
        <x:v>0.2308440924680226</x:v>
      </x:c>
      <x:c r="X171" s="2" t="n">
        <x:f t="shared" si="197">X$8+(X$9-X$8)*H171</x:f>
        <x:v>0.43370531357176556</x:v>
      </x:c>
      <x:c r="Y171" s="2" t="n">
        <x:f t="shared" si="198">Y$8+(Y$9-Y$8)*G171</x:f>
        <x:v>1</x:v>
      </x:c>
      <x:c r="Z171" s="2" t="n">
        <x:f t="shared" si="199">Z$8+(Z$9-Z$8)*H171</x:f>
        <x:v>1</x:v>
      </x:c>
      <x:c r="AA171" s="2" t="n">
        <x:f t="shared" si="200">AA$8+(AA$9-AA$8)*I171</x:f>
        <x:v>1</x:v>
      </x:c>
      <x:c r="AB171" s="2" t="n">
        <x:f t="shared" si="201">AB$8+(AB$9-AB$8)*J171</x:f>
        <x:v>1</x:v>
      </x:c>
      <x:c r="AC171" s="2" t="n">
        <x:f t="shared" si="202">AC$8+(AC$9-AC$8)*MAX(K171,L171)</x:f>
        <x:v>1</x:v>
      </x:c>
      <x:c r="AD171" s="1" t="n">
        <x:f t="shared" si="203">(V171*AE171+W171*AF171+X171*AG171)*PRODUCT(Y171:AC171)</x:f>
        <x:v>1.6977126530405098</x:v>
      </x:c>
      <x:c r="AE171" s="2" t="n">
        <x:f t="shared" si="204">1+AE$9*($H$10*H171+$I$10*I171+$J$10*J171+$K$10*K171+$L$10*L171)</x:f>
        <x:v>1</x:v>
      </x:c>
      <x:c r="AF171" s="2" t="n">
        <x:f t="shared" si="205">1+AF$9*($H$10*H171+$I$10*I171+$J$10*J171+$K$10*K171+$L$10*L171)</x:f>
        <x:v>1.1601156334326395</x:v>
      </x:c>
      <x:c r="AG171" s="2" t="n">
        <x:f t="shared" si="206">1+AG$9*($H$10*H171+$I$10*I171+$J$10*J171+$K$10*K171+$L$10*L171)</x:f>
        <x:v>1.2837604836945131</x:v>
      </x:c>
      <x:c r="AH171" s="2" t="n">
        <x:f>MIN(1,'_曲线基线'!$L$3+AH$9*($H$10*H171+$I$10*I171+$J$10*J171+$K$10*K171+$L$10*L171))</x:f>
        <x:v>0.41426306605925434</x:v>
      </x:c>
      <x:c r="AI171" s="2" t="n">
        <x:f>'_曲线基线'!$L$4+AI$9*($H$10*H171+$I$10*I171+$J$10*J171+$K$10*K171+$L$10*L171)</x:f>
        <x:v>3.014732826879351</x:v>
      </x:c>
      <x:c r="AJ171" s="2" t="n">
        <x:f t="shared" si="207">1+AJ$9*($H$10*H171+$I$10*I171+$J$10*J171+$K$10*K171+$L$10*L171)</x:f>
        <x:v>1.8326012938497245</x:v>
      </x:c>
      <x:c r="AK171" s="1" t="n">
        <x:f t="shared" si="208">(1+AH171*(AI171-1))*AJ171</x:f>
        <x:v>3.3621442087904216</x:v>
      </x:c>
      <x:c r="AL171" s="1" t="n">
        <x:f t="shared" si="209">U171*AD171*AK171*F171</x:f>
        <x:v>1129115.0812537342</x:v>
      </x:c>
      <x:c r="AM171" s="13" t="n">
        <x:f t="shared" si="210">IF($B171&lt;AM$8,0,AM$3+(AM$4-AM$3)*(POWER(AM$5,$B171-AM$8)-1)/(POWER(AM$5,$C$5-AM$8)-1))</x:f>
        <x:v>40.188857734835466</x:v>
      </x:c>
      <x:c r="AN171" s="13" t="n">
        <x:f>(((E171*'模块规划'!$D$10+G171*'模块规划'!$D$11+H171*'模块规划'!$D$13)*(1+'模块规划'!$G$14*H171)+(I171*'模块规划'!$D$15+J171*'模块规划'!$D$17+K171*'模块规划'!$D$16+L171*'模块规划'!$D$18))*(1+'模块规划'!$J$17*J171))*F171/(1-Q171)</x:f>
        <x:v>1674690.4784511023</x:v>
      </x:c>
      <x:c r="AO171" s="1" t="n">
        <x:f t="shared" si="211">AL171*AM171</x:f>
        <x:v>45377845.36676351</x:v>
      </x:c>
      <x:c r="AP171" s="1" t="n">
        <x:f>IF(AO171="","",INDEX('_曲线基线'!$A$3:$A$502,MIN(ROWS('_曲线基线'!$A$3:$A$502),COUNTIF('_曲线基线'!$E$3:$E$502,"&lt;"&amp;AO171)+1)))</x:f>
        <x:v>235</x:v>
      </x:c>
      <x:c r="AQ171" s="14" t="n">
        <x:f t="shared" si="212">IF(B171&lt;=2,1,IF(B171&lt;=6,2,IF(B171&lt;=9,3,IF(B171&lt;=19,4,5))))</x:f>
        <x:v>5</x:v>
      </x:c>
      <x:c r="AR171" s="10" t="n">
        <x:f t="shared" si="213">AN171*(1-Q171)/F171*$AS$3+U171*$AS$4+P171*$AS$5</x:f>
        <x:v>12699.753760673626</x:v>
      </x:c>
      <x:c r="AS171" s="15" t="n">
        <x:f t="shared" si="214">1+AH171*$AS$6+AI171*$AS$7+(AJ171-1)*$AS$8+($H$10*H171+$I$10*I171+$J$10*J171+$K$10*K171+$L$10*L171)*$AU$3*$AS$9+($H$10*H171+$I$10*I171+$J$10*J171+$K$10*K171+$L$10*L171)*$AU$4*$AS$10</x:f>
        <x:v>14.548671028988686</x:v>
      </x:c>
      <x:c r="AT171" s="16" t="n">
        <x:f t="shared" si="215">ROUND(AR171*AS171,0)</x:f>
        <x:v>184765</x:v>
      </x:c>
      <x:c r="AU171" s="16" t="n">
        <x:f t="shared" si="216">ROUND(AT171*F171,0)</x:f>
        <x:v>923825</x:v>
      </x:c>
      <x:c r="AV171" t="n">
        <x:f>IF(AU171&gt;0,ROUND(AU171,-MAX(0,INT(LOG10(AU171))-2)),0)</x:f>
        <x:v>924000</x:v>
      </x:c>
    </x:row>
    <x:row r="172" customHeight="1">
      <x:c r="A172" s="1" t="str">
        <x:f>IFERROR(XLOOKUP(B172,'_曲线基线'!$G$3:$G$107,'_曲线基线'!$J$3:$J$107,""),"")</x:f>
      </x:c>
      <x:c r="B172" s="1" t="n">
        <x:v>161</x:v>
      </x:c>
      <x:c r="C172" s="1" t="n">
        <x:f t="shared" si="161">C157+1</x:f>
        <x:v>12</x:v>
      </x:c>
      <x:c r="D172" s="1" t="n">
        <x:f t="shared" si="162">D157</x:f>
        <x:v>2</x:v>
      </x:c>
      <x:c r="E172" s="1" t="n">
        <x:f t="shared" si="188">IF($B172&lt;E$8,0,E$3+(E$4-E$3)*(POWER(E$5,$B172-E$8)-1)/(POWER(E$5,$C$5-E$8)-1))</x:f>
        <x:v>1</x:v>
      </x:c>
      <x:c r="F172" s="10" t="n">
        <x:f t="shared" si="189">1+IF(B172&lt;3,0,MIN(1,(B172-2)/4))+IF(B172&lt;7,0,MIN(1,(B172-6)/3))+IF(B172&lt;10,0,MIN(1,(B172-9)/5))+IF(B172&lt;20,0,MIN(1,(B172-19)/10))</x:f>
        <x:v>5</x:v>
      </x:c>
      <x:c r="G172" s="11" t="n">
        <x:f t="shared" ref="G172:L172" si="248">'玩家战力_节点'!G172</x:f>
        <x:v>0.7392606874928543</x:v>
      </x:c>
      <x:c r="H172" s="11" t="n">
        <x:f t="shared" si="248">'玩家战力_节点'!H172</x:f>
        <x:v>0.5784144159152235</x:v>
      </x:c>
      <x:c r="I172" s="11" t="n">
        <x:f t="shared" si="248">'玩家战力_节点'!I172</x:f>
        <x:v>0.4723606973749513</x:v>
      </x:c>
      <x:c r="J172" s="11" t="n">
        <x:f t="shared" si="248">'玩家战力_节点'!J172</x:f>
        <x:v>0.46568992189378183</x:v>
      </x:c>
      <x:c r="K172" s="11" t="n">
        <x:f t="shared" si="248">'玩家战力_节点'!K172</x:f>
        <x:v>0.39486144293794145</x:v>
      </x:c>
      <x:c r="L172" s="11" t="n">
        <x:f t="shared" si="248">'玩家战力_节点'!L172</x:f>
        <x:v>0.5710741311166172</x:v>
      </x:c>
      <x:c r="M172" s="2" t="n">
        <x:f>E172*'模块规划'!$F$10+G172*'模块规划'!$F$11+H172*'模块规划'!$F$13</x:f>
        <x:v>4548.451299965701</x:v>
      </x:c>
      <x:c r="N172" s="2" t="n">
        <x:f>I172*'模块规划'!$F$15+J172*'模块规划'!$F$17+K172*'模块规划'!$F$16+L172*'模块规划'!$F$18</x:f>
        <x:v>13660.324111148166</x:v>
      </x:c>
      <x:c r="O172" s="2" t="n">
        <x:f t="shared" si="191">1+O$9*SUMPRODUCT($H$10:$L$10,H172:L172)/SUM($H$10:$L$10)</x:f>
        <x:v>2.8214301244199858</x:v>
      </x:c>
      <x:c r="P172" s="12" t="n">
        <x:f t="shared" si="192">M172*O172+N172</x:f>
        <x:v>26493.461628328638</x:v>
      </x:c>
      <x:c r="Q172" s="7" t="n">
        <x:f>P172/(P172+'_曲线基线'!$L$2)</x:f>
        <x:v>0.5246909356966102</x:v>
      </x:c>
      <x:c r="R172" s="2" t="n">
        <x:f>E172*'模块规划'!$E$10+G172*'模块规划'!$E$11+H172*'模块规划'!$E$13</x:f>
        <x:v>6822.676949948551</x:v>
      </x:c>
      <x:c r="S172" s="2" t="n">
        <x:f>I172*'模块规划'!$E$15+J172*'模块规划'!$E$17+K172*'模块规划'!$E$16+L172*'模块规划'!$E$18</x:f>
        <x:v>20490.486166722247</x:v>
      </x:c>
      <x:c r="T172" s="2" t="n">
        <x:f t="shared" si="193">1+T$9*SUMPRODUCT($H$10:$L$10,H172:L172)/SUM($H$10:$L$10)</x:f>
        <x:v>2.8214301244199858</x:v>
      </x:c>
      <x:c r="U172" s="12" t="n">
        <x:f t="shared" si="194">R172*T172+S172</x:f>
        <x:v>39740.19244249296</x:v>
      </x:c>
      <x:c r="V172" s="2" t="n">
        <x:f t="shared" si="195">V$8+(V$9-V$8)*H172</x:f>
        <x:v>0.873524324774567</x:v>
      </x:c>
      <x:c r="W172" s="2" t="n">
        <x:f t="shared" si="196">IF(B172&lt;$H$8,0,W$8+(W$9-W$8)*H172)</x:f>
        <x:v>0.2313657663660894</x:v>
      </x:c>
      <x:c r="X172" s="2" t="n">
        <x:f t="shared" si="197">X$8+(X$9-X$8)*H172</x:f>
        <x:v>0.4340639643766865</x:v>
      </x:c>
      <x:c r="Y172" s="2" t="n">
        <x:f t="shared" si="198">Y$8+(Y$9-Y$8)*G172</x:f>
        <x:v>1</x:v>
      </x:c>
      <x:c r="Z172" s="2" t="n">
        <x:f t="shared" si="199">Z$8+(Z$9-Z$8)*H172</x:f>
        <x:v>1</x:v>
      </x:c>
      <x:c r="AA172" s="2" t="n">
        <x:f t="shared" si="200">AA$8+(AA$9-AA$8)*I172</x:f>
        <x:v>1</x:v>
      </x:c>
      <x:c r="AB172" s="2" t="n">
        <x:f t="shared" si="201">AB$8+(AB$9-AB$8)*J172</x:f>
        <x:v>1</x:v>
      </x:c>
      <x:c r="AC172" s="2" t="n">
        <x:f t="shared" si="202">AC$8+(AC$9-AC$8)*MAX(K172,L172)</x:f>
        <x:v>1</x:v>
      </x:c>
      <x:c r="AD172" s="1" t="n">
        <x:f t="shared" si="203">(V172*AE172+W172*AF172+X172*AG172)*PRODUCT(Y172:AC172)</x:f>
        <x:v>1.6998120996978319</x:v>
      </x:c>
      <x:c r="AE172" s="2" t="n">
        <x:f t="shared" si="204">1+AE$9*($H$10*H172+$I$10*I172+$J$10*J172+$K$10*K172+$L$10*L172)</x:f>
        <x:v>1</x:v>
      </x:c>
      <x:c r="AF172" s="2" t="n">
        <x:f t="shared" si="205">1+AF$9*($H$10*H172+$I$10*I172+$J$10*J172+$K$10*K172+$L$10*L172)</x:f>
        <x:v>1.1607578004548815</x:v>
      </x:c>
      <x:c r="AG172" s="2" t="n">
        <x:f t="shared" si="206">1+AG$9*($H$10*H172+$I$10*I172+$J$10*J172+$K$10*K172+$L$10*L172)</x:f>
        <x:v>1.2848985463617089</x:v>
      </x:c>
      <x:c r="AH172" s="2" t="n">
        <x:f>MIN(1,'_曲线基线'!$L$3+AH$9*($H$10*H172+$I$10*I172+$J$10*J172+$K$10*K172+$L$10*L172))</x:f>
        <x:v>0.41572399603485494</x:v>
      </x:c>
      <x:c r="AI172" s="2" t="n">
        <x:f>'_曲线基线'!$L$4+AI$9*($H$10*H172+$I$10*I172+$J$10*J172+$K$10*K172+$L$10*L172)</x:f>
        <x:v>3.0188025603828104</x:v>
      </x:c>
      <x:c r="AJ172" s="2" t="n">
        <x:f t="shared" si="207">1+AJ$9*($H$10*H172+$I$10*I172+$J$10*J172+$K$10*K172+$L$10*L172)</x:f>
        <x:v>1.8359405623653828</x:v>
      </x:c>
      <x:c r="AK172" s="1" t="n">
        <x:f t="shared" si="208">(1+AH172*(AI172-1))*AJ172</x:f>
        <x:v>3.37678060818653</x:v>
      </x:c>
      <x:c r="AL172" s="1" t="n">
        <x:f t="shared" si="209">U172*AD172*AK172*F172</x:f>
        <x:v>1140522.1698636715</x:v>
      </x:c>
      <x:c r="AM172" s="13" t="n">
        <x:f t="shared" si="210">IF($B172&lt;AM$8,0,AM$3+(AM$4-AM$3)*(POWER(AM$5,$B172-AM$8)-1)/(POWER(AM$5,$C$5-AM$8)-1))</x:f>
        <x:v>40.25417095210569</x:v>
      </x:c>
      <x:c r="AN172" s="13" t="n">
        <x:f>(((E172*'模块规划'!$D$10+G172*'模块规划'!$D$11+H172*'模块规划'!$D$13)*(1+'模块规划'!$G$14*H172)+(I172*'模块规划'!$D$15+J172*'模块规划'!$D$17+K172*'模块规划'!$D$16+L172*'模块规划'!$D$18))*(1+'模块规划'!$J$17*J172))*F172/(1-Q172)</x:f>
        <x:v>1687078.138011301</x:v>
      </x:c>
      <x:c r="AO172" s="1" t="n">
        <x:f t="shared" si="211">AL172*AM172</x:f>
        <x:v>45910774.40035876</x:v>
      </x:c>
      <x:c r="AP172" s="1" t="n">
        <x:f>IF(AO172="","",INDEX('_曲线基线'!$A$3:$A$502,MIN(ROWS('_曲线基线'!$A$3:$A$502),COUNTIF('_曲线基线'!$E$3:$E$502,"&lt;"&amp;AO172)+1)))</x:f>
        <x:v>236</x:v>
      </x:c>
      <x:c r="AQ172" s="14" t="n">
        <x:f t="shared" si="212">IF(B172&lt;=2,1,IF(B172&lt;=6,2,IF(B172&lt;=9,3,IF(B172&lt;=19,4,5))))</x:f>
        <x:v>5</x:v>
      </x:c>
      <x:c r="AR172" s="10" t="n">
        <x:f t="shared" si="213">AN172*(1-Q172)/F172*$AS$3+U172*$AS$4+P172*$AS$5</x:f>
        <x:v>12759.33967560773</x:v>
      </x:c>
      <x:c r="AS172" s="15" t="n">
        <x:f t="shared" si="214">1+AH172*$AS$6+AI172*$AS$7+(AJ172-1)*$AS$8+($H$10*H172+$I$10*I172+$J$10*J172+$K$10*K172+$L$10*L172)*$AU$3*$AS$9+($H$10*H172+$I$10*I172+$J$10*J172+$K$10*K172+$L$10*L172)*$AU$4*$AS$10</x:f>
        <x:v>14.587041238229924</x:v>
      </x:c>
      <x:c r="AT172" s="16" t="n">
        <x:f t="shared" si="215">ROUND(AR172*AS172,0)</x:f>
        <x:v>186121</x:v>
      </x:c>
      <x:c r="AU172" s="16" t="n">
        <x:f t="shared" si="216">ROUND(AT172*F172,0)</x:f>
        <x:v>930605</x:v>
      </x:c>
      <x:c r="AV172" t="n">
        <x:f>IF(AU172&gt;0,ROUND(AU172,-MAX(0,INT(LOG10(AU172))-2)),0)</x:f>
        <x:v>931000</x:v>
      </x:c>
    </x:row>
    <x:row r="173" customHeight="1">
      <x:c r="A173" s="1" t="str">
        <x:f>IFERROR(XLOOKUP(B173,'_曲线基线'!$G$3:$G$107,'_曲线基线'!$J$3:$J$107,""),"")</x:f>
      </x:c>
      <x:c r="B173" s="1" t="n">
        <x:v>162</x:v>
      </x:c>
      <x:c r="C173" s="1" t="n">
        <x:f t="shared" si="161">C158+1</x:f>
        <x:v>12</x:v>
      </x:c>
      <x:c r="D173" s="1" t="n">
        <x:f t="shared" si="162">D158</x:f>
        <x:v>3</x:v>
      </x:c>
      <x:c r="E173" s="1" t="n">
        <x:f t="shared" si="188">IF($B173&lt;E$8,0,E$3+(E$4-E$3)*(POWER(E$5,$B173-E$8)-1)/(POWER(E$5,$C$5-E$8)-1))</x:f>
        <x:v>1</x:v>
      </x:c>
      <x:c r="F173" s="10" t="n">
        <x:f t="shared" si="189">1+IF(B173&lt;3,0,MIN(1,(B173-2)/4))+IF(B173&lt;7,0,MIN(1,(B173-6)/3))+IF(B173&lt;10,0,MIN(1,(B173-9)/5))+IF(B173&lt;20,0,MIN(1,(B173-19)/10))</x:f>
        <x:v>5</x:v>
      </x:c>
      <x:c r="G173" s="11" t="n">
        <x:f t="shared" ref="G173:L173" si="249">'玩家战力_节点'!G173</x:f>
        <x:v>0.7410072101225369</x:v>
      </x:c>
      <x:c r="H173" s="11" t="n">
        <x:f t="shared" si="249">'玩家战力_节点'!H173</x:f>
        <x:v>0.5797186006603905</x:v>
      </x:c>
      <x:c r="I173" s="11" t="n">
        <x:f t="shared" si="249">'玩家战力_节点'!I173</x:f>
        <x:v>0.474570097251892</x:v>
      </x:c>
      <x:c r="J173" s="11" t="n">
        <x:f t="shared" si="249">'玩家战力_节点'!J173</x:f>
        <x:v>0.4671818230652528</x:v>
      </x:c>
      <x:c r="K173" s="11" t="n">
        <x:f t="shared" si="249">'玩家战力_节点'!K173</x:f>
        <x:v>0.39850130974512643</x:v>
      </x:c>
      <x:c r="L173" s="11" t="n">
        <x:f t="shared" si="249">'玩家战力_节点'!L173</x:f>
        <x:v>0.5724945243594981</x:v>
      </x:c>
      <x:c r="M173" s="2" t="n">
        <x:f>E173*'模块规划'!$F$10+G173*'模块规划'!$F$11+H173*'模块规划'!$F$13</x:f>
        <x:v>4556.834608588177</x:v>
      </x:c>
      <x:c r="N173" s="2" t="n">
        <x:f>I173*'模块规划'!$F$15+J173*'模块规划'!$F$17+K173*'模块规划'!$F$16+L173*'模块规划'!$F$18</x:f>
        <x:v>13721.859488935912</x:v>
      </x:c>
      <x:c r="O173" s="2" t="n">
        <x:f t="shared" si="191">1+O$9*SUMPRODUCT($H$10:$L$10,H173:L173)/SUM($H$10:$L$10)</x:f>
        <x:v>2.8287060535252047</x:v>
      </x:c>
      <x:c r="P173" s="12" t="n">
        <x:f t="shared" si="192">M173*O173+N173</x:f>
        <x:v>26611.805131162444</x:v>
      </x:c>
      <x:c r="Q173" s="7" t="n">
        <x:f>P173/(P173+'_曲线基线'!$L$2)</x:f>
        <x:v>0.5258023313374602</x:v>
      </x:c>
      <x:c r="R173" s="2" t="n">
        <x:f>E173*'模块规划'!$E$10+G173*'模块规划'!$E$11+H173*'模块规划'!$E$13</x:f>
        <x:v>6835.251912882266</x:v>
      </x:c>
      <x:c r="S173" s="2" t="n">
        <x:f>I173*'模块规划'!$E$15+J173*'模块规划'!$E$17+K173*'模块规划'!$E$16+L173*'模块规划'!$E$18</x:f>
        <x:v>20582.78923340387</x:v>
      </x:c>
      <x:c r="T173" s="2" t="n">
        <x:f t="shared" si="193">1+T$9*SUMPRODUCT($H$10:$L$10,H173:L173)/SUM($H$10:$L$10)</x:f>
        <x:v>2.8287060535252047</x:v>
      </x:c>
      <x:c r="U173" s="12" t="n">
        <x:f t="shared" si="194">R173*T173+S173</x:f>
        <x:v>39917.70769674367</x:v>
      </x:c>
      <x:c r="V173" s="2" t="n">
        <x:f t="shared" si="195">V$8+(V$9-V$8)*H173</x:f>
        <x:v>0.8739155801981171</x:v>
      </x:c>
      <x:c r="W173" s="2" t="n">
        <x:f t="shared" si="196">IF(B173&lt;$H$8,0,W$8+(W$9-W$8)*H173)</x:f>
        <x:v>0.2318874402641562</x:v>
      </x:c>
      <x:c r="X173" s="2" t="n">
        <x:f t="shared" si="197">X$8+(X$9-X$8)*H173</x:f>
        <x:v>0.4344226151816074</x:v>
      </x:c>
      <x:c r="Y173" s="2" t="n">
        <x:f t="shared" si="198">Y$8+(Y$9-Y$8)*G173</x:f>
        <x:v>1</x:v>
      </x:c>
      <x:c r="Z173" s="2" t="n">
        <x:f t="shared" si="199">Z$8+(Z$9-Z$8)*H173</x:f>
        <x:v>1</x:v>
      </x:c>
      <x:c r="AA173" s="2" t="n">
        <x:f t="shared" si="200">AA$8+(AA$9-AA$8)*I173</x:f>
        <x:v>1</x:v>
      </x:c>
      <x:c r="AB173" s="2" t="n">
        <x:f t="shared" si="201">AB$8+(AB$9-AB$8)*J173</x:f>
        <x:v>1</x:v>
      </x:c>
      <x:c r="AC173" s="2" t="n">
        <x:f t="shared" si="202">AC$8+(AC$9-AC$8)*MAX(K173,L173)</x:f>
        <x:v>1</x:v>
      </x:c>
      <x:c r="AD173" s="1" t="n">
        <x:f t="shared" si="203">(V173*AE173+W173*AF173+X173*AG173)*PRODUCT(Y173:AC173)</x:f>
        <x:v>1.7019130326928846</x:v>
      </x:c>
      <x:c r="AE173" s="2" t="n">
        <x:f t="shared" si="204">1+AE$9*($H$10*H173+$I$10*I173+$J$10*J173+$K$10*K173+$L$10*L173)</x:f>
        <x:v>1</x:v>
      </x:c>
      <x:c r="AF173" s="2" t="n">
        <x:f t="shared" si="205">1+AF$9*($H$10*H173+$I$10*I173+$J$10*J173+$K$10*K173+$L$10*L173)</x:f>
        <x:v>1.1613999674771234</x:v>
      </x:c>
      <x:c r="AG173" s="2" t="n">
        <x:f t="shared" si="206">1+AG$9*($H$10*H173+$I$10*I173+$J$10*J173+$K$10*K173+$L$10*L173)</x:f>
        <x:v>1.2860366090289044</x:v>
      </x:c>
      <x:c r="AH173" s="2" t="n">
        <x:f>MIN(1,'_曲线基线'!$L$3+AH$9*($H$10*H173+$I$10*I173+$J$10*J173+$K$10*K173+$L$10*L173))</x:f>
        <x:v>0.4171849260104554</x:v>
      </x:c>
      <x:c r="AI173" s="2" t="n">
        <x:f>'_曲线基线'!$L$4+AI$9*($H$10*H173+$I$10*I173+$J$10*J173+$K$10*K173+$L$10*L173)</x:f>
        <x:v>3.0228722938862687</x:v>
      </x:c>
      <x:c r="AJ173" s="2" t="n">
        <x:f t="shared" si="207">1+AJ$9*($H$10*H173+$I$10*I173+$J$10*J173+$K$10*K173+$L$10*L173)</x:f>
        <x:v>1.8392798308810412</x:v>
      </x:c>
      <x:c r="AK173" s="1" t="n">
        <x:f t="shared" si="208">(1+AH173*(AI173-1))*AJ173</x:f>
        <x:v>3.391469835629729</x:v>
      </x:c>
      <x:c r="AL173" s="1" t="n">
        <x:f t="shared" si="209">U173*AD173*AK173*F173</x:f>
        <x:v>1152022.3922436177</x:v>
      </x:c>
      <x:c r="AM173" s="13" t="n">
        <x:f t="shared" si="210">IF($B173&lt;AM$8,0,AM$3+(AM$4-AM$3)*(POWER(AM$5,$B173-AM$8)-1)/(POWER(AM$5,$C$5-AM$8)-1))</x:f>
        <x:v>40.32013730154861</x:v>
      </x:c>
      <x:c r="AN173" s="13" t="n">
        <x:f>(((E173*'模块规划'!$D$10+G173*'模块规划'!$D$11+H173*'模块规划'!$D$13)*(1+'模块规划'!$G$14*H173)+(I173*'模块规划'!$D$15+J173*'模块规划'!$D$17+K173*'模块规划'!$D$16+L173*'模块规划'!$D$18))*(1+'模块规划'!$J$17*J173))*F173/(1-Q173)</x:f>
        <x:v>1699526.1448193379</x:v>
      </x:c>
      <x:c r="AO173" s="1" t="n">
        <x:f t="shared" si="211">AL173*AM173</x:f>
        <x:v>46449701.029721156</x:v>
      </x:c>
      <x:c r="AP173" s="1" t="n">
        <x:f>IF(AO173="","",INDEX('_曲线基线'!$A$3:$A$502,MIN(ROWS('_曲线基线'!$A$3:$A$502),COUNTIF('_曲线基线'!$E$3:$E$502,"&lt;"&amp;AO173)+1)))</x:f>
        <x:v>236</x:v>
      </x:c>
      <x:c r="AQ173" s="14" t="n">
        <x:f t="shared" si="212">IF(B173&lt;=2,1,IF(B173&lt;=6,2,IF(B173&lt;=9,3,IF(B173&lt;=19,4,5))))</x:f>
        <x:v>5</x:v>
      </x:c>
      <x:c r="AR173" s="10" t="n">
        <x:f t="shared" si="213">AN173*(1-Q173)/F173*$AS$3+U173*$AS$4+P173*$AS$5</x:f>
        <x:v>12819.009553574917</x:v>
      </x:c>
      <x:c r="AS173" s="15" t="n">
        <x:f t="shared" si="214">1+AH173*$AS$6+AI173*$AS$7+(AJ173-1)*$AS$8+($H$10*H173+$I$10*I173+$J$10*J173+$K$10*K173+$L$10*L173)*$AU$3*$AS$9+($H$10*H173+$I$10*I173+$J$10*J173+$K$10*K173+$L$10*L173)*$AU$4*$AS$10</x:f>
        <x:v>14.625411447471164</x:v>
      </x:c>
      <x:c r="AT173" s="16" t="n">
        <x:f t="shared" si="215">ROUND(AR173*AS173,0)</x:f>
        <x:v>187483</x:v>
      </x:c>
      <x:c r="AU173" s="16" t="n">
        <x:f t="shared" si="216">ROUND(AT173*F173,0)</x:f>
        <x:v>937415</x:v>
      </x:c>
      <x:c r="AV173" t="n">
        <x:f>IF(AU173&gt;0,ROUND(AU173,-MAX(0,INT(LOG10(AU173))-2)),0)</x:f>
        <x:v>937000</x:v>
      </x:c>
    </x:row>
    <x:row r="174" customHeight="1">
      <x:c r="A174" s="1" t="str">
        <x:f>IFERROR(XLOOKUP(B174,'_曲线基线'!$G$3:$G$107,'_曲线基线'!$J$3:$J$107,""),"")</x:f>
      </x:c>
      <x:c r="B174" s="1" t="n">
        <x:v>163</x:v>
      </x:c>
      <x:c r="C174" s="1" t="n">
        <x:f t="shared" si="161">C159+1</x:f>
        <x:v>12</x:v>
      </x:c>
      <x:c r="D174" s="1" t="n">
        <x:f t="shared" si="162">D159</x:f>
        <x:v>4</x:v>
      </x:c>
      <x:c r="E174" s="1" t="n">
        <x:f t="shared" si="188">IF($B174&lt;E$8,0,E$3+(E$4-E$3)*(POWER(E$5,$B174-E$8)-1)/(POWER(E$5,$C$5-E$8)-1))</x:f>
        <x:v>1</x:v>
      </x:c>
      <x:c r="F174" s="10" t="n">
        <x:f t="shared" si="189">1+IF(B174&lt;3,0,MIN(1,(B174-2)/4))+IF(B174&lt;7,0,MIN(1,(B174-6)/3))+IF(B174&lt;10,0,MIN(1,(B174-9)/5))+IF(B174&lt;20,0,MIN(1,(B174-19)/10))</x:f>
        <x:v>5</x:v>
      </x:c>
      <x:c r="G174" s="11" t="n">
        <x:f t="shared" ref="G174:L174" si="250">'玩家战力_节点'!G174</x:f>
        <x:v>0.7427537327522195</x:v>
      </x:c>
      <x:c r="H174" s="11" t="n">
        <x:f t="shared" si="250">'玩家战力_节点'!H174</x:f>
        <x:v>0.5810227854055575</x:v>
      </x:c>
      <x:c r="I174" s="11" t="n">
        <x:f t="shared" si="250">'玩家战力_节点'!I174</x:f>
        <x:v>0.4767794971288326</x:v>
      </x:c>
      <x:c r="J174" s="11" t="n">
        <x:f t="shared" si="250">'玩家战力_节点'!J174</x:f>
        <x:v>0.4686737242367237</x:v>
      </x:c>
      <x:c r="K174" s="11" t="n">
        <x:f t="shared" si="250">'玩家战力_节点'!K174</x:f>
        <x:v>0.40214117655231135</x:v>
      </x:c>
      <x:c r="L174" s="11" t="n">
        <x:f t="shared" si="250">'玩家战力_节点'!L174</x:f>
        <x:v>0.5739149176023791</x:v>
      </x:c>
      <x:c r="M174" s="2" t="n">
        <x:f>E174*'模块规划'!$F$10+G174*'模块规划'!$F$11+H174*'模块规划'!$F$13</x:f>
        <x:v>4565.2179172106535</x:v>
      </x:c>
      <x:c r="N174" s="2" t="n">
        <x:f>I174*'模块规划'!$F$15+J174*'模块规划'!$F$17+K174*'模块规划'!$F$16+L174*'模块规划'!$F$18</x:f>
        <x:v>13783.394866723662</x:v>
      </x:c>
      <x:c r="O174" s="2" t="n">
        <x:f t="shared" si="191">1+O$9*SUMPRODUCT($H$10:$L$10,H174:L174)/SUM($H$10:$L$10)</x:f>
        <x:v>2.8359819826304236</x:v>
      </x:c>
      <x:c r="P174" s="12" t="n">
        <x:f t="shared" si="192">M174*O174+N174</x:f>
        <x:v>26730.270626714664</x:v>
      </x:c>
      <x:c r="Q174" s="7" t="n">
        <x:f>P174/(P174+'_曲线基线'!$L$2)</x:f>
        <x:v>0.5269096792998075</x:v>
      </x:c>
      <x:c r="R174" s="2" t="n">
        <x:f>E174*'模块规划'!$E$10+G174*'模块规划'!$E$11+H174*'模块规划'!$E$13</x:f>
        <x:v>6847.82687581598</x:v>
      </x:c>
      <x:c r="S174" s="2" t="n">
        <x:f>I174*'模块规划'!$E$15+J174*'模块规划'!$E$17+K174*'模块规划'!$E$16+L174*'模块规划'!$E$18</x:f>
        <x:v>20675.09230008549</x:v>
      </x:c>
      <x:c r="T174" s="2" t="n">
        <x:f t="shared" si="193">1+T$9*SUMPRODUCT($H$10:$L$10,H174:L174)/SUM($H$10:$L$10)</x:f>
        <x:v>2.8359819826304236</x:v>
      </x:c>
      <x:c r="U174" s="12" t="n">
        <x:f t="shared" si="194">R174*T174+S174</x:f>
        <x:v>40095.40594007199</x:v>
      </x:c>
      <x:c r="V174" s="2" t="n">
        <x:f t="shared" si="195">V$8+(V$9-V$8)*H174</x:f>
        <x:v>0.8743068356216672</x:v>
      </x:c>
      <x:c r="W174" s="2" t="n">
        <x:f t="shared" si="196">IF(B174&lt;$H$8,0,W$8+(W$9-W$8)*H174)</x:f>
        <x:v>0.232409114162223</x:v>
      </x:c>
      <x:c r="X174" s="2" t="n">
        <x:f t="shared" si="197">X$8+(X$9-X$8)*H174</x:f>
        <x:v>0.43478126598652833</x:v>
      </x:c>
      <x:c r="Y174" s="2" t="n">
        <x:f t="shared" si="198">Y$8+(Y$9-Y$8)*G174</x:f>
        <x:v>1</x:v>
      </x:c>
      <x:c r="Z174" s="2" t="n">
        <x:f t="shared" si="199">Z$8+(Z$9-Z$8)*H174</x:f>
        <x:v>1</x:v>
      </x:c>
      <x:c r="AA174" s="2" t="n">
        <x:f t="shared" si="200">AA$8+(AA$9-AA$8)*I174</x:f>
        <x:v>1</x:v>
      </x:c>
      <x:c r="AB174" s="2" t="n">
        <x:f t="shared" si="201">AB$8+(AB$9-AB$8)*J174</x:f>
        <x:v>1</x:v>
      </x:c>
      <x:c r="AC174" s="2" t="n">
        <x:f t="shared" si="202">AC$8+(AC$9-AC$8)*MAX(K174,L174)</x:f>
        <x:v>1</x:v>
      </x:c>
      <x:c r="AD174" s="1" t="n">
        <x:f t="shared" si="203">(V174*AE174+W174*AF174+X174*AG174)*PRODUCT(Y174:AC174)</x:f>
        <x:v>1.7040154520256678</x:v>
      </x:c>
      <x:c r="AE174" s="2" t="n">
        <x:f t="shared" si="204">1+AE$9*($H$10*H174+$I$10*I174+$J$10*J174+$K$10*K174+$L$10*L174)</x:f>
        <x:v>1</x:v>
      </x:c>
      <x:c r="AF174" s="2" t="n">
        <x:f t="shared" si="205">1+AF$9*($H$10*H174+$I$10*I174+$J$10*J174+$K$10*K174+$L$10*L174)</x:f>
        <x:v>1.1620421344993654</x:v>
      </x:c>
      <x:c r="AG174" s="2" t="n">
        <x:f t="shared" si="206">1+AG$9*($H$10*H174+$I$10*I174+$J$10*J174+$K$10*K174+$L$10*L174)</x:f>
        <x:v>1.2871746716961</x:v>
      </x:c>
      <x:c r="AH174" s="2" t="n">
        <x:f>MIN(1,'_曲线基线'!$L$3+AH$9*($H$10*H174+$I$10*I174+$J$10*J174+$K$10*K174+$L$10*L174))</x:f>
        <x:v>0.41864585598605597</x:v>
      </x:c>
      <x:c r="AI174" s="2" t="n">
        <x:f>'_曲线基线'!$L$4+AI$9*($H$10*H174+$I$10*I174+$J$10*J174+$K$10*K174+$L$10*L174)</x:f>
        <x:v>3.0269420273897274</x:v>
      </x:c>
      <x:c r="AJ174" s="2" t="n">
        <x:f t="shared" si="207">1+AJ$9*($H$10*H174+$I$10*I174+$J$10*J174+$K$10*K174+$L$10*L174)</x:f>
        <x:v>1.8426190993966993</x:v>
      </x:c>
      <x:c r="AK174" s="1" t="n">
        <x:f t="shared" si="208">(1+AH174*(AI174-1))*AJ174</x:f>
        <x:v>3.40621201024366</x:v>
      </x:c>
      <x:c r="AL174" s="1" t="n">
        <x:f t="shared" si="209">U174*AD174*AK174*F174</x:f>
        <x:v>1163616.3735315804</x:v>
      </x:c>
      <x:c r="AM174" s="13" t="n">
        <x:f t="shared" si="210">IF($B174&lt;AM$8,0,AM$3+(AM$4-AM$3)*(POWER(AM$5,$B174-AM$8)-1)/(POWER(AM$5,$C$5-AM$8)-1))</x:f>
        <x:v>40.38676331448597</x:v>
      </x:c>
      <x:c r="AN174" s="13" t="n">
        <x:f>(((E174*'模块规划'!$D$10+G174*'模块规划'!$D$11+H174*'模块规划'!$D$13)*(1+'模块规划'!$G$14*H174)+(I174*'模块规划'!$D$15+J174*'模块规划'!$D$17+K174*'模块规划'!$D$16+L174*'模块规划'!$D$18))*(1+'模块规划'!$J$17*J174))*F174/(1-Q174)</x:f>
        <x:v>1712034.6826595645</x:v>
      </x:c>
      <x:c r="AO174" s="1" t="n">
        <x:f t="shared" si="211">AL174*AM174</x:f>
        <x:v>46994699.06668043</x:v>
      </x:c>
      <x:c r="AP174" s="1" t="n">
        <x:f>IF(AO174="","",INDEX('_曲线基线'!$A$3:$A$502,MIN(ROWS('_曲线基线'!$A$3:$A$502),COUNTIF('_曲线基线'!$E$3:$E$502,"&lt;"&amp;AO174)+1)))</x:f>
        <x:v>237</x:v>
      </x:c>
      <x:c r="AQ174" s="14" t="n">
        <x:f t="shared" si="212">IF(B174&lt;=2,1,IF(B174&lt;=6,2,IF(B174&lt;=9,3,IF(B174&lt;=19,4,5))))</x:f>
        <x:v>5</x:v>
      </x:c>
      <x:c r="AR174" s="10" t="n">
        <x:f t="shared" si="213">AN174*(1-Q174)/F174*$AS$3+U174*$AS$4+P174*$AS$5</x:f>
        <x:v>12878.763410429994</x:v>
      </x:c>
      <x:c r="AS174" s="15" t="n">
        <x:f t="shared" si="214">1+AH174*$AS$6+AI174*$AS$7+(AJ174-1)*$AS$8+($H$10*H174+$I$10*I174+$J$10*J174+$K$10*K174+$L$10*L174)*$AU$3*$AS$9+($H$10*H174+$I$10*I174+$J$10*J174+$K$10*K174+$L$10*L174)*$AU$4*$AS$10</x:f>
        <x:v>14.6637816567124</x:v>
      </x:c>
      <x:c r="AT174" s="16" t="n">
        <x:f t="shared" si="215">ROUND(AR174*AS174,0)</x:f>
        <x:v>188851</x:v>
      </x:c>
      <x:c r="AU174" s="16" t="n">
        <x:f t="shared" si="216">ROUND(AT174*F174,0)</x:f>
        <x:v>944255</x:v>
      </x:c>
      <x:c r="AV174" t="n">
        <x:f>IF(AU174&gt;0,ROUND(AU174,-MAX(0,INT(LOG10(AU174))-2)),0)</x:f>
        <x:v>944000</x:v>
      </x:c>
    </x:row>
    <x:row r="175" customHeight="1">
      <x:c r="A175" s="1" t="str">
        <x:f>IFERROR(XLOOKUP(B175,'_曲线基线'!$G$3:$G$107,'_曲线基线'!$J$3:$J$107,""),"")</x:f>
      </x:c>
      <x:c r="B175" s="1" t="n">
        <x:v>164</x:v>
      </x:c>
      <x:c r="C175" s="1" t="n">
        <x:f t="shared" si="161">C160+1</x:f>
        <x:v>12</x:v>
      </x:c>
      <x:c r="D175" s="1" t="n">
        <x:f t="shared" si="162">D160</x:f>
        <x:v>5</x:v>
      </x:c>
      <x:c r="E175" s="1" t="n">
        <x:f t="shared" si="188">IF($B175&lt;E$8,0,E$3+(E$4-E$3)*(POWER(E$5,$B175-E$8)-1)/(POWER(E$5,$C$5-E$8)-1))</x:f>
        <x:v>1</x:v>
      </x:c>
      <x:c r="F175" s="10" t="n">
        <x:f t="shared" si="189">1+IF(B175&lt;3,0,MIN(1,(B175-2)/4))+IF(B175&lt;7,0,MIN(1,(B175-6)/3))+IF(B175&lt;10,0,MIN(1,(B175-9)/5))+IF(B175&lt;20,0,MIN(1,(B175-19)/10))</x:f>
        <x:v>5</x:v>
      </x:c>
      <x:c r="G175" s="11" t="n">
        <x:f t="shared" ref="G175:L175" si="251">'玩家战力_节点'!G175</x:f>
        <x:v>0.7445002553819019</x:v>
      </x:c>
      <x:c r="H175" s="11" t="n">
        <x:f t="shared" si="251">'玩家战力_节点'!H175</x:f>
        <x:v>0.5823269701507245</x:v>
      </x:c>
      <x:c r="I175" s="11" t="n">
        <x:f t="shared" si="251">'玩家战力_节点'!I175</x:f>
        <x:v>0.4789888970057733</x:v>
      </x:c>
      <x:c r="J175" s="11" t="n">
        <x:f t="shared" si="251">'玩家战力_节点'!J175</x:f>
        <x:v>0.4701656254081947</x:v>
      </x:c>
      <x:c r="K175" s="11" t="n">
        <x:f t="shared" si="251">'玩家战力_节点'!K175</x:f>
        <x:v>0.4057810433594964</x:v>
      </x:c>
      <x:c r="L175" s="11" t="n">
        <x:f t="shared" si="251">'玩家战力_节点'!L175</x:f>
        <x:v>0.5753353108452602</x:v>
      </x:c>
      <x:c r="M175" s="2" t="n">
        <x:f>E175*'模块规划'!$F$10+G175*'模块规划'!$F$11+H175*'模块规划'!$F$13</x:f>
        <x:v>4573.601225833129</x:v>
      </x:c>
      <x:c r="N175" s="2" t="n">
        <x:f>I175*'模块规划'!$F$15+J175*'模块规划'!$F$17+K175*'模块规划'!$F$16+L175*'模块规划'!$F$18</x:f>
        <x:v>13844.930244511412</x:v>
      </x:c>
      <x:c r="O175" s="2" t="n">
        <x:f t="shared" si="191">1+O$9*SUMPRODUCT($H$10:$L$10,H175:L175)/SUM($H$10:$L$10)</x:f>
        <x:v>2.843257911735643</x:v>
      </x:c>
      <x:c r="P175" s="12" t="n">
        <x:f t="shared" si="192">M175*O175+N175</x:f>
        <x:v>26848.85811498529</x:v>
      </x:c>
      <x:c r="Q175" s="7" t="n">
        <x:f>P175/(P175+'_曲线基线'!$L$2)</x:f>
        <x:v>0.5280129999039813</x:v>
      </x:c>
      <x:c r="R175" s="2" t="n">
        <x:f>E175*'模块规划'!$E$10+G175*'模块规划'!$E$11+H175*'模块规划'!$E$13</x:f>
        <x:v>6860.4018387496935</x:v>
      </x:c>
      <x:c r="S175" s="2" t="n">
        <x:f>I175*'模块规划'!$E$15+J175*'模块规划'!$E$17+K175*'模块规划'!$E$16+L175*'模块规划'!$E$18</x:f>
        <x:v>20767.39536676712</x:v>
      </x:c>
      <x:c r="T175" s="2" t="n">
        <x:f t="shared" si="193">1+T$9*SUMPRODUCT($H$10:$L$10,H175:L175)/SUM($H$10:$L$10)</x:f>
        <x:v>2.843257911735643</x:v>
      </x:c>
      <x:c r="U175" s="12" t="n">
        <x:f t="shared" si="194">R175*T175+S175</x:f>
        <x:v>40273.28717247794</x:v>
      </x:c>
      <x:c r="V175" s="2" t="n">
        <x:f t="shared" si="195">V$8+(V$9-V$8)*H175</x:f>
        <x:v>0.8746980910452173</x:v>
      </x:c>
      <x:c r="W175" s="2" t="n">
        <x:f t="shared" si="196">IF(B175&lt;$H$8,0,W$8+(W$9-W$8)*H175)</x:f>
        <x:v>0.23293078806028983</x:v>
      </x:c>
      <x:c r="X175" s="2" t="n">
        <x:f t="shared" si="197">X$8+(X$9-X$8)*H175</x:f>
        <x:v>0.43513991679144925</x:v>
      </x:c>
      <x:c r="Y175" s="2" t="n">
        <x:f t="shared" si="198">Y$8+(Y$9-Y$8)*G175</x:f>
        <x:v>1</x:v>
      </x:c>
      <x:c r="Z175" s="2" t="n">
        <x:f t="shared" si="199">Z$8+(Z$9-Z$8)*H175</x:f>
        <x:v>1</x:v>
      </x:c>
      <x:c r="AA175" s="2" t="n">
        <x:f t="shared" si="200">AA$8+(AA$9-AA$8)*I175</x:f>
        <x:v>1</x:v>
      </x:c>
      <x:c r="AB175" s="2" t="n">
        <x:f t="shared" si="201">AB$8+(AB$9-AB$8)*J175</x:f>
        <x:v>1</x:v>
      </x:c>
      <x:c r="AC175" s="2" t="n">
        <x:f t="shared" si="202">AC$8+(AC$9-AC$8)*MAX(K175,L175)</x:f>
        <x:v>1</x:v>
      </x:c>
      <x:c r="AD175" s="1" t="n">
        <x:f t="shared" si="203">(V175*AE175+W175*AF175+X175*AG175)*PRODUCT(Y175:AC175)</x:f>
        <x:v>1.7061193576961817</x:v>
      </x:c>
      <x:c r="AE175" s="2" t="n">
        <x:f t="shared" si="204">1+AE$9*($H$10*H175+$I$10*I175+$J$10*J175+$K$10*K175+$L$10*L175)</x:f>
        <x:v>1</x:v>
      </x:c>
      <x:c r="AF175" s="2" t="n">
        <x:f t="shared" si="205">1+AF$9*($H$10*H175+$I$10*I175+$J$10*J175+$K$10*K175+$L$10*L175)</x:f>
        <x:v>1.1626843015216075</x:v>
      </x:c>
      <x:c r="AG175" s="2" t="n">
        <x:f t="shared" si="206">1+AG$9*($H$10*H175+$I$10*I175+$J$10*J175+$K$10*K175+$L$10*L175)</x:f>
        <x:v>1.2883127343632954</x:v>
      </x:c>
      <x:c r="AH175" s="2" t="n">
        <x:f>MIN(1,'_曲线基线'!$L$3+AH$9*($H$10*H175+$I$10*I175+$J$10*J175+$K$10*K175+$L$10*L175))</x:f>
        <x:v>0.42010678596165657</x:v>
      </x:c>
      <x:c r="AI175" s="2" t="n">
        <x:f>'_曲线基线'!$L$4+AI$9*($H$10*H175+$I$10*I175+$J$10*J175+$K$10*K175+$L$10*L175)</x:f>
        <x:v>3.031011760893186</x:v>
      </x:c>
      <x:c r="AJ175" s="2" t="n">
        <x:f t="shared" si="207">1+AJ$9*($H$10*H175+$I$10*I175+$J$10*J175+$K$10*K175+$L$10*L175)</x:f>
        <x:v>1.845958367912358</x:v>
      </x:c>
      <x:c r="AK175" s="1" t="n">
        <x:f t="shared" si="208">(1+AH175*(AI175-1))*AJ175</x:f>
        <x:v>3.421007251151969</x:v>
      </x:c>
      <x:c r="AL175" s="1" t="n">
        <x:f t="shared" si="209">U175*AD175*AK175*F175</x:f>
        <x:v>1175304.7421606681</x:v>
      </x:c>
      <x:c r="AM175" s="13" t="n">
        <x:f t="shared" si="210">IF($B175&lt;AM$8,0,AM$3+(AM$4-AM$3)*(POWER(AM$5,$B175-AM$8)-1)/(POWER(AM$5,$C$5-AM$8)-1))</x:f>
        <x:v>40.4540555875527</x:v>
      </x:c>
      <x:c r="AN175" s="13" t="n">
        <x:f>(((E175*'模块规划'!$D$10+G175*'模块规划'!$D$11+H175*'模块规划'!$D$13)*(1+'模块规划'!$G$14*H175)+(I175*'模块规划'!$D$15+J175*'模块规划'!$D$17+K175*'模块规划'!$D$16+L175*'模块规划'!$D$18))*(1+'模块规划'!$J$17*J175))*F175/(1-Q175)</x:f>
        <x:v>1724603.9356093185</x:v>
      </x:c>
      <x:c r="AO175" s="1" t="n">
        <x:f t="shared" si="211">AL175*AM175</x:f>
        <x:v>47545843.371681966</x:v>
      </x:c>
      <x:c r="AP175" s="1" t="n">
        <x:f>IF(AO175="","",INDEX('_曲线基线'!$A$3:$A$502,MIN(ROWS('_曲线基线'!$A$3:$A$502),COUNTIF('_曲线基线'!$E$3:$E$502,"&lt;"&amp;AO175)+1)))</x:f>
        <x:v>238</x:v>
      </x:c>
      <x:c r="AQ175" s="14" t="n">
        <x:f t="shared" si="212">IF(B175&lt;=2,1,IF(B175&lt;=6,2,IF(B175&lt;=9,3,IF(B175&lt;=19,4,5))))</x:f>
        <x:v>5</x:v>
      </x:c>
      <x:c r="AR175" s="10" t="n">
        <x:f t="shared" si="213">AN175*(1-Q175)/F175*$AS$3+U175*$AS$4+P175*$AS$5</x:f>
        <x:v>12938.601262027765</x:v>
      </x:c>
      <x:c r="AS175" s="15" t="n">
        <x:f t="shared" si="214">1+AH175*$AS$6+AI175*$AS$7+(AJ175-1)*$AS$8+($H$10*H175+$I$10*I175+$J$10*J175+$K$10*K175+$L$10*L175)*$AU$3*$AS$9+($H$10*H175+$I$10*I175+$J$10*J175+$K$10*K175+$L$10*L175)*$AU$4*$AS$10</x:f>
        <x:v>14.702151865953642</x:v>
      </x:c>
      <x:c r="AT175" s="16" t="n">
        <x:f t="shared" si="215">ROUND(AR175*AS175,0)</x:f>
        <x:v>190225</x:v>
      </x:c>
      <x:c r="AU175" s="16" t="n">
        <x:f t="shared" si="216">ROUND(AT175*F175,0)</x:f>
        <x:v>951125</x:v>
      </x:c>
      <x:c r="AV175" t="n">
        <x:f>IF(AU175&gt;0,ROUND(AU175,-MAX(0,INT(LOG10(AU175))-2)),0)</x:f>
        <x:v>951000</x:v>
      </x:c>
    </x:row>
    <x:row r="176" customHeight="1">
      <x:c r="A176" s="1" t="str">
        <x:f>IFERROR(XLOOKUP(B176,'_曲线基线'!$G$3:$G$107,'_曲线基线'!$J$3:$J$107,""),"")</x:f>
      </x:c>
      <x:c r="B176" s="1" t="n">
        <x:v>165</x:v>
      </x:c>
      <x:c r="C176" s="1" t="n">
        <x:f t="shared" si="161">C161+1</x:f>
        <x:v>12</x:v>
      </x:c>
      <x:c r="D176" s="1" t="n">
        <x:f t="shared" si="162">D161</x:f>
        <x:v>6</x:v>
      </x:c>
      <x:c r="E176" s="1" t="n">
        <x:f t="shared" si="188">IF($B176&lt;E$8,0,E$3+(E$4-E$3)*(POWER(E$5,$B176-E$8)-1)/(POWER(E$5,$C$5-E$8)-1))</x:f>
        <x:v>1</x:v>
      </x:c>
      <x:c r="F176" s="10" t="n">
        <x:f t="shared" si="189">1+IF(B176&lt;3,0,MIN(1,(B176-2)/4))+IF(B176&lt;7,0,MIN(1,(B176-6)/3))+IF(B176&lt;10,0,MIN(1,(B176-9)/5))+IF(B176&lt;20,0,MIN(1,(B176-19)/10))</x:f>
        <x:v>5</x:v>
      </x:c>
      <x:c r="G176" s="11" t="n">
        <x:f t="shared" ref="G176:L176" si="252">'玩家战力_节点'!G176</x:f>
        <x:v>0.7462467780115845</x:v>
      </x:c>
      <x:c r="H176" s="11" t="n">
        <x:f t="shared" si="252">'玩家战力_节点'!H176</x:f>
        <x:v>0.5836311548958917</x:v>
      </x:c>
      <x:c r="I176" s="11" t="n">
        <x:f t="shared" si="252">'玩家战力_节点'!I176</x:f>
        <x:v>0.481198296882714</x:v>
      </x:c>
      <x:c r="J176" s="11" t="n">
        <x:f t="shared" si="252">'玩家战力_节点'!J176</x:f>
        <x:v>0.47165752657966564</x:v>
      </x:c>
      <x:c r="K176" s="11" t="n">
        <x:f t="shared" si="252">'玩家战力_节点'!K176</x:f>
        <x:v>0.4094209101666813</x:v>
      </x:c>
      <x:c r="L176" s="11" t="n">
        <x:f t="shared" si="252">'玩家战力_节点'!L176</x:f>
        <x:v>0.5767557040881411</x:v>
      </x:c>
      <x:c r="M176" s="2" t="n">
        <x:f>E176*'模块规划'!$F$10+G176*'模块规划'!$F$11+H176*'模块规划'!$F$13</x:f>
        <x:v>4581.984534455605</x:v>
      </x:c>
      <x:c r="N176" s="2" t="n">
        <x:f>I176*'模块规划'!$F$15+J176*'模块规划'!$F$17+K176*'模块规划'!$F$16+L176*'模块规划'!$F$18</x:f>
        <x:v>13906.465622299162</x:v>
      </x:c>
      <x:c r="O176" s="2" t="n">
        <x:f t="shared" si="191">1+O$9*SUMPRODUCT($H$10:$L$10,H176:L176)/SUM($H$10:$L$10)</x:f>
        <x:v>2.8505338408408614</x:v>
      </x:c>
      <x:c r="P176" s="12" t="n">
        <x:f t="shared" si="192">M176*O176+N176</x:f>
        <x:v>26967.567595974324</x:v>
      </x:c>
      <x:c r="Q176" s="7" t="n">
        <x:f>P176/(P176+'_曲线基线'!$L$2)</x:f>
        <x:v>0.5291123133391274</x:v>
      </x:c>
      <x:c r="R176" s="2" t="n">
        <x:f>E176*'模块规划'!$E$10+G176*'模块规划'!$E$11+H176*'模块规划'!$E$13</x:f>
        <x:v>6872.976801683408</x:v>
      </x:c>
      <x:c r="S176" s="2" t="n">
        <x:f>I176*'模块规划'!$E$15+J176*'模块规划'!$E$17+K176*'模块规划'!$E$16+L176*'模块规划'!$E$18</x:f>
        <x:v>20859.698433448742</x:v>
      </x:c>
      <x:c r="T176" s="2" t="n">
        <x:f t="shared" si="193">1+T$9*SUMPRODUCT($H$10:$L$10,H176:L176)/SUM($H$10:$L$10)</x:f>
        <x:v>2.8505338408408614</x:v>
      </x:c>
      <x:c r="U176" s="12" t="n">
        <x:f t="shared" si="194">R176*T176+S176</x:f>
        <x:v>40451.351393961486</x:v>
      </x:c>
      <x:c r="V176" s="2" t="n">
        <x:f t="shared" si="195">V$8+(V$9-V$8)*H176</x:f>
        <x:v>0.8750893464687675</x:v>
      </x:c>
      <x:c r="W176" s="2" t="n">
        <x:f t="shared" si="196">IF(B176&lt;$H$8,0,W$8+(W$9-W$8)*H176)</x:f>
        <x:v>0.23345246195835667</x:v>
      </x:c>
      <x:c r="X176" s="2" t="n">
        <x:f t="shared" si="197">X$8+(X$9-X$8)*H176</x:f>
        <x:v>0.43549856759637023</x:v>
      </x:c>
      <x:c r="Y176" s="2" t="n">
        <x:f t="shared" si="198">Y$8+(Y$9-Y$8)*G176</x:f>
        <x:v>1</x:v>
      </x:c>
      <x:c r="Z176" s="2" t="n">
        <x:f t="shared" si="199">Z$8+(Z$9-Z$8)*H176</x:f>
        <x:v>1</x:v>
      </x:c>
      <x:c r="AA176" s="2" t="n">
        <x:f t="shared" si="200">AA$8+(AA$9-AA$8)*I176</x:f>
        <x:v>1</x:v>
      </x:c>
      <x:c r="AB176" s="2" t="n">
        <x:f t="shared" si="201">AB$8+(AB$9-AB$8)*J176</x:f>
        <x:v>1</x:v>
      </x:c>
      <x:c r="AC176" s="2" t="n">
        <x:f t="shared" si="202">AC$8+(AC$9-AC$8)*MAX(K176,L176)</x:f>
        <x:v>1</x:v>
      </x:c>
      <x:c r="AD176" s="1" t="n">
        <x:f t="shared" si="203">(V176*AE176+W176*AF176+X176*AG176)*PRODUCT(Y176:AC176)</x:f>
        <x:v>1.7082247497044265</x:v>
      </x:c>
      <x:c r="AE176" s="2" t="n">
        <x:f t="shared" si="204">1+AE$9*($H$10*H176+$I$10*I176+$J$10*J176+$K$10*K176+$L$10*L176)</x:f>
        <x:v>1</x:v>
      </x:c>
      <x:c r="AF176" s="2" t="n">
        <x:f t="shared" si="205">1+AF$9*($H$10*H176+$I$10*I176+$J$10*J176+$K$10*K176+$L$10*L176)</x:f>
        <x:v>1.1633264685438496</x:v>
      </x:c>
      <x:c r="AG176" s="2" t="n">
        <x:f t="shared" si="206">1+AG$9*($H$10*H176+$I$10*I176+$J$10*J176+$K$10*K176+$L$10*L176)</x:f>
        <x:v>1.289450797030491</x:v>
      </x:c>
      <x:c r="AH176" s="2" t="n">
        <x:f>MIN(1,'_曲线基线'!$L$3+AH$9*($H$10*H176+$I$10*I176+$J$10*J176+$K$10*K176+$L$10*L176))</x:f>
        <x:v>0.4215677159372571</x:v>
      </x:c>
      <x:c r="AI176" s="2" t="n">
        <x:f>'_曲线基线'!$L$4+AI$9*($H$10*H176+$I$10*I176+$J$10*J176+$K$10*K176+$L$10*L176)</x:f>
        <x:v>3.035081494396645</x:v>
      </x:c>
      <x:c r="AJ176" s="2" t="n">
        <x:f t="shared" si="207">1+AJ$9*($H$10*H176+$I$10*I176+$J$10*J176+$K$10*K176+$L$10*L176)</x:f>
        <x:v>1.8492976364280165</x:v>
      </x:c>
      <x:c r="AK176" s="1" t="n">
        <x:f t="shared" si="208">(1+AH176*(AI176-1))*AJ176</x:f>
        <x:v>3.4358556774782962</x:v>
      </x:c>
      <x:c r="AL176" s="1" t="n">
        <x:f t="shared" si="209">U176*AD176*AK176*F176</x:f>
        <x:v>1187088.129871507</x:v>
      </x:c>
      <x:c r="AM176" s="13" t="n">
        <x:f t="shared" si="210">IF($B176&lt;AM$8,0,AM$3+(AM$4-AM$3)*(POWER(AM$5,$B176-AM$8)-1)/(POWER(AM$5,$C$5-AM$8)-1))</x:f>
        <x:v>40.522020783350094</x:v>
      </x:c>
      <x:c r="AN176" s="13" t="n">
        <x:f>(((E176*'模块规划'!$D$10+G176*'模块规划'!$D$11+H176*'模块规划'!$D$13)*(1+'模块规划'!$G$14*H176)+(I176*'模块规划'!$D$15+J176*'模块规划'!$D$17+K176*'模块规划'!$D$16+L176*'模块规划'!$D$18))*(1+'模块规划'!$J$17*J176))*F176/(1-Q176)</x:f>
        <x:v>1737234.088039058</x:v>
      </x:c>
      <x:c r="AO176" s="1" t="n">
        <x:f t="shared" si="211">AL176*AM176</x:f>
        <x:v>48103209.8703214</x:v>
      </x:c>
      <x:c r="AP176" s="1" t="n">
        <x:f>IF(AO176="","",INDEX('_曲线基线'!$A$3:$A$502,MIN(ROWS('_曲线基线'!$A$3:$A$502),COUNTIF('_曲线基线'!$E$3:$E$502,"&lt;"&amp;AO176)+1)))</x:f>
        <x:v>239</x:v>
      </x:c>
      <x:c r="AQ176" s="14" t="n">
        <x:f t="shared" si="212">IF(B176&lt;=2,1,IF(B176&lt;=6,2,IF(B176&lt;=9,3,IF(B176&lt;=19,4,5))))</x:f>
        <x:v>5</x:v>
      </x:c>
      <x:c r="AR176" s="10" t="n">
        <x:f t="shared" si="213">AN176*(1-Q176)/F176*$AS$3+U176*$AS$4+P176*$AS$5</x:f>
        <x:v>12998.523124223033</x:v>
      </x:c>
      <x:c r="AS176" s="15" t="n">
        <x:f t="shared" si="214">1+AH176*$AS$6+AI176*$AS$7+(AJ176-1)*$AS$8+($H$10*H176+$I$10*I176+$J$10*J176+$K$10*K176+$L$10*L176)*$AU$3*$AS$9+($H$10*H176+$I$10*I176+$J$10*J176+$K$10*K176+$L$10*L176)*$AU$4*$AS$10</x:f>
        <x:v>14.740522075194878</x:v>
      </x:c>
      <x:c r="AT176" s="16" t="n">
        <x:f t="shared" si="215">ROUND(AR176*AS176,0)</x:f>
        <x:v>191605</x:v>
      </x:c>
      <x:c r="AU176" s="16" t="n">
        <x:f t="shared" si="216">ROUND(AT176*F176,0)</x:f>
        <x:v>958025</x:v>
      </x:c>
      <x:c r="AV176" t="n">
        <x:f>IF(AU176&gt;0,ROUND(AU176,-MAX(0,INT(LOG10(AU176))-2)),0)</x:f>
        <x:v>958000</x:v>
      </x:c>
    </x:row>
    <x:row r="177" customHeight="1">
      <x:c r="A177" s="1" t="str">
        <x:f>IFERROR(XLOOKUP(B177,'_曲线基线'!$G$3:$G$107,'_曲线基线'!$J$3:$J$107,""),"")</x:f>
      </x:c>
      <x:c r="B177" s="1" t="n">
        <x:v>166</x:v>
      </x:c>
      <x:c r="C177" s="1" t="n">
        <x:f t="shared" si="161">C162+1</x:f>
        <x:v>12</x:v>
      </x:c>
      <x:c r="D177" s="1" t="n">
        <x:f t="shared" si="162">D162</x:f>
        <x:v>7</x:v>
      </x:c>
      <x:c r="E177" s="1" t="n">
        <x:f t="shared" si="188">IF($B177&lt;E$8,0,E$3+(E$4-E$3)*(POWER(E$5,$B177-E$8)-1)/(POWER(E$5,$C$5-E$8)-1))</x:f>
        <x:v>1</x:v>
      </x:c>
      <x:c r="F177" s="10" t="n">
        <x:f t="shared" si="189">1+IF(B177&lt;3,0,MIN(1,(B177-2)/4))+IF(B177&lt;7,0,MIN(1,(B177-6)/3))+IF(B177&lt;10,0,MIN(1,(B177-9)/5))+IF(B177&lt;20,0,MIN(1,(B177-19)/10))</x:f>
        <x:v>5</x:v>
      </x:c>
      <x:c r="G177" s="11" t="n">
        <x:f t="shared" ref="G177:L177" si="253">'玩家战力_节点'!G177</x:f>
        <x:v>0.747993300641267</x:v>
      </x:c>
      <x:c r="H177" s="11" t="n">
        <x:f t="shared" si="253">'玩家战力_节点'!H177</x:f>
        <x:v>0.5849353396410587</x:v>
      </x:c>
      <x:c r="I177" s="11" t="n">
        <x:f t="shared" si="253">'玩家战力_节点'!I177</x:f>
        <x:v>0.4834076967596546</x:v>
      </x:c>
      <x:c r="J177" s="11" t="n">
        <x:f t="shared" si="253">'玩家战力_节点'!J177</x:f>
        <x:v>0.4731494277511366</x:v>
      </x:c>
      <x:c r="K177" s="11" t="n">
        <x:f t="shared" si="253">'玩家战力_节点'!K177</x:f>
        <x:v>0.4130607769738663</x:v>
      </x:c>
      <x:c r="L177" s="11" t="n">
        <x:f t="shared" si="253">'玩家战力_节点'!L177</x:f>
        <x:v>0.5781760973310222</x:v>
      </x:c>
      <x:c r="M177" s="2" t="n">
        <x:f>E177*'模块规划'!$F$10+G177*'模块规划'!$F$11+H177*'模块规划'!$F$13</x:f>
        <x:v>4590.367843078082</x:v>
      </x:c>
      <x:c r="N177" s="2" t="n">
        <x:f>I177*'模块规划'!$F$15+J177*'模块规划'!$F$17+K177*'模块规划'!$F$16+L177*'模块规划'!$F$18</x:f>
        <x:v>13968.001000086912</x:v>
      </x:c>
      <x:c r="O177" s="2" t="n">
        <x:f t="shared" si="191">1+O$9*SUMPRODUCT($H$10:$L$10,H177:L177)/SUM($H$10:$L$10)</x:f>
        <x:v>2.8578097699460807</x:v>
      </x:c>
      <x:c r="P177" s="12" t="n">
        <x:f t="shared" si="192">M177*O177+N177</x:f>
        <x:v>27086.39906968177</x:v>
      </x:c>
      <x:c r="Q177" s="7" t="n">
        <x:f>P177/(P177+'_曲线基线'!$L$2)</x:f>
        <x:v>0.5302076396642473</x:v>
      </x:c>
      <x:c r="R177" s="2" t="n">
        <x:f>E177*'模块规划'!$E$10+G177*'模块规划'!$E$11+H177*'模块规划'!$E$13</x:f>
        <x:v>6885.551764617123</x:v>
      </x:c>
      <x:c r="S177" s="2" t="n">
        <x:f>I177*'模块规划'!$E$15+J177*'模块规划'!$E$17+K177*'模块规划'!$E$16+L177*'模块规划'!$E$18</x:f>
        <x:v>20952.00150013037</x:v>
      </x:c>
      <x:c r="T177" s="2" t="n">
        <x:f t="shared" si="193">1+T$9*SUMPRODUCT($H$10:$L$10,H177:L177)/SUM($H$10:$L$10)</x:f>
        <x:v>2.8578097699460807</x:v>
      </x:c>
      <x:c r="U177" s="12" t="n">
        <x:f t="shared" si="194">R177*T177+S177</x:f>
        <x:v>40629.59860452266</x:v>
      </x:c>
      <x:c r="V177" s="2" t="n">
        <x:f t="shared" si="195">V$8+(V$9-V$8)*H177</x:f>
        <x:v>0.8754806018923176</x:v>
      </x:c>
      <x:c r="W177" s="2" t="n">
        <x:f t="shared" si="196">IF(B177&lt;$H$8,0,W$8+(W$9-W$8)*H177)</x:f>
        <x:v>0.2339741358564235</x:v>
      </x:c>
      <x:c r="X177" s="2" t="n">
        <x:f t="shared" si="197">X$8+(X$9-X$8)*H177</x:f>
        <x:v>0.4358572184012912</x:v>
      </x:c>
      <x:c r="Y177" s="2" t="n">
        <x:f t="shared" si="198">Y$8+(Y$9-Y$8)*G177</x:f>
        <x:v>1</x:v>
      </x:c>
      <x:c r="Z177" s="2" t="n">
        <x:f t="shared" si="199">Z$8+(Z$9-Z$8)*H177</x:f>
        <x:v>1</x:v>
      </x:c>
      <x:c r="AA177" s="2" t="n">
        <x:f t="shared" si="200">AA$8+(AA$9-AA$8)*I177</x:f>
        <x:v>1</x:v>
      </x:c>
      <x:c r="AB177" s="2" t="n">
        <x:f t="shared" si="201">AB$8+(AB$9-AB$8)*J177</x:f>
        <x:v>1</x:v>
      </x:c>
      <x:c r="AC177" s="2" t="n">
        <x:f t="shared" si="202">AC$8+(AC$9-AC$8)*MAX(K177,L177)</x:f>
        <x:v>1</x:v>
      </x:c>
      <x:c r="AD177" s="1" t="n">
        <x:f t="shared" si="203">(V177*AE177+W177*AF177+X177*AG177)*PRODUCT(Y177:AC177)</x:f>
        <x:v>1.710331628050402</x:v>
      </x:c>
      <x:c r="AE177" s="2" t="n">
        <x:f t="shared" si="204">1+AE$9*($H$10*H177+$I$10*I177+$J$10*J177+$K$10*K177+$L$10*L177)</x:f>
        <x:v>1</x:v>
      </x:c>
      <x:c r="AF177" s="2" t="n">
        <x:f t="shared" si="205">1+AF$9*($H$10*H177+$I$10*I177+$J$10*J177+$K$10*K177+$L$10*L177)</x:f>
        <x:v>1.1639686355660914</x:v>
      </x:c>
      <x:c r="AG177" s="2" t="n">
        <x:f t="shared" si="206">1+AG$9*($H$10*H177+$I$10*I177+$J$10*J177+$K$10*K177+$L$10*L177)</x:f>
        <x:v>1.2905888596976864</x:v>
      </x:c>
      <x:c r="AH177" s="2" t="n">
        <x:f>MIN(1,'_曲线基线'!$L$3+AH$9*($H$10*H177+$I$10*I177+$J$10*J177+$K$10*K177+$L$10*L177))</x:f>
        <x:v>0.42302864591285766</x:v>
      </x:c>
      <x:c r="AI177" s="2" t="n">
        <x:f>'_曲线基线'!$L$4+AI$9*($H$10*H177+$I$10*I177+$J$10*J177+$K$10*K177+$L$10*L177)</x:f>
        <x:v>3.0391512279001036</x:v>
      </x:c>
      <x:c r="AJ177" s="2" t="n">
        <x:f t="shared" si="207">1+AJ$9*($H$10*H177+$I$10*I177+$J$10*J177+$K$10*K177+$L$10*L177)</x:f>
        <x:v>1.8526369049436746</x:v>
      </x:c>
      <x:c r="AK177" s="1" t="n">
        <x:f t="shared" si="208">(1+AH177*(AI177-1))*AJ177</x:f>
        <x:v>3.4507574083462833</x:v>
      </x:c>
      <x:c r="AL177" s="1" t="n">
        <x:f t="shared" si="209">U177*AD177*AK177*F177</x:f>
        <x:v>1198967.1717246952</x:v>
      </x:c>
      <x:c r="AM177" s="13" t="n">
        <x:f t="shared" si="210">IF($B177&lt;AM$8,0,AM$3+(AM$4-AM$3)*(POWER(AM$5,$B177-AM$8)-1)/(POWER(AM$5,$C$5-AM$8)-1))</x:f>
        <x:v>40.590665631105466</x:v>
      </x:c>
      <x:c r="AN177" s="13" t="n">
        <x:f>(((E177*'模块规划'!$D$10+G177*'模块规划'!$D$11+H177*'模块规划'!$D$13)*(1+'模块规划'!$G$14*H177)+(I177*'模块规划'!$D$15+J177*'模块规划'!$D$17+K177*'模块规划'!$D$16+L177*'模块规划'!$D$18))*(1+'模块规划'!$J$17*J177))*F177/(1-Q177)</x:f>
        <x:v>1749925.324612496</x:v>
      </x:c>
      <x:c r="AO177" s="1" t="n">
        <x:f t="shared" si="211">AL177*AM177</x:f>
        <x:v>48666875.57014931</x:v>
      </x:c>
      <x:c r="AP177" s="1" t="n">
        <x:f>IF(AO177="","",INDEX('_曲线基线'!$A$3:$A$502,MIN(ROWS('_曲线基线'!$A$3:$A$502),COUNTIF('_曲线基线'!$E$3:$E$502,"&lt;"&amp;AO177)+1)))</x:f>
        <x:v>240</x:v>
      </x:c>
      <x:c r="AQ177" s="14" t="n">
        <x:f t="shared" si="212">IF(B177&lt;=2,1,IF(B177&lt;=6,2,IF(B177&lt;=9,3,IF(B177&lt;=19,4,5))))</x:f>
        <x:v>5</x:v>
      </x:c>
      <x:c r="AR177" s="10" t="n">
        <x:f t="shared" si="213">AN177*(1-Q177)/F177*$AS$3+U177*$AS$4+P177*$AS$5</x:f>
        <x:v>13058.529012870607</x:v>
      </x:c>
      <x:c r="AS177" s="15" t="n">
        <x:f t="shared" si="214">1+AH177*$AS$6+AI177*$AS$7+(AJ177-1)*$AS$8+($H$10*H177+$I$10*I177+$J$10*J177+$K$10*K177+$L$10*L177)*$AU$3*$AS$9+($H$10*H177+$I$10*I177+$J$10*J177+$K$10*K177+$L$10*L177)*$AU$4*$AS$10</x:f>
        <x:v>14.778892284436118</x:v>
      </x:c>
      <x:c r="AT177" s="16" t="n">
        <x:f t="shared" si="215">ROUND(AR177*AS177,0)</x:f>
        <x:v>192991</x:v>
      </x:c>
      <x:c r="AU177" s="16" t="n">
        <x:f t="shared" si="216">ROUND(AT177*F177,0)</x:f>
        <x:v>964955</x:v>
      </x:c>
      <x:c r="AV177" t="n">
        <x:f>IF(AU177&gt;0,ROUND(AU177,-MAX(0,INT(LOG10(AU177))-2)),0)</x:f>
        <x:v>965000</x:v>
      </x:c>
    </x:row>
    <x:row r="178" customHeight="1">
      <x:c r="A178" s="1" t="str">
        <x:f>IFERROR(XLOOKUP(B178,'_曲线基线'!$G$3:$G$107,'_曲线基线'!$J$3:$J$107,""),"")</x:f>
      </x:c>
      <x:c r="B178" s="1" t="n">
        <x:v>167</x:v>
      </x:c>
      <x:c r="C178" s="1" t="n">
        <x:f t="shared" si="161">C163+1</x:f>
        <x:v>12</x:v>
      </x:c>
      <x:c r="D178" s="1" t="n">
        <x:f t="shared" si="162">D163</x:f>
        <x:v>8</x:v>
      </x:c>
      <x:c r="E178" s="1" t="n">
        <x:f t="shared" si="188">IF($B178&lt;E$8,0,E$3+(E$4-E$3)*(POWER(E$5,$B178-E$8)-1)/(POWER(E$5,$C$5-E$8)-1))</x:f>
        <x:v>1</x:v>
      </x:c>
      <x:c r="F178" s="10" t="n">
        <x:f t="shared" si="189">1+IF(B178&lt;3,0,MIN(1,(B178-2)/4))+IF(B178&lt;7,0,MIN(1,(B178-6)/3))+IF(B178&lt;10,0,MIN(1,(B178-9)/5))+IF(B178&lt;20,0,MIN(1,(B178-19)/10))</x:f>
        <x:v>5</x:v>
      </x:c>
      <x:c r="G178" s="11" t="n">
        <x:f t="shared" ref="G178:L178" si="254">'玩家战力_节点'!G178</x:f>
        <x:v>0.7497398232709496</x:v>
      </x:c>
      <x:c r="H178" s="11" t="n">
        <x:f t="shared" si="254">'玩家战力_节点'!H178</x:f>
        <x:v>0.5862395243862257</x:v>
      </x:c>
      <x:c r="I178" s="11" t="n">
        <x:f t="shared" si="254">'玩家战力_节点'!I178</x:f>
        <x:v>0.48561709663659536</x:v>
      </x:c>
      <x:c r="J178" s="11" t="n">
        <x:f t="shared" si="254">'玩家战力_节点'!J178</x:f>
        <x:v>0.4746413289226076</x:v>
      </x:c>
      <x:c r="K178" s="11" t="n">
        <x:f t="shared" si="254">'玩家战力_节点'!K178</x:f>
        <x:v>0.4167006437810512</x:v>
      </x:c>
      <x:c r="L178" s="11" t="n">
        <x:f t="shared" si="254">'玩家战力_节点'!L178</x:f>
        <x:v>0.5795964905739032</x:v>
      </x:c>
      <x:c r="M178" s="2" t="n">
        <x:f>E178*'模块规划'!$F$10+G178*'模块规划'!$F$11+H178*'模块规划'!$F$13</x:f>
        <x:v>4598.751151700558</x:v>
      </x:c>
      <x:c r="N178" s="2" t="n">
        <x:f>I178*'模块规划'!$F$15+J178*'模块规划'!$F$17+K178*'模块规划'!$F$16+L178*'模块规划'!$F$18</x:f>
        <x:v>14029.536377874661</x:v>
      </x:c>
      <x:c r="O178" s="2" t="n">
        <x:f t="shared" si="191">1+O$9*SUMPRODUCT($H$10:$L$10,H178:L178)/SUM($H$10:$L$10)</x:f>
        <x:v>2.8650856990512996</x:v>
      </x:c>
      <x:c r="P178" s="12" t="n">
        <x:f t="shared" si="192">M178*O178+N178</x:f>
        <x:v>27205.352536107624</x:v>
      </x:c>
      <x:c r="Q178" s="7" t="n">
        <x:f>P178/(P178+'_曲线基线'!$L$2)</x:f>
        <x:v>0.5312989988092296</x:v>
      </x:c>
      <x:c r="R178" s="2" t="n">
        <x:f>E178*'模块规划'!$E$10+G178*'模块规划'!$E$11+H178*'模块规划'!$E$13</x:f>
        <x:v>6898.126727550837</x:v>
      </x:c>
      <x:c r="S178" s="2" t="n">
        <x:f>I178*'模块规划'!$E$15+J178*'模块规划'!$E$17+K178*'模块规划'!$E$16+L178*'模块规划'!$E$18</x:f>
        <x:v>21044.304566811996</x:v>
      </x:c>
      <x:c r="T178" s="2" t="n">
        <x:f t="shared" si="193">1+T$9*SUMPRODUCT($H$10:$L$10,H178:L178)/SUM($H$10:$L$10)</x:f>
        <x:v>2.8650856990512996</x:v>
      </x:c>
      <x:c r="U178" s="12" t="n">
        <x:f t="shared" si="194">R178*T178+S178</x:f>
        <x:v>40808.02880416144</x:v>
      </x:c>
      <x:c r="V178" s="2" t="n">
        <x:f t="shared" si="195">V$8+(V$9-V$8)*H178</x:f>
        <x:v>0.8758718573158677</x:v>
      </x:c>
      <x:c r="W178" s="2" t="n">
        <x:f t="shared" si="196">IF(B178&lt;$H$8,0,W$8+(W$9-W$8)*H178)</x:f>
        <x:v>0.2344958097544903</x:v>
      </x:c>
      <x:c r="X178" s="2" t="n">
        <x:f t="shared" si="197">X$8+(X$9-X$8)*H178</x:f>
        <x:v>0.43621586920621214</x:v>
      </x:c>
      <x:c r="Y178" s="2" t="n">
        <x:f t="shared" si="198">Y$8+(Y$9-Y$8)*G178</x:f>
        <x:v>1</x:v>
      </x:c>
      <x:c r="Z178" s="2" t="n">
        <x:f t="shared" si="199">Z$8+(Z$9-Z$8)*H178</x:f>
        <x:v>1</x:v>
      </x:c>
      <x:c r="AA178" s="2" t="n">
        <x:f t="shared" si="200">AA$8+(AA$9-AA$8)*I178</x:f>
        <x:v>1</x:v>
      </x:c>
      <x:c r="AB178" s="2" t="n">
        <x:f t="shared" si="201">AB$8+(AB$9-AB$8)*J178</x:f>
        <x:v>1</x:v>
      </x:c>
      <x:c r="AC178" s="2" t="n">
        <x:f t="shared" si="202">AC$8+(AC$9-AC$8)*MAX(K178,L178)</x:f>
        <x:v>1</x:v>
      </x:c>
      <x:c r="AD178" s="1" t="n">
        <x:f t="shared" si="203">(V178*AE178+W178*AF178+X178*AG178)*PRODUCT(Y178:AC178)</x:f>
        <x:v>1.712439992734108</x:v>
      </x:c>
      <x:c r="AE178" s="2" t="n">
        <x:f t="shared" si="204">1+AE$9*($H$10*H178+$I$10*I178+$J$10*J178+$K$10*K178+$L$10*L178)</x:f>
        <x:v>1</x:v>
      </x:c>
      <x:c r="AF178" s="2" t="n">
        <x:f t="shared" si="205">1+AF$9*($H$10*H178+$I$10*I178+$J$10*J178+$K$10*K178+$L$10*L178)</x:f>
        <x:v>1.1646108025883335</x:v>
      </x:c>
      <x:c r="AG178" s="2" t="n">
        <x:f t="shared" si="206">1+AG$9*($H$10*H178+$I$10*I178+$J$10*J178+$K$10*K178+$L$10*L178)</x:f>
        <x:v>1.2917269223648822</x:v>
      </x:c>
      <x:c r="AH178" s="2" t="n">
        <x:f>MIN(1,'_曲线基线'!$L$3+AH$9*($H$10*H178+$I$10*I178+$J$10*J178+$K$10*K178+$L$10*L178))</x:f>
        <x:v>0.42448957588845826</x:v>
      </x:c>
      <x:c r="AI178" s="2" t="n">
        <x:f>'_曲线基线'!$L$4+AI$9*($H$10*H178+$I$10*I178+$J$10*J178+$K$10*K178+$L$10*L178)</x:f>
        <x:v>3.0432209614035624</x:v>
      </x:c>
      <x:c r="AJ178" s="2" t="n">
        <x:f t="shared" si="207">1+AJ$9*($H$10*H178+$I$10*I178+$J$10*J178+$K$10*K178+$L$10*L178)</x:f>
        <x:v>1.8559761734593332</x:v>
      </x:c>
      <x:c r="AK178" s="1" t="n">
        <x:f t="shared" si="208">(1+AH178*(AI178-1))*AJ178</x:f>
        <x:v>3.4657125628795753</x:v>
      </x:c>
      <x:c r="AL178" s="1" t="n">
        <x:f t="shared" si="209">U178*AD178*AK178*F178</x:f>
        <x:v>1210942.506113283</x:v>
      </x:c>
      <x:c r="AM178" s="13" t="n">
        <x:f t="shared" si="210">IF($B178&lt;AM$8,0,AM$3+(AM$4-AM$3)*(POWER(AM$5,$B178-AM$8)-1)/(POWER(AM$5,$C$5-AM$8)-1))</x:f>
        <x:v>40.65999692733838</x:v>
      </x:c>
      <x:c r="AN178" s="13" t="n">
        <x:f>(((E178*'模块规划'!$D$10+G178*'模块规划'!$D$11+H178*'模块规划'!$D$13)*(1+'模块规划'!$G$14*H178)+(I178*'模块规划'!$D$15+J178*'模块规划'!$D$17+K178*'模块规划'!$D$16+L178*'模块规划'!$D$18))*(1+'模块规划'!$J$17*J178))*F178/(1-Q178)</x:f>
        <x:v>1762677.8302867338</x:v>
      </x:c>
      <x:c r="AO178" s="1" t="n">
        <x:f t="shared" si="211">AL178*AM178</x:f>
        <x:v>49236918.577749535</x:v>
      </x:c>
      <x:c r="AP178" s="1" t="n">
        <x:f>IF(AO178="","",INDEX('_曲线基线'!$A$3:$A$502,MIN(ROWS('_曲线基线'!$A$3:$A$502),COUNTIF('_曲线基线'!$E$3:$E$502,"&lt;"&amp;AO178)+1)))</x:f>
        <x:v>240</x:v>
      </x:c>
      <x:c r="AQ178" s="14" t="n">
        <x:f t="shared" si="212">IF(B178&lt;=2,1,IF(B178&lt;=6,2,IF(B178&lt;=9,3,IF(B178&lt;=19,4,5))))</x:f>
        <x:v>5</x:v>
      </x:c>
      <x:c r="AR178" s="10" t="n">
        <x:f t="shared" si="213">AN178*(1-Q178)/F178*$AS$3+U178*$AS$4+P178*$AS$5</x:f>
        <x:v>13118.61894382529</x:v>
      </x:c>
      <x:c r="AS178" s="15" t="n">
        <x:f t="shared" si="214">1+AH178*$AS$6+AI178*$AS$7+(AJ178-1)*$AS$8+($H$10*H178+$I$10*I178+$J$10*J178+$K$10*K178+$L$10*L178)*$AU$3*$AS$9+($H$10*H178+$I$10*I178+$J$10*J178+$K$10*K178+$L$10*L178)*$AU$4*$AS$10</x:f>
        <x:v>14.817262493677358</x:v>
      </x:c>
      <x:c r="AT178" s="16" t="n">
        <x:f t="shared" si="215">ROUND(AR178*AS178,0)</x:f>
        <x:v>194382</x:v>
      </x:c>
      <x:c r="AU178" s="16" t="n">
        <x:f t="shared" si="216">ROUND(AT178*F178,0)</x:f>
        <x:v>971910</x:v>
      </x:c>
      <x:c r="AV178" t="n">
        <x:f>IF(AU178&gt;0,ROUND(AU178,-MAX(0,INT(LOG10(AU178))-2)),0)</x:f>
        <x:v>972000</x:v>
      </x:c>
    </x:row>
    <x:row r="179" customHeight="1">
      <x:c r="A179" s="1" t="str">
        <x:f>IFERROR(XLOOKUP(B179,'_曲线基线'!$G$3:$G$107,'_曲线基线'!$J$3:$J$107,""),"")</x:f>
      </x:c>
      <x:c r="B179" s="1" t="n">
        <x:v>168</x:v>
      </x:c>
      <x:c r="C179" s="1" t="n">
        <x:f t="shared" ref="C179:C242" si="255">C164+1</x:f>
        <x:v>12</x:v>
      </x:c>
      <x:c r="D179" s="1" t="n">
        <x:f t="shared" ref="D179:D242" si="256">D164</x:f>
        <x:v>9</x:v>
      </x:c>
      <x:c r="E179" s="1" t="n">
        <x:f t="shared" si="188">IF($B179&lt;E$8,0,E$3+(E$4-E$3)*(POWER(E$5,$B179-E$8)-1)/(POWER(E$5,$C$5-E$8)-1))</x:f>
        <x:v>1</x:v>
      </x:c>
      <x:c r="F179" s="10" t="n">
        <x:f t="shared" si="189">1+IF(B179&lt;3,0,MIN(1,(B179-2)/4))+IF(B179&lt;7,0,MIN(1,(B179-6)/3))+IF(B179&lt;10,0,MIN(1,(B179-9)/5))+IF(B179&lt;20,0,MIN(1,(B179-19)/10))</x:f>
        <x:v>5</x:v>
      </x:c>
      <x:c r="G179" s="11" t="n">
        <x:f t="shared" ref="G179:L179" si="257">'玩家战力_节点'!G179</x:f>
        <x:v>0.7514863459006321</x:v>
      </x:c>
      <x:c r="H179" s="11" t="n">
        <x:f t="shared" si="257">'玩家战力_节点'!H179</x:f>
        <x:v>0.5875437091313928</x:v>
      </x:c>
      <x:c r="I179" s="11" t="n">
        <x:f t="shared" si="257">'玩家战力_节点'!I179</x:f>
        <x:v>0.487826496513536</x:v>
      </x:c>
      <x:c r="J179" s="11" t="n">
        <x:f t="shared" si="257">'玩家战力_节点'!J179</x:f>
        <x:v>0.4761332300940785</x:v>
      </x:c>
      <x:c r="K179" s="11" t="n">
        <x:f t="shared" si="257">'玩家战力_节点'!K179</x:f>
        <x:v>0.4203405105882361</x:v>
      </x:c>
      <x:c r="L179" s="11" t="n">
        <x:f t="shared" si="257">'玩家战力_节点'!L179</x:f>
        <x:v>0.5810168838167841</x:v>
      </x:c>
      <x:c r="M179" s="2" t="n">
        <x:f>E179*'模块规划'!$F$10+G179*'模块规划'!$F$11+H179*'模块规划'!$F$13</x:f>
        <x:v>4607.134460323034</x:v>
      </x:c>
      <x:c r="N179" s="2" t="n">
        <x:f>I179*'模块规划'!$F$15+J179*'模块规划'!$F$17+K179*'模块规划'!$F$16+L179*'模块规划'!$F$18</x:f>
        <x:v>14091.071755662411</x:v>
      </x:c>
      <x:c r="O179" s="2" t="n">
        <x:f t="shared" si="191">1+O$9*SUMPRODUCT($H$10:$L$10,H179:L179)/SUM($H$10:$L$10)</x:f>
        <x:v>2.8723616281565185</x:v>
      </x:c>
      <x:c r="P179" s="12" t="n">
        <x:f t="shared" si="192">M179*O179+N179</x:f>
        <x:v>27324.427995251885</x:v>
      </x:c>
      <x:c r="Q179" s="7" t="n">
        <x:f>P179/(P179+'_曲线基线'!$L$2)</x:f>
        <x:v>0.5323864105758708</x:v>
      </x:c>
      <x:c r="R179" s="2" t="n">
        <x:f>E179*'模块规划'!$E$10+G179*'模块规划'!$E$11+H179*'模块规划'!$E$13</x:f>
        <x:v>6910.701690484551</x:v>
      </x:c>
      <x:c r="S179" s="2" t="n">
        <x:f>I179*'模块规划'!$E$15+J179*'模块规划'!$E$17+K179*'模块规划'!$E$16+L179*'模块规划'!$E$18</x:f>
        <x:v>21136.60763349361</x:v>
      </x:c>
      <x:c r="T179" s="2" t="n">
        <x:f t="shared" si="193">1+T$9*SUMPRODUCT($H$10:$L$10,H179:L179)/SUM($H$10:$L$10)</x:f>
        <x:v>2.8723616281565185</x:v>
      </x:c>
      <x:c r="U179" s="12" t="n">
        <x:f t="shared" si="194">R179*T179+S179</x:f>
        <x:v>40986.64199287782</x:v>
      </x:c>
      <x:c r="V179" s="2" t="n">
        <x:f t="shared" si="195">V$8+(V$9-V$8)*H179</x:f>
        <x:v>0.8762631127394178</x:v>
      </x:c>
      <x:c r="W179" s="2" t="n">
        <x:f t="shared" si="196">IF(B179&lt;$H$8,0,W$8+(W$9-W$8)*H179)</x:f>
        <x:v>0.23501748365255712</x:v>
      </x:c>
      <x:c r="X179" s="2" t="n">
        <x:f t="shared" si="197">X$8+(X$9-X$8)*H179</x:f>
        <x:v>0.43657452001113306</x:v>
      </x:c>
      <x:c r="Y179" s="2" t="n">
        <x:f t="shared" si="198">Y$8+(Y$9-Y$8)*G179</x:f>
        <x:v>1</x:v>
      </x:c>
      <x:c r="Z179" s="2" t="n">
        <x:f t="shared" si="199">Z$8+(Z$9-Z$8)*H179</x:f>
        <x:v>1</x:v>
      </x:c>
      <x:c r="AA179" s="2" t="n">
        <x:f t="shared" si="200">AA$8+(AA$9-AA$8)*I179</x:f>
        <x:v>1</x:v>
      </x:c>
      <x:c r="AB179" s="2" t="n">
        <x:f t="shared" si="201">AB$8+(AB$9-AB$8)*J179</x:f>
        <x:v>1</x:v>
      </x:c>
      <x:c r="AC179" s="2" t="n">
        <x:f t="shared" si="202">AC$8+(AC$9-AC$8)*MAX(K179,L179)</x:f>
        <x:v>1</x:v>
      </x:c>
      <x:c r="AD179" s="1" t="n">
        <x:f t="shared" si="203">(V179*AE179+W179*AF179+X179*AG179)*PRODUCT(Y179:AC179)</x:f>
        <x:v>1.7145498437555449</x:v>
      </x:c>
      <x:c r="AE179" s="2" t="n">
        <x:f t="shared" si="204">1+AE$9*($H$10*H179+$I$10*I179+$J$10*J179+$K$10*K179+$L$10*L179)</x:f>
        <x:v>1</x:v>
      </x:c>
      <x:c r="AF179" s="2" t="n">
        <x:f t="shared" si="205">1+AF$9*($H$10*H179+$I$10*I179+$J$10*J179+$K$10*K179+$L$10*L179)</x:f>
        <x:v>1.1652529696105756</x:v>
      </x:c>
      <x:c r="AG179" s="2" t="n">
        <x:f t="shared" si="206">1+AG$9*($H$10*H179+$I$10*I179+$J$10*J179+$K$10*K179+$L$10*L179)</x:f>
        <x:v>1.2928649850320777</x:v>
      </x:c>
      <x:c r="AH179" s="2" t="n">
        <x:f>MIN(1,'_曲线基线'!$L$3+AH$9*($H$10*H179+$I$10*I179+$J$10*J179+$K$10*K179+$L$10*L179))</x:f>
        <x:v>0.42595050586405875</x:v>
      </x:c>
      <x:c r="AI179" s="2" t="n">
        <x:f>'_曲线基线'!$L$4+AI$9*($H$10*H179+$I$10*I179+$J$10*J179+$K$10*K179+$L$10*L179)</x:f>
        <x:v>3.047290694907021</x:v>
      </x:c>
      <x:c r="AJ179" s="2" t="n">
        <x:f t="shared" si="207">1+AJ$9*($H$10*H179+$I$10*I179+$J$10*J179+$K$10*K179+$L$10*L179)</x:f>
        <x:v>1.8593154419749915</x:v>
      </x:c>
      <x:c r="AK179" s="1" t="n">
        <x:f t="shared" si="208">(1+AH179*(AI179-1))*AJ179</x:f>
        <x:v>3.4807212602018125</x:v>
      </x:c>
      <x:c r="AL179" s="1" t="n">
        <x:f t="shared" si="209">U179*AD179*AK179*F179</x:f>
        <x:v>1223014.7747752804</x:v>
      </x:c>
      <x:c r="AM179" s="13" t="n">
        <x:f t="shared" si="210">IF($B179&lt;AM$8,0,AM$3+(AM$4-AM$3)*(POWER(AM$5,$B179-AM$8)-1)/(POWER(AM$5,$C$5-AM$8)-1))</x:f>
        <x:v>40.73002153653364</x:v>
      </x:c>
      <x:c r="AN179" s="13" t="n">
        <x:f>(((E179*'模块规划'!$D$10+G179*'模块规划'!$D$11+H179*'模块规划'!$D$13)*(1+'模块规划'!$G$14*H179)+(I179*'模块规划'!$D$15+J179*'模块规划'!$D$17+K179*'模块规划'!$D$16+L179*'模块规划'!$D$18))*(1+'模块规划'!$J$17*J179))*F179/(1-Q179)</x:f>
        <x:v>1775491.7903123945</x:v>
      </x:c>
      <x:c r="AO179" s="1" t="n">
        <x:f t="shared" si="211">AL179*AM179</x:f>
        <x:v>49813418.11609601</x:v>
      </x:c>
      <x:c r="AP179" s="1" t="n">
        <x:f>IF(AO179="","",INDEX('_曲线基线'!$A$3:$A$502,MIN(ROWS('_曲线基线'!$A$3:$A$502),COUNTIF('_曲线基线'!$E$3:$E$502,"&lt;"&amp;AO179)+1)))</x:f>
        <x:v>241</x:v>
      </x:c>
      <x:c r="AQ179" s="14" t="n">
        <x:f t="shared" si="212">IF(B179&lt;=2,1,IF(B179&lt;=6,2,IF(B179&lt;=9,3,IF(B179&lt;=19,4,5))))</x:f>
        <x:v>5</x:v>
      </x:c>
      <x:c r="AR179" s="10" t="n">
        <x:f t="shared" si="213">AN179*(1-Q179)/F179*$AS$3+U179*$AS$4+P179*$AS$5</x:f>
        <x:v>13178.792932941877</x:v>
      </x:c>
      <x:c r="AS179" s="15" t="n">
        <x:f t="shared" si="214">1+AH179*$AS$6+AI179*$AS$7+(AJ179-1)*$AS$8+($H$10*H179+$I$10*I179+$J$10*J179+$K$10*K179+$L$10*L179)*$AU$3*$AS$9+($H$10*H179+$I$10*I179+$J$10*J179+$K$10*K179+$L$10*L179)*$AU$4*$AS$10</x:f>
        <x:v>14.855632702918593</x:v>
      </x:c>
      <x:c r="AT179" s="16" t="n">
        <x:f t="shared" si="215">ROUND(AR179*AS179,0)</x:f>
        <x:v>195779</x:v>
      </x:c>
      <x:c r="AU179" s="16" t="n">
        <x:f t="shared" si="216">ROUND(AT179*F179,0)</x:f>
        <x:v>978895</x:v>
      </x:c>
      <x:c r="AV179" t="n">
        <x:f>IF(AU179&gt;0,ROUND(AU179,-MAX(0,INT(LOG10(AU179))-2)),0)</x:f>
        <x:v>979000</x:v>
      </x:c>
    </x:row>
    <x:row r="180" customHeight="1">
      <x:c r="A180" s="1" t="str">
        <x:f>IFERROR(XLOOKUP(B180,'_曲线基线'!$G$3:$G$107,'_曲线基线'!$J$3:$J$107,""),"")</x:f>
      </x:c>
      <x:c r="B180" s="1" t="n">
        <x:v>169</x:v>
      </x:c>
      <x:c r="C180" s="1" t="n">
        <x:f t="shared" si="255">C165+1</x:f>
        <x:v>12</x:v>
      </x:c>
      <x:c r="D180" s="1" t="n">
        <x:f t="shared" si="256">D165</x:f>
        <x:v>10</x:v>
      </x:c>
      <x:c r="E180" s="1" t="n">
        <x:f t="shared" si="188">IF($B180&lt;E$8,0,E$3+(E$4-E$3)*(POWER(E$5,$B180-E$8)-1)/(POWER(E$5,$C$5-E$8)-1))</x:f>
        <x:v>1</x:v>
      </x:c>
      <x:c r="F180" s="10" t="n">
        <x:f t="shared" si="189">1+IF(B180&lt;3,0,MIN(1,(B180-2)/4))+IF(B180&lt;7,0,MIN(1,(B180-6)/3))+IF(B180&lt;10,0,MIN(1,(B180-9)/5))+IF(B180&lt;20,0,MIN(1,(B180-19)/10))</x:f>
        <x:v>5</x:v>
      </x:c>
      <x:c r="G180" s="11" t="n">
        <x:f t="shared" ref="G180:L180" si="258">'玩家战力_节点'!G180</x:f>
        <x:v>0.7532328685303146</x:v>
      </x:c>
      <x:c r="H180" s="11" t="n">
        <x:f t="shared" si="258">'玩家战力_节点'!H180</x:f>
        <x:v>0.5888478938765598</x:v>
      </x:c>
      <x:c r="I180" s="11" t="n">
        <x:f t="shared" si="258">'玩家战力_节点'!I180</x:f>
        <x:v>0.4900358963904766</x:v>
      </x:c>
      <x:c r="J180" s="11" t="n">
        <x:f t="shared" si="258">'玩家战力_节点'!J180</x:f>
        <x:v>0.47762513126554945</x:v>
      </x:c>
      <x:c r="K180" s="11" t="n">
        <x:f t="shared" si="258">'玩家战力_节点'!K180</x:f>
        <x:v>0.42398037739542116</x:v>
      </x:c>
      <x:c r="L180" s="11" t="n">
        <x:f t="shared" si="258">'玩家战力_节点'!L180</x:f>
        <x:v>0.5824372770596651</x:v>
      </x:c>
      <x:c r="M180" s="2" t="n">
        <x:f>E180*'模块规划'!$F$10+G180*'模块规划'!$F$11+H180*'模块规划'!$F$13</x:f>
        <x:v>4615.51776894551</x:v>
      </x:c>
      <x:c r="N180" s="2" t="n">
        <x:f>I180*'模块规划'!$F$15+J180*'模块规划'!$F$17+K180*'模块规划'!$F$16+L180*'模块规划'!$F$18</x:f>
        <x:v>14152.60713345016</x:v>
      </x:c>
      <x:c r="O180" s="2" t="n">
        <x:f t="shared" si="191">1+O$9*SUMPRODUCT($H$10:$L$10,H180:L180)/SUM($H$10:$L$10)</x:f>
        <x:v>2.879637557261738</x:v>
      </x:c>
      <x:c r="P180" s="12" t="n">
        <x:f t="shared" si="192">M180*O180+N180</x:f>
        <x:v>27443.625447114555</x:v>
      </x:c>
      <x:c r="Q180" s="7" t="n">
        <x:f>P180/(P180+'_曲线基线'!$L$2)</x:f>
        <x:v>0.5334698946388868</x:v>
      </x:c>
      <x:c r="R180" s="2" t="n">
        <x:f>E180*'模块规划'!$E$10+G180*'模块规划'!$E$11+H180*'模块规划'!$E$13</x:f>
        <x:v>6923.276653418265</x:v>
      </x:c>
      <x:c r="S180" s="2" t="n">
        <x:f>I180*'模块规划'!$E$15+J180*'模块规划'!$E$17+K180*'模块规划'!$E$16+L180*'模块规划'!$E$18</x:f>
        <x:v>21228.910700175238</x:v>
      </x:c>
      <x:c r="T180" s="2" t="n">
        <x:f t="shared" si="193">1+T$9*SUMPRODUCT($H$10:$L$10,H180:L180)/SUM($H$10:$L$10)</x:f>
        <x:v>2.879637557261738</x:v>
      </x:c>
      <x:c r="U180" s="12" t="n">
        <x:f t="shared" si="194">R180*T180+S180</x:f>
        <x:v>41165.43817067183</x:v>
      </x:c>
      <x:c r="V180" s="2" t="n">
        <x:f t="shared" si="195">V$8+(V$9-V$8)*H180</x:f>
        <x:v>0.8766543681629679</x:v>
      </x:c>
      <x:c r="W180" s="2" t="n">
        <x:f t="shared" si="196">IF(B180&lt;$H$8,0,W$8+(W$9-W$8)*H180)</x:f>
        <x:v>0.23553915755062393</x:v>
      </x:c>
      <x:c r="X180" s="2" t="n">
        <x:f t="shared" si="197">X$8+(X$9-X$8)*H180</x:f>
        <x:v>0.436933170816054</x:v>
      </x:c>
      <x:c r="Y180" s="2" t="n">
        <x:f t="shared" si="198">Y$8+(Y$9-Y$8)*G180</x:f>
        <x:v>1</x:v>
      </x:c>
      <x:c r="Z180" s="2" t="n">
        <x:f t="shared" si="199">Z$8+(Z$9-Z$8)*H180</x:f>
        <x:v>1</x:v>
      </x:c>
      <x:c r="AA180" s="2" t="n">
        <x:f t="shared" si="200">AA$8+(AA$9-AA$8)*I180</x:f>
        <x:v>1</x:v>
      </x:c>
      <x:c r="AB180" s="2" t="n">
        <x:f t="shared" si="201">AB$8+(AB$9-AB$8)*J180</x:f>
        <x:v>1</x:v>
      </x:c>
      <x:c r="AC180" s="2" t="n">
        <x:f t="shared" si="202">AC$8+(AC$9-AC$8)*MAX(K180,L180)</x:f>
        <x:v>1</x:v>
      </x:c>
      <x:c r="AD180" s="1" t="n">
        <x:f t="shared" si="203">(V180*AE180+W180*AF180+X180*AG180)*PRODUCT(Y180:AC180)</x:f>
        <x:v>1.7166611811147123</x:v>
      </x:c>
      <x:c r="AE180" s="2" t="n">
        <x:f t="shared" si="204">1+AE$9*($H$10*H180+$I$10*I180+$J$10*J180+$K$10*K180+$L$10*L180)</x:f>
        <x:v>1</x:v>
      </x:c>
      <x:c r="AF180" s="2" t="n">
        <x:f t="shared" si="205">1+AF$9*($H$10*H180+$I$10*I180+$J$10*J180+$K$10*K180+$L$10*L180)</x:f>
        <x:v>1.1658951366328174</x:v>
      </x:c>
      <x:c r="AG180" s="2" t="n">
        <x:f t="shared" si="206">1+AG$9*($H$10*H180+$I$10*I180+$J$10*J180+$K$10*K180+$L$10*L180)</x:f>
        <x:v>1.2940030476992732</x:v>
      </x:c>
      <x:c r="AH180" s="2" t="n">
        <x:f>MIN(1,'_曲线基线'!$L$3+AH$9*($H$10*H180+$I$10*I180+$J$10*J180+$K$10*K180+$L$10*L180))</x:f>
        <x:v>0.42741143583965935</x:v>
      </x:c>
      <x:c r="AI180" s="2" t="n">
        <x:f>'_曲线基线'!$L$4+AI$9*($H$10*H180+$I$10*I180+$J$10*J180+$K$10*K180+$L$10*L180)</x:f>
        <x:v>3.0513604284104794</x:v>
      </x:c>
      <x:c r="AJ180" s="2" t="n">
        <x:f t="shared" si="207">1+AJ$9*($H$10*H180+$I$10*I180+$J$10*J180+$K$10*K180+$L$10*L180)</x:f>
        <x:v>1.86265471049065</x:v>
      </x:c>
      <x:c r="AK180" s="1" t="n">
        <x:f t="shared" si="208">(1+AH180*(AI180-1))*AJ180</x:f>
        <x:v>3.495783619436638</x:v>
      </x:c>
      <x:c r="AL180" s="1" t="n">
        <x:f t="shared" si="209">U180*AD180*AK180*F180</x:f>
        <x:v>1235184.6228062022</x:v>
      </x:c>
      <x:c r="AM180" s="13" t="n">
        <x:f t="shared" si="210">IF($B180&lt;AM$8,0,AM$3+(AM$4-AM$3)*(POWER(AM$5,$B180-AM$8)-1)/(POWER(AM$5,$C$5-AM$8)-1))</x:f>
        <x:v>40.800746391820844</x:v>
      </x:c>
      <x:c r="AN180" s="13" t="n">
        <x:f>(((E180*'模块规划'!$D$10+G180*'模块规划'!$D$11+H180*'模块规划'!$D$13)*(1+'模块规划'!$G$14*H180)+(I180*'模块规划'!$D$15+J180*'模块规划'!$D$17+K180*'模块规划'!$D$16+L180*'模块规划'!$D$18))*(1+'模块规划'!$J$17*J180))*F180/(1-Q180)</x:f>
        <x:v>1788367.3902337642</x:v>
      </x:c>
      <x:c r="AO180" s="1" t="n">
        <x:f t="shared" si="211">AL180*AM180</x:f>
        <x:v>50396454.54219274</x:v>
      </x:c>
      <x:c r="AP180" s="1" t="n">
        <x:f>IF(AO180="","",INDEX('_曲线基线'!$A$3:$A$502,MIN(ROWS('_曲线基线'!$A$3:$A$502),COUNTIF('_曲线基线'!$E$3:$E$502,"&lt;"&amp;AO180)+1)))</x:f>
        <x:v>242</x:v>
      </x:c>
      <x:c r="AQ180" s="14" t="n">
        <x:f t="shared" si="212">IF(B180&lt;=2,1,IF(B180&lt;=6,2,IF(B180&lt;=9,3,IF(B180&lt;=19,4,5))))</x:f>
        <x:v>5</x:v>
      </x:c>
      <x:c r="AR180" s="10" t="n">
        <x:f t="shared" si="213">AN180*(1-Q180)/F180*$AS$3+U180*$AS$4+P180*$AS$5</x:f>
        <x:v>13239.050996075188</x:v>
      </x:c>
      <x:c r="AS180" s="15" t="n">
        <x:f t="shared" si="214">1+AH180*$AS$6+AI180*$AS$7+(AJ180-1)*$AS$8+($H$10*H180+$I$10*I180+$J$10*J180+$K$10*K180+$L$10*L180)*$AU$3*$AS$9+($H$10*H180+$I$10*I180+$J$10*J180+$K$10*K180+$L$10*L180)*$AU$4*$AS$10</x:f>
        <x:v>14.89400291215983</x:v>
      </x:c>
      <x:c r="AT180" s="16" t="n">
        <x:f t="shared" si="215">ROUND(AR180*AS180,0)</x:f>
        <x:v>197182</x:v>
      </x:c>
      <x:c r="AU180" s="16" t="n">
        <x:f t="shared" si="216">ROUND(AT180*F180,0)</x:f>
        <x:v>985910</x:v>
      </x:c>
      <x:c r="AV180" t="n">
        <x:f>IF(AU180&gt;0,ROUND(AU180,-MAX(0,INT(LOG10(AU180))-2)),0)</x:f>
        <x:v>986000</x:v>
      </x:c>
    </x:row>
    <x:row r="181" customHeight="1">
      <x:c r="A181" s="1" t="str">
        <x:f>IFERROR(XLOOKUP(B181,'_曲线基线'!$G$3:$G$107,'_曲线基线'!$J$3:$J$107,""),"")</x:f>
      </x:c>
      <x:c r="B181" s="1" t="n">
        <x:v>170</x:v>
      </x:c>
      <x:c r="C181" s="1" t="n">
        <x:f t="shared" si="255">C166+1</x:f>
        <x:v>12</x:v>
      </x:c>
      <x:c r="D181" s="1" t="n">
        <x:f t="shared" si="256">D166</x:f>
        <x:v>11</x:v>
      </x:c>
      <x:c r="E181" s="1" t="n">
        <x:f t="shared" si="188">IF($B181&lt;E$8,0,E$3+(E$4-E$3)*(POWER(E$5,$B181-E$8)-1)/(POWER(E$5,$C$5-E$8)-1))</x:f>
        <x:v>1</x:v>
      </x:c>
      <x:c r="F181" s="10" t="n">
        <x:f t="shared" si="189">1+IF(B181&lt;3,0,MIN(1,(B181-2)/4))+IF(B181&lt;7,0,MIN(1,(B181-6)/3))+IF(B181&lt;10,0,MIN(1,(B181-9)/5))+IF(B181&lt;20,0,MIN(1,(B181-19)/10))</x:f>
        <x:v>5</x:v>
      </x:c>
      <x:c r="G181" s="11" t="n">
        <x:f t="shared" ref="G181:L181" si="259">'玩家战力_节点'!G181</x:f>
        <x:v>0.7549793911599972</x:v>
      </x:c>
      <x:c r="H181" s="11" t="n">
        <x:f t="shared" si="259">'玩家战力_节点'!H181</x:f>
        <x:v>0.5901520786217269</x:v>
      </x:c>
      <x:c r="I181" s="11" t="n">
        <x:f t="shared" si="259">'玩家战力_节点'!I181</x:f>
        <x:v>0.49224529626741736</x:v>
      </x:c>
      <x:c r="J181" s="11" t="n">
        <x:f t="shared" si="259">'玩家战力_节点'!J181</x:f>
        <x:v>0.4791170324370204</x:v>
      </x:c>
      <x:c r="K181" s="11" t="n">
        <x:f t="shared" si="259">'玩家战力_节点'!K181</x:f>
        <x:v>0.4276202442026061</x:v>
      </x:c>
      <x:c r="L181" s="11" t="n">
        <x:f t="shared" si="259">'玩家战力_节点'!L181</x:f>
        <x:v>0.5838576703025461</x:v>
      </x:c>
      <x:c r="M181" s="2" t="n">
        <x:f>E181*'模块规划'!$F$10+G181*'模块规划'!$F$11+H181*'模块规划'!$F$13</x:f>
        <x:v>4623.901077567987</x:v>
      </x:c>
      <x:c r="N181" s="2" t="n">
        <x:f>I181*'模块规划'!$F$15+J181*'模块规划'!$F$17+K181*'模块规划'!$F$16+L181*'模块规划'!$F$18</x:f>
        <x:v>14214.14251123791</x:v>
      </x:c>
      <x:c r="O181" s="2" t="n">
        <x:f t="shared" si="191">1+O$9*SUMPRODUCT($H$10:$L$10,H181:L181)/SUM($H$10:$L$10)</x:f>
        <x:v>2.8869134863669568</x:v>
      </x:c>
      <x:c r="P181" s="12" t="n">
        <x:f t="shared" si="192">M181*O181+N181</x:f>
        <x:v>27562.944891695635</x:v>
      </x:c>
      <x:c r="Q181" s="7" t="n">
        <x:f>P181/(P181+'_曲线基线'!$L$2)</x:f>
        <x:v>0.5345494705469146</x:v>
      </x:c>
      <x:c r="R181" s="2" t="n">
        <x:f>E181*'模块规划'!$E$10+G181*'模块规划'!$E$11+H181*'模块规划'!$E$13</x:f>
        <x:v>6935.85161635198</x:v>
      </x:c>
      <x:c r="S181" s="2" t="n">
        <x:f>I181*'模块规划'!$E$15+J181*'模块规划'!$E$17+K181*'模块规划'!$E$16+L181*'模块规划'!$E$18</x:f>
        <x:v>21321.213766856865</x:v>
      </x:c>
      <x:c r="T181" s="2" t="n">
        <x:f t="shared" si="193">1+T$9*SUMPRODUCT($H$10:$L$10,H181:L181)/SUM($H$10:$L$10)</x:f>
        <x:v>2.8869134863669568</x:v>
      </x:c>
      <x:c r="U181" s="12" t="n">
        <x:f t="shared" si="194">R181*T181+S181</x:f>
        <x:v>41344.41733754345</x:v>
      </x:c>
      <x:c r="V181" s="2" t="n">
        <x:f t="shared" si="195">V$8+(V$9-V$8)*H181</x:f>
        <x:v>0.877045623586518</x:v>
      </x:c>
      <x:c r="W181" s="2" t="n">
        <x:f t="shared" si="196">IF(B181&lt;$H$8,0,W$8+(W$9-W$8)*H181)</x:f>
        <x:v>0.23606083144869078</x:v>
      </x:c>
      <x:c r="X181" s="2" t="n">
        <x:f t="shared" si="197">X$8+(X$9-X$8)*H181</x:f>
        <x:v>0.4372918216209749</x:v>
      </x:c>
      <x:c r="Y181" s="2" t="n">
        <x:f t="shared" si="198">Y$8+(Y$9-Y$8)*G181</x:f>
        <x:v>1</x:v>
      </x:c>
      <x:c r="Z181" s="2" t="n">
        <x:f t="shared" si="199">Z$8+(Z$9-Z$8)*H181</x:f>
        <x:v>1</x:v>
      </x:c>
      <x:c r="AA181" s="2" t="n">
        <x:f t="shared" si="200">AA$8+(AA$9-AA$8)*I181</x:f>
        <x:v>1</x:v>
      </x:c>
      <x:c r="AB181" s="2" t="n">
        <x:f t="shared" si="201">AB$8+(AB$9-AB$8)*J181</x:f>
        <x:v>1</x:v>
      </x:c>
      <x:c r="AC181" s="2" t="n">
        <x:f t="shared" si="202">AC$8+(AC$9-AC$8)*MAX(K181,L181)</x:f>
        <x:v>1</x:v>
      </x:c>
      <x:c r="AD181" s="1" t="n">
        <x:f t="shared" si="203">(V181*AE181+W181*AF181+X181*AG181)*PRODUCT(Y181:AC181)</x:f>
        <x:v>1.7187740048116105</x:v>
      </x:c>
      <x:c r="AE181" s="2" t="n">
        <x:f t="shared" si="204">1+AE$9*($H$10*H181+$I$10*I181+$J$10*J181+$K$10*K181+$L$10*L181)</x:f>
        <x:v>1</x:v>
      </x:c>
      <x:c r="AF181" s="2" t="n">
        <x:f t="shared" si="205">1+AF$9*($H$10*H181+$I$10*I181+$J$10*J181+$K$10*K181+$L$10*L181)</x:f>
        <x:v>1.1665373036550595</x:v>
      </x:c>
      <x:c r="AG181" s="2" t="n">
        <x:f t="shared" si="206">1+AG$9*($H$10*H181+$I$10*I181+$J$10*J181+$K$10*K181+$L$10*L181)</x:f>
        <x:v>1.2951411103664687</x:v>
      </x:c>
      <x:c r="AH181" s="2" t="n">
        <x:f>MIN(1,'_曲线基线'!$L$3+AH$9*($H$10*H181+$I$10*I181+$J$10*J181+$K$10*K181+$L$10*L181))</x:f>
        <x:v>0.42887236581525995</x:v>
      </x:c>
      <x:c r="AI181" s="2" t="n">
        <x:f>'_曲线基线'!$L$4+AI$9*($H$10*H181+$I$10*I181+$J$10*J181+$K$10*K181+$L$10*L181)</x:f>
        <x:v>3.0554301619139386</x:v>
      </x:c>
      <x:c r="AJ181" s="2" t="n">
        <x:f t="shared" si="207">1+AJ$9*($H$10*H181+$I$10*I181+$J$10*J181+$K$10*K181+$L$10*L181)</x:f>
        <x:v>1.8659939790063085</x:v>
      </x:c>
      <x:c r="AK181" s="1" t="n">
        <x:f t="shared" si="208">(1+AH181*(AI181-1))*AJ181</x:f>
        <x:v>3.510899759707696</x:v>
      </x:c>
      <x:c r="AL181" s="1" t="n">
        <x:f t="shared" si="209">U181*AD181*AK181*F181</x:f>
        <x:v>1247452.6986716324</x:v>
      </x:c>
      <x:c r="AM181" s="13" t="n">
        <x:f t="shared" si="210">IF($B181&lt;AM$8,0,AM$3+(AM$4-AM$3)*(POWER(AM$5,$B181-AM$8)-1)/(POWER(AM$5,$C$5-AM$8)-1))</x:f>
        <x:v>40.87217849566092</x:v>
      </x:c>
      <x:c r="AN181" s="13" t="n">
        <x:f>(((E181*'模块规划'!$D$10+G181*'模块规划'!$D$11+H181*'模块规划'!$D$13)*(1+'模块规划'!$G$14*H181)+(I181*'模块规划'!$D$15+J181*'模块规划'!$D$17+K181*'模块规划'!$D$16+L181*'模块规划'!$D$18))*(1+'模块规划'!$J$17*J181))*F181/(1-Q181)</x:f>
        <x:v>1801304.8158889145</x:v>
      </x:c>
      <x:c r="AO181" s="1" t="n">
        <x:f t="shared" si="211">AL181*AM181</x:f>
        <x:v>50986109.365000874</x:v>
      </x:c>
      <x:c r="AP181" s="1" t="n">
        <x:f>IF(AO181="","",INDEX('_曲线基线'!$A$3:$A$502,MIN(ROWS('_曲线基线'!$A$3:$A$502),COUNTIF('_曲线基线'!$E$3:$E$502,"&lt;"&amp;AO181)+1)))</x:f>
        <x:v>243</x:v>
      </x:c>
      <x:c r="AQ181" s="14" t="n">
        <x:f t="shared" si="212">IF(B181&lt;=2,1,IF(B181&lt;=6,2,IF(B181&lt;=9,3,IF(B181&lt;=19,4,5))))</x:f>
        <x:v>5</x:v>
      </x:c>
      <x:c r="AR181" s="10" t="n">
        <x:f t="shared" si="213">AN181*(1-Q181)/F181*$AS$3+U181*$AS$4+P181*$AS$5</x:f>
        <x:v>13299.393149080017</x:v>
      </x:c>
      <x:c r="AS181" s="15" t="n">
        <x:f t="shared" si="214">1+AH181*$AS$6+AI181*$AS$7+(AJ181-1)*$AS$8+($H$10*H181+$I$10*I181+$J$10*J181+$K$10*K181+$L$10*L181)*$AU$3*$AS$9+($H$10*H181+$I$10*I181+$J$10*J181+$K$10*K181+$L$10*L181)*$AU$4*$AS$10</x:f>
        <x:v>14.932373121401072</x:v>
      </x:c>
      <x:c r="AT181" s="16" t="n">
        <x:f t="shared" si="215">ROUND(AR181*AS181,0)</x:f>
        <x:v>198592</x:v>
      </x:c>
      <x:c r="AU181" s="16" t="n">
        <x:f t="shared" si="216">ROUND(AT181*F181,0)</x:f>
        <x:v>992960</x:v>
      </x:c>
      <x:c r="AV181" t="n">
        <x:f>IF(AU181&gt;0,ROUND(AU181,-MAX(0,INT(LOG10(AU181))-2)),0)</x:f>
        <x:v>993000</x:v>
      </x:c>
    </x:row>
    <x:row r="182" customHeight="1">
      <x:c r="A182" s="1" t="str">
        <x:f>IFERROR(XLOOKUP(B182,'_曲线基线'!$G$3:$G$107,'_曲线基线'!$J$3:$J$107,""),"")</x:f>
      </x:c>
      <x:c r="B182" s="1" t="n">
        <x:v>171</x:v>
      </x:c>
      <x:c r="C182" s="1" t="n">
        <x:f t="shared" si="255">C167+1</x:f>
        <x:v>12</x:v>
      </x:c>
      <x:c r="D182" s="1" t="n">
        <x:f t="shared" si="256">D167</x:f>
        <x:v>12</x:v>
      </x:c>
      <x:c r="E182" s="1" t="n">
        <x:f t="shared" si="188">IF($B182&lt;E$8,0,E$3+(E$4-E$3)*(POWER(E$5,$B182-E$8)-1)/(POWER(E$5,$C$5-E$8)-1))</x:f>
        <x:v>1</x:v>
      </x:c>
      <x:c r="F182" s="10" t="n">
        <x:f t="shared" si="189">1+IF(B182&lt;3,0,MIN(1,(B182-2)/4))+IF(B182&lt;7,0,MIN(1,(B182-6)/3))+IF(B182&lt;10,0,MIN(1,(B182-9)/5))+IF(B182&lt;20,0,MIN(1,(B182-19)/10))</x:f>
        <x:v>5</x:v>
      </x:c>
      <x:c r="G182" s="11" t="n">
        <x:f t="shared" ref="G182:L182" si="260">'玩家战力_节点'!G182</x:f>
        <x:v>0.7567259137896797</x:v>
      </x:c>
      <x:c r="H182" s="11" t="n">
        <x:f t="shared" si="260">'玩家战力_节点'!H182</x:f>
        <x:v>0.5914562633668939</x:v>
      </x:c>
      <x:c r="I182" s="11" t="n">
        <x:f t="shared" si="260">'玩家战力_节点'!I182</x:f>
        <x:v>0.494454696144358</x:v>
      </x:c>
      <x:c r="J182" s="11" t="n">
        <x:f t="shared" si="260">'玩家战力_节点'!J182</x:f>
        <x:v>0.4806089336084914</x:v>
      </x:c>
      <x:c r="K182" s="11" t="n">
        <x:f t="shared" si="260">'玩家战力_节点'!K182</x:f>
        <x:v>0.43126011100979106</x:v>
      </x:c>
      <x:c r="L182" s="11" t="n">
        <x:f t="shared" si="260">'玩家战力_节点'!L182</x:f>
        <x:v>0.5852780635454271</x:v>
      </x:c>
      <x:c r="M182" s="2" t="n">
        <x:f>E182*'模块规划'!$F$10+G182*'模块规划'!$F$11+H182*'模块规划'!$F$13</x:f>
        <x:v>4632.284386190462</x:v>
      </x:c>
      <x:c r="N182" s="2" t="n">
        <x:f>I182*'模块规划'!$F$15+J182*'模块规划'!$F$17+K182*'模块规划'!$F$16+L182*'模块规划'!$F$18</x:f>
        <x:v>14275.677889025661</x:v>
      </x:c>
      <x:c r="O182" s="2" t="n">
        <x:f t="shared" si="191">1+O$9*SUMPRODUCT($H$10:$L$10,H182:L182)/SUM($H$10:$L$10)</x:f>
        <x:v>2.8941894154721757</x:v>
      </x:c>
      <x:c r="P182" s="12" t="n">
        <x:f t="shared" si="192">M182*O182+N182</x:f>
        <x:v>27682.38632899512</x:v>
      </x:c>
      <x:c r="Q182" s="7" t="n">
        <x:f>P182/(P182+'_曲线基线'!$L$2)</x:f>
        <x:v>0.5356251577235048</x:v>
      </x:c>
      <x:c r="R182" s="2" t="n">
        <x:f>E182*'模块规划'!$E$10+G182*'模块规划'!$E$11+H182*'模块规划'!$E$13</x:f>
        <x:v>6948.426579285694</x:v>
      </x:c>
      <x:c r="S182" s="2" t="n">
        <x:f>I182*'模块规划'!$E$15+J182*'模块规划'!$E$17+K182*'模块规划'!$E$16+L182*'模块规划'!$E$18</x:f>
        <x:v>21413.516833538488</x:v>
      </x:c>
      <x:c r="T182" s="2" t="n">
        <x:f t="shared" si="193">1+T$9*SUMPRODUCT($H$10:$L$10,H182:L182)/SUM($H$10:$L$10)</x:f>
        <x:v>2.8941894154721757</x:v>
      </x:c>
      <x:c r="U182" s="12" t="n">
        <x:f t="shared" si="194">R182*T182+S182</x:f>
        <x:v>41523.57949349268</x:v>
      </x:c>
      <x:c r="V182" s="2" t="n">
        <x:f t="shared" si="195">V$8+(V$9-V$8)*H182</x:f>
        <x:v>0.8774368790100682</x:v>
      </x:c>
      <x:c r="W182" s="2" t="n">
        <x:f t="shared" si="196">IF(B182&lt;$H$8,0,W$8+(W$9-W$8)*H182)</x:f>
        <x:v>0.2365825053467576</x:v>
      </x:c>
      <x:c r="X182" s="2" t="n">
        <x:f t="shared" si="197">X$8+(X$9-X$8)*H182</x:f>
        <x:v>0.43765047242589583</x:v>
      </x:c>
      <x:c r="Y182" s="2" t="n">
        <x:f t="shared" si="198">Y$8+(Y$9-Y$8)*G182</x:f>
        <x:v>1</x:v>
      </x:c>
      <x:c r="Z182" s="2" t="n">
        <x:f t="shared" si="199">Z$8+(Z$9-Z$8)*H182</x:f>
        <x:v>1</x:v>
      </x:c>
      <x:c r="AA182" s="2" t="n">
        <x:f t="shared" si="200">AA$8+(AA$9-AA$8)*I182</x:f>
        <x:v>1</x:v>
      </x:c>
      <x:c r="AB182" s="2" t="n">
        <x:f t="shared" si="201">AB$8+(AB$9-AB$8)*J182</x:f>
        <x:v>1</x:v>
      </x:c>
      <x:c r="AC182" s="2" t="n">
        <x:f t="shared" si="202">AC$8+(AC$9-AC$8)*MAX(K182,L182)</x:f>
        <x:v>1</x:v>
      </x:c>
      <x:c r="AD182" s="1" t="n">
        <x:f t="shared" si="203">(V182*AE182+W182*AF182+X182*AG182)*PRODUCT(Y182:AC182)</x:f>
        <x:v>1.7208883148462393</x:v>
      </x:c>
      <x:c r="AE182" s="2" t="n">
        <x:f t="shared" si="204">1+AE$9*($H$10*H182+$I$10*I182+$J$10*J182+$K$10*K182+$L$10*L182)</x:f>
        <x:v>1</x:v>
      </x:c>
      <x:c r="AF182" s="2" t="n">
        <x:f t="shared" si="205">1+AF$9*($H$10*H182+$I$10*I182+$J$10*J182+$K$10*K182+$L$10*L182)</x:f>
        <x:v>1.1671794706773015</x:v>
      </x:c>
      <x:c r="AG182" s="2" t="n">
        <x:f t="shared" si="206">1+AG$9*($H$10*H182+$I$10*I182+$J$10*J182+$K$10*K182+$L$10*L182)</x:f>
        <x:v>1.2962791730336642</x:v>
      </x:c>
      <x:c r="AH182" s="2" t="n">
        <x:f>MIN(1,'_曲线基线'!$L$3+AH$9*($H$10*H182+$I$10*I182+$J$10*J182+$K$10*K182+$L$10*L182))</x:f>
        <x:v>0.43033329579086044</x:v>
      </x:c>
      <x:c r="AI182" s="2" t="n">
        <x:f>'_曲线基线'!$L$4+AI$9*($H$10*H182+$I$10*I182+$J$10*J182+$K$10*K182+$L$10*L182)</x:f>
        <x:v>3.059499895417397</x:v>
      </x:c>
      <x:c r="AJ182" s="2" t="n">
        <x:f t="shared" si="207">1+AJ$9*($H$10*H182+$I$10*I182+$J$10*J182+$K$10*K182+$L$10*L182)</x:f>
        <x:v>1.8693332475219668</x:v>
      </x:c>
      <x:c r="AK182" s="1" t="n">
        <x:f t="shared" si="208">(1+AH182*(AI182-1))*AJ182</x:f>
        <x:v>3.526069800138626</x:v>
      </x:c>
      <x:c r="AL182" s="1" t="n">
        <x:f t="shared" si="209">U182*AD182*AK182*F182</x:f>
        <x:v>1259819.6542198265</x:v>
      </x:c>
      <x:c r="AM182" s="13" t="n">
        <x:f t="shared" si="210">IF($B182&lt;AM$8,0,AM$3+(AM$4-AM$3)*(POWER(AM$5,$B182-AM$8)-1)/(POWER(AM$5,$C$5-AM$8)-1))</x:f>
        <x:v>40.9443249205394</x:v>
      </x:c>
      <x:c r="AN182" s="13" t="n">
        <x:f>(((E182*'模块规划'!$D$10+G182*'模块规划'!$D$11+H182*'模块规划'!$D$13)*(1+'模块规划'!$G$14*H182)+(I182*'模块规划'!$D$15+J182*'模块规划'!$D$17+K182*'模块规划'!$D$16+L182*'模块规划'!$D$18))*(1+'模块规划'!$J$17*J182))*F182/(1-Q182)</x:f>
        <x:v>1814304.2534098483</x:v>
      </x:c>
      <x:c r="AO182" s="1" t="n">
        <x:f t="shared" si="211">AL182*AM182</x:f>
        <x:v>51582465.26365817</x:v>
      </x:c>
      <x:c r="AP182" s="1" t="n">
        <x:f>IF(AO182="","",INDEX('_曲线基线'!$A$3:$A$502,MIN(ROWS('_曲线基线'!$A$3:$A$502),COUNTIF('_曲线基线'!$E$3:$E$502,"&lt;"&amp;AO182)+1)))</x:f>
        <x:v>244</x:v>
      </x:c>
      <x:c r="AQ182" s="14" t="n">
        <x:f t="shared" si="212">IF(B182&lt;=2,1,IF(B182&lt;=6,2,IF(B182&lt;=9,3,IF(B182&lt;=19,4,5))))</x:f>
        <x:v>5</x:v>
      </x:c>
      <x:c r="AR182" s="10" t="n">
        <x:f t="shared" si="213">AN182*(1-Q182)/F182*$AS$3+U182*$AS$4+P182*$AS$5</x:f>
        <x:v>13359.819407811174</x:v>
      </x:c>
      <x:c r="AS182" s="15" t="n">
        <x:f t="shared" si="214">1+AH182*$AS$6+AI182*$AS$7+(AJ182-1)*$AS$8+($H$10*H182+$I$10*I182+$J$10*J182+$K$10*K182+$L$10*L182)*$AU$3*$AS$9+($H$10*H182+$I$10*I182+$J$10*J182+$K$10*K182+$L$10*L182)*$AU$4*$AS$10</x:f>
        <x:v>14.97074333064231</x:v>
      </x:c>
      <x:c r="AT182" s="16" t="n">
        <x:f t="shared" si="215">ROUND(AR182*AS182,0)</x:f>
        <x:v>200006</x:v>
      </x:c>
      <x:c r="AU182" s="16" t="n">
        <x:f t="shared" si="216">ROUND(AT182*F182,0)</x:f>
        <x:v>1000030</x:v>
      </x:c>
      <x:c r="AV182" t="n">
        <x:f>IF(AU182&gt;0,ROUND(AU182,-MAX(0,INT(LOG10(AU182))-2)),0)</x:f>
        <x:v>1000000</x:v>
      </x:c>
    </x:row>
    <x:row r="183" customHeight="1">
      <x:c r="A183" s="1" t="str">
        <x:f>IFERROR(XLOOKUP(B183,'_曲线基线'!$G$3:$G$107,'_曲线基线'!$J$3:$J$107,""),"")</x:f>
      </x:c>
      <x:c r="B183" s="1" t="n">
        <x:v>172</x:v>
      </x:c>
      <x:c r="C183" s="1" t="n">
        <x:f t="shared" si="255">C168+1</x:f>
        <x:v>12</x:v>
      </x:c>
      <x:c r="D183" s="1" t="n">
        <x:f t="shared" si="256">D168</x:f>
        <x:v>13</x:v>
      </x:c>
      <x:c r="E183" s="1" t="n">
        <x:f t="shared" si="188">IF($B183&lt;E$8,0,E$3+(E$4-E$3)*(POWER(E$5,$B183-E$8)-1)/(POWER(E$5,$C$5-E$8)-1))</x:f>
        <x:v>1</x:v>
      </x:c>
      <x:c r="F183" s="10" t="n">
        <x:f t="shared" si="189">1+IF(B183&lt;3,0,MIN(1,(B183-2)/4))+IF(B183&lt;7,0,MIN(1,(B183-6)/3))+IF(B183&lt;10,0,MIN(1,(B183-9)/5))+IF(B183&lt;20,0,MIN(1,(B183-19)/10))</x:f>
        <x:v>5</x:v>
      </x:c>
      <x:c r="G183" s="11" t="n">
        <x:f t="shared" ref="G183:L183" si="261">'玩家战力_节点'!G183</x:f>
        <x:v>0.7584724364193622</x:v>
      </x:c>
      <x:c r="H183" s="11" t="n">
        <x:f t="shared" si="261">'玩家战力_节点'!H183</x:f>
        <x:v>0.592760448112061</x:v>
      </x:c>
      <x:c r="I183" s="11" t="n">
        <x:f t="shared" si="261">'玩家战力_节点'!I183</x:f>
        <x:v>0.49666409602129863</x:v>
      </x:c>
      <x:c r="J183" s="11" t="n">
        <x:f t="shared" si="261">'玩家战力_节点'!J183</x:f>
        <x:v>0.48210083477996235</x:v>
      </x:c>
      <x:c r="K183" s="11" t="n">
        <x:f t="shared" si="261">'玩家战力_节点'!K183</x:f>
        <x:v>0.434899977816976</x:v>
      </x:c>
      <x:c r="L183" s="11" t="n">
        <x:f t="shared" si="261">'玩家战力_节点'!L183</x:f>
        <x:v>0.5866984567883081</x:v>
      </x:c>
      <x:c r="M183" s="2" t="n">
        <x:f>E183*'模块规划'!$F$10+G183*'模块规划'!$F$11+H183*'模块规划'!$F$13</x:f>
        <x:v>4640.667694812939</x:v>
      </x:c>
      <x:c r="N183" s="2" t="n">
        <x:f>I183*'模块规划'!$F$15+J183*'模块规划'!$F$17+K183*'模块规划'!$F$16+L183*'模块规划'!$F$18</x:f>
        <x:v>14337.213266813409</x:v>
      </x:c>
      <x:c r="O183" s="2" t="n">
        <x:f t="shared" si="191">1+O$9*SUMPRODUCT($H$10:$L$10,H183:L183)/SUM($H$10:$L$10)</x:f>
        <x:v>2.901465344577394</x:v>
      </x:c>
      <x:c r="P183" s="12" t="n">
        <x:f t="shared" si="192">M183*O183+N183</x:f>
        <x:v>27801.949759013012</x:v>
      </x:c>
      <x:c r="Q183" s="7" t="n">
        <x:f>P183/(P183+'_曲线基线'!$L$2)</x:f>
        <x:v>0.5366969754681049</x:v>
      </x:c>
      <x:c r="R183" s="2" t="n">
        <x:f>E183*'模块规划'!$E$10+G183*'模块规划'!$E$11+H183*'模块规划'!$E$13</x:f>
        <x:v>6961.001542219408</x:v>
      </x:c>
      <x:c r="S183" s="2" t="n">
        <x:f>I183*'模块规划'!$E$15+J183*'模块规划'!$E$17+K183*'模块规划'!$E$16+L183*'模块规划'!$E$18</x:f>
        <x:v>21505.81990022011</x:v>
      </x:c>
      <x:c r="T183" s="2" t="n">
        <x:f t="shared" si="193">1+T$9*SUMPRODUCT($H$10:$L$10,H183:L183)/SUM($H$10:$L$10)</x:f>
        <x:v>2.901465344577394</x:v>
      </x:c>
      <x:c r="U183" s="12" t="n">
        <x:f t="shared" si="194">R183*T183+S183</x:f>
        <x:v>41702.924638519515</x:v>
      </x:c>
      <x:c r="V183" s="2" t="n">
        <x:f t="shared" si="195">V$8+(V$9-V$8)*H183</x:f>
        <x:v>0.8778281344336183</x:v>
      </x:c>
      <x:c r="W183" s="2" t="n">
        <x:f t="shared" si="196">IF(B183&lt;$H$8,0,W$8+(W$9-W$8)*H183)</x:f>
        <x:v>0.2371041792448244</x:v>
      </x:c>
      <x:c r="X183" s="2" t="n">
        <x:f t="shared" si="197">X$8+(X$9-X$8)*H183</x:f>
        <x:v>0.4380091232308168</x:v>
      </x:c>
      <x:c r="Y183" s="2" t="n">
        <x:f t="shared" si="198">Y$8+(Y$9-Y$8)*G183</x:f>
        <x:v>1</x:v>
      </x:c>
      <x:c r="Z183" s="2" t="n">
        <x:f t="shared" si="199">Z$8+(Z$9-Z$8)*H183</x:f>
        <x:v>1</x:v>
      </x:c>
      <x:c r="AA183" s="2" t="n">
        <x:f t="shared" si="200">AA$8+(AA$9-AA$8)*I183</x:f>
        <x:v>1</x:v>
      </x:c>
      <x:c r="AB183" s="2" t="n">
        <x:f t="shared" si="201">AB$8+(AB$9-AB$8)*J183</x:f>
        <x:v>1</x:v>
      </x:c>
      <x:c r="AC183" s="2" t="n">
        <x:f t="shared" si="202">AC$8+(AC$9-AC$8)*MAX(K183,L183)</x:f>
        <x:v>1</x:v>
      </x:c>
      <x:c r="AD183" s="1" t="n">
        <x:f t="shared" si="203">(V183*AE183+W183*AF183+X183*AG183)*PRODUCT(Y183:AC183)</x:f>
        <x:v>1.7230041112185988</x:v>
      </x:c>
      <x:c r="AE183" s="2" t="n">
        <x:f t="shared" si="204">1+AE$9*($H$10*H183+$I$10*I183+$J$10*J183+$K$10*K183+$L$10*L183)</x:f>
        <x:v>1</x:v>
      </x:c>
      <x:c r="AF183" s="2" t="n">
        <x:f t="shared" si="205">1+AF$9*($H$10*H183+$I$10*I183+$J$10*J183+$K$10*K183+$L$10*L183)</x:f>
        <x:v>1.1678216376995434</x:v>
      </x:c>
      <x:c r="AG183" s="2" t="n">
        <x:f t="shared" si="206">1+AG$9*($H$10*H183+$I$10*I183+$J$10*J183+$K$10*K183+$L$10*L183)</x:f>
        <x:v>1.29741723570086</x:v>
      </x:c>
      <x:c r="AH183" s="2" t="n">
        <x:f>MIN(1,'_曲线基线'!$L$3+AH$9*($H$10*H183+$I$10*I183+$J$10*J183+$K$10*K183+$L$10*L183))</x:f>
        <x:v>0.4317942257664609</x:v>
      </x:c>
      <x:c r="AI183" s="2" t="n">
        <x:f>'_曲线基线'!$L$4+AI$9*($H$10*H183+$I$10*I183+$J$10*J183+$K$10*K183+$L$10*L183)</x:f>
        <x:v>3.0635696289208556</x:v>
      </x:c>
      <x:c r="AJ183" s="2" t="n">
        <x:f t="shared" si="207">1+AJ$9*($H$10*H183+$I$10*I183+$J$10*J183+$K$10*K183+$L$10*L183)</x:f>
        <x:v>1.8726725160376252</x:v>
      </x:c>
      <x:c r="AK183" s="1" t="n">
        <x:f t="shared" si="208">(1+AH183*(AI183-1))*AJ183</x:f>
        <x:v>3.5412938598530723</x:v>
      </x:c>
      <x:c r="AL183" s="1" t="n">
        <x:f t="shared" si="209">U183*AD183*AK183*F183</x:f>
        <x:v>1272286.1446943416</x:v>
      </x:c>
      <x:c r="AM183" s="13" t="n">
        <x:f t="shared" si="210">IF($B183&lt;AM$8,0,AM$3+(AM$4-AM$3)*(POWER(AM$5,$B183-AM$8)-1)/(POWER(AM$5,$C$5-AM$8)-1))</x:f>
        <x:v>41.01719280966666</x:v>
      </x:c>
      <x:c r="AN183" s="13" t="n">
        <x:f>(((E183*'模块规划'!$D$10+G183*'模块规划'!$D$11+H183*'模块规划'!$D$13)*(1+'模块规划'!$G$14*H183)+(I183*'模块规划'!$D$15+J183*'模块规划'!$D$17+K183*'模块规划'!$D$16+L183*'模块规划'!$D$18))*(1+'模块规划'!$J$17*J183))*F183/(1-Q183)</x:f>
        <x:v>1827365.8892226259</x:v>
      </x:c>
      <x:c r="AO183" s="1" t="n">
        <x:f t="shared" si="211">AL183*AM183</x:f>
        <x:v>52185606.10599526</x:v>
      </x:c>
      <x:c r="AP183" s="1" t="n">
        <x:f>IF(AO183="","",INDEX('_曲线基线'!$A$3:$A$502,MIN(ROWS('_曲线基线'!$A$3:$A$502),COUNTIF('_曲线基线'!$E$3:$E$502,"&lt;"&amp;AO183)+1)))</x:f>
        <x:v>245</x:v>
      </x:c>
      <x:c r="AQ183" s="14" t="n">
        <x:f t="shared" si="212">IF(B183&lt;=2,1,IF(B183&lt;=6,2,IF(B183&lt;=9,3,IF(B183&lt;=19,4,5))))</x:f>
        <x:v>5</x:v>
      </x:c>
      <x:c r="AR183" s="10" t="n">
        <x:f t="shared" si="213">AN183*(1-Q183)/F183*$AS$3+U183*$AS$4+P183*$AS$5</x:f>
        <x:v>13420.329788123454</x:v>
      </x:c>
      <x:c r="AS183" s="15" t="n">
        <x:f t="shared" si="214">1+AH183*$AS$6+AI183*$AS$7+(AJ183-1)*$AS$8+($H$10*H183+$I$10*I183+$J$10*J183+$K$10*K183+$L$10*L183)*$AU$3*$AS$9+($H$10*H183+$I$10*I183+$J$10*J183+$K$10*K183+$L$10*L183)*$AU$4*$AS$10</x:f>
        <x:v>15.009113539883545</x:v>
      </x:c>
      <x:c r="AT183" s="16" t="n">
        <x:f t="shared" si="215">ROUND(AR183*AS183,0)</x:f>
        <x:v>201427</x:v>
      </x:c>
      <x:c r="AU183" s="16" t="n">
        <x:f t="shared" si="216">ROUND(AT183*F183,0)</x:f>
        <x:v>1007135</x:v>
      </x:c>
      <x:c r="AV183" t="n">
        <x:f>IF(AU183&gt;0,ROUND(AU183,-MAX(0,INT(LOG10(AU183))-2)),0)</x:f>
        <x:v>1010000</x:v>
      </x:c>
    </x:row>
    <x:row r="184" customHeight="1">
      <x:c r="A184" s="1" t="str">
        <x:f>IFERROR(XLOOKUP(B184,'_曲线基线'!$G$3:$G$107,'_曲线基线'!$J$3:$J$107,""),"")</x:f>
      </x:c>
      <x:c r="B184" s="1" t="n">
        <x:v>173</x:v>
      </x:c>
      <x:c r="C184" s="1" t="n">
        <x:f t="shared" si="255">C169+1</x:f>
        <x:v>12</x:v>
      </x:c>
      <x:c r="D184" s="1" t="n">
        <x:f t="shared" si="256">D169</x:f>
        <x:v>14</x:v>
      </x:c>
      <x:c r="E184" s="1" t="n">
        <x:f t="shared" si="188">IF($B184&lt;E$8,0,E$3+(E$4-E$3)*(POWER(E$5,$B184-E$8)-1)/(POWER(E$5,$C$5-E$8)-1))</x:f>
        <x:v>1</x:v>
      </x:c>
      <x:c r="F184" s="10" t="n">
        <x:f t="shared" si="189">1+IF(B184&lt;3,0,MIN(1,(B184-2)/4))+IF(B184&lt;7,0,MIN(1,(B184-6)/3))+IF(B184&lt;10,0,MIN(1,(B184-9)/5))+IF(B184&lt;20,0,MIN(1,(B184-19)/10))</x:f>
        <x:v>5</x:v>
      </x:c>
      <x:c r="G184" s="11" t="n">
        <x:f t="shared" ref="G184:L184" si="262">'玩家战力_节点'!G184</x:f>
        <x:v>0.7602189590490447</x:v>
      </x:c>
      <x:c r="H184" s="11" t="n">
        <x:f t="shared" si="262">'玩家战力_节点'!H184</x:f>
        <x:v>0.594064632857228</x:v>
      </x:c>
      <x:c r="I184" s="11" t="n">
        <x:f t="shared" si="262">'玩家战力_节点'!I184</x:f>
        <x:v>0.49887349589823937</x:v>
      </x:c>
      <x:c r="J184" s="11" t="n">
        <x:f t="shared" si="262">'玩家战力_节点'!J184</x:f>
        <x:v>0.48359273595143326</x:v>
      </x:c>
      <x:c r="K184" s="11" t="n">
        <x:f t="shared" si="262">'玩家战力_节点'!K184</x:f>
        <x:v>0.438539844624161</x:v>
      </x:c>
      <x:c r="L184" s="11" t="n">
        <x:f t="shared" si="262">'玩家战力_节点'!L184</x:f>
        <x:v>0.5881188500311891</x:v>
      </x:c>
      <x:c r="M184" s="2" t="n">
        <x:f>E184*'模块规划'!$F$10+G184*'模块规划'!$F$11+H184*'模块规划'!$F$13</x:f>
        <x:v>4649.051003435415</x:v>
      </x:c>
      <x:c r="N184" s="2" t="n">
        <x:f>I184*'模块规划'!$F$15+J184*'模块规划'!$F$17+K184*'模块规划'!$F$16+L184*'模块规划'!$F$18</x:f>
        <x:v>14398.748644601159</x:v>
      </x:c>
      <x:c r="O184" s="2" t="n">
        <x:f t="shared" si="191">1+O$9*SUMPRODUCT($H$10:$L$10,H184:L184)/SUM($H$10:$L$10)</x:f>
        <x:v>2.908741273682614</x:v>
      </x:c>
      <x:c r="P184" s="12" t="n">
        <x:f t="shared" si="192">M184*O184+N184</x:f>
        <x:v>27921.63518174932</x:v>
      </x:c>
      <x:c r="Q184" s="7" t="n">
        <x:f>P184/(P184+'_曲线基线'!$L$2)</x:f>
        <x:v>0.5377649429570334</x:v>
      </x:c>
      <x:c r="R184" s="2" t="n">
        <x:f>E184*'模块规划'!$E$10+G184*'模块规划'!$E$11+H184*'模块规划'!$E$13</x:f>
        <x:v>6973.576505153122</x:v>
      </x:c>
      <x:c r="S184" s="2" t="n">
        <x:f>I184*'模块规划'!$E$15+J184*'模块规划'!$E$17+K184*'模块规划'!$E$16+L184*'模块规划'!$E$18</x:f>
        <x:v>21598.122966901738</x:v>
      </x:c>
      <x:c r="T184" s="2" t="n">
        <x:f t="shared" si="193">1+T$9*SUMPRODUCT($H$10:$L$10,H184:L184)/SUM($H$10:$L$10)</x:f>
        <x:v>2.908741273682614</x:v>
      </x:c>
      <x:c r="U184" s="12" t="n">
        <x:f t="shared" si="194">R184*T184+S184</x:f>
        <x:v>41882.452772623976</x:v>
      </x:c>
      <x:c r="V184" s="2" t="n">
        <x:f t="shared" si="195">V$8+(V$9-V$8)*H184</x:f>
        <x:v>0.8782193898571684</x:v>
      </x:c>
      <x:c r="W184" s="2" t="n">
        <x:f t="shared" si="196">IF(B184&lt;$H$8,0,W$8+(W$9-W$8)*H184)</x:f>
        <x:v>0.2376258531428912</x:v>
      </x:c>
      <x:c r="X184" s="2" t="n">
        <x:f t="shared" si="197">X$8+(X$9-X$8)*H184</x:f>
        <x:v>0.43836777403573773</x:v>
      </x:c>
      <x:c r="Y184" s="2" t="n">
        <x:f t="shared" si="198">Y$8+(Y$9-Y$8)*G184</x:f>
        <x:v>1</x:v>
      </x:c>
      <x:c r="Z184" s="2" t="n">
        <x:f t="shared" si="199">Z$8+(Z$9-Z$8)*H184</x:f>
        <x:v>1</x:v>
      </x:c>
      <x:c r="AA184" s="2" t="n">
        <x:f t="shared" si="200">AA$8+(AA$9-AA$8)*I184</x:f>
        <x:v>1</x:v>
      </x:c>
      <x:c r="AB184" s="2" t="n">
        <x:f t="shared" si="201">AB$8+(AB$9-AB$8)*J184</x:f>
        <x:v>1</x:v>
      </x:c>
      <x:c r="AC184" s="2" t="n">
        <x:f t="shared" si="202">AC$8+(AC$9-AC$8)*MAX(K184,L184)</x:f>
        <x:v>1</x:v>
      </x:c>
      <x:c r="AD184" s="1" t="n">
        <x:f t="shared" si="203">(V184*AE184+W184*AF184+X184*AG184)*PRODUCT(Y184:AC184)</x:f>
        <x:v>1.725121393928689</x:v>
      </x:c>
      <x:c r="AE184" s="2" t="n">
        <x:f t="shared" si="204">1+AE$9*($H$10*H184+$I$10*I184+$J$10*J184+$K$10*K184+$L$10*L184)</x:f>
        <x:v>1</x:v>
      </x:c>
      <x:c r="AF184" s="2" t="n">
        <x:f t="shared" si="205">1+AF$9*($H$10*H184+$I$10*I184+$J$10*J184+$K$10*K184+$L$10*L184)</x:f>
        <x:v>1.1684638047217855</x:v>
      </x:c>
      <x:c r="AG184" s="2" t="n">
        <x:f t="shared" si="206">1+AG$9*($H$10*H184+$I$10*I184+$J$10*J184+$K$10*K184+$L$10*L184)</x:f>
        <x:v>1.2985552983680555</x:v>
      </x:c>
      <x:c r="AH184" s="2" t="n">
        <x:f>MIN(1,'_曲线基线'!$L$3+AH$9*($H$10*H184+$I$10*I184+$J$10*J184+$K$10*K184+$L$10*L184))</x:f>
        <x:v>0.4332551557420615</x:v>
      </x:c>
      <x:c r="AI184" s="2" t="n">
        <x:f>'_曲线基线'!$L$4+AI$9*($H$10*H184+$I$10*I184+$J$10*J184+$K$10*K184+$L$10*L184)</x:f>
        <x:v>3.0676393624243143</x:v>
      </x:c>
      <x:c r="AJ184" s="2" t="n">
        <x:f t="shared" si="207">1+AJ$9*($H$10*H184+$I$10*I184+$J$10*J184+$K$10*K184+$L$10*L184)</x:f>
        <x:v>1.8760117845532838</x:v>
      </x:c>
      <x:c r="AK184" s="1" t="n">
        <x:f t="shared" si="208">(1+AH184*(AI184-1))*AJ184</x:f>
        <x:v>3.5565720579746785</x:v>
      </x:c>
      <x:c r="AL184" s="1" t="n">
        <x:f t="shared" si="209">U184*AD184*AK184*F184</x:f>
        <x:v>1284852.828746696</x:v>
      </x:c>
      <x:c r="AM184" s="13" t="n">
        <x:f t="shared" si="210">IF($B184&lt;AM$8,0,AM$3+(AM$4-AM$3)*(POWER(AM$5,$B184-AM$8)-1)/(POWER(AM$5,$C$5-AM$8)-1))</x:f>
        <x:v>41.0907893776852</x:v>
      </x:c>
      <x:c r="AN184" s="13" t="n">
        <x:f>(((E184*'模块规划'!$D$10+G184*'模块规划'!$D$11+H184*'模块规划'!$D$13)*(1+'模块规划'!$G$14*H184)+(I184*'模块规划'!$D$15+J184*'模块规划'!$D$17+K184*'模块规划'!$D$16+L184*'模块规划'!$D$18))*(1+'模块规划'!$J$17*J184))*F184/(1-Q184)</x:f>
        <x:v>1840489.9100475046</x:v>
      </x:c>
      <x:c r="AO184" s="1" t="n">
        <x:f t="shared" si="211">AL184*AM184</x:f>
        <x:v>52795616.967353515</x:v>
      </x:c>
      <x:c r="AP184" s="1" t="n">
        <x:f>IF(AO184="","",INDEX('_曲线基线'!$A$3:$A$502,MIN(ROWS('_曲线基线'!$A$3:$A$502),COUNTIF('_曲线基线'!$E$3:$E$502,"&lt;"&amp;AO184)+1)))</x:f>
        <x:v>245</x:v>
      </x:c>
      <x:c r="AQ184" s="14" t="n">
        <x:f t="shared" si="212">IF(B184&lt;=2,1,IF(B184&lt;=6,2,IF(B184&lt;=9,3,IF(B184&lt;=19,4,5))))</x:f>
        <x:v>5</x:v>
      </x:c>
      <x:c r="AR184" s="10" t="n">
        <x:f t="shared" si="213">AN184*(1-Q184)/F184*$AS$3+U184*$AS$4+P184*$AS$5</x:f>
        <x:v>13480.924305871671</x:v>
      </x:c>
      <x:c r="AS184" s="15" t="n">
        <x:f t="shared" si="214">1+AH184*$AS$6+AI184*$AS$7+(AJ184-1)*$AS$8+($H$10*H184+$I$10*I184+$J$10*J184+$K$10*K184+$L$10*L184)*$AU$3*$AS$9+($H$10*H184+$I$10*I184+$J$10*J184+$K$10*K184+$L$10*L184)*$AU$4*$AS$10</x:f>
        <x:v>15.047483749124789</x:v>
      </x:c>
      <x:c r="AT184" s="16" t="n">
        <x:f t="shared" si="215">ROUND(AR184*AS184,0)</x:f>
        <x:v>202854</x:v>
      </x:c>
      <x:c r="AU184" s="16" t="n">
        <x:f t="shared" si="216">ROUND(AT184*F184,0)</x:f>
        <x:v>1014270</x:v>
      </x:c>
      <x:c r="AV184" t="n">
        <x:f>IF(AU184&gt;0,ROUND(AU184,-MAX(0,INT(LOG10(AU184))-2)),0)</x:f>
        <x:v>1010000</x:v>
      </x:c>
    </x:row>
    <x:row r="185" customHeight="1">
      <x:c r="A185" s="1" t="str">
        <x:f>IFERROR(XLOOKUP(B185,'_曲线基线'!$G$3:$G$107,'_曲线基线'!$J$3:$J$107,""),"")</x:f>
      </x:c>
      <x:c r="B185" s="1" t="n">
        <x:v>174</x:v>
      </x:c>
      <x:c r="C185" s="1" t="n">
        <x:f t="shared" si="255">C170+1</x:f>
        <x:v>12</x:v>
      </x:c>
      <x:c r="D185" s="1" t="n">
        <x:f t="shared" si="256">D170</x:f>
        <x:v>15</x:v>
      </x:c>
      <x:c r="E185" s="1" t="n">
        <x:f t="shared" si="188">IF($B185&lt;E$8,0,E$3+(E$4-E$3)*(POWER(E$5,$B185-E$8)-1)/(POWER(E$5,$C$5-E$8)-1))</x:f>
        <x:v>1</x:v>
      </x:c>
      <x:c r="F185" s="10" t="n">
        <x:f t="shared" si="189">1+IF(B185&lt;3,0,MIN(1,(B185-2)/4))+IF(B185&lt;7,0,MIN(1,(B185-6)/3))+IF(B185&lt;10,0,MIN(1,(B185-9)/5))+IF(B185&lt;20,0,MIN(1,(B185-19)/10))</x:f>
        <x:v>5</x:v>
      </x:c>
      <x:c r="G185" s="11" t="n">
        <x:f t="shared" ref="G185:L185" si="263">'玩家战力_节点'!G185</x:f>
        <x:v>0.7619654816787274</x:v>
      </x:c>
      <x:c r="H185" s="11" t="n">
        <x:f t="shared" si="263">'玩家战力_节点'!H185</x:f>
        <x:v>0.595368817602395</x:v>
      </x:c>
      <x:c r="I185" s="11" t="n">
        <x:f t="shared" si="263">'玩家战力_节点'!I185</x:f>
        <x:v>0.50108289577518</x:v>
      </x:c>
      <x:c r="J185" s="11" t="n">
        <x:f t="shared" si="263">'玩家战力_节点'!J185</x:f>
        <x:v>0.4850846371229042</x:v>
      </x:c>
      <x:c r="K185" s="11" t="n">
        <x:f t="shared" si="263">'玩家战力_节点'!K185</x:f>
        <x:v>0.44217971143134593</x:v>
      </x:c>
      <x:c r="L185" s="11" t="n">
        <x:f t="shared" si="263">'玩家战力_节点'!L185</x:f>
        <x:v>0.58953924327407</x:v>
      </x:c>
      <x:c r="M185" s="2" t="n">
        <x:f>E185*'模块规划'!$F$10+G185*'模块规划'!$F$11+H185*'模块规划'!$F$13</x:f>
        <x:v>4657.4343120578915</x:v>
      </x:c>
      <x:c r="N185" s="2" t="n">
        <x:f>I185*'模块规划'!$F$15+J185*'模块规划'!$F$17+K185*'模块规划'!$F$16+L185*'模块规划'!$F$18</x:f>
        <x:v>14460.284022388907</x:v>
      </x:c>
      <x:c r="O185" s="2" t="n">
        <x:f t="shared" si="191">1+O$9*SUMPRODUCT($H$10:$L$10,H185:L185)/SUM($H$10:$L$10)</x:f>
        <x:v>2.9160172027878324</x:v>
      </x:c>
      <x:c r="P185" s="12" t="n">
        <x:f t="shared" si="192">M185*O185+N185</x:f>
        <x:v>28041.442597204034</x:v>
      </x:c>
      <x:c r="Q185" s="7" t="n">
        <x:f>P185/(P185+'_曲线基线'!$L$2)</x:f>
        <x:v>0.538829079244444</x:v>
      </x:c>
      <x:c r="R185" s="2" t="n">
        <x:f>E185*'模块规划'!$E$10+G185*'模块规划'!$E$11+H185*'模块规划'!$E$13</x:f>
        <x:v>6986.151468086837</x:v>
      </x:c>
      <x:c r="S185" s="2" t="n">
        <x:f>I185*'模块规划'!$E$15+J185*'模块规划'!$E$17+K185*'模块规划'!$E$16+L185*'模块规划'!$E$18</x:f>
        <x:v>21690.426033583364</x:v>
      </x:c>
      <x:c r="T185" s="2" t="n">
        <x:f t="shared" si="193">1+T$9*SUMPRODUCT($H$10:$L$10,H185:L185)/SUM($H$10:$L$10)</x:f>
        <x:v>2.9160172027878324</x:v>
      </x:c>
      <x:c r="U185" s="12" t="n">
        <x:f t="shared" si="194">R185*T185+S185</x:f>
        <x:v>42062.16389580605</x:v>
      </x:c>
      <x:c r="V185" s="2" t="n">
        <x:f t="shared" si="195">V$8+(V$9-V$8)*H185</x:f>
        <x:v>0.8786106452807185</x:v>
      </x:c>
      <x:c r="W185" s="2" t="n">
        <x:f t="shared" si="196">IF(B185&lt;$H$8,0,W$8+(W$9-W$8)*H185)</x:f>
        <x:v>0.238147527040958</x:v>
      </x:c>
      <x:c r="X185" s="2" t="n">
        <x:f t="shared" si="197">X$8+(X$9-X$8)*H185</x:f>
        <x:v>0.43872642484065866</x:v>
      </x:c>
      <x:c r="Y185" s="2" t="n">
        <x:f t="shared" si="198">Y$8+(Y$9-Y$8)*G185</x:f>
        <x:v>1</x:v>
      </x:c>
      <x:c r="Z185" s="2" t="n">
        <x:f t="shared" si="199">Z$8+(Z$9-Z$8)*H185</x:f>
        <x:v>1</x:v>
      </x:c>
      <x:c r="AA185" s="2" t="n">
        <x:f t="shared" si="200">AA$8+(AA$9-AA$8)*I185</x:f>
        <x:v>1</x:v>
      </x:c>
      <x:c r="AB185" s="2" t="n">
        <x:f t="shared" si="201">AB$8+(AB$9-AB$8)*J185</x:f>
        <x:v>1</x:v>
      </x:c>
      <x:c r="AC185" s="2" t="n">
        <x:f t="shared" si="202">AC$8+(AC$9-AC$8)*MAX(K185,L185)</x:f>
        <x:v>1</x:v>
      </x:c>
      <x:c r="AD185" s="1" t="n">
        <x:f t="shared" si="203">(V185*AE185+W185*AF185+X185*AG185)*PRODUCT(Y185:AC185)</x:f>
        <x:v>1.72724016297651</x:v>
      </x:c>
      <x:c r="AE185" s="2" t="n">
        <x:f t="shared" si="204">1+AE$9*($H$10*H185+$I$10*I185+$J$10*J185+$K$10*K185+$L$10*L185)</x:f>
        <x:v>1</x:v>
      </x:c>
      <x:c r="AF185" s="2" t="n">
        <x:f t="shared" si="205">1+AF$9*($H$10*H185+$I$10*I185+$J$10*J185+$K$10*K185+$L$10*L185)</x:f>
        <x:v>1.1691059717440275</x:v>
      </x:c>
      <x:c r="AG185" s="2" t="n">
        <x:f t="shared" si="206">1+AG$9*($H$10*H185+$I$10*I185+$J$10*J185+$K$10*K185+$L$10*L185)</x:f>
        <x:v>1.299693361035251</x:v>
      </x:c>
      <x:c r="AH185" s="2" t="n">
        <x:f>MIN(1,'_曲线基线'!$L$3+AH$9*($H$10*H185+$I$10*I185+$J$10*J185+$K$10*K185+$L$10*L185))</x:f>
        <x:v>0.43471608571766207</x:v>
      </x:c>
      <x:c r="AI185" s="2" t="n">
        <x:f>'_曲线基线'!$L$4+AI$9*($H$10*H185+$I$10*I185+$J$10*J185+$K$10*K185+$L$10*L185)</x:f>
        <x:v>3.0717090959277726</x:v>
      </x:c>
      <x:c r="AJ185" s="2" t="n">
        <x:f t="shared" si="207">1+AJ$9*($H$10*H185+$I$10*I185+$J$10*J185+$K$10*K185+$L$10*L185)</x:f>
        <x:v>1.879351053068942</x:v>
      </x:c>
      <x:c r="AK185" s="1" t="n">
        <x:f t="shared" si="208">(1+AH185*(AI185-1))*AJ185</x:f>
        <x:v>3.5719045136270844</x:v>
      </x:c>
      <x:c r="AL185" s="1" t="n">
        <x:f t="shared" si="209">U185*AD185*AK185*F185</x:f>
        <x:v>1297520.3684490558</x:v>
      </x:c>
      <x:c r="AM185" s="13" t="n">
        <x:f t="shared" si="210">IF($B185&lt;AM$8,0,AM$3+(AM$4-AM$3)*(POWER(AM$5,$B185-AM$8)-1)/(POWER(AM$5,$C$5-AM$8)-1))</x:f>
        <x:v>41.16512191138392</x:v>
      </x:c>
      <x:c r="AN185" s="13" t="n">
        <x:f>(((E185*'模块规划'!$D$10+G185*'模块规划'!$D$11+H185*'模块规划'!$D$13)*(1+'模块规划'!$G$14*H185)+(I185*'模块规划'!$D$15+J185*'模块规划'!$D$17+K185*'模块规划'!$D$16+L185*'模块规划'!$D$18))*(1+'模块规划'!$J$17*J185))*F185/(1-Q185)</x:f>
        <x:v>1853676.5028990707</x:v>
      </x:c>
      <x:c r="AO185" s="1" t="n">
        <x:f t="shared" si="211">AL185*AM185</x:f>
        <x:v>53412584.149709165</x:v>
      </x:c>
      <x:c r="AP185" s="1" t="n">
        <x:f>IF(AO185="","",INDEX('_曲线基线'!$A$3:$A$502,MIN(ROWS('_曲线基线'!$A$3:$A$502),COUNTIF('_曲线基线'!$E$3:$E$502,"&lt;"&amp;AO185)+1)))</x:f>
        <x:v>246</x:v>
      </x:c>
      <x:c r="AQ185" s="14" t="n">
        <x:f t="shared" si="212">IF(B185&lt;=2,1,IF(B185&lt;=6,2,IF(B185&lt;=9,3,IF(B185&lt;=19,4,5))))</x:f>
        <x:v>5</x:v>
      </x:c>
      <x:c r="AR185" s="10" t="n">
        <x:f t="shared" si="213">AN185*(1-Q185)/F185*$AS$3+U185*$AS$4+P185*$AS$5</x:f>
        <x:v>13541.602976910632</x:v>
      </x:c>
      <x:c r="AS185" s="15" t="n">
        <x:f t="shared" si="214">1+AH185*$AS$6+AI185*$AS$7+(AJ185-1)*$AS$8+($H$10*H185+$I$10*I185+$J$10*J185+$K$10*K185+$L$10*L185)*$AU$3*$AS$9+($H$10*H185+$I$10*I185+$J$10*J185+$K$10*K185+$L$10*L185)*$AU$4*$AS$10</x:f>
        <x:v>15.085853958366025</x:v>
      </x:c>
      <x:c r="AT185" s="16" t="n">
        <x:f t="shared" si="215">ROUND(AR185*AS185,0)</x:f>
        <x:v>204287</x:v>
      </x:c>
      <x:c r="AU185" s="16" t="n">
        <x:f t="shared" si="216">ROUND(AT185*F185,0)</x:f>
        <x:v>1021435</x:v>
      </x:c>
      <x:c r="AV185" t="n">
        <x:f>IF(AU185&gt;0,ROUND(AU185,-MAX(0,INT(LOG10(AU185))-2)),0)</x:f>
        <x:v>1020000</x:v>
      </x:c>
    </x:row>
    <x:row r="186" customHeight="1">
      <x:c r="A186" s="1" t="str">
        <x:f>IFERROR(XLOOKUP(B186,'_曲线基线'!$G$3:$G$107,'_曲线基线'!$J$3:$J$107,""),"")</x:f>
      </x:c>
      <x:c r="B186" s="1" t="n">
        <x:v>175</x:v>
      </x:c>
      <x:c r="C186" s="1" t="n">
        <x:f t="shared" si="255">C171+1</x:f>
        <x:v>13</x:v>
      </x:c>
      <x:c r="D186" s="1" t="n">
        <x:f t="shared" si="256">D171</x:f>
        <x:v>1</x:v>
      </x:c>
      <x:c r="E186" s="1" t="n">
        <x:f t="shared" si="188">IF($B186&lt;E$8,0,E$3+(E$4-E$3)*(POWER(E$5,$B186-E$8)-1)/(POWER(E$5,$C$5-E$8)-1))</x:f>
        <x:v>1</x:v>
      </x:c>
      <x:c r="F186" s="10" t="n">
        <x:f t="shared" si="189">1+IF(B186&lt;3,0,MIN(1,(B186-2)/4))+IF(B186&lt;7,0,MIN(1,(B186-6)/3))+IF(B186&lt;10,0,MIN(1,(B186-9)/5))+IF(B186&lt;20,0,MIN(1,(B186-19)/10))</x:f>
        <x:v>5</x:v>
      </x:c>
      <x:c r="G186" s="11" t="n">
        <x:f t="shared" ref="G186:L186" si="264">'玩家战力_节点'!G186</x:f>
        <x:v>0.7636308896556581</x:v>
      </x:c>
      <x:c r="H186" s="11" t="n">
        <x:f t="shared" si="264">'玩家战力_节点'!H186</x:f>
        <x:v>0.5966071237598881</x:v>
      </x:c>
      <x:c r="I186" s="11" t="n">
        <x:f t="shared" si="264">'玩家战力_节点'!I186</x:f>
        <x:v>0.5031229106700783</x:v>
      </x:c>
      <x:c r="J186" s="11" t="n">
        <x:f t="shared" si="264">'玩家战力_节点'!J186</x:f>
        <x:v>0.48649143937934947</x:v>
      </x:c>
      <x:c r="K186" s="11" t="n">
        <x:f t="shared" si="264">'玩家战力_节点'!K186</x:f>
        <x:v>0.4454640349972983</x:v>
      </x:c>
      <x:c r="L186" s="11" t="n">
        <x:f t="shared" si="264">'玩家战力_节点'!L186</x:f>
        <x:v>0.5908807643518051</x:v>
      </x:c>
      <x:c r="M186" s="2" t="n">
        <x:f>E186*'模块规划'!$F$10+G186*'模块规划'!$F$11+H186*'模块规划'!$F$13</x:f>
        <x:v>4665.428270347158</x:v>
      </x:c>
      <x:c r="N186" s="2" t="n">
        <x:f>I186*'模块规划'!$F$15+J186*'模块规划'!$F$17+K186*'模块规划'!$F$16+L186*'模块规划'!$F$18</x:f>
        <x:v>14517.085710896938</x:v>
      </x:c>
      <x:c r="O186" s="2" t="n">
        <x:f t="shared" si="191">1+O$9*SUMPRODUCT($H$10:$L$10,H186:L186)/SUM($H$10:$L$10)</x:f>
        <x:v>2.9227654275032116</x:v>
      </x:c>
      <x:c r="P186" s="12" t="n">
        <x:f t="shared" si="192">M186*O186+N186</x:f>
        <x:v>28153.03816396372</x:v>
      </x:c>
      <x:c r="Q186" s="7" t="n">
        <x:f>P186/(P186+'_曲线基线'!$L$2)</x:f>
        <x:v>0.5398158794786508</x:v>
      </x:c>
      <x:c r="R186" s="2" t="n">
        <x:f>E186*'模块规划'!$E$10+G186*'模块规划'!$E$11+H186*'模块规划'!$E$13</x:f>
        <x:v>6998.142405520738</x:v>
      </x:c>
      <x:c r="S186" s="2" t="n">
        <x:f>I186*'模块规划'!$E$15+J186*'模块规划'!$E$17+K186*'模块规划'!$E$16+L186*'模块规划'!$E$18</x:f>
        <x:v>21775.628566345404</x:v>
      </x:c>
      <x:c r="T186" s="2" t="n">
        <x:f t="shared" si="193">1+T$9*SUMPRODUCT($H$10:$L$10,H186:L186)/SUM($H$10:$L$10)</x:f>
        <x:v>2.9227654275032116</x:v>
      </x:c>
      <x:c r="U186" s="12" t="n">
        <x:f t="shared" si="194">R186*T186+S186</x:f>
        <x:v>42229.55724594557</x:v>
      </x:c>
      <x:c r="V186" s="2" t="n">
        <x:f t="shared" si="195">V$8+(V$9-V$8)*H186</x:f>
        <x:v>0.8789821371279665</x:v>
      </x:c>
      <x:c r="W186" s="2" t="n">
        <x:f t="shared" si="196">IF(B186&lt;$H$8,0,W$8+(W$9-W$8)*H186)</x:f>
        <x:v>0.23864284950395526</x:v>
      </x:c>
      <x:c r="X186" s="2" t="n">
        <x:f t="shared" si="197">X$8+(X$9-X$8)*H186</x:f>
        <x:v>0.4390669590339693</x:v>
      </x:c>
      <x:c r="Y186" s="2" t="n">
        <x:f t="shared" si="198">Y$8+(Y$9-Y$8)*G186</x:f>
        <x:v>1</x:v>
      </x:c>
      <x:c r="Z186" s="2" t="n">
        <x:f t="shared" si="199">Z$8+(Z$9-Z$8)*H186</x:f>
        <x:v>1</x:v>
      </x:c>
      <x:c r="AA186" s="2" t="n">
        <x:f t="shared" si="200">AA$8+(AA$9-AA$8)*I186</x:f>
        <x:v>1</x:v>
      </x:c>
      <x:c r="AB186" s="2" t="n">
        <x:f t="shared" si="201">AB$8+(AB$9-AB$8)*J186</x:f>
        <x:v>1</x:v>
      </x:c>
      <x:c r="AC186" s="2" t="n">
        <x:f t="shared" si="202">AC$8+(AC$9-AC$8)*MAX(K186,L186)</x:f>
        <x:v>1</x:v>
      </x:c>
      <x:c r="AD186" s="1" t="n">
        <x:f t="shared" si="203">(V186*AE186+W186*AF186+X186*AG186)*PRODUCT(Y186:AC186)</x:f>
        <x:v>1.7292389079448882</x:v>
      </x:c>
      <x:c r="AE186" s="2" t="n">
        <x:f t="shared" si="204">1+AE$9*($H$10*H186+$I$10*I186+$J$10*J186+$K$10*K186+$L$10*L186)</x:f>
        <x:v>1</x:v>
      </x:c>
      <x:c r="AF186" s="2" t="n">
        <x:f t="shared" si="205">1+AF$9*($H$10*H186+$I$10*I186+$J$10*J186+$K$10*K186+$L$10*L186)</x:f>
        <x:v>1.1697015640468422</x:v>
      </x:c>
      <x:c r="AG186" s="2" t="n">
        <x:f t="shared" si="206">1+AG$9*($H$10*H186+$I$10*I186+$J$10*J186+$K$10*K186+$L$10*L186)</x:f>
        <x:v>1.300748882949684</x:v>
      </x:c>
      <x:c r="AH186" s="2" t="n">
        <x:f>MIN(1,'_曲线基线'!$L$3+AH$9*($H$10*H186+$I$10*I186+$J$10*J186+$K$10*K186+$L$10*L186))</x:f>
        <x:v>0.43607105820656583</x:v>
      </x:c>
      <x:c r="AI186" s="2" t="n">
        <x:f>'_曲线基线'!$L$4+AI$9*($H$10*H186+$I$10*I186+$J$10*J186+$K$10*K186+$L$10*L186)</x:f>
        <x:v>3.075483662146862</x:v>
      </x:c>
      <x:c r="AJ186" s="2" t="n">
        <x:f t="shared" si="207">1+AJ$9*($H$10*H186+$I$10*I186+$J$10*J186+$K$10*K186+$L$10*L186)</x:f>
        <x:v>1.8824481330435792</x:v>
      </x:c>
      <x:c r="AK186" s="1" t="n">
        <x:f t="shared" si="208">(1+AH186*(AI186-1))*AJ186</x:f>
        <x:v>3.586173547177836</x:v>
      </x:c>
      <x:c r="AL186" s="1" t="n">
        <x:f t="shared" si="209">U186*AD186*AK186*F186</x:f>
        <x:v>1309401.4990553309</x:v>
      </x:c>
      <x:c r="AM186" s="13" t="n">
        <x:f t="shared" si="210">IF($B186&lt;AM$8,0,AM$3+(AM$4-AM$3)*(POWER(AM$5,$B186-AM$8)-1)/(POWER(AM$5,$C$5-AM$8)-1))</x:f>
        <x:v>41.24019777041963</x:v>
      </x:c>
      <x:c r="AN186" s="13" t="n">
        <x:f>(((E186*'模块规划'!$D$10+G186*'模块规划'!$D$11+H186*'模块规划'!$D$13)*(1+'模块规划'!$G$14*H186)+(I186*'模块规划'!$D$15+J186*'模块规划'!$D$17+K186*'模块规划'!$D$16+L186*'模块规划'!$D$18))*(1+'模块规划'!$J$17*J186))*F186/(1-Q186)</x:f>
        <x:v>1866024.6459977664</x:v>
      </x:c>
      <x:c r="AO186" s="1" t="n">
        <x:f t="shared" si="211">AL186*AM186</x:f>
        <x:v>53999976.781925775</x:v>
      </x:c>
      <x:c r="AP186" s="1" t="n">
        <x:f>IF(AO186="","",INDEX('_曲线基线'!$A$3:$A$502,MIN(ROWS('_曲线基线'!$A$3:$A$502),COUNTIF('_曲线基线'!$E$3:$E$502,"&lt;"&amp;AO186)+1)))</x:f>
        <x:v>247</x:v>
      </x:c>
      <x:c r="AQ186" s="14" t="n">
        <x:f t="shared" si="212">IF(B186&lt;=2,1,IF(B186&lt;=6,2,IF(B186&lt;=9,3,IF(B186&lt;=19,4,5))))</x:f>
        <x:v>5</x:v>
      </x:c>
      <x:c r="AR186" s="10" t="n">
        <x:f t="shared" si="213">AN186*(1-Q186)/F186*$AS$3+U186*$AS$4+P186*$AS$5</x:f>
        <x:v>13598.200912726978</x:v>
      </x:c>
      <x:c r="AS186" s="15" t="n">
        <x:f t="shared" si="214">1+AH186*$AS$6+AI186*$AS$7+(AJ186-1)*$AS$8+($H$10*H186+$I$10*I186+$J$10*J186+$K$10*K186+$L$10*L186)*$AU$3*$AS$9+($H$10*H186+$I$10*I186+$J$10*J186+$K$10*K186+$L$10*L186)*$AU$4*$AS$10</x:f>
        <x:v>15.121441275200965</x:v>
      </x:c>
      <x:c r="AT186" s="16" t="n">
        <x:f t="shared" si="215">ROUND(AR186*AS186,0)</x:f>
        <x:v>205624</x:v>
      </x:c>
      <x:c r="AU186" s="16" t="n">
        <x:f t="shared" si="216">ROUND(AT186*F186,0)</x:f>
        <x:v>1028120</x:v>
      </x:c>
      <x:c r="AV186" t="n">
        <x:f>IF(AU186&gt;0,ROUND(AU186,-MAX(0,INT(LOG10(AU186))-2)),0)</x:f>
        <x:v>1030000</x:v>
      </x:c>
    </x:row>
    <x:row r="187" customHeight="1">
      <x:c r="A187" s="1" t="str">
        <x:f>IFERROR(XLOOKUP(B187,'_曲线基线'!$G$3:$G$107,'_曲线基线'!$J$3:$J$107,""),"")</x:f>
      </x:c>
      <x:c r="B187" s="1" t="n">
        <x:v>176</x:v>
      </x:c>
      <x:c r="C187" s="1" t="n">
        <x:f t="shared" si="255">C172+1</x:f>
        <x:v>13</x:v>
      </x:c>
      <x:c r="D187" s="1" t="n">
        <x:f t="shared" si="256">D172</x:f>
        <x:v>2</x:v>
      </x:c>
      <x:c r="E187" s="1" t="n">
        <x:f t="shared" si="188">IF($B187&lt;E$8,0,E$3+(E$4-E$3)*(POWER(E$5,$B187-E$8)-1)/(POWER(E$5,$C$5-E$8)-1))</x:f>
        <x:v>1</x:v>
      </x:c>
      <x:c r="F187" s="10" t="n">
        <x:f t="shared" si="189">1+IF(B187&lt;3,0,MIN(1,(B187-2)/4))+IF(B187&lt;7,0,MIN(1,(B187-6)/3))+IF(B187&lt;10,0,MIN(1,(B187-9)/5))+IF(B187&lt;20,0,MIN(1,(B187-19)/10))</x:f>
        <x:v>5</x:v>
      </x:c>
      <x:c r="G187" s="11" t="n">
        <x:f t="shared" ref="G187:L187" si="265">'玩家战力_节点'!G187</x:f>
        <x:v>0.7652247808586007</x:v>
      </x:c>
      <x:c r="H187" s="11" t="n">
        <x:f t="shared" si="265">'玩家战力_节点'!H187</x:f>
        <x:v>0.5977902086587631</x:v>
      </x:c>
      <x:c r="I187" s="11" t="n">
        <x:f t="shared" si="265">'玩家战力_节点'!I187</x:f>
        <x:v>0.5050209423769723</x:v>
      </x:c>
      <x:c r="J187" s="11" t="n">
        <x:f t="shared" si="265">'玩家战力_节点'!J187</x:f>
        <x:v>0.48782690936592327</x:v>
      </x:c>
      <x:c r="K187" s="11" t="n">
        <x:f t="shared" si="265">'玩家战力_节点'!K187</x:f>
        <x:v>0.44845033236130993</x:v>
      </x:c>
      <x:c r="L187" s="11" t="n">
        <x:f t="shared" si="265">'玩家战力_节点'!L187</x:f>
        <x:v>0.5921561725940497</x:v>
      </x:c>
      <x:c r="M187" s="2" t="n">
        <x:f>E187*'模块规划'!$F$10+G187*'模块规划'!$F$11+H187*'模块规划'!$F$13</x:f>
        <x:v>4673.078948121283</x:v>
      </x:c>
      <x:c r="N187" s="2" t="n">
        <x:f>I187*'模块规划'!$F$15+J187*'模块规划'!$F$17+K187*'模块规划'!$F$16+L187*'模块规划'!$F$18</x:f>
        <x:v>14569.919489813117</x:v>
      </x:c>
      <x:c r="O187" s="2" t="n">
        <x:f t="shared" si="191">1+O$9*SUMPRODUCT($H$10:$L$10,H187:L187)/SUM($H$10:$L$10)</x:f>
        <x:v>2.9290713157688613</x:v>
      </x:c>
      <x:c r="P187" s="12" t="n">
        <x:f t="shared" si="192">M187*O187+N187</x:f>
        <x:v>28257.70099307849</x:v>
      </x:c>
      <x:c r="Q187" s="7" t="n">
        <x:f>P187/(P187+'_曲线基线'!$L$2)</x:f>
        <x:v>0.5407375459709032</x:v>
      </x:c>
      <x:c r="R187" s="2" t="n">
        <x:f>E187*'模块规划'!$E$10+G187*'模块规划'!$E$11+H187*'模块规划'!$E$13</x:f>
        <x:v>7009.618422181925</x:v>
      </x:c>
      <x:c r="S187" s="2" t="n">
        <x:f>I187*'模块规划'!$E$15+J187*'模块规划'!$E$17+K187*'模块规划'!$E$16+L187*'模块规划'!$E$18</x:f>
        <x:v>21854.87923471968</x:v>
      </x:c>
      <x:c r="T187" s="2" t="n">
        <x:f t="shared" si="193">1+T$9*SUMPRODUCT($H$10:$L$10,H187:L187)/SUM($H$10:$L$10)</x:f>
        <x:v>2.9290713157688613</x:v>
      </x:c>
      <x:c r="U187" s="12" t="n">
        <x:f t="shared" si="194">R187*T187+S187</x:f>
        <x:v>42386.55148961774</x:v>
      </x:c>
      <x:c r="V187" s="2" t="n">
        <x:f t="shared" si="195">V$8+(V$9-V$8)*H187</x:f>
        <x:v>0.8793370625976289</x:v>
      </x:c>
      <x:c r="W187" s="2" t="n">
        <x:f t="shared" si="196">IF(B187&lt;$H$8,0,W$8+(W$9-W$8)*H187)</x:f>
        <x:v>0.23911608346350524</x:v>
      </x:c>
      <x:c r="X187" s="2" t="n">
        <x:f t="shared" si="197">X$8+(X$9-X$8)*H187</x:f>
        <x:v>0.43939230738115986</x:v>
      </x:c>
      <x:c r="Y187" s="2" t="n">
        <x:f t="shared" si="198">Y$8+(Y$9-Y$8)*G187</x:f>
        <x:v>1</x:v>
      </x:c>
      <x:c r="Z187" s="2" t="n">
        <x:f t="shared" si="199">Z$8+(Z$9-Z$8)*H187</x:f>
        <x:v>1</x:v>
      </x:c>
      <x:c r="AA187" s="2" t="n">
        <x:f t="shared" si="200">AA$8+(AA$9-AA$8)*I187</x:f>
        <x:v>1</x:v>
      </x:c>
      <x:c r="AB187" s="2" t="n">
        <x:f t="shared" si="201">AB$8+(AB$9-AB$8)*J187</x:f>
        <x:v>1</x:v>
      </x:c>
      <x:c r="AC187" s="2" t="n">
        <x:f t="shared" si="202">AC$8+(AC$9-AC$8)*MAX(K187,L187)</x:f>
        <x:v>1</x:v>
      </x:c>
      <x:c r="AD187" s="1" t="n">
        <x:f t="shared" si="203">(V187*AE187+W187*AF187+X187*AG187)*PRODUCT(Y187:AC187)</x:f>
        <x:v>1.7311370405280542</x:v>
      </x:c>
      <x:c r="AE187" s="2" t="n">
        <x:f t="shared" si="204">1+AE$9*($H$10*H187+$I$10*I187+$J$10*J187+$K$10*K187+$L$10*L187)</x:f>
        <x:v>1</x:v>
      </x:c>
      <x:c r="AF187" s="2" t="n">
        <x:f t="shared" si="205">1+AF$9*($H$10*H187+$I$10*I187+$J$10*J187+$K$10*K187+$L$10*L187)</x:f>
        <x:v>1.1702581161285879</x:v>
      </x:c>
      <x:c r="AG187" s="2" t="n">
        <x:f t="shared" si="206">1+AG$9*($H$10*H187+$I$10*I187+$J$10*J187+$K$10*K187+$L$10*L187)</x:f>
        <x:v>1.3017352169167775</x:v>
      </x:c>
      <x:c r="AH187" s="2" t="n">
        <x:f>MIN(1,'_曲线基线'!$L$3+AH$9*($H$10*H187+$I$10*I187+$J$10*J187+$K$10*K187+$L$10*L187))</x:f>
        <x:v>0.4373372141925371</x:v>
      </x:c>
      <x:c r="AI187" s="2" t="n">
        <x:f>'_曲线基线'!$L$4+AI$9*($H$10*H187+$I$10*I187+$J$10*J187+$K$10*K187+$L$10*L187)</x:f>
        <x:v>3.079010810964925</x:v>
      </x:c>
      <x:c r="AJ187" s="2" t="n">
        <x:f t="shared" si="207">1+AJ$9*($H$10*H187+$I$10*I187+$J$10*J187+$K$10*K187+$L$10*L187)</x:f>
        <x:v>1.8853422038686563</x:v>
      </x:c>
      <x:c r="AK187" s="1" t="n">
        <x:f t="shared" si="208">(1+AH187*(AI187-1))*AJ187</x:f>
        <x:v>3.599549626587884</x:v>
      </x:c>
      <x:c r="AL187" s="1" t="n">
        <x:f t="shared" si="209">U187*AD187*AK187*F187</x:f>
        <x:v>1320619.4923805771</x:v>
      </x:c>
      <x:c r="AM187" s="13" t="n">
        <x:f t="shared" si="210">IF($B187&lt;AM$8,0,AM$3+(AM$4-AM$3)*(POWER(AM$5,$B187-AM$8)-1)/(POWER(AM$5,$C$5-AM$8)-1))</x:f>
        <x:v>41.31602438804569</x:v>
      </x:c>
      <x:c r="AN187" s="13" t="n">
        <x:f>(((E187*'模块规划'!$D$10+G187*'模块规划'!$D$11+H187*'模块规划'!$D$13)*(1+'模块规划'!$G$14*H187)+(I187*'模块规划'!$D$15+J187*'模块规划'!$D$17+K187*'模块规划'!$D$16+L187*'模块规划'!$D$18))*(1+'模块规划'!$J$17*J187))*F187/(1-Q187)</x:f>
        <x:v>1877665.2023861827</x:v>
      </x:c>
      <x:c r="AO187" s="1" t="n">
        <x:f t="shared" si="211">AL187*AM187</x:f>
        <x:v>54562747.154524446</x:v>
      </x:c>
      <x:c r="AP187" s="1" t="n">
        <x:f>IF(AO187="","",INDEX('_曲线基线'!$A$3:$A$502,MIN(ROWS('_曲线基线'!$A$3:$A$502),COUNTIF('_曲线基线'!$E$3:$E$502,"&lt;"&amp;AO187)+1)))</x:f>
        <x:v>248</x:v>
      </x:c>
      <x:c r="AQ187" s="14" t="n">
        <x:f t="shared" si="212">IF(B187&lt;=2,1,IF(B187&lt;=6,2,IF(B187&lt;=9,3,IF(B187&lt;=19,4,5))))</x:f>
        <x:v>5</x:v>
      </x:c>
      <x:c r="AR187" s="10" t="n">
        <x:f t="shared" si="213">AN187*(1-Q187)/F187*$AS$3+U187*$AS$4+P187*$AS$5</x:f>
        <x:v>13651.357070081063</x:v>
      </x:c>
      <x:c r="AS187" s="15" t="n">
        <x:f t="shared" si="214">1+AH187*$AS$6+AI187*$AS$7+(AJ187-1)*$AS$8+($H$10*H187+$I$10*I187+$J$10*J187+$K$10*K187+$L$10*L187)*$AU$3*$AS$9+($H$10*H187+$I$10*I187+$J$10*J187+$K$10*K187+$L$10*L187)*$AU$4*$AS$10</x:f>
        <x:v>15.15469589446757</x:v>
      </x:c>
      <x:c r="AT187" s="16" t="n">
        <x:f t="shared" si="215">ROUND(AR187*AS187,0)</x:f>
        <x:v>206882</x:v>
      </x:c>
      <x:c r="AU187" s="16" t="n">
        <x:f t="shared" si="216">ROUND(AT187*F187,0)</x:f>
        <x:v>1034410</x:v>
      </x:c>
      <x:c r="AV187" t="n">
        <x:f>IF(AU187&gt;0,ROUND(AU187,-MAX(0,INT(LOG10(AU187))-2)),0)</x:f>
        <x:v>1030000</x:v>
      </x:c>
    </x:row>
    <x:row r="188" customHeight="1">
      <x:c r="A188" s="1" t="str">
        <x:f>IFERROR(XLOOKUP(B188,'_曲线基线'!$G$3:$G$107,'_曲线基线'!$J$3:$J$107,""),"")</x:f>
      </x:c>
      <x:c r="B188" s="1" t="n">
        <x:v>177</x:v>
      </x:c>
      <x:c r="C188" s="1" t="n">
        <x:f t="shared" si="255">C173+1</x:f>
        <x:v>13</x:v>
      </x:c>
      <x:c r="D188" s="1" t="n">
        <x:f t="shared" si="256">D173</x:f>
        <x:v>3</x:v>
      </x:c>
      <x:c r="E188" s="1" t="n">
        <x:f t="shared" si="188">IF($B188&lt;E$8,0,E$3+(E$4-E$3)*(POWER(E$5,$B188-E$8)-1)/(POWER(E$5,$C$5-E$8)-1))</x:f>
        <x:v>1</x:v>
      </x:c>
      <x:c r="F188" s="10" t="n">
        <x:f t="shared" si="189">1+IF(B188&lt;3,0,MIN(1,(B188-2)/4))+IF(B188&lt;7,0,MIN(1,(B188-6)/3))+IF(B188&lt;10,0,MIN(1,(B188-9)/5))+IF(B188&lt;20,0,MIN(1,(B188-19)/10))</x:f>
        <x:v>5</x:v>
      </x:c>
      <x:c r="G188" s="11" t="n">
        <x:f t="shared" ref="G188:L188" si="266">'玩家战力_节点'!G188</x:f>
        <x:v>0.7668186720615432</x:v>
      </x:c>
      <x:c r="H188" s="11" t="n">
        <x:f t="shared" si="266">'玩家战力_节点'!H188</x:f>
        <x:v>0.5989732935576382</x:v>
      </x:c>
      <x:c r="I188" s="11" t="n">
        <x:f t="shared" si="266">'玩家战力_节点'!I188</x:f>
        <x:v>0.5069189740838662</x:v>
      </x:c>
      <x:c r="J188" s="11" t="n">
        <x:f t="shared" si="266">'玩家战力_节点'!J188</x:f>
        <x:v>0.48916237935249707</x:v>
      </x:c>
      <x:c r="K188" s="11" t="n">
        <x:f t="shared" si="266">'玩家战力_节点'!K188</x:f>
        <x:v>0.4514366297253216</x:v>
      </x:c>
      <x:c r="L188" s="11" t="n">
        <x:f t="shared" si="266">'玩家战力_节点'!L188</x:f>
        <x:v>0.5934315808362943</x:v>
      </x:c>
      <x:c r="M188" s="2" t="n">
        <x:f>E188*'模块规划'!$F$10+G188*'模块规划'!$F$11+H188*'模块规划'!$F$13</x:f>
        <x:v>4680.7296258954075</x:v>
      </x:c>
      <x:c r="N188" s="2" t="n">
        <x:f>I188*'模块规划'!$F$15+J188*'模块规划'!$F$17+K188*'模块规划'!$F$16+L188*'模块规划'!$F$18</x:f>
        <x:v>14622.7532687293</x:v>
      </x:c>
      <x:c r="O188" s="2" t="n">
        <x:f t="shared" si="191">1+O$9*SUMPRODUCT($H$10:$L$10,H188:L188)/SUM($H$10:$L$10)</x:f>
        <x:v>2.9353772040345127</x:v>
      </x:c>
      <x:c r="P188" s="12" t="n">
        <x:f t="shared" si="192">M188*O188+N188</x:f>
        <x:v>28362.460310831673</x:v>
      </x:c>
      <x:c r="Q188" s="7" t="n">
        <x:f>P188/(P188+'_曲线基线'!$L$2)</x:f>
        <x:v>0.5416563725704965</x:v>
      </x:c>
      <x:c r="R188" s="2" t="n">
        <x:f>E188*'模块规划'!$E$10+G188*'模块规划'!$E$11+H188*'模块规划'!$E$13</x:f>
        <x:v>7021.094438843111</x:v>
      </x:c>
      <x:c r="S188" s="2" t="n">
        <x:f>I188*'模块规划'!$E$15+J188*'模块规划'!$E$17+K188*'模块规划'!$E$16+L188*'模块规划'!$E$18</x:f>
        <x:v>21934.12990309395</x:v>
      </x:c>
      <x:c r="T188" s="2" t="n">
        <x:f t="shared" si="193">1+T$9*SUMPRODUCT($H$10:$L$10,H188:L188)/SUM($H$10:$L$10)</x:f>
        <x:v>2.9353772040345127</x:v>
      </x:c>
      <x:c r="U188" s="12" t="n">
        <x:f t="shared" si="194">R188*T188+S188</x:f>
        <x:v>42543.69046624751</x:v>
      </x:c>
      <x:c r="V188" s="2" t="n">
        <x:f t="shared" si="195">V$8+(V$9-V$8)*H188</x:f>
        <x:v>0.8796919880672914</x:v>
      </x:c>
      <x:c r="W188" s="2" t="n">
        <x:f t="shared" si="196">IF(B188&lt;$H$8,0,W$8+(W$9-W$8)*H188)</x:f>
        <x:v>0.23958931742305528</x:v>
      </x:c>
      <x:c r="X188" s="2" t="n">
        <x:f t="shared" si="197">X$8+(X$9-X$8)*H188</x:f>
        <x:v>0.43971765572835053</x:v>
      </x:c>
      <x:c r="Y188" s="2" t="n">
        <x:f t="shared" si="198">Y$8+(Y$9-Y$8)*G188</x:f>
        <x:v>1</x:v>
      </x:c>
      <x:c r="Z188" s="2" t="n">
        <x:f t="shared" si="199">Z$8+(Z$9-Z$8)*H188</x:f>
        <x:v>1</x:v>
      </x:c>
      <x:c r="AA188" s="2" t="n">
        <x:f t="shared" si="200">AA$8+(AA$9-AA$8)*I188</x:f>
        <x:v>1</x:v>
      </x:c>
      <x:c r="AB188" s="2" t="n">
        <x:f t="shared" si="201">AB$8+(AB$9-AB$8)*J188</x:f>
        <x:v>1</x:v>
      </x:c>
      <x:c r="AC188" s="2" t="n">
        <x:f t="shared" si="202">AC$8+(AC$9-AC$8)*MAX(K188,L188)</x:f>
        <x:v>1</x:v>
      </x:c>
      <x:c r="AD188" s="1" t="n">
        <x:f t="shared" si="203">(V188*AE188+W188*AF188+X188*AG188)*PRODUCT(Y188:AC188)</x:f>
        <x:v>1.7330363416741634</x:v>
      </x:c>
      <x:c r="AE188" s="2" t="n">
        <x:f t="shared" si="204">1+AE$9*($H$10*H188+$I$10*I188+$J$10*J188+$K$10*K188+$L$10*L188)</x:f>
        <x:v>1</x:v>
      </x:c>
      <x:c r="AF188" s="2" t="n">
        <x:f t="shared" si="205">1+AF$9*($H$10*H188+$I$10*I188+$J$10*J188+$K$10*K188+$L$10*L188)</x:f>
        <x:v>1.1708146682103335</x:v>
      </x:c>
      <x:c r="AG188" s="2" t="n">
        <x:f t="shared" si="206">1+AG$9*($H$10*H188+$I$10*I188+$J$10*J188+$K$10*K188+$L$10*L188)</x:f>
        <x:v>1.3027215508838714</x:v>
      </x:c>
      <x:c r="AH188" s="2" t="n">
        <x:f>MIN(1,'_曲线基线'!$L$3+AH$9*($H$10*H188+$I$10*I188+$J$10*J188+$K$10*K188+$L$10*L188))</x:f>
        <x:v>0.43860337017850853</x:v>
      </x:c>
      <x:c r="AI188" s="2" t="n">
        <x:f>'_曲线基线'!$L$4+AI$9*($H$10*H188+$I$10*I188+$J$10*J188+$K$10*K188+$L$10*L188)</x:f>
        <x:v>3.0825379597829885</x:v>
      </x:c>
      <x:c r="AJ188" s="2" t="n">
        <x:f t="shared" si="207">1+AJ$9*($H$10*H188+$I$10*I188+$J$10*J188+$K$10*K188+$L$10*L188)</x:f>
        <x:v>1.888236274693734</x:v>
      </x:c>
      <x:c r="AK188" s="1" t="n">
        <x:f t="shared" si="208">(1+AH188*(AI188-1))*AJ188</x:f>
        <x:v>3.6129667105190206</x:v>
      </x:c>
      <x:c r="AL188" s="1" t="n">
        <x:f t="shared" si="209">U188*AD188*AK188*F188</x:f>
        <x:v>1331915.872747139</x:v>
      </x:c>
      <x:c r="AM188" s="13" t="n">
        <x:f t="shared" si="210">IF($B188&lt;AM$8,0,AM$3+(AM$4-AM$3)*(POWER(AM$5,$B188-AM$8)-1)/(POWER(AM$5,$C$5-AM$8)-1))</x:f>
        <x:v>41.392609271848016</x:v>
      </x:c>
      <x:c r="AN188" s="13" t="n">
        <x:f>(((E188*'模块规划'!$D$10+G188*'模块规划'!$D$11+H188*'模块规划'!$D$13)*(1+'模块规划'!$G$14*H188)+(I188*'模块规划'!$D$15+J188*'模块规划'!$D$17+K188*'模块规划'!$D$16+L188*'模块规划'!$D$18))*(1+'模块规划'!$J$17*J188))*F188/(1-Q188)</x:f>
        <x:v>1889354.440105753</x:v>
      </x:c>
      <x:c r="AO188" s="1" t="n">
        <x:f t="shared" si="211">AL188*AM188</x:f>
        <x:v>55131473.30359477</x:v>
      </x:c>
      <x:c r="AP188" s="1" t="n">
        <x:f>IF(AO188="","",INDEX('_曲线基线'!$A$3:$A$502,MIN(ROWS('_曲线基线'!$A$3:$A$502),COUNTIF('_曲线基线'!$E$3:$E$502,"&lt;"&amp;AO188)+1)))</x:f>
        <x:v>248</x:v>
      </x:c>
      <x:c r="AQ188" s="14" t="n">
        <x:f t="shared" si="212">IF(B188&lt;=2,1,IF(B188&lt;=6,2,IF(B188&lt;=9,3,IF(B188&lt;=19,4,5))))</x:f>
        <x:v>5</x:v>
      </x:c>
      <x:c r="AR188" s="10" t="n">
        <x:f t="shared" si="213">AN188*(1-Q188)/F188*$AS$3+U188*$AS$4+P188*$AS$5</x:f>
        <x:v>13704.579498718158</x:v>
      </x:c>
      <x:c r="AS188" s="15" t="n">
        <x:f t="shared" si="214">1+AH188*$AS$6+AI188*$AS$7+(AJ188-1)*$AS$8+($H$10*H188+$I$10*I188+$J$10*J188+$K$10*K188+$L$10*L188)*$AU$3*$AS$9+($H$10*H188+$I$10*I188+$J$10*J188+$K$10*K188+$L$10*L188)*$AU$4*$AS$10</x:f>
        <x:v>15.18795051373418</x:v>
      </x:c>
      <x:c r="AT188" s="16" t="n">
        <x:f t="shared" si="215">ROUND(AR188*AS188,0)</x:f>
        <x:v>208144</x:v>
      </x:c>
      <x:c r="AU188" s="16" t="n">
        <x:f t="shared" si="216">ROUND(AT188*F188,0)</x:f>
        <x:v>1040720</x:v>
      </x:c>
      <x:c r="AV188" t="n">
        <x:f>IF(AU188&gt;0,ROUND(AU188,-MAX(0,INT(LOG10(AU188))-2)),0)</x:f>
        <x:v>1040000</x:v>
      </x:c>
    </x:row>
    <x:row r="189" customHeight="1">
      <x:c r="A189" s="1" t="str">
        <x:f>IFERROR(XLOOKUP(B189,'_曲线基线'!$G$3:$G$107,'_曲线基线'!$J$3:$J$107,""),"")</x:f>
      </x:c>
      <x:c r="B189" s="1" t="n">
        <x:v>178</x:v>
      </x:c>
      <x:c r="C189" s="1" t="n">
        <x:f t="shared" si="255">C174+1</x:f>
        <x:v>13</x:v>
      </x:c>
      <x:c r="D189" s="1" t="n">
        <x:f t="shared" si="256">D174</x:f>
        <x:v>4</x:v>
      </x:c>
      <x:c r="E189" s="1" t="n">
        <x:f t="shared" si="188">IF($B189&lt;E$8,0,E$3+(E$4-E$3)*(POWER(E$5,$B189-E$8)-1)/(POWER(E$5,$C$5-E$8)-1))</x:f>
        <x:v>1</x:v>
      </x:c>
      <x:c r="F189" s="10" t="n">
        <x:f t="shared" si="189">1+IF(B189&lt;3,0,MIN(1,(B189-2)/4))+IF(B189&lt;7,0,MIN(1,(B189-6)/3))+IF(B189&lt;10,0,MIN(1,(B189-9)/5))+IF(B189&lt;20,0,MIN(1,(B189-19)/10))</x:f>
        <x:v>5</x:v>
      </x:c>
      <x:c r="G189" s="11" t="n">
        <x:f t="shared" ref="G189:L189" si="267">'玩家战力_节点'!G189</x:f>
        <x:v>0.7684125632644858</x:v>
      </x:c>
      <x:c r="H189" s="11" t="n">
        <x:f t="shared" si="267">'玩家战力_节点'!H189</x:f>
        <x:v>0.6001563784565132</x:v>
      </x:c>
      <x:c r="I189" s="11" t="n">
        <x:f t="shared" si="267">'玩家战力_节点'!I189</x:f>
        <x:v>0.5088170057907602</x:v>
      </x:c>
      <x:c r="J189" s="11" t="n">
        <x:f t="shared" si="267">'玩家战力_节点'!J189</x:f>
        <x:v>0.4904978493390708</x:v>
      </x:c>
      <x:c r="K189" s="11" t="n">
        <x:f t="shared" si="267">'玩家战力_节点'!K189</x:f>
        <x:v>0.45442292708933335</x:v>
      </x:c>
      <x:c r="L189" s="11" t="n">
        <x:f t="shared" si="267">'玩家战力_节点'!L189</x:f>
        <x:v>0.5947069890785389</x:v>
      </x:c>
      <x:c r="M189" s="2" t="n">
        <x:f>E189*'模块规划'!$F$10+G189*'模块规划'!$F$11+H189*'模块规划'!$F$13</x:f>
        <x:v>4688.380303669532</x:v>
      </x:c>
      <x:c r="N189" s="2" t="n">
        <x:f>I189*'模块规划'!$F$15+J189*'模块规划'!$F$17+K189*'模块规划'!$F$16+L189*'模块规划'!$F$18</x:f>
        <x:v>14675.587047645484</x:v>
      </x:c>
      <x:c r="O189" s="2" t="n">
        <x:f t="shared" si="191">1+O$9*SUMPRODUCT($H$10:$L$10,H189:L189)/SUM($H$10:$L$10)</x:f>
        <x:v>2.9416830923001624</x:v>
      </x:c>
      <x:c r="P189" s="12" t="n">
        <x:f t="shared" si="192">M189*O189+N189</x:f>
        <x:v>28467.316117223247</x:v>
      </x:c>
      <x:c r="Q189" s="7" t="n">
        <x:f>P189/(P189+'_曲线基线'!$L$2)</x:f>
        <x:v>0.5425723712190871</x:v>
      </x:c>
      <x:c r="R189" s="2" t="n">
        <x:f>E189*'模块规划'!$E$10+G189*'模块规划'!$E$11+H189*'模块规划'!$E$13</x:f>
        <x:v>7032.570455504298</x:v>
      </x:c>
      <x:c r="S189" s="2" t="n">
        <x:f>I189*'模块规划'!$E$15+J189*'模块规划'!$E$17+K189*'模块规划'!$E$16+L189*'模块规划'!$E$18</x:f>
        <x:v>22013.380571468228</x:v>
      </x:c>
      <x:c r="T189" s="2" t="n">
        <x:f t="shared" si="193">1+T$9*SUMPRODUCT($H$10:$L$10,H189:L189)/SUM($H$10:$L$10)</x:f>
        <x:v>2.9416830923001624</x:v>
      </x:c>
      <x:c r="U189" s="12" t="n">
        <x:f t="shared" si="194">R189*T189+S189</x:f>
        <x:v>42700.97417583487</x:v>
      </x:c>
      <x:c r="V189" s="2" t="n">
        <x:f t="shared" si="195">V$8+(V$9-V$8)*H189</x:f>
        <x:v>0.880046913536954</x:v>
      </x:c>
      <x:c r="W189" s="2" t="n">
        <x:f t="shared" si="196">IF(B189&lt;$H$8,0,W$8+(W$9-W$8)*H189)</x:f>
        <x:v>0.24006255138260527</x:v>
      </x:c>
      <x:c r="X189" s="2" t="n">
        <x:f t="shared" si="197">X$8+(X$9-X$8)*H189</x:f>
        <x:v>0.44004300407554114</x:v>
      </x:c>
      <x:c r="Y189" s="2" t="n">
        <x:f t="shared" si="198">Y$8+(Y$9-Y$8)*G189</x:f>
        <x:v>1</x:v>
      </x:c>
      <x:c r="Z189" s="2" t="n">
        <x:f t="shared" si="199">Z$8+(Z$9-Z$8)*H189</x:f>
        <x:v>1</x:v>
      </x:c>
      <x:c r="AA189" s="2" t="n">
        <x:f t="shared" si="200">AA$8+(AA$9-AA$8)*I189</x:f>
        <x:v>1</x:v>
      </x:c>
      <x:c r="AB189" s="2" t="n">
        <x:f t="shared" si="201">AB$8+(AB$9-AB$8)*J189</x:f>
        <x:v>1</x:v>
      </x:c>
      <x:c r="AC189" s="2" t="n">
        <x:f t="shared" si="202">AC$8+(AC$9-AC$8)*MAX(K189,L189)</x:f>
        <x:v>1</x:v>
      </x:c>
      <x:c r="AD189" s="1" t="n">
        <x:f t="shared" si="203">(V189*AE189+W189*AF189+X189*AG189)*PRODUCT(Y189:AC189)</x:f>
        <x:v>1.7349368113832146</x:v>
      </x:c>
      <x:c r="AE189" s="2" t="n">
        <x:f t="shared" si="204">1+AE$9*($H$10*H189+$I$10*I189+$J$10*J189+$K$10*K189+$L$10*L189)</x:f>
        <x:v>1</x:v>
      </x:c>
      <x:c r="AF189" s="2" t="n">
        <x:f t="shared" si="205">1+AF$9*($H$10*H189+$I$10*I189+$J$10*J189+$K$10*K189+$L$10*L189)</x:f>
        <x:v>1.1713712202920792</x:v>
      </x:c>
      <x:c r="AG189" s="2" t="n">
        <x:f t="shared" si="206">1+AG$9*($H$10*H189+$I$10*I189+$J$10*J189+$K$10*K189+$L$10*L189)</x:f>
        <x:v>1.303707884850965</x:v>
      </x:c>
      <x:c r="AH189" s="2" t="n">
        <x:f>MIN(1,'_曲线基线'!$L$3+AH$9*($H$10*H189+$I$10*I189+$J$10*J189+$K$10*K189+$L$10*L189))</x:f>
        <x:v>0.43986952616447983</x:v>
      </x:c>
      <x:c r="AI189" s="2" t="n">
        <x:f>'_曲线基线'!$L$4+AI$9*($H$10*H189+$I$10*I189+$J$10*J189+$K$10*K189+$L$10*L189)</x:f>
        <x:v>3.0860651086010513</x:v>
      </x:c>
      <x:c r="AJ189" s="2" t="n">
        <x:f t="shared" si="207">1+AJ$9*($H$10*H189+$I$10*I189+$J$10*J189+$K$10*K189+$L$10*L189)</x:f>
        <x:v>1.8911303455188113</x:v>
      </x:c>
      <x:c r="AK189" s="1" t="n">
        <x:f t="shared" si="208">(1+AH189*(AI189-1))*AJ189</x:f>
        <x:v>3.626424876519386</x:v>
      </x:c>
      <x:c r="AL189" s="1" t="n">
        <x:f t="shared" si="209">U189*AD189*AK189*F189</x:f>
        <x:v>1343291.0912708656</x:v>
      </x:c>
      <x:c r="AM189" s="13" t="n">
        <x:f t="shared" si="210">IF($B189&lt;AM$8,0,AM$3+(AM$4-AM$3)*(POWER(AM$5,$B189-AM$8)-1)/(POWER(AM$5,$C$5-AM$8)-1))</x:f>
        <x:v>41.469960004488364</x:v>
      </x:c>
      <x:c r="AN189" s="13" t="n">
        <x:f>(((E189*'模块规划'!$D$10+G189*'模块规划'!$D$11+H189*'模块规划'!$D$13)*(1+'模块规划'!$G$14*H189)+(I189*'模块规划'!$D$15+J189*'模块规划'!$D$17+K189*'模块规划'!$D$16+L189*'模块规划'!$D$18))*(1+'模块规划'!$J$17*J189))*F189/(1-Q189)</x:f>
        <x:v>1901092.4887091925</x:v>
      </x:c>
      <x:c r="AO189" s="1" t="n">
        <x:f t="shared" si="211">AL189*AM189</x:f>
        <x:v>55706227.82938833</x:v>
      </x:c>
      <x:c r="AP189" s="1" t="n">
        <x:f>IF(AO189="","",INDEX('_曲线基线'!$A$3:$A$502,MIN(ROWS('_曲线基线'!$A$3:$A$502),COUNTIF('_曲线基线'!$E$3:$E$502,"&lt;"&amp;AO189)+1)))</x:f>
        <x:v>249</x:v>
      </x:c>
      <x:c r="AQ189" s="14" t="n">
        <x:f t="shared" si="212">IF(B189&lt;=2,1,IF(B189&lt;=6,2,IF(B189&lt;=9,3,IF(B189&lt;=19,4,5))))</x:f>
        <x:v>5</x:v>
      </x:c>
      <x:c r="AR189" s="10" t="n">
        <x:f t="shared" si="213">AN189*(1-Q189)/F189*$AS$3+U189*$AS$4+P189*$AS$5</x:f>
        <x:v>13757.868210387676</x:v>
      </x:c>
      <x:c r="AS189" s="15" t="n">
        <x:f t="shared" si="214">1+AH189*$AS$6+AI189*$AS$7+(AJ189-1)*$AS$8+($H$10*H189+$I$10*I189+$J$10*J189+$K$10*K189+$L$10*L189)*$AU$3*$AS$9+($H$10*H189+$I$10*I189+$J$10*J189+$K$10*K189+$L$10*L189)*$AU$4*$AS$10</x:f>
        <x:v>15.221205133000783</x:v>
      </x:c>
      <x:c r="AT189" s="16" t="n">
        <x:f t="shared" si="215">ROUND(AR189*AS189,0)</x:f>
        <x:v>209411</x:v>
      </x:c>
      <x:c r="AU189" s="16" t="n">
        <x:f t="shared" si="216">ROUND(AT189*F189,0)</x:f>
        <x:v>1047055</x:v>
      </x:c>
      <x:c r="AV189" t="n">
        <x:f>IF(AU189&gt;0,ROUND(AU189,-MAX(0,INT(LOG10(AU189))-2)),0)</x:f>
        <x:v>1050000</x:v>
      </x:c>
    </x:row>
    <x:row r="190" customHeight="1">
      <x:c r="A190" s="1" t="str">
        <x:f>IFERROR(XLOOKUP(B190,'_曲线基线'!$G$3:$G$107,'_曲线基线'!$J$3:$J$107,""),"")</x:f>
      </x:c>
      <x:c r="B190" s="1" t="n">
        <x:v>179</x:v>
      </x:c>
      <x:c r="C190" s="1" t="n">
        <x:f t="shared" si="255">C175+1</x:f>
        <x:v>13</x:v>
      </x:c>
      <x:c r="D190" s="1" t="n">
        <x:f t="shared" si="256">D175</x:f>
        <x:v>5</x:v>
      </x:c>
      <x:c r="E190" s="1" t="n">
        <x:f t="shared" si="188">IF($B190&lt;E$8,0,E$3+(E$4-E$3)*(POWER(E$5,$B190-E$8)-1)/(POWER(E$5,$C$5-E$8)-1))</x:f>
        <x:v>1</x:v>
      </x:c>
      <x:c r="F190" s="10" t="n">
        <x:f t="shared" si="189">1+IF(B190&lt;3,0,MIN(1,(B190-2)/4))+IF(B190&lt;7,0,MIN(1,(B190-6)/3))+IF(B190&lt;10,0,MIN(1,(B190-9)/5))+IF(B190&lt;20,0,MIN(1,(B190-19)/10))</x:f>
        <x:v>5</x:v>
      </x:c>
      <x:c r="G190" s="11" t="n">
        <x:f t="shared" ref="G190:L190" si="268">'玩家战力_节点'!G190</x:f>
        <x:v>0.7700064544674285</x:v>
      </x:c>
      <x:c r="H190" s="11" t="n">
        <x:f t="shared" si="268">'玩家战力_节点'!H190</x:f>
        <x:v>0.6013394633553882</x:v>
      </x:c>
      <x:c r="I190" s="11" t="n">
        <x:f t="shared" si="268">'玩家战力_节点'!I190</x:f>
        <x:v>0.5107150374976542</x:v>
      </x:c>
      <x:c r="J190" s="11" t="n">
        <x:f t="shared" si="268">'玩家战力_节点'!J190</x:f>
        <x:v>0.49183331932564467</x:v>
      </x:c>
      <x:c r="K190" s="11" t="n">
        <x:f t="shared" si="268">'玩家战力_节点'!K190</x:f>
        <x:v>0.45740922445334503</x:v>
      </x:c>
      <x:c r="L190" s="11" t="n">
        <x:f t="shared" si="268">'玩家战力_节点'!L190</x:f>
        <x:v>0.5959823973207836</x:v>
      </x:c>
      <x:c r="M190" s="2" t="n">
        <x:f>E190*'模块规划'!$F$10+G190*'模块规划'!$F$11+H190*'模块规划'!$F$13</x:f>
        <x:v>4696.030981443657</x:v>
      </x:c>
      <x:c r="N190" s="2" t="n">
        <x:f>I190*'模块规划'!$F$15+J190*'模块规划'!$F$17+K190*'模块规划'!$F$16+L190*'模块规划'!$F$18</x:f>
        <x:v>14728.420826561669</x:v>
      </x:c>
      <x:c r="O190" s="2" t="n">
        <x:f t="shared" si="191">1+O$9*SUMPRODUCT($H$10:$L$10,H190:L190)/SUM($H$10:$L$10)</x:f>
        <x:v>2.947988980565813</x:v>
      </x:c>
      <x:c r="P190" s="12" t="n">
        <x:f t="shared" si="192">M190*O190+N190</x:f>
        <x:v>28572.26841225323</x:v>
      </x:c>
      <x:c r="Q190" s="7" t="n">
        <x:f>P190/(P190+'_曲线基线'!$L$2)</x:f>
        <x:v>0.5434855537942467</x:v>
      </x:c>
      <x:c r="R190" s="2" t="n">
        <x:f>E190*'模块规划'!$E$10+G190*'模块规划'!$E$11+H190*'模块规划'!$E$13</x:f>
        <x:v>7044.046472165485</x:v>
      </x:c>
      <x:c r="S190" s="2" t="n">
        <x:f>I190*'模块规划'!$E$15+J190*'模块规划'!$E$17+K190*'模块规划'!$E$16+L190*'模块规划'!$E$18</x:f>
        <x:v>22092.631239842503</x:v>
      </x:c>
      <x:c r="T190" s="2" t="n">
        <x:f t="shared" si="193">1+T$9*SUMPRODUCT($H$10:$L$10,H190:L190)/SUM($H$10:$L$10)</x:f>
        <x:v>2.947988980565813</x:v>
      </x:c>
      <x:c r="U190" s="12" t="n">
        <x:f t="shared" si="194">R190*T190+S190</x:f>
        <x:v>42858.40261837984</x:v>
      </x:c>
      <x:c r="V190" s="2" t="n">
        <x:f t="shared" si="195">V$8+(V$9-V$8)*H190</x:f>
        <x:v>0.8804018390066164</x:v>
      </x:c>
      <x:c r="W190" s="2" t="n">
        <x:f t="shared" si="196">IF(B190&lt;$H$8,0,W$8+(W$9-W$8)*H190)</x:f>
        <x:v>0.2405357853421553</x:v>
      </x:c>
      <x:c r="X190" s="2" t="n">
        <x:f t="shared" si="197">X$8+(X$9-X$8)*H190</x:f>
        <x:v>0.4403683524227318</x:v>
      </x:c>
      <x:c r="Y190" s="2" t="n">
        <x:f t="shared" si="198">Y$8+(Y$9-Y$8)*G190</x:f>
        <x:v>1</x:v>
      </x:c>
      <x:c r="Z190" s="2" t="n">
        <x:f t="shared" si="199">Z$8+(Z$9-Z$8)*H190</x:f>
        <x:v>1</x:v>
      </x:c>
      <x:c r="AA190" s="2" t="n">
        <x:f t="shared" si="200">AA$8+(AA$9-AA$8)*I190</x:f>
        <x:v>1</x:v>
      </x:c>
      <x:c r="AB190" s="2" t="n">
        <x:f t="shared" si="201">AB$8+(AB$9-AB$8)*J190</x:f>
        <x:v>1</x:v>
      </x:c>
      <x:c r="AC190" s="2" t="n">
        <x:f t="shared" si="202">AC$8+(AC$9-AC$8)*MAX(K190,L190)</x:f>
        <x:v>1</x:v>
      </x:c>
      <x:c r="AD190" s="1" t="n">
        <x:f t="shared" si="203">(V190*AE190+W190*AF190+X190*AG190)*PRODUCT(Y190:AC190)</x:f>
        <x:v>1.7368384496552087</x:v>
      </x:c>
      <x:c r="AE190" s="2" t="n">
        <x:f t="shared" si="204">1+AE$9*($H$10*H190+$I$10*I190+$J$10*J190+$K$10*K190+$L$10*L190)</x:f>
        <x:v>1</x:v>
      </x:c>
      <x:c r="AF190" s="2" t="n">
        <x:f t="shared" si="205">1+AF$9*($H$10*H190+$I$10*I190+$J$10*J190+$K$10*K190+$L$10*L190)</x:f>
        <x:v>1.1719277723738248</x:v>
      </x:c>
      <x:c r="AG190" s="2" t="n">
        <x:f t="shared" si="206">1+AG$9*($H$10*H190+$I$10*I190+$J$10*J190+$K$10*K190+$L$10*L190)</x:f>
        <x:v>1.3046942188180588</x:v>
      </x:c>
      <x:c r="AH190" s="2" t="n">
        <x:f>MIN(1,'_曲线基线'!$L$3+AH$9*($H$10*H190+$I$10*I190+$J$10*J190+$K$10*K190+$L$10*L190))</x:f>
        <x:v>0.4411356821504513</x:v>
      </x:c>
      <x:c r="AI190" s="2" t="n">
        <x:f>'_曲线基线'!$L$4+AI$9*($H$10*H190+$I$10*I190+$J$10*J190+$K$10*K190+$L$10*L190)</x:f>
        <x:v>3.089592257419114</x:v>
      </x:c>
      <x:c r="AJ190" s="2" t="n">
        <x:f t="shared" si="207">1+AJ$9*($H$10*H190+$I$10*I190+$J$10*J190+$K$10*K190+$L$10*L190)</x:f>
        <x:v>1.8940244163438886</x:v>
      </x:c>
      <x:c r="AK190" s="1" t="n">
        <x:f t="shared" si="208">(1+AH190*(AI190-1))*AJ190</x:f>
        <x:v>3.6399242021371254</x:v>
      </x:c>
      <x:c r="AL190" s="1" t="n">
        <x:f t="shared" si="209">U190*AD190*AK190*F190</x:f>
        <x:v>1354745.601110329</x:v>
      </x:c>
      <x:c r="AM190" s="13" t="n">
        <x:f t="shared" si="210">IF($B190&lt;AM$8,0,AM$3+(AM$4-AM$3)*(POWER(AM$5,$B190-AM$8)-1)/(POWER(AM$5,$C$5-AM$8)-1))</x:f>
        <x:v>41.54808424445512</x:v>
      </x:c>
      <x:c r="AN190" s="13" t="n">
        <x:f>(((E190*'模块规划'!$D$10+G190*'模块规划'!$D$11+H190*'模块规划'!$D$13)*(1+'模块规划'!$G$14*H190)+(I190*'模块规划'!$D$15+J190*'模块规划'!$D$17+K190*'模块规划'!$D$16+L190*'模块规划'!$D$18))*(1+'模块规划'!$J$17*J190))*F190/(1-Q190)</x:f>
        <x:v>1912879.4779335356</x:v>
      </x:c>
      <x:c r="AO190" s="1" t="n">
        <x:f t="shared" si="211">AL190*AM190</x:f>
        <x:v>56287084.36473694</x:v>
      </x:c>
      <x:c r="AP190" s="1" t="n">
        <x:f>IF(AO190="","",INDEX('_曲线基线'!$A$3:$A$502,MIN(ROWS('_曲线基线'!$A$3:$A$502),COUNTIF('_曲线基线'!$E$3:$E$502,"&lt;"&amp;AO190)+1)))</x:f>
        <x:v>250</x:v>
      </x:c>
      <x:c r="AQ190" s="14" t="n">
        <x:f t="shared" si="212">IF(B190&lt;=2,1,IF(B190&lt;=6,2,IF(B190&lt;=9,3,IF(B190&lt;=19,4,5))))</x:f>
        <x:v>5</x:v>
      </x:c>
      <x:c r="AR190" s="10" t="n">
        <x:f t="shared" si="213">AN190*(1-Q190)/F190*$AS$3+U190*$AS$4+P190*$AS$5</x:f>
        <x:v>13811.22321683904</x:v>
      </x:c>
      <x:c r="AS190" s="15" t="n">
        <x:f t="shared" si="214">1+AH190*$AS$6+AI190*$AS$7+(AJ190-1)*$AS$8+($H$10*H190+$I$10*I190+$J$10*J190+$K$10*K190+$L$10*L190)*$AU$3*$AS$9+($H$10*H190+$I$10*I190+$J$10*J190+$K$10*K190+$L$10*L190)*$AU$4*$AS$10</x:f>
        <x:v>15.254459752267387</x:v>
      </x:c>
      <x:c r="AT190" s="16" t="n">
        <x:f t="shared" si="215">ROUND(AR190*AS190,0)</x:f>
        <x:v>210683</x:v>
      </x:c>
      <x:c r="AU190" s="16" t="n">
        <x:f t="shared" si="216">ROUND(AT190*F190,0)</x:f>
        <x:v>1053415</x:v>
      </x:c>
      <x:c r="AV190" t="n">
        <x:f>IF(AU190&gt;0,ROUND(AU190,-MAX(0,INT(LOG10(AU190))-2)),0)</x:f>
        <x:v>1050000</x:v>
      </x:c>
    </x:row>
    <x:row r="191" customHeight="1">
      <x:c r="A191" s="1" t="str">
        <x:f>IFERROR(XLOOKUP(B191,'_曲线基线'!$G$3:$G$107,'_曲线基线'!$J$3:$J$107,""),"")</x:f>
      </x:c>
      <x:c r="B191" s="1" t="n">
        <x:v>180</x:v>
      </x:c>
      <x:c r="C191" s="1" t="n">
        <x:f t="shared" si="255">C176+1</x:f>
        <x:v>13</x:v>
      </x:c>
      <x:c r="D191" s="1" t="n">
        <x:f t="shared" si="256">D176</x:f>
        <x:v>6</x:v>
      </x:c>
      <x:c r="E191" s="1" t="n">
        <x:f t="shared" si="188">IF($B191&lt;E$8,0,E$3+(E$4-E$3)*(POWER(E$5,$B191-E$8)-1)/(POWER(E$5,$C$5-E$8)-1))</x:f>
        <x:v>1</x:v>
      </x:c>
      <x:c r="F191" s="10" t="n">
        <x:f t="shared" si="189">1+IF(B191&lt;3,0,MIN(1,(B191-2)/4))+IF(B191&lt;7,0,MIN(1,(B191-6)/3))+IF(B191&lt;10,0,MIN(1,(B191-9)/5))+IF(B191&lt;20,0,MIN(1,(B191-19)/10))</x:f>
        <x:v>5</x:v>
      </x:c>
      <x:c r="G191" s="11" t="n">
        <x:f t="shared" ref="G191:L191" si="269">'玩家战力_节点'!G191</x:f>
        <x:v>0.7716003456703711</x:v>
      </x:c>
      <x:c r="H191" s="11" t="n">
        <x:f t="shared" si="269">'玩家战力_节点'!H191</x:f>
        <x:v>0.6025225482542633</x:v>
      </x:c>
      <x:c r="I191" s="11" t="n">
        <x:f t="shared" si="269">'玩家战力_节点'!I191</x:f>
        <x:v>0.5126130692045482</x:v>
      </x:c>
      <x:c r="J191" s="11" t="n">
        <x:f t="shared" si="269">'玩家战力_节点'!J191</x:f>
        <x:v>0.49316878931221847</x:v>
      </x:c>
      <x:c r="K191" s="11" t="n">
        <x:f t="shared" si="269">'玩家战力_节点'!K191</x:f>
        <x:v>0.46039552181735666</x:v>
      </x:c>
      <x:c r="L191" s="11" t="n">
        <x:f t="shared" si="269">'玩家战力_节点'!L191</x:f>
        <x:v>0.5972578055630282</x:v>
      </x:c>
      <x:c r="M191" s="2" t="n">
        <x:f>E191*'模块规划'!$F$10+G191*'模块规划'!$F$11+H191*'模块规划'!$F$13</x:f>
        <x:v>4703.681659217781</x:v>
      </x:c>
      <x:c r="N191" s="2" t="n">
        <x:f>I191*'模块规划'!$F$15+J191*'模块规划'!$F$17+K191*'模块规划'!$F$16+L191*'模块规划'!$F$18</x:f>
        <x:v>14781.25460547785</x:v>
      </x:c>
      <x:c r="O191" s="2" t="n">
        <x:f t="shared" si="191">1+O$9*SUMPRODUCT($H$10:$L$10,H191:L191)/SUM($H$10:$L$10)</x:f>
        <x:v>2.9542948688314636</x:v>
      </x:c>
      <x:c r="P191" s="12" t="n">
        <x:f t="shared" si="192">M191*O191+N191</x:f>
        <x:v>28677.317195921605</x:v>
      </x:c>
      <x:c r="Q191" s="7" t="n">
        <x:f>P191/(P191+'_曲线基线'!$L$2)</x:f>
        <x:v>0.544395932109881</x:v>
      </x:c>
      <x:c r="R191" s="2" t="n">
        <x:f>E191*'模块规划'!$E$10+G191*'模块规划'!$E$11+H191*'模块规划'!$E$13</x:f>
        <x:v>7055.522488826671</x:v>
      </x:c>
      <x:c r="S191" s="2" t="n">
        <x:f>I191*'模块规划'!$E$15+J191*'模块规划'!$E$17+K191*'模块规划'!$E$16+L191*'模块规划'!$E$18</x:f>
        <x:v>22171.881908216776</x:v>
      </x:c>
      <x:c r="T191" s="2" t="n">
        <x:f t="shared" si="193">1+T$9*SUMPRODUCT($H$10:$L$10,H191:L191)/SUM($H$10:$L$10)</x:f>
        <x:v>2.9542948688314636</x:v>
      </x:c>
      <x:c r="U191" s="12" t="n">
        <x:f t="shared" si="194">R191*T191+S191</x:f>
        <x:v>43015.975793882404</x:v>
      </x:c>
      <x:c r="V191" s="2" t="n">
        <x:f t="shared" si="195">V$8+(V$9-V$8)*H191</x:f>
        <x:v>0.880756764476279</x:v>
      </x:c>
      <x:c r="W191" s="2" t="n">
        <x:f t="shared" si="196">IF(B191&lt;$H$8,0,W$8+(W$9-W$8)*H191)</x:f>
        <x:v>0.24100901930170535</x:v>
      </x:c>
      <x:c r="X191" s="2" t="n">
        <x:f t="shared" si="197">X$8+(X$9-X$8)*H191</x:f>
        <x:v>0.4406937007699224</x:v>
      </x:c>
      <x:c r="Y191" s="2" t="n">
        <x:f t="shared" si="198">Y$8+(Y$9-Y$8)*G191</x:f>
        <x:v>1</x:v>
      </x:c>
      <x:c r="Z191" s="2" t="n">
        <x:f t="shared" si="199">Z$8+(Z$9-Z$8)*H191</x:f>
        <x:v>1</x:v>
      </x:c>
      <x:c r="AA191" s="2" t="n">
        <x:f t="shared" si="200">AA$8+(AA$9-AA$8)*I191</x:f>
        <x:v>1</x:v>
      </x:c>
      <x:c r="AB191" s="2" t="n">
        <x:f t="shared" si="201">AB$8+(AB$9-AB$8)*J191</x:f>
        <x:v>1</x:v>
      </x:c>
      <x:c r="AC191" s="2" t="n">
        <x:f t="shared" si="202">AC$8+(AC$9-AC$8)*MAX(K191,L191)</x:f>
        <x:v>1</x:v>
      </x:c>
      <x:c r="AD191" s="1" t="n">
        <x:f t="shared" si="203">(V191*AE191+W191*AF191+X191*AG191)*PRODUCT(Y191:AC191)</x:f>
        <x:v>1.7387412564901457</x:v>
      </x:c>
      <x:c r="AE191" s="2" t="n">
        <x:f t="shared" si="204">1+AE$9*($H$10*H191+$I$10*I191+$J$10*J191+$K$10*K191+$L$10*L191)</x:f>
        <x:v>1</x:v>
      </x:c>
      <x:c r="AF191" s="2" t="n">
        <x:f t="shared" si="205">1+AF$9*($H$10*H191+$I$10*I191+$J$10*J191+$K$10*K191+$L$10*L191)</x:f>
        <x:v>1.1724843244555705</x:v>
      </x:c>
      <x:c r="AG191" s="2" t="n">
        <x:f t="shared" si="206">1+AG$9*($H$10*H191+$I$10*I191+$J$10*J191+$K$10*K191+$L$10*L191)</x:f>
        <x:v>1.3056805527851525</x:v>
      </x:c>
      <x:c r="AH191" s="2" t="n">
        <x:f>MIN(1,'_曲线基线'!$L$3+AH$9*($H$10*H191+$I$10*I191+$J$10*J191+$K$10*K191+$L$10*L191))</x:f>
        <x:v>0.44240183813642264</x:v>
      </x:c>
      <x:c r="AI191" s="2" t="n">
        <x:f>'_曲线基线'!$L$4+AI$9*($H$10*H191+$I$10*I191+$J$10*J191+$K$10*K191+$L$10*L191)</x:f>
        <x:v>3.0931194062371774</x:v>
      </x:c>
      <x:c r="AJ191" s="2" t="n">
        <x:f t="shared" si="207">1+AJ$9*($H$10*H191+$I$10*I191+$J$10*J191+$K$10*K191+$L$10*L191)</x:f>
        <x:v>1.8969184871689662</x:v>
      </x:c>
      <x:c r="AK191" s="1" t="n">
        <x:f t="shared" si="208">(1+AH191*(AI191-1))*AJ191</x:f>
        <x:v>3.6534647649203804</x:v>
      </x:c>
      <x:c r="AL191" s="1" t="n">
        <x:f t="shared" si="209">U191*AD191*AK191*F191</x:f>
        <x:v>1366279.8574734738</x:v>
      </x:c>
      <x:c r="AM191" s="13" t="n">
        <x:f t="shared" si="210">IF($B191&lt;AM$8,0,AM$3+(AM$4-AM$3)*(POWER(AM$5,$B191-AM$8)-1)/(POWER(AM$5,$C$5-AM$8)-1))</x:f>
        <x:v>41.626989726821535</x:v>
      </x:c>
      <x:c r="AN191" s="13" t="n">
        <x:f>(((E191*'模块规划'!$D$10+G191*'模块规划'!$D$11+H191*'模块规划'!$D$13)*(1+'模块规划'!$G$14*H191)+(I191*'模块规划'!$D$15+J191*'模块规划'!$D$17+K191*'模块规划'!$D$16+L191*'模块规划'!$D$18))*(1+'模块规划'!$J$17*J191))*F191/(1-Q191)</x:f>
        <x:v>1924715.5377001995</x:v>
      </x:c>
      <x:c r="AO191" s="1" t="n">
        <x:f t="shared" si="211">AL191*AM191</x:f>
        <x:v>56874117.59101148</x:v>
      </x:c>
      <x:c r="AP191" s="1" t="n">
        <x:f>IF(AO191="","",INDEX('_曲线基线'!$A$3:$A$502,MIN(ROWS('_曲线基线'!$A$3:$A$502),COUNTIF('_曲线基线'!$E$3:$E$502,"&lt;"&amp;AO191)+1)))</x:f>
        <x:v>251</x:v>
      </x:c>
      <x:c r="AQ191" s="14" t="n">
        <x:f t="shared" si="212">IF(B191&lt;=2,1,IF(B191&lt;=6,2,IF(B191&lt;=9,3,IF(B191&lt;=19,4,5))))</x:f>
        <x:v>5</x:v>
      </x:c>
      <x:c r="AR191" s="10" t="n">
        <x:f t="shared" si="213">AN191*(1-Q191)/F191*$AS$3+U191*$AS$4+P191*$AS$5</x:f>
        <x:v>13864.644529821651</x:v>
      </x:c>
      <x:c r="AS191" s="15" t="n">
        <x:f t="shared" si="214">1+AH191*$AS$6+AI191*$AS$7+(AJ191-1)*$AS$8+($H$10*H191+$I$10*I191+$J$10*J191+$K$10*K191+$L$10*L191)*$AU$3*$AS$9+($H$10*H191+$I$10*I191+$J$10*J191+$K$10*K191+$L$10*L191)*$AU$4*$AS$10</x:f>
        <x:v>15.287714371533994</x:v>
      </x:c>
      <x:c r="AT191" s="16" t="n">
        <x:f t="shared" si="215">ROUND(AR191*AS191,0)</x:f>
        <x:v>211959</x:v>
      </x:c>
      <x:c r="AU191" s="16" t="n">
        <x:f t="shared" si="216">ROUND(AT191*F191,0)</x:f>
        <x:v>1059795</x:v>
      </x:c>
      <x:c r="AV191" t="n">
        <x:f>IF(AU191&gt;0,ROUND(AU191,-MAX(0,INT(LOG10(AU191))-2)),0)</x:f>
        <x:v>1060000</x:v>
      </x:c>
    </x:row>
    <x:row r="192" customHeight="1">
      <x:c r="A192" s="1" t="str">
        <x:f>IFERROR(XLOOKUP(B192,'_曲线基线'!$G$3:$G$107,'_曲线基线'!$J$3:$J$107,""),"")</x:f>
      </x:c>
      <x:c r="B192" s="1" t="n">
        <x:v>181</x:v>
      </x:c>
      <x:c r="C192" s="1" t="n">
        <x:f t="shared" si="255">C177+1</x:f>
        <x:v>13</x:v>
      </x:c>
      <x:c r="D192" s="1" t="n">
        <x:f t="shared" si="256">D177</x:f>
        <x:v>7</x:v>
      </x:c>
      <x:c r="E192" s="1" t="n">
        <x:f t="shared" si="188">IF($B192&lt;E$8,0,E$3+(E$4-E$3)*(POWER(E$5,$B192-E$8)-1)/(POWER(E$5,$C$5-E$8)-1))</x:f>
        <x:v>1</x:v>
      </x:c>
      <x:c r="F192" s="10" t="n">
        <x:f t="shared" si="189">1+IF(B192&lt;3,0,MIN(1,(B192-2)/4))+IF(B192&lt;7,0,MIN(1,(B192-6)/3))+IF(B192&lt;10,0,MIN(1,(B192-9)/5))+IF(B192&lt;20,0,MIN(1,(B192-19)/10))</x:f>
        <x:v>5</x:v>
      </x:c>
      <x:c r="G192" s="11" t="n">
        <x:f t="shared" ref="G192:L192" si="270">'玩家战力_节点'!G192</x:f>
        <x:v>0.7731942368733137</x:v>
      </x:c>
      <x:c r="H192" s="11" t="n">
        <x:f t="shared" si="270">'玩家战力_节点'!H192</x:f>
        <x:v>0.6037056331531383</x:v>
      </x:c>
      <x:c r="I192" s="11" t="n">
        <x:f t="shared" si="270">'玩家战力_节点'!I192</x:f>
        <x:v>0.5145111009114421</x:v>
      </x:c>
      <x:c r="J192" s="11" t="n">
        <x:f t="shared" si="270">'玩家战力_节点'!J192</x:f>
        <x:v>0.49450425929879227</x:v>
      </x:c>
      <x:c r="K192" s="11" t="n">
        <x:f t="shared" si="270">'玩家战力_节点'!K192</x:f>
        <x:v>0.46338181918136834</x:v>
      </x:c>
      <x:c r="L192" s="11" t="n">
        <x:f t="shared" si="270">'玩家战力_节点'!L192</x:f>
        <x:v>0.5985332138052728</x:v>
      </x:c>
      <x:c r="M192" s="2" t="n">
        <x:f>E192*'模块规划'!$F$10+G192*'模块规划'!$F$11+H192*'模块规划'!$F$13</x:f>
        <x:v>4711.332336991905</x:v>
      </x:c>
      <x:c r="N192" s="2" t="n">
        <x:f>I192*'模块规划'!$F$15+J192*'模块规划'!$F$17+K192*'模块规划'!$F$16+L192*'模块规划'!$F$18</x:f>
        <x:v>14834.088384394034</x:v>
      </x:c>
      <x:c r="O192" s="2" t="n">
        <x:f t="shared" si="191">1+O$9*SUMPRODUCT($H$10:$L$10,H192:L192)/SUM($H$10:$L$10)</x:f>
        <x:v>2.9606007570971133</x:v>
      </x:c>
      <x:c r="P192" s="12" t="n">
        <x:f t="shared" si="192">M192*O192+N192</x:f>
        <x:v>28782.462468228383</x:v>
      </x:c>
      <x:c r="Q192" s="7" t="n">
        <x:f>P192/(P192+'_曲线基线'!$L$2)</x:f>
        <x:v>0.5453035179166481</x:v>
      </x:c>
      <x:c r="R192" s="2" t="n">
        <x:f>E192*'模块规划'!$E$10+G192*'模块规划'!$E$11+H192*'模块规划'!$E$13</x:f>
        <x:v>7066.998505487859</x:v>
      </x:c>
      <x:c r="S192" s="2" t="n">
        <x:f>I192*'模块规划'!$E$15+J192*'模块规划'!$E$17+K192*'模块规划'!$E$16+L192*'模块规划'!$E$18</x:f>
        <x:v>22251.132576591055</x:v>
      </x:c>
      <x:c r="T192" s="2" t="n">
        <x:f t="shared" si="193">1+T$9*SUMPRODUCT($H$10:$L$10,H192:L192)/SUM($H$10:$L$10)</x:f>
        <x:v>2.9606007570971133</x:v>
      </x:c>
      <x:c r="U192" s="12" t="n">
        <x:f t="shared" si="194">R192*T192+S192</x:f>
        <x:v>43173.69370234258</x:v>
      </x:c>
      <x:c r="V192" s="2" t="n">
        <x:f t="shared" si="195">V$8+(V$9-V$8)*H192</x:f>
        <x:v>0.8811116899459415</x:v>
      </x:c>
      <x:c r="W192" s="2" t="n">
        <x:f t="shared" si="196">IF(B192&lt;$H$8,0,W$8+(W$9-W$8)*H192)</x:f>
        <x:v>0.24148225326125533</x:v>
      </x:c>
      <x:c r="X192" s="2" t="n">
        <x:f t="shared" si="197">X$8+(X$9-X$8)*H192</x:f>
        <x:v>0.4410190491171131</x:v>
      </x:c>
      <x:c r="Y192" s="2" t="n">
        <x:f t="shared" si="198">Y$8+(Y$9-Y$8)*G192</x:f>
        <x:v>1</x:v>
      </x:c>
      <x:c r="Z192" s="2" t="n">
        <x:f t="shared" si="199">Z$8+(Z$9-Z$8)*H192</x:f>
        <x:v>1</x:v>
      </x:c>
      <x:c r="AA192" s="2" t="n">
        <x:f t="shared" si="200">AA$8+(AA$9-AA$8)*I192</x:f>
        <x:v>1</x:v>
      </x:c>
      <x:c r="AB192" s="2" t="n">
        <x:f t="shared" si="201">AB$8+(AB$9-AB$8)*J192</x:f>
        <x:v>1</x:v>
      </x:c>
      <x:c r="AC192" s="2" t="n">
        <x:f t="shared" si="202">AC$8+(AC$9-AC$8)*MAX(K192,L192)</x:f>
        <x:v>1</x:v>
      </x:c>
      <x:c r="AD192" s="1" t="n">
        <x:f t="shared" si="203">(V192*AE192+W192*AF192+X192*AG192)*PRODUCT(Y192:AC192)</x:f>
        <x:v>1.7406452318880246</x:v>
      </x:c>
      <x:c r="AE192" s="2" t="n">
        <x:f t="shared" si="204">1+AE$9*($H$10*H192+$I$10*I192+$J$10*J192+$K$10*K192+$L$10*L192)</x:f>
        <x:v>1</x:v>
      </x:c>
      <x:c r="AF192" s="2" t="n">
        <x:f t="shared" si="205">1+AF$9*($H$10*H192+$I$10*I192+$J$10*J192+$K$10*K192+$L$10*L192)</x:f>
        <x:v>1.1730408765373161</x:v>
      </x:c>
      <x:c r="AG192" s="2" t="n">
        <x:f t="shared" si="206">1+AG$9*($H$10*H192+$I$10*I192+$J$10*J192+$K$10*K192+$L$10*L192)</x:f>
        <x:v>1.3066668867522462</x:v>
      </x:c>
      <x:c r="AH192" s="2" t="n">
        <x:f>MIN(1,'_曲线基线'!$L$3+AH$9*($H$10*H192+$I$10*I192+$J$10*J192+$K$10*K192+$L$10*L192))</x:f>
        <x:v>0.443667994122394</x:v>
      </x:c>
      <x:c r="AI192" s="2" t="n">
        <x:f>'_曲线基线'!$L$4+AI$9*($H$10*H192+$I$10*I192+$J$10*J192+$K$10*K192+$L$10*L192)</x:f>
        <x:v>3.0966465550552407</x:v>
      </x:c>
      <x:c r="AJ192" s="2" t="n">
        <x:f t="shared" si="207">1+AJ$9*($H$10*H192+$I$10*I192+$J$10*J192+$K$10*K192+$L$10*L192)</x:f>
        <x:v>1.8998125579940437</x:v>
      </x:c>
      <x:c r="AK192" s="1" t="n">
        <x:f t="shared" si="208">(1+AH192*(AI192-1))*AJ192</x:f>
        <x:v>3.6670466424172954</x:v>
      </x:c>
      <x:c r="AL192" s="1" t="n">
        <x:f t="shared" si="209">U192*AD192*AK192*F192</x:f>
        <x:v>1377894.3176242905</x:v>
      </x:c>
      <x:c r="AM192" s="13" t="n">
        <x:f t="shared" si="210">IF($B192&lt;AM$8,0,AM$3+(AM$4-AM$3)*(POWER(AM$5,$B192-AM$8)-1)/(POWER(AM$5,$C$5-AM$8)-1))</x:f>
        <x:v>41.70668426401162</x:v>
      </x:c>
      <x:c r="AN192" s="13" t="n">
        <x:f>(((E192*'模块规划'!$D$10+G192*'模块规划'!$D$11+H192*'模块规划'!$D$13)*(1+'模块规划'!$G$14*H192)+(I192*'模块规划'!$D$15+J192*'模块规划'!$D$17+K192*'模块规划'!$D$16+L192*'模块规划'!$D$18))*(1+'模块规划'!$J$17*J192))*F192/(1-Q192)</x:f>
        <x:v>1936600.7981150753</x:v>
      </x:c>
      <x:c r="AO192" s="1" t="n">
        <x:f t="shared" si="211">AL192*AM192</x:f>
        <x:v>57467403.25433203</x:v>
      </x:c>
      <x:c r="AP192" s="1" t="n">
        <x:f>IF(AO192="","",INDEX('_曲线基线'!$A$3:$A$502,MIN(ROWS('_曲线基线'!$A$3:$A$502),COUNTIF('_曲线基线'!$E$3:$E$502,"&lt;"&amp;AO192)+1)))</x:f>
        <x:v>251</x:v>
      </x:c>
      <x:c r="AQ192" s="14" t="n">
        <x:f t="shared" si="212">IF(B192&lt;=2,1,IF(B192&lt;=6,2,IF(B192&lt;=9,3,IF(B192&lt;=19,4,5))))</x:f>
        <x:v>5</x:v>
      </x:c>
      <x:c r="AR192" s="10" t="n">
        <x:f t="shared" si="213">AN192*(1-Q192)/F192*$AS$3+U192*$AS$4+P192*$AS$5</x:f>
        <x:v>13918.132161084934</x:v>
      </x:c>
      <x:c r="AS192" s="15" t="n">
        <x:f t="shared" si="214">1+AH192*$AS$6+AI192*$AS$7+(AJ192-1)*$AS$8+($H$10*H192+$I$10*I192+$J$10*J192+$K$10*K192+$L$10*L192)*$AU$3*$AS$9+($H$10*H192+$I$10*I192+$J$10*J192+$K$10*K192+$L$10*L192)*$AU$4*$AS$10</x:f>
        <x:v>15.320968990800601</x:v>
      </x:c>
      <x:c r="AT192" s="16" t="n">
        <x:f t="shared" si="215">ROUND(AR192*AS192,0)</x:f>
        <x:v>213239</x:v>
      </x:c>
      <x:c r="AU192" s="16" t="n">
        <x:f t="shared" si="216">ROUND(AT192*F192,0)</x:f>
        <x:v>1066195</x:v>
      </x:c>
      <x:c r="AV192" t="n">
        <x:f>IF(AU192&gt;0,ROUND(AU192,-MAX(0,INT(LOG10(AU192))-2)),0)</x:f>
        <x:v>1070000</x:v>
      </x:c>
    </x:row>
    <x:row r="193" customHeight="1">
      <x:c r="A193" s="1" t="str">
        <x:f>IFERROR(XLOOKUP(B193,'_曲线基线'!$G$3:$G$107,'_曲线基线'!$J$3:$J$107,""),"")</x:f>
      </x:c>
      <x:c r="B193" s="1" t="n">
        <x:v>182</x:v>
      </x:c>
      <x:c r="C193" s="1" t="n">
        <x:f t="shared" si="255">C178+1</x:f>
        <x:v>13</x:v>
      </x:c>
      <x:c r="D193" s="1" t="n">
        <x:f t="shared" si="256">D178</x:f>
        <x:v>8</x:v>
      </x:c>
      <x:c r="E193" s="1" t="n">
        <x:f t="shared" si="188">IF($B193&lt;E$8,0,E$3+(E$4-E$3)*(POWER(E$5,$B193-E$8)-1)/(POWER(E$5,$C$5-E$8)-1))</x:f>
        <x:v>1</x:v>
      </x:c>
      <x:c r="F193" s="10" t="n">
        <x:f t="shared" si="189">1+IF(B193&lt;3,0,MIN(1,(B193-2)/4))+IF(B193&lt;7,0,MIN(1,(B193-6)/3))+IF(B193&lt;10,0,MIN(1,(B193-9)/5))+IF(B193&lt;20,0,MIN(1,(B193-19)/10))</x:f>
        <x:v>5</x:v>
      </x:c>
      <x:c r="G193" s="11" t="n">
        <x:f t="shared" ref="G193:L193" si="271">'玩家战力_节点'!G193</x:f>
        <x:v>0.7747881280762563</x:v>
      </x:c>
      <x:c r="H193" s="11" t="n">
        <x:f t="shared" si="271">'玩家战力_节点'!H193</x:f>
        <x:v>0.6048887180520133</x:v>
      </x:c>
      <x:c r="I193" s="11" t="n">
        <x:f t="shared" si="271">'玩家战力_节点'!I193</x:f>
        <x:v>0.5164091326183361</x:v>
      </x:c>
      <x:c r="J193" s="11" t="n">
        <x:f t="shared" si="271">'玩家战力_节点'!J193</x:f>
        <x:v>0.49583972928536607</x:v>
      </x:c>
      <x:c r="K193" s="11" t="n">
        <x:f t="shared" si="271">'玩家战力_节点'!K193</x:f>
        <x:v>0.4663681165453801</x:v>
      </x:c>
      <x:c r="L193" s="11" t="n">
        <x:f t="shared" si="271">'玩家战力_节点'!L193</x:f>
        <x:v>0.5998086220475174</x:v>
      </x:c>
      <x:c r="M193" s="2" t="n">
        <x:f>E193*'模块规划'!$F$10+G193*'模块规划'!$F$11+H193*'模块规划'!$F$13</x:f>
        <x:v>4718.9830147660305</x:v>
      </x:c>
      <x:c r="N193" s="2" t="n">
        <x:f>I193*'模块规划'!$F$15+J193*'模块规划'!$F$17+K193*'模块规划'!$F$16+L193*'模块规划'!$F$18</x:f>
        <x:v>14886.922163310217</x:v>
      </x:c>
      <x:c r="O193" s="2" t="n">
        <x:f t="shared" si="191">1+O$9*SUMPRODUCT($H$10:$L$10,H193:L193)/SUM($H$10:$L$10)</x:f>
        <x:v>2.966906645362764</x:v>
      </x:c>
      <x:c r="P193" s="12" t="n">
        <x:f t="shared" si="192">M193*O193+N193</x:f>
        <x:v>28887.704229173563</x:v>
      </x:c>
      <x:c r="Q193" s="7" t="n">
        <x:f>P193/(P193+'_曲线基线'!$L$2)</x:f>
        <x:v>0.5462083229023718</x:v>
      </x:c>
      <x:c r="R193" s="2" t="n">
        <x:f>E193*'模块规划'!$E$10+G193*'模块规划'!$E$11+H193*'模块规划'!$E$13</x:f>
        <x:v>7078.474522149046</x:v>
      </x:c>
      <x:c r="S193" s="2" t="n">
        <x:f>I193*'模块规划'!$E$15+J193*'模块规划'!$E$17+K193*'模块规划'!$E$16+L193*'模块规划'!$E$18</x:f>
        <x:v>22330.383244965327</x:v>
      </x:c>
      <x:c r="T193" s="2" t="n">
        <x:f t="shared" si="193">1+T$9*SUMPRODUCT($H$10:$L$10,H193:L193)/SUM($H$10:$L$10)</x:f>
        <x:v>2.966906645362764</x:v>
      </x:c>
      <x:c r="U193" s="12" t="n">
        <x:f t="shared" si="194">R193*T193+S193</x:f>
        <x:v>43331.55634376034</x:v>
      </x:c>
      <x:c r="V193" s="2" t="n">
        <x:f t="shared" si="195">V$8+(V$9-V$8)*H193</x:f>
        <x:v>0.881466615415604</x:v>
      </x:c>
      <x:c r="W193" s="2" t="n">
        <x:f t="shared" si="196">IF(B193&lt;$H$8,0,W$8+(W$9-W$8)*H193)</x:f>
        <x:v>0.24195548722080532</x:v>
      </x:c>
      <x:c r="X193" s="2" t="n">
        <x:f t="shared" si="197">X$8+(X$9-X$8)*H193</x:f>
        <x:v>0.44134439746430365</x:v>
      </x:c>
      <x:c r="Y193" s="2" t="n">
        <x:f t="shared" si="198">Y$8+(Y$9-Y$8)*G193</x:f>
        <x:v>1</x:v>
      </x:c>
      <x:c r="Z193" s="2" t="n">
        <x:f t="shared" si="199">Z$8+(Z$9-Z$8)*H193</x:f>
        <x:v>1</x:v>
      </x:c>
      <x:c r="AA193" s="2" t="n">
        <x:f t="shared" si="200">AA$8+(AA$9-AA$8)*I193</x:f>
        <x:v>1</x:v>
      </x:c>
      <x:c r="AB193" s="2" t="n">
        <x:f t="shared" si="201">AB$8+(AB$9-AB$8)*J193</x:f>
        <x:v>1</x:v>
      </x:c>
      <x:c r="AC193" s="2" t="n">
        <x:f t="shared" si="202">AC$8+(AC$9-AC$8)*MAX(K193,L193)</x:f>
        <x:v>1</x:v>
      </x:c>
      <x:c r="AD193" s="1" t="n">
        <x:f t="shared" si="203">(V193*AE193+W193*AF193+X193*AG193)*PRODUCT(Y193:AC193)</x:f>
        <x:v>1.7425503758488468</x:v>
      </x:c>
      <x:c r="AE193" s="2" t="n">
        <x:f t="shared" si="204">1+AE$9*($H$10*H193+$I$10*I193+$J$10*J193+$K$10*K193+$L$10*L193)</x:f>
        <x:v>1</x:v>
      </x:c>
      <x:c r="AF193" s="2" t="n">
        <x:f t="shared" si="205">1+AF$9*($H$10*H193+$I$10*I193+$J$10*J193+$K$10*K193+$L$10*L193)</x:f>
        <x:v>1.1735974286190618</x:v>
      </x:c>
      <x:c r="AG193" s="2" t="n">
        <x:f t="shared" si="206">1+AG$9*($H$10*H193+$I$10*I193+$J$10*J193+$K$10*K193+$L$10*L193)</x:f>
        <x:v>1.3076532207193399</x:v>
      </x:c>
      <x:c r="AH193" s="2" t="n">
        <x:f>MIN(1,'_曲线基线'!$L$3+AH$9*($H$10*H193+$I$10*I193+$J$10*J193+$K$10*K193+$L$10*L193))</x:f>
        <x:v>0.4449341501083653</x:v>
      </x:c>
      <x:c r="AI193" s="2" t="n">
        <x:f>'_曲线基线'!$L$4+AI$9*($H$10*H193+$I$10*I193+$J$10*J193+$K$10*K193+$L$10*L193)</x:f>
        <x:v>3.1001737038733035</x:v>
      </x:c>
      <x:c r="AJ193" s="2" t="n">
        <x:f t="shared" si="207">1+AJ$9*($H$10*H193+$I$10*I193+$J$10*J193+$K$10*K193+$L$10*L193)</x:f>
        <x:v>1.9027066288191208</x:v>
      </x:c>
      <x:c r="AK193" s="1" t="n">
        <x:f t="shared" si="208">(1+AH193*(AI193-1))*AJ193</x:f>
        <x:v>3.6806699121760102</x:v>
      </x:c>
      <x:c r="AL193" s="1" t="n">
        <x:f t="shared" si="209">U193*AD193*AK193*F193</x:f>
        <x:v>1389589.440889497</x:v>
      </x:c>
      <x:c r="AM193" s="13" t="n">
        <x:f t="shared" si="210">IF($B193&lt;AM$8,0,AM$3+(AM$4-AM$3)*(POWER(AM$5,$B193-AM$8)-1)/(POWER(AM$5,$C$5-AM$8)-1))</x:f>
        <x:v>41.7871757465736</x:v>
      </x:c>
      <x:c r="AN193" s="13" t="n">
        <x:f>(((E193*'模块规划'!$D$10+G193*'模块规划'!$D$11+H193*'模块规划'!$D$13)*(1+'模块规划'!$G$14*H193)+(I193*'模块规划'!$D$15+J193*'模块规划'!$D$17+K193*'模块规划'!$D$16+L193*'模块规划'!$D$18))*(1+'模块规划'!$J$17*J193))*F193/(1-Q193)</x:f>
        <x:v>1948535.3894686045</x:v>
      </x:c>
      <x:c r="AO193" s="1" t="n">
        <x:f t="shared" si="211">AL193*AM193</x:f>
        <x:v>58067018.18203236</x:v>
      </x:c>
      <x:c r="AP193" s="1" t="n">
        <x:f>IF(AO193="","",INDEX('_曲线基线'!$A$3:$A$502,MIN(ROWS('_曲线基线'!$A$3:$A$502),COUNTIF('_曲线基线'!$E$3:$E$502,"&lt;"&amp;AO193)+1)))</x:f>
        <x:v>252</x:v>
      </x:c>
      <x:c r="AQ193" s="14" t="n">
        <x:f t="shared" si="212">IF(B193&lt;=2,1,IF(B193&lt;=6,2,IF(B193&lt;=9,3,IF(B193&lt;=19,4,5))))</x:f>
        <x:v>5</x:v>
      </x:c>
      <x:c r="AR193" s="10" t="n">
        <x:f t="shared" si="213">AN193*(1-Q193)/F193*$AS$3+U193*$AS$4+P193*$AS$5</x:f>
        <x:v>13971.686122378298</x:v>
      </x:c>
      <x:c r="AS193" s="15" t="n">
        <x:f t="shared" si="214">1+AH193*$AS$6+AI193*$AS$7+(AJ193-1)*$AS$8+($H$10*H193+$I$10*I193+$J$10*J193+$K$10*K193+$L$10*L193)*$AU$3*$AS$9+($H$10*H193+$I$10*I193+$J$10*J193+$K$10*K193+$L$10*L193)*$AU$4*$AS$10</x:f>
        <x:v>15.354223610067203</x:v>
      </x:c>
      <x:c r="AT193" s="16" t="n">
        <x:f t="shared" si="215">ROUND(AR193*AS193,0)</x:f>
        <x:v>214524</x:v>
      </x:c>
      <x:c r="AU193" s="16" t="n">
        <x:f t="shared" si="216">ROUND(AT193*F193,0)</x:f>
        <x:v>1072620</x:v>
      </x:c>
      <x:c r="AV193" t="n">
        <x:f>IF(AU193&gt;0,ROUND(AU193,-MAX(0,INT(LOG10(AU193))-2)),0)</x:f>
        <x:v>1070000</x:v>
      </x:c>
    </x:row>
    <x:row r="194" customHeight="1">
      <x:c r="A194" s="1" t="str">
        <x:f>IFERROR(XLOOKUP(B194,'_曲线基线'!$G$3:$G$107,'_曲线基线'!$J$3:$J$107,""),"")</x:f>
      </x:c>
      <x:c r="B194" s="1" t="n">
        <x:v>183</x:v>
      </x:c>
      <x:c r="C194" s="1" t="n">
        <x:f t="shared" si="255">C179+1</x:f>
        <x:v>13</x:v>
      </x:c>
      <x:c r="D194" s="1" t="n">
        <x:f t="shared" si="256">D179</x:f>
        <x:v>9</x:v>
      </x:c>
      <x:c r="E194" s="1" t="n">
        <x:f t="shared" si="188">IF($B194&lt;E$8,0,E$3+(E$4-E$3)*(POWER(E$5,$B194-E$8)-1)/(POWER(E$5,$C$5-E$8)-1))</x:f>
        <x:v>1</x:v>
      </x:c>
      <x:c r="F194" s="10" t="n">
        <x:f t="shared" si="189">1+IF(B194&lt;3,0,MIN(1,(B194-2)/4))+IF(B194&lt;7,0,MIN(1,(B194-6)/3))+IF(B194&lt;10,0,MIN(1,(B194-9)/5))+IF(B194&lt;20,0,MIN(1,(B194-19)/10))</x:f>
        <x:v>5</x:v>
      </x:c>
      <x:c r="G194" s="11" t="n">
        <x:f t="shared" ref="G194:L194" si="272">'玩家战力_节点'!G194</x:f>
        <x:v>0.7763820192791988</x:v>
      </x:c>
      <x:c r="H194" s="11" t="n">
        <x:f t="shared" si="272">'玩家战力_节点'!H194</x:f>
        <x:v>0.6060718029508884</x:v>
      </x:c>
      <x:c r="I194" s="11" t="n">
        <x:f t="shared" si="272">'玩家战力_节点'!I194</x:f>
        <x:v>0.51830716432523</x:v>
      </x:c>
      <x:c r="J194" s="11" t="n">
        <x:f t="shared" si="272">'玩家战力_节点'!J194</x:f>
        <x:v>0.4971751992719398</x:v>
      </x:c>
      <x:c r="K194" s="11" t="n">
        <x:f t="shared" si="272">'玩家战力_节点'!K194</x:f>
        <x:v>0.46935441390939175</x:v>
      </x:c>
      <x:c r="L194" s="11" t="n">
        <x:f t="shared" si="272">'玩家战力_节点'!L194</x:f>
        <x:v>0.6010840302897621</x:v>
      </x:c>
      <x:c r="M194" s="2" t="n">
        <x:f>E194*'模块规划'!$F$10+G194*'模块规划'!$F$11+H194*'模块规划'!$F$13</x:f>
        <x:v>4726.633692540154</x:v>
      </x:c>
      <x:c r="N194" s="2" t="n">
        <x:f>I194*'模块规划'!$F$15+J194*'模块规划'!$F$17+K194*'模块规划'!$F$16+L194*'模块规划'!$F$18</x:f>
        <x:v>14939.755942226398</x:v>
      </x:c>
      <x:c r="O194" s="2" t="n">
        <x:f t="shared" si="191">1+O$9*SUMPRODUCT($H$10:$L$10,H194:L194)/SUM($H$10:$L$10)</x:f>
        <x:v>2.9732125336284145</x:v>
      </x:c>
      <x:c r="P194" s="12" t="n">
        <x:f t="shared" si="192">M194*O194+N194</x:f>
        <x:v>28993.04247875714</x:v>
      </x:c>
      <x:c r="Q194" s="7" t="n">
        <x:f>P194/(P194+'_曲线基线'!$L$2)</x:f>
        <x:v>0.5471103586924515</x:v>
      </x:c>
      <x:c r="R194" s="2" t="n">
        <x:f>E194*'模块规划'!$E$10+G194*'模块规划'!$E$11+H194*'模块规划'!$E$13</x:f>
        <x:v>7089.950538810232</x:v>
      </x:c>
      <x:c r="S194" s="2" t="n">
        <x:f>I194*'模块规划'!$E$15+J194*'模块规划'!$E$17+K194*'模块规划'!$E$16+L194*'模块规划'!$E$18</x:f>
        <x:v>22409.6339133396</x:v>
      </x:c>
      <x:c r="T194" s="2" t="n">
        <x:f t="shared" si="193">1+T$9*SUMPRODUCT($H$10:$L$10,H194:L194)/SUM($H$10:$L$10)</x:f>
        <x:v>2.9732125336284145</x:v>
      </x:c>
      <x:c r="U194" s="12" t="n">
        <x:f t="shared" si="194">R194*T194+S194</x:f>
        <x:v>43489.563718135716</x:v>
      </x:c>
      <x:c r="V194" s="2" t="n">
        <x:f t="shared" si="195">V$8+(V$9-V$8)*H194</x:f>
        <x:v>0.8818215408852665</x:v>
      </x:c>
      <x:c r="W194" s="2" t="n">
        <x:f t="shared" si="196">IF(B194&lt;$H$8,0,W$8+(W$9-W$8)*H194)</x:f>
        <x:v>0.24242872118035536</x:v>
      </x:c>
      <x:c r="X194" s="2" t="n">
        <x:f t="shared" si="197">X$8+(X$9-X$8)*H194</x:f>
        <x:v>0.4416697458114943</x:v>
      </x:c>
      <x:c r="Y194" s="2" t="n">
        <x:f t="shared" si="198">Y$8+(Y$9-Y$8)*G194</x:f>
        <x:v>1</x:v>
      </x:c>
      <x:c r="Z194" s="2" t="n">
        <x:f t="shared" si="199">Z$8+(Z$9-Z$8)*H194</x:f>
        <x:v>1</x:v>
      </x:c>
      <x:c r="AA194" s="2" t="n">
        <x:f t="shared" si="200">AA$8+(AA$9-AA$8)*I194</x:f>
        <x:v>1</x:v>
      </x:c>
      <x:c r="AB194" s="2" t="n">
        <x:f t="shared" si="201">AB$8+(AB$9-AB$8)*J194</x:f>
        <x:v>1</x:v>
      </x:c>
      <x:c r="AC194" s="2" t="n">
        <x:f t="shared" si="202">AC$8+(AC$9-AC$8)*MAX(K194,L194)</x:f>
        <x:v>1</x:v>
      </x:c>
      <x:c r="AD194" s="1" t="n">
        <x:f t="shared" si="203">(V194*AE194+W194*AF194+X194*AG194)*PRODUCT(Y194:AC194)</x:f>
        <x:v>1.7444566883726114</x:v>
      </x:c>
      <x:c r="AE194" s="2" t="n">
        <x:f t="shared" si="204">1+AE$9*($H$10*H194+$I$10*I194+$J$10*J194+$K$10*K194+$L$10*L194)</x:f>
        <x:v>1</x:v>
      </x:c>
      <x:c r="AF194" s="2" t="n">
        <x:f t="shared" si="205">1+AF$9*($H$10*H194+$I$10*I194+$J$10*J194+$K$10*K194+$L$10*L194)</x:f>
        <x:v>1.1741539807008075</x:v>
      </x:c>
      <x:c r="AG194" s="2" t="n">
        <x:f t="shared" si="206">1+AG$9*($H$10*H194+$I$10*I194+$J$10*J194+$K$10*K194+$L$10*L194)</x:f>
        <x:v>1.3086395546864336</x:v>
      </x:c>
      <x:c r="AH194" s="2" t="n">
        <x:f>MIN(1,'_曲线基线'!$L$3+AH$9*($H$10*H194+$I$10*I194+$J$10*J194+$K$10*K194+$L$10*L194))</x:f>
        <x:v>0.44620030609433675</x:v>
      </x:c>
      <x:c r="AI194" s="2" t="n">
        <x:f>'_曲线基线'!$L$4+AI$9*($H$10*H194+$I$10*I194+$J$10*J194+$K$10*K194+$L$10*L194)</x:f>
        <x:v>3.1037008526913668</x:v>
      </x:c>
      <x:c r="AJ194" s="2" t="n">
        <x:f t="shared" si="207">1+AJ$9*($H$10*H194+$I$10*I194+$J$10*J194+$K$10*K194+$L$10*L194)</x:f>
        <x:v>1.9056006996441983</x:v>
      </x:c>
      <x:c r="AK194" s="1" t="n">
        <x:f t="shared" si="208">(1+AH194*(AI194-1))*AJ194</x:f>
        <x:v>3.694334651744672</x:v>
      </x:c>
      <x:c r="AL194" s="1" t="n">
        <x:f t="shared" si="209">U194*AD194*AK194*F194</x:f>
        <x:v>1401365.6886652403</x:v>
      </x:c>
      <x:c r="AM194" s="13" t="n">
        <x:f t="shared" si="210">IF($B194&lt;AM$8,0,AM$3+(AM$4-AM$3)*(POWER(AM$5,$B194-AM$8)-1)/(POWER(AM$5,$C$5-AM$8)-1))</x:f>
        <x:v>41.868472143961206</x:v>
      </x:c>
      <x:c r="AN194" s="13" t="n">
        <x:f>(((E194*'模块规划'!$D$10+G194*'模块规划'!$D$11+H194*'模块规划'!$D$13)*(1+'模块规划'!$G$14*H194)+(I194*'模块规划'!$D$15+J194*'模块规划'!$D$17+K194*'模块规划'!$D$16+L194*'模块规划'!$D$18))*(1+'模块规划'!$J$17*J194))*F194/(1-Q194)</x:f>
        <x:v>1960519.4422358512</x:v>
      </x:c>
      <x:c r="AO194" s="1" t="n">
        <x:f t="shared" si="211">AL194*AM194</x:f>
        <x:v>58673040.299383625</x:v>
      </x:c>
      <x:c r="AP194" s="1" t="n">
        <x:f>IF(AO194="","",INDEX('_曲线基线'!$A$3:$A$502,MIN(ROWS('_曲线基线'!$A$3:$A$502),COUNTIF('_曲线基线'!$E$3:$E$502,"&lt;"&amp;AO194)+1)))</x:f>
        <x:v>253</x:v>
      </x:c>
      <x:c r="AQ194" s="14" t="n">
        <x:f t="shared" si="212">IF(B194&lt;=2,1,IF(B194&lt;=6,2,IF(B194&lt;=9,3,IF(B194&lt;=19,4,5))))</x:f>
        <x:v>5</x:v>
      </x:c>
      <x:c r="AR194" s="10" t="n">
        <x:f t="shared" si="213">AN194*(1-Q194)/F194*$AS$3+U194*$AS$4+P194*$AS$5</x:f>
        <x:v>14025.30642545116</x:v>
      </x:c>
      <x:c r="AS194" s="15" t="n">
        <x:f t="shared" si="214">1+AH194*$AS$6+AI194*$AS$7+(AJ194-1)*$AS$8+($H$10*H194+$I$10*I194+$J$10*J194+$K$10*K194+$L$10*L194)*$AU$3*$AS$9+($H$10*H194+$I$10*I194+$J$10*J194+$K$10*K194+$L$10*L194)*$AU$4*$AS$10</x:f>
        <x:v>15.387478229333812</x:v>
      </x:c>
      <x:c r="AT194" s="16" t="n">
        <x:f t="shared" si="215">ROUND(AR194*AS194,0)</x:f>
        <x:v>215814</x:v>
      </x:c>
      <x:c r="AU194" s="16" t="n">
        <x:f t="shared" si="216">ROUND(AT194*F194,0)</x:f>
        <x:v>1079070</x:v>
      </x:c>
      <x:c r="AV194" t="n">
        <x:f>IF(AU194&gt;0,ROUND(AU194,-MAX(0,INT(LOG10(AU194))-2)),0)</x:f>
        <x:v>1080000</x:v>
      </x:c>
    </x:row>
    <x:row r="195" customHeight="1">
      <x:c r="A195" s="1" t="str">
        <x:f>IFERROR(XLOOKUP(B195,'_曲线基线'!$G$3:$G$107,'_曲线基线'!$J$3:$J$107,""),"")</x:f>
      </x:c>
      <x:c r="B195" s="1" t="n">
        <x:v>184</x:v>
      </x:c>
      <x:c r="C195" s="1" t="n">
        <x:f t="shared" si="255">C180+1</x:f>
        <x:v>13</x:v>
      </x:c>
      <x:c r="D195" s="1" t="n">
        <x:f t="shared" si="256">D180</x:f>
        <x:v>10</x:v>
      </x:c>
      <x:c r="E195" s="1" t="n">
        <x:f t="shared" si="188">IF($B195&lt;E$8,0,E$3+(E$4-E$3)*(POWER(E$5,$B195-E$8)-1)/(POWER(E$5,$C$5-E$8)-1))</x:f>
        <x:v>1</x:v>
      </x:c>
      <x:c r="F195" s="10" t="n">
        <x:f t="shared" si="189">1+IF(B195&lt;3,0,MIN(1,(B195-2)/4))+IF(B195&lt;7,0,MIN(1,(B195-6)/3))+IF(B195&lt;10,0,MIN(1,(B195-9)/5))+IF(B195&lt;20,0,MIN(1,(B195-19)/10))</x:f>
        <x:v>5</x:v>
      </x:c>
      <x:c r="G195" s="11" t="n">
        <x:f t="shared" ref="G195:L195" si="273">'玩家战力_节点'!G195</x:f>
        <x:v>0.7779759104821414</x:v>
      </x:c>
      <x:c r="H195" s="11" t="n">
        <x:f t="shared" si="273">'玩家战力_节点'!H195</x:f>
        <x:v>0.6072548878497633</x:v>
      </x:c>
      <x:c r="I195" s="11" t="n">
        <x:f t="shared" si="273">'玩家战力_节点'!I195</x:f>
        <x:v>0.5202051960321241</x:v>
      </x:c>
      <x:c r="J195" s="11" t="n">
        <x:f t="shared" si="273">'玩家战力_节点'!J195</x:f>
        <x:v>0.4985106692585136</x:v>
      </x:c>
      <x:c r="K195" s="11" t="n">
        <x:f t="shared" si="273">'玩家战力_节点'!K195</x:f>
        <x:v>0.4723407112734034</x:v>
      </x:c>
      <x:c r="L195" s="11" t="n">
        <x:f t="shared" si="273">'玩家战力_节点'!L195</x:f>
        <x:v>0.6023594385320067</x:v>
      </x:c>
      <x:c r="M195" s="2" t="n">
        <x:f>E195*'模块规划'!$F$10+G195*'模块规划'!$F$11+H195*'模块规划'!$F$13</x:f>
        <x:v>4734.284370314279</x:v>
      </x:c>
      <x:c r="N195" s="2" t="n">
        <x:f>I195*'模块规划'!$F$15+J195*'模块规划'!$F$17+K195*'模块规划'!$F$16+L195*'模块规划'!$F$18</x:f>
        <x:v>14992.589721142584</x:v>
      </x:c>
      <x:c r="O195" s="2" t="n">
        <x:f t="shared" si="191">1+O$9*SUMPRODUCT($H$10:$L$10,H195:L195)/SUM($H$10:$L$10)</x:f>
        <x:v>2.9795184218940642</x:v>
      </x:c>
      <x:c r="P195" s="12" t="n">
        <x:f t="shared" si="192">M195*O195+N195</x:f>
        <x:v>29098.477216979118</x:v>
      </x:c>
      <x:c r="Q195" s="7" t="n">
        <x:f>P195/(P195+'_曲线基线'!$L$2)</x:f>
        <x:v>0.548009636850271</x:v>
      </x:c>
      <x:c r="R195" s="2" t="n">
        <x:f>E195*'模块规划'!$E$10+G195*'模块规划'!$E$11+H195*'模块规划'!$E$13</x:f>
        <x:v>7101.426555471418</x:v>
      </x:c>
      <x:c r="S195" s="2" t="n">
        <x:f>I195*'模块规划'!$E$15+J195*'模块规划'!$E$17+K195*'模块规划'!$E$16+L195*'模块规划'!$E$18</x:f>
        <x:v>22488.884581713875</x:v>
      </x:c>
      <x:c r="T195" s="2" t="n">
        <x:f t="shared" si="193">1+T$9*SUMPRODUCT($H$10:$L$10,H195:L195)/SUM($H$10:$L$10)</x:f>
        <x:v>2.9795184218940642</x:v>
      </x:c>
      <x:c r="U195" s="12" t="n">
        <x:f t="shared" si="194">R195*T195+S195</x:f>
        <x:v>43647.71582546868</x:v>
      </x:c>
      <x:c r="V195" s="2" t="n">
        <x:f t="shared" si="195">V$8+(V$9-V$8)*H195</x:f>
        <x:v>0.882176466354929</x:v>
      </x:c>
      <x:c r="W195" s="2" t="n">
        <x:f t="shared" si="196">IF(B195&lt;$H$8,0,W$8+(W$9-W$8)*H195)</x:f>
        <x:v>0.24290195513990534</x:v>
      </x:c>
      <x:c r="X195" s="2" t="n">
        <x:f t="shared" si="197">X$8+(X$9-X$8)*H195</x:f>
        <x:v>0.441995094158685</x:v>
      </x:c>
      <x:c r="Y195" s="2" t="n">
        <x:f t="shared" si="198">Y$8+(Y$9-Y$8)*G195</x:f>
        <x:v>1</x:v>
      </x:c>
      <x:c r="Z195" s="2" t="n">
        <x:f t="shared" si="199">Z$8+(Z$9-Z$8)*H195</x:f>
        <x:v>1</x:v>
      </x:c>
      <x:c r="AA195" s="2" t="n">
        <x:f t="shared" si="200">AA$8+(AA$9-AA$8)*I195</x:f>
        <x:v>1</x:v>
      </x:c>
      <x:c r="AB195" s="2" t="n">
        <x:f t="shared" si="201">AB$8+(AB$9-AB$8)*J195</x:f>
        <x:v>1</x:v>
      </x:c>
      <x:c r="AC195" s="2" t="n">
        <x:f t="shared" si="202">AC$8+(AC$9-AC$8)*MAX(K195,L195)</x:f>
        <x:v>1</x:v>
      </x:c>
      <x:c r="AD195" s="1" t="n">
        <x:f t="shared" si="203">(V195*AE195+W195*AF195+X195*AG195)*PRODUCT(Y195:AC195)</x:f>
        <x:v>1.7463641694593184</x:v>
      </x:c>
      <x:c r="AE195" s="2" t="n">
        <x:f t="shared" si="204">1+AE$9*($H$10*H195+$I$10*I195+$J$10*J195+$K$10*K195+$L$10*L195)</x:f>
        <x:v>1</x:v>
      </x:c>
      <x:c r="AF195" s="2" t="n">
        <x:f t="shared" si="205">1+AF$9*($H$10*H195+$I$10*I195+$J$10*J195+$K$10*K195+$L$10*L195)</x:f>
        <x:v>1.174710532782553</x:v>
      </x:c>
      <x:c r="AG195" s="2" t="n">
        <x:f t="shared" si="206">1+AG$9*($H$10*H195+$I$10*I195+$J$10*J195+$K$10*K195+$L$10*L195)</x:f>
        <x:v>1.3096258886535272</x:v>
      </x:c>
      <x:c r="AH195" s="2" t="n">
        <x:f>MIN(1,'_曲线基线'!$L$3+AH$9*($H$10*H195+$I$10*I195+$J$10*J195+$K$10*K195+$L$10*L195))</x:f>
        <x:v>0.447466462080308</x:v>
      </x:c>
      <x:c r="AI195" s="2" t="n">
        <x:f>'_曲线基线'!$L$4+AI$9*($H$10*H195+$I$10*I195+$J$10*J195+$K$10*K195+$L$10*L195)</x:f>
        <x:v>3.1072280015094296</x:v>
      </x:c>
      <x:c r="AJ195" s="2" t="n">
        <x:f t="shared" si="207">1+AJ$9*($H$10*H195+$I$10*I195+$J$10*J195+$K$10*K195+$L$10*L195)</x:f>
        <x:v>1.9084947704692756</x:v>
      </x:c>
      <x:c r="AK195" s="1" t="n">
        <x:f t="shared" si="208">(1+AH195*(AI195-1))*AJ195</x:f>
        <x:v>3.7080409386714197</x:v>
      </x:c>
      <x:c r="AL195" s="1" t="n">
        <x:f t="shared" si="209">U195*AD195*AK195*F195</x:f>
        <x:v>1413223.5244238</x:v>
      </x:c>
      <x:c r="AM195" s="13" t="n">
        <x:f t="shared" si="210">IF($B195&lt;AM$8,0,AM$3+(AM$4-AM$3)*(POWER(AM$5,$B195-AM$8)-1)/(POWER(AM$5,$C$5-AM$8)-1))</x:f>
        <x:v>41.95058150532269</x:v>
      </x:c>
      <x:c r="AN195" s="13" t="n">
        <x:f>(((E195*'模块规划'!$D$10+G195*'模块规划'!$D$11+H195*'模块规划'!$D$13)*(1+'模块规划'!$G$14*H195)+(I195*'模块规划'!$D$15+J195*'模块规划'!$D$17+K195*'模块规划'!$D$16+L195*'模块规划'!$D$18))*(1+'模块规划'!$J$17*J195))*F195/(1-Q195)</x:f>
        <x:v>1972553.0870765883</x:v>
      </x:c>
      <x:c r="AO195" s="1" t="n">
        <x:f t="shared" si="211">AL195*AM195</x:f>
        <x:v>59285548.64658001</x:v>
      </x:c>
      <x:c r="AP195" s="1" t="n">
        <x:f>IF(AO195="","",INDEX('_曲线基线'!$A$3:$A$502,MIN(ROWS('_曲线基线'!$A$3:$A$502),COUNTIF('_曲线基线'!$E$3:$E$502,"&lt;"&amp;AO195)+1)))</x:f>
        <x:v>254</x:v>
      </x:c>
      <x:c r="AQ195" s="14" t="n">
        <x:f t="shared" si="212">IF(B195&lt;=2,1,IF(B195&lt;=6,2,IF(B195&lt;=9,3,IF(B195&lt;=19,4,5))))</x:f>
        <x:v>5</x:v>
      </x:c>
      <x:c r="AR195" s="10" t="n">
        <x:f t="shared" si="213">AN195*(1-Q195)/F195*$AS$3+U195*$AS$4+P195*$AS$5</x:f>
        <x:v>14078.993082052932</x:v>
      </x:c>
      <x:c r="AS195" s="15" t="n">
        <x:f t="shared" si="214">1+AH195*$AS$6+AI195*$AS$7+(AJ195-1)*$AS$8+($H$10*H195+$I$10*I195+$J$10*J195+$K$10*K195+$L$10*L195)*$AU$3*$AS$9+($H$10*H195+$I$10*I195+$J$10*J195+$K$10*K195+$L$10*L195)*$AU$4*$AS$10</x:f>
        <x:v>15.420732848600416</x:v>
      </x:c>
      <x:c r="AT195" s="16" t="n">
        <x:f t="shared" si="215">ROUND(AR195*AS195,0)</x:f>
        <x:v>217108</x:v>
      </x:c>
      <x:c r="AU195" s="16" t="n">
        <x:f t="shared" si="216">ROUND(AT195*F195,0)</x:f>
        <x:v>1085540</x:v>
      </x:c>
      <x:c r="AV195" t="n">
        <x:f>IF(AU195&gt;0,ROUND(AU195,-MAX(0,INT(LOG10(AU195))-2)),0)</x:f>
        <x:v>1090000</x:v>
      </x:c>
    </x:row>
    <x:row r="196" customHeight="1">
      <x:c r="A196" s="1" t="str">
        <x:f>IFERROR(XLOOKUP(B196,'_曲线基线'!$G$3:$G$107,'_曲线基线'!$J$3:$J$107,""),"")</x:f>
      </x:c>
      <x:c r="B196" s="1" t="n">
        <x:v>185</x:v>
      </x:c>
      <x:c r="C196" s="1" t="n">
        <x:f t="shared" si="255">C181+1</x:f>
        <x:v>13</x:v>
      </x:c>
      <x:c r="D196" s="1" t="n">
        <x:f t="shared" si="256">D181</x:f>
        <x:v>11</x:v>
      </x:c>
      <x:c r="E196" s="1" t="n">
        <x:f t="shared" si="188">IF($B196&lt;E$8,0,E$3+(E$4-E$3)*(POWER(E$5,$B196-E$8)-1)/(POWER(E$5,$C$5-E$8)-1))</x:f>
        <x:v>1</x:v>
      </x:c>
      <x:c r="F196" s="10" t="n">
        <x:f t="shared" si="189">1+IF(B196&lt;3,0,MIN(1,(B196-2)/4))+IF(B196&lt;7,0,MIN(1,(B196-6)/3))+IF(B196&lt;10,0,MIN(1,(B196-9)/5))+IF(B196&lt;20,0,MIN(1,(B196-19)/10))</x:f>
        <x:v>5</x:v>
      </x:c>
      <x:c r="G196" s="11" t="n">
        <x:f t="shared" ref="G196:L196" si="274">'玩家战力_节点'!G196</x:f>
        <x:v>0.779569801685084</x:v>
      </x:c>
      <x:c r="H196" s="11" t="n">
        <x:f t="shared" si="274">'玩家战力_节点'!H196</x:f>
        <x:v>0.6084379727486384</x:v>
      </x:c>
      <x:c r="I196" s="11" t="n">
        <x:f t="shared" si="274">'玩家战力_节点'!I196</x:f>
        <x:v>0.5221032277390181</x:v>
      </x:c>
      <x:c r="J196" s="11" t="n">
        <x:f t="shared" si="274">'玩家战力_节点'!J196</x:f>
        <x:v>0.4998461392450875</x:v>
      </x:c>
      <x:c r="K196" s="11" t="n">
        <x:f t="shared" si="274">'玩家战力_节点'!K196</x:f>
        <x:v>0.47532700863741506</x:v>
      </x:c>
      <x:c r="L196" s="11" t="n">
        <x:f t="shared" si="274">'玩家战力_节点'!L196</x:f>
        <x:v>0.6036348467742513</x:v>
      </x:c>
      <x:c r="M196" s="2" t="n">
        <x:f>E196*'模块规划'!$F$10+G196*'模块规划'!$F$11+H196*'模块规划'!$F$13</x:f>
        <x:v>4741.935048088404</x:v>
      </x:c>
      <x:c r="N196" s="2" t="n">
        <x:f>I196*'模块规划'!$F$15+J196*'模块规划'!$F$17+K196*'模块规划'!$F$16+L196*'模块规划'!$F$18</x:f>
        <x:v>15045.423500058765</x:v>
      </x:c>
      <x:c r="O196" s="2" t="n">
        <x:f t="shared" si="191">1+O$9*SUMPRODUCT($H$10:$L$10,H196:L196)/SUM($H$10:$L$10)</x:f>
        <x:v>2.985824310159715</x:v>
      </x:c>
      <x:c r="P196" s="12" t="n">
        <x:f t="shared" si="192">M196*O196+N196</x:f>
        <x:v>29204.0084438395</x:v>
      </x:c>
      <x:c r="Q196" s="7" t="n">
        <x:f>P196/(P196+'_曲线基线'!$L$2)</x:f>
        <x:v>0.5489061688776015</x:v>
      </x:c>
      <x:c r="R196" s="2" t="n">
        <x:f>E196*'模块规划'!$E$10+G196*'模块规划'!$E$11+H196*'模块规划'!$E$13</x:f>
        <x:v>7112.902572132605</x:v>
      </x:c>
      <x:c r="S196" s="2" t="n">
        <x:f>I196*'模块规划'!$E$15+J196*'模块规划'!$E$17+K196*'模块规划'!$E$16+L196*'模块规划'!$E$18</x:f>
        <x:v>22568.135250088148</x:v>
      </x:c>
      <x:c r="T196" s="2" t="n">
        <x:f t="shared" si="193">1+T$9*SUMPRODUCT($H$10:$L$10,H196:L196)/SUM($H$10:$L$10)</x:f>
        <x:v>2.985824310159715</x:v>
      </x:c>
      <x:c r="U196" s="12" t="n">
        <x:f t="shared" si="194">R196*T196+S196</x:f>
        <x:v>43806.01266575925</x:v>
      </x:c>
      <x:c r="V196" s="2" t="n">
        <x:f t="shared" si="195">V$8+(V$9-V$8)*H196</x:f>
        <x:v>0.8825313918245915</x:v>
      </x:c>
      <x:c r="W196" s="2" t="n">
        <x:f t="shared" si="196">IF(B196&lt;$H$8,0,W$8+(W$9-W$8)*H196)</x:f>
        <x:v>0.24337518909945538</x:v>
      </x:c>
      <x:c r="X196" s="2" t="n">
        <x:f t="shared" si="197">X$8+(X$9-X$8)*H196</x:f>
        <x:v>0.4423204425058756</x:v>
      </x:c>
      <x:c r="Y196" s="2" t="n">
        <x:f t="shared" si="198">Y$8+(Y$9-Y$8)*G196</x:f>
        <x:v>1</x:v>
      </x:c>
      <x:c r="Z196" s="2" t="n">
        <x:f t="shared" si="199">Z$8+(Z$9-Z$8)*H196</x:f>
        <x:v>1</x:v>
      </x:c>
      <x:c r="AA196" s="2" t="n">
        <x:f t="shared" si="200">AA$8+(AA$9-AA$8)*I196</x:f>
        <x:v>1</x:v>
      </x:c>
      <x:c r="AB196" s="2" t="n">
        <x:f t="shared" si="201">AB$8+(AB$9-AB$8)*J196</x:f>
        <x:v>1</x:v>
      </x:c>
      <x:c r="AC196" s="2" t="n">
        <x:f t="shared" si="202">AC$8+(AC$9-AC$8)*MAX(K196,L196)</x:f>
        <x:v>1</x:v>
      </x:c>
      <x:c r="AD196" s="1" t="n">
        <x:f t="shared" si="203">(V196*AE196+W196*AF196+X196*AG196)*PRODUCT(Y196:AC196)</x:f>
        <x:v>1.748272819108968</x:v>
      </x:c>
      <x:c r="AE196" s="2" t="n">
        <x:f t="shared" si="204">1+AE$9*($H$10*H196+$I$10*I196+$J$10*J196+$K$10*K196+$L$10*L196)</x:f>
        <x:v>1</x:v>
      </x:c>
      <x:c r="AF196" s="2" t="n">
        <x:f t="shared" si="205">1+AF$9*($H$10*H196+$I$10*I196+$J$10*J196+$K$10*K196+$L$10*L196)</x:f>
        <x:v>1.1752670848642988</x:v>
      </x:c>
      <x:c r="AG196" s="2" t="n">
        <x:f t="shared" si="206">1+AG$9*($H$10*H196+$I$10*I196+$J$10*J196+$K$10*K196+$L$10*L196)</x:f>
        <x:v>1.310612222620621</x:v>
      </x:c>
      <x:c r="AH196" s="2" t="n">
        <x:f>MIN(1,'_曲线基线'!$L$3+AH$9*($H$10*H196+$I$10*I196+$J$10*J196+$K$10*K196+$L$10*L196))</x:f>
        <x:v>0.44873261806627945</x:v>
      </x:c>
      <x:c r="AI196" s="2" t="n">
        <x:f>'_曲线基线'!$L$4+AI$9*($H$10*H196+$I$10*I196+$J$10*J196+$K$10*K196+$L$10*L196)</x:f>
        <x:v>3.110755150327493</x:v>
      </x:c>
      <x:c r="AJ196" s="2" t="n">
        <x:f t="shared" si="207">1+AJ$9*($H$10*H196+$I$10*I196+$J$10*J196+$K$10*K196+$L$10*L196)</x:f>
        <x:v>1.9113888412943532</x:v>
      </x:c>
      <x:c r="AK196" s="1" t="n">
        <x:f t="shared" si="208">(1+AH196*(AI196-1))*AJ196</x:f>
        <x:v>3.7217888505044003</x:v>
      </x:c>
      <x:c r="AL196" s="1" t="n">
        <x:f t="shared" si="209">U196*AD196*AK196*F196</x:f>
        <x:v>1425163.4137203216</x:v>
      </x:c>
      <x:c r="AM196" s="13" t="n">
        <x:f t="shared" si="210">IF($B196&lt;AM$8,0,AM$3+(AM$4-AM$3)*(POWER(AM$5,$B196-AM$8)-1)/(POWER(AM$5,$C$5-AM$8)-1))</x:f>
        <x:v>42.03351196029779</x:v>
      </x:c>
      <x:c r="AN196" s="13" t="n">
        <x:f>(((E196*'模块规划'!$D$10+G196*'模块规划'!$D$11+H196*'模块规划'!$D$13)*(1+'模块规划'!$G$14*H196)+(I196*'模块规划'!$D$15+J196*'模块规划'!$D$17+K196*'模块规划'!$D$16+L196*'模块规划'!$D$18))*(1+'模块规划'!$J$17*J196))*F196/(1-Q196)</x:f>
        <x:v>1984636.4548353737</x:v>
      </x:c>
      <x:c r="AO196" s="1" t="n">
        <x:f t="shared" si="211">AL196*AM196</x:f>
        <x:v>59904623.39599196</x:v>
      </x:c>
      <x:c r="AP196" s="1" t="n">
        <x:f>IF(AO196="","",INDEX('_曲线基线'!$A$3:$A$502,MIN(ROWS('_曲线基线'!$A$3:$A$502),COUNTIF('_曲线基线'!$E$3:$E$502,"&lt;"&amp;AO196)+1)))</x:f>
        <x:v>254</x:v>
      </x:c>
      <x:c r="AQ196" s="14" t="n">
        <x:f t="shared" si="212">IF(B196&lt;=2,1,IF(B196&lt;=6,2,IF(B196&lt;=9,3,IF(B196&lt;=19,4,5))))</x:f>
        <x:v>5</x:v>
      </x:c>
      <x:c r="AR196" s="10" t="n">
        <x:f t="shared" si="213">AN196*(1-Q196)/F196*$AS$3+U196*$AS$4+P196*$AS$5</x:f>
        <x:v>14132.746103933032</x:v>
      </x:c>
      <x:c r="AS196" s="15" t="n">
        <x:f t="shared" si="214">1+AH196*$AS$6+AI196*$AS$7+(AJ196-1)*$AS$8+($H$10*H196+$I$10*I196+$J$10*J196+$K$10*K196+$L$10*L196)*$AU$3*$AS$9+($H$10*H196+$I$10*I196+$J$10*J196+$K$10*K196+$L$10*L196)*$AU$4*$AS$10</x:f>
        <x:v>15.453987467867021</x:v>
      </x:c>
      <x:c r="AT196" s="16" t="n">
        <x:f t="shared" si="215">ROUND(AR196*AS196,0)</x:f>
        <x:v>218407</x:v>
      </x:c>
      <x:c r="AU196" s="16" t="n">
        <x:f t="shared" si="216">ROUND(AT196*F196,0)</x:f>
        <x:v>1092035</x:v>
      </x:c>
      <x:c r="AV196" t="n">
        <x:f>IF(AU196&gt;0,ROUND(AU196,-MAX(0,INT(LOG10(AU196))-2)),0)</x:f>
        <x:v>1090000</x:v>
      </x:c>
    </x:row>
    <x:row r="197" customHeight="1">
      <x:c r="A197" s="1" t="str">
        <x:f>IFERROR(XLOOKUP(B197,'_曲线基线'!$G$3:$G$107,'_曲线基线'!$J$3:$J$107,""),"")</x:f>
      </x:c>
      <x:c r="B197" s="1" t="n">
        <x:v>186</x:v>
      </x:c>
      <x:c r="C197" s="1" t="n">
        <x:f t="shared" si="255">C182+1</x:f>
        <x:v>13</x:v>
      </x:c>
      <x:c r="D197" s="1" t="n">
        <x:f t="shared" si="256">D182</x:f>
        <x:v>12</x:v>
      </x:c>
      <x:c r="E197" s="1" t="n">
        <x:f t="shared" si="188">IF($B197&lt;E$8,0,E$3+(E$4-E$3)*(POWER(E$5,$B197-E$8)-1)/(POWER(E$5,$C$5-E$8)-1))</x:f>
        <x:v>1</x:v>
      </x:c>
      <x:c r="F197" s="10" t="n">
        <x:f t="shared" si="189">1+IF(B197&lt;3,0,MIN(1,(B197-2)/4))+IF(B197&lt;7,0,MIN(1,(B197-6)/3))+IF(B197&lt;10,0,MIN(1,(B197-9)/5))+IF(B197&lt;20,0,MIN(1,(B197-19)/10))</x:f>
        <x:v>5</x:v>
      </x:c>
      <x:c r="G197" s="11" t="n">
        <x:f t="shared" ref="G197:L197" si="275">'玩家战力_节点'!G197</x:f>
        <x:v>0.7811636928880267</x:v>
      </x:c>
      <x:c r="H197" s="11" t="n">
        <x:f t="shared" si="275">'玩家战力_节点'!H197</x:f>
        <x:v>0.6096210576475135</x:v>
      </x:c>
      <x:c r="I197" s="11" t="n">
        <x:f t="shared" si="275">'玩家战力_节点'!I197</x:f>
        <x:v>0.524001259445912</x:v>
      </x:c>
      <x:c r="J197" s="11" t="n">
        <x:f t="shared" si="275">'玩家战力_节点'!J197</x:f>
        <x:v>0.5011816092316612</x:v>
      </x:c>
      <x:c r="K197" s="11" t="n">
        <x:f t="shared" si="275">'玩家战力_节点'!K197</x:f>
        <x:v>0.47831330600142674</x:v>
      </x:c>
      <x:c r="L197" s="11" t="n">
        <x:f t="shared" si="275">'玩家战力_节点'!L197</x:f>
        <x:v>0.604910255016496</x:v>
      </x:c>
      <x:c r="M197" s="2" t="n">
        <x:f>E197*'模块规划'!$F$10+G197*'模块规划'!$F$11+H197*'模块规划'!$F$13</x:f>
        <x:v>4749.585725862527</x:v>
      </x:c>
      <x:c r="N197" s="2" t="n">
        <x:f>I197*'模块规划'!$F$15+J197*'模块规划'!$F$17+K197*'模块规划'!$F$16+L197*'模块规划'!$F$18</x:f>
        <x:v>15098.257278974948</x:v>
      </x:c>
      <x:c r="O197" s="2" t="n">
        <x:f t="shared" si="191">1+O$9*SUMPRODUCT($H$10:$L$10,H197:L197)/SUM($H$10:$L$10)</x:f>
        <x:v>2.992130198425365</x:v>
      </x:c>
      <x:c r="P197" s="12" t="n">
        <x:f t="shared" si="192">M197*O197+N197</x:f>
        <x:v>29309.636159338275</x:v>
      </x:c>
      <x:c r="Q197" s="7" t="n">
        <x:f>P197/(P197+'_曲线基线'!$L$2)</x:f>
        <x:v>0.5497999662150028</x:v>
      </x:c>
      <x:c r="R197" s="2" t="n">
        <x:f>E197*'模块规划'!$E$10+G197*'模块规划'!$E$11+H197*'模块规划'!$E$13</x:f>
        <x:v>7124.378588793792</x:v>
      </x:c>
      <x:c r="S197" s="2" t="n">
        <x:f>I197*'模块规划'!$E$15+J197*'模块规划'!$E$17+K197*'模块规划'!$E$16+L197*'模块规划'!$E$18</x:f>
        <x:v>22647.385918462423</x:v>
      </x:c>
      <x:c r="T197" s="2" t="n">
        <x:f t="shared" si="193">1+T$9*SUMPRODUCT($H$10:$L$10,H197:L197)/SUM($H$10:$L$10)</x:f>
        <x:v>2.992130198425365</x:v>
      </x:c>
      <x:c r="U197" s="12" t="n">
        <x:f t="shared" si="194">R197*T197+S197</x:f>
        <x:v>43964.45423900741</x:v>
      </x:c>
      <x:c r="V197" s="2" t="n">
        <x:f t="shared" si="195">V$8+(V$9-V$8)*H197</x:f>
        <x:v>0.882886317294254</x:v>
      </x:c>
      <x:c r="W197" s="2" t="n">
        <x:f t="shared" si="196">IF(B197&lt;$H$8,0,W$8+(W$9-W$8)*H197)</x:f>
        <x:v>0.24384842305900542</x:v>
      </x:c>
      <x:c r="X197" s="2" t="n">
        <x:f t="shared" si="197">X$8+(X$9-X$8)*H197</x:f>
        <x:v>0.4426457908530662</x:v>
      </x:c>
      <x:c r="Y197" s="2" t="n">
        <x:f t="shared" si="198">Y$8+(Y$9-Y$8)*G197</x:f>
        <x:v>1</x:v>
      </x:c>
      <x:c r="Z197" s="2" t="n">
        <x:f t="shared" si="199">Z$8+(Z$9-Z$8)*H197</x:f>
        <x:v>1</x:v>
      </x:c>
      <x:c r="AA197" s="2" t="n">
        <x:f t="shared" si="200">AA$8+(AA$9-AA$8)*I197</x:f>
        <x:v>1</x:v>
      </x:c>
      <x:c r="AB197" s="2" t="n">
        <x:f t="shared" si="201">AB$8+(AB$9-AB$8)*J197</x:f>
        <x:v>1</x:v>
      </x:c>
      <x:c r="AC197" s="2" t="n">
        <x:f t="shared" si="202">AC$8+(AC$9-AC$8)*MAX(K197,L197)</x:f>
        <x:v>1</x:v>
      </x:c>
      <x:c r="AD197" s="1" t="n">
        <x:f t="shared" si="203">(V197*AE197+W197*AF197+X197*AG197)*PRODUCT(Y197:AC197)</x:f>
        <x:v>1.7501826373215605</x:v>
      </x:c>
      <x:c r="AE197" s="2" t="n">
        <x:f t="shared" si="204">1+AE$9*($H$10*H197+$I$10*I197+$J$10*J197+$K$10*K197+$L$10*L197)</x:f>
        <x:v>1</x:v>
      </x:c>
      <x:c r="AF197" s="2" t="n">
        <x:f t="shared" si="205">1+AF$9*($H$10*H197+$I$10*I197+$J$10*J197+$K$10*K197+$L$10*L197)</x:f>
        <x:v>1.1758236369460444</x:v>
      </x:c>
      <x:c r="AG197" s="2" t="n">
        <x:f t="shared" si="206">1+AG$9*($H$10*H197+$I$10*I197+$J$10*J197+$K$10*K197+$L$10*L197)</x:f>
        <x:v>1.3115985565877146</x:v>
      </x:c>
      <x:c r="AH197" s="2" t="n">
        <x:f>MIN(1,'_曲线基线'!$L$3+AH$9*($H$10*H197+$I$10*I197+$J$10*J197+$K$10*K197+$L$10*L197))</x:f>
        <x:v>0.4499987740522508</x:v>
      </x:c>
      <x:c r="AI197" s="2" t="n">
        <x:f>'_曲线基线'!$L$4+AI$9*($H$10*H197+$I$10*I197+$J$10*J197+$K$10*K197+$L$10*L197)</x:f>
        <x:v>3.1142822991455557</x:v>
      </x:c>
      <x:c r="AJ197" s="2" t="n">
        <x:f t="shared" si="207">1+AJ$9*($H$10*H197+$I$10*I197+$J$10*J197+$K$10*K197+$L$10*L197)</x:f>
        <x:v>1.9142829121194307</x:v>
      </x:c>
      <x:c r="AK197" s="1" t="n">
        <x:f t="shared" si="208">(1+AH197*(AI197-1))*AJ197</x:f>
        <x:v>3.7355784647917525</x:v>
      </x:c>
      <x:c r="AL197" s="1" t="n">
        <x:f t="shared" si="209">U197*AD197*AK197*F197</x:f>
        <x:v>1437185.8241995494</x:v>
      </x:c>
      <x:c r="AM197" s="13" t="n">
        <x:f t="shared" si="210">IF($B197&lt;AM$8,0,AM$3+(AM$4-AM$3)*(POWER(AM$5,$B197-AM$8)-1)/(POWER(AM$5,$C$5-AM$8)-1))</x:f>
        <x:v>42.11727171982263</x:v>
      </x:c>
      <x:c r="AN197" s="13" t="n">
        <x:f>(((E197*'模块规划'!$D$10+G197*'模块规划'!$D$11+H197*'模块规划'!$D$13)*(1+'模块规划'!$G$14*H197)+(I197*'模块规划'!$D$15+J197*'模块规划'!$D$17+K197*'模块规划'!$D$16+L197*'模块规划'!$D$18))*(1+'模块规划'!$J$17*J197))*F197/(1-Q197)</x:f>
        <x:v>1996769.6765416255</x:v>
      </x:c>
      <x:c r="AO197" s="1" t="n">
        <x:f t="shared" si="211">AL197*AM197</x:f>
        <x:v>60530345.869689666</x:v>
      </x:c>
      <x:c r="AP197" s="1" t="n">
        <x:f>IF(AO197="","",INDEX('_曲线基线'!$A$3:$A$502,MIN(ROWS('_曲线基线'!$A$3:$A$502),COUNTIF('_曲线基线'!$E$3:$E$502,"&lt;"&amp;AO197)+1)))</x:f>
        <x:v>255</x:v>
      </x:c>
      <x:c r="AQ197" s="14" t="n">
        <x:f t="shared" si="212">IF(B197&lt;=2,1,IF(B197&lt;=6,2,IF(B197&lt;=9,3,IF(B197&lt;=19,4,5))))</x:f>
        <x:v>5</x:v>
      </x:c>
      <x:c r="AR197" s="10" t="n">
        <x:f t="shared" si="213">AN197*(1-Q197)/F197*$AS$3+U197*$AS$4+P197*$AS$5</x:f>
        <x:v>14186.56550284087</x:v>
      </x:c>
      <x:c r="AS197" s="15" t="n">
        <x:f t="shared" si="214">1+AH197*$AS$6+AI197*$AS$7+(AJ197-1)*$AS$8+($H$10*H197+$I$10*I197+$J$10*J197+$K$10*K197+$L$10*L197)*$AU$3*$AS$9+($H$10*H197+$I$10*I197+$J$10*J197+$K$10*K197+$L$10*L197)*$AU$4*$AS$10</x:f>
        <x:v>15.487242087133628</x:v>
      </x:c>
      <x:c r="AT197" s="16" t="n">
        <x:f t="shared" si="215">ROUND(AR197*AS197,0)</x:f>
        <x:v>219711</x:v>
      </x:c>
      <x:c r="AU197" s="16" t="n">
        <x:f t="shared" si="216">ROUND(AT197*F197,0)</x:f>
        <x:v>1098555</x:v>
      </x:c>
      <x:c r="AV197" t="n">
        <x:f>IF(AU197&gt;0,ROUND(AU197,-MAX(0,INT(LOG10(AU197))-2)),0)</x:f>
        <x:v>1100000</x:v>
      </x:c>
    </x:row>
    <x:row r="198" customHeight="1">
      <x:c r="A198" s="1" t="str">
        <x:f>IFERROR(XLOOKUP(B198,'_曲线基线'!$G$3:$G$107,'_曲线基线'!$J$3:$J$107,""),"")</x:f>
      </x:c>
      <x:c r="B198" s="1" t="n">
        <x:v>187</x:v>
      </x:c>
      <x:c r="C198" s="1" t="n">
        <x:f t="shared" si="255">C183+1</x:f>
        <x:v>13</x:v>
      </x:c>
      <x:c r="D198" s="1" t="n">
        <x:f t="shared" si="256">D183</x:f>
        <x:v>13</x:v>
      </x:c>
      <x:c r="E198" s="1" t="n">
        <x:f t="shared" si="188">IF($B198&lt;E$8,0,E$3+(E$4-E$3)*(POWER(E$5,$B198-E$8)-1)/(POWER(E$5,$C$5-E$8)-1))</x:f>
        <x:v>1</x:v>
      </x:c>
      <x:c r="F198" s="10" t="n">
        <x:f t="shared" si="189">1+IF(B198&lt;3,0,MIN(1,(B198-2)/4))+IF(B198&lt;7,0,MIN(1,(B198-6)/3))+IF(B198&lt;10,0,MIN(1,(B198-9)/5))+IF(B198&lt;20,0,MIN(1,(B198-19)/10))</x:f>
        <x:v>5</x:v>
      </x:c>
      <x:c r="G198" s="11" t="n">
        <x:f t="shared" ref="G198:L198" si="276">'玩家战力_节点'!G198</x:f>
        <x:v>0.7827575840909693</x:v>
      </x:c>
      <x:c r="H198" s="11" t="n">
        <x:f t="shared" si="276">'玩家战力_节点'!H198</x:f>
        <x:v>0.6108041425463885</x:v>
      </x:c>
      <x:c r="I198" s="11" t="n">
        <x:f t="shared" si="276">'玩家战力_节点'!I198</x:f>
        <x:v>0.525899291152806</x:v>
      </x:c>
      <x:c r="J198" s="11" t="n">
        <x:f t="shared" si="276">'玩家战力_节点'!J198</x:f>
        <x:v>0.502517079218235</x:v>
      </x:c>
      <x:c r="K198" s="11" t="n">
        <x:f t="shared" si="276">'玩家战力_节点'!K198</x:f>
        <x:v>0.4812996033654385</x:v>
      </x:c>
      <x:c r="L198" s="11" t="n">
        <x:f t="shared" si="276">'玩家战力_节点'!L198</x:f>
        <x:v>0.6061856632587406</x:v>
      </x:c>
      <x:c r="M198" s="2" t="n">
        <x:f>E198*'模块规划'!$F$10+G198*'模块规划'!$F$11+H198*'模块规划'!$F$13</x:f>
        <x:v>4757.2364036366525</x:v>
      </x:c>
      <x:c r="N198" s="2" t="n">
        <x:f>I198*'模块规划'!$F$15+J198*'模块规划'!$F$17+K198*'模块规划'!$F$16+L198*'模块规划'!$F$18</x:f>
        <x:v>15151.09105789113</x:v>
      </x:c>
      <x:c r="O198" s="2" t="n">
        <x:f t="shared" si="191">1+O$9*SUMPRODUCT($H$10:$L$10,H198:L198)/SUM($H$10:$L$10)</x:f>
        <x:v>2.998436086691015</x:v>
      </x:c>
      <x:c r="P198" s="12" t="n">
        <x:f t="shared" si="192">M198*O198+N198</x:f>
        <x:v>29415.360363475455</x:v>
      </x:c>
      <x:c r="Q198" s="7" t="n">
        <x:f>P198/(P198+'_曲线基线'!$L$2)</x:f>
        <x:v>0.550691040242222</x:v>
      </x:c>
      <x:c r="R198" s="2" t="n">
        <x:f>E198*'模块规划'!$E$10+G198*'模块规划'!$E$11+H198*'模块规划'!$E$13</x:f>
        <x:v>7135.854605454979</x:v>
      </x:c>
      <x:c r="S198" s="2" t="n">
        <x:f>I198*'模块规划'!$E$15+J198*'模块规划'!$E$17+K198*'模块规划'!$E$16+L198*'模块规划'!$E$18</x:f>
        <x:v>22726.6365868367</x:v>
      </x:c>
      <x:c r="T198" s="2" t="n">
        <x:f t="shared" si="193">1+T$9*SUMPRODUCT($H$10:$L$10,H198:L198)/SUM($H$10:$L$10)</x:f>
        <x:v>2.998436086691015</x:v>
      </x:c>
      <x:c r="U198" s="12" t="n">
        <x:f t="shared" si="194">R198*T198+S198</x:f>
        <x:v>44123.04054521318</x:v>
      </x:c>
      <x:c r="V198" s="2" t="n">
        <x:f t="shared" si="195">V$8+(V$9-V$8)*H198</x:f>
        <x:v>0.8832412427639165</x:v>
      </x:c>
      <x:c r="W198" s="2" t="n">
        <x:f t="shared" si="196">IF(B198&lt;$H$8,0,W$8+(W$9-W$8)*H198)</x:f>
        <x:v>0.2443216570185554</x:v>
      </x:c>
      <x:c r="X198" s="2" t="n">
        <x:f t="shared" si="197">X$8+(X$9-X$8)*H198</x:f>
        <x:v>0.4429711392002569</x:v>
      </x:c>
      <x:c r="Y198" s="2" t="n">
        <x:f t="shared" si="198">Y$8+(Y$9-Y$8)*G198</x:f>
        <x:v>1</x:v>
      </x:c>
      <x:c r="Z198" s="2" t="n">
        <x:f t="shared" si="199">Z$8+(Z$9-Z$8)*H198</x:f>
        <x:v>1</x:v>
      </x:c>
      <x:c r="AA198" s="2" t="n">
        <x:f t="shared" si="200">AA$8+(AA$9-AA$8)*I198</x:f>
        <x:v>1</x:v>
      </x:c>
      <x:c r="AB198" s="2" t="n">
        <x:f t="shared" si="201">AB$8+(AB$9-AB$8)*J198</x:f>
        <x:v>1</x:v>
      </x:c>
      <x:c r="AC198" s="2" t="n">
        <x:f t="shared" si="202">AC$8+(AC$9-AC$8)*MAX(K198,L198)</x:f>
        <x:v>1</x:v>
      </x:c>
      <x:c r="AD198" s="1" t="n">
        <x:f t="shared" si="203">(V198*AE198+W198*AF198+X198*AG198)*PRODUCT(Y198:AC198)</x:f>
        <x:v>1.7520936240970955</x:v>
      </x:c>
      <x:c r="AE198" s="2" t="n">
        <x:f t="shared" si="204">1+AE$9*($H$10*H198+$I$10*I198+$J$10*J198+$K$10*K198+$L$10*L198)</x:f>
        <x:v>1</x:v>
      </x:c>
      <x:c r="AF198" s="2" t="n">
        <x:f t="shared" si="205">1+AF$9*($H$10*H198+$I$10*I198+$J$10*J198+$K$10*K198+$L$10*L198)</x:f>
        <x:v>1.17638018902779</x:v>
      </x:c>
      <x:c r="AG198" s="2" t="n">
        <x:f t="shared" si="206">1+AG$9*($H$10*H198+$I$10*I198+$J$10*J198+$K$10*K198+$L$10*L198)</x:f>
        <x:v>1.3125848905548083</x:v>
      </x:c>
      <x:c r="AH198" s="2" t="n">
        <x:f>MIN(1,'_曲线基线'!$L$3+AH$9*($H$10*H198+$I$10*I198+$J$10*J198+$K$10*K198+$L$10*L198))</x:f>
        <x:v>0.4512649300382221</x:v>
      </x:c>
      <x:c r="AI198" s="2" t="n">
        <x:f>'_曲线基线'!$L$4+AI$9*($H$10*H198+$I$10*I198+$J$10*J198+$K$10*K198+$L$10*L198)</x:f>
        <x:v>3.1178094479636185</x:v>
      </x:c>
      <x:c r="AJ198" s="2" t="n">
        <x:f t="shared" si="207">1+AJ$9*($H$10*H198+$I$10*I198+$J$10*J198+$K$10*K198+$L$10*L198)</x:f>
        <x:v>1.9171769829445078</x:v>
      </x:c>
      <x:c r="AK198" s="1" t="n">
        <x:f t="shared" si="208">(1+AH198*(AI198-1))*AJ198</x:f>
        <x:v>3.749409859081621</x:v>
      </x:c>
      <x:c r="AL198" s="1" t="n">
        <x:f t="shared" si="209">U198*AD198*AK198*F198</x:f>
        <x:v>1449291.225602584</x:v>
      </x:c>
      <x:c r="AM198" s="13" t="n">
        <x:f t="shared" si="210">IF($B198&lt;AM$8,0,AM$3+(AM$4-AM$3)*(POWER(AM$5,$B198-AM$8)-1)/(POWER(AM$5,$C$5-AM$8)-1))</x:f>
        <x:v>42.20186907694273</x:v>
      </x:c>
      <x:c r="AN198" s="13" t="n">
        <x:f>(((E198*'模块规划'!$D$10+G198*'模块规划'!$D$11+H198*'模块规划'!$D$13)*(1+'模块规划'!$G$14*H198)+(I198*'模块规划'!$D$15+J198*'模块规划'!$D$17+K198*'模块规划'!$D$16+L198*'模块规划'!$D$18))*(1+'模块规划'!$J$17*J198))*F198/(1-Q198)</x:f>
        <x:v>2008952.8834097069</x:v>
      </x:c>
      <x:c r="AO198" s="1" t="n">
        <x:f t="shared" si="211">AL198*AM198</x:f>
        <x:v>61162798.55724212</x:v>
      </x:c>
      <x:c r="AP198" s="1" t="n">
        <x:f>IF(AO198="","",INDEX('_曲线基线'!$A$3:$A$502,MIN(ROWS('_曲线基线'!$A$3:$A$502),COUNTIF('_曲线基线'!$E$3:$E$502,"&lt;"&amp;AO198)+1)))</x:f>
        <x:v>256</x:v>
      </x:c>
      <x:c r="AQ198" s="14" t="n">
        <x:f t="shared" si="212">IF(B198&lt;=2,1,IF(B198&lt;=6,2,IF(B198&lt;=9,3,IF(B198&lt;=19,4,5))))</x:f>
        <x:v>5</x:v>
      </x:c>
      <x:c r="AR198" s="10" t="n">
        <x:f t="shared" si="213">AN198*(1-Q198)/F198*$AS$3+U198*$AS$4+P198*$AS$5</x:f>
        <x:v>14240.45129052586</x:v>
      </x:c>
      <x:c r="AS198" s="15" t="n">
        <x:f t="shared" si="214">1+AH198*$AS$6+AI198*$AS$7+(AJ198-1)*$AS$8+($H$10*H198+$I$10*I198+$J$10*J198+$K$10*K198+$L$10*L198)*$AU$3*$AS$9+($H$10*H198+$I$10*I198+$J$10*J198+$K$10*K198+$L$10*L198)*$AU$4*$AS$10</x:f>
        <x:v>15.520496706400232</x:v>
      </x:c>
      <x:c r="AT198" s="16" t="n">
        <x:f t="shared" si="215">ROUND(AR198*AS198,0)</x:f>
        <x:v>221019</x:v>
      </x:c>
      <x:c r="AU198" s="16" t="n">
        <x:f t="shared" si="216">ROUND(AT198*F198,0)</x:f>
        <x:v>1105095</x:v>
      </x:c>
      <x:c r="AV198" t="n">
        <x:f>IF(AU198&gt;0,ROUND(AU198,-MAX(0,INT(LOG10(AU198))-2)),0)</x:f>
        <x:v>1110000</x:v>
      </x:c>
    </x:row>
    <x:row r="199" customHeight="1">
      <x:c r="A199" s="1" t="str">
        <x:f>IFERROR(XLOOKUP(B199,'_曲线基线'!$G$3:$G$107,'_曲线基线'!$J$3:$J$107,""),"")</x:f>
      </x:c>
      <x:c r="B199" s="1" t="n">
        <x:v>188</x:v>
      </x:c>
      <x:c r="C199" s="1" t="n">
        <x:f t="shared" si="255">C184+1</x:f>
        <x:v>13</x:v>
      </x:c>
      <x:c r="D199" s="1" t="n">
        <x:f t="shared" si="256">D184</x:f>
        <x:v>14</x:v>
      </x:c>
      <x:c r="E199" s="1" t="n">
        <x:f t="shared" si="188">IF($B199&lt;E$8,0,E$3+(E$4-E$3)*(POWER(E$5,$B199-E$8)-1)/(POWER(E$5,$C$5-E$8)-1))</x:f>
        <x:v>1</x:v>
      </x:c>
      <x:c r="F199" s="10" t="n">
        <x:f t="shared" si="189">1+IF(B199&lt;3,0,MIN(1,(B199-2)/4))+IF(B199&lt;7,0,MIN(1,(B199-6)/3))+IF(B199&lt;10,0,MIN(1,(B199-9)/5))+IF(B199&lt;20,0,MIN(1,(B199-19)/10))</x:f>
        <x:v>5</x:v>
      </x:c>
      <x:c r="G199" s="11" t="n">
        <x:f t="shared" ref="G199:L199" si="277">'玩家战力_节点'!G199</x:f>
        <x:v>0.7843514752939119</x:v>
      </x:c>
      <x:c r="H199" s="11" t="n">
        <x:f t="shared" si="277">'玩家战力_节点'!H199</x:f>
        <x:v>0.6119872274452635</x:v>
      </x:c>
      <x:c r="I199" s="11" t="n">
        <x:f t="shared" si="277">'玩家战力_节点'!I199</x:f>
        <x:v>0.5277973228597</x:v>
      </x:c>
      <x:c r="J199" s="11" t="n">
        <x:f t="shared" si="277">'玩家战力_节点'!J199</x:f>
        <x:v>0.5038525492048088</x:v>
      </x:c>
      <x:c r="K199" s="11" t="n">
        <x:f t="shared" si="277">'玩家战力_节点'!K199</x:f>
        <x:v>0.48428590072945016</x:v>
      </x:c>
      <x:c r="L199" s="11" t="n">
        <x:f t="shared" si="277">'玩家战力_节点'!L199</x:f>
        <x:v>0.6074610715009852</x:v>
      </x:c>
      <x:c r="M199" s="2" t="n">
        <x:f>E199*'模块规划'!$F$10+G199*'模块规划'!$F$11+H199*'模块规划'!$F$13</x:f>
        <x:v>4764.887081410778</x:v>
      </x:c>
      <x:c r="N199" s="2" t="n">
        <x:f>I199*'模块规划'!$F$15+J199*'模块规划'!$F$17+K199*'模块规划'!$F$16+L199*'模块规划'!$F$18</x:f>
        <x:v>15203.924836807315</x:v>
      </x:c>
      <x:c r="O199" s="2" t="n">
        <x:f t="shared" si="191">1+O$9*SUMPRODUCT($H$10:$L$10,H199:L199)/SUM($H$10:$L$10)</x:f>
        <x:v>3.0047419749566657</x:v>
      </x:c>
      <x:c r="P199" s="12" t="n">
        <x:f t="shared" si="192">M199*O199+N199</x:f>
        <x:v>29521.181056251036</x:v>
      </x:c>
      <x:c r="Q199" s="7" t="n">
        <x:f>P199/(P199+'_曲线基线'!$L$2)</x:f>
        <x:v>0.551579402278588</x:v>
      </x:c>
      <x:c r="R199" s="2" t="n">
        <x:f>E199*'模块规划'!$E$10+G199*'模块规划'!$E$11+H199*'模块规划'!$E$13</x:f>
        <x:v>7147.330622116166</x:v>
      </x:c>
      <x:c r="S199" s="2" t="n">
        <x:f>I199*'模块规划'!$E$15+J199*'模块规划'!$E$17+K199*'模块规划'!$E$16+L199*'模块规划'!$E$18</x:f>
        <x:v>22805.887255210975</x:v>
      </x:c>
      <x:c r="T199" s="2" t="n">
        <x:f t="shared" si="193">1+T$9*SUMPRODUCT($H$10:$L$10,H199:L199)/SUM($H$10:$L$10)</x:f>
        <x:v>3.0047419749566657</x:v>
      </x:c>
      <x:c r="U199" s="12" t="n">
        <x:f t="shared" si="194">R199*T199+S199</x:f>
        <x:v>44281.77158437656</x:v>
      </x:c>
      <x:c r="V199" s="2" t="n">
        <x:f t="shared" si="195">V$8+(V$9-V$8)*H199</x:f>
        <x:v>0.883596168233579</x:v>
      </x:c>
      <x:c r="W199" s="2" t="n">
        <x:f t="shared" si="196">IF(B199&lt;$H$8,0,W$8+(W$9-W$8)*H199)</x:f>
        <x:v>0.2447948909781054</x:v>
      </x:c>
      <x:c r="X199" s="2" t="n">
        <x:f t="shared" si="197">X$8+(X$9-X$8)*H199</x:f>
        <x:v>0.4432964875474475</x:v>
      </x:c>
      <x:c r="Y199" s="2" t="n">
        <x:f t="shared" si="198">Y$8+(Y$9-Y$8)*G199</x:f>
        <x:v>1</x:v>
      </x:c>
      <x:c r="Z199" s="2" t="n">
        <x:f t="shared" si="199">Z$8+(Z$9-Z$8)*H199</x:f>
        <x:v>1</x:v>
      </x:c>
      <x:c r="AA199" s="2" t="n">
        <x:f t="shared" si="200">AA$8+(AA$9-AA$8)*I199</x:f>
        <x:v>1</x:v>
      </x:c>
      <x:c r="AB199" s="2" t="n">
        <x:f t="shared" si="201">AB$8+(AB$9-AB$8)*J199</x:f>
        <x:v>1</x:v>
      </x:c>
      <x:c r="AC199" s="2" t="n">
        <x:f t="shared" si="202">AC$8+(AC$9-AC$8)*MAX(K199,L199)</x:f>
        <x:v>1</x:v>
      </x:c>
      <x:c r="AD199" s="1" t="n">
        <x:f t="shared" si="203">(V199*AE199+W199*AF199+X199*AG199)*PRODUCT(Y199:AC199)</x:f>
        <x:v>1.7540057794355732</x:v>
      </x:c>
      <x:c r="AE199" s="2" t="n">
        <x:f t="shared" si="204">1+AE$9*($H$10*H199+$I$10*I199+$J$10*J199+$K$10*K199+$L$10*L199)</x:f>
        <x:v>1</x:v>
      </x:c>
      <x:c r="AF199" s="2" t="n">
        <x:f t="shared" si="205">1+AF$9*($H$10*H199+$I$10*I199+$J$10*J199+$K$10*K199+$L$10*L199)</x:f>
        <x:v>1.1769367411095357</x:v>
      </x:c>
      <x:c r="AG199" s="2" t="n">
        <x:f t="shared" si="206">1+AG$9*($H$10*H199+$I$10*I199+$J$10*J199+$K$10*K199+$L$10*L199)</x:f>
        <x:v>1.313571224521902</x:v>
      </x:c>
      <x:c r="AH199" s="2" t="n">
        <x:f>MIN(1,'_曲线基线'!$L$3+AH$9*($H$10*H199+$I$10*I199+$J$10*J199+$K$10*K199+$L$10*L199))</x:f>
        <x:v>0.45253108602419356</x:v>
      </x:c>
      <x:c r="AI199" s="2" t="n">
        <x:f>'_曲线基线'!$L$4+AI$9*($H$10*H199+$I$10*I199+$J$10*J199+$K$10*K199+$L$10*L199)</x:f>
        <x:v>3.121336596781682</x:v>
      </x:c>
      <x:c r="AJ199" s="2" t="n">
        <x:f t="shared" si="207">1+AJ$9*($H$10*H199+$I$10*I199+$J$10*J199+$K$10*K199+$L$10*L199)</x:f>
        <x:v>1.9200710537695853</x:v>
      </x:c>
      <x:c r="AK199" s="1" t="n">
        <x:f t="shared" si="208">(1+AH199*(AI199-1))*AJ199</x:f>
        <x:v>3.76328311092215</x:v>
      </x:c>
      <x:c r="AL199" s="1" t="n">
        <x:f t="shared" si="209">U199*AD199*AK199*F199</x:f>
        <x:v>1461480.0897736473</x:v>
      </x:c>
      <x:c r="AM199" s="13" t="n">
        <x:f t="shared" si="210">IF($B199&lt;AM$8,0,AM$3+(AM$4-AM$3)*(POWER(AM$5,$B199-AM$8)-1)/(POWER(AM$5,$C$5-AM$8)-1))</x:f>
        <x:v>42.28731240763402</x:v>
      </x:c>
      <x:c r="AN199" s="13" t="n">
        <x:f>(((E199*'模块规划'!$D$10+G199*'模块规划'!$D$11+H199*'模块规划'!$D$13)*(1+'模块规划'!$G$14*H199)+(I199*'模块规划'!$D$15+J199*'模块规划'!$D$17+K199*'模块规划'!$D$16+L199*'模块规划'!$D$18))*(1+'模块规划'!$J$17*J199))*F199/(1-Q199)</x:f>
        <x:v>2021186.2068390013</x:v>
      </x:c>
      <x:c r="AO199" s="1" t="n">
        <x:f t="shared" si="211">AL199*AM199</x:f>
        <x:v>61802065.13379523</x:v>
      </x:c>
      <x:c r="AP199" s="1" t="n">
        <x:f>IF(AO199="","",INDEX('_曲线基线'!$A$3:$A$502,MIN(ROWS('_曲线基线'!$A$3:$A$502),COUNTIF('_曲线基线'!$E$3:$E$502,"&lt;"&amp;AO199)+1)))</x:f>
        <x:v>257</x:v>
      </x:c>
      <x:c r="AQ199" s="14" t="n">
        <x:f t="shared" si="212">IF(B199&lt;=2,1,IF(B199&lt;=6,2,IF(B199&lt;=9,3,IF(B199&lt;=19,4,5))))</x:f>
        <x:v>5</x:v>
      </x:c>
      <x:c r="AR199" s="10" t="n">
        <x:f t="shared" si="213">AN199*(1-Q199)/F199*$AS$3+U199*$AS$4+P199*$AS$5</x:f>
        <x:v>14294.403478737422</x:v>
      </x:c>
      <x:c r="AS199" s="15" t="n">
        <x:f t="shared" si="214">1+AH199*$AS$6+AI199*$AS$7+(AJ199-1)*$AS$8+($H$10*H199+$I$10*I199+$J$10*J199+$K$10*K199+$L$10*L199)*$AU$3*$AS$9+($H$10*H199+$I$10*I199+$J$10*J199+$K$10*K199+$L$10*L199)*$AU$4*$AS$10</x:f>
        <x:v>15.55375132566684</x:v>
      </x:c>
      <x:c r="AT199" s="16" t="n">
        <x:f t="shared" si="215">ROUND(AR199*AS199,0)</x:f>
        <x:v>222332</x:v>
      </x:c>
      <x:c r="AU199" s="16" t="n">
        <x:f t="shared" si="216">ROUND(AT199*F199,0)</x:f>
        <x:v>1111660</x:v>
      </x:c>
      <x:c r="AV199" t="n">
        <x:f>IF(AU199&gt;0,ROUND(AU199,-MAX(0,INT(LOG10(AU199))-2)),0)</x:f>
        <x:v>1110000</x:v>
      </x:c>
    </x:row>
    <x:row r="200" customHeight="1">
      <x:c r="A200" s="1" t="str">
        <x:f>IFERROR(XLOOKUP(B200,'_曲线基线'!$G$3:$G$107,'_曲线基线'!$J$3:$J$107,""),"")</x:f>
      </x:c>
      <x:c r="B200" s="1" t="n">
        <x:v>189</x:v>
      </x:c>
      <x:c r="C200" s="1" t="n">
        <x:f t="shared" si="255">C185+1</x:f>
        <x:v>13</x:v>
      </x:c>
      <x:c r="D200" s="1" t="n">
        <x:f t="shared" si="256">D185</x:f>
        <x:v>15</x:v>
      </x:c>
      <x:c r="E200" s="1" t="n">
        <x:f t="shared" si="188">IF($B200&lt;E$8,0,E$3+(E$4-E$3)*(POWER(E$5,$B200-E$8)-1)/(POWER(E$5,$C$5-E$8)-1))</x:f>
        <x:v>1</x:v>
      </x:c>
      <x:c r="F200" s="10" t="n">
        <x:f t="shared" si="189">1+IF(B200&lt;3,0,MIN(1,(B200-2)/4))+IF(B200&lt;7,0,MIN(1,(B200-6)/3))+IF(B200&lt;10,0,MIN(1,(B200-9)/5))+IF(B200&lt;20,0,MIN(1,(B200-19)/10))</x:f>
        <x:v>5</x:v>
      </x:c>
      <x:c r="G200" s="11" t="n">
        <x:f t="shared" ref="G200:L200" si="278">'玩家战力_节点'!G200</x:f>
        <x:v>0.7859453664968545</x:v>
      </x:c>
      <x:c r="H200" s="11" t="n">
        <x:f t="shared" si="278">'玩家战力_节点'!H200</x:f>
        <x:v>0.6131703123441385</x:v>
      </x:c>
      <x:c r="I200" s="11" t="n">
        <x:f t="shared" si="278">'玩家战力_节点'!I200</x:f>
        <x:v>0.529695354566594</x:v>
      </x:c>
      <x:c r="J200" s="11" t="n">
        <x:f t="shared" si="278">'玩家战力_节点'!J200</x:f>
        <x:v>0.5051880191913827</x:v>
      </x:c>
      <x:c r="K200" s="11" t="n">
        <x:f t="shared" si="278">'玩家战力_节点'!K200</x:f>
        <x:v>0.4872721980934618</x:v>
      </x:c>
      <x:c r="L200" s="11" t="n">
        <x:f t="shared" si="278">'玩家战力_节点'!L200</x:f>
        <x:v>0.6087364797432298</x:v>
      </x:c>
      <x:c r="M200" s="2" t="n">
        <x:f>E200*'模块规划'!$F$10+G200*'模块规划'!$F$11+H200*'模块规划'!$F$13</x:f>
        <x:v>4772.537759184902</x:v>
      </x:c>
      <x:c r="N200" s="2" t="n">
        <x:f>I200*'模块规划'!$F$15+J200*'模块规划'!$F$17+K200*'模块规划'!$F$16+L200*'模块规划'!$F$18</x:f>
        <x:v>15256.758615723498</x:v>
      </x:c>
      <x:c r="O200" s="2" t="n">
        <x:f t="shared" si="191">1+O$9*SUMPRODUCT($H$10:$L$10,H200:L200)/SUM($H$10:$L$10)</x:f>
        <x:v>3.011047863222316</x:v>
      </x:c>
      <x:c r="P200" s="12" t="n">
        <x:f t="shared" si="192">M200*O200+N200</x:f>
        <x:v>29627.098237665017</x:v>
      </x:c>
      <x:c r="Q200" s="7" t="n">
        <x:f>P200/(P200+'_曲线基线'!$L$2)</x:f>
        <x:v>0.5524650635834032</x:v>
      </x:c>
      <x:c r="R200" s="2" t="n">
        <x:f>E200*'模块规划'!$E$10+G200*'模块规划'!$E$11+H200*'模块规划'!$E$13</x:f>
        <x:v>7158.806638777352</x:v>
      </x:c>
      <x:c r="S200" s="2" t="n">
        <x:f>I200*'模块规划'!$E$15+J200*'模块规划'!$E$17+K200*'模块规划'!$E$16+L200*'模块规划'!$E$18</x:f>
        <x:v>22885.137923585244</x:v>
      </x:c>
      <x:c r="T200" s="2" t="n">
        <x:f t="shared" si="193">1+T$9*SUMPRODUCT($H$10:$L$10,H200:L200)/SUM($H$10:$L$10)</x:f>
        <x:v>3.011047863222316</x:v>
      </x:c>
      <x:c r="U200" s="12" t="n">
        <x:f t="shared" si="194">R200*T200+S200</x:f>
        <x:v>44440.64735649752</x:v>
      </x:c>
      <x:c r="V200" s="2" t="n">
        <x:f t="shared" si="195">V$8+(V$9-V$8)*H200</x:f>
        <x:v>0.8839510937032415</x:v>
      </x:c>
      <x:c r="W200" s="2" t="n">
        <x:f t="shared" si="196">IF(B200&lt;$H$8,0,W$8+(W$9-W$8)*H200)</x:f>
        <x:v>0.24526812493765543</x:v>
      </x:c>
      <x:c r="X200" s="2" t="n">
        <x:f t="shared" si="197">X$8+(X$9-X$8)*H200</x:f>
        <x:v>0.4436218358946381</x:v>
      </x:c>
      <x:c r="Y200" s="2" t="n">
        <x:f t="shared" si="198">Y$8+(Y$9-Y$8)*G200</x:f>
        <x:v>1</x:v>
      </x:c>
      <x:c r="Z200" s="2" t="n">
        <x:f t="shared" si="199">Z$8+(Z$9-Z$8)*H200</x:f>
        <x:v>1</x:v>
      </x:c>
      <x:c r="AA200" s="2" t="n">
        <x:f t="shared" si="200">AA$8+(AA$9-AA$8)*I200</x:f>
        <x:v>1</x:v>
      </x:c>
      <x:c r="AB200" s="2" t="n">
        <x:f t="shared" si="201">AB$8+(AB$9-AB$8)*J200</x:f>
        <x:v>1</x:v>
      </x:c>
      <x:c r="AC200" s="2" t="n">
        <x:f t="shared" si="202">AC$8+(AC$9-AC$8)*MAX(K200,L200)</x:f>
        <x:v>1</x:v>
      </x:c>
      <x:c r="AD200" s="1" t="n">
        <x:f t="shared" si="203">(V200*AE200+W200*AF200+X200*AG200)*PRODUCT(Y200:AC200)</x:f>
        <x:v>1.7559191033369936</x:v>
      </x:c>
      <x:c r="AE200" s="2" t="n">
        <x:f t="shared" si="204">1+AE$9*($H$10*H200+$I$10*I200+$J$10*J200+$K$10*K200+$L$10*L200)</x:f>
        <x:v>1</x:v>
      </x:c>
      <x:c r="AF200" s="2" t="n">
        <x:f t="shared" si="205">1+AF$9*($H$10*H200+$I$10*I200+$J$10*J200+$K$10*K200+$L$10*L200)</x:f>
        <x:v>1.1774932931912814</x:v>
      </x:c>
      <x:c r="AG200" s="2" t="n">
        <x:f t="shared" si="206">1+AG$9*($H$10*H200+$I$10*I200+$J$10*J200+$K$10*K200+$L$10*L200)</x:f>
        <x:v>1.3145575584889957</x:v>
      </x:c>
      <x:c r="AH200" s="2" t="n">
        <x:f>MIN(1,'_曲线基线'!$L$3+AH$9*($H$10*H200+$I$10*I200+$J$10*J200+$K$10*K200+$L$10*L200))</x:f>
        <x:v>0.4537972420101649</x:v>
      </x:c>
      <x:c r="AI200" s="2" t="n">
        <x:f>'_曲线基线'!$L$4+AI$9*($H$10*H200+$I$10*I200+$J$10*J200+$K$10*K200+$L$10*L200)</x:f>
        <x:v>3.124863745599745</x:v>
      </x:c>
      <x:c r="AJ200" s="2" t="n">
        <x:f t="shared" si="207">1+AJ$9*($H$10*H200+$I$10*I200+$J$10*J200+$K$10*K200+$L$10*L200)</x:f>
        <x:v>1.9229651245946626</x:v>
      </x:c>
      <x:c r="AK200" s="1" t="n">
        <x:f t="shared" si="208">(1+AH200*(AI200-1))*AJ200</x:f>
        <x:v>3.7771982978614806</x:v>
      </x:c>
      <x:c r="AL200" s="1" t="n">
        <x:f t="shared" si="209">U200*AD200*AK200*F200</x:f>
        <x:v>1473752.8906668595</x:v>
      </x:c>
      <x:c r="AM200" s="13" t="n">
        <x:f t="shared" si="210">IF($B200&lt;AM$8,0,AM$3+(AM$4-AM$3)*(POWER(AM$5,$B200-AM$8)-1)/(POWER(AM$5,$C$5-AM$8)-1))</x:f>
        <x:v>42.37361017163223</x:v>
      </x:c>
      <x:c r="AN200" s="13" t="n">
        <x:f>(((E200*'模块规划'!$D$10+G200*'模块规划'!$D$11+H200*'模块规划'!$D$13)*(1+'模块规划'!$G$14*H200)+(I200*'模块规划'!$D$15+J200*'模块规划'!$D$17+K200*'模块规划'!$D$16+L200*'模块规划'!$D$18))*(1+'模块规划'!$J$17*J200))*F200/(1-Q200)</x:f>
        <x:v>2033469.7784139912</x:v>
      </x:c>
      <x:c r="AO200" s="1" t="n">
        <x:f t="shared" si="211">AL200*AM200</x:f>
        <x:v>62448230.47843364</x:v>
      </x:c>
      <x:c r="AP200" s="1" t="n">
        <x:f>IF(AO200="","",INDEX('_曲线基线'!$A$3:$A$502,MIN(ROWS('_曲线基线'!$A$3:$A$502),COUNTIF('_曲线基线'!$E$3:$E$502,"&lt;"&amp;AO200)+1)))</x:f>
        <x:v>257</x:v>
      </x:c>
      <x:c r="AQ200" s="14" t="n">
        <x:f t="shared" si="212">IF(B200&lt;=2,1,IF(B200&lt;=6,2,IF(B200&lt;=9,3,IF(B200&lt;=19,4,5))))</x:f>
        <x:v>5</x:v>
      </x:c>
      <x:c r="AR200" s="10" t="n">
        <x:f t="shared" si="213">AN200*(1-Q200)/F200*$AS$3+U200*$AS$4+P200*$AS$5</x:f>
        <x:v>14348.422079224963</x:v>
      </x:c>
      <x:c r="AS200" s="15" t="n">
        <x:f t="shared" si="214">1+AH200*$AS$6+AI200*$AS$7+(AJ200-1)*$AS$8+($H$10*H200+$I$10*I200+$J$10*J200+$K$10*K200+$L$10*L200)*$AU$3*$AS$9+($H$10*H200+$I$10*I200+$J$10*J200+$K$10*K200+$L$10*L200)*$AU$4*$AS$10</x:f>
        <x:v>15.587005944933443</x:v>
      </x:c>
      <x:c r="AT200" s="16" t="n">
        <x:f t="shared" si="215">ROUND(AR200*AS200,0)</x:f>
        <x:v>223649</x:v>
      </x:c>
      <x:c r="AU200" s="16" t="n">
        <x:f t="shared" si="216">ROUND(AT200*F200,0)</x:f>
        <x:v>1118245</x:v>
      </x:c>
      <x:c r="AV200" t="n">
        <x:f>IF(AU200&gt;0,ROUND(AU200,-MAX(0,INT(LOG10(AU200))-2)),0)</x:f>
        <x:v>1120000</x:v>
      </x:c>
    </x:row>
    <x:row r="201" customHeight="1">
      <x:c r="A201" s="1" t="str">
        <x:f>IFERROR(XLOOKUP(B201,'_曲线基线'!$G$3:$G$107,'_曲线基线'!$J$3:$J$107,""),"")</x:f>
      </x:c>
      <x:c r="B201" s="1" t="n">
        <x:v>190</x:v>
      </x:c>
      <x:c r="C201" s="1" t="n">
        <x:f t="shared" si="255">C186+1</x:f>
        <x:v>14</x:v>
      </x:c>
      <x:c r="D201" s="1" t="n">
        <x:f t="shared" si="256">D186</x:f>
        <x:v>1</x:v>
      </x:c>
      <x:c r="E201" s="1" t="n">
        <x:f t="shared" si="188">IF($B201&lt;E$8,0,E$3+(E$4-E$3)*(POWER(E$5,$B201-E$8)-1)/(POWER(E$5,$C$5-E$8)-1))</x:f>
        <x:v>1</x:v>
      </x:c>
      <x:c r="F201" s="10" t="n">
        <x:f t="shared" si="189">1+IF(B201&lt;3,0,MIN(1,(B201-2)/4))+IF(B201&lt;7,0,MIN(1,(B201-6)/3))+IF(B201&lt;10,0,MIN(1,(B201-9)/5))+IF(B201&lt;20,0,MIN(1,(B201-19)/10))</x:f>
        <x:v>5</x:v>
      </x:c>
      <x:c r="G201" s="11" t="n">
        <x:f t="shared" ref="G201:L201" si="279">'玩家战力_节点'!G201</x:f>
        <x:v>0.78747255108527</x:v>
      </x:c>
      <x:c r="H201" s="11" t="n">
        <x:f t="shared" si="279">'玩家战力_节点'!H201</x:f>
        <x:v>0.6143033030466674</x:v>
      </x:c>
      <x:c r="I201" s="11" t="n">
        <x:f t="shared" si="279">'玩家战力_节点'!I201</x:f>
        <x:v>0.53146458562903</x:v>
      </x:c>
      <x:c r="J201" s="11" t="n">
        <x:f t="shared" si="279">'玩家战力_节点'!J201</x:f>
        <x:v>0.506458779810185</x:v>
      </x:c>
      <x:c r="K201" s="11" t="n">
        <x:f t="shared" si="279">'玩家战力_节点'!K201</x:f>
        <x:v>0.4899881397384997</x:v>
      </x:c>
      <x:c r="L201" s="11" t="n">
        <x:f t="shared" si="279">'玩家战力_节点'!L201</x:f>
        <x:v>0.6099519134494915</x:v>
      </x:c>
      <x:c r="M201" s="2" t="n">
        <x:f>E201*'模块规划'!$F$10+G201*'模块规划'!$F$11+H201*'模块规划'!$F$13</x:f>
        <x:v>4779.868245209296</x:v>
      </x:c>
      <x:c r="N201" s="2" t="n">
        <x:f>I201*'模块规划'!$F$15+J201*'模块规划'!$F$17+K201*'模块规划'!$F$16+L201*'模块规划'!$F$18</x:f>
        <x:v>15305.992888812545</x:v>
      </x:c>
      <x:c r="O201" s="2" t="n">
        <x:f t="shared" si="191">1+O$9*SUMPRODUCT($H$10:$L$10,H201:L201)/SUM($H$10:$L$10)</x:f>
        <x:v>3.016952484122495</x:v>
      </x:c>
      <x:c r="P201" s="12" t="n">
        <x:f t="shared" si="192">M201*O201+N201</x:f>
        <x:v>29726.628264974963</x:v>
      </x:c>
      <x:c r="Q201" s="7" t="n">
        <x:f>P201/(P201+'_曲线基线'!$L$2)</x:f>
        <x:v>0.5532941341184835</x:v>
      </x:c>
      <x:c r="R201" s="2" t="n">
        <x:f>E201*'模块规划'!$E$10+G201*'模块规划'!$E$11+H201*'模块规划'!$E$13</x:f>
        <x:v>7169.802367813944</x:v>
      </x:c>
      <x:c r="S201" s="2" t="n">
        <x:f>I201*'模块规划'!$E$15+J201*'模块规划'!$E$17+K201*'模块规划'!$E$16+L201*'模块规划'!$E$18</x:f>
        <x:v>22958.989333218815</x:v>
      </x:c>
      <x:c r="T201" s="2" t="n">
        <x:f t="shared" si="193">1+T$9*SUMPRODUCT($H$10:$L$10,H201:L201)/SUM($H$10:$L$10)</x:f>
        <x:v>3.016952484122495</x:v>
      </x:c>
      <x:c r="U201" s="12" t="n">
        <x:f t="shared" si="194">R201*T201+S201</x:f>
        <x:v>44589.94239746244</x:v>
      </x:c>
      <x:c r="V201" s="2" t="n">
        <x:f t="shared" si="195">V$8+(V$9-V$8)*H201</x:f>
        <x:v>0.8842909909140002</x:v>
      </x:c>
      <x:c r="W201" s="2" t="n">
        <x:f t="shared" si="196">IF(B201&lt;$H$8,0,W$8+(W$9-W$8)*H201)</x:f>
        <x:v>0.24572132121866697</x:v>
      </x:c>
      <x:c r="X201" s="2" t="n">
        <x:f t="shared" si="197">X$8+(X$9-X$8)*H201</x:f>
        <x:v>0.44393340833783357</x:v>
      </x:c>
      <x:c r="Y201" s="2" t="n">
        <x:f t="shared" si="198">Y$8+(Y$9-Y$8)*G201</x:f>
        <x:v>1</x:v>
      </x:c>
      <x:c r="Z201" s="2" t="n">
        <x:f t="shared" si="199">Z$8+(Z$9-Z$8)*H201</x:f>
        <x:v>1</x:v>
      </x:c>
      <x:c r="AA201" s="2" t="n">
        <x:f t="shared" si="200">AA$8+(AA$9-AA$8)*I201</x:f>
        <x:v>1</x:v>
      </x:c>
      <x:c r="AB201" s="2" t="n">
        <x:f t="shared" si="201">AB$8+(AB$9-AB$8)*J201</x:f>
        <x:v>1</x:v>
      </x:c>
      <x:c r="AC201" s="2" t="n">
        <x:f t="shared" si="202">AC$8+(AC$9-AC$8)*MAX(K201,L201)</x:f>
        <x:v>1</x:v>
      </x:c>
      <x:c r="AD201" s="1" t="n">
        <x:f t="shared" si="203">(V201*AE201+W201*AF201+X201*AG201)*PRODUCT(Y201:AC201)</x:f>
        <x:v>1.7577402739113888</x:v>
      </x:c>
      <x:c r="AE201" s="2" t="n">
        <x:f t="shared" si="204">1+AE$9*($H$10*H201+$I$10*I201+$J$10*J201+$K$10*K201+$L$10*L201)</x:f>
        <x:v>1</x:v>
      </x:c>
      <x:c r="AF201" s="2" t="n">
        <x:f t="shared" si="205">1+AF$9*($H$10*H201+$I$10*I201+$J$10*J201+$K$10*K201+$L$10*L201)</x:f>
        <x:v>1.1780144297727548</x:v>
      </x:c>
      <x:c r="AG201" s="2" t="n">
        <x:f t="shared" si="206">1+AG$9*($H$10*H201+$I$10*I201+$J$10*J201+$K$10*K201+$L$10*L201)</x:f>
        <x:v>1.3154811283194956</x:v>
      </x:c>
      <x:c r="AH201" s="2" t="n">
        <x:f>MIN(1,'_曲线基线'!$L$3+AH$9*($H$10*H201+$I$10*I201+$J$10*J201+$K$10*K201+$L$10*L201))</x:f>
        <x:v>0.45498282773301657</x:v>
      </x:c>
      <x:c r="AI201" s="2" t="n">
        <x:f>'_曲线基线'!$L$4+AI$9*($H$10*H201+$I$10*I201+$J$10*J201+$K$10*K201+$L$10*L201)</x:f>
        <x:v>3.1281664486848317</x:v>
      </x:c>
      <x:c r="AJ201" s="2" t="n">
        <x:f t="shared" si="207">1+AJ$9*($H$10*H201+$I$10*I201+$J$10*J201+$K$10*K201+$L$10*L201)</x:f>
        <x:v>1.9256750348183238</x:v>
      </x:c>
      <x:c r="AK201" s="1" t="n">
        <x:f t="shared" si="208">(1+AH201*(AI201-1))*AJ201</x:f>
        <x:v>3.7902660952496867</x:v>
      </x:c>
      <x:c r="AL201" s="1" t="n">
        <x:f t="shared" si="209">U201*AD201*AK201*F201</x:f>
        <x:v>1485358.616278733</x:v>
      </x:c>
      <x:c r="AM201" s="13" t="n">
        <x:f t="shared" si="210">IF($B201&lt;AM$8,0,AM$3+(AM$4-AM$3)*(POWER(AM$5,$B201-AM$8)-1)/(POWER(AM$5,$C$5-AM$8)-1))</x:f>
        <x:v>42.46077091327042</x:v>
      </x:c>
      <x:c r="AN201" s="13" t="n">
        <x:f>(((E201*'模块规划'!$D$10+G201*'模块规划'!$D$11+H201*'模块规划'!$D$13)*(1+'模块规划'!$G$14*H201)+(I201*'模块规划'!$D$15+J201*'模块规划'!$D$17+K201*'模块规划'!$D$16+L201*'模块规划'!$D$18))*(1+'模块规划'!$J$17*J201))*F201/(1-Q201)</x:f>
        <x:v>2045070.0766952385</x:v>
      </x:c>
      <x:c r="AO201" s="1" t="n">
        <x:f t="shared" si="211">AL201*AM201</x:f>
        <x:v>63069471.929863624</x:v>
      </x:c>
      <x:c r="AP201" s="1" t="n">
        <x:f>IF(AO201="","",INDEX('_曲线基线'!$A$3:$A$502,MIN(ROWS('_曲线基线'!$A$3:$A$502),COUNTIF('_曲线基线'!$E$3:$E$502,"&lt;"&amp;AO201)+1)))</x:f>
        <x:v>258</x:v>
      </x:c>
      <x:c r="AQ201" s="14" t="n">
        <x:f t="shared" si="212">IF(B201&lt;=2,1,IF(B201&lt;=6,2,IF(B201&lt;=9,3,IF(B201&lt;=19,4,5))))</x:f>
        <x:v>5</x:v>
      </x:c>
      <x:c r="AR201" s="10" t="n">
        <x:f t="shared" si="213">AN201*(1-Q201)/F201*$AS$3+U201*$AS$4+P201*$AS$5</x:f>
        <x:v>14399.257275883643</x:v>
      </x:c>
      <x:c r="AS201" s="15" t="n">
        <x:f t="shared" si="214">1+AH201*$AS$6+AI201*$AS$7+(AJ201-1)*$AS$8+($H$10*H201+$I$10*I201+$J$10*J201+$K$10*K201+$L$10*L201)*$AU$3*$AS$9+($H$10*H201+$I$10*I201+$J$10*J201+$K$10*K201+$L$10*L201)*$AU$4*$AS$10</x:f>
        <x:v>15.618144447817915</x:v>
      </x:c>
      <x:c r="AT201" s="16" t="n">
        <x:f t="shared" si="215">ROUND(AR201*AS201,0)</x:f>
        <x:v>224890</x:v>
      </x:c>
      <x:c r="AU201" s="16" t="n">
        <x:f t="shared" si="216">ROUND(AT201*F201,0)</x:f>
        <x:v>1124450</x:v>
      </x:c>
      <x:c r="AV201" t="n">
        <x:f>IF(AU201&gt;0,ROUND(AU201,-MAX(0,INT(LOG10(AU201))-2)),0)</x:f>
        <x:v>1120000</x:v>
      </x:c>
    </x:row>
    <x:row r="202" customHeight="1">
      <x:c r="A202" s="1" t="str">
        <x:f>IFERROR(XLOOKUP(B202,'_曲线基线'!$G$3:$G$107,'_曲线基线'!$J$3:$J$107,""),"")</x:f>
      </x:c>
      <x:c r="B202" s="1" t="n">
        <x:v>191</x:v>
      </x:c>
      <x:c r="C202" s="1" t="n">
        <x:f t="shared" si="255">C187+1</x:f>
        <x:v>14</x:v>
      </x:c>
      <x:c r="D202" s="1" t="n">
        <x:f t="shared" si="256">D187</x:f>
        <x:v>2</x:v>
      </x:c>
      <x:c r="E202" s="1" t="n">
        <x:f t="shared" si="188">IF($B202&lt;E$8,0,E$3+(E$4-E$3)*(POWER(E$5,$B202-E$8)-1)/(POWER(E$5,$C$5-E$8)-1))</x:f>
        <x:v>1</x:v>
      </x:c>
      <x:c r="F202" s="10" t="n">
        <x:f t="shared" si="189">1+IF(B202&lt;3,0,MIN(1,(B202-2)/4))+IF(B202&lt;7,0,MIN(1,(B202-6)/3))+IF(B202&lt;10,0,MIN(1,(B202-9)/5))+IF(B202&lt;20,0,MIN(1,(B202-19)/10))</x:f>
        <x:v>5</x:v>
      </x:c>
      <x:c r="G202" s="11" t="n">
        <x:f t="shared" ref="G202:L202" si="280">'玩家战力_节点'!G202</x:f>
        <x:v>0.7889409581615745</x:v>
      </x:c>
      <x:c r="H202" s="11" t="n">
        <x:f t="shared" si="280">'玩家战力_节点'!H202</x:f>
        <x:v>0.6153943259640472</x:v>
      </x:c>
      <x:c r="I202" s="11" t="n">
        <x:f t="shared" si="280">'玩家战力_节点'!I202</x:f>
        <x:v>0.5331259104235145</x:v>
      </x:c>
      <x:c r="J202" s="11" t="n">
        <x:f t="shared" si="280">'玩家战力_节点'!J202</x:f>
        <x:v>0.5076753283836419</x:v>
      </x:c>
      <x:c r="K202" s="11" t="n">
        <x:f t="shared" si="280">'玩家战力_节点'!K202</x:f>
        <x:v>0.49247758347448795</x:v>
      </x:c>
      <x:c r="L202" s="11" t="n">
        <x:f t="shared" si="280">'玩家战力_节点'!L202</x:f>
        <x:v>0.6111171018454327</x:v>
      </x:c>
      <x:c r="M202" s="2" t="n">
        <x:f>E202*'模块规划'!$F$10+G202*'模块规划'!$F$11+H202*'模块规划'!$F$13</x:f>
        <x:v>4786.916599175558</x:v>
      </x:c>
      <x:c r="N202" s="2" t="n">
        <x:f>I202*'模块规划'!$F$15+J202*'模块规划'!$F$17+K202*'模块规划'!$F$16+L202*'模块规划'!$F$18</x:f>
        <x:v>15352.211577298625</x:v>
      </x:c>
      <x:c r="O202" s="2" t="n">
        <x:f t="shared" si="191">1+O$9*SUMPRODUCT($H$10:$L$10,H202:L202)/SUM($H$10:$L$10)</x:f>
        <x:v>3.022520932295887</x:v>
      </x:c>
      <x:c r="P202" s="12" t="n">
        <x:f t="shared" si="192">M202*O202+N202</x:f>
        <x:v>29820.76719946139</x:v>
      </x:c>
      <x:c r="Q202" s="7" t="n">
        <x:f>P202/(P202+'_曲线基线'!$L$2)</x:f>
        <x:v>0.5540754759021684</x:v>
      </x:c>
      <x:c r="R202" s="2" t="n">
        <x:f>E202*'模块规划'!$E$10+G202*'模块规划'!$E$11+H202*'模块规划'!$E$13</x:f>
        <x:v>7180.374898763336</x:v>
      </x:c>
      <x:c r="S202" s="2" t="n">
        <x:f>I202*'模块规划'!$E$15+J202*'模块规划'!$E$17+K202*'模块规划'!$E$16+L202*'模块规划'!$E$18</x:f>
        <x:v>23028.317365947936</x:v>
      </x:c>
      <x:c r="T202" s="2" t="n">
        <x:f t="shared" si="193">1+T$9*SUMPRODUCT($H$10:$L$10,H202:L202)/SUM($H$10:$L$10)</x:f>
        <x:v>3.022520932295887</x:v>
      </x:c>
      <x:c r="U202" s="12" t="n">
        <x:f t="shared" si="194">R202*T202+S202</x:f>
        <x:v>44731.15079919208</x:v>
      </x:c>
      <x:c r="V202" s="2" t="n">
        <x:f t="shared" si="195">V$8+(V$9-V$8)*H202</x:f>
        <x:v>0.8846182977892141</x:v>
      </x:c>
      <x:c r="W202" s="2" t="n">
        <x:f t="shared" si="196">IF(B202&lt;$H$8,0,W$8+(W$9-W$8)*H202)</x:f>
        <x:v>0.2461577303856189</x:v>
      </x:c>
      <x:c r="X202" s="2" t="n">
        <x:f t="shared" si="197">X$8+(X$9-X$8)*H202</x:f>
        <x:v>0.444233439640113</x:v>
      </x:c>
      <x:c r="Y202" s="2" t="n">
        <x:f t="shared" si="198">Y$8+(Y$9-Y$8)*G202</x:f>
        <x:v>1</x:v>
      </x:c>
      <x:c r="Z202" s="2" t="n">
        <x:f t="shared" si="199">Z$8+(Z$9-Z$8)*H202</x:f>
        <x:v>1</x:v>
      </x:c>
      <x:c r="AA202" s="2" t="n">
        <x:f t="shared" si="200">AA$8+(AA$9-AA$8)*I202</x:f>
        <x:v>1</x:v>
      </x:c>
      <x:c r="AB202" s="2" t="n">
        <x:f t="shared" si="201">AB$8+(AB$9-AB$8)*J202</x:f>
        <x:v>1</x:v>
      </x:c>
      <x:c r="AC202" s="2" t="n">
        <x:f t="shared" si="202">AC$8+(AC$9-AC$8)*MAX(K202,L202)</x:f>
        <x:v>1</x:v>
      </x:c>
      <x:c r="AD202" s="1" t="n">
        <x:f t="shared" si="203">(V202*AE202+W202*AF202+X202*AG202)*PRODUCT(Y202:AC202)</x:f>
        <x:v>1.7594842625750786</x:v>
      </x:c>
      <x:c r="AE202" s="2" t="n">
        <x:f t="shared" si="204">1+AE$9*($H$10*H202+$I$10*I202+$J$10*J202+$K$10*K202+$L$10*L202)</x:f>
        <x:v>1</x:v>
      </x:c>
      <x:c r="AF202" s="2" t="n">
        <x:f t="shared" si="205">1+AF$9*($H$10*H202+$I$10*I202+$J$10*J202+$K$10*K202+$L$10*L202)</x:f>
        <x:v>1.1785058960487869</x:v>
      </x:c>
      <x:c r="AG202" s="2" t="n">
        <x:f t="shared" si="206">1+AG$9*($H$10*H202+$I$10*I202+$J$10*J202+$K$10*K202+$L$10*L202)</x:f>
        <x:v>1.3163521157753526</x:v>
      </x:c>
      <x:c r="AH202" s="2" t="n">
        <x:f>MIN(1,'_曲线基线'!$L$3+AH$9*($H$10*H202+$I$10*I202+$J$10*J202+$K$10*K202+$L$10*L202))</x:f>
        <x:v>0.4561009135109898</x:v>
      </x:c>
      <x:c r="AI202" s="2" t="n">
        <x:f>'_曲线基线'!$L$4+AI$9*($H$10*H202+$I$10*I202+$J$10*J202+$K$10*K202+$L$10*L202)</x:f>
        <x:v>3.131281116209186</x:v>
      </x:c>
      <x:c r="AJ202" s="2" t="n">
        <x:f t="shared" si="207">1+AJ$9*($H$10*H202+$I$10*I202+$J$10*J202+$K$10*K202+$L$10*L202)</x:f>
        <x:v>1.928230659453691</x:v>
      </x:c>
      <x:c r="AK202" s="1" t="n">
        <x:f t="shared" si="208">(1+AH202*(AI202-1))*AJ202</x:f>
        <x:v>3.80262369981742</x:v>
      </x:c>
      <x:c r="AL202" s="1" t="n">
        <x:f t="shared" si="209">U202*AD202*AK202*F202</x:f>
        <x:v>1496403.8368326088</x:v>
      </x:c>
      <x:c r="AM202" s="13" t="n">
        <x:f t="shared" si="210">IF($B202&lt;AM$8,0,AM$3+(AM$4-AM$3)*(POWER(AM$5,$B202-AM$8)-1)/(POWER(AM$5,$C$5-AM$8)-1))</x:f>
        <x:v>42.548803262324995</x:v>
      </x:c>
      <x:c r="AN202" s="13" t="n">
        <x:f>(((E202*'模块规划'!$D$10+G202*'模块规划'!$D$11+H202*'模块规划'!$D$13)*(1+'模块规划'!$G$14*H202)+(I202*'模块规划'!$D$15+J202*'模块规划'!$D$17+K202*'模块规划'!$D$16+L202*'模块规划'!$D$18))*(1+'模块规划'!$J$17*J202))*F202/(1-Q202)</x:f>
        <x:v>2056094.8670997103</x:v>
      </x:c>
      <x:c r="AO202" s="1" t="n">
        <x:f t="shared" si="211">AL202*AM202</x:f>
        <x:v>63670192.45437895</x:v>
      </x:c>
      <x:c r="AP202" s="1" t="n">
        <x:f>IF(AO202="","",INDEX('_曲线基线'!$A$3:$A$502,MIN(ROWS('_曲线基线'!$A$3:$A$502),COUNTIF('_曲线基线'!$E$3:$E$502,"&lt;"&amp;AO202)+1)))</x:f>
        <x:v>259</x:v>
      </x:c>
      <x:c r="AQ202" s="14" t="n">
        <x:f t="shared" si="212">IF(B202&lt;=2,1,IF(B202&lt;=6,2,IF(B202&lt;=9,3,IF(B202&lt;=19,4,5))))</x:f>
        <x:v>5</x:v>
      </x:c>
      <x:c r="AR202" s="10" t="n">
        <x:f t="shared" si="213">AN202*(1-Q202)/F202*$AS$3+U202*$AS$4+P202*$AS$5</x:f>
        <x:v>14447.408910507009</x:v>
      </x:c>
      <x:c r="AS202" s="15" t="n">
        <x:f t="shared" si="214">1+AH202*$AS$6+AI202*$AS$7+(AJ202-1)*$AS$8+($H$10*H202+$I$10*I202+$J$10*J202+$K$10*K202+$L$10*L202)*$AU$3*$AS$9+($H$10*H202+$I$10*I202+$J$10*J202+$K$10*K202+$L$10*L202)*$AU$4*$AS$10</x:f>
        <x:v>15.647510116239394</x:v>
      </x:c>
      <x:c r="AT202" s="16" t="n">
        <x:f t="shared" si="215">ROUND(AR202*AS202,0)</x:f>
        <x:v>226066</x:v>
      </x:c>
      <x:c r="AU202" s="16" t="n">
        <x:f t="shared" si="216">ROUND(AT202*F202,0)</x:f>
        <x:v>1130330</x:v>
      </x:c>
      <x:c r="AV202" t="n">
        <x:f>IF(AU202&gt;0,ROUND(AU202,-MAX(0,INT(LOG10(AU202))-2)),0)</x:f>
        <x:v>1130000</x:v>
      </x:c>
    </x:row>
    <x:row r="203" customHeight="1">
      <x:c r="A203" s="1" t="str">
        <x:f>IFERROR(XLOOKUP(B203,'_曲线基线'!$G$3:$G$107,'_曲线基线'!$J$3:$J$107,""),"")</x:f>
      </x:c>
      <x:c r="B203" s="1" t="n">
        <x:v>192</x:v>
      </x:c>
      <x:c r="C203" s="1" t="n">
        <x:f t="shared" si="255">C188+1</x:f>
        <x:v>14</x:v>
      </x:c>
      <x:c r="D203" s="1" t="n">
        <x:f t="shared" si="256">D188</x:f>
        <x:v>3</x:v>
      </x:c>
      <x:c r="E203" s="1" t="n">
        <x:f t="shared" si="188">IF($B203&lt;E$8,0,E$3+(E$4-E$3)*(POWER(E$5,$B203-E$8)-1)/(POWER(E$5,$C$5-E$8)-1))</x:f>
        <x:v>1</x:v>
      </x:c>
      <x:c r="F203" s="10" t="n">
        <x:f t="shared" si="189">1+IF(B203&lt;3,0,MIN(1,(B203-2)/4))+IF(B203&lt;7,0,MIN(1,(B203-6)/3))+IF(B203&lt;10,0,MIN(1,(B203-9)/5))+IF(B203&lt;20,0,MIN(1,(B203-19)/10))</x:f>
        <x:v>5</x:v>
      </x:c>
      <x:c r="G203" s="11" t="n">
        <x:f t="shared" ref="G203:L203" si="281">'玩家战力_节点'!G203</x:f>
        <x:v>0.7904093652378791</x:v>
      </x:c>
      <x:c r="H203" s="11" t="n">
        <x:f t="shared" si="281">'玩家战力_节点'!H203</x:f>
        <x:v>0.616485348881427</x:v>
      </x:c>
      <x:c r="I203" s="11" t="n">
        <x:f t="shared" si="281">'玩家战力_节点'!I203</x:f>
        <x:v>0.5347872352179991</x:v>
      </x:c>
      <x:c r="J203" s="11" t="n">
        <x:f t="shared" si="281">'玩家战力_节点'!J203</x:f>
        <x:v>0.5088918769570989</x:v>
      </x:c>
      <x:c r="K203" s="11" t="n">
        <x:f t="shared" si="281">'玩家战力_节点'!K203</x:f>
        <x:v>0.49496702721047614</x:v>
      </x:c>
      <x:c r="L203" s="11" t="n">
        <x:f t="shared" si="281">'玩家战力_节点'!L203</x:f>
        <x:v>0.6122822902413739</x:v>
      </x:c>
      <x:c r="M203" s="2" t="n">
        <x:f>E203*'模块规划'!$F$10+G203*'模块规划'!$F$11+H203*'模块规划'!$F$13</x:f>
        <x:v>4793.96495314182</x:v>
      </x:c>
      <x:c r="N203" s="2" t="n">
        <x:f>I203*'模块规划'!$F$15+J203*'模块规划'!$F$17+K203*'模块规划'!$F$16+L203*'模块规划'!$F$18</x:f>
        <x:v>15398.43026578471</x:v>
      </x:c>
      <x:c r="O203" s="2" t="n">
        <x:f t="shared" si="191">1+O$9*SUMPRODUCT($H$10:$L$10,H203:L203)/SUM($H$10:$L$10)</x:f>
        <x:v>3.0280893804692797</x:v>
      </x:c>
      <x:c r="P203" s="12" t="n">
        <x:f t="shared" si="192">M203*O203+N203</x:f>
        <x:v>29914.984630735362</x:v>
      </x:c>
      <x:c r="Q203" s="7" t="n">
        <x:f>P203/(P203+'_曲线基线'!$L$2)</x:f>
        <x:v>0.5548547372427832</x:v>
      </x:c>
      <x:c r="R203" s="2" t="n">
        <x:f>E203*'模块规划'!$E$10+G203*'模块规划'!$E$11+H203*'模块规划'!$E$13</x:f>
        <x:v>7190.947429712729</x:v>
      </x:c>
      <x:c r="S203" s="2" t="n">
        <x:f>I203*'模块规划'!$E$15+J203*'模块规划'!$E$17+K203*'模块规划'!$E$16+L203*'模块规划'!$E$18</x:f>
        <x:v>23097.64539867706</x:v>
      </x:c>
      <x:c r="T203" s="2" t="n">
        <x:f t="shared" si="193">1+T$9*SUMPRODUCT($H$10:$L$10,H203:L203)/SUM($H$10:$L$10)</x:f>
        <x:v>3.0280893804692797</x:v>
      </x:c>
      <x:c r="U203" s="12" t="n">
        <x:f t="shared" si="194">R203*T203+S203</x:f>
        <x:v>44872.47694610304</x:v>
      </x:c>
      <x:c r="V203" s="2" t="n">
        <x:f t="shared" si="195">V$8+(V$9-V$8)*H203</x:f>
        <x:v>0.8849456046644281</x:v>
      </x:c>
      <x:c r="W203" s="2" t="n">
        <x:f t="shared" si="196">IF(B203&lt;$H$8,0,W$8+(W$9-W$8)*H203)</x:f>
        <x:v>0.2465941395525708</x:v>
      </x:c>
      <x:c r="X203" s="2" t="n">
        <x:f t="shared" si="197">X$8+(X$9-X$8)*H203</x:f>
        <x:v>0.4445334709423925</x:v>
      </x:c>
      <x:c r="Y203" s="2" t="n">
        <x:f t="shared" si="198">Y$8+(Y$9-Y$8)*G203</x:f>
        <x:v>1</x:v>
      </x:c>
      <x:c r="Z203" s="2" t="n">
        <x:f t="shared" si="199">Z$8+(Z$9-Z$8)*H203</x:f>
        <x:v>1</x:v>
      </x:c>
      <x:c r="AA203" s="2" t="n">
        <x:f t="shared" si="200">AA$8+(AA$9-AA$8)*I203</x:f>
        <x:v>1</x:v>
      </x:c>
      <x:c r="AB203" s="2" t="n">
        <x:f t="shared" si="201">AB$8+(AB$9-AB$8)*J203</x:f>
        <x:v>1</x:v>
      </x:c>
      <x:c r="AC203" s="2" t="n">
        <x:f t="shared" si="202">AC$8+(AC$9-AC$8)*MAX(K203,L203)</x:f>
        <x:v>1</x:v>
      </x:c>
      <x:c r="AD203" s="1" t="n">
        <x:f t="shared" si="203">(V203*AE203+W203*AF203+X203*AG203)*PRODUCT(Y203:AC203)</x:f>
        <x:v>1.7612292028465464</x:v>
      </x:c>
      <x:c r="AE203" s="2" t="n">
        <x:f t="shared" si="204">1+AE$9*($H$10*H203+$I$10*I203+$J$10*J203+$K$10*K203+$L$10*L203)</x:f>
        <x:v>1</x:v>
      </x:c>
      <x:c r="AF203" s="2" t="n">
        <x:f t="shared" si="205">1+AF$9*($H$10*H203+$I$10*I203+$J$10*J203+$K$10*K203+$L$10*L203)</x:f>
        <x:v>1.178997362324819</x:v>
      </x:c>
      <x:c r="AG203" s="2" t="n">
        <x:f t="shared" si="206">1+AG$9*($H$10*H203+$I$10*I203+$J$10*J203+$K$10*K203+$L$10*L203)</x:f>
        <x:v>1.3172231032312096</x:v>
      </x:c>
      <x:c r="AH203" s="2" t="n">
        <x:f>MIN(1,'_曲线基线'!$L$3+AH$9*($H$10*H203+$I$10*I203+$J$10*J203+$K$10*K203+$L$10*L203))</x:f>
        <x:v>0.45721899928896315</x:v>
      </x:c>
      <x:c r="AI203" s="2" t="n">
        <x:f>'_曲线基线'!$L$4+AI$9*($H$10*H203+$I$10*I203+$J$10*J203+$K$10*K203+$L$10*L203)</x:f>
        <x:v>3.1343957837335403</x:v>
      </x:c>
      <x:c r="AJ203" s="2" t="n">
        <x:f t="shared" si="207">1+AJ$9*($H$10*H203+$I$10*I203+$J$10*J203+$K$10*K203+$L$10*L203)</x:f>
        <x:v>1.9307862840890588</x:v>
      </x:c>
      <x:c r="AK203" s="1" t="n">
        <x:f t="shared" si="208">(1+AH203*(AI203-1))*AJ203</x:f>
        <x:v>3.815014175310577</x:v>
      </x:c>
      <x:c r="AL203" s="1" t="n">
        <x:f t="shared" si="209">U203*AD203*AK203*F203</x:f>
        <x:v>1507516.5244140604</x:v>
      </x:c>
      <x:c r="AM203" s="13" t="n">
        <x:f t="shared" si="210">IF($B203&lt;AM$8,0,AM$3+(AM$4-AM$3)*(POWER(AM$5,$B203-AM$8)-1)/(POWER(AM$5,$C$5-AM$8)-1))</x:f>
        <x:v>42.637715934870116</x:v>
      </x:c>
      <x:c r="AN203" s="13" t="n">
        <x:f>(((E203*'模块规划'!$D$10+G203*'模块规划'!$D$11+H203*'模块规划'!$D$13)*(1+'模块规划'!$G$14*H203)+(I203*'模块规划'!$D$15+J203*'模块规划'!$D$17+K203*'模块规划'!$D$16+L203*'模块规划'!$D$18))*(1+'模块规划'!$J$17*J203))*F203/(1-Q203)</x:f>
        <x:v>2067160.0954340724</x:v>
      </x:c>
      <x:c r="AO203" s="1" t="n">
        <x:f t="shared" si="211">AL203*AM203</x:f>
        <x:v>64277061.3350894</x:v>
      </x:c>
      <x:c r="AP203" s="1" t="n">
        <x:f>IF(AO203="","",INDEX('_曲线基线'!$A$3:$A$502,MIN(ROWS('_曲线基线'!$A$3:$A$502),COUNTIF('_曲线基线'!$E$3:$E$502,"&lt;"&amp;AO203)+1)))</x:f>
        <x:v>260</x:v>
      </x:c>
      <x:c r="AQ203" s="14" t="n">
        <x:f t="shared" si="212">IF(B203&lt;=2,1,IF(B203&lt;=6,2,IF(B203&lt;=9,3,IF(B203&lt;=19,4,5))))</x:f>
        <x:v>5</x:v>
      </x:c>
      <x:c r="AR203" s="10" t="n">
        <x:f t="shared" si="213">AN203*(1-Q203)/F203*$AS$3+U203*$AS$4+P203*$AS$5</x:f>
        <x:v>14495.614532280011</x:v>
      </x:c>
      <x:c r="AS203" s="15" t="n">
        <x:f t="shared" si="214">1+AH203*$AS$6+AI203*$AS$7+(AJ203-1)*$AS$8+($H$10*H203+$I$10*I203+$J$10*J203+$K$10*K203+$L$10*L203)*$AU$3*$AS$9+($H$10*H203+$I$10*I203+$J$10*J203+$K$10*K203+$L$10*L203)*$AU$4*$AS$10</x:f>
        <x:v>15.676875784660876</x:v>
      </x:c>
      <x:c r="AT203" s="16" t="n">
        <x:f t="shared" si="215">ROUND(AR203*AS203,0)</x:f>
        <x:v>227246</x:v>
      </x:c>
      <x:c r="AU203" s="16" t="n">
        <x:f t="shared" si="216">ROUND(AT203*F203,0)</x:f>
        <x:v>1136230</x:v>
      </x:c>
      <x:c r="AV203" t="n">
        <x:f>IF(AU203&gt;0,ROUND(AU203,-MAX(0,INT(LOG10(AU203))-2)),0)</x:f>
        <x:v>1140000</x:v>
      </x:c>
    </x:row>
    <x:row r="204" customHeight="1">
      <x:c r="A204" s="1" t="str">
        <x:f>IFERROR(XLOOKUP(B204,'_曲线基线'!$G$3:$G$107,'_曲线基线'!$J$3:$J$107,""),"")</x:f>
      </x:c>
      <x:c r="B204" s="1" t="n">
        <x:v>193</x:v>
      </x:c>
      <x:c r="C204" s="1" t="n">
        <x:f t="shared" si="255">C189+1</x:f>
        <x:v>14</x:v>
      </x:c>
      <x:c r="D204" s="1" t="n">
        <x:f t="shared" si="256">D189</x:f>
        <x:v>4</x:v>
      </x:c>
      <x:c r="E204" s="1" t="n">
        <x:f t="shared" ref="E204:E267" si="282">IF($B204&lt;E$8,0,E$3+(E$4-E$3)*(POWER(E$5,$B204-E$8)-1)/(POWER(E$5,$C$5-E$8)-1))</x:f>
        <x:v>1</x:v>
      </x:c>
      <x:c r="F204" s="10" t="n">
        <x:f t="shared" ref="F204:F267" si="283">1+IF(B204&lt;3,0,MIN(1,(B204-2)/4))+IF(B204&lt;7,0,MIN(1,(B204-6)/3))+IF(B204&lt;10,0,MIN(1,(B204-9)/5))+IF(B204&lt;20,0,MIN(1,(B204-19)/10))</x:f>
        <x:v>5</x:v>
      </x:c>
      <x:c r="G204" s="11" t="n">
        <x:f t="shared" ref="G204:L204" si="284">'玩家战力_节点'!G204</x:f>
        <x:v>0.7918777723141837</x:v>
      </x:c>
      <x:c r="H204" s="11" t="n">
        <x:f t="shared" si="284">'玩家战力_节点'!H204</x:f>
        <x:v>0.6175763717988068</x:v>
      </x:c>
      <x:c r="I204" s="11" t="n">
        <x:f t="shared" si="284">'玩家战力_节点'!I204</x:f>
        <x:v>0.5364485600124835</x:v>
      </x:c>
      <x:c r="J204" s="11" t="n">
        <x:f t="shared" si="284">'玩家战力_节点'!J204</x:f>
        <x:v>0.510108425530556</x:v>
      </x:c>
      <x:c r="K204" s="11" t="n">
        <x:f t="shared" si="284">'玩家战力_节点'!K204</x:f>
        <x:v>0.49745647094646445</x:v>
      </x:c>
      <x:c r="L204" s="11" t="n">
        <x:f t="shared" si="284">'玩家战力_节点'!L204</x:f>
        <x:v>0.6134474786373151</x:v>
      </x:c>
      <x:c r="M204" s="2" t="n">
        <x:f>E204*'模块规划'!$F$10+G204*'模块规划'!$F$11+H204*'模块规划'!$F$13</x:f>
        <x:v>4801.013307108082</x:v>
      </x:c>
      <x:c r="N204" s="2" t="n">
        <x:f>I204*'模块规划'!$F$15+J204*'模块规划'!$F$17+K204*'模块规划'!$F$16+L204*'模块规划'!$F$18</x:f>
        <x:v>15444.64895427079</x:v>
      </x:c>
      <x:c r="O204" s="2" t="n">
        <x:f t="shared" ref="O204:O267" si="285">1+O$9*SUMPRODUCT($H$10:$L$10,H204:L204)/SUM($H$10:$L$10)</x:f>
        <x:v>3.033657828642672</x:v>
      </x:c>
      <x:c r="P204" s="12" t="n">
        <x:f t="shared" ref="P204:P267" si="286">M204*O204+N204</x:f>
        <x:v>30009.28055879687</x:v>
      </x:c>
      <x:c r="Q204" s="7" t="n">
        <x:f>P204/(P204+'_曲线基线'!$L$2)</x:f>
        <x:v>0.5556319256304008</x:v>
      </x:c>
      <x:c r="R204" s="2" t="n">
        <x:f>E204*'模块规划'!$E$10+G204*'模块规划'!$E$11+H204*'模块规划'!$E$13</x:f>
        <x:v>7201.519960662123</x:v>
      </x:c>
      <x:c r="S204" s="2" t="n">
        <x:f>I204*'模块规划'!$E$15+J204*'模块规划'!$E$17+K204*'模块规划'!$E$16+L204*'模块规划'!$E$18</x:f>
        <x:v>23166.973431406186</x:v>
      </x:c>
      <x:c r="T204" s="2" t="n">
        <x:f t="shared" ref="T204:T267" si="287">1+T$9*SUMPRODUCT($H$10:$L$10,H204:L204)/SUM($H$10:$L$10)</x:f>
        <x:v>3.033657828642672</x:v>
      </x:c>
      <x:c r="U204" s="12" t="n">
        <x:f t="shared" ref="U204:U267" si="288">R204*T204+S204</x:f>
        <x:v>45013.92083819531</x:v>
      </x:c>
      <x:c r="V204" s="2" t="n">
        <x:f t="shared" ref="V204:V267" si="289">V$8+(V$9-V$8)*H204</x:f>
        <x:v>0.885272911539642</x:v>
      </x:c>
      <x:c r="W204" s="2" t="n">
        <x:f t="shared" ref="W204:W267" si="290">IF(B204&lt;$H$8,0,W$8+(W$9-W$8)*H204)</x:f>
        <x:v>0.2470305487195227</x:v>
      </x:c>
      <x:c r="X204" s="2" t="n">
        <x:f t="shared" ref="X204:X267" si="291">X$8+(X$9-X$8)*H204</x:f>
        <x:v>0.4448335022446719</x:v>
      </x:c>
      <x:c r="Y204" s="2" t="n">
        <x:f t="shared" ref="Y204:Y267" si="292">Y$8+(Y$9-Y$8)*G204</x:f>
        <x:v>1</x:v>
      </x:c>
      <x:c r="Z204" s="2" t="n">
        <x:f t="shared" ref="Z204:Z267" si="293">Z$8+(Z$9-Z$8)*H204</x:f>
        <x:v>1</x:v>
      </x:c>
      <x:c r="AA204" s="2" t="n">
        <x:f t="shared" ref="AA204:AA267" si="294">AA$8+(AA$9-AA$8)*I204</x:f>
        <x:v>1</x:v>
      </x:c>
      <x:c r="AB204" s="2" t="n">
        <x:f t="shared" ref="AB204:AB267" si="295">AB$8+(AB$9-AB$8)*J204</x:f>
        <x:v>1</x:v>
      </x:c>
      <x:c r="AC204" s="2" t="n">
        <x:f t="shared" ref="AC204:AC267" si="296">AC$8+(AC$9-AC$8)*MAX(K204,L204)</x:f>
        <x:v>1</x:v>
      </x:c>
      <x:c r="AD204" s="1" t="n">
        <x:f t="shared" ref="AD204:AD267" si="297">(V204*AE204+W204*AF204+X204*AG204)*PRODUCT(Y204:AC204)</x:f>
        <x:v>1.7629750947257916</x:v>
      </x:c>
      <x:c r="AE204" s="2" t="n">
        <x:f t="shared" ref="AE204:AE267" si="298">1+AE$9*($H$10*H204+$I$10*I204+$J$10*J204+$K$10*K204+$L$10*L204)</x:f>
        <x:v>1</x:v>
      </x:c>
      <x:c r="AF204" s="2" t="n">
        <x:f t="shared" ref="AF204:AF267" si="299">1+AF$9*($H$10*H204+$I$10*I204+$J$10*J204+$K$10*K204+$L$10*L204)</x:f>
        <x:v>1.1794888286008514</x:v>
      </x:c>
      <x:c r="AG204" s="2" t="n">
        <x:f t="shared" ref="AG204:AG267" si="300">1+AG$9*($H$10*H204+$I$10*I204+$J$10*J204+$K$10*K204+$L$10*L204)</x:f>
        <x:v>1.3180940906870668</x:v>
      </x:c>
      <x:c r="AH204" s="2" t="n">
        <x:f>MIN(1,'_曲线基线'!$L$3+AH$9*($H$10*H204+$I$10*I204+$J$10*J204+$K$10*K204+$L$10*L204))</x:f>
        <x:v>0.45833708506693643</x:v>
      </x:c>
      <x:c r="AI204" s="2" t="n">
        <x:f>'_曲线基线'!$L$4+AI$9*($H$10*H204+$I$10*I204+$J$10*J204+$K$10*K204+$L$10*L204)</x:f>
        <x:v>3.1375104512578944</x:v>
      </x:c>
      <x:c r="AJ204" s="2" t="n">
        <x:f t="shared" ref="AJ204:AJ267" si="301">1+AJ$9*($H$10*H204+$I$10*I204+$J$10*J204+$K$10*K204+$L$10*L204)</x:f>
        <x:v>1.9333419087244264</x:v>
      </x:c>
      <x:c r="AK204" s="1" t="n">
        <x:f t="shared" ref="AK204:AK267" si="302">(1+AH204*(AI204-1))*AJ204</x:f>
        <x:v>3.8274375751284015</x:v>
      </x:c>
      <x:c r="AL204" s="1" t="n">
        <x:f t="shared" ref="AL204:AL267" si="303">U204*AD204*AK204*F204</x:f>
        <x:v>1518697.0189600533</x:v>
      </x:c>
      <x:c r="AM204" s="13" t="n">
        <x:f t="shared" ref="AM204:AM267" si="304">IF($B204&lt;AM$8,0,AM$3+(AM$4-AM$3)*(POWER(AM$5,$B204-AM$8)-1)/(POWER(AM$5,$C$5-AM$8)-1))</x:f>
        <x:v>42.72751773414068</x:v>
      </x:c>
      <x:c r="AN204" s="13" t="n">
        <x:f>(((E204*'模块规划'!$D$10+G204*'模块规划'!$D$11+H204*'模块规划'!$D$13)*(1+'模块规划'!$G$14*H204)+(I204*'模块规划'!$D$15+J204*'模块规划'!$D$17+K204*'模块规划'!$D$16+L204*'模块规划'!$D$18))*(1+'模块规划'!$J$17*J204))*F204/(1-Q204)</x:f>
        <x:v>2078265.8574642278</x:v>
      </x:c>
      <x:c r="AO204" s="1" t="n">
        <x:f t="shared" ref="AO204:AO267" si="305">AL204*AM204</x:f>
        <x:v>64890153.81040227</x:v>
      </x:c>
      <x:c r="AP204" s="1" t="n">
        <x:f>IF(AO204="","",INDEX('_曲线基线'!$A$3:$A$502,MIN(ROWS('_曲线基线'!$A$3:$A$502),COUNTIF('_曲线基线'!$E$3:$E$502,"&lt;"&amp;AO204)+1)))</x:f>
        <x:v>260</x:v>
      </x:c>
      <x:c r="AQ204" s="14" t="n">
        <x:f t="shared" ref="AQ204:AQ267" si="306">IF(B204&lt;=2,1,IF(B204&lt;=6,2,IF(B204&lt;=9,3,IF(B204&lt;=19,4,5))))</x:f>
        <x:v>5</x:v>
      </x:c>
      <x:c r="AR204" s="10" t="n">
        <x:f t="shared" ref="AR204:AR267" si="307">AN204*(1-Q204)/F204*$AS$3+U204*$AS$4+P204*$AS$5</x:f>
        <x:v>14543.874150295838</x:v>
      </x:c>
      <x:c r="AS204" s="15" t="n">
        <x:f t="shared" ref="AS204:AS267" si="308">1+AH204*$AS$6+AI204*$AS$7+(AJ204-1)*$AS$8+($H$10*H204+$I$10*I204+$J$10*J204+$K$10*K204+$L$10*L204)*$AU$3*$AS$9+($H$10*H204+$I$10*I204+$J$10*J204+$K$10*K204+$L$10*L204)*$AU$4*$AS$10</x:f>
        <x:v>15.706241453082356</x:v>
      </x:c>
      <x:c r="AT204" s="16" t="n">
        <x:f t="shared" ref="AT204:AT267" si="309">ROUND(AR204*AS204,0)</x:f>
        <x:v>228430</x:v>
      </x:c>
      <x:c r="AU204" s="16" t="n">
        <x:f t="shared" ref="AU204:AU267" si="310">ROUND(AT204*F204,0)</x:f>
        <x:v>1142150</x:v>
      </x:c>
      <x:c r="AV204" t="n">
        <x:f>IF(AU204&gt;0,ROUND(AU204,-MAX(0,INT(LOG10(AU204))-2)),0)</x:f>
        <x:v>1140000</x:v>
      </x:c>
    </x:row>
    <x:row r="205" customHeight="1">
      <x:c r="A205" s="1" t="str">
        <x:f>IFERROR(XLOOKUP(B205,'_曲线基线'!$G$3:$G$107,'_曲线基线'!$J$3:$J$107,""),"")</x:f>
      </x:c>
      <x:c r="B205" s="1" t="n">
        <x:v>194</x:v>
      </x:c>
      <x:c r="C205" s="1" t="n">
        <x:f t="shared" si="255">C190+1</x:f>
        <x:v>14</x:v>
      </x:c>
      <x:c r="D205" s="1" t="n">
        <x:f t="shared" si="256">D190</x:f>
        <x:v>5</x:v>
      </x:c>
      <x:c r="E205" s="1" t="n">
        <x:f t="shared" si="282">IF($B205&lt;E$8,0,E$3+(E$4-E$3)*(POWER(E$5,$B205-E$8)-1)/(POWER(E$5,$C$5-E$8)-1))</x:f>
        <x:v>1</x:v>
      </x:c>
      <x:c r="F205" s="10" t="n">
        <x:f t="shared" si="283">1+IF(B205&lt;3,0,MIN(1,(B205-2)/4))+IF(B205&lt;7,0,MIN(1,(B205-6)/3))+IF(B205&lt;10,0,MIN(1,(B205-9)/5))+IF(B205&lt;20,0,MIN(1,(B205-19)/10))</x:f>
        <x:v>5</x:v>
      </x:c>
      <x:c r="G205" s="11" t="n">
        <x:f t="shared" ref="G205:L205" si="311">'玩家战力_节点'!G205</x:f>
        <x:v>0.7933461793904881</x:v>
      </x:c>
      <x:c r="H205" s="11" t="n">
        <x:f t="shared" si="311">'玩家战力_节点'!H205</x:f>
        <x:v>0.6186673947161866</x:v>
      </x:c>
      <x:c r="I205" s="11" t="n">
        <x:f t="shared" si="311">'玩家战力_节点'!I205</x:f>
        <x:v>0.5381098848069681</x:v>
      </x:c>
      <x:c r="J205" s="11" t="n">
        <x:f t="shared" si="311">'玩家战力_节点'!J205</x:f>
        <x:v>0.5113249741040131</x:v>
      </x:c>
      <x:c r="K205" s="11" t="n">
        <x:f t="shared" si="311">'玩家战力_节点'!K205</x:f>
        <x:v>0.49994591468245264</x:v>
      </x:c>
      <x:c r="L205" s="11" t="n">
        <x:f t="shared" si="311">'玩家战力_节点'!L205</x:f>
        <x:v>0.6146126670332562</x:v>
      </x:c>
      <x:c r="M205" s="2" t="n">
        <x:f>E205*'模块规划'!$F$10+G205*'模块规划'!$F$11+H205*'模块规划'!$F$13</x:f>
        <x:v>4808.061661074344</x:v>
      </x:c>
      <x:c r="N205" s="2" t="n">
        <x:f>I205*'模块规划'!$F$15+J205*'模块规划'!$F$17+K205*'模块规划'!$F$16+L205*'模块规划'!$F$18</x:f>
        <x:v>15490.867642756873</x:v>
      </x:c>
      <x:c r="O205" s="2" t="n">
        <x:f t="shared" si="285">1+O$9*SUMPRODUCT($H$10:$L$10,H205:L205)/SUM($H$10:$L$10)</x:f>
        <x:v>3.0392262768160654</x:v>
      </x:c>
      <x:c r="P205" s="12" t="n">
        <x:f t="shared" si="286">M205*O205+N205</x:f>
        <x:v>30103.654983645916</x:v>
      </x:c>
      <x:c r="Q205" s="7" t="n">
        <x:f>P205/(P205+'_曲线基线'!$L$2)</x:f>
        <x:v>0.5564070485209446</x:v>
      </x:c>
      <x:c r="R205" s="2" t="n">
        <x:f>E205*'模块规划'!$E$10+G205*'模块规划'!$E$11+H205*'模块规划'!$E$13</x:f>
        <x:v>7212.092491611515</x:v>
      </x:c>
      <x:c r="S205" s="2" t="n">
        <x:f>I205*'模块规划'!$E$15+J205*'模块规划'!$E$17+K205*'模块规划'!$E$16+L205*'模块规划'!$E$18</x:f>
        <x:v>23236.30146413531</x:v>
      </x:c>
      <x:c r="T205" s="2" t="n">
        <x:f t="shared" si="287">1+T$9*SUMPRODUCT($H$10:$L$10,H205:L205)/SUM($H$10:$L$10)</x:f>
        <x:v>3.0392262768160654</x:v>
      </x:c>
      <x:c r="U205" s="12" t="n">
        <x:f t="shared" si="288">R205*T205+S205</x:f>
        <x:v>45155.482475468874</x:v>
      </x:c>
      <x:c r="V205" s="2" t="n">
        <x:f t="shared" si="289">V$8+(V$9-V$8)*H205</x:f>
        <x:v>0.8856002184148559</x:v>
      </x:c>
      <x:c r="W205" s="2" t="n">
        <x:f t="shared" si="290">IF(B205&lt;$H$8,0,W$8+(W$9-W$8)*H205)</x:f>
        <x:v>0.24746695788647466</x:v>
      </x:c>
      <x:c r="X205" s="2" t="n">
        <x:f t="shared" si="291">X$8+(X$9-X$8)*H205</x:f>
        <x:v>0.44513353354695134</x:v>
      </x:c>
      <x:c r="Y205" s="2" t="n">
        <x:f t="shared" si="292">Y$8+(Y$9-Y$8)*G205</x:f>
        <x:v>1</x:v>
      </x:c>
      <x:c r="Z205" s="2" t="n">
        <x:f t="shared" si="293">Z$8+(Z$9-Z$8)*H205</x:f>
        <x:v>1</x:v>
      </x:c>
      <x:c r="AA205" s="2" t="n">
        <x:f t="shared" si="294">AA$8+(AA$9-AA$8)*I205</x:f>
        <x:v>1</x:v>
      </x:c>
      <x:c r="AB205" s="2" t="n">
        <x:f t="shared" si="295">AB$8+(AB$9-AB$8)*J205</x:f>
        <x:v>1</x:v>
      </x:c>
      <x:c r="AC205" s="2" t="n">
        <x:f t="shared" si="296">AC$8+(AC$9-AC$8)*MAX(K205,L205)</x:f>
        <x:v>1</x:v>
      </x:c>
      <x:c r="AD205" s="1" t="n">
        <x:f t="shared" si="297">(V205*AE205+W205*AF205+X205*AG205)*PRODUCT(Y205:AC205)</x:f>
        <x:v>1.7647219382128143</x:v>
      </x:c>
      <x:c r="AE205" s="2" t="n">
        <x:f t="shared" si="298">1+AE$9*($H$10*H205+$I$10*I205+$J$10*J205+$K$10*K205+$L$10*L205)</x:f>
        <x:v>1</x:v>
      </x:c>
      <x:c r="AF205" s="2" t="n">
        <x:f t="shared" si="299">1+AF$9*($H$10*H205+$I$10*I205+$J$10*J205+$K$10*K205+$L$10*L205)</x:f>
        <x:v>1.1799802948768836</x:v>
      </x:c>
      <x:c r="AG205" s="2" t="n">
        <x:f t="shared" si="300">1+AG$9*($H$10*H205+$I$10*I205+$J$10*J205+$K$10*K205+$L$10*L205)</x:f>
        <x:v>1.318965078142924</x:v>
      </x:c>
      <x:c r="AH205" s="2" t="n">
        <x:f>MIN(1,'_曲线基线'!$L$3+AH$9*($H$10*H205+$I$10*I205+$J$10*J205+$K$10*K205+$L$10*L205))</x:f>
        <x:v>0.45945517084490983</x:v>
      </x:c>
      <x:c r="AI205" s="2" t="n">
        <x:f>'_曲线基线'!$L$4+AI$9*($H$10*H205+$I$10*I205+$J$10*J205+$K$10*K205+$L$10*L205)</x:f>
        <x:v>3.140625118782249</x:v>
      </x:c>
      <x:c r="AJ205" s="2" t="n">
        <x:f t="shared" si="301">1+AJ$9*($H$10*H205+$I$10*I205+$J$10*J205+$K$10*K205+$L$10*L205)</x:f>
        <x:v>1.9358975333597939</x:v>
      </x:c>
      <x:c r="AK205" s="1" t="n">
        <x:f t="shared" si="302">(1+AH205*(AI205-1))*AJ205</x:f>
        <x:v>3.8398939526701423</x:v>
      </x:c>
      <x:c r="AL205" s="1" t="n">
        <x:f t="shared" si="303">U205*AD205*AK205*F205</x:f>
        <x:v>1529945.661757613</x:v>
      </x:c>
      <x:c r="AM205" s="13" t="n">
        <x:f t="shared" si="304">IF($B205&lt;AM$8,0,AM$3+(AM$4-AM$3)*(POWER(AM$5,$B205-AM$8)-1)/(POWER(AM$5,$C$5-AM$8)-1))</x:f>
        <x:v>42.81821755140396</x:v>
      </x:c>
      <x:c r="AN205" s="13" t="n">
        <x:f>(((E205*'模块规划'!$D$10+G205*'模块规划'!$D$11+H205*'模块规划'!$D$13)*(1+'模块规划'!$G$14*H205)+(I205*'模块规划'!$D$15+J205*'模块规划'!$D$17+K205*'模块规划'!$D$16+L205*'模块规划'!$D$18))*(1+'模块规划'!$J$17*J205))*F205/(1-Q205)</x:f>
        <x:v>2089412.249079478</x:v>
      </x:c>
      <x:c r="AO205" s="1" t="n">
        <x:f t="shared" si="305">AL205*AM205</x:f>
        <x:v>65509546.18696418</x:v>
      </x:c>
      <x:c r="AP205" s="1" t="n">
        <x:f>IF(AO205="","",INDEX('_曲线基线'!$A$3:$A$502,MIN(ROWS('_曲线基线'!$A$3:$A$502),COUNTIF('_曲线基线'!$E$3:$E$502,"&lt;"&amp;AO205)+1)))</x:f>
        <x:v>261</x:v>
      </x:c>
      <x:c r="AQ205" s="14" t="n">
        <x:f t="shared" si="306">IF(B205&lt;=2,1,IF(B205&lt;=6,2,IF(B205&lt;=9,3,IF(B205&lt;=19,4,5))))</x:f>
        <x:v>5</x:v>
      </x:c>
      <x:c r="AR205" s="10" t="n">
        <x:f t="shared" si="307">AN205*(1-Q205)/F205*$AS$3+U205*$AS$4+P205*$AS$5</x:f>
        <x:v>14592.187773647716</x:v>
      </x:c>
      <x:c r="AS205" s="15" t="n">
        <x:f t="shared" si="308">1+AH205*$AS$6+AI205*$AS$7+(AJ205-1)*$AS$8+($H$10*H205+$I$10*I205+$J$10*J205+$K$10*K205+$L$10*L205)*$AU$3*$AS$9+($H$10*H205+$I$10*I205+$J$10*J205+$K$10*K205+$L$10*L205)*$AU$4*$AS$10</x:f>
        <x:v>15.73560712150384</x:v>
      </x:c>
      <x:c r="AT205" s="16" t="n">
        <x:f t="shared" si="309">ROUND(AR205*AS205,0)</x:f>
        <x:v>229617</x:v>
      </x:c>
      <x:c r="AU205" s="16" t="n">
        <x:f t="shared" si="310">ROUND(AT205*F205,0)</x:f>
        <x:v>1148085</x:v>
      </x:c>
      <x:c r="AV205" t="n">
        <x:f>IF(AU205&gt;0,ROUND(AU205,-MAX(0,INT(LOG10(AU205))-2)),0)</x:f>
        <x:v>1150000</x:v>
      </x:c>
    </x:row>
    <x:row r="206" customHeight="1">
      <x:c r="A206" s="1" t="str">
        <x:f>IFERROR(XLOOKUP(B206,'_曲线基线'!$G$3:$G$107,'_曲线基线'!$J$3:$J$107,""),"")</x:f>
      </x:c>
      <x:c r="B206" s="1" t="n">
        <x:v>195</x:v>
      </x:c>
      <x:c r="C206" s="1" t="n">
        <x:f t="shared" si="255">C191+1</x:f>
        <x:v>14</x:v>
      </x:c>
      <x:c r="D206" s="1" t="n">
        <x:f t="shared" si="256">D191</x:f>
        <x:v>6</x:v>
      </x:c>
      <x:c r="E206" s="1" t="n">
        <x:f t="shared" si="282">IF($B206&lt;E$8,0,E$3+(E$4-E$3)*(POWER(E$5,$B206-E$8)-1)/(POWER(E$5,$C$5-E$8)-1))</x:f>
        <x:v>1</x:v>
      </x:c>
      <x:c r="F206" s="10" t="n">
        <x:f t="shared" si="283">1+IF(B206&lt;3,0,MIN(1,(B206-2)/4))+IF(B206&lt;7,0,MIN(1,(B206-6)/3))+IF(B206&lt;10,0,MIN(1,(B206-9)/5))+IF(B206&lt;20,0,MIN(1,(B206-19)/10))</x:f>
        <x:v>5</x:v>
      </x:c>
      <x:c r="G206" s="11" t="n">
        <x:f t="shared" ref="G206:L206" si="312">'玩家战力_节点'!G206</x:f>
        <x:v>0.7948145864667926</x:v>
      </x:c>
      <x:c r="H206" s="11" t="n">
        <x:f t="shared" si="312">'玩家战力_节点'!H206</x:f>
        <x:v>0.6197584176335663</x:v>
      </x:c>
      <x:c r="I206" s="11" t="n">
        <x:f t="shared" si="312">'玩家战力_节点'!I206</x:f>
        <x:v>0.5397712096014526</x:v>
      </x:c>
      <x:c r="J206" s="11" t="n">
        <x:f t="shared" si="312">'玩家战力_节点'!J206</x:f>
        <x:v>0.5125415226774701</x:v>
      </x:c>
      <x:c r="K206" s="11" t="n">
        <x:f t="shared" si="312">'玩家战力_节点'!K206</x:f>
        <x:v>0.5024353584184409</x:v>
      </x:c>
      <x:c r="L206" s="11" t="n">
        <x:f t="shared" si="312">'玩家战力_节点'!L206</x:f>
        <x:v>0.6157778554291974</x:v>
      </x:c>
      <x:c r="M206" s="2" t="n">
        <x:f>E206*'模块规划'!$F$10+G206*'模块规划'!$F$11+H206*'模块规划'!$F$13</x:f>
        <x:v>4815.110015040605</x:v>
      </x:c>
      <x:c r="N206" s="2" t="n">
        <x:f>I206*'模块规划'!$F$15+J206*'模块规划'!$F$17+K206*'模块规划'!$F$16+L206*'模块规划'!$F$18</x:f>
        <x:v>15537.086331242954</x:v>
      </x:c>
      <x:c r="O206" s="2" t="n">
        <x:f t="shared" si="285">1+O$9*SUMPRODUCT($H$10:$L$10,H206:L206)/SUM($H$10:$L$10)</x:f>
        <x:v>3.044794724989458</x:v>
      </x:c>
      <x:c r="P206" s="12" t="n">
        <x:f t="shared" si="286">M206*O206+N206</x:f>
        <x:v>30198.107905282493</x:v>
      </x:c>
      <x:c r="Q206" s="7" t="n">
        <x:f>P206/(P206+'_曲线基线'!$L$2)</x:f>
        <x:v>0.5571801133363771</x:v>
      </x:c>
      <x:c r="R206" s="2" t="n">
        <x:f>E206*'模块规划'!$E$10+G206*'模块规划'!$E$11+H206*'模块规划'!$E$13</x:f>
        <x:v>7222.665022560906</x:v>
      </x:c>
      <x:c r="S206" s="2" t="n">
        <x:f>I206*'模块规划'!$E$15+J206*'模块规划'!$E$17+K206*'模块规划'!$E$16+L206*'模块规划'!$E$18</x:f>
        <x:v>23305.629496864432</x:v>
      </x:c>
      <x:c r="T206" s="2" t="n">
        <x:f t="shared" si="287">1+T$9*SUMPRODUCT($H$10:$L$10,H206:L206)/SUM($H$10:$L$10)</x:f>
        <x:v>3.044794724989458</x:v>
      </x:c>
      <x:c r="U206" s="12" t="n">
        <x:f t="shared" si="288">R206*T206+S206</x:f>
        <x:v>45297.16185792374</x:v>
      </x:c>
      <x:c r="V206" s="2" t="n">
        <x:f t="shared" si="289">V$8+(V$9-V$8)*H206</x:f>
        <x:v>0.8859275252900699</x:v>
      </x:c>
      <x:c r="W206" s="2" t="n">
        <x:f t="shared" si="290">IF(B206&lt;$H$8,0,W$8+(W$9-W$8)*H206)</x:f>
        <x:v>0.24790336705342653</x:v>
      </x:c>
      <x:c r="X206" s="2" t="n">
        <x:f t="shared" si="291">X$8+(X$9-X$8)*H206</x:f>
        <x:v>0.4454335648492308</x:v>
      </x:c>
      <x:c r="Y206" s="2" t="n">
        <x:f t="shared" si="292">Y$8+(Y$9-Y$8)*G206</x:f>
        <x:v>1</x:v>
      </x:c>
      <x:c r="Z206" s="2" t="n">
        <x:f t="shared" si="293">Z$8+(Z$9-Z$8)*H206</x:f>
        <x:v>1</x:v>
      </x:c>
      <x:c r="AA206" s="2" t="n">
        <x:f t="shared" si="294">AA$8+(AA$9-AA$8)*I206</x:f>
        <x:v>1</x:v>
      </x:c>
      <x:c r="AB206" s="2" t="n">
        <x:f t="shared" si="295">AB$8+(AB$9-AB$8)*J206</x:f>
        <x:v>1</x:v>
      </x:c>
      <x:c r="AC206" s="2" t="n">
        <x:f t="shared" si="296">AC$8+(AC$9-AC$8)*MAX(K206,L206)</x:f>
        <x:v>1</x:v>
      </x:c>
      <x:c r="AD206" s="1" t="n">
        <x:f t="shared" si="297">(V206*AE206+W206*AF206+X206*AG206)*PRODUCT(Y206:AC206)</x:f>
        <x:v>1.7664697333076145</x:v>
      </x:c>
      <x:c r="AE206" s="2" t="n">
        <x:f t="shared" si="298">1+AE$9*($H$10*H206+$I$10*I206+$J$10*J206+$K$10*K206+$L$10*L206)</x:f>
        <x:v>1</x:v>
      </x:c>
      <x:c r="AF206" s="2" t="n">
        <x:f t="shared" si="299">1+AF$9*($H$10*H206+$I$10*I206+$J$10*J206+$K$10*K206+$L$10*L206)</x:f>
        <x:v>1.1804717611529159</x:v>
      </x:c>
      <x:c r="AG206" s="2" t="n">
        <x:f t="shared" si="300">1+AG$9*($H$10*H206+$I$10*I206+$J$10*J206+$K$10*K206+$L$10*L206)</x:f>
        <x:v>1.319836065598781</x:v>
      </x:c>
      <x:c r="AH206" s="2" t="n">
        <x:f>MIN(1,'_曲线基线'!$L$3+AH$9*($H$10*H206+$I$10*I206+$J$10*J206+$K$10*K206+$L$10*L206))</x:f>
        <x:v>0.4605732566228831</x:v>
      </x:c>
      <x:c r="AI206" s="2" t="n">
        <x:f>'_曲线基线'!$L$4+AI$9*($H$10*H206+$I$10*I206+$J$10*J206+$K$10*K206+$L$10*L206)</x:f>
        <x:v>3.143739786306603</x:v>
      </x:c>
      <x:c r="AJ206" s="2" t="n">
        <x:f t="shared" si="301">1+AJ$9*($H$10*H206+$I$10*I206+$J$10*J206+$K$10*K206+$L$10*L206)</x:f>
        <x:v>1.9384531579951614</x:v>
      </x:c>
      <x:c r="AK206" s="1" t="n">
        <x:f t="shared" si="302">(1+AH206*(AI206-1))*AJ206</x:f>
        <x:v>3.8523833613350456</x:v>
      </x:c>
      <x:c r="AL206" s="1" t="n">
        <x:f t="shared" si="303">U206*AD206*AK206*F206</x:f>
        <x:v>1541262.7954477023</x:v>
      </x:c>
      <x:c r="AM206" s="13" t="n">
        <x:f t="shared" si="304">IF($B206&lt;AM$8,0,AM$3+(AM$4-AM$3)*(POWER(AM$5,$B206-AM$8)-1)/(POWER(AM$5,$C$5-AM$8)-1))</x:f>
        <x:v>42.90982436683987</x:v>
      </x:c>
      <x:c r="AN206" s="13" t="n">
        <x:f>(((E206*'模块规划'!$D$10+G206*'模块规划'!$D$11+H206*'模块规划'!$D$13)*(1+'模块规划'!$G$14*H206)+(I206*'模块规划'!$D$15+J206*'模块规划'!$D$17+K206*'模块规划'!$D$16+L206*'模块规划'!$D$18))*(1+'模块规划'!$J$17*J206))*F206/(1-Q206)</x:f>
        <x:v>2100599.36629256</x:v>
      </x:c>
      <x:c r="AO206" s="1" t="n">
        <x:f t="shared" si="305">AL206*AM206</x:f>
        <x:v>66135315.85580555</x:v>
      </x:c>
      <x:c r="AP206" s="1" t="n">
        <x:f>IF(AO206="","",INDEX('_曲线基线'!$A$3:$A$502,MIN(ROWS('_曲线基线'!$A$3:$A$502),COUNTIF('_曲线基线'!$E$3:$E$502,"&lt;"&amp;AO206)+1)))</x:f>
        <x:v>262</x:v>
      </x:c>
      <x:c r="AQ206" s="14" t="n">
        <x:f t="shared" si="306">IF(B206&lt;=2,1,IF(B206&lt;=6,2,IF(B206&lt;=9,3,IF(B206&lt;=19,4,5))))</x:f>
        <x:v>5</x:v>
      </x:c>
      <x:c r="AR206" s="10" t="n">
        <x:f t="shared" si="307">AN206*(1-Q206)/F206*$AS$3+U206*$AS$4+P206*$AS$5</x:f>
        <x:v>14640.555411428846</x:v>
      </x:c>
      <x:c r="AS206" s="15" t="n">
        <x:f t="shared" si="308">1+AH206*$AS$6+AI206*$AS$7+(AJ206-1)*$AS$8+($H$10*H206+$I$10*I206+$J$10*J206+$K$10*K206+$L$10*L206)*$AU$3*$AS$9+($H$10*H206+$I$10*I206+$J$10*J206+$K$10*K206+$L$10*L206)*$AU$4*$AS$10</x:f>
        <x:v>15.764972789925322</x:v>
      </x:c>
      <x:c r="AT206" s="16" t="n">
        <x:f t="shared" si="309">ROUND(AR206*AS206,0)</x:f>
        <x:v>230808</x:v>
      </x:c>
      <x:c r="AU206" s="16" t="n">
        <x:f t="shared" si="310">ROUND(AT206*F206,0)</x:f>
        <x:v>1154040</x:v>
      </x:c>
      <x:c r="AV206" t="n">
        <x:f>IF(AU206&gt;0,ROUND(AU206,-MAX(0,INT(LOG10(AU206))-2)),0)</x:f>
        <x:v>1150000</x:v>
      </x:c>
    </x:row>
    <x:row r="207" customHeight="1">
      <x:c r="A207" s="1" t="str">
        <x:f>IFERROR(XLOOKUP(B207,'_曲线基线'!$G$3:$G$107,'_曲线基线'!$J$3:$J$107,""),"")</x:f>
      </x:c>
      <x:c r="B207" s="1" t="n">
        <x:v>196</x:v>
      </x:c>
      <x:c r="C207" s="1" t="n">
        <x:f t="shared" si="255">C192+1</x:f>
        <x:v>14</x:v>
      </x:c>
      <x:c r="D207" s="1" t="n">
        <x:f t="shared" si="256">D192</x:f>
        <x:v>7</x:v>
      </x:c>
      <x:c r="E207" s="1" t="n">
        <x:f t="shared" si="282">IF($B207&lt;E$8,0,E$3+(E$4-E$3)*(POWER(E$5,$B207-E$8)-1)/(POWER(E$5,$C$5-E$8)-1))</x:f>
        <x:v>1</x:v>
      </x:c>
      <x:c r="F207" s="10" t="n">
        <x:f t="shared" si="283">1+IF(B207&lt;3,0,MIN(1,(B207-2)/4))+IF(B207&lt;7,0,MIN(1,(B207-6)/3))+IF(B207&lt;10,0,MIN(1,(B207-9)/5))+IF(B207&lt;20,0,MIN(1,(B207-19)/10))</x:f>
        <x:v>5</x:v>
      </x:c>
      <x:c r="G207" s="11" t="n">
        <x:f t="shared" ref="G207:L207" si="313">'玩家战力_节点'!G207</x:f>
        <x:v>0.7962829935430972</x:v>
      </x:c>
      <x:c r="H207" s="11" t="n">
        <x:f t="shared" si="313">'玩家战力_节点'!H207</x:f>
        <x:v>0.6208494405509462</x:v>
      </x:c>
      <x:c r="I207" s="11" t="n">
        <x:f t="shared" si="313">'玩家战力_节点'!I207</x:f>
        <x:v>0.5414325343959371</x:v>
      </x:c>
      <x:c r="J207" s="11" t="n">
        <x:f t="shared" si="313">'玩家战力_节点'!J207</x:f>
        <x:v>0.5137580712509272</x:v>
      </x:c>
      <x:c r="K207" s="11" t="n">
        <x:f t="shared" si="313">'玩家战力_节点'!K207</x:f>
        <x:v>0.5049248021544291</x:v>
      </x:c>
      <x:c r="L207" s="11" t="n">
        <x:f t="shared" si="313">'玩家战力_节点'!L207</x:f>
        <x:v>0.6169430438251385</x:v>
      </x:c>
      <x:c r="M207" s="2" t="n">
        <x:f>E207*'模块规划'!$F$10+G207*'模块规划'!$F$11+H207*'模块规划'!$F$13</x:f>
        <x:v>4822.158369006866</x:v>
      </x:c>
      <x:c r="N207" s="2" t="n">
        <x:f>I207*'模块规划'!$F$15+J207*'模块规划'!$F$17+K207*'模块规划'!$F$16+L207*'模块规划'!$F$18</x:f>
        <x:v>15583.30501972904</x:v>
      </x:c>
      <x:c r="O207" s="2" t="n">
        <x:f t="shared" si="285">1+O$9*SUMPRODUCT($H$10:$L$10,H207:L207)/SUM($H$10:$L$10)</x:f>
        <x:v>3.05036317316285</x:v>
      </x:c>
      <x:c r="P207" s="12" t="n">
        <x:f t="shared" si="286">M207*O207+N207</x:f>
        <x:v>30292.63932370662</x:v>
      </x:c>
      <x:c r="Q207" s="7" t="n">
        <x:f>P207/(P207+'_曲线基线'!$L$2)</x:f>
        <x:v>0.5579511274648878</x:v>
      </x:c>
      <x:c r="R207" s="2" t="n">
        <x:f>E207*'模块规划'!$E$10+G207*'模块规划'!$E$11+H207*'模块规划'!$E$13</x:f>
        <x:v>7233.237553510299</x:v>
      </x:c>
      <x:c r="S207" s="2" t="n">
        <x:f>I207*'模块规划'!$E$15+J207*'模块规划'!$E$17+K207*'模块规划'!$E$16+L207*'模块规划'!$E$18</x:f>
        <x:v>23374.957529593554</x:v>
      </x:c>
      <x:c r="T207" s="2" t="n">
        <x:f t="shared" si="287">1+T$9*SUMPRODUCT($H$10:$L$10,H207:L207)/SUM($H$10:$L$10)</x:f>
        <x:v>3.05036317316285</x:v>
      </x:c>
      <x:c r="U207" s="12" t="n">
        <x:f t="shared" si="288">R207*T207+S207</x:f>
        <x:v>45438.95898555992</x:v>
      </x:c>
      <x:c r="V207" s="2" t="n">
        <x:f t="shared" si="289">V$8+(V$9-V$8)*H207</x:f>
        <x:v>0.8862548321652839</x:v>
      </x:c>
      <x:c r="W207" s="2" t="n">
        <x:f t="shared" si="290">IF(B207&lt;$H$8,0,W$8+(W$9-W$8)*H207)</x:f>
        <x:v>0.24833977622037848</x:v>
      </x:c>
      <x:c r="X207" s="2" t="n">
        <x:f t="shared" si="291">X$8+(X$9-X$8)*H207</x:f>
        <x:v>0.4457335961515102</x:v>
      </x:c>
      <x:c r="Y207" s="2" t="n">
        <x:f t="shared" si="292">Y$8+(Y$9-Y$8)*G207</x:f>
        <x:v>1</x:v>
      </x:c>
      <x:c r="Z207" s="2" t="n">
        <x:f t="shared" si="293">Z$8+(Z$9-Z$8)*H207</x:f>
        <x:v>1</x:v>
      </x:c>
      <x:c r="AA207" s="2" t="n">
        <x:f t="shared" si="294">AA$8+(AA$9-AA$8)*I207</x:f>
        <x:v>1</x:v>
      </x:c>
      <x:c r="AB207" s="2" t="n">
        <x:f t="shared" si="295">AB$8+(AB$9-AB$8)*J207</x:f>
        <x:v>1</x:v>
      </x:c>
      <x:c r="AC207" s="2" t="n">
        <x:f t="shared" si="296">AC$8+(AC$9-AC$8)*MAX(K207,L207)</x:f>
        <x:v>1</x:v>
      </x:c>
      <x:c r="AD207" s="1" t="n">
        <x:f t="shared" si="297">(V207*AE207+W207*AF207+X207*AG207)*PRODUCT(Y207:AC207)</x:f>
        <x:v>1.768218480010192</x:v>
      </x:c>
      <x:c r="AE207" s="2" t="n">
        <x:f t="shared" si="298">1+AE$9*($H$10*H207+$I$10*I207+$J$10*J207+$K$10*K207+$L$10*L207)</x:f>
        <x:v>1</x:v>
      </x:c>
      <x:c r="AF207" s="2" t="n">
        <x:f t="shared" si="299">1+AF$9*($H$10*H207+$I$10*I207+$J$10*J207+$K$10*K207+$L$10*L207)</x:f>
        <x:v>1.180963227428948</x:v>
      </x:c>
      <x:c r="AG207" s="2" t="n">
        <x:f t="shared" si="300">1+AG$9*($H$10*H207+$I$10*I207+$J$10*J207+$K$10*K207+$L$10*L207)</x:f>
        <x:v>1.320707053054638</x:v>
      </x:c>
      <x:c r="AH207" s="2" t="n">
        <x:f>MIN(1,'_曲线基线'!$L$3+AH$9*($H$10*H207+$I$10*I207+$J$10*J207+$K$10*K207+$L$10*L207))</x:f>
        <x:v>0.4616913424008564</x:v>
      </x:c>
      <x:c r="AI207" s="2" t="n">
        <x:f>'_曲线基线'!$L$4+AI$9*($H$10*H207+$I$10*I207+$J$10*J207+$K$10*K207+$L$10*L207)</x:f>
        <x:v>3.146854453830957</x:v>
      </x:c>
      <x:c r="AJ207" s="2" t="n">
        <x:f t="shared" si="301">1+AJ$9*($H$10*H207+$I$10*I207+$J$10*J207+$K$10*K207+$L$10*L207)</x:f>
        <x:v>1.941008782630529</x:v>
      </x:c>
      <x:c r="AK207" s="1" t="n">
        <x:f t="shared" si="302">(1+AH207*(AI207-1))*AJ207</x:f>
        <x:v>3.864905854522359</x:v>
      </x:c>
      <x:c r="AL207" s="1" t="n">
        <x:f t="shared" si="303">U207*AD207*AK207*F207</x:f>
        <x:v>1552648.7640291036</x:v>
      </x:c>
      <x:c r="AM207" s="13" t="n">
        <x:f t="shared" si="304">IF($B207&lt;AM$8,0,AM$3+(AM$4-AM$3)*(POWER(AM$5,$B207-AM$8)-1)/(POWER(AM$5,$C$5-AM$8)-1))</x:f>
        <x:v>43.002347250430134</x:v>
      </x:c>
      <x:c r="AN207" s="13" t="n">
        <x:f>(((E207*'模块规划'!$D$10+G207*'模块规划'!$D$11+H207*'模块规划'!$D$13)*(1+'模块规划'!$G$14*H207)+(I207*'模块规划'!$D$15+J207*'模块规划'!$D$17+K207*'模块规划'!$D$16+L207*'模块规划'!$D$18))*(1+'模块规划'!$J$17*J207))*F207/(1-Q207)</x:f>
        <x:v>2111827.3052397096</x:v>
      </x:c>
      <x:c r="AO207" s="1" t="n">
        <x:f t="shared" si="305">AL207*AM207</x:f>
        <x:v>66767541.30873067</x:v>
      </x:c>
      <x:c r="AP207" s="1" t="n">
        <x:f>IF(AO207="","",INDEX('_曲线基线'!$A$3:$A$502,MIN(ROWS('_曲线基线'!$A$3:$A$502),COUNTIF('_曲线基线'!$E$3:$E$502,"&lt;"&amp;AO207)+1)))</x:f>
        <x:v>262</x:v>
      </x:c>
      <x:c r="AQ207" s="14" t="n">
        <x:f t="shared" si="306">IF(B207&lt;=2,1,IF(B207&lt;=6,2,IF(B207&lt;=9,3,IF(B207&lt;=19,4,5))))</x:f>
        <x:v>5</x:v>
      </x:c>
      <x:c r="AR207" s="10" t="n">
        <x:f t="shared" si="307">AN207*(1-Q207)/F207*$AS$3+U207*$AS$4+P207*$AS$5</x:f>
        <x:v>14688.977072732452</x:v>
      </x:c>
      <x:c r="AS207" s="15" t="n">
        <x:f t="shared" si="308">1+AH207*$AS$6+AI207*$AS$7+(AJ207-1)*$AS$8+($H$10*H207+$I$10*I207+$J$10*J207+$K$10*K207+$L$10*L207)*$AU$3*$AS$9+($H$10*H207+$I$10*I207+$J$10*J207+$K$10*K207+$L$10*L207)*$AU$4*$AS$10</x:f>
        <x:v>15.7943384583468</x:v>
      </x:c>
      <x:c r="AT207" s="16" t="n">
        <x:f t="shared" si="309">ROUND(AR207*AS207,0)</x:f>
        <x:v>232003</x:v>
      </x:c>
      <x:c r="AU207" s="16" t="n">
        <x:f t="shared" si="310">ROUND(AT207*F207,0)</x:f>
        <x:v>1160015</x:v>
      </x:c>
      <x:c r="AV207" t="n">
        <x:f>IF(AU207&gt;0,ROUND(AU207,-MAX(0,INT(LOG10(AU207))-2)),0)</x:f>
        <x:v>1160000</x:v>
      </x:c>
    </x:row>
    <x:row r="208" customHeight="1">
      <x:c r="A208" s="1" t="str">
        <x:f>IFERROR(XLOOKUP(B208,'_曲线基线'!$G$3:$G$107,'_曲线基线'!$J$3:$J$107,""),"")</x:f>
      </x:c>
      <x:c r="B208" s="1" t="n">
        <x:v>197</x:v>
      </x:c>
      <x:c r="C208" s="1" t="n">
        <x:f t="shared" si="255">C193+1</x:f>
        <x:v>14</x:v>
      </x:c>
      <x:c r="D208" s="1" t="n">
        <x:f t="shared" si="256">D193</x:f>
        <x:v>8</x:v>
      </x:c>
      <x:c r="E208" s="1" t="n">
        <x:f t="shared" si="282">IF($B208&lt;E$8,0,E$3+(E$4-E$3)*(POWER(E$5,$B208-E$8)-1)/(POWER(E$5,$C$5-E$8)-1))</x:f>
        <x:v>1</x:v>
      </x:c>
      <x:c r="F208" s="10" t="n">
        <x:f t="shared" si="283">1+IF(B208&lt;3,0,MIN(1,(B208-2)/4))+IF(B208&lt;7,0,MIN(1,(B208-6)/3))+IF(B208&lt;10,0,MIN(1,(B208-9)/5))+IF(B208&lt;20,0,MIN(1,(B208-19)/10))</x:f>
        <x:v>5</x:v>
      </x:c>
      <x:c r="G208" s="11" t="n">
        <x:f t="shared" ref="G208:L208" si="314">'玩家战力_节点'!G208</x:f>
        <x:v>0.7977514006194016</x:v>
      </x:c>
      <x:c r="H208" s="11" t="n">
        <x:f t="shared" si="314">'玩家战力_节点'!H208</x:f>
        <x:v>0.621940463468326</x:v>
      </x:c>
      <x:c r="I208" s="11" t="n">
        <x:f t="shared" si="314">'玩家战力_节点'!I208</x:f>
        <x:v>0.5430938591904216</x:v>
      </x:c>
      <x:c r="J208" s="11" t="n">
        <x:f t="shared" si="314">'玩家战力_节点'!J208</x:f>
        <x:v>0.5149746198243842</x:v>
      </x:c>
      <x:c r="K208" s="11" t="n">
        <x:f t="shared" si="314">'玩家战力_节点'!K208</x:f>
        <x:v>0.5074142458904174</x:v>
      </x:c>
      <x:c r="L208" s="11" t="n">
        <x:f t="shared" si="314">'玩家战力_节点'!L208</x:f>
        <x:v>0.6181082322210798</x:v>
      </x:c>
      <x:c r="M208" s="2" t="n">
        <x:f>E208*'模块规划'!$F$10+G208*'模块规划'!$F$11+H208*'模块规划'!$F$13</x:f>
        <x:v>4829.206722973127</x:v>
      </x:c>
      <x:c r="N208" s="2" t="n">
        <x:f>I208*'模块规划'!$F$15+J208*'模块规划'!$F$17+K208*'模块规划'!$F$16+L208*'模块规划'!$F$18</x:f>
        <x:v>15629.523708215118</x:v>
      </x:c>
      <x:c r="O208" s="2" t="n">
        <x:f t="shared" si="285">1+O$9*SUMPRODUCT($H$10:$L$10,H208:L208)/SUM($H$10:$L$10)</x:f>
        <x:v>3.055931621336243</x:v>
      </x:c>
      <x:c r="P208" s="12" t="n">
        <x:f t="shared" si="286">M208*O208+N208</x:f>
        <x:v>30387.249238918273</x:v>
      </x:c>
      <x:c r="Q208" s="7" t="n">
        <x:f>P208/(P208+'_曲线基线'!$L$2)</x:f>
        <x:v>0.5587200982610802</x:v>
      </x:c>
      <x:c r="R208" s="2" t="n">
        <x:f>E208*'模块规划'!$E$10+G208*'模块规划'!$E$11+H208*'模块规划'!$E$13</x:f>
        <x:v>7243.810084459692</x:v>
      </x:c>
      <x:c r="S208" s="2" t="n">
        <x:f>I208*'模块规划'!$E$15+J208*'模块规划'!$E$17+K208*'模块规划'!$E$16+L208*'模块规划'!$E$18</x:f>
        <x:v>23444.285562322675</x:v>
      </x:c>
      <x:c r="T208" s="2" t="n">
        <x:f t="shared" si="287">1+T$9*SUMPRODUCT($H$10:$L$10,H208:L208)/SUM($H$10:$L$10)</x:f>
        <x:v>3.055931621336243</x:v>
      </x:c>
      <x:c r="U208" s="12" t="n">
        <x:f t="shared" si="288">R208*T208+S208</x:f>
        <x:v>45580.87385837741</x:v>
      </x:c>
      <x:c r="V208" s="2" t="n">
        <x:f t="shared" si="289">V$8+(V$9-V$8)*H208</x:f>
        <x:v>0.8865821390404978</x:v>
      </x:c>
      <x:c r="W208" s="2" t="n">
        <x:f t="shared" si="290">IF(B208&lt;$H$8,0,W$8+(W$9-W$8)*H208)</x:f>
        <x:v>0.2487761853873304</x:v>
      </x:c>
      <x:c r="X208" s="2" t="n">
        <x:f t="shared" si="291">X$8+(X$9-X$8)*H208</x:f>
        <x:v>0.4460336274537897</x:v>
      </x:c>
      <x:c r="Y208" s="2" t="n">
        <x:f t="shared" si="292">Y$8+(Y$9-Y$8)*G208</x:f>
        <x:v>1</x:v>
      </x:c>
      <x:c r="Z208" s="2" t="n">
        <x:f t="shared" si="293">Z$8+(Z$9-Z$8)*H208</x:f>
        <x:v>1</x:v>
      </x:c>
      <x:c r="AA208" s="2" t="n">
        <x:f t="shared" si="294">AA$8+(AA$9-AA$8)*I208</x:f>
        <x:v>1</x:v>
      </x:c>
      <x:c r="AB208" s="2" t="n">
        <x:f t="shared" si="295">AB$8+(AB$9-AB$8)*J208</x:f>
        <x:v>1</x:v>
      </x:c>
      <x:c r="AC208" s="2" t="n">
        <x:f t="shared" si="296">AC$8+(AC$9-AC$8)*MAX(K208,L208)</x:f>
        <x:v>1</x:v>
      </x:c>
      <x:c r="AD208" s="1" t="n">
        <x:f t="shared" si="297">(V208*AE208+W208*AF208+X208*AG208)*PRODUCT(Y208:AC208)</x:f>
        <x:v>1.7699681783205472</x:v>
      </x:c>
      <x:c r="AE208" s="2" t="n">
        <x:f t="shared" si="298">1+AE$9*($H$10*H208+$I$10*I208+$J$10*J208+$K$10*K208+$L$10*L208)</x:f>
        <x:v>1</x:v>
      </x:c>
      <x:c r="AF208" s="2" t="n">
        <x:f t="shared" si="299">1+AF$9*($H$10*H208+$I$10*I208+$J$10*J208+$K$10*K208+$L$10*L208)</x:f>
        <x:v>1.1814546937049804</x:v>
      </x:c>
      <x:c r="AG208" s="2" t="n">
        <x:f t="shared" si="300">1+AG$9*($H$10*H208+$I$10*I208+$J$10*J208+$K$10*K208+$L$10*L208)</x:f>
        <x:v>1.3215780405104953</x:v>
      </x:c>
      <x:c r="AH208" s="2" t="n">
        <x:f>MIN(1,'_曲线基线'!$L$3+AH$9*($H$10*H208+$I$10*I208+$J$10*J208+$K$10*K208+$L$10*L208))</x:f>
        <x:v>0.46280942817882975</x:v>
      </x:c>
      <x:c r="AI208" s="2" t="n">
        <x:f>'_曲线基线'!$L$4+AI$9*($H$10*H208+$I$10*I208+$J$10*J208+$K$10*K208+$L$10*L208)</x:f>
        <x:v>3.1499691213553116</x:v>
      </x:c>
      <x:c r="AJ208" s="2" t="n">
        <x:f t="shared" si="301">1+AJ$9*($H$10*H208+$I$10*I208+$J$10*J208+$K$10*K208+$L$10*L208)</x:f>
        <x:v>1.9435644072658969</x:v>
      </x:c>
      <x:c r="AK208" s="1" t="n">
        <x:f t="shared" si="302">(1+AH208*(AI208-1))*AJ208</x:f>
        <x:v>3.877461485631331</x:v>
      </x:c>
      <x:c r="AL208" s="1" t="n">
        <x:f t="shared" si="303">U208*AD208*AK208*F208</x:f>
        <x:v>1564103.9128623132</x:v>
      </x:c>
      <x:c r="AM208" s="13" t="n">
        <x:f t="shared" si="304">IF($B208&lt;AM$8,0,AM$3+(AM$4-AM$3)*(POWER(AM$5,$B208-AM$8)-1)/(POWER(AM$5,$C$5-AM$8)-1))</x:f>
        <x:v>43.09579536285631</x:v>
      </x:c>
      <x:c r="AN208" s="13" t="n">
        <x:f>(((E208*'模块规划'!$D$10+G208*'模块规划'!$D$11+H208*'模块规划'!$D$13)*(1+'模块规划'!$G$14*H208)+(I208*'模块规划'!$D$15+J208*'模块规划'!$D$17+K208*'模块规划'!$D$16+L208*'模块规划'!$D$18))*(1+'模块规划'!$J$17*J208))*F208/(1-Q208)</x:f>
        <x:v>2123096.162180697</x:v>
      </x:c>
      <x:c r="AO208" s="1" t="n">
        <x:f t="shared" si="305">AL208*AM208</x:f>
        <x:v>67406302.15495709</x:v>
      </x:c>
      <x:c r="AP208" s="1" t="n">
        <x:f>IF(AO208="","",INDEX('_曲线基线'!$A$3:$A$502,MIN(ROWS('_曲线基线'!$A$3:$A$502),COUNTIF('_曲线基线'!$E$3:$E$502,"&lt;"&amp;AO208)+1)))</x:f>
        <x:v>263</x:v>
      </x:c>
      <x:c r="AQ208" s="14" t="n">
        <x:f t="shared" si="306">IF(B208&lt;=2,1,IF(B208&lt;=6,2,IF(B208&lt;=9,3,IF(B208&lt;=19,4,5))))</x:f>
        <x:v>5</x:v>
      </x:c>
      <x:c r="AR208" s="10" t="n">
        <x:f t="shared" si="307">AN208*(1-Q208)/F208*$AS$3+U208*$AS$4+P208*$AS$5</x:f>
        <x:v>14737.452766651739</x:v>
      </x:c>
      <x:c r="AS208" s="15" t="n">
        <x:f t="shared" si="308">1+AH208*$AS$6+AI208*$AS$7+(AJ208-1)*$AS$8+($H$10*H208+$I$10*I208+$J$10*J208+$K$10*K208+$L$10*L208)*$AU$3*$AS$9+($H$10*H208+$I$10*I208+$J$10*J208+$K$10*K208+$L$10*L208)*$AU$4*$AS$10</x:f>
        <x:v>15.823704126768288</x:v>
      </x:c>
      <x:c r="AT208" s="16" t="n">
        <x:f t="shared" si="309">ROUND(AR208*AS208,0)</x:f>
        <x:v>233201</x:v>
      </x:c>
      <x:c r="AU208" s="16" t="n">
        <x:f t="shared" si="310">ROUND(AT208*F208,0)</x:f>
        <x:v>1166005</x:v>
      </x:c>
      <x:c r="AV208" t="n">
        <x:f>IF(AU208&gt;0,ROUND(AU208,-MAX(0,INT(LOG10(AU208))-2)),0)</x:f>
        <x:v>1170000</x:v>
      </x:c>
    </x:row>
    <x:row r="209" customHeight="1">
      <x:c r="A209" s="1" t="str">
        <x:f>IFERROR(XLOOKUP(B209,'_曲线基线'!$G$3:$G$107,'_曲线基线'!$J$3:$J$107,""),"")</x:f>
      </x:c>
      <x:c r="B209" s="1" t="n">
        <x:v>198</x:v>
      </x:c>
      <x:c r="C209" s="1" t="n">
        <x:f t="shared" si="255">C194+1</x:f>
        <x:v>14</x:v>
      </x:c>
      <x:c r="D209" s="1" t="n">
        <x:f t="shared" si="256">D194</x:f>
        <x:v>9</x:v>
      </x:c>
      <x:c r="E209" s="1" t="n">
        <x:f t="shared" si="282">IF($B209&lt;E$8,0,E$3+(E$4-E$3)*(POWER(E$5,$B209-E$8)-1)/(POWER(E$5,$C$5-E$8)-1))</x:f>
        <x:v>1</x:v>
      </x:c>
      <x:c r="F209" s="10" t="n">
        <x:f t="shared" si="283">1+IF(B209&lt;3,0,MIN(1,(B209-2)/4))+IF(B209&lt;7,0,MIN(1,(B209-6)/3))+IF(B209&lt;10,0,MIN(1,(B209-9)/5))+IF(B209&lt;20,0,MIN(1,(B209-19)/10))</x:f>
        <x:v>5</x:v>
      </x:c>
      <x:c r="G209" s="11" t="n">
        <x:f t="shared" ref="G209:L209" si="315">'玩家战力_节点'!G209</x:f>
        <x:v>0.7992198076957062</x:v>
      </x:c>
      <x:c r="H209" s="11" t="n">
        <x:f t="shared" si="315">'玩家战力_节点'!H209</x:f>
        <x:v>0.6230314863857057</x:v>
      </x:c>
      <x:c r="I209" s="11" t="n">
        <x:f t="shared" si="315">'玩家战力_节点'!I209</x:f>
        <x:v>0.5447551839849062</x:v>
      </x:c>
      <x:c r="J209" s="11" t="n">
        <x:f t="shared" si="315">'玩家战力_节点'!J209</x:f>
        <x:v>0.5161911683978412</x:v>
      </x:c>
      <x:c r="K209" s="11" t="n">
        <x:f t="shared" si="315">'玩家战力_节点'!K209</x:f>
        <x:v>0.5099036896264056</x:v>
      </x:c>
      <x:c r="L209" s="11" t="n">
        <x:f t="shared" si="315">'玩家战力_节点'!L209</x:f>
        <x:v>0.619273420617021</x:v>
      </x:c>
      <x:c r="M209" s="2" t="n">
        <x:f>E209*'模块规划'!$F$10+G209*'模块规划'!$F$11+H209*'模块规划'!$F$13</x:f>
        <x:v>4836.255076939389</x:v>
      </x:c>
      <x:c r="N209" s="2" t="n">
        <x:f>I209*'模块规划'!$F$15+J209*'模块规划'!$F$17+K209*'模块规划'!$F$16+L209*'模块规划'!$F$18</x:f>
        <x:v>15675.7423967012</x:v>
      </x:c>
      <x:c r="O209" s="2" t="n">
        <x:f t="shared" si="285">1+O$9*SUMPRODUCT($H$10:$L$10,H209:L209)/SUM($H$10:$L$10)</x:f>
        <x:v>3.0615000695096355</x:v>
      </x:c>
      <x:c r="P209" s="12" t="n">
        <x:f t="shared" si="286">M209*O209+N209</x:f>
        <x:v>30481.93765091747</x:v>
      </x:c>
      <x:c r="Q209" s="7" t="n">
        <x:f>P209/(P209+'_曲线基线'!$L$2)</x:f>
        <x:v>0.5594870330461559</x:v>
      </x:c>
      <x:c r="R209" s="2" t="n">
        <x:f>E209*'模块规划'!$E$10+G209*'模块规划'!$E$11+H209*'模块规划'!$E$13</x:f>
        <x:v>7254.382615409085</x:v>
      </x:c>
      <x:c r="S209" s="2" t="n">
        <x:f>I209*'模块规划'!$E$15+J209*'模块规划'!$E$17+K209*'模块规划'!$E$16+L209*'模块规划'!$E$18</x:f>
        <x:v>23513.6135950518</x:v>
      </x:c>
      <x:c r="T209" s="2" t="n">
        <x:f t="shared" si="287">1+T$9*SUMPRODUCT($H$10:$L$10,H209:L209)/SUM($H$10:$L$10)</x:f>
        <x:v>3.0615000695096355</x:v>
      </x:c>
      <x:c r="U209" s="12" t="n">
        <x:f t="shared" si="288">R209*T209+S209</x:f>
        <x:v>45722.9064763762</x:v>
      </x:c>
      <x:c r="V209" s="2" t="n">
        <x:f t="shared" si="289">V$8+(V$9-V$8)*H209</x:f>
        <x:v>0.8869094459157116</x:v>
      </x:c>
      <x:c r="W209" s="2" t="n">
        <x:f t="shared" si="290">IF(B209&lt;$H$8,0,W$8+(W$9-W$8)*H209)</x:f>
        <x:v>0.2492125945542823</x:v>
      </x:c>
      <x:c r="X209" s="2" t="n">
        <x:f t="shared" si="291">X$8+(X$9-X$8)*H209</x:f>
        <x:v>0.4463336587560691</x:v>
      </x:c>
      <x:c r="Y209" s="2" t="n">
        <x:f t="shared" si="292">Y$8+(Y$9-Y$8)*G209</x:f>
        <x:v>1</x:v>
      </x:c>
      <x:c r="Z209" s="2" t="n">
        <x:f t="shared" si="293">Z$8+(Z$9-Z$8)*H209</x:f>
        <x:v>1</x:v>
      </x:c>
      <x:c r="AA209" s="2" t="n">
        <x:f t="shared" si="294">AA$8+(AA$9-AA$8)*I209</x:f>
        <x:v>1</x:v>
      </x:c>
      <x:c r="AB209" s="2" t="n">
        <x:f t="shared" si="295">AB$8+(AB$9-AB$8)*J209</x:f>
        <x:v>1</x:v>
      </x:c>
      <x:c r="AC209" s="2" t="n">
        <x:f t="shared" si="296">AC$8+(AC$9-AC$8)*MAX(K209,L209)</x:f>
        <x:v>1</x:v>
      </x:c>
      <x:c r="AD209" s="1" t="n">
        <x:f t="shared" si="297">(V209*AE209+W209*AF209+X209*AG209)*PRODUCT(Y209:AC209)</x:f>
        <x:v>1.7717188282386798</x:v>
      </x:c>
      <x:c r="AE209" s="2" t="n">
        <x:f t="shared" si="298">1+AE$9*($H$10*H209+$I$10*I209+$J$10*J209+$K$10*K209+$L$10*L209)</x:f>
        <x:v>1</x:v>
      </x:c>
      <x:c r="AF209" s="2" t="n">
        <x:f t="shared" si="299">1+AF$9*($H$10*H209+$I$10*I209+$J$10*J209+$K$10*K209+$L$10*L209)</x:f>
        <x:v>1.1819461599810124</x:v>
      </x:c>
      <x:c r="AG209" s="2" t="n">
        <x:f t="shared" si="300">1+AG$9*($H$10*H209+$I$10*I209+$J$10*J209+$K$10*K209+$L$10*L209)</x:f>
        <x:v>1.3224490279663523</x:v>
      </x:c>
      <x:c r="AH209" s="2" t="n">
        <x:f>MIN(1,'_曲线基线'!$L$3+AH$9*($H$10*H209+$I$10*I209+$J$10*J209+$K$10*K209+$L$10*L209))</x:f>
        <x:v>0.463927513956803</x:v>
      </x:c>
      <x:c r="AI209" s="2" t="n">
        <x:f>'_曲线基线'!$L$4+AI$9*($H$10*H209+$I$10*I209+$J$10*J209+$K$10*K209+$L$10*L209)</x:f>
        <x:v>3.1530837888796652</x:v>
      </x:c>
      <x:c r="AJ209" s="2" t="n">
        <x:f t="shared" si="301">1+AJ$9*($H$10*H209+$I$10*I209+$J$10*J209+$K$10*K209+$L$10*L209)</x:f>
        <x:v>1.946120031901264</x:v>
      </x:c>
      <x:c r="AK209" s="1" t="n">
        <x:f t="shared" si="302">(1+AH209*(AI209-1))*AJ209</x:f>
        <x:v>3.8900503080612046</x:v>
      </x:c>
      <x:c r="AL209" s="1" t="n">
        <x:f t="shared" si="303">U209*AD209*AK209*F209</x:f>
        <x:v>1575628.5886734328</x:v>
      </x:c>
      <x:c r="AM209" s="13" t="n">
        <x:f t="shared" si="304">IF($B209&lt;AM$8,0,AM$3+(AM$4-AM$3)*(POWER(AM$5,$B209-AM$8)-1)/(POWER(AM$5,$C$5-AM$8)-1))</x:f>
        <x:v>43.190177956406735</x:v>
      </x:c>
      <x:c r="AN209" s="13" t="n">
        <x:f>(((E209*'模块规划'!$D$10+G209*'模块规划'!$D$11+H209*'模块规划'!$D$13)*(1+'模块规划'!$G$14*H209)+(I209*'模块规划'!$D$15+J209*'模块规划'!$D$17+K209*'模块规划'!$D$16+L209*'模块规划'!$D$18))*(1+'模块规划'!$J$17*J209))*F209/(1-Q209)</x:f>
        <x:v>2134406.033498883</x:v>
      </x:c>
      <x:c r="AO209" s="1" t="n">
        <x:f t="shared" si="305">AL209*AM209</x:f>
        <x:v>68051679.13800755</x:v>
      </x:c>
      <x:c r="AP209" s="1" t="n">
        <x:f>IF(AO209="","",INDEX('_曲线基线'!$A$3:$A$502,MIN(ROWS('_曲线基线'!$A$3:$A$502),COUNTIF('_曲线基线'!$E$3:$E$502,"&lt;"&amp;AO209)+1)))</x:f>
        <x:v>264</x:v>
      </x:c>
      <x:c r="AQ209" s="14" t="n">
        <x:f t="shared" si="306">IF(B209&lt;=2,1,IF(B209&lt;=6,2,IF(B209&lt;=9,3,IF(B209&lt;=19,4,5))))</x:f>
        <x:v>5</x:v>
      </x:c>
      <x:c r="AR209" s="10" t="n">
        <x:f t="shared" si="307">AN209*(1-Q209)/F209*$AS$3+U209*$AS$4+P209*$AS$5</x:f>
        <x:v>14785.982502279912</x:v>
      </x:c>
      <x:c r="AS209" s="15" t="n">
        <x:f t="shared" si="308">1+AH209*$AS$6+AI209*$AS$7+(AJ209-1)*$AS$8+($H$10*H209+$I$10*I209+$J$10*J209+$K$10*K209+$L$10*L209)*$AU$3*$AS$9+($H$10*H209+$I$10*I209+$J$10*J209+$K$10*K209+$L$10*L209)*$AU$4*$AS$10</x:f>
        <x:v>15.85306979518976</x:v>
      </x:c>
      <x:c r="AT209" s="16" t="n">
        <x:f t="shared" si="309">ROUND(AR209*AS209,0)</x:f>
        <x:v>234403</x:v>
      </x:c>
      <x:c r="AU209" s="16" t="n">
        <x:f t="shared" si="310">ROUND(AT209*F209,0)</x:f>
        <x:v>1172015</x:v>
      </x:c>
      <x:c r="AV209" t="n">
        <x:f>IF(AU209&gt;0,ROUND(AU209,-MAX(0,INT(LOG10(AU209))-2)),0)</x:f>
        <x:v>1170000</x:v>
      </x:c>
    </x:row>
    <x:row r="210" customHeight="1">
      <x:c r="A210" s="1" t="str">
        <x:f>IFERROR(XLOOKUP(B210,'_曲线基线'!$G$3:$G$107,'_曲线基线'!$J$3:$J$107,""),"")</x:f>
      </x:c>
      <x:c r="B210" s="1" t="n">
        <x:v>199</x:v>
      </x:c>
      <x:c r="C210" s="1" t="n">
        <x:f t="shared" si="255">C195+1</x:f>
        <x:v>14</x:v>
      </x:c>
      <x:c r="D210" s="1" t="n">
        <x:f t="shared" si="256">D195</x:f>
        <x:v>10</x:v>
      </x:c>
      <x:c r="E210" s="1" t="n">
        <x:f t="shared" si="282">IF($B210&lt;E$8,0,E$3+(E$4-E$3)*(POWER(E$5,$B210-E$8)-1)/(POWER(E$5,$C$5-E$8)-1))</x:f>
        <x:v>1</x:v>
      </x:c>
      <x:c r="F210" s="10" t="n">
        <x:f t="shared" si="283">1+IF(B210&lt;3,0,MIN(1,(B210-2)/4))+IF(B210&lt;7,0,MIN(1,(B210-6)/3))+IF(B210&lt;10,0,MIN(1,(B210-9)/5))+IF(B210&lt;20,0,MIN(1,(B210-19)/10))</x:f>
        <x:v>5</x:v>
      </x:c>
      <x:c r="G210" s="11" t="n">
        <x:f t="shared" ref="G210:L210" si="316">'玩家战力_节点'!G210</x:f>
        <x:v>0.8006882147720108</x:v>
      </x:c>
      <x:c r="H210" s="11" t="n">
        <x:f t="shared" si="316">'玩家战力_节点'!H210</x:f>
        <x:v>0.6241225093030855</x:v>
      </x:c>
      <x:c r="I210" s="11" t="n">
        <x:f t="shared" si="316">'玩家战力_节点'!I210</x:f>
        <x:v>0.5464165087793906</x:v>
      </x:c>
      <x:c r="J210" s="11" t="n">
        <x:f t="shared" si="316">'玩家战力_节点'!J210</x:f>
        <x:v>0.5174077169712983</x:v>
      </x:c>
      <x:c r="K210" s="11" t="n">
        <x:f t="shared" si="316">'玩家战力_节点'!K210</x:f>
        <x:v>0.5123931333623939</x:v>
      </x:c>
      <x:c r="L210" s="11" t="n">
        <x:f t="shared" si="316">'玩家战力_节点'!L210</x:f>
        <x:v>0.6204386090129621</x:v>
      </x:c>
      <x:c r="M210" s="2" t="n">
        <x:f>E210*'模块规划'!$F$10+G210*'模块规划'!$F$11+H210*'模块规划'!$F$13</x:f>
        <x:v>4843.303430905652</x:v>
      </x:c>
      <x:c r="N210" s="2" t="n">
        <x:f>I210*'模块规划'!$F$15+J210*'模块规划'!$F$17+K210*'模块规划'!$F$16+L210*'模块规划'!$F$18</x:f>
        <x:v>15721.961085187282</x:v>
      </x:c>
      <x:c r="O210" s="2" t="n">
        <x:f t="shared" si="285">1+O$9*SUMPRODUCT($H$10:$L$10,H210:L210)/SUM($H$10:$L$10)</x:f>
        <x:v>3.0670685176830284</x:v>
      </x:c>
      <x:c r="P210" s="12" t="n">
        <x:f t="shared" si="286">M210*O210+N210</x:f>
        <x:v>30576.704559704205</x:v>
      </x:c>
      <x:c r="Q210" s="7" t="n">
        <x:f>P210/(P210+'_曲线基线'!$L$2)</x:f>
        <x:v>0.5602519391081008</x:v>
      </x:c>
      <x:c r="R210" s="2" t="n">
        <x:f>E210*'模块规划'!$E$10+G210*'模块规划'!$E$11+H210*'模块规划'!$E$13</x:f>
        <x:v>7264.955146358478</x:v>
      </x:c>
      <x:c r="S210" s="2" t="n">
        <x:f>I210*'模块规划'!$E$15+J210*'模块规划'!$E$17+K210*'模块规划'!$E$16+L210*'模块规划'!$E$18</x:f>
        <x:v>23582.94162778092</x:v>
      </x:c>
      <x:c r="T210" s="2" t="n">
        <x:f t="shared" si="287">1+T$9*SUMPRODUCT($H$10:$L$10,H210:L210)/SUM($H$10:$L$10)</x:f>
        <x:v>3.0670685176830284</x:v>
      </x:c>
      <x:c r="U210" s="12" t="n">
        <x:f t="shared" si="288">R210*T210+S210</x:f>
        <x:v>45865.0568395563</x:v>
      </x:c>
      <x:c r="V210" s="2" t="n">
        <x:f t="shared" si="289">V$8+(V$9-V$8)*H210</x:f>
        <x:v>0.8872367527909256</x:v>
      </x:c>
      <x:c r="W210" s="2" t="n">
        <x:f t="shared" si="290">IF(B210&lt;$H$8,0,W$8+(W$9-W$8)*H210)</x:f>
        <x:v>0.24964900372123422</x:v>
      </x:c>
      <x:c r="X210" s="2" t="n">
        <x:f t="shared" si="291">X$8+(X$9-X$8)*H210</x:f>
        <x:v>0.4466336900583485</x:v>
      </x:c>
      <x:c r="Y210" s="2" t="n">
        <x:f t="shared" si="292">Y$8+(Y$9-Y$8)*G210</x:f>
        <x:v>1</x:v>
      </x:c>
      <x:c r="Z210" s="2" t="n">
        <x:f t="shared" si="293">Z$8+(Z$9-Z$8)*H210</x:f>
        <x:v>1</x:v>
      </x:c>
      <x:c r="AA210" s="2" t="n">
        <x:f t="shared" si="294">AA$8+(AA$9-AA$8)*I210</x:f>
        <x:v>1</x:v>
      </x:c>
      <x:c r="AB210" s="2" t="n">
        <x:f t="shared" si="295">AB$8+(AB$9-AB$8)*J210</x:f>
        <x:v>1</x:v>
      </x:c>
      <x:c r="AC210" s="2" t="n">
        <x:f t="shared" si="296">AC$8+(AC$9-AC$8)*MAX(K210,L210)</x:f>
        <x:v>1</x:v>
      </x:c>
      <x:c r="AD210" s="1" t="n">
        <x:f t="shared" si="297">(V210*AE210+W210*AF210+X210*AG210)*PRODUCT(Y210:AC210)</x:f>
        <x:v>1.7734704297645898</x:v>
      </x:c>
      <x:c r="AE210" s="2" t="n">
        <x:f t="shared" si="298">1+AE$9*($H$10*H210+$I$10*I210+$J$10*J210+$K$10*K210+$L$10*L210)</x:f>
        <x:v>1</x:v>
      </x:c>
      <x:c r="AF210" s="2" t="n">
        <x:f t="shared" si="299">1+AF$9*($H$10*H210+$I$10*I210+$J$10*J210+$K$10*K210+$L$10*L210)</x:f>
        <x:v>1.1824376262570446</x:v>
      </x:c>
      <x:c r="AG210" s="2" t="n">
        <x:f t="shared" si="300">1+AG$9*($H$10*H210+$I$10*I210+$J$10*J210+$K$10*K210+$L$10*L210)</x:f>
        <x:v>1.3233200154222096</x:v>
      </x:c>
      <x:c r="AH210" s="2" t="n">
        <x:f>MIN(1,'_曲线基线'!$L$3+AH$9*($H$10*H210+$I$10*I210+$J$10*J210+$K$10*K210+$L$10*L210))</x:f>
        <x:v>0.4650455997347763</x:v>
      </x:c>
      <x:c r="AI210" s="2" t="n">
        <x:f>'_曲线基线'!$L$4+AI$9*($H$10*H210+$I$10*I210+$J$10*J210+$K$10*K210+$L$10*L210)</x:f>
        <x:v>3.15619845640402</x:v>
      </x:c>
      <x:c r="AJ210" s="2" t="n">
        <x:f t="shared" si="301">1+AJ$9*($H$10*H210+$I$10*I210+$J$10*J210+$K$10*K210+$L$10*L210)</x:f>
        <x:v>1.9486756565366319</x:v>
      </x:c>
      <x:c r="AK210" s="1" t="n">
        <x:f t="shared" si="302">(1+AH210*(AI210-1))*AJ210</x:f>
        <x:v>3.9026723752112336</x:v>
      </x:c>
      <x:c r="AL210" s="1" t="n">
        <x:f t="shared" si="303">U210*AD210*AK210*F210</x:f>
        <x:v>1587223.1395580862</x:v>
      </x:c>
      <x:c r="AM210" s="13" t="n">
        <x:f t="shared" si="304">IF($B210&lt;AM$8,0,AM$3+(AM$4-AM$3)*(POWER(AM$5,$B210-AM$8)-1)/(POWER(AM$5,$C$5-AM$8)-1))</x:f>
        <x:v>43.28550437589267</x:v>
      </x:c>
      <x:c r="AN210" s="13" t="n">
        <x:f>(((E210*'模块规划'!$D$10+G210*'模块规划'!$D$11+H210*'模块规划'!$D$13)*(1+'模块规划'!$G$14*H210)+(I210*'模块规划'!$D$15+J210*'模块规划'!$D$17+K210*'模块规划'!$D$16+L210*'模块规划'!$D$18))*(1+'模块规划'!$J$17*J210))*F210/(1-Q210)</x:f>
        <x:v>2145757.0157012716</x:v>
      </x:c>
      <x:c r="AO210" s="1" t="n">
        <x:f t="shared" si="305">AL210*AM210</x:f>
        <x:v>68703754.15285964</x:v>
      </x:c>
      <x:c r="AP210" s="1" t="n">
        <x:f>IF(AO210="","",INDEX('_曲线基线'!$A$3:$A$502,MIN(ROWS('_曲线基线'!$A$3:$A$502),COUNTIF('_曲线基线'!$E$3:$E$502,"&lt;"&amp;AO210)+1)))</x:f>
        <x:v>264</x:v>
      </x:c>
      <x:c r="AQ210" s="14" t="n">
        <x:f t="shared" si="306">IF(B210&lt;=2,1,IF(B210&lt;=6,2,IF(B210&lt;=9,3,IF(B210&lt;=19,4,5))))</x:f>
        <x:v>5</x:v>
      </x:c>
      <x:c r="AR210" s="10" t="n">
        <x:f t="shared" si="307">AN210*(1-Q210)/F210*$AS$3+U210*$AS$4+P210*$AS$5</x:f>
        <x:v>14834.566288710197</x:v>
      </x:c>
      <x:c r="AS210" s="15" t="n">
        <x:f t="shared" si="308">1+AH210*$AS$6+AI210*$AS$7+(AJ210-1)*$AS$8+($H$10*H210+$I$10*I210+$J$10*J210+$K$10*K210+$L$10*L210)*$AU$3*$AS$9+($H$10*H210+$I$10*I210+$J$10*J210+$K$10*K210+$L$10*L210)*$AU$4*$AS$10</x:f>
        <x:v>15.882435463611248</x:v>
      </x:c>
      <x:c r="AT210" s="16" t="n">
        <x:f t="shared" si="309">ROUND(AR210*AS210,0)</x:f>
        <x:v>235609</x:v>
      </x:c>
      <x:c r="AU210" s="16" t="n">
        <x:f t="shared" si="310">ROUND(AT210*F210,0)</x:f>
        <x:v>1178045</x:v>
      </x:c>
      <x:c r="AV210" t="n">
        <x:f>IF(AU210&gt;0,ROUND(AU210,-MAX(0,INT(LOG10(AU210))-2)),0)</x:f>
        <x:v>1180000</x:v>
      </x:c>
    </x:row>
    <x:row r="211" customHeight="1">
      <x:c r="A211" s="1" t="str">
        <x:f>IFERROR(XLOOKUP(B211,'_曲线基线'!$G$3:$G$107,'_曲线基线'!$J$3:$J$107,""),"")</x:f>
      </x:c>
      <x:c r="B211" s="1" t="n">
        <x:v>200</x:v>
      </x:c>
      <x:c r="C211" s="1" t="n">
        <x:f t="shared" si="255">C196+1</x:f>
        <x:v>14</x:v>
      </x:c>
      <x:c r="D211" s="1" t="n">
        <x:f t="shared" si="256">D196</x:f>
        <x:v>11</x:v>
      </x:c>
      <x:c r="E211" s="1" t="n">
        <x:f t="shared" si="282">IF($B211&lt;E$8,0,E$3+(E$4-E$3)*(POWER(E$5,$B211-E$8)-1)/(POWER(E$5,$C$5-E$8)-1))</x:f>
        <x:v>1</x:v>
      </x:c>
      <x:c r="F211" s="10" t="n">
        <x:f t="shared" si="283">1+IF(B211&lt;3,0,MIN(1,(B211-2)/4))+IF(B211&lt;7,0,MIN(1,(B211-6)/3))+IF(B211&lt;10,0,MIN(1,(B211-9)/5))+IF(B211&lt;20,0,MIN(1,(B211-19)/10))</x:f>
        <x:v>5</x:v>
      </x:c>
      <x:c r="G211" s="11" t="n">
        <x:f t="shared" ref="G211:L211" si="317">'玩家战力_节点'!G211</x:f>
        <x:v>0.8021566218483153</x:v>
      </x:c>
      <x:c r="H211" s="11" t="n">
        <x:f t="shared" si="317">'玩家战力_节点'!H211</x:f>
        <x:v>0.6252135322204654</x:v>
      </x:c>
      <x:c r="I211" s="11" t="n">
        <x:f t="shared" si="317">'玩家战力_节点'!I211</x:f>
        <x:v>0.5480778335738752</x:v>
      </x:c>
      <x:c r="J211" s="11" t="n">
        <x:f t="shared" si="317">'玩家战力_节点'!J211</x:f>
        <x:v>0.5186242655447553</x:v>
      </x:c>
      <x:c r="K211" s="11" t="n">
        <x:f t="shared" si="317">'玩家战力_节点'!K211</x:f>
        <x:v>0.5148825770983821</x:v>
      </x:c>
      <x:c r="L211" s="11" t="n">
        <x:f t="shared" si="317">'玩家战力_节点'!L211</x:f>
        <x:v>0.6216037974089033</x:v>
      </x:c>
      <x:c r="M211" s="2" t="n">
        <x:f>E211*'模块规划'!$F$10+G211*'模块规划'!$F$11+H211*'模块规划'!$F$13</x:f>
        <x:v>4850.351784871913</x:v>
      </x:c>
      <x:c r="N211" s="2" t="n">
        <x:f>I211*'模块规划'!$F$15+J211*'模块规划'!$F$17+K211*'模块规划'!$F$16+L211*'模块规划'!$F$18</x:f>
        <x:v>15768.179773673364</x:v>
      </x:c>
      <x:c r="O211" s="2" t="n">
        <x:f t="shared" si="285">1+O$9*SUMPRODUCT($H$10:$L$10,H211:L211)/SUM($H$10:$L$10)</x:f>
        <x:v>3.0726369658564208</x:v>
      </x:c>
      <x:c r="P211" s="12" t="n">
        <x:f t="shared" si="286">M211*O211+N211</x:f>
        <x:v>30671.549965278475</x:v>
      </x:c>
      <x:c r="Q211" s="7" t="n">
        <x:f>P211/(P211+'_曲线基线'!$L$2)</x:f>
        <x:v>0.5610148237018662</x:v>
      </x:c>
      <x:c r="R211" s="2" t="n">
        <x:f>E211*'模块规划'!$E$10+G211*'模块规划'!$E$11+H211*'模块规划'!$E$13</x:f>
        <x:v>7275.52767730787</x:v>
      </x:c>
      <x:c r="S211" s="2" t="n">
        <x:f>I211*'模块规划'!$E$15+J211*'模块规划'!$E$17+K211*'模块规划'!$E$16+L211*'模块规划'!$E$18</x:f>
        <x:v>23652.269660510043</x:v>
      </x:c>
      <x:c r="T211" s="2" t="n">
        <x:f t="shared" si="287">1+T$9*SUMPRODUCT($H$10:$L$10,H211:L211)/SUM($H$10:$L$10)</x:f>
        <x:v>3.0726369658564208</x:v>
      </x:c>
      <x:c r="U211" s="12" t="n">
        <x:f t="shared" si="288">R211*T211+S211</x:f>
        <x:v>46007.32494791771</x:v>
      </x:c>
      <x:c r="V211" s="2" t="n">
        <x:f t="shared" si="289">V$8+(V$9-V$8)*H211</x:f>
        <x:v>0.8875640596661396</x:v>
      </x:c>
      <x:c r="W211" s="2" t="n">
        <x:f t="shared" si="290">IF(B211&lt;$H$8,0,W$8+(W$9-W$8)*H211)</x:f>
        <x:v>0.25008541288818614</x:v>
      </x:c>
      <x:c r="X211" s="2" t="n">
        <x:f t="shared" si="291">X$8+(X$9-X$8)*H211</x:f>
        <x:v>0.44693372136062803</x:v>
      </x:c>
      <x:c r="Y211" s="2" t="n">
        <x:f t="shared" si="292">Y$8+(Y$9-Y$8)*G211</x:f>
        <x:v>1</x:v>
      </x:c>
      <x:c r="Z211" s="2" t="n">
        <x:f t="shared" si="293">Z$8+(Z$9-Z$8)*H211</x:f>
        <x:v>1</x:v>
      </x:c>
      <x:c r="AA211" s="2" t="n">
        <x:f t="shared" si="294">AA$8+(AA$9-AA$8)*I211</x:f>
        <x:v>1</x:v>
      </x:c>
      <x:c r="AB211" s="2" t="n">
        <x:f t="shared" si="295">AB$8+(AB$9-AB$8)*J211</x:f>
        <x:v>1</x:v>
      </x:c>
      <x:c r="AC211" s="2" t="n">
        <x:f t="shared" si="296">AC$8+(AC$9-AC$8)*MAX(K211,L211)</x:f>
        <x:v>1</x:v>
      </x:c>
      <x:c r="AD211" s="1" t="n">
        <x:f t="shared" si="297">(V211*AE211+W211*AF211+X211*AG211)*PRODUCT(Y211:AC211)</x:f>
        <x:v>1.7752229828982777</x:v>
      </x:c>
      <x:c r="AE211" s="2" t="n">
        <x:f t="shared" si="298">1+AE$9*($H$10*H211+$I$10*I211+$J$10*J211+$K$10*K211+$L$10*L211)</x:f>
        <x:v>1</x:v>
      </x:c>
      <x:c r="AF211" s="2" t="n">
        <x:f t="shared" si="299">1+AF$9*($H$10*H211+$I$10*I211+$J$10*J211+$K$10*K211+$L$10*L211)</x:f>
        <x:v>1.1829290925330769</x:v>
      </x:c>
      <x:c r="AG211" s="2" t="n">
        <x:f t="shared" si="300">1+AG$9*($H$10*H211+$I$10*I211+$J$10*J211+$K$10*K211+$L$10*L211)</x:f>
        <x:v>1.3241910028780666</x:v>
      </x:c>
      <x:c r="AH211" s="2" t="n">
        <x:f>MIN(1,'_曲线基线'!$L$3+AH$9*($H$10*H211+$I$10*I211+$J$10*J211+$K$10*K211+$L$10*L211))</x:f>
        <x:v>0.4661636855127497</x:v>
      </x:c>
      <x:c r="AI211" s="2" t="n">
        <x:f>'_曲线基线'!$L$4+AI$9*($H$10*H211+$I$10*I211+$J$10*J211+$K$10*K211+$L$10*L211)</x:f>
        <x:v>3.1593131239283743</x:v>
      </x:c>
      <x:c r="AJ211" s="2" t="n">
        <x:f t="shared" si="301">1+AJ$9*($H$10*H211+$I$10*I211+$J$10*J211+$K$10*K211+$L$10*L211)</x:f>
        <x:v>1.9512312811719994</x:v>
      </x:c>
      <x:c r="AK211" s="1" t="n">
        <x:f t="shared" si="302">(1+AH211*(AI211-1))*AJ211</x:f>
        <x:v>3.91532774048066</x:v>
      </x:c>
      <x:c r="AL211" s="1" t="n">
        <x:f t="shared" si="303">U211*AD211*AK211*F211</x:f>
        <x:v>1598887.9149853196</x:v>
      </x:c>
      <x:c r="AM211" s="13" t="n">
        <x:f t="shared" si="304">IF($B211&lt;AM$8,0,AM$3+(AM$4-AM$3)*(POWER(AM$5,$B211-AM$8)-1)/(POWER(AM$5,$C$5-AM$8)-1))</x:f>
        <x:v>43.38178405957347</x:v>
      </x:c>
      <x:c r="AN211" s="13" t="n">
        <x:f>(((E211*'模块规划'!$D$10+G211*'模块规划'!$D$11+H211*'模块规划'!$D$13)*(1+'模块规划'!$G$14*H211)+(I211*'模块规划'!$D$15+J211*'模块规划'!$D$17+K211*'模块规划'!$D$16+L211*'模块规划'!$D$18))*(1+'模块规划'!$J$17*J211))*F211/(1-Q211)</x:f>
        <x:v>2157149.2054185513</x:v>
      </x:c>
      <x:c r="AO211" s="1" t="n">
        <x:f t="shared" si="305">AL211*AM211</x:f>
        <x:v>69362610.2633548</x:v>
      </x:c>
      <x:c r="AP211" s="1" t="n">
        <x:f>IF(AO211="","",INDEX('_曲线基线'!$A$3:$A$502,MIN(ROWS('_曲线基线'!$A$3:$A$502),COUNTIF('_曲线基线'!$E$3:$E$502,"&lt;"&amp;AO211)+1)))</x:f>
        <x:v>265</x:v>
      </x:c>
      <x:c r="AQ211" s="14" t="n">
        <x:f t="shared" si="306">IF(B211&lt;=2,1,IF(B211&lt;=6,2,IF(B211&lt;=9,3,IF(B211&lt;=19,4,5))))</x:f>
        <x:v>5</x:v>
      </x:c>
      <x:c r="AR211" s="10" t="n">
        <x:f t="shared" si="307">AN211*(1-Q211)/F211*$AS$3+U211*$AS$4+P211*$AS$5</x:f>
        <x:v>14883.204135035796</x:v>
      </x:c>
      <x:c r="AS211" s="15" t="n">
        <x:f t="shared" si="308">1+AH211*$AS$6+AI211*$AS$7+(AJ211-1)*$AS$8+($H$10*H211+$I$10*I211+$J$10*J211+$K$10*K211+$L$10*L211)*$AU$3*$AS$9+($H$10*H211+$I$10*I211+$J$10*J211+$K$10*K211+$L$10*L211)*$AU$4*$AS$10</x:f>
        <x:v>15.911801132032732</x:v>
      </x:c>
      <x:c r="AT211" s="16" t="n">
        <x:f t="shared" si="309">ROUND(AR211*AS211,0)</x:f>
        <x:v>236819</x:v>
      </x:c>
      <x:c r="AU211" s="16" t="n">
        <x:f t="shared" si="310">ROUND(AT211*F211,0)</x:f>
        <x:v>1184095</x:v>
      </x:c>
      <x:c r="AV211" t="n">
        <x:f>IF(AU211&gt;0,ROUND(AU211,-MAX(0,INT(LOG10(AU211))-2)),0)</x:f>
        <x:v>1180000</x:v>
      </x:c>
    </x:row>
    <x:row r="212" customHeight="1">
      <x:c r="A212" s="1" t="str">
        <x:f>IFERROR(XLOOKUP(B212,'_曲线基线'!$G$3:$G$107,'_曲线基线'!$J$3:$J$107,""),"")</x:f>
      </x:c>
      <x:c r="B212" s="1" t="n">
        <x:v>201</x:v>
      </x:c>
      <x:c r="C212" s="1" t="n">
        <x:f t="shared" si="255">C197+1</x:f>
        <x:v>14</x:v>
      </x:c>
      <x:c r="D212" s="1" t="n">
        <x:f t="shared" si="256">D197</x:f>
        <x:v>12</x:v>
      </x:c>
      <x:c r="E212" s="1" t="n">
        <x:f t="shared" si="282">IF($B212&lt;E$8,0,E$3+(E$4-E$3)*(POWER(E$5,$B212-E$8)-1)/(POWER(E$5,$C$5-E$8)-1))</x:f>
        <x:v>1</x:v>
      </x:c>
      <x:c r="F212" s="10" t="n">
        <x:f t="shared" si="283">1+IF(B212&lt;3,0,MIN(1,(B212-2)/4))+IF(B212&lt;7,0,MIN(1,(B212-6)/3))+IF(B212&lt;10,0,MIN(1,(B212-9)/5))+IF(B212&lt;20,0,MIN(1,(B212-19)/10))</x:f>
        <x:v>5</x:v>
      </x:c>
      <x:c r="G212" s="11" t="n">
        <x:f t="shared" ref="G212:L212" si="318">'玩家战力_节点'!G212</x:f>
        <x:v>0.8036250289246197</x:v>
      </x:c>
      <x:c r="H212" s="11" t="n">
        <x:f t="shared" si="318">'玩家战力_节点'!H212</x:f>
        <x:v>0.6263045551378451</x:v>
      </x:c>
      <x:c r="I212" s="11" t="n">
        <x:f t="shared" si="318">'玩家战力_节点'!I212</x:f>
        <x:v>0.5497391583683597</x:v>
      </x:c>
      <x:c r="J212" s="11" t="n">
        <x:f t="shared" si="318">'玩家战力_节点'!J212</x:f>
        <x:v>0.5198408141182124</x:v>
      </x:c>
      <x:c r="K212" s="11" t="n">
        <x:f t="shared" si="318">'玩家战力_节点'!K212</x:f>
        <x:v>0.5173720208343703</x:v>
      </x:c>
      <x:c r="L212" s="11" t="n">
        <x:f t="shared" si="318">'玩家战力_节点'!L212</x:f>
        <x:v>0.6227689858048444</x:v>
      </x:c>
      <x:c r="M212" s="2" t="n">
        <x:f>E212*'模块规划'!$F$10+G212*'模块规划'!$F$11+H212*'模块规划'!$F$13</x:f>
        <x:v>4857.400138838175</x:v>
      </x:c>
      <x:c r="N212" s="2" t="n">
        <x:f>I212*'模块规划'!$F$15+J212*'模块规划'!$F$17+K212*'模块规划'!$F$16+L212*'模块规划'!$F$18</x:f>
        <x:v>15814.398462159446</x:v>
      </x:c>
      <x:c r="O212" s="2" t="n">
        <x:f t="shared" si="285">1+O$9*SUMPRODUCT($H$10:$L$10,H212:L212)/SUM($H$10:$L$10)</x:f>
        <x:v>3.0782054140298136</x:v>
      </x:c>
      <x:c r="P212" s="12" t="n">
        <x:f t="shared" si="286">M212*O212+N212</x:f>
        <x:v>30766.473867640285</x:v>
      </x:c>
      <x:c r="Q212" s="7" t="n">
        <x:f>P212/(P212+'_曲线基线'!$L$2)</x:f>
        <x:v>0.5617756940495522</x:v>
      </x:c>
      <x:c r="R212" s="2" t="n">
        <x:f>E212*'模块规划'!$E$10+G212*'模块规划'!$E$11+H212*'模块规划'!$E$13</x:f>
        <x:v>7286.100208257262</x:v>
      </x:c>
      <x:c r="S212" s="2" t="n">
        <x:f>I212*'模块规划'!$E$15+J212*'模块规划'!$E$17+K212*'模块规划'!$E$16+L212*'模块规划'!$E$18</x:f>
        <x:v>23721.59769323917</x:v>
      </x:c>
      <x:c r="T212" s="2" t="n">
        <x:f t="shared" si="287">1+T$9*SUMPRODUCT($H$10:$L$10,H212:L212)/SUM($H$10:$L$10)</x:f>
        <x:v>3.0782054140298136</x:v>
      </x:c>
      <x:c r="U212" s="12" t="n">
        <x:f t="shared" si="288">R212*T212+S212</x:f>
        <x:v>46149.71080146043</x:v>
      </x:c>
      <x:c r="V212" s="2" t="n">
        <x:f t="shared" si="289">V$8+(V$9-V$8)*H212</x:f>
        <x:v>0.8878913665413535</x:v>
      </x:c>
      <x:c r="W212" s="2" t="n">
        <x:f t="shared" si="290">IF(B212&lt;$H$8,0,W$8+(W$9-W$8)*H212)</x:f>
        <x:v>0.25052182205513807</x:v>
      </x:c>
      <x:c r="X212" s="2" t="n">
        <x:f t="shared" si="291">X$8+(X$9-X$8)*H212</x:f>
        <x:v>0.44723375266290744</x:v>
      </x:c>
      <x:c r="Y212" s="2" t="n">
        <x:f t="shared" si="292">Y$8+(Y$9-Y$8)*G212</x:f>
        <x:v>1</x:v>
      </x:c>
      <x:c r="Z212" s="2" t="n">
        <x:f t="shared" si="293">Z$8+(Z$9-Z$8)*H212</x:f>
        <x:v>1</x:v>
      </x:c>
      <x:c r="AA212" s="2" t="n">
        <x:f t="shared" si="294">AA$8+(AA$9-AA$8)*I212</x:f>
        <x:v>1</x:v>
      </x:c>
      <x:c r="AB212" s="2" t="n">
        <x:f t="shared" si="295">AB$8+(AB$9-AB$8)*J212</x:f>
        <x:v>1</x:v>
      </x:c>
      <x:c r="AC212" s="2" t="n">
        <x:f t="shared" si="296">AC$8+(AC$9-AC$8)*MAX(K212,L212)</x:f>
        <x:v>1</x:v>
      </x:c>
      <x:c r="AD212" s="1" t="n">
        <x:f t="shared" si="297">(V212*AE212+W212*AF212+X212*AG212)*PRODUCT(Y212:AC212)</x:f>
        <x:v>1.7769764876397431</x:v>
      </x:c>
      <x:c r="AE212" s="2" t="n">
        <x:f t="shared" si="298">1+AE$9*($H$10*H212+$I$10*I212+$J$10*J212+$K$10*K212+$L$10*L212)</x:f>
        <x:v>1</x:v>
      </x:c>
      <x:c r="AF212" s="2" t="n">
        <x:f t="shared" si="299">1+AF$9*($H$10*H212+$I$10*I212+$J$10*J212+$K$10*K212+$L$10*L212)</x:f>
        <x:v>1.1834205588091091</x:v>
      </x:c>
      <x:c r="AG212" s="2" t="n">
        <x:f t="shared" si="300">1+AG$9*($H$10*H212+$I$10*I212+$J$10*J212+$K$10*K212+$L$10*L212)</x:f>
        <x:v>1.3250619903339238</x:v>
      </x:c>
      <x:c r="AH212" s="2" t="n">
        <x:f>MIN(1,'_曲线基线'!$L$3+AH$9*($H$10*H212+$I$10*I212+$J$10*J212+$K$10*K212+$L$10*L212))</x:f>
        <x:v>0.467281771290723</x:v>
      </x:c>
      <x:c r="AI212" s="2" t="n">
        <x:f>'_曲线基线'!$L$4+AI$9*($H$10*H212+$I$10*I212+$J$10*J212+$K$10*K212+$L$10*L212)</x:f>
        <x:v>3.1624277914527283</x:v>
      </x:c>
      <x:c r="AJ212" s="2" t="n">
        <x:f t="shared" si="301">1+AJ$9*($H$10*H212+$I$10*I212+$J$10*J212+$K$10*K212+$L$10*L212)</x:f>
        <x:v>1.953786905807367</x:v>
      </x:c>
      <x:c r="AK212" s="1" t="n">
        <x:f t="shared" si="302">(1+AH212*(AI212-1))*AJ212</x:f>
        <x:v>3.9280164572687304</x:v>
      </x:c>
      <x:c r="AL212" s="1" t="n">
        <x:f t="shared" si="303">U212*AD212*AK212*F212</x:f>
        <x:v>1610623.265801529</x:v>
      </x:c>
      <x:c r="AM212" s="13" t="n">
        <x:f t="shared" si="304">IF($B212&lt;AM$8,0,AM$3+(AM$4-AM$3)*(POWER(AM$5,$B212-AM$8)-1)/(POWER(AM$5,$C$5-AM$8)-1))</x:f>
        <x:v>43.47902654009107</x:v>
      </x:c>
      <x:c r="AN212" s="13" t="n">
        <x:f>(((E212*'模块规划'!$D$10+G212*'模块规划'!$D$11+H212*'模块规划'!$D$13)*(1+'模块规划'!$G$14*H212)+(I212*'模块规划'!$D$15+J212*'模块规划'!$D$17+K212*'模块规划'!$D$16+L212*'模块规划'!$D$18))*(1+'模块规划'!$J$17*J212))*F212/(1-Q212)</x:f>
        <x:v>2168582.6994051556</x:v>
      </x:c>
      <x:c r="AO212" s="1" t="n">
        <x:f t="shared" si="305">AL212*AM212</x:f>
        <x:v>70028331.71987283</x:v>
      </x:c>
      <x:c r="AP212" s="1" t="n">
        <x:f>IF(AO212="","",INDEX('_曲线基线'!$A$3:$A$502,MIN(ROWS('_曲线基线'!$A$3:$A$502),COUNTIF('_曲线基线'!$E$3:$E$502,"&lt;"&amp;AO212)+1)))</x:f>
        <x:v>266</x:v>
      </x:c>
      <x:c r="AQ212" s="14" t="n">
        <x:f t="shared" si="306">IF(B212&lt;=2,1,IF(B212&lt;=6,2,IF(B212&lt;=9,3,IF(B212&lt;=19,4,5))))</x:f>
        <x:v>5</x:v>
      </x:c>
      <x:c r="AR212" s="10" t="n">
        <x:f t="shared" si="307">AN212*(1-Q212)/F212*$AS$3+U212*$AS$4+P212*$AS$5</x:f>
        <x:v>14931.896050349924</x:v>
      </x:c>
      <x:c r="AS212" s="15" t="n">
        <x:f t="shared" si="308">1+AH212*$AS$6+AI212*$AS$7+(AJ212-1)*$AS$8+($H$10*H212+$I$10*I212+$J$10*J212+$K$10*K212+$L$10*L212)*$AU$3*$AS$9+($H$10*H212+$I$10*I212+$J$10*J212+$K$10*K212+$L$10*L212)*$AU$4*$AS$10</x:f>
        <x:v>15.941166800454212</x:v>
      </x:c>
      <x:c r="AT212" s="16" t="n">
        <x:f t="shared" si="309">ROUND(AR212*AS212,0)</x:f>
        <x:v>238032</x:v>
      </x:c>
      <x:c r="AU212" s="16" t="n">
        <x:f t="shared" si="310">ROUND(AT212*F212,0)</x:f>
        <x:v>1190160</x:v>
      </x:c>
      <x:c r="AV212" t="n">
        <x:f>IF(AU212&gt;0,ROUND(AU212,-MAX(0,INT(LOG10(AU212))-2)),0)</x:f>
        <x:v>1190000</x:v>
      </x:c>
    </x:row>
    <x:row r="213" customHeight="1">
      <x:c r="A213" s="1" t="str">
        <x:f>IFERROR(XLOOKUP(B213,'_曲线基线'!$G$3:$G$107,'_曲线基线'!$J$3:$J$107,""),"")</x:f>
      </x:c>
      <x:c r="B213" s="1" t="n">
        <x:v>202</x:v>
      </x:c>
      <x:c r="C213" s="1" t="n">
        <x:f t="shared" si="255">C198+1</x:f>
        <x:v>14</x:v>
      </x:c>
      <x:c r="D213" s="1" t="n">
        <x:f t="shared" si="256">D198</x:f>
        <x:v>13</x:v>
      </x:c>
      <x:c r="E213" s="1" t="n">
        <x:f t="shared" si="282">IF($B213&lt;E$8,0,E$3+(E$4-E$3)*(POWER(E$5,$B213-E$8)-1)/(POWER(E$5,$C$5-E$8)-1))</x:f>
        <x:v>1</x:v>
      </x:c>
      <x:c r="F213" s="10" t="n">
        <x:f t="shared" si="283">1+IF(B213&lt;3,0,MIN(1,(B213-2)/4))+IF(B213&lt;7,0,MIN(1,(B213-6)/3))+IF(B213&lt;10,0,MIN(1,(B213-9)/5))+IF(B213&lt;20,0,MIN(1,(B213-19)/10))</x:f>
        <x:v>5</x:v>
      </x:c>
      <x:c r="G213" s="11" t="n">
        <x:f t="shared" ref="G213:L213" si="319">'玩家战力_节点'!G213</x:f>
        <x:v>0.8050934360009242</x:v>
      </x:c>
      <x:c r="H213" s="11" t="n">
        <x:f t="shared" si="319">'玩家战力_节点'!H213</x:f>
        <x:v>0.6273955780552248</x:v>
      </x:c>
      <x:c r="I213" s="11" t="n">
        <x:f t="shared" si="319">'玩家战力_节点'!I213</x:f>
        <x:v>0.5514004831628442</x:v>
      </x:c>
      <x:c r="J213" s="11" t="n">
        <x:f t="shared" si="319">'玩家战力_节点'!J213</x:f>
        <x:v>0.5210573626916695</x:v>
      </x:c>
      <x:c r="K213" s="11" t="n">
        <x:f t="shared" si="319">'玩家战力_节点'!K213</x:f>
        <x:v>0.5198614645703586</x:v>
      </x:c>
      <x:c r="L213" s="11" t="n">
        <x:f t="shared" si="319">'玩家战力_节点'!L213</x:f>
        <x:v>0.6239341742007857</x:v>
      </x:c>
      <x:c r="M213" s="2" t="n">
        <x:f>E213*'模块规划'!$F$10+G213*'模块规划'!$F$11+H213*'模块规划'!$F$13</x:f>
        <x:v>4864.448492804437</x:v>
      </x:c>
      <x:c r="N213" s="2" t="n">
        <x:f>I213*'模块规划'!$F$15+J213*'模块规划'!$F$17+K213*'模块规划'!$F$16+L213*'模块规划'!$F$18</x:f>
        <x:v>15860.617150645528</x:v>
      </x:c>
      <x:c r="O213" s="2" t="n">
        <x:f t="shared" si="285">1+O$9*SUMPRODUCT($H$10:$L$10,H213:L213)/SUM($H$10:$L$10)</x:f>
        <x:v>3.083773862203206</x:v>
      </x:c>
      <x:c r="P213" s="12" t="n">
        <x:f t="shared" si="286">M213*O213+N213</x:f>
        <x:v>30861.47626678963</x:v>
      </x:c>
      <x:c r="Q213" s="7" t="n">
        <x:f>P213/(P213+'_曲线基线'!$L$2)</x:f>
        <x:v>0.5625345573405871</x:v>
      </x:c>
      <x:c r="R213" s="2" t="n">
        <x:f>E213*'模块规划'!$E$10+G213*'模块规划'!$E$11+H213*'模块规划'!$E$13</x:f>
        <x:v>7296.672739206654</x:v>
      </x:c>
      <x:c r="S213" s="2" t="n">
        <x:f>I213*'模块规划'!$E$15+J213*'模块规划'!$E$17+K213*'模块规划'!$E$16+L213*'模块规划'!$E$18</x:f>
        <x:v>23790.925725968293</x:v>
      </x:c>
      <x:c r="T213" s="2" t="n">
        <x:f t="shared" si="287">1+T$9*SUMPRODUCT($H$10:$L$10,H213:L213)/SUM($H$10:$L$10)</x:f>
        <x:v>3.083773862203206</x:v>
      </x:c>
      <x:c r="U213" s="12" t="n">
        <x:f t="shared" si="288">R213*T213+S213</x:f>
        <x:v>46292.21440018444</x:v>
      </x:c>
      <x:c r="V213" s="2" t="n">
        <x:f t="shared" si="289">V$8+(V$9-V$8)*H213</x:f>
        <x:v>0.8882186734165675</x:v>
      </x:c>
      <x:c r="W213" s="2" t="n">
        <x:f t="shared" si="290">IF(B213&lt;$H$8,0,W$8+(W$9-W$8)*H213)</x:f>
        <x:v>0.25095823122208993</x:v>
      </x:c>
      <x:c r="X213" s="2" t="n">
        <x:f t="shared" si="291">X$8+(X$9-X$8)*H213</x:f>
        <x:v>0.44753378396518684</x:v>
      </x:c>
      <x:c r="Y213" s="2" t="n">
        <x:f t="shared" si="292">Y$8+(Y$9-Y$8)*G213</x:f>
        <x:v>1</x:v>
      </x:c>
      <x:c r="Z213" s="2" t="n">
        <x:f t="shared" si="293">Z$8+(Z$9-Z$8)*H213</x:f>
        <x:v>1</x:v>
      </x:c>
      <x:c r="AA213" s="2" t="n">
        <x:f t="shared" si="294">AA$8+(AA$9-AA$8)*I213</x:f>
        <x:v>1</x:v>
      </x:c>
      <x:c r="AB213" s="2" t="n">
        <x:f t="shared" si="295">AB$8+(AB$9-AB$8)*J213</x:f>
        <x:v>1</x:v>
      </x:c>
      <x:c r="AC213" s="2" t="n">
        <x:f t="shared" si="296">AC$8+(AC$9-AC$8)*MAX(K213,L213)</x:f>
        <x:v>1</x:v>
      </x:c>
      <x:c r="AD213" s="1" t="n">
        <x:f t="shared" si="297">(V213*AE213+W213*AF213+X213*AG213)*PRODUCT(Y213:AC213)</x:f>
        <x:v>1.778730943988986</x:v>
      </x:c>
      <x:c r="AE213" s="2" t="n">
        <x:f t="shared" si="298">1+AE$9*($H$10*H213+$I$10*I213+$J$10*J213+$K$10*K213+$L$10*L213)</x:f>
        <x:v>1</x:v>
      </x:c>
      <x:c r="AF213" s="2" t="n">
        <x:f t="shared" si="299">1+AF$9*($H$10*H213+$I$10*I213+$J$10*J213+$K$10*K213+$L$10*L213)</x:f>
        <x:v>1.1839120250851414</x:v>
      </x:c>
      <x:c r="AG213" s="2" t="n">
        <x:f t="shared" si="300">1+AG$9*($H$10*H213+$I$10*I213+$J$10*J213+$K$10*K213+$L$10*L213)</x:f>
        <x:v>1.325932977789781</x:v>
      </x:c>
      <x:c r="AH213" s="2" t="n">
        <x:f>MIN(1,'_曲线基线'!$L$3+AH$9*($H$10*H213+$I$10*I213+$J$10*J213+$K$10*K213+$L$10*L213))</x:f>
        <x:v>0.4683998570686963</x:v>
      </x:c>
      <x:c r="AI213" s="2" t="n">
        <x:f>'_曲线基线'!$L$4+AI$9*($H$10*H213+$I$10*I213+$J$10*J213+$K$10*K213+$L$10*L213)</x:f>
        <x:v>3.1655424589770824</x:v>
      </x:c>
      <x:c r="AJ213" s="2" t="n">
        <x:f t="shared" si="301">1+AJ$9*($H$10*H213+$I$10*I213+$J$10*J213+$K$10*K213+$L$10*L213)</x:f>
        <x:v>1.9563425304427344</x:v>
      </x:c>
      <x:c r="AK213" s="1" t="n">
        <x:f t="shared" si="302">(1+AH213*(AI213-1))*AJ213</x:f>
        <x:v>3.9407385789746963</x:v>
      </x:c>
      <x:c r="AL213" s="1" t="n">
        <x:f t="shared" si="303">U213*AD213*AK213*F213</x:f>
        <x:v>1622429.5442343857</x:v>
      </x:c>
      <x:c r="AM213" s="13" t="n">
        <x:f t="shared" si="304">IF($B213&lt;AM$8,0,AM$3+(AM$4-AM$3)*(POWER(AM$5,$B213-AM$8)-1)/(POWER(AM$5,$C$5-AM$8)-1))</x:f>
        <x:v>43.57724144541385</x:v>
      </x:c>
      <x:c r="AN213" s="13" t="n">
        <x:f>(((E213*'模块规划'!$D$10+G213*'模块规划'!$D$11+H213*'模块规划'!$D$13)*(1+'模块规划'!$G$14*H213)+(I213*'模块规划'!$D$15+J213*'模块规划'!$D$17+K213*'模块规划'!$D$16+L213*'模块规划'!$D$18))*(1+'模块规划'!$J$17*J213))*F213/(1-Q213)</x:f>
        <x:v>2180057.5945392996</x:v>
      </x:c>
      <x:c r="AO213" s="1" t="n">
        <x:f t="shared" si="305">AL213*AM213</x:f>
        <x:v>70701003.97727457</x:v>
      </x:c>
      <x:c r="AP213" s="1" t="n">
        <x:f>IF(AO213="","",INDEX('_曲线基线'!$A$3:$A$502,MIN(ROWS('_曲线基线'!$A$3:$A$502),COUNTIF('_曲线基线'!$E$3:$E$502,"&lt;"&amp;AO213)+1)))</x:f>
        <x:v>267</x:v>
      </x:c>
      <x:c r="AQ213" s="14" t="n">
        <x:f t="shared" si="306">IF(B213&lt;=2,1,IF(B213&lt;=6,2,IF(B213&lt;=9,3,IF(B213&lt;=19,4,5))))</x:f>
        <x:v>5</x:v>
      </x:c>
      <x:c r="AR213" s="10" t="n">
        <x:f t="shared" si="307">AN213*(1-Q213)/F213*$AS$3+U213*$AS$4+P213*$AS$5</x:f>
        <x:v>14980.642043745787</x:v>
      </x:c>
      <x:c r="AS213" s="15" t="n">
        <x:f t="shared" si="308">1+AH213*$AS$6+AI213*$AS$7+(AJ213-1)*$AS$8+($H$10*H213+$I$10*I213+$J$10*J213+$K$10*K213+$L$10*L213)*$AU$3*$AS$9+($H$10*H213+$I$10*I213+$J$10*J213+$K$10*K213+$L$10*L213)*$AU$4*$AS$10</x:f>
        <x:v>15.970532468875692</x:v>
      </x:c>
      <x:c r="AT213" s="16" t="n">
        <x:f t="shared" si="309">ROUND(AR213*AS213,0)</x:f>
        <x:v>239249</x:v>
      </x:c>
      <x:c r="AU213" s="16" t="n">
        <x:f t="shared" si="310">ROUND(AT213*F213,0)</x:f>
        <x:v>1196245</x:v>
      </x:c>
      <x:c r="AV213" t="n">
        <x:f>IF(AU213&gt;0,ROUND(AU213,-MAX(0,INT(LOG10(AU213))-2)),0)</x:f>
        <x:v>1200000</x:v>
      </x:c>
    </x:row>
    <x:row r="214" customHeight="1">
      <x:c r="A214" s="1" t="str">
        <x:f>IFERROR(XLOOKUP(B214,'_曲线基线'!$G$3:$G$107,'_曲线基线'!$J$3:$J$107,""),"")</x:f>
      </x:c>
      <x:c r="B214" s="1" t="n">
        <x:v>203</x:v>
      </x:c>
      <x:c r="C214" s="1" t="n">
        <x:f t="shared" si="255">C199+1</x:f>
        <x:v>14</x:v>
      </x:c>
      <x:c r="D214" s="1" t="n">
        <x:f t="shared" si="256">D199</x:f>
        <x:v>14</x:v>
      </x:c>
      <x:c r="E214" s="1" t="n">
        <x:f t="shared" si="282">IF($B214&lt;E$8,0,E$3+(E$4-E$3)*(POWER(E$5,$B214-E$8)-1)/(POWER(E$5,$C$5-E$8)-1))</x:f>
        <x:v>1</x:v>
      </x:c>
      <x:c r="F214" s="10" t="n">
        <x:f t="shared" si="283">1+IF(B214&lt;3,0,MIN(1,(B214-2)/4))+IF(B214&lt;7,0,MIN(1,(B214-6)/3))+IF(B214&lt;10,0,MIN(1,(B214-9)/5))+IF(B214&lt;20,0,MIN(1,(B214-19)/10))</x:f>
        <x:v>5</x:v>
      </x:c>
      <x:c r="G214" s="11" t="n">
        <x:f t="shared" ref="G214:L214" si="320">'玩家战力_节点'!G214</x:f>
        <x:v>0.8065618430772288</x:v>
      </x:c>
      <x:c r="H214" s="11" t="n">
        <x:f t="shared" si="320">'玩家战力_节点'!H214</x:f>
        <x:v>0.6284866009726047</x:v>
      </x:c>
      <x:c r="I214" s="11" t="n">
        <x:f t="shared" si="320">'玩家战力_节点'!I214</x:f>
        <x:v>0.5530618079573287</x:v>
      </x:c>
      <x:c r="J214" s="11" t="n">
        <x:f t="shared" si="320">'玩家战力_节点'!J214</x:f>
        <x:v>0.5222739112651265</x:v>
      </x:c>
      <x:c r="K214" s="11" t="n">
        <x:f t="shared" si="320">'玩家战力_节点'!K214</x:f>
        <x:v>0.5223509083063468</x:v>
      </x:c>
      <x:c r="L214" s="11" t="n">
        <x:f t="shared" si="320">'玩家战力_节点'!L214</x:f>
        <x:v>0.6250993625967268</x:v>
      </x:c>
      <x:c r="M214" s="2" t="n">
        <x:f>E214*'模块规划'!$F$10+G214*'模块规划'!$F$11+H214*'模块规划'!$F$13</x:f>
        <x:v>4871.4968467706985</x:v>
      </x:c>
      <x:c r="N214" s="2" t="n">
        <x:f>I214*'模块规划'!$F$15+J214*'模块规划'!$F$17+K214*'模块规划'!$F$16+L214*'模块规划'!$F$18</x:f>
        <x:v>15906.83583913161</x:v>
      </x:c>
      <x:c r="O214" s="2" t="n">
        <x:f t="shared" si="285">1+O$9*SUMPRODUCT($H$10:$L$10,H214:L214)/SUM($H$10:$L$10)</x:f>
        <x:v>3.089342310376599</x:v>
      </x:c>
      <x:c r="P214" s="12" t="n">
        <x:f t="shared" si="286">M214*O214+N214</x:f>
        <x:v>30956.557162726516</x:v>
      </x:c>
      <x:c r="Q214" s="7" t="n">
        <x:f>P214/(P214+'_曲线基线'!$L$2)</x:f>
        <x:v>0.5632914207319076</x:v>
      </x:c>
      <x:c r="R214" s="2" t="n">
        <x:f>E214*'模块规划'!$E$10+G214*'模块规划'!$E$11+H214*'模块规划'!$E$13</x:f>
        <x:v>7307.245270156047</x:v>
      </x:c>
      <x:c r="S214" s="2" t="n">
        <x:f>I214*'模块规划'!$E$15+J214*'模块规划'!$E$17+K214*'模块规划'!$E$16+L214*'模块规划'!$E$18</x:f>
        <x:v>23860.253758697414</x:v>
      </x:c>
      <x:c r="T214" s="2" t="n">
        <x:f t="shared" si="287">1+T$9*SUMPRODUCT($H$10:$L$10,H214:L214)/SUM($H$10:$L$10)</x:f>
        <x:v>3.089342310376599</x:v>
      </x:c>
      <x:c r="U214" s="12" t="n">
        <x:f t="shared" si="288">R214*T214+S214</x:f>
        <x:v>46434.83574408977</x:v>
      </x:c>
      <x:c r="V214" s="2" t="n">
        <x:f t="shared" si="289">V$8+(V$9-V$8)*H214</x:f>
        <x:v>0.8885459802917814</x:v>
      </x:c>
      <x:c r="W214" s="2" t="n">
        <x:f t="shared" si="290">IF(B214&lt;$H$8,0,W$8+(W$9-W$8)*H214)</x:f>
        <x:v>0.25139464038904186</x:v>
      </x:c>
      <x:c r="X214" s="2" t="n">
        <x:f t="shared" si="291">X$8+(X$9-X$8)*H214</x:f>
        <x:v>0.44783381526746635</x:v>
      </x:c>
      <x:c r="Y214" s="2" t="n">
        <x:f t="shared" si="292">Y$8+(Y$9-Y$8)*G214</x:f>
        <x:v>1</x:v>
      </x:c>
      <x:c r="Z214" s="2" t="n">
        <x:f t="shared" si="293">Z$8+(Z$9-Z$8)*H214</x:f>
        <x:v>1</x:v>
      </x:c>
      <x:c r="AA214" s="2" t="n">
        <x:f t="shared" si="294">AA$8+(AA$9-AA$8)*I214</x:f>
        <x:v>1</x:v>
      </x:c>
      <x:c r="AB214" s="2" t="n">
        <x:f t="shared" si="295">AB$8+(AB$9-AB$8)*J214</x:f>
        <x:v>1</x:v>
      </x:c>
      <x:c r="AC214" s="2" t="n">
        <x:f t="shared" si="296">AC$8+(AC$9-AC$8)*MAX(K214,L214)</x:f>
        <x:v>1</x:v>
      </x:c>
      <x:c r="AD214" s="1" t="n">
        <x:f t="shared" si="297">(V214*AE214+W214*AF214+X214*AG214)*PRODUCT(Y214:AC214)</x:f>
        <x:v>1.7804863519460064</x:v>
      </x:c>
      <x:c r="AE214" s="2" t="n">
        <x:f t="shared" si="298">1+AE$9*($H$10*H214+$I$10*I214+$J$10*J214+$K$10*K214+$L$10*L214)</x:f>
        <x:v>1</x:v>
      </x:c>
      <x:c r="AF214" s="2" t="n">
        <x:f t="shared" si="299">1+AF$9*($H$10*H214+$I$10*I214+$J$10*J214+$K$10*K214+$L$10*L214)</x:f>
        <x:v>1.1844034913611736</x:v>
      </x:c>
      <x:c r="AG214" s="2" t="n">
        <x:f t="shared" si="300">1+AG$9*($H$10*H214+$I$10*I214+$J$10*J214+$K$10*K214+$L$10*L214)</x:f>
        <x:v>1.326803965245638</x:v>
      </x:c>
      <x:c r="AH214" s="2" t="n">
        <x:f>MIN(1,'_曲线基线'!$L$3+AH$9*($H$10*H214+$I$10*I214+$J$10*J214+$K$10*K214+$L$10*L214))</x:f>
        <x:v>0.4695179428466696</x:v>
      </x:c>
      <x:c r="AI214" s="2" t="n">
        <x:f>'_曲线基线'!$L$4+AI$9*($H$10*H214+$I$10*I214+$J$10*J214+$K$10*K214+$L$10*L214)</x:f>
        <x:v>3.1686571265014365</x:v>
      </x:c>
      <x:c r="AJ214" s="2" t="n">
        <x:f t="shared" si="301">1+AJ$9*($H$10*H214+$I$10*I214+$J$10*J214+$K$10*K214+$L$10*L214)</x:f>
        <x:v>1.958898155078102</x:v>
      </x:c>
      <x:c r="AK214" s="1" t="n">
        <x:f t="shared" si="302">(1+AH214*(AI214-1))*AJ214</x:f>
        <x:v>3.953494158997801</x:v>
      </x:c>
      <x:c r="AL214" s="1" t="n">
        <x:f t="shared" si="303">U214*AD214*AK214*F214</x:f>
        <x:v>1634307.10389677</x:v>
      </x:c>
      <x:c r="AM214" s="13" t="n">
        <x:f t="shared" si="304">IF($B214&lt;AM$8,0,AM$3+(AM$4-AM$3)*(POWER(AM$5,$B214-AM$8)-1)/(POWER(AM$5,$C$5-AM$8)-1))</x:f>
        <x:v>43.67643849978985</x:v>
      </x:c>
      <x:c r="AN214" s="13" t="n">
        <x:f>(((E214*'模块规划'!$D$10+G214*'模块规划'!$D$11+H214*'模块规划'!$D$13)*(1+'模块规划'!$G$14*H214)+(I214*'模块规划'!$D$15+J214*'模块规划'!$D$17+K214*'模块规划'!$D$16+L214*'模块规划'!$D$18))*(1+'模块规划'!$J$17*J214))*F214/(1-Q214)</x:f>
        <x:v>2191573.9878230426</x:v>
      </x:c>
      <x:c r="AO214" s="1" t="n">
        <x:f t="shared" si="305">AL214*AM214</x:f>
        <x:v>71380713.71311694</x:v>
      </x:c>
      <x:c r="AP214" s="1" t="n">
        <x:f>IF(AO214="","",INDEX('_曲线基线'!$A$3:$A$502,MIN(ROWS('_曲线基线'!$A$3:$A$502),COUNTIF('_曲线基线'!$E$3:$E$502,"&lt;"&amp;AO214)+1)))</x:f>
        <x:v>267</x:v>
      </x:c>
      <x:c r="AQ214" s="14" t="n">
        <x:f t="shared" si="306">IF(B214&lt;=2,1,IF(B214&lt;=6,2,IF(B214&lt;=9,3,IF(B214&lt;=19,4,5))))</x:f>
        <x:v>5</x:v>
      </x:c>
      <x:c r="AR214" s="10" t="n">
        <x:f t="shared" si="307">AN214*(1-Q214)/F214*$AS$3+U214*$AS$4+P214*$AS$5</x:f>
        <x:v>15029.442124316603</x:v>
      </x:c>
      <x:c r="AS214" s="15" t="n">
        <x:f t="shared" si="308">1+AH214*$AS$6+AI214*$AS$7+(AJ214-1)*$AS$8+($H$10*H214+$I$10*I214+$J$10*J214+$K$10*K214+$L$10*L214)*$AU$3*$AS$9+($H$10*H214+$I$10*I214+$J$10*J214+$K$10*K214+$L$10*L214)*$AU$4*$AS$10</x:f>
        <x:v>15.999898137297171</x:v>
      </x:c>
      <x:c r="AT214" s="16" t="n">
        <x:f t="shared" si="309">ROUND(AR214*AS214,0)</x:f>
        <x:v>240470</x:v>
      </x:c>
      <x:c r="AU214" s="16" t="n">
        <x:f t="shared" si="310">ROUND(AT214*F214,0)</x:f>
        <x:v>1202350</x:v>
      </x:c>
      <x:c r="AV214" t="n">
        <x:f>IF(AU214&gt;0,ROUND(AU214,-MAX(0,INT(LOG10(AU214))-2)),0)</x:f>
        <x:v>1200000</x:v>
      </x:c>
    </x:row>
    <x:row r="215" customHeight="1">
      <x:c r="A215" s="1" t="str">
        <x:f>IFERROR(XLOOKUP(B215,'_曲线基线'!$G$3:$G$107,'_曲线基线'!$J$3:$J$107,""),"")</x:f>
      </x:c>
      <x:c r="B215" s="1" t="n">
        <x:v>204</x:v>
      </x:c>
      <x:c r="C215" s="1" t="n">
        <x:f t="shared" si="255">C200+1</x:f>
        <x:v>14</x:v>
      </x:c>
      <x:c r="D215" s="1" t="n">
        <x:f t="shared" si="256">D200</x:f>
        <x:v>15</x:v>
      </x:c>
      <x:c r="E215" s="1" t="n">
        <x:f t="shared" si="282">IF($B215&lt;E$8,0,E$3+(E$4-E$3)*(POWER(E$5,$B215-E$8)-1)/(POWER(E$5,$C$5-E$8)-1))</x:f>
        <x:v>1</x:v>
      </x:c>
      <x:c r="F215" s="10" t="n">
        <x:f t="shared" si="283">1+IF(B215&lt;3,0,MIN(1,(B215-2)/4))+IF(B215&lt;7,0,MIN(1,(B215-6)/3))+IF(B215&lt;10,0,MIN(1,(B215-9)/5))+IF(B215&lt;20,0,MIN(1,(B215-19)/10))</x:f>
        <x:v>5</x:v>
      </x:c>
      <x:c r="G215" s="11" t="n">
        <x:f t="shared" ref="G215:L215" si="321">'玩家战力_节点'!G215</x:f>
        <x:v>0.8080302501535334</x:v>
      </x:c>
      <x:c r="H215" s="11" t="n">
        <x:f t="shared" si="321">'玩家战力_节点'!H215</x:f>
        <x:v>0.6295776238899845</x:v>
      </x:c>
      <x:c r="I215" s="11" t="n">
        <x:f t="shared" si="321">'玩家战力_节点'!I215</x:f>
        <x:v>0.5547231327518133</x:v>
      </x:c>
      <x:c r="J215" s="11" t="n">
        <x:f t="shared" si="321">'玩家战力_节点'!J215</x:f>
        <x:v>0.5234904598385834</x:v>
      </x:c>
      <x:c r="K215" s="11" t="n">
        <x:f t="shared" si="321">'玩家战力_节点'!K215</x:f>
        <x:v>0.524840352042335</x:v>
      </x:c>
      <x:c r="L215" s="11" t="n">
        <x:f t="shared" si="321">'玩家战力_节点'!L215</x:f>
        <x:v>0.626264550992668</x:v>
      </x:c>
      <x:c r="M215" s="2" t="n">
        <x:f>E215*'模块规划'!$F$10+G215*'模块规划'!$F$11+H215*'模块规划'!$F$13</x:f>
        <x:v>4878.54520073696</x:v>
      </x:c>
      <x:c r="N215" s="2" t="n">
        <x:f>I215*'模块规划'!$F$15+J215*'模块规划'!$F$17+K215*'模块规划'!$F$16+L215*'模块规划'!$F$18</x:f>
        <x:v>15953.05452761769</x:v>
      </x:c>
      <x:c r="O215" s="2" t="n">
        <x:f t="shared" si="285">1+O$9*SUMPRODUCT($H$10:$L$10,H215:L215)/SUM($H$10:$L$10)</x:f>
        <x:v>3.094910758549991</x:v>
      </x:c>
      <x:c r="P215" s="12" t="n">
        <x:f t="shared" si="286">M215*O215+N215</x:f>
        <x:v>31051.716555450934</x:v>
      </x:c>
      <x:c r="Q215" s="7" t="n">
        <x:f>P215/(P215+'_曲线基线'!$L$2)</x:f>
        <x:v>0.564046291348137</x:v>
      </x:c>
      <x:c r="R215" s="2" t="n">
        <x:f>E215*'模块规划'!$E$10+G215*'模块规划'!$E$11+H215*'模块规划'!$E$13</x:f>
        <x:v>7317.817801105441</x:v>
      </x:c>
      <x:c r="S215" s="2" t="n">
        <x:f>I215*'模块规划'!$E$15+J215*'模块规划'!$E$17+K215*'模块规划'!$E$16+L215*'模块规划'!$E$18</x:f>
        <x:v>23929.581791426535</x:v>
      </x:c>
      <x:c r="T215" s="2" t="n">
        <x:f t="shared" si="287">1+T$9*SUMPRODUCT($H$10:$L$10,H215:L215)/SUM($H$10:$L$10)</x:f>
        <x:v>3.094910758549991</x:v>
      </x:c>
      <x:c r="U215" s="12" t="n">
        <x:f t="shared" si="288">R215*T215+S215</x:f>
        <x:v>46577.574833176404</x:v>
      </x:c>
      <x:c r="V215" s="2" t="n">
        <x:f t="shared" si="289">V$8+(V$9-V$8)*H215</x:f>
        <x:v>0.8888732871669953</x:v>
      </x:c>
      <x:c r="W215" s="2" t="n">
        <x:f t="shared" si="290">IF(B215&lt;$H$8,0,W$8+(W$9-W$8)*H215)</x:f>
        <x:v>0.25183104955599384</x:v>
      </x:c>
      <x:c r="X215" s="2" t="n">
        <x:f t="shared" si="291">X$8+(X$9-X$8)*H215</x:f>
        <x:v>0.44813384656974575</x:v>
      </x:c>
      <x:c r="Y215" s="2" t="n">
        <x:f t="shared" si="292">Y$8+(Y$9-Y$8)*G215</x:f>
        <x:v>1</x:v>
      </x:c>
      <x:c r="Z215" s="2" t="n">
        <x:f t="shared" si="293">Z$8+(Z$9-Z$8)*H215</x:f>
        <x:v>1</x:v>
      </x:c>
      <x:c r="AA215" s="2" t="n">
        <x:f t="shared" si="294">AA$8+(AA$9-AA$8)*I215</x:f>
        <x:v>1</x:v>
      </x:c>
      <x:c r="AB215" s="2" t="n">
        <x:f t="shared" si="295">AB$8+(AB$9-AB$8)*J215</x:f>
        <x:v>1</x:v>
      </x:c>
      <x:c r="AC215" s="2" t="n">
        <x:f t="shared" si="296">AC$8+(AC$9-AC$8)*MAX(K215,L215)</x:f>
        <x:v>1</x:v>
      </x:c>
      <x:c r="AD215" s="1" t="n">
        <x:f t="shared" si="297">(V215*AE215+W215*AF215+X215*AG215)*PRODUCT(Y215:AC215)</x:f>
        <x:v>1.7822427115108042</x:v>
      </x:c>
      <x:c r="AE215" s="2" t="n">
        <x:f t="shared" si="298">1+AE$9*($H$10*H215+$I$10*I215+$J$10*J215+$K$10*K215+$L$10*L215)</x:f>
        <x:v>1</x:v>
      </x:c>
      <x:c r="AF215" s="2" t="n">
        <x:f t="shared" si="299">1+AF$9*($H$10*H215+$I$10*I215+$J$10*J215+$K$10*K215+$L$10*L215)</x:f>
        <x:v>1.1848949576372059</x:v>
      </x:c>
      <x:c r="AG215" s="2" t="n">
        <x:f t="shared" si="300">1+AG$9*($H$10*H215+$I$10*I215+$J$10*J215+$K$10*K215+$L$10*L215)</x:f>
        <x:v>1.327674952701495</x:v>
      </x:c>
      <x:c r="AH215" s="2" t="n">
        <x:f>MIN(1,'_曲线基线'!$L$3+AH$9*($H$10*H215+$I$10*I215+$J$10*J215+$K$10*K215+$L$10*L215))</x:f>
        <x:v>0.4706360286246429</x:v>
      </x:c>
      <x:c r="AI215" s="2" t="n">
        <x:f>'_曲线基线'!$L$4+AI$9*($H$10*H215+$I$10*I215+$J$10*J215+$K$10*K215+$L$10*L215)</x:f>
        <x:v>3.1717717940257906</x:v>
      </x:c>
      <x:c r="AJ215" s="2" t="n">
        <x:f t="shared" si="301">1+AJ$9*($H$10*H215+$I$10*I215+$J$10*J215+$K$10*K215+$L$10*L215)</x:f>
        <x:v>1.9614537797134695</x:v>
      </x:c>
      <x:c r="AK215" s="1" t="n">
        <x:f t="shared" si="302">(1+AH215*(AI215-1))*AJ215</x:f>
        <x:v>3.9662832507372934</x:v>
      </x:c>
      <x:c r="AL215" s="1" t="n">
        <x:f t="shared" si="303">U215*AD215*AK215*F215</x:f>
        <x:v>1646256.2997907107</x:v>
      </x:c>
      <x:c r="AM215" s="13" t="n">
        <x:f t="shared" si="304">IF($B215&lt;AM$8,0,AM$3+(AM$4-AM$3)*(POWER(AM$5,$B215-AM$8)-1)/(POWER(AM$5,$C$5-AM$8)-1))</x:f>
        <x:v>43.776627524709625</x:v>
      </x:c>
      <x:c r="AN215" s="13" t="n">
        <x:f>(((E215*'模块规划'!$D$10+G215*'模块规划'!$D$11+H215*'模块规划'!$D$13)*(1+'模块规划'!$G$14*H215)+(I215*'模块规划'!$D$15+J215*'模块规划'!$D$17+K215*'模块规划'!$D$16+L215*'模块规划'!$D$18))*(1+'模块规划'!$J$17*J215))*F215/(1-Q215)</x:f>
        <x:v>2203131.976382326</x:v>
      </x:c>
      <x:c r="AO215" s="1" t="n">
        <x:f t="shared" si="305">AL215*AM215</x:f>
        <x:v>72067548.84614465</x:v>
      </x:c>
      <x:c r="AP215" s="1" t="n">
        <x:f>IF(AO215="","",INDEX('_曲线基线'!$A$3:$A$502,MIN(ROWS('_曲线基线'!$A$3:$A$502),COUNTIF('_曲线基线'!$E$3:$E$502,"&lt;"&amp;AO215)+1)))</x:f>
        <x:v>268</x:v>
      </x:c>
      <x:c r="AQ215" s="14" t="n">
        <x:f t="shared" si="306">IF(B215&lt;=2,1,IF(B215&lt;=6,2,IF(B215&lt;=9,3,IF(B215&lt;=19,4,5))))</x:f>
        <x:v>5</x:v>
      </x:c>
      <x:c r="AR215" s="10" t="n">
        <x:f t="shared" si="307">AN215*(1-Q215)/F215*$AS$3+U215*$AS$4+P215*$AS$5</x:f>
        <x:v>15078.296301155584</x:v>
      </x:c>
      <x:c r="AS215" s="15" t="n">
        <x:f t="shared" si="308">1+AH215*$AS$6+AI215*$AS$7+(AJ215-1)*$AS$8+($H$10*H215+$I$10*I215+$J$10*J215+$K$10*K215+$L$10*L215)*$AU$3*$AS$9+($H$10*H215+$I$10*I215+$J$10*J215+$K$10*K215+$L$10*L215)*$AU$4*$AS$10</x:f>
        <x:v>16.029263805718656</x:v>
      </x:c>
      <x:c r="AT215" s="16" t="n">
        <x:f t="shared" si="309">ROUND(AR215*AS215,0)</x:f>
        <x:v>241694</x:v>
      </x:c>
      <x:c r="AU215" s="16" t="n">
        <x:f t="shared" si="310">ROUND(AT215*F215,0)</x:f>
        <x:v>1208470</x:v>
      </x:c>
      <x:c r="AV215" t="n">
        <x:f>IF(AU215&gt;0,ROUND(AU215,-MAX(0,INT(LOG10(AU215))-2)),0)</x:f>
        <x:v>1210000</x:v>
      </x:c>
    </x:row>
    <x:row r="216" customHeight="1">
      <x:c r="A216" s="1" t="str">
        <x:f>IFERROR(XLOOKUP(B216,'_曲线基线'!$G$3:$G$107,'_曲线基线'!$J$3:$J$107,""),"")</x:f>
      </x:c>
      <x:c r="B216" s="1" t="n">
        <x:v>205</x:v>
      </x:c>
      <x:c r="C216" s="1" t="n">
        <x:f t="shared" si="255">C201+1</x:f>
        <x:v>15</x:v>
      </x:c>
      <x:c r="D216" s="1" t="n">
        <x:f t="shared" si="256">D201</x:f>
        <x:v>1</x:v>
      </x:c>
      <x:c r="E216" s="1" t="n">
        <x:f t="shared" si="282">IF($B216&lt;E$8,0,E$3+(E$4-E$3)*(POWER(E$5,$B216-E$8)-1)/(POWER(E$5,$C$5-E$8)-1))</x:f>
        <x:v>1</x:v>
      </x:c>
      <x:c r="F216" s="10" t="n">
        <x:f t="shared" si="283">1+IF(B216&lt;3,0,MIN(1,(B216-2)/4))+IF(B216&lt;7,0,MIN(1,(B216-6)/3))+IF(B216&lt;10,0,MIN(1,(B216-9)/5))+IF(B216&lt;20,0,MIN(1,(B216-19)/10))</x:f>
        <x:v>5</x:v>
      </x:c>
      <x:c r="G216" s="11" t="n">
        <x:f t="shared" ref="G216:L216" si="322">'玩家战力_节点'!G216</x:f>
        <x:v>0.8094438510025089</x:v>
      </x:c>
      <x:c r="H216" s="11" t="n">
        <x:f t="shared" si="322">'玩家战力_节点'!H216</x:f>
        <x:v>0.6306305864926378</x:v>
      </x:c>
      <x:c r="I216" s="11" t="n">
        <x:f t="shared" si="322">'玩家战力_节点'!I216</x:f>
        <x:v>0.556286598045145</x:v>
      </x:c>
      <x:c r="J216" s="11" t="n">
        <x:f t="shared" si="322">'玩家战力_节点'!J216</x:f>
        <x:v>0.5246578438564068</x:v>
      </x:c>
      <x:c r="K216" s="11" t="n">
        <x:f t="shared" si="322">'玩家战力_节点'!K216</x:f>
        <x:v>0.5271243862797621</x:v>
      </x:c>
      <x:c r="L216" s="11" t="n">
        <x:f t="shared" si="322">'玩家战力_节点'!L216</x:f>
        <x:v>0.6273841722394861</x:v>
      </x:c>
      <x:c r="M216" s="2" t="n">
        <x:f>E216*'模块规划'!$F$10+G216*'模块规划'!$F$11+H216*'模块规划'!$F$13</x:f>
        <x:v>4885.330484812042</x:v>
      </x:c>
      <x:c r="N216" s="2" t="n">
        <x:f>I216*'模块规划'!$F$15+J216*'模块规划'!$F$17+K216*'模块规划'!$F$16+L216*'模块规划'!$F$18</x:f>
        <x:v>15996.538401801232</x:v>
      </x:c>
      <x:c r="O216" s="2" t="n">
        <x:f t="shared" si="285">1+O$9*SUMPRODUCT($H$10:$L$10,H216:L216)/SUM($H$10:$L$10)</x:f>
        <x:v>3.100174333837233</x:v>
      </x:c>
      <x:c r="P216" s="12" t="n">
        <x:f t="shared" si="286">M216*O216+N216</x:f>
        <x:v>31141.91458312813</x:v>
      </x:c>
      <x:c r="Q216" s="7" t="n">
        <x:f>P216/(P216+'_曲线基线'!$L$2)</x:f>
        <x:v>0.5647593997879913</x:v>
      </x:c>
      <x:c r="R216" s="2" t="n">
        <x:f>E216*'模块规划'!$E$10+G216*'模块规划'!$E$11+H216*'模块规划'!$E$13</x:f>
        <x:v>7327.9957272180645</x:v>
      </x:c>
      <x:c r="S216" s="2" t="n">
        <x:f>I216*'模块规划'!$E$15+J216*'模块规划'!$E$17+K216*'模块规划'!$E$16+L216*'模块规划'!$E$18</x:f>
        <x:v>23994.807602701847</x:v>
      </x:c>
      <x:c r="T216" s="2" t="n">
        <x:f t="shared" si="287">1+T$9*SUMPRODUCT($H$10:$L$10,H216:L216)/SUM($H$10:$L$10)</x:f>
        <x:v>3.100174333837233</x:v>
      </x:c>
      <x:c r="U216" s="12" t="n">
        <x:f t="shared" si="288">R216*T216+S216</x:f>
        <x:v>46712.871874692195</x:v>
      </x:c>
      <x:c r="V216" s="2" t="n">
        <x:f t="shared" si="289">V$8+(V$9-V$8)*H216</x:f>
        <x:v>0.8891891759477913</x:v>
      </x:c>
      <x:c r="W216" s="2" t="n">
        <x:f t="shared" si="290">IF(B216&lt;$H$8,0,W$8+(W$9-W$8)*H216)</x:f>
        <x:v>0.25225223459705515</x:v>
      </x:c>
      <x:c r="X216" s="2" t="n">
        <x:f t="shared" si="291">X$8+(X$9-X$8)*H216</x:f>
        <x:v>0.44842341128547547</x:v>
      </x:c>
      <x:c r="Y216" s="2" t="n">
        <x:f t="shared" si="292">Y$8+(Y$9-Y$8)*G216</x:f>
        <x:v>1</x:v>
      </x:c>
      <x:c r="Z216" s="2" t="n">
        <x:f t="shared" si="293">Z$8+(Z$9-Z$8)*H216</x:f>
        <x:v>1</x:v>
      </x:c>
      <x:c r="AA216" s="2" t="n">
        <x:f t="shared" si="294">AA$8+(AA$9-AA$8)*I216</x:f>
        <x:v>1</x:v>
      </x:c>
      <x:c r="AB216" s="2" t="n">
        <x:f t="shared" si="295">AB$8+(AB$9-AB$8)*J216</x:f>
        <x:v>1</x:v>
      </x:c>
      <x:c r="AC216" s="2" t="n">
        <x:f t="shared" si="296">AC$8+(AC$9-AC$8)*MAX(K216,L216)</x:f>
        <x:v>1</x:v>
      </x:c>
      <x:c r="AD216" s="1" t="n">
        <x:f t="shared" si="297">(V216*AE216+W216*AF216+X216*AG216)*PRODUCT(Y216:AC216)</x:f>
        <x:v>1.7839284814249003</x:v>
      </x:c>
      <x:c r="AE216" s="2" t="n">
        <x:f t="shared" si="298">1+AE$9*($H$10*H216+$I$10*I216+$J$10*J216+$K$10*K216+$L$10*L216)</x:f>
        <x:v>1</x:v>
      </x:c>
      <x:c r="AF216" s="2" t="n">
        <x:f t="shared" si="299">1+AF$9*($H$10*H216+$I$10*I216+$J$10*J216+$K$10*K216+$L$10*L216)</x:f>
        <x:v>1.185359516103853</x:v>
      </x:c>
      <x:c r="AG216" s="2" t="n">
        <x:f t="shared" si="300">1+AG$9*($H$10*H216+$I$10*I216+$J$10*J216+$K$10*K216+$L$10*L216)</x:f>
        <x:v>1.3284982535396088</x:v>
      </x:c>
      <x:c r="AH216" s="2" t="n">
        <x:f>MIN(1,'_曲线基线'!$L$3+AH$9*($H$10*H216+$I$10*I216+$J$10*J216+$K$10*K216+$L$10*L216))</x:f>
        <x:v>0.47169289913626533</x:v>
      </x:c>
      <x:c r="AI216" s="2" t="n">
        <x:f>'_曲线基线'!$L$4+AI$9*($H$10*H216+$I$10*I216+$J$10*J216+$K$10*K216+$L$10*L216)</x:f>
        <x:v>3.1747159333081676</x:v>
      </x:c>
      <x:c r="AJ216" s="2" t="n">
        <x:f t="shared" si="301">1+AJ$9*($H$10*H216+$I$10*I216+$J$10*J216+$K$10*K216+$L$10*L216)</x:f>
        <x:v>1.963869483740035</x:v>
      </x:c>
      <x:c r="AK216" s="1" t="n">
        <x:f t="shared" si="302">(1+AH216*(AI216-1))*AJ216</x:f>
        <x:v>3.978402996891562</x:v>
      </x:c>
      <x:c r="AL216" s="1" t="n">
        <x:f t="shared" si="303">U216*AD216*AK216*F216</x:f>
        <x:v>1657649.7987801493</x:v>
      </x:c>
      <x:c r="AM216" s="13" t="n">
        <x:f t="shared" si="304">IF($B216&lt;AM$8,0,AM$3+(AM$4-AM$3)*(POWER(AM$5,$B216-AM$8)-1)/(POWER(AM$5,$C$5-AM$8)-1))</x:f>
        <x:v>43.87781843987859</x:v>
      </x:c>
      <x:c r="AN216" s="13" t="n">
        <x:f>(((E216*'模块规划'!$D$10+G216*'模块规划'!$D$11+H216*'模块规划'!$D$13)*(1+'模块规划'!$G$14*H216)+(I216*'模块规划'!$D$15+J216*'模块规划'!$D$17+K216*'模块规划'!$D$16+L216*'模块规划'!$D$18))*(1+'模块规划'!$J$17*J216))*F216/(1-Q216)</x:f>
        <x:v>2214138.8314003586</x:v>
      </x:c>
      <x:c r="AO216" s="1" t="n">
        <x:f t="shared" si="305">AL216*AM216</x:f>
        <x:v>72734056.90777667</x:v>
      </x:c>
      <x:c r="AP216" s="1" t="n">
        <x:f>IF(AO216="","",INDEX('_曲线基线'!$A$3:$A$502,MIN(ROWS('_曲线基线'!$A$3:$A$502),COUNTIF('_曲线基线'!$E$3:$E$502,"&lt;"&amp;AO216)+1)))</x:f>
        <x:v>269</x:v>
      </x:c>
      <x:c r="AQ216" s="14" t="n">
        <x:f t="shared" si="306">IF(B216&lt;=2,1,IF(B216&lt;=6,2,IF(B216&lt;=9,3,IF(B216&lt;=19,4,5))))</x:f>
        <x:v>5</x:v>
      </x:c>
      <x:c r="AR216" s="10" t="n">
        <x:f t="shared" si="307">AN216*(1-Q216)/F216*$AS$3+U216*$AS$4+P216*$AS$5</x:f>
        <x:v>15124.673058526885</x:v>
      </x:c>
      <x:c r="AS216" s="15" t="n">
        <x:f t="shared" si="308">1+AH216*$AS$6+AI216*$AS$7+(AJ216-1)*$AS$8+($H$10*H216+$I$10*I216+$J$10*J216+$K$10*K216+$L$10*L216)*$AU$3*$AS$9+($H$10*H216+$I$10*I216+$J$10*J216+$K$10*K216+$L$10*L216)*$AU$4*$AS$10</x:f>
        <x:v>16.057021701955385</x:v>
      </x:c>
      <x:c r="AT216" s="16" t="n">
        <x:f t="shared" si="309">ROUND(AR216*AS216,0)</x:f>
        <x:v>242857</x:v>
      </x:c>
      <x:c r="AU216" s="16" t="n">
        <x:f t="shared" si="310">ROUND(AT216*F216,0)</x:f>
        <x:v>1214285</x:v>
      </x:c>
      <x:c r="AV216" t="n">
        <x:f>IF(AU216&gt;0,ROUND(AU216,-MAX(0,INT(LOG10(AU216))-2)),0)</x:f>
        <x:v>1210000</x:v>
      </x:c>
    </x:row>
    <x:row r="217" customHeight="1">
      <x:c r="A217" s="1" t="str">
        <x:f>IFERROR(XLOOKUP(B217,'_曲线基线'!$G$3:$G$107,'_曲线基线'!$J$3:$J$107,""),"")</x:f>
      </x:c>
      <x:c r="B217" s="1" t="n">
        <x:v>206</x:v>
      </x:c>
      <x:c r="C217" s="1" t="n">
        <x:f t="shared" si="255">C202+1</x:f>
        <x:v>15</x:v>
      </x:c>
      <x:c r="D217" s="1" t="n">
        <x:f t="shared" si="256">D202</x:f>
        <x:v>2</x:v>
      </x:c>
      <x:c r="E217" s="1" t="n">
        <x:f t="shared" si="282">IF($B217&lt;E$8,0,E$3+(E$4-E$3)*(POWER(E$5,$B217-E$8)-1)/(POWER(E$5,$C$5-E$8)-1))</x:f>
        <x:v>1</x:v>
      </x:c>
      <x:c r="F217" s="10" t="n">
        <x:f t="shared" si="283">1+IF(B217&lt;3,0,MIN(1,(B217-2)/4))+IF(B217&lt;7,0,MIN(1,(B217-6)/3))+IF(B217&lt;10,0,MIN(1,(B217-9)/5))+IF(B217&lt;20,0,MIN(1,(B217-19)/10))</x:f>
        <x:v>5</x:v>
      </x:c>
      <x:c r="G217" s="11" t="n">
        <x:f t="shared" ref="G217:L217" si="323">'玩家战力_节点'!G217</x:f>
        <x:v>0.810809188041574</x:v>
      </x:c>
      <x:c r="H217" s="11" t="n">
        <x:f t="shared" si="323">'玩家战力_节点'!H217</x:f>
        <x:v>0.6316516792071281</x:v>
      </x:c>
      <x:c r="I217" s="11" t="n">
        <x:f t="shared" si="323">'玩家战力_节点'!I217</x:f>
        <x:v>0.5577681204701684</x:v>
      </x:c>
      <x:c r="J217" s="11" t="n">
        <x:f t="shared" si="323">'玩家战力_节点'!J217</x:f>
        <x:v>0.5257840598255455</x:v>
      </x:c>
      <x:c r="K217" s="11" t="n">
        <x:f t="shared" si="323">'玩家战力_节点'!K217</x:f>
        <x:v>0.5292364204222381</x:v>
      </x:c>
      <x:c r="L217" s="11" t="n">
        <x:f t="shared" si="323">'玩家战力_节点'!L217</x:f>
        <x:v>0.6284656377338641</x:v>
      </x:c>
      <x:c r="M217" s="2" t="n">
        <x:f>E217*'模块规划'!$F$10+G217*'模块规划'!$F$11+H217*'模块规划'!$F$13</x:f>
        <x:v>4891.884102599555</x:v>
      </x:c>
      <x:c r="N217" s="2" t="n">
        <x:f>I217*'模块规划'!$F$15+J217*'模块规划'!$F$17+K217*'模块规划'!$F$16+L217*'模块规划'!$F$18</x:f>
        <x:v>16037.732273219552</x:v>
      </x:c>
      <x:c r="O217" s="2" t="n">
        <x:f t="shared" si="285">1+O$9*SUMPRODUCT($H$10:$L$10,H217:L217)/SUM($H$10:$L$10)</x:f>
        <x:v>3.1051826231433832</x:v>
      </x:c>
      <x:c r="P217" s="12" t="n">
        <x:f t="shared" si="286">M217*O217+N217</x:f>
        <x:v>31227.925783043054</x:v>
      </x:c>
      <x:c r="Q217" s="7" t="n">
        <x:f>P217/(P217+'_曲线基线'!$L$2)</x:f>
        <x:v>0.5654372374171464</x:v>
      </x:c>
      <x:c r="R217" s="2" t="n">
        <x:f>E217*'模块规划'!$E$10+G217*'模块规划'!$E$11+H217*'模块规划'!$E$13</x:f>
        <x:v>7337.826153899333</x:v>
      </x:c>
      <x:c r="S217" s="2" t="n">
        <x:f>I217*'模块规划'!$E$15+J217*'模块规划'!$E$17+K217*'模块规划'!$E$16+L217*'模块规划'!$E$18</x:f>
        <x:v>24056.598409829327</x:v>
      </x:c>
      <x:c r="T217" s="2" t="n">
        <x:f t="shared" si="287">1+T$9*SUMPRODUCT($H$10:$L$10,H217:L217)/SUM($H$10:$L$10)</x:f>
        <x:v>3.1051826231433832</x:v>
      </x:c>
      <x:c r="U217" s="12" t="n">
        <x:f t="shared" si="288">R217*T217+S217</x:f>
        <x:v>46841.88867456458</x:v>
      </x:c>
      <x:c r="V217" s="2" t="n">
        <x:f t="shared" si="289">V$8+(V$9-V$8)*H217</x:f>
        <x:v>0.8894955037621384</x:v>
      </x:c>
      <x:c r="W217" s="2" t="n">
        <x:f t="shared" si="290">IF(B217&lt;$H$8,0,W$8+(W$9-W$8)*H217)</x:f>
        <x:v>0.2526606716828512</x:v>
      </x:c>
      <x:c r="X217" s="2" t="n">
        <x:f t="shared" si="291">X$8+(X$9-X$8)*H217</x:f>
        <x:v>0.4487042117819603</x:v>
      </x:c>
      <x:c r="Y217" s="2" t="n">
        <x:f t="shared" si="292">Y$8+(Y$9-Y$8)*G217</x:f>
        <x:v>1</x:v>
      </x:c>
      <x:c r="Z217" s="2" t="n">
        <x:f t="shared" si="293">Z$8+(Z$9-Z$8)*H217</x:f>
        <x:v>1</x:v>
      </x:c>
      <x:c r="AA217" s="2" t="n">
        <x:f t="shared" si="294">AA$8+(AA$9-AA$8)*I217</x:f>
        <x:v>1</x:v>
      </x:c>
      <x:c r="AB217" s="2" t="n">
        <x:f t="shared" si="295">AB$8+(AB$9-AB$8)*J217</x:f>
        <x:v>1</x:v>
      </x:c>
      <x:c r="AC217" s="2" t="n">
        <x:f t="shared" si="296">AC$8+(AC$9-AC$8)*MAX(K217,L217)</x:f>
        <x:v>1</x:v>
      </x:c>
      <x:c r="AD217" s="1" t="n">
        <x:f t="shared" si="297">(V217*AE217+W217*AF217+X217*AG217)*PRODUCT(Y217:AC217)</x:f>
        <x:v>1.7855551814449862</x:v>
      </x:c>
      <x:c r="AE217" s="2" t="n">
        <x:f t="shared" si="298">1+AE$9*($H$10*H217+$I$10*I217+$J$10*J217+$K$10*K217+$L$10*L217)</x:f>
        <x:v>1</x:v>
      </x:c>
      <x:c r="AF217" s="2" t="n">
        <x:f t="shared" si="299">1+AF$9*($H$10*H217+$I$10*I217+$J$10*J217+$K$10*K217+$L$10*L217)</x:f>
        <x:v>1.1858015432571893</x:v>
      </x:c>
      <x:c r="AG217" s="2" t="n">
        <x:f t="shared" si="300">1+AG$9*($H$10*H217+$I$10*I217+$J$10*J217+$K$10*K217+$L$10*L217)</x:f>
        <x:v>1.3292816238835772</x:v>
      </x:c>
      <x:c r="AH217" s="2" t="n">
        <x:f>MIN(1,'_曲线基线'!$L$3+AH$9*($H$10*H217+$I$10*I217+$J$10*J217+$K$10*K217+$L$10*L217))</x:f>
        <x:v>0.4726985109101055</x:v>
      </x:c>
      <x:c r="AI217" s="2" t="n">
        <x:f>'_曲线基线'!$L$4+AI$9*($H$10*H217+$I$10*I217+$J$10*J217+$K$10*K217+$L$10*L217)</x:f>
        <x:v>3.177517280392437</x:v>
      </x:c>
      <x:c r="AJ217" s="2" t="n">
        <x:f t="shared" si="301">1+AJ$9*($H$10*H217+$I$10*I217+$J$10*J217+$K$10*K217+$L$10*L217)</x:f>
        <x:v>1.9661680249373843</x:v>
      </x:c>
      <x:c r="AK217" s="1" t="n">
        <x:f t="shared" si="302">(1+AH217*(AI217-1))*AJ217</x:f>
        <x:v>3.9899628144109074</x:v>
      </x:c>
      <x:c r="AL217" s="1" t="n">
        <x:f t="shared" si="303">U217*AD217*AK217*F217</x:f>
        <x:v>1668578.0509932085</x:v>
      </x:c>
      <x:c r="AM217" s="13" t="n">
        <x:f t="shared" si="304">IF($B217&lt;AM$8,0,AM$3+(AM$4-AM$3)*(POWER(AM$5,$B217-AM$8)-1)/(POWER(AM$5,$C$5-AM$8)-1))</x:f>
        <x:v>43.980021264199245</x:v>
      </x:c>
      <x:c r="AN217" s="13" t="n">
        <x:f>(((E217*'模块规划'!$D$10+G217*'模块规划'!$D$11+H217*'模块规划'!$D$13)*(1+'模块规划'!$G$14*H217)+(I217*'模块规划'!$D$15+J217*'模块规划'!$D$17+K217*'模块规划'!$D$16+L217*'模块规划'!$D$18))*(1+'模块规划'!$J$17*J217))*F217/(1-Q217)</x:f>
        <x:v>2224682.3676230605</x:v>
      </x:c>
      <x:c r="AO217" s="1" t="n">
        <x:f t="shared" si="305">AL217*AM217</x:f>
        <x:v>73384098.16365744</x:v>
      </x:c>
      <x:c r="AP217" s="1" t="n">
        <x:f>IF(AO217="","",INDEX('_曲线基线'!$A$3:$A$502,MIN(ROWS('_曲线基线'!$A$3:$A$502),COUNTIF('_曲线基线'!$E$3:$E$502,"&lt;"&amp;AO217)+1)))</x:f>
        <x:v>269</x:v>
      </x:c>
      <x:c r="AQ217" s="14" t="n">
        <x:f t="shared" si="306">IF(B217&lt;=2,1,IF(B217&lt;=6,2,IF(B217&lt;=9,3,IF(B217&lt;=19,4,5))))</x:f>
        <x:v>5</x:v>
      </x:c>
      <x:c r="AR217" s="10" t="n">
        <x:f t="shared" si="307">AN217*(1-Q217)/F217*$AS$3+U217*$AS$4+P217*$AS$5</x:f>
        <x:v>15168.96242817476</x:v>
      </x:c>
      <x:c r="AS217" s="15" t="n">
        <x:f t="shared" si="308">1+AH217*$AS$6+AI217*$AS$7+(AJ217-1)*$AS$8+($H$10*H217+$I$10*I217+$J$10*J217+$K$10*K217+$L$10*L217)*$AU$3*$AS$9+($H$10*H217+$I$10*I217+$J$10*J217+$K$10*K217+$L$10*L217)*$AU$4*$AS$10</x:f>
        <x:v>16.083433326620586</x:v>
      </x:c>
      <x:c r="AT217" s="16" t="n">
        <x:f t="shared" si="309">ROUND(AR217*AS217,0)</x:f>
        <x:v>243969</x:v>
      </x:c>
      <x:c r="AU217" s="16" t="n">
        <x:f t="shared" si="310">ROUND(AT217*F217,0)</x:f>
        <x:v>1219845</x:v>
      </x:c>
      <x:c r="AV217" t="n">
        <x:f>IF(AU217&gt;0,ROUND(AU217,-MAX(0,INT(LOG10(AU217))-2)),0)</x:f>
        <x:v>1220000</x:v>
      </x:c>
    </x:row>
    <x:row r="218" customHeight="1">
      <x:c r="A218" s="1" t="str">
        <x:f>IFERROR(XLOOKUP(B218,'_曲线基线'!$G$3:$G$107,'_曲线基线'!$J$3:$J$107,""),"")</x:f>
      </x:c>
      <x:c r="B218" s="1" t="n">
        <x:v>207</x:v>
      </x:c>
      <x:c r="C218" s="1" t="n">
        <x:f t="shared" si="255">C203+1</x:f>
        <x:v>15</x:v>
      </x:c>
      <x:c r="D218" s="1" t="n">
        <x:f t="shared" si="256">D203</x:f>
        <x:v>3</x:v>
      </x:c>
      <x:c r="E218" s="1" t="n">
        <x:f t="shared" si="282">IF($B218&lt;E$8,0,E$3+(E$4-E$3)*(POWER(E$5,$B218-E$8)-1)/(POWER(E$5,$C$5-E$8)-1))</x:f>
        <x:v>1</x:v>
      </x:c>
      <x:c r="F218" s="10" t="n">
        <x:f t="shared" si="283">1+IF(B218&lt;3,0,MIN(1,(B218-2)/4))+IF(B218&lt;7,0,MIN(1,(B218-6)/3))+IF(B218&lt;10,0,MIN(1,(B218-9)/5))+IF(B218&lt;20,0,MIN(1,(B218-19)/10))</x:f>
        <x:v>5</x:v>
      </x:c>
      <x:c r="G218" s="11" t="n">
        <x:f t="shared" ref="G218:L218" si="324">'玩家战力_节点'!G218</x:f>
        <x:v>0.8121745250806389</x:v>
      </x:c>
      <x:c r="H218" s="11" t="n">
        <x:f t="shared" si="324">'玩家战力_节点'!H218</x:f>
        <x:v>0.6326727719216184</x:v>
      </x:c>
      <x:c r="I218" s="11" t="n">
        <x:f t="shared" si="324">'玩家战力_节点'!I218</x:f>
        <x:v>0.5592496428951919</x:v>
      </x:c>
      <x:c r="J218" s="11" t="n">
        <x:f t="shared" si="324">'玩家战力_节点'!J218</x:f>
        <x:v>0.5269102757946844</x:v>
      </x:c>
      <x:c r="K218" s="11" t="n">
        <x:f t="shared" si="324">'玩家战力_节点'!K218</x:f>
        <x:v>0.5313484545647141</x:v>
      </x:c>
      <x:c r="L218" s="11" t="n">
        <x:f t="shared" si="324">'玩家战力_节点'!L218</x:f>
        <x:v>0.6295471032282421</x:v>
      </x:c>
      <x:c r="M218" s="2" t="n">
        <x:f>E218*'模块规划'!$F$10+G218*'模块规划'!$F$11+H218*'模块规划'!$F$13</x:f>
        <x:v>4898.437720387066</x:v>
      </x:c>
      <x:c r="N218" s="2" t="n">
        <x:f>I218*'模块规划'!$F$15+J218*'模块规划'!$F$17+K218*'模块规划'!$F$16+L218*'模块规划'!$F$18</x:f>
        <x:v>16078.926144637875</x:v>
      </x:c>
      <x:c r="O218" s="2" t="n">
        <x:f t="shared" si="285">1+O$9*SUMPRODUCT($H$10:$L$10,H218:L218)/SUM($H$10:$L$10)</x:f>
        <x:v>3.1101909124495344</x:v>
      </x:c>
      <x:c r="P218" s="12" t="n">
        <x:f t="shared" si="286">M218*O218+N218</x:f>
        <x:v>31314.00262778574</x:v>
      </x:c>
      <x:c r="Q218" s="7" t="n">
        <x:f>P218/(P218+'_曲线基线'!$L$2)</x:f>
        <x:v>0.56611348194238</x:v>
      </x:c>
      <x:c r="R218" s="2" t="n">
        <x:f>E218*'模块规划'!$E$10+G218*'模块规划'!$E$11+H218*'模块规划'!$E$13</x:f>
        <x:v>7347.6565805806</x:v>
      </x:c>
      <x:c r="S218" s="2" t="n">
        <x:f>I218*'模块规划'!$E$15+J218*'模块规划'!$E$17+K218*'模块规划'!$E$16+L218*'模块规划'!$E$18</x:f>
        <x:v>24118.38921695681</x:v>
      </x:c>
      <x:c r="T218" s="2" t="n">
        <x:f t="shared" si="287">1+T$9*SUMPRODUCT($H$10:$L$10,H218:L218)/SUM($H$10:$L$10)</x:f>
        <x:v>3.1101909124495344</x:v>
      </x:c>
      <x:c r="U218" s="12" t="n">
        <x:f t="shared" si="288">R218*T218+S218</x:f>
        <x:v>46971.00394167862</x:v>
      </x:c>
      <x:c r="V218" s="2" t="n">
        <x:f t="shared" si="289">V$8+(V$9-V$8)*H218</x:f>
        <x:v>0.8898018315764855</x:v>
      </x:c>
      <x:c r="W218" s="2" t="n">
        <x:f t="shared" si="290">IF(B218&lt;$H$8,0,W$8+(W$9-W$8)*H218)</x:f>
        <x:v>0.25306910876864736</x:v>
      </x:c>
      <x:c r="X218" s="2" t="n">
        <x:f t="shared" si="291">X$8+(X$9-X$8)*H218</x:f>
        <x:v>0.4489850122784451</x:v>
      </x:c>
      <x:c r="Y218" s="2" t="n">
        <x:f t="shared" si="292">Y$8+(Y$9-Y$8)*G218</x:f>
        <x:v>1</x:v>
      </x:c>
      <x:c r="Z218" s="2" t="n">
        <x:f t="shared" si="293">Z$8+(Z$9-Z$8)*H218</x:f>
        <x:v>1</x:v>
      </x:c>
      <x:c r="AA218" s="2" t="n">
        <x:f t="shared" si="294">AA$8+(AA$9-AA$8)*I218</x:f>
        <x:v>1</x:v>
      </x:c>
      <x:c r="AB218" s="2" t="n">
        <x:f t="shared" si="295">AB$8+(AB$9-AB$8)*J218</x:f>
        <x:v>1</x:v>
      </x:c>
      <x:c r="AC218" s="2" t="n">
        <x:f t="shared" si="296">AC$8+(AC$9-AC$8)*MAX(K218,L218)</x:f>
        <x:v>1</x:v>
      </x:c>
      <x:c r="AD218" s="1" t="n">
        <x:f t="shared" si="297">(V218*AE218+W218*AF218+X218*AG218)*PRODUCT(Y218:AC218)</x:f>
        <x:v>1.7871826824872001</x:v>
      </x:c>
      <x:c r="AE218" s="2" t="n">
        <x:f t="shared" si="298">1+AE$9*($H$10*H218+$I$10*I218+$J$10*J218+$K$10*K218+$L$10*L218)</x:f>
        <x:v>1</x:v>
      </x:c>
      <x:c r="AF218" s="2" t="n">
        <x:f t="shared" si="299">1+AF$9*($H$10*H218+$I$10*I218+$J$10*J218+$K$10*K218+$L$10*L218)</x:f>
        <x:v>1.1862435704105259</x:v>
      </x:c>
      <x:c r="AG218" s="2" t="n">
        <x:f t="shared" si="300">1+AG$9*($H$10*H218+$I$10*I218+$J$10*J218+$K$10*K218+$L$10*L218)</x:f>
        <x:v>1.3300649942275455</x:v>
      </x:c>
      <x:c r="AH218" s="2" t="n">
        <x:f>MIN(1,'_曲线基线'!$L$3+AH$9*($H$10*H218+$I$10*I218+$J$10*J218+$K$10*K218+$L$10*L218))</x:f>
        <x:v>0.47370412268394585</x:v>
      </x:c>
      <x:c r="AI218" s="2" t="n">
        <x:f>'_曲线基线'!$L$4+AI$9*($H$10*H218+$I$10*I218+$J$10*J218+$K$10*K218+$L$10*L218)</x:f>
        <x:v>3.1803186274767064</x:v>
      </x:c>
      <x:c r="AJ218" s="2" t="n">
        <x:f t="shared" si="301">1+AJ$9*($H$10*H218+$I$10*I218+$J$10*J218+$K$10*K218+$L$10*L218)</x:f>
        <x:v>1.9684665661347336</x:v>
      </x:c>
      <x:c r="AK218" s="1" t="n">
        <x:f t="shared" si="302">(1+AH218*(AI218-1))*AJ218</x:f>
        <x:v>4.00154986341072</x:v>
      </x:c>
      <x:c r="AL218" s="1" t="n">
        <x:f t="shared" si="303">U218*AD218*AK218*F218</x:f>
        <x:v>1679565.8188190456</x:v>
      </x:c>
      <x:c r="AM218" s="13" t="n">
        <x:f t="shared" si="304">IF($B218&lt;AM$8,0,AM$3+(AM$4-AM$3)*(POWER(AM$5,$B218-AM$8)-1)/(POWER(AM$5,$C$5-AM$8)-1))</x:f>
        <x:v>44.08324611676311</x:v>
      </x:c>
      <x:c r="AN218" s="13" t="n">
        <x:f>(((E218*'模块规划'!$D$10+G218*'模块规划'!$D$11+H218*'模块规划'!$D$13)*(1+'模块规划'!$G$14*H218)+(I218*'模块规划'!$D$15+J218*'模块规划'!$D$17+K218*'模块规划'!$D$16+L218*'模块规划'!$D$18))*(1+'模块规划'!$J$17*J218))*F218/(1-Q218)</x:f>
        <x:v>2235260.488383866</x:v>
      </x:c>
      <x:c r="AO218" s="1" t="n">
        <x:f t="shared" si="305">AL218*AM218</x:f>
        <x:v>74040713.36030273</x:v>
      </x:c>
      <x:c r="AP218" s="1" t="n">
        <x:f>IF(AO218="","",INDEX('_曲线基线'!$A$3:$A$502,MIN(ROWS('_曲线基线'!$A$3:$A$502),COUNTIF('_曲线基线'!$E$3:$E$502,"&lt;"&amp;AO218)+1)))</x:f>
        <x:v>270</x:v>
      </x:c>
      <x:c r="AQ218" s="14" t="n">
        <x:f t="shared" si="306">IF(B218&lt;=2,1,IF(B218&lt;=6,2,IF(B218&lt;=9,3,IF(B218&lt;=19,4,5))))</x:f>
        <x:v>5</x:v>
      </x:c>
      <x:c r="AR218" s="10" t="n">
        <x:f t="shared" si="307">AN218*(1-Q218)/F218*$AS$3+U218*$AS$4+P218*$AS$5</x:f>
        <x:v>15213.297129875627</x:v>
      </x:c>
      <x:c r="AS218" s="15" t="n">
        <x:f t="shared" si="308">1+AH218*$AS$6+AI218*$AS$7+(AJ218-1)*$AS$8+($H$10*H218+$I$10*I218+$J$10*J218+$K$10*K218+$L$10*L218)*$AU$3*$AS$9+($H$10*H218+$I$10*I218+$J$10*J218+$K$10*K218+$L$10*L218)*$AU$4*$AS$10</x:f>
        <x:v>16.10984495128579</x:v>
      </x:c>
      <x:c r="AT218" s="16" t="n">
        <x:f t="shared" si="309">ROUND(AR218*AS218,0)</x:f>
        <x:v>245084</x:v>
      </x:c>
      <x:c r="AU218" s="16" t="n">
        <x:f t="shared" si="310">ROUND(AT218*F218,0)</x:f>
        <x:v>1225420</x:v>
      </x:c>
      <x:c r="AV218" t="n">
        <x:f>IF(AU218&gt;0,ROUND(AU218,-MAX(0,INT(LOG10(AU218))-2)),0)</x:f>
        <x:v>1230000</x:v>
      </x:c>
    </x:row>
    <x:row r="219" customHeight="1">
      <x:c r="A219" s="1" t="str">
        <x:f>IFERROR(XLOOKUP(B219,'_曲线基线'!$G$3:$G$107,'_曲线基线'!$J$3:$J$107,""),"")</x:f>
      </x:c>
      <x:c r="B219" s="1" t="n">
        <x:v>208</x:v>
      </x:c>
      <x:c r="C219" s="1" t="n">
        <x:f t="shared" si="255">C204+1</x:f>
        <x:v>15</x:v>
      </x:c>
      <x:c r="D219" s="1" t="n">
        <x:f t="shared" si="256">D204</x:f>
        <x:v>4</x:v>
      </x:c>
      <x:c r="E219" s="1" t="n">
        <x:f t="shared" si="282">IF($B219&lt;E$8,0,E$3+(E$4-E$3)*(POWER(E$5,$B219-E$8)-1)/(POWER(E$5,$C$5-E$8)-1))</x:f>
        <x:v>1</x:v>
      </x:c>
      <x:c r="F219" s="10" t="n">
        <x:f t="shared" si="283">1+IF(B219&lt;3,0,MIN(1,(B219-2)/4))+IF(B219&lt;7,0,MIN(1,(B219-6)/3))+IF(B219&lt;10,0,MIN(1,(B219-9)/5))+IF(B219&lt;20,0,MIN(1,(B219-19)/10))</x:f>
        <x:v>5</x:v>
      </x:c>
      <x:c r="G219" s="11" t="n">
        <x:f t="shared" ref="G219:L219" si="325">'玩家战力_节点'!G219</x:f>
        <x:v>0.813539862119704</x:v>
      </x:c>
      <x:c r="H219" s="11" t="n">
        <x:f t="shared" si="325">'玩家战力_节点'!H219</x:f>
        <x:v>0.6336938646361087</x:v>
      </x:c>
      <x:c r="I219" s="11" t="n">
        <x:f t="shared" si="325">'玩家战力_节点'!I219</x:f>
        <x:v>0.5607311653202152</x:v>
      </x:c>
      <x:c r="J219" s="11" t="n">
        <x:f t="shared" si="325">'玩家战力_节点'!J219</x:f>
        <x:v>0.5280364917638232</x:v>
      </x:c>
      <x:c r="K219" s="11" t="n">
        <x:f t="shared" si="325">'玩家战力_节点'!K219</x:f>
        <x:v>0.5334604887071902</x:v>
      </x:c>
      <x:c r="L219" s="11" t="n">
        <x:f t="shared" si="325">'玩家战力_节点'!L219</x:f>
        <x:v>0.6306285687226202</x:v>
      </x:c>
      <x:c r="M219" s="2" t="n">
        <x:f>E219*'模块规划'!$F$10+G219*'模块规划'!$F$11+H219*'模块规划'!$F$13</x:f>
        <x:v>4904.991338174579</x:v>
      </x:c>
      <x:c r="N219" s="2" t="n">
        <x:f>I219*'模块规划'!$F$15+J219*'模块规划'!$F$17+K219*'模块规划'!$F$16+L219*'模块规划'!$F$18</x:f>
        <x:v>16120.120016056195</x:v>
      </x:c>
      <x:c r="O219" s="2" t="n">
        <x:f t="shared" si="285">1+O$9*SUMPRODUCT($H$10:$L$10,H219:L219)/SUM($H$10:$L$10)</x:f>
        <x:v>3.115199201755685</x:v>
      </x:c>
      <x:c r="P219" s="12" t="n">
        <x:f t="shared" si="286">M219*O219+N219</x:f>
        <x:v>31400.145117356195</x:v>
      </x:c>
      <x:c r="Q219" s="7" t="n">
        <x:f>P219/(P219+'_曲线基线'!$L$2)</x:f>
        <x:v>0.5667881383855601</x:v>
      </x:c>
      <x:c r="R219" s="2" t="n">
        <x:f>E219*'模块规划'!$E$10+G219*'模块规划'!$E$11+H219*'模块规划'!$E$13</x:f>
        <x:v>7357.487007261869</x:v>
      </x:c>
      <x:c r="S219" s="2" t="n">
        <x:f>I219*'模块规划'!$E$15+J219*'模块规划'!$E$17+K219*'模块规划'!$E$16+L219*'模块规划'!$E$18</x:f>
        <x:v>24180.180024084293</x:v>
      </x:c>
      <x:c r="T219" s="2" t="n">
        <x:f t="shared" si="287">1+T$9*SUMPRODUCT($H$10:$L$10,H219:L219)/SUM($H$10:$L$10)</x:f>
        <x:v>3.115199201755685</x:v>
      </x:c>
      <x:c r="U219" s="12" t="n">
        <x:f t="shared" si="288">R219*T219+S219</x:f>
        <x:v>47100.21767603429</x:v>
      </x:c>
      <x:c r="V219" s="2" t="n">
        <x:f t="shared" si="289">V$8+(V$9-V$8)*H219</x:f>
        <x:v>0.8901081593908325</x:v>
      </x:c>
      <x:c r="W219" s="2" t="n">
        <x:f t="shared" si="290">IF(B219&lt;$H$8,0,W$8+(W$9-W$8)*H219)</x:f>
        <x:v>0.2534775458544435</x:v>
      </x:c>
      <x:c r="X219" s="2" t="n">
        <x:f t="shared" si="291">X$8+(X$9-X$8)*H219</x:f>
        <x:v>0.44926581277492994</x:v>
      </x:c>
      <x:c r="Y219" s="2" t="n">
        <x:f t="shared" si="292">Y$8+(Y$9-Y$8)*G219</x:f>
        <x:v>1</x:v>
      </x:c>
      <x:c r="Z219" s="2" t="n">
        <x:f t="shared" si="293">Z$8+(Z$9-Z$8)*H219</x:f>
        <x:v>1</x:v>
      </x:c>
      <x:c r="AA219" s="2" t="n">
        <x:f t="shared" si="294">AA$8+(AA$9-AA$8)*I219</x:f>
        <x:v>1</x:v>
      </x:c>
      <x:c r="AB219" s="2" t="n">
        <x:f t="shared" si="295">AB$8+(AB$9-AB$8)*J219</x:f>
        <x:v>1</x:v>
      </x:c>
      <x:c r="AC219" s="2" t="n">
        <x:f t="shared" si="296">AC$8+(AC$9-AC$8)*MAX(K219,L219)</x:f>
        <x:v>1</x:v>
      </x:c>
      <x:c r="AD219" s="1" t="n">
        <x:f t="shared" si="297">(V219*AE219+W219*AF219+X219*AG219)*PRODUCT(Y219:AC219)</x:f>
        <x:v>1.7888109845515414</x:v>
      </x:c>
      <x:c r="AE219" s="2" t="n">
        <x:f t="shared" si="298">1+AE$9*($H$10*H219+$I$10*I219+$J$10*J219+$K$10*K219+$L$10*L219)</x:f>
        <x:v>1</x:v>
      </x:c>
      <x:c r="AF219" s="2" t="n">
        <x:f t="shared" si="299">1+AF$9*($H$10*H219+$I$10*I219+$J$10*J219+$K$10*K219+$L$10*L219)</x:f>
        <x:v>1.1866855975638622</x:v>
      </x:c>
      <x:c r="AG219" s="2" t="n">
        <x:f t="shared" si="300">1+AG$9*($H$10*H219+$I$10*I219+$J$10*J219+$K$10*K219+$L$10*L219)</x:f>
        <x:v>1.330848364571514</x:v>
      </x:c>
      <x:c r="AH219" s="2" t="n">
        <x:f>MIN(1,'_曲线基线'!$L$3+AH$9*($H$10*H219+$I$10*I219+$J$10*J219+$K$10*K219+$L$10*L219))</x:f>
        <x:v>0.47470973445778614</x:v>
      </x:c>
      <x:c r="AI219" s="2" t="n">
        <x:f>'_曲线基线'!$L$4+AI$9*($H$10*H219+$I$10*I219+$J$10*J219+$K$10*K219+$L$10*L219)</x:f>
        <x:v>3.1831199745609755</x:v>
      </x:c>
      <x:c r="AJ219" s="2" t="n">
        <x:f t="shared" si="301">1+AJ$9*($H$10*H219+$I$10*I219+$J$10*J219+$K$10*K219+$L$10*L219)</x:f>
        <x:v>1.9707651073320829</x:v>
      </x:c>
      <x:c r="AK219" s="1" t="n">
        <x:f t="shared" si="302">(1+AH219*(AI219-1))*AJ219</x:f>
        <x:v>4.013164182741875</x:v>
      </x:c>
      <x:c r="AL219" s="1" t="n">
        <x:f t="shared" si="303">U219*AD219*AK219*F219</x:f>
        <x:v>1690613.3699724115</x:v>
      </x:c>
      <x:c r="AM219" s="13" t="n">
        <x:f t="shared" si="304">IF($B219&lt;AM$8,0,AM$3+(AM$4-AM$3)*(POWER(AM$5,$B219-AM$8)-1)/(POWER(AM$5,$C$5-AM$8)-1))</x:f>
        <x:v>44.18750321785261</x:v>
      </x:c>
      <x:c r="AN219" s="13" t="n">
        <x:f>(((E219*'模块规划'!$D$10+G219*'模块规划'!$D$11+H219*'模块规划'!$D$13)*(1+'模块规划'!$G$14*H219)+(I219*'模块规划'!$D$15+J219*'模块规划'!$D$17+K219*'模块规划'!$D$16+L219*'模块规划'!$D$18))*(1+'模块规划'!$J$17*J219))*F219/(1-Q219)</x:f>
        <x:v>2245873.2677944656</x:v>
      </x:c>
      <x:c r="AO219" s="1" t="n">
        <x:f t="shared" si="305">AL219*AM219</x:f>
        <x:v>74703983.72580057</x:v>
      </x:c>
      <x:c r="AP219" s="1" t="n">
        <x:f>IF(AO219="","",INDEX('_曲线基线'!$A$3:$A$502,MIN(ROWS('_曲线基线'!$A$3:$A$502),COUNTIF('_曲线基线'!$E$3:$E$502,"&lt;"&amp;AO219)+1)))</x:f>
        <x:v>271</x:v>
      </x:c>
      <x:c r="AQ219" s="14" t="n">
        <x:f t="shared" si="306">IF(B219&lt;=2,1,IF(B219&lt;=6,2,IF(B219&lt;=9,3,IF(B219&lt;=19,4,5))))</x:f>
        <x:v>5</x:v>
      </x:c>
      <x:c r="AR219" s="10" t="n">
        <x:f t="shared" si="307">AN219*(1-Q219)/F219*$AS$3+U219*$AS$4+P219*$AS$5</x:f>
        <x:v>15257.677170954936</x:v>
      </x:c>
      <x:c r="AS219" s="15" t="n">
        <x:f t="shared" si="308">1+AH219*$AS$6+AI219*$AS$7+(AJ219-1)*$AS$8+($H$10*H219+$I$10*I219+$J$10*J219+$K$10*K219+$L$10*L219)*$AU$3*$AS$9+($H$10*H219+$I$10*I219+$J$10*J219+$K$10*K219+$L$10*L219)*$AU$4*$AS$10</x:f>
        <x:v>16.13625657595099</x:v>
      </x:c>
      <x:c r="AT219" s="16" t="n">
        <x:f t="shared" si="309">ROUND(AR219*AS219,0)</x:f>
        <x:v>246202</x:v>
      </x:c>
      <x:c r="AU219" s="16" t="n">
        <x:f t="shared" si="310">ROUND(AT219*F219,0)</x:f>
        <x:v>1231010</x:v>
      </x:c>
      <x:c r="AV219" t="n">
        <x:f>IF(AU219&gt;0,ROUND(AU219,-MAX(0,INT(LOG10(AU219))-2)),0)</x:f>
        <x:v>1230000</x:v>
      </x:c>
    </x:row>
    <x:row r="220" customHeight="1">
      <x:c r="A220" s="1" t="str">
        <x:f>IFERROR(XLOOKUP(B220,'_曲线基线'!$G$3:$G$107,'_曲线基线'!$J$3:$J$107,""),"")</x:f>
      </x:c>
      <x:c r="B220" s="1" t="n">
        <x:v>209</x:v>
      </x:c>
      <x:c r="C220" s="1" t="n">
        <x:f t="shared" si="255">C205+1</x:f>
        <x:v>15</x:v>
      </x:c>
      <x:c r="D220" s="1" t="n">
        <x:f t="shared" si="256">D205</x:f>
        <x:v>5</x:v>
      </x:c>
      <x:c r="E220" s="1" t="n">
        <x:f t="shared" si="282">IF($B220&lt;E$8,0,E$3+(E$4-E$3)*(POWER(E$5,$B220-E$8)-1)/(POWER(E$5,$C$5-E$8)-1))</x:f>
        <x:v>1</x:v>
      </x:c>
      <x:c r="F220" s="10" t="n">
        <x:f t="shared" si="283">1+IF(B220&lt;3,0,MIN(1,(B220-2)/4))+IF(B220&lt;7,0,MIN(1,(B220-6)/3))+IF(B220&lt;10,0,MIN(1,(B220-9)/5))+IF(B220&lt;20,0,MIN(1,(B220-19)/10))</x:f>
        <x:v>5</x:v>
      </x:c>
      <x:c r="G220" s="11" t="n">
        <x:f t="shared" ref="G220:L220" si="326">'玩家战力_节点'!G220</x:f>
        <x:v>0.814905199158769</x:v>
      </x:c>
      <x:c r="H220" s="11" t="n">
        <x:f t="shared" si="326">'玩家战力_节点'!H220</x:f>
        <x:v>0.6347149573505989</x:v>
      </x:c>
      <x:c r="I220" s="11" t="n">
        <x:f t="shared" si="326">'玩家战力_节点'!I220</x:f>
        <x:v>0.5622126877452386</x:v>
      </x:c>
      <x:c r="J220" s="11" t="n">
        <x:f t="shared" si="326">'玩家战力_节点'!J220</x:f>
        <x:v>0.5291627077329621</x:v>
      </x:c>
      <x:c r="K220" s="11" t="n">
        <x:f t="shared" si="326">'玩家战力_节点'!K220</x:f>
        <x:v>0.5355725228496662</x:v>
      </x:c>
      <x:c r="L220" s="11" t="n">
        <x:f t="shared" si="326">'玩家战力_节点'!L220</x:f>
        <x:v>0.6317100342169982</x:v>
      </x:c>
      <x:c r="M220" s="2" t="n">
        <x:f>E220*'模块规划'!$F$10+G220*'模块规划'!$F$11+H220*'模块规划'!$F$13</x:f>
        <x:v>4911.544955962091</x:v>
      </x:c>
      <x:c r="N220" s="2" t="n">
        <x:f>I220*'模块规划'!$F$15+J220*'模块规划'!$F$17+K220*'模块规划'!$F$16+L220*'模块规划'!$F$18</x:f>
        <x:v>16161.313887474518</x:v>
      </x:c>
      <x:c r="O220" s="2" t="n">
        <x:f t="shared" si="285">1+O$9*SUMPRODUCT($H$10:$L$10,H220:L220)/SUM($H$10:$L$10)</x:f>
        <x:v>3.1202074910618367</x:v>
      </x:c>
      <x:c r="P220" s="12" t="n">
        <x:f t="shared" si="286">M220*O220+N220</x:f>
        <x:v>31486.353251754415</x:v>
      </x:c>
      <x:c r="Q220" s="7" t="n">
        <x:f>P220/(P220+'_曲线基线'!$L$2)</x:f>
        <x:v>0.5674612117486537</x:v>
      </x:c>
      <x:c r="R220" s="2" t="n">
        <x:f>E220*'模块规划'!$E$10+G220*'模块规划'!$E$11+H220*'模块规划'!$E$13</x:f>
        <x:v>7367.317433943137</x:v>
      </x:c>
      <x:c r="S220" s="2" t="n">
        <x:f>I220*'模块规划'!$E$15+J220*'模块规划'!$E$17+K220*'模块规划'!$E$16+L220*'模块规划'!$E$18</x:f>
        <x:v>24241.970831211776</x:v>
      </x:c>
      <x:c r="T220" s="2" t="n">
        <x:f t="shared" si="287">1+T$9*SUMPRODUCT($H$10:$L$10,H220:L220)/SUM($H$10:$L$10)</x:f>
        <x:v>3.1202074910618367</x:v>
      </x:c>
      <x:c r="U220" s="12" t="n">
        <x:f t="shared" si="288">R220*T220+S220</x:f>
        <x:v>47229.52987763162</x:v>
      </x:c>
      <x:c r="V220" s="2" t="n">
        <x:f t="shared" si="289">V$8+(V$9-V$8)*H220</x:f>
        <x:v>0.8904144872051797</x:v>
      </x:c>
      <x:c r="W220" s="2" t="n">
        <x:f t="shared" si="290">IF(B220&lt;$H$8,0,W$8+(W$9-W$8)*H220)</x:f>
        <x:v>0.25388598294023956</x:v>
      </x:c>
      <x:c r="X220" s="2" t="n">
        <x:f t="shared" si="291">X$8+(X$9-X$8)*H220</x:f>
        <x:v>0.44954661327141476</x:v>
      </x:c>
      <x:c r="Y220" s="2" t="n">
        <x:f t="shared" si="292">Y$8+(Y$9-Y$8)*G220</x:f>
        <x:v>1</x:v>
      </x:c>
      <x:c r="Z220" s="2" t="n">
        <x:f t="shared" si="293">Z$8+(Z$9-Z$8)*H220</x:f>
        <x:v>1</x:v>
      </x:c>
      <x:c r="AA220" s="2" t="n">
        <x:f t="shared" si="294">AA$8+(AA$9-AA$8)*I220</x:f>
        <x:v>1</x:v>
      </x:c>
      <x:c r="AB220" s="2" t="n">
        <x:f t="shared" si="295">AB$8+(AB$9-AB$8)*J220</x:f>
        <x:v>1</x:v>
      </x:c>
      <x:c r="AC220" s="2" t="n">
        <x:f t="shared" si="296">AC$8+(AC$9-AC$8)*MAX(K220,L220)</x:f>
        <x:v>1</x:v>
      </x:c>
      <x:c r="AD220" s="1" t="n">
        <x:f t="shared" si="297">(V220*AE220+W220*AF220+X220*AG220)*PRODUCT(Y220:AC220)</x:f>
        <x:v>1.7904400876380109</x:v>
      </x:c>
      <x:c r="AE220" s="2" t="n">
        <x:f t="shared" si="298">1+AE$9*($H$10*H220+$I$10*I220+$J$10*J220+$K$10*K220+$L$10*L220)</x:f>
        <x:v>1</x:v>
      </x:c>
      <x:c r="AF220" s="2" t="n">
        <x:f t="shared" si="299">1+AF$9*($H$10*H220+$I$10*I220+$J$10*J220+$K$10*K220+$L$10*L220)</x:f>
        <x:v>1.1871276247171987</x:v>
      </x:c>
      <x:c r="AG220" s="2" t="n">
        <x:f t="shared" si="300">1+AG$9*($H$10*H220+$I$10*I220+$J$10*J220+$K$10*K220+$L$10*L220)</x:f>
        <x:v>1.3316317349154825</x:v>
      </x:c>
      <x:c r="AH220" s="2" t="n">
        <x:f>MIN(1,'_曲线基线'!$L$3+AH$9*($H$10*H220+$I$10*I220+$J$10*J220+$K$10*K220+$L$10*L220))</x:f>
        <x:v>0.4757153462316265</x:v>
      </x:c>
      <x:c r="AI220" s="2" t="n">
        <x:f>'_曲线基线'!$L$4+AI$9*($H$10*H220+$I$10*I220+$J$10*J220+$K$10*K220+$L$10*L220)</x:f>
        <x:v>3.185921321645245</x:v>
      </x:c>
      <x:c r="AJ220" s="2" t="n">
        <x:f t="shared" si="301">1+AJ$9*($H$10*H220+$I$10*I220+$J$10*J220+$K$10*K220+$L$10*L220)</x:f>
        <x:v>1.9730636485294322</x:v>
      </x:c>
      <x:c r="AK220" s="1" t="n">
        <x:f t="shared" si="302">(1+AH220*(AI220-1))*AJ220</x:f>
        <x:v>4.02480581125525</x:v>
      </x:c>
      <x:c r="AL220" s="1" t="n">
        <x:f t="shared" si="303">U220*AD220*AK220*F220</x:f>
        <x:v>1701720.9731186912</x:v>
      </x:c>
      <x:c r="AM220" s="13" t="n">
        <x:f t="shared" si="304">IF($B220&lt;AM$8,0,AM$3+(AM$4-AM$3)*(POWER(AM$5,$B220-AM$8)-1)/(POWER(AM$5,$C$5-AM$8)-1))</x:f>
        <x:v>44.292802889952995</x:v>
      </x:c>
      <x:c r="AN220" s="13" t="n">
        <x:f>(((E220*'模块规划'!$D$10+G220*'模块规划'!$D$11+H220*'模块规划'!$D$13)*(1+'模块规划'!$G$14*H220)+(I220*'模块规划'!$D$15+J220*'模块规划'!$D$17+K220*'模块规划'!$D$16+L220*'模块规划'!$D$18))*(1+'模块规划'!$J$17*J220))*F220/(1-Q220)</x:f>
        <x:v>2256520.7800542186</x:v>
      </x:c>
      <x:c r="AO220" s="1" t="n">
        <x:f t="shared" si="305">AL220*AM220</x:f>
        <x:v>75373991.63604519</x:v>
      </x:c>
      <x:c r="AP220" s="1" t="n">
        <x:f>IF(AO220="","",INDEX('_曲线基线'!$A$3:$A$502,MIN(ROWS('_曲线基线'!$A$3:$A$502),COUNTIF('_曲线基线'!$E$3:$E$502,"&lt;"&amp;AO220)+1)))</x:f>
        <x:v>271</x:v>
      </x:c>
      <x:c r="AQ220" s="14" t="n">
        <x:f t="shared" si="306">IF(B220&lt;=2,1,IF(B220&lt;=6,2,IF(B220&lt;=9,3,IF(B220&lt;=19,4,5))))</x:f>
        <x:v>5</x:v>
      </x:c>
      <x:c r="AR220" s="10" t="n">
        <x:f t="shared" si="307">AN220*(1-Q220)/F220*$AS$3+U220*$AS$4+P220*$AS$5</x:f>
        <x:v>15302.10255873813</x:v>
      </x:c>
      <x:c r="AS220" s="15" t="n">
        <x:f t="shared" si="308">1+AH220*$AS$6+AI220*$AS$7+(AJ220-1)*$AS$8+($H$10*H220+$I$10*I220+$J$10*J220+$K$10*K220+$L$10*L220)*$AU$3*$AS$9+($H$10*H220+$I$10*I220+$J$10*J220+$K$10*K220+$L$10*L220)*$AU$4*$AS$10</x:f>
        <x:v>16.162668200616196</x:v>
      </x:c>
      <x:c r="AT220" s="16" t="n">
        <x:f t="shared" si="309">ROUND(AR220*AS220,0)</x:f>
        <x:v>247323</x:v>
      </x:c>
      <x:c r="AU220" s="16" t="n">
        <x:f t="shared" si="310">ROUND(AT220*F220,0)</x:f>
        <x:v>1236615</x:v>
      </x:c>
      <x:c r="AV220" t="n">
        <x:f>IF(AU220&gt;0,ROUND(AU220,-MAX(0,INT(LOG10(AU220))-2)),0)</x:f>
        <x:v>1240000</x:v>
      </x:c>
    </x:row>
    <x:row r="221" customHeight="1">
      <x:c r="A221" s="1" t="str">
        <x:f>IFERROR(XLOOKUP(B221,'_曲线基线'!$G$3:$G$107,'_曲线基线'!$J$3:$J$107,""),"")</x:f>
      </x:c>
      <x:c r="B221" s="1" t="n">
        <x:v>210</x:v>
      </x:c>
      <x:c r="C221" s="1" t="n">
        <x:f t="shared" si="255">C206+1</x:f>
        <x:v>15</x:v>
      </x:c>
      <x:c r="D221" s="1" t="n">
        <x:f t="shared" si="256">D206</x:f>
        <x:v>6</x:v>
      </x:c>
      <x:c r="E221" s="1" t="n">
        <x:f t="shared" si="282">IF($B221&lt;E$8,0,E$3+(E$4-E$3)*(POWER(E$5,$B221-E$8)-1)/(POWER(E$5,$C$5-E$8)-1))</x:f>
        <x:v>1</x:v>
      </x:c>
      <x:c r="F221" s="10" t="n">
        <x:f t="shared" si="283">1+IF(B221&lt;3,0,MIN(1,(B221-2)/4))+IF(B221&lt;7,0,MIN(1,(B221-6)/3))+IF(B221&lt;10,0,MIN(1,(B221-9)/5))+IF(B221&lt;20,0,MIN(1,(B221-19)/10))</x:f>
        <x:v>5</x:v>
      </x:c>
      <x:c r="G221" s="11" t="n">
        <x:f t="shared" ref="G221:L221" si="327">'玩家战力_节点'!G221</x:f>
        <x:v>0.8162705361978341</x:v>
      </x:c>
      <x:c r="H221" s="11" t="n">
        <x:f t="shared" si="327">'玩家战力_节点'!H221</x:f>
        <x:v>0.6357360500650892</x:v>
      </x:c>
      <x:c r="I221" s="11" t="n">
        <x:f t="shared" si="327">'玩家战力_节点'!I221</x:f>
        <x:v>0.5636942101702619</x:v>
      </x:c>
      <x:c r="J221" s="11" t="n">
        <x:f t="shared" si="327">'玩家战力_节点'!J221</x:f>
        <x:v>0.5302889237021009</x:v>
      </x:c>
      <x:c r="K221" s="11" t="n">
        <x:f t="shared" si="327">'玩家战力_节点'!K221</x:f>
        <x:v>0.5376845569921422</x:v>
      </x:c>
      <x:c r="L221" s="11" t="n">
        <x:f t="shared" si="327">'玩家战力_节点'!L221</x:f>
        <x:v>0.6327914997113763</x:v>
      </x:c>
      <x:c r="M221" s="2" t="n">
        <x:f>E221*'模块规划'!$F$10+G221*'模块规划'!$F$11+H221*'模块规划'!$F$13</x:f>
        <x:v>4918.098573749603</x:v>
      </x:c>
      <x:c r="N221" s="2" t="n">
        <x:f>I221*'模块规划'!$F$15+J221*'模块规划'!$F$17+K221*'模块规划'!$F$16+L221*'模块规划'!$F$18</x:f>
        <x:v>16202.507758892838</x:v>
      </x:c>
      <x:c r="O221" s="2" t="n">
        <x:f t="shared" si="285">1+O$9*SUMPRODUCT($H$10:$L$10,H221:L221)/SUM($H$10:$L$10)</x:f>
        <x:v>3.1252157803679865</x:v>
      </x:c>
      <x:c r="P221" s="12" t="n">
        <x:f t="shared" si="286">M221*O221+N221</x:f>
        <x:v>31572.627030980388</x:v>
      </x:c>
      <x:c r="Q221" s="7" t="n">
        <x:f>P221/(P221+'_曲线基线'!$L$2)</x:f>
        <x:v>0.568132707013822</x:v>
      </x:c>
      <x:c r="R221" s="2" t="n">
        <x:f>E221*'模块规划'!$E$10+G221*'模块规划'!$E$11+H221*'模块规划'!$E$13</x:f>
        <x:v>7377.147860624405</x:v>
      </x:c>
      <x:c r="S221" s="2" t="n">
        <x:f>I221*'模块规划'!$E$15+J221*'模块规划'!$E$17+K221*'模块规划'!$E$16+L221*'模块规划'!$E$18</x:f>
        <x:v>24303.76163833926</x:v>
      </x:c>
      <x:c r="T221" s="2" t="n">
        <x:f t="shared" si="287">1+T$9*SUMPRODUCT($H$10:$L$10,H221:L221)/SUM($H$10:$L$10)</x:f>
        <x:v>3.1252157803679865</x:v>
      </x:c>
      <x:c r="U221" s="12" t="n">
        <x:f t="shared" si="288">R221*T221+S221</x:f>
        <x:v>47358.94054647058</x:v>
      </x:c>
      <x:c r="V221" s="2" t="n">
        <x:f t="shared" si="289">V$8+(V$9-V$8)*H221</x:f>
        <x:v>0.8907208150195267</x:v>
      </x:c>
      <x:c r="W221" s="2" t="n">
        <x:f t="shared" si="290">IF(B221&lt;$H$8,0,W$8+(W$9-W$8)*H221)</x:f>
        <x:v>0.2542944200260357</x:v>
      </x:c>
      <x:c r="X221" s="2" t="n">
        <x:f t="shared" si="291">X$8+(X$9-X$8)*H221</x:f>
        <x:v>0.4498274137678996</x:v>
      </x:c>
      <x:c r="Y221" s="2" t="n">
        <x:f t="shared" si="292">Y$8+(Y$9-Y$8)*G221</x:f>
        <x:v>1</x:v>
      </x:c>
      <x:c r="Z221" s="2" t="n">
        <x:f t="shared" si="293">Z$8+(Z$9-Z$8)*H221</x:f>
        <x:v>1</x:v>
      </x:c>
      <x:c r="AA221" s="2" t="n">
        <x:f t="shared" si="294">AA$8+(AA$9-AA$8)*I221</x:f>
        <x:v>1</x:v>
      </x:c>
      <x:c r="AB221" s="2" t="n">
        <x:f t="shared" si="295">AB$8+(AB$9-AB$8)*J221</x:f>
        <x:v>1</x:v>
      </x:c>
      <x:c r="AC221" s="2" t="n">
        <x:f t="shared" si="296">AC$8+(AC$9-AC$8)*MAX(K221,L221)</x:f>
        <x:v>1</x:v>
      </x:c>
      <x:c r="AD221" s="1" t="n">
        <x:f t="shared" si="297">(V221*AE221+W221*AF221+X221*AG221)*PRODUCT(Y221:AC221)</x:f>
        <x:v>1.792069991746608</x:v>
      </x:c>
      <x:c r="AE221" s="2" t="n">
        <x:f t="shared" si="298">1+AE$9*($H$10*H221+$I$10*I221+$J$10*J221+$K$10*K221+$L$10*L221)</x:f>
        <x:v>1</x:v>
      </x:c>
      <x:c r="AF221" s="2" t="n">
        <x:f t="shared" si="299">1+AF$9*($H$10*H221+$I$10*I221+$J$10*J221+$K$10*K221+$L$10*L221)</x:f>
        <x:v>1.187569651870535</x:v>
      </x:c>
      <x:c r="AG221" s="2" t="n">
        <x:f t="shared" si="300">1+AG$9*($H$10*H221+$I$10*I221+$J$10*J221+$K$10*K221+$L$10*L221)</x:f>
        <x:v>1.3324151052594506</x:v>
      </x:c>
      <x:c r="AH221" s="2" t="n">
        <x:f>MIN(1,'_曲线基线'!$L$3+AH$9*($H$10*H221+$I$10*I221+$J$10*J221+$K$10*K221+$L$10*L221))</x:f>
        <x:v>0.4767209580054667</x:v>
      </x:c>
      <x:c r="AI221" s="2" t="n">
        <x:f>'_曲线基线'!$L$4+AI$9*($H$10*H221+$I$10*I221+$J$10*J221+$K$10*K221+$L$10*L221)</x:f>
        <x:v>3.1887226687295147</x:v>
      </x:c>
      <x:c r="AJ221" s="2" t="n">
        <x:f t="shared" si="301">1+AJ$9*($H$10*H221+$I$10*I221+$J$10*J221+$K$10*K221+$L$10*L221)</x:f>
        <x:v>1.975362189726781</x:v>
      </x:c>
      <x:c r="AK221" s="1" t="n">
        <x:f t="shared" si="302">(1+AH221*(AI221-1))*AJ221</x:f>
        <x:v>4.036474787801717</x:v>
      </x:c>
      <x:c r="AL221" s="1" t="n">
        <x:f t="shared" si="303">U221*AD221*AK221*F221</x:f>
        <x:v>1712888.8978763474</x:v>
      </x:c>
      <x:c r="AM221" s="13" t="n">
        <x:f t="shared" si="304">IF($B221&lt;AM$8,0,AM$3+(AM$4-AM$3)*(POWER(AM$5,$B221-AM$8)-1)/(POWER(AM$5,$C$5-AM$8)-1))</x:f>
        <x:v>44.399155558774396</x:v>
      </x:c>
      <x:c r="AN221" s="13" t="n">
        <x:f>(((E221*'模块规划'!$D$10+G221*'模块规划'!$D$11+H221*'模块规划'!$D$13)*(1+'模块规划'!$G$14*H221)+(I221*'模块规划'!$D$15+J221*'模块规划'!$D$17+K221*'模块规划'!$D$16+L221*'模块规划'!$D$18))*(1+'模块规划'!$J$17*J221))*F221/(1-Q221)</x:f>
        <x:v>2267203.099450185</x:v>
      </x:c>
      <x:c r="AO221" s="1" t="n">
        <x:f t="shared" si="305">AL221*AM221</x:f>
        <x:v>76050820.63170958</x:v>
      </x:c>
      <x:c r="AP221" s="1" t="n">
        <x:f>IF(AO221="","",INDEX('_曲线基线'!$A$3:$A$502,MIN(ROWS('_曲线基线'!$A$3:$A$502),COUNTIF('_曲线基线'!$E$3:$E$502,"&lt;"&amp;AO221)+1)))</x:f>
        <x:v>272</x:v>
      </x:c>
      <x:c r="AQ221" s="14" t="n">
        <x:f t="shared" si="306">IF(B221&lt;=2,1,IF(B221&lt;=6,2,IF(B221&lt;=9,3,IF(B221&lt;=19,4,5))))</x:f>
        <x:v>5</x:v>
      </x:c>
      <x:c r="AR221" s="10" t="n">
        <x:f t="shared" si="307">AN221*(1-Q221)/F221*$AS$3+U221*$AS$4+P221*$AS$5</x:f>
        <x:v>15346.573300550659</x:v>
      </x:c>
      <x:c r="AS221" s="15" t="n">
        <x:f t="shared" si="308">1+AH221*$AS$6+AI221*$AS$7+(AJ221-1)*$AS$8+($H$10*H221+$I$10*I221+$J$10*J221+$K$10*K221+$L$10*L221)*$AU$3*$AS$9+($H$10*H221+$I$10*I221+$J$10*J221+$K$10*K221+$L$10*L221)*$AU$4*$AS$10</x:f>
        <x:v>16.189079825281393</x:v>
      </x:c>
      <x:c r="AT221" s="16" t="n">
        <x:f t="shared" si="309">ROUND(AR221*AS221,0)</x:f>
        <x:v>248447</x:v>
      </x:c>
      <x:c r="AU221" s="16" t="n">
        <x:f t="shared" si="310">ROUND(AT221*F221,0)</x:f>
        <x:v>1242235</x:v>
      </x:c>
      <x:c r="AV221" t="n">
        <x:f>IF(AU221&gt;0,ROUND(AU221,-MAX(0,INT(LOG10(AU221))-2)),0)</x:f>
        <x:v>1240000</x:v>
      </x:c>
    </x:row>
    <x:row r="222" customHeight="1">
      <x:c r="A222" s="1" t="str">
        <x:f>IFERROR(XLOOKUP(B222,'_曲线基线'!$G$3:$G$107,'_曲线基线'!$J$3:$J$107,""),"")</x:f>
      </x:c>
      <x:c r="B222" s="1" t="n">
        <x:v>211</x:v>
      </x:c>
      <x:c r="C222" s="1" t="n">
        <x:f t="shared" si="255">C207+1</x:f>
        <x:v>15</x:v>
      </x:c>
      <x:c r="D222" s="1" t="n">
        <x:f t="shared" si="256">D207</x:f>
        <x:v>7</x:v>
      </x:c>
      <x:c r="E222" s="1" t="n">
        <x:f t="shared" si="282">IF($B222&lt;E$8,0,E$3+(E$4-E$3)*(POWER(E$5,$B222-E$8)-1)/(POWER(E$5,$C$5-E$8)-1))</x:f>
        <x:v>1</x:v>
      </x:c>
      <x:c r="F222" s="10" t="n">
        <x:f t="shared" si="283">1+IF(B222&lt;3,0,MIN(1,(B222-2)/4))+IF(B222&lt;7,0,MIN(1,(B222-6)/3))+IF(B222&lt;10,0,MIN(1,(B222-9)/5))+IF(B222&lt;20,0,MIN(1,(B222-19)/10))</x:f>
        <x:v>5</x:v>
      </x:c>
      <x:c r="G222" s="11" t="n">
        <x:f t="shared" ref="G222:L222" si="328">'玩家战力_节点'!G222</x:f>
        <x:v>0.8176358732368991</x:v>
      </x:c>
      <x:c r="H222" s="11" t="n">
        <x:f t="shared" si="328">'玩家战力_节点'!H222</x:f>
        <x:v>0.6367571427795794</x:v>
      </x:c>
      <x:c r="I222" s="11" t="n">
        <x:f t="shared" si="328">'玩家战力_节点'!I222</x:f>
        <x:v>0.5651757325952853</x:v>
      </x:c>
      <x:c r="J222" s="11" t="n">
        <x:f t="shared" si="328">'玩家战力_节点'!J222</x:f>
        <x:v>0.5314151396712398</x:v>
      </x:c>
      <x:c r="K222" s="11" t="n">
        <x:f t="shared" si="328">'玩家战力_节点'!K222</x:f>
        <x:v>0.5397965911346183</x:v>
      </x:c>
      <x:c r="L222" s="11" t="n">
        <x:f t="shared" si="328">'玩家战力_节点'!L222</x:f>
        <x:v>0.6338729652057543</x:v>
      </x:c>
      <x:c r="M222" s="2" t="n">
        <x:f>E222*'模块规划'!$F$10+G222*'模块规划'!$F$11+H222*'模块规划'!$F$13</x:f>
        <x:v>4924.652191537116</x:v>
      </x:c>
      <x:c r="N222" s="2" t="n">
        <x:f>I222*'模块规划'!$F$15+J222*'模块规划'!$F$17+K222*'模块规划'!$F$16+L222*'模块规划'!$F$18</x:f>
        <x:v>16243.701630311161</x:v>
      </x:c>
      <x:c r="O222" s="2" t="n">
        <x:f t="shared" si="285">1+O$9*SUMPRODUCT($H$10:$L$10,H222:L222)/SUM($H$10:$L$10)</x:f>
        <x:v>3.130224069674138</x:v>
      </x:c>
      <x:c r="P222" s="12" t="n">
        <x:f t="shared" si="286">M222*O222+N222</x:f>
        <x:v>31658.966455034133</x:v>
      </x:c>
      <x:c r="Q222" s="7" t="n">
        <x:f>P222/(P222+'_曲线基线'!$L$2)</x:f>
        <x:v>0.5688026291435152</x:v>
      </x:c>
      <x:c r="R222" s="2" t="n">
        <x:f>E222*'模块规划'!$E$10+G222*'模块规划'!$E$11+H222*'模块规划'!$E$13</x:f>
        <x:v>7386.978287305674</x:v>
      </x:c>
      <x:c r="S222" s="2" t="n">
        <x:f>I222*'模块规划'!$E$15+J222*'模块规划'!$E$17+K222*'模块规划'!$E$16+L222*'模块规划'!$E$18</x:f>
        <x:v>24365.55244546674</x:v>
      </x:c>
      <x:c r="T222" s="2" t="n">
        <x:f t="shared" si="287">1+T$9*SUMPRODUCT($H$10:$L$10,H222:L222)/SUM($H$10:$L$10)</x:f>
        <x:v>3.130224069674138</x:v>
      </x:c>
      <x:c r="U222" s="12" t="n">
        <x:f t="shared" si="288">R222*T222+S222</x:f>
        <x:v>47488.4496825512</x:v>
      </x:c>
      <x:c r="V222" s="2" t="n">
        <x:f t="shared" si="289">V$8+(V$9-V$8)*H222</x:f>
        <x:v>0.8910271428338739</x:v>
      </x:c>
      <x:c r="W222" s="2" t="n">
        <x:f t="shared" si="290">IF(B222&lt;$H$8,0,W$8+(W$9-W$8)*H222)</x:f>
        <x:v>0.25470285711183177</x:v>
      </x:c>
      <x:c r="X222" s="2" t="n">
        <x:f t="shared" si="291">X$8+(X$9-X$8)*H222</x:f>
        <x:v>0.4501082142643844</x:v>
      </x:c>
      <x:c r="Y222" s="2" t="n">
        <x:f t="shared" si="292">Y$8+(Y$9-Y$8)*G222</x:f>
        <x:v>1</x:v>
      </x:c>
      <x:c r="Z222" s="2" t="n">
        <x:f t="shared" si="293">Z$8+(Z$9-Z$8)*H222</x:f>
        <x:v>1</x:v>
      </x:c>
      <x:c r="AA222" s="2" t="n">
        <x:f t="shared" si="294">AA$8+(AA$9-AA$8)*I222</x:f>
        <x:v>1</x:v>
      </x:c>
      <x:c r="AB222" s="2" t="n">
        <x:f t="shared" si="295">AB$8+(AB$9-AB$8)*J222</x:f>
        <x:v>1</x:v>
      </x:c>
      <x:c r="AC222" s="2" t="n">
        <x:f t="shared" si="296">AC$8+(AC$9-AC$8)*MAX(K222,L222)</x:f>
        <x:v>1</x:v>
      </x:c>
      <x:c r="AD222" s="1" t="n">
        <x:f t="shared" si="297">(V222*AE222+W222*AF222+X222*AG222)*PRODUCT(Y222:AC222)</x:f>
        <x:v>1.793700696877333</x:v>
      </x:c>
      <x:c r="AE222" s="2" t="n">
        <x:f t="shared" si="298">1+AE$9*($H$10*H222+$I$10*I222+$J$10*J222+$K$10*K222+$L$10*L222)</x:f>
        <x:v>1</x:v>
      </x:c>
      <x:c r="AF222" s="2" t="n">
        <x:f t="shared" si="299">1+AF$9*($H$10*H222+$I$10*I222+$J$10*J222+$K$10*K222+$L$10*L222)</x:f>
        <x:v>1.1880116790238715</x:v>
      </x:c>
      <x:c r="AG222" s="2" t="n">
        <x:f t="shared" si="300">1+AG$9*($H$10*H222+$I$10*I222+$J$10*J222+$K$10*K222+$L$10*L222)</x:f>
        <x:v>1.3331984756034192</x:v>
      </x:c>
      <x:c r="AH222" s="2" t="n">
        <x:f>MIN(1,'_曲线基线'!$L$3+AH$9*($H$10*H222+$I$10*I222+$J$10*J222+$K$10*K222+$L$10*L222))</x:f>
        <x:v>0.47772656977930705</x:v>
      </x:c>
      <x:c r="AI222" s="2" t="n">
        <x:f>'_曲线基线'!$L$4+AI$9*($H$10*H222+$I$10*I222+$J$10*J222+$K$10*K222+$L$10*L222)</x:f>
        <x:v>3.1915240158137843</x:v>
      </x:c>
      <x:c r="AJ222" s="2" t="n">
        <x:f t="shared" si="301">1+AJ$9*($H$10*H222+$I$10*I222+$J$10*J222+$K$10*K222+$L$10*L222)</x:f>
        <x:v>1.9776607309241305</x:v>
      </x:c>
      <x:c r="AK222" s="1" t="n">
        <x:f t="shared" si="302">(1+AH222*(AI222-1))*AJ222</x:f>
        <x:v>4.0481711512321565</x:v>
      </x:c>
      <x:c r="AL222" s="1" t="n">
        <x:f t="shared" si="303">U222*AD222*AK222*F222</x:f>
        <x:v>1724117.4148193842</x:v>
      </x:c>
      <x:c r="AM222" s="13" t="n">
        <x:f t="shared" si="304">IF($B222&lt;AM$8,0,AM$3+(AM$4-AM$3)*(POWER(AM$5,$B222-AM$8)-1)/(POWER(AM$5,$C$5-AM$8)-1))</x:f>
        <x:v>44.50657175428401</x:v>
      </x:c>
      <x:c r="AN222" s="13" t="n">
        <x:f>(((E222*'模块规划'!$D$10+G222*'模块规划'!$D$11+H222*'模块规划'!$D$13)*(1+'模块规划'!$G$14*H222)+(I222*'模块规划'!$D$15+J222*'模块规划'!$D$17+K222*'模块规划'!$D$16+L222*'模块规划'!$D$18))*(1+'模块规划'!$J$17*J222))*F222/(1-Q222)</x:f>
        <x:v>2277920.300357163</x:v>
      </x:c>
      <x:c r="AO222" s="1" t="n">
        <x:f t="shared" si="305">AL222*AM222</x:f>
        <x:v>76734555.43546957</x:v>
      </x:c>
      <x:c r="AP222" s="1" t="n">
        <x:f>IF(AO222="","",INDEX('_曲线基线'!$A$3:$A$502,MIN(ROWS('_曲线基线'!$A$3:$A$502),COUNTIF('_曲线基线'!$E$3:$E$502,"&lt;"&amp;AO222)+1)))</x:f>
        <x:v>273</x:v>
      </x:c>
      <x:c r="AQ222" s="14" t="n">
        <x:f t="shared" si="306">IF(B222&lt;=2,1,IF(B222&lt;=6,2,IF(B222&lt;=9,3,IF(B222&lt;=19,4,5))))</x:f>
        <x:v>5</x:v>
      </x:c>
      <x:c r="AR222" s="10" t="n">
        <x:f t="shared" si="307">AN222*(1-Q222)/F222*$AS$3+U222*$AS$4+P222*$AS$5</x:f>
        <x:v>15391.089403717977</x:v>
      </x:c>
      <x:c r="AS222" s="15" t="n">
        <x:f t="shared" si="308">1+AH222*$AS$6+AI222*$AS$7+(AJ222-1)*$AS$8+($H$10*H222+$I$10*I222+$J$10*J222+$K$10*K222+$L$10*L222)*$AU$3*$AS$9+($H$10*H222+$I$10*I222+$J$10*J222+$K$10*K222+$L$10*L222)*$AU$4*$AS$10</x:f>
        <x:v>16.2154914499466</x:v>
      </x:c>
      <x:c r="AT222" s="16" t="n">
        <x:f t="shared" si="309">ROUND(AR222*AS222,0)</x:f>
        <x:v>249574</x:v>
      </x:c>
      <x:c r="AU222" s="16" t="n">
        <x:f t="shared" si="310">ROUND(AT222*F222,0)</x:f>
        <x:v>1247870</x:v>
      </x:c>
      <x:c r="AV222" t="n">
        <x:f>IF(AU222&gt;0,ROUND(AU222,-MAX(0,INT(LOG10(AU222))-2)),0)</x:f>
        <x:v>1250000</x:v>
      </x:c>
    </x:row>
    <x:row r="223" customHeight="1">
      <x:c r="A223" s="1" t="str">
        <x:f>IFERROR(XLOOKUP(B223,'_曲线基线'!$G$3:$G$107,'_曲线基线'!$J$3:$J$107,""),"")</x:f>
      </x:c>
      <x:c r="B223" s="1" t="n">
        <x:v>212</x:v>
      </x:c>
      <x:c r="C223" s="1" t="n">
        <x:f t="shared" si="255">C208+1</x:f>
        <x:v>15</x:v>
      </x:c>
      <x:c r="D223" s="1" t="n">
        <x:f t="shared" si="256">D208</x:f>
        <x:v>8</x:v>
      </x:c>
      <x:c r="E223" s="1" t="n">
        <x:f t="shared" si="282">IF($B223&lt;E$8,0,E$3+(E$4-E$3)*(POWER(E$5,$B223-E$8)-1)/(POWER(E$5,$C$5-E$8)-1))</x:f>
        <x:v>1</x:v>
      </x:c>
      <x:c r="F223" s="10" t="n">
        <x:f t="shared" si="283">1+IF(B223&lt;3,0,MIN(1,(B223-2)/4))+IF(B223&lt;7,0,MIN(1,(B223-6)/3))+IF(B223&lt;10,0,MIN(1,(B223-9)/5))+IF(B223&lt;20,0,MIN(1,(B223-19)/10))</x:f>
        <x:v>5</x:v>
      </x:c>
      <x:c r="G223" s="11" t="n">
        <x:f t="shared" ref="G223:L223" si="329">'玩家战力_节点'!G223</x:f>
        <x:v>0.8190012102759641</x:v>
      </x:c>
      <x:c r="H223" s="11" t="n">
        <x:f t="shared" si="329">'玩家战力_节点'!H223</x:f>
        <x:v>0.6377782354940696</x:v>
      </x:c>
      <x:c r="I223" s="11" t="n">
        <x:f t="shared" si="329">'玩家战力_节点'!I223</x:f>
        <x:v>0.5666572550203087</x:v>
      </x:c>
      <x:c r="J223" s="11" t="n">
        <x:f t="shared" si="329">'玩家战力_节点'!J223</x:f>
        <x:v>0.5325413556403785</x:v>
      </x:c>
      <x:c r="K223" s="11" t="n">
        <x:f t="shared" si="329">'玩家战力_节点'!K223</x:f>
        <x:v>0.5419086252770943</x:v>
      </x:c>
      <x:c r="L223" s="11" t="n">
        <x:f t="shared" si="329">'玩家战力_节点'!L223</x:f>
        <x:v>0.6349544307001325</x:v>
      </x:c>
      <x:c r="M223" s="2" t="n">
        <x:f>E223*'模块规划'!$F$10+G223*'模块规划'!$F$11+H223*'模块规划'!$F$13</x:f>
        <x:v>4931.205809324627</x:v>
      </x:c>
      <x:c r="N223" s="2" t="n">
        <x:f>I223*'模块规划'!$F$15+J223*'模块规划'!$F$17+K223*'模块规划'!$F$16+L223*'模块规划'!$F$18</x:f>
        <x:v>16284.895501729483</x:v>
      </x:c>
      <x:c r="O223" s="2" t="n">
        <x:f t="shared" si="285">1+O$9*SUMPRODUCT($H$10:$L$10,H223:L223)/SUM($H$10:$L$10)</x:f>
        <x:v>3.1352323589802884</x:v>
      </x:c>
      <x:c r="P223" s="12" t="n">
        <x:f t="shared" si="286">M223*O223+N223</x:f>
        <x:v>31745.371523915637</x:v>
      </x:c>
      <x:c r="Q223" s="7" t="n">
        <x:f>P223/(P223+'_曲线基线'!$L$2)</x:f>
        <x:v>0.5694709830805662</x:v>
      </x:c>
      <x:c r="R223" s="2" t="n">
        <x:f>E223*'模块规划'!$E$10+G223*'模块规划'!$E$11+H223*'模块规划'!$E$13</x:f>
        <x:v>7396.808713986941</x:v>
      </x:c>
      <x:c r="S223" s="2" t="n">
        <x:f>I223*'模块规划'!$E$15+J223*'模块规划'!$E$17+K223*'模块规划'!$E$16+L223*'模块规划'!$E$18</x:f>
        <x:v>24427.343252594223</x:v>
      </x:c>
      <x:c r="T223" s="2" t="n">
        <x:f t="shared" si="287">1+T$9*SUMPRODUCT($H$10:$L$10,H223:L223)/SUM($H$10:$L$10)</x:f>
        <x:v>3.1352323589802884</x:v>
      </x:c>
      <x:c r="U223" s="12" t="n">
        <x:f t="shared" si="288">R223*T223+S223</x:f>
        <x:v>47618.05728587345</x:v>
      </x:c>
      <x:c r="V223" s="2" t="n">
        <x:f t="shared" si="289">V$8+(V$9-V$8)*H223</x:f>
        <x:v>0.8913334706482209</x:v>
      </x:c>
      <x:c r="W223" s="2" t="n">
        <x:f t="shared" si="290">IF(B223&lt;$H$8,0,W$8+(W$9-W$8)*H223)</x:f>
        <x:v>0.25511129419762785</x:v>
      </x:c>
      <x:c r="X223" s="2" t="n">
        <x:f t="shared" si="291">X$8+(X$9-X$8)*H223</x:f>
        <x:v>0.4503890147608692</x:v>
      </x:c>
      <x:c r="Y223" s="2" t="n">
        <x:f t="shared" si="292">Y$8+(Y$9-Y$8)*G223</x:f>
        <x:v>1</x:v>
      </x:c>
      <x:c r="Z223" s="2" t="n">
        <x:f t="shared" si="293">Z$8+(Z$9-Z$8)*H223</x:f>
        <x:v>1</x:v>
      </x:c>
      <x:c r="AA223" s="2" t="n">
        <x:f t="shared" si="294">AA$8+(AA$9-AA$8)*I223</x:f>
        <x:v>1</x:v>
      </x:c>
      <x:c r="AB223" s="2" t="n">
        <x:f t="shared" si="295">AB$8+(AB$9-AB$8)*J223</x:f>
        <x:v>1</x:v>
      </x:c>
      <x:c r="AC223" s="2" t="n">
        <x:f t="shared" si="296">AC$8+(AC$9-AC$8)*MAX(K223,L223)</x:f>
        <x:v>1</x:v>
      </x:c>
      <x:c r="AD223" s="1" t="n">
        <x:f t="shared" si="297">(V223*AE223+W223*AF223+X223*AG223)*PRODUCT(Y223:AC223)</x:f>
        <x:v>1.7953322030301853</x:v>
      </x:c>
      <x:c r="AE223" s="2" t="n">
        <x:f t="shared" si="298">1+AE$9*($H$10*H223+$I$10*I223+$J$10*J223+$K$10*K223+$L$10*L223)</x:f>
        <x:v>1</x:v>
      </x:c>
      <x:c r="AF223" s="2" t="n">
        <x:f t="shared" si="299">1+AF$9*($H$10*H223+$I$10*I223+$J$10*J223+$K$10*K223+$L$10*L223)</x:f>
        <x:v>1.1884537061772078</x:v>
      </x:c>
      <x:c r="AG223" s="2" t="n">
        <x:f t="shared" si="300">1+AG$9*($H$10*H223+$I$10*I223+$J$10*J223+$K$10*K223+$L$10*L223)</x:f>
        <x:v>1.3339818459473876</x:v>
      </x:c>
      <x:c r="AH223" s="2" t="n">
        <x:f>MIN(1,'_曲线基线'!$L$3+AH$9*($H$10*H223+$I$10*I223+$J$10*J223+$K$10*K223+$L$10*L223))</x:f>
        <x:v>0.47873218155314734</x:v>
      </x:c>
      <x:c r="AI223" s="2" t="n">
        <x:f>'_曲线基线'!$L$4+AI$9*($H$10*H223+$I$10*I223+$J$10*J223+$K$10*K223+$L$10*L223)</x:f>
        <x:v>3.194325362898053</x:v>
      </x:c>
      <x:c r="AJ223" s="2" t="n">
        <x:f t="shared" si="301">1+AJ$9*($H$10*H223+$I$10*I223+$J$10*J223+$K$10*K223+$L$10*L223)</x:f>
        <x:v>1.9799592721214796</x:v>
      </x:c>
      <x:c r="AK223" s="1" t="n">
        <x:f t="shared" si="302">(1+AH223*(AI223-1))*AJ223</x:f>
        <x:v>4.05989494039744</x:v>
      </x:c>
      <x:c r="AL223" s="1" t="n">
        <x:f t="shared" si="303">U223*AD223*AK223*F223</x:f>
        <x:v>1735406.795479793</x:v>
      </x:c>
      <x:c r="AM223" s="13" t="n">
        <x:f t="shared" si="304">IF($B223&lt;AM$8,0,AM$3+(AM$4-AM$3)*(POWER(AM$5,$B223-AM$8)-1)/(POWER(AM$5,$C$5-AM$8)-1))</x:f>
        <x:v>44.61506211174872</x:v>
      </x:c>
      <x:c r="AN223" s="13" t="n">
        <x:f>(((E223*'模块规划'!$D$10+G223*'模块规划'!$D$11+H223*'模块规划'!$D$13)*(1+'模块规划'!$G$14*H223)+(I223*'模块规划'!$D$15+J223*'模块规划'!$D$17+K223*'模块规划'!$D$16+L223*'模块规划'!$D$18))*(1+'模块规划'!$J$17*J223))*F223/(1-Q223)</x:f>
        <x:v>2288672.457237718</x:v>
      </x:c>
      <x:c r="AO223" s="1" t="n">
        <x:f t="shared" si="305">AL223*AM223</x:f>
        <x:v>77425281.96948178</x:v>
      </x:c>
      <x:c r="AP223" s="1" t="n">
        <x:f>IF(AO223="","",INDEX('_曲线基线'!$A$3:$A$502,MIN(ROWS('_曲线基线'!$A$3:$A$502),COUNTIF('_曲线基线'!$E$3:$E$502,"&lt;"&amp;AO223)+1)))</x:f>
        <x:v>273</x:v>
      </x:c>
      <x:c r="AQ223" s="14" t="n">
        <x:f t="shared" si="306">IF(B223&lt;=2,1,IF(B223&lt;=6,2,IF(B223&lt;=9,3,IF(B223&lt;=19,4,5))))</x:f>
        <x:v>5</x:v>
      </x:c>
      <x:c r="AR223" s="10" t="n">
        <x:f t="shared" si="307">AN223*(1-Q223)/F223*$AS$3+U223*$AS$4+P223*$AS$5</x:f>
        <x:v>15435.650875565529</x:v>
      </x:c>
      <x:c r="AS223" s="15" t="n">
        <x:f t="shared" si="308">1+AH223*$AS$6+AI223*$AS$7+(AJ223-1)*$AS$8+($H$10*H223+$I$10*I223+$J$10*J223+$K$10*K223+$L$10*L223)*$AU$3*$AS$9+($H$10*H223+$I$10*I223+$J$10*J223+$K$10*K223+$L$10*L223)*$AU$4*$AS$10</x:f>
        <x:v>16.2419030746118</x:v>
      </x:c>
      <x:c r="AT223" s="16" t="n">
        <x:f t="shared" si="309">ROUND(AR223*AS223,0)</x:f>
        <x:v>250704</x:v>
      </x:c>
      <x:c r="AU223" s="16" t="n">
        <x:f t="shared" si="310">ROUND(AT223*F223,0)</x:f>
        <x:v>1253520</x:v>
      </x:c>
      <x:c r="AV223" t="n">
        <x:f>IF(AU223&gt;0,ROUND(AU223,-MAX(0,INT(LOG10(AU223))-2)),0)</x:f>
        <x:v>1250000</x:v>
      </x:c>
    </x:row>
    <x:row r="224" customHeight="1">
      <x:c r="A224" s="1" t="str">
        <x:f>IFERROR(XLOOKUP(B224,'_曲线基线'!$G$3:$G$107,'_曲线基线'!$J$3:$J$107,""),"")</x:f>
      </x:c>
      <x:c r="B224" s="1" t="n">
        <x:v>213</x:v>
      </x:c>
      <x:c r="C224" s="1" t="n">
        <x:f t="shared" si="255">C209+1</x:f>
        <x:v>15</x:v>
      </x:c>
      <x:c r="D224" s="1" t="n">
        <x:f t="shared" si="256">D209</x:f>
        <x:v>9</x:v>
      </x:c>
      <x:c r="E224" s="1" t="n">
        <x:f t="shared" si="282">IF($B224&lt;E$8,0,E$3+(E$4-E$3)*(POWER(E$5,$B224-E$8)-1)/(POWER(E$5,$C$5-E$8)-1))</x:f>
        <x:v>1</x:v>
      </x:c>
      <x:c r="F224" s="10" t="n">
        <x:f t="shared" si="283">1+IF(B224&lt;3,0,MIN(1,(B224-2)/4))+IF(B224&lt;7,0,MIN(1,(B224-6)/3))+IF(B224&lt;10,0,MIN(1,(B224-9)/5))+IF(B224&lt;20,0,MIN(1,(B224-19)/10))</x:f>
        <x:v>5</x:v>
      </x:c>
      <x:c r="G224" s="11" t="n">
        <x:f t="shared" ref="G224:L224" si="330">'玩家战力_节点'!G224</x:f>
        <x:v>0.8203665473150291</x:v>
      </x:c>
      <x:c r="H224" s="11" t="n">
        <x:f t="shared" si="330">'玩家战力_节点'!H224</x:f>
        <x:v>0.63879932820856</x:v>
      </x:c>
      <x:c r="I224" s="11" t="n">
        <x:f t="shared" si="330">'玩家战力_节点'!I224</x:f>
        <x:v>0.568138777445332</x:v>
      </x:c>
      <x:c r="J224" s="11" t="n">
        <x:f t="shared" si="330">'玩家战力_节点'!J224</x:f>
        <x:v>0.5336675716095174</x:v>
      </x:c>
      <x:c r="K224" s="11" t="n">
        <x:f t="shared" si="330">'玩家战力_节点'!K224</x:f>
        <x:v>0.5440206594195703</x:v>
      </x:c>
      <x:c r="L224" s="11" t="n">
        <x:f t="shared" si="330">'玩家战力_节点'!L224</x:f>
        <x:v>0.6360358961945105</x:v>
      </x:c>
      <x:c r="M224" s="2" t="n">
        <x:f>E224*'模块规划'!$F$10+G224*'模块规划'!$F$11+H224*'模块规划'!$F$13</x:f>
        <x:v>4937.75942711214</x:v>
      </x:c>
      <x:c r="N224" s="2" t="n">
        <x:f>I224*'模块规划'!$F$15+J224*'模块规划'!$F$17+K224*'模块规划'!$F$16+L224*'模块规划'!$F$18</x:f>
        <x:v>16326.089373147805</x:v>
      </x:c>
      <x:c r="O224" s="2" t="n">
        <x:f t="shared" si="285">1+O$9*SUMPRODUCT($H$10:$L$10,H224:L224)/SUM($H$10:$L$10)</x:f>
        <x:v>3.1402406482864396</x:v>
      </x:c>
      <x:c r="P224" s="12" t="n">
        <x:f t="shared" si="286">M224*O224+N224</x:f>
        <x:v>31831.842237624907</x:v>
      </x:c>
      <x:c r="Q224" s="7" t="n">
        <x:f>P224/(P224+'_曲线基线'!$L$2)</x:f>
        <x:v>0.5701377737482846</x:v>
      </x:c>
      <x:c r="R224" s="2" t="n">
        <x:f>E224*'模块规划'!$E$10+G224*'模块规划'!$E$11+H224*'模块规划'!$E$13</x:f>
        <x:v>7406.63914066821</x:v>
      </x:c>
      <x:c r="S224" s="2" t="n">
        <x:f>I224*'模块规划'!$E$15+J224*'模块规划'!$E$17+K224*'模块规划'!$E$16+L224*'模块规划'!$E$18</x:f>
        <x:v>24489.134059721706</x:v>
      </x:c>
      <x:c r="T224" s="2" t="n">
        <x:f t="shared" si="287">1+T$9*SUMPRODUCT($H$10:$L$10,H224:L224)/SUM($H$10:$L$10)</x:f>
        <x:v>3.1402406482864396</x:v>
      </x:c>
      <x:c r="U224" s="12" t="n">
        <x:f t="shared" si="288">R224*T224+S224</x:f>
        <x:v>47747.76335643736</x:v>
      </x:c>
      <x:c r="V224" s="2" t="n">
        <x:f t="shared" si="289">V$8+(V$9-V$8)*H224</x:f>
        <x:v>0.891639798462568</x:v>
      </x:c>
      <x:c r="W224" s="2" t="n">
        <x:f t="shared" si="290">IF(B224&lt;$H$8,0,W$8+(W$9-W$8)*H224)</x:f>
        <x:v>0.25551973128342403</x:v>
      </x:c>
      <x:c r="X224" s="2" t="n">
        <x:f t="shared" si="291">X$8+(X$9-X$8)*H224</x:f>
        <x:v>0.45066981525735406</x:v>
      </x:c>
      <x:c r="Y224" s="2" t="n">
        <x:f t="shared" si="292">Y$8+(Y$9-Y$8)*G224</x:f>
        <x:v>1</x:v>
      </x:c>
      <x:c r="Z224" s="2" t="n">
        <x:f t="shared" si="293">Z$8+(Z$9-Z$8)*H224</x:f>
        <x:v>1</x:v>
      </x:c>
      <x:c r="AA224" s="2" t="n">
        <x:f t="shared" si="294">AA$8+(AA$9-AA$8)*I224</x:f>
        <x:v>1</x:v>
      </x:c>
      <x:c r="AB224" s="2" t="n">
        <x:f t="shared" si="295">AB$8+(AB$9-AB$8)*J224</x:f>
        <x:v>1</x:v>
      </x:c>
      <x:c r="AC224" s="2" t="n">
        <x:f t="shared" si="296">AC$8+(AC$9-AC$8)*MAX(K224,L224)</x:f>
        <x:v>1</x:v>
      </x:c>
      <x:c r="AD224" s="1" t="n">
        <x:f t="shared" si="297">(V224*AE224+W224*AF224+X224*AG224)*PRODUCT(Y224:AC224)</x:f>
        <x:v>1.7969645102051657</x:v>
      </x:c>
      <x:c r="AE224" s="2" t="n">
        <x:f t="shared" si="298">1+AE$9*($H$10*H224+$I$10*I224+$J$10*J224+$K$10*K224+$L$10*L224)</x:f>
        <x:v>1</x:v>
      </x:c>
      <x:c r="AF224" s="2" t="n">
        <x:f t="shared" si="299">1+AF$9*($H$10*H224+$I$10*I224+$J$10*J224+$K$10*K224+$L$10*L224)</x:f>
        <x:v>1.188895733330544</x:v>
      </x:c>
      <x:c r="AG224" s="2" t="n">
        <x:f t="shared" si="300">1+AG$9*($H$10*H224+$I$10*I224+$J$10*J224+$K$10*K224+$L$10*L224)</x:f>
        <x:v>1.334765216291356</x:v>
      </x:c>
      <x:c r="AH224" s="2" t="n">
        <x:f>MIN(1,'_曲线基线'!$L$3+AH$9*($H$10*H224+$I$10*I224+$J$10*J224+$K$10*K224+$L$10*L224))</x:f>
        <x:v>0.4797377933269876</x:v>
      </x:c>
      <x:c r="AI224" s="2" t="n">
        <x:f>'_曲线基线'!$L$4+AI$9*($H$10*H224+$I$10*I224+$J$10*J224+$K$10*K224+$L$10*L224)</x:f>
        <x:v>3.1971267099823226</x:v>
      </x:c>
      <x:c r="AJ224" s="2" t="n">
        <x:f t="shared" si="301">1+AJ$9*($H$10*H224+$I$10*I224+$J$10*J224+$K$10*K224+$L$10*L224)</x:f>
        <x:v>1.9822578133188289</x:v>
      </x:c>
      <x:c r="AK224" s="1" t="n">
        <x:f t="shared" si="302">(1+AH224*(AI224-1))*AJ224</x:f>
        <x:v>4.071646194148446</x:v>
      </x:c>
      <x:c r="AL224" s="1" t="n">
        <x:f t="shared" si="303">U224*AD224*AK224*F224</x:f>
        <x:v>1746757.312350029</x:v>
      </x:c>
      <x:c r="AM224" s="13" t="n">
        <x:f t="shared" si="304">IF($B224&lt;AM$8,0,AM$3+(AM$4-AM$3)*(POWER(AM$5,$B224-AM$8)-1)/(POWER(AM$5,$C$5-AM$8)-1))</x:f>
        <x:v>44.724637372788074</x:v>
      </x:c>
      <x:c r="AN224" s="13" t="n">
        <x:f>(((E224*'模块规划'!$D$10+G224*'模块规划'!$D$11+H224*'模块规划'!$D$13)*(1+'模块规划'!$G$14*H224)+(I224*'模块规划'!$D$15+J224*'模块规划'!$D$17+K224*'模块规划'!$D$16+L224*'模块规划'!$D$18))*(1+'模块规划'!$J$17*J224))*F224/(1-Q224)</x:f>
        <x:v>2299459.644642217</x:v>
      </x:c>
      <x:c r="AO224" s="1" t="n">
        <x:f t="shared" si="305">AL224*AM224</x:f>
        <x:v>78123087.37312095</x:v>
      </x:c>
      <x:c r="AP224" s="1" t="n">
        <x:f>IF(AO224="","",INDEX('_曲线基线'!$A$3:$A$502,MIN(ROWS('_曲线基线'!$A$3:$A$502),COUNTIF('_曲线基线'!$E$3:$E$502,"&lt;"&amp;AO224)+1)))</x:f>
        <x:v>274</x:v>
      </x:c>
      <x:c r="AQ224" s="14" t="n">
        <x:f t="shared" si="306">IF(B224&lt;=2,1,IF(B224&lt;=6,2,IF(B224&lt;=9,3,IF(B224&lt;=19,4,5))))</x:f>
        <x:v>5</x:v>
      </x:c>
      <x:c r="AR224" s="10" t="n">
        <x:f t="shared" si="307">AN224*(1-Q224)/F224*$AS$3+U224*$AS$4+P224*$AS$5</x:f>
        <x:v>15480.257723418763</x:v>
      </x:c>
      <x:c r="AS224" s="15" t="n">
        <x:f t="shared" si="308">1+AH224*$AS$6+AI224*$AS$7+(AJ224-1)*$AS$8+($H$10*H224+$I$10*I224+$J$10*J224+$K$10*K224+$L$10*L224)*$AU$3*$AS$9+($H$10*H224+$I$10*I224+$J$10*J224+$K$10*K224+$L$10*L224)*$AU$4*$AS$10</x:f>
        <x:v>16.268314699277003</x:v>
      </x:c>
      <x:c r="AT224" s="16" t="n">
        <x:f t="shared" si="309">ROUND(AR224*AS224,0)</x:f>
        <x:v>251838</x:v>
      </x:c>
      <x:c r="AU224" s="16" t="n">
        <x:f t="shared" si="310">ROUND(AT224*F224,0)</x:f>
        <x:v>1259190</x:v>
      </x:c>
      <x:c r="AV224" t="n">
        <x:f>IF(AU224&gt;0,ROUND(AU224,-MAX(0,INT(LOG10(AU224))-2)),0)</x:f>
        <x:v>1260000</x:v>
      </x:c>
    </x:row>
    <x:row r="225" customHeight="1">
      <x:c r="A225" s="1" t="str">
        <x:f>IFERROR(XLOOKUP(B225,'_曲线基线'!$G$3:$G$107,'_曲线基线'!$J$3:$J$107,""),"")</x:f>
      </x:c>
      <x:c r="B225" s="1" t="n">
        <x:v>214</x:v>
      </x:c>
      <x:c r="C225" s="1" t="n">
        <x:f t="shared" si="255">C210+1</x:f>
        <x:v>15</x:v>
      </x:c>
      <x:c r="D225" s="1" t="n">
        <x:f t="shared" si="256">D210</x:f>
        <x:v>10</x:v>
      </x:c>
      <x:c r="E225" s="1" t="n">
        <x:f t="shared" si="282">IF($B225&lt;E$8,0,E$3+(E$4-E$3)*(POWER(E$5,$B225-E$8)-1)/(POWER(E$5,$C$5-E$8)-1))</x:f>
        <x:v>1</x:v>
      </x:c>
      <x:c r="F225" s="10" t="n">
        <x:f t="shared" si="283">1+IF(B225&lt;3,0,MIN(1,(B225-2)/4))+IF(B225&lt;7,0,MIN(1,(B225-6)/3))+IF(B225&lt;10,0,MIN(1,(B225-9)/5))+IF(B225&lt;20,0,MIN(1,(B225-19)/10))</x:f>
        <x:v>5</x:v>
      </x:c>
      <x:c r="G225" s="11" t="n">
        <x:f t="shared" ref="G225:L225" si="331">'玩家战力_节点'!G225</x:f>
        <x:v>0.821731884354094</x:v>
      </x:c>
      <x:c r="H225" s="11" t="n">
        <x:f t="shared" si="331">'玩家战力_节点'!H225</x:f>
        <x:v>0.6398204209230502</x:v>
      </x:c>
      <x:c r="I225" s="11" t="n">
        <x:f t="shared" si="331">'玩家战力_节点'!I225</x:f>
        <x:v>0.5696202998703555</x:v>
      </x:c>
      <x:c r="J225" s="11" t="n">
        <x:f t="shared" si="331">'玩家战力_节点'!J225</x:f>
        <x:v>0.5347937875786563</x:v>
      </x:c>
      <x:c r="K225" s="11" t="n">
        <x:f t="shared" si="331">'玩家战力_节点'!K225</x:f>
        <x:v>0.5461326935620464</x:v>
      </x:c>
      <x:c r="L225" s="11" t="n">
        <x:f t="shared" si="331">'玩家战力_节点'!L225</x:f>
        <x:v>0.6371173616888886</x:v>
      </x:c>
      <x:c r="M225" s="2" t="n">
        <x:f>E225*'模块规划'!$F$10+G225*'模块规划'!$F$11+H225*'模块规划'!$F$13</x:f>
        <x:v>4944.313044899652</x:v>
      </x:c>
      <x:c r="N225" s="2" t="n">
        <x:f>I225*'模块规划'!$F$15+J225*'模块规划'!$F$17+K225*'模块规划'!$F$16+L225*'模块规划'!$F$18</x:f>
        <x:v>16367.283244566126</x:v>
      </x:c>
      <x:c r="O225" s="2" t="n">
        <x:f t="shared" si="285">1+O$9*SUMPRODUCT($H$10:$L$10,H225:L225)/SUM($H$10:$L$10)</x:f>
        <x:v>3.1452489375925907</x:v>
      </x:c>
      <x:c r="P225" s="12" t="n">
        <x:f t="shared" si="286">M225*O225+N225</x:f>
        <x:v>31918.378596161943</x:v>
      </x:c>
      <x:c r="Q225" s="7" t="n">
        <x:f>P225/(P225+'_曲线基线'!$L$2)</x:f>
        <x:v>0.5708030060505495</x:v>
      </x:c>
      <x:c r="R225" s="2" t="n">
        <x:f>E225*'模块规划'!$E$10+G225*'模块规划'!$E$11+H225*'模块规划'!$E$13</x:f>
        <x:v>7416.469567349477</x:v>
      </x:c>
      <x:c r="S225" s="2" t="n">
        <x:f>I225*'模块规划'!$E$15+J225*'模块规划'!$E$17+K225*'模块规划'!$E$16+L225*'模块规划'!$E$18</x:f>
        <x:v>24550.92486684919</x:v>
      </x:c>
      <x:c r="T225" s="2" t="n">
        <x:f t="shared" si="287">1+T$9*SUMPRODUCT($H$10:$L$10,H225:L225)/SUM($H$10:$L$10)</x:f>
        <x:v>3.1452489375925907</x:v>
      </x:c>
      <x:c r="U225" s="12" t="n">
        <x:f t="shared" si="288">R225*T225+S225</x:f>
        <x:v>47877.56789424291</x:v>
      </x:c>
      <x:c r="V225" s="2" t="n">
        <x:f t="shared" si="289">V$8+(V$9-V$8)*H225</x:f>
        <x:v>0.891946126276915</x:v>
      </x:c>
      <x:c r="W225" s="2" t="n">
        <x:f t="shared" si="290">IF(B225&lt;$H$8,0,W$8+(W$9-W$8)*H225)</x:f>
        <x:v>0.2559281683692201</x:v>
      </x:c>
      <x:c r="X225" s="2" t="n">
        <x:f t="shared" si="291">X$8+(X$9-X$8)*H225</x:f>
        <x:v>0.4509506157538389</x:v>
      </x:c>
      <x:c r="Y225" s="2" t="n">
        <x:f t="shared" si="292">Y$8+(Y$9-Y$8)*G225</x:f>
        <x:v>1</x:v>
      </x:c>
      <x:c r="Z225" s="2" t="n">
        <x:f t="shared" si="293">Z$8+(Z$9-Z$8)*H225</x:f>
        <x:v>1</x:v>
      </x:c>
      <x:c r="AA225" s="2" t="n">
        <x:f t="shared" si="294">AA$8+(AA$9-AA$8)*I225</x:f>
        <x:v>1</x:v>
      </x:c>
      <x:c r="AB225" s="2" t="n">
        <x:f t="shared" si="295">AB$8+(AB$9-AB$8)*J225</x:f>
        <x:v>1</x:v>
      </x:c>
      <x:c r="AC225" s="2" t="n">
        <x:f t="shared" si="296">AC$8+(AC$9-AC$8)*MAX(K225,L225)</x:f>
        <x:v>1</x:v>
      </x:c>
      <x:c r="AD225" s="1" t="n">
        <x:f t="shared" si="297">(V225*AE225+W225*AF225+X225*AG225)*PRODUCT(Y225:AC225)</x:f>
        <x:v>1.7985976184022734</x:v>
      </x:c>
      <x:c r="AE225" s="2" t="n">
        <x:f t="shared" si="298">1+AE$9*($H$10*H225+$I$10*I225+$J$10*J225+$K$10*K225+$L$10*L225)</x:f>
        <x:v>1</x:v>
      </x:c>
      <x:c r="AF225" s="2" t="n">
        <x:f t="shared" si="299">1+AF$9*($H$10*H225+$I$10*I225+$J$10*J225+$K$10*K225+$L$10*L225)</x:f>
        <x:v>1.1893377604838806</x:v>
      </x:c>
      <x:c r="AG225" s="2" t="n">
        <x:f t="shared" si="300">1+AG$9*($H$10*H225+$I$10*I225+$J$10*J225+$K$10*K225+$L$10*L225)</x:f>
        <x:v>1.3355485866353243</x:v>
      </x:c>
      <x:c r="AH225" s="2" t="n">
        <x:f>MIN(1,'_曲线基线'!$L$3+AH$9*($H$10*H225+$I$10*I225+$J$10*J225+$K$10*K225+$L$10*L225))</x:f>
        <x:v>0.48074340510082797</x:v>
      </x:c>
      <x:c r="AI225" s="2" t="n">
        <x:f>'_曲线基线'!$L$4+AI$9*($H$10*H225+$I$10*I225+$J$10*J225+$K$10*K225+$L$10*L225)</x:f>
        <x:v>3.1999280570665922</x:v>
      </x:c>
      <x:c r="AJ225" s="2" t="n">
        <x:f t="shared" si="301">1+AJ$9*($H$10*H225+$I$10*I225+$J$10*J225+$K$10*K225+$L$10*L225)</x:f>
        <x:v>1.9845563545161782</x:v>
      </x:c>
      <x:c r="AK225" s="1" t="n">
        <x:f t="shared" si="302">(1+AH225*(AI225-1))*AJ225</x:f>
        <x:v>4.083424951336049</x:v>
      </x:c>
      <x:c r="AL225" s="1" t="n">
        <x:f t="shared" si="303">U225*AD225*AK225*F225</x:f>
        <x:v>1758169.2388854627</x:v>
      </x:c>
      <x:c r="AM225" s="13" t="n">
        <x:f t="shared" si="304">IF($B225&lt;AM$8,0,AM$3+(AM$4-AM$3)*(POWER(AM$5,$B225-AM$8)-1)/(POWER(AM$5,$C$5-AM$8)-1))</x:f>
        <x:v>44.83530838643782</x:v>
      </x:c>
      <x:c r="AN225" s="13" t="n">
        <x:f>(((E225*'模块规划'!$D$10+G225*'模块规划'!$D$11+H225*'模块规划'!$D$13)*(1+'模块规划'!$G$14*H225)+(I225*'模块规划'!$D$15+J225*'模块规划'!$D$17+K225*'模块规划'!$D$16+L225*'模块规划'!$D$18))*(1+'模块规划'!$J$17*J225))*F225/(1-Q225)</x:f>
        <x:v>2310281.9372088644</x:v>
      </x:c>
      <x:c r="AO225" s="1" t="n">
        <x:f t="shared" si="305">AL225*AM225</x:f>
        <x:v>78828060.02097839</x:v>
      </x:c>
      <x:c r="AP225" s="1" t="n">
        <x:f>IF(AO225="","",INDEX('_曲线基线'!$A$3:$A$502,MIN(ROWS('_曲线基线'!$A$3:$A$502),COUNTIF('_曲线基线'!$E$3:$E$502,"&lt;"&amp;AO225)+1)))</x:f>
        <x:v>275</x:v>
      </x:c>
      <x:c r="AQ225" s="14" t="n">
        <x:f t="shared" si="306">IF(B225&lt;=2,1,IF(B225&lt;=6,2,IF(B225&lt;=9,3,IF(B225&lt;=19,4,5))))</x:f>
        <x:v>5</x:v>
      </x:c>
      <x:c r="AR225" s="10" t="n">
        <x:f t="shared" si="307">AN225*(1-Q225)/F225*$AS$3+U225*$AS$4+P225*$AS$5</x:f>
        <x:v>15524.90995460313</x:v>
      </x:c>
      <x:c r="AS225" s="15" t="n">
        <x:f t="shared" si="308">1+AH225*$AS$6+AI225*$AS$7+(AJ225-1)*$AS$8+($H$10*H225+$I$10*I225+$J$10*J225+$K$10*K225+$L$10*L225)*$AU$3*$AS$9+($H$10*H225+$I$10*I225+$J$10*J225+$K$10*K225+$L$10*L225)*$AU$4*$AS$10</x:f>
        <x:v>16.294726323942204</x:v>
      </x:c>
      <x:c r="AT225" s="16" t="n">
        <x:f t="shared" si="309">ROUND(AR225*AS225,0)</x:f>
        <x:v>252974</x:v>
      </x:c>
      <x:c r="AU225" s="16" t="n">
        <x:f t="shared" si="310">ROUND(AT225*F225,0)</x:f>
        <x:v>1264870</x:v>
      </x:c>
      <x:c r="AV225" t="n">
        <x:f>IF(AU225&gt;0,ROUND(AU225,-MAX(0,INT(LOG10(AU225))-2)),0)</x:f>
        <x:v>1260000</x:v>
      </x:c>
    </x:row>
    <x:row r="226" customHeight="1">
      <x:c r="A226" s="1" t="str">
        <x:f>IFERROR(XLOOKUP(B226,'_曲线基线'!$G$3:$G$107,'_曲线基线'!$J$3:$J$107,""),"")</x:f>
      </x:c>
      <x:c r="B226" s="1" t="n">
        <x:v>215</x:v>
      </x:c>
      <x:c r="C226" s="1" t="n">
        <x:f t="shared" si="255">C211+1</x:f>
        <x:v>15</x:v>
      </x:c>
      <x:c r="D226" s="1" t="n">
        <x:f t="shared" si="256">D211</x:f>
        <x:v>11</x:v>
      </x:c>
      <x:c r="E226" s="1" t="n">
        <x:f t="shared" si="282">IF($B226&lt;E$8,0,E$3+(E$4-E$3)*(POWER(E$5,$B226-E$8)-1)/(POWER(E$5,$C$5-E$8)-1))</x:f>
        <x:v>1</x:v>
      </x:c>
      <x:c r="F226" s="10" t="n">
        <x:f t="shared" si="283">1+IF(B226&lt;3,0,MIN(1,(B226-2)/4))+IF(B226&lt;7,0,MIN(1,(B226-6)/3))+IF(B226&lt;10,0,MIN(1,(B226-9)/5))+IF(B226&lt;20,0,MIN(1,(B226-19)/10))</x:f>
        <x:v>5</x:v>
      </x:c>
      <x:c r="G226" s="11" t="n">
        <x:f t="shared" ref="G226:L226" si="332">'玩家战力_节点'!G226</x:f>
        <x:v>0.8230972213931591</x:v>
      </x:c>
      <x:c r="H226" s="11" t="n">
        <x:f t="shared" si="332">'玩家战力_节点'!H226</x:f>
        <x:v>0.6408415136375405</x:v>
      </x:c>
      <x:c r="I226" s="11" t="n">
        <x:f t="shared" si="332">'玩家战力_节点'!I226</x:f>
        <x:v>0.5711018222953789</x:v>
      </x:c>
      <x:c r="J226" s="11" t="n">
        <x:f t="shared" si="332">'玩家战力_节点'!J226</x:f>
        <x:v>0.535920003547795</x:v>
      </x:c>
      <x:c r="K226" s="11" t="n">
        <x:f t="shared" si="332">'玩家战力_节点'!K226</x:f>
        <x:v>0.5482447277045224</x:v>
      </x:c>
      <x:c r="L226" s="11" t="n">
        <x:f t="shared" si="332">'玩家战力_节点'!L226</x:f>
        <x:v>0.6381988271832666</x:v>
      </x:c>
      <x:c r="M226" s="2" t="n">
        <x:f>E226*'模块规划'!$F$10+G226*'模块规划'!$F$11+H226*'模块规划'!$F$13</x:f>
        <x:v>4950.866662687164</x:v>
      </x:c>
      <x:c r="N226" s="2" t="n">
        <x:f>I226*'模块规划'!$F$15+J226*'模块规划'!$F$17+K226*'模块规划'!$F$16+L226*'模块规划'!$F$18</x:f>
        <x:v>16408.477115984446</x:v>
      </x:c>
      <x:c r="O226" s="2" t="n">
        <x:f t="shared" si="285">1+O$9*SUMPRODUCT($H$10:$L$10,H226:L226)/SUM($H$10:$L$10)</x:f>
        <x:v>3.150257226898741</x:v>
      </x:c>
      <x:c r="P226" s="12" t="n">
        <x:f t="shared" si="286">M226*O226+N226</x:f>
        <x:v>32004.980599526734</x:v>
      </x:c>
      <x:c r="Q226" s="7" t="n">
        <x:f>P226/(P226+'_曲线基线'!$L$2)</x:f>
        <x:v>0.571466684871902</x:v>
      </x:c>
      <x:c r="R226" s="2" t="n">
        <x:f>E226*'模块规划'!$E$10+G226*'模块规划'!$E$11+H226*'模块规划'!$E$13</x:f>
        <x:v>7426.299994030745</x:v>
      </x:c>
      <x:c r="S226" s="2" t="n">
        <x:f>I226*'模块规划'!$E$15+J226*'模块规划'!$E$17+K226*'模块规划'!$E$16+L226*'模块规划'!$E$18</x:f>
        <x:v>24612.715673976672</x:v>
      </x:c>
      <x:c r="T226" s="2" t="n">
        <x:f t="shared" si="287">1+T$9*SUMPRODUCT($H$10:$L$10,H226:L226)/SUM($H$10:$L$10)</x:f>
        <x:v>3.150257226898741</x:v>
      </x:c>
      <x:c r="U226" s="12" t="n">
        <x:f t="shared" si="288">R226*T226+S226</x:f>
        <x:v>48007.47089929011</x:v>
      </x:c>
      <x:c r="V226" s="2" t="n">
        <x:f t="shared" si="289">V$8+(V$9-V$8)*H226</x:f>
        <x:v>0.8922524540912622</x:v>
      </x:c>
      <x:c r="W226" s="2" t="n">
        <x:f t="shared" si="290">IF(B226&lt;$H$8,0,W$8+(W$9-W$8)*H226)</x:f>
        <x:v>0.2563366054550162</x:v>
      </x:c>
      <x:c r="X226" s="2" t="n">
        <x:f t="shared" si="291">X$8+(X$9-X$8)*H226</x:f>
        <x:v>0.4512314162503237</x:v>
      </x:c>
      <x:c r="Y226" s="2" t="n">
        <x:f t="shared" si="292">Y$8+(Y$9-Y$8)*G226</x:f>
        <x:v>1</x:v>
      </x:c>
      <x:c r="Z226" s="2" t="n">
        <x:f t="shared" si="293">Z$8+(Z$9-Z$8)*H226</x:f>
        <x:v>1</x:v>
      </x:c>
      <x:c r="AA226" s="2" t="n">
        <x:f t="shared" si="294">AA$8+(AA$9-AA$8)*I226</x:f>
        <x:v>1</x:v>
      </x:c>
      <x:c r="AB226" s="2" t="n">
        <x:f t="shared" si="295">AB$8+(AB$9-AB$8)*J226</x:f>
        <x:v>1</x:v>
      </x:c>
      <x:c r="AC226" s="2" t="n">
        <x:f t="shared" si="296">AC$8+(AC$9-AC$8)*MAX(K226,L226)</x:f>
        <x:v>1</x:v>
      </x:c>
      <x:c r="AD226" s="1" t="n">
        <x:f t="shared" si="297">(V226*AE226+W226*AF226+X226*AG226)*PRODUCT(Y226:AC226)</x:f>
        <x:v>1.8002315276215093</x:v>
      </x:c>
      <x:c r="AE226" s="2" t="n">
        <x:f t="shared" si="298">1+AE$9*($H$10*H226+$I$10*I226+$J$10*J226+$K$10*K226+$L$10*L226)</x:f>
        <x:v>1</x:v>
      </x:c>
      <x:c r="AF226" s="2" t="n">
        <x:f t="shared" si="299">1+AF$9*($H$10*H226+$I$10*I226+$J$10*J226+$K$10*K226+$L$10*L226)</x:f>
        <x:v>1.189779787637217</x:v>
      </x:c>
      <x:c r="AG226" s="2" t="n">
        <x:f t="shared" si="300">1+AG$9*($H$10*H226+$I$10*I226+$J$10*J226+$K$10*K226+$L$10*L226)</x:f>
        <x:v>1.3363319569792926</x:v>
      </x:c>
      <x:c r="AH226" s="2" t="n">
        <x:f>MIN(1,'_曲线基线'!$L$3+AH$9*($H$10*H226+$I$10*I226+$J$10*J226+$K$10*K226+$L$10*L226))</x:f>
        <x:v>0.48174901687466815</x:v>
      </x:c>
      <x:c r="AI226" s="2" t="n">
        <x:f>'_曲线基线'!$L$4+AI$9*($H$10*H226+$I$10*I226+$J$10*J226+$K$10*K226+$L$10*L226)</x:f>
        <x:v>3.2027294041508614</x:v>
      </x:c>
      <x:c r="AJ226" s="2" t="n">
        <x:f t="shared" si="301">1+AJ$9*($H$10*H226+$I$10*I226+$J$10*J226+$K$10*K226+$L$10*L226)</x:f>
        <x:v>1.9868548957135275</x:v>
      </x:c>
      <x:c r="AK226" s="1" t="n">
        <x:f t="shared" si="302">(1+AH226*(AI226-1))*AJ226</x:f>
        <x:v>4.095231250811126</x:v>
      </x:c>
      <x:c r="AL226" s="1" t="n">
        <x:f t="shared" si="303">U226*AD226*AK226*F226</x:f>
        <x:v>1769642.849506862</x:v>
      </x:c>
      <x:c r="AM226" s="13" t="n">
        <x:f t="shared" si="304">IF($B226&lt;AM$8,0,AM$3+(AM$4-AM$3)*(POWER(AM$5,$B226-AM$8)-1)/(POWER(AM$5,$C$5-AM$8)-1))</x:f>
        <x:v>44.94708611022407</x:v>
      </x:c>
      <x:c r="AN226" s="13" t="n">
        <x:f>(((E226*'模块规划'!$D$10+G226*'模块规划'!$D$11+H226*'模块规划'!$D$13)*(1+'模块规划'!$G$14*H226)+(I226*'模块规划'!$D$15+J226*'模块规划'!$D$17+K226*'模块规划'!$D$16+L226*'模块规划'!$D$18))*(1+'模块规划'!$J$17*J226))*F226/(1-Q226)</x:f>
        <x:v>2321139.409663733</x:v>
      </x:c>
      <x:c r="AO226" s="1" t="n">
        <x:f t="shared" si="305">AL226*AM226</x:f>
        <x:v>79540289.54112722</x:v>
      </x:c>
      <x:c r="AP226" s="1" t="n">
        <x:f>IF(AO226="","",INDEX('_曲线基线'!$A$3:$A$502,MIN(ROWS('_曲线基线'!$A$3:$A$502),COUNTIF('_曲线基线'!$E$3:$E$502,"&lt;"&amp;AO226)+1)))</x:f>
        <x:v>275</x:v>
      </x:c>
      <x:c r="AQ226" s="14" t="n">
        <x:f t="shared" si="306">IF(B226&lt;=2,1,IF(B226&lt;=6,2,IF(B226&lt;=9,3,IF(B226&lt;=19,4,5))))</x:f>
        <x:v>5</x:v>
      </x:c>
      <x:c r="AR226" s="10" t="n">
        <x:f t="shared" si="307">AN226*(1-Q226)/F226*$AS$3+U226*$AS$4+P226*$AS$5</x:f>
        <x:v>15569.607576444076</x:v>
      </x:c>
      <x:c r="AS226" s="15" t="n">
        <x:f t="shared" si="308">1+AH226*$AS$6+AI226*$AS$7+(AJ226-1)*$AS$8+($H$10*H226+$I$10*I226+$J$10*J226+$K$10*K226+$L$10*L226)*$AU$3*$AS$9+($H$10*H226+$I$10*I226+$J$10*J226+$K$10*K226+$L$10*L226)*$AU$4*$AS$10</x:f>
        <x:v>16.321137948607404</x:v>
      </x:c>
      <x:c r="AT226" s="16" t="n">
        <x:f t="shared" si="309">ROUND(AR226*AS226,0)</x:f>
        <x:v>254114</x:v>
      </x:c>
      <x:c r="AU226" s="16" t="n">
        <x:f t="shared" si="310">ROUND(AT226*F226,0)</x:f>
        <x:v>1270570</x:v>
      </x:c>
      <x:c r="AV226" t="n">
        <x:f>IF(AU226&gt;0,ROUND(AU226,-MAX(0,INT(LOG10(AU226))-2)),0)</x:f>
        <x:v>1270000</x:v>
      </x:c>
    </x:row>
    <x:row r="227" customHeight="1">
      <x:c r="A227" s="1" t="str">
        <x:f>IFERROR(XLOOKUP(B227,'_曲线基线'!$G$3:$G$107,'_曲线基线'!$J$3:$J$107,""),"")</x:f>
      </x:c>
      <x:c r="B227" s="1" t="n">
        <x:v>216</x:v>
      </x:c>
      <x:c r="C227" s="1" t="n">
        <x:f t="shared" si="255">C212+1</x:f>
        <x:v>15</x:v>
      </x:c>
      <x:c r="D227" s="1" t="n">
        <x:f t="shared" si="256">D212</x:f>
        <x:v>12</x:v>
      </x:c>
      <x:c r="E227" s="1" t="n">
        <x:f t="shared" si="282">IF($B227&lt;E$8,0,E$3+(E$4-E$3)*(POWER(E$5,$B227-E$8)-1)/(POWER(E$5,$C$5-E$8)-1))</x:f>
        <x:v>1</x:v>
      </x:c>
      <x:c r="F227" s="10" t="n">
        <x:f t="shared" si="283">1+IF(B227&lt;3,0,MIN(1,(B227-2)/4))+IF(B227&lt;7,0,MIN(1,(B227-6)/3))+IF(B227&lt;10,0,MIN(1,(B227-9)/5))+IF(B227&lt;20,0,MIN(1,(B227-19)/10))</x:f>
        <x:v>5</x:v>
      </x:c>
      <x:c r="G227" s="11" t="n">
        <x:f t="shared" ref="G227:L227" si="333">'玩家战力_节点'!G227</x:f>
        <x:v>0.8244625584322243</x:v>
      </x:c>
      <x:c r="H227" s="11" t="n">
        <x:f t="shared" si="333">'玩家战力_节点'!H227</x:f>
        <x:v>0.6418626063520307</x:v>
      </x:c>
      <x:c r="I227" s="11" t="n">
        <x:f t="shared" si="333">'玩家战力_节点'!I227</x:f>
        <x:v>0.5725833447204023</x:v>
      </x:c>
      <x:c r="J227" s="11" t="n">
        <x:f t="shared" si="333">'玩家战力_节点'!J227</x:f>
        <x:v>0.5370462195169339</x:v>
      </x:c>
      <x:c r="K227" s="11" t="n">
        <x:f t="shared" si="333">'玩家战力_节点'!K227</x:f>
        <x:v>0.5503567618469984</x:v>
      </x:c>
      <x:c r="L227" s="11" t="n">
        <x:f t="shared" si="333">'玩家战力_节点'!L227</x:f>
        <x:v>0.6392802926776446</x:v>
      </x:c>
      <x:c r="M227" s="2" t="n">
        <x:f>E227*'模块规划'!$F$10+G227*'模块规划'!$F$11+H227*'模块规划'!$F$13</x:f>
        <x:v>4957.4202804746765</x:v>
      </x:c>
      <x:c r="N227" s="2" t="n">
        <x:f>I227*'模块规划'!$F$15+J227*'模块规划'!$F$17+K227*'模块规划'!$F$16+L227*'模块规划'!$F$18</x:f>
        <x:v>16449.67098740277</x:v>
      </x:c>
      <x:c r="O227" s="2" t="n">
        <x:f t="shared" si="285">1+O$9*SUMPRODUCT($H$10:$L$10,H227:L227)/SUM($H$10:$L$10)</x:f>
        <x:v>3.155265516204892</x:v>
      </x:c>
      <x:c r="P227" s="12" t="n">
        <x:f t="shared" si="286">M227*O227+N227</x:f>
        <x:v>32091.6482477193</x:v>
      </x:c>
      <x:c r="Q227" s="7" t="n">
        <x:f>P227/(P227+'_曲线基线'!$L$2)</x:f>
        <x:v>0.5721288150776378</x:v>
      </x:c>
      <x:c r="R227" s="2" t="n">
        <x:f>E227*'模块规划'!$E$10+G227*'模块规划'!$E$11+H227*'模块规划'!$E$13</x:f>
        <x:v>7436.130420712015</x:v>
      </x:c>
      <x:c r="S227" s="2" t="n">
        <x:f>I227*'模块规划'!$E$15+J227*'模块规划'!$E$17+K227*'模块规划'!$E$16+L227*'模块规划'!$E$18</x:f>
        <x:v>24674.506481104156</x:v>
      </x:c>
      <x:c r="T227" s="2" t="n">
        <x:f t="shared" si="287">1+T$9*SUMPRODUCT($H$10:$L$10,H227:L227)/SUM($H$10:$L$10)</x:f>
        <x:v>3.155265516204892</x:v>
      </x:c>
      <x:c r="U227" s="12" t="n">
        <x:f t="shared" si="288">R227*T227+S227</x:f>
        <x:v>48137.47237157895</x:v>
      </x:c>
      <x:c r="V227" s="2" t="n">
        <x:f t="shared" si="289">V$8+(V$9-V$8)*H227</x:f>
        <x:v>0.8925587819056092</x:v>
      </x:c>
      <x:c r="W227" s="2" t="n">
        <x:f t="shared" si="290">IF(B227&lt;$H$8,0,W$8+(W$9-W$8)*H227)</x:f>
        <x:v>0.2567450425408123</x:v>
      </x:c>
      <x:c r="X227" s="2" t="n">
        <x:f t="shared" si="291">X$8+(X$9-X$8)*H227</x:f>
        <x:v>0.4515122167468085</x:v>
      </x:c>
      <x:c r="Y227" s="2" t="n">
        <x:f t="shared" si="292">Y$8+(Y$9-Y$8)*G227</x:f>
        <x:v>1</x:v>
      </x:c>
      <x:c r="Z227" s="2" t="n">
        <x:f t="shared" si="293">Z$8+(Z$9-Z$8)*H227</x:f>
        <x:v>1</x:v>
      </x:c>
      <x:c r="AA227" s="2" t="n">
        <x:f t="shared" si="294">AA$8+(AA$9-AA$8)*I227</x:f>
        <x:v>1</x:v>
      </x:c>
      <x:c r="AB227" s="2" t="n">
        <x:f t="shared" si="295">AB$8+(AB$9-AB$8)*J227</x:f>
        <x:v>1</x:v>
      </x:c>
      <x:c r="AC227" s="2" t="n">
        <x:f t="shared" si="296">AC$8+(AC$9-AC$8)*MAX(K227,L227)</x:f>
        <x:v>1</x:v>
      </x:c>
      <x:c r="AD227" s="1" t="n">
        <x:f t="shared" si="297">(V227*AE227+W227*AF227+X227*AG227)*PRODUCT(Y227:AC227)</x:f>
        <x:v>1.801866237862873</x:v>
      </x:c>
      <x:c r="AE227" s="2" t="n">
        <x:f t="shared" si="298">1+AE$9*($H$10*H227+$I$10*I227+$J$10*J227+$K$10*K227+$L$10*L227)</x:f>
        <x:v>1</x:v>
      </x:c>
      <x:c r="AF227" s="2" t="n">
        <x:f t="shared" si="299">1+AF$9*($H$10*H227+$I$10*I227+$J$10*J227+$K$10*K227+$L$10*L227)</x:f>
        <x:v>1.1902218147905534</x:v>
      </x:c>
      <x:c r="AG227" s="2" t="n">
        <x:f t="shared" si="300">1+AG$9*($H$10*H227+$I$10*I227+$J$10*J227+$K$10*K227+$L$10*L227)</x:f>
        <x:v>1.3371153273232612</x:v>
      </x:c>
      <x:c r="AH227" s="2" t="n">
        <x:f>MIN(1,'_曲线基线'!$L$3+AH$9*($H$10*H227+$I$10*I227+$J$10*J227+$K$10*K227+$L$10*L227))</x:f>
        <x:v>0.4827546286485085</x:v>
      </x:c>
      <x:c r="AI227" s="2" t="n">
        <x:f>'_曲线基线'!$L$4+AI$9*($H$10*H227+$I$10*I227+$J$10*J227+$K$10*K227+$L$10*L227)</x:f>
        <x:v>3.205530751235131</x:v>
      </x:c>
      <x:c r="AJ227" s="2" t="n">
        <x:f t="shared" si="301">1+AJ$9*($H$10*H227+$I$10*I227+$J$10*J227+$K$10*K227+$L$10*L227)</x:f>
        <x:v>1.9891534369108768</x:v>
      </x:c>
      <x:c r="AK227" s="1" t="n">
        <x:f t="shared" si="302">(1+AH227*(AI227-1))*AJ227</x:f>
        <x:v>4.107065131424551</x:v>
      </x:c>
      <x:c r="AL227" s="1" t="n">
        <x:f t="shared" si="303">U227*AD227*AK227*F227</x:f>
        <x:v>1781178.4196028588</x:v>
      </x:c>
      <x:c r="AM227" s="13" t="n">
        <x:f t="shared" si="304">IF($B227&lt;AM$8,0,AM$3+(AM$4-AM$3)*(POWER(AM$5,$B227-AM$8)-1)/(POWER(AM$5,$C$5-AM$8)-1))</x:f>
        <x:v>45.059981611248176</x:v>
      </x:c>
      <x:c r="AN227" s="13" t="n">
        <x:f>(((E227*'模块规划'!$D$10+G227*'模块规划'!$D$11+H227*'模块规划'!$D$13)*(1+'模块规划'!$G$14*H227)+(I227*'模块规划'!$D$15+J227*'模块规划'!$D$17+K227*'模块规划'!$D$16+L227*'模块规划'!$D$18))*(1+'模块规划'!$J$17*J227))*F227/(1-Q227)</x:f>
        <x:v>2332032.1368208</x:v>
      </x:c>
      <x:c r="AO227" s="1" t="n">
        <x:f t="shared" si="305">AL227*AM227</x:f>
        <x:v>80259866.8336569</x:v>
      </x:c>
      <x:c r="AP227" s="1" t="n">
        <x:f>IF(AO227="","",INDEX('_曲线基线'!$A$3:$A$502,MIN(ROWS('_曲线基线'!$A$3:$A$502),COUNTIF('_曲线基线'!$E$3:$E$502,"&lt;"&amp;AO227)+1)))</x:f>
        <x:v>276</x:v>
      </x:c>
      <x:c r="AQ227" s="14" t="n">
        <x:f t="shared" si="306">IF(B227&lt;=2,1,IF(B227&lt;=6,2,IF(B227&lt;=9,3,IF(B227&lt;=19,4,5))))</x:f>
        <x:v>5</x:v>
      </x:c>
      <x:c r="AR227" s="10" t="n">
        <x:f t="shared" si="307">AN227*(1-Q227)/F227*$AS$3+U227*$AS$4+P227*$AS$5</x:f>
        <x:v>15614.350596267053</x:v>
      </x:c>
      <x:c r="AS227" s="15" t="n">
        <x:f t="shared" si="308">1+AH227*$AS$6+AI227*$AS$7+(AJ227-1)*$AS$8+($H$10*H227+$I$10*I227+$J$10*J227+$K$10*K227+$L$10*L227)*$AU$3*$AS$9+($H$10*H227+$I$10*I227+$J$10*J227+$K$10*K227+$L$10*L227)*$AU$4*$AS$10</x:f>
        <x:v>16.34754957327261</x:v>
      </x:c>
      <x:c r="AT227" s="16" t="n">
        <x:f t="shared" si="309">ROUND(AR227*AS227,0)</x:f>
        <x:v>255256</x:v>
      </x:c>
      <x:c r="AU227" s="16" t="n">
        <x:f t="shared" si="310">ROUND(AT227*F227,0)</x:f>
        <x:v>1276280</x:v>
      </x:c>
      <x:c r="AV227" t="n">
        <x:f>IF(AU227&gt;0,ROUND(AU227,-MAX(0,INT(LOG10(AU227))-2)),0)</x:f>
        <x:v>1280000</x:v>
      </x:c>
    </x:row>
    <x:row r="228" customHeight="1">
      <x:c r="A228" s="1" t="str">
        <x:f>IFERROR(XLOOKUP(B228,'_曲线基线'!$G$3:$G$107,'_曲线基线'!$J$3:$J$107,""),"")</x:f>
      </x:c>
      <x:c r="B228" s="1" t="n">
        <x:v>217</x:v>
      </x:c>
      <x:c r="C228" s="1" t="n">
        <x:f t="shared" si="255">C213+1</x:f>
        <x:v>15</x:v>
      </x:c>
      <x:c r="D228" s="1" t="n">
        <x:f t="shared" si="256">D213</x:f>
        <x:v>13</x:v>
      </x:c>
      <x:c r="E228" s="1" t="n">
        <x:f t="shared" si="282">IF($B228&lt;E$8,0,E$3+(E$4-E$3)*(POWER(E$5,$B228-E$8)-1)/(POWER(E$5,$C$5-E$8)-1))</x:f>
        <x:v>1</x:v>
      </x:c>
      <x:c r="F228" s="10" t="n">
        <x:f t="shared" si="283">1+IF(B228&lt;3,0,MIN(1,(B228-2)/4))+IF(B228&lt;7,0,MIN(1,(B228-6)/3))+IF(B228&lt;10,0,MIN(1,(B228-9)/5))+IF(B228&lt;20,0,MIN(1,(B228-19)/10))</x:f>
        <x:v>5</x:v>
      </x:c>
      <x:c r="G228" s="11" t="n">
        <x:f t="shared" ref="G228:L228" si="334">'玩家战力_节点'!G228</x:f>
        <x:v>0.8258278954712892</x:v>
      </x:c>
      <x:c r="H228" s="11" t="n">
        <x:f t="shared" si="334">'玩家战力_节点'!H228</x:f>
        <x:v>0.642883699066521</x:v>
      </x:c>
      <x:c r="I228" s="11" t="n">
        <x:f t="shared" si="334">'玩家战力_节点'!I228</x:f>
        <x:v>0.5740648671454256</x:v>
      </x:c>
      <x:c r="J228" s="11" t="n">
        <x:f t="shared" si="334">'玩家战力_节点'!J228</x:f>
        <x:v>0.5381724354860727</x:v>
      </x:c>
      <x:c r="K228" s="11" t="n">
        <x:f t="shared" si="334">'玩家战力_节点'!K228</x:f>
        <x:v>0.5524687959894745</x:v>
      </x:c>
      <x:c r="L228" s="11" t="n">
        <x:f t="shared" si="334">'玩家战力_节点'!L228</x:f>
        <x:v>0.6403617581720227</x:v>
      </x:c>
      <x:c r="M228" s="2" t="n">
        <x:f>E228*'模块规划'!$F$10+G228*'模块规划'!$F$11+H228*'模块规划'!$F$13</x:f>
        <x:v>4963.973898262188</x:v>
      </x:c>
      <x:c r="N228" s="2" t="n">
        <x:f>I228*'模块规划'!$F$15+J228*'模块规划'!$F$17+K228*'模块规划'!$F$16+L228*'模块规划'!$F$18</x:f>
        <x:v>16490.864858821093</x:v>
      </x:c>
      <x:c r="O228" s="2" t="n">
        <x:f t="shared" si="285">1+O$9*SUMPRODUCT($H$10:$L$10,H228:L228)/SUM($H$10:$L$10)</x:f>
        <x:v>3.160273805511043</x:v>
      </x:c>
      <x:c r="P228" s="12" t="n">
        <x:f t="shared" si="286">M228*O228+N228</x:f>
        <x:v>32178.381540739625</x:v>
      </x:c>
      <x:c r="Q228" s="7" t="n">
        <x:f>P228/(P228+'_曲线基线'!$L$2)</x:f>
        <x:v>0.5727894015138973</x:v>
      </x:c>
      <x:c r="R228" s="2" t="n">
        <x:f>E228*'模块规划'!$E$10+G228*'模块规划'!$E$11+H228*'模块规划'!$E$13</x:f>
        <x:v>7445.960847393282</x:v>
      </x:c>
      <x:c r="S228" s="2" t="n">
        <x:f>I228*'模块规划'!$E$15+J228*'模块规划'!$E$17+K228*'模块规划'!$E$16+L228*'模块规划'!$E$18</x:f>
        <x:v>24736.29728823164</x:v>
      </x:c>
      <x:c r="T228" s="2" t="n">
        <x:f t="shared" si="287">1+T$9*SUMPRODUCT($H$10:$L$10,H228:L228)/SUM($H$10:$L$10)</x:f>
        <x:v>3.160273805511043</x:v>
      </x:c>
      <x:c r="U228" s="12" t="n">
        <x:f t="shared" si="288">R228*T228+S228</x:f>
        <x:v>48267.57231110944</x:v>
      </x:c>
      <x:c r="V228" s="2" t="n">
        <x:f t="shared" si="289">V$8+(V$9-V$8)*H228</x:f>
        <x:v>0.8928651097199563</x:v>
      </x:c>
      <x:c r="W228" s="2" t="n">
        <x:f t="shared" si="290">IF(B228&lt;$H$8,0,W$8+(W$9-W$8)*H228)</x:f>
        <x:v>0.2571534796266084</x:v>
      </x:c>
      <x:c r="X228" s="2" t="n">
        <x:f t="shared" si="291">X$8+(X$9-X$8)*H228</x:f>
        <x:v>0.45179301724329335</x:v>
      </x:c>
      <x:c r="Y228" s="2" t="n">
        <x:f t="shared" si="292">Y$8+(Y$9-Y$8)*G228</x:f>
        <x:v>1</x:v>
      </x:c>
      <x:c r="Z228" s="2" t="n">
        <x:f t="shared" si="293">Z$8+(Z$9-Z$8)*H228</x:f>
        <x:v>1</x:v>
      </x:c>
      <x:c r="AA228" s="2" t="n">
        <x:f t="shared" si="294">AA$8+(AA$9-AA$8)*I228</x:f>
        <x:v>1</x:v>
      </x:c>
      <x:c r="AB228" s="2" t="n">
        <x:f t="shared" si="295">AB$8+(AB$9-AB$8)*J228</x:f>
        <x:v>1</x:v>
      </x:c>
      <x:c r="AC228" s="2" t="n">
        <x:f t="shared" si="296">AC$8+(AC$9-AC$8)*MAX(K228,L228)</x:f>
        <x:v>1</x:v>
      </x:c>
      <x:c r="AD228" s="1" t="n">
        <x:f t="shared" si="297">(V228*AE228+W228*AF228+X228*AG228)*PRODUCT(Y228:AC228)</x:f>
        <x:v>1.8035017491263639</x:v>
      </x:c>
      <x:c r="AE228" s="2" t="n">
        <x:f t="shared" si="298">1+AE$9*($H$10*H228+$I$10*I228+$J$10*J228+$K$10*K228+$L$10*L228)</x:f>
        <x:v>1</x:v>
      </x:c>
      <x:c r="AF228" s="2" t="n">
        <x:f t="shared" si="299">1+AF$9*($H$10*H228+$I$10*I228+$J$10*J228+$K$10*K228+$L$10*L228)</x:f>
        <x:v>1.1906638419438897</x:v>
      </x:c>
      <x:c r="AG228" s="2" t="n">
        <x:f t="shared" si="300">1+AG$9*($H$10*H228+$I$10*I228+$J$10*J228+$K$10*K228+$L$10*L228)</x:f>
        <x:v>1.3378986976672294</x:v>
      </x:c>
      <x:c r="AH228" s="2" t="n">
        <x:f>MIN(1,'_曲线基线'!$L$3+AH$9*($H$10*H228+$I$10*I228+$J$10*J228+$K$10*K228+$L$10*L228))</x:f>
        <x:v>0.4837602404223487</x:v>
      </x:c>
      <x:c r="AI228" s="2" t="n">
        <x:f>'_曲线基线'!$L$4+AI$9*($H$10*H228+$I$10*I228+$J$10*J228+$K$10*K228+$L$10*L228)</x:f>
        <x:v>3.2083320983194</x:v>
      </x:c>
      <x:c r="AJ228" s="2" t="n">
        <x:f t="shared" si="301">1+AJ$9*($H$10*H228+$I$10*I228+$J$10*J228+$K$10*K228+$L$10*L228)</x:f>
        <x:v>1.9914519781082256</x:v>
      </x:c>
      <x:c r="AK228" s="1" t="n">
        <x:f t="shared" si="302">(1+AH228*(AI228-1))*AJ228</x:f>
        <x:v>4.1189266320271996</x:v>
      </x:c>
      <x:c r="AL228" s="1" t="n">
        <x:f t="shared" si="303">U228*AD228*AK228*F228</x:f>
        <x:v>1792776.2255324312</x:v>
      </x:c>
      <x:c r="AM228" s="13" t="n">
        <x:f t="shared" si="304">IF($B228&lt;AM$8,0,AM$3+(AM$4-AM$3)*(POWER(AM$5,$B228-AM$8)-1)/(POWER(AM$5,$C$5-AM$8)-1))</x:f>
        <x:v>45.174006067282534</x:v>
      </x:c>
      <x:c r="AN228" s="13" t="n">
        <x:f>(((E228*'模块规划'!$D$10+G228*'模块规划'!$D$11+H228*'模块规划'!$D$13)*(1+'模块规划'!$G$14*H228)+(I228*'模块规划'!$D$15+J228*'模块规划'!$D$17+K228*'模块规划'!$D$16+L228*'模块规划'!$D$18))*(1+'模块规划'!$J$17*J228))*F228/(1-Q228)</x:f>
        <x:v>2342960.193581974</x:v>
      </x:c>
      <x:c r="AO228" s="1" t="n">
        <x:f t="shared" si="305">AL228*AM228</x:f>
        <x:v>80986884.08948192</x:v>
      </x:c>
      <x:c r="AP228" s="1" t="n">
        <x:f>IF(AO228="","",INDEX('_曲线基线'!$A$3:$A$502,MIN(ROWS('_曲线基线'!$A$3:$A$502),COUNTIF('_曲线基线'!$E$3:$E$502,"&lt;"&amp;AO228)+1)))</x:f>
        <x:v>277</x:v>
      </x:c>
      <x:c r="AQ228" s="14" t="n">
        <x:f t="shared" si="306">IF(B228&lt;=2,1,IF(B228&lt;=6,2,IF(B228&lt;=9,3,IF(B228&lt;=19,4,5))))</x:f>
        <x:v>5</x:v>
      </x:c>
      <x:c r="AR228" s="10" t="n">
        <x:f t="shared" si="307">AN228*(1-Q228)/F228*$AS$3+U228*$AS$4+P228*$AS$5</x:f>
        <x:v>15659.139021397508</x:v>
      </x:c>
      <x:c r="AS228" s="15" t="n">
        <x:f t="shared" si="308">1+AH228*$AS$6+AI228*$AS$7+(AJ228-1)*$AS$8+($H$10*H228+$I$10*I228+$J$10*J228+$K$10*K228+$L$10*L228)*$AU$3*$AS$9+($H$10*H228+$I$10*I228+$J$10*J228+$K$10*K228+$L$10*L228)*$AU$4*$AS$10</x:f>
        <x:v>16.37396119793781</x:v>
      </x:c>
      <x:c r="AT228" s="16" t="n">
        <x:f t="shared" si="309">ROUND(AR228*AS228,0)</x:f>
        <x:v>256402</x:v>
      </x:c>
      <x:c r="AU228" s="16" t="n">
        <x:f t="shared" si="310">ROUND(AT228*F228,0)</x:f>
        <x:v>1282010</x:v>
      </x:c>
      <x:c r="AV228" t="n">
        <x:f>IF(AU228&gt;0,ROUND(AU228,-MAX(0,INT(LOG10(AU228))-2)),0)</x:f>
        <x:v>1280000</x:v>
      </x:c>
    </x:row>
    <x:row r="229" customHeight="1">
      <x:c r="A229" s="1" t="str">
        <x:f>IFERROR(XLOOKUP(B229,'_曲线基线'!$G$3:$G$107,'_曲线基线'!$J$3:$J$107,""),"")</x:f>
      </x:c>
      <x:c r="B229" s="1" t="n">
        <x:v>218</x:v>
      </x:c>
      <x:c r="C229" s="1" t="n">
        <x:f t="shared" si="255">C214+1</x:f>
        <x:v>15</x:v>
      </x:c>
      <x:c r="D229" s="1" t="n">
        <x:f t="shared" si="256">D214</x:f>
        <x:v>14</x:v>
      </x:c>
      <x:c r="E229" s="1" t="n">
        <x:f t="shared" si="282">IF($B229&lt;E$8,0,E$3+(E$4-E$3)*(POWER(E$5,$B229-E$8)-1)/(POWER(E$5,$C$5-E$8)-1))</x:f>
        <x:v>1</x:v>
      </x:c>
      <x:c r="F229" s="10" t="n">
        <x:f t="shared" si="283">1+IF(B229&lt;3,0,MIN(1,(B229-2)/4))+IF(B229&lt;7,0,MIN(1,(B229-6)/3))+IF(B229&lt;10,0,MIN(1,(B229-9)/5))+IF(B229&lt;20,0,MIN(1,(B229-19)/10))</x:f>
        <x:v>5</x:v>
      </x:c>
      <x:c r="G229" s="11" t="n">
        <x:f t="shared" ref="G229:L229" si="335">'玩家战力_节点'!G229</x:f>
        <x:v>0.8271932325103543</x:v>
      </x:c>
      <x:c r="H229" s="11" t="n">
        <x:f t="shared" si="335">'玩家战力_节点'!H229</x:f>
        <x:v>0.6439047917810113</x:v>
      </x:c>
      <x:c r="I229" s="11" t="n">
        <x:f t="shared" si="335">'玩家战力_节点'!I229</x:f>
        <x:v>0.575546389570449</x:v>
      </x:c>
      <x:c r="J229" s="11" t="n">
        <x:f t="shared" si="335">'玩家战力_节点'!J229</x:f>
        <x:v>0.5392986514552116</x:v>
      </x:c>
      <x:c r="K229" s="11" t="n">
        <x:f t="shared" si="335">'玩家战力_节点'!K229</x:f>
        <x:v>0.5545808301319506</x:v>
      </x:c>
      <x:c r="L229" s="11" t="n">
        <x:f t="shared" si="335">'玩家战力_节点'!L229</x:f>
        <x:v>0.6414432236664007</x:v>
      </x:c>
      <x:c r="M229" s="2" t="n">
        <x:f>E229*'模块规划'!$F$10+G229*'模块规划'!$F$11+H229*'模块规划'!$F$13</x:f>
        <x:v>4970.5275160497</x:v>
      </x:c>
      <x:c r="N229" s="2" t="n">
        <x:f>I229*'模块规划'!$F$15+J229*'模块规划'!$F$17+K229*'模块规划'!$F$16+L229*'模块规划'!$F$18</x:f>
        <x:v>16532.058730239416</x:v>
      </x:c>
      <x:c r="O229" s="2" t="n">
        <x:f t="shared" si="285">1+O$9*SUMPRODUCT($H$10:$L$10,H229:L229)/SUM($H$10:$L$10)</x:f>
        <x:v>3.165282094817194</x:v>
      </x:c>
      <x:c r="P229" s="12" t="n">
        <x:f t="shared" si="286">M229*O229+N229</x:f>
        <x:v>32265.180478587718</x:v>
      </x:c>
      <x:c r="Q229" s="7" t="n">
        <x:f>P229/(P229+'_曲线基线'!$L$2)</x:f>
        <x:v>0.5734484490077582</x:v>
      </x:c>
      <x:c r="R229" s="2" t="n">
        <x:f>E229*'模块规划'!$E$10+G229*'模块规划'!$E$11+H229*'模块规划'!$E$13</x:f>
        <x:v>7455.7912740745505</x:v>
      </x:c>
      <x:c r="S229" s="2" t="n">
        <x:f>I229*'模块规划'!$E$15+J229*'模块规划'!$E$17+K229*'模块规划'!$E$16+L229*'模块规划'!$E$18</x:f>
        <x:v>24798.088095359122</x:v>
      </x:c>
      <x:c r="T229" s="2" t="n">
        <x:f t="shared" si="287">1+T$9*SUMPRODUCT($H$10:$L$10,H229:L229)/SUM($H$10:$L$10)</x:f>
        <x:v>3.165282094817194</x:v>
      </x:c>
      <x:c r="U229" s="12" t="n">
        <x:f t="shared" si="288">R229*T229+S229</x:f>
        <x:v>48397.770717881576</x:v>
      </x:c>
      <x:c r="V229" s="2" t="n">
        <x:f t="shared" si="289">V$8+(V$9-V$8)*H229</x:f>
        <x:v>0.8931714375343034</x:v>
      </x:c>
      <x:c r="W229" s="2" t="n">
        <x:f t="shared" si="290">IF(B229&lt;$H$8,0,W$8+(W$9-W$8)*H229)</x:f>
        <x:v>0.2575619167124045</x:v>
      </x:c>
      <x:c r="X229" s="2" t="n">
        <x:f t="shared" si="291">X$8+(X$9-X$8)*H229</x:f>
        <x:v>0.45207381773977817</x:v>
      </x:c>
      <x:c r="Y229" s="2" t="n">
        <x:f t="shared" si="292">Y$8+(Y$9-Y$8)*G229</x:f>
        <x:v>1</x:v>
      </x:c>
      <x:c r="Z229" s="2" t="n">
        <x:f t="shared" si="293">Z$8+(Z$9-Z$8)*H229</x:f>
        <x:v>1</x:v>
      </x:c>
      <x:c r="AA229" s="2" t="n">
        <x:f t="shared" si="294">AA$8+(AA$9-AA$8)*I229</x:f>
        <x:v>1</x:v>
      </x:c>
      <x:c r="AB229" s="2" t="n">
        <x:f t="shared" si="295">AB$8+(AB$9-AB$8)*J229</x:f>
        <x:v>1</x:v>
      </x:c>
      <x:c r="AC229" s="2" t="n">
        <x:f t="shared" si="296">AC$8+(AC$9-AC$8)*MAX(K229,L229)</x:f>
        <x:v>1</x:v>
      </x:c>
      <x:c r="AD229" s="1" t="n">
        <x:f t="shared" si="297">(V229*AE229+W229*AF229+X229*AG229)*PRODUCT(Y229:AC229)</x:f>
        <x:v>1.805138061411983</x:v>
      </x:c>
      <x:c r="AE229" s="2" t="n">
        <x:f t="shared" si="298">1+AE$9*($H$10*H229+$I$10*I229+$J$10*J229+$K$10*K229+$L$10*L229)</x:f>
        <x:v>1</x:v>
      </x:c>
      <x:c r="AF229" s="2" t="n">
        <x:f t="shared" si="299">1+AF$9*($H$10*H229+$I$10*I229+$J$10*J229+$K$10*K229+$L$10*L229)</x:f>
        <x:v>1.1911058690972263</x:v>
      </x:c>
      <x:c r="AG229" s="2" t="n">
        <x:f t="shared" si="300">1+AG$9*($H$10*H229+$I$10*I229+$J$10*J229+$K$10*K229+$L$10*L229)</x:f>
        <x:v>1.338682068011198</x:v>
      </x:c>
      <x:c r="AH229" s="2" t="n">
        <x:f>MIN(1,'_曲线基线'!$L$3+AH$9*($H$10*H229+$I$10*I229+$J$10*J229+$K$10*K229+$L$10*L229))</x:f>
        <x:v>0.4847658521961891</x:v>
      </x:c>
      <x:c r="AI229" s="2" t="n">
        <x:f>'_曲线基线'!$L$4+AI$9*($H$10*H229+$I$10*I229+$J$10*J229+$K$10*K229+$L$10*L229)</x:f>
        <x:v>3.2111334454036697</x:v>
      </x:c>
      <x:c r="AJ229" s="2" t="n">
        <x:f t="shared" si="301">1+AJ$9*($H$10*H229+$I$10*I229+$J$10*J229+$K$10*K229+$L$10*L229)</x:f>
        <x:v>1.9937505193055753</x:v>
      </x:c>
      <x:c r="AK229" s="1" t="n">
        <x:f t="shared" si="302">(1+AH229*(AI229-1))*AJ229</x:f>
        <x:v>4.130815791469951</x:v>
      </x:c>
      <x:c r="AL229" s="1" t="n">
        <x:f t="shared" si="303">U229*AD229*AK229*F229</x:f>
        <x:v>1804436.5446273878</x:v>
      </x:c>
      <x:c r="AM229" s="13" t="n">
        <x:f t="shared" si="304">IF($B229&lt;AM$8,0,AM$3+(AM$4-AM$3)*(POWER(AM$5,$B229-AM$8)-1)/(POWER(AM$5,$C$5-AM$8)-1))</x:f>
        <x:v>45.28917076787722</x:v>
      </x:c>
      <x:c r="AN229" s="13" t="n">
        <x:f>(((E229*'模块规划'!$D$10+G229*'模块规划'!$D$11+H229*'模块规划'!$D$13)*(1+'模块规划'!$G$14*H229)+(I229*'模块规划'!$D$15+J229*'模块规划'!$D$17+K229*'模块规划'!$D$16+L229*'模块规划'!$D$18))*(1+'模块规划'!$J$17*J229))*F229/(1-Q229)</x:f>
        <x:v>2353923.6549371365</x:v>
      </x:c>
      <x:c r="AO229" s="1" t="n">
        <x:f t="shared" si="305">AL229*AM229</x:f>
        <x:v>81721434.80942808</x:v>
      </x:c>
      <x:c r="AP229" s="1" t="n">
        <x:f>IF(AO229="","",INDEX('_曲线基线'!$A$3:$A$502,MIN(ROWS('_曲线基线'!$A$3:$A$502),COUNTIF('_曲线基线'!$E$3:$E$502,"&lt;"&amp;AO229)+1)))</x:f>
        <x:v>278</x:v>
      </x:c>
      <x:c r="AQ229" s="14" t="n">
        <x:f t="shared" si="306">IF(B229&lt;=2,1,IF(B229&lt;=6,2,IF(B229&lt;=9,3,IF(B229&lt;=19,4,5))))</x:f>
        <x:v>5</x:v>
      </x:c>
      <x:c r="AR229" s="10" t="n">
        <x:f t="shared" si="307">AN229*(1-Q229)/F229*$AS$3+U229*$AS$4+P229*$AS$5</x:f>
        <x:v>15703.97285916089</x:v>
      </x:c>
      <x:c r="AS229" s="15" t="n">
        <x:f t="shared" si="308">1+AH229*$AS$6+AI229*$AS$7+(AJ229-1)*$AS$8+($H$10*H229+$I$10*I229+$J$10*J229+$K$10*K229+$L$10*L229)*$AU$3*$AS$9+($H$10*H229+$I$10*I229+$J$10*J229+$K$10*K229+$L$10*L229)*$AU$4*$AS$10</x:f>
        <x:v>16.400372822603018</x:v>
      </x:c>
      <x:c r="AT229" s="16" t="n">
        <x:f t="shared" si="309">ROUND(AR229*AS229,0)</x:f>
        <x:v>257551</x:v>
      </x:c>
      <x:c r="AU229" s="16" t="n">
        <x:f t="shared" si="310">ROUND(AT229*F229,0)</x:f>
        <x:v>1287755</x:v>
      </x:c>
      <x:c r="AV229" t="n">
        <x:f>IF(AU229&gt;0,ROUND(AU229,-MAX(0,INT(LOG10(AU229))-2)),0)</x:f>
        <x:v>1290000</x:v>
      </x:c>
    </x:row>
    <x:row r="230" customHeight="1">
      <x:c r="A230" s="1" t="str">
        <x:f>IFERROR(XLOOKUP(B230,'_曲线基线'!$G$3:$G$107,'_曲线基线'!$J$3:$J$107,""),"")</x:f>
      </x:c>
      <x:c r="B230" s="1" t="n">
        <x:v>219</x:v>
      </x:c>
      <x:c r="C230" s="1" t="n">
        <x:f t="shared" si="255">C215+1</x:f>
        <x:v>15</x:v>
      </x:c>
      <x:c r="D230" s="1" t="n">
        <x:f t="shared" si="256">D215</x:f>
        <x:v>15</x:v>
      </x:c>
      <x:c r="E230" s="1" t="n">
        <x:f t="shared" si="282">IF($B230&lt;E$8,0,E$3+(E$4-E$3)*(POWER(E$5,$B230-E$8)-1)/(POWER(E$5,$C$5-E$8)-1))</x:f>
        <x:v>1</x:v>
      </x:c>
      <x:c r="F230" s="10" t="n">
        <x:f t="shared" si="283">1+IF(B230&lt;3,0,MIN(1,(B230-2)/4))+IF(B230&lt;7,0,MIN(1,(B230-6)/3))+IF(B230&lt;10,0,MIN(1,(B230-9)/5))+IF(B230&lt;20,0,MIN(1,(B230-19)/10))</x:f>
        <x:v>5</x:v>
      </x:c>
      <x:c r="G230" s="11" t="n">
        <x:f t="shared" ref="G230:L230" si="336">'玩家战力_节点'!G230</x:f>
        <x:v>0.8285585695494192</x:v>
      </x:c>
      <x:c r="H230" s="11" t="n">
        <x:f t="shared" si="336">'玩家战力_节点'!H230</x:f>
        <x:v>0.6449258844955015</x:v>
      </x:c>
      <x:c r="I230" s="11" t="n">
        <x:f t="shared" si="336">'玩家战力_节点'!I230</x:f>
        <x:v>0.5770279119954724</x:v>
      </x:c>
      <x:c r="J230" s="11" t="n">
        <x:f t="shared" si="336">'玩家战力_节点'!J230</x:f>
        <x:v>0.5404248674243504</x:v>
      </x:c>
      <x:c r="K230" s="11" t="n">
        <x:f t="shared" si="336">'玩家战力_节点'!K230</x:f>
        <x:v>0.5566928642744265</x:v>
      </x:c>
      <x:c r="L230" s="11" t="n">
        <x:f t="shared" si="336">'玩家战力_节点'!L230</x:f>
        <x:v>0.6425246891607788</x:v>
      </x:c>
      <x:c r="M230" s="2" t="n">
        <x:f>E230*'模块规划'!$F$10+G230*'模块规划'!$F$11+H230*'模块规划'!$F$13</x:f>
        <x:v>4977.081133837212</x:v>
      </x:c>
      <x:c r="N230" s="2" t="n">
        <x:f>I230*'模块规划'!$F$15+J230*'模块规划'!$F$17+K230*'模块规划'!$F$16+L230*'模块规划'!$F$18</x:f>
        <x:v>16573.252601657736</x:v>
      </x:c>
      <x:c r="O230" s="2" t="n">
        <x:f t="shared" si="285">1+O$9*SUMPRODUCT($H$10:$L$10,H230:L230)/SUM($H$10:$L$10)</x:f>
        <x:v>3.1702903841233447</x:v>
      </x:c>
      <x:c r="P230" s="12" t="n">
        <x:f t="shared" si="286">M230*O230+N230</x:f>
        <x:v>32352.04506126356</x:v>
      </x:c>
      <x:c r="Q230" s="7" t="n">
        <x:f>P230/(P230+'_曲线基线'!$L$2)</x:f>
        <x:v>0.5741059623673247</x:v>
      </x:c>
      <x:c r="R230" s="2" t="n">
        <x:f>E230*'模块规划'!$E$10+G230*'模块规划'!$E$11+H230*'模块规划'!$E$13</x:f>
        <x:v>7465.621700755818</x:v>
      </x:c>
      <x:c r="S230" s="2" t="n">
        <x:f>I230*'模块规划'!$E$15+J230*'模块规划'!$E$17+K230*'模块规划'!$E$16+L230*'模块规划'!$E$18</x:f>
        <x:v>24859.878902486606</x:v>
      </x:c>
      <x:c r="T230" s="2" t="n">
        <x:f t="shared" si="287">1+T$9*SUMPRODUCT($H$10:$L$10,H230:L230)/SUM($H$10:$L$10)</x:f>
        <x:v>3.1702903841233447</x:v>
      </x:c>
      <x:c r="U230" s="12" t="n">
        <x:f t="shared" si="288">R230*T230+S230</x:f>
        <x:v>48528.06759189535</x:v>
      </x:c>
      <x:c r="V230" s="2" t="n">
        <x:f t="shared" si="289">V$8+(V$9-V$8)*H230</x:f>
        <x:v>0.8934777653486504</x:v>
      </x:c>
      <x:c r="W230" s="2" t="n">
        <x:f t="shared" si="290">IF(B230&lt;$H$8,0,W$8+(W$9-W$8)*H230)</x:f>
        <x:v>0.2579703537982006</x:v>
      </x:c>
      <x:c r="X230" s="2" t="n">
        <x:f t="shared" si="291">X$8+(X$9-X$8)*H230</x:f>
        <x:v>0.45235461823626294</x:v>
      </x:c>
      <x:c r="Y230" s="2" t="n">
        <x:f t="shared" si="292">Y$8+(Y$9-Y$8)*G230</x:f>
        <x:v>1</x:v>
      </x:c>
      <x:c r="Z230" s="2" t="n">
        <x:f t="shared" si="293">Z$8+(Z$9-Z$8)*H230</x:f>
        <x:v>1</x:v>
      </x:c>
      <x:c r="AA230" s="2" t="n">
        <x:f t="shared" si="294">AA$8+(AA$9-AA$8)*I230</x:f>
        <x:v>1</x:v>
      </x:c>
      <x:c r="AB230" s="2" t="n">
        <x:f t="shared" si="295">AB$8+(AB$9-AB$8)*J230</x:f>
        <x:v>1</x:v>
      </x:c>
      <x:c r="AC230" s="2" t="n">
        <x:f t="shared" si="296">AC$8+(AC$9-AC$8)*MAX(K230,L230)</x:f>
        <x:v>1</x:v>
      </x:c>
      <x:c r="AD230" s="1" t="n">
        <x:f t="shared" si="297">(V230*AE230+W230*AF230+X230*AG230)*PRODUCT(Y230:AC230)</x:f>
        <x:v>1.8067751747197294</x:v>
      </x:c>
      <x:c r="AE230" s="2" t="n">
        <x:f t="shared" si="298">1+AE$9*($H$10*H230+$I$10*I230+$J$10*J230+$K$10*K230+$L$10*L230)</x:f>
        <x:v>1</x:v>
      </x:c>
      <x:c r="AF230" s="2" t="n">
        <x:f t="shared" si="299">1+AF$9*($H$10*H230+$I$10*I230+$J$10*J230+$K$10*K230+$L$10*L230)</x:f>
        <x:v>1.1915478962505626</x:v>
      </x:c>
      <x:c r="AG230" s="2" t="n">
        <x:f t="shared" si="300">1+AG$9*($H$10*H230+$I$10*I230+$J$10*J230+$K$10*K230+$L$10*L230)</x:f>
        <x:v>1.3394654383551663</x:v>
      </x:c>
      <x:c r="AH230" s="2" t="n">
        <x:f>MIN(1,'_曲线基线'!$L$3+AH$9*($H$10*H230+$I$10*I230+$J$10*J230+$K$10*K230+$L$10*L230))</x:f>
        <x:v>0.48577146397002935</x:v>
      </x:c>
      <x:c r="AI230" s="2" t="n">
        <x:f>'_曲线基线'!$L$4+AI$9*($H$10*H230+$I$10*I230+$J$10*J230+$K$10*K230+$L$10*L230)</x:f>
        <x:v>3.213934792487939</x:v>
      </x:c>
      <x:c r="AJ230" s="2" t="n">
        <x:f t="shared" si="301">1+AJ$9*($H$10*H230+$I$10*I230+$J$10*J230+$K$10*K230+$L$10*L230)</x:f>
        <x:v>1.9960490605029242</x:v>
      </x:c>
      <x:c r="AK230" s="1" t="n">
        <x:f t="shared" si="302">(1+AH230*(AI230-1))*AJ230</x:f>
        <x:v>4.142732648603676</x:v>
      </x:c>
      <x:c r="AL230" s="1" t="n">
        <x:f t="shared" si="303">U230*AD230*AK230*F230</x:f>
        <x:v>1816159.6551948457</x:v>
      </x:c>
      <x:c r="AM230" s="13" t="n">
        <x:f t="shared" si="304">IF($B230&lt;AM$8,0,AM$3+(AM$4-AM$3)*(POWER(AM$5,$B230-AM$8)-1)/(POWER(AM$5,$C$5-AM$8)-1))</x:f>
        <x:v>45.40548711547787</x:v>
      </x:c>
      <x:c r="AN230" s="13" t="n">
        <x:f>(((E230*'模块规划'!$D$10+G230*'模块规划'!$D$11+H230*'模块规划'!$D$13)*(1+'模块规划'!$G$14*H230)+(I230*'模块规划'!$D$15+J230*'模块规划'!$D$17+K230*'模块规划'!$D$16+L230*'模块规划'!$D$18))*(1+'模块规划'!$J$17*J230))*F230/(1-Q230)</x:f>
        <x:v>2364922.5959641715</x:v>
      </x:c>
      <x:c r="AO230" s="1" t="n">
        <x:f t="shared" si="305">AL230*AM230</x:f>
        <x:v>82463613.82360029</x:v>
      </x:c>
      <x:c r="AP230" s="1" t="n">
        <x:f>IF(AO230="","",INDEX('_曲线基线'!$A$3:$A$502,MIN(ROWS('_曲线基线'!$A$3:$A$502),COUNTIF('_曲线基线'!$E$3:$E$502,"&lt;"&amp;AO230)+1)))</x:f>
        <x:v>278</x:v>
      </x:c>
      <x:c r="AQ230" s="14" t="n">
        <x:f t="shared" si="306">IF(B230&lt;=2,1,IF(B230&lt;=6,2,IF(B230&lt;=9,3,IF(B230&lt;=19,4,5))))</x:f>
        <x:v>5</x:v>
      </x:c>
      <x:c r="AR230" s="10" t="n">
        <x:f t="shared" si="307">AN230*(1-Q230)/F230*$AS$3+U230*$AS$4+P230*$AS$5</x:f>
        <x:v>15748.852116882643</x:v>
      </x:c>
      <x:c r="AS230" s="15" t="n">
        <x:f t="shared" si="308">1+AH230*$AS$6+AI230*$AS$7+(AJ230-1)*$AS$8+($H$10*H230+$I$10*I230+$J$10*J230+$K$10*K230+$L$10*L230)*$AU$3*$AS$9+($H$10*H230+$I$10*I230+$J$10*J230+$K$10*K230+$L$10*L230)*$AU$4*$AS$10</x:f>
        <x:v>16.426784447268215</x:v>
      </x:c>
      <x:c r="AT230" s="16" t="n">
        <x:f t="shared" si="309">ROUND(AR230*AS230,0)</x:f>
        <x:v>258703</x:v>
      </x:c>
      <x:c r="AU230" s="16" t="n">
        <x:f t="shared" si="310">ROUND(AT230*F230,0)</x:f>
        <x:v>1293515</x:v>
      </x:c>
      <x:c r="AV230" t="n">
        <x:f>IF(AU230&gt;0,ROUND(AU230,-MAX(0,INT(LOG10(AU230))-2)),0)</x:f>
        <x:v>1290000</x:v>
      </x:c>
    </x:row>
    <x:row r="231" customHeight="1">
      <x:c r="A231" s="1" t="str">
        <x:f>IFERROR(XLOOKUP(B231,'_曲线基线'!$G$3:$G$107,'_曲线基线'!$J$3:$J$107,""),"")</x:f>
      </x:c>
      <x:c r="B231" s="1" t="n">
        <x:v>220</x:v>
      </x:c>
      <x:c r="C231" s="1" t="n">
        <x:f t="shared" si="255">C216+1</x:f>
        <x:v>16</x:v>
      </x:c>
      <x:c r="D231" s="1" t="n">
        <x:f t="shared" si="256">D216</x:f>
        <x:v>1</x:v>
      </x:c>
      <x:c r="E231" s="1" t="n">
        <x:f t="shared" si="282">IF($B231&lt;E$8,0,E$3+(E$4-E$3)*(POWER(E$5,$B231-E$8)-1)/(POWER(E$5,$C$5-E$8)-1))</x:f>
        <x:v>1</x:v>
      </x:c>
      <x:c r="F231" s="10" t="n">
        <x:f t="shared" si="283">1+IF(B231&lt;3,0,MIN(1,(B231-2)/4))+IF(B231&lt;7,0,MIN(1,(B231-6)/3))+IF(B231&lt;10,0,MIN(1,(B231-9)/5))+IF(B231&lt;20,0,MIN(1,(B231-19)/10))</x:f>
        <x:v>5</x:v>
      </x:c>
      <x:c r="G231" s="11" t="n">
        <x:f t="shared" ref="G231:L231" si="337">'玩家战力_节点'!G231</x:f>
        <x:v>0.8298789175928152</x:v>
      </x:c>
      <x:c r="H231" s="11" t="n">
        <x:f t="shared" si="337">'玩家战力_节点'!H231</x:f>
        <x:v>0.6459180824636033</x:v>
      </x:c>
      <x:c r="I231" s="11" t="n">
        <x:f t="shared" si="337">'玩家战力_节点'!I231</x:f>
        <x:v>0.5784351411444708</x:v>
      </x:c>
      <x:c r="J231" s="11" t="n">
        <x:f t="shared" si="337">'玩家战力_节点'!J231</x:f>
        <x:v>0.5415137584954545</x:v>
      </x:c>
      <x:c r="K231" s="11" t="n">
        <x:f t="shared" si="337">'玩家战力_节点'!K231</x:f>
        <x:v>0.5586489550042036</x:v>
      </x:c>
      <x:c r="L231" s="11" t="n">
        <x:f t="shared" si="337">'玩家战力_节点'!L231</x:f>
        <x:v>0.6435715608472211</x:v>
      </x:c>
      <x:c r="M231" s="2" t="n">
        <x:f>E231*'模块规划'!$F$10+G231*'模块规划'!$F$11+H231*'模块规划'!$F$13</x:f>
        <x:v>4983.418804445513</x:v>
      </x:c>
      <x:c r="N231" s="2" t="n">
        <x:f>I231*'模块规划'!$F$15+J231*'模块规划'!$F$17+K231*'模块规划'!$F$16+L231*'模块规划'!$F$18</x:f>
        <x:v>16612.370248371637</x:v>
      </x:c>
      <x:c r="O231" s="2" t="n">
        <x:f t="shared" si="285">1+O$9*SUMPRODUCT($H$10:$L$10,H231:L231)/SUM($H$10:$L$10)</x:f>
        <x:v>3.175067219097352</x:v>
      </x:c>
      <x:c r="P231" s="12" t="n">
        <x:f t="shared" si="286">M231*O231+N231</x:f>
        <x:v>32435.059933399905</x:v>
      </x:c>
      <x:c r="Q231" s="7" t="n">
        <x:f>P231/(P231+'_曲线基线'!$L$2)</x:f>
        <x:v>0.5747324441876582</x:v>
      </x:c>
      <x:c r="R231" s="2" t="n">
        <x:f>E231*'模块规划'!$E$10+G231*'模块规划'!$E$11+H231*'模块规划'!$E$13</x:f>
        <x:v>7475.12820666827</x:v>
      </x:c>
      <x:c r="S231" s="2" t="n">
        <x:f>I231*'模块规划'!$E$15+J231*'模块规划'!$E$17+K231*'模块规划'!$E$16+L231*'模块规划'!$E$18</x:f>
        <x:v>24918.555372557457</x:v>
      </x:c>
      <x:c r="T231" s="2" t="n">
        <x:f t="shared" si="287">1+T$9*SUMPRODUCT($H$10:$L$10,H231:L231)/SUM($H$10:$L$10)</x:f>
        <x:v>3.175067219097352</x:v>
      </x:c>
      <x:c r="U231" s="12" t="n">
        <x:f t="shared" si="288">R231*T231+S231</x:f>
        <x:v>48652.58990009986</x:v>
      </x:c>
      <x:c r="V231" s="2" t="n">
        <x:f t="shared" si="289">V$8+(V$9-V$8)*H231</x:f>
        <x:v>0.893775424739081</x:v>
      </x:c>
      <x:c r="W231" s="2" t="n">
        <x:f t="shared" si="290">IF(B231&lt;$H$8,0,W$8+(W$9-W$8)*H231)</x:f>
        <x:v>0.25836723298544134</x:v>
      </x:c>
      <x:c r="X231" s="2" t="n">
        <x:f t="shared" si="291">X$8+(X$9-X$8)*H231</x:f>
        <x:v>0.4526274726774909</x:v>
      </x:c>
      <x:c r="Y231" s="2" t="n">
        <x:f t="shared" si="292">Y$8+(Y$9-Y$8)*G231</x:f>
        <x:v>1</x:v>
      </x:c>
      <x:c r="Z231" s="2" t="n">
        <x:f t="shared" si="293">Z$8+(Z$9-Z$8)*H231</x:f>
        <x:v>1</x:v>
      </x:c>
      <x:c r="AA231" s="2" t="n">
        <x:f t="shared" si="294">AA$8+(AA$9-AA$8)*I231</x:f>
        <x:v>1</x:v>
      </x:c>
      <x:c r="AB231" s="2" t="n">
        <x:f t="shared" si="295">AB$8+(AB$9-AB$8)*J231</x:f>
        <x:v>1</x:v>
      </x:c>
      <x:c r="AC231" s="2" t="n">
        <x:f t="shared" si="296">AC$8+(AC$9-AC$8)*MAX(K231,L231)</x:f>
        <x:v>1</x:v>
      </x:c>
      <x:c r="AD231" s="1" t="n">
        <x:f t="shared" si="297">(V231*AE231+W231*AF231+X231*AG231)*PRODUCT(Y231:AC231)</x:f>
        <x:v>1.808358329707501</x:v>
      </x:c>
      <x:c r="AE231" s="2" t="n">
        <x:f t="shared" si="298">1+AE$9*($H$10*H231+$I$10*I231+$J$10*J231+$K$10*K231+$L$10*L231)</x:f>
        <x:v>1</x:v>
      </x:c>
      <x:c r="AF231" s="2" t="n">
        <x:f t="shared" si="299">1+AF$9*($H$10*H231+$I$10*I231+$J$10*J231+$K$10*K231+$L$10*L231)</x:f>
        <x:v>1.1919694954506976</x:v>
      </x:c>
      <x:c r="AG231" s="2" t="n">
        <x:f t="shared" si="300">1+AG$9*($H$10*H231+$I$10*I231+$J$10*J231+$K$10*K231+$L$10*L231)</x:f>
        <x:v>1.3402126058265167</x:v>
      </x:c>
      <x:c r="AH231" s="2" t="n">
        <x:f>MIN(1,'_曲线基线'!$L$3+AH$9*($H$10*H231+$I$10*I231+$J$10*J231+$K$10*K231+$L$10*L231))</x:f>
        <x:v>0.48673060215033664</x:v>
      </x:c>
      <x:c r="AI231" s="2" t="n">
        <x:f>'_曲线基线'!$L$4+AI$9*($H$10*H231+$I$10*I231+$J$10*J231+$K$10*K231+$L$10*L231)</x:f>
        <x:v>3.216606677418795</x:v>
      </x:c>
      <x:c r="AJ231" s="2" t="n">
        <x:f t="shared" si="301">1+AJ$9*($H$10*H231+$I$10*I231+$J$10*J231+$K$10*K231+$L$10*L231)</x:f>
        <x:v>1.9982413763436266</x:v>
      </x:c>
      <x:c r="AK231" s="1" t="n">
        <x:f t="shared" si="302">(1+AH231*(AI231-1))*AJ231</x:f>
        <x:v>4.154124619995451</x:v>
      </x:c>
      <x:c r="AL231" s="1" t="n">
        <x:f t="shared" si="303">U231*AD231*AK231*F231</x:f>
        <x:v>1827426.7587898206</x:v>
      </x:c>
      <x:c r="AM231" s="13" t="n">
        <x:f t="shared" si="304">IF($B231&lt;AM$8,0,AM$3+(AM$4-AM$3)*(POWER(AM$5,$B231-AM$8)-1)/(POWER(AM$5,$C$5-AM$8)-1))</x:f>
        <x:v>45.52296662655451</x:v>
      </x:c>
      <x:c r="AN231" s="13" t="n">
        <x:f>(((E231*'模块规划'!$D$10+G231*'模块规划'!$D$11+H231*'模块规划'!$D$13)*(1+'模块规划'!$G$14*H231)+(I231*'模块规划'!$D$15+J231*'模块规划'!$D$17+K231*'模块规划'!$D$16+L231*'模块规划'!$D$18))*(1+'模块规划'!$J$17*J231))*F231/(1-Q231)</x:f>
        <x:v>2375480.7110151974</x:v>
      </x:c>
      <x:c r="AO231" s="1" t="n">
        <x:f t="shared" si="305">AL231*AM231</x:f>
        <x:v>83189887.35286169</x:v>
      </x:c>
      <x:c r="AP231" s="1" t="n">
        <x:f>IF(AO231="","",INDEX('_曲线基线'!$A$3:$A$502,MIN(ROWS('_曲线基线'!$A$3:$A$502),COUNTIF('_曲线基线'!$E$3:$E$502,"&lt;"&amp;AO231)+1)))</x:f>
        <x:v>279</x:v>
      </x:c>
      <x:c r="AQ231" s="14" t="n">
        <x:f t="shared" si="306">IF(B231&lt;=2,1,IF(B231&lt;=6,2,IF(B231&lt;=9,3,IF(B231&lt;=19,4,5))))</x:f>
        <x:v>5</x:v>
      </x:c>
      <x:c r="AR231" s="10" t="n">
        <x:f t="shared" si="307">AN231*(1-Q231)/F231*$AS$3+U231*$AS$4+P231*$AS$5</x:f>
        <x:v>15791.807235136752</x:v>
      </x:c>
      <x:c r="AS231" s="15" t="n">
        <x:f t="shared" si="308">1+AH231*$AS$6+AI231*$AS$7+(AJ231-1)*$AS$8+($H$10*H231+$I$10*I231+$J$10*J231+$K$10*K231+$L$10*L231)*$AU$3*$AS$9+($H$10*H231+$I$10*I231+$J$10*J231+$K$10*K231+$L$10*L231)*$AU$4*$AS$10</x:f>
        <x:v>16.451975478518378</x:v>
      </x:c>
      <x:c r="AT231" s="16" t="n">
        <x:f t="shared" si="309">ROUND(AR231*AS231,0)</x:f>
        <x:v>259806</x:v>
      </x:c>
      <x:c r="AU231" s="16" t="n">
        <x:f t="shared" si="310">ROUND(AT231*F231,0)</x:f>
        <x:v>1299030</x:v>
      </x:c>
      <x:c r="AV231" t="n">
        <x:f>IF(AU231&gt;0,ROUND(AU231,-MAX(0,INT(LOG10(AU231))-2)),0)</x:f>
        <x:v>1300000</x:v>
      </x:c>
    </x:row>
    <x:row r="232" customHeight="1">
      <x:c r="A232" s="1" t="str">
        <x:f>IFERROR(XLOOKUP(B232,'_曲线基线'!$G$3:$G$107,'_曲线基线'!$J$3:$J$107,""),"")</x:f>
      </x:c>
      <x:c r="B232" s="1" t="n">
        <x:v>221</x:v>
      </x:c>
      <x:c r="C232" s="1" t="n">
        <x:f t="shared" si="255">C217+1</x:f>
        <x:v>16</x:v>
      </x:c>
      <x:c r="D232" s="1" t="n">
        <x:f t="shared" si="256">D217</x:f>
        <x:v>2</x:v>
      </x:c>
      <x:c r="E232" s="1" t="n">
        <x:f t="shared" si="282">IF($B232&lt;E$8,0,E$3+(E$4-E$3)*(POWER(E$5,$B232-E$8)-1)/(POWER(E$5,$C$5-E$8)-1))</x:f>
        <x:v>1</x:v>
      </x:c>
      <x:c r="F232" s="10" t="n">
        <x:f t="shared" si="283">1+IF(B232&lt;3,0,MIN(1,(B232-2)/4))+IF(B232&lt;7,0,MIN(1,(B232-6)/3))+IF(B232&lt;10,0,MIN(1,(B232-9)/5))+IF(B232&lt;20,0,MIN(1,(B232-19)/10))</x:f>
        <x:v>5</x:v>
      </x:c>
      <x:c r="G232" s="11" t="n">
        <x:f t="shared" ref="G232:L232" si="338">'玩家战力_节点'!G232</x:f>
        <x:v>0.8311596686861633</x:v>
      </x:c>
      <x:c r="H232" s="11" t="n">
        <x:f t="shared" si="338">'玩家战力_节点'!H232</x:f>
        <x:v>0.6468860969710186</x:v>
      </x:c>
      <x:c r="I232" s="11" t="n">
        <x:f t="shared" si="338">'玩家战力_节点'!I232</x:f>
        <x:v>0.5797801905291702</x:v>
      </x:c>
      <x:c r="J232" s="11" t="n">
        <x:f t="shared" si="338">'玩家战力_节点'!J232</x:f>
        <x:v>0.5425714104896654</x:v>
      </x:c>
      <x:c r="K232" s="11" t="n">
        <x:f t="shared" si="338">'玩家战力_节点'!K232</x:f>
        <x:v>0.5604745288801747</x:v>
      </x:c>
      <x:c r="L232" s="11" t="n">
        <x:f t="shared" si="338">'玩家战力_节点'!L232</x:f>
        <x:v>0.6445894792428856</x:v>
      </x:c>
      <x:c r="M232" s="2" t="n">
        <x:f>E232*'模块规划'!$F$10+G232*'模块规划'!$F$11+H232*'模块规划'!$F$13</x:f>
        <x:v>4989.566409693583</x:v>
      </x:c>
      <x:c r="N232" s="2" t="n">
        <x:f>I232*'模块规划'!$F$15+J232*'模块规划'!$F$17+K232*'模块规划'!$F$16+L232*'模块规划'!$F$18</x:f>
        <x:v>16649.750198625494</x:v>
      </x:c>
      <x:c r="O232" s="2" t="n">
        <x:f t="shared" si="285">1+O$9*SUMPRODUCT($H$10:$L$10,H232:L232)/SUM($H$10:$L$10)</x:f>
        <x:v>3.1796503383464776</x:v>
      </x:c>
      <x:c r="P232" s="12" t="n">
        <x:f t="shared" si="286">M232*O232+N232</x:f>
        <x:v>32514.826721409918</x:v>
      </x:c>
      <x:c r="Q232" s="7" t="n">
        <x:f>P232/(P232+'_曲线基线'!$L$2)</x:f>
        <x:v>0.5753326800715837</x:v>
      </x:c>
      <x:c r="R232" s="2" t="n">
        <x:f>E232*'模块规划'!$E$10+G232*'模块规划'!$E$11+H232*'模块规划'!$E$13</x:f>
        <x:v>7484.349614540376</x:v>
      </x:c>
      <x:c r="S232" s="2" t="n">
        <x:f>I232*'模块规划'!$E$15+J232*'模块规划'!$E$17+K232*'模块规划'!$E$16+L232*'模块规划'!$E$18</x:f>
        <x:v>24974.625297938237</x:v>
      </x:c>
      <x:c r="T232" s="2" t="n">
        <x:f t="shared" si="287">1+T$9*SUMPRODUCT($H$10:$L$10,H232:L232)/SUM($H$10:$L$10)</x:f>
        <x:v>3.1796503383464776</x:v>
      </x:c>
      <x:c r="U232" s="12" t="n">
        <x:f t="shared" si="288">R232*T232+S232</x:f>
        <x:v>48772.24008211488</x:v>
      </x:c>
      <x:c r="V232" s="2" t="n">
        <x:f t="shared" si="289">V$8+(V$9-V$8)*H232</x:f>
        <x:v>0.8940658290913056</x:v>
      </x:c>
      <x:c r="W232" s="2" t="n">
        <x:f t="shared" si="290">IF(B232&lt;$H$8,0,W$8+(W$9-W$8)*H232)</x:f>
        <x:v>0.2587544387884075</x:v>
      </x:c>
      <x:c r="X232" s="2" t="n">
        <x:f t="shared" si="291">X$8+(X$9-X$8)*H232</x:f>
        <x:v>0.4528936766670302</x:v>
      </x:c>
      <x:c r="Y232" s="2" t="n">
        <x:f t="shared" si="292">Y$8+(Y$9-Y$8)*G232</x:f>
        <x:v>1</x:v>
      </x:c>
      <x:c r="Z232" s="2" t="n">
        <x:f t="shared" si="293">Z$8+(Z$9-Z$8)*H232</x:f>
        <x:v>1</x:v>
      </x:c>
      <x:c r="AA232" s="2" t="n">
        <x:f t="shared" si="294">AA$8+(AA$9-AA$8)*I232</x:f>
        <x:v>1</x:v>
      </x:c>
      <x:c r="AB232" s="2" t="n">
        <x:f t="shared" si="295">AB$8+(AB$9-AB$8)*J232</x:f>
        <x:v>1</x:v>
      </x:c>
      <x:c r="AC232" s="2" t="n">
        <x:f t="shared" si="296">AC$8+(AC$9-AC$8)*MAX(K232,L232)</x:f>
        <x:v>1</x:v>
      </x:c>
      <x:c r="AD232" s="1" t="n">
        <x:f t="shared" si="297">(V232*AE232+W232*AF232+X232*AG232)*PRODUCT(Y232:AC232)</x:f>
        <x:v>1.8098963729475852</x:v>
      </x:c>
      <x:c r="AE232" s="2" t="n">
        <x:f t="shared" si="298">1+AE$9*($H$10*H232+$I$10*I232+$J$10*J232+$K$10*K232+$L$10*L232)</x:f>
        <x:v>1</x:v>
      </x:c>
      <x:c r="AF232" s="2" t="n">
        <x:f t="shared" si="299">1+AF$9*($H$10*H232+$I$10*I232+$J$10*J232+$K$10*K232+$L$10*L232)</x:f>
        <x:v>1.1923739974734948</x:v>
      </x:c>
      <x:c r="AG232" s="2" t="n">
        <x:f t="shared" si="300">1+AG$9*($H$10*H232+$I$10*I232+$J$10*J232+$K$10*K232+$L$10*L232)</x:f>
        <x:v>1.340929473300252</x:v>
      </x:c>
      <x:c r="AH232" s="2" t="n">
        <x:f>MIN(1,'_曲线基线'!$L$3+AH$9*($H$10*H232+$I$10*I232+$J$10*J232+$K$10*K232+$L$10*L232))</x:f>
        <x:v>0.4876508442522005</x:v>
      </x:c>
      <x:c r="AI232" s="2" t="n">
        <x:f>'_曲线基线'!$L$4+AI$9*($H$10*H232+$I$10*I232+$J$10*J232+$K$10*K232+$L$10*L232)</x:f>
        <x:v>3.219170208988273</x:v>
      </x:c>
      <x:c r="AJ232" s="2" t="n">
        <x:f t="shared" si="301">1+AJ$9*($H$10*H232+$I$10*I232+$J$10*J232+$K$10*K232+$L$10*L232)</x:f>
        <x:v>2.000344786862173</x:v>
      </x:c>
      <x:c r="AK232" s="1" t="n">
        <x:f t="shared" si="302">(1+AH232*(AI232-1))*AJ232</x:f>
        <x:v>4.165078360291512</x:v>
      </x:c>
      <x:c r="AL232" s="1" t="n">
        <x:f t="shared" si="303">U232*AD232*AK232*F232</x:f>
        <x:v>1838313.5717264076</x:v>
      </x:c>
      <x:c r="AM232" s="13" t="n">
        <x:f t="shared" si="304">IF($B232&lt;AM$8,0,AM$3+(AM$4-AM$3)*(POWER(AM$5,$B232-AM$8)-1)/(POWER(AM$5,$C$5-AM$8)-1))</x:f>
        <x:v>45.64162093274193</x:v>
      </x:c>
      <x:c r="AN232" s="13" t="n">
        <x:f>(((E232*'模块规划'!$D$10+G232*'模块规划'!$D$11+H232*'模块规划'!$D$13)*(1+'模块规划'!$G$14*H232)+(I232*'模块规划'!$D$15+J232*'模块规划'!$D$17+K232*'模块规划'!$D$16+L232*'模块规划'!$D$18))*(1+'模块规划'!$J$17*J232))*F232/(1-Q232)</x:f>
        <x:v>2385668.998037777</x:v>
      </x:c>
      <x:c r="AO232" s="1" t="n">
        <x:f t="shared" si="305">AL232*AM232</x:f>
        <x:v>83903611.19625159</x:v>
      </x:c>
      <x:c r="AP232" s="1" t="n">
        <x:f>IF(AO232="","",INDEX('_曲线基线'!$A$3:$A$502,MIN(ROWS('_曲线基线'!$A$3:$A$502),COUNTIF('_曲线基线'!$E$3:$E$502,"&lt;"&amp;AO232)+1)))</x:f>
        <x:v>280</x:v>
      </x:c>
      <x:c r="AQ232" s="14" t="n">
        <x:f t="shared" si="306">IF(B232&lt;=2,1,IF(B232&lt;=6,2,IF(B232&lt;=9,3,IF(B232&lt;=19,4,5))))</x:f>
        <x:v>5</x:v>
      </x:c>
      <x:c r="AR232" s="10" t="n">
        <x:f t="shared" si="307">AN232*(1-Q232)/F232*$AS$3+U232*$AS$4+P232*$AS$5</x:f>
        <x:v>15833.141974221053</x:v>
      </x:c>
      <x:c r="AS232" s="15" t="n">
        <x:f t="shared" si="308">1+AH232*$AS$6+AI232*$AS$7+(AJ232-1)*$AS$8+($H$10*H232+$I$10*I232+$J$10*J232+$K$10*K232+$L$10*L232)*$AU$3*$AS$9+($H$10*H232+$I$10*I232+$J$10*J232+$K$10*K232+$L$10*L232)*$AU$4*$AS$10</x:f>
        <x:v>16.47614493399594</x:v>
      </x:c>
      <x:c r="AT232" s="16" t="n">
        <x:f t="shared" si="309">ROUND(AR232*AS232,0)</x:f>
        <x:v>260869</x:v>
      </x:c>
      <x:c r="AU232" s="16" t="n">
        <x:f t="shared" si="310">ROUND(AT232*F232,0)</x:f>
        <x:v>1304345</x:v>
      </x:c>
      <x:c r="AV232" t="n">
        <x:f>IF(AU232&gt;0,ROUND(AU232,-MAX(0,INT(LOG10(AU232))-2)),0)</x:f>
        <x:v>1300000</x:v>
      </x:c>
    </x:row>
    <x:row r="233" customHeight="1">
      <x:c r="A233" s="1" t="str">
        <x:f>IFERROR(XLOOKUP(B233,'_曲线基线'!$G$3:$G$107,'_曲线基线'!$J$3:$J$107,""),"")</x:f>
      </x:c>
      <x:c r="B233" s="1" t="n">
        <x:v>222</x:v>
      </x:c>
      <x:c r="C233" s="1" t="n">
        <x:f t="shared" si="255">C218+1</x:f>
        <x:v>16</x:v>
      </x:c>
      <x:c r="D233" s="1" t="n">
        <x:f t="shared" si="256">D218</x:f>
        <x:v>3</x:v>
      </x:c>
      <x:c r="E233" s="1" t="n">
        <x:f t="shared" si="282">IF($B233&lt;E$8,0,E$3+(E$4-E$3)*(POWER(E$5,$B233-E$8)-1)/(POWER(E$5,$C$5-E$8)-1))</x:f>
        <x:v>1</x:v>
      </x:c>
      <x:c r="F233" s="10" t="n">
        <x:f t="shared" si="283">1+IF(B233&lt;3,0,MIN(1,(B233-2)/4))+IF(B233&lt;7,0,MIN(1,(B233-6)/3))+IF(B233&lt;10,0,MIN(1,(B233-9)/5))+IF(B233&lt;20,0,MIN(1,(B233-19)/10))</x:f>
        <x:v>5</x:v>
      </x:c>
      <x:c r="G233" s="11" t="n">
        <x:f t="shared" ref="G233:L233" si="339">'玩家战力_节点'!G233</x:f>
        <x:v>0.8324404197795113</x:v>
      </x:c>
      <x:c r="H233" s="11" t="n">
        <x:f t="shared" si="339">'玩家战力_节点'!H233</x:f>
        <x:v>0.6478541114784341</x:v>
      </x:c>
      <x:c r="I233" s="11" t="n">
        <x:f t="shared" si="339">'玩家战力_节点'!I233</x:f>
        <x:v>0.5811252399138696</x:v>
      </x:c>
      <x:c r="J233" s="11" t="n">
        <x:f t="shared" si="339">'玩家战力_节点'!J233</x:f>
        <x:v>0.5436290624838764</x:v>
      </x:c>
      <x:c r="K233" s="11" t="n">
        <x:f t="shared" si="339">'玩家战力_节点'!K233</x:f>
        <x:v>0.5623001027561458</x:v>
      </x:c>
      <x:c r="L233" s="11" t="n">
        <x:f t="shared" si="339">'玩家战力_节点'!L233</x:f>
        <x:v>0.64560739763855</x:v>
      </x:c>
      <x:c r="M233" s="2" t="n">
        <x:f>E233*'模块规划'!$F$10+G233*'模块规划'!$F$11+H233*'模块规划'!$F$13</x:f>
        <x:v>4995.714014941655</x:v>
      </x:c>
      <x:c r="N233" s="2" t="n">
        <x:f>I233*'模块规划'!$F$15+J233*'模块规划'!$F$17+K233*'模块规划'!$F$16+L233*'模块规划'!$F$18</x:f>
        <x:v>16687.130148879347</x:v>
      </x:c>
      <x:c r="O233" s="2" t="n">
        <x:f t="shared" si="285">1+O$9*SUMPRODUCT($H$10:$L$10,H233:L233)/SUM($H$10:$L$10)</x:f>
        <x:v>3.1842334575956044</x:v>
      </x:c>
      <x:c r="P233" s="12" t="n">
        <x:f t="shared" si="286">M233*O233+N233</x:f>
        <x:v>32594.64985983583</x:v>
      </x:c>
      <x:c r="Q233" s="7" t="n">
        <x:f>P233/(P233+'_曲线基线'!$L$2)</x:f>
        <x:v>0.5759316461990809</x:v>
      </x:c>
      <x:c r="R233" s="2" t="n">
        <x:f>E233*'模块规划'!$E$10+G233*'模块规划'!$E$11+H233*'模块规划'!$E$13</x:f>
        <x:v>7493.571022412481</x:v>
      </x:c>
      <x:c r="S233" s="2" t="n">
        <x:f>I233*'模块规划'!$E$15+J233*'模块规划'!$E$17+K233*'模块规划'!$E$16+L233*'模块规划'!$E$18</x:f>
        <x:v>25030.69522331902</x:v>
      </x:c>
      <x:c r="T233" s="2" t="n">
        <x:f t="shared" si="287">1+T$9*SUMPRODUCT($H$10:$L$10,H233:L233)/SUM($H$10:$L$10)</x:f>
        <x:v>3.1842334575956044</x:v>
      </x:c>
      <x:c r="U233" s="12" t="n">
        <x:f t="shared" si="288">R233*T233+S233</x:f>
        <x:v>48891.974789753745</x:v>
      </x:c>
      <x:c r="V233" s="2" t="n">
        <x:f t="shared" si="289">V$8+(V$9-V$8)*H233</x:f>
        <x:v>0.8943562334435302</x:v>
      </x:c>
      <x:c r="W233" s="2" t="n">
        <x:f t="shared" si="290">IF(B233&lt;$H$8,0,W$8+(W$9-W$8)*H233)</x:f>
        <x:v>0.2591416445913736</x:v>
      </x:c>
      <x:c r="X233" s="2" t="n">
        <x:f t="shared" si="291">X$8+(X$9-X$8)*H233</x:f>
        <x:v>0.4531598806565694</x:v>
      </x:c>
      <x:c r="Y233" s="2" t="n">
        <x:f t="shared" si="292">Y$8+(Y$9-Y$8)*G233</x:f>
        <x:v>1</x:v>
      </x:c>
      <x:c r="Z233" s="2" t="n">
        <x:f t="shared" si="293">Z$8+(Z$9-Z$8)*H233</x:f>
        <x:v>1</x:v>
      </x:c>
      <x:c r="AA233" s="2" t="n">
        <x:f t="shared" si="294">AA$8+(AA$9-AA$8)*I233</x:f>
        <x:v>1</x:v>
      </x:c>
      <x:c r="AB233" s="2" t="n">
        <x:f t="shared" si="295">AB$8+(AB$9-AB$8)*J233</x:f>
        <x:v>1</x:v>
      </x:c>
      <x:c r="AC233" s="2" t="n">
        <x:f t="shared" si="296">AC$8+(AC$9-AC$8)*MAX(K233,L233)</x:f>
        <x:v>1</x:v>
      </x:c>
      <x:c r="AD233" s="1" t="n">
        <x:f t="shared" si="297">(V233*AE233+W233*AF233+X233*AG233)*PRODUCT(Y233:AC233)</x:f>
        <x:v>1.8114351111046936</x:v>
      </x:c>
      <x:c r="AE233" s="2" t="n">
        <x:f t="shared" si="298">1+AE$9*($H$10*H233+$I$10*I233+$J$10*J233+$K$10*K233+$L$10*L233)</x:f>
        <x:v>1</x:v>
      </x:c>
      <x:c r="AF233" s="2" t="n">
        <x:f t="shared" si="299">1+AF$9*($H$10*H233+$I$10*I233+$J$10*J233+$K$10*K233+$L$10*L233)</x:f>
        <x:v>1.1927784994962924</x:v>
      </x:c>
      <x:c r="AG233" s="2" t="n">
        <x:f t="shared" si="300">1+AG$9*($H$10*H233+$I$10*I233+$J$10*J233+$K$10*K233+$L$10*L233)</x:f>
        <x:v>1.3416463407739874</x:v>
      </x:c>
      <x:c r="AH233" s="2" t="n">
        <x:f>MIN(1,'_曲线基线'!$L$3+AH$9*($H$10*H233+$I$10*I233+$J$10*J233+$K$10*K233+$L$10*L233))</x:f>
        <x:v>0.48857108635406465</x:v>
      </x:c>
      <x:c r="AI233" s="2" t="n">
        <x:f>'_曲线基线'!$L$4+AI$9*($H$10*H233+$I$10*I233+$J$10*J233+$K$10*K233+$L$10*L233)</x:f>
        <x:v>3.2217337405577515</x:v>
      </x:c>
      <x:c r="AJ233" s="2" t="n">
        <x:f t="shared" si="301">1+AJ$9*($H$10*H233+$I$10*I233+$J$10*J233+$K$10*K233+$L$10*L233)</x:f>
        <x:v>2.002448197380719</x:v>
      </x:c>
      <x:c r="AK233" s="1" t="n">
        <x:f t="shared" si="302">(1+AH233*(AI233-1))*AJ233</x:f>
        <x:v>4.176055388535029</x:v>
      </x:c>
      <x:c r="AL233" s="1" t="n">
        <x:f t="shared" si="303">U233*AD233*AK233*F233</x:f>
        <x:v>1849254.2060475312</x:v>
      </x:c>
      <x:c r="AM233" s="13" t="n">
        <x:f t="shared" si="304">IF($B233&lt;AM$8,0,AM$3+(AM$4-AM$3)*(POWER(AM$5,$B233-AM$8)-1)/(POWER(AM$5,$C$5-AM$8)-1))</x:f>
        <x:v>45.761461781991216</x:v>
      </x:c>
      <x:c r="AN233" s="13" t="n">
        <x:f>(((E233*'模块规划'!$D$10+G233*'模块规划'!$D$11+H233*'模块规划'!$D$13)*(1+'模块规划'!$G$14*H233)+(I233*'模块规划'!$D$15+J233*'模块规划'!$D$17+K233*'模块规划'!$D$16+L233*'模块规划'!$D$18))*(1+'模块规划'!$J$17*J233))*F233/(1-Q233)</x:f>
        <x:v>2395887.695133125</x:v>
      </x:c>
      <x:c r="AO233" s="1" t="n">
        <x:f t="shared" si="305">AL233*AM233</x:f>
        <x:v>84624575.6752306</x:v>
      </x:c>
      <x:c r="AP233" s="1" t="n">
        <x:f>IF(AO233="","",INDEX('_曲线基线'!$A$3:$A$502,MIN(ROWS('_曲线基线'!$A$3:$A$502),COUNTIF('_曲线基线'!$E$3:$E$502,"&lt;"&amp;AO233)+1)))</x:f>
        <x:v>280</x:v>
      </x:c>
      <x:c r="AQ233" s="14" t="n">
        <x:f t="shared" si="306">IF(B233&lt;=2,1,IF(B233&lt;=6,2,IF(B233&lt;=9,3,IF(B233&lt;=19,4,5))))</x:f>
        <x:v>5</x:v>
      </x:c>
      <x:c r="AR233" s="10" t="n">
        <x:f t="shared" si="307">AN233*(1-Q233)/F233*$AS$3+U233*$AS$4+P233*$AS$5</x:f>
        <x:v>15874.515862552646</x:v>
      </x:c>
      <x:c r="AS233" s="15" t="n">
        <x:f t="shared" si="308">1+AH233*$AS$6+AI233*$AS$7+(AJ233-1)*$AS$8+($H$10*H233+$I$10*I233+$J$10*J233+$K$10*K233+$L$10*L233)*$AU$3*$AS$9+($H$10*H233+$I$10*I233+$J$10*J233+$K$10*K233+$L$10*L233)*$AU$4*$AS$10</x:f>
        <x:v>16.500314389473512</x:v>
      </x:c>
      <x:c r="AT233" s="16" t="n">
        <x:f t="shared" si="309">ROUND(AR233*AS233,0)</x:f>
        <x:v>261935</x:v>
      </x:c>
      <x:c r="AU233" s="16" t="n">
        <x:f t="shared" si="310">ROUND(AT233*F233,0)</x:f>
        <x:v>1309675</x:v>
      </x:c>
      <x:c r="AV233" t="n">
        <x:f>IF(AU233&gt;0,ROUND(AU233,-MAX(0,INT(LOG10(AU233))-2)),0)</x:f>
        <x:v>1310000</x:v>
      </x:c>
    </x:row>
    <x:row r="234" customHeight="1">
      <x:c r="A234" s="1" t="str">
        <x:f>IFERROR(XLOOKUP(B234,'_曲线基线'!$G$3:$G$107,'_曲线基线'!$J$3:$J$107,""),"")</x:f>
      </x:c>
      <x:c r="B234" s="1" t="n">
        <x:v>223</x:v>
      </x:c>
      <x:c r="C234" s="1" t="n">
        <x:f t="shared" si="255">C219+1</x:f>
        <x:v>16</x:v>
      </x:c>
      <x:c r="D234" s="1" t="n">
        <x:f t="shared" si="256">D219</x:f>
        <x:v>4</x:v>
      </x:c>
      <x:c r="E234" s="1" t="n">
        <x:f t="shared" si="282">IF($B234&lt;E$8,0,E$3+(E$4-E$3)*(POWER(E$5,$B234-E$8)-1)/(POWER(E$5,$C$5-E$8)-1))</x:f>
        <x:v>1</x:v>
      </x:c>
      <x:c r="F234" s="10" t="n">
        <x:f t="shared" si="283">1+IF(B234&lt;3,0,MIN(1,(B234-2)/4))+IF(B234&lt;7,0,MIN(1,(B234-6)/3))+IF(B234&lt;10,0,MIN(1,(B234-9)/5))+IF(B234&lt;20,0,MIN(1,(B234-19)/10))</x:f>
        <x:v>5</x:v>
      </x:c>
      <x:c r="G234" s="11" t="n">
        <x:f t="shared" ref="G234:L234" si="340">'玩家战力_节点'!G234</x:f>
        <x:v>0.8337211708728595</x:v>
      </x:c>
      <x:c r="H234" s="11" t="n">
        <x:f t="shared" si="340">'玩家战力_节点'!H234</x:f>
        <x:v>0.6488221259858495</x:v>
      </x:c>
      <x:c r="I234" s="11" t="n">
        <x:f t="shared" si="340">'玩家战力_节点'!I234</x:f>
        <x:v>0.5824702892985689</x:v>
      </x:c>
      <x:c r="J234" s="11" t="n">
        <x:f t="shared" si="340">'玩家战力_节点'!J234</x:f>
        <x:v>0.5446867144780874</x:v>
      </x:c>
      <x:c r="K234" s="11" t="n">
        <x:f t="shared" si="340">'玩家战力_节点'!K234</x:f>
        <x:v>0.5641256766321169</x:v>
      </x:c>
      <x:c r="L234" s="11" t="n">
        <x:f t="shared" si="340">'玩家战力_节点'!L234</x:f>
        <x:v>0.6466253160342145</x:v>
      </x:c>
      <x:c r="M234" s="2" t="n">
        <x:f>E234*'模块规划'!$F$10+G234*'模块规划'!$F$11+H234*'模块规划'!$F$13</x:f>
        <x:v>5001.861620189726</x:v>
      </x:c>
      <x:c r="N234" s="2" t="n">
        <x:f>I234*'模块规划'!$F$15+J234*'模块规划'!$F$17+K234*'模块规划'!$F$16+L234*'模块规划'!$F$18</x:f>
        <x:v>16724.5100991332</x:v>
      </x:c>
      <x:c r="O234" s="2" t="n">
        <x:f t="shared" si="285">1+O$9*SUMPRODUCT($H$10:$L$10,H234:L234)/SUM($H$10:$L$10)</x:f>
        <x:v>3.1888165768447303</x:v>
      </x:c>
      <x:c r="P234" s="12" t="n">
        <x:f t="shared" si="286">M234*O234+N234</x:f>
        <x:v>32674.529348677635</x:v>
      </x:c>
      <x:c r="Q234" s="7" t="n">
        <x:f>P234/(P234+'_曲线基线'!$L$2)</x:f>
        <x:v>0.576529346148686</x:v>
      </x:c>
      <x:c r="R234" s="2" t="n">
        <x:f>E234*'模块规划'!$E$10+G234*'模块规划'!$E$11+H234*'模块规划'!$E$13</x:f>
        <x:v>7502.792430284588</x:v>
      </x:c>
      <x:c r="S234" s="2" t="n">
        <x:f>I234*'模块规划'!$E$15+J234*'模块规划'!$E$17+K234*'模块规划'!$E$16+L234*'模块规划'!$E$18</x:f>
        <x:v>25086.7651486998</x:v>
      </x:c>
      <x:c r="T234" s="2" t="n">
        <x:f t="shared" si="287">1+T$9*SUMPRODUCT($H$10:$L$10,H234:L234)/SUM($H$10:$L$10)</x:f>
        <x:v>3.1888165768447303</x:v>
      </x:c>
      <x:c r="U234" s="12" t="n">
        <x:f t="shared" si="288">R234*T234+S234</x:f>
        <x:v>49011.79402301645</x:v>
      </x:c>
      <x:c r="V234" s="2" t="n">
        <x:f t="shared" si="289">V$8+(V$9-V$8)*H234</x:f>
        <x:v>0.8946466377957548</x:v>
      </x:c>
      <x:c r="W234" s="2" t="n">
        <x:f t="shared" si="290">IF(B234&lt;$H$8,0,W$8+(W$9-W$8)*H234)</x:f>
        <x:v>0.2595288503943398</x:v>
      </x:c>
      <x:c r="X234" s="2" t="n">
        <x:f t="shared" si="291">X$8+(X$9-X$8)*H234</x:f>
        <x:v>0.4534260846461087</x:v>
      </x:c>
      <x:c r="Y234" s="2" t="n">
        <x:f t="shared" si="292">Y$8+(Y$9-Y$8)*G234</x:f>
        <x:v>1</x:v>
      </x:c>
      <x:c r="Z234" s="2" t="n">
        <x:f t="shared" si="293">Z$8+(Z$9-Z$8)*H234</x:f>
        <x:v>1</x:v>
      </x:c>
      <x:c r="AA234" s="2" t="n">
        <x:f t="shared" si="294">AA$8+(AA$9-AA$8)*I234</x:f>
        <x:v>1</x:v>
      </x:c>
      <x:c r="AB234" s="2" t="n">
        <x:f t="shared" si="295">AB$8+(AB$9-AB$8)*J234</x:f>
        <x:v>1</x:v>
      </x:c>
      <x:c r="AC234" s="2" t="n">
        <x:f t="shared" si="296">AC$8+(AC$9-AC$8)*MAX(K234,L234)</x:f>
        <x:v>1</x:v>
      </x:c>
      <x:c r="AD234" s="1" t="n">
        <x:f t="shared" si="297">(V234*AE234+W234*AF234+X234*AG234)*PRODUCT(Y234:AC234)</x:f>
        <x:v>1.8129745441788259</x:v>
      </x:c>
      <x:c r="AE234" s="2" t="n">
        <x:f t="shared" si="298">1+AE$9*($H$10*H234+$I$10*I234+$J$10*J234+$K$10*K234+$L$10*L234)</x:f>
        <x:v>1</x:v>
      </x:c>
      <x:c r="AF234" s="2" t="n">
        <x:f t="shared" si="299">1+AF$9*($H$10*H234+$I$10*I234+$J$10*J234+$K$10*K234+$L$10*L234)</x:f>
        <x:v>1.1931830015190896</x:v>
      </x:c>
      <x:c r="AG234" s="2" t="n">
        <x:f t="shared" si="300">1+AG$9*($H$10*H234+$I$10*I234+$J$10*J234+$K$10*K234+$L$10*L234)</x:f>
        <x:v>1.3423632082477226</x:v>
      </x:c>
      <x:c r="AH234" s="2" t="n">
        <x:f>MIN(1,'_曲线基线'!$L$3+AH$9*($H$10*H234+$I$10*I234+$J$10*J234+$K$10*K234+$L$10*L234))</x:f>
        <x:v>0.4894913284559285</x:v>
      </x:c>
      <x:c r="AI234" s="2" t="n">
        <x:f>'_曲线基线'!$L$4+AI$9*($H$10*H234+$I$10*I234+$J$10*J234+$K$10*K234+$L$10*L234)</x:f>
        <x:v>3.2242972721272296</x:v>
      </x:c>
      <x:c r="AJ234" s="2" t="n">
        <x:f t="shared" si="301">1+AJ$9*($H$10*H234+$I$10*I234+$J$10*J234+$K$10*K234+$L$10*L234)</x:f>
        <x:v>2.0045516078992653</x:v>
      </x:c>
      <x:c r="AK234" s="1" t="n">
        <x:f t="shared" si="302">(1+AH234*(AI234-1))*AJ234</x:f>
        <x:v>4.187055734498552</x:v>
      </x:c>
      <x:c r="AL234" s="1" t="n">
        <x:f t="shared" si="303">U234*AD234*AK234*F234</x:f>
        <x:v>1860248.8817625125</x:v>
      </x:c>
      <x:c r="AM234" s="13" t="n">
        <x:f t="shared" si="304">IF($B234&lt;AM$8,0,AM$3+(AM$4-AM$3)*(POWER(AM$5,$B234-AM$8)-1)/(POWER(AM$5,$C$5-AM$8)-1))</x:f>
        <x:v>45.882501039733</x:v>
      </x:c>
      <x:c r="AN234" s="13" t="n">
        <x:f>(((E234*'模块规划'!$D$10+G234*'模块规划'!$D$11+H234*'模块规划'!$D$13)*(1+'模块规划'!$G$14*H234)+(I234*'模块规划'!$D$15+J234*'模块规划'!$D$17+K234*'模块规划'!$D$16+L234*'模块规划'!$D$18))*(1+'模块规划'!$J$17*J234))*F234/(1-Q234)</x:f>
        <x:v>2406136.862159288</x:v>
      </x:c>
      <x:c r="AO234" s="1" t="n">
        <x:f t="shared" si="305">AL234*AM234</x:f>
        <x:v>85352871.25163063</x:v>
      </x:c>
      <x:c r="AP234" s="1" t="n">
        <x:f>IF(AO234="","",INDEX('_曲线基线'!$A$3:$A$502,MIN(ROWS('_曲线基线'!$A$3:$A$502),COUNTIF('_曲线基线'!$E$3:$E$502,"&lt;"&amp;AO234)+1)))</x:f>
        <x:v>281</x:v>
      </x:c>
      <x:c r="AQ234" s="14" t="n">
        <x:f t="shared" si="306">IF(B234&lt;=2,1,IF(B234&lt;=6,2,IF(B234&lt;=9,3,IF(B234&lt;=19,4,5))))</x:f>
        <x:v>5</x:v>
      </x:c>
      <x:c r="AR234" s="10" t="n">
        <x:f t="shared" si="307">AN234*(1-Q234)/F234*$AS$3+U234*$AS$4+P234*$AS$5</x:f>
        <x:v>15915.928906249348</x:v>
      </x:c>
      <x:c r="AS234" s="15" t="n">
        <x:f t="shared" si="308">1+AH234*$AS$6+AI234*$AS$7+(AJ234-1)*$AS$8+($H$10*H234+$I$10*I234+$J$10*J234+$K$10*K234+$L$10*L234)*$AU$3*$AS$9+($H$10*H234+$I$10*I234+$J$10*J234+$K$10*K234+$L$10*L234)*$AU$4*$AS$10</x:f>
        <x:v>16.524483844951074</x:v>
      </x:c>
      <x:c r="AT234" s="16" t="n">
        <x:f t="shared" si="309">ROUND(AR234*AS234,0)</x:f>
        <x:v>263003</x:v>
      </x:c>
      <x:c r="AU234" s="16" t="n">
        <x:f t="shared" si="310">ROUND(AT234*F234,0)</x:f>
        <x:v>1315015</x:v>
      </x:c>
      <x:c r="AV234" t="n">
        <x:f>IF(AU234&gt;0,ROUND(AU234,-MAX(0,INT(LOG10(AU234))-2)),0)</x:f>
        <x:v>1320000</x:v>
      </x:c>
    </x:row>
    <x:row r="235" customHeight="1">
      <x:c r="A235" s="1" t="str">
        <x:f>IFERROR(XLOOKUP(B235,'_曲线基线'!$G$3:$G$107,'_曲线基线'!$J$3:$J$107,""),"")</x:f>
      </x:c>
      <x:c r="B235" s="1" t="n">
        <x:v>224</x:v>
      </x:c>
      <x:c r="C235" s="1" t="n">
        <x:f t="shared" si="255">C220+1</x:f>
        <x:v>16</x:v>
      </x:c>
      <x:c r="D235" s="1" t="n">
        <x:f t="shared" si="256">D220</x:f>
        <x:v>5</x:v>
      </x:c>
      <x:c r="E235" s="1" t="n">
        <x:f t="shared" si="282">IF($B235&lt;E$8,0,E$3+(E$4-E$3)*(POWER(E$5,$B235-E$8)-1)/(POWER(E$5,$C$5-E$8)-1))</x:f>
        <x:v>1</x:v>
      </x:c>
      <x:c r="F235" s="10" t="n">
        <x:f t="shared" si="283">1+IF(B235&lt;3,0,MIN(1,(B235-2)/4))+IF(B235&lt;7,0,MIN(1,(B235-6)/3))+IF(B235&lt;10,0,MIN(1,(B235-9)/5))+IF(B235&lt;20,0,MIN(1,(B235-19)/10))</x:f>
        <x:v>5</x:v>
      </x:c>
      <x:c r="G235" s="11" t="n">
        <x:f t="shared" ref="G235:L235" si="341">'玩家战力_节点'!G235</x:f>
        <x:v>0.8350019219662075</x:v>
      </x:c>
      <x:c r="H235" s="11" t="n">
        <x:f t="shared" si="341">'玩家战力_节点'!H235</x:f>
        <x:v>0.6497901404932649</x:v>
      </x:c>
      <x:c r="I235" s="11" t="n">
        <x:f t="shared" si="341">'玩家战力_节点'!I235</x:f>
        <x:v>0.5838153386832683</x:v>
      </x:c>
      <x:c r="J235" s="11" t="n">
        <x:f t="shared" si="341">'玩家战力_节点'!J235</x:f>
        <x:v>0.5457443664722984</x:v>
      </x:c>
      <x:c r="K235" s="11" t="n">
        <x:f t="shared" si="341">'玩家战力_节点'!K235</x:f>
        <x:v>0.5659512505080879</x:v>
      </x:c>
      <x:c r="L235" s="11" t="n">
        <x:f t="shared" si="341">'玩家战力_节点'!L235</x:f>
        <x:v>0.6476432344298788</x:v>
      </x:c>
      <x:c r="M235" s="2" t="n">
        <x:f>E235*'模块规划'!$F$10+G235*'模块规划'!$F$11+H235*'模块规划'!$F$13</x:f>
        <x:v>5008.009225437796</x:v>
      </x:c>
      <x:c r="N235" s="2" t="n">
        <x:f>I235*'模块规划'!$F$15+J235*'模块规划'!$F$17+K235*'模块规划'!$F$16+L235*'模块规划'!$F$18</x:f>
        <x:v>16761.890049387053</x:v>
      </x:c>
      <x:c r="O235" s="2" t="n">
        <x:f t="shared" si="285">1+O$9*SUMPRODUCT($H$10:$L$10,H235:L235)/SUM($H$10:$L$10)</x:f>
        <x:v>3.1933996960938558</x:v>
      </x:c>
      <x:c r="P235" s="12" t="n">
        <x:f t="shared" si="286">M235*O235+N235</x:f>
        <x:v>32754.465187935337</x:v>
      </x:c>
      <x:c r="Q235" s="7" t="n">
        <x:f>P235/(P235+'_曲线基线'!$L$2)</x:f>
        <x:v>0.5771257834863391</x:v>
      </x:c>
      <x:c r="R235" s="2" t="n">
        <x:f>E235*'模块规划'!$E$10+G235*'模块规划'!$E$11+H235*'模块规划'!$E$13</x:f>
        <x:v>7512.013838156694</x:v>
      </x:c>
      <x:c r="S235" s="2" t="n">
        <x:f>I235*'模块规划'!$E$15+J235*'模块规划'!$E$17+K235*'模块规划'!$E$16+L235*'模块规划'!$E$18</x:f>
        <x:v>25142.835074080576</x:v>
      </x:c>
      <x:c r="T235" s="2" t="n">
        <x:f t="shared" si="287">1+T$9*SUMPRODUCT($H$10:$L$10,H235:L235)/SUM($H$10:$L$10)</x:f>
        <x:v>3.1933996960938558</x:v>
      </x:c>
      <x:c r="U235" s="12" t="n">
        <x:f t="shared" si="288">R235*T235+S235</x:f>
        <x:v>49131.697781903</x:v>
      </x:c>
      <x:c r="V235" s="2" t="n">
        <x:f t="shared" si="289">V$8+(V$9-V$8)*H235</x:f>
        <x:v>0.8949370421479794</x:v>
      </x:c>
      <x:c r="W235" s="2" t="n">
        <x:f t="shared" si="290">IF(B235&lt;$H$8,0,W$8+(W$9-W$8)*H235)</x:f>
        <x:v>0.25991605619730596</x:v>
      </x:c>
      <x:c r="X235" s="2" t="n">
        <x:f t="shared" si="291">X$8+(X$9-X$8)*H235</x:f>
        <x:v>0.4536922886356479</x:v>
      </x:c>
      <x:c r="Y235" s="2" t="n">
        <x:f t="shared" si="292">Y$8+(Y$9-Y$8)*G235</x:f>
        <x:v>1</x:v>
      </x:c>
      <x:c r="Z235" s="2" t="n">
        <x:f t="shared" si="293">Z$8+(Z$9-Z$8)*H235</x:f>
        <x:v>1</x:v>
      </x:c>
      <x:c r="AA235" s="2" t="n">
        <x:f t="shared" si="294">AA$8+(AA$9-AA$8)*I235</x:f>
        <x:v>1</x:v>
      </x:c>
      <x:c r="AB235" s="2" t="n">
        <x:f t="shared" si="295">AB$8+(AB$9-AB$8)*J235</x:f>
        <x:v>1</x:v>
      </x:c>
      <x:c r="AC235" s="2" t="n">
        <x:f t="shared" si="296">AC$8+(AC$9-AC$8)*MAX(K235,L235)</x:f>
        <x:v>1</x:v>
      </x:c>
      <x:c r="AD235" s="1" t="n">
        <x:f t="shared" si="297">(V235*AE235+W235*AF235+X235*AG235)*PRODUCT(Y235:AC235)</x:f>
        <x:v>1.8145146721699823</x:v>
      </x:c>
      <x:c r="AE235" s="2" t="n">
        <x:f t="shared" si="298">1+AE$9*($H$10*H235+$I$10*I235+$J$10*J235+$K$10*K235+$L$10*L235)</x:f>
        <x:v>1</x:v>
      </x:c>
      <x:c r="AF235" s="2" t="n">
        <x:f t="shared" si="299">1+AF$9*($H$10*H235+$I$10*I235+$J$10*J235+$K$10*K235+$L$10*L235)</x:f>
        <x:v>1.193587503541887</x:v>
      </x:c>
      <x:c r="AG235" s="2" t="n">
        <x:f t="shared" si="300">1+AG$9*($H$10*H235+$I$10*I235+$J$10*J235+$K$10*K235+$L$10*L235)</x:f>
        <x:v>1.343080075721458</x:v>
      </x:c>
      <x:c r="AH235" s="2" t="n">
        <x:f>MIN(1,'_曲线基线'!$L$3+AH$9*($H$10*H235+$I$10*I235+$J$10*J235+$K$10*K235+$L$10*L235))</x:f>
        <x:v>0.4904115705577925</x:v>
      </x:c>
      <x:c r="AI235" s="2" t="n">
        <x:f>'_曲线基线'!$L$4+AI$9*($H$10*H235+$I$10*I235+$J$10*J235+$K$10*K235+$L$10*L235)</x:f>
        <x:v>3.2268608036967077</x:v>
      </x:c>
      <x:c r="AJ235" s="2" t="n">
        <x:f t="shared" si="301">1+AJ$9*($H$10*H235+$I$10*I235+$J$10*J235+$K$10*K235+$L$10*L235)</x:f>
        <x:v>2.0066550184178116</x:v>
      </x:c>
      <x:c r="AK235" s="1" t="n">
        <x:f t="shared" si="302">(1+AH235*(AI235-1))*AJ235</x:f>
        <x:v>4.1980794279546325</x:v>
      </x:c>
      <x:c r="AL235" s="1" t="n">
        <x:f t="shared" si="303">U235*AD235*AK235*F235</x:f>
        <x:v>1871297.8195914743</x:v>
      </x:c>
      <x:c r="AM235" s="13" t="n">
        <x:f t="shared" si="304">IF($B235&lt;AM$8,0,AM$3+(AM$4-AM$3)*(POWER(AM$5,$B235-AM$8)-1)/(POWER(AM$5,$C$5-AM$8)-1))</x:f>
        <x:v>46.00475069005219</x:v>
      </x:c>
      <x:c r="AN235" s="13" t="n">
        <x:f>(((E235*'模块规划'!$D$10+G235*'模块规划'!$D$11+H235*'模块规划'!$D$13)*(1+'模块规划'!$G$14*H235)+(I235*'模块规划'!$D$15+J235*'模块规划'!$D$17+K235*'模块规划'!$D$16+L235*'模块规划'!$D$18))*(1+'模块规划'!$J$17*J235))*F235/(1-Q235)</x:f>
        <x:v>2416416.5590401283</x:v>
      </x:c>
      <x:c r="AO235" s="1" t="n">
        <x:f t="shared" si="305">AL235*AM235</x:f>
        <x:v>86088589.65714404</x:v>
      </x:c>
      <x:c r="AP235" s="1" t="n">
        <x:f>IF(AO235="","",INDEX('_曲线基线'!$A$3:$A$502,MIN(ROWS('_曲线基线'!$A$3:$A$502),COUNTIF('_曲线基线'!$E$3:$E$502,"&lt;"&amp;AO235)+1)))</x:f>
        <x:v>281</x:v>
      </x:c>
      <x:c r="AQ235" s="14" t="n">
        <x:f t="shared" si="306">IF(B235&lt;=2,1,IF(B235&lt;=6,2,IF(B235&lt;=9,3,IF(B235&lt;=19,4,5))))</x:f>
        <x:v>5</x:v>
      </x:c>
      <x:c r="AR235" s="10" t="n">
        <x:f t="shared" si="307">AN235*(1-Q235)/F235*$AS$3+U235*$AS$4+P235*$AS$5</x:f>
        <x:v>15957.381111428984</x:v>
      </x:c>
      <x:c r="AS235" s="15" t="n">
        <x:f t="shared" si="308">1+AH235*$AS$6+AI235*$AS$7+(AJ235-1)*$AS$8+($H$10*H235+$I$10*I235+$J$10*J235+$K$10*K235+$L$10*L235)*$AU$3*$AS$9+($H$10*H235+$I$10*I235+$J$10*J235+$K$10*K235+$L$10*L235)*$AU$4*$AS$10</x:f>
        <x:v>16.548653300428636</x:v>
      </x:c>
      <x:c r="AT235" s="16" t="n">
        <x:f t="shared" si="309">ROUND(AR235*AS235,0)</x:f>
        <x:v>264073</x:v>
      </x:c>
      <x:c r="AU235" s="16" t="n">
        <x:f t="shared" si="310">ROUND(AT235*F235,0)</x:f>
        <x:v>1320365</x:v>
      </x:c>
      <x:c r="AV235" t="n">
        <x:f>IF(AU235&gt;0,ROUND(AU235,-MAX(0,INT(LOG10(AU235))-2)),0)</x:f>
        <x:v>1320000</x:v>
      </x:c>
    </x:row>
    <x:row r="236" customHeight="1">
      <x:c r="A236" s="1" t="str">
        <x:f>IFERROR(XLOOKUP(B236,'_曲线基线'!$G$3:$G$107,'_曲线基线'!$J$3:$J$107,""),"")</x:f>
      </x:c>
      <x:c r="B236" s="1" t="n">
        <x:v>225</x:v>
      </x:c>
      <x:c r="C236" s="1" t="n">
        <x:f t="shared" si="255">C221+1</x:f>
        <x:v>16</x:v>
      </x:c>
      <x:c r="D236" s="1" t="n">
        <x:f t="shared" si="256">D221</x:f>
        <x:v>6</x:v>
      </x:c>
      <x:c r="E236" s="1" t="n">
        <x:f t="shared" si="282">IF($B236&lt;E$8,0,E$3+(E$4-E$3)*(POWER(E$5,$B236-E$8)-1)/(POWER(E$5,$C$5-E$8)-1))</x:f>
        <x:v>1</x:v>
      </x:c>
      <x:c r="F236" s="10" t="n">
        <x:f t="shared" si="283">1+IF(B236&lt;3,0,MIN(1,(B236-2)/4))+IF(B236&lt;7,0,MIN(1,(B236-6)/3))+IF(B236&lt;10,0,MIN(1,(B236-9)/5))+IF(B236&lt;20,0,MIN(1,(B236-19)/10))</x:f>
        <x:v>5</x:v>
      </x:c>
      <x:c r="G236" s="11" t="n">
        <x:f t="shared" ref="G236:L236" si="342">'玩家战力_节点'!G236</x:f>
        <x:v>0.8362826730595555</x:v>
      </x:c>
      <x:c r="H236" s="11" t="n">
        <x:f t="shared" si="342">'玩家战力_节点'!H236</x:f>
        <x:v>0.6507581550006802</x:v>
      </x:c>
      <x:c r="I236" s="11" t="n">
        <x:f t="shared" si="342">'玩家战力_节点'!I236</x:f>
        <x:v>0.5851603880679676</x:v>
      </x:c>
      <x:c r="J236" s="11" t="n">
        <x:f t="shared" si="342">'玩家战力_节点'!J236</x:f>
        <x:v>0.5468020184665093</x:v>
      </x:c>
      <x:c r="K236" s="11" t="n">
        <x:f t="shared" si="342">'玩家战力_节点'!K236</x:f>
        <x:v>0.567776824384059</x:v>
      </x:c>
      <x:c r="L236" s="11" t="n">
        <x:f t="shared" si="342">'玩家战力_节点'!L236</x:f>
        <x:v>0.6486611528255433</x:v>
      </x:c>
      <x:c r="M236" s="2" t="n">
        <x:f>E236*'模块规划'!$F$10+G236*'模块规划'!$F$11+H236*'模块规划'!$F$13</x:f>
        <x:v>5014.156830685866</x:v>
      </x:c>
      <x:c r="N236" s="2" t="n">
        <x:f>I236*'模块规划'!$F$15+J236*'模块规划'!$F$17+K236*'模块规划'!$F$16+L236*'模块规划'!$F$18</x:f>
        <x:v>16799.269999640903</x:v>
      </x:c>
      <x:c r="O236" s="2" t="n">
        <x:f t="shared" si="285">1+O$9*SUMPRODUCT($H$10:$L$10,H236:L236)/SUM($H$10:$L$10)</x:f>
        <x:v>3.197982815342982</x:v>
      </x:c>
      <x:c r="P236" s="12" t="n">
        <x:f t="shared" si="286">M236*O236+N236</x:f>
        <x:v>32834.45737760894</x:v>
      </x:c>
      <x:c r="Q236" s="7" t="n">
        <x:f>P236/(P236+'_曲线基线'!$L$2)</x:f>
        <x:v>0.5777209617654364</x:v>
      </x:c>
      <x:c r="R236" s="2" t="n">
        <x:f>E236*'模块规划'!$E$10+G236*'模块规划'!$E$11+H236*'模块规划'!$E$13</x:f>
        <x:v>7521.235246028799</x:v>
      </x:c>
      <x:c r="S236" s="2" t="n">
        <x:f>I236*'模块规划'!$E$15+J236*'模块规划'!$E$17+K236*'模块规划'!$E$16+L236*'模块规划'!$E$18</x:f>
        <x:v>25198.904999461356</x:v>
      </x:c>
      <x:c r="T236" s="2" t="n">
        <x:f t="shared" si="287">1+T$9*SUMPRODUCT($H$10:$L$10,H236:L236)/SUM($H$10:$L$10)</x:f>
        <x:v>3.197982815342982</x:v>
      </x:c>
      <x:c r="U236" s="12" t="n">
        <x:f t="shared" si="288">R236*T236+S236</x:f>
        <x:v>49251.6860664134</x:v>
      </x:c>
      <x:c r="V236" s="2" t="n">
        <x:f t="shared" si="289">V$8+(V$9-V$8)*H236</x:f>
        <x:v>0.895227446500204</x:v>
      </x:c>
      <x:c r="W236" s="2" t="n">
        <x:f t="shared" si="290">IF(B236&lt;$H$8,0,W$8+(W$9-W$8)*H236)</x:f>
        <x:v>0.2603032620002721</x:v>
      </x:c>
      <x:c r="X236" s="2" t="n">
        <x:f t="shared" si="291">X$8+(X$9-X$8)*H236</x:f>
        <x:v>0.4539584926251871</x:v>
      </x:c>
      <x:c r="Y236" s="2" t="n">
        <x:f t="shared" si="292">Y$8+(Y$9-Y$8)*G236</x:f>
        <x:v>1</x:v>
      </x:c>
      <x:c r="Z236" s="2" t="n">
        <x:f t="shared" si="293">Z$8+(Z$9-Z$8)*H236</x:f>
        <x:v>1</x:v>
      </x:c>
      <x:c r="AA236" s="2" t="n">
        <x:f t="shared" si="294">AA$8+(AA$9-AA$8)*I236</x:f>
        <x:v>1</x:v>
      </x:c>
      <x:c r="AB236" s="2" t="n">
        <x:f t="shared" si="295">AB$8+(AB$9-AB$8)*J236</x:f>
        <x:v>1</x:v>
      </x:c>
      <x:c r="AC236" s="2" t="n">
        <x:f t="shared" si="296">AC$8+(AC$9-AC$8)*MAX(K236,L236)</x:f>
        <x:v>1</x:v>
      </x:c>
      <x:c r="AD236" s="1" t="n">
        <x:f t="shared" si="297">(V236*AE236+W236*AF236+X236*AG236)*PRODUCT(Y236:AC236)</x:f>
        <x:v>1.8160554950781624</x:v>
      </x:c>
      <x:c r="AE236" s="2" t="n">
        <x:f t="shared" si="298">1+AE$9*($H$10*H236+$I$10*I236+$J$10*J236+$K$10*K236+$L$10*L236)</x:f>
        <x:v>1</x:v>
      </x:c>
      <x:c r="AF236" s="2" t="n">
        <x:f t="shared" si="299">1+AF$9*($H$10*H236+$I$10*I236+$J$10*J236+$K$10*K236+$L$10*L236)</x:f>
        <x:v>1.1939920055646844</x:v>
      </x:c>
      <x:c r="AG236" s="2" t="n">
        <x:f t="shared" si="300">1+AG$9*($H$10*H236+$I$10*I236+$J$10*J236+$K$10*K236+$L$10*L236)</x:f>
        <x:v>1.3437969431951933</x:v>
      </x:c>
      <x:c r="AH236" s="2" t="n">
        <x:f>MIN(1,'_曲线基线'!$L$3+AH$9*($H$10*H236+$I$10*I236+$J$10*J236+$K$10*K236+$L$10*L236))</x:f>
        <x:v>0.4913318126596566</x:v>
      </x:c>
      <x:c r="AI236" s="2" t="n">
        <x:f>'_曲线基线'!$L$4+AI$9*($H$10*H236+$I$10*I236+$J$10*J236+$K$10*K236+$L$10*L236)</x:f>
        <x:v>3.229424335266186</x:v>
      </x:c>
      <x:c r="AJ236" s="2" t="n">
        <x:f t="shared" si="301">1+AJ$9*($H$10*H236+$I$10*I236+$J$10*J236+$K$10*K236+$L$10*L236)</x:f>
        <x:v>2.008758428936358</x:v>
      </x:c>
      <x:c r="AK236" s="1" t="n">
        <x:f t="shared" si="302">(1+AH236*(AI236-1))*AJ236</x:f>
        <x:v>4.209126498675826</x:v>
      </x:c>
      <x:c r="AL236" s="1" t="n">
        <x:f t="shared" si="303">U236*AD236*AK236*F236</x:f>
        <x:v>1882401.2409670115</x:v>
      </x:c>
      <x:c r="AM236" s="13" t="n">
        <x:f t="shared" si="304">IF($B236&lt;AM$8,0,AM$3+(AM$4-AM$3)*(POWER(AM$5,$B236-AM$8)-1)/(POWER(AM$5,$C$5-AM$8)-1))</x:f>
        <x:v>46.128222836874585</x:v>
      </x:c>
      <x:c r="AN236" s="13" t="n">
        <x:f>(((E236*'模块规划'!$D$10+G236*'模块规划'!$D$11+H236*'模块规划'!$D$13)*(1+'模块规划'!$G$14*H236)+(I236*'模块规划'!$D$15+J236*'模块规划'!$D$17+K236*'模块规划'!$D$16+L236*'模块规划'!$D$18))*(1+'模块规划'!$J$17*J236))*F236/(1-Q236)</x:f>
        <x:v>2426726.845765339</x:v>
      </x:c>
      <x:c r="AO236" s="1" t="n">
        <x:f t="shared" si="305">AL236*AM236</x:f>
        <x:v>86831823.91173556</x:v>
      </x:c>
      <x:c r="AP236" s="1" t="n">
        <x:f>IF(AO236="","",INDEX('_曲线基线'!$A$3:$A$502,MIN(ROWS('_曲线基线'!$A$3:$A$502),COUNTIF('_曲线基线'!$E$3:$E$502,"&lt;"&amp;AO236)+1)))</x:f>
        <x:v>282</x:v>
      </x:c>
      <x:c r="AQ236" s="14" t="n">
        <x:f t="shared" si="306">IF(B236&lt;=2,1,IF(B236&lt;=6,2,IF(B236&lt;=9,3,IF(B236&lt;=19,4,5))))</x:f>
        <x:v>5</x:v>
      </x:c>
      <x:c r="AR236" s="10" t="n">
        <x:f t="shared" si="307">AN236*(1-Q236)/F236*$AS$3+U236*$AS$4+P236*$AS$5</x:f>
        <x:v>15998.872484209382</x:v>
      </x:c>
      <x:c r="AS236" s="15" t="n">
        <x:f t="shared" si="308">1+AH236*$AS$6+AI236*$AS$7+(AJ236-1)*$AS$8+($H$10*H236+$I$10*I236+$J$10*J236+$K$10*K236+$L$10*L236)*$AU$3*$AS$9+($H$10*H236+$I$10*I236+$J$10*J236+$K$10*K236+$L$10*L236)*$AU$4*$AS$10</x:f>
        <x:v>16.572822755906206</x:v>
      </x:c>
      <x:c r="AT236" s="16" t="n">
        <x:f t="shared" si="309">ROUND(AR236*AS236,0)</x:f>
        <x:v>265146</x:v>
      </x:c>
      <x:c r="AU236" s="16" t="n">
        <x:f t="shared" si="310">ROUND(AT236*F236,0)</x:f>
        <x:v>1325730</x:v>
      </x:c>
      <x:c r="AV236" t="n">
        <x:f>IF(AU236&gt;0,ROUND(AU236,-MAX(0,INT(LOG10(AU236))-2)),0)</x:f>
        <x:v>1330000</x:v>
      </x:c>
    </x:row>
    <x:row r="237" customHeight="1">
      <x:c r="A237" s="1" t="str">
        <x:f>IFERROR(XLOOKUP(B237,'_曲线基线'!$G$3:$G$107,'_曲线基线'!$J$3:$J$107,""),"")</x:f>
      </x:c>
      <x:c r="B237" s="1" t="n">
        <x:v>226</x:v>
      </x:c>
      <x:c r="C237" s="1" t="n">
        <x:f t="shared" si="255">C222+1</x:f>
        <x:v>16</x:v>
      </x:c>
      <x:c r="D237" s="1" t="n">
        <x:f t="shared" si="256">D222</x:f>
        <x:v>7</x:v>
      </x:c>
      <x:c r="E237" s="1" t="n">
        <x:f t="shared" si="282">IF($B237&lt;E$8,0,E$3+(E$4-E$3)*(POWER(E$5,$B237-E$8)-1)/(POWER(E$5,$C$5-E$8)-1))</x:f>
        <x:v>1</x:v>
      </x:c>
      <x:c r="F237" s="10" t="n">
        <x:f t="shared" si="283">1+IF(B237&lt;3,0,MIN(1,(B237-2)/4))+IF(B237&lt;7,0,MIN(1,(B237-6)/3))+IF(B237&lt;10,0,MIN(1,(B237-9)/5))+IF(B237&lt;20,0,MIN(1,(B237-19)/10))</x:f>
        <x:v>5</x:v>
      </x:c>
      <x:c r="G237" s="11" t="n">
        <x:f t="shared" ref="G237:L237" si="343">'玩家战力_节点'!G237</x:f>
        <x:v>0.8375634241529035</x:v>
      </x:c>
      <x:c r="H237" s="11" t="n">
        <x:f t="shared" si="343">'玩家战力_节点'!H237</x:f>
        <x:v>0.6517261695080957</x:v>
      </x:c>
      <x:c r="I237" s="11" t="n">
        <x:f t="shared" si="343">'玩家战力_节点'!I237</x:f>
        <x:v>0.5865054374526669</x:v>
      </x:c>
      <x:c r="J237" s="11" t="n">
        <x:f t="shared" si="343">'玩家战力_节点'!J237</x:f>
        <x:v>0.5478596704607203</x:v>
      </x:c>
      <x:c r="K237" s="11" t="n">
        <x:f t="shared" si="343">'玩家战力_节点'!K237</x:f>
        <x:v>0.56960239826003</x:v>
      </x:c>
      <x:c r="L237" s="11" t="n">
        <x:f t="shared" si="343">'玩家战力_节点'!L237</x:f>
        <x:v>0.6496790712212077</x:v>
      </x:c>
      <x:c r="M237" s="2" t="n">
        <x:f>E237*'模块规划'!$F$10+G237*'模块规划'!$F$11+H237*'模块规划'!$F$13</x:f>
        <x:v>5020.3044359339365</x:v>
      </x:c>
      <x:c r="N237" s="2" t="n">
        <x:f>I237*'模块规划'!$F$15+J237*'模块规划'!$F$17+K237*'模块规划'!$F$16+L237*'模块规划'!$F$18</x:f>
        <x:v>16836.649949894756</x:v>
      </x:c>
      <x:c r="O237" s="2" t="n">
        <x:f t="shared" si="285">1+O$9*SUMPRODUCT($H$10:$L$10,H237:L237)/SUM($H$10:$L$10)</x:f>
        <x:v>3.202565934592108</x:v>
      </x:c>
      <x:c r="P237" s="12" t="n">
        <x:f t="shared" si="286">M237*O237+N237</x:f>
        <x:v>32914.50591769843</x:v>
      </x:c>
      <x:c r="Q237" s="7" t="n">
        <x:f>P237/(P237+'_曲线基线'!$L$2)</x:f>
        <x:v>0.5783148845268841</x:v>
      </x:c>
      <x:c r="R237" s="2" t="n">
        <x:f>E237*'模块规划'!$E$10+G237*'模块规划'!$E$11+H237*'模块规划'!$E$13</x:f>
        <x:v>7530.456653900906</x:v>
      </x:c>
      <x:c r="S237" s="2" t="n">
        <x:f>I237*'模块规划'!$E$15+J237*'模块规划'!$E$17+K237*'模块规划'!$E$16+L237*'模块规划'!$E$18</x:f>
        <x:v>25254.974924842136</x:v>
      </x:c>
      <x:c r="T237" s="2" t="n">
        <x:f t="shared" si="287">1+T$9*SUMPRODUCT($H$10:$L$10,H237:L237)/SUM($H$10:$L$10)</x:f>
        <x:v>3.202565934592108</x:v>
      </x:c>
      <x:c r="U237" s="12" t="n">
        <x:f t="shared" si="288">R237*T237+S237</x:f>
        <x:v>49371.75887654765</x:v>
      </x:c>
      <x:c r="V237" s="2" t="n">
        <x:f t="shared" si="289">V$8+(V$9-V$8)*H237</x:f>
        <x:v>0.8955178508524286</x:v>
      </x:c>
      <x:c r="W237" s="2" t="n">
        <x:f t="shared" si="290">IF(B237&lt;$H$8,0,W$8+(W$9-W$8)*H237)</x:f>
        <x:v>0.2606904678032383</x:v>
      </x:c>
      <x:c r="X237" s="2" t="n">
        <x:f t="shared" si="291">X$8+(X$9-X$8)*H237</x:f>
        <x:v>0.45422469661472636</x:v>
      </x:c>
      <x:c r="Y237" s="2" t="n">
        <x:f t="shared" si="292">Y$8+(Y$9-Y$8)*G237</x:f>
        <x:v>1</x:v>
      </x:c>
      <x:c r="Z237" s="2" t="n">
        <x:f t="shared" si="293">Z$8+(Z$9-Z$8)*H237</x:f>
        <x:v>1</x:v>
      </x:c>
      <x:c r="AA237" s="2" t="n">
        <x:f t="shared" si="294">AA$8+(AA$9-AA$8)*I237</x:f>
        <x:v>1</x:v>
      </x:c>
      <x:c r="AB237" s="2" t="n">
        <x:f t="shared" si="295">AB$8+(AB$9-AB$8)*J237</x:f>
        <x:v>1</x:v>
      </x:c>
      <x:c r="AC237" s="2" t="n">
        <x:f t="shared" si="296">AC$8+(AC$9-AC$8)*MAX(K237,L237)</x:f>
        <x:v>1</x:v>
      </x:c>
      <x:c r="AD237" s="1" t="n">
        <x:f t="shared" si="297">(V237*AE237+W237*AF237+X237*AG237)*PRODUCT(Y237:AC237)</x:f>
        <x:v>1.817597012903367</x:v>
      </x:c>
      <x:c r="AE237" s="2" t="n">
        <x:f t="shared" si="298">1+AE$9*($H$10*H237+$I$10*I237+$J$10*J237+$K$10*K237+$L$10*L237)</x:f>
        <x:v>1</x:v>
      </x:c>
      <x:c r="AF237" s="2" t="n">
        <x:f t="shared" si="299">1+AF$9*($H$10*H237+$I$10*I237+$J$10*J237+$K$10*K237+$L$10*L237)</x:f>
        <x:v>1.1943965075874818</x:v>
      </x:c>
      <x:c r="AG237" s="2" t="n">
        <x:f t="shared" si="300">1+AG$9*($H$10*H237+$I$10*I237+$J$10*J237+$K$10*K237+$L$10*L237)</x:f>
        <x:v>1.3445138106689287</x:v>
      </x:c>
      <x:c r="AH237" s="2" t="n">
        <x:f>MIN(1,'_曲线基线'!$L$3+AH$9*($H$10*H237+$I$10*I237+$J$10*J237+$K$10*K237+$L$10*L237))</x:f>
        <x:v>0.49225205476152056</x:v>
      </x:c>
      <x:c r="AI237" s="2" t="n">
        <x:f>'_曲线基线'!$L$4+AI$9*($H$10*H237+$I$10*I237+$J$10*J237+$K$10*K237+$L$10*L237)</x:f>
        <x:v>3.2319878668356647</x:v>
      </x:c>
      <x:c r="AJ237" s="2" t="n">
        <x:f t="shared" si="301">1+AJ$9*($H$10*H237+$I$10*I237+$J$10*J237+$K$10*K237+$L$10*L237)</x:f>
        <x:v>2.010861839454904</x:v>
      </x:c>
      <x:c r="AK237" s="1" t="n">
        <x:f t="shared" si="302">(1+AH237*(AI237-1))*AJ237</x:f>
        <x:v>4.220196976434681</x:v>
      </x:c>
      <x:c r="AL237" s="1" t="n">
        <x:f t="shared" si="303">U237*AD237*AK237*F237</x:f>
        <x:v>1893559.3680358597</x:v>
      </x:c>
      <x:c r="AM237" s="13" t="n">
        <x:f t="shared" si="304">IF($B237&lt;AM$8,0,AM$3+(AM$4-AM$3)*(POWER(AM$5,$B237-AM$8)-1)/(POWER(AM$5,$C$5-AM$8)-1))</x:f>
        <x:v>46.2529297051652</x:v>
      </x:c>
      <x:c r="AN237" s="13" t="n">
        <x:f>(((E237*'模块规划'!$D$10+G237*'模块规划'!$D$11+H237*'模块规划'!$D$13)*(1+'模块规划'!$G$14*H237)+(I237*'模块规划'!$D$15+J237*'模块规划'!$D$17+K237*'模块规划'!$D$16+L237*'模块规划'!$D$18))*(1+'模块规划'!$J$17*J237))*F237/(1-Q237)</x:f>
        <x:v>2437067.7823904753</x:v>
      </x:c>
      <x:c r="AO237" s="1" t="n">
        <x:f t="shared" si="305">AL237*AM237</x:f>
        <x:v>87582668.34231965</x:v>
      </x:c>
      <x:c r="AP237" s="1" t="n">
        <x:f>IF(AO237="","",INDEX('_曲线基线'!$A$3:$A$502,MIN(ROWS('_曲线基线'!$A$3:$A$502),COUNTIF('_曲线基线'!$E$3:$E$502,"&lt;"&amp;AO237)+1)))</x:f>
        <x:v>283</x:v>
      </x:c>
      <x:c r="AQ237" s="14" t="n">
        <x:f t="shared" si="306">IF(B237&lt;=2,1,IF(B237&lt;=6,2,IF(B237&lt;=9,3,IF(B237&lt;=19,4,5))))</x:f>
        <x:v>5</x:v>
      </x:c>
      <x:c r="AR237" s="10" t="n">
        <x:f t="shared" si="307">AN237*(1-Q237)/F237*$AS$3+U237*$AS$4+P237*$AS$5</x:f>
        <x:v>16040.403030708356</x:v>
      </x:c>
      <x:c r="AS237" s="15" t="n">
        <x:f t="shared" si="308">1+AH237*$AS$6+AI237*$AS$7+(AJ237-1)*$AS$8+($H$10*H237+$I$10*I237+$J$10*J237+$K$10*K237+$L$10*L237)*$AU$3*$AS$9+($H$10*H237+$I$10*I237+$J$10*J237+$K$10*K237+$L$10*L237)*$AU$4*$AS$10</x:f>
        <x:v>16.59699221138377</x:v>
      </x:c>
      <x:c r="AT237" s="16" t="n">
        <x:f t="shared" si="309">ROUND(AR237*AS237,0)</x:f>
        <x:v>266222</x:v>
      </x:c>
      <x:c r="AU237" s="16" t="n">
        <x:f t="shared" si="310">ROUND(AT237*F237,0)</x:f>
        <x:v>1331110</x:v>
      </x:c>
      <x:c r="AV237" t="n">
        <x:f>IF(AU237&gt;0,ROUND(AU237,-MAX(0,INT(LOG10(AU237))-2)),0)</x:f>
        <x:v>1330000</x:v>
      </x:c>
    </x:row>
    <x:row r="238" customHeight="1">
      <x:c r="A238" s="1" t="str">
        <x:f>IFERROR(XLOOKUP(B238,'_曲线基线'!$G$3:$G$107,'_曲线基线'!$J$3:$J$107,""),"")</x:f>
      </x:c>
      <x:c r="B238" s="1" t="n">
        <x:v>227</x:v>
      </x:c>
      <x:c r="C238" s="1" t="n">
        <x:f t="shared" si="255">C223+1</x:f>
        <x:v>16</x:v>
      </x:c>
      <x:c r="D238" s="1" t="n">
        <x:f t="shared" si="256">D223</x:f>
        <x:v>8</x:v>
      </x:c>
      <x:c r="E238" s="1" t="n">
        <x:f t="shared" si="282">IF($B238&lt;E$8,0,E$3+(E$4-E$3)*(POWER(E$5,$B238-E$8)-1)/(POWER(E$5,$C$5-E$8)-1))</x:f>
        <x:v>1</x:v>
      </x:c>
      <x:c r="F238" s="10" t="n">
        <x:f t="shared" si="283">1+IF(B238&lt;3,0,MIN(1,(B238-2)/4))+IF(B238&lt;7,0,MIN(1,(B238-6)/3))+IF(B238&lt;10,0,MIN(1,(B238-9)/5))+IF(B238&lt;20,0,MIN(1,(B238-19)/10))</x:f>
        <x:v>5</x:v>
      </x:c>
      <x:c r="G238" s="11" t="n">
        <x:f t="shared" ref="G238:L238" si="344">'玩家战力_节点'!G238</x:f>
        <x:v>0.8388441752462517</x:v>
      </x:c>
      <x:c r="H238" s="11" t="n">
        <x:f t="shared" si="344">'玩家战力_节点'!H238</x:f>
        <x:v>0.6526941840155112</x:v>
      </x:c>
      <x:c r="I238" s="11" t="n">
        <x:f t="shared" si="344">'玩家战力_节点'!I238</x:f>
        <x:v>0.5878504868373663</x:v>
      </x:c>
      <x:c r="J238" s="11" t="n">
        <x:f t="shared" si="344">'玩家战力_节点'!J238</x:f>
        <x:v>0.5489173224549312</x:v>
      </x:c>
      <x:c r="K238" s="11" t="n">
        <x:f t="shared" si="344">'玩家战力_节点'!K238</x:f>
        <x:v>0.5714279721360009</x:v>
      </x:c>
      <x:c r="L238" s="11" t="n">
        <x:f t="shared" si="344">'玩家战力_节点'!L238</x:f>
        <x:v>0.6506969896168722</x:v>
      </x:c>
      <x:c r="M238" s="2" t="n">
        <x:f>E238*'模块规划'!$F$10+G238*'模块规划'!$F$11+H238*'模块规划'!$F$13</x:f>
        <x:v>5026.4520411820085</x:v>
      </x:c>
      <x:c r="N238" s="2" t="n">
        <x:f>I238*'模块规划'!$F$15+J238*'模块规划'!$F$17+K238*'模块规划'!$F$16+L238*'模块规划'!$F$18</x:f>
        <x:v>16874.02990014861</x:v>
      </x:c>
      <x:c r="O238" s="2" t="n">
        <x:f t="shared" si="285">1+O$9*SUMPRODUCT($H$10:$L$10,H238:L238)/SUM($H$10:$L$10)</x:f>
        <x:v>3.2071490538412344</x:v>
      </x:c>
      <x:c r="P238" s="12" t="n">
        <x:f t="shared" si="286">M238*O238+N238</x:f>
        <x:v>32994.610808203826</x:v>
      </x:c>
      <x:c r="Q238" s="7" t="n">
        <x:f>P238/(P238+'_曲线基线'!$L$2)</x:f>
        <x:v>0.5789075552991506</x:v>
      </x:c>
      <x:c r="R238" s="2" t="n">
        <x:f>E238*'模块规划'!$E$10+G238*'模块规划'!$E$11+H238*'模块规划'!$E$13</x:f>
        <x:v>7539.678061773012</x:v>
      </x:c>
      <x:c r="S238" s="2" t="n">
        <x:f>I238*'模块规划'!$E$15+J238*'模块规划'!$E$17+K238*'模块规划'!$E$16+L238*'模块规划'!$E$18</x:f>
        <x:v>25311.044850222912</x:v>
      </x:c>
      <x:c r="T238" s="2" t="n">
        <x:f t="shared" si="287">1+T$9*SUMPRODUCT($H$10:$L$10,H238:L238)/SUM($H$10:$L$10)</x:f>
        <x:v>3.2071490538412344</x:v>
      </x:c>
      <x:c r="U238" s="12" t="n">
        <x:f t="shared" si="288">R238*T238+S238</x:f>
        <x:v>49491.91621230574</x:v>
      </x:c>
      <x:c r="V238" s="2" t="n">
        <x:f t="shared" si="289">V$8+(V$9-V$8)*H238</x:f>
        <x:v>0.8958082552046533</x:v>
      </x:c>
      <x:c r="W238" s="2" t="n">
        <x:f t="shared" si="290">IF(B238&lt;$H$8,0,W$8+(W$9-W$8)*H238)</x:f>
        <x:v>0.2610776736062045</x:v>
      </x:c>
      <x:c r="X238" s="2" t="n">
        <x:f t="shared" si="291">X$8+(X$9-X$8)*H238</x:f>
        <x:v>0.4544909006042656</x:v>
      </x:c>
      <x:c r="Y238" s="2" t="n">
        <x:f t="shared" si="292">Y$8+(Y$9-Y$8)*G238</x:f>
        <x:v>1</x:v>
      </x:c>
      <x:c r="Z238" s="2" t="n">
        <x:f t="shared" si="293">Z$8+(Z$9-Z$8)*H238</x:f>
        <x:v>1</x:v>
      </x:c>
      <x:c r="AA238" s="2" t="n">
        <x:f t="shared" si="294">AA$8+(AA$9-AA$8)*I238</x:f>
        <x:v>1</x:v>
      </x:c>
      <x:c r="AB238" s="2" t="n">
        <x:f t="shared" si="295">AB$8+(AB$9-AB$8)*J238</x:f>
        <x:v>1</x:v>
      </x:c>
      <x:c r="AC238" s="2" t="n">
        <x:f t="shared" si="296">AC$8+(AC$9-AC$8)*MAX(K238,L238)</x:f>
        <x:v>1</x:v>
      </x:c>
      <x:c r="AD238" s="1" t="n">
        <x:f t="shared" si="297">(V238*AE238+W238*AF238+X238*AG238)*PRODUCT(Y238:AC238)</x:f>
        <x:v>1.8191392256455956</x:v>
      </x:c>
      <x:c r="AE238" s="2" t="n">
        <x:f t="shared" si="298">1+AE$9*($H$10*H238+$I$10*I238+$J$10*J238+$K$10*K238+$L$10*L238)</x:f>
        <x:v>1</x:v>
      </x:c>
      <x:c r="AF238" s="2" t="n">
        <x:f t="shared" si="299">1+AF$9*($H$10*H238+$I$10*I238+$J$10*J238+$K$10*K238+$L$10*L238)</x:f>
        <x:v>1.1948010096102792</x:v>
      </x:c>
      <x:c r="AG238" s="2" t="n">
        <x:f t="shared" si="300">1+AG$9*($H$10*H238+$I$10*I238+$J$10*J238+$K$10*K238+$L$10*L238)</x:f>
        <x:v>1.345230678142664</x:v>
      </x:c>
      <x:c r="AH238" s="2" t="n">
        <x:f>MIN(1,'_曲线基线'!$L$3+AH$9*($H$10*H238+$I$10*I238+$J$10*J238+$K$10*K238+$L$10*L238))</x:f>
        <x:v>0.49317229686338454</x:v>
      </x:c>
      <x:c r="AI238" s="2" t="n">
        <x:f>'_曲线基线'!$L$4+AI$9*($H$10*H238+$I$10*I238+$J$10*J238+$K$10*K238+$L$10*L238)</x:f>
        <x:v>3.2345513984051424</x:v>
      </x:c>
      <x:c r="AJ238" s="2" t="n">
        <x:f t="shared" si="301">1+AJ$9*($H$10*H238+$I$10*I238+$J$10*J238+$K$10*K238+$L$10*L238)</x:f>
        <x:v>2.0129652499734503</x:v>
      </x:c>
      <x:c r="AK238" s="1" t="n">
        <x:f t="shared" si="302">(1+AH238*(AI238-1))*AJ238</x:f>
        <x:v>4.231290891003751</x:v>
      </x:c>
      <x:c r="AL238" s="1" t="n">
        <x:f t="shared" si="303">U238*AD238*AK238*F238</x:f>
        <x:v>1904772.4236605782</x:v>
      </x:c>
      <x:c r="AM238" s="13" t="n">
        <x:f t="shared" si="304">IF($B238&lt;AM$8,0,AM$3+(AM$4-AM$3)*(POWER(AM$5,$B238-AM$8)-1)/(POWER(AM$5,$C$5-AM$8)-1))</x:f>
        <x:v>46.37888364213872</x:v>
      </x:c>
      <x:c r="AN238" s="13" t="n">
        <x:f>(((E238*'模块规划'!$D$10+G238*'模块规划'!$D$11+H238*'模块规划'!$D$13)*(1+'模块规划'!$G$14*H238)+(I238*'模块规划'!$D$15+J238*'模块规划'!$D$17+K238*'模块规划'!$D$16+L238*'模块规划'!$D$18))*(1+'模块规划'!$J$17*J238))*F238/(1-Q238)</x:f>
        <x:v>2447439.4290369786</x:v>
      </x:c>
      <x:c r="AO238" s="1" t="n">
        <x:f t="shared" si="305">AL238*AM238</x:f>
        <x:v>88341218.60170852</x:v>
      </x:c>
      <x:c r="AP238" s="1" t="n">
        <x:f>IF(AO238="","",INDEX('_曲线基线'!$A$3:$A$502,MIN(ROWS('_曲线基线'!$A$3:$A$502),COUNTIF('_曲线基线'!$E$3:$E$502,"&lt;"&amp;AO238)+1)))</x:f>
        <x:v>283</x:v>
      </x:c>
      <x:c r="AQ238" s="14" t="n">
        <x:f t="shared" si="306">IF(B238&lt;=2,1,IF(B238&lt;=6,2,IF(B238&lt;=9,3,IF(B238&lt;=19,4,5))))</x:f>
        <x:v>5</x:v>
      </x:c>
      <x:c r="AR238" s="10" t="n">
        <x:f t="shared" si="307">AN238*(1-Q238)/F238*$AS$3+U238*$AS$4+P238*$AS$5</x:f>
        <x:v>16081.972757043743</x:v>
      </x:c>
      <x:c r="AS238" s="15" t="n">
        <x:f t="shared" si="308">1+AH238*$AS$6+AI238*$AS$7+(AJ238-1)*$AS$8+($H$10*H238+$I$10*I238+$J$10*J238+$K$10*K238+$L$10*L238)*$AU$3*$AS$9+($H$10*H238+$I$10*I238+$J$10*J238+$K$10*K238+$L$10*L238)*$AU$4*$AS$10</x:f>
        <x:v>16.621161666861337</x:v>
      </x:c>
      <x:c r="AT238" s="16" t="n">
        <x:f t="shared" si="309">ROUND(AR238*AS238,0)</x:f>
        <x:v>267301</x:v>
      </x:c>
      <x:c r="AU238" s="16" t="n">
        <x:f t="shared" si="310">ROUND(AT238*F238,0)</x:f>
        <x:v>1336505</x:v>
      </x:c>
      <x:c r="AV238" t="n">
        <x:f>IF(AU238&gt;0,ROUND(AU238,-MAX(0,INT(LOG10(AU238))-2)),0)</x:f>
        <x:v>1340000</x:v>
      </x:c>
    </x:row>
    <x:row r="239" customHeight="1">
      <x:c r="A239" s="1" t="str">
        <x:f>IFERROR(XLOOKUP(B239,'_曲线基线'!$G$3:$G$107,'_曲线基线'!$J$3:$J$107,""),"")</x:f>
      </x:c>
      <x:c r="B239" s="1" t="n">
        <x:v>228</x:v>
      </x:c>
      <x:c r="C239" s="1" t="n">
        <x:f t="shared" si="255">C224+1</x:f>
        <x:v>16</x:v>
      </x:c>
      <x:c r="D239" s="1" t="n">
        <x:f t="shared" si="256">D224</x:f>
        <x:v>9</x:v>
      </x:c>
      <x:c r="E239" s="1" t="n">
        <x:f t="shared" si="282">IF($B239&lt;E$8,0,E$3+(E$4-E$3)*(POWER(E$5,$B239-E$8)-1)/(POWER(E$5,$C$5-E$8)-1))</x:f>
        <x:v>1</x:v>
      </x:c>
      <x:c r="F239" s="10" t="n">
        <x:f t="shared" si="283">1+IF(B239&lt;3,0,MIN(1,(B239-2)/4))+IF(B239&lt;7,0,MIN(1,(B239-6)/3))+IF(B239&lt;10,0,MIN(1,(B239-9)/5))+IF(B239&lt;20,0,MIN(1,(B239-19)/10))</x:f>
        <x:v>5</x:v>
      </x:c>
      <x:c r="G239" s="11" t="n">
        <x:f t="shared" ref="G239:L239" si="345">'玩家战力_节点'!G239</x:f>
        <x:v>0.8401249263395998</x:v>
      </x:c>
      <x:c r="H239" s="11" t="n">
        <x:f t="shared" si="345">'玩家战力_节点'!H239</x:f>
        <x:v>0.6536621985229265</x:v>
      </x:c>
      <x:c r="I239" s="11" t="n">
        <x:f t="shared" si="345">'玩家战力_节点'!I239</x:f>
        <x:v>0.5891955362220657</x:v>
      </x:c>
      <x:c r="J239" s="11" t="n">
        <x:f t="shared" si="345">'玩家战力_节点'!J239</x:f>
        <x:v>0.5499749744491421</x:v>
      </x:c>
      <x:c r="K239" s="11" t="n">
        <x:f t="shared" si="345">'玩家战力_节点'!K239</x:f>
        <x:v>0.573253546011972</x:v>
      </x:c>
      <x:c r="L239" s="11" t="n">
        <x:f t="shared" si="345">'玩家战力_节点'!L239</x:f>
        <x:v>0.6517149080125366</x:v>
      </x:c>
      <x:c r="M239" s="2" t="n">
        <x:f>E239*'模块规划'!$F$10+G239*'模块规划'!$F$11+H239*'模块规划'!$F$13</x:f>
        <x:v>5032.599646430079</x:v>
      </x:c>
      <x:c r="N239" s="2" t="n">
        <x:f>I239*'模块规划'!$F$15+J239*'模块规划'!$F$17+K239*'模块规划'!$F$16+L239*'模块规划'!$F$18</x:f>
        <x:v>16911.409850402462</x:v>
      </x:c>
      <x:c r="O239" s="2" t="n">
        <x:f t="shared" si="285">1+O$9*SUMPRODUCT($H$10:$L$10,H239:L239)/SUM($H$10:$L$10)</x:f>
        <x:v>3.2117321730903603</x:v>
      </x:c>
      <x:c r="P239" s="12" t="n">
        <x:f t="shared" si="286">M239*O239+N239</x:f>
        <x:v>33074.77204912512</x:v>
      </x:c>
      <x:c r="Q239" s="7" t="n">
        <x:f>P239/(P239+'_曲线基线'!$L$2)</x:f>
        <x:v>0.5794989775983189</x:v>
      </x:c>
      <x:c r="R239" s="2" t="n">
        <x:f>E239*'模块规划'!$E$10+G239*'模块规划'!$E$11+H239*'模块规划'!$E$13</x:f>
        <x:v>7548.899469645118</x:v>
      </x:c>
      <x:c r="S239" s="2" t="n">
        <x:f>I239*'模块规划'!$E$15+J239*'模块规划'!$E$17+K239*'模块规划'!$E$16+L239*'模块规划'!$E$18</x:f>
        <x:v>25367.114775603695</x:v>
      </x:c>
      <x:c r="T239" s="2" t="n">
        <x:f t="shared" si="287">1+T$9*SUMPRODUCT($H$10:$L$10,H239:L239)/SUM($H$10:$L$10)</x:f>
        <x:v>3.2117321730903603</x:v>
      </x:c>
      <x:c r="U239" s="12" t="n">
        <x:f t="shared" si="288">R239*T239+S239</x:f>
        <x:v>49612.15807368768</x:v>
      </x:c>
      <x:c r="V239" s="2" t="n">
        <x:f t="shared" si="289">V$8+(V$9-V$8)*H239</x:f>
        <x:v>0.896098659556878</x:v>
      </x:c>
      <x:c r="W239" s="2" t="n">
        <x:f t="shared" si="290">IF(B239&lt;$H$8,0,W$8+(W$9-W$8)*H239)</x:f>
        <x:v>0.2614648794091706</x:v>
      </x:c>
      <x:c r="X239" s="2" t="n">
        <x:f t="shared" si="291">X$8+(X$9-X$8)*H239</x:f>
        <x:v>0.4547571045938048</x:v>
      </x:c>
      <x:c r="Y239" s="2" t="n">
        <x:f t="shared" si="292">Y$8+(Y$9-Y$8)*G239</x:f>
        <x:v>1</x:v>
      </x:c>
      <x:c r="Z239" s="2" t="n">
        <x:f t="shared" si="293">Z$8+(Z$9-Z$8)*H239</x:f>
        <x:v>1</x:v>
      </x:c>
      <x:c r="AA239" s="2" t="n">
        <x:f t="shared" si="294">AA$8+(AA$9-AA$8)*I239</x:f>
        <x:v>1</x:v>
      </x:c>
      <x:c r="AB239" s="2" t="n">
        <x:f t="shared" si="295">AB$8+(AB$9-AB$8)*J239</x:f>
        <x:v>1</x:v>
      </x:c>
      <x:c r="AC239" s="2" t="n">
        <x:f t="shared" si="296">AC$8+(AC$9-AC$8)*MAX(K239,L239)</x:f>
        <x:v>1</x:v>
      </x:c>
      <x:c r="AD239" s="1" t="n">
        <x:f t="shared" si="297">(V239*AE239+W239*AF239+X239*AG239)*PRODUCT(Y239:AC239)</x:f>
        <x:v>1.8206821333048482</x:v>
      </x:c>
      <x:c r="AE239" s="2" t="n">
        <x:f t="shared" si="298">1+AE$9*($H$10*H239+$I$10*I239+$J$10*J239+$K$10*K239+$L$10*L239)</x:f>
        <x:v>1</x:v>
      </x:c>
      <x:c r="AF239" s="2" t="n">
        <x:f t="shared" si="299">1+AF$9*($H$10*H239+$I$10*I239+$J$10*J239+$K$10*K239+$L$10*L239)</x:f>
        <x:v>1.1952055116330764</x:v>
      </x:c>
      <x:c r="AG239" s="2" t="n">
        <x:f t="shared" si="300">1+AG$9*($H$10*H239+$I$10*I239+$J$10*J239+$K$10*K239+$L$10*L239)</x:f>
        <x:v>1.3459475456163994</x:v>
      </x:c>
      <x:c r="AH239" s="2" t="n">
        <x:f>MIN(1,'_曲线基线'!$L$3+AH$9*($H$10*H239+$I$10*I239+$J$10*J239+$K$10*K239+$L$10*L239))</x:f>
        <x:v>0.4940925389652485</x:v>
      </x:c>
      <x:c r="AI239" s="2" t="n">
        <x:f>'_曲线基线'!$L$4+AI$9*($H$10*H239+$I$10*I239+$J$10*J239+$K$10*K239+$L$10*L239)</x:f>
        <x:v>3.237114929974621</x:v>
      </x:c>
      <x:c r="AJ239" s="2" t="n">
        <x:f t="shared" si="301">1+AJ$9*($H$10*H239+$I$10*I239+$J$10*J239+$K$10*K239+$L$10*L239)</x:f>
        <x:v>2.0150686604919965</x:v>
      </x:c>
      <x:c r="AK239" s="1" t="n">
        <x:f t="shared" si="302">(1+AH239*(AI239-1))*AJ239</x:f>
        <x:v>4.242408272155587</x:v>
      </x:c>
      <x:c r="AL239" s="1" t="n">
        <x:f t="shared" si="303">U239*AD239*AK239*F239</x:f>
        <x:v>1916040.631421225</x:v>
      </x:c>
      <x:c r="AM239" s="13" t="n">
        <x:f t="shared" si="304">IF($B239&lt;AM$8,0,AM$3+(AM$4-AM$3)*(POWER(AM$5,$B239-AM$8)-1)/(POWER(AM$5,$C$5-AM$8)-1))</x:f>
        <x:v>46.506097118481975</x:v>
      </x:c>
      <x:c r="AN239" s="13" t="n">
        <x:f>(((E239*'模块规划'!$D$10+G239*'模块规划'!$D$11+H239*'模块规划'!$D$13)*(1+'模块规划'!$G$14*H239)+(I239*'模块规划'!$D$15+J239*'模块规划'!$D$17+K239*'模块规划'!$D$16+L239*'模块规划'!$D$18))*(1+'模块规划'!$J$17*J239))*F239/(1-Q239)</x:f>
        <x:v>2457841.845892193</x:v>
      </x:c>
      <x:c r="AO239" s="1" t="n">
        <x:f t="shared" si="305">AL239*AM239</x:f>
        <x:v>89107571.68783301</x:v>
      </x:c>
      <x:c r="AP239" s="1" t="n">
        <x:f>IF(AO239="","",INDEX('_曲线基线'!$A$3:$A$502,MIN(ROWS('_曲线基线'!$A$3:$A$502),COUNTIF('_曲线基线'!$E$3:$E$502,"&lt;"&amp;AO239)+1)))</x:f>
        <x:v>284</x:v>
      </x:c>
      <x:c r="AQ239" s="14" t="n">
        <x:f t="shared" si="306">IF(B239&lt;=2,1,IF(B239&lt;=6,2,IF(B239&lt;=9,3,IF(B239&lt;=19,4,5))))</x:f>
        <x:v>5</x:v>
      </x:c>
      <x:c r="AR239" s="10" t="n">
        <x:f t="shared" si="307">AN239*(1-Q239)/F239*$AS$3+U239*$AS$4+P239*$AS$5</x:f>
        <x:v>16123.581669333347</x:v>
      </x:c>
      <x:c r="AS239" s="15" t="n">
        <x:f t="shared" si="308">1+AH239*$AS$6+AI239*$AS$7+(AJ239-1)*$AS$8+($H$10*H239+$I$10*I239+$J$10*J239+$K$10*K239+$L$10*L239)*$AU$3*$AS$9+($H$10*H239+$I$10*I239+$J$10*J239+$K$10*K239+$L$10*L239)*$AU$4*$AS$10</x:f>
        <x:v>16.645331122338902</x:v>
      </x:c>
      <x:c r="AT239" s="16" t="n">
        <x:f t="shared" si="309">ROUND(AR239*AS239,0)</x:f>
        <x:v>268382</x:v>
      </x:c>
      <x:c r="AU239" s="16" t="n">
        <x:f t="shared" si="310">ROUND(AT239*F239,0)</x:f>
        <x:v>1341910</x:v>
      </x:c>
      <x:c r="AV239" t="n">
        <x:f>IF(AU239&gt;0,ROUND(AU239,-MAX(0,INT(LOG10(AU239))-2)),0)</x:f>
        <x:v>1340000</x:v>
      </x:c>
    </x:row>
    <x:row r="240" customHeight="1">
      <x:c r="A240" s="1" t="str">
        <x:f>IFERROR(XLOOKUP(B240,'_曲线基线'!$G$3:$G$107,'_曲线基线'!$J$3:$J$107,""),"")</x:f>
      </x:c>
      <x:c r="B240" s="1" t="n">
        <x:v>229</x:v>
      </x:c>
      <x:c r="C240" s="1" t="n">
        <x:f t="shared" si="255">C225+1</x:f>
        <x:v>16</x:v>
      </x:c>
      <x:c r="D240" s="1" t="n">
        <x:f t="shared" si="256">D225</x:f>
        <x:v>10</x:v>
      </x:c>
      <x:c r="E240" s="1" t="n">
        <x:f t="shared" si="282">IF($B240&lt;E$8,0,E$3+(E$4-E$3)*(POWER(E$5,$B240-E$8)-1)/(POWER(E$5,$C$5-E$8)-1))</x:f>
        <x:v>1</x:v>
      </x:c>
      <x:c r="F240" s="10" t="n">
        <x:f t="shared" si="283">1+IF(B240&lt;3,0,MIN(1,(B240-2)/4))+IF(B240&lt;7,0,MIN(1,(B240-6)/3))+IF(B240&lt;10,0,MIN(1,(B240-9)/5))+IF(B240&lt;20,0,MIN(1,(B240-19)/10))</x:f>
        <x:v>5</x:v>
      </x:c>
      <x:c r="G240" s="11" t="n">
        <x:f t="shared" ref="G240:L240" si="346">'玩家战力_节点'!G240</x:f>
        <x:v>0.8414056774329478</x:v>
      </x:c>
      <x:c r="H240" s="11" t="n">
        <x:f t="shared" si="346">'玩家战力_节点'!H240</x:f>
        <x:v>0.654630213030342</x:v>
      </x:c>
      <x:c r="I240" s="11" t="n">
        <x:f t="shared" si="346">'玩家战力_节点'!I240</x:f>
        <x:v>0.5905405856067649</x:v>
      </x:c>
      <x:c r="J240" s="11" t="n">
        <x:f t="shared" si="346">'玩家战力_节点'!J240</x:f>
        <x:v>0.5510326264433532</x:v>
      </x:c>
      <x:c r="K240" s="11" t="n">
        <x:f t="shared" si="346">'玩家战力_节点'!K240</x:f>
        <x:v>0.5750791198879431</x:v>
      </x:c>
      <x:c r="L240" s="11" t="n">
        <x:f t="shared" si="346">'玩家战力_节点'!L240</x:f>
        <x:v>0.652732826408201</x:v>
      </x:c>
      <x:c r="M240" s="2" t="n">
        <x:f>E240*'模块规划'!$F$10+G240*'模块规划'!$F$11+H240*'模块规划'!$F$13</x:f>
        <x:v>5038.747251678149</x:v>
      </x:c>
      <x:c r="N240" s="2" t="n">
        <x:f>I240*'模块规划'!$F$15+J240*'模块规划'!$F$17+K240*'模块规划'!$F$16+L240*'模块规划'!$F$18</x:f>
        <x:v>16948.789800656315</x:v>
      </x:c>
      <x:c r="O240" s="2" t="n">
        <x:f t="shared" si="285">1+O$9*SUMPRODUCT($H$10:$L$10,H240:L240)/SUM($H$10:$L$10)</x:f>
        <x:v>3.216315292339486</x:v>
      </x:c>
      <x:c r="P240" s="12" t="n">
        <x:f t="shared" si="286">M240*O240+N240</x:f>
        <x:v>33154.9896404623</x:v>
      </x:c>
      <x:c r="Q240" s="7" t="n">
        <x:f>P240/(P240+'_曲线基线'!$L$2)</x:f>
        <x:v>0.5800891549281387</x:v>
      </x:c>
      <x:c r="R240" s="2" t="n">
        <x:f>E240*'模块规划'!$E$10+G240*'模块规划'!$E$11+H240*'模块规划'!$E$13</x:f>
        <x:v>7558.1208775172245</x:v>
      </x:c>
      <x:c r="S240" s="2" t="n">
        <x:f>I240*'模块规划'!$E$15+J240*'模块规划'!$E$17+K240*'模块规划'!$E$16+L240*'模块规划'!$E$18</x:f>
        <x:v>25423.18470098447</x:v>
      </x:c>
      <x:c r="T240" s="2" t="n">
        <x:f t="shared" si="287">1+T$9*SUMPRODUCT($H$10:$L$10,H240:L240)/SUM($H$10:$L$10)</x:f>
        <x:v>3.216315292339486</x:v>
      </x:c>
      <x:c r="U240" s="12" t="n">
        <x:f t="shared" si="288">R240*T240+S240</x:f>
        <x:v>49732.48446069346</x:v>
      </x:c>
      <x:c r="V240" s="2" t="n">
        <x:f t="shared" si="289">V$8+(V$9-V$8)*H240</x:f>
        <x:v>0.8963890639091026</x:v>
      </x:c>
      <x:c r="W240" s="2" t="n">
        <x:f t="shared" si="290">IF(B240&lt;$H$8,0,W$8+(W$9-W$8)*H240)</x:f>
        <x:v>0.2618520852121368</x:v>
      </x:c>
      <x:c r="X240" s="2" t="n">
        <x:f t="shared" si="291">X$8+(X$9-X$8)*H240</x:f>
        <x:v>0.45502330858334405</x:v>
      </x:c>
      <x:c r="Y240" s="2" t="n">
        <x:f t="shared" si="292">Y$8+(Y$9-Y$8)*G240</x:f>
        <x:v>1</x:v>
      </x:c>
      <x:c r="Z240" s="2" t="n">
        <x:f t="shared" si="293">Z$8+(Z$9-Z$8)*H240</x:f>
        <x:v>1</x:v>
      </x:c>
      <x:c r="AA240" s="2" t="n">
        <x:f t="shared" si="294">AA$8+(AA$9-AA$8)*I240</x:f>
        <x:v>1</x:v>
      </x:c>
      <x:c r="AB240" s="2" t="n">
        <x:f t="shared" si="295">AB$8+(AB$9-AB$8)*J240</x:f>
        <x:v>1</x:v>
      </x:c>
      <x:c r="AC240" s="2" t="n">
        <x:f t="shared" si="296">AC$8+(AC$9-AC$8)*MAX(K240,L240)</x:f>
        <x:v>1</x:v>
      </x:c>
      <x:c r="AD240" s="1" t="n">
        <x:f t="shared" si="297">(V240*AE240+W240*AF240+X240*AG240)*PRODUCT(Y240:AC240)</x:f>
        <x:v>1.822225735881125</x:v>
      </x:c>
      <x:c r="AE240" s="2" t="n">
        <x:f t="shared" si="298">1+AE$9*($H$10*H240+$I$10*I240+$J$10*J240+$K$10*K240+$L$10*L240)</x:f>
        <x:v>1</x:v>
      </x:c>
      <x:c r="AF240" s="2" t="n">
        <x:f t="shared" si="299">1+AF$9*($H$10*H240+$I$10*I240+$J$10*J240+$K$10*K240+$L$10*L240)</x:f>
        <x:v>1.1956100136558738</x:v>
      </x:c>
      <x:c r="AG240" s="2" t="n">
        <x:f t="shared" si="300">1+AG$9*($H$10*H240+$I$10*I240+$J$10*J240+$K$10*K240+$L$10*L240)</x:f>
        <x:v>1.3466644130901346</x:v>
      </x:c>
      <x:c r="AH240" s="2" t="n">
        <x:f>MIN(1,'_曲线基线'!$L$3+AH$9*($H$10*H240+$I$10*I240+$J$10*J240+$K$10*K240+$L$10*L240))</x:f>
        <x:v>0.4950127810671125</x:v>
      </x:c>
      <x:c r="AI240" s="2" t="n">
        <x:f>'_曲线基线'!$L$4+AI$9*($H$10*H240+$I$10*I240+$J$10*J240+$K$10*K240+$L$10*L240)</x:f>
        <x:v>3.2396784615440994</x:v>
      </x:c>
      <x:c r="AJ240" s="2" t="n">
        <x:f t="shared" si="301">1+AJ$9*($H$10*H240+$I$10*I240+$J$10*J240+$K$10*K240+$L$10*L240)</x:f>
        <x:v>2.0171720710105427</x:v>
      </x:c>
      <x:c r="AK240" s="1" t="n">
        <x:f t="shared" si="302">(1+AH240*(AI240-1))*AJ240</x:f>
        <x:v>4.2535491496627404</x:v>
      </x:c>
      <x:c r="AL240" s="1" t="n">
        <x:f t="shared" si="303">U240*AD240*AK240*F240</x:f>
        <x:v>1927364.2156170413</x:v>
      </x:c>
      <x:c r="AM240" s="13" t="n">
        <x:f t="shared" si="304">IF($B240&lt;AM$8,0,AM$3+(AM$4-AM$3)*(POWER(AM$5,$B240-AM$8)-1)/(POWER(AM$5,$C$5-AM$8)-1))</x:f>
        <x:v>46.634582729588665</x:v>
      </x:c>
      <x:c r="AN240" s="13" t="n">
        <x:f>(((E240*'模块规划'!$D$10+G240*'模块规划'!$D$11+H240*'模块规划'!$D$13)*(1+'模块规划'!$G$14*H240)+(I240*'模块规划'!$D$15+J240*'模块规划'!$D$17+K240*'模块规划'!$D$16+L240*'模块规划'!$D$18))*(1+'模块规划'!$J$17*J240))*F240/(1-Q240)</x:f>
        <x:v>2468275.0932093994</x:v>
      </x:c>
      <x:c r="AO240" s="1" t="n">
        <x:f t="shared" si="305">AL240*AM240</x:f>
        <x:v>89881825.96324168</x:v>
      </x:c>
      <x:c r="AP240" s="1" t="n">
        <x:f>IF(AO240="","",INDEX('_曲线基线'!$A$3:$A$502,MIN(ROWS('_曲线基线'!$A$3:$A$502),COUNTIF('_曲线基线'!$E$3:$E$502,"&lt;"&amp;AO240)+1)))</x:f>
        <x:v>285</x:v>
      </x:c>
      <x:c r="AQ240" s="14" t="n">
        <x:f t="shared" si="306">IF(B240&lt;=2,1,IF(B240&lt;=6,2,IF(B240&lt;=9,3,IF(B240&lt;=19,4,5))))</x:f>
        <x:v>5</x:v>
      </x:c>
      <x:c r="AR240" s="10" t="n">
        <x:f t="shared" si="307">AN240*(1-Q240)/F240*$AS$3+U240*$AS$4+P240*$AS$5</x:f>
        <x:v>16165.229773695006</x:v>
      </x:c>
      <x:c r="AS240" s="15" t="n">
        <x:f t="shared" si="308">1+AH240*$AS$6+AI240*$AS$7+(AJ240-1)*$AS$8+($H$10*H240+$I$10*I240+$J$10*J240+$K$10*K240+$L$10*L240)*$AU$3*$AS$9+($H$10*H240+$I$10*I240+$J$10*J240+$K$10*K240+$L$10*L240)*$AU$4*$AS$10</x:f>
        <x:v>16.669500577816464</x:v>
      </x:c>
      <x:c r="AT240" s="16" t="n">
        <x:f t="shared" si="309">ROUND(AR240*AS240,0)</x:f>
        <x:v>269466</x:v>
      </x:c>
      <x:c r="AU240" s="16" t="n">
        <x:f t="shared" si="310">ROUND(AT240*F240,0)</x:f>
        <x:v>1347330</x:v>
      </x:c>
      <x:c r="AV240" t="n">
        <x:f>IF(AU240&gt;0,ROUND(AU240,-MAX(0,INT(LOG10(AU240))-2)),0)</x:f>
        <x:v>1350000</x:v>
      </x:c>
    </x:row>
    <x:row r="241" customHeight="1">
      <x:c r="A241" s="1" t="str">
        <x:f>IFERROR(XLOOKUP(B241,'_曲线基线'!$G$3:$G$107,'_曲线基线'!$J$3:$J$107,""),"")</x:f>
      </x:c>
      <x:c r="B241" s="1" t="n">
        <x:v>230</x:v>
      </x:c>
      <x:c r="C241" s="1" t="n">
        <x:f t="shared" si="255">C226+1</x:f>
        <x:v>16</x:v>
      </x:c>
      <x:c r="D241" s="1" t="n">
        <x:f t="shared" si="256">D226</x:f>
        <x:v>11</x:v>
      </x:c>
      <x:c r="E241" s="1" t="n">
        <x:f t="shared" si="282">IF($B241&lt;E$8,0,E$3+(E$4-E$3)*(POWER(E$5,$B241-E$8)-1)/(POWER(E$5,$C$5-E$8)-1))</x:f>
        <x:v>1</x:v>
      </x:c>
      <x:c r="F241" s="10" t="n">
        <x:f t="shared" si="283">1+IF(B241&lt;3,0,MIN(1,(B241-2)/4))+IF(B241&lt;7,0,MIN(1,(B241-6)/3))+IF(B241&lt;10,0,MIN(1,(B241-9)/5))+IF(B241&lt;20,0,MIN(1,(B241-19)/10))</x:f>
        <x:v>5</x:v>
      </x:c>
      <x:c r="G241" s="11" t="n">
        <x:f t="shared" ref="G241:L241" si="347">'玩家战力_节点'!G241</x:f>
        <x:v>0.8426864285262959</x:v>
      </x:c>
      <x:c r="H241" s="11" t="n">
        <x:f t="shared" si="347">'玩家战力_节点'!H241</x:f>
        <x:v>0.6555982275377574</x:v>
      </x:c>
      <x:c r="I241" s="11" t="n">
        <x:f t="shared" si="347">'玩家战力_节点'!I241</x:f>
        <x:v>0.5918856349914643</x:v>
      </x:c>
      <x:c r="J241" s="11" t="n">
        <x:f t="shared" si="347">'玩家战力_节点'!J241</x:f>
        <x:v>0.5520902784375641</x:v>
      </x:c>
      <x:c r="K241" s="11" t="n">
        <x:f t="shared" si="347">'玩家战力_节点'!K241</x:f>
        <x:v>0.5769046937639142</x:v>
      </x:c>
      <x:c r="L241" s="11" t="n">
        <x:f t="shared" si="347">'玩家战力_节点'!L241</x:f>
        <x:v>0.6537507448038654</x:v>
      </x:c>
      <x:c r="M241" s="2" t="n">
        <x:f>E241*'模块规划'!$F$10+G241*'模块规划'!$F$11+H241*'模块规划'!$F$13</x:f>
        <x:v>5044.894856926221</x:v>
      </x:c>
      <x:c r="N241" s="2" t="n">
        <x:f>I241*'模块规划'!$F$15+J241*'模块规划'!$F$17+K241*'模块规划'!$F$16+L241*'模块规划'!$F$18</x:f>
        <x:v>16986.169750910165</x:v>
      </x:c>
      <x:c r="O241" s="2" t="n">
        <x:f t="shared" si="285">1+O$9*SUMPRODUCT($H$10:$L$10,H241:L241)/SUM($H$10:$L$10)</x:f>
        <x:v>3.2208984115886126</x:v>
      </x:c>
      <x:c r="P241" s="12" t="n">
        <x:f t="shared" si="286">M241*O241+N241</x:f>
        <x:v>33235.26358221539</x:v>
      </x:c>
      <x:c r="Q241" s="7" t="n">
        <x:f>P241/(P241+'_曲线基线'!$L$2)</x:f>
        <x:v>0.5806780907800785</x:v>
      </x:c>
      <x:c r="R241" s="2" t="n">
        <x:f>E241*'模块规划'!$E$10+G241*'模块规划'!$E$11+H241*'模块规划'!$E$13</x:f>
        <x:v>7567.342285389331</x:v>
      </x:c>
      <x:c r="S241" s="2" t="n">
        <x:f>I241*'模块规划'!$E$15+J241*'模块规划'!$E$17+K241*'模块规划'!$E$16+L241*'模块规划'!$E$18</x:f>
        <x:v>25479.25462636525</x:v>
      </x:c>
      <x:c r="T241" s="2" t="n">
        <x:f t="shared" si="287">1+T$9*SUMPRODUCT($H$10:$L$10,H241:L241)/SUM($H$10:$L$10)</x:f>
        <x:v>3.2208984115886126</x:v>
      </x:c>
      <x:c r="U241" s="12" t="n">
        <x:f t="shared" si="288">R241*T241+S241</x:f>
        <x:v>49852.89537332309</x:v>
      </x:c>
      <x:c r="V241" s="2" t="n">
        <x:f t="shared" si="289">V$8+(V$9-V$8)*H241</x:f>
        <x:v>0.8966794682613273</x:v>
      </x:c>
      <x:c r="W241" s="2" t="n">
        <x:f t="shared" si="290">IF(B241&lt;$H$8,0,W$8+(W$9-W$8)*H241)</x:f>
        <x:v>0.26223929101510296</x:v>
      </x:c>
      <x:c r="X241" s="2" t="n">
        <x:f t="shared" si="291">X$8+(X$9-X$8)*H241</x:f>
        <x:v>0.4552895125728833</x:v>
      </x:c>
      <x:c r="Y241" s="2" t="n">
        <x:f t="shared" si="292">Y$8+(Y$9-Y$8)*G241</x:f>
        <x:v>1</x:v>
      </x:c>
      <x:c r="Z241" s="2" t="n">
        <x:f t="shared" si="293">Z$8+(Z$9-Z$8)*H241</x:f>
        <x:v>1</x:v>
      </x:c>
      <x:c r="AA241" s="2" t="n">
        <x:f t="shared" si="294">AA$8+(AA$9-AA$8)*I241</x:f>
        <x:v>1</x:v>
      </x:c>
      <x:c r="AB241" s="2" t="n">
        <x:f t="shared" si="295">AB$8+(AB$9-AB$8)*J241</x:f>
        <x:v>1</x:v>
      </x:c>
      <x:c r="AC241" s="2" t="n">
        <x:f t="shared" si="296">AC$8+(AC$9-AC$8)*MAX(K241,L241)</x:f>
        <x:v>1</x:v>
      </x:c>
      <x:c r="AD241" s="1" t="n">
        <x:f t="shared" si="297">(V241*AE241+W241*AF241+X241*AG241)*PRODUCT(Y241:AC241)</x:f>
        <x:v>1.8237700333744256</x:v>
      </x:c>
      <x:c r="AE241" s="2" t="n">
        <x:f t="shared" si="298">1+AE$9*($H$10*H241+$I$10*I241+$J$10*J241+$K$10*K241+$L$10*L241)</x:f>
        <x:v>1</x:v>
      </x:c>
      <x:c r="AF241" s="2" t="n">
        <x:f t="shared" si="299">1+AF$9*($H$10*H241+$I$10*I241+$J$10*J241+$K$10*K241+$L$10*L241)</x:f>
        <x:v>1.1960145156786712</x:v>
      </x:c>
      <x:c r="AG241" s="2" t="n">
        <x:f t="shared" si="300">1+AG$9*($H$10*H241+$I$10*I241+$J$10*J241+$K$10*K241+$L$10*L241)</x:f>
        <x:v>1.34738128056387</x:v>
      </x:c>
      <x:c r="AH241" s="2" t="n">
        <x:f>MIN(1,'_曲线基线'!$L$3+AH$9*($H$10*H241+$I$10*I241+$J$10*J241+$K$10*K241+$L$10*L241))</x:f>
        <x:v>0.49593302316897653</x:v>
      </x:c>
      <x:c r="AI241" s="2" t="n">
        <x:f>'_曲线基线'!$L$4+AI$9*($H$10*H241+$I$10*I241+$J$10*J241+$K$10*K241+$L$10*L241)</x:f>
        <x:v>3.2422419931135775</x:v>
      </x:c>
      <x:c r="AJ241" s="2" t="n">
        <x:f t="shared" si="301">1+AJ$9*($H$10*H241+$I$10*I241+$J$10*J241+$K$10*K241+$L$10*L241)</x:f>
        <x:v>2.0192754815290894</x:v>
      </x:c>
      <x:c r="AK241" s="1" t="n">
        <x:f t="shared" si="302">(1+AH241*(AI241-1))*AJ241</x:f>
        <x:v>4.264713553297765</x:v>
      </x:c>
      <x:c r="AL241" s="1" t="n">
        <x:f t="shared" si="303">U241*AD241*AK241*F241</x:f>
        <x:v>1938743.4012681348</x:v>
      </x:c>
      <x:c r="AM241" s="13" t="n">
        <x:f t="shared" si="304">IF($B241&lt;AM$8,0,AM$3+(AM$4-AM$3)*(POWER(AM$5,$B241-AM$8)-1)/(POWER(AM$5,$C$5-AM$8)-1))</x:f>
        <x:v>46.76435319680642</x:v>
      </x:c>
      <x:c r="AN241" s="13" t="n">
        <x:f>(((E241*'模块规划'!$D$10+G241*'模块规划'!$D$11+H241*'模块规划'!$D$13)*(1+'模块规划'!$G$14*H241)+(I241*'模块规划'!$D$15+J241*'模块规划'!$D$17+K241*'模块规划'!$D$16+L241*'模块规划'!$D$18))*(1+'模块规划'!$J$17*J241))*F241/(1-Q241)</x:f>
        <x:v>2478739.2313078307</x:v>
      </x:c>
      <x:c r="AO241" s="1" t="n">
        <x:f t="shared" si="305">AL241*AM241</x:f>
        <x:v>90664081.17488085</x:v>
      </x:c>
      <x:c r="AP241" s="1" t="n">
        <x:f>IF(AO241="","",INDEX('_曲线基线'!$A$3:$A$502,MIN(ROWS('_曲线基线'!$A$3:$A$502),COUNTIF('_曲线基线'!$E$3:$E$502,"&lt;"&amp;AO241)+1)))</x:f>
        <x:v>285</x:v>
      </x:c>
      <x:c r="AQ241" s="14" t="n">
        <x:f t="shared" si="306">IF(B241&lt;=2,1,IF(B241&lt;=6,2,IF(B241&lt;=9,3,IF(B241&lt;=19,4,5))))</x:f>
        <x:v>5</x:v>
      </x:c>
      <x:c r="AR241" s="10" t="n">
        <x:f t="shared" si="307">AN241*(1-Q241)/F241*$AS$3+U241*$AS$4+P241*$AS$5</x:f>
        <x:v>16206.917076246538</x:v>
      </x:c>
      <x:c r="AS241" s="15" t="n">
        <x:f t="shared" si="308">1+AH241*$AS$6+AI241*$AS$7+(AJ241-1)*$AS$8+($H$10*H241+$I$10*I241+$J$10*J241+$K$10*K241+$L$10*L241)*$AU$3*$AS$9+($H$10*H241+$I$10*I241+$J$10*J241+$K$10*K241+$L$10*L241)*$AU$4*$AS$10</x:f>
        <x:v>16.693670033294033</x:v>
      </x:c>
      <x:c r="AT241" s="16" t="n">
        <x:f t="shared" si="309">ROUND(AR241*AS241,0)</x:f>
        <x:v>270553</x:v>
      </x:c>
      <x:c r="AU241" s="16" t="n">
        <x:f t="shared" si="310">ROUND(AT241*F241,0)</x:f>
        <x:v>1352765</x:v>
      </x:c>
      <x:c r="AV241" t="n">
        <x:f>IF(AU241&gt;0,ROUND(AU241,-MAX(0,INT(LOG10(AU241))-2)),0)</x:f>
        <x:v>1350000</x:v>
      </x:c>
    </x:row>
    <x:row r="242" customHeight="1">
      <x:c r="A242" s="1" t="str">
        <x:f>IFERROR(XLOOKUP(B242,'_曲线基线'!$G$3:$G$107,'_曲线基线'!$J$3:$J$107,""),"")</x:f>
      </x:c>
      <x:c r="B242" s="1" t="n">
        <x:v>231</x:v>
      </x:c>
      <x:c r="C242" s="1" t="n">
        <x:f t="shared" si="255">C227+1</x:f>
        <x:v>16</x:v>
      </x:c>
      <x:c r="D242" s="1" t="n">
        <x:f t="shared" si="256">D227</x:f>
        <x:v>12</x:v>
      </x:c>
      <x:c r="E242" s="1" t="n">
        <x:f t="shared" si="282">IF($B242&lt;E$8,0,E$3+(E$4-E$3)*(POWER(E$5,$B242-E$8)-1)/(POWER(E$5,$C$5-E$8)-1))</x:f>
        <x:v>1</x:v>
      </x:c>
      <x:c r="F242" s="10" t="n">
        <x:f t="shared" si="283">1+IF(B242&lt;3,0,MIN(1,(B242-2)/4))+IF(B242&lt;7,0,MIN(1,(B242-6)/3))+IF(B242&lt;10,0,MIN(1,(B242-9)/5))+IF(B242&lt;20,0,MIN(1,(B242-19)/10))</x:f>
        <x:v>5</x:v>
      </x:c>
      <x:c r="G242" s="11" t="n">
        <x:f t="shared" ref="G242:L242" si="348">'玩家战力_节点'!G242</x:f>
        <x:v>0.8439671796196438</x:v>
      </x:c>
      <x:c r="H242" s="11" t="n">
        <x:f t="shared" si="348">'玩家战力_节点'!H242</x:f>
        <x:v>0.6565662420451728</x:v>
      </x:c>
      <x:c r="I242" s="11" t="n">
        <x:f t="shared" si="348">'玩家战力_节点'!I242</x:f>
        <x:v>0.5932306843761637</x:v>
      </x:c>
      <x:c r="J242" s="11" t="n">
        <x:f t="shared" si="348">'玩家战力_节点'!J242</x:f>
        <x:v>0.5531479304317751</x:v>
      </x:c>
      <x:c r="K242" s="11" t="n">
        <x:f t="shared" si="348">'玩家战力_节点'!K242</x:f>
        <x:v>0.5787302676398852</x:v>
      </x:c>
      <x:c r="L242" s="11" t="n">
        <x:f t="shared" si="348">'玩家战力_节点'!L242</x:f>
        <x:v>0.6547686631995299</x:v>
      </x:c>
      <x:c r="M242" s="2" t="n">
        <x:f>E242*'模块规划'!$F$10+G242*'模块规划'!$F$11+H242*'模块规划'!$F$13</x:f>
        <x:v>5051.04246217429</x:v>
      </x:c>
      <x:c r="N242" s="2" t="n">
        <x:f>I242*'模块规划'!$F$15+J242*'模块规划'!$F$17+K242*'模块规划'!$F$16+L242*'模块规划'!$F$18</x:f>
        <x:v>17023.549701164022</x:v>
      </x:c>
      <x:c r="O242" s="2" t="n">
        <x:f t="shared" si="285">1+O$9*SUMPRODUCT($H$10:$L$10,H242:L242)/SUM($H$10:$L$10)</x:f>
        <x:v>3.2254815308377385</x:v>
      </x:c>
      <x:c r="P242" s="12" t="n">
        <x:f t="shared" si="286">M242*O242+N242</x:f>
        <x:v>33315.59387438437</x:v>
      </x:c>
      <x:c r="Q242" s="7" t="n">
        <x:f>P242/(P242+'_曲线基线'!$L$2)</x:f>
        <x:v>0.5812657886333767</x:v>
      </x:c>
      <x:c r="R242" s="2" t="n">
        <x:f>E242*'模块规划'!$E$10+G242*'模块规划'!$E$11+H242*'模块规划'!$E$13</x:f>
        <x:v>7576.563693261436</x:v>
      </x:c>
      <x:c r="S242" s="2" t="n">
        <x:f>I242*'模块规划'!$E$15+J242*'模块规划'!$E$17+K242*'模块规划'!$E$16+L242*'模块规划'!$E$18</x:f>
        <x:v>25535.32455174603</x:v>
      </x:c>
      <x:c r="T242" s="2" t="n">
        <x:f t="shared" si="287">1+T$9*SUMPRODUCT($H$10:$L$10,H242:L242)/SUM($H$10:$L$10)</x:f>
        <x:v>3.2254815308377385</x:v>
      </x:c>
      <x:c r="U242" s="12" t="n">
        <x:f t="shared" si="288">R242*T242+S242</x:f>
        <x:v>49973.39081157656</x:v>
      </x:c>
      <x:c r="V242" s="2" t="n">
        <x:f t="shared" si="289">V$8+(V$9-V$8)*H242</x:f>
        <x:v>0.8969698726135518</x:v>
      </x:c>
      <x:c r="W242" s="2" t="n">
        <x:f t="shared" si="290">IF(B242&lt;$H$8,0,W$8+(W$9-W$8)*H242)</x:f>
        <x:v>0.2626264968180691</x:v>
      </x:c>
      <x:c r="X242" s="2" t="n">
        <x:f t="shared" si="291">X$8+(X$9-X$8)*H242</x:f>
        <x:v>0.45555571656242255</x:v>
      </x:c>
      <x:c r="Y242" s="2" t="n">
        <x:f t="shared" si="292">Y$8+(Y$9-Y$8)*G242</x:f>
        <x:v>1</x:v>
      </x:c>
      <x:c r="Z242" s="2" t="n">
        <x:f t="shared" si="293">Z$8+(Z$9-Z$8)*H242</x:f>
        <x:v>1</x:v>
      </x:c>
      <x:c r="AA242" s="2" t="n">
        <x:f t="shared" si="294">AA$8+(AA$9-AA$8)*I242</x:f>
        <x:v>1</x:v>
      </x:c>
      <x:c r="AB242" s="2" t="n">
        <x:f t="shared" si="295">AB$8+(AB$9-AB$8)*J242</x:f>
        <x:v>1</x:v>
      </x:c>
      <x:c r="AC242" s="2" t="n">
        <x:f t="shared" si="296">AC$8+(AC$9-AC$8)*MAX(K242,L242)</x:f>
        <x:v>1</x:v>
      </x:c>
      <x:c r="AD242" s="1" t="n">
        <x:f t="shared" si="297">(V242*AE242+W242*AF242+X242*AG242)*PRODUCT(Y242:AC242)</x:f>
        <x:v>1.82531502578475</x:v>
      </x:c>
      <x:c r="AE242" s="2" t="n">
        <x:f t="shared" si="298">1+AE$9*($H$10*H242+$I$10*I242+$J$10*J242+$K$10*K242+$L$10*L242)</x:f>
        <x:v>1</x:v>
      </x:c>
      <x:c r="AF242" s="2" t="n">
        <x:f t="shared" si="299">1+AF$9*($H$10*H242+$I$10*I242+$J$10*J242+$K$10*K242+$L$10*L242)</x:f>
        <x:v>1.1964190177014686</x:v>
      </x:c>
      <x:c r="AG242" s="2" t="n">
        <x:f t="shared" si="300">1+AG$9*($H$10*H242+$I$10*I242+$J$10*J242+$K$10*K242+$L$10*L242)</x:f>
        <x:v>1.3480981480376053</x:v>
      </x:c>
      <x:c r="AH242" s="2" t="n">
        <x:f>MIN(1,'_曲线基线'!$L$3+AH$9*($H$10*H242+$I$10*I242+$J$10*J242+$K$10*K242+$L$10*L242))</x:f>
        <x:v>0.4968532652708405</x:v>
      </x:c>
      <x:c r="AI242" s="2" t="n">
        <x:f>'_曲线基线'!$L$4+AI$9*($H$10*H242+$I$10*I242+$J$10*J242+$K$10*K242+$L$10*L242)</x:f>
        <x:v>3.2448055246830556</x:v>
      </x:c>
      <x:c r="AJ242" s="2" t="n">
        <x:f t="shared" si="301">1+AJ$9*($H$10*H242+$I$10*I242+$J$10*J242+$K$10*K242+$L$10*L242)</x:f>
        <x:v>2.0213788920476357</x:v>
      </x:c>
      <x:c r="AK242" s="1" t="n">
        <x:f t="shared" si="302">(1+AH242*(AI242-1))*AJ242</x:f>
        <x:v>4.275901512833212</x:v>
      </x:c>
      <x:c r="AL242" s="1" t="n">
        <x:f t="shared" si="303">U242*AD242*AK242*F242</x:f>
        <x:v>1950178.414117164</x:v>
      </x:c>
      <x:c r="AM242" s="13" t="n">
        <x:f t="shared" si="304">IF($B242&lt;AM$8,0,AM$3+(AM$4-AM$3)*(POWER(AM$5,$B242-AM$8)-1)/(POWER(AM$5,$C$5-AM$8)-1))</x:f>
        <x:v>46.895421368696354</x:v>
      </x:c>
      <x:c r="AN242" s="13" t="n">
        <x:f>(((E242*'模块规划'!$D$10+G242*'模块规划'!$D$11+H242*'模块规划'!$D$13)*(1+'模块规划'!$G$14*H242)+(I242*'模块规划'!$D$15+J242*'模块规划'!$D$17+K242*'模块规划'!$D$16+L242*'模块规划'!$D$18))*(1+'模块规划'!$J$17*J242))*F242/(1-Q242)</x:f>
        <x:v>2489234.3205727013</x:v>
      </x:c>
      <x:c r="AO242" s="1" t="n">
        <x:f t="shared" si="305">AL242*AM242</x:f>
        <x:v>91454438.47416042</x:v>
      </x:c>
      <x:c r="AP242" s="1" t="n">
        <x:f>IF(AO242="","",INDEX('_曲线基线'!$A$3:$A$502,MIN(ROWS('_曲线基线'!$A$3:$A$502),COUNTIF('_曲线基线'!$E$3:$E$502,"&lt;"&amp;AO242)+1)))</x:f>
        <x:v>286</x:v>
      </x:c>
      <x:c r="AQ242" s="14" t="n">
        <x:f t="shared" si="306">IF(B242&lt;=2,1,IF(B242&lt;=6,2,IF(B242&lt;=9,3,IF(B242&lt;=19,4,5))))</x:f>
        <x:v>5</x:v>
      </x:c>
      <x:c r="AR242" s="10" t="n">
        <x:f t="shared" si="307">AN242*(1-Q242)/F242*$AS$3+U242*$AS$4+P242*$AS$5</x:f>
        <x:v>16248.643583105766</x:v>
      </x:c>
      <x:c r="AS242" s="15" t="n">
        <x:f t="shared" si="308">1+AH242*$AS$6+AI242*$AS$7+(AJ242-1)*$AS$8+($H$10*H242+$I$10*I242+$J$10*J242+$K$10*K242+$L$10*L242)*$AU$3*$AS$9+($H$10*H242+$I$10*I242+$J$10*J242+$K$10*K242+$L$10*L242)*$AU$4*$AS$10</x:f>
        <x:v>16.7178394887716</x:v>
      </x:c>
      <x:c r="AT242" s="16" t="n">
        <x:f t="shared" si="309">ROUND(AR242*AS242,0)</x:f>
        <x:v>271642</x:v>
      </x:c>
      <x:c r="AU242" s="16" t="n">
        <x:f t="shared" si="310">ROUND(AT242*F242,0)</x:f>
        <x:v>1358210</x:v>
      </x:c>
      <x:c r="AV242" t="n">
        <x:f>IF(AU242&gt;0,ROUND(AU242,-MAX(0,INT(LOG10(AU242))-2)),0)</x:f>
        <x:v>1360000</x:v>
      </x:c>
    </x:row>
    <x:row r="243" customHeight="1">
      <x:c r="A243" s="1" t="str">
        <x:f>IFERROR(XLOOKUP(B243,'_曲线基线'!$G$3:$G$107,'_曲线基线'!$J$3:$J$107,""),"")</x:f>
      </x:c>
      <x:c r="B243" s="1" t="n">
        <x:v>232</x:v>
      </x:c>
      <x:c r="C243" s="1" t="n">
        <x:f t="shared" ref="C243:C290" si="349">C228+1</x:f>
        <x:v>16</x:v>
      </x:c>
      <x:c r="D243" s="1" t="n">
        <x:f t="shared" ref="D243:D290" si="350">D228</x:f>
        <x:v>13</x:v>
      </x:c>
      <x:c r="E243" s="1" t="n">
        <x:f t="shared" si="282">IF($B243&lt;E$8,0,E$3+(E$4-E$3)*(POWER(E$5,$B243-E$8)-1)/(POWER(E$5,$C$5-E$8)-1))</x:f>
        <x:v>1</x:v>
      </x:c>
      <x:c r="F243" s="10" t="n">
        <x:f t="shared" si="283">1+IF(B243&lt;3,0,MIN(1,(B243-2)/4))+IF(B243&lt;7,0,MIN(1,(B243-6)/3))+IF(B243&lt;10,0,MIN(1,(B243-9)/5))+IF(B243&lt;20,0,MIN(1,(B243-19)/10))</x:f>
        <x:v>5</x:v>
      </x:c>
      <x:c r="G243" s="11" t="n">
        <x:f t="shared" ref="G243:L243" si="351">'玩家战力_节点'!G243</x:f>
        <x:v>0.845247930712992</x:v>
      </x:c>
      <x:c r="H243" s="11" t="n">
        <x:f t="shared" si="351">'玩家战力_节点'!H243</x:f>
        <x:v>0.6575342565525882</x:v>
      </x:c>
      <x:c r="I243" s="11" t="n">
        <x:f t="shared" si="351">'玩家战力_节点'!I243</x:f>
        <x:v>0.594575733760863</x:v>
      </x:c>
      <x:c r="J243" s="11" t="n">
        <x:f t="shared" si="351">'玩家战力_节点'!J243</x:f>
        <x:v>0.554205582425986</x:v>
      </x:c>
      <x:c r="K243" s="11" t="n">
        <x:f t="shared" si="351">'玩家战力_节点'!K243</x:f>
        <x:v>0.5805558415158563</x:v>
      </x:c>
      <x:c r="L243" s="11" t="n">
        <x:f t="shared" si="351">'玩家战力_节点'!L243</x:f>
        <x:v>0.6557865815951943</x:v>
      </x:c>
      <x:c r="M243" s="2" t="n">
        <x:f>E243*'模块规划'!$F$10+G243*'模块规划'!$F$11+H243*'模块规划'!$F$13</x:f>
        <x:v>5057.190067422362</x:v>
      </x:c>
      <x:c r="N243" s="2" t="n">
        <x:f>I243*'模块规划'!$F$15+J243*'模块规划'!$F$17+K243*'模块规划'!$F$16+L243*'模块规划'!$F$18</x:f>
        <x:v>17060.929651417875</x:v>
      </x:c>
      <x:c r="O243" s="2" t="n">
        <x:f t="shared" si="285">1+O$9*SUMPRODUCT($H$10:$L$10,H243:L243)/SUM($H$10:$L$10)</x:f>
        <x:v>3.2300646500868644</x:v>
      </x:c>
      <x:c r="P243" s="12" t="n">
        <x:f t="shared" si="286">M243*O243+N243</x:f>
        <x:v>33395.980516969255</x:v>
      </x:c>
      <x:c r="Q243" s="7" t="n">
        <x:f>P243/(P243+'_曲线基线'!$L$2)</x:f>
        <x:v>0.5818522519550939</x:v>
      </x:c>
      <x:c r="R243" s="2" t="n">
        <x:f>E243*'模块规划'!$E$10+G243*'模块规划'!$E$11+H243*'模块规划'!$E$13</x:f>
        <x:v>7585.785101133542</x:v>
      </x:c>
      <x:c r="S243" s="2" t="n">
        <x:f>I243*'模块规划'!$E$15+J243*'模块规划'!$E$17+K243*'模块规划'!$E$16+L243*'模块规划'!$E$18</x:f>
        <x:v>25591.39447712681</x:v>
      </x:c>
      <x:c r="T243" s="2" t="n">
        <x:f t="shared" si="287">1+T$9*SUMPRODUCT($H$10:$L$10,H243:L243)/SUM($H$10:$L$10)</x:f>
        <x:v>3.2300646500868644</x:v>
      </x:c>
      <x:c r="U243" s="12" t="n">
        <x:f t="shared" si="288">R243*T243+S243</x:f>
        <x:v>50093.970775453876</x:v>
      </x:c>
      <x:c r="V243" s="2" t="n">
        <x:f t="shared" si="289">V$8+(V$9-V$8)*H243</x:f>
        <x:v>0.8972602769657765</x:v>
      </x:c>
      <x:c r="W243" s="2" t="n">
        <x:f t="shared" si="290">IF(B243&lt;$H$8,0,W$8+(W$9-W$8)*H243)</x:f>
        <x:v>0.2630137026210353</x:v>
      </x:c>
      <x:c r="X243" s="2" t="n">
        <x:f t="shared" si="291">X$8+(X$9-X$8)*H243</x:f>
        <x:v>0.4558219205519618</x:v>
      </x:c>
      <x:c r="Y243" s="2" t="n">
        <x:f t="shared" si="292">Y$8+(Y$9-Y$8)*G243</x:f>
        <x:v>1</x:v>
      </x:c>
      <x:c r="Z243" s="2" t="n">
        <x:f t="shared" si="293">Z$8+(Z$9-Z$8)*H243</x:f>
        <x:v>1</x:v>
      </x:c>
      <x:c r="AA243" s="2" t="n">
        <x:f t="shared" si="294">AA$8+(AA$9-AA$8)*I243</x:f>
        <x:v>1</x:v>
      </x:c>
      <x:c r="AB243" s="2" t="n">
        <x:f t="shared" si="295">AB$8+(AB$9-AB$8)*J243</x:f>
        <x:v>1</x:v>
      </x:c>
      <x:c r="AC243" s="2" t="n">
        <x:f t="shared" si="296">AC$8+(AC$9-AC$8)*MAX(K243,L243)</x:f>
        <x:v>1</x:v>
      </x:c>
      <x:c r="AD243" s="1" t="n">
        <x:f t="shared" si="297">(V243*AE243+W243*AF243+X243*AG243)*PRODUCT(Y243:AC243)</x:f>
        <x:v>1.8268607131120986</x:v>
      </x:c>
      <x:c r="AE243" s="2" t="n">
        <x:f t="shared" si="298">1+AE$9*($H$10*H243+$I$10*I243+$J$10*J243+$K$10*K243+$L$10*L243)</x:f>
        <x:v>1</x:v>
      </x:c>
      <x:c r="AF243" s="2" t="n">
        <x:f t="shared" si="299">1+AF$9*($H$10*H243+$I$10*I243+$J$10*J243+$K$10*K243+$L$10*L243)</x:f>
        <x:v>1.196823519724266</x:v>
      </x:c>
      <x:c r="AG243" s="2" t="n">
        <x:f t="shared" si="300">1+AG$9*($H$10*H243+$I$10*I243+$J$10*J243+$K$10*K243+$L$10*L243)</x:f>
        <x:v>1.3488150155113408</x:v>
      </x:c>
      <x:c r="AH243" s="2" t="n">
        <x:f>MIN(1,'_曲线基线'!$L$3+AH$9*($H$10*H243+$I$10*I243+$J$10*J243+$K$10*K243+$L$10*L243))</x:f>
        <x:v>0.4977735073727045</x:v>
      </x:c>
      <x:c r="AI243" s="2" t="n">
        <x:f>'_曲线基线'!$L$4+AI$9*($H$10*H243+$I$10*I243+$J$10*J243+$K$10*K243+$L$10*L243)</x:f>
        <x:v>3.247369056252534</x:v>
      </x:c>
      <x:c r="AJ243" s="2" t="n">
        <x:f t="shared" si="301">1+AJ$9*($H$10*H243+$I$10*I243+$J$10*J243+$K$10*K243+$L$10*L243)</x:f>
        <x:v>2.023482302566182</x:v>
      </x:c>
      <x:c r="AK243" s="1" t="n">
        <x:f t="shared" si="302">(1+AH243*(AI243-1))*AJ243</x:f>
        <x:v>4.287113058041631</x:v>
      </x:c>
      <x:c r="AL243" s="1" t="n">
        <x:f t="shared" si="303">U243*AD243*AK243*F243</x:f>
        <x:v>1961669.4806310316</x:v>
      </x:c>
      <x:c r="AM243" s="13" t="n">
        <x:f t="shared" si="304">IF($B243&lt;AM$8,0,AM$3+(AM$4-AM$3)*(POWER(AM$5,$B243-AM$8)-1)/(POWER(AM$5,$C$5-AM$8)-1))</x:f>
        <x:v>47.02780022230518</x:v>
      </x:c>
      <x:c r="AN243" s="13" t="n">
        <x:f>(((E243*'模块规划'!$D$10+G243*'模块规划'!$D$11+H243*'模块规划'!$D$13)*(1+'模块规划'!$G$14*H243)+(I243*'模块规划'!$D$15+J243*'模块规划'!$D$17+K243*'模块规划'!$D$16+L243*'模块规划'!$D$18))*(1+'模块规划'!$J$17*J243))*F243/(1-Q243)</x:f>
        <x:v>2499760.4214552296</x:v>
      </x:c>
      <x:c r="AO243" s="1" t="n">
        <x:f t="shared" si="305">AL243*AM243</x:f>
        <x:v>92253000.43730931</x:v>
      </x:c>
      <x:c r="AP243" s="1" t="n">
        <x:f>IF(AO243="","",INDEX('_曲线基线'!$A$3:$A$502,MIN(ROWS('_曲线基线'!$A$3:$A$502),COUNTIF('_曲线基线'!$E$3:$E$502,"&lt;"&amp;AO243)+1)))</x:f>
        <x:v>287</x:v>
      </x:c>
      <x:c r="AQ243" s="14" t="n">
        <x:f t="shared" si="306">IF(B243&lt;=2,1,IF(B243&lt;=6,2,IF(B243&lt;=9,3,IF(B243&lt;=19,4,5))))</x:f>
        <x:v>5</x:v>
      </x:c>
      <x:c r="AR243" s="10" t="n">
        <x:f t="shared" si="307">AN243*(1-Q243)/F243*$AS$3+U243*$AS$4+P243*$AS$5</x:f>
        <x:v>16290.409300390515</x:v>
      </x:c>
      <x:c r="AS243" s="15" t="n">
        <x:f t="shared" si="308">1+AH243*$AS$6+AI243*$AS$7+(AJ243-1)*$AS$8+($H$10*H243+$I$10*I243+$J$10*J243+$K$10*K243+$L$10*L243)*$AU$3*$AS$9+($H$10*H243+$I$10*I243+$J$10*J243+$K$10*K243+$L$10*L243)*$AU$4*$AS$10</x:f>
        <x:v>16.742008944249164</x:v>
      </x:c>
      <x:c r="AT243" s="16" t="n">
        <x:f t="shared" si="309">ROUND(AR243*AS243,0)</x:f>
        <x:v>272734</x:v>
      </x:c>
      <x:c r="AU243" s="16" t="n">
        <x:f t="shared" si="310">ROUND(AT243*F243,0)</x:f>
        <x:v>1363670</x:v>
      </x:c>
      <x:c r="AV243" t="n">
        <x:f>IF(AU243&gt;0,ROUND(AU243,-MAX(0,INT(LOG10(AU243))-2)),0)</x:f>
        <x:v>1360000</x:v>
      </x:c>
    </x:row>
    <x:row r="244" customHeight="1">
      <x:c r="A244" s="1" t="str">
        <x:f>IFERROR(XLOOKUP(B244,'_曲线基线'!$G$3:$G$107,'_曲线基线'!$J$3:$J$107,""),"")</x:f>
      </x:c>
      <x:c r="B244" s="1" t="n">
        <x:v>233</x:v>
      </x:c>
      <x:c r="C244" s="1" t="n">
        <x:f t="shared" si="349">C229+1</x:f>
        <x:v>16</x:v>
      </x:c>
      <x:c r="D244" s="1" t="n">
        <x:f t="shared" si="350">D229</x:f>
        <x:v>14</x:v>
      </x:c>
      <x:c r="E244" s="1" t="n">
        <x:f t="shared" si="282">IF($B244&lt;E$8,0,E$3+(E$4-E$3)*(POWER(E$5,$B244-E$8)-1)/(POWER(E$5,$C$5-E$8)-1))</x:f>
        <x:v>1</x:v>
      </x:c>
      <x:c r="F244" s="10" t="n">
        <x:f t="shared" si="283">1+IF(B244&lt;3,0,MIN(1,(B244-2)/4))+IF(B244&lt;7,0,MIN(1,(B244-6)/3))+IF(B244&lt;10,0,MIN(1,(B244-9)/5))+IF(B244&lt;20,0,MIN(1,(B244-19)/10))</x:f>
        <x:v>5</x:v>
      </x:c>
      <x:c r="G244" s="11" t="n">
        <x:f t="shared" ref="G244:L244" si="352">'玩家战力_节点'!G244</x:f>
        <x:v>0.84652868180634</x:v>
      </x:c>
      <x:c r="H244" s="11" t="n">
        <x:f t="shared" si="352">'玩家战力_节点'!H244</x:f>
        <x:v>0.6585022710600037</x:v>
      </x:c>
      <x:c r="I244" s="11" t="n">
        <x:f t="shared" si="352">'玩家战力_节点'!I244</x:f>
        <x:v>0.5959207831455624</x:v>
      </x:c>
      <x:c r="J244" s="11" t="n">
        <x:f t="shared" si="352">'玩家战力_节点'!J244</x:f>
        <x:v>0.555263234420197</x:v>
      </x:c>
      <x:c r="K244" s="11" t="n">
        <x:f t="shared" si="352">'玩家战力_节点'!K244</x:f>
        <x:v>0.5823814153918273</x:v>
      </x:c>
      <x:c r="L244" s="11" t="n">
        <x:f t="shared" si="352">'玩家战力_节点'!L244</x:f>
        <x:v>0.6568044999908587</x:v>
      </x:c>
      <x:c r="M244" s="2" t="n">
        <x:f>E244*'模块规划'!$F$10+G244*'模块规划'!$F$11+H244*'模块规划'!$F$13</x:f>
        <x:v>5063.337672670432</x:v>
      </x:c>
      <x:c r="N244" s="2" t="n">
        <x:f>I244*'模块规划'!$F$15+J244*'模块规划'!$F$17+K244*'模块规划'!$F$16+L244*'模块规划'!$F$18</x:f>
        <x:v>17098.309601671725</x:v>
      </x:c>
      <x:c r="O244" s="2" t="n">
        <x:f t="shared" si="285">1+O$9*SUMPRODUCT($H$10:$L$10,H244:L244)/SUM($H$10:$L$10)</x:f>
        <x:v>3.2346477693359907</x:v>
      </x:c>
      <x:c r="P244" s="12" t="n">
        <x:f t="shared" si="286">M244*O244+N244</x:f>
        <x:v>33476.42350997002</x:v>
      </x:c>
      <x:c r="Q244" s="7" t="n">
        <x:f>P244/(P244+'_曲线基线'!$L$2)</x:f>
        <x:v>0.5824374842001626</x:v>
      </x:c>
      <x:c r="R244" s="2" t="n">
        <x:f>E244*'模块规划'!$E$10+G244*'模块规划'!$E$11+H244*'模块规划'!$E$13</x:f>
        <x:v>7595.006509005648</x:v>
      </x:c>
      <x:c r="S244" s="2" t="n">
        <x:f>I244*'模块规划'!$E$15+J244*'模块规划'!$E$17+K244*'模块规划'!$E$16+L244*'模块规划'!$E$18</x:f>
        <x:v>25647.46440250759</x:v>
      </x:c>
      <x:c r="T244" s="2" t="n">
        <x:f t="shared" si="287">1+T$9*SUMPRODUCT($H$10:$L$10,H244:L244)/SUM($H$10:$L$10)</x:f>
        <x:v>3.2346477693359907</x:v>
      </x:c>
      <x:c r="U244" s="12" t="n">
        <x:f t="shared" si="288">R244*T244+S244</x:f>
        <x:v>50214.63526495504</x:v>
      </x:c>
      <x:c r="V244" s="2" t="n">
        <x:f t="shared" si="289">V$8+(V$9-V$8)*H244</x:f>
        <x:v>0.8975506813180011</x:v>
      </x:c>
      <x:c r="W244" s="2" t="n">
        <x:f t="shared" si="290">IF(B244&lt;$H$8,0,W$8+(W$9-W$8)*H244)</x:f>
        <x:v>0.2634009084240015</x:v>
      </x:c>
      <x:c r="X244" s="2" t="n">
        <x:f t="shared" si="291">X$8+(X$9-X$8)*H244</x:f>
        <x:v>0.45608812454150105</x:v>
      </x:c>
      <x:c r="Y244" s="2" t="n">
        <x:f t="shared" si="292">Y$8+(Y$9-Y$8)*G244</x:f>
        <x:v>1</x:v>
      </x:c>
      <x:c r="Z244" s="2" t="n">
        <x:f t="shared" si="293">Z$8+(Z$9-Z$8)*H244</x:f>
        <x:v>1</x:v>
      </x:c>
      <x:c r="AA244" s="2" t="n">
        <x:f t="shared" si="294">AA$8+(AA$9-AA$8)*I244</x:f>
        <x:v>1</x:v>
      </x:c>
      <x:c r="AB244" s="2" t="n">
        <x:f t="shared" si="295">AB$8+(AB$9-AB$8)*J244</x:f>
        <x:v>1</x:v>
      </x:c>
      <x:c r="AC244" s="2" t="n">
        <x:f t="shared" si="296">AC$8+(AC$9-AC$8)*MAX(K244,L244)</x:f>
        <x:v>1</x:v>
      </x:c>
      <x:c r="AD244" s="1" t="n">
        <x:f t="shared" si="297">(V244*AE244+W244*AF244+X244*AG244)*PRODUCT(Y244:AC244)</x:f>
        <x:v>1.8284070953564715</x:v>
      </x:c>
      <x:c r="AE244" s="2" t="n">
        <x:f t="shared" si="298">1+AE$9*($H$10*H244+$I$10*I244+$J$10*J244+$K$10*K244+$L$10*L244)</x:f>
        <x:v>1</x:v>
      </x:c>
      <x:c r="AF244" s="2" t="n">
        <x:f t="shared" si="299">1+AF$9*($H$10*H244+$I$10*I244+$J$10*J244+$K$10*K244+$L$10*L244)</x:f>
        <x:v>1.1972280217470632</x:v>
      </x:c>
      <x:c r="AG244" s="2" t="n">
        <x:f t="shared" si="300">1+AG$9*($H$10*H244+$I$10*I244+$J$10*J244+$K$10*K244+$L$10*L244)</x:f>
        <x:v>1.349531882985076</x:v>
      </x:c>
      <x:c r="AH244" s="2" t="n">
        <x:f>MIN(1,'_曲线基线'!$L$3+AH$9*($H$10*H244+$I$10*I244+$J$10*J244+$K$10*K244+$L$10*L244))</x:f>
        <x:v>0.49869374947456857</x:v>
      </x:c>
      <x:c r="AI244" s="2" t="n">
        <x:f>'_曲线基线'!$L$4+AI$9*($H$10*H244+$I$10*I244+$J$10*J244+$K$10*K244+$L$10*L244)</x:f>
        <x:v>3.2499325878220127</x:v>
      </x:c>
      <x:c r="AJ244" s="2" t="n">
        <x:f t="shared" si="301">1+AJ$9*($H$10*H244+$I$10*I244+$J$10*J244+$K$10*K244+$L$10*L244)</x:f>
        <x:v>2.0255857130847286</x:v>
      </x:c>
      <x:c r="AK244" s="1" t="n">
        <x:f t="shared" si="302">(1+AH244*(AI244-1))*AJ244</x:f>
        <x:v>4.298348218695578</x:v>
      </x:c>
      <x:c r="AL244" s="1" t="n">
        <x:f t="shared" si="303">U244*AD244*AK244*F244</x:f>
        <x:v>1973216.8280025753</x:v>
      </x:c>
      <x:c r="AM244" s="13" t="n">
        <x:f t="shared" si="304">IF($B244&lt;AM$8,0,AM$3+(AM$4-AM$3)*(POWER(AM$5,$B244-AM$8)-1)/(POWER(AM$5,$C$5-AM$8)-1))</x:f>
        <x:v>47.16150286445011</x:v>
      </x:c>
      <x:c r="AN244" s="13" t="n">
        <x:f>(((E244*'模块规划'!$D$10+G244*'模块规划'!$D$11+H244*'模块规划'!$D$13)*(1+'模块规划'!$G$14*H244)+(I244*'模块规划'!$D$15+J244*'模块规划'!$D$17+K244*'模块规划'!$D$16+L244*'模块规划'!$D$18))*(1+'模块规划'!$J$17*J244))*F244/(1-Q244)</x:f>
        <x:v>2510317.5944726556</x:v>
      </x:c>
      <x:c r="AO244" s="1" t="n">
        <x:f t="shared" si="305">AL244*AM244</x:f>
        <x:v>93059871.08602461</x:v>
      </x:c>
      <x:c r="AP244" s="1" t="n">
        <x:f>IF(AO244="","",INDEX('_曲线基线'!$A$3:$A$502,MIN(ROWS('_曲线基线'!$A$3:$A$502),COUNTIF('_曲线基线'!$E$3:$E$502,"&lt;"&amp;AO244)+1)))</x:f>
        <x:v>288</x:v>
      </x:c>
      <x:c r="AQ244" s="14" t="n">
        <x:f t="shared" si="306">IF(B244&lt;=2,1,IF(B244&lt;=6,2,IF(B244&lt;=9,3,IF(B244&lt;=19,4,5))))</x:f>
        <x:v>5</x:v>
      </x:c>
      <x:c r="AR244" s="10" t="n">
        <x:f t="shared" si="307">AN244*(1-Q244)/F244*$AS$3+U244*$AS$4+P244*$AS$5</x:f>
        <x:v>16332.214234218594</x:v>
      </x:c>
      <x:c r="AS244" s="15" t="n">
        <x:f t="shared" si="308">1+AH244*$AS$6+AI244*$AS$7+(AJ244-1)*$AS$8+($H$10*H244+$I$10*I244+$J$10*J244+$K$10*K244+$L$10*L244)*$AU$3*$AS$9+($H$10*H244+$I$10*I244+$J$10*J244+$K$10*K244+$L$10*L244)*$AU$4*$AS$10</x:f>
        <x:v>16.76617839972673</x:v>
      </x:c>
      <x:c r="AT244" s="16" t="n">
        <x:f t="shared" si="309">ROUND(AR244*AS244,0)</x:f>
        <x:v>273829</x:v>
      </x:c>
      <x:c r="AU244" s="16" t="n">
        <x:f t="shared" si="310">ROUND(AT244*F244,0)</x:f>
        <x:v>1369145</x:v>
      </x:c>
      <x:c r="AV244" t="n">
        <x:f>IF(AU244&gt;0,ROUND(AU244,-MAX(0,INT(LOG10(AU244))-2)),0)</x:f>
        <x:v>1370000</x:v>
      </x:c>
    </x:row>
    <x:row r="245" customHeight="1">
      <x:c r="A245" s="1" t="str">
        <x:f>IFERROR(XLOOKUP(B245,'_曲线基线'!$G$3:$G$107,'_曲线基线'!$J$3:$J$107,""),"")</x:f>
      </x:c>
      <x:c r="B245" s="1" t="n">
        <x:v>234</x:v>
      </x:c>
      <x:c r="C245" s="1" t="n">
        <x:f t="shared" si="349">C230+1</x:f>
        <x:v>16</x:v>
      </x:c>
      <x:c r="D245" s="1" t="n">
        <x:f t="shared" si="350">D230</x:f>
        <x:v>15</x:v>
      </x:c>
      <x:c r="E245" s="1" t="n">
        <x:f t="shared" si="282">IF($B245&lt;E$8,0,E$3+(E$4-E$3)*(POWER(E$5,$B245-E$8)-1)/(POWER(E$5,$C$5-E$8)-1))</x:f>
        <x:v>1</x:v>
      </x:c>
      <x:c r="F245" s="10" t="n">
        <x:f t="shared" si="283">1+IF(B245&lt;3,0,MIN(1,(B245-2)/4))+IF(B245&lt;7,0,MIN(1,(B245-6)/3))+IF(B245&lt;10,0,MIN(1,(B245-9)/5))+IF(B245&lt;20,0,MIN(1,(B245-19)/10))</x:f>
        <x:v>5</x:v>
      </x:c>
      <x:c r="G245" s="11" t="n">
        <x:f t="shared" ref="G245:L245" si="353">'玩家战力_节点'!G245</x:f>
        <x:v>0.8478094328996881</x:v>
      </x:c>
      <x:c r="H245" s="11" t="n">
        <x:f t="shared" si="353">'玩家战力_节点'!H245</x:f>
        <x:v>0.659470285567419</x:v>
      </x:c>
      <x:c r="I245" s="11" t="n">
        <x:f t="shared" si="353">'玩家战力_节点'!I245</x:f>
        <x:v>0.5972658325302617</x:v>
      </x:c>
      <x:c r="J245" s="11" t="n">
        <x:f t="shared" si="353">'玩家战力_节点'!J245</x:f>
        <x:v>0.5563208864144079</x:v>
      </x:c>
      <x:c r="K245" s="11" t="n">
        <x:f t="shared" si="353">'玩家战力_节点'!K245</x:f>
        <x:v>0.5842069892677983</x:v>
      </x:c>
      <x:c r="L245" s="11" t="n">
        <x:f t="shared" si="353">'玩家战力_节点'!L245</x:f>
        <x:v>0.6578224183865231</x:v>
      </x:c>
      <x:c r="M245" s="2" t="n">
        <x:f>E245*'模块规划'!$F$10+G245*'模块规划'!$F$11+H245*'模块规划'!$F$13</x:f>
        <x:v>5069.485277918503</x:v>
      </x:c>
      <x:c r="N245" s="2" t="n">
        <x:f>I245*'模块规划'!$F$15+J245*'模块规划'!$F$17+K245*'模块规划'!$F$16+L245*'模块规划'!$F$18</x:f>
        <x:v>17135.68955192558</x:v>
      </x:c>
      <x:c r="O245" s="2" t="n">
        <x:f t="shared" si="285">1+O$9*SUMPRODUCT($H$10:$L$10,H245:L245)/SUM($H$10:$L$10)</x:f>
        <x:v>3.239230888585116</x:v>
      </x:c>
      <x:c r="P245" s="12" t="n">
        <x:f t="shared" si="286">M245*O245+N245</x:f>
        <x:v>33556.9228533867</x:v>
      </x:c>
      <x:c r="Q245" s="7" t="n">
        <x:f>P245/(P245+'_曲线基线'!$L$2)</x:f>
        <x:v>0.5830214888114398</x:v>
      </x:c>
      <x:c r="R245" s="2" t="n">
        <x:f>E245*'模块规划'!$E$10+G245*'模块规划'!$E$11+H245*'模块规划'!$E$13</x:f>
        <x:v>7604.227916877755</x:v>
      </x:c>
      <x:c r="S245" s="2" t="n">
        <x:f>I245*'模块规划'!$E$15+J245*'模块规划'!$E$17+K245*'模块规划'!$E$16+L245*'模块规划'!$E$18</x:f>
        <x:v>25703.534327888367</x:v>
      </x:c>
      <x:c r="T245" s="2" t="n">
        <x:f t="shared" si="287">1+T$9*SUMPRODUCT($H$10:$L$10,H245:L245)/SUM($H$10:$L$10)</x:f>
        <x:v>3.239230888585116</x:v>
      </x:c>
      <x:c r="U245" s="12" t="n">
        <x:f t="shared" si="288">R245*T245+S245</x:f>
        <x:v>50335.38428008005</x:v>
      </x:c>
      <x:c r="V245" s="2" t="n">
        <x:f t="shared" si="289">V$8+(V$9-V$8)*H245</x:f>
        <x:v>0.8978410856702257</x:v>
      </x:c>
      <x:c r="W245" s="2" t="n">
        <x:f t="shared" si="290">IF(B245&lt;$H$8,0,W$8+(W$9-W$8)*H245)</x:f>
        <x:v>0.26378811422696763</x:v>
      </x:c>
      <x:c r="X245" s="2" t="n">
        <x:f t="shared" si="291">X$8+(X$9-X$8)*H245</x:f>
        <x:v>0.4563543285310403</x:v>
      </x:c>
      <x:c r="Y245" s="2" t="n">
        <x:f t="shared" si="292">Y$8+(Y$9-Y$8)*G245</x:f>
        <x:v>1</x:v>
      </x:c>
      <x:c r="Z245" s="2" t="n">
        <x:f t="shared" si="293">Z$8+(Z$9-Z$8)*H245</x:f>
        <x:v>1</x:v>
      </x:c>
      <x:c r="AA245" s="2" t="n">
        <x:f t="shared" si="294">AA$8+(AA$9-AA$8)*I245</x:f>
        <x:v>1</x:v>
      </x:c>
      <x:c r="AB245" s="2" t="n">
        <x:f t="shared" si="295">AB$8+(AB$9-AB$8)*J245</x:f>
        <x:v>1</x:v>
      </x:c>
      <x:c r="AC245" s="2" t="n">
        <x:f t="shared" si="296">AC$8+(AC$9-AC$8)*MAX(K245,L245)</x:f>
        <x:v>1</x:v>
      </x:c>
      <x:c r="AD245" s="1" t="n">
        <x:f t="shared" si="297">(V245*AE245+W245*AF245+X245*AG245)*PRODUCT(Y245:AC245)</x:f>
        <x:v>1.8299541725178683</x:v>
      </x:c>
      <x:c r="AE245" s="2" t="n">
        <x:f t="shared" si="298">1+AE$9*($H$10*H245+$I$10*I245+$J$10*J245+$K$10*K245+$L$10*L245)</x:f>
        <x:v>1</x:v>
      </x:c>
      <x:c r="AF245" s="2" t="n">
        <x:f t="shared" si="299">1+AF$9*($H$10*H245+$I$10*I245+$J$10*J245+$K$10*K245+$L$10*L245)</x:f>
        <x:v>1.1976325237698606</x:v>
      </x:c>
      <x:c r="AG245" s="2" t="n">
        <x:f t="shared" si="300">1+AG$9*($H$10*H245+$I$10*I245+$J$10*J245+$K$10*K245+$L$10*L245)</x:f>
        <x:v>1.3502487504588112</x:v>
      </x:c>
      <x:c r="AH245" s="2" t="n">
        <x:f>MIN(1,'_曲线基线'!$L$3+AH$9*($H$10*H245+$I$10*I245+$J$10*J245+$K$10*K245+$L$10*L245))</x:f>
        <x:v>0.49961399157643244</x:v>
      </x:c>
      <x:c r="AI245" s="2" t="n">
        <x:f>'_曲线基线'!$L$4+AI$9*($H$10*H245+$I$10*I245+$J$10*J245+$K$10*K245+$L$10*L245)</x:f>
        <x:v>3.2524961193914903</x:v>
      </x:c>
      <x:c r="AJ245" s="2" t="n">
        <x:f t="shared" si="301">1+AJ$9*($H$10*H245+$I$10*I245+$J$10*J245+$K$10*K245+$L$10*L245)</x:f>
        <x:v>2.0276891236032744</x:v>
      </x:c>
      <x:c r="AK245" s="1" t="n">
        <x:f t="shared" si="302">(1+AH245*(AI245-1))*AJ245</x:f>
        <x:v>4.309607024567598</x:v>
      </x:c>
      <x:c r="AL245" s="1" t="n">
        <x:f t="shared" si="303">U245*AD245*AK245*F245</x:f>
        <x:v>1984820.6841522562</x:v>
      </x:c>
      <x:c r="AM245" s="13" t="n">
        <x:f t="shared" si="304">IF($B245&lt;AM$8,0,AM$3+(AM$4-AM$3)*(POWER(AM$5,$B245-AM$8)-1)/(POWER(AM$5,$C$5-AM$8)-1))</x:f>
        <x:v>47.29654253301648</x:v>
      </x:c>
      <x:c r="AN245" s="13" t="n">
        <x:f>(((E245*'模块规划'!$D$10+G245*'模块规划'!$D$11+H245*'模块规划'!$D$13)*(1+'模块规划'!$G$14*H245)+(I245*'模块规划'!$D$15+J245*'模块规划'!$D$17+K245*'模块规划'!$D$16+L245*'模块规划'!$D$18))*(1+'模块规划'!$J$17*J245))*F245/(1-Q245)</x:f>
        <x:v>2520905.900208281</x:v>
      </x:c>
      <x:c r="AO245" s="1" t="n">
        <x:f t="shared" si="305">AL245*AM245</x:f>
        <x:v>93875155.90841804</x:v>
      </x:c>
      <x:c r="AP245" s="1" t="n">
        <x:f>IF(AO245="","",INDEX('_曲线基线'!$A$3:$A$502,MIN(ROWS('_曲线基线'!$A$3:$A$502),COUNTIF('_曲线基线'!$E$3:$E$502,"&lt;"&amp;AO245)+1)))</x:f>
        <x:v>288</x:v>
      </x:c>
      <x:c r="AQ245" s="14" t="n">
        <x:f t="shared" si="306">IF(B245&lt;=2,1,IF(B245&lt;=6,2,IF(B245&lt;=9,3,IF(B245&lt;=19,4,5))))</x:f>
        <x:v>5</x:v>
      </x:c>
      <x:c r="AR245" s="10" t="n">
        <x:f t="shared" si="307">AN245*(1-Q245)/F245*$AS$3+U245*$AS$4+P245*$AS$5</x:f>
        <x:v>16374.058390707847</x:v>
      </x:c>
      <x:c r="AS245" s="15" t="n">
        <x:f t="shared" si="308">1+AH245*$AS$6+AI245*$AS$7+(AJ245-1)*$AS$8+($H$10*H245+$I$10*I245+$J$10*J245+$K$10*K245+$L$10*L245)*$AU$3*$AS$9+($H$10*H245+$I$10*I245+$J$10*J245+$K$10*K245+$L$10*L245)*$AU$4*$AS$10</x:f>
        <x:v>16.790347855204296</x:v>
      </x:c>
      <x:c r="AT245" s="16" t="n">
        <x:f t="shared" si="309">ROUND(AR245*AS245,0)</x:f>
        <x:v>274926</x:v>
      </x:c>
      <x:c r="AU245" s="16" t="n">
        <x:f t="shared" si="310">ROUND(AT245*F245,0)</x:f>
        <x:v>1374630</x:v>
      </x:c>
      <x:c r="AV245" t="n">
        <x:f>IF(AU245&gt;0,ROUND(AU245,-MAX(0,INT(LOG10(AU245))-2)),0)</x:f>
        <x:v>1370000</x:v>
      </x:c>
    </x:row>
    <x:row r="246" customHeight="1">
      <x:c r="A246" s="1" t="str">
        <x:f>IFERROR(XLOOKUP(B246,'_曲线基线'!$G$3:$G$107,'_曲线基线'!$J$3:$J$107,""),"")</x:f>
      </x:c>
      <x:c r="B246" s="1" t="n">
        <x:v>235</x:v>
      </x:c>
      <x:c r="C246" s="1" t="n">
        <x:f t="shared" si="349">C231+1</x:f>
        <x:v>17</x:v>
      </x:c>
      <x:c r="D246" s="1" t="n">
        <x:f t="shared" si="350">D231</x:f>
        <x:v>1</x:v>
      </x:c>
      <x:c r="E246" s="1" t="n">
        <x:f t="shared" si="282">IF($B246&lt;E$8,0,E$3+(E$4-E$3)*(POWER(E$5,$B246-E$8)-1)/(POWER(E$5,$C$5-E$8)-1))</x:f>
        <x:v>1</x:v>
      </x:c>
      <x:c r="F246" s="10" t="n">
        <x:f t="shared" si="283">1+IF(B246&lt;3,0,MIN(1,(B246-2)/4))+IF(B246&lt;7,0,MIN(1,(B246-6)/3))+IF(B246&lt;10,0,MIN(1,(B246-9)/5))+IF(B246&lt;20,0,MIN(1,(B246-19)/10))</x:f>
        <x:v>5</x:v>
      </x:c>
      <x:c r="G246" s="11" t="n">
        <x:f t="shared" ref="G246:L246" si="354">'玩家战力_节点'!G246</x:f>
        <x:v>0.8490532845352392</x:v>
      </x:c>
      <x:c r="H246" s="11" t="n">
        <x:f t="shared" si="354">'玩家战力_节点'!H246</x:f>
        <x:v>0.6604163798458846</x:v>
      </x:c>
      <x:c r="I246" s="11" t="n">
        <x:f t="shared" si="354">'玩家战力_节点'!I246</x:f>
        <x:v>0.5985545213019299</x:v>
      </x:c>
      <x:c r="J246" s="11" t="n">
        <x:f t="shared" si="354">'玩家战力_节点'!J246</x:f>
        <x:v>0.5573502228698907</x:v>
      </x:c>
      <x:c r="K246" s="11" t="n">
        <x:f t="shared" si="354">'玩家战力_节点'!K246</x:f>
        <x:v>0.5859142608315256</x:v>
      </x:c>
      <x:c r="L246" s="11" t="n">
        <x:f t="shared" si="354">'玩家战力_节点'!L246</x:f>
        <x:v>0.6588140931121469</x:v>
      </x:c>
      <x:c r="M246" s="2" t="n">
        <x:f>E246*'模块规划'!$F$10+G246*'模块规划'!$F$11+H246*'模块规划'!$F$13</x:f>
        <x:v>5075.455765769148</x:v>
      </x:c>
      <x:c r="N246" s="2" t="n">
        <x:f>I246*'模块规划'!$F$15+J246*'模块规划'!$F$17+K246*'模块规划'!$F$16+L246*'模块规划'!$F$18</x:f>
        <x:v>17171.494429664235</x:v>
      </x:c>
      <x:c r="O246" s="2" t="n">
        <x:f t="shared" si="285">1+O$9*SUMPRODUCT($H$10:$L$10,H246:L246)/SUM($H$10:$L$10)</x:f>
        <x:v>3.243638421176254</x:v>
      </x:c>
      <x:c r="P246" s="12" t="n">
        <x:f t="shared" si="286">M246*O246+N246</x:f>
        <x:v>33634.437756493586</x:v>
      </x:c>
      <x:c r="Q246" s="7" t="n">
        <x:f>P246/(P246+'_曲线基线'!$L$2)</x:f>
        <x:v>0.5835823001969693</x:v>
      </x:c>
      <x:c r="R246" s="2" t="n">
        <x:f>E246*'模块规划'!$E$10+G246*'模块规划'!$E$11+H246*'模块规划'!$E$13</x:f>
        <x:v>7613.183648653722</x:v>
      </x:c>
      <x:c r="S246" s="2" t="n">
        <x:f>I246*'模块规划'!$E$15+J246*'模块规划'!$E$17+K246*'模块规划'!$E$16+L246*'模块规划'!$E$18</x:f>
        <x:v>25757.241644496353</x:v>
      </x:c>
      <x:c r="T246" s="2" t="n">
        <x:f t="shared" si="287">1+T$9*SUMPRODUCT($H$10:$L$10,H246:L246)/SUM($H$10:$L$10)</x:f>
        <x:v>3.243638421176254</x:v>
      </x:c>
      <x:c r="U246" s="12" t="n">
        <x:f t="shared" si="288">R246*T246+S246</x:f>
        <x:v>50451.656634740386</x:v>
      </x:c>
      <x:c r="V246" s="2" t="n">
        <x:f t="shared" si="289">V$8+(V$9-V$8)*H246</x:f>
        <x:v>0.8981249139537654</x:v>
      </x:c>
      <x:c r="W246" s="2" t="n">
        <x:f t="shared" si="290">IF(B246&lt;$H$8,0,W$8+(W$9-W$8)*H246)</x:f>
        <x:v>0.26416655193835387</x:v>
      </x:c>
      <x:c r="X246" s="2" t="n">
        <x:f t="shared" si="291">X$8+(X$9-X$8)*H246</x:f>
        <x:v>0.4566145044576183</x:v>
      </x:c>
      <x:c r="Y246" s="2" t="n">
        <x:f t="shared" si="292">Y$8+(Y$9-Y$8)*G246</x:f>
        <x:v>1</x:v>
      </x:c>
      <x:c r="Z246" s="2" t="n">
        <x:f t="shared" si="293">Z$8+(Z$9-Z$8)*H246</x:f>
        <x:v>1</x:v>
      </x:c>
      <x:c r="AA246" s="2" t="n">
        <x:f t="shared" si="294">AA$8+(AA$9-AA$8)*I246</x:f>
        <x:v>1</x:v>
      </x:c>
      <x:c r="AB246" s="2" t="n">
        <x:f t="shared" si="295">AB$8+(AB$9-AB$8)*J246</x:f>
        <x:v>1</x:v>
      </x:c>
      <x:c r="AC246" s="2" t="n">
        <x:f t="shared" si="296">AC$8+(AC$9-AC$8)*MAX(K246,L246)</x:f>
        <x:v>1</x:v>
      </x:c>
      <x:c r="AD246" s="1" t="n">
        <x:f t="shared" si="297">(V246*AE246+W246*AF246+X246*AG246)*PRODUCT(Y246:AC246)</x:f>
        <x:v>1.8314600858842938</x:v>
      </x:c>
      <x:c r="AE246" s="2" t="n">
        <x:f t="shared" si="298">1+AE$9*($H$10*H246+$I$10*I246+$J$10*J246+$K$10*K246+$L$10*L246)</x:f>
        <x:v>1</x:v>
      </x:c>
      <x:c r="AF246" s="2" t="n">
        <x:f t="shared" si="299">1+AF$9*($H$10*H246+$I$10*I246+$J$10*J246+$K$10*K246+$L$10*L246)</x:f>
        <x:v>1.1980215286706168</x:v>
      </x:c>
      <x:c r="AG246" s="2" t="n">
        <x:f t="shared" si="300">1+AG$9*($H$10*H246+$I$10*I246+$J$10*J246+$K$10*K246+$L$10*L246)</x:f>
        <x:v>1.3509381535884848</x:v>
      </x:c>
      <x:c r="AH246" s="2" t="n">
        <x:f>MIN(1,'_曲线基线'!$L$3+AH$9*($H$10*H246+$I$10*I246+$J$10*J246+$K$10*K246+$L$10*L246))</x:f>
        <x:v>0.500498977725653</x:v>
      </x:c>
      <x:c r="AI246" s="2" t="n">
        <x:f>'_曲线基线'!$L$4+AI$9*($H$10*H246+$I$10*I246+$J$10*J246+$K$10*K246+$L$10*L246)</x:f>
        <x:v>3.2549614379500333</x:v>
      </x:c>
      <x:c r="AJ246" s="2" t="n">
        <x:f t="shared" si="301">1+AJ$9*($H$10*H246+$I$10*I246+$J$10*J246+$K$10*K246+$L$10*L246)</x:f>
        <x:v>2.029711949087207</x:v>
      </x:c>
      <x:c r="AK246" s="1" t="n">
        <x:f t="shared" si="302">(1+AH246*(AI246-1))*AJ246</x:f>
        <x:v>4.320456818973774</x:v>
      </x:c>
      <x:c r="AL246" s="1" t="n">
        <x:f t="shared" si="303">U246*AD246*AK246*F246</x:f>
        <x:v>1996055.2713067373</x:v>
      </x:c>
      <x:c r="AM246" s="13" t="n">
        <x:f t="shared" si="304">IF($B246&lt;AM$8,0,AM$3+(AM$4-AM$3)*(POWER(AM$5,$B246-AM$8)-1)/(POWER(AM$5,$C$5-AM$8)-1))</x:f>
        <x:v>47.43293259826851</x:v>
      </x:c>
      <x:c r="AN246" s="13" t="n">
        <x:f>(((E246*'模块规划'!$D$10+G246*'模块规划'!$D$11+H246*'模块规划'!$D$13)*(1+'模块规划'!$G$14*H246)+(I246*'模块规划'!$D$15+J246*'模块规划'!$D$17+K246*'模块规划'!$D$16+L246*'模块规划'!$D$18))*(1+'模块规划'!$J$17*J246))*F246/(1-Q246)</x:f>
        <x:v>2531144.1730032023</x:v>
      </x:c>
      <x:c r="AO246" s="1" t="n">
        <x:f t="shared" si="305">AL246*AM246</x:f>
        <x:v>94678755.14631103</x:v>
      </x:c>
      <x:c r="AP246" s="1" t="n">
        <x:f>IF(AO246="","",INDEX('_曲线基线'!$A$3:$A$502,MIN(ROWS('_曲线基线'!$A$3:$A$502),COUNTIF('_曲线基线'!$E$3:$E$502,"&lt;"&amp;AO246)+1)))</x:f>
        <x:v>289</x:v>
      </x:c>
      <x:c r="AQ246" s="14" t="n">
        <x:f t="shared" si="306">IF(B246&lt;=2,1,IF(B246&lt;=6,2,IF(B246&lt;=9,3,IF(B246&lt;=19,4,5))))</x:f>
        <x:v>5</x:v>
      </x:c>
      <x:c r="AR246" s="10" t="n">
        <x:f t="shared" si="307">AN246*(1-Q246)/F246*$AS$3+U246*$AS$4+P246*$AS$5</x:f>
        <x:v>16414.410733299104</x:v>
      </x:c>
      <x:c r="AS246" s="15" t="n">
        <x:f t="shared" si="308">1+AH246*$AS$6+AI246*$AS$7+(AJ246-1)*$AS$8+($H$10*H246+$I$10*I246+$J$10*J246+$K$10*K246+$L$10*L246)*$AU$3*$AS$9+($H$10*H246+$I$10*I246+$J$10*J246+$K$10*K246+$L$10*L246)*$AU$4*$AS$10</x:f>
        <x:v>16.8135913400313</x:v>
      </x:c>
      <x:c r="AT246" s="16" t="n">
        <x:f t="shared" si="309">ROUND(AR246*AS246,0)</x:f>
        <x:v>275985</x:v>
      </x:c>
      <x:c r="AU246" s="16" t="n">
        <x:f t="shared" si="310">ROUND(AT246*F246,0)</x:f>
        <x:v>1379925</x:v>
      </x:c>
      <x:c r="AV246" t="n">
        <x:f>IF(AU246&gt;0,ROUND(AU246,-MAX(0,INT(LOG10(AU246))-2)),0)</x:f>
        <x:v>1380000</x:v>
      </x:c>
    </x:row>
    <x:row r="247" customHeight="1">
      <x:c r="A247" s="1" t="str">
        <x:f>IFERROR(XLOOKUP(B247,'_曲线基线'!$G$3:$G$107,'_曲线基线'!$J$3:$J$107,""),"")</x:f>
      </x:c>
      <x:c r="B247" s="1" t="n">
        <x:v>236</x:v>
      </x:c>
      <x:c r="C247" s="1" t="n">
        <x:f t="shared" si="349">C232+1</x:f>
        <x:v>17</x:v>
      </x:c>
      <x:c r="D247" s="1" t="n">
        <x:f t="shared" si="350">D232</x:f>
        <x:v>2</x:v>
      </x:c>
      <x:c r="E247" s="1" t="n">
        <x:f t="shared" si="282">IF($B247&lt;E$8,0,E$3+(E$4-E$3)*(POWER(E$5,$B247-E$8)-1)/(POWER(E$5,$C$5-E$8)-1))</x:f>
        <x:v>1</x:v>
      </x:c>
      <x:c r="F247" s="10" t="n">
        <x:f t="shared" si="283">1+IF(B247&lt;3,0,MIN(1,(B247-2)/4))+IF(B247&lt;7,0,MIN(1,(B247-6)/3))+IF(B247&lt;10,0,MIN(1,(B247-9)/5))+IF(B247&lt;20,0,MIN(1,(B247-19)/10))</x:f>
        <x:v>5</x:v>
      </x:c>
      <x:c r="G247" s="11" t="n">
        <x:f t="shared" ref="G247:L247" si="355">'玩家战力_节点'!G247</x:f>
        <x:v>0.850264675886671</x:v>
      </x:c>
      <x:c r="H247" s="11" t="n">
        <x:f t="shared" si="355">'玩家战力_节点'!H247</x:f>
        <x:v>0.6613441363348889</x:v>
      </x:c>
      <x:c r="I247" s="11" t="n">
        <x:f t="shared" si="355">'玩家战力_节点'!I247</x:f>
        <x:v>0.5997960605179031</x:v>
      </x:c>
      <x:c r="J247" s="11" t="n">
        <x:f t="shared" si="355">'玩家战力_节点'!J247</x:f>
        <x:v>0.5583558714164136</x:v>
      </x:c>
      <x:c r="K247" s="11" t="n">
        <x:f t="shared" si="355">'玩家战力_节点'!K247</x:f>
        <x:v>0.5875225643187896</x:v>
      </x:c>
      <x:c r="L247" s="11" t="n">
        <x:f t="shared" si="355">'玩家战力_节点'!L247</x:f>
        <x:v>0.659783813190442</x:v>
      </x:c>
      <x:c r="M247" s="2" t="n">
        <x:f>E247*'模块规划'!$F$10+G247*'模块规划'!$F$11+H247*'模块规划'!$F$13</x:f>
        <x:v>5081.270444256021</x:v>
      </x:c>
      <x:c r="N247" s="2" t="n">
        <x:f>I247*'模块规划'!$F$15+J247*'模块规划'!$F$17+K247*'模块规划'!$F$16+L247*'模块规划'!$F$18</x:f>
        <x:v>17205.98165017231</x:v>
      </x:c>
      <x:c r="O247" s="2" t="n">
        <x:f t="shared" si="285">1+O$9*SUMPRODUCT($H$10:$L$10,H247:L247)/SUM($H$10:$L$10)</x:f>
        <x:v>3.247899063368846</x:v>
      </x:c>
      <x:c r="P247" s="12" t="n">
        <x:f t="shared" si="286">M247*O247+N247</x:f>
        <x:v>33709.43516679524</x:v>
      </x:c>
      <x:c r="Q247" s="7" t="n">
        <x:f>P247/(P247+'_曲线基线'!$L$2)</x:f>
        <x:v>0.5841234638558882</x:v>
      </x:c>
      <x:c r="R247" s="2" t="n">
        <x:f>E247*'模块规划'!$E$10+G247*'模块规划'!$E$11+H247*'模块规划'!$E$13</x:f>
        <x:v>7621.905666384031</x:v>
      </x:c>
      <x:c r="S247" s="2" t="n">
        <x:f>I247*'模块规划'!$E$15+J247*'模块规划'!$E$17+K247*'模块规划'!$E$16+L247*'模块规划'!$E$18</x:f>
        <x:v>25808.97247525846</x:v>
      </x:c>
      <x:c r="T247" s="2" t="n">
        <x:f t="shared" si="287">1+T$9*SUMPRODUCT($H$10:$L$10,H247:L247)/SUM($H$10:$L$10)</x:f>
        <x:v>3.247899063368846</x:v>
      </x:c>
      <x:c r="U247" s="12" t="n">
        <x:f t="shared" si="288">R247*T247+S247</x:f>
        <x:v>50564.15275019285</x:v>
      </x:c>
      <x:c r="V247" s="2" t="n">
        <x:f t="shared" si="289">V$8+(V$9-V$8)*H247</x:f>
        <x:v>0.8984032409004666</x:v>
      </x:c>
      <x:c r="W247" s="2" t="n">
        <x:f t="shared" si="290">IF(B247&lt;$H$8,0,W$8+(W$9-W$8)*H247)</x:f>
        <x:v>0.26453765453395556</x:v>
      </x:c>
      <x:c r="X247" s="2" t="n">
        <x:f t="shared" si="291">X$8+(X$9-X$8)*H247</x:f>
        <x:v>0.45686963749209447</x:v>
      </x:c>
      <x:c r="Y247" s="2" t="n">
        <x:f t="shared" si="292">Y$8+(Y$9-Y$8)*G247</x:f>
        <x:v>1</x:v>
      </x:c>
      <x:c r="Z247" s="2" t="n">
        <x:f t="shared" si="293">Z$8+(Z$9-Z$8)*H247</x:f>
        <x:v>1</x:v>
      </x:c>
      <x:c r="AA247" s="2" t="n">
        <x:f t="shared" si="294">AA$8+(AA$9-AA$8)*I247</x:f>
        <x:v>1</x:v>
      </x:c>
      <x:c r="AB247" s="2" t="n">
        <x:f t="shared" si="295">AB$8+(AB$9-AB$8)*J247</x:f>
        <x:v>1</x:v>
      </x:c>
      <x:c r="AC247" s="2" t="n">
        <x:f t="shared" si="296">AC$8+(AC$9-AC$8)*MAX(K247,L247)</x:f>
        <x:v>1</x:v>
      </x:c>
      <x:c r="AD247" s="1" t="n">
        <x:f t="shared" si="297">(V247*AE247+W247*AF247+X247*AG247)*PRODUCT(Y247:AC247)</x:f>
        <x:v>1.8329316179490935</x:v>
      </x:c>
      <x:c r="AE247" s="2" t="n">
        <x:f t="shared" si="298">1+AE$9*($H$10*H247+$I$10*I247+$J$10*J247+$K$10*K247+$L$10*L247)</x:f>
        <x:v>1</x:v>
      </x:c>
      <x:c r="AF247" s="2" t="n">
        <x:f t="shared" si="299">1+AF$9*($H$10*H247+$I$10*I247+$J$10*J247+$K$10*K247+$L$10*L247)</x:f>
        <x:v>1.198397569155631</x:v>
      </x:c>
      <x:c r="AG247" s="2" t="n">
        <x:f t="shared" si="300">1+AG$9*($H$10*H247+$I$10*I247+$J$10*J247+$K$10*K247+$L$10*L247)</x:f>
        <x:v>1.3516045808924821</x:v>
      </x:c>
      <x:c r="AH247" s="2" t="n">
        <x:f>MIN(1,'_曲线基线'!$L$3+AH$9*($H$10*H247+$I$10*I247+$J$10*J247+$K$10*K247+$L$10*L247))</x:f>
        <x:v>0.5013544698290603</x:v>
      </x:c>
      <x:c r="AI247" s="2" t="n">
        <x:f>'_曲线基线'!$L$4+AI$9*($H$10*H247+$I$10*I247+$J$10*J247+$K$10*K247+$L$10*L247)</x:f>
        <x:v>3.257344594523811</x:v>
      </x:c>
      <x:c r="AJ247" s="2" t="n">
        <x:f t="shared" si="301">1+AJ$9*($H$10*H247+$I$10*I247+$J$10*J247+$K$10*K247+$L$10*L247)</x:f>
        <x:v>2.0316673596092807</x:v>
      </x:c>
      <x:c r="AK247" s="1" t="n">
        <x:f t="shared" si="302">(1+AH247*(AI247-1))*AJ247</x:f>
        <x:v>4.330965859060666</x:v>
      </x:c>
      <x:c r="AL247" s="1" t="n">
        <x:f t="shared" si="303">U247*AD247*AK247*F247</x:f>
        <x:v>2006983.3149772575</x:v>
      </x:c>
      <x:c r="AM247" s="13" t="n">
        <x:f t="shared" si="304">IF($B247&lt;AM$8,0,AM$3+(AM$4-AM$3)*(POWER(AM$5,$B247-AM$8)-1)/(POWER(AM$5,$C$5-AM$8)-1))</x:f>
        <x:v>47.57068656417306</x:v>
      </x:c>
      <x:c r="AN247" s="13" t="n">
        <x:f>(((E247*'模块规划'!$D$10+G247*'模块规划'!$D$11+H247*'模块规划'!$D$13)*(1+'模块规划'!$G$14*H247)+(I247*'模块规划'!$D$15+J247*'模块规划'!$D$17+K247*'模块规划'!$D$16+L247*'模块规划'!$D$18))*(1+'模块规划'!$J$17*J247))*F247/(1-Q247)</x:f>
        <x:v>2541089.477357117</x:v>
      </x:c>
      <x:c r="AO247" s="1" t="n">
        <x:f t="shared" si="305">AL247*AM247</x:f>
        <x:v>95473574.21630813</x:v>
      </x:c>
      <x:c r="AP247" s="1" t="n">
        <x:f>IF(AO247="","",INDEX('_曲线基线'!$A$3:$A$502,MIN(ROWS('_曲线基线'!$A$3:$A$502),COUNTIF('_曲线基线'!$E$3:$E$502,"&lt;"&amp;AO247)+1)))</x:f>
        <x:v>290</x:v>
      </x:c>
      <x:c r="AQ247" s="14" t="n">
        <x:f t="shared" si="306">IF(B247&lt;=2,1,IF(B247&lt;=6,2,IF(B247&lt;=9,3,IF(B247&lt;=19,4,5))))</x:f>
        <x:v>5</x:v>
      </x:c>
      <x:c r="AR247" s="10" t="n">
        <x:f t="shared" si="307">AN247*(1-Q247)/F247*$AS$3+U247*$AS$4+P247*$AS$5</x:f>
        <x:v>16453.507489291747</x:v>
      </x:c>
      <x:c r="AS247" s="15" t="n">
        <x:f t="shared" si="308">1+AH247*$AS$6+AI247*$AS$7+(AJ247-1)*$AS$8+($H$10*H247+$I$10*I247+$J$10*J247+$K$10*K247+$L$10*L247)*$AU$3*$AS$9+($H$10*H247+$I$10*I247+$J$10*J247+$K$10*K247+$L$10*L247)*$AU$4*$AS$10</x:f>
        <x:v>16.836060186286897</x:v>
      </x:c>
      <x:c r="AT247" s="16" t="n">
        <x:f t="shared" si="309">ROUND(AR247*AS247,0)</x:f>
        <x:v>277012</x:v>
      </x:c>
      <x:c r="AU247" s="16" t="n">
        <x:f t="shared" si="310">ROUND(AT247*F247,0)</x:f>
        <x:v>1385060</x:v>
      </x:c>
      <x:c r="AV247" t="n">
        <x:f>IF(AU247&gt;0,ROUND(AU247,-MAX(0,INT(LOG10(AU247))-2)),0)</x:f>
        <x:v>1390000</x:v>
      </x:c>
    </x:row>
    <x:row r="248" customHeight="1">
      <x:c r="A248" s="1" t="str">
        <x:f>IFERROR(XLOOKUP(B248,'_曲线基线'!$G$3:$G$107,'_曲线基线'!$J$3:$J$107,""),"")</x:f>
      </x:c>
      <x:c r="B248" s="1" t="n">
        <x:v>237</x:v>
      </x:c>
      <x:c r="C248" s="1" t="n">
        <x:f t="shared" si="349">C233+1</x:f>
        <x:v>17</x:v>
      </x:c>
      <x:c r="D248" s="1" t="n">
        <x:f t="shared" si="350">D233</x:f>
        <x:v>3</x:v>
      </x:c>
      <x:c r="E248" s="1" t="n">
        <x:f t="shared" si="282">IF($B248&lt;E$8,0,E$3+(E$4-E$3)*(POWER(E$5,$B248-E$8)-1)/(POWER(E$5,$C$5-E$8)-1))</x:f>
        <x:v>1</x:v>
      </x:c>
      <x:c r="F248" s="10" t="n">
        <x:f t="shared" si="283">1+IF(B248&lt;3,0,MIN(1,(B248-2)/4))+IF(B248&lt;7,0,MIN(1,(B248-6)/3))+IF(B248&lt;10,0,MIN(1,(B248-9)/5))+IF(B248&lt;20,0,MIN(1,(B248-19)/10))</x:f>
        <x:v>5</x:v>
      </x:c>
      <x:c r="G248" s="11" t="n">
        <x:f t="shared" ref="G248:L248" si="356">'玩家战力_节点'!G248</x:f>
        <x:v>0.8514760672381028</x:v>
      </x:c>
      <x:c r="H248" s="11" t="n">
        <x:f t="shared" si="356">'玩家战力_节点'!H248</x:f>
        <x:v>0.6622718928238933</x:v>
      </x:c>
      <x:c r="I248" s="11" t="n">
        <x:f t="shared" si="356">'玩家战力_节点'!I248</x:f>
        <x:v>0.6010375997338764</x:v>
      </x:c>
      <x:c r="J248" s="11" t="n">
        <x:f t="shared" si="356">'玩家战力_节点'!J248</x:f>
        <x:v>0.5593615199629366</x:v>
      </x:c>
      <x:c r="K248" s="11" t="n">
        <x:f t="shared" si="356">'玩家战力_节点'!K248</x:f>
        <x:v>0.5891308678060536</x:v>
      </x:c>
      <x:c r="L248" s="11" t="n">
        <x:f t="shared" si="356">'玩家战力_节点'!L248</x:f>
        <x:v>0.6607535332687371</x:v>
      </x:c>
      <x:c r="M248" s="2" t="n">
        <x:f>E248*'模块规划'!$F$10+G248*'模块规划'!$F$11+H248*'模块规划'!$F$13</x:f>
        <x:v>5087.085122742894</x:v>
      </x:c>
      <x:c r="N248" s="2" t="n">
        <x:f>I248*'模块规划'!$F$15+J248*'模块规划'!$F$17+K248*'模块规划'!$F$16+L248*'模块规划'!$F$18</x:f>
        <x:v>17240.468870680386</x:v>
      </x:c>
      <x:c r="O248" s="2" t="n">
        <x:f t="shared" si="285">1+O$9*SUMPRODUCT($H$10:$L$10,H248:L248)/SUM($H$10:$L$10)</x:f>
        <x:v>3.252159705561439</x:v>
      </x:c>
      <x:c r="P248" s="12" t="n">
        <x:f t="shared" si="286">M248*O248+N248</x:f>
        <x:v>33784.48212562589</x:v>
      </x:c>
      <x:c r="Q248" s="7" t="n">
        <x:f>P248/(P248+'_曲线基线'!$L$2)</x:f>
        <x:v>0.5846635789203234</x:v>
      </x:c>
      <x:c r="R248" s="2" t="n">
        <x:f>E248*'模块规划'!$E$10+G248*'模块规划'!$E$11+H248*'模块规划'!$E$13</x:f>
        <x:v>7630.62768411434</x:v>
      </x:c>
      <x:c r="S248" s="2" t="n">
        <x:f>I248*'模块规划'!$E$15+J248*'模块规划'!$E$17+K248*'模块规划'!$E$16+L248*'模块规划'!$E$18</x:f>
        <x:v>25860.703306020572</x:v>
      </x:c>
      <x:c r="T248" s="2" t="n">
        <x:f t="shared" si="287">1+T$9*SUMPRODUCT($H$10:$L$10,H248:L248)/SUM($H$10:$L$10)</x:f>
        <x:v>3.252159705561439</x:v>
      </x:c>
      <x:c r="U248" s="12" t="n">
        <x:f t="shared" si="288">R248*T248+S248</x:f>
        <x:v>50676.72318843883</x:v>
      </x:c>
      <x:c r="V248" s="2" t="n">
        <x:f t="shared" si="289">V$8+(V$9-V$8)*H248</x:f>
        <x:v>0.898681567847168</x:v>
      </x:c>
      <x:c r="W248" s="2" t="n">
        <x:f t="shared" si="290">IF(B248&lt;$H$8,0,W$8+(W$9-W$8)*H248)</x:f>
        <x:v>0.26490875712955736</x:v>
      </x:c>
      <x:c r="X248" s="2" t="n">
        <x:f t="shared" si="291">X$8+(X$9-X$8)*H248</x:f>
        <x:v>0.4571247705265707</x:v>
      </x:c>
      <x:c r="Y248" s="2" t="n">
        <x:f t="shared" si="292">Y$8+(Y$9-Y$8)*G248</x:f>
        <x:v>1</x:v>
      </x:c>
      <x:c r="Z248" s="2" t="n">
        <x:f t="shared" si="293">Z$8+(Z$9-Z$8)*H248</x:f>
        <x:v>1</x:v>
      </x:c>
      <x:c r="AA248" s="2" t="n">
        <x:f t="shared" si="294">AA$8+(AA$9-AA$8)*I248</x:f>
        <x:v>1</x:v>
      </x:c>
      <x:c r="AB248" s="2" t="n">
        <x:f t="shared" si="295">AB$8+(AB$9-AB$8)*J248</x:f>
        <x:v>1</x:v>
      </x:c>
      <x:c r="AC248" s="2" t="n">
        <x:f t="shared" si="296">AC$8+(AC$9-AC$8)*MAX(K248,L248)</x:f>
        <x:v>1</x:v>
      </x:c>
      <x:c r="AD248" s="1" t="n">
        <x:f t="shared" si="297">(V248*AE248+W248*AF248+X248*AG248)*PRODUCT(Y248:AC248)</x:f>
        <x:v>1.8344037691683348</x:v>
      </x:c>
      <x:c r="AE248" s="2" t="n">
        <x:f t="shared" si="298">1+AE$9*($H$10*H248+$I$10*I248+$J$10*J248+$K$10*K248+$L$10*L248)</x:f>
        <x:v>1</x:v>
      </x:c>
      <x:c r="AF248" s="2" t="n">
        <x:f t="shared" si="299">1+AF$9*($H$10*H248+$I$10*I248+$J$10*J248+$K$10*K248+$L$10*L248)</x:f>
        <x:v>1.1987736096406454</x:v>
      </x:c>
      <x:c r="AG248" s="2" t="n">
        <x:f t="shared" si="300">1+AG$9*($H$10*H248+$I$10*I248+$J$10*J248+$K$10*K248+$L$10*L248)</x:f>
        <x:v>1.3522710081964797</x:v>
      </x:c>
      <x:c r="AH248" s="2" t="n">
        <x:f>MIN(1,'_曲线基线'!$L$3+AH$9*($H$10*H248+$I$10*I248+$J$10*J248+$K$10*K248+$L$10*L248))</x:f>
        <x:v>0.5022099619324677</x:v>
      </x:c>
      <x:c r="AI248" s="2" t="n">
        <x:f>'_曲线基线'!$L$4+AI$9*($H$10*H248+$I$10*I248+$J$10*J248+$K$10*K248+$L$10*L248)</x:f>
        <x:v>3.2597277510975884</x:v>
      </x:c>
      <x:c r="AJ248" s="2" t="n">
        <x:f t="shared" si="301">1+AJ$9*($H$10*H248+$I$10*I248+$J$10*J248+$K$10*K248+$L$10*L248)</x:f>
        <x:v>2.033622770131355</x:v>
      </x:c>
      <x:c r="AK248" s="1" t="n">
        <x:f t="shared" si="302">(1+AH248*(AI248-1))*AJ248</x:f>
        <x:v>4.341495408377152</x:v>
      </x:c>
      <x:c r="AL248" s="1" t="n">
        <x:f t="shared" si="303">U248*AD248*AK248*F248</x:f>
        <x:v>2017961.1905314084</x:v>
      </x:c>
      <x:c r="AM248" s="13" t="n">
        <x:f t="shared" si="304">IF($B248&lt;AM$8,0,AM$3+(AM$4-AM$3)*(POWER(AM$5,$B248-AM$8)-1)/(POWER(AM$5,$C$5-AM$8)-1))</x:f>
        <x:v>47.70981806973666</x:v>
      </x:c>
      <x:c r="AN248" s="13" t="n">
        <x:f>(((E248*'模块规划'!$D$10+G248*'模块规划'!$D$11+H248*'模块规划'!$D$13)*(1+'模块规划'!$G$14*H248)+(I248*'模块规划'!$D$15+J248*'模块规划'!$D$17+K248*'模块规划'!$D$16+L248*'模块规划'!$D$18))*(1+'模块规划'!$J$17*J248))*F248/(1-Q248)</x:f>
        <x:v>2551062.2078909846</x:v>
      </x:c>
      <x:c r="AO248" s="1" t="n">
        <x:f t="shared" si="305">AL248*AM248</x:f>
        <x:v>96276561.27204269</x:v>
      </x:c>
      <x:c r="AP248" s="1" t="n">
        <x:f>IF(AO248="","",INDEX('_曲线基线'!$A$3:$A$502,MIN(ROWS('_曲线基线'!$A$3:$A$502),COUNTIF('_曲线基线'!$E$3:$E$502,"&lt;"&amp;AO248)+1)))</x:f>
        <x:v>290</x:v>
      </x:c>
      <x:c r="AQ248" s="14" t="n">
        <x:f t="shared" si="306">IF(B248&lt;=2,1,IF(B248&lt;=6,2,IF(B248&lt;=9,3,IF(B248&lt;=19,4,5))))</x:f>
        <x:v>5</x:v>
      </x:c>
      <x:c r="AR248" s="10" t="n">
        <x:f t="shared" si="307">AN248*(1-Q248)/F248*$AS$3+U248*$AS$4+P248*$AS$5</x:f>
        <x:v>16492.63892195012</x:v>
      </x:c>
      <x:c r="AS248" s="15" t="n">
        <x:f t="shared" si="308">1+AH248*$AS$6+AI248*$AS$7+(AJ248-1)*$AS$8+($H$10*H248+$I$10*I248+$J$10*J248+$K$10*K248+$L$10*L248)*$AU$3*$AS$9+($H$10*H248+$I$10*I248+$J$10*J248+$K$10*K248+$L$10*L248)*$AU$4*$AS$10</x:f>
        <x:v>16.858529032542503</x:v>
      </x:c>
      <x:c r="AT248" s="16" t="n">
        <x:f t="shared" si="309">ROUND(AR248*AS248,0)</x:f>
        <x:v>278042</x:v>
      </x:c>
      <x:c r="AU248" s="16" t="n">
        <x:f t="shared" si="310">ROUND(AT248*F248,0)</x:f>
        <x:v>1390210</x:v>
      </x:c>
      <x:c r="AV248" t="n">
        <x:f>IF(AU248&gt;0,ROUND(AU248,-MAX(0,INT(LOG10(AU248))-2)),0)</x:f>
        <x:v>1390000</x:v>
      </x:c>
    </x:row>
    <x:row r="249" customHeight="1">
      <x:c r="A249" s="1" t="str">
        <x:f>IFERROR(XLOOKUP(B249,'_曲线基线'!$G$3:$G$107,'_曲线基线'!$J$3:$J$107,""),"")</x:f>
      </x:c>
      <x:c r="B249" s="1" t="n">
        <x:v>238</x:v>
      </x:c>
      <x:c r="C249" s="1" t="n">
        <x:f t="shared" si="349">C234+1</x:f>
        <x:v>17</x:v>
      </x:c>
      <x:c r="D249" s="1" t="n">
        <x:f t="shared" si="350">D234</x:f>
        <x:v>4</x:v>
      </x:c>
      <x:c r="E249" s="1" t="n">
        <x:f t="shared" si="282">IF($B249&lt;E$8,0,E$3+(E$4-E$3)*(POWER(E$5,$B249-E$8)-1)/(POWER(E$5,$C$5-E$8)-1))</x:f>
        <x:v>1</x:v>
      </x:c>
      <x:c r="F249" s="10" t="n">
        <x:f t="shared" si="283">1+IF(B249&lt;3,0,MIN(1,(B249-2)/4))+IF(B249&lt;7,0,MIN(1,(B249-6)/3))+IF(B249&lt;10,0,MIN(1,(B249-9)/5))+IF(B249&lt;20,0,MIN(1,(B249-19)/10))</x:f>
        <x:v>5</x:v>
      </x:c>
      <x:c r="G249" s="11" t="n">
        <x:f t="shared" ref="G249:L249" si="357">'玩家战力_节点'!G249</x:f>
        <x:v>0.8526874585895345</x:v>
      </x:c>
      <x:c r="H249" s="11" t="n">
        <x:f t="shared" si="357">'玩家战力_节点'!H249</x:f>
        <x:v>0.6631996493128975</x:v>
      </x:c>
      <x:c r="I249" s="11" t="n">
        <x:f t="shared" si="357">'玩家战力_节点'!I249</x:f>
        <x:v>0.6022791389498496</x:v>
      </x:c>
      <x:c r="J249" s="11" t="n">
        <x:f t="shared" si="357">'玩家战力_节点'!J249</x:f>
        <x:v>0.5603671685094597</x:v>
      </x:c>
      <x:c r="K249" s="11" t="n">
        <x:f t="shared" si="357">'玩家战力_节点'!K249</x:f>
        <x:v>0.5907391712933175</x:v>
      </x:c>
      <x:c r="L249" s="11" t="n">
        <x:f t="shared" si="357">'玩家战力_节点'!L249</x:f>
        <x:v>0.6617232533470323</x:v>
      </x:c>
      <x:c r="M249" s="2" t="n">
        <x:f>E249*'模块规划'!$F$10+G249*'模块规划'!$F$11+H249*'模块规划'!$F$13</x:f>
        <x:v>5092.899801229765</x:v>
      </x:c>
      <x:c r="N249" s="2" t="n">
        <x:f>I249*'模块规划'!$F$15+J249*'模块规划'!$F$17+K249*'模块规划'!$F$16+L249*'模块规划'!$F$18</x:f>
        <x:v>17274.95609118846</x:v>
      </x:c>
      <x:c r="O249" s="2" t="n">
        <x:f t="shared" si="285">1+O$9*SUMPRODUCT($H$10:$L$10,H249:L249)/SUM($H$10:$L$10)</x:f>
        <x:v>3.256420347754031</x:v>
      </x:c>
      <x:c r="P249" s="12" t="n">
        <x:f t="shared" si="286">M249*O249+N249</x:f>
        <x:v>33859.578632985525</x:v>
      </x:c>
      <x:c r="Q249" s="7" t="n">
        <x:f>P249/(P249+'_曲线基线'!$L$2)</x:f>
        <x:v>0.585202648082928</x:v>
      </x:c>
      <x:c r="R249" s="2" t="n">
        <x:f>E249*'模块规划'!$E$10+G249*'模块规划'!$E$11+H249*'模块规划'!$E$13</x:f>
        <x:v>7639.349701844649</x:v>
      </x:c>
      <x:c r="S249" s="2" t="n">
        <x:f>I249*'模块规划'!$E$15+J249*'模块规划'!$E$17+K249*'模块规划'!$E$16+L249*'模块规划'!$E$18</x:f>
        <x:v>25912.434136782693</x:v>
      </x:c>
      <x:c r="T249" s="2" t="n">
        <x:f t="shared" si="287">1+T$9*SUMPRODUCT($H$10:$L$10,H249:L249)/SUM($H$10:$L$10)</x:f>
        <x:v>3.256420347754031</x:v>
      </x:c>
      <x:c r="U249" s="12" t="n">
        <x:f t="shared" si="288">R249*T249+S249</x:f>
        <x:v>50789.3679494783</x:v>
      </x:c>
      <x:c r="V249" s="2" t="n">
        <x:f t="shared" si="289">V$8+(V$9-V$8)*H249</x:f>
        <x:v>0.8989598947938693</x:v>
      </x:c>
      <x:c r="W249" s="2" t="n">
        <x:f t="shared" si="290">IF(B249&lt;$H$8,0,W$8+(W$9-W$8)*H249)</x:f>
        <x:v>0.26527985972515905</x:v>
      </x:c>
      <x:c r="X249" s="2" t="n">
        <x:f t="shared" si="291">X$8+(X$9-X$8)*H249</x:f>
        <x:v>0.45737990356104685</x:v>
      </x:c>
      <x:c r="Y249" s="2" t="n">
        <x:f t="shared" si="292">Y$8+(Y$9-Y$8)*G249</x:f>
        <x:v>1</x:v>
      </x:c>
      <x:c r="Z249" s="2" t="n">
        <x:f t="shared" si="293">Z$8+(Z$9-Z$8)*H249</x:f>
        <x:v>1</x:v>
      </x:c>
      <x:c r="AA249" s="2" t="n">
        <x:f t="shared" si="294">AA$8+(AA$9-AA$8)*I249</x:f>
        <x:v>1</x:v>
      </x:c>
      <x:c r="AB249" s="2" t="n">
        <x:f t="shared" si="295">AB$8+(AB$9-AB$8)*J249</x:f>
        <x:v>1</x:v>
      </x:c>
      <x:c r="AC249" s="2" t="n">
        <x:f t="shared" si="296">AC$8+(AC$9-AC$8)*MAX(K249,L249)</x:f>
        <x:v>1</x:v>
      </x:c>
      <x:c r="AD249" s="1" t="n">
        <x:f t="shared" si="297">(V249*AE249+W249*AF249+X249*AG249)*PRODUCT(Y249:AC249)</x:f>
        <x:v>1.835876539542016</x:v>
      </x:c>
      <x:c r="AE249" s="2" t="n">
        <x:f t="shared" si="298">1+AE$9*($H$10*H249+$I$10*I249+$J$10*J249+$K$10*K249+$L$10*L249)</x:f>
        <x:v>1</x:v>
      </x:c>
      <x:c r="AF249" s="2" t="n">
        <x:f t="shared" si="299">1+AF$9*($H$10*H249+$I$10*I249+$J$10*J249+$K$10*K249+$L$10*L249)</x:f>
        <x:v>1.1991496501256595</x:v>
      </x:c>
      <x:c r="AG249" s="2" t="n">
        <x:f t="shared" si="300">1+AG$9*($H$10*H249+$I$10*I249+$J$10*J249+$K$10*K249+$L$10*L249)</x:f>
        <x:v>1.3529374355004773</x:v>
      </x:c>
      <x:c r="AH249" s="2" t="n">
        <x:f>MIN(1,'_曲线基线'!$L$3+AH$9*($H$10*H249+$I$10*I249+$J$10*J249+$K$10*K249+$L$10*L249))</x:f>
        <x:v>0.5030654540358751</x:v>
      </x:c>
      <x:c r="AI249" s="2" t="n">
        <x:f>'_曲线基线'!$L$4+AI$9*($H$10*H249+$I$10*I249+$J$10*J249+$K$10*K249+$L$10*L249)</x:f>
        <x:v>3.2621109076713664</x:v>
      </x:c>
      <x:c r="AJ249" s="2" t="n">
        <x:f t="shared" si="301">1+AJ$9*($H$10*H249+$I$10*I249+$J$10*J249+$K$10*K249+$L$10*L249)</x:f>
        <x:v>2.035578180653429</x:v>
      </x:c>
      <x:c r="AK249" s="1" t="n">
        <x:f t="shared" si="302">(1+AH249*(AI249-1))*AJ249</x:f>
        <x:v>4.352045490843043</x:v>
      </x:c>
      <x:c r="AL249" s="1" t="n">
        <x:f t="shared" si="303">U249*AD249*AK249*F249</x:f>
        <x:v>2028989.086022583</x:v>
      </x:c>
      <x:c r="AM249" s="13" t="n">
        <x:f t="shared" si="304">IF($B249&lt;AM$8,0,AM$3+(AM$4-AM$3)*(POWER(AM$5,$B249-AM$8)-1)/(POWER(AM$5,$C$5-AM$8)-1))</x:f>
        <x:v>47.850340890355895</x:v>
      </x:c>
      <x:c r="AN249" s="13" t="n">
        <x:f>(((E249*'模块规划'!$D$10+G249*'模块规划'!$D$11+H249*'模块规划'!$D$13)*(1+'模块规划'!$G$14*H249)+(I249*'模块规划'!$D$15+J249*'模块规划'!$D$17+K249*'模块规划'!$D$16+L249*'模块规划'!$D$18))*(1+'模块规划'!$J$17*J249))*F249/(1-Q249)</x:f>
        <x:v>2561062.414852819</x:v>
      </x:c>
      <x:c r="AO249" s="1" t="n">
        <x:f t="shared" si="305">AL249*AM249</x:f>
        <x:v>97087819.42899224</x:v>
      </x:c>
      <x:c r="AP249" s="1" t="n">
        <x:f>IF(AO249="","",INDEX('_曲线基线'!$A$3:$A$502,MIN(ROWS('_曲线基线'!$A$3:$A$502),COUNTIF('_曲线基线'!$E$3:$E$502,"&lt;"&amp;AO249)+1)))</x:f>
        <x:v>291</x:v>
      </x:c>
      <x:c r="AQ249" s="14" t="n">
        <x:f t="shared" si="306">IF(B249&lt;=2,1,IF(B249&lt;=6,2,IF(B249&lt;=9,3,IF(B249&lt;=19,4,5))))</x:f>
        <x:v>5</x:v>
      </x:c>
      <x:c r="AR249" s="10" t="n">
        <x:f t="shared" si="307">AN249*(1-Q249)/F249*$AS$3+U249*$AS$4+P249*$AS$5</x:f>
        <x:v>16531.805036547405</x:v>
      </x:c>
      <x:c r="AS249" s="15" t="n">
        <x:f t="shared" si="308">1+AH249*$AS$6+AI249*$AS$7+(AJ249-1)*$AS$8+($H$10*H249+$I$10*I249+$J$10*J249+$K$10*K249+$L$10*L249)*$AU$3*$AS$9+($H$10*H249+$I$10*I249+$J$10*J249+$K$10*K249+$L$10*L249)*$AU$4*$AS$10</x:f>
        <x:v>16.880997878798105</x:v>
      </x:c>
      <x:c r="AT249" s="16" t="n">
        <x:f t="shared" si="309">ROUND(AR249*AS249,0)</x:f>
        <x:v>279073</x:v>
      </x:c>
      <x:c r="AU249" s="16" t="n">
        <x:f t="shared" si="310">ROUND(AT249*F249,0)</x:f>
        <x:v>1395365</x:v>
      </x:c>
      <x:c r="AV249" t="n">
        <x:f>IF(AU249&gt;0,ROUND(AU249,-MAX(0,INT(LOG10(AU249))-2)),0)</x:f>
        <x:v>1400000</x:v>
      </x:c>
    </x:row>
    <x:row r="250" customHeight="1">
      <x:c r="A250" s="1" t="str">
        <x:f>IFERROR(XLOOKUP(B250,'_曲线基线'!$G$3:$G$107,'_曲线基线'!$J$3:$J$107,""),"")</x:f>
      </x:c>
      <x:c r="B250" s="1" t="n">
        <x:v>239</x:v>
      </x:c>
      <x:c r="C250" s="1" t="n">
        <x:f t="shared" si="349">C235+1</x:f>
        <x:v>17</x:v>
      </x:c>
      <x:c r="D250" s="1" t="n">
        <x:f t="shared" si="350">D235</x:f>
        <x:v>5</x:v>
      </x:c>
      <x:c r="E250" s="1" t="n">
        <x:f t="shared" si="282">IF($B250&lt;E$8,0,E$3+(E$4-E$3)*(POWER(E$5,$B250-E$8)-1)/(POWER(E$5,$C$5-E$8)-1))</x:f>
        <x:v>1</x:v>
      </x:c>
      <x:c r="F250" s="10" t="n">
        <x:f t="shared" si="283">1+IF(B250&lt;3,0,MIN(1,(B250-2)/4))+IF(B250&lt;7,0,MIN(1,(B250-6)/3))+IF(B250&lt;10,0,MIN(1,(B250-9)/5))+IF(B250&lt;20,0,MIN(1,(B250-19)/10))</x:f>
        <x:v>5</x:v>
      </x:c>
      <x:c r="G250" s="11" t="n">
        <x:f t="shared" ref="G250:L250" si="358">'玩家战力_节点'!G250</x:f>
        <x:v>0.8538988499409664</x:v>
      </x:c>
      <x:c r="H250" s="11" t="n">
        <x:f t="shared" si="358">'玩家战力_节点'!H250</x:f>
        <x:v>0.664127405801902</x:v>
      </x:c>
      <x:c r="I250" s="11" t="n">
        <x:f t="shared" si="358">'玩家战力_节点'!I250</x:f>
        <x:v>0.6035206781658229</x:v>
      </x:c>
      <x:c r="J250" s="11" t="n">
        <x:f t="shared" si="358">'玩家战力_节点'!J250</x:f>
        <x:v>0.5613728170559827</x:v>
      </x:c>
      <x:c r="K250" s="11" t="n">
        <x:f t="shared" si="358">'玩家战力_节点'!K250</x:f>
        <x:v>0.5923474747805816</x:v>
      </x:c>
      <x:c r="L250" s="11" t="n">
        <x:f t="shared" si="358">'玩家战力_节点'!L250</x:f>
        <x:v>0.6626929734253273</x:v>
      </x:c>
      <x:c r="M250" s="2" t="n">
        <x:f>E250*'模块规划'!$F$10+G250*'模块规划'!$F$11+H250*'模块规划'!$F$13</x:f>
        <x:v>5098.714479716639</x:v>
      </x:c>
      <x:c r="N250" s="2" t="n">
        <x:f>I250*'模块规划'!$F$15+J250*'模块规划'!$F$17+K250*'模块规划'!$F$16+L250*'模块规划'!$F$18</x:f>
        <x:v>17309.443311696534</x:v>
      </x:c>
      <x:c r="O250" s="2" t="n">
        <x:f t="shared" si="285">1+O$9*SUMPRODUCT($H$10:$L$10,H250:L250)/SUM($H$10:$L$10)</x:f>
        <x:v>3.2606809899466236</x:v>
      </x:c>
      <x:c r="P250" s="12" t="n">
        <x:f t="shared" si="286">M250*O250+N250</x:f>
        <x:v>33934.724688874165</x:v>
      </x:c>
      <x:c r="Q250" s="7" t="n">
        <x:f>P250/(P250+'_曲线基线'!$L$2)</x:f>
        <x:v>0.5857406740277652</x:v>
      </x:c>
      <x:c r="R250" s="2" t="n">
        <x:f>E250*'模块规划'!$E$10+G250*'模块规划'!$E$11+H250*'模块规划'!$E$13</x:f>
        <x:v>7648.0717195749585</x:v>
      </x:c>
      <x:c r="S250" s="2" t="n">
        <x:f>I250*'模块规划'!$E$15+J250*'模块规划'!$E$17+K250*'模块规划'!$E$16+L250*'模块规划'!$E$18</x:f>
        <x:v>25964.164967544802</x:v>
      </x:c>
      <x:c r="T250" s="2" t="n">
        <x:f t="shared" si="287">1+T$9*SUMPRODUCT($H$10:$L$10,H250:L250)/SUM($H$10:$L$10)</x:f>
        <x:v>3.2606809899466236</x:v>
      </x:c>
      <x:c r="U250" s="12" t="n">
        <x:f t="shared" si="288">R250*T250+S250</x:f>
        <x:v>50902.087033311254</x:v>
      </x:c>
      <x:c r="V250" s="2" t="n">
        <x:f t="shared" si="289">V$8+(V$9-V$8)*H250</x:f>
        <x:v>0.8992382217405706</x:v>
      </x:c>
      <x:c r="W250" s="2" t="n">
        <x:f t="shared" si="290">IF(B250&lt;$H$8,0,W$8+(W$9-W$8)*H250)</x:f>
        <x:v>0.2656509623207608</x:v>
      </x:c>
      <x:c r="X250" s="2" t="n">
        <x:f t="shared" si="291">X$8+(X$9-X$8)*H250</x:f>
        <x:v>0.45763503659552307</x:v>
      </x:c>
      <x:c r="Y250" s="2" t="n">
        <x:f t="shared" si="292">Y$8+(Y$9-Y$8)*G250</x:f>
        <x:v>1</x:v>
      </x:c>
      <x:c r="Z250" s="2" t="n">
        <x:f t="shared" si="293">Z$8+(Z$9-Z$8)*H250</x:f>
        <x:v>1</x:v>
      </x:c>
      <x:c r="AA250" s="2" t="n">
        <x:f t="shared" si="294">AA$8+(AA$9-AA$8)*I250</x:f>
        <x:v>1</x:v>
      </x:c>
      <x:c r="AB250" s="2" t="n">
        <x:f t="shared" si="295">AB$8+(AB$9-AB$8)*J250</x:f>
        <x:v>1</x:v>
      </x:c>
      <x:c r="AC250" s="2" t="n">
        <x:f t="shared" si="296">AC$8+(AC$9-AC$8)*MAX(K250,L250)</x:f>
        <x:v>1</x:v>
      </x:c>
      <x:c r="AD250" s="1" t="n">
        <x:f t="shared" si="297">(V250*AE250+W250*AF250+X250*AG250)*PRODUCT(Y250:AC250)</x:f>
        <x:v>1.8373499290701383</x:v>
      </x:c>
      <x:c r="AE250" s="2" t="n">
        <x:f t="shared" si="298">1+AE$9*($H$10*H250+$I$10*I250+$J$10*J250+$K$10*K250+$L$10*L250)</x:f>
        <x:v>1</x:v>
      </x:c>
      <x:c r="AF250" s="2" t="n">
        <x:f t="shared" si="299">1+AF$9*($H$10*H250+$I$10*I250+$J$10*J250+$K$10*K250+$L$10*L250)</x:f>
        <x:v>1.199525690610674</x:v>
      </x:c>
      <x:c r="AG250" s="2" t="n">
        <x:f t="shared" si="300">1+AG$9*($H$10*H250+$I$10*I250+$J$10*J250+$K$10*K250+$L$10*L250)</x:f>
        <x:v>1.3536038628044746</x:v>
      </x:c>
      <x:c r="AH250" s="2" t="n">
        <x:f>MIN(1,'_曲线基线'!$L$3+AH$9*($H$10*H250+$I$10*I250+$J$10*J250+$K$10*K250+$L$10*L250))</x:f>
        <x:v>0.5039209461392825</x:v>
      </x:c>
      <x:c r="AI250" s="2" t="n">
        <x:f>'_曲线基线'!$L$4+AI$9*($H$10*H250+$I$10*I250+$J$10*J250+$K$10*K250+$L$10*L250)</x:f>
        <x:v>3.2644940642451443</x:v>
      </x:c>
      <x:c r="AJ250" s="2" t="n">
        <x:f t="shared" si="301">1+AJ$9*($H$10*H250+$I$10*I250+$J$10*J250+$K$10*K250+$L$10*L250)</x:f>
        <x:v>2.037533591175503</x:v>
      </x:c>
      <x:c r="AK250" s="1" t="n">
        <x:f t="shared" si="302">(1+AH250*(AI250-1))*AJ250</x:f>
        <x:v>4.362616130378151</x:v>
      </x:c>
      <x:c r="AL250" s="1" t="n">
        <x:f t="shared" si="303">U250*AD250*AK250*F250</x:f>
        <x:v>2040067.1900655762</x:v>
      </x:c>
      <x:c r="AM250" s="13" t="n">
        <x:f t="shared" si="304">IF($B250&lt;AM$8,0,AM$3+(AM$4-AM$3)*(POWER(AM$5,$B250-AM$8)-1)/(POWER(AM$5,$C$5-AM$8)-1))</x:f>
        <x:v>47.99226893918132</x:v>
      </x:c>
      <x:c r="AN250" s="13" t="n">
        <x:f>(((E250*'模块规划'!$D$10+G250*'模块规划'!$D$11+H250*'模块规划'!$D$13)*(1+'模块规划'!$G$14*H250)+(I250*'模块规划'!$D$15+J250*'模块规划'!$D$17+K250*'模块规划'!$D$16+L250*'模块规划'!$D$18))*(1+'模块规划'!$J$17*J250))*F250/(1-Q250)</x:f>
        <x:v>2571090.1485425425</x:v>
      </x:c>
      <x:c r="AO250" s="1" t="n">
        <x:f t="shared" si="305">AL250*AM250</x:f>
        <x:v>97907453.23962708</x:v>
      </x:c>
      <x:c r="AP250" s="1" t="n">
        <x:f>IF(AO250="","",INDEX('_曲线基线'!$A$3:$A$502,MIN(ROWS('_曲线基线'!$A$3:$A$502),COUNTIF('_曲线基线'!$E$3:$E$502,"&lt;"&amp;AO250)+1)))</x:f>
        <x:v>291</x:v>
      </x:c>
      <x:c r="AQ250" s="14" t="n">
        <x:f t="shared" si="306">IF(B250&lt;=2,1,IF(B250&lt;=6,2,IF(B250&lt;=9,3,IF(B250&lt;=19,4,5))))</x:f>
        <x:v>5</x:v>
      </x:c>
      <x:c r="AR250" s="10" t="n">
        <x:f t="shared" si="307">AN250*(1-Q250)/F250*$AS$3+U250*$AS$4+P250*$AS$5</x:f>
        <x:v>16571.00583835677</x:v>
      </x:c>
      <x:c r="AS250" s="15" t="n">
        <x:f t="shared" si="308">1+AH250*$AS$6+AI250*$AS$7+(AJ250-1)*$AS$8+($H$10*H250+$I$10*I250+$J$10*J250+$K$10*K250+$L$10*L250)*$AU$3*$AS$9+($H$10*H250+$I$10*I250+$J$10*J250+$K$10*K250+$L$10*L250)*$AU$4*$AS$10</x:f>
        <x:v>16.903466725053708</x:v>
      </x:c>
      <x:c r="AT250" s="16" t="n">
        <x:f t="shared" si="309">ROUND(AR250*AS250,0)</x:f>
        <x:v>280107</x:v>
      </x:c>
      <x:c r="AU250" s="16" t="n">
        <x:f t="shared" si="310">ROUND(AT250*F250,0)</x:f>
        <x:v>1400535</x:v>
      </x:c>
      <x:c r="AV250" t="n">
        <x:f>IF(AU250&gt;0,ROUND(AU250,-MAX(0,INT(LOG10(AU250))-2)),0)</x:f>
        <x:v>1400000</x:v>
      </x:c>
    </x:row>
    <x:row r="251" customHeight="1">
      <x:c r="A251" s="1" t="str">
        <x:f>IFERROR(XLOOKUP(B251,'_曲线基线'!$G$3:$G$107,'_曲线基线'!$J$3:$J$107,""),"")</x:f>
      </x:c>
      <x:c r="B251" s="1" t="n">
        <x:v>240</x:v>
      </x:c>
      <x:c r="C251" s="1" t="n">
        <x:f t="shared" si="349">C236+1</x:f>
        <x:v>17</x:v>
      </x:c>
      <x:c r="D251" s="1" t="n">
        <x:f t="shared" si="350">D236</x:f>
        <x:v>6</x:v>
      </x:c>
      <x:c r="E251" s="1" t="n">
        <x:f t="shared" si="282">IF($B251&lt;E$8,0,E$3+(E$4-E$3)*(POWER(E$5,$B251-E$8)-1)/(POWER(E$5,$C$5-E$8)-1))</x:f>
        <x:v>1</x:v>
      </x:c>
      <x:c r="F251" s="10" t="n">
        <x:f t="shared" si="283">1+IF(B251&lt;3,0,MIN(1,(B251-2)/4))+IF(B251&lt;7,0,MIN(1,(B251-6)/3))+IF(B251&lt;10,0,MIN(1,(B251-9)/5))+IF(B251&lt;20,0,MIN(1,(B251-19)/10))</x:f>
        <x:v>5</x:v>
      </x:c>
      <x:c r="G251" s="11" t="n">
        <x:f t="shared" ref="G251:L251" si="359">'玩家战力_节点'!G251</x:f>
        <x:v>0.8551102412923982</x:v>
      </x:c>
      <x:c r="H251" s="11" t="n">
        <x:f t="shared" si="359">'玩家战力_节点'!H251</x:f>
        <x:v>0.6650551622909063</x:v>
      </x:c>
      <x:c r="I251" s="11" t="n">
        <x:f t="shared" si="359">'玩家战力_节点'!I251</x:f>
        <x:v>0.6047622173817961</x:v>
      </x:c>
      <x:c r="J251" s="11" t="n">
        <x:f t="shared" si="359">'玩家战力_节点'!J251</x:f>
        <x:v>0.5623784656025057</x:v>
      </x:c>
      <x:c r="K251" s="11" t="n">
        <x:f t="shared" si="359">'玩家战力_节点'!K251</x:f>
        <x:v>0.5939557782678455</x:v>
      </x:c>
      <x:c r="L251" s="11" t="n">
        <x:f t="shared" si="359">'玩家战力_节点'!L251</x:f>
        <x:v>0.6636626935036225</x:v>
      </x:c>
      <x:c r="M251" s="2" t="n">
        <x:f>E251*'模块规划'!$F$10+G251*'模块规划'!$F$11+H251*'模块规划'!$F$13</x:f>
        <x:v>5104.5291582035115</x:v>
      </x:c>
      <x:c r="N251" s="2" t="n">
        <x:f>I251*'模块规划'!$F$15+J251*'模块规划'!$F$17+K251*'模块规划'!$F$16+L251*'模块规划'!$F$18</x:f>
        <x:v>17343.930532204613</x:v>
      </x:c>
      <x:c r="O251" s="2" t="n">
        <x:f t="shared" si="285">1+O$9*SUMPRODUCT($H$10:$L$10,H251:L251)/SUM($H$10:$L$10)</x:f>
        <x:v>3.2649416321392164</x:v>
      </x:c>
      <x:c r="P251" s="12" t="n">
        <x:f t="shared" si="286">M251*O251+N251</x:f>
        <x:v>34009.920293291805</x:v>
      </x:c>
      <x:c r="Q251" s="7" t="n">
        <x:f>P251/(P251+'_曲线基线'!$L$2)</x:f>
        <x:v>0.5862776594303418</x:v>
      </x:c>
      <x:c r="R251" s="2" t="n">
        <x:f>E251*'模块规划'!$E$10+G251*'模块规划'!$E$11+H251*'模块规划'!$E$13</x:f>
        <x:v>7656.793737305267</x:v>
      </x:c>
      <x:c r="S251" s="2" t="n">
        <x:f>I251*'模块规划'!$E$15+J251*'模块规划'!$E$17+K251*'模块规划'!$E$16+L251*'模块规划'!$E$18</x:f>
        <x:v>26015.89579830692</x:v>
      </x:c>
      <x:c r="T251" s="2" t="n">
        <x:f t="shared" si="287">1+T$9*SUMPRODUCT($H$10:$L$10,H251:L251)/SUM($H$10:$L$10)</x:f>
        <x:v>3.2649416321392164</x:v>
      </x:c>
      <x:c r="U251" s="12" t="n">
        <x:f t="shared" si="288">R251*T251+S251</x:f>
        <x:v>51014.88043993771</x:v>
      </x:c>
      <x:c r="V251" s="2" t="n">
        <x:f t="shared" si="289">V$8+(V$9-V$8)*H251</x:f>
        <x:v>0.8995165486872718</x:v>
      </x:c>
      <x:c r="W251" s="2" t="n">
        <x:f t="shared" si="290">IF(B251&lt;$H$8,0,W$8+(W$9-W$8)*H251)</x:f>
        <x:v>0.26602206491636254</x:v>
      </x:c>
      <x:c r="X251" s="2" t="n">
        <x:f t="shared" si="291">X$8+(X$9-X$8)*H251</x:f>
        <x:v>0.4578901696299993</x:v>
      </x:c>
      <x:c r="Y251" s="2" t="n">
        <x:f t="shared" si="292">Y$8+(Y$9-Y$8)*G251</x:f>
        <x:v>1</x:v>
      </x:c>
      <x:c r="Z251" s="2" t="n">
        <x:f t="shared" si="293">Z$8+(Z$9-Z$8)*H251</x:f>
        <x:v>1</x:v>
      </x:c>
      <x:c r="AA251" s="2" t="n">
        <x:f t="shared" si="294">AA$8+(AA$9-AA$8)*I251</x:f>
        <x:v>1</x:v>
      </x:c>
      <x:c r="AB251" s="2" t="n">
        <x:f t="shared" si="295">AB$8+(AB$9-AB$8)*J251</x:f>
        <x:v>1</x:v>
      </x:c>
      <x:c r="AC251" s="2" t="n">
        <x:f t="shared" si="296">AC$8+(AC$9-AC$8)*MAX(K251,L251)</x:f>
        <x:v>1</x:v>
      </x:c>
      <x:c r="AD251" s="1" t="n">
        <x:f t="shared" si="297">(V251*AE251+W251*AF251+X251*AG251)*PRODUCT(Y251:AC251)</x:f>
        <x:v>1.8388239377527014</x:v>
      </x:c>
      <x:c r="AE251" s="2" t="n">
        <x:f t="shared" si="298">1+AE$9*($H$10*H251+$I$10*I251+$J$10*J251+$K$10*K251+$L$10*L251)</x:f>
        <x:v>1</x:v>
      </x:c>
      <x:c r="AF251" s="2" t="n">
        <x:f t="shared" si="299">1+AF$9*($H$10*H251+$I$10*I251+$J$10*J251+$K$10*K251+$L$10*L251)</x:f>
        <x:v>1.199901731095688</x:v>
      </x:c>
      <x:c r="AG251" s="2" t="n">
        <x:f t="shared" si="300">1+AG$9*($H$10*H251+$I$10*I251+$J$10*J251+$K$10*K251+$L$10*L251)</x:f>
        <x:v>1.3542702901084722</x:v>
      </x:c>
      <x:c r="AH251" s="2" t="n">
        <x:f>MIN(1,'_曲线基线'!$L$3+AH$9*($H$10*H251+$I$10*I251+$J$10*J251+$K$10*K251+$L$10*L251))</x:f>
        <x:v>0.5047764382426899</x:v>
      </x:c>
      <x:c r="AI251" s="2" t="n">
        <x:f>'_曲线基线'!$L$4+AI$9*($H$10*H251+$I$10*I251+$J$10*J251+$K$10*K251+$L$10*L251)</x:f>
        <x:v>3.2668772208189223</x:v>
      </x:c>
      <x:c r="AJ251" s="2" t="n">
        <x:f t="shared" si="301">1+AJ$9*($H$10*H251+$I$10*I251+$J$10*J251+$K$10*K251+$L$10*L251)</x:f>
        <x:v>2.039489001697577</x:v>
      </x:c>
      <x:c r="AK251" s="1" t="n">
        <x:f t="shared" si="302">(1+AH251*(AI251-1))*AJ251</x:f>
        <x:v>4.373207350902288</x:v>
      </x:c>
      <x:c r="AL251" s="1" t="n">
        <x:f t="shared" si="303">U251*AD251*AK251*F251</x:f>
        <x:v>2051195.691837804</x:v>
      </x:c>
      <x:c r="AM251" s="13" t="n">
        <x:f t="shared" si="304">IF($B251&lt;AM$8,0,AM$3+(AM$4-AM$3)*(POWER(AM$5,$B251-AM$8)-1)/(POWER(AM$5,$C$5-AM$8)-1))</x:f>
        <x:v>48.135616268495</x:v>
      </x:c>
      <x:c r="AN251" s="13" t="n">
        <x:f>(((E251*'模块规划'!$D$10+G251*'模块规划'!$D$11+H251*'模块规划'!$D$13)*(1+'模块规划'!$G$14*H251)+(I251*'模块规划'!$D$15+J251*'模块规划'!$D$17+K251*'模块规划'!$D$16+L251*'模块规划'!$D$18))*(1+'模块规划'!$J$17*J251))*F251/(1-Q251)</x:f>
        <x:v>2581145.4593120045</x:v>
      </x:c>
      <x:c r="AO251" s="1" t="n">
        <x:f t="shared" si="305">AL251*AM251</x:f>
        <x:v>98735568.71389465</x:v>
      </x:c>
      <x:c r="AP251" s="1" t="n">
        <x:f>IF(AO251="","",INDEX('_曲线基线'!$A$3:$A$502,MIN(ROWS('_曲线基线'!$A$3:$A$502),COUNTIF('_曲线基线'!$E$3:$E$502,"&lt;"&amp;AO251)+1)))</x:f>
        <x:v>292</x:v>
      </x:c>
      <x:c r="AQ251" s="14" t="n">
        <x:f t="shared" si="306">IF(B251&lt;=2,1,IF(B251&lt;=6,2,IF(B251&lt;=9,3,IF(B251&lt;=19,4,5))))</x:f>
        <x:v>5</x:v>
      </x:c>
      <x:c r="AR251" s="10" t="n">
        <x:f t="shared" si="307">AN251*(1-Q251)/F251*$AS$3+U251*$AS$4+P251*$AS$5</x:f>
        <x:v>16610.24133265139</x:v>
      </x:c>
      <x:c r="AS251" s="15" t="n">
        <x:f t="shared" si="308">1+AH251*$AS$6+AI251*$AS$7+(AJ251-1)*$AS$8+($H$10*H251+$I$10*I251+$J$10*J251+$K$10*K251+$L$10*L251)*$AU$3*$AS$9+($H$10*H251+$I$10*I251+$J$10*J251+$K$10*K251+$L$10*L251)*$AU$4*$AS$10</x:f>
        <x:v>16.92593557130931</x:v>
      </x:c>
      <x:c r="AT251" s="16" t="n">
        <x:f t="shared" si="309">ROUND(AR251*AS251,0)</x:f>
        <x:v>281144</x:v>
      </x:c>
      <x:c r="AU251" s="16" t="n">
        <x:f t="shared" si="310">ROUND(AT251*F251,0)</x:f>
        <x:v>1405720</x:v>
      </x:c>
      <x:c r="AV251" t="n">
        <x:f>IF(AU251&gt;0,ROUND(AU251,-MAX(0,INT(LOG10(AU251))-2)),0)</x:f>
        <x:v>1410000</x:v>
      </x:c>
    </x:row>
    <x:row r="252" customHeight="1">
      <x:c r="A252" s="1" t="str">
        <x:f>IFERROR(XLOOKUP(B252,'_曲线基线'!$G$3:$G$107,'_曲线基线'!$J$3:$J$107,""),"")</x:f>
      </x:c>
      <x:c r="B252" s="1" t="n">
        <x:v>241</x:v>
      </x:c>
      <x:c r="C252" s="1" t="n">
        <x:f t="shared" si="349">C237+1</x:f>
        <x:v>17</x:v>
      </x:c>
      <x:c r="D252" s="1" t="n">
        <x:f t="shared" si="350">D237</x:f>
        <x:v>7</x:v>
      </x:c>
      <x:c r="E252" s="1" t="n">
        <x:f t="shared" si="282">IF($B252&lt;E$8,0,E$3+(E$4-E$3)*(POWER(E$5,$B252-E$8)-1)/(POWER(E$5,$C$5-E$8)-1))</x:f>
        <x:v>1</x:v>
      </x:c>
      <x:c r="F252" s="10" t="n">
        <x:f t="shared" si="283">1+IF(B252&lt;3,0,MIN(1,(B252-2)/4))+IF(B252&lt;7,0,MIN(1,(B252-6)/3))+IF(B252&lt;10,0,MIN(1,(B252-9)/5))+IF(B252&lt;20,0,MIN(1,(B252-19)/10))</x:f>
        <x:v>5</x:v>
      </x:c>
      <x:c r="G252" s="11" t="n">
        <x:f t="shared" ref="G252:L252" si="360">'玩家战力_节点'!G252</x:f>
        <x:v>0.8563216326438301</x:v>
      </x:c>
      <x:c r="H252" s="11" t="n">
        <x:f t="shared" si="360">'玩家战力_节点'!H252</x:f>
        <x:v>0.6659829187799107</x:v>
      </x:c>
      <x:c r="I252" s="11" t="n">
        <x:f t="shared" si="360">'玩家战力_节点'!I252</x:f>
        <x:v>0.6060037565977694</x:v>
      </x:c>
      <x:c r="J252" s="11" t="n">
        <x:f t="shared" si="360">'玩家战力_节点'!J252</x:f>
        <x:v>0.5633841141490288</x:v>
      </x:c>
      <x:c r="K252" s="11" t="n">
        <x:f t="shared" si="360">'玩家战力_节点'!K252</x:f>
        <x:v>0.5955640817551096</x:v>
      </x:c>
      <x:c r="L252" s="11" t="n">
        <x:f t="shared" si="360">'玩家战力_节点'!L252</x:f>
        <x:v>0.6646324135819176</x:v>
      </x:c>
      <x:c r="M252" s="2" t="n">
        <x:f>E252*'模块规划'!$F$10+G252*'模块规划'!$F$11+H252*'模块规划'!$F$13</x:f>
        <x:v>5110.343836690385</x:v>
      </x:c>
      <x:c r="N252" s="2" t="n">
        <x:f>I252*'模块规划'!$F$15+J252*'模块规划'!$F$17+K252*'模块规划'!$F$16+L252*'模块规划'!$F$18</x:f>
        <x:v>17378.41775271269</x:v>
      </x:c>
      <x:c r="O252" s="2" t="n">
        <x:f t="shared" si="285">1+O$9*SUMPRODUCT($H$10:$L$10,H252:L252)/SUM($H$10:$L$10)</x:f>
        <x:v>3.269202274331809</x:v>
      </x:c>
      <x:c r="P252" s="12" t="n">
        <x:f t="shared" si="286">M252*O252+N252</x:f>
        <x:v>34085.16544623844</x:v>
      </x:c>
      <x:c r="Q252" s="7" t="n">
        <x:f>P252/(P252+'_曲线基线'!$L$2)</x:f>
        <x:v>0.5868136069576397</x:v>
      </x:c>
      <x:c r="R252" s="2" t="n">
        <x:f>E252*'模块规划'!$E$10+G252*'模块规划'!$E$11+H252*'模块规划'!$E$13</x:f>
        <x:v>7665.515755035577</x:v>
      </x:c>
      <x:c r="S252" s="2" t="n">
        <x:f>I252*'模块规划'!$E$15+J252*'模块规划'!$E$17+K252*'模块规划'!$E$16+L252*'模块规划'!$E$18</x:f>
        <x:v>26067.626629069033</x:v>
      </x:c>
      <x:c r="T252" s="2" t="n">
        <x:f t="shared" si="287">1+T$9*SUMPRODUCT($H$10:$L$10,H252:L252)/SUM($H$10:$L$10)</x:f>
        <x:v>3.269202274331809</x:v>
      </x:c>
      <x:c r="U252" s="12" t="n">
        <x:f t="shared" si="288">R252*T252+S252</x:f>
        <x:v>51127.748169357656</x:v>
      </x:c>
      <x:c r="V252" s="2" t="n">
        <x:f t="shared" si="289">V$8+(V$9-V$8)*H252</x:f>
        <x:v>0.8997948756339732</x:v>
      </x:c>
      <x:c r="W252" s="2" t="n">
        <x:f t="shared" si="290">IF(B252&lt;$H$8,0,W$8+(W$9-W$8)*H252)</x:f>
        <x:v>0.2663931675119643</x:v>
      </x:c>
      <x:c r="X252" s="2" t="n">
        <x:f t="shared" si="291">X$8+(X$9-X$8)*H252</x:f>
        <x:v>0.4581453026644755</x:v>
      </x:c>
      <x:c r="Y252" s="2" t="n">
        <x:f t="shared" si="292">Y$8+(Y$9-Y$8)*G252</x:f>
        <x:v>1</x:v>
      </x:c>
      <x:c r="Z252" s="2" t="n">
        <x:f t="shared" si="293">Z$8+(Z$9-Z$8)*H252</x:f>
        <x:v>1</x:v>
      </x:c>
      <x:c r="AA252" s="2" t="n">
        <x:f t="shared" si="294">AA$8+(AA$9-AA$8)*I252</x:f>
        <x:v>1</x:v>
      </x:c>
      <x:c r="AB252" s="2" t="n">
        <x:f t="shared" si="295">AB$8+(AB$9-AB$8)*J252</x:f>
        <x:v>1</x:v>
      </x:c>
      <x:c r="AC252" s="2" t="n">
        <x:f t="shared" si="296">AC$8+(AC$9-AC$8)*MAX(K252,L252)</x:f>
        <x:v>1</x:v>
      </x:c>
      <x:c r="AD252" s="1" t="n">
        <x:f t="shared" si="297">(V252*AE252+W252*AF252+X252*AG252)*PRODUCT(Y252:AC252)</x:f>
        <x:v>1.8402985655897053</x:v>
      </x:c>
      <x:c r="AE252" s="2" t="n">
        <x:f t="shared" si="298">1+AE$9*($H$10*H252+$I$10*I252+$J$10*J252+$K$10*K252+$L$10*L252)</x:f>
        <x:v>1</x:v>
      </x:c>
      <x:c r="AF252" s="2" t="n">
        <x:f t="shared" si="299">1+AF$9*($H$10*H252+$I$10*I252+$J$10*J252+$K$10*K252+$L$10*L252)</x:f>
        <x:v>1.2002777715807023</x:v>
      </x:c>
      <x:c r="AG252" s="2" t="n">
        <x:f t="shared" si="300">1+AG$9*($H$10*H252+$I$10*I252+$J$10*J252+$K$10*K252+$L$10*L252)</x:f>
        <x:v>1.3549367174124698</x:v>
      </x:c>
      <x:c r="AH252" s="2" t="n">
        <x:f>MIN(1,'_曲线基线'!$L$3+AH$9*($H$10*H252+$I$10*I252+$J$10*J252+$K$10*K252+$L$10*L252))</x:f>
        <x:v>0.5056319303460974</x:v>
      </x:c>
      <x:c r="AI252" s="2" t="n">
        <x:f>'_曲线基线'!$L$4+AI$9*($H$10*H252+$I$10*I252+$J$10*J252+$K$10*K252+$L$10*L252)</x:f>
        <x:v>3.2692603773927</x:v>
      </x:c>
      <x:c r="AJ252" s="2" t="n">
        <x:f t="shared" si="301">1+AJ$9*($H$10*H252+$I$10*I252+$J$10*J252+$K$10*K252+$L$10*L252)</x:f>
        <x:v>2.0414444122196516</x:v>
      </x:c>
      <x:c r="AK252" s="1" t="n">
        <x:f t="shared" si="302">(1+AH252*(AI252-1))*AJ252</x:f>
        <x:v>4.3838191763352725</x:v>
      </x:c>
      <x:c r="AL252" s="1" t="n">
        <x:f t="shared" si="303">U252*AD252*AK252*F252</x:f>
        <x:v>2062374.7810805289</x:v>
      </x:c>
      <x:c r="AM252" s="13" t="n">
        <x:f t="shared" si="304">IF($B252&lt;AM$8,0,AM$3+(AM$4-AM$3)*(POWER(AM$5,$B252-AM$8)-1)/(POWER(AM$5,$C$5-AM$8)-1))</x:f>
        <x:v>48.280397071101824</x:v>
      </x:c>
      <x:c r="AN252" s="13" t="n">
        <x:f>(((E252*'模块规划'!$D$10+G252*'模块规划'!$D$11+H252*'模块规划'!$D$13)*(1+'模块规划'!$G$14*H252)+(I252*'模块规划'!$D$15+J252*'模块规划'!$D$17+K252*'模块规划'!$D$16+L252*'模块规划'!$D$18))*(1+'模块规划'!$J$17*J252))*F252/(1-Q252)</x:f>
        <x:v>2591228.3975650026</x:v>
      </x:c>
      <x:c r="AO252" s="1" t="n">
        <x:f t="shared" si="305">AL252*AM252</x:f>
        <x:v>99572273.33999462</x:v>
      </x:c>
      <x:c r="AP252" s="1" t="n">
        <x:f>IF(AO252="","",INDEX('_曲线基线'!$A$3:$A$502,MIN(ROWS('_曲线基线'!$A$3:$A$502),COUNTIF('_曲线基线'!$E$3:$E$502,"&lt;"&amp;AO252)+1)))</x:f>
        <x:v>293</x:v>
      </x:c>
      <x:c r="AQ252" s="14" t="n">
        <x:f t="shared" si="306">IF(B252&lt;=2,1,IF(B252&lt;=6,2,IF(B252&lt;=9,3,IF(B252&lt;=19,4,5))))</x:f>
        <x:v>5</x:v>
      </x:c>
      <x:c r="AR252" s="10" t="n">
        <x:f t="shared" si="307">AN252*(1-Q252)/F252*$AS$3+U252*$AS$4+P252*$AS$5</x:f>
        <x:v>16649.51152470444</x:v>
      </x:c>
      <x:c r="AS252" s="15" t="n">
        <x:f t="shared" si="308">1+AH252*$AS$6+AI252*$AS$7+(AJ252-1)*$AS$8+($H$10*H252+$I$10*I252+$J$10*J252+$K$10*K252+$L$10*L252)*$AU$3*$AS$9+($H$10*H252+$I$10*I252+$J$10*J252+$K$10*K252+$L$10*L252)*$AU$4*$AS$10</x:f>
        <x:v>16.948404417564916</x:v>
      </x:c>
      <x:c r="AT252" s="16" t="n">
        <x:f t="shared" si="309">ROUND(AR252*AS252,0)</x:f>
        <x:v>282183</x:v>
      </x:c>
      <x:c r="AU252" s="16" t="n">
        <x:f t="shared" si="310">ROUND(AT252*F252,0)</x:f>
        <x:v>1410915</x:v>
      </x:c>
      <x:c r="AV252" t="n">
        <x:f>IF(AU252&gt;0,ROUND(AU252,-MAX(0,INT(LOG10(AU252))-2)),0)</x:f>
        <x:v>1410000</x:v>
      </x:c>
    </x:row>
    <x:row r="253" customHeight="1">
      <x:c r="A253" s="1" t="str">
        <x:f>IFERROR(XLOOKUP(B253,'_曲线基线'!$G$3:$G$107,'_曲线基线'!$J$3:$J$107,""),"")</x:f>
      </x:c>
      <x:c r="B253" s="1" t="n">
        <x:v>242</x:v>
      </x:c>
      <x:c r="C253" s="1" t="n">
        <x:f t="shared" si="349">C238+1</x:f>
        <x:v>17</x:v>
      </x:c>
      <x:c r="D253" s="1" t="n">
        <x:f t="shared" si="350">D238</x:f>
        <x:v>8</x:v>
      </x:c>
      <x:c r="E253" s="1" t="n">
        <x:f t="shared" si="282">IF($B253&lt;E$8,0,E$3+(E$4-E$3)*(POWER(E$5,$B253-E$8)-1)/(POWER(E$5,$C$5-E$8)-1))</x:f>
        <x:v>1</x:v>
      </x:c>
      <x:c r="F253" s="10" t="n">
        <x:f t="shared" si="283">1+IF(B253&lt;3,0,MIN(1,(B253-2)/4))+IF(B253&lt;7,0,MIN(1,(B253-6)/3))+IF(B253&lt;10,0,MIN(1,(B253-9)/5))+IF(B253&lt;20,0,MIN(1,(B253-19)/10))</x:f>
        <x:v>5</x:v>
      </x:c>
      <x:c r="G253" s="11" t="n">
        <x:f t="shared" ref="G253:L253" si="361">'玩家战力_节点'!G253</x:f>
        <x:v>0.8575330239952619</x:v>
      </x:c>
      <x:c r="H253" s="11" t="n">
        <x:f t="shared" si="361">'玩家战力_节点'!H253</x:f>
        <x:v>0.666910675268915</x:v>
      </x:c>
      <x:c r="I253" s="11" t="n">
        <x:f t="shared" si="361">'玩家战力_节点'!I253</x:f>
        <x:v>0.6072452958137426</x:v>
      </x:c>
      <x:c r="J253" s="11" t="n">
        <x:f t="shared" si="361">'玩家战力_节点'!J253</x:f>
        <x:v>0.5643897626955517</x:v>
      </x:c>
      <x:c r="K253" s="11" t="n">
        <x:f t="shared" si="361">'玩家战力_节点'!K253</x:f>
        <x:v>0.5971723852423735</x:v>
      </x:c>
      <x:c r="L253" s="11" t="n">
        <x:f t="shared" si="361">'玩家战力_节点'!L253</x:f>
        <x:v>0.6656021336602127</x:v>
      </x:c>
      <x:c r="M253" s="2" t="n">
        <x:f>E253*'模块规划'!$F$10+G253*'模块规划'!$F$11+H253*'模块规划'!$F$13</x:f>
        <x:v>5116.158515177257</x:v>
      </x:c>
      <x:c r="N253" s="2" t="n">
        <x:f>I253*'模块规划'!$F$15+J253*'模块规划'!$F$17+K253*'模块规划'!$F$16+L253*'模块规划'!$F$18</x:f>
        <x:v>17412.904973220764</x:v>
      </x:c>
      <x:c r="O253" s="2" t="n">
        <x:f t="shared" si="285">1+O$9*SUMPRODUCT($H$10:$L$10,H253:L253)/SUM($H$10:$L$10)</x:f>
        <x:v>3.273462916524401</x:v>
      </x:c>
      <x:c r="P253" s="12" t="n">
        <x:f t="shared" si="286">M253*O253+N253</x:f>
        <x:v>34160.46014771405</x:v>
      </x:c>
      <x:c r="Q253" s="7" t="n">
        <x:f>P253/(P253+'_曲线基线'!$L$2)</x:f>
        <x:v>0.5873485192681492</x:v>
      </x:c>
      <x:c r="R253" s="2" t="n">
        <x:f>E253*'模块规划'!$E$10+G253*'模块规划'!$E$11+H253*'模块规划'!$E$13</x:f>
        <x:v>7674.237772765886</x:v>
      </x:c>
      <x:c r="S253" s="2" t="n">
        <x:f>I253*'模块规划'!$E$15+J253*'模块规划'!$E$17+K253*'模块规划'!$E$16+L253*'模块规划'!$E$18</x:f>
        <x:v>26119.357459831146</x:v>
      </x:c>
      <x:c r="T253" s="2" t="n">
        <x:f t="shared" si="287">1+T$9*SUMPRODUCT($H$10:$L$10,H253:L253)/SUM($H$10:$L$10)</x:f>
        <x:v>3.273462916524401</x:v>
      </x:c>
      <x:c r="U253" s="12" t="n">
        <x:f t="shared" si="288">R253*T253+S253</x:f>
        <x:v>51240.69022157109</x:v>
      </x:c>
      <x:c r="V253" s="2" t="n">
        <x:f t="shared" si="289">V$8+(V$9-V$8)*H253</x:f>
        <x:v>0.9000732025806745</x:v>
      </x:c>
      <x:c r="W253" s="2" t="n">
        <x:f t="shared" si="290">IF(B253&lt;$H$8,0,W$8+(W$9-W$8)*H253)</x:f>
        <x:v>0.26676427010756604</x:v>
      </x:c>
      <x:c r="X253" s="2" t="n">
        <x:f t="shared" si="291">X$8+(X$9-X$8)*H253</x:f>
        <x:v>0.45840043569895167</x:v>
      </x:c>
      <x:c r="Y253" s="2" t="n">
        <x:f t="shared" si="292">Y$8+(Y$9-Y$8)*G253</x:f>
        <x:v>1</x:v>
      </x:c>
      <x:c r="Z253" s="2" t="n">
        <x:f t="shared" si="293">Z$8+(Z$9-Z$8)*H253</x:f>
        <x:v>1</x:v>
      </x:c>
      <x:c r="AA253" s="2" t="n">
        <x:f t="shared" si="294">AA$8+(AA$9-AA$8)*I253</x:f>
        <x:v>1</x:v>
      </x:c>
      <x:c r="AB253" s="2" t="n">
        <x:f t="shared" si="295">AB$8+(AB$9-AB$8)*J253</x:f>
        <x:v>1</x:v>
      </x:c>
      <x:c r="AC253" s="2" t="n">
        <x:f t="shared" si="296">AC$8+(AC$9-AC$8)*MAX(K253,L253)</x:f>
        <x:v>1</x:v>
      </x:c>
      <x:c r="AD253" s="1" t="n">
        <x:f t="shared" si="297">(V253*AE253+W253*AF253+X253*AG253)*PRODUCT(Y253:AC253)</x:f>
        <x:v>1.8417738125811494</x:v>
      </x:c>
      <x:c r="AE253" s="2" t="n">
        <x:f t="shared" si="298">1+AE$9*($H$10*H253+$I$10*I253+$J$10*J253+$K$10*K253+$L$10*L253)</x:f>
        <x:v>1</x:v>
      </x:c>
      <x:c r="AF253" s="2" t="n">
        <x:f t="shared" si="299">1+AF$9*($H$10*H253+$I$10*I253+$J$10*J253+$K$10*K253+$L$10*L253)</x:f>
        <x:v>1.2006538120657164</x:v>
      </x:c>
      <x:c r="AG253" s="2" t="n">
        <x:f t="shared" si="300">1+AG$9*($H$10*H253+$I$10*I253+$J$10*J253+$K$10*K253+$L$10*L253)</x:f>
        <x:v>1.355603144716467</x:v>
      </x:c>
      <x:c r="AH253" s="2" t="n">
        <x:f>MIN(1,'_曲线基线'!$L$3+AH$9*($H$10*H253+$I$10*I253+$J$10*J253+$K$10*K253+$L$10*L253))</x:f>
        <x:v>0.5064874224495046</x:v>
      </x:c>
      <x:c r="AI253" s="2" t="n">
        <x:f>'_曲线基线'!$L$4+AI$9*($H$10*H253+$I$10*I253+$J$10*J253+$K$10*K253+$L$10*L253)</x:f>
        <x:v>3.2716435339664773</x:v>
      </x:c>
      <x:c r="AJ253" s="2" t="n">
        <x:f t="shared" si="301">1+AJ$9*($H$10*H253+$I$10*I253+$J$10*J253+$K$10*K253+$L$10*L253)</x:f>
        <x:v>2.043399822741725</x:v>
      </x:c>
      <x:c r="AK253" s="1" t="n">
        <x:f t="shared" si="302">(1+AH253*(AI253-1))*AJ253</x:f>
        <x:v>4.394451630596909</x:v>
      </x:c>
      <x:c r="AL253" s="1" t="n">
        <x:f t="shared" si="303">U253*AD253*AK253*F253</x:f>
        <x:v>2073604.6481000797</x:v>
      </x:c>
      <x:c r="AM253" s="13" t="n">
        <x:f t="shared" si="304">IF($B253&lt;AM$8,0,AM$3+(AM$4-AM$3)*(POWER(AM$5,$B253-AM$8)-1)/(POWER(AM$5,$C$5-AM$8)-1))</x:f>
        <x:v>48.42662568173471</x:v>
      </x:c>
      <x:c r="AN253" s="13" t="n">
        <x:f>(((E253*'模块规划'!$D$10+G253*'模块规划'!$D$11+H253*'模块规划'!$D$13)*(1+'模块规划'!$G$14*H253)+(I253*'模块规划'!$D$15+J253*'模块规划'!$D$17+K253*'模块规划'!$D$16+L253*'模块规划'!$D$18))*(1+'模块规划'!$J$17*J253))*F253/(1-Q253)</x:f>
        <x:v>2601339.0137572954</x:v>
      </x:c>
      <x:c r="AO253" s="1" t="n">
        <x:f t="shared" si="305">AL253*AM253</x:f>
        <x:v>100417676.1054478</x:v>
      </x:c>
      <x:c r="AP253" s="1" t="n">
        <x:f>IF(AO253="","",INDEX('_曲线基线'!$A$3:$A$502,MIN(ROWS('_曲线基线'!$A$3:$A$502),COUNTIF('_曲线基线'!$E$3:$E$502,"&lt;"&amp;AO253)+1)))</x:f>
        <x:v>293</x:v>
      </x:c>
      <x:c r="AQ253" s="14" t="n">
        <x:f t="shared" si="306">IF(B253&lt;=2,1,IF(B253&lt;=6,2,IF(B253&lt;=9,3,IF(B253&lt;=19,4,5))))</x:f>
        <x:v>5</x:v>
      </x:c>
      <x:c r="AR253" s="10" t="n">
        <x:f t="shared" si="307">AN253*(1-Q253)/F253*$AS$3+U253*$AS$4+P253*$AS$5</x:f>
        <x:v>16688.816419789102</x:v>
      </x:c>
      <x:c r="AS253" s="15" t="n">
        <x:f t="shared" si="308">1+AH253*$AS$6+AI253*$AS$7+(AJ253-1)*$AS$8+($H$10*H253+$I$10*I253+$J$10*J253+$K$10*K253+$L$10*L253)*$AU$3*$AS$9+($H$10*H253+$I$10*I253+$J$10*J253+$K$10*K253+$L$10*L253)*$AU$4*$AS$10</x:f>
        <x:v>16.97087326382051</x:v>
      </x:c>
      <x:c r="AT253" s="16" t="n">
        <x:f t="shared" si="309">ROUND(AR253*AS253,0)</x:f>
        <x:v>283224</x:v>
      </x:c>
      <x:c r="AU253" s="16" t="n">
        <x:f t="shared" si="310">ROUND(AT253*F253,0)</x:f>
        <x:v>1416120</x:v>
      </x:c>
      <x:c r="AV253" t="n">
        <x:f>IF(AU253&gt;0,ROUND(AU253,-MAX(0,INT(LOG10(AU253))-2)),0)</x:f>
        <x:v>1420000</x:v>
      </x:c>
    </x:row>
    <x:row r="254" customHeight="1">
      <x:c r="A254" s="1" t="str">
        <x:f>IFERROR(XLOOKUP(B254,'_曲线基线'!$G$3:$G$107,'_曲线基线'!$J$3:$J$107,""),"")</x:f>
      </x:c>
      <x:c r="B254" s="1" t="n">
        <x:v>243</x:v>
      </x:c>
      <x:c r="C254" s="1" t="n">
        <x:f t="shared" si="349">C239+1</x:f>
        <x:v>17</x:v>
      </x:c>
      <x:c r="D254" s="1" t="n">
        <x:f t="shared" si="350">D239</x:f>
        <x:v>9</x:v>
      </x:c>
      <x:c r="E254" s="1" t="n">
        <x:f t="shared" si="282">IF($B254&lt;E$8,0,E$3+(E$4-E$3)*(POWER(E$5,$B254-E$8)-1)/(POWER(E$5,$C$5-E$8)-1))</x:f>
        <x:v>1</x:v>
      </x:c>
      <x:c r="F254" s="10" t="n">
        <x:f t="shared" si="283">1+IF(B254&lt;3,0,MIN(1,(B254-2)/4))+IF(B254&lt;7,0,MIN(1,(B254-6)/3))+IF(B254&lt;10,0,MIN(1,(B254-9)/5))+IF(B254&lt;20,0,MIN(1,(B254-19)/10))</x:f>
        <x:v>5</x:v>
      </x:c>
      <x:c r="G254" s="11" t="n">
        <x:f t="shared" ref="G254:L254" si="362">'玩家战力_节点'!G254</x:f>
        <x:v>0.8587444153466937</x:v>
      </x:c>
      <x:c r="H254" s="11" t="n">
        <x:f t="shared" si="362">'玩家战力_节点'!H254</x:f>
        <x:v>0.6678384317579192</x:v>
      </x:c>
      <x:c r="I254" s="11" t="n">
        <x:f t="shared" si="362">'玩家战力_节点'!I254</x:f>
        <x:v>0.6084868350297159</x:v>
      </x:c>
      <x:c r="J254" s="11" t="n">
        <x:f t="shared" si="362">'玩家战力_节点'!J254</x:f>
        <x:v>0.5653954112420748</x:v>
      </x:c>
      <x:c r="K254" s="11" t="n">
        <x:f t="shared" si="362">'玩家战力_节点'!K254</x:f>
        <x:v>0.5987806887296374</x:v>
      </x:c>
      <x:c r="L254" s="11" t="n">
        <x:f t="shared" si="362">'玩家战力_节点'!L254</x:f>
        <x:v>0.6665718537385079</x:v>
      </x:c>
      <x:c r="M254" s="2" t="n">
        <x:f>E254*'模块规划'!$F$10+G254*'模块规划'!$F$11+H254*'模块规划'!$F$13</x:f>
        <x:v>5121.973193664129</x:v>
      </x:c>
      <x:c r="N254" s="2" t="n">
        <x:f>I254*'模块规划'!$F$15+J254*'模块规划'!$F$17+K254*'模块规划'!$F$16+L254*'模块规划'!$F$18</x:f>
        <x:v>17447.39219372884</x:v>
      </x:c>
      <x:c r="O254" s="2" t="n">
        <x:f t="shared" si="285">1+O$9*SUMPRODUCT($H$10:$L$10,H254:L254)/SUM($H$10:$L$10)</x:f>
        <x:v>3.2777235587169944</x:v>
      </x:c>
      <x:c r="P254" s="12" t="n">
        <x:f t="shared" si="286">M254*O254+N254</x:f>
        <x:v>34235.804397718675</x:v>
      </x:c>
      <x:c r="Q254" s="7" t="n">
        <x:f>P254/(P254+'_曲线基线'!$L$2)</x:f>
        <x:v>0.5878823990119011</x:v>
      </x:c>
      <x:c r="R254" s="2" t="n">
        <x:f>E254*'模块规划'!$E$10+G254*'模块规划'!$E$11+H254*'模块规划'!$E$13</x:f>
        <x:v>7682.959790496195</x:v>
      </x:c>
      <x:c r="S254" s="2" t="n">
        <x:f>I254*'模块规划'!$E$15+J254*'模块规划'!$E$17+K254*'模块规划'!$E$16+L254*'模块规划'!$E$18</x:f>
        <x:v>26171.08829059326</x:v>
      </x:c>
      <x:c r="T254" s="2" t="n">
        <x:f t="shared" si="287">1+T$9*SUMPRODUCT($H$10:$L$10,H254:L254)/SUM($H$10:$L$10)</x:f>
        <x:v>3.2777235587169944</x:v>
      </x:c>
      <x:c r="U254" s="12" t="n">
        <x:f t="shared" si="288">R254*T254+S254</x:f>
        <x:v>51353.70659657802</x:v>
      </x:c>
      <x:c r="V254" s="2" t="n">
        <x:f t="shared" si="289">V$8+(V$9-V$8)*H254</x:f>
        <x:v>0.9003515295273757</x:v>
      </x:c>
      <x:c r="W254" s="2" t="n">
        <x:f t="shared" si="290">IF(B254&lt;$H$8,0,W$8+(W$9-W$8)*H254)</x:f>
        <x:v>0.26713537270316773</x:v>
      </x:c>
      <x:c r="X254" s="2" t="n">
        <x:f t="shared" si="291">X$8+(X$9-X$8)*H254</x:f>
        <x:v>0.45865556873342783</x:v>
      </x:c>
      <x:c r="Y254" s="2" t="n">
        <x:f t="shared" si="292">Y$8+(Y$9-Y$8)*G254</x:f>
        <x:v>1</x:v>
      </x:c>
      <x:c r="Z254" s="2" t="n">
        <x:f t="shared" si="293">Z$8+(Z$9-Z$8)*H254</x:f>
        <x:v>1</x:v>
      </x:c>
      <x:c r="AA254" s="2" t="n">
        <x:f t="shared" si="294">AA$8+(AA$9-AA$8)*I254</x:f>
        <x:v>1</x:v>
      </x:c>
      <x:c r="AB254" s="2" t="n">
        <x:f t="shared" si="295">AB$8+(AB$9-AB$8)*J254</x:f>
        <x:v>1</x:v>
      </x:c>
      <x:c r="AC254" s="2" t="n">
        <x:f t="shared" si="296">AC$8+(AC$9-AC$8)*MAX(K254,L254)</x:f>
        <x:v>1</x:v>
      </x:c>
      <x:c r="AD254" s="1" t="n">
        <x:f t="shared" si="297">(V254*AE254+W254*AF254+X254*AG254)*PRODUCT(Y254:AC254)</x:f>
        <x:v>1.8432496787270347</x:v>
      </x:c>
      <x:c r="AE254" s="2" t="n">
        <x:f t="shared" si="298">1+AE$9*($H$10*H254+$I$10*I254+$J$10*J254+$K$10*K254+$L$10*L254)</x:f>
        <x:v>1</x:v>
      </x:c>
      <x:c r="AF254" s="2" t="n">
        <x:f t="shared" si="299">1+AF$9*($H$10*H254+$I$10*I254+$J$10*J254+$K$10*K254+$L$10*L254)</x:f>
        <x:v>1.2010298525507308</x:v>
      </x:c>
      <x:c r="AG254" s="2" t="n">
        <x:f t="shared" si="300">1+AG$9*($H$10*H254+$I$10*I254+$J$10*J254+$K$10*K254+$L$10*L254)</x:f>
        <x:v>1.3562695720204645</x:v>
      </x:c>
      <x:c r="AH254" s="2" t="n">
        <x:f>MIN(1,'_曲线基线'!$L$3+AH$9*($H$10*H254+$I$10*I254+$J$10*J254+$K$10*K254+$L$10*L254))</x:f>
        <x:v>0.5073429145529122</x:v>
      </x:c>
      <x:c r="AI254" s="2" t="n">
        <x:f>'_曲线基线'!$L$4+AI$9*($H$10*H254+$I$10*I254+$J$10*J254+$K$10*K254+$L$10*L254)</x:f>
        <x:v>3.2740266905402553</x:v>
      </x:c>
      <x:c r="AJ254" s="2" t="n">
        <x:f t="shared" si="301">1+AJ$9*($H$10*H254+$I$10*I254+$J$10*J254+$K$10*K254+$L$10*L254)</x:f>
        <x:v>2.045355233263799</x:v>
      </x:c>
      <x:c r="AK254" s="1" t="n">
        <x:f t="shared" si="302">(1+AH254*(AI254-1))*AJ254</x:f>
        <x:v>4.405104737607019</x:v>
      </x:c>
      <x:c r="AL254" s="1" t="n">
        <x:f t="shared" si="303">U254*AD254*AK254*F254</x:f>
        <x:v>2084885.4837690936</x:v>
      </x:c>
      <x:c r="AM254" s="13" t="n">
        <x:f t="shared" si="304">IF($B254&lt;AM$8,0,AM$3+(AM$4-AM$3)*(POWER(AM$5,$B254-AM$8)-1)/(POWER(AM$5,$C$5-AM$8)-1))</x:f>
        <x:v>48.574316578473926</x:v>
      </x:c>
      <x:c r="AN254" s="13" t="n">
        <x:f>(((E254*'模块规划'!$D$10+G254*'模块规划'!$D$11+H254*'模块规划'!$D$13)*(1+'模块规划'!$G$14*H254)+(I254*'模块规划'!$D$15+J254*'模块规划'!$D$17+K254*'模块规划'!$D$16+L254*'模块规划'!$D$18))*(1+'模块规划'!$J$17*J254))*F254/(1-Q254)</x:f>
        <x:v>2611477.3583966265</x:v>
      </x:c>
      <x:c r="AO254" s="1" t="n">
        <x:f t="shared" si="305">AL254*AM254</x:f>
        <x:v>101271887.51846471</x:v>
      </x:c>
      <x:c r="AP254" s="1" t="n">
        <x:f>IF(AO254="","",INDEX('_曲线基线'!$A$3:$A$502,MIN(ROWS('_曲线基线'!$A$3:$A$502),COUNTIF('_曲线基线'!$E$3:$E$502,"&lt;"&amp;AO254)+1)))</x:f>
        <x:v>294</x:v>
      </x:c>
      <x:c r="AQ254" s="14" t="n">
        <x:f t="shared" si="306">IF(B254&lt;=2,1,IF(B254&lt;=6,2,IF(B254&lt;=9,3,IF(B254&lt;=19,4,5))))</x:f>
        <x:v>5</x:v>
      </x:c>
      <x:c r="AR254" s="10" t="n">
        <x:f t="shared" si="307">AN254*(1-Q254)/F254*$AS$3+U254*$AS$4+P254*$AS$5</x:f>
        <x:v>16728.156023178537</x:v>
      </x:c>
      <x:c r="AS254" s="15" t="n">
        <x:f t="shared" si="308">1+AH254*$AS$6+AI254*$AS$7+(AJ254-1)*$AS$8+($H$10*H254+$I$10*I254+$J$10*J254+$K$10*K254+$L$10*L254)*$AU$3*$AS$9+($H$10*H254+$I$10*I254+$J$10*J254+$K$10*K254+$L$10*L254)*$AU$4*$AS$10</x:f>
        <x:v>16.993342110076117</x:v>
      </x:c>
      <x:c r="AT254" s="16" t="n">
        <x:f t="shared" si="309">ROUND(AR254*AS254,0)</x:f>
        <x:v>284267</x:v>
      </x:c>
      <x:c r="AU254" s="16" t="n">
        <x:f t="shared" si="310">ROUND(AT254*F254,0)</x:f>
        <x:v>1421335</x:v>
      </x:c>
      <x:c r="AV254" t="n">
        <x:f>IF(AU254&gt;0,ROUND(AU254,-MAX(0,INT(LOG10(AU254))-2)),0)</x:f>
        <x:v>1420000</x:v>
      </x:c>
    </x:row>
    <x:row r="255" customHeight="1">
      <x:c r="A255" s="1" t="str">
        <x:f>IFERROR(XLOOKUP(B255,'_曲线基线'!$G$3:$G$107,'_曲线基线'!$J$3:$J$107,""),"")</x:f>
      </x:c>
      <x:c r="B255" s="1" t="n">
        <x:v>244</x:v>
      </x:c>
      <x:c r="C255" s="1" t="n">
        <x:f t="shared" si="349">C240+1</x:f>
        <x:v>17</x:v>
      </x:c>
      <x:c r="D255" s="1" t="n">
        <x:f t="shared" si="350">D240</x:f>
        <x:v>10</x:v>
      </x:c>
      <x:c r="E255" s="1" t="n">
        <x:f t="shared" si="282">IF($B255&lt;E$8,0,E$3+(E$4-E$3)*(POWER(E$5,$B255-E$8)-1)/(POWER(E$5,$C$5-E$8)-1))</x:f>
        <x:v>1</x:v>
      </x:c>
      <x:c r="F255" s="10" t="n">
        <x:f t="shared" si="283">1+IF(B255&lt;3,0,MIN(1,(B255-2)/4))+IF(B255&lt;7,0,MIN(1,(B255-6)/3))+IF(B255&lt;10,0,MIN(1,(B255-9)/5))+IF(B255&lt;20,0,MIN(1,(B255-19)/10))</x:f>
        <x:v>5</x:v>
      </x:c>
      <x:c r="G255" s="11" t="n">
        <x:f t="shared" ref="G255:L255" si="363">'玩家战力_节点'!G255</x:f>
        <x:v>0.8599558066981254</x:v>
      </x:c>
      <x:c r="H255" s="11" t="n">
        <x:f t="shared" si="363">'玩家战力_节点'!H255</x:f>
        <x:v>0.6687661882469237</x:v>
      </x:c>
      <x:c r="I255" s="11" t="n">
        <x:f t="shared" si="363">'玩家战力_节点'!I255</x:f>
        <x:v>0.6097283742456893</x:v>
      </x:c>
      <x:c r="J255" s="11" t="n">
        <x:f t="shared" si="363">'玩家战力_节点'!J255</x:f>
        <x:v>0.5664010597885978</x:v>
      </x:c>
      <x:c r="K255" s="11" t="n">
        <x:f t="shared" si="363">'玩家战力_节点'!K255</x:f>
        <x:v>0.6003889922169015</x:v>
      </x:c>
      <x:c r="L255" s="11" t="n">
        <x:f t="shared" si="363">'玩家战力_节点'!L255</x:f>
        <x:v>0.667541573816803</x:v>
      </x:c>
      <x:c r="M255" s="2" t="n">
        <x:f>E255*'模块规划'!$F$10+G255*'模块规划'!$F$11+H255*'模块规划'!$F$13</x:f>
        <x:v>5127.787872151002</x:v>
      </x:c>
      <x:c r="N255" s="2" t="n">
        <x:f>I255*'模块规划'!$F$15+J255*'模块规划'!$F$17+K255*'模块规划'!$F$16+L255*'模块规划'!$F$18</x:f>
        <x:v>17481.87941423691</x:v>
      </x:c>
      <x:c r="O255" s="2" t="n">
        <x:f t="shared" si="285">1+O$9*SUMPRODUCT($H$10:$L$10,H255:L255)/SUM($H$10:$L$10)</x:f>
        <x:v>3.2819842009095868</x:v>
      </x:c>
      <x:c r="P255" s="12" t="n">
        <x:f t="shared" si="286">M255*O255+N255</x:f>
        <x:v>34311.198196252284</x:v>
      </x:c>
      <x:c r="Q255" s="7" t="n">
        <x:f>P255/(P255+'_曲线基线'!$L$2)</x:f>
        <x:v>0.5884152488304982</x:v>
      </x:c>
      <x:c r="R255" s="2" t="n">
        <x:f>E255*'模块规划'!$E$10+G255*'模块规划'!$E$11+H255*'模块规划'!$E$13</x:f>
        <x:v>7691.681808226504</x:v>
      </x:c>
      <x:c r="S255" s="2" t="n">
        <x:f>I255*'模块规划'!$E$15+J255*'模块规划'!$E$17+K255*'模块规划'!$E$16+L255*'模块规划'!$E$18</x:f>
        <x:v>26222.819121355376</x:v>
      </x:c>
      <x:c r="T255" s="2" t="n">
        <x:f t="shared" si="287">1+T$9*SUMPRODUCT($H$10:$L$10,H255:L255)/SUM($H$10:$L$10)</x:f>
        <x:v>3.2819842009095868</x:v>
      </x:c>
      <x:c r="U255" s="12" t="n">
        <x:f t="shared" si="288">R255*T255+S255</x:f>
        <x:v>51466.79729437844</x:v>
      </x:c>
      <x:c r="V255" s="2" t="n">
        <x:f t="shared" si="289">V$8+(V$9-V$8)*H255</x:f>
        <x:v>0.9006298564740771</x:v>
      </x:c>
      <x:c r="W255" s="2" t="n">
        <x:f t="shared" si="290">IF(B255&lt;$H$8,0,W$8+(W$9-W$8)*H255)</x:f>
        <x:v>0.2675064752987695</x:v>
      </x:c>
      <x:c r="X255" s="2" t="n">
        <x:f t="shared" si="291">X$8+(X$9-X$8)*H255</x:f>
        <x:v>0.45891070176790405</x:v>
      </x:c>
      <x:c r="Y255" s="2" t="n">
        <x:f t="shared" si="292">Y$8+(Y$9-Y$8)*G255</x:f>
        <x:v>1</x:v>
      </x:c>
      <x:c r="Z255" s="2" t="n">
        <x:f t="shared" si="293">Z$8+(Z$9-Z$8)*H255</x:f>
        <x:v>1</x:v>
      </x:c>
      <x:c r="AA255" s="2" t="n">
        <x:f t="shared" si="294">AA$8+(AA$9-AA$8)*I255</x:f>
        <x:v>1</x:v>
      </x:c>
      <x:c r="AB255" s="2" t="n">
        <x:f t="shared" si="295">AB$8+(AB$9-AB$8)*J255</x:f>
        <x:v>1</x:v>
      </x:c>
      <x:c r="AC255" s="2" t="n">
        <x:f t="shared" si="296">AC$8+(AC$9-AC$8)*MAX(K255,L255)</x:f>
        <x:v>1</x:v>
      </x:c>
      <x:c r="AD255" s="1" t="n">
        <x:f t="shared" si="297">(V255*AE255+W255*AF255+X255*AG255)*PRODUCT(Y255:AC255)</x:f>
        <x:v>1.8447261640273607</x:v>
      </x:c>
      <x:c r="AE255" s="2" t="n">
        <x:f t="shared" si="298">1+AE$9*($H$10*H255+$I$10*I255+$J$10*J255+$K$10*K255+$L$10*L255)</x:f>
        <x:v>1</x:v>
      </x:c>
      <x:c r="AF255" s="2" t="n">
        <x:f t="shared" si="299">1+AF$9*($H$10*H255+$I$10*I255+$J$10*J255+$K$10*K255+$L$10*L255)</x:f>
        <x:v>1.201405893035745</x:v>
      </x:c>
      <x:c r="AG255" s="2" t="n">
        <x:f t="shared" si="300">1+AG$9*($H$10*H255+$I$10*I255+$J$10*J255+$K$10*K255+$L$10*L255)</x:f>
        <x:v>1.356935999324462</x:v>
      </x:c>
      <x:c r="AH255" s="2" t="n">
        <x:f>MIN(1,'_曲线基线'!$L$3+AH$9*($H$10*H255+$I$10*I255+$J$10*J255+$K$10*K255+$L$10*L255))</x:f>
        <x:v>0.5081984066563195</x:v>
      </x:c>
      <x:c r="AI255" s="2" t="n">
        <x:f>'_曲线基线'!$L$4+AI$9*($H$10*H255+$I$10*I255+$J$10*J255+$K$10*K255+$L$10*L255)</x:f>
        <x:v>3.276409847114033</x:v>
      </x:c>
      <x:c r="AJ255" s="2" t="n">
        <x:f t="shared" si="301">1+AJ$9*($H$10*H255+$I$10*I255+$J$10*J255+$K$10*K255+$L$10*L255)</x:f>
        <x:v>2.047310643785873</x:v>
      </x:c>
      <x:c r="AK255" s="1" t="n">
        <x:f t="shared" si="302">(1+AH255*(AI255-1))*AJ255</x:f>
        <x:v>4.415778521285408</x:v>
      </x:c>
      <x:c r="AL255" s="1" t="n">
        <x:f t="shared" si="303">U255*AD255*AK255*F255</x:f>
        <x:v>2096217.479527728</x:v>
      </x:c>
      <x:c r="AM255" s="13" t="n">
        <x:f t="shared" si="304">IF($B255&lt;AM$8,0,AM$3+(AM$4-AM$3)*(POWER(AM$5,$B255-AM$8)-1)/(POWER(AM$5,$C$5-AM$8)-1))</x:f>
        <x:v>48.72348438418054</x:v>
      </x:c>
      <x:c r="AN255" s="13" t="n">
        <x:f>(((E255*'模块规划'!$D$10+G255*'模块规划'!$D$11+H255*'模块规划'!$D$13)*(1+'模块规划'!$G$14*H255)+(I255*'模块规划'!$D$15+J255*'模块规划'!$D$17+K255*'模块规划'!$D$16+L255*'模块规划'!$D$18))*(1+'模块规划'!$J$17*J255))*F255/(1-Q255)</x:f>
        <x:v>2621643.4820427406</x:v>
      </x:c>
      <x:c r="AO255" s="1" t="n">
        <x:f t="shared" si="305">AL255*AM255</x:f>
        <x:v>102135019.62961553</x:v>
      </x:c>
      <x:c r="AP255" s="1" t="n">
        <x:f>IF(AO255="","",INDEX('_曲线基线'!$A$3:$A$502,MIN(ROWS('_曲线基线'!$A$3:$A$502),COUNTIF('_曲线基线'!$E$3:$E$502,"&lt;"&amp;AO255)+1)))</x:f>
        <x:v>295</x:v>
      </x:c>
      <x:c r="AQ255" s="14" t="n">
        <x:f t="shared" si="306">IF(B255&lt;=2,1,IF(B255&lt;=6,2,IF(B255&lt;=9,3,IF(B255&lt;=19,4,5))))</x:f>
        <x:v>5</x:v>
      </x:c>
      <x:c r="AR255" s="10" t="n">
        <x:f t="shared" si="307">AN255*(1-Q255)/F255*$AS$3+U255*$AS$4+P255*$AS$5</x:f>
        <x:v>16767.53034014593</x:v>
      </x:c>
      <x:c r="AS255" s="15" t="n">
        <x:f t="shared" si="308">1+AH255*$AS$6+AI255*$AS$7+(AJ255-1)*$AS$8+($H$10*H255+$I$10*I255+$J$10*J255+$K$10*K255+$L$10*L255)*$AU$3*$AS$9+($H$10*H255+$I$10*I255+$J$10*J255+$K$10*K255+$L$10*L255)*$AU$4*$AS$10</x:f>
        <x:v>17.015810956331716</x:v>
      </x:c>
      <x:c r="AT255" s="16" t="n">
        <x:f t="shared" si="309">ROUND(AR255*AS255,0)</x:f>
        <x:v>285313</x:v>
      </x:c>
      <x:c r="AU255" s="16" t="n">
        <x:f t="shared" si="310">ROUND(AT255*F255,0)</x:f>
        <x:v>1426565</x:v>
      </x:c>
      <x:c r="AV255" t="n">
        <x:f>IF(AU255&gt;0,ROUND(AU255,-MAX(0,INT(LOG10(AU255))-2)),0)</x:f>
        <x:v>1430000</x:v>
      </x:c>
    </x:row>
    <x:row r="256" customHeight="1">
      <x:c r="A256" s="1" t="str">
        <x:f>IFERROR(XLOOKUP(B256,'_曲线基线'!$G$3:$G$107,'_曲线基线'!$J$3:$J$107,""),"")</x:f>
      </x:c>
      <x:c r="B256" s="1" t="n">
        <x:v>245</x:v>
      </x:c>
      <x:c r="C256" s="1" t="n">
        <x:f t="shared" si="349">C241+1</x:f>
        <x:v>17</x:v>
      </x:c>
      <x:c r="D256" s="1" t="n">
        <x:f t="shared" si="350">D241</x:f>
        <x:v>11</x:v>
      </x:c>
      <x:c r="E256" s="1" t="n">
        <x:f t="shared" si="282">IF($B256&lt;E$8,0,E$3+(E$4-E$3)*(POWER(E$5,$B256-E$8)-1)/(POWER(E$5,$C$5-E$8)-1))</x:f>
        <x:v>1</x:v>
      </x:c>
      <x:c r="F256" s="10" t="n">
        <x:f t="shared" si="283">1+IF(B256&lt;3,0,MIN(1,(B256-2)/4))+IF(B256&lt;7,0,MIN(1,(B256-6)/3))+IF(B256&lt;10,0,MIN(1,(B256-9)/5))+IF(B256&lt;20,0,MIN(1,(B256-19)/10))</x:f>
        <x:v>5</x:v>
      </x:c>
      <x:c r="G256" s="11" t="n">
        <x:f t="shared" ref="G256:L256" si="364">'玩家战力_节点'!G256</x:f>
        <x:v>0.8611671980495572</x:v>
      </x:c>
      <x:c r="H256" s="11" t="n">
        <x:f t="shared" si="364">'玩家战力_节点'!H256</x:f>
        <x:v>0.6696939447359279</x:v>
      </x:c>
      <x:c r="I256" s="11" t="n">
        <x:f t="shared" si="364">'玩家战力_节点'!I256</x:f>
        <x:v>0.6109699134616624</x:v>
      </x:c>
      <x:c r="J256" s="11" t="n">
        <x:f t="shared" si="364">'玩家战力_节点'!J256</x:f>
        <x:v>0.5674067083351209</x:v>
      </x:c>
      <x:c r="K256" s="11" t="n">
        <x:f t="shared" si="364">'玩家战力_节点'!K256</x:f>
        <x:v>0.6019972957041654</x:v>
      </x:c>
      <x:c r="L256" s="11" t="n">
        <x:f t="shared" si="364">'玩家战力_节点'!L256</x:f>
        <x:v>0.6685112938950981</x:v>
      </x:c>
      <x:c r="M256" s="2" t="n">
        <x:f>E256*'模块规划'!$F$10+G256*'模块规划'!$F$11+H256*'模块规划'!$F$13</x:f>
        <x:v>5133.602550637875</x:v>
      </x:c>
      <x:c r="N256" s="2" t="n">
        <x:f>I256*'模块规划'!$F$15+J256*'模块规划'!$F$17+K256*'模块规划'!$F$16+L256*'模块规划'!$F$18</x:f>
        <x:v>17516.36663474499</x:v>
      </x:c>
      <x:c r="O256" s="2" t="n">
        <x:f t="shared" si="285">1+O$9*SUMPRODUCT($H$10:$L$10,H256:L256)/SUM($H$10:$L$10)</x:f>
        <x:v>3.2862448431021796</x:v>
      </x:c>
      <x:c r="P256" s="12" t="n">
        <x:f t="shared" si="286">M256*O256+N256</x:f>
        <x:v>34386.6415433149</x:v>
      </x:c>
      <x:c r="Q256" s="7" t="n">
        <x:f>P256/(P256+'_曲线基线'!$L$2)</x:f>
        <x:v>0.588947071357148</x:v>
      </x:c>
      <x:c r="R256" s="2" t="n">
        <x:f>E256*'模块规划'!$E$10+G256*'模块规划'!$E$11+H256*'模块规划'!$E$13</x:f>
        <x:v>7700.4038259568115</x:v>
      </x:c>
      <x:c r="S256" s="2" t="n">
        <x:f>I256*'模块规划'!$E$15+J256*'模块规划'!$E$17+K256*'模块规划'!$E$16+L256*'模块规划'!$E$18</x:f>
        <x:v>26274.549952117486</x:v>
      </x:c>
      <x:c r="T256" s="2" t="n">
        <x:f t="shared" si="287">1+T$9*SUMPRODUCT($H$10:$L$10,H256:L256)/SUM($H$10:$L$10)</x:f>
        <x:v>3.2862448431021796</x:v>
      </x:c>
      <x:c r="U256" s="12" t="n">
        <x:f t="shared" si="288">R256*T256+S256</x:f>
        <x:v>51579.96231497235</x:v>
      </x:c>
      <x:c r="V256" s="2" t="n">
        <x:f t="shared" si="289">V$8+(V$9-V$8)*H256</x:f>
        <x:v>0.9009081834207784</x:v>
      </x:c>
      <x:c r="W256" s="2" t="n">
        <x:f t="shared" si="290">IF(B256&lt;$H$8,0,W$8+(W$9-W$8)*H256)</x:f>
        <x:v>0.26787757789437117</x:v>
      </x:c>
      <x:c r="X256" s="2" t="n">
        <x:f t="shared" si="291">X$8+(X$9-X$8)*H256</x:f>
        <x:v>0.4591658348023802</x:v>
      </x:c>
      <x:c r="Y256" s="2" t="n">
        <x:f t="shared" si="292">Y$8+(Y$9-Y$8)*G256</x:f>
        <x:v>1</x:v>
      </x:c>
      <x:c r="Z256" s="2" t="n">
        <x:f t="shared" si="293">Z$8+(Z$9-Z$8)*H256</x:f>
        <x:v>1</x:v>
      </x:c>
      <x:c r="AA256" s="2" t="n">
        <x:f t="shared" si="294">AA$8+(AA$9-AA$8)*I256</x:f>
        <x:v>1</x:v>
      </x:c>
      <x:c r="AB256" s="2" t="n">
        <x:f t="shared" si="295">AB$8+(AB$9-AB$8)*J256</x:f>
        <x:v>1</x:v>
      </x:c>
      <x:c r="AC256" s="2" t="n">
        <x:f t="shared" si="296">AC$8+(AC$9-AC$8)*MAX(K256,L256)</x:f>
        <x:v>1</x:v>
      </x:c>
      <x:c r="AD256" s="1" t="n">
        <x:f t="shared" si="297">(V256*AE256+W256*AF256+X256*AG256)*PRODUCT(Y256:AC256)</x:f>
        <x:v>1.8462032684821272</x:v>
      </x:c>
      <x:c r="AE256" s="2" t="n">
        <x:f t="shared" si="298">1+AE$9*($H$10*H256+$I$10*I256+$J$10*J256+$K$10*K256+$L$10*L256)</x:f>
        <x:v>1</x:v>
      </x:c>
      <x:c r="AF256" s="2" t="n">
        <x:f t="shared" si="299">1+AF$9*($H$10*H256+$I$10*I256+$J$10*J256+$K$10*K256+$L$10*L256)</x:f>
        <x:v>1.2017819335207593</x:v>
      </x:c>
      <x:c r="AG256" s="2" t="n">
        <x:f t="shared" si="300">1+AG$9*($H$10*H256+$I$10*I256+$J$10*J256+$K$10*K256+$L$10*L256)</x:f>
        <x:v>1.3576024266284596</x:v>
      </x:c>
      <x:c r="AH256" s="2" t="n">
        <x:f>MIN(1,'_曲线基线'!$L$3+AH$9*($H$10*H256+$I$10*I256+$J$10*J256+$K$10*K256+$L$10*L256))</x:f>
        <x:v>0.509053898759727</x:v>
      </x:c>
      <x:c r="AI256" s="2" t="n">
        <x:f>'_曲线基线'!$L$4+AI$9*($H$10*H256+$I$10*I256+$J$10*J256+$K$10*K256+$L$10*L256)</x:f>
        <x:v>3.278793003687811</x:v>
      </x:c>
      <x:c r="AJ256" s="2" t="n">
        <x:f t="shared" si="301">1+AJ$9*($H$10*H256+$I$10*I256+$J$10*J256+$K$10*K256+$L$10*L256)</x:f>
        <x:v>2.0492660543079477</x:v>
      </x:c>
      <x:c r="AK256" s="1" t="n">
        <x:f t="shared" si="302">(1+AH256*(AI256-1))*AJ256</x:f>
        <x:v>4.426473005551896</x:v>
      </x:c>
      <x:c r="AL256" s="1" t="n">
        <x:f t="shared" si="303">U256*AD256*AK256*F256</x:f>
        <x:v>2107600.827384906</x:v>
      </x:c>
      <x:c r="AM256" s="13" t="n">
        <x:f t="shared" si="304">IF($B256&lt;AM$8,0,AM$3+(AM$4-AM$3)*(POWER(AM$5,$B256-AM$8)-1)/(POWER(AM$5,$C$5-AM$8)-1))</x:f>
        <x:v>48.87414386794421</x:v>
      </x:c>
      <x:c r="AN256" s="13" t="n">
        <x:f>(((E256*'模块规划'!$D$10+G256*'模块规划'!$D$11+H256*'模块规划'!$D$13)*(1+'模块规划'!$G$14*H256)+(I256*'模块规划'!$D$15+J256*'模块规划'!$D$17+K256*'模块规划'!$D$16+L256*'模块规划'!$D$18))*(1+'模块规划'!$J$17*J256))*F256/(1-Q256)</x:f>
        <x:v>2631837.4353073975</x:v>
      </x:c>
      <x:c r="AO256" s="1" t="n">
        <x:f t="shared" si="305">AL256*AM256</x:f>
        <x:v>103007186.05380815</x:v>
      </x:c>
      <x:c r="AP256" s="1" t="n">
        <x:f>IF(AO256="","",INDEX('_曲线基线'!$A$3:$A$502,MIN(ROWS('_曲线基线'!$A$3:$A$502),COUNTIF('_曲线基线'!$E$3:$E$502,"&lt;"&amp;AO256)+1)))</x:f>
        <x:v>295</x:v>
      </x:c>
      <x:c r="AQ256" s="14" t="n">
        <x:f t="shared" si="306">IF(B256&lt;=2,1,IF(B256&lt;=6,2,IF(B256&lt;=9,3,IF(B256&lt;=19,4,5))))</x:f>
        <x:v>5</x:v>
      </x:c>
      <x:c r="AR256" s="10" t="n">
        <x:f t="shared" si="307">AN256*(1-Q256)/F256*$AS$3+U256*$AS$4+P256*$AS$5</x:f>
        <x:v>16806.93937596446</x:v>
      </x:c>
      <x:c r="AS256" s="15" t="n">
        <x:f t="shared" si="308">1+AH256*$AS$6+AI256*$AS$7+(AJ256-1)*$AS$8+($H$10*H256+$I$10*I256+$J$10*J256+$K$10*K256+$L$10*L256)*$AU$3*$AS$9+($H$10*H256+$I$10*I256+$J$10*J256+$K$10*K256+$L$10*L256)*$AU$4*$AS$10</x:f>
        <x:v>17.038279802587322</x:v>
      </x:c>
      <x:c r="AT256" s="16" t="n">
        <x:f t="shared" si="309">ROUND(AR256*AS256,0)</x:f>
        <x:v>286361</x:v>
      </x:c>
      <x:c r="AU256" s="16" t="n">
        <x:f t="shared" si="310">ROUND(AT256*F256,0)</x:f>
        <x:v>1431805</x:v>
      </x:c>
      <x:c r="AV256" t="n">
        <x:f>IF(AU256&gt;0,ROUND(AU256,-MAX(0,INT(LOG10(AU256))-2)),0)</x:f>
        <x:v>1430000</x:v>
      </x:c>
    </x:row>
    <x:row r="257" customHeight="1">
      <x:c r="A257" s="1" t="str">
        <x:f>IFERROR(XLOOKUP(B257,'_曲线基线'!$G$3:$G$107,'_曲线基线'!$J$3:$J$107,""),"")</x:f>
      </x:c>
      <x:c r="B257" s="1" t="n">
        <x:v>246</x:v>
      </x:c>
      <x:c r="C257" s="1" t="n">
        <x:f t="shared" si="349">C242+1</x:f>
        <x:v>17</x:v>
      </x:c>
      <x:c r="D257" s="1" t="n">
        <x:f t="shared" si="350">D242</x:f>
        <x:v>12</x:v>
      </x:c>
      <x:c r="E257" s="1" t="n">
        <x:f t="shared" si="282">IF($B257&lt;E$8,0,E$3+(E$4-E$3)*(POWER(E$5,$B257-E$8)-1)/(POWER(E$5,$C$5-E$8)-1))</x:f>
        <x:v>1</x:v>
      </x:c>
      <x:c r="F257" s="10" t="n">
        <x:f t="shared" si="283">1+IF(B257&lt;3,0,MIN(1,(B257-2)/4))+IF(B257&lt;7,0,MIN(1,(B257-6)/3))+IF(B257&lt;10,0,MIN(1,(B257-9)/5))+IF(B257&lt;20,0,MIN(1,(B257-19)/10))</x:f>
        <x:v>5</x:v>
      </x:c>
      <x:c r="G257" s="11" t="n">
        <x:f t="shared" ref="G257:L257" si="365">'玩家战力_节点'!G257</x:f>
        <x:v>0.8623785894009892</x:v>
      </x:c>
      <x:c r="H257" s="11" t="n">
        <x:f t="shared" si="365">'玩家战力_节点'!H257</x:f>
        <x:v>0.6706217012249324</x:v>
      </x:c>
      <x:c r="I257" s="11" t="n">
        <x:f t="shared" si="365">'玩家战力_节点'!I257</x:f>
        <x:v>0.6122114526776358</x:v>
      </x:c>
      <x:c r="J257" s="11" t="n">
        <x:f t="shared" si="365">'玩家战力_节点'!J257</x:f>
        <x:v>0.5684123568816438</x:v>
      </x:c>
      <x:c r="K257" s="11" t="n">
        <x:f t="shared" si="365">'玩家战力_节点'!K257</x:f>
        <x:v>0.6036055991914294</x:v>
      </x:c>
      <x:c r="L257" s="11" t="n">
        <x:f t="shared" si="365">'玩家战力_节点'!L257</x:f>
        <x:v>0.6694810139733932</x:v>
      </x:c>
      <x:c r="M257" s="2" t="n">
        <x:f>E257*'模块规划'!$F$10+G257*'模块规划'!$F$11+H257*'模块规划'!$F$13</x:f>
        <x:v>5139.417229124748</x:v>
      </x:c>
      <x:c r="N257" s="2" t="n">
        <x:f>I257*'模块规划'!$F$15+J257*'模块规划'!$F$17+K257*'模块规划'!$F$16+L257*'模块规划'!$F$18</x:f>
        <x:v>17550.853855253066</x:v>
      </x:c>
      <x:c r="O257" s="2" t="n">
        <x:f t="shared" si="285">1+O$9*SUMPRODUCT($H$10:$L$10,H257:L257)/SUM($H$10:$L$10)</x:f>
        <x:v>3.2905054852947715</x:v>
      </x:c>
      <x:c r="P257" s="12" t="n">
        <x:f t="shared" si="286">M257*O257+N257</x:f>
        <x:v>34462.134438906505</x:v>
      </x:c>
      <x:c r="Q257" s="7" t="n">
        <x:f>P257/(P257+'_曲线基线'!$L$2)</x:f>
        <x:v>0.5894778692166939</x:v>
      </x:c>
      <x:c r="R257" s="2" t="n">
        <x:f>E257*'模块规划'!$E$10+G257*'模块规划'!$E$11+H257*'模块规划'!$E$13</x:f>
        <x:v>7709.125843687122</x:v>
      </x:c>
      <x:c r="S257" s="2" t="n">
        <x:f>I257*'模块规划'!$E$15+J257*'模块规划'!$E$17+K257*'模块规划'!$E$16+L257*'模块规划'!$E$18</x:f>
        <x:v>26326.2807828796</x:v>
      </x:c>
      <x:c r="T257" s="2" t="n">
        <x:f t="shared" si="287">1+T$9*SUMPRODUCT($H$10:$L$10,H257:L257)/SUM($H$10:$L$10)</x:f>
        <x:v>3.2905054852947715</x:v>
      </x:c>
      <x:c r="U257" s="12" t="n">
        <x:f t="shared" si="288">R257*T257+S257</x:f>
        <x:v>51693.20165835976</x:v>
      </x:c>
      <x:c r="V257" s="2" t="n">
        <x:f t="shared" si="289">V$8+(V$9-V$8)*H257</x:f>
        <x:v>0.9011865103674797</x:v>
      </x:c>
      <x:c r="W257" s="2" t="n">
        <x:f t="shared" si="290">IF(B257&lt;$H$8,0,W$8+(W$9-W$8)*H257)</x:f>
        <x:v>0.26824868048997297</x:v>
      </x:c>
      <x:c r="X257" s="2" t="n">
        <x:f t="shared" si="291">X$8+(X$9-X$8)*H257</x:f>
        <x:v>0.45942096783685643</x:v>
      </x:c>
      <x:c r="Y257" s="2" t="n">
        <x:f t="shared" si="292">Y$8+(Y$9-Y$8)*G257</x:f>
        <x:v>1</x:v>
      </x:c>
      <x:c r="Z257" s="2" t="n">
        <x:f t="shared" si="293">Z$8+(Z$9-Z$8)*H257</x:f>
        <x:v>1</x:v>
      </x:c>
      <x:c r="AA257" s="2" t="n">
        <x:f t="shared" si="294">AA$8+(AA$9-AA$8)*I257</x:f>
        <x:v>1</x:v>
      </x:c>
      <x:c r="AB257" s="2" t="n">
        <x:f t="shared" si="295">AB$8+(AB$9-AB$8)*J257</x:f>
        <x:v>1</x:v>
      </x:c>
      <x:c r="AC257" s="2" t="n">
        <x:f t="shared" si="296">AC$8+(AC$9-AC$8)*MAX(K257,L257)</x:f>
        <x:v>1</x:v>
      </x:c>
      <x:c r="AD257" s="1" t="n">
        <x:f t="shared" si="297">(V257*AE257+W257*AF257+X257*AG257)*PRODUCT(Y257:AC257)</x:f>
        <x:v>1.8476809920913349</x:v>
      </x:c>
      <x:c r="AE257" s="2" t="n">
        <x:f t="shared" si="298">1+AE$9*($H$10*H257+$I$10*I257+$J$10*J257+$K$10*K257+$L$10*L257)</x:f>
        <x:v>1</x:v>
      </x:c>
      <x:c r="AF257" s="2" t="n">
        <x:f t="shared" si="299">1+AF$9*($H$10*H257+$I$10*I257+$J$10*J257+$K$10*K257+$L$10*L257)</x:f>
        <x:v>1.2021579740057735</x:v>
      </x:c>
      <x:c r="AG257" s="2" t="n">
        <x:f t="shared" si="300">1+AG$9*($H$10*H257+$I$10*I257+$J$10*J257+$K$10*K257+$L$10*L257)</x:f>
        <x:v>1.358268853932457</x:v>
      </x:c>
      <x:c r="AH257" s="2" t="n">
        <x:f>MIN(1,'_曲线基线'!$L$3+AH$9*($H$10*H257+$I$10*I257+$J$10*J257+$K$10*K257+$L$10*L257))</x:f>
        <x:v>0.5099093908631344</x:v>
      </x:c>
      <x:c r="AI257" s="2" t="n">
        <x:f>'_曲线基线'!$L$4+AI$9*($H$10*H257+$I$10*I257+$J$10*J257+$K$10*K257+$L$10*L257)</x:f>
        <x:v>3.2811761602615883</x:v>
      </x:c>
      <x:c r="AJ257" s="2" t="n">
        <x:f t="shared" si="301">1+AJ$9*($H$10*H257+$I$10*I257+$J$10*J257+$K$10*K257+$L$10*L257)</x:f>
        <x:v>2.0512214648300215</x:v>
      </x:c>
      <x:c r="AK257" s="1" t="n">
        <x:f t="shared" si="302">(1+AH257*(AI257-1))*AJ257</x:f>
        <x:v>4.437188214326292</x:v>
      </x:c>
      <x:c r="AL257" s="1" t="n">
        <x:f t="shared" si="303">U257*AD257*AK257*F257</x:f>
        <x:v>2119035.719919541</x:v>
      </x:c>
      <x:c r="AM257" s="13" t="n">
        <x:f t="shared" si="304">IF($B257&lt;AM$8,0,AM$3+(AM$4-AM$3)*(POWER(AM$5,$B257-AM$8)-1)/(POWER(AM$5,$C$5-AM$8)-1))</x:f>
        <x:v>49.02630994654552</x:v>
      </x:c>
      <x:c r="AN257" s="13" t="n">
        <x:f>(((E257*'模块规划'!$D$10+G257*'模块规划'!$D$11+H257*'模块规划'!$D$13)*(1+'模块规划'!$G$14*H257)+(I257*'模块规划'!$D$15+J257*'模块规划'!$D$17+K257*'模块规划'!$D$16+L257*'模块规划'!$D$18))*(1+'模块规划'!$J$17*J257))*F257/(1-Q257)</x:f>
        <x:v>2642059.2688543964</x:v>
      </x:c>
      <x:c r="AO257" s="1" t="n">
        <x:f t="shared" si="305">AL257*AM257</x:f>
        <x:v>103888501.99257663</x:v>
      </x:c>
      <x:c r="AP257" s="1" t="n">
        <x:f>IF(AO257="","",INDEX('_曲线基线'!$A$3:$A$502,MIN(ROWS('_曲线基线'!$A$3:$A$502),COUNTIF('_曲线基线'!$E$3:$E$502,"&lt;"&amp;AO257)+1)))</x:f>
        <x:v>296</x:v>
      </x:c>
      <x:c r="AQ257" s="14" t="n">
        <x:f t="shared" si="306">IF(B257&lt;=2,1,IF(B257&lt;=6,2,IF(B257&lt;=9,3,IF(B257&lt;=19,4,5))))</x:f>
        <x:v>5</x:v>
      </x:c>
      <x:c r="AR257" s="10" t="n">
        <x:f t="shared" si="307">AN257*(1-Q257)/F257*$AS$3+U257*$AS$4+P257*$AS$5</x:f>
        <x:v>16846.383135907294</x:v>
      </x:c>
      <x:c r="AS257" s="15" t="n">
        <x:f t="shared" si="308">1+AH257*$AS$6+AI257*$AS$7+(AJ257-1)*$AS$8+($H$10*H257+$I$10*I257+$J$10*J257+$K$10*K257+$L$10*L257)*$AU$3*$AS$9+($H$10*H257+$I$10*I257+$J$10*J257+$K$10*K257+$L$10*L257)*$AU$4*$AS$10</x:f>
        <x:v>17.06074864884292</x:v>
      </x:c>
      <x:c r="AT257" s="16" t="n">
        <x:f t="shared" si="309">ROUND(AR257*AS257,0)</x:f>
        <x:v>287412</x:v>
      </x:c>
      <x:c r="AU257" s="16" t="n">
        <x:f t="shared" si="310">ROUND(AT257*F257,0)</x:f>
        <x:v>1437060</x:v>
      </x:c>
      <x:c r="AV257" t="n">
        <x:f>IF(AU257&gt;0,ROUND(AU257,-MAX(0,INT(LOG10(AU257))-2)),0)</x:f>
        <x:v>1440000</x:v>
      </x:c>
    </x:row>
    <x:row r="258" customHeight="1">
      <x:c r="A258" s="1" t="str">
        <x:f>IFERROR(XLOOKUP(B258,'_曲线基线'!$G$3:$G$107,'_曲线基线'!$J$3:$J$107,""),"")</x:f>
      </x:c>
      <x:c r="B258" s="1" t="n">
        <x:v>247</x:v>
      </x:c>
      <x:c r="C258" s="1" t="n">
        <x:f t="shared" si="349">C243+1</x:f>
        <x:v>17</x:v>
      </x:c>
      <x:c r="D258" s="1" t="n">
        <x:f t="shared" si="350">D243</x:f>
        <x:v>13</x:v>
      </x:c>
      <x:c r="E258" s="1" t="n">
        <x:f t="shared" si="282">IF($B258&lt;E$8,0,E$3+(E$4-E$3)*(POWER(E$5,$B258-E$8)-1)/(POWER(E$5,$C$5-E$8)-1))</x:f>
        <x:v>1</x:v>
      </x:c>
      <x:c r="F258" s="10" t="n">
        <x:f t="shared" si="283">1+IF(B258&lt;3,0,MIN(1,(B258-2)/4))+IF(B258&lt;7,0,MIN(1,(B258-6)/3))+IF(B258&lt;10,0,MIN(1,(B258-9)/5))+IF(B258&lt;20,0,MIN(1,(B258-19)/10))</x:f>
        <x:v>5</x:v>
      </x:c>
      <x:c r="G258" s="11" t="n">
        <x:f t="shared" ref="G258:L258" si="366">'玩家战力_节点'!G258</x:f>
        <x:v>0.863589980752421</x:v>
      </x:c>
      <x:c r="H258" s="11" t="n">
        <x:f t="shared" si="366">'玩家战力_节点'!H258</x:f>
        <x:v>0.6715494577139367</x:v>
      </x:c>
      <x:c r="I258" s="11" t="n">
        <x:f t="shared" si="366">'玩家战力_节点'!I258</x:f>
        <x:v>0.613452991893609</x:v>
      </x:c>
      <x:c r="J258" s="11" t="n">
        <x:f t="shared" si="366">'玩家战力_节点'!J258</x:f>
        <x:v>0.5694180054281669</x:v>
      </x:c>
      <x:c r="K258" s="11" t="n">
        <x:f t="shared" si="366">'玩家战力_节点'!K258</x:f>
        <x:v>0.6052139026786933</x:v>
      </x:c>
      <x:c r="L258" s="11" t="n">
        <x:f t="shared" si="366">'玩家战力_节点'!L258</x:f>
        <x:v>0.6704507340516883</x:v>
      </x:c>
      <x:c r="M258" s="2" t="n">
        <x:f>E258*'模块规划'!$F$10+G258*'模块规划'!$F$11+H258*'模块规划'!$F$13</x:f>
        <x:v>5145.231907611621</x:v>
      </x:c>
      <x:c r="N258" s="2" t="n">
        <x:f>I258*'模块规划'!$F$15+J258*'模块规划'!$F$17+K258*'模块规划'!$F$16+L258*'模块规划'!$F$18</x:f>
        <x:v>17585.341075761142</x:v>
      </x:c>
      <x:c r="O258" s="2" t="n">
        <x:f t="shared" si="285">1+O$9*SUMPRODUCT($H$10:$L$10,H258:L258)/SUM($H$10:$L$10)</x:f>
        <x:v>3.2947661274873643</x:v>
      </x:c>
      <x:c r="P258" s="12" t="n">
        <x:f t="shared" si="286">M258*O258+N258</x:f>
        <x:v>34537.6768830271</x:v>
      </x:c>
      <x:c r="Q258" s="7" t="n">
        <x:f>P258/(P258+'_曲线基线'!$L$2)</x:f>
        <x:v>0.5900076450256474</x:v>
      </x:c>
      <x:c r="R258" s="2" t="n">
        <x:f>E258*'模块规划'!$E$10+G258*'模块规划'!$E$11+H258*'模块规划'!$E$13</x:f>
        <x:v>7717.847861417431</x:v>
      </x:c>
      <x:c r="S258" s="2" t="n">
        <x:f>I258*'模块规划'!$E$15+J258*'模块规划'!$E$17+K258*'模块规划'!$E$16+L258*'模块规划'!$E$18</x:f>
        <x:v>26378.011613641713</x:v>
      </x:c>
      <x:c r="T258" s="2" t="n">
        <x:f t="shared" si="287">1+T$9*SUMPRODUCT($H$10:$L$10,H258:L258)/SUM($H$10:$L$10)</x:f>
        <x:v>3.2947661274873643</x:v>
      </x:c>
      <x:c r="U258" s="12" t="n">
        <x:f t="shared" si="288">R258*T258+S258</x:f>
        <x:v>51806.515324540655</x:v>
      </x:c>
      <x:c r="V258" s="2" t="n">
        <x:f t="shared" si="289">V$8+(V$9-V$8)*H258</x:f>
        <x:v>0.901464837314181</x:v>
      </x:c>
      <x:c r="W258" s="2" t="n">
        <x:f t="shared" si="290">IF(B258&lt;$H$8,0,W$8+(W$9-W$8)*H258)</x:f>
        <x:v>0.2686197830855747</x:v>
      </x:c>
      <x:c r="X258" s="2" t="n">
        <x:f t="shared" si="291">X$8+(X$9-X$8)*H258</x:f>
        <x:v>0.4596761008713326</x:v>
      </x:c>
      <x:c r="Y258" s="2" t="n">
        <x:f t="shared" si="292">Y$8+(Y$9-Y$8)*G258</x:f>
        <x:v>1</x:v>
      </x:c>
      <x:c r="Z258" s="2" t="n">
        <x:f t="shared" si="293">Z$8+(Z$9-Z$8)*H258</x:f>
        <x:v>1</x:v>
      </x:c>
      <x:c r="AA258" s="2" t="n">
        <x:f t="shared" si="294">AA$8+(AA$9-AA$8)*I258</x:f>
        <x:v>1</x:v>
      </x:c>
      <x:c r="AB258" s="2" t="n">
        <x:f t="shared" si="295">AB$8+(AB$9-AB$8)*J258</x:f>
        <x:v>1</x:v>
      </x:c>
      <x:c r="AC258" s="2" t="n">
        <x:f t="shared" si="296">AC$8+(AC$9-AC$8)*MAX(K258,L258)</x:f>
        <x:v>1</x:v>
      </x:c>
      <x:c r="AD258" s="1" t="n">
        <x:f t="shared" si="297">(V258*AE258+W258*AF258+X258*AG258)*PRODUCT(Y258:AC258)</x:f>
        <x:v>1.8491593348549829</x:v>
      </x:c>
      <x:c r="AE258" s="2" t="n">
        <x:f t="shared" si="298">1+AE$9*($H$10*H258+$I$10*I258+$J$10*J258+$K$10*K258+$L$10*L258)</x:f>
        <x:v>1</x:v>
      </x:c>
      <x:c r="AF258" s="2" t="n">
        <x:f t="shared" si="299">1+AF$9*($H$10*H258+$I$10*I258+$J$10*J258+$K$10*K258+$L$10*L258)</x:f>
        <x:v>1.2025340144907877</x:v>
      </x:c>
      <x:c r="AG258" s="2" t="n">
        <x:f t="shared" si="300">1+AG$9*($H$10*H258+$I$10*I258+$J$10*J258+$K$10*K258+$L$10*L258)</x:f>
        <x:v>1.3589352812364544</x:v>
      </x:c>
      <x:c r="AH258" s="2" t="n">
        <x:f>MIN(1,'_曲线基线'!$L$3+AH$9*($H$10*H258+$I$10*I258+$J$10*J258+$K$10*K258+$L$10*L258))</x:f>
        <x:v>0.5107648829665417</x:v>
      </x:c>
      <x:c r="AI258" s="2" t="n">
        <x:f>'_曲线基线'!$L$4+AI$9*($H$10*H258+$I$10*I258+$J$10*J258+$K$10*K258+$L$10*L258)</x:f>
        <x:v>3.2835593168353663</x:v>
      </x:c>
      <x:c r="AJ258" s="2" t="n">
        <x:f t="shared" si="301">1+AJ$9*($H$10*H258+$I$10*I258+$J$10*J258+$K$10*K258+$L$10*L258)</x:f>
        <x:v>2.0531768753520954</x:v>
      </x:c>
      <x:c r="AK258" s="1" t="n">
        <x:f t="shared" si="302">(1+AH258*(AI258-1))*AJ258</x:f>
        <x:v>4.447924171528408</x:v>
      </x:c>
      <x:c r="AL258" s="1" t="n">
        <x:f t="shared" si="303">U258*AD258*AK258*F258</x:f>
        <x:v>2130522.350281772</x:v>
      </x:c>
      <x:c r="AM258" s="13" t="n">
        <x:f t="shared" si="304">IF($B258&lt;AM$8,0,AM$3+(AM$4-AM$3)*(POWER(AM$5,$B258-AM$8)-1)/(POWER(AM$5,$C$5-AM$8)-1))</x:f>
        <x:v>49.17999768593285</x:v>
      </x:c>
      <x:c r="AN258" s="13" t="n">
        <x:f>(((E258*'模块规划'!$D$10+G258*'模块规划'!$D$11+H258*'模块规划'!$D$13)*(1+'模块规划'!$G$14*H258)+(I258*'模块规划'!$D$15+J258*'模块规划'!$D$17+K258*'模块规划'!$D$16+L258*'模块规划'!$D$18))*(1+'模块规划'!$J$17*J258))*F258/(1-Q258)</x:f>
        <x:v>2652309.033399591</x:v>
      </x:c>
      <x:c r="AO258" s="1" t="n">
        <x:f t="shared" si="305">AL258*AM258</x:f>
        <x:v>104779084.25668576</x:v>
      </x:c>
      <x:c r="AP258" s="1" t="n">
        <x:f>IF(AO258="","",INDEX('_曲线基线'!$A$3:$A$502,MIN(ROWS('_曲线基线'!$A$3:$A$502),COUNTIF('_曲线基线'!$E$3:$E$502,"&lt;"&amp;AO258)+1)))</x:f>
        <x:v>297</x:v>
      </x:c>
      <x:c r="AQ258" s="14" t="n">
        <x:f t="shared" si="306">IF(B258&lt;=2,1,IF(B258&lt;=6,2,IF(B258&lt;=9,3,IF(B258&lt;=19,4,5))))</x:f>
        <x:v>5</x:v>
      </x:c>
      <x:c r="AR258" s="10" t="n">
        <x:f t="shared" si="307">AN258*(1-Q258)/F258*$AS$3+U258*$AS$4+P258*$AS$5</x:f>
        <x:v>16885.861625247613</x:v>
      </x:c>
      <x:c r="AS258" s="15" t="n">
        <x:f t="shared" si="308">1+AH258*$AS$6+AI258*$AS$7+(AJ258-1)*$AS$8+($H$10*H258+$I$10*I258+$J$10*J258+$K$10*K258+$L$10*L258)*$AU$3*$AS$9+($H$10*H258+$I$10*I258+$J$10*J258+$K$10*K258+$L$10*L258)*$AU$4*$AS$10</x:f>
        <x:v>17.083217495098523</x:v>
      </x:c>
      <x:c r="AT258" s="16" t="n">
        <x:f t="shared" si="309">ROUND(AR258*AS258,0)</x:f>
        <x:v>288465</x:v>
      </x:c>
      <x:c r="AU258" s="16" t="n">
        <x:f t="shared" si="310">ROUND(AT258*F258,0)</x:f>
        <x:v>1442325</x:v>
      </x:c>
      <x:c r="AV258" t="n">
        <x:f>IF(AU258&gt;0,ROUND(AU258,-MAX(0,INT(LOG10(AU258))-2)),0)</x:f>
        <x:v>1440000</x:v>
      </x:c>
    </x:row>
    <x:row r="259" customHeight="1">
      <x:c r="A259" s="1" t="str">
        <x:f>IFERROR(XLOOKUP(B259,'_曲线基线'!$G$3:$G$107,'_曲线基线'!$J$3:$J$107,""),"")</x:f>
      </x:c>
      <x:c r="B259" s="1" t="n">
        <x:v>248</x:v>
      </x:c>
      <x:c r="C259" s="1" t="n">
        <x:f t="shared" si="349">C244+1</x:f>
        <x:v>17</x:v>
      </x:c>
      <x:c r="D259" s="1" t="n">
        <x:f t="shared" si="350">D244</x:f>
        <x:v>14</x:v>
      </x:c>
      <x:c r="E259" s="1" t="n">
        <x:f t="shared" si="282">IF($B259&lt;E$8,0,E$3+(E$4-E$3)*(POWER(E$5,$B259-E$8)-1)/(POWER(E$5,$C$5-E$8)-1))</x:f>
        <x:v>1</x:v>
      </x:c>
      <x:c r="F259" s="10" t="n">
        <x:f t="shared" si="283">1+IF(B259&lt;3,0,MIN(1,(B259-2)/4))+IF(B259&lt;7,0,MIN(1,(B259-6)/3))+IF(B259&lt;10,0,MIN(1,(B259-9)/5))+IF(B259&lt;20,0,MIN(1,(B259-19)/10))</x:f>
        <x:v>5</x:v>
      </x:c>
      <x:c r="G259" s="11" t="n">
        <x:f t="shared" ref="G259:L259" si="367">'玩家战力_节点'!G259</x:f>
        <x:v>0.8648013721038528</x:v>
      </x:c>
      <x:c r="H259" s="11" t="n">
        <x:f t="shared" si="367">'玩家战力_节点'!H259</x:f>
        <x:v>0.672477214202941</x:v>
      </x:c>
      <x:c r="I259" s="11" t="n">
        <x:f t="shared" si="367">'玩家战力_节点'!I259</x:f>
        <x:v>0.6146945311095822</x:v>
      </x:c>
      <x:c r="J259" s="11" t="n">
        <x:f t="shared" si="367">'玩家战力_节点'!J259</x:f>
        <x:v>0.57042365397469</x:v>
      </x:c>
      <x:c r="K259" s="11" t="n">
        <x:f t="shared" si="367">'玩家战力_节点'!K259</x:f>
        <x:v>0.6068222061659574</x:v>
      </x:c>
      <x:c r="L259" s="11" t="n">
        <x:f t="shared" si="367">'玩家战力_节点'!L259</x:f>
        <x:v>0.6714204541299834</x:v>
      </x:c>
      <x:c r="M259" s="2" t="n">
        <x:f>E259*'模块规划'!$F$10+G259*'模块规划'!$F$11+H259*'模块规划'!$F$13</x:f>
        <x:v>5151.046586098493</x:v>
      </x:c>
      <x:c r="N259" s="2" t="n">
        <x:f>I259*'模块规划'!$F$15+J259*'模块规划'!$F$17+K259*'模块规划'!$F$16+L259*'模块规划'!$F$18</x:f>
        <x:v>17619.828296269217</x:v>
      </x:c>
      <x:c r="O259" s="2" t="n">
        <x:f t="shared" si="285">1+O$9*SUMPRODUCT($H$10:$L$10,H259:L259)/SUM($H$10:$L$10)</x:f>
        <x:v>3.299026769679957</x:v>
      </x:c>
      <x:c r="P259" s="12" t="n">
        <x:f t="shared" si="286">M259*O259+N259</x:f>
        <x:v>34613.2688756767</x:v>
      </x:c>
      <x:c r="Q259" s="7" t="n">
        <x:f>P259/(P259+'_曲线基线'!$L$2)</x:f>
        <x:v>0.5905364013922195</x:v>
      </x:c>
      <x:c r="R259" s="2" t="n">
        <x:f>E259*'模块规划'!$E$10+G259*'模块规划'!$E$11+H259*'模块规划'!$E$13</x:f>
        <x:v>7726.56987914774</x:v>
      </x:c>
      <x:c r="S259" s="2" t="n">
        <x:f>I259*'模块规划'!$E$15+J259*'模块规划'!$E$17+K259*'模块规划'!$E$16+L259*'模块规划'!$E$18</x:f>
        <x:v>26429.742444403826</x:v>
      </x:c>
      <x:c r="T259" s="2" t="n">
        <x:f t="shared" si="287">1+T$9*SUMPRODUCT($H$10:$L$10,H259:L259)/SUM($H$10:$L$10)</x:f>
        <x:v>3.299026769679957</x:v>
      </x:c>
      <x:c r="U259" s="12" t="n">
        <x:f t="shared" si="288">R259*T259+S259</x:f>
        <x:v>51919.90331351505</x:v>
      </x:c>
      <x:c r="V259" s="2" t="n">
        <x:f t="shared" si="289">V$8+(V$9-V$8)*H259</x:f>
        <x:v>0.9017431642608823</x:v>
      </x:c>
      <x:c r="W259" s="2" t="n">
        <x:f t="shared" si="290">IF(B259&lt;$H$8,0,W$8+(W$9-W$8)*H259)</x:f>
        <x:v>0.2689908856811764</x:v>
      </x:c>
      <x:c r="X259" s="2" t="n">
        <x:f t="shared" si="291">X$8+(X$9-X$8)*H259</x:f>
        <x:v>0.4599312339058088</x:v>
      </x:c>
      <x:c r="Y259" s="2" t="n">
        <x:f t="shared" si="292">Y$8+(Y$9-Y$8)*G259</x:f>
        <x:v>1</x:v>
      </x:c>
      <x:c r="Z259" s="2" t="n">
        <x:f t="shared" si="293">Z$8+(Z$9-Z$8)*H259</x:f>
        <x:v>1</x:v>
      </x:c>
      <x:c r="AA259" s="2" t="n">
        <x:f t="shared" si="294">AA$8+(AA$9-AA$8)*I259</x:f>
        <x:v>1</x:v>
      </x:c>
      <x:c r="AB259" s="2" t="n">
        <x:f t="shared" si="295">AB$8+(AB$9-AB$8)*J259</x:f>
        <x:v>1</x:v>
      </x:c>
      <x:c r="AC259" s="2" t="n">
        <x:f t="shared" si="296">AC$8+(AC$9-AC$8)*MAX(K259,L259)</x:f>
        <x:v>1</x:v>
      </x:c>
      <x:c r="AD259" s="1" t="n">
        <x:f t="shared" si="297">(V259*AE259+W259*AF259+X259*AG259)*PRODUCT(Y259:AC259)</x:f>
        <x:v>1.850638296773072</x:v>
      </x:c>
      <x:c r="AE259" s="2" t="n">
        <x:f t="shared" si="298">1+AE$9*($H$10*H259+$I$10*I259+$J$10*J259+$K$10*K259+$L$10*L259)</x:f>
        <x:v>1</x:v>
      </x:c>
      <x:c r="AF259" s="2" t="n">
        <x:f t="shared" si="299">1+AF$9*($H$10*H259+$I$10*I259+$J$10*J259+$K$10*K259+$L$10*L259)</x:f>
        <x:v>1.202910054975802</x:v>
      </x:c>
      <x:c r="AG259" s="2" t="n">
        <x:f t="shared" si="300">1+AG$9*($H$10*H259+$I$10*I259+$J$10*J259+$K$10*K259+$L$10*L259)</x:f>
        <x:v>1.359601708540452</x:v>
      </x:c>
      <x:c r="AH259" s="2" t="n">
        <x:f>MIN(1,'_曲线基线'!$L$3+AH$9*($H$10*H259+$I$10*I259+$J$10*J259+$K$10*K259+$L$10*L259))</x:f>
        <x:v>0.5116203750699492</x:v>
      </x:c>
      <x:c r="AI259" s="2" t="n">
        <x:f>'_曲线基线'!$L$4+AI$9*($H$10*H259+$I$10*I259+$J$10*J259+$K$10*K259+$L$10*L259)</x:f>
        <x:v>3.2859424734091442</x:v>
      </x:c>
      <x:c r="AJ259" s="2" t="n">
        <x:f t="shared" si="301">1+AJ$9*($H$10*H259+$I$10*I259+$J$10*J259+$K$10*K259+$L$10*L259)</x:f>
        <x:v>2.0551322858741696</x:v>
      </x:c>
      <x:c r="AK259" s="1" t="n">
        <x:f t="shared" si="302">(1+AH259*(AI259-1))*AJ259</x:f>
        <x:v>4.45868090107806</x:v>
      </x:c>
      <x:c r="AL259" s="1" t="n">
        <x:f t="shared" si="303">U259*AD259*AK259*F259</x:f>
        <x:v>2142060.9121942082</x:v>
      </x:c>
      <x:c r="AM259" s="13" t="n">
        <x:f t="shared" si="304">IF($B259&lt;AM$8,0,AM$3+(AM$4-AM$3)*(POWER(AM$5,$B259-AM$8)-1)/(POWER(AM$5,$C$5-AM$8)-1))</x:f>
        <x:v>49.335222302714044</x:v>
      </x:c>
      <x:c r="AN259" s="13" t="n">
        <x:f>(((E259*'模块规划'!$D$10+G259*'模块规划'!$D$11+H259*'模块规划'!$D$13)*(1+'模块规划'!$G$14*H259)+(I259*'模块规划'!$D$15+J259*'模块规划'!$D$17+K259*'模块规划'!$D$16+L259*'模块规划'!$D$18))*(1+'模块规划'!$J$17*J259))*F259/(1-Q259)</x:f>
        <x:v>2662586.7797109084</x:v>
      </x:c>
      <x:c r="AO259" s="1" t="n">
        <x:f t="shared" si="305">AL259*AM259</x:f>
        <x:v>105679051.28905569</x:v>
      </x:c>
      <x:c r="AP259" s="1" t="n">
        <x:f>IF(AO259="","",INDEX('_曲线基线'!$A$3:$A$502,MIN(ROWS('_曲线基线'!$A$3:$A$502),COUNTIF('_曲线基线'!$E$3:$E$502,"&lt;"&amp;AO259)+1)))</x:f>
        <x:v>298</x:v>
      </x:c>
      <x:c r="AQ259" s="14" t="n">
        <x:f t="shared" si="306">IF(B259&lt;=2,1,IF(B259&lt;=6,2,IF(B259&lt;=9,3,IF(B259&lt;=19,4,5))))</x:f>
        <x:v>5</x:v>
      </x:c>
      <x:c r="AR259" s="10" t="n">
        <x:f t="shared" si="307">AN259*(1-Q259)/F259*$AS$3+U259*$AS$4+P259*$AS$5</x:f>
        <x:v>16925.37484925859</x:v>
      </x:c>
      <x:c r="AS259" s="15" t="n">
        <x:f t="shared" si="308">1+AH259*$AS$6+AI259*$AS$7+(AJ259-1)*$AS$8+($H$10*H259+$I$10*I259+$J$10*J259+$K$10*K259+$L$10*L259)*$AU$3*$AS$9+($H$10*H259+$I$10*I259+$J$10*J259+$K$10*K259+$L$10*L259)*$AU$4*$AS$10</x:f>
        <x:v>17.105686341354126</x:v>
      </x:c>
      <x:c r="AT259" s="16" t="n">
        <x:f t="shared" si="309">ROUND(AR259*AS259,0)</x:f>
        <x:v>289520</x:v>
      </x:c>
      <x:c r="AU259" s="16" t="n">
        <x:f t="shared" si="310">ROUND(AT259*F259,0)</x:f>
        <x:v>1447600</x:v>
      </x:c>
      <x:c r="AV259" t="n">
        <x:f>IF(AU259&gt;0,ROUND(AU259,-MAX(0,INT(LOG10(AU259))-2)),0)</x:f>
        <x:v>1450000</x:v>
      </x:c>
    </x:row>
    <x:row r="260" customHeight="1">
      <x:c r="A260" s="1" t="str">
        <x:f>IFERROR(XLOOKUP(B260,'_曲线基线'!$G$3:$G$107,'_曲线基线'!$J$3:$J$107,""),"")</x:f>
      </x:c>
      <x:c r="B260" s="1" t="n">
        <x:v>249</x:v>
      </x:c>
      <x:c r="C260" s="1" t="n">
        <x:f t="shared" si="349">C245+1</x:f>
        <x:v>17</x:v>
      </x:c>
      <x:c r="D260" s="1" t="n">
        <x:f t="shared" si="350">D245</x:f>
        <x:v>15</x:v>
      </x:c>
      <x:c r="E260" s="1" t="n">
        <x:f t="shared" si="282">IF($B260&lt;E$8,0,E$3+(E$4-E$3)*(POWER(E$5,$B260-E$8)-1)/(POWER(E$5,$C$5-E$8)-1))</x:f>
        <x:v>1</x:v>
      </x:c>
      <x:c r="F260" s="10" t="n">
        <x:f t="shared" si="283">1+IF(B260&lt;3,0,MIN(1,(B260-2)/4))+IF(B260&lt;7,0,MIN(1,(B260-6)/3))+IF(B260&lt;10,0,MIN(1,(B260-9)/5))+IF(B260&lt;20,0,MIN(1,(B260-19)/10))</x:f>
        <x:v>5</x:v>
      </x:c>
      <x:c r="G260" s="11" t="n">
        <x:f t="shared" ref="G260:L260" si="368">'玩家战力_节点'!G260</x:f>
        <x:v>0.8660127634552846</x:v>
      </x:c>
      <x:c r="H260" s="11" t="n">
        <x:f t="shared" si="368">'玩家战力_节点'!H260</x:f>
        <x:v>0.6734049706919454</x:v>
      </x:c>
      <x:c r="I260" s="11" t="n">
        <x:f t="shared" si="368">'玩家战力_节点'!I260</x:f>
        <x:v>0.6159360703255555</x:v>
      </x:c>
      <x:c r="J260" s="11" t="n">
        <x:f t="shared" si="368">'玩家战力_节点'!J260</x:f>
        <x:v>0.5714293025212129</x:v>
      </x:c>
      <x:c r="K260" s="11" t="n">
        <x:f t="shared" si="368">'玩家战力_节点'!K260</x:f>
        <x:v>0.6084305096532213</x:v>
      </x:c>
      <x:c r="L260" s="11" t="n">
        <x:f t="shared" si="368">'玩家战力_节点'!L260</x:f>
        <x:v>0.6723901742082786</x:v>
      </x:c>
      <x:c r="M260" s="2" t="n">
        <x:f>E260*'模块规划'!$F$10+G260*'模块规划'!$F$11+H260*'模块规划'!$F$13</x:f>
        <x:v>5156.8612645853655</x:v>
      </x:c>
      <x:c r="N260" s="2" t="n">
        <x:f>I260*'模块规划'!$F$15+J260*'模块规划'!$F$17+K260*'模块规划'!$F$16+L260*'模块规划'!$F$18</x:f>
        <x:v>17654.315516777297</x:v>
      </x:c>
      <x:c r="O260" s="2" t="n">
        <x:f t="shared" si="285">1+O$9*SUMPRODUCT($H$10:$L$10,H260:L260)/SUM($H$10:$L$10)</x:f>
        <x:v>3.3032874118725495</x:v>
      </x:c>
      <x:c r="P260" s="12" t="n">
        <x:f t="shared" si="286">M260*O260+N260</x:f>
        <x:v>34688.91041685529</x:v>
      </x:c>
      <x:c r="Q260" s="7" t="n">
        <x:f>P260/(P260+'_曲线基线'!$L$2)</x:f>
        <x:v>0.5910641409163516</x:v>
      </x:c>
      <x:c r="R260" s="2" t="n">
        <x:f>E260*'模块规划'!$E$10+G260*'模块规划'!$E$11+H260*'模块规划'!$E$13</x:f>
        <x:v>7735.291896878049</x:v>
      </x:c>
      <x:c r="S260" s="2" t="n">
        <x:f>I260*'模块规划'!$E$15+J260*'模块规划'!$E$17+K260*'模块规划'!$E$16+L260*'模块规划'!$E$18</x:f>
        <x:v>26481.473275165943</x:v>
      </x:c>
      <x:c r="T260" s="2" t="n">
        <x:f t="shared" si="287">1+T$9*SUMPRODUCT($H$10:$L$10,H260:L260)/SUM($H$10:$L$10)</x:f>
        <x:v>3.3032874118725495</x:v>
      </x:c>
      <x:c r="U260" s="12" t="n">
        <x:f t="shared" si="288">R260*T260+S260</x:f>
        <x:v>52033.36562528294</x:v>
      </x:c>
      <x:c r="V260" s="2" t="n">
        <x:f t="shared" si="289">V$8+(V$9-V$8)*H260</x:f>
        <x:v>0.9020214912075836</x:v>
      </x:c>
      <x:c r="W260" s="2" t="n">
        <x:f t="shared" si="290">IF(B260&lt;$H$8,0,W$8+(W$9-W$8)*H260)</x:f>
        <x:v>0.26936198827677815</x:v>
      </x:c>
      <x:c r="X260" s="2" t="n">
        <x:f t="shared" si="291">X$8+(X$9-X$8)*H260</x:f>
        <x:v>0.46018636694028503</x:v>
      </x:c>
      <x:c r="Y260" s="2" t="n">
        <x:f t="shared" si="292">Y$8+(Y$9-Y$8)*G260</x:f>
        <x:v>1</x:v>
      </x:c>
      <x:c r="Z260" s="2" t="n">
        <x:f t="shared" si="293">Z$8+(Z$9-Z$8)*H260</x:f>
        <x:v>1</x:v>
      </x:c>
      <x:c r="AA260" s="2" t="n">
        <x:f t="shared" si="294">AA$8+(AA$9-AA$8)*I260</x:f>
        <x:v>1</x:v>
      </x:c>
      <x:c r="AB260" s="2" t="n">
        <x:f t="shared" si="295">AB$8+(AB$9-AB$8)*J260</x:f>
        <x:v>1</x:v>
      </x:c>
      <x:c r="AC260" s="2" t="n">
        <x:f t="shared" si="296">AC$8+(AC$9-AC$8)*MAX(K260,L260)</x:f>
        <x:v>1</x:v>
      </x:c>
      <x:c r="AD260" s="1" t="n">
        <x:f t="shared" si="297">(V260*AE260+W260*AF260+X260*AG260)*PRODUCT(Y260:AC260)</x:f>
        <x:v>1.8521178778456013</x:v>
      </x:c>
      <x:c r="AE260" s="2" t="n">
        <x:f t="shared" si="298">1+AE$9*($H$10*H260+$I$10*I260+$J$10*J260+$K$10*K260+$L$10*L260)</x:f>
        <x:v>1</x:v>
      </x:c>
      <x:c r="AF260" s="2" t="n">
        <x:f t="shared" si="299">1+AF$9*($H$10*H260+$I$10*I260+$J$10*J260+$K$10*K260+$L$10*L260)</x:f>
        <x:v>1.2032860954608162</x:v>
      </x:c>
      <x:c r="AG260" s="2" t="n">
        <x:f t="shared" si="300">1+AG$9*($H$10*H260+$I$10*I260+$J$10*J260+$K$10*K260+$L$10*L260)</x:f>
        <x:v>1.3602681358444495</x:v>
      </x:c>
      <x:c r="AH260" s="2" t="n">
        <x:f>MIN(1,'_曲线基线'!$L$3+AH$9*($H$10*H260+$I$10*I260+$J$10*J260+$K$10*K260+$L$10*L260))</x:f>
        <x:v>0.5124758671733566</x:v>
      </x:c>
      <x:c r="AI260" s="2" t="n">
        <x:f>'_曲线基线'!$L$4+AI$9*($H$10*H260+$I$10*I260+$J$10*J260+$K$10*K260+$L$10*L260)</x:f>
        <x:v>3.2883256299829218</x:v>
      </x:c>
      <x:c r="AJ260" s="2" t="n">
        <x:f t="shared" si="301">1+AJ$9*($H$10*H260+$I$10*I260+$J$10*J260+$K$10*K260+$L$10*L260)</x:f>
        <x:v>2.057087696396244</x:v>
      </x:c>
      <x:c r="AK260" s="1" t="n">
        <x:f t="shared" si="302">(1+AH260*(AI260-1))*AJ260</x:f>
        <x:v>4.469458426895059</x:v>
      </x:c>
      <x:c r="AL260" s="1" t="n">
        <x:f t="shared" si="303">U260*AD260*AK260*F260</x:f>
        <x:v>2153651.5999531527</x:v>
      </x:c>
      <x:c r="AM260" s="13" t="n">
        <x:f t="shared" si="304">IF($B260&lt;AM$8,0,AM$3+(AM$4-AM$3)*(POWER(AM$5,$B260-AM$8)-1)/(POWER(AM$5,$C$5-AM$8)-1))</x:f>
        <x:v>49.491999165663046</x:v>
      </x:c>
      <x:c r="AN260" s="13" t="n">
        <x:f>(((E260*'模块规划'!$D$10+G260*'模块规划'!$D$11+H260*'模块规划'!$D$13)*(1+'模块规划'!$G$14*H260)+(I260*'模块规划'!$D$15+J260*'模块规划'!$D$17+K260*'模块规划'!$D$16+L260*'模块规划'!$D$18))*(1+'模块规划'!$J$17*J260))*F260/(1-Q260)</x:f>
        <x:v>2672892.558608364</x:v>
      </x:c>
      <x:c r="AO260" s="1" t="n">
        <x:f t="shared" si="305">AL260*AM260</x:f>
        <x:v>106588523.18801032</x:v>
      </x:c>
      <x:c r="AP260" s="1" t="n">
        <x:f>IF(AO260="","",INDEX('_曲线基线'!$A$3:$A$502,MIN(ROWS('_曲线基线'!$A$3:$A$502),COUNTIF('_曲线基线'!$E$3:$E$502,"&lt;"&amp;AO260)+1)))</x:f>
        <x:v>298</x:v>
      </x:c>
      <x:c r="AQ260" s="14" t="n">
        <x:f t="shared" si="306">IF(B260&lt;=2,1,IF(B260&lt;=6,2,IF(B260&lt;=9,3,IF(B260&lt;=19,4,5))))</x:f>
        <x:v>5</x:v>
      </x:c>
      <x:c r="AR260" s="10" t="n">
        <x:f t="shared" si="307">AN260*(1-Q260)/F260*$AS$3+U260*$AS$4+P260*$AS$5</x:f>
        <x:v>16964.9228132134</x:v>
      </x:c>
      <x:c r="AS260" s="15" t="n">
        <x:f t="shared" si="308">1+AH260*$AS$6+AI260*$AS$7+(AJ260-1)*$AS$8+($H$10*H260+$I$10*I260+$J$10*J260+$K$10*K260+$L$10*L260)*$AU$3*$AS$9+($H$10*H260+$I$10*I260+$J$10*J260+$K$10*K260+$L$10*L260)*$AU$4*$AS$10</x:f>
        <x:v>17.128155187609728</x:v>
      </x:c>
      <x:c r="AT260" s="16" t="n">
        <x:f t="shared" si="309">ROUND(AR260*AS260,0)</x:f>
        <x:v>290578</x:v>
      </x:c>
      <x:c r="AU260" s="16" t="n">
        <x:f t="shared" si="310">ROUND(AT260*F260,0)</x:f>
        <x:v>1452890</x:v>
      </x:c>
      <x:c r="AV260" t="n">
        <x:f>IF(AU260&gt;0,ROUND(AU260,-MAX(0,INT(LOG10(AU260))-2)),0)</x:f>
        <x:v>1450000</x:v>
      </x:c>
    </x:row>
    <x:row r="261" customHeight="1">
      <x:c r="A261" s="1" t="str">
        <x:f>IFERROR(XLOOKUP(B261,'_曲线基线'!$G$3:$G$107,'_曲线基线'!$J$3:$J$107,""),"")</x:f>
      </x:c>
      <x:c r="B261" s="1" t="n">
        <x:v>250</x:v>
      </x:c>
      <x:c r="C261" s="1" t="n">
        <x:f t="shared" si="349">C246+1</x:f>
        <x:v>18</x:v>
      </x:c>
      <x:c r="D261" s="1" t="n">
        <x:f t="shared" si="350">D246</x:f>
        <x:v>1</x:v>
      </x:c>
      <x:c r="E261" s="1" t="n">
        <x:f t="shared" si="282">IF($B261&lt;E$8,0,E$3+(E$4-E$3)*(POWER(E$5,$B261-E$8)-1)/(POWER(E$5,$C$5-E$8)-1))</x:f>
        <x:v>1</x:v>
      </x:c>
      <x:c r="F261" s="10" t="n">
        <x:f t="shared" si="283">1+IF(B261&lt;3,0,MIN(1,(B261-2)/4))+IF(B261&lt;7,0,MIN(1,(B261-6)/3))+IF(B261&lt;10,0,MIN(1,(B261-9)/5))+IF(B261&lt;20,0,MIN(1,(B261-19)/10))</x:f>
        <x:v>5</x:v>
      </x:c>
      <x:c r="G261" s="11" t="n">
        <x:f t="shared" ref="G261:L261" si="369">'玩家战力_节点'!G261</x:f>
        <x:v>0.8671939141610198</x:v>
      </x:c>
      <x:c r="H261" s="11" t="n">
        <x:f t="shared" si="369">'玩家战力_节点'!H261</x:f>
        <x:v>0.6743161096043667</x:v>
      </x:c>
      <x:c r="I261" s="11" t="n">
        <x:f t="shared" si="369">'玩家战力_节点'!I261</x:f>
        <x:v>0.6171348829438539</x:v>
      </x:c>
      <x:c r="J261" s="11" t="n">
        <x:f t="shared" si="369">'玩家战力_节点'!J261</x:f>
        <x:v>0.5724134852502768</x:v>
      </x:c>
      <x:c r="K261" s="11" t="n">
        <x:f t="shared" si="369">'玩家战力_节点'!K261</x:f>
        <x:v>0.6099491289616344</x:v>
      </x:c>
      <x:c r="L261" s="11" t="n">
        <x:f t="shared" si="369">'玩家战力_节点'!L261</x:f>
        <x:v>0.6733399991386839</x:v>
      </x:c>
      <x:c r="M261" s="2" t="n">
        <x:f>E261*'模块规划'!$F$10+G261*'模块规划'!$F$11+H261*'模块规划'!$F$13</x:f>
        <x:v>5162.530787972895</x:v>
      </x:c>
      <x:c r="N261" s="2" t="n">
        <x:f>I261*'模块规划'!$F$15+J261*'模块规划'!$F$17+K261*'模块规划'!$F$16+L261*'模块规划'!$F$18</x:f>
        <x:v>17687.608685516825</x:v>
      </x:c>
      <x:c r="O261" s="2" t="n">
        <x:f t="shared" si="285">1+O$9*SUMPRODUCT($H$10:$L$10,H261:L261)/SUM($H$10:$L$10)</x:f>
        <x:v>3.307414943013122</x:v>
      </x:c>
      <x:c r="P261" s="12" t="n">
        <x:f t="shared" si="286">M261*O261+N261</x:f>
        <x:v>34762.24015742369</x:v>
      </x:c>
      <x:c r="Q261" s="7" t="n">
        <x:f>P261/(P261+'_曲线基线'!$L$2)</x:f>
        <x:v>0.5915744543485043</x:v>
      </x:c>
      <x:c r="R261" s="2" t="n">
        <x:f>E261*'模块规划'!$E$10+G261*'模块规划'!$E$11+H261*'模块规划'!$E$13</x:f>
        <x:v>7743.796181959342</x:v>
      </x:c>
      <x:c r="S261" s="2" t="n">
        <x:f>I261*'模块规划'!$E$15+J261*'模块规划'!$E$17+K261*'模块规划'!$E$16+L261*'模块规划'!$E$18</x:f>
        <x:v>26531.413028275238</x:v>
      </x:c>
      <x:c r="T261" s="2" t="n">
        <x:f t="shared" si="287">1+T$9*SUMPRODUCT($H$10:$L$10,H261:L261)/SUM($H$10:$L$10)</x:f>
        <x:v>3.307414943013122</x:v>
      </x:c>
      <x:c r="U261" s="12" t="n">
        <x:f t="shared" si="288">R261*T261+S261</x:f>
        <x:v>52143.36023613553</x:v>
      </x:c>
      <x:c r="V261" s="2" t="n">
        <x:f t="shared" si="289">V$8+(V$9-V$8)*H261</x:f>
        <x:v>0.90229483288131</x:v>
      </x:c>
      <x:c r="W261" s="2" t="n">
        <x:f t="shared" si="290">IF(B261&lt;$H$8,0,W$8+(W$9-W$8)*H261)</x:f>
        <x:v>0.2697264438417467</x:v>
      </x:c>
      <x:c r="X261" s="2" t="n">
        <x:f t="shared" si="291">X$8+(X$9-X$8)*H261</x:f>
        <x:v>0.4604369301412009</x:v>
      </x:c>
      <x:c r="Y261" s="2" t="n">
        <x:f t="shared" si="292">Y$8+(Y$9-Y$8)*G261</x:f>
        <x:v>1</x:v>
      </x:c>
      <x:c r="Z261" s="2" t="n">
        <x:f t="shared" si="293">Z$8+(Z$9-Z$8)*H261</x:f>
        <x:v>1</x:v>
      </x:c>
      <x:c r="AA261" s="2" t="n">
        <x:f t="shared" si="294">AA$8+(AA$9-AA$8)*I261</x:f>
        <x:v>1</x:v>
      </x:c>
      <x:c r="AB261" s="2" t="n">
        <x:f t="shared" si="295">AB$8+(AB$9-AB$8)*J261</x:f>
        <x:v>1</x:v>
      </x:c>
      <x:c r="AC261" s="2" t="n">
        <x:f t="shared" si="296">AC$8+(AC$9-AC$8)*MAX(K261,L261)</x:f>
        <x:v>1</x:v>
      </x:c>
      <x:c r="AD261" s="1" t="n">
        <x:f t="shared" si="297">(V261*AE261+W261*AF261+X261*AG261)*PRODUCT(Y261:AC261)</x:f>
        <x:v>1.8535661174167968</x:v>
      </x:c>
      <x:c r="AE261" s="2" t="n">
        <x:f t="shared" si="298">1+AE$9*($H$10*H261+$I$10*I261+$J$10*J261+$K$10*K261+$L$10*L261)</x:f>
        <x:v>1</x:v>
      </x:c>
      <x:c r="AF261" s="2" t="n">
        <x:f t="shared" si="299">1+AF$9*($H$10*H261+$I$10*I261+$J$10*J261+$K$10*K261+$L$10*L261)</x:f>
        <x:v>1.2036503876829396</x:v>
      </x:c>
      <x:c r="AG261" s="2" t="n">
        <x:f t="shared" si="300">1+AG$9*($H$10*H261+$I$10*I261+$J$10*J261+$K$10*K261+$L$10*L261)</x:f>
        <x:v>1.360913742615879</x:v>
      </x:c>
      <x:c r="AH261" s="2" t="n">
        <x:f>MIN(1,'_曲线基线'!$L$3+AH$9*($H$10*H261+$I$10*I261+$J$10*J261+$K$10*K261+$L$10*L261))</x:f>
        <x:v>0.5133046319786873</x:v>
      </x:c>
      <x:c r="AI261" s="2" t="n">
        <x:f>'_曲线基线'!$L$4+AI$9*($H$10*H261+$I$10*I261+$J$10*J261+$K$10*K261+$L$10*L261)</x:f>
        <x:v>3.2906343319406286</x:v>
      </x:c>
      <x:c r="AJ261" s="2" t="n">
        <x:f t="shared" si="301">1+AJ$9*($H$10*H261+$I$10*I261+$J$10*J261+$K$10*K261+$L$10*L261)</x:f>
        <x:v>2.058982015951285</x:v>
      </x:c>
      <x:c r="AK261" s="1" t="n">
        <x:f t="shared" si="302">(1+AH261*(AI261-1))*AJ261</x:f>
        <x:v>4.479919095490446</x:v>
      </x:c>
      <x:c r="AL261" s="1" t="n">
        <x:f t="shared" si="303">U261*AD261*AK261*F261</x:f>
        <x:v>2164947.0159400576</x:v>
      </x:c>
      <x:c r="AM261" s="13" t="n">
        <x:f t="shared" si="304">IF($B261&lt;AM$8,0,AM$3+(AM$4-AM$3)*(POWER(AM$5,$B261-AM$8)-1)/(POWER(AM$5,$C$5-AM$8)-1))</x:f>
        <x:v>49.65034379724155</x:v>
      </x:c>
      <x:c r="AN261" s="13" t="n">
        <x:f>(((E261*'模块规划'!$D$10+G261*'模块规划'!$D$11+H261*'模块规划'!$D$13)*(1+'模块规划'!$G$14*H261)+(I261*'模块规划'!$D$15+J261*'模块规划'!$D$17+K261*'模块规划'!$D$16+L261*'模块规划'!$D$18))*(1+'模块规划'!$J$17*J261))*F261/(1-Q261)</x:f>
        <x:v>2682922.279772044</x:v>
      </x:c>
      <x:c r="AO261" s="1" t="n">
        <x:f t="shared" si="305">AL261*AM261</x:f>
        <x:v>107490363.64423603</x:v>
      </x:c>
      <x:c r="AP261" s="1" t="n">
        <x:f>IF(AO261="","",INDEX('_曲线基线'!$A$3:$A$502,MIN(ROWS('_曲线基线'!$A$3:$A$502),COUNTIF('_曲线基线'!$E$3:$E$502,"&lt;"&amp;AO261)+1)))</x:f>
        <x:v>299</x:v>
      </x:c>
      <x:c r="AQ261" s="14" t="n">
        <x:f t="shared" si="306">IF(B261&lt;=2,1,IF(B261&lt;=6,2,IF(B261&lt;=9,3,IF(B261&lt;=19,4,5))))</x:f>
        <x:v>5</x:v>
      </x:c>
      <x:c r="AR261" s="10" t="n">
        <x:f t="shared" si="307">AN261*(1-Q261)/F261*$AS$3+U261*$AS$4+P261*$AS$5</x:f>
        <x:v>17003.316023565818</x:v>
      </x:c>
      <x:c r="AS261" s="15" t="n">
        <x:f t="shared" si="308">1+AH261*$AS$6+AI261*$AS$7+(AJ261-1)*$AS$8+($H$10*H261+$I$10*I261+$J$10*J261+$K$10*K261+$L$10*L261)*$AU$3*$AS$9+($H$10*H261+$I$10*I261+$J$10*J261+$K$10*K261+$L$10*L261)*$AU$4*$AS$10</x:f>
        <x:v>17.14992206180864</x:v>
      </x:c>
      <x:c r="AT261" s="16" t="n">
        <x:f t="shared" si="309">ROUND(AR261*AS261,0)</x:f>
        <x:v>291606</x:v>
      </x:c>
      <x:c r="AU261" s="16" t="n">
        <x:f t="shared" si="310">ROUND(AT261*F261,0)</x:f>
        <x:v>1458030</x:v>
      </x:c>
      <x:c r="AV261" t="n">
        <x:f>IF(AU261&gt;0,ROUND(AU261,-MAX(0,INT(LOG10(AU261))-2)),0)</x:f>
        <x:v>1460000</x:v>
      </x:c>
    </x:row>
    <x:row r="262" customHeight="1">
      <x:c r="A262" s="1" t="str">
        <x:f>IFERROR(XLOOKUP(B262,'_曲线基线'!$G$3:$G$107,'_曲线基线'!$J$3:$J$107,""),"")</x:f>
      </x:c>
      <x:c r="B262" s="1" t="n">
        <x:v>251</x:v>
      </x:c>
      <x:c r="C262" s="1" t="n">
        <x:f t="shared" si="349">C247+1</x:f>
        <x:v>18</x:v>
      </x:c>
      <x:c r="D262" s="1" t="n">
        <x:f t="shared" si="350">D247</x:f>
        <x:v>2</x:v>
      </x:c>
      <x:c r="E262" s="1" t="n">
        <x:f t="shared" si="282">IF($B262&lt;E$8,0,E$3+(E$4-E$3)*(POWER(E$5,$B262-E$8)-1)/(POWER(E$5,$C$5-E$8)-1))</x:f>
        <x:v>1</x:v>
      </x:c>
      <x:c r="F262" s="10" t="n">
        <x:f t="shared" si="283">1+IF(B262&lt;3,0,MIN(1,(B262-2)/4))+IF(B262&lt;7,0,MIN(1,(B262-6)/3))+IF(B262&lt;10,0,MIN(1,(B262-9)/5))+IF(B262&lt;20,0,MIN(1,(B262-19)/10))</x:f>
        <x:v>5</x:v>
      </x:c>
      <x:c r="G262" s="11" t="n">
        <x:f t="shared" ref="G262:L262" si="370">'玩家战力_节点'!G262</x:f>
        <x:v>0.8683484752321489</x:v>
      </x:c>
      <x:c r="H262" s="11" t="n">
        <x:f t="shared" si="370">'玩家战力_节点'!H262</x:f>
        <x:v>0.675213352765967</x:v>
      </x:c>
      <x:c r="I262" s="11" t="n">
        <x:f t="shared" si="370">'玩家战力_节点'!I262</x:f>
        <x:v>0.6182979672384811</x:v>
      </x:c>
      <x:c r="J262" s="11" t="n">
        <x:f t="shared" si="370">'玩家战力_节点'!J262</x:f>
        <x:v>0.5733797180906108</x:v>
      </x:c>
      <x:c r="K262" s="11" t="n">
        <x:f t="shared" si="370">'玩家战力_节点'!K262</x:f>
        <x:v>0.6113927536403655</x:v>
      </x:c>
      <x:c r="L262" s="11" t="n">
        <x:f t="shared" si="370">'玩家战力_节点'!L262</x:f>
        <x:v>0.6742731875868526</x:v>
      </x:c>
      <x:c r="M262" s="2" t="n">
        <x:f>E262*'模块规划'!$F$10+G262*'模块规划'!$F$11+H262*'模块规划'!$F$13</x:f>
        <x:v>5168.072681114315</x:v>
      </x:c>
      <x:c r="N262" s="2" t="n">
        <x:f>I262*'模块规划'!$F$15+J262*'模块规划'!$F$17+K262*'模块规划'!$F$16+L262*'模块规划'!$F$18</x:f>
        <x:v>17719.903378590414</x:v>
      </x:c>
      <x:c r="O262" s="2" t="n">
        <x:f t="shared" si="285">1+O$9*SUMPRODUCT($H$10:$L$10,H262:L262)/SUM($H$10:$L$10)</x:f>
        <x:v>3.311431165624357</x:v>
      </x:c>
      <x:c r="P262" s="12" t="n">
        <x:f t="shared" si="286">M262*O262+N262</x:f>
        <x:v>34833.62032104419</x:v>
      </x:c>
      <x:c r="Q262" s="7" t="n">
        <x:f>P262/(P262+'_曲线基线'!$L$2)</x:f>
        <x:v>0.5920699785422614</x:v>
      </x:c>
      <x:c r="R262" s="2" t="n">
        <x:f>E262*'模块规划'!$E$10+G262*'模块规划'!$E$11+H262*'模块规划'!$E$13</x:f>
        <x:v>7752.109021671472</x:v>
      </x:c>
      <x:c r="S262" s="2" t="n">
        <x:f>I262*'模块规划'!$E$15+J262*'模块规划'!$E$17+K262*'模块规划'!$E$16+L262*'模块规划'!$E$18</x:f>
        <x:v>26579.85506788562</x:v>
      </x:c>
      <x:c r="T262" s="2" t="n">
        <x:f t="shared" si="287">1+T$9*SUMPRODUCT($H$10:$L$10,H262:L262)/SUM($H$10:$L$10)</x:f>
        <x:v>3.311431165624357</x:v>
      </x:c>
      <x:c r="U262" s="12" t="n">
        <x:f t="shared" si="288">R262*T262+S262</x:f>
        <x:v>52250.430481566276</x:v>
      </x:c>
      <x:c r="V262" s="2" t="n">
        <x:f t="shared" si="289">V$8+(V$9-V$8)*H262</x:f>
        <x:v>0.9025640058297901</x:v>
      </x:c>
      <x:c r="W262" s="2" t="n">
        <x:f t="shared" si="290">IF(B262&lt;$H$8,0,W$8+(W$9-W$8)*H262)</x:f>
        <x:v>0.27008534110638677</x:v>
      </x:c>
      <x:c r="X262" s="2" t="n">
        <x:f t="shared" si="291">X$8+(X$9-X$8)*H262</x:f>
        <x:v>0.460683672010641</x:v>
      </x:c>
      <x:c r="Y262" s="2" t="n">
        <x:f t="shared" si="292">Y$8+(Y$9-Y$8)*G262</x:f>
        <x:v>1</x:v>
      </x:c>
      <x:c r="Z262" s="2" t="n">
        <x:f t="shared" si="293">Z$8+(Z$9-Z$8)*H262</x:f>
        <x:v>1</x:v>
      </x:c>
      <x:c r="AA262" s="2" t="n">
        <x:f t="shared" si="294">AA$8+(AA$9-AA$8)*I262</x:f>
        <x:v>1</x:v>
      </x:c>
      <x:c r="AB262" s="2" t="n">
        <x:f t="shared" si="295">AB$8+(AB$9-AB$8)*J262</x:f>
        <x:v>1</x:v>
      </x:c>
      <x:c r="AC262" s="2" t="n">
        <x:f t="shared" si="296">AC$8+(AC$9-AC$8)*MAX(K262,L262)</x:f>
        <x:v>1</x:v>
      </x:c>
      <x:c r="AD262" s="1" t="n">
        <x:f t="shared" si="297">(V262*AE262+W262*AF262+X262*AG262)*PRODUCT(Y262:AC262)</x:f>
        <x:v>1.8549882081298303</x:v>
      </x:c>
      <x:c r="AE262" s="2" t="n">
        <x:f t="shared" si="298">1+AE$9*($H$10*H262+$I$10*I262+$J$10*J262+$K$10*K262+$L$10*L262)</x:f>
        <x:v>1</x:v>
      </x:c>
      <x:c r="AF262" s="2" t="n">
        <x:f t="shared" si="299">1+AF$9*($H$10*H262+$I$10*I262+$J$10*J262+$K$10*K262+$L$10*L262)</x:f>
        <x:v>1.204004855913405</x:v>
      </x:c>
      <x:c r="AG262" s="2" t="n">
        <x:f t="shared" si="300">1+AG$9*($H$10*H262+$I$10*I262+$J$10*J262+$K$10*K262+$L$10*L262)</x:f>
        <x:v>1.3615419390909818</x:v>
      </x:c>
      <x:c r="AH262" s="2" t="n">
        <x:f>MIN(1,'_曲线基线'!$L$3+AH$9*($H$10*H262+$I$10*I262+$J$10*J262+$K$10*K262+$L$10*L262))</x:f>
        <x:v>0.5141110472029958</x:v>
      </x:c>
      <x:c r="AI262" s="2" t="n">
        <x:f>'_曲线基线'!$L$4+AI$9*($H$10*H262+$I$10*I262+$J$10*J262+$K$10*K262+$L$10*L262)</x:f>
        <x:v>3.292880774351203</x:v>
      </x:c>
      <x:c r="AJ262" s="2" t="n">
        <x:f t="shared" si="301">1+AJ$9*($H$10*H262+$I$10*I262+$J$10*J262+$K$10*K262+$L$10*L262)</x:f>
        <x:v>2.060825250749705</x:v>
      </x:c>
      <x:c r="AK262" s="1" t="n">
        <x:f t="shared" si="302">(1+AH262*(AI262-1))*AJ262</x:f>
        <x:v>4.490116444671924</x:v>
      </x:c>
      <x:c r="AL262" s="1" t="n">
        <x:f t="shared" si="303">U262*AD262*AK262*F262</x:f>
        <x:v>2175998.7140496965</x:v>
      </x:c>
      <x:c r="AM262" s="13" t="n">
        <x:f t="shared" si="304">IF($B262&lt;AM$8,0,AM$3+(AM$4-AM$3)*(POWER(AM$5,$B262-AM$8)-1)/(POWER(AM$5,$C$5-AM$8)-1))</x:f>
        <x:v>49.81027187513583</x:v>
      </x:c>
      <x:c r="AN262" s="13" t="n">
        <x:f>(((E262*'模块规划'!$D$10+G262*'模块规划'!$D$11+H262*'模块规划'!$D$13)*(1+'模块规划'!$G$14*H262)+(I262*'模块规划'!$D$15+J262*'模块规划'!$D$17+K262*'模块规划'!$D$16+L262*'模块规划'!$D$18))*(1+'模块规划'!$J$17*J262))*F262/(1-Q262)</x:f>
        <x:v>2692721.6059280722</x:v>
      </x:c>
      <x:c r="AO262" s="1" t="n">
        <x:f t="shared" si="305">AL262*AM262</x:f>
        <x:v>108387087.54676133</x:v>
      </x:c>
      <x:c r="AP262" s="1" t="n">
        <x:f>IF(AO262="","",INDEX('_曲线基线'!$A$3:$A$502,MIN(ROWS('_曲线基线'!$A$3:$A$502),COUNTIF('_曲线基线'!$E$3:$E$502,"&lt;"&amp;AO262)+1)))</x:f>
        <x:v>300</x:v>
      </x:c>
      <x:c r="AQ262" s="14" t="n">
        <x:f t="shared" si="306">IF(B262&lt;=2,1,IF(B262&lt;=6,2,IF(B262&lt;=9,3,IF(B262&lt;=19,4,5))))</x:f>
        <x:v>5</x:v>
      </x:c>
      <x:c r="AR262" s="10" t="n">
        <x:f t="shared" si="307">AN262*(1-Q262)/F262*$AS$3+U262*$AS$4+P262*$AS$5</x:f>
        <x:v>17040.737991228987</x:v>
      </x:c>
      <x:c r="AS262" s="15" t="n">
        <x:f t="shared" si="308">1+AH262*$AS$6+AI262*$AS$7+(AJ262-1)*$AS$8+($H$10*H262+$I$10*I262+$J$10*J262+$K$10*K262+$L$10*L262)*$AU$3*$AS$9+($H$10*H262+$I$10*I262+$J$10*J262+$K$10*K262+$L$10*L262)*$AU$4*$AS$10</x:f>
        <x:v>17.17110194134347</x:v>
      </x:c>
      <x:c r="AT262" s="16" t="n">
        <x:f t="shared" si="309">ROUND(AR262*AS262,0)</x:f>
        <x:v>292608</x:v>
      </x:c>
      <x:c r="AU262" s="16" t="n">
        <x:f t="shared" si="310">ROUND(AT262*F262,0)</x:f>
        <x:v>1463040</x:v>
      </x:c>
      <x:c r="AV262" t="n">
        <x:f>IF(AU262&gt;0,ROUND(AU262,-MAX(0,INT(LOG10(AU262))-2)),0)</x:f>
        <x:v>1460000</x:v>
      </x:c>
    </x:row>
    <x:row r="263" customHeight="1">
      <x:c r="A263" s="1" t="str">
        <x:f>IFERROR(XLOOKUP(B263,'_曲线基线'!$G$3:$G$107,'_曲线基线'!$J$3:$J$107,""),"")</x:f>
      </x:c>
      <x:c r="B263" s="1" t="n">
        <x:v>252</x:v>
      </x:c>
      <x:c r="C263" s="1" t="n">
        <x:f t="shared" si="349">C248+1</x:f>
        <x:v>18</x:v>
      </x:c>
      <x:c r="D263" s="1" t="n">
        <x:f t="shared" si="350">D248</x:f>
        <x:v>3</x:v>
      </x:c>
      <x:c r="E263" s="1" t="n">
        <x:f t="shared" si="282">IF($B263&lt;E$8,0,E$3+(E$4-E$3)*(POWER(E$5,$B263-E$8)-1)/(POWER(E$5,$C$5-E$8)-1))</x:f>
        <x:v>1</x:v>
      </x:c>
      <x:c r="F263" s="10" t="n">
        <x:f t="shared" si="283">1+IF(B263&lt;3,0,MIN(1,(B263-2)/4))+IF(B263&lt;7,0,MIN(1,(B263-6)/3))+IF(B263&lt;10,0,MIN(1,(B263-9)/5))+IF(B263&lt;20,0,MIN(1,(B263-19)/10))</x:f>
        <x:v>5</x:v>
      </x:c>
      <x:c r="G263" s="11" t="n">
        <x:f t="shared" ref="G263:L263" si="371">'玩家战力_节点'!G263</x:f>
        <x:v>0.8695030363032779</x:v>
      </x:c>
      <x:c r="H263" s="11" t="n">
        <x:f t="shared" si="371">'玩家战力_节点'!H263</x:f>
        <x:v>0.6761105959275671</x:v>
      </x:c>
      <x:c r="I263" s="11" t="n">
        <x:f t="shared" si="371">'玩家战力_节点'!I263</x:f>
        <x:v>0.6194610515331082</x:v>
      </x:c>
      <x:c r="J263" s="11" t="n">
        <x:f t="shared" si="371">'玩家战力_节点'!J263</x:f>
        <x:v>0.5743459509309449</x:v>
      </x:c>
      <x:c r="K263" s="11" t="n">
        <x:f t="shared" si="371">'玩家战力_节点'!K263</x:f>
        <x:v>0.6128363783190964</x:v>
      </x:c>
      <x:c r="L263" s="11" t="n">
        <x:f t="shared" si="371">'玩家战力_节点'!L263</x:f>
        <x:v>0.6752063760350213</x:v>
      </x:c>
      <x:c r="M263" s="2" t="n">
        <x:f>E263*'模块规划'!$F$10+G263*'模块规划'!$F$11+H263*'模块规划'!$F$13</x:f>
        <x:v>5173.614574255734</x:v>
      </x:c>
      <x:c r="N263" s="2" t="n">
        <x:f>I263*'模块规划'!$F$15+J263*'模块规划'!$F$17+K263*'模块规划'!$F$16+L263*'模块规划'!$F$18</x:f>
        <x:v>17752.198071664</x:v>
      </x:c>
      <x:c r="O263" s="2" t="n">
        <x:f t="shared" si="285">1+O$9*SUMPRODUCT($H$10:$L$10,H263:L263)/SUM($H$10:$L$10)</x:f>
        <x:v>3.315447388235593</x:v>
      </x:c>
      <x:c r="P263" s="12" t="n">
        <x:f t="shared" si="286">M263*O263+N263</x:f>
        <x:v>34905.04499961777</x:v>
      </x:c>
      <x:c r="Q263" s="7" t="n">
        <x:f>P263/(P263+'_曲线基线'!$L$2)</x:f>
        <x:v>0.5925646097009902</x:v>
      </x:c>
      <x:c r="R263" s="2" t="n">
        <x:f>E263*'模块规划'!$E$10+G263*'模块规划'!$E$11+H263*'模块规划'!$E$13</x:f>
        <x:v>7760.4218613836</x:v>
      </x:c>
      <x:c r="S263" s="2" t="n">
        <x:f>I263*'模块规划'!$E$15+J263*'模块规划'!$E$17+K263*'模块规划'!$E$16+L263*'模块规划'!$E$18</x:f>
        <x:v>26628.297107496</x:v>
      </x:c>
      <x:c r="T263" s="2" t="n">
        <x:f t="shared" si="287">1+T$9*SUMPRODUCT($H$10:$L$10,H263:L263)/SUM($H$10:$L$10)</x:f>
        <x:v>3.315447388235593</x:v>
      </x:c>
      <x:c r="U263" s="12" t="n">
        <x:f t="shared" si="288">R263*T263+S263</x:f>
        <x:v>52357.56749942666</x:v>
      </x:c>
      <x:c r="V263" s="2" t="n">
        <x:f t="shared" si="289">V$8+(V$9-V$8)*H263</x:f>
        <x:v>0.9028331787782701</x:v>
      </x:c>
      <x:c r="W263" s="2" t="n">
        <x:f t="shared" si="290">IF(B263&lt;$H$8,0,W$8+(W$9-W$8)*H263)</x:f>
        <x:v>0.2704442383710268</x:v>
      </x:c>
      <x:c r="X263" s="2" t="n">
        <x:f t="shared" si="291">X$8+(X$9-X$8)*H263</x:f>
        <x:v>0.460930413880081</x:v>
      </x:c>
      <x:c r="Y263" s="2" t="n">
        <x:f t="shared" si="292">Y$8+(Y$9-Y$8)*G263</x:f>
        <x:v>1</x:v>
      </x:c>
      <x:c r="Z263" s="2" t="n">
        <x:f t="shared" si="293">Z$8+(Z$9-Z$8)*H263</x:f>
        <x:v>1</x:v>
      </x:c>
      <x:c r="AA263" s="2" t="n">
        <x:f t="shared" si="294">AA$8+(AA$9-AA$8)*I263</x:f>
        <x:v>1</x:v>
      </x:c>
      <x:c r="AB263" s="2" t="n">
        <x:f t="shared" si="295">AB$8+(AB$9-AB$8)*J263</x:f>
        <x:v>1</x:v>
      </x:c>
      <x:c r="AC263" s="2" t="n">
        <x:f t="shared" si="296">AC$8+(AC$9-AC$8)*MAX(K263,L263)</x:f>
        <x:v>1</x:v>
      </x:c>
      <x:c r="AD263" s="1" t="n">
        <x:f t="shared" si="297">(V263*AE263+W263*AF263+X263*AG263)*PRODUCT(Y263:AC263)</x:f>
        <x:v>1.8564108632829648</x:v>
      </x:c>
      <x:c r="AE263" s="2" t="n">
        <x:f t="shared" si="298">1+AE$9*($H$10*H263+$I$10*I263+$J$10*J263+$K$10*K263+$L$10*L263)</x:f>
        <x:v>1</x:v>
      </x:c>
      <x:c r="AF263" s="2" t="n">
        <x:f t="shared" si="299">1+AF$9*($H$10*H263+$I$10*I263+$J$10*J263+$K$10*K263+$L$10*L263)</x:f>
        <x:v>1.2043593241438704</x:v>
      </x:c>
      <x:c r="AG263" s="2" t="n">
        <x:f t="shared" si="300">1+AG$9*($H$10*H263+$I$10*I263+$J$10*J263+$K$10*K263+$L$10*L263)</x:f>
        <x:v>1.362170135566084</x:v>
      </x:c>
      <x:c r="AH263" s="2" t="n">
        <x:f>MIN(1,'_曲线基线'!$L$3+AH$9*($H$10*H263+$I$10*I263+$J$10*J263+$K$10*K263+$L$10*L263))</x:f>
        <x:v>0.5149174624273044</x:v>
      </x:c>
      <x:c r="AI263" s="2" t="n">
        <x:f>'_曲线基线'!$L$4+AI$9*($H$10*H263+$I$10*I263+$J$10*J263+$K$10*K263+$L$10*L263)</x:f>
        <x:v>3.2951272167617764</x:v>
      </x:c>
      <x:c r="AJ263" s="2" t="n">
        <x:f t="shared" si="301">1+AJ$9*($H$10*H263+$I$10*I263+$J$10*J263+$K$10*K263+$L$10*L263)</x:f>
        <x:v>2.0626684855481248</x:v>
      </x:c>
      <x:c r="AK263" s="1" t="n">
        <x:f t="shared" si="302">(1+AH263*(AI263-1))*AJ263</x:f>
        <x:v>4.500332334407076</x:v>
      </x:c>
      <x:c r="AL263" s="1" t="n">
        <x:f t="shared" si="303">U263*AD263*AK263*F263</x:f>
        <x:v>2187097.5441204915</x:v>
      </x:c>
      <x:c r="AM263" s="13" t="n">
        <x:f t="shared" si="304">IF($B263&lt;AM$8,0,AM$3+(AM$4-AM$3)*(POWER(AM$5,$B263-AM$8)-1)/(POWER(AM$5,$C$5-AM$8)-1))</x:f>
        <x:v>49.971799233809065</x:v>
      </x:c>
      <x:c r="AN263" s="13" t="n">
        <x:f>(((E263*'模块规划'!$D$10+G263*'模块规划'!$D$11+H263*'模块规划'!$D$13)*(1+'模块规划'!$G$14*H263)+(I263*'模块规划'!$D$15+J263*'模块规划'!$D$17+K263*'模块规划'!$D$16+L263*'模块规划'!$D$18))*(1+'模块规划'!$J$17*J263))*F263/(1-Q263)</x:f>
        <x:v>2702546.2283695573</x:v>
      </x:c>
      <x:c r="AO263" s="1" t="n">
        <x:f t="shared" si="305">AL263*AM263</x:f>
        <x:v>109293199.37954606</x:v>
      </x:c>
      <x:c r="AP263" s="1" t="n">
        <x:f>IF(AO263="","",INDEX('_曲线基线'!$A$3:$A$502,MIN(ROWS('_曲线基线'!$A$3:$A$502),COUNTIF('_曲线基线'!$E$3:$E$502,"&lt;"&amp;AO263)+1)))</x:f>
        <x:v>300</x:v>
      </x:c>
      <x:c r="AQ263" s="14" t="n">
        <x:f t="shared" si="306">IF(B263&lt;=2,1,IF(B263&lt;=6,2,IF(B263&lt;=9,3,IF(B263&lt;=19,4,5))))</x:f>
        <x:v>5</x:v>
      </x:c>
      <x:c r="AR263" s="10" t="n">
        <x:f t="shared" si="307">AN263*(1-Q263)/F263*$AS$3+U263*$AS$4+P263*$AS$5</x:f>
        <x:v>17078.191364026534</x:v>
      </x:c>
      <x:c r="AS263" s="15" t="n">
        <x:f t="shared" si="308">1+AH263*$AS$6+AI263*$AS$7+(AJ263-1)*$AS$8+($H$10*H263+$I$10*I263+$J$10*J263+$K$10*K263+$L$10*L263)*$AU$3*$AS$9+($H$10*H263+$I$10*I263+$J$10*J263+$K$10*K263+$L$10*L263)*$AU$4*$AS$10</x:f>
        <x:v>17.192281820878296</x:v>
      </x:c>
      <x:c r="AT263" s="16" t="n">
        <x:f t="shared" si="309">ROUND(AR263*AS263,0)</x:f>
        <x:v>293613</x:v>
      </x:c>
      <x:c r="AU263" s="16" t="n">
        <x:f t="shared" si="310">ROUND(AT263*F263,0)</x:f>
        <x:v>1468065</x:v>
      </x:c>
      <x:c r="AV263" t="n">
        <x:f>IF(AU263&gt;0,ROUND(AU263,-MAX(0,INT(LOG10(AU263))-2)),0)</x:f>
        <x:v>1470000</x:v>
      </x:c>
    </x:row>
    <x:row r="264" customHeight="1">
      <x:c r="A264" s="1" t="str">
        <x:f>IFERROR(XLOOKUP(B264,'_曲线基线'!$G$3:$G$107,'_曲线基线'!$J$3:$J$107,""),"")</x:f>
      </x:c>
      <x:c r="B264" s="1" t="n">
        <x:v>253</x:v>
      </x:c>
      <x:c r="C264" s="1" t="n">
        <x:f t="shared" si="349">C249+1</x:f>
        <x:v>18</x:v>
      </x:c>
      <x:c r="D264" s="1" t="n">
        <x:f t="shared" si="350">D249</x:f>
        <x:v>4</x:v>
      </x:c>
      <x:c r="E264" s="1" t="n">
        <x:f t="shared" si="282">IF($B264&lt;E$8,0,E$3+(E$4-E$3)*(POWER(E$5,$B264-E$8)-1)/(POWER(E$5,$C$5-E$8)-1))</x:f>
        <x:v>1</x:v>
      </x:c>
      <x:c r="F264" s="10" t="n">
        <x:f t="shared" si="283">1+IF(B264&lt;3,0,MIN(1,(B264-2)/4))+IF(B264&lt;7,0,MIN(1,(B264-6)/3))+IF(B264&lt;10,0,MIN(1,(B264-9)/5))+IF(B264&lt;20,0,MIN(1,(B264-19)/10))</x:f>
        <x:v>5</x:v>
      </x:c>
      <x:c r="G264" s="11" t="n">
        <x:f t="shared" ref="G264:L264" si="372">'玩家战力_节点'!G264</x:f>
        <x:v>0.8706575973744068</x:v>
      </x:c>
      <x:c r="H264" s="11" t="n">
        <x:f t="shared" si="372">'玩家战力_节点'!H264</x:f>
        <x:v>0.6770078390891672</x:v>
      </x:c>
      <x:c r="I264" s="11" t="n">
        <x:f t="shared" si="372">'玩家战力_节点'!I264</x:f>
        <x:v>0.6206241358277353</x:v>
      </x:c>
      <x:c r="J264" s="11" t="n">
        <x:f t="shared" si="372">'玩家战力_节点'!J264</x:f>
        <x:v>0.5753121837712788</x:v>
      </x:c>
      <x:c r="K264" s="11" t="n">
        <x:f t="shared" si="372">'玩家战力_节点'!K264</x:f>
        <x:v>0.6142800029978275</x:v>
      </x:c>
      <x:c r="L264" s="11" t="n">
        <x:f t="shared" si="372">'玩家战力_节点'!L264</x:f>
        <x:v>0.67613956448319</x:v>
      </x:c>
      <x:c r="M264" s="2" t="n">
        <x:f>E264*'模块规划'!$F$10+G264*'模块规划'!$F$11+H264*'模块规划'!$F$13</x:f>
        <x:v>5179.1564673971525</x:v>
      </x:c>
      <x:c r="N264" s="2" t="n">
        <x:f>I264*'模块规划'!$F$15+J264*'模块规划'!$F$17+K264*'模块规划'!$F$16+L264*'模块规划'!$F$18</x:f>
        <x:v>17784.492764737584</x:v>
      </x:c>
      <x:c r="O264" s="2" t="n">
        <x:f t="shared" si="285">1+O$9*SUMPRODUCT($H$10:$L$10,H264:L264)/SUM($H$10:$L$10)</x:f>
        <x:v>3.3194636108468276</x:v>
      </x:c>
      <x:c r="P264" s="12" t="n">
        <x:f t="shared" si="286">M264*O264+N264</x:f>
        <x:v>34976.51419314444</x:v>
      </x:c>
      <x:c r="Q264" s="7" t="n">
        <x:f>P264/(P264+'_曲线基线'!$L$2)</x:f>
        <x:v>0.5930583499492444</x:v>
      </x:c>
      <x:c r="R264" s="2" t="n">
        <x:f>E264*'模块规划'!$E$10+G264*'模块规划'!$E$11+H264*'模块规划'!$E$13</x:f>
        <x:v>7768.734701095729</x:v>
      </x:c>
      <x:c r="S264" s="2" t="n">
        <x:f>I264*'模块规划'!$E$15+J264*'模块规划'!$E$17+K264*'模块规划'!$E$16+L264*'模块规划'!$E$18</x:f>
        <x:v>26676.739147106382</x:v>
      </x:c>
      <x:c r="T264" s="2" t="n">
        <x:f t="shared" si="287">1+T$9*SUMPRODUCT($H$10:$L$10,H264:L264)/SUM($H$10:$L$10)</x:f>
        <x:v>3.3194636108468276</x:v>
      </x:c>
      <x:c r="U264" s="12" t="n">
        <x:f t="shared" si="288">R264*T264+S264</x:f>
        <x:v>52464.771289716664</x:v>
      </x:c>
      <x:c r="V264" s="2" t="n">
        <x:f t="shared" si="289">V$8+(V$9-V$8)*H264</x:f>
        <x:v>0.9031023517267501</x:v>
      </x:c>
      <x:c r="W264" s="2" t="n">
        <x:f t="shared" si="290">IF(B264&lt;$H$8,0,W$8+(W$9-W$8)*H264)</x:f>
        <x:v>0.2708031356356669</x:v>
      </x:c>
      <x:c r="X264" s="2" t="n">
        <x:f t="shared" si="291">X$8+(X$9-X$8)*H264</x:f>
        <x:v>0.461177155749521</x:v>
      </x:c>
      <x:c r="Y264" s="2" t="n">
        <x:f t="shared" si="292">Y$8+(Y$9-Y$8)*G264</x:f>
        <x:v>1</x:v>
      </x:c>
      <x:c r="Z264" s="2" t="n">
        <x:f t="shared" si="293">Z$8+(Z$9-Z$8)*H264</x:f>
        <x:v>1</x:v>
      </x:c>
      <x:c r="AA264" s="2" t="n">
        <x:f t="shared" si="294">AA$8+(AA$9-AA$8)*I264</x:f>
        <x:v>1</x:v>
      </x:c>
      <x:c r="AB264" s="2" t="n">
        <x:f t="shared" si="295">AB$8+(AB$9-AB$8)*J264</x:f>
        <x:v>1</x:v>
      </x:c>
      <x:c r="AC264" s="2" t="n">
        <x:f t="shared" si="296">AC$8+(AC$9-AC$8)*MAX(K264,L264)</x:f>
        <x:v>1</x:v>
      </x:c>
      <x:c r="AD264" s="1" t="n">
        <x:f t="shared" si="297">(V264*AE264+W264*AF264+X264*AG264)*PRODUCT(Y264:AC264)</x:f>
        <x:v>1.8578340828762014</x:v>
      </x:c>
      <x:c r="AE264" s="2" t="n">
        <x:f t="shared" si="298">1+AE$9*($H$10*H264+$I$10*I264+$J$10*J264+$K$10*K264+$L$10*L264)</x:f>
        <x:v>1</x:v>
      </x:c>
      <x:c r="AF264" s="2" t="n">
        <x:f t="shared" si="299">1+AF$9*($H$10*H264+$I$10*I264+$J$10*J264+$K$10*K264+$L$10*L264)</x:f>
        <x:v>1.2047137923743356</x:v>
      </x:c>
      <x:c r="AG264" s="2" t="n">
        <x:f t="shared" si="300">1+AG$9*($H$10*H264+$I$10*I264+$J$10*J264+$K$10*K264+$L$10*L264)</x:f>
        <x:v>1.3627983320411863</x:v>
      </x:c>
      <x:c r="AH264" s="2" t="n">
        <x:f>MIN(1,'_曲线基线'!$L$3+AH$9*($H$10*H264+$I$10*I264+$J$10*J264+$K$10*K264+$L$10*L264))</x:f>
        <x:v>0.5157238776516129</x:v>
      </x:c>
      <x:c r="AI264" s="2" t="n">
        <x:f>'_曲线基线'!$L$4+AI$9*($H$10*H264+$I$10*I264+$J$10*J264+$K$10*K264+$L$10*L264)</x:f>
        <x:v>3.29737365917235</x:v>
      </x:c>
      <x:c r="AJ264" s="2" t="n">
        <x:f t="shared" si="301">1+AJ$9*($H$10*H264+$I$10*I264+$J$10*J264+$K$10*K264+$L$10*L264)</x:f>
        <x:v>2.0645117203465437</x:v>
      </x:c>
      <x:c r="AK264" s="1" t="n">
        <x:f t="shared" si="302">(1+AH264*(AI264-1))*AJ264</x:f>
        <x:v>4.510566784730743</x:v>
      </x:c>
      <x:c r="AL264" s="1" t="n">
        <x:f t="shared" si="303">U264*AD264*AK264*F264</x:f>
        <x:v>2198243.672610015</x:v>
      </x:c>
      <x:c r="AM264" s="13" t="n">
        <x:f t="shared" si="304">IF($B264&lt;AM$8,0,AM$3+(AM$4-AM$3)*(POWER(AM$5,$B264-AM$8)-1)/(POWER(AM$5,$C$5-AM$8)-1))</x:f>
        <x:v>50.13494186606902</x:v>
      </x:c>
      <x:c r="AN264" s="13" t="n">
        <x:f>(((E264*'模块规划'!$D$10+G264*'模块规划'!$D$11+H264*'模块规划'!$D$13)*(1+'模块规划'!$G$14*H264)+(I264*'模块规划'!$D$15+J264*'模块规划'!$D$17+K264*'模块规划'!$D$16+L264*'模块规划'!$D$18))*(1+'模块规划'!$J$17*J264))*F264/(1-Q264)</x:f>
        <x:v>2712396.190731158</x:v>
      </x:c>
      <x:c r="AO264" s="1" t="n">
        <x:f t="shared" si="305">AL264*AM264</x:f>
        <x:v>110208818.73375717</x:v>
      </x:c>
      <x:c r="AP264" s="1" t="n">
        <x:f>IF(AO264="","",INDEX('_曲线基线'!$A$3:$A$502,MIN(ROWS('_曲线基线'!$A$3:$A$502),COUNTIF('_曲线基线'!$E$3:$E$502,"&lt;"&amp;AO264)+1)))</x:f>
        <x:v>301</x:v>
      </x:c>
      <x:c r="AQ264" s="14" t="n">
        <x:f t="shared" si="306">IF(B264&lt;=2,1,IF(B264&lt;=6,2,IF(B264&lt;=9,3,IF(B264&lt;=19,4,5))))</x:f>
        <x:v>5</x:v>
      </x:c>
      <x:c r="AR264" s="10" t="n">
        <x:f t="shared" si="307">AN264*(1-Q264)/F264*$AS$3+U264*$AS$4+P264*$AS$5</x:f>
        <x:v>17115.67614662846</x:v>
      </x:c>
      <x:c r="AS264" s="15" t="n">
        <x:f t="shared" si="308">1+AH264*$AS$6+AI264*$AS$7+(AJ264-1)*$AS$8+($H$10*H264+$I$10*I264+$J$10*J264+$K$10*K264+$L$10*L264)*$AU$3*$AS$9+($H$10*H264+$I$10*I264+$J$10*J264+$K$10*K264+$L$10*L264)*$AU$4*$AS$10</x:f>
        <x:v>17.21346170041312</x:v>
      </x:c>
      <x:c r="AT264" s="16" t="n">
        <x:f t="shared" si="309">ROUND(AR264*AS264,0)</x:f>
        <x:v>294620</x:v>
      </x:c>
      <x:c r="AU264" s="16" t="n">
        <x:f t="shared" si="310">ROUND(AT264*F264,0)</x:f>
        <x:v>1473100</x:v>
      </x:c>
      <x:c r="AV264" t="n">
        <x:f>IF(AU264&gt;0,ROUND(AU264,-MAX(0,INT(LOG10(AU264))-2)),0)</x:f>
        <x:v>1470000</x:v>
      </x:c>
    </x:row>
    <x:row r="265" customHeight="1">
      <x:c r="A265" s="1" t="str">
        <x:f>IFERROR(XLOOKUP(B265,'_曲线基线'!$G$3:$G$107,'_曲线基线'!$J$3:$J$107,""),"")</x:f>
      </x:c>
      <x:c r="B265" s="1" t="n">
        <x:v>254</x:v>
      </x:c>
      <x:c r="C265" s="1" t="n">
        <x:f t="shared" si="349">C250+1</x:f>
        <x:v>18</x:v>
      </x:c>
      <x:c r="D265" s="1" t="n">
        <x:f t="shared" si="350">D250</x:f>
        <x:v>5</x:v>
      </x:c>
      <x:c r="E265" s="1" t="n">
        <x:f t="shared" si="282">IF($B265&lt;E$8,0,E$3+(E$4-E$3)*(POWER(E$5,$B265-E$8)-1)/(POWER(E$5,$C$5-E$8)-1))</x:f>
        <x:v>1</x:v>
      </x:c>
      <x:c r="F265" s="10" t="n">
        <x:f t="shared" si="283">1+IF(B265&lt;3,0,MIN(1,(B265-2)/4))+IF(B265&lt;7,0,MIN(1,(B265-6)/3))+IF(B265&lt;10,0,MIN(1,(B265-9)/5))+IF(B265&lt;20,0,MIN(1,(B265-19)/10))</x:f>
        <x:v>5</x:v>
      </x:c>
      <x:c r="G265" s="11" t="n">
        <x:f t="shared" ref="G265:L265" si="373">'玩家战力_节点'!G265</x:f>
        <x:v>0.871812158445536</x:v>
      </x:c>
      <x:c r="H265" s="11" t="n">
        <x:f t="shared" si="373">'玩家战力_节点'!H265</x:f>
        <x:v>0.6779050822507674</x:v>
      </x:c>
      <x:c r="I265" s="11" t="n">
        <x:f t="shared" si="373">'玩家战力_节点'!I265</x:f>
        <x:v>0.6217872201223625</x:v>
      </x:c>
      <x:c r="J265" s="11" t="n">
        <x:f t="shared" si="373">'玩家战力_节点'!J265</x:f>
        <x:v>0.5762784166116129</x:v>
      </x:c>
      <x:c r="K265" s="11" t="n">
        <x:f t="shared" si="373">'玩家战力_节点'!K265</x:f>
        <x:v>0.6157236276765585</x:v>
      </x:c>
      <x:c r="L265" s="11" t="n">
        <x:f t="shared" si="373">'玩家战力_节点'!L265</x:f>
        <x:v>0.6770727529313587</x:v>
      </x:c>
      <x:c r="M265" s="2" t="n">
        <x:f>E265*'模块规划'!$F$10+G265*'模块规划'!$F$11+H265*'模块规划'!$F$13</x:f>
        <x:v>5184.698360538572</x:v>
      </x:c>
      <x:c r="N265" s="2" t="n">
        <x:f>I265*'模块规划'!$F$15+J265*'模块规划'!$F$17+K265*'模块规划'!$F$16+L265*'模块规划'!$F$18</x:f>
        <x:v>17816.787457811177</x:v>
      </x:c>
      <x:c r="O265" s="2" t="n">
        <x:f t="shared" si="285">1+O$9*SUMPRODUCT($H$10:$L$10,H265:L265)/SUM($H$10:$L$10)</x:f>
        <x:v>3.3234798334580624</x:v>
      </x:c>
      <x:c r="P265" s="12" t="n">
        <x:f t="shared" si="286">M265*O265+N265</x:f>
        <x:v>35048.0279016242</x:v>
      </x:c>
      <x:c r="Q265" s="7" t="n">
        <x:f>P265/(P265+'_曲线基线'!$L$2)</x:f>
        <x:v>0.593551201405325</x:v>
      </x:c>
      <x:c r="R265" s="2" t="n">
        <x:f>E265*'模块规划'!$E$10+G265*'模块规划'!$E$11+H265*'模块规划'!$E$13</x:f>
        <x:v>7777.047540807859</x:v>
      </x:c>
      <x:c r="S265" s="2" t="n">
        <x:f>I265*'模块规划'!$E$15+J265*'模块规划'!$E$17+K265*'模块规划'!$E$16+L265*'模块规划'!$E$18</x:f>
        <x:v>26725.181186716763</x:v>
      </x:c>
      <x:c r="T265" s="2" t="n">
        <x:f t="shared" si="287">1+T$9*SUMPRODUCT($H$10:$L$10,H265:L265)/SUM($H$10:$L$10)</x:f>
        <x:v>3.3234798334580624</x:v>
      </x:c>
      <x:c r="U265" s="12" t="n">
        <x:f t="shared" si="288">R265*T265+S265</x:f>
        <x:v>52572.041852436305</x:v>
      </x:c>
      <x:c r="V265" s="2" t="n">
        <x:f t="shared" si="289">V$8+(V$9-V$8)*H265</x:f>
        <x:v>0.9033715246752302</x:v>
      </x:c>
      <x:c r="W265" s="2" t="n">
        <x:f t="shared" si="290">IF(B265&lt;$H$8,0,W$8+(W$9-W$8)*H265)</x:f>
        <x:v>0.271162032900307</x:v>
      </x:c>
      <x:c r="X265" s="2" t="n">
        <x:f t="shared" si="291">X$8+(X$9-X$8)*H265</x:f>
        <x:v>0.4614238976189611</x:v>
      </x:c>
      <x:c r="Y265" s="2" t="n">
        <x:f t="shared" si="292">Y$8+(Y$9-Y$8)*G265</x:f>
        <x:v>1</x:v>
      </x:c>
      <x:c r="Z265" s="2" t="n">
        <x:f t="shared" si="293">Z$8+(Z$9-Z$8)*H265</x:f>
        <x:v>1</x:v>
      </x:c>
      <x:c r="AA265" s="2" t="n">
        <x:f t="shared" si="294">AA$8+(AA$9-AA$8)*I265</x:f>
        <x:v>1</x:v>
      </x:c>
      <x:c r="AB265" s="2" t="n">
        <x:f t="shared" si="295">AB$8+(AB$9-AB$8)*J265</x:f>
        <x:v>1</x:v>
      </x:c>
      <x:c r="AC265" s="2" t="n">
        <x:f t="shared" si="296">AC$8+(AC$9-AC$8)*MAX(K265,L265)</x:f>
        <x:v>1</x:v>
      </x:c>
      <x:c r="AD265" s="1" t="n">
        <x:f t="shared" si="297">(V265*AE265+W265*AF265+X265*AG265)*PRODUCT(Y265:AC265)</x:f>
        <x:v>1.8592578669095405</x:v>
      </x:c>
      <x:c r="AE265" s="2" t="n">
        <x:f t="shared" si="298">1+AE$9*($H$10*H265+$I$10*I265+$J$10*J265+$K$10*K265+$L$10*L265)</x:f>
        <x:v>1</x:v>
      </x:c>
      <x:c r="AF265" s="2" t="n">
        <x:f t="shared" si="299">1+AF$9*($H$10*H265+$I$10*I265+$J$10*J265+$K$10*K265+$L$10*L265)</x:f>
        <x:v>1.2050682606048009</x:v>
      </x:c>
      <x:c r="AG265" s="2" t="n">
        <x:f t="shared" si="300">1+AG$9*($H$10*H265+$I$10*I265+$J$10*J265+$K$10*K265+$L$10*L265)</x:f>
        <x:v>1.3634265285162888</x:v>
      </x:c>
      <x:c r="AH265" s="2" t="n">
        <x:f>MIN(1,'_曲线基线'!$L$3+AH$9*($H$10*H265+$I$10*I265+$J$10*J265+$K$10*K265+$L$10*L265))</x:f>
        <x:v>0.5165302928759214</x:v>
      </x:c>
      <x:c r="AI265" s="2" t="n">
        <x:f>'_曲线基线'!$L$4+AI$9*($H$10*H265+$I$10*I265+$J$10*J265+$K$10*K265+$L$10*L265)</x:f>
        <x:v>3.299620101582924</x:v>
      </x:c>
      <x:c r="AJ265" s="2" t="n">
        <x:f t="shared" si="301">1+AJ$9*($H$10*H265+$I$10*I265+$J$10*J265+$K$10*K265+$L$10*L265)</x:f>
        <x:v>2.0663549551449636</x:v>
      </x:c>
      <x:c r="AK265" s="1" t="n">
        <x:f t="shared" si="302">(1+AH265*(AI265-1))*AJ265</x:f>
        <x:v>4.520819815677774</x:v>
      </x:c>
      <x:c r="AL265" s="1" t="n">
        <x:f t="shared" si="303">U265*AD265*AK265*F265</x:f>
        <x:v>2209437.26644121</x:v>
      </x:c>
      <x:c r="AM265" s="13" t="n">
        <x:f t="shared" si="304">IF($B265&lt;AM$8,0,AM$3+(AM$4-AM$3)*(POWER(AM$5,$B265-AM$8)-1)/(POWER(AM$5,$C$5-AM$8)-1))</x:f>
        <x:v>50.29971592465158</x:v>
      </x:c>
      <x:c r="AN265" s="13" t="n">
        <x:f>(((E265*'模块规划'!$D$10+G265*'模块规划'!$D$11+H265*'模块规划'!$D$13)*(1+'模块规划'!$G$14*H265)+(I265*'模块规划'!$D$15+J265*'模块规划'!$D$17+K265*'模块规划'!$D$16+L265*'模块规划'!$D$18))*(1+'模块规划'!$J$17*J265))*F265/(1-Q265)</x:f>
        <x:v>2722271.536690296</x:v>
      </x:c>
      <x:c r="AO265" s="1" t="n">
        <x:f t="shared" si="305">AL265*AM265</x:f>
        <x:v>111134066.8553316</x:v>
      </x:c>
      <x:c r="AP265" s="1" t="n">
        <x:f>IF(AO265="","",INDEX('_曲线基线'!$A$3:$A$502,MIN(ROWS('_曲线基线'!$A$3:$A$502),COUNTIF('_曲线基线'!$E$3:$E$502,"&lt;"&amp;AO265)+1)))</x:f>
        <x:v>302</x:v>
      </x:c>
      <x:c r="AQ265" s="14" t="n">
        <x:f t="shared" si="306">IF(B265&lt;=2,1,IF(B265&lt;=6,2,IF(B265&lt;=9,3,IF(B265&lt;=19,4,5))))</x:f>
        <x:v>5</x:v>
      </x:c>
      <x:c r="AR265" s="10" t="n">
        <x:f t="shared" si="307">AN265*(1-Q265)/F265*$AS$3+U265*$AS$4+P265*$AS$5</x:f>
        <x:v>17153.192343704763</x:v>
      </x:c>
      <x:c r="AS265" s="15" t="n">
        <x:f t="shared" si="308">1+AH265*$AS$6+AI265*$AS$7+(AJ265-1)*$AS$8+($H$10*H265+$I$10*I265+$J$10*J265+$K$10*K265+$L$10*L265)*$AU$3*$AS$9+($H$10*H265+$I$10*I265+$J$10*J265+$K$10*K265+$L$10*L265)*$AU$4*$AS$10</x:f>
        <x:v>17.234641579947954</x:v>
      </x:c>
      <x:c r="AT265" s="16" t="n">
        <x:f t="shared" si="309">ROUND(AR265*AS265,0)</x:f>
        <x:v>295629</x:v>
      </x:c>
      <x:c r="AU265" s="16" t="n">
        <x:f t="shared" si="310">ROUND(AT265*F265,0)</x:f>
        <x:v>1478145</x:v>
      </x:c>
      <x:c r="AV265" t="n">
        <x:f>IF(AU265&gt;0,ROUND(AU265,-MAX(0,INT(LOG10(AU265))-2)),0)</x:f>
        <x:v>1480000</x:v>
      </x:c>
    </x:row>
    <x:row r="266" customHeight="1">
      <x:c r="A266" s="1" t="str">
        <x:f>IFERROR(XLOOKUP(B266,'_曲线基线'!$G$3:$G$107,'_曲线基线'!$J$3:$J$107,""),"")</x:f>
      </x:c>
      <x:c r="B266" s="1" t="n">
        <x:v>255</x:v>
      </x:c>
      <x:c r="C266" s="1" t="n">
        <x:f t="shared" si="349">C251+1</x:f>
        <x:v>18</x:v>
      </x:c>
      <x:c r="D266" s="1" t="n">
        <x:f t="shared" si="350">D251</x:f>
        <x:v>6</x:v>
      </x:c>
      <x:c r="E266" s="1" t="n">
        <x:f t="shared" si="282">IF($B266&lt;E$8,0,E$3+(E$4-E$3)*(POWER(E$5,$B266-E$8)-1)/(POWER(E$5,$C$5-E$8)-1))</x:f>
        <x:v>1</x:v>
      </x:c>
      <x:c r="F266" s="10" t="n">
        <x:f t="shared" si="283">1+IF(B266&lt;3,0,MIN(1,(B266-2)/4))+IF(B266&lt;7,0,MIN(1,(B266-6)/3))+IF(B266&lt;10,0,MIN(1,(B266-9)/5))+IF(B266&lt;20,0,MIN(1,(B266-19)/10))</x:f>
        <x:v>5</x:v>
      </x:c>
      <x:c r="G266" s="11" t="n">
        <x:f t="shared" ref="G266:L266" si="374">'玩家战力_节点'!G266</x:f>
        <x:v>0.872966719516665</x:v>
      </x:c>
      <x:c r="H266" s="11" t="n">
        <x:f t="shared" si="374">'玩家战力_节点'!H266</x:f>
        <x:v>0.6788023254123675</x:v>
      </x:c>
      <x:c r="I266" s="11" t="n">
        <x:f t="shared" si="374">'玩家战力_节点'!I266</x:f>
        <x:v>0.6229503044169897</x:v>
      </x:c>
      <x:c r="J266" s="11" t="n">
        <x:f t="shared" si="374">'玩家战力_节点'!J266</x:f>
        <x:v>0.577244649451947</x:v>
      </x:c>
      <x:c r="K266" s="11" t="n">
        <x:f t="shared" si="374">'玩家战力_节点'!K266</x:f>
        <x:v>0.6171672523552896</x:v>
      </x:c>
      <x:c r="L266" s="11" t="n">
        <x:f t="shared" si="374">'玩家战力_节点'!L266</x:f>
        <x:v>0.6780059413795275</x:v>
      </x:c>
      <x:c r="M266" s="2" t="n">
        <x:f>E266*'模块规划'!$F$10+G266*'模块规划'!$F$11+H266*'模块规划'!$F$13</x:f>
        <x:v>5190.240253679992</x:v>
      </x:c>
      <x:c r="N266" s="2" t="n">
        <x:f>I266*'模块规划'!$F$15+J266*'模块规划'!$F$17+K266*'模块规划'!$F$16+L266*'模块规划'!$F$18</x:f>
        <x:v>17849.082150884762</x:v>
      </x:c>
      <x:c r="O266" s="2" t="n">
        <x:f t="shared" si="285">1+O$9*SUMPRODUCT($H$10:$L$10,H266:L266)/SUM($H$10:$L$10)</x:f>
        <x:v>3.327496056069298</x:v>
      </x:c>
      <x:c r="P266" s="12" t="n">
        <x:f t="shared" si="286">M266*O266+N266</x:f>
        <x:v>35119.586125057045</x:v>
      </x:c>
      <x:c r="Q266" s="7" t="n">
        <x:f>P266/(P266+'_曲线基线'!$L$2)</x:f>
        <x:v>0.5940431661813018</x:v>
      </x:c>
      <x:c r="R266" s="2" t="n">
        <x:f>E266*'模块规划'!$E$10+G266*'模块规划'!$E$11+H266*'模块规划'!$E$13</x:f>
        <x:v>7785.360380519988</x:v>
      </x:c>
      <x:c r="S266" s="2" t="n">
        <x:f>I266*'模块规划'!$E$15+J266*'模块规划'!$E$17+K266*'模块规划'!$E$16+L266*'模块规划'!$E$18</x:f>
        <x:v>26773.623226327145</x:v>
      </x:c>
      <x:c r="T266" s="2" t="n">
        <x:f t="shared" si="287">1+T$9*SUMPRODUCT($H$10:$L$10,H266:L266)/SUM($H$10:$L$10)</x:f>
        <x:v>3.327496056069298</x:v>
      </x:c>
      <x:c r="U266" s="12" t="n">
        <x:f t="shared" si="288">R266*T266+S266</x:f>
        <x:v>52679.379187585575</x:v>
      </x:c>
      <x:c r="V266" s="2" t="n">
        <x:f t="shared" si="289">V$8+(V$9-V$8)*H266</x:f>
        <x:v>0.9036406976237102</x:v>
      </x:c>
      <x:c r="W266" s="2" t="n">
        <x:f t="shared" si="290">IF(B266&lt;$H$8,0,W$8+(W$9-W$8)*H266)</x:f>
        <x:v>0.271520930164947</x:v>
      </x:c>
      <x:c r="X266" s="2" t="n">
        <x:f t="shared" si="291">X$8+(X$9-X$8)*H266</x:f>
        <x:v>0.4616706394884011</x:v>
      </x:c>
      <x:c r="Y266" s="2" t="n">
        <x:f t="shared" si="292">Y$8+(Y$9-Y$8)*G266</x:f>
        <x:v>1</x:v>
      </x:c>
      <x:c r="Z266" s="2" t="n">
        <x:f t="shared" si="293">Z$8+(Z$9-Z$8)*H266</x:f>
        <x:v>1</x:v>
      </x:c>
      <x:c r="AA266" s="2" t="n">
        <x:f t="shared" si="294">AA$8+(AA$9-AA$8)*I266</x:f>
        <x:v>1</x:v>
      </x:c>
      <x:c r="AB266" s="2" t="n">
        <x:f t="shared" si="295">AB$8+(AB$9-AB$8)*J266</x:f>
        <x:v>1</x:v>
      </x:c>
      <x:c r="AC266" s="2" t="n">
        <x:f t="shared" si="296">AC$8+(AC$9-AC$8)*MAX(K266,L266)</x:f>
        <x:v>1</x:v>
      </x:c>
      <x:c r="AD266" s="1" t="n">
        <x:f t="shared" si="297">(V266*AE266+W266*AF266+X266*AG266)*PRODUCT(Y266:AC266)</x:f>
        <x:v>1.860682215382981</x:v>
      </x:c>
      <x:c r="AE266" s="2" t="n">
        <x:f t="shared" si="298">1+AE$9*($H$10*H266+$I$10*I266+$J$10*J266+$K$10*K266+$L$10*L266)</x:f>
        <x:v>1</x:v>
      </x:c>
      <x:c r="AF266" s="2" t="n">
        <x:f t="shared" si="299">1+AF$9*($H$10*H266+$I$10*I266+$J$10*J266+$K$10*K266+$L$10*L266)</x:f>
        <x:v>1.2054227288352661</x:v>
      </x:c>
      <x:c r="AG266" s="2" t="n">
        <x:f t="shared" si="300">1+AG$9*($H$10*H266+$I$10*I266+$J$10*J266+$K$10*K266+$L$10*L266)</x:f>
        <x:v>1.3640547249913912</x:v>
      </x:c>
      <x:c r="AH266" s="2" t="n">
        <x:f>MIN(1,'_曲线基线'!$L$3+AH$9*($H$10*H266+$I$10*I266+$J$10*J266+$K$10*K266+$L$10*L266))</x:f>
        <x:v>0.51733670810023</x:v>
      </x:c>
      <x:c r="AI266" s="2" t="n">
        <x:f>'_曲线基线'!$L$4+AI$9*($H$10*H266+$I$10*I266+$J$10*J266+$K$10*K266+$L$10*L266)</x:f>
        <x:v>3.3018665439934978</x:v>
      </x:c>
      <x:c r="AJ266" s="2" t="n">
        <x:f t="shared" si="301">1+AJ$9*($H$10*H266+$I$10*I266+$J$10*J266+$K$10*K266+$L$10*L266)</x:f>
        <x:v>2.068198189943383</x:v>
      </x:c>
      <x:c r="AK266" s="1" t="n">
        <x:f t="shared" si="302">(1+AH266*(AI266-1))*AJ266</x:f>
        <x:v>4.531091447283006</x:v>
      </x:c>
      <x:c r="AL266" s="1" t="n">
        <x:f t="shared" si="303">U266*AD266*AK266*F266</x:f>
        <x:v>2220678.493003329</x:v>
      </x:c>
      <x:c r="AM266" s="13" t="n">
        <x:f t="shared" si="304">IF($B266&lt;AM$8,0,AM$3+(AM$4-AM$3)*(POWER(AM$5,$B266-AM$8)-1)/(POWER(AM$5,$C$5-AM$8)-1))</x:f>
        <x:v>50.46613772381996</x:v>
      </x:c>
      <x:c r="AN266" s="13" t="n">
        <x:f>(((E266*'模块规划'!$D$10+G266*'模块规划'!$D$11+H266*'模块规划'!$D$13)*(1+'模块规划'!$G$14*H266)+(I266*'模块规划'!$D$15+J266*'模块规划'!$D$17+K266*'模块规划'!$D$16+L266*'模块规划'!$D$18))*(1+'模块规划'!$J$17*J266))*F266/(1-Q266)</x:f>
        <x:v>2732172.309967157</x:v>
      </x:c>
      <x:c r="AO266" s="1" t="n">
        <x:f t="shared" si="305">AL266*AM266</x:f>
        <x:v>112069066.66823095</x:v>
      </x:c>
      <x:c r="AP266" s="1" t="n">
        <x:f>IF(AO266="","",INDEX('_曲线基线'!$A$3:$A$502,MIN(ROWS('_曲线基线'!$A$3:$A$502),COUNTIF('_曲线基线'!$E$3:$E$502,"&lt;"&amp;AO266)+1)))</x:f>
        <x:v>302</x:v>
      </x:c>
      <x:c r="AQ266" s="14" t="n">
        <x:f t="shared" si="306">IF(B266&lt;=2,1,IF(B266&lt;=6,2,IF(B266&lt;=9,3,IF(B266&lt;=19,4,5))))</x:f>
        <x:v>5</x:v>
      </x:c>
      <x:c r="AR266" s="10" t="n">
        <x:f t="shared" si="307">AN266*(1-Q266)/F266*$AS$3+U266*$AS$4+P266*$AS$5</x:f>
        <x:v>17190.739959925428</x:v>
      </x:c>
      <x:c r="AS266" s="15" t="n">
        <x:f t="shared" si="308">1+AH266*$AS$6+AI266*$AS$7+(AJ266-1)*$AS$8+($H$10*H266+$I$10*I266+$J$10*J266+$K$10*K266+$L$10*L266)*$AU$3*$AS$9+($H$10*H266+$I$10*I266+$J$10*J266+$K$10*K266+$L$10*L266)*$AU$4*$AS$10</x:f>
        <x:v>17.255821459482778</x:v>
      </x:c>
      <x:c r="AT266" s="16" t="n">
        <x:f t="shared" si="309">ROUND(AR266*AS266,0)</x:f>
        <x:v>296640</x:v>
      </x:c>
      <x:c r="AU266" s="16" t="n">
        <x:f t="shared" si="310">ROUND(AT266*F266,0)</x:f>
        <x:v>1483200</x:v>
      </x:c>
      <x:c r="AV266" t="n">
        <x:f>IF(AU266&gt;0,ROUND(AU266,-MAX(0,INT(LOG10(AU266))-2)),0)</x:f>
        <x:v>1480000</x:v>
      </x:c>
    </x:row>
    <x:row r="267" customHeight="1">
      <x:c r="A267" s="1" t="str">
        <x:f>IFERROR(XLOOKUP(B267,'_曲线基线'!$G$3:$G$107,'_曲线基线'!$J$3:$J$107,""),"")</x:f>
      </x:c>
      <x:c r="B267" s="1" t="n">
        <x:v>256</x:v>
      </x:c>
      <x:c r="C267" s="1" t="n">
        <x:f t="shared" si="349">C252+1</x:f>
        <x:v>18</x:v>
      </x:c>
      <x:c r="D267" s="1" t="n">
        <x:f t="shared" si="350">D252</x:f>
        <x:v>7</x:v>
      </x:c>
      <x:c r="E267" s="1" t="n">
        <x:f t="shared" si="282">IF($B267&lt;E$8,0,E$3+(E$4-E$3)*(POWER(E$5,$B267-E$8)-1)/(POWER(E$5,$C$5-E$8)-1))</x:f>
        <x:v>1</x:v>
      </x:c>
      <x:c r="F267" s="10" t="n">
        <x:f t="shared" si="283">1+IF(B267&lt;3,0,MIN(1,(B267-2)/4))+IF(B267&lt;7,0,MIN(1,(B267-6)/3))+IF(B267&lt;10,0,MIN(1,(B267-9)/5))+IF(B267&lt;20,0,MIN(1,(B267-19)/10))</x:f>
        <x:v>5</x:v>
      </x:c>
      <x:c r="G267" s="11" t="n">
        <x:f t="shared" ref="G267:L267" si="375">'玩家战力_节点'!G267</x:f>
        <x:v>0.874121280587794</x:v>
      </x:c>
      <x:c r="H267" s="11" t="n">
        <x:f t="shared" si="375">'玩家战力_节点'!H267</x:f>
        <x:v>0.6796995685739676</x:v>
      </x:c>
      <x:c r="I267" s="11" t="n">
        <x:f t="shared" si="375">'玩家战力_节点'!I267</x:f>
        <x:v>0.6241133887116169</x:v>
      </x:c>
      <x:c r="J267" s="11" t="n">
        <x:f t="shared" si="375">'玩家战力_节点'!J267</x:f>
        <x:v>0.5782108822922809</x:v>
      </x:c>
      <x:c r="K267" s="11" t="n">
        <x:f t="shared" si="375">'玩家战力_节点'!K267</x:f>
        <x:v>0.6186108770340205</x:v>
      </x:c>
      <x:c r="L267" s="11" t="n">
        <x:f t="shared" si="375">'玩家战力_节点'!L267</x:f>
        <x:v>0.6789391298276961</x:v>
      </x:c>
      <x:c r="M267" s="2" t="n">
        <x:f>E267*'模块规划'!$F$10+G267*'模块规划'!$F$11+H267*'模块规划'!$F$13</x:f>
        <x:v>5195.7821468214115</x:v>
      </x:c>
      <x:c r="N267" s="2" t="n">
        <x:f>I267*'模块规划'!$F$15+J267*'模块规划'!$F$17+K267*'模块规划'!$F$16+L267*'模块规划'!$F$18</x:f>
        <x:v>17881.376843958347</x:v>
      </x:c>
      <x:c r="O267" s="2" t="n">
        <x:f t="shared" si="285">1+O$9*SUMPRODUCT($H$10:$L$10,H267:L267)/SUM($H$10:$L$10)</x:f>
        <x:v>3.331512278680533</x:v>
      </x:c>
      <x:c r="P267" s="12" t="n">
        <x:f t="shared" si="286">M267*O267+N267</x:f>
        <x:v>35191.18886344298</x:v>
      </x:c>
      <x:c r="Q267" s="7" t="n">
        <x:f>P267/(P267+'_曲线基线'!$L$2)</x:f>
        <x:v>0.5945342463830352</x:v>
      </x:c>
      <x:c r="R267" s="2" t="n">
        <x:f>E267*'模块规划'!$E$10+G267*'模块规划'!$E$11+H267*'模块规划'!$E$13</x:f>
        <x:v>7793.673220232117</x:v>
      </x:c>
      <x:c r="S267" s="2" t="n">
        <x:f>I267*'模块规划'!$E$15+J267*'模块规划'!$E$17+K267*'模块规划'!$E$16+L267*'模块规划'!$E$18</x:f>
        <x:v>26822.065265937526</x:v>
      </x:c>
      <x:c r="T267" s="2" t="n">
        <x:f t="shared" si="287">1+T$9*SUMPRODUCT($H$10:$L$10,H267:L267)/SUM($H$10:$L$10)</x:f>
        <x:v>3.331512278680533</x:v>
      </x:c>
      <x:c r="U267" s="12" t="n">
        <x:f t="shared" si="288">R267*T267+S267</x:f>
        <x:v>52786.783295164474</x:v>
      </x:c>
      <x:c r="V267" s="2" t="n">
        <x:f t="shared" si="289">V$8+(V$9-V$8)*H267</x:f>
        <x:v>0.9039098705721903</x:v>
      </x:c>
      <x:c r="W267" s="2" t="n">
        <x:f t="shared" si="290">IF(B267&lt;$H$8,0,W$8+(W$9-W$8)*H267)</x:f>
        <x:v>0.27187982742958705</x:v>
      </x:c>
      <x:c r="X267" s="2" t="n">
        <x:f t="shared" si="291">X$8+(X$9-X$8)*H267</x:f>
        <x:v>0.4619173813578411</x:v>
      </x:c>
      <x:c r="Y267" s="2" t="n">
        <x:f t="shared" si="292">Y$8+(Y$9-Y$8)*G267</x:f>
        <x:v>1</x:v>
      </x:c>
      <x:c r="Z267" s="2" t="n">
        <x:f t="shared" si="293">Z$8+(Z$9-Z$8)*H267</x:f>
        <x:v>1</x:v>
      </x:c>
      <x:c r="AA267" s="2" t="n">
        <x:f t="shared" si="294">AA$8+(AA$9-AA$8)*I267</x:f>
        <x:v>1</x:v>
      </x:c>
      <x:c r="AB267" s="2" t="n">
        <x:f t="shared" si="295">AB$8+(AB$9-AB$8)*J267</x:f>
        <x:v>1</x:v>
      </x:c>
      <x:c r="AC267" s="2" t="n">
        <x:f t="shared" si="296">AC$8+(AC$9-AC$8)*MAX(K267,L267)</x:f>
        <x:v>1</x:v>
      </x:c>
      <x:c r="AD267" s="1" t="n">
        <x:f t="shared" si="297">(V267*AE267+W267*AF267+X267*AG267)*PRODUCT(Y267:AC267)</x:f>
        <x:v>1.8621071282965236</x:v>
      </x:c>
      <x:c r="AE267" s="2" t="n">
        <x:f t="shared" si="298">1+AE$9*($H$10*H267+$I$10*I267+$J$10*J267+$K$10*K267+$L$10*L267)</x:f>
        <x:v>1</x:v>
      </x:c>
      <x:c r="AF267" s="2" t="n">
        <x:f t="shared" si="299">1+AF$9*($H$10*H267+$I$10*I267+$J$10*J267+$K$10*K267+$L$10*L267)</x:f>
        <x:v>1.2057771970657314</x:v>
      </x:c>
      <x:c r="AG267" s="2" t="n">
        <x:f t="shared" si="300">1+AG$9*($H$10*H267+$I$10*I267+$J$10*J267+$K$10*K267+$L$10*L267)</x:f>
        <x:v>1.3646829214664935</x:v>
      </x:c>
      <x:c r="AH267" s="2" t="n">
        <x:f>MIN(1,'_曲线基线'!$L$3+AH$9*($H$10*H267+$I$10*I267+$J$10*J267+$K$10*K267+$L$10*L267))</x:f>
        <x:v>0.5181431233245384</x:v>
      </x:c>
      <x:c r="AI267" s="2" t="n">
        <x:f>'_曲线基线'!$L$4+AI$9*($H$10*H267+$I$10*I267+$J$10*J267+$K$10*K267+$L$10*L267)</x:f>
        <x:v>3.3041129864040713</x:v>
      </x:c>
      <x:c r="AJ267" s="2" t="n">
        <x:f t="shared" si="301">1+AJ$9*($H$10*H267+$I$10*I267+$J$10*J267+$K$10*K267+$L$10*L267)</x:f>
        <x:v>2.0700414247418024</x:v>
      </x:c>
      <x:c r="AK267" s="1" t="n">
        <x:f t="shared" si="302">(1+AH267*(AI267-1))*AJ267</x:f>
        <x:v>4.54138169958128</x:v>
      </x:c>
      <x:c r="AL267" s="1" t="n">
        <x:f t="shared" si="303">U267*AD267*AK267*F267</x:f>
        <x:v>2231967.5201528985</x:v>
      </x:c>
      <x:c r="AM267" s="13" t="n">
        <x:f t="shared" si="304">IF($B267&lt;AM$8,0,AM$3+(AM$4-AM$3)*(POWER(AM$5,$B267-AM$8)-1)/(POWER(AM$5,$C$5-AM$8)-1))</x:f>
        <x:v>50.63422374098003</x:v>
      </x:c>
      <x:c r="AN267" s="13" t="n">
        <x:f>(((E267*'模块规划'!$D$10+G267*'模块规划'!$D$11+H267*'模块规划'!$D$13)*(1+'模块规划'!$G$14*H267)+(I267*'模块规划'!$D$15+J267*'模块规划'!$D$17+K267*'模块规划'!$D$16+L267*'模块规划'!$D$18))*(1+'模块规划'!$J$17*J267))*F267/(1-Q267)</x:f>
        <x:v>2742098.554324715</x:v>
      </x:c>
      <x:c r="AO267" s="1" t="n">
        <x:f t="shared" si="305">AL267*AM267</x:f>
        <x:v>113013942.79802223</x:v>
      </x:c>
      <x:c r="AP267" s="1" t="n">
        <x:f>IF(AO267="","",INDEX('_曲线基线'!$A$3:$A$502,MIN(ROWS('_曲线基线'!$A$3:$A$502),COUNTIF('_曲线基线'!$E$3:$E$502,"&lt;"&amp;AO267)+1)))</x:f>
        <x:v>303</x:v>
      </x:c>
      <x:c r="AQ267" s="14" t="n">
        <x:f t="shared" si="306">IF(B267&lt;=2,1,IF(B267&lt;=6,2,IF(B267&lt;=9,3,IF(B267&lt;=19,4,5))))</x:f>
        <x:v>5</x:v>
      </x:c>
      <x:c r="AR267" s="10" t="n">
        <x:f t="shared" si="307">AN267*(1-Q267)/F267*$AS$3+U267*$AS$4+P267*$AS$5</x:f>
        <x:v>17228.318999960455</x:v>
      </x:c>
      <x:c r="AS267" s="15" t="n">
        <x:f t="shared" si="308">1+AH267*$AS$6+AI267*$AS$7+(AJ267-1)*$AS$8+($H$10*H267+$I$10*I267+$J$10*J267+$K$10*K267+$L$10*L267)*$AU$3*$AS$9+($H$10*H267+$I$10*I267+$J$10*J267+$K$10*K267+$L$10*L267)*$AU$4*$AS$10</x:f>
        <x:v>17.277001339017605</x:v>
      </x:c>
      <x:c r="AT267" s="16" t="n">
        <x:f t="shared" si="309">ROUND(AR267*AS267,0)</x:f>
        <x:v>297654</x:v>
      </x:c>
      <x:c r="AU267" s="16" t="n">
        <x:f t="shared" si="310">ROUND(AT267*F267,0)</x:f>
        <x:v>1488270</x:v>
      </x:c>
      <x:c r="AV267" t="n">
        <x:f>IF(AU267&gt;0,ROUND(AU267,-MAX(0,INT(LOG10(AU267))-2)),0)</x:f>
        <x:v>1490000</x:v>
      </x:c>
    </x:row>
    <x:row r="268" customHeight="1">
      <x:c r="A268" s="1" t="str">
        <x:f>IFERROR(XLOOKUP(B268,'_曲线基线'!$G$3:$G$107,'_曲线基线'!$J$3:$J$107,""),"")</x:f>
      </x:c>
      <x:c r="B268" s="1" t="n">
        <x:v>257</x:v>
      </x:c>
      <x:c r="C268" s="1" t="n">
        <x:f t="shared" si="349">C253+1</x:f>
        <x:v>18</x:v>
      </x:c>
      <x:c r="D268" s="1" t="n">
        <x:f t="shared" si="350">D253</x:f>
        <x:v>8</x:v>
      </x:c>
      <x:c r="E268" s="1" t="n">
        <x:f t="shared" ref="E268:E290" si="376">IF($B268&lt;E$8,0,E$3+(E$4-E$3)*(POWER(E$5,$B268-E$8)-1)/(POWER(E$5,$C$5-E$8)-1))</x:f>
        <x:v>1</x:v>
      </x:c>
      <x:c r="F268" s="10" t="n">
        <x:f t="shared" ref="F268:F290" si="377">1+IF(B268&lt;3,0,MIN(1,(B268-2)/4))+IF(B268&lt;7,0,MIN(1,(B268-6)/3))+IF(B268&lt;10,0,MIN(1,(B268-9)/5))+IF(B268&lt;20,0,MIN(1,(B268-19)/10))</x:f>
        <x:v>5</x:v>
      </x:c>
      <x:c r="G268" s="11" t="n">
        <x:f t="shared" ref="G268:L268" si="378">'玩家战力_节点'!G268</x:f>
        <x:v>0.875275841658923</x:v>
      </x:c>
      <x:c r="H268" s="11" t="n">
        <x:f t="shared" si="378">'玩家战力_节点'!H268</x:f>
        <x:v>0.6805968117355679</x:v>
      </x:c>
      <x:c r="I268" s="11" t="n">
        <x:f t="shared" si="378">'玩家战力_节点'!I268</x:f>
        <x:v>0.625276473006244</x:v>
      </x:c>
      <x:c r="J268" s="11" t="n">
        <x:f t="shared" si="378">'玩家战力_节点'!J268</x:f>
        <x:v>0.5791771151326149</x:v>
      </x:c>
      <x:c r="K268" s="11" t="n">
        <x:f t="shared" si="378">'玩家战力_节点'!K268</x:f>
        <x:v>0.6200545017127516</x:v>
      </x:c>
      <x:c r="L268" s="11" t="n">
        <x:f t="shared" si="378">'玩家战力_节点'!L268</x:f>
        <x:v>0.6798723182758649</x:v>
      </x:c>
      <x:c r="M268" s="2" t="n">
        <x:f>E268*'模块规划'!$F$10+G268*'模块规划'!$F$11+H268*'模块规划'!$F$13</x:f>
        <x:v>5201.32403996283</x:v>
      </x:c>
      <x:c r="N268" s="2" t="n">
        <x:f>I268*'模块规划'!$F$15+J268*'模块规划'!$F$17+K268*'模块规划'!$F$16+L268*'模块规划'!$F$18</x:f>
        <x:v>17913.671537031936</x:v>
      </x:c>
      <x:c r="O268" s="2" t="n">
        <x:f t="shared" ref="O268:O290" si="379">1+O$9*SUMPRODUCT($H$10:$L$10,H268:L268)/SUM($H$10:$L$10)</x:f>
        <x:v>3.335528501291768</x:v>
      </x:c>
      <x:c r="P268" s="12" t="n">
        <x:f t="shared" ref="P268:P290" si="380">M268*O268+N268</x:f>
        <x:v>35262.836116782</x:v>
      </x:c>
      <x:c r="Q268" s="7" t="n">
        <x:f>P268/(P268+'_曲线基线'!$L$2)</x:f>
        <x:v>0.5950244441101984</x:v>
      </x:c>
      <x:c r="R268" s="2" t="n">
        <x:f>E268*'模块规划'!$E$10+G268*'模块规划'!$E$11+H268*'模块规划'!$E$13</x:f>
        <x:v>7801.986059944245</x:v>
      </x:c>
      <x:c r="S268" s="2" t="n">
        <x:f>I268*'模块规划'!$E$15+J268*'模块规划'!$E$17+K268*'模块规划'!$E$16+L268*'模块规划'!$E$18</x:f>
        <x:v>26870.5073055479</x:v>
      </x:c>
      <x:c r="T268" s="2" t="n">
        <x:f t="shared" ref="T268:T290" si="381">1+T$9*SUMPRODUCT($H$10:$L$10,H268:L268)/SUM($H$10:$L$10)</x:f>
        <x:v>3.335528501291768</x:v>
      </x:c>
      <x:c r="U268" s="12" t="n">
        <x:f t="shared" ref="U268:U290" si="382">R268*T268+S268</x:f>
        <x:v>52894.254175172995</x:v>
      </x:c>
      <x:c r="V268" s="2" t="n">
        <x:f t="shared" ref="V268:V290" si="383">V$8+(V$9-V$8)*H268</x:f>
        <x:v>0.9041790435206704</x:v>
      </x:c>
      <x:c r="W268" s="2" t="n">
        <x:f t="shared" ref="W268:W290" si="384">IF(B268&lt;$H$8,0,W$8+(W$9-W$8)*H268)</x:f>
        <x:v>0.27223872469422716</x:v>
      </x:c>
      <x:c r="X268" s="2" t="n">
        <x:f t="shared" ref="X268:X290" si="385">X$8+(X$9-X$8)*H268</x:f>
        <x:v>0.4621641232272812</x:v>
      </x:c>
      <x:c r="Y268" s="2" t="n">
        <x:f t="shared" ref="Y268:Y290" si="386">Y$8+(Y$9-Y$8)*G268</x:f>
        <x:v>1</x:v>
      </x:c>
      <x:c r="Z268" s="2" t="n">
        <x:f t="shared" ref="Z268:Z290" si="387">Z$8+(Z$9-Z$8)*H268</x:f>
        <x:v>1</x:v>
      </x:c>
      <x:c r="AA268" s="2" t="n">
        <x:f t="shared" ref="AA268:AA290" si="388">AA$8+(AA$9-AA$8)*I268</x:f>
        <x:v>1</x:v>
      </x:c>
      <x:c r="AB268" s="2" t="n">
        <x:f t="shared" ref="AB268:AB290" si="389">AB$8+(AB$9-AB$8)*J268</x:f>
        <x:v>1</x:v>
      </x:c>
      <x:c r="AC268" s="2" t="n">
        <x:f t="shared" ref="AC268:AC290" si="390">AC$8+(AC$9-AC$8)*MAX(K268,L268)</x:f>
        <x:v>1</x:v>
      </x:c>
      <x:c r="AD268" s="1" t="n">
        <x:f t="shared" ref="AD268:AD290" si="391">(V268*AE268+W268*AF268+X268*AG268)*PRODUCT(Y268:AC268)</x:f>
        <x:v>1.863532605650168</x:v>
      </x:c>
      <x:c r="AE268" s="2" t="n">
        <x:f t="shared" ref="AE268:AE290" si="392">1+AE$9*($H$10*H268+$I$10*I268+$J$10*J268+$K$10*K268+$L$10*L268)</x:f>
        <x:v>1</x:v>
      </x:c>
      <x:c r="AF268" s="2" t="n">
        <x:f t="shared" ref="AF268:AF290" si="393">1+AF$9*($H$10*H268+$I$10*I268+$J$10*J268+$K$10*K268+$L$10*L268)</x:f>
        <x:v>1.2061316652961966</x:v>
      </x:c>
      <x:c r="AG268" s="2" t="n">
        <x:f t="shared" ref="AG268:AG290" si="394">1+AG$9*($H$10*H268+$I$10*I268+$J$10*J268+$K$10*K268+$L$10*L268)</x:f>
        <x:v>1.3653111179415958</x:v>
      </x:c>
      <x:c r="AH268" s="2" t="n">
        <x:f>MIN(1,'_曲线基线'!$L$3+AH$9*($H$10*H268+$I$10*I268+$J$10*J268+$K$10*K268+$L$10*L268))</x:f>
        <x:v>0.518949538548847</x:v>
      </x:c>
      <x:c r="AI268" s="2" t="n">
        <x:f>'_曲线基线'!$L$4+AI$9*($H$10*H268+$I$10*I268+$J$10*J268+$K$10*K268+$L$10*L268)</x:f>
        <x:v>3.306359428814645</x:v>
      </x:c>
      <x:c r="AJ268" s="2" t="n">
        <x:f t="shared" ref="AJ268:AJ290" si="395">1+AJ$9*($H$10*H268+$I$10*I268+$J$10*J268+$K$10*K268+$L$10*L268)</x:f>
        <x:v>2.071884659540222</x:v>
      </x:c>
      <x:c r="AK268" s="1" t="n">
        <x:f t="shared" ref="AK268:AK290" si="396">(1+AH268*(AI268-1))*AJ268</x:f>
        <x:v>4.551690592607441</x:v>
      </x:c>
      <x:c r="AL268" s="1" t="n">
        <x:f t="shared" ref="AL268:AL290" si="397">U268*AD268*AK268*F268</x:f>
        <x:v>2243304.516214667</x:v>
      </x:c>
      <x:c r="AM268" s="13" t="n">
        <x:f t="shared" ref="AM268:AM290" si="398">IF($B268&lt;AM$8,0,AM$3+(AM$4-AM$3)*(POWER(AM$5,$B268-AM$8)-1)/(POWER(AM$5,$C$5-AM$8)-1))</x:f>
        <x:v>50.8039906183117</x:v>
      </x:c>
      <x:c r="AN268" s="13" t="n">
        <x:f>(((E268*'模块规划'!$D$10+G268*'模块规划'!$D$11+H268*'模块规划'!$D$13)*(1+'模块规划'!$G$14*H268)+(I268*'模块规划'!$D$15+J268*'模块规划'!$D$17+K268*'模块规划'!$D$16+L268*'模块规划'!$D$18))*(1+'模块规划'!$J$17*J268))*F268/(1-Q268)</x:f>
        <x:v>2752050.313568747</x:v>
      </x:c>
      <x:c r="AO268" s="1" t="n">
        <x:f t="shared" ref="AO268:AO290" si="399">AL268*AM268</x:f>
        <x:v>113968821.5957862</x:v>
      </x:c>
      <x:c r="AP268" s="1" t="n">
        <x:f>IF(AO268="","",INDEX('_曲线基线'!$A$3:$A$502,MIN(ROWS('_曲线基线'!$A$3:$A$502),COUNTIF('_曲线基线'!$E$3:$E$502,"&lt;"&amp;AO268)+1)))</x:f>
        <x:v>304</x:v>
      </x:c>
      <x:c r="AQ268" s="14" t="n">
        <x:f t="shared" ref="AQ268:AQ290" si="400">IF(B268&lt;=2,1,IF(B268&lt;=6,2,IF(B268&lt;=9,3,IF(B268&lt;=19,4,5))))</x:f>
        <x:v>5</x:v>
      </x:c>
      <x:c r="AR268" s="10" t="n">
        <x:f t="shared" ref="AR268:AR290" si="401">AN268*(1-Q268)/F268*$AS$3+U268*$AS$4+P268*$AS$5</x:f>
        <x:v>17265.929468479837</x:v>
      </x:c>
      <x:c r="AS268" s="15" t="n">
        <x:f t="shared" ref="AS268:AS290" si="402">1+AH268*$AS$6+AI268*$AS$7+(AJ268-1)*$AS$8+($H$10*H268+$I$10*I268+$J$10*J268+$K$10*K268+$L$10*L268)*$AU$3*$AS$9+($H$10*H268+$I$10*I268+$J$10*J268+$K$10*K268+$L$10*L268)*$AU$4*$AS$10</x:f>
        <x:v>17.298181218552433</x:v>
      </x:c>
      <x:c r="AT268" s="16" t="n">
        <x:f t="shared" ref="AT268:AT290" si="403">ROUND(AR268*AS268,0)</x:f>
        <x:v>298669</x:v>
      </x:c>
      <x:c r="AU268" s="16" t="n">
        <x:f t="shared" ref="AU268:AU290" si="404">ROUND(AT268*F268,0)</x:f>
        <x:v>1493345</x:v>
      </x:c>
      <x:c r="AV268" t="n">
        <x:f>IF(AU268&gt;0,ROUND(AU268,-MAX(0,INT(LOG10(AU268))-2)),0)</x:f>
        <x:v>1490000</x:v>
      </x:c>
    </x:row>
    <x:row r="269" customHeight="1">
      <x:c r="A269" s="1" t="str">
        <x:f>IFERROR(XLOOKUP(B269,'_曲线基线'!$G$3:$G$107,'_曲线基线'!$J$3:$J$107,""),"")</x:f>
      </x:c>
      <x:c r="B269" s="1" t="n">
        <x:v>258</x:v>
      </x:c>
      <x:c r="C269" s="1" t="n">
        <x:f t="shared" si="349">C254+1</x:f>
        <x:v>18</x:v>
      </x:c>
      <x:c r="D269" s="1" t="n">
        <x:f t="shared" si="350">D254</x:f>
        <x:v>9</x:v>
      </x:c>
      <x:c r="E269" s="1" t="n">
        <x:f t="shared" si="376">IF($B269&lt;E$8,0,E$3+(E$4-E$3)*(POWER(E$5,$B269-E$8)-1)/(POWER(E$5,$C$5-E$8)-1))</x:f>
        <x:v>1</x:v>
      </x:c>
      <x:c r="F269" s="10" t="n">
        <x:f t="shared" si="377">1+IF(B269&lt;3,0,MIN(1,(B269-2)/4))+IF(B269&lt;7,0,MIN(1,(B269-6)/3))+IF(B269&lt;10,0,MIN(1,(B269-9)/5))+IF(B269&lt;20,0,MIN(1,(B269-19)/10))</x:f>
        <x:v>5</x:v>
      </x:c>
      <x:c r="G269" s="11" t="n">
        <x:f t="shared" ref="G269:L269" si="405">'玩家战力_节点'!G269</x:f>
        <x:v>0.8764304027300521</x:v>
      </x:c>
      <x:c r="H269" s="11" t="n">
        <x:f t="shared" si="405">'玩家战力_节点'!H269</x:f>
        <x:v>0.681494054897168</x:v>
      </x:c>
      <x:c r="I269" s="11" t="n">
        <x:f t="shared" si="405">'玩家战力_节点'!I269</x:f>
        <x:v>0.6264395573008712</x:v>
      </x:c>
      <x:c r="J269" s="11" t="n">
        <x:f t="shared" si="405">'玩家战力_节点'!J269</x:f>
        <x:v>0.580143347972949</x:v>
      </x:c>
      <x:c r="K269" s="11" t="n">
        <x:f t="shared" si="405">'玩家战力_节点'!K269</x:f>
        <x:v>0.6214981263914826</x:v>
      </x:c>
      <x:c r="L269" s="11" t="n">
        <x:f t="shared" si="405">'玩家战力_节点'!L269</x:f>
        <x:v>0.6808055067240336</x:v>
      </x:c>
      <x:c r="M269" s="2" t="n">
        <x:f>E269*'模块规划'!$F$10+G269*'模块规划'!$F$11+H269*'模块规划'!$F$13</x:f>
        <x:v>5206.86593310425</x:v>
      </x:c>
      <x:c r="N269" s="2" t="n">
        <x:f>I269*'模块规划'!$F$15+J269*'模块规划'!$F$17+K269*'模块规划'!$F$16+L269*'模块规划'!$F$18</x:f>
        <x:v>17945.96623010552</x:v>
      </x:c>
      <x:c r="O269" s="2" t="n">
        <x:f t="shared" si="379">1+O$9*SUMPRODUCT($H$10:$L$10,H269:L269)/SUM($H$10:$L$10)</x:f>
        <x:v>3.3395447239030034</x:v>
      </x:c>
      <x:c r="P269" s="12" t="n">
        <x:f t="shared" si="380">M269*O269+N269</x:f>
        <x:v>35334.52788507411</x:v>
      </x:c>
      <x:c r="Q269" s="7" t="n">
        <x:f>P269/(P269+'_曲线基线'!$L$2)</x:f>
        <x:v>0.5955137614562984</x:v>
      </x:c>
      <x:c r="R269" s="2" t="n">
        <x:f>E269*'模块规划'!$E$10+G269*'模块规划'!$E$11+H269*'模块规划'!$E$13</x:f>
        <x:v>7810.298899656375</x:v>
      </x:c>
      <x:c r="S269" s="2" t="n">
        <x:f>I269*'模块规划'!$E$15+J269*'模块规划'!$E$17+K269*'模块规划'!$E$16+L269*'模块规划'!$E$18</x:f>
        <x:v>26918.949345158282</x:v>
      </x:c>
      <x:c r="T269" s="2" t="n">
        <x:f t="shared" si="381">1+T$9*SUMPRODUCT($H$10:$L$10,H269:L269)/SUM($H$10:$L$10)</x:f>
        <x:v>3.3395447239030034</x:v>
      </x:c>
      <x:c r="U269" s="12" t="n">
        <x:f t="shared" si="382">R269*T269+S269</x:f>
        <x:v>53001.79182761116</x:v>
      </x:c>
      <x:c r="V269" s="2" t="n">
        <x:f t="shared" si="383">V$8+(V$9-V$8)*H269</x:f>
        <x:v>0.9044482164691504</x:v>
      </x:c>
      <x:c r="W269" s="2" t="n">
        <x:f t="shared" si="384">IF(B269&lt;$H$8,0,W$8+(W$9-W$8)*H269)</x:f>
        <x:v>0.2725976219588672</x:v>
      </x:c>
      <x:c r="X269" s="2" t="n">
        <x:f t="shared" si="385">X$8+(X$9-X$8)*H269</x:f>
        <x:v>0.46241086509672125</x:v>
      </x:c>
      <x:c r="Y269" s="2" t="n">
        <x:f t="shared" si="386">Y$8+(Y$9-Y$8)*G269</x:f>
        <x:v>1</x:v>
      </x:c>
      <x:c r="Z269" s="2" t="n">
        <x:f t="shared" si="387">Z$8+(Z$9-Z$8)*H269</x:f>
        <x:v>1</x:v>
      </x:c>
      <x:c r="AA269" s="2" t="n">
        <x:f t="shared" si="388">AA$8+(AA$9-AA$8)*I269</x:f>
        <x:v>1</x:v>
      </x:c>
      <x:c r="AB269" s="2" t="n">
        <x:f t="shared" si="389">AB$8+(AB$9-AB$8)*J269</x:f>
        <x:v>1</x:v>
      </x:c>
      <x:c r="AC269" s="2" t="n">
        <x:f t="shared" si="390">AC$8+(AC$9-AC$8)*MAX(K269,L269)</x:f>
        <x:v>1</x:v>
      </x:c>
      <x:c r="AD269" s="1" t="n">
        <x:f t="shared" si="391">(V269*AE269+W269*AF269+X269*AG269)*PRODUCT(Y269:AC269)</x:f>
        <x:v>1.8649586474439146</x:v>
      </x:c>
      <x:c r="AE269" s="2" t="n">
        <x:f t="shared" si="392">1+AE$9*($H$10*H269+$I$10*I269+$J$10*J269+$K$10*K269+$L$10*L269)</x:f>
        <x:v>1</x:v>
      </x:c>
      <x:c r="AF269" s="2" t="n">
        <x:f t="shared" si="393">1+AF$9*($H$10*H269+$I$10*I269+$J$10*J269+$K$10*K269+$L$10*L269)</x:f>
        <x:v>1.206486133526662</x:v>
      </x:c>
      <x:c r="AG269" s="2" t="n">
        <x:f t="shared" si="394">1+AG$9*($H$10*H269+$I$10*I269+$J$10*J269+$K$10*K269+$L$10*L269)</x:f>
        <x:v>1.3659393144166982</x:v>
      </x:c>
      <x:c r="AH269" s="2" t="n">
        <x:f>MIN(1,'_曲线基线'!$L$3+AH$9*($H$10*H269+$I$10*I269+$J$10*J269+$K$10*K269+$L$10*L269))</x:f>
        <x:v>0.5197559537731555</x:v>
      </x:c>
      <x:c r="AI269" s="2" t="n">
        <x:f>'_曲线基线'!$L$4+AI$9*($H$10*H269+$I$10*I269+$J$10*J269+$K$10*K269+$L$10*L269)</x:f>
        <x:v>3.308605871225219</x:v>
      </x:c>
      <x:c r="AJ269" s="2" t="n">
        <x:f t="shared" si="395">1+AJ$9*($H$10*H269+$I$10*I269+$J$10*J269+$K$10*K269+$L$10*L269)</x:f>
        <x:v>2.0737278943386412</x:v>
      </x:c>
      <x:c r="AK269" s="1" t="n">
        <x:f t="shared" si="396">(1+AH269*(AI269-1))*AJ269</x:f>
        <x:v>4.562018146396332</x:v>
      </x:c>
      <x:c r="AL269" s="1" t="n">
        <x:f t="shared" si="397">U269*AD269*AK269*F269</x:f>
        <x:v>2254689.6499825623</x:v>
      </x:c>
      <x:c r="AM269" s="13" t="n">
        <x:f t="shared" si="398">IF($B269&lt;AM$8,0,AM$3+(AM$4-AM$3)*(POWER(AM$5,$B269-AM$8)-1)/(POWER(AM$5,$C$5-AM$8)-1))</x:f>
        <x:v>50.97545516441669</x:v>
      </x:c>
      <x:c r="AN269" s="13" t="n">
        <x:f>(((E269*'模块规划'!$D$10+G269*'模块规划'!$D$11+H269*'模块规划'!$D$13)*(1+'模块规划'!$G$14*H269)+(I269*'模块规划'!$D$15+J269*'模块规划'!$D$17+K269*'模块规划'!$D$16+L269*'模块规划'!$D$18))*(1+'模块规划'!$J$17*J269))*F269/(1-Q269)</x:f>
        <x:v>2762027.6315478445</x:v>
      </x:c>
      <x:c r="AO269" s="1" t="n">
        <x:f t="shared" si="399">AL269*AM269</x:f>
        <x:v>114933831.16236046</x:v>
      </x:c>
      <x:c r="AP269" s="1" t="n">
        <x:f>IF(AO269="","",INDEX('_曲线基线'!$A$3:$A$502,MIN(ROWS('_曲线基线'!$A$3:$A$502),COUNTIF('_曲线基线'!$E$3:$E$502,"&lt;"&amp;AO269)+1)))</x:f>
        <x:v>304</x:v>
      </x:c>
      <x:c r="AQ269" s="14" t="n">
        <x:f t="shared" si="400">IF(B269&lt;=2,1,IF(B269&lt;=6,2,IF(B269&lt;=9,3,IF(B269&lt;=19,4,5))))</x:f>
        <x:v>5</x:v>
      </x:c>
      <x:c r="AR269" s="10" t="n">
        <x:f t="shared" si="401">AN269*(1-Q269)/F269*$AS$3+U269*$AS$4+P269*$AS$5</x:f>
        <x:v>17303.57137015357</x:v>
      </x:c>
      <x:c r="AS269" s="15" t="n">
        <x:f t="shared" si="402">1+AH269*$AS$6+AI269*$AS$7+(AJ269-1)*$AS$8+($H$10*H269+$I$10*I269+$J$10*J269+$K$10*K269+$L$10*L269)*$AU$3*$AS$9+($H$10*H269+$I$10*I269+$J$10*J269+$K$10*K269+$L$10*L269)*$AU$4*$AS$10</x:f>
        <x:v>17.31936109808726</x:v>
      </x:c>
      <x:c r="AT269" s="16" t="n">
        <x:f t="shared" si="403">ROUND(AR269*AS269,0)</x:f>
        <x:v>299687</x:v>
      </x:c>
      <x:c r="AU269" s="16" t="n">
        <x:f t="shared" si="404">ROUND(AT269*F269,0)</x:f>
        <x:v>1498435</x:v>
      </x:c>
      <x:c r="AV269" t="n">
        <x:f>IF(AU269&gt;0,ROUND(AU269,-MAX(0,INT(LOG10(AU269))-2)),0)</x:f>
        <x:v>1500000</x:v>
      </x:c>
    </x:row>
    <x:row r="270" customHeight="1">
      <x:c r="A270" s="1" t="str">
        <x:f>IFERROR(XLOOKUP(B270,'_曲线基线'!$G$3:$G$107,'_曲线基线'!$J$3:$J$107,""),"")</x:f>
      </x:c>
      <x:c r="B270" s="1" t="n">
        <x:v>259</x:v>
      </x:c>
      <x:c r="C270" s="1" t="n">
        <x:f t="shared" si="349">C255+1</x:f>
        <x:v>18</x:v>
      </x:c>
      <x:c r="D270" s="1" t="n">
        <x:f t="shared" si="350">D255</x:f>
        <x:v>10</x:v>
      </x:c>
      <x:c r="E270" s="1" t="n">
        <x:f t="shared" si="376">IF($B270&lt;E$8,0,E$3+(E$4-E$3)*(POWER(E$5,$B270-E$8)-1)/(POWER(E$5,$C$5-E$8)-1))</x:f>
        <x:v>1</x:v>
      </x:c>
      <x:c r="F270" s="10" t="n">
        <x:f t="shared" si="377">1+IF(B270&lt;3,0,MIN(1,(B270-2)/4))+IF(B270&lt;7,0,MIN(1,(B270-6)/3))+IF(B270&lt;10,0,MIN(1,(B270-9)/5))+IF(B270&lt;20,0,MIN(1,(B270-19)/10))</x:f>
        <x:v>5</x:v>
      </x:c>
      <x:c r="G270" s="11" t="n">
        <x:f t="shared" ref="G270:L270" si="406">'玩家战力_节点'!G270</x:f>
        <x:v>0.8775849638011811</x:v>
      </x:c>
      <x:c r="H270" s="11" t="n">
        <x:f t="shared" si="406">'玩家战力_节点'!H270</x:f>
        <x:v>0.6823912980587681</x:v>
      </x:c>
      <x:c r="I270" s="11" t="n">
        <x:f t="shared" si="406">'玩家战力_节点'!I270</x:f>
        <x:v>0.6276026415954984</x:v>
      </x:c>
      <x:c r="J270" s="11" t="n">
        <x:f t="shared" si="406">'玩家战力_节点'!J270</x:f>
        <x:v>0.581109580813283</x:v>
      </x:c>
      <x:c r="K270" s="11" t="n">
        <x:f t="shared" si="406">'玩家战力_节点'!K270</x:f>
        <x:v>0.6229417510702135</x:v>
      </x:c>
      <x:c r="L270" s="11" t="n">
        <x:f t="shared" si="406">'玩家战力_节点'!L270</x:f>
        <x:v>0.6817386951722022</x:v>
      </x:c>
      <x:c r="M270" s="2" t="n">
        <x:f>E270*'模块规划'!$F$10+G270*'模块规划'!$F$11+H270*'模块规划'!$F$13</x:f>
        <x:v>5212.40782624567</x:v>
      </x:c>
      <x:c r="N270" s="2" t="n">
        <x:f>I270*'模块规划'!$F$15+J270*'模块规划'!$F$17+K270*'模块规划'!$F$16+L270*'模块规划'!$F$18</x:f>
        <x:v>17978.26092317911</x:v>
      </x:c>
      <x:c r="O270" s="2" t="n">
        <x:f t="shared" si="379">1+O$9*SUMPRODUCT($H$10:$L$10,H270:L270)/SUM($H$10:$L$10)</x:f>
        <x:v>3.343560946514238</x:v>
      </x:c>
      <x:c r="P270" s="12" t="n">
        <x:f t="shared" si="380">M270*O270+N270</x:f>
        <x:v>35406.26416831931</x:v>
      </x:c>
      <x:c r="Q270" s="7" t="n">
        <x:f>P270/(P270+'_曲线基线'!$L$2)</x:f>
        <x:v>0.5960022005086977</x:v>
      </x:c>
      <x:c r="R270" s="2" t="n">
        <x:f>E270*'模块规划'!$E$10+G270*'模块规划'!$E$11+H270*'模块规划'!$E$13</x:f>
        <x:v>7818.6117393685045</x:v>
      </x:c>
      <x:c r="S270" s="2" t="n">
        <x:f>I270*'模块规划'!$E$15+J270*'模块规划'!$E$17+K270*'模块规划'!$E$16+L270*'模块规划'!$E$18</x:f>
        <x:v>26967.391384768664</x:v>
      </x:c>
      <x:c r="T270" s="2" t="n">
        <x:f t="shared" si="381">1+T$9*SUMPRODUCT($H$10:$L$10,H270:L270)/SUM($H$10:$L$10)</x:f>
        <x:v>3.343560946514238</x:v>
      </x:c>
      <x:c r="U270" s="12" t="n">
        <x:f t="shared" si="382">R270*T270+S270</x:f>
        <x:v>53109.39625247895</x:v>
      </x:c>
      <x:c r="V270" s="2" t="n">
        <x:f t="shared" si="383">V$8+(V$9-V$8)*H270</x:f>
        <x:v>0.9047173894176304</x:v>
      </x:c>
      <x:c r="W270" s="2" t="n">
        <x:f t="shared" si="384">IF(B270&lt;$H$8,0,W$8+(W$9-W$8)*H270)</x:f>
        <x:v>0.2729565192235072</x:v>
      </x:c>
      <x:c r="X270" s="2" t="n">
        <x:f t="shared" si="385">X$8+(X$9-X$8)*H270</x:f>
        <x:v>0.46265760696616126</x:v>
      </x:c>
      <x:c r="Y270" s="2" t="n">
        <x:f t="shared" si="386">Y$8+(Y$9-Y$8)*G270</x:f>
        <x:v>1</x:v>
      </x:c>
      <x:c r="Z270" s="2" t="n">
        <x:f t="shared" si="387">Z$8+(Z$9-Z$8)*H270</x:f>
        <x:v>1</x:v>
      </x:c>
      <x:c r="AA270" s="2" t="n">
        <x:f t="shared" si="388">AA$8+(AA$9-AA$8)*I270</x:f>
        <x:v>1</x:v>
      </x:c>
      <x:c r="AB270" s="2" t="n">
        <x:f t="shared" si="389">AB$8+(AB$9-AB$8)*J270</x:f>
        <x:v>1</x:v>
      </x:c>
      <x:c r="AC270" s="2" t="n">
        <x:f t="shared" si="390">AC$8+(AC$9-AC$8)*MAX(K270,L270)</x:f>
        <x:v>1</x:v>
      </x:c>
      <x:c r="AD270" s="1" t="n">
        <x:f t="shared" si="391">(V270*AE270+W270*AF270+X270*AG270)*PRODUCT(Y270:AC270)</x:f>
        <x:v>1.8663852536777628</x:v>
      </x:c>
      <x:c r="AE270" s="2" t="n">
        <x:f t="shared" si="392">1+AE$9*($H$10*H270+$I$10*I270+$J$10*J270+$K$10*K270+$L$10*L270)</x:f>
        <x:v>1</x:v>
      </x:c>
      <x:c r="AF270" s="2" t="n">
        <x:f t="shared" si="393">1+AF$9*($H$10*H270+$I$10*I270+$J$10*J270+$K$10*K270+$L$10*L270)</x:f>
        <x:v>1.2068406017571274</x:v>
      </x:c>
      <x:c r="AG270" s="2" t="n">
        <x:f t="shared" si="394">1+AG$9*($H$10*H270+$I$10*I270+$J$10*J270+$K$10*K270+$L$10*L270)</x:f>
        <x:v>1.3665675108918005</x:v>
      </x:c>
      <x:c r="AH270" s="2" t="n">
        <x:f>MIN(1,'_曲线基线'!$L$3+AH$9*($H$10*H270+$I$10*I270+$J$10*J270+$K$10*K270+$L$10*L270))</x:f>
        <x:v>0.5205623689974641</x:v>
      </x:c>
      <x:c r="AI270" s="2" t="n">
        <x:f>'_曲线基线'!$L$4+AI$9*($H$10*H270+$I$10*I270+$J$10*J270+$K$10*K270+$L$10*L270)</x:f>
        <x:v>3.3108523136357926</x:v>
      </x:c>
      <x:c r="AJ270" s="2" t="n">
        <x:f t="shared" si="395">1+AJ$9*($H$10*H270+$I$10*I270+$J$10*J270+$K$10*K270+$L$10*L270)</x:f>
        <x:v>2.075571129137061</x:v>
      </x:c>
      <x:c r="AK270" s="1" t="n">
        <x:f t="shared" si="396">(1+AH270*(AI270-1))*AJ270</x:f>
        <x:v>4.57236438098279</x:v>
      </x:c>
      <x:c r="AL270" s="1" t="n">
        <x:f t="shared" si="397">U270*AD270*AK270*F270</x:f>
        <x:v>2266123.0907206396</x:v>
      </x:c>
      <x:c r="AM270" s="13" t="n">
        <x:f t="shared" si="398">IF($B270&lt;AM$8,0,AM$3+(AM$4-AM$3)*(POWER(AM$5,$B270-AM$8)-1)/(POWER(AM$5,$C$5-AM$8)-1))</x:f>
        <x:v>51.14863435598272</x:v>
      </x:c>
      <x:c r="AN270" s="13" t="n">
        <x:f>(((E270*'模块规划'!$D$10+G270*'模块规划'!$D$11+H270*'模块规划'!$D$13)*(1+'模块规划'!$G$14*H270)+(I270*'模块规划'!$D$15+J270*'模块规划'!$D$17+K270*'模块规划'!$D$16+L270*'模块规划'!$D$18))*(1+'模块规划'!$J$17*J270))*F270/(1-Q270)</x:f>
        <x:v>2772030.552153424</x:v>
      </x:c>
      <x:c r="AO270" s="1" t="n">
        <x:f t="shared" si="399">AL270*AM270</x:f>
        <x:v>115909101.37291946</x:v>
      </x:c>
      <x:c r="AP270" s="1" t="n">
        <x:f>IF(AO270="","",INDEX('_曲线基线'!$A$3:$A$502,MIN(ROWS('_曲线基线'!$A$3:$A$502),COUNTIF('_曲线基线'!$E$3:$E$502,"&lt;"&amp;AO270)+1)))</x:f>
        <x:v>305</x:v>
      </x:c>
      <x:c r="AQ270" s="14" t="n">
        <x:f t="shared" si="400">IF(B270&lt;=2,1,IF(B270&lt;=6,2,IF(B270&lt;=9,3,IF(B270&lt;=19,4,5))))</x:f>
        <x:v>5</x:v>
      </x:c>
      <x:c r="AR270" s="10" t="n">
        <x:f t="shared" si="401">AN270*(1-Q270)/F270*$AS$3+U270*$AS$4+P270*$AS$5</x:f>
        <x:v>17341.244709651648</x:v>
      </x:c>
      <x:c r="AS270" s="15" t="n">
        <x:f t="shared" si="402">1+AH270*$AS$6+AI270*$AS$7+(AJ270-1)*$AS$8+($H$10*H270+$I$10*I270+$J$10*J270+$K$10*K270+$L$10*L270)*$AU$3*$AS$9+($H$10*H270+$I$10*I270+$J$10*J270+$K$10*K270+$L$10*L270)*$AU$4*$AS$10</x:f>
        <x:v>17.34054097762209</x:v>
      </x:c>
      <x:c r="AT270" s="16" t="n">
        <x:f t="shared" si="403">ROUND(AR270*AS270,0)</x:f>
        <x:v>300707</x:v>
      </x:c>
      <x:c r="AU270" s="16" t="n">
        <x:f t="shared" si="404">ROUND(AT270*F270,0)</x:f>
        <x:v>1503535</x:v>
      </x:c>
      <x:c r="AV270" t="n">
        <x:f>IF(AU270&gt;0,ROUND(AU270,-MAX(0,INT(LOG10(AU270))-2)),0)</x:f>
        <x:v>1500000</x:v>
      </x:c>
    </x:row>
    <x:row r="271" customHeight="1">
      <x:c r="A271" s="1" t="str">
        <x:f>IFERROR(XLOOKUP(B271,'_曲线基线'!$G$3:$G$107,'_曲线基线'!$J$3:$J$107,""),"")</x:f>
      </x:c>
      <x:c r="B271" s="1" t="n">
        <x:v>260</x:v>
      </x:c>
      <x:c r="C271" s="1" t="n">
        <x:f t="shared" si="349">C256+1</x:f>
        <x:v>18</x:v>
      </x:c>
      <x:c r="D271" s="1" t="n">
        <x:f t="shared" si="350">D256</x:f>
        <x:v>11</x:v>
      </x:c>
      <x:c r="E271" s="1" t="n">
        <x:f t="shared" si="376">IF($B271&lt;E$8,0,E$3+(E$4-E$3)*(POWER(E$5,$B271-E$8)-1)/(POWER(E$5,$C$5-E$8)-1))</x:f>
        <x:v>1</x:v>
      </x:c>
      <x:c r="F271" s="10" t="n">
        <x:f t="shared" si="377">1+IF(B271&lt;3,0,MIN(1,(B271-2)/4))+IF(B271&lt;7,0,MIN(1,(B271-6)/3))+IF(B271&lt;10,0,MIN(1,(B271-9)/5))+IF(B271&lt;20,0,MIN(1,(B271-19)/10))</x:f>
        <x:v>5</x:v>
      </x:c>
      <x:c r="G271" s="11" t="n">
        <x:f t="shared" ref="G271:L271" si="407">'玩家战力_节点'!G271</x:f>
        <x:v>0.8787395248723101</x:v>
      </x:c>
      <x:c r="H271" s="11" t="n">
        <x:f t="shared" si="407">'玩家战力_节点'!H271</x:f>
        <x:v>0.6832885412203683</x:v>
      </x:c>
      <x:c r="I271" s="11" t="n">
        <x:f t="shared" si="407">'玩家战力_节点'!I271</x:f>
        <x:v>0.6287657258901255</x:v>
      </x:c>
      <x:c r="J271" s="11" t="n">
        <x:f t="shared" si="407">'玩家战力_节点'!J271</x:f>
        <x:v>0.582075813653617</x:v>
      </x:c>
      <x:c r="K271" s="11" t="n">
        <x:f t="shared" si="407">'玩家战力_节点'!K271</x:f>
        <x:v>0.6243853757489446</x:v>
      </x:c>
      <x:c r="L271" s="11" t="n">
        <x:f t="shared" si="407">'玩家战力_节点'!L271</x:f>
        <x:v>0.682671883620371</x:v>
      </x:c>
      <x:c r="M271" s="2" t="n">
        <x:f>E271*'模块规划'!$F$10+G271*'模块规划'!$F$11+H271*'模块规划'!$F$13</x:f>
        <x:v>5217.949719387088</x:v>
      </x:c>
      <x:c r="N271" s="2" t="n">
        <x:f>I271*'模块规划'!$F$15+J271*'模块规划'!$F$17+K271*'模块规划'!$F$16+L271*'模块规划'!$F$18</x:f>
        <x:v>18010.5556162527</x:v>
      </x:c>
      <x:c r="O271" s="2" t="n">
        <x:f t="shared" si="379">1+O$9*SUMPRODUCT($H$10:$L$10,H271:L271)/SUM($H$10:$L$10)</x:f>
        <x:v>3.3475771691254734</x:v>
      </x:c>
      <x:c r="P271" s="12" t="n">
        <x:f t="shared" si="380">M271*O271+N271</x:f>
        <x:v>35478.044966517584</x:v>
      </x:c>
      <x:c r="Q271" s="7" t="n">
        <x:f>P271/(P271+'_曲线基线'!$L$2)</x:f>
        <x:v>0.5964897633486357</x:v>
      </x:c>
      <x:c r="R271" s="2" t="n">
        <x:f>E271*'模块规划'!$E$10+G271*'模块规划'!$E$11+H271*'模块规划'!$E$13</x:f>
        <x:v>7826.924579080633</x:v>
      </x:c>
      <x:c r="S271" s="2" t="n">
        <x:f>I271*'模块规划'!$E$15+J271*'模块规划'!$E$17+K271*'模块规划'!$E$16+L271*'模块规划'!$E$18</x:f>
        <x:v>27015.833424379045</x:v>
      </x:c>
      <x:c r="T271" s="2" t="n">
        <x:f t="shared" si="381">1+T$9*SUMPRODUCT($H$10:$L$10,H271:L271)/SUM($H$10:$L$10)</x:f>
        <x:v>3.3475771691254734</x:v>
      </x:c>
      <x:c r="U271" s="12" t="n">
        <x:f t="shared" si="382">R271*T271+S271</x:f>
        <x:v>53217.067449776376</x:v>
      </x:c>
      <x:c r="V271" s="2" t="n">
        <x:f t="shared" si="383">V$8+(V$9-V$8)*H271</x:f>
        <x:v>0.9049865623661104</x:v>
      </x:c>
      <x:c r="W271" s="2" t="n">
        <x:f t="shared" si="384">IF(B271&lt;$H$8,0,W$8+(W$9-W$8)*H271)</x:f>
        <x:v>0.27331541648814733</x:v>
      </x:c>
      <x:c r="X271" s="2" t="n">
        <x:f t="shared" si="385">X$8+(X$9-X$8)*H271</x:f>
        <x:v>0.46290434883560133</x:v>
      </x:c>
      <x:c r="Y271" s="2" t="n">
        <x:f t="shared" si="386">Y$8+(Y$9-Y$8)*G271</x:f>
        <x:v>1</x:v>
      </x:c>
      <x:c r="Z271" s="2" t="n">
        <x:f t="shared" si="387">Z$8+(Z$9-Z$8)*H271</x:f>
        <x:v>1</x:v>
      </x:c>
      <x:c r="AA271" s="2" t="n">
        <x:f t="shared" si="388">AA$8+(AA$9-AA$8)*I271</x:f>
        <x:v>1</x:v>
      </x:c>
      <x:c r="AB271" s="2" t="n">
        <x:f t="shared" si="389">AB$8+(AB$9-AB$8)*J271</x:f>
        <x:v>1</x:v>
      </x:c>
      <x:c r="AC271" s="2" t="n">
        <x:f t="shared" si="390">AC$8+(AC$9-AC$8)*MAX(K271,L271)</x:f>
        <x:v>1</x:v>
      </x:c>
      <x:c r="AD271" s="1" t="n">
        <x:f t="shared" si="391">(V271*AE271+W271*AF271+X271*AG271)*PRODUCT(Y271:AC271)</x:f>
        <x:v>1.8678124243517131</x:v>
      </x:c>
      <x:c r="AE271" s="2" t="n">
        <x:f t="shared" si="392">1+AE$9*($H$10*H271+$I$10*I271+$J$10*J271+$K$10*K271+$L$10*L271)</x:f>
        <x:v>1</x:v>
      </x:c>
      <x:c r="AF271" s="2" t="n">
        <x:f t="shared" si="393">1+AF$9*($H$10*H271+$I$10*I271+$J$10*J271+$K$10*K271+$L$10*L271)</x:f>
        <x:v>1.2071950699875926</x:v>
      </x:c>
      <x:c r="AG271" s="2" t="n">
        <x:f t="shared" si="394">1+AG$9*($H$10*H271+$I$10*I271+$J$10*J271+$K$10*K271+$L$10*L271)</x:f>
        <x:v>1.367195707366903</x:v>
      </x:c>
      <x:c r="AH271" s="2" t="n">
        <x:f>MIN(1,'_曲线基线'!$L$3+AH$9*($H$10*H271+$I$10*I271+$J$10*J271+$K$10*K271+$L$10*L271))</x:f>
        <x:v>0.5213687842217726</x:v>
      </x:c>
      <x:c r="AI271" s="2" t="n">
        <x:f>'_曲线基线'!$L$4+AI$9*($H$10*H271+$I$10*I271+$J$10*J271+$K$10*K271+$L$10*L271)</x:f>
        <x:v>3.3130987560463665</x:v>
      </x:c>
      <x:c r="AJ271" s="2" t="n">
        <x:f t="shared" si="395">1+AJ$9*($H$10*H271+$I$10*I271+$J$10*J271+$K$10*K271+$L$10*L271)</x:f>
        <x:v>2.07741436393548</x:v>
      </x:c>
      <x:c r="AK271" s="1" t="n">
        <x:f t="shared" si="396">(1+AH271*(AI271-1))*AJ271</x:f>
        <x:v>4.582729316401657</x:v>
      </x:c>
      <x:c r="AL271" s="1" t="n">
        <x:f t="shared" si="397">U271*AD271*AK271*F271</x:f>
        <x:v>2277605.0081640473</x:v>
      </x:c>
      <x:c r="AM271" s="13" t="n">
        <x:f t="shared" si="398">IF($B271&lt;AM$8,0,AM$3+(AM$4-AM$3)*(POWER(AM$5,$B271-AM$8)-1)/(POWER(AM$5,$C$5-AM$8)-1))</x:f>
        <x:v>51.32354533946442</x:v>
      </x:c>
      <x:c r="AN271" s="13" t="n">
        <x:f>(((E271*'模块规划'!$D$10+G271*'模块规划'!$D$11+H271*'模块规划'!$D$13)*(1+'模块规划'!$G$14*H271)+(I271*'模块规划'!$D$15+J271*'模块规划'!$D$17+K271*'模块规划'!$D$16+L271*'模块规划'!$D$18))*(1+'模块规划'!$J$17*J271))*F271/(1-Q271)</x:f>
        <x:v>2782059.1193197495</x:v>
      </x:c>
      <x:c r="AO271" s="1" t="n">
        <x:f t="shared" si="399">AL271*AM271</x:f>
        <x:v>116894763.9018987</x:v>
      </x:c>
      <x:c r="AP271" s="1" t="n">
        <x:f>IF(AO271="","",INDEX('_曲线基线'!$A$3:$A$502,MIN(ROWS('_曲线基线'!$A$3:$A$502),COUNTIF('_曲线基线'!$E$3:$E$502,"&lt;"&amp;AO271)+1)))</x:f>
        <x:v>306</x:v>
      </x:c>
      <x:c r="AQ271" s="14" t="n">
        <x:f t="shared" si="400">IF(B271&lt;=2,1,IF(B271&lt;=6,2,IF(B271&lt;=9,3,IF(B271&lt;=19,4,5))))</x:f>
        <x:v>5</x:v>
      </x:c>
      <x:c r="AR271" s="10" t="n">
        <x:f t="shared" si="401">AN271*(1-Q271)/F271*$AS$3+U271*$AS$4+P271*$AS$5</x:f>
        <x:v>17378.949491644064</x:v>
      </x:c>
      <x:c r="AS271" s="15" t="n">
        <x:f t="shared" si="402">1+AH271*$AS$6+AI271*$AS$7+(AJ271-1)*$AS$8+($H$10*H271+$I$10*I271+$J$10*J271+$K$10*K271+$L$10*L271)*$AU$3*$AS$9+($H$10*H271+$I$10*I271+$J$10*J271+$K$10*K271+$L$10*L271)*$AU$4*$AS$10</x:f>
        <x:v>17.361720857156914</x:v>
      </x:c>
      <x:c r="AT271" s="16" t="n">
        <x:f t="shared" si="403">ROUND(AR271*AS271,0)</x:f>
        <x:v>301728</x:v>
      </x:c>
      <x:c r="AU271" s="16" t="n">
        <x:f t="shared" si="404">ROUND(AT271*F271,0)</x:f>
        <x:v>1508640</x:v>
      </x:c>
      <x:c r="AV271" t="n">
        <x:f>IF(AU271&gt;0,ROUND(AU271,-MAX(0,INT(LOG10(AU271))-2)),0)</x:f>
        <x:v>1510000</x:v>
      </x:c>
    </x:row>
    <x:row r="272" customHeight="1">
      <x:c r="A272" s="1" t="str">
        <x:f>IFERROR(XLOOKUP(B272,'_曲线基线'!$G$3:$G$107,'_曲线基线'!$J$3:$J$107,""),"")</x:f>
      </x:c>
      <x:c r="B272" s="1" t="n">
        <x:v>261</x:v>
      </x:c>
      <x:c r="C272" s="1" t="n">
        <x:f t="shared" si="349">C257+1</x:f>
        <x:v>18</x:v>
      </x:c>
      <x:c r="D272" s="1" t="n">
        <x:f t="shared" si="350">D257</x:f>
        <x:v>12</x:v>
      </x:c>
      <x:c r="E272" s="1" t="n">
        <x:f t="shared" si="376">IF($B272&lt;E$8,0,E$3+(E$4-E$3)*(POWER(E$5,$B272-E$8)-1)/(POWER(E$5,$C$5-E$8)-1))</x:f>
        <x:v>1</x:v>
      </x:c>
      <x:c r="F272" s="10" t="n">
        <x:f t="shared" si="377">1+IF(B272&lt;3,0,MIN(1,(B272-2)/4))+IF(B272&lt;7,0,MIN(1,(B272-6)/3))+IF(B272&lt;10,0,MIN(1,(B272-9)/5))+IF(B272&lt;20,0,MIN(1,(B272-19)/10))</x:f>
        <x:v>5</x:v>
      </x:c>
      <x:c r="G272" s="11" t="n">
        <x:f t="shared" ref="G272:L272" si="408">'玩家战力_节点'!G272</x:f>
        <x:v>0.8798940859434392</x:v>
      </x:c>
      <x:c r="H272" s="11" t="n">
        <x:f t="shared" si="408">'玩家战力_节点'!H272</x:f>
        <x:v>0.6841857843819685</x:v>
      </x:c>
      <x:c r="I272" s="11" t="n">
        <x:f t="shared" si="408">'玩家战力_节点'!I272</x:f>
        <x:v>0.6299288101847527</x:v>
      </x:c>
      <x:c r="J272" s="11" t="n">
        <x:f t="shared" si="408">'玩家战力_节点'!J272</x:f>
        <x:v>0.5830420464939511</x:v>
      </x:c>
      <x:c r="K272" s="11" t="n">
        <x:f t="shared" si="408">'玩家战力_节点'!K272</x:f>
        <x:v>0.6258290004276756</x:v>
      </x:c>
      <x:c r="L272" s="11" t="n">
        <x:f t="shared" si="408">'玩家战力_节点'!L272</x:f>
        <x:v>0.6836050720685397</x:v>
      </x:c>
      <x:c r="M272" s="2" t="n">
        <x:f>E272*'模块规划'!$F$10+G272*'模块规划'!$F$11+H272*'模块规划'!$F$13</x:f>
        <x:v>5223.491612528508</x:v>
      </x:c>
      <x:c r="N272" s="2" t="n">
        <x:f>I272*'模块规划'!$F$15+J272*'模块规划'!$F$17+K272*'模块规划'!$F$16+L272*'模块规划'!$F$18</x:f>
        <x:v>18042.850309326284</x:v>
      </x:c>
      <x:c r="O272" s="2" t="n">
        <x:f t="shared" si="379">1+O$9*SUMPRODUCT($H$10:$L$10,H272:L272)/SUM($H$10:$L$10)</x:f>
        <x:v>3.3515933917367087</x:v>
      </x:c>
      <x:c r="P272" s="12" t="n">
        <x:f t="shared" si="380">M272*O272+N272</x:f>
        <x:v>35549.87027966896</x:v>
      </x:c>
      <x:c r="Q272" s="7" t="n">
        <x:f>P272/(P272+'_曲线基线'!$L$2)</x:f>
        <x:v>0.59697645205125</x:v>
      </x:c>
      <x:c r="R272" s="2" t="n">
        <x:f>E272*'模块规划'!$E$10+G272*'模块规划'!$E$11+H272*'模块规划'!$E$13</x:f>
        <x:v>7835.237418792763</x:v>
      </x:c>
      <x:c r="S272" s="2" t="n">
        <x:f>I272*'模块规划'!$E$15+J272*'模块规划'!$E$17+K272*'模块规划'!$E$16+L272*'模块规划'!$E$18</x:f>
        <x:v>27064.275463989426</x:v>
      </x:c>
      <x:c r="T272" s="2" t="n">
        <x:f t="shared" si="381">1+T$9*SUMPRODUCT($H$10:$L$10,H272:L272)/SUM($H$10:$L$10)</x:f>
        <x:v>3.3515933917367087</x:v>
      </x:c>
      <x:c r="U272" s="12" t="n">
        <x:f t="shared" si="382">R272*T272+S272</x:f>
        <x:v>53324.805419503435</x:v>
      </x:c>
      <x:c r="V272" s="2" t="n">
        <x:f t="shared" si="383">V$8+(V$9-V$8)*H272</x:f>
        <x:v>0.9052557353145906</x:v>
      </x:c>
      <x:c r="W272" s="2" t="n">
        <x:f t="shared" si="384">IF(B272&lt;$H$8,0,W$8+(W$9-W$8)*H272)</x:f>
        <x:v>0.27367431375278745</x:v>
      </x:c>
      <x:c r="X272" s="2" t="n">
        <x:f t="shared" si="385">X$8+(X$9-X$8)*H272</x:f>
        <x:v>0.46315109070504135</x:v>
      </x:c>
      <x:c r="Y272" s="2" t="n">
        <x:f t="shared" si="386">Y$8+(Y$9-Y$8)*G272</x:f>
        <x:v>1</x:v>
      </x:c>
      <x:c r="Z272" s="2" t="n">
        <x:f t="shared" si="387">Z$8+(Z$9-Z$8)*H272</x:f>
        <x:v>1</x:v>
      </x:c>
      <x:c r="AA272" s="2" t="n">
        <x:f t="shared" si="388">AA$8+(AA$9-AA$8)*I272</x:f>
        <x:v>1</x:v>
      </x:c>
      <x:c r="AB272" s="2" t="n">
        <x:f t="shared" si="389">AB$8+(AB$9-AB$8)*J272</x:f>
        <x:v>1</x:v>
      </x:c>
      <x:c r="AC272" s="2" t="n">
        <x:f t="shared" si="390">AC$8+(AC$9-AC$8)*MAX(K272,L272)</x:f>
        <x:v>1</x:v>
      </x:c>
      <x:c r="AD272" s="1" t="n">
        <x:f t="shared" si="391">(V272*AE272+W272*AF272+X272*AG272)*PRODUCT(Y272:AC272)</x:f>
        <x:v>1.8692401594657653</x:v>
      </x:c>
      <x:c r="AE272" s="2" t="n">
        <x:f t="shared" si="392">1+AE$9*($H$10*H272+$I$10*I272+$J$10*J272+$K$10*K272+$L$10*L272)</x:f>
        <x:v>1</x:v>
      </x:c>
      <x:c r="AF272" s="2" t="n">
        <x:f t="shared" si="393">1+AF$9*($H$10*H272+$I$10*I272+$J$10*J272+$K$10*K272+$L$10*L272)</x:f>
        <x:v>1.2075495382180579</x:v>
      </x:c>
      <x:c r="AG272" s="2" t="n">
        <x:f t="shared" si="394">1+AG$9*($H$10*H272+$I$10*I272+$J$10*J272+$K$10*K272+$L$10*L272)</x:f>
        <x:v>1.3678239038420053</x:v>
      </x:c>
      <x:c r="AH272" s="2" t="n">
        <x:f>MIN(1,'_曲线基线'!$L$3+AH$9*($H$10*H272+$I$10*I272+$J$10*J272+$K$10*K272+$L$10*L272))</x:f>
        <x:v>0.5221751994460812</x:v>
      </x:c>
      <x:c r="AI272" s="2" t="n">
        <x:f>'_曲线基线'!$L$4+AI$9*($H$10*H272+$I$10*I272+$J$10*J272+$K$10*K272+$L$10*L272)</x:f>
        <x:v>3.3153451984569404</x:v>
      </x:c>
      <x:c r="AJ272" s="2" t="n">
        <x:f t="shared" si="395">1+AJ$9*($H$10*H272+$I$10*I272+$J$10*J272+$K$10*K272+$L$10*L272)</x:f>
        <x:v>2.0792575987339</x:v>
      </x:c>
      <x:c r="AK272" s="1" t="n">
        <x:f t="shared" si="396">(1+AH272*(AI272-1))*AJ272</x:f>
        <x:v>4.593112972687782</x:v>
      </x:c>
      <x:c r="AL272" s="1" t="n">
        <x:f t="shared" si="397">U272*AD272*AK272*F272</x:f>
        <x:v>2289135.5725199836</x:v>
      </x:c>
      <x:c r="AM272" s="13" t="n">
        <x:f t="shared" si="398">IF($B272&lt;AM$8,0,AM$3+(AM$4-AM$3)*(POWER(AM$5,$B272-AM$8)-1)/(POWER(AM$5,$C$5-AM$8)-1))</x:f>
        <x:v>51.50020543278093</x:v>
      </x:c>
      <x:c r="AN272" s="13" t="n">
        <x:f>(((E272*'模块规划'!$D$10+G272*'模块规划'!$D$11+H272*'模块规划'!$D$13)*(1+'模块规划'!$G$14*H272)+(I272*'模块规划'!$D$15+J272*'模块规划'!$D$17+K272*'模块规划'!$D$16+L272*'模块规划'!$D$18))*(1+'模块规划'!$J$17*J272))*F272/(1-Q272)</x:f>
        <x:v>2792113.3770239423</x:v>
      </x:c>
      <x:c r="AO272" s="1" t="n">
        <x:f t="shared" si="399">AL272*AM272</x:f>
        <x:v>117890952.24826574</x:v>
      </x:c>
      <x:c r="AP272" s="1" t="n">
        <x:f>IF(AO272="","",INDEX('_曲线基线'!$A$3:$A$502,MIN(ROWS('_曲线基线'!$A$3:$A$502),COUNTIF('_曲线基线'!$E$3:$E$502,"&lt;"&amp;AO272)+1)))</x:f>
        <x:v>306</x:v>
      </x:c>
      <x:c r="AQ272" s="14" t="n">
        <x:f t="shared" si="400">IF(B272&lt;=2,1,IF(B272&lt;=6,2,IF(B272&lt;=9,3,IF(B272&lt;=19,4,5))))</x:f>
        <x:v>5</x:v>
      </x:c>
      <x:c r="AR272" s="10" t="n">
        <x:f t="shared" si="401">AN272*(1-Q272)/F272*$AS$3+U272*$AS$4+P272*$AS$5</x:f>
        <x:v>17416.685720800815</x:v>
      </x:c>
      <x:c r="AS272" s="15" t="n">
        <x:f t="shared" si="402">1+AH272*$AS$6+AI272*$AS$7+(AJ272-1)*$AS$8+($H$10*H272+$I$10*I272+$J$10*J272+$K$10*K272+$L$10*L272)*$AU$3*$AS$9+($H$10*H272+$I$10*I272+$J$10*J272+$K$10*K272+$L$10*L272)*$AU$4*$AS$10</x:f>
        <x:v>17.382900736691745</x:v>
      </x:c>
      <x:c r="AT272" s="16" t="n">
        <x:f t="shared" si="403">ROUND(AR272*AS272,0)</x:f>
        <x:v>302753</x:v>
      </x:c>
      <x:c r="AU272" s="16" t="n">
        <x:f t="shared" si="404">ROUND(AT272*F272,0)</x:f>
        <x:v>1513765</x:v>
      </x:c>
      <x:c r="AV272" t="n">
        <x:f>IF(AU272&gt;0,ROUND(AU272,-MAX(0,INT(LOG10(AU272))-2)),0)</x:f>
        <x:v>1510000</x:v>
      </x:c>
    </x:row>
    <x:row r="273" customHeight="1">
      <x:c r="A273" s="1" t="str">
        <x:f>IFERROR(XLOOKUP(B273,'_曲线基线'!$G$3:$G$107,'_曲线基线'!$J$3:$J$107,""),"")</x:f>
      </x:c>
      <x:c r="B273" s="1" t="n">
        <x:v>262</x:v>
      </x:c>
      <x:c r="C273" s="1" t="n">
        <x:f t="shared" si="349">C258+1</x:f>
        <x:v>18</x:v>
      </x:c>
      <x:c r="D273" s="1" t="n">
        <x:f t="shared" si="350">D258</x:f>
        <x:v>13</x:v>
      </x:c>
      <x:c r="E273" s="1" t="n">
        <x:f t="shared" si="376">IF($B273&lt;E$8,0,E$3+(E$4-E$3)*(POWER(E$5,$B273-E$8)-1)/(POWER(E$5,$C$5-E$8)-1))</x:f>
        <x:v>1</x:v>
      </x:c>
      <x:c r="F273" s="10" t="n">
        <x:f t="shared" si="377">1+IF(B273&lt;3,0,MIN(1,(B273-2)/4))+IF(B273&lt;7,0,MIN(1,(B273-6)/3))+IF(B273&lt;10,0,MIN(1,(B273-9)/5))+IF(B273&lt;20,0,MIN(1,(B273-19)/10))</x:f>
        <x:v>5</x:v>
      </x:c>
      <x:c r="G273" s="11" t="n">
        <x:f t="shared" ref="G273:L273" si="409">'玩家战力_节点'!G273</x:f>
        <x:v>0.8810486470145683</x:v>
      </x:c>
      <x:c r="H273" s="11" t="n">
        <x:f t="shared" si="409">'玩家战力_节点'!H273</x:f>
        <x:v>0.6850830275435686</x:v>
      </x:c>
      <x:c r="I273" s="11" t="n">
        <x:f t="shared" si="409">'玩家战力_节点'!I273</x:f>
        <x:v>0.6310918944793799</x:v>
      </x:c>
      <x:c r="J273" s="11" t="n">
        <x:f t="shared" si="409">'玩家战力_节点'!J273</x:f>
        <x:v>0.5840082793342851</x:v>
      </x:c>
      <x:c r="K273" s="11" t="n">
        <x:f t="shared" si="409">'玩家战力_节点'!K273</x:f>
        <x:v>0.6272726251064067</x:v>
      </x:c>
      <x:c r="L273" s="11" t="n">
        <x:f t="shared" si="409">'玩家战力_节点'!L273</x:f>
        <x:v>0.6845382605167084</x:v>
      </x:c>
      <x:c r="M273" s="2" t="n">
        <x:f>E273*'模块规划'!$F$10+G273*'模块规划'!$F$11+H273*'模块规划'!$F$13</x:f>
        <x:v>5229.033505669928</x:v>
      </x:c>
      <x:c r="N273" s="2" t="n">
        <x:f>I273*'模块规划'!$F$15+J273*'模块规划'!$F$17+K273*'模块规划'!$F$16+L273*'模块规划'!$F$18</x:f>
        <x:v>18075.145002399873</x:v>
      </x:c>
      <x:c r="O273" s="2" t="n">
        <x:f t="shared" si="379">1+O$9*SUMPRODUCT($H$10:$L$10,H273:L273)/SUM($H$10:$L$10)</x:f>
        <x:v>3.355609614347944</x:v>
      </x:c>
      <x:c r="P273" s="12" t="n">
        <x:f t="shared" si="380">M273*O273+N273</x:f>
        <x:v>35621.74010777342</x:v>
      </x:c>
      <x:c r="Q273" s="7" t="n">
        <x:f>P273/(P273+'_曲线基线'!$L$2)</x:f>
        <x:v>0.597462268685598</x:v>
      </x:c>
      <x:c r="R273" s="2" t="n">
        <x:f>E273*'模块规划'!$E$10+G273*'模块规划'!$E$11+H273*'模块规划'!$E$13</x:f>
        <x:v>7843.550258504892</x:v>
      </x:c>
      <x:c r="S273" s="2" t="n">
        <x:f>I273*'模块规划'!$E$15+J273*'模块规划'!$E$17+K273*'模块规划'!$E$16+L273*'模块规划'!$E$18</x:f>
        <x:v>27112.717503599808</x:v>
      </x:c>
      <x:c r="T273" s="2" t="n">
        <x:f t="shared" si="381">1+T$9*SUMPRODUCT($H$10:$L$10,H273:L273)/SUM($H$10:$L$10)</x:f>
        <x:v>3.355609614347944</x:v>
      </x:c>
      <x:c r="U273" s="12" t="n">
        <x:f t="shared" si="382">R273*T273+S273</x:f>
        <x:v>53432.61016166012</x:v>
      </x:c>
      <x:c r="V273" s="2" t="n">
        <x:f t="shared" si="383">V$8+(V$9-V$8)*H273</x:f>
        <x:v>0.9055249082630705</x:v>
      </x:c>
      <x:c r="W273" s="2" t="n">
        <x:f t="shared" si="384">IF(B273&lt;$H$8,0,W$8+(W$9-W$8)*H273)</x:f>
        <x:v>0.27403321101742745</x:v>
      </x:c>
      <x:c r="X273" s="2" t="n">
        <x:f t="shared" si="385">X$8+(X$9-X$8)*H273</x:f>
        <x:v>0.4633978325744814</x:v>
      </x:c>
      <x:c r="Y273" s="2" t="n">
        <x:f t="shared" si="386">Y$8+(Y$9-Y$8)*G273</x:f>
        <x:v>1</x:v>
      </x:c>
      <x:c r="Z273" s="2" t="n">
        <x:f t="shared" si="387">Z$8+(Z$9-Z$8)*H273</x:f>
        <x:v>1</x:v>
      </x:c>
      <x:c r="AA273" s="2" t="n">
        <x:f t="shared" si="388">AA$8+(AA$9-AA$8)*I273</x:f>
        <x:v>1</x:v>
      </x:c>
      <x:c r="AB273" s="2" t="n">
        <x:f t="shared" si="389">AB$8+(AB$9-AB$8)*J273</x:f>
        <x:v>1</x:v>
      </x:c>
      <x:c r="AC273" s="2" t="n">
        <x:f t="shared" si="390">AC$8+(AC$9-AC$8)*MAX(K273,L273)</x:f>
        <x:v>1</x:v>
      </x:c>
      <x:c r="AD273" s="1" t="n">
        <x:f t="shared" si="391">(V273*AE273+W273*AF273+X273*AG273)*PRODUCT(Y273:AC273)</x:f>
        <x:v>1.8706684590199192</x:v>
      </x:c>
      <x:c r="AE273" s="2" t="n">
        <x:f t="shared" si="392">1+AE$9*($H$10*H273+$I$10*I273+$J$10*J273+$K$10*K273+$L$10*L273)</x:f>
        <x:v>1</x:v>
      </x:c>
      <x:c r="AF273" s="2" t="n">
        <x:f t="shared" si="393">1+AF$9*($H$10*H273+$I$10*I273+$J$10*J273+$K$10*K273+$L$10*L273)</x:f>
        <x:v>1.2079040064485231</x:v>
      </x:c>
      <x:c r="AG273" s="2" t="n">
        <x:f t="shared" si="394">1+AG$9*($H$10*H273+$I$10*I273+$J$10*J273+$K$10*K273+$L$10*L273)</x:f>
        <x:v>1.3684521003171077</x:v>
      </x:c>
      <x:c r="AH273" s="2" t="n">
        <x:f>MIN(1,'_曲线基线'!$L$3+AH$9*($H$10*H273+$I$10*I273+$J$10*J273+$K$10*K273+$L$10*L273))</x:f>
        <x:v>0.5229816146703896</x:v>
      </x:c>
      <x:c r="AI273" s="2" t="n">
        <x:f>'_曲线基线'!$L$4+AI$9*($H$10*H273+$I$10*I273+$J$10*J273+$K$10*K273+$L$10*L273)</x:f>
        <x:v>3.317591640867514</x:v>
      </x:c>
      <x:c r="AJ273" s="2" t="n">
        <x:f t="shared" si="395">1+AJ$9*($H$10*H273+$I$10*I273+$J$10*J273+$K$10*K273+$L$10*L273)</x:f>
        <x:v>2.0811008335323193</x:v>
      </x:c>
      <x:c r="AK273" s="1" t="n">
        <x:f t="shared" si="396">(1+AH273*(AI273-1))*AJ273</x:f>
        <x:v>4.603515369875999</x:v>
      </x:c>
      <x:c r="AL273" s="1" t="n">
        <x:f t="shared" si="397">U273*AD273*AK273*F273</x:f>
        <x:v>2300714.9544686484</x:v>
      </x:c>
      <x:c r="AM273" s="13" t="n">
        <x:f t="shared" si="398">IF($B273&lt;AM$8,0,AM$3+(AM$4-AM$3)*(POWER(AM$5,$B273-AM$8)-1)/(POWER(AM$5,$C$5-AM$8)-1))</x:f>
        <x:v>51.67863212703061</x:v>
      </x:c>
      <x:c r="AN273" s="13" t="n">
        <x:f>(((E273*'模块规划'!$D$10+G273*'模块规划'!$D$11+H273*'模块规划'!$D$13)*(1+'模块规划'!$G$14*H273)+(I273*'模块规划'!$D$15+J273*'模块规划'!$D$17+K273*'模块规划'!$D$16+L273*'模块规划'!$D$18))*(1+'模块规划'!$J$17*J273))*F273/(1-Q273)</x:f>
        <x:v>2802193.369285995</x:v>
      </x:c>
      <x:c r="AO273" s="1" t="n">
        <x:f t="shared" si="399">AL273*AM273</x:f>
        <x:v>118897801.76114327</x:v>
      </x:c>
      <x:c r="AP273" s="1" t="n">
        <x:f>IF(AO273="","",INDEX('_曲线基线'!$A$3:$A$502,MIN(ROWS('_曲线基线'!$A$3:$A$502),COUNTIF('_曲线基线'!$E$3:$E$502,"&lt;"&amp;AO273)+1)))</x:f>
        <x:v>307</x:v>
      </x:c>
      <x:c r="AQ273" s="14" t="n">
        <x:f t="shared" si="400">IF(B273&lt;=2,1,IF(B273&lt;=6,2,IF(B273&lt;=9,3,IF(B273&lt;=19,4,5))))</x:f>
        <x:v>5</x:v>
      </x:c>
      <x:c r="AR273" s="10" t="n">
        <x:f t="shared" si="401">AN273*(1-Q273)/F273*$AS$3+U273*$AS$4+P273*$AS$5</x:f>
        <x:v>17454.453401791892</x:v>
      </x:c>
      <x:c r="AS273" s="15" t="n">
        <x:f t="shared" si="402">1+AH273*$AS$6+AI273*$AS$7+(AJ273-1)*$AS$8+($H$10*H273+$I$10*I273+$J$10*J273+$K$10*K273+$L$10*L273)*$AU$3*$AS$9+($H$10*H273+$I$10*I273+$J$10*J273+$K$10*K273+$L$10*L273)*$AU$4*$AS$10</x:f>
        <x:v>17.404080616226572</x:v>
      </x:c>
      <x:c r="AT273" s="16" t="n">
        <x:f t="shared" si="403">ROUND(AR273*AS273,0)</x:f>
        <x:v>303779</x:v>
      </x:c>
      <x:c r="AU273" s="16" t="n">
        <x:f t="shared" si="404">ROUND(AT273*F273,0)</x:f>
        <x:v>1518895</x:v>
      </x:c>
      <x:c r="AV273" t="n">
        <x:f>IF(AU273&gt;0,ROUND(AU273,-MAX(0,INT(LOG10(AU273))-2)),0)</x:f>
        <x:v>1520000</x:v>
      </x:c>
    </x:row>
    <x:row r="274" customHeight="1">
      <x:c r="A274" s="1" t="str">
        <x:f>IFERROR(XLOOKUP(B274,'_曲线基线'!$G$3:$G$107,'_曲线基线'!$J$3:$J$107,""),"")</x:f>
      </x:c>
      <x:c r="B274" s="1" t="n">
        <x:v>263</x:v>
      </x:c>
      <x:c r="C274" s="1" t="n">
        <x:f t="shared" si="349">C259+1</x:f>
        <x:v>18</x:v>
      </x:c>
      <x:c r="D274" s="1" t="n">
        <x:f t="shared" si="350">D259</x:f>
        <x:v>14</x:v>
      </x:c>
      <x:c r="E274" s="1" t="n">
        <x:f t="shared" si="376">IF($B274&lt;E$8,0,E$3+(E$4-E$3)*(POWER(E$5,$B274-E$8)-1)/(POWER(E$5,$C$5-E$8)-1))</x:f>
        <x:v>1</x:v>
      </x:c>
      <x:c r="F274" s="10" t="n">
        <x:f t="shared" si="377">1+IF(B274&lt;3,0,MIN(1,(B274-2)/4))+IF(B274&lt;7,0,MIN(1,(B274-6)/3))+IF(B274&lt;10,0,MIN(1,(B274-9)/5))+IF(B274&lt;20,0,MIN(1,(B274-19)/10))</x:f>
        <x:v>5</x:v>
      </x:c>
      <x:c r="G274" s="11" t="n">
        <x:f t="shared" ref="G274:L274" si="410">'玩家战力_节点'!G274</x:f>
        <x:v>0.8822032080856973</x:v>
      </x:c>
      <x:c r="H274" s="11" t="n">
        <x:f t="shared" si="410">'玩家战力_节点'!H274</x:f>
        <x:v>0.6859802707051688</x:v>
      </x:c>
      <x:c r="I274" s="11" t="n">
        <x:f t="shared" si="410">'玩家战力_节点'!I274</x:f>
        <x:v>0.632254978774007</x:v>
      </x:c>
      <x:c r="J274" s="11" t="n">
        <x:f t="shared" si="410">'玩家战力_节点'!J274</x:f>
        <x:v>0.5849745121746192</x:v>
      </x:c>
      <x:c r="K274" s="11" t="n">
        <x:f t="shared" si="410">'玩家战力_节点'!K274</x:f>
        <x:v>0.6287162497851377</x:v>
      </x:c>
      <x:c r="L274" s="11" t="n">
        <x:f t="shared" si="410">'玩家战力_节点'!L274</x:f>
        <x:v>0.6854714489648771</x:v>
      </x:c>
      <x:c r="M274" s="2" t="n">
        <x:f>E274*'模块规划'!$F$10+G274*'模块规划'!$F$11+H274*'模块规划'!$F$13</x:f>
        <x:v>5234.575398811347</x:v>
      </x:c>
      <x:c r="N274" s="2" t="n">
        <x:f>I274*'模块规划'!$F$15+J274*'模块规划'!$F$17+K274*'模块规划'!$F$16+L274*'模块规划'!$F$18</x:f>
        <x:v>18107.43969547346</x:v>
      </x:c>
      <x:c r="O274" s="2" t="n">
        <x:f t="shared" si="379">1+O$9*SUMPRODUCT($H$10:$L$10,H274:L274)/SUM($H$10:$L$10)</x:f>
        <x:v>3.359625836959179</x:v>
      </x:c>
      <x:c r="P274" s="12" t="n">
        <x:f t="shared" si="380">M274*O274+N274</x:f>
        <x:v>35693.65445083096</x:v>
      </x:c>
      <x:c r="Q274" s="7" t="n">
        <x:f>P274/(P274+'_曲线基线'!$L$2)</x:f>
        <x:v>0.5979472153146772</x:v>
      </x:c>
      <x:c r="R274" s="2" t="n">
        <x:f>E274*'模块规划'!$E$10+G274*'模块规划'!$E$11+H274*'模块规划'!$E$13</x:f>
        <x:v>7851.863098217021</x:v>
      </x:c>
      <x:c r="S274" s="2" t="n">
        <x:f>I274*'模块规划'!$E$15+J274*'模块规划'!$E$17+K274*'模块规划'!$E$16+L274*'模块规划'!$E$18</x:f>
        <x:v>27161.15954321019</x:v>
      </x:c>
      <x:c r="T274" s="2" t="n">
        <x:f t="shared" si="381">1+T$9*SUMPRODUCT($H$10:$L$10,H274:L274)/SUM($H$10:$L$10)</x:f>
        <x:v>3.359625836959179</x:v>
      </x:c>
      <x:c r="U274" s="12" t="n">
        <x:f t="shared" si="382">R274*T274+S274</x:f>
        <x:v>53540.48167624644</x:v>
      </x:c>
      <x:c r="V274" s="2" t="n">
        <x:f t="shared" si="383">V$8+(V$9-V$8)*H274</x:f>
        <x:v>0.9057940812115506</x:v>
      </x:c>
      <x:c r="W274" s="2" t="n">
        <x:f t="shared" si="384">IF(B274&lt;$H$8,0,W$8+(W$9-W$8)*H274)</x:f>
        <x:v>0.2743921082820675</x:v>
      </x:c>
      <x:c r="X274" s="2" t="n">
        <x:f t="shared" si="385">X$8+(X$9-X$8)*H274</x:f>
        <x:v>0.4636445744439215</x:v>
      </x:c>
      <x:c r="Y274" s="2" t="n">
        <x:f t="shared" si="386">Y$8+(Y$9-Y$8)*G274</x:f>
        <x:v>1</x:v>
      </x:c>
      <x:c r="Z274" s="2" t="n">
        <x:f t="shared" si="387">Z$8+(Z$9-Z$8)*H274</x:f>
        <x:v>1</x:v>
      </x:c>
      <x:c r="AA274" s="2" t="n">
        <x:f t="shared" si="388">AA$8+(AA$9-AA$8)*I274</x:f>
        <x:v>1</x:v>
      </x:c>
      <x:c r="AB274" s="2" t="n">
        <x:f t="shared" si="389">AB$8+(AB$9-AB$8)*J274</x:f>
        <x:v>1</x:v>
      </x:c>
      <x:c r="AC274" s="2" t="n">
        <x:f t="shared" si="390">AC$8+(AC$9-AC$8)*MAX(K274,L274)</x:f>
        <x:v>1</x:v>
      </x:c>
      <x:c r="AD274" s="1" t="n">
        <x:f t="shared" si="391">(V274*AE274+W274*AF274+X274*AG274)*PRODUCT(Y274:AC274)</x:f>
        <x:v>1.8720973230141755</x:v>
      </x:c>
      <x:c r="AE274" s="2" t="n">
        <x:f t="shared" si="392">1+AE$9*($H$10*H274+$I$10*I274+$J$10*J274+$K$10*K274+$L$10*L274)</x:f>
        <x:v>1</x:v>
      </x:c>
      <x:c r="AF274" s="2" t="n">
        <x:f t="shared" si="393">1+AF$9*($H$10*H274+$I$10*I274+$J$10*J274+$K$10*K274+$L$10*L274)</x:f>
        <x:v>1.2082584746789884</x:v>
      </x:c>
      <x:c r="AG274" s="2" t="n">
        <x:f t="shared" si="394">1+AG$9*($H$10*H274+$I$10*I274+$J$10*J274+$K$10*K274+$L$10*L274)</x:f>
        <x:v>1.3690802967922102</x:v>
      </x:c>
      <x:c r="AH274" s="2" t="n">
        <x:f>MIN(1,'_曲线基线'!$L$3+AH$9*($H$10*H274+$I$10*I274+$J$10*J274+$K$10*K274+$L$10*L274))</x:f>
        <x:v>0.5237880298946982</x:v>
      </x:c>
      <x:c r="AI274" s="2" t="n">
        <x:f>'_曲线基线'!$L$4+AI$9*($H$10*H274+$I$10*I274+$J$10*J274+$K$10*K274+$L$10*L274)</x:f>
        <x:v>3.319838083278088</x:v>
      </x:c>
      <x:c r="AJ274" s="2" t="n">
        <x:f t="shared" si="395">1+AJ$9*($H$10*H274+$I$10*I274+$J$10*J274+$K$10*K274+$L$10*L274)</x:f>
        <x:v>2.0829440683307388</x:v>
      </x:c>
      <x:c r="AK274" s="1" t="n">
        <x:f t="shared" si="396">(1+AH274*(AI274-1))*AJ274</x:f>
        <x:v>4.613936528001155</x:v>
      </x:c>
      <x:c r="AL274" s="1" t="n">
        <x:f t="shared" si="397">U274*AD274*AK274*F274</x:f>
        <x:v>2312343.3251642147</x:v>
      </x:c>
      <x:c r="AM274" s="13" t="n">
        <x:f t="shared" si="398">IF($B274&lt;AM$8,0,AM$3+(AM$4-AM$3)*(POWER(AM$5,$B274-AM$8)-1)/(POWER(AM$5,$C$5-AM$8)-1))</x:f>
        <x:v>51.858843088222784</x:v>
      </x:c>
      <x:c r="AN274" s="13" t="n">
        <x:f>(((E274*'模块规划'!$D$10+G274*'模块规划'!$D$11+H274*'模块规划'!$D$13)*(1+'模块规划'!$G$14*H274)+(I274*'模块规划'!$D$15+J274*'模块规划'!$D$17+K274*'模块规划'!$D$16+L274*'模块规划'!$D$18))*(1+'模块规划'!$J$17*J274))*F274/(1-Q274)</x:f>
        <x:v>2812299.14016879</x:v>
      </x:c>
      <x:c r="AO274" s="1" t="n">
        <x:f t="shared" si="399">AL274*AM274</x:f>
        <x:v>119915449.66579032</x:v>
      </x:c>
      <x:c r="AP274" s="1" t="n">
        <x:f>IF(AO274="","",INDEX('_曲线基线'!$A$3:$A$502,MIN(ROWS('_曲线基线'!$A$3:$A$502),COUNTIF('_曲线基线'!$E$3:$E$502,"&lt;"&amp;AO274)+1)))</x:f>
        <x:v>308</x:v>
      </x:c>
      <x:c r="AQ274" s="14" t="n">
        <x:f t="shared" si="400">IF(B274&lt;=2,1,IF(B274&lt;=6,2,IF(B274&lt;=9,3,IF(B274&lt;=19,4,5))))</x:f>
        <x:v>5</x:v>
      </x:c>
      <x:c r="AR274" s="10" t="n">
        <x:f t="shared" si="401">AN274*(1-Q274)/F274*$AS$3+U274*$AS$4+P274*$AS$5</x:f>
        <x:v>17492.252539287292</x:v>
      </x:c>
      <x:c r="AS274" s="15" t="n">
        <x:f t="shared" si="402">1+AH274*$AS$6+AI274*$AS$7+(AJ274-1)*$AS$8+($H$10*H274+$I$10*I274+$J$10*J274+$K$10*K274+$L$10*L274)*$AU$3*$AS$9+($H$10*H274+$I$10*I274+$J$10*J274+$K$10*K274+$L$10*L274)*$AU$4*$AS$10</x:f>
        <x:v>17.4252604957614</x:v>
      </x:c>
      <x:c r="AT274" s="16" t="n">
        <x:f t="shared" si="403">ROUND(AR274*AS274,0)</x:f>
        <x:v>304807</x:v>
      </x:c>
      <x:c r="AU274" s="16" t="n">
        <x:f t="shared" si="404">ROUND(AT274*F274,0)</x:f>
        <x:v>1524035</x:v>
      </x:c>
      <x:c r="AV274" t="n">
        <x:f>IF(AU274&gt;0,ROUND(AU274,-MAX(0,INT(LOG10(AU274))-2)),0)</x:f>
        <x:v>1520000</x:v>
      </x:c>
    </x:row>
    <x:row r="275" customHeight="1">
      <x:c r="A275" s="1" t="str">
        <x:f>IFERROR(XLOOKUP(B275,'_曲线基线'!$G$3:$G$107,'_曲线基线'!$J$3:$J$107,""),"")</x:f>
      </x:c>
      <x:c r="B275" s="1" t="n">
        <x:v>264</x:v>
      </x:c>
      <x:c r="C275" s="1" t="n">
        <x:f t="shared" si="349">C260+1</x:f>
        <x:v>18</x:v>
      </x:c>
      <x:c r="D275" s="1" t="n">
        <x:f t="shared" si="350">D260</x:f>
        <x:v>15</x:v>
      </x:c>
      <x:c r="E275" s="1" t="n">
        <x:f t="shared" si="376">IF($B275&lt;E$8,0,E$3+(E$4-E$3)*(POWER(E$5,$B275-E$8)-1)/(POWER(E$5,$C$5-E$8)-1))</x:f>
        <x:v>1</x:v>
      </x:c>
      <x:c r="F275" s="10" t="n">
        <x:f t="shared" si="377">1+IF(B275&lt;3,0,MIN(1,(B275-2)/4))+IF(B275&lt;7,0,MIN(1,(B275-6)/3))+IF(B275&lt;10,0,MIN(1,(B275-9)/5))+IF(B275&lt;20,0,MIN(1,(B275-19)/10))</x:f>
        <x:v>5</x:v>
      </x:c>
      <x:c r="G275" s="11" t="n">
        <x:f t="shared" ref="G275:L275" si="411">'玩家战力_节点'!G275</x:f>
        <x:v>0.8833577691568263</x:v>
      </x:c>
      <x:c r="H275" s="11" t="n">
        <x:f t="shared" si="411">'玩家战力_节点'!H275</x:f>
        <x:v>0.686877513866769</x:v>
      </x:c>
      <x:c r="I275" s="11" t="n">
        <x:f t="shared" si="411">'玩家战力_节点'!I275</x:f>
        <x:v>0.6334180630686342</x:v>
      </x:c>
      <x:c r="J275" s="11" t="n">
        <x:f t="shared" si="411">'玩家战力_节点'!J275</x:f>
        <x:v>0.5859407450149531</x:v>
      </x:c>
      <x:c r="K275" s="11" t="n">
        <x:f t="shared" si="411">'玩家战力_节点'!K275</x:f>
        <x:v>0.6301598744638687</x:v>
      </x:c>
      <x:c r="L275" s="11" t="n">
        <x:f t="shared" si="411">'玩家战力_节点'!L275</x:f>
        <x:v>0.6864046374130458</x:v>
      </x:c>
      <x:c r="M275" s="2" t="n">
        <x:f>E275*'模块规划'!$F$10+G275*'模块规划'!$F$11+H275*'模块规划'!$F$13</x:f>
        <x:v>5240.117291952766</x:v>
      </x:c>
      <x:c r="N275" s="2" t="n">
        <x:f>I275*'模块规划'!$F$15+J275*'模块规划'!$F$17+K275*'模块规划'!$F$16+L275*'模块规划'!$F$18</x:f>
        <x:v>18139.734388547044</x:v>
      </x:c>
      <x:c r="O275" s="2" t="n">
        <x:f t="shared" si="379">1+O$9*SUMPRODUCT($H$10:$L$10,H275:L275)/SUM($H$10:$L$10)</x:f>
        <x:v>3.3636420595704135</x:v>
      </x:c>
      <x:c r="P275" s="12" t="n">
        <x:f t="shared" si="380">M275*O275+N275</x:f>
        <x:v>35765.61330884158</x:v>
      </x:c>
      <x:c r="Q275" s="7" t="n">
        <x:f>P275/(P275+'_曲线基线'!$L$2)</x:f>
        <x:v>0.598431293995447</x:v>
      </x:c>
      <x:c r="R275" s="2" t="n">
        <x:f>E275*'模块规划'!$E$10+G275*'模块规划'!$E$11+H275*'模块规划'!$E$13</x:f>
        <x:v>7860.175937929149</x:v>
      </x:c>
      <x:c r="S275" s="2" t="n">
        <x:f>I275*'模块规划'!$E$15+J275*'模块规划'!$E$17+K275*'模块规划'!$E$16+L275*'模块规划'!$E$18</x:f>
        <x:v>27209.60158282057</x:v>
      </x:c>
      <x:c r="T275" s="2" t="n">
        <x:f t="shared" si="381">1+T$9*SUMPRODUCT($H$10:$L$10,H275:L275)/SUM($H$10:$L$10)</x:f>
        <x:v>3.3636420595704135</x:v>
      </x:c>
      <x:c r="U275" s="12" t="n">
        <x:f t="shared" si="382">R275*T275+S275</x:f>
        <x:v>53648.41996326238</x:v>
      </x:c>
      <x:c r="V275" s="2" t="n">
        <x:f t="shared" si="383">V$8+(V$9-V$8)*H275</x:f>
        <x:v>0.9060632541600306</x:v>
      </x:c>
      <x:c r="W275" s="2" t="n">
        <x:f t="shared" si="384">IF(B275&lt;$H$8,0,W$8+(W$9-W$8)*H275)</x:f>
        <x:v>0.2747510055467076</x:v>
      </x:c>
      <x:c r="X275" s="2" t="n">
        <x:f t="shared" si="385">X$8+(X$9-X$8)*H275</x:f>
        <x:v>0.4638913163133615</x:v>
      </x:c>
      <x:c r="Y275" s="2" t="n">
        <x:f t="shared" si="386">Y$8+(Y$9-Y$8)*G275</x:f>
        <x:v>1</x:v>
      </x:c>
      <x:c r="Z275" s="2" t="n">
        <x:f t="shared" si="387">Z$8+(Z$9-Z$8)*H275</x:f>
        <x:v>1</x:v>
      </x:c>
      <x:c r="AA275" s="2" t="n">
        <x:f t="shared" si="388">AA$8+(AA$9-AA$8)*I275</x:f>
        <x:v>1</x:v>
      </x:c>
      <x:c r="AB275" s="2" t="n">
        <x:f t="shared" si="389">AB$8+(AB$9-AB$8)*J275</x:f>
        <x:v>1</x:v>
      </x:c>
      <x:c r="AC275" s="2" t="n">
        <x:f t="shared" si="390">AC$8+(AC$9-AC$8)*MAX(K275,L275)</x:f>
        <x:v>1</x:v>
      </x:c>
      <x:c r="AD275" s="1" t="n">
        <x:f t="shared" si="391">(V275*AE275+W275*AF275+X275*AG275)*PRODUCT(Y275:AC275)</x:f>
        <x:v>1.8735267514485332</x:v>
      </x:c>
      <x:c r="AE275" s="2" t="n">
        <x:f t="shared" si="392">1+AE$9*($H$10*H275+$I$10*I275+$J$10*J275+$K$10*K275+$L$10*L275)</x:f>
        <x:v>1</x:v>
      </x:c>
      <x:c r="AF275" s="2" t="n">
        <x:f t="shared" si="393">1+AF$9*($H$10*H275+$I$10*I275+$J$10*J275+$K$10*K275+$L$10*L275)</x:f>
        <x:v>1.2086129429094536</x:v>
      </x:c>
      <x:c r="AG275" s="2" t="n">
        <x:f t="shared" si="394">1+AG$9*($H$10*H275+$I$10*I275+$J$10*J275+$K$10*K275+$L$10*L275)</x:f>
        <x:v>1.3697084932673125</x:v>
      </x:c>
      <x:c r="AH275" s="2" t="n">
        <x:f>MIN(1,'_曲线基线'!$L$3+AH$9*($H$10*H275+$I$10*I275+$J$10*J275+$K$10*K275+$L$10*L275))</x:f>
        <x:v>0.5245944451190067</x:v>
      </x:c>
      <x:c r="AI275" s="2" t="n">
        <x:f>'_曲线基线'!$L$4+AI$9*($H$10*H275+$I$10*I275+$J$10*J275+$K$10*K275+$L$10*L275)</x:f>
        <x:v>3.3220845256886613</x:v>
      </x:c>
      <x:c r="AJ275" s="2" t="n">
        <x:f t="shared" si="395">1+AJ$9*($H$10*H275+$I$10*I275+$J$10*J275+$K$10*K275+$L$10*L275)</x:f>
        <x:v>2.084787303129158</x:v>
      </x:c>
      <x:c r="AK275" s="1" t="n">
        <x:f t="shared" si="396">(1+AH275*(AI275-1))*AJ275</x:f>
        <x:v>4.624376467098087</x:v>
      </x:c>
      <x:c r="AL275" s="1" t="n">
        <x:f t="shared" si="397">U275*AD275*AK275*F275</x:f>
        <x:v>2324020.856235781</x:v>
      </x:c>
      <x:c r="AM275" s="13" t="n">
        <x:f t="shared" si="398">IF($B275&lt;AM$8,0,AM$3+(AM$4-AM$3)*(POWER(AM$5,$B275-AM$8)-1)/(POWER(AM$5,$C$5-AM$8)-1))</x:f>
        <x:v>52.04085615902688</x:v>
      </x:c>
      <x:c r="AN275" s="13" t="n">
        <x:f>(((E275*'模块规划'!$D$10+G275*'模块规划'!$D$11+H275*'模块规划'!$D$13)*(1+'模块规划'!$G$14*H275)+(I275*'模块规划'!$D$15+J275*'模块规划'!$D$17+K275*'模块规划'!$D$16+L275*'模块规划'!$D$18))*(1+'模块规划'!$J$17*J275))*F275/(1-Q275)</x:f>
        <x:v>2822430.7337781065</x:v>
      </x:c>
      <x:c r="AO275" s="1" t="n">
        <x:f t="shared" si="399">AL275*AM275</x:f>
        <x:v>120944035.08994478</x:v>
      </x:c>
      <x:c r="AP275" s="1" t="n">
        <x:f>IF(AO275="","",INDEX('_曲线基线'!$A$3:$A$502,MIN(ROWS('_曲线基线'!$A$3:$A$502),COUNTIF('_曲线基线'!$E$3:$E$502,"&lt;"&amp;AO275)+1)))</x:f>
        <x:v>308</x:v>
      </x:c>
      <x:c r="AQ275" s="14" t="n">
        <x:f t="shared" si="400">IF(B275&lt;=2,1,IF(B275&lt;=6,2,IF(B275&lt;=9,3,IF(B275&lt;=19,4,5))))</x:f>
        <x:v>5</x:v>
      </x:c>
      <x:c r="AR275" s="10" t="n">
        <x:f t="shared" si="401">AN275*(1-Q275)/F275*$AS$3+U275*$AS$4+P275*$AS$5</x:f>
        <x:v>17530.083137957008</x:v>
      </x:c>
      <x:c r="AS275" s="15" t="n">
        <x:f t="shared" si="402">1+AH275*$AS$6+AI275*$AS$7+(AJ275-1)*$AS$8+($H$10*H275+$I$10*I275+$J$10*J275+$K$10*K275+$L$10*L275)*$AU$3*$AS$9+($H$10*H275+$I$10*I275+$J$10*J275+$K$10*K275+$L$10*L275)*$AU$4*$AS$10</x:f>
        <x:v>17.446440375296227</x:v>
      </x:c>
      <x:c r="AT275" s="16" t="n">
        <x:f t="shared" si="403">ROUND(AR275*AS275,0)</x:f>
        <x:v>305838</x:v>
      </x:c>
      <x:c r="AU275" s="16" t="n">
        <x:f t="shared" si="404">ROUND(AT275*F275,0)</x:f>
        <x:v>1529190</x:v>
      </x:c>
      <x:c r="AV275" t="n">
        <x:f>IF(AU275&gt;0,ROUND(AU275,-MAX(0,INT(LOG10(AU275))-2)),0)</x:f>
        <x:v>1530000</x:v>
      </x:c>
    </x:row>
    <x:row r="276" customHeight="1">
      <x:c r="A276" s="1" t="str">
        <x:f>IFERROR(XLOOKUP(B276,'_曲线基线'!$G$3:$G$107,'_曲线基线'!$J$3:$J$107,""),"")</x:f>
      </x:c>
      <x:c r="B276" s="1" t="n">
        <x:v>265</x:v>
      </x:c>
      <x:c r="C276" s="1" t="n">
        <x:f t="shared" si="349">C261+1</x:f>
        <x:v>19</x:v>
      </x:c>
      <x:c r="D276" s="1" t="n">
        <x:f t="shared" si="350">D261</x:f>
        <x:v>1</x:v>
      </x:c>
      <x:c r="E276" s="1" t="n">
        <x:f t="shared" si="376">IF($B276&lt;E$8,0,E$3+(E$4-E$3)*(POWER(E$5,$B276-E$8)-1)/(POWER(E$5,$C$5-E$8)-1))</x:f>
        <x:v>1</x:v>
      </x:c>
      <x:c r="F276" s="10" t="n">
        <x:f t="shared" si="377">1+IF(B276&lt;3,0,MIN(1,(B276-2)/4))+IF(B276&lt;7,0,MIN(1,(B276-6)/3))+IF(B276&lt;10,0,MIN(1,(B276-9)/5))+IF(B276&lt;20,0,MIN(1,(B276-19)/10))</x:f>
        <x:v>5</x:v>
      </x:c>
      <x:c r="G276" s="11" t="n">
        <x:f t="shared" ref="G276:L276" si="412">'玩家战力_节点'!G276</x:f>
        <x:v>0.8844875652473666</x:v>
      </x:c>
      <x:c r="H276" s="11" t="n">
        <x:f t="shared" si="412">'玩家战力_节点'!H276</x:f>
        <x:v>0.6877621677122893</x:v>
      </x:c>
      <x:c r="I276" s="11" t="n">
        <x:f t="shared" si="412">'玩家战力_节点'!I276</x:f>
        <x:v>0.6345487781040932</x:v>
      </x:c>
      <x:c r="J276" s="11" t="n">
        <x:f t="shared" si="412">'玩家战力_节点'!J276</x:f>
        <x:v>0.5868907155585822</x:v>
      </x:c>
      <x:c r="K276" s="11" t="n">
        <x:f t="shared" si="412">'玩家战力_节点'!K276</x:f>
        <x:v>0.6315355552718845</x:v>
      </x:c>
      <x:c r="L276" s="11" t="n">
        <x:f t="shared" si="412">'玩家战力_节点'!L276</x:f>
        <x:v>0.6873227534886586</x:v>
      </x:c>
      <x:c r="M276" s="2" t="n">
        <x:f>E276*'模块规划'!$F$10+G276*'模块规划'!$F$11+H276*'模块规划'!$F$13</x:f>
        <x:v>5245.54031318736</x:v>
      </x:c>
      <x:c r="N276" s="2" t="n">
        <x:f>I276*'模块规划'!$F$15+J276*'模块规划'!$F$17+K276*'模块规划'!$F$16+L276*'模块规划'!$F$18</x:f>
        <x:v>18171.124479493166</x:v>
      </x:c>
      <x:c r="O276" s="2" t="n">
        <x:f t="shared" si="379">1+O$9*SUMPRODUCT($H$10:$L$10,H276:L276)/SUM($H$10:$L$10)</x:f>
        <x:v>3.367557438529792</x:v>
      </x:c>
      <x:c r="P276" s="12" t="n">
        <x:f t="shared" si="380">M276*O276+N276</x:f>
        <x:v>35835.782780275156</x:v>
      </x:c>
      <x:c r="Q276" s="7" t="n">
        <x:f>P276/(P276+'_曲线基线'!$L$2)</x:f>
        <x:v>0.5989022139456059</x:v>
      </x:c>
      <x:c r="R276" s="2" t="n">
        <x:f>E276*'模块规划'!$E$10+G276*'模块规划'!$E$11+H276*'模块规划'!$E$13</x:f>
        <x:v>7868.3104697810395</x:v>
      </x:c>
      <x:c r="S276" s="2" t="n">
        <x:f>I276*'模块规划'!$E$15+J276*'模块规划'!$E$17+K276*'模块规划'!$E$16+L276*'模块规划'!$E$18</x:f>
        <x:v>27256.68671923975</x:v>
      </x:c>
      <x:c r="T276" s="2" t="n">
        <x:f t="shared" si="381">1+T$9*SUMPRODUCT($H$10:$L$10,H276:L276)/SUM($H$10:$L$10)</x:f>
        <x:v>3.367557438529792</x:v>
      </x:c>
      <x:c r="U276" s="12" t="n">
        <x:f t="shared" si="382">R276*T276+S276</x:f>
        <x:v>53753.674170412734</x:v>
      </x:c>
      <x:c r="V276" s="2" t="n">
        <x:f t="shared" si="383">V$8+(V$9-V$8)*H276</x:f>
        <x:v>0.9063286503136867</x:v>
      </x:c>
      <x:c r="W276" s="2" t="n">
        <x:f t="shared" si="384">IF(B276&lt;$H$8,0,W$8+(W$9-W$8)*H276)</x:f>
        <x:v>0.2751048670849157</x:v>
      </x:c>
      <x:c r="X276" s="2" t="n">
        <x:f t="shared" si="385">X$8+(X$9-X$8)*H276</x:f>
        <x:v>0.4641345961208796</x:v>
      </x:c>
      <x:c r="Y276" s="2" t="n">
        <x:f t="shared" si="386">Y$8+(Y$9-Y$8)*G276</x:f>
        <x:v>1</x:v>
      </x:c>
      <x:c r="Z276" s="2" t="n">
        <x:f t="shared" si="387">Z$8+(Z$9-Z$8)*H276</x:f>
        <x:v>1</x:v>
      </x:c>
      <x:c r="AA276" s="2" t="n">
        <x:f t="shared" si="388">AA$8+(AA$9-AA$8)*I276</x:f>
        <x:v>1</x:v>
      </x:c>
      <x:c r="AB276" s="2" t="n">
        <x:f t="shared" si="389">AB$8+(AB$9-AB$8)*J276</x:f>
        <x:v>1</x:v>
      </x:c>
      <x:c r="AC276" s="2" t="n">
        <x:f t="shared" si="390">AC$8+(AC$9-AC$8)*MAX(K276,L276)</x:f>
        <x:v>1</x:v>
      </x:c>
      <x:c r="AD276" s="1" t="n">
        <x:f t="shared" si="391">(V276*AE276+W276*AF276+X276*AG276)*PRODUCT(Y276:AC276)</x:f>
        <x:v>1.8749323657762749</x:v>
      </x:c>
      <x:c r="AE276" s="2" t="n">
        <x:f t="shared" si="392">1+AE$9*($H$10*H276+$I$10*I276+$J$10*J276+$K$10*K276+$L$10*L276)</x:f>
        <x:v>1</x:v>
      </x:c>
      <x:c r="AF276" s="2" t="n">
        <x:f t="shared" si="393">1+AF$9*($H$10*H276+$I$10*I276+$J$10*J276+$K$10*K276+$L$10*L276)</x:f>
        <x:v>1.2089585107690264</x:v>
      </x:c>
      <x:c r="AG276" s="2" t="n">
        <x:f t="shared" si="394">1+AG$9*($H$10*H276+$I$10*I276+$J$10*J276+$K$10*K276+$L$10*L276)</x:f>
        <x:v>1.3703209163073329</x:v>
      </x:c>
      <x:c r="AH276" s="2" t="n">
        <x:f>MIN(1,'_曲线基线'!$L$3+AH$9*($H$10*H276+$I$10*I276+$J$10*J276+$K$10*K276+$L$10*L276))</x:f>
        <x:v>0.5253806119995345</x:v>
      </x:c>
      <x:c r="AI276" s="2" t="n">
        <x:f>'_曲线基线'!$L$4+AI$9*($H$10*H276+$I$10*I276+$J$10*J276+$K$10*K276+$L$10*L276)</x:f>
        <x:v>3.3242745619987035</x:v>
      </x:c>
      <x:c r="AJ276" s="2" t="n">
        <x:f t="shared" si="395">1+AJ$9*($H$10*H276+$I$10*I276+$J$10*J276+$K$10*K276+$L$10*L276)</x:f>
        <x:v>2.086584255998936</x:v>
      </x:c>
      <x:c r="AK276" s="1" t="n">
        <x:f t="shared" si="396">(1+AH276*(AI276-1))*AJ276</x:f>
        <x:v>4.6345723675947506</x:v>
      </x:c>
      <x:c r="AL276" s="1" t="n">
        <x:f t="shared" si="397">U276*AD276*AK276*F276</x:f>
        <x:v>2335465.374585561</x:v>
      </x:c>
      <x:c r="AM276" s="13" t="n">
        <x:f t="shared" si="398">IF($B276&lt;AM$8,0,AM$3+(AM$4-AM$3)*(POWER(AM$5,$B276-AM$8)-1)/(POWER(AM$5,$C$5-AM$8)-1))</x:f>
        <x:v>52.22468936053902</x:v>
      </x:c>
      <x:c r="AN276" s="13" t="n">
        <x:f>(((E276*'模块规划'!$D$10+G276*'模块规划'!$D$11+H276*'模块规划'!$D$13)*(1+'模块规划'!$G$14*H276)+(I276*'模块规划'!$D$15+J276*'模块规划'!$D$17+K276*'模块规划'!$D$16+L276*'模块规划'!$D$18))*(1+'模块规划'!$J$17*J276))*F276/(1-Q276)</x:f>
        <x:v>2832346.099552016</x:v>
      </x:c>
      <x:c r="AO276" s="1" t="n">
        <x:f t="shared" si="399">AL276*AM276</x:f>
        <x:v>121968953.70002581</x:v>
      </x:c>
      <x:c r="AP276" s="1" t="n">
        <x:f>IF(AO276="","",INDEX('_曲线基线'!$A$3:$A$502,MIN(ROWS('_曲线基线'!$A$3:$A$502),COUNTIF('_曲线基线'!$E$3:$E$502,"&lt;"&amp;AO276)+1)))</x:f>
        <x:v>309</x:v>
      </x:c>
      <x:c r="AQ276" s="14" t="n">
        <x:f t="shared" si="400">IF(B276&lt;=2,1,IF(B276&lt;=6,2,IF(B276&lt;=9,3,IF(B276&lt;=19,4,5))))</x:f>
        <x:v>5</x:v>
      </x:c>
      <x:c r="AR276" s="10" t="n">
        <x:f t="shared" si="401">AN276*(1-Q276)/F276*$AS$3+U276*$AS$4+P276*$AS$5</x:f>
        <x:v>17567.02133330322</x:v>
      </x:c>
      <x:c r="AS276" s="15" t="n">
        <x:f t="shared" si="402">1+AH276*$AS$6+AI276*$AS$7+(AJ276-1)*$AS$8+($H$10*H276+$I$10*I276+$J$10*J276+$K$10*K276+$L$10*L276)*$AU$3*$AS$9+($H$10*H276+$I$10*I276+$J$10*J276+$K$10*K276+$L$10*L276)*$AU$4*$AS$10</x:f>
        <x:v>17.467088447557174</x:v>
      </x:c>
      <x:c r="AT276" s="16" t="n">
        <x:f t="shared" si="403">ROUND(AR276*AS276,0)</x:f>
        <x:v>306845</x:v>
      </x:c>
      <x:c r="AU276" s="16" t="n">
        <x:f t="shared" si="404">ROUND(AT276*F276,0)</x:f>
        <x:v>1534225</x:v>
      </x:c>
      <x:c r="AV276" t="n">
        <x:f>IF(AU276&gt;0,ROUND(AU276,-MAX(0,INT(LOG10(AU276))-2)),0)</x:f>
        <x:v>1530000</x:v>
      </x:c>
    </x:row>
    <x:row r="277" customHeight="1">
      <x:c r="A277" s="1" t="str">
        <x:f>IFERROR(XLOOKUP(B277,'_曲线基线'!$G$3:$G$107,'_曲线基线'!$J$3:$J$107,""),"")</x:f>
      </x:c>
      <x:c r="B277" s="1" t="n">
        <x:v>266</x:v>
      </x:c>
      <x:c r="C277" s="1" t="n">
        <x:f t="shared" si="349">C262+1</x:f>
        <x:v>19</x:v>
      </x:c>
      <x:c r="D277" s="1" t="n">
        <x:f t="shared" si="350">D262</x:f>
        <x:v>2</x:v>
      </x:c>
      <x:c r="E277" s="1" t="n">
        <x:f t="shared" si="376">IF($B277&lt;E$8,0,E$3+(E$4-E$3)*(POWER(E$5,$B277-E$8)-1)/(POWER(E$5,$C$5-E$8)-1))</x:f>
        <x:v>1</x:v>
      </x:c>
      <x:c r="F277" s="10" t="n">
        <x:f t="shared" si="377">1+IF(B277&lt;3,0,MIN(1,(B277-2)/4))+IF(B277&lt;7,0,MIN(1,(B277-6)/3))+IF(B277&lt;10,0,MIN(1,(B277-9)/5))+IF(B277&lt;20,0,MIN(1,(B277-19)/10))</x:f>
        <x:v>5</x:v>
      </x:c>
      <x:c r="G277" s="11" t="n">
        <x:f t="shared" ref="G277:L277" si="413">'玩家战力_节点'!G277</x:f>
        <x:v>0.8855955963011262</x:v>
      </x:c>
      <x:c r="H277" s="11" t="n">
        <x:f t="shared" si="413">'玩家战力_节点'!H277</x:f>
        <x:v>0.6886362985899828</x:v>
      </x:c>
      <x:c r="I277" s="11" t="n">
        <x:f t="shared" si="413">'玩家战力_节点'!I277</x:f>
        <x:v>0.6356524368109436</x:v>
      </x:c>
      <x:c r="J277" s="11" t="n">
        <x:f t="shared" si="413">'玩家战力_节点'!J277</x:f>
        <x:v>0.5878270930186834</x:v>
      </x:c>
      <x:c r="K277" s="11" t="n">
        <x:f t="shared" si="413">'玩家战力_节点'!K277</x:f>
        <x:v>0.6328544441810358</x:v>
      </x:c>
      <x:c r="L277" s="11" t="n">
        <x:f t="shared" si="413">'玩家战力_节点'!L277</x:f>
        <x:v>0.6882282710966116</x:v>
      </x:c>
      <x:c r="M277" s="2" t="n">
        <x:f>E277*'模块规划'!$F$10+G277*'模块规划'!$F$11+H277*'模块规划'!$F$13</x:f>
        <x:v>5250.858862245405</x:v>
      </x:c>
      <x:c r="N277" s="2" t="n">
        <x:f>I277*'模块规划'!$F$15+J277*'模块规划'!$F$17+K277*'模块规划'!$F$16+L277*'模块规划'!$F$18</x:f>
        <x:v>18201.758445243657</x:v>
      </x:c>
      <x:c r="O277" s="2" t="n">
        <x:f t="shared" si="379">1+O$9*SUMPRODUCT($H$10:$L$10,H277:L277)/SUM($H$10:$L$10)</x:f>
        <x:v>3.3713885258169825</x:v>
      </x:c>
      <x:c r="P277" s="12" t="n">
        <x:f t="shared" si="380">M277*O277+N277</x:f>
        <x:v>35904.44376410223</x:v>
      </x:c>
      <x:c r="Q277" s="7" t="n">
        <x:f>P277/(P277+'_曲线基线'!$L$2)</x:f>
        <x:v>0.5993619422540735</x:v>
      </x:c>
      <x:c r="R277" s="2" t="n">
        <x:f>E277*'模块规划'!$E$10+G277*'模块规划'!$E$11+H277*'模块规划'!$E$13</x:f>
        <x:v>7876.2882933681085</x:v>
      </x:c>
      <x:c r="S277" s="2" t="n">
        <x:f>I277*'模块规划'!$E$15+J277*'模块规划'!$E$17+K277*'模块规划'!$E$16+L277*'模块规划'!$E$18</x:f>
        <x:v>27302.63766786548</x:v>
      </x:c>
      <x:c r="T277" s="2" t="n">
        <x:f t="shared" si="381">1+T$9*SUMPRODUCT($H$10:$L$10,H277:L277)/SUM($H$10:$L$10)</x:f>
        <x:v>3.3713885258169825</x:v>
      </x:c>
      <x:c r="U277" s="12" t="n">
        <x:f t="shared" si="382">R277*T277+S277</x:f>
        <x:v>53856.66564615334</x:v>
      </x:c>
      <x:c r="V277" s="2" t="n">
        <x:f t="shared" si="383">V$8+(V$9-V$8)*H277</x:f>
        <x:v>0.9065908895769949</x:v>
      </x:c>
      <x:c r="W277" s="2" t="n">
        <x:f t="shared" si="384">IF(B277&lt;$H$8,0,W$8+(W$9-W$8)*H277)</x:f>
        <x:v>0.27545451943599314</x:v>
      </x:c>
      <x:c r="X277" s="2" t="n">
        <x:f t="shared" si="385">X$8+(X$9-X$8)*H277</x:f>
        <x:v>0.46437498211224526</x:v>
      </x:c>
      <x:c r="Y277" s="2" t="n">
        <x:f t="shared" si="386">Y$8+(Y$9-Y$8)*G277</x:f>
        <x:v>1</x:v>
      </x:c>
      <x:c r="Z277" s="2" t="n">
        <x:f t="shared" si="387">Z$8+(Z$9-Z$8)*H277</x:f>
        <x:v>1</x:v>
      </x:c>
      <x:c r="AA277" s="2" t="n">
        <x:f t="shared" si="388">AA$8+(AA$9-AA$8)*I277</x:f>
        <x:v>1</x:v>
      </x:c>
      <x:c r="AB277" s="2" t="n">
        <x:f t="shared" si="389">AB$8+(AB$9-AB$8)*J277</x:f>
        <x:v>1</x:v>
      </x:c>
      <x:c r="AC277" s="2" t="n">
        <x:f t="shared" si="390">AC$8+(AC$9-AC$8)*MAX(K277,L277)</x:f>
        <x:v>1</x:v>
      </x:c>
      <x:c r="AD277" s="1" t="n">
        <x:f t="shared" si="391">(V277*AE277+W277*AF277+X277*AG277)*PRODUCT(Y277:AC277)</x:f>
        <x:v>1.8763181365641015</x:v>
      </x:c>
      <x:c r="AE277" s="2" t="n">
        <x:f t="shared" si="392">1+AE$9*($H$10*H277+$I$10*I277+$J$10*J277+$K$10*K277+$L$10*L277)</x:f>
        <x:v>1</x:v>
      </x:c>
      <x:c r="AF277" s="2" t="n">
        <x:f t="shared" si="393">1+AF$9*($H$10*H277+$I$10*I277+$J$10*J277+$K$10*K277+$L$10*L277)</x:f>
        <x:v>1.2092966391206894</x:v>
      </x:c>
      <x:c r="AG277" s="2" t="n">
        <x:f t="shared" si="394">1+AG$9*($H$10*H277+$I$10*I277+$J$10*J277+$K$10*K277+$L$10*L277)</x:f>
        <x:v>1.3709201548861134</x:v>
      </x:c>
      <x:c r="AH277" s="2" t="n">
        <x:f>MIN(1,'_曲线基线'!$L$3+AH$9*($H$10*H277+$I$10*I277+$J$10*J277+$K$10*K277+$L$10*L277))</x:f>
        <x:v>0.5261498539995677</x:v>
      </x:c>
      <x:c r="AI277" s="2" t="n">
        <x:f>'_曲线基线'!$L$4+AI$9*($H$10*H277+$I$10*I277+$J$10*J277+$K$10*K277+$L$10*L277)</x:f>
        <x:v>3.326417450427367</x:v>
      </x:c>
      <x:c r="AJ277" s="2" t="n">
        <x:f t="shared" si="395">1+AJ$9*($H$10*H277+$I$10*I277+$J$10*J277+$K$10*K277+$L$10*L277)</x:f>
        <x:v>2.0883425234275834</x:v>
      </x:c>
      <x:c r="AK277" s="1" t="n">
        <x:f t="shared" si="396">(1+AH277*(AI277-1))*AJ277</x:f>
        <x:v>4.644566080777766</x:v>
      </x:c>
      <x:c r="AL277" s="1" t="n">
        <x:f t="shared" si="397">U277*AD277*AK277*F277</x:f>
        <x:v>2346718.99723995</x:v>
      </x:c>
      <x:c r="AM277" s="13" t="n">
        <x:f t="shared" si="398">IF($B277&lt;AM$8,0,AM$3+(AM$4-AM$3)*(POWER(AM$5,$B277-AM$8)-1)/(POWER(AM$5,$C$5-AM$8)-1))</x:f>
        <x:v>52.41036089406627</x:v>
      </x:c>
      <x:c r="AN277" s="13" t="n">
        <x:f>(((E277*'模块规划'!$D$10+G277*'模块规划'!$D$11+H277*'模块规划'!$D$13)*(1+'模块规划'!$G$14*H277)+(I277*'模块规划'!$D$15+J277*'模块规划'!$D$17+K277*'模块规划'!$D$16+L277*'模块规划'!$D$18))*(1+'模块规划'!$J$17*J277))*F277/(1-Q277)</x:f>
        <x:v>2842081.655170126</x:v>
      </x:c>
      <x:c r="AO277" s="1" t="n">
        <x:f t="shared" si="399">AL277*AM277</x:f>
        <x:v>122992389.5623071</x:v>
      </x:c>
      <x:c r="AP277" s="1" t="n">
        <x:f>IF(AO277="","",INDEX('_曲线基线'!$A$3:$A$502,MIN(ROWS('_曲线基线'!$A$3:$A$502),COUNTIF('_曲线基线'!$E$3:$E$502,"&lt;"&amp;AO277)+1)))</x:f>
        <x:v>310</x:v>
      </x:c>
      <x:c r="AQ277" s="14" t="n">
        <x:f t="shared" si="400">IF(B277&lt;=2,1,IF(B277&lt;=6,2,IF(B277&lt;=9,3,IF(B277&lt;=19,4,5))))</x:f>
        <x:v>5</x:v>
      </x:c>
      <x:c r="AR277" s="10" t="n">
        <x:f t="shared" si="401">AN277*(1-Q277)/F277*$AS$3+U277*$AS$4+P277*$AS$5</x:f>
        <x:v>17603.20957492679</x:v>
      </x:c>
      <x:c r="AS277" s="15" t="n">
        <x:f t="shared" si="402">1+AH277*$AS$6+AI277*$AS$7+(AJ277-1)*$AS$8+($H$10*H277+$I$10*I277+$J$10*J277+$K$10*K277+$L$10*L277)*$AU$3*$AS$9+($H$10*H277+$I$10*I277+$J$10*J277+$K$10*K277+$L$10*L277)*$AU$4*$AS$10</x:f>
        <x:v>17.487292000767376</x:v>
      </x:c>
      <x:c r="AT277" s="16" t="n">
        <x:f t="shared" si="403">ROUND(AR277*AS277,0)</x:f>
        <x:v>307832</x:v>
      </x:c>
      <x:c r="AU277" s="16" t="n">
        <x:f t="shared" si="404">ROUND(AT277*F277,0)</x:f>
        <x:v>1539160</x:v>
      </x:c>
      <x:c r="AV277" t="n">
        <x:f>IF(AU277&gt;0,ROUND(AU277,-MAX(0,INT(LOG10(AU277))-2)),0)</x:f>
        <x:v>1540000</x:v>
      </x:c>
    </x:row>
    <x:row r="278" customHeight="1">
      <x:c r="A278" s="1" t="str">
        <x:f>IFERROR(XLOOKUP(B278,'_曲线基线'!$G$3:$G$107,'_曲线基线'!$J$3:$J$107,""),"")</x:f>
      </x:c>
      <x:c r="B278" s="1" t="n">
        <x:v>267</x:v>
      </x:c>
      <x:c r="C278" s="1" t="n">
        <x:f t="shared" si="349">C263+1</x:f>
        <x:v>19</x:v>
      </x:c>
      <x:c r="D278" s="1" t="n">
        <x:f t="shared" si="350">D263</x:f>
        <x:v>3</x:v>
      </x:c>
      <x:c r="E278" s="1" t="n">
        <x:f t="shared" si="376">IF($B278&lt;E$8,0,E$3+(E$4-E$3)*(POWER(E$5,$B278-E$8)-1)/(POWER(E$5,$C$5-E$8)-1))</x:f>
        <x:v>1</x:v>
      </x:c>
      <x:c r="F278" s="10" t="n">
        <x:f t="shared" si="377">1+IF(B278&lt;3,0,MIN(1,(B278-2)/4))+IF(B278&lt;7,0,MIN(1,(B278-6)/3))+IF(B278&lt;10,0,MIN(1,(B278-9)/5))+IF(B278&lt;20,0,MIN(1,(B278-19)/10))</x:f>
        <x:v>5</x:v>
      </x:c>
      <x:c r="G278" s="11" t="n">
        <x:f t="shared" ref="G278:L278" si="414">'玩家战力_节点'!G278</x:f>
        <x:v>0.8867036273548857</x:v>
      </x:c>
      <x:c r="H278" s="11" t="n">
        <x:f t="shared" si="414">'玩家战力_节点'!H278</x:f>
        <x:v>0.6895104294676765</x:v>
      </x:c>
      <x:c r="I278" s="11" t="n">
        <x:f t="shared" si="414">'玩家战力_节点'!I278</x:f>
        <x:v>0.6367560955177941</x:v>
      </x:c>
      <x:c r="J278" s="11" t="n">
        <x:f t="shared" si="414">'玩家战力_节点'!J278</x:f>
        <x:v>0.5887634704787847</x:v>
      </x:c>
      <x:c r="K278" s="11" t="n">
        <x:f t="shared" si="414">'玩家战力_节点'!K278</x:f>
        <x:v>0.6341733330901868</x:v>
      </x:c>
      <x:c r="L278" s="11" t="n">
        <x:f t="shared" si="414">'玩家战力_节点'!L278</x:f>
        <x:v>0.6891337887045645</x:v>
      </x:c>
      <x:c r="M278" s="2" t="n">
        <x:f>E278*'模块规划'!$F$10+G278*'模块规划'!$F$11+H278*'模块规划'!$F$13</x:f>
        <x:v>5256.177411303452</x:v>
      </x:c>
      <x:c r="N278" s="2" t="n">
        <x:f>I278*'模块规划'!$F$15+J278*'模块规划'!$F$17+K278*'模块规划'!$F$16+L278*'模块规划'!$F$18</x:f>
        <x:v>18232.392410994144</x:v>
      </x:c>
      <x:c r="O278" s="2" t="n">
        <x:f t="shared" si="379">1+O$9*SUMPRODUCT($H$10:$L$10,H278:L278)/SUM($H$10:$L$10)</x:f>
        <x:v>3.3752196131041736</x:v>
      </x:c>
      <x:c r="P278" s="12" t="n">
        <x:f t="shared" si="380">M278*O278+N278</x:f>
        <x:v>35973.14549958068</x:v>
      </x:c>
      <x:c r="Q278" s="7" t="n">
        <x:f>P278/(P278+'_曲线基线'!$L$2)</x:f>
        <x:v>0.5998208898319698</x:v>
      </x:c>
      <x:c r="R278" s="2" t="n">
        <x:f>E278*'模块规划'!$E$10+G278*'模块规划'!$E$11+H278*'模块规划'!$E$13</x:f>
        <x:v>7884.2661169551775</x:v>
      </x:c>
      <x:c r="S278" s="2" t="n">
        <x:f>I278*'模块规划'!$E$15+J278*'模块规划'!$E$17+K278*'模块规划'!$E$16+L278*'模块规划'!$E$18</x:f>
        <x:v>27348.588616491215</x:v>
      </x:c>
      <x:c r="T278" s="2" t="n">
        <x:f t="shared" si="381">1+T$9*SUMPRODUCT($H$10:$L$10,H278:L278)/SUM($H$10:$L$10)</x:f>
        <x:v>3.3752196131041736</x:v>
      </x:c>
      <x:c r="U278" s="12" t="n">
        <x:f t="shared" si="382">R278*T278+S278</x:f>
        <x:v>53959.71824937101</x:v>
      </x:c>
      <x:c r="V278" s="2" t="n">
        <x:f t="shared" si="383">V$8+(V$9-V$8)*H278</x:f>
        <x:v>0.906853128840303</x:v>
      </x:c>
      <x:c r="W278" s="2" t="n">
        <x:f t="shared" si="384">IF(B278&lt;$H$8,0,W$8+(W$9-W$8)*H278)</x:f>
        <x:v>0.2758041717870706</x:v>
      </x:c>
      <x:c r="X278" s="2" t="n">
        <x:f t="shared" si="385">X$8+(X$9-X$8)*H278</x:f>
        <x:v>0.46461536810361104</x:v>
      </x:c>
      <x:c r="Y278" s="2" t="n">
        <x:f t="shared" si="386">Y$8+(Y$9-Y$8)*G278</x:f>
        <x:v>1</x:v>
      </x:c>
      <x:c r="Z278" s="2" t="n">
        <x:f t="shared" si="387">Z$8+(Z$9-Z$8)*H278</x:f>
        <x:v>1</x:v>
      </x:c>
      <x:c r="AA278" s="2" t="n">
        <x:f t="shared" si="388">AA$8+(AA$9-AA$8)*I278</x:f>
        <x:v>1</x:v>
      </x:c>
      <x:c r="AB278" s="2" t="n">
        <x:f t="shared" si="389">AB$8+(AB$9-AB$8)*J278</x:f>
        <x:v>1</x:v>
      </x:c>
      <x:c r="AC278" s="2" t="n">
        <x:f t="shared" si="390">AC$8+(AC$9-AC$8)*MAX(K278,L278)</x:f>
        <x:v>1</x:v>
      </x:c>
      <x:c r="AD278" s="1" t="n">
        <x:f t="shared" si="391">(V278*AE278+W278*AF278+X278*AG278)*PRODUCT(Y278:AC278)</x:f>
        <x:v>1.877704431903794</x:v>
      </x:c>
      <x:c r="AE278" s="2" t="n">
        <x:f t="shared" si="392">1+AE$9*($H$10*H278+$I$10*I278+$J$10*J278+$K$10*K278+$L$10*L278)</x:f>
        <x:v>1</x:v>
      </x:c>
      <x:c r="AF278" s="2" t="n">
        <x:f t="shared" si="393">1+AF$9*($H$10*H278+$I$10*I278+$J$10*J278+$K$10*K278+$L$10*L278)</x:f>
        <x:v>1.2096347674723522</x:v>
      </x:c>
      <x:c r="AG278" s="2" t="n">
        <x:f t="shared" si="394">1+AG$9*($H$10*H278+$I$10*I278+$J$10*J278+$K$10*K278+$L$10*L278)</x:f>
        <x:v>1.371519393464894</x:v>
      </x:c>
      <x:c r="AH278" s="2" t="n">
        <x:f>MIN(1,'_曲线基线'!$L$3+AH$9*($H$10*H278+$I$10*I278+$J$10*J278+$K$10*K278+$L$10*L278))</x:f>
        <x:v>0.5269190959996011</x:v>
      </x:c>
      <x:c r="AI278" s="2" t="n">
        <x:f>'_曲线基线'!$L$4+AI$9*($H$10*H278+$I$10*I278+$J$10*J278+$K$10*K278+$L$10*L278)</x:f>
        <x:v>3.3285603388560316</x:v>
      </x:c>
      <x:c r="AJ278" s="2" t="n">
        <x:f t="shared" si="395">1+AJ$9*($H$10*H278+$I$10*I278+$J$10*J278+$K$10*K278+$L$10*L278)</x:f>
        <x:v>2.090100790856231</x:v>
      </x:c>
      <x:c r="AK278" s="1" t="n">
        <x:f t="shared" si="396">(1+AH278*(AI278-1))*AJ278</x:f>
        <x:v>4.654576936745204</x:v>
      </x:c>
      <x:c r="AL278" s="1" t="n">
        <x:f t="shared" si="397">U278*AD278*AK278*F278</x:f>
        <x:v>2358018.03420821</x:v>
      </x:c>
      <x:c r="AM278" s="13" t="n">
        <x:f t="shared" si="398">IF($B278&lt;AM$8,0,AM$3+(AM$4-AM$3)*(POWER(AM$5,$B278-AM$8)-1)/(POWER(AM$5,$C$5-AM$8)-1))</x:f>
        <x:v>52.59788914292881</x:v>
      </x:c>
      <x:c r="AN278" s="13" t="n">
        <x:f>(((E278*'模块规划'!$D$10+G278*'模块规划'!$D$11+H278*'模块规划'!$D$13)*(1+'模块规划'!$G$14*H278)+(I278*'模块规划'!$D$15+J278*'模块规划'!$D$17+K278*'模块规划'!$D$16+L278*'模块规划'!$D$18))*(1+'模块规划'!$J$17*J278))*F278/(1-Q278)</x:f>
        <x:v>2851840.997372935</x:v>
      </x:c>
      <x:c r="AO278" s="1" t="n">
        <x:f t="shared" si="399">AL278*AM278</x:f>
        <x:v>124026771.16031034</x:v>
      </x:c>
      <x:c r="AP278" s="1" t="n">
        <x:f>IF(AO278="","",INDEX('_曲线基线'!$A$3:$A$502,MIN(ROWS('_曲线基线'!$A$3:$A$502),COUNTIF('_曲线基线'!$E$3:$E$502,"&lt;"&amp;AO278)+1)))</x:f>
        <x:v>310</x:v>
      </x:c>
      <x:c r="AQ278" s="14" t="n">
        <x:f t="shared" si="400">IF(B278&lt;=2,1,IF(B278&lt;=6,2,IF(B278&lt;=9,3,IF(B278&lt;=19,4,5))))</x:f>
        <x:v>5</x:v>
      </x:c>
      <x:c r="AR278" s="10" t="n">
        <x:f t="shared" si="401">AN278*(1-Q278)/F278*$AS$3+U278*$AS$4+P278*$AS$5</x:f>
        <x:v>17639.426805890656</x:v>
      </x:c>
      <x:c r="AS278" s="15" t="n">
        <x:f t="shared" si="402">1+AH278*$AS$6+AI278*$AS$7+(AJ278-1)*$AS$8+($H$10*H278+$I$10*I278+$J$10*J278+$K$10*K278+$L$10*L278)*$AU$3*$AS$9+($H$10*H278+$I$10*I278+$J$10*J278+$K$10*K278+$L$10*L278)*$AU$4*$AS$10</x:f>
        <x:v>17.507495553977577</x:v>
      </x:c>
      <x:c r="AT278" s="16" t="n">
        <x:f t="shared" si="403">ROUND(AR278*AS278,0)</x:f>
        <x:v>308822</x:v>
      </x:c>
      <x:c r="AU278" s="16" t="n">
        <x:f t="shared" si="404">ROUND(AT278*F278,0)</x:f>
        <x:v>1544110</x:v>
      </x:c>
      <x:c r="AV278" t="n">
        <x:f>IF(AU278&gt;0,ROUND(AU278,-MAX(0,INT(LOG10(AU278))-2)),0)</x:f>
        <x:v>1540000</x:v>
      </x:c>
    </x:row>
    <x:row r="279" customHeight="1">
      <x:c r="A279" s="1" t="str">
        <x:f>IFERROR(XLOOKUP(B279,'_曲线基线'!$G$3:$G$107,'_曲线基线'!$J$3:$J$107,""),"")</x:f>
      </x:c>
      <x:c r="B279" s="1" t="n">
        <x:v>268</x:v>
      </x:c>
      <x:c r="C279" s="1" t="n">
        <x:f t="shared" si="349">C264+1</x:f>
        <x:v>19</x:v>
      </x:c>
      <x:c r="D279" s="1" t="n">
        <x:f t="shared" si="350">D264</x:f>
        <x:v>4</x:v>
      </x:c>
      <x:c r="E279" s="1" t="n">
        <x:f t="shared" si="376">IF($B279&lt;E$8,0,E$3+(E$4-E$3)*(POWER(E$5,$B279-E$8)-1)/(POWER(E$5,$C$5-E$8)-1))</x:f>
        <x:v>1</x:v>
      </x:c>
      <x:c r="F279" s="10" t="n">
        <x:f t="shared" si="377">1+IF(B279&lt;3,0,MIN(1,(B279-2)/4))+IF(B279&lt;7,0,MIN(1,(B279-6)/3))+IF(B279&lt;10,0,MIN(1,(B279-9)/5))+IF(B279&lt;20,0,MIN(1,(B279-19)/10))</x:f>
        <x:v>5</x:v>
      </x:c>
      <x:c r="G279" s="11" t="n">
        <x:f t="shared" ref="G279:L279" si="415">'玩家战力_节点'!G279</x:f>
        <x:v>0.8878116584086452</x:v>
      </x:c>
      <x:c r="H279" s="11" t="n">
        <x:f t="shared" si="415">'玩家战力_节点'!H279</x:f>
        <x:v>0.6903845603453701</x:v>
      </x:c>
      <x:c r="I279" s="11" t="n">
        <x:f t="shared" si="415">'玩家战力_节点'!I279</x:f>
        <x:v>0.6378597542246446</x:v>
      </x:c>
      <x:c r="J279" s="11" t="n">
        <x:f t="shared" si="415">'玩家战力_节点'!J279</x:f>
        <x:v>0.589699847938886</x:v>
      </x:c>
      <x:c r="K279" s="11" t="n">
        <x:f t="shared" si="415">'玩家战力_节点'!K279</x:f>
        <x:v>0.6354922219993379</x:v>
      </x:c>
      <x:c r="L279" s="11" t="n">
        <x:f t="shared" si="415">'玩家战力_节点'!L279</x:f>
        <x:v>0.6900393063125174</x:v>
      </x:c>
      <x:c r="M279" s="2" t="n">
        <x:f>E279*'模块规划'!$F$10+G279*'模块规划'!$F$11+H279*'模块规划'!$F$13</x:f>
        <x:v>5261.495960361497</x:v>
      </x:c>
      <x:c r="N279" s="2" t="n">
        <x:f>I279*'模块规划'!$F$15+J279*'模块规划'!$F$17+K279*'模块规划'!$F$16+L279*'模块规划'!$F$18</x:f>
        <x:v>18263.02637674463</x:v>
      </x:c>
      <x:c r="O279" s="2" t="n">
        <x:f t="shared" si="379">1+O$9*SUMPRODUCT($H$10:$L$10,H279:L279)/SUM($H$10:$L$10)</x:f>
        <x:v>3.379050700391364</x:v>
      </x:c>
      <x:c r="P279" s="12" t="n">
        <x:f t="shared" si="380">M279*O279+N279</x:f>
        <x:v>36041.887986710484</x:v>
      </x:c>
      <x:c r="Q279" s="7" t="n">
        <x:f>P279/(P279+'_曲线基线'!$L$2)</x:f>
        <x:v>0.6002790584248101</x:v>
      </x:c>
      <x:c r="R279" s="2" t="n">
        <x:f>E279*'模块规划'!$E$10+G279*'模块规划'!$E$11+H279*'模块规划'!$E$13</x:f>
        <x:v>7892.243940542246</x:v>
      </x:c>
      <x:c r="S279" s="2" t="n">
        <x:f>I279*'模块规划'!$E$15+J279*'模块规划'!$E$17+K279*'模块规划'!$E$16+L279*'模块规划'!$E$18</x:f>
        <x:v>27394.539565116946</x:v>
      </x:c>
      <x:c r="T279" s="2" t="n">
        <x:f t="shared" si="381">1+T$9*SUMPRODUCT($H$10:$L$10,H279:L279)/SUM($H$10:$L$10)</x:f>
        <x:v>3.379050700391364</x:v>
      </x:c>
      <x:c r="U279" s="12" t="n">
        <x:f t="shared" si="382">R279*T279+S279</x:f>
        <x:v>54062.83198006572</x:v>
      </x:c>
      <x:c r="V279" s="2" t="n">
        <x:f t="shared" si="383">V$8+(V$9-V$8)*H279</x:f>
        <x:v>0.907115368103611</x:v>
      </x:c>
      <x:c r="W279" s="2" t="n">
        <x:f t="shared" si="384">IF(B279&lt;$H$8,0,W$8+(W$9-W$8)*H279)</x:f>
        <x:v>0.27615382413814804</x:v>
      </x:c>
      <x:c r="X279" s="2" t="n">
        <x:f t="shared" si="385">X$8+(X$9-X$8)*H279</x:f>
        <x:v>0.4648557540949768</x:v>
      </x:c>
      <x:c r="Y279" s="2" t="n">
        <x:f t="shared" si="386">Y$8+(Y$9-Y$8)*G279</x:f>
        <x:v>1</x:v>
      </x:c>
      <x:c r="Z279" s="2" t="n">
        <x:f t="shared" si="387">Z$8+(Z$9-Z$8)*H279</x:f>
        <x:v>1</x:v>
      </x:c>
      <x:c r="AA279" s="2" t="n">
        <x:f t="shared" si="388">AA$8+(AA$9-AA$8)*I279</x:f>
        <x:v>1</x:v>
      </x:c>
      <x:c r="AB279" s="2" t="n">
        <x:f t="shared" si="389">AB$8+(AB$9-AB$8)*J279</x:f>
        <x:v>1</x:v>
      </x:c>
      <x:c r="AC279" s="2" t="n">
        <x:f t="shared" si="390">AC$8+(AC$9-AC$8)*MAX(K279,L279)</x:f>
        <x:v>1</x:v>
      </x:c>
      <x:c r="AD279" s="1" t="n">
        <x:f t="shared" si="391">(V279*AE279+W279*AF279+X279*AG279)*PRODUCT(Y279:AC279)</x:f>
        <x:v>1.879091251795352</x:v>
      </x:c>
      <x:c r="AE279" s="2" t="n">
        <x:f t="shared" si="392">1+AE$9*($H$10*H279+$I$10*I279+$J$10*J279+$K$10*K279+$L$10*L279)</x:f>
        <x:v>1</x:v>
      </x:c>
      <x:c r="AF279" s="2" t="n">
        <x:f t="shared" si="393">1+AF$9*($H$10*H279+$I$10*I279+$J$10*J279+$K$10*K279+$L$10*L279)</x:f>
        <x:v>1.2099728958240152</x:v>
      </x:c>
      <x:c r="AG279" s="2" t="n">
        <x:f t="shared" si="394">1+AG$9*($H$10*H279+$I$10*I279+$J$10*J279+$K$10*K279+$L$10*L279)</x:f>
        <x:v>1.3721186320436745</x:v>
      </x:c>
      <x:c r="AH279" s="2" t="n">
        <x:f>MIN(1,'_曲线基线'!$L$3+AH$9*($H$10*H279+$I$10*I279+$J$10*J279+$K$10*K279+$L$10*L279))</x:f>
        <x:v>0.5276883379996343</x:v>
      </x:c>
      <x:c r="AI279" s="2" t="n">
        <x:f>'_曲线基线'!$L$4+AI$9*($H$10*H279+$I$10*I279+$J$10*J279+$K$10*K279+$L$10*L279)</x:f>
        <x:v>3.3307032272846957</x:v>
      </x:c>
      <x:c r="AJ279" s="2" t="n">
        <x:f t="shared" si="395">1+AJ$9*($H$10*H279+$I$10*I279+$J$10*J279+$K$10*K279+$L$10*L279)</x:f>
        <x:v>2.0918590582848786</x:v>
      </x:c>
      <x:c r="AK279" s="1" t="n">
        <x:f t="shared" si="396">(1+AH279*(AI279-1))*AJ279</x:f>
        <x:v>4.664604952887031</x:v>
      </x:c>
      <x:c r="AL279" s="1" t="n">
        <x:f t="shared" si="397">U279*AD279*AK279*F279</x:f>
        <x:v>2369362.6373402</x:v>
      </x:c>
      <x:c r="AM279" s="13" t="n">
        <x:f t="shared" si="398">IF($B279&lt;AM$8,0,AM$3+(AM$4-AM$3)*(POWER(AM$5,$B279-AM$8)-1)/(POWER(AM$5,$C$5-AM$8)-1))</x:f>
        <x:v>52.78729267427997</x:v>
      </x:c>
      <x:c r="AN279" s="13" t="n">
        <x:f>(((E279*'模块规划'!$D$10+G279*'模块规划'!$D$11+H279*'模块规划'!$D$13)*(1+'模块规划'!$G$14*H279)+(I279*'模块规划'!$D$15+J279*'模块规划'!$D$17+K279*'模块规划'!$D$16+L279*'模块规划'!$D$18))*(1+'模块规划'!$J$17*J279))*F279/(1-Q279)</x:f>
        <x:v>2861624.1651686104</x:v>
      </x:c>
      <x:c r="AO279" s="1" t="n">
        <x:f t="shared" si="399">AL279*AM279</x:f>
        <x:v>125072238.988781</x:v>
      </x:c>
      <x:c r="AP279" s="1" t="n">
        <x:f>IF(AO279="","",INDEX('_曲线基线'!$A$3:$A$502,MIN(ROWS('_曲线基线'!$A$3:$A$502),COUNTIF('_曲线基线'!$E$3:$E$502,"&lt;"&amp;AO279)+1)))</x:f>
        <x:v>311</x:v>
      </x:c>
      <x:c r="AQ279" s="14" t="n">
        <x:f t="shared" si="400">IF(B279&lt;=2,1,IF(B279&lt;=6,2,IF(B279&lt;=9,3,IF(B279&lt;=19,4,5))))</x:f>
        <x:v>5</x:v>
      </x:c>
      <x:c r="AR279" s="10" t="n">
        <x:f t="shared" si="401">AN279*(1-Q279)/F279*$AS$3+U279*$AS$4+P279*$AS$5</x:f>
        <x:v>17675.673030426224</x:v>
      </x:c>
      <x:c r="AS279" s="15" t="n">
        <x:f t="shared" si="402">1+AH279*$AS$6+AI279*$AS$7+(AJ279-1)*$AS$8+($H$10*H279+$I$10*I279+$J$10*J279+$K$10*K279+$L$10*L279)*$AU$3*$AS$9+($H$10*H279+$I$10*I279+$J$10*J279+$K$10*K279+$L$10*L279)*$AU$4*$AS$10</x:f>
        <x:v>17.527699107187782</x:v>
      </x:c>
      <x:c r="AT279" s="16" t="n">
        <x:f t="shared" si="403">ROUND(AR279*AS279,0)</x:f>
        <x:v>309814</x:v>
      </x:c>
      <x:c r="AU279" s="16" t="n">
        <x:f t="shared" si="404">ROUND(AT279*F279,0)</x:f>
        <x:v>1549070</x:v>
      </x:c>
      <x:c r="AV279" t="n">
        <x:f>IF(AU279&gt;0,ROUND(AU279,-MAX(0,INT(LOG10(AU279))-2)),0)</x:f>
        <x:v>1550000</x:v>
      </x:c>
    </x:row>
    <x:row r="280" customHeight="1">
      <x:c r="A280" s="1" t="str">
        <x:f>IFERROR(XLOOKUP(B280,'_曲线基线'!$G$3:$G$107,'_曲线基线'!$J$3:$J$107,""),"")</x:f>
      </x:c>
      <x:c r="B280" s="1" t="n">
        <x:v>269</x:v>
      </x:c>
      <x:c r="C280" s="1" t="n">
        <x:f t="shared" si="349">C265+1</x:f>
        <x:v>19</x:v>
      </x:c>
      <x:c r="D280" s="1" t="n">
        <x:f t="shared" si="350">D265</x:f>
        <x:v>5</x:v>
      </x:c>
      <x:c r="E280" s="1" t="n">
        <x:f t="shared" si="376">IF($B280&lt;E$8,0,E$3+(E$4-E$3)*(POWER(E$5,$B280-E$8)-1)/(POWER(E$5,$C$5-E$8)-1))</x:f>
        <x:v>1</x:v>
      </x:c>
      <x:c r="F280" s="10" t="n">
        <x:f t="shared" si="377">1+IF(B280&lt;3,0,MIN(1,(B280-2)/4))+IF(B280&lt;7,0,MIN(1,(B280-6)/3))+IF(B280&lt;10,0,MIN(1,(B280-9)/5))+IF(B280&lt;20,0,MIN(1,(B280-19)/10))</x:f>
        <x:v>5</x:v>
      </x:c>
      <x:c r="G280" s="11" t="n">
        <x:f t="shared" ref="G280:L280" si="416">'玩家战力_节点'!G280</x:f>
        <x:v>0.8889196894624047</x:v>
      </x:c>
      <x:c r="H280" s="11" t="n">
        <x:f t="shared" si="416">'玩家战力_节点'!H280</x:f>
        <x:v>0.6912586912230637</x:v>
      </x:c>
      <x:c r="I280" s="11" t="n">
        <x:f t="shared" si="416">'玩家战力_节点'!I280</x:f>
        <x:v>0.6389634129314952</x:v>
      </x:c>
      <x:c r="J280" s="11" t="n">
        <x:f t="shared" si="416">'玩家战力_节点'!J280</x:f>
        <x:v>0.5906362253989873</x:v>
      </x:c>
      <x:c r="K280" s="11" t="n">
        <x:f t="shared" si="416">'玩家战力_节点'!K280</x:f>
        <x:v>0.636811110908489</x:v>
      </x:c>
      <x:c r="L280" s="11" t="n">
        <x:f t="shared" si="416">'玩家战力_节点'!L280</x:f>
        <x:v>0.6909448239204704</x:v>
      </x:c>
      <x:c r="M280" s="2" t="n">
        <x:f>E280*'模块规划'!$F$10+G280*'模块规划'!$F$11+H280*'模块规划'!$F$13</x:f>
        <x:v>5266.814509419542</x:v>
      </x:c>
      <x:c r="N280" s="2" t="n">
        <x:f>I280*'模块规划'!$F$15+J280*'模块规划'!$F$17+K280*'模块规划'!$F$16+L280*'模块规划'!$F$18</x:f>
        <x:v>18293.66034249512</x:v>
      </x:c>
      <x:c r="O280" s="2" t="n">
        <x:f t="shared" si="379">1+O$9*SUMPRODUCT($H$10:$L$10,H280:L280)/SUM($H$10:$L$10)</x:f>
        <x:v>3.3828817876785546</x:v>
      </x:c>
      <x:c r="P280" s="12" t="n">
        <x:f t="shared" si="380">M280*O280+N280</x:f>
        <x:v>36110.67122549165</x:v>
      </x:c>
      <x:c r="Q280" s="7" t="n">
        <x:f>P280/(P280+'_曲线基线'!$L$2)</x:f>
        <x:v>0.6007364497732957</x:v>
      </x:c>
      <x:c r="R280" s="2" t="n">
        <x:f>E280*'模块规划'!$E$10+G280*'模块规划'!$E$11+H280*'模块规划'!$E$13</x:f>
        <x:v>7900.221764129314</x:v>
      </x:c>
      <x:c r="S280" s="2" t="n">
        <x:f>I280*'模块规划'!$E$15+J280*'模块规划'!$E$17+K280*'模块规划'!$E$16+L280*'模块规划'!$E$18</x:f>
        <x:v>27440.490513742683</x:v>
      </x:c>
      <x:c r="T280" s="2" t="n">
        <x:f t="shared" si="381">1+T$9*SUMPRODUCT($H$10:$L$10,H280:L280)/SUM($H$10:$L$10)</x:f>
        <x:v>3.3828817876785546</x:v>
      </x:c>
      <x:c r="U280" s="12" t="n">
        <x:f t="shared" si="382">R280*T280+S280</x:f>
        <x:v>54166.00683823748</x:v>
      </x:c>
      <x:c r="V280" s="2" t="n">
        <x:f t="shared" si="383">V$8+(V$9-V$8)*H280</x:f>
        <x:v>0.9073776073669191</x:v>
      </x:c>
      <x:c r="W280" s="2" t="n">
        <x:f t="shared" si="384">IF(B280&lt;$H$8,0,W$8+(W$9-W$8)*H280)</x:f>
        <x:v>0.2765034764892255</x:v>
      </x:c>
      <x:c r="X280" s="2" t="n">
        <x:f t="shared" si="385">X$8+(X$9-X$8)*H280</x:f>
        <x:v>0.4650961400863426</x:v>
      </x:c>
      <x:c r="Y280" s="2" t="n">
        <x:f t="shared" si="386">Y$8+(Y$9-Y$8)*G280</x:f>
        <x:v>1</x:v>
      </x:c>
      <x:c r="Z280" s="2" t="n">
        <x:f t="shared" si="387">Z$8+(Z$9-Z$8)*H280</x:f>
        <x:v>1</x:v>
      </x:c>
      <x:c r="AA280" s="2" t="n">
        <x:f t="shared" si="388">AA$8+(AA$9-AA$8)*I280</x:f>
        <x:v>1</x:v>
      </x:c>
      <x:c r="AB280" s="2" t="n">
        <x:f t="shared" si="389">AB$8+(AB$9-AB$8)*J280</x:f>
        <x:v>1</x:v>
      </x:c>
      <x:c r="AC280" s="2" t="n">
        <x:f t="shared" si="390">AC$8+(AC$9-AC$8)*MAX(K280,L280)</x:f>
        <x:v>1</x:v>
      </x:c>
      <x:c r="AD280" s="1" t="n">
        <x:f t="shared" si="391">(V280*AE280+W280*AF280+X280*AG280)*PRODUCT(Y280:AC280)</x:f>
        <x:v>1.8804785962387762</x:v>
      </x:c>
      <x:c r="AE280" s="2" t="n">
        <x:f t="shared" si="392">1+AE$9*($H$10*H280+$I$10*I280+$J$10*J280+$K$10*K280+$L$10*L280)</x:f>
        <x:v>1</x:v>
      </x:c>
      <x:c r="AF280" s="2" t="n">
        <x:f t="shared" si="393">1+AF$9*($H$10*H280+$I$10*I280+$J$10*J280+$K$10*K280+$L$10*L280)</x:f>
        <x:v>1.2103110241756783</x:v>
      </x:c>
      <x:c r="AG280" s="2" t="n">
        <x:f t="shared" si="394">1+AG$9*($H$10*H280+$I$10*I280+$J$10*J280+$K$10*K280+$L$10*L280)</x:f>
        <x:v>1.3727178706224548</x:v>
      </x:c>
      <x:c r="AH280" s="2" t="n">
        <x:f>MIN(1,'_曲线基线'!$L$3+AH$9*($H$10*H280+$I$10*I280+$J$10*J280+$K$10*K280+$L$10*L280))</x:f>
        <x:v>0.5284575799996676</x:v>
      </x:c>
      <x:c r="AI280" s="2" t="n">
        <x:f>'_曲线基线'!$L$4+AI$9*($H$10*H280+$I$10*I280+$J$10*J280+$K$10*K280+$L$10*L280)</x:f>
        <x:v>3.3328461157133598</x:v>
      </x:c>
      <x:c r="AJ280" s="2" t="n">
        <x:f t="shared" si="395">1+AJ$9*($H$10*H280+$I$10*I280+$J$10*J280+$K$10*K280+$L$10*L280)</x:f>
        <x:v>2.093617325713526</x:v>
      </x:c>
      <x:c r="AK280" s="1" t="n">
        <x:f t="shared" si="396">(1+AH280*(AI280-1))*AJ280</x:f>
        <x:v>4.674650146593212</x:v>
      </x:c>
      <x:c r="AL280" s="1" t="n">
        <x:f t="shared" si="397">U280*AD280*AK280*F280</x:f>
        <x:v>2380752.9588878863</x:v>
      </x:c>
      <x:c r="AM280" s="13" t="n">
        <x:f t="shared" si="398">IF($B280&lt;AM$8,0,AM$3+(AM$4-AM$3)*(POWER(AM$5,$B280-AM$8)-1)/(POWER(AM$5,$C$5-AM$8)-1))</x:f>
        <x:v>52.978590240944634</x:v>
      </x:c>
      <x:c r="AN280" s="13" t="n">
        <x:f>(((E280*'模块规划'!$D$10+G280*'模块规划'!$D$11+H280*'模块规划'!$D$13)*(1+'模块规划'!$G$14*H280)+(I280*'模块规划'!$D$15+J280*'模块规划'!$D$17+K280*'模块规划'!$D$16+L280*'模块规划'!$D$18))*(1+'模块规划'!$J$17*J280))*F280/(1-Q280)</x:f>
        <x:v>2871431.19760187</x:v>
      </x:c>
      <x:c r="AO280" s="1" t="n">
        <x:f t="shared" si="399">AL280*AM280</x:f>
        <x:v>126128935.47383784</x:v>
      </x:c>
      <x:c r="AP280" s="1" t="n">
        <x:f>IF(AO280="","",INDEX('_曲线基线'!$A$3:$A$502,MIN(ROWS('_曲线基线'!$A$3:$A$502),COUNTIF('_曲线基线'!$E$3:$E$502,"&lt;"&amp;AO280)+1)))</x:f>
        <x:v>312</x:v>
      </x:c>
      <x:c r="AQ280" s="14" t="n">
        <x:f t="shared" si="400">IF(B280&lt;=2,1,IF(B280&lt;=6,2,IF(B280&lt;=9,3,IF(B280&lt;=19,4,5))))</x:f>
        <x:v>5</x:v>
      </x:c>
      <x:c r="AR280" s="10" t="n">
        <x:f t="shared" si="401">AN280*(1-Q280)/F280*$AS$3+U280*$AS$4+P280*$AS$5</x:f>
        <x:v>17711.948252764938</x:v>
      </x:c>
      <x:c r="AS280" s="15" t="n">
        <x:f t="shared" si="402">1+AH280*$AS$6+AI280*$AS$7+(AJ280-1)*$AS$8+($H$10*H280+$I$10*I280+$J$10*J280+$K$10*K280+$L$10*L280)*$AU$3*$AS$9+($H$10*H280+$I$10*I280+$J$10*J280+$K$10*K280+$L$10*L280)*$AU$4*$AS$10</x:f>
        <x:v>17.547902660397984</x:v>
      </x:c>
      <x:c r="AT280" s="16" t="n">
        <x:f t="shared" si="403">ROUND(AR280*AS280,0)</x:f>
        <x:v>310808</x:v>
      </x:c>
      <x:c r="AU280" s="16" t="n">
        <x:f t="shared" si="404">ROUND(AT280*F280,0)</x:f>
        <x:v>1554040</x:v>
      </x:c>
      <x:c r="AV280" t="n">
        <x:f>IF(AU280&gt;0,ROUND(AU280,-MAX(0,INT(LOG10(AU280))-2)),0)</x:f>
        <x:v>1550000</x:v>
      </x:c>
    </x:row>
    <x:row r="281" customHeight="1">
      <x:c r="A281" s="1" t="str">
        <x:f>IFERROR(XLOOKUP(B281,'_曲线基线'!$G$3:$G$107,'_曲线基线'!$J$3:$J$107,""),"")</x:f>
      </x:c>
      <x:c r="B281" s="1" t="n">
        <x:v>270</x:v>
      </x:c>
      <x:c r="C281" s="1" t="n">
        <x:f t="shared" si="349">C266+1</x:f>
        <x:v>19</x:v>
      </x:c>
      <x:c r="D281" s="1" t="n">
        <x:f t="shared" si="350">D266</x:f>
        <x:v>6</x:v>
      </x:c>
      <x:c r="E281" s="1" t="n">
        <x:f t="shared" si="376">IF($B281&lt;E$8,0,E$3+(E$4-E$3)*(POWER(E$5,$B281-E$8)-1)/(POWER(E$5,$C$5-E$8)-1))</x:f>
        <x:v>1</x:v>
      </x:c>
      <x:c r="F281" s="10" t="n">
        <x:f t="shared" si="377">1+IF(B281&lt;3,0,MIN(1,(B281-2)/4))+IF(B281&lt;7,0,MIN(1,(B281-6)/3))+IF(B281&lt;10,0,MIN(1,(B281-9)/5))+IF(B281&lt;20,0,MIN(1,(B281-19)/10))</x:f>
        <x:v>5</x:v>
      </x:c>
      <x:c r="G281" s="11" t="n">
        <x:f t="shared" ref="G281:L281" si="417">'玩家战力_节点'!G281</x:f>
        <x:v>0.8900277205161643</x:v>
      </x:c>
      <x:c r="H281" s="11" t="n">
        <x:f t="shared" si="417">'玩家战力_节点'!H281</x:f>
        <x:v>0.6921328221007573</x:v>
      </x:c>
      <x:c r="I281" s="11" t="n">
        <x:f t="shared" si="417">'玩家战力_节点'!I281</x:f>
        <x:v>0.6400670716383455</x:v>
      </x:c>
      <x:c r="J281" s="11" t="n">
        <x:f t="shared" si="417">'玩家战力_节点'!J281</x:f>
        <x:v>0.5915726028590885</x:v>
      </x:c>
      <x:c r="K281" s="11" t="n">
        <x:f t="shared" si="417">'玩家战力_节点'!K281</x:f>
        <x:v>0.6381299998176402</x:v>
      </x:c>
      <x:c r="L281" s="11" t="n">
        <x:f t="shared" si="417">'玩家战力_节点'!L281</x:f>
        <x:v>0.6918503415284234</x:v>
      </x:c>
      <x:c r="M281" s="2" t="n">
        <x:f>E281*'模块规划'!$F$10+G281*'模块规划'!$F$11+H281*'模块规划'!$F$13</x:f>
        <x:v>5272.133058477589</x:v>
      </x:c>
      <x:c r="N281" s="2" t="n">
        <x:f>I281*'模块规划'!$F$15+J281*'模块规划'!$F$17+K281*'模块规划'!$F$16+L281*'模块规划'!$F$18</x:f>
        <x:v>18324.294308245608</x:v>
      </x:c>
      <x:c r="O281" s="2" t="n">
        <x:f t="shared" si="379">1+O$9*SUMPRODUCT($H$10:$L$10,H281:L281)/SUM($H$10:$L$10)</x:f>
        <x:v>3.386712874965745</x:v>
      </x:c>
      <x:c r="P281" s="12" t="n">
        <x:f t="shared" si="380">M281*O281+N281</x:f>
        <x:v>36179.49521592419</x:v>
      </x:c>
      <x:c r="Q281" s="7" t="n">
        <x:f>P281/(P281+'_曲线基线'!$L$2)</x:f>
        <x:v>0.60119306561333</x:v>
      </x:c>
      <x:c r="R281" s="2" t="n">
        <x:f>E281*'模块规划'!$E$10+G281*'模块规划'!$E$11+H281*'模块规划'!$E$13</x:f>
        <x:v>7908.199587716383</x:v>
      </x:c>
      <x:c r="S281" s="2" t="n">
        <x:f>I281*'模块规划'!$E$15+J281*'模块规划'!$E$17+K281*'模块规划'!$E$16+L281*'模块规划'!$E$18</x:f>
        <x:v>27486.441462368413</x:v>
      </x:c>
      <x:c r="T281" s="2" t="n">
        <x:f t="shared" si="381">1+T$9*SUMPRODUCT($H$10:$L$10,H281:L281)/SUM($H$10:$L$10)</x:f>
        <x:v>3.386712874965745</x:v>
      </x:c>
      <x:c r="U281" s="12" t="n">
        <x:f t="shared" si="382">R281*T281+S281</x:f>
        <x:v>54269.24282388628</x:v>
      </x:c>
      <x:c r="V281" s="2" t="n">
        <x:f t="shared" si="383">V$8+(V$9-V$8)*H281</x:f>
        <x:v>0.9076398466302271</x:v>
      </x:c>
      <x:c r="W281" s="2" t="n">
        <x:f t="shared" si="384">IF(B281&lt;$H$8,0,W$8+(W$9-W$8)*H281)</x:f>
        <x:v>0.27685312884030294</x:v>
      </x:c>
      <x:c r="X281" s="2" t="n">
        <x:f t="shared" si="385">X$8+(X$9-X$8)*H281</x:f>
        <x:v>0.4653365260777083</x:v>
      </x:c>
      <x:c r="Y281" s="2" t="n">
        <x:f t="shared" si="386">Y$8+(Y$9-Y$8)*G281</x:f>
        <x:v>1</x:v>
      </x:c>
      <x:c r="Z281" s="2" t="n">
        <x:f t="shared" si="387">Z$8+(Z$9-Z$8)*H281</x:f>
        <x:v>1</x:v>
      </x:c>
      <x:c r="AA281" s="2" t="n">
        <x:f t="shared" si="388">AA$8+(AA$9-AA$8)*I281</x:f>
        <x:v>1</x:v>
      </x:c>
      <x:c r="AB281" s="2" t="n">
        <x:f t="shared" si="389">AB$8+(AB$9-AB$8)*J281</x:f>
        <x:v>1</x:v>
      </x:c>
      <x:c r="AC281" s="2" t="n">
        <x:f t="shared" si="390">AC$8+(AC$9-AC$8)*MAX(K281,L281)</x:f>
        <x:v>1</x:v>
      </x:c>
      <x:c r="AD281" s="1" t="n">
        <x:f t="shared" si="391">(V281*AE281+W281*AF281+X281*AG281)*PRODUCT(Y281:AC281)</x:f>
        <x:v>1.8818664652340664</x:v>
      </x:c>
      <x:c r="AE281" s="2" t="n">
        <x:f t="shared" si="392">1+AE$9*($H$10*H281+$I$10*I281+$J$10*J281+$K$10*K281+$L$10*L281)</x:f>
        <x:v>1</x:v>
      </x:c>
      <x:c r="AF281" s="2" t="n">
        <x:f t="shared" si="393">1+AF$9*($H$10*H281+$I$10*I281+$J$10*J281+$K$10*K281+$L$10*L281)</x:f>
        <x:v>1.2106491525273413</x:v>
      </x:c>
      <x:c r="AG281" s="2" t="n">
        <x:f t="shared" si="394">1+AG$9*($H$10*H281+$I$10*I281+$J$10*J281+$K$10*K281+$L$10*L281)</x:f>
        <x:v>1.3733171092012353</x:v>
      </x:c>
      <x:c r="AH281" s="2" t="n">
        <x:f>MIN(1,'_曲线基线'!$L$3+AH$9*($H$10*H281+$I$10*I281+$J$10*J281+$K$10*K281+$L$10*L281))</x:f>
        <x:v>0.5292268219997007</x:v>
      </x:c>
      <x:c r="AI281" s="2" t="n">
        <x:f>'_曲线基线'!$L$4+AI$9*($H$10*H281+$I$10*I281+$J$10*J281+$K$10*K281+$L$10*L281)</x:f>
        <x:v>3.334989004142024</x:v>
      </x:c>
      <x:c r="AJ281" s="2" t="n">
        <x:f t="shared" si="395">1+AJ$9*($H$10*H281+$I$10*I281+$J$10*J281+$K$10*K281+$L$10*L281)</x:f>
        <x:v>2.0953755931421734</x:v>
      </x:c>
      <x:c r="AK281" s="1" t="n">
        <x:f t="shared" si="396">(1+AH281*(AI281-1))*AJ281</x:f>
        <x:v>4.684712535253711</x:v>
      </x:c>
      <x:c r="AL281" s="1" t="n">
        <x:f t="shared" si="397">U281*AD281*AK281*F281</x:f>
        <x:v>2392189.15150611</x:v>
      </x:c>
      <x:c r="AM281" s="13" t="n">
        <x:f t="shared" si="398">IF($B281&lt;AM$8,0,AM$3+(AM$4-AM$3)*(POWER(AM$5,$B281-AM$8)-1)/(POWER(AM$5,$C$5-AM$8)-1))</x:f>
        <x:v>53.17180078327594</x:v>
      </x:c>
      <x:c r="AN281" s="13" t="n">
        <x:f>(((E281*'模块规划'!$D$10+G281*'模块规划'!$D$11+H281*'模块规划'!$D$13)*(1+'模块规划'!$G$14*H281)+(I281*'模块规划'!$D$15+J281*'模块规划'!$D$17+K281*'模块规划'!$D$16+L281*'模块规划'!$D$18))*(1+'模块规划'!$J$17*J281))*F281/(1-Q281)</x:f>
        <x:v>2881262.133753993</x:v>
      </x:c>
      <x:c r="AO281" s="1" t="n">
        <x:f t="shared" si="399">AL281*AM281</x:f>
        <x:v>127197004.9997968</x:v>
      </x:c>
      <x:c r="AP281" s="1" t="n">
        <x:f>IF(AO281="","",INDEX('_曲线基线'!$A$3:$A$502,MIN(ROWS('_曲线基线'!$A$3:$A$502),COUNTIF('_曲线基线'!$E$3:$E$502,"&lt;"&amp;AO281)+1)))</x:f>
        <x:v>312</x:v>
      </x:c>
      <x:c r="AQ281" s="14" t="n">
        <x:f t="shared" si="400">IF(B281&lt;=2,1,IF(B281&lt;=6,2,IF(B281&lt;=9,3,IF(B281&lt;=19,4,5))))</x:f>
        <x:v>5</x:v>
      </x:c>
      <x:c r="AR281" s="10" t="n">
        <x:f t="shared" si="401">AN281*(1-Q281)/F281*$AS$3+U281*$AS$4+P281*$AS$5</x:f>
        <x:v>17748.25247713821</x:v>
      </x:c>
      <x:c r="AS281" s="15" t="n">
        <x:f t="shared" si="402">1+AH281*$AS$6+AI281*$AS$7+(AJ281-1)*$AS$8+($H$10*H281+$I$10*I281+$J$10*J281+$K$10*K281+$L$10*L281)*$AU$3*$AS$9+($H$10*H281+$I$10*I281+$J$10*J281+$K$10*K281+$L$10*L281)*$AU$4*$AS$10</x:f>
        <x:v>17.568106213608186</x:v>
      </x:c>
      <x:c r="AT281" s="16" t="n">
        <x:f t="shared" si="403">ROUND(AR281*AS281,0)</x:f>
        <x:v>311803</x:v>
      </x:c>
      <x:c r="AU281" s="16" t="n">
        <x:f t="shared" si="404">ROUND(AT281*F281,0)</x:f>
        <x:v>1559015</x:v>
      </x:c>
      <x:c r="AV281" t="n">
        <x:f>IF(AU281&gt;0,ROUND(AU281,-MAX(0,INT(LOG10(AU281))-2)),0)</x:f>
        <x:v>1560000</x:v>
      </x:c>
    </x:row>
    <x:row r="282" customHeight="1">
      <x:c r="A282" s="1" t="str">
        <x:f>IFERROR(XLOOKUP(B282,'_曲线基线'!$G$3:$G$107,'_曲线基线'!$J$3:$J$107,""),"")</x:f>
      </x:c>
      <x:c r="B282" s="1" t="n">
        <x:v>271</x:v>
      </x:c>
      <x:c r="C282" s="1" t="n">
        <x:f t="shared" si="349">C267+1</x:f>
        <x:v>19</x:v>
      </x:c>
      <x:c r="D282" s="1" t="n">
        <x:f t="shared" si="350">D267</x:f>
        <x:v>7</x:v>
      </x:c>
      <x:c r="E282" s="1" t="n">
        <x:f t="shared" si="376">IF($B282&lt;E$8,0,E$3+(E$4-E$3)*(POWER(E$5,$B282-E$8)-1)/(POWER(E$5,$C$5-E$8)-1))</x:f>
        <x:v>1</x:v>
      </x:c>
      <x:c r="F282" s="10" t="n">
        <x:f t="shared" si="377">1+IF(B282&lt;3,0,MIN(1,(B282-2)/4))+IF(B282&lt;7,0,MIN(1,(B282-6)/3))+IF(B282&lt;10,0,MIN(1,(B282-9)/5))+IF(B282&lt;20,0,MIN(1,(B282-19)/10))</x:f>
        <x:v>5</x:v>
      </x:c>
      <x:c r="G282" s="11" t="n">
        <x:f t="shared" ref="G282:L282" si="418">'玩家战力_节点'!G282</x:f>
        <x:v>0.8911357515699238</x:v>
      </x:c>
      <x:c r="H282" s="11" t="n">
        <x:f t="shared" si="418">'玩家战力_节点'!H282</x:f>
        <x:v>0.693006952978451</x:v>
      </x:c>
      <x:c r="I282" s="11" t="n">
        <x:f t="shared" si="418">'玩家战力_节点'!I282</x:f>
        <x:v>0.6411707303451961</x:v>
      </x:c>
      <x:c r="J282" s="11" t="n">
        <x:f t="shared" si="418">'玩家战力_节点'!J282</x:f>
        <x:v>0.5925089803191897</x:v>
      </x:c>
      <x:c r="K282" s="11" t="n">
        <x:f t="shared" si="418">'玩家战力_节点'!K282</x:f>
        <x:v>0.6394488887267912</x:v>
      </x:c>
      <x:c r="L282" s="11" t="n">
        <x:f t="shared" si="418">'玩家战力_节点'!L282</x:f>
        <x:v>0.6927558591363763</x:v>
      </x:c>
      <x:c r="M282" s="2" t="n">
        <x:f>E282*'模块规划'!$F$10+G282*'模块规划'!$F$11+H282*'模块规划'!$F$13</x:f>
        <x:v>5277.451607535634</x:v>
      </x:c>
      <x:c r="N282" s="2" t="n">
        <x:f>I282*'模块规划'!$F$15+J282*'模块规划'!$F$17+K282*'模块规划'!$F$16+L282*'模块规划'!$F$18</x:f>
        <x:v>18354.928273996095</x:v>
      </x:c>
      <x:c r="O282" s="2" t="n">
        <x:f t="shared" si="379">1+O$9*SUMPRODUCT($H$10:$L$10,H282:L282)/SUM($H$10:$L$10)</x:f>
        <x:v>3.390543962252936</x:v>
      </x:c>
      <x:c r="P282" s="12" t="n">
        <x:f t="shared" si="380">M282*O282+N282</x:f>
        <x:v>36248.35995800809</x:v>
      </x:c>
      <x:c r="Q282" s="7" t="n">
        <x:f>P282/(P282+'_曲线基线'!$L$2)</x:f>
        <x:v>0.6016489076760343</x:v>
      </x:c>
      <x:c r="R282" s="2" t="n">
        <x:f>E282*'模块规划'!$E$10+G282*'模块规划'!$E$11+H282*'模块规划'!$E$13</x:f>
        <x:v>7916.177411303451</x:v>
      </x:c>
      <x:c r="S282" s="2" t="n">
        <x:f>I282*'模块规划'!$E$15+J282*'模块规划'!$E$17+K282*'模块规划'!$E$16+L282*'模块规划'!$E$18</x:f>
        <x:v>27532.39241099414</x:v>
      </x:c>
      <x:c r="T282" s="2" t="n">
        <x:f t="shared" si="381">1+T$9*SUMPRODUCT($H$10:$L$10,H282:L282)/SUM($H$10:$L$10)</x:f>
        <x:v>3.390543962252936</x:v>
      </x:c>
      <x:c r="U282" s="12" t="n">
        <x:f t="shared" si="382">R282*T282+S282</x:f>
        <x:v>54372.53993701213</x:v>
      </x:c>
      <x:c r="V282" s="2" t="n">
        <x:f t="shared" si="383">V$8+(V$9-V$8)*H282</x:f>
        <x:v>0.9079020858935353</x:v>
      </x:c>
      <x:c r="W282" s="2" t="n">
        <x:f t="shared" si="384">IF(B282&lt;$H$8,0,W$8+(W$9-W$8)*H282)</x:f>
        <x:v>0.2772027811913804</x:v>
      </x:c>
      <x:c r="X282" s="2" t="n">
        <x:f t="shared" si="385">X$8+(X$9-X$8)*H282</x:f>
        <x:v>0.4655769120690741</x:v>
      </x:c>
      <x:c r="Y282" s="2" t="n">
        <x:f t="shared" si="386">Y$8+(Y$9-Y$8)*G282</x:f>
        <x:v>1</x:v>
      </x:c>
      <x:c r="Z282" s="2" t="n">
        <x:f t="shared" si="387">Z$8+(Z$9-Z$8)*H282</x:f>
        <x:v>1</x:v>
      </x:c>
      <x:c r="AA282" s="2" t="n">
        <x:f t="shared" si="388">AA$8+(AA$9-AA$8)*I282</x:f>
        <x:v>1</x:v>
      </x:c>
      <x:c r="AB282" s="2" t="n">
        <x:f t="shared" si="389">AB$8+(AB$9-AB$8)*J282</x:f>
        <x:v>1</x:v>
      </x:c>
      <x:c r="AC282" s="2" t="n">
        <x:f t="shared" si="390">AC$8+(AC$9-AC$8)*MAX(K282,L282)</x:f>
        <x:v>1</x:v>
      </x:c>
      <x:c r="AD282" s="1" t="n">
        <x:f t="shared" si="391">(V282*AE282+W282*AF282+X282*AG282)*PRODUCT(Y282:AC282)</x:f>
        <x:v>1.8832548587812226</x:v>
      </x:c>
      <x:c r="AE282" s="2" t="n">
        <x:f t="shared" si="392">1+AE$9*($H$10*H282+$I$10*I282+$J$10*J282+$K$10*K282+$L$10*L282)</x:f>
        <x:v>1</x:v>
      </x:c>
      <x:c r="AF282" s="2" t="n">
        <x:f t="shared" si="393">1+AF$9*($H$10*H282+$I$10*I282+$J$10*J282+$K$10*K282+$L$10*L282)</x:f>
        <x:v>1.2109872808790043</x:v>
      </x:c>
      <x:c r="AG282" s="2" t="n">
        <x:f t="shared" si="394">1+AG$9*($H$10*H282+$I$10*I282+$J$10*J282+$K$10*K282+$L$10*L282)</x:f>
        <x:v>1.3739163477800158</x:v>
      </x:c>
      <x:c r="AH282" s="2" t="n">
        <x:f>MIN(1,'_曲线基线'!$L$3+AH$9*($H$10*H282+$I$10*I282+$J$10*J282+$K$10*K282+$L$10*L282))</x:f>
        <x:v>0.5299960639997341</x:v>
      </x:c>
      <x:c r="AI282" s="2" t="n">
        <x:f>'_曲线基线'!$L$4+AI$9*($H$10*H282+$I$10*I282+$J$10*J282+$K$10*K282+$L$10*L282)</x:f>
        <x:v>3.337131892570688</x:v>
      </x:c>
      <x:c r="AJ282" s="2" t="n">
        <x:f t="shared" si="395">1+AJ$9*($H$10*H282+$I$10*I282+$J$10*J282+$K$10*K282+$L$10*L282)</x:f>
        <x:v>2.097133860570821</x:v>
      </x:c>
      <x:c r="AK282" s="1" t="n">
        <x:f t="shared" si="396">(1+AH282*(AI282-1))*AJ282</x:f>
        <x:v>4.694792136258499</x:v>
      </x:c>
      <x:c r="AL282" s="1" t="n">
        <x:f t="shared" si="397">U282*AD282*AK282*F282</x:f>
        <x:v>2403671.368253381</x:v>
      </x:c>
      <x:c r="AM282" s="13" t="n">
        <x:f t="shared" si="398">IF($B282&lt;AM$8,0,AM$3+(AM$4-AM$3)*(POWER(AM$5,$B282-AM$8)-1)/(POWER(AM$5,$C$5-AM$8)-1))</x:f>
        <x:v>53.36694343103058</x:v>
      </x:c>
      <x:c r="AN282" s="13" t="n">
        <x:f>(((E282*'模块规划'!$D$10+G282*'模块规划'!$D$11+H282*'模块规划'!$D$13)*(1+'模块规划'!$G$14*H282)+(I282*'模块规划'!$D$15+J282*'模块规划'!$D$17+K282*'模块规划'!$D$16+L282*'模块规划'!$D$18))*(1+'模块规划'!$J$17*J282))*F282/(1-Q282)</x:f>
        <x:v>2891117.012742833</x:v>
      </x:c>
      <x:c r="AO282" s="1" t="n">
        <x:f t="shared" si="399">AL282*AM282</x:f>
        <x:v>128276593.93636605</x:v>
      </x:c>
      <x:c r="AP282" s="1" t="n">
        <x:f>IF(AO282="","",INDEX('_曲线基线'!$A$3:$A$502,MIN(ROWS('_曲线基线'!$A$3:$A$502),COUNTIF('_曲线基线'!$E$3:$E$502,"&lt;"&amp;AO282)+1)))</x:f>
        <x:v>313</x:v>
      </x:c>
      <x:c r="AQ282" s="14" t="n">
        <x:f t="shared" si="400">IF(B282&lt;=2,1,IF(B282&lt;=6,2,IF(B282&lt;=9,3,IF(B282&lt;=19,4,5))))</x:f>
        <x:v>5</x:v>
      </x:c>
      <x:c r="AR282" s="10" t="n">
        <x:f t="shared" si="401">AN282*(1-Q282)/F282*$AS$3+U282*$AS$4+P282*$AS$5</x:f>
        <x:v>17784.585707777478</x:v>
      </x:c>
      <x:c r="AS282" s="15" t="n">
        <x:f t="shared" si="402">1+AH282*$AS$6+AI282*$AS$7+(AJ282-1)*$AS$8+($H$10*H282+$I$10*I282+$J$10*J282+$K$10*K282+$L$10*L282)*$AU$3*$AS$9+($H$10*H282+$I$10*I282+$J$10*J282+$K$10*K282+$L$10*L282)*$AU$4*$AS$10</x:f>
        <x:v>17.588309766818387</x:v>
      </x:c>
      <x:c r="AT282" s="16" t="n">
        <x:f t="shared" si="403">ROUND(AR282*AS282,0)</x:f>
        <x:v>312801</x:v>
      </x:c>
      <x:c r="AU282" s="16" t="n">
        <x:f t="shared" si="404">ROUND(AT282*F282,0)</x:f>
        <x:v>1564005</x:v>
      </x:c>
      <x:c r="AV282" t="n">
        <x:f>IF(AU282&gt;0,ROUND(AU282,-MAX(0,INT(LOG10(AU282))-2)),0)</x:f>
        <x:v>1560000</x:v>
      </x:c>
    </x:row>
    <x:row r="283" customHeight="1">
      <x:c r="A283" s="1" t="str">
        <x:f>IFERROR(XLOOKUP(B283,'_曲线基线'!$G$3:$G$107,'_曲线基线'!$J$3:$J$107,""),"")</x:f>
      </x:c>
      <x:c r="B283" s="1" t="n">
        <x:v>272</x:v>
      </x:c>
      <x:c r="C283" s="1" t="n">
        <x:f t="shared" si="349">C268+1</x:f>
        <x:v>19</x:v>
      </x:c>
      <x:c r="D283" s="1" t="n">
        <x:f t="shared" si="350">D268</x:f>
        <x:v>8</x:v>
      </x:c>
      <x:c r="E283" s="1" t="n">
        <x:f t="shared" si="376">IF($B283&lt;E$8,0,E$3+(E$4-E$3)*(POWER(E$5,$B283-E$8)-1)/(POWER(E$5,$C$5-E$8)-1))</x:f>
        <x:v>1</x:v>
      </x:c>
      <x:c r="F283" s="10" t="n">
        <x:f t="shared" si="377">1+IF(B283&lt;3,0,MIN(1,(B283-2)/4))+IF(B283&lt;7,0,MIN(1,(B283-6)/3))+IF(B283&lt;10,0,MIN(1,(B283-9)/5))+IF(B283&lt;20,0,MIN(1,(B283-19)/10))</x:f>
        <x:v>5</x:v>
      </x:c>
      <x:c r="G283" s="11" t="n">
        <x:f t="shared" ref="G283:L283" si="419">'玩家战力_节点'!G283</x:f>
        <x:v>0.8922437826236833</x:v>
      </x:c>
      <x:c r="H283" s="11" t="n">
        <x:f t="shared" si="419">'玩家战力_节点'!H283</x:f>
        <x:v>0.6938810838561446</x:v>
      </x:c>
      <x:c r="I283" s="11" t="n">
        <x:f t="shared" si="419">'玩家战力_节点'!I283</x:f>
        <x:v>0.6422743890520465</x:v>
      </x:c>
      <x:c r="J283" s="11" t="n">
        <x:f t="shared" si="419">'玩家战力_节点'!J283</x:f>
        <x:v>0.5934453577792911</x:v>
      </x:c>
      <x:c r="K283" s="11" t="n">
        <x:f t="shared" si="419">'玩家战力_节点'!K283</x:f>
        <x:v>0.6407677776359423</x:v>
      </x:c>
      <x:c r="L283" s="11" t="n">
        <x:f t="shared" si="419">'玩家战力_节点'!L283</x:f>
        <x:v>0.6936613767443293</x:v>
      </x:c>
      <x:c r="M283" s="2" t="n">
        <x:f>E283*'模块规划'!$F$10+G283*'模块规划'!$F$11+H283*'模块规划'!$F$13</x:f>
        <x:v>5282.7701565936795</x:v>
      </x:c>
      <x:c r="N283" s="2" t="n">
        <x:f>I283*'模块规划'!$F$15+J283*'模块规划'!$F$17+K283*'模块规划'!$F$16+L283*'模块规划'!$F$18</x:f>
        <x:v>18385.56223974658</x:v>
      </x:c>
      <x:c r="O283" s="2" t="n">
        <x:f t="shared" si="379">1+O$9*SUMPRODUCT($H$10:$L$10,H283:L283)/SUM($H$10:$L$10)</x:f>
        <x:v>3.394375049540126</x:v>
      </x:c>
      <x:c r="P283" s="12" t="n">
        <x:f t="shared" si="380">M283*O283+N283</x:f>
        <x:v>36317.265451743355</x:v>
      </x:c>
      <x:c r="Q283" s="7" t="n">
        <x:f>P283/(P283+'_曲线基线'!$L$2)</x:f>
        <x:v>0.6021039776877629</x:v>
      </x:c>
      <x:c r="R283" s="2" t="n">
        <x:f>E283*'模块规划'!$E$10+G283*'模块规划'!$E$11+H283*'模块规划'!$E$13</x:f>
        <x:v>7924.15523489052</x:v>
      </x:c>
      <x:c r="S283" s="2" t="n">
        <x:f>I283*'模块规划'!$E$15+J283*'模块规划'!$E$17+K283*'模块规划'!$E$16+L283*'模块规划'!$E$18</x:f>
        <x:v>27578.343359619874</x:v>
      </x:c>
      <x:c r="T283" s="2" t="n">
        <x:f t="shared" si="381">1+T$9*SUMPRODUCT($H$10:$L$10,H283:L283)/SUM($H$10:$L$10)</x:f>
        <x:v>3.394375049540126</x:v>
      </x:c>
      <x:c r="U283" s="12" t="n">
        <x:f t="shared" si="382">R283*T283+S283</x:f>
        <x:v>54475.89817761503</x:v>
      </x:c>
      <x:c r="V283" s="2" t="n">
        <x:f t="shared" si="383">V$8+(V$9-V$8)*H283</x:f>
        <x:v>0.9081643251568434</x:v>
      </x:c>
      <x:c r="W283" s="2" t="n">
        <x:f t="shared" si="384">IF(B283&lt;$H$8,0,W$8+(W$9-W$8)*H283)</x:f>
        <x:v>0.27755243354245784</x:v>
      </x:c>
      <x:c r="X283" s="2" t="n">
        <x:f t="shared" si="385">X$8+(X$9-X$8)*H283</x:f>
        <x:v>0.4658172980604398</x:v>
      </x:c>
      <x:c r="Y283" s="2" t="n">
        <x:f t="shared" si="386">Y$8+(Y$9-Y$8)*G283</x:f>
        <x:v>1</x:v>
      </x:c>
      <x:c r="Z283" s="2" t="n">
        <x:f t="shared" si="387">Z$8+(Z$9-Z$8)*H283</x:f>
        <x:v>1</x:v>
      </x:c>
      <x:c r="AA283" s="2" t="n">
        <x:f t="shared" si="388">AA$8+(AA$9-AA$8)*I283</x:f>
        <x:v>1</x:v>
      </x:c>
      <x:c r="AB283" s="2" t="n">
        <x:f t="shared" si="389">AB$8+(AB$9-AB$8)*J283</x:f>
        <x:v>1</x:v>
      </x:c>
      <x:c r="AC283" s="2" t="n">
        <x:f t="shared" si="390">AC$8+(AC$9-AC$8)*MAX(K283,L283)</x:f>
        <x:v>1</x:v>
      </x:c>
      <x:c r="AD283" s="1" t="n">
        <x:f t="shared" si="391">(V283*AE283+W283*AF283+X283*AG283)*PRODUCT(Y283:AC283)</x:f>
        <x:v>1.8846437768802442</x:v>
      </x:c>
      <x:c r="AE283" s="2" t="n">
        <x:f t="shared" si="392">1+AE$9*($H$10*H283+$I$10*I283+$J$10*J283+$K$10*K283+$L$10*L283)</x:f>
        <x:v>1</x:v>
      </x:c>
      <x:c r="AF283" s="2" t="n">
        <x:f t="shared" si="393">1+AF$9*($H$10*H283+$I$10*I283+$J$10*J283+$K$10*K283+$L$10*L283)</x:f>
        <x:v>1.2113254092306671</x:v>
      </x:c>
      <x:c r="AG283" s="2" t="n">
        <x:f t="shared" si="394">1+AG$9*($H$10*H283+$I$10*I283+$J$10*J283+$K$10*K283+$L$10*L283)</x:f>
        <x:v>1.3745155863587963</x:v>
      </x:c>
      <x:c r="AH283" s="2" t="n">
        <x:f>MIN(1,'_曲线基线'!$L$3+AH$9*($H$10*H283+$I$10*I283+$J$10*J283+$K$10*K283+$L$10*L283))</x:f>
        <x:v>0.5307653059997672</x:v>
      </x:c>
      <x:c r="AI283" s="2" t="n">
        <x:f>'_曲线基线'!$L$4+AI$9*($H$10*H283+$I$10*I283+$J$10*J283+$K$10*K283+$L$10*L283)</x:f>
        <x:v>3.339274780999352</x:v>
      </x:c>
      <x:c r="AJ283" s="2" t="n">
        <x:f t="shared" si="395">1+AJ$9*($H$10*H283+$I$10*I283+$J$10*J283+$K$10*K283+$L$10*L283)</x:f>
        <x:v>2.098892127999468</x:v>
      </x:c>
      <x:c r="AK283" s="1" t="n">
        <x:f t="shared" si="396">(1+AH283*(AI283-1))*AJ283</x:f>
        <x:v>4.704888966997538</x:v>
      </x:c>
      <x:c r="AL283" s="1" t="n">
        <x:f t="shared" si="397">U283*AD283*AK283*F283</x:f>
        <x:v>2415199.7625926435</x:v>
      </x:c>
      <x:c r="AM283" s="13" t="n">
        <x:f t="shared" si="398">IF($B283&lt;AM$8,0,AM$3+(AM$4-AM$3)*(POWER(AM$5,$B283-AM$8)-1)/(POWER(AM$5,$C$5-AM$8)-1))</x:f>
        <x:v>53.564037505262746</x:v>
      </x:c>
      <x:c r="AN283" s="13" t="n">
        <x:f>(((E283*'模块规划'!$D$10+G283*'模块规划'!$D$11+H283*'模块规划'!$D$13)*(1+'模块规划'!$G$14*H283)+(I283*'模块规划'!$D$15+J283*'模块规划'!$D$17+K283*'模块规划'!$D$16+L283*'模块规划'!$D$18))*(1+'模块规划'!$J$17*J283))*F283/(1-Q283)</x:f>
        <x:v>2900995.8737228266</x:v>
      </x:c>
      <x:c r="AO283" s="1" t="n">
        <x:f t="shared" si="399">AL283*AM283</x:f>
        <x:v>129367850.66621403</x:v>
      </x:c>
      <x:c r="AP283" s="1" t="n">
        <x:f>IF(AO283="","",INDEX('_曲线基线'!$A$3:$A$502,MIN(ROWS('_曲线基线'!$A$3:$A$502),COUNTIF('_曲线基线'!$E$3:$E$502,"&lt;"&amp;AO283)+1)))</x:f>
        <x:v>314</x:v>
      </x:c>
      <x:c r="AQ283" s="14" t="n">
        <x:f t="shared" si="400">IF(B283&lt;=2,1,IF(B283&lt;=6,2,IF(B283&lt;=9,3,IF(B283&lt;=19,4,5))))</x:f>
        <x:v>5</x:v>
      </x:c>
      <x:c r="AR283" s="10" t="n">
        <x:f t="shared" si="401">AN283*(1-Q283)/F283*$AS$3+U283*$AS$4+P283*$AS$5</x:f>
        <x:v>17820.94794891416</x:v>
      </x:c>
      <x:c r="AS283" s="15" t="n">
        <x:f t="shared" si="402">1+AH283*$AS$6+AI283*$AS$7+(AJ283-1)*$AS$8+($H$10*H283+$I$10*I283+$J$10*J283+$K$10*K283+$L$10*L283)*$AU$3*$AS$9+($H$10*H283+$I$10*I283+$J$10*J283+$K$10*K283+$L$10*L283)*$AU$4*$AS$10</x:f>
        <x:v>17.60851332002859</x:v>
      </x:c>
      <x:c r="AT283" s="16" t="n">
        <x:f t="shared" si="403">ROUND(AR283*AS283,0)</x:f>
        <x:v>313800</x:v>
      </x:c>
      <x:c r="AU283" s="16" t="n">
        <x:f t="shared" si="404">ROUND(AT283*F283,0)</x:f>
        <x:v>1569000</x:v>
      </x:c>
      <x:c r="AV283" t="n">
        <x:f>IF(AU283&gt;0,ROUND(AU283,-MAX(0,INT(LOG10(AU283))-2)),0)</x:f>
        <x:v>1570000</x:v>
      </x:c>
    </x:row>
    <x:row r="284" customHeight="1">
      <x:c r="A284" s="1" t="str">
        <x:f>IFERROR(XLOOKUP(B284,'_曲线基线'!$G$3:$G$107,'_曲线基线'!$J$3:$J$107,""),"")</x:f>
      </x:c>
      <x:c r="B284" s="1" t="n">
        <x:v>273</x:v>
      </x:c>
      <x:c r="C284" s="1" t="n">
        <x:f t="shared" si="349">C269+1</x:f>
        <x:v>19</x:v>
      </x:c>
      <x:c r="D284" s="1" t="n">
        <x:f t="shared" si="350">D269</x:f>
        <x:v>9</x:v>
      </x:c>
      <x:c r="E284" s="1" t="n">
        <x:f t="shared" si="376">IF($B284&lt;E$8,0,E$3+(E$4-E$3)*(POWER(E$5,$B284-E$8)-1)/(POWER(E$5,$C$5-E$8)-1))</x:f>
        <x:v>1</x:v>
      </x:c>
      <x:c r="F284" s="10" t="n">
        <x:f t="shared" si="377">1+IF(B284&lt;3,0,MIN(1,(B284-2)/4))+IF(B284&lt;7,0,MIN(1,(B284-6)/3))+IF(B284&lt;10,0,MIN(1,(B284-9)/5))+IF(B284&lt;20,0,MIN(1,(B284-19)/10))</x:f>
        <x:v>5</x:v>
      </x:c>
      <x:c r="G284" s="11" t="n">
        <x:f t="shared" ref="G284:L284" si="420">'玩家战力_节点'!G284</x:f>
        <x:v>0.8933518136774429</x:v>
      </x:c>
      <x:c r="H284" s="11" t="n">
        <x:f t="shared" si="420">'玩家战力_节点'!H284</x:f>
        <x:v>0.6947552147338382</x:v>
      </x:c>
      <x:c r="I284" s="11" t="n">
        <x:f t="shared" si="420">'玩家战力_节点'!I284</x:f>
        <x:v>0.6433780477588971</x:v>
      </x:c>
      <x:c r="J284" s="11" t="n">
        <x:f t="shared" si="420">'玩家战力_节点'!J284</x:f>
        <x:v>0.5943817352393923</x:v>
      </x:c>
      <x:c r="K284" s="11" t="n">
        <x:f t="shared" si="420">'玩家战力_节点'!K284</x:f>
        <x:v>0.6420866665450934</x:v>
      </x:c>
      <x:c r="L284" s="11" t="n">
        <x:f t="shared" si="420">'玩家战力_节点'!L284</x:f>
        <x:v>0.6945668943522822</x:v>
      </x:c>
      <x:c r="M284" s="2" t="n">
        <x:f>E284*'模块规划'!$F$10+G284*'模块规划'!$F$11+H284*'模块规划'!$F$13</x:f>
        <x:v>5288.088705651726</x:v>
      </x:c>
      <x:c r="N284" s="2" t="n">
        <x:f>I284*'模块规划'!$F$15+J284*'模块规划'!$F$17+K284*'模块规划'!$F$16+L284*'模块规划'!$F$18</x:f>
        <x:v>18416.19620549707</x:v>
      </x:c>
      <x:c r="O284" s="2" t="n">
        <x:f t="shared" si="379">1+O$9*SUMPRODUCT($H$10:$L$10,H284:L284)/SUM($H$10:$L$10)</x:f>
        <x:v>3.398206136827316</x:v>
      </x:c>
      <x:c r="P284" s="12" t="n">
        <x:f t="shared" si="380">M284*O284+N284</x:f>
        <x:v>36386.211697129984</x:v>
      </x:c>
      <x:c r="Q284" s="7" t="n">
        <x:f>P284/(P284+'_曲线基线'!$L$2)</x:f>
        <x:v>0.6025582773701191</x:v>
      </x:c>
      <x:c r="R284" s="2" t="n">
        <x:f>E284*'模块规划'!$E$10+G284*'模块规划'!$E$11+H284*'模块规划'!$E$13</x:f>
        <x:v>7932.133058477589</x:v>
      </x:c>
      <x:c r="S284" s="2" t="n">
        <x:f>I284*'模块规划'!$E$15+J284*'模块规划'!$E$17+K284*'模块规划'!$E$16+L284*'模块规划'!$E$18</x:f>
        <x:v>27624.294308245608</x:v>
      </x:c>
      <x:c r="T284" s="2" t="n">
        <x:f t="shared" si="381">1+T$9*SUMPRODUCT($H$10:$L$10,H284:L284)/SUM($H$10:$L$10)</x:f>
        <x:v>3.398206136827316</x:v>
      </x:c>
      <x:c r="U284" s="12" t="n">
        <x:f t="shared" si="382">R284*T284+S284</x:f>
        <x:v>54579.31754569498</x:v>
      </x:c>
      <x:c r="V284" s="2" t="n">
        <x:f t="shared" si="383">V$8+(V$9-V$8)*H284</x:f>
        <x:v>0.9084265644201515</x:v>
      </x:c>
      <x:c r="W284" s="2" t="n">
        <x:f t="shared" si="384">IF(B284&lt;$H$8,0,W$8+(W$9-W$8)*H284)</x:f>
        <x:v>0.27790208589353527</x:v>
      </x:c>
      <x:c r="X284" s="2" t="n">
        <x:f t="shared" si="385">X$8+(X$9-X$8)*H284</x:f>
        <x:v>0.46605768405180553</x:v>
      </x:c>
      <x:c r="Y284" s="2" t="n">
        <x:f t="shared" si="386">Y$8+(Y$9-Y$8)*G284</x:f>
        <x:v>1</x:v>
      </x:c>
      <x:c r="Z284" s="2" t="n">
        <x:f t="shared" si="387">Z$8+(Z$9-Z$8)*H284</x:f>
        <x:v>1</x:v>
      </x:c>
      <x:c r="AA284" s="2" t="n">
        <x:f t="shared" si="388">AA$8+(AA$9-AA$8)*I284</x:f>
        <x:v>1</x:v>
      </x:c>
      <x:c r="AB284" s="2" t="n">
        <x:f t="shared" si="389">AB$8+(AB$9-AB$8)*J284</x:f>
        <x:v>1</x:v>
      </x:c>
      <x:c r="AC284" s="2" t="n">
        <x:f t="shared" si="390">AC$8+(AC$9-AC$8)*MAX(K284,L284)</x:f>
        <x:v>1</x:v>
      </x:c>
      <x:c r="AD284" s="1" t="n">
        <x:f t="shared" si="391">(V284*AE284+W284*AF284+X284*AG284)*PRODUCT(Y284:AC284)</x:f>
        <x:v>1.886033219531132</x:v>
      </x:c>
      <x:c r="AE284" s="2" t="n">
        <x:f t="shared" si="392">1+AE$9*($H$10*H284+$I$10*I284+$J$10*J284+$K$10*K284+$L$10*L284)</x:f>
        <x:v>1</x:v>
      </x:c>
      <x:c r="AF284" s="2" t="n">
        <x:f t="shared" si="393">1+AF$9*($H$10*H284+$I$10*I284+$J$10*J284+$K$10*K284+$L$10*L284)</x:f>
        <x:v>1.2116635375823301</x:v>
      </x:c>
      <x:c r="AG284" s="2" t="n">
        <x:f t="shared" si="394">1+AG$9*($H$10*H284+$I$10*I284+$J$10*J284+$K$10*K284+$L$10*L284)</x:f>
        <x:v>1.3751148249375769</x:v>
      </x:c>
      <x:c r="AH284" s="2" t="n">
        <x:f>MIN(1,'_曲线基线'!$L$3+AH$9*($H$10*H284+$I$10*I284+$J$10*J284+$K$10*K284+$L$10*L284))</x:f>
        <x:v>0.5315345479998005</x:v>
      </x:c>
      <x:c r="AI284" s="2" t="n">
        <x:f>'_曲线基线'!$L$4+AI$9*($H$10*H284+$I$10*I284+$J$10*J284+$K$10*K284+$L$10*L284)</x:f>
        <x:v>3.3414176694280155</x:v>
      </x:c>
      <x:c r="AJ284" s="2" t="n">
        <x:f t="shared" si="395">1+AJ$9*($H$10*H284+$I$10*I284+$J$10*J284+$K$10*K284+$L$10*L284)</x:f>
        <x:v>2.1006503954281155</x:v>
      </x:c>
      <x:c r="AK284" s="1" t="n">
        <x:f t="shared" si="396">(1+AH284*(AI284-1))*AJ284</x:f>
        <x:v>4.7150030448607945</x:v>
      </x:c>
      <x:c r="AL284" s="1" t="n">
        <x:f t="shared" si="397">U284*AD284*AK284*F284</x:f>
        <x:v>2426774.4883920713</x:v>
      </x:c>
      <x:c r="AM284" s="13" t="n">
        <x:f t="shared" si="398">IF($B284&lt;AM$8,0,AM$3+(AM$4-AM$3)*(POWER(AM$5,$B284-AM$8)-1)/(POWER(AM$5,$C$5-AM$8)-1))</x:f>
        <x:v>53.76310252023725</x:v>
      </x:c>
      <x:c r="AN284" s="13" t="n">
        <x:f>(((E284*'模块规划'!$D$10+G284*'模块规划'!$D$11+H284*'模块规划'!$D$13)*(1+'模块规划'!$G$14*H284)+(I284*'模块规划'!$D$15+J284*'模块规划'!$D$17+K284*'模块规划'!$D$16+L284*'模块规划'!$D$18))*(1+'模块规划'!$J$17*J284))*F284/(1-Q284)</x:f>
        <x:v>2910898.75588501</x:v>
      </x:c>
      <x:c r="AO284" s="1" t="n">
        <x:f t="shared" si="399">AL284*AM284</x:f>
        <x:v>130470925.61291923</x:v>
      </x:c>
      <x:c r="AP284" s="1" t="n">
        <x:f>IF(AO284="","",INDEX('_曲线基线'!$A$3:$A$502,MIN(ROWS('_曲线基线'!$A$3:$A$502),COUNTIF('_曲线基线'!$E$3:$E$502,"&lt;"&amp;AO284)+1)))</x:f>
        <x:v>314</x:v>
      </x:c>
      <x:c r="AQ284" s="14" t="n">
        <x:f t="shared" si="400">IF(B284&lt;=2,1,IF(B284&lt;=6,2,IF(B284&lt;=9,3,IF(B284&lt;=19,4,5))))</x:f>
        <x:v>5</x:v>
      </x:c>
      <x:c r="AR284" s="10" t="n">
        <x:f t="shared" si="401">AN284*(1-Q284)/F284*$AS$3+U284*$AS$4+P284*$AS$5</x:f>
        <x:v>17857.339204779688</x:v>
      </x:c>
      <x:c r="AS284" s="15" t="n">
        <x:f t="shared" si="402">1+AH284*$AS$6+AI284*$AS$7+(AJ284-1)*$AS$8+($H$10*H284+$I$10*I284+$J$10*J284+$K$10*K284+$L$10*L284)*$AU$3*$AS$9+($H$10*H284+$I$10*I284+$J$10*J284+$K$10*K284+$L$10*L284)*$AU$4*$AS$10</x:f>
        <x:v>17.62871687323879</x:v>
      </x:c>
      <x:c r="AT284" s="16" t="n">
        <x:f t="shared" si="403">ROUND(AR284*AS284,0)</x:f>
        <x:v>314802</x:v>
      </x:c>
      <x:c r="AU284" s="16" t="n">
        <x:f t="shared" si="404">ROUND(AT284*F284,0)</x:f>
        <x:v>1574010</x:v>
      </x:c>
      <x:c r="AV284" t="n">
        <x:f>IF(AU284&gt;0,ROUND(AU284,-MAX(0,INT(LOG10(AU284))-2)),0)</x:f>
        <x:v>1570000</x:v>
      </x:c>
    </x:row>
    <x:row r="285" customHeight="1">
      <x:c r="A285" s="1" t="str">
        <x:f>IFERROR(XLOOKUP(B285,'_曲线基线'!$G$3:$G$107,'_曲线基线'!$J$3:$J$107,""),"")</x:f>
      </x:c>
      <x:c r="B285" s="1" t="n">
        <x:v>274</x:v>
      </x:c>
      <x:c r="C285" s="1" t="n">
        <x:f t="shared" si="349">C270+1</x:f>
        <x:v>19</x:v>
      </x:c>
      <x:c r="D285" s="1" t="n">
        <x:f t="shared" si="350">D270</x:f>
        <x:v>10</x:v>
      </x:c>
      <x:c r="E285" s="1" t="n">
        <x:f t="shared" si="376">IF($B285&lt;E$8,0,E$3+(E$4-E$3)*(POWER(E$5,$B285-E$8)-1)/(POWER(E$5,$C$5-E$8)-1))</x:f>
        <x:v>1</x:v>
      </x:c>
      <x:c r="F285" s="10" t="n">
        <x:f t="shared" si="377">1+IF(B285&lt;3,0,MIN(1,(B285-2)/4))+IF(B285&lt;7,0,MIN(1,(B285-6)/3))+IF(B285&lt;10,0,MIN(1,(B285-9)/5))+IF(B285&lt;20,0,MIN(1,(B285-19)/10))</x:f>
        <x:v>5</x:v>
      </x:c>
      <x:c r="G285" s="11" t="n">
        <x:f t="shared" ref="G285:L285" si="421">'玩家战力_节点'!G285</x:f>
        <x:v>0.8944598447312023</x:v>
      </x:c>
      <x:c r="H285" s="11" t="n">
        <x:f t="shared" si="421">'玩家战力_节点'!H285</x:f>
        <x:v>0.6956293456115319</x:v>
      </x:c>
      <x:c r="I285" s="11" t="n">
        <x:f t="shared" si="421">'玩家战力_节点'!I285</x:f>
        <x:v>0.6444817064657475</x:v>
      </x:c>
      <x:c r="J285" s="11" t="n">
        <x:f t="shared" si="421">'玩家战力_节点'!J285</x:f>
        <x:v>0.5953181126994935</x:v>
      </x:c>
      <x:c r="K285" s="11" t="n">
        <x:f t="shared" si="421">'玩家战力_节点'!K285</x:f>
        <x:v>0.6434055554542445</x:v>
      </x:c>
      <x:c r="L285" s="11" t="n">
        <x:f t="shared" si="421">'玩家战力_节点'!L285</x:f>
        <x:v>0.6954724119602352</x:v>
      </x:c>
      <x:c r="M285" s="2" t="n">
        <x:f>E285*'模块规划'!$F$10+G285*'模块规划'!$F$11+H285*'模块规划'!$F$13</x:f>
        <x:v>5293.407254709771</x:v>
      </x:c>
      <x:c r="N285" s="2" t="n">
        <x:f>I285*'模块规划'!$F$15+J285*'模块规划'!$F$17+K285*'模块规划'!$F$16+L285*'模块规划'!$F$18</x:f>
        <x:v>18446.83017124756</x:v>
      </x:c>
      <x:c r="O285" s="2" t="n">
        <x:f t="shared" si="379">1+O$9*SUMPRODUCT($H$10:$L$10,H285:L285)/SUM($H$10:$L$10)</x:f>
        <x:v>3.402037224114507</x:v>
      </x:c>
      <x:c r="P285" s="12" t="n">
        <x:f t="shared" si="380">M285*O285+N285</x:f>
        <x:v>36455.19869416798</x:v>
      </x:c>
      <x:c r="Q285" s="7" t="n">
        <x:f>P285/(P285+'_曲线基线'!$L$2)</x:f>
        <x:v>0.6030118084399706</x:v>
      </x:c>
      <x:c r="R285" s="2" t="n">
        <x:f>E285*'模块规划'!$E$10+G285*'模块规划'!$E$11+H285*'模块规划'!$E$13</x:f>
        <x:v>7940.110882064657</x:v>
      </x:c>
      <x:c r="S285" s="2" t="n">
        <x:f>I285*'模块规划'!$E$15+J285*'模块规划'!$E$17+K285*'模块规划'!$E$16+L285*'模块规划'!$E$18</x:f>
        <x:v>27670.24525687134</x:v>
      </x:c>
      <x:c r="T285" s="2" t="n">
        <x:f t="shared" si="381">1+T$9*SUMPRODUCT($H$10:$L$10,H285:L285)/SUM($H$10:$L$10)</x:f>
        <x:v>3.402037224114507</x:v>
      </x:c>
      <x:c r="U285" s="12" t="n">
        <x:f t="shared" si="382">R285*T285+S285</x:f>
        <x:v>54682.798041251976</x:v>
      </x:c>
      <x:c r="V285" s="2" t="n">
        <x:f t="shared" si="383">V$8+(V$9-V$8)*H285</x:f>
        <x:v>0.9086888036834595</x:v>
      </x:c>
      <x:c r="W285" s="2" t="n">
        <x:f t="shared" si="384">IF(B285&lt;$H$8,0,W$8+(W$9-W$8)*H285)</x:f>
        <x:v>0.27825173824461275</x:v>
      </x:c>
      <x:c r="X285" s="2" t="n">
        <x:f t="shared" si="385">X$8+(X$9-X$8)*H285</x:f>
        <x:v>0.4662980700431713</x:v>
      </x:c>
      <x:c r="Y285" s="2" t="n">
        <x:f t="shared" si="386">Y$8+(Y$9-Y$8)*G285</x:f>
        <x:v>1</x:v>
      </x:c>
      <x:c r="Z285" s="2" t="n">
        <x:f t="shared" si="387">Z$8+(Z$9-Z$8)*H285</x:f>
        <x:v>1</x:v>
      </x:c>
      <x:c r="AA285" s="2" t="n">
        <x:f t="shared" si="388">AA$8+(AA$9-AA$8)*I285</x:f>
        <x:v>1</x:v>
      </x:c>
      <x:c r="AB285" s="2" t="n">
        <x:f t="shared" si="389">AB$8+(AB$9-AB$8)*J285</x:f>
        <x:v>1</x:v>
      </x:c>
      <x:c r="AC285" s="2" t="n">
        <x:f t="shared" si="390">AC$8+(AC$9-AC$8)*MAX(K285,L285)</x:f>
        <x:v>1</x:v>
      </x:c>
      <x:c r="AD285" s="1" t="n">
        <x:f t="shared" si="391">(V285*AE285+W285*AF285+X285*AG285)*PRODUCT(Y285:AC285)</x:f>
        <x:v>1.8874231867338858</x:v>
      </x:c>
      <x:c r="AE285" s="2" t="n">
        <x:f t="shared" si="392">1+AE$9*($H$10*H285+$I$10*I285+$J$10*J285+$K$10*K285+$L$10*L285)</x:f>
        <x:v>1</x:v>
      </x:c>
      <x:c r="AF285" s="2" t="n">
        <x:f t="shared" si="393">1+AF$9*($H$10*H285+$I$10*I285+$J$10*J285+$K$10*K285+$L$10*L285)</x:f>
        <x:v>1.2120016659339932</x:v>
      </x:c>
      <x:c r="AG285" s="2" t="n">
        <x:f t="shared" si="394">1+AG$9*($H$10*H285+$I$10*I285+$J$10*J285+$K$10*K285+$L$10*L285)</x:f>
        <x:v>1.3757140635163574</x:v>
      </x:c>
      <x:c r="AH285" s="2" t="n">
        <x:f>MIN(1,'_曲线基线'!$L$3+AH$9*($H$10*H285+$I$10*I285+$J$10*J285+$K$10*K285+$L$10*L285))</x:f>
        <x:v>0.5323037899998337</x:v>
      </x:c>
      <x:c r="AI285" s="2" t="n">
        <x:f>'_曲线基线'!$L$4+AI$9*($H$10*H285+$I$10*I285+$J$10*J285+$K$10*K285+$L$10*L285)</x:f>
        <x:v>3.3435605578566796</x:v>
      </x:c>
      <x:c r="AJ285" s="2" t="n">
        <x:f t="shared" si="395">1+AJ$9*($H$10*H285+$I$10*I285+$J$10*J285+$K$10*K285+$L$10*L285)</x:f>
        <x:v>2.102408662856763</x:v>
      </x:c>
      <x:c r="AK285" s="1" t="n">
        <x:f t="shared" si="396">(1+AH285*(AI285-1))*AJ285</x:f>
        <x:v>4.725134387238235</x:v>
      </x:c>
      <x:c r="AL285" s="1" t="n">
        <x:f t="shared" si="397">U285*AD285*AK285*F285</x:f>
        <x:v>2438395.6999258413</x:v>
      </x:c>
      <x:c r="AM285" s="13" t="n">
        <x:f t="shared" si="398">IF($B285&lt;AM$8,0,AM$3+(AM$4-AM$3)*(POWER(AM$5,$B285-AM$8)-1)/(POWER(AM$5,$C$5-AM$8)-1))</x:f>
        <x:v>53.964158185361484</x:v>
      </x:c>
      <x:c r="AN285" s="13" t="n">
        <x:f>(((E285*'模块规划'!$D$10+G285*'模块规划'!$D$11+H285*'模块规划'!$D$13)*(1+'模块规划'!$G$14*H285)+(I285*'模块规划'!$D$15+J285*'模块规划'!$D$17+K285*'模块规划'!$D$16+L285*'模块规划'!$D$18))*(1+'模块规划'!$J$17*J285))*F285/(1-Q285)</x:f>
        <x:v>2920825.6984570296</x:v>
      </x:c>
      <x:c r="AO285" s="1" t="n">
        <x:f t="shared" si="399">AL285*AM285</x:f>
        <x:v>131585971.26930334</x:v>
      </x:c>
      <x:c r="AP285" s="1" t="n">
        <x:f>IF(AO285="","",INDEX('_曲线基线'!$A$3:$A$502,MIN(ROWS('_曲线基线'!$A$3:$A$502),COUNTIF('_曲线基线'!$E$3:$E$502,"&lt;"&amp;AO285)+1)))</x:f>
        <x:v>315</x:v>
      </x:c>
      <x:c r="AQ285" s="14" t="n">
        <x:f t="shared" si="400">IF(B285&lt;=2,1,IF(B285&lt;=6,2,IF(B285&lt;=9,3,IF(B285&lt;=19,4,5))))</x:f>
        <x:v>5</x:v>
      </x:c>
      <x:c r="AR285" s="10" t="n">
        <x:f t="shared" si="401">AN285*(1-Q285)/F285*$AS$3+U285*$AS$4+P285*$AS$5</x:f>
        <x:v>17893.75947960549</x:v>
      </x:c>
      <x:c r="AS285" s="15" t="n">
        <x:f t="shared" si="402">1+AH285*$AS$6+AI285*$AS$7+(AJ285-1)*$AS$8+($H$10*H285+$I$10*I285+$J$10*J285+$K$10*K285+$L$10*L285)*$AU$3*$AS$9+($H$10*H285+$I$10*I285+$J$10*J285+$K$10*K285+$L$10*L285)*$AU$4*$AS$10</x:f>
        <x:v>17.648920426448992</x:v>
      </x:c>
      <x:c r="AT285" s="16" t="n">
        <x:f t="shared" si="403">ROUND(AR285*AS285,0)</x:f>
        <x:v>315806</x:v>
      </x:c>
      <x:c r="AU285" s="16" t="n">
        <x:f t="shared" si="404">ROUND(AT285*F285,0)</x:f>
        <x:v>1579030</x:v>
      </x:c>
      <x:c r="AV285" t="n">
        <x:f>IF(AU285&gt;0,ROUND(AU285,-MAX(0,INT(LOG10(AU285))-2)),0)</x:f>
        <x:v>1580000</x:v>
      </x:c>
    </x:row>
    <x:row r="286" customHeight="1">
      <x:c r="A286" s="1" t="str">
        <x:f>IFERROR(XLOOKUP(B286,'_曲线基线'!$G$3:$G$107,'_曲线基线'!$J$3:$J$107,""),"")</x:f>
      </x:c>
      <x:c r="B286" s="1" t="n">
        <x:v>275</x:v>
      </x:c>
      <x:c r="C286" s="1" t="n">
        <x:f t="shared" si="349">C271+1</x:f>
        <x:v>19</x:v>
      </x:c>
      <x:c r="D286" s="1" t="n">
        <x:f t="shared" si="350">D271</x:f>
        <x:v>11</x:v>
      </x:c>
      <x:c r="E286" s="1" t="n">
        <x:f t="shared" si="376">IF($B286&lt;E$8,0,E$3+(E$4-E$3)*(POWER(E$5,$B286-E$8)-1)/(POWER(E$5,$C$5-E$8)-1))</x:f>
        <x:v>1</x:v>
      </x:c>
      <x:c r="F286" s="10" t="n">
        <x:f t="shared" si="377">1+IF(B286&lt;3,0,MIN(1,(B286-2)/4))+IF(B286&lt;7,0,MIN(1,(B286-6)/3))+IF(B286&lt;10,0,MIN(1,(B286-9)/5))+IF(B286&lt;20,0,MIN(1,(B286-19)/10))</x:f>
        <x:v>5</x:v>
      </x:c>
      <x:c r="G286" s="11" t="n">
        <x:f t="shared" ref="G286:L286" si="422">'玩家战力_节点'!G286</x:f>
        <x:v>0.8955678757849619</x:v>
      </x:c>
      <x:c r="H286" s="11" t="n">
        <x:f t="shared" si="422">'玩家战力_节点'!H286</x:f>
        <x:v>0.6965034764892254</x:v>
      </x:c>
      <x:c r="I286" s="11" t="n">
        <x:f t="shared" si="422">'玩家战力_节点'!I286</x:f>
        <x:v>0.645585365172598</x:v>
      </x:c>
      <x:c r="J286" s="11" t="n">
        <x:f t="shared" si="422">'玩家战力_节点'!J286</x:f>
        <x:v>0.5962544901595948</x:v>
      </x:c>
      <x:c r="K286" s="11" t="n">
        <x:f t="shared" si="422">'玩家战力_节点'!K286</x:f>
        <x:v>0.6447244443633956</x:v>
      </x:c>
      <x:c r="L286" s="11" t="n">
        <x:f t="shared" si="422">'玩家战力_节点'!L286</x:f>
        <x:v>0.6963779295681881</x:v>
      </x:c>
      <x:c r="M286" s="2" t="n">
        <x:f>E286*'模块规划'!$F$10+G286*'模块规划'!$F$11+H286*'模块规划'!$F$13</x:f>
        <x:v>5298.725803767817</x:v>
      </x:c>
      <x:c r="N286" s="2" t="n">
        <x:f>I286*'模块规划'!$F$15+J286*'模块规划'!$F$17+K286*'模块规划'!$F$16+L286*'模块规划'!$F$18</x:f>
        <x:v>18477.464136998045</x:v>
      </x:c>
      <x:c r="O286" s="2" t="n">
        <x:f t="shared" si="379">1+O$9*SUMPRODUCT($H$10:$L$10,H286:L286)/SUM($H$10:$L$10)</x:f>
        <x:v>3.4058683114016968</x:v>
      </x:c>
      <x:c r="P286" s="12" t="n">
        <x:f t="shared" si="380">M286*O286+N286</x:f>
        <x:v>36524.22644285734</x:v>
      </x:c>
      <x:c r="Q286" s="7" t="n">
        <x:f>P286/(P286+'_曲线基线'!$L$2)</x:f>
        <x:v>0.6034645726094643</x:v>
      </x:c>
      <x:c r="R286" s="2" t="n">
        <x:f>E286*'模块规划'!$E$10+G286*'模块规划'!$E$11+H286*'模块规划'!$E$13</x:f>
        <x:v>7948.088705651726</x:v>
      </x:c>
      <x:c r="S286" s="2" t="n">
        <x:f>I286*'模块规划'!$E$15+J286*'模块规划'!$E$17+K286*'模块规划'!$E$16+L286*'模块规划'!$E$18</x:f>
        <x:v>27716.19620549707</x:v>
      </x:c>
      <x:c r="T286" s="2" t="n">
        <x:f t="shared" si="381">1+T$9*SUMPRODUCT($H$10:$L$10,H286:L286)/SUM($H$10:$L$10)</x:f>
        <x:v>3.4058683114016968</x:v>
      </x:c>
      <x:c r="U286" s="12" t="n">
        <x:f t="shared" si="382">R286*T286+S286</x:f>
        <x:v>54786.33966428602</x:v>
      </x:c>
      <x:c r="V286" s="2" t="n">
        <x:f t="shared" si="383">V$8+(V$9-V$8)*H286</x:f>
        <x:v>0.9089510429467675</x:v>
      </x:c>
      <x:c r="W286" s="2" t="n">
        <x:f t="shared" si="384">IF(B286&lt;$H$8,0,W$8+(W$9-W$8)*H286)</x:f>
        <x:v>0.27860139059569017</x:v>
      </x:c>
      <x:c r="X286" s="2" t="n">
        <x:f t="shared" si="385">X$8+(X$9-X$8)*H286</x:f>
        <x:v>0.46653845603453703</x:v>
      </x:c>
      <x:c r="Y286" s="2" t="n">
        <x:f t="shared" si="386">Y$8+(Y$9-Y$8)*G286</x:f>
        <x:v>1</x:v>
      </x:c>
      <x:c r="Z286" s="2" t="n">
        <x:f t="shared" si="387">Z$8+(Z$9-Z$8)*H286</x:f>
        <x:v>1</x:v>
      </x:c>
      <x:c r="AA286" s="2" t="n">
        <x:f t="shared" si="388">AA$8+(AA$9-AA$8)*I286</x:f>
        <x:v>1</x:v>
      </x:c>
      <x:c r="AB286" s="2" t="n">
        <x:f t="shared" si="389">AB$8+(AB$9-AB$8)*J286</x:f>
        <x:v>1</x:v>
      </x:c>
      <x:c r="AC286" s="2" t="n">
        <x:f t="shared" si="390">AC$8+(AC$9-AC$8)*MAX(K286,L286)</x:f>
        <x:v>1</x:v>
      </x:c>
      <x:c r="AD286" s="1" t="n">
        <x:f t="shared" si="391">(V286*AE286+W286*AF286+X286*AG286)*PRODUCT(Y286:AC286)</x:f>
        <x:v>1.8888136784885052</x:v>
      </x:c>
      <x:c r="AE286" s="2" t="n">
        <x:f t="shared" si="392">1+AE$9*($H$10*H286+$I$10*I286+$J$10*J286+$K$10*K286+$L$10*L286)</x:f>
        <x:v>1</x:v>
      </x:c>
      <x:c r="AF286" s="2" t="n">
        <x:f t="shared" si="393">1+AF$9*($H$10*H286+$I$10*I286+$J$10*J286+$K$10*K286+$L$10*L286)</x:f>
        <x:v>1.212339794285656</x:v>
      </x:c>
      <x:c r="AG286" s="2" t="n">
        <x:f t="shared" si="394">1+AG$9*($H$10*H286+$I$10*I286+$J$10*J286+$K$10*K286+$L$10*L286)</x:f>
        <x:v>1.3763133020951377</x:v>
      </x:c>
      <x:c r="AH286" s="2" t="n">
        <x:f>MIN(1,'_曲线基线'!$L$3+AH$9*($H$10*H286+$I$10*I286+$J$10*J286+$K$10*K286+$L$10*L286))</x:f>
        <x:v>0.5330730319998669</x:v>
      </x:c>
      <x:c r="AI286" s="2" t="n">
        <x:f>'_曲线基线'!$L$4+AI$9*($H$10*H286+$I$10*I286+$J$10*J286+$K$10*K286+$L$10*L286)</x:f>
        <x:v>3.3457034462853437</x:v>
      </x:c>
      <x:c r="AJ286" s="2" t="n">
        <x:f t="shared" si="395">1+AJ$9*($H$10*H286+$I$10*I286+$J$10*J286+$K$10*K286+$L$10*L286)</x:f>
        <x:v>2.1041669302854102</x:v>
      </x:c>
      <x:c r="AK286" s="1" t="n">
        <x:f t="shared" si="396">(1+AH286*(AI286-1))*AJ286</x:f>
        <x:v>4.735283011519825</x:v>
      </x:c>
      <x:c r="AL286" s="1" t="n">
        <x:f t="shared" si="397">U286*AD286*AK286*F286</x:f>
        <x:v>2450063.5518749217</x:v>
      </x:c>
      <x:c r="AM286" s="13" t="n">
        <x:f t="shared" si="398">IF($B286&lt;AM$8,0,AM$3+(AM$4-AM$3)*(POWER(AM$5,$B286-AM$8)-1)/(POWER(AM$5,$C$5-AM$8)-1))</x:f>
        <x:v>54.16722440713697</x:v>
      </x:c>
      <x:c r="AN286" s="13" t="n">
        <x:f>(((E286*'模块规划'!$D$10+G286*'模块规划'!$D$11+H286*'模块规划'!$D$13)*(1+'模块规划'!$G$14*H286)+(I286*'模块规划'!$D$15+J286*'模块规划'!$D$17+K286*'模块规划'!$D$16+L286*'模块规划'!$D$18))*(1+'模块规划'!$J$17*J286))*F286/(1-Q286)</x:f>
        <x:v>2930776.7407031497</x:v>
      </x:c>
      <x:c r="AO286" s="1" t="n">
        <x:f t="shared" si="399">AL286*AM286</x:f>
        <x:v>132713142.22615595</x:v>
      </x:c>
      <x:c r="AP286" s="1" t="n">
        <x:f>IF(AO286="","",INDEX('_曲线基线'!$A$3:$A$502,MIN(ROWS('_曲线基线'!$A$3:$A$502),COUNTIF('_曲线基线'!$E$3:$E$502,"&lt;"&amp;AO286)+1)))</x:f>
        <x:v>316</x:v>
      </x:c>
      <x:c r="AQ286" s="14" t="n">
        <x:f t="shared" si="400">IF(B286&lt;=2,1,IF(B286&lt;=6,2,IF(B286&lt;=9,3,IF(B286&lt;=19,4,5))))</x:f>
        <x:v>5</x:v>
      </x:c>
      <x:c r="AR286" s="10" t="n">
        <x:f t="shared" si="401">AN286*(1-Q286)/F286*$AS$3+U286*$AS$4+P286*$AS$5</x:f>
        <x:v>17930.20877762299</x:v>
      </x:c>
      <x:c r="AS286" s="15" t="n">
        <x:f t="shared" si="402">1+AH286*$AS$6+AI286*$AS$7+(AJ286-1)*$AS$8+($H$10*H286+$I$10*I286+$J$10*J286+$K$10*K286+$L$10*L286)*$AU$3*$AS$9+($H$10*H286+$I$10*I286+$J$10*J286+$K$10*K286+$L$10*L286)*$AU$4*$AS$10</x:f>
        <x:v>17.66912397965919</x:v>
      </x:c>
      <x:c r="AT286" s="16" t="n">
        <x:f t="shared" si="403">ROUND(AR286*AS286,0)</x:f>
        <x:v>316811</x:v>
      </x:c>
      <x:c r="AU286" s="16" t="n">
        <x:f t="shared" si="404">ROUND(AT286*F286,0)</x:f>
        <x:v>1584055</x:v>
      </x:c>
      <x:c r="AV286" t="n">
        <x:f>IF(AU286&gt;0,ROUND(AU286,-MAX(0,INT(LOG10(AU286))-2)),0)</x:f>
        <x:v>1580000</x:v>
      </x:c>
    </x:row>
    <x:row r="287" customHeight="1">
      <x:c r="A287" s="1" t="str">
        <x:f>IFERROR(XLOOKUP(B287,'_曲线基线'!$G$3:$G$107,'_曲线基线'!$J$3:$J$107,""),"")</x:f>
      </x:c>
      <x:c r="B287" s="1" t="n">
        <x:v>276</x:v>
      </x:c>
      <x:c r="C287" s="1" t="n">
        <x:f t="shared" si="349">C272+1</x:f>
        <x:v>19</x:v>
      </x:c>
      <x:c r="D287" s="1" t="n">
        <x:f t="shared" si="350">D272</x:f>
        <x:v>12</x:v>
      </x:c>
      <x:c r="E287" s="1" t="n">
        <x:f t="shared" si="376">IF($B287&lt;E$8,0,E$3+(E$4-E$3)*(POWER(E$5,$B287-E$8)-1)/(POWER(E$5,$C$5-E$8)-1))</x:f>
        <x:v>1</x:v>
      </x:c>
      <x:c r="F287" s="10" t="n">
        <x:f t="shared" si="377">1+IF(B287&lt;3,0,MIN(1,(B287-2)/4))+IF(B287&lt;7,0,MIN(1,(B287-6)/3))+IF(B287&lt;10,0,MIN(1,(B287-9)/5))+IF(B287&lt;20,0,MIN(1,(B287-19)/10))</x:f>
        <x:v>5</x:v>
      </x:c>
      <x:c r="G287" s="11" t="n">
        <x:f t="shared" ref="G287:L287" si="423">'玩家战力_节点'!G287</x:f>
        <x:v>0.8966759068387214</x:v>
      </x:c>
      <x:c r="H287" s="11" t="n">
        <x:f t="shared" si="423">'玩家战力_节点'!H287</x:f>
        <x:v>0.6973776073669191</x:v>
      </x:c>
      <x:c r="I287" s="11" t="n">
        <x:f t="shared" si="423">'玩家战力_节点'!I287</x:f>
        <x:v>0.6466890238794485</x:v>
      </x:c>
      <x:c r="J287" s="11" t="n">
        <x:f t="shared" si="423">'玩家战力_节点'!J287</x:f>
        <x:v>0.5971908676196961</x:v>
      </x:c>
      <x:c r="K287" s="11" t="n">
        <x:f t="shared" si="423">'玩家战力_节点'!K287</x:f>
        <x:v>0.6460433332725467</x:v>
      </x:c>
      <x:c r="L287" s="11" t="n">
        <x:f t="shared" si="423">'玩家战力_节点'!L287</x:f>
        <x:v>0.6972834471761411</x:v>
      </x:c>
      <x:c r="M287" s="2" t="n">
        <x:f>E287*'模块规划'!$F$10+G287*'模块规划'!$F$11+H287*'模块规划'!$F$13</x:f>
        <x:v>5304.044352825863</x:v>
      </x:c>
      <x:c r="N287" s="2" t="n">
        <x:f>I287*'模块规划'!$F$15+J287*'模块规划'!$F$17+K287*'模块规划'!$F$16+L287*'模块规划'!$F$18</x:f>
        <x:v>18508.098102748536</x:v>
      </x:c>
      <x:c r="O287" s="2" t="n">
        <x:f t="shared" si="379">1+O$9*SUMPRODUCT($H$10:$L$10,H287:L287)/SUM($H$10:$L$10)</x:f>
        <x:v>3.409699398688888</x:v>
      </x:c>
      <x:c r="P287" s="12" t="n">
        <x:f t="shared" si="380">M287*O287+N287</x:f>
        <x:v>36593.294943198074</x:v>
      </x:c>
      <x:c r="Q287" s="7" t="n">
        <x:f>P287/(P287+'_曲线基线'!$L$2)</x:f>
        <x:v>0.6039165715860426</x:v>
      </x:c>
      <x:c r="R287" s="2" t="n">
        <x:f>E287*'模块规划'!$E$10+G287*'模块规划'!$E$11+H287*'模块规划'!$E$13</x:f>
        <x:v>7956.066529238795</x:v>
      </x:c>
      <x:c r="S287" s="2" t="n">
        <x:f>I287*'模块规划'!$E$15+J287*'模块规划'!$E$17+K287*'模块规划'!$E$16+L287*'模块规划'!$E$18</x:f>
        <x:v>27762.147154122802</x:v>
      </x:c>
      <x:c r="T287" s="2" t="n">
        <x:f t="shared" si="381">1+T$9*SUMPRODUCT($H$10:$L$10,H287:L287)/SUM($H$10:$L$10)</x:f>
        <x:v>3.409699398688888</x:v>
      </x:c>
      <x:c r="U287" s="12" t="n">
        <x:f t="shared" si="382">R287*T287+S287</x:f>
        <x:v>54889.94241479711</x:v>
      </x:c>
      <x:c r="V287" s="2" t="n">
        <x:f t="shared" si="383">V$8+(V$9-V$8)*H287</x:f>
        <x:v>0.9092132822100757</x:v>
      </x:c>
      <x:c r="W287" s="2" t="n">
        <x:f t="shared" si="384">IF(B287&lt;$H$8,0,W$8+(W$9-W$8)*H287)</x:f>
        <x:v>0.27895104294676765</x:v>
      </x:c>
      <x:c r="X287" s="2" t="n">
        <x:f t="shared" si="385">X$8+(X$9-X$8)*H287</x:f>
        <x:v>0.4667788420259028</x:v>
      </x:c>
      <x:c r="Y287" s="2" t="n">
        <x:f t="shared" si="386">Y$8+(Y$9-Y$8)*G287</x:f>
        <x:v>1</x:v>
      </x:c>
      <x:c r="Z287" s="2" t="n">
        <x:f t="shared" si="387">Z$8+(Z$9-Z$8)*H287</x:f>
        <x:v>1</x:v>
      </x:c>
      <x:c r="AA287" s="2" t="n">
        <x:f t="shared" si="388">AA$8+(AA$9-AA$8)*I287</x:f>
        <x:v>1</x:v>
      </x:c>
      <x:c r="AB287" s="2" t="n">
        <x:f t="shared" si="389">AB$8+(AB$9-AB$8)*J287</x:f>
        <x:v>1</x:v>
      </x:c>
      <x:c r="AC287" s="2" t="n">
        <x:f t="shared" si="390">AC$8+(AC$9-AC$8)*MAX(K287,L287)</x:f>
        <x:v>1</x:v>
      </x:c>
      <x:c r="AD287" s="1" t="n">
        <x:f t="shared" si="391">(V287*AE287+W287*AF287+X287*AG287)*PRODUCT(Y287:AC287)</x:f>
        <x:v>1.8902046947949909</x:v>
      </x:c>
      <x:c r="AE287" s="2" t="n">
        <x:f t="shared" si="392">1+AE$9*($H$10*H287+$I$10*I287+$J$10*J287+$K$10*K287+$L$10*L287)</x:f>
        <x:v>1</x:v>
      </x:c>
      <x:c r="AF287" s="2" t="n">
        <x:f t="shared" si="393">1+AF$9*($H$10*H287+$I$10*I287+$J$10*J287+$K$10*K287+$L$10*L287)</x:f>
        <x:v>1.212677922637319</x:v>
      </x:c>
      <x:c r="AG287" s="2" t="n">
        <x:f t="shared" si="394">1+AG$9*($H$10*H287+$I$10*I287+$J$10*J287+$K$10*K287+$L$10*L287)</x:f>
        <x:v>1.3769125406739182</x:v>
      </x:c>
      <x:c r="AH287" s="2" t="n">
        <x:f>MIN(1,'_曲线基线'!$L$3+AH$9*($H$10*H287+$I$10*I287+$J$10*J287+$K$10*K287+$L$10*L287))</x:f>
        <x:v>0.5338422739999003</x:v>
      </x:c>
      <x:c r="AI287" s="2" t="n">
        <x:f>'_曲线基线'!$L$4+AI$9*($H$10*H287+$I$10*I287+$J$10*J287+$K$10*K287+$L$10*L287)</x:f>
        <x:v>3.347846334714008</x:v>
      </x:c>
      <x:c r="AJ287" s="2" t="n">
        <x:f t="shared" si="395">1+AJ$9*($H$10*H287+$I$10*I287+$J$10*J287+$K$10*K287+$L$10*L287)</x:f>
        <x:v>2.1059251977140576</x:v>
      </x:c>
      <x:c r="AK287" s="1" t="n">
        <x:f t="shared" si="396">(1+AH287*(AI287-1))*AJ287</x:f>
        <x:v>4.745448935095531</x:v>
      </x:c>
      <x:c r="AL287" s="1" t="n">
        <x:f t="shared" si="397">U287*AD287*AK287*F287</x:f>
        <x:v>2461778.1993278596</x:v>
      </x:c>
      <x:c r="AM287" s="13" t="n">
        <x:f t="shared" si="398">IF($B287&lt;AM$8,0,AM$3+(AM$4-AM$3)*(POWER(AM$5,$B287-AM$8)-1)/(POWER(AM$5,$C$5-AM$8)-1))</x:f>
        <x:v>54.372321291130206</x:v>
      </x:c>
      <x:c r="AN287" s="13" t="n">
        <x:f>(((E287*'模块规划'!$D$10+G287*'模块规划'!$D$11+H287*'模块规划'!$D$13)*(1+'模块规划'!$G$14*H287)+(I287*'模块规划'!$D$15+J287*'模块规划'!$D$17+K287*'模块规划'!$D$16+L287*'模块规划'!$D$18))*(1+'模块规划'!$J$17*J287))*F287/(1-Q287)</x:f>
        <x:v>2940751.921924271</x:v>
      </x:c>
      <x:c r="AO287" s="1" t="n">
        <x:f t="shared" si="399">AL287*AM287</x:f>
        <x:v>133852595.20135435</x:v>
      </x:c>
      <x:c r="AP287" s="1" t="n">
        <x:f>IF(AO287="","",INDEX('_曲线基线'!$A$3:$A$502,MIN(ROWS('_曲线基线'!$A$3:$A$502),COUNTIF('_曲线基线'!$E$3:$E$502,"&lt;"&amp;AO287)+1)))</x:f>
        <x:v>317</x:v>
      </x:c>
      <x:c r="AQ287" s="14" t="n">
        <x:f t="shared" si="400">IF(B287&lt;=2,1,IF(B287&lt;=6,2,IF(B287&lt;=9,3,IF(B287&lt;=19,4,5))))</x:f>
        <x:v>5</x:v>
      </x:c>
      <x:c r="AR287" s="10" t="n">
        <x:f t="shared" si="401">AN287*(1-Q287)/F287*$AS$3+U287*$AS$4+P287*$AS$5</x:f>
        <x:v>17966.68710306362</x:v>
      </x:c>
      <x:c r="AS287" s="15" t="n">
        <x:f t="shared" si="402">1+AH287*$AS$6+AI287*$AS$7+(AJ287-1)*$AS$8+($H$10*H287+$I$10*I287+$J$10*J287+$K$10*K287+$L$10*L287)*$AU$3*$AS$9+($H$10*H287+$I$10*I287+$J$10*J287+$K$10*K287+$L$10*L287)*$AU$4*$AS$10</x:f>
        <x:v>17.689327532869395</x:v>
      </x:c>
      <x:c r="AT287" s="16" t="n">
        <x:f t="shared" si="403">ROUND(AR287*AS287,0)</x:f>
        <x:v>317819</x:v>
      </x:c>
      <x:c r="AU287" s="16" t="n">
        <x:f t="shared" si="404">ROUND(AT287*F287,0)</x:f>
        <x:v>1589095</x:v>
      </x:c>
      <x:c r="AV287" t="n">
        <x:f>IF(AU287&gt;0,ROUND(AU287,-MAX(0,INT(LOG10(AU287))-2)),0)</x:f>
        <x:v>1590000</x:v>
      </x:c>
    </x:row>
    <x:row r="288" customHeight="1">
      <x:c r="A288" s="1" t="str">
        <x:f>IFERROR(XLOOKUP(B288,'_曲线基线'!$G$3:$G$107,'_曲线基线'!$J$3:$J$107,""),"")</x:f>
      </x:c>
      <x:c r="B288" s="1" t="n">
        <x:v>277</x:v>
      </x:c>
      <x:c r="C288" s="1" t="n">
        <x:f t="shared" si="349">C273+1</x:f>
        <x:v>19</x:v>
      </x:c>
      <x:c r="D288" s="1" t="n">
        <x:f t="shared" si="350">D273</x:f>
        <x:v>13</x:v>
      </x:c>
      <x:c r="E288" s="1" t="n">
        <x:f t="shared" si="376">IF($B288&lt;E$8,0,E$3+(E$4-E$3)*(POWER(E$5,$B288-E$8)-1)/(POWER(E$5,$C$5-E$8)-1))</x:f>
        <x:v>1</x:v>
      </x:c>
      <x:c r="F288" s="10" t="n">
        <x:f t="shared" si="377">1+IF(B288&lt;3,0,MIN(1,(B288-2)/4))+IF(B288&lt;7,0,MIN(1,(B288-6)/3))+IF(B288&lt;10,0,MIN(1,(B288-9)/5))+IF(B288&lt;20,0,MIN(1,(B288-19)/10))</x:f>
        <x:v>5</x:v>
      </x:c>
      <x:c r="G288" s="11" t="n">
        <x:f t="shared" ref="G288:L288" si="424">'玩家战力_节点'!G288</x:f>
        <x:v>0.897783937892481</x:v>
      </x:c>
      <x:c r="H288" s="11" t="n">
        <x:f t="shared" si="424">'玩家战力_节点'!H288</x:f>
        <x:v>0.6982517382446127</x:v>
      </x:c>
      <x:c r="I288" s="11" t="n">
        <x:f t="shared" si="424">'玩家战力_节点'!I288</x:f>
        <x:v>0.6477926825862991</x:v>
      </x:c>
      <x:c r="J288" s="11" t="n">
        <x:f t="shared" si="424">'玩家战力_节点'!J288</x:f>
        <x:v>0.5981272450797973</x:v>
      </x:c>
      <x:c r="K288" s="11" t="n">
        <x:f t="shared" si="424">'玩家战力_节点'!K288</x:f>
        <x:v>0.6473622221816978</x:v>
      </x:c>
      <x:c r="L288" s="11" t="n">
        <x:f t="shared" si="424">'玩家战力_节点'!L288</x:f>
        <x:v>0.6981889647840941</x:v>
      </x:c>
      <x:c r="M288" s="2" t="n">
        <x:f>E288*'模块规划'!$F$10+G288*'模块规划'!$F$11+H288*'模块规划'!$F$13</x:f>
        <x:v>5309.362901883909</x:v>
      </x:c>
      <x:c r="N288" s="2" t="n">
        <x:f>I288*'模块规划'!$F$15+J288*'模块规划'!$F$17+K288*'模块规划'!$F$16+L288*'模块规划'!$F$18</x:f>
        <x:v>18538.732068499026</x:v>
      </x:c>
      <x:c r="O288" s="2" t="n">
        <x:f t="shared" si="379">1+O$9*SUMPRODUCT($H$10:$L$10,H288:L288)/SUM($H$10:$L$10)</x:f>
        <x:v>3.4135304859760787</x:v>
      </x:c>
      <x:c r="P288" s="12" t="n">
        <x:f t="shared" si="380">M288*O288+N288</x:f>
        <x:v>36662.404195190175</x:v>
      </x:c>
      <x:c r="Q288" s="7" t="n">
        <x:f>P288/(P288+'_曲线基线'!$L$2)</x:f>
        <x:v>0.6043678070724582</x:v>
      </x:c>
      <x:c r="R288" s="2" t="n">
        <x:f>E288*'模块规划'!$E$10+G288*'模块规划'!$E$11+H288*'模块规划'!$E$13</x:f>
        <x:v>7964.044352825863</x:v>
      </x:c>
      <x:c r="S288" s="2" t="n">
        <x:f>I288*'模块规划'!$E$15+J288*'模块规划'!$E$17+K288*'模块规划'!$E$16+L288*'模块规划'!$E$18</x:f>
        <x:v>27808.098102748532</x:v>
      </x:c>
      <x:c r="T288" s="2" t="n">
        <x:f t="shared" si="381">1+T$9*SUMPRODUCT($H$10:$L$10,H288:L288)/SUM($H$10:$L$10)</x:f>
        <x:v>3.4135304859760787</x:v>
      </x:c>
      <x:c r="U288" s="12" t="n">
        <x:f t="shared" si="382">R288*T288+S288</x:f>
        <x:v>54993.60629278525</x:v>
      </x:c>
      <x:c r="V288" s="2" t="n">
        <x:f t="shared" si="383">V$8+(V$9-V$8)*H288</x:f>
        <x:v>0.9094755214733838</x:v>
      </x:c>
      <x:c r="W288" s="2" t="n">
        <x:f t="shared" si="384">IF(B288&lt;$H$8,0,W$8+(W$9-W$8)*H288)</x:f>
        <x:v>0.2793006952978451</x:v>
      </x:c>
      <x:c r="X288" s="2" t="n">
        <x:f t="shared" si="385">X$8+(X$9-X$8)*H288</x:f>
        <x:v>0.46701922801726853</x:v>
      </x:c>
      <x:c r="Y288" s="2" t="n">
        <x:f t="shared" si="386">Y$8+(Y$9-Y$8)*G288</x:f>
        <x:v>1</x:v>
      </x:c>
      <x:c r="Z288" s="2" t="n">
        <x:f t="shared" si="387">Z$8+(Z$9-Z$8)*H288</x:f>
        <x:v>1</x:v>
      </x:c>
      <x:c r="AA288" s="2" t="n">
        <x:f t="shared" si="388">AA$8+(AA$9-AA$8)*I288</x:f>
        <x:v>1</x:v>
      </x:c>
      <x:c r="AB288" s="2" t="n">
        <x:f t="shared" si="389">AB$8+(AB$9-AB$8)*J288</x:f>
        <x:v>1</x:v>
      </x:c>
      <x:c r="AC288" s="2" t="n">
        <x:f t="shared" si="390">AC$8+(AC$9-AC$8)*MAX(K288,L288)</x:f>
        <x:v>1</x:v>
      </x:c>
      <x:c r="AD288" s="1" t="n">
        <x:f t="shared" si="391">(V288*AE288+W288*AF288+X288*AG288)*PRODUCT(Y288:AC288)</x:f>
        <x:v>1.8915962356533422</x:v>
      </x:c>
      <x:c r="AE288" s="2" t="n">
        <x:f t="shared" si="392">1+AE$9*($H$10*H288+$I$10*I288+$J$10*J288+$K$10*K288+$L$10*L288)</x:f>
        <x:v>1</x:v>
      </x:c>
      <x:c r="AF288" s="2" t="n">
        <x:f t="shared" si="393">1+AF$9*($H$10*H288+$I$10*I288+$J$10*J288+$K$10*K288+$L$10*L288)</x:f>
        <x:v>1.213016050988982</x:v>
      </x:c>
      <x:c r="AG288" s="2" t="n">
        <x:f t="shared" si="394">1+AG$9*($H$10*H288+$I$10*I288+$J$10*J288+$K$10*K288+$L$10*L288)</x:f>
        <x:v>1.3775117792526987</x:v>
      </x:c>
      <x:c r="AH288" s="2" t="n">
        <x:f>MIN(1,'_曲线基线'!$L$3+AH$9*($H$10*H288+$I$10*I288+$J$10*J288+$K$10*K288+$L$10*L288))</x:f>
        <x:v>0.5346115159999335</x:v>
      </x:c>
      <x:c r="AI288" s="2" t="n">
        <x:f>'_曲线基线'!$L$4+AI$9*($H$10*H288+$I$10*I288+$J$10*J288+$K$10*K288+$L$10*L288)</x:f>
        <x:v>3.3499892231426722</x:v>
      </x:c>
      <x:c r="AJ288" s="2" t="n">
        <x:f t="shared" si="395">1+AJ$9*($H$10*H288+$I$10*I288+$J$10*J288+$K$10*K288+$L$10*L288)</x:f>
        <x:v>2.1076834651427054</x:v>
      </x:c>
      <x:c r="AK288" s="1" t="n">
        <x:f t="shared" si="396">(1+AH288*(AI288-1))*AJ288</x:f>
        <x:v>4.755632175355319</x:v>
      </x:c>
      <x:c r="AL288" s="1" t="n">
        <x:f t="shared" si="397">U288*AD288*AK288*F288</x:f>
        <x:v>2473539.797781558</x:v>
      </x:c>
      <x:c r="AM288" s="13" t="n">
        <x:f t="shared" si="398">IF($B288&lt;AM$8,0,AM$3+(AM$4-AM$3)*(POWER(AM$5,$B288-AM$8)-1)/(POWER(AM$5,$C$5-AM$8)-1))</x:f>
        <x:v>54.57946914396338</x:v>
      </x:c>
      <x:c r="AN288" s="13" t="n">
        <x:f>(((E288*'模块规划'!$D$10+G288*'模块规划'!$D$11+H288*'模块规划'!$D$13)*(1+'模块规划'!$G$14*H288)+(I288*'模块规划'!$D$15+J288*'模块规划'!$D$17+K288*'模块规划'!$D$16+L288*'模块规划'!$D$18))*(1+'模块规划'!$J$17*J288))*F288/(1-Q288)</x:f>
        <x:v>2950751.281457939</x:v>
      </x:c>
      <x:c r="AO288" s="1" t="n">
        <x:f t="shared" si="399">AL288*AM288</x:f>
        <x:v>135004489.06938395</x:v>
      </x:c>
      <x:c r="AP288" s="1" t="n">
        <x:f>IF(AO288="","",INDEX('_曲线基线'!$A$3:$A$502,MIN(ROWS('_曲线基线'!$A$3:$A$502),COUNTIF('_曲线基线'!$E$3:$E$502,"&lt;"&amp;AO288)+1)))</x:f>
        <x:v>317</x:v>
      </x:c>
      <x:c r="AQ288" s="14" t="n">
        <x:f t="shared" si="400">IF(B288&lt;=2,1,IF(B288&lt;=6,2,IF(B288&lt;=9,3,IF(B288&lt;=19,4,5))))</x:f>
        <x:v>5</x:v>
      </x:c>
      <x:c r="AR288" s="10" t="n">
        <x:f t="shared" si="401">AN288*(1-Q288)/F288*$AS$3+U288*$AS$4+P288*$AS$5</x:f>
        <x:v>18003.194460158804</x:v>
      </x:c>
      <x:c r="AS288" s="15" t="n">
        <x:f t="shared" si="402">1+AH288*$AS$6+AI288*$AS$7+(AJ288-1)*$AS$8+($H$10*H288+$I$10*I288+$J$10*J288+$K$10*K288+$L$10*L288)*$AU$3*$AS$9+($H$10*H288+$I$10*I288+$J$10*J288+$K$10*K288+$L$10*L288)*$AU$4*$AS$10</x:f>
        <x:v>17.7095310860796</x:v>
      </x:c>
      <x:c r="AT288" s="16" t="n">
        <x:f t="shared" si="403">ROUND(AR288*AS288,0)</x:f>
        <x:v>318828</x:v>
      </x:c>
      <x:c r="AU288" s="16" t="n">
        <x:f t="shared" si="404">ROUND(AT288*F288,0)</x:f>
        <x:v>1594140</x:v>
      </x:c>
      <x:c r="AV288" t="n">
        <x:f>IF(AU288&gt;0,ROUND(AU288,-MAX(0,INT(LOG10(AU288))-2)),0)</x:f>
        <x:v>1590000</x:v>
      </x:c>
    </x:row>
    <x:row r="289" customHeight="1">
      <x:c r="A289" s="1" t="str">
        <x:f>IFERROR(XLOOKUP(B289,'_曲线基线'!$G$3:$G$107,'_曲线基线'!$J$3:$J$107,""),"")</x:f>
      </x:c>
      <x:c r="B289" s="1" t="n">
        <x:v>278</x:v>
      </x:c>
      <x:c r="C289" s="1" t="n">
        <x:f t="shared" si="349">C274+1</x:f>
        <x:v>19</x:v>
      </x:c>
      <x:c r="D289" s="1" t="n">
        <x:f t="shared" si="350">D274</x:f>
        <x:v>14</x:v>
      </x:c>
      <x:c r="E289" s="1" t="n">
        <x:f t="shared" si="376">IF($B289&lt;E$8,0,E$3+(E$4-E$3)*(POWER(E$5,$B289-E$8)-1)/(POWER(E$5,$C$5-E$8)-1))</x:f>
        <x:v>1</x:v>
      </x:c>
      <x:c r="F289" s="10" t="n">
        <x:f t="shared" si="377">1+IF(B289&lt;3,0,MIN(1,(B289-2)/4))+IF(B289&lt;7,0,MIN(1,(B289-6)/3))+IF(B289&lt;10,0,MIN(1,(B289-9)/5))+IF(B289&lt;20,0,MIN(1,(B289-19)/10))</x:f>
        <x:v>5</x:v>
      </x:c>
      <x:c r="G289" s="11" t="n">
        <x:f t="shared" ref="G289:L289" si="425">'玩家战力_节点'!G289</x:f>
        <x:v>0.8988919689462405</x:v>
      </x:c>
      <x:c r="H289" s="11" t="n">
        <x:f t="shared" si="425">'玩家战力_节点'!H289</x:f>
        <x:v>0.6991258691223063</x:v>
      </x:c>
      <x:c r="I289" s="11" t="n">
        <x:f t="shared" si="425">'玩家战力_节点'!I289</x:f>
        <x:v>0.6488963412931495</x:v>
      </x:c>
      <x:c r="J289" s="11" t="n">
        <x:f t="shared" si="425">'玩家战力_节点'!J289</x:f>
        <x:v>0.5990636225398986</x:v>
      </x:c>
      <x:c r="K289" s="11" t="n">
        <x:f t="shared" si="425">'玩家战力_节点'!K289</x:f>
        <x:v>0.6486811110908489</x:v>
      </x:c>
      <x:c r="L289" s="11" t="n">
        <x:f t="shared" si="425">'玩家战力_节点'!L289</x:f>
        <x:v>0.699094482392047</x:v>
      </x:c>
      <x:c r="M289" s="2" t="n">
        <x:f>E289*'模块规划'!$F$10+G289*'模块规划'!$F$11+H289*'模块规划'!$F$13</x:f>
        <x:v>5314.681450941955</x:v>
      </x:c>
      <x:c r="N289" s="2" t="n">
        <x:f>I289*'模块规划'!$F$15+J289*'模块规划'!$F$17+K289*'模块规划'!$F$16+L289*'模块规划'!$F$18</x:f>
        <x:v>18569.366034249513</x:v>
      </x:c>
      <x:c r="O289" s="2" t="n">
        <x:f t="shared" si="379">1+O$9*SUMPRODUCT($H$10:$L$10,H289:L289)/SUM($H$10:$L$10)</x:f>
        <x:v>3.4173615732632685</x:v>
      </x:c>
      <x:c r="P289" s="12" t="n">
        <x:f t="shared" si="380">M289*O289+N289</x:f>
        <x:v>36731.55419883362</x:v>
      </x:c>
      <x:c r="Q289" s="7" t="n">
        <x:f>P289/(P289+'_曲线基线'!$L$2)</x:f>
        <x:v>0.6048182807667891</x:v>
      </x:c>
      <x:c r="R289" s="2" t="n">
        <x:f>E289*'模块规划'!$E$10+G289*'模块规划'!$E$11+H289*'模块规划'!$E$13</x:f>
        <x:v>7972.022176412931</x:v>
      </x:c>
      <x:c r="S289" s="2" t="n">
        <x:f>I289*'模块规划'!$E$15+J289*'模块规划'!$E$17+K289*'模块规划'!$E$16+L289*'模块规划'!$E$18</x:f>
        <x:v>27854.049051374266</x:v>
      </x:c>
      <x:c r="T289" s="2" t="n">
        <x:f t="shared" si="381">1+T$9*SUMPRODUCT($H$10:$L$10,H289:L289)/SUM($H$10:$L$10)</x:f>
        <x:v>3.4173615732632685</x:v>
      </x:c>
      <x:c r="U289" s="12" t="n">
        <x:f t="shared" si="382">R289*T289+S289</x:f>
        <x:v>55097.33129825043</x:v>
      </x:c>
      <x:c r="V289" s="2" t="n">
        <x:f t="shared" si="383">V$8+(V$9-V$8)*H289</x:f>
        <x:v>0.9097377607366919</x:v>
      </x:c>
      <x:c r="W289" s="2" t="n">
        <x:f t="shared" si="384">IF(B289&lt;$H$8,0,W$8+(W$9-W$8)*H289)</x:f>
        <x:v>0.27965034764892255</x:v>
      </x:c>
      <x:c r="X289" s="2" t="n">
        <x:f t="shared" si="385">X$8+(X$9-X$8)*H289</x:f>
        <x:v>0.46725961400863425</x:v>
      </x:c>
      <x:c r="Y289" s="2" t="n">
        <x:f t="shared" si="386">Y$8+(Y$9-Y$8)*G289</x:f>
        <x:v>1</x:v>
      </x:c>
      <x:c r="Z289" s="2" t="n">
        <x:f t="shared" si="387">Z$8+(Z$9-Z$8)*H289</x:f>
        <x:v>1</x:v>
      </x:c>
      <x:c r="AA289" s="2" t="n">
        <x:f t="shared" si="388">AA$8+(AA$9-AA$8)*I289</x:f>
        <x:v>1</x:v>
      </x:c>
      <x:c r="AB289" s="2" t="n">
        <x:f t="shared" si="389">AB$8+(AB$9-AB$8)*J289</x:f>
        <x:v>1</x:v>
      </x:c>
      <x:c r="AC289" s="2" t="n">
        <x:f t="shared" si="390">AC$8+(AC$9-AC$8)*MAX(K289,L289)</x:f>
        <x:v>1</x:v>
      </x:c>
      <x:c r="AD289" s="1" t="n">
        <x:f t="shared" si="391">(V289*AE289+W289*AF289+X289*AG289)*PRODUCT(Y289:AC289)</x:f>
        <x:v>1.8929883010635593</x:v>
      </x:c>
      <x:c r="AE289" s="2" t="n">
        <x:f t="shared" si="392">1+AE$9*($H$10*H289+$I$10*I289+$J$10*J289+$K$10*K289+$L$10*L289)</x:f>
        <x:v>1</x:v>
      </x:c>
      <x:c r="AF289" s="2" t="n">
        <x:f t="shared" si="393">1+AF$9*($H$10*H289+$I$10*I289+$J$10*J289+$K$10*K289+$L$10*L289)</x:f>
        <x:v>1.2133541793406448</x:v>
      </x:c>
      <x:c r="AG289" s="2" t="n">
        <x:f t="shared" si="394">1+AG$9*($H$10*H289+$I$10*I289+$J$10*J289+$K$10*K289+$L$10*L289)</x:f>
        <x:v>1.3781110178314793</x:v>
      </x:c>
      <x:c r="AH289" s="2" t="n">
        <x:f>MIN(1,'_曲线基线'!$L$3+AH$9*($H$10*H289+$I$10*I289+$J$10*J289+$K$10*K289+$L$10*L289))</x:f>
        <x:v>0.5353807579999668</x:v>
      </x:c>
      <x:c r="AI289" s="2" t="n">
        <x:f>'_曲线基线'!$L$4+AI$9*($H$10*H289+$I$10*I289+$J$10*J289+$K$10*K289+$L$10*L289)</x:f>
        <x:v>3.352132111571336</x:v>
      </x:c>
      <x:c r="AJ289" s="2" t="n">
        <x:f t="shared" si="395">1+AJ$9*($H$10*H289+$I$10*I289+$J$10*J289+$K$10*K289+$L$10*L289)</x:f>
        <x:v>2.1094417325713524</x:v>
      </x:c>
      <x:c r="AK289" s="1" t="n">
        <x:f t="shared" si="396">(1+AH289*(AI289-1))*AJ289</x:f>
        <x:v>4.765832749689152</x:v>
      </x:c>
      <x:c r="AL289" s="1" t="n">
        <x:f t="shared" si="397">U289*AD289*AK289*F289</x:f>
        <x:v>2485348.5031420696</x:v>
      </x:c>
      <x:c r="AM289" s="13" t="n">
        <x:f t="shared" si="398">IF($B289&lt;AM$8,0,AM$3+(AM$4-AM$3)*(POWER(AM$5,$B289-AM$8)-1)/(POWER(AM$5,$C$5-AM$8)-1))</x:f>
        <x:v>54.78868847532488</x:v>
      </x:c>
      <x:c r="AN289" s="13" t="n">
        <x:f>(((E289*'模块规划'!$D$10+G289*'模块规划'!$D$11+H289*'模块规划'!$D$13)*(1+'模块规划'!$G$14*H289)+(I289*'模块规划'!$D$15+J289*'模块规划'!$D$17+K289*'模块规划'!$D$16+L289*'模块规划'!$D$18))*(1+'模块规划'!$J$17*J289))*F289/(1-Q289)</x:f>
        <x:v>2960774.8586783553</x:v>
      </x:c>
      <x:c r="AO289" s="1" t="n">
        <x:f t="shared" si="399">AL289*AM289</x:f>
        <x:v>136168984.89126584</x:v>
      </x:c>
      <x:c r="AP289" s="1" t="n">
        <x:f>IF(AO289="","",INDEX('_曲线基线'!$A$3:$A$502,MIN(ROWS('_曲线基线'!$A$3:$A$502),COUNTIF('_曲线基线'!$E$3:$E$502,"&lt;"&amp;AO289)+1)))</x:f>
        <x:v>318</x:v>
      </x:c>
      <x:c r="AQ289" s="14" t="n">
        <x:f t="shared" si="400">IF(B289&lt;=2,1,IF(B289&lt;=6,2,IF(B289&lt;=9,3,IF(B289&lt;=19,4,5))))</x:f>
        <x:v>5</x:v>
      </x:c>
      <x:c r="AR289" s="10" t="n">
        <x:f t="shared" si="401">AN289*(1-Q289)/F289*$AS$3+U289*$AS$4+P289*$AS$5</x:f>
        <x:v>18039.73085313996</x:v>
      </x:c>
      <x:c r="AS289" s="15" t="n">
        <x:f t="shared" si="402">1+AH289*$AS$6+AI289*$AS$7+(AJ289-1)*$AS$8+($H$10*H289+$I$10*I289+$J$10*J289+$K$10*K289+$L$10*L289)*$AU$3*$AS$9+($H$10*H289+$I$10*I289+$J$10*J289+$K$10*K289+$L$10*L289)*$AU$4*$AS$10</x:f>
        <x:v>17.7297346392898</x:v>
      </x:c>
      <x:c r="AT289" s="16" t="n">
        <x:f t="shared" si="403">ROUND(AR289*AS289,0)</x:f>
        <x:v>319840</x:v>
      </x:c>
      <x:c r="AU289" s="16" t="n">
        <x:f t="shared" si="404">ROUND(AT289*F289,0)</x:f>
        <x:v>1599200</x:v>
      </x:c>
      <x:c r="AV289" t="n">
        <x:f>IF(AU289&gt;0,ROUND(AU289,-MAX(0,INT(LOG10(AU289))-2)),0)</x:f>
        <x:v>1600000</x:v>
      </x:c>
    </x:row>
    <x:row r="290" customHeight="1">
      <x:c r="A290" s="1" t="str">
        <x:f>IFERROR(XLOOKUP(B290,'_曲线基线'!$G$3:$G$107,'_曲线基线'!$J$3:$J$107,""),"")</x:f>
      </x:c>
      <x:c r="B290" s="1" t="n">
        <x:v>279</x:v>
      </x:c>
      <x:c r="C290" s="1" t="n">
        <x:f t="shared" si="349">C275+1</x:f>
        <x:v>19</x:v>
      </x:c>
      <x:c r="D290" s="1" t="n">
        <x:f t="shared" si="350">D275</x:f>
        <x:v>15</x:v>
      </x:c>
      <x:c r="E290" s="1" t="n">
        <x:f t="shared" si="376">IF($B290&lt;E$8,0,E$3+(E$4-E$3)*(POWER(E$5,$B290-E$8)-1)/(POWER(E$5,$C$5-E$8)-1))</x:f>
        <x:v>1</x:v>
      </x:c>
      <x:c r="F290" s="10" t="n">
        <x:f t="shared" si="377">1+IF(B290&lt;3,0,MIN(1,(B290-2)/4))+IF(B290&lt;7,0,MIN(1,(B290-6)/3))+IF(B290&lt;10,0,MIN(1,(B290-9)/5))+IF(B290&lt;20,0,MIN(1,(B290-19)/10))</x:f>
        <x:v>5</x:v>
      </x:c>
      <x:c r="G290" s="11" t="n">
        <x:f t="shared" ref="G290:L290" si="426">'玩家战力_节点'!G290</x:f>
        <x:v>0.9</x:v>
      </x:c>
      <x:c r="H290" s="11" t="n">
        <x:f t="shared" si="426">'玩家战力_节点'!H290</x:f>
        <x:v>0.7</x:v>
      </x:c>
      <x:c r="I290" s="11" t="n">
        <x:f t="shared" si="426">'玩家战力_节点'!I290</x:f>
        <x:v>0.65</x:v>
      </x:c>
      <x:c r="J290" s="11" t="n">
        <x:f t="shared" si="426">'玩家战力_节点'!J290</x:f>
        <x:v>0.5999999999999999</x:v>
      </x:c>
      <x:c r="K290" s="11" t="n">
        <x:f t="shared" si="426">'玩家战力_节点'!K290</x:f>
        <x:v>0.65</x:v>
      </x:c>
      <x:c r="L290" s="11" t="n">
        <x:f t="shared" si="426">'玩家战力_节点'!L290</x:f>
        <x:v>0.7</x:v>
      </x:c>
      <x:c r="M290" s="2" t="n">
        <x:f>E290*'模块规划'!$F$10+G290*'模块规划'!$F$11+H290*'模块规划'!$F$13</x:f>
        <x:v>5320</x:v>
      </x:c>
      <x:c r="N290" s="2" t="n">
        <x:f>I290*'模块规划'!$F$15+J290*'模块规划'!$F$17+K290*'模块规划'!$F$16+L290*'模块规划'!$F$18</x:f>
        <x:v>18600</x:v>
      </x:c>
      <x:c r="O290" s="2" t="n">
        <x:f t="shared" si="379">1+O$9*SUMPRODUCT($H$10:$L$10,H290:L290)/SUM($H$10:$L$10)</x:f>
        <x:v>3.4211926605504592</x:v>
      </x:c>
      <x:c r="P290" s="12" t="n">
        <x:f t="shared" si="380">M290*O290+N290</x:f>
        <x:v>36800.744954128444</x:v>
      </x:c>
      <x:c r="Q290" s="7" t="n">
        <x:f>P290/(P290+'_曲线基线'!$L$2)</x:f>
        <x:v>0.6052679943624544</x:v>
      </x:c>
      <x:c r="R290" s="2" t="n">
        <x:f>E290*'模块规划'!$E$10+G290*'模块规划'!$E$11+H290*'模块规划'!$E$13</x:f>
        <x:v>7980</x:v>
      </x:c>
      <x:c r="S290" s="2" t="n">
        <x:f>I290*'模块规划'!$E$15+J290*'模块规划'!$E$17+K290*'模块规划'!$E$16+L290*'模块规划'!$E$18</x:f>
        <x:v>27900</x:v>
      </x:c>
      <x:c r="T290" s="2" t="n">
        <x:f t="shared" si="381">1+T$9*SUMPRODUCT($H$10:$L$10,H290:L290)/SUM($H$10:$L$10)</x:f>
        <x:v>3.4211926605504592</x:v>
      </x:c>
      <x:c r="U290" s="12" t="n">
        <x:f t="shared" si="382">R290*T290+S290</x:f>
        <x:v>55201.117431192666</x:v>
      </x:c>
      <x:c r="V290" s="2" t="n">
        <x:f t="shared" si="383">V$8+(V$9-V$8)*H290</x:f>
        <x:v>0.9099999999999999</x:v>
      </x:c>
      <x:c r="W290" s="2" t="n">
        <x:f t="shared" si="384">IF(B290&lt;$H$8,0,W$8+(W$9-W$8)*H290)</x:f>
        <x:v>0.27999999999999997</x:v>
      </x:c>
      <x:c r="X290" s="2" t="n">
        <x:f t="shared" si="385">X$8+(X$9-X$8)*H290</x:f>
        <x:v>0.4675</x:v>
      </x:c>
      <x:c r="Y290" s="2" t="n">
        <x:f t="shared" si="386">Y$8+(Y$9-Y$8)*G290</x:f>
        <x:v>1</x:v>
      </x:c>
      <x:c r="Z290" s="2" t="n">
        <x:f t="shared" si="387">Z$8+(Z$9-Z$8)*H290</x:f>
        <x:v>1</x:v>
      </x:c>
      <x:c r="AA290" s="2" t="n">
        <x:f t="shared" si="388">AA$8+(AA$9-AA$8)*I290</x:f>
        <x:v>1</x:v>
      </x:c>
      <x:c r="AB290" s="2" t="n">
        <x:f t="shared" si="389">AB$8+(AB$9-AB$8)*J290</x:f>
        <x:v>1</x:v>
      </x:c>
      <x:c r="AC290" s="2" t="n">
        <x:f t="shared" si="390">AC$8+(AC$9-AC$8)*MAX(K290,L290)</x:f>
        <x:v>1</x:v>
      </x:c>
      <x:c r="AD290" s="1" t="n">
        <x:f t="shared" si="391">(V290*AE290+W290*AF290+X290*AG290)*PRODUCT(Y290:AC290)</x:f>
        <x:v>1.8943808910256426</x:v>
      </x:c>
      <x:c r="AE290" s="2" t="n">
        <x:f t="shared" si="392">1+AE$9*($H$10*H290+$I$10*I290+$J$10*J290+$K$10*K290+$L$10*L290)</x:f>
        <x:v>1</x:v>
      </x:c>
      <x:c r="AF290" s="2" t="n">
        <x:f t="shared" si="393">1+AF$9*($H$10*H290+$I$10*I290+$J$10*J290+$K$10*K290+$L$10*L290)</x:f>
        <x:v>1.2136923076923078</x:v>
      </x:c>
      <x:c r="AG290" s="2" t="n">
        <x:f t="shared" si="394">1+AG$9*($H$10*H290+$I$10*I290+$J$10*J290+$K$10*K290+$L$10*L290)</x:f>
        <x:v>1.3787102564102596</x:v>
      </x:c>
      <x:c r="AH290" s="2" t="n">
        <x:f>MIN(1,'_曲线基线'!$L$3+AH$9*($H$10*H290+$I$10*I290+$J$10*J290+$K$10*K290+$L$10*L290))</x:f>
        <x:v>0.5361499999999999</x:v>
      </x:c>
      <x:c r="AI290" s="2" t="n">
        <x:f>'_曲线基线'!$L$4+AI$9*($H$10*H290+$I$10*I290+$J$10*J290+$K$10*K290+$L$10*L290)</x:f>
        <x:v>3.3542749999999995</x:v>
      </x:c>
      <x:c r="AJ290" s="2" t="n">
        <x:f t="shared" si="395">1+AJ$9*($H$10*H290+$I$10*I290+$J$10*J290+$K$10*K290+$L$10*L290)</x:f>
        <x:v>2.1112</x:v>
      </x:c>
      <x:c r="AK290" s="1" t="n">
        <x:f t="shared" si="396">(1+AH290*(AI290-1))*AJ290</x:f>
        <x:v>4.776050675486999</x:v>
      </x:c>
      <x:c r="AL290" s="1" t="n">
        <x:f t="shared" si="397">U290*AD290*AK290*F290</x:f>
        <x:v>2497204.4717253866</x:v>
      </x:c>
      <x:c r="AM290" s="13" t="n">
        <x:f t="shared" si="398">IF($B290&lt;AM$8,0,AM$3+(AM$4-AM$3)*(POWER(AM$5,$B290-AM$8)-1)/(POWER(AM$5,$C$5-AM$8)-1))</x:f>
        <x:v>55</x:v>
      </x:c>
      <x:c r="AN290" s="13" t="n">
        <x:f>(((E290*'模块规划'!$D$10+G290*'模块规划'!$D$11+H290*'模块规划'!$D$13)*(1+'模块规划'!$G$14*H290)+(I290*'模块规划'!$D$15+J290*'模块规划'!$D$17+K290*'模块规划'!$D$16+L290*'模块规划'!$D$18))*(1+'模块规划'!$J$17*J290))*F290/(1-Q290)</x:f>
        <x:v>2970822.6929963906</x:v>
      </x:c>
      <x:c r="AO290" s="1" t="n">
        <x:f t="shared" si="399">AL290*AM290</x:f>
        <x:v>137346245.94489625</x:v>
      </x:c>
      <x:c r="AP290" s="1" t="n">
        <x:f>IF(AO290="","",INDEX('_曲线基线'!$A$3:$A$502,MIN(ROWS('_曲线基线'!$A$3:$A$502),COUNTIF('_曲线基线'!$E$3:$E$502,"&lt;"&amp;AO290)+1)))</x:f>
        <x:v>319</x:v>
      </x:c>
      <x:c r="AQ290" s="14" t="n">
        <x:f t="shared" si="400">IF(B290&lt;=2,1,IF(B290&lt;=6,2,IF(B290&lt;=9,3,IF(B290&lt;=19,4,5))))</x:f>
        <x:v>5</x:v>
      </x:c>
      <x:c r="AR290" s="10" t="n">
        <x:f t="shared" si="401">AN290*(1-Q290)/F290*$AS$3+U290*$AS$4+P290*$AS$5</x:f>
        <x:v>18076.296286238532</x:v>
      </x:c>
      <x:c r="AS290" s="15" t="n">
        <x:f t="shared" si="402">1+AH290*$AS$6+AI290*$AS$7+(AJ290-1)*$AS$8+($H$10*H290+$I$10*I290+$J$10*J290+$K$10*K290+$L$10*L290)*$AU$3*$AS$9+($H$10*H290+$I$10*I290+$J$10*J290+$K$10*K290+$L$10*L290)*$AU$4*$AS$10</x:f>
        <x:v>17.749938192499997</x:v>
      </x:c>
      <x:c r="AT290" s="16" t="n">
        <x:f t="shared" si="403">ROUND(AR290*AS290,0)</x:f>
        <x:v>320853</x:v>
      </x:c>
      <x:c r="AU290" s="16" t="n">
        <x:f t="shared" si="404">ROUND(AT290*F290,0)</x:f>
        <x:v>1604265</x:v>
      </x:c>
      <x:c r="AV290" t="n">
        <x:f>IF(AU290&gt;0,ROUND(AU290,-MAX(0,INT(LOG10(AU290))-2)),0)</x:f>
        <x:v>1600000</x:v>
      </x:c>
    </x:row>
  </x:sheetData>
  <x:mergeCells>
    <x:mergeCell ref="Y10:AC10"/>
  </x:mergeCells>
  <x:pageMargins left="0.7" right="0.7" top="0.75" bottom="0.75" header="0.3" footer="0.3"/>
  <x:legacyDrawing xmlns:r="http://schemas.openxmlformats.org/officeDocument/2006/relationships" r:id="R4e09286e838042b0"/>
</x:worksheet>
</file>

<file path=xl/worksheets/sheet5.xml><?xml version="1.0" encoding="utf-8"?>
<x:worksheet xmlns:x="http://schemas.openxmlformats.org/spreadsheetml/2006/main">
  <x:sheetFormatPr defaultColWidth="9" defaultRowHeight="13.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customHeight="1">
      <x:c r="A1" t="str">
        <x:v>静态基线来源：01_源表/战斗公式.xlsx「怪物标准模型」页；等级=B，Boss生命=AZ，Boss防御=AO，减伤率=AD；Boss EHP=Boss生命/(1-减伤率)。关卡-玩家等级取自原玩家战力曲线缓存（原来源为节奏口径）</x:v>
      </x:c>
      <x:c r="B1"/>
      <x:c r="C1"/>
      <x:c r="D1"/>
      <x:c r="E1"/>
      <x:c r="F1"/>
      <x:c r="G1"/>
      <x:c r="H1"/>
      <x:c r="I1"/>
      <x:c r="J1"/>
      <x:c r="K1"/>
      <x:c r="L1"/>
    </x:row>
    <x:row r="2" customHeight="1">
      <x:c r="A2" t="str">
        <x:v>怪物等级</x:v>
      </x:c>
      <x:c r="B2" t="str">
        <x:v>Boss生命</x:v>
      </x:c>
      <x:c r="C2" t="str">
        <x:v>Boss防御</x:v>
      </x:c>
      <x:c r="D2" t="str">
        <x:v>Boss减伤率</x:v>
      </x:c>
      <x:c r="E2" t="str">
        <x:v>Boss EHP</x:v>
      </x:c>
      <x:c r="F2"/>
      <x:c r="G2" t="str">
        <x:v>累计关卡</x:v>
      </x:c>
      <x:c r="H2" t="str">
        <x:v>章节</x:v>
      </x:c>
      <x:c r="I2" t="str">
        <x:v>关卡</x:v>
      </x:c>
      <x:c r="J2" t="str">
        <x:v>玩家等级</x:v>
      </x:c>
      <x:c r="K2" t="str">
        <x:v>防御常数</x:v>
      </x:c>
      <x:c r="L2" t="n">
        <x:v>24000</x:v>
      </x:c>
    </x:row>
    <x:row r="3" customHeight="1">
      <x:c r="A3" t="n">
        <x:v>1</x:v>
      </x:c>
      <x:c r="B3" s="95" t="n">
        <x:v>11094</x:v>
      </x:c>
      <x:c r="C3" s="95" t="n">
        <x:v>74</x:v>
      </x:c>
      <x:c r="D3" s="96" t="n">
        <x:v>0.00307028432256044</x:v>
      </x:c>
      <x:c r="E3" s="95" t="n">
        <x:f t="shared" ref="E3:E66" si="0">B3/(1-D3)</x:f>
        <x:v>11128.16663556</x:v>
      </x:c>
      <x:c r="F3"/>
      <x:c r="G3" t="n">
        <x:v>1</x:v>
      </x:c>
      <x:c r="H3" t="n">
        <x:v>0</x:v>
      </x:c>
      <x:c r="I3" t="n">
        <x:v>1</x:v>
      </x:c>
      <x:c r="J3" t="n">
        <x:v>1</x:v>
      </x:c>
      <x:c r="K3" t="str">
        <x:v>基础暴击</x:v>
      </x:c>
      <x:c r="L3" t="n">
        <x:v>0.05</x:v>
      </x:c>
    </x:row>
    <x:row r="4" customHeight="1">
      <x:c r="A4" t="n">
        <x:v>2</x:v>
      </x:c>
      <x:c r="B4" s="95" t="n">
        <x:v>22268</x:v>
      </x:c>
      <x:c r="C4" s="95" t="n">
        <x:v>148</x:v>
      </x:c>
      <x:c r="D4" s="96" t="n">
        <x:v>0.00613189596866165</x:v>
      </x:c>
      <x:c r="E4" s="95" t="n">
        <x:f t="shared" si="0">B4/(1-D4)</x:f>
        <x:v>22405.387505320177</x:v>
      </x:c>
      <x:c r="F4"/>
      <x:c r="G4" t="n">
        <x:v>2</x:v>
      </x:c>
      <x:c r="H4" t="n">
        <x:v>0</x:v>
      </x:c>
      <x:c r="I4" t="n">
        <x:v>2</x:v>
      </x:c>
      <x:c r="J4" t="n">
        <x:v>2</x:v>
      </x:c>
      <x:c r="K4" t="str">
        <x:v>基础暴伤</x:v>
      </x:c>
      <x:c r="L4" t="n">
        <x:v>2</x:v>
      </x:c>
    </x:row>
    <x:row r="5" customHeight="1">
      <x:c r="A5" t="n">
        <x:v>3</x:v>
      </x:c>
      <x:c r="B5" s="95" t="n">
        <x:v>33626</x:v>
      </x:c>
      <x:c r="C5" s="95" t="n">
        <x:v>222</x:v>
      </x:c>
      <x:c r="D5" s="96" t="n">
        <x:v>0.0091840665616733</x:v>
      </x:c>
      <x:c r="E5" s="95" t="n">
        <x:f t="shared" si="0">B5/(1-D5)</x:f>
        <x:v>33937.685966868885</x:v>
      </x:c>
      <x:c r="F5"/>
      <x:c r="G5" t="n">
        <x:v>3</x:v>
      </x:c>
      <x:c r="H5" t="n">
        <x:v>0</x:v>
      </x:c>
      <x:c r="I5" t="n">
        <x:v>3</x:v>
      </x:c>
      <x:c r="J5" t="n">
        <x:v>3</x:v>
      </x:c>
      <x:c r="K5"/>
      <x:c r="L5"/>
    </x:row>
    <x:row r="6" customHeight="1">
      <x:c r="A6" t="n">
        <x:v>4</x:v>
      </x:c>
      <x:c r="B6" s="95" t="n">
        <x:v>45146</x:v>
      </x:c>
      <x:c r="C6" s="95" t="n">
        <x:v>297</x:v>
      </x:c>
      <x:c r="D6" s="96" t="n">
        <x:v>0.0122267970649356</x:v>
      </x:c>
      <x:c r="E6" s="95" t="n">
        <x:f t="shared" si="0">B6/(1-D6)</x:f>
        <x:v>45704.82360308358</x:v>
      </x:c>
      <x:c r="F6"/>
      <x:c r="G6" t="n">
        <x:v>4</x:v>
      </x:c>
      <x:c r="H6" t="n">
        <x:v>0</x:v>
      </x:c>
      <x:c r="I6" t="n">
        <x:v>4</x:v>
      </x:c>
      <x:c r="J6" t="n">
        <x:v>4</x:v>
      </x:c>
      <x:c r="K6"/>
      <x:c r="L6"/>
    </x:row>
    <x:row r="7" customHeight="1">
      <x:c r="A7" t="n">
        <x:v>5</x:v>
      </x:c>
      <x:c r="B7" s="95" t="n">
        <x:v>56808</x:v>
      </x:c>
      <x:c r="C7" s="95" t="n">
        <x:v>372</x:v>
      </x:c>
      <x:c r="D7" s="96" t="n">
        <x:v>0.0152600889599005</x:v>
      </x:c>
      <x:c r="E7" s="95" t="n">
        <x:f t="shared" si="0">B7/(1-D7)</x:f>
        <x:v>57688.32903299146</x:v>
      </x:c>
      <x:c r="F7"/>
      <x:c r="G7" t="n">
        <x:v>5</x:v>
      </x:c>
      <x:c r="H7" t="n">
        <x:v>0</x:v>
      </x:c>
      <x:c r="I7" t="n">
        <x:v>5</x:v>
      </x:c>
      <x:c r="J7" t="n">
        <x:v>5</x:v>
      </x:c>
      <x:c r="K7"/>
      <x:c r="L7"/>
    </x:row>
    <x:row r="8" customHeight="1">
      <x:c r="A8" t="n">
        <x:v>6</x:v>
      </x:c>
      <x:c r="B8" s="95" t="n">
        <x:v>68595</x:v>
      </x:c>
      <x:c r="C8" s="95" t="n">
        <x:v>447</x:v>
      </x:c>
      <x:c r="D8" s="96" t="n">
        <x:v>0.0182839442357529</x:v>
      </x:c>
      <x:c r="E8" s="95" t="n">
        <x:f t="shared" si="0">B8/(1-D8)</x:f>
        <x:v>69872.54572973252</x:v>
      </x:c>
      <x:c r="F8"/>
      <x:c r="G8" t="n">
        <x:v>6</x:v>
      </x:c>
      <x:c r="H8" t="n">
        <x:v>1</x:v>
      </x:c>
      <x:c r="I8" t="n">
        <x:v>1</x:v>
      </x:c>
      <x:c r="J8" t="n">
        <x:v>6</x:v>
      </x:c>
      <x:c r="K8"/>
      <x:c r="L8"/>
    </x:row>
    <x:row r="9" customHeight="1">
      <x:c r="A9" t="n">
        <x:v>7</x:v>
      </x:c>
      <x:c r="B9" s="95" t="n">
        <x:v>80386</x:v>
      </x:c>
      <x:c r="C9" s="95" t="n">
        <x:v>522</x:v>
      </x:c>
      <x:c r="D9" s="96" t="n">
        <x:v>0.0212983653838014</x:v>
      </x:c>
      <x:c r="E9" s="95" t="n">
        <x:f t="shared" si="0">B9/(1-D9)</x:f>
        <x:v>82135.34866683211</x:v>
      </x:c>
      <x:c r="F9"/>
      <x:c r="G9" t="n">
        <x:v>7</x:v>
      </x:c>
      <x:c r="H9" t="n">
        <x:v>1</x:v>
      </x:c>
      <x:c r="I9" t="n">
        <x:v>2</x:v>
      </x:c>
      <x:c r="J9" t="n">
        <x:v>6</x:v>
      </x:c>
      <x:c r="K9"/>
      <x:c r="L9"/>
    </x:row>
    <x:row r="10" customHeight="1">
      <x:c r="A10" t="n">
        <x:v>8</x:v>
      </x:c>
      <x:c r="B10" s="95" t="n">
        <x:v>92392</x:v>
      </x:c>
      <x:c r="C10" s="95" t="n">
        <x:v>598</x:v>
      </x:c>
      <x:c r="D10" s="96" t="n">
        <x:v>0.0243033553882607</x:v>
      </x:c>
      <x:c r="E10" s="95" t="n">
        <x:f t="shared" si="0">B10/(1-D10)</x:f>
        <x:v>94693.36653993076</x:v>
      </x:c>
      <x:c r="F10"/>
      <x:c r="G10" t="n">
        <x:v>8</x:v>
      </x:c>
      <x:c r="H10" t="n">
        <x:v>1</x:v>
      </x:c>
      <x:c r="I10" t="n">
        <x:v>3</x:v>
      </x:c>
      <x:c r="J10" t="n">
        <x:v>7</x:v>
      </x:c>
      <x:c r="K10"/>
      <x:c r="L10"/>
    </x:row>
    <x:row r="11" customHeight="1">
      <x:c r="A11" t="n">
        <x:v>9</x:v>
      </x:c>
      <x:c r="B11" s="95" t="n">
        <x:v>104596</x:v>
      </x:c>
      <x:c r="C11" s="95" t="n">
        <x:v>674</x:v>
      </x:c>
      <x:c r="D11" s="96" t="n">
        <x:v>0.0272989177187839</x:v>
      </x:c>
      <x:c r="E11" s="95" t="n">
        <x:f t="shared" si="0">B11/(1-D11)</x:f>
        <x:v>107531.49339023806</x:v>
      </x:c>
      <x:c r="F11"/>
      <x:c r="G11" t="n">
        <x:v>9</x:v>
      </x:c>
      <x:c r="H11" t="n">
        <x:v>1</x:v>
      </x:c>
      <x:c r="I11" t="n">
        <x:v>4</x:v>
      </x:c>
      <x:c r="J11" t="n">
        <x:v>8</x:v>
      </x:c>
      <x:c r="K11"/>
      <x:c r="L11"/>
    </x:row>
    <x:row r="12" customHeight="1">
      <x:c r="A12" t="n">
        <x:v>10</x:v>
      </x:c>
      <x:c r="B12" s="95" t="n">
        <x:v>116786</x:v>
      </x:c>
      <x:c r="C12" s="95" t="n">
        <x:v>750</x:v>
      </x:c>
      <x:c r="D12" s="96" t="n">
        <x:v>0.0302850563227354</x:v>
      </x:c>
      <x:c r="E12" s="95" t="n">
        <x:f t="shared" si="0">B12/(1-D12)</x:f>
        <x:v>120433.33018787437</x:v>
      </x:c>
      <x:c r="F12"/>
      <x:c r="G12" t="n">
        <x:v>10</x:v>
      </x:c>
      <x:c r="H12" t="n">
        <x:v>1</x:v>
      </x:c>
      <x:c r="I12" t="n">
        <x:v>5</x:v>
      </x:c>
      <x:c r="J12" t="n">
        <x:v>9</x:v>
      </x:c>
      <x:c r="K12"/>
      <x:c r="L12"/>
    </x:row>
    <x:row r="13" customHeight="1">
      <x:c r="A13" t="n">
        <x:v>11</x:v>
      </x:c>
      <x:c r="B13" s="95" t="n">
        <x:v>129161</x:v>
      </x:c>
      <x:c r="C13" s="95" t="n">
        <x:v>826</x:v>
      </x:c>
      <x:c r="D13" s="96" t="n">
        <x:v>0.0332617756172154</x:v>
      </x:c>
      <x:c r="E13" s="95" t="n">
        <x:f t="shared" si="0">B13/(1-D13)</x:f>
        <x:v>133604.937450842</x:v>
      </x:c>
      <x:c r="F13"/>
      <x:c r="G13" t="n">
        <x:v>11</x:v>
      </x:c>
      <x:c r="H13" t="n">
        <x:v>1</x:v>
      </x:c>
      <x:c r="I13" t="n">
        <x:v>6</x:v>
      </x:c>
      <x:c r="J13" t="n">
        <x:v>10</x:v>
      </x:c>
      <x:c r="K13"/>
      <x:c r="L13"/>
    </x:row>
    <x:row r="14" customHeight="1">
      <x:c r="A14" t="n">
        <x:v>12</x:v>
      </x:c>
      <x:c r="B14" s="95" t="n">
        <x:v>141619</x:v>
      </x:c>
      <x:c r="C14" s="95" t="n">
        <x:v>902</x:v>
      </x:c>
      <x:c r="D14" s="96" t="n">
        <x:v>0.0362290804827833</x:v>
      </x:c>
      <x:c r="E14" s="95" t="n">
        <x:f t="shared" si="0">B14/(1-D14)</x:f>
        <x:v>146942.59510438584</x:v>
      </x:c>
      <x:c r="F14"/>
      <x:c r="G14" t="n">
        <x:v>12</x:v>
      </x:c>
      <x:c r="H14" t="n">
        <x:v>1</x:v>
      </x:c>
      <x:c r="I14" t="n">
        <x:v>7</x:v>
      </x:c>
      <x:c r="J14" t="n">
        <x:v>10</x:v>
      </x:c>
      <x:c r="K14"/>
      <x:c r="L14"/>
    </x:row>
    <x:row r="15" customHeight="1">
      <x:c r="A15" t="n">
        <x:v>13</x:v>
      </x:c>
      <x:c r="B15" s="95" t="n">
        <x:v>154253</x:v>
      </x:c>
      <x:c r="C15" s="95" t="n">
        <x:v>979</x:v>
      </x:c>
      <x:c r="D15" s="96" t="n">
        <x:v>0.0391869762536838</x:v>
      </x:c>
      <x:c r="E15" s="95" t="n">
        <x:f t="shared" si="0">B15/(1-D15)</x:f>
        <x:v>160544.24345597494</x:v>
      </x:c>
      <x:c r="F15"/>
      <x:c r="G15" t="n">
        <x:v>13</x:v>
      </x:c>
      <x:c r="H15" t="n">
        <x:v>1</x:v>
      </x:c>
      <x:c r="I15" t="n">
        <x:v>8</x:v>
      </x:c>
      <x:c r="J15" t="n">
        <x:v>11</x:v>
      </x:c>
      <x:c r="K15"/>
      <x:c r="L15"/>
    </x:row>
    <x:row r="16" customHeight="1">
      <x:c r="A16" t="n">
        <x:v>14</x:v>
      </x:c>
      <x:c r="B16" s="95" t="n">
        <x:v>167060</x:v>
      </x:c>
      <x:c r="C16" s="95" t="n">
        <x:v>1056</x:v>
      </x:c>
      <x:c r="D16" s="96" t="n">
        <x:v>0.0421354687126918</x:v>
      </x:c>
      <x:c r="E16" s="95" t="n">
        <x:f t="shared" si="0">B16/(1-D16)</x:f>
        <x:v>174408.79638322355</x:v>
      </x:c>
      <x:c r="F16"/>
      <x:c r="G16" t="n">
        <x:v>14</x:v>
      </x:c>
      <x:c r="H16" t="n">
        <x:v>1</x:v>
      </x:c>
      <x:c r="I16" t="n">
        <x:v>9</x:v>
      </x:c>
      <x:c r="J16" t="n">
        <x:v>12</x:v>
      </x:c>
      <x:c r="K16"/>
      <x:c r="L16"/>
    </x:row>
    <x:row r="17" customHeight="1">
      <x:c r="A17" t="n">
        <x:v>15</x:v>
      </x:c>
      <x:c r="B17" s="95" t="n">
        <x:v>179947</x:v>
      </x:c>
      <x:c r="C17" s="95" t="n">
        <x:v>1133</x:v>
      </x:c>
      <x:c r="D17" s="96" t="n">
        <x:v>0.0450745640824654</x:v>
      </x:c>
      <x:c r="E17" s="95" t="n">
        <x:f t="shared" si="0">B17/(1-D17)</x:f>
        <x:v>188440.89101794525</x:v>
      </x:c>
      <x:c r="F17"/>
      <x:c r="G17" t="n">
        <x:v>15</x:v>
      </x:c>
      <x:c r="H17" t="n">
        <x:v>1</x:v>
      </x:c>
      <x:c r="I17" t="n">
        <x:v>10</x:v>
      </x:c>
      <x:c r="J17" t="n">
        <x:v>13</x:v>
      </x:c>
      <x:c r="K17"/>
      <x:c r="L17"/>
    </x:row>
    <x:row r="18" customHeight="1">
      <x:c r="A18" t="n">
        <x:v>16</x:v>
      </x:c>
      <x:c r="B18" s="95" t="n">
        <x:v>193008</x:v>
      </x:c>
      <x:c r="C18" s="95" t="n">
        <x:v>1210</x:v>
      </x:c>
      <x:c r="D18" s="96" t="n">
        <x:v>0.048004269018594</x:v>
      </x:c>
      <x:c r="E18" s="95" t="n">
        <x:f t="shared" si="0">B18/(1-D18)</x:f>
        <x:v>202740.40493966223</x:v>
      </x:c>
      <x:c r="F18"/>
      <x:c r="G18" t="n">
        <x:v>16</x:v>
      </x:c>
      <x:c r="H18" t="n">
        <x:v>2</x:v>
      </x:c>
      <x:c r="I18" t="n">
        <x:v>1</x:v>
      </x:c>
      <x:c r="J18" t="n">
        <x:v>13</x:v>
      </x:c>
      <x:c r="K18"/>
      <x:c r="L18"/>
    </x:row>
    <x:row r="19" customHeight="1">
      <x:c r="A19" t="n">
        <x:v>17</x:v>
      </x:c>
      <x:c r="B19" s="95" t="n">
        <x:v>206242</x:v>
      </x:c>
      <x:c r="C19" s="95" t="n">
        <x:v>1288</x:v>
      </x:c>
      <x:c r="D19" s="96" t="n">
        <x:v>0.0509245906023973</x:v>
      </x:c>
      <x:c r="E19" s="95" t="n">
        <x:f t="shared" si="0">B19/(1-D19)</x:f>
        <x:v>217308.33815503234</x:v>
      </x:c>
      <x:c r="F19"/>
      <x:c r="G19" t="n">
        <x:v>17</x:v>
      </x:c>
      <x:c r="H19" t="n">
        <x:v>2</x:v>
      </x:c>
      <x:c r="I19" t="n">
        <x:v>2</x:v>
      </x:c>
      <x:c r="J19" t="n">
        <x:v>13</x:v>
      </x:c>
      <x:c r="K19"/>
      <x:c r="L19"/>
    </x:row>
    <x:row r="20" customHeight="1">
      <x:c r="A20" t="n">
        <x:v>18</x:v>
      </x:c>
      <x:c r="B20" s="95" t="n">
        <x:v>219652</x:v>
      </x:c>
      <x:c r="C20" s="95" t="n">
        <x:v>1366</x:v>
      </x:c>
      <x:c r="D20" s="96" t="n">
        <x:v>0.0538355363337981</x:v>
      </x:c>
      <x:c r="E20" s="95" t="n">
        <x:f t="shared" si="0">B20/(1-D20)</x:f>
        <x:v>232149.91519433266</x:v>
      </x:c>
      <x:c r="F20"/>
      <x:c r="G20" t="n">
        <x:v>18</x:v>
      </x:c>
      <x:c r="H20" t="n">
        <x:v>2</x:v>
      </x:c>
      <x:c r="I20" t="n">
        <x:v>3</x:v>
      </x:c>
      <x:c r="J20" t="n">
        <x:v>14</x:v>
      </x:c>
      <x:c r="K20"/>
      <x:c r="L20"/>
    </x:row>
    <x:row r="21" customHeight="1">
      <x:c r="A21" t="n">
        <x:v>19</x:v>
      </x:c>
      <x:c r="B21" s="95" t="n">
        <x:v>233241</x:v>
      </x:c>
      <x:c r="C21" s="95" t="n">
        <x:v>1444</x:v>
      </x:c>
      <x:c r="D21" s="96" t="n">
        <x:v>0.0567371141242701</x:v>
      </x:c>
      <x:c r="E21" s="95" t="n">
        <x:f t="shared" si="0">B21/(1-D21)</x:f>
        <x:v>247270.4094399494</x:v>
      </x:c>
      <x:c r="F21"/>
      <x:c r="G21" t="n">
        <x:v>19</x:v>
      </x:c>
      <x:c r="H21" t="n">
        <x:v>2</x:v>
      </x:c>
      <x:c r="I21" t="n">
        <x:v>4</x:v>
      </x:c>
      <x:c r="J21" t="n">
        <x:v>14</x:v>
      </x:c>
      <x:c r="K21"/>
      <x:c r="L21"/>
    </x:row>
    <x:row r="22" customHeight="1">
      <x:c r="A22" t="n">
        <x:v>20</x:v>
      </x:c>
      <x:c r="B22" s="95" t="n">
        <x:v>247012</x:v>
      </x:c>
      <x:c r="C22" s="95" t="n">
        <x:v>1522</x:v>
      </x:c>
      <x:c r="D22" s="96" t="n">
        <x:v>0.0596293322898571</x:v>
      </x:c>
      <x:c r="E22" s="95" t="n">
        <x:f t="shared" si="0">B22/(1-D22)</x:f>
        <x:v>262675.14341072395</x:v>
      </x:c>
      <x:c r="F22"/>
      <x:c r="G22" t="n">
        <x:v>20</x:v>
      </x:c>
      <x:c r="H22" t="n">
        <x:v>2</x:v>
      </x:c>
      <x:c r="I22" t="n">
        <x:v>5</x:v>
      </x:c>
      <x:c r="J22" t="n">
        <x:v>15</x:v>
      </x:c>
      <x:c r="K22"/>
      <x:c r="L22"/>
    </x:row>
    <x:row r="23" customHeight="1">
      <x:c r="A23" t="n">
        <x:v>21</x:v>
      </x:c>
      <x:c r="B23" s="95" t="n">
        <x:v>260969</x:v>
      </x:c>
      <x:c r="C23" s="95" t="n">
        <x:v>1600</x:v>
      </x:c>
      <x:c r="D23" s="96" t="n">
        <x:v>0.0625121995439587</x:v>
      </x:c>
      <x:c r="E23" s="95" t="n">
        <x:f t="shared" si="0">B23/(1-D23)</x:f>
        <x:v>278370.5557267535</x:v>
      </x:c>
      <x:c r="F23"/>
      <x:c r="G23" t="n">
        <x:v>21</x:v>
      </x:c>
      <x:c r="H23" t="n">
        <x:v>2</x:v>
      </x:c>
      <x:c r="I23" t="n">
        <x:v>6</x:v>
      </x:c>
      <x:c r="J23" t="n">
        <x:v>15</x:v>
      </x:c>
      <x:c r="K23"/>
      <x:c r="L23"/>
    </x:row>
    <x:row r="24" customHeight="1">
      <x:c r="A24" t="n">
        <x:v>22</x:v>
      </x:c>
      <x:c r="B24" s="95" t="n">
        <x:v>275196</x:v>
      </x:c>
      <x:c r="C24" s="95" t="n">
        <x:v>1679</x:v>
      </x:c>
      <x:c r="D24" s="96" t="n">
        <x:v>0.0653857249917384</x:v>
      </x:c>
      <x:c r="E24" s="95" t="n">
        <x:f t="shared" si="0">B24/(1-D24)</x:f>
        <x:v>294448.7446412772</x:v>
      </x:c>
      <x:c r="F24"/>
      <x:c r="G24" t="n">
        <x:v>22</x:v>
      </x:c>
      <x:c r="H24" t="n">
        <x:v>2</x:v>
      </x:c>
      <x:c r="I24" t="n">
        <x:v>7</x:v>
      </x:c>
      <x:c r="J24" t="n">
        <x:v>15</x:v>
      </x:c>
      <x:c r="K24"/>
      <x:c r="L24"/>
    </x:row>
    <x:row r="25" customHeight="1">
      <x:c r="A25" t="n">
        <x:v>23</x:v>
      </x:c>
      <x:c r="B25" s="95" t="n">
        <x:v>289619</x:v>
      </x:c>
      <x:c r="C25" s="95" t="n">
        <x:v>1758</x:v>
      </x:c>
      <x:c r="D25" s="96" t="n">
        <x:v>0.0682499181215002</x:v>
      </x:c>
      <x:c r="E25" s="95" t="n">
        <x:f t="shared" si="0">B25/(1-D25)</x:f>
        <x:v>310833.3507372488</x:v>
      </x:c>
      <x:c r="F25"/>
      <x:c r="G25" t="n">
        <x:v>23</x:v>
      </x:c>
      <x:c r="H25" t="n">
        <x:v>2</x:v>
      </x:c>
      <x:c r="I25" t="n">
        <x:v>8</x:v>
      </x:c>
      <x:c r="J25" t="n">
        <x:v>16</x:v>
      </x:c>
      <x:c r="K25"/>
      <x:c r="L25"/>
    </x:row>
    <x:row r="26" customHeight="1">
      <x:c r="A26" t="n">
        <x:v>24</x:v>
      </x:c>
      <x:c r="B26" s="95" t="n">
        <x:v>304319</x:v>
      </x:c>
      <x:c r="C26" s="95" t="n">
        <x:v>1837</x:v>
      </x:c>
      <x:c r="D26" s="96" t="n">
        <x:v>0.0711047887992461</x:v>
      </x:c>
      <x:c r="E26" s="95" t="n">
        <x:f t="shared" si="0">B26/(1-D26)</x:f>
        <x:v>327613.91848130675</x:v>
      </x:c>
      <x:c r="F26"/>
      <x:c r="G26" t="n">
        <x:v>24</x:v>
      </x:c>
      <x:c r="H26" t="n">
        <x:v>2</x:v>
      </x:c>
      <x:c r="I26" t="n">
        <x:v>9</x:v>
      </x:c>
      <x:c r="J26" t="n">
        <x:v>16</x:v>
      </x:c>
      <x:c r="K26"/>
      <x:c r="L26"/>
    </x:row>
    <x:row r="27" customHeight="1">
      <x:c r="A27" t="n">
        <x:v>25</x:v>
      </x:c>
      <x:c r="B27" s="95" t="n">
        <x:v>319225</x:v>
      </x:c>
      <x:c r="C27" s="95" t="n">
        <x:v>1917</x:v>
      </x:c>
      <x:c r="D27" s="96" t="n">
        <x:v>0.0739503472614459</x:v>
      </x:c>
      <x:c r="E27" s="95" t="n">
        <x:f t="shared" si="0">B27/(1-D27)</x:f>
        <x:v>344716.93721386755</x:v>
      </x:c>
      <x:c r="F27"/>
      <x:c r="G27" t="n">
        <x:v>25</x:v>
      </x:c>
      <x:c r="H27" t="n">
        <x:v>2</x:v>
      </x:c>
      <x:c r="I27" t="n">
        <x:v>10</x:v>
      </x:c>
      <x:c r="J27" t="n">
        <x:v>17</x:v>
      </x:c>
      <x:c r="K27"/>
      <x:c r="L27"/>
    </x:row>
    <x:row r="28" customHeight="1">
      <x:c r="A28" t="n">
        <x:v>26</x:v>
      </x:c>
      <x:c r="B28" s="95" t="n">
        <x:v>334418</x:v>
      </x:c>
      <x:c r="C28" s="95" t="n">
        <x:v>1996</x:v>
      </x:c>
      <x:c r="D28" s="96" t="n">
        <x:v>0.0767866041097122</x:v>
      </x:c>
      <x:c r="E28" s="95" t="n">
        <x:f t="shared" si="0">B28/(1-D28)</x:f>
        <x:v>362232.6121876825</x:v>
      </x:c>
      <x:c r="F28"/>
      <x:c r="G28" t="n">
        <x:v>26</x:v>
      </x:c>
      <x:c r="H28" t="n">
        <x:v>2</x:v>
      </x:c>
      <x:c r="I28" t="n">
        <x:v>11</x:v>
      </x:c>
      <x:c r="J28" t="n">
        <x:v>17</x:v>
      </x:c>
      <x:c r="K28"/>
      <x:c r="L28"/>
    </x:row>
    <x:row r="29" customHeight="1">
      <x:c r="A29" t="n">
        <x:v>27</x:v>
      </x:c>
      <x:c r="B29" s="95" t="n">
        <x:v>349830</x:v>
      </x:c>
      <x:c r="C29" s="95" t="n">
        <x:v>2076</x:v>
      </x:c>
      <x:c r="D29" s="96" t="n">
        <x:v>0.0796135703025014</x:v>
      </x:c>
      <x:c r="E29" s="95" t="n">
        <x:f t="shared" si="0">B29/(1-D29)</x:f>
        <x:v>380090.3497838162</x:v>
      </x:c>
      <x:c r="F29"/>
      <x:c r="G29" t="n">
        <x:v>27</x:v>
      </x:c>
      <x:c r="H29" t="n">
        <x:v>2</x:v>
      </x:c>
      <x:c r="I29" t="n">
        <x:v>12</x:v>
      </x:c>
      <x:c r="J29" t="n">
        <x:v>17</x:v>
      </x:c>
      <x:c r="K29"/>
      <x:c r="L29"/>
    </x:row>
    <x:row r="30" customHeight="1">
      <x:c r="A30" t="n">
        <x:v>28</x:v>
      </x:c>
      <x:c r="B30" s="95" t="n">
        <x:v>365611</x:v>
      </x:c>
      <x:c r="C30" s="95" t="n">
        <x:v>2156</x:v>
      </x:c>
      <x:c r="D30" s="96" t="n">
        <x:v>0.0824312571496344</x:v>
      </x:c>
      <x:c r="E30" s="95" t="n">
        <x:f t="shared" si="0">B30/(1-D30)</x:f>
        <x:v>398456.2495712899</x:v>
      </x:c>
      <x:c r="F30"/>
      <x:c r="G30" t="n">
        <x:v>28</x:v>
      </x:c>
      <x:c r="H30" t="n">
        <x:v>2</x:v>
      </x:c>
      <x:c r="I30" t="n">
        <x:v>13</x:v>
      </x:c>
      <x:c r="J30" t="n">
        <x:v>18</x:v>
      </x:c>
      <x:c r="K30"/>
      <x:c r="L30"/>
    </x:row>
    <x:row r="31" customHeight="1">
      <x:c r="A31" t="n">
        <x:v>29</x:v>
      </x:c>
      <x:c r="B31" s="95" t="n">
        <x:v>381624</x:v>
      </x:c>
      <x:c r="C31" s="95" t="n">
        <x:v>2236</x:v>
      </x:c>
      <x:c r="D31" s="96" t="n">
        <x:v>0.0852396763068635</x:v>
      </x:c>
      <x:c r="E31" s="95" t="n">
        <x:f t="shared" si="0">B31/(1-D31)</x:f>
        <x:v>417184.68774342985</x:v>
      </x:c>
      <x:c r="F31"/>
      <x:c r="G31" t="n">
        <x:v>29</x:v>
      </x:c>
      <x:c r="H31" t="n">
        <x:v>2</x:v>
      </x:c>
      <x:c r="I31" t="n">
        <x:v>14</x:v>
      </x:c>
      <x:c r="J31" t="n">
        <x:v>18</x:v>
      </x:c>
      <x:c r="K31"/>
      <x:c r="L31"/>
    </x:row>
    <x:row r="32" customHeight="1">
      <x:c r="A32" t="n">
        <x:v>30</x:v>
      </x:c>
      <x:c r="B32" s="95" t="n">
        <x:v>398013</x:v>
      </x:c>
      <x:c r="C32" s="95" t="n">
        <x:v>2317</x:v>
      </x:c>
      <x:c r="D32" s="96" t="n">
        <x:v>0.0880388397678122</x:v>
      </x:c>
      <x:c r="E32" s="95" t="n">
        <x:f t="shared" si="0">B32/(1-D32)</x:f>
        <x:v>436436.34987554164</x:v>
      </x:c>
      <x:c r="F32"/>
      <x:c r="G32" t="n">
        <x:v>30</x:v>
      </x:c>
      <x:c r="H32" t="n">
        <x:v>2</x:v>
      </x:c>
      <x:c r="I32" t="n">
        <x:v>15</x:v>
      </x:c>
      <x:c r="J32" t="n">
        <x:v>19</x:v>
      </x:c>
      <x:c r="K32"/>
      <x:c r="L32"/>
    </x:row>
    <x:row r="33" customHeight="1">
      <x:c r="A33" t="n">
        <x:v>31</x:v>
      </x:c>
      <x:c r="B33" s="95" t="n">
        <x:v>414648</x:v>
      </x:c>
      <x:c r="C33" s="95" t="n">
        <x:v>2398</x:v>
      </x:c>
      <x:c r="D33" s="96" t="n">
        <x:v>0.0908287598589887</x:v>
      </x:c>
      <x:c r="E33" s="95" t="n">
        <x:f t="shared" si="0">B33/(1-D33)</x:f>
        <x:v>456072.49953890825</x:v>
      </x:c>
      <x:c r="F33"/>
      <x:c r="G33" t="n">
        <x:v>31</x:v>
      </x:c>
      <x:c r="H33" t="n">
        <x:v>3</x:v>
      </x:c>
      <x:c r="I33" t="n">
        <x:v>1</x:v>
      </x:c>
      <x:c r="J33" t="n">
        <x:v>19</x:v>
      </x:c>
      <x:c r="K33"/>
      <x:c r="L33"/>
    </x:row>
    <x:row r="34" customHeight="1">
      <x:c r="A34" t="n">
        <x:v>32</x:v>
      </x:c>
      <x:c r="B34" s="95" t="n">
        <x:v>431669</x:v>
      </x:c>
      <x:c r="C34" s="95" t="n">
        <x:v>2479</x:v>
      </x:c>
      <x:c r="D34" s="96" t="n">
        <x:v>0.0936094492333701</x:v>
      </x:c>
      <x:c r="E34" s="95" t="n">
        <x:f t="shared" si="0">B34/(1-D34)</x:f>
        <x:v>476250.55185636267</x:v>
      </x:c>
      <x:c r="F34"/>
      <x:c r="G34" t="n">
        <x:v>32</x:v>
      </x:c>
      <x:c r="H34" t="n">
        <x:v>3</x:v>
      </x:c>
      <x:c r="I34" t="n">
        <x:v>2</x:v>
      </x:c>
      <x:c r="J34" t="n">
        <x:v>19</x:v>
      </x:c>
      <x:c r="K34"/>
      <x:c r="L34"/>
    </x:row>
    <x:row r="35" customHeight="1">
      <x:c r="A35" t="n">
        <x:v>33</x:v>
      </x:c>
      <x:c r="B35" s="95" t="n">
        <x:v>449016</x:v>
      </x:c>
      <x:c r="C35" s="95" t="n">
        <x:v>2560</x:v>
      </x:c>
      <x:c r="D35" s="96" t="n">
        <x:v>0.0963809208643523</x:v>
      </x:c>
      <x:c r="E35" s="95" t="n">
        <x:f t="shared" si="0">B35/(1-D35)</x:f>
        <x:v>496908.4986889653</x:v>
      </x:c>
      <x:c r="F35"/>
      <x:c r="G35" t="n">
        <x:v>33</x:v>
      </x:c>
      <x:c r="H35" t="n">
        <x:v>3</x:v>
      </x:c>
      <x:c r="I35" t="n">
        <x:v>3</x:v>
      </x:c>
      <x:c r="J35" t="n">
        <x:v>20</x:v>
      </x:c>
      <x:c r="K35"/>
      <x:c r="L35"/>
    </x:row>
    <x:row r="36" customHeight="1">
      <x:c r="A36" t="n">
        <x:v>34</x:v>
      </x:c>
      <x:c r="B36" s="95" t="n">
        <x:v>466758</x:v>
      </x:c>
      <x:c r="C36" s="95" t="n">
        <x:v>2641</x:v>
      </x:c>
      <x:c r="D36" s="96" t="n">
        <x:v>0.0991431880397712</x:v>
      </x:c>
      <x:c r="E36" s="95" t="n">
        <x:f t="shared" si="0">B36/(1-D36)</x:f>
        <x:v>518126.73646142834</x:v>
      </x:c>
      <x:c r="F36"/>
      <x:c r="G36" t="n">
        <x:v>34</x:v>
      </x:c>
      <x:c r="H36" t="n">
        <x:v>3</x:v>
      </x:c>
      <x:c r="I36" t="n">
        <x:v>4</x:v>
      </x:c>
      <x:c r="J36" t="n">
        <x:v>20</x:v>
      </x:c>
      <x:c r="K36"/>
      <x:c r="L36"/>
    </x:row>
    <x:row r="37" customHeight="1">
      <x:c r="A37" t="n">
        <x:v>35</x:v>
      </x:c>
      <x:c r="B37" s="95" t="n">
        <x:v>484837</x:v>
      </x:c>
      <x:c r="C37" s="95" t="n">
        <x:v>2723</x:v>
      </x:c>
      <x:c r="D37" s="96" t="n">
        <x:v>0.101896264355993</x:v>
      </x:c>
      <x:c r="E37" s="95" t="n">
        <x:f t="shared" si="0">B37/(1-D37)</x:f>
        <x:v>539845.2102555123</x:v>
      </x:c>
      <x:c r="F37"/>
      <x:c r="G37" t="n">
        <x:v>35</x:v>
      </x:c>
      <x:c r="H37" t="n">
        <x:v>3</x:v>
      </x:c>
      <x:c r="I37" t="n">
        <x:v>5</x:v>
      </x:c>
      <x:c r="J37" t="n">
        <x:v>20</x:v>
      </x:c>
      <x:c r="K37"/>
      <x:c r="L37"/>
    </x:row>
    <x:row r="38" customHeight="1">
      <x:c r="A38" t="n">
        <x:v>36</x:v>
      </x:c>
      <x:c r="B38" s="95" t="n">
        <x:v>503258</x:v>
      </x:c>
      <x:c r="C38" s="95" t="n">
        <x:v>2805</x:v>
      </x:c>
      <x:c r="D38" s="96" t="n">
        <x:v>0.104640163712071</x:v>
      </x:c>
      <x:c r="E38" s="95" t="n">
        <x:f t="shared" si="0">B38/(1-D38)</x:f>
        <x:v>562073.4587408528</x:v>
      </x:c>
      <x:c r="F38"/>
      <x:c r="G38" t="n">
        <x:v>36</x:v>
      </x:c>
      <x:c r="H38" t="n">
        <x:v>3</x:v>
      </x:c>
      <x:c r="I38" t="n">
        <x:v>6</x:v>
      </x:c>
      <x:c r="J38" t="n">
        <x:v>21</x:v>
      </x:c>
      <x:c r="K38"/>
      <x:c r="L38"/>
    </x:row>
    <x:row r="39" customHeight="1">
      <x:c r="A39" t="n">
        <x:v>37</x:v>
      </x:c>
      <x:c r="B39" s="95" t="n">
        <x:v>522154</x:v>
      </x:c>
      <x:c r="C39" s="95" t="n">
        <x:v>2887</x:v>
      </x:c>
      <x:c r="D39" s="96" t="n">
        <x:v>0.107374900304261</x:v>
      </x:c>
      <x:c r="E39" s="95" t="n">
        <x:f t="shared" si="0">B39/(1-D39)</x:f>
        <x:v>584964.5054547334</x:v>
      </x:c>
      <x:c r="F39"/>
      <x:c r="G39" t="n">
        <x:v>37</x:v>
      </x:c>
      <x:c r="H39" t="n">
        <x:v>3</x:v>
      </x:c>
      <x:c r="I39" t="n">
        <x:v>7</x:v>
      </x:c>
      <x:c r="J39" t="n">
        <x:v>21</x:v>
      </x:c>
      <x:c r="K39"/>
      <x:c r="L39"/>
    </x:row>
    <x:row r="40" customHeight="1">
      <x:c r="A40" t="n">
        <x:v>38</x:v>
      </x:c>
      <x:c r="B40" s="95" t="n">
        <x:v>541403</x:v>
      </x:c>
      <x:c r="C40" s="95" t="n">
        <x:v>2969</x:v>
      </x:c>
      <x:c r="D40" s="96" t="n">
        <x:v>0.110100488619159</x:v>
      </x:c>
      <x:c r="E40" s="95" t="n">
        <x:f t="shared" si="0">B40/(1-D40)</x:f>
        <x:v>608386.6695913955</x:v>
      </x:c>
      <x:c r="F40"/>
      <x:c r="G40" t="n">
        <x:v>38</x:v>
      </x:c>
      <x:c r="H40" t="n">
        <x:v>3</x:v>
      </x:c>
      <x:c r="I40" t="n">
        <x:v>8</x:v>
      </x:c>
      <x:c r="J40" t="n">
        <x:v>21</x:v>
      </x:c>
      <x:c r="K40"/>
      <x:c r="L40"/>
    </x:row>
    <x:row r="41" customHeight="1">
      <x:c r="A41" t="n">
        <x:v>39</x:v>
      </x:c>
      <x:c r="B41" s="95" t="n">
        <x:v>561073</x:v>
      </x:c>
      <x:c r="C41" s="95" t="n">
        <x:v>3052</x:v>
      </x:c>
      <x:c r="D41" s="96" t="n">
        <x:v>0.112816943430083</x:v>
      </x:c>
      <x:c r="E41" s="95" t="n">
        <x:f t="shared" si="0">B41/(1-D41)</x:f>
        <x:v>632420.7792800459</x:v>
      </x:c>
      <x:c r="F41"/>
      <x:c r="G41" t="n">
        <x:v>39</x:v>
      </x:c>
      <x:c r="H41" t="n">
        <x:v>3</x:v>
      </x:c>
      <x:c r="I41" t="n">
        <x:v>9</x:v>
      </x:c>
      <x:c r="J41" t="n">
        <x:v>22</x:v>
      </x:c>
      <x:c r="K41"/>
      <x:c r="L41"/>
    </x:row>
    <x:row r="42" customHeight="1">
      <x:c r="A42" t="n">
        <x:v>40</x:v>
      </x:c>
      <x:c r="B42" s="95" t="n">
        <x:v>581169</x:v>
      </x:c>
      <x:c r="C42" s="95" t="n">
        <x:v>3135</x:v>
      </x:c>
      <x:c r="D42" s="96" t="n">
        <x:v>0.115524279789481</x:v>
      </x:c>
      <x:c r="E42" s="95" t="n">
        <x:f t="shared" si="0">B42/(1-D42)</x:f>
        <x:v>657077.3925390204</x:v>
      </x:c>
      <x:c r="F42"/>
      <x:c r="G42" t="n">
        <x:v>40</x:v>
      </x:c>
      <x:c r="H42" t="n">
        <x:v>3</x:v>
      </x:c>
      <x:c r="I42" t="n">
        <x:v>10</x:v>
      </x:c>
      <x:c r="J42" t="n">
        <x:v>22</x:v>
      </x:c>
      <x:c r="K42"/>
      <x:c r="L42"/>
    </x:row>
    <x:row r="43" customHeight="1">
      <x:c r="A43" t="n">
        <x:v>41</x:v>
      </x:c>
      <x:c r="B43" s="95" t="n">
        <x:v>601696</x:v>
      </x:c>
      <x:c r="C43" s="95" t="n">
        <x:v>3218</x:v>
      </x:c>
      <x:c r="D43" s="96" t="n">
        <x:v>0.118222513024577</x:v>
      </x:c>
      <x:c r="E43" s="95" t="n">
        <x:f t="shared" si="0">B43/(1-D43)</x:f>
        <x:v>682367.1605224034</x:v>
      </x:c>
      <x:c r="F43"/>
      <x:c r="G43" t="n">
        <x:v>41</x:v>
      </x:c>
      <x:c r="H43" t="n">
        <x:v>3</x:v>
      </x:c>
      <x:c r="I43" t="n">
        <x:v>11</x:v>
      </x:c>
      <x:c r="J43" t="n">
        <x:v>22</x:v>
      </x:c>
      <x:c r="K43"/>
      <x:c r="L43"/>
    </x:row>
    <x:row r="44" customHeight="1">
      <x:c r="A44" t="n">
        <x:v>42</x:v>
      </x:c>
      <x:c r="B44" s="95" t="n">
        <x:v>622719</x:v>
      </x:c>
      <x:c r="C44" s="95" t="n">
        <x:v>3301</x:v>
      </x:c>
      <x:c r="D44" s="96" t="n">
        <x:v>0.120911658731642</x:v>
      </x:c>
      <x:c r="E44" s="95" t="n">
        <x:f t="shared" si="0">B44/(1-D44)</x:f>
        <x:v>708369.0805198649</x:v>
      </x:c>
      <x:c r="F44"/>
      <x:c r="G44" t="n">
        <x:v>42</x:v>
      </x:c>
      <x:c r="H44" t="n">
        <x:v>3</x:v>
      </x:c>
      <x:c r="I44" t="n">
        <x:v>12</x:v>
      </x:c>
      <x:c r="J44" t="n">
        <x:v>23</x:v>
      </x:c>
      <x:c r="K44"/>
      <x:c r="L44"/>
    </x:row>
    <x:row r="45" customHeight="1">
      <x:c r="A45" t="n">
        <x:v>43</x:v>
      </x:c>
      <x:c r="B45" s="95" t="n">
        <x:v>644120</x:v>
      </x:c>
      <x:c r="C45" s="95" t="n">
        <x:v>3384</x:v>
      </x:c>
      <x:c r="D45" s="96" t="n">
        <x:v>0.123591732770619</x:v>
      </x:c>
      <x:c r="E45" s="95" t="n">
        <x:f t="shared" si="0">B45/(1-D45)</x:f>
        <x:v>734954.2719813429</x:v>
      </x:c>
      <x:c r="F45"/>
      <x:c r="G45" t="n">
        <x:v>43</x:v>
      </x:c>
      <x:c r="H45" t="n">
        <x:v>3</x:v>
      </x:c>
      <x:c r="I45" t="n">
        <x:v>13</x:v>
      </x:c>
      <x:c r="J45" t="n">
        <x:v>23</x:v>
      </x:c>
      <x:c r="K45"/>
      <x:c r="L45"/>
    </x:row>
    <x:row r="46" customHeight="1">
      <x:c r="A46" t="n">
        <x:v>44</x:v>
      </x:c>
      <x:c r="B46" s="95" t="n">
        <x:v>666026</x:v>
      </x:c>
      <x:c r="C46" s="95" t="n">
        <x:v>3468</x:v>
      </x:c>
      <x:c r="D46" s="96" t="n">
        <x:v>0.126262751259812</x:v>
      </x:c>
      <x:c r="E46" s="95" t="n">
        <x:f t="shared" si="0">B46/(1-D46)</x:f>
        <x:v>762272.6408429082</x:v>
      </x:c>
      <x:c r="F46"/>
      <x:c r="G46" t="n">
        <x:v>44</x:v>
      </x:c>
      <x:c r="H46" t="n">
        <x:v>3</x:v>
      </x:c>
      <x:c r="I46" t="n">
        <x:v>14</x:v>
      </x:c>
      <x:c r="J46" t="n">
        <x:v>23</x:v>
      </x:c>
      <x:c r="K46"/>
      <x:c r="L46"/>
    </x:row>
    <x:row r="47" customHeight="1">
      <x:c r="A47" t="n">
        <x:v>45</x:v>
      </x:c>
      <x:c r="B47" s="95" t="n">
        <x:v>688439</x:v>
      </x:c>
      <x:c r="C47" s="95" t="n">
        <x:v>3552</x:v>
      </x:c>
      <x:c r="D47" s="96" t="n">
        <x:v>0.128924730570914</x:v>
      </x:c>
      <x:c r="E47" s="95" t="n">
        <x:f t="shared" si="0">B47/(1-D47)</x:f>
        <x:v>790332.3905076674</x:v>
      </x:c>
      <x:c r="F47"/>
      <x:c r="G47" t="n">
        <x:v>45</x:v>
      </x:c>
      <x:c r="H47" t="n">
        <x:v>3</x:v>
      </x:c>
      <x:c r="I47" t="n">
        <x:v>15</x:v>
      </x:c>
      <x:c r="J47" t="n">
        <x:v>24</x:v>
      </x:c>
      <x:c r="K47"/>
      <x:c r="L47"/>
    </x:row>
    <x:row r="48" customHeight="1">
      <x:c r="A48" t="n">
        <x:v>46</x:v>
      </x:c>
      <x:c r="B48" s="95" t="n">
        <x:v>711304</x:v>
      </x:c>
      <x:c r="C48" s="95" t="n">
        <x:v>3636</x:v>
      </x:c>
      <x:c r="D48" s="96" t="n">
        <x:v>0.131577687322996</x:v>
      </x:c>
      <x:c r="E48" s="95" t="n">
        <x:f t="shared" si="0">B48/(1-D48)</x:f>
        <x:v>819076.1448854647</x:v>
      </x:c>
      <x:c r="F48"/>
      <x:c r="G48" t="n">
        <x:v>46</x:v>
      </x:c>
      <x:c r="H48" t="n">
        <x:v>4</x:v>
      </x:c>
      <x:c r="I48" t="n">
        <x:v>1</x:v>
      </x:c>
      <x:c r="J48" t="n">
        <x:v>24</x:v>
      </x:c>
      <x:c r="K48"/>
      <x:c r="L48"/>
    </x:row>
    <x:row r="49" customHeight="1">
      <x:c r="A49" t="n">
        <x:v>47</x:v>
      </x:c>
      <x:c r="B49" s="95" t="n">
        <x:v>734685</x:v>
      </x:c>
      <x:c r="C49" s="95" t="n">
        <x:v>3721</x:v>
      </x:c>
      <x:c r="D49" s="96" t="n">
        <x:v>0.134221638377945</x:v>
      </x:c>
      <x:c r="E49" s="95" t="n">
        <x:f t="shared" si="0">B49/(1-D49)</x:f>
        <x:v>848583.231652442</x:v>
      </x:c>
      <x:c r="F49"/>
      <x:c r="G49" t="n">
        <x:v>47</x:v>
      </x:c>
      <x:c r="H49" t="n">
        <x:v>4</x:v>
      </x:c>
      <x:c r="I49" t="n">
        <x:v>2</x:v>
      </x:c>
      <x:c r="J49" t="n">
        <x:v>24</x:v>
      </x:c>
      <x:c r="K49"/>
      <x:c r="L49"/>
    </x:row>
    <x:row r="50" customHeight="1">
      <x:c r="A50" t="n">
        <x:v>48</x:v>
      </x:c>
      <x:c r="B50" s="95" t="n">
        <x:v>758525</x:v>
      </x:c>
      <x:c r="C50" s="95" t="n">
        <x:v>3805</x:v>
      </x:c>
      <x:c r="D50" s="96" t="n">
        <x:v>0.136856600836505</x:v>
      </x:c>
      <x:c r="E50" s="95" t="n">
        <x:f t="shared" si="0">B50/(1-D50)</x:f>
        <x:v>878793.7215706166</x:v>
      </x:c>
      <x:c r="F50"/>
      <x:c r="G50" t="n">
        <x:v>48</x:v>
      </x:c>
      <x:c r="H50" t="n">
        <x:v>4</x:v>
      </x:c>
      <x:c r="I50" t="n">
        <x:v>3</x:v>
      </x:c>
      <x:c r="J50" t="n">
        <x:v>25</x:v>
      </x:c>
      <x:c r="K50"/>
      <x:c r="L50"/>
    </x:row>
    <x:row r="51" customHeight="1">
      <x:c r="A51" t="n">
        <x:v>49</x:v>
      </x:c>
      <x:c r="B51" s="95" t="n">
        <x:v>782946</x:v>
      </x:c>
      <x:c r="C51" s="95" t="n">
        <x:v>3890</x:v>
      </x:c>
      <x:c r="D51" s="96" t="n">
        <x:v>0.139482592030535</x:v>
      </x:c>
      <x:c r="E51" s="95" t="n">
        <x:f t="shared" si="0">B51/(1-D51)</x:f>
        <x:v>909854.9230369346</x:v>
      </x:c>
      <x:c r="F51"/>
      <x:c r="G51" t="n">
        <x:v>49</x:v>
      </x:c>
      <x:c r="H51" t="n">
        <x:v>4</x:v>
      </x:c>
      <x:c r="I51" t="n">
        <x:v>4</x:v>
      </x:c>
      <x:c r="J51" t="n">
        <x:v>25</x:v>
      </x:c>
      <x:c r="K51"/>
      <x:c r="L51"/>
    </x:row>
    <x:row r="52" customHeight="1">
      <x:c r="A52" t="n">
        <x:v>50</x:v>
      </x:c>
      <x:c r="B52" s="95" t="n">
        <x:v>807834</x:v>
      </x:c>
      <x:c r="C52" s="95" t="n">
        <x:v>3975</x:v>
      </x:c>
      <x:c r="D52" s="96" t="n">
        <x:v>0.1420996295211</x:v>
      </x:c>
      <x:c r="E52" s="95" t="n">
        <x:f t="shared" si="0">B52/(1-D52)</x:f>
        <x:v>941640.8102831896</x:v>
      </x:c>
      <x:c r="F52"/>
      <x:c r="G52" t="n">
        <x:v>50</x:v>
      </x:c>
      <x:c r="H52" t="n">
        <x:v>4</x:v>
      </x:c>
      <x:c r="I52" t="n">
        <x:v>5</x:v>
      </x:c>
      <x:c r="J52" t="n">
        <x:v>25</x:v>
      </x:c>
      <x:c r="K52"/>
      <x:c r="L52"/>
    </x:row>
    <x:row r="53" customHeight="1">
      <x:c r="A53" t="n">
        <x:v>51</x:v>
      </x:c>
      <x:c r="B53" s="95" t="n">
        <x:v>833308</x:v>
      </x:c>
      <x:c r="C53" s="95" t="n">
        <x:v>4061</x:v>
      </x:c>
      <x:c r="D53" s="96" t="n">
        <x:v>0.144707731091135</x:v>
      </x:c>
      <x:c r="E53" s="95" t="n">
        <x:f t="shared" si="0">B53/(1-D53)</x:f>
        <x:v>974296.1912459336</x:v>
      </x:c>
      <x:c r="F53"/>
      <x:c r="G53" t="n">
        <x:v>51</x:v>
      </x:c>
      <x:c r="H53" t="n">
        <x:v>4</x:v>
      </x:c>
      <x:c r="I53" t="n">
        <x:v>6</x:v>
      </x:c>
      <x:c r="J53" t="n">
        <x:v>26</x:v>
      </x:c>
      <x:c r="K53"/>
      <x:c r="L53"/>
    </x:row>
    <x:row r="54" customHeight="1">
      <x:c r="A54" t="n">
        <x:v>52</x:v>
      </x:c>
      <x:c r="B54" s="95" t="n">
        <x:v>859313</x:v>
      </x:c>
      <x:c r="C54" s="95" t="n">
        <x:v>4146</x:v>
      </x:c>
      <x:c r="D54" s="96" t="n">
        <x:v>0.147306914743086</x:v>
      </x:c>
      <x:c r="E54" s="95" t="n">
        <x:f t="shared" si="0">B54/(1-D54)</x:f>
        <x:v>1007763.537499652</x:v>
      </x:c>
      <x:c r="F54"/>
      <x:c r="G54" t="n">
        <x:v>52</x:v>
      </x:c>
      <x:c r="H54" t="n">
        <x:v>4</x:v>
      </x:c>
      <x:c r="I54" t="n">
        <x:v>7</x:v>
      </x:c>
      <x:c r="J54" t="n">
        <x:v>26</x:v>
      </x:c>
      <x:c r="K54"/>
      <x:c r="L54"/>
    </x:row>
    <x:row r="55" customHeight="1">
      <x:c r="A55" t="n">
        <x:v>53</x:v>
      </x:c>
      <x:c r="B55" s="95" t="n">
        <x:v>885853</x:v>
      </x:c>
      <x:c r="C55" s="95" t="n">
        <x:v>4232</x:v>
      </x:c>
      <x:c r="D55" s="96" t="n">
        <x:v>0.14989719869119</x:v>
      </x:c>
      <x:c r="E55" s="95" t="n">
        <x:f t="shared" si="0">B55/(1-D55)</x:f>
        <x:v>1042053.9711622517</x:v>
      </x:c>
      <x:c r="F55"/>
      <x:c r="G55" t="n">
        <x:v>53</x:v>
      </x:c>
      <x:c r="H55" t="n">
        <x:v>4</x:v>
      </x:c>
      <x:c r="I55" t="n">
        <x:v>8</x:v>
      </x:c>
      <x:c r="J55" t="n">
        <x:v>26</x:v>
      </x:c>
      <x:c r="K55"/>
      <x:c r="L55"/>
    </x:row>
    <x:row r="56" customHeight="1">
      <x:c r="A56" t="n">
        <x:v>54</x:v>
      </x:c>
      <x:c r="B56" s="95" t="n">
        <x:v>912985</x:v>
      </x:c>
      <x:c r="C56" s="95" t="n">
        <x:v>4318</x:v>
      </x:c>
      <x:c r="D56" s="96" t="n">
        <x:v>0.152478601359478</x:v>
      </x:c>
      <x:c r="E56" s="95" t="n">
        <x:f t="shared" si="0">B56/(1-D56)</x:f>
        <x:v>1077241.2371705137</x:v>
      </x:c>
      <x:c r="F56"/>
      <x:c r="G56" t="n">
        <x:v>54</x:v>
      </x:c>
      <x:c r="H56" t="n">
        <x:v>4</x:v>
      </x:c>
      <x:c r="I56" t="n">
        <x:v>9</x:v>
      </x:c>
      <x:c r="J56" t="n">
        <x:v>27</x:v>
      </x:c>
      <x:c r="K56"/>
      <x:c r="L56"/>
    </x:row>
    <x:row r="57" customHeight="1">
      <x:c r="A57" t="n">
        <x:v>55</x:v>
      </x:c>
      <x:c r="B57" s="95" t="n">
        <x:v>940658</x:v>
      </x:c>
      <x:c r="C57" s="95" t="n">
        <x:v>4404</x:v>
      </x:c>
      <x:c r="D57" s="96" t="n">
        <x:v>0.155051141376074</x:v>
      </x:c>
      <x:c r="E57" s="95" t="n">
        <x:f t="shared" si="0">B57/(1-D57)</x:f>
        <x:v>1113272.1115594436</x:v>
      </x:c>
      <x:c r="F57"/>
      <x:c r="G57" t="n">
        <x:v>55</x:v>
      </x:c>
      <x:c r="H57" t="n">
        <x:v>4</x:v>
      </x:c>
      <x:c r="I57" t="n">
        <x:v>10</x:v>
      </x:c>
      <x:c r="J57" t="n">
        <x:v>27</x:v>
      </x:c>
      <x:c r="K57"/>
      <x:c r="L57"/>
    </x:row>
    <x:row r="58" customHeight="1">
      <x:c r="A58" t="n">
        <x:v>56</x:v>
      </x:c>
      <x:c r="B58" s="95" t="n">
        <x:v>968929</x:v>
      </x:c>
      <x:c r="C58" s="95" t="n">
        <x:v>4491</x:v>
      </x:c>
      <x:c r="D58" s="96" t="n">
        <x:v>0.157614837568092</x:v>
      </x:c>
      <x:c r="E58" s="95" t="n">
        <x:f t="shared" si="0">B58/(1-D58)</x:f>
        <x:v>1150220.8766388628</x:v>
      </x:c>
      <x:c r="F58"/>
      <x:c r="G58" t="n">
        <x:v>56</x:v>
      </x:c>
      <x:c r="H58" t="n">
        <x:v>4</x:v>
      </x:c>
      <x:c r="I58" t="n">
        <x:v>11</x:v>
      </x:c>
      <x:c r="J58" t="n">
        <x:v>27</x:v>
      </x:c>
      <x:c r="K58"/>
      <x:c r="L58"/>
    </x:row>
    <x:row r="59" customHeight="1">
      <x:c r="A59" t="n">
        <x:v>57</x:v>
      </x:c>
      <x:c r="B59" s="95" t="n">
        <x:v>997745</x:v>
      </x:c>
      <x:c r="C59" s="95" t="n">
        <x:v>4577</x:v>
      </x:c>
      <x:c r="D59" s="96" t="n">
        <x:v>0.160169708958192</x:v>
      </x:c>
      <x:c r="E59" s="95" t="n">
        <x:f t="shared" si="0">B59/(1-D59)</x:f>
        <x:v>1188031.6900243012</x:v>
      </x:c>
      <x:c r="F59"/>
      <x:c r="G59" t="n">
        <x:v>57</x:v>
      </x:c>
      <x:c r="H59" t="n">
        <x:v>4</x:v>
      </x:c>
      <x:c r="I59" t="n">
        <x:v>12</x:v>
      </x:c>
      <x:c r="J59" t="n">
        <x:v>28</x:v>
      </x:c>
      <x:c r="K59"/>
      <x:c r="L59"/>
    </x:row>
    <x:row r="60" customHeight="1">
      <x:c r="A60" t="n">
        <x:v>58</x:v>
      </x:c>
      <x:c r="B60" s="95" t="n">
        <x:v>1027219</x:v>
      </x:c>
      <x:c r="C60" s="95" t="n">
        <x:v>4664</x:v>
      </x:c>
      <x:c r="D60" s="96" t="n">
        <x:v>0.162715774759069</x:v>
      </x:c>
      <x:c r="E60" s="95" t="n">
        <x:f t="shared" si="0">B60/(1-D60)</x:f>
        <x:v>1226846.235762312</x:v>
      </x:c>
      <x:c r="F60"/>
      <x:c r="G60" t="n">
        <x:v>58</x:v>
      </x:c>
      <x:c r="H60" t="n">
        <x:v>4</x:v>
      </x:c>
      <x:c r="I60" t="n">
        <x:v>13</x:v>
      </x:c>
      <x:c r="J60" t="n">
        <x:v>28</x:v>
      </x:c>
      <x:c r="K60"/>
      <x:c r="L60"/>
    </x:row>
    <x:row r="61" customHeight="1">
      <x:c r="A61" t="n">
        <x:v>59</x:v>
      </x:c>
      <x:c r="B61" s="95" t="n">
        <x:v>1057242</x:v>
      </x:c>
      <x:c r="C61" s="95" t="n">
        <x:v>4751</x:v>
      </x:c>
      <x:c r="D61" s="96" t="n">
        <x:v>0.165253054369854</x:v>
      </x:c>
      <x:c r="E61" s="95" t="n">
        <x:f t="shared" si="0">B61/(1-D61)</x:f>
        <x:v>1266541.9209193916</x:v>
      </x:c>
      <x:c r="F61"/>
      <x:c r="G61" t="n">
        <x:v>59</x:v>
      </x:c>
      <x:c r="H61" t="n">
        <x:v>4</x:v>
      </x:c>
      <x:c r="I61" t="n">
        <x:v>14</x:v>
      </x:c>
      <x:c r="J61" t="n">
        <x:v>28</x:v>
      </x:c>
      <x:c r="K61"/>
      <x:c r="L61"/>
    </x:row>
    <x:row r="62" customHeight="1">
      <x:c r="A62" t="n">
        <x:v>60</x:v>
      </x:c>
      <x:c r="B62" s="95" t="n">
        <x:v>1087927</x:v>
      </x:c>
      <x:c r="C62" s="95" t="n">
        <x:v>4839</x:v>
      </x:c>
      <x:c r="D62" s="96" t="n">
        <x:v>0.167781567371512</x:v>
      </x:c>
      <x:c r="E62" s="95" t="n">
        <x:f t="shared" si="0">B62/(1-D62)</x:f>
        <x:v>1307261.3599339288</x:v>
      </x:c>
      <x:c r="F62"/>
      <x:c r="G62" t="n">
        <x:v>60</x:v>
      </x:c>
      <x:c r="H62" t="n">
        <x:v>4</x:v>
      </x:c>
      <x:c r="I62" t="n">
        <x:v>15</x:v>
      </x:c>
      <x:c r="J62" t="n">
        <x:v>29</x:v>
      </x:c>
      <x:c r="K62"/>
      <x:c r="L62"/>
    </x:row>
    <x:row r="63" customHeight="1">
      <x:c r="A63" t="n">
        <x:v>61</x:v>
      </x:c>
      <x:c r="B63" s="95" t="n">
        <x:v>1119166</x:v>
      </x:c>
      <x:c r="C63" s="95" t="n">
        <x:v>4926</x:v>
      </x:c>
      <x:c r="D63" s="96" t="n">
        <x:v>0.170301333522818</x:v>
      </x:c>
      <x:c r="E63" s="95" t="n">
        <x:f t="shared" si="0">B63/(1-D63)</x:f>
        <x:v>1348882.4861583393</x:v>
      </x:c>
      <x:c r="F63"/>
      <x:c r="G63" t="n">
        <x:v>61</x:v>
      </x:c>
      <x:c r="H63" t="n">
        <x:v>5</x:v>
      </x:c>
      <x:c r="I63" t="n">
        <x:v>1</x:v>
      </x:c>
      <x:c r="J63" t="n">
        <x:v>29</x:v>
      </x:c>
      <x:c r="K63"/>
      <x:c r="L63"/>
    </x:row>
    <x:row r="64" customHeight="1">
      <x:c r="A64" t="n">
        <x:v>62</x:v>
      </x:c>
      <x:c r="B64" s="95" t="n">
        <x:v>1151069</x:v>
      </x:c>
      <x:c r="C64" s="95" t="n">
        <x:v>5014</x:v>
      </x:c>
      <x:c r="D64" s="96" t="n">
        <x:v>0.172812372755366</x:v>
      </x:c>
      <x:c r="E64" s="95" t="n">
        <x:f t="shared" si="0">B64/(1-D64)</x:f>
        <x:v>1391545.2336179356</x:v>
      </x:c>
      <x:c r="F64"/>
      <x:c r="G64" t="n">
        <x:v>62</x:v>
      </x:c>
      <x:c r="H64" t="n">
        <x:v>5</x:v>
      </x:c>
      <x:c r="I64" t="n">
        <x:v>2</x:v>
      </x:c>
      <x:c r="J64" t="n">
        <x:v>29</x:v>
      </x:c>
      <x:c r="K64"/>
      <x:c r="L64"/>
    </x:row>
    <x:row r="65" customHeight="1">
      <x:c r="A65" t="n">
        <x:v>63</x:v>
      </x:c>
      <x:c r="B65" s="95" t="n">
        <x:v>1183638</x:v>
      </x:c>
      <x:c r="C65" s="95" t="n">
        <x:v>5102</x:v>
      </x:c>
      <x:c r="D65" s="96" t="n">
        <x:v>0.175314705170167</x:v>
      </x:c>
      <x:c r="E65" s="95" t="n">
        <x:f t="shared" si="0">B65/(1-D65)</x:f>
        <x:v>1435260.2228032136</x:v>
      </x:c>
      <x:c r="F65"/>
      <x:c r="G65" t="n">
        <x:v>63</x:v>
      </x:c>
      <x:c r="H65" t="n">
        <x:v>5</x:v>
      </x:c>
      <x:c r="I65" t="n">
        <x:v>3</x:v>
      </x:c>
      <x:c r="J65" t="n">
        <x:v>29</x:v>
      </x:c>
      <x:c r="K65"/>
      <x:c r="L65"/>
    </x:row>
    <x:row r="66" customHeight="1">
      <x:c r="A66" t="n">
        <x:v>64</x:v>
      </x:c>
      <x:c r="B66" s="95" t="n">
        <x:v>1216821</x:v>
      </x:c>
      <x:c r="C66" s="95" t="n">
        <x:v>5190</x:v>
      </x:c>
      <x:c r="D66" s="96" t="n">
        <x:v>0.177808351033545</x:v>
      </x:c>
      <x:c r="E66" s="95" t="n">
        <x:f t="shared" si="0">B66/(1-D66)</x:f>
        <x:v>1479972.463268896</x:v>
      </x:c>
      <x:c r="F66"/>
      <x:c r="G66" t="n">
        <x:v>64</x:v>
      </x:c>
      <x:c r="H66" t="n">
        <x:v>5</x:v>
      </x:c>
      <x:c r="I66" t="n">
        <x:v>4</x:v>
      </x:c>
      <x:c r="J66" t="n">
        <x:v>30</x:v>
      </x:c>
      <x:c r="K66"/>
      <x:c r="L66"/>
    </x:row>
    <x:row r="67" customHeight="1">
      <x:c r="A67" t="n">
        <x:v>65</x:v>
      </x:c>
      <x:c r="B67" s="95" t="n">
        <x:v>1250618</x:v>
      </x:c>
      <x:c r="C67" s="95" t="n">
        <x:v>5279</x:v>
      </x:c>
      <x:c r="D67" s="96" t="n">
        <x:v>0.180293330772305</x:v>
      </x:c>
      <x:c r="E67" s="95" t="n">
        <x:f t="shared" ref="E67:E130" si="1">B67/(1-D67)</x:f>
        <x:v>1525689.6728415028</x:v>
      </x:c>
      <x:c r="F67"/>
      <x:c r="G67" t="n">
        <x:v>65</x:v>
      </x:c>
      <x:c r="H67" t="n">
        <x:v>5</x:v>
      </x:c>
      <x:c r="I67" t="n">
        <x:v>5</x:v>
      </x:c>
      <x:c r="J67" t="n">
        <x:v>30</x:v>
      </x:c>
      <x:c r="K67"/>
      <x:c r="L67"/>
    </x:row>
    <x:row r="68" customHeight="1">
      <x:c r="A68" t="n">
        <x:v>66</x:v>
      </x:c>
      <x:c r="B68" s="95" t="n">
        <x:v>1285140</x:v>
      </x:c>
      <x:c r="C68" s="95" t="n">
        <x:v>5367</x:v>
      </x:c>
      <x:c r="D68" s="96" t="n">
        <x:v>0.182769664970501</x:v>
      </x:c>
      <x:c r="E68" s="95" t="n">
        <x:f t="shared" si="1">B68/(1-D68)</x:f>
        <x:v>1572555.4288848215</x:v>
      </x:c>
      <x:c r="F68"/>
      <x:c r="G68" t="n">
        <x:v>66</x:v>
      </x:c>
      <x:c r="H68" t="n">
        <x:v>5</x:v>
      </x:c>
      <x:c r="I68" t="n">
        <x:v>6</x:v>
      </x:c>
      <x:c r="J68" t="n">
        <x:v>30</x:v>
      </x:c>
      <x:c r="K68"/>
      <x:c r="L68"/>
    </x:row>
    <x:row r="69" customHeight="1">
      <x:c r="A69" t="n">
        <x:v>67</x:v>
      </x:c>
      <x:c r="B69" s="95" t="n">
        <x:v>1320279</x:v>
      </x:c>
      <x:c r="C69" s="95" t="n">
        <x:v>5456</x:v>
      </x:c>
      <x:c r="D69" s="96" t="n">
        <x:v>0.185237374365485</x:v>
      </x:c>
      <x:c r="E69" s="95" t="n">
        <x:f t="shared" si="1">B69/(1-D69)</x:f>
        <x:v>1620446.1992495086</x:v>
      </x:c>
      <x:c r="F69"/>
      <x:c r="G69" t="n">
        <x:v>67</x:v>
      </x:c>
      <x:c r="H69" t="n">
        <x:v>5</x:v>
      </x:c>
      <x:c r="I69" t="n">
        <x:v>7</x:v>
      </x:c>
      <x:c r="J69" t="n">
        <x:v>30</x:v>
      </x:c>
      <x:c r="K69"/>
      <x:c r="L69"/>
    </x:row>
    <x:row r="70" customHeight="1">
      <x:c r="A70" t="n">
        <x:v>68</x:v>
      </x:c>
      <x:c r="B70" s="95" t="n">
        <x:v>1356090</x:v>
      </x:c>
      <x:c r="C70" s="95" t="n">
        <x:v>5546</x:v>
      </x:c>
      <x:c r="D70" s="96" t="n">
        <x:v>0.18769647984325</x:v>
      </x:c>
      <x:c r="E70" s="95" t="n">
        <x:f t="shared" si="1">B70/(1-D70)</x:f>
        <x:v>1669437.5517889122</x:v>
      </x:c>
      <x:c r="F70"/>
      <x:c r="G70" t="n">
        <x:v>68</x:v>
      </x:c>
      <x:c r="H70" t="n">
        <x:v>5</x:v>
      </x:c>
      <x:c r="I70" t="n">
        <x:v>8</x:v>
      </x:c>
      <x:c r="J70" t="n">
        <x:v>31</x:v>
      </x:c>
      <x:c r="K70"/>
      <x:c r="L70"/>
    </x:row>
    <x:row r="71" customHeight="1">
      <x:c r="A71" t="n">
        <x:v>69</x:v>
      </x:c>
      <x:c r="B71" s="95" t="n">
        <x:v>1392627</x:v>
      </x:c>
      <x:c r="C71" s="95" t="n">
        <x:v>5635</x:v>
      </x:c>
      <x:c r="D71" s="96" t="n">
        <x:v>0.19014700243535</x:v>
      </x:c>
      <x:c r="E71" s="95" t="n">
        <x:f t="shared" si="1">B71/(1-D71)</x:f>
        <x:v>1719604.6741665946</x:v>
      </x:c>
      <x:c r="F71"/>
      <x:c r="G71" t="n">
        <x:v>69</x:v>
      </x:c>
      <x:c r="H71" t="n">
        <x:v>5</x:v>
      </x:c>
      <x:c r="I71" t="n">
        <x:v>9</x:v>
      </x:c>
      <x:c r="J71" t="n">
        <x:v>31</x:v>
      </x:c>
      <x:c r="K71"/>
      <x:c r="L71"/>
    </x:row>
    <x:row r="72" customHeight="1">
      <x:c r="A72" t="n">
        <x:v>70</x:v>
      </x:c>
      <x:c r="B72" s="95" t="n">
        <x:v>1429839</x:v>
      </x:c>
      <x:c r="C72" s="95" t="n">
        <x:v>5725</x:v>
      </x:c>
      <x:c r="D72" s="96" t="n">
        <x:v>0.192588963315102</x:v>
      </x:c>
      <x:c r="E72" s="95" t="n">
        <x:f t="shared" si="1">B72/(1-D72)</x:f>
        <x:v>1770893.553636191</x:v>
      </x:c>
      <x:c r="F72"/>
      <x:c r="G72" t="n">
        <x:v>70</x:v>
      </x:c>
      <x:c r="H72" t="n">
        <x:v>5</x:v>
      </x:c>
      <x:c r="I72" t="n">
        <x:v>10</x:v>
      </x:c>
      <x:c r="J72" t="n">
        <x:v>31</x:v>
      </x:c>
      <x:c r="K72"/>
      <x:c r="L72"/>
    </x:row>
    <x:row r="73" customHeight="1">
      <x:c r="A73" t="n">
        <x:v>71</x:v>
      </x:c>
      <x:c r="B73" s="95" t="n">
        <x:v>1467726</x:v>
      </x:c>
      <x:c r="C73" s="95" t="n">
        <x:v>5814</x:v>
      </x:c>
      <x:c r="D73" s="96" t="n">
        <x:v>0.195022383793347</x:v>
      </x:c>
      <x:c r="E73" s="95" t="n">
        <x:f t="shared" si="1">B73/(1-D73)</x:f>
        <x:v>1823312.8107542396</x:v>
      </x:c>
      <x:c r="F73"/>
      <x:c r="G73" t="n">
        <x:v>71</x:v>
      </x:c>
      <x:c r="H73" t="n">
        <x:v>5</x:v>
      </x:c>
      <x:c r="I73" t="n">
        <x:v>11</x:v>
      </x:c>
      <x:c r="J73" t="n">
        <x:v>32</x:v>
      </x:c>
      <x:c r="K73"/>
      <x:c r="L73"/>
    </x:row>
    <x:row r="74" customHeight="1">
      <x:c r="A74" t="n">
        <x:v>72</x:v>
      </x:c>
      <x:c r="B74" s="95" t="n">
        <x:v>1506289</x:v>
      </x:c>
      <x:c r="C74" s="95" t="n">
        <x:v>5905</x:v>
      </x:c>
      <x:c r="D74" s="96" t="n">
        <x:v>0.197447285314779</x:v>
      </x:c>
      <x:c r="E74" s="95" t="n">
        <x:f t="shared" si="1">B74/(1-D74)</x:f>
        <x:v>1876872.3504857873</x:v>
      </x:c>
      <x:c r="F74"/>
      <x:c r="G74" t="n">
        <x:v>72</x:v>
      </x:c>
      <x:c r="H74" t="n">
        <x:v>5</x:v>
      </x:c>
      <x:c r="I74" t="n">
        <x:v>12</x:v>
      </x:c>
      <x:c r="J74" t="n">
        <x:v>32</x:v>
      </x:c>
      <x:c r="K74"/>
      <x:c r="L74"/>
    </x:row>
    <x:row r="75" customHeight="1">
      <x:c r="A75" t="n">
        <x:v>73</x:v>
      </x:c>
      <x:c r="B75" s="95" t="n">
        <x:v>1545582</x:v>
      </x:c>
      <x:c r="C75" s="95" t="n">
        <x:v>5995</x:v>
      </x:c>
      <x:c r="D75" s="96" t="n">
        <x:v>0.199863689454787</x:v>
      </x:c>
      <x:c r="E75" s="95" t="n">
        <x:f t="shared" si="1">B75/(1-D75)</x:f>
        <x:v>1931648.369946916</x:v>
      </x:c>
      <x:c r="F75"/>
      <x:c r="G75" t="n">
        <x:v>73</x:v>
      </x:c>
      <x:c r="H75" t="n">
        <x:v>5</x:v>
      </x:c>
      <x:c r="I75" t="n">
        <x:v>13</x:v>
      </x:c>
      <x:c r="J75" t="n">
        <x:v>32</x:v>
      </x:c>
      <x:c r="K75"/>
      <x:c r="L75"/>
    </x:row>
    <x:row r="76" customHeight="1">
      <x:c r="A76" t="n">
        <x:v>74</x:v>
      </x:c>
      <x:c r="B76" s="95" t="n">
        <x:v>1585604</x:v>
      </x:c>
      <x:c r="C76" s="95" t="n">
        <x:v>6085</x:v>
      </x:c>
      <x:c r="D76" s="96" t="n">
        <x:v>0.202271617915878</x:v>
      </x:c>
      <x:c r="E76" s="95" t="n">
        <x:f t="shared" si="1">B76/(1-D76)</x:f>
        <x:v>1987648.9737741272</x:v>
      </x:c>
      <x:c r="F76"/>
      <x:c r="G76" t="n">
        <x:v>74</x:v>
      </x:c>
      <x:c r="H76" t="n">
        <x:v>5</x:v>
      </x:c>
      <x:c r="I76" t="n">
        <x:v>14</x:v>
      </x:c>
      <x:c r="J76" t="n">
        <x:v>32</x:v>
      </x:c>
      <x:c r="K76"/>
      <x:c r="L76"/>
    </x:row>
    <x:row r="77" customHeight="1">
      <x:c r="A77" t="n">
        <x:v>75</x:v>
      </x:c>
      <x:c r="B77" s="95" t="n">
        <x:v>1626358</x:v>
      </x:c>
      <x:c r="C77" s="95" t="n">
        <x:v>6176</x:v>
      </x:c>
      <x:c r="D77" s="96" t="n">
        <x:v>0.204671092523404</x:v>
      </x:c>
      <x:c r="E77" s="95" t="n">
        <x:f t="shared" si="1">B77/(1-D77)</x:f>
        <x:v>2044887.3223533102</x:v>
      </x:c>
      <x:c r="F77"/>
      <x:c r="G77" t="n">
        <x:v>75</x:v>
      </x:c>
      <x:c r="H77" t="n">
        <x:v>5</x:v>
      </x:c>
      <x:c r="I77" t="n">
        <x:v>15</x:v>
      </x:c>
      <x:c r="J77" t="n">
        <x:v>33</x:v>
      </x:c>
      <x:c r="K77"/>
      <x:c r="L77"/>
    </x:row>
    <x:row r="78" customHeight="1">
      <x:c r="A78" t="n">
        <x:v>76</x:v>
      </x:c>
      <x:c r="B78" s="95" t="n">
        <x:v>1667789</x:v>
      </x:c>
      <x:c r="C78" s="95" t="n">
        <x:v>6267</x:v>
      </x:c>
      <x:c r="D78" s="96" t="n">
        <x:v>0.207062135222811</x:v>
      </x:c>
      <x:c r="E78" s="95" t="n">
        <x:f t="shared" si="1">B78/(1-D78)</x:f>
        <x:v>2103303.517317387</x:v>
      </x:c>
      <x:c r="F78"/>
      <x:c r="G78" t="n">
        <x:v>76</x:v>
      </x:c>
      <x:c r="H78" t="n">
        <x:v>6</x:v>
      </x:c>
      <x:c r="I78" t="n">
        <x:v>1</x:v>
      </x:c>
      <x:c r="J78" t="n">
        <x:v>33</x:v>
      </x:c>
      <x:c r="K78"/>
      <x:c r="L78"/>
    </x:row>
    <x:row r="79" customHeight="1">
      <x:c r="A79" t="n">
        <x:v>77</x:v>
      </x:c>
      <x:c r="B79" s="95" t="n">
        <x:v>1710005</x:v>
      </x:c>
      <x:c r="C79" s="95" t="n">
        <x:v>6358</x:v>
      </x:c>
      <x:c r="D79" s="96" t="n">
        <x:v>0.209444768076193</x:v>
      </x:c>
      <x:c r="E79" s="95" t="n">
        <x:f t="shared" si="1">B79/(1-D79)</x:f>
        <x:v>2163043.0499317837</x:v>
      </x:c>
      <x:c r="F79"/>
      <x:c r="G79" t="n">
        <x:v>77</x:v>
      </x:c>
      <x:c r="H79" t="n">
        <x:v>6</x:v>
      </x:c>
      <x:c r="I79" t="n">
        <x:v>2</x:v>
      </x:c>
      <x:c r="J79" t="n">
        <x:v>33</x:v>
      </x:c>
      <x:c r="K79"/>
      <x:c r="L79"/>
    </x:row>
    <x:row r="80" customHeight="1">
      <x:c r="A80" t="n">
        <x:v>78</x:v>
      </x:c>
      <x:c r="B80" s="95" t="n">
        <x:v>1752953</x:v>
      </x:c>
      <x:c r="C80" s="95" t="n">
        <x:v>6450</x:v>
      </x:c>
      <x:c r="D80" s="96" t="n">
        <x:v>0.211819013258426</x:v>
      </x:c>
      <x:c r="E80" s="95" t="n">
        <x:f t="shared" si="1">B80/(1-D80)</x:f>
        <x:v>2224048.8282353757</x:v>
      </x:c>
      <x:c r="F80"/>
      <x:c r="G80" t="n">
        <x:v>78</x:v>
      </x:c>
      <x:c r="H80" t="n">
        <x:v>6</x:v>
      </x:c>
      <x:c r="I80" t="n">
        <x:v>3</x:v>
      </x:c>
      <x:c r="J80" t="n">
        <x:v>33</x:v>
      </x:c>
      <x:c r="K80"/>
      <x:c r="L80"/>
    </x:row>
    <x:row r="81" customHeight="1">
      <x:c r="A81" t="n">
        <x:v>79</x:v>
      </x:c>
      <x:c r="B81" s="95" t="n">
        <x:v>1796633</x:v>
      </x:c>
      <x:c r="C81" s="95" t="n">
        <x:v>6542</x:v>
      </x:c>
      <x:c r="D81" s="96" t="n">
        <x:v>0.214184893053832</x:v>
      </x:c>
      <x:c r="E81" s="95" t="n">
        <x:f t="shared" si="1">B81/(1-D81)</x:f>
        <x:v>2286330.440988936</x:v>
      </x:c>
      <x:c r="F81"/>
      <x:c r="G81" t="n">
        <x:v>79</x:v>
      </x:c>
      <x:c r="H81" t="n">
        <x:v>6</x:v>
      </x:c>
      <x:c r="I81" t="n">
        <x:v>4</x:v>
      </x:c>
      <x:c r="J81" t="n">
        <x:v>33</x:v>
      </x:c>
      <x:c r="K81"/>
      <x:c r="L81"/>
    </x:row>
    <x:row r="82" customHeight="1">
      <x:c r="A82" t="n">
        <x:v>80</x:v>
      </x:c>
      <x:c r="B82" s="95" t="n">
        <x:v>1841099</x:v>
      </x:c>
      <x:c r="C82" s="95" t="n">
        <x:v>6633</x:v>
      </x:c>
      <x:c r="D82" s="96" t="n">
        <x:v>0.216542429853362</x:v>
      </x:c>
      <x:c r="E82" s="95" t="n">
        <x:f t="shared" si="1">B82/(1-D82)</x:f>
        <x:v>2349966.443818273</x:v>
      </x:c>
      <x:c r="F82"/>
      <x:c r="G82" t="n">
        <x:v>80</x:v>
      </x:c>
      <x:c r="H82" t="n">
        <x:v>6</x:v>
      </x:c>
      <x:c r="I82" t="n">
        <x:v>5</x:v>
      </x:c>
      <x:c r="J82" t="n">
        <x:v>34</x:v>
      </x:c>
      <x:c r="K82"/>
      <x:c r="L82"/>
    </x:row>
    <x:row r="83" customHeight="1">
      <x:c r="A83" t="n">
        <x:v>81</x:v>
      </x:c>
      <x:c r="B83" s="95" t="n">
        <x:v>1886297</x:v>
      </x:c>
      <x:c r="C83" s="95" t="n">
        <x:v>6726</x:v>
      </x:c>
      <x:c r="D83" s="96" t="n">
        <x:v>0.218891646151346</x:v>
      </x:c>
      <x:c r="E83" s="95" t="n">
        <x:f t="shared" si="1">B83/(1-D83)</x:f>
        <x:v>2414897.9980893726</x:v>
      </x:c>
      <x:c r="F83"/>
      <x:c r="G83" t="n">
        <x:v>81</x:v>
      </x:c>
      <x:c r="H83" t="n">
        <x:v>6</x:v>
      </x:c>
      <x:c r="I83" t="n">
        <x:v>6</x:v>
      </x:c>
      <x:c r="J83" t="n">
        <x:v>34</x:v>
      </x:c>
      <x:c r="K83"/>
      <x:c r="L83"/>
    </x:row>
    <x:row r="84" customHeight="1">
      <x:c r="A84" t="n">
        <x:v>82</x:v>
      </x:c>
      <x:c r="B84" s="95" t="n">
        <x:v>1932332</x:v>
      </x:c>
      <x:c r="C84" s="95" t="n">
        <x:v>6818</x:v>
      </x:c>
      <x:c r="D84" s="96" t="n">
        <x:v>0.221232564541819</x:v>
      </x:c>
      <x:c r="E84" s="95" t="n">
        <x:f t="shared" si="1">B84/(1-D84)</x:f>
        <x:v>2481269.6474180757</x:v>
      </x:c>
      <x:c r="F84"/>
      <x:c r="G84" t="n">
        <x:v>82</x:v>
      </x:c>
      <x:c r="H84" t="n">
        <x:v>6</x:v>
      </x:c>
      <x:c r="I84" t="n">
        <x:v>7</x:v>
      </x:c>
      <x:c r="J84" t="n">
        <x:v>34</x:v>
      </x:c>
      <x:c r="K84"/>
      <x:c r="L84"/>
    </x:row>
    <x:row r="85" customHeight="1">
      <x:c r="A85" t="n">
        <x:v>83</x:v>
      </x:c>
      <x:c r="B85" s="95" t="n">
        <x:v>1979049</x:v>
      </x:c>
      <x:c r="C85" s="95" t="n">
        <x:v>6911</x:v>
      </x:c>
      <x:c r="D85" s="96" t="n">
        <x:v>0.223565207715377</x:v>
      </x:c>
      <x:c r="E85" s="95" t="n">
        <x:f t="shared" si="1">B85/(1-D85)</x:f>
        <x:v>2548892.7333829813</x:v>
      </x:c>
      <x:c r="F85"/>
      <x:c r="G85" t="n">
        <x:v>83</x:v>
      </x:c>
      <x:c r="H85" t="n">
        <x:v>6</x:v>
      </x:c>
      <x:c r="I85" t="n">
        <x:v>8</x:v>
      </x:c>
      <x:c r="J85" t="n">
        <x:v>34</x:v>
      </x:c>
      <x:c r="K85"/>
      <x:c r="L85"/>
    </x:row>
    <x:row r="86" customHeight="1">
      <x:c r="A86" t="n">
        <x:v>84</x:v>
      </x:c>
      <x:c r="B86" s="95" t="n">
        <x:v>2026603</x:v>
      </x:c>
      <x:c r="C86" s="95" t="n">
        <x:v>7003</x:v>
      </x:c>
      <x:c r="D86" s="96" t="n">
        <x:v>0.225889598456766</x:v>
      </x:c>
      <x:c r="E86" s="95" t="n">
        <x:f t="shared" si="1">B86/(1-D86)</x:f>
        <x:v>2617976.7071464863</x:v>
      </x:c>
      <x:c r="F86"/>
      <x:c r="G86" t="n">
        <x:v>84</x:v>
      </x:c>
      <x:c r="H86" t="n">
        <x:v>6</x:v>
      </x:c>
      <x:c r="I86" t="n">
        <x:v>9</x:v>
      </x:c>
      <x:c r="J86" t="n">
        <x:v>34</x:v>
      </x:c>
      <x:c r="K86"/>
      <x:c r="L86"/>
    </x:row>
    <x:row r="87" customHeight="1">
      <x:c r="A87" t="n">
        <x:v>85</x:v>
      </x:c>
      <x:c r="B87" s="95" t="n">
        <x:v>2074943</x:v>
      </x:c>
      <x:c r="C87" s="95" t="n">
        <x:v>7096</x:v>
      </x:c>
      <x:c r="D87" s="96" t="n">
        <x:v>0.228205759640889</x:v>
      </x:c>
      <x:c r="E87" s="95" t="n">
        <x:f t="shared" si="1">B87/(1-D87)</x:f>
        <x:v>2688466.5516997664</x:v>
      </x:c>
      <x:c r="F87"/>
      <x:c r="G87" t="n">
        <x:v>85</x:v>
      </x:c>
      <x:c r="H87" t="n">
        <x:v>6</x:v>
      </x:c>
      <x:c r="I87" t="n">
        <x:v>10</x:v>
      </x:c>
      <x:c r="J87" t="n">
        <x:v>35</x:v>
      </x:c>
      <x:c r="K87"/>
      <x:c r="L87"/>
    </x:row>
    <x:row r="88" customHeight="1">
      <x:c r="A88" t="n">
        <x:v>86</x:v>
      </x:c>
      <x:c r="B88" s="95" t="n">
        <x:v>2124121</x:v>
      </x:c>
      <x:c r="C88" s="95" t="n">
        <x:v>7190</x:v>
      </x:c>
      <x:c r="D88" s="96" t="n">
        <x:v>0.230513714230485</x:v>
      </x:c>
      <x:c r="E88" s="95" t="n">
        <x:f t="shared" si="1">B88/(1-D88)</x:f>
        <x:v>2760440.3603838105</x:v>
      </x:c>
      <x:c r="F88"/>
      <x:c r="G88" t="n">
        <x:v>86</x:v>
      </x:c>
      <x:c r="H88" t="n">
        <x:v>6</x:v>
      </x:c>
      <x:c r="I88" t="n">
        <x:v>11</x:v>
      </x:c>
      <x:c r="J88" t="n">
        <x:v>35</x:v>
      </x:c>
      <x:c r="K88"/>
      <x:c r="L88"/>
    </x:row>
    <x:row r="89" customHeight="1">
      <x:c r="A89" t="n">
        <x:v>87</x:v>
      </x:c>
      <x:c r="B89" s="95" t="n">
        <x:v>2174032</x:v>
      </x:c>
      <x:c r="C89" s="95" t="n">
        <x:v>7283</x:v>
      </x:c>
      <x:c r="D89" s="96" t="n">
        <x:v>0.232813485273152</x:v>
      </x:c>
      <x:c r="E89" s="95" t="n">
        <x:f t="shared" si="1">B89/(1-D89)</x:f>
        <x:v>2833772.437689485</x:v>
      </x:c>
      <x:c r="F89"/>
      <x:c r="G89" t="n">
        <x:v>87</x:v>
      </x:c>
      <x:c r="H89" t="n">
        <x:v>6</x:v>
      </x:c>
      <x:c r="I89" t="n">
        <x:v>12</x:v>
      </x:c>
      <x:c r="J89" t="n">
        <x:v>35</x:v>
      </x:c>
      <x:c r="K89"/>
      <x:c r="L89"/>
    </x:row>
    <x:row r="90" customHeight="1">
      <x:c r="A90" t="n">
        <x:v>88</x:v>
      </x:c>
      <x:c r="B90" s="95" t="n">
        <x:v>2224832</x:v>
      </x:c>
      <x:c r="C90" s="95" t="n">
        <x:v>7377</x:v>
      </x:c>
      <x:c r="D90" s="96" t="n">
        <x:v>0.235105095897961</x:v>
      </x:c>
      <x:c r="E90" s="95" t="n">
        <x:f t="shared" si="1">B90/(1-D90)</x:f>
        <x:v>2908676.7189433407</x:v>
      </x:c>
      <x:c r="F90"/>
      <x:c r="G90" t="n">
        <x:v>88</x:v>
      </x:c>
      <x:c r="H90" t="n">
        <x:v>6</x:v>
      </x:c>
      <x:c r="I90" t="n">
        <x:v>13</x:v>
      </x:c>
      <x:c r="J90" t="n">
        <x:v>35</x:v>
      </x:c>
      <x:c r="K90"/>
      <x:c r="L90"/>
    </x:row>
    <x:row r="91" customHeight="1">
      <x:c r="A91" t="n">
        <x:v>89</x:v>
      </x:c>
      <x:c r="B91" s="95" t="n">
        <x:v>2276366</x:v>
      </x:c>
      <x:c r="C91" s="95" t="n">
        <x:v>7471</x:v>
      </x:c>
      <x:c r="D91" s="96" t="n">
        <x:v>0.237388569312795</x:v>
      </x:c>
      <x:c r="E91" s="95" t="n">
        <x:f t="shared" si="1">B91/(1-D91)</x:f>
        <x:v>2984961.8146278234</x:v>
      </x:c>
      <x:c r="F91"/>
      <x:c r="G91" t="n">
        <x:v>89</x:v>
      </x:c>
      <x:c r="H91" t="n">
        <x:v>6</x:v>
      </x:c>
      <x:c r="I91" t="n">
        <x:v>14</x:v>
      </x:c>
      <x:c r="J91" t="n">
        <x:v>35</x:v>
      </x:c>
      <x:c r="K91"/>
      <x:c r="L91"/>
    </x:row>
    <x:row r="92" customHeight="1">
      <x:c r="A92" t="n">
        <x:v>90</x:v>
      </x:c>
      <x:c r="B92" s="95" t="n">
        <x:v>2328789</x:v>
      </x:c>
      <x:c r="C92" s="95" t="n">
        <x:v>7565</x:v>
      </x:c>
      <x:c r="D92" s="96" t="n">
        <x:v>0.239663928801282</x:v>
      </x:c>
      <x:c r="E92" s="95" t="n">
        <x:f t="shared" si="1">B92/(1-D92)</x:f>
        <x:v>3062841.6672755205</x:v>
      </x:c>
      <x:c r="F92"/>
      <x:c r="G92" t="n">
        <x:v>90</x:v>
      </x:c>
      <x:c r="H92" t="n">
        <x:v>6</x:v>
      </x:c>
      <x:c r="I92" t="n">
        <x:v>15</x:v>
      </x:c>
      <x:c r="J92" t="n">
        <x:v>36</x:v>
      </x:c>
      <x:c r="K92"/>
      <x:c r="L92"/>
    </x:row>
    <x:row r="93" customHeight="1">
      <x:c r="A93" t="n">
        <x:v>91</x:v>
      </x:c>
      <x:c r="B93" s="95" t="n">
        <x:v>2382049</x:v>
      </x:c>
      <x:c r="C93" s="95" t="n">
        <x:v>7659</x:v>
      </x:c>
      <x:c r="D93" s="96" t="n">
        <x:v>0.24193119772045</x:v>
      </x:c>
      <x:c r="E93" s="95" t="n">
        <x:f t="shared" si="1">B93/(1-D93)</x:f>
        <x:v>3142259.637696555</x:v>
      </x:c>
      <x:c r="F93"/>
      <x:c r="G93" t="n">
        <x:v>91</x:v>
      </x:c>
      <x:c r="H93" t="n">
        <x:v>7</x:v>
      </x:c>
      <x:c r="I93" t="n">
        <x:v>1</x:v>
      </x:c>
      <x:c r="J93" t="n">
        <x:v>36</x:v>
      </x:c>
      <x:c r="K93"/>
      <x:c r="L93"/>
    </x:row>
    <x:row r="94" customHeight="1">
      <x:c r="A94" t="n">
        <x:v>92</x:v>
      </x:c>
      <x:c r="B94" s="95" t="n">
        <x:v>2436094</x:v>
      </x:c>
      <x:c r="C94" s="95" t="n">
        <x:v>7754</x:v>
      </x:c>
      <x:c r="D94" s="96" t="n">
        <x:v>0.244190399497963</x:v>
      </x:c>
      <x:c r="E94" s="95" t="n">
        <x:f t="shared" si="1">B94/(1-D94)</x:f>
        <x:v>3223158.3170971307</x:v>
      </x:c>
      <x:c r="F94"/>
      <x:c r="G94" t="n">
        <x:v>92</x:v>
      </x:c>
      <x:c r="H94" t="n">
        <x:v>7</x:v>
      </x:c>
      <x:c r="I94" t="n">
        <x:v>2</x:v>
      </x:c>
      <x:c r="J94" t="n">
        <x:v>36</x:v>
      </x:c>
      <x:c r="K94"/>
      <x:c r="L94"/>
    </x:row>
    <x:row r="95" customHeight="1">
      <x:c r="A95" t="n">
        <x:v>93</x:v>
      </x:c>
      <x:c r="B95" s="95" t="n">
        <x:v>2491028</x:v>
      </x:c>
      <x:c r="C95" s="95" t="n">
        <x:v>7849</x:v>
      </x:c>
      <x:c r="D95" s="96" t="n">
        <x:v>0.246441557628948</x:v>
      </x:c>
      <x:c r="E95" s="95" t="n">
        <x:f t="shared" si="1">B95/(1-D95)</x:f>
        <x:v>3305686.539934508</x:v>
      </x:c>
      <x:c r="F95"/>
      <x:c r="G95" t="n">
        <x:v>93</x:v>
      </x:c>
      <x:c r="H95" t="n">
        <x:v>7</x:v>
      </x:c>
      <x:c r="I95" t="n">
        <x:v>3</x:v>
      </x:c>
      <x:c r="J95" t="n">
        <x:v>36</x:v>
      </x:c>
      <x:c r="K95"/>
      <x:c r="L95"/>
    </x:row>
    <x:row r="96" customHeight="1">
      <x:c r="A96" t="n">
        <x:v>94</x:v>
      </x:c>
      <x:c r="B96" s="95" t="n">
        <x:v>2546798</x:v>
      </x:c>
      <x:c r="C96" s="95" t="n">
        <x:v>7944</x:v>
      </x:c>
      <x:c r="D96" s="96" t="n">
        <x:v>0.248684695673331</x:v>
      </x:c>
      <x:c r="E96" s="95" t="n">
        <x:f t="shared" si="1">B96/(1-D96)</x:f>
        <x:v>3389785.866644162</x:v>
      </x:c>
      <x:c r="F96"/>
      <x:c r="G96" t="n">
        <x:v>94</x:v>
      </x:c>
      <x:c r="H96" t="n">
        <x:v>7</x:v>
      </x:c>
      <x:c r="I96" t="n">
        <x:v>4</x:v>
      </x:c>
      <x:c r="J96" t="n">
        <x:v>36</x:v>
      </x:c>
      <x:c r="K96"/>
      <x:c r="L96"/>
    </x:row>
    <x:row r="97" customHeight="1">
      <x:c r="A97" t="n">
        <x:v>95</x:v>
      </x:c>
      <x:c r="B97" s="95" t="n">
        <x:v>2603456</x:v>
      </x:c>
      <x:c r="C97" s="95" t="n">
        <x:v>8039</x:v>
      </x:c>
      <x:c r="D97" s="96" t="n">
        <x:v>0.250919837253862</x:v>
      </x:c>
      <x:c r="E97" s="95" t="n">
        <x:f t="shared" si="1">B97/(1-D97)</x:f>
        <x:v>3475537.238171807</x:v>
      </x:c>
      <x:c r="F97"/>
      <x:c r="G97" t="n">
        <x:v>95</x:v>
      </x:c>
      <x:c r="H97" t="n">
        <x:v>7</x:v>
      </x:c>
      <x:c r="I97" t="n">
        <x:v>5</x:v>
      </x:c>
      <x:c r="J97" t="n">
        <x:v>37</x:v>
      </x:c>
      <x:c r="K97"/>
      <x:c r="L97"/>
    </x:row>
    <x:row r="98" customHeight="1">
      <x:c r="A98" t="n">
        <x:v>96</x:v>
      </x:c>
      <x:c r="B98" s="95" t="n">
        <x:v>2660951</x:v>
      </x:c>
      <x:c r="C98" s="95" t="n">
        <x:v>8135</x:v>
      </x:c>
      <x:c r="D98" s="96" t="n">
        <x:v>0.253147006052852</x:v>
      </x:c>
      <x:c r="E98" s="95" t="n">
        <x:f t="shared" si="1">B98/(1-D98)</x:f>
        <x:v>3562884.559030509</x:v>
      </x:c>
      <x:c r="F98"/>
      <x:c r="G98" t="n">
        <x:v>96</x:v>
      </x:c>
      <x:c r="H98" t="n">
        <x:v>7</x:v>
      </x:c>
      <x:c r="I98" t="n">
        <x:v>6</x:v>
      </x:c>
      <x:c r="J98" t="n">
        <x:v>37</x:v>
      </x:c>
      <x:c r="K98"/>
      <x:c r="L98"/>
    </x:row>
    <x:row r="99" customHeight="1">
      <x:c r="A99" t="n">
        <x:v>97</x:v>
      </x:c>
      <x:c r="B99" s="95" t="n">
        <x:v>2719333</x:v>
      </x:c>
      <x:c r="C99" s="95" t="n">
        <x:v>8231</x:v>
      </x:c>
      <x:c r="D99" s="96" t="n">
        <x:v>0.255366225809622</x:v>
      </x:c>
      <x:c r="E99" s="95" t="n">
        <x:f t="shared" si="1">B99/(1-D99)</x:f>
        <x:v>3651906.6073207115</x:v>
      </x:c>
      <x:c r="F99"/>
      <x:c r="G99" t="n">
        <x:v>97</x:v>
      </x:c>
      <x:c r="H99" t="n">
        <x:v>7</x:v>
      </x:c>
      <x:c r="I99" t="n">
        <x:v>7</x:v>
      </x:c>
      <x:c r="J99" t="n">
        <x:v>37</x:v>
      </x:c>
      <x:c r="K99"/>
      <x:c r="L99"/>
    </x:row>
    <x:row r="100" customHeight="1">
      <x:c r="A100" t="n">
        <x:v>98</x:v>
      </x:c>
      <x:c r="B100" s="95" t="n">
        <x:v>2778550</x:v>
      </x:c>
      <x:c r="C100" s="95" t="n">
        <x:v>8327</x:v>
      </x:c>
      <x:c r="D100" s="96" t="n">
        <x:v>0.257577520318644</x:v>
      </x:c>
      <x:c r="E100" s="95" t="n">
        <x:f t="shared" si="1">B100/(1-D100)</x:f>
        <x:v>3742545.6206451883</x:v>
      </x:c>
      <x:c r="F100"/>
      <x:c r="G100" t="n">
        <x:v>98</x:v>
      </x:c>
      <x:c r="H100" t="n">
        <x:v>7</x:v>
      </x:c>
      <x:c r="I100" t="n">
        <x:v>8</x:v>
      </x:c>
      <x:c r="J100" t="n">
        <x:v>37</x:v>
      </x:c>
      <x:c r="K100"/>
      <x:c r="L100"/>
    </x:row>
    <x:row r="101" customHeight="1">
      <x:c r="A101" t="n">
        <x:v>99</x:v>
      </x:c>
      <x:c r="B101" s="95" t="n">
        <x:v>2838706</x:v>
      </x:c>
      <x:c r="C101" s="95" t="n">
        <x:v>8423</x:v>
      </x:c>
      <x:c r="D101" s="96" t="n">
        <x:v>0.259780913426403</x:v>
      </x:c>
      <x:c r="E101" s="95" t="n">
        <x:f t="shared" si="1">B101/(1-D101)</x:f>
        <x:v>3834953.801502333</x:v>
      </x:c>
      <x:c r="F101"/>
      <x:c r="G101" t="n">
        <x:v>99</x:v>
      </x:c>
      <x:c r="H101" t="n">
        <x:v>7</x:v>
      </x:c>
      <x:c r="I101" t="n">
        <x:v>9</x:v>
      </x:c>
      <x:c r="J101" t="n">
        <x:v>37</x:v>
      </x:c>
      <x:c r="K101"/>
      <x:c r="L101"/>
    </x:row>
    <x:row r="102" customHeight="1">
      <x:c r="A102" t="n">
        <x:v>100</x:v>
      </x:c>
      <x:c r="B102" s="95" t="n">
        <x:v>2899749</x:v>
      </x:c>
      <x:c r="C102" s="95" t="n">
        <x:v>8519</x:v>
      </x:c>
      <x:c r="D102" s="96" t="n">
        <x:v>0.261976429028962</x:v>
      </x:c>
      <x:c r="E102" s="95" t="n">
        <x:f t="shared" si="1">B102/(1-D102)</x:f>
        <x:v>3929073.696365443</x:v>
      </x:c>
      <x:c r="F102"/>
      <x:c r="G102" t="n">
        <x:v>100</x:v>
      </x:c>
      <x:c r="H102" t="n">
        <x:v>7</x:v>
      </x:c>
      <x:c r="I102" t="n">
        <x:v>10</x:v>
      </x:c>
      <x:c r="J102" t="n">
        <x:v>38</x:v>
      </x:c>
      <x:c r="K102"/>
      <x:c r="L102"/>
    </x:row>
    <x:row r="103" customHeight="1">
      <x:c r="A103" t="n">
        <x:v>101</x:v>
      </x:c>
      <x:c r="B103" s="95" t="n">
        <x:v>2961730</x:v>
      </x:c>
      <x:c r="C103" s="95" t="n">
        <x:v>8616</x:v>
      </x:c>
      <x:c r="D103" s="96" t="n">
        <x:v>0.264164091070207</x:v>
      </x:c>
      <x:c r="E103" s="95" t="n">
        <x:f t="shared" si="1">B103/(1-D103)</x:f>
        <x:v>4024987.0440647146</x:v>
      </x:c>
      <x:c r="F103"/>
      <x:c r="G103" t="n">
        <x:v>101</x:v>
      </x:c>
      <x:c r="H103" t="n">
        <x:v>7</x:v>
      </x:c>
      <x:c r="I103" t="n">
        <x:v>11</x:v>
      </x:c>
      <x:c r="J103" t="n">
        <x:v>38</x:v>
      </x:c>
      <x:c r="K103"/>
      <x:c r="L103"/>
    </x:row>
    <x:row r="104" customHeight="1">
      <x:c r="A104" t="n">
        <x:v>102</x:v>
      </x:c>
      <x:c r="B104" s="95" t="n">
        <x:v>3024545</x:v>
      </x:c>
      <x:c r="C104" s="95" t="n">
        <x:v>8713</x:v>
      </x:c>
      <x:c r="D104" s="96" t="n">
        <x:v>0.266343923538834</x:v>
      </x:c>
      <x:c r="E104" s="95" t="n">
        <x:f t="shared" si="1">B104/(1-D104)</x:f>
        <x:v>4122565.1869321032</x:v>
      </x:c>
      <x:c r="F104"/>
      <x:c r="G104" t="n">
        <x:v>102</x:v>
      </x:c>
      <x:c r="H104" t="n">
        <x:v>7</x:v>
      </x:c>
      <x:c r="I104" t="n">
        <x:v>12</x:v>
      </x:c>
      <x:c r="J104" t="n">
        <x:v>38</x:v>
      </x:c>
      <x:c r="K104"/>
      <x:c r="L104"/>
    </x:row>
    <x:row r="105" customHeight="1">
      <x:c r="A105" t="n">
        <x:v>103</x:v>
      </x:c>
      <x:c r="B105" s="95" t="n">
        <x:v>3088349</x:v>
      </x:c>
      <x:c r="C105" s="95" t="n">
        <x:v>8810</x:v>
      </x:c>
      <x:c r="D105" s="96" t="n">
        <x:v>0.268515950466029</x:v>
      </x:c>
      <x:c r="E105" s="95" t="n">
        <x:f t="shared" si="1">B105/(1-D105)</x:f>
        <x:v>4222031.911656296</x:v>
      </x:c>
      <x:c r="F105"/>
      <x:c r="G105" t="n">
        <x:v>103</x:v>
      </x:c>
      <x:c r="H105" t="n">
        <x:v>7</x:v>
      </x:c>
      <x:c r="I105" t="n">
        <x:v>13</x:v>
      </x:c>
      <x:c r="J105" t="n">
        <x:v>38</x:v>
      </x:c>
      <x:c r="K105"/>
      <x:c r="L105"/>
    </x:row>
    <x:row r="106" customHeight="1">
      <x:c r="A106" t="n">
        <x:v>104</x:v>
      </x:c>
      <x:c r="B106" s="95" t="n">
        <x:v>3153038</x:v>
      </x:c>
      <x:c r="C106" s="95" t="n">
        <x:v>8907</x:v>
      </x:c>
      <x:c r="D106" s="96" t="n">
        <x:v>0.270680195923809</x:v>
      </x:c>
      <x:c r="E106" s="95" t="n">
        <x:f t="shared" si="1">B106/(1-D106)</x:f>
        <x:v>4323258.442150581</x:v>
      </x:c>
      <x:c r="F106"/>
      <x:c r="G106" t="n">
        <x:v>104</x:v>
      </x:c>
      <x:c r="H106" t="n">
        <x:v>7</x:v>
      </x:c>
      <x:c r="I106" t="n">
        <x:v>14</x:v>
      </x:c>
      <x:c r="J106" t="n">
        <x:v>38</x:v>
      </x:c>
      <x:c r="K106"/>
      <x:c r="L106"/>
    </x:row>
    <x:row r="107" customHeight="1">
      <x:c r="A107" t="n">
        <x:v>105</x:v>
      </x:c>
      <x:c r="B107" s="95" t="n">
        <x:v>3218664</x:v>
      </x:c>
      <x:c r="C107" s="95" t="n">
        <x:v>9005</x:v>
      </x:c>
      <x:c r="D107" s="96" t="n">
        <x:v>0.272836684022135</x:v>
      </x:c>
      <x:c r="E107" s="95" t="n">
        <x:f t="shared" si="1">B107/(1-D107)</x:f>
        <x:v>4426328.899267488</x:v>
      </x:c>
      <x:c r="F107"/>
      <x:c r="G107" t="n">
        <x:v>105</x:v>
      </x:c>
      <x:c r="H107" t="n">
        <x:v>7</x:v>
      </x:c>
      <x:c r="I107" t="n">
        <x:v>15</x:v>
      </x:c>
      <x:c r="J107" t="n">
        <x:v>39</x:v>
      </x:c>
      <x:c r="K107"/>
      <x:c r="L107"/>
    </x:row>
    <x:row r="108" customHeight="1">
      <x:c r="A108" t="n">
        <x:v>106</x:v>
      </x:c>
      <x:c r="B108" s="95" t="n">
        <x:v>3285226</x:v>
      </x:c>
      <x:c r="C108" s="95" t="n">
        <x:v>9103</x:v>
      </x:c>
      <x:c r="D108" s="96" t="n">
        <x:v>0.274985438906904</x:v>
      </x:c>
      <x:c r="E108" s="95" t="n">
        <x:f t="shared" si="1">B108/(1-D108)</x:f>
        <x:v>4531255.199960264</x:v>
      </x:c>
      <x:c r="F108"/>
      <x:c r="G108"/>
      <x:c r="H108"/>
      <x:c r="I108"/>
      <x:c r="J108"/>
      <x:c r="K108"/>
      <x:c r="L108"/>
    </x:row>
    <x:row r="109" customHeight="1">
      <x:c r="A109" t="n">
        <x:v>107</x:v>
      </x:c>
      <x:c r="B109" s="95" t="n">
        <x:v>3352775</x:v>
      </x:c>
      <x:c r="C109" s="95" t="n">
        <x:v>9201</x:v>
      </x:c>
      <x:c r="D109" s="96" t="n">
        <x:v>0.277126484757554</x:v>
      </x:c>
      <x:c r="E109" s="95" t="n">
        <x:f t="shared" si="1">B109/(1-D109)</x:f>
        <x:v>4638121.233249922</x:v>
      </x:c>
      <x:c r="F109"/>
      <x:c r="G109"/>
      <x:c r="H109"/>
      <x:c r="I109"/>
      <x:c r="J109"/>
      <x:c r="K109"/>
      <x:c r="L109"/>
    </x:row>
    <x:row r="110" customHeight="1">
      <x:c r="A110" t="n">
        <x:v>108</x:v>
      </x:c>
      <x:c r="B110" s="95" t="n">
        <x:v>3421209</x:v>
      </x:c>
      <x:c r="C110" s="95" t="n">
        <x:v>9299</x:v>
      </x:c>
      <x:c r="D110" s="96" t="n">
        <x:v>0.27925984578555</x:v>
      </x:c>
      <x:c r="E110" s="95" t="n">
        <x:f t="shared" si="1">B110/(1-D110)</x:f>
        <x:v>4746799.494928721</x:v>
      </x:c>
      <x:c r="F110"/>
      <x:c r="G110"/>
      <x:c r="H110"/>
      <x:c r="I110"/>
      <x:c r="J110"/>
      <x:c r="K110"/>
      <x:c r="L110"/>
    </x:row>
    <x:row r="111" customHeight="1">
      <x:c r="A111" t="n">
        <x:v>109</x:v>
      </x:c>
      <x:c r="B111" s="95" t="n">
        <x:v>3490680</x:v>
      </x:c>
      <x:c r="C111" s="95" t="n">
        <x:v>9398</x:v>
      </x:c>
      <x:c r="D111" s="96" t="n">
        <x:v>0.281385546231634</x:v>
      </x:c>
      <x:c r="E111" s="95" t="n">
        <x:f t="shared" si="1">B111/(1-D111)</x:f>
        <x:v>4857514.3203634545</x:v>
      </x:c>
      <x:c r="F111"/>
      <x:c r="G111"/>
      <x:c r="H111"/>
      <x:c r="I111"/>
      <x:c r="J111"/>
      <x:c r="K111"/>
      <x:c r="L111"/>
    </x:row>
    <x:row r="112" customHeight="1">
      <x:c r="A112" t="n">
        <x:v>110</x:v>
      </x:c>
      <x:c r="B112" s="95" t="n">
        <x:v>3561035</x:v>
      </x:c>
      <x:c r="C112" s="95" t="n">
        <x:v>9496</x:v>
      </x:c>
      <x:c r="D112" s="96" t="n">
        <x:v>0.283503610363758</x:v>
      </x:c>
      <x:c r="E112" s="95" t="n">
        <x:f t="shared" si="1">B112/(1-D112)</x:f>
        <x:v>4970066.913816414</x:v>
      </x:c>
      <x:c r="F112"/>
      <x:c r="G112"/>
      <x:c r="H112"/>
      <x:c r="I112"/>
      <x:c r="J112"/>
      <x:c r="K112"/>
      <x:c r="L112"/>
    </x:row>
    <x:row r="113" customHeight="1">
      <x:c r="A113" t="n">
        <x:v>111</x:v>
      </x:c>
      <x:c r="B113" s="95" t="n">
        <x:v>3632427</x:v>
      </x:c>
      <x:c r="C113" s="95" t="n">
        <x:v>9595</x:v>
      </x:c>
      <x:c r="D113" s="96" t="n">
        <x:v>0.285614062475648</x:v>
      </x:c>
      <x:c r="E113" s="95" t="n">
        <x:f t="shared" si="1">B113/(1-D113)</x:f>
        <x:v>5084684.35505308</x:v>
      </x:c>
      <x:c r="F113"/>
      <x:c r="G113"/>
      <x:c r="H113"/>
      <x:c r="I113"/>
      <x:c r="J113"/>
      <x:c r="K113"/>
      <x:c r="L113"/>
    </x:row>
    <x:row r="114" customHeight="1">
      <x:c r="A114" t="n">
        <x:v>112</x:v>
      </x:c>
      <x:c r="B114" s="95" t="n">
        <x:v>3704805</x:v>
      </x:c>
      <x:c r="C114" s="95" t="n">
        <x:v>9694</x:v>
      </x:c>
      <x:c r="D114" s="96" t="n">
        <x:v>0.287716926884178</x:v>
      </x:c>
      <x:c r="E114" s="95" t="n">
        <x:f t="shared" si="1">B114/(1-D114)</x:f>
        <x:v>5201309.90028114</x:v>
      </x:c>
      <x:c r="F114"/>
      <x:c r="G114"/>
      <x:c r="H114"/>
      <x:c r="I114"/>
      <x:c r="J114"/>
      <x:c r="K114"/>
      <x:c r="L114"/>
    </x:row>
    <x:row r="115" customHeight="1">
      <x:c r="A115" t="n">
        <x:v>113</x:v>
      </x:c>
      <x:c r="B115" s="95" t="n">
        <x:v>3778167</x:v>
      </x:c>
      <x:c r="C115" s="95" t="n">
        <x:v>9794</x:v>
      </x:c>
      <x:c r="D115" s="96" t="n">
        <x:v>0.289812227927595</x:v>
      </x:c>
      <x:c r="E115" s="95" t="n">
        <x:f t="shared" si="1">B115/(1-D115)</x:f>
        <x:v>5319955.015523428</x:v>
      </x:c>
      <x:c r="F115"/>
      <x:c r="G115"/>
      <x:c r="H115"/>
      <x:c r="I115"/>
      <x:c r="J115"/>
      <x:c r="K115"/>
      <x:c r="L115"/>
    </x:row>
    <x:row r="116" customHeight="1">
      <x:c r="A116" t="n">
        <x:v>114</x:v>
      </x:c>
      <x:c r="B116" s="95" t="n">
        <x:v>3852515</x:v>
      </x:c>
      <x:c r="C116" s="95" t="n">
        <x:v>9894</x:v>
      </x:c>
      <x:c r="D116" s="96" t="n">
        <x:v>0.291899989963573</x:v>
      </x:c>
      <x:c r="E116" s="95" t="n">
        <x:f t="shared" si="1">B116/(1-D116)</x:f>
        <x:v>5440636.838575689</x:v>
      </x:c>
      <x:c r="F116"/>
      <x:c r="G116"/>
      <x:c r="H116"/>
      <x:c r="I116"/>
      <x:c r="J116"/>
      <x:c r="K116"/>
      <x:c r="L116"/>
    </x:row>
    <x:row r="117" customHeight="1">
      <x:c r="A117" t="n">
        <x:v>115</x:v>
      </x:c>
      <x:c r="B117" s="95" t="n">
        <x:v>3927847</x:v>
      </x:c>
      <x:c r="C117" s="95" t="n">
        <x:v>9993</x:v>
      </x:c>
      <x:c r="D117" s="96" t="n">
        <x:v>0.293980237367098</x:v>
      </x:c>
      <x:c r="E117" s="95" t="n">
        <x:f t="shared" si="1">B117/(1-D117)</x:f>
        <x:v>5563366.930908846</x:v>
      </x:c>
      <x:c r="F117"/>
      <x:c r="G117"/>
      <x:c r="H117"/>
      <x:c r="I117"/>
      <x:c r="J117"/>
      <x:c r="K117"/>
      <x:c r="L117"/>
    </x:row>
    <x:row r="118" customHeight="1">
      <x:c r="A118" t="n">
        <x:v>116</x:v>
      </x:c>
      <x:c r="B118" s="95" t="n">
        <x:v>4004214</x:v>
      </x:c>
      <x:c r="C118" s="95" t="n">
        <x:v>10093</x:v>
      </x:c>
      <x:c r="D118" s="96" t="n">
        <x:v>0.296052994529386</x:v>
      </x:c>
      <x:c r="E118" s="95" t="n">
        <x:f t="shared" si="1">B118/(1-D118)</x:f>
        <x:v>5688232.1664583795</x:v>
      </x:c>
      <x:c r="F118"/>
      <x:c r="G118"/>
      <x:c r="H118"/>
      <x:c r="I118"/>
      <x:c r="J118"/>
      <x:c r="K118"/>
      <x:c r="L118"/>
    </x:row>
    <x:row r="119" customHeight="1">
      <x:c r="A119" t="n">
        <x:v>117</x:v>
      </x:c>
      <x:c r="B119" s="95" t="n">
        <x:v>4081616</x:v>
      </x:c>
      <x:c r="C119" s="95" t="n">
        <x:v>10194</x:v>
      </x:c>
      <x:c r="D119" s="96" t="n">
        <x:v>0.29811828585463</x:v>
      </x:c>
      <x:c r="E119" s="95" t="n">
        <x:f t="shared" si="1">B119/(1-D119)</x:f>
        <x:v>5815247.666011481</x:v>
      </x:c>
      <x:c r="F119"/>
      <x:c r="G119"/>
      <x:c r="H119"/>
      <x:c r="I119"/>
      <x:c r="J119"/>
      <x:c r="K119"/>
      <x:c r="L119"/>
    </x:row>
    <x:row r="120" customHeight="1">
      <x:c r="A120" t="n">
        <x:v>118</x:v>
      </x:c>
      <x:c r="B120" s="95" t="n">
        <x:v>4160053</x:v>
      </x:c>
      <x:c r="C120" s="95" t="n">
        <x:v>10294</x:v>
      </x:c>
      <x:c r="D120" s="96" t="n">
        <x:v>0.300176135759581</x:v>
      </x:c>
      <x:c r="E120" s="95" t="n">
        <x:f t="shared" si="1">B120/(1-D120)</x:f>
        <x:v>5944428.609211941</x:v>
      </x:c>
      <x:c r="F120"/>
      <x:c r="G120"/>
      <x:c r="H120"/>
      <x:c r="I120"/>
      <x:c r="J120"/>
      <x:c r="K120"/>
      <x:c r="L120"/>
    </x:row>
    <x:row r="121" customHeight="1">
      <x:c r="A121" t="n">
        <x:v>119</x:v>
      </x:c>
      <x:c r="B121" s="95" t="n">
        <x:v>4239524</x:v>
      </x:c>
      <x:c r="C121" s="95" t="n">
        <x:v>10395</x:v>
      </x:c>
      <x:c r="D121" s="96" t="n">
        <x:v>0.302226568670956</x:v>
      </x:c>
      <x:c r="E121" s="95" t="n">
        <x:f t="shared" si="1">B121/(1-D121)</x:f>
        <x:v>6075788.801423707</x:v>
      </x:c>
      <x:c r="F121"/>
      <x:c r="G121"/>
      <x:c r="H121"/>
      <x:c r="I121"/>
      <x:c r="J121"/>
      <x:c r="K121"/>
      <x:c r="L121"/>
    </x:row>
    <x:row r="122" customHeight="1">
      <x:c r="A122" t="n">
        <x:v>120</x:v>
      </x:c>
      <x:c r="B122" s="95" t="n">
        <x:v>4320029</x:v>
      </x:c>
      <x:c r="C122" s="95" t="n">
        <x:v>10496</x:v>
      </x:c>
      <x:c r="D122" s="96" t="n">
        <x:v>0.304269609023683</x:v>
      </x:c>
      <x:c r="E122" s="95" t="n">
        <x:f t="shared" si="1">B122/(1-D122)</x:f>
        <x:v>6209343.527365122</x:v>
      </x:c>
      <x:c r="F122"/>
      <x:c r="G122"/>
      <x:c r="H122"/>
      <x:c r="I122"/>
      <x:c r="J122"/>
      <x:c r="K122"/>
      <x:c r="L122"/>
    </x:row>
    <x:row r="123" customHeight="1">
      <x:c r="A123" t="n">
        <x:v>121</x:v>
      </x:c>
      <x:c r="B123" s="95" t="n">
        <x:v>4401619</x:v>
      </x:c>
      <x:c r="C123" s="95" t="n">
        <x:v>10597</x:v>
      </x:c>
      <x:c r="D123" s="96" t="n">
        <x:v>0.30630528125996</x:v>
      </x:c>
      <x:c r="E123" s="95" t="n">
        <x:f t="shared" si="1">B123/(1-D123)</x:f>
        <x:v>6345181.649926174</x:v>
      </x:c>
      <x:c r="F123"/>
      <x:c r="G123"/>
      <x:c r="H123"/>
      <x:c r="I123"/>
      <x:c r="J123"/>
      <x:c r="K123"/>
      <x:c r="L123"/>
    </x:row>
    <x:row r="124" customHeight="1">
      <x:c r="A124" t="n">
        <x:v>122</x:v>
      </x:c>
      <x:c r="B124" s="95" t="n">
        <x:v>4484242</x:v>
      </x:c>
      <x:c r="C124" s="95" t="n">
        <x:v>10699</x:v>
      </x:c>
      <x:c r="D124" s="96" t="n">
        <x:v>0.308333609826174</x:v>
      </x:c>
      <x:c r="E124" s="95" t="n">
        <x:f t="shared" si="1">B124/(1-D124)</x:f>
        <x:v>6483244.0374514125</x:v>
      </x:c>
      <x:c r="F124"/>
      <x:c r="G124"/>
      <x:c r="H124"/>
      <x:c r="I124"/>
      <x:c r="J124"/>
      <x:c r="K124"/>
      <x:c r="L124"/>
    </x:row>
    <x:row r="125" customHeight="1">
      <x:c r="A125" t="n">
        <x:v>123</x:v>
      </x:c>
      <x:c r="B125" s="95" t="n">
        <x:v>4567949</x:v>
      </x:c>
      <x:c r="C125" s="95" t="n">
        <x:v>10800</x:v>
      </x:c>
      <x:c r="D125" s="96" t="n">
        <x:v>0.310354619172805</x:v>
      </x:c>
      <x:c r="E125" s="95" t="n">
        <x:f t="shared" si="1">B125/(1-D125)</x:f>
        <x:v>6623620.090837084</x:v>
      </x:c>
      <x:c r="F125"/>
      <x:c r="G125"/>
      <x:c r="H125"/>
      <x:c r="I125"/>
      <x:c r="J125"/>
      <x:c r="K125"/>
      <x:c r="L125"/>
    </x:row>
    <x:row r="126" customHeight="1">
      <x:c r="A126" t="n">
        <x:v>124</x:v>
      </x:c>
      <x:c r="B126" s="95" t="n">
        <x:v>4652740</x:v>
      </x:c>
      <x:c r="C126" s="95" t="n">
        <x:v>10902</x:v>
      </x:c>
      <x:c r="D126" s="96" t="n">
        <x:v>0.312368333751215</x:v>
      </x:c>
      <x:c r="E126" s="95" t="n">
        <x:f t="shared" si="1">B126/(1-D126)</x:f>
        <x:v>6766325.9683515495</x:v>
      </x:c>
      <x:c r="F126"/>
      <x:c r="G126"/>
      <x:c r="H126"/>
      <x:c r="I126"/>
      <x:c r="J126"/>
      <x:c r="K126"/>
      <x:c r="L126"/>
    </x:row>
    <x:row r="127" customHeight="1">
      <x:c r="A127" t="n">
        <x:v>125</x:v>
      </x:c>
      <x:c r="B127" s="95" t="n">
        <x:v>4738615</x:v>
      </x:c>
      <x:c r="C127" s="95" t="n">
        <x:v>11005</x:v>
      </x:c>
      <x:c r="D127" s="96" t="n">
        <x:v>0.314374778013404</x:v>
      </x:c>
      <x:c r="E127" s="95" t="n">
        <x:f t="shared" si="1">B127/(1-D127)</x:f>
        <x:v>6911377.889905924</x:v>
      </x:c>
      <x:c r="F127"/>
      <x:c r="G127"/>
      <x:c r="H127"/>
      <x:c r="I127"/>
      <x:c r="J127"/>
      <x:c r="K127"/>
      <x:c r="L127"/>
    </x:row>
    <x:row r="128" customHeight="1">
      <x:c r="A128" t="n">
        <x:v>126</x:v>
      </x:c>
      <x:c r="B128" s="95" t="n">
        <x:v>4825572</x:v>
      </x:c>
      <x:c r="C128" s="95" t="n">
        <x:v>11107</x:v>
      </x:c>
      <x:c r="D128" s="96" t="n">
        <x:v>0.316373976409639</x:v>
      </x:c>
      <x:c r="E128" s="95" t="n">
        <x:f t="shared" si="1">B128/(1-D128)</x:f>
        <x:v>7058789.211470327</x:v>
      </x:c>
      <x:c r="F128"/>
      <x:c r="G128"/>
      <x:c r="H128"/>
      <x:c r="I128"/>
      <x:c r="J128"/>
      <x:c r="K128"/>
      <x:c r="L128"/>
    </x:row>
    <x:row r="129" customHeight="1">
      <x:c r="A129" t="n">
        <x:v>127</x:v>
      </x:c>
      <x:c r="B129" s="95" t="n">
        <x:v>4913613</x:v>
      </x:c>
      <x:c r="C129" s="95" t="n">
        <x:v>11210</x:v>
      </x:c>
      <x:c r="D129" s="96" t="n">
        <x:v>0.318365953387096</x:v>
      </x:c>
      <x:c r="E129" s="95" t="n">
        <x:f t="shared" si="1">B129/(1-D129)</x:f>
        <x:v>7208579.184704973</x:v>
      </x:c>
      <x:c r="F129"/>
      <x:c r="G129"/>
      <x:c r="H129"/>
      <x:c r="I129"/>
      <x:c r="J129"/>
      <x:c r="K129"/>
      <x:c r="L129"/>
    </x:row>
    <x:row r="130" customHeight="1">
      <x:c r="A130" t="n">
        <x:v>128</x:v>
      </x:c>
      <x:c r="B130" s="95" t="n">
        <x:v>5002787</x:v>
      </x:c>
      <x:c r="C130" s="95" t="n">
        <x:v>11312</x:v>
      </x:c>
      <x:c r="D130" s="96" t="n">
        <x:v>0.320350733388139</x:v>
      </x:c>
      <x:c r="E130" s="95" t="n">
        <x:f t="shared" si="1">B130/(1-D130)</x:f>
        <x:v>7360836.310380407</x:v>
      </x:c>
      <x:c r="F130"/>
      <x:c r="G130"/>
      <x:c r="H130"/>
      <x:c r="I130"/>
      <x:c r="J130"/>
      <x:c r="K130"/>
      <x:c r="L130"/>
    </x:row>
    <x:row r="131" customHeight="1">
      <x:c r="A131" t="n">
        <x:v>129</x:v>
      </x:c>
      <x:c r="B131" s="95" t="n">
        <x:v>5093094</x:v>
      </x:c>
      <x:c r="C131" s="95" t="n">
        <x:v>11415</x:v>
      </x:c>
      <x:c r="D131" s="96" t="n">
        <x:v>0.322328340849571</x:v>
      </x:c>
      <x:c r="E131" s="95" t="n">
        <x:f t="shared" ref="E131:E194" si="2">B131/(1-D131)</x:f>
        <x:v>7515577.686080331</x:v>
      </x:c>
      <x:c r="F131"/>
      <x:c r="G131"/>
      <x:c r="H131"/>
      <x:c r="I131"/>
      <x:c r="J131"/>
      <x:c r="K131"/>
      <x:c r="L131"/>
    </x:row>
    <x:row r="132" customHeight="1">
      <x:c r="A132" t="n">
        <x:v>130</x:v>
      </x:c>
      <x:c r="B132" s="95" t="n">
        <x:v>5184535</x:v>
      </x:c>
      <x:c r="C132" s="95" t="n">
        <x:v>11519</x:v>
      </x:c>
      <x:c r="D132" s="96" t="n">
        <x:v>0.324298800200025</x:v>
      </x:c>
      <x:c r="E132" s="95" t="n">
        <x:f t="shared" si="2">B132/(1-D132)</x:f>
        <x:v>7672821.953749314</x:v>
      </x:c>
      <x:c r="F132"/>
      <x:c r="G132"/>
      <x:c r="H132"/>
      <x:c r="I132"/>
      <x:c r="J132"/>
      <x:c r="K132"/>
      <x:c r="L132"/>
    </x:row>
    <x:row r="133" customHeight="1">
      <x:c r="A133" t="n">
        <x:v>131</x:v>
      </x:c>
      <x:c r="B133" s="95" t="n">
        <x:v>5277108</x:v>
      </x:c>
      <x:c r="C133" s="95" t="n">
        <x:v>11622</x:v>
      </x:c>
      <x:c r="D133" s="96" t="n">
        <x:v>0.326262135859266</x:v>
      </x:c>
      <x:c r="E133" s="95" t="n">
        <x:f t="shared" si="2">B133/(1-D133)</x:f>
        <x:v>7832583.384236943</x:v>
      </x:c>
      <x:c r="F133"/>
      <x:c r="G133"/>
      <x:c r="H133"/>
      <x:c r="I133"/>
      <x:c r="J133"/>
      <x:c r="K133"/>
      <x:c r="L133"/>
    </x:row>
    <x:row r="134" customHeight="1">
      <x:c r="A134" t="n">
        <x:v>132</x:v>
      </x:c>
      <x:c r="B134" s="95" t="n">
        <x:v>5370814</x:v>
      </x:c>
      <x:c r="C134" s="95" t="n">
        <x:v>11726</x:v>
      </x:c>
      <x:c r="D134" s="96" t="n">
        <x:v>0.328218372236399</x:v>
      </x:c>
      <x:c r="E134" s="95" t="n">
        <x:f t="shared" si="2">B134/(1-D134)</x:f>
        <x:v>7994880.744029488</x:v>
      </x:c>
      <x:c r="F134"/>
      <x:c r="G134"/>
      <x:c r="H134"/>
      <x:c r="I134"/>
      <x:c r="J134"/>
      <x:c r="K134"/>
      <x:c r="L134"/>
    </x:row>
    <x:row r="135" customHeight="1">
      <x:c r="A135" t="n">
        <x:v>133</x:v>
      </x:c>
      <x:c r="B135" s="95" t="n">
        <x:v>5465703</x:v>
      </x:c>
      <x:c r="C135" s="95" t="n">
        <x:v>11830</x:v>
      </x:c>
      <x:c r="D135" s="96" t="n">
        <x:v>0.330167533729204</x:v>
      </x:c>
      <x:c r="E135" s="95" t="n">
        <x:f t="shared" si="2">B135/(1-D135)</x:f>
        <x:v>8159806.03393201</x:v>
      </x:c>
      <x:c r="F135"/>
      <x:c r="G135"/>
      <x:c r="H135"/>
      <x:c r="I135"/>
      <x:c r="J135"/>
      <x:c r="K135"/>
      <x:c r="L135"/>
    </x:row>
    <x:row r="136" customHeight="1">
      <x:c r="A136" t="n">
        <x:v>134</x:v>
      </x:c>
      <x:c r="B136" s="95" t="n">
        <x:v>5561724</x:v>
      </x:c>
      <x:c r="C136" s="95" t="n">
        <x:v>11934</x:v>
      </x:c>
      <x:c r="D136" s="96" t="n">
        <x:v>0.33210964472147</x:v>
      </x:c>
      <x:c r="E136" s="95" t="n">
        <x:f t="shared" si="2">B136/(1-D136)</x:f>
        <x:v>8327300.964962425</x:v>
      </x:c>
      <x:c r="F136"/>
      <x:c r="G136"/>
      <x:c r="H136"/>
      <x:c r="I136"/>
      <x:c r="J136"/>
      <x:c r="K136"/>
      <x:c r="L136"/>
    </x:row>
    <x:row r="137" customHeight="1">
      <x:c r="A137" t="n">
        <x:v>135</x:v>
      </x:c>
      <x:c r="B137" s="95" t="n">
        <x:v>5658979</x:v>
      </x:c>
      <x:c r="C137" s="95" t="n">
        <x:v>12038</x:v>
      </x:c>
      <x:c r="D137" s="96" t="n">
        <x:v>0.334044729583125</x:v>
      </x:c>
      <x:c r="E137" s="95" t="n">
        <x:f t="shared" si="2">B137/(1-D137)</x:f>
        <x:v>8497536.173048964</x:v>
      </x:c>
      <x:c r="F137"/>
      <x:c r="G137"/>
      <x:c r="H137"/>
      <x:c r="I137"/>
      <x:c r="J137"/>
      <x:c r="K137"/>
      <x:c r="L137"/>
    </x:row>
    <x:row r="138" customHeight="1">
      <x:c r="A138" t="n">
        <x:v>136</x:v>
      </x:c>
      <x:c r="B138" s="95" t="n">
        <x:v>5757365</x:v>
      </x:c>
      <x:c r="C138" s="95" t="n">
        <x:v>12143</x:v>
      </x:c>
      <x:c r="D138" s="96" t="n">
        <x:v>0.335972812667436</x:v>
      </x:c>
      <x:c r="E138" s="95" t="n">
        <x:f t="shared" si="2">B138/(1-D138)</x:f>
        <x:v>8670375.415090565</x:v>
      </x:c>
      <x:c r="F138"/>
      <x:c r="G138"/>
      <x:c r="H138"/>
      <x:c r="I138"/>
      <x:c r="J138"/>
      <x:c r="K138"/>
      <x:c r="L138"/>
    </x:row>
    <x:row r="139" customHeight="1">
      <x:c r="A139" t="n">
        <x:v>137</x:v>
      </x:c>
      <x:c r="B139" s="95" t="n">
        <x:v>5856934</x:v>
      </x:c>
      <x:c r="C139" s="95" t="n">
        <x:v>12248</x:v>
      </x:c>
      <x:c r="D139" s="96" t="n">
        <x:v>0.33789391831118</x:v>
      </x:c>
      <x:c r="E139" s="95" t="n">
        <x:f t="shared" si="2">B139/(1-D139)</x:f>
        <x:v>8845914.819360731</x:v>
      </x:c>
      <x:c r="F139"/>
      <x:c r="G139"/>
      <x:c r="H139"/>
      <x:c r="I139"/>
      <x:c r="J139"/>
      <x:c r="K139"/>
      <x:c r="L139"/>
    </x:row>
    <x:row r="140" customHeight="1">
      <x:c r="A140" t="n">
        <x:v>138</x:v>
      </x:c>
      <x:c r="B140" s="95" t="n">
        <x:v>5957735</x:v>
      </x:c>
      <x:c r="C140" s="95" t="n">
        <x:v>12353</x:v>
      </x:c>
      <x:c r="D140" s="96" t="n">
        <x:v>0.339808070832085</x:v>
      </x:c>
      <x:c r="E140" s="95" t="n">
        <x:f t="shared" si="2">B140/(1-D140)</x:f>
        <x:v>9024246.945140544</x:v>
      </x:c>
      <x:c r="F140"/>
      <x:c r="G140"/>
      <x:c r="H140"/>
      <x:c r="I140"/>
      <x:c r="J140"/>
      <x:c r="K140"/>
      <x:c r="L140"/>
    </x:row>
    <x:row r="141" customHeight="1">
      <x:c r="A141" t="n">
        <x:v>139</x:v>
      </x:c>
      <x:c r="B141" s="95" t="n">
        <x:v>6059718</x:v>
      </x:c>
      <x:c r="C141" s="95" t="n">
        <x:v>12458</x:v>
      </x:c>
      <x:c r="D141" s="96" t="n">
        <x:v>0.341715294528136</x:v>
      </x:c>
      <x:c r="E141" s="95" t="n">
        <x:f t="shared" si="2">B141/(1-D141)</x:f>
        <x:v>9205314.888269117</x:v>
      </x:c>
      <x:c r="F141"/>
      <x:c r="G141"/>
      <x:c r="H141"/>
      <x:c r="I141"/>
      <x:c r="J141"/>
      <x:c r="K141"/>
      <x:c r="L141"/>
    </x:row>
    <x:row r="142" customHeight="1">
      <x:c r="A142" t="n">
        <x:v>140</x:v>
      </x:c>
      <x:c r="B142" s="95" t="n">
        <x:v>6162934</x:v>
      </x:c>
      <x:c r="C142" s="95" t="n">
        <x:v>12564</x:v>
      </x:c>
      <x:c r="D142" s="96" t="n">
        <x:v>0.343615613676873</x:v>
      </x:c>
      <x:c r="E142" s="95" t="n">
        <x:f t="shared" si="2">B142/(1-D142)</x:f>
        <x:v>9389214.808296934</x:v>
      </x:c>
      <x:c r="F142"/>
      <x:c r="G142"/>
      <x:c r="H142"/>
      <x:c r="I142"/>
      <x:c r="J142"/>
      <x:c r="K142"/>
      <x:c r="L142"/>
    </x:row>
    <x:row r="143" customHeight="1">
      <x:c r="A143" t="n">
        <x:v>141</x:v>
      </x:c>
      <x:c r="B143" s="95" t="n">
        <x:v>6267382</x:v>
      </x:c>
      <x:c r="C143" s="95" t="n">
        <x:v>12670</x:v>
      </x:c>
      <x:c r="D143" s="96" t="n">
        <x:v>0.345509052533117</x:v>
      </x:c>
      <x:c r="E143" s="95" t="n">
        <x:f t="shared" si="2">B143/(1-D143)</x:f>
        <x:v>9575964.380037704</x:v>
      </x:c>
      <x:c r="F143"/>
      <x:c r="G143"/>
      <x:c r="H143"/>
      <x:c r="I143"/>
      <x:c r="J143"/>
      <x:c r="K143"/>
      <x:c r="L143"/>
    </x:row>
    <x:row r="144" customHeight="1">
      <x:c r="A144" t="n">
        <x:v>142</x:v>
      </x:c>
      <x:c r="B144" s="95" t="n">
        <x:v>6373062</x:v>
      </x:c>
      <x:c r="C144" s="95" t="n">
        <x:v>12776</x:v>
      </x:c>
      <x:c r="D144" s="96" t="n">
        <x:v>0.347395635328321</x:v>
      </x:c>
      <x:c r="E144" s="95" t="n">
        <x:f t="shared" si="2">B144/(1-D144)</x:f>
        <x:v>9765582.863066271</x:v>
      </x:c>
      <x:c r="F144"/>
      <x:c r="G144"/>
      <x:c r="H144"/>
      <x:c r="I144"/>
      <x:c r="J144"/>
      <x:c r="K144"/>
      <x:c r="L144"/>
    </x:row>
    <x:row r="145" customHeight="1">
      <x:c r="A145" t="n">
        <x:v>143</x:v>
      </x:c>
      <x:c r="B145" s="95" t="n">
        <x:v>6479973</x:v>
      </x:c>
      <x:c r="C145" s="95" t="n">
        <x:v>12882</x:v>
      </x:c>
      <x:c r="D145" s="96" t="n">
        <x:v>0.349275386269947</x:v>
      </x:c>
      <x:c r="E145" s="95" t="n">
        <x:f t="shared" si="2">B145/(1-D145)</x:f>
        <x:v>9958088.050267229</x:v>
      </x:c>
      <x:c r="F145"/>
      <x:c r="G145"/>
      <x:c r="H145"/>
      <x:c r="I145"/>
      <x:c r="J145"/>
      <x:c r="K145"/>
      <x:c r="L145"/>
    </x:row>
    <x:row r="146" customHeight="1">
      <x:c r="A146" t="n">
        <x:v>144</x:v>
      </x:c>
      <x:c r="B146" s="95" t="n">
        <x:v>6588167</x:v>
      </x:c>
      <x:c r="C146" s="95" t="n">
        <x:v>12988</x:v>
      </x:c>
      <x:c r="D146" s="96" t="n">
        <x:v>0.351148329539257</x:v>
      </x:c>
      <x:c r="E146" s="95" t="n">
        <x:f t="shared" si="2">B146/(1-D146)</x:f>
        <x:v>10153579.469590962</x:v>
      </x:c>
      <x:c r="F146"/>
      <x:c r="G146"/>
      <x:c r="H146"/>
      <x:c r="I146"/>
      <x:c r="J146"/>
      <x:c r="K146"/>
      <x:c r="L146"/>
    </x:row>
    <x:row r="147" customHeight="1">
      <x:c r="A147" t="n">
        <x:v>145</x:v>
      </x:c>
      <x:c r="B147" s="95" t="n">
        <x:v>6697593</x:v>
      </x:c>
      <x:c r="C147" s="95" t="n">
        <x:v>13095</x:v>
      </x:c>
      <x:c r="D147" s="96" t="n">
        <x:v>0.353014489290913</x:v>
      </x:c>
      <x:c r="E147" s="95" t="n">
        <x:f t="shared" si="2">B147/(1-D147)</x:f>
        <x:v>10351998.443766588</x:v>
      </x:c>
      <x:c r="F147"/>
      <x:c r="G147"/>
      <x:c r="H147"/>
      <x:c r="I147"/>
      <x:c r="J147"/>
      <x:c r="K147"/>
      <x:c r="L147"/>
    </x:row>
    <x:row r="148" customHeight="1">
      <x:c r="A148" t="n">
        <x:v>146</x:v>
      </x:c>
      <x:c r="B148" s="95" t="n">
        <x:v>6808301</x:v>
      </x:c>
      <x:c r="C148" s="95" t="n">
        <x:v>13202</x:v>
      </x:c>
      <x:c r="D148" s="96" t="n">
        <x:v>0.354873889651703</x:v>
      </x:c>
      <x:c r="E148" s="95" t="n">
        <x:f t="shared" si="2">B148/(1-D148)</x:f>
        <x:v>10553442.018219147</x:v>
      </x:c>
      <x:c r="F148"/>
      <x:c r="G148"/>
      <x:c r="H148"/>
      <x:c r="I148"/>
      <x:c r="J148"/>
      <x:c r="K148"/>
      <x:c r="L148"/>
    </x:row>
    <x:row r="149" customHeight="1">
      <x:c r="A149" t="n">
        <x:v>147</x:v>
      </x:c>
      <x:c r="B149" s="95" t="n">
        <x:v>6920342</x:v>
      </x:c>
      <x:c r="C149" s="95" t="n">
        <x:v>13309</x:v>
      </x:c>
      <x:c r="D149" s="96" t="n">
        <x:v>0.356726554719463</x:v>
      </x:c>
      <x:c r="E149" s="95" t="n">
        <x:f t="shared" si="2">B149/(1-D149)</x:f>
        <x:v>10758009.755838716</x:v>
      </x:c>
      <x:c r="F149"/>
      <x:c r="G149"/>
      <x:c r="H149"/>
      <x:c r="I149"/>
      <x:c r="J149"/>
      <x:c r="K149"/>
      <x:c r="L149"/>
    </x:row>
    <x:row r="150" customHeight="1">
      <x:c r="A150" t="n">
        <x:v>148</x:v>
      </x:c>
      <x:c r="B150" s="95" t="n">
        <x:v>7033613</x:v>
      </x:c>
      <x:c r="C150" s="95" t="n">
        <x:v>13417</x:v>
      </x:c>
      <x:c r="D150" s="96" t="n">
        <x:v>0.358572508562036</x:v>
      </x:c>
      <x:c r="E150" s="95" t="n">
        <x:f t="shared" si="2">B150/(1-D150)</x:f>
        <x:v>10965562.115574304</x:v>
      </x:c>
      <x:c r="F150"/>
      <x:c r="G150"/>
      <x:c r="H150"/>
      <x:c r="I150"/>
      <x:c r="J150"/>
      <x:c r="K150"/>
      <x:c r="L150"/>
    </x:row>
    <x:row r="151" customHeight="1">
      <x:c r="A151" t="n">
        <x:v>149</x:v>
      </x:c>
      <x:c r="B151" s="95" t="n">
        <x:v>7148217</x:v>
      </x:c>
      <x:c r="C151" s="95" t="n">
        <x:v>13524</x:v>
      </x:c>
      <x:c r="D151" s="96" t="n">
        <x:v>0.360411775216402</x:v>
      </x:c>
      <x:c r="E151" s="95" t="n">
        <x:f t="shared" si="2">B151/(1-D151)</x:f>
        <x:v>11176279.867282687</x:v>
      </x:c>
      <x:c r="F151"/>
      <x:c r="G151"/>
      <x:c r="H151"/>
      <x:c r="I151"/>
      <x:c r="J151"/>
      <x:c r="K151"/>
      <x:c r="L151"/>
    </x:row>
    <x:row r="152" customHeight="1">
      <x:c r="A152" t="n">
        <x:v>150</x:v>
      </x:c>
      <x:c r="B152" s="95" t="n">
        <x:v>7264154</x:v>
      </x:c>
      <x:c r="C152" s="95" t="n">
        <x:v>13632</x:v>
      </x:c>
      <x:c r="D152" s="96" t="n">
        <x:v>0.362244378686985</x:v>
      </x:c>
      <x:c r="E152" s="95" t="n">
        <x:f t="shared" si="2">B152/(1-D152)</x:f>
        <x:v>11390184.197897805</x:v>
      </x:c>
      <x:c r="F152"/>
      <x:c r="G152"/>
      <x:c r="H152"/>
      <x:c r="I152"/>
      <x:c r="J152"/>
      <x:c r="K152"/>
      <x:c r="L152"/>
    </x:row>
    <x:row r="153" customHeight="1">
      <x:c r="A153" t="n">
        <x:v>151</x:v>
      </x:c>
      <x:c r="B153" s="95" t="n">
        <x:v>7381371</x:v>
      </x:c>
      <x:c r="C153" s="95" t="n">
        <x:v>13740</x:v>
      </x:c>
      <x:c r="D153" s="96" t="n">
        <x:v>0.364070342945864</x:v>
      </x:c>
      <x:c r="E153" s="95" t="n">
        <x:f t="shared" si="2">B153/(1-D153)</x:f>
        <x:v>11607213.027606342</x:v>
      </x:c>
      <x:c r="F153"/>
      <x:c r="G153"/>
      <x:c r="H153"/>
      <x:c r="I153"/>
      <x:c r="J153"/>
      <x:c r="K153"/>
      <x:c r="L153"/>
    </x:row>
    <x:row r="154" customHeight="1">
      <x:c r="A154" t="n">
        <x:v>152</x:v>
      </x:c>
      <x:c r="B154" s="95" t="n">
        <x:v>7499972</x:v>
      </x:c>
      <x:c r="C154" s="95" t="n">
        <x:v>13848</x:v>
      </x:c>
      <x:c r="D154" s="96" t="n">
        <x:v>0.365889691930601</x:v>
      </x:c>
      <x:c r="E154" s="95" t="n">
        <x:f t="shared" si="2">B154/(1-D154)</x:f>
        <x:v>11827550.986884728</x:v>
      </x:c>
      <x:c r="F154"/>
      <x:c r="G154"/>
      <x:c r="H154"/>
      <x:c r="I154"/>
      <x:c r="J154"/>
      <x:c r="K154"/>
      <x:c r="L154"/>
    </x:row>
    <x:row r="155" customHeight="1">
      <x:c r="A155" t="n">
        <x:v>153</x:v>
      </x:c>
      <x:c r="B155" s="95" t="n">
        <x:v>7619853</x:v>
      </x:c>
      <x:c r="C155" s="95" t="n">
        <x:v>13957</x:v>
      </x:c>
      <x:c r="D155" s="96" t="n">
        <x:v>0.367702449543808</x:v>
      </x:c>
      <x:c r="E155" s="95" t="n">
        <x:f t="shared" si="2">B155/(1-D155)</x:f>
        <x:v>12051055.700757347</x:v>
      </x:c>
      <x:c r="F155"/>
      <x:c r="G155"/>
      <x:c r="H155"/>
      <x:c r="I155"/>
      <x:c r="J155"/>
      <x:c r="K155"/>
      <x:c r="L155"/>
    </x:row>
    <x:row r="156" customHeight="1">
      <x:c r="A156" t="n">
        <x:v>154</x:v>
      </x:c>
      <x:c r="B156" s="95" t="n">
        <x:v>7741117</x:v>
      </x:c>
      <x:c r="C156" s="95" t="n">
        <x:v>14066</x:v>
      </x:c>
      <x:c r="D156" s="96" t="n">
        <x:v>0.369508639652886</x:v>
      </x:c>
      <x:c r="E156" s="95" t="n">
        <x:f t="shared" si="2">B156/(1-D156)</x:f>
        <x:v>12277911.303555634</x:v>
      </x:c>
      <x:c r="F156"/>
      <x:c r="G156"/>
      <x:c r="H156"/>
      <x:c r="I156"/>
      <x:c r="J156"/>
      <x:c r="K156"/>
      <x:c r="L156"/>
    </x:row>
    <x:row r="157" customHeight="1">
      <x:c r="A157" t="n">
        <x:v>155</x:v>
      </x:c>
      <x:c r="B157" s="95" t="n">
        <x:v>7863764</x:v>
      </x:c>
      <x:c r="C157" s="95" t="n">
        <x:v>14175</x:v>
      </x:c>
      <x:c r="D157" s="96" t="n">
        <x:v>0.371308286087427</x:v>
      </x:c>
      <x:c r="E157" s="95" t="n">
        <x:f t="shared" si="2">B157/(1-D157)</x:f>
        <x:v>12508140.040626572</x:v>
      </x:c>
      <x:c r="F157"/>
      <x:c r="G157"/>
      <x:c r="H157"/>
      <x:c r="I157"/>
      <x:c r="J157"/>
      <x:c r="K157"/>
      <x:c r="L157"/>
    </x:row>
    <x:row r="158" customHeight="1">
      <x:c r="A158" t="n">
        <x:v>156</x:v>
      </x:c>
      <x:c r="B158" s="95" t="n">
        <x:v>7987793</x:v>
      </x:c>
      <x:c r="C158" s="95" t="n">
        <x:v>14284</x:v>
      </x:c>
      <x:c r="D158" s="96" t="n">
        <x:v>0.373101412640004</x:v>
      </x:c>
      <x:c r="E158" s="95" t="n">
        <x:f t="shared" si="2">B158/(1-D158)</x:f>
        <x:v>12741762.640809745</x:v>
      </x:c>
      <x:c r="F158"/>
      <x:c r="G158"/>
      <x:c r="H158"/>
      <x:c r="I158"/>
      <x:c r="J158"/>
      <x:c r="K158"/>
      <x:c r="L158"/>
    </x:row>
    <x:row r="159" customHeight="1">
      <x:c r="A159" t="n">
        <x:v>157</x:v>
      </x:c>
      <x:c r="B159" s="95" t="n">
        <x:v>8113153</x:v>
      </x:c>
      <x:c r="C159" s="95" t="n">
        <x:v>14393</x:v>
      </x:c>
      <x:c r="D159" s="96" t="n">
        <x:v>0.374888043064622</x:v>
      </x:c>
      <x:c r="E159" s="95" t="n">
        <x:f t="shared" si="2">B159/(1-D159)</x:f>
        <x:v>12978719.907670412</x:v>
      </x:c>
      <x:c r="F159"/>
      <x:c r="G159"/>
      <x:c r="H159"/>
      <x:c r="I159"/>
      <x:c r="J159"/>
      <x:c r="K159"/>
      <x:c r="L159"/>
    </x:row>
    <x:row r="160" customHeight="1">
      <x:c r="A160" t="n">
        <x:v>158</x:v>
      </x:c>
      <x:c r="B160" s="95" t="n">
        <x:v>8239946</x:v>
      </x:c>
      <x:c r="C160" s="95" t="n">
        <x:v>14503</x:v>
      </x:c>
      <x:c r="D160" s="96" t="n">
        <x:v>0.376668201075529</x:v>
      </x:c>
      <x:c r="E160" s="95" t="n">
        <x:f t="shared" si="2">B160/(1-D160)</x:f>
        <x:v>13219197.246502794</x:v>
      </x:c>
      <x:c r="F160"/>
      <x:c r="G160"/>
      <x:c r="H160"/>
      <x:c r="I160"/>
      <x:c r="J160"/>
      <x:c r="K160"/>
      <x:c r="L160"/>
    </x:row>
    <x:row r="161" customHeight="1">
      <x:c r="A161" t="n">
        <x:v>159</x:v>
      </x:c>
      <x:c r="B161" s="95" t="n">
        <x:v>8368121</x:v>
      </x:c>
      <x:c r="C161" s="95" t="n">
        <x:v>14613</x:v>
      </x:c>
      <x:c r="D161" s="96" t="n">
        <x:v>0.378441910346876</x:v>
      </x:c>
      <x:c r="E161" s="95" t="n">
        <x:f t="shared" si="2">B161/(1-D161)</x:f>
        <x:v>13463135.850536576</x:v>
      </x:c>
      <x:c r="F161"/>
      <x:c r="G161"/>
      <x:c r="H161"/>
      <x:c r="I161"/>
      <x:c r="J161"/>
      <x:c r="K161"/>
      <x:c r="L161"/>
    </x:row>
    <x:row r="162" customHeight="1">
      <x:c r="A162" t="n">
        <x:v>160</x:v>
      </x:c>
      <x:c r="B162" s="95" t="n">
        <x:v>8497729</x:v>
      </x:c>
      <x:c r="C162" s="95" t="n">
        <x:v>14723</x:v>
      </x:c>
      <x:c r="D162" s="96" t="n">
        <x:v>0.380209194511732</x:v>
      </x:c>
      <x:c r="E162" s="95" t="n">
        <x:f t="shared" si="2">B162/(1-D162)</x:f>
        <x:v>13710640.630277717</x:v>
      </x:c>
      <x:c r="F162"/>
      <x:c r="G162"/>
      <x:c r="H162"/>
      <x:c r="I162"/>
      <x:c r="J162"/>
      <x:c r="K162"/>
      <x:c r="L162"/>
    </x:row>
    <x:row r="163" customHeight="1">
      <x:c r="A163" t="n">
        <x:v>161</x:v>
      </x:c>
      <x:c r="B163" s="95" t="n">
        <x:v>8628769</x:v>
      </x:c>
      <x:c r="C163" s="95" t="n">
        <x:v>14833</x:v>
      </x:c>
      <x:c r="D163" s="96" t="n">
        <x:v>0.381970077161277</x:v>
      </x:c>
      <x:c r="E163" s="95" t="n">
        <x:f t="shared" si="2">B163/(1-D163)</x:f>
        <x:v>13961733.374278234</x:v>
      </x:c>
      <x:c r="F163"/>
      <x:c r="G163"/>
      <x:c r="H163"/>
      <x:c r="I163"/>
      <x:c r="J163"/>
      <x:c r="K163"/>
      <x:c r="L163"/>
    </x:row>
    <x:row r="164" customHeight="1">
      <x:c r="A164" t="n">
        <x:v>162</x:v>
      </x:c>
      <x:c r="B164" s="95" t="n">
        <x:v>8761242</x:v>
      </x:c>
      <x:c r="C164" s="95" t="n">
        <x:v>14944</x:v>
      </x:c>
      <x:c r="D164" s="96" t="n">
        <x:v>0.383724581844181</x:v>
      </x:c>
      <x:c r="E164" s="95" t="n">
        <x:f t="shared" si="2">B164/(1-D164)</x:f>
        <x:v>14216439.17944624</x:v>
      </x:c>
      <x:c r="F164"/>
      <x:c r="G164"/>
      <x:c r="H164"/>
      <x:c r="I164"/>
      <x:c r="J164"/>
      <x:c r="K164"/>
      <x:c r="L164"/>
    </x:row>
    <x:row r="165" customHeight="1">
      <x:c r="A165" t="n">
        <x:v>163</x:v>
      </x:c>
      <x:c r="B165" s="95" t="n">
        <x:v>8895147</x:v>
      </x:c>
      <x:c r="C165" s="95" t="n">
        <x:v>15054</x:v>
      </x:c>
      <x:c r="D165" s="96" t="n">
        <x:v>0.385472732065346</x:v>
      </x:c>
      <x:c r="E165" s="95" t="n">
        <x:f t="shared" si="2">B165/(1-D165)</x:f>
        <x:v>14474779.988031171</x:v>
      </x:c>
      <x:c r="F165"/>
      <x:c r="G165"/>
      <x:c r="H165"/>
      <x:c r="I165"/>
      <x:c r="J165"/>
      <x:c r="K165"/>
      <x:c r="L165"/>
    </x:row>
    <x:row r="166" customHeight="1">
      <x:c r="A166" t="n">
        <x:v>164</x:v>
      </x:c>
      <x:c r="B166" s="95" t="n">
        <x:v>9030484</x:v>
      </x:c>
      <x:c r="C166" s="95" t="n">
        <x:v>15165</x:v>
      </x:c>
      <x:c r="D166" s="96" t="n">
        <x:v>0.387214551285637</x:v>
      </x:c>
      <x:c r="E166" s="95" t="n">
        <x:f t="shared" si="2">B166/(1-D166)</x:f>
        <x:v>14736779.437152348</x:v>
      </x:c>
      <x:c r="F166"/>
      <x:c r="G166"/>
      <x:c r="H166"/>
      <x:c r="I166"/>
      <x:c r="J166"/>
      <x:c r="K166"/>
      <x:c r="L166"/>
    </x:row>
    <x:row r="167" customHeight="1">
      <x:c r="A167" t="n">
        <x:v>165</x:v>
      </x:c>
      <x:c r="B167" s="95" t="n">
        <x:v>9167355</x:v>
      </x:c>
      <x:c r="C167" s="95" t="n">
        <x:v>15277</x:v>
      </x:c>
      <x:c r="D167" s="96" t="n">
        <x:v>0.388950062921155</x:v>
      </x:c>
      <x:c r="E167" s="95" t="n">
        <x:f t="shared" si="2">B167/(1-D167)</x:f>
        <x:v>15002628.171152432</x:v>
      </x:c>
      <x:c r="F167"/>
      <x:c r="G167"/>
      <x:c r="H167"/>
      <x:c r="I167"/>
      <x:c r="J167"/>
      <x:c r="K167"/>
      <x:c r="L167"/>
    </x:row>
    <x:row r="168" customHeight="1">
      <x:c r="A168" t="n">
        <x:v>166</x:v>
      </x:c>
      <x:c r="B168" s="95" t="n">
        <x:v>9305658</x:v>
      </x:c>
      <x:c r="C168" s="95" t="n">
        <x:v>15388</x:v>
      </x:c>
      <x:c r="D168" s="96" t="n">
        <x:v>0.390679290341865</x:v>
      </x:c>
      <x:c r="E168" s="95" t="n">
        <x:f t="shared" si="2">B168/(1-D168)</x:f>
        <x:v>15272184.01163654</x:v>
      </x:c>
      <x:c r="F168"/>
      <x:c r="G168"/>
      <x:c r="H168"/>
      <x:c r="I168"/>
      <x:c r="J168"/>
      <x:c r="K168"/>
      <x:c r="L168"/>
    </x:row>
    <x:row r="169" customHeight="1">
      <x:c r="A169" t="n">
        <x:v>167</x:v>
      </x:c>
      <x:c r="B169" s="95" t="n">
        <x:v>9445444</x:v>
      </x:c>
      <x:c r="C169" s="95" t="n">
        <x:v>15500</x:v>
      </x:c>
      <x:c r="D169" s="96" t="n">
        <x:v>0.392402256872019</x:v>
      </x:c>
      <x:c r="E169" s="95" t="n">
        <x:f t="shared" si="2">B169/(1-D169)</x:f>
        <x:v>15545554.779999347</x:v>
      </x:c>
      <x:c r="F169"/>
      <x:c r="G169"/>
      <x:c r="H169"/>
      <x:c r="I169"/>
      <x:c r="J169"/>
      <x:c r="K169"/>
      <x:c r="L169"/>
    </x:row>
    <x:row r="170" customHeight="1">
      <x:c r="A170" t="n">
        <x:v>168</x:v>
      </x:c>
      <x:c r="B170" s="95" t="n">
        <x:v>9586763</x:v>
      </x:c>
      <x:c r="C170" s="95" t="n">
        <x:v>15612</x:v>
      </x:c>
      <x:c r="D170" s="96" t="n">
        <x:v>0.394118985788505</x:v>
      </x:c>
      <x:c r="E170" s="95" t="n">
        <x:f t="shared" si="2">B170/(1-D170)</x:f>
        <x:v>15822847.679880504</x:v>
      </x:c>
      <x:c r="F170"/>
      <x:c r="G170"/>
      <x:c r="H170"/>
      <x:c r="I170"/>
      <x:c r="J170"/>
      <x:c r="K170"/>
      <x:c r="L170"/>
    </x:row>
    <x:row r="171" customHeight="1">
      <x:c r="A171" t="n">
        <x:v>169</x:v>
      </x:c>
      <x:c r="B171" s="95" t="n">
        <x:v>9729616</x:v>
      </x:c>
      <x:c r="C171" s="95" t="n">
        <x:v>15724</x:v>
      </x:c>
      <x:c r="D171" s="96" t="n">
        <x:v>0.395829500320185</x:v>
      </x:c>
      <x:c r="E171" s="95" t="n">
        <x:f t="shared" si="2">B171/(1-D171)</x:f>
        <x:v>16104089.830861138</x:v>
      </x:c>
      <x:c r="F171"/>
      <x:c r="G171"/>
      <x:c r="H171"/>
      <x:c r="I171"/>
      <x:c r="J171"/>
      <x:c r="K171"/>
      <x:c r="L171"/>
    </x:row>
    <x:row r="172" customHeight="1">
      <x:c r="A172" t="n">
        <x:v>170</x:v>
      </x:c>
      <x:c r="B172" s="95" t="n">
        <x:v>9873951</x:v>
      </x:c>
      <x:c r="C172" s="95" t="n">
        <x:v>15836</x:v>
      </x:c>
      <x:c r="D172" s="96" t="n">
        <x:v>0.39753382364818</x:v>
      </x:c>
      <x:c r="E172" s="95" t="n">
        <x:f t="shared" si="2">B172/(1-D172)</x:f>
        <x:v>16389220.486684958</x:v>
      </x:c>
      <x:c r="F172"/>
      <x:c r="G172"/>
      <x:c r="H172"/>
      <x:c r="I172"/>
      <x:c r="J172"/>
      <x:c r="K172"/>
      <x:c r="L172"/>
    </x:row>
    <x:row r="173" customHeight="1">
      <x:c r="A173" t="n">
        <x:v>171</x:v>
      </x:c>
      <x:c r="B173" s="95" t="n">
        <x:v>10019820</x:v>
      </x:c>
      <x:c r="C173" s="95" t="n">
        <x:v>15949</x:v>
      </x:c>
      <x:c r="D173" s="96" t="n">
        <x:v>0.399231978904128</x:v>
      </x:c>
      <x:c r="E173" s="95" t="n">
        <x:f t="shared" si="2">B173/(1-D173)</x:f>
        <x:v>16678351.124153815</x:v>
      </x:c>
      <x:c r="F173"/>
      <x:c r="G173"/>
      <x:c r="H173"/>
      <x:c r="I173"/>
      <x:c r="J173"/>
      <x:c r="K173"/>
      <x:c r="L173"/>
    </x:row>
    <x:row r="174" customHeight="1">
      <x:c r="A174" t="n">
        <x:v>172</x:v>
      </x:c>
      <x:c r="B174" s="95" t="n">
        <x:v>10167222</x:v>
      </x:c>
      <x:c r="C174" s="95" t="n">
        <x:v>16062</x:v>
      </x:c>
      <x:c r="D174" s="96" t="n">
        <x:v>0.40092398917034</x:v>
      </x:c>
      <x:c r="E174" s="95" t="n">
        <x:f t="shared" si="2">B174/(1-D174)</x:f>
        <x:v>16971505.812625382</x:v>
      </x:c>
      <x:c r="F174"/>
      <x:c r="G174"/>
      <x:c r="H174"/>
      <x:c r="I174"/>
      <x:c r="J174"/>
      <x:c r="K174"/>
      <x:c r="L174"/>
    </x:row>
    <x:row r="175" customHeight="1">
      <x:c r="A175" t="n">
        <x:v>173</x:v>
      </x:c>
      <x:c r="B175" s="95" t="n">
        <x:v>10316208</x:v>
      </x:c>
      <x:c r="C175" s="95" t="n">
        <x:v>16175</x:v>
      </x:c>
      <x:c r="D175" s="96" t="n">
        <x:v>0.402609877478413</x:v>
      </x:c>
      <x:c r="E175" s="95" t="n">
        <x:f t="shared" si="2">B175/(1-D175)</x:f>
        <x:v>17268795.735113982</x:v>
      </x:c>
      <x:c r="F175"/>
      <x:c r="G175"/>
      <x:c r="H175"/>
      <x:c r="I175"/>
      <x:c r="J175"/>
      <x:c r="K175"/>
      <x:c r="L175"/>
    </x:row>
    <x:row r="176" customHeight="1">
      <x:c r="A176" t="n">
        <x:v>174</x:v>
      </x:c>
      <x:c r="B176" s="95" t="n">
        <x:v>10466727</x:v>
      </x:c>
      <x:c r="C176" s="95" t="n">
        <x:v>16288</x:v>
      </x:c>
      <x:c r="D176" s="96" t="n">
        <x:v>0.404289666809873</x:v>
      </x:c>
      <x:c r="E176" s="95" t="n">
        <x:f t="shared" si="2">B176/(1-D176)</x:f>
        <x:v>17570161.9005817</x:v>
      </x:c>
      <x:c r="F176"/>
      <x:c r="G176"/>
      <x:c r="H176"/>
      <x:c r="I176"/>
      <x:c r="J176"/>
      <x:c r="K176"/>
      <x:c r="L176"/>
    </x:row>
    <x:row r="177" customHeight="1">
      <x:c r="A177" t="n">
        <x:v>175</x:v>
      </x:c>
      <x:c r="B177" s="95" t="n">
        <x:v>10618881</x:v>
      </x:c>
      <x:c r="C177" s="95" t="n">
        <x:v>16402</x:v>
      </x:c>
      <x:c r="D177" s="96" t="n">
        <x:v>0.405963380093884</x:v>
      </x:c>
      <x:c r="E177" s="95" t="n">
        <x:f t="shared" si="2">B177/(1-D177)</x:f>
        <x:v>17875802.003045287</x:v>
      </x:c>
      <x:c r="F177"/>
      <x:c r="G177"/>
      <x:c r="H177"/>
      <x:c r="I177"/>
      <x:c r="J177"/>
      <x:c r="K177"/>
      <x:c r="L177"/>
    </x:row>
    <x:row r="178" customHeight="1">
      <x:c r="A178" t="n">
        <x:v>176</x:v>
      </x:c>
      <x:c r="B178" s="95" t="n">
        <x:v>10772619</x:v>
      </x:c>
      <x:c r="C178" s="95" t="n">
        <x:v>16515</x:v>
      </x:c>
      <x:c r="D178" s="96" t="n">
        <x:v>0.407631040208387</x:v>
      </x:c>
      <x:c r="E178" s="95" t="n">
        <x:f t="shared" si="2">B178/(1-D178)</x:f>
        <x:v>18185657.47231194</x:v>
      </x:c>
      <x:c r="F178"/>
      <x:c r="G178"/>
      <x:c r="H178"/>
      <x:c r="I178"/>
      <x:c r="J178"/>
      <x:c r="K178"/>
      <x:c r="L178"/>
    </x:row>
    <x:row r="179" customHeight="1">
      <x:c r="A179" t="n">
        <x:v>177</x:v>
      </x:c>
      <x:c r="B179" s="95" t="n">
        <x:v>10927889</x:v>
      </x:c>
      <x:c r="C179" s="95" t="n">
        <x:v>16629</x:v>
      </x:c>
      <x:c r="D179" s="96" t="n">
        <x:v>0.409292669978307</x:v>
      </x:c>
      <x:c r="E179" s="95" t="n">
        <x:f t="shared" si="2">B179/(1-D179)</x:f>
        <x:v>18499667.16952486</x:v>
      </x:c>
      <x:c r="F179"/>
      <x:c r="G179"/>
      <x:c r="H179"/>
      <x:c r="I179"/>
      <x:c r="J179"/>
      <x:c r="K179"/>
      <x:c r="L179"/>
    </x:row>
    <x:row r="180" customHeight="1">
      <x:c r="A180" t="n">
        <x:v>178</x:v>
      </x:c>
      <x:c r="B180" s="95" t="n">
        <x:v>11084845</x:v>
      </x:c>
      <x:c r="C180" s="95" t="n">
        <x:v>16743</x:v>
      </x:c>
      <x:c r="D180" s="96" t="n">
        <x:v>0.41094829217578</x:v>
      </x:c>
      <x:c r="E180" s="95" t="n">
        <x:f t="shared" si="2">B180/(1-D180)</x:f>
        <x:v>18818118.77083607</x:v>
      </x:c>
      <x:c r="F180"/>
      <x:c r="G180"/>
      <x:c r="H180"/>
      <x:c r="I180"/>
      <x:c r="J180"/>
      <x:c r="K180"/>
      <x:c r="L180"/>
    </x:row>
    <x:row r="181" customHeight="1">
      <x:c r="A181" t="n">
        <x:v>179</x:v>
      </x:c>
      <x:c r="B181" s="95" t="n">
        <x:v>11243385</x:v>
      </x:c>
      <x:c r="C181" s="95" t="n">
        <x:v>16858</x:v>
      </x:c>
      <x:c r="D181" s="96" t="n">
        <x:v>0.412597929519019</x:v>
      </x:c>
      <x:c r="E181" s="95" t="n">
        <x:f t="shared" si="2">B181/(1-D181)</x:f>
        <x:v>19140867.15900338</x:v>
      </x:c>
      <x:c r="F181"/>
      <x:c r="G181"/>
      <x:c r="H181"/>
      <x:c r="I181"/>
      <x:c r="J181"/>
      <x:c r="K181"/>
      <x:c r="L181"/>
    </x:row>
    <x:row r="182" customHeight="1">
      <x:c r="A182" t="n">
        <x:v>180</x:v>
      </x:c>
      <x:c r="B182" s="95" t="n">
        <x:v>11403610</x:v>
      </x:c>
      <x:c r="C182" s="95" t="n">
        <x:v>16973</x:v>
      </x:c>
      <x:c r="D182" s="96" t="n">
        <x:v>0.414241604672247</x:v>
      </x:c>
      <x:c r="E182" s="95" t="n">
        <x:f t="shared" si="2">B182/(1-D182)</x:f>
        <x:v>19468111.922867563</x:v>
      </x:c>
      <x:c r="F182"/>
      <x:c r="G182"/>
      <x:c r="H182"/>
      <x:c r="I182"/>
      <x:c r="J182"/>
      <x:c r="K182"/>
      <x:c r="L182"/>
    </x:row>
    <x:row r="183" customHeight="1">
      <x:c r="A183" t="n">
        <x:v>181</x:v>
      </x:c>
      <x:c r="B183" s="95" t="n">
        <x:v>11565469</x:v>
      </x:c>
      <x:c r="C183" s="95" t="n">
        <x:v>17087</x:v>
      </x:c>
      <x:c r="D183" s="96" t="n">
        <x:v>0.415879340245204</x:v>
      </x:c>
      <x:c r="E183" s="95" t="n">
        <x:f t="shared" si="2">B183/(1-D183)</x:f>
        <x:v>19799794.454890516</x:v>
      </x:c>
      <x:c r="F183"/>
      <x:c r="G183"/>
      <x:c r="H183"/>
      <x:c r="I183"/>
      <x:c r="J183"/>
      <x:c r="K183"/>
      <x:c r="L183"/>
    </x:row>
    <x:row r="184" customHeight="1">
      <x:c r="A184" t="n">
        <x:v>182</x:v>
      </x:c>
      <x:c r="B184" s="95" t="n">
        <x:v>11728963</x:v>
      </x:c>
      <x:c r="C184" s="95" t="n">
        <x:v>17203</x:v>
      </x:c>
      <x:c r="D184" s="96" t="n">
        <x:v>0.417511158792202</x:v>
      </x:c>
      <x:c r="E184" s="95" t="n">
        <x:f t="shared" si="2">B184/(1-D184)</x:f>
        <x:v>20135944.537031554</x:v>
      </x:c>
      <x:c r="F184"/>
      <x:c r="G184"/>
      <x:c r="H184"/>
      <x:c r="I184"/>
      <x:c r="J184"/>
      <x:c r="K184"/>
      <x:c r="L184"/>
    </x:row>
    <x:row r="185" customHeight="1">
      <x:c r="A185" t="n">
        <x:v>183</x:v>
      </x:c>
      <x:c r="B185" s="95" t="n">
        <x:v>11894142</x:v>
      </x:c>
      <x:c r="C185" s="95" t="n">
        <x:v>17318</x:v>
      </x:c>
      <x:c r="D185" s="96" t="n">
        <x:v>0.419137082812249</x:v>
      </x:c>
      <x:c r="E185" s="95" t="n">
        <x:f t="shared" si="2">B185/(1-D185)</x:f>
        <x:v>20476676.420635547</x:v>
      </x:c>
      <x:c r="F185"/>
      <x:c r="G185"/>
      <x:c r="H185"/>
      <x:c r="I185"/>
      <x:c r="J185"/>
      <x:c r="K185"/>
      <x:c r="L185"/>
    </x:row>
    <x:row r="186" customHeight="1">
      <x:c r="A186" t="n">
        <x:v>184</x:v>
      </x:c>
      <x:c r="B186" s="95" t="n">
        <x:v>12061006</x:v>
      </x:c>
      <x:c r="C186" s="95" t="n">
        <x:v>17433</x:v>
      </x:c>
      <x:c r="D186" s="96" t="n">
        <x:v>0.420757134747994</x:v>
      </x:c>
      <x:c r="E186" s="95" t="n">
        <x:f t="shared" si="2">B186/(1-D186)</x:f>
        <x:v>20822019.093412094</x:v>
      </x:c>
      <x:c r="F186"/>
      <x:c r="G186"/>
      <x:c r="H186"/>
      <x:c r="I186"/>
      <x:c r="J186"/>
      <x:c r="K186"/>
      <x:c r="L186"/>
    </x:row>
    <x:row r="187" customHeight="1">
      <x:c r="A187" t="n">
        <x:v>185</x:v>
      </x:c>
      <x:c r="B187" s="95" t="n">
        <x:v>12229555</x:v>
      </x:c>
      <x:c r="C187" s="95" t="n">
        <x:v>17549</x:v>
      </x:c>
      <x:c r="D187" s="96" t="n">
        <x:v>0.422371336985863</x:v>
      </x:c>
      <x:c r="E187" s="95" t="n">
        <x:f t="shared" si="2">B187/(1-D187)</x:f>
        <x:v>21172001.638881087</x:v>
      </x:c>
      <x:c r="F187"/>
      <x:c r="G187"/>
      <x:c r="H187"/>
      <x:c r="I187"/>
      <x:c r="J187"/>
      <x:c r="K187"/>
      <x:c r="L187"/>
    </x:row>
    <x:row r="188" customHeight="1">
      <x:c r="A188" t="n">
        <x:v>186</x:v>
      </x:c>
      <x:c r="B188" s="95" t="n">
        <x:v>12399841</x:v>
      </x:c>
      <x:c r="C188" s="95" t="n">
        <x:v>17665</x:v>
      </x:c>
      <x:c r="D188" s="96" t="n">
        <x:v>0.423979711855034</x:v>
      </x:c>
      <x:c r="E188" s="95" t="n">
        <x:f t="shared" si="2">B188/(1-D188)</x:f>
        <x:v>21526743.51094966</x:v>
      </x:c>
      <x:c r="F188"/>
      <x:c r="G188"/>
      <x:c r="H188"/>
      <x:c r="I188"/>
      <x:c r="J188"/>
      <x:c r="K188"/>
      <x:c r="L188"/>
    </x:row>
    <x:row r="189" customHeight="1">
      <x:c r="A189" t="n">
        <x:v>187</x:v>
      </x:c>
      <x:c r="B189" s="95" t="n">
        <x:v>12571862</x:v>
      </x:c>
      <x:c r="C189" s="95" t="n">
        <x:v>17781</x:v>
      </x:c>
      <x:c r="D189" s="96" t="n">
        <x:v>0.425582281627451</x:v>
      </x:c>
      <x:c r="E189" s="95" t="n">
        <x:f t="shared" si="2">B189/(1-D189)</x:f>
        <x:v>21886271.258516945</x:v>
      </x:c>
      <x:c r="F189"/>
      <x:c r="G189"/>
      <x:c r="H189"/>
      <x:c r="I189"/>
      <x:c r="J189"/>
      <x:c r="K189"/>
      <x:c r="L189"/>
    </x:row>
    <x:row r="190" customHeight="1">
      <x:c r="A190" t="n">
        <x:v>188</x:v>
      </x:c>
      <x:c r="B190" s="95" t="n">
        <x:v>12745568</x:v>
      </x:c>
      <x:c r="C190" s="95" t="n">
        <x:v>17898</x:v>
      </x:c>
      <x:c r="D190" s="96" t="n">
        <x:v>0.427179068517407</x:v>
      </x:c>
      <x:c r="E190" s="95" t="n">
        <x:f t="shared" si="2">B190/(1-D190)</x:f>
        <x:v>22250527.694599994</x:v>
      </x:c>
      <x:c r="F190"/>
      <x:c r="G190"/>
      <x:c r="H190"/>
      <x:c r="I190"/>
      <x:c r="J190"/>
      <x:c r="K190"/>
      <x:c r="L190"/>
    </x:row>
    <x:row r="191" customHeight="1">
      <x:c r="A191" t="n">
        <x:v>189</x:v>
      </x:c>
      <x:c r="B191" s="95" t="n">
        <x:v>12921061</x:v>
      </x:c>
      <x:c r="C191" s="95" t="n">
        <x:v>18015</x:v>
      </x:c>
      <x:c r="D191" s="96" t="n">
        <x:v>0.428770094680705</x:v>
      </x:c>
      <x:c r="E191" s="95" t="n">
        <x:f t="shared" si="2">B191/(1-D191)</x:f>
        <x:v>22619720.850885134</x:v>
      </x:c>
      <x:c r="F191"/>
      <x:c r="G191"/>
      <x:c r="H191"/>
      <x:c r="I191"/>
      <x:c r="J191"/>
      <x:c r="K191"/>
      <x:c r="L191"/>
    </x:row>
    <x:row r="192" customHeight="1">
      <x:c r="A192" t="n">
        <x:v>190</x:v>
      </x:c>
      <x:c r="B192" s="95" t="n">
        <x:v>13098340</x:v>
      </x:c>
      <x:c r="C192" s="95" t="n">
        <x:v>18132</x:v>
      </x:c>
      <x:c r="D192" s="96" t="n">
        <x:v>0.430355382214843</x:v>
      </x:c>
      <x:c r="E192" s="95" t="n">
        <x:f t="shared" si="2">B192/(1-D192)</x:f>
        <x:v>22993880.028091606</x:v>
      </x:c>
      <x:c r="F192"/>
      <x:c r="G192"/>
      <x:c r="H192"/>
      <x:c r="I192"/>
      <x:c r="J192"/>
      <x:c r="K192"/>
      <x:c r="L192"/>
    </x:row>
    <x:row r="193" customHeight="1">
      <x:c r="A193" t="n">
        <x:v>191</x:v>
      </x:c>
      <x:c r="B193" s="95" t="n">
        <x:v>13277356</x:v>
      </x:c>
      <x:c r="C193" s="95" t="n">
        <x:v>18249</x:v>
      </x:c>
      <x:c r="D193" s="96" t="n">
        <x:v>0.431934953158203</x:v>
      </x:c>
      <x:c r="E193" s="95" t="n">
        <x:f t="shared" si="2">B193/(1-D193)</x:f>
        <x:v>23372950.111640424</x:v>
      </x:c>
      <x:c r="F193"/>
      <x:c r="G193"/>
      <x:c r="H193"/>
      <x:c r="I193"/>
      <x:c r="J193"/>
      <x:c r="K193"/>
      <x:c r="L193"/>
    </x:row>
    <x:row r="194" customHeight="1">
      <x:c r="A194" t="n">
        <x:v>192</x:v>
      </x:c>
      <x:c r="B194" s="95" t="n">
        <x:v>13458107</x:v>
      </x:c>
      <x:c r="C194" s="95" t="n">
        <x:v>18366</x:v>
      </x:c>
      <x:c r="D194" s="96" t="n">
        <x:v>0.43350882948954</x:v>
      </x:c>
      <x:c r="E194" s="95" t="n">
        <x:f t="shared" si="2">B194/(1-D194)</x:f>
        <x:v>23756958.09675731</x:v>
      </x:c>
      <x:c r="F194"/>
      <x:c r="G194"/>
      <x:c r="H194"/>
      <x:c r="I194"/>
      <x:c r="J194"/>
      <x:c r="K194"/>
      <x:c r="L194"/>
    </x:row>
    <x:row r="195" customHeight="1">
      <x:c r="A195" t="n">
        <x:v>193</x:v>
      </x:c>
      <x:c r="B195" s="95" t="n">
        <x:v>13640746</x:v>
      </x:c>
      <x:c r="C195" s="95" t="n">
        <x:v>18484</x:v>
      </x:c>
      <x:c r="D195" s="96" t="n">
        <x:v>0.435077033128619</x:v>
      </x:c>
      <x:c r="E195" s="95" t="n">
        <x:f t="shared" ref="E195:E258" si="3">B195/(1-D195)</x:f>
        <x:v>24146205.411941875</x:v>
      </x:c>
      <x:c r="F195"/>
      <x:c r="G195"/>
      <x:c r="H195"/>
      <x:c r="I195"/>
      <x:c r="J195"/>
      <x:c r="K195"/>
      <x:c r="L195"/>
    </x:row>
    <x:row r="196" customHeight="1">
      <x:c r="A196" t="n">
        <x:v>194</x:v>
      </x:c>
      <x:c r="B196" s="95" t="n">
        <x:v>13825121</x:v>
      </x:c>
      <x:c r="C196" s="95" t="n">
        <x:v>18602</x:v>
      </x:c>
      <x:c r="D196" s="96" t="n">
        <x:v>0.436639585934444</x:v>
      </x:c>
      <x:c r="E196" s="95" t="n">
        <x:f t="shared" si="3">B196/(1-D196)</x:f>
        <x:v>24540455.194977947</x:v>
      </x:c>
      <x:c r="F196"/>
      <x:c r="G196"/>
      <x:c r="H196"/>
      <x:c r="I196"/>
      <x:c r="J196"/>
      <x:c r="K196"/>
      <x:c r="L196"/>
    </x:row>
    <x:row r="197" customHeight="1">
      <x:c r="A197" t="n">
        <x:v>195</x:v>
      </x:c>
      <x:c r="B197" s="95" t="n">
        <x:v>14011385</x:v>
      </x:c>
      <x:c r="C197" s="95" t="n">
        <x:v>18720</x:v>
      </x:c>
      <x:c r="D197" s="96" t="n">
        <x:v>0.438196509705919</x:v>
      </x:c>
      <x:c r="E197" s="95" t="n">
        <x:f t="shared" si="3">B197/(1-D197)</x:f>
        <x:v>24940010.594568606</x:v>
      </x:c>
      <x:c r="F197"/>
      <x:c r="G197"/>
      <x:c r="H197"/>
      <x:c r="I197"/>
      <x:c r="J197"/>
      <x:c r="K197"/>
      <x:c r="L197"/>
    </x:row>
    <x:row r="198" customHeight="1">
      <x:c r="A198" t="n">
        <x:v>196</x:v>
      </x:c>
      <x:c r="B198" s="95" t="n">
        <x:v>14199435</x:v>
      </x:c>
      <x:c r="C198" s="95" t="n">
        <x:v>18838</x:v>
      </x:c>
      <x:c r="D198" s="96" t="n">
        <x:v>0.439747826181369</x:v>
      </x:c>
      <x:c r="E198" s="95" t="n">
        <x:f t="shared" si="3">B198/(1-D198)</x:f>
        <x:v>25344720.937391214</x:v>
      </x:c>
      <x:c r="F198"/>
      <x:c r="G198"/>
      <x:c r="H198"/>
      <x:c r="I198"/>
      <x:c r="J198"/>
      <x:c r="K198"/>
      <x:c r="L198"/>
    </x:row>
    <x:row r="199" customHeight="1">
      <x:c r="A199" t="n">
        <x:v>197</x:v>
      </x:c>
      <x:c r="B199" s="95" t="n">
        <x:v>14389373</x:v>
      </x:c>
      <x:c r="C199" s="95" t="n">
        <x:v>18956</x:v>
      </x:c>
      <x:c r="D199" s="96" t="n">
        <x:v>0.441293557037948</x:v>
      </x:c>
      <x:c r="E199" s="95" t="n">
        <x:f t="shared" si="3">B199/(1-D199)</x:f>
        <x:v>25754800.541967873</x:v>
      </x:c>
      <x:c r="F199"/>
      <x:c r="G199"/>
      <x:c r="H199"/>
      <x:c r="I199"/>
      <x:c r="J199"/>
      <x:c r="K199"/>
      <x:c r="L199"/>
    </x:row>
    <x:row r="200" customHeight="1">
      <x:c r="A200" t="n">
        <x:v>198</x:v>
      </x:c>
      <x:c r="B200" s="95" t="n">
        <x:v>14581149</x:v>
      </x:c>
      <x:c r="C200" s="95" t="n">
        <x:v>19075</x:v>
      </x:c>
      <x:c r="D200" s="96" t="n">
        <x:v>0.442833723891334</x:v>
      </x:c>
      <x:c r="E200" s="95" t="n">
        <x:f t="shared" si="3">B200/(1-D200)</x:f>
        <x:v>26170193.03795083</x:v>
      </x:c>
      <x:c r="F200"/>
      <x:c r="G200"/>
      <x:c r="H200"/>
      <x:c r="I200"/>
      <x:c r="J200"/>
      <x:c r="K200"/>
      <x:c r="L200"/>
    </x:row>
    <x:row r="201" customHeight="1">
      <x:c r="A201" t="n">
        <x:v>199</x:v>
      </x:c>
      <x:c r="B201" s="95" t="n">
        <x:v>14774813</x:v>
      </x:c>
      <x:c r="C201" s="95" t="n">
        <x:v>19194</x:v>
      </x:c>
      <x:c r="D201" s="96" t="n">
        <x:v>0.444368348295707</x:v>
      </x:c>
      <x:c r="E201" s="95" t="n">
        <x:f t="shared" si="3">B201/(1-D201)</x:f>
        <x:v>26591021.146259595</x:v>
      </x:c>
      <x:c r="F201"/>
      <x:c r="G201"/>
      <x:c r="H201"/>
      <x:c r="I201"/>
      <x:c r="J201"/>
      <x:c r="K201"/>
      <x:c r="L201"/>
    </x:row>
    <x:row r="202" customHeight="1">
      <x:c r="A202" t="n">
        <x:v>200</x:v>
      </x:c>
      <x:c r="B202" s="95" t="n">
        <x:v>14970365</x:v>
      </x:c>
      <x:c r="C202" s="95" t="n">
        <x:v>19313</x:v>
      </x:c>
      <x:c r="D202" s="96" t="n">
        <x:v>0.445897451743602</x:v>
      </x:c>
      <x:c r="E202" s="95" t="n">
        <x:f t="shared" si="3">B202/(1-D202)</x:f>
        <x:v>27017318.449639786</x:v>
      </x:c>
      <x:c r="F202"/>
      <x:c r="G202"/>
      <x:c r="H202"/>
      <x:c r="I202"/>
      <x:c r="J202"/>
      <x:c r="K202"/>
      <x:c r="L202"/>
    </x:row>
    <x:row r="203" customHeight="1">
      <x:c r="A203" t="n">
        <x:v>201</x:v>
      </x:c>
      <x:c r="B203" s="95" t="n">
        <x:v>15167805</x:v>
      </x:c>
      <x:c r="C203" s="95" t="n">
        <x:v>19433</x:v>
      </x:c>
      <x:c r="D203" s="96" t="n">
        <x:v>0.44742105566466</x:v>
      </x:c>
      <x:c r="E203" s="95" t="n">
        <x:f t="shared" si="3">B203/(1-D203)</x:f>
        <x:v>27449118.638141982</x:v>
      </x:c>
      <x:c r="F203"/>
      <x:c r="G203"/>
      <x:c r="H203"/>
      <x:c r="I203"/>
      <x:c r="J203"/>
      <x:c r="K203"/>
      <x:c r="L203"/>
    </x:row>
    <x:row r="204" customHeight="1">
      <x:c r="A204" t="n">
        <x:v>202</x:v>
      </x:c>
      <x:c r="B204" s="95" t="n">
        <x:v>15367185</x:v>
      </x:c>
      <x:c r="C204" s="95" t="n">
        <x:v>19552</x:v>
      </x:c>
      <x:c r="D204" s="96" t="n">
        <x:v>0.44893918142688</x:v>
      </x:c>
      <x:c r="E204" s="95" t="n">
        <x:f t="shared" si="3">B204/(1-D204)</x:f>
        <x:v>27886549.8726452</x:v>
      </x:c>
      <x:c r="F204"/>
      <x:c r="G204"/>
      <x:c r="H204"/>
      <x:c r="I204"/>
      <x:c r="J204"/>
      <x:c r="K204"/>
      <x:c r="L204"/>
    </x:row>
    <x:row r="205" customHeight="1">
      <x:c r="A205" t="n">
        <x:v>203</x:v>
      </x:c>
      <x:c r="B205" s="95" t="n">
        <x:v>15568452</x:v>
      </x:c>
      <x:c r="C205" s="95" t="n">
        <x:v>19672</x:v>
      </x:c>
      <x:c r="D205" s="96" t="n">
        <x:v>0.450451850334848</x:v>
      </x:c>
      <x:c r="E205" s="95" t="n">
        <x:f t="shared" si="3">B205/(1-D205)</x:f>
        <x:v>28329550.39423951</x:v>
      </x:c>
      <x:c r="F205"/>
      <x:c r="G205"/>
      <x:c r="H205"/>
      <x:c r="I205"/>
      <x:c r="J205"/>
      <x:c r="K205"/>
      <x:c r="L205"/>
    </x:row>
    <x:row r="206" customHeight="1">
      <x:c r="A206" t="n">
        <x:v>204</x:v>
      </x:c>
      <x:c r="B206" s="95" t="n">
        <x:v>15771710</x:v>
      </x:c>
      <x:c r="C206" s="95" t="n">
        <x:v>19792</x:v>
      </x:c>
      <x:c r="D206" s="96" t="n">
        <x:v>0.451959083630443</x:v>
      </x:c>
      <x:c r="E206" s="95" t="n">
        <x:f t="shared" si="3">B206/(1-D206)</x:f>
        <x:v>28778343.968326557</x:v>
      </x:c>
      <x:c r="F206"/>
      <x:c r="G206"/>
      <x:c r="H206"/>
      <x:c r="I206"/>
      <x:c r="J206"/>
      <x:c r="K206"/>
      <x:c r="L206"/>
    </x:row>
    <x:row r="207" customHeight="1">
      <x:c r="A207" t="n">
        <x:v>205</x:v>
      </x:c>
      <x:c r="B207" s="95" t="n">
        <x:v>15976907</x:v>
      </x:c>
      <x:c r="C207" s="95" t="n">
        <x:v>19913</x:v>
      </x:c>
      <x:c r="D207" s="96" t="n">
        <x:v>0.453460902492464</x:v>
      </x:c>
      <x:c r="E207" s="95" t="n">
        <x:f t="shared" si="3">B207/(1-D207)</x:f>
        <x:v>29232871.120953433</x:v>
      </x:c>
      <x:c r="F207"/>
      <x:c r="G207"/>
      <x:c r="H207"/>
      <x:c r="I207"/>
      <x:c r="J207"/>
      <x:c r="K207"/>
      <x:c r="L207"/>
    </x:row>
    <x:row r="208" customHeight="1">
      <x:c r="A208" t="n">
        <x:v>206</x:v>
      </x:c>
      <x:c r="B208" s="95" t="n">
        <x:v>16184042</x:v>
      </x:c>
      <x:c r="C208" s="95" t="n">
        <x:v>20033</x:v>
      </x:c>
      <x:c r="D208" s="96" t="n">
        <x:v>0.454957328036119</x:v>
      </x:c>
      <x:c r="E208" s="95" t="n">
        <x:f t="shared" si="3">B208/(1-D208)</x:f>
        <x:v>29693165.017128214</x:v>
      </x:c>
      <x:c r="F208"/>
      <x:c r="G208"/>
      <x:c r="H208"/>
      <x:c r="I208"/>
      <x:c r="J208"/>
      <x:c r="K208"/>
      <x:c r="L208"/>
    </x:row>
    <x:row r="209" customHeight="1">
      <x:c r="A209" t="n">
        <x:v>207</x:v>
      </x:c>
      <x:c r="B209" s="95" t="n">
        <x:v>16393219</x:v>
      </x:c>
      <x:c r="C209" s="95" t="n">
        <x:v>20154</x:v>
      </x:c>
      <x:c r="D209" s="96" t="n">
        <x:v>0.456448381312943</x:v>
      </x:c>
      <x:c r="E209" s="95" t="n">
        <x:f t="shared" si="3">B209/(1-D209)</x:f>
        <x:v>30159452.085889544</x:v>
      </x:c>
      <x:c r="F209"/>
      <x:c r="G209"/>
      <x:c r="H209"/>
      <x:c r="I209"/>
      <x:c r="J209"/>
      <x:c r="K209"/>
      <x:c r="L209"/>
    </x:row>
    <x:row r="210" customHeight="1">
      <x:c r="A210" t="n">
        <x:v>208</x:v>
      </x:c>
      <x:c r="B210" s="95" t="n">
        <x:v>16604386</x:v>
      </x:c>
      <x:c r="C210" s="95" t="n">
        <x:v>20275</x:v>
      </x:c>
      <x:c r="D210" s="96" t="n">
        <x:v>0.457934083310447</x:v>
      </x:c>
      <x:c r="E210" s="95" t="n">
        <x:f t="shared" si="3">B210/(1-D210)</x:f>
        <x:v>30631673.176215418</x:v>
      </x:c>
      <x:c r="F210"/>
      <x:c r="G210"/>
      <x:c r="H210"/>
      <x:c r="I210"/>
      <x:c r="J210"/>
      <x:c r="K210"/>
      <x:c r="L210"/>
    </x:row>
    <x:row r="211" customHeight="1">
      <x:c r="A211" t="n">
        <x:v>209</x:v>
      </x:c>
      <x:c r="B211" s="95" t="n">
        <x:v>16817542</x:v>
      </x:c>
      <x:c r="C211" s="95" t="n">
        <x:v>20396</x:v>
      </x:c>
      <x:c r="D211" s="96" t="n">
        <x:v>0.459414454952315</x:v>
      </x:c>
      <x:c r="E211" s="95" t="n">
        <x:f t="shared" si="3">B211/(1-D211)</x:f>
        <x:v>31109862.54454237</x:v>
      </x:c>
      <x:c r="F211"/>
      <x:c r="G211"/>
      <x:c r="H211"/>
      <x:c r="I211"/>
      <x:c r="J211"/>
      <x:c r="K211"/>
      <x:c r="L211"/>
    </x:row>
    <x:row r="212" customHeight="1">
      <x:c r="A212" t="n">
        <x:v>210</x:v>
      </x:c>
      <x:c r="B212" s="95" t="n">
        <x:v>17032739</x:v>
      </x:c>
      <x:c r="C212" s="95" t="n">
        <x:v>20518</x:v>
      </x:c>
      <x:c r="D212" s="96" t="n">
        <x:v>0.460889517097669</x:v>
      </x:c>
      <x:c r="E212" s="95" t="n">
        <x:f t="shared" si="3">B212/(1-D212)</x:f>
        <x:v>31594152.85027164</x:v>
      </x:c>
      <x:c r="F212"/>
      <x:c r="G212"/>
      <x:c r="H212"/>
      <x:c r="I212"/>
      <x:c r="J212"/>
      <x:c r="K212"/>
      <x:c r="L212"/>
    </x:row>
    <x:row r="213" customHeight="1">
      <x:c r="A213" t="n">
        <x:v>211</x:v>
      </x:c>
      <x:c r="B213" s="95" t="n">
        <x:v>17249927</x:v>
      </x:c>
      <x:c r="C213" s="95" t="n">
        <x:v>20639</x:v>
      </x:c>
      <x:c r="D213" s="96" t="n">
        <x:v>0.462359290541413</x:v>
      </x:c>
      <x:c r="E213" s="95" t="n">
        <x:f t="shared" si="3">B213/(1-D213)</x:f>
        <x:v>32084488.202857554</x:v>
      </x:c>
      <x:c r="F213"/>
      <x:c r="G213"/>
      <x:c r="H213"/>
      <x:c r="I213"/>
      <x:c r="J213"/>
      <x:c r="K213"/>
      <x:c r="L213"/>
    </x:row>
    <x:row r="214" customHeight="1">
      <x:c r="A214" t="n">
        <x:v>212</x:v>
      </x:c>
      <x:c r="B214" s="95" t="n">
        <x:v>17469206</x:v>
      </x:c>
      <x:c r="C214" s="95" t="n">
        <x:v>20761</x:v>
      </x:c>
      <x:c r="D214" s="96" t="n">
        <x:v>0.463823796013651</x:v>
      </x:c>
      <x:c r="E214" s="95" t="n">
        <x:f t="shared" si="3">B214/(1-D214)</x:f>
        <x:v>32581091.570495665</x:v>
      </x:c>
      <x:c r="F214"/>
      <x:c r="G214"/>
      <x:c r="H214"/>
      <x:c r="I214"/>
      <x:c r="J214"/>
      <x:c r="K214"/>
      <x:c r="L214"/>
    </x:row>
    <x:row r="215" customHeight="1">
      <x:c r="A215" t="n">
        <x:v>213</x:v>
      </x:c>
      <x:c r="B215" s="95" t="n">
        <x:v>17690576</x:v>
      </x:c>
      <x:c r="C215" s="95" t="n">
        <x:v>20884</x:v>
      </x:c>
      <x:c r="D215" s="96" t="n">
        <x:v>0.465283054179648</x:v>
      </x:c>
      <x:c r="E215" s="95" t="n">
        <x:f t="shared" si="3">B215/(1-D215)</x:f>
        <x:v>33084001.05566034</x:v>
      </x:c>
      <x:c r="F215"/>
      <x:c r="G215"/>
      <x:c r="H215"/>
      <x:c r="I215"/>
      <x:c r="J215"/>
      <x:c r="K215"/>
      <x:c r="L215"/>
    </x:row>
    <x:row r="216" customHeight="1">
      <x:c r="A216" t="n">
        <x:v>214</x:v>
      </x:c>
      <x:c r="B216" s="95" t="n">
        <x:v>17914039</x:v>
      </x:c>
      <x:c r="C216" s="95" t="n">
        <x:v>21006</x:v>
      </x:c>
      <x:c r="D216" s="96" t="n">
        <x:v>0.466737085639532</x:v>
      </x:c>
      <x:c r="E216" s="95" t="n">
        <x:f t="shared" si="3">B216/(1-D216)</x:f>
        <x:v>33593258.63018988</x:v>
      </x:c>
      <x:c r="F216"/>
      <x:c r="G216"/>
      <x:c r="H216"/>
      <x:c r="I216"/>
      <x:c r="J216"/>
      <x:c r="K216"/>
      <x:c r="L216"/>
    </x:row>
    <x:row r="217" customHeight="1">
      <x:c r="A217" t="n">
        <x:v>215</x:v>
      </x:c>
      <x:c r="B217" s="95" t="n">
        <x:v>18139542</x:v>
      </x:c>
      <x:c r="C217" s="95" t="n">
        <x:v>21129</x:v>
      </x:c>
      <x:c r="D217" s="96" t="n">
        <x:v>0.468185910928524</x:v>
      </x:c>
      <x:c r="E217" s="95" t="n">
        <x:f t="shared" si="3">B217/(1-D217)</x:f>
        <x:v>34108803.00608591</x:v>
      </x:c>
      <x:c r="F217"/>
      <x:c r="G217"/>
      <x:c r="H217"/>
      <x:c r="I217"/>
      <x:c r="J217"/>
      <x:c r="K217"/>
      <x:c r="L217"/>
    </x:row>
    <x:row r="218" customHeight="1">
      <x:c r="A218" t="n">
        <x:v>216</x:v>
      </x:c>
      <x:c r="B218" s="95" t="n">
        <x:v>18367188</x:v>
      </x:c>
      <x:c r="C218" s="95" t="n">
        <x:v>21251</x:v>
      </x:c>
      <x:c r="D218" s="96" t="n">
        <x:v>0.469629550516275</x:v>
      </x:c>
      <x:c r="E218" s="95" t="n">
        <x:f t="shared" si="3">B218/(1-D218)</x:f>
        <x:v>34630866.06329416</x:v>
      </x:c>
      <x:c r="F218"/>
      <x:c r="G218"/>
      <x:c r="H218"/>
      <x:c r="I218"/>
      <x:c r="J218"/>
      <x:c r="K218"/>
      <x:c r="L218"/>
    </x:row>
    <x:row r="219" customHeight="1">
      <x:c r="A219" t="n">
        <x:v>217</x:v>
      </x:c>
      <x:c r="B219" s="95" t="n">
        <x:v>18596977</x:v>
      </x:c>
      <x:c r="C219" s="95" t="n">
        <x:v>21374</x:v>
      </x:c>
      <x:c r="D219" s="96" t="n">
        <x:v>0.471068024807351</x:v>
      </x:c>
      <x:c r="E219" s="95" t="n">
        <x:f t="shared" si="3">B219/(1-D219)</x:f>
        <x:v>35159487.17834001</x:v>
      </x:c>
      <x:c r="F219"/>
      <x:c r="G219"/>
      <x:c r="H219"/>
      <x:c r="I219"/>
      <x:c r="J219"/>
      <x:c r="K219"/>
      <x:c r="L219"/>
    </x:row>
    <x:row r="220" customHeight="1">
      <x:c r="A220" t="n">
        <x:v>218</x:v>
      </x:c>
      <x:c r="B220" s="95" t="n">
        <x:v>18828908</x:v>
      </x:c>
      <x:c r="C220" s="95" t="n">
        <x:v>21498</x:v>
      </x:c>
      <x:c r="D220" s="96" t="n">
        <x:v>0.47250135414022</x:v>
      </x:c>
      <x:c r="E220" s="95" t="n">
        <x:f t="shared" si="3">B220/(1-D220)</x:f>
        <x:v>35694703.95380903</x:v>
      </x:c>
      <x:c r="F220"/>
      <x:c r="G220"/>
      <x:c r="H220"/>
      <x:c r="I220"/>
      <x:c r="J220"/>
      <x:c r="K220"/>
      <x:c r="L220"/>
    </x:row>
    <x:row r="221" customHeight="1">
      <x:c r="A221" t="n">
        <x:v>219</x:v>
      </x:c>
      <x:c r="B221" s="95" t="n">
        <x:v>19062931</x:v>
      </x:c>
      <x:c r="C221" s="95" t="n">
        <x:v>21621</x:v>
      </x:c>
      <x:c r="D221" s="96" t="n">
        <x:v>0.473929558787997</x:v>
      </x:c>
      <x:c r="E221" s="95" t="n">
        <x:f t="shared" si="3">B221/(1-D221)</x:f>
        <x:v>36236460.95013683</x:v>
      </x:c>
      <x:c r="F221"/>
      <x:c r="G221"/>
      <x:c r="H221"/>
      <x:c r="I221"/>
      <x:c r="J221"/>
      <x:c r="K221"/>
      <x:c r="L221"/>
    </x:row>
    <x:row r="222" customHeight="1">
      <x:c r="A222" t="n">
        <x:v>220</x:v>
      </x:c>
      <x:c r="B222" s="95" t="n">
        <x:v>19299198</x:v>
      </x:c>
      <x:c r="C222" s="95" t="n">
        <x:v>21745</x:v>
      </x:c>
      <x:c r="D222" s="96" t="n">
        <x:v>0.475352658957699</x:v>
      </x:c>
      <x:c r="E222" s="95" t="n">
        <x:f t="shared" si="3">B222/(1-D222)</x:f>
        <x:v>36785086.83882562</x:v>
      </x:c>
      <x:c r="F222"/>
      <x:c r="G222"/>
      <x:c r="H222"/>
      <x:c r="I222"/>
      <x:c r="J222"/>
      <x:c r="K222"/>
      <x:c r="L222"/>
    </x:row>
    <x:row r="223" customHeight="1">
      <x:c r="A223" t="n">
        <x:v>221</x:v>
      </x:c>
      <x:c r="B223" s="95" t="n">
        <x:v>19537608</x:v>
      </x:c>
      <x:c r="C223" s="95" t="n">
        <x:v>21869</x:v>
      </x:c>
      <x:c r="D223" s="96" t="n">
        <x:v>0.476770674790754</x:v>
      </x:c>
      <x:c r="E223" s="95" t="n">
        <x:f t="shared" si="3">B223/(1-D223)</x:f>
        <x:v>37340430.015436664</x:v>
      </x:c>
      <x:c r="F223"/>
      <x:c r="G223"/>
      <x:c r="H223"/>
      <x:c r="I223"/>
      <x:c r="J223"/>
      <x:c r="K223"/>
      <x:c r="L223"/>
    </x:row>
    <x:row r="224" customHeight="1">
      <x:c r="A224" t="n">
        <x:v>222</x:v>
      </x:c>
      <x:c r="B224" s="95" t="n">
        <x:v>19778263</x:v>
      </x:c>
      <x:c r="C224" s="95" t="n">
        <x:v>21993</x:v>
      </x:c>
      <x:c r="D224" s="96" t="n">
        <x:v>0.478183626362013</x:v>
      </x:c>
      <x:c r="E224" s="95" t="n">
        <x:f t="shared" si="3">B224/(1-D224)</x:f>
        <x:v>37902725.93807353</x:v>
      </x:c>
      <x:c r="F224"/>
      <x:c r="G224"/>
      <x:c r="H224"/>
      <x:c r="I224"/>
      <x:c r="J224"/>
      <x:c r="K224"/>
      <x:c r="L224"/>
    </x:row>
    <x:row r="225" customHeight="1">
      <x:c r="A225" t="n">
        <x:v>223</x:v>
      </x:c>
      <x:c r="B225" s="95" t="n">
        <x:v>20021111</x:v>
      </x:c>
      <x:c r="C225" s="95" t="n">
        <x:v>22118</x:v>
      </x:c>
      <x:c r="D225" s="96" t="n">
        <x:v>0.479591533680529</x:v>
      </x:c>
      <x:c r="E225" s="95" t="n">
        <x:f t="shared" si="3">B225/(1-D225)</x:f>
        <x:v>38471916.38060196</x:v>
      </x:c>
      <x:c r="F225"/>
      <x:c r="G225"/>
      <x:c r="H225"/>
      <x:c r="I225"/>
      <x:c r="J225"/>
      <x:c r="K225"/>
      <x:c r="L225"/>
    </x:row>
    <x:row r="226" customHeight="1">
      <x:c r="A226" t="n">
        <x:v>224</x:v>
      </x:c>
      <x:c r="B226" s="95" t="n">
        <x:v>20266204</x:v>
      </x:c>
      <x:c r="C226" s="95" t="n">
        <x:v>22242</x:v>
      </x:c>
      <x:c r="D226" s="96" t="n">
        <x:v>0.480994416688834</x:v>
      </x:c>
      <x:c r="E226" s="95" t="n">
        <x:f t="shared" si="3">B226/(1-D226)</x:f>
        <x:v>39048142.547340475</x:v>
      </x:c>
      <x:c r="F226"/>
      <x:c r="G226"/>
      <x:c r="H226"/>
      <x:c r="I226"/>
      <x:c r="J226"/>
      <x:c r="K226"/>
      <x:c r="L226"/>
    </x:row>
    <x:row r="227" customHeight="1">
      <x:c r="A227" t="n">
        <x:v>225</x:v>
      </x:c>
      <x:c r="B227" s="95" t="n">
        <x:v>20513490</x:v>
      </x:c>
      <x:c r="C227" s="95" t="n">
        <x:v>22367</x:v>
      </x:c>
      <x:c r="D227" s="96" t="n">
        <x:v>0.482392295263465</x:v>
      </x:c>
      <x:c r="E227" s="95" t="n">
        <x:f t="shared" si="3">B227/(1-D227)</x:f>
        <x:v>39631345.925272636</x:v>
      </x:c>
      <x:c r="F227"/>
      <x:c r="G227"/>
      <x:c r="H227"/>
      <x:c r="I227"/>
      <x:c r="J227"/>
      <x:c r="K227"/>
      <x:c r="L227"/>
    </x:row>
    <x:row r="228" customHeight="1">
      <x:c r="A228" t="n">
        <x:v>226</x:v>
      </x:c>
      <x:c r="B228" s="95" t="n">
        <x:v>20763072</x:v>
      </x:c>
      <x:c r="C228" s="95" t="n">
        <x:v>22492</x:v>
      </x:c>
      <x:c r="D228" s="96" t="n">
        <x:v>0.483785189214029</x:v>
      </x:c>
      <x:c r="E228" s="95" t="n">
        <x:f t="shared" si="3">B228/(1-D228)</x:f>
        <x:v>40221767.30727051</x:v>
      </x:c>
      <x:c r="F228"/>
      <x:c r="G228"/>
      <x:c r="H228"/>
      <x:c r="I228"/>
      <x:c r="J228"/>
      <x:c r="K228"/>
      <x:c r="L228"/>
    </x:row>
    <x:row r="229" customHeight="1">
      <x:c r="A229" t="n">
        <x:v>227</x:v>
      </x:c>
      <x:c r="B229" s="95" t="n">
        <x:v>21014949</x:v>
      </x:c>
      <x:c r="C229" s="95" t="n">
        <x:v>22618</x:v>
      </x:c>
      <x:c r="D229" s="96" t="n">
        <x:v>0.485173118283973</x:v>
      </x:c>
      <x:c r="E229" s="95" t="n">
        <x:f t="shared" si="3">B229/(1-D229)</x:f>
        <x:v>40819447.75290818</x:v>
      </x:c>
      <x:c r="F229"/>
      <x:c r="G229"/>
      <x:c r="H229"/>
      <x:c r="I229"/>
      <x:c r="J229"/>
      <x:c r="K229"/>
      <x:c r="L229"/>
    </x:row>
    <x:row r="230" customHeight="1">
      <x:c r="A230" t="n">
        <x:v>228</x:v>
      </x:c>
      <x:c r="B230" s="95" t="n">
        <x:v>21269121</x:v>
      </x:c>
      <x:c r="C230" s="95" t="n">
        <x:v>22743</x:v>
      </x:c>
      <x:c r="D230" s="96" t="n">
        <x:v>0.486556102150036</x:v>
      </x:c>
      <x:c r="E230" s="95" t="n">
        <x:f t="shared" si="3">B230/(1-D230)</x:f>
        <x:v>41424430.37898398</x:v>
      </x:c>
      <x:c r="F230"/>
      <x:c r="G230"/>
      <x:c r="H230"/>
      <x:c r="I230"/>
      <x:c r="J230"/>
      <x:c r="K230"/>
      <x:c r="L230"/>
    </x:row>
    <x:row r="231" customHeight="1">
      <x:c r="A231" t="n">
        <x:v>229</x:v>
      </x:c>
      <x:c r="B231" s="95" t="n">
        <x:v>21525589</x:v>
      </x:c>
      <x:c r="C231" s="95" t="n">
        <x:v>22869</x:v>
      </x:c>
      <x:c r="D231" s="96" t="n">
        <x:v>0.487934160422295</x:v>
      </x:c>
      <x:c r="E231" s="95" t="n">
        <x:f t="shared" si="3">B231/(1-D231)</x:f>
        <x:v>42036760.38564087</x:v>
      </x:c>
      <x:c r="F231"/>
      <x:c r="G231"/>
      <x:c r="H231"/>
      <x:c r="I231"/>
      <x:c r="J231"/>
      <x:c r="K231"/>
      <x:c r="L231"/>
    </x:row>
    <x:row r="232" customHeight="1">
      <x:c r="A232" t="n">
        <x:v>230</x:v>
      </x:c>
      <x:c r="B232" s="95" t="n">
        <x:v>21784353</x:v>
      </x:c>
      <x:c r="C232" s="95" t="n">
        <x:v>22995</x:v>
      </x:c>
      <x:c r="D232" s="96" t="n">
        <x:v>0.489307312644116</x:v>
      </x:c>
      <x:c r="E232" s="95" t="n">
        <x:f t="shared" si="3">B232/(1-D232)</x:f>
        <x:v>42656481.166371666</x:v>
      </x:c>
      <x:c r="F232"/>
      <x:c r="G232"/>
      <x:c r="H232"/>
      <x:c r="I232"/>
      <x:c r="J232"/>
      <x:c r="K232"/>
      <x:c r="L232"/>
    </x:row>
    <x:row r="233" customHeight="1">
      <x:c r="A233" t="n">
        <x:v>231</x:v>
      </x:c>
      <x:c r="B233" s="95" t="n">
        <x:v>22045514</x:v>
      </x:c>
      <x:c r="C233" s="95" t="n">
        <x:v>23121</x:v>
      </x:c>
      <x:c r="D233" s="96" t="n">
        <x:v>0.490675578291975</x:v>
      </x:c>
      <x:c r="E233" s="95" t="n">
        <x:f t="shared" si="3">B233/(1-D233)</x:f>
        <x:v>43283834.54708519</x:v>
      </x:c>
      <x:c r="F233"/>
      <x:c r="G233"/>
      <x:c r="H233"/>
      <x:c r="I233"/>
      <x:c r="J233"/>
      <x:c r="K233"/>
      <x:c r="L233"/>
    </x:row>
    <x:row r="234" customHeight="1">
      <x:c r="A234" t="n">
        <x:v>232</x:v>
      </x:c>
      <x:c r="B234" s="95" t="n">
        <x:v>22308970</x:v>
      </x:c>
      <x:c r="C234" s="95" t="n">
        <x:v>23248</x:v>
      </x:c>
      <x:c r="D234" s="96" t="n">
        <x:v>0.49203897677577</x:v>
      </x:c>
      <x:c r="E234" s="95" t="n">
        <x:f t="shared" si="3">B234/(1-D234)</x:f>
        <x:v>43918664.97629311</x:v>
      </x:c>
      <x:c r="F234"/>
      <x:c r="G234"/>
      <x:c r="H234"/>
      <x:c r="I234"/>
      <x:c r="J234"/>
      <x:c r="K234"/>
      <x:c r="L234"/>
    </x:row>
    <x:row r="235" customHeight="1">
      <x:c r="A235" t="n">
        <x:v>233</x:v>
      </x:c>
      <x:c r="B235" s="95" t="n">
        <x:v>22574823</x:v>
      </x:c>
      <x:c r="C235" s="95" t="n">
        <x:v>23374</x:v>
      </x:c>
      <x:c r="D235" s="96" t="n">
        <x:v>0.493397527438544</x:v>
      </x:c>
      <x:c r="E235" s="95" t="n">
        <x:f t="shared" si="3">B235/(1-D235)</x:f>
        <x:v>44561217.56741218</x:v>
      </x:c>
      <x:c r="F235"/>
      <x:c r="G235"/>
      <x:c r="H235"/>
      <x:c r="I235"/>
      <x:c r="J235"/>
      <x:c r="K235"/>
      <x:c r="L235"/>
    </x:row>
    <x:row r="236" customHeight="1">
      <x:c r="A236" t="n">
        <x:v>234</x:v>
      </x:c>
      <x:c r="B236" s="95" t="n">
        <x:v>22843074</x:v>
      </x:c>
      <x:c r="C236" s="95" t="n">
        <x:v>23501</x:v>
      </x:c>
      <x:c r="D236" s="96" t="n">
        <x:v>0.494751249556086</x:v>
      </x:c>
      <x:c r="E236" s="95" t="n">
        <x:f t="shared" si="3">B236/(1-D236)</x:f>
        <x:v>45211539.820593245</x:v>
      </x:c>
      <x:c r="F236"/>
      <x:c r="G236"/>
      <x:c r="H236"/>
      <x:c r="I236"/>
      <x:c r="J236"/>
      <x:c r="K236"/>
      <x:c r="L236"/>
    </x:row>
    <x:row r="237" customHeight="1">
      <x:c r="A237" t="n">
        <x:v>235</x:v>
      </x:c>
      <x:c r="B237" s="95" t="n">
        <x:v>23113723</x:v>
      </x:c>
      <x:c r="C237" s="95" t="n">
        <x:v>23629</x:v>
      </x:c>
      <x:c r="D237" s="96" t="n">
        <x:v>0.496100162337619</x:v>
      </x:c>
      <x:c r="E237" s="95" t="n">
        <x:f t="shared" si="3">B237/(1-D237)</x:f>
        <x:v>45869677.408958554</x:v>
      </x:c>
      <x:c r="F237"/>
      <x:c r="G237"/>
      <x:c r="H237"/>
      <x:c r="I237"/>
      <x:c r="J237"/>
      <x:c r="K237"/>
      <x:c r="L237"/>
    </x:row>
    <x:row r="238" customHeight="1">
      <x:c r="A238" t="n">
        <x:v>236</x:v>
      </x:c>
      <x:c r="B238" s="95" t="n">
        <x:v>23386819</x:v>
      </x:c>
      <x:c r="C238" s="95" t="n">
        <x:v>23756</x:v>
      </x:c>
      <x:c r="D238" s="96" t="n">
        <x:v>0.497444284925295</x:v>
      </x:c>
      <x:c r="E238" s="95" t="n">
        <x:f t="shared" si="3">B238/(1-D238)</x:f>
        <x:v>46535773.64357213</x:v>
      </x:c>
      <x:c r="F238"/>
      <x:c r="G238"/>
      <x:c r="H238"/>
      <x:c r="I238"/>
      <x:c r="J238"/>
      <x:c r="K238"/>
      <x:c r="L238"/>
    </x:row>
    <x:row r="239" customHeight="1">
      <x:c r="A239" t="n">
        <x:v>237</x:v>
      </x:c>
      <x:c r="B239" s="95" t="n">
        <x:v>23662313</x:v>
      </x:c>
      <x:c r="C239" s="95" t="n">
        <x:v>23884</x:v>
      </x:c>
      <x:c r="D239" s="96" t="n">
        <x:v>0.498783636394293</x:v>
      </x:c>
      <x:c r="E239" s="95" t="n">
        <x:f t="shared" si="3">B239/(1-D239)</x:f>
        <x:v>47209777.48965611</x:v>
      </x:c>
      <x:c r="F239"/>
      <x:c r="G239"/>
      <x:c r="H239"/>
      <x:c r="I239"/>
      <x:c r="J239"/>
      <x:c r="K239"/>
      <x:c r="L239"/>
    </x:row>
    <x:row r="240" customHeight="1">
      <x:c r="A240" t="n">
        <x:v>238</x:v>
      </x:c>
      <x:c r="B240" s="95" t="n">
        <x:v>23940306</x:v>
      </x:c>
      <x:c r="C240" s="95" t="n">
        <x:v>24011</x:v>
      </x:c>
      <x:c r="D240" s="96" t="n">
        <x:v>0.500118235752692</x:v>
      </x:c>
      <x:c r="E240" s="95" t="n">
        <x:f t="shared" si="3">B240/(1-D240)</x:f>
        <x:v>47891937.0784567</x:v>
      </x:c>
      <x:c r="F240"/>
      <x:c r="G240"/>
      <x:c r="H240"/>
      <x:c r="I240"/>
      <x:c r="J240"/>
      <x:c r="K240"/>
      <x:c r="L240"/>
    </x:row>
    <x:row r="241" customHeight="1">
      <x:c r="A241" t="n">
        <x:v>239</x:v>
      </x:c>
      <x:c r="B241" s="95" t="n">
        <x:v>24220697</x:v>
      </x:c>
      <x:c r="C241" s="95" t="n">
        <x:v>24139</x:v>
      </x:c>
      <x:c r="D241" s="96" t="n">
        <x:v>0.501448101941922</x:v>
      </x:c>
      <x:c r="E241" s="95" t="n">
        <x:f t="shared" si="3">B241/(1-D241)</x:f>
        <x:v>48582097.65992797</x:v>
      </x:c>
      <x:c r="F241"/>
      <x:c r="G241"/>
      <x:c r="H241"/>
      <x:c r="I241"/>
      <x:c r="J241"/>
      <x:c r="K241"/>
      <x:c r="L241"/>
    </x:row>
    <x:row r="242" customHeight="1">
      <x:c r="A242" t="n">
        <x:v>240</x:v>
      </x:c>
      <x:c r="B242" s="95" t="n">
        <x:v>24503638</x:v>
      </x:c>
      <x:c r="C242" s="95" t="n">
        <x:v>24268</x:v>
      </x:c>
      <x:c r="D242" s="96" t="n">
        <x:v>0.502773253836059</x:v>
      </x:c>
      <x:c r="E242" s="95" t="n">
        <x:f t="shared" si="3">B242/(1-D242)</x:f>
        <x:v>49280611.28859887</x:v>
      </x:c>
      <x:c r="F242"/>
      <x:c r="G242"/>
      <x:c r="H242"/>
      <x:c r="I242"/>
      <x:c r="J242"/>
      <x:c r="K242"/>
      <x:c r="L242"/>
    </x:row>
    <x:row r="243" customHeight="1">
      <x:c r="A243" t="n">
        <x:v>241</x:v>
      </x:c>
      <x:c r="B243" s="95" t="n">
        <x:v>24789027</x:v>
      </x:c>
      <x:c r="C243" s="95" t="n">
        <x:v>24396</x:v>
      </x:c>
      <x:c r="D243" s="96" t="n">
        <x:v>0.50409371024218</x:v>
      </x:c>
      <x:c r="E243" s="95" t="n">
        <x:f t="shared" si="3">B243/(1-D243)</x:f>
        <x:v>49987321.21769605</x:v>
      </x:c>
      <x:c r="F243"/>
      <x:c r="G243"/>
      <x:c r="H243"/>
      <x:c r="I243"/>
      <x:c r="J243"/>
      <x:c r="K243"/>
      <x:c r="L243"/>
    </x:row>
    <x:row r="244" customHeight="1">
      <x:c r="A244" t="n">
        <x:v>242</x:v>
      </x:c>
      <x:c r="B244" s="95" t="n">
        <x:v>25076966</x:v>
      </x:c>
      <x:c r="C244" s="95" t="n">
        <x:v>24525</x:v>
      </x:c>
      <x:c r="D244" s="96" t="n">
        <x:v>0.505409489900706</x:v>
      </x:c>
      <x:c r="E244" s="95" t="n">
        <x:f t="shared" si="3">B244/(1-D244)</x:f>
        <x:v>50702481.11910912</x:v>
      </x:c>
      <x:c r="F244"/>
      <x:c r="G244"/>
      <x:c r="H244"/>
      <x:c r="I244"/>
      <x:c r="J244"/>
      <x:c r="K244"/>
      <x:c r="L244"/>
    </x:row>
    <x:row r="245" customHeight="1">
      <x:c r="A245" t="n">
        <x:v>243</x:v>
      </x:c>
      <x:c r="B245" s="95" t="n">
        <x:v>25367456</x:v>
      </x:c>
      <x:c r="C245" s="95" t="n">
        <x:v>24654</x:v>
      </x:c>
      <x:c r="D245" s="96" t="n">
        <x:v>0.506720611484607</x:v>
      </x:c>
      <x:c r="E245" s="95" t="n">
        <x:f t="shared" si="3">B245/(1-D245)</x:f>
        <x:v>51426142.24435286</x:v>
      </x:c>
      <x:c r="F245"/>
      <x:c r="G245"/>
      <x:c r="H245"/>
      <x:c r="I245"/>
      <x:c r="J245"/>
      <x:c r="K245"/>
      <x:c r="L245"/>
    </x:row>
    <x:row r="246" customHeight="1">
      <x:c r="A246" t="n">
        <x:v>244</x:v>
      </x:c>
      <x:c r="B246" s="95" t="n">
        <x:v>25660496</x:v>
      </x:c>
      <x:c r="C246" s="95" t="n">
        <x:v>24783</x:v>
      </x:c>
      <x:c r="D246" s="96" t="n">
        <x:v>0.508027093600221</x:v>
      </x:c>
      <x:c r="E246" s="95" t="n">
        <x:f t="shared" si="3">B246/(1-D246)</x:f>
        <x:v>52158351.94621101</x:v>
      </x:c>
      <x:c r="F246"/>
      <x:c r="G246"/>
      <x:c r="H246"/>
      <x:c r="I246"/>
      <x:c r="J246"/>
      <x:c r="K246"/>
      <x:c r="L246"/>
    </x:row>
    <x:row r="247" customHeight="1">
      <x:c r="A247" t="n">
        <x:v>245</x:v>
      </x:c>
      <x:c r="B247" s="95" t="n">
        <x:v>25956086</x:v>
      </x:c>
      <x:c r="C247" s="95" t="n">
        <x:v>24913</x:v>
      </x:c>
      <x:c r="D247" s="96" t="n">
        <x:v>0.509328954786923</x:v>
      </x:c>
      <x:c r="E247" s="95" t="n">
        <x:f t="shared" si="3">B247/(1-D247)</x:f>
        <x:v>52899159.7389416</x:v>
      </x:c>
      <x:c r="F247"/>
      <x:c r="G247"/>
      <x:c r="H247"/>
      <x:c r="I247"/>
      <x:c r="J247"/>
      <x:c r="K247"/>
      <x:c r="L247"/>
    </x:row>
    <x:row r="248" customHeight="1">
      <x:c r="A248" t="n">
        <x:v>246</x:v>
      </x:c>
      <x:c r="B248" s="95" t="n">
        <x:v>26254277</x:v>
      </x:c>
      <x:c r="C248" s="95" t="n">
        <x:v>25042</x:v>
      </x:c>
      <x:c r="D248" s="96" t="n">
        <x:v>0.51062621351681</x:v>
      </x:c>
      <x:c r="E248" s="95" t="n">
        <x:f t="shared" si="3">B248/(1-D248)</x:f>
        <x:v>53648719.49654753</x:v>
      </x:c>
      <x:c r="F248"/>
      <x:c r="G248"/>
      <x:c r="H248"/>
      <x:c r="I248"/>
      <x:c r="J248"/>
      <x:c r="K248"/>
      <x:c r="L248"/>
    </x:row>
    <x:row r="249" customHeight="1">
      <x:c r="A249" t="n">
        <x:v>247</x:v>
      </x:c>
      <x:c r="B249" s="95" t="n">
        <x:v>26555069</x:v>
      </x:c>
      <x:c r="C249" s="95" t="n">
        <x:v>25172</x:v>
      </x:c>
      <x:c r="D249" s="96" t="n">
        <x:v>0.511918888195522</x:v>
      </x:c>
      <x:c r="E249" s="95" t="n">
        <x:f t="shared" si="3">B249/(1-D249)</x:f>
        <x:v>54407081.85125955</x:v>
      </x:c>
      <x:c r="F249"/>
      <x:c r="G249"/>
      <x:c r="H249"/>
      <x:c r="I249"/>
      <x:c r="J249"/>
      <x:c r="K249"/>
      <x:c r="L249"/>
    </x:row>
    <x:row r="250" customHeight="1">
      <x:c r="A250" t="n">
        <x:v>248</x:v>
      </x:c>
      <x:c r="B250" s="95" t="n">
        <x:v>26858463</x:v>
      </x:c>
      <x:c r="C250" s="95" t="n">
        <x:v>25302</x:v>
      </x:c>
      <x:c r="D250" s="96" t="n">
        <x:v>0.513206997161363</x:v>
      </x:c>
      <x:c r="E250" s="95" t="n">
        <x:f t="shared" si="3">B250/(1-D250)</x:f>
        <x:v>55174299.637382194</x:v>
      </x:c>
      <x:c r="F250"/>
      <x:c r="G250"/>
      <x:c r="H250"/>
      <x:c r="I250"/>
      <x:c r="J250"/>
      <x:c r="K250"/>
      <x:c r="L250"/>
    </x:row>
    <x:row r="251" customHeight="1">
      <x:c r="A251" t="n">
        <x:v>249</x:v>
      </x:c>
      <x:c r="B251" s="95" t="n">
        <x:v>27164560</x:v>
      </x:c>
      <x:c r="C251" s="95" t="n">
        <x:v>25433</x:v>
      </x:c>
      <x:c r="D251" s="96" t="n">
        <x:v>0.514490558686133</x:v>
      </x:c>
      <x:c r="E251" s="95" t="n">
        <x:f t="shared" si="3">B251/(1-D251)</x:f>
        <x:v>55950631.82806149</x:v>
      </x:c>
      <x:c r="F251"/>
      <x:c r="G251"/>
      <x:c r="H251"/>
      <x:c r="I251"/>
      <x:c r="J251"/>
      <x:c r="K251"/>
      <x:c r="L251"/>
    </x:row>
    <x:row r="252" customHeight="1">
      <x:c r="A252" t="n">
        <x:v>250</x:v>
      </x:c>
      <x:c r="B252" s="95" t="n">
        <x:v>27473258</x:v>
      </x:c>
      <x:c r="C252" s="95" t="n">
        <x:v>25563</x:v>
      </x:c>
      <x:c r="D252" s="96" t="n">
        <x:v>0.515769590974818</x:v>
      </x:c>
      <x:c r="E252" s="95" t="n">
        <x:f t="shared" si="3">B252/(1-D252)</x:f>
        <x:v>56735920.5203721</x:v>
      </x:c>
      <x:c r="F252"/>
      <x:c r="G252"/>
      <x:c r="H252"/>
      <x:c r="I252"/>
      <x:c r="J252"/>
      <x:c r="K252"/>
      <x:c r="L252"/>
    </x:row>
    <x:row r="253" customHeight="1">
      <x:c r="A253" t="n">
        <x:v>251</x:v>
      </x:c>
      <x:c r="B253" s="95" t="n">
        <x:v>27784609</x:v>
      </x:c>
      <x:c r="C253" s="95" t="n">
        <x:v>25694</x:v>
      </x:c>
      <x:c r="D253" s="96" t="n">
        <x:v>0.517044112165311</x:v>
      </x:c>
      <x:c r="E253" s="95" t="n">
        <x:f t="shared" si="3">B253/(1-D253)</x:f>
        <x:v>57530324.61115868</x:v>
      </x:c>
      <x:c r="F253"/>
      <x:c r="G253"/>
      <x:c r="H253"/>
      <x:c r="I253"/>
      <x:c r="J253"/>
      <x:c r="K253"/>
      <x:c r="L253"/>
    </x:row>
    <x:row r="254" customHeight="1">
      <x:c r="A254" t="n">
        <x:v>252</x:v>
      </x:c>
      <x:c r="B254" s="95" t="n">
        <x:v>28098713</x:v>
      </x:c>
      <x:c r="C254" s="95" t="n">
        <x:v>25825</x:v>
      </x:c>
      <x:c r="D254" s="96" t="n">
        <x:v>0.518314140329224</x:v>
      </x:c>
      <x:c r="E254" s="95" t="n">
        <x:f t="shared" si="3">B254/(1-D254)</x:f>
        <x:v>58334103.93073399</x:v>
      </x:c>
      <x:c r="F254"/>
      <x:c r="G254"/>
      <x:c r="H254"/>
      <x:c r="I254"/>
      <x:c r="J254"/>
      <x:c r="K254"/>
      <x:c r="L254"/>
    </x:row>
    <x:row r="255" customHeight="1">
      <x:c r="A255" t="n">
        <x:v>253</x:v>
      </x:c>
      <x:c r="B255" s="95" t="n">
        <x:v>28415470</x:v>
      </x:c>
      <x:c r="C255" s="95" t="n">
        <x:v>25956</x:v>
      </x:c>
      <x:c r="D255" s="96" t="n">
        <x:v>0.519579693471062</x:v>
      </x:c>
      <x:c r="E255" s="95" t="n">
        <x:f t="shared" si="3">B255/(1-D255)</x:f>
        <x:v>59147104.34557454</x:v>
      </x:c>
      <x:c r="F255"/>
      <x:c r="G255"/>
      <x:c r="H255"/>
      <x:c r="I255"/>
      <x:c r="J255"/>
      <x:c r="K255"/>
      <x:c r="L255"/>
    </x:row>
    <x:row r="256" customHeight="1">
      <x:c r="A256" t="n">
        <x:v>254</x:v>
      </x:c>
      <x:c r="B256" s="95" t="n">
        <x:v>28734981</x:v>
      </x:c>
      <x:c r="C256" s="95" t="n">
        <x:v>26088</x:v>
      </x:c>
      <x:c r="D256" s="96" t="n">
        <x:v>0.520840789529159</x:v>
      </x:c>
      <x:c r="E256" s="95" t="n">
        <x:f t="shared" si="3">B256/(1-D256)</x:f>
        <x:v>59969589.17217486</x:v>
      </x:c>
      <x:c r="F256"/>
      <x:c r="G256"/>
      <x:c r="H256"/>
      <x:c r="I256"/>
      <x:c r="J256"/>
      <x:c r="K256"/>
      <x:c r="L256"/>
    </x:row>
    <x:row r="257" customHeight="1">
      <x:c r="A257" t="n">
        <x:v>255</x:v>
      </x:c>
      <x:c r="B257" s="95" t="n">
        <x:v>29057246</x:v>
      </x:c>
      <x:c r="C257" s="95" t="n">
        <x:v>26219</x:v>
      </x:c>
      <x:c r="D257" s="96" t="n">
        <x:v>0.522097446374959</x:v>
      </x:c>
      <x:c r="E257" s="95" t="n">
        <x:f t="shared" si="3">B257/(1-D257)</x:f>
        <x:v>60801612.754716754</x:v>
      </x:c>
      <x:c r="F257"/>
      <x:c r="G257"/>
      <x:c r="H257"/>
      <x:c r="I257"/>
      <x:c r="J257"/>
      <x:c r="K257"/>
      <x:c r="L257"/>
    </x:row>
    <x:row r="258" customHeight="1">
      <x:c r="A258" t="n">
        <x:v>256</x:v>
      </x:c>
      <x:c r="B258" s="95" t="n">
        <x:v>29382265</x:v>
      </x:c>
      <x:c r="C258" s="95" t="n">
        <x:v>26351</x:v>
      </x:c>
      <x:c r="D258" s="96" t="n">
        <x:v>0.523349681813417</x:v>
      </x:c>
      <x:c r="E258" s="95" t="n">
        <x:f t="shared" si="3">B258/(1-D258)</x:f>
        <x:v>61643229.59393981</x:v>
      </x:c>
      <x:c r="F258"/>
      <x:c r="G258"/>
      <x:c r="H258"/>
      <x:c r="I258"/>
      <x:c r="J258"/>
      <x:c r="K258"/>
      <x:c r="L258"/>
    </x:row>
    <x:row r="259" customHeight="1">
      <x:c r="A259" t="n">
        <x:v>257</x:v>
      </x:c>
      <x:c r="B259" s="95" t="n">
        <x:v>29710089</x:v>
      </x:c>
      <x:c r="C259" s="95" t="n">
        <x:v>26484</x:v>
      </x:c>
      <x:c r="D259" s="96" t="n">
        <x:v>0.524597513583381</x:v>
      </x:c>
      <x:c r="E259" s="95" t="n">
        <x:f t="shared" ref="E259:E322" si="4">B259/(1-D259)</x:f>
        <x:v>62494601.62470325</x:v>
      </x:c>
      <x:c r="F259"/>
      <x:c r="G259"/>
      <x:c r="H259"/>
      <x:c r="I259"/>
      <x:c r="J259"/>
      <x:c r="K259"/>
      <x:c r="L259"/>
    </x:row>
    <x:row r="260" customHeight="1">
      <x:c r="A260" t="n">
        <x:v>258</x:v>
      </x:c>
      <x:c r="B260" s="95" t="n">
        <x:v>30040668</x:v>
      </x:c>
      <x:c r="C260" s="95" t="n">
        <x:v>26616</x:v>
      </x:c>
      <x:c r="D260" s="96" t="n">
        <x:v>0.525840959357013</x:v>
      </x:c>
      <x:c r="E260" s="95" t="n">
        <x:f t="shared" si="4">B260/(1-D260)</x:f>
        <x:v>63355679.05499202</x:v>
      </x:c>
      <x:c r="F260"/>
      <x:c r="G260"/>
      <x:c r="H260"/>
      <x:c r="I260"/>
      <x:c r="J260"/>
      <x:c r="K260"/>
      <x:c r="L260"/>
    </x:row>
    <x:row r="261" customHeight="1">
      <x:c r="A261" t="n">
        <x:v>259</x:v>
      </x:c>
      <x:c r="B261" s="95" t="n">
        <x:v>30374102</x:v>
      </x:c>
      <x:c r="C261" s="95" t="n">
        <x:v>26749</x:v>
      </x:c>
      <x:c r="D261" s="96" t="n">
        <x:v>0.527080036740296</x:v>
      </x:c>
      <x:c r="E261" s="95" t="n">
        <x:f t="shared" si="4">B261/(1-D261)</x:f>
        <x:v>64226728.32552865</x:v>
      </x:c>
      <x:c r="F261"/>
      <x:c r="G261"/>
      <x:c r="H261"/>
      <x:c r="I261"/>
      <x:c r="J261"/>
      <x:c r="K261"/>
      <x:c r="L261"/>
    </x:row>
    <x:row r="262" customHeight="1">
      <x:c r="A262" t="n">
        <x:v>260</x:v>
      </x:c>
      <x:c r="B262" s="95" t="n">
        <x:v>30710342</x:v>
      </x:c>
      <x:c r="C262" s="95" t="n">
        <x:v>26881</x:v>
      </x:c>
      <x:c r="D262" s="96" t="n">
        <x:v>0.528314763273105</x:v>
      </x:c>
      <x:c r="E262" s="95" t="n">
        <x:f t="shared" si="4">B262/(1-D262)</x:f>
        <x:v>65107702.35910784</x:v>
      </x:c>
      <x:c r="F262"/>
      <x:c r="G262"/>
      <x:c r="H262"/>
      <x:c r="I262"/>
      <x:c r="J262"/>
      <x:c r="K262"/>
      <x:c r="L262"/>
    </x:row>
    <x:row r="263" customHeight="1">
      <x:c r="A263" t="n">
        <x:v>261</x:v>
      </x:c>
      <x:c r="B263" s="95" t="n">
        <x:v>31049438</x:v>
      </x:c>
      <x:c r="C263" s="95" t="n">
        <x:v>27014</x:v>
      </x:c>
      <x:c r="D263" s="96" t="n">
        <x:v>0.52954515642886</x:v>
      </x:c>
      <x:c r="E263" s="95" t="n">
        <x:f t="shared" si="4">B263/(1-D263)</x:f>
        <x:v>65998763.58867767</x:v>
      </x:c>
      <x:c r="F263"/>
      <x:c r="G263"/>
      <x:c r="H263"/>
      <x:c r="I263"/>
      <x:c r="J263"/>
      <x:c r="K263"/>
      <x:c r="L263"/>
    </x:row>
    <x:row r="264" customHeight="1">
      <x:c r="A264" t="n">
        <x:v>262</x:v>
      </x:c>
      <x:c r="B264" s="95" t="n">
        <x:v>31391441</x:v>
      </x:c>
      <x:c r="C264" s="95" t="n">
        <x:v>27148</x:v>
      </x:c>
      <x:c r="D264" s="96" t="n">
        <x:v>0.530771233615246</x:v>
      </x:c>
      <x:c r="E264" s="95" t="n">
        <x:f t="shared" si="4">B264/(1-D264)</x:f>
        <x:v>66900077.84872236</x:v>
      </x:c>
      <x:c r="F264"/>
      <x:c r="G264"/>
      <x:c r="H264"/>
      <x:c r="I264"/>
      <x:c r="J264"/>
      <x:c r="K264"/>
      <x:c r="L264"/>
    </x:row>
    <x:row r="265" customHeight="1">
      <x:c r="A265" t="n">
        <x:v>263</x:v>
      </x:c>
      <x:c r="B265" s="95" t="n">
        <x:v>31736300</x:v>
      </x:c>
      <x:c r="C265" s="95" t="n">
        <x:v>27281</x:v>
      </x:c>
      <x:c r="D265" s="96" t="n">
        <x:v>0.531993012173979</x:v>
      </x:c>
      <x:c r="E265" s="95" t="n">
        <x:f t="shared" si="4">B265/(1-D265)</x:f>
        <x:v>67811594.32559112</x:v>
      </x:c>
      <x:c r="F265"/>
      <x:c r="G265"/>
      <x:c r="H265"/>
      <x:c r="I265"/>
      <x:c r="J265"/>
      <x:c r="K265"/>
      <x:c r="L265"/>
    </x:row>
    <x:row r="266" customHeight="1">
      <x:c r="A266" t="n">
        <x:v>264</x:v>
      </x:c>
      <x:c r="B266" s="95" t="n">
        <x:v>32084117</x:v>
      </x:c>
      <x:c r="C266" s="95" t="n">
        <x:v>27415</x:v>
      </x:c>
      <x:c r="D266" s="96" t="n">
        <x:v>0.533210509380681</x:v>
      </x:c>
      <x:c r="E266" s="95" t="n">
        <x:f t="shared" si="4">B266/(1-D266)</x:f>
        <x:v>68733589.00482525</x:v>
      </x:c>
      <x:c r="F266"/>
      <x:c r="G266"/>
      <x:c r="H266"/>
      <x:c r="I266"/>
      <x:c r="J266"/>
      <x:c r="K266"/>
      <x:c r="L266"/>
    </x:row>
    <x:row r="267" customHeight="1">
      <x:c r="A267" t="n">
        <x:v>265</x:v>
      </x:c>
      <x:c r="B267" s="95" t="n">
        <x:v>32434841</x:v>
      </x:c>
      <x:c r="C267" s="95" t="n">
        <x:v>27549</x:v>
      </x:c>
      <x:c r="D267" s="96" t="n">
        <x:v>0.534423742445188</x:v>
      </x:c>
      <x:c r="E267" s="95" t="n">
        <x:f t="shared" si="4">B267/(1-D267)</x:f>
        <x:v>69666011.686993</x:v>
      </x:c>
      <x:c r="F267"/>
      <x:c r="G267"/>
      <x:c r="H267"/>
      <x:c r="I267"/>
      <x:c r="J267"/>
      <x:c r="K267"/>
      <x:c r="L267"/>
    </x:row>
    <x:row r="268" customHeight="1">
      <x:c r="A268" t="n">
        <x:v>266</x:v>
      </x:c>
      <x:c r="B268" s="95" t="n">
        <x:v>32788473</x:v>
      </x:c>
      <x:c r="C268" s="95" t="n">
        <x:v>27683</x:v>
      </x:c>
      <x:c r="D268" s="96" t="n">
        <x:v>0.535632728512054</x:v>
      </x:c>
      <x:c r="E268" s="95" t="n">
        <x:f t="shared" si="4">B268/(1-D268)</x:f>
        <x:v>70608923.18043375</x:v>
      </x:c>
      <x:c r="F268"/>
      <x:c r="G268"/>
      <x:c r="H268"/>
      <x:c r="I268"/>
      <x:c r="J268"/>
      <x:c r="K268"/>
      <x:c r="L268"/>
    </x:row>
    <x:row r="269" customHeight="1">
      <x:c r="A269" t="n">
        <x:v>267</x:v>
      </x:c>
      <x:c r="B269" s="95" t="n">
        <x:v>33145113</x:v>
      </x:c>
      <x:c r="C269" s="95" t="n">
        <x:v>27818</x:v>
      </x:c>
      <x:c r="D269" s="96" t="n">
        <x:v>0.536837484659609</x:v>
      </x:c>
      <x:c r="E269" s="95" t="n">
        <x:f t="shared" si="4">B269/(1-D269)</x:f>
        <x:v>71562598.22891915</x:v>
      </x:c>
      <x:c r="F269"/>
      <x:c r="G269"/>
      <x:c r="H269"/>
      <x:c r="I269"/>
      <x:c r="J269"/>
      <x:c r="K269"/>
      <x:c r="L269"/>
    </x:row>
    <x:row r="270" customHeight="1">
      <x:c r="A270" t="n">
        <x:v>268</x:v>
      </x:c>
      <x:c r="B270" s="95" t="n">
        <x:v>33504763</x:v>
      </x:c>
      <x:c r="C270" s="95" t="n">
        <x:v>27952</x:v>
      </x:c>
      <x:c r="D270" s="96" t="n">
        <x:v>0.538038027901098</x:v>
      </x:c>
      <x:c r="E270" s="95" t="n">
        <x:f t="shared" si="4">B270/(1-D270)</x:f>
        <x:v>72527101.84730731</x:v>
      </x:c>
      <x:c r="F270"/>
      <x:c r="G270"/>
      <x:c r="H270"/>
      <x:c r="I270"/>
      <x:c r="J270"/>
      <x:c r="K270"/>
      <x:c r="L270"/>
    </x:row>
    <x:row r="271" customHeight="1">
      <x:c r="A271" t="n">
        <x:v>269</x:v>
      </x:c>
      <x:c r="B271" s="95" t="n">
        <x:v>33867370</x:v>
      </x:c>
      <x:c r="C271" s="95" t="n">
        <x:v>28087</x:v>
      </x:c>
      <x:c r="D271" s="96" t="n">
        <x:v>0.539234375184368</x:v>
      </x:c>
      <x:c r="E271" s="95" t="n">
        <x:f t="shared" si="4">B271/(1-D271)</x:f>
        <x:v>73502379.89987098</x:v>
      </x:c>
      <x:c r="F271"/>
      <x:c r="G271"/>
      <x:c r="H271"/>
      <x:c r="I271"/>
      <x:c r="J271"/>
      <x:c r="K271"/>
      <x:c r="L271"/>
    </x:row>
    <x:row r="272" customHeight="1">
      <x:c r="A272" t="n">
        <x:v>270</x:v>
      </x:c>
      <x:c r="B272" s="95" t="n">
        <x:v>34233038</x:v>
      </x:c>
      <x:c r="C272" s="95" t="n">
        <x:v>28222</x:v>
      </x:c>
      <x:c r="D272" s="96" t="n">
        <x:v>0.540426543391766</x:v>
      </x:c>
      <x:c r="E272" s="95" t="n">
        <x:f t="shared" si="4">B272/(1-D272)</x:f>
        <x:v>74488718.84953561</x:v>
      </x:c>
      <x:c r="F272"/>
      <x:c r="G272"/>
      <x:c r="H272"/>
      <x:c r="I272"/>
      <x:c r="J272"/>
      <x:c r="K272"/>
      <x:c r="L272"/>
    </x:row>
    <x:row r="273" customHeight="1">
      <x:c r="A273" t="n">
        <x:v>271</x:v>
      </x:c>
      <x:c r="B273" s="95" t="n">
        <x:v>34601715</x:v>
      </x:c>
      <x:c r="C273" s="95" t="n">
        <x:v>28358</x:v>
      </x:c>
      <x:c r="D273" s="96" t="n">
        <x:v>0.541614549340556</x:v>
      </x:c>
      <x:c r="E273" s="95" t="n">
        <x:f t="shared" si="4">B273/(1-D273)</x:f>
        <x:v>75486067.34838805</x:v>
      </x:c>
      <x:c r="F273"/>
      <x:c r="G273"/>
      <x:c r="H273"/>
      <x:c r="I273"/>
      <x:c r="J273"/>
      <x:c r="K273"/>
      <x:c r="L273"/>
    </x:row>
    <x:row r="274" customHeight="1">
      <x:c r="A274" t="n">
        <x:v>272</x:v>
      </x:c>
      <x:c r="B274" s="95" t="n">
        <x:v>34973503</x:v>
      </x:c>
      <x:c r="C274" s="95" t="n">
        <x:v>28493</x:v>
      </x:c>
      <x:c r="D274" s="96" t="n">
        <x:v>0.542798409782927</x:v>
      </x:c>
      <x:c r="E274" s="95" t="n">
        <x:f t="shared" si="4">B274/(1-D274)</x:f>
        <x:v>76494709.879279</x:v>
      </x:c>
      <x:c r="F274"/>
      <x:c r="G274"/>
      <x:c r="H274"/>
      <x:c r="I274"/>
      <x:c r="J274"/>
      <x:c r="K274"/>
      <x:c r="L274"/>
    </x:row>
    <x:row r="275" customHeight="1">
      <x:c r="A275" t="n">
        <x:v>273</x:v>
      </x:c>
      <x:c r="B275" s="95" t="n">
        <x:v>35348351</x:v>
      </x:c>
      <x:c r="C275" s="95" t="n">
        <x:v>28629</x:v>
      </x:c>
      <x:c r="D275" s="96" t="n">
        <x:v>0.543978141406104</x:v>
      </x:c>
      <x:c r="E275" s="95" t="n">
        <x:f t="shared" si="4">B275/(1-D275)</x:f>
        <x:v>77514597.89448161</x:v>
      </x:c>
      <x:c r="F275"/>
      <x:c r="G275"/>
      <x:c r="H275"/>
      <x:c r="I275"/>
      <x:c r="J275"/>
      <x:c r="K275"/>
      <x:c r="L275"/>
    </x:row>
    <x:row r="276" customHeight="1">
      <x:c r="A276" t="n">
        <x:v>274</x:v>
      </x:c>
      <x:c r="B276" s="95" t="n">
        <x:v>35726310</x:v>
      </x:c>
      <x:c r="C276" s="95" t="n">
        <x:v>28765</x:v>
      </x:c>
      <x:c r="D276" s="96" t="n">
        <x:v>0.545153760832566</x:v>
      </x:c>
      <x:c r="E276" s="95" t="n">
        <x:f t="shared" si="4">B276/(1-D276)</x:f>
        <x:v>78545906.11850424</x:v>
      </x:c>
      <x:c r="F276"/>
      <x:c r="G276"/>
      <x:c r="H276"/>
      <x:c r="I276"/>
      <x:c r="J276"/>
      <x:c r="K276"/>
      <x:c r="L276"/>
    </x:row>
    <x:row r="277" customHeight="1">
      <x:c r="A277" t="n">
        <x:v>275</x:v>
      </x:c>
      <x:c r="B277" s="95" t="n">
        <x:v>36107380</x:v>
      </x:c>
      <x:c r="C277" s="95" t="n">
        <x:v>28901</x:v>
      </x:c>
      <x:c r="D277" s="96" t="n">
        <x:v>0.546325284619859</x:v>
      </x:c>
      <x:c r="E277" s="95" t="n">
        <x:f t="shared" si="4">B277/(1-D277)</x:f>
        <x:v>79588698.19259173</x:v>
      </x:c>
      <x:c r="F277"/>
      <x:c r="G277"/>
      <x:c r="H277"/>
      <x:c r="I277"/>
      <x:c r="J277"/>
      <x:c r="K277"/>
      <x:c r="L277"/>
    </x:row>
    <x:row r="278" customHeight="1">
      <x:c r="A278" t="n">
        <x:v>276</x:v>
      </x:c>
      <x:c r="B278" s="95" t="n">
        <x:v>36491613</x:v>
      </x:c>
      <x:c r="C278" s="95" t="n">
        <x:v>29038</x:v>
      </x:c>
      <x:c r="D278" s="96" t="n">
        <x:v>0.547492729261019</x:v>
      </x:c>
      <x:c r="E278" s="95" t="n">
        <x:f t="shared" si="4">B278/(1-D278)</x:f>
        <x:v>80643152.85013264</x:v>
      </x:c>
      <x:c r="F278"/>
      <x:c r="G278"/>
      <x:c r="H278"/>
      <x:c r="I278"/>
      <x:c r="J278"/>
      <x:c r="K278"/>
      <x:c r="L278"/>
    </x:row>
    <x:row r="279" customHeight="1">
      <x:c r="A279" t="n">
        <x:v>277</x:v>
      </x:c>
      <x:c r="B279" s="95" t="n">
        <x:v>36878956</x:v>
      </x:c>
      <x:c r="C279" s="95" t="n">
        <x:v>29175</x:v>
      </x:c>
      <x:c r="D279" s="96" t="n">
        <x:v>0.548656111184694</x:v>
      </x:c>
      <x:c r="E279" s="95" t="n">
        <x:f t="shared" si="4">B279/(1-D279)</x:f>
        <x:v>81709217.547623</x:v>
      </x:c>
      <x:c r="F279"/>
      <x:c r="G279"/>
      <x:c r="H279"/>
      <x:c r="I279"/>
      <x:c r="J279"/>
      <x:c r="K279"/>
      <x:c r="L279"/>
    </x:row>
    <x:row r="280" customHeight="1">
      <x:c r="A280" t="n">
        <x:v>278</x:v>
      </x:c>
      <x:c r="B280" s="95" t="n">
        <x:v>37269563</x:v>
      </x:c>
      <x:c r="C280" s="95" t="n">
        <x:v>29311</x:v>
      </x:c>
      <x:c r="D280" s="96" t="n">
        <x:v>0.549815446754968</x:v>
      </x:c>
      <x:c r="E280" s="95" t="n">
        <x:f t="shared" si="4">B280/(1-D280)</x:f>
        <x:v>82787298.5231336</x:v>
      </x:c>
      <x:c r="F280"/>
      <x:c r="G280"/>
      <x:c r="H280"/>
      <x:c r="I280"/>
      <x:c r="J280"/>
      <x:c r="K280"/>
      <x:c r="L280"/>
    </x:row>
    <x:row r="281" customHeight="1">
      <x:c r="A281" t="n">
        <x:v>279</x:v>
      </x:c>
      <x:c r="B281" s="95" t="n">
        <x:v>37663333</x:v>
      </x:c>
      <x:c r="C281" s="95" t="n">
        <x:v>29449</x:v>
      </x:c>
      <x:c r="D281" s="96" t="n">
        <x:v>0.550970752271789</x:v>
      </x:c>
      <x:c r="E281" s="95" t="n">
        <x:f t="shared" si="4">B281/(1-D281)</x:f>
        <x:v>83877237.8203678</x:v>
      </x:c>
      <x:c r="F281"/>
      <x:c r="G281"/>
      <x:c r="H281"/>
      <x:c r="I281"/>
      <x:c r="J281"/>
      <x:c r="K281"/>
      <x:c r="L281"/>
    </x:row>
    <x:row r="282" customHeight="1">
      <x:c r="A282" t="n">
        <x:v>280</x:v>
      </x:c>
      <x:c r="B282" s="95" t="n">
        <x:v>38060315</x:v>
      </x:c>
      <x:c r="C282" s="95" t="n">
        <x:v>29586</x:v>
      </x:c>
      <x:c r="D282" s="96" t="n">
        <x:v>0.552122043970994</x:v>
      </x:c>
      <x:c r="E282" s="95" t="n">
        <x:f t="shared" si="4">B282/(1-D282)</x:f>
        <x:v>84979210.26846673</x:v>
      </x:c>
      <x:c r="F282"/>
      <x:c r="G282"/>
      <x:c r="H282"/>
      <x:c r="I282"/>
      <x:c r="J282"/>
      <x:c r="K282"/>
      <x:c r="L282"/>
    </x:row>
    <x:row r="283" customHeight="1">
      <x:c r="A283" t="n">
        <x:v>281</x:v>
      </x:c>
      <x:c r="B283" s="95" t="n">
        <x:v>38460562</x:v>
      </x:c>
      <x:c r="C283" s="95" t="n">
        <x:v>29724</x:v>
      </x:c>
      <x:c r="D283" s="96" t="n">
        <x:v>0.553269338024544</x:v>
      </x:c>
      <x:c r="E283" s="95" t="n">
        <x:f t="shared" si="4">B283/(1-D283)</x:f>
        <x:v>86093400.9542266</x:v>
      </x:c>
      <x:c r="F283"/>
      <x:c r="G283"/>
      <x:c r="H283"/>
      <x:c r="I283"/>
      <x:c r="J283"/>
      <x:c r="K283"/>
      <x:c r="L283"/>
    </x:row>
    <x:row r="284" customHeight="1">
      <x:c r="A284" t="n">
        <x:v>282</x:v>
      </x:c>
      <x:c r="B284" s="95" t="n">
        <x:v>38864073</x:v>
      </x:c>
      <x:c r="C284" s="95" t="n">
        <x:v>29861</x:v>
      </x:c>
      <x:c r="D284" s="96" t="n">
        <x:v>0.554412650540355</x:v>
      </x:c>
      <x:c r="E284" s="95" t="n">
        <x:f t="shared" si="4">B284/(1-D284)</x:f>
        <x:v>87219875.17628069</x:v>
      </x:c>
      <x:c r="F284"/>
      <x:c r="G284"/>
      <x:c r="H284"/>
      <x:c r="I284"/>
      <x:c r="J284"/>
      <x:c r="K284"/>
      <x:c r="L284"/>
    </x:row>
    <x:row r="285" customHeight="1">
      <x:c r="A285" t="n">
        <x:v>283</x:v>
      </x:c>
      <x:c r="B285" s="95" t="n">
        <x:v>39270898</x:v>
      </x:c>
      <x:c r="C285" s="95" t="n">
        <x:v>30000</x:v>
      </x:c>
      <x:c r="D285" s="96" t="n">
        <x:v>0.555551997562734</x:v>
      </x:c>
      <x:c r="E285" s="95" t="n">
        <x:f t="shared" si="4">B285/(1-D285)</x:f>
        <x:v>88358813.1449485</x:v>
      </x:c>
      <x:c r="F285"/>
      <x:c r="G285"/>
      <x:c r="H285"/>
      <x:c r="I285"/>
      <x:c r="J285"/>
      <x:c r="K285"/>
      <x:c r="L285"/>
    </x:row>
    <x:row r="286" customHeight="1">
      <x:c r="A286" t="n">
        <x:v>284</x:v>
      </x:c>
      <x:c r="B286" s="95" t="n">
        <x:v>39680988</x:v>
      </x:c>
      <x:c r="C286" s="95" t="n">
        <x:v>30138</x:v>
      </x:c>
      <x:c r="D286" s="96" t="n">
        <x:v>0.556687395072511</x:v>
      </x:c>
      <x:c r="E286" s="95" t="n">
        <x:f t="shared" si="4">B286/(1-D286)</x:f>
        <x:v>89510173.08991353</x:v>
      </x:c>
      <x:c r="F286"/>
      <x:c r="G286"/>
      <x:c r="H286"/>
      <x:c r="I286"/>
      <x:c r="J286"/>
      <x:c r="K286"/>
      <x:c r="L286"/>
    </x:row>
    <x:row r="287" customHeight="1">
      <x:c r="A287" t="n">
        <x:v>285</x:v>
      </x:c>
      <x:c r="B287" s="95" t="n">
        <x:v>40094444</x:v>
      </x:c>
      <x:c r="C287" s="95" t="n">
        <x:v>30276</x:v>
      </x:c>
      <x:c r="D287" s="96" t="n">
        <x:v>0.557818858986889</x:v>
      </x:c>
      <x:c r="E287" s="95" t="n">
        <x:f t="shared" si="4">B287/(1-D287)</x:f>
        <x:v>90674251.52537468</x:v>
      </x:c>
      <x:c r="F287"/>
      <x:c r="G287"/>
      <x:c r="H287"/>
      <x:c r="I287"/>
      <x:c r="J287"/>
      <x:c r="K287"/>
      <x:c r="L287"/>
    </x:row>
    <x:row r="288" customHeight="1">
      <x:c r="A288" t="n">
        <x:v>286</x:v>
      </x:c>
      <x:c r="B288" s="95" t="n">
        <x:v>40511215</x:v>
      </x:c>
      <x:c r="C288" s="95" t="n">
        <x:v>30415</x:v>
      </x:c>
      <x:c r="D288" s="96" t="n">
        <x:v>0.558946405159874</x:v>
      </x:c>
      <x:c r="E288" s="95" t="n">
        <x:f t="shared" si="4">B288/(1-D288)</x:f>
        <x:v>91851002.85756563</x:v>
      </x:c>
      <x:c r="F288"/>
      <x:c r="G288"/>
      <x:c r="H288"/>
      <x:c r="I288"/>
      <x:c r="J288"/>
      <x:c r="K288"/>
      <x:c r="L288"/>
    </x:row>
    <x:row r="289" customHeight="1">
      <x:c r="A289" t="n">
        <x:v>287</x:v>
      </x:c>
      <x:c r="B289" s="95" t="n">
        <x:v>40931352</x:v>
      </x:c>
      <x:c r="C289" s="95" t="n">
        <x:v>30554</x:v>
      </x:c>
      <x:c r="D289" s="96" t="n">
        <x:v>0.560070049382417</x:v>
      </x:c>
      <x:c r="E289" s="95" t="n">
        <x:f t="shared" si="4">B289/(1-D289)</x:f>
        <x:v>93040612.35780765</x:v>
      </x:c>
      <x:c r="F289"/>
      <x:c r="G289"/>
      <x:c r="H289"/>
      <x:c r="I289"/>
      <x:c r="J289"/>
      <x:c r="K289"/>
      <x:c r="L289"/>
    </x:row>
    <x:row r="290" customHeight="1">
      <x:c r="A290" t="n">
        <x:v>288</x:v>
      </x:c>
      <x:c r="B290" s="95" t="n">
        <x:v>41354906</x:v>
      </x:c>
      <x:c r="C290" s="95" t="n">
        <x:v>30693</x:v>
      </x:c>
      <x:c r="D290" s="96" t="n">
        <x:v>0.561189807382271</x:v>
      </x:c>
      <x:c r="E290" s="95" t="n">
        <x:f t="shared" si="4">B290/(1-D290)</x:f>
        <x:v>94243266.66911875</x:v>
      </x:c>
      <x:c r="F290"/>
      <x:c r="G290"/>
      <x:c r="H290"/>
      <x:c r="I290"/>
      <x:c r="J290"/>
      <x:c r="K290"/>
      <x:c r="L290"/>
    </x:row>
    <x:row r="291" customHeight="1">
      <x:c r="A291" t="n">
        <x:v>289</x:v>
      </x:c>
      <x:c r="B291" s="95" t="n">
        <x:v>41781877</x:v>
      </x:c>
      <x:c r="C291" s="95" t="n">
        <x:v>30833</x:v>
      </x:c>
      <x:c r="D291" s="96" t="n">
        <x:v>0.562305694824423</x:v>
      </x:c>
      <x:c r="E291" s="95" t="n">
        <x:f t="shared" si="4">B291/(1-D291)</x:f>
        <x:v>95459037.29142556</x:v>
      </x:c>
      <x:c r="F291"/>
      <x:c r="G291"/>
      <x:c r="H291"/>
      <x:c r="I291"/>
      <x:c r="J291"/>
      <x:c r="K291"/>
      <x:c r="L291"/>
    </x:row>
    <x:row r="292" customHeight="1">
      <x:c r="A292" t="n">
        <x:v>290</x:v>
      </x:c>
      <x:c r="B292" s="95" t="n">
        <x:v>42212265</x:v>
      </x:c>
      <x:c r="C292" s="95" t="n">
        <x:v>30972</x:v>
      </x:c>
      <x:c r="D292" s="96" t="n">
        <x:v>0.563417727311244</x:v>
      </x:c>
      <x:c r="E292" s="95" t="n">
        <x:f t="shared" si="4">B292/(1-D292)</x:f>
        <x:v>96687995.91891253</x:v>
      </x:c>
      <x:c r="F292"/>
      <x:c r="G292"/>
      <x:c r="H292"/>
      <x:c r="I292"/>
      <x:c r="J292"/>
      <x:c r="K292"/>
      <x:c r="L292"/>
    </x:row>
    <x:row r="293" customHeight="1">
      <x:c r="A293" t="n">
        <x:v>291</x:v>
      </x:c>
      <x:c r="B293" s="95" t="n">
        <x:v>42646121</x:v>
      </x:c>
      <x:c r="C293" s="95" t="n">
        <x:v>31112</x:v>
      </x:c>
      <x:c r="D293" s="96" t="n">
        <x:v>0.564525920382351</x:v>
      </x:c>
      <x:c r="E293" s="95" t="n">
        <x:f t="shared" si="4">B293/(1-D293)</x:f>
        <x:v>97930331.55370295</x:v>
      </x:c>
      <x:c r="F293"/>
      <x:c r="G293"/>
      <x:c r="H293"/>
      <x:c r="I293"/>
      <x:c r="J293"/>
      <x:c r="K293"/>
      <x:c r="L293"/>
    </x:row>
    <x:row r="294" customHeight="1">
      <x:c r="A294" t="n">
        <x:v>292</x:v>
      </x:c>
      <x:c r="B294" s="95" t="n">
        <x:v>43083496</x:v>
      </x:c>
      <x:c r="C294" s="95" t="n">
        <x:v>31252</x:v>
      </x:c>
      <x:c r="D294" s="96" t="n">
        <x:v>0.565630289515135</x:v>
      </x:c>
      <x:c r="E294" s="95" t="n">
        <x:f t="shared" si="4">B294/(1-D294)</x:f>
        <x:v>99186234.58322652</x:v>
      </x:c>
      <x:c r="F294"/>
      <x:c r="G294"/>
      <x:c r="H294"/>
      <x:c r="I294"/>
      <x:c r="J294"/>
      <x:c r="K294"/>
      <x:c r="L294"/>
    </x:row>
    <x:row r="295" customHeight="1">
      <x:c r="A295" t="n">
        <x:v>293</x:v>
      </x:c>
      <x:c r="B295" s="95" t="n">
        <x:v>43524288</x:v>
      </x:c>
      <x:c r="C295" s="95" t="n">
        <x:v>31393</x:v>
      </x:c>
      <x:c r="D295" s="96" t="n">
        <x:v>0.566730850124542</x:v>
      </x:c>
      <x:c r="E295" s="95" t="n">
        <x:f t="shared" si="4">B295/(1-D295)</x:f>
        <x:v>100455543.65574133</x:v>
      </x:c>
      <x:c r="F295"/>
      <x:c r="G295"/>
      <x:c r="H295"/>
      <x:c r="I295"/>
      <x:c r="J295"/>
      <x:c r="K295"/>
      <x:c r="L295"/>
    </x:row>
    <x:row r="296" customHeight="1">
      <x:c r="A296" t="n">
        <x:v>294</x:v>
      </x:c>
      <x:c r="B296" s="95" t="n">
        <x:v>43968650</x:v>
      </x:c>
      <x:c r="C296" s="95" t="n">
        <x:v>31533</x:v>
      </x:c>
      <x:c r="D296" s="96" t="n">
        <x:v>0.567827617563597</x:v>
      </x:c>
      <x:c r="E296" s="95" t="n">
        <x:f t="shared" si="4">B296/(1-D296)</x:f>
        <x:v>101738685.27212119</x:v>
      </x:c>
      <x:c r="F296"/>
      <x:c r="G296"/>
      <x:c r="H296"/>
      <x:c r="I296"/>
      <x:c r="J296"/>
      <x:c r="K296"/>
      <x:c r="L296"/>
    </x:row>
    <x:row r="297" customHeight="1">
      <x:c r="A297" t="n">
        <x:v>295</x:v>
      </x:c>
      <x:c r="B297" s="95" t="n">
        <x:v>44416582</x:v>
      </x:c>
      <x:c r="C297" s="95" t="n">
        <x:v>31674</x:v>
      </x:c>
      <x:c r="D297" s="96" t="n">
        <x:v>0.568920607123189</x:v>
      </x:c>
      <x:c r="E297" s="95" t="n">
        <x:f t="shared" si="4">B297/(1-D297)</x:f>
        <x:v>103035734.79489629</x:v>
      </x:c>
      <x:c r="F297"/>
      <x:c r="G297"/>
      <x:c r="H297"/>
      <x:c r="I297"/>
      <x:c r="J297"/>
      <x:c r="K297"/>
      <x:c r="L297"/>
    </x:row>
    <x:row r="298" customHeight="1">
      <x:c r="A298" t="n">
        <x:v>296</x:v>
      </x:c>
      <x:c r="B298" s="95" t="n">
        <x:v>44868033</x:v>
      </x:c>
      <x:c r="C298" s="95" t="n">
        <x:v>31815</x:v>
      </x:c>
      <x:c r="D298" s="96" t="n">
        <x:v>0.570009834032505</x:v>
      </x:c>
      <x:c r="E298" s="95" t="n">
        <x:f t="shared" si="4">B298/(1-D298)</x:f>
        <x:v>104346649.1821857</x:v>
      </x:c>
      <x:c r="F298"/>
      <x:c r="G298"/>
      <x:c r="H298"/>
      <x:c r="I298"/>
      <x:c r="J298"/>
      <x:c r="K298"/>
      <x:c r="L298"/>
    </x:row>
    <x:row r="299" customHeight="1">
      <x:c r="A299" t="n">
        <x:v>297</x:v>
      </x:c>
      <x:c r="B299" s="95" t="n">
        <x:v>45323106</x:v>
      </x:c>
      <x:c r="C299" s="95" t="n">
        <x:v>31956</x:v>
      </x:c>
      <x:c r="D299" s="96" t="n">
        <x:v>0.571095313459192</x:v>
      </x:c>
      <x:c r="E299" s="95" t="n">
        <x:f t="shared" si="4">B299/(1-D299)</x:f>
        <x:v>105671743.44850098</x:v>
      </x:c>
      <x:c r="F299"/>
      <x:c r="G299"/>
      <x:c r="H299"/>
      <x:c r="I299"/>
      <x:c r="J299"/>
      <x:c r="K299"/>
      <x:c r="L299"/>
    </x:row>
    <x:row r="300" customHeight="1">
      <x:c r="A300" t="n">
        <x:v>298</x:v>
      </x:c>
      <x:c r="B300" s="95" t="n">
        <x:v>45781748</x:v>
      </x:c>
      <x:c r="C300" s="95" t="n">
        <x:v>32098</x:v>
      </x:c>
      <x:c r="D300" s="96" t="n">
        <x:v>0.572177060509233</x:v>
      </x:c>
      <x:c r="E300" s="95" t="n">
        <x:f t="shared" si="4">B300/(1-D300)</x:f>
        <x:v>107010970.60034584</x:v>
      </x:c>
      <x:c r="F300"/>
      <x:c r="G300"/>
      <x:c r="H300"/>
      <x:c r="I300"/>
      <x:c r="J300"/>
      <x:c r="K300"/>
      <x:c r="L300"/>
    </x:row>
    <x:row r="301" customHeight="1">
      <x:c r="A301" t="n">
        <x:v>299</x:v>
      </x:c>
      <x:c r="B301" s="95" t="n">
        <x:v>46244062</x:v>
      </x:c>
      <x:c r="C301" s="95" t="n">
        <x:v>32240</x:v>
      </x:c>
      <x:c r="D301" s="96" t="n">
        <x:v>0.573255090227481</x:v>
      </x:c>
      <x:c r="E301" s="95" t="n">
        <x:f t="shared" si="4">B301/(1-D301)</x:f>
        <x:v>108364648.15632106</x:v>
      </x:c>
      <x:c r="F301"/>
      <x:c r="G301"/>
      <x:c r="H301"/>
      <x:c r="I301"/>
      <x:c r="J301"/>
      <x:c r="K301"/>
      <x:c r="L301"/>
    </x:row>
    <x:row r="302" customHeight="1">
      <x:c r="A302" t="n">
        <x:v>300</x:v>
      </x:c>
      <x:c r="B302" s="95" t="n">
        <x:v>46709998</x:v>
      </x:c>
      <x:c r="C302" s="95" t="n">
        <x:v>32382</x:v>
      </x:c>
      <x:c r="D302" s="96" t="n">
        <x:v>0.574329417597455</x:v>
      </x:c>
      <x:c r="E302" s="95" t="n">
        <x:f t="shared" si="4">B302/(1-D302)</x:f>
        <x:v>109732736.84162566</x:v>
      </x:c>
      <x:c r="F302"/>
      <x:c r="G302"/>
      <x:c r="H302"/>
      <x:c r="I302"/>
      <x:c r="J302"/>
      <x:c r="K302"/>
      <x:c r="L302"/>
    </x:row>
    <x:row r="303" customHeight="1">
      <x:c r="A303" t="n">
        <x:v>301</x:v>
      </x:c>
      <x:c r="B303" s="95" t="n">
        <x:v>47179605</x:v>
      </x:c>
      <x:c r="C303" s="95" t="n">
        <x:v>32524</x:v>
      </x:c>
      <x:c r="D303" s="96" t="n">
        <x:v>0.575400057541777</x:v>
      </x:c>
      <x:c r="E303" s="95" t="n">
        <x:f t="shared" si="4">B303/(1-D303)</x:f>
        <x:v>111115429.56613111</x:v>
      </x:c>
      <x:c r="F303"/>
      <x:c r="G303"/>
      <x:c r="H303"/>
      <x:c r="I303"/>
      <x:c r="J303"/>
      <x:c r="K303"/>
      <x:c r="L303"/>
    </x:row>
    <x:row r="304" customHeight="1">
      <x:c r="A304" t="n">
        <x:v>302</x:v>
      </x:c>
      <x:c r="B304" s="95" t="n">
        <x:v>47652986</x:v>
      </x:c>
      <x:c r="C304" s="95" t="n">
        <x:v>32666</x:v>
      </x:c>
      <x:c r="D304" s="96" t="n">
        <x:v>0.576467024922422</x:v>
      </x:c>
      <x:c r="E304" s="95" t="n">
        <x:f t="shared" si="4">B304/(1-D304)</x:f>
        <x:v>112513048.1074619</x:v>
      </x:c>
      <x:c r="F304"/>
      <x:c r="G304"/>
      <x:c r="H304"/>
      <x:c r="I304"/>
      <x:c r="J304"/>
      <x:c r="K304"/>
      <x:c r="L304"/>
    </x:row>
    <x:row r="305" customHeight="1">
      <x:c r="A305" t="n">
        <x:v>303</x:v>
      </x:c>
      <x:c r="B305" s="95" t="n">
        <x:v>48130040</x:v>
      </x:c>
      <x:c r="C305" s="95" t="n">
        <x:v>32809</x:v>
      </x:c>
      <x:c r="D305" s="96" t="n">
        <x:v>0.577530334540258</x:v>
      </x:c>
      <x:c r="E305" s="95" t="n">
        <x:f t="shared" si="4">B305/(1-D305)</x:f>
        <x:v>113925434.02524225</x:v>
      </x:c>
      <x:c r="F305"/>
      <x:c r="G305"/>
      <x:c r="H305"/>
      <x:c r="I305"/>
      <x:c r="J305"/>
      <x:c r="K305"/>
      <x:c r="L305"/>
    </x:row>
    <x:row r="306" customHeight="1">
      <x:c r="A306" t="n">
        <x:v>304</x:v>
      </x:c>
      <x:c r="B306" s="95" t="n">
        <x:v>48610816</x:v>
      </x:c>
      <x:c r="C306" s="95" t="n">
        <x:v>32952</x:v>
      </x:c>
      <x:c r="D306" s="96" t="n">
        <x:v>0.578590001136114</x:v>
      </x:c>
      <x:c r="E306" s="95" t="n">
        <x:f t="shared" si="4">B306/(1-D306)</x:f>
        <x:v>115352782.6369899</x:v>
      </x:c>
      <x:c r="F306"/>
      <x:c r="G306"/>
      <x:c r="H306"/>
      <x:c r="I306"/>
      <x:c r="J306"/>
      <x:c r="K306"/>
      <x:c r="L306"/>
    </x:row>
    <x:row r="307" customHeight="1">
      <x:c r="A307" t="n">
        <x:v>305</x:v>
      </x:c>
      <x:c r="B307" s="95" t="n">
        <x:v>49095418</x:v>
      </x:c>
      <x:c r="C307" s="95" t="n">
        <x:v>33095</x:v>
      </x:c>
      <x:c r="D307" s="96" t="n">
        <x:v>0.579646039390313</x:v>
      </x:c>
      <x:c r="E307" s="95" t="n">
        <x:f t="shared" si="4">B307/(1-D307)</x:f>
        <x:v>116795421.47953442</x:v>
      </x:c>
      <x:c r="F307"/>
      <x:c r="G307"/>
      <x:c r="H307"/>
      <x:c r="I307"/>
      <x:c r="J307"/>
      <x:c r="K307"/>
      <x:c r="L307"/>
    </x:row>
    <x:row r="308" customHeight="1">
      <x:c r="A308" t="n">
        <x:v>306</x:v>
      </x:c>
      <x:c r="B308" s="95" t="n">
        <x:v>49583742</x:v>
      </x:c>
      <x:c r="C308" s="95" t="n">
        <x:v>33238</x:v>
      </x:c>
      <x:c r="D308" s="96" t="n">
        <x:v>0.580698463922936</x:v>
      </x:c>
      <x:c r="E308" s="95" t="n">
        <x:f t="shared" si="4">B308/(1-D308)</x:f>
        <x:v>118253184.72214453</x:v>
      </x:c>
      <x:c r="F308"/>
      <x:c r="G308"/>
      <x:c r="H308"/>
      <x:c r="I308"/>
      <x:c r="J308"/>
      <x:c r="K308"/>
      <x:c r="L308"/>
    </x:row>
    <x:row r="309" customHeight="1">
      <x:c r="A309" t="n">
        <x:v>307</x:v>
      </x:c>
      <x:c r="B309" s="95" t="n">
        <x:v>50075943</x:v>
      </x:c>
      <x:c r="C309" s="95" t="n">
        <x:v>33382</x:v>
      </x:c>
      <x:c r="D309" s="96" t="n">
        <x:v>0.581747289294261</x:v>
      </x:c>
      <x:c r="E309" s="95" t="n">
        <x:f t="shared" si="4">B309/(1-D309)</x:f>
        <x:v>119726523.5065765</x:v>
      </x:c>
      <x:c r="F309"/>
      <x:c r="G309"/>
      <x:c r="H309"/>
      <x:c r="I309"/>
      <x:c r="J309"/>
      <x:c r="K309"/>
      <x:c r="L309"/>
    </x:row>
    <x:row r="310" customHeight="1">
      <x:c r="A310" t="n">
        <x:v>308</x:v>
      </x:c>
      <x:c r="B310" s="95" t="n">
        <x:v>50571968</x:v>
      </x:c>
      <x:c r="C310" s="95" t="n">
        <x:v>33525</x:v>
      </x:c>
      <x:c r="D310" s="96" t="n">
        <x:v>0.582792530004574</x:v>
      </x:c>
      <x:c r="E310" s="95" t="n">
        <x:f t="shared" si="4">B310/(1-D310)</x:f>
        <x:v>121215394.34697667</x:v>
      </x:c>
      <x:c r="F310"/>
      <x:c r="G310"/>
      <x:c r="H310"/>
      <x:c r="I310"/>
      <x:c r="J310"/>
      <x:c r="K310"/>
      <x:c r="L310"/>
    </x:row>
    <x:row r="311" customHeight="1">
      <x:c r="A311" t="n">
        <x:v>309</x:v>
      </x:c>
      <x:c r="B311" s="95" t="n">
        <x:v>51071870</x:v>
      </x:c>
      <x:c r="C311" s="95" t="n">
        <x:v>33669</x:v>
      </x:c>
      <x:c r="D311" s="96" t="n">
        <x:v>0.583834200494701</x:v>
      </x:c>
      <x:c r="E311" s="95" t="n">
        <x:f t="shared" si="4">B311/(1-D311)</x:f>
        <x:v>122720007.41221339</x:v>
      </x:c>
      <x:c r="F311"/>
      <x:c r="G311"/>
      <x:c r="H311"/>
      <x:c r="I311"/>
      <x:c r="J311"/>
      <x:c r="K311"/>
      <x:c r="L311"/>
    </x:row>
    <x:row r="312" customHeight="1">
      <x:c r="A312" t="n">
        <x:v>310</x:v>
      </x:c>
      <x:c r="B312" s="95" t="n">
        <x:v>51575647</x:v>
      </x:c>
      <x:c r="C312" s="95" t="n">
        <x:v>33814</x:v>
      </x:c>
      <x:c r="D312" s="96" t="n">
        <x:v>0.584872315145911</x:v>
      </x:c>
      <x:c r="E312" s="95" t="n">
        <x:f t="shared" si="4">B312/(1-D312)</x:f>
        <x:v>124240441.8730301</x:v>
      </x:c>
      <x:c r="F312"/>
      <x:c r="G312"/>
      <x:c r="H312"/>
      <x:c r="I312"/>
      <x:c r="J312"/>
      <x:c r="K312"/>
      <x:c r="L312"/>
    </x:row>
    <x:row r="313" customHeight="1">
      <x:c r="A313" t="n">
        <x:v>311</x:v>
      </x:c>
      <x:c r="B313" s="95" t="n">
        <x:v>52083352</x:v>
      </x:c>
      <x:c r="C313" s="95" t="n">
        <x:v>33958</x:v>
      </x:c>
      <x:c r="D313" s="96" t="n">
        <x:v>0.585906888280095</x:v>
      </x:c>
      <x:c r="E313" s="95" t="n">
        <x:f t="shared" si="4">B313/(1-D313)</x:f>
        <x:v>125776909.89274286</x:v>
      </x:c>
      <x:c r="F313"/>
      <x:c r="G313"/>
      <x:c r="H313"/>
      <x:c r="I313"/>
      <x:c r="J313"/>
      <x:c r="K313"/>
      <x:c r="L313"/>
    </x:row>
    <x:row r="314" customHeight="1">
      <x:c r="A314" t="n">
        <x:v>312</x:v>
      </x:c>
      <x:c r="B314" s="95" t="n">
        <x:v>52594932</x:v>
      </x:c>
      <x:c r="C314" s="95" t="n">
        <x:v>34103</x:v>
      </x:c>
      <x:c r="D314" s="96" t="n">
        <x:v>0.586937934160115</x:v>
      </x:c>
      <x:c r="E314" s="95" t="n">
        <x:f t="shared" si="4">B314/(1-D314)</x:f>
        <x:v>127329368.51283589</x:v>
      </x:c>
      <x:c r="F314"/>
      <x:c r="G314"/>
      <x:c r="H314"/>
      <x:c r="I314"/>
      <x:c r="J314"/>
      <x:c r="K314"/>
      <x:c r="L314"/>
    </x:row>
    <x:row r="315" customHeight="1">
      <x:c r="A315" t="n">
        <x:v>313</x:v>
      </x:c>
      <x:c r="B315" s="95" t="n">
        <x:v>53110542</x:v>
      </x:c>
      <x:c r="C315" s="95" t="n">
        <x:v>34248</x:v>
      </x:c>
      <x:c r="D315" s="96" t="n">
        <x:v>0.587965466989977</x:v>
      </x:c>
      <x:c r="E315" s="95" t="n">
        <x:f t="shared" si="4">B315/(1-D315)</x:f>
        <x:v>128898278.53023195</x:v>
      </x:c>
      <x:c r="F315"/>
      <x:c r="G315"/>
      <x:c r="H315"/>
      <x:c r="I315"/>
      <x:c r="J315"/>
      <x:c r="K315"/>
      <x:c r="L315"/>
    </x:row>
    <x:row r="316" customHeight="1">
      <x:c r="A316" t="n">
        <x:v>314</x:v>
      </x:c>
      <x:c r="B316" s="95" t="n">
        <x:v>53630079</x:v>
      </x:c>
      <x:c r="C316" s="95" t="n">
        <x:v>34393</x:v>
      </x:c>
      <x:c r="D316" s="96" t="n">
        <x:v>0.588989500914839</x:v>
      </x:c>
      <x:c r="E316" s="95" t="n">
        <x:f t="shared" si="4">B316/(1-D316)</x:f>
        <x:v>130483476.98993427</x:v>
      </x:c>
      <x:c r="F316"/>
      <x:c r="G316"/>
      <x:c r="H316"/>
      <x:c r="I316"/>
      <x:c r="J316"/>
      <x:c r="K316"/>
      <x:c r="L316"/>
    </x:row>
    <x:row r="317" customHeight="1">
      <x:c r="A317" t="n">
        <x:v>315</x:v>
      </x:c>
      <x:c r="B317" s="95" t="n">
        <x:v>54153695</x:v>
      </x:c>
      <x:c r="C317" s="95" t="n">
        <x:v>34538</x:v>
      </x:c>
      <x:c r="D317" s="96" t="n">
        <x:v>0.590010050021268</x:v>
      </x:c>
      <x:c r="E317" s="95" t="n">
        <x:f t="shared" si="4">B317/(1-D317)</x:f>
        <x:v>132085420.6372844</x:v>
      </x:c>
      <x:c r="F317"/>
      <x:c r="G317"/>
      <x:c r="H317"/>
      <x:c r="I317"/>
      <x:c r="J317"/>
      <x:c r="K317"/>
      <x:c r="L317"/>
    </x:row>
    <x:row r="318" customHeight="1">
      <x:c r="A318" t="n">
        <x:v>316</x:v>
      </x:c>
      <x:c r="B318" s="95" t="n">
        <x:v>54681290</x:v>
      </x:c>
      <x:c r="C318" s="95" t="n">
        <x:v>34684</x:v>
      </x:c>
      <x:c r="D318" s="96" t="n">
        <x:v>0.591027128337342</x:v>
      </x:c>
      <x:c r="E318" s="95" t="n">
        <x:f t="shared" si="4">B318/(1-D318)</x:f>
        <x:v>133703953.95101891</x:v>
      </x:c>
      <x:c r="F318"/>
      <x:c r="G318"/>
      <x:c r="H318"/>
      <x:c r="I318"/>
      <x:c r="J318"/>
      <x:c r="K318"/>
      <x:c r="L318"/>
    </x:row>
    <x:row r="319" customHeight="1">
      <x:c r="A319" t="n">
        <x:v>317</x:v>
      </x:c>
      <x:c r="B319" s="95" t="n">
        <x:v>55212965</x:v>
      </x:c>
      <x:c r="C319" s="95" t="n">
        <x:v>34829</x:v>
      </x:c>
      <x:c r="D319" s="96" t="n">
        <x:v>0.592040749832991</x:v>
      </x:c>
      <x:c r="E319" s="95" t="n">
        <x:f t="shared" si="4">B319/(1-D319)</x:f>
        <x:v>135339411.90792245</x:v>
      </x:c>
      <x:c r="F319"/>
      <x:c r="G319"/>
      <x:c r="H319"/>
      <x:c r="I319"/>
      <x:c r="J319"/>
      <x:c r="K319"/>
      <x:c r="L319"/>
    </x:row>
    <x:row r="320" customHeight="1">
      <x:c r="A320" t="n">
        <x:v>318</x:v>
      </x:c>
      <x:c r="B320" s="95" t="n">
        <x:v>55748668</x:v>
      </x:c>
      <x:c r="C320" s="95" t="n">
        <x:v>34975</x:v>
      </x:c>
      <x:c r="D320" s="96" t="n">
        <x:v>0.593050928420272</x:v>
      </x:c>
      <x:c r="E320" s="95" t="n">
        <x:f t="shared" si="4">B320/(1-D320)</x:f>
        <x:v>136991756.20081964</x:v>
      </x:c>
      <x:c r="F320"/>
      <x:c r="G320"/>
      <x:c r="H320"/>
      <x:c r="I320"/>
      <x:c r="J320"/>
      <x:c r="K320"/>
      <x:c r="L320"/>
    </x:row>
    <x:row r="321" customHeight="1">
      <x:c r="A321" t="n">
        <x:v>319</x:v>
      </x:c>
      <x:c r="B321" s="95" t="n">
        <x:v>56288554</x:v>
      </x:c>
      <x:c r="C321" s="95" t="n">
        <x:v>35122</x:v>
      </x:c>
      <x:c r="D321" s="96" t="n">
        <x:v>0.594057677952943</x:v>
      </x:c>
      <x:c r="E321" s="95" t="n">
        <x:f t="shared" si="4">B321/(1-D321)</x:f>
        <x:v>138661457.4113684</x:v>
      </x:c>
      <x:c r="F321"/>
      <x:c r="G321"/>
      <x:c r="H321"/>
      <x:c r="I321"/>
      <x:c r="J321"/>
      <x:c r="K321"/>
      <x:c r="L321"/>
    </x:row>
    <x:row r="322" customHeight="1">
      <x:c r="A322" t="n">
        <x:v>320</x:v>
      </x:c>
      <x:c r="B322" s="95" t="n">
        <x:v>56832520</x:v>
      </x:c>
      <x:c r="C322" s="95" t="n">
        <x:v>35268</x:v>
      </x:c>
      <x:c r="D322" s="96" t="n">
        <x:v>0.595061012227584</x:v>
      </x:c>
      <x:c r="E322" s="95" t="n">
        <x:f t="shared" si="4">B322/(1-D322)</x:f>
        <x:v>140348353.00161573</x:v>
      </x:c>
      <x:c r="F322"/>
      <x:c r="G322"/>
      <x:c r="H322"/>
      <x:c r="I322"/>
      <x:c r="J322"/>
      <x:c r="K322"/>
      <x:c r="L322"/>
    </x:row>
    <x:row r="323" customHeight="1">
      <x:c r="A323" t="n">
        <x:v>321</x:v>
      </x:c>
      <x:c r="B323" s="95" t="n">
        <x:v>57380668</x:v>
      </x:c>
      <x:c r="C323" s="95" t="n">
        <x:v>35415</x:v>
      </x:c>
      <x:c r="D323" s="96" t="n">
        <x:v>0.596060944982849</x:v>
      </x:c>
      <x:c r="E323" s="95" t="n">
        <x:f t="shared" ref="E323:E386" si="5">B323/(1-D323)</x:f>
        <x:v>142052785.65491435</x:v>
      </x:c>
      <x:c r="F323"/>
      <x:c r="G323"/>
      <x:c r="H323"/>
      <x:c r="I323"/>
      <x:c r="J323"/>
      <x:c r="K323"/>
      <x:c r="L323"/>
    </x:row>
    <x:row r="324" customHeight="1">
      <x:c r="A324" t="n">
        <x:v>322</x:v>
      </x:c>
      <x:c r="B324" s="95" t="n">
        <x:v>57932997</x:v>
      </x:c>
      <x:c r="C324" s="95" t="n">
        <x:v>35562</x:v>
      </x:c>
      <x:c r="D324" s="96" t="n">
        <x:v>0.59705748990032</x:v>
      </x:c>
      <x:c r="E324" s="95" t="n">
        <x:f t="shared" si="5">B324/(1-D324)</x:f>
        <x:v>143774845.16505477</x:v>
      </x:c>
      <x:c r="F324"/>
      <x:c r="G324"/>
      <x:c r="H324"/>
      <x:c r="I324"/>
      <x:c r="J324"/>
      <x:c r="K324"/>
      <x:c r="L324"/>
    </x:row>
    <x:row r="325" customHeight="1">
      <x:c r="A325" t="n">
        <x:v>323</x:v>
      </x:c>
      <x:c r="B325" s="95" t="n">
        <x:v>58489509</x:v>
      </x:c>
      <x:c r="C325" s="95" t="n">
        <x:v>35709</x:v>
      </x:c>
      <x:c r="D325" s="96" t="n">
        <x:v>0.598050660604353</x:v>
      </x:c>
      <x:c r="E325" s="95" t="n">
        <x:f t="shared" si="5">B325/(1-D325)</x:f>
        <x:v>145514629.00260565</x:v>
      </x:c>
      <x:c r="F325"/>
      <x:c r="G325"/>
      <x:c r="H325"/>
      <x:c r="I325"/>
      <x:c r="J325"/>
      <x:c r="K325"/>
      <x:c r="L325"/>
    </x:row>
    <x:row r="326" customHeight="1">
      <x:c r="A326" t="n">
        <x:v>324</x:v>
      </x:c>
      <x:c r="B326" s="95" t="n">
        <x:v>59050254</x:v>
      </x:c>
      <x:c r="C326" s="95" t="n">
        <x:v>35856</x:v>
      </x:c>
      <x:c r="D326" s="96" t="n">
        <x:v>0.599040470662268</x:v>
      </x:c>
      <x:c r="E326" s="95" t="n">
        <x:f t="shared" si="5">B326/(1-D326)</x:f>
        <x:v>147272354.63772058</x:v>
      </x:c>
      <x:c r="F326"/>
      <x:c r="G326"/>
      <x:c r="H326"/>
      <x:c r="I326"/>
      <x:c r="J326"/>
      <x:c r="K326"/>
      <x:c r="L326"/>
    </x:row>
    <x:row r="327" customHeight="1">
      <x:c r="A327" t="n">
        <x:v>325</x:v>
      </x:c>
      <x:c r="B327" s="95" t="n">
        <x:v>59615283</x:v>
      </x:c>
      <x:c r="C327" s="95" t="n">
        <x:v>36004</x:v>
      </x:c>
      <x:c r="D327" s="96" t="n">
        <x:v>0.600026933584777</x:v>
      </x:c>
      <x:c r="E327" s="95" t="n">
        <x:f t="shared" si="5">B327/(1-D327)</x:f>
        <x:v>149048243.508756</x:v>
      </x:c>
      <x:c r="F327"/>
      <x:c r="G327"/>
      <x:c r="H327"/>
      <x:c r="I327"/>
      <x:c r="J327"/>
      <x:c r="K327"/>
      <x:c r="L327"/>
    </x:row>
    <x:row r="328" customHeight="1">
      <x:c r="A328" t="n">
        <x:v>326</x:v>
      </x:c>
      <x:c r="B328" s="95" t="n">
        <x:v>60184595</x:v>
      </x:c>
      <x:c r="C328" s="95" t="n">
        <x:v>36152</x:v>
      </x:c>
      <x:c r="D328" s="96" t="n">
        <x:v>0.601010062825919</x:v>
      </x:c>
      <x:c r="E328" s="95" t="n">
        <x:f t="shared" si="5">B328/(1-D328)</x:f>
        <x:v>150842388.22229043</x:v>
      </x:c>
      <x:c r="F328"/>
      <x:c r="G328"/>
      <x:c r="H328"/>
      <x:c r="I328"/>
      <x:c r="J328"/>
      <x:c r="K328"/>
      <x:c r="L328"/>
    </x:row>
    <x:row r="329" customHeight="1">
      <x:c r="A329" t="n">
        <x:v>327</x:v>
      </x:c>
      <x:c r="B329" s="95" t="n">
        <x:v>60758192</x:v>
      </x:c>
      <x:c r="C329" s="95" t="n">
        <x:v>36300</x:v>
      </x:c>
      <x:c r="D329" s="96" t="n">
        <x:v>0.601989871783252</x:v>
      </x:c>
      <x:c r="E329" s="95" t="n">
        <x:f t="shared" si="5">B329/(1-D329)</x:f>
        <x:v>152654889.1411938</x:v>
      </x:c>
      <x:c r="F329"/>
      <x:c r="G329"/>
      <x:c r="H329"/>
      <x:c r="I329"/>
      <x:c r="J329"/>
      <x:c r="K329"/>
      <x:c r="L329"/>
    </x:row>
    <x:row r="330" customHeight="1">
      <x:c r="A330" t="n">
        <x:v>328</x:v>
      </x:c>
      <x:c r="B330" s="95" t="n">
        <x:v>61336124</x:v>
      </x:c>
      <x:c r="C330" s="95" t="n">
        <x:v>36448</x:v>
      </x:c>
      <x:c r="D330" s="96" t="n">
        <x:v>0.602966373798278</x:v>
      </x:c>
      <x:c r="E330" s="95" t="n">
        <x:f t="shared" si="5">B330/(1-D330)</x:f>
        <x:v>154485967.81784114</x:v>
      </x:c>
      <x:c r="F330"/>
      <x:c r="G330"/>
      <x:c r="H330"/>
      <x:c r="I330"/>
      <x:c r="J330"/>
      <x:c r="K330"/>
      <x:c r="L330"/>
    </x:row>
    <x:row r="331" customHeight="1">
      <x:c r="A331" t="n">
        <x:v>329</x:v>
      </x:c>
      <x:c r="B331" s="95" t="n">
        <x:v>61918442</x:v>
      </x:c>
      <x:c r="C331" s="95" t="n">
        <x:v>36597</x:v>
      </x:c>
      <x:c r="D331" s="96" t="n">
        <x:v>0.603939582156387</x:v>
      </x:c>
      <x:c r="E331" s="95" t="n">
        <x:f t="shared" si="5">B331/(1-D331)</x:f>
        <x:v>156335849.81079552</x:v>
      </x:c>
      <x:c r="F331"/>
      <x:c r="G331"/>
      <x:c r="H331"/>
      <x:c r="I331"/>
      <x:c r="J331"/>
      <x:c r="K331"/>
      <x:c r="L331"/>
    </x:row>
    <x:row r="332" customHeight="1">
      <x:c r="A332" t="n">
        <x:v>330</x:v>
      </x:c>
      <x:c r="B332" s="95" t="n">
        <x:v>62505145</x:v>
      </x:c>
      <x:c r="C332" s="95" t="n">
        <x:v>36746</x:v>
      </x:c>
      <x:c r="D332" s="96" t="n">
        <x:v>0.604909510087125</x:v>
      </x:c>
      <x:c r="E332" s="95" t="n">
        <x:f t="shared" si="5">B332/(1-D332)</x:f>
        <x:v>158204630.57408336</x:v>
      </x:c>
      <x:c r="F332"/>
      <x:c r="G332"/>
      <x:c r="H332"/>
      <x:c r="I332"/>
      <x:c r="J332"/>
      <x:c r="K332"/>
      <x:c r="L332"/>
    </x:row>
    <x:row r="333" customHeight="1">
      <x:c r="A333" t="n">
        <x:v>331</x:v>
      </x:c>
      <x:c r="B333" s="95" t="n">
        <x:v>63096235</x:v>
      </x:c>
      <x:c r="C333" s="95" t="n">
        <x:v>36895</x:v>
      </x:c>
      <x:c r="D333" s="96" t="n">
        <x:v>0.605876170764299</x:v>
      </x:c>
      <x:c r="E333" s="95" t="n">
        <x:f t="shared" si="5">B333/(1-D333)</x:f>
        <x:v>160092413.39798832</x:v>
      </x:c>
      <x:c r="F333"/>
      <x:c r="G333"/>
      <x:c r="H333"/>
      <x:c r="I333"/>
      <x:c r="J333"/>
      <x:c r="K333"/>
      <x:c r="L333"/>
    </x:row>
    <x:row r="334" customHeight="1">
      <x:c r="A334" t="n">
        <x:v>332</x:v>
      </x:c>
      <x:c r="B334" s="95" t="n">
        <x:v>63691762</x:v>
      </x:c>
      <x:c r="C334" s="95" t="n">
        <x:v>37044</x:v>
      </x:c>
      <x:c r="D334" s="96" t="n">
        <x:v>0.606839577306408</x:v>
      </x:c>
      <x:c r="E334" s="95" t="n">
        <x:f t="shared" si="5">B334/(1-D334)</x:f>
        <x:v>161999423.9594099</x:v>
      </x:c>
      <x:c r="F334"/>
      <x:c r="G334"/>
      <x:c r="H334"/>
      <x:c r="I334"/>
      <x:c r="J334"/>
      <x:c r="K334"/>
      <x:c r="L334"/>
    </x:row>
    <x:row r="335" customHeight="1">
      <x:c r="A335" t="n">
        <x:v>333</x:v>
      </x:c>
      <x:c r="B335" s="95" t="n">
        <x:v>64291777</x:v>
      </x:c>
      <x:c r="C335" s="95" t="n">
        <x:v>37193</x:v>
      </x:c>
      <x:c r="D335" s="96" t="n">
        <x:v>0.607799742776585</x:v>
      </x:c>
      <x:c r="E335" s="95" t="n">
        <x:f t="shared" si="5">B335/(1-D335)</x:f>
        <x:v>163925891.979659</x:v>
      </x:c>
      <x:c r="F335"/>
      <x:c r="G335"/>
      <x:c r="H335"/>
      <x:c r="I335"/>
      <x:c r="J335"/>
      <x:c r="K335"/>
      <x:c r="L335"/>
    </x:row>
    <x:row r="336" customHeight="1">
      <x:c r="A336" t="n">
        <x:v>334</x:v>
      </x:c>
      <x:c r="B336" s="95" t="n">
        <x:v>64896280</x:v>
      </x:c>
      <x:c r="C336" s="95" t="n">
        <x:v>37343</x:v>
      </x:c>
      <x:c r="D336" s="96" t="n">
        <x:v>0.608756680182872</x:v>
      </x:c>
      <x:c r="E336" s="95" t="n">
        <x:f t="shared" si="5">B336/(1-D336)</x:f>
        <x:v>165871918.3507934</x:v>
      </x:c>
      <x:c r="F336"/>
      <x:c r="G336"/>
      <x:c r="H336"/>
      <x:c r="I336"/>
      <x:c r="J336"/>
      <x:c r="K336"/>
      <x:c r="L336"/>
    </x:row>
    <x:row r="337" customHeight="1">
      <x:c r="A337" t="n">
        <x:v>335</x:v>
      </x:c>
      <x:c r="B337" s="95" t="n">
        <x:v>65505322</x:v>
      </x:c>
      <x:c r="C337" s="95" t="n">
        <x:v>37493</x:v>
      </x:c>
      <x:c r="D337" s="96" t="n">
        <x:v>0.609710402478322</x:v>
      </x:c>
      <x:c r="E337" s="95" t="n">
        <x:f t="shared" si="5">B337/(1-D337)</x:f>
        <x:v>167837734.89213124</x:v>
      </x:c>
      <x:c r="F337"/>
      <x:c r="G337"/>
      <x:c r="H337"/>
      <x:c r="I337"/>
      <x:c r="J337"/>
      <x:c r="K337"/>
      <x:c r="L337"/>
    </x:row>
    <x:row r="338" customHeight="1">
      <x:c r="A338" t="n">
        <x:v>336</x:v>
      </x:c>
      <x:c r="B338" s="95" t="n">
        <x:v>66118902</x:v>
      </x:c>
      <x:c r="C338" s="95" t="n">
        <x:v>37643</x:v>
      </x:c>
      <x:c r="D338" s="96" t="n">
        <x:v>0.610660922561509</x:v>
      </x:c>
      <x:c r="E338" s="95" t="n">
        <x:f t="shared" si="5">B338/(1-D338)</x:f>
        <x:v>169823441.39459175</x:v>
      </x:c>
      <x:c r="F338"/>
      <x:c r="G338"/>
      <x:c r="H338"/>
      <x:c r="I338"/>
      <x:c r="J338"/>
      <x:c r="K338"/>
      <x:c r="L338"/>
    </x:row>
    <x:row r="339" customHeight="1">
      <x:c r="A339" t="n">
        <x:v>337</x:v>
      </x:c>
      <x:c r="B339" s="95" t="n">
        <x:v>66737022</x:v>
      </x:c>
      <x:c r="C339" s="95" t="n">
        <x:v>37793</x:v>
      </x:c>
      <x:c r="D339" s="96" t="n">
        <x:v>0.611608253276162</x:v>
      </x:c>
      <x:c r="E339" s="95" t="n">
        <x:f t="shared" si="5">B339/(1-D339)</x:f>
        <x:v>171829145.60605398</x:v>
      </x:c>
      <x:c r="F339"/>
      <x:c r="G339"/>
      <x:c r="H339"/>
      <x:c r="I339"/>
      <x:c r="J339"/>
      <x:c r="K339"/>
      <x:c r="L339"/>
    </x:row>
    <x:row r="340" customHeight="1">
      <x:c r="A340" t="n">
        <x:v>338</x:v>
      </x:c>
      <x:c r="B340" s="95" t="n">
        <x:v>67359783</x:v>
      </x:c>
      <x:c r="C340" s="95" t="n">
        <x:v>37944</x:v>
      </x:c>
      <x:c r="D340" s="96" t="n">
        <x:v>0.612552407411906</x:v>
      </x:c>
      <x:c r="E340" s="95" t="n">
        <x:f t="shared" si="5">B340/(1-D340)</x:f>
        <x:v>173855211.1010585</x:v>
      </x:c>
      <x:c r="F340"/>
      <x:c r="G340"/>
      <x:c r="H340"/>
      <x:c r="I340"/>
      <x:c r="J340"/>
      <x:c r="K340"/>
      <x:c r="L340"/>
    </x:row>
    <x:row r="341" customHeight="1">
      <x:c r="A341" t="n">
        <x:v>339</x:v>
      </x:c>
      <x:c r="B341" s="95" t="n">
        <x:v>67987134</x:v>
      </x:c>
      <x:c r="C341" s="95" t="n">
        <x:v>38095</x:v>
      </x:c>
      <x:c r="D341" s="96" t="n">
        <x:v>0.613493397704136</x:v>
      </x:c>
      <x:c r="E341" s="95" t="n">
        <x:f t="shared" si="5">B341/(1-D341)</x:f>
        <x:v>175901610.98453125</x:v>
      </x:c>
      <x:c r="F341"/>
      <x:c r="G341"/>
      <x:c r="H341"/>
      <x:c r="I341"/>
      <x:c r="J341"/>
      <x:c r="K341"/>
      <x:c r="L341"/>
    </x:row>
    <x:row r="342" customHeight="1">
      <x:c r="A342" t="n">
        <x:v>340</x:v>
      </x:c>
      <x:c r="B342" s="95" t="n">
        <x:v>68619177</x:v>
      </x:c>
      <x:c r="C342" s="95" t="n">
        <x:v>38246</x:v>
      </x:c>
      <x:c r="D342" s="96" t="n">
        <x:v>0.614431236834212</x:v>
      </x:c>
      <x:c r="E342" s="95" t="n">
        <x:f t="shared" si="5">B342/(1-D342)</x:f>
        <x:v>177968714.15772578</x:v>
      </x:c>
      <x:c r="F342"/>
      <x:c r="G342"/>
      <x:c r="H342"/>
      <x:c r="I342"/>
      <x:c r="J342"/>
      <x:c r="K342"/>
      <x:c r="L342"/>
    </x:row>
    <x:row r="343" customHeight="1">
      <x:c r="A343" t="n">
        <x:v>341</x:v>
      </x:c>
      <x:c r="B343" s="95" t="n">
        <x:v>69255912</x:v>
      </x:c>
      <x:c r="C343" s="95" t="n">
        <x:v>38397</x:v>
      </x:c>
      <x:c r="D343" s="96" t="n">
        <x:v>0.615365937429951</x:v>
      </x:c>
      <x:c r="E343" s="95" t="n">
        <x:f t="shared" si="5">B343/(1-D343)</x:f>
        <x:v>180056627.16724998</x:v>
      </x:c>
      <x:c r="F343"/>
      <x:c r="G343"/>
      <x:c r="H343"/>
      <x:c r="I343"/>
      <x:c r="J343"/>
      <x:c r="K343"/>
      <x:c r="L343"/>
    </x:row>
    <x:row r="344" customHeight="1">
      <x:c r="A344" t="n">
        <x:v>342</x:v>
      </x:c>
      <x:c r="B344" s="95" t="n">
        <x:v>69897339</x:v>
      </x:c>
      <x:c r="C344" s="95" t="n">
        <x:v>38548</x:v>
      </x:c>
      <x:c r="D344" s="96" t="n">
        <x:v>0.616297512065281</x:v>
      </x:c>
      <x:c r="E344" s="95" t="n">
        <x:f t="shared" si="5">B344/(1-D344)</x:f>
        <x:v>182165456.82625845</x:v>
      </x:c>
      <x:c r="F344"/>
      <x:c r="G344"/>
      <x:c r="H344"/>
      <x:c r="I344"/>
      <x:c r="J344"/>
      <x:c r="K344"/>
      <x:c r="L344"/>
    </x:row>
    <x:row r="345" customHeight="1">
      <x:c r="A345" t="n">
        <x:v>343</x:v>
      </x:c>
      <x:c r="B345" s="95" t="n">
        <x:v>70543458</x:v>
      </x:c>
      <x:c r="C345" s="95" t="n">
        <x:v>38700</x:v>
      </x:c>
      <x:c r="D345" s="96" t="n">
        <x:v>0.617225973260972</x:v>
      </x:c>
      <x:c r="E345" s="95" t="n">
        <x:f t="shared" si="5">B345/(1-D345)</x:f>
        <x:v>184295310.2147025</x:v>
      </x:c>
      <x:c r="F345"/>
      <x:c r="G345"/>
      <x:c r="H345"/>
      <x:c r="I345"/>
      <x:c r="J345"/>
      <x:c r="K345"/>
      <x:c r="L345"/>
    </x:row>
    <x:row r="346" customHeight="1">
      <x:c r="A346" t="n">
        <x:v>344</x:v>
      </x:c>
      <x:c r="B346" s="95" t="n">
        <x:v>71194421</x:v>
      </x:c>
      <x:c r="C346" s="95" t="n">
        <x:v>38852</x:v>
      </x:c>
      <x:c r="D346" s="96" t="n">
        <x:v>0.618151333484513</x:v>
      </x:c>
      <x:c r="E346" s="95" t="n">
        <x:f t="shared" si="5">B346/(1-D346)</x:f>
        <x:v>186446692.7426405</x:v>
      </x:c>
      <x:c r="F346"/>
      <x:c r="G346"/>
      <x:c r="H346"/>
      <x:c r="I346"/>
      <x:c r="J346"/>
      <x:c r="K346"/>
      <x:c r="L346"/>
    </x:row>
    <x:row r="347" customHeight="1">
      <x:c r="A347" t="n">
        <x:v>345</x:v>
      </x:c>
      <x:c r="B347" s="95" t="n">
        <x:v>71850128</x:v>
      </x:c>
      <x:c r="C347" s="95" t="n">
        <x:v>39004</x:v>
      </x:c>
      <x:c r="D347" s="96" t="n">
        <x:v>0.619073605150384</x:v>
      </x:c>
      <x:c r="E347" s="95" t="n">
        <x:f t="shared" si="5">B347/(1-D347)</x:f>
        <x:v>188619452.39674282</x:v>
      </x:c>
      <x:c r="F347"/>
      <x:c r="G347"/>
      <x:c r="H347"/>
      <x:c r="I347"/>
      <x:c r="J347"/>
      <x:c r="K347"/>
      <x:c r="L347"/>
    </x:row>
    <x:row r="348" customHeight="1">
      <x:c r="A348" t="n">
        <x:v>346</x:v>
      </x:c>
      <x:c r="B348" s="95" t="n">
        <x:v>72510680</x:v>
      </x:c>
      <x:c r="C348" s="95" t="n">
        <x:v>39157</x:v>
      </x:c>
      <x:c r="D348" s="96" t="n">
        <x:v>0.619992800620247</x:v>
      </x:c>
      <x:c r="E348" s="95" t="n">
        <x:f t="shared" si="5">B348/(1-D348)</x:f>
        <x:v>190813963.8363478</x:v>
      </x:c>
      <x:c r="F348"/>
      <x:c r="G348"/>
      <x:c r="H348"/>
      <x:c r="I348"/>
      <x:c r="J348"/>
      <x:c r="K348"/>
      <x:c r="L348"/>
    </x:row>
    <x:row r="349" customHeight="1">
      <x:c r="A349" t="n">
        <x:v>347</x:v>
      </x:c>
      <x:c r="B349" s="95" t="n">
        <x:v>73176077</x:v>
      </x:c>
      <x:c r="C349" s="95" t="n">
        <x:v>39309</x:v>
      </x:c>
      <x:c r="D349" s="96" t="n">
        <x:v>0.620908932203057</x:v>
      </x:c>
      <x:c r="E349" s="95" t="n">
        <x:f t="shared" si="5">B349/(1-D349)</x:f>
        <x:v>193030338.1328841</x:v>
      </x:c>
      <x:c r="F349"/>
      <x:c r="G349"/>
      <x:c r="H349"/>
      <x:c r="I349"/>
      <x:c r="J349"/>
      <x:c r="K349"/>
      <x:c r="L349"/>
    </x:row>
    <x:row r="350" customHeight="1">
      <x:c r="A350" t="n">
        <x:v>348</x:v>
      </x:c>
      <x:c r="B350" s="95" t="n">
        <x:v>73846319</x:v>
      </x:c>
      <x:c r="C350" s="95" t="n">
        <x:v>39462</x:v>
      </x:c>
      <x:c r="D350" s="96" t="n">
        <x:v>0.621822012155557</x:v>
      </x:c>
      <x:c r="E350" s="95" t="n">
        <x:f t="shared" si="5">B350/(1-D350)</x:f>
        <x:v>195268686.6332776</x:v>
      </x:c>
      <x:c r="F350"/>
      <x:c r="G350"/>
      <x:c r="H350"/>
      <x:c r="I350"/>
      <x:c r="J350"/>
      <x:c r="K350"/>
      <x:c r="L350"/>
    </x:row>
    <x:row r="351" customHeight="1">
      <x:c r="A351" t="n">
        <x:v>349</x:v>
      </x:c>
      <x:c r="B351" s="95" t="n">
        <x:v>74521508</x:v>
      </x:c>
      <x:c r="C351" s="95" t="n">
        <x:v>39615</x:v>
      </x:c>
      <x:c r="D351" s="96" t="n">
        <x:v>0.622732052681943</x:v>
      </x:c>
      <x:c r="E351" s="95" t="n">
        <x:f t="shared" si="5">B351/(1-D351)</x:f>
        <x:v>197529391.32455477</x:v>
      </x:c>
      <x:c r="F351"/>
      <x:c r="G351"/>
      <x:c r="H351"/>
      <x:c r="I351"/>
      <x:c r="J351"/>
      <x:c r="K351"/>
      <x:c r="L351"/>
    </x:row>
    <x:row r="352" customHeight="1">
      <x:c r="A352" t="n">
        <x:v>350</x:v>
      </x:c>
      <x:c r="B352" s="95" t="n">
        <x:v>75201644</x:v>
      </x:c>
      <x:c r="C352" s="95" t="n">
        <x:v>39769</x:v>
      </x:c>
      <x:c r="D352" s="96" t="n">
        <x:v>0.623639065934652</x:v>
      </x:c>
      <x:c r="E352" s="95" t="n">
        <x:f t="shared" si="5">B352/(1-D352)</x:f>
        <x:v>199812566.05910817</x:v>
      </x:c>
      <x:c r="F352"/>
      <x:c r="G352"/>
      <x:c r="H352"/>
      <x:c r="I352"/>
      <x:c r="J352"/>
      <x:c r="K352"/>
      <x:c r="L352"/>
    </x:row>
    <x:row r="353" customHeight="1">
      <x:c r="A353" t="n">
        <x:v>351</x:v>
      </x:c>
      <x:c r="B353" s="95" t="n">
        <x:v>75886727</x:v>
      </x:c>
      <x:c r="C353" s="95" t="n">
        <x:v>39922</x:v>
      </x:c>
      <x:c r="D353" s="96" t="n">
        <x:v>0.624543064013957</x:v>
      </x:c>
      <x:c r="E353" s="95" t="n">
        <x:f t="shared" si="5">B353/(1-D353)</x:f>
        <x:v>202118324.97035283</x:v>
      </x:c>
      <x:c r="F353"/>
      <x:c r="G353"/>
      <x:c r="H353"/>
      <x:c r="I353"/>
      <x:c r="J353"/>
      <x:c r="K353"/>
      <x:c r="L353"/>
    </x:row>
    <x:row r="354" customHeight="1">
      <x:c r="A354" t="n">
        <x:v>352</x:v>
      </x:c>
      <x:c r="B354" s="95" t="n">
        <x:v>76576808</x:v>
      </x:c>
      <x:c r="C354" s="95" t="n">
        <x:v>40076</x:v>
      </x:c>
      <x:c r="D354" s="96" t="n">
        <x:v>0.625444058968756</x:v>
      </x:c>
      <x:c r="E354" s="95" t="n">
        <x:f t="shared" si="5">B354/(1-D354)</x:f>
        <x:v>204446918.63427755</x:v>
      </x:c>
      <x:c r="F354"/>
      <x:c r="G354"/>
      <x:c r="H354"/>
      <x:c r="I354"/>
      <x:c r="J354"/>
      <x:c r="K354"/>
      <x:c r="L354"/>
    </x:row>
    <x:row r="355" customHeight="1">
      <x:c r="A355" t="n">
        <x:v>353</x:v>
      </x:c>
      <x:c r="B355" s="95" t="n">
        <x:v>77271887</x:v>
      </x:c>
      <x:c r="C355" s="95" t="n">
        <x:v>40230</x:v>
      </x:c>
      <x:c r="D355" s="96" t="n">
        <x:v>0.626342062796162</x:v>
      </x:c>
      <x:c r="E355" s="95" t="n">
        <x:f t="shared" si="5">B355/(1-D355)</x:f>
        <x:v>206798462.7283499</x:v>
      </x:c>
      <x:c r="F355"/>
      <x:c r="G355"/>
      <x:c r="H355"/>
      <x:c r="I355"/>
      <x:c r="J355"/>
      <x:c r="K355"/>
      <x:c r="L355"/>
    </x:row>
    <x:row r="356" customHeight="1">
      <x:c r="A356" t="n">
        <x:v>354</x:v>
      </x:c>
      <x:c r="B356" s="95" t="n">
        <x:v>77972066</x:v>
      </x:c>
      <x:c r="C356" s="95" t="n">
        <x:v>40384</x:v>
      </x:c>
      <x:c r="D356" s="96" t="n">
        <x:v>0.62723708744222</x:v>
      </x:c>
      <x:c r="E356" s="95" t="n">
        <x:f t="shared" si="5">B356/(1-D356)</x:f>
        <x:v>209173346.8466071</x:v>
      </x:c>
      <x:c r="F356"/>
      <x:c r="G356"/>
      <x:c r="H356"/>
      <x:c r="I356"/>
      <x:c r="J356"/>
      <x:c r="K356"/>
      <x:c r="L356"/>
    </x:row>
    <x:row r="357" customHeight="1">
      <x:c r="A357" t="n">
        <x:v>355</x:v>
      </x:c>
      <x:c r="B357" s="95" t="n">
        <x:v>78677294</x:v>
      </x:c>
      <x:c r="C357" s="95" t="n">
        <x:v>40539</x:v>
      </x:c>
      <x:c r="D357" s="96" t="n">
        <x:v>0.628129144801798</x:v>
      </x:c>
      <x:c r="E357" s="95" t="n">
        <x:f t="shared" si="5">B357/(1-D357)</x:f>
        <x:v>211571552.0595614</x:v>
      </x:c>
      <x:c r="F357"/>
      <x:c r="G357"/>
      <x:c r="H357"/>
      <x:c r="I357"/>
      <x:c r="J357"/>
      <x:c r="K357"/>
      <x:c r="L357"/>
    </x:row>
    <x:row r="358" customHeight="1">
      <x:c r="A358" t="n">
        <x:v>356</x:v>
      </x:c>
      <x:c r="B358" s="95" t="n">
        <x:v>79387672</x:v>
      </x:c>
      <x:c r="C358" s="95" t="n">
        <x:v>40693</x:v>
      </x:c>
      <x:c r="D358" s="96" t="n">
        <x:v>0.629018246718854</x:v>
      </x:c>
      <x:c r="E358" s="95" t="n">
        <x:f t="shared" si="5">B358/(1-D358)</x:f>
        <x:v>213993468.13652202</x:v>
      </x:c>
      <x:c r="F358"/>
      <x:c r="G358"/>
      <x:c r="H358"/>
      <x:c r="I358"/>
      <x:c r="J358"/>
      <x:c r="K358"/>
      <x:c r="L358"/>
    </x:row>
    <x:row r="359" customHeight="1">
      <x:c r="A359" t="n">
        <x:v>357</x:v>
      </x:c>
      <x:c r="B359" s="95" t="n">
        <x:v>80103151</x:v>
      </x:c>
      <x:c r="C359" s="95" t="n">
        <x:v>40848</x:v>
      </x:c>
      <x:c r="D359" s="96" t="n">
        <x:v>0.629904404986694</x:v>
      </x:c>
      <x:c r="E359" s="95" t="n">
        <x:f t="shared" si="5">B359/(1-D359)</x:f>
        <x:v>216439082.44063282</x:v>
      </x:c>
      <x:c r="F359"/>
      <x:c r="G359"/>
      <x:c r="H359"/>
      <x:c r="I359"/>
      <x:c r="J359"/>
      <x:c r="K359"/>
      <x:c r="L359"/>
    </x:row>
    <x:row r="360" customHeight="1">
      <x:c r="A360" t="n">
        <x:v>358</x:v>
      </x:c>
      <x:c r="B360" s="95" t="n">
        <x:v>80823832</x:v>
      </x:c>
      <x:c r="C360" s="95" t="n">
        <x:v>41003</x:v>
      </x:c>
      <x:c r="D360" s="96" t="n">
        <x:v>0.63078763134788</x:v>
      </x:c>
      <x:c r="E360" s="95" t="n">
        <x:f t="shared" si="5">B360/(1-D360)</x:f>
        <x:v>218908787.6309853</x:v>
      </x:c>
      <x:c r="F360"/>
      <x:c r="G360"/>
      <x:c r="H360"/>
      <x:c r="I360"/>
      <x:c r="J360"/>
      <x:c r="K360"/>
      <x:c r="L360"/>
    </x:row>
    <x:row r="361" customHeight="1">
      <x:c r="A361" t="n">
        <x:v>359</x:v>
      </x:c>
      <x:c r="B361" s="95" t="n">
        <x:v>81549664</x:v>
      </x:c>
      <x:c r="C361" s="95" t="n">
        <x:v>41159</x:v>
      </x:c>
      <x:c r="D361" s="96" t="n">
        <x:v>0.631667937494852</x:v>
      </x:c>
      <x:c r="E361" s="95" t="n">
        <x:f t="shared" si="5">B361/(1-D361)</x:f>
        <x:v>221402566.60078353</x:v>
      </x:c>
      <x:c r="F361"/>
      <x:c r="G361"/>
      <x:c r="H361"/>
      <x:c r="I361"/>
      <x:c r="J361"/>
      <x:c r="K361"/>
      <x:c r="L361"/>
    </x:row>
    <x:row r="362" customHeight="1">
      <x:c r="A362" t="n">
        <x:v>360</x:v>
      </x:c>
      <x:c r="B362" s="95" t="n">
        <x:v>82280800</x:v>
      </x:c>
      <x:c r="C362" s="95" t="n">
        <x:v>41314</x:v>
      </x:c>
      <x:c r="D362" s="96" t="n">
        <x:v>0.632545335069828</x:v>
      </x:c>
      <x:c r="E362" s="95" t="n">
        <x:f t="shared" si="5">B362/(1-D362)</x:f>
        <x:v>223920956.3869218</x:v>
      </x:c>
      <x:c r="F362"/>
      <x:c r="G362"/>
      <x:c r="H362"/>
      <x:c r="I362"/>
      <x:c r="J362"/>
      <x:c r="K362"/>
      <x:c r="L362"/>
    </x:row>
    <x:row r="363" customHeight="1">
      <x:c r="A363" t="n">
        <x:v>361</x:v>
      </x:c>
      <x:c r="B363" s="95" t="n">
        <x:v>83017138</x:v>
      </x:c>
      <x:c r="C363" s="95" t="n">
        <x:v>41470</x:v>
      </x:c>
      <x:c r="D363" s="96" t="n">
        <x:v>0.63341983566507</x:v>
      </x:c>
      <x:c r="E363" s="95" t="n">
        <x:f t="shared" si="5">B363/(1-D363)</x:f>
        <x:v>226463802.67359605</x:v>
      </x:c>
      <x:c r="F363"/>
      <x:c r="G363"/>
      <x:c r="H363"/>
      <x:c r="I363"/>
      <x:c r="J363"/>
      <x:c r="K363"/>
      <x:c r="L363"/>
    </x:row>
    <x:row r="364" customHeight="1">
      <x:c r="A364" t="n">
        <x:v>362</x:v>
      </x:c>
      <x:c r="B364" s="95" t="n">
        <x:v>83758831</x:v>
      </x:c>
      <x:c r="C364" s="95" t="n">
        <x:v>41626</x:v>
      </x:c>
      <x:c r="D364" s="96" t="n">
        <x:v>0.634291450823141</x:v>
      </x:c>
      <x:c r="E364" s="95" t="n">
        <x:f t="shared" si="5">B364/(1-D364)</x:f>
        <x:v>229031646.0704168</x:v>
      </x:c>
      <x:c r="F364"/>
      <x:c r="G364"/>
      <x:c r="H364"/>
      <x:c r="I364"/>
      <x:c r="J364"/>
      <x:c r="K364"/>
      <x:c r="L364"/>
    </x:row>
    <x:row r="365" customHeight="1">
      <x:c r="A365" t="n">
        <x:v>363</x:v>
      </x:c>
      <x:c r="B365" s="95" t="n">
        <x:v>84505777</x:v>
      </x:c>
      <x:c r="C365" s="95" t="n">
        <x:v>41782</x:v>
      </x:c>
      <x:c r="D365" s="96" t="n">
        <x:v>0.635160192036813</x:v>
      </x:c>
      <x:c r="E365" s="95" t="n">
        <x:f t="shared" si="5">B365/(1-D365)</x:f>
        <x:v>231624332.5304205</x:v>
      </x:c>
      <x:c r="F365"/>
      <x:c r="G365"/>
      <x:c r="H365"/>
      <x:c r="I365"/>
      <x:c r="J365"/>
      <x:c r="K365"/>
      <x:c r="L365"/>
    </x:row>
    <x:row r="366" customHeight="1">
      <x:c r="A366" t="n">
        <x:v>364</x:v>
      </x:c>
      <x:c r="B366" s="95" t="n">
        <x:v>85258129</x:v>
      </x:c>
      <x:c r="C366" s="95" t="n">
        <x:v>41939</x:v>
      </x:c>
      <x:c r="D366" s="96" t="n">
        <x:v>0.636026070749688</x:v>
      </x:c>
      <x:c r="E366" s="95" t="n">
        <x:f t="shared" si="5">B366/(1-D366)</x:f>
        <x:v>234242406.2503837</x:v>
      </x:c>
      <x:c r="F366"/>
      <x:c r="G366"/>
      <x:c r="H366"/>
      <x:c r="I366"/>
      <x:c r="J366"/>
      <x:c r="K366"/>
      <x:c r="L366"/>
    </x:row>
    <x:row r="367" customHeight="1">
      <x:c r="A367" t="n">
        <x:v>365</x:v>
      </x:c>
      <x:c r="B367" s="95" t="n">
        <x:v>86015836</x:v>
      </x:c>
      <x:c r="C367" s="95" t="n">
        <x:v>42096</x:v>
      </x:c>
      <x:c r="D367" s="96" t="n">
        <x:v>0.636889098356167</x:v>
      </x:c>
      <x:c r="E367" s="95" t="n">
        <x:f t="shared" si="5">B367/(1-D367)</x:f>
        <x:v>236885853.91019443</x:v>
      </x:c>
      <x:c r="F367"/>
      <x:c r="G367"/>
      <x:c r="H367"/>
      <x:c r="I367"/>
      <x:c r="J367"/>
      <x:c r="K367"/>
      <x:c r="L367"/>
    </x:row>
    <x:row r="368" customHeight="1">
      <x:c r="A368" t="n">
        <x:v>366</x:v>
      </x:c>
      <x:c r="B368" s="95" t="n">
        <x:v>86779000</x:v>
      </x:c>
      <x:c r="C368" s="95" t="n">
        <x:v>42252</x:v>
      </x:c>
      <x:c r="D368" s="96" t="n">
        <x:v>0.637749286201432</x:v>
      </x:c>
      <x:c r="E368" s="95" t="n">
        <x:f t="shared" si="5">B368/(1-D368)</x:f>
        <x:v>239555083.52222064</x:v>
      </x:c>
      <x:c r="F368"/>
      <x:c r="G368"/>
      <x:c r="H368"/>
      <x:c r="I368"/>
      <x:c r="J368"/>
      <x:c r="K368"/>
      <x:c r="L368"/>
    </x:row>
    <x:row r="369" customHeight="1">
      <x:c r="A369" t="n">
        <x:v>367</x:v>
      </x:c>
      <x:c r="B369" s="95" t="n">
        <x:v>87547570</x:v>
      </x:c>
      <x:c r="C369" s="95" t="n">
        <x:v>42410</x:v>
      </x:c>
      <x:c r="D369" s="96" t="n">
        <x:v>0.638606645582129</x:v>
      </x:c>
      <x:c r="E369" s="95" t="n">
        <x:f t="shared" si="5">B369/(1-D369)</x:f>
        <x:v>242250082.71394694</x:v>
      </x:c>
      <x:c r="F369"/>
      <x:c r="G369"/>
      <x:c r="H369"/>
      <x:c r="I369"/>
      <x:c r="J369"/>
      <x:c r="K369"/>
      <x:c r="L369"/>
    </x:row>
    <x:row r="370" customHeight="1">
      <x:c r="A370" t="n">
        <x:v>368</x:v>
      </x:c>
      <x:c r="B370" s="95" t="n">
        <x:v>88321648</x:v>
      </x:c>
      <x:c r="C370" s="95" t="n">
        <x:v>42567</x:v>
      </x:c>
      <x:c r="D370" s="96" t="n">
        <x:v>0.639461187745999</x:v>
      </x:c>
      <x:c r="E370" s="95" t="n">
        <x:f t="shared" si="5">B370/(1-D370)</x:f>
        <x:v>244971262.44976106</x:v>
      </x:c>
      <x:c r="F370"/>
      <x:c r="G370"/>
      <x:c r="H370"/>
      <x:c r="I370"/>
      <x:c r="J370"/>
      <x:c r="K370"/>
      <x:c r="L370"/>
    </x:row>
    <x:row r="371" customHeight="1">
      <x:c r="A371" t="n">
        <x:v>369</x:v>
      </x:c>
      <x:c r="B371" s="95" t="n">
        <x:v>89101183</x:v>
      </x:c>
      <x:c r="C371" s="95" t="n">
        <x:v>42725</x:v>
      </x:c>
      <x:c r="D371" s="96" t="n">
        <x:v>0.640312923892617</x:v>
      </x:c>
      <x:c r="E371" s="95" t="n">
        <x:f t="shared" si="5">B371/(1-D371)</x:f>
        <x:v>247718611.31145903</x:v>
      </x:c>
      <x:c r="F371"/>
      <x:c r="G371"/>
      <x:c r="H371"/>
      <x:c r="I371"/>
      <x:c r="J371"/>
      <x:c r="K371"/>
      <x:c r="L371"/>
    </x:row>
    <x:row r="372" customHeight="1">
      <x:c r="A372" t="n">
        <x:v>370</x:v>
      </x:c>
      <x:c r="B372" s="95" t="n">
        <x:v>89886328</x:v>
      </x:c>
      <x:c r="C372" s="95" t="n">
        <x:v>42883</x:v>
      </x:c>
      <x:c r="D372" s="96" t="n">
        <x:v>0.641161865173105</x:v>
      </x:c>
      <x:c r="E372" s="95" t="n">
        <x:f t="shared" si="5">B372/(1-D372)</x:f>
        <x:v>250492685.35341582</x:v>
      </x:c>
      <x:c r="F372"/>
      <x:c r="G372"/>
      <x:c r="H372"/>
      <x:c r="I372"/>
      <x:c r="J372"/>
      <x:c r="K372"/>
      <x:c r="L372"/>
    </x:row>
    <x:row r="373" customHeight="1">
      <x:c r="A373" t="n">
        <x:v>371</x:v>
      </x:c>
      <x:c r="B373" s="95" t="n">
        <x:v>90676981</x:v>
      </x:c>
      <x:c r="C373" s="95" t="n">
        <x:v>43041</x:v>
      </x:c>
      <x:c r="D373" s="96" t="n">
        <x:v>0.64200802269059</x:v>
      </x:c>
      <x:c r="E373" s="95" t="n">
        <x:f t="shared" si="5">B373/(1-D373)</x:f>
        <x:v>253293332.66490635</x:v>
      </x:c>
      <x:c r="F373"/>
      <x:c r="G373"/>
      <x:c r="H373"/>
      <x:c r="I373"/>
      <x:c r="J373"/>
      <x:c r="K373"/>
      <x:c r="L373"/>
    </x:row>
    <x:row r="374" customHeight="1">
      <x:c r="A374" t="n">
        <x:v>372</x:v>
      </x:c>
      <x:c r="B374" s="95" t="n">
        <x:v>91473295</x:v>
      </x:c>
      <x:c r="C374" s="95" t="n">
        <x:v>43199</x:v>
      </x:c>
      <x:c r="D374" s="96" t="n">
        <x:v>0.642851407500328</x:v>
      </x:c>
      <x:c r="E374" s="95" t="n">
        <x:f t="shared" si="5">B374/(1-D374)</x:f>
        <x:v>256121112.95128232</x:v>
      </x:c>
      <x:c r="F374"/>
      <x:c r="G374"/>
      <x:c r="H374"/>
      <x:c r="I374"/>
      <x:c r="J374"/>
      <x:c r="K374"/>
      <x:c r="L374"/>
    </x:row>
    <x:row r="375" customHeight="1">
      <x:c r="A375" t="n">
        <x:v>373</x:v>
      </x:c>
      <x:c r="B375" s="95" t="n">
        <x:v>92275219</x:v>
      </x:c>
      <x:c r="C375" s="95" t="n">
        <x:v>43357</x:v>
      </x:c>
      <x:c r="D375" s="96" t="n">
        <x:v>0.643692030609892</x:v>
      </x:c>
      <x:c r="E375" s="95" t="n">
        <x:f t="shared" si="5">B375/(1-D375)</x:f>
        <x:v>258976017.73529625</x:v>
      </x:c>
      <x:c r="F375"/>
      <x:c r="G375"/>
      <x:c r="H375"/>
      <x:c r="I375"/>
      <x:c r="J375"/>
      <x:c r="K375"/>
      <x:c r="L375"/>
    </x:row>
    <x:row r="376" customHeight="1">
      <x:c r="A376" t="n">
        <x:v>374</x:v>
      </x:c>
      <x:c r="B376" s="95" t="n">
        <x:v>93082804</x:v>
      </x:c>
      <x:c r="C376" s="95" t="n">
        <x:v>43516</x:v>
      </x:c>
      <x:c r="D376" s="96" t="n">
        <x:v>0.644529902979357</x:v>
      </x:c>
      <x:c r="E376" s="95" t="n">
        <x:f t="shared" si="5">B376/(1-D376)</x:f>
        <x:v>261858324.45589495</x:v>
      </x:c>
      <x:c r="F376"/>
      <x:c r="G376"/>
      <x:c r="H376"/>
      <x:c r="I376"/>
      <x:c r="J376"/>
      <x:c r="K376"/>
      <x:c r="L376"/>
    </x:row>
    <x:row r="377" customHeight="1">
      <x:c r="A377" t="n">
        <x:v>375</x:v>
      </x:c>
      <x:c r="B377" s="95" t="n">
        <x:v>93896101</x:v>
      </x:c>
      <x:c r="C377" s="95" t="n">
        <x:v>43675</x:v>
      </x:c>
      <x:c r="D377" s="96" t="n">
        <x:v>0.645365035521562</x:v>
      </x:c>
      <x:c r="E377" s="95" t="n">
        <x:f t="shared" si="5">B377/(1-D377)</x:f>
        <x:v>264768312.22238082</x:v>
      </x:c>
      <x:c r="F377"/>
      <x:c r="G377"/>
      <x:c r="H377"/>
      <x:c r="I377"/>
      <x:c r="J377"/>
      <x:c r="K377"/>
      <x:c r="L377"/>
    </x:row>
    <x:row r="378" customHeight="1">
      <x:c r="A378" t="n">
        <x:v>376</x:v>
      </x:c>
      <x:c r="B378" s="95" t="n">
        <x:v>94715161</x:v>
      </x:c>
      <x:c r="C378" s="95" t="n">
        <x:v>43834</x:v>
      </x:c>
      <x:c r="D378" s="96" t="n">
        <x:v>0.646197439102086</x:v>
      </x:c>
      <x:c r="E378" s="95" t="n">
        <x:f t="shared" si="5">B378/(1-D378)</x:f>
        <x:v>267706261.8190858</x:v>
      </x:c>
      <x:c r="F378"/>
      <x:c r="G378"/>
      <x:c r="H378"/>
      <x:c r="I378"/>
      <x:c r="J378"/>
      <x:c r="K378"/>
      <x:c r="L378"/>
    </x:row>
    <x:row r="379" customHeight="1">
      <x:c r="A379" t="n">
        <x:v>377</x:v>
      </x:c>
      <x:c r="B379" s="95" t="n">
        <x:v>95539933</x:v>
      </x:c>
      <x:c r="C379" s="95" t="n">
        <x:v>43994</x:v>
      </x:c>
      <x:c r="D379" s="96" t="n">
        <x:v>0.647027124539579</x:v>
      </x:c>
      <x:c r="E379" s="95" t="n">
        <x:f t="shared" si="5">B379/(1-D379)</x:f>
        <x:v>270672166.7362594</x:v>
      </x:c>
      <x:c r="F379"/>
      <x:c r="G379"/>
      <x:c r="H379"/>
      <x:c r="I379"/>
      <x:c r="J379"/>
      <x:c r="K379"/>
      <x:c r="L379"/>
    </x:row>
    <x:row r="380" customHeight="1">
      <x:c r="A380" t="n">
        <x:v>378</x:v>
      </x:c>
      <x:c r="B380" s="95" t="n">
        <x:v>96370570</x:v>
      </x:c>
      <x:c r="C380" s="95" t="n">
        <x:v>44154</x:v>
      </x:c>
      <x:c r="D380" s="96" t="n">
        <x:v>0.647854102606147</x:v>
      </x:c>
      <x:c r="E380" s="95" t="n">
        <x:f t="shared" si="5">B380/(1-D380)</x:f>
        <x:v>273666598.73994094</x:v>
      </x:c>
      <x:c r="F380"/>
      <x:c r="G380"/>
      <x:c r="H380"/>
      <x:c r="I380"/>
      <x:c r="J380"/>
      <x:c r="K380"/>
      <x:c r="L380"/>
    </x:row>
    <x:row r="381" customHeight="1">
      <x:c r="A381" t="n">
        <x:v>379</x:v>
      </x:c>
      <x:c r="B381" s="95" t="n">
        <x:v>97206970</x:v>
      </x:c>
      <x:c r="C381" s="95" t="n">
        <x:v>44313</x:v>
      </x:c>
      <x:c r="D381" s="96" t="n">
        <x:v>0.648678384027201</x:v>
      </x:c>
      <x:c r="E381" s="95" t="n">
        <x:f t="shared" si="5">B381/(1-D381)</x:f>
        <x:v>276689408.16760397</x:v>
      </x:c>
      <x:c r="F381"/>
      <x:c r="G381"/>
      <x:c r="H381"/>
      <x:c r="I381"/>
      <x:c r="J381"/>
      <x:c r="K381"/>
      <x:c r="L381"/>
    </x:row>
    <x:row r="382" customHeight="1">
      <x:c r="A382" t="n">
        <x:v>380</x:v>
      </x:c>
      <x:c r="B382" s="95" t="n">
        <x:v>98049286</x:v>
      </x:c>
      <x:c r="C382" s="95" t="n">
        <x:v>44474</x:v>
      </x:c>
      <x:c r="D382" s="96" t="n">
        <x:v>0.649499979481648</x:v>
      </x:c>
      <x:c r="E382" s="95" t="n">
        <x:f t="shared" si="5">B382/(1-D382)</x:f>
        <x:v>279741170.499778</x:v>
      </x:c>
      <x:c r="F382"/>
      <x:c r="G382"/>
      <x:c r="H382"/>
      <x:c r="I382"/>
      <x:c r="J382"/>
      <x:c r="K382"/>
      <x:c r="L382"/>
    </x:row>
    <x:row r="383" customHeight="1">
      <x:c r="A383" t="n">
        <x:v>381</x:v>
      </x:c>
      <x:c r="B383" s="95" t="n">
        <x:v>98897467</x:v>
      </x:c>
      <x:c r="C383" s="95" t="n">
        <x:v>44634</x:v>
      </x:c>
      <x:c r="D383" s="96" t="n">
        <x:v>0.650318899602478</x:v>
      </x:c>
      <x:c r="E383" s="95" t="n">
        <x:f t="shared" si="5">B383/(1-D383)</x:f>
        <x:v>282821882.2452002</x:v>
      </x:c>
      <x:c r="F383"/>
      <x:c r="G383"/>
      <x:c r="H383"/>
      <x:c r="I383"/>
      <x:c r="J383"/>
      <x:c r="K383"/>
      <x:c r="L383"/>
    </x:row>
    <x:row r="384" customHeight="1">
      <x:c r="A384" t="n">
        <x:v>382</x:v>
      </x:c>
      <x:c r="B384" s="95" t="n">
        <x:v>99751614</x:v>
      </x:c>
      <x:c r="C384" s="95" t="n">
        <x:v>44795</x:v>
      </x:c>
      <x:c r="D384" s="96" t="n">
        <x:v>0.65113515497641</x:v>
      </x:c>
      <x:c r="E384" s="95" t="n">
        <x:f t="shared" si="5">B384/(1-D384)</x:f>
        <x:v>285931974.58246285</x:v>
      </x:c>
      <x:c r="F384"/>
      <x:c r="G384"/>
      <x:c r="H384"/>
      <x:c r="I384"/>
      <x:c r="J384"/>
      <x:c r="K384"/>
      <x:c r="L384"/>
    </x:row>
    <x:row r="385" customHeight="1">
      <x:c r="A385" t="n">
        <x:v>383</x:v>
      </x:c>
      <x:c r="B385" s="95" t="n">
        <x:v>100611729</x:v>
      </x:c>
      <x:c r="C385" s="95" t="n">
        <x:v>44955</x:v>
      </x:c>
      <x:c r="D385" s="96" t="n">
        <x:v>0.651948756144621</x:v>
      </x:c>
      <x:c r="E385" s="95" t="n">
        <x:f t="shared" si="5">B385/(1-D385)</x:f>
        <x:v>289071597.28986865</x:v>
      </x:c>
      <x:c r="F385"/>
      <x:c r="G385"/>
      <x:c r="H385"/>
      <x:c r="I385"/>
      <x:c r="J385"/>
      <x:c r="K385"/>
      <x:c r="L385"/>
    </x:row>
    <x:row r="386" customHeight="1">
      <x:c r="A386" t="n">
        <x:v>384</x:v>
      </x:c>
      <x:c r="B386" s="95" t="n">
        <x:v>101477811</x:v>
      </x:c>
      <x:c r="C386" s="95" t="n">
        <x:v>45116</x:v>
      </x:c>
      <x:c r="D386" s="96" t="n">
        <x:v>0.652759713602521</x:v>
      </x:c>
      <x:c r="E386" s="95" t="n">
        <x:f t="shared" si="5">B386/(1-D386)</x:f>
        <x:v>292240891.8988173</x:v>
      </x:c>
      <x:c r="F386"/>
      <x:c r="G386"/>
      <x:c r="H386"/>
      <x:c r="I386"/>
      <x:c r="J386"/>
      <x:c r="K386"/>
      <x:c r="L386"/>
    </x:row>
    <x:row r="387" customHeight="1">
      <x:c r="A387" t="n">
        <x:v>385</x:v>
      </x:c>
      <x:c r="B387" s="95" t="n">
        <x:v>102349962</x:v>
      </x:c>
      <x:c r="C387" s="95" t="n">
        <x:v>45278</x:v>
      </x:c>
      <x:c r="D387" s="96" t="n">
        <x:v>0.653568037799947</x:v>
      </x:c>
      <x:c r="E387" s="95" t="n">
        <x:f t="shared" ref="E387:E450" si="6">B387/(1-D387)</x:f>
        <x:v>295440297.56958824</x:v>
      </x:c>
      <x:c r="F387"/>
      <x:c r="G387"/>
      <x:c r="H387"/>
      <x:c r="I387"/>
      <x:c r="J387"/>
      <x:c r="K387"/>
      <x:c r="L387"/>
    </x:row>
    <x:row r="388" customHeight="1">
      <x:c r="A388" t="n">
        <x:v>386</x:v>
      </x:c>
      <x:c r="B388" s="95" t="n">
        <x:v>103228131</x:v>
      </x:c>
      <x:c r="C388" s="95" t="n">
        <x:v>45439</x:v>
      </x:c>
      <x:c r="D388" s="96" t="n">
        <x:v>0.654373739141741</x:v>
      </x:c>
      <x:c r="E388" s="95" t="n">
        <x:f t="shared" si="6">B388/(1-D388)</x:f>
        <x:v>298669813.8725453</x:v>
      </x:c>
      <x:c r="F388"/>
      <x:c r="G388"/>
      <x:c r="H388"/>
      <x:c r="I388"/>
      <x:c r="J388"/>
      <x:c r="K388"/>
      <x:c r="L388"/>
    </x:row>
    <x:row r="389" customHeight="1">
      <x:c r="A389" t="n">
        <x:v>387</x:v>
      </x:c>
      <x:c r="B389" s="95" t="n">
        <x:v>104112420</x:v>
      </x:c>
      <x:c r="C389" s="95" t="n">
        <x:v>45601</x:v>
      </x:c>
      <x:c r="D389" s="96" t="n">
        <x:v>0.655176827987471</x:v>
      </x:c>
      <x:c r="E389" s="95" t="n">
        <x:f t="shared" si="6">B389/(1-D389)</x:f>
        <x:v>301929883.0538486</x:v>
      </x:c>
      <x:c r="F389"/>
      <x:c r="G389"/>
      <x:c r="H389"/>
      <x:c r="I389"/>
      <x:c r="J389"/>
      <x:c r="K389"/>
      <x:c r="L389"/>
    </x:row>
    <x:row r="390" customHeight="1">
      <x:c r="A390" t="n">
        <x:v>388</x:v>
      </x:c>
      <x:c r="B390" s="95" t="n">
        <x:v>105002880</x:v>
      </x:c>
      <x:c r="C390" s="95" t="n">
        <x:v>45763</x:v>
      </x:c>
      <x:c r="D390" s="96" t="n">
        <x:v>0.655977314651882</x:v>
      </x:c>
      <x:c r="E390" s="95" t="n">
        <x:f t="shared" si="6">B390/(1-D390)</x:f>
        <x:v>305220802.2088635</x:v>
      </x:c>
      <x:c r="F390"/>
      <x:c r="G390"/>
      <x:c r="H390"/>
      <x:c r="I390"/>
      <x:c r="J390"/>
      <x:c r="K390"/>
      <x:c r="L390"/>
    </x:row>
    <x:row r="391" customHeight="1">
      <x:c r="A391" t="n">
        <x:v>389</x:v>
      </x:c>
      <x:c r="B391" s="95" t="n">
        <x:v>105899460</x:v>
      </x:c>
      <x:c r="C391" s="95" t="n">
        <x:v>45925</x:v>
      </x:c>
      <x:c r="D391" s="96" t="n">
        <x:v>0.656775209405075</x:v>
      </x:c>
      <x:c r="E391" s="95" t="n">
        <x:f t="shared" si="6">B391/(1-D391)</x:f>
        <x:v>308542572.9780191</x:v>
      </x:c>
      <x:c r="F391"/>
      <x:c r="G391"/>
      <x:c r="H391"/>
      <x:c r="I391"/>
      <x:c r="J391"/>
      <x:c r="K391"/>
      <x:c r="L391"/>
    </x:row>
    <x:row r="392" customHeight="1">
      <x:c r="A392" t="n">
        <x:v>390</x:v>
      </x:c>
      <x:c r="B392" s="95" t="n">
        <x:v>106802313</x:v>
      </x:c>
      <x:c r="C392" s="95" t="n">
        <x:v>46087</x:v>
      </x:c>
      <x:c r="D392" s="96" t="n">
        <x:v>0.657570522472497</x:v>
      </x:c>
      <x:c r="E392" s="95" t="n">
        <x:f t="shared" si="6">B392/(1-D392)</x:f>
        <x:v>311895791.71501654</x:v>
      </x:c>
      <x:c r="F392"/>
      <x:c r="G392"/>
      <x:c r="H392"/>
      <x:c r="I392"/>
      <x:c r="J392"/>
      <x:c r="K392"/>
      <x:c r="L392"/>
    </x:row>
    <x:row r="393" customHeight="1">
      <x:c r="A393" t="n">
        <x:v>391</x:v>
      </x:c>
      <x:c r="B393" s="95" t="n">
        <x:v>107711337</x:v>
      </x:c>
      <x:c r="C393" s="95" t="n">
        <x:v>46250</x:v>
      </x:c>
      <x:c r="D393" s="96" t="n">
        <x:v>0.65836326403532</x:v>
      </x:c>
      <x:c r="E393" s="95" t="n">
        <x:f t="shared" si="6">B393/(1-D393)</x:f>
        <x:v>315280312.8617166</x:v>
      </x:c>
      <x:c r="F393"/>
      <x:c r="G393"/>
      <x:c r="H393"/>
      <x:c r="I393"/>
      <x:c r="J393"/>
      <x:c r="K393"/>
      <x:c r="L393"/>
    </x:row>
    <x:row r="394" customHeight="1">
      <x:c r="A394" t="n">
        <x:v>392</x:v>
      </x:c>
      <x:c r="B394" s="95" t="n">
        <x:v>108626685</x:v>
      </x:c>
      <x:c r="C394" s="95" t="n">
        <x:v>46413</x:v>
      </x:c>
      <x:c r="D394" s="96" t="n">
        <x:v>0.659153444230558</x:v>
      </x:c>
      <x:c r="E394" s="95" t="n">
        <x:f t="shared" si="6">B394/(1-D394)</x:f>
        <x:v>318696736.5851221</x:v>
      </x:c>
      <x:c r="F394"/>
      <x:c r="G394"/>
      <x:c r="H394"/>
      <x:c r="I394"/>
      <x:c r="J394"/>
      <x:c r="K394"/>
      <x:c r="L394"/>
    </x:row>
    <x:row r="395" customHeight="1">
      <x:c r="A395" t="n">
        <x:v>393</x:v>
      </x:c>
      <x:c r="B395" s="95" t="n">
        <x:v>109548306</x:v>
      </x:c>
      <x:c r="C395" s="95" t="n">
        <x:v>46576</x:v>
      </x:c>
      <x:c r="D395" s="96" t="n">
        <x:v>0.65994107315131</x:v>
      </x:c>
      <x:c r="E395" s="95" t="n">
        <x:f t="shared" si="6">B395/(1-D395)</x:f>
        <x:v>322145067.6657101</x:v>
      </x:c>
      <x:c r="F395"/>
      <x:c r="G395"/>
      <x:c r="H395"/>
      <x:c r="I395"/>
      <x:c r="J395"/>
      <x:c r="K395"/>
      <x:c r="L395"/>
    </x:row>
    <x:row r="396" customHeight="1">
      <x:c r="A396" t="n">
        <x:v>394</x:v>
      </x:c>
      <x:c r="B396" s="95" t="n">
        <x:v>110476302</x:v>
      </x:c>
      <x:c r="C396" s="95" t="n">
        <x:v>46739</x:v>
      </x:c>
      <x:c r="D396" s="96" t="n">
        <x:v>0.660726160846754</x:v>
      </x:c>
      <x:c r="E396" s="95" t="n">
        <x:f t="shared" si="6">B396/(1-D396)</x:f>
        <x:v>325625760.81823725</x:v>
      </x:c>
      <x:c r="F396"/>
      <x:c r="G396"/>
      <x:c r="H396"/>
      <x:c r="I396"/>
      <x:c r="J396"/>
      <x:c r="K396"/>
      <x:c r="L396"/>
    </x:row>
    <x:row r="397" customHeight="1">
      <x:c r="A397" t="n">
        <x:v>395</x:v>
      </x:c>
      <x:c r="B397" s="95" t="n">
        <x:v>111410622</x:v>
      </x:c>
      <x:c r="C397" s="95" t="n">
        <x:v>46903</x:v>
      </x:c>
      <x:c r="D397" s="96" t="n">
        <x:v>0.661508717322517</x:v>
      </x:c>
      <x:c r="E397" s="95" t="n">
        <x:f t="shared" si="6">B397/(1-D397)</x:f>
        <x:v>329138821.8885178</x:v>
      </x:c>
      <x:c r="F397"/>
      <x:c r="G397"/>
      <x:c r="H397"/>
      <x:c r="I397"/>
      <x:c r="J397"/>
      <x:c r="K397"/>
      <x:c r="L397"/>
    </x:row>
    <x:row r="398" customHeight="1">
      <x:c r="A398" t="n">
        <x:v>396</x:v>
      </x:c>
      <x:c r="B398" s="95" t="n">
        <x:v>112351419</x:v>
      </x:c>
      <x:c r="C398" s="95" t="n">
        <x:v>47067</x:v>
      </x:c>
      <x:c r="D398" s="96" t="n">
        <x:v>0.662288752540857</x:v>
      </x:c>
      <x:c r="E398" s="95" t="n">
        <x:f t="shared" si="6">B398/(1-D398)</x:f>
        <x:v>332684859.75905347</x:v>
      </x:c>
      <x:c r="F398"/>
      <x:c r="G398"/>
      <x:c r="H398"/>
      <x:c r="I398"/>
      <x:c r="J398"/>
      <x:c r="K398"/>
      <x:c r="L398"/>
    </x:row>
    <x:row r="399" customHeight="1">
      <x:c r="A399" t="n">
        <x:v>397</x:v>
      </x:c>
      <x:c r="B399" s="95" t="n">
        <x:v>113298642</x:v>
      </x:c>
      <x:c r="C399" s="95" t="n">
        <x:v>47231</x:v>
      </x:c>
      <x:c r="D399" s="96" t="n">
        <x:v>0.663066276420655</x:v>
      </x:c>
      <x:c r="E399" s="95" t="n">
        <x:f t="shared" si="6">B399/(1-D399)</x:f>
        <x:v>336263882.3932361</x:v>
      </x:c>
      <x:c r="F399"/>
      <x:c r="G399"/>
      <x:c r="H399"/>
      <x:c r="I399"/>
      <x:c r="J399"/>
      <x:c r="K399"/>
      <x:c r="L399"/>
    </x:row>
    <x:row r="400" customHeight="1">
      <x:c r="A400" t="n">
        <x:v>398</x:v>
      </x:c>
      <x:c r="B400" s="95" t="n">
        <x:v>114252342</x:v>
      </x:c>
      <x:c r="C400" s="95" t="n">
        <x:v>47395</x:v>
      </x:c>
      <x:c r="D400" s="96" t="n">
        <x:v>0.663841298837843</x:v>
      </x:c>
      <x:c r="E400" s="95" t="n">
        <x:f t="shared" si="6">B400/(1-D400)</x:f>
        <x:v>339876200.1548986</x:v>
      </x:c>
      <x:c r="F400"/>
      <x:c r="G400"/>
      <x:c r="H400"/>
      <x:c r="I400"/>
      <x:c r="J400"/>
      <x:c r="K400"/>
      <x:c r="L400"/>
    </x:row>
    <x:row r="401" customHeight="1">
      <x:c r="A401" t="n">
        <x:v>399</x:v>
      </x:c>
      <x:c r="B401" s="95" t="n">
        <x:v>115212621</x:v>
      </x:c>
      <x:c r="C401" s="95" t="n">
        <x:v>47559</x:v>
      </x:c>
      <x:c r="D401" s="96" t="n">
        <x:v>0.664613829625337</x:v>
      </x:c>
      <x:c r="E401" s="95" t="n">
        <x:f t="shared" si="6">B401/(1-D401)</x:f>
        <x:v>343522277.23431444</x:v>
      </x:c>
      <x:c r="F401"/>
      <x:c r="G401"/>
      <x:c r="H401"/>
      <x:c r="I401"/>
      <x:c r="J401"/>
      <x:c r="K401"/>
      <x:c r="L401"/>
    </x:row>
    <x:row r="402" customHeight="1">
      <x:c r="A402" t="n">
        <x:v>400</x:v>
      </x:c>
      <x:c r="B402" s="95" t="n">
        <x:v>116179428</x:v>
      </x:c>
      <x:c r="C402" s="95" t="n">
        <x:v>47724</x:v>
      </x:c>
      <x:c r="D402" s="96" t="n">
        <x:v>0.665383878573402</x:v>
      </x:c>
      <x:c r="E402" s="95" t="n">
        <x:f t="shared" si="6">B402/(1-D402)</x:f>
        <x:v>347202123.7490953</x:v>
      </x:c>
      <x:c r="F402"/>
      <x:c r="G402"/>
      <x:c r="H402"/>
      <x:c r="I402"/>
      <x:c r="J402"/>
      <x:c r="K402"/>
      <x:c r="L402"/>
    </x:row>
    <x:row r="403" customHeight="1">
      <x:c r="A403" t="n">
        <x:v>401</x:v>
      </x:c>
      <x:c r="B403" s="95" t="n">
        <x:v>117152814</x:v>
      </x:c>
      <x:c r="C403" s="95" t="n">
        <x:v>47889</x:v>
      </x:c>
      <x:c r="D403" s="96" t="n">
        <x:v>0.666151455429767</x:v>
      </x:c>
      <x:c r="E403" s="95" t="n">
        <x:f t="shared" si="6">B403/(1-D403)</x:f>
        <x:v>350916054.3168224</x:v>
      </x:c>
      <x:c r="F403"/>
      <x:c r="G403"/>
      <x:c r="H403"/>
      <x:c r="I403"/>
      <x:c r="J403"/>
      <x:c r="K403"/>
      <x:c r="L403"/>
    </x:row>
    <x:row r="404" customHeight="1">
      <x:c r="A404" t="n">
        <x:v>402</x:v>
      </x:c>
      <x:c r="B404" s="95" t="n">
        <x:v>118132830</x:v>
      </x:c>
      <x:c r="C404" s="95" t="n">
        <x:v>48054</x:v>
      </x:c>
      <x:c r="D404" s="96" t="n">
        <x:v>0.666916569899869</x:v>
      </x:c>
      <x:c r="E404" s="95" t="n">
        <x:f t="shared" si="6">B404/(1-D404)</x:f>
        <x:v>354664385.3297869</x:v>
      </x:c>
      <x:c r="F404"/>
      <x:c r="G404"/>
      <x:c r="H404"/>
      <x:c r="I404"/>
      <x:c r="J404"/>
      <x:c r="K404"/>
      <x:c r="L404"/>
    </x:row>
    <x:row r="405" customHeight="1">
      <x:c r="A405" t="n">
        <x:v>403</x:v>
      </x:c>
      <x:c r="B405" s="95" t="n">
        <x:v>119119527</x:v>
      </x:c>
      <x:c r="C405" s="95" t="n">
        <x:v>48219</x:v>
      </x:c>
      <x:c r="D405" s="96" t="n">
        <x:v>0.667679231646903</x:v>
      </x:c>
      <x:c r="E405" s="95" t="n">
        <x:f t="shared" si="6">B405/(1-D405)</x:f>
        <x:v>358447434.9596872</x:v>
      </x:c>
      <x:c r="F405"/>
      <x:c r="G405"/>
      <x:c r="H405"/>
      <x:c r="I405"/>
      <x:c r="J405"/>
      <x:c r="K405"/>
      <x:c r="L405"/>
    </x:row>
    <x:row r="406" customHeight="1">
      <x:c r="A406" t="n">
        <x:v>404</x:v>
      </x:c>
      <x:c r="B406" s="95" t="n">
        <x:v>120112956</x:v>
      </x:c>
      <x:c r="C406" s="95" t="n">
        <x:v>48385</x:v>
      </x:c>
      <x:c r="D406" s="96" t="n">
        <x:v>0.668439450292003</x:v>
      </x:c>
      <x:c r="E406" s="95" t="n">
        <x:f t="shared" si="6">B406/(1-D406)</x:f>
        <x:v>362265523.16245896</x:v>
      </x:c>
      <x:c r="F406"/>
      <x:c r="G406"/>
      <x:c r="H406"/>
      <x:c r="I406"/>
      <x:c r="J406"/>
      <x:c r="K406"/>
      <x:c r="L406"/>
    </x:row>
    <x:row r="407" customHeight="1">
      <x:c r="A407" t="n">
        <x:v>405</x:v>
      </x:c>
      <x:c r="B407" s="95" t="n">
        <x:v>121113117</x:v>
      </x:c>
      <x:c r="C407" s="95" t="n">
        <x:v>48551</x:v>
      </x:c>
      <x:c r="D407" s="96" t="n">
        <x:v>0.66919723541454</x:v>
      </x:c>
      <x:c r="E407" s="95" t="n">
        <x:f t="shared" si="6">B407/(1-D407)</x:f>
        <x:v>366118817.5128189</x:v>
      </x:c>
      <x:c r="F407"/>
      <x:c r="G407"/>
      <x:c r="H407"/>
      <x:c r="I407"/>
      <x:c r="J407"/>
      <x:c r="K407"/>
      <x:c r="L407"/>
    </x:row>
    <x:row r="408" customHeight="1">
      <x:c r="A408" t="n">
        <x:v>406</x:v>
      </x:c>
      <x:c r="B408" s="95" t="n">
        <x:v>122120061</x:v>
      </x:c>
      <x:c r="C408" s="95" t="n">
        <x:v>48717</x:v>
      </x:c>
      <x:c r="D408" s="96" t="n">
        <x:v>0.669952596552238</x:v>
      </x:c>
      <x:c r="E408" s="95" t="n">
        <x:f t="shared" si="6">B408/(1-D408)</x:f>
        <x:v>370007640.49134076</x:v>
      </x:c>
      <x:c r="F408"/>
      <x:c r="G408"/>
      <x:c r="H408"/>
      <x:c r="I408"/>
      <x:c r="J408"/>
      <x:c r="K408"/>
      <x:c r="L408"/>
    </x:row>
    <x:row r="409" customHeight="1">
      <x:c r="A409" t="n">
        <x:v>407</x:v>
      </x:c>
      <x:c r="B409" s="95" t="n">
        <x:v>123133788</x:v>
      </x:c>
      <x:c r="C409" s="95" t="n">
        <x:v>48883</x:v>
      </x:c>
      <x:c r="D409" s="96" t="n">
        <x:v>0.670705543201412</x:v>
      </x:c>
      <x:c r="E409" s="95" t="n">
        <x:f t="shared" si="6">B409/(1-D409)</x:f>
        <x:v>373932161.4979824</x:v>
      </x:c>
      <x:c r="F409"/>
      <x:c r="G409"/>
      <x:c r="H409"/>
      <x:c r="I409"/>
      <x:c r="J409"/>
      <x:c r="K409"/>
      <x:c r="L409"/>
    </x:row>
    <x:row r="410" customHeight="1">
      <x:c r="A410" t="n">
        <x:v>408</x:v>
      </x:c>
      <x:c r="B410" s="95" t="n">
        <x:v>124154400</x:v>
      </x:c>
      <x:c r="C410" s="95" t="n">
        <x:v>49050</x:v>
      </x:c>
      <x:c r="D410" s="96" t="n">
        <x:v>0.671456084817017</x:v>
      </x:c>
      <x:c r="E410" s="95" t="n">
        <x:f t="shared" si="6">B410/(1-D410)</x:f>
        <x:v>377892860.77890694</x:v>
      </x:c>
      <x:c r="F410"/>
      <x:c r="G410"/>
      <x:c r="H410"/>
      <x:c r="I410"/>
      <x:c r="J410"/>
      <x:c r="K410"/>
      <x:c r="L410"/>
    </x:row>
    <x:row r="411" customHeight="1">
      <x:c r="A411" t="n">
        <x:v>409</x:v>
      </x:c>
      <x:c r="B411" s="95" t="n">
        <x:v>125181897</x:v>
      </x:c>
      <x:c r="C411" s="95" t="n">
        <x:v>49216</x:v>
      </x:c>
      <x:c r="D411" s="96" t="n">
        <x:v>0.672204230812831</x:v>
      </x:c>
      <x:c r="E411" s="95" t="n">
        <x:f t="shared" si="6">B411/(1-D411)</x:f>
        <x:v>381889910.6306709</x:v>
      </x:c>
      <x:c r="F411"/>
      <x:c r="G411"/>
      <x:c r="H411"/>
      <x:c r="I411"/>
      <x:c r="J411"/>
      <x:c r="K411"/>
      <x:c r="L411"/>
    </x:row>
    <x:row r="412" customHeight="1">
      <x:c r="A412" t="n">
        <x:v>410</x:v>
      </x:c>
      <x:c r="B412" s="95" t="n">
        <x:v>126216330</x:v>
      </x:c>
      <x:c r="C412" s="95" t="n">
        <x:v>49383</x:v>
      </x:c>
      <x:c r="D412" s="96" t="n">
        <x:v>0.672949990561746</x:v>
      </x:c>
      <x:c r="E412" s="95" t="n">
        <x:f t="shared" si="6">B412/(1-D412)</x:f>
        <x:v>385923639.6806441</x:v>
      </x:c>
      <x:c r="F412"/>
      <x:c r="G412"/>
      <x:c r="H412"/>
      <x:c r="I412"/>
      <x:c r="J412"/>
      <x:c r="K412"/>
      <x:c r="L412"/>
    </x:row>
    <x:row r="413" customHeight="1">
      <x:c r="A413" t="n">
        <x:v>411</x:v>
      </x:c>
      <x:c r="B413" s="95" t="n">
        <x:v>127257750</x:v>
      </x:c>
      <x:c r="C413" s="95" t="n">
        <x:v>49550</x:v>
      </x:c>
      <x:c r="D413" s="96" t="n">
        <x:v>0.673693373395941</x:v>
      </x:c>
      <x:c r="E413" s="95" t="n">
        <x:f t="shared" si="6">B413/(1-D413)</x:f>
        <x:v>389994378.36858517</x:v>
      </x:c>
      <x:c r="F413"/>
      <x:c r="G413"/>
      <x:c r="H413"/>
      <x:c r="I413"/>
      <x:c r="J413"/>
      <x:c r="K413"/>
      <x:c r="L413"/>
    </x:row>
    <x:row r="414" customHeight="1">
      <x:c r="A414" t="n">
        <x:v>412</x:v>
      </x:c>
      <x:c r="B414" s="95" t="n">
        <x:v>128306157</x:v>
      </x:c>
      <x:c r="C414" s="95" t="n">
        <x:v>49718</x:v>
      </x:c>
      <x:c r="D414" s="96" t="n">
        <x:v>0.67443438860694</x:v>
      </x:c>
      <x:c r="E414" s="95" t="n">
        <x:f t="shared" si="6">B414/(1-D414)</x:f>
        <x:v>394102302.3008845</x:v>
      </x:c>
      <x:c r="F414"/>
      <x:c r="G414"/>
      <x:c r="H414"/>
      <x:c r="I414"/>
      <x:c r="J414"/>
      <x:c r="K414"/>
      <x:c r="L414"/>
    </x:row>
    <x:row r="415" customHeight="1">
      <x:c r="A415" t="n">
        <x:v>413</x:v>
      </x:c>
      <x:c r="B415" s="95" t="n">
        <x:v>129361602</x:v>
      </x:c>
      <x:c r="C415" s="95" t="n">
        <x:v>49885</x:v>
      </x:c>
      <x:c r="D415" s="96" t="n">
        <x:v>0.67517304544578</x:v>
      </x:c>
      <x:c r="E415" s="95" t="n">
        <x:f t="shared" si="6">B415/(1-D415)</x:f>
        <x:v>398247744.48761773</x:v>
      </x:c>
      <x:c r="F415"/>
      <x:c r="G415"/>
      <x:c r="H415"/>
      <x:c r="I415"/>
      <x:c r="J415"/>
      <x:c r="K415"/>
      <x:c r="L415"/>
    </x:row>
    <x:row r="416" customHeight="1">
      <x:c r="A416" t="n">
        <x:v>414</x:v>
      </x:c>
      <x:c r="B416" s="95" t="n">
        <x:v>130424136</x:v>
      </x:c>
      <x:c r="C416" s="95" t="n">
        <x:v>50053</x:v>
      </x:c>
      <x:c r="D416" s="96" t="n">
        <x:v>0.67590935312331</x:v>
      </x:c>
      <x:c r="E416" s="95" t="n">
        <x:f t="shared" si="6">B416/(1-D416)</x:f>
        <x:v>402431039.7628469</x:v>
      </x:c>
      <x:c r="F416"/>
      <x:c r="G416"/>
      <x:c r="H416"/>
      <x:c r="I416"/>
      <x:c r="J416"/>
      <x:c r="K416"/>
      <x:c r="L416"/>
    </x:row>
    <x:row r="417" customHeight="1">
      <x:c r="A417" t="n">
        <x:v>415</x:v>
      </x:c>
      <x:c r="B417" s="95" t="n">
        <x:v>131493810</x:v>
      </x:c>
      <x:c r="C417" s="95" t="n">
        <x:v>50221</x:v>
      </x:c>
      <x:c r="D417" s="96" t="n">
        <x:v>0.676643320810355</x:v>
      </x:c>
      <x:c r="E417" s="95" t="n">
        <x:f t="shared" si="6">B417/(1-D417)</x:f>
        <x:v>406652524.78944594</x:v>
      </x:c>
      <x:c r="F417"/>
      <x:c r="G417"/>
      <x:c r="H417"/>
      <x:c r="I417"/>
      <x:c r="J417"/>
      <x:c r="K417"/>
      <x:c r="L417"/>
    </x:row>
    <x:row r="418" customHeight="1">
      <x:c r="A418" t="n">
        <x:v>416</x:v>
      </x:c>
      <x:c r="B418" s="95" t="n">
        <x:v>132570675</x:v>
      </x:c>
      <x:c r="C418" s="95" t="n">
        <x:v>50390</x:v>
      </x:c>
      <x:c r="D418" s="96" t="n">
        <x:v>0.677374957637717</x:v>
      </x:c>
      <x:c r="E418" s="95" t="n">
        <x:f t="shared" si="6">B418/(1-D418)</x:f>
        <x:v>410912538.0637173</x:v>
      </x:c>
      <x:c r="F418"/>
      <x:c r="G418"/>
      <x:c r="H418"/>
      <x:c r="I418"/>
      <x:c r="J418"/>
      <x:c r="K418"/>
      <x:c r="L418"/>
    </x:row>
    <x:row r="419" customHeight="1">
      <x:c r="A419" t="n">
        <x:v>417</x:v>
      </x:c>
      <x:c r="B419" s="95" t="n">
        <x:v>133654680</x:v>
      </x:c>
      <x:c r="C419" s="95" t="n">
        <x:v>50558</x:v>
      </x:c>
      <x:c r="D419" s="96" t="n">
        <x:v>0.678104272696578</x:v>
      </x:c>
      <x:c r="E419" s="95" t="n">
        <x:f t="shared" si="6">B419/(1-D419)</x:f>
        <x:v>415211103.04771405</x:v>
      </x:c>
      <x:c r="F419"/>
      <x:c r="G419"/>
      <x:c r="H419"/>
      <x:c r="I419"/>
      <x:c r="J419"/>
      <x:c r="K419"/>
      <x:c r="L419"/>
    </x:row>
    <x:row r="420" customHeight="1">
      <x:c r="A420" t="n">
        <x:v>418</x:v>
      </x:c>
      <x:c r="B420" s="95" t="n">
        <x:v>134745978</x:v>
      </x:c>
      <x:c r="C420" s="95" t="n">
        <x:v>50727</x:v>
      </x:c>
      <x:c r="D420" s="96" t="n">
        <x:v>0.678831275038496</x:v>
      </x:c>
      <x:c r="E420" s="95" t="n">
        <x:f t="shared" si="6">B420/(1-D420)</x:f>
        <x:v>419548877.357691</x:v>
      </x:c>
      <x:c r="F420"/>
      <x:c r="G420"/>
      <x:c r="H420"/>
      <x:c r="I420"/>
      <x:c r="J420"/>
      <x:c r="K420"/>
      <x:c r="L420"/>
    </x:row>
    <x:row r="421" customHeight="1">
      <x:c r="A421" t="n">
        <x:v>419</x:v>
      </x:c>
      <x:c r="B421" s="95" t="n">
        <x:v>135844518</x:v>
      </x:c>
      <x:c r="C421" s="95" t="n">
        <x:v>50896</x:v>
      </x:c>
      <x:c r="D421" s="96" t="n">
        <x:v>0.679555973675577</x:v>
      </x:c>
      <x:c r="E421" s="95" t="n">
        <x:f t="shared" si="6">B421/(1-D421)</x:f>
        <x:v>423925886.7084284</x:v>
      </x:c>
      <x:c r="F421"/>
      <x:c r="G421"/>
      <x:c r="H421"/>
      <x:c r="I421"/>
      <x:c r="J421"/>
      <x:c r="K421"/>
      <x:c r="L421"/>
    </x:row>
    <x:row r="422" customHeight="1">
      <x:c r="A422" t="n">
        <x:v>420</x:v>
      </x:c>
      <x:c r="B422" s="95" t="n">
        <x:v>136950402</x:v>
      </x:c>
      <x:c r="C422" s="95" t="n">
        <x:v>51065</x:v>
      </x:c>
      <x:c r="D422" s="96" t="n">
        <x:v>0.680278377580817</x:v>
      </x:c>
      <x:c r="E422" s="95" t="n">
        <x:f t="shared" si="6">B422/(1-D422)</x:f>
        <x:v>428342634.3322068</x:v>
      </x:c>
      <x:c r="F422"/>
      <x:c r="G422"/>
      <x:c r="H422"/>
      <x:c r="I422"/>
      <x:c r="J422"/>
      <x:c r="K422"/>
      <x:c r="L422"/>
    </x:row>
    <x:row r="423" customHeight="1">
      <x:c r="A423" t="n">
        <x:v>421</x:v>
      </x:c>
      <x:c r="B423" s="95" t="n">
        <x:v>138063630</x:v>
      </x:c>
      <x:c r="C423" s="95" t="n">
        <x:v>51235</x:v>
      </x:c>
      <x:c r="D423" s="96" t="n">
        <x:v>0.680998495688039</x:v>
      </x:c>
      <x:c r="E423" s="95" t="n">
        <x:f t="shared" si="6">B423/(1-D423)</x:f>
        <x:v>432799307.0057235</x:v>
      </x:c>
      <x:c r="F423"/>
      <x:c r="G423"/>
      <x:c r="H423"/>
      <x:c r="I423"/>
      <x:c r="J423"/>
      <x:c r="K423"/>
      <x:c r="L423"/>
    </x:row>
    <x:row r="424" customHeight="1">
      <x:c r="A424" t="n">
        <x:v>422</x:v>
      </x:c>
      <x:c r="B424" s="95" t="n">
        <x:v>139184304</x:v>
      </x:c>
      <x:c r="C424" s="95" t="n">
        <x:v>51404</x:v>
      </x:c>
      <x:c r="D424" s="96" t="n">
        <x:v>0.681716336892241</x:v>
      </x:c>
      <x:c r="E424" s="95" t="n">
        <x:f t="shared" si="6">B424/(1-D424)</x:f>
        <x:v>437296412.3919781</x:v>
      </x:c>
      <x:c r="F424"/>
      <x:c r="G424"/>
      <x:c r="H424"/>
      <x:c r="I424"/>
      <x:c r="J424"/>
      <x:c r="K424"/>
      <x:c r="L424"/>
    </x:row>
    <x:row r="425" customHeight="1">
      <x:c r="A425" t="n">
        <x:v>423</x:v>
      </x:c>
      <x:c r="B425" s="95" t="n">
        <x:v>140312373</x:v>
      </x:c>
      <x:c r="C425" s="95" t="n">
        <x:v>51574</x:v>
      </x:c>
      <x:c r="D425" s="96" t="n">
        <x:v>0.682431910049811</x:v>
      </x:c>
      <x:c r="E425" s="95" t="n">
        <x:f t="shared" si="6">B425/(1-D425)</x:f>
        <x:v>441833979.67348725</x:v>
      </x:c>
      <x:c r="F425"/>
      <x:c r="G425"/>
      <x:c r="H425"/>
      <x:c r="I425"/>
      <x:c r="J425"/>
      <x:c r="K425"/>
      <x:c r="L425"/>
    </x:row>
    <x:row r="426" customHeight="1">
      <x:c r="A426" t="n">
        <x:v>424</x:v>
      </x:c>
      <x:c r="B426" s="95" t="n">
        <x:v>141447939</x:v>
      </x:c>
      <x:c r="C426" s="95" t="n">
        <x:v>51744</x:v>
      </x:c>
      <x:c r="D426" s="96" t="n">
        <x:v>0.683145223978362</x:v>
      </x:c>
      <x:c r="E426" s="95" t="n">
        <x:f t="shared" si="6">B426/(1-D426)</x:f>
        <x:v>446412519.88052887</x:v>
      </x:c>
      <x:c r="F426"/>
      <x:c r="G426"/>
      <x:c r="H426"/>
      <x:c r="I426"/>
      <x:c r="J426"/>
      <x:c r="K426"/>
      <x:c r="L426"/>
    </x:row>
    <x:row r="427" customHeight="1">
      <x:c r="A427" t="n">
        <x:v>425</x:v>
      </x:c>
      <x:c r="B427" s="95" t="n">
        <x:v>142591002</x:v>
      </x:c>
      <x:c r="C427" s="95" t="n">
        <x:v>51915</x:v>
      </x:c>
      <x:c r="D427" s="96" t="n">
        <x:v>0.683856287457232</x:v>
      </x:c>
      <x:c r="E427" s="95" t="n">
        <x:f t="shared" si="6">B427/(1-D427)</x:f>
        <x:v>451032224.7218827</x:v>
      </x:c>
      <x:c r="F427"/>
      <x:c r="G427"/>
      <x:c r="H427"/>
      <x:c r="I427"/>
      <x:c r="J427"/>
      <x:c r="K427"/>
      <x:c r="L427"/>
    </x:row>
    <x:row r="428" customHeight="1">
      <x:c r="A428" t="n">
        <x:v>426</x:v>
      </x:c>
      <x:c r="B428" s="95" t="n">
        <x:v>143741664</x:v>
      </x:c>
      <x:c r="C428" s="95" t="n">
        <x:v>52085</x:v>
      </x:c>
      <x:c r="D428" s="96" t="n">
        <x:v>0.684565109227604</x:v>
      </x:c>
      <x:c r="E428" s="95" t="n">
        <x:f t="shared" si="6">B428/(1-D428)</x:f>
        <x:v>455693609.69556695</x:v>
      </x:c>
      <x:c r="F428"/>
      <x:c r="G428"/>
      <x:c r="H428"/>
      <x:c r="I428"/>
      <x:c r="J428"/>
      <x:c r="K428"/>
      <x:c r="L428"/>
    </x:row>
    <x:row r="429" customHeight="1">
      <x:c r="A429" t="n">
        <x:v>427</x:v>
      </x:c>
      <x:c r="B429" s="95" t="n">
        <x:v>144899925</x:v>
      </x:c>
      <x:c r="C429" s="95" t="n">
        <x:v>52256</x:v>
      </x:c>
      <x:c r="D429" s="96" t="n">
        <x:v>0.685271697992549</x:v>
      </x:c>
      <x:c r="E429" s="95" t="n">
        <x:f t="shared" si="6">B429/(1-D429)</x:f>
        <x:v>460396869.54041255</x:v>
      </x:c>
      <x:c r="F429"/>
      <x:c r="G429"/>
      <x:c r="H429"/>
      <x:c r="I429"/>
      <x:c r="J429"/>
      <x:c r="K429"/>
      <x:c r="L429"/>
    </x:row>
    <x:row r="430" customHeight="1">
      <x:c r="A430" t="n">
        <x:v>428</x:v>
      </x:c>
      <x:c r="B430" s="95" t="n">
        <x:v>146065785</x:v>
      </x:c>
      <x:c r="C430" s="95" t="n">
        <x:v>52427</x:v>
      </x:c>
      <x:c r="D430" s="96" t="n">
        <x:v>0.685976062417255</x:v>
      </x:c>
      <x:c r="E430" s="95" t="n">
        <x:f t="shared" si="6">B430/(1-D430)</x:f>
        <x:v>465142199.42711145</x:v>
      </x:c>
      <x:c r="F430"/>
      <x:c r="G430"/>
      <x:c r="H430"/>
      <x:c r="I430"/>
      <x:c r="J430"/>
      <x:c r="K430"/>
      <x:c r="L430"/>
    </x:row>
    <x:row r="431" customHeight="1">
      <x:c r="A431" t="n">
        <x:v>429</x:v>
      </x:c>
      <x:c r="B431" s="95" t="n">
        <x:v>147239397</x:v>
      </x:c>
      <x:c r="C431" s="95" t="n">
        <x:v>52599</x:v>
      </x:c>
      <x:c r="D431" s="96" t="n">
        <x:v>0.686678211129132</x:v>
      </x:c>
      <x:c r="E431" s="95" t="n">
        <x:f t="shared" si="6">B431/(1-D431)</x:f>
        <x:v>469930283.273989</x:v>
      </x:c>
      <x:c r="F431"/>
      <x:c r="G431"/>
      <x:c r="H431"/>
      <x:c r="I431"/>
      <x:c r="J431"/>
      <x:c r="K431"/>
      <x:c r="L431"/>
    </x:row>
    <x:row r="432" customHeight="1">
      <x:c r="A432" t="n">
        <x:v>430</x:v>
      </x:c>
      <x:c r="B432" s="95" t="n">
        <x:v>148420659</x:v>
      </x:c>
      <x:c r="C432" s="95" t="n">
        <x:v>52770</x:v>
      </x:c>
      <x:c r="D432" s="96" t="n">
        <x:v>0.687378152718093</x:v>
      </x:c>
      <x:c r="E432" s="95" t="n">
        <x:f t="shared" si="6">B432/(1-D432)</x:f>
        <x:v>474760994.12259424</x:v>
      </x:c>
      <x:c r="F432"/>
      <x:c r="G432"/>
      <x:c r="H432"/>
      <x:c r="I432"/>
      <x:c r="J432"/>
      <x:c r="K432"/>
      <x:c r="L432"/>
    </x:row>
    <x:row r="433" customHeight="1">
      <x:c r="A433" t="n">
        <x:v>431</x:v>
      </x:c>
      <x:c r="B433" s="95" t="n">
        <x:v>149609775</x:v>
      </x:c>
      <x:c r="C433" s="95" t="n">
        <x:v>52942</x:v>
      </x:c>
      <x:c r="D433" s="96" t="n">
        <x:v>0.688075895736767</x:v>
      </x:c>
      <x:c r="E433" s="95" t="n">
        <x:f t="shared" si="6">B433/(1-D433)</x:f>
        <x:v>479635183.54370004</x:v>
      </x:c>
      <x:c r="F433"/>
      <x:c r="G433"/>
      <x:c r="H433"/>
      <x:c r="I433"/>
      <x:c r="J433"/>
      <x:c r="K433"/>
      <x:c r="L433"/>
    </x:row>
    <x:row r="434" customHeight="1">
      <x:c r="A434" t="n">
        <x:v>432</x:v>
      </x:c>
      <x:c r="B434" s="95" t="n">
        <x:v>150806643</x:v>
      </x:c>
      <x:c r="C434" s="95" t="n">
        <x:v>53114</x:v>
      </x:c>
      <x:c r="D434" s="96" t="n">
        <x:v>0.68877144870028</x:v>
      </x:c>
      <x:c r="E434" s="95" t="n">
        <x:f t="shared" si="6">B434/(1-D434)</x:f>
        <x:v>484552726.1885746</x:v>
      </x:c>
      <x:c r="F434"/>
      <x:c r="G434"/>
      <x:c r="H434"/>
      <x:c r="I434"/>
      <x:c r="J434"/>
      <x:c r="K434"/>
      <x:c r="L434"/>
    </x:row>
    <x:row r="435" customHeight="1">
      <x:c r="A435" t="n">
        <x:v>433</x:v>
      </x:c>
      <x:c r="B435" s="95" t="n">
        <x:v>152011365</x:v>
      </x:c>
      <x:c r="C435" s="95" t="n">
        <x:v>53286</x:v>
      </x:c>
      <x:c r="D435" s="96" t="n">
        <x:v>0.689464820087025</x:v>
      </x:c>
      <x:c r="E435" s="95" t="n">
        <x:f t="shared" si="6">B435/(1-D435)</x:f>
        <x:v>489514151.1586545</x:v>
      </x:c>
      <x:c r="F435"/>
      <x:c r="G435"/>
      <x:c r="H435"/>
      <x:c r="I435"/>
      <x:c r="J435"/>
      <x:c r="K435"/>
      <x:c r="L435"/>
    </x:row>
    <x:row r="436" customHeight="1">
      <x:c r="A436" t="n">
        <x:v>434</x:v>
      </x:c>
      <x:c r="B436" s="95" t="n">
        <x:v>153223992</x:v>
      </x:c>
      <x:c r="C436" s="95" t="n">
        <x:v>53458</x:v>
      </x:c>
      <x:c r="D436" s="96" t="n">
        <x:v>0.690156018338215</x:v>
      </x:c>
      <x:c r="E436" s="95" t="n">
        <x:f t="shared" si="6">B436/(1-D436)</x:f>
        <x:v>494519826.32747746</x:v>
      </x:c>
      <x:c r="F436"/>
      <x:c r="G436"/>
      <x:c r="H436"/>
      <x:c r="I436"/>
      <x:c r="J436"/>
      <x:c r="K436"/>
      <x:c r="L436"/>
    </x:row>
    <x:row r="437" customHeight="1">
      <x:c r="A437" t="n">
        <x:v>435</x:v>
      </x:c>
      <x:c r="B437" s="95" t="n">
        <x:v>154444575</x:v>
      </x:c>
      <x:c r="C437" s="95" t="n">
        <x:v>53631</x:v>
      </x:c>
      <x:c r="D437" s="96" t="n">
        <x:v>0.690845051858544</x:v>
      </x:c>
      <x:c r="E437" s="95" t="n">
        <x:f t="shared" si="6">B437/(1-D437)</x:f>
        <x:v>499570121.4826838</x:v>
      </x:c>
      <x:c r="F437"/>
      <x:c r="G437"/>
      <x:c r="H437"/>
      <x:c r="I437"/>
      <x:c r="J437"/>
      <x:c r="K437"/>
      <x:c r="L437"/>
    </x:row>
    <x:row r="438" customHeight="1">
      <x:c r="A438" t="n">
        <x:v>436</x:v>
      </x:c>
      <x:c r="B438" s="95" t="n">
        <x:v>155673114</x:v>
      </x:c>
      <x:c r="C438" s="95" t="n">
        <x:v>53804</x:v>
      </x:c>
      <x:c r="D438" s="96" t="n">
        <x:v>0.69153192901585</x:v>
      </x:c>
      <x:c r="E438" s="95" t="n">
        <x:f t="shared" si="6">B438/(1-D438)</x:f>
        <x:v>504665242.9968966</x:v>
      </x:c>
      <x:c r="F438"/>
      <x:c r="G438"/>
      <x:c r="H438"/>
      <x:c r="I438"/>
      <x:c r="J438"/>
      <x:c r="K438"/>
      <x:c r="L438"/>
    </x:row>
    <x:row r="439" customHeight="1">
      <x:c r="A439" t="n">
        <x:v>437</x:v>
      </x:c>
      <x:c r="B439" s="95" t="n">
        <x:v>156909711</x:v>
      </x:c>
      <x:c r="C439" s="95" t="n">
        <x:v>53977</x:v>
      </x:c>
      <x:c r="D439" s="96" t="n">
        <x:v>0.692216658141884</x:v>
      </x:c>
      <x:c r="E439" s="95" t="n">
        <x:f t="shared" si="6">B439/(1-D439)</x:f>
        <x:v>509805729.0973639</x:v>
      </x:c>
      <x:c r="F439"/>
      <x:c r="G439"/>
      <x:c r="H439"/>
      <x:c r="I439"/>
      <x:c r="J439"/>
      <x:c r="K439"/>
      <x:c r="L439"/>
    </x:row>
    <x:row r="440" customHeight="1">
      <x:c r="A440" t="n">
        <x:v>438</x:v>
      </x:c>
      <x:c r="B440" s="95" t="n">
        <x:v>158154315</x:v>
      </x:c>
      <x:c r="C440" s="95" t="n">
        <x:v>54150</x:v>
      </x:c>
      <x:c r="D440" s="96" t="n">
        <x:v>0.692899247531864</x:v>
      </x:c>
      <x:c r="E440" s="95" t="n">
        <x:f t="shared" si="6">B440/(1-D440)</x:f>
        <x:v>514991623.20160615</x:v>
      </x:c>
      <x:c r="F440"/>
      <x:c r="G440"/>
      <x:c r="H440"/>
      <x:c r="I440"/>
      <x:c r="J440"/>
      <x:c r="K440"/>
      <x:c r="L440"/>
    </x:row>
    <x:row r="441" customHeight="1">
      <x:c r="A441" t="n">
        <x:v>439</x:v>
      </x:c>
      <x:c r="B441" s="95" t="n">
        <x:v>159407079</x:v>
      </x:c>
      <x:c r="C441" s="95" t="n">
        <x:v>54324</x:v>
      </x:c>
      <x:c r="D441" s="96" t="n">
        <x:v>0.693579705445073</x:v>
      </x:c>
      <x:c r="E441" s="95" t="n">
        <x:f t="shared" si="6">B441/(1-D441)</x:f>
        <x:v>520223633.46245545</x:v>
      </x:c>
      <x:c r="F441"/>
      <x:c r="G441"/>
      <x:c r="H441"/>
      <x:c r="I441"/>
      <x:c r="J441"/>
      <x:c r="K441"/>
      <x:c r="L441"/>
    </x:row>
    <x:row r="442" customHeight="1">
      <x:c r="A442" t="n">
        <x:v>440</x:v>
      </x:c>
      <x:c r="B442" s="95" t="n">
        <x:v>160668003</x:v>
      </x:c>
      <x:c r="C442" s="95" t="n">
        <x:v>54498</x:v>
      </x:c>
      <x:c r="D442" s="96" t="n">
        <x:v>0.694258040104747</x:v>
      </x:c>
      <x:c r="E442" s="95" t="n">
        <x:f t="shared" si="6">B442/(1-D442)</x:f>
        <x:v>525501972.496823</x:v>
      </x:c>
      <x:c r="F442"/>
      <x:c r="G442"/>
      <x:c r="H442"/>
      <x:c r="I442"/>
      <x:c r="J442"/>
      <x:c r="K442"/>
      <x:c r="L442"/>
    </x:row>
    <x:row r="443" customHeight="1">
      <x:c r="A443" t="n">
        <x:v>441</x:v>
      </x:c>
      <x:c r="B443" s="95" t="n">
        <x:v>161937087</x:v>
      </x:c>
      <x:c r="C443" s="95" t="n">
        <x:v>54672</x:v>
      </x:c>
      <x:c r="D443" s="96" t="n">
        <x:v>0.694934259698504</x:v>
      </x:c>
      <x:c r="E443" s="95" t="n">
        <x:f t="shared" si="6">B443/(1-D443)</x:f>
        <x:v>530826853.38562703</x:v>
      </x:c>
      <x:c r="F443"/>
      <x:c r="G443"/>
      <x:c r="H443"/>
      <x:c r="I443"/>
      <x:c r="J443"/>
      <x:c r="K443"/>
      <x:c r="L443"/>
    </x:row>
    <x:row r="444" customHeight="1">
      <x:c r="A444" t="n">
        <x:v>442</x:v>
      </x:c>
      <x:c r="B444" s="95" t="n">
        <x:v>163214382</x:v>
      </x:c>
      <x:c r="C444" s="95" t="n">
        <x:v>54846</x:v>
      </x:c>
      <x:c r="D444" s="96" t="n">
        <x:v>0.695608372378122</x:v>
      </x:c>
      <x:c r="E444" s="95" t="n">
        <x:f t="shared" si="6">B444/(1-D444)</x:f>
        <x:v>536198657.2204559</x:v>
      </x:c>
      <x:c r="F444"/>
      <x:c r="G444"/>
      <x:c r="H444"/>
      <x:c r="I444"/>
      <x:c r="J444"/>
      <x:c r="K444"/>
      <x:c r="L444"/>
    </x:row>
    <x:row r="445" customHeight="1">
      <x:c r="A445" t="n">
        <x:v>443</x:v>
      </x:c>
      <x:c r="B445" s="95" t="n">
        <x:v>164500041</x:v>
      </x:c>
      <x:c r="C445" s="95" t="n">
        <x:v>55020</x:v>
      </x:c>
      <x:c r="D445" s="96" t="n">
        <x:v>0.696280386260077</x:v>
      </x:c>
      <x:c r="E445" s="95" t="n">
        <x:f t="shared" si="6">B445/(1-D445)</x:f>
        <x:v>541618102.8758401</x:v>
      </x:c>
      <x:c r="F445"/>
      <x:c r="G445"/>
      <x:c r="H445"/>
      <x:c r="I445"/>
      <x:c r="J445"/>
      <x:c r="K445"/>
      <x:c r="L445"/>
    </x:row>
    <x:row r="446" customHeight="1">
      <x:c r="A446" t="n">
        <x:v>444</x:v>
      </x:c>
      <x:c r="B446" s="95" t="n">
        <x:v>165793962</x:v>
      </x:c>
      <x:c r="C446" s="95" t="n">
        <x:v>55195</x:v>
      </x:c>
      <x:c r="D446" s="96" t="n">
        <x:v>0.696950309425432</x:v>
      </x:c>
      <x:c r="E446" s="95" t="n">
        <x:f t="shared" si="6">B446/(1-D446)</x:f>
        <x:v>547085072.7009898</x:v>
      </x:c>
      <x:c r="F446"/>
      <x:c r="G446"/>
      <x:c r="H446"/>
      <x:c r="I446"/>
      <x:c r="J446"/>
      <x:c r="K446"/>
      <x:c r="L446"/>
    </x:row>
    <x:row r="447" customHeight="1">
      <x:c r="A447" t="n">
        <x:v>445</x:v>
      </x:c>
      <x:c r="B447" s="95" t="n">
        <x:v>167096247</x:v>
      </x:c>
      <x:c r="C447" s="95" t="n">
        <x:v>55370</x:v>
      </x:c>
      <x:c r="D447" s="96" t="n">
        <x:v>0.697618149920254</x:v>
      </x:c>
      <x:c r="E447" s="95" t="n">
        <x:f t="shared" si="6">B447/(1-D447)</x:f>
        <x:v>552600121.1909125</x:v>
      </x:c>
      <x:c r="F447"/>
      <x:c r="G447"/>
      <x:c r="H447"/>
      <x:c r="I447"/>
      <x:c r="J447"/>
      <x:c r="K447"/>
      <x:c r="L447"/>
    </x:row>
    <x:row r="448" customHeight="1">
      <x:c r="A448" t="n">
        <x:v>446</x:v>
      </x:c>
      <x:c r="B448" s="95" t="n">
        <x:v>168406998</x:v>
      </x:c>
      <x:c r="C448" s="95" t="n">
        <x:v>55545</x:v>
      </x:c>
      <x:c r="D448" s="96" t="n">
        <x:v>0.698283915755405</x:v>
      </x:c>
      <x:c r="E448" s="95" t="n">
        <x:f t="shared" si="6">B448/(1-D448)</x:f>
        <x:v>558163806.287092</x:v>
      </x:c>
      <x:c r="F448"/>
      <x:c r="G448"/>
      <x:c r="H448"/>
      <x:c r="I448"/>
      <x:c r="J448"/>
      <x:c r="K448"/>
      <x:c r="L448"/>
    </x:row>
    <x:row r="449" customHeight="1">
      <x:c r="A449" t="n">
        <x:v>447</x:v>
      </x:c>
      <x:c r="B449" s="95" t="n">
        <x:v>169726164</x:v>
      </x:c>
      <x:c r="C449" s="95" t="n">
        <x:v>55720</x:v>
      </x:c>
      <x:c r="D449" s="96" t="n">
        <x:v>0.698947614907066</x:v>
      </x:c>
      <x:c r="E449" s="95" t="n">
        <x:f t="shared" si="6">B449/(1-D449)</x:f>
        <x:v>563776181.170616</x:v>
      </x:c>
      <x:c r="F449"/>
      <x:c r="G449"/>
      <x:c r="H449"/>
      <x:c r="I449"/>
      <x:c r="J449"/>
      <x:c r="K449"/>
      <x:c r="L449"/>
    </x:row>
    <x:row r="450" customHeight="1">
      <x:c r="A450" t="n">
        <x:v>448</x:v>
      </x:c>
      <x:c r="B450" s="95" t="n">
        <x:v>171053898</x:v>
      </x:c>
      <x:c r="C450" s="95" t="n">
        <x:v>55896</x:v>
      </x:c>
      <x:c r="D450" s="96" t="n">
        <x:v>0.699609255316679</x:v>
      </x:c>
      <x:c r="E450" s="95" t="n">
        <x:f t="shared" si="6">B450/(1-D450)</x:f>
        <x:v>569437977.1265224</x:v>
      </x:c>
      <x:c r="F450"/>
      <x:c r="G450"/>
      <x:c r="H450"/>
      <x:c r="I450"/>
      <x:c r="J450"/>
      <x:c r="K450"/>
      <x:c r="L450"/>
    </x:row>
    <x:row r="451" customHeight="1">
      <x:c r="A451" t="n">
        <x:v>449</x:v>
      </x:c>
      <x:c r="B451" s="95" t="n">
        <x:v>172390149</x:v>
      </x:c>
      <x:c r="C451" s="95" t="n">
        <x:v>56072</x:v>
      </x:c>
      <x:c r="D451" s="96" t="n">
        <x:v>0.700268844891103</x:v>
      </x:c>
      <x:c r="E451" s="95" t="n">
        <x:f t="shared" ref="E451:E502" si="7">B451/(1-D451)</x:f>
        <x:v>575149249.7914271</x:v>
      </x:c>
      <x:c r="F451"/>
      <x:c r="G451"/>
      <x:c r="H451"/>
      <x:c r="I451"/>
      <x:c r="J451"/>
      <x:c r="K451"/>
      <x:c r="L451"/>
    </x:row>
    <x:row r="452" customHeight="1">
      <x:c r="A452" t="n">
        <x:v>450</x:v>
      </x:c>
      <x:c r="B452" s="95" t="n">
        <x:v>173734968</x:v>
      </x:c>
      <x:c r="C452" s="95" t="n">
        <x:v>56248</x:v>
      </x:c>
      <x:c r="D452" s="96" t="n">
        <x:v>0.700926391502975</x:v>
      </x:c>
      <x:c r="E452" s="95" t="n">
        <x:f t="shared" si="7">B452/(1-D452)</x:f>
        <x:v>580910394.845917</x:v>
      </x:c>
      <x:c r="F452"/>
      <x:c r="G452"/>
      <x:c r="H452"/>
      <x:c r="I452"/>
      <x:c r="J452"/>
      <x:c r="K452"/>
      <x:c r="L452"/>
    </x:row>
    <x:row r="453" customHeight="1">
      <x:c r="A453" t="n">
        <x:v>451</x:v>
      </x:c>
      <x:c r="B453" s="95" t="n">
        <x:v>175088457</x:v>
      </x:c>
      <x:c r="C453" s="95" t="n">
        <x:v>56424</x:v>
      </x:c>
      <x:c r="D453" s="96" t="n">
        <x:v>0.701581902990502</x:v>
      </x:c>
      <x:c r="E453" s="95" t="n">
        <x:f t="shared" si="7">B453/(1-D453)</x:f>
        <x:v>586721980.8536857</x:v>
      </x:c>
      <x:c r="F453"/>
      <x:c r="G453"/>
      <x:c r="H453"/>
      <x:c r="I453"/>
      <x:c r="J453"/>
      <x:c r="K453"/>
      <x:c r="L453"/>
    </x:row>
    <x:row r="454" customHeight="1">
      <x:c r="A454" t="n">
        <x:v>452</x:v>
      </x:c>
      <x:c r="B454" s="95" t="n">
        <x:v>176450616</x:v>
      </x:c>
      <x:c r="C454" s="95" t="n">
        <x:v>56601</x:v>
      </x:c>
      <x:c r="D454" s="96" t="n">
        <x:v>0.702235387157973</x:v>
      </x:c>
      <x:c r="E454" s="95" t="n">
        <x:f t="shared" si="7">B454/(1-D454)</x:f>
        <x:v>592584237.3136941</x:v>
      </x:c>
      <x:c r="F454"/>
      <x:c r="G454"/>
      <x:c r="H454"/>
      <x:c r="I454"/>
      <x:c r="J454"/>
      <x:c r="K454"/>
      <x:c r="L454"/>
    </x:row>
    <x:row r="455" customHeight="1">
      <x:c r="A455" t="n">
        <x:v>453</x:v>
      </x:c>
      <x:c r="B455" s="95" t="n">
        <x:v>177821496</x:v>
      </x:c>
      <x:c r="C455" s="95" t="n">
        <x:v>56777</x:v>
      </x:c>
      <x:c r="D455" s="96" t="n">
        <x:v>0.702886851775707</x:v>
      </x:c>
      <x:c r="E455" s="95" t="n">
        <x:f t="shared" si="7">B455/(1-D455)</x:f>
        <x:v>598497565.8692869</x:v>
      </x:c>
      <x:c r="F455"/>
      <x:c r="G455"/>
      <x:c r="H455"/>
      <x:c r="I455"/>
      <x:c r="J455"/>
      <x:c r="K455"/>
      <x:c r="L455"/>
    </x:row>
    <x:row r="456" customHeight="1">
      <x:c r="A456" t="n">
        <x:v>454</x:v>
      </x:c>
      <x:c r="B456" s="95" t="n">
        <x:v>179201199</x:v>
      </x:c>
      <x:c r="C456" s="95" t="n">
        <x:v>56954</x:v>
      </x:c>
      <x:c r="D456" s="96" t="n">
        <x:v>0.703536304580253</x:v>
      </x:c>
      <x:c r="E456" s="95" t="n">
        <x:f t="shared" si="7">B456/(1-D456)</x:f>
        <x:v>604462542.1884412</x:v>
      </x:c>
      <x:c r="F456"/>
      <x:c r="G456"/>
      <x:c r="H456"/>
      <x:c r="I456"/>
      <x:c r="J456"/>
      <x:c r="K456"/>
      <x:c r="L456"/>
    </x:row>
    <x:row r="457" customHeight="1">
      <x:c r="A457" t="n">
        <x:v>455</x:v>
      </x:c>
      <x:c r="B457" s="95" t="n">
        <x:v>180589674</x:v>
      </x:c>
      <x:c r="C457" s="95" t="n">
        <x:v>57131</x:v>
      </x:c>
      <x:c r="D457" s="96" t="n">
        <x:v>0.704183753274545</x:v>
      </x:c>
      <x:c r="E457" s="95" t="n">
        <x:f t="shared" si="7">B457/(1-D457)</x:f>
        <x:v>610479228.233884</x:v>
      </x:c>
      <x:c r="F457"/>
      <x:c r="G457"/>
      <x:c r="H457"/>
      <x:c r="I457"/>
      <x:c r="J457"/>
      <x:c r="K457"/>
      <x:c r="L457"/>
    </x:row>
    <x:row r="458" customHeight="1">
      <x:c r="A458" t="n">
        <x:v>456</x:v>
      </x:c>
      <x:c r="B458" s="95" t="n">
        <x:v>181987074</x:v>
      </x:c>
      <x:c r="C458" s="95" t="n">
        <x:v>57309</x:v>
      </x:c>
      <x:c r="D458" s="96" t="n">
        <x:v>0.704829205528049</x:v>
      </x:c>
      <x:c r="E458" s="95" t="n">
        <x:f t="shared" si="7">B458/(1-D458)</x:f>
        <x:v>616548376.0870303</x:v>
      </x:c>
      <x:c r="F458"/>
      <x:c r="G458"/>
      <x:c r="H458"/>
      <x:c r="I458"/>
      <x:c r="J458"/>
      <x:c r="K458"/>
      <x:c r="L458"/>
    </x:row>
    <x:row r="459" customHeight="1">
      <x:c r="A459" t="n">
        <x:v>457</x:v>
      </x:c>
      <x:c r="B459" s="95" t="n">
        <x:v>183393348</x:v>
      </x:c>
      <x:c r="C459" s="95" t="n">
        <x:v>57486</x:v>
      </x:c>
      <x:c r="D459" s="96" t="n">
        <x:v>0.705472668976862</x:v>
      </x:c>
      <x:c r="E459" s="95" t="n">
        <x:f t="shared" si="7">B459/(1-D459)</x:f>
        <x:v>622670050.2222412</x:v>
      </x:c>
      <x:c r="F459"/>
      <x:c r="G459"/>
      <x:c r="H459"/>
      <x:c r="I459"/>
      <x:c r="J459"/>
      <x:c r="K459"/>
      <x:c r="L459"/>
    </x:row>
    <x:row r="460" customHeight="1">
      <x:c r="A460" t="n">
        <x:v>458</x:v>
      </x:c>
      <x:c r="B460" s="95" t="n">
        <x:v>184808598</x:v>
      </x:c>
      <x:c r="C460" s="95" t="n">
        <x:v>57664</x:v>
      </x:c>
      <x:c r="D460" s="96" t="n">
        <x:v>0.706114151224068</x:v>
      </x:c>
      <x:c r="E460" s="95" t="n">
        <x:f t="shared" si="7">B460/(1-D460)</x:f>
        <x:v>628844834.719837</x:v>
      </x:c>
      <x:c r="F460"/>
      <x:c r="G460"/>
      <x:c r="H460"/>
      <x:c r="I460"/>
      <x:c r="J460"/>
      <x:c r="K460"/>
      <x:c r="L460"/>
    </x:row>
    <x:row r="461" customHeight="1">
      <x:c r="A461" t="n">
        <x:v>459</x:v>
      </x:c>
      <x:c r="B461" s="95" t="n">
        <x:v>186232875</x:v>
      </x:c>
      <x:c r="C461" s="95" t="n">
        <x:v>57842</x:v>
      </x:c>
      <x:c r="D461" s="96" t="n">
        <x:v>0.706753659839528</x:v>
      </x:c>
      <x:c r="E461" s="95" t="n">
        <x:f t="shared" si="7">B461/(1-D461)</x:f>
        <x:v>635073143.2763612</x:v>
      </x:c>
      <x:c r="F461"/>
      <x:c r="G461"/>
      <x:c r="H461"/>
      <x:c r="I461"/>
      <x:c r="J461"/>
      <x:c r="K461"/>
      <x:c r="L461"/>
    </x:row>
    <x:row r="462" customHeight="1">
      <x:c r="A462" t="n">
        <x:v>460</x:v>
      </x:c>
      <x:c r="B462" s="95" t="n">
        <x:v>187666230</x:v>
      </x:c>
      <x:c r="C462" s="95" t="n">
        <x:v>58021</x:v>
      </x:c>
      <x:c r="D462" s="96" t="n">
        <x:v>0.707391202360382</x:v>
      </x:c>
      <x:c r="E462" s="95" t="n">
        <x:f t="shared" si="7">B462/(1-D462)</x:f>
        <x:v>641355391.6144823</x:v>
      </x:c>
      <x:c r="F462"/>
      <x:c r="G462"/>
      <x:c r="H462"/>
      <x:c r="I462"/>
      <x:c r="J462"/>
      <x:c r="K462"/>
      <x:c r="L462"/>
    </x:row>
    <x:row r="463" customHeight="1">
      <x:c r="A463" t="n">
        <x:v>461</x:v>
      </x:c>
      <x:c r="B463" s="95" t="n">
        <x:v>189108663</x:v>
      </x:c>
      <x:c r="C463" s="95" t="n">
        <x:v>58199</x:v>
      </x:c>
      <x:c r="D463" s="96" t="n">
        <x:v>0.708026786290998</x:v>
      </x:c>
      <x:c r="E463" s="95" t="n">
        <x:f t="shared" si="7">B463/(1-D463)</x:f>
        <x:v>647691822.8138456</x:v>
      </x:c>
      <x:c r="F463"/>
      <x:c r="G463"/>
      <x:c r="H463"/>
      <x:c r="I463"/>
      <x:c r="J463"/>
      <x:c r="K463"/>
      <x:c r="L463"/>
    </x:row>
    <x:row r="464" customHeight="1">
      <x:c r="A464" t="n">
        <x:v>462</x:v>
      </x:c>
      <x:c r="B464" s="95" t="n">
        <x:v>190560225</x:v>
      </x:c>
      <x:c r="C464" s="95" t="n">
        <x:v>58378</x:v>
      </x:c>
      <x:c r="D464" s="96" t="n">
        <x:v>0.708660419103167</x:v>
      </x:c>
      <x:c r="E464" s="95" t="n">
        <x:f t="shared" si="7">B464/(1-D464)</x:f>
        <x:v>654082855.5234305</x:v>
      </x:c>
      <x:c r="F464"/>
      <x:c r="G464"/>
      <x:c r="H464"/>
      <x:c r="I464"/>
      <x:c r="J464"/>
      <x:c r="K464"/>
      <x:c r="L464"/>
    </x:row>
    <x:row r="465" customHeight="1">
      <x:c r="A465" t="n">
        <x:v>463</x:v>
      </x:c>
      <x:c r="B465" s="95" t="n">
        <x:v>192021018</x:v>
      </x:c>
      <x:c r="C465" s="95" t="n">
        <x:v>58557</x:v>
      </x:c>
      <x:c r="D465" s="96" t="n">
        <x:v>0.709292108236249</x:v>
      </x:c>
      <x:c r="E465" s="95" t="n">
        <x:f t="shared" si="7">B465/(1-D465)</x:f>
        <x:v>660529085.8634459</x:v>
      </x:c>
      <x:c r="F465"/>
      <x:c r="G465"/>
      <x:c r="H465"/>
      <x:c r="I465"/>
      <x:c r="J465"/>
      <x:c r="K465"/>
      <x:c r="L465"/>
    </x:row>
    <x:row r="466" customHeight="1">
      <x:c r="A466" t="n">
        <x:v>464</x:v>
      </x:c>
      <x:c r="B466" s="95" t="n">
        <x:v>193491093</x:v>
      </x:c>
      <x:c r="C466" s="95" t="n">
        <x:v>58736</x:v>
      </x:c>
      <x:c r="D466" s="96" t="n">
        <x:v>0.709921861097321</x:v>
      </x:c>
      <x:c r="E466" s="95" t="n">
        <x:f t="shared" si="7">B466/(1-D466)</x:f>
        <x:v>667030937.7050855</x:v>
      </x:c>
      <x:c r="F466"/>
      <x:c r="G466"/>
      <x:c r="H466"/>
      <x:c r="I466"/>
      <x:c r="J466"/>
      <x:c r="K466"/>
      <x:c r="L466"/>
    </x:row>
    <x:row r="467" customHeight="1">
      <x:c r="A467" t="n">
        <x:v>465</x:v>
      </x:c>
      <x:c r="B467" s="95" t="n">
        <x:v>194970399</x:v>
      </x:c>
      <x:c r="C467" s="95" t="n">
        <x:v>58916</x:v>
      </x:c>
      <x:c r="D467" s="96" t="n">
        <x:v>0.71054968506132</x:v>
      </x:c>
      <x:c r="E467" s="95" t="n">
        <x:f t="shared" si="7">B467/(1-D467)</x:f>
        <x:v>673588484.5774117</x:v>
      </x:c>
      <x:c r="F467"/>
      <x:c r="G467"/>
      <x:c r="H467"/>
      <x:c r="I467"/>
      <x:c r="J467"/>
      <x:c r="K467"/>
      <x:c r="L467"/>
    </x:row>
    <x:row r="468" customHeight="1">
      <x:c r="A468" t="n">
        <x:v>466</x:v>
      </x:c>
      <x:c r="B468" s="95" t="n">
        <x:v>196459089</x:v>
      </x:c>
      <x:c r="C468" s="95" t="n">
        <x:v>59095</x:v>
      </x:c>
      <x:c r="D468" s="96" t="n">
        <x:v>0.711175587471188</x:v>
      </x:c>
      <x:c r="E468" s="95" t="n">
        <x:f t="shared" si="7">B468/(1-D468)</x:f>
        <x:v>680202505.3211249</x:v>
      </x:c>
      <x:c r="F468"/>
      <x:c r="G468"/>
      <x:c r="H468"/>
      <x:c r="I468"/>
      <x:c r="J468"/>
      <x:c r="K468"/>
      <x:c r="L468"/>
    </x:row>
    <x:row r="469" customHeight="1">
      <x:c r="A469" t="n">
        <x:v>467</x:v>
      </x:c>
      <x:c r="B469" s="95" t="n">
        <x:v>197957163</x:v>
      </x:c>
      <x:c r="C469" s="95" t="n">
        <x:v>59275</x:v>
      </x:c>
      <x:c r="D469" s="96" t="n">
        <x:v>0.71179957563802</x:v>
      </x:c>
      <x:c r="E469" s="95" t="n">
        <x:f t="shared" si="7">B469/(1-D469)</x:f>
        <x:v>686873253.0086966</x:v>
      </x:c>
      <x:c r="F469"/>
      <x:c r="G469"/>
      <x:c r="H469"/>
      <x:c r="I469"/>
      <x:c r="J469"/>
      <x:c r="K469"/>
      <x:c r="L469"/>
    </x:row>
    <x:row r="470" customHeight="1">
      <x:c r="A470" t="n">
        <x:v>468</x:v>
      </x:c>
      <x:c r="B470" s="95" t="n">
        <x:v>199464723</x:v>
      </x:c>
      <x:c r="C470" s="95" t="n">
        <x:v>59456</x:v>
      </x:c>
      <x:c r="D470" s="96" t="n">
        <x:v>0.712421656841203</x:v>
      </x:c>
      <x:c r="E470" s="95" t="n">
        <x:f t="shared" si="7">B470/(1-D470)</x:f>
        <x:v>693601335.9318166</x:v>
      </x:c>
      <x:c r="F470"/>
      <x:c r="G470"/>
      <x:c r="H470"/>
      <x:c r="I470"/>
      <x:c r="J470"/>
      <x:c r="K470"/>
      <x:c r="L470"/>
    </x:row>
    <x:row r="471" customHeight="1">
      <x:c r="A471" t="n">
        <x:v>469</x:v>
      </x:c>
      <x:c r="B471" s="95" t="n">
        <x:v>200981718</x:v>
      </x:c>
      <x:c r="C471" s="95" t="n">
        <x:v>59636</x:v>
      </x:c>
      <x:c r="D471" s="96" t="n">
        <x:v>0.713041838328559</x:v>
      </x:c>
      <x:c r="E471" s="95" t="n">
        <x:f t="shared" si="7">B471/(1-D471)</x:f>
        <x:v>700386832.8028893</x:v>
      </x:c>
      <x:c r="F471"/>
      <x:c r="G471"/>
      <x:c r="H471"/>
      <x:c r="I471"/>
      <x:c r="J471"/>
      <x:c r="K471"/>
      <x:c r="L471"/>
    </x:row>
    <x:row r="472" customHeight="1">
      <x:c r="A472" t="n">
        <x:v>470</x:v>
      </x:c>
      <x:c r="B472" s="95" t="n">
        <x:v>202508301</x:v>
      </x:c>
      <x:c r="C472" s="95" t="n">
        <x:v>59816</x:v>
      </x:c>
      <x:c r="D472" s="96" t="n">
        <x:v>0.713660127316491</x:v>
      </x:c>
      <x:c r="E472" s="95" t="n">
        <x:f t="shared" si="7">B472/(1-D472)</x:f>
        <x:v>707230533.7784098</x:v>
      </x:c>
      <x:c r="F472"/>
      <x:c r="G472"/>
      <x:c r="H472"/>
      <x:c r="I472"/>
      <x:c r="J472"/>
      <x:c r="K472"/>
      <x:c r="L472"/>
    </x:row>
    <x:row r="473" customHeight="1">
      <x:c r="A473" t="n">
        <x:v>471</x:v>
      </x:c>
      <x:c r="B473" s="95" t="n">
        <x:v>204044421</x:v>
      </x:c>
      <x:c r="C473" s="95" t="n">
        <x:v>59997</x:v>
      </x:c>
      <x:c r="D473" s="96" t="n">
        <x:v>0.714276530990124</x:v>
      </x:c>
      <x:c r="E473" s="95" t="n">
        <x:f t="shared" si="7">B473/(1-D473)</x:f>
        <x:v>714132520.1849178</x:v>
      </x:c>
      <x:c r="F473"/>
      <x:c r="G473"/>
      <x:c r="H473"/>
      <x:c r="I473"/>
      <x:c r="J473"/>
      <x:c r="K473"/>
      <x:c r="L473"/>
    </x:row>
    <x:row r="474" customHeight="1">
      <x:c r="A474" t="n">
        <x:v>472</x:v>
      </x:c>
      <x:c r="B474" s="95" t="n">
        <x:v>205590231</x:v>
      </x:c>
      <x:c r="C474" s="95" t="n">
        <x:v>60178</x:v>
      </x:c>
      <x:c r="D474" s="96" t="n">
        <x:v>0.714891056503443</x:v>
      </x:c>
      <x:c r="E474" s="95" t="n">
        <x:f t="shared" si="7">B474/(1-D474)</x:f>
        <x:v>721093587.8708509</x:v>
      </x:c>
      <x:c r="F474"/>
      <x:c r="G474"/>
      <x:c r="H474"/>
      <x:c r="I474"/>
      <x:c r="J474"/>
      <x:c r="K474"/>
      <x:c r="L474"/>
    </x:row>
    <x:row r="475" customHeight="1">
      <x:c r="A475" t="n">
        <x:v>473</x:v>
      </x:c>
      <x:c r="B475" s="95" t="n">
        <x:v>207145731</x:v>
      </x:c>
      <x:c r="C475" s="95" t="n">
        <x:v>60360</x:v>
      </x:c>
      <x:c r="D475" s="96" t="n">
        <x:v>0.715503710979439</x:v>
      </x:c>
      <x:c r="E475" s="95" t="n">
        <x:f t="shared" si="7">B475/(1-D475)</x:f>
        <x:v>728114000.0565324</x:v>
      </x:c>
      <x:c r="F475"/>
      <x:c r="G475"/>
      <x:c r="H475"/>
      <x:c r="I475"/>
      <x:c r="J475"/>
      <x:c r="K475"/>
      <x:c r="L475"/>
    </x:row>
    <x:row r="476" customHeight="1">
      <x:c r="A476" t="n">
        <x:v>474</x:v>
      </x:c>
      <x:c r="B476" s="95" t="n">
        <x:v>208710972</x:v>
      </x:c>
      <x:c r="C476" s="95" t="n">
        <x:v>60541</x:v>
      </x:c>
      <x:c r="D476" s="96" t="n">
        <x:v>0.716114501510245</x:v>
      </x:c>
      <x:c r="E476" s="95" t="n">
        <x:f t="shared" si="7">B476/(1-D476)</x:f>
        <x:v>735194200.162824</x:v>
      </x:c>
      <x:c r="F476"/>
      <x:c r="G476"/>
      <x:c r="H476"/>
      <x:c r="I476"/>
      <x:c r="J476"/>
      <x:c r="K476"/>
      <x:c r="L476"/>
    </x:row>
    <x:row r="477" customHeight="1">
      <x:c r="A477" t="n">
        <x:v>475</x:v>
      </x:c>
      <x:c r="B477" s="95" t="n">
        <x:v>210285954</x:v>
      </x:c>
      <x:c r="C477" s="95" t="n">
        <x:v>60723</x:v>
      </x:c>
      <x:c r="D477" s="96" t="n">
        <x:v>0.716723435157279</x:v>
      </x:c>
      <x:c r="E477" s="95" t="n">
        <x:f t="shared" si="7">B477/(1-D477)</x:f>
        <x:v>742334453.6698742</x:v>
      </x:c>
      <x:c r="F477"/>
      <x:c r="G477"/>
      <x:c r="H477"/>
      <x:c r="I477"/>
      <x:c r="J477"/>
      <x:c r="K477"/>
      <x:c r="L477"/>
    </x:row>
    <x:row r="478" customHeight="1">
      <x:c r="A478" t="n">
        <x:v>476</x:v>
      </x:c>
      <x:c r="B478" s="95" t="n">
        <x:v>211870830</x:v>
      </x:c>
      <x:c r="C478" s="95" t="n">
        <x:v>60905</x:v>
      </x:c>
      <x:c r="D478" s="96" t="n">
        <x:v>0.71733051895138</x:v>
      </x:c>
      <x:c r="E478" s="95" t="n">
        <x:f t="shared" si="7">B478/(1-D478)</x:f>
        <x:v>749535567.8795674</x:v>
      </x:c>
      <x:c r="F478"/>
      <x:c r="G478"/>
      <x:c r="H478"/>
      <x:c r="I478"/>
      <x:c r="J478"/>
      <x:c r="K478"/>
      <x:c r="L478"/>
    </x:row>
    <x:row r="479" customHeight="1">
      <x:c r="A479" t="n">
        <x:v>477</x:v>
      </x:c>
      <x:c r="B479" s="95" t="n">
        <x:v>213465600</x:v>
      </x:c>
      <x:c r="C479" s="95" t="n">
        <x:v>61087</x:v>
      </x:c>
      <x:c r="D479" s="96" t="n">
        <x:v>0.717935759892947</x:v>
      </x:c>
      <x:c r="E479" s="95" t="n">
        <x:f t="shared" si="7">B479/(1-D479)</x:f>
        <x:v>756797812.863419</x:v>
      </x:c>
      <x:c r="F479"/>
      <x:c r="G479"/>
      <x:c r="H479"/>
      <x:c r="I479"/>
      <x:c r="J479"/>
      <x:c r="K479"/>
      <x:c r="L479"/>
    </x:row>
    <x:row r="480" customHeight="1">
      <x:c r="A480" t="n">
        <x:v>478</x:v>
      </x:c>
      <x:c r="B480" s="95" t="n">
        <x:v>215070315</x:v>
      </x:c>
      <x:c r="C480" s="95" t="n">
        <x:v>61269</x:v>
      </x:c>
      <x:c r="D480" s="96" t="n">
        <x:v>0.718539164952082</x:v>
      </x:c>
      <x:c r="E480" s="95" t="n">
        <x:f t="shared" si="7">B480/(1-D480)</x:f>
        <x:v>764121640.4526933</x:v>
      </x:c>
      <x:c r="F480"/>
      <x:c r="G480"/>
      <x:c r="H480"/>
      <x:c r="I480"/>
      <x:c r="J480"/>
      <x:c r="K480"/>
      <x:c r="L480"/>
    </x:row>
    <x:row r="481" customHeight="1">
      <x:c r="A481" t="n">
        <x:v>479</x:v>
      </x:c>
      <x:c r="B481" s="95" t="n">
        <x:v>216685026</x:v>
      </x:c>
      <x:c r="C481" s="95" t="n">
        <x:v>61452</x:v>
      </x:c>
      <x:c r="D481" s="96" t="n">
        <x:v>0.719140741068722</x:v>
      </x:c>
      <x:c r="E481" s="95" t="n">
        <x:f t="shared" si="7">B481/(1-D481)</x:f>
        <x:v>771507504.5933219</x:v>
      </x:c>
      <x:c r="F481"/>
      <x:c r="G481"/>
      <x:c r="H481"/>
      <x:c r="I481"/>
      <x:c r="J481"/>
      <x:c r="K481"/>
      <x:c r="L481"/>
    </x:row>
    <x:row r="482" customHeight="1">
      <x:c r="A482" t="n">
        <x:v>480</x:v>
      </x:c>
      <x:c r="B482" s="95" t="n">
        <x:v>218309784</x:v>
      </x:c>
      <x:c r="C482" s="95" t="n">
        <x:v>61635</x:v>
      </x:c>
      <x:c r="D482" s="96" t="n">
        <x:v>0.719740495152823</x:v>
      </x:c>
      <x:c r="E482" s="95" t="n">
        <x:f t="shared" si="7">B482/(1-D482)</x:f>
        <x:v>778955861.3508662</x:v>
      </x:c>
      <x:c r="F482"/>
      <x:c r="G482"/>
      <x:c r="H482"/>
      <x:c r="I482"/>
      <x:c r="J482"/>
      <x:c r="K482"/>
      <x:c r="L482"/>
    </x:row>
    <x:row r="483" customHeight="1">
      <x:c r="A483" t="n">
        <x:v>481</x:v>
      </x:c>
      <x:c r="B483" s="95" t="n">
        <x:v>219944589</x:v>
      </x:c>
      <x:c r="C483" s="95" t="n">
        <x:v>61818</x:v>
      </x:c>
      <x:c r="D483" s="96" t="n">
        <x:v>0.720338434084312</x:v>
      </x:c>
      <x:c r="E483" s="95" t="n">
        <x:f t="shared" si="7">B483/(1-D483)</x:f>
        <x:v>786466986.5515542</x:v>
      </x:c>
      <x:c r="F483"/>
      <x:c r="G483"/>
      <x:c r="H483"/>
      <x:c r="I483"/>
      <x:c r="J483"/>
      <x:c r="K483"/>
      <x:c r="L483"/>
    </x:row>
    <x:row r="484" customHeight="1">
      <x:c r="A484" t="n">
        <x:v>482</x:v>
      </x:c>
      <x:c r="B484" s="95" t="n">
        <x:v>221589594</x:v>
      </x:c>
      <x:c r="C484" s="95" t="n">
        <x:v>62001</x:v>
      </x:c>
      <x:c r="D484" s="96" t="n">
        <x:v>0.720934564713548</x:v>
      </x:c>
      <x:c r="E484" s="95" t="n">
        <x:f t="shared" si="7">B484/(1-D484)</x:f>
        <x:v>794041704.8515706</x:v>
      </x:c>
      <x:c r="F484"/>
      <x:c r="G484"/>
      <x:c r="H484"/>
      <x:c r="I484"/>
      <x:c r="J484"/>
      <x:c r="K484"/>
      <x:c r="L484"/>
    </x:row>
    <x:row r="485" customHeight="1">
      <x:c r="A485" t="n">
        <x:v>483</x:v>
      </x:c>
      <x:c r="B485" s="95" t="n">
        <x:v>223244799</x:v>
      </x:c>
      <x:c r="C485" s="95" t="n">
        <x:v>62185</x:v>
      </x:c>
      <x:c r="D485" s="96" t="n">
        <x:v>0.721528893861133</x:v>
      </x:c>
      <x:c r="E485" s="95" t="n">
        <x:f t="shared" si="7">B485/(1-D485)</x:f>
        <x:v>801680296.7295035</x:v>
      </x:c>
      <x:c r="F485"/>
      <x:c r="G485"/>
      <x:c r="H485"/>
      <x:c r="I485"/>
      <x:c r="J485"/>
      <x:c r="K485"/>
      <x:c r="L485"/>
    </x:row>
    <x:row r="486" customHeight="1">
      <x:c r="A486" t="n">
        <x:v>484</x:v>
      </x:c>
      <x:c r="B486" s="95" t="n">
        <x:v>224910255</x:v>
      </x:c>
      <x:c r="C486" s="95" t="n">
        <x:v>62369</x:v>
      </x:c>
      <x:c r="D486" s="96" t="n">
        <x:v>0.722121428318231</x:v>
      </x:c>
      <x:c r="E486" s="95" t="n">
        <x:f t="shared" si="7">B486/(1-D486)</x:f>
        <x:v>809383226.7770933</x:v>
      </x:c>
      <x:c r="F486"/>
      <x:c r="G486"/>
      <x:c r="H486"/>
      <x:c r="I486"/>
      <x:c r="J486"/>
      <x:c r="K486"/>
      <x:c r="L486"/>
    </x:row>
    <x:row r="487" customHeight="1">
      <x:c r="A487" t="n">
        <x:v>485</x:v>
      </x:c>
      <x:c r="B487" s="95" t="n">
        <x:v>226586064</x:v>
      </x:c>
      <x:c r="C487" s="95" t="n">
        <x:v>62553</x:v>
      </x:c>
      <x:c r="D487" s="96" t="n">
        <x:v>0.722712174846654</x:v>
      </x:c>
      <x:c r="E487" s="95" t="n">
        <x:f t="shared" si="7">B487/(1-D487)</x:f>
        <x:v>817151145.6541343</x:v>
      </x:c>
      <x:c r="F487"/>
      <x:c r="G487"/>
      <x:c r="H487"/>
      <x:c r="I487"/>
      <x:c r="J487"/>
      <x:c r="K487"/>
      <x:c r="L487"/>
    </x:row>
    <x:row r="488" customHeight="1">
      <x:c r="A488" t="n">
        <x:v>486</x:v>
      </x:c>
      <x:c r="B488" s="95" t="n">
        <x:v>228272175</x:v>
      </x:c>
      <x:c r="C488" s="95" t="n">
        <x:v>62737</x:v>
      </x:c>
      <x:c r="D488" s="96" t="n">
        <x:v>0.723301140178999</x:v>
      </x:c>
      <x:c r="E488" s="95" t="n">
        <x:f t="shared" si="7">B488/(1-D488)</x:f>
        <x:v>824984154.7871624</x:v>
      </x:c>
      <x:c r="F488"/>
      <x:c r="G488"/>
      <x:c r="H488"/>
      <x:c r="I488"/>
      <x:c r="J488"/>
      <x:c r="K488"/>
      <x:c r="L488"/>
    </x:row>
    <x:row r="489" customHeight="1">
      <x:c r="A489" t="n">
        <x:v>487</x:v>
      </x:c>
      <x:c r="B489" s="95" t="n">
        <x:v>229968690</x:v>
      </x:c>
      <x:c r="C489" s="95" t="n">
        <x:v>62921</x:v>
      </x:c>
      <x:c r="D489" s="96" t="n">
        <x:v>0.723888331018782</x:v>
      </x:c>
      <x:c r="E489" s="95" t="n">
        <x:f t="shared" si="7">B489/(1-D489)</x:f>
        <x:v>832882908.7467623</x:v>
      </x:c>
      <x:c r="F489"/>
      <x:c r="G489"/>
      <x:c r="H489"/>
      <x:c r="I489"/>
      <x:c r="J489"/>
      <x:c r="K489"/>
      <x:c r="L489"/>
    </x:row>
    <x:row r="490" customHeight="1">
      <x:c r="A490" t="n">
        <x:v>488</x:v>
      </x:c>
      <x:c r="B490" s="95" t="n">
        <x:v>231675711</x:v>
      </x:c>
      <x:c r="C490" s="95" t="n">
        <x:v>63106</x:v>
      </x:c>
      <x:c r="D490" s="96" t="n">
        <x:v>0.724473754040611</x:v>
      </x:c>
      <x:c r="E490" s="95" t="n">
        <x:f t="shared" si="7">B490/(1-D490)</x:f>
        <x:v>840848065.8287184</x:v>
      </x:c>
      <x:c r="F490"/>
      <x:c r="G490"/>
      <x:c r="H490"/>
      <x:c r="I490"/>
      <x:c r="J490"/>
      <x:c r="K490"/>
      <x:c r="L490"/>
    </x:row>
    <x:row r="491" customHeight="1">
      <x:c r="A491" t="n">
        <x:v>489</x:v>
      </x:c>
      <x:c r="B491" s="95" t="n">
        <x:v>233393238</x:v>
      </x:c>
      <x:c r="C491" s="95" t="n">
        <x:v>63291</x:v>
      </x:c>
      <x:c r="D491" s="96" t="n">
        <x:v>0.725057415890186</x:v>
      </x:c>
      <x:c r="E491" s="95" t="n">
        <x:f t="shared" si="7">B491/(1-D491)</x:f>
        <x:v>848879917.0767273</x:v>
      </x:c>
      <x:c r="F491"/>
      <x:c r="G491"/>
      <x:c r="H491"/>
      <x:c r="I491"/>
      <x:c r="J491"/>
      <x:c r="K491"/>
      <x:c r="L491"/>
    </x:row>
    <x:row r="492" customHeight="1">
      <x:c r="A492" t="n">
        <x:v>490</x:v>
      </x:c>
      <x:c r="B492" s="95" t="n">
        <x:v>235121373</x:v>
      </x:c>
      <x:c r="C492" s="95" t="n">
        <x:v>63476</x:v>
      </x:c>
      <x:c r="D492" s="96" t="n">
        <x:v>0.725639323184563</x:v>
      </x:c>
      <x:c r="E492" s="95" t="n">
        <x:f t="shared" si="7">B492/(1-D492)</x:f>
        <x:v>856979125.9050096</x:v>
      </x:c>
      <x:c r="F492"/>
      <x:c r="G492"/>
      <x:c r="H492"/>
      <x:c r="I492"/>
      <x:c r="J492"/>
      <x:c r="K492"/>
      <x:c r="L492"/>
    </x:row>
    <x:row r="493" customHeight="1">
      <x:c r="A493" t="n">
        <x:v>491</x:v>
      </x:c>
      <x:c r="B493" s="95" t="n">
        <x:v>236860116</x:v>
      </x:c>
      <x:c r="C493" s="95" t="n">
        <x:v>63661</x:v>
      </x:c>
      <x:c r="D493" s="96" t="n">
        <x:v>0.726219482512244</x:v>
      </x:c>
      <x:c r="E493" s="95" t="n">
        <x:f t="shared" si="7">B493/(1-D493)</x:f>
        <x:v>865145986.914839</x:v>
      </x:c>
      <x:c r="F493"/>
      <x:c r="G493"/>
      <x:c r="H493"/>
      <x:c r="I493"/>
      <x:c r="J493"/>
      <x:c r="K493"/>
      <x:c r="L493"/>
    </x:row>
    <x:row r="494" customHeight="1">
      <x:c r="A494" t="n">
        <x:v>492</x:v>
      </x:c>
      <x:c r="B494" s="95" t="n">
        <x:v>238609518</x:v>
      </x:c>
      <x:c r="C494" s="95" t="n">
        <x:v>63847</x:v>
      </x:c>
      <x:c r="D494" s="96" t="n">
        <x:v>0.726797900433305</x:v>
      </x:c>
      <x:c r="E494" s="95" t="n">
        <x:f t="shared" si="7">B494/(1-D494)</x:f>
        <x:v>873380981.985279</x:v>
      </x:c>
      <x:c r="F494"/>
      <x:c r="G494"/>
      <x:c r="H494"/>
      <x:c r="I494"/>
      <x:c r="J494"/>
      <x:c r="K494"/>
      <x:c r="L494"/>
    </x:row>
    <x:row r="495" customHeight="1">
      <x:c r="A495" t="n">
        <x:v>493</x:v>
      </x:c>
      <x:c r="B495" s="95" t="n">
        <x:v>240369681</x:v>
      </x:c>
      <x:c r="C495" s="95" t="n">
        <x:v>64033</x:v>
      </x:c>
      <x:c r="D495" s="96" t="n">
        <x:v>0.727374583479524</x:v>
      </x:c>
      <x:c r="E495" s="95" t="n">
        <x:f t="shared" si="7">B495/(1-D495)</x:f>
        <x:v>881684782.2475371</x:v>
      </x:c>
      <x:c r="F495"/>
      <x:c r="G495"/>
      <x:c r="H495"/>
      <x:c r="I495"/>
      <x:c r="J495"/>
      <x:c r="K495"/>
      <x:c r="L495"/>
    </x:row>
    <x:row r="496" customHeight="1">
      <x:c r="A496" t="n">
        <x:v>494</x:v>
      </x:c>
      <x:c r="B496" s="95" t="n">
        <x:v>242140605</x:v>
      </x:c>
      <x:c r="C496" s="95" t="n">
        <x:v>64219</x:v>
      </x:c>
      <x:c r="D496" s="96" t="n">
        <x:v>0.727949538154558</x:v>
      </x:c>
      <x:c r="E496" s="95" t="n">
        <x:f t="shared" si="7">B496/(1-D496)</x:f>
        <x:v>890057687.6710671</x:v>
      </x:c>
      <x:c r="F496"/>
      <x:c r="G496"/>
      <x:c r="H496"/>
      <x:c r="I496"/>
      <x:c r="J496"/>
      <x:c r="K496"/>
      <x:c r="L496"/>
    </x:row>
    <x:row r="497" customHeight="1">
      <x:c r="A497" t="n">
        <x:v>495</x:v>
      </x:c>
      <x:c r="B497" s="95" t="n">
        <x:v>243922392</x:v>
      </x:c>
      <x:c r="C497" s="95" t="n">
        <x:v>64405</x:v>
      </x:c>
      <x:c r="D497" s="96" t="n">
        <x:v>0.728522770933937</x:v>
      </x:c>
      <x:c r="E497" s="95" t="n">
        <x:f t="shared" si="7">B497/(1-D497)</x:f>
        <x:v>898500374.5586426</x:v>
      </x:c>
      <x:c r="F497"/>
      <x:c r="G497"/>
      <x:c r="H497"/>
      <x:c r="I497"/>
      <x:c r="J497"/>
      <x:c r="K497"/>
      <x:c r="L497"/>
    </x:row>
    <x:row r="498" customHeight="1">
      <x:c r="A498" t="n">
        <x:v>496</x:v>
      </x:c>
      <x:c r="B498" s="95" t="n">
        <x:v>245715093</x:v>
      </x:c>
      <x:c r="C498" s="95" t="n">
        <x:v>64592</x:v>
      </x:c>
      <x:c r="D498" s="96" t="n">
        <x:v>0.729094288265324</x:v>
      </x:c>
      <x:c r="E498" s="95" t="n">
        <x:f t="shared" si="7">B498/(1-D498)</x:f>
        <x:v>907013334.7378529</x:v>
      </x:c>
      <x:c r="F498"/>
      <x:c r="G498"/>
      <x:c r="H498"/>
      <x:c r="I498"/>
      <x:c r="J498"/>
      <x:c r="K498"/>
      <x:c r="L498"/>
    </x:row>
    <x:row r="499" customHeight="1">
      <x:c r="A499" t="n">
        <x:v>497</x:v>
      </x:c>
      <x:c r="B499" s="95" t="n">
        <x:v>247518759</x:v>
      </x:c>
      <x:c r="C499" s="95" t="n">
        <x:v>64778</x:v>
      </x:c>
      <x:c r="D499" s="96" t="n">
        <x:v>0.729664096568646</x:v>
      </x:c>
      <x:c r="E499" s="95" t="n">
        <x:f t="shared" si="7">B499/(1-D499)</x:f>
        <x:v>915597062.2409465</x:v>
      </x:c>
      <x:c r="F499"/>
      <x:c r="G499"/>
      <x:c r="H499"/>
      <x:c r="I499"/>
      <x:c r="J499"/>
      <x:c r="K499"/>
      <x:c r="L499"/>
    </x:row>
    <x:row r="500" customHeight="1">
      <x:c r="A500" t="n">
        <x:v>498</x:v>
      </x:c>
      <x:c r="B500" s="95" t="n">
        <x:v>249333441</x:v>
      </x:c>
      <x:c r="C500" s="95" t="n">
        <x:v>64965</x:v>
      </x:c>
      <x:c r="D500" s="96" t="n">
        <x:v>0.730232202236083</x:v>
      </x:c>
      <x:c r="E500" s="95" t="n">
        <x:f t="shared" si="7">B500/(1-D500)</x:f>
        <x:v>924252053.3091952</x:v>
      </x:c>
      <x:c r="F500"/>
      <x:c r="G500"/>
      <x:c r="H500"/>
      <x:c r="I500"/>
      <x:c r="J500"/>
      <x:c r="K500"/>
      <x:c r="L500"/>
    </x:row>
    <x:row r="501" customHeight="1">
      <x:c r="A501" t="n">
        <x:v>499</x:v>
      </x:c>
      <x:c r="B501" s="95" t="n">
        <x:v>251159139</x:v>
      </x:c>
      <x:c r="C501" s="95" t="n">
        <x:v>65153</x:v>
      </x:c>
      <x:c r="D501" s="96" t="n">
        <x:v>0.730798611632335</x:v>
      </x:c>
      <x:c r="E501" s="95" t="n">
        <x:f t="shared" si="7">B501/(1-D501)</x:f>
        <x:v>932978616.9489452</x:v>
      </x:c>
      <x:c r="F501"/>
      <x:c r="G501"/>
      <x:c r="H501"/>
      <x:c r="I501"/>
      <x:c r="J501"/>
      <x:c r="K501"/>
      <x:c r="L501"/>
    </x:row>
    <x:row r="502" customHeight="1">
      <x:c r="A502" t="n">
        <x:v>500</x:v>
      </x:c>
      <x:c r="B502" s="95" t="n">
        <x:v>252996006</x:v>
      </x:c>
      <x:c r="C502" s="95" t="n">
        <x:v>65340</x:v>
      </x:c>
      <x:c r="D502" s="96" t="n">
        <x:v>0.731363331094694</x:v>
      </x:c>
      <x:c r="E502" s="95" t="n">
        <x:f t="shared" si="7">B502/(1-D502)</x:f>
        <x:v>941777632.3349985</x:v>
      </x:c>
      <x:c r="F502"/>
      <x:c r="G502"/>
      <x:c r="H502"/>
      <x:c r="I502"/>
      <x:c r="J502"/>
      <x:c r="K502"/>
      <x:c r="L50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20" hidden="0" customWidth="1"/>
    <x:col min="13" max="13" width="12" hidden="0" customWidth="1"/>
  </x:cols>
  <x:sheetData>
    <x:row r="1" ht="30" customHeight="1">
      <x:c r="A1" s="42" t="str">
        <x:v>主线节点调参｜第3～7章放缓试调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25" customHeight="1">
      <x:c r="A2" s="44" t="str">
        <x:v>只改C:H列黄底蓝字：填写该关卡“已完成多少终点养成目标”。输入20%表示完成目标的五分之一，不是战力增加20%；请带%输入，不要填20。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</x:row>
    <x:row r="3" ht="25" customHeight="1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</x:row>
    <x:row r="4" ht="25" customHeight="1">
      <x:c r="A4" s="46" t="str">
        <x:v>本轮：序章及前两章保持上一版数值；第3～7章新增养成进度减少25%；第8章以后渐进回补至原终点。对比本轮效果请看“本轮调整对比”。</x:v>
      </x:c>
      <x:c r="B4" s="46"/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</x:row>
    <x:row r="5" ht="25" customHeight="1">
      <x:c r="A5" s="46"/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</x:row>
    <x:row r="6" ht="25" customHeight="1">
      <x:c r="A6" s="46" t="str">
        <x:v>100%＝本模型既定终点目标。只改C:H黄底蓝字；节点之间继续分段插值。终点预算、人数系数、属性战力公式不变；本轮不回写正式源表/配置。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</x:row>
    <x:row r="7" ht="25" customHeight="1">
      <x:c r="A7" s="46"/>
      <x:c r="B7" s="46"/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</x:row>
    <x:row r="8" ht="25" customHeight="1">
      <x:c r="A8" s="46" t="str">
        <x:f>IF(COUNTIF(L11:L62,"通过")=ROWS(L11:L62),"节点检查：全部通过","节点检查：有错误，请查看L列")</x:f>
        <x:v>节点检查：全部通过</x:v>
      </x:c>
      <x:c r="B8" s="46"/>
      <x:c r="C8" s="46"/>
      <x:c r="D8" s="46"/>
      <x:c r="E8" s="46"/>
      <x:c r="F8" s="46"/>
      <x:c r="G8" s="46"/>
      <x:c r="H8" s="46"/>
      <x:c r="I8" s="48" t="str">
        <x:v>绿色结果自动计算；战力显示取3位有效数字。</x:v>
      </x:c>
      <x:c r="J8" s="48"/>
      <x:c r="K8" s="48"/>
      <x:c r="L8" s="48"/>
      <x:c r="M8" s="48"/>
    </x:row>
    <x:row r="9" ht="25" customHeight="1">
      <x:c r="A9" s="40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</x:row>
    <x:row r="10" ht="43" customHeight="1">
      <x:c r="A10" s="49" t="str">
        <x:v>关卡节点</x:v>
      </x:c>
      <x:c r="B10" s="49" t="str">
        <x:v>节点说明</x:v>
      </x:c>
      <x:c r="C10" s="49" t="str">
        <x:v>角色等级
目标完成度</x:v>
      </x:c>
      <x:c r="D10" s="49" t="str">
        <x:v>星盘/升星
目标完成度</x:v>
      </x:c>
      <x:c r="E10" s="49" t="str">
        <x:v>收容物
目标完成度</x:v>
      </x:c>
      <x:c r="F10" s="49" t="str">
        <x:v>映射装备
目标完成度</x:v>
      </x:c>
      <x:c r="G10" s="49" t="str">
        <x:v>旅券
目标完成度</x:v>
      </x:c>
      <x:c r="H10" s="49" t="str">
        <x:v>房车
目标完成度</x:v>
      </x:c>
      <x:c r="I10" s="49" t="str">
        <x:v>节点战力
3位有效数字</x:v>
      </x:c>
      <x:c r="J10" s="49" t="str">
        <x:v>距前节点
战力涨幅</x:v>
      </x:c>
      <x:c r="K10" s="49" t="str">
        <x:v>本段平均
每关涨幅</x:v>
      </x:c>
      <x:c r="L10" s="49" t="str">
        <x:v>输入检查</x:v>
      </x:c>
      <x:c r="M10" s="49" t="str">
        <x:v>关卡序号
勿修改</x:v>
      </x:c>
    </x:row>
    <x:row r="11" ht="44" customHeight="1">
      <x:c r="A11" s="40" t="str">
        <x:v>序章-1</x:v>
      </x:c>
      <x:c r="B11" s="50" t="str">
        <x:v>序章开始；角色等级开始成长</x:v>
      </x:c>
      <x:c r="C11" s="54" t="n">
        <x:v>0</x:v>
      </x:c>
      <x:c r="D11" s="54" t="n">
        <x:v>0</x:v>
      </x:c>
      <x:c r="E11" s="54" t="n">
        <x:v>0</x:v>
      </x:c>
      <x:c r="F11" s="54" t="n">
        <x:v>0</x:v>
      </x:c>
      <x:c r="G11" s="54" t="n">
        <x:v>0</x:v>
      </x:c>
      <x:c r="H11" s="54" t="n">
        <x:v>0</x:v>
      </x:c>
      <x:c r="I11" s="55" t="n">
        <x:f>IF('玩家战力_节点'!AU12=0,0,ROUND('玩家战力_节点'!AU12,2-INT(LOG10(ABS('玩家战力_节点'!AU12)))))</x:f>
        <x:v>2240</x:v>
      </x:c>
      <x:c r="J11" s="56"/>
      <x:c r="K11" s="56"/>
      <x:c r="L11" s="90" t="str">
        <x:f>IF(COUNT(C11:H11)&lt;&gt;6,"请填百分比",IF(MIN(C11:H11)&lt;0,"低于0%",IF(MAX(C11:H11)&gt;1,"超过100%",IF(SUMPRODUCT(--($M11&lt;'参数说明'!$C$26:$H$26),--(C11:H11&lt;&gt;0))&gt;0,"未开启应填0","通过"))))</x:f>
        <x:v>通过</x:v>
      </x:c>
      <x:c r="M11" s="53" t="n">
        <x:v>1</x:v>
      </x:c>
    </x:row>
    <x:row r="12" ht="44" customHeight="1">
      <x:c r="A12" s="40" t="str">
        <x:v>序章-3</x:v>
      </x:c>
      <x:c r="B12" s="50" t="str">
        <x:v>开放2人阵位</x:v>
      </x:c>
      <x:c r="C12" s="54" t="n">
        <x:v>0.03022755894686022</x:v>
      </x:c>
      <x:c r="D12" s="54" t="n">
        <x:v>0</x:v>
      </x:c>
      <x:c r="E12" s="54" t="n">
        <x:v>0</x:v>
      </x:c>
      <x:c r="F12" s="54" t="n">
        <x:v>0</x:v>
      </x:c>
      <x:c r="G12" s="54" t="n">
        <x:v>0</x:v>
      </x:c>
      <x:c r="H12" s="54" t="n">
        <x:v>0</x:v>
      </x:c>
      <x:c r="I12" s="55" t="n">
        <x:f>IF('玩家战力_节点'!AU14=0,0,ROUND('玩家战力_节点'!AU14,2-INT(LOG10(ABS('玩家战力_节点'!AU14)))))</x:f>
        <x:v>3170</x:v>
      </x:c>
      <x:c r="J12" s="56" t="n">
        <x:f>'玩家战力_节点'!AU14/'玩家战力_节点'!AU12-1</x:f>
        <x:v>0.41302408563782333</x:v>
      </x:c>
      <x:c r="K12" s="56" t="n">
        <x:f>(1+J12)^(1/(M12-M11))-1</x:f>
        <x:v>0.1887068964373948</x:v>
      </x:c>
      <x:c r="L12" s="90" t="str">
        <x:f>IF(COUNT(C12:H12)&lt;&gt;6,"请填百分比",IF(MIN(C12:H12)&lt;0,"低于0%",IF(MAX(C12:H12)&gt;1,"超过100%",IF(SUMPRODUCT(--(C12:H12&lt;C11:H11))&gt;0,"低于前节点",IF(SUMPRODUCT(--($M12&lt;'参数说明'!$C$26:$H$26),--(C12:H12&lt;&gt;0))&gt;0,"未开启应填0","通过")))))</x:f>
        <x:v>通过</x:v>
      </x:c>
      <x:c r="M12" s="53" t="n">
        <x:v>3</x:v>
      </x:c>
    </x:row>
    <x:row r="13" ht="44" customHeight="1">
      <x:c r="A13" s="40" t="str">
        <x:v>序章-4</x:v>
      </x:c>
      <x:c r="B13" s="50" t="str">
        <x:v>序章结束</x:v>
      </x:c>
      <x:c r="C13" s="54" t="n">
        <x:v>0.045002134956541665</x:v>
      </x:c>
      <x:c r="D13" s="54" t="n">
        <x:v>0</x:v>
      </x:c>
      <x:c r="E13" s="54" t="n">
        <x:v>0</x:v>
      </x:c>
      <x:c r="F13" s="54" t="n">
        <x:v>0</x:v>
      </x:c>
      <x:c r="G13" s="54" t="n">
        <x:v>0</x:v>
      </x:c>
      <x:c r="H13" s="54" t="n">
        <x:v>0</x:v>
      </x:c>
      <x:c r="I13" s="55" t="n">
        <x:f>IF('玩家战力_节点'!AU15=0,0,ROUND('玩家战力_节点'!AU15,2-INT(LOG10(ABS('玩家战力_节点'!AU15)))))</x:f>
        <x:v>4020</x:v>
      </x:c>
      <x:c r="J13" s="56" t="n">
        <x:f>'玩家战力_节点'!AU15/'玩家战力_节点'!AU14-1</x:f>
        <x:v>0.2679924242424243</x:v>
      </x:c>
      <x:c r="K13" s="56" t="n">
        <x:f>(1+J13)^(1/(M13-M12))-1</x:f>
        <x:v>0.2679924242424243</x:v>
      </x:c>
      <x:c r="L13" s="90" t="str">
        <x:f>IF(COUNT(C13:H13)&lt;&gt;6,"请填百分比",IF(MIN(C13:H13)&lt;0,"低于0%",IF(MAX(C13:H13)&gt;1,"超过100%",IF(SUMPRODUCT(--(C13:H13&lt;C12:H12))&gt;0,"低于前节点",IF(SUMPRODUCT(--($M13&lt;'参数说明'!$C$26:$H$26),--(C13:H13&lt;&gt;0))&gt;0,"未开启应填0","通过")))))</x:f>
        <x:v>通过</x:v>
      </x:c>
      <x:c r="M13" s="53" t="n">
        <x:v>4</x:v>
      </x:c>
    </x:row>
    <x:row r="14" ht="44" customHeight="1">
      <x:c r="A14" s="40" t="str">
        <x:v>1-1</x:v>
      </x:c>
      <x:c r="B14" s="50" t="str">
        <x:v>第1章开始</x:v>
      </x:c>
      <x:c r="C14" s="54" t="n">
        <x:v>0.05955509232607778</x:v>
      </x:c>
      <x:c r="D14" s="54" t="n">
        <x:v>0</x:v>
      </x:c>
      <x:c r="E14" s="54" t="n">
        <x:v>0</x:v>
      </x:c>
      <x:c r="F14" s="54" t="n">
        <x:v>0</x:v>
      </x:c>
      <x:c r="G14" s="54" t="n">
        <x:v>0</x:v>
      </x:c>
      <x:c r="H14" s="54" t="n">
        <x:v>0</x:v>
      </x:c>
      <x:c r="I14" s="55" t="n">
        <x:f>IF('玩家战力_节点'!AU16=0,0,ROUND('玩家战力_节点'!AU16,2-INT(LOG10(ABS('玩家战力_节点'!AU16)))))</x:f>
        <x:v>4930</x:v>
      </x:c>
      <x:c r="J14" s="56" t="n">
        <x:f>'玩家战力_节点'!AU16/'玩家战力_节点'!AU15-1</x:f>
        <x:v>0.22778192681105303</x:v>
      </x:c>
      <x:c r="K14" s="56" t="n">
        <x:f>(1+J14)^(1/(M14-M13))-1</x:f>
        <x:v>0.22778192681105303</x:v>
      </x:c>
      <x:c r="L14" s="90" t="str">
        <x:f>IF(COUNT(C14:H14)&lt;&gt;6,"请填百分比",IF(MIN(C14:H14)&lt;0,"低于0%",IF(MAX(C14:H14)&gt;1,"超过100%",IF(SUMPRODUCT(--(C14:H14&lt;C13:H13))&gt;0,"低于前节点",IF(SUMPRODUCT(--($M14&lt;'参数说明'!$C$26:$H$26),--(C14:H14&lt;&gt;0))&gt;0,"未开启应填0","通过")))))</x:f>
        <x:v>通过</x:v>
      </x:c>
      <x:c r="M14" s="53" t="n">
        <x:v>5</x:v>
      </x:c>
    </x:row>
    <x:row r="15" ht="44" customHeight="1">
      <x:c r="A15" s="40" t="str">
        <x:v>1-2</x:v>
      </x:c>
      <x:c r="B15" s="50" t="str">
        <x:v>人数系数到达整数</x:v>
      </x:c>
      <x:c r="C15" s="54" t="n">
        <x:v>0.07388975533507099</x:v>
      </x:c>
      <x:c r="D15" s="54" t="n">
        <x:v>0</x:v>
      </x:c>
      <x:c r="E15" s="54" t="n">
        <x:v>0</x:v>
      </x:c>
      <x:c r="F15" s="54" t="n">
        <x:v>0</x:v>
      </x:c>
      <x:c r="G15" s="54" t="n">
        <x:v>0</x:v>
      </x:c>
      <x:c r="H15" s="54" t="n">
        <x:v>0</x:v>
      </x:c>
      <x:c r="I15" s="55" t="n">
        <x:f>IF('玩家战力_节点'!AU17=0,0,ROUND('玩家战力_节点'!AU17,2-INT(LOG10(ABS('玩家战力_节点'!AU17)))))</x:f>
        <x:v>5910</x:v>
      </x:c>
      <x:c r="J15" s="56" t="n">
        <x:f>'玩家战力_节点'!AU17/'玩家战力_节点'!AU16-1</x:f>
        <x:v>0.19910786699107863</x:v>
      </x:c>
      <x:c r="K15" s="56" t="n">
        <x:f>(1+J15)^(1/(M15-M14))-1</x:f>
        <x:v>0.19910786699107863</x:v>
      </x:c>
      <x:c r="L15" s="90" t="str">
        <x:f>IF(COUNT(C15:H15)&lt;&gt;6,"请填百分比",IF(MIN(C15:H15)&lt;0,"低于0%",IF(MAX(C15:H15)&gt;1,"超过100%",IF(SUMPRODUCT(--(C15:H15&lt;C14:H14))&gt;0,"低于前节点",IF(SUMPRODUCT(--($M15&lt;'参数说明'!$C$26:$H$26),--(C15:H15&lt;&gt;0))&gt;0,"未开启应填0","通过")))))</x:f>
        <x:v>通过</x:v>
      </x:c>
      <x:c r="M15" s="53" t="n">
        <x:v>6</x:v>
      </x:c>
    </x:row>
    <x:row r="16" ht="44" customHeight="1">
      <x:c r="A16" s="40" t="str">
        <x:v>1-3</x:v>
      </x:c>
      <x:c r="B16" s="50" t="str">
        <x:v>开放3人阵位</x:v>
      </x:c>
      <x:c r="C16" s="54" t="n">
        <x:v>0.08800939839892911</x:v>
      </x:c>
      <x:c r="D16" s="54" t="n">
        <x:v>0</x:v>
      </x:c>
      <x:c r="E16" s="54" t="n">
        <x:v>0</x:v>
      </x:c>
      <x:c r="F16" s="54" t="n">
        <x:v>0</x:v>
      </x:c>
      <x:c r="G16" s="54" t="n">
        <x:v>0</x:v>
      </x:c>
      <x:c r="H16" s="54" t="n">
        <x:v>0</x:v>
      </x:c>
      <x:c r="I16" s="55" t="n">
        <x:f>IF('玩家战力_节点'!AU18=0,0,ROUND('玩家战力_节点'!AU18,2-INT(LOG10(ABS('玩家战力_节点'!AU18)))))</x:f>
        <x:v>7220</x:v>
      </x:c>
      <x:c r="J16" s="56" t="n">
        <x:f>'玩家战力_节点'!AU18/'玩家战力_节点'!AU17-1</x:f>
        <x:v>0.22066283395333097</x:v>
      </x:c>
      <x:c r="K16" s="56" t="n">
        <x:f>(1+J16)^(1/(M16-M15))-1</x:f>
        <x:v>0.22066283395333097</x:v>
      </x:c>
      <x:c r="L16" s="90" t="str">
        <x:f>IF(COUNT(C16:H16)&lt;&gt;6,"请填百分比",IF(MIN(C16:H16)&lt;0,"低于0%",IF(MAX(C16:H16)&gt;1,"超过100%",IF(SUMPRODUCT(--(C16:H16&lt;C15:H15))&gt;0,"低于前节点",IF(SUMPRODUCT(--($M16&lt;'参数说明'!$C$26:$H$26),--(C16:H16&lt;&gt;0))&gt;0,"未开启应填0","通过")))))</x:f>
        <x:v>通过</x:v>
      </x:c>
      <x:c r="M16" s="53" t="n">
        <x:v>7</x:v>
      </x:c>
    </x:row>
    <x:row r="17" ht="44" customHeight="1">
      <x:c r="A17" s="40" t="str">
        <x:v>1-5</x:v>
      </x:c>
      <x:c r="B17" s="50" t="str">
        <x:v>人数系数到达整数</x:v>
      </x:c>
      <x:c r="C17" s="54" t="n">
        <x:v>0.1156164775084611</x:v>
      </x:c>
      <x:c r="D17" s="54" t="n">
        <x:v>0</x:v>
      </x:c>
      <x:c r="E17" s="54" t="n">
        <x:v>0</x:v>
      </x:c>
      <x:c r="F17" s="54" t="n">
        <x:v>0</x:v>
      </x:c>
      <x:c r="G17" s="54" t="n">
        <x:v>0</x:v>
      </x:c>
      <x:c r="H17" s="54" t="n">
        <x:v>0</x:v>
      </x:c>
      <x:c r="I17" s="55" t="n">
        <x:f>IF('玩家战力_节点'!AU20=0,0,ROUND('玩家战力_节点'!AU20,2-INT(LOG10(ABS('玩家战力_节点'!AU20)))))</x:f>
        <x:v>10100</x:v>
      </x:c>
      <x:c r="J17" s="56" t="n">
        <x:f>'玩家战力_节点'!AU20/'玩家战力_节点'!AU18-1</x:f>
        <x:v>0.39673084914808143</x:v>
      </x:c>
      <x:c r="K17" s="56" t="n">
        <x:f>(1+J17)^(1/(M17-M16))-1</x:f>
        <x:v>0.18183368083164786</x:v>
      </x:c>
      <x:c r="L17" s="90" t="str">
        <x:f>IF(COUNT(C17:H17)&lt;&gt;6,"请填百分比",IF(MIN(C17:H17)&lt;0,"低于0%",IF(MAX(C17:H17)&gt;1,"超过100%",IF(SUMPRODUCT(--(C17:H17&lt;C16:H16))&gt;0,"低于前节点",IF(SUMPRODUCT(--($M17&lt;'参数说明'!$C$26:$H$26),--(C17:H17&lt;&gt;0))&gt;0,"未开启应填0","通过")))))</x:f>
        <x:v>通过</x:v>
      </x:c>
      <x:c r="M17" s="53" t="n">
        <x:v>9</x:v>
      </x:c>
    </x:row>
    <x:row r="18" ht="44" customHeight="1">
      <x:c r="A18" s="40" t="str">
        <x:v>1-6</x:v>
      </x:c>
      <x:c r="B18" s="50" t="str">
        <x:v>开放4人阵位</x:v>
      </x:c>
      <x:c r="C18" s="54" t="n">
        <x:v>0.1291102197397189</x:v>
      </x:c>
      <x:c r="D18" s="54" t="n">
        <x:v>0</x:v>
      </x:c>
      <x:c r="E18" s="54" t="n">
        <x:v>0</x:v>
      </x:c>
      <x:c r="F18" s="54" t="n">
        <x:v>0</x:v>
      </x:c>
      <x:c r="G18" s="54" t="n">
        <x:v>0</x:v>
      </x:c>
      <x:c r="H18" s="54" t="n">
        <x:v>0</x:v>
      </x:c>
      <x:c r="I18" s="55" t="n">
        <x:f>IF('玩家战力_节点'!AU21=0,0,ROUND('玩家战力_节点'!AU21,2-INT(LOG10(ABS('玩家战力_节点'!AU21)))))</x:f>
        <x:v>11200</x:v>
      </x:c>
      <x:c r="J18" s="56" t="n">
        <x:f>'玩家战力_节点'!AU21/'玩家战力_节点'!AU20-1</x:f>
        <x:v>0.10820192403054651</x:v>
      </x:c>
      <x:c r="K18" s="56" t="n">
        <x:f>(1+J18)^(1/(M18-M17))-1</x:f>
        <x:v>0.10820192403054651</x:v>
      </x:c>
      <x:c r="L18" s="90" t="str">
        <x:f>IF(COUNT(C18:H18)&lt;&gt;6,"请填百分比",IF(MIN(C18:H18)&lt;0,"低于0%",IF(MAX(C18:H18)&gt;1,"超过100%",IF(SUMPRODUCT(--(C18:H18&lt;C17:H17))&gt;0,"低于前节点",IF(SUMPRODUCT(--($M18&lt;'参数说明'!$C$26:$H$26),--(C18:H18&lt;&gt;0))&gt;0,"未开启应填0","通过")))))</x:f>
        <x:v>通过</x:v>
      </x:c>
      <x:c r="M18" s="53" t="n">
        <x:v>10</x:v>
      </x:c>
    </x:row>
    <x:row r="19" ht="44" customHeight="1">
      <x:c r="A19" s="40" t="str">
        <x:v>1-8</x:v>
      </x:c>
      <x:c r="B19" s="50" t="str">
        <x:v>第1章结束</x:v>
      </x:c>
      <x:c r="C19" s="54" t="n">
        <x:v>0.1554935218938289</x:v>
      </x:c>
      <x:c r="D19" s="54" t="n">
        <x:v>0</x:v>
      </x:c>
      <x:c r="E19" s="54" t="n">
        <x:v>0</x:v>
      </x:c>
      <x:c r="F19" s="54" t="n">
        <x:v>0</x:v>
      </x:c>
      <x:c r="G19" s="54" t="n">
        <x:v>0</x:v>
      </x:c>
      <x:c r="H19" s="54" t="n">
        <x:v>0</x:v>
      </x:c>
      <x:c r="I19" s="55" t="n">
        <x:f>IF('玩家战力_节点'!AU23=0,0,ROUND('玩家战力_节点'!AU23,2-INT(LOG10(ABS('玩家战力_节点'!AU23)))))</x:f>
        <x:v>13500</x:v>
      </x:c>
      <x:c r="J19" s="56" t="n">
        <x:f>'玩家战力_节点'!AU23/'玩家战力_节点'!AU21-1</x:f>
        <x:v>0.20753534991945588</x:v>
      </x:c>
      <x:c r="K19" s="56" t="n">
        <x:f>(1+J19)^(1/(M19-M18))-1</x:f>
        <x:v>0.09887913344437282</x:v>
      </x:c>
      <x:c r="L19" s="90" t="str">
        <x:f>IF(COUNT(C19:H19)&lt;&gt;6,"请填百分比",IF(MIN(C19:H19)&lt;0,"低于0%",IF(MAX(C19:H19)&gt;1,"超过100%",IF(SUMPRODUCT(--(C19:H19&lt;C18:H18))&gt;0,"低于前节点",IF(SUMPRODUCT(--($M19&lt;'参数说明'!$C$26:$H$26),--(C19:H19&lt;&gt;0))&gt;0,"未开启应填0","通过")))))</x:f>
        <x:v>通过</x:v>
      </x:c>
      <x:c r="M19" s="53" t="n">
        <x:v>12</x:v>
      </x:c>
    </x:row>
    <x:row r="20" ht="44" customHeight="1">
      <x:c r="A20" s="40" t="str">
        <x:v>2-1</x:v>
      </x:c>
      <x:c r="B20" s="50" t="str">
        <x:v>第2章开始</x:v>
      </x:c>
      <x:c r="C20" s="54" t="n">
        <x:v>0.16838910845930555</x:v>
      </x:c>
      <x:c r="D20" s="54" t="n">
        <x:v>0</x:v>
      </x:c>
      <x:c r="E20" s="54" t="n">
        <x:v>0</x:v>
      </x:c>
      <x:c r="F20" s="54" t="n">
        <x:v>0</x:v>
      </x:c>
      <x:c r="G20" s="54" t="n">
        <x:v>0</x:v>
      </x:c>
      <x:c r="H20" s="54" t="n">
        <x:v>0</x:v>
      </x:c>
      <x:c r="I20" s="55" t="n">
        <x:f>IF('玩家战力_节点'!AU24=0,0,ROUND('玩家战力_节点'!AU24,2-INT(LOG10(ABS('玩家战力_节点'!AU24)))))</x:f>
        <x:v>14700</x:v>
      </x:c>
      <x:c r="J20" s="56" t="n">
        <x:f>'玩家战力_节点'!AU24/'玩家战力_节点'!AU23-1</x:f>
        <x:v>0.09049136589342632</x:v>
      </x:c>
      <x:c r="K20" s="56" t="n">
        <x:f>(1+J20)^(1/(M20-M19))-1</x:f>
        <x:v>0.09049136589342632</x:v>
      </x:c>
      <x:c r="L20" s="90" t="str">
        <x:f>IF(COUNT(C20:H20)&lt;&gt;6,"请填百分比",IF(MIN(C20:H20)&lt;0,"低于0%",IF(MAX(C20:H20)&gt;1,"超过100%",IF(SUMPRODUCT(--(C20:H20&lt;C19:H19))&gt;0,"低于前节点",IF(SUMPRODUCT(--($M20&lt;'参数说明'!$C$26:$H$26),--(C20:H20&lt;&gt;0))&gt;0,"未开启应填0","通过")))))</x:f>
        <x:v>通过</x:v>
      </x:c>
      <x:c r="M20" s="53" t="n">
        <x:v>13</x:v>
      </x:c>
    </x:row>
    <x:row r="21" ht="44" customHeight="1">
      <x:c r="A21" s="40" t="str">
        <x:v>2-2</x:v>
      </x:c>
      <x:c r="B21" s="50" t="str">
        <x:v>人数系数到达整数；星盘/升星开始成长</x:v>
      </x:c>
      <x:c r="C21" s="54" t="n">
        <x:v>0.18109126122629998</x:v>
      </x:c>
      <x:c r="D21" s="54" t="n">
        <x:v>0</x:v>
      </x:c>
      <x:c r="E21" s="54" t="n">
        <x:v>0</x:v>
      </x:c>
      <x:c r="F21" s="54" t="n">
        <x:v>0</x:v>
      </x:c>
      <x:c r="G21" s="54" t="n">
        <x:v>0</x:v>
      </x:c>
      <x:c r="H21" s="54" t="n">
        <x:v>0</x:v>
      </x:c>
      <x:c r="I21" s="55" t="n">
        <x:f>IF('玩家战力_节点'!AU25=0,0,ROUND('玩家战力_节点'!AU25,2-INT(LOG10(ABS('玩家战力_节点'!AU25)))))</x:f>
        <x:v>16000</x:v>
      </x:c>
      <x:c r="J21" s="56" t="n">
        <x:f>'玩家战力_节点'!AU25/'玩家战力_节点'!AU24-1</x:f>
        <x:v>0.08604050564088617</x:v>
      </x:c>
      <x:c r="K21" s="56" t="n">
        <x:f>(1+J21)^(1/(M21-M20))-1</x:f>
        <x:v>0.08604050564088617</x:v>
      </x:c>
      <x:c r="L21" s="90" t="str">
        <x:f>IF(COUNT(C21:H21)&lt;&gt;6,"请填百分比",IF(MIN(C21:H21)&lt;0,"低于0%",IF(MAX(C21:H21)&gt;1,"超过100%",IF(SUMPRODUCT(--(C21:H21&lt;C20:H20))&gt;0,"低于前节点",IF(SUMPRODUCT(--($M21&lt;'参数说明'!$C$26:$H$26),--(C21:H21&lt;&gt;0))&gt;0,"未开启应填0","通过")))))</x:f>
        <x:v>通过</x:v>
      </x:c>
      <x:c r="M21" s="53" t="n">
        <x:v>14</x:v>
      </x:c>
    </x:row>
    <x:row r="22" ht="44" customHeight="1">
      <x:c r="A22" s="40" t="str">
        <x:v>2-3</x:v>
      </x:c>
      <x:c r="B22" s="50" t="str">
        <x:v>房车开始成长</x:v>
      </x:c>
      <x:c r="C22" s="54" t="n">
        <x:v>0.19360288170179</x:v>
      </x:c>
      <x:c r="D22" s="54" t="n">
        <x:v>0.020095060342159143</x:v>
      </x:c>
      <x:c r="E22" s="54" t="n">
        <x:v>0</x:v>
      </x:c>
      <x:c r="F22" s="54" t="n">
        <x:v>0</x:v>
      </x:c>
      <x:c r="G22" s="54" t="n">
        <x:v>0</x:v>
      </x:c>
      <x:c r="H22" s="54" t="n">
        <x:v>0</x:v>
      </x:c>
      <x:c r="I22" s="55" t="n">
        <x:f>IF('玩家战力_节点'!AU26=0,0,ROUND('玩家战力_节点'!AU26,2-INT(LOG10(ABS('玩家战力_节点'!AU26)))))</x:f>
        <x:v>16700</x:v>
      </x:c>
      <x:c r="J22" s="56" t="n">
        <x:f>'玩家战力_节点'!AU26/'玩家战力_节点'!AU25-1</x:f>
        <x:v>0.04530663329161455</x:v>
      </x:c>
      <x:c r="K22" s="56" t="n">
        <x:f>(1+J22)^(1/(M22-M21))-1</x:f>
        <x:v>0.04530663329161455</x:v>
      </x:c>
      <x:c r="L22" s="90" t="str">
        <x:f>IF(COUNT(C22:H22)&lt;&gt;6,"请填百分比",IF(MIN(C22:H22)&lt;0,"低于0%",IF(MAX(C22:H22)&gt;1,"超过100%",IF(SUMPRODUCT(--(C22:H22&lt;C21:H21))&gt;0,"低于前节点",IF(SUMPRODUCT(--($M22&lt;'参数说明'!$C$26:$H$26),--(C22:H22&lt;&gt;0))&gt;0,"未开启应填0","通过")))))</x:f>
        <x:v>通过</x:v>
      </x:c>
      <x:c r="M22" s="53" t="n">
        <x:v>15</x:v>
      </x:c>
    </x:row>
    <x:row r="23" ht="44" customHeight="1">
      <x:c r="A23" s="40" t="str">
        <x:v>2-8</x:v>
      </x:c>
      <x:c r="B23" s="50" t="str">
        <x:v>开放5人阵位</x:v>
      </x:c>
      <x:c r="C23" s="54" t="n">
        <x:v>0.2534015421545111</x:v>
      </x:c>
      <x:c r="D23" s="54" t="n">
        <x:v>0.11470021225275673</x:v>
      </x:c>
      <x:c r="E23" s="54" t="n">
        <x:v>0</x:v>
      </x:c>
      <x:c r="F23" s="54" t="n">
        <x:v>0</x:v>
      </x:c>
      <x:c r="G23" s="54" t="n">
        <x:v>0</x:v>
      </x:c>
      <x:c r="H23" s="54" t="n">
        <x:v>0.09654523421795544</x:v>
      </x:c>
      <x:c r="I23" s="55" t="n">
        <x:f>IF('玩家战力_节点'!AU31=0,0,ROUND('玩家战力_节点'!AU31,2-INT(LOG10(ABS('玩家战力_节点'!AU31)))))</x:f>
        <x:v>25400</x:v>
      </x:c>
      <x:c r="J23" s="56" t="n">
        <x:f>'玩家战力_节点'!AU31/'玩家战力_节点'!AU26-1</x:f>
        <x:v>0.5227490421455938</x:v>
      </x:c>
      <x:c r="K23" s="56" t="n">
        <x:f>(1+J23)^(1/(M23-M22))-1</x:f>
        <x:v>0.08774142173529431</x:v>
      </x:c>
      <x:c r="L23" s="90" t="str">
        <x:f>IF(COUNT(C23:H23)&lt;&gt;6,"请填百分比",IF(MIN(C23:H23)&lt;0,"低于0%",IF(MAX(C23:H23)&gt;1,"超过100%",IF(SUMPRODUCT(--(C23:H23&lt;C22:H22))&gt;0,"低于前节点",IF(SUMPRODUCT(--($M23&lt;'参数说明'!$C$26:$H$26),--(C23:H23&lt;&gt;0))&gt;0,"未开启应填0","通过")))))</x:f>
        <x:v>通过</x:v>
      </x:c>
      <x:c r="M23" s="53" t="n">
        <x:v>20</x:v>
      </x:c>
    </x:row>
    <x:row r="24" ht="44" customHeight="1">
      <x:c r="A24" s="40" t="str">
        <x:v>2-12</x:v>
      </x:c>
      <x:c r="B24" s="50" t="str">
        <x:v>第2章结束；已有试调节点</x:v>
      </x:c>
      <x:c r="C24" s="54" t="n">
        <x:v>0.2980912259408604</x:v>
      </x:c>
      <x:c r="D24" s="54" t="n">
        <x:v>0.18379664919082683</x:v>
      </x:c>
      <x:c r="E24" s="54" t="n">
        <x:v>0</x:v>
      </x:c>
      <x:c r="F24" s="54" t="n">
        <x:v>0</x:v>
      </x:c>
      <x:c r="G24" s="54" t="n">
        <x:v>0</x:v>
      </x:c>
      <x:c r="H24" s="54" t="n">
        <x:v>0.1670586423473161</x:v>
      </x:c>
      <x:c r="I24" s="55" t="n">
        <x:f>IF('玩家战力_节点'!AU35=0,0,ROUND('玩家战力_节点'!AU35,2-INT(LOG10(ABS('玩家战力_节点'!AU35)))))</x:f>
        <x:v>35500</x:v>
      </x:c>
      <x:c r="J24" s="56" t="n">
        <x:f>'玩家战力_节点'!AU35/'玩家战力_节点'!AU31-1</x:f>
        <x:v>0.3951486082717408</x:v>
      </x:c>
      <x:c r="K24" s="56" t="n">
        <x:f>(1+J24)^(1/(M24-M23))-1</x:f>
        <x:v>0.08681373304000273</x:v>
      </x:c>
      <x:c r="L24" s="90" t="str">
        <x:f>IF(COUNT(C24:H24)&lt;&gt;6,"请填百分比",IF(MIN(C24:H24)&lt;0,"低于0%",IF(MAX(C24:H24)&gt;1,"超过100%",IF(SUMPRODUCT(--(C24:H24&lt;C23:H23))&gt;0,"低于前节点",IF(SUMPRODUCT(--($M24&lt;'参数说明'!$C$26:$H$26),--(C24:H24&lt;&gt;0))&gt;0,"未开启应填0","通过")))))</x:f>
        <x:v>通过</x:v>
      </x:c>
      <x:c r="M24" s="53" t="n">
        <x:v>24</x:v>
      </x:c>
    </x:row>
    <x:row r="25" ht="44" customHeight="1">
      <x:c r="A25" s="40" t="str">
        <x:v>3-1</x:v>
      </x:c>
      <x:c r="B25" s="50" t="str">
        <x:v>第3章开始；已有试调节点</x:v>
      </x:c>
      <x:c r="C25" s="54" t="n">
        <x:v>0.30615869169443893</x:v>
      </x:c>
      <x:c r="D25" s="54" t="n">
        <x:v>0.19611099470958365</x:v>
      </x:c>
      <x:c r="E25" s="54" t="n">
        <x:v>0</x:v>
      </x:c>
      <x:c r="F25" s="54" t="n">
        <x:v>0</x:v>
      </x:c>
      <x:c r="G25" s="54" t="n">
        <x:v>0</x:v>
      </x:c>
      <x:c r="H25" s="54" t="n">
        <x:v>0.17355037487254332</x:v>
      </x:c>
      <x:c r="I25" s="55" t="n">
        <x:f>IF('玩家战力_节点'!AU36=0,0,ROUND('玩家战力_节点'!AU36,2-INT(LOG10(ABS('玩家战力_节点'!AU36)))))</x:f>
        <x:v>37400</x:v>
      </x:c>
      <x:c r="J25" s="56" t="n">
        <x:f>'玩家战力_节点'!AU36/'玩家战力_节点'!AU35-1</x:f>
        <x:v>0.053202581226928114</x:v>
      </x:c>
      <x:c r="K25" s="56" t="n">
        <x:f>(1+J25)^(1/(M25-M24))-1</x:f>
        <x:v>0.053202581226928114</x:v>
      </x:c>
      <x:c r="L25" s="90" t="str">
        <x:f>IF(COUNT(C25:H25)&lt;&gt;6,"请填百分比",IF(MIN(C25:H25)&lt;0,"低于0%",IF(MAX(C25:H25)&gt;1,"超过100%",IF(SUMPRODUCT(--(C25:H25&lt;C24:H24))&gt;0,"低于前节点",IF(SUMPRODUCT(--($M25&lt;'参数说明'!$C$26:$H$26),--(C25:H25&lt;&gt;0))&gt;0,"未开启应填0","通过")))))</x:f>
        <x:v>通过</x:v>
      </x:c>
      <x:c r="M25" s="53" t="n">
        <x:v>25</x:v>
      </x:c>
    </x:row>
    <x:row r="26" ht="44" customHeight="1">
      <x:c r="A26" s="40" t="str">
        <x:v>3-5</x:v>
      </x:c>
      <x:c r="B26" s="50" t="str">
        <x:v>人数系数到达整数；已有试调节点</x:v>
      </x:c>
      <x:c r="C26" s="54" t="n">
        <x:v>0.33723645091359267</x:v>
      </x:c>
      <x:c r="D26" s="54" t="n">
        <x:v>0.24295427445940948</x:v>
      </x:c>
      <x:c r="E26" s="54" t="n">
        <x:v>0</x:v>
      </x:c>
      <x:c r="F26" s="54" t="n">
        <x:v>0</x:v>
      </x:c>
      <x:c r="G26" s="54" t="n">
        <x:v>0</x:v>
      </x:c>
      <x:c r="H26" s="54" t="n">
        <x:v>0.199264660586829</x:v>
      </x:c>
      <x:c r="I26" s="55" t="n">
        <x:f>IF('玩家战力_节点'!AU40=0,0,ROUND('玩家战力_节点'!AU40,2-INT(LOG10(ABS('玩家战力_节点'!AU40)))))</x:f>
        <x:v>45400</x:v>
      </x:c>
      <x:c r="J26" s="56" t="n">
        <x:f>'玩家战力_节点'!AU40/'玩家战力_节点'!AU36-1</x:f>
        <x:v>0.21511705685618732</x:v>
      </x:c>
      <x:c r="K26" s="56" t="n">
        <x:f>(1+J26)^(1/(M26-M25))-1</x:f>
        <x:v>0.049915939988451896</x:v>
      </x:c>
      <x:c r="L26" s="90" t="str">
        <x:f>IF(COUNT(C26:H26)&lt;&gt;6,"请填百分比",IF(MIN(C26:H26)&lt;0,"低于0%",IF(MAX(C26:H26)&gt;1,"超过100%",IF(SUMPRODUCT(--(C26:H26&lt;C25:H25))&gt;0,"低于前节点",IF(SUMPRODUCT(--($M26&lt;'参数说明'!$C$26:$H$26),--(C26:H26&lt;&gt;0))&gt;0,"未开启应填0","通过")))))</x:f>
        <x:v>通过</x:v>
      </x:c>
      <x:c r="M26" s="53" t="n">
        <x:v>29</x:v>
      </x:c>
    </x:row>
    <x:row r="27" ht="44" customHeight="1">
      <x:c r="A27" s="40" t="str">
        <x:v>3-6</x:v>
      </x:c>
      <x:c r="B27" s="50" t="str">
        <x:v>映射装备开始成长；已有试调节点</x:v>
      </x:c>
      <x:c r="C27" s="54" t="n">
        <x:v>0.34471673829258026</x:v>
      </x:c>
      <x:c r="D27" s="54" t="n">
        <x:v>0.2540854674727948</x:v>
      </x:c>
      <x:c r="E27" s="54" t="n">
        <x:v>0</x:v>
      </x:c>
      <x:c r="F27" s="54" t="n">
        <x:v>0</x:v>
      </x:c>
      <x:c r="G27" s="54" t="n">
        <x:v>0</x:v>
      </x:c>
      <x:c r="H27" s="54" t="n">
        <x:v>0.20569323201540046</x:v>
      </x:c>
      <x:c r="I27" s="55" t="n">
        <x:f>IF('玩家战力_节点'!AU41=0,0,ROUND('玩家战力_节点'!AU41,2-INT(LOG10(ABS('玩家战力_节点'!AU41)))))</x:f>
        <x:v>46600</x:v>
      </x:c>
      <x:c r="J27" s="56" t="n">
        <x:f>'玩家战力_节点'!AU41/'玩家战力_节点'!AU40-1</x:f>
        <x:v>0.02653308378289121</x:v>
      </x:c>
      <x:c r="K27" s="56" t="n">
        <x:f>(1+J27)^(1/(M27-M26))-1</x:f>
        <x:v>0.02653308378289121</x:v>
      </x:c>
      <x:c r="L27" s="90" t="str">
        <x:f>IF(COUNT(C27:H27)&lt;&gt;6,"请填百分比",IF(MIN(C27:H27)&lt;0,"低于0%",IF(MAX(C27:H27)&gt;1,"超过100%",IF(SUMPRODUCT(--(C27:H27&lt;C26:H26))&gt;0,"低于前节点",IF(SUMPRODUCT(--($M27&lt;'参数说明'!$C$26:$H$26),--(C27:H27&lt;&gt;0))&gt;0,"未开启应填0","通过")))))</x:f>
        <x:v>通过</x:v>
      </x:c>
      <x:c r="M27" s="53" t="n">
        <x:v>30</x:v>
      </x:c>
    </x:row>
    <x:row r="28" ht="44" customHeight="1">
      <x:c r="A28" s="40" t="str">
        <x:v>3-10</x:v>
      </x:c>
      <x:c r="B28" s="50" t="str">
        <x:v>已有试调节点</x:v>
      </x:c>
      <x:c r="C28" s="54" t="n">
        <x:v>0.373532549497125</x:v>
      </x:c>
      <x:c r="D28" s="54" t="n">
        <x:v>0.29642808222898265</x:v>
      </x:c>
      <x:c r="E28" s="54" t="n">
        <x:v>0</x:v>
      </x:c>
      <x:c r="F28" s="54" t="n">
        <x:v>0.03125</x:v>
      </x:c>
      <x:c r="G28" s="54" t="n">
        <x:v>0</x:v>
      </x:c>
      <x:c r="H28" s="54" t="n">
        <x:v>0.22819323201540045</x:v>
      </x:c>
      <x:c r="I28" s="55" t="n">
        <x:f>IF('玩家战力_节点'!AU45=0,0,ROUND('玩家战力_节点'!AU45,2-INT(LOG10(ABS('玩家战力_节点'!AU45)))))</x:f>
        <x:v>56700</x:v>
      </x:c>
      <x:c r="J28" s="56" t="n">
        <x:f>'玩家战力_节点'!AU45/'玩家战力_节点'!AU41-1</x:f>
        <x:v>0.21643071643071643</x:v>
      </x:c>
      <x:c r="K28" s="56" t="n">
        <x:f>(1+J28)^(1/(M28-M27))-1</x:f>
        <x:v>0.0501995902991641</x:v>
      </x:c>
      <x:c r="L28" s="90" t="str">
        <x:f>IF(COUNT(C28:H28)&lt;&gt;6,"请填百分比",IF(MIN(C28:H28)&lt;0,"低于0%",IF(MAX(C28:H28)&gt;1,"超过100%",IF(SUMPRODUCT(--(C28:H28&lt;C27:H27))&gt;0,"低于前节点",IF(SUMPRODUCT(--($M28&lt;'参数说明'!$C$26:$H$26),--(C28:H28&lt;&gt;0))&gt;0,"未开启应填0","通过")))))</x:f>
        <x:v>通过</x:v>
      </x:c>
      <x:c r="M28" s="53" t="n">
        <x:v>34</x:v>
      </x:c>
    </x:row>
    <x:row r="29" ht="44" customHeight="1">
      <x:c r="A29" s="40" t="str">
        <x:v>3-15</x:v>
      </x:c>
      <x:c r="B29" s="50" t="str">
        <x:v>第3章结束；已有试调节点</x:v>
      </x:c>
      <x:c r="C29" s="54" t="n">
        <x:v>0.40718689107526584</x:v>
      </x:c>
      <x:c r="D29" s="54" t="n">
        <x:v>0.3447641691559853</x:v>
      </x:c>
      <x:c r="E29" s="54" t="n">
        <x:v>0</x:v>
      </x:c>
      <x:c r="F29" s="54" t="n">
        <x:v>0.07500000000000001</x:v>
      </x:c>
      <x:c r="G29" s="54" t="n">
        <x:v>0</x:v>
      </x:c>
      <x:c r="H29" s="54" t="n">
        <x:v>0.25605037487254334</x:v>
      </x:c>
      <x:c r="I29" s="55" t="n">
        <x:f>IF('玩家战力_节点'!AU50=0,0,ROUND('玩家战力_节点'!AU50,2-INT(LOG10(ABS('玩家战力_节点'!AU50)))))</x:f>
        <x:v>71400</x:v>
      </x:c>
      <x:c r="J29" s="56" t="n">
        <x:f>'玩家战力_节点'!AU50/'玩家战力_节点'!AU45-1</x:f>
        <x:v>0.258155528125551</x:v>
      </x:c>
      <x:c r="K29" s="56" t="n">
        <x:f>(1+J29)^(1/(M29-M28))-1</x:f>
        <x:v>0.047000444442152345</x:v>
      </x:c>
      <x:c r="L29" s="90" t="str">
        <x:f>IF(COUNT(C29:H29)&lt;&gt;6,"请填百分比",IF(MIN(C29:H29)&lt;0,"低于0%",IF(MAX(C29:H29)&gt;1,"超过100%",IF(SUMPRODUCT(--(C29:H29&lt;C28:H28))&gt;0,"低于前节点",IF(SUMPRODUCT(--($M29&lt;'参数说明'!$C$26:$H$26),--(C29:H29&lt;&gt;0))&gt;0,"未开启应填0","通过")))))</x:f>
        <x:v>通过</x:v>
      </x:c>
      <x:c r="M29" s="53" t="n">
        <x:v>39</x:v>
      </x:c>
    </x:row>
    <x:row r="30" ht="44" customHeight="1">
      <x:c r="A30" s="40" t="str">
        <x:v>4-1</x:v>
      </x:c>
      <x:c r="B30" s="50" t="str">
        <x:v>第4章开始；已有试调节点</x:v>
      </x:c>
      <x:c r="C30" s="54" t="n">
        <x:v>0.4136179218518282</x:v>
      </x:c>
      <x:c r="D30" s="54" t="n">
        <x:v>0.35385916427543895</x:v>
      </x:c>
      <x:c r="E30" s="54" t="n">
        <x:v>0</x:v>
      </x:c>
      <x:c r="F30" s="54" t="n">
        <x:v>0.08375</x:v>
      </x:c>
      <x:c r="G30" s="54" t="n">
        <x:v>0</x:v>
      </x:c>
      <x:c r="H30" s="54" t="n">
        <x:v>0.26247894630111474</x:v>
      </x:c>
      <x:c r="I30" s="55" t="n">
        <x:f>IF('玩家战力_节点'!AU51=0,0,ROUND('玩家战力_节点'!AU51,2-INT(LOG10(ABS('玩家战力_节点'!AU51)))))</x:f>
        <x:v>74500</x:v>
      </x:c>
      <x:c r="J30" s="56" t="n">
        <x:f>'玩家战力_节点'!AU51/'玩家战力_节点'!AU50-1</x:f>
        <x:v>0.04449894884372818</x:v>
      </x:c>
      <x:c r="K30" s="56" t="n">
        <x:f>(1+J30)^(1/(M30-M29))-1</x:f>
        <x:v>0.04449894884372818</x:v>
      </x:c>
      <x:c r="L30" s="90" t="str">
        <x:f>IF(COUNT(C30:H30)&lt;&gt;6,"请填百分比",IF(MIN(C30:H30)&lt;0,"低于0%",IF(MAX(C30:H30)&gt;1,"超过100%",IF(SUMPRODUCT(--(C30:H30&lt;C29:H29))&gt;0,"低于前节点",IF(SUMPRODUCT(--($M30&lt;'参数说明'!$C$26:$H$26),--(C30:H30&lt;&gt;0))&gt;0,"未开启应填0","通过")))))</x:f>
        <x:v>通过</x:v>
      </x:c>
      <x:c r="M30" s="53" t="n">
        <x:v>40</x:v>
      </x:c>
    </x:row>
    <x:row r="31" ht="44" customHeight="1">
      <x:c r="A31" s="40" t="str">
        <x:v>4-15</x:v>
      </x:c>
      <x:c r="B31" s="50" t="str">
        <x:v>第4章结束</x:v>
      </x:c>
      <x:c r="C31" s="54" t="n">
        <x:v>0.49415318278312903</x:v>
      </x:c>
      <x:c r="D31" s="54" t="n">
        <x:v>0.4636498059317089</x:v>
      </x:c>
      <x:c r="E31" s="54" t="n">
        <x:v>0</x:v>
      </x:c>
      <x:c r="F31" s="54" t="n">
        <x:v>0.24920955649466014</x:v>
      </x:c>
      <x:c r="G31" s="54" t="n">
        <x:v>0</x:v>
      </x:c>
      <x:c r="H31" s="54" t="n">
        <x:v>0.39392416888223736</x:v>
      </x:c>
      <x:c r="I31" s="55" t="n">
        <x:f>IF('玩家战力_节点'!AU65=0,0,ROUND('玩家战力_节点'!AU65,2-INT(LOG10(ABS('玩家战力_节点'!AU65)))))</x:f>
        <x:v>142000</x:v>
      </x:c>
      <x:c r="J31" s="56" t="n">
        <x:f>'玩家战力_节点'!AU65/'玩家战力_节点'!AU51-1</x:f>
        <x:v>0.9039248574303924</x:v>
      </x:c>
      <x:c r="K31" s="56" t="n">
        <x:f>(1+J31)^(1/(M31-M30))-1</x:f>
        <x:v>0.04706823846811892</x:v>
      </x:c>
      <x:c r="L31" s="90" t="str">
        <x:f>IF(COUNT(C31:H31)&lt;&gt;6,"请填百分比",IF(MIN(C31:H31)&lt;0,"低于0%",IF(MAX(C31:H31)&gt;1,"超过100%",IF(SUMPRODUCT(--(C31:H31&lt;C30:H30))&gt;0,"低于前节点",IF(SUMPRODUCT(--($M31&lt;'参数说明'!$C$26:$H$26),--(C31:H31&lt;&gt;0))&gt;0,"未开启应填0","通过")))))</x:f>
        <x:v>通过</x:v>
      </x:c>
      <x:c r="M31" s="53" t="n">
        <x:v>54</x:v>
      </x:c>
    </x:row>
    <x:row r="32" ht="44" customHeight="1">
      <x:c r="A32" s="40" t="str">
        <x:v>5-1</x:v>
      </x:c>
      <x:c r="B32" s="50" t="str">
        <x:v>第5章开始</x:v>
      </x:c>
      <x:c r="C32" s="54" t="n">
        <x:v>0.4992797191840741</x:v>
      </x:c>
      <x:c r="D32" s="54" t="n">
        <x:v>0.4703670883156478</x:v>
      </x:c>
      <x:c r="E32" s="54" t="n">
        <x:v>0</x:v>
      </x:c>
      <x:c r="F32" s="54" t="n">
        <x:v>0.25933281060201496</x:v>
      </x:c>
      <x:c r="G32" s="54" t="n">
        <x:v>0</x:v>
      </x:c>
      <x:c r="H32" s="54" t="n">
        <x:v>0.4019663359082908</x:v>
      </x:c>
      <x:c r="I32" s="55" t="n">
        <x:f>IF('玩家战力_节点'!AU66=0,0,ROUND('玩家战力_节点'!AU66,2-INT(LOG10(ABS('玩家战力_节点'!AU66)))))</x:f>
        <x:v>147000</x:v>
      </x:c>
      <x:c r="J32" s="56" t="n">
        <x:f>'玩家战力_节点'!AU66/'玩家战力_节点'!AU65-1</x:f>
        <x:v>0.03467474804425974</x:v>
      </x:c>
      <x:c r="K32" s="56" t="n">
        <x:f>(1+J32)^(1/(M32-M31))-1</x:f>
        <x:v>0.03467474804425974</x:v>
      </x:c>
      <x:c r="L32" s="90" t="str">
        <x:f>IF(COUNT(C32:H32)&lt;&gt;6,"请填百分比",IF(MIN(C32:H32)&lt;0,"低于0%",IF(MAX(C32:H32)&gt;1,"超过100%",IF(SUMPRODUCT(--(C32:H32&lt;C31:H31))&gt;0,"低于前节点",IF(SUMPRODUCT(--($M32&lt;'参数说明'!$C$26:$H$26),--(C32:H32&lt;&gt;0))&gt;0,"未开启应填0","通过")))))</x:f>
        <x:v>通过</x:v>
      </x:c>
      <x:c r="M32" s="53" t="n">
        <x:v>55</x:v>
      </x:c>
    </x:row>
    <x:row r="33" ht="44" customHeight="1">
      <x:c r="A33" s="40" t="str">
        <x:v>5-10</x:v>
      </x:c>
      <x:c r="B33" s="50" t="str">
        <x:v>收容物开始成长</x:v>
      </x:c>
      <x:c r="C33" s="54" t="n">
        <x:v>0.5420929823633216</x:v>
      </x:c>
      <x:c r="D33" s="54" t="n">
        <x:v>0.525088486523595</x:v>
      </x:c>
      <x:c r="E33" s="54" t="n">
        <x:v>0</x:v>
      </x:c>
      <x:c r="F33" s="54" t="n">
        <x:v>0.3418004794457896</x:v>
      </x:c>
      <x:c r="G33" s="54" t="n">
        <x:v>0</x:v>
      </x:c>
      <x:c r="H33" s="54" t="n">
        <x:v>0.46748072091310056</x:v>
      </x:c>
      <x:c r="I33" s="55" t="n">
        <x:f>IF('玩家战力_节点'!AU75=0,0,ROUND('玩家战力_节点'!AU75,2-INT(LOG10(ABS('玩家战力_节点'!AU75)))))</x:f>
        <x:v>191000</x:v>
      </x:c>
      <x:c r="J33" s="56" t="n">
        <x:f>'玩家战力_节点'!AU75/'玩家战力_节点'!AU66-1</x:f>
        <x:v>0.2987875485321163</x:v>
      </x:c>
      <x:c r="K33" s="56" t="n">
        <x:f>(1+J33)^(1/(M33-M32))-1</x:f>
        <x:v>0.029473913592943157</x:v>
      </x:c>
      <x:c r="L33" s="90" t="str">
        <x:f>IF(COUNT(C33:H33)&lt;&gt;6,"请填百分比",IF(MIN(C33:H33)&lt;0,"低于0%",IF(MAX(C33:H33)&gt;1,"超过100%",IF(SUMPRODUCT(--(C33:H33&lt;C32:H32))&gt;0,"低于前节点",IF(SUMPRODUCT(--($M33&lt;'参数说明'!$C$26:$H$26),--(C33:H33&lt;&gt;0))&gt;0,"未开启应填0","通过")))))</x:f>
        <x:v>通过</x:v>
      </x:c>
      <x:c r="M33" s="53" t="n">
        <x:v>64</x:v>
      </x:c>
    </x:row>
    <x:row r="34" ht="44" customHeight="1">
      <x:c r="A34" s="40" t="str">
        <x:v>5-15</x:v>
      </x:c>
      <x:c r="B34" s="50" t="str">
        <x:v>第5章结束</x:v>
      </x:c>
      <x:c r="C34" s="54" t="n">
        <x:v>0.5634789060746966</x:v>
      </x:c>
      <x:c r="D34" s="54" t="n">
        <x:v>0.5514550640025815</x:v>
      </x:c>
      <x:c r="E34" s="54" t="n">
        <x:v>0.07300776701056211</x:v>
      </x:c>
      <x:c r="F34" s="54" t="n">
        <x:v>0.38153612676638293</x:v>
      </x:c>
      <x:c r="G34" s="54" t="n">
        <x:v>0</x:v>
      </x:c>
      <x:c r="H34" s="54" t="n">
        <x:v>0.4990477159970559</x:v>
      </x:c>
      <x:c r="I34" s="55" t="n">
        <x:f>IF('玩家战力_节点'!AU80=0,0,ROUND('玩家战力_节点'!AU80,2-INT(LOG10(ABS('玩家战力_节点'!AU80)))))</x:f>
        <x:v>225000</x:v>
      </x:c>
      <x:c r="J34" s="56" t="n">
        <x:f>'玩家战力_节点'!AU80/'玩家战力_节点'!AU75-1</x:f>
        <x:v>0.17771076438966826</x:v>
      </x:c>
      <x:c r="K34" s="56" t="n">
        <x:f>(1+J34)^(1/(M34-M33))-1</x:f>
        <x:v>0.033255507641138715</x:v>
      </x:c>
      <x:c r="L34" s="90" t="str">
        <x:f>IF(COUNT(C34:H34)&lt;&gt;6,"请填百分比",IF(MIN(C34:H34)&lt;0,"低于0%",IF(MAX(C34:H34)&gt;1,"超过100%",IF(SUMPRODUCT(--(C34:H34&lt;C33:H33))&gt;0,"低于前节点",IF(SUMPRODUCT(--($M34&lt;'参数说明'!$C$26:$H$26),--(C34:H34&lt;&gt;0))&gt;0,"未开启应填0","通过")))))</x:f>
        <x:v>通过</x:v>
      </x:c>
      <x:c r="M34" s="53" t="n">
        <x:v>69</x:v>
      </x:c>
    </x:row>
    <x:row r="35" ht="44" customHeight="1">
      <x:c r="A35" s="40" t="str">
        <x:v>6-1</x:v>
      </x:c>
      <x:c r="B35" s="50" t="str">
        <x:v>第6章开始</x:v>
      </x:c>
      <x:c r="C35" s="54" t="n">
        <x:v>0.5675655566262675</x:v>
      </x:c>
      <x:c r="D35" s="54" t="n">
        <x:v>0.5564162412251035</x:v>
      </x:c>
      <x:c r="E35" s="54" t="n">
        <x:v>0.08674502475850651</x:v>
      </x:c>
      <x:c r="F35" s="54" t="n">
        <x:v>0.38901284946830306</x:v>
      </x:c>
      <x:c r="G35" s="54" t="n">
        <x:v>0</x:v>
      </x:c>
      <x:c r="H35" s="54" t="n">
        <x:v>0.5049874120808118</x:v>
      </x:c>
      <x:c r="I35" s="55" t="n">
        <x:f>IF('玩家战力_节点'!AU81=0,0,ROUND('玩家战力_节点'!AU81,2-INT(LOG10(ABS('玩家战力_节点'!AU81)))))</x:f>
        <x:v>231000</x:v>
      </x:c>
      <x:c r="J35" s="56" t="n">
        <x:f>'玩家战力_节点'!AU81/'玩家战力_节点'!AU80-1</x:f>
        <x:v>0.029791592447452775</x:v>
      </x:c>
      <x:c r="K35" s="56" t="n">
        <x:f>(1+J35)^(1/(M35-M34))-1</x:f>
        <x:v>0.029791592447452775</x:v>
      </x:c>
      <x:c r="L35" s="90" t="str">
        <x:f>IF(COUNT(C35:H35)&lt;&gt;6,"请填百分比",IF(MIN(C35:H35)&lt;0,"低于0%",IF(MAX(C35:H35)&gt;1,"超过100%",IF(SUMPRODUCT(--(C35:H35&lt;C34:H34))&gt;0,"低于前节点",IF(SUMPRODUCT(--($M35&lt;'参数说明'!$C$26:$H$26),--(C35:H35&lt;&gt;0))&gt;0,"未开启应填0","通过")))))</x:f>
        <x:v>通过</x:v>
      </x:c>
      <x:c r="M35" s="53" t="n">
        <x:v>70</x:v>
      </x:c>
    </x:row>
    <x:row r="36" ht="44" customHeight="1">
      <x:c r="A36" s="40" t="str">
        <x:v>6-15</x:v>
      </x:c>
      <x:c r="B36" s="50" t="str">
        <x:v>第6章结束</x:v>
      </x:c>
      <x:c r="C36" s="54" t="n">
        <x:v>0.6187423399352941</x:v>
      </x:c>
      <x:c r="D36" s="54" t="n">
        <x:v>0.6163053146635349</x:v>
      </x:c>
      <x:c r="E36" s="54" t="n">
        <x:v>0.25257494802238617</x:v>
      </x:c>
      <x:c r="F36" s="54" t="n">
        <x:v>0.47926844302811267</x:v>
      </x:c>
      <x:c r="G36" s="54" t="n">
        <x:v>0</x:v>
      </x:c>
      <x:c r="H36" s="54" t="n">
        <x:v>0.5766887198565497</x:v>
      </x:c>
      <x:c r="I36" s="55" t="n">
        <x:f>IF('玩家战力_节点'!AU95=0,0,ROUND('玩家战力_节点'!AU95,2-INT(LOG10(ABS('玩家战力_节点'!AU95)))))</x:f>
        <x:v>320000</x:v>
      </x:c>
      <x:c r="J36" s="56" t="n">
        <x:f>'玩家战力_节点'!AU95/'玩家战力_节点'!AU81-1</x:f>
        <x:v>0.38547027027027037</x:v>
      </x:c>
      <x:c r="K36" s="56" t="n">
        <x:f>(1+J36)^(1/(M36-M35))-1</x:f>
        <x:v>0.02356184039731235</x:v>
      </x:c>
      <x:c r="L36" s="90" t="str">
        <x:f>IF(COUNT(C36:H36)&lt;&gt;6,"请填百分比",IF(MIN(C36:H36)&lt;0,"低于0%",IF(MAX(C36:H36)&gt;1,"超过100%",IF(SUMPRODUCT(--(C36:H36&lt;C35:H35))&gt;0,"低于前节点",IF(SUMPRODUCT(--($M36&lt;'参数说明'!$C$26:$H$26),--(C36:H36&lt;&gt;0))&gt;0,"未开启应填0","通过")))))</x:f>
        <x:v>通过</x:v>
      </x:c>
      <x:c r="M36" s="53" t="n">
        <x:v>84</x:v>
      </x:c>
    </x:row>
    <x:row r="37" ht="44" customHeight="1">
      <x:c r="A37" s="40" t="str">
        <x:v>7-1</x:v>
      </x:c>
      <x:c r="B37" s="50" t="str">
        <x:v>第7章开始</x:v>
      </x:c>
      <x:c r="C37" s="54" t="n">
        <x:v>0.622000038978956</x:v>
      </x:c>
      <x:c r="D37" s="54" t="n">
        <x:v>0.6199694868728378</x:v>
      </x:c>
      <x:c r="E37" s="54" t="n">
        <x:v>0.2627208621500942</x:v>
      </x:c>
      <x:c r="F37" s="54" t="n">
        <x:v>0.48479051940479945</x:v>
      </x:c>
      <x:c r="G37" s="54" t="n">
        <x:v>0</x:v>
      </x:c>
      <x:c r="H37" s="54" t="n">
        <x:v>0.5810755958631152</x:v>
      </x:c>
      <x:c r="I37" s="55" t="n">
        <x:f>IF('玩家战力_节点'!AU96=0,0,ROUND('玩家战力_节点'!AU96,2-INT(LOG10(ABS('玩家战力_节点'!AU96)))))</x:f>
        <x:v>326000</x:v>
      </x:c>
      <x:c r="J37" s="56" t="n">
        <x:f>'玩家战力_节点'!AU96/'玩家战力_节点'!AU95-1</x:f>
        <x:v>0.018649146352882395</x:v>
      </x:c>
      <x:c r="K37" s="56" t="n">
        <x:f>(1+J37)^(1/(M37-M36))-1</x:f>
        <x:v>0.018649146352882395</x:v>
      </x:c>
      <x:c r="L37" s="90" t="str">
        <x:f>IF(COUNT(C37:H37)&lt;&gt;6,"请填百分比",IF(MIN(C37:H37)&lt;0,"低于0%",IF(MAX(C37:H37)&gt;1,"超过100%",IF(SUMPRODUCT(--(C37:H37&lt;C36:H36))&gt;0,"低于前节点",IF(SUMPRODUCT(--($M37&lt;'参数说明'!$C$26:$H$26),--(C37:H37&lt;&gt;0))&gt;0,"未开启应填0","通过")))))</x:f>
        <x:v>通过</x:v>
      </x:c>
      <x:c r="M37" s="53" t="n">
        <x:v>85</x:v>
      </x:c>
    </x:row>
    <x:row r="38" ht="44" customHeight="1">
      <x:c r="A38" s="40" t="str">
        <x:v>7-15</x:v>
      </x:c>
      <x:c r="B38" s="50" t="str">
        <x:v>第7章结束</x:v>
      </x:c>
      <x:c r="C38" s="54" t="n">
        <x:v>0.6627959318353742</x:v>
      </x:c>
      <x:c r="D38" s="54" t="n">
        <x:v>0.6642017061005239</x:v>
      </x:c>
      <x:c r="E38" s="54" t="n">
        <x:v>0.3851977197668538</x:v>
      </x:c>
      <x:c r="F38" s="54" t="n">
        <x:v>0.5514505121489955</x:v>
      </x:c>
      <x:c r="G38" s="54" t="n">
        <x:v>0</x:v>
      </x:c>
      <x:c r="H38" s="54" t="n">
        <x:v>0.6340319664055426</x:v>
      </x:c>
      <x:c r="I38" s="55" t="n">
        <x:f>IF('玩家战力_节点'!AU110=0,0,ROUND('玩家战力_节点'!AU110,2-INT(LOG10(ABS('玩家战力_节点'!AU110)))))</x:f>
        <x:v>403000</x:v>
      </x:c>
      <x:c r="J38" s="56" t="n">
        <x:f>'玩家战力_节点'!AU110/'玩家战力_节点'!AU96-1</x:f>
        <x:v>0.2362538875185758</x:v>
      </x:c>
      <x:c r="K38" s="56" t="n">
        <x:f>(1+J38)^(1/(M38-M37))-1</x:f>
        <x:v>0.015264309496685557</x:v>
      </x:c>
      <x:c r="L38" s="90" t="str">
        <x:f>IF(COUNT(C38:H38)&lt;&gt;6,"请填百分比",IF(MIN(C38:H38)&lt;0,"低于0%",IF(MAX(C38:H38)&gt;1,"超过100%",IF(SUMPRODUCT(--(C38:H38&lt;C37:H37))&gt;0,"低于前节点",IF(SUMPRODUCT(--($M38&lt;'参数说明'!$C$26:$H$26),--(C38:H38&lt;&gt;0))&gt;0,"未开启应填0","通过")))))</x:f>
        <x:v>通过</x:v>
      </x:c>
      <x:c r="M38" s="53" t="n">
        <x:v>99</x:v>
      </x:c>
    </x:row>
    <x:row r="39" ht="44" customHeight="1">
      <x:c r="A39" s="40" t="str">
        <x:v>8-1</x:v>
      </x:c>
      <x:c r="B39" s="50" t="str">
        <x:v>第8章开始；旅券开始成长</x:v>
      </x:c>
      <x:c r="C39" s="54" t="n">
        <x:v>0.6653928270005349</x:v>
      </x:c>
      <x:c r="D39" s="54" t="n">
        <x:v>0.6669079504810875</x:v>
      </x:c>
      <x:c r="E39" s="54" t="n">
        <x:v>0.39269117845967194</x:v>
      </x:c>
      <x:c r="F39" s="54" t="n">
        <x:v>0.5555289471432637</x:v>
      </x:c>
      <x:c r="G39" s="54" t="n">
        <x:v>0</x:v>
      </x:c>
      <x:c r="H39" s="54" t="n">
        <x:v>0.6372719774811296</x:v>
      </x:c>
      <x:c r="I39" s="55" t="n">
        <x:f>IF('玩家战力_节点'!AU111=0,0,ROUND('玩家战力_节点'!AU111,2-INT(LOG10(ABS('玩家战力_节点'!AU111)))))</x:f>
        <x:v>409000</x:v>
      </x:c>
      <x:c r="J39" s="56" t="n">
        <x:f>'玩家战力_节点'!AU111/'玩家战力_节点'!AU110-1</x:f>
        <x:v>0.012466850075594227</x:v>
      </x:c>
      <x:c r="K39" s="56" t="n">
        <x:f>(1+J39)^(1/(M39-M38))-1</x:f>
        <x:v>0.012466850075594227</x:v>
      </x:c>
      <x:c r="L39" s="90" t="str">
        <x:f>IF(COUNT(C39:H39)&lt;&gt;6,"请填百分比",IF(MIN(C39:H39)&lt;0,"低于0%",IF(MAX(C39:H39)&gt;1,"超过100%",IF(SUMPRODUCT(--(C39:H39&lt;C38:H38))&gt;0,"低于前节点",IF(SUMPRODUCT(--($M39&lt;'参数说明'!$C$26:$H$26),--(C39:H39&lt;&gt;0))&gt;0,"未开启应填0","通过")))))</x:f>
        <x:v>通过</x:v>
      </x:c>
      <x:c r="M39" s="53" t="n">
        <x:v>100</x:v>
      </x:c>
    </x:row>
    <x:row r="40" ht="44" customHeight="1">
      <x:c r="A40" s="40" t="str">
        <x:v>8-15</x:v>
      </x:c>
      <x:c r="B40" s="50" t="str">
        <x:v>第8章结束</x:v>
      </x:c>
      <x:c r="C40" s="54" t="n">
        <x:v>0.7083372007965745</x:v>
      </x:c>
      <x:c r="D40" s="54" t="n">
        <x:v>0.7130232754776997</x:v>
      </x:c>
      <x:c r="E40" s="54" t="n">
        <x:v>0.49574485941855795</x:v>
      </x:c>
      <x:c r="F40" s="54" t="n">
        <x:v>0.6205285641524183</x:v>
      </x:c>
      <x:c r="G40" s="54" t="n">
        <x:v>0.19482290218075313</x:v>
      </x:c>
      <x:c r="H40" s="54" t="n">
        <x:v>0.689662415320845</x:v>
      </x:c>
      <x:c r="I40" s="55" t="n">
        <x:f>IF('玩家战力_节点'!AU125=0,0,ROUND('玩家战力_节点'!AU125,2-INT(LOG10(ABS('玩家战力_节点'!AU125)))))</x:f>
        <x:v>542000</x:v>
      </x:c>
      <x:c r="J40" s="56" t="n">
        <x:f>'玩家战力_节点'!AU125/'玩家战力_节点'!AU111-1</x:f>
        <x:v>0.3273806609547123</x:v>
      </x:c>
      <x:c r="K40" s="56" t="n">
        <x:f>(1+J40)^(1/(M40-M39))-1</x:f>
        <x:v>0.020435107503087746</x:v>
      </x:c>
      <x:c r="L40" s="90" t="str">
        <x:f>IF(COUNT(C40:H40)&lt;&gt;6,"请填百分比",IF(MIN(C40:H40)&lt;0,"低于0%",IF(MAX(C40:H40)&gt;1,"超过100%",IF(SUMPRODUCT(--(C40:H40&lt;C39:H39))&gt;0,"低于前节点",IF(SUMPRODUCT(--($M40&lt;'参数说明'!$C$26:$H$26),--(C40:H40&lt;&gt;0))&gt;0,"未开启应填0","通过")))))</x:f>
        <x:v>通过</x:v>
      </x:c>
      <x:c r="M40" s="53" t="n">
        <x:v>114</x:v>
      </x:c>
    </x:row>
    <x:row r="41" ht="44" customHeight="1">
      <x:c r="A41" s="40" t="str">
        <x:v>9-1</x:v>
      </x:c>
      <x:c r="B41" s="50" t="str">
        <x:v>第9章开始</x:v>
      </x:c>
      <x:c r="C41" s="54" t="n">
        <x:v>0.7112097049607333</x:v>
      </x:c>
      <x:c r="D41" s="54" t="n">
        <x:v>0.7160383388198794</x:v>
      </x:c>
      <x:c r="E41" s="54" t="n">
        <x:v>0.5023336081332045</x:v>
      </x:c>
      <x:c r="F41" s="54" t="n">
        <x:v>0.6247510962026366</x:v>
      </x:c>
      <x:c r="G41" s="54" t="n">
        <x:v>0.20711789716711534</x:v>
      </x:c>
      <x:c r="H41" s="54" t="n">
        <x:v>0.6930706943866014</x:v>
      </x:c>
      <x:c r="I41" s="55" t="n">
        <x:f>IF('玩家战力_节点'!AU126=0,0,ROUND('玩家战力_节点'!AU126,2-INT(LOG10(ABS('玩家战力_节点'!AU126)))))</x:f>
        <x:v>552000</x:v>
      </x:c>
      <x:c r="J41" s="56" t="n">
        <x:f>'玩家战力_节点'!AU126/'玩家战力_节点'!AU125-1</x:f>
        <x:v>0.017169677353914725</x:v>
      </x:c>
      <x:c r="K41" s="56" t="n">
        <x:f>(1+J41)^(1/(M41-M40))-1</x:f>
        <x:v>0.017169677353914725</x:v>
      </x:c>
      <x:c r="L41" s="90" t="str">
        <x:f>IF(COUNT(C41:H41)&lt;&gt;6,"请填百分比",IF(MIN(C41:H41)&lt;0,"低于0%",IF(MAX(C41:H41)&gt;1,"超过100%",IF(SUMPRODUCT(--(C41:H41&lt;C40:H40))&gt;0,"低于前节点",IF(SUMPRODUCT(--($M41&lt;'参数说明'!$C$26:$H$26),--(C41:H41&lt;&gt;0))&gt;0,"未开启应填0","通过")))))</x:f>
        <x:v>通过</x:v>
      </x:c>
      <x:c r="M41" s="53" t="n">
        <x:v>115</x:v>
      </x:c>
    </x:row>
    <x:row r="42" ht="44" customHeight="1">
      <x:c r="A42" s="40" t="str">
        <x:v>9-15</x:v>
      </x:c>
      <x:c r="B42" s="50" t="str">
        <x:v>第9章结束</x:v>
      </x:c>
      <x:c r="C42" s="54" t="n">
        <x:v>0.7490114246962456</x:v>
      </x:c>
      <x:c r="D42" s="54" t="n">
        <x:v>0.7549682051428311</x:v>
      </x:c>
      <x:c r="E42" s="54" t="n">
        <x:v>0.5854911044951786</x:v>
      </x:c>
      <x:c r="F42" s="54" t="n">
        <x:v>0.6789218958607023</x:v>
      </x:c>
      <x:c r="G42" s="54" t="n">
        <x:v>0.360178218778613</x:v>
      </x:c>
      <x:c r="H42" s="54" t="n">
        <x:v>0.7368584480589011</x:v>
      </x:c>
      <x:c r="I42" s="55" t="n">
        <x:f>IF('玩家战力_节点'!AU140=0,0,ROUND('玩家战力_节点'!AU140,2-INT(LOG10(ABS('玩家战力_节点'!AU140)))))</x:f>
        <x:v>677000</x:v>
      </x:c>
      <x:c r="J42" s="56" t="n">
        <x:f>'玩家战力_节点'!AU140/'玩家战力_节点'!AU126-1</x:f>
        <x:v>0.22820440761859873</x:v>
      </x:c>
      <x:c r="K42" s="56" t="n">
        <x:f>(1+J42)^(1/(M42-M41))-1</x:f>
        <x:v>0.014790692093137547</x:v>
      </x:c>
      <x:c r="L42" s="90" t="str">
        <x:f>IF(COUNT(C42:H42)&lt;&gt;6,"请填百分比",IF(MIN(C42:H42)&lt;0,"低于0%",IF(MAX(C42:H42)&gt;1,"超过100%",IF(SUMPRODUCT(--(C42:H42&lt;C41:H41))&gt;0,"低于前节点",IF(SUMPRODUCT(--($M42&lt;'参数说明'!$C$26:$H$26),--(C42:H42&lt;&gt;0))&gt;0,"未开启应填0","通过")))))</x:f>
        <x:v>通过</x:v>
      </x:c>
      <x:c r="M42" s="53" t="n">
        <x:v>129</x:v>
      </x:c>
    </x:row>
    <x:row r="43" ht="44" customHeight="1">
      <x:c r="A43" s="40" t="str">
        <x:v>10-1</x:v>
      </x:c>
      <x:c r="B43" s="50" t="str">
        <x:v>第10章开始</x:v>
      </x:c>
      <x:c r="C43" s="54" t="n">
        <x:v>0.7515505124937499</x:v>
      </x:c>
      <x:c r="D43" s="54" t="n">
        <x:v>0.7575360260903223</x:v>
      </x:c>
      <x:c r="E43" s="54" t="n">
        <x:v>0.5908414608331621</x:v>
      </x:c>
      <x:c r="F43" s="54" t="n">
        <x:v>0.6824704130117043</x:v>
      </x:c>
      <x:c r="G43" s="54" t="n">
        <x:v>0.3698737977234289</x:v>
      </x:c>
      <x:c r="H43" s="54" t="n">
        <x:v>0.7397312727796361</x:v>
      </x:c>
      <x:c r="I43" s="55" t="n">
        <x:f>IF('玩家战力_节点'!AU141=0,0,ROUND('玩家战力_节点'!AU141,2-INT(LOG10(ABS('玩家战力_节点'!AU141)))))</x:f>
        <x:v>686000</x:v>
      </x:c>
      <x:c r="J43" s="56" t="n">
        <x:f>'玩家战力_节点'!AU141/'玩家战力_节点'!AU140-1</x:f>
        <x:v>0.012776605010259567</x:v>
      </x:c>
      <x:c r="K43" s="56" t="n">
        <x:f>(1+J43)^(1/(M43-M42))-1</x:f>
        <x:v>0.012776605010259567</x:v>
      </x:c>
      <x:c r="L43" s="90" t="str">
        <x:f>IF(COUNT(C43:H43)&lt;&gt;6,"请填百分比",IF(MIN(C43:H43)&lt;0,"低于0%",IF(MAX(C43:H43)&gt;1,"超过100%",IF(SUMPRODUCT(--(C43:H43&lt;C42:H42))&gt;0,"低于前节点",IF(SUMPRODUCT(--($M43&lt;'参数说明'!$C$26:$H$26),--(C43:H43&lt;&gt;0))&gt;0,"未开启应填0","通过")))))</x:f>
        <x:v>通过</x:v>
      </x:c>
      <x:c r="M43" s="53" t="n">
        <x:v>130</x:v>
      </x:c>
    </x:row>
    <x:row r="44" ht="44" customHeight="1">
      <x:c r="A44" s="40" t="str">
        <x:v>10-15</x:v>
      </x:c>
      <x:c r="B44" s="50" t="str">
        <x:v>第10章结束</x:v>
      </x:c>
      <x:c r="C44" s="54" t="n">
        <x:v>0.7851058468604888</x:v>
      </x:c>
      <x:c r="D44" s="54" t="n">
        <x:v>0.7909827391182461</x:v>
      </x:c>
      <x:c r="E44" s="54" t="n">
        <x:v>0.6588163731617863</x:v>
      </x:c>
      <x:c r="F44" s="54" t="n">
        <x:v>0.7283778479721849</x:v>
      </x:c>
      <x:c r="G44" s="54" t="n">
        <x:v>0.49106550222123435</x:v>
      </x:c>
      <x:c r="H44" s="54" t="n">
        <x:v>0.7769544022322521</x:v>
      </x:c>
      <x:c r="I44" s="55" t="n">
        <x:f>IF('玩家战力_节点'!AU155=0,0,ROUND('玩家战力_节点'!AU155,2-INT(LOG10(ABS('玩家战力_节点'!AU155)))))</x:f>
        <x:v>802000</x:v>
      </x:c>
      <x:c r="J44" s="56" t="n">
        <x:f>'玩家战力_节点'!AU155/'玩家战力_节点'!AU141-1</x:f>
        <x:v>0.16927696355301602</x:v>
      </x:c>
      <x:c r="K44" s="56" t="n">
        <x:f>(1+J44)^(1/(M44-M43))-1</x:f>
        <x:v>0.01123302027589479</x:v>
      </x:c>
      <x:c r="L44" s="90" t="str">
        <x:f>IF(COUNT(C44:H44)&lt;&gt;6,"请填百分比",IF(MIN(C44:H44)&lt;0,"低于0%",IF(MAX(C44:H44)&gt;1,"超过100%",IF(SUMPRODUCT(--(C44:H44&lt;C43:H43))&gt;0,"低于前节点",IF(SUMPRODUCT(--($M44&lt;'参数说明'!$C$26:$H$26),--(C44:H44&lt;&gt;0))&gt;0,"未开启应填0","通过")))))</x:f>
        <x:v>通过</x:v>
      </x:c>
      <x:c r="M44" s="53" t="n">
        <x:v>144</x:v>
      </x:c>
    </x:row>
    <x:row r="45" ht="44" customHeight="1">
      <x:c r="A45" s="40" t="str">
        <x:v>11-1</x:v>
      </x:c>
      <x:c r="B45" s="50" t="str">
        <x:v>第11章开始</x:v>
      </x:c>
      <x:c r="C45" s="54" t="n">
        <x:v>0.787369799537158</x:v>
      </x:c>
      <x:c r="D45" s="54" t="n">
        <x:v>0.7932094605421927</x:v>
      </x:c>
      <x:c r="E45" s="54" t="n">
        <x:v>0.6632222415561877</x:v>
      </x:c>
      <x:c r="F45" s="54" t="n">
        <x:v>0.7314123124222025</x:v>
      </x:c>
      <x:c r="G45" s="54" t="n">
        <x:v>0.49877857775448564</x:v>
      </x:c>
      <x:c r="H45" s="54" t="n">
        <x:v>0.7794188505912292</x:v>
      </x:c>
      <x:c r="I45" s="55" t="n">
        <x:f>IF('玩家战力_节点'!AU156=0,0,ROUND('玩家战力_节点'!AU156,2-INT(LOG10(ABS('玩家战力_节点'!AU156)))))</x:f>
        <x:v>810000</x:v>
      </x:c>
      <x:c r="J45" s="56" t="n">
        <x:f>'玩家战力_节点'!AU156/'玩家战力_节点'!AU155-1</x:f>
        <x:v>0.009897781101969594</x:v>
      </x:c>
      <x:c r="K45" s="56" t="n">
        <x:f>(1+J45)^(1/(M45-M44))-1</x:f>
        <x:v>0.009897781101969594</x:v>
      </x:c>
      <x:c r="L45" s="90" t="str">
        <x:f>IF(COUNT(C45:H45)&lt;&gt;6,"请填百分比",IF(MIN(C45:H45)&lt;0,"低于0%",IF(MAX(C45:H45)&gt;1,"超过100%",IF(SUMPRODUCT(--(C45:H45&lt;C44:H44))&gt;0,"低于前节点",IF(SUMPRODUCT(--($M45&lt;'参数说明'!$C$26:$H$26),--(C45:H45&lt;&gt;0))&gt;0,"未开启应填0","通过")))))</x:f>
        <x:v>通过</x:v>
      </x:c>
      <x:c r="M45" s="53" t="n">
        <x:v>145</x:v>
      </x:c>
    </x:row>
    <x:row r="46" ht="44" customHeight="1">
      <x:c r="A46" s="40" t="str">
        <x:v>11-15</x:v>
      </x:c>
      <x:c r="B46" s="50" t="str">
        <x:v>第11章结束</x:v>
      </x:c>
      <x:c r="C46" s="54" t="n">
        <x:v>0.8174230097405344</x:v>
      </x:c>
      <x:c r="D46" s="54" t="n">
        <x:v>0.8224763533866176</x:v>
      </x:c>
      <x:c r="E46" s="54" t="n">
        <x:v>0.7196234356672642</x:v>
      </x:c>
      <x:c r="F46" s="54" t="n">
        <x:v>0.7710205657461076</x:v>
      </x:c>
      <x:c r="G46" s="54" t="n">
        <x:v>0.5956767632013492</x:v>
      </x:c>
      <x:c r="H46" s="54" t="n">
        <x:v>0.8116377521234985</x:v>
      </x:c>
      <x:c r="I46" s="55" t="n">
        <x:f>IF('玩家战力_节点'!AU170=0,0,ROUND('玩家战力_节点'!AU170,2-INT(LOG10(ABS('玩家战力_节点'!AU170)))))</x:f>
        <x:v>917000</x:v>
      </x:c>
      <x:c r="J46" s="56" t="n">
        <x:f>'玩家战力_节点'!AU170/'玩家战力_节点'!AU156-1</x:f>
        <x:v>0.1313476683042436</x:v>
      </x:c>
      <x:c r="K46" s="56" t="n">
        <x:f>(1+J46)^(1/(M46-M45))-1</x:f>
        <x:v>0.008853934020266241</x:v>
      </x:c>
      <x:c r="L46" s="90" t="str">
        <x:f>IF(COUNT(C46:H46)&lt;&gt;6,"请填百分比",IF(MIN(C46:H46)&lt;0,"低于0%",IF(MAX(C46:H46)&gt;1,"超过100%",IF(SUMPRODUCT(--(C46:H46&lt;C45:H45))&gt;0,"低于前节点",IF(SUMPRODUCT(--($M46&lt;'参数说明'!$C$26:$H$26),--(C46:H46&lt;&gt;0))&gt;0,"未开启应填0","通过")))))</x:f>
        <x:v>通过</x:v>
      </x:c>
      <x:c r="M46" s="53" t="n">
        <x:v>159</x:v>
      </x:c>
    </x:row>
    <x:row r="47" ht="44" customHeight="1">
      <x:c r="A47" s="40" t="str">
        <x:v>12-1</x:v>
      </x:c>
      <x:c r="B47" s="50" t="str">
        <x:v>第12章开始</x:v>
      </x:c>
      <x:c r="C47" s="54" t="n">
        <x:v>0.819460183181302</x:v>
      </x:c>
      <x:c r="D47" s="54" t="n">
        <x:v>0.8244431873857949</x:v>
      </x:c>
      <x:c r="E47" s="54" t="n">
        <x:v>0.7233096884584779</x:v>
      </x:c>
      <x:c r="F47" s="54" t="n">
        <x:v>0.7736633678705181</x:v>
      </x:c>
      <x:c r="G47" s="54" t="n">
        <x:v>0.6018793478934715</x:v>
      </x:c>
      <x:c r="H47" s="54" t="n">
        <x:v>0.8137910541053375</x:v>
      </x:c>
      <x:c r="I47" s="55" t="n">
        <x:f>IF('玩家战力_节点'!AU171=0,0,ROUND('玩家战力_节点'!AU171,2-INT(LOG10(ABS('玩家战力_节点'!AU171)))))</x:f>
        <x:v>924000</x:v>
      </x:c>
      <x:c r="J47" s="56" t="n">
        <x:f>'玩家战力_节点'!AU171/'玩家战力_节点'!AU170-1</x:f>
        <x:v>0.007937373847580531</x:v>
      </x:c>
      <x:c r="K47" s="56" t="n">
        <x:f>(1+J47)^(1/(M47-M46))-1</x:f>
        <x:v>0.007937373847580531</x:v>
      </x:c>
      <x:c r="L47" s="90" t="str">
        <x:f>IF(COUNT(C47:H47)&lt;&gt;6,"请填百分比",IF(MIN(C47:H47)&lt;0,"低于0%",IF(MAX(C47:H47)&gt;1,"超过100%",IF(SUMPRODUCT(--(C47:H47&lt;C46:H46))&gt;0,"低于前节点",IF(SUMPRODUCT(--($M47&lt;'参数说明'!$C$26:$H$26),--(C47:H47&lt;&gt;0))&gt;0,"未开启应填0","通过")))))</x:f>
        <x:v>通过</x:v>
      </x:c>
      <x:c r="M47" s="53" t="n">
        <x:v>160</x:v>
      </x:c>
    </x:row>
    <x:row r="48" ht="44" customHeight="1">
      <x:c r="A48" s="40" t="str">
        <x:v>12-15</x:v>
      </x:c>
      <x:c r="B48" s="50" t="str">
        <x:v>第12章结束</x:v>
      </x:c>
      <x:c r="C48" s="54" t="n">
        <x:v>0.8466283129763637</x:v>
      </x:c>
      <x:c r="D48" s="54" t="n">
        <x:v>0.8505268822891359</x:v>
      </x:c>
      <x:c r="E48" s="54" t="n">
        <x:v>0.7708967627310461</x:v>
      </x:c>
      <x:c r="F48" s="54" t="n">
        <x:v>0.8084743952048404</x:v>
      </x:c>
      <x:c r="G48" s="54" t="n">
        <x:v>0.6802764791251475</x:v>
      </x:c>
      <x:c r="H48" s="54" t="n">
        <x:v>0.8421989189629573</x:v>
      </x:c>
      <x:c r="I48" s="55" t="n">
        <x:f>IF('玩家战力_节点'!AU185=0,0,ROUND('玩家战力_节点'!AU185,2-INT(LOG10(ABS('玩家战力_节点'!AU185)))))</x:f>
        <x:v>1020000</x:v>
      </x:c>
      <x:c r="J48" s="56" t="n">
        <x:f>'玩家战力_节点'!AU185/'玩家战力_节点'!AU171-1</x:f>
        <x:v>0.10565853922550272</x:v>
      </x:c>
      <x:c r="K48" s="56" t="n">
        <x:f>(1+J48)^(1/(M48-M47))-1</x:f>
        <x:v>0.007200163172329077</x:v>
      </x:c>
      <x:c r="L48" s="90" t="str">
        <x:f>IF(COUNT(C48:H48)&lt;&gt;6,"请填百分比",IF(MIN(C48:H48)&lt;0,"低于0%",IF(MAX(C48:H48)&gt;1,"超过100%",IF(SUMPRODUCT(--(C48:H48&lt;C47:H47))&gt;0,"低于前节点",IF(SUMPRODUCT(--($M48&lt;'参数说明'!$C$26:$H$26),--(C48:H48&lt;&gt;0))&gt;0,"未开启应填0","通过")))))</x:f>
        <x:v>通过</x:v>
      </x:c>
      <x:c r="M48" s="53" t="n">
        <x:v>174</x:v>
      </x:c>
    </x:row>
    <x:row r="49" ht="44" customHeight="1">
      <x:c r="A49" s="40" t="str">
        <x:v>13-1</x:v>
      </x:c>
      <x:c r="B49" s="50" t="str">
        <x:v>第13章开始</x:v>
      </x:c>
      <x:c r="C49" s="54" t="n">
        <x:v>0.8484787662840645</x:v>
      </x:c>
      <x:c r="D49" s="54" t="n">
        <x:v>0.8522958910855545</x:v>
      </x:c>
      <x:c r="E49" s="54" t="n">
        <x:v>0.7740352471847358</x:v>
      </x:c>
      <x:c r="F49" s="54" t="n">
        <x:v>0.8108190656322491</x:v>
      </x:c>
      <x:c r="G49" s="54" t="n">
        <x:v>0.6853292846112281</x:v>
      </x:c>
      <x:c r="H49" s="54" t="n">
        <x:v>0.844115377645436</x:v>
      </x:c>
      <x:c r="I49" s="55" t="n">
        <x:f>IF('玩家战力_节点'!AU186=0,0,ROUND('玩家战力_节点'!AU186,2-INT(LOG10(ABS('玩家战力_节点'!AU186)))))</x:f>
        <x:v>1030000</x:v>
      </x:c>
      <x:c r="J49" s="56" t="n">
        <x:f>'玩家战力_节点'!AU186/'玩家战力_节点'!AU185-1</x:f>
        <x:v>0.006544714054247169</x:v>
      </x:c>
      <x:c r="K49" s="56" t="n">
        <x:f>(1+J49)^(1/(M49-M48))-1</x:f>
        <x:v>0.006544714054247169</x:v>
      </x:c>
      <x:c r="L49" s="90" t="str">
        <x:f>IF(COUNT(C49:H49)&lt;&gt;6,"请填百分比",IF(MIN(C49:H49)&lt;0,"低于0%",IF(MAX(C49:H49)&gt;1,"超过100%",IF(SUMPRODUCT(--(C49:H49&lt;C48:H48))&gt;0,"低于前节点",IF(SUMPRODUCT(--($M49&lt;'参数说明'!$C$26:$H$26),--(C49:H49&lt;&gt;0))&gt;0,"未开启应填0","通过")))))</x:f>
        <x:v>通过</x:v>
      </x:c>
      <x:c r="M49" s="53" t="n">
        <x:v>175</x:v>
      </x:c>
    </x:row>
    <x:row r="50" ht="44" customHeight="1">
      <x:c r="A50" s="40" t="str">
        <x:v>13-15</x:v>
      </x:c>
      <x:c r="B50" s="50" t="str">
        <x:v>第13章结束</x:v>
      </x:c>
      <x:c r="C50" s="54" t="n">
        <x:v>0.8732726294409494</x:v>
      </x:c>
      <x:c r="D50" s="54" t="n">
        <x:v>0.8759575890630551</x:v>
      </x:c>
      <x:c r="E50" s="54" t="n">
        <x:v>0.8149159301024522</x:v>
      </x:c>
      <x:c r="F50" s="54" t="n">
        <x:v>0.8419800319856378</x:v>
      </x:c>
      <x:c r="G50" s="54" t="n">
        <x:v>0.7496495355284027</x:v>
      </x:c>
      <x:c r="H50" s="54" t="n">
        <x:v>0.8696235424903282</x:v>
      </x:c>
      <x:c r="I50" s="55" t="n">
        <x:f>IF('玩家战力_节点'!AU200=0,0,ROUND('玩家战力_节点'!AU200,2-INT(LOG10(ABS('玩家战力_节点'!AU200)))))</x:f>
        <x:v>1120000</x:v>
      </x:c>
      <x:c r="J50" s="56" t="n">
        <x:f>'玩家战力_节点'!AU200/'玩家战力_节点'!AU186-1</x:f>
        <x:v>0.0876600007781192</x:v>
      </x:c>
      <x:c r="K50" s="56" t="n">
        <x:f>(1+J50)^(1/(M50-M49))-1</x:f>
        <x:v>0.006020091229632651</x:v>
      </x:c>
      <x:c r="L50" s="90" t="str">
        <x:f>IF(COUNT(C50:H50)&lt;&gt;6,"请填百分比",IF(MIN(C50:H50)&lt;0,"低于0%",IF(MAX(C50:H50)&gt;1,"超过100%",IF(SUMPRODUCT(--(C50:H50&lt;C49:H49))&gt;0,"低于前节点",IF(SUMPRODUCT(--($M50&lt;'参数说明'!$C$26:$H$26),--(C50:H50&lt;&gt;0))&gt;0,"未开启应填0","通过")))))</x:f>
        <x:v>通过</x:v>
      </x:c>
      <x:c r="M50" s="53" t="n">
        <x:v>189</x:v>
      </x:c>
    </x:row>
    <x:row r="51" ht="44" customHeight="1">
      <x:c r="A51" s="40" t="str">
        <x:v>14-1</x:v>
      </x:c>
      <x:c r="B51" s="50" t="str">
        <x:v>第14章开始</x:v>
      </x:c>
      <x:c r="C51" s="54" t="n">
        <x:v>0.8749695012058556</x:v>
      </x:c>
      <x:c r="D51" s="54" t="n">
        <x:v>0.8775761472095249</x:v>
      </x:c>
      <x:c r="E51" s="54" t="n">
        <x:v>0.8176378240446616</x:v>
      </x:c>
      <x:c r="F51" s="54" t="n">
        <x:v>0.8440979663503082</x:v>
      </x:c>
      <x:c r="G51" s="54" t="n">
        <x:v>0.7538279072899995</x:v>
      </x:c>
      <x:c r="H51" s="54" t="n">
        <x:v>0.8713598763564165</x:v>
      </x:c>
      <x:c r="I51" s="55" t="n">
        <x:f>IF('玩家战力_节点'!AU201=0,0,ROUND('玩家战力_节点'!AU201,2-INT(LOG10(ABS('玩家战力_节点'!AU201)))))</x:f>
        <x:v>1120000</x:v>
      </x:c>
      <x:c r="J51" s="56" t="n">
        <x:f>'玩家战力_节点'!AU201/'玩家战力_节点'!AU200-1</x:f>
        <x:v>0.005548873457963177</x:v>
      </x:c>
      <x:c r="K51" s="56" t="n">
        <x:f>(1+J51)^(1/(M51-M50))-1</x:f>
        <x:v>0.005548873457963177</x:v>
      </x:c>
      <x:c r="L51" s="90" t="str">
        <x:f>IF(COUNT(C51:H51)&lt;&gt;6,"请填百分比",IF(MIN(C51:H51)&lt;0,"低于0%",IF(MAX(C51:H51)&gt;1,"超过100%",IF(SUMPRODUCT(--(C51:H51&lt;C50:H50))&gt;0,"低于前节点",IF(SUMPRODUCT(--($M51&lt;'参数说明'!$C$26:$H$26),--(C51:H51&lt;&gt;0))&gt;0,"未开启应填0","通过")))))</x:f>
        <x:v>通过</x:v>
      </x:c>
      <x:c r="M51" s="53" t="n">
        <x:v>190</x:v>
      </x:c>
    </x:row>
    <x:row r="52" ht="44" customHeight="1">
      <x:c r="A52" s="40" t="str">
        <x:v>14-15</x:v>
      </x:c>
      <x:c r="B52" s="50" t="str">
        <x:v>第14章结束</x:v>
      </x:c>
      <x:c r="C52" s="54" t="n">
        <x:v>0.8978113890594814</x:v>
      </x:c>
      <x:c r="D52" s="54" t="n">
        <x:v>0.8993966055571208</x:v>
      </x:c>
      <x:c r="E52" s="54" t="n">
        <x:v>0.8534202042335588</x:v>
      </x:c>
      <x:c r="F52" s="54" t="n">
        <x:v>0.8724840997309725</x:v>
      </x:c>
      <x:c r="G52" s="54" t="n">
        <x:v>0.8074466954497462</x:v>
      </x:c>
      <x:c r="H52" s="54" t="n">
        <x:v>0.89466364427524</x:v>
      </x:c>
      <x:c r="I52" s="55" t="n">
        <x:f>IF('玩家战力_节点'!AU215=0,0,ROUND('玩家战力_节点'!AU215,2-INT(LOG10(ABS('玩家战力_节点'!AU215)))))</x:f>
        <x:v>1210000</x:v>
      </x:c>
      <x:c r="J52" s="56" t="n">
        <x:f>'玩家战力_节点'!AU215/'玩家战力_节点'!AU201-1</x:f>
        <x:v>0.07472097469874162</x:v>
      </x:c>
      <x:c r="K52" s="56" t="n">
        <x:f>(1+J52)^(1/(M52-M51))-1</x:f>
        <x:v>0.005160488938325436</x:v>
      </x:c>
      <x:c r="L52" s="90" t="str">
        <x:f>IF(COUNT(C52:H52)&lt;&gt;6,"请填百分比",IF(MIN(C52:H52)&lt;0,"低于0%",IF(MAX(C52:H52)&gt;1,"超过100%",IF(SUMPRODUCT(--(C52:H52&lt;C51:H51))&gt;0,"低于前节点",IF(SUMPRODUCT(--($M52&lt;'参数说明'!$C$26:$H$26),--(C52:H52&lt;&gt;0))&gt;0,"未开启应填0","通过")))))</x:f>
        <x:v>通过</x:v>
      </x:c>
      <x:c r="M52" s="53" t="n">
        <x:v>204</x:v>
      </x:c>
    </x:row>
    <x:row r="53" ht="44" customHeight="1">
      <x:c r="A53" s="40" t="str">
        <x:v>15-1</x:v>
      </x:c>
      <x:c r="B53" s="50" t="str">
        <x:v>第15章开始</x:v>
      </x:c>
      <x:c r="C53" s="54" t="n">
        <x:v>0.8993820566694544</x:v>
      </x:c>
      <x:c r="D53" s="54" t="n">
        <x:v>0.9009008378466256</x:v>
      </x:c>
      <x:c r="E53" s="54" t="n">
        <x:v>0.8558255354540693</x:v>
      </x:c>
      <x:c r="F53" s="54" t="n">
        <x:v>0.874429739760678</x:v>
      </x:c>
      <x:c r="G53" s="54" t="n">
        <x:v>0.810960594276557</x:v>
      </x:c>
      <x:c r="H53" s="54" t="n">
        <x:v>0.8962631031992658</x:v>
      </x:c>
      <x:c r="I53" s="55" t="n">
        <x:f>IF('玩家战力_节点'!AU216=0,0,ROUND('玩家战力_节点'!AU216,2-INT(LOG10(ABS('玩家战力_节点'!AU216)))))</x:f>
        <x:v>1210000</x:v>
      </x:c>
      <x:c r="J53" s="56" t="n">
        <x:f>'玩家战力_节点'!AU216/'玩家战力_节点'!AU215-1</x:f>
        <x:v>0.004811869554064208</x:v>
      </x:c>
      <x:c r="K53" s="56" t="n">
        <x:f>(1+J53)^(1/(M53-M52))-1</x:f>
        <x:v>0.004811869554064208</x:v>
      </x:c>
      <x:c r="L53" s="90" t="str">
        <x:f>IF(COUNT(C53:H53)&lt;&gt;6,"请填百分比",IF(MIN(C53:H53)&lt;0,"低于0%",IF(MAX(C53:H53)&gt;1,"超过100%",IF(SUMPRODUCT(--(C53:H53&lt;C52:H52))&gt;0,"低于前节点",IF(SUMPRODUCT(--($M53&lt;'参数说明'!$C$26:$H$26),--(C53:H53&lt;&gt;0))&gt;0,"未开启应填0","通过")))))</x:f>
        <x:v>通过</x:v>
      </x:c>
      <x:c r="M53" s="53" t="n">
        <x:v>205</x:v>
      </x:c>
    </x:row>
    <x:row r="54" ht="44" customHeight="1">
      <x:c r="A54" s="40" t="str">
        <x:v>15-15</x:v>
      </x:c>
      <x:c r="B54" s="50" t="str">
        <x:v>第15章结束</x:v>
      </x:c>
      <x:c r="C54" s="54" t="n">
        <x:v>0.920620632832688</x:v>
      </x:c>
      <x:c r="D54" s="54" t="n">
        <x:v>0.9213226921364308</x:v>
      </x:c>
      <x:c r="E54" s="54" t="n">
        <x:v>0.8877352492238036</x:v>
      </x:c>
      <x:c r="F54" s="54" t="n">
        <x:v>0.9007081123739173</x:v>
      </x:c>
      <x:c r="G54" s="54" t="n">
        <x:v>0.8564505604221947</x:v>
      </x:c>
      <x:c r="H54" s="54" t="n">
        <x:v>0.9178924130868269</x:v>
      </x:c>
      <x:c r="I54" s="55" t="n">
        <x:f>IF('玩家战力_节点'!AU230=0,0,ROUND('玩家战力_节点'!AU230,2-INT(LOG10(ABS('玩家战力_节点'!AU230)))))</x:f>
        <x:v>1290000</x:v>
      </x:c>
      <x:c r="J54" s="56" t="n">
        <x:f>'玩家战力_节点'!AU230/'玩家战力_节点'!AU216-1</x:f>
        <x:v>0.06524827367545516</x:v>
      </x:c>
      <x:c r="K54" s="56" t="n">
        <x:f>(1+J54)^(1/(M54-M53))-1</x:f>
        <x:v>0.004525056775404046</x:v>
      </x:c>
      <x:c r="L54" s="90" t="str">
        <x:f>IF(COUNT(C54:H54)&lt;&gt;6,"请填百分比",IF(MIN(C54:H54)&lt;0,"低于0%",IF(MAX(C54:H54)&gt;1,"超过100%",IF(SUMPRODUCT(--(C54:H54&lt;C53:H53))&gt;0,"低于前节点",IF(SUMPRODUCT(--($M54&lt;'参数说明'!$C$26:$H$26),--(C54:H54&lt;&gt;0))&gt;0,"未开启应填0","通过")))))</x:f>
        <x:v>通过</x:v>
      </x:c>
      <x:c r="M54" s="53" t="n">
        <x:v>219</x:v>
      </x:c>
    </x:row>
    <x:row r="55" ht="44" customHeight="1">
      <x:c r="A55" s="40" t="str">
        <x:v>16-1</x:v>
      </x:c>
      <x:c r="B55" s="50" t="str">
        <x:v>第16章开始</x:v>
      </x:c>
      <x:c r="C55" s="54" t="n">
        <x:v>0.9220876862142391</x:v>
      </x:c>
      <x:c r="D55" s="54" t="n">
        <x:v>0.9227401178051475</x:v>
      </x:c>
      <x:c r="E55" s="54" t="n">
        <x:v>0.8899002171453397</x:v>
      </x:c>
      <x:c r="F55" s="54" t="n">
        <x:v>0.9025229308257575</x:v>
      </x:c>
      <x:c r="G55" s="54" t="n">
        <x:v>0.8594599307756979</x:v>
      </x:c>
      <x:c r="H55" s="54" t="n">
        <x:v>0.9193879440674588</x:v>
      </x:c>
      <x:c r="I55" s="55" t="n">
        <x:f>IF('玩家战力_节点'!AU231=0,0,ROUND('玩家战力_节点'!AU231,2-INT(LOG10(ABS('玩家战力_节点'!AU231)))))</x:f>
        <x:v>1300000</x:v>
      </x:c>
      <x:c r="J55" s="56" t="n">
        <x:f>'玩家战力_节点'!AU231/'玩家战力_节点'!AU230-1</x:f>
        <x:v>0.0042635763790910275</x:v>
      </x:c>
      <x:c r="K55" s="56" t="n">
        <x:f>(1+J55)^(1/(M55-M54))-1</x:f>
        <x:v>0.0042635763790910275</x:v>
      </x:c>
      <x:c r="L55" s="90" t="str">
        <x:f>IF(COUNT(C55:H55)&lt;&gt;6,"请填百分比",IF(MIN(C55:H55)&lt;0,"低于0%",IF(MAX(C55:H55)&gt;1,"超过100%",IF(SUMPRODUCT(--(C55:H55&lt;C54:H54))&gt;0,"低于前节点",IF(SUMPRODUCT(--($M55&lt;'参数说明'!$C$26:$H$26),--(C55:H55&lt;&gt;0))&gt;0,"未开启应填0","通过")))))</x:f>
        <x:v>通过</x:v>
      </x:c>
      <x:c r="M55" s="53" t="n">
        <x:v>220</x:v>
      </x:c>
    </x:row>
    <x:row r="56" ht="44" customHeight="1">
      <x:c r="A56" s="40" t="str">
        <x:v>16-15</x:v>
      </x:c>
      <x:c r="B56" s="50" t="str">
        <x:v>第16章结束</x:v>
      </x:c>
      <x:c r="C56" s="54" t="n">
        <x:v>0.9420104809996535</x:v>
      </x:c>
      <x:c r="D56" s="54" t="n">
        <x:v>0.9421004079534558</x:v>
      </x:c>
      <x:c r="E56" s="54" t="n">
        <x:v>0.918870511585018</x:v>
      </x:c>
      <x:c r="F56" s="54" t="n">
        <x:v>0.9272014773573466</x:v>
      </x:c>
      <x:c r="G56" s="54" t="n">
        <x:v>0.8987799834889205</x:v>
      </x:c>
      <x:c r="H56" s="54" t="n">
        <x:v>0.9397463119807474</x:v>
      </x:c>
      <x:c r="I56" s="55" t="n">
        <x:f>IF('玩家战力_节点'!AU245=0,0,ROUND('玩家战力_节点'!AU245,2-INT(LOG10(ABS('玩家战力_节点'!AU245)))))</x:f>
        <x:v>1370000</x:v>
      </x:c>
      <x:c r="J56" s="56" t="n">
        <x:f>'玩家战力_节点'!AU245/'玩家战力_节点'!AU231-1</x:f>
        <x:v>0.058197270270894386</x:v>
      </x:c>
      <x:c r="K56" s="56" t="n">
        <x:f>(1+J56)^(1/(M56-M55))-1</x:f>
        <x:v>0.004048657465514083</x:v>
      </x:c>
      <x:c r="L56" s="90" t="str">
        <x:f>IF(COUNT(C56:H56)&lt;&gt;6,"请填百分比",IF(MIN(C56:H56)&lt;0,"低于0%",IF(MAX(C56:H56)&gt;1,"超过100%",IF(SUMPRODUCT(--(C56:H56&lt;C55:H55))&gt;0,"低于前节点",IF(SUMPRODUCT(--($M56&lt;'参数说明'!$C$26:$H$26),--(C56:H56&lt;&gt;0))&gt;0,"未开启应填0","通过")))))</x:f>
        <x:v>通过</x:v>
      </x:c>
      <x:c r="M56" s="53" t="n">
        <x:v>234</x:v>
      </x:c>
    </x:row>
    <x:row r="57" ht="44" customHeight="1">
      <x:c r="A57" s="40" t="str">
        <x:v>17-1</x:v>
      </x:c>
      <x:c r="B57" s="50" t="str">
        <x:v>第17章开始</x:v>
      </x:c>
      <x:c r="C57" s="54" t="n">
        <x:v>0.9433925383724879</x:v>
      </x:c>
      <x:c r="D57" s="54" t="n">
        <x:v>0.9434519712084066</x:v>
      </x:c>
      <x:c r="E57" s="54" t="n">
        <x:v>0.9208531096952767</x:v>
      </x:c>
      <x:c r="F57" s="54" t="n">
        <x:v>0.9289170381164844</x:v>
      </x:c>
      <x:c r="G57" s="54" t="n">
        <x:v>0.901406555125424</x:v>
      </x:c>
      <x:c r="H57" s="54" t="n">
        <x:v>0.9411629901602099</x:v>
      </x:c>
      <x:c r="I57" s="55" t="n">
        <x:f>IF('玩家战力_节点'!AU246=0,0,ROUND('玩家战力_节点'!AU246,2-INT(LOG10(ABS('玩家战力_节点'!AU246)))))</x:f>
        <x:v>1380000</x:v>
      </x:c>
      <x:c r="J57" s="56" t="n">
        <x:f>'玩家战力_节点'!AU246/'玩家战力_节点'!AU245-1</x:f>
        <x:v>0.0038519456144563424</x:v>
      </x:c>
      <x:c r="K57" s="56" t="n">
        <x:f>(1+J57)^(1/(M57-M56))-1</x:f>
        <x:v>0.0038519456144563424</x:v>
      </x:c>
      <x:c r="L57" s="90" t="str">
        <x:f>IF(COUNT(C57:H57)&lt;&gt;6,"请填百分比",IF(MIN(C57:H57)&lt;0,"低于0%",IF(MAX(C57:H57)&gt;1,"超过100%",IF(SUMPRODUCT(--(C57:H57&lt;C56:H56))&gt;0,"低于前节点",IF(SUMPRODUCT(--($M57&lt;'参数说明'!$C$26:$H$26),--(C57:H57&lt;&gt;0))&gt;0,"未开启应填0","通过")))))</x:f>
        <x:v>通过</x:v>
      </x:c>
      <x:c r="M57" s="53" t="n">
        <x:v>235</x:v>
      </x:c>
    </x:row>
    <x:row r="58" ht="44" customHeight="1">
      <x:c r="A58" s="40" t="str">
        <x:v>17-15</x:v>
      </x:c>
      <x:c r="B58" s="50" t="str">
        <x:v>第17章结束</x:v>
      </x:c>
      <x:c r="C58" s="54" t="n">
        <x:v>0.9622364038392051</x:v>
      </x:c>
      <x:c r="D58" s="54" t="n">
        <x:v>0.9620071009884934</x:v>
      </x:c>
      <x:c r="E58" s="54" t="n">
        <x:v>0.9475939543470084</x:v>
      </x:c>
      <x:c r="F58" s="54" t="n">
        <x:v>0.9523821708686883</x:v>
      </x:c>
      <x:c r="G58" s="54" t="n">
        <x:v>0.9360469379280327</x:v>
      </x:c>
      <x:c r="H58" s="54" t="n">
        <x:v>0.9605573917261123</x:v>
      </x:c>
      <x:c r="I58" s="55" t="n">
        <x:f>IF('玩家战力_节点'!AU260=0,0,ROUND('玩家战力_节点'!AU260,2-INT(LOG10(ABS('玩家战力_节点'!AU260)))))</x:f>
        <x:v>1450000</x:v>
      </x:c>
      <x:c r="J58" s="56" t="n">
        <x:f>'玩家战力_节点'!AU260/'玩家战力_节点'!AU246-1</x:f>
        <x:v>0.05287606210482454</x:v>
      </x:c>
      <x:c r="K58" s="56" t="n">
        <x:f>(1+J58)^(1/(M58-M57))-1</x:f>
        <x:v>0.0036871757132932448</x:v>
      </x:c>
      <x:c r="L58" s="90" t="str">
        <x:f>IF(COUNT(C58:H58)&lt;&gt;6,"请填百分比",IF(MIN(C58:H58)&lt;0,"低于0%",IF(MAX(C58:H58)&gt;1,"超过100%",IF(SUMPRODUCT(--(C58:H58&lt;C57:H57))&gt;0,"低于前节点",IF(SUMPRODUCT(--($M58&lt;'参数说明'!$C$26:$H$26),--(C58:H58&lt;&gt;0))&gt;0,"未开启应填0","通过")))))</x:f>
        <x:v>通过</x:v>
      </x:c>
      <x:c r="M58" s="53" t="n">
        <x:v>249</x:v>
      </x:c>
    </x:row>
    <x:row r="59" ht="44" customHeight="1">
      <x:c r="A59" s="40" t="str">
        <x:v>18-1</x:v>
      </x:c>
      <x:c r="B59" s="50" t="str">
        <x:v>第18章开始</x:v>
      </x:c>
      <x:c r="C59" s="54" t="n">
        <x:v>0.9635487935122442</x:v>
      </x:c>
      <x:c r="D59" s="54" t="n">
        <x:v>0.9633087280062382</x:v>
      </x:c>
      <x:c r="E59" s="54" t="n">
        <x:v>0.9494382814520829</x:v>
      </x:c>
      <x:c r="F59" s="54" t="n">
        <x:v>0.954022475417128</x:v>
      </x:c>
      <x:c r="G59" s="54" t="n">
        <x:v>0.9383832753255914</x:v>
      </x:c>
      <x:c r="H59" s="54" t="n">
        <x:v>0.9619142844838342</x:v>
      </x:c>
      <x:c r="I59" s="55" t="n">
        <x:f>IF('玩家战力_节点'!AU261=0,0,ROUND('玩家战力_节点'!AU261,2-INT(LOG10(ABS('玩家战力_节点'!AU261)))))</x:f>
        <x:v>1460000</x:v>
      </x:c>
      <x:c r="J59" s="56" t="n">
        <x:f>'玩家战力_节点'!AU261/'玩家战力_节点'!AU260-1</x:f>
        <x:v>0.0035377764318014204</x:v>
      </x:c>
      <x:c r="K59" s="56" t="n">
        <x:f>(1+J59)^(1/(M59-M58))-1</x:f>
        <x:v>0.0035377764318014204</x:v>
      </x:c>
      <x:c r="L59" s="90" t="str">
        <x:f>IF(COUNT(C59:H59)&lt;&gt;6,"请填百分比",IF(MIN(C59:H59)&lt;0,"低于0%",IF(MAX(C59:H59)&gt;1,"超过100%",IF(SUMPRODUCT(--(C59:H59&lt;C58:H58))&gt;0,"低于前节点",IF(SUMPRODUCT(--($M59&lt;'参数说明'!$C$26:$H$26),--(C59:H59&lt;&gt;0))&gt;0,"未开启应填0","通过")))))</x:f>
        <x:v>通过</x:v>
      </x:c>
      <x:c r="M59" s="53" t="n">
        <x:v>250</x:v>
      </x:c>
    </x:row>
    <x:row r="60" ht="44" customHeight="1">
      <x:c r="A60" s="40" t="str">
        <x:v>18-15</x:v>
      </x:c>
      <x:c r="B60" s="50" t="str">
        <x:v>第18章结束</x:v>
      </x:c>
      <x:c r="C60" s="54" t="n">
        <x:v>0.9815086323964737</x:v>
      </x:c>
      <x:c r="D60" s="54" t="n">
        <x:v>0.9812535912382414</x:v>
      </x:c>
      <x:c r="E60" s="54" t="n">
        <x:v>0.9744893277978988</x:v>
      </x:c>
      <x:c r="F60" s="54" t="n">
        <x:v>0.9765679083582552</x:v>
      </x:c>
      <x:c r="G60" s="54" t="n">
        <x:v>0.9694767299444134</x:v>
      </x:c>
      <x:c r="H60" s="54" t="n">
        <x:v>0.9805780534472084</x:v>
      </x:c>
      <x:c r="I60" s="55" t="n">
        <x:f>IF('玩家战力_节点'!AU275=0,0,ROUND('玩家战力_节点'!AU275,2-INT(LOG10(ABS('玩家战力_节点'!AU275)))))</x:f>
        <x:v>1530000</x:v>
      </x:c>
      <x:c r="J60" s="56" t="n">
        <x:f>'玩家战力_节点'!AU275/'玩家战力_节点'!AU261-1</x:f>
        <x:v>0.04880558013209613</x:v>
      </x:c>
      <x:c r="K60" s="56" t="n">
        <x:f>(1+J60)^(1/(M60-M59))-1</x:f>
        <x:v>0.003409511631542017</x:v>
      </x:c>
      <x:c r="L60" s="90" t="str">
        <x:f>IF(COUNT(C60:H60)&lt;&gt;6,"请填百分比",IF(MIN(C60:H60)&lt;0,"低于0%",IF(MAX(C60:H60)&gt;1,"超过100%",IF(SUMPRODUCT(--(C60:H60&lt;C59:H59))&gt;0,"低于前节点",IF(SUMPRODUCT(--($M60&lt;'参数说明'!$C$26:$H$26),--(C60:H60&lt;&gt;0))&gt;0,"未开启应填0","通过")))))</x:f>
        <x:v>通过</x:v>
      </x:c>
      <x:c r="M60" s="53" t="n">
        <x:v>264</x:v>
      </x:c>
    </x:row>
    <x:row r="61" ht="44" customHeight="1">
      <x:c r="A61" s="40" t="str">
        <x:v>19-1</x:v>
      </x:c>
      <x:c r="B61" s="50" t="str">
        <x:v>第19章开始</x:v>
      </x:c>
      <x:c r="C61" s="54" t="n">
        <x:v>0.9827639613859629</x:v>
      </x:c>
      <x:c r="D61" s="54" t="n">
        <x:v>0.9825173824461275</x:v>
      </x:c>
      <x:c r="E61" s="54" t="n">
        <x:v>0.9762288893909125</x:v>
      </x:c>
      <x:c r="F61" s="54" t="n">
        <x:v>0.978151192597637</x:v>
      </x:c>
      <x:c r="G61" s="54" t="n">
        <x:v>0.9715931619567455</x:v>
      </x:c>
      <x:c r="H61" s="54" t="n">
        <x:v>0.9818896478409409</x:v>
      </x:c>
      <x:c r="I61" s="55" t="n">
        <x:f>IF('玩家战力_节点'!AU276=0,0,ROUND('玩家战力_节点'!AU276,2-INT(LOG10(ABS('玩家战力_节点'!AU276)))))</x:f>
        <x:v>1530000</x:v>
      </x:c>
      <x:c r="J61" s="56" t="n">
        <x:f>'玩家战力_节点'!AU276/'玩家战力_节点'!AU275-1</x:f>
        <x:v>0.003292592810572925</x:v>
      </x:c>
      <x:c r="K61" s="56" t="n">
        <x:f>(1+J61)^(1/(M61-M60))-1</x:f>
        <x:v>0.003292592810572925</x:v>
      </x:c>
      <x:c r="L61" s="90" t="str">
        <x:f>IF(COUNT(C61:H61)&lt;&gt;6,"请填百分比",IF(MIN(C61:H61)&lt;0,"低于0%",IF(MAX(C61:H61)&gt;1,"超过100%",IF(SUMPRODUCT(--(C61:H61&lt;C60:H60))&gt;0,"低于前节点",IF(SUMPRODUCT(--($M61&lt;'参数说明'!$C$26:$H$26),--(C61:H61&lt;&gt;0))&gt;0,"未开启应填0","通过")))))</x:f>
        <x:v>通过</x:v>
      </x:c>
      <x:c r="M61" s="53" t="n">
        <x:v>265</x:v>
      </x:c>
    </x:row>
    <x:row r="62" ht="44" customHeight="1">
      <x:c r="A62" s="40" t="str">
        <x:v>19-15</x:v>
      </x:c>
      <x:c r="B62" s="50" t="str">
        <x:v>第19章结束；模型终点</x:v>
      </x:c>
      <x:c r="C62" s="54" t="n">
        <x:v>1</x:v>
      </x:c>
      <x:c r="D62" s="54" t="n">
        <x:v>1</x:v>
      </x:c>
      <x:c r="E62" s="54" t="n">
        <x:v>1</x:v>
      </x:c>
      <x:c r="F62" s="54" t="n">
        <x:v>0.9999999999999998</x:v>
      </x:c>
      <x:c r="G62" s="54" t="n">
        <x:v>1</x:v>
      </x:c>
      <x:c r="H62" s="54" t="n">
        <x:v>1</x:v>
      </x:c>
      <x:c r="I62" s="55" t="n">
        <x:f>IF('玩家战力_节点'!AU290=0,0,ROUND('玩家战力_节点'!AU290,2-INT(LOG10(ABS('玩家战力_节点'!AU290)))))</x:f>
        <x:v>1600000</x:v>
      </x:c>
      <x:c r="J62" s="56" t="n">
        <x:f>'玩家战力_节点'!AU290/'玩家战力_节点'!AU276-1</x:f>
        <x:v>0.04565171340579122</x:v>
      </x:c>
      <x:c r="K62" s="56" t="n">
        <x:f>(1+J62)^(1/(M62-M61))-1</x:f>
        <x:v>0.0031936847088671616</x:v>
      </x:c>
      <x:c r="L62" s="90" t="str">
        <x:f>IF(COUNT(C62:H62)&lt;&gt;6,"请填百分比",IF(MIN(C62:H62)&lt;0,"低于0%",IF(MAX(C62:H62)&gt;1,"超过100%",IF(SUMPRODUCT(--(C62:H62&lt;C61:H61))&gt;0,"低于前节点",IF(SUMPRODUCT(--($M62&lt;'参数说明'!$C$26:$H$26),--(C62:H62&lt;&gt;0))&gt;0,"未开启应填0","通过")))))</x:f>
        <x:v>通过</x:v>
      </x:c>
      <x:c r="M62" s="53" t="n">
        <x:v>279</x:v>
      </x:c>
    </x:row>
    <x:row r="63" ht="25" customHeight="1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</x:row>
    <x:row r="64" ht="25" customHeight="1">
      <x:c r="A64" s="46" t="str">
        <x:v>看本轮改前/改后：打开“本轮调整对比”。恢复本轮初始值：参数说明C37:H88→主线调参C11:H62，粘贴为数值。恢复上一版：本轮调整对比C336:H387→同一区域。</x:v>
      </x:c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</x:row>
    <x:row r="65" ht="25" customHeight="1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</x:row>
    <x:row r="66" ht="25" customHeight="1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</x:row>
    <x:row r="67" ht="25" customHeight="1">
      <x:c r="A67" s="57"/>
      <x:c r="B67" s="57"/>
      <x:c r="C67" s="57" t="str">
        <x:v>角色等级</x:v>
      </x:c>
      <x:c r="D67" s="57" t="str">
        <x:v>星盘/升星</x:v>
      </x:c>
      <x:c r="E67" s="57" t="str">
        <x:v>收容物</x:v>
      </x:c>
      <x:c r="F67" s="57" t="str">
        <x:v>映射装备</x:v>
      </x:c>
      <x:c r="G67" s="57" t="str">
        <x:v>旅券</x:v>
      </x:c>
      <x:c r="H67" s="57" t="str">
        <x:v>房车</x:v>
      </x:c>
    </x:row>
    <x:row r="68" ht="25" customHeight="1">
      <x:c r="A68" s="57" t="str">
        <x:v>开启序号（只读）</x:v>
      </x:c>
      <x:c r="B68" s="57"/>
      <x:c r="C68" s="57" t="n">
        <x:f>'参数说明'!C26</x:f>
        <x:v>1</x:v>
      </x:c>
      <x:c r="D68" s="57" t="n">
        <x:f>'参数说明'!D26</x:f>
        <x:v>14</x:v>
      </x:c>
      <x:c r="E68" s="57" t="n">
        <x:f>'参数说明'!E26</x:f>
        <x:v>64</x:v>
      </x:c>
      <x:c r="F68" s="57" t="n">
        <x:f>'参数说明'!F26</x:f>
        <x:v>30</x:v>
      </x:c>
      <x:c r="G68" s="57" t="n">
        <x:f>'参数说明'!G26</x:f>
        <x:v>100</x:v>
      </x:c>
      <x:c r="H68" s="57" t="n">
        <x:f>'参数说明'!H26</x:f>
        <x:v>15</x:v>
      </x:c>
    </x:row>
  </x:sheetData>
  <x:mergeCells>
    <x:mergeCell ref="A1:M1"/>
    <x:mergeCell ref="A2:M3"/>
    <x:mergeCell ref="A4:M5"/>
    <x:mergeCell ref="A6:M7"/>
    <x:mergeCell ref="A8:H8"/>
    <x:mergeCell ref="I8:M8"/>
    <x:mergeCell ref="A68:B68"/>
    <x:mergeCell ref="A64:M65"/>
  </x:mergeCells>
  <x:conditionalFormatting sqref="C11:H62">
    <x:cfRule type="expression" dxfId="17" priority="1">
      <x:formula>AND($M11&lt;C$68,C11=0)</x:formula>
    </x:cfRule>
    <x:cfRule type="expression" dxfId="18" priority="2">
      <x:formula>OR(NOT(ISNUMBER(C11)),C11&lt;0,C11&gt;1,AND($M11&lt;C$68,C11&lt;&gt;0))</x:formula>
    </x:cfRule>
  </x:conditionalFormatting>
  <x:conditionalFormatting sqref="C12:H62">
    <x:cfRule type="expression" dxfId="19" priority="3">
      <x:formula>C12&lt;C11</x:formula>
    </x:cfRule>
  </x:conditionalFormatting>
  <x:conditionalFormatting sqref="L11:L62">
    <x:cfRule type="expression" dxfId="20" priority="4">
      <x:formula>L11&lt;&gt;"通过"</x:formula>
    </x:cfRule>
    <x:cfRule type="containsText" dxfId="21" priority="5" operator="containsText" text="通过"/>
  </x:conditionalFormatting>
  <x:conditionalFormatting sqref="A8:H8">
    <x:cfRule type="expression" dxfId="22" priority="6">
      <x:formula>COUNTIF($L$11:$L$62,"通过")&lt;&gt;ROWS($L$11:$L$62)</x:formula>
    </x:cfRule>
  </x:conditionalFormatting>
  <x:pageMargins left="0.7" right="0.7" top="0.75" bottom="0.75" header="0.3" footer="0.3"/>
  <x:legacyDrawing xmlns:r="http://schemas.openxmlformats.org/officeDocument/2006/relationships" r:id="Re6871a43c63a46d0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2" hidden="0" customWidth="1"/>
    <x:col min="10" max="10" width="17" hidden="0" customWidth="1"/>
  </x:cols>
  <x:sheetData>
    <x:row r="1" ht="30" customHeight="1">
      <x:c r="A1" s="42" t="str">
        <x:v>曲线总览｜先看章节，再看逐关</x:v>
      </x:c>
      <x:c r="B1" s="42"/>
      <x:c r="C1" s="42"/>
      <x:c r="D1" s="42"/>
      <x:c r="E1" s="42"/>
      <x:c r="F1" s="42"/>
      <x:c r="G1" s="42"/>
      <x:c r="H1" s="42"/>
      <x:c r="I1" s="42"/>
      <x:c r="J1" s="42"/>
    </x:row>
    <x:row r="2" ht="25" customHeight="1">
      <x:c r="A2" s="48" t="str">
        <x:v>本页仍对比“最初源模型”与“当前节点结果”。本轮前后对比请看新增“本轮调整对比”页。绿色为当前结果，战力展示取3位有效数字，涨幅用精确队伍战力计算。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3" ht="25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</x:row>
    <x:row r="4" ht="25" customHeight="1">
      <x:c r="A4" s="40"/>
      <x:c r="B4" s="40"/>
      <x:c r="C4" s="40"/>
      <x:c r="D4" s="40"/>
      <x:c r="E4" s="40"/>
      <x:c r="F4" s="40"/>
      <x:c r="G4" s="40"/>
      <x:c r="H4" s="40"/>
      <x:c r="I4" s="40"/>
      <x:c r="J4" s="40"/>
    </x:row>
    <x:row r="5" ht="25" customHeight="1">
      <x:c r="A5" s="46" t="str">
        <x:v>节点输入检查</x:v>
      </x:c>
      <x:c r="B5" s="46"/>
      <x:c r="C5" s="46"/>
      <x:c r="D5" s="46"/>
      <x:c r="E5" s="46"/>
      <x:c r="F5" s="46" t="str">
        <x:v>第三章内战力倍数（3-1→3-15）</x:v>
      </x:c>
      <x:c r="G5" s="46"/>
      <x:c r="H5" s="46"/>
      <x:c r="I5" s="46"/>
      <x:c r="J5" s="46"/>
    </x:row>
    <x:row r="6" ht="25" customHeight="1">
      <x:c r="A6" s="46" t="str">
        <x:f>'主线调参'!A8</x:f>
        <x:v>节点检查：全部通过</x:v>
      </x:c>
      <x:c r="B6" s="46"/>
      <x:c r="C6" s="46"/>
      <x:c r="D6" s="46"/>
      <x:c r="E6" s="46"/>
      <x:c r="F6" s="46" t="str">
        <x:v>节点版</x:v>
      </x:c>
      <x:c r="G6" s="46"/>
      <x:c r="H6" s="64" t="n">
        <x:f>'玩家战力_节点'!AU50/'玩家战力_节点'!AU36</x:f>
        <x:v>1.909030100334448</x:v>
      </x:c>
      <x:c r="I6" s="64"/>
      <x:c r="J6" s="64"/>
    </x:row>
    <x:row r="7" ht="25" customHeight="1">
      <x:c r="A7" s="46"/>
      <x:c r="B7" s="46"/>
      <x:c r="C7" s="46"/>
      <x:c r="D7" s="46"/>
      <x:c r="E7" s="46"/>
      <x:c r="F7" s="46"/>
      <x:c r="G7" s="46"/>
      <x:c r="H7" s="64"/>
      <x:c r="I7" s="64"/>
      <x:c r="J7" s="64"/>
    </x:row>
    <x:row r="8" ht="25" customHeight="1">
      <x:c r="A8" s="40"/>
      <x:c r="B8" s="40"/>
      <x:c r="C8" s="40"/>
      <x:c r="D8" s="40"/>
      <x:c r="E8" s="40"/>
      <x:c r="F8" s="40"/>
      <x:c r="G8" s="40"/>
      <x:c r="H8" s="40"/>
      <x:c r="I8" s="40"/>
      <x:c r="J8" s="40"/>
    </x:row>
    <x:row r="9" ht="25" customHeight="1">
      <x:c r="A9" s="40"/>
      <x:c r="B9" s="40"/>
      <x:c r="C9" s="40"/>
      <x:c r="D9" s="40"/>
      <x:c r="E9" s="40"/>
      <x:c r="F9" s="40"/>
      <x:c r="G9" s="40"/>
      <x:c r="H9" s="40"/>
      <x:c r="I9" s="40"/>
      <x:c r="J9" s="40"/>
    </x:row>
    <x:row r="10" ht="25" customHeight="1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</x:row>
    <x:row r="11" ht="25" customHeight="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</x:row>
    <x:row r="12" ht="25" customHeight="1">
      <x:c r="A12" s="40"/>
      <x:c r="B12" s="40"/>
      <x:c r="C12" s="40"/>
      <x:c r="D12" s="40"/>
      <x:c r="E12" s="40"/>
      <x:c r="F12" s="40"/>
      <x:c r="G12" s="40"/>
      <x:c r="H12" s="40"/>
      <x:c r="I12" s="40"/>
      <x:c r="J12" s="40"/>
    </x:row>
    <x:row r="13" ht="25" customHeight="1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</x:row>
    <x:row r="14" ht="25" customHeight="1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</x:row>
    <x:row r="15" ht="25" customHeight="1">
      <x:c r="A15" s="40"/>
      <x:c r="B15" s="40"/>
      <x:c r="C15" s="40"/>
      <x:c r="D15" s="40"/>
      <x:c r="E15" s="40"/>
      <x:c r="F15" s="40"/>
      <x:c r="G15" s="40"/>
      <x:c r="H15" s="40"/>
      <x:c r="I15" s="40"/>
      <x:c r="J15" s="40"/>
    </x:row>
    <x:row r="16" ht="25" customHeight="1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</x:row>
    <x:row r="17" ht="25" customHeight="1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</x:row>
    <x:row r="18" ht="25" customHeight="1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</x:row>
    <x:row r="19" ht="25" customHeight="1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</x:row>
    <x:row r="20" ht="25" customHeight="1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</x:row>
    <x:row r="21" ht="25" customHeight="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</x:row>
    <x:row r="22" ht="25" customHeight="1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</x:row>
    <x:row r="23" ht="25" customHeight="1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</x:row>
    <x:row r="24" ht="44" customHeight="1">
      <x:c r="A24" s="49" t="str">
        <x:v>章节末节点</x:v>
      </x:c>
      <x:c r="B24" s="49" t="str">
        <x:v>原战力</x:v>
      </x:c>
      <x:c r="C24" s="49" t="str">
        <x:v>节点版战力</x:v>
      </x:c>
      <x:c r="D24" s="49" t="str">
        <x:v>相比原版</x:v>
      </x:c>
      <x:c r="E24" s="49" t="str">
        <x:v>原章内倍数</x:v>
      </x:c>
      <x:c r="F24" s="49" t="str">
        <x:v>节点章内倍数</x:v>
      </x:c>
      <x:c r="G24" s="49" t="str">
        <x:v>原跨章涨幅</x:v>
      </x:c>
      <x:c r="H24" s="49" t="str">
        <x:v>节点跨章涨幅</x:v>
      </x:c>
      <x:c r="I24" s="49" t="str">
        <x:v>本章最大逐关涨幅</x:v>
      </x:c>
      <x:c r="J24" s="49" t="str">
        <x:v>末关序号</x:v>
      </x:c>
    </x:row>
    <x:row r="25" ht="25" customHeight="1">
      <x:c r="A25" s="40" t="str">
        <x:v>序章</x:v>
      </x:c>
      <x:c r="B25" s="60" t="n">
        <x:f>IF('调前玩家曲线'!AU15=0,0,ROUND('调前玩家曲线'!AU15,2-INT(LOG10(ABS('调前玩家曲线'!AU15)))))</x:f>
        <x:v>4020</x:v>
      </x:c>
      <x:c r="C25" s="55" t="n">
        <x:f>IF('玩家战力_节点'!AU15=0,0,ROUND('玩家战力_节点'!AU15,2-INT(LOG10(ABS('玩家战力_节点'!AU15)))))</x:f>
        <x:v>4020</x:v>
      </x:c>
      <x:c r="D25" s="62" t="n">
        <x:f>'玩家战力_节点'!AU15/'调前玩家曲线'!AU15-1</x:f>
        <x:v>0</x:v>
      </x:c>
      <x:c r="E25" s="65" t="n">
        <x:f>'调前玩家曲线'!AU15/'调前玩家曲线'!AU12</x:f>
        <x:v>1.7917038358608386</x:v>
      </x:c>
      <x:c r="F25" s="65" t="n">
        <x:f>'玩家战力_节点'!AU15/'玩家战力_节点'!AU12</x:f>
        <x:v>1.7917038358608386</x:v>
      </x:c>
      <x:c r="G25" s="62"/>
      <x:c r="H25" s="62"/>
      <x:c r="I25" s="62" t="n">
        <x:f>MAX('玩家战力_节点'!AY13:AY15)</x:f>
        <x:v>0.3266331658291457</x:v>
      </x:c>
      <x:c r="J25" s="40" t="n">
        <x:v>4</x:v>
      </x:c>
    </x:row>
    <x:row r="26" ht="25" customHeight="1">
      <x:c r="A26" s="40" t="str">
        <x:v>第1章</x:v>
      </x:c>
      <x:c r="B26" s="60" t="n">
        <x:f>IF('调前玩家曲线'!AU23=0,0,ROUND('调前玩家曲线'!AU23,2-INT(LOG10(ABS('调前玩家曲线'!AU23)))))</x:f>
        <x:v>13500</x:v>
      </x:c>
      <x:c r="C26" s="55" t="n">
        <x:f>IF('玩家战力_节点'!AU23=0,0,ROUND('玩家战力_节点'!AU23,2-INT(LOG10(ABS('玩家战力_节点'!AU23)))))</x:f>
        <x:v>13500</x:v>
      </x:c>
      <x:c r="D26" s="62" t="n">
        <x:f>'玩家战力_节点'!AU23/'调前玩家曲线'!AU23-1</x:f>
        <x:v>0</x:v>
      </x:c>
      <x:c r="E26" s="65" t="n">
        <x:f>'调前玩家曲线'!AU23/'调前玩家曲线'!AU16</x:f>
        <x:v>2.7358069748580696</x:v>
      </x:c>
      <x:c r="F26" s="65" t="n">
        <x:f>'玩家战力_节点'!AU23/'玩家战力_节点'!AU16</x:f>
        <x:v>2.7358069748580696</x:v>
      </x:c>
      <x:c r="G26" s="62" t="n">
        <x:f>'调前玩家曲线'!AU16/'调前玩家曲线'!AU15-1</x:f>
        <x:v>0.22778192681105303</x:v>
      </x:c>
      <x:c r="H26" s="62" t="n">
        <x:f>'玩家战力_节点'!AU16/'玩家战力_节点'!AU15-1</x:f>
        <x:v>0.22778192681105303</x:v>
      </x:c>
      <x:c r="I26" s="62" t="n">
        <x:f>MAX('玩家战力_节点'!AY16:AY23)</x:f>
        <x:v>0.22778192681105303</x:v>
      </x:c>
      <x:c r="J26" s="40" t="n">
        <x:v>12</x:v>
      </x:c>
    </x:row>
    <x:row r="27" ht="25" customHeight="1">
      <x:c r="A27" s="40" t="str">
        <x:v>第2章</x:v>
      </x:c>
      <x:c r="B27" s="60" t="n">
        <x:f>IF('调前玩家曲线'!AU35=0,0,ROUND('调前玩家曲线'!AU35,2-INT(LOG10(ABS('调前玩家曲线'!AU35)))))</x:f>
        <x:v>35500</x:v>
      </x:c>
      <x:c r="C27" s="55" t="n">
        <x:f>IF('玩家战力_节点'!AU35=0,0,ROUND('玩家战力_节点'!AU35,2-INT(LOG10(ABS('玩家战力_节点'!AU35)))))</x:f>
        <x:v>35500</x:v>
      </x:c>
      <x:c r="D27" s="62" t="n">
        <x:f>'玩家战力_节点'!AU35/'调前玩家曲线'!AU35-1</x:f>
        <x:v>0</x:v>
      </x:c>
      <x:c r="E27" s="65" t="n">
        <x:f>'调前玩家曲线'!AU35/'调前玩家曲线'!AU24</x:f>
        <x:v>2.4117846948484436</x:v>
      </x:c>
      <x:c r="F27" s="65" t="n">
        <x:f>'玩家战力_节点'!AU35/'玩家战力_节点'!AU24</x:f>
        <x:v>2.4117846948484436</x:v>
      </x:c>
      <x:c r="G27" s="62" t="n">
        <x:f>'调前玩家曲线'!AU24/'调前玩家曲线'!AU23-1</x:f>
        <x:v>0.09049136589342632</x:v>
      </x:c>
      <x:c r="H27" s="62" t="n">
        <x:f>'玩家战力_节点'!AU24/'玩家战力_节点'!AU23-1</x:f>
        <x:v>0.09049136589342632</x:v>
      </x:c>
      <x:c r="I27" s="62" t="n">
        <x:f>MAX('玩家战力_节点'!AY24:AY35)</x:f>
        <x:v>0.10112554112554117</x:v>
      </x:c>
      <x:c r="J27" s="40" t="n">
        <x:v>24</x:v>
      </x:c>
    </x:row>
    <x:row r="28" ht="25" customHeight="1">
      <x:c r="A28" s="40" t="str">
        <x:v>第3章</x:v>
      </x:c>
      <x:c r="B28" s="60" t="n">
        <x:f>IF('调前玩家曲线'!AU50=0,0,ROUND('调前玩家曲线'!AU50,2-INT(LOG10(ABS('调前玩家曲线'!AU50)))))</x:f>
        <x:v>110000</x:v>
      </x:c>
      <x:c r="C28" s="55" t="n">
        <x:f>IF('玩家战力_节点'!AU50=0,0,ROUND('玩家战力_节点'!AU50,2-INT(LOG10(ABS('玩家战力_节点'!AU50)))))</x:f>
        <x:v>71400</x:v>
      </x:c>
      <x:c r="D28" s="62" t="n">
        <x:f>'玩家战力_节点'!AU50/'调前玩家曲线'!AU50-1</x:f>
        <x:v>-0.35015255703811654</x:v>
      </x:c>
      <x:c r="E28" s="65" t="n">
        <x:f>'调前玩家曲线'!AU50/'调前玩家曲线'!AU36</x:f>
        <x:v>2.8715836275663658</x:v>
      </x:c>
      <x:c r="F28" s="65" t="n">
        <x:f>'玩家战力_节点'!AU50/'玩家战力_节点'!AU36</x:f>
        <x:v>1.909030100334448</x:v>
      </x:c>
      <x:c r="G28" s="62" t="n">
        <x:f>'调前玩家曲线'!AU36/'调前玩家曲线'!AU35-1</x:f>
        <x:v>0.07743680784512641</x:v>
      </x:c>
      <x:c r="H28" s="62" t="n">
        <x:f>'玩家战力_节点'!AU36/'玩家战力_节点'!AU35-1</x:f>
        <x:v>0.053202581226928114</x:v>
      </x:c>
      <x:c r="I28" s="62" t="n">
        <x:f>MAX('玩家战力_节点'!AY36:AY50)</x:f>
        <x:v>0.053202581226928114</x:v>
      </x:c>
      <x:c r="J28" s="40" t="n">
        <x:v>39</x:v>
      </x:c>
    </x:row>
    <x:row r="29" ht="25" customHeight="1">
      <x:c r="A29" s="40" t="str">
        <x:v>第4章</x:v>
      </x:c>
      <x:c r="B29" s="60" t="n">
        <x:f>IF('调前玩家曲线'!AU65=0,0,ROUND('调前玩家曲线'!AU65,2-INT(LOG10(ABS('调前玩家曲线'!AU65)))))</x:f>
        <x:v>223000</x:v>
      </x:c>
      <x:c r="C29" s="55" t="n">
        <x:f>IF('玩家战力_节点'!AU65=0,0,ROUND('玩家战力_节点'!AU65,2-INT(LOG10(ABS('玩家战力_节点'!AU65)))))</x:f>
        <x:v>142000</x:v>
      </x:c>
      <x:c r="D29" s="62" t="n">
        <x:f>'玩家战力_节点'!AU65/'调前玩家曲线'!AU65-1</x:f>
        <x:v>-0.36365063347908955</x:v>
      </x:c>
      <x:c r="E29" s="65" t="n">
        <x:f>'调前玩家曲线'!AU65/'调前玩家曲线'!AU51</x:f>
        <x:v>1.9081340122373882</x:v>
      </x:c>
      <x:c r="F29" s="65" t="n">
        <x:f>'玩家战力_节点'!AU65/'玩家战力_节点'!AU51</x:f>
        <x:v>1.9039248574303924</x:v>
      </x:c>
      <x:c r="G29" s="62" t="n">
        <x:f>'调前玩家曲线'!AU51/'调前玩家曲线'!AU50-1</x:f>
        <x:v>0.06430165308074143</x:v>
      </x:c>
      <x:c r="H29" s="62" t="n">
        <x:f>'玩家战力_节点'!AU51/'玩家战力_节点'!AU50-1</x:f>
        <x:v>0.04449894884372818</x:v>
      </x:c>
      <x:c r="I29" s="62" t="n">
        <x:f>MAX('玩家战力_节点'!AY51:AY65)</x:f>
        <x:v>0.05434417980543449</x:v>
      </x:c>
      <x:c r="J29" s="40" t="n">
        <x:v>54</x:v>
      </x:c>
    </x:row>
    <x:row r="30" ht="25" customHeight="1">
      <x:c r="A30" s="40" t="str">
        <x:v>第5章</x:v>
      </x:c>
      <x:c r="B30" s="60" t="n">
        <x:f>IF('调前玩家曲线'!AU80=0,0,ROUND('调前玩家曲线'!AU80,2-INT(LOG10(ABS('调前玩家曲线'!AU80)))))</x:f>
        <x:v>356000</x:v>
      </x:c>
      <x:c r="C30" s="55" t="n">
        <x:f>IF('玩家战力_节点'!AU80=0,0,ROUND('玩家战力_节点'!AU80,2-INT(LOG10(ABS('玩家战力_节点'!AU80)))))</x:f>
        <x:v>225000</x:v>
      </x:c>
      <x:c r="D30" s="62" t="n">
        <x:f>'玩家战力_节点'!AU80/'调前玩家曲线'!AU80-1</x:f>
        <x:v>-0.3694525952237213</x:v>
      </x:c>
      <x:c r="E30" s="65" t="n">
        <x:f>'调前玩家曲线'!AU80/'调前玩家曲线'!AU66</x:f>
        <x:v>1.5429456491129259</x:v>
      </x:c>
      <x:c r="F30" s="65" t="n">
        <x:f>'玩家战力_节点'!AU80/'玩家战力_节点'!AU66</x:f>
        <x:v>1.5295960765615422</x:v>
      </x:c>
      <x:c r="G30" s="62" t="n">
        <x:f>'调前玩家曲线'!AU66/'调前玩家曲线'!AU65-1</x:f>
        <x:v>0.03516089247673504</x:v>
      </x:c>
      <x:c r="H30" s="62" t="n">
        <x:f>'玩家战力_节点'!AU66/'玩家战力_节点'!AU65-1</x:f>
        <x:v>0.03467474804425974</x:v>
      </x:c>
      <x:c r="I30" s="62" t="n">
        <x:f>MAX('玩家战力_节点'!AY66:AY80)</x:f>
        <x:v>0.03467474804425974</x:v>
      </x:c>
      <x:c r="J30" s="40" t="n">
        <x:v>69</x:v>
      </x:c>
    </x:row>
    <x:row r="31" ht="25" customHeight="1">
      <x:c r="A31" s="40" t="str">
        <x:v>第6章</x:v>
      </x:c>
      <x:c r="B31" s="60" t="n">
        <x:f>IF('调前玩家曲线'!AU95=0,0,ROUND('调前玩家曲线'!AU95,2-INT(LOG10(ABS('调前玩家曲线'!AU95)))))</x:f>
        <x:v>513000</x:v>
      </x:c>
      <x:c r="C31" s="55" t="n">
        <x:f>IF('玩家战力_节点'!AU95=0,0,ROUND('玩家战力_节点'!AU95,2-INT(LOG10(ABS('玩家战力_节点'!AU95)))))</x:f>
        <x:v>320000</x:v>
      </x:c>
      <x:c r="D31" s="62" t="n">
        <x:f>'玩家战力_节点'!AU95/'调前玩家曲线'!AU95-1</x:f>
        <x:v>-0.3758717419254295</x:v>
      </x:c>
      <x:c r="E31" s="65" t="n">
        <x:f>'调前玩家曲线'!AU95/'调前玩家曲线'!AU81</x:f>
        <x:v>1.3985751065945593</x:v>
      </x:c>
      <x:c r="F31" s="65" t="n">
        <x:f>'玩家战力_节点'!AU95/'玩家战力_节点'!AU81</x:f>
        <x:v>1.3854702702702704</x:v>
      </x:c>
      <x:c r="G31" s="62" t="n">
        <x:f>'调前玩家曲线'!AU81/'调前玩家曲线'!AU80-1</x:f>
        <x:v>0.030634450419082748</x:v>
      </x:c>
      <x:c r="H31" s="62" t="n">
        <x:f>'玩家战力_节点'!AU81/'玩家战力_节点'!AU80-1</x:f>
        <x:v>0.029791592447452775</x:v>
      </x:c>
      <x:c r="I31" s="62" t="n">
        <x:f>MAX('玩家战力_节点'!AY81:AY95)</x:f>
        <x:v>0.029791592447452775</x:v>
      </x:c>
      <x:c r="J31" s="40" t="n">
        <x:v>84</x:v>
      </x:c>
    </x:row>
    <x:row r="32" ht="25" customHeight="1">
      <x:c r="A32" s="40" t="str">
        <x:v>第7章</x:v>
      </x:c>
      <x:c r="B32" s="60" t="n">
        <x:f>IF('调前玩家曲线'!AU110=0,0,ROUND('调前玩家曲线'!AU110,2-INT(LOG10(ABS('调前玩家曲线'!AU110)))))</x:f>
        <x:v>651000</x:v>
      </x:c>
      <x:c r="C32" s="55" t="n">
        <x:f>IF('玩家战力_节点'!AU110=0,0,ROUND('玩家战力_节点'!AU110,2-INT(LOG10(ABS('玩家战力_节点'!AU110)))))</x:f>
        <x:v>403000</x:v>
      </x:c>
      <x:c r="D32" s="62" t="n">
        <x:f>'玩家战力_节点'!AU110/'调前玩家曲线'!AU110-1</x:f>
        <x:v>-0.38042076167076166</x:v>
      </x:c>
      <x:c r="E32" s="65" t="n">
        <x:f>'调前玩家曲线'!AU110/'调前玩家曲线'!AU96</x:f>
        <x:v>1.244636423581579</x:v>
      </x:c>
      <x:c r="F32" s="65" t="n">
        <x:f>'玩家战力_节点'!AU110/'玩家战力_节点'!AU96</x:f>
        <x:v>1.2362538875185758</x:v>
      </x:c>
      <x:c r="G32" s="62" t="n">
        <x:f>'调前玩家曲线'!AU96/'调前玩家曲线'!AU95-1</x:f>
        <x:v>0.019217282892429965</x:v>
      </x:c>
      <x:c r="H32" s="62" t="n">
        <x:f>'玩家战力_节点'!AU96/'玩家战力_节点'!AU95-1</x:f>
        <x:v>0.018649146352882395</x:v>
      </x:c>
      <x:c r="I32" s="62" t="n">
        <x:f>MAX('玩家战力_节点'!AY96:AY110)</x:f>
        <x:v>0.018649146352882395</x:v>
      </x:c>
      <x:c r="J32" s="40" t="n">
        <x:v>99</x:v>
      </x:c>
    </x:row>
    <x:row r="33" ht="25" customHeight="1">
      <x:c r="A33" s="40" t="str">
        <x:v>第8章</x:v>
      </x:c>
      <x:c r="B33" s="60" t="n">
        <x:f>IF('调前玩家曲线'!AU125=0,0,ROUND('调前玩家曲线'!AU125,2-INT(LOG10(ABS('调前玩家曲线'!AU125)))))</x:f>
        <x:v>852000</x:v>
      </x:c>
      <x:c r="C33" s="55" t="n">
        <x:f>IF('玩家战力_节点'!AU125=0,0,ROUND('玩家战力_节点'!AU125,2-INT(LOG10(ABS('玩家战力_节点'!AU125)))))</x:f>
        <x:v>542000</x:v>
      </x:c>
      <x:c r="D33" s="62" t="n">
        <x:f>'玩家战力_节点'!AU125/'调前玩家曲线'!AU125-1</x:f>
        <x:v>-0.36322640877943946</x:v>
      </x:c>
      <x:c r="E33" s="65" t="n">
        <x:f>'调前玩家曲线'!AU125/'调前玩家曲线'!AU111</x:f>
        <x:v>1.2910163208684249</x:v>
      </x:c>
      <x:c r="F33" s="65" t="n">
        <x:f>'玩家战力_节点'!AU125/'玩家战力_节点'!AU111</x:f>
        <x:v>1.3273806609547123</x:v>
      </x:c>
      <x:c r="G33" s="62" t="n">
        <x:f>'调前玩家曲线'!AU111/'调前玩家曲线'!AU110-1</x:f>
        <x:v>0.012876228501228493</x:v>
      </x:c>
      <x:c r="H33" s="62" t="n">
        <x:f>'玩家战力_节点'!AU111/'玩家战力_节点'!AU110-1</x:f>
        <x:v>0.012466850075594227</x:v>
      </x:c>
      <x:c r="I33" s="62" t="n">
        <x:f>MAX('玩家战力_节点'!AY111:AY125)</x:f>
        <x:v>0.02173806609547113</x:v>
      </x:c>
      <x:c r="J33" s="40" t="n">
        <x:v>114</x:v>
      </x:c>
    </x:row>
    <x:row r="34" ht="25" customHeight="1">
      <x:c r="A34" s="40" t="str">
        <x:v>第9章</x:v>
      </x:c>
      <x:c r="B34" s="60" t="n">
        <x:f>IF('调前玩家曲线'!AU140=0,0,ROUND('调前玩家曲线'!AU140,2-INT(LOG10(ABS('调前玩家曲线'!AU140)))))</x:f>
        <x:v>1030000</x:v>
      </x:c>
      <x:c r="C34" s="55" t="n">
        <x:f>IF('玩家战力_节点'!AU140=0,0,ROUND('玩家战力_节点'!AU140,2-INT(LOG10(ABS('玩家战力_节点'!AU140)))))</x:f>
        <x:v>677000</x:v>
      </x:c>
      <x:c r="D34" s="62" t="n">
        <x:f>'玩家战力_节点'!AU140/'调前玩家曲线'!AU140-1</x:f>
        <x:v>-0.3396018561846825</x:v>
      </x:c>
      <x:c r="E34" s="65" t="n">
        <x:f>'调前玩家曲线'!AU140/'调前玩家曲线'!AU126</x:f>
        <x:v>1.1869543332234045</x:v>
      </x:c>
      <x:c r="F34" s="65" t="n">
        <x:f>'玩家战力_节点'!AU140/'玩家战力_节点'!AU126</x:f>
        <x:v>1.2282044076185987</x:v>
      </x:c>
      <x:c r="G34" s="62" t="n">
        <x:f>'调前玩家曲线'!AU126/'调前玩家曲线'!AU125-1</x:f>
        <x:v>0.014867269108139958</x:v>
      </x:c>
      <x:c r="H34" s="62" t="n">
        <x:f>'玩家战力_节点'!AU126/'玩家战力_节点'!AU125-1</x:f>
        <x:v>0.017169677353914725</x:v>
      </x:c>
      <x:c r="I34" s="62" t="n">
        <x:f>MAX('玩家战力_节点'!AY126:AY140)</x:f>
        <x:v>0.017169677353914725</x:v>
      </x:c>
      <x:c r="J34" s="40" t="n">
        <x:v>129</x:v>
      </x:c>
    </x:row>
    <x:row r="35" ht="25" customHeight="1">
      <x:c r="A35" s="40" t="str">
        <x:v>第10章</x:v>
      </x:c>
      <x:c r="B35" s="60" t="n">
        <x:f>IF('调前玩家曲线'!AU155=0,0,ROUND('调前玩家曲线'!AU155,2-INT(LOG10(ABS('调前玩家曲线'!AU155)))))</x:f>
        <x:v>1170000</x:v>
      </x:c>
      <x:c r="C35" s="55" t="n">
        <x:f>IF('玩家战力_节点'!AU155=0,0,ROUND('玩家战力_节点'!AU155,2-INT(LOG10(ABS('玩家战力_节点'!AU155)))))</x:f>
        <x:v>802000</x:v>
      </x:c>
      <x:c r="D35" s="62" t="n">
        <x:f>'玩家战力_节点'!AU155/'调前玩家曲线'!AU155-1</x:f>
        <x:v>-0.31269652235749723</x:v>
      </x:c>
      <x:c r="E35" s="65" t="n">
        <x:f>'调前玩家曲线'!AU155/'调前玩家曲线'!AU141</x:f>
        <x:v>1.1264108243219115</x:v>
      </x:c>
      <x:c r="F35" s="65" t="n">
        <x:f>'玩家战力_节点'!AU155/'玩家战力_节点'!AU141</x:f>
        <x:v>1.169276963553016</x:v>
      </x:c>
      <x:c r="G35" s="62" t="n">
        <x:f>'调前玩家曲线'!AU141/'调前玩家曲线'!AU140-1</x:f>
        <x:v>0.010163196069255864</x:v>
      </x:c>
      <x:c r="H35" s="62" t="n">
        <x:f>'玩家战力_节点'!AU141/'玩家战力_节点'!AU140-1</x:f>
        <x:v>0.012776605010259567</x:v>
      </x:c>
      <x:c r="I35" s="62" t="n">
        <x:f>MAX('玩家战力_节点'!AY141:AY155)</x:f>
        <x:v>0.012776605010259567</x:v>
      </x:c>
      <x:c r="J35" s="40" t="n">
        <x:v>144</x:v>
      </x:c>
    </x:row>
    <x:row r="36" ht="25" customHeight="1">
      <x:c r="A36" s="40" t="str">
        <x:v>第11章</x:v>
      </x:c>
      <x:c r="B36" s="60" t="n">
        <x:f>IF('调前玩家曲线'!AU170=0,0,ROUND('调前玩家曲线'!AU170,2-INT(LOG10(ABS('调前玩家曲线'!AU170)))))</x:f>
        <x:v>1280000</x:v>
      </x:c>
      <x:c r="C36" s="55" t="n">
        <x:f>IF('玩家战力_节点'!AU170=0,0,ROUND('玩家战力_节点'!AU170,2-INT(LOG10(ABS('玩家战力_节点'!AU170)))))</x:f>
        <x:v>917000</x:v>
      </x:c>
      <x:c r="D36" s="62" t="n">
        <x:f>'玩家战力_节点'!AU170/'调前玩家曲线'!AU170-1</x:f>
        <x:v>-0.2834582880551625</x:v>
      </x:c>
      <x:c r="E36" s="65" t="n">
        <x:f>'调前玩家曲线'!AU170/'调前玩家曲线'!AU156</x:f>
        <x:v>1.088153602068898</x:v>
      </x:c>
      <x:c r="F36" s="65" t="n">
        <x:f>'玩家战力_节点'!AU170/'玩家战力_节点'!AU156</x:f>
        <x:v>1.1313476683042436</x:v>
      </x:c>
      <x:c r="G36" s="62" t="n">
        <x:f>'调前玩家曲线'!AU156/'调前玩家曲线'!AU155-1</x:f>
        <x:v>0.0071412047945029755</x:v>
      </x:c>
      <x:c r="H36" s="62" t="n">
        <x:f>'玩家战力_节点'!AU156/'玩家战力_节点'!AU155-1</x:f>
        <x:v>0.009897781101969594</x:v>
      </x:c>
      <x:c r="I36" s="62" t="n">
        <x:f>MAX('玩家战力_节点'!AY156:AY170)</x:f>
        <x:v>0.009897781101969594</x:v>
      </x:c>
      <x:c r="J36" s="40" t="n">
        <x:v>159</x:v>
      </x:c>
    </x:row>
    <x:row r="37" ht="25" customHeight="1">
      <x:c r="A37" s="40" t="str">
        <x:v>第12章</x:v>
      </x:c>
      <x:c r="B37" s="60" t="n">
        <x:f>IF('调前玩家曲线'!AU185=0,0,ROUND('调前玩家曲线'!AU185,2-INT(LOG10(ABS('调前玩家曲线'!AU185)))))</x:f>
        <x:v>1370000</x:v>
      </x:c>
      <x:c r="C37" s="55" t="n">
        <x:f>IF('玩家战力_节点'!AU185=0,0,ROUND('玩家战力_节点'!AU185,2-INT(LOG10(ABS('玩家战力_节点'!AU185)))))</x:f>
        <x:v>1020000</x:v>
      </x:c>
      <x:c r="D37" s="62" t="n">
        <x:f>'玩家战力_节点'!AU185/'调前玩家曲线'!AU185-1</x:f>
        <x:v>-0.2524079631120545</x:v>
      </x:c>
      <x:c r="E37" s="65" t="n">
        <x:f>'调前玩家曲线'!AU185/'调前玩家曲线'!AU171</x:f>
        <x:v>1.0627226482895944</x:v>
      </x:c>
      <x:c r="F37" s="65" t="n">
        <x:f>'玩家战力_节点'!AU185/'玩家战力_节点'!AU171</x:f>
        <x:v>1.1056585392255027</x:v>
      </x:c>
      <x:c r="G37" s="62" t="n">
        <x:f>'调前玩家曲线'!AU171/'调前玩家曲线'!AU170-1</x:f>
        <x:v>0.005105032326659487</x:v>
      </x:c>
      <x:c r="H37" s="62" t="n">
        <x:f>'玩家战力_节点'!AU171/'玩家战力_节点'!AU170-1</x:f>
        <x:v>0.007937373847580531</x:v>
      </x:c>
      <x:c r="I37" s="62" t="n">
        <x:f>MAX('玩家战力_节点'!AY171:AY185)</x:f>
        <x:v>0.007937373847580531</x:v>
      </x:c>
      <x:c r="J37" s="40" t="n">
        <x:v>174</x:v>
      </x:c>
    </x:row>
    <x:row r="38" ht="25" customHeight="1">
      <x:c r="A38" s="40" t="str">
        <x:v>第13章</x:v>
      </x:c>
      <x:c r="B38" s="60" t="n">
        <x:f>IF('调前玩家曲线'!AU200=0,0,ROUND('调前玩家曲线'!AU200,2-INT(LOG10(ABS('调前玩家曲线'!AU200)))))</x:f>
        <x:v>1430000</x:v>
      </x:c>
      <x:c r="C38" s="55" t="n">
        <x:f>IF('玩家战力_节点'!AU200=0,0,ROUND('玩家战力_节点'!AU200,2-INT(LOG10(ABS('玩家战力_节点'!AU200)))))</x:f>
        <x:v>1120000</x:v>
      </x:c>
      <x:c r="D38" s="62" t="n">
        <x:f>'玩家战力_节点'!AU200/'调前玩家曲线'!AU200-1</x:f>
        <x:v>-0.21985446985446988</x:v>
      </x:c>
      <x:c r="E38" s="65" t="n">
        <x:f>'调前玩家曲线'!AU200/'调前玩家曲线'!AU186</x:f>
        <x:v>1.0452366107726356</x:v>
      </x:c>
      <x:c r="F38" s="65" t="n">
        <x:f>'玩家战力_节点'!AU200/'玩家战力_节点'!AU186</x:f>
        <x:v>1.0876600007781192</x:v>
      </x:c>
      <x:c r="G38" s="62" t="n">
        <x:f>'调前玩家曲线'!AU186/'调前玩家曲线'!AU185-1</x:f>
        <x:v>0.0036924540730440825</x:v>
      </x:c>
      <x:c r="H38" s="62" t="n">
        <x:f>'玩家战力_节点'!AU186/'玩家战力_节点'!AU185-1</x:f>
        <x:v>0.006544714054247169</x:v>
      </x:c>
      <x:c r="I38" s="62" t="n">
        <x:f>MAX('玩家战力_节点'!AY186:AY200)</x:f>
        <x:v>0.006544714054247169</x:v>
      </x:c>
      <x:c r="J38" s="40" t="n">
        <x:v>189</x:v>
      </x:c>
    </x:row>
    <x:row r="39" ht="25" customHeight="1">
      <x:c r="A39" s="40" t="str">
        <x:v>第14章</x:v>
      </x:c>
      <x:c r="B39" s="60" t="n">
        <x:f>IF('调前玩家曲线'!AU215=0,0,ROUND('调前玩家曲线'!AU215,2-INT(LOG10(ABS('调前玩家曲线'!AU215)))))</x:f>
        <x:v>1480000</x:v>
      </x:c>
      <x:c r="C39" s="55" t="n">
        <x:f>IF('玩家战力_节点'!AU215=0,0,ROUND('玩家战力_节点'!AU215,2-INT(LOG10(ABS('玩家战力_节点'!AU215)))))</x:f>
        <x:v>1210000</x:v>
      </x:c>
      <x:c r="D39" s="62" t="n">
        <x:f>'玩家战力_节点'!AU215/'调前玩家曲线'!AU215-1</x:f>
        <x:v>-0.18599074491947276</x:v>
      </x:c>
      <x:c r="E39" s="65" t="n">
        <x:f>'调前玩家曲线'!AU215/'调前玩家曲线'!AU201</x:f>
        <x:v>1.032941495708804</x:v>
      </x:c>
      <x:c r="F39" s="65" t="n">
        <x:f>'玩家战力_节点'!AU215/'玩家战力_节点'!AU201</x:f>
        <x:v>1.0747209746987416</x:v>
      </x:c>
      <x:c r="G39" s="62" t="n">
        <x:f>'调前玩家曲线'!AU201/'调前玩家曲线'!AU200-1</x:f>
        <x:v>0.0026964238373634597</x:v>
      </x:c>
      <x:c r="H39" s="62" t="n">
        <x:f>'玩家战力_节点'!AU201/'玩家战力_节点'!AU200-1</x:f>
        <x:v>0.005548873457963177</x:v>
      </x:c>
      <x:c r="I39" s="62" t="n">
        <x:f>MAX('玩家战力_节点'!AY201:AY215)</x:f>
        <x:v>0.005548873457963177</x:v>
      </x:c>
      <x:c r="J39" s="40" t="n">
        <x:v>204</x:v>
      </x:c>
    </x:row>
    <x:row r="40" ht="25" customHeight="1">
      <x:c r="A40" s="40" t="str">
        <x:v>第15章</x:v>
      </x:c>
      <x:c r="B40" s="60" t="n">
        <x:f>IF('调前玩家曲线'!AU230=0,0,ROUND('调前玩家曲线'!AU230,2-INT(LOG10(ABS('调前玩家曲线'!AU230)))))</x:f>
        <x:v>1520000</x:v>
      </x:c>
      <x:c r="C40" s="55" t="n">
        <x:f>IF('玩家战力_节点'!AU230=0,0,ROUND('玩家战力_节点'!AU230,2-INT(LOG10(ABS('玩家战力_节点'!AU230)))))</x:f>
        <x:v>1290000</x:v>
      </x:c>
      <x:c r="D40" s="62" t="n">
        <x:f>'玩家战力_节点'!AU230/'调前玩家曲线'!AU230-1</x:f>
        <x:v>-0.15093881382243768</x:v>
      </x:c>
      <x:c r="E40" s="65" t="n">
        <x:f>'调前玩家曲线'!AU230/'调前玩家曲线'!AU216</x:f>
        <x:v>1.0241574959832742</x:v>
      </x:c>
      <x:c r="F40" s="65" t="n">
        <x:f>'玩家战力_节点'!AU230/'玩家战力_节点'!AU216</x:f>
        <x:v>1.0652482736754552</x:v>
      </x:c>
      <x:c r="G40" s="62" t="n">
        <x:f>'调前玩家曲线'!AU216/'调前玩家曲线'!AU215-1</x:f>
        <x:v>0.0019803447416457676</x:v>
      </x:c>
      <x:c r="H40" s="62" t="n">
        <x:f>'玩家战力_节点'!AU216/'玩家战力_节点'!AU215-1</x:f>
        <x:v>0.004811869554064208</x:v>
      </x:c>
      <x:c r="I40" s="62" t="n">
        <x:f>MAX('玩家战力_节点'!AY216:AY230)</x:f>
        <x:v>0.004811869554064208</x:v>
      </x:c>
      <x:c r="J40" s="40" t="n">
        <x:v>219</x:v>
      </x:c>
    </x:row>
    <x:row r="41" ht="25" customHeight="1">
      <x:c r="A41" s="40" t="str">
        <x:v>第16章</x:v>
      </x:c>
      <x:c r="B41" s="60" t="n">
        <x:f>IF('调前玩家曲线'!AU245=0,0,ROUND('调前玩家曲线'!AU245,2-INT(LOG10(ABS('调前玩家曲线'!AU245)))))</x:f>
        <x:v>1550000</x:v>
      </x:c>
      <x:c r="C41" s="55" t="n">
        <x:f>IF('玩家战力_节点'!AU245=0,0,ROUND('玩家战力_节点'!AU245,2-INT(LOG10(ABS('玩家战力_节点'!AU245)))))</x:f>
        <x:v>1370000</x:v>
      </x:c>
      <x:c r="D41" s="62" t="n">
        <x:f>'玩家战力_节点'!AU245/'调前玩家曲线'!AU245-1</x:f>
        <x:v>-0.11477531780070327</x:v>
      </x:c>
      <x:c r="E41" s="65" t="n">
        <x:f>'调前玩家曲线'!AU245/'调前玩家曲线'!AU231</x:f>
        <x:v>1.017808335900478</x:v>
      </x:c>
      <x:c r="F41" s="65" t="n">
        <x:f>'玩家战力_节点'!AU245/'玩家战力_节点'!AU231</x:f>
        <x:v>1.0581972702708944</x:v>
      </x:c>
      <x:c r="G41" s="62" t="n">
        <x:f>'调前玩家曲线'!AU231/'调前玩家曲线'!AU230-1</x:f>
        <x:v>0.0014604864568599218</x:v>
      </x:c>
      <x:c r="H41" s="62" t="n">
        <x:f>'玩家战力_节点'!AU231/'玩家战力_节点'!AU230-1</x:f>
        <x:v>0.0042635763790910275</x:v>
      </x:c>
      <x:c r="I41" s="62" t="n">
        <x:f>MAX('玩家战力_节点'!AY231:AY245)</x:f>
        <x:v>0.0042635763790910275</x:v>
      </x:c>
      <x:c r="J41" s="40" t="n">
        <x:v>234</x:v>
      </x:c>
    </x:row>
    <x:row r="42" ht="25" customHeight="1">
      <x:c r="A42" s="40" t="str">
        <x:v>第17章</x:v>
      </x:c>
      <x:c r="B42" s="60" t="n">
        <x:f>IF('调前玩家曲线'!AU260=0,0,ROUND('调前玩家曲线'!AU260,2-INT(LOG10(ABS('调前玩家曲线'!AU260)))))</x:f>
        <x:v>1580000</x:v>
      </x:c>
      <x:c r="C42" s="55" t="n">
        <x:f>IF('玩家战力_节点'!AU260=0,0,ROUND('玩家战力_节点'!AU260,2-INT(LOG10(ABS('玩家战力_节点'!AU260)))))</x:f>
        <x:v>1450000</x:v>
      </x:c>
      <x:c r="D42" s="62" t="n">
        <x:f>'玩家战力_节点'!AU260/'调前玩家曲线'!AU260-1</x:f>
        <x:v>-0.07754480087617655</x:v>
      </x:c>
      <x:c r="E42" s="65" t="n">
        <x:f>'调前玩家曲线'!AU260/'调前玩家曲线'!AU246</x:f>
        <x:v>1.01317753161707</x:v>
      </x:c>
      <x:c r="F42" s="65" t="n">
        <x:f>'玩家战力_节点'!AU260/'玩家战力_节点'!AU246</x:f>
        <x:v>1.0528760621048245</x:v>
      </x:c>
      <x:c r="G42" s="62" t="n">
        <x:f>'调前玩家曲线'!AU246/'调前玩家曲线'!AU245-1</x:f>
        <x:v>0.0010818747343610546</x:v>
      </x:c>
      <x:c r="H42" s="62" t="n">
        <x:f>'玩家战力_节点'!AU246/'玩家战力_节点'!AU245-1</x:f>
        <x:v>0.0038519456144563424</x:v>
      </x:c>
      <x:c r="I42" s="62" t="n">
        <x:f>MAX('玩家战力_节点'!AY246:AY260)</x:f>
        <x:v>0.0038519456144563424</x:v>
      </x:c>
      <x:c r="J42" s="40" t="n">
        <x:v>249</x:v>
      </x:c>
    </x:row>
    <x:row r="43" ht="25" customHeight="1">
      <x:c r="A43" s="40" t="str">
        <x:v>第18章</x:v>
      </x:c>
      <x:c r="B43" s="60" t="n">
        <x:f>IF('调前玩家曲线'!AU275=0,0,ROUND('调前玩家曲线'!AU275,2-INT(LOG10(ABS('调前玩家曲线'!AU275)))))</x:f>
        <x:v>1590000</x:v>
      </x:c>
      <x:c r="C43" s="55" t="n">
        <x:f>IF('玩家战力_节点'!AU275=0,0,ROUND('玩家战力_节点'!AU275,2-INT(LOG10(ABS('玩家战力_节点'!AU275)))))</x:f>
        <x:v>1530000</x:v>
      </x:c>
      <x:c r="D43" s="62" t="n">
        <x:f>'玩家战力_节点'!AU275/'调前玩家曲线'!AU275-1</x:f>
        <x:v>-0.039281529670826765</x:v>
      </x:c>
      <x:c r="E43" s="65" t="n">
        <x:f>'调前玩家曲线'!AU275/'调前玩家曲线'!AU261</x:f>
        <x:v>1.009782432856794</x:v>
      </x:c>
      <x:c r="F43" s="65" t="n">
        <x:f>'玩家战力_节点'!AU275/'玩家战力_节点'!AU261</x:f>
        <x:v>1.0488055801320961</x:v>
      </x:c>
      <x:c r="G43" s="62" t="n">
        <x:f>'调前玩家曲线'!AU261/'调前玩家曲线'!AU260-1</x:f>
        <x:v>0.0008063364073587209</x:v>
      </x:c>
      <x:c r="H43" s="62" t="n">
        <x:f>'玩家战力_节点'!AU261/'玩家战力_节点'!AU260-1</x:f>
        <x:v>0.0035377764318014204</x:v>
      </x:c>
      <x:c r="I43" s="62" t="n">
        <x:f>MAX('玩家战力_节点'!AY261:AY275)</x:f>
        <x:v>0.0035377764318014204</x:v>
      </x:c>
      <x:c r="J43" s="40" t="n">
        <x:v>264</x:v>
      </x:c>
    </x:row>
    <x:row r="44" ht="25" customHeight="1">
      <x:c r="A44" s="40" t="str">
        <x:v>第19章</x:v>
      </x:c>
      <x:c r="B44" s="60" t="n">
        <x:f>IF('调前玩家曲线'!AU290=0,0,ROUND('调前玩家曲线'!AU290,2-INT(LOG10(ABS('调前玩家曲线'!AU290)))))</x:f>
        <x:v>1600000</x:v>
      </x:c>
      <x:c r="C44" s="55" t="n">
        <x:f>IF('玩家战力_节点'!AU290=0,0,ROUND('玩家战力_节点'!AU290,2-INT(LOG10(ABS('玩家战力_节点'!AU290)))))</x:f>
        <x:v>1600000</x:v>
      </x:c>
      <x:c r="D44" s="62" t="n">
        <x:f>'玩家战力_节点'!AU290/'调前玩家曲线'!AU290-1</x:f>
        <x:v>0</x:v>
      </x:c>
      <x:c r="E44" s="65" t="n">
        <x:f>'调前玩家曲线'!AU290/'调前玩家曲线'!AU276</x:f>
        <x:v>1.0072802275424289</x:v>
      </x:c>
      <x:c r="F44" s="65" t="n">
        <x:f>'玩家战力_节点'!AU290/'玩家战力_节点'!AU276</x:f>
        <x:v>1.0456517134057912</x:v>
      </x:c>
      <x:c r="G44" s="62" t="n">
        <x:f>'调前玩家曲线'!AU276/'调前玩家曲线'!AU275-1</x:f>
        <x:v>0.0005999817806578989</x:v>
      </x:c>
      <x:c r="H44" s="62" t="n">
        <x:f>'玩家战力_节点'!AU276/'玩家战力_节点'!AU275-1</x:f>
        <x:v>0.003292592810572925</x:v>
      </x:c>
      <x:c r="I44" s="62" t="n">
        <x:f>MAX('玩家战力_节点'!AY276:AY290)</x:f>
        <x:v>0.003292592810572925</x:v>
      </x:c>
      <x:c r="J44" s="40" t="n">
        <x:v>279</x:v>
      </x:c>
    </x:row>
    <x:row r="45" ht="25" customHeight="1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</x:row>
    <x:row r="46" ht="25" customHeight="1">
      <x:c r="A46" s="46" t="str">
        <x:v>跨章涨幅＝本章首关相对上章末关；章内倍数＝本章末关÷本章首关。前期阵位/人数系数的变化仍来自原模型，因此模块进度平滑不等于战力增长完全平滑。</x:v>
      </x:c>
      <x:c r="B46" s="46"/>
      <x:c r="C46" s="46"/>
      <x:c r="D46" s="46"/>
      <x:c r="E46" s="46"/>
      <x:c r="F46" s="46"/>
      <x:c r="G46" s="46"/>
      <x:c r="H46" s="46"/>
      <x:c r="I46" s="46"/>
      <x:c r="J46" s="46"/>
    </x:row>
    <x:row r="47" ht="25" customHeight="1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</x:row>
    <x:row r="48" ht="25" customHeight="1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</x:row>
    <x:row r="49" ht="30" customHeight="1">
      <x:c r="A49" s="42" t="str">
        <x:v>279关完整明细｜查任意关卡的战力与增长</x:v>
      </x:c>
      <x:c r="B49" s="42"/>
      <x:c r="C49" s="42"/>
      <x:c r="D49" s="42"/>
      <x:c r="E49" s="42"/>
      <x:c r="F49" s="42"/>
      <x:c r="G49" s="42"/>
      <x:c r="H49" s="42"/>
      <x:c r="I49" s="42"/>
      <x:c r="J49" s="42"/>
    </x:row>
    <x:row r="50" ht="25" customHeight="1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</x:row>
    <x:row r="51" ht="42" customHeight="1">
      <x:c r="A51" s="49" t="str">
        <x:v>关卡</x:v>
      </x:c>
      <x:c r="B51" s="49" t="str">
        <x:v>原战力</x:v>
      </x:c>
      <x:c r="C51" s="49" t="str">
        <x:v>节点版战力</x:v>
      </x:c>
      <x:c r="D51" s="49" t="str">
        <x:v>相比原版</x:v>
      </x:c>
      <x:c r="E51" s="49" t="str">
        <x:v>原逐关涨幅</x:v>
      </x:c>
      <x:c r="F51" s="49" t="str">
        <x:v>节点逐关涨幅</x:v>
      </x:c>
      <x:c r="G51" s="49" t="str">
        <x:v>原精确战力</x:v>
      </x:c>
      <x:c r="H51" s="49" t="str">
        <x:v>节点精确战力</x:v>
      </x:c>
      <x:c r="I51" s="49" t="str">
        <x:v>有效人数系数</x:v>
      </x:c>
      <x:c r="J51" s="49" t="str">
        <x:v>关卡序号</x:v>
      </x:c>
    </x:row>
    <x:row r="52" ht="25" customHeight="1">
      <x:c r="A52" s="40" t="str">
        <x:f>IF('调前玩家曲线'!C12=0,"序章",'调前玩家曲线'!C12)&amp;"-"&amp;'调前玩家曲线'!D12</x:f>
        <x:v>序章-1</x:v>
      </x:c>
      <x:c r="B52" s="60" t="n">
        <x:f>IF(G52=0,0,ROUND(G52,2-INT(LOG10(ABS(G52)))))</x:f>
        <x:v>2240</x:v>
      </x:c>
      <x:c r="C52" s="55" t="n">
        <x:f>IF(H52=0,0,ROUND(H52,2-INT(LOG10(ABS(H52)))))</x:f>
        <x:v>2240</x:v>
      </x:c>
      <x:c r="D52" s="62" t="n">
        <x:f>H52/G52-1</x:f>
        <x:v>0</x:v>
      </x:c>
      <x:c r="E52" s="62"/>
      <x:c r="F52" s="62"/>
      <x:c r="G52" s="60" t="n">
        <x:f>'调前玩家曲线'!AU12</x:f>
        <x:v>2242</x:v>
      </x:c>
      <x:c r="H52" s="60" t="n">
        <x:f>'玩家战力_节点'!AU12</x:f>
        <x:v>2242</x:v>
      </x:c>
      <x:c r="I52" s="66" t="n">
        <x:f>'玩家战力_节点'!F12</x:f>
        <x:v>1</x:v>
      </x:c>
      <x:c r="J52" s="40" t="n">
        <x:f>'玩家战力_节点'!B12</x:f>
        <x:v>1</x:v>
      </x:c>
    </x:row>
    <x:row r="53" ht="25" customHeight="1">
      <x:c r="A53" s="40" t="str">
        <x:f>IF('调前玩家曲线'!C13=0,"序章",'调前玩家曲线'!C13)&amp;"-"&amp;'调前玩家曲线'!D13</x:f>
        <x:v>序章-2</x:v>
      </x:c>
      <x:c r="B53" s="60" t="n">
        <x:f>IF(G53=0,0,ROUND(G53,2-INT(LOG10(ABS(G53)))))</x:f>
        <x:v>2390</x:v>
      </x:c>
      <x:c r="C53" s="55" t="n">
        <x:f>IF(H53=0,0,ROUND(H53,2-INT(LOG10(ABS(H53)))))</x:f>
        <x:v>2390</x:v>
      </x:c>
      <x:c r="D53" s="62" t="n">
        <x:f>H53/G53-1</x:f>
        <x:v>-0.0004185851820845965</x:v>
      </x:c>
      <x:c r="E53" s="62" t="n">
        <x:f>G53/G52-1</x:f>
        <x:v>0.0655664585191793</x:v>
      </x:c>
      <x:c r="F53" s="62" t="n">
        <x:f>H53/H52-1</x:f>
        <x:v>0.0651204281891169</x:v>
      </x:c>
      <x:c r="G53" s="60" t="n">
        <x:f>'调前玩家曲线'!AU13</x:f>
        <x:v>2389</x:v>
      </x:c>
      <x:c r="H53" s="60" t="n">
        <x:f>'玩家战力_节点'!AU13</x:f>
        <x:v>2388</x:v>
      </x:c>
      <x:c r="I53" s="66" t="n">
        <x:f>'玩家战力_节点'!F13</x:f>
        <x:v>1</x:v>
      </x:c>
      <x:c r="J53" s="40" t="n">
        <x:f>'玩家战力_节点'!B13</x:f>
        <x:v>2</x:v>
      </x:c>
    </x:row>
    <x:row r="54" ht="25" customHeight="1">
      <x:c r="A54" s="40" t="str">
        <x:f>IF('调前玩家曲线'!C14=0,"序章",'调前玩家曲线'!C14)&amp;"-"&amp;'调前玩家曲线'!D14</x:f>
        <x:v>序章-3</x:v>
      </x:c>
      <x:c r="B54" s="60" t="n">
        <x:f>IF(G54=0,0,ROUND(G54,2-INT(LOG10(ABS(G54)))))</x:f>
        <x:v>3170</x:v>
      </x:c>
      <x:c r="C54" s="55" t="n">
        <x:f>IF(H54=0,0,ROUND(H54,2-INT(LOG10(ABS(H54)))))</x:f>
        <x:v>3170</x:v>
      </x:c>
      <x:c r="D54" s="62" t="n">
        <x:f>H54/G54-1</x:f>
        <x:v>0</x:v>
      </x:c>
      <x:c r="E54" s="62" t="n">
        <x:f>G54/G53-1</x:f>
        <x:v>0.3260778568438678</x:v>
      </x:c>
      <x:c r="F54" s="62" t="n">
        <x:f>H54/H53-1</x:f>
        <x:v>0.3266331658291457</x:v>
      </x:c>
      <x:c r="G54" s="60" t="n">
        <x:f>'调前玩家曲线'!AU14</x:f>
        <x:v>3168</x:v>
      </x:c>
      <x:c r="H54" s="60" t="n">
        <x:f>'玩家战力_节点'!AU14</x:f>
        <x:v>3168</x:v>
      </x:c>
      <x:c r="I54" s="66" t="n">
        <x:f>'玩家战力_节点'!F14</x:f>
        <x:v>1.25</x:v>
      </x:c>
      <x:c r="J54" s="40" t="n">
        <x:f>'玩家战力_节点'!B14</x:f>
        <x:v>3</x:v>
      </x:c>
    </x:row>
    <x:row r="55" ht="25" customHeight="1">
      <x:c r="A55" s="40" t="str">
        <x:f>IF('调前玩家曲线'!C15=0,"序章",'调前玩家曲线'!C15)&amp;"-"&amp;'调前玩家曲线'!D15</x:f>
        <x:v>序章-4</x:v>
      </x:c>
      <x:c r="B55" s="60" t="n">
        <x:f>IF(G55=0,0,ROUND(G55,2-INT(LOG10(ABS(G55)))))</x:f>
        <x:v>4020</x:v>
      </x:c>
      <x:c r="C55" s="55" t="n">
        <x:f>IF(H55=0,0,ROUND(H55,2-INT(LOG10(ABS(H55)))))</x:f>
        <x:v>4020</x:v>
      </x:c>
      <x:c r="D55" s="62" t="n">
        <x:f>H55/G55-1</x:f>
        <x:v>0</x:v>
      </x:c>
      <x:c r="E55" s="62" t="n">
        <x:f>G55/G54-1</x:f>
        <x:v>0.2679924242424243</x:v>
      </x:c>
      <x:c r="F55" s="62" t="n">
        <x:f>H55/H54-1</x:f>
        <x:v>0.2679924242424243</x:v>
      </x:c>
      <x:c r="G55" s="60" t="n">
        <x:f>'调前玩家曲线'!AU15</x:f>
        <x:v>4017</x:v>
      </x:c>
      <x:c r="H55" s="60" t="n">
        <x:f>'玩家战力_节点'!AU15</x:f>
        <x:v>4017</x:v>
      </x:c>
      <x:c r="I55" s="66" t="n">
        <x:f>'玩家战力_节点'!F15</x:f>
        <x:v>1.5</x:v>
      </x:c>
      <x:c r="J55" s="40" t="n">
        <x:f>'玩家战力_节点'!B15</x:f>
        <x:v>4</x:v>
      </x:c>
    </x:row>
    <x:row r="56" ht="25" customHeight="1">
      <x:c r="A56" s="40" t="str">
        <x:f>IF('调前玩家曲线'!C16=0,"序章",'调前玩家曲线'!C16)&amp;"-"&amp;'调前玩家曲线'!D16</x:f>
        <x:v>1-1</x:v>
      </x:c>
      <x:c r="B56" s="60" t="n">
        <x:f>IF(G56=0,0,ROUND(G56,2-INT(LOG10(ABS(G56)))))</x:f>
        <x:v>4930</x:v>
      </x:c>
      <x:c r="C56" s="55" t="n">
        <x:f>IF(H56=0,0,ROUND(H56,2-INT(LOG10(ABS(H56)))))</x:f>
        <x:v>4930</x:v>
      </x:c>
      <x:c r="D56" s="62" t="n">
        <x:f>H56/G56-1</x:f>
        <x:v>0</x:v>
      </x:c>
      <x:c r="E56" s="62" t="n">
        <x:f>G56/G55-1</x:f>
        <x:v>0.22778192681105303</x:v>
      </x:c>
      <x:c r="F56" s="62" t="n">
        <x:f>H56/H55-1</x:f>
        <x:v>0.22778192681105303</x:v>
      </x:c>
      <x:c r="G56" s="60" t="n">
        <x:f>'调前玩家曲线'!AU16</x:f>
        <x:v>4932</x:v>
      </x:c>
      <x:c r="H56" s="60" t="n">
        <x:f>'玩家战力_节点'!AU16</x:f>
        <x:v>4932</x:v>
      </x:c>
      <x:c r="I56" s="66" t="n">
        <x:f>'玩家战力_节点'!F16</x:f>
        <x:v>1.75</x:v>
      </x:c>
      <x:c r="J56" s="40" t="n">
        <x:f>'玩家战力_节点'!B16</x:f>
        <x:v>5</x:v>
      </x:c>
    </x:row>
    <x:row r="57" ht="25" customHeight="1">
      <x:c r="A57" s="40" t="str">
        <x:f>IF('调前玩家曲线'!C17=0,"序章",'调前玩家曲线'!C17)&amp;"-"&amp;'调前玩家曲线'!D17</x:f>
        <x:v>1-2</x:v>
      </x:c>
      <x:c r="B57" s="60" t="n">
        <x:f>IF(G57=0,0,ROUND(G57,2-INT(LOG10(ABS(G57)))))</x:f>
        <x:v>5910</x:v>
      </x:c>
      <x:c r="C57" s="55" t="n">
        <x:f>IF(H57=0,0,ROUND(H57,2-INT(LOG10(ABS(H57)))))</x:f>
        <x:v>5910</x:v>
      </x:c>
      <x:c r="D57" s="62" t="n">
        <x:f>H57/G57-1</x:f>
        <x:v>0</x:v>
      </x:c>
      <x:c r="E57" s="62" t="n">
        <x:f>G57/G56-1</x:f>
        <x:v>0.19910786699107863</x:v>
      </x:c>
      <x:c r="F57" s="62" t="n">
        <x:f>H57/H56-1</x:f>
        <x:v>0.19910786699107863</x:v>
      </x:c>
      <x:c r="G57" s="60" t="n">
        <x:f>'调前玩家曲线'!AU17</x:f>
        <x:v>5914</x:v>
      </x:c>
      <x:c r="H57" s="60" t="n">
        <x:f>'玩家战力_节点'!AU17</x:f>
        <x:v>5914</x:v>
      </x:c>
      <x:c r="I57" s="66" t="n">
        <x:f>'玩家战力_节点'!F17</x:f>
        <x:v>2</x:v>
      </x:c>
      <x:c r="J57" s="40" t="n">
        <x:f>'玩家战力_节点'!B17</x:f>
        <x:v>6</x:v>
      </x:c>
    </x:row>
    <x:row r="58" ht="25" customHeight="1">
      <x:c r="A58" s="40" t="str">
        <x:f>IF('调前玩家曲线'!C18=0,"序章",'调前玩家曲线'!C18)&amp;"-"&amp;'调前玩家曲线'!D18</x:f>
        <x:v>1-3</x:v>
      </x:c>
      <x:c r="B58" s="60" t="n">
        <x:f>IF(G58=0,0,ROUND(G58,2-INT(LOG10(ABS(G58)))))</x:f>
        <x:v>7220</x:v>
      </x:c>
      <x:c r="C58" s="55" t="n">
        <x:f>IF(H58=0,0,ROUND(H58,2-INT(LOG10(ABS(H58)))))</x:f>
        <x:v>7220</x:v>
      </x:c>
      <x:c r="D58" s="62" t="n">
        <x:f>H58/G58-1</x:f>
        <x:v>0</x:v>
      </x:c>
      <x:c r="E58" s="62" t="n">
        <x:f>G58/G57-1</x:f>
        <x:v>0.22066283395333097</x:v>
      </x:c>
      <x:c r="F58" s="62" t="n">
        <x:f>H58/H57-1</x:f>
        <x:v>0.22066283395333097</x:v>
      </x:c>
      <x:c r="G58" s="60" t="n">
        <x:f>'调前玩家曲线'!AU18</x:f>
        <x:v>7219</x:v>
      </x:c>
      <x:c r="H58" s="60" t="n">
        <x:f>'玩家战力_节点'!AU18</x:f>
        <x:v>7219</x:v>
      </x:c>
      <x:c r="I58" s="66" t="n">
        <x:f>'玩家战力_节点'!F18</x:f>
        <x:v>2.3333333333333335</x:v>
      </x:c>
      <x:c r="J58" s="40" t="n">
        <x:f>'玩家战力_节点'!B18</x:f>
        <x:v>7</x:v>
      </x:c>
    </x:row>
    <x:row r="59" ht="25" customHeight="1">
      <x:c r="A59" s="40" t="str">
        <x:f>IF('调前玩家曲线'!C19=0,"序章",'调前玩家曲线'!C19)&amp;"-"&amp;'调前玩家曲线'!D19</x:f>
        <x:v>1-4</x:v>
      </x:c>
      <x:c r="B59" s="60" t="n">
        <x:f>IF(G59=0,0,ROUND(G59,2-INT(LOG10(ABS(G59)))))</x:f>
        <x:v>8610</x:v>
      </x:c>
      <x:c r="C59" s="55" t="n">
        <x:f>IF(H59=0,0,ROUND(H59,2-INT(LOG10(ABS(H59)))))</x:f>
        <x:v>8610</x:v>
      </x:c>
      <x:c r="D59" s="62" t="n">
        <x:f>H59/G59-1</x:f>
        <x:v>-0.0003483915921496106</x:v>
      </x:c>
      <x:c r="E59" s="62" t="n">
        <x:f>G59/G58-1</x:f>
        <x:v>0.19282449092672116</x:v>
      </x:c>
      <x:c r="F59" s="62" t="n">
        <x:f>H59/H58-1</x:f>
        <x:v>0.19240892090317208</x:v>
      </x:c>
      <x:c r="G59" s="60" t="n">
        <x:f>'调前玩家曲线'!AU19</x:f>
        <x:v>8611</x:v>
      </x:c>
      <x:c r="H59" s="60" t="n">
        <x:f>'玩家战力_节点'!AU19</x:f>
        <x:v>8608</x:v>
      </x:c>
      <x:c r="I59" s="66" t="n">
        <x:f>'玩家战力_节点'!F19</x:f>
        <x:v>2.6666666666666665</x:v>
      </x:c>
      <x:c r="J59" s="40" t="n">
        <x:f>'玩家战力_节点'!B19</x:f>
        <x:v>8</x:v>
      </x:c>
    </x:row>
    <x:row r="60" ht="25" customHeight="1">
      <x:c r="A60" s="40" t="str">
        <x:f>IF('调前玩家曲线'!C20=0,"序章",'调前玩家曲线'!C20)&amp;"-"&amp;'调前玩家曲线'!D20</x:f>
        <x:v>1-5</x:v>
      </x:c>
      <x:c r="B60" s="60" t="n">
        <x:f>IF(G60=0,0,ROUND(G60,2-INT(LOG10(ABS(G60)))))</x:f>
        <x:v>10100</x:v>
      </x:c>
      <x:c r="C60" s="55" t="n">
        <x:f>IF(H60=0,0,ROUND(H60,2-INT(LOG10(ABS(H60)))))</x:f>
        <x:v>10100</x:v>
      </x:c>
      <x:c r="D60" s="62" t="n">
        <x:f>H60/G60-1</x:f>
        <x:v>0</x:v>
      </x:c>
      <x:c r="E60" s="62" t="n">
        <x:f>G60/G59-1</x:f>
        <x:v>0.17094414121472545</x:v>
      </x:c>
      <x:c r="F60" s="62" t="n">
        <x:f>H60/H59-1</x:f>
        <x:v>0.1713522304832713</x:v>
      </x:c>
      <x:c r="G60" s="60" t="n">
        <x:f>'调前玩家曲线'!AU20</x:f>
        <x:v>10083</x:v>
      </x:c>
      <x:c r="H60" s="60" t="n">
        <x:f>'玩家战力_节点'!AU20</x:f>
        <x:v>10083</x:v>
      </x:c>
      <x:c r="I60" s="66" t="n">
        <x:f>'玩家战力_节点'!F20</x:f>
        <x:v>3</x:v>
      </x:c>
      <x:c r="J60" s="40" t="n">
        <x:f>'玩家战力_节点'!B20</x:f>
        <x:v>9</x:v>
      </x:c>
    </x:row>
    <x:row r="61" ht="25" customHeight="1">
      <x:c r="A61" s="40" t="str">
        <x:f>IF('调前玩家曲线'!C21=0,"序章",'调前玩家曲线'!C21)&amp;"-"&amp;'调前玩家曲线'!D21</x:f>
        <x:v>1-6</x:v>
      </x:c>
      <x:c r="B61" s="60" t="n">
        <x:f>IF(G61=0,0,ROUND(G61,2-INT(LOG10(ABS(G61)))))</x:f>
        <x:v>11200</x:v>
      </x:c>
      <x:c r="C61" s="55" t="n">
        <x:f>IF(H61=0,0,ROUND(H61,2-INT(LOG10(ABS(H61)))))</x:f>
        <x:v>11200</x:v>
      </x:c>
      <x:c r="D61" s="62" t="n">
        <x:f>H61/G61-1</x:f>
        <x:v>0</x:v>
      </x:c>
      <x:c r="E61" s="62" t="n">
        <x:f>G61/G60-1</x:f>
        <x:v>0.10820192403054651</x:v>
      </x:c>
      <x:c r="F61" s="62" t="n">
        <x:f>H61/H60-1</x:f>
        <x:v>0.10820192403054651</x:v>
      </x:c>
      <x:c r="G61" s="60" t="n">
        <x:f>'调前玩家曲线'!AU21</x:f>
        <x:v>11174</x:v>
      </x:c>
      <x:c r="H61" s="60" t="n">
        <x:f>'玩家战力_节点'!AU21</x:f>
        <x:v>11174</x:v>
      </x:c>
      <x:c r="I61" s="66" t="n">
        <x:f>'玩家战力_节点'!F21</x:f>
        <x:v>3.2</x:v>
      </x:c>
      <x:c r="J61" s="40" t="n">
        <x:f>'玩家战力_节点'!B21</x:f>
        <x:v>10</x:v>
      </x:c>
    </x:row>
    <x:row r="62" ht="25" customHeight="1">
      <x:c r="A62" s="40" t="str">
        <x:f>IF('调前玩家曲线'!C22=0,"序章",'调前玩家曲线'!C22)&amp;"-"&amp;'调前玩家曲线'!D22</x:f>
        <x:v>1-7</x:v>
      </x:c>
      <x:c r="B62" s="60" t="n">
        <x:f>IF(G62=0,0,ROUND(G62,2-INT(LOG10(ABS(G62)))))</x:f>
        <x:v>12300</x:v>
      </x:c>
      <x:c r="C62" s="55" t="n">
        <x:f>IF(H62=0,0,ROUND(H62,2-INT(LOG10(ABS(H62)))))</x:f>
        <x:v>12300</x:v>
      </x:c>
      <x:c r="D62" s="62" t="n">
        <x:f>H62/G62-1</x:f>
        <x:v>-0.00024368450978795586</x:v>
      </x:c>
      <x:c r="E62" s="62" t="n">
        <x:f>G62/G61-1</x:f>
        <x:v>0.10175407195274744</x:v>
      </x:c>
      <x:c r="F62" s="62" t="n">
        <x:f>H62/H61-1</x:f>
        <x:v>0.10148559155181669</x:v>
      </x:c>
      <x:c r="G62" s="60" t="n">
        <x:f>'调前玩家曲线'!AU22</x:f>
        <x:v>12311</x:v>
      </x:c>
      <x:c r="H62" s="60" t="n">
        <x:f>'玩家战力_节点'!AU22</x:f>
        <x:v>12308</x:v>
      </x:c>
      <x:c r="I62" s="66" t="n">
        <x:f>'玩家战力_节点'!F22</x:f>
        <x:v>3.4</x:v>
      </x:c>
      <x:c r="J62" s="40" t="n">
        <x:f>'玩家战力_节点'!B22</x:f>
        <x:v>11</x:v>
      </x:c>
    </x:row>
    <x:row r="63" ht="25" customHeight="1">
      <x:c r="A63" s="40" t="str">
        <x:f>IF('调前玩家曲线'!C23=0,"序章",'调前玩家曲线'!C23)&amp;"-"&amp;'调前玩家曲线'!D23</x:f>
        <x:v>1-8</x:v>
      </x:c>
      <x:c r="B63" s="60" t="n">
        <x:f>IF(G63=0,0,ROUND(G63,2-INT(LOG10(ABS(G63)))))</x:f>
        <x:v>13500</x:v>
      </x:c>
      <x:c r="C63" s="55" t="n">
        <x:f>IF(H63=0,0,ROUND(H63,2-INT(LOG10(ABS(H63)))))</x:f>
        <x:v>13500</x:v>
      </x:c>
      <x:c r="D63" s="62" t="n">
        <x:f>H63/G63-1</x:f>
        <x:v>0</x:v>
      </x:c>
      <x:c r="E63" s="62" t="n">
        <x:f>G63/G62-1</x:f>
        <x:v>0.09601169685646993</x:v>
      </x:c>
      <x:c r="F63" s="62" t="n">
        <x:f>H63/H62-1</x:f>
        <x:v>0.09627884302892431</x:v>
      </x:c>
      <x:c r="G63" s="60" t="n">
        <x:f>'调前玩家曲线'!AU23</x:f>
        <x:v>13493</x:v>
      </x:c>
      <x:c r="H63" s="60" t="n">
        <x:f>'玩家战力_节点'!AU23</x:f>
        <x:v>13493</x:v>
      </x:c>
      <x:c r="I63" s="66" t="n">
        <x:f>'玩家战力_节点'!F23</x:f>
        <x:v>3.6</x:v>
      </x:c>
      <x:c r="J63" s="40" t="n">
        <x:f>'玩家战力_节点'!B23</x:f>
        <x:v>12</x:v>
      </x:c>
    </x:row>
    <x:row r="64" ht="25" customHeight="1">
      <x:c r="A64" s="40" t="str">
        <x:f>IF('调前玩家曲线'!C24=0,"序章",'调前玩家曲线'!C24)&amp;"-"&amp;'调前玩家曲线'!D24</x:f>
        <x:v>2-1</x:v>
      </x:c>
      <x:c r="B64" s="60" t="n">
        <x:f>IF(G64=0,0,ROUND(G64,2-INT(LOG10(ABS(G64)))))</x:f>
        <x:v>14700</x:v>
      </x:c>
      <x:c r="C64" s="55" t="n">
        <x:f>IF(H64=0,0,ROUND(H64,2-INT(LOG10(ABS(H64)))))</x:f>
        <x:v>14700</x:v>
      </x:c>
      <x:c r="D64" s="62" t="n">
        <x:f>H64/G64-1</x:f>
        <x:v>0</x:v>
      </x:c>
      <x:c r="E64" s="62" t="n">
        <x:f>G64/G63-1</x:f>
        <x:v>0.09049136589342632</x:v>
      </x:c>
      <x:c r="F64" s="62" t="n">
        <x:f>H64/H63-1</x:f>
        <x:v>0.09049136589342632</x:v>
      </x:c>
      <x:c r="G64" s="60" t="n">
        <x:f>'调前玩家曲线'!AU24</x:f>
        <x:v>14714</x:v>
      </x:c>
      <x:c r="H64" s="60" t="n">
        <x:f>'玩家战力_节点'!AU24</x:f>
        <x:v>14714</x:v>
      </x:c>
      <x:c r="I64" s="66" t="n">
        <x:f>'玩家战力_节点'!F24</x:f>
        <x:v>3.8</x:v>
      </x:c>
      <x:c r="J64" s="40" t="n">
        <x:f>'玩家战力_节点'!B24</x:f>
        <x:v>13</x:v>
      </x:c>
    </x:row>
    <x:row r="65" ht="25" customHeight="1">
      <x:c r="A65" s="40" t="str">
        <x:f>IF('调前玩家曲线'!C25=0,"序章",'调前玩家曲线'!C25)&amp;"-"&amp;'调前玩家曲线'!D25</x:f>
        <x:v>2-2</x:v>
      </x:c>
      <x:c r="B65" s="60" t="n">
        <x:f>IF(G65=0,0,ROUND(G65,2-INT(LOG10(ABS(G65)))))</x:f>
        <x:v>16000</x:v>
      </x:c>
      <x:c r="C65" s="55" t="n">
        <x:f>IF(H65=0,0,ROUND(H65,2-INT(LOG10(ABS(H65)))))</x:f>
        <x:v>16000</x:v>
      </x:c>
      <x:c r="D65" s="62" t="n">
        <x:f>H65/G65-1</x:f>
        <x:v>0</x:v>
      </x:c>
      <x:c r="E65" s="62" t="n">
        <x:f>G65/G64-1</x:f>
        <x:v>0.08604050564088617</x:v>
      </x:c>
      <x:c r="F65" s="62" t="n">
        <x:f>H65/H64-1</x:f>
        <x:v>0.08604050564088617</x:v>
      </x:c>
      <x:c r="G65" s="60" t="n">
        <x:f>'调前玩家曲线'!AU25</x:f>
        <x:v>15980</x:v>
      </x:c>
      <x:c r="H65" s="60" t="n">
        <x:f>'玩家战力_节点'!AU25</x:f>
        <x:v>15980</x:v>
      </x:c>
      <x:c r="I65" s="66" t="n">
        <x:f>'玩家战力_节点'!F25</x:f>
        <x:v>4</x:v>
      </x:c>
      <x:c r="J65" s="40" t="n">
        <x:f>'玩家战力_节点'!B25</x:f>
        <x:v>14</x:v>
      </x:c>
    </x:row>
    <x:row r="66" ht="25" customHeight="1">
      <x:c r="A66" s="40" t="str">
        <x:f>IF('调前玩家曲线'!C26=0,"序章",'调前玩家曲线'!C26)&amp;"-"&amp;'调前玩家曲线'!D26</x:f>
        <x:v>2-3</x:v>
      </x:c>
      <x:c r="B66" s="60" t="n">
        <x:f>IF(G66=0,0,ROUND(G66,2-INT(LOG10(ABS(G66)))))</x:f>
        <x:v>16700</x:v>
      </x:c>
      <x:c r="C66" s="55" t="n">
        <x:f>IF(H66=0,0,ROUND(H66,2-INT(LOG10(ABS(H66)))))</x:f>
        <x:v>16700</x:v>
      </x:c>
      <x:c r="D66" s="62" t="n">
        <x:f>H66/G66-1</x:f>
        <x:v>0</x:v>
      </x:c>
      <x:c r="E66" s="62" t="n">
        <x:f>G66/G65-1</x:f>
        <x:v>0.04530663329161455</x:v>
      </x:c>
      <x:c r="F66" s="62" t="n">
        <x:f>H66/H65-1</x:f>
        <x:v>0.04530663329161455</x:v>
      </x:c>
      <x:c r="G66" s="60" t="n">
        <x:f>'调前玩家曲线'!AU26</x:f>
        <x:v>16704</x:v>
      </x:c>
      <x:c r="H66" s="60" t="n">
        <x:f>'玩家战力_节点'!AU26</x:f>
        <x:v>16704</x:v>
      </x:c>
      <x:c r="I66" s="66" t="n">
        <x:f>'玩家战力_节点'!F26</x:f>
        <x:v>4</x:v>
      </x:c>
      <x:c r="J66" s="40" t="n">
        <x:f>'玩家战力_节点'!B26</x:f>
        <x:v>15</x:v>
      </x:c>
    </x:row>
    <x:row r="67" ht="25" customHeight="1">
      <x:c r="A67" s="40" t="str">
        <x:f>IF('调前玩家曲线'!C27=0,"序章",'调前玩家曲线'!C27)&amp;"-"&amp;'调前玩家曲线'!D27</x:f>
        <x:v>2-4</x:v>
      </x:c>
      <x:c r="B67" s="60" t="n">
        <x:f>IF(G67=0,0,ROUND(G67,2-INT(LOG10(ABS(G67)))))</x:f>
        <x:v>18300</x:v>
      </x:c>
      <x:c r="C67" s="55" t="n">
        <x:f>IF(H67=0,0,ROUND(H67,2-INT(LOG10(ABS(H67)))))</x:f>
        <x:v>18200</x:v>
      </x:c>
      <x:c r="D67" s="62" t="n">
        <x:f>H67/G67-1</x:f>
        <x:v>-0.003280122457905099</x:v>
      </x:c>
      <x:c r="E67" s="62" t="n">
        <x:f>G67/G66-1</x:f>
        <x:v>0.09506704980842917</x:v>
      </x:c>
      <x:c r="F67" s="62" t="n">
        <x:f>H67/H66-1</x:f>
        <x:v>0.09147509578544066</x:v>
      </x:c>
      <x:c r="G67" s="60" t="n">
        <x:f>'调前玩家曲线'!AU27</x:f>
        <x:v>18292</x:v>
      </x:c>
      <x:c r="H67" s="60" t="n">
        <x:f>'玩家战力_节点'!AU27</x:f>
        <x:v>18232</x:v>
      </x:c>
      <x:c r="I67" s="66" t="n">
        <x:f>'玩家战力_节点'!F27</x:f>
        <x:v>4</x:v>
      </x:c>
      <x:c r="J67" s="40" t="n">
        <x:f>'玩家战力_节点'!B27</x:f>
        <x:v>16</x:v>
      </x:c>
    </x:row>
    <x:row r="68" ht="25" customHeight="1">
      <x:c r="A68" s="40" t="str">
        <x:f>IF('调前玩家曲线'!C28=0,"序章",'调前玩家曲线'!C28)&amp;"-"&amp;'调前玩家曲线'!D28</x:f>
        <x:v>2-5</x:v>
      </x:c>
      <x:c r="B68" s="60" t="n">
        <x:f>IF(G68=0,0,ROUND(G68,2-INT(LOG10(ABS(G68)))))</x:f>
        <x:v>19900</x:v>
      </x:c>
      <x:c r="C68" s="55" t="n">
        <x:f>IF(H68=0,0,ROUND(H68,2-INT(LOG10(ABS(H68)))))</x:f>
        <x:v>19800</x:v>
      </x:c>
      <x:c r="D68" s="62" t="n">
        <x:f>H68/G68-1</x:f>
        <x:v>-0.004623115577889414</x:v>
      </x:c>
      <x:c r="E68" s="62" t="n">
        <x:f>G68/G67-1</x:f>
        <x:v>0.08790728187185648</x:v>
      </x:c>
      <x:c r="F68" s="62" t="n">
        <x:f>H68/H67-1</x:f>
        <x:v>0.08644142167617375</x:v>
      </x:c>
      <x:c r="G68" s="60" t="n">
        <x:f>'调前玩家曲线'!AU28</x:f>
        <x:v>19900</x:v>
      </x:c>
      <x:c r="H68" s="60" t="n">
        <x:f>'玩家战力_节点'!AU28</x:f>
        <x:v>19808</x:v>
      </x:c>
      <x:c r="I68" s="66" t="n">
        <x:f>'玩家战力_节点'!F28</x:f>
        <x:v>4</x:v>
      </x:c>
      <x:c r="J68" s="40" t="n">
        <x:f>'玩家战力_节点'!B28</x:f>
        <x:v>17</x:v>
      </x:c>
    </x:row>
    <x:row r="69" ht="25" customHeight="1">
      <x:c r="A69" s="40" t="str">
        <x:f>IF('调前玩家曲线'!C29=0,"序章",'调前玩家曲线'!C29)&amp;"-"&amp;'调前玩家曲线'!D29</x:f>
        <x:v>2-6</x:v>
      </x:c>
      <x:c r="B69" s="60" t="n">
        <x:f>IF(G69=0,0,ROUND(G69,2-INT(LOG10(ABS(G69)))))</x:f>
        <x:v>21500</x:v>
      </x:c>
      <x:c r="C69" s="55" t="n">
        <x:f>IF(H69=0,0,ROUND(H69,2-INT(LOG10(ABS(H69)))))</x:f>
        <x:v>21400</x:v>
      </x:c>
      <x:c r="D69" s="62" t="n">
        <x:f>H69/G69-1</x:f>
        <x:v>-0.004274298457535797</x:v>
      </x:c>
      <x:c r="E69" s="62" t="n">
        <x:f>G69/G68-1</x:f>
        <x:v>0.0816080402010051</x:v>
      </x:c>
      <x:c r="F69" s="62" t="n">
        <x:f>H69/H68-1</x:f>
        <x:v>0.08198707592891763</x:v>
      </x:c>
      <x:c r="G69" s="60" t="n">
        <x:f>'调前玩家曲线'!AU29</x:f>
        <x:v>21524</x:v>
      </x:c>
      <x:c r="H69" s="60" t="n">
        <x:f>'玩家战力_节点'!AU29</x:f>
        <x:v>21432</x:v>
      </x:c>
      <x:c r="I69" s="66" t="n">
        <x:f>'玩家战力_节点'!F29</x:f>
        <x:v>4</x:v>
      </x:c>
      <x:c r="J69" s="40" t="n">
        <x:f>'玩家战力_节点'!B29</x:f>
        <x:v>18</x:v>
      </x:c>
    </x:row>
    <x:row r="70" ht="25" customHeight="1">
      <x:c r="A70" s="40" t="str">
        <x:f>IF('调前玩家曲线'!C30=0,"序章",'调前玩家曲线'!C30)&amp;"-"&amp;'调前玩家曲线'!D30</x:f>
        <x:v>2-7</x:v>
      </x:c>
      <x:c r="B70" s="60" t="n">
        <x:f>IF(G70=0,0,ROUND(G70,2-INT(LOG10(ABS(G70)))))</x:f>
        <x:v>23200</x:v>
      </x:c>
      <x:c r="C70" s="55" t="n">
        <x:f>IF(H70=0,0,ROUND(H70,2-INT(LOG10(ABS(H70)))))</x:f>
        <x:v>23100</x:v>
      </x:c>
      <x:c r="D70" s="62" t="n">
        <x:f>H70/G70-1</x:f>
        <x:v>-0.0027629079606286133</x:v>
      </x:c>
      <x:c r="E70" s="62" t="n">
        <x:f>G70/G69-1</x:f>
        <x:v>0.07619401598215947</x:v>
      </x:c>
      <x:c r="F70" s="62" t="n">
        <x:f>H70/H69-1</x:f>
        <x:v>0.0778275475923853</x:v>
      </x:c>
      <x:c r="G70" s="60" t="n">
        <x:f>'调前玩家曲线'!AU30</x:f>
        <x:v>23164</x:v>
      </x:c>
      <x:c r="H70" s="60" t="n">
        <x:f>'玩家战力_节点'!AU30</x:f>
        <x:v>23100</x:v>
      </x:c>
      <x:c r="I70" s="66" t="n">
        <x:f>'玩家战力_节点'!F30</x:f>
        <x:v>4</x:v>
      </x:c>
      <x:c r="J70" s="40" t="n">
        <x:f>'玩家战力_节点'!B30</x:f>
        <x:v>19</x:v>
      </x:c>
    </x:row>
    <x:row r="71" ht="25" customHeight="1">
      <x:c r="A71" s="40" t="str">
        <x:f>IF('调前玩家曲线'!C31=0,"序章",'调前玩家曲线'!C31)&amp;"-"&amp;'调前玩家曲线'!D31</x:f>
        <x:v>2-8</x:v>
      </x:c>
      <x:c r="B71" s="60" t="n">
        <x:f>IF(G71=0,0,ROUND(G71,2-INT(LOG10(ABS(G71)))))</x:f>
        <x:v>25400</x:v>
      </x:c>
      <x:c r="C71" s="55" t="n">
        <x:f>IF(H71=0,0,ROUND(H71,2-INT(LOG10(ABS(H71)))))</x:f>
        <x:v>25400</x:v>
      </x:c>
      <x:c r="D71" s="62" t="n">
        <x:f>H71/G71-1</x:f>
        <x:v>0</x:v>
      </x:c>
      <x:c r="E71" s="62" t="n">
        <x:f>G71/G70-1</x:f>
        <x:v>0.098083232602314</x:v>
      </x:c>
      <x:c r="F71" s="62" t="n">
        <x:f>H71/H70-1</x:f>
        <x:v>0.10112554112554117</x:v>
      </x:c>
      <x:c r="G71" s="60" t="n">
        <x:f>'调前玩家曲线'!AU31</x:f>
        <x:v>25436</x:v>
      </x:c>
      <x:c r="H71" s="60" t="n">
        <x:f>'玩家战力_节点'!AU31</x:f>
        <x:v>25436</x:v>
      </x:c>
      <x:c r="I71" s="66" t="n">
        <x:f>'玩家战力_节点'!F31</x:f>
        <x:v>4.1</x:v>
      </x:c>
      <x:c r="J71" s="40" t="n">
        <x:f>'玩家战力_节点'!B31</x:f>
        <x:v>20</x:v>
      </x:c>
    </x:row>
    <x:row r="72" ht="25" customHeight="1">
      <x:c r="A72" s="40" t="str">
        <x:f>IF('调前玩家曲线'!C32=0,"序章",'调前玩家曲线'!C32)&amp;"-"&amp;'调前玩家曲线'!D32</x:f>
        <x:v>2-9</x:v>
      </x:c>
      <x:c r="B72" s="60" t="n">
        <x:f>IF(G72=0,0,ROUND(G72,2-INT(LOG10(ABS(G72)))))</x:f>
        <x:v>27800</x:v>
      </x:c>
      <x:c r="C72" s="55" t="n">
        <x:f>IF(H72=0,0,ROUND(H72,2-INT(LOG10(ABS(H72)))))</x:f>
        <x:v>27800</x:v>
      </x:c>
      <x:c r="D72" s="62" t="n">
        <x:f>H72/G72-1</x:f>
        <x:v>-0.0017980437284235151</x:v>
      </x:c>
      <x:c r="E72" s="62" t="n">
        <x:f>G72/G71-1</x:f>
        <x:v>0.09325365623525705</x:v>
      </x:c>
      <x:c r="F72" s="62" t="n">
        <x:f>H72/H71-1</x:f>
        <x:v>0.0912879383550873</x:v>
      </x:c>
      <x:c r="G72" s="60" t="n">
        <x:f>'调前玩家曲线'!AU32</x:f>
        <x:v>27808</x:v>
      </x:c>
      <x:c r="H72" s="60" t="n">
        <x:f>'玩家战力_节点'!AU32</x:f>
        <x:v>27758</x:v>
      </x:c>
      <x:c r="I72" s="66" t="n">
        <x:f>'玩家战力_节点'!F32</x:f>
        <x:v>4.2</x:v>
      </x:c>
      <x:c r="J72" s="40" t="n">
        <x:f>'玩家战力_节点'!B32</x:f>
        <x:v>21</x:v>
      </x:c>
    </x:row>
    <x:row r="73" ht="25" customHeight="1">
      <x:c r="A73" s="40" t="str">
        <x:f>IF('调前玩家曲线'!C33=0,"序章",'调前玩家曲线'!C33)&amp;"-"&amp;'调前玩家曲线'!D33</x:f>
        <x:v>2-10</x:v>
      </x:c>
      <x:c r="B73" s="60" t="n">
        <x:f>IF(G73=0,0,ROUND(G73,2-INT(LOG10(ABS(G73)))))</x:f>
        <x:v>30300</x:v>
      </x:c>
      <x:c r="C73" s="55" t="n">
        <x:f>IF(H73=0,0,ROUND(H73,2-INT(LOG10(ABS(H73)))))</x:f>
        <x:v>30200</x:v>
      </x:c>
      <x:c r="D73" s="62" t="n">
        <x:f>H73/G73-1</x:f>
        <x:v>-0.0022793340380549143</x:v>
      </x:c>
      <x:c r="E73" s="62" t="n">
        <x:f>G73/G72-1</x:f>
        <x:v>0.08860759493670889</x:v>
      </x:c>
      <x:c r="F73" s="62" t="n">
        <x:f>H73/H72-1</x:f>
        <x:v>0.0880827148930039</x:v>
      </x:c>
      <x:c r="G73" s="60" t="n">
        <x:f>'调前玩家曲线'!AU33</x:f>
        <x:v>30272</x:v>
      </x:c>
      <x:c r="H73" s="60" t="n">
        <x:f>'玩家战力_节点'!AU33</x:f>
        <x:v>30203</x:v>
      </x:c>
      <x:c r="I73" s="66" t="n">
        <x:f>'玩家战力_节点'!F33</x:f>
        <x:v>4.3</x:v>
      </x:c>
      <x:c r="J73" s="40" t="n">
        <x:f>'玩家战力_节点'!B33</x:f>
        <x:v>22</x:v>
      </x:c>
    </x:row>
    <x:row r="74" ht="25" customHeight="1">
      <x:c r="A74" s="40" t="str">
        <x:f>IF('调前玩家曲线'!C34=0,"序章",'调前玩家曲线'!C34)&amp;"-"&amp;'调前玩家曲线'!D34</x:f>
        <x:v>2-11</x:v>
      </x:c>
      <x:c r="B74" s="60" t="n">
        <x:f>IF(G74=0,0,ROUND(G74,2-INT(LOG10(ABS(G74)))))</x:f>
        <x:v>32800</x:v>
      </x:c>
      <x:c r="C74" s="55" t="n">
        <x:f>IF(H74=0,0,ROUND(H74,2-INT(LOG10(ABS(H74)))))</x:f>
        <x:v>32800</x:v>
      </x:c>
      <x:c r="D74" s="62" t="n">
        <x:f>H74/G74-1</x:f>
        <x:v>-0.0016142295860871458</x:v>
      </x:c>
      <x:c r="E74" s="62" t="n">
        <x:f>G74/G73-1</x:f>
        <x:v>0.08459963002114157</x:v>
      </x:c>
      <x:c r="F74" s="62" t="n">
        <x:f>H74/H73-1</x:f>
        <x:v>0.0853226500678741</x:v>
      </x:c>
      <x:c r="G74" s="60" t="n">
        <x:f>'调前玩家曲线'!AU34</x:f>
        <x:v>32833</x:v>
      </x:c>
      <x:c r="H74" s="60" t="n">
        <x:f>'玩家战力_节点'!AU34</x:f>
        <x:v>32780</x:v>
      </x:c>
      <x:c r="I74" s="66" t="n">
        <x:f>'玩家战力_节点'!F34</x:f>
        <x:v>4.4</x:v>
      </x:c>
      <x:c r="J74" s="40" t="n">
        <x:f>'玩家战力_节点'!B34</x:f>
        <x:v>23</x:v>
      </x:c>
    </x:row>
    <x:row r="75" ht="25" customHeight="1">
      <x:c r="A75" s="40" t="str">
        <x:f>IF('调前玩家曲线'!C35=0,"序章",'调前玩家曲线'!C35)&amp;"-"&amp;'调前玩家曲线'!D35</x:f>
        <x:v>2-12</x:v>
      </x:c>
      <x:c r="B75" s="60" t="n">
        <x:f>IF(G75=0,0,ROUND(G75,2-INT(LOG10(ABS(G75)))))</x:f>
        <x:v>35500</x:v>
      </x:c>
      <x:c r="C75" s="55" t="n">
        <x:f>IF(H75=0,0,ROUND(H75,2-INT(LOG10(ABS(H75)))))</x:f>
        <x:v>35500</x:v>
      </x:c>
      <x:c r="D75" s="62" t="n">
        <x:f>H75/G75-1</x:f>
        <x:v>0</x:v>
      </x:c>
      <x:c r="E75" s="62" t="n">
        <x:f>G75/G74-1</x:f>
        <x:v>0.0808333079523651</x:v>
      </x:c>
      <x:c r="F75" s="62" t="n">
        <x:f>H75/H74-1</x:f>
        <x:v>0.08258084197681503</x:v>
      </x:c>
      <x:c r="G75" s="60" t="n">
        <x:f>'调前玩家曲线'!AU35</x:f>
        <x:v>35487</x:v>
      </x:c>
      <x:c r="H75" s="60" t="n">
        <x:f>'玩家战力_节点'!AU35</x:f>
        <x:v>35487</x:v>
      </x:c>
      <x:c r="I75" s="66" t="n">
        <x:f>'玩家战力_节点'!F35</x:f>
        <x:v>4.5</x:v>
      </x:c>
      <x:c r="J75" s="40" t="n">
        <x:f>'玩家战力_节点'!B35</x:f>
        <x:v>24</x:v>
      </x:c>
    </x:row>
    <x:row r="76" ht="25" customHeight="1">
      <x:c r="A76" s="40" t="str">
        <x:f>IF('调前玩家曲线'!C36=0,"序章",'调前玩家曲线'!C36)&amp;"-"&amp;'调前玩家曲线'!D36</x:f>
        <x:v>3-1</x:v>
      </x:c>
      <x:c r="B76" s="60" t="n">
        <x:f>IF(G76=0,0,ROUND(G76,2-INT(LOG10(ABS(G76)))))</x:f>
        <x:v>38200</x:v>
      </x:c>
      <x:c r="C76" s="55" t="n">
        <x:f>IF(H76=0,0,ROUND(H76,2-INT(LOG10(ABS(H76)))))</x:f>
        <x:v>37400</x:v>
      </x:c>
      <x:c r="D76" s="62" t="n">
        <x:f>H76/G76-1</x:f>
        <x:v>-0.022492480711390095</x:v>
      </x:c>
      <x:c r="E76" s="62" t="n">
        <x:f>G76/G75-1</x:f>
        <x:v>0.07743680784512641</x:v>
      </x:c>
      <x:c r="F76" s="62" t="n">
        <x:f>H76/H75-1</x:f>
        <x:v>0.053202581226928114</x:v>
      </x:c>
      <x:c r="G76" s="60" t="n">
        <x:f>'调前玩家曲线'!AU36</x:f>
        <x:v>38235</x:v>
      </x:c>
      <x:c r="H76" s="60" t="n">
        <x:f>'玩家战力_节点'!AU36</x:f>
        <x:v>37375</x:v>
      </x:c>
      <x:c r="I76" s="66" t="n">
        <x:f>'玩家战力_节点'!F36</x:f>
        <x:v>4.6</x:v>
      </x:c>
      <x:c r="J76" s="40" t="n">
        <x:f>'玩家战力_节点'!B36</x:f>
        <x:v>25</x:v>
      </x:c>
    </x:row>
    <x:row r="77" ht="25" customHeight="1">
      <x:c r="A77" s="40" t="str">
        <x:f>IF('调前玩家曲线'!C37=0,"序章",'调前玩家曲线'!C37)&amp;"-"&amp;'调前玩家曲线'!D37</x:f>
        <x:v>3-2</x:v>
      </x:c>
      <x:c r="B77" s="60" t="n">
        <x:f>IF(G77=0,0,ROUND(G77,2-INT(LOG10(ABS(G77)))))</x:f>
        <x:v>41100</x:v>
      </x:c>
      <x:c r="C77" s="55" t="n">
        <x:f>IF(H77=0,0,ROUND(H77,2-INT(LOG10(ABS(H77)))))</x:f>
        <x:v>39300</x:v>
      </x:c>
      <x:c r="D77" s="62" t="n">
        <x:f>H77/G77-1</x:f>
        <x:v>-0.04336181919996107</x:v>
      </x:c>
      <x:c r="E77" s="62" t="n">
        <x:f>G77/G76-1</x:f>
        <x:v>0.07422518634758735</x:v>
      </x:c>
      <x:c r="F77" s="62" t="n">
        <x:f>H77/H76-1</x:f>
        <x:v>0.05129096989966553</x:v>
      </x:c>
      <x:c r="G77" s="60" t="n">
        <x:f>'调前玩家曲线'!AU37</x:f>
        <x:v>41073</x:v>
      </x:c>
      <x:c r="H77" s="60" t="n">
        <x:f>'玩家战力_节点'!AU37</x:f>
        <x:v>39292</x:v>
      </x:c>
      <x:c r="I77" s="66" t="n">
        <x:f>'玩家战力_节点'!F37</x:f>
        <x:v>4.7</x:v>
      </x:c>
      <x:c r="J77" s="40" t="n">
        <x:f>'玩家战力_节点'!B37</x:f>
        <x:v>26</x:v>
      </x:c>
    </x:row>
    <x:row r="78" ht="25" customHeight="1">
      <x:c r="A78" s="40" t="str">
        <x:f>IF('调前玩家曲线'!C38=0,"序章",'调前玩家曲线'!C38)&amp;"-"&amp;'调前玩家曲线'!D38</x:f>
        <x:v>3-3</x:v>
      </x:c>
      <x:c r="B78" s="60" t="n">
        <x:f>IF(G78=0,0,ROUND(G78,2-INT(LOG10(ABS(G78)))))</x:f>
        <x:v>44000</x:v>
      </x:c>
      <x:c r="C78" s="55" t="n">
        <x:f>IF(H78=0,0,ROUND(H78,2-INT(LOG10(ABS(H78)))))</x:f>
        <x:v>41300</x:v>
      </x:c>
      <x:c r="D78" s="62" t="n">
        <x:f>H78/G78-1</x:f>
        <x:v>-0.06208808690514067</x:v>
      </x:c>
      <x:c r="E78" s="62" t="n">
        <x:f>G78/G77-1</x:f>
        <x:v>0.07131205414749342</x:v>
      </x:c>
      <x:c r="F78" s="62" t="n">
        <x:f>H78/H77-1</x:f>
        <x:v>0.05034103634327591</x:v>
      </x:c>
      <x:c r="G78" s="60" t="n">
        <x:f>'调前玩家曲线'!AU38</x:f>
        <x:v>44002</x:v>
      </x:c>
      <x:c r="H78" s="60" t="n">
        <x:f>'玩家战力_节点'!AU38</x:f>
        <x:v>41270</x:v>
      </x:c>
      <x:c r="I78" s="66" t="n">
        <x:f>'玩家战力_节点'!F38</x:f>
        <x:v>4.8</x:v>
      </x:c>
      <x:c r="J78" s="40" t="n">
        <x:f>'玩家战力_节点'!B38</x:f>
        <x:v>27</x:v>
      </x:c>
    </x:row>
    <x:row r="79" ht="25" customHeight="1">
      <x:c r="A79" s="40" t="str">
        <x:f>IF('调前玩家曲线'!C39=0,"序章",'调前玩家曲线'!C39)&amp;"-"&amp;'调前玩家曲线'!D39</x:f>
        <x:v>3-4</x:v>
      </x:c>
      <x:c r="B79" s="60" t="n">
        <x:f>IF(G79=0,0,ROUND(G79,2-INT(LOG10(ABS(G79)))))</x:f>
        <x:v>47000</x:v>
      </x:c>
      <x:c r="C79" s="55" t="n">
        <x:f>IF(H79=0,0,ROUND(H79,2-INT(LOG10(ABS(H79)))))</x:f>
        <x:v>43300</x:v>
      </x:c>
      <x:c r="D79" s="62" t="n">
        <x:f>H79/G79-1</x:f>
        <x:v>-0.07897926634768737</x:v>
      </x:c>
      <x:c r="E79" s="62" t="n">
        <x:f>G79/G78-1</x:f>
        <x:v>0.06870142266260615</x:v>
      </x:c>
      <x:c r="F79" s="62" t="n">
        <x:f>H79/H78-1</x:f>
        <x:v>0.049454809789193144</x:v>
      </x:c>
      <x:c r="G79" s="60" t="n">
        <x:f>'调前玩家曲线'!AU39</x:f>
        <x:v>47025</x:v>
      </x:c>
      <x:c r="H79" s="60" t="n">
        <x:f>'玩家战力_节点'!AU39</x:f>
        <x:v>43311</x:v>
      </x:c>
      <x:c r="I79" s="66" t="n">
        <x:f>'玩家战力_节点'!F39</x:f>
        <x:v>4.9</x:v>
      </x:c>
      <x:c r="J79" s="40" t="n">
        <x:f>'玩家战力_节点'!B39</x:f>
        <x:v>28</x:v>
      </x:c>
    </x:row>
    <x:row r="80" ht="25" customHeight="1">
      <x:c r="A80" s="40" t="str">
        <x:f>IF('调前玩家曲线'!C40=0,"序章",'调前玩家曲线'!C40)&amp;"-"&amp;'调前玩家曲线'!D40</x:f>
        <x:v>3-5</x:v>
      </x:c>
      <x:c r="B80" s="60" t="n">
        <x:f>IF(G80=0,0,ROUND(G80,2-INT(LOG10(ABS(G80)))))</x:f>
        <x:v>50100</x:v>
      </x:c>
      <x:c r="C80" s="55" t="n">
        <x:f>IF(H80=0,0,ROUND(H80,2-INT(LOG10(ABS(H80)))))</x:f>
        <x:v>45400</x:v>
      </x:c>
      <x:c r="D80" s="62" t="n">
        <x:f>H80/G80-1</x:f>
        <x:v>-0.09414580632292813</x:v>
      </x:c>
      <x:c r="E80" s="62" t="n">
        <x:f>G80/G79-1</x:f>
        <x:v>0.06613503455608716</x:v>
      </x:c>
      <x:c r="F80" s="62" t="n">
        <x:f>H80/H79-1</x:f>
        <x:v>0.04857888296275781</x:v>
      </x:c>
      <x:c r="G80" s="60" t="n">
        <x:f>'调前玩家曲线'!AU40</x:f>
        <x:v>50135</x:v>
      </x:c>
      <x:c r="H80" s="60" t="n">
        <x:f>'玩家战力_节点'!AU40</x:f>
        <x:v>45415</x:v>
      </x:c>
      <x:c r="I80" s="66" t="n">
        <x:f>'玩家战力_节点'!F40</x:f>
        <x:v>5</x:v>
      </x:c>
      <x:c r="J80" s="40" t="n">
        <x:f>'玩家战力_节点'!B40</x:f>
        <x:v>29</x:v>
      </x:c>
    </x:row>
    <x:row r="81" ht="25" customHeight="1">
      <x:c r="A81" s="40" t="str">
        <x:f>IF('调前玩家曲线'!C41=0,"序章",'调前玩家曲线'!C41)&amp;"-"&amp;'调前玩家曲线'!D41</x:f>
        <x:v>3-6</x:v>
      </x:c>
      <x:c r="B81" s="60" t="n">
        <x:f>IF(G81=0,0,ROUND(G81,2-INT(LOG10(ABS(G81)))))</x:f>
        <x:v>52300</x:v>
      </x:c>
      <x:c r="C81" s="55" t="n">
        <x:f>IF(H81=0,0,ROUND(H81,2-INT(LOG10(ABS(H81)))))</x:f>
        <x:v>46600</x:v>
      </x:c>
      <x:c r="D81" s="62" t="n">
        <x:f>H81/G81-1</x:f>
        <x:v>-0.10834847470593856</x:v>
      </x:c>
      <x:c r="E81" s="62" t="n">
        <x:f>G81/G80-1</x:f>
        <x:v>0.042884212625910134</x:v>
      </x:c>
      <x:c r="F81" s="62" t="n">
        <x:f>H81/H80-1</x:f>
        <x:v>0.02653308378289121</x:v>
      </x:c>
      <x:c r="G81" s="60" t="n">
        <x:f>'调前玩家曲线'!AU41</x:f>
        <x:v>52285</x:v>
      </x:c>
      <x:c r="H81" s="60" t="n">
        <x:f>'玩家战力_节点'!AU41</x:f>
        <x:v>46620</x:v>
      </x:c>
      <x:c r="I81" s="66" t="n">
        <x:f>'玩家战力_节点'!F41</x:f>
        <x:v>5</x:v>
      </x:c>
      <x:c r="J81" s="40" t="n">
        <x:f>'玩家战力_节点'!B41</x:f>
        <x:v>30</x:v>
      </x:c>
    </x:row>
    <x:row r="82" ht="25" customHeight="1">
      <x:c r="A82" s="40" t="str">
        <x:f>IF('调前玩家曲线'!C42=0,"序章",'调前玩家曲线'!C42)&amp;"-"&amp;'调前玩家曲线'!D42</x:f>
        <x:v>3-7</x:v>
      </x:c>
      <x:c r="B82" s="60" t="n">
        <x:f>IF(G82=0,0,ROUND(G82,2-INT(LOG10(ABS(G82)))))</x:f>
        <x:v>58000</x:v>
      </x:c>
      <x:c r="C82" s="55" t="n">
        <x:f>IF(H82=0,0,ROUND(H82,2-INT(LOG10(ABS(H82)))))</x:f>
        <x:v>49100</x:v>
      </x:c>
      <x:c r="D82" s="62" t="n">
        <x:f>H82/G82-1</x:f>
        <x:v>-0.15474754437359983</x:v>
      </x:c>
      <x:c r="E82" s="62" t="n">
        <x:f>G82/G81-1</x:f>
        <x:v>0.10987855025341875</x:v>
      </x:c>
      <x:c r="F82" s="62" t="n">
        <x:f>H82/H81-1</x:f>
        <x:v>0.05212355212355213</x:v>
      </x:c>
      <x:c r="G82" s="60" t="n">
        <x:f>'调前玩家曲线'!AU42</x:f>
        <x:v>58030</x:v>
      </x:c>
      <x:c r="H82" s="60" t="n">
        <x:f>'玩家战力_节点'!AU42</x:f>
        <x:v>49050</x:v>
      </x:c>
      <x:c r="I82" s="66" t="n">
        <x:f>'玩家战力_节点'!F42</x:f>
        <x:v>5</x:v>
      </x:c>
      <x:c r="J82" s="40" t="n">
        <x:f>'玩家战力_节点'!B42</x:f>
        <x:v>31</x:v>
      </x:c>
    </x:row>
    <x:row r="83" ht="25" customHeight="1">
      <x:c r="A83" s="40" t="str">
        <x:f>IF('调前玩家曲线'!C43=0,"序章",'调前玩家曲线'!C43)&amp;"-"&amp;'调前玩家曲线'!D43</x:f>
        <x:v>3-8</x:v>
      </x:c>
      <x:c r="B83" s="60" t="n">
        <x:f>IF(G83=0,0,ROUND(G83,2-INT(LOG10(ABS(G83)))))</x:f>
        <x:v>64000</x:v>
      </x:c>
      <x:c r="C83" s="55" t="n">
        <x:f>IF(H83=0,0,ROUND(H83,2-INT(LOG10(ABS(H83)))))</x:f>
        <x:v>51500</x:v>
      </x:c>
      <x:c r="D83" s="62" t="n">
        <x:f>H83/G83-1</x:f>
        <x:v>-0.19424685374814354</x:v>
      </x:c>
      <x:c r="E83" s="62" t="n">
        <x:f>G83/G82-1</x:f>
        <x:v>0.10227468550749608</x:v>
      </x:c>
      <x:c r="F83" s="62" t="n">
        <x:f>H83/H82-1</x:f>
        <x:v>0.05076452599388381</x:v>
      </x:c>
      <x:c r="G83" s="60" t="n">
        <x:f>'调前玩家曲线'!AU43</x:f>
        <x:v>63965</x:v>
      </x:c>
      <x:c r="H83" s="60" t="n">
        <x:f>'玩家战力_节点'!AU43</x:f>
        <x:v>51540</x:v>
      </x:c>
      <x:c r="I83" s="66" t="n">
        <x:f>'玩家战力_节点'!F43</x:f>
        <x:v>5</x:v>
      </x:c>
      <x:c r="J83" s="40" t="n">
        <x:f>'玩家战力_节点'!B43</x:f>
        <x:v>32</x:v>
      </x:c>
    </x:row>
    <x:row r="84" ht="25" customHeight="1">
      <x:c r="A84" s="40" t="str">
        <x:f>IF('调前玩家曲线'!C44=0,"序章",'调前玩家曲线'!C44)&amp;"-"&amp;'调前玩家曲线'!D44</x:f>
        <x:v>3-9</x:v>
      </x:c>
      <x:c r="B84" s="60" t="n">
        <x:f>IF(G84=0,0,ROUND(G84,2-INT(LOG10(ABS(G84)))))</x:f>
        <x:v>70100</x:v>
      </x:c>
      <x:c r="C84" s="55" t="n">
        <x:f>IF(H84=0,0,ROUND(H84,2-INT(LOG10(ABS(H84)))))</x:f>
        <x:v>54100</x:v>
      </x:c>
      <x:c r="D84" s="62" t="n">
        <x:f>H84/G84-1</x:f>
        <x:v>-0.22793120673660172</x:v>
      </x:c>
      <x:c r="E84" s="62" t="n">
        <x:f>G84/G83-1</x:f>
        <x:v>0.0953646525443601</x:v>
      </x:c>
      <x:c r="F84" s="62" t="n">
        <x:f>H84/H83-1</x:f>
        <x:v>0.049573147070236745</x:v>
      </x:c>
      <x:c r="G84" s="60" t="n">
        <x:f>'调前玩家曲线'!AU44</x:f>
        <x:v>70065</x:v>
      </x:c>
      <x:c r="H84" s="60" t="n">
        <x:f>'玩家战力_节点'!AU44</x:f>
        <x:v>54095</x:v>
      </x:c>
      <x:c r="I84" s="66" t="n">
        <x:f>'玩家战力_节点'!F44</x:f>
        <x:v>5</x:v>
      </x:c>
      <x:c r="J84" s="40" t="n">
        <x:f>'玩家战力_节点'!B44</x:f>
        <x:v>33</x:v>
      </x:c>
    </x:row>
    <x:row r="85" ht="25" customHeight="1">
      <x:c r="A85" s="40" t="str">
        <x:f>IF('调前玩家曲线'!C45=0,"序章",'调前玩家曲线'!C45)&amp;"-"&amp;'调前玩家曲线'!D45</x:f>
        <x:v>3-10</x:v>
      </x:c>
      <x:c r="B85" s="60" t="n">
        <x:f>IF(G85=0,0,ROUND(G85,2-INT(LOG10(ABS(G85)))))</x:f>
        <x:v>76300</x:v>
      </x:c>
      <x:c r="C85" s="55" t="n">
        <x:f>IF(H85=0,0,ROUND(H85,2-INT(LOG10(ABS(H85)))))</x:f>
        <x:v>56700</x:v>
      </x:c>
      <x:c r="D85" s="62" t="n">
        <x:f>H85/G85-1</x:f>
        <x:v>-0.2570904565402502</x:v>
      </x:c>
      <x:c r="E85" s="62" t="n">
        <x:f>G85/G84-1</x:f>
        <x:v>0.08948833226289876</x:v>
      </x:c>
      <x:c r="F85" s="62" t="n">
        <x:f>H85/H84-1</x:f>
        <x:v>0.048340881782050094</x:v>
      </x:c>
      <x:c r="G85" s="60" t="n">
        <x:f>'调前玩家曲线'!AU45</x:f>
        <x:v>76335</x:v>
      </x:c>
      <x:c r="H85" s="60" t="n">
        <x:f>'玩家战力_节点'!AU45</x:f>
        <x:v>56710</x:v>
      </x:c>
      <x:c r="I85" s="66" t="n">
        <x:f>'玩家战力_节点'!F45</x:f>
        <x:v>5</x:v>
      </x:c>
      <x:c r="J85" s="40" t="n">
        <x:f>'玩家战力_节点'!B45</x:f>
        <x:v>34</x:v>
      </x:c>
    </x:row>
    <x:row r="86" ht="25" customHeight="1">
      <x:c r="A86" s="40" t="str">
        <x:f>IF('调前玩家曲线'!C46=0,"序章",'调前玩家曲线'!C46)&amp;"-"&amp;'调前玩家曲线'!D46</x:f>
        <x:v>3-11</x:v>
      </x:c>
      <x:c r="B86" s="60" t="n">
        <x:f>IF(G86=0,0,ROUND(G86,2-INT(LOG10(ABS(G86)))))</x:f>
        <x:v>82800</x:v>
      </x:c>
      <x:c r="C86" s="55" t="n">
        <x:f>IF(H86=0,0,ROUND(H86,2-INT(LOG10(ABS(H86)))))</x:f>
        <x:v>59500</x:v>
      </x:c>
      <x:c r="D86" s="62" t="n">
        <x:f>H86/G86-1</x:f>
        <x:v>-0.28101021086339195</x:v>
      </x:c>
      <x:c r="E86" s="62" t="n">
        <x:f>G86/G85-1</x:f>
        <x:v>0.08410296718412269</x:v>
      </x:c>
      <x:c r="F86" s="62" t="n">
        <x:f>H86/H85-1</x:f>
        <x:v>0.04919767236818906</x:v>
      </x:c>
      <x:c r="G86" s="60" t="n">
        <x:f>'调前玩家曲线'!AU46</x:f>
        <x:v>82755</x:v>
      </x:c>
      <x:c r="H86" s="60" t="n">
        <x:f>'玩家战力_节点'!AU46</x:f>
        <x:v>59500</x:v>
      </x:c>
      <x:c r="I86" s="66" t="n">
        <x:f>'玩家战力_节点'!F46</x:f>
        <x:v>5</x:v>
      </x:c>
      <x:c r="J86" s="40" t="n">
        <x:f>'玩家战力_节点'!B46</x:f>
        <x:v>35</x:v>
      </x:c>
    </x:row>
    <x:row r="87" ht="25" customHeight="1">
      <x:c r="A87" s="40" t="str">
        <x:f>IF('调前玩家曲线'!C47=0,"序章",'调前玩家曲线'!C47)&amp;"-"&amp;'调前玩家曲线'!D47</x:f>
        <x:v>3-12</x:v>
      </x:c>
      <x:c r="B87" s="60" t="n">
        <x:f>IF(G87=0,0,ROUND(G87,2-INT(LOG10(ABS(G87)))))</x:f>
        <x:v>89300</x:v>
      </x:c>
      <x:c r="C87" s="55" t="n">
        <x:f>IF(H87=0,0,ROUND(H87,2-INT(LOG10(ABS(H87)))))</x:f>
        <x:v>62400</x:v>
      </x:c>
      <x:c r="D87" s="62" t="n">
        <x:f>H87/G87-1</x:f>
        <x:v>-0.30189207344379754</x:v>
      </x:c>
      <x:c r="E87" s="62" t="n">
        <x:f>G87/G86-1</x:f>
        <x:v>0.07933055404507283</x:v>
      </x:c>
      <x:c r="F87" s="62" t="n">
        <x:f>H87/H86-1</x:f>
        <x:v>0.04798319327731093</x:v>
      </x:c>
      <x:c r="G87" s="60" t="n">
        <x:f>'调前玩家曲线'!AU47</x:f>
        <x:v>89320</x:v>
      </x:c>
      <x:c r="H87" s="60" t="n">
        <x:f>'玩家战力_节点'!AU47</x:f>
        <x:v>62355</x:v>
      </x:c>
      <x:c r="I87" s="66" t="n">
        <x:f>'玩家战力_节点'!F47</x:f>
        <x:v>5</x:v>
      </x:c>
      <x:c r="J87" s="40" t="n">
        <x:f>'玩家战力_节点'!B47</x:f>
        <x:v>36</x:v>
      </x:c>
    </x:row>
    <x:row r="88" ht="25" customHeight="1">
      <x:c r="A88" s="40" t="str">
        <x:f>IF('调前玩家曲线'!C48=0,"序章",'调前玩家曲线'!C48)&amp;"-"&amp;'调前玩家曲线'!D48</x:f>
        <x:v>3-13</x:v>
      </x:c>
      <x:c r="B88" s="60" t="n">
        <x:f>IF(G88=0,0,ROUND(G88,2-INT(LOG10(ABS(G88)))))</x:f>
        <x:v>96000</x:v>
      </x:c>
      <x:c r="C88" s="55" t="n">
        <x:f>IF(H88=0,0,ROUND(H88,2-INT(LOG10(ABS(H88)))))</x:f>
        <x:v>65300</x:v>
      </x:c>
      <x:c r="D88" s="62" t="n">
        <x:f>H88/G88-1</x:f>
        <x:v>-0.3200895646740263</x:v>
      </x:c>
      <x:c r="E88" s="62" t="n">
        <x:f>G88/G87-1</x:f>
        <x:v>0.0750111957008508</x:v>
      </x:c>
      <x:c r="F88" s="62" t="n">
        <x:f>H88/H87-1</x:f>
        <x:v>0.04698901451367177</x:v>
      </x:c>
      <x:c r="G88" s="60" t="n">
        <x:f>'调前玩家曲线'!AU48</x:f>
        <x:v>96020</x:v>
      </x:c>
      <x:c r="H88" s="60" t="n">
        <x:f>'玩家战力_节点'!AU48</x:f>
        <x:v>65285</x:v>
      </x:c>
      <x:c r="I88" s="66" t="n">
        <x:f>'玩家战力_节点'!F48</x:f>
        <x:v>5</x:v>
      </x:c>
      <x:c r="J88" s="40" t="n">
        <x:f>'玩家战力_节点'!B48</x:f>
        <x:v>37</x:v>
      </x:c>
    </x:row>
    <x:row r="89" ht="25" customHeight="1">
      <x:c r="A89" s="40" t="str">
        <x:f>IF('调前玩家曲线'!C49=0,"序章",'调前玩家曲线'!C49)&amp;"-"&amp;'调前玩家曲线'!D49</x:f>
        <x:v>3-14</x:v>
      </x:c>
      <x:c r="B89" s="60" t="n">
        <x:f>IF(G89=0,0,ROUND(G89,2-INT(LOG10(ABS(G89)))))</x:f>
        <x:v>103000</x:v>
      </x:c>
      <x:c r="C89" s="55" t="n">
        <x:f>IF(H89=0,0,ROUND(H89,2-INT(LOG10(ABS(H89)))))</x:f>
        <x:v>68300</x:v>
      </x:c>
      <x:c r="D89" s="62" t="n">
        <x:f>H89/G89-1</x:f>
        <x:v>-0.33612056392805056</x:v>
      </x:c>
      <x:c r="E89" s="62" t="n">
        <x:f>G89/G88-1</x:f>
        <x:v>0.07113101437200586</x:v>
      </x:c>
      <x:c r="F89" s="62" t="n">
        <x:f>H89/H88-1</x:f>
        <x:v>0.04587577544612076</x:v>
      </x:c>
      <x:c r="G89" s="60" t="n">
        <x:f>'调前玩家曲线'!AU49</x:f>
        <x:v>102850</x:v>
      </x:c>
      <x:c r="H89" s="60" t="n">
        <x:f>'玩家战力_节点'!AU49</x:f>
        <x:v>68280</x:v>
      </x:c>
      <x:c r="I89" s="66" t="n">
        <x:f>'玩家战力_节点'!F49</x:f>
        <x:v>5</x:v>
      </x:c>
      <x:c r="J89" s="40" t="n">
        <x:f>'玩家战力_节点'!B49</x:f>
        <x:v>38</x:v>
      </x:c>
    </x:row>
    <x:row r="90" ht="25" customHeight="1">
      <x:c r="A90" s="40" t="str">
        <x:f>IF('调前玩家曲线'!C50=0,"序章",'调前玩家曲线'!C50)&amp;"-"&amp;'调前玩家曲线'!D50</x:f>
        <x:v>3-15</x:v>
      </x:c>
      <x:c r="B90" s="60" t="n">
        <x:f>IF(G90=0,0,ROUND(G90,2-INT(LOG10(ABS(G90)))))</x:f>
        <x:v>110000</x:v>
      </x:c>
      <x:c r="C90" s="55" t="n">
        <x:f>IF(H90=0,0,ROUND(H90,2-INT(LOG10(ABS(H90)))))</x:f>
        <x:v>71400</x:v>
      </x:c>
      <x:c r="D90" s="62" t="n">
        <x:f>H90/G90-1</x:f>
        <x:v>-0.35015255703811654</x:v>
      </x:c>
      <x:c r="E90" s="62" t="n">
        <x:f>G90/G89-1</x:f>
        <x:v>0.06752552260573652</x:v>
      </x:c>
      <x:c r="F90" s="62" t="n">
        <x:f>H90/H89-1</x:f>
        <x:v>0.044961921499707014</x:v>
      </x:c>
      <x:c r="G90" s="60" t="n">
        <x:f>'调前玩家曲线'!AU50</x:f>
        <x:v>109795</x:v>
      </x:c>
      <x:c r="H90" s="60" t="n">
        <x:f>'玩家战力_节点'!AU50</x:f>
        <x:v>71350</x:v>
      </x:c>
      <x:c r="I90" s="66" t="n">
        <x:f>'玩家战力_节点'!F50</x:f>
        <x:v>5</x:v>
      </x:c>
      <x:c r="J90" s="40" t="n">
        <x:f>'玩家战力_节点'!B50</x:f>
        <x:v>39</x:v>
      </x:c>
    </x:row>
    <x:row r="91" ht="25" customHeight="1">
      <x:c r="A91" s="40" t="str">
        <x:f>IF('调前玩家曲线'!C51=0,"序章",'调前玩家曲线'!C51)&amp;"-"&amp;'调前玩家曲线'!D51</x:f>
        <x:v>4-1</x:v>
      </x:c>
      <x:c r="B91" s="60" t="n">
        <x:f>IF(G91=0,0,ROUND(G91,2-INT(LOG10(ABS(G91)))))</x:f>
        <x:v>117000</x:v>
      </x:c>
      <x:c r="C91" s="55" t="n">
        <x:f>IF(H91=0,0,ROUND(H91,2-INT(LOG10(ABS(H91)))))</x:f>
        <x:v>74500</x:v>
      </x:c>
      <x:c r="D91" s="62" t="n">
        <x:f>H91/G91-1</x:f>
        <x:v>-0.36224380642676823</x:v>
      </x:c>
      <x:c r="E91" s="62" t="n">
        <x:f>G91/G90-1</x:f>
        <x:v>0.06430165308074143</x:v>
      </x:c>
      <x:c r="F91" s="62" t="n">
        <x:f>H91/H90-1</x:f>
        <x:v>0.04449894884372818</x:v>
      </x:c>
      <x:c r="G91" s="60" t="n">
        <x:f>'调前玩家曲线'!AU51</x:f>
        <x:v>116855</x:v>
      </x:c>
      <x:c r="H91" s="60" t="n">
        <x:f>'玩家战力_节点'!AU51</x:f>
        <x:v>74525</x:v>
      </x:c>
      <x:c r="I91" s="66" t="n">
        <x:f>'玩家战力_节点'!F51</x:f>
        <x:v>5</x:v>
      </x:c>
      <x:c r="J91" s="40" t="n">
        <x:f>'玩家战力_节点'!B51</x:f>
        <x:v>40</x:v>
      </x:c>
    </x:row>
    <x:row r="92" ht="25" customHeight="1">
      <x:c r="A92" s="40" t="str">
        <x:f>IF('调前玩家曲线'!C52=0,"序章",'调前玩家曲线'!C52)&amp;"-"&amp;'调前玩家曲线'!D52</x:f>
        <x:v>4-2</x:v>
      </x:c>
      <x:c r="B92" s="60" t="n">
        <x:f>IF(G92=0,0,ROUND(G92,2-INT(LOG10(ABS(G92)))))</x:f>
        <x:v>124000</x:v>
      </x:c>
      <x:c r="C92" s="55" t="n">
        <x:f>IF(H92=0,0,ROUND(H92,2-INT(LOG10(ABS(H92)))))</x:f>
        <x:v>78600</x:v>
      </x:c>
      <x:c r="D92" s="62" t="n">
        <x:f>H92/G92-1</x:f>
        <x:v>-0.36638174340778973</x:v>
      </x:c>
      <x:c r="E92" s="62" t="n">
        <x:f>G92/G91-1</x:f>
        <x:v>0.06122972915151248</x:v>
      </x:c>
      <x:c r="F92" s="62" t="n">
        <x:f>H92/H91-1</x:f>
        <x:v>0.05434417980543449</x:v>
      </x:c>
      <x:c r="G92" s="60" t="n">
        <x:f>'调前玩家曲线'!AU52</x:f>
        <x:v>124010</x:v>
      </x:c>
      <x:c r="H92" s="60" t="n">
        <x:f>'玩家战力_节点'!AU52</x:f>
        <x:v>78575</x:v>
      </x:c>
      <x:c r="I92" s="66" t="n">
        <x:f>'玩家战力_节点'!F52</x:f>
        <x:v>5</x:v>
      </x:c>
      <x:c r="J92" s="40" t="n">
        <x:f>'玩家战力_节点'!B52</x:f>
        <x:v>41</x:v>
      </x:c>
    </x:row>
    <x:row r="93" ht="25" customHeight="1">
      <x:c r="A93" s="40" t="str">
        <x:f>IF('调前玩家曲线'!C53=0,"序章",'调前玩家曲线'!C53)&amp;"-"&amp;'调前玩家曲线'!D53</x:f>
        <x:v>4-3</x:v>
      </x:c>
      <x:c r="B93" s="60" t="n">
        <x:f>IF(G93=0,0,ROUND(G93,2-INT(LOG10(ABS(G93)))))</x:f>
        <x:v>131000</x:v>
      </x:c>
      <x:c r="C93" s="55" t="n">
        <x:f>IF(H93=0,0,ROUND(H93,2-INT(LOG10(ABS(H93)))))</x:f>
        <x:v>82700</x:v>
      </x:c>
      <x:c r="D93" s="62" t="n">
        <x:f>H93/G93-1</x:f>
        <x:v>-0.36964802681700437</x:v>
      </x:c>
      <x:c r="E93" s="62" t="n">
        <x:f>G93/G92-1</x:f>
        <x:v>0.05846302717522778</x:v>
      </x:c>
      <x:c r="F93" s="62" t="n">
        <x:f>H93/H92-1</x:f>
        <x:v>0.05300668151447652</x:v>
      </x:c>
      <x:c r="G93" s="60" t="n">
        <x:f>'调前玩家曲线'!AU53</x:f>
        <x:v>131260</x:v>
      </x:c>
      <x:c r="H93" s="60" t="n">
        <x:f>'玩家战力_节点'!AU53</x:f>
        <x:v>82740</x:v>
      </x:c>
      <x:c r="I93" s="66" t="n">
        <x:f>'玩家战力_节点'!F53</x:f>
        <x:v>5</x:v>
      </x:c>
      <x:c r="J93" s="40" t="n">
        <x:f>'玩家战力_节点'!B53</x:f>
        <x:v>42</x:v>
      </x:c>
    </x:row>
    <x:row r="94" ht="25" customHeight="1">
      <x:c r="A94" s="40" t="str">
        <x:f>IF('调前玩家曲线'!C54=0,"序章",'调前玩家曲线'!C54)&amp;"-"&amp;'调前玩家曲线'!D54</x:f>
        <x:v>4-4</x:v>
      </x:c>
      <x:c r="B94" s="60" t="n">
        <x:f>IF(G94=0,0,ROUND(G94,2-INT(LOG10(ABS(G94)))))</x:f>
        <x:v>139000</x:v>
      </x:c>
      <x:c r="C94" s="55" t="n">
        <x:f>IF(H94=0,0,ROUND(H94,2-INT(LOG10(ABS(H94)))))</x:f>
        <x:v>87000</x:v>
      </x:c>
      <x:c r="D94" s="62" t="n">
        <x:f>H94/G94-1</x:f>
        <x:v>-0.3721861471861472</x:v>
      </x:c>
      <x:c r="E94" s="62" t="n">
        <x:f>G94/G93-1</x:f>
        <x:v>0.055919548986743894</x:v>
      </x:c>
      <x:c r="F94" s="62" t="n">
        <x:f>H94/H93-1</x:f>
        <x:v>0.05166787527193617</x:v>
      </x:c>
      <x:c r="G94" s="60" t="n">
        <x:f>'调前玩家曲线'!AU54</x:f>
        <x:v>138600</x:v>
      </x:c>
      <x:c r="H94" s="60" t="n">
        <x:f>'玩家战力_节点'!AU54</x:f>
        <x:v>87015</x:v>
      </x:c>
      <x:c r="I94" s="66" t="n">
        <x:f>'玩家战力_节点'!F54</x:f>
        <x:v>5</x:v>
      </x:c>
      <x:c r="J94" s="40" t="n">
        <x:f>'玩家战力_节点'!B54</x:f>
        <x:v>43</x:v>
      </x:c>
    </x:row>
    <x:row r="95" ht="25" customHeight="1">
      <x:c r="A95" s="40" t="str">
        <x:f>IF('调前玩家曲线'!C55=0,"序章",'调前玩家曲线'!C55)&amp;"-"&amp;'调前玩家曲线'!D55</x:f>
        <x:v>4-5</x:v>
      </x:c>
      <x:c r="B95" s="60" t="n">
        <x:f>IF(G95=0,0,ROUND(G95,2-INT(LOG10(ABS(G95)))))</x:f>
        <x:v>146000</x:v>
      </x:c>
      <x:c r="C95" s="55" t="n">
        <x:f>IF(H95=0,0,ROUND(H95,2-INT(LOG10(ABS(H95)))))</x:f>
        <x:v>91400</x:v>
      </x:c>
      <x:c r="D95" s="62" t="n">
        <x:f>H95/G95-1</x:f>
        <x:v>-0.3739684279012431</x:v>
      </x:c>
      <x:c r="E95" s="62" t="n">
        <x:f>G95/G94-1</x:f>
        <x:v>0.05349927849927849</x:v>
      </x:c>
      <x:c r="F95" s="62" t="n">
        <x:f>H95/H94-1</x:f>
        <x:v>0.05050853301154978</x:v>
      </x:c>
      <x:c r="G95" s="60" t="n">
        <x:f>'调前玩家曲线'!AU55</x:f>
        <x:v>146015</x:v>
      </x:c>
      <x:c r="H95" s="60" t="n">
        <x:f>'玩家战力_节点'!AU55</x:f>
        <x:v>91410</x:v>
      </x:c>
      <x:c r="I95" s="66" t="n">
        <x:f>'玩家战力_节点'!F55</x:f>
        <x:v>5</x:v>
      </x:c>
      <x:c r="J95" s="40" t="n">
        <x:f>'玩家战力_节点'!B55</x:f>
        <x:v>44</x:v>
      </x:c>
    </x:row>
    <x:row r="96" ht="25" customHeight="1">
      <x:c r="A96" s="40" t="str">
        <x:f>IF('调前玩家曲线'!C56=0,"序章",'调前玩家曲线'!C56)&amp;"-"&amp;'调前玩家曲线'!D56</x:f>
        <x:v>4-6</x:v>
      </x:c>
      <x:c r="B96" s="60" t="n">
        <x:f>IF(G96=0,0,ROUND(G96,2-INT(LOG10(ABS(G96)))))</x:f>
        <x:v>154000</x:v>
      </x:c>
      <x:c r="C96" s="55" t="n">
        <x:f>IF(H96=0,0,ROUND(H96,2-INT(LOG10(ABS(H96)))))</x:f>
        <x:v>95900</x:v>
      </x:c>
      <x:c r="D96" s="62" t="n">
        <x:f>H96/G96-1</x:f>
        <x:v>-0.37514657980456023</x:v>
      </x:c>
      <x:c r="E96" s="62" t="n">
        <x:f>G96/G95-1</x:f>
        <x:v>0.05126185665856253</x:v>
      </x:c>
      <x:c r="F96" s="62" t="n">
        <x:f>H96/H95-1</x:f>
        <x:v>0.049283448200415636</x:v>
      </x:c>
      <x:c r="G96" s="60" t="n">
        <x:f>'调前玩家曲线'!AU56</x:f>
        <x:v>153500</x:v>
      </x:c>
      <x:c r="H96" s="60" t="n">
        <x:f>'玩家战力_节点'!AU56</x:f>
        <x:v>95915</x:v>
      </x:c>
      <x:c r="I96" s="66" t="n">
        <x:f>'玩家战力_节点'!F56</x:f>
        <x:v>5</x:v>
      </x:c>
      <x:c r="J96" s="40" t="n">
        <x:f>'玩家战力_节点'!B56</x:f>
        <x:v>45</x:v>
      </x:c>
    </x:row>
    <x:row r="97" ht="25" customHeight="1">
      <x:c r="A97" s="40" t="str">
        <x:f>IF('调前玩家曲线'!C57=0,"序章",'调前玩家曲线'!C57)&amp;"-"&amp;'调前玩家曲线'!D57</x:f>
        <x:v>4-7</x:v>
      </x:c>
      <x:c r="B97" s="60" t="n">
        <x:f>IF(G97=0,0,ROUND(G97,2-INT(LOG10(ABS(G97)))))</x:f>
        <x:v>161000</x:v>
      </x:c>
      <x:c r="C97" s="55" t="n">
        <x:f>IF(H97=0,0,ROUND(H97,2-INT(LOG10(ABS(H97)))))</x:f>
        <x:v>101000</x:v>
      </x:c>
      <x:c r="D97" s="62" t="n">
        <x:f>H97/G97-1</x:f>
        <x:v>-0.37572182552002487</x:v>
      </x:c>
      <x:c r="E97" s="62" t="n">
        <x:f>G97/G96-1</x:f>
        <x:v>0.04918566775244293</x:v>
      </x:c>
      <x:c r="F97" s="62" t="n">
        <x:f>H97/H96-1</x:f>
        <x:v>0.048219777928374175</x:v>
      </x:c>
      <x:c r="G97" s="60" t="n">
        <x:f>'调前玩家曲线'!AU57</x:f>
        <x:v>161050</x:v>
      </x:c>
      <x:c r="H97" s="60" t="n">
        <x:f>'玩家战力_节点'!AU57</x:f>
        <x:v>100540</x:v>
      </x:c>
      <x:c r="I97" s="66" t="n">
        <x:f>'玩家战力_节点'!F57</x:f>
        <x:v>5</x:v>
      </x:c>
      <x:c r="J97" s="40" t="n">
        <x:f>'玩家战力_节点'!B57</x:f>
        <x:v>46</x:v>
      </x:c>
    </x:row>
    <x:row r="98" ht="25" customHeight="1">
      <x:c r="A98" s="40" t="str">
        <x:f>IF('调前玩家曲线'!C58=0,"序章",'调前玩家曲线'!C58)&amp;"-"&amp;'调前玩家曲线'!D58</x:f>
        <x:v>4-8</x:v>
      </x:c>
      <x:c r="B98" s="60" t="n">
        <x:f>IF(G98=0,0,ROUND(G98,2-INT(LOG10(ABS(G98)))))</x:f>
        <x:v>169000</x:v>
      </x:c>
      <x:c r="C98" s="55" t="n">
        <x:f>IF(H98=0,0,ROUND(H98,2-INT(LOG10(ABS(H98)))))</x:f>
        <x:v>105000</x:v>
      </x:c>
      <x:c r="D98" s="62" t="n">
        <x:f>H98/G98-1</x:f>
        <x:v>-0.37573745219530996</x:v>
      </x:c>
      <x:c r="E98" s="62" t="n">
        <x:f>G98/G97-1</x:f>
        <x:v>0.04722135982614084</x:v>
      </x:c>
      <x:c r="F98" s="62" t="n">
        <x:f>H98/H97-1</x:f>
        <x:v>0.04719514621046339</x:v>
      </x:c>
      <x:c r="G98" s="60" t="n">
        <x:f>'调前玩家曲线'!AU58</x:f>
        <x:v>168655</x:v>
      </x:c>
      <x:c r="H98" s="60" t="n">
        <x:f>'玩家战力_节点'!AU58</x:f>
        <x:v>105285</x:v>
      </x:c>
      <x:c r="I98" s="66" t="n">
        <x:f>'玩家战力_节点'!F58</x:f>
        <x:v>5</x:v>
      </x:c>
      <x:c r="J98" s="40" t="n">
        <x:f>'玩家战力_节点'!B58</x:f>
        <x:v>47</x:v>
      </x:c>
    </x:row>
    <x:row r="99" ht="25" customHeight="1">
      <x:c r="A99" s="40" t="str">
        <x:f>IF('调前玩家曲线'!C59=0,"序章",'调前玩家曲线'!C59)&amp;"-"&amp;'调前玩家曲线'!D59</x:f>
        <x:v>4-9</x:v>
      </x:c>
      <x:c r="B99" s="60" t="n">
        <x:f>IF(G99=0,0,ROUND(G99,2-INT(LOG10(ABS(G99)))))</x:f>
        <x:v>176000</x:v>
      </x:c>
      <x:c r="C99" s="55" t="n">
        <x:f>IF(H99=0,0,ROUND(H99,2-INT(LOG10(ABS(H99)))))</x:f>
        <x:v>110000</x:v>
      </x:c>
      <x:c r="D99" s="62" t="n">
        <x:f>H99/G99-1</x:f>
        <x:v>-0.3752658593993704</x:v>
      </x:c>
      <x:c r="E99" s="62" t="n">
        <x:f>G99/G98-1</x:f>
        <x:v>0.04541816133527021</x:v>
      </x:c>
      <x:c r="F99" s="62" t="n">
        <x:f>H99/H98-1</x:f>
        <x:v>0.04620791185828943</x:v>
      </x:c>
      <x:c r="G99" s="60" t="n">
        <x:f>'调前玩家曲线'!AU59</x:f>
        <x:v>176315</x:v>
      </x:c>
      <x:c r="H99" s="60" t="n">
        <x:f>'玩家战力_节点'!AU59</x:f>
        <x:v>110150</x:v>
      </x:c>
      <x:c r="I99" s="66" t="n">
        <x:f>'玩家战力_节点'!F59</x:f>
        <x:v>5</x:v>
      </x:c>
      <x:c r="J99" s="40" t="n">
        <x:f>'玩家战力_节点'!B59</x:f>
        <x:v>48</x:v>
      </x:c>
    </x:row>
    <x:row r="100" ht="25" customHeight="1">
      <x:c r="A100" s="40" t="str">
        <x:f>IF('调前玩家曲线'!C60=0,"序章",'调前玩家曲线'!C60)&amp;"-"&amp;'调前玩家曲线'!D60</x:f>
        <x:v>4-10</x:v>
      </x:c>
      <x:c r="B100" s="60" t="n">
        <x:f>IF(G100=0,0,ROUND(G100,2-INT(LOG10(ABS(G100)))))</x:f>
        <x:v>184000</x:v>
      </x:c>
      <x:c r="C100" s="55" t="n">
        <x:f>IF(H100=0,0,ROUND(H100,2-INT(LOG10(ABS(H100)))))</x:f>
        <x:v>115000</x:v>
      </x:c>
      <x:c r="D100" s="62" t="n">
        <x:f>H100/G100-1</x:f>
        <x:v>-0.3743444827867294</x:v>
      </x:c>
      <x:c r="E100" s="62" t="n">
        <x:f>G100/G99-1</x:f>
        <x:v>0.043671837336585195</x:v>
      </x:c>
      <x:c r="F100" s="62" t="n">
        <x:f>H100/H99-1</x:f>
        <x:v>0.04521107580571937</x:v>
      </x:c>
      <x:c r="G100" s="60" t="n">
        <x:f>'调前玩家曲线'!AU60</x:f>
        <x:v>184015</x:v>
      </x:c>
      <x:c r="H100" s="60" t="n">
        <x:f>'玩家战力_节点'!AU60</x:f>
        <x:v>115130</x:v>
      </x:c>
      <x:c r="I100" s="66" t="n">
        <x:f>'玩家战力_节点'!F60</x:f>
        <x:v>5</x:v>
      </x:c>
      <x:c r="J100" s="40" t="n">
        <x:f>'玩家战力_节点'!B60</x:f>
        <x:v>49</x:v>
      </x:c>
    </x:row>
    <x:row r="101" ht="25" customHeight="1">
      <x:c r="A101" s="40" t="str">
        <x:f>IF('调前玩家曲线'!C61=0,"序章",'调前玩家曲线'!C61)&amp;"-"&amp;'调前玩家曲线'!D61</x:f>
        <x:v>4-11</x:v>
      </x:c>
      <x:c r="B101" s="60" t="n">
        <x:f>IF(G101=0,0,ROUND(G101,2-INT(LOG10(ABS(G101)))))</x:f>
        <x:v>192000</x:v>
      </x:c>
      <x:c r="C101" s="55" t="n">
        <x:f>IF(H101=0,0,ROUND(H101,2-INT(LOG10(ABS(H101)))))</x:f>
        <x:v>120000</x:v>
      </x:c>
      <x:c r="D101" s="62" t="n">
        <x:f>H101/G101-1</x:f>
        <x:v>-0.3729759328309562</x:v>
      </x:c>
      <x:c r="E101" s="62" t="n">
        <x:f>G101/G100-1</x:f>
        <x:v>0.0420617884411596</x:v>
      </x:c>
      <x:c r="F101" s="62" t="n">
        <x:f>H101/H100-1</x:f>
        <x:v>0.044341179536176556</x:v>
      </x:c>
      <x:c r="G101" s="60" t="n">
        <x:f>'调前玩家曲线'!AU61</x:f>
        <x:v>191755</x:v>
      </x:c>
      <x:c r="H101" s="60" t="n">
        <x:f>'玩家战力_节点'!AU61</x:f>
        <x:v>120235</x:v>
      </x:c>
      <x:c r="I101" s="66" t="n">
        <x:f>'玩家战力_节点'!F61</x:f>
        <x:v>5</x:v>
      </x:c>
      <x:c r="J101" s="40" t="n">
        <x:f>'玩家战力_节点'!B61</x:f>
        <x:v>50</x:v>
      </x:c>
    </x:row>
    <x:row r="102" ht="25" customHeight="1">
      <x:c r="A102" s="40" t="str">
        <x:f>IF('调前玩家曲线'!C62=0,"序章",'调前玩家曲线'!C62)&amp;"-"&amp;'调前玩家曲线'!D62</x:f>
        <x:v>4-12</x:v>
      </x:c>
      <x:c r="B102" s="60" t="n">
        <x:f>IF(G102=0,0,ROUND(G102,2-INT(LOG10(ABS(G102)))))</x:f>
        <x:v>200000</x:v>
      </x:c>
      <x:c r="C102" s="55" t="n">
        <x:f>IF(H102=0,0,ROUND(H102,2-INT(LOG10(ABS(H102)))))</x:f>
        <x:v>125000</x:v>
      </x:c>
      <x:c r="D102" s="62" t="n">
        <x:f>H102/G102-1</x:f>
        <x:v>-0.3712066157123167</x:v>
      </x:c>
      <x:c r="E102" s="62" t="n">
        <x:f>G102/G101-1</x:f>
        <x:v>0.040520455789940346</x:v>
      </x:c>
      <x:c r="F102" s="62" t="n">
        <x:f>H102/H101-1</x:f>
        <x:v>0.043456564228386174</x:v>
      </x:c>
      <x:c r="G102" s="60" t="n">
        <x:f>'调前玩家曲线'!AU62</x:f>
        <x:v>199525</x:v>
      </x:c>
      <x:c r="H102" s="60" t="n">
        <x:f>'玩家战力_节点'!AU62</x:f>
        <x:v>125460</x:v>
      </x:c>
      <x:c r="I102" s="66" t="n">
        <x:f>'玩家战力_节点'!F62</x:f>
        <x:v>5</x:v>
      </x:c>
      <x:c r="J102" s="40" t="n">
        <x:f>'玩家战力_节点'!B62</x:f>
        <x:v>51</x:v>
      </x:c>
    </x:row>
    <x:row r="103" ht="25" customHeight="1">
      <x:c r="A103" s="40" t="str">
        <x:f>IF('调前玩家曲线'!C63=0,"序章",'调前玩家曲线'!C63)&amp;"-"&amp;'调前玩家曲线'!D63</x:f>
        <x:v>4-13</x:v>
      </x:c>
      <x:c r="B103" s="60" t="n">
        <x:f>IF(G103=0,0,ROUND(G103,2-INT(LOG10(ABS(G103)))))</x:f>
        <x:v>207000</x:v>
      </x:c>
      <x:c r="C103" s="55" t="n">
        <x:f>IF(H103=0,0,ROUND(H103,2-INT(LOG10(ABS(H103)))))</x:f>
        <x:v>131000</x:v>
      </x:c>
      <x:c r="D103" s="62" t="n">
        <x:f>H103/G103-1</x:f>
        <x:v>-0.3690582418907512</x:v>
      </x:c>
      <x:c r="E103" s="62" t="n">
        <x:f>G103/G102-1</x:f>
        <x:v>0.039092845508081675</x:v>
      </x:c>
      <x:c r="F103" s="62" t="n">
        <x:f>H103/H102-1</x:f>
        <x:v>0.042643073489558425</x:v>
      </x:c>
      <x:c r="G103" s="60" t="n">
        <x:f>'调前玩家曲线'!AU63</x:f>
        <x:v>207325</x:v>
      </x:c>
      <x:c r="H103" s="60" t="n">
        <x:f>'玩家战力_节点'!AU63</x:f>
        <x:v>130810</x:v>
      </x:c>
      <x:c r="I103" s="66" t="n">
        <x:f>'玩家战力_节点'!F63</x:f>
        <x:v>5</x:v>
      </x:c>
      <x:c r="J103" s="40" t="n">
        <x:f>'玩家战力_节点'!B63</x:f>
        <x:v>52</x:v>
      </x:c>
    </x:row>
    <x:row r="104" ht="25" customHeight="1">
      <x:c r="A104" s="40" t="str">
        <x:f>IF('调前玩家曲线'!C64=0,"序章",'调前玩家曲线'!C64)&amp;"-"&amp;'调前玩家曲线'!D64</x:f>
        <x:v>4-14</x:v>
      </x:c>
      <x:c r="B104" s="60" t="n">
        <x:f>IF(G104=0,0,ROUND(G104,2-INT(LOG10(ABS(G104)))))</x:f>
        <x:v>215000</x:v>
      </x:c>
      <x:c r="C104" s="55" t="n">
        <x:f>IF(H104=0,0,ROUND(H104,2-INT(LOG10(ABS(H104)))))</x:f>
        <x:v>136000</x:v>
      </x:c>
      <x:c r="D104" s="62" t="n">
        <x:f>H104/G104-1</x:f>
        <x:v>-0.36652877196244305</x:v>
      </x:c>
      <x:c r="E104" s="62" t="n">
        <x:f>G104/G103-1</x:f>
        <x:v>0.03769444109489939</x:v>
      </x:c>
      <x:c r="F104" s="62" t="n">
        <x:f>H104/H103-1</x:f>
        <x:v>0.04185459827230331</x:v>
      </x:c>
      <x:c r="G104" s="60" t="n">
        <x:f>'调前玩家曲线'!AU64</x:f>
        <x:v>215140</x:v>
      </x:c>
      <x:c r="H104" s="60" t="n">
        <x:f>'玩家战力_节点'!AU64</x:f>
        <x:v>136285</x:v>
      </x:c>
      <x:c r="I104" s="66" t="n">
        <x:f>'玩家战力_节点'!F64</x:f>
        <x:v>5</x:v>
      </x:c>
      <x:c r="J104" s="40" t="n">
        <x:f>'玩家战力_节点'!B64</x:f>
        <x:v>53</x:v>
      </x:c>
    </x:row>
    <x:row r="105" ht="25" customHeight="1">
      <x:c r="A105" s="40" t="str">
        <x:f>IF('调前玩家曲线'!C65=0,"序章",'调前玩家曲线'!C65)&amp;"-"&amp;'调前玩家曲线'!D65</x:f>
        <x:v>4-15</x:v>
      </x:c>
      <x:c r="B105" s="60" t="n">
        <x:f>IF(G105=0,0,ROUND(G105,2-INT(LOG10(ABS(G105)))))</x:f>
        <x:v>223000</x:v>
      </x:c>
      <x:c r="C105" s="55" t="n">
        <x:f>IF(H105=0,0,ROUND(H105,2-INT(LOG10(ABS(H105)))))</x:f>
        <x:v>142000</x:v>
      </x:c>
      <x:c r="D105" s="62" t="n">
        <x:f>H105/G105-1</x:f>
        <x:v>-0.36365063347908955</x:v>
      </x:c>
      <x:c r="E105" s="62" t="n">
        <x:f>G105/G104-1</x:f>
        <x:v>0.03641814632332441</x:v>
      </x:c>
      <x:c r="F105" s="62" t="n">
        <x:f>H105/H104-1</x:f>
        <x:v>0.04112704993212746</x:v>
      </x:c>
      <x:c r="G105" s="60" t="n">
        <x:f>'调前玩家曲线'!AU65</x:f>
        <x:v>222975</x:v>
      </x:c>
      <x:c r="H105" s="60" t="n">
        <x:f>'玩家战力_节点'!AU65</x:f>
        <x:v>141890</x:v>
      </x:c>
      <x:c r="I105" s="66" t="n">
        <x:f>'玩家战力_节点'!F65</x:f>
        <x:v>5</x:v>
      </x:c>
      <x:c r="J105" s="40" t="n">
        <x:f>'玩家战力_节点'!B65</x:f>
        <x:v>54</x:v>
      </x:c>
    </x:row>
    <x:row r="106" ht="25" customHeight="1">
      <x:c r="A106" s="40" t="str">
        <x:f>IF('调前玩家曲线'!C66=0,"序章",'调前玩家曲线'!C66)&amp;"-"&amp;'调前玩家曲线'!D66</x:f>
        <x:v>5-1</x:v>
      </x:c>
      <x:c r="B106" s="60" t="n">
        <x:f>IF(G106=0,0,ROUND(G106,2-INT(LOG10(ABS(G106)))))</x:f>
        <x:v>231000</x:v>
      </x:c>
      <x:c r="C106" s="55" t="n">
        <x:f>IF(H106=0,0,ROUND(H106,2-INT(LOG10(ABS(H106)))))</x:f>
        <x:v>147000</x:v>
      </x:c>
      <x:c r="D106" s="62" t="n">
        <x:f>H106/G106-1</x:f>
        <x:v>-0.36394948335246846</x:v>
      </x:c>
      <x:c r="E106" s="62" t="n">
        <x:f>G106/G105-1</x:f>
        <x:v>0.03516089247673504</x:v>
      </x:c>
      <x:c r="F106" s="62" t="n">
        <x:f>H106/H105-1</x:f>
        <x:v>0.03467474804425974</x:v>
      </x:c>
      <x:c r="G106" s="60" t="n">
        <x:f>'调前玩家曲线'!AU66</x:f>
        <x:v>230815</x:v>
      </x:c>
      <x:c r="H106" s="60" t="n">
        <x:f>'玩家战力_节点'!AU66</x:f>
        <x:v>146810</x:v>
      </x:c>
      <x:c r="I106" s="66" t="n">
        <x:f>'玩家战力_节点'!F66</x:f>
        <x:v>5</x:v>
      </x:c>
      <x:c r="J106" s="40" t="n">
        <x:f>'玩家战力_节点'!B66</x:f>
        <x:v>55</x:v>
      </x:c>
    </x:row>
    <x:row r="107" ht="25" customHeight="1">
      <x:c r="A107" s="40" t="str">
        <x:f>IF('调前玩家曲线'!C67=0,"序章",'调前玩家曲线'!C67)&amp;"-"&amp;'调前玩家曲线'!D67</x:f>
        <x:v>5-2</x:v>
      </x:c>
      <x:c r="B107" s="60" t="n">
        <x:f>IF(G107=0,0,ROUND(G107,2-INT(LOG10(ABS(G107)))))</x:f>
        <x:v>239000</x:v>
      </x:c>
      <x:c r="C107" s="55" t="n">
        <x:f>IF(H107=0,0,ROUND(H107,2-INT(LOG10(ABS(H107)))))</x:f>
        <x:v>151000</x:v>
      </x:c>
      <x:c r="D107" s="62" t="n">
        <x:f>H107/G107-1</x:f>
        <x:v>-0.36578467726729935</x:v>
      </x:c>
      <x:c r="E107" s="62" t="n">
        <x:f>G107/G106-1</x:f>
        <x:v>0.034009921365595774</x:v>
      </x:c>
      <x:c r="F107" s="62" t="n">
        <x:f>H107/H106-1</x:f>
        <x:v>0.031026496832640804</x:v>
      </x:c>
      <x:c r="G107" s="60" t="n">
        <x:f>'调前玩家曲线'!AU67</x:f>
        <x:v>238665</x:v>
      </x:c>
      <x:c r="H107" s="60" t="n">
        <x:f>'玩家战力_节点'!AU67</x:f>
        <x:v>151365</x:v>
      </x:c>
      <x:c r="I107" s="66" t="n">
        <x:f>'玩家战力_节点'!F67</x:f>
        <x:v>5</x:v>
      </x:c>
      <x:c r="J107" s="40" t="n">
        <x:f>'玩家战力_节点'!B67</x:f>
        <x:v>56</x:v>
      </x:c>
    </x:row>
    <x:row r="108" ht="25" customHeight="1">
      <x:c r="A108" s="40" t="str">
        <x:f>IF('调前玩家曲线'!C68=0,"序章",'调前玩家曲线'!C68)&amp;"-"&amp;'调前玩家曲线'!D68</x:f>
        <x:v>5-3</x:v>
      </x:c>
      <x:c r="B108" s="60" t="n">
        <x:f>IF(G108=0,0,ROUND(G108,2-INT(LOG10(ABS(G108)))))</x:f>
        <x:v>247000</x:v>
      </x:c>
      <x:c r="C108" s="55" t="n">
        <x:f>IF(H108=0,0,ROUND(H108,2-INT(LOG10(ABS(H108)))))</x:f>
        <x:v>156000</x:v>
      </x:c>
      <x:c r="D108" s="62" t="n">
        <x:f>H108/G108-1</x:f>
        <x:v>-0.3671987505831288</x:v>
      </x:c>
      <x:c r="E108" s="62" t="n">
        <x:f>G108/G107-1</x:f>
        <x:v>0.032891291140301204</x:v>
      </x:c>
      <x:c r="F108" s="62" t="n">
        <x:f>H108/H107-1</x:f>
        <x:v>0.030588313018200974</x:v>
      </x:c>
      <x:c r="G108" s="60" t="n">
        <x:f>'调前玩家曲线'!AU68</x:f>
        <x:v>246515</x:v>
      </x:c>
      <x:c r="H108" s="60" t="n">
        <x:f>'玩家战力_节点'!AU68</x:f>
        <x:v>155995</x:v>
      </x:c>
      <x:c r="I108" s="66" t="n">
        <x:f>'玩家战力_节点'!F68</x:f>
        <x:v>5</x:v>
      </x:c>
      <x:c r="J108" s="40" t="n">
        <x:f>'玩家战力_节点'!B68</x:f>
        <x:v>57</x:v>
      </x:c>
    </x:row>
    <x:row r="109" ht="25" customHeight="1">
      <x:c r="A109" s="40" t="str">
        <x:f>IF('调前玩家曲线'!C69=0,"序章",'调前玩家曲线'!C69)&amp;"-"&amp;'调前玩家曲线'!D69</x:f>
        <x:v>5-4</x:v>
      </x:c>
      <x:c r="B109" s="60" t="n">
        <x:f>IF(G109=0,0,ROUND(G109,2-INT(LOG10(ABS(G109)))))</x:f>
        <x:v>254000</x:v>
      </x:c>
      <x:c r="C109" s="55" t="n">
        <x:f>IF(H109=0,0,ROUND(H109,2-INT(LOG10(ABS(H109)))))</x:f>
        <x:v>161000</x:v>
      </x:c>
      <x:c r="D109" s="62" t="n">
        <x:f>H109/G109-1</x:f>
        <x:v>-0.36817895895581065</x:v>
      </x:c>
      <x:c r="E109" s="62" t="n">
        <x:f>G109/G108-1</x:f>
        <x:v>0.03182362128065219</x:v>
      </x:c>
      <x:c r="F109" s="62" t="n">
        <x:f>H109/H108-1</x:f>
        <x:v>0.030225327734863194</x:v>
      </x:c>
      <x:c r="G109" s="60" t="n">
        <x:f>'调前玩家曲线'!AU69</x:f>
        <x:v>254360</x:v>
      </x:c>
      <x:c r="H109" s="60" t="n">
        <x:f>'玩家战力_节点'!AU69</x:f>
        <x:v>160710</x:v>
      </x:c>
      <x:c r="I109" s="66" t="n">
        <x:f>'玩家战力_节点'!F69</x:f>
        <x:v>5</x:v>
      </x:c>
      <x:c r="J109" s="40" t="n">
        <x:f>'玩家战力_节点'!B69</x:f>
        <x:v>58</x:v>
      </x:c>
    </x:row>
    <x:row r="110" ht="25" customHeight="1">
      <x:c r="A110" s="40" t="str">
        <x:f>IF('调前玩家曲线'!C70=0,"序章",'调前玩家曲线'!C70)&amp;"-"&amp;'调前玩家曲线'!D70</x:f>
        <x:v>5-5</x:v>
      </x:c>
      <x:c r="B110" s="60" t="n">
        <x:f>IF(G110=0,0,ROUND(G110,2-INT(LOG10(ABS(G110)))))</x:f>
        <x:v>262000</x:v>
      </x:c>
      <x:c r="C110" s="55" t="n">
        <x:f>IF(H110=0,0,ROUND(H110,2-INT(LOG10(ABS(H110)))))</x:f>
        <x:v>166000</x:v>
      </x:c>
      <x:c r="D110" s="62" t="n">
        <x:f>H110/G110-1</x:f>
        <x:v>-0.36879040408856</x:v>
      </x:c>
      <x:c r="E110" s="62" t="n">
        <x:f>G110/G109-1</x:f>
        <x:v>0.030802799182261253</x:v>
      </x:c>
      <x:c r="F110" s="62" t="n">
        <x:f>H110/H109-1</x:f>
        <x:v>0.029805239250824567</x:v>
      </x:c>
      <x:c r="G110" s="60" t="n">
        <x:f>'调前玩家曲线'!AU70</x:f>
        <x:v>262195</x:v>
      </x:c>
      <x:c r="H110" s="60" t="n">
        <x:f>'玩家战力_节点'!AU70</x:f>
        <x:v>165500</x:v>
      </x:c>
      <x:c r="I110" s="66" t="n">
        <x:f>'玩家战力_节点'!F70</x:f>
        <x:v>5</x:v>
      </x:c>
      <x:c r="J110" s="40" t="n">
        <x:f>'玩家战力_节点'!B70</x:f>
        <x:v>59</x:v>
      </x:c>
    </x:row>
    <x:row r="111" ht="25" customHeight="1">
      <x:c r="A111" s="40" t="str">
        <x:f>IF('调前玩家曲线'!C71=0,"序章",'调前玩家曲线'!C71)&amp;"-"&amp;'调前玩家曲线'!D71</x:f>
        <x:v>5-6</x:v>
      </x:c>
      <x:c r="B111" s="60" t="n">
        <x:f>IF(G111=0,0,ROUND(G111,2-INT(LOG10(ABS(G111)))))</x:f>
        <x:v>270000</x:v>
      </x:c>
      <x:c r="C111" s="55" t="n">
        <x:f>IF(H111=0,0,ROUND(H111,2-INT(LOG10(ABS(H111)))))</x:f>
        <x:v>170000</x:v>
      </x:c>
      <x:c r="D111" s="62" t="n">
        <x:f>H111/G111-1</x:f>
        <x:v>-0.36904673727872006</x:v>
      </x:c>
      <x:c r="E111" s="62" t="n">
        <x:f>G111/G110-1</x:f>
        <x:v>0.029844199927534953</x:v>
      </x:c>
      <x:c r="F111" s="62" t="n">
        <x:f>H111/H110-1</x:f>
        <x:v>0.02942598187311174</x:v>
      </x:c>
      <x:c r="G111" s="60" t="n">
        <x:f>'调前玩家曲线'!AU71</x:f>
        <x:v>270020</x:v>
      </x:c>
      <x:c r="H111" s="60" t="n">
        <x:f>'玩家战力_节点'!AU71</x:f>
        <x:v>170370</x:v>
      </x:c>
      <x:c r="I111" s="66" t="n">
        <x:f>'玩家战力_节点'!F71</x:f>
        <x:v>5</x:v>
      </x:c>
      <x:c r="J111" s="40" t="n">
        <x:f>'玩家战力_节点'!B71</x:f>
        <x:v>60</x:v>
      </x:c>
    </x:row>
    <x:row r="112" ht="25" customHeight="1">
      <x:c r="A112" s="40" t="str">
        <x:f>IF('调前玩家曲线'!C72=0,"序章",'调前玩家曲线'!C72)&amp;"-"&amp;'调前玩家曲线'!D72</x:f>
        <x:v>5-7</x:v>
      </x:c>
      <x:c r="B112" s="60" t="n">
        <x:f>IF(G112=0,0,ROUND(G112,2-INT(LOG10(ABS(G112)))))</x:f>
        <x:v>278000</x:v>
      </x:c>
      <x:c r="C112" s="55" t="n">
        <x:f>IF(H112=0,0,ROUND(H112,2-INT(LOG10(ABS(H112)))))</x:f>
        <x:v>175000</x:v>
      </x:c>
      <x:c r="D112" s="62" t="n">
        <x:f>H112/G112-1</x:f>
        <x:v>-0.3689486376561206</x:v>
      </x:c>
      <x:c r="E112" s="62" t="n">
        <x:f>G112/G111-1</x:f>
        <x:v>0.028923783423450145</x:v>
      </x:c>
      <x:c r="F112" s="62" t="n">
        <x:f>H112/H111-1</x:f>
        <x:v>0.02908375887773662</x:v>
      </x:c>
      <x:c r="G112" s="60" t="n">
        <x:f>'调前玩家曲线'!AU72</x:f>
        <x:v>277830</x:v>
      </x:c>
      <x:c r="H112" s="60" t="n">
        <x:f>'玩家战力_节点'!AU72</x:f>
        <x:v>175325</x:v>
      </x:c>
      <x:c r="I112" s="66" t="n">
        <x:f>'玩家战力_节点'!F72</x:f>
        <x:v>5</x:v>
      </x:c>
      <x:c r="J112" s="40" t="n">
        <x:f>'玩家战力_节点'!B72</x:f>
        <x:v>61</x:v>
      </x:c>
    </x:row>
    <x:row r="113" ht="25" customHeight="1">
      <x:c r="A113" s="40" t="str">
        <x:f>IF('调前玩家曲线'!C73=0,"序章",'调前玩家曲线'!C73)&amp;"-"&amp;'调前玩家曲线'!D73</x:f>
        <x:v>5-8</x:v>
      </x:c>
      <x:c r="B113" s="60" t="n">
        <x:f>IF(G113=0,0,ROUND(G113,2-INT(LOG10(ABS(G113)))))</x:f>
        <x:v>286000</x:v>
      </x:c>
      <x:c r="C113" s="55" t="n">
        <x:f>IF(H113=0,0,ROUND(H113,2-INT(LOG10(ABS(H113)))))</x:f>
        <x:v>180000</x:v>
      </x:c>
      <x:c r="D113" s="62" t="n">
        <x:f>H113/G113-1</x:f>
        <x:v>-0.36852056089491103</x:v>
      </x:c>
      <x:c r="E113" s="62" t="n">
        <x:f>G113/G112-1</x:f>
        <x:v>0.028020732102364665</x:v>
      </x:c>
      <x:c r="F113" s="62" t="n">
        <x:f>H113/H112-1</x:f>
        <x:v>0.028718094966490693</x:v>
      </x:c>
      <x:c r="G113" s="60" t="n">
        <x:f>'调前玩家曲线'!AU73</x:f>
        <x:v>285615</x:v>
      </x:c>
      <x:c r="H113" s="60" t="n">
        <x:f>'玩家战力_节点'!AU73</x:f>
        <x:v>180360</x:v>
      </x:c>
      <x:c r="I113" s="66" t="n">
        <x:f>'玩家战力_节点'!F73</x:f>
        <x:v>5</x:v>
      </x:c>
      <x:c r="J113" s="40" t="n">
        <x:f>'玩家战力_节点'!B73</x:f>
        <x:v>62</x:v>
      </x:c>
    </x:row>
    <x:row r="114" ht="25" customHeight="1">
      <x:c r="A114" s="40" t="str">
        <x:f>IF('调前玩家曲线'!C74=0,"序章",'调前玩家曲线'!C74)&amp;"-"&amp;'调前玩家曲线'!D74</x:f>
        <x:v>5-9</x:v>
      </x:c>
      <x:c r="B114" s="60" t="n">
        <x:f>IF(G114=0,0,ROUND(G114,2-INT(LOG10(ABS(G114)))))</x:f>
        <x:v>293000</x:v>
      </x:c>
      <x:c r="C114" s="55" t="n">
        <x:f>IF(H114=0,0,ROUND(H114,2-INT(LOG10(ABS(H114)))))</x:f>
        <x:v>185000</x:v>
      </x:c>
      <x:c r="D114" s="62" t="n">
        <x:f>H114/G114-1</x:f>
        <x:v>-0.3677994409980231</x:v>
      </x:c>
      <x:c r="E114" s="62" t="n">
        <x:f>G114/G113-1</x:f>
        <x:v>0.027186947464243882</x:v>
      </x:c>
      <x:c r="F114" s="62" t="n">
        <x:f>H114/H113-1</x:f>
        <x:v>0.02835994677312037</x:v>
      </x:c>
      <x:c r="G114" s="60" t="n">
        <x:f>'调前玩家曲线'!AU74</x:f>
        <x:v>293380</x:v>
      </x:c>
      <x:c r="H114" s="60" t="n">
        <x:f>'玩家战力_节点'!AU74</x:f>
        <x:v>185475</x:v>
      </x:c>
      <x:c r="I114" s="66" t="n">
        <x:f>'玩家战力_节点'!F74</x:f>
        <x:v>5</x:v>
      </x:c>
      <x:c r="J114" s="40" t="n">
        <x:f>'玩家战力_节点'!B74</x:f>
        <x:v>63</x:v>
      </x:c>
    </x:row>
    <x:row r="115" ht="25" customHeight="1">
      <x:c r="A115" s="40" t="str">
        <x:f>IF('调前玩家曲线'!C75=0,"序章",'调前玩家曲线'!C75)&amp;"-"&amp;'调前玩家曲线'!D75</x:f>
        <x:v>5-10</x:v>
      </x:c>
      <x:c r="B115" s="60" t="n">
        <x:f>IF(G115=0,0,ROUND(G115,2-INT(LOG10(ABS(G115)))))</x:f>
        <x:v>301000</x:v>
      </x:c>
      <x:c r="C115" s="55" t="n">
        <x:f>IF(H115=0,0,ROUND(H115,2-INT(LOG10(ABS(H115)))))</x:f>
        <x:v>191000</x:v>
      </x:c>
      <x:c r="D115" s="62" t="n">
        <x:f>H115/G115-1</x:f>
        <x:v>-0.36678068544102016</x:v>
      </x:c>
      <x:c r="E115" s="62" t="n">
        <x:f>G115/G114-1</x:f>
        <x:v>0.026382166473515545</x:v>
      </x:c>
      <x:c r="F115" s="62" t="n">
        <x:f>H115/H114-1</x:f>
        <x:v>0.028036123466774532</x:v>
      </x:c>
      <x:c r="G115" s="60" t="n">
        <x:f>'调前玩家曲线'!AU75</x:f>
        <x:v>301120</x:v>
      </x:c>
      <x:c r="H115" s="60" t="n">
        <x:f>'玩家战力_节点'!AU75</x:f>
        <x:v>190675</x:v>
      </x:c>
      <x:c r="I115" s="66" t="n">
        <x:f>'玩家战力_节点'!F75</x:f>
        <x:v>5</x:v>
      </x:c>
      <x:c r="J115" s="40" t="n">
        <x:f>'玩家战力_节点'!B75</x:f>
        <x:v>64</x:v>
      </x:c>
    </x:row>
    <x:row r="116" ht="25" customHeight="1">
      <x:c r="A116" s="40" t="str">
        <x:f>IF('调前玩家曲线'!C76=0,"序章",'调前玩家曲线'!C76)&amp;"-"&amp;'调前玩家曲线'!D76</x:f>
        <x:v>5-11</x:v>
      </x:c>
      <x:c r="B116" s="60" t="n">
        <x:f>IF(G116=0,0,ROUND(G116,2-INT(LOG10(ABS(G116)))))</x:f>
        <x:v>312000</x:v>
      </x:c>
      <x:c r="C116" s="55" t="n">
        <x:f>IF(H116=0,0,ROUND(H116,2-INT(LOG10(ABS(H116)))))</x:f>
        <x:v>197000</x:v>
      </x:c>
      <x:c r="D116" s="62" t="n">
        <x:f>H116/G116-1</x:f>
        <x:v>-0.3681706789678535</x:v>
      </x:c>
      <x:c r="E116" s="62" t="n">
        <x:f>G116/G115-1</x:f>
        <x:v>0.03667972901168959</x:v>
      </x:c>
      <x:c r="F116" s="62" t="n">
        <x:f>H116/H115-1</x:f>
        <x:v>0.03440409073030026</x:v>
      </x:c>
      <x:c r="G116" s="60" t="n">
        <x:f>'调前玩家曲线'!AU76</x:f>
        <x:v>312165</x:v>
      </x:c>
      <x:c r="H116" s="60" t="n">
        <x:f>'玩家战力_节点'!AU76</x:f>
        <x:v>197235</x:v>
      </x:c>
      <x:c r="I116" s="66" t="n">
        <x:f>'玩家战力_节点'!F76</x:f>
        <x:v>5</x:v>
      </x:c>
      <x:c r="J116" s="40" t="n">
        <x:f>'玩家战力_节点'!B76</x:f>
        <x:v>65</x:v>
      </x:c>
    </x:row>
    <x:row r="117" ht="25" customHeight="1">
      <x:c r="A117" s="40" t="str">
        <x:f>IF('调前玩家曲线'!C77=0,"序章",'调前玩家曲线'!C77)&amp;"-"&amp;'调前玩家曲线'!D77</x:f>
        <x:v>5-12</x:v>
      </x:c>
      <x:c r="B117" s="60" t="n">
        <x:f>IF(G117=0,0,ROUND(G117,2-INT(LOG10(ABS(G117)))))</x:f>
        <x:v>323000</x:v>
      </x:c>
      <x:c r="C117" s="55" t="n">
        <x:f>IF(H117=0,0,ROUND(H117,2-INT(LOG10(ABS(H117)))))</x:f>
        <x:v>204000</x:v>
      </x:c>
      <x:c r="D117" s="62" t="n">
        <x:f>H117/G117-1</x:f>
        <x:v>-0.36912128712871284</x:v>
      </x:c>
      <x:c r="E117" s="62" t="n">
        <x:f>G117/G116-1</x:f>
        <x:v>0.035349895087533945</x:v>
      </x:c>
      <x:c r="F117" s="62" t="n">
        <x:f>H117/H116-1</x:f>
        <x:v>0.03379217684488056</x:v>
      </x:c>
      <x:c r="G117" s="60" t="n">
        <x:f>'调前玩家曲线'!AU77</x:f>
        <x:v>323200</x:v>
      </x:c>
      <x:c r="H117" s="60" t="n">
        <x:f>'玩家战力_节点'!AU77</x:f>
        <x:v>203900</x:v>
      </x:c>
      <x:c r="I117" s="66" t="n">
        <x:f>'玩家战力_节点'!F77</x:f>
        <x:v>5</x:v>
      </x:c>
      <x:c r="J117" s="40" t="n">
        <x:f>'玩家战力_节点'!B77</x:f>
        <x:v>66</x:v>
      </x:c>
    </x:row>
    <x:row r="118" ht="25" customHeight="1">
      <x:c r="A118" s="40" t="str">
        <x:f>IF('调前玩家曲线'!C78=0,"序章",'调前玩家曲线'!C78)&amp;"-"&amp;'调前玩家曲线'!D78</x:f>
        <x:v>5-13</x:v>
      </x:c>
      <x:c r="B118" s="60" t="n">
        <x:f>IF(G118=0,0,ROUND(G118,2-INT(LOG10(ABS(G118)))))</x:f>
        <x:v>334000</x:v>
      </x:c>
      <x:c r="C118" s="55" t="n">
        <x:f>IF(H118=0,0,ROUND(H118,2-INT(LOG10(ABS(H118)))))</x:f>
        <x:v>211000</x:v>
      </x:c>
      <x:c r="D118" s="62" t="n">
        <x:f>H118/G118-1</x:f>
        <x:v>-0.3696328655635678</x:v>
      </x:c>
      <x:c r="E118" s="62" t="n">
        <x:f>G118/G117-1</x:f>
        <x:v>0.0340655940594059</x:v>
      </x:c>
      <x:c r="F118" s="62" t="n">
        <x:f>H118/H117-1</x:f>
        <x:v>0.03322707209416387</x:v>
      </x:c>
      <x:c r="G118" s="60" t="n">
        <x:f>'调前玩家曲线'!AU78</x:f>
        <x:v>334210</x:v>
      </x:c>
      <x:c r="H118" s="60" t="n">
        <x:f>'玩家战力_节点'!AU78</x:f>
        <x:v>210675</x:v>
      </x:c>
      <x:c r="I118" s="66" t="n">
        <x:f>'玩家战力_节点'!F78</x:f>
        <x:v>5</x:v>
      </x:c>
      <x:c r="J118" s="40" t="n">
        <x:f>'玩家战力_节点'!B78</x:f>
        <x:v>67</x:v>
      </x:c>
    </x:row>
    <x:row r="119" ht="25" customHeight="1">
      <x:c r="A119" s="40" t="str">
        <x:f>IF('调前玩家曲线'!C79=0,"序章",'调前玩家曲线'!C79)&amp;"-"&amp;'调前玩家曲线'!D79</x:f>
        <x:v>5-14</x:v>
      </x:c>
      <x:c r="B119" s="60" t="n">
        <x:f>IF(G119=0,0,ROUND(G119,2-INT(LOG10(ABS(G119)))))</x:f>
        <x:v>345000</x:v>
      </x:c>
      <x:c r="C119" s="55" t="n">
        <x:f>IF(H119=0,0,ROUND(H119,2-INT(LOG10(ABS(H119)))))</x:f>
        <x:v>218000</x:v>
      </x:c>
      <x:c r="D119" s="62" t="n">
        <x:f>H119/G119-1</x:f>
        <x:v>-0.36973840493641186</x:v>
      </x:c>
      <x:c r="E119" s="62" t="n">
        <x:f>G119/G118-1</x:f>
        <x:v>0.03285359504503149</x:v>
      </x:c>
      <x:c r="F119" s="62" t="n">
        <x:f>H119/H118-1</x:f>
        <x:v>0.03268066927732294</x:v>
      </x:c>
      <x:c r="G119" s="60" t="n">
        <x:f>'调前玩家曲线'!AU79</x:f>
        <x:v>345190</x:v>
      </x:c>
      <x:c r="H119" s="60" t="n">
        <x:f>'玩家战力_节点'!AU79</x:f>
        <x:v>217560</x:v>
      </x:c>
      <x:c r="I119" s="66" t="n">
        <x:f>'玩家战力_节点'!F79</x:f>
        <x:v>5</x:v>
      </x:c>
      <x:c r="J119" s="40" t="n">
        <x:f>'玩家战力_节点'!B79</x:f>
        <x:v>68</x:v>
      </x:c>
    </x:row>
    <x:row r="120" ht="25" customHeight="1">
      <x:c r="A120" s="40" t="str">
        <x:f>IF('调前玩家曲线'!C80=0,"序章",'调前玩家曲线'!C80)&amp;"-"&amp;'调前玩家曲线'!D80</x:f>
        <x:v>5-15</x:v>
      </x:c>
      <x:c r="B120" s="60" t="n">
        <x:f>IF(G120=0,0,ROUND(G120,2-INT(LOG10(ABS(G120)))))</x:f>
        <x:v>356000</x:v>
      </x:c>
      <x:c r="C120" s="55" t="n">
        <x:f>IF(H120=0,0,ROUND(H120,2-INT(LOG10(ABS(H120)))))</x:f>
        <x:v>225000</x:v>
      </x:c>
      <x:c r="D120" s="62" t="n">
        <x:f>H120/G120-1</x:f>
        <x:v>-0.3694525952237213</x:v>
      </x:c>
      <x:c r="E120" s="62" t="n">
        <x:f>G120/G119-1</x:f>
        <x:v>0.03170717575827808</x:v>
      </x:c>
      <x:c r="F120" s="62" t="n">
        <x:f>H120/H119-1</x:f>
        <x:v>0.03217503217503226</x:v>
      </x:c>
      <x:c r="G120" s="60" t="n">
        <x:f>'调前玩家曲线'!AU80</x:f>
        <x:v>356135</x:v>
      </x:c>
      <x:c r="H120" s="60" t="n">
        <x:f>'玩家战力_节点'!AU80</x:f>
        <x:v>224560</x:v>
      </x:c>
      <x:c r="I120" s="66" t="n">
        <x:f>'玩家战力_节点'!F80</x:f>
        <x:v>5</x:v>
      </x:c>
      <x:c r="J120" s="40" t="n">
        <x:f>'玩家战力_节点'!B80</x:f>
        <x:v>69</x:v>
      </x:c>
    </x:row>
    <x:row r="121" ht="25" customHeight="1">
      <x:c r="A121" s="40" t="str">
        <x:f>IF('调前玩家曲线'!C81=0,"序章",'调前玩家曲线'!C81)&amp;"-"&amp;'调前玩家曲线'!D81</x:f>
        <x:v>6-1</x:v>
      </x:c>
      <x:c r="B121" s="60" t="n">
        <x:f>IF(G121=0,0,ROUND(G121,2-INT(LOG10(ABS(G121)))))</x:f>
        <x:v>367000</x:v>
      </x:c>
      <x:c r="C121" s="55" t="n">
        <x:f>IF(H121=0,0,ROUND(H121,2-INT(LOG10(ABS(H121)))))</x:f>
        <x:v>231000</x:v>
      </x:c>
      <x:c r="D121" s="62" t="n">
        <x:f>H121/G121-1</x:f>
        <x:v>-0.36996826002261307</x:v>
      </x:c>
      <x:c r="E121" s="62" t="n">
        <x:f>G121/G120-1</x:f>
        <x:v>0.030634450419082748</x:v>
      </x:c>
      <x:c r="F121" s="62" t="n">
        <x:f>H121/H120-1</x:f>
        <x:v>0.029791592447452775</x:v>
      </x:c>
      <x:c r="G121" s="60" t="n">
        <x:f>'调前玩家曲线'!AU81</x:f>
        <x:v>367045</x:v>
      </x:c>
      <x:c r="H121" s="60" t="n">
        <x:f>'玩家战力_节点'!AU81</x:f>
        <x:v>231250</x:v>
      </x:c>
      <x:c r="I121" s="66" t="n">
        <x:f>'玩家战力_节点'!F81</x:f>
        <x:v>5</x:v>
      </x:c>
      <x:c r="J121" s="40" t="n">
        <x:f>'玩家战力_节点'!B81</x:f>
        <x:v>70</x:v>
      </x:c>
    </x:row>
    <x:row r="122" ht="25" customHeight="1">
      <x:c r="A122" s="40" t="str">
        <x:f>IF('调前玩家曲线'!C82=0,"序章",'调前玩家曲线'!C82)&amp;"-"&amp;'调前玩家曲线'!D82</x:f>
        <x:v>6-2</x:v>
      </x:c>
      <x:c r="B122" s="60" t="n">
        <x:f>IF(G122=0,0,ROUND(G122,2-INT(LOG10(ABS(G122)))))</x:f>
        <x:v>378000</x:v>
      </x:c>
      <x:c r="C122" s="55" t="n">
        <x:f>IF(H122=0,0,ROUND(H122,2-INT(LOG10(ABS(H122)))))</x:f>
        <x:v>237000</x:v>
      </x:c>
      <x:c r="D122" s="62" t="n">
        <x:f>H122/G122-1</x:f>
        <x:v>-0.37252748706685546</x:v>
      </x:c>
      <x:c r="E122" s="62" t="n">
        <x:f>G122/G121-1</x:f>
        <x:v>0.029587652740127313</x:v>
      </x:c>
      <x:c r="F122" s="62" t="n">
        <x:f>H122/H121-1</x:f>
        <x:v>0.025405405405405368</x:v>
      </x:c>
      <x:c r="G122" s="60" t="n">
        <x:f>'调前玩家曲线'!AU82</x:f>
        <x:v>377905</x:v>
      </x:c>
      <x:c r="H122" s="60" t="n">
        <x:f>'玩家战力_节点'!AU82</x:f>
        <x:v>237125</x:v>
      </x:c>
      <x:c r="I122" s="66" t="n">
        <x:f>'玩家战力_节点'!F82</x:f>
        <x:v>5</x:v>
      </x:c>
      <x:c r="J122" s="40" t="n">
        <x:f>'玩家战力_节点'!B82</x:f>
        <x:v>71</x:v>
      </x:c>
    </x:row>
    <x:row r="123" ht="25" customHeight="1">
      <x:c r="A123" s="40" t="str">
        <x:f>IF('调前玩家曲线'!C83=0,"序章",'调前玩家曲线'!C83)&amp;"-"&amp;'调前玩家曲线'!D83</x:f>
        <x:v>6-3</x:v>
      </x:c>
      <x:c r="B123" s="60" t="n">
        <x:f>IF(G123=0,0,ROUND(G123,2-INT(LOG10(ABS(G123)))))</x:f>
        <x:v>389000</x:v>
      </x:c>
      <x:c r="C123" s="55" t="n">
        <x:f>IF(H123=0,0,ROUND(H123,2-INT(LOG10(ABS(H123)))))</x:f>
        <x:v>243000</x:v>
      </x:c>
      <x:c r="D123" s="62" t="n">
        <x:f>H123/G123-1</x:f>
        <x:v>-0.37469129450504224</x:v>
      </x:c>
      <x:c r="E123" s="62" t="n">
        <x:f>G123/G122-1</x:f>
        <x:v>0.02861830354189543</x:v>
      </x:c>
      <x:c r="F123" s="62" t="n">
        <x:f>H123/H122-1</x:f>
        <x:v>0.02507116499736428</x:v>
      </x:c>
      <x:c r="G123" s="60" t="n">
        <x:f>'调前玩家曲线'!AU83</x:f>
        <x:v>388720</x:v>
      </x:c>
      <x:c r="H123" s="60" t="n">
        <x:f>'玩家战力_节点'!AU83</x:f>
        <x:v>243070</x:v>
      </x:c>
      <x:c r="I123" s="66" t="n">
        <x:f>'玩家战力_节点'!F83</x:f>
        <x:v>5</x:v>
      </x:c>
      <x:c r="J123" s="40" t="n">
        <x:f>'玩家战力_节点'!B83</x:f>
        <x:v>72</x:v>
      </x:c>
    </x:row>
    <x:row r="124" ht="25" customHeight="1">
      <x:c r="A124" s="40" t="str">
        <x:f>IF('调前玩家曲线'!C84=0,"序章",'调前玩家曲线'!C84)&amp;"-"&amp;'调前玩家曲线'!D84</x:f>
        <x:v>6-4</x:v>
      </x:c>
      <x:c r="B124" s="60" t="n">
        <x:f>IF(G124=0,0,ROUND(G124,2-INT(LOG10(ABS(G124)))))</x:f>
        <x:v>399000</x:v>
      </x:c>
      <x:c r="C124" s="55" t="n">
        <x:f>IF(H124=0,0,ROUND(H124,2-INT(LOG10(ABS(H124)))))</x:f>
        <x:v>249000</x:v>
      </x:c>
      <x:c r="D124" s="62" t="n">
        <x:f>H124/G124-1</x:f>
        <x:v>-0.3764596918532611</x:v>
      </x:c>
      <x:c r="E124" s="62" t="n">
        <x:f>G124/G123-1</x:f>
        <x:v>0.027693455443506876</x:v>
      </x:c>
      <x:c r="F124" s="62" t="n">
        <x:f>H124/H123-1</x:f>
        <x:v>0.024787098366725546</x:v>
      </x:c>
      <x:c r="G124" s="60" t="n">
        <x:f>'调前玩家曲线'!AU84</x:f>
        <x:v>399485</x:v>
      </x:c>
      <x:c r="H124" s="60" t="n">
        <x:f>'玩家战力_节点'!AU84</x:f>
        <x:v>249095</x:v>
      </x:c>
      <x:c r="I124" s="66" t="n">
        <x:f>'玩家战力_节点'!F84</x:f>
        <x:v>5</x:v>
      </x:c>
      <x:c r="J124" s="40" t="n">
        <x:f>'玩家战力_节点'!B84</x:f>
        <x:v>73</x:v>
      </x:c>
    </x:row>
    <x:row r="125" ht="25" customHeight="1">
      <x:c r="A125" s="40" t="str">
        <x:f>IF('调前玩家曲线'!C85=0,"序章",'调前玩家曲线'!C85)&amp;"-"&amp;'调前玩家曲线'!D85</x:f>
        <x:v>6-5</x:v>
      </x:c>
      <x:c r="B125" s="60" t="n">
        <x:f>IF(G125=0,0,ROUND(G125,2-INT(LOG10(ABS(G125)))))</x:f>
        <x:v>410000</x:v>
      </x:c>
      <x:c r="C125" s="55" t="n">
        <x:f>IF(H125=0,0,ROUND(H125,2-INT(LOG10(ABS(H125)))))</x:f>
        <x:v>255000</x:v>
      </x:c>
      <x:c r="D125" s="62" t="n">
        <x:f>H125/G125-1</x:f>
        <x:v>-0.37786147882688514</x:v>
      </x:c>
      <x:c r="E125" s="62" t="n">
        <x:f>G125/G124-1</x:f>
        <x:v>0.026797001138966436</x:v>
      </x:c>
      <x:c r="F125" s="62" t="n">
        <x:f>H125/H124-1</x:f>
        <x:v>0.02448864890905078</x:v>
      </x:c>
      <x:c r="G125" s="60" t="n">
        <x:f>'调前玩家曲线'!AU85</x:f>
        <x:v>410190</x:v>
      </x:c>
      <x:c r="H125" s="60" t="n">
        <x:f>'玩家战力_节点'!AU85</x:f>
        <x:v>255195</x:v>
      </x:c>
      <x:c r="I125" s="66" t="n">
        <x:f>'玩家战力_节点'!F85</x:f>
        <x:v>5</x:v>
      </x:c>
      <x:c r="J125" s="40" t="n">
        <x:f>'玩家战力_节点'!B85</x:f>
        <x:v>74</x:v>
      </x:c>
    </x:row>
    <x:row r="126" ht="25" customHeight="1">
      <x:c r="A126" s="40" t="str">
        <x:f>IF('调前玩家曲线'!C86=0,"序章",'调前玩家曲线'!C86)&amp;"-"&amp;'调前玩家曲线'!D86</x:f>
        <x:v>6-6</x:v>
      </x:c>
      <x:c r="B126" s="60" t="n">
        <x:f>IF(G126=0,0,ROUND(G126,2-INT(LOG10(ABS(G126)))))</x:f>
        <x:v>421000</x:v>
      </x:c>
      <x:c r="C126" s="55" t="n">
        <x:f>IF(H126=0,0,ROUND(H126,2-INT(LOG10(ABS(H126)))))</x:f>
        <x:v>261000</x:v>
      </x:c>
      <x:c r="D126" s="62" t="n">
        <x:f>H126/G126-1</x:f>
        <x:v>-0.3789297340969038</x:v>
      </x:c>
      <x:c r="E126" s="62" t="n">
        <x:f>G126/G125-1</x:f>
        <x:v>0.025939198907823258</x:v>
      </x:c>
      <x:c r="F126" s="62" t="n">
        <x:f>H126/H125-1</x:f>
        <x:v>0.024177589686318335</x:v>
      </x:c>
      <x:c r="G126" s="60" t="n">
        <x:f>'调前玩家曲线'!AU86</x:f>
        <x:v>420830</x:v>
      </x:c>
      <x:c r="H126" s="60" t="n">
        <x:f>'玩家战力_节点'!AU86</x:f>
        <x:v>261365</x:v>
      </x:c>
      <x:c r="I126" s="66" t="n">
        <x:f>'玩家战力_节点'!F86</x:f>
        <x:v>5</x:v>
      </x:c>
      <x:c r="J126" s="40" t="n">
        <x:f>'玩家战力_节点'!B86</x:f>
        <x:v>75</x:v>
      </x:c>
    </x:row>
    <x:row r="127" ht="25" customHeight="1">
      <x:c r="A127" s="40" t="str">
        <x:f>IF('调前玩家曲线'!C87=0,"序章",'调前玩家曲线'!C87)&amp;"-"&amp;'调前玩家曲线'!D87</x:f>
        <x:v>6-7</x:v>
      </x:c>
      <x:c r="B127" s="60" t="n">
        <x:f>IF(G127=0,0,ROUND(G127,2-INT(LOG10(ABS(G127)))))</x:f>
        <x:v>431000</x:v>
      </x:c>
      <x:c r="C127" s="55" t="n">
        <x:f>IF(H127=0,0,ROUND(H127,2-INT(LOG10(ABS(H127)))))</x:f>
        <x:v>268000</x:v>
      </x:c>
      <x:c r="D127" s="62" t="n">
        <x:f>H127/G127-1</x:f>
        <x:v>-0.3796736283349945</x:v>
      </x:c>
      <x:c r="E127" s="62" t="n">
        <x:f>G127/G126-1</x:f>
        <x:v>0.025140793194401434</x:v>
      </x:c>
      <x:c r="F127" s="62" t="n">
        <x:f>H127/H126-1</x:f>
        <x:v>0.023912918715206732</x:v>
      </x:c>
      <x:c r="G127" s="60" t="n">
        <x:f>'调前玩家曲线'!AU87</x:f>
        <x:v>431410</x:v>
      </x:c>
      <x:c r="H127" s="60" t="n">
        <x:f>'玩家战力_节点'!AU87</x:f>
        <x:v>267615</x:v>
      </x:c>
      <x:c r="I127" s="66" t="n">
        <x:f>'玩家战力_节点'!F87</x:f>
        <x:v>5</x:v>
      </x:c>
      <x:c r="J127" s="40" t="n">
        <x:f>'玩家战力_节点'!B87</x:f>
        <x:v>76</x:v>
      </x:c>
    </x:row>
    <x:row r="128" ht="25" customHeight="1">
      <x:c r="A128" s="40" t="str">
        <x:f>IF('调前玩家曲线'!C88=0,"序章",'调前玩家曲线'!C88)&amp;"-"&amp;'调前玩家曲线'!D88</x:f>
        <x:v>6-8</x:v>
      </x:c>
      <x:c r="B128" s="60" t="n">
        <x:f>IF(G128=0,0,ROUND(G128,2-INT(LOG10(ABS(G128)))))</x:f>
        <x:v>442000</x:v>
      </x:c>
      <x:c r="C128" s="55" t="n">
        <x:f>IF(H128=0,0,ROUND(H128,2-INT(LOG10(ABS(H128)))))</x:f>
        <x:v>274000</x:v>
      </x:c>
      <x:c r="D128" s="62" t="n">
        <x:f>H128/G128-1</x:f>
        <x:v>-0.3801140477914554</x:v>
      </x:c>
      <x:c r="E128" s="62" t="n">
        <x:f>G128/G127-1</x:f>
        <x:v>0.02436197584664246</x:v>
      </x:c>
      <x:c r="F128" s="62" t="n">
        <x:f>H128/H127-1</x:f>
        <x:v>0.02363469910132099</x:v>
      </x:c>
      <x:c r="G128" s="60" t="n">
        <x:f>'调前玩家曲线'!AU88</x:f>
        <x:v>441920</x:v>
      </x:c>
      <x:c r="H128" s="60" t="n">
        <x:f>'玩家战力_节点'!AU88</x:f>
        <x:v>273940</x:v>
      </x:c>
      <x:c r="I128" s="66" t="n">
        <x:f>'玩家战力_节点'!F88</x:f>
        <x:v>5</x:v>
      </x:c>
      <x:c r="J128" s="40" t="n">
        <x:f>'玩家战力_节点'!B88</x:f>
        <x:v>77</x:v>
      </x:c>
    </x:row>
    <x:row r="129" ht="25" customHeight="1">
      <x:c r="A129" s="40" t="str">
        <x:f>IF('调前玩家曲线'!C89=0,"序章",'调前玩家曲线'!C89)&amp;"-"&amp;'调前玩家曲线'!D89</x:f>
        <x:v>6-9</x:v>
      </x:c>
      <x:c r="B129" s="60" t="n">
        <x:f>IF(G129=0,0,ROUND(G129,2-INT(LOG10(ABS(G129)))))</x:f>
        <x:v>452000</x:v>
      </x:c>
      <x:c r="C129" s="55" t="n">
        <x:f>IF(H129=0,0,ROUND(H129,2-INT(LOG10(ABS(H129)))))</x:f>
        <x:v>280000</x:v>
      </x:c>
      <x:c r="D129" s="62" t="n">
        <x:f>H129/G129-1</x:f>
        <x:v>-0.38026129631267136</x:v>
      </x:c>
      <x:c r="E129" s="62" t="n">
        <x:f>G129/G128-1</x:f>
        <x:v>0.023624185372918216</x:v>
      </x:c>
      <x:c r="F129" s="62" t="n">
        <x:f>H129/H128-1</x:f>
        <x:v>0.023381032342848718</x:v>
      </x:c>
      <x:c r="G129" s="60" t="n">
        <x:f>'调前玩家曲线'!AU89</x:f>
        <x:v>452360</x:v>
      </x:c>
      <x:c r="H129" s="60" t="n">
        <x:f>'玩家战力_节点'!AU89</x:f>
        <x:v>280345</x:v>
      </x:c>
      <x:c r="I129" s="66" t="n">
        <x:f>'玩家战力_节点'!F89</x:f>
        <x:v>5</x:v>
      </x:c>
      <x:c r="J129" s="40" t="n">
        <x:f>'玩家战力_节点'!B89</x:f>
        <x:v>78</x:v>
      </x:c>
    </x:row>
    <x:row r="130" ht="25" customHeight="1">
      <x:c r="A130" s="40" t="str">
        <x:f>IF('调前玩家曲线'!C90=0,"序章",'调前玩家曲线'!C90)&amp;"-"&amp;'调前玩家曲线'!D90</x:f>
        <x:v>6-10</x:v>
      </x:c>
      <x:c r="B130" s="60" t="n">
        <x:f>IF(G130=0,0,ROUND(G130,2-INT(LOG10(ABS(G130)))))</x:f>
        <x:v>463000</x:v>
      </x:c>
      <x:c r="C130" s="55" t="n">
        <x:f>IF(H130=0,0,ROUND(H130,2-INT(LOG10(ABS(H130)))))</x:f>
        <x:v>287000</x:v>
      </x:c>
      <x:c r="D130" s="62" t="n">
        <x:f>H130/G130-1</x:f>
        <x:v>-0.3801393916473067</x:v>
      </x:c>
      <x:c r="E130" s="62" t="n">
        <x:f>G130/G129-1</x:f>
        <x:v>0.022913166504553883</x:v>
      </x:c>
      <x:c r="F130" s="62" t="n">
        <x:f>H130/H129-1</x:f>
        <x:v>0.023114376928427438</x:v>
      </x:c>
      <x:c r="G130" s="60" t="n">
        <x:f>'调前玩家曲线'!AU90</x:f>
        <x:v>462725</x:v>
      </x:c>
      <x:c r="H130" s="60" t="n">
        <x:f>'玩家战力_节点'!AU90</x:f>
        <x:v>286825</x:v>
      </x:c>
      <x:c r="I130" s="66" t="n">
        <x:f>'玩家战力_节点'!F90</x:f>
        <x:v>5</x:v>
      </x:c>
      <x:c r="J130" s="40" t="n">
        <x:f>'玩家战力_节点'!B90</x:f>
        <x:v>79</x:v>
      </x:c>
    </x:row>
    <x:row r="131" ht="25" customHeight="1">
      <x:c r="A131" s="40" t="str">
        <x:f>IF('调前玩家曲线'!C91=0,"序章",'调前玩家曲线'!C91)&amp;"-"&amp;'调前玩家曲线'!D91</x:f>
        <x:v>6-11</x:v>
      </x:c>
      <x:c r="B131" s="60" t="n">
        <x:f>IF(G131=0,0,ROUND(G131,2-INT(LOG10(ABS(G131)))))</x:f>
        <x:v>473000</x:v>
      </x:c>
      <x:c r="C131" s="55" t="n">
        <x:f>IF(H131=0,0,ROUND(H131,2-INT(LOG10(ABS(H131)))))</x:f>
        <x:v>293000</x:v>
      </x:c>
      <x:c r="D131" s="62" t="n">
        <x:f>H131/G131-1</x:f>
        <x:v>-0.379765969366722</x:v>
      </x:c>
      <x:c r="E131" s="62" t="n">
        <x:f>G131/G130-1</x:f>
        <x:v>0.022237830244745904</x:v>
      </x:c>
      <x:c r="F131" s="62" t="n">
        <x:f>H131/H130-1</x:f>
        <x:v>0.02285365641070336</x:v>
      </x:c>
      <x:c r="G131" s="60" t="n">
        <x:f>'调前玩家曲线'!AU91</x:f>
        <x:v>473015</x:v>
      </x:c>
      <x:c r="H131" s="60" t="n">
        <x:f>'玩家战力_节点'!AU91</x:f>
        <x:v>293380</x:v>
      </x:c>
      <x:c r="I131" s="66" t="n">
        <x:f>'玩家战力_节点'!F91</x:f>
        <x:v>5</x:v>
      </x:c>
      <x:c r="J131" s="40" t="n">
        <x:f>'玩家战力_节点'!B91</x:f>
        <x:v>80</x:v>
      </x:c>
    </x:row>
    <x:row r="132" ht="25" customHeight="1">
      <x:c r="A132" s="40" t="str">
        <x:f>IF('调前玩家曲线'!C92=0,"序章",'调前玩家曲线'!C92)&amp;"-"&amp;'调前玩家曲线'!D92</x:f>
        <x:v>6-12</x:v>
      </x:c>
      <x:c r="B132" s="60" t="n">
        <x:f>IF(G132=0,0,ROUND(G132,2-INT(LOG10(ABS(G132)))))</x:f>
        <x:v>483000</x:v>
      </x:c>
      <x:c r="C132" s="55" t="n">
        <x:f>IF(H132=0,0,ROUND(H132,2-INT(LOG10(ABS(H132)))))</x:f>
        <x:v>300000</x:v>
      </x:c>
      <x:c r="D132" s="62" t="n">
        <x:f>H132/G132-1</x:f>
        <x:v>-0.3791337279086131</x:v>
      </x:c>
      <x:c r="E132" s="62" t="n">
        <x:f>G132/G131-1</x:f>
        <x:v>0.021574368677526046</x:v>
      </x:c>
      <x:c r="F132" s="62" t="n">
        <x:f>H132/H131-1</x:f>
        <x:v>0.02261572022632774</x:v>
      </x:c>
      <x:c r="G132" s="60" t="n">
        <x:f>'调前玩家曲线'!AU92</x:f>
        <x:v>483220</x:v>
      </x:c>
      <x:c r="H132" s="60" t="n">
        <x:f>'玩家战力_节点'!AU92</x:f>
        <x:v>300015</x:v>
      </x:c>
      <x:c r="I132" s="66" t="n">
        <x:f>'玩家战力_节点'!F92</x:f>
        <x:v>5</x:v>
      </x:c>
      <x:c r="J132" s="40" t="n">
        <x:f>'玩家战力_节点'!B92</x:f>
        <x:v>81</x:v>
      </x:c>
    </x:row>
    <x:row r="133" ht="25" customHeight="1">
      <x:c r="A133" s="40" t="str">
        <x:f>IF('调前玩家曲线'!C93=0,"序章",'调前玩家曲线'!C93)&amp;"-"&amp;'调前玩家曲线'!D93</x:f>
        <x:v>6-13</x:v>
      </x:c>
      <x:c r="B133" s="60" t="n">
        <x:f>IF(G133=0,0,ROUND(G133,2-INT(LOG10(ABS(G133)))))</x:f>
        <x:v>493000</x:v>
      </x:c>
      <x:c r="C133" s="55" t="n">
        <x:f>IF(H133=0,0,ROUND(H133,2-INT(LOG10(ABS(H133)))))</x:f>
        <x:v>307000</x:v>
      </x:c>
      <x:c r="D133" s="62" t="n">
        <x:f>H133/G133-1</x:f>
        <x:v>-0.3782710043579609</x:v>
      </x:c>
      <x:c r="E133" s="62" t="n">
        <x:f>G133/G132-1</x:f>
        <x:v>0.02096353627747205</x:v>
      </x:c>
      <x:c r="F133" s="62" t="n">
        <x:f>H133/H132-1</x:f>
        <x:v>0.02238221422262221</x:v>
      </x:c>
      <x:c r="G133" s="60" t="n">
        <x:f>'调前玩家曲线'!AU93</x:f>
        <x:v>493350</x:v>
      </x:c>
      <x:c r="H133" s="60" t="n">
        <x:f>'玩家战力_节点'!AU93</x:f>
        <x:v>306730</x:v>
      </x:c>
      <x:c r="I133" s="66" t="n">
        <x:f>'玩家战力_节点'!F93</x:f>
        <x:v>5</x:v>
      </x:c>
      <x:c r="J133" s="40" t="n">
        <x:f>'玩家战力_节点'!B93</x:f>
        <x:v>82</x:v>
      </x:c>
    </x:row>
    <x:row r="134" ht="25" customHeight="1">
      <x:c r="A134" s="40" t="str">
        <x:f>IF('调前玩家曲线'!C94=0,"序章",'调前玩家曲线'!C94)&amp;"-"&amp;'调前玩家曲线'!D94</x:f>
        <x:v>6-14</x:v>
      </x:c>
      <x:c r="B134" s="60" t="n">
        <x:f>IF(G134=0,0,ROUND(G134,2-INT(LOG10(ABS(G134)))))</x:f>
        <x:v>503000</x:v>
      </x:c>
      <x:c r="C134" s="55" t="n">
        <x:f>IF(H134=0,0,ROUND(H134,2-INT(LOG10(ABS(H134)))))</x:f>
        <x:v>314000</x:v>
      </x:c>
      <x:c r="D134" s="62" t="n">
        <x:f>H134/G134-1</x:f>
        <x:v>-0.37718270128528575</x:v>
      </x:c>
      <x:c r="E134" s="62" t="n">
        <x:f>G134/G133-1</x:f>
        <x:v>0.02035066382892481</x:v>
      </x:c>
      <x:c r="F134" s="62" t="n">
        <x:f>H134/H133-1</x:f>
        <x:v>0.022136732631304445</x:v>
      </x:c>
      <x:c r="G134" s="60" t="n">
        <x:f>'调前玩家曲线'!AU94</x:f>
        <x:v>503390</x:v>
      </x:c>
      <x:c r="H134" s="60" t="n">
        <x:f>'玩家战力_节点'!AU94</x:f>
        <x:v>313520</x:v>
      </x:c>
      <x:c r="I134" s="66" t="n">
        <x:f>'玩家战力_节点'!F94</x:f>
        <x:v>5</x:v>
      </x:c>
      <x:c r="J134" s="40" t="n">
        <x:f>'玩家战力_节点'!B94</x:f>
        <x:v>83</x:v>
      </x:c>
    </x:row>
    <x:row r="135" ht="25" customHeight="1">
      <x:c r="A135" s="40" t="str">
        <x:f>IF('调前玩家曲线'!C95=0,"序章",'调前玩家曲线'!C95)&amp;"-"&amp;'调前玩家曲线'!D95</x:f>
        <x:v>6-15</x:v>
      </x:c>
      <x:c r="B135" s="60" t="n">
        <x:f>IF(G135=0,0,ROUND(G135,2-INT(LOG10(ABS(G135)))))</x:f>
        <x:v>513000</x:v>
      </x:c>
      <x:c r="C135" s="55" t="n">
        <x:f>IF(H135=0,0,ROUND(H135,2-INT(LOG10(ABS(H135)))))</x:f>
        <x:v>320000</x:v>
      </x:c>
      <x:c r="D135" s="62" t="n">
        <x:f>H135/G135-1</x:f>
        <x:v>-0.3758717419254295</x:v>
      </x:c>
      <x:c r="E135" s="62" t="n">
        <x:f>G135/G134-1</x:f>
        <x:v>0.019765986610778885</x:v>
      </x:c>
      <x:c r="F135" s="62" t="n">
        <x:f>H135/H134-1</x:f>
        <x:v>0.02191247767287563</x:v>
      </x:c>
      <x:c r="G135" s="60" t="n">
        <x:f>'调前玩家曲线'!AU95</x:f>
        <x:v>513340</x:v>
      </x:c>
      <x:c r="H135" s="60" t="n">
        <x:f>'玩家战力_节点'!AU95</x:f>
        <x:v>320390</x:v>
      </x:c>
      <x:c r="I135" s="66" t="n">
        <x:f>'玩家战力_节点'!F95</x:f>
        <x:v>5</x:v>
      </x:c>
      <x:c r="J135" s="40" t="n">
        <x:f>'玩家战力_节点'!B95</x:f>
        <x:v>84</x:v>
      </x:c>
    </x:row>
    <x:row r="136" ht="25" customHeight="1">
      <x:c r="A136" s="40" t="str">
        <x:f>IF('调前玩家曲线'!C96=0,"序章",'调前玩家曲线'!C96)&amp;"-"&amp;'调前玩家曲线'!D96</x:f>
        <x:v>7-1</x:v>
      </x:c>
      <x:c r="B136" s="60" t="n">
        <x:f>IF(G136=0,0,ROUND(G136,2-INT(LOG10(ABS(G136)))))</x:f>
        <x:v>523000</x:v>
      </x:c>
      <x:c r="C136" s="55" t="n">
        <x:f>IF(H136=0,0,ROUND(H136,2-INT(LOG10(ABS(H136)))))</x:f>
        <x:v>326000</x:v>
      </x:c>
      <x:c r="D136" s="62" t="n">
        <x:f>H136/G136-1</x:f>
        <x:v>-0.3762196462189773</x:v>
      </x:c>
      <x:c r="E136" s="62" t="n">
        <x:f>G136/G135-1</x:f>
        <x:v>0.019217282892429965</x:v>
      </x:c>
      <x:c r="F136" s="62" t="n">
        <x:f>H136/H135-1</x:f>
        <x:v>0.018649146352882395</x:v>
      </x:c>
      <x:c r="G136" s="60" t="n">
        <x:f>'调前玩家曲线'!AU96</x:f>
        <x:v>523205</x:v>
      </x:c>
      <x:c r="H136" s="60" t="n">
        <x:f>'玩家战力_节点'!AU96</x:f>
        <x:v>326365</x:v>
      </x:c>
      <x:c r="I136" s="66" t="n">
        <x:f>'玩家战力_节点'!F96</x:f>
        <x:v>5</x:v>
      </x:c>
      <x:c r="J136" s="40" t="n">
        <x:f>'玩家战力_节点'!B96</x:f>
        <x:v>85</x:v>
      </x:c>
    </x:row>
    <x:row r="137" ht="25" customHeight="1">
      <x:c r="A137" s="40" t="str">
        <x:f>IF('调前玩家曲线'!C97=0,"序章",'调前玩家曲线'!C97)&amp;"-"&amp;'调前玩家曲线'!D97</x:f>
        <x:v>7-2</x:v>
      </x:c>
      <x:c r="B137" s="60" t="n">
        <x:f>IF(G137=0,0,ROUND(G137,2-INT(LOG10(ABS(G137)))))</x:f>
        <x:v>533000</x:v>
      </x:c>
      <x:c r="C137" s="55" t="n">
        <x:f>IF(H137=0,0,ROUND(H137,2-INT(LOG10(ABS(H137)))))</x:f>
        <x:v>332000</x:v>
      </x:c>
      <x:c r="D137" s="62" t="n">
        <x:f>H137/G137-1</x:f>
        <x:v>-0.3778753424143495</x:v>
      </x:c>
      <x:c r="E137" s="62" t="n">
        <x:f>G137/G136-1</x:f>
        <x:v>0.018682925430758557</x:v>
      </x:c>
      <x:c r="F137" s="62" t="n">
        <x:f>H137/H136-1</x:f>
        <x:v>0.015979041870298527</x:v>
      </x:c>
      <x:c r="G137" s="60" t="n">
        <x:f>'调前玩家曲线'!AU97</x:f>
        <x:v>532980</x:v>
      </x:c>
      <x:c r="H137" s="60" t="n">
        <x:f>'玩家战力_节点'!AU97</x:f>
        <x:v>331580</x:v>
      </x:c>
      <x:c r="I137" s="66" t="n">
        <x:f>'玩家战力_节点'!F97</x:f>
        <x:v>5</x:v>
      </x:c>
      <x:c r="J137" s="40" t="n">
        <x:f>'玩家战力_节点'!B97</x:f>
        <x:v>86</x:v>
      </x:c>
    </x:row>
    <x:row r="138" ht="25" customHeight="1">
      <x:c r="A138" s="40" t="str">
        <x:f>IF('调前玩家曲线'!C98=0,"序章",'调前玩家曲线'!C98)&amp;"-"&amp;'调前玩家曲线'!D98</x:f>
        <x:v>7-3</x:v>
      </x:c>
      <x:c r="B138" s="60" t="n">
        <x:f>IF(G138=0,0,ROUND(G138,2-INT(LOG10(ABS(G138)))))</x:f>
        <x:v>543000</x:v>
      </x:c>
      <x:c r="C138" s="55" t="n">
        <x:f>IF(H138=0,0,ROUND(H138,2-INT(LOG10(ABS(H138)))))</x:f>
        <x:v>337000</x:v>
      </x:c>
      <x:c r="D138" s="62" t="n">
        <x:f>H138/G138-1</x:f>
        <x:v>-0.37927984373272394</x:v>
      </x:c>
      <x:c r="E138" s="62" t="n">
        <x:f>G138/G137-1</x:f>
        <x:v>0.018162032346429546</x:v>
      </x:c>
      <x:c r="F138" s="62" t="n">
        <x:f>H138/H137-1</x:f>
        <x:v>0.015863441703359626</x:v>
      </x:c>
      <x:c r="G138" s="60" t="n">
        <x:f>'调前玩家曲线'!AU98</x:f>
        <x:v>542660</x:v>
      </x:c>
      <x:c r="H138" s="60" t="n">
        <x:f>'玩家战力_节点'!AU98</x:f>
        <x:v>336840</x:v>
      </x:c>
      <x:c r="I138" s="66" t="n">
        <x:f>'玩家战力_节点'!F98</x:f>
        <x:v>5</x:v>
      </x:c>
      <x:c r="J138" s="40" t="n">
        <x:f>'玩家战力_节点'!B98</x:f>
        <x:v>87</x:v>
      </x:c>
    </x:row>
    <x:row r="139" ht="25" customHeight="1">
      <x:c r="A139" s="40" t="str">
        <x:f>IF('调前玩家曲线'!C99=0,"序章",'调前玩家曲线'!C99)&amp;"-"&amp;'调前玩家曲线'!D99</x:f>
        <x:v>7-4</x:v>
      </x:c>
      <x:c r="B139" s="60" t="n">
        <x:f>IF(G139=0,0,ROUND(G139,2-INT(LOG10(ABS(G139)))))</x:f>
        <x:v>552000</x:v>
      </x:c>
      <x:c r="C139" s="55" t="n">
        <x:f>IF(H139=0,0,ROUND(H139,2-INT(LOG10(ABS(H139)))))</x:f>
        <x:v>342000</x:v>
      </x:c>
      <x:c r="D139" s="62" t="n">
        <x:f>H139/G139-1</x:f>
        <x:v>-0.3804526935264826</x:v>
      </x:c>
      <x:c r="E139" s="62" t="n">
        <x:f>G139/G138-1</x:f>
        <x:v>0.017672207275273744</x:v>
      </x:c>
      <x:c r="F139" s="62" t="n">
        <x:f>H139/H138-1</x:f>
        <x:v>0.01574931718323236</x:v>
      </x:c>
      <x:c r="G139" s="60" t="n">
        <x:f>'调前玩家曲线'!AU99</x:f>
        <x:v>552250</x:v>
      </x:c>
      <x:c r="H139" s="60" t="n">
        <x:f>'玩家战力_节点'!AU99</x:f>
        <x:v>342145</x:v>
      </x:c>
      <x:c r="I139" s="66" t="n">
        <x:f>'玩家战力_节点'!F99</x:f>
        <x:v>5</x:v>
      </x:c>
      <x:c r="J139" s="40" t="n">
        <x:f>'玩家战力_节点'!B99</x:f>
        <x:v>88</x:v>
      </x:c>
    </x:row>
    <x:row r="140" ht="25" customHeight="1">
      <x:c r="A140" s="40" t="str">
        <x:f>IF('调前玩家曲线'!C100=0,"序章",'调前玩家曲线'!C100)&amp;"-"&amp;'调前玩家曲线'!D100</x:f>
        <x:v>7-5</x:v>
      </x:c>
      <x:c r="B140" s="60" t="n">
        <x:f>IF(G140=0,0,ROUND(G140,2-INT(LOG10(ABS(G140)))))</x:f>
        <x:v>562000</x:v>
      </x:c>
      <x:c r="C140" s="55" t="n">
        <x:f>IF(H140=0,0,ROUND(H140,2-INT(LOG10(ABS(H140)))))</x:f>
        <x:v>347000</x:v>
      </x:c>
      <x:c r="D140" s="62" t="n">
        <x:f>H140/G140-1</x:f>
        <x:v>-0.38139530743760464</x:v>
      </x:c>
      <x:c r="E140" s="62" t="n">
        <x:f>G140/G139-1</x:f>
        <x:v>0.01718424626527848</x:v>
      </x:c>
      <x:c r="F140" s="62" t="n">
        <x:f>H140/H139-1</x:f>
        <x:v>0.015636645281971173</x:v>
      </x:c>
      <x:c r="G140" s="60" t="n">
        <x:f>'调前玩家曲线'!AU100</x:f>
        <x:v>561740</x:v>
      </x:c>
      <x:c r="H140" s="60" t="n">
        <x:f>'玩家战力_节点'!AU100</x:f>
        <x:v>347495</x:v>
      </x:c>
      <x:c r="I140" s="66" t="n">
        <x:f>'玩家战力_节点'!F100</x:f>
        <x:v>5</x:v>
      </x:c>
      <x:c r="J140" s="40" t="n">
        <x:f>'玩家战力_节点'!B100</x:f>
        <x:v>89</x:v>
      </x:c>
    </x:row>
    <x:row r="141" ht="25" customHeight="1">
      <x:c r="A141" s="40" t="str">
        <x:f>IF('调前玩家曲线'!C101=0,"序章",'调前玩家曲线'!C101)&amp;"-"&amp;'调前玩家曲线'!D101</x:f>
        <x:v>7-6</x:v>
      </x:c>
      <x:c r="B141" s="60" t="n">
        <x:f>IF(G141=0,0,ROUND(G141,2-INT(LOG10(ABS(G141)))))</x:f>
        <x:v>571000</x:v>
      </x:c>
      <x:c r="C141" s="55" t="n">
        <x:f>IF(H141=0,0,ROUND(H141,2-INT(LOG10(ABS(H141)))))</x:f>
        <x:v>353000</x:v>
      </x:c>
      <x:c r="D141" s="62" t="n">
        <x:f>H141/G141-1</x:f>
        <x:v>-0.38212506675304436</x:v>
      </x:c>
      <x:c r="E141" s="62" t="n">
        <x:f>G141/G140-1</x:f>
        <x:v>0.01672481931142511</x:v>
      </x:c>
      <x:c r="F141" s="62" t="n">
        <x:f>H141/H140-1</x:f>
        <x:v>0.015525403243212166</x:v>
      </x:c>
      <x:c r="G141" s="60" t="n">
        <x:f>'调前玩家曲线'!AU101</x:f>
        <x:v>571135</x:v>
      </x:c>
      <x:c r="H141" s="60" t="n">
        <x:f>'玩家战力_节点'!AU101</x:f>
        <x:v>352890</x:v>
      </x:c>
      <x:c r="I141" s="66" t="n">
        <x:f>'玩家战力_节点'!F101</x:f>
        <x:v>5</x:v>
      </x:c>
      <x:c r="J141" s="40" t="n">
        <x:f>'玩家战力_节点'!B101</x:f>
        <x:v>90</x:v>
      </x:c>
    </x:row>
    <x:row r="142" ht="25" customHeight="1">
      <x:c r="A142" s="40" t="str">
        <x:f>IF('调前玩家曲线'!C102=0,"序章",'调前玩家曲线'!C102)&amp;"-"&amp;'调前玩家曲线'!D102</x:f>
        <x:v>7-7</x:v>
      </x:c>
      <x:c r="B142" s="60" t="n">
        <x:f>IF(G142=0,0,ROUND(G142,2-INT(LOG10(ABS(G142)))))</x:f>
        <x:v>580000</x:v>
      </x:c>
      <x:c r="C142" s="55" t="n">
        <x:f>IF(H142=0,0,ROUND(H142,2-INT(LOG10(ABS(H142)))))</x:f>
        <x:v>358000</x:v>
      </x:c>
      <x:c r="D142" s="62" t="n">
        <x:f>H142/G142-1</x:f>
        <x:v>-0.3826526656731589</x:v>
      </x:c>
      <x:c r="E142" s="62" t="n">
        <x:f>G142/G141-1</x:f>
        <x:v>0.016283365579066178</x:v>
      </x:c>
      <x:c r="F142" s="62" t="n">
        <x:f>H142/H141-1</x:f>
        <x:v>0.015415568590779083</x:v>
      </x:c>
      <x:c r="G142" s="60" t="n">
        <x:f>'调前玩家曲线'!AU102</x:f>
        <x:v>580435</x:v>
      </x:c>
      <x:c r="H142" s="60" t="n">
        <x:f>'玩家战力_节点'!AU102</x:f>
        <x:v>358330</x:v>
      </x:c>
      <x:c r="I142" s="66" t="n">
        <x:f>'玩家战力_节点'!F102</x:f>
        <x:v>5</x:v>
      </x:c>
      <x:c r="J142" s="40" t="n">
        <x:f>'玩家战力_节点'!B102</x:f>
        <x:v>91</x:v>
      </x:c>
    </x:row>
    <x:row r="143" ht="25" customHeight="1">
      <x:c r="A143" s="40" t="str">
        <x:f>IF('调前玩家曲线'!C103=0,"序章",'调前玩家曲线'!C103)&amp;"-"&amp;'调前玩家曲线'!D103</x:f>
        <x:v>7-8</x:v>
      </x:c>
      <x:c r="B143" s="60" t="n">
        <x:f>IF(G143=0,0,ROUND(G143,2-INT(LOG10(ABS(G143)))))</x:f>
        <x:v>590000</x:v>
      </x:c>
      <x:c r="C143" s="55" t="n">
        <x:f>IF(H143=0,0,ROUND(H143,2-INT(LOG10(ABS(H143)))))</x:f>
        <x:v>364000</x:v>
      </x:c>
      <x:c r="D143" s="62" t="n">
        <x:f>H143/G143-1</x:f>
        <x:v>-0.38297746044129366</x:v>
      </x:c>
      <x:c r="E143" s="62" t="n">
        <x:f>G143/G142-1</x:f>
        <x:v>0.015841567100536746</x:v>
      </x:c>
      <x:c r="F143" s="62" t="n">
        <x:f>H143/H142-1</x:f>
        <x:v>0.01530711913599192</x:v>
      </x:c>
      <x:c r="G143" s="60" t="n">
        <x:f>'调前玩家曲线'!AU103</x:f>
        <x:v>589630</x:v>
      </x:c>
      <x:c r="H143" s="60" t="n">
        <x:f>'玩家战力_节点'!AU103</x:f>
        <x:v>363815</x:v>
      </x:c>
      <x:c r="I143" s="66" t="n">
        <x:f>'玩家战力_节点'!F103</x:f>
        <x:v>5</x:v>
      </x:c>
      <x:c r="J143" s="40" t="n">
        <x:f>'玩家战力_节点'!B103</x:f>
        <x:v>92</x:v>
      </x:c>
    </x:row>
    <x:row r="144" ht="25" customHeight="1">
      <x:c r="A144" s="40" t="str">
        <x:f>IF('调前玩家曲线'!C104=0,"序章",'调前玩家曲线'!C104)&amp;"-"&amp;'调前玩家曲线'!D104</x:f>
        <x:v>7-9</x:v>
      </x:c>
      <x:c r="B144" s="60" t="n">
        <x:f>IF(G144=0,0,ROUND(G144,2-INT(LOG10(ABS(G144)))))</x:f>
        <x:v>599000</x:v>
      </x:c>
      <x:c r="C144" s="55" t="n">
        <x:f>IF(H144=0,0,ROUND(H144,2-INT(LOG10(ABS(H144)))))</x:f>
        <x:v>369000</x:v>
      </x:c>
      <x:c r="D144" s="62" t="n">
        <x:f>H144/G144-1</x:f>
        <x:v>-0.38311926911963656</x:v>
      </x:c>
      <x:c r="E144" s="62" t="n">
        <x:f>G144/G143-1</x:f>
        <x:v>0.015433407391075793</x:v>
      </x:c>
      <x:c r="F144" s="62" t="n">
        <x:f>H144/H143-1</x:f>
        <x:v>0.015200032983796685</x:v>
      </x:c>
      <x:c r="G144" s="60" t="n">
        <x:f>'调前玩家曲线'!AU104</x:f>
        <x:v>598730</x:v>
      </x:c>
      <x:c r="H144" s="60" t="n">
        <x:f>'玩家战力_节点'!AU104</x:f>
        <x:v>369345</x:v>
      </x:c>
      <x:c r="I144" s="66" t="n">
        <x:f>'玩家战力_节点'!F104</x:f>
        <x:v>5</x:v>
      </x:c>
      <x:c r="J144" s="40" t="n">
        <x:f>'玩家战力_节点'!B104</x:f>
        <x:v>93</x:v>
      </x:c>
    </x:row>
    <x:row r="145" ht="25" customHeight="1">
      <x:c r="A145" s="40" t="str">
        <x:f>IF('调前玩家曲线'!C105=0,"序章",'调前玩家曲线'!C105)&amp;"-"&amp;'调前玩家曲线'!D105</x:f>
        <x:v>7-10</x:v>
      </x:c>
      <x:c r="B145" s="60" t="n">
        <x:f>IF(G145=0,0,ROUND(G145,2-INT(LOG10(ABS(G145)))))</x:f>
        <x:v>608000</x:v>
      </x:c>
      <x:c r="C145" s="55" t="n">
        <x:f>IF(H145=0,0,ROUND(H145,2-INT(LOG10(ABS(H145)))))</x:f>
        <x:v>375000</x:v>
      </x:c>
      <x:c r="D145" s="62" t="n">
        <x:f>H145/G145-1</x:f>
        <x:v>-0.38308130255212014</x:v>
      </x:c>
      <x:c r="E145" s="62" t="n">
        <x:f>G145/G144-1</x:f>
        <x:v>0.015031817346717213</x:v>
      </x:c>
      <x:c r="F145" s="62" t="n">
        <x:f>H145/H144-1</x:f>
        <x:v>0.015094288537816913</x:v>
      </x:c>
      <x:c r="G145" s="60" t="n">
        <x:f>'调前玩家曲线'!AU105</x:f>
        <x:v>607730</x:v>
      </x:c>
      <x:c r="H145" s="60" t="n">
        <x:f>'玩家战力_节点'!AU105</x:f>
        <x:v>374920</x:v>
      </x:c>
      <x:c r="I145" s="66" t="n">
        <x:f>'玩家战力_节点'!F105</x:f>
        <x:v>5</x:v>
      </x:c>
      <x:c r="J145" s="40" t="n">
        <x:f>'玩家战力_节点'!B105</x:f>
        <x:v>94</x:v>
      </x:c>
    </x:row>
    <x:row r="146" ht="25" customHeight="1">
      <x:c r="A146" s="40" t="str">
        <x:f>IF('调前玩家曲线'!C106=0,"序章",'调前玩家曲线'!C106)&amp;"-"&amp;'调前玩家曲线'!D106</x:f>
        <x:v>7-11</x:v>
      </x:c>
      <x:c r="B146" s="60" t="n">
        <x:f>IF(G146=0,0,ROUND(G146,2-INT(LOG10(ABS(G146)))))</x:f>
        <x:v>617000</x:v>
      </x:c>
      <x:c r="C146" s="55" t="n">
        <x:f>IF(H146=0,0,ROUND(H146,2-INT(LOG10(ABS(H146)))))</x:f>
        <x:v>381000</x:v>
      </x:c>
      <x:c r="D146" s="62" t="n">
        <x:f>H146/G146-1</x:f>
        <x:v>-0.38287141397596614</x:v>
      </x:c>
      <x:c r="E146" s="62" t="n">
        <x:f>G146/G145-1</x:f>
        <x:v>0.014644661280502902</x:v>
      </x:c>
      <x:c r="F146" s="62" t="n">
        <x:f>H146/H145-1</x:f>
        <x:v>0.01498986450442752</x:v>
      </x:c>
      <x:c r="G146" s="60" t="n">
        <x:f>'调前玩家曲线'!AU106</x:f>
        <x:v>616630</x:v>
      </x:c>
      <x:c r="H146" s="60" t="n">
        <x:f>'玩家战力_节点'!AU106</x:f>
        <x:v>380540</x:v>
      </x:c>
      <x:c r="I146" s="66" t="n">
        <x:f>'玩家战力_节点'!F106</x:f>
        <x:v>5</x:v>
      </x:c>
      <x:c r="J146" s="40" t="n">
        <x:f>'玩家战力_节点'!B106</x:f>
        <x:v>95</x:v>
      </x:c>
    </x:row>
    <x:row r="147" ht="25" customHeight="1">
      <x:c r="A147" s="40" t="str">
        <x:f>IF('调前玩家曲线'!C107=0,"序章",'调前玩家曲线'!C107)&amp;"-"&amp;'调前玩家曲线'!D107</x:f>
        <x:v>7-12</x:v>
      </x:c>
      <x:c r="B147" s="60" t="n">
        <x:f>IF(G147=0,0,ROUND(G147,2-INT(LOG10(ABS(G147)))))</x:f>
        <x:v>625000</x:v>
      </x:c>
      <x:c r="C147" s="55" t="n">
        <x:f>IF(H147=0,0,ROUND(H147,2-INT(LOG10(ABS(H147)))))</x:f>
        <x:v>386000</x:v>
      </x:c>
      <x:c r="D147" s="62" t="n">
        <x:f>H147/G147-1</x:f>
        <x:v>-0.38249190550425716</x:v>
      </x:c>
      <x:c r="E147" s="62" t="n">
        <x:f>G147/G146-1</x:f>
        <x:v>0.014263010233040774</x:v>
      </x:c>
      <x:c r="F147" s="62" t="n">
        <x:f>H147/H146-1</x:f>
        <x:v>0.014886739895937362</x:v>
      </x:c>
      <x:c r="G147" s="60" t="n">
        <x:f>'调前玩家曲线'!AU107</x:f>
        <x:v>625425</x:v>
      </x:c>
      <x:c r="H147" s="60" t="n">
        <x:f>'玩家战力_节点'!AU107</x:f>
        <x:v>386205</x:v>
      </x:c>
      <x:c r="I147" s="66" t="n">
        <x:f>'玩家战力_节点'!F107</x:f>
        <x:v>5</x:v>
      </x:c>
      <x:c r="J147" s="40" t="n">
        <x:f>'玩家战力_节点'!B107</x:f>
        <x:v>96</x:v>
      </x:c>
    </x:row>
    <x:row r="148" ht="25" customHeight="1">
      <x:c r="A148" s="40" t="str">
        <x:f>IF('调前玩家曲线'!C108=0,"序章",'调前玩家曲线'!C108)&amp;"-"&amp;'调前玩家曲线'!D108</x:f>
        <x:v>7-13</x:v>
      </x:c>
      <x:c r="B148" s="60" t="n">
        <x:f>IF(G148=0,0,ROUND(G148,2-INT(LOG10(ABS(G148)))))</x:f>
        <x:v>634000</x:v>
      </x:c>
      <x:c r="C148" s="55" t="n">
        <x:f>IF(H148=0,0,ROUND(H148,2-INT(LOG10(ABS(H148)))))</x:f>
        <x:v>392000</x:v>
      </x:c>
      <x:c r="D148" s="62" t="n">
        <x:f>H148/G148-1</x:f>
        <x:v>-0.38195451964927774</x:v>
      </x:c>
      <x:c r="E148" s="62" t="n">
        <x:f>G148/G147-1</x:f>
        <x:v>0.013902546268537375</x:v>
      </x:c>
      <x:c r="F148" s="62" t="n">
        <x:f>H148/H147-1</x:f>
        <x:v>0.014784894032961793</x:v>
      </x:c>
      <x:c r="G148" s="60" t="n">
        <x:f>'调前玩家曲线'!AU108</x:f>
        <x:v>634120</x:v>
      </x:c>
      <x:c r="H148" s="60" t="n">
        <x:f>'玩家战力_节点'!AU108</x:f>
        <x:v>391915</x:v>
      </x:c>
      <x:c r="I148" s="66" t="n">
        <x:f>'玩家战力_节点'!F108</x:f>
        <x:v>5</x:v>
      </x:c>
      <x:c r="J148" s="40" t="n">
        <x:f>'玩家战力_节点'!B108</x:f>
        <x:v>97</x:v>
      </x:c>
    </x:row>
    <x:row r="149" ht="25" customHeight="1">
      <x:c r="A149" s="40" t="str">
        <x:f>IF('调前玩家曲线'!C109=0,"序章",'调前玩家曲线'!C109)&amp;"-"&amp;'调前玩家曲线'!D109</x:f>
        <x:v>7-14</x:v>
      </x:c>
      <x:c r="B149" s="60" t="n">
        <x:f>IF(G149=0,0,ROUND(G149,2-INT(LOG10(ABS(G149)))))</x:f>
        <x:v>643000</x:v>
      </x:c>
      <x:c r="C149" s="55" t="n">
        <x:f>IF(H149=0,0,ROUND(H149,2-INT(LOG10(ABS(H149)))))</x:f>
        <x:v>398000</x:v>
      </x:c>
      <x:c r="D149" s="62" t="n">
        <x:f>H149/G149-1</x:f>
        <x:v>-0.381260599648364</x:v>
      </x:c>
      <x:c r="E149" s="62" t="n">
        <x:f>G149/G148-1</x:f>
        <x:v>0.013546331924556787</x:v>
      </x:c>
      <x:c r="F149" s="62" t="n">
        <x:f>H149/H148-1</x:f>
        <x:v>0.014684306546062231</x:v>
      </x:c>
      <x:c r="G149" s="60" t="n">
        <x:f>'调前玩家曲线'!AU109</x:f>
        <x:v>642710</x:v>
      </x:c>
      <x:c r="H149" s="60" t="n">
        <x:f>'玩家战力_节点'!AU109</x:f>
        <x:v>397670</x:v>
      </x:c>
      <x:c r="I149" s="66" t="n">
        <x:f>'玩家战力_节点'!F109</x:f>
        <x:v>5</x:v>
      </x:c>
      <x:c r="J149" s="40" t="n">
        <x:f>'玩家战力_节点'!B109</x:f>
        <x:v>98</x:v>
      </x:c>
    </x:row>
    <x:row r="150" ht="25" customHeight="1">
      <x:c r="A150" s="40" t="str">
        <x:f>IF('调前玩家曲线'!C110=0,"序章",'调前玩家曲线'!C110)&amp;"-"&amp;'调前玩家曲线'!D110</x:f>
        <x:v>7-15</x:v>
      </x:c>
      <x:c r="B150" s="60" t="n">
        <x:f>IF(G150=0,0,ROUND(G150,2-INT(LOG10(ABS(G150)))))</x:f>
        <x:v>651000</x:v>
      </x:c>
      <x:c r="C150" s="55" t="n">
        <x:f>IF(H150=0,0,ROUND(H150,2-INT(LOG10(ABS(H150)))))</x:f>
        <x:v>403000</x:v>
      </x:c>
      <x:c r="D150" s="62" t="n">
        <x:f>H150/G150-1</x:f>
        <x:v>-0.38042076167076166</x:v>
      </x:c>
      <x:c r="E150" s="62" t="n">
        <x:f>G150/G149-1</x:f>
        <x:v>0.013209690217983239</x:v>
      </x:c>
      <x:c r="F150" s="62" t="n">
        <x:f>H150/H149-1</x:f>
        <x:v>0.014584957376719387</x:v>
      </x:c>
      <x:c r="G150" s="60" t="n">
        <x:f>'调前玩家曲线'!AU110</x:f>
        <x:v>651200</x:v>
      </x:c>
      <x:c r="H150" s="60" t="n">
        <x:f>'玩家战力_节点'!AU110</x:f>
        <x:v>403470</x:v>
      </x:c>
      <x:c r="I150" s="66" t="n">
        <x:f>'玩家战力_节点'!F110</x:f>
        <x:v>5</x:v>
      </x:c>
      <x:c r="J150" s="40" t="n">
        <x:f>'玩家战力_节点'!B110</x:f>
        <x:v>99</x:v>
      </x:c>
    </x:row>
    <x:row r="151" ht="25" customHeight="1">
      <x:c r="A151" s="40" t="str">
        <x:f>IF('调前玩家曲线'!C111=0,"序章",'调前玩家曲线'!C111)&amp;"-"&amp;'调前玩家曲线'!D111</x:f>
        <x:v>8-1</x:v>
      </x:c>
      <x:c r="B151" s="60" t="n">
        <x:f>IF(G151=0,0,ROUND(G151,2-INT(LOG10(ABS(G151)))))</x:f>
        <x:v>660000</x:v>
      </x:c>
      <x:c r="C151" s="55" t="n">
        <x:f>IF(H151=0,0,ROUND(H151,2-INT(LOG10(ABS(H151)))))</x:f>
        <x:v>409000</x:v>
      </x:c>
      <x:c r="D151" s="62" t="n">
        <x:f>H151/G151-1</x:f>
        <x:v>-0.3806711796053579</x:v>
      </x:c>
      <x:c r="E151" s="62" t="n">
        <x:f>G151/G150-1</x:f>
        <x:v>0.012876228501228493</x:v>
      </x:c>
      <x:c r="F151" s="62" t="n">
        <x:f>H151/H150-1</x:f>
        <x:v>0.012466850075594227</x:v>
      </x:c>
      <x:c r="G151" s="60" t="n">
        <x:f>'调前玩家曲线'!AU111</x:f>
        <x:v>659585</x:v>
      </x:c>
      <x:c r="H151" s="60" t="n">
        <x:f>'玩家战力_节点'!AU111</x:f>
        <x:v>408500</x:v>
      </x:c>
      <x:c r="I151" s="66" t="n">
        <x:f>'玩家战力_节点'!F111</x:f>
        <x:v>5</x:v>
      </x:c>
      <x:c r="J151" s="40" t="n">
        <x:f>'玩家战力_节点'!B111</x:f>
        <x:v>100</x:v>
      </x:c>
    </x:row>
    <x:row r="152" ht="25" customHeight="1">
      <x:c r="A152" s="40" t="str">
        <x:f>IF('调前玩家曲线'!C112=0,"序章",'调前玩家曲线'!C112)&amp;"-"&amp;'调前玩家曲线'!D112</x:f>
        <x:v>8-2</x:v>
      </x:c>
      <x:c r="B152" s="60" t="n">
        <x:f>IF(G152=0,0,ROUND(G152,2-INT(LOG10(ABS(G152)))))</x:f>
        <x:v>674000</x:v>
      </x:c>
      <x:c r="C152" s="55" t="n">
        <x:f>IF(H152=0,0,ROUND(H152,2-INT(LOG10(ABS(H152)))))</x:f>
        <x:v>417000</x:v>
      </x:c>
      <x:c r="D152" s="62" t="n">
        <x:f>H152/G152-1</x:f>
        <x:v>-0.3808704423413535</x:v>
      </x:c>
      <x:c r="E152" s="62" t="n">
        <x:f>G152/G151-1</x:f>
        <x:v>0.02206690570586045</x:v>
      </x:c>
      <x:c r="F152" s="62" t="n">
        <x:f>H152/H151-1</x:f>
        <x:v>0.02173806609547113</x:v>
      </x:c>
      <x:c r="G152" s="60" t="n">
        <x:f>'调前玩家曲线'!AU112</x:f>
        <x:v>674140</x:v>
      </x:c>
      <x:c r="H152" s="60" t="n">
        <x:f>'玩家战力_节点'!AU112</x:f>
        <x:v>417380</x:v>
      </x:c>
      <x:c r="I152" s="66" t="n">
        <x:f>'玩家战力_节点'!F112</x:f>
        <x:v>5</x:v>
      </x:c>
      <x:c r="J152" s="40" t="n">
        <x:f>'玩家战力_节点'!B112</x:f>
        <x:v>101</x:v>
      </x:c>
    </x:row>
    <x:row r="153" ht="25" customHeight="1">
      <x:c r="A153" s="40" t="str">
        <x:f>IF('调前玩家曲线'!C113=0,"序章",'调前玩家曲线'!C113)&amp;"-"&amp;'调前玩家曲线'!D113</x:f>
        <x:v>8-3</x:v>
      </x:c>
      <x:c r="B153" s="60" t="n">
        <x:f>IF(G153=0,0,ROUND(G153,2-INT(LOG10(ABS(G153)))))</x:f>
        <x:v>689000</x:v>
      </x:c>
      <x:c r="C153" s="55" t="n">
        <x:f>IF(H153=0,0,ROUND(H153,2-INT(LOG10(ABS(H153)))))</x:f>
        <x:v>426000</x:v>
      </x:c>
      <x:c r="D153" s="62" t="n">
        <x:f>H153/G153-1</x:f>
        <x:v>-0.3808126869790003</x:v>
      </x:c>
      <x:c r="E153" s="62" t="n">
        <x:f>G153/G152-1</x:f>
        <x:v>0.02141988311033316</x:v>
      </x:c>
      <x:c r="F153" s="62" t="n">
        <x:f>H153/H152-1</x:f>
        <x:v>0.02151516603574688</x:v>
      </x:c>
      <x:c r="G153" s="60" t="n">
        <x:f>'调前玩家曲线'!AU113</x:f>
        <x:v>688580</x:v>
      </x:c>
      <x:c r="H153" s="60" t="n">
        <x:f>'玩家战力_节点'!AU113</x:f>
        <x:v>426360</x:v>
      </x:c>
      <x:c r="I153" s="66" t="n">
        <x:f>'玩家战力_节点'!F113</x:f>
        <x:v>5</x:v>
      </x:c>
      <x:c r="J153" s="40" t="n">
        <x:f>'玩家战力_节点'!B113</x:f>
        <x:v>102</x:v>
      </x:c>
    </x:row>
    <x:row r="154" ht="25" customHeight="1">
      <x:c r="A154" s="40" t="str">
        <x:f>IF('调前玩家曲线'!C114=0,"序章",'调前玩家曲线'!C114)&amp;"-"&amp;'调前玩家曲线'!D114</x:f>
        <x:v>8-4</x:v>
      </x:c>
      <x:c r="B154" s="60" t="n">
        <x:f>IF(G154=0,0,ROUND(G154,2-INT(LOG10(ABS(G154)))))</x:f>
        <x:v>703000</x:v>
      </x:c>
      <x:c r="C154" s="55" t="n">
        <x:f>IF(H154=0,0,ROUND(H154,2-INT(LOG10(ABS(H154)))))</x:f>
        <x:v>435000</x:v>
      </x:c>
      <x:c r="D154" s="62" t="n">
        <x:f>H154/G154-1</x:f>
        <x:v>-0.3805049118289361</x:v>
      </x:c>
      <x:c r="E154" s="62" t="n">
        <x:f>G154/G153-1</x:f>
        <x:v>0.02078916030090916</x:v>
      </x:c>
      <x:c r="F154" s="62" t="n">
        <x:f>H154/H153-1</x:f>
        <x:v>0.0212965569002721</x:v>
      </x:c>
      <x:c r="G154" s="60" t="n">
        <x:f>'调前玩家曲线'!AU114</x:f>
        <x:v>702895</x:v>
      </x:c>
      <x:c r="H154" s="60" t="n">
        <x:f>'玩家战力_节点'!AU114</x:f>
        <x:v>435440</x:v>
      </x:c>
      <x:c r="I154" s="66" t="n">
        <x:f>'玩家战力_节点'!F114</x:f>
        <x:v>5</x:v>
      </x:c>
      <x:c r="J154" s="40" t="n">
        <x:f>'玩家战力_节点'!B114</x:f>
        <x:v>103</x:v>
      </x:c>
    </x:row>
    <x:row r="155" ht="25" customHeight="1">
      <x:c r="A155" s="40" t="str">
        <x:f>IF('调前玩家曲线'!C115=0,"序章",'调前玩家曲线'!C115)&amp;"-"&amp;'调前玩家曲线'!D115</x:f>
        <x:v>8-5</x:v>
      </x:c>
      <x:c r="B155" s="60" t="n">
        <x:f>IF(G155=0,0,ROUND(G155,2-INT(LOG10(ABS(G155)))))</x:f>
        <x:v>717000</x:v>
      </x:c>
      <x:c r="C155" s="55" t="n">
        <x:f>IF(H155=0,0,ROUND(H155,2-INT(LOG10(ABS(H155)))))</x:f>
        <x:v>445000</x:v>
      </x:c>
      <x:c r="D155" s="62" t="n">
        <x:f>H155/G155-1</x:f>
        <x:v>-0.3799479838512868</x:v>
      </x:c>
      <x:c r="E155" s="62" t="n">
        <x:f>G155/G154-1</x:f>
        <x:v>0.02018793703184696</x:v>
      </x:c>
      <x:c r="F155" s="62" t="n">
        <x:f>H155/H154-1</x:f>
        <x:v>0.021105089105272867</x:v>
      </x:c>
      <x:c r="G155" s="60" t="n">
        <x:f>'调前玩家曲线'!AU115</x:f>
        <x:v>717085</x:v>
      </x:c>
      <x:c r="H155" s="60" t="n">
        <x:f>'玩家战力_节点'!AU115</x:f>
        <x:v>444630</x:v>
      </x:c>
      <x:c r="I155" s="66" t="n">
        <x:f>'玩家战力_节点'!F115</x:f>
        <x:v>5</x:v>
      </x:c>
      <x:c r="J155" s="40" t="n">
        <x:f>'玩家战力_节点'!B115</x:f>
        <x:v>104</x:v>
      </x:c>
    </x:row>
    <x:row r="156" ht="25" customHeight="1">
      <x:c r="A156" s="40" t="str">
        <x:f>IF('调前玩家曲线'!C116=0,"序章",'调前玩家曲线'!C116)&amp;"-"&amp;'调前玩家曲线'!D116</x:f>
        <x:v>8-6</x:v>
      </x:c>
      <x:c r="B156" s="60" t="n">
        <x:f>IF(G156=0,0,ROUND(G156,2-INT(LOG10(ABS(G156)))))</x:f>
        <x:v>731000</x:v>
      </x:c>
      <x:c r="C156" s="55" t="n">
        <x:f>IF(H156=0,0,ROUND(H156,2-INT(LOG10(ABS(H156)))))</x:f>
        <x:v>454000</x:v>
      </x:c>
      <x:c r="D156" s="62" t="n">
        <x:f>H156/G156-1</x:f>
        <x:v>-0.3791698009984271</x:v>
      </x:c>
      <x:c r="E156" s="62" t="n">
        <x:f>G156/G155-1</x:f>
        <x:v>0.01961413221584607</x:v>
      </x:c>
      <x:c r="F156" s="62" t="n">
        <x:f>H156/H155-1</x:f>
        <x:v>0.020893776848165846</x:v>
      </x:c>
      <x:c r="G156" s="60" t="n">
        <x:f>'调前玩家曲线'!AU116</x:f>
        <x:v>731150</x:v>
      </x:c>
      <x:c r="H156" s="60" t="n">
        <x:f>'玩家战力_节点'!AU116</x:f>
        <x:v>453920</x:v>
      </x:c>
      <x:c r="I156" s="66" t="n">
        <x:f>'玩家战力_节点'!F116</x:f>
        <x:v>5</x:v>
      </x:c>
      <x:c r="J156" s="40" t="n">
        <x:f>'玩家战力_节点'!B116</x:f>
        <x:v>105</x:v>
      </x:c>
    </x:row>
    <x:row r="157" ht="25" customHeight="1">
      <x:c r="A157" s="40" t="str">
        <x:f>IF('调前玩家曲线'!C117=0,"序章",'调前玩家曲线'!C117)&amp;"-"&amp;'调前玩家曲线'!D117</x:f>
        <x:v>8-7</x:v>
      </x:c>
      <x:c r="B157" s="60" t="n">
        <x:f>IF(G157=0,0,ROUND(G157,2-INT(LOG10(ABS(G157)))))</x:f>
        <x:v>745000</x:v>
      </x:c>
      <x:c r="C157" s="55" t="n">
        <x:f>IF(H157=0,0,ROUND(H157,2-INT(LOG10(ABS(H157)))))</x:f>
        <x:v>463000</x:v>
      </x:c>
      <x:c r="D157" s="62" t="n">
        <x:f>H157/G157-1</x:f>
        <x:v>-0.37817415579535085</x:v>
      </x:c>
      <x:c r="E157" s="62" t="n">
        <x:f>G157/G156-1</x:f>
        <x:v>0.019052178075634307</x:v>
      </x:c>
      <x:c r="F157" s="62" t="n">
        <x:f>H157/H156-1</x:f>
        <x:v>0.02068646457525558</x:v>
      </x:c>
      <x:c r="G157" s="60" t="n">
        <x:f>'调前玩家曲线'!AU117</x:f>
        <x:v>745080</x:v>
      </x:c>
      <x:c r="H157" s="60" t="n">
        <x:f>'玩家战力_节点'!AU117</x:f>
        <x:v>463310</x:v>
      </x:c>
      <x:c r="I157" s="66" t="n">
        <x:f>'玩家战力_节点'!F117</x:f>
        <x:v>5</x:v>
      </x:c>
      <x:c r="J157" s="40" t="n">
        <x:f>'玩家战力_节点'!B117</x:f>
        <x:v>106</x:v>
      </x:c>
    </x:row>
    <x:row r="158" ht="25" customHeight="1">
      <x:c r="A158" s="40" t="str">
        <x:f>IF('调前玩家曲线'!C118=0,"序章",'调前玩家曲线'!C118)&amp;"-"&amp;'调前玩家曲线'!D118</x:f>
        <x:v>8-8</x:v>
      </x:c>
      <x:c r="B158" s="60" t="n">
        <x:f>IF(G158=0,0,ROUND(G158,2-INT(LOG10(ABS(G158)))))</x:f>
        <x:v>759000</x:v>
      </x:c>
      <x:c r="C158" s="55" t="n">
        <x:f>IF(H158=0,0,ROUND(H158,2-INT(LOG10(ABS(H158)))))</x:f>
        <x:v>473000</x:v>
      </x:c>
      <x:c r="D158" s="62" t="n">
        <x:f>H158/G158-1</x:f>
        <x:v>-0.37695931477516065</x:v>
      </x:c>
      <x:c r="E158" s="62" t="n">
        <x:f>G158/G157-1</x:f>
        <x:v>0.018514790358082456</x:v>
      </x:c>
      <x:c r="F158" s="62" t="n">
        <x:f>H158/H157-1</x:f>
        <x:v>0.020504629729554802</x:v>
      </x:c>
      <x:c r="G158" s="60" t="n">
        <x:f>'调前玩家曲线'!AU118</x:f>
        <x:v>758875</x:v>
      </x:c>
      <x:c r="H158" s="60" t="n">
        <x:f>'玩家战力_节点'!AU118</x:f>
        <x:v>472810</x:v>
      </x:c>
      <x:c r="I158" s="66" t="n">
        <x:f>'玩家战力_节点'!F118</x:f>
        <x:v>5</x:v>
      </x:c>
      <x:c r="J158" s="40" t="n">
        <x:f>'玩家战力_节点'!B118</x:f>
        <x:v>107</x:v>
      </x:c>
    </x:row>
    <x:row r="159" ht="25" customHeight="1">
      <x:c r="A159" s="40" t="str">
        <x:f>IF('调前玩家曲线'!C119=0,"序章",'调前玩家曲线'!C119)&amp;"-"&amp;'调前玩家曲线'!D119</x:f>
        <x:v>8-9</x:v>
      </x:c>
      <x:c r="B159" s="60" t="n">
        <x:f>IF(G159=0,0,ROUND(G159,2-INT(LOG10(ABS(G159)))))</x:f>
        <x:v>773000</x:v>
      </x:c>
      <x:c r="C159" s="55" t="n">
        <x:f>IF(H159=0,0,ROUND(H159,2-INT(LOG10(ABS(H159)))))</x:f>
        <x:v>482000</x:v>
      </x:c>
      <x:c r="D159" s="62" t="n">
        <x:f>H159/G159-1</x:f>
        <x:v>-0.3755493278621681</x:v>
      </x:c>
      <x:c r="E159" s="62" t="n">
        <x:f>G159/G158-1</x:f>
        <x:v>0.018000329435018836</x:v>
      </x:c>
      <x:c r="F159" s="62" t="n">
        <x:f>H159/H158-1</x:f>
        <x:v>0.020304139083352712</x:v>
      </x:c>
      <x:c r="G159" s="60" t="n">
        <x:f>'调前玩家曲线'!AU119</x:f>
        <x:v>772535</x:v>
      </x:c>
      <x:c r="H159" s="60" t="n">
        <x:f>'玩家战力_节点'!AU119</x:f>
        <x:v>482410</x:v>
      </x:c>
      <x:c r="I159" s="66" t="n">
        <x:f>'玩家战力_节点'!F119</x:f>
        <x:v>5</x:v>
      </x:c>
      <x:c r="J159" s="40" t="n">
        <x:f>'玩家战力_节点'!B119</x:f>
        <x:v>108</x:v>
      </x:c>
    </x:row>
    <x:row r="160" ht="25" customHeight="1">
      <x:c r="A160" s="40" t="str">
        <x:f>IF('调前玩家曲线'!C120=0,"序章",'调前玩家曲线'!C120)&amp;"-"&amp;'调前玩家曲线'!D120</x:f>
        <x:v>8-10</x:v>
      </x:c>
      <x:c r="B160" s="60" t="n">
        <x:f>IF(G160=0,0,ROUND(G160,2-INT(LOG10(ABS(G160)))))</x:f>
        <x:v>786000</x:v>
      </x:c>
      <x:c r="C160" s="55" t="n">
        <x:f>IF(H160=0,0,ROUND(H160,2-INT(LOG10(ABS(H160)))))</x:f>
        <x:v>492000</x:v>
      </x:c>
      <x:c r="D160" s="62" t="n">
        <x:f>H160/G160-1</x:f>
        <x:v>-0.3739472813780118</x:v>
      </x:c>
      <x:c r="E160" s="62" t="n">
        <x:f>G160/G159-1</x:f>
        <x:v>0.017507297404001143</x:v>
      </x:c>
      <x:c r="F160" s="62" t="n">
        <x:f>H160/H159-1</x:f>
        <x:v>0.020117742169523778</x:v>
      </x:c>
      <x:c r="G160" s="60" t="n">
        <x:f>'调前玩家曲线'!AU120</x:f>
        <x:v>786060</x:v>
      </x:c>
      <x:c r="H160" s="60" t="n">
        <x:f>'玩家战力_节点'!AU120</x:f>
        <x:v>492115</x:v>
      </x:c>
      <x:c r="I160" s="66" t="n">
        <x:f>'玩家战力_节点'!F120</x:f>
        <x:v>5</x:v>
      </x:c>
      <x:c r="J160" s="40" t="n">
        <x:f>'玩家战力_节点'!B120</x:f>
        <x:v>109</x:v>
      </x:c>
    </x:row>
    <x:row r="161" ht="25" customHeight="1">
      <x:c r="A161" s="40" t="str">
        <x:f>IF('调前玩家曲线'!C121=0,"序章",'调前玩家曲线'!C121)&amp;"-"&amp;'调前玩家曲线'!D121</x:f>
        <x:v>8-11</x:v>
      </x:c>
      <x:c r="B161" s="60" t="n">
        <x:f>IF(G161=0,0,ROUND(G161,2-INT(LOG10(ABS(G161)))))</x:f>
        <x:v>799000</x:v>
      </x:c>
      <x:c r="C161" s="55" t="n">
        <x:f>IF(H161=0,0,ROUND(H161,2-INT(LOG10(ABS(H161)))))</x:f>
        <x:v>502000</x:v>
      </x:c>
      <x:c r="D161" s="62" t="n">
        <x:f>H161/G161-1</x:f>
        <x:v>-0.37214800360252176</x:v>
      </x:c>
      <x:c r="E161" s="62" t="n">
        <x:f>G161/G160-1</x:f>
        <x:v>0.01702160140447284</x:v>
      </x:c>
      <x:c r="F161" s="62" t="n">
        <x:f>H161/H160-1</x:f>
        <x:v>0.019944525161801563</x:v>
      </x:c>
      <x:c r="G161" s="60" t="n">
        <x:f>'调前玩家曲线'!AU121</x:f>
        <x:v>799440</x:v>
      </x:c>
      <x:c r="H161" s="60" t="n">
        <x:f>'玩家战力_节点'!AU121</x:f>
        <x:v>501930</x:v>
      </x:c>
      <x:c r="I161" s="66" t="n">
        <x:f>'玩家战力_节点'!F121</x:f>
        <x:v>5</x:v>
      </x:c>
      <x:c r="J161" s="40" t="n">
        <x:f>'玩家战力_节点'!B121</x:f>
        <x:v>110</x:v>
      </x:c>
    </x:row>
    <x:row r="162" ht="25" customHeight="1">
      <x:c r="A162" s="40" t="str">
        <x:f>IF('调前玩家曲线'!C122=0,"序章",'调前玩家曲线'!C122)&amp;"-"&amp;'调前玩家曲线'!D122</x:f>
        <x:v>8-12</x:v>
      </x:c>
      <x:c r="B162" s="60" t="n">
        <x:f>IF(G162=0,0,ROUND(G162,2-INT(LOG10(ABS(G162)))))</x:f>
        <x:v>813000</x:v>
      </x:c>
      <x:c r="C162" s="55" t="n">
        <x:f>IF(H162=0,0,ROUND(H162,2-INT(LOG10(ABS(H162)))))</x:f>
        <x:v>512000</x:v>
      </x:c>
      <x:c r="D162" s="62" t="n">
        <x:f>H162/G162-1</x:f>
        <x:v>-0.37017645321651815</x:v>
      </x:c>
      <x:c r="E162" s="62" t="n">
        <x:f>G162/G161-1</x:f>
        <x:v>0.016561593115180573</x:v>
      </x:c>
      <x:c r="F162" s="62" t="n">
        <x:f>H162/H161-1</x:f>
        <x:v>0.019753750522981228</x:v>
      </x:c>
      <x:c r="G162" s="60" t="n">
        <x:f>'调前玩家曲线'!AU122</x:f>
        <x:v>812680</x:v>
      </x:c>
      <x:c r="H162" s="60" t="n">
        <x:f>'玩家战力_节点'!AU122</x:f>
        <x:v>511845</x:v>
      </x:c>
      <x:c r="I162" s="66" t="n">
        <x:f>'玩家战力_节点'!F122</x:f>
        <x:v>5</x:v>
      </x:c>
      <x:c r="J162" s="40" t="n">
        <x:f>'玩家战力_节点'!B122</x:f>
        <x:v>111</x:v>
      </x:c>
    </x:row>
    <x:row r="163" ht="25" customHeight="1">
      <x:c r="A163" s="40" t="str">
        <x:f>IF('调前玩家曲线'!C123=0,"序章",'调前玩家曲线'!C123)&amp;"-"&amp;'调前玩家曲线'!D123</x:f>
        <x:v>8-13</x:v>
      </x:c>
      <x:c r="B163" s="60" t="n">
        <x:f>IF(G163=0,0,ROUND(G163,2-INT(LOG10(ABS(G163)))))</x:f>
        <x:v>826000</x:v>
      </x:c>
      <x:c r="C163" s="55" t="n">
        <x:f>IF(H163=0,0,ROUND(H163,2-INT(LOG10(ABS(H163)))))</x:f>
        <x:v>522000</x:v>
      </x:c>
      <x:c r="D163" s="62" t="n">
        <x:f>H163/G163-1</x:f>
        <x:v>-0.3680278040155974</x:v>
      </x:c>
      <x:c r="E163" s="62" t="n">
        <x:f>G163/G162-1</x:f>
        <x:v>0.01611950583255406</x:v>
      </x:c>
      <x:c r="F163" s="62" t="n">
        <x:f>H163/H162-1</x:f>
        <x:v>0.01958600748273409</x:v>
      </x:c>
      <x:c r="G163" s="60" t="n">
        <x:f>'调前玩家曲线'!AU123</x:f>
        <x:v>825780</x:v>
      </x:c>
      <x:c r="H163" s="60" t="n">
        <x:f>'玩家战力_节点'!AU123</x:f>
        <x:v>521870</x:v>
      </x:c>
      <x:c r="I163" s="66" t="n">
        <x:f>'玩家战力_节点'!F123</x:f>
        <x:v>5</x:v>
      </x:c>
      <x:c r="J163" s="40" t="n">
        <x:f>'玩家战力_节点'!B123</x:f>
        <x:v>112</x:v>
      </x:c>
    </x:row>
    <x:row r="164" ht="25" customHeight="1">
      <x:c r="A164" s="40" t="str">
        <x:f>IF('调前玩家曲线'!C124=0,"序章",'调前玩家曲线'!C124)&amp;"-"&amp;'调前玩家曲线'!D124</x:f>
        <x:v>8-14</x:v>
      </x:c>
      <x:c r="B164" s="60" t="n">
        <x:f>IF(G164=0,0,ROUND(G164,2-INT(LOG10(ABS(G164)))))</x:f>
        <x:v>839000</x:v>
      </x:c>
      <x:c r="C164" s="55" t="n">
        <x:f>IF(H164=0,0,ROUND(H164,2-INT(LOG10(ABS(H164)))))</x:f>
        <x:v>532000</x:v>
      </x:c>
      <x:c r="D164" s="62" t="n">
        <x:f>H164/G164-1</x:f>
        <x:v>-0.36570767708320917</x:v>
      </x:c>
      <x:c r="E164" s="62" t="n">
        <x:f>G164/G163-1</x:f>
        <x:v>0.01568214294364112</x:v>
      </x:c>
      <x:c r="F164" s="62" t="n">
        <x:f>H164/H163-1</x:f>
        <x:v>0.019410964416425536</x:v>
      </x:c>
      <x:c r="G164" s="60" t="n">
        <x:f>'调前玩家曲线'!AU124</x:f>
        <x:v>838730</x:v>
      </x:c>
      <x:c r="H164" s="60" t="n">
        <x:f>'玩家战力_节点'!AU124</x:f>
        <x:v>532000</x:v>
      </x:c>
      <x:c r="I164" s="66" t="n">
        <x:f>'玩家战力_节点'!F124</x:f>
        <x:v>5</x:v>
      </x:c>
      <x:c r="J164" s="40" t="n">
        <x:f>'玩家战力_节点'!B124</x:f>
        <x:v>113</x:v>
      </x:c>
    </x:row>
    <x:row r="165" ht="25" customHeight="1">
      <x:c r="A165" s="40" t="str">
        <x:f>IF('调前玩家曲线'!C125=0,"序章",'调前玩家曲线'!C125)&amp;"-"&amp;'调前玩家曲线'!D125</x:f>
        <x:v>8-15</x:v>
      </x:c>
      <x:c r="B165" s="60" t="n">
        <x:f>IF(G165=0,0,ROUND(G165,2-INT(LOG10(ABS(G165)))))</x:f>
        <x:v>852000</x:v>
      </x:c>
      <x:c r="C165" s="55" t="n">
        <x:f>IF(H165=0,0,ROUND(H165,2-INT(LOG10(ABS(H165)))))</x:f>
        <x:v>542000</x:v>
      </x:c>
      <x:c r="D165" s="62" t="n">
        <x:f>H165/G165-1</x:f>
        <x:v>-0.36322640877943946</x:v>
      </x:c>
      <x:c r="E165" s="62" t="n">
        <x:f>G165/G164-1</x:f>
        <x:v>0.015267130065694579</x:v>
      </x:c>
      <x:c r="F165" s="62" t="n">
        <x:f>H165/H164-1</x:f>
        <x:v>0.01923872180451136</x:v>
      </x:c>
      <x:c r="G165" s="60" t="n">
        <x:f>'调前玩家曲线'!AU125</x:f>
        <x:v>851535</x:v>
      </x:c>
      <x:c r="H165" s="60" t="n">
        <x:f>'玩家战力_节点'!AU125</x:f>
        <x:v>542235</x:v>
      </x:c>
      <x:c r="I165" s="66" t="n">
        <x:f>'玩家战力_节点'!F125</x:f>
        <x:v>5</x:v>
      </x:c>
      <x:c r="J165" s="40" t="n">
        <x:f>'玩家战力_节点'!B125</x:f>
        <x:v>114</x:v>
      </x:c>
    </x:row>
    <x:row r="166" ht="25" customHeight="1">
      <x:c r="A166" s="40" t="str">
        <x:f>IF('调前玩家曲线'!C126=0,"序章",'调前玩家曲线'!C126)&amp;"-"&amp;'调前玩家曲线'!D126</x:f>
        <x:v>9-1</x:v>
      </x:c>
      <x:c r="B166" s="60" t="n">
        <x:f>IF(G166=0,0,ROUND(G166,2-INT(LOG10(ABS(G166)))))</x:f>
        <x:v>864000</x:v>
      </x:c>
      <x:c r="C166" s="55" t="n">
        <x:f>IF(H166=0,0,ROUND(H166,2-INT(LOG10(ABS(H166)))))</x:f>
        <x:v>552000</x:v>
      </x:c>
      <x:c r="D166" s="62" t="n">
        <x:f>H166/G166-1</x:f>
        <x:v>-0.3617817737894804</x:v>
      </x:c>
      <x:c r="E166" s="62" t="n">
        <x:f>G166/G165-1</x:f>
        <x:v>0.014867269108139958</x:v>
      </x:c>
      <x:c r="F166" s="62" t="n">
        <x:f>H166/H165-1</x:f>
        <x:v>0.017169677353914725</x:v>
      </x:c>
      <x:c r="G166" s="60" t="n">
        <x:f>'调前玩家曲线'!AU126</x:f>
        <x:v>864195</x:v>
      </x:c>
      <x:c r="H166" s="60" t="n">
        <x:f>'玩家战力_节点'!AU126</x:f>
        <x:v>551545</x:v>
      </x:c>
      <x:c r="I166" s="66" t="n">
        <x:f>'玩家战力_节点'!F126</x:f>
        <x:v>5</x:v>
      </x:c>
      <x:c r="J166" s="40" t="n">
        <x:f>'玩家战力_节点'!B126</x:f>
        <x:v>115</x:v>
      </x:c>
    </x:row>
    <x:row r="167" ht="25" customHeight="1">
      <x:c r="A167" s="40" t="str">
        <x:f>IF('调前玩家曲线'!C127=0,"序章",'调前玩家曲线'!C127)&amp;"-"&amp;'调前玩家曲线'!D127</x:f>
        <x:v>9-2</x:v>
      </x:c>
      <x:c r="B167" s="60" t="n">
        <x:f>IF(G167=0,0,ROUND(G167,2-INT(LOG10(ABS(G167)))))</x:f>
        <x:v>877000</x:v>
      </x:c>
      <x:c r="C167" s="55" t="n">
        <x:f>IF(H167=0,0,ROUND(H167,2-INT(LOG10(ABS(H167)))))</x:f>
        <x:v>560000</x:v>
      </x:c>
      <x:c r="D167" s="62" t="n">
        <x:f>H167/G167-1</x:f>
        <x:v>-0.36117986563401805</x:v>
      </x:c>
      <x:c r="E167" s="62" t="n">
        <x:f>G167/G166-1</x:f>
        <x:v>0.014481685267792477</x:v>
      </x:c>
      <x:c r="F167" s="62" t="n">
        <x:f>H167/H166-1</x:f>
        <x:v>0.01543845017179013</x:v>
      </x:c>
      <x:c r="G167" s="60" t="n">
        <x:f>'调前玩家曲线'!AU127</x:f>
        <x:v>876710</x:v>
      </x:c>
      <x:c r="H167" s="60" t="n">
        <x:f>'玩家战力_节点'!AU127</x:f>
        <x:v>560060</x:v>
      </x:c>
      <x:c r="I167" s="66" t="n">
        <x:f>'玩家战力_节点'!F127</x:f>
        <x:v>5</x:v>
      </x:c>
      <x:c r="J167" s="40" t="n">
        <x:f>'玩家战力_节点'!B127</x:f>
        <x:v>116</x:v>
      </x:c>
    </x:row>
    <x:row r="168" ht="25" customHeight="1">
      <x:c r="A168" s="40" t="str">
        <x:f>IF('调前玩家曲线'!C128=0,"序章",'调前玩家曲线'!C128)&amp;"-"&amp;'调前玩家曲线'!D128</x:f>
        <x:v>9-3</x:v>
      </x:c>
      <x:c r="B168" s="60" t="n">
        <x:f>IF(G168=0,0,ROUND(G168,2-INT(LOG10(ABS(G168)))))</x:f>
        <x:v>889000</x:v>
      </x:c>
      <x:c r="C168" s="55" t="n">
        <x:f>IF(H168=0,0,ROUND(H168,2-INT(LOG10(ABS(H168)))))</x:f>
        <x:v>569000</x:v>
      </x:c>
      <x:c r="D168" s="62" t="n">
        <x:f>H168/G168-1</x:f>
        <x:v>-0.36039906868975446</x:v>
      </x:c>
      <x:c r="E168" s="62" t="n">
        <x:f>G168/G167-1</x:f>
        <x:v>0.014098162448243912</x:v>
      </x:c>
      <x:c r="F168" s="62" t="n">
        <x:f>H168/H167-1</x:f>
        <x:v>0.015337642395457651</x:v>
      </x:c>
      <x:c r="G168" s="60" t="n">
        <x:f>'调前玩家曲线'!AU128</x:f>
        <x:v>889070</x:v>
      </x:c>
      <x:c r="H168" s="60" t="n">
        <x:f>'玩家战力_节点'!AU128</x:f>
        <x:v>568650</x:v>
      </x:c>
      <x:c r="I168" s="66" t="n">
        <x:f>'玩家战力_节点'!F128</x:f>
        <x:v>5</x:v>
      </x:c>
      <x:c r="J168" s="40" t="n">
        <x:f>'玩家战力_节点'!B128</x:f>
        <x:v>117</x:v>
      </x:c>
    </x:row>
    <x:row r="169" ht="25" customHeight="1">
      <x:c r="A169" s="40" t="str">
        <x:f>IF('调前玩家曲线'!C129=0,"序章",'调前玩家曲线'!C129)&amp;"-"&amp;'调前玩家曲线'!D129</x:f>
        <x:v>9-4</x:v>
      </x:c>
      <x:c r="B169" s="60" t="n">
        <x:f>IF(G169=0,0,ROUND(G169,2-INT(LOG10(ABS(G169)))))</x:f>
        <x:v>901000</x:v>
      </x:c>
      <x:c r="C169" s="55" t="n">
        <x:f>IF(H169=0,0,ROUND(H169,2-INT(LOG10(ABS(H169)))))</x:f>
        <x:v>577000</x:v>
      </x:c>
      <x:c r="D169" s="62" t="n">
        <x:f>H169/G169-1</x:f>
        <x:v>-0.35945899465762776</x:v>
      </x:c>
      <x:c r="E169" s="62" t="n">
        <x:f>G169/G168-1</x:f>
        <x:v>0.013739075663333544</x:v>
      </x:c>
      <x:c r="F169" s="62" t="n">
        <x:f>H169/H168-1</x:f>
        <x:v>0.015229051261760329</x:v>
      </x:c>
      <x:c r="G169" s="60" t="n">
        <x:f>'调前玩家曲线'!AU129</x:f>
        <x:v>901285</x:v>
      </x:c>
      <x:c r="H169" s="60" t="n">
        <x:f>'玩家战力_节点'!AU129</x:f>
        <x:v>577310</x:v>
      </x:c>
      <x:c r="I169" s="66" t="n">
        <x:f>'玩家战力_节点'!F129</x:f>
        <x:v>5</x:v>
      </x:c>
      <x:c r="J169" s="40" t="n">
        <x:f>'玩家战力_节点'!B129</x:f>
        <x:v>118</x:v>
      </x:c>
    </x:row>
    <x:row r="170" ht="25" customHeight="1">
      <x:c r="A170" s="40" t="str">
        <x:f>IF('调前玩家曲线'!C130=0,"序章",'调前玩家曲线'!C130)&amp;"-"&amp;'调前玩家曲线'!D130</x:f>
        <x:v>9-5</x:v>
      </x:c>
      <x:c r="B170" s="60" t="n">
        <x:f>IF(G170=0,0,ROUND(G170,2-INT(LOG10(ABS(G170)))))</x:f>
        <x:v>913000</x:v>
      </x:c>
      <x:c r="C170" s="55" t="n">
        <x:f>IF(H170=0,0,ROUND(H170,2-INT(LOG10(ABS(H170)))))</x:f>
        <x:v>586000</x:v>
      </x:c>
      <x:c r="D170" s="62" t="n">
        <x:f>H170/G170-1</x:f>
        <x:v>-0.35835659933212893</x:v>
      </x:c>
      <x:c r="E170" s="62" t="n">
        <x:f>G170/G169-1</x:f>
        <x:v>0.013386442690159095</x:v>
      </x:c>
      <x:c r="F170" s="62" t="n">
        <x:f>H170/H169-1</x:f>
        <x:v>0.015130519131835607</x:v>
      </x:c>
      <x:c r="G170" s="60" t="n">
        <x:f>'调前玩家曲线'!AU130</x:f>
        <x:v>913350</x:v>
      </x:c>
      <x:c r="H170" s="60" t="n">
        <x:f>'玩家战力_节点'!AU130</x:f>
        <x:v>586045</x:v>
      </x:c>
      <x:c r="I170" s="66" t="n">
        <x:f>'玩家战力_节点'!F130</x:f>
        <x:v>5</x:v>
      </x:c>
      <x:c r="J170" s="40" t="n">
        <x:f>'玩家战力_节点'!B130</x:f>
        <x:v>119</x:v>
      </x:c>
    </x:row>
    <x:row r="171" ht="25" customHeight="1">
      <x:c r="A171" s="40" t="str">
        <x:f>IF('调前玩家曲线'!C131=0,"序章",'调前玩家曲线'!C131)&amp;"-"&amp;'调前玩家曲线'!D131</x:f>
        <x:v>9-6</x:v>
      </x:c>
      <x:c r="B171" s="60" t="n">
        <x:f>IF(G171=0,0,ROUND(G171,2-INT(LOG10(ABS(G171)))))</x:f>
        <x:v>925000</x:v>
      </x:c>
      <x:c r="C171" s="55" t="n">
        <x:f>IF(H171=0,0,ROUND(H171,2-INT(LOG10(ABS(H171)))))</x:f>
        <x:v>595000</x:v>
      </x:c>
      <x:c r="D171" s="62" t="n">
        <x:f>H171/G171-1</x:f>
        <x:v>-0.3571031001929177</x:v>
      </x:c>
      <x:c r="E171" s="62" t="n">
        <x:f>G171/G170-1</x:f>
        <x:v>0.013045382383533255</x:v>
      </x:c>
      <x:c r="F171" s="62" t="n">
        <x:f>H171/H170-1</x:f>
        <x:v>0.015024443515429642</x:v>
      </x:c>
      <x:c r="G171" s="60" t="n">
        <x:f>'调前玩家曲线'!AU131</x:f>
        <x:v>925265</x:v>
      </x:c>
      <x:c r="H171" s="60" t="n">
        <x:f>'玩家战力_节点'!AU131</x:f>
        <x:v>594850</x:v>
      </x:c>
      <x:c r="I171" s="66" t="n">
        <x:f>'玩家战力_节点'!F131</x:f>
        <x:v>5</x:v>
      </x:c>
      <x:c r="J171" s="40" t="n">
        <x:f>'玩家战力_节点'!B131</x:f>
        <x:v>120</x:v>
      </x:c>
    </x:row>
    <x:row r="172" ht="25" customHeight="1">
      <x:c r="A172" s="40" t="str">
        <x:f>IF('调前玩家曲线'!C132=0,"序章",'调前玩家曲线'!C132)&amp;"-"&amp;'调前玩家曲线'!D132</x:f>
        <x:v>9-7</x:v>
      </x:c>
      <x:c r="B172" s="60" t="n">
        <x:f>IF(G172=0,0,ROUND(G172,2-INT(LOG10(ABS(G172)))))</x:f>
        <x:v>937000</x:v>
      </x:c>
      <x:c r="C172" s="55" t="n">
        <x:f>IF(H172=0,0,ROUND(H172,2-INT(LOG10(ABS(H172)))))</x:f>
        <x:v>604000</x:v>
      </x:c>
      <x:c r="D172" s="62" t="n">
        <x:f>H172/G172-1</x:f>
        <x:v>-0.35569832342614427</x:v>
      </x:c>
      <x:c r="E172" s="62" t="n">
        <x:f>G172/G171-1</x:f>
        <x:v>0.012715276164126044</x:v>
      </x:c>
      <x:c r="F172" s="62" t="n">
        <x:f>H172/H171-1</x:f>
        <x:v>0.014928133142809052</x:v>
      </x:c>
      <x:c r="G172" s="60" t="n">
        <x:f>'调前玩家曲线'!AU132</x:f>
        <x:v>937030</x:v>
      </x:c>
      <x:c r="H172" s="60" t="n">
        <x:f>'玩家战力_节点'!AU132</x:f>
        <x:v>603730</x:v>
      </x:c>
      <x:c r="I172" s="66" t="n">
        <x:f>'玩家战力_节点'!F132</x:f>
        <x:v>5</x:v>
      </x:c>
      <x:c r="J172" s="40" t="n">
        <x:f>'玩家战力_节点'!B132</x:f>
        <x:v>121</x:v>
      </x:c>
    </x:row>
    <x:row r="173" ht="25" customHeight="1">
      <x:c r="A173" s="40" t="str">
        <x:f>IF('调前玩家曲线'!C133=0,"序章",'调前玩家曲线'!C133)&amp;"-"&amp;'调前玩家曲线'!D133</x:f>
        <x:v>9-8</x:v>
      </x:c>
      <x:c r="B173" s="60" t="n">
        <x:f>IF(G173=0,0,ROUND(G173,2-INT(LOG10(ABS(G173)))))</x:f>
        <x:v>949000</x:v>
      </x:c>
      <x:c r="C173" s="55" t="n">
        <x:f>IF(H173=0,0,ROUND(H173,2-INT(LOG10(ABS(H173)))))</x:f>
        <x:v>613000</x:v>
      </x:c>
      <x:c r="D173" s="62" t="n">
        <x:f>H173/G173-1</x:f>
        <x:v>-0.3541525017261462</x:v>
      </x:c>
      <x:c r="E173" s="62" t="n">
        <x:f>G173/G172-1</x:f>
        <x:v>0.012395547634547421</x:v>
      </x:c>
      <x:c r="F173" s="62" t="n">
        <x:f>H173/H172-1</x:f>
        <x:v>0.014824507644145557</x:v>
      </x:c>
      <x:c r="G173" s="60" t="n">
        <x:f>'调前玩家曲线'!AU133</x:f>
        <x:v>948645</x:v>
      </x:c>
      <x:c r="H173" s="60" t="n">
        <x:f>'玩家战力_节点'!AU133</x:f>
        <x:v>612680</x:v>
      </x:c>
      <x:c r="I173" s="66" t="n">
        <x:f>'玩家战力_节点'!F133</x:f>
        <x:v>5</x:v>
      </x:c>
      <x:c r="J173" s="40" t="n">
        <x:f>'玩家战力_节点'!B133</x:f>
        <x:v>122</x:v>
      </x:c>
    </x:row>
    <x:row r="174" ht="25" customHeight="1">
      <x:c r="A174" s="40" t="str">
        <x:f>IF('调前玩家曲线'!C134=0,"序章",'调前玩家曲线'!C134)&amp;"-"&amp;'调前玩家曲线'!D134</x:f>
        <x:v>9-9</x:v>
      </x:c>
      <x:c r="B174" s="60" t="n">
        <x:f>IF(G174=0,0,ROUND(G174,2-INT(LOG10(ABS(G174)))))</x:f>
        <x:v>960000</x:v>
      </x:c>
      <x:c r="C174" s="55" t="n">
        <x:f>IF(H174=0,0,ROUND(H174,2-INT(LOG10(ABS(H174)))))</x:f>
        <x:v>622000</x:v>
      </x:c>
      <x:c r="D174" s="62" t="n">
        <x:f>H174/G174-1</x:f>
        <x:v>-0.3524648217391757</x:v>
      </x:c>
      <x:c r="E174" s="62" t="n">
        <x:f>G174/G173-1</x:f>
        <x:v>0.01208565901891645</x:v>
      </x:c>
      <x:c r="F174" s="62" t="n">
        <x:f>H174/H173-1</x:f>
        <x:v>0.01473036495397273</x:v>
      </x:c>
      <x:c r="G174" s="60" t="n">
        <x:f>'调前玩家曲线'!AU134</x:f>
        <x:v>960110</x:v>
      </x:c>
      <x:c r="H174" s="60" t="n">
        <x:f>'玩家战力_节点'!AU134</x:f>
        <x:v>621705</x:v>
      </x:c>
      <x:c r="I174" s="66" t="n">
        <x:f>'玩家战力_节点'!F134</x:f>
        <x:v>5</x:v>
      </x:c>
      <x:c r="J174" s="40" t="n">
        <x:f>'玩家战力_节点'!B134</x:f>
        <x:v>123</x:v>
      </x:c>
    </x:row>
    <x:row r="175" ht="25" customHeight="1">
      <x:c r="A175" s="40" t="str">
        <x:f>IF('调前玩家曲线'!C135=0,"序章",'调前玩家曲线'!C135)&amp;"-"&amp;'调前玩家曲线'!D135</x:f>
        <x:v>9-10</x:v>
      </x:c>
      <x:c r="B175" s="60" t="n">
        <x:f>IF(G175=0,0,ROUND(G175,2-INT(LOG10(ABS(G175)))))</x:f>
        <x:v>971000</x:v>
      </x:c>
      <x:c r="C175" s="55" t="n">
        <x:f>IF(H175=0,0,ROUND(H175,2-INT(LOG10(ABS(H175)))))</x:f>
        <x:v>631000</x:v>
      </x:c>
      <x:c r="D175" s="62" t="n">
        <x:f>H175/G175-1</x:f>
        <x:v>-0.3506395244100162</x:v>
      </x:c>
      <x:c r="E175" s="62" t="n">
        <x:f>G175/G174-1</x:f>
        <x:v>0.011785107956379992</x:v>
      </x:c>
      <x:c r="F175" s="62" t="n">
        <x:f>H175/H174-1</x:f>
        <x:v>0.014637167145189478</x:v>
      </x:c>
      <x:c r="G175" s="60" t="n">
        <x:f>'调前玩家曲线'!AU135</x:f>
        <x:v>971425</x:v>
      </x:c>
      <x:c r="H175" s="60" t="n">
        <x:f>'玩家战力_节点'!AU135</x:f>
        <x:v>630805</x:v>
      </x:c>
      <x:c r="I175" s="66" t="n">
        <x:f>'玩家战力_节点'!F135</x:f>
        <x:v>5</x:v>
      </x:c>
      <x:c r="J175" s="40" t="n">
        <x:f>'玩家战力_节点'!B135</x:f>
        <x:v>124</x:v>
      </x:c>
    </x:row>
    <x:row r="176" ht="25" customHeight="1">
      <x:c r="A176" s="40" t="str">
        <x:f>IF('调前玩家曲线'!C136=0,"序章",'调前玩家曲线'!C136)&amp;"-"&amp;'调前玩家曲线'!D136</x:f>
        <x:v>9-11</x:v>
      </x:c>
      <x:c r="B176" s="60" t="n">
        <x:f>IF(G176=0,0,ROUND(G176,2-INT(LOG10(ABS(G176)))))</x:f>
        <x:v>983000</x:v>
      </x:c>
      <x:c r="C176" s="55" t="n">
        <x:f>IF(H176=0,0,ROUND(H176,2-INT(LOG10(ABS(H176)))))</x:f>
        <x:v>640000</x:v>
      </x:c>
      <x:c r="D176" s="62" t="n">
        <x:f>H176/G176-1</x:f>
        <x:v>-0.3486805279923467</x:v>
      </x:c>
      <x:c r="E176" s="62" t="n">
        <x:f>G176/G175-1</x:f>
        <x:v>0.011493424608178815</x:v>
      </x:c>
      <x:c r="F176" s="62" t="n">
        <x:f>H176/H175-1</x:f>
        <x:v>0.014544906904669475</x:v>
      </x:c>
      <x:c r="G176" s="60" t="n">
        <x:f>'调前玩家曲线'!AU136</x:f>
        <x:v>982590</x:v>
      </x:c>
      <x:c r="H176" s="60" t="n">
        <x:f>'玩家战力_节点'!AU136</x:f>
        <x:v>639980</x:v>
      </x:c>
      <x:c r="I176" s="66" t="n">
        <x:f>'玩家战力_节点'!F136</x:f>
        <x:v>5</x:v>
      </x:c>
      <x:c r="J176" s="40" t="n">
        <x:f>'玩家战力_节点'!B136</x:f>
        <x:v>125</x:v>
      </x:c>
    </x:row>
    <x:row r="177" ht="25" customHeight="1">
      <x:c r="A177" s="40" t="str">
        <x:f>IF('调前玩家曲线'!C137=0,"序章",'调前玩家曲线'!C137)&amp;"-"&amp;'调前玩家曲线'!D137</x:f>
        <x:v>9-12</x:v>
      </x:c>
      <x:c r="B177" s="60" t="n">
        <x:f>IF(G177=0,0,ROUND(G177,2-INT(LOG10(ABS(G177)))))</x:f>
        <x:v>994000</x:v>
      </x:c>
      <x:c r="C177" s="55" t="n">
        <x:f>IF(H177=0,0,ROUND(H177,2-INT(LOG10(ABS(H177)))))</x:f>
        <x:v>649000</x:v>
      </x:c>
      <x:c r="D177" s="62" t="n">
        <x:f>H177/G177-1</x:f>
        <x:v>-0.3465964845184958</x:v>
      </x:c>
      <x:c r="E177" s="62" t="n">
        <x:f>G177/G176-1</x:f>
        <x:v>0.011210169043039286</x:v>
      </x:c>
      <x:c r="F177" s="62" t="n">
        <x:f>H177/H176-1</x:f>
        <x:v>0.014445763930122757</x:v>
      </x:c>
      <x:c r="G177" s="60" t="n">
        <x:f>'调前玩家曲线'!AU137</x:f>
        <x:v>993605</x:v>
      </x:c>
      <x:c r="H177" s="60" t="n">
        <x:f>'玩家战力_节点'!AU137</x:f>
        <x:v>649225</x:v>
      </x:c>
      <x:c r="I177" s="66" t="n">
        <x:f>'玩家战力_节点'!F137</x:f>
        <x:v>5</x:v>
      </x:c>
      <x:c r="J177" s="40" t="n">
        <x:f>'玩家战力_节点'!B137</x:f>
        <x:v>126</x:v>
      </x:c>
    </x:row>
    <x:row r="178" ht="25" customHeight="1">
      <x:c r="A178" s="40" t="str">
        <x:f>IF('调前玩家曲线'!C138=0,"序章",'调前玩家曲线'!C138)&amp;"-"&amp;'调前玩家曲线'!D138</x:f>
        <x:v>9-13</x:v>
      </x:c>
      <x:c r="B178" s="60" t="n">
        <x:f>IF(G178=0,0,ROUND(G178,2-INT(LOG10(ABS(G178)))))</x:f>
        <x:v>1000000</x:v>
      </x:c>
      <x:c r="C178" s="55" t="n">
        <x:f>IF(H178=0,0,ROUND(H178,2-INT(LOG10(ABS(H178)))))</x:f>
        <x:v>659000</x:v>
      </x:c>
      <x:c r="D178" s="62" t="n">
        <x:f>H178/G178-1</x:f>
        <x:v>-0.3443855963841628</x:v>
      </x:c>
      <x:c r="E178" s="62" t="n">
        <x:f>G178/G177-1</x:f>
        <x:v>0.010934928870124372</x:v>
      </x:c>
      <x:c r="F178" s="62" t="n">
        <x:f>H178/H177-1</x:f>
        <x:v>0.014355577804305186</x:v>
      </x:c>
      <x:c r="G178" s="60" t="n">
        <x:f>'调前玩家曲线'!AU138</x:f>
        <x:v>1004470</x:v>
      </x:c>
      <x:c r="H178" s="60" t="n">
        <x:f>'玩家战力_节点'!AU138</x:f>
        <x:v>658545</x:v>
      </x:c>
      <x:c r="I178" s="66" t="n">
        <x:f>'玩家战力_节点'!F138</x:f>
        <x:v>5</x:v>
      </x:c>
      <x:c r="J178" s="40" t="n">
        <x:f>'玩家战力_节点'!B138</x:f>
        <x:v>127</x:v>
      </x:c>
    </x:row>
    <x:row r="179" ht="25" customHeight="1">
      <x:c r="A179" s="40" t="str">
        <x:f>IF('调前玩家曲线'!C139=0,"序章",'调前玩家曲线'!C139)&amp;"-"&amp;'调前玩家曲线'!D139</x:f>
        <x:v>9-14</x:v>
      </x:c>
      <x:c r="B179" s="60" t="n">
        <x:f>IF(G179=0,0,ROUND(G179,2-INT(LOG10(ABS(G179)))))</x:f>
        <x:v>1020000</x:v>
      </x:c>
      <x:c r="C179" s="55" t="n">
        <x:f>IF(H179=0,0,ROUND(H179,2-INT(LOG10(ABS(H179)))))</x:f>
        <x:v>668000</x:v>
      </x:c>
      <x:c r="D179" s="62" t="n">
        <x:f>H179/G179-1</x:f>
        <x:v>-0.3420541967513471</x:v>
      </x:c>
      <x:c r="E179" s="62" t="n">
        <x:f>G179/G178-1</x:f>
        <x:v>0.010672294842056118</x:v>
      </x:c>
      <x:c r="F179" s="62" t="n">
        <x:f>H179/H178-1</x:f>
        <x:v>0.01426629918988076</x:v>
      </x:c>
      <x:c r="G179" s="60" t="n">
        <x:f>'调前玩家曲线'!AU139</x:f>
        <x:v>1015190</x:v>
      </x:c>
      <x:c r="H179" s="60" t="n">
        <x:f>'玩家战力_节点'!AU139</x:f>
        <x:v>667940</x:v>
      </x:c>
      <x:c r="I179" s="66" t="n">
        <x:f>'玩家战力_节点'!F139</x:f>
        <x:v>5</x:v>
      </x:c>
      <x:c r="J179" s="40" t="n">
        <x:f>'玩家战力_节点'!B139</x:f>
        <x:v>128</x:v>
      </x:c>
    </x:row>
    <x:row r="180" ht="25" customHeight="1">
      <x:c r="A180" s="40" t="str">
        <x:f>IF('调前玩家曲线'!C140=0,"序章",'调前玩家曲线'!C140)&amp;"-"&amp;'调前玩家曲线'!D140</x:f>
        <x:v>9-15</x:v>
      </x:c>
      <x:c r="B180" s="60" t="n">
        <x:f>IF(G180=0,0,ROUND(G180,2-INT(LOG10(ABS(G180)))))</x:f>
        <x:v>1030000</x:v>
      </x:c>
      <x:c r="C180" s="55" t="n">
        <x:f>IF(H180=0,0,ROUND(H180,2-INT(LOG10(ABS(H180)))))</x:f>
        <x:v>677000</x:v>
      </x:c>
      <x:c r="D180" s="62" t="n">
        <x:f>H180/G180-1</x:f>
        <x:v>-0.3396018561846825</x:v>
      </x:c>
      <x:c r="E180" s="62" t="n">
        <x:f>G180/G179-1</x:f>
        <x:v>0.01041184408829876</x:v>
      </x:c>
      <x:c r="F180" s="62" t="n">
        <x:f>H180/H179-1</x:f>
        <x:v>0.014177920172470548</x:v>
      </x:c>
      <x:c r="G180" s="60" t="n">
        <x:f>'调前玩家曲线'!AU140</x:f>
        <x:v>1025760</x:v>
      </x:c>
      <x:c r="H180" s="60" t="n">
        <x:f>'玩家战力_节点'!AU140</x:f>
        <x:v>677410</x:v>
      </x:c>
      <x:c r="I180" s="66" t="n">
        <x:f>'玩家战力_节点'!F140</x:f>
        <x:v>5</x:v>
      </x:c>
      <x:c r="J180" s="40" t="n">
        <x:f>'玩家战力_节点'!B140</x:f>
        <x:v>129</x:v>
      </x:c>
    </x:row>
    <x:row r="181" ht="25" customHeight="1">
      <x:c r="A181" s="40" t="str">
        <x:f>IF('调前玩家曲线'!C141=0,"序章",'调前玩家曲线'!C141)&amp;"-"&amp;'调前玩家曲线'!D141</x:f>
        <x:v>10-1</x:v>
      </x:c>
      <x:c r="B181" s="60" t="n">
        <x:f>IF(G181=0,0,ROUND(G181,2-INT(LOG10(ABS(G181)))))</x:f>
        <x:v>1040000</x:v>
      </x:c>
      <x:c r="C181" s="55" t="n">
        <x:f>IF(H181=0,0,ROUND(H181,2-INT(LOG10(ABS(H181)))))</x:f>
        <x:v>686000</x:v>
      </x:c>
      <x:c r="D181" s="62" t="n">
        <x:f>H181/G181-1</x:f>
        <x:v>-0.3378933298590503</x:v>
      </x:c>
      <x:c r="E181" s="62" t="n">
        <x:f>G181/G180-1</x:f>
        <x:v>0.010163196069255864</x:v>
      </x:c>
      <x:c r="F181" s="62" t="n">
        <x:f>H181/H180-1</x:f>
        <x:v>0.012776605010259567</x:v>
      </x:c>
      <x:c r="G181" s="60" t="n">
        <x:f>'调前玩家曲线'!AU141</x:f>
        <x:v>1036185</x:v>
      </x:c>
      <x:c r="H181" s="60" t="n">
        <x:f>'玩家战力_节点'!AU141</x:f>
        <x:v>686065</x:v>
      </x:c>
      <x:c r="I181" s="66" t="n">
        <x:f>'玩家战力_节点'!F141</x:f>
        <x:v>5</x:v>
      </x:c>
      <x:c r="J181" s="40" t="n">
        <x:f>'玩家战力_节点'!B141</x:f>
        <x:v>130</x:v>
      </x:c>
    </x:row>
    <x:row r="182" ht="25" customHeight="1">
      <x:c r="A182" s="40" t="str">
        <x:f>IF('调前玩家曲线'!C142=0,"序章",'调前玩家曲线'!C142)&amp;"-"&amp;'调前玩家曲线'!D142</x:f>
        <x:v>10-2</x:v>
      </x:c>
      <x:c r="B182" s="60" t="n">
        <x:f>IF(G182=0,0,ROUND(G182,2-INT(LOG10(ABS(G182)))))</x:f>
        <x:v>1050000</x:v>
      </x:c>
      <x:c r="C182" s="55" t="n">
        <x:f>IF(H182=0,0,ROUND(H182,2-INT(LOG10(ABS(H182)))))</x:f>
        <x:v>694000</x:v>
      </x:c>
      <x:c r="D182" s="62" t="n">
        <x:f>H182/G182-1</x:f>
        <x:v>-0.33679578390103826</x:v>
      </x:c>
      <x:c r="E182" s="62" t="n">
        <x:f>G182/G181-1</x:f>
        <x:v>0.009921008314152324</x:v>
      </x:c>
      <x:c r="F182" s="62" t="n">
        <x:f>H182/H181-1</x:f>
        <x:v>0.01159511125039181</x:v>
      </x:c>
      <x:c r="G182" s="60" t="n">
        <x:f>'调前玩家曲线'!AU142</x:f>
        <x:v>1046465</x:v>
      </x:c>
      <x:c r="H182" s="60" t="n">
        <x:f>'玩家战力_节点'!AU142</x:f>
        <x:v>694020</x:v>
      </x:c>
      <x:c r="I182" s="66" t="n">
        <x:f>'玩家战力_节点'!F142</x:f>
        <x:v>5</x:v>
      </x:c>
      <x:c r="J182" s="40" t="n">
        <x:f>'玩家战力_节点'!B142</x:f>
        <x:v>131</x:v>
      </x:c>
    </x:row>
    <x:row r="183" ht="25" customHeight="1">
      <x:c r="A183" s="40" t="str">
        <x:f>IF('调前玩家曲线'!C143=0,"序章",'调前玩家曲线'!C143)&amp;"-"&amp;'调前玩家曲线'!D143</x:f>
        <x:v>10-3</x:v>
      </x:c>
      <x:c r="B183" s="60" t="n">
        <x:f>IF(G183=0,0,ROUND(G183,2-INT(LOG10(ABS(G183)))))</x:f>
        <x:v>1060000</x:v>
      </x:c>
      <x:c r="C183" s="55" t="n">
        <x:f>IF(H183=0,0,ROUND(H183,2-INT(LOG10(ABS(H183)))))</x:f>
        <x:v>702000</x:v>
      </x:c>
      <x:c r="D183" s="62" t="n">
        <x:f>H183/G183-1</x:f>
        <x:v>-0.3355779650670314</x:v>
      </x:c>
      <x:c r="E183" s="62" t="n">
        <x:f>G183/G182-1</x:f>
        <x:v>0.00968020908487155</x:v>
      </x:c>
      <x:c r="F183" s="62" t="n">
        <x:f>H183/H182-1</x:f>
        <x:v>0.011534249733436974</x:v>
      </x:c>
      <x:c r="G183" s="60" t="n">
        <x:f>'调前玩家曲线'!AU143</x:f>
        <x:v>1056595</x:v>
      </x:c>
      <x:c r="H183" s="60" t="n">
        <x:f>'玩家战力_节点'!AU143</x:f>
        <x:v>702025</x:v>
      </x:c>
      <x:c r="I183" s="66" t="n">
        <x:f>'玩家战力_节点'!F143</x:f>
        <x:v>5</x:v>
      </x:c>
      <x:c r="J183" s="40" t="n">
        <x:f>'玩家战力_节点'!B143</x:f>
        <x:v>132</x:v>
      </x:c>
    </x:row>
    <x:row r="184" ht="25" customHeight="1">
      <x:c r="A184" s="40" t="str">
        <x:f>IF('调前玩家曲线'!C144=0,"序章",'调前玩家曲线'!C144)&amp;"-"&amp;'调前玩家曲线'!D144</x:f>
        <x:v>10-4</x:v>
      </x:c>
      <x:c r="B184" s="60" t="n">
        <x:f>IF(G184=0,0,ROUND(G184,2-INT(LOG10(ABS(G184)))))</x:f>
        <x:v>1070000</x:v>
      </x:c>
      <x:c r="C184" s="55" t="n">
        <x:f>IF(H184=0,0,ROUND(H184,2-INT(LOG10(ABS(H184)))))</x:f>
        <x:v>710000</x:v>
      </x:c>
      <x:c r="D184" s="62" t="n">
        <x:f>H184/G184-1</x:f>
        <x:v>-0.3342443405823259</x:v>
      </x:c>
      <x:c r="E184" s="62" t="n">
        <x:f>G184/G183-1</x:f>
        <x:v>0.00945489993800841</x:v>
      </x:c>
      <x:c r="F184" s="62" t="n">
        <x:f>H184/H183-1</x:f>
        <x:v>0.011481072611374321</x:v>
      </x:c>
      <x:c r="G184" s="60" t="n">
        <x:f>'调前玩家曲线'!AU144</x:f>
        <x:v>1066585</x:v>
      </x:c>
      <x:c r="H184" s="60" t="n">
        <x:f>'玩家战力_节点'!AU144</x:f>
        <x:v>710085</x:v>
      </x:c>
      <x:c r="I184" s="66" t="n">
        <x:f>'玩家战力_节点'!F144</x:f>
        <x:v>5</x:v>
      </x:c>
      <x:c r="J184" s="40" t="n">
        <x:f>'玩家战力_节点'!B144</x:f>
        <x:v>133</x:v>
      </x:c>
    </x:row>
    <x:row r="185" ht="25" customHeight="1">
      <x:c r="A185" s="40" t="str">
        <x:f>IF('调前玩家曲线'!C145=0,"序章",'调前玩家曲线'!C145)&amp;"-"&amp;'调前玩家曲线'!D145</x:f>
        <x:v>10-5</x:v>
      </x:c>
      <x:c r="B185" s="60" t="n">
        <x:f>IF(G185=0,0,ROUND(G185,2-INT(LOG10(ABS(G185)))))</x:f>
        <x:v>1080000</x:v>
      </x:c>
      <x:c r="C185" s="55" t="n">
        <x:f>IF(H185=0,0,ROUND(H185,2-INT(LOG10(ABS(H185)))))</x:f>
        <x:v>718000</x:v>
      </x:c>
      <x:c r="D185" s="62" t="n">
        <x:f>H185/G185-1</x:f>
        <x:v>-0.33279606103537174</x:v>
      </x:c>
      <x:c r="E185" s="62" t="n">
        <x:f>G185/G184-1</x:f>
        <x:v>0.009225706343141793</x:v>
      </x:c>
      <x:c r="F185" s="62" t="n">
        <x:f>H185/H184-1</x:f>
        <x:v>0.011421167888351347</x:v>
      </x:c>
      <x:c r="G185" s="60" t="n">
        <x:f>'调前玩家曲线'!AU145</x:f>
        <x:v>1076425</x:v>
      </x:c>
      <x:c r="H185" s="60" t="n">
        <x:f>'玩家战力_节点'!AU145</x:f>
        <x:v>718195</x:v>
      </x:c>
      <x:c r="I185" s="66" t="n">
        <x:f>'玩家战力_节点'!F145</x:f>
        <x:v>5</x:v>
      </x:c>
      <x:c r="J185" s="40" t="n">
        <x:f>'玩家战力_节点'!B145</x:f>
        <x:v>134</x:v>
      </x:c>
    </x:row>
    <x:row r="186" ht="25" customHeight="1">
      <x:c r="A186" s="40" t="str">
        <x:f>IF('调前玩家曲线'!C146=0,"序章",'调前玩家曲线'!C146)&amp;"-"&amp;'调前玩家曲线'!D146</x:f>
        <x:v>10-6</x:v>
      </x:c>
      <x:c r="B186" s="60" t="n">
        <x:f>IF(G186=0,0,ROUND(G186,2-INT(LOG10(ABS(G186)))))</x:f>
        <x:v>1090000</x:v>
      </x:c>
      <x:c r="C186" s="55" t="n">
        <x:f>IF(H186=0,0,ROUND(H186,2-INT(LOG10(ABS(H186)))))</x:f>
        <x:v>726000</x:v>
      </x:c>
      <x:c r="D186" s="62" t="n">
        <x:f>H186/G186-1</x:f>
        <x:v>-0.33123719645528826</x:v>
      </x:c>
      <x:c r="E186" s="62" t="n">
        <x:f>G186/G185-1</x:f>
        <x:v>0.009011310588289856</x:v>
      </x:c>
      <x:c r="F186" s="62" t="n">
        <x:f>H186/H185-1</x:f>
        <x:v>0.011368778674315516</x:v>
      </x:c>
      <x:c r="G186" s="60" t="n">
        <x:f>'调前玩家曲线'!AU146</x:f>
        <x:v>1086125</x:v>
      </x:c>
      <x:c r="H186" s="60" t="n">
        <x:f>'玩家战力_节点'!AU146</x:f>
        <x:v>726360</x:v>
      </x:c>
      <x:c r="I186" s="66" t="n">
        <x:f>'玩家战力_节点'!F146</x:f>
        <x:v>5</x:v>
      </x:c>
      <x:c r="J186" s="40" t="n">
        <x:f>'玩家战力_节点'!B146</x:f>
        <x:v>135</x:v>
      </x:c>
    </x:row>
    <x:row r="187" ht="25" customHeight="1">
      <x:c r="A187" s="40" t="str">
        <x:f>IF('调前玩家曲线'!C147=0,"序章",'调前玩家曲线'!C147)&amp;"-"&amp;'调前玩家曲线'!D147</x:f>
        <x:v>10-7</x:v>
      </x:c>
      <x:c r="B187" s="60" t="n">
        <x:f>IF(G187=0,0,ROUND(G187,2-INT(LOG10(ABS(G187)))))</x:f>
        <x:v>1100000</x:v>
      </x:c>
      <x:c r="C187" s="55" t="n">
        <x:f>IF(H187=0,0,ROUND(H187,2-INT(LOG10(ABS(H187)))))</x:f>
        <x:v>735000</x:v>
      </x:c>
      <x:c r="D187" s="62" t="n">
        <x:f>H187/G187-1</x:f>
        <x:v>-0.32957464964839345</x:v>
      </x:c>
      <x:c r="E187" s="62" t="n">
        <x:f>G187/G186-1</x:f>
        <x:v>0.008801933479111623</x:v>
      </x:c>
      <x:c r="F187" s="62" t="n">
        <x:f>H187/H186-1</x:f>
        <x:v>0.011309818822622386</x:v>
      </x:c>
      <x:c r="G187" s="60" t="n">
        <x:f>'调前玩家曲线'!AU147</x:f>
        <x:v>1095685</x:v>
      </x:c>
      <x:c r="H187" s="60" t="n">
        <x:f>'玩家战力_节点'!AU147</x:f>
        <x:v>734575</x:v>
      </x:c>
      <x:c r="I187" s="66" t="n">
        <x:f>'玩家战力_节点'!F147</x:f>
        <x:v>5</x:v>
      </x:c>
      <x:c r="J187" s="40" t="n">
        <x:f>'玩家战力_节点'!B147</x:f>
        <x:v>136</x:v>
      </x:c>
    </x:row>
    <x:row r="188" ht="25" customHeight="1">
      <x:c r="A188" s="40" t="str">
        <x:f>IF('调前玩家曲线'!C148=0,"序章",'调前玩家曲线'!C148)&amp;"-"&amp;'调前玩家曲线'!D148</x:f>
        <x:v>10-8</x:v>
      </x:c>
      <x:c r="B188" s="60" t="n">
        <x:f>IF(G188=0,0,ROUND(G188,2-INT(LOG10(ABS(G188)))))</x:f>
        <x:v>1110000</x:v>
      </x:c>
      <x:c r="C188" s="55" t="n">
        <x:f>IF(H188=0,0,ROUND(H188,2-INT(LOG10(ABS(H188)))))</x:f>
        <x:v>743000</x:v>
      </x:c>
      <x:c r="D188" s="62" t="n">
        <x:f>H188/G188-1</x:f>
        <x:v>-0.32780291376346027</x:v>
      </x:c>
      <x:c r="E188" s="62" t="n">
        <x:f>G188/G187-1</x:f>
        <x:v>0.008592798112596167</x:v>
      </x:c>
      <x:c r="F188" s="62" t="n">
        <x:f>H188/H187-1</x:f>
        <x:v>0.011258210529898172</x:v>
      </x:c>
      <x:c r="G188" s="60" t="n">
        <x:f>'调前玩家曲线'!AU148</x:f>
        <x:v>1105100</x:v>
      </x:c>
      <x:c r="H188" s="60" t="n">
        <x:f>'玩家战力_节点'!AU148</x:f>
        <x:v>742845</x:v>
      </x:c>
      <x:c r="I188" s="66" t="n">
        <x:f>'玩家战力_节点'!F148</x:f>
        <x:v>5</x:v>
      </x:c>
      <x:c r="J188" s="40" t="n">
        <x:f>'玩家战力_节点'!B148</x:f>
        <x:v>137</x:v>
      </x:c>
    </x:row>
    <x:row r="189" ht="25" customHeight="1">
      <x:c r="A189" s="40" t="str">
        <x:f>IF('调前玩家曲线'!C149=0,"序章",'调前玩家曲线'!C149)&amp;"-"&amp;'调前玩家曲线'!D149</x:f>
        <x:v>10-9</x:v>
      </x:c>
      <x:c r="B189" s="60" t="n">
        <x:f>IF(G189=0,0,ROUND(G189,2-INT(LOG10(ABS(G189)))))</x:f>
        <x:v>1110000</x:v>
      </x:c>
      <x:c r="C189" s="55" t="n">
        <x:f>IF(H189=0,0,ROUND(H189,2-INT(LOG10(ABS(H189)))))</x:f>
        <x:v>751000</x:v>
      </x:c>
      <x:c r="D189" s="62" t="n">
        <x:f>H189/G189-1</x:f>
        <x:v>-0.32593460040560673</x:v>
      </x:c>
      <x:c r="E189" s="62" t="n">
        <x:f>G189/G188-1</x:f>
        <x:v>0.008397430096823921</x:v>
      </x:c>
      <x:c r="F189" s="62" t="n">
        <x:f>H189/H188-1</x:f>
        <x:v>0.011200183079915771</x:v>
      </x:c>
      <x:c r="G189" s="60" t="n">
        <x:f>'调前玩家曲线'!AU149</x:f>
        <x:v>1114380</x:v>
      </x:c>
      <x:c r="H189" s="60" t="n">
        <x:f>'玩家战力_节点'!AU149</x:f>
        <x:v>751165</x:v>
      </x:c>
      <x:c r="I189" s="66" t="n">
        <x:f>'玩家战力_节点'!F149</x:f>
        <x:v>5</x:v>
      </x:c>
      <x:c r="J189" s="40" t="n">
        <x:f>'玩家战力_节点'!B149</x:f>
        <x:v>138</x:v>
      </x:c>
    </x:row>
    <x:row r="190" ht="25" customHeight="1">
      <x:c r="A190" s="40" t="str">
        <x:f>IF('调前玩家曲线'!C150=0,"序章",'调前玩家曲线'!C150)&amp;"-"&amp;'调前玩家曲线'!D150</x:f>
        <x:v>10-10</x:v>
      </x:c>
      <x:c r="B190" s="60" t="n">
        <x:f>IF(G190=0,0,ROUND(G190,2-INT(LOG10(ABS(G190)))))</x:f>
        <x:v>1120000</x:v>
      </x:c>
      <x:c r="C190" s="55" t="n">
        <x:f>IF(H190=0,0,ROUND(H190,2-INT(LOG10(ABS(H190)))))</x:f>
        <x:v>760000</x:v>
      </x:c>
      <x:c r="D190" s="62" t="n">
        <x:f>H190/G190-1</x:f>
        <x:v>-0.3239639703788094</x:v>
      </x:c>
      <x:c r="E190" s="62" t="n">
        <x:f>G190/G189-1</x:f>
        <x:v>0.008201870098171193</x:v>
      </x:c>
      <x:c r="F190" s="62" t="n">
        <x:f>H190/H189-1</x:f>
        <x:v>0.01114934801275358</x:v>
      </x:c>
      <x:c r="G190" s="60" t="n">
        <x:f>'调前玩家曲线'!AU150</x:f>
        <x:v>1123520</x:v>
      </x:c>
      <x:c r="H190" s="60" t="n">
        <x:f>'玩家战力_节点'!AU150</x:f>
        <x:v>759540</x:v>
      </x:c>
      <x:c r="I190" s="66" t="n">
        <x:f>'玩家战力_节点'!F150</x:f>
        <x:v>5</x:v>
      </x:c>
      <x:c r="J190" s="40" t="n">
        <x:f>'玩家战力_节点'!B150</x:f>
        <x:v>139</x:v>
      </x:c>
    </x:row>
    <x:row r="191" ht="25" customHeight="1">
      <x:c r="A191" s="40" t="str">
        <x:f>IF('调前玩家曲线'!C151=0,"序章",'调前玩家曲线'!C151)&amp;"-"&amp;'调前玩家曲线'!D151</x:f>
        <x:v>10-11</x:v>
      </x:c>
      <x:c r="B191" s="60" t="n">
        <x:f>IF(G191=0,0,ROUND(G191,2-INT(LOG10(ABS(G191)))))</x:f>
        <x:v>1130000</x:v>
      </x:c>
      <x:c r="C191" s="55" t="n">
        <x:f>IF(H191=0,0,ROUND(H191,2-INT(LOG10(ABS(H191)))))</x:f>
        <x:v>768000</x:v>
      </x:c>
      <x:c r="D191" s="62" t="n">
        <x:f>H191/G191-1</x:f>
        <x:v>-0.3218971850386748</x:v>
      </x:c>
      <x:c r="E191" s="62" t="n">
        <x:f>G191/G190-1</x:f>
        <x:v>0.008010538308174331</x:v>
      </x:c>
      <x:c r="F191" s="62" t="n">
        <x:f>H191/H190-1</x:f>
        <x:v>0.011092240040024182</x:v>
      </x:c>
      <x:c r="G191" s="60" t="n">
        <x:f>'调前玩家曲线'!AU151</x:f>
        <x:v>1132520</x:v>
      </x:c>
      <x:c r="H191" s="60" t="n">
        <x:f>'玩家战力_节点'!AU151</x:f>
        <x:v>767965</x:v>
      </x:c>
      <x:c r="I191" s="66" t="n">
        <x:f>'玩家战力_节点'!F151</x:f>
        <x:v>5</x:v>
      </x:c>
      <x:c r="J191" s="40" t="n">
        <x:f>'玩家战力_节点'!B151</x:f>
        <x:v>140</x:v>
      </x:c>
    </x:row>
    <x:row r="192" ht="25" customHeight="1">
      <x:c r="A192" s="40" t="str">
        <x:f>IF('调前玩家曲线'!C152=0,"序章",'调前玩家曲线'!C152)&amp;"-"&amp;'调前玩家曲线'!D152</x:f>
        <x:v>10-12</x:v>
      </x:c>
      <x:c r="B192" s="60" t="n">
        <x:f>IF(G192=0,0,ROUND(G192,2-INT(LOG10(ABS(G192)))))</x:f>
        <x:v>1140000</x:v>
      </x:c>
      <x:c r="C192" s="55" t="n">
        <x:f>IF(H192=0,0,ROUND(H192,2-INT(LOG10(ABS(H192)))))</x:f>
        <x:v>776000</x:v>
      </x:c>
      <x:c r="D192" s="62" t="n">
        <x:f>H192/G192-1</x:f>
        <x:v>-0.3197343578196664</x:v>
      </x:c>
      <x:c r="E192" s="62" t="n">
        <x:f>G192/G191-1</x:f>
        <x:v>0.007827676332426758</x:v>
      </x:c>
      <x:c r="F192" s="62" t="n">
        <x:f>H192/H191-1</x:f>
        <x:v>0.011042169890554954</x:v>
      </x:c>
      <x:c r="G192" s="60" t="n">
        <x:f>'调前玩家曲线'!AU152</x:f>
        <x:v>1141385</x:v>
      </x:c>
      <x:c r="H192" s="60" t="n">
        <x:f>'玩家战力_节点'!AU152</x:f>
        <x:v>776445</x:v>
      </x:c>
      <x:c r="I192" s="66" t="n">
        <x:f>'玩家战力_节点'!F152</x:f>
        <x:v>5</x:v>
      </x:c>
      <x:c r="J192" s="40" t="n">
        <x:f>'玩家战力_节点'!B152</x:f>
        <x:v>141</x:v>
      </x:c>
    </x:row>
    <x:row r="193" ht="25" customHeight="1">
      <x:c r="A193" s="40" t="str">
        <x:f>IF('调前玩家曲线'!C153=0,"序章",'调前玩家曲线'!C153)&amp;"-"&amp;'调前玩家曲线'!D153</x:f>
        <x:v>10-13</x:v>
      </x:c>
      <x:c r="B193" s="60" t="n">
        <x:f>IF(G193=0,0,ROUND(G193,2-INT(LOG10(ABS(G193)))))</x:f>
        <x:v>1150000</x:v>
      </x:c>
      <x:c r="C193" s="55" t="n">
        <x:f>IF(H193=0,0,ROUND(H193,2-INT(LOG10(ABS(H193)))))</x:f>
        <x:v>785000</x:v>
      </x:c>
      <x:c r="D193" s="62" t="n">
        <x:f>H193/G193-1</x:f>
        <x:v>-0.31748129534872604</x:v>
      </x:c>
      <x:c r="E193" s="62" t="n">
        <x:f>G193/G192-1</x:f>
        <x:v>0.007648602355909695</x:v>
      </x:c>
      <x:c r="F193" s="62" t="n">
        <x:f>H193/H192-1</x:f>
        <x:v>0.01098596809819119</x:v>
      </x:c>
      <x:c r="G193" s="60" t="n">
        <x:f>'调前玩家曲线'!AU153</x:f>
        <x:v>1150115</x:v>
      </x:c>
      <x:c r="H193" s="60" t="n">
        <x:f>'玩家战力_节点'!AU153</x:f>
        <x:v>784975</x:v>
      </x:c>
      <x:c r="I193" s="66" t="n">
        <x:f>'玩家战力_节点'!F153</x:f>
        <x:v>5</x:v>
      </x:c>
      <x:c r="J193" s="40" t="n">
        <x:f>'玩家战力_节点'!B153</x:f>
        <x:v>142</x:v>
      </x:c>
    </x:row>
    <x:row r="194" ht="25" customHeight="1">
      <x:c r="A194" s="40" t="str">
        <x:f>IF('调前玩家曲线'!C154=0,"序章",'调前玩家曲线'!C154)&amp;"-"&amp;'调前玩家曲线'!D154</x:f>
        <x:v>10-14</x:v>
      </x:c>
      <x:c r="B194" s="60" t="n">
        <x:f>IF(G194=0,0,ROUND(G194,2-INT(LOG10(ABS(G194)))))</x:f>
        <x:v>1160000</x:v>
      </x:c>
      <x:c r="C194" s="55" t="n">
        <x:f>IF(H194=0,0,ROUND(H194,2-INT(LOG10(ABS(H194)))))</x:f>
        <x:v>794000</x:v>
      </x:c>
      <x:c r="D194" s="62" t="n">
        <x:f>H194/G194-1</x:f>
        <x:v>-0.3151349345392721</x:v>
      </x:c>
      <x:c r="E194" s="62" t="n">
        <x:f>G194/G193-1</x:f>
        <x:v>0.007473165726905595</x:v>
      </x:c>
      <x:c r="F194" s="62" t="n">
        <x:f>H194/H193-1</x:f>
        <x:v>0.010936654033568027</x:v>
      </x:c>
      <x:c r="G194" s="60" t="n">
        <x:f>'调前玩家曲线'!AU154</x:f>
        <x:v>1158710</x:v>
      </x:c>
      <x:c r="H194" s="60" t="n">
        <x:f>'玩家战力_节点'!AU154</x:f>
        <x:v>793560</x:v>
      </x:c>
      <x:c r="I194" s="66" t="n">
        <x:f>'玩家战力_节点'!F154</x:f>
        <x:v>5</x:v>
      </x:c>
      <x:c r="J194" s="40" t="n">
        <x:f>'玩家战力_节点'!B154</x:f>
        <x:v>143</x:v>
      </x:c>
    </x:row>
    <x:row r="195" ht="25" customHeight="1">
      <x:c r="A195" s="40" t="str">
        <x:f>IF('调前玩家曲线'!C155=0,"序章",'调前玩家曲线'!C155)&amp;"-"&amp;'调前玩家曲线'!D155</x:f>
        <x:v>10-15</x:v>
      </x:c>
      <x:c r="B195" s="60" t="n">
        <x:f>IF(G195=0,0,ROUND(G195,2-INT(LOG10(ABS(G195)))))</x:f>
        <x:v>1170000</x:v>
      </x:c>
      <x:c r="C195" s="55" t="n">
        <x:f>IF(H195=0,0,ROUND(H195,2-INT(LOG10(ABS(H195)))))</x:f>
        <x:v>802000</x:v>
      </x:c>
      <x:c r="D195" s="62" t="n">
        <x:f>H195/G195-1</x:f>
        <x:v>-0.31269652235749723</x:v>
      </x:c>
      <x:c r="E195" s="62" t="n">
        <x:f>G195/G194-1</x:f>
        <x:v>0.007301222911686223</x:v>
      </x:c>
      <x:c r="F195" s="62" t="n">
        <x:f>H195/H194-1</x:f>
        <x:v>0.010887645546650448</x:v>
      </x:c>
      <x:c r="G195" s="60" t="n">
        <x:f>'调前玩家曲线'!AU155</x:f>
        <x:v>1167170</x:v>
      </x:c>
      <x:c r="H195" s="60" t="n">
        <x:f>'玩家战力_节点'!AU155</x:f>
        <x:v>802200</x:v>
      </x:c>
      <x:c r="I195" s="66" t="n">
        <x:f>'玩家战力_节点'!F155</x:f>
        <x:v>5</x:v>
      </x:c>
      <x:c r="J195" s="40" t="n">
        <x:f>'玩家战力_节点'!B155</x:f>
        <x:v>144</x:v>
      </x:c>
    </x:row>
    <x:row r="196" ht="25" customHeight="1">
      <x:c r="A196" s="40" t="str">
        <x:f>IF('调前玩家曲线'!C156=0,"序章",'调前玩家曲线'!C156)&amp;"-"&amp;'调前玩家曲线'!D156</x:f>
        <x:v>11-1</x:v>
      </x:c>
      <x:c r="B196" s="60" t="n">
        <x:f>IF(G196=0,0,ROUND(G196,2-INT(LOG10(ABS(G196)))))</x:f>
        <x:v>1180000</x:v>
      </x:c>
      <x:c r="C196" s="55" t="n">
        <x:f>IF(H196=0,0,ROUND(H196,2-INT(LOG10(ABS(H196)))))</x:f>
        <x:v>810000</x:v>
      </x:c>
      <x:c r="D196" s="62" t="n">
        <x:f>H196/G196-1</x:f>
        <x:v>-0.3108153516999077</x:v>
      </x:c>
      <x:c r="E196" s="62" t="n">
        <x:f>G196/G195-1</x:f>
        <x:v>0.0071412047945029755</x:v>
      </x:c>
      <x:c r="F196" s="62" t="n">
        <x:f>H196/H195-1</x:f>
        <x:v>0.009897781101969594</x:v>
      </x:c>
      <x:c r="G196" s="60" t="n">
        <x:f>'调前玩家曲线'!AU156</x:f>
        <x:v>1175505</x:v>
      </x:c>
      <x:c r="H196" s="60" t="n">
        <x:f>'玩家战力_节点'!AU156</x:f>
        <x:v>810140</x:v>
      </x:c>
      <x:c r="I196" s="66" t="n">
        <x:f>'玩家战力_节点'!F156</x:f>
        <x:v>5</x:v>
      </x:c>
      <x:c r="J196" s="40" t="n">
        <x:f>'玩家战力_节点'!B156</x:f>
        <x:v>145</x:v>
      </x:c>
    </x:row>
    <x:row r="197" ht="25" customHeight="1">
      <x:c r="A197" s="40" t="str">
        <x:f>IF('调前玩家曲线'!C157=0,"序章",'调前玩家曲线'!C157)&amp;"-"&amp;'调前玩家曲线'!D157</x:f>
        <x:v>11-2</x:v>
      </x:c>
      <x:c r="B197" s="60" t="n">
        <x:f>IF(G197=0,0,ROUND(G197,2-INT(LOG10(ABS(G197)))))</x:f>
        <x:v>1180000</x:v>
      </x:c>
      <x:c r="C197" s="55" t="n">
        <x:f>IF(H197=0,0,ROUND(H197,2-INT(LOG10(ABS(H197)))))</x:f>
        <x:v>817000</x:v>
      </x:c>
      <x:c r="D197" s="62" t="n">
        <x:f>H197/G197-1</x:f>
        <x:v>-0.30938029323184413</x:v>
      </x:c>
      <x:c r="E197" s="62" t="n">
        <x:f>G197/G196-1</x:f>
        <x:v>0.006975725326561877</x:v>
      </x:c>
      <x:c r="F197" s="62" t="n">
        <x:f>H197/H196-1</x:f>
        <x:v>0.009072505986619683</x:v>
      </x:c>
      <x:c r="G197" s="60" t="n">
        <x:f>'调前玩家曲线'!AU157</x:f>
        <x:v>1183705</x:v>
      </x:c>
      <x:c r="H197" s="60" t="n">
        <x:f>'玩家战力_节点'!AU157</x:f>
        <x:v>817490</x:v>
      </x:c>
      <x:c r="I197" s="66" t="n">
        <x:f>'玩家战力_节点'!F157</x:f>
        <x:v>5</x:v>
      </x:c>
      <x:c r="J197" s="40" t="n">
        <x:f>'玩家战力_节点'!B157</x:f>
        <x:v>146</x:v>
      </x:c>
    </x:row>
    <x:row r="198" ht="25" customHeight="1">
      <x:c r="A198" s="40" t="str">
        <x:f>IF('调前玩家曲线'!C158=0,"序章",'调前玩家曲线'!C158)&amp;"-"&amp;'调前玩家曲线'!D158</x:f>
        <x:v>11-3</x:v>
      </x:c>
      <x:c r="B198" s="60" t="n">
        <x:f>IF(G198=0,0,ROUND(G198,2-INT(LOG10(ABS(G198)))))</x:f>
        <x:v>1190000</x:v>
      </x:c>
      <x:c r="C198" s="55" t="n">
        <x:f>IF(H198=0,0,ROUND(H198,2-INT(LOG10(ABS(H198)))))</x:f>
        <x:v>825000</x:v>
      </x:c>
      <x:c r="D198" s="62" t="n">
        <x:f>H198/G198-1</x:f>
        <x:v>-0.30785883300609174</x:v>
      </x:c>
      <x:c r="E198" s="62" t="n">
        <x:f>G198/G197-1</x:f>
        <x:v>0.006821801039955</x:v>
      </x:c>
      <x:c r="F198" s="62" t="n">
        <x:f>H198/H197-1</x:f>
        <x:v>0.009039865931081748</x:v>
      </x:c>
      <x:c r="G198" s="60" t="n">
        <x:f>'调前玩家曲线'!AU158</x:f>
        <x:v>1191780</x:v>
      </x:c>
      <x:c r="H198" s="60" t="n">
        <x:f>'玩家战力_节点'!AU158</x:f>
        <x:v>824880</x:v>
      </x:c>
      <x:c r="I198" s="66" t="n">
        <x:f>'玩家战力_节点'!F158</x:f>
        <x:v>5</x:v>
      </x:c>
      <x:c r="J198" s="40" t="n">
        <x:f>'玩家战力_节点'!B158</x:f>
        <x:v>147</x:v>
      </x:c>
    </x:row>
    <x:row r="199" ht="25" customHeight="1">
      <x:c r="A199" s="40" t="str">
        <x:f>IF('调前玩家曲线'!C159=0,"序章",'调前玩家曲线'!C159)&amp;"-"&amp;'调前玩家曲线'!D159</x:f>
        <x:v>11-4</x:v>
      </x:c>
      <x:c r="B199" s="60" t="n">
        <x:f>IF(G199=0,0,ROUND(G199,2-INT(LOG10(ABS(G199)))))</x:f>
        <x:v>1200000</x:v>
      </x:c>
      <x:c r="C199" s="55" t="n">
        <x:f>IF(H199=0,0,ROUND(H199,2-INT(LOG10(ABS(H199)))))</x:f>
        <x:v>832000</x:v>
      </x:c>
      <x:c r="D199" s="62" t="n">
        <x:f>H199/G199-1</x:f>
        <x:v>-0.30625351643084875</x:v>
      </x:c>
      <x:c r="E199" s="62" t="n">
        <x:f>G199/G198-1</x:f>
        <x:v>0.006666498850459002</x:v>
      </x:c>
      <x:c r="F199" s="62" t="n">
        <x:f>H199/H198-1</x:f>
        <x:v>0.009001309281350123</x:v>
      </x:c>
      <x:c r="G199" s="60" t="n">
        <x:f>'调前玩家曲线'!AU159</x:f>
        <x:v>1199725</x:v>
      </x:c>
      <x:c r="H199" s="60" t="n">
        <x:f>'玩家战力_节点'!AU159</x:f>
        <x:v>832305</x:v>
      </x:c>
      <x:c r="I199" s="66" t="n">
        <x:f>'玩家战力_节点'!F159</x:f>
        <x:v>5</x:v>
      </x:c>
      <x:c r="J199" s="40" t="n">
        <x:f>'玩家战力_节点'!B159</x:f>
        <x:v>148</x:v>
      </x:c>
    </x:row>
    <x:row r="200" ht="25" customHeight="1">
      <x:c r="A200" s="40" t="str">
        <x:f>IF('调前玩家曲线'!C160=0,"序章",'调前玩家曲线'!C160)&amp;"-"&amp;'调前玩家曲线'!D160</x:f>
        <x:v>11-5</x:v>
      </x:c>
      <x:c r="B200" s="60" t="n">
        <x:f>IF(G200=0,0,ROUND(G200,2-INT(LOG10(ABS(G200)))))</x:f>
        <x:v>1210000</x:v>
      </x:c>
      <x:c r="C200" s="55" t="n">
        <x:f>IF(H200=0,0,ROUND(H200,2-INT(LOG10(ABS(H200)))))</x:f>
        <x:v>840000</x:v>
      </x:c>
      <x:c r="D200" s="62" t="n">
        <x:f>H200/G200-1</x:f>
        <x:v>-0.30456421913883125</x:v>
      </x:c>
      <x:c r="E200" s="62" t="n">
        <x:f>G200/G199-1</x:f>
        <x:v>0.006518160411761009</x:v>
      </x:c>
      <x:c r="F200" s="62" t="n">
        <x:f>H200/H199-1</x:f>
        <x:v>0.00896906782970186</x:v>
      </x:c>
      <x:c r="G200" s="60" t="n">
        <x:f>'调前玩家曲线'!AU160</x:f>
        <x:v>1207545</x:v>
      </x:c>
      <x:c r="H200" s="60" t="n">
        <x:f>'玩家战力_节点'!AU160</x:f>
        <x:v>839770</x:v>
      </x:c>
      <x:c r="I200" s="66" t="n">
        <x:f>'玩家战力_节点'!F160</x:f>
        <x:v>5</x:v>
      </x:c>
      <x:c r="J200" s="40" t="n">
        <x:f>'玩家战力_节点'!B160</x:f>
        <x:v>149</x:v>
      </x:c>
    </x:row>
    <x:row r="201" ht="25" customHeight="1">
      <x:c r="A201" s="40" t="str">
        <x:f>IF('调前玩家曲线'!C161=0,"序章",'调前玩家曲线'!C161)&amp;"-"&amp;'调前玩家曲线'!D161</x:f>
        <x:v>11-6</x:v>
      </x:c>
      <x:c r="B201" s="60" t="n">
        <x:f>IF(G201=0,0,ROUND(G201,2-INT(LOG10(ABS(G201)))))</x:f>
        <x:v>1220000</x:v>
      </x:c>
      <x:c r="C201" s="55" t="n">
        <x:f>IF(H201=0,0,ROUND(H201,2-INT(LOG10(ABS(H201)))))</x:f>
        <x:v>847000</x:v>
      </x:c>
      <x:c r="D201" s="62" t="n">
        <x:f>H201/G201-1</x:f>
        <x:v>-0.3027920410783055</x:v>
      </x:c>
      <x:c r="E201" s="62" t="n">
        <x:f>G201/G200-1</x:f>
        <x:v>0.00637243332546622</x:v>
      </x:c>
      <x:c r="F201" s="62" t="n">
        <x:f>H201/H200-1</x:f>
        <x:v>0.008936970837253089</x:v>
      </x:c>
      <x:c r="G201" s="60" t="n">
        <x:f>'调前玩家曲线'!AU161</x:f>
        <x:v>1215240</x:v>
      </x:c>
      <x:c r="H201" s="60" t="n">
        <x:f>'玩家战力_节点'!AU161</x:f>
        <x:v>847275</x:v>
      </x:c>
      <x:c r="I201" s="66" t="n">
        <x:f>'玩家战力_节点'!F161</x:f>
        <x:v>5</x:v>
      </x:c>
      <x:c r="J201" s="40" t="n">
        <x:f>'玩家战力_节点'!B161</x:f>
        <x:v>150</x:v>
      </x:c>
    </x:row>
    <x:row r="202" ht="25" customHeight="1">
      <x:c r="A202" s="40" t="str">
        <x:f>IF('调前玩家曲线'!C162=0,"序章",'调前玩家曲线'!C162)&amp;"-"&amp;'调前玩家曲线'!D162</x:f>
        <x:v>11-7</x:v>
      </x:c>
      <x:c r="B202" s="60" t="n">
        <x:f>IF(G202=0,0,ROUND(G202,2-INT(LOG10(ABS(G202)))))</x:f>
        <x:v>1220000</x:v>
      </x:c>
      <x:c r="C202" s="55" t="n">
        <x:f>IF(H202=0,0,ROUND(H202,2-INT(LOG10(ABS(H202)))))</x:f>
        <x:v>855000</x:v>
      </x:c>
      <x:c r="D202" s="62" t="n">
        <x:f>H202/G202-1</x:f>
        <x:v>-0.300944950789776</x:v>
      </x:c>
      <x:c r="E202" s="62" t="n">
        <x:f>G202/G201-1</x:f>
        <x:v>0.006233336624864139</x:v>
      </x:c>
      <x:c r="F202" s="62" t="n">
        <x:f>H202/H201-1</x:f>
        <x:v>0.008899117759877173</x:v>
      </x:c>
      <x:c r="G202" s="60" t="n">
        <x:f>'调前玩家曲线'!AU162</x:f>
        <x:v>1222815</x:v>
      </x:c>
      <x:c r="H202" s="60" t="n">
        <x:f>'玩家战力_节点'!AU162</x:f>
        <x:v>854815</x:v>
      </x:c>
      <x:c r="I202" s="66" t="n">
        <x:f>'玩家战力_节点'!F162</x:f>
        <x:v>5</x:v>
      </x:c>
      <x:c r="J202" s="40" t="n">
        <x:f>'玩家战力_节点'!B162</x:f>
        <x:v>151</x:v>
      </x:c>
    </x:row>
    <x:row r="203" ht="25" customHeight="1">
      <x:c r="A203" s="40" t="str">
        <x:f>IF('调前玩家曲线'!C163=0,"序章",'调前玩家曲线'!C163)&amp;"-"&amp;'调前玩家曲线'!D163</x:f>
        <x:v>11-8</x:v>
      </x:c>
      <x:c r="B203" s="60" t="n">
        <x:f>IF(G203=0,0,ROUND(G203,2-INT(LOG10(ABS(G203)))))</x:f>
        <x:v>1230000</x:v>
      </x:c>
      <x:c r="C203" s="55" t="n">
        <x:f>IF(H203=0,0,ROUND(H203,2-INT(LOG10(ABS(H203)))))</x:f>
        <x:v>862000</x:v>
      </x:c>
      <x:c r="D203" s="62" t="n">
        <x:f>H203/G203-1</x:f>
        <x:v>-0.2990128143123636</x:v>
      </x:c>
      <x:c r="E203" s="62" t="n">
        <x:f>G203/G202-1</x:f>
        <x:v>0.00609249968310821</x:v>
      </x:c>
      <x:c r="F203" s="62" t="n">
        <x:f>H203/H202-1</x:f>
        <x:v>0.008873264975462591</x:v>
      </x:c>
      <x:c r="G203" s="60" t="n">
        <x:f>'调前玩家曲线'!AU163</x:f>
        <x:v>1230265</x:v>
      </x:c>
      <x:c r="H203" s="60" t="n">
        <x:f>'玩家战力_节点'!AU163</x:f>
        <x:v>862400</x:v>
      </x:c>
      <x:c r="I203" s="66" t="n">
        <x:f>'玩家战力_节点'!F163</x:f>
        <x:v>5</x:v>
      </x:c>
      <x:c r="J203" s="40" t="n">
        <x:f>'玩家战力_节点'!B163</x:f>
        <x:v>152</x:v>
      </x:c>
    </x:row>
    <x:row r="204" ht="25" customHeight="1">
      <x:c r="A204" s="40" t="str">
        <x:f>IF('调前玩家曲线'!C164=0,"序章",'调前玩家曲线'!C164)&amp;"-"&amp;'调前玩家曲线'!D164</x:f>
        <x:v>11-9</x:v>
      </x:c>
      <x:c r="B204" s="60" t="n">
        <x:f>IF(G204=0,0,ROUND(G204,2-INT(LOG10(ABS(G204)))))</x:f>
        <x:v>1240000</x:v>
      </x:c>
      <x:c r="C204" s="55" t="n">
        <x:f>IF(H204=0,0,ROUND(H204,2-INT(LOG10(ABS(H204)))))</x:f>
        <x:v>870000</x:v>
      </x:c>
      <x:c r="D204" s="62" t="n">
        <x:f>H204/G204-1</x:f>
        <x:v>-0.2970115425482488</x:v>
      </x:c>
      <x:c r="E204" s="62" t="n">
        <x:f>G204/G203-1</x:f>
        <x:v>0.0059580659451419216</x:v>
      </x:c>
      <x:c r="F204" s="62" t="n">
        <x:f>H204/H203-1</x:f>
        <x:v>0.008830009276437956</x:v>
      </x:c>
      <x:c r="G204" s="60" t="n">
        <x:f>'调前玩家曲线'!AU164</x:f>
        <x:v>1237595</x:v>
      </x:c>
      <x:c r="H204" s="60" t="n">
        <x:f>'玩家战力_节点'!AU164</x:f>
        <x:v>870015</x:v>
      </x:c>
      <x:c r="I204" s="66" t="n">
        <x:f>'玩家战力_节点'!F164</x:f>
        <x:v>5</x:v>
      </x:c>
      <x:c r="J204" s="40" t="n">
        <x:f>'玩家战力_节点'!B164</x:f>
        <x:v>153</x:v>
      </x:c>
    </x:row>
    <x:row r="205" ht="25" customHeight="1">
      <x:c r="A205" s="40" t="str">
        <x:f>IF('调前玩家曲线'!C165=0,"序章",'调前玩家曲线'!C165)&amp;"-"&amp;'调前玩家曲线'!D165</x:f>
        <x:v>11-10</x:v>
      </x:c>
      <x:c r="B205" s="60" t="n">
        <x:f>IF(G205=0,0,ROUND(G205,2-INT(LOG10(ABS(G205)))))</x:f>
        <x:v>1240000</x:v>
      </x:c>
      <x:c r="C205" s="55" t="n">
        <x:f>IF(H205=0,0,ROUND(H205,2-INT(LOG10(ABS(H205)))))</x:f>
        <x:v>878000</x:v>
      </x:c>
      <x:c r="D205" s="62" t="n">
        <x:f>H205/G205-1</x:f>
        <x:v>-0.29492972794935757</x:v>
      </x:c>
      <x:c r="E205" s="62" t="n">
        <x:f>G205/G204-1</x:f>
        <x:v>0.005825815391949707</x:v>
      </x:c>
      <x:c r="F205" s="62" t="n">
        <x:f>H205/H204-1</x:f>
        <x:v>0.008804445900358004</x:v>
      </x:c>
      <x:c r="G205" s="60" t="n">
        <x:f>'调前玩家曲线'!AU165</x:f>
        <x:v>1244805</x:v>
      </x:c>
      <x:c r="H205" s="60" t="n">
        <x:f>'玩家战力_节点'!AU165</x:f>
        <x:v>877675</x:v>
      </x:c>
      <x:c r="I205" s="66" t="n">
        <x:f>'玩家战力_节点'!F165</x:f>
        <x:v>5</x:v>
      </x:c>
      <x:c r="J205" s="40" t="n">
        <x:f>'玩家战力_节点'!B165</x:f>
        <x:v>154</x:v>
      </x:c>
    </x:row>
    <x:row r="206" ht="25" customHeight="1">
      <x:c r="A206" s="40" t="str">
        <x:f>IF('调前玩家曲线'!C166=0,"序章",'调前玩家曲线'!C166)&amp;"-"&amp;'调前玩家曲线'!D166</x:f>
        <x:v>11-11</x:v>
      </x:c>
      <x:c r="B206" s="60" t="n">
        <x:f>IF(G206=0,0,ROUND(G206,2-INT(LOG10(ABS(G206)))))</x:f>
        <x:v>1250000</x:v>
      </x:c>
      <x:c r="C206" s="55" t="n">
        <x:f>IF(H206=0,0,ROUND(H206,2-INT(LOG10(ABS(H206)))))</x:f>
        <x:v>885000</x:v>
      </x:c>
      <x:c r="D206" s="62" t="n">
        <x:f>H206/G206-1</x:f>
        <x:v>-0.292778975956546</x:v>
      </x:c>
      <x:c r="E206" s="62" t="n">
        <x:f>G206/G205-1</x:f>
        <x:v>0.005699687902924522</x:v>
      </x:c>
      <x:c r="F206" s="62" t="n">
        <x:f>H206/H205-1</x:f>
        <x:v>0.008767482268493554</x:v>
      </x:c>
      <x:c r="G206" s="60" t="n">
        <x:f>'调前玩家曲线'!AU166</x:f>
        <x:v>1251900</x:v>
      </x:c>
      <x:c r="H206" s="60" t="n">
        <x:f>'玩家战力_节点'!AU166</x:f>
        <x:v>885370</x:v>
      </x:c>
      <x:c r="I206" s="66" t="n">
        <x:f>'玩家战力_节点'!F166</x:f>
        <x:v>5</x:v>
      </x:c>
      <x:c r="J206" s="40" t="n">
        <x:f>'玩家战力_节点'!B166</x:f>
        <x:v>155</x:v>
      </x:c>
    </x:row>
    <x:row r="207" ht="25" customHeight="1">
      <x:c r="A207" s="40" t="str">
        <x:f>IF('调前玩家曲线'!C167=0,"序章",'调前玩家曲线'!C167)&amp;"-"&amp;'调前玩家曲线'!D167</x:f>
        <x:v>11-12</x:v>
      </x:c>
      <x:c r="B207" s="60" t="n">
        <x:f>IF(G207=0,0,ROUND(G207,2-INT(LOG10(ABS(G207)))))</x:f>
        <x:v>1260000</x:v>
      </x:c>
      <x:c r="C207" s="55" t="n">
        <x:f>IF(H207=0,0,ROUND(H207,2-INT(LOG10(ABS(H207)))))</x:f>
        <x:v>893000</x:v>
      </x:c>
      <x:c r="D207" s="62" t="n">
        <x:f>H207/G207-1</x:f>
        <x:v>-0.290551919166243</x:v>
      </x:c>
      <x:c r="E207" s="62" t="n">
        <x:f>G207/G206-1</x:f>
        <x:v>0.005575525201693354</x:v>
      </x:c>
      <x:c r="F207" s="62" t="n">
        <x:f>H207/H206-1</x:f>
        <x:v>0.008742107819329714</x:v>
      </x:c>
      <x:c r="G207" s="60" t="n">
        <x:f>'调前玩家曲线'!AU167</x:f>
        <x:v>1258880</x:v>
      </x:c>
      <x:c r="H207" s="60" t="n">
        <x:f>'玩家战力_节点'!AU167</x:f>
        <x:v>893110</x:v>
      </x:c>
      <x:c r="I207" s="66" t="n">
        <x:f>'玩家战力_节点'!F167</x:f>
        <x:v>5</x:v>
      </x:c>
      <x:c r="J207" s="40" t="n">
        <x:f>'玩家战力_节点'!B167</x:f>
        <x:v>156</x:v>
      </x:c>
    </x:row>
    <x:row r="208" ht="25" customHeight="1">
      <x:c r="A208" s="40" t="str">
        <x:f>IF('调前玩家曲线'!C168=0,"序章",'调前玩家曲线'!C168)&amp;"-"&amp;'调前玩家曲线'!D168</x:f>
        <x:v>11-13</x:v>
      </x:c>
      <x:c r="B208" s="60" t="n">
        <x:f>IF(G208=0,0,ROUND(G208,2-INT(LOG10(ABS(G208)))))</x:f>
        <x:v>1270000</x:v>
      </x:c>
      <x:c r="C208" s="55" t="n">
        <x:f>IF(H208=0,0,ROUND(H208,2-INT(LOG10(ABS(H208)))))</x:f>
        <x:v>901000</x:v>
      </x:c>
      <x:c r="D208" s="62" t="n">
        <x:f>H208/G208-1</x:f>
        <x:v>-0.2882543018313398</x:v>
      </x:c>
      <x:c r="E208" s="62" t="n">
        <x:f>G208/G207-1</x:f>
        <x:v>0.005449288256227813</x:v>
      </x:c>
      <x:c r="F208" s="62" t="n">
        <x:f>H208/H207-1</x:f>
        <x:v>0.008705534592603481</x:v>
      </x:c>
      <x:c r="G208" s="60" t="n">
        <x:f>'调前玩家曲线'!AU168</x:f>
        <x:v>1265740</x:v>
      </x:c>
      <x:c r="H208" s="60" t="n">
        <x:f>'玩家战力_节点'!AU168</x:f>
        <x:v>900885</x:v>
      </x:c>
      <x:c r="I208" s="66" t="n">
        <x:f>'玩家战力_节点'!F168</x:f>
        <x:v>5</x:v>
      </x:c>
      <x:c r="J208" s="40" t="n">
        <x:f>'玩家战力_节点'!B168</x:f>
        <x:v>157</x:v>
      </x:c>
    </x:row>
    <x:row r="209" ht="25" customHeight="1">
      <x:c r="A209" s="40" t="str">
        <x:f>IF('调前玩家曲线'!C169=0,"序章",'调前玩家曲线'!C169)&amp;"-"&amp;'调前玩家曲线'!D169</x:f>
        <x:v>11-14</x:v>
      </x:c>
      <x:c r="B209" s="60" t="n">
        <x:f>IF(G209=0,0,ROUND(G209,2-INT(LOG10(ABS(G209)))))</x:f>
        <x:v>1270000</x:v>
      </x:c>
      <x:c r="C209" s="55" t="n">
        <x:f>IF(H209=0,0,ROUND(H209,2-INT(LOG10(ABS(H209)))))</x:f>
        <x:v>909000</x:v>
      </x:c>
      <x:c r="D209" s="62" t="n">
        <x:f>H209/G209-1</x:f>
        <x:v>-0.2858922270509002</x:v>
      </x:c>
      <x:c r="E209" s="62" t="n">
        <x:f>G209/G208-1</x:f>
        <x:v>0.005332848768309528</x:v>
      </x:c>
      <x:c r="F209" s="62" t="n">
        <x:f>H209/H208-1</x:f>
        <x:v>0.008669253012315581</x:v>
      </x:c>
      <x:c r="G209" s="60" t="n">
        <x:f>'调前玩家曲线'!AU169</x:f>
        <x:v>1272490</x:v>
      </x:c>
      <x:c r="H209" s="60" t="n">
        <x:f>'玩家战力_节点'!AU169</x:f>
        <x:v>908695</x:v>
      </x:c>
      <x:c r="I209" s="66" t="n">
        <x:f>'玩家战力_节点'!F169</x:f>
        <x:v>5</x:v>
      </x:c>
      <x:c r="J209" s="40" t="n">
        <x:f>'玩家战力_节点'!B169</x:f>
        <x:v>158</x:v>
      </x:c>
    </x:row>
    <x:row r="210" ht="25" customHeight="1">
      <x:c r="A210" s="40" t="str">
        <x:f>IF('调前玩家曲线'!C170=0,"序章",'调前玩家曲线'!C170)&amp;"-"&amp;'调前玩家曲线'!D170</x:f>
        <x:v>11-15</x:v>
      </x:c>
      <x:c r="B210" s="60" t="n">
        <x:f>IF(G210=0,0,ROUND(G210,2-INT(LOG10(ABS(G210)))))</x:f>
        <x:v>1280000</x:v>
      </x:c>
      <x:c r="C210" s="55" t="n">
        <x:f>IF(H210=0,0,ROUND(H210,2-INT(LOG10(ABS(H210)))))</x:f>
        <x:v>917000</x:v>
      </x:c>
      <x:c r="D210" s="62" t="n">
        <x:f>H210/G210-1</x:f>
        <x:v>-0.2834582880551625</x:v>
      </x:c>
      <x:c r="E210" s="62" t="n">
        <x:f>G210/G209-1</x:f>
        <x:v>0.005218115662991352</x:v>
      </x:c>
      <x:c r="F210" s="62" t="n">
        <x:f>H210/H209-1</x:f>
        <x:v>0.008644264577223337</x:v>
      </x:c>
      <x:c r="G210" s="60" t="n">
        <x:f>'调前玩家曲线'!AU170</x:f>
        <x:v>1279130</x:v>
      </x:c>
      <x:c r="H210" s="60" t="n">
        <x:f>'玩家战力_节点'!AU170</x:f>
        <x:v>916550</x:v>
      </x:c>
      <x:c r="I210" s="66" t="n">
        <x:f>'玩家战力_节点'!F170</x:f>
        <x:v>5</x:v>
      </x:c>
      <x:c r="J210" s="40" t="n">
        <x:f>'玩家战力_节点'!B170</x:f>
        <x:v>159</x:v>
      </x:c>
    </x:row>
    <x:row r="211" ht="25" customHeight="1">
      <x:c r="A211" s="40" t="str">
        <x:f>IF('调前玩家曲线'!C171=0,"序章",'调前玩家曲线'!C171)&amp;"-"&amp;'调前玩家曲线'!D171</x:f>
        <x:v>12-1</x:v>
      </x:c>
      <x:c r="B211" s="60" t="n">
        <x:f>IF(G211=0,0,ROUND(G211,2-INT(LOG10(ABS(G211)))))</x:f>
        <x:v>1290000</x:v>
      </x:c>
      <x:c r="C211" s="55" t="n">
        <x:f>IF(H211=0,0,ROUND(H211,2-INT(LOG10(ABS(H211)))))</x:f>
        <x:v>924000</x:v>
      </x:c>
      <x:c r="D211" s="62" t="n">
        <x:f>H211/G211-1</x:f>
        <x:v>-0.28143910520666426</x:v>
      </x:c>
      <x:c r="E211" s="62" t="n">
        <x:f>G211/G210-1</x:f>
        <x:v>0.005105032326659487</x:v>
      </x:c>
      <x:c r="F211" s="62" t="n">
        <x:f>H211/H210-1</x:f>
        <x:v>0.007937373847580531</x:v>
      </x:c>
      <x:c r="G211" s="60" t="n">
        <x:f>'调前玩家曲线'!AU171</x:f>
        <x:v>1285660</x:v>
      </x:c>
      <x:c r="H211" s="60" t="n">
        <x:f>'玩家战力_节点'!AU171</x:f>
        <x:v>923825</x:v>
      </x:c>
      <x:c r="I211" s="66" t="n">
        <x:f>'玩家战力_节点'!F171</x:f>
        <x:v>5</x:v>
      </x:c>
      <x:c r="J211" s="40" t="n">
        <x:f>'玩家战力_节点'!B171</x:f>
        <x:v>160</x:v>
      </x:c>
    </x:row>
    <x:row r="212" ht="25" customHeight="1">
      <x:c r="A212" s="40" t="str">
        <x:f>IF('调前玩家曲线'!C172=0,"序章",'调前玩家曲线'!C172)&amp;"-"&amp;'调前玩家曲线'!D172</x:f>
        <x:v>12-2</x:v>
      </x:c>
      <x:c r="B212" s="60" t="n">
        <x:f>IF(G212=0,0,ROUND(G212,2-INT(LOG10(ABS(G212)))))</x:f>
        <x:v>1290000</x:v>
      </x:c>
      <x:c r="C212" s="55" t="n">
        <x:f>IF(H212=0,0,ROUND(H212,2-INT(LOG10(ABS(H212)))))</x:f>
        <x:v>931000</x:v>
      </x:c>
      <x:c r="D212" s="62" t="n">
        <x:f>H212/G212-1</x:f>
        <x:v>-0.27976208903473465</x:v>
      </x:c>
      <x:c r="E212" s="62" t="n">
        <x:f>G212/G211-1</x:f>
        <x:v>0.004993544171864928</x:v>
      </x:c>
      <x:c r="F212" s="62" t="n">
        <x:f>H212/H211-1</x:f>
        <x:v>0.007339052309690786</x:v>
      </x:c>
      <x:c r="G212" s="60" t="n">
        <x:f>'调前玩家曲线'!AU172</x:f>
        <x:v>1292080</x:v>
      </x:c>
      <x:c r="H212" s="60" t="n">
        <x:f>'玩家战力_节点'!AU172</x:f>
        <x:v>930605</x:v>
      </x:c>
      <x:c r="I212" s="66" t="n">
        <x:f>'玩家战力_节点'!F172</x:f>
        <x:v>5</x:v>
      </x:c>
      <x:c r="J212" s="40" t="n">
        <x:f>'玩家战力_节点'!B172</x:f>
        <x:v>161</x:v>
      </x:c>
    </x:row>
    <x:row r="213" ht="25" customHeight="1">
      <x:c r="A213" s="40" t="str">
        <x:f>IF('调前玩家曲线'!C173=0,"序章",'调前玩家曲线'!C173)&amp;"-"&amp;'调前玩家曲线'!D173</x:f>
        <x:v>12-3</x:v>
      </x:c>
      <x:c r="B213" s="60" t="n">
        <x:f>IF(G213=0,0,ROUND(G213,2-INT(LOG10(ABS(G213)))))</x:f>
        <x:v>1300000</x:v>
      </x:c>
      <x:c r="C213" s="55" t="n">
        <x:f>IF(H213=0,0,ROUND(H213,2-INT(LOG10(ABS(H213)))))</x:f>
        <x:v>937000</x:v>
      </x:c>
      <x:c r="D213" s="62" t="n">
        <x:f>H213/G213-1</x:f>
        <x:v>-0.2780201710573439</x:v>
      </x:c>
      <x:c r="E213" s="62" t="n">
        <x:f>G213/G212-1</x:f>
        <x:v>0.004887468268218731</x:v>
      </x:c>
      <x:c r="F213" s="62" t="n">
        <x:f>H213/H212-1</x:f>
        <x:v>0.0073178201277663835</x:v>
      </x:c>
      <x:c r="G213" s="60" t="n">
        <x:f>'调前玩家曲线'!AU173</x:f>
        <x:v>1298395</x:v>
      </x:c>
      <x:c r="H213" s="60" t="n">
        <x:f>'玩家战力_节点'!AU173</x:f>
        <x:v>937415</x:v>
      </x:c>
      <x:c r="I213" s="66" t="n">
        <x:f>'玩家战力_节点'!F173</x:f>
        <x:v>5</x:v>
      </x:c>
      <x:c r="J213" s="40" t="n">
        <x:f>'玩家战力_节点'!B173</x:f>
        <x:v>162</x:v>
      </x:c>
    </x:row>
    <x:row r="214" ht="25" customHeight="1">
      <x:c r="A214" s="40" t="str">
        <x:f>IF('调前玩家曲线'!C174=0,"序章",'调前玩家曲线'!C174)&amp;"-"&amp;'调前玩家曲线'!D174</x:f>
        <x:v>12-4</x:v>
      </x:c>
      <x:c r="B214" s="60" t="n">
        <x:f>IF(G214=0,0,ROUND(G214,2-INT(LOG10(ABS(G214)))))</x:f>
        <x:v>1300000</x:v>
      </x:c>
      <x:c r="C214" s="55" t="n">
        <x:f>IF(H214=0,0,ROUND(H214,2-INT(LOG10(ABS(H214)))))</x:f>
        <x:v>944000</x:v>
      </x:c>
      <x:c r="D214" s="62" t="n">
        <x:f>H214/G214-1</x:f>
        <x:v>-0.2762110991874904</x:v>
      </x:c>
      <x:c r="E214" s="62" t="n">
        <x:f>G214/G213-1</x:f>
        <x:v>0.004778977121754124</x:v>
      </x:c>
      <x:c r="F214" s="62" t="n">
        <x:f>H214/H213-1</x:f>
        <x:v>0.007296661563981788</x:v>
      </x:c>
      <x:c r="G214" s="60" t="n">
        <x:f>'调前玩家曲线'!AU174</x:f>
        <x:v>1304600</x:v>
      </x:c>
      <x:c r="H214" s="60" t="n">
        <x:f>'玩家战力_节点'!AU174</x:f>
        <x:v>944255</x:v>
      </x:c>
      <x:c r="I214" s="66" t="n">
        <x:f>'玩家战力_节点'!F174</x:f>
        <x:v>5</x:v>
      </x:c>
      <x:c r="J214" s="40" t="n">
        <x:f>'玩家战力_节点'!B174</x:f>
        <x:v>163</x:v>
      </x:c>
    </x:row>
    <x:row r="215" ht="25" customHeight="1">
      <x:c r="A215" s="40" t="str">
        <x:f>IF('调前玩家曲线'!C175=0,"序章",'调前玩家曲线'!C175)&amp;"-"&amp;'调前玩家曲线'!D175</x:f>
        <x:v>12-5</x:v>
      </x:c>
      <x:c r="B215" s="60" t="n">
        <x:f>IF(G215=0,0,ROUND(G215,2-INT(LOG10(ABS(G215)))))</x:f>
        <x:v>1310000</x:v>
      </x:c>
      <x:c r="C215" s="55" t="n">
        <x:f>IF(H215=0,0,ROUND(H215,2-INT(LOG10(ABS(H215)))))</x:f>
        <x:v>951000</x:v>
      </x:c>
      <x:c r="D215" s="62" t="n">
        <x:f>H215/G215-1</x:f>
        <x:v>-0.2743381399252308</x:v>
      </x:c>
      <x:c r="E215" s="62" t="n">
        <x:f>G215/G214-1</x:f>
        <x:v>0.004675762685880658</x:v>
      </x:c>
      <x:c r="F215" s="62" t="n">
        <x:f>H215/H214-1</x:f>
        <x:v>0.007275577042218373</x:v>
      </x:c>
      <x:c r="G215" s="60" t="n">
        <x:f>'调前玩家曲线'!AU175</x:f>
        <x:v>1310700</x:v>
      </x:c>
      <x:c r="H215" s="60" t="n">
        <x:f>'玩家战力_节点'!AU175</x:f>
        <x:v>951125</x:v>
      </x:c>
      <x:c r="I215" s="66" t="n">
        <x:f>'玩家战力_节点'!F175</x:f>
        <x:v>5</x:v>
      </x:c>
      <x:c r="J215" s="40" t="n">
        <x:f>'玩家战力_节点'!B175</x:f>
        <x:v>164</x:v>
      </x:c>
    </x:row>
    <x:row r="216" ht="25" customHeight="1">
      <x:c r="A216" s="40" t="str">
        <x:f>IF('调前玩家曲线'!C176=0,"序章",'调前玩家曲线'!C176)&amp;"-"&amp;'调前玩家曲线'!D176</x:f>
        <x:v>12-6</x:v>
      </x:c>
      <x:c r="B216" s="60" t="n">
        <x:f>IF(G216=0,0,ROUND(G216,2-INT(LOG10(ABS(G216)))))</x:f>
        <x:v>1320000</x:v>
      </x:c>
      <x:c r="C216" s="55" t="n">
        <x:f>IF(H216=0,0,ROUND(H216,2-INT(LOG10(ABS(H216)))))</x:f>
        <x:v>958000</x:v>
      </x:c>
      <x:c r="D216" s="62" t="n">
        <x:f>H216/G216-1</x:f>
        <x:v>-0.27240449608870665</x:v>
      </x:c>
      <x:c r="E216" s="62" t="n">
        <x:f>G216/G215-1</x:f>
        <x:v>0.00457770656900891</x:v>
      </x:c>
      <x:c r="F216" s="62" t="n">
        <x:f>H216/H215-1</x:f>
        <x:v>0.007254566960178677</x:v>
      </x:c>
      <x:c r="G216" s="60" t="n">
        <x:f>'调前玩家曲线'!AU176</x:f>
        <x:v>1316700</x:v>
      </x:c>
      <x:c r="H216" s="60" t="n">
        <x:f>'玩家战力_节点'!AU176</x:f>
        <x:v>958025</x:v>
      </x:c>
      <x:c r="I216" s="66" t="n">
        <x:f>'玩家战力_节点'!F176</x:f>
        <x:v>5</x:v>
      </x:c>
      <x:c r="J216" s="40" t="n">
        <x:f>'玩家战力_节点'!B176</x:f>
        <x:v>165</x:v>
      </x:c>
    </x:row>
    <x:row r="217" ht="25" customHeight="1">
      <x:c r="A217" s="40" t="str">
        <x:f>IF('调前玩家曲线'!C177=0,"序章",'调前玩家曲线'!C177)&amp;"-"&amp;'调前玩家曲线'!D177</x:f>
        <x:v>12-7</x:v>
      </x:c>
      <x:c r="B217" s="60" t="n">
        <x:f>IF(G217=0,0,ROUND(G217,2-INT(LOG10(ABS(G217)))))</x:f>
        <x:v>1320000</x:v>
      </x:c>
      <x:c r="C217" s="55" t="n">
        <x:f>IF(H217=0,0,ROUND(H217,2-INT(LOG10(ABS(H217)))))</x:f>
        <x:v>965000</x:v>
      </x:c>
      <x:c r="D217" s="62" t="n">
        <x:f>H217/G217-1</x:f>
        <x:v>-0.2704105549674882</x:v>
      </x:c>
      <x:c r="E217" s="62" t="n">
        <x:f>G217/G216-1</x:f>
        <x:v>0.004480899217741419</x:v>
      </x:c>
      <x:c r="F217" s="62" t="n">
        <x:f>H217/H216-1</x:f>
        <x:v>0.007233631690195974</x:v>
      </x:c>
      <x:c r="G217" s="60" t="n">
        <x:f>'调前玩家曲线'!AU177</x:f>
        <x:v>1322600</x:v>
      </x:c>
      <x:c r="H217" s="60" t="n">
        <x:f>'玩家战力_节点'!AU177</x:f>
        <x:v>964955</x:v>
      </x:c>
      <x:c r="I217" s="66" t="n">
        <x:f>'玩家战力_节点'!F177</x:f>
        <x:v>5</x:v>
      </x:c>
      <x:c r="J217" s="40" t="n">
        <x:f>'玩家战力_节点'!B177</x:f>
        <x:v>166</x:v>
      </x:c>
    </x:row>
    <x:row r="218" ht="25" customHeight="1">
      <x:c r="A218" s="40" t="str">
        <x:f>IF('调前玩家曲线'!C178=0,"序章",'调前玩家曲线'!C178)&amp;"-"&amp;'调前玩家曲线'!D178</x:f>
        <x:v>12-8</x:v>
      </x:c>
      <x:c r="B218" s="60" t="n">
        <x:f>IF(G218=0,0,ROUND(G218,2-INT(LOG10(ABS(G218)))))</x:f>
        <x:v>1330000</x:v>
      </x:c>
      <x:c r="C218" s="55" t="n">
        <x:f>IF(H218=0,0,ROUND(H218,2-INT(LOG10(ABS(H218)))))</x:f>
        <x:v>972000</x:v>
      </x:c>
      <x:c r="D218" s="62" t="n">
        <x:f>H218/G218-1</x:f>
        <x:v>-0.26836043360433603</x:v>
      </x:c>
      <x:c r="E218" s="62" t="n">
        <x:f>G218/G217-1</x:f>
        <x:v>0.0043853016785120325</x:v>
      </x:c>
      <x:c r="F218" s="62" t="n">
        <x:f>H218/H217-1</x:f>
        <x:v>0.007207589991243157</x:v>
      </x:c>
      <x:c r="G218" s="60" t="n">
        <x:f>'调前玩家曲线'!AU178</x:f>
        <x:v>1328400</x:v>
      </x:c>
      <x:c r="H218" s="60" t="n">
        <x:f>'玩家战力_节点'!AU178</x:f>
        <x:v>971910</x:v>
      </x:c>
      <x:c r="I218" s="66" t="n">
        <x:f>'玩家战力_节点'!F178</x:f>
        <x:v>5</x:v>
      </x:c>
      <x:c r="J218" s="40" t="n">
        <x:f>'玩家战力_节点'!B178</x:f>
        <x:v>167</x:v>
      </x:c>
    </x:row>
    <x:row r="219" ht="25" customHeight="1">
      <x:c r="A219" s="40" t="str">
        <x:f>IF('调前玩家曲线'!C179=0,"序章",'调前玩家曲线'!C179)&amp;"-"&amp;'调前玩家曲线'!D179</x:f>
        <x:v>12-9</x:v>
      </x:c>
      <x:c r="B219" s="60" t="n">
        <x:f>IF(G219=0,0,ROUND(G219,2-INT(LOG10(ABS(G219)))))</x:f>
        <x:v>1330000</x:v>
      </x:c>
      <x:c r="C219" s="55" t="n">
        <x:f>IF(H219=0,0,ROUND(H219,2-INT(LOG10(ABS(H219)))))</x:f>
        <x:v>979000</x:v>
      </x:c>
      <x:c r="D219" s="62" t="n">
        <x:f>H219/G219-1</x:f>
        <x:v>-0.2662479058837639</x:v>
      </x:c>
      <x:c r="E219" s="62" t="n">
        <x:f>G219/G218-1</x:f>
        <x:v>0.004287112315567665</x:v>
      </x:c>
      <x:c r="F219" s="62" t="n">
        <x:f>H219/H218-1</x:f>
        <x:v>0.007186879443569882</x:v>
      </x:c>
      <x:c r="G219" s="60" t="n">
        <x:f>'调前玩家曲线'!AU179</x:f>
        <x:v>1334095</x:v>
      </x:c>
      <x:c r="H219" s="60" t="n">
        <x:f>'玩家战力_节点'!AU179</x:f>
        <x:v>978895</x:v>
      </x:c>
      <x:c r="I219" s="66" t="n">
        <x:f>'玩家战力_节点'!F179</x:f>
        <x:v>5</x:v>
      </x:c>
      <x:c r="J219" s="40" t="n">
        <x:f>'玩家战力_节点'!B179</x:f>
        <x:v>168</x:v>
      </x:c>
    </x:row>
    <x:row r="220" ht="25" customHeight="1">
      <x:c r="A220" s="40" t="str">
        <x:f>IF('调前玩家曲线'!C180=0,"序章",'调前玩家曲线'!C180)&amp;"-"&amp;'调前玩家曲线'!D180</x:f>
        <x:v>12-10</x:v>
      </x:c>
      <x:c r="B220" s="60" t="n">
        <x:f>IF(G220=0,0,ROUND(G220,2-INT(LOG10(ABS(G220)))))</x:f>
        <x:v>1340000</x:v>
      </x:c>
      <x:c r="C220" s="55" t="n">
        <x:f>IF(H220=0,0,ROUND(H220,2-INT(LOG10(ABS(H220)))))</x:f>
        <x:v>986000</x:v>
      </x:c>
      <x:c r="D220" s="62" t="n">
        <x:f>H220/G220-1</x:f>
        <x:v>-0.26408151078599684</x:v>
      </x:c>
      <x:c r="E220" s="62" t="n">
        <x:f>G220/G219-1</x:f>
        <x:v>0.004201349978824487</x:v>
      </x:c>
      <x:c r="F220" s="62" t="n">
        <x:f>H220/H219-1</x:f>
        <x:v>0.0071662435705566185</x:v>
      </x:c>
      <x:c r="G220" s="60" t="n">
        <x:f>'调前玩家曲线'!AU180</x:f>
        <x:v>1339700</x:v>
      </x:c>
      <x:c r="H220" s="60" t="n">
        <x:f>'玩家战力_节点'!AU180</x:f>
        <x:v>985910</x:v>
      </x:c>
      <x:c r="I220" s="66" t="n">
        <x:f>'玩家战力_节点'!F180</x:f>
        <x:v>5</x:v>
      </x:c>
      <x:c r="J220" s="40" t="n">
        <x:f>'玩家战力_节点'!B180</x:f>
        <x:v>169</x:v>
      </x:c>
    </x:row>
    <x:row r="221" ht="25" customHeight="1">
      <x:c r="A221" s="40" t="str">
        <x:f>IF('调前玩家曲线'!C181=0,"序章",'调前玩家曲线'!C181)&amp;"-"&amp;'调前玩家曲线'!D181</x:f>
        <x:v>12-11</x:v>
      </x:c>
      <x:c r="B221" s="60" t="n">
        <x:f>IF(G221=0,0,ROUND(G221,2-INT(LOG10(ABS(G221)))))</x:f>
        <x:v>1350000</x:v>
      </x:c>
      <x:c r="C221" s="55" t="n">
        <x:f>IF(H221=0,0,ROUND(H221,2-INT(LOG10(ABS(H221)))))</x:f>
        <x:v>993000</x:v>
      </x:c>
      <x:c r="D221" s="62" t="n">
        <x:f>H221/G221-1</x:f>
        <x:v>-0.2618522827375753</x:v>
      </x:c>
      <x:c r="E221" s="62" t="n">
        <x:f>G221/G220-1</x:f>
        <x:v>0.004109128909457249</x:v>
      </x:c>
      <x:c r="F221" s="62" t="n">
        <x:f>H221/H220-1</x:f>
        <x:v>0.007150754125630154</x:v>
      </x:c>
      <x:c r="G221" s="60" t="n">
        <x:f>'调前玩家曲线'!AU181</x:f>
        <x:v>1345205</x:v>
      </x:c>
      <x:c r="H221" s="60" t="n">
        <x:f>'玩家战力_节点'!AU181</x:f>
        <x:v>992960</x:v>
      </x:c>
      <x:c r="I221" s="66" t="n">
        <x:f>'玩家战力_节点'!F181</x:f>
        <x:v>5</x:v>
      </x:c>
      <x:c r="J221" s="40" t="n">
        <x:f>'玩家战力_节点'!B181</x:f>
        <x:v>170</x:v>
      </x:c>
    </x:row>
    <x:row r="222" ht="25" customHeight="1">
      <x:c r="A222" s="40" t="str">
        <x:f>IF('调前玩家曲线'!C182=0,"序章",'调前玩家曲线'!C182)&amp;"-"&amp;'调前玩家曲线'!D182</x:f>
        <x:v>12-12</x:v>
      </x:c>
      <x:c r="B222" s="60" t="n">
        <x:f>IF(G222=0,0,ROUND(G222,2-INT(LOG10(ABS(G222)))))</x:f>
        <x:v>1350000</x:v>
      </x:c>
      <x:c r="C222" s="55" t="n">
        <x:f>IF(H222=0,0,ROUND(H222,2-INT(LOG10(ABS(H222)))))</x:f>
        <x:v>1000000</x:v>
      </x:c>
      <x:c r="D222" s="62" t="n">
        <x:f>H222/G222-1</x:f>
        <x:v>-0.259574342058988</x:v>
      </x:c>
      <x:c r="E222" s="62" t="n">
        <x:f>G222/G221-1</x:f>
        <x:v>0.004021691861091803</x:v>
      </x:c>
      <x:c r="F222" s="62" t="n">
        <x:f>H222/H221-1</x:f>
        <x:v>0.007120125684821232</x:v>
      </x:c>
      <x:c r="G222" s="60" t="n">
        <x:f>'调前玩家曲线'!AU182</x:f>
        <x:v>1350615</x:v>
      </x:c>
      <x:c r="H222" s="60" t="n">
        <x:f>'玩家战力_节点'!AU182</x:f>
        <x:v>1000030</x:v>
      </x:c>
      <x:c r="I222" s="66" t="n">
        <x:f>'玩家战力_节点'!F182</x:f>
        <x:v>5</x:v>
      </x:c>
      <x:c r="J222" s="40" t="n">
        <x:f>'玩家战力_节点'!B182</x:f>
        <x:v>171</x:v>
      </x:c>
    </x:row>
    <x:row r="223" ht="25" customHeight="1">
      <x:c r="A223" s="40" t="str">
        <x:f>IF('调前玩家曲线'!C183=0,"序章",'调前玩家曲线'!C183)&amp;"-"&amp;'调前玩家曲线'!D183</x:f>
        <x:v>12-13</x:v>
      </x:c>
      <x:c r="B223" s="60" t="n">
        <x:f>IF(G223=0,0,ROUND(G223,2-INT(LOG10(ABS(G223)))))</x:f>
        <x:v>1360000</x:v>
      </x:c>
      <x:c r="C223" s="55" t="n">
        <x:f>IF(H223=0,0,ROUND(H223,2-INT(LOG10(ABS(H223)))))</x:f>
        <x:v>1010000</x:v>
      </x:c>
      <x:c r="D223" s="62" t="n">
        <x:f>H223/G223-1</x:f>
        <x:v>-0.2572394694435943</x:v>
      </x:c>
      <x:c r="E223" s="62" t="n">
        <x:f>G223/G222-1</x:f>
        <x:v>0.003938946331856208</x:v>
      </x:c>
      <x:c r="F223" s="62" t="n">
        <x:f>H223/H222-1</x:f>
        <x:v>0.007104786856394263</x:v>
      </x:c>
      <x:c r="G223" s="60" t="n">
        <x:f>'调前玩家曲线'!AU183</x:f>
        <x:v>1355935</x:v>
      </x:c>
      <x:c r="H223" s="60" t="n">
        <x:f>'玩家战力_节点'!AU183</x:f>
        <x:v>1007135</x:v>
      </x:c>
      <x:c r="I223" s="66" t="n">
        <x:f>'玩家战力_节点'!F183</x:f>
        <x:v>5</x:v>
      </x:c>
      <x:c r="J223" s="40" t="n">
        <x:f>'玩家战力_节点'!B183</x:f>
        <x:v>172</x:v>
      </x:c>
    </x:row>
    <x:row r="224" ht="25" customHeight="1">
      <x:c r="A224" s="40" t="str">
        <x:f>IF('调前玩家曲线'!C184=0,"序章",'调前玩家曲线'!C184)&amp;"-"&amp;'调前玩家曲线'!D184</x:f>
        <x:v>12-14</x:v>
      </x:c>
      <x:c r="B224" s="60" t="n">
        <x:f>IF(G224=0,0,ROUND(G224,2-INT(LOG10(ABS(G224)))))</x:f>
        <x:v>1360000</x:v>
      </x:c>
      <x:c r="C224" s="55" t="n">
        <x:f>IF(H224=0,0,ROUND(H224,2-INT(LOG10(ABS(H224)))))</x:f>
        <x:v>1010000</x:v>
      </x:c>
      <x:c r="D224" s="62" t="n">
        <x:f>H224/G224-1</x:f>
        <x:v>-0.25484880543066213</x:v>
      </x:c>
      <x:c r="E224" s="62" t="n">
        <x:f>G224/G223-1</x:f>
        <x:v>0.0038534295523016127</x:v>
      </x:c>
      <x:c r="F224" s="62" t="n">
        <x:f>H224/H223-1</x:f>
        <x:v>0.00708445243189848</x:v>
      </x:c>
      <x:c r="G224" s="60" t="n">
        <x:f>'调前玩家曲线'!AU184</x:f>
        <x:v>1361160</x:v>
      </x:c>
      <x:c r="H224" s="60" t="n">
        <x:f>'玩家战力_节点'!AU184</x:f>
        <x:v>1014270</x:v>
      </x:c>
      <x:c r="I224" s="66" t="n">
        <x:f>'玩家战力_节点'!F184</x:f>
        <x:v>5</x:v>
      </x:c>
      <x:c r="J224" s="40" t="n">
        <x:f>'玩家战力_节点'!B184</x:f>
        <x:v>173</x:v>
      </x:c>
    </x:row>
    <x:row r="225" ht="25" customHeight="1">
      <x:c r="A225" s="40" t="str">
        <x:f>IF('调前玩家曲线'!C185=0,"序章",'调前玩家曲线'!C185)&amp;"-"&amp;'调前玩家曲线'!D185</x:f>
        <x:v>12-15</x:v>
      </x:c>
      <x:c r="B225" s="60" t="n">
        <x:f>IF(G225=0,0,ROUND(G225,2-INT(LOG10(ABS(G225)))))</x:f>
        <x:v>1370000</x:v>
      </x:c>
      <x:c r="C225" s="55" t="n">
        <x:f>IF(H225=0,0,ROUND(H225,2-INT(LOG10(ABS(H225)))))</x:f>
        <x:v>1020000</x:v>
      </x:c>
      <x:c r="D225" s="62" t="n">
        <x:f>H225/G225-1</x:f>
        <x:v>-0.2524079631120545</x:v>
      </x:c>
      <x:c r="E225" s="62" t="n">
        <x:f>G225/G224-1</x:f>
        <x:v>0.003776190896000564</x:v>
      </x:c>
      <x:c r="F225" s="62" t="n">
        <x:f>H225/H224-1</x:f>
        <x:v>0.007064193952300624</x:v>
      </x:c>
      <x:c r="G225" s="60" t="n">
        <x:f>'调前玩家曲线'!AU185</x:f>
        <x:v>1366300</x:v>
      </x:c>
      <x:c r="H225" s="60" t="n">
        <x:f>'玩家战力_节点'!AU185</x:f>
        <x:v>1021435</x:v>
      </x:c>
      <x:c r="I225" s="66" t="n">
        <x:f>'玩家战力_节点'!F185</x:f>
        <x:v>5</x:v>
      </x:c>
      <x:c r="J225" s="40" t="n">
        <x:f>'玩家战力_节点'!B185</x:f>
        <x:v>174</x:v>
      </x:c>
    </x:row>
    <x:row r="226" ht="25" customHeight="1">
      <x:c r="A226" s="40" t="str">
        <x:f>IF('调前玩家曲线'!C186=0,"序章",'调前玩家曲线'!C186)&amp;"-"&amp;'调前玩家曲线'!D186</x:f>
        <x:v>13-1</x:v>
      </x:c>
      <x:c r="B226" s="60" t="n">
        <x:f>IF(G226=0,0,ROUND(G226,2-INT(LOG10(ABS(G226)))))</x:f>
        <x:v>1370000</x:v>
      </x:c>
      <x:c r="C226" s="55" t="n">
        <x:f>IF(H226=0,0,ROUND(H226,2-INT(LOG10(ABS(H226)))))</x:f>
        <x:v>1030000</x:v>
      </x:c>
      <x:c r="D226" s="62" t="n">
        <x:f>H226/G226-1</x:f>
        <x:v>-0.25028348081627894</x:v>
      </x:c>
      <x:c r="E226" s="62" t="n">
        <x:f>G226/G225-1</x:f>
        <x:v>0.0036924540730440825</x:v>
      </x:c>
      <x:c r="F226" s="62" t="n">
        <x:f>H226/H225-1</x:f>
        <x:v>0.006544714054247169</x:v>
      </x:c>
      <x:c r="G226" s="60" t="n">
        <x:f>'调前玩家曲线'!AU186</x:f>
        <x:v>1371345</x:v>
      </x:c>
      <x:c r="H226" s="60" t="n">
        <x:f>'玩家战力_节点'!AU186</x:f>
        <x:v>1028120</x:v>
      </x:c>
      <x:c r="I226" s="66" t="n">
        <x:f>'玩家战力_节点'!F186</x:f>
        <x:v>5</x:v>
      </x:c>
      <x:c r="J226" s="40" t="n">
        <x:f>'玩家战力_节点'!B186</x:f>
        <x:v>175</x:v>
      </x:c>
    </x:row>
    <x:row r="227" ht="25" customHeight="1">
      <x:c r="A227" s="40" t="str">
        <x:f>IF('调前玩家曲线'!C187=0,"序章",'调前玩家曲线'!C187)&amp;"-"&amp;'调前玩家曲线'!D187</x:f>
        <x:v>13-2</x:v>
      </x:c>
      <x:c r="B227" s="60" t="n">
        <x:f>IF(G227=0,0,ROUND(G227,2-INT(LOG10(ABS(G227)))))</x:f>
        <x:v>1380000</x:v>
      </x:c>
      <x:c r="C227" s="55" t="n">
        <x:f>IF(H227=0,0,ROUND(H227,2-INT(LOG10(ABS(H227)))))</x:f>
        <x:v>1030000</x:v>
      </x:c>
      <x:c r="D227" s="62" t="n">
        <x:f>H227/G227-1</x:f>
        <x:v>-0.24841514053934266</x:v>
      </x:c>
      <x:c r="E227" s="62" t="n">
        <x:f>G227/G226-1</x:f>
        <x:v>0.0036168870707224965</x:v>
      </x:c>
      <x:c r="F227" s="62" t="n">
        <x:f>H227/H226-1</x:f>
        <x:v>0.006117962883710026</x:v>
      </x:c>
      <x:c r="G227" s="60" t="n">
        <x:f>'调前玩家曲线'!AU187</x:f>
        <x:v>1376305</x:v>
      </x:c>
      <x:c r="H227" s="60" t="n">
        <x:f>'玩家战力_节点'!AU187</x:f>
        <x:v>1034410</x:v>
      </x:c>
      <x:c r="I227" s="66" t="n">
        <x:f>'玩家战力_节点'!F187</x:f>
        <x:v>5</x:v>
      </x:c>
      <x:c r="J227" s="40" t="n">
        <x:f>'玩家战力_节点'!B187</x:f>
        <x:v>176</x:v>
      </x:c>
    </x:row>
    <x:row r="228" ht="25" customHeight="1">
      <x:c r="A228" s="40" t="str">
        <x:f>IF('调前玩家曲线'!C188=0,"序章",'调前玩家曲线'!C188)&amp;"-"&amp;'调前玩家曲线'!D188</x:f>
        <x:v>13-3</x:v>
      </x:c>
      <x:c r="B228" s="60" t="n">
        <x:f>IF(G228=0,0,ROUND(G228,2-INT(LOG10(ABS(G228)))))</x:f>
        <x:v>1380000</x:v>
      </x:c>
      <x:c r="C228" s="55" t="n">
        <x:f>IF(H228=0,0,ROUND(H228,2-INT(LOG10(ABS(H228)))))</x:f>
        <x:v>1040000</x:v>
      </x:c>
      <x:c r="D228" s="62" t="n">
        <x:f>H228/G228-1</x:f>
        <x:v>-0.24649664235162094</x:v>
      </x:c>
      <x:c r="E228" s="62" t="n">
        <x:f>G228/G227-1</x:f>
        <x:v>0.00353845986173118</x:v>
      </x:c>
      <x:c r="F228" s="62" t="n">
        <x:f>H228/H227-1</x:f>
        <x:v>0.006100095706731423</x:v>
      </x:c>
      <x:c r="G228" s="60" t="n">
        <x:f>'调前玩家曲线'!AU188</x:f>
        <x:v>1381175</x:v>
      </x:c>
      <x:c r="H228" s="60" t="n">
        <x:f>'玩家战力_节点'!AU188</x:f>
        <x:v>1040720</x:v>
      </x:c>
      <x:c r="I228" s="66" t="n">
        <x:f>'玩家战力_节点'!F188</x:f>
        <x:v>5</x:v>
      </x:c>
      <x:c r="J228" s="40" t="n">
        <x:f>'玩家战力_节点'!B188</x:f>
        <x:v>177</x:v>
      </x:c>
    </x:row>
    <x:row r="229" ht="25" customHeight="1">
      <x:c r="A229" s="40" t="str">
        <x:f>IF('调前玩家曲线'!C189=0,"序章",'调前玩家曲线'!C189)&amp;"-"&amp;'调前玩家曲线'!D189</x:f>
        <x:v>13-4</x:v>
      </x:c>
      <x:c r="B229" s="60" t="n">
        <x:f>IF(G229=0,0,ROUND(G229,2-INT(LOG10(ABS(G229)))))</x:f>
        <x:v>1390000</x:v>
      </x:c>
      <x:c r="C229" s="55" t="n">
        <x:f>IF(H229=0,0,ROUND(H229,2-INT(LOG10(ABS(H229)))))</x:f>
        <x:v>1050000</x:v>
      </x:c>
      <x:c r="D229" s="62" t="n">
        <x:f>H229/G229-1</x:f>
        <x:v>-0.24452998452341868</x:v>
      </x:c>
      <x:c r="E229" s="62" t="n">
        <x:f>G229/G228-1</x:f>
        <x:v>0.00346806161420532</x:v>
      </x:c>
      <x:c r="F229" s="62" t="n">
        <x:f>H229/H228-1</x:f>
        <x:v>0.006087131985548444</x:v>
      </x:c>
      <x:c r="G229" s="60" t="n">
        <x:f>'调前玩家曲线'!AU189</x:f>
        <x:v>1385965</x:v>
      </x:c>
      <x:c r="H229" s="60" t="n">
        <x:f>'玩家战力_节点'!AU189</x:f>
        <x:v>1047055</x:v>
      </x:c>
      <x:c r="I229" s="66" t="n">
        <x:f>'玩家战力_节点'!F189</x:f>
        <x:v>5</x:v>
      </x:c>
      <x:c r="J229" s="40" t="n">
        <x:f>'玩家战力_节点'!B189</x:f>
        <x:v>178</x:v>
      </x:c>
    </x:row>
    <x:row r="230" ht="25" customHeight="1">
      <x:c r="A230" s="40" t="str">
        <x:f>IF('调前玩家曲线'!C190=0,"序章",'调前玩家曲线'!C190)&amp;"-"&amp;'调前玩家曲线'!D190</x:f>
        <x:v>13-5</x:v>
      </x:c>
      <x:c r="B230" s="60" t="n">
        <x:f>IF(G230=0,0,ROUND(G230,2-INT(LOG10(ABS(G230)))))</x:f>
        <x:v>1390000</x:v>
      </x:c>
      <x:c r="C230" s="55" t="n">
        <x:f>IF(H230=0,0,ROUND(H230,2-INT(LOG10(ABS(H230)))))</x:f>
        <x:v>1050000</x:v>
      </x:c>
      <x:c r="D230" s="62" t="n">
        <x:f>H230/G230-1</x:f>
        <x:v>-0.24251260183940115</x:v>
      </x:c>
      <x:c r="E230" s="62" t="n">
        <x:f>G230/G229-1</x:f>
        <x:v>0.003394746620585698</x:v>
      </x:c>
      <x:c r="F230" s="62" t="n">
        <x:f>H230/H229-1</x:f>
        <x:v>0.006074179484363285</x:v>
      </x:c>
      <x:c r="G230" s="60" t="n">
        <x:f>'调前玩家曲线'!AU190</x:f>
        <x:v>1390670</x:v>
      </x:c>
      <x:c r="H230" s="60" t="n">
        <x:f>'玩家战力_节点'!AU190</x:f>
        <x:v>1053415</x:v>
      </x:c>
      <x:c r="I230" s="66" t="n">
        <x:f>'玩家战力_节点'!F190</x:f>
        <x:v>5</x:v>
      </x:c>
      <x:c r="J230" s="40" t="n">
        <x:f>'玩家战力_节点'!B190</x:f>
        <x:v>179</x:v>
      </x:c>
    </x:row>
    <x:row r="231" ht="25" customHeight="1">
      <x:c r="A231" s="40" t="str">
        <x:f>IF('调前玩家曲线'!C191=0,"序章",'调前玩家曲线'!C191)&amp;"-"&amp;'调前玩家曲线'!D191</x:f>
        <x:v>13-6</x:v>
      </x:c>
      <x:c r="B231" s="60" t="n">
        <x:f>IF(G231=0,0,ROUND(G231,2-INT(LOG10(ABS(G231)))))</x:f>
        <x:v>1400000</x:v>
      </x:c>
      <x:c r="C231" s="55" t="n">
        <x:f>IF(H231=0,0,ROUND(H231,2-INT(LOG10(ABS(H231)))))</x:f>
        <x:v>1060000</x:v>
      </x:c>
      <x:c r="D231" s="62" t="n">
        <x:f>H231/G231-1</x:f>
        <x:v>-0.2404482222333708</x:v>
      </x:c>
      <x:c r="E231" s="62" t="n">
        <x:f>G231/G230-1</x:f>
        <x:v>0.003322139688064052</x:v>
      </x:c>
      <x:c r="F231" s="62" t="n">
        <x:f>H231/H230-1</x:f>
        <x:v>0.0060564924554900035</x:v>
      </x:c>
      <x:c r="G231" s="60" t="n">
        <x:f>'调前玩家曲线'!AU191</x:f>
        <x:v>1395290</x:v>
      </x:c>
      <x:c r="H231" s="60" t="n">
        <x:f>'玩家战力_节点'!AU191</x:f>
        <x:v>1059795</x:v>
      </x:c>
      <x:c r="I231" s="66" t="n">
        <x:f>'玩家战力_节点'!F191</x:f>
        <x:v>5</x:v>
      </x:c>
      <x:c r="J231" s="40" t="n">
        <x:f>'玩家战力_节点'!B191</x:f>
        <x:v>180</x:v>
      </x:c>
    </x:row>
    <x:row r="232" ht="25" customHeight="1">
      <x:c r="A232" s="40" t="str">
        <x:f>IF('调前玩家曲线'!C192=0,"序章",'调前玩家曲线'!C192)&amp;"-"&amp;'调前玩家曲线'!D192</x:f>
        <x:v>13-7</x:v>
      </x:c>
      <x:c r="B232" s="60" t="n">
        <x:f>IF(G232=0,0,ROUND(G232,2-INT(LOG10(ABS(G232)))))</x:f>
        <x:v>1400000</x:v>
      </x:c>
      <x:c r="C232" s="55" t="n">
        <x:f>IF(H232=0,0,ROUND(H232,2-INT(LOG10(ABS(H232)))))</x:f>
        <x:v>1070000</x:v>
      </x:c>
      <x:c r="D232" s="62" t="n">
        <x:f>H232/G232-1</x:f>
        <x:v>-0.23833965552960001</x:v>
      </x:c>
      <x:c r="E232" s="62" t="n">
        <x:f>G232/G231-1</x:f>
        <x:v>0.0032538038687297544</x:v>
      </x:c>
      <x:c r="F232" s="62" t="n">
        <x:f>H232/H231-1</x:f>
        <x:v>0.00603890375025351</x:v>
      </x:c>
      <x:c r="G232" s="60" t="n">
        <x:f>'调前玩家曲线'!AU192</x:f>
        <x:v>1399830</x:v>
      </x:c>
      <x:c r="H232" s="60" t="n">
        <x:f>'玩家战力_节点'!AU192</x:f>
        <x:v>1066195</x:v>
      </x:c>
      <x:c r="I232" s="66" t="n">
        <x:f>'玩家战力_节点'!F192</x:f>
        <x:v>5</x:v>
      </x:c>
      <x:c r="J232" s="40" t="n">
        <x:f>'玩家战力_节点'!B192</x:f>
        <x:v>181</x:v>
      </x:c>
    </x:row>
    <x:row r="233" ht="25" customHeight="1">
      <x:c r="A233" s="40" t="str">
        <x:f>IF('调前玩家曲线'!C193=0,"序章",'调前玩家曲线'!C193)&amp;"-"&amp;'调前玩家曲线'!D193</x:f>
        <x:v>13-8</x:v>
      </x:c>
      <x:c r="B233" s="60" t="n">
        <x:f>IF(G233=0,0,ROUND(G233,2-INT(LOG10(ABS(G233)))))</x:f>
        <x:v>1400000</x:v>
      </x:c>
      <x:c r="C233" s="55" t="n">
        <x:f>IF(H233=0,0,ROUND(H233,2-INT(LOG10(ABS(H233)))))</x:f>
        <x:v>1070000</x:v>
      </x:c>
      <x:c r="D233" s="62" t="n">
        <x:f>H233/G233-1</x:f>
        <x:v>-0.23618340940973725</x:v>
      </x:c>
      <x:c r="E233" s="62" t="n">
        <x:f>G233/G232-1</x:f>
        <x:v>0.0031861011694276353</x:v>
      </x:c>
      <x:c r="F233" s="62" t="n">
        <x:f>H233/H232-1</x:f>
        <x:v>0.0060261021670520165</x:v>
      </x:c>
      <x:c r="G233" s="60" t="n">
        <x:f>'调前玩家曲线'!AU193</x:f>
        <x:v>1404290</x:v>
      </x:c>
      <x:c r="H233" s="60" t="n">
        <x:f>'玩家战力_节点'!AU193</x:f>
        <x:v>1072620</x:v>
      </x:c>
      <x:c r="I233" s="66" t="n">
        <x:f>'玩家战力_节点'!F193</x:f>
        <x:v>5</x:v>
      </x:c>
      <x:c r="J233" s="40" t="n">
        <x:f>'玩家战力_节点'!B193</x:f>
        <x:v>182</x:v>
      </x:c>
    </x:row>
    <x:row r="234" ht="25" customHeight="1">
      <x:c r="A234" s="40" t="str">
        <x:f>IF('调前玩家曲线'!C194=0,"序章",'调前玩家曲线'!C194)&amp;"-"&amp;'调前玩家曲线'!D194</x:f>
        <x:v>13-9</x:v>
      </x:c>
      <x:c r="B234" s="60" t="n">
        <x:f>IF(G234=0,0,ROUND(G234,2-INT(LOG10(ABS(G234)))))</x:f>
        <x:v>1410000</x:v>
      </x:c>
      <x:c r="C234" s="55" t="n">
        <x:f>IF(H234=0,0,ROUND(H234,2-INT(LOG10(ABS(H234)))))</x:f>
        <x:v>1080000</x:v>
      </x:c>
      <x:c r="D234" s="62" t="n">
        <x:f>H234/G234-1</x:f>
        <x:v>-0.23398228832058499</x:v>
      </x:c>
      <x:c r="E234" s="62" t="n">
        <x:f>G234/G233-1</x:f>
        <x:v>0.0031225743970262343</x:v>
      </x:c>
      <x:c r="F234" s="62" t="n">
        <x:f>H234/H233-1</x:f>
        <x:v>0.006013313195726289</x:v>
      </x:c>
      <x:c r="G234" s="60" t="n">
        <x:f>'调前玩家曲线'!AU194</x:f>
        <x:v>1408675</x:v>
      </x:c>
      <x:c r="H234" s="60" t="n">
        <x:f>'玩家战力_节点'!AU194</x:f>
        <x:v>1079070</x:v>
      </x:c>
      <x:c r="I234" s="66" t="n">
        <x:f>'玩家战力_节点'!F194</x:f>
        <x:v>5</x:v>
      </x:c>
      <x:c r="J234" s="40" t="n">
        <x:f>'玩家战力_节点'!B194</x:f>
        <x:v>183</x:v>
      </x:c>
    </x:row>
    <x:row r="235" ht="25" customHeight="1">
      <x:c r="A235" s="40" t="str">
        <x:f>IF('调前玩家曲线'!C195=0,"序章",'调前玩家曲线'!C195)&amp;"-"&amp;'调前玩家曲线'!D195</x:f>
        <x:v>13-10</x:v>
      </x:c>
      <x:c r="B235" s="60" t="n">
        <x:f>IF(G235=0,0,ROUND(G235,2-INT(LOG10(ABS(G235)))))</x:f>
        <x:v>1410000</x:v>
      </x:c>
      <x:c r="C235" s="55" t="n">
        <x:f>IF(H235=0,0,ROUND(H235,2-INT(LOG10(ABS(H235)))))</x:f>
        <x:v>1090000</x:v>
      </x:c>
      <x:c r="D235" s="62" t="n">
        <x:f>H235/G235-1</x:f>
        <x:v>-0.2317371795779134</x:v>
      </x:c>
      <x:c r="E235" s="62" t="n">
        <x:f>G235/G234-1</x:f>
        <x:v>0.0030560633219158806</x:v>
      </x:c>
      <x:c r="F235" s="62" t="n">
        <x:f>H235/H234-1</x:f>
        <x:v>0.00599590388019311</x:v>
      </x:c>
      <x:c r="G235" s="60" t="n">
        <x:f>'调前玩家曲线'!AU195</x:f>
        <x:v>1412980</x:v>
      </x:c>
      <x:c r="H235" s="60" t="n">
        <x:f>'玩家战力_节点'!AU195</x:f>
        <x:v>1085540</x:v>
      </x:c>
      <x:c r="I235" s="66" t="n">
        <x:f>'玩家战力_节点'!F195</x:f>
        <x:v>5</x:v>
      </x:c>
      <x:c r="J235" s="40" t="n">
        <x:f>'玩家战力_节点'!B195</x:f>
        <x:v>184</x:v>
      </x:c>
    </x:row>
    <x:row r="236" ht="25" customHeight="1">
      <x:c r="A236" s="40" t="str">
        <x:f>IF('调前玩家曲线'!C196=0,"序章",'调前玩家曲线'!C196)&amp;"-"&amp;'调前玩家曲线'!D196</x:f>
        <x:v>13-11</x:v>
      </x:c>
      <x:c r="B236" s="60" t="n">
        <x:f>IF(G236=0,0,ROUND(G236,2-INT(LOG10(ABS(G236)))))</x:f>
        <x:v>1420000</x:v>
      </x:c>
      <x:c r="C236" s="55" t="n">
        <x:f>IF(H236=0,0,ROUND(H236,2-INT(LOG10(ABS(H236)))))</x:f>
        <x:v>1090000</x:v>
      </x:c>
      <x:c r="D236" s="62" t="n">
        <x:f>H236/G236-1</x:f>
        <x:v>-0.22944457576709087</x:v>
      </x:c>
      <x:c r="E236" s="62" t="n">
        <x:f>G236/G235-1</x:f>
        <x:v>0.002990134326034344</x:v>
      </x:c>
      <x:c r="F236" s="62" t="n">
        <x:f>H236/H235-1</x:f>
        <x:v>0.005983197302724896</x:v>
      </x:c>
      <x:c r="G236" s="60" t="n">
        <x:f>'调前玩家曲线'!AU196</x:f>
        <x:v>1417205</x:v>
      </x:c>
      <x:c r="H236" s="60" t="n">
        <x:f>'玩家战力_节点'!AU196</x:f>
        <x:v>1092035</x:v>
      </x:c>
      <x:c r="I236" s="66" t="n">
        <x:f>'玩家战力_节点'!F196</x:f>
        <x:v>5</x:v>
      </x:c>
      <x:c r="J236" s="40" t="n">
        <x:f>'玩家战力_节点'!B196</x:f>
        <x:v>185</x:v>
      </x:c>
    </x:row>
    <x:row r="237" ht="25" customHeight="1">
      <x:c r="A237" s="40" t="str">
        <x:f>IF('调前玩家曲线'!C197=0,"序章",'调前玩家曲线'!C197)&amp;"-"&amp;'调前玩家曲线'!D197</x:f>
        <x:v>13-12</x:v>
      </x:c>
      <x:c r="B237" s="60" t="n">
        <x:f>IF(G237=0,0,ROUND(G237,2-INT(LOG10(ABS(G237)))))</x:f>
        <x:v>1420000</x:v>
      </x:c>
      <x:c r="C237" s="55" t="n">
        <x:f>IF(H237=0,0,ROUND(H237,2-INT(LOG10(ABS(H237)))))</x:f>
        <x:v>1100000</x:v>
      </x:c>
      <x:c r="D237" s="62" t="n">
        <x:f>H237/G237-1</x:f>
        <x:v>-0.22710995103281362</x:v>
      </x:c>
      <x:c r="E237" s="62" t="n">
        <x:f>G237/G236-1</x:f>
        <x:v>0.002931827082179428</x:v>
      </x:c>
      <x:c r="F237" s="62" t="n">
        <x:f>H237/H236-1</x:f>
        <x:v>0.005970504608368676</x:v>
      </x:c>
      <x:c r="G237" s="60" t="n">
        <x:f>'调前玩家曲线'!AU197</x:f>
        <x:v>1421360</x:v>
      </x:c>
      <x:c r="H237" s="60" t="n">
        <x:f>'玩家战力_节点'!AU197</x:f>
        <x:v>1098555</x:v>
      </x:c>
      <x:c r="I237" s="66" t="n">
        <x:f>'玩家战力_节点'!F197</x:f>
        <x:v>5</x:v>
      </x:c>
      <x:c r="J237" s="40" t="n">
        <x:f>'玩家战力_节点'!B197</x:f>
        <x:v>186</x:v>
      </x:c>
    </x:row>
    <x:row r="238" ht="25" customHeight="1">
      <x:c r="A238" s="40" t="str">
        <x:f>IF('调前玩家曲线'!C198=0,"序章",'调前玩家曲线'!C198)&amp;"-"&amp;'调前玩家曲线'!D198</x:f>
        <x:v>13-13</x:v>
      </x:c>
      <x:c r="B238" s="60" t="n">
        <x:f>IF(G238=0,0,ROUND(G238,2-INT(LOG10(ABS(G238)))))</x:f>
        <x:v>1430000</x:v>
      </x:c>
      <x:c r="C238" s="55" t="n">
        <x:f>IF(H238=0,0,ROUND(H238,2-INT(LOG10(ABS(H238)))))</x:f>
        <x:v>1110000</x:v>
      </x:c>
      <x:c r="D238" s="62" t="n">
        <x:f>H238/G238-1</x:f>
        <x:v>-0.22473411718486924</x:v>
      </x:c>
      <x:c r="E238" s="62" t="n">
        <x:f>G238/G237-1</x:f>
        <x:v>0.002870490234704759</x:v>
      </x:c>
      <x:c r="F238" s="62" t="n">
        <x:f>H238/H237-1</x:f>
        <x:v>0.005953274983956147</x:v>
      </x:c>
      <x:c r="G238" s="60" t="n">
        <x:f>'调前玩家曲线'!AU198</x:f>
        <x:v>1425440</x:v>
      </x:c>
      <x:c r="H238" s="60" t="n">
        <x:f>'玩家战力_节点'!AU198</x:f>
        <x:v>1105095</x:v>
      </x:c>
      <x:c r="I238" s="66" t="n">
        <x:f>'玩家战力_节点'!F198</x:f>
        <x:v>5</x:v>
      </x:c>
      <x:c r="J238" s="40" t="n">
        <x:f>'玩家战力_节点'!B198</x:f>
        <x:v>187</x:v>
      </x:c>
    </x:row>
    <x:row r="239" ht="25" customHeight="1">
      <x:c r="A239" s="40" t="str">
        <x:f>IF('调前玩家曲线'!C199=0,"序章",'调前玩家曲线'!C199)&amp;"-"&amp;'调前玩家曲线'!D199</x:f>
        <x:v>13-14</x:v>
      </x:c>
      <x:c r="B239" s="60" t="n">
        <x:f>IF(G239=0,0,ROUND(G239,2-INT(LOG10(ABS(G239)))))</x:f>
        <x:v>1430000</x:v>
      </x:c>
      <x:c r="C239" s="55" t="n">
        <x:f>IF(H239=0,0,ROUND(H239,2-INT(LOG10(ABS(H239)))))</x:f>
        <x:v>1110000</x:v>
      </x:c>
      <x:c r="D239" s="62" t="n">
        <x:f>H239/G239-1</x:f>
        <x:v>-0.22231355526095797</x:v>
      </x:c>
      <x:c r="E239" s="62" t="n">
        <x:f>G239/G238-1</x:f>
        <x:v>0.002809658772028323</x:v>
      </x:c>
      <x:c r="F239" s="62" t="n">
        <x:f>H239/H238-1</x:f>
        <x:v>0.005940665734620154</x:v>
      </x:c>
      <x:c r="G239" s="60" t="n">
        <x:f>'调前玩家曲线'!AU199</x:f>
        <x:v>1429445</x:v>
      </x:c>
      <x:c r="H239" s="60" t="n">
        <x:f>'玩家战力_节点'!AU199</x:f>
        <x:v>1111660</x:v>
      </x:c>
      <x:c r="I239" s="66" t="n">
        <x:f>'玩家战力_节点'!F199</x:f>
        <x:v>5</x:v>
      </x:c>
      <x:c r="J239" s="40" t="n">
        <x:f>'玩家战力_节点'!B199</x:f>
        <x:v>188</x:v>
      </x:c>
    </x:row>
    <x:row r="240" ht="25" customHeight="1">
      <x:c r="A240" s="40" t="str">
        <x:f>IF('调前玩家曲线'!C200=0,"序章",'调前玩家曲线'!C200)&amp;"-"&amp;'调前玩家曲线'!D200</x:f>
        <x:v>13-15</x:v>
      </x:c>
      <x:c r="B240" s="60" t="n">
        <x:f>IF(G240=0,0,ROUND(G240,2-INT(LOG10(ABS(G240)))))</x:f>
        <x:v>1430000</x:v>
      </x:c>
      <x:c r="C240" s="55" t="n">
        <x:f>IF(H240=0,0,ROUND(H240,2-INT(LOG10(ABS(H240)))))</x:f>
        <x:v>1120000</x:v>
      </x:c>
      <x:c r="D240" s="62" t="n">
        <x:f>H240/G240-1</x:f>
        <x:v>-0.21985446985446988</x:v>
      </x:c>
      <x:c r="E240" s="62" t="n">
        <x:f>G240/G239-1</x:f>
        <x:v>0.0027528166526169517</x:v>
      </x:c>
      <x:c r="F240" s="62" t="n">
        <x:f>H240/H239-1</x:f>
        <x:v>0.005923573754565314</x:v>
      </x:c>
      <x:c r="G240" s="60" t="n">
        <x:f>'调前玩家曲线'!AU200</x:f>
        <x:v>1433380</x:v>
      </x:c>
      <x:c r="H240" s="60" t="n">
        <x:f>'玩家战力_节点'!AU200</x:f>
        <x:v>1118245</x:v>
      </x:c>
      <x:c r="I240" s="66" t="n">
        <x:f>'玩家战力_节点'!F200</x:f>
        <x:v>5</x:v>
      </x:c>
      <x:c r="J240" s="40" t="n">
        <x:f>'玩家战力_节点'!B200</x:f>
        <x:v>189</x:v>
      </x:c>
    </x:row>
    <x:row r="241" ht="25" customHeight="1">
      <x:c r="A241" s="40" t="str">
        <x:f>IF('调前玩家曲线'!C201=0,"序章",'调前玩家曲线'!C201)&amp;"-"&amp;'调前玩家曲线'!D201</x:f>
        <x:v>14-1</x:v>
      </x:c>
      <x:c r="B241" s="60" t="n">
        <x:f>IF(G241=0,0,ROUND(G241,2-INT(LOG10(ABS(G241)))))</x:f>
        <x:v>1440000</x:v>
      </x:c>
      <x:c r="C241" s="55" t="n">
        <x:f>IF(H241=0,0,ROUND(H241,2-INT(LOG10(ABS(H241)))))</x:f>
        <x:v>1120000</x:v>
      </x:c>
      <x:c r="D241" s="62" t="n">
        <x:f>H241/G241-1</x:f>
        <x:v>-0.2176351283184147</x:v>
      </x:c>
      <x:c r="E241" s="62" t="n">
        <x:f>G241/G240-1</x:f>
        <x:v>0.0026964238373634597</x:v>
      </x:c>
      <x:c r="F241" s="62" t="n">
        <x:f>H241/H240-1</x:f>
        <x:v>0.005548873457963177</x:v>
      </x:c>
      <x:c r="G241" s="60" t="n">
        <x:f>'调前玩家曲线'!AU201</x:f>
        <x:v>1437245</x:v>
      </x:c>
      <x:c r="H241" s="60" t="n">
        <x:f>'玩家战力_节点'!AU201</x:f>
        <x:v>1124450</x:v>
      </x:c>
      <x:c r="I241" s="66" t="n">
        <x:f>'玩家战力_节点'!F201</x:f>
        <x:v>5</x:v>
      </x:c>
      <x:c r="J241" s="40" t="n">
        <x:f>'玩家战力_节点'!B201</x:f>
        <x:v>190</x:v>
      </x:c>
    </x:row>
    <x:row r="242" ht="25" customHeight="1">
      <x:c r="A242" s="40" t="str">
        <x:f>IF('调前玩家曲线'!C202=0,"序章",'调前玩家曲线'!C202)&amp;"-"&amp;'调前玩家曲线'!D202</x:f>
        <x:v>14-2</x:v>
      </x:c>
      <x:c r="B242" s="60" t="n">
        <x:f>IF(G242=0,0,ROUND(G242,2-INT(LOG10(ABS(G242)))))</x:f>
        <x:v>1440000</x:v>
      </x:c>
      <x:c r="C242" s="55" t="n">
        <x:f>IF(H242=0,0,ROUND(H242,2-INT(LOG10(ABS(H242)))))</x:f>
        <x:v>1130000</x:v>
      </x:c>
      <x:c r="D242" s="62" t="n">
        <x:f>H242/G242-1</x:f>
        <x:v>-0.21561511130849942</x:v>
      </x:c>
      <x:c r="E242" s="62" t="n">
        <x:f>G242/G241-1</x:f>
        <x:v>0.0026404683961329667</x:v>
      </x:c>
      <x:c r="F242" s="62" t="n">
        <x:f>H242/H241-1</x:f>
        <x:v>0.0052292231757749</x:v>
      </x:c>
      <x:c r="G242" s="60" t="n">
        <x:f>'调前玩家曲线'!AU202</x:f>
        <x:v>1441040</x:v>
      </x:c>
      <x:c r="H242" s="60" t="n">
        <x:f>'玩家战力_节点'!AU202</x:f>
        <x:v>1130330</x:v>
      </x:c>
      <x:c r="I242" s="66" t="n">
        <x:f>'玩家战力_节点'!F202</x:f>
        <x:v>5</x:v>
      </x:c>
      <x:c r="J242" s="40" t="n">
        <x:f>'玩家战力_节点'!B202</x:f>
        <x:v>191</x:v>
      </x:c>
    </x:row>
    <x:row r="243" ht="25" customHeight="1">
      <x:c r="A243" s="40" t="str">
        <x:f>IF('调前玩家曲线'!C203=0,"序章",'调前玩家曲线'!C203)&amp;"-"&amp;'调前玩家曲线'!D203</x:f>
        <x:v>14-3</x:v>
      </x:c>
      <x:c r="B243" s="60" t="n">
        <x:f>IF(G243=0,0,ROUND(G243,2-INT(LOG10(ABS(G243)))))</x:f>
        <x:v>1440000</x:v>
      </x:c>
      <x:c r="C243" s="55" t="n">
        <x:f>IF(H243=0,0,ROUND(H243,2-INT(LOG10(ABS(H243)))))</x:f>
        <x:v>1140000</x:v>
      </x:c>
      <x:c r="D243" s="62" t="n">
        <x:f>H243/G243-1</x:f>
        <x:v>-0.2135564830388228</x:v>
      </x:c>
      <x:c r="E243" s="62" t="n">
        <x:f>G243/G242-1</x:f>
        <x:v>0.0025884083717315765</x:v>
      </x:c>
      <x:c r="F243" s="62" t="n">
        <x:f>H243/H242-1</x:f>
        <x:v>0.0052197145966221825</x:v>
      </x:c>
      <x:c r="G243" s="60" t="n">
        <x:f>'调前玩家曲线'!AU203</x:f>
        <x:v>1444770</x:v>
      </x:c>
      <x:c r="H243" s="60" t="n">
        <x:f>'玩家战力_节点'!AU203</x:f>
        <x:v>1136230</x:v>
      </x:c>
      <x:c r="I243" s="66" t="n">
        <x:f>'玩家战力_节点'!F203</x:f>
        <x:v>5</x:v>
      </x:c>
      <x:c r="J243" s="40" t="n">
        <x:f>'玩家战力_节点'!B203</x:f>
        <x:v>192</x:v>
      </x:c>
    </x:row>
    <x:row r="244" ht="25" customHeight="1">
      <x:c r="A244" s="40" t="str">
        <x:f>IF('调前玩家曲线'!C204=0,"序章",'调前玩家曲线'!C204)&amp;"-"&amp;'调前玩家曲线'!D204</x:f>
        <x:v>14-4</x:v>
      </x:c>
      <x:c r="B244" s="60" t="n">
        <x:f>IF(G244=0,0,ROUND(G244,2-INT(LOG10(ABS(G244)))))</x:f>
        <x:v>1450000</x:v>
      </x:c>
      <x:c r="C244" s="55" t="n">
        <x:f>IF(H244=0,0,ROUND(H244,2-INT(LOG10(ABS(H244)))))</x:f>
        <x:v>1140000</x:v>
      </x:c>
      <x:c r="D244" s="62" t="n">
        <x:f>H244/G244-1</x:f>
        <x:v>-0.2114565426012993</x:v>
      </x:c>
      <x:c r="E244" s="62" t="n">
        <x:f>G244/G243-1</x:f>
        <x:v>0.0025332751925912778</x:v>
      </x:c>
      <x:c r="F244" s="62" t="n">
        <x:f>H244/H243-1</x:f>
        <x:v>0.005210212721016072</x:v>
      </x:c>
      <x:c r="G244" s="60" t="n">
        <x:f>'调前玩家曲线'!AU204</x:f>
        <x:v>1448430</x:v>
      </x:c>
      <x:c r="H244" s="60" t="n">
        <x:f>'玩家战力_节点'!AU204</x:f>
        <x:v>1142150</x:v>
      </x:c>
      <x:c r="I244" s="66" t="n">
        <x:f>'玩家战力_节点'!F204</x:f>
        <x:v>5</x:v>
      </x:c>
      <x:c r="J244" s="40" t="n">
        <x:f>'玩家战力_节点'!B204</x:f>
        <x:v>193</x:v>
      </x:c>
    </x:row>
    <x:row r="245" ht="25" customHeight="1">
      <x:c r="A245" s="40" t="str">
        <x:f>IF('调前玩家曲线'!C205=0,"序章",'调前玩家曲线'!C205)&amp;"-"&amp;'调前玩家曲线'!D205</x:f>
        <x:v>14-5</x:v>
      </x:c>
      <x:c r="B245" s="60" t="n">
        <x:f>IF(G245=0,0,ROUND(G245,2-INT(LOG10(ABS(G245)))))</x:f>
        <x:v>1450000</x:v>
      </x:c>
      <x:c r="C245" s="55" t="n">
        <x:f>IF(H245=0,0,ROUND(H245,2-INT(LOG10(ABS(H245)))))</x:f>
        <x:v>1150000</x:v>
      </x:c>
      <x:c r="D245" s="62" t="n">
        <x:f>H245/G245-1</x:f>
        <x:v>-0.20932146485081182</x:v>
      </x:c>
      <x:c r="E245" s="62" t="n">
        <x:f>G245/G244-1</x:f>
        <x:v>0.002481997749287146</x:v>
      </x:c>
      <x:c r="F245" s="62" t="n">
        <x:f>H245/H244-1</x:f>
        <x:v>0.0051963402355206245</x:v>
      </x:c>
      <x:c r="G245" s="60" t="n">
        <x:f>'调前玩家曲线'!AU205</x:f>
        <x:v>1452025</x:v>
      </x:c>
      <x:c r="H245" s="60" t="n">
        <x:f>'玩家战力_节点'!AU205</x:f>
        <x:v>1148085</x:v>
      </x:c>
      <x:c r="I245" s="66" t="n">
        <x:f>'玩家战力_节点'!F205</x:f>
        <x:v>5</x:v>
      </x:c>
      <x:c r="J245" s="40" t="n">
        <x:f>'玩家战力_节点'!B205</x:f>
        <x:v>194</x:v>
      </x:c>
    </x:row>
    <x:row r="246" ht="25" customHeight="1">
      <x:c r="A246" s="40" t="str">
        <x:f>IF('调前玩家曲线'!C206=0,"序章",'调前玩家曲线'!C206)&amp;"-"&amp;'调前玩家曲线'!D206</x:f>
        <x:v>14-6</x:v>
      </x:c>
      <x:c r="B246" s="60" t="n">
        <x:f>IF(G246=0,0,ROUND(G246,2-INT(LOG10(ABS(G246)))))</x:f>
        <x:v>1460000</x:v>
      </x:c>
      <x:c r="C246" s="55" t="n">
        <x:f>IF(H246=0,0,ROUND(H246,2-INT(LOG10(ABS(H246)))))</x:f>
        <x:v>1150000</x:v>
      </x:c>
      <x:c r="D246" s="62" t="n">
        <x:f>H246/G246-1</x:f>
        <x:v>-0.2071477889877057</x:v>
      </x:c>
      <x:c r="E246" s="62" t="n">
        <x:f>G246/G245-1</x:f>
        <x:v>0.0024310876190147823</x:v>
      </x:c>
      <x:c r="F246" s="62" t="n">
        <x:f>H246/H245-1</x:f>
        <x:v>0.005186898182625743</x:v>
      </x:c>
      <x:c r="G246" s="60" t="n">
        <x:f>'调前玩家曲线'!AU206</x:f>
        <x:v>1455555</x:v>
      </x:c>
      <x:c r="H246" s="60" t="n">
        <x:f>'玩家战力_节点'!AU206</x:f>
        <x:v>1154040</x:v>
      </x:c>
      <x:c r="I246" s="66" t="n">
        <x:f>'玩家战力_节点'!F206</x:f>
        <x:v>5</x:v>
      </x:c>
      <x:c r="J246" s="40" t="n">
        <x:f>'玩家战力_节点'!B206</x:f>
        <x:v>195</x:v>
      </x:c>
    </x:row>
    <x:row r="247" ht="25" customHeight="1">
      <x:c r="A247" s="40" t="str">
        <x:f>IF('调前玩家曲线'!C207=0,"序章",'调前玩家曲线'!C207)&amp;"-"&amp;'调前玩家曲线'!D207</x:f>
        <x:v>14-7</x:v>
      </x:c>
      <x:c r="B247" s="60" t="n">
        <x:f>IF(G247=0,0,ROUND(G247,2-INT(LOG10(ABS(G247)))))</x:f>
        <x:v>1460000</x:v>
      </x:c>
      <x:c r="C247" s="55" t="n">
        <x:f>IF(H247=0,0,ROUND(H247,2-INT(LOG10(ABS(H247)))))</x:f>
        <x:v>1160000</x:v>
      </x:c>
      <x:c r="D247" s="62" t="n">
        <x:f>H247/G247-1</x:f>
        <x:v>-0.20493550465380872</x:v>
      </x:c>
      <x:c r="E247" s="62" t="n">
        <x:f>G247/G246-1</x:f>
        <x:v>0.0023805352597463525</x:v>
      </x:c>
      <x:c r="F247" s="62" t="n">
        <x:f>H247/H246-1</x:f>
        <x:v>0.005177463519462133</x:v>
      </x:c>
      <x:c r="G247" s="60" t="n">
        <x:f>'调前玩家曲线'!AU207</x:f>
        <x:v>1459020</x:v>
      </x:c>
      <x:c r="H247" s="60" t="n">
        <x:f>'玩家战力_节点'!AU207</x:f>
        <x:v>1160015</x:v>
      </x:c>
      <x:c r="I247" s="66" t="n">
        <x:f>'玩家战力_节点'!F207</x:f>
        <x:v>5</x:v>
      </x:c>
      <x:c r="J247" s="40" t="n">
        <x:f>'玩家战力_节点'!B207</x:f>
        <x:v>196</x:v>
      </x:c>
    </x:row>
    <x:row r="248" ht="25" customHeight="1">
      <x:c r="A248" s="40" t="str">
        <x:f>IF('调前玩家曲线'!C208=0,"序章",'调前玩家曲线'!C208)&amp;"-"&amp;'调前玩家曲线'!D208</x:f>
        <x:v>14-8</x:v>
      </x:c>
      <x:c r="B248" s="60" t="n">
        <x:f>IF(G248=0,0,ROUND(G248,2-INT(LOG10(ABS(G248)))))</x:f>
        <x:v>1460000</x:v>
      </x:c>
      <x:c r="C248" s="55" t="n">
        <x:f>IF(H248=0,0,ROUND(H248,2-INT(LOG10(ABS(H248)))))</x:f>
        <x:v>1170000</x:v>
      </x:c>
      <x:c r="D248" s="62" t="n">
        <x:f>H248/G248-1</x:f>
        <x:v>-0.202690736277074</x:v>
      </x:c>
      <x:c r="E248" s="62" t="n">
        <x:f>G248/G247-1</x:f>
        <x:v>0.0023337582761031594</x:v>
      </x:c>
      <x:c r="F248" s="62" t="n">
        <x:f>H248/H247-1</x:f>
        <x:v>0.005163726331125051</x:v>
      </x:c>
      <x:c r="G248" s="60" t="n">
        <x:f>'调前玩家曲线'!AU208</x:f>
        <x:v>1462425</x:v>
      </x:c>
      <x:c r="H248" s="60" t="n">
        <x:f>'玩家战力_节点'!AU208</x:f>
        <x:v>1166005</x:v>
      </x:c>
      <x:c r="I248" s="66" t="n">
        <x:f>'玩家战力_节点'!F208</x:f>
        <x:v>5</x:v>
      </x:c>
      <x:c r="J248" s="40" t="n">
        <x:f>'玩家战力_节点'!B208</x:f>
        <x:v>197</x:v>
      </x:c>
    </x:row>
    <x:row r="249" ht="25" customHeight="1">
      <x:c r="A249" s="40" t="str">
        <x:f>IF('调前玩家曲线'!C209=0,"序章",'调前玩家曲线'!C209)&amp;"-"&amp;'调前玩家曲线'!D209</x:f>
        <x:v>14-9</x:v>
      </x:c>
      <x:c r="B249" s="60" t="n">
        <x:f>IF(G249=0,0,ROUND(G249,2-INT(LOG10(ABS(G249)))))</x:f>
        <x:v>1470000</x:v>
      </x:c>
      <x:c r="C249" s="55" t="n">
        <x:f>IF(H249=0,0,ROUND(H249,2-INT(LOG10(ABS(H249)))))</x:f>
        <x:v>1170000</x:v>
      </x:c>
      <x:c r="D249" s="62" t="n">
        <x:f>H249/G249-1</x:f>
        <x:v>-0.20041002340066993</x:v>
      </x:c>
      <x:c r="E249" s="62" t="n">
        <x:f>G249/G248-1</x:f>
        <x:v>0.0022872967844504988</x:v>
      </x:c>
      <x:c r="F249" s="62" t="n">
        <x:f>H249/H248-1</x:f>
        <x:v>0.005154351825249481</x:v>
      </x:c>
      <x:c r="G249" s="60" t="n">
        <x:f>'调前玩家曲线'!AU209</x:f>
        <x:v>1465770</x:v>
      </x:c>
      <x:c r="H249" s="60" t="n">
        <x:f>'玩家战力_节点'!AU209</x:f>
        <x:v>1172015</x:v>
      </x:c>
      <x:c r="I249" s="66" t="n">
        <x:f>'玩家战力_节点'!F209</x:f>
        <x:v>5</x:v>
      </x:c>
      <x:c r="J249" s="40" t="n">
        <x:f>'玩家战力_节点'!B209</x:f>
        <x:v>198</x:v>
      </x:c>
    </x:row>
    <x:row r="250" ht="25" customHeight="1">
      <x:c r="A250" s="40" t="str">
        <x:f>IF('调前玩家曲线'!C210=0,"序章",'调前玩家曲线'!C210)&amp;"-"&amp;'调前玩家曲线'!D210</x:f>
        <x:v>14-10</x:v>
      </x:c>
      <x:c r="B250" s="60" t="n">
        <x:f>IF(G250=0,0,ROUND(G250,2-INT(LOG10(ABS(G250)))))</x:f>
        <x:v>1470000</x:v>
      </x:c>
      <x:c r="C250" s="55" t="n">
        <x:f>IF(H250=0,0,ROUND(H250,2-INT(LOG10(ABS(H250)))))</x:f>
        <x:v>1180000</x:v>
      </x:c>
      <x:c r="D250" s="62" t="n">
        <x:f>H250/G250-1</x:f>
        <x:v>-0.19809060277049795</x:v>
      </x:c>
      <x:c r="E250" s="62" t="n">
        <x:f>G250/G249-1</x:f>
        <x:v>0.0022377317041555322</x:v>
      </x:c>
      <x:c r="F250" s="62" t="n">
        <x:f>H250/H249-1</x:f>
        <x:v>0.005144985345750586</x:v>
      </x:c>
      <x:c r="G250" s="60" t="n">
        <x:f>'调前玩家曲线'!AU210</x:f>
        <x:v>1469050</x:v>
      </x:c>
      <x:c r="H250" s="60" t="n">
        <x:f>'玩家战力_节点'!AU210</x:f>
        <x:v>1178045</x:v>
      </x:c>
      <x:c r="I250" s="66" t="n">
        <x:f>'玩家战力_节点'!F210</x:f>
        <x:v>5</x:v>
      </x:c>
      <x:c r="J250" s="40" t="n">
        <x:f>'玩家战力_节点'!B210</x:f>
        <x:v>199</x:v>
      </x:c>
    </x:row>
    <x:row r="251" ht="25" customHeight="1">
      <x:c r="A251" s="40" t="str">
        <x:f>IF('调前玩家曲线'!C211=0,"序章",'调前玩家曲线'!C211)&amp;"-"&amp;'调前玩家曲线'!D211</x:f>
        <x:v>14-11</x:v>
      </x:c>
      <x:c r="B251" s="60" t="n">
        <x:f>IF(G251=0,0,ROUND(G251,2-INT(LOG10(ABS(G251)))))</x:f>
        <x:v>1470000</x:v>
      </x:c>
      <x:c r="C251" s="55" t="n">
        <x:f>IF(H251=0,0,ROUND(H251,2-INT(LOG10(ABS(H251)))))</x:f>
        <x:v>1180000</x:v>
      </x:c>
      <x:c r="D251" s="62" t="n">
        <x:f>H251/G251-1</x:f>
        <x:v>-0.19573788864172792</x:v>
      </x:c>
      <x:c r="E251" s="62" t="n">
        <x:f>G251/G250-1</x:f>
        <x:v>0.002195296279908776</x:v>
      </x:c>
      <x:c r="F251" s="62" t="n">
        <x:f>H251/H250-1</x:f>
        <x:v>0.005135627246837027</x:v>
      </x:c>
      <x:c r="G251" s="60" t="n">
        <x:f>'调前玩家曲线'!AU211</x:f>
        <x:v>1472275</x:v>
      </x:c>
      <x:c r="H251" s="60" t="n">
        <x:f>'玩家战力_节点'!AU211</x:f>
        <x:v>1184095</x:v>
      </x:c>
      <x:c r="I251" s="66" t="n">
        <x:f>'玩家战力_节点'!F211</x:f>
        <x:v>5</x:v>
      </x:c>
      <x:c r="J251" s="40" t="n">
        <x:f>'玩家战力_节点'!B211</x:f>
        <x:v>200</x:v>
      </x:c>
    </x:row>
    <x:row r="252" ht="25" customHeight="1">
      <x:c r="A252" s="40" t="str">
        <x:f>IF('调前玩家曲线'!C212=0,"序章",'调前玩家曲线'!C212)&amp;"-"&amp;'调前玩家曲线'!D212</x:f>
        <x:v>14-12</x:v>
      </x:c>
      <x:c r="B252" s="60" t="n">
        <x:f>IF(G252=0,0,ROUND(G252,2-INT(LOG10(ABS(G252)))))</x:f>
        <x:v>1480000</x:v>
      </x:c>
      <x:c r="C252" s="55" t="n">
        <x:f>IF(H252=0,0,ROUND(H252,2-INT(LOG10(ABS(H252)))))</x:f>
        <x:v>1190000</x:v>
      </x:c>
      <x:c r="D252" s="62" t="n">
        <x:f>H252/G252-1</x:f>
        <x:v>-0.19335249146017464</x:v>
      </x:c>
      <x:c r="E252" s="62" t="n">
        <x:f>G252/G251-1</x:f>
        <x:v>0.0021497342548097986</x:v>
      </x:c>
      <x:c r="F252" s="62" t="n">
        <x:f>H252/H251-1</x:f>
        <x:v>0.005122055240500023</x:v>
      </x:c>
      <x:c r="G252" s="60" t="n">
        <x:f>'调前玩家曲线'!AU212</x:f>
        <x:v>1475440</x:v>
      </x:c>
      <x:c r="H252" s="60" t="n">
        <x:f>'玩家战力_节点'!AU212</x:f>
        <x:v>1190160</x:v>
      </x:c>
      <x:c r="I252" s="66" t="n">
        <x:f>'玩家战力_节点'!F212</x:f>
        <x:v>5</x:v>
      </x:c>
      <x:c r="J252" s="40" t="n">
        <x:f>'玩家战力_节点'!B212</x:f>
        <x:v>201</x:v>
      </x:c>
    </x:row>
    <x:row r="253" ht="25" customHeight="1">
      <x:c r="A253" s="40" t="str">
        <x:f>IF('调前玩家曲线'!C213=0,"序章",'调前玩家曲线'!C213)&amp;"-"&amp;'调前玩家曲线'!D213</x:f>
        <x:v>14-13</x:v>
      </x:c>
      <x:c r="B253" s="60" t="n">
        <x:f>IF(G253=0,0,ROUND(G253,2-INT(LOG10(ABS(G253)))))</x:f>
        <x:v>1480000</x:v>
      </x:c>
      <x:c r="C253" s="55" t="n">
        <x:f>IF(H253=0,0,ROUND(H253,2-INT(LOG10(ABS(H253)))))</x:f>
        <x:v>1200000</x:v>
      </x:c>
      <x:c r="D253" s="62" t="n">
        <x:f>H253/G253-1</x:f>
        <x:v>-0.19093094900730112</x:v>
      </x:c>
      <x:c r="E253" s="62" t="n">
        <x:f>G253/G252-1</x:f>
        <x:v>0.002104456975546176</x:v>
      </x:c>
      <x:c r="F253" s="62" t="n">
        <x:f>H253/H252-1</x:f>
        <x:v>0.005112757948511071</x:v>
      </x:c>
      <x:c r="G253" s="60" t="n">
        <x:f>'调前玩家曲线'!AU213</x:f>
        <x:v>1478545</x:v>
      </x:c>
      <x:c r="H253" s="60" t="n">
        <x:f>'玩家战力_节点'!AU213</x:f>
        <x:v>1196245</x:v>
      </x:c>
      <x:c r="I253" s="66" t="n">
        <x:f>'玩家战力_节点'!F213</x:f>
        <x:v>5</x:v>
      </x:c>
      <x:c r="J253" s="40" t="n">
        <x:f>'玩家战力_节点'!B213</x:f>
        <x:v>202</x:v>
      </x:c>
    </x:row>
    <x:row r="254" ht="25" customHeight="1">
      <x:c r="A254" s="40" t="str">
        <x:f>IF('调前玩家曲线'!C214=0,"序章",'调前玩家曲线'!C214)&amp;"-"&amp;'调前玩家曲线'!D214</x:f>
        <x:v>14-14</x:v>
      </x:c>
      <x:c r="B254" s="60" t="n">
        <x:f>IF(G254=0,0,ROUND(G254,2-INT(LOG10(ABS(G254)))))</x:f>
        <x:v>1480000</x:v>
      </x:c>
      <x:c r="C254" s="55" t="n">
        <x:f>IF(H254=0,0,ROUND(H254,2-INT(LOG10(ABS(H254)))))</x:f>
        <x:v>1200000</x:v>
      </x:c>
      <x:c r="D254" s="62" t="n">
        <x:f>H254/G254-1</x:f>
        <x:v>-0.18847593303163146</x:v>
      </x:c>
      <x:c r="E254" s="62" t="n">
        <x:f>G254/G253-1</x:f>
        <x:v>0.002062838804365086</x:v>
      </x:c>
      <x:c r="F254" s="62" t="n">
        <x:f>H254/H253-1</x:f>
        <x:v>0.005103469606978495</x:v>
      </x:c>
      <x:c r="G254" s="60" t="n">
        <x:f>'调前玩家曲线'!AU214</x:f>
        <x:v>1481595</x:v>
      </x:c>
      <x:c r="H254" s="60" t="n">
        <x:f>'玩家战力_节点'!AU214</x:f>
        <x:v>1202350</x:v>
      </x:c>
      <x:c r="I254" s="66" t="n">
        <x:f>'玩家战力_节点'!F214</x:f>
        <x:v>5</x:v>
      </x:c>
      <x:c r="J254" s="40" t="n">
        <x:f>'玩家战力_节点'!B214</x:f>
        <x:v>203</x:v>
      </x:c>
    </x:row>
    <x:row r="255" ht="25" customHeight="1">
      <x:c r="A255" s="40" t="str">
        <x:f>IF('调前玩家曲线'!C215=0,"序章",'调前玩家曲线'!C215)&amp;"-"&amp;'调前玩家曲线'!D215</x:f>
        <x:v>14-15</x:v>
      </x:c>
      <x:c r="B255" s="60" t="n">
        <x:f>IF(G255=0,0,ROUND(G255,2-INT(LOG10(ABS(G255)))))</x:f>
        <x:v>1480000</x:v>
      </x:c>
      <x:c r="C255" s="55" t="n">
        <x:f>IF(H255=0,0,ROUND(H255,2-INT(LOG10(ABS(H255)))))</x:f>
        <x:v>1210000</x:v>
      </x:c>
      <x:c r="D255" s="62" t="n">
        <x:f>H255/G255-1</x:f>
        <x:v>-0.18599074491947276</x:v>
      </x:c>
      <x:c r="E255" s="62" t="n">
        <x:f>G255/G254-1</x:f>
        <x:v>0.002021470104853318</x:v>
      </x:c>
      <x:c r="F255" s="62" t="n">
        <x:f>H255/H254-1</x:f>
        <x:v>0.0050900320206261895</x:v>
      </x:c>
      <x:c r="G255" s="60" t="n">
        <x:f>'调前玩家曲线'!AU215</x:f>
        <x:v>1484590</x:v>
      </x:c>
      <x:c r="H255" s="60" t="n">
        <x:f>'玩家战力_节点'!AU215</x:f>
        <x:v>1208470</x:v>
      </x:c>
      <x:c r="I255" s="66" t="n">
        <x:f>'玩家战力_节点'!F215</x:f>
        <x:v>5</x:v>
      </x:c>
      <x:c r="J255" s="40" t="n">
        <x:f>'玩家战力_节点'!B215</x:f>
        <x:v>204</x:v>
      </x:c>
    </x:row>
    <x:row r="256" ht="25" customHeight="1">
      <x:c r="A256" s="40" t="str">
        <x:f>IF('调前玩家曲线'!C216=0,"序章",'调前玩家曲线'!C216)&amp;"-"&amp;'调前玩家曲线'!D216</x:f>
        <x:v>15-1</x:v>
      </x:c>
      <x:c r="B256" s="60" t="n">
        <x:f>IF(G256=0,0,ROUND(G256,2-INT(LOG10(ABS(G256)))))</x:f>
        <x:v>1490000</x:v>
      </x:c>
      <x:c r="C256" s="55" t="n">
        <x:f>IF(H256=0,0,ROUND(H256,2-INT(LOG10(ABS(H256)))))</x:f>
        <x:v>1210000</x:v>
      </x:c>
      <x:c r="D256" s="62" t="n">
        <x:f>H256/G256-1</x:f>
        <x:v>-0.18369041296646116</x:v>
      </x:c>
      <x:c r="E256" s="62" t="n">
        <x:f>G256/G255-1</x:f>
        <x:v>0.0019803447416457676</x:v>
      </x:c>
      <x:c r="F256" s="62" t="n">
        <x:f>H256/H255-1</x:f>
        <x:v>0.004811869554064208</x:v>
      </x:c>
      <x:c r="G256" s="60" t="n">
        <x:f>'调前玩家曲线'!AU216</x:f>
        <x:v>1487530</x:v>
      </x:c>
      <x:c r="H256" s="60" t="n">
        <x:f>'玩家战力_节点'!AU216</x:f>
        <x:v>1214285</x:v>
      </x:c>
      <x:c r="I256" s="66" t="n">
        <x:f>'玩家战力_节点'!F216</x:f>
        <x:v>5</x:v>
      </x:c>
      <x:c r="J256" s="40" t="n">
        <x:f>'玩家战力_节点'!B216</x:f>
        <x:v>205</x:v>
      </x:c>
    </x:row>
    <x:row r="257" ht="25" customHeight="1">
      <x:c r="A257" s="40" t="str">
        <x:f>IF('调前玩家曲线'!C217=0,"序章",'调前玩家曲线'!C217)&amp;"-"&amp;'调前玩家曲线'!D217</x:f>
        <x:v>15-2</x:v>
      </x:c>
      <x:c r="B257" s="60" t="n">
        <x:f>IF(G257=0,0,ROUND(G257,2-INT(LOG10(ABS(G257)))))</x:f>
        <x:v>1490000</x:v>
      </x:c>
      <x:c r="C257" s="55" t="n">
        <x:f>IF(H257=0,0,ROUND(H257,2-INT(LOG10(ABS(H257)))))</x:f>
        <x:v>1220000</x:v>
      </x:c>
      <x:c r="D257" s="62" t="n">
        <x:f>H257/G257-1</x:f>
        <x:v>-0.18154278659706657</x:v>
      </x:c>
      <x:c r="E257" s="62" t="n">
        <x:f>G257/G256-1</x:f>
        <x:v>0.0019428179599738638</x:v>
      </x:c>
      <x:c r="F257" s="62" t="n">
        <x:f>H257/H256-1</x:f>
        <x:v>0.004578826222839005</x:v>
      </x:c>
      <x:c r="G257" s="60" t="n">
        <x:f>'调前玩家曲线'!AU217</x:f>
        <x:v>1490420</x:v>
      </x:c>
      <x:c r="H257" s="60" t="n">
        <x:f>'玩家战力_节点'!AU217</x:f>
        <x:v>1219845</x:v>
      </x:c>
      <x:c r="I257" s="66" t="n">
        <x:f>'玩家战力_节点'!F217</x:f>
        <x:v>5</x:v>
      </x:c>
      <x:c r="J257" s="40" t="n">
        <x:f>'玩家战力_节点'!B217</x:f>
        <x:v>206</x:v>
      </x:c>
    </x:row>
    <x:row r="258" ht="25" customHeight="1">
      <x:c r="A258" s="40" t="str">
        <x:f>IF('调前玩家曲线'!C218=0,"序章",'调前玩家曲线'!C218)&amp;"-"&amp;'调前玩家曲线'!D218</x:f>
        <x:v>15-3</x:v>
      </x:c>
      <x:c r="B258" s="60" t="n">
        <x:f>IF(G258=0,0,ROUND(G258,2-INT(LOG10(ABS(G258)))))</x:f>
        <x:v>1490000</x:v>
      </x:c>
      <x:c r="C258" s="55" t="n">
        <x:f>IF(H258=0,0,ROUND(H258,2-INT(LOG10(ABS(H258)))))</x:f>
        <x:v>1230000</x:v>
      </x:c>
      <x:c r="D258" s="62" t="n">
        <x:f>H258/G258-1</x:f>
        <x:v>-0.17936045538255485</x:v>
      </x:c>
      <x:c r="E258" s="62" t="n">
        <x:f>G258/G257-1</x:f>
        <x:v>0.0018987936286416485</x:v>
      </x:c>
      <x:c r="F258" s="62" t="n">
        <x:f>H258/H257-1</x:f>
        <x:v>0.0045702527780169255</x:v>
      </x:c>
      <x:c r="G258" s="60" t="n">
        <x:f>'调前玩家曲线'!AU218</x:f>
        <x:v>1493250</x:v>
      </x:c>
      <x:c r="H258" s="60" t="n">
        <x:f>'玩家战力_节点'!AU218</x:f>
        <x:v>1225420</x:v>
      </x:c>
      <x:c r="I258" s="66" t="n">
        <x:f>'玩家战力_节点'!F218</x:f>
        <x:v>5</x:v>
      </x:c>
      <x:c r="J258" s="40" t="n">
        <x:f>'玩家战力_节点'!B218</x:f>
        <x:v>207</x:v>
      </x:c>
    </x:row>
    <x:row r="259" ht="25" customHeight="1">
      <x:c r="A259" s="40" t="str">
        <x:f>IF('调前玩家曲线'!C219=0,"序章",'调前玩家曲线'!C219)&amp;"-"&amp;'调前玩家曲线'!D219</x:f>
        <x:v>15-4</x:v>
      </x:c>
      <x:c r="B259" s="60" t="n">
        <x:f>IF(G259=0,0,ROUND(G259,2-INT(LOG10(ABS(G259)))))</x:f>
        <x:v>1500000</x:v>
      </x:c>
      <x:c r="C259" s="55" t="n">
        <x:f>IF(H259=0,0,ROUND(H259,2-INT(LOG10(ABS(H259)))))</x:f>
        <x:v>1230000</x:v>
      </x:c>
      <x:c r="D259" s="62" t="n">
        <x:f>H259/G259-1</x:f>
        <x:v>-0.1771516040734341</x:v>
      </x:c>
      <x:c r="E259" s="62" t="n">
        <x:f>G259/G258-1</x:f>
        <x:v>0.0018650594341202975</x:v>
      </x:c>
      <x:c r="F259" s="62" t="n">
        <x:f>H259/H258-1</x:f>
        <x:v>0.004561701294250042</x:v>
      </x:c>
      <x:c r="G259" s="60" t="n">
        <x:f>'调前玩家曲线'!AU219</x:f>
        <x:v>1496035</x:v>
      </x:c>
      <x:c r="H259" s="60" t="n">
        <x:f>'玩家战力_节点'!AU219</x:f>
        <x:v>1231010</x:v>
      </x:c>
      <x:c r="I259" s="66" t="n">
        <x:f>'玩家战力_节点'!F219</x:f>
        <x:v>5</x:v>
      </x:c>
      <x:c r="J259" s="40" t="n">
        <x:f>'玩家战力_节点'!B219</x:f>
        <x:v>208</x:v>
      </x:c>
    </x:row>
    <x:row r="260" ht="25" customHeight="1">
      <x:c r="A260" s="40" t="str">
        <x:f>IF('调前玩家曲线'!C220=0,"序章",'调前玩家曲线'!C220)&amp;"-"&amp;'调前玩家曲线'!D220</x:f>
        <x:v>15-5</x:v>
      </x:c>
      <x:c r="B260" s="60" t="n">
        <x:f>IF(G260=0,0,ROUND(G260,2-INT(LOG10(ABS(G260)))))</x:f>
        <x:v>1500000</x:v>
      </x:c>
      <x:c r="C260" s="55" t="n">
        <x:f>IF(H260=0,0,ROUND(H260,2-INT(LOG10(ABS(H260)))))</x:f>
        <x:v>1240000</x:v>
      </x:c>
      <x:c r="D260" s="62" t="n">
        <x:f>H260/G260-1</x:f>
        <x:v>-0.17491067645694958</x:v>
      </x:c>
      <x:c r="E260" s="62" t="n">
        <x:f>G260/G259-1</x:f>
        <x:v>0.001824823617094573</x:v>
      </x:c>
      <x:c r="F260" s="62" t="n">
        <x:f>H260/H259-1</x:f>
        <x:v>0.0045531717857694165</x:v>
      </x:c>
      <x:c r="G260" s="60" t="n">
        <x:f>'调前玩家曲线'!AU220</x:f>
        <x:v>1498765</x:v>
      </x:c>
      <x:c r="H260" s="60" t="n">
        <x:f>'玩家战力_节点'!AU220</x:f>
        <x:v>1236615</x:v>
      </x:c>
      <x:c r="I260" s="66" t="n">
        <x:f>'玩家战力_节点'!F220</x:f>
        <x:v>5</x:v>
      </x:c>
      <x:c r="J260" s="40" t="n">
        <x:f>'玩家战力_节点'!B220</x:f>
        <x:v>209</x:v>
      </x:c>
    </x:row>
    <x:row r="261" ht="25" customHeight="1">
      <x:c r="A261" s="40" t="str">
        <x:f>IF('调前玩家曲线'!C221=0,"序章",'调前玩家曲线'!C221)&amp;"-"&amp;'调前玩家曲线'!D221</x:f>
        <x:v>15-6</x:v>
      </x:c>
      <x:c r="B261" s="60" t="n">
        <x:f>IF(G261=0,0,ROUND(G261,2-INT(LOG10(ABS(G261)))))</x:f>
        <x:v>1500000</x:v>
      </x:c>
      <x:c r="C261" s="55" t="n">
        <x:f>IF(H261=0,0,ROUND(H261,2-INT(LOG10(ABS(H261)))))</x:f>
        <x:v>1240000</x:v>
      </x:c>
      <x:c r="D261" s="62" t="n">
        <x:f>H261/G261-1</x:f>
        <x:v>-0.17264035645661346</x:v>
      </x:c>
      <x:c r="E261" s="62" t="n">
        <x:f>G261/G260-1</x:f>
        <x:v>0.0017881389010285798</x:v>
      </x:c>
      <x:c r="F261" s="62" t="n">
        <x:f>H261/H260-1</x:f>
        <x:v>0.00454466426494915</x:v>
      </x:c>
      <x:c r="G261" s="60" t="n">
        <x:f>'调前玩家曲线'!AU221</x:f>
        <x:v>1501445</x:v>
      </x:c>
      <x:c r="H261" s="60" t="n">
        <x:f>'玩家战力_节点'!AU221</x:f>
        <x:v>1242235</x:v>
      </x:c>
      <x:c r="I261" s="66" t="n">
        <x:f>'玩家战力_节点'!F221</x:f>
        <x:v>5</x:v>
      </x:c>
      <x:c r="J261" s="40" t="n">
        <x:f>'玩家战力_节点'!B221</x:f>
        <x:v>210</x:v>
      </x:c>
    </x:row>
    <x:row r="262" ht="25" customHeight="1">
      <x:c r="A262" s="40" t="str">
        <x:f>IF('调前玩家曲线'!C222=0,"序章",'调前玩家曲线'!C222)&amp;"-"&amp;'调前玩家曲线'!D222</x:f>
        <x:v>15-7</x:v>
      </x:c>
      <x:c r="B262" s="60" t="n">
        <x:f>IF(G262=0,0,ROUND(G262,2-INT(LOG10(ABS(G262)))))</x:f>
        <x:v>1500000</x:v>
      </x:c>
      <x:c r="C262" s="55" t="n">
        <x:f>IF(H262=0,0,ROUND(H262,2-INT(LOG10(ABS(H262)))))</x:f>
        <x:v>1250000</x:v>
      </x:c>
      <x:c r="D262" s="62" t="n">
        <x:f>H262/G262-1</x:f>
        <x:v>-0.17034333280144676</x:v>
      </x:c>
      <x:c r="E262" s="62" t="n">
        <x:f>G262/G261-1</x:f>
        <x:v>0.0017549760397483904</x:v>
      </x:c>
      <x:c r="F262" s="62" t="n">
        <x:f>H262/H261-1</x:f>
        <x:v>0.004536178742347463</x:v>
      </x:c>
      <x:c r="G262" s="60" t="n">
        <x:f>'调前玩家曲线'!AU222</x:f>
        <x:v>1504080</x:v>
      </x:c>
      <x:c r="H262" s="60" t="n">
        <x:f>'玩家战力_节点'!AU222</x:f>
        <x:v>1247870</x:v>
      </x:c>
      <x:c r="I262" s="66" t="n">
        <x:f>'玩家战力_节点'!F222</x:f>
        <x:v>5</x:v>
      </x:c>
      <x:c r="J262" s="40" t="n">
        <x:f>'玩家战力_节点'!B222</x:f>
        <x:v>211</x:v>
      </x:c>
    </x:row>
    <x:row r="263" ht="25" customHeight="1">
      <x:c r="A263" s="40" t="str">
        <x:f>IF('调前玩家曲线'!C223=0,"序章",'调前玩家曲线'!C223)&amp;"-"&amp;'调前玩家曲线'!D223</x:f>
        <x:v>15-8</x:v>
      </x:c>
      <x:c r="B263" s="60" t="n">
        <x:f>IF(G263=0,0,ROUND(G263,2-INT(LOG10(ABS(G263)))))</x:f>
        <x:v>1510000</x:v>
      </x:c>
      <x:c r="C263" s="55" t="n">
        <x:f>IF(H263=0,0,ROUND(H263,2-INT(LOG10(ABS(H263)))))</x:f>
        <x:v>1250000</x:v>
      </x:c>
      <x:c r="D263" s="62" t="n">
        <x:f>H263/G263-1</x:f>
        <x:v>-0.16801401776114055</x:v>
      </x:c>
      <x:c r="E263" s="62" t="n">
        <x:f>G263/G262-1</x:f>
        <x:v>0.0017153342907292313</x:v>
      </x:c>
      <x:c r="F263" s="62" t="n">
        <x:f>H263/H262-1</x:f>
        <x:v>0.004527715226746443</x:v>
      </x:c>
      <x:c r="G263" s="60" t="n">
        <x:f>'调前玩家曲线'!AU223</x:f>
        <x:v>1506660</x:v>
      </x:c>
      <x:c r="H263" s="60" t="n">
        <x:f>'玩家战力_节点'!AU223</x:f>
        <x:v>1253520</x:v>
      </x:c>
      <x:c r="I263" s="66" t="n">
        <x:f>'玩家战力_节点'!F223</x:f>
        <x:v>5</x:v>
      </x:c>
      <x:c r="J263" s="40" t="n">
        <x:f>'玩家战力_节点'!B223</x:f>
        <x:v>212</x:v>
      </x:c>
    </x:row>
    <x:row r="264" ht="25" customHeight="1">
      <x:c r="A264" s="40" t="str">
        <x:f>IF('调前玩家曲线'!C224=0,"序章",'调前玩家曲线'!C224)&amp;"-"&amp;'调前玩家曲线'!D224</x:f>
        <x:v>15-9</x:v>
      </x:c>
      <x:c r="B264" s="60" t="n">
        <x:f>IF(G264=0,0,ROUND(G264,2-INT(LOG10(ABS(G264)))))</x:f>
        <x:v>1510000</x:v>
      </x:c>
      <x:c r="C264" s="55" t="n">
        <x:f>IF(H264=0,0,ROUND(H264,2-INT(LOG10(ABS(H264)))))</x:f>
        <x:v>1260000</x:v>
      </x:c>
      <x:c r="D264" s="62" t="n">
        <x:f>H264/G264-1</x:f>
        <x:v>-0.16565730188179173</x:v>
      </x:c>
      <x:c r="E264" s="62" t="n">
        <x:f>G264/G263-1</x:f>
        <x:v>0.00168584816746975</x:v>
      </x:c>
      <x:c r="F264" s="62" t="n">
        <x:f>H264/H263-1</x:f>
        <x:v>0.004523262492820201</x:v>
      </x:c>
      <x:c r="G264" s="60" t="n">
        <x:f>'调前玩家曲线'!AU224</x:f>
        <x:v>1509200</x:v>
      </x:c>
      <x:c r="H264" s="60" t="n">
        <x:f>'玩家战力_节点'!AU224</x:f>
        <x:v>1259190</x:v>
      </x:c>
      <x:c r="I264" s="66" t="n">
        <x:f>'玩家战力_节点'!F224</x:f>
        <x:v>5</x:v>
      </x:c>
      <x:c r="J264" s="40" t="n">
        <x:f>'玩家战力_节点'!B224</x:f>
        <x:v>213</x:v>
      </x:c>
    </x:row>
    <x:row r="265" ht="25" customHeight="1">
      <x:c r="A265" s="40" t="str">
        <x:f>IF('调前玩家曲线'!C225=0,"序章",'调前玩家曲线'!C225)&amp;"-"&amp;'调前玩家曲线'!D225</x:f>
        <x:v>15-10</x:v>
      </x:c>
      <x:c r="B265" s="60" t="n">
        <x:f>IF(G265=0,0,ROUND(G265,2-INT(LOG10(ABS(G265)))))</x:f>
        <x:v>1510000</x:v>
      </x:c>
      <x:c r="C265" s="55" t="n">
        <x:f>IF(H265=0,0,ROUND(H265,2-INT(LOG10(ABS(H265)))))</x:f>
        <x:v>1260000</x:v>
      </x:c>
      <x:c r="D265" s="62" t="n">
        <x:f>H265/G265-1</x:f>
        <x:v>-0.16327421627450067</x:v>
      </x:c>
      <x:c r="E265" s="62" t="n">
        <x:f>G265/G264-1</x:f>
        <x:v>0.0016498807315132868</x:v>
      </x:c>
      <x:c r="F265" s="62" t="n">
        <x:f>H265/H264-1</x:f>
        <x:v>0.004510836331292234</x:v>
      </x:c>
      <x:c r="G265" s="60" t="n">
        <x:f>'调前玩家曲线'!AU225</x:f>
        <x:v>1511690</x:v>
      </x:c>
      <x:c r="H265" s="60" t="n">
        <x:f>'玩家战力_节点'!AU225</x:f>
        <x:v>1264870</x:v>
      </x:c>
      <x:c r="I265" s="66" t="n">
        <x:f>'玩家战力_节点'!F225</x:f>
        <x:v>5</x:v>
      </x:c>
      <x:c r="J265" s="40" t="n">
        <x:f>'玩家战力_节点'!B225</x:f>
        <x:v>214</x:v>
      </x:c>
    </x:row>
    <x:row r="266" ht="25" customHeight="1">
      <x:c r="A266" s="40" t="str">
        <x:f>IF('调前玩家曲线'!C226=0,"序章",'调前玩家曲线'!C226)&amp;"-"&amp;'调前玩家曲线'!D226</x:f>
        <x:v>15-11</x:v>
      </x:c>
      <x:c r="B266" s="60" t="n">
        <x:f>IF(G266=0,0,ROUND(G266,2-INT(LOG10(ABS(G266)))))</x:f>
        <x:v>1510000</x:v>
      </x:c>
      <x:c r="C266" s="55" t="n">
        <x:f>IF(H266=0,0,ROUND(H266,2-INT(LOG10(ABS(H266)))))</x:f>
        <x:v>1270000</x:v>
      </x:c>
      <x:c r="D266" s="62" t="n">
        <x:f>H266/G266-1</x:f>
        <x:v>-0.16085805049764557</x:v>
      </x:c>
      <x:c r="E266" s="62" t="n">
        <x:f>G266/G265-1</x:f>
        <x:v>0.0016140875444039526</x:v>
      </x:c>
      <x:c r="F266" s="62" t="n">
        <x:f>H266/H265-1</x:f>
        <x:v>0.00450639196122915</x:v>
      </x:c>
      <x:c r="G266" s="60" t="n">
        <x:f>'调前玩家曲线'!AU226</x:f>
        <x:v>1514130</x:v>
      </x:c>
      <x:c r="H266" s="60" t="n">
        <x:f>'玩家战力_节点'!AU226</x:f>
        <x:v>1270570</x:v>
      </x:c>
      <x:c r="I266" s="66" t="n">
        <x:f>'玩家战力_节点'!F226</x:f>
        <x:v>5</x:v>
      </x:c>
      <x:c r="J266" s="40" t="n">
        <x:f>'玩家战力_节点'!B226</x:f>
        <x:v>215</x:v>
      </x:c>
    </x:row>
    <x:row r="267" ht="25" customHeight="1">
      <x:c r="A267" s="40" t="str">
        <x:f>IF('调前玩家曲线'!C227=0,"序章",'调前玩家曲线'!C227)&amp;"-"&amp;'调前玩家曲线'!D227</x:f>
        <x:v>15-12</x:v>
      </x:c>
      <x:c r="B267" s="60" t="n">
        <x:f>IF(G267=0,0,ROUND(G267,2-INT(LOG10(ABS(G267)))))</x:f>
        <x:v>1520000</x:v>
      </x:c>
      <x:c r="C267" s="55" t="n">
        <x:f>IF(H267=0,0,ROUND(H267,2-INT(LOG10(ABS(H267)))))</x:f>
        <x:v>1280000</x:v>
      </x:c>
      <x:c r="D267" s="62" t="n">
        <x:f>H267/G267-1</x:f>
        <x:v>-0.15842086869366245</x:v>
      </x:c>
      <x:c r="E267" s="62" t="n">
        <x:f>G267/G266-1</x:f>
        <x:v>0.0015850686532861147</x:v>
      </x:c>
      <x:c r="F267" s="62" t="n">
        <x:f>H267/H266-1</x:f>
        <x:v>0.004494045979363648</x:v>
      </x:c>
      <x:c r="G267" s="60" t="n">
        <x:f>'调前玩家曲线'!AU227</x:f>
        <x:v>1516530</x:v>
      </x:c>
      <x:c r="H267" s="60" t="n">
        <x:f>'玩家战力_节点'!AU227</x:f>
        <x:v>1276280</x:v>
      </x:c>
      <x:c r="I267" s="66" t="n">
        <x:f>'玩家战力_节点'!F227</x:f>
        <x:v>5</x:v>
      </x:c>
      <x:c r="J267" s="40" t="n">
        <x:f>'玩家战力_节点'!B227</x:f>
        <x:v>216</x:v>
      </x:c>
    </x:row>
    <x:row r="268" ht="25" customHeight="1">
      <x:c r="A268" s="40" t="str">
        <x:f>IF('调前玩家曲线'!C228=0,"序章",'调前玩家曲线'!C228)&amp;"-"&amp;'调前玩家曲线'!D228</x:f>
        <x:v>15-13</x:v>
      </x:c>
      <x:c r="B268" s="60" t="n">
        <x:f>IF(G268=0,0,ROUND(G268,2-INT(LOG10(ABS(G268)))))</x:f>
        <x:v>1520000</x:v>
      </x:c>
      <x:c r="C268" s="55" t="n">
        <x:f>IF(H268=0,0,ROUND(H268,2-INT(LOG10(ABS(H268)))))</x:f>
        <x:v>1280000</x:v>
      </x:c>
      <x:c r="D268" s="62" t="n">
        <x:f>H268/G268-1</x:f>
        <x:v>-0.15595321568123988</x:v>
      </x:c>
      <x:c r="E268" s="62" t="n">
        <x:f>G268/G267-1</x:f>
        <x:v>0.0015528871832406477</x:v>
      </x:c>
      <x:c r="F268" s="62" t="n">
        <x:f>H268/H267-1</x:f>
        <x:v>0.004489610430313151</x:v>
      </x:c>
      <x:c r="G268" s="60" t="n">
        <x:f>'调前玩家曲线'!AU228</x:f>
        <x:v>1518885</x:v>
      </x:c>
      <x:c r="H268" s="60" t="n">
        <x:f>'玩家战力_节点'!AU228</x:f>
        <x:v>1282010</x:v>
      </x:c>
      <x:c r="I268" s="66" t="n">
        <x:f>'玩家战力_节点'!F228</x:f>
        <x:v>5</x:v>
      </x:c>
      <x:c r="J268" s="40" t="n">
        <x:f>'玩家战力_节点'!B228</x:f>
        <x:v>217</x:v>
      </x:c>
    </x:row>
    <x:row r="269" ht="25" customHeight="1">
      <x:c r="A269" s="40" t="str">
        <x:f>IF('调前玩家曲线'!C229=0,"序章",'调前玩家曲线'!C229)&amp;"-"&amp;'调前玩家曲线'!D229</x:f>
        <x:v>15-14</x:v>
      </x:c>
      <x:c r="B269" s="60" t="n">
        <x:f>IF(G269=0,0,ROUND(G269,2-INT(LOG10(ABS(G269)))))</x:f>
        <x:v>1520000</x:v>
      </x:c>
      <x:c r="C269" s="55" t="n">
        <x:f>IF(H269=0,0,ROUND(H269,2-INT(LOG10(ABS(H269)))))</x:f>
        <x:v>1290000</x:v>
      </x:c>
      <x:c r="D269" s="62" t="n">
        <x:f>H269/G269-1</x:f>
        <x:v>-0.15345830087529866</x:v>
      </x:c>
      <x:c r="E269" s="62" t="n">
        <x:f>G269/G268-1</x:f>
        <x:v>0.001520852467435052</x:v>
      </x:c>
      <x:c r="F269" s="62" t="n">
        <x:f>H269/H268-1</x:f>
        <x:v>0.004481244296066222</x:v>
      </x:c>
      <x:c r="G269" s="60" t="n">
        <x:f>'调前玩家曲线'!AU229</x:f>
        <x:v>1521195</x:v>
      </x:c>
      <x:c r="H269" s="60" t="n">
        <x:f>'玩家战力_节点'!AU229</x:f>
        <x:v>1287755</x:v>
      </x:c>
      <x:c r="I269" s="66" t="n">
        <x:f>'玩家战力_节点'!F229</x:f>
        <x:v>5</x:v>
      </x:c>
      <x:c r="J269" s="40" t="n">
        <x:f>'玩家战力_节点'!B229</x:f>
        <x:v>218</x:v>
      </x:c>
    </x:row>
    <x:row r="270" ht="25" customHeight="1">
      <x:c r="A270" s="40" t="str">
        <x:f>IF('调前玩家曲线'!C230=0,"序章",'调前玩家曲线'!C230)&amp;"-"&amp;'调前玩家曲线'!D230</x:f>
        <x:v>15-15</x:v>
      </x:c>
      <x:c r="B270" s="60" t="n">
        <x:f>IF(G270=0,0,ROUND(G270,2-INT(LOG10(ABS(G270)))))</x:f>
        <x:v>1520000</x:v>
      </x:c>
      <x:c r="C270" s="55" t="n">
        <x:f>IF(H270=0,0,ROUND(H270,2-INT(LOG10(ABS(H270)))))</x:f>
        <x:v>1290000</x:v>
      </x:c>
      <x:c r="D270" s="62" t="n">
        <x:f>H270/G270-1</x:f>
        <x:v>-0.15093881382243768</x:v>
      </x:c>
      <x:c r="E270" s="62" t="n">
        <x:f>G270/G269-1</x:f>
        <x:v>0.0014922478709171738</x:v>
      </x:c>
      <x:c r="F270" s="62" t="n">
        <x:f>H270/H269-1</x:f>
        <x:v>0.004472900512908051</x:v>
      </x:c>
      <x:c r="G270" s="60" t="n">
        <x:f>'调前玩家曲线'!AU230</x:f>
        <x:v>1523465</x:v>
      </x:c>
      <x:c r="H270" s="60" t="n">
        <x:f>'玩家战力_节点'!AU230</x:f>
        <x:v>1293515</x:v>
      </x:c>
      <x:c r="I270" s="66" t="n">
        <x:f>'玩家战力_节点'!F230</x:f>
        <x:v>5</x:v>
      </x:c>
      <x:c r="J270" s="40" t="n">
        <x:f>'玩家战力_节点'!B230</x:f>
        <x:v>219</x:v>
      </x:c>
    </x:row>
    <x:row r="271" ht="25" customHeight="1">
      <x:c r="A271" s="40" t="str">
        <x:f>IF('调前玩家曲线'!C231=0,"序章",'调前玩家曲线'!C231)&amp;"-"&amp;'调前玩家曲线'!D231</x:f>
        <x:v>16-1</x:v>
      </x:c>
      <x:c r="B271" s="60" t="n">
        <x:f>IF(G271=0,0,ROUND(G271,2-INT(LOG10(ABS(G271)))))</x:f>
        <x:v>1530000</x:v>
      </x:c>
      <x:c r="C271" s="55" t="n">
        <x:f>IF(H271=0,0,ROUND(H271,2-INT(LOG10(ABS(H271)))))</x:f>
        <x:v>1300000</x:v>
      </x:c>
      <x:c r="D271" s="62" t="n">
        <x:f>H271/G271-1</x:f>
        <x:v>-0.14856228984918296</x:v>
      </x:c>
      <x:c r="E271" s="62" t="n">
        <x:f>G271/G270-1</x:f>
        <x:v>0.0014604864568599218</x:v>
      </x:c>
      <x:c r="F271" s="62" t="n">
        <x:f>H271/H270-1</x:f>
        <x:v>0.0042635763790910275</x:v>
      </x:c>
      <x:c r="G271" s="60" t="n">
        <x:f>'调前玩家曲线'!AU231</x:f>
        <x:v>1525690</x:v>
      </x:c>
      <x:c r="H271" s="60" t="n">
        <x:f>'玩家战力_节点'!AU231</x:f>
        <x:v>1299030</x:v>
      </x:c>
      <x:c r="I271" s="66" t="n">
        <x:f>'玩家战力_节点'!F231</x:f>
        <x:v>5</x:v>
      </x:c>
      <x:c r="J271" s="40" t="n">
        <x:f>'玩家战力_节点'!B231</x:f>
        <x:v>220</x:v>
      </x:c>
    </x:row>
    <x:row r="272" ht="25" customHeight="1">
      <x:c r="A272" s="40" t="str">
        <x:f>IF('调前玩家曲线'!C232=0,"序章",'调前玩家曲线'!C232)&amp;"-"&amp;'调前玩家曲线'!D232</x:f>
        <x:v>16-2</x:v>
      </x:c>
      <x:c r="B272" s="60" t="n">
        <x:f>IF(G272=0,0,ROUND(G272,2-INT(LOG10(ABS(G272)))))</x:f>
        <x:v>1530000</x:v>
      </x:c>
      <x:c r="C272" s="55" t="n">
        <x:f>IF(H272=0,0,ROUND(H272,2-INT(LOG10(ABS(H272)))))</x:f>
        <x:v>1300000</x:v>
      </x:c>
      <x:c r="D272" s="62" t="n">
        <x:f>H272/G272-1</x:f>
        <x:v>-0.14630123537593065</x:v>
      </x:c>
      <x:c r="E272" s="62" t="n">
        <x:f>G272/G271-1</x:f>
        <x:v>0.0014321389010873986</x:v>
      </x:c>
      <x:c r="F272" s="62" t="n">
        <x:f>H272/H271-1</x:f>
        <x:v>0.004091514437695842</x:v>
      </x:c>
      <x:c r="G272" s="60" t="n">
        <x:f>'调前玩家曲线'!AU232</x:f>
        <x:v>1527875</x:v>
      </x:c>
      <x:c r="H272" s="60" t="n">
        <x:f>'玩家战力_节点'!AU232</x:f>
        <x:v>1304345</x:v>
      </x:c>
      <x:c r="I272" s="66" t="n">
        <x:f>'玩家战力_节点'!F232</x:f>
        <x:v>5</x:v>
      </x:c>
      <x:c r="J272" s="40" t="n">
        <x:f>'玩家战力_节点'!B232</x:f>
        <x:v>221</x:v>
      </x:c>
    </x:row>
    <x:row r="273" ht="25" customHeight="1">
      <x:c r="A273" s="40" t="str">
        <x:f>IF('调前玩家曲线'!C233=0,"序章",'调前玩家曲线'!C233)&amp;"-"&amp;'调前玩家曲线'!D233</x:f>
        <x:v>16-3</x:v>
      </x:c>
      <x:c r="B273" s="60" t="n">
        <x:f>IF(G273=0,0,ROUND(G273,2-INT(LOG10(ABS(G273)))))</x:f>
        <x:v>1530000</x:v>
      </x:c>
      <x:c r="C273" s="55" t="n">
        <x:f>IF(H273=0,0,ROUND(H273,2-INT(LOG10(ABS(H273)))))</x:f>
        <x:v>1310000</x:v>
      </x:c>
      <x:c r="D273" s="62" t="n">
        <x:f>H273/G273-1</x:f>
        <x:v>-0.14401445732735518</x:v>
      </x:c>
      <x:c r="E273" s="62" t="n">
        <x:f>G273/G272-1</x:f>
        <x:v>0.0014039106602308227</x:v>
      </x:c>
      <x:c r="F273" s="62" t="n">
        <x:f>H273/H272-1</x:f>
        <x:v>0.00408634218707471</x:v>
      </x:c>
      <x:c r="G273" s="60" t="n">
        <x:f>'调前玩家曲线'!AU233</x:f>
        <x:v>1530020</x:v>
      </x:c>
      <x:c r="H273" s="60" t="n">
        <x:f>'玩家战力_节点'!AU233</x:f>
        <x:v>1309675</x:v>
      </x:c>
      <x:c r="I273" s="66" t="n">
        <x:f>'玩家战力_节点'!F233</x:f>
        <x:v>5</x:v>
      </x:c>
      <x:c r="J273" s="40" t="n">
        <x:f>'玩家战力_节点'!B233</x:f>
        <x:v>222</x:v>
      </x:c>
    </x:row>
    <x:row r="274" ht="25" customHeight="1">
      <x:c r="A274" s="40" t="str">
        <x:f>IF('调前玩家曲线'!C234=0,"序章",'调前玩家曲线'!C234)&amp;"-"&amp;'调前玩家曲线'!D234</x:f>
        <x:v>16-4</x:v>
      </x:c>
      <x:c r="B274" s="60" t="n">
        <x:f>IF(G274=0,0,ROUND(G274,2-INT(LOG10(ABS(G274)))))</x:f>
        <x:v>1530000</x:v>
      </x:c>
      <x:c r="C274" s="55" t="n">
        <x:f>IF(H274=0,0,ROUND(H274,2-INT(LOG10(ABS(H274)))))</x:f>
        <x:v>1320000</x:v>
      </x:c>
      <x:c r="D274" s="62" t="n">
        <x:f>H274/G274-1</x:f>
        <x:v>-0.14170794906437445</x:v>
      </x:c>
      <x:c r="E274" s="62" t="n">
        <x:f>G274/G273-1</x:f>
        <x:v>0.0013790669403015432</x:v>
      </x:c>
      <x:c r="F274" s="62" t="n">
        <x:f>H274/H273-1</x:f>
        <x:v>0.004077347433523615</x:v>
      </x:c>
      <x:c r="G274" s="60" t="n">
        <x:f>'调前玩家曲线'!AU234</x:f>
        <x:v>1532130</x:v>
      </x:c>
      <x:c r="H274" s="60" t="n">
        <x:f>'玩家战力_节点'!AU234</x:f>
        <x:v>1315015</x:v>
      </x:c>
      <x:c r="I274" s="66" t="n">
        <x:f>'玩家战力_节点'!F234</x:f>
        <x:v>5</x:v>
      </x:c>
      <x:c r="J274" s="40" t="n">
        <x:f>'玩家战力_节点'!B234</x:f>
        <x:v>223</x:v>
      </x:c>
    </x:row>
    <x:row r="275" ht="25" customHeight="1">
      <x:c r="A275" s="40" t="str">
        <x:f>IF('调前玩家曲线'!C235=0,"序章",'调前玩家曲线'!C235)&amp;"-"&amp;'调前玩家曲线'!D235</x:f>
        <x:v>16-5</x:v>
      </x:c>
      <x:c r="B275" s="60" t="n">
        <x:f>IF(G275=0,0,ROUND(G275,2-INT(LOG10(ABS(G275)))))</x:f>
        <x:v>1530000</x:v>
      </x:c>
      <x:c r="C275" s="55" t="n">
        <x:f>IF(H275=0,0,ROUND(H275,2-INT(LOG10(ABS(H275)))))</x:f>
        <x:v>1320000</x:v>
      </x:c>
      <x:c r="D275" s="62" t="n">
        <x:f>H275/G275-1</x:f>
        <x:v>-0.13937602456011133</x:v>
      </x:c>
      <x:c r="E275" s="62" t="n">
        <x:f>G275/G274-1</x:f>
        <x:v>0.0013477968579689303</x:v>
      </x:c>
      <x:c r="F275" s="62" t="n">
        <x:f>H275/H274-1</x:f>
        <x:v>0.004068394657095187</x:v>
      </x:c>
      <x:c r="G275" s="60" t="n">
        <x:f>'调前玩家曲线'!AU235</x:f>
        <x:v>1534195</x:v>
      </x:c>
      <x:c r="H275" s="60" t="n">
        <x:f>'玩家战力_节点'!AU235</x:f>
        <x:v>1320365</x:v>
      </x:c>
      <x:c r="I275" s="66" t="n">
        <x:f>'玩家战力_节点'!F235</x:f>
        <x:v>5</x:v>
      </x:c>
      <x:c r="J275" s="40" t="n">
        <x:f>'玩家战力_节点'!B235</x:f>
        <x:v>224</x:v>
      </x:c>
    </x:row>
    <x:row r="276" ht="25" customHeight="1">
      <x:c r="A276" s="40" t="str">
        <x:f>IF('调前玩家曲线'!C236=0,"序章",'调前玩家曲线'!C236)&amp;"-"&amp;'调前玩家曲线'!D236</x:f>
        <x:v>16-6</x:v>
      </x:c>
      <x:c r="B276" s="60" t="n">
        <x:f>IF(G276=0,0,ROUND(G276,2-INT(LOG10(ABS(G276)))))</x:f>
        <x:v>1540000</x:v>
      </x:c>
      <x:c r="C276" s="55" t="n">
        <x:f>IF(H276=0,0,ROUND(H276,2-INT(LOG10(ABS(H276)))))</x:f>
        <x:v>1330000</x:v>
      </x:c>
      <x:c r="D276" s="62" t="n">
        <x:f>H276/G276-1</x:f>
        <x:v>-0.13701813542331176</x:v>
      </x:c>
      <x:c r="E276" s="62" t="n">
        <x:f>G276/G275-1</x:f>
        <x:v>0.001319910441632155</x:v>
      </x:c>
      <x:c r="F276" s="62" t="n">
        <x:f>H276/H275-1</x:f>
        <x:v>0.004063270383568129</x:v>
      </x:c>
      <x:c r="G276" s="60" t="n">
        <x:f>'调前玩家曲线'!AU236</x:f>
        <x:v>1536220</x:v>
      </x:c>
      <x:c r="H276" s="60" t="n">
        <x:f>'玩家战力_节点'!AU236</x:f>
        <x:v>1325730</x:v>
      </x:c>
      <x:c r="I276" s="66" t="n">
        <x:f>'玩家战力_节点'!F236</x:f>
        <x:v>5</x:v>
      </x:c>
      <x:c r="J276" s="40" t="n">
        <x:f>'玩家战力_节点'!B236</x:f>
        <x:v>225</x:v>
      </x:c>
    </x:row>
    <x:row r="277" ht="25" customHeight="1">
      <x:c r="A277" s="40" t="str">
        <x:f>IF('调前玩家曲线'!C237=0,"序章",'调前玩家曲线'!C237)&amp;"-"&amp;'调前玩家曲线'!D237</x:f>
        <x:v>16-7</x:v>
      </x:c>
      <x:c r="B277" s="60" t="n">
        <x:f>IF(G277=0,0,ROUND(G277,2-INT(LOG10(ABS(G277)))))</x:f>
        <x:v>1540000</x:v>
      </x:c>
      <x:c r="C277" s="55" t="n">
        <x:f>IF(H277=0,0,ROUND(H277,2-INT(LOG10(ABS(H277)))))</x:f>
        <x:v>1330000</x:v>
      </x:c>
      <x:c r="D277" s="62" t="n">
        <x:f>H277/G277-1</x:f>
        <x:v>-0.13463982603212166</x:v>
      </x:c>
      <x:c r="E277" s="62" t="n">
        <x:f>G277/G276-1</x:f>
        <x:v>0.0012986421215710475</x:v>
      </x:c>
      <x:c r="F277" s="62" t="n">
        <x:f>H277/H276-1</x:f>
        <x:v>0.004058141552201411</x:v>
      </x:c>
      <x:c r="G277" s="60" t="n">
        <x:f>'调前玩家曲线'!AU237</x:f>
        <x:v>1538215</x:v>
      </x:c>
      <x:c r="H277" s="60" t="n">
        <x:f>'玩家战力_节点'!AU237</x:f>
        <x:v>1331110</x:v>
      </x:c>
      <x:c r="I277" s="66" t="n">
        <x:f>'玩家战力_节点'!F237</x:f>
        <x:v>5</x:v>
      </x:c>
      <x:c r="J277" s="40" t="n">
        <x:f>'玩家战力_节点'!B237</x:f>
        <x:v>226</x:v>
      </x:c>
    </x:row>
    <x:row r="278" ht="25" customHeight="1">
      <x:c r="A278" s="40" t="str">
        <x:f>IF('调前玩家曲线'!C238=0,"序章",'调前玩家曲线'!C238)&amp;"-"&amp;'调前玩家曲线'!D238</x:f>
        <x:v>16-8</x:v>
      </x:c>
      <x:c r="B278" s="60" t="n">
        <x:f>IF(G278=0,0,ROUND(G278,2-INT(LOG10(ABS(G278)))))</x:f>
        <x:v>1540000</x:v>
      </x:c>
      <x:c r="C278" s="55" t="n">
        <x:f>IF(H278=0,0,ROUND(H278,2-INT(LOG10(ABS(H278)))))</x:f>
        <x:v>1340000</x:v>
      </x:c>
      <x:c r="D278" s="62" t="n">
        <x:f>H278/G278-1</x:f>
        <x:v>-0.1322325854697386</x:v>
      </x:c>
      <x:c r="E278" s="62" t="n">
        <x:f>G278/G277-1</x:f>
        <x:v>0.0012677031494296997</x:v>
      </x:c>
      <x:c r="F278" s="62" t="n">
        <x:f>H278/H277-1</x:f>
        <x:v>0.004053008391492918</x:v>
      </x:c>
      <x:c r="G278" s="60" t="n">
        <x:f>'调前玩家曲线'!AU238</x:f>
        <x:v>1540165</x:v>
      </x:c>
      <x:c r="H278" s="60" t="n">
        <x:f>'玩家战力_节点'!AU238</x:f>
        <x:v>1336505</x:v>
      </x:c>
      <x:c r="I278" s="66" t="n">
        <x:f>'玩家战力_节点'!F238</x:f>
        <x:v>5</x:v>
      </x:c>
      <x:c r="J278" s="40" t="n">
        <x:f>'玩家战力_节点'!B238</x:f>
        <x:v>227</x:v>
      </x:c>
    </x:row>
    <x:row r="279" ht="25" customHeight="1">
      <x:c r="A279" s="40" t="str">
        <x:f>IF('调前玩家曲线'!C239=0,"序章",'调前玩家曲线'!C239)&amp;"-"&amp;'调前玩家曲线'!D239</x:f>
        <x:v>16-9</x:v>
      </x:c>
      <x:c r="B279" s="60" t="n">
        <x:f>IF(G279=0,0,ROUND(G279,2-INT(LOG10(ABS(G279)))))</x:f>
        <x:v>1540000</x:v>
      </x:c>
      <x:c r="C279" s="55" t="n">
        <x:f>IF(H279=0,0,ROUND(H279,2-INT(LOG10(ABS(H279)))))</x:f>
        <x:v>1340000</x:v>
      </x:c>
      <x:c r="D279" s="62" t="n">
        <x:f>H279/G279-1</x:f>
        <x:v>-0.12980801966169175</x:v>
      </x:c>
      <x:c r="E279" s="62" t="n">
        <x:f>G279/G278-1</x:f>
        <x:v>0.0012466196803588847</x:v>
      </x:c>
      <x:c r="F279" s="62" t="n">
        <x:f>H279/H278-1</x:f>
        <x:v>0.004044130025701254</x:v>
      </x:c>
      <x:c r="G279" s="60" t="n">
        <x:f>'调前玩家曲线'!AU239</x:f>
        <x:v>1542085</x:v>
      </x:c>
      <x:c r="H279" s="60" t="n">
        <x:f>'玩家战力_节点'!AU239</x:f>
        <x:v>1341910</x:v>
      </x:c>
      <x:c r="I279" s="66" t="n">
        <x:f>'玩家战力_节点'!F239</x:f>
        <x:v>5</x:v>
      </x:c>
      <x:c r="J279" s="40" t="n">
        <x:f>'玩家战力_节点'!B239</x:f>
        <x:v>228</x:v>
      </x:c>
    </x:row>
    <x:row r="280" ht="25" customHeight="1">
      <x:c r="A280" s="40" t="str">
        <x:f>IF('调前玩家曲线'!C240=0,"序章",'调前玩家曲线'!C240)&amp;"-"&amp;'调前玩家曲线'!D240</x:f>
        <x:v>16-10</x:v>
      </x:c>
      <x:c r="B280" s="60" t="n">
        <x:f>IF(G280=0,0,ROUND(G280,2-INT(LOG10(ABS(G280)))))</x:f>
        <x:v>1540000</x:v>
      </x:c>
      <x:c r="C280" s="55" t="n">
        <x:f>IF(H280=0,0,ROUND(H280,2-INT(LOG10(ABS(H280)))))</x:f>
        <x:v>1350000</x:v>
      </x:c>
      <x:c r="D280" s="62" t="n">
        <x:f>H280/G280-1</x:f>
        <x:v>-0.12735716159368893</x:v>
      </x:c>
      <x:c r="E280" s="62" t="n">
        <x:f>G280/G279-1</x:f>
        <x:v>0.0012191286472535978</x:v>
      </x:c>
      <x:c r="F280" s="62" t="n">
        <x:f>H280/H279-1</x:f>
        <x:v>0.00403901901021686</x:v>
      </x:c>
      <x:c r="G280" s="60" t="n">
        <x:f>'调前玩家曲线'!AU240</x:f>
        <x:v>1543965</x:v>
      </x:c>
      <x:c r="H280" s="60" t="n">
        <x:f>'玩家战力_节点'!AU240</x:f>
        <x:v>1347330</x:v>
      </x:c>
      <x:c r="I280" s="66" t="n">
        <x:f>'玩家战力_节点'!F240</x:f>
        <x:v>5</x:v>
      </x:c>
      <x:c r="J280" s="40" t="n">
        <x:f>'玩家战力_节点'!B240</x:f>
        <x:v>229</x:v>
      </x:c>
    </x:row>
    <x:row r="281" ht="25" customHeight="1">
      <x:c r="A281" s="40" t="str">
        <x:f>IF('调前玩家曲线'!C241=0,"序章",'调前玩家曲线'!C241)&amp;"-"&amp;'调前玩家曲线'!D241</x:f>
        <x:v>16-11</x:v>
      </x:c>
      <x:c r="B281" s="60" t="n">
        <x:f>IF(G281=0,0,ROUND(G281,2-INT(LOG10(ABS(G281)))))</x:f>
        <x:v>1550000</x:v>
      </x:c>
      <x:c r="C281" s="55" t="n">
        <x:f>IF(H281=0,0,ROUND(H281,2-INT(LOG10(ABS(H281)))))</x:f>
        <x:v>1350000</x:v>
      </x:c>
      <x:c r="D281" s="62" t="n">
        <x:f>H281/G281-1</x:f>
        <x:v>-0.12488274755629736</x:v>
      </x:c>
      <x:c r="E281" s="62" t="n">
        <x:f>G281/G280-1</x:f>
        <x:v>0.0011949752746986952</x:v>
      </x:c>
      <x:c r="F281" s="62" t="n">
        <x:f>H281/H280-1</x:f>
        <x:v>0.00403390409179627</x:v>
      </x:c>
      <x:c r="G281" s="60" t="n">
        <x:f>'调前玩家曲线'!AU241</x:f>
        <x:v>1545810</x:v>
      </x:c>
      <x:c r="H281" s="60" t="n">
        <x:f>'玩家战力_节点'!AU241</x:f>
        <x:v>1352765</x:v>
      </x:c>
      <x:c r="I281" s="66" t="n">
        <x:f>'玩家战力_节点'!F241</x:f>
        <x:v>5</x:v>
      </x:c>
      <x:c r="J281" s="40" t="n">
        <x:f>'玩家战力_节点'!B241</x:f>
        <x:v>230</x:v>
      </x:c>
    </x:row>
    <x:row r="282" ht="25" customHeight="1">
      <x:c r="A282" s="40" t="str">
        <x:f>IF('调前玩家曲线'!C242=0,"序章",'调前玩家曲线'!C242)&amp;"-"&amp;'调前玩家曲线'!D242</x:f>
        <x:v>16-12</x:v>
      </x:c>
      <x:c r="B282" s="60" t="n">
        <x:f>IF(G282=0,0,ROUND(G282,2-INT(LOG10(ABS(G282)))))</x:f>
        <x:v>1550000</x:v>
      </x:c>
      <x:c r="C282" s="55" t="n">
        <x:f>IF(H282=0,0,ROUND(H282,2-INT(LOG10(ABS(H282)))))</x:f>
        <x:v>1360000</x:v>
      </x:c>
      <x:c r="D282" s="62" t="n">
        <x:f>H282/G282-1</x:f>
        <x:v>-0.12239076003553828</x:v>
      </x:c>
      <x:c r="E282" s="62" t="n">
        <x:f>G282/G281-1</x:f>
        <x:v>0.0011741417121120534</x:v>
      </x:c>
      <x:c r="F282" s="62" t="n">
        <x:f>H282/H281-1</x:f>
        <x:v>0.00402508935402679</x:v>
      </x:c>
      <x:c r="G282" s="60" t="n">
        <x:f>'调前玩家曲线'!AU242</x:f>
        <x:v>1547625</x:v>
      </x:c>
      <x:c r="H282" s="60" t="n">
        <x:f>'玩家战力_节点'!AU242</x:f>
        <x:v>1358210</x:v>
      </x:c>
      <x:c r="I282" s="66" t="n">
        <x:f>'玩家战力_节点'!F242</x:f>
        <x:v>5</x:v>
      </x:c>
      <x:c r="J282" s="40" t="n">
        <x:f>'玩家战力_节点'!B242</x:f>
        <x:v>231</x:v>
      </x:c>
    </x:row>
    <x:row r="283" ht="25" customHeight="1">
      <x:c r="A283" s="40" t="str">
        <x:f>IF('调前玩家曲线'!C243=0,"序章",'调前玩家曲线'!C243)&amp;"-"&amp;'调前玩家曲线'!D243</x:f>
        <x:v>16-13</x:v>
      </x:c>
      <x:c r="B283" s="60" t="n">
        <x:f>IF(G283=0,0,ROUND(G283,2-INT(LOG10(ABS(G283)))))</x:f>
        <x:v>1550000</x:v>
      </x:c>
      <x:c r="C283" s="55" t="n">
        <x:f>IF(H283=0,0,ROUND(H283,2-INT(LOG10(ABS(H283)))))</x:f>
        <x:v>1360000</x:v>
      </x:c>
      <x:c r="D283" s="62" t="n">
        <x:f>H283/G283-1</x:f>
        <x:v>-0.1198722085968762</x:v>
      </x:c>
      <x:c r="E283" s="62" t="n">
        <x:f>G283/G282-1</x:f>
        <x:v>0.0011469186656973829</x:v>
      </x:c>
      <x:c r="F283" s="62" t="n">
        <x:f>H283/H282-1</x:f>
        <x:v>0.004019996907694612</x:v>
      </x:c>
      <x:c r="G283" s="60" t="n">
        <x:f>'调前玩家曲线'!AU243</x:f>
        <x:v>1549400</x:v>
      </x:c>
      <x:c r="H283" s="60" t="n">
        <x:f>'玩家战力_节点'!AU243</x:f>
        <x:v>1363670</x:v>
      </x:c>
      <x:c r="I283" s="66" t="n">
        <x:f>'玩家战力_节点'!F243</x:f>
        <x:v>5</x:v>
      </x:c>
      <x:c r="J283" s="40" t="n">
        <x:f>'玩家战力_节点'!B243</x:f>
        <x:v>232</x:v>
      </x:c>
    </x:row>
    <x:row r="284" ht="25" customHeight="1">
      <x:c r="A284" s="40" t="str">
        <x:f>IF('调前玩家曲线'!C244=0,"序章",'调前玩家曲线'!C244)&amp;"-"&amp;'调前玩家曲线'!D244</x:f>
        <x:v>16-14</x:v>
      </x:c>
      <x:c r="B284" s="60" t="n">
        <x:f>IF(G284=0,0,ROUND(G284,2-INT(LOG10(ABS(G284)))))</x:f>
        <x:v>1550000</x:v>
      </x:c>
      <x:c r="C284" s="55" t="n">
        <x:f>IF(H284=0,0,ROUND(H284,2-INT(LOG10(ABS(H284)))))</x:f>
        <x:v>1370000</x:v>
      </x:c>
      <x:c r="D284" s="62" t="n">
        <x:f>H284/G284-1</x:f>
        <x:v>-0.11733268005247732</x:v>
      </x:c>
      <x:c r="E284" s="62" t="n">
        <x:f>G284/G283-1</x:f>
        <x:v>0.001126242416419343</x:v>
      </x:c>
      <x:c r="F284" s="62" t="n">
        <x:f>H284/H283-1</x:f>
        <x:v>0.004014900965776169</x:v>
      </x:c>
      <x:c r="G284" s="60" t="n">
        <x:f>'调前玩家曲线'!AU244</x:f>
        <x:v>1551145</x:v>
      </x:c>
      <x:c r="H284" s="60" t="n">
        <x:f>'玩家战力_节点'!AU244</x:f>
        <x:v>1369145</x:v>
      </x:c>
      <x:c r="I284" s="66" t="n">
        <x:f>'玩家战力_节点'!F244</x:f>
        <x:v>5</x:v>
      </x:c>
      <x:c r="J284" s="40" t="n">
        <x:f>'玩家战力_节点'!B244</x:f>
        <x:v>233</x:v>
      </x:c>
    </x:row>
    <x:row r="285" ht="25" customHeight="1">
      <x:c r="A285" s="40" t="str">
        <x:f>IF('调前玩家曲线'!C245=0,"序章",'调前玩家曲线'!C245)&amp;"-"&amp;'调前玩家曲线'!D245</x:f>
        <x:v>16-15</x:v>
      </x:c>
      <x:c r="B285" s="60" t="n">
        <x:f>IF(G285=0,0,ROUND(G285,2-INT(LOG10(ABS(G285)))))</x:f>
        <x:v>1550000</x:v>
      </x:c>
      <x:c r="C285" s="55" t="n">
        <x:f>IF(H285=0,0,ROUND(H285,2-INT(LOG10(ABS(H285)))))</x:f>
        <x:v>1370000</x:v>
      </x:c>
      <x:c r="D285" s="62" t="n">
        <x:f>H285/G285-1</x:f>
        <x:v>-0.11477531780070327</x:v>
      </x:c>
      <x:c r="E285" s="62" t="n">
        <x:f>G285/G284-1</x:f>
        <x:v>0.0011056348697253693</x:v>
      </x:c>
      <x:c r="F285" s="62" t="n">
        <x:f>H285/H284-1</x:f>
        <x:v>0.004006149823430061</x:v>
      </x:c>
      <x:c r="G285" s="60" t="n">
        <x:f>'调前玩家曲线'!AU245</x:f>
        <x:v>1552860</x:v>
      </x:c>
      <x:c r="H285" s="60" t="n">
        <x:f>'玩家战力_节点'!AU245</x:f>
        <x:v>1374630</x:v>
      </x:c>
      <x:c r="I285" s="66" t="n">
        <x:f>'玩家战力_节点'!F245</x:f>
        <x:v>5</x:v>
      </x:c>
      <x:c r="J285" s="40" t="n">
        <x:f>'玩家战力_节点'!B245</x:f>
        <x:v>234</x:v>
      </x:c>
    </x:row>
    <x:row r="286" ht="25" customHeight="1">
      <x:c r="A286" s="40" t="str">
        <x:f>IF('调前玩家曲线'!C246=0,"序章",'调前玩家曲线'!C246)&amp;"-"&amp;'调前玩家曲线'!D246</x:f>
        <x:v>17-1</x:v>
      </x:c>
      <x:c r="B286" s="60" t="n">
        <x:f>IF(G286=0,0,ROUND(G286,2-INT(LOG10(ABS(G286)))))</x:f>
        <x:v>1550000</x:v>
      </x:c>
      <x:c r="C286" s="55" t="n">
        <x:f>IF(H286=0,0,ROUND(H286,2-INT(LOG10(ABS(H286)))))</x:f>
        <x:v>1380000</x:v>
      </x:c>
      <x:c r="D286" s="62" t="n">
        <x:f>H286/G286-1</x:f>
        <x:v>-0.11232583272222008</x:v>
      </x:c>
      <x:c r="E286" s="62" t="n">
        <x:f>G286/G285-1</x:f>
        <x:v>0.0010818747343610546</x:v>
      </x:c>
      <x:c r="F286" s="62" t="n">
        <x:f>H286/H285-1</x:f>
        <x:v>0.0038519456144563424</x:v>
      </x:c>
      <x:c r="G286" s="60" t="n">
        <x:f>'调前玩家曲线'!AU246</x:f>
        <x:v>1554540</x:v>
      </x:c>
      <x:c r="H286" s="60" t="n">
        <x:f>'玩家战力_节点'!AU246</x:f>
        <x:v>1379925</x:v>
      </x:c>
      <x:c r="I286" s="66" t="n">
        <x:f>'玩家战力_节点'!F246</x:f>
        <x:v>5</x:v>
      </x:c>
      <x:c r="J286" s="40" t="n">
        <x:f>'玩家战力_节点'!B246</x:f>
        <x:v>235</x:v>
      </x:c>
    </x:row>
    <x:row r="287" ht="25" customHeight="1">
      <x:c r="A287" s="40" t="str">
        <x:f>IF('调前玩家曲线'!C247=0,"序章",'调前玩家曲线'!C247)&amp;"-"&amp;'调前玩家曲线'!D247</x:f>
        <x:v>17-2</x:v>
      </x:c>
      <x:c r="B287" s="60" t="n">
        <x:f>IF(G287=0,0,ROUND(G287,2-INT(LOG10(ABS(G287)))))</x:f>
        <x:v>1560000</x:v>
      </x:c>
      <x:c r="C287" s="55" t="n">
        <x:f>IF(H287=0,0,ROUND(H287,2-INT(LOG10(ABS(H287)))))</x:f>
        <x:v>1390000</x:v>
      </x:c>
      <x:c r="D287" s="62" t="n">
        <x:f>H287/G287-1</x:f>
        <x:v>-0.109967291911656</x:v>
      </x:c>
      <x:c r="E287" s="62" t="n">
        <x:f>G287/G286-1</x:f>
        <x:v>0.0010614072330077384</x:v>
      </x:c>
      <x:c r="F287" s="62" t="n">
        <x:f>H287/H286-1</x:f>
        <x:v>0.003721216732793353</x:v>
      </x:c>
      <x:c r="G287" s="60" t="n">
        <x:f>'调前玩家曲线'!AU247</x:f>
        <x:v>1556190</x:v>
      </x:c>
      <x:c r="H287" s="60" t="n">
        <x:f>'玩家战力_节点'!AU247</x:f>
        <x:v>1385060</x:v>
      </x:c>
      <x:c r="I287" s="66" t="n">
        <x:f>'玩家战力_节点'!F247</x:f>
        <x:v>5</x:v>
      </x:c>
      <x:c r="J287" s="40" t="n">
        <x:f>'玩家战力_节点'!B247</x:f>
        <x:v>236</x:v>
      </x:c>
    </x:row>
    <x:row r="288" ht="25" customHeight="1">
      <x:c r="A288" s="40" t="str">
        <x:f>IF('调前玩家曲线'!C248=0,"序章",'调前玩家曲线'!C248)&amp;"-"&amp;'调前玩家曲线'!D248</x:f>
        <x:v>17-3</x:v>
      </x:c>
      <x:c r="B288" s="60" t="n">
        <x:f>IF(G288=0,0,ROUND(G288,2-INT(LOG10(ABS(G288)))))</x:f>
        <x:v>1560000</x:v>
      </x:c>
      <x:c r="C288" s="55" t="n">
        <x:f>IF(H288=0,0,ROUND(H288,2-INT(LOG10(ABS(H288)))))</x:f>
        <x:v>1390000</x:v>
      </x:c>
      <x:c r="D288" s="62" t="n">
        <x:f>H288/G288-1</x:f>
        <x:v>-0.10758693293790644</x:v>
      </x:c>
      <x:c r="E288" s="62" t="n">
        <x:f>G288/G287-1</x:f>
        <x:v>0.0010410039905153212</x:v>
      </x:c>
      <x:c r="F288" s="62" t="n">
        <x:f>H288/H287-1</x:f>
        <x:v>0.003718250472903639</x:v>
      </x:c>
      <x:c r="G288" s="60" t="n">
        <x:f>'调前玩家曲线'!AU248</x:f>
        <x:v>1557810</x:v>
      </x:c>
      <x:c r="H288" s="60" t="n">
        <x:f>'玩家战力_节点'!AU248</x:f>
        <x:v>1390210</x:v>
      </x:c>
      <x:c r="I288" s="66" t="n">
        <x:f>'玩家战力_节点'!F248</x:f>
        <x:v>5</x:v>
      </x:c>
      <x:c r="J288" s="40" t="n">
        <x:f>'玩家战力_节点'!B248</x:f>
        <x:v>237</x:v>
      </x:c>
    </x:row>
    <x:row r="289" ht="25" customHeight="1">
      <x:c r="A289" s="40" t="str">
        <x:f>IF('调前玩家曲线'!C249=0,"序章",'调前玩家曲线'!C249)&amp;"-"&amp;'调前玩家曲线'!D249</x:f>
        <x:v>17-4</x:v>
      </x:c>
      <x:c r="B289" s="60" t="n">
        <x:f>IF(G289=0,0,ROUND(G289,2-INT(LOG10(ABS(G289)))))</x:f>
        <x:v>1560000</x:v>
      </x:c>
      <x:c r="C289" s="55" t="n">
        <x:f>IF(H289=0,0,ROUND(H289,2-INT(LOG10(ABS(H289)))))</x:f>
        <x:v>1400000</x:v>
      </x:c>
      <x:c r="D289" s="62" t="n">
        <x:f>H289/G289-1</x:f>
        <x:v>-0.10519109914069513</x:v>
      </x:c>
      <x:c r="E289" s="62" t="n">
        <x:f>G289/G288-1</x:f>
        <x:v>0.0010206636239336042</x:v>
      </x:c>
      <x:c r="F289" s="62" t="n">
        <x:f>H289/H288-1</x:f>
        <x:v>0.0037080728810754415</x:v>
      </x:c>
      <x:c r="G289" s="60" t="n">
        <x:f>'调前玩家曲线'!AU249</x:f>
        <x:v>1559400</x:v>
      </x:c>
      <x:c r="H289" s="60" t="n">
        <x:f>'玩家战力_节点'!AU249</x:f>
        <x:v>1395365</x:v>
      </x:c>
      <x:c r="I289" s="66" t="n">
        <x:f>'玩家战力_节点'!F249</x:f>
        <x:v>5</x:v>
      </x:c>
      <x:c r="J289" s="40" t="n">
        <x:f>'玩家战力_节点'!B249</x:f>
        <x:v>238</x:v>
      </x:c>
    </x:row>
    <x:row r="290" ht="25" customHeight="1">
      <x:c r="A290" s="40" t="str">
        <x:f>IF('调前玩家曲线'!C250=0,"序章",'调前玩家曲线'!C250)&amp;"-"&amp;'调前玩家曲线'!D250</x:f>
        <x:v>17-5</x:v>
      </x:c>
      <x:c r="B290" s="60" t="n">
        <x:f>IF(G290=0,0,ROUND(G290,2-INT(LOG10(ABS(G290)))))</x:f>
        <x:v>1560000</x:v>
      </x:c>
      <x:c r="C290" s="55" t="n">
        <x:f>IF(H290=0,0,ROUND(H290,2-INT(LOG10(ABS(H290)))))</x:f>
        <x:v>1400000</x:v>
      </x:c>
      <x:c r="D290" s="62" t="n">
        <x:f>H290/G290-1</x:f>
        <x:v>-0.10277041939069353</x:v>
      </x:c>
      <x:c r="E290" s="62" t="n">
        <x:f>G290/G289-1</x:f>
        <x:v>0.0009971784019495722</x:v>
      </x:c>
      <x:c r="F290" s="62" t="n">
        <x:f>H290/H289-1</x:f>
        <x:v>0.00370512374898313</x:v>
      </x:c>
      <x:c r="G290" s="60" t="n">
        <x:f>'调前玩家曲线'!AU250</x:f>
        <x:v>1560955</x:v>
      </x:c>
      <x:c r="H290" s="60" t="n">
        <x:f>'玩家战力_节点'!AU250</x:f>
        <x:v>1400535</x:v>
      </x:c>
      <x:c r="I290" s="66" t="n">
        <x:f>'玩家战力_节点'!F250</x:f>
        <x:v>5</x:v>
      </x:c>
      <x:c r="J290" s="40" t="n">
        <x:f>'玩家战力_节点'!B250</x:f>
        <x:v>239</x:v>
      </x:c>
    </x:row>
    <x:row r="291" ht="25" customHeight="1">
      <x:c r="A291" s="40" t="str">
        <x:f>IF('调前玩家曲线'!C251=0,"序章",'调前玩家曲线'!C251)&amp;"-"&amp;'调前玩家曲线'!D251</x:f>
        <x:v>17-6</x:v>
      </x:c>
      <x:c r="B291" s="60" t="n">
        <x:f>IF(G291=0,0,ROUND(G291,2-INT(LOG10(ABS(G291)))))</x:f>
        <x:v>1560000</x:v>
      </x:c>
      <x:c r="C291" s="55" t="n">
        <x:f>IF(H291=0,0,ROUND(H291,2-INT(LOG10(ABS(H291)))))</x:f>
        <x:v>1410000</x:v>
      </x:c>
      <x:c r="D291" s="62" t="n">
        <x:f>H291/G291-1</x:f>
        <x:v>-0.1003305631734065</x:v>
      </x:c>
      <x:c r="E291" s="62" t="n">
        <x:f>G291/G290-1</x:f>
        <x:v>0.0009801691912962873</x:v>
      </x:c>
      <x:c r="F291" s="62" t="n">
        <x:f>H291/H290-1</x:f>
        <x:v>0.003702156675841728</x:v>
      </x:c>
      <x:c r="G291" s="60" t="n">
        <x:f>'调前玩家曲线'!AU251</x:f>
        <x:v>1562485</x:v>
      </x:c>
      <x:c r="H291" s="60" t="n">
        <x:f>'玩家战力_节点'!AU251</x:f>
        <x:v>1405720</x:v>
      </x:c>
      <x:c r="I291" s="66" t="n">
        <x:f>'玩家战力_节点'!F251</x:f>
        <x:v>5</x:v>
      </x:c>
      <x:c r="J291" s="40" t="n">
        <x:f>'玩家战力_节点'!B251</x:f>
        <x:v>240</x:v>
      </x:c>
    </x:row>
    <x:row r="292" ht="25" customHeight="1">
      <x:c r="A292" s="40" t="str">
        <x:f>IF('调前玩家曲线'!C252=0,"序章",'调前玩家曲线'!C252)&amp;"-"&amp;'调前玩家曲线'!D252</x:f>
        <x:v>17-7</x:v>
      </x:c>
      <x:c r="B292" s="60" t="n">
        <x:f>IF(G292=0,0,ROUND(G292,2-INT(LOG10(ABS(G292)))))</x:f>
        <x:v>1560000</x:v>
      </x:c>
      <x:c r="C292" s="55" t="n">
        <x:f>IF(H292=0,0,ROUND(H292,2-INT(LOG10(ABS(H292)))))</x:f>
        <x:v>1410000</x:v>
      </x:c>
      <x:c r="D292" s="62" t="n">
        <x:f>H292/G292-1</x:f>
        <x:v>-0.09787178265776209</x:v>
      </x:c>
      <x:c r="E292" s="62" t="n">
        <x:f>G292/G291-1</x:f>
        <x:v>0.0009600092160884088</x:v>
      </x:c>
      <x:c r="F292" s="62" t="n">
        <x:f>H292/H291-1</x:f>
        <x:v>0.0036956150584752656</x:v>
      </x:c>
      <x:c r="G292" s="60" t="n">
        <x:f>'调前玩家曲线'!AU252</x:f>
        <x:v>1563985</x:v>
      </x:c>
      <x:c r="H292" s="60" t="n">
        <x:f>'玩家战力_节点'!AU252</x:f>
        <x:v>1410915</x:v>
      </x:c>
      <x:c r="I292" s="66" t="n">
        <x:f>'玩家战力_节点'!F252</x:f>
        <x:v>5</x:v>
      </x:c>
      <x:c r="J292" s="40" t="n">
        <x:f>'玩家战力_节点'!B252</x:f>
        <x:v>241</x:v>
      </x:c>
    </x:row>
    <x:row r="293" ht="25" customHeight="1">
      <x:c r="A293" s="40" t="str">
        <x:f>IF('调前玩家曲线'!C253=0,"序章",'调前玩家曲线'!C253)&amp;"-"&amp;'调前玩家曲线'!D253</x:f>
        <x:v>17-8</x:v>
      </x:c>
      <x:c r="B293" s="60" t="n">
        <x:f>IF(G293=0,0,ROUND(G293,2-INT(LOG10(ABS(G293)))))</x:f>
        <x:v>1570000</x:v>
      </x:c>
      <x:c r="C293" s="55" t="n">
        <x:f>IF(H293=0,0,ROUND(H293,2-INT(LOG10(ABS(H293)))))</x:f>
        <x:v>1420000</x:v>
      </x:c>
      <x:c r="D293" s="62" t="n">
        <x:f>H293/G293-1</x:f>
        <x:v>-0.09539688015024339</x:v>
      </x:c>
      <x:c r="E293" s="62" t="n">
        <x:f>G293/G292-1</x:f>
        <x:v>0.0009431036742679755</x:v>
      </x:c>
      <x:c r="F293" s="62" t="n">
        <x:f>H293/H292-1</x:f>
        <x:v>0.003689095374278306</x:v>
      </x:c>
      <x:c r="G293" s="60" t="n">
        <x:f>'调前玩家曲线'!AU253</x:f>
        <x:v>1565460</x:v>
      </x:c>
      <x:c r="H293" s="60" t="n">
        <x:f>'玩家战力_节点'!AU253</x:f>
        <x:v>1416120</x:v>
      </x:c>
      <x:c r="I293" s="66" t="n">
        <x:f>'玩家战力_节点'!F253</x:f>
        <x:v>5</x:v>
      </x:c>
      <x:c r="J293" s="40" t="n">
        <x:f>'玩家战力_节点'!B253</x:f>
        <x:v>242</x:v>
      </x:c>
    </x:row>
    <x:row r="294" ht="25" customHeight="1">
      <x:c r="A294" s="40" t="str">
        <x:f>IF('调前玩家曲线'!C254=0,"序章",'调前玩家曲线'!C254)&amp;"-"&amp;'调前玩家曲线'!D254</x:f>
        <x:v>17-9</x:v>
      </x:c>
      <x:c r="B294" s="60" t="n">
        <x:f>IF(G294=0,0,ROUND(G294,2-INT(LOG10(ABS(G294)))))</x:f>
        <x:v>1570000</x:v>
      </x:c>
      <x:c r="C294" s="55" t="n">
        <x:f>IF(H294=0,0,ROUND(H294,2-INT(LOG10(ABS(H294)))))</x:f>
        <x:v>1420000</x:v>
      </x:c>
      <x:c r="D294" s="62" t="n">
        <x:f>H294/G294-1</x:f>
        <x:v>-0.09290288817764958</x:v>
      </x:c>
      <x:c r="E294" s="62" t="n">
        <x:f>G294/G293-1</x:f>
        <x:v>0.0009230513714819644</x:v>
      </x:c>
      <x:c r="F294" s="62" t="n">
        <x:f>H294/H293-1</x:f>
        <x:v>0.003682597519984121</x:v>
      </x:c>
      <x:c r="G294" s="60" t="n">
        <x:f>'调前玩家曲线'!AU254</x:f>
        <x:v>1566905</x:v>
      </x:c>
      <x:c r="H294" s="60" t="n">
        <x:f>'玩家战力_节点'!AU254</x:f>
        <x:v>1421335</x:v>
      </x:c>
      <x:c r="I294" s="66" t="n">
        <x:f>'玩家战力_节点'!F254</x:f>
        <x:v>5</x:v>
      </x:c>
      <x:c r="J294" s="40" t="n">
        <x:f>'玩家战力_节点'!B254</x:f>
        <x:v>243</x:v>
      </x:c>
    </x:row>
    <x:row r="295" ht="25" customHeight="1">
      <x:c r="A295" s="40" t="str">
        <x:f>IF('调前玩家曲线'!C255=0,"序章",'调前玩家曲线'!C255)&amp;"-"&amp;'调前玩家曲线'!D255</x:f>
        <x:v>17-10</x:v>
      </x:c>
      <x:c r="B295" s="60" t="n">
        <x:f>IF(G295=0,0,ROUND(G295,2-INT(LOG10(ABS(G295)))))</x:f>
        <x:v>1570000</x:v>
      </x:c>
      <x:c r="C295" s="55" t="n">
        <x:f>IF(H295=0,0,ROUND(H295,2-INT(LOG10(ABS(H295)))))</x:f>
        <x:v>1430000</x:v>
      </x:c>
      <x:c r="D295" s="62" t="n">
        <x:f>H295/G295-1</x:f>
        <x:v>-0.0903894282116271</x:v>
      </x:c>
      <x:c r="E295" s="62" t="n">
        <x:f>G295/G294-1</x:f>
        <x:v>0.0009062451137753502</x:v>
      </x:c>
      <x:c r="F295" s="62" t="n">
        <x:f>H295/H294-1</x:f>
        <x:v>0.00367963921243053</x:v>
      </x:c>
      <x:c r="G295" s="60" t="n">
        <x:f>'调前玩家曲线'!AU255</x:f>
        <x:v>1568325</x:v>
      </x:c>
      <x:c r="H295" s="60" t="n">
        <x:f>'玩家战力_节点'!AU255</x:f>
        <x:v>1426565</x:v>
      </x:c>
      <x:c r="I295" s="66" t="n">
        <x:f>'玩家战力_节点'!F255</x:f>
        <x:v>5</x:v>
      </x:c>
      <x:c r="J295" s="40" t="n">
        <x:f>'玩家战力_节点'!B255</x:f>
        <x:v>244</x:v>
      </x:c>
    </x:row>
    <x:row r="296" ht="25" customHeight="1">
      <x:c r="A296" s="40" t="str">
        <x:f>IF('调前玩家曲线'!C256=0,"序章",'调前玩家曲线'!C256)&amp;"-"&amp;'调前玩家曲线'!D256</x:f>
        <x:v>17-11</x:v>
      </x:c>
      <x:c r="B296" s="60" t="n">
        <x:f>IF(G296=0,0,ROUND(G296,2-INT(LOG10(ABS(G296)))))</x:f>
        <x:v>1570000</x:v>
      </x:c>
      <x:c r="C296" s="55" t="n">
        <x:f>IF(H296=0,0,ROUND(H296,2-INT(LOG10(ABS(H296)))))</x:f>
        <x:v>1430000</x:v>
      </x:c>
      <x:c r="D296" s="62" t="n">
        <x:f>H296/G296-1</x:f>
        <x:v>-0.08785671284277718</x:v>
      </x:c>
      <x:c r="E296" s="62" t="n">
        <x:f>G296/G295-1</x:f>
        <x:v>0.0008862958889261918</x:v>
      </x:c>
      <x:c r="F296" s="62" t="n">
        <x:f>H296/H295-1</x:f>
        <x:v>0.0036731589517478014</x:v>
      </x:c>
      <x:c r="G296" s="60" t="n">
        <x:f>'调前玩家曲线'!AU256</x:f>
        <x:v>1569715</x:v>
      </x:c>
      <x:c r="H296" s="60" t="n">
        <x:f>'玩家战力_节点'!AU256</x:f>
        <x:v>1431805</x:v>
      </x:c>
      <x:c r="I296" s="66" t="n">
        <x:f>'玩家战力_节点'!F256</x:f>
        <x:v>5</x:v>
      </x:c>
      <x:c r="J296" s="40" t="n">
        <x:f>'玩家战力_节点'!B256</x:f>
        <x:v>245</x:v>
      </x:c>
    </x:row>
    <x:row r="297" ht="25" customHeight="1">
      <x:c r="A297" s="40" t="str">
        <x:f>IF('调前玩家曲线'!C257=0,"序章",'调前玩家曲线'!C257)&amp;"-"&amp;'调前玩家曲线'!D257</x:f>
        <x:v>17-12</x:v>
      </x:c>
      <x:c r="B297" s="60" t="n">
        <x:f>IF(G297=0,0,ROUND(G297,2-INT(LOG10(ABS(G297)))))</x:f>
        <x:v>1570000</x:v>
      </x:c>
      <x:c r="C297" s="55" t="n">
        <x:f>IF(H297=0,0,ROUND(H297,2-INT(LOG10(ABS(H297)))))</x:f>
        <x:v>1440000</x:v>
      </x:c>
      <x:c r="D297" s="62" t="n">
        <x:f>H297/G297-1</x:f>
        <x:v>-0.08530437660717471</x:v>
      </x:c>
      <x:c r="E297" s="62" t="n">
        <x:f>G297/G296-1</x:f>
        <x:v>0.0008695846061228529</x:v>
      </x:c>
      <x:c r="F297" s="62" t="n">
        <x:f>H297/H296-1</x:f>
        <x:v>0.003670192519232618</x:v>
      </x:c>
      <x:c r="G297" s="60" t="n">
        <x:f>'调前玩家曲线'!AU257</x:f>
        <x:v>1571080</x:v>
      </x:c>
      <x:c r="H297" s="60" t="n">
        <x:f>'玩家战力_节点'!AU257</x:f>
        <x:v>1437060</x:v>
      </x:c>
      <x:c r="I297" s="66" t="n">
        <x:f>'玩家战力_节点'!F257</x:f>
        <x:v>5</x:v>
      </x:c>
      <x:c r="J297" s="40" t="n">
        <x:f>'玩家战力_节点'!B257</x:f>
        <x:v>246</x:v>
      </x:c>
    </x:row>
    <x:row r="298" ht="25" customHeight="1">
      <x:c r="A298" s="40" t="str">
        <x:f>IF('调前玩家曲线'!C258=0,"序章",'调前玩家曲线'!C258)&amp;"-"&amp;'调前玩家曲线'!D258</x:f>
        <x:v>17-13</x:v>
      </x:c>
      <x:c r="B298" s="60" t="n">
        <x:f>IF(G298=0,0,ROUND(G298,2-INT(LOG10(ABS(G298)))))</x:f>
        <x:v>1570000</x:v>
      </x:c>
      <x:c r="C298" s="55" t="n">
        <x:f>IF(H298=0,0,ROUND(H298,2-INT(LOG10(ABS(H298)))))</x:f>
        <x:v>1440000</x:v>
      </x:c>
      <x:c r="D298" s="62" t="n">
        <x:f>H298/G298-1</x:f>
        <x:v>-0.08273552867554468</x:v>
      </x:c>
      <x:c r="E298" s="62" t="n">
        <x:f>G298/G297-1</x:f>
        <x:v>0.0008529164651067678</x:v>
      </x:c>
      <x:c r="F298" s="62" t="n">
        <x:f>H298/H297-1</x:f>
        <x:v>0.003663730115652797</x:v>
      </x:c>
      <x:c r="G298" s="60" t="n">
        <x:f>'调前玩家曲线'!AU258</x:f>
        <x:v>1572420</x:v>
      </x:c>
      <x:c r="H298" s="60" t="n">
        <x:f>'玩家战力_节点'!AU258</x:f>
        <x:v>1442325</x:v>
      </x:c>
      <x:c r="I298" s="66" t="n">
        <x:f>'玩家战力_节点'!F258</x:f>
        <x:v>5</x:v>
      </x:c>
      <x:c r="J298" s="40" t="n">
        <x:f>'玩家战力_节点'!B258</x:f>
        <x:v>247</x:v>
      </x:c>
    </x:row>
    <x:row r="299" ht="25" customHeight="1">
      <x:c r="A299" s="40" t="str">
        <x:f>IF('调前玩家曲线'!C259=0,"序章",'调前玩家曲线'!C259)&amp;"-"&amp;'调前玩家曲线'!D259</x:f>
        <x:v>17-14</x:v>
      </x:c>
      <x:c r="B299" s="60" t="n">
        <x:f>IF(G299=0,0,ROUND(G299,2-INT(LOG10(ABS(G299)))))</x:f>
        <x:v>1570000</x:v>
      </x:c>
      <x:c r="C299" s="55" t="n">
        <x:f>IF(H299=0,0,ROUND(H299,2-INT(LOG10(ABS(H299)))))</x:f>
        <x:v>1450000</x:v>
      </x:c>
      <x:c r="D299" s="62" t="n">
        <x:f>H299/G299-1</x:f>
        <x:v>-0.08015008880148178</x:v>
      </x:c>
      <x:c r="E299" s="62" t="n">
        <x:f>G299/G298-1</x:f>
        <x:v>0.0008362905585022062</x:v>
      </x:c>
      <x:c r="F299" s="62" t="n">
        <x:f>H299/H298-1</x:f>
        <x:v>0.003657289445859968</x:v>
      </x:c>
      <x:c r="G299" s="60" t="n">
        <x:f>'调前玩家曲线'!AU259</x:f>
        <x:v>1573735</x:v>
      </x:c>
      <x:c r="H299" s="60" t="n">
        <x:f>'玩家战力_节点'!AU259</x:f>
        <x:v>1447600</x:v>
      </x:c>
      <x:c r="I299" s="66" t="n">
        <x:f>'玩家战力_节点'!F259</x:f>
        <x:v>5</x:v>
      </x:c>
      <x:c r="J299" s="40" t="n">
        <x:f>'玩家战力_节点'!B259</x:f>
        <x:v>248</x:v>
      </x:c>
    </x:row>
    <x:row r="300" ht="25" customHeight="1">
      <x:c r="A300" s="40" t="str">
        <x:f>IF('调前玩家曲线'!C260=0,"序章",'调前玩家曲线'!C260)&amp;"-"&amp;'调前玩家曲线'!D260</x:f>
        <x:v>17-15</x:v>
      </x:c>
      <x:c r="B300" s="60" t="n">
        <x:f>IF(G300=0,0,ROUND(G300,2-INT(LOG10(ABS(G300)))))</x:f>
        <x:v>1580000</x:v>
      </x:c>
      <x:c r="C300" s="55" t="n">
        <x:f>IF(H300=0,0,ROUND(H300,2-INT(LOG10(ABS(H300)))))</x:f>
        <x:v>1450000</x:v>
      </x:c>
      <x:c r="D300" s="62" t="n">
        <x:f>H300/G300-1</x:f>
        <x:v>-0.07754480087617655</x:v>
      </x:c>
      <x:c r="E300" s="62" t="n">
        <x:f>G300/G299-1</x:f>
        <x:v>0.0008197059860777234</x:v>
      </x:c>
      <x:c r="F300" s="62" t="n">
        <x:f>H300/H299-1</x:f>
        <x:v>0.00365432439900526</x:v>
      </x:c>
      <x:c r="G300" s="60" t="n">
        <x:f>'调前玩家曲线'!AU260</x:f>
        <x:v>1575025</x:v>
      </x:c>
      <x:c r="H300" s="60" t="n">
        <x:f>'玩家战力_节点'!AU260</x:f>
        <x:v>1452890</x:v>
      </x:c>
      <x:c r="I300" s="66" t="n">
        <x:f>'玩家战力_节点'!F260</x:f>
        <x:v>5</x:v>
      </x:c>
      <x:c r="J300" s="40" t="n">
        <x:f>'玩家战力_节点'!B260</x:f>
        <x:v>249</x:v>
      </x:c>
    </x:row>
    <x:row r="301" ht="25" customHeight="1">
      <x:c r="A301" s="40" t="str">
        <x:f>IF('调前玩家曲线'!C261=0,"序章",'调前玩家曲线'!C261)&amp;"-"&amp;'调前玩家曲线'!D261</x:f>
        <x:v>18-1</x:v>
      </x:c>
      <x:c r="B301" s="60" t="n">
        <x:f>IF(G301=0,0,ROUND(G301,2-INT(LOG10(ABS(G301)))))</x:f>
        <x:v>1580000</x:v>
      </x:c>
      <x:c r="C301" s="55" t="n">
        <x:f>IF(H301=0,0,ROUND(H301,2-INT(LOG10(ABS(H301)))))</x:f>
        <x:v>1460000</x:v>
      </x:c>
      <x:c r="D301" s="62" t="n">
        <x:f>H301/G301-1</x:f>
        <x:v>-0.07502719985789463</x:v>
      </x:c>
      <x:c r="E301" s="62" t="n">
        <x:f>G301/G300-1</x:f>
        <x:v>0.0008063364073587209</x:v>
      </x:c>
      <x:c r="F301" s="62" t="n">
        <x:f>H301/H300-1</x:f>
        <x:v>0.0035377764318014204</x:v>
      </x:c>
      <x:c r="G301" s="60" t="n">
        <x:f>'调前玩家曲线'!AU261</x:f>
        <x:v>1576295</x:v>
      </x:c>
      <x:c r="H301" s="60" t="n">
        <x:f>'玩家战力_节点'!AU261</x:f>
        <x:v>1458030</x:v>
      </x:c>
      <x:c r="I301" s="66" t="n">
        <x:f>'玩家战力_节点'!F261</x:f>
        <x:v>5</x:v>
      </x:c>
      <x:c r="J301" s="40" t="n">
        <x:f>'玩家战力_节点'!B261</x:f>
        <x:v>250</x:v>
      </x:c>
    </x:row>
    <x:row r="302" ht="25" customHeight="1">
      <x:c r="A302" s="40" t="str">
        <x:f>IF('调前玩家曲线'!C262=0,"序章",'调前玩家曲线'!C262)&amp;"-"&amp;'调前玩家曲线'!D262</x:f>
        <x:v>18-2</x:v>
      </x:c>
      <x:c r="B302" s="60" t="n">
        <x:f>IF(G302=0,0,ROUND(G302,2-INT(LOG10(ABS(G302)))))</x:f>
        <x:v>1580000</x:v>
      </x:c>
      <x:c r="C302" s="55" t="n">
        <x:f>IF(H302=0,0,ROUND(H302,2-INT(LOG10(ABS(H302)))))</x:f>
        <x:v>1460000</x:v>
      </x:c>
      <x:c r="D302" s="62" t="n">
        <x:f>H302/G302-1</x:f>
        <x:v>-0.07257842139794046</x:v>
      </x:c>
      <x:c r="E302" s="62" t="n">
        <x:f>G302/G301-1</x:f>
        <x:v>0.0007866547822583669</x:v>
      </x:c>
      <x:c r="F302" s="62" t="n">
        <x:f>H302/H301-1</x:f>
        <x:v>0.003436143289232696</x:v>
      </x:c>
      <x:c r="G302" s="60" t="n">
        <x:f>'调前玩家曲线'!AU262</x:f>
        <x:v>1577535</x:v>
      </x:c>
      <x:c r="H302" s="60" t="n">
        <x:f>'玩家战力_节点'!AU262</x:f>
        <x:v>1463040</x:v>
      </x:c>
      <x:c r="I302" s="66" t="n">
        <x:f>'玩家战力_节点'!F262</x:f>
        <x:v>5</x:v>
      </x:c>
      <x:c r="J302" s="40" t="n">
        <x:f>'玩家战力_节点'!B262</x:f>
        <x:v>251</x:v>
      </x:c>
    </x:row>
    <x:row r="303" ht="25" customHeight="1">
      <x:c r="A303" s="40" t="str">
        <x:f>IF('调前玩家曲线'!C263=0,"序章",'调前玩家曲线'!C263)&amp;"-"&amp;'调前玩家曲线'!D263</x:f>
        <x:v>18-3</x:v>
      </x:c>
      <x:c r="B303" s="60" t="n">
        <x:f>IF(G303=0,0,ROUND(G303,2-INT(LOG10(ABS(G303)))))</x:f>
        <x:v>1580000</x:v>
      </x:c>
      <x:c r="C303" s="55" t="n">
        <x:f>IF(H303=0,0,ROUND(H303,2-INT(LOG10(ABS(H303)))))</x:f>
        <x:v>1470000</x:v>
      </x:c>
      <x:c r="D303" s="62" t="n">
        <x:f>H303/G303-1</x:f>
        <x:v>-0.0701122086707564</x:v>
      </x:c>
      <x:c r="E303" s="62" t="n">
        <x:f>G303/G302-1</x:f>
        <x:v>0.0007733584357874079</x:v>
      </x:c>
      <x:c r="F303" s="62" t="n">
        <x:f>H303/H302-1</x:f>
        <x:v>0.0034346292650919708</x:v>
      </x:c>
      <x:c r="G303" s="60" t="n">
        <x:f>'调前玩家曲线'!AU263</x:f>
        <x:v>1578755</x:v>
      </x:c>
      <x:c r="H303" s="60" t="n">
        <x:f>'玩家战力_节点'!AU263</x:f>
        <x:v>1468065</x:v>
      </x:c>
      <x:c r="I303" s="66" t="n">
        <x:f>'玩家战力_节点'!F263</x:f>
        <x:v>5</x:v>
      </x:c>
      <x:c r="J303" s="40" t="n">
        <x:f>'玩家战力_节点'!B263</x:f>
        <x:v>252</x:v>
      </x:c>
    </x:row>
    <x:row r="304" ht="25" customHeight="1">
      <x:c r="A304" s="40" t="str">
        <x:f>IF('调前玩家曲线'!C264=0,"序章",'调前玩家曲线'!C264)&amp;"-"&amp;'调前玩家曲线'!D264</x:f>
        <x:v>18-4</x:v>
      </x:c>
      <x:c r="B304" s="60" t="n">
        <x:f>IF(G304=0,0,ROUND(G304,2-INT(LOG10(ABS(G304)))))</x:f>
        <x:v>1580000</x:v>
      </x:c>
      <x:c r="C304" s="55" t="n">
        <x:f>IF(H304=0,0,ROUND(H304,2-INT(LOG10(ABS(H304)))))</x:f>
        <x:v>1470000</x:v>
      </x:c>
      <x:c r="D304" s="62" t="n">
        <x:f>H304/G304-1</x:f>
        <x:v>-0.06762872242792495</x:v>
      </x:c>
      <x:c r="E304" s="62" t="n">
        <x:f>G304/G303-1</x:f>
        <x:v>0.000756925552096499</x:v>
      </x:c>
      <x:c r="F304" s="62" t="n">
        <x:f>H304/H303-1</x:f>
        <x:v>0.0034296846529275893</x:v>
      </x:c>
      <x:c r="G304" s="60" t="n">
        <x:f>'调前玩家曲线'!AU264</x:f>
        <x:v>1579950</x:v>
      </x:c>
      <x:c r="H304" s="60" t="n">
        <x:f>'玩家战力_节点'!AU264</x:f>
        <x:v>1473100</x:v>
      </x:c>
      <x:c r="I304" s="66" t="n">
        <x:f>'玩家战力_节点'!F264</x:f>
        <x:v>5</x:v>
      </x:c>
      <x:c r="J304" s="40" t="n">
        <x:f>'玩家战力_节点'!B264</x:f>
        <x:v>253</x:v>
      </x:c>
    </x:row>
    <x:row r="305" ht="25" customHeight="1">
      <x:c r="A305" s="40" t="str">
        <x:f>IF('调前玩家曲线'!C265=0,"序章",'调前玩家曲线'!C265)&amp;"-"&amp;'调前玩家曲线'!D265</x:f>
        <x:v>18-5</x:v>
      </x:c>
      <x:c r="B305" s="60" t="n">
        <x:f>IF(G305=0,0,ROUND(G305,2-INT(LOG10(ABS(G305)))))</x:f>
        <x:v>1580000</x:v>
      </x:c>
      <x:c r="C305" s="55" t="n">
        <x:f>IF(H305=0,0,ROUND(H305,2-INT(LOG10(ABS(H305)))))</x:f>
        <x:v>1480000</x:v>
      </x:c>
      <x:c r="D305" s="62" t="n">
        <x:f>H305/G305-1</x:f>
        <x:v>-0.06513084038263894</x:v>
      </x:c>
      <x:c r="E305" s="62" t="n">
        <x:f>G305/G304-1</x:f>
        <x:v>0.0007436944207095397</x:v>
      </x:c>
      <x:c r="F305" s="62" t="n">
        <x:f>H305/H304-1</x:f>
        <x:v>0.003424750526101361</x:v>
      </x:c>
      <x:c r="G305" s="60" t="n">
        <x:f>'调前玩家曲线'!AU265</x:f>
        <x:v>1581125</x:v>
      </x:c>
      <x:c r="H305" s="60" t="n">
        <x:f>'玩家战力_节点'!AU265</x:f>
        <x:v>1478145</x:v>
      </x:c>
      <x:c r="I305" s="66" t="n">
        <x:f>'玩家战力_节点'!F265</x:f>
        <x:v>5</x:v>
      </x:c>
      <x:c r="J305" s="40" t="n">
        <x:f>'玩家战力_节点'!B265</x:f>
        <x:v>254</x:v>
      </x:c>
    </x:row>
    <x:row r="306" ht="25" customHeight="1">
      <x:c r="A306" s="40" t="str">
        <x:f>IF('调前玩家曲线'!C266=0,"序章",'调前玩家曲线'!C266)&amp;"-"&amp;'调前玩家曲线'!D266</x:f>
        <x:v>18-6</x:v>
      </x:c>
      <x:c r="B306" s="60" t="n">
        <x:f>IF(G306=0,0,ROUND(G306,2-INT(LOG10(ABS(G306)))))</x:f>
        <x:v>1580000</x:v>
      </x:c>
      <x:c r="C306" s="55" t="n">
        <x:f>IF(H306=0,0,ROUND(H306,2-INT(LOG10(ABS(H306)))))</x:f>
        <x:v>1480000</x:v>
      </x:c>
      <x:c r="D306" s="62" t="n">
        <x:f>H306/G306-1</x:f>
        <x:v>-0.06261553775418305</x:v>
      </x:c>
      <x:c r="E306" s="62" t="n">
        <x:f>G306/G305-1</x:f>
        <x:v>0.0007273302237331691</x:v>
      </x:c>
      <x:c r="F306" s="62" t="n">
        <x:f>H306/H305-1</x:f>
        <x:v>0.0034198268776066687</x:v>
      </x:c>
      <x:c r="G306" s="60" t="n">
        <x:f>'调前玩家曲线'!AU266</x:f>
        <x:v>1582275</x:v>
      </x:c>
      <x:c r="H306" s="60" t="n">
        <x:f>'玩家战力_节点'!AU266</x:f>
        <x:v>1483200</x:v>
      </x:c>
      <x:c r="I306" s="66" t="n">
        <x:f>'玩家战力_节点'!F266</x:f>
        <x:v>5</x:v>
      </x:c>
      <x:c r="J306" s="40" t="n">
        <x:f>'玩家战力_节点'!B266</x:f>
        <x:v>255</x:v>
      </x:c>
    </x:row>
    <x:row r="307" ht="25" customHeight="1">
      <x:c r="A307" s="40" t="str">
        <x:f>IF('调前玩家曲线'!C267=0,"序章",'调前玩家曲线'!C267)&amp;"-"&amp;'调前玩家曲线'!D267</x:f>
        <x:v>18-7</x:v>
      </x:c>
      <x:c r="B307" s="60" t="n">
        <x:f>IF(G307=0,0,ROUND(G307,2-INT(LOG10(ABS(G307)))))</x:f>
        <x:v>1580000</x:v>
      </x:c>
      <x:c r="C307" s="55" t="n">
        <x:f>IF(H307=0,0,ROUND(H307,2-INT(LOG10(ABS(H307)))))</x:f>
        <x:v>1490000</x:v>
      </x:c>
      <x:c r="D307" s="62" t="n">
        <x:f>H307/G307-1</x:f>
        <x:v>-0.06008254363223564</x:v>
      </x:c>
      <x:c r="E307" s="62" t="n">
        <x:f>G307/G306-1</x:f>
        <x:v>0.0007141615711554472</x:v>
      </x:c>
      <x:c r="F307" s="62" t="n">
        <x:f>H307/H306-1</x:f>
        <x:v>0.0034182847896440105</x:v>
      </x:c>
      <x:c r="G307" s="60" t="n">
        <x:f>'调前玩家曲线'!AU267</x:f>
        <x:v>1583405</x:v>
      </x:c>
      <x:c r="H307" s="60" t="n">
        <x:f>'玩家战力_节点'!AU267</x:f>
        <x:v>1488270</x:v>
      </x:c>
      <x:c r="I307" s="66" t="n">
        <x:f>'玩家战力_节点'!F267</x:f>
        <x:v>5</x:v>
      </x:c>
      <x:c r="J307" s="40" t="n">
        <x:f>'玩家战力_节点'!B267</x:f>
        <x:v>256</x:v>
      </x:c>
    </x:row>
    <x:row r="308" ht="25" customHeight="1">
      <x:c r="A308" s="40" t="str">
        <x:f>IF('调前玩家曲线'!C268=0,"序章",'调前玩家曲线'!C268)&amp;"-"&amp;'调前玩家曲线'!D268</x:f>
        <x:v>18-8</x:v>
      </x:c>
      <x:c r="B308" s="60" t="n">
        <x:f>IF(G308=0,0,ROUND(G308,2-INT(LOG10(ABS(G308)))))</x:f>
        <x:v>1580000</x:v>
      </x:c>
      <x:c r="C308" s="55" t="n">
        <x:f>IF(H308=0,0,ROUND(H308,2-INT(LOG10(ABS(H308)))))</x:f>
        <x:v>1490000</x:v>
      </x:c>
      <x:c r="D308" s="62" t="n">
        <x:f>H308/G308-1</x:f>
        <x:v>-0.05753811103082018</x:v>
      </x:c>
      <x:c r="E308" s="62" t="n">
        <x:f>G308/G307-1</x:f>
        <x:v>0.0007010209011593105</x:v>
      </x:c>
      <x:c r="F308" s="62" t="n">
        <x:f>H308/H307-1</x:f>
        <x:v>0.003409999529655261</x:v>
      </x:c>
      <x:c r="G308" s="60" t="n">
        <x:f>'调前玩家曲线'!AU268</x:f>
        <x:v>1584515</x:v>
      </x:c>
      <x:c r="H308" s="60" t="n">
        <x:f>'玩家战力_节点'!AU268</x:f>
        <x:v>1493345</x:v>
      </x:c>
      <x:c r="I308" s="66" t="n">
        <x:f>'玩家战力_节点'!F268</x:f>
        <x:v>5</x:v>
      </x:c>
      <x:c r="J308" s="40" t="n">
        <x:f>'玩家战力_节点'!B268</x:f>
        <x:v>257</x:v>
      </x:c>
    </x:row>
    <x:row r="309" ht="25" customHeight="1">
      <x:c r="A309" s="40" t="str">
        <x:f>IF('调前玩家曲线'!C269=0,"序章",'调前玩家曲线'!C269)&amp;"-"&amp;'调前玩家曲线'!D269</x:f>
        <x:v>18-9</x:v>
      </x:c>
      <x:c r="B309" s="60" t="n">
        <x:f>IF(G309=0,0,ROUND(G309,2-INT(LOG10(ABS(G309)))))</x:f>
        <x:v>1590000</x:v>
      </x:c>
      <x:c r="C309" s="55" t="n">
        <x:f>IF(H309=0,0,ROUND(H309,2-INT(LOG10(ABS(H309)))))</x:f>
        <x:v>1500000</x:v>
      </x:c>
      <x:c r="D309" s="62" t="n">
        <x:f>H309/G309-1</x:f>
        <x:v>-0.05497586094897533</x:v>
      </x:c>
      <x:c r="E309" s="62" t="n">
        <x:f>G309/G308-1</x:f>
        <x:v>0.0006879076562860131</x:v>
      </x:c>
      <x:c r="F309" s="62" t="n">
        <x:f>H309/H308-1</x:f>
        <x:v>0.0034084555142983586</x:v>
      </x:c>
      <x:c r="G309" s="60" t="n">
        <x:f>'调前玩家曲线'!AU269</x:f>
        <x:v>1585605</x:v>
      </x:c>
      <x:c r="H309" s="60" t="n">
        <x:f>'玩家战力_节点'!AU269</x:f>
        <x:v>1498435</x:v>
      </x:c>
      <x:c r="I309" s="66" t="n">
        <x:f>'玩家战力_节点'!F269</x:f>
        <x:v>5</x:v>
      </x:c>
      <x:c r="J309" s="40" t="n">
        <x:f>'玩家战力_节点'!B269</x:f>
        <x:v>258</x:v>
      </x:c>
    </x:row>
    <x:row r="310" ht="25" customHeight="1">
      <x:c r="A310" s="40" t="str">
        <x:f>IF('调前玩家曲线'!C270=0,"序章",'调前玩家曲线'!C270)&amp;"-"&amp;'调前玩家曲线'!D270</x:f>
        <x:v>18-10</x:v>
      </x:c>
      <x:c r="B310" s="60" t="n">
        <x:f>IF(G310=0,0,ROUND(G310,2-INT(LOG10(ABS(G310)))))</x:f>
        <x:v>1590000</x:v>
      </x:c>
      <x:c r="C310" s="55" t="n">
        <x:f>IF(H310=0,0,ROUND(H310,2-INT(LOG10(ABS(H310)))))</x:f>
        <x:v>1500000</x:v>
      </x:c>
      <x:c r="D310" s="62" t="n">
        <x:f>H310/G310-1</x:f>
        <x:v>-0.05239589832794467</x:v>
      </x:c>
      <x:c r="E310" s="62" t="n">
        <x:f>G310/G309-1</x:f>
        <x:v>0.0006716679122480418</x:v>
      </x:c>
      <x:c r="F310" s="62" t="n">
        <x:f>H310/H309-1</x:f>
        <x:v>0.0034035510382499634</x:v>
      </x:c>
      <x:c r="G310" s="60" t="n">
        <x:f>'调前玩家曲线'!AU270</x:f>
        <x:v>1586670</x:v>
      </x:c>
      <x:c r="H310" s="60" t="n">
        <x:f>'玩家战力_节点'!AU270</x:f>
        <x:v>1503535</x:v>
      </x:c>
      <x:c r="I310" s="66" t="n">
        <x:f>'玩家战力_节点'!F270</x:f>
        <x:v>5</x:v>
      </x:c>
      <x:c r="J310" s="40" t="n">
        <x:f>'玩家战力_节点'!B270</x:f>
        <x:v>259</x:v>
      </x:c>
    </x:row>
    <x:row r="311" ht="25" customHeight="1">
      <x:c r="A311" s="40" t="str">
        <x:f>IF('调前玩家曲线'!C271=0,"序章",'调前玩家曲线'!C271)&amp;"-"&amp;'调前玩家曲线'!D271</x:f>
        <x:v>18-11</x:v>
      </x:c>
      <x:c r="B311" s="60" t="n">
        <x:f>IF(G311=0,0,ROUND(G311,2-INT(LOG10(ABS(G311)))))</x:f>
        <x:v>1590000</x:v>
      </x:c>
      <x:c r="C311" s="55" t="n">
        <x:f>IF(H311=0,0,ROUND(H311,2-INT(LOG10(ABS(H311)))))</x:f>
        <x:v>1510000</x:v>
      </x:c>
      <x:c r="D311" s="62" t="n">
        <x:f>H311/G311-1</x:f>
        <x:v>-0.04980727080341618</x:v>
      </x:c>
      <x:c r="E311" s="62" t="n">
        <x:f>G311/G310-1</x:f>
        <x:v>0.0006617633156231761</x:v>
      </x:c>
      <x:c r="F311" s="62" t="n">
        <x:f>H311/H310-1</x:f>
        <x:v>0.00339533166836814</x:v>
      </x:c>
      <x:c r="G311" s="60" t="n">
        <x:f>'调前玩家曲线'!AU271</x:f>
        <x:v>1587720</x:v>
      </x:c>
      <x:c r="H311" s="60" t="n">
        <x:f>'玩家战力_节点'!AU271</x:f>
        <x:v>1508640</x:v>
      </x:c>
      <x:c r="I311" s="66" t="n">
        <x:f>'玩家战力_节点'!F271</x:f>
        <x:v>5</x:v>
      </x:c>
      <x:c r="J311" s="40" t="n">
        <x:f>'玩家战力_节点'!B271</x:f>
        <x:v>260</x:v>
      </x:c>
    </x:row>
    <x:row r="312" ht="25" customHeight="1">
      <x:c r="A312" s="40" t="str">
        <x:f>IF('调前玩家曲线'!C272=0,"序章",'调前玩家曲线'!C272)&amp;"-"&amp;'调前玩家曲线'!D272</x:f>
        <x:v>18-12</x:v>
      </x:c>
      <x:c r="B312" s="60" t="n">
        <x:f>IF(G312=0,0,ROUND(G312,2-INT(LOG10(ABS(G312)))))</x:f>
        <x:v>1590000</x:v>
      </x:c>
      <x:c r="C312" s="55" t="n">
        <x:f>IF(H312=0,0,ROUND(H312,2-INT(LOG10(ABS(H312)))))</x:f>
        <x:v>1510000</x:v>
      </x:c>
      <x:c r="D312" s="62" t="n">
        <x:f>H312/G312-1</x:f>
        <x:v>-0.04719448369625079</x:v>
      </x:c>
      <x:c r="E312" s="62" t="n">
        <x:f>G312/G311-1</x:f>
        <x:v>0.0006455798251581157</x:v>
      </x:c>
      <x:c r="F312" s="62" t="n">
        <x:f>H312/H311-1</x:f>
        <x:v>0.0033970993742709066</x:v>
      </x:c>
      <x:c r="G312" s="60" t="n">
        <x:f>'调前玩家曲线'!AU272</x:f>
        <x:v>1588745</x:v>
      </x:c>
      <x:c r="H312" s="60" t="n">
        <x:f>'玩家战力_节点'!AU272</x:f>
        <x:v>1513765</x:v>
      </x:c>
      <x:c r="I312" s="66" t="n">
        <x:f>'玩家战力_节点'!F272</x:f>
        <x:v>5</x:v>
      </x:c>
      <x:c r="J312" s="40" t="n">
        <x:f>'玩家战力_节点'!B272</x:f>
        <x:v>261</x:v>
      </x:c>
    </x:row>
    <x:row r="313" ht="25" customHeight="1">
      <x:c r="A313" s="40" t="str">
        <x:f>IF('调前玩家曲线'!C273=0,"序章",'调前玩家曲线'!C273)&amp;"-"&amp;'调前玩家曲线'!D273</x:f>
        <x:v>18-13</x:v>
      </x:c>
      <x:c r="B313" s="60" t="n">
        <x:f>IF(G313=0,0,ROUND(G313,2-INT(LOG10(ABS(G313)))))</x:f>
        <x:v>1590000</x:v>
      </x:c>
      <x:c r="C313" s="55" t="n">
        <x:f>IF(H313=0,0,ROUND(H313,2-INT(LOG10(ABS(H313)))))</x:f>
        <x:v>1520000</x:v>
      </x:c>
      <x:c r="D313" s="62" t="n">
        <x:f>H313/G313-1</x:f>
        <x:v>-0.044572905888014214</x:v>
      </x:c>
      <x:c r="E313" s="62" t="n">
        <x:f>G313/G312-1</x:f>
        <x:v>0.0006357219062844699</x:v>
      </x:c>
      <x:c r="F313" s="62" t="n">
        <x:f>H313/H312-1</x:f>
        <x:v>0.0033889011834729033</x:v>
      </x:c>
      <x:c r="G313" s="60" t="n">
        <x:f>'调前玩家曲线'!AU273</x:f>
        <x:v>1589755</x:v>
      </x:c>
      <x:c r="H313" s="60" t="n">
        <x:f>'玩家战力_节点'!AU273</x:f>
        <x:v>1518895</x:v>
      </x:c>
      <x:c r="I313" s="66" t="n">
        <x:f>'玩家战力_节点'!F273</x:f>
        <x:v>5</x:v>
      </x:c>
      <x:c r="J313" s="40" t="n">
        <x:f>'玩家战力_节点'!B273</x:f>
        <x:v>262</x:v>
      </x:c>
    </x:row>
    <x:row r="314" ht="25" customHeight="1">
      <x:c r="A314" s="40" t="str">
        <x:f>IF('调前玩家曲线'!C274=0,"序章",'调前玩家曲线'!C274)&amp;"-"&amp;'调前玩家曲线'!D274</x:f>
        <x:v>18-14</x:v>
      </x:c>
      <x:c r="B314" s="60" t="n">
        <x:f>IF(G314=0,0,ROUND(G314,2-INT(LOG10(ABS(G314)))))</x:f>
        <x:v>1590000</x:v>
      </x:c>
      <x:c r="C314" s="55" t="n">
        <x:f>IF(H314=0,0,ROUND(H314,2-INT(LOG10(ABS(H314)))))</x:f>
        <x:v>1520000</x:v>
      </x:c>
      <x:c r="D314" s="62" t="n">
        <x:f>H314/G314-1</x:f>
        <x:v>-0.041936325432423205</x:v>
      </x:c>
      <x:c r="E314" s="62" t="n">
        <x:f>G314/G313-1</x:f>
        <x:v>0.0006227374658358542</x:v>
      </x:c>
      <x:c r="F314" s="62" t="n">
        <x:f>H314/H313-1</x:f>
        <x:v>0.0033840390547075216</x:v>
      </x:c>
      <x:c r="G314" s="60" t="n">
        <x:f>'调前玩家曲线'!AU274</x:f>
        <x:v>1590745</x:v>
      </x:c>
      <x:c r="H314" s="60" t="n">
        <x:f>'玩家战力_节点'!AU274</x:f>
        <x:v>1524035</x:v>
      </x:c>
      <x:c r="I314" s="66" t="n">
        <x:f>'玩家战力_节点'!F274</x:f>
        <x:v>5</x:v>
      </x:c>
      <x:c r="J314" s="40" t="n">
        <x:f>'玩家战力_节点'!B274</x:f>
        <x:v>263</x:v>
      </x:c>
    </x:row>
    <x:row r="315" ht="25" customHeight="1">
      <x:c r="A315" s="40" t="str">
        <x:f>IF('调前玩家曲线'!C275=0,"序章",'调前玩家曲线'!C275)&amp;"-"&amp;'调前玩家曲线'!D275</x:f>
        <x:v>18-15</x:v>
      </x:c>
      <x:c r="B315" s="60" t="n">
        <x:f>IF(G315=0,0,ROUND(G315,2-INT(LOG10(ABS(G315)))))</x:f>
        <x:v>1590000</x:v>
      </x:c>
      <x:c r="C315" s="55" t="n">
        <x:f>IF(H315=0,0,ROUND(H315,2-INT(LOG10(ABS(H315)))))</x:f>
        <x:v>1530000</x:v>
      </x:c>
      <x:c r="D315" s="62" t="n">
        <x:f>H315/G315-1</x:f>
        <x:v>-0.039281529670826765</x:v>
      </x:c>
      <x:c r="E315" s="62" t="n">
        <x:f>G315/G314-1</x:f>
        <x:v>0.0006097771798747598</x:v>
      </x:c>
      <x:c r="F315" s="62" t="n">
        <x:f>H315/H314-1</x:f>
        <x:v>0.003382468250401116</x:v>
      </x:c>
      <x:c r="G315" s="60" t="n">
        <x:f>'调前玩家曲线'!AU275</x:f>
        <x:v>1591715</x:v>
      </x:c>
      <x:c r="H315" s="60" t="n">
        <x:f>'玩家战力_节点'!AU275</x:f>
        <x:v>1529190</x:v>
      </x:c>
      <x:c r="I315" s="66" t="n">
        <x:f>'玩家战力_节点'!F275</x:f>
        <x:v>5</x:v>
      </x:c>
      <x:c r="J315" s="40" t="n">
        <x:f>'玩家战力_节点'!B275</x:f>
        <x:v>264</x:v>
      </x:c>
    </x:row>
    <x:row r="316" ht="25" customHeight="1">
      <x:c r="A316" s="40" t="str">
        <x:f>IF('调前玩家曲线'!C276=0,"序章",'调前玩家曲线'!C276)&amp;"-"&amp;'调前玩家曲线'!D276</x:f>
        <x:v>19-1</x:v>
      </x:c>
      <x:c r="B316" s="60" t="n">
        <x:f>IF(G316=0,0,ROUND(G316,2-INT(LOG10(ABS(G316)))))</x:f>
        <x:v>1590000</x:v>
      </x:c>
      <x:c r="C316" s="55" t="n">
        <x:f>IF(H316=0,0,ROUND(H316,2-INT(LOG10(ABS(H316)))))</x:f>
        <x:v>1530000</x:v>
      </x:c>
      <x:c r="D316" s="62" t="n">
        <x:f>H316/G316-1</x:f>
        <x:v>-0.03669623964788693</x:v>
      </x:c>
      <x:c r="E316" s="62" t="n">
        <x:f>G316/G315-1</x:f>
        <x:v>0.0005999817806578989</x:v>
      </x:c>
      <x:c r="F316" s="62" t="n">
        <x:f>H316/H315-1</x:f>
        <x:v>0.003292592810572925</x:v>
      </x:c>
      <x:c r="G316" s="60" t="n">
        <x:f>'调前玩家曲线'!AU276</x:f>
        <x:v>1592670</x:v>
      </x:c>
      <x:c r="H316" s="60" t="n">
        <x:f>'玩家战力_节点'!AU276</x:f>
        <x:v>1534225</x:v>
      </x:c>
      <x:c r="I316" s="66" t="n">
        <x:f>'玩家战力_节点'!F276</x:f>
        <x:v>5</x:v>
      </x:c>
      <x:c r="J316" s="40" t="n">
        <x:f>'玩家战力_节点'!B276</x:f>
        <x:v>265</x:v>
      </x:c>
    </x:row>
    <x:row r="317" ht="25" customHeight="1">
      <x:c r="A317" s="40" t="str">
        <x:f>IF('调前玩家曲线'!C277=0,"序章",'调前玩家曲线'!C277)&amp;"-"&amp;'调前玩家曲线'!D277</x:f>
        <x:v>19-2</x:v>
      </x:c>
      <x:c r="B317" s="60" t="n">
        <x:f>IF(G317=0,0,ROUND(G317,2-INT(LOG10(ABS(G317)))))</x:f>
        <x:v>1590000</x:v>
      </x:c>
      <x:c r="C317" s="55" t="n">
        <x:f>IF(H317=0,0,ROUND(H317,2-INT(LOG10(ABS(H317)))))</x:f>
        <x:v>1540000</x:v>
      </x:c>
      <x:c r="D317" s="62" t="n">
        <x:f>H317/G317-1</x:f>
        <x:v>-0.03416467694315717</x:v>
      </x:c>
      <x:c r="E317" s="62" t="n">
        <x:f>G317/G316-1</x:f>
        <x:v>0.0005870644891912136</x:v>
      </x:c>
      <x:c r="F317" s="62" t="n">
        <x:f>H317/H316-1</x:f>
        <x:v>0.0032166077335462617</x:v>
      </x:c>
      <x:c r="G317" s="60" t="n">
        <x:f>'调前玩家曲线'!AU277</x:f>
        <x:v>1593605</x:v>
      </x:c>
      <x:c r="H317" s="60" t="n">
        <x:f>'玩家战力_节点'!AU277</x:f>
        <x:v>1539160</x:v>
      </x:c>
      <x:c r="I317" s="66" t="n">
        <x:f>'玩家战力_节点'!F277</x:f>
        <x:v>5</x:v>
      </x:c>
      <x:c r="J317" s="40" t="n">
        <x:f>'玩家战力_节点'!B277</x:f>
        <x:v>266</x:v>
      </x:c>
    </x:row>
    <x:row r="318" ht="25" customHeight="1">
      <x:c r="A318" s="40" t="str">
        <x:f>IF('调前玩家曲线'!C278=0,"序章",'调前玩家曲线'!C278)&amp;"-"&amp;'调前玩家曲线'!D278</x:f>
        <x:v>19-3</x:v>
      </x:c>
      <x:c r="B318" s="60" t="n">
        <x:f>IF(G318=0,0,ROUND(G318,2-INT(LOG10(ABS(G318)))))</x:f>
        <x:v>1590000</x:v>
      </x:c>
      <x:c r="C318" s="55" t="n">
        <x:f>IF(H318=0,0,ROUND(H318,2-INT(LOG10(ABS(H318)))))</x:f>
        <x:v>1540000</x:v>
      </x:c>
      <x:c r="D318" s="62" t="n">
        <x:f>H318/G318-1</x:f>
        <x:v>-0.03161452976444323</x:v>
      </x:c>
      <x:c r="E318" s="62" t="n">
        <x:f>G318/G317-1</x:f>
        <x:v>0.0005741698852601562</x:v>
      </x:c>
      <x:c r="F318" s="62" t="n">
        <x:f>H318/H317-1</x:f>
        <x:v>0.0032160399178773336</x:v>
      </x:c>
      <x:c r="G318" s="60" t="n">
        <x:f>'调前玩家曲线'!AU278</x:f>
        <x:v>1594520</x:v>
      </x:c>
      <x:c r="H318" s="60" t="n">
        <x:f>'玩家战力_节点'!AU278</x:f>
        <x:v>1544110</x:v>
      </x:c>
      <x:c r="I318" s="66" t="n">
        <x:f>'玩家战力_节点'!F278</x:f>
        <x:v>5</x:v>
      </x:c>
      <x:c r="J318" s="40" t="n">
        <x:f>'玩家战力_节点'!B278</x:f>
        <x:v>267</x:v>
      </x:c>
    </x:row>
    <x:row r="319" ht="25" customHeight="1">
      <x:c r="A319" s="40" t="str">
        <x:f>IF('调前玩家曲线'!C279=0,"序章",'调前玩家曲线'!C279)&amp;"-"&amp;'调前玩家曲线'!D279</x:f>
        <x:v>19-4</x:v>
      </x:c>
      <x:c r="B319" s="60" t="n">
        <x:f>IF(G319=0,0,ROUND(G319,2-INT(LOG10(ABS(G319)))))</x:f>
        <x:v>1600000</x:v>
      </x:c>
      <x:c r="C319" s="55" t="n">
        <x:f>IF(H319=0,0,ROUND(H319,2-INT(LOG10(ABS(H319)))))</x:f>
        <x:v>1550000</x:v>
      </x:c>
      <x:c r="D319" s="62" t="n">
        <x:f>H319/G319-1</x:f>
        <x:v>-0.029051911095510863</x:v>
      </x:c>
      <x:c r="E319" s="62" t="n">
        <x:f>G319/G318-1</x:f>
        <x:v>0.0005644331836540672</x:v>
      </x:c>
      <x:c r="F319" s="62" t="n">
        <x:f>H319/H318-1</x:f>
        <x:v>0.003212206384260119</x:v>
      </x:c>
      <x:c r="G319" s="60" t="n">
        <x:f>'调前玩家曲线'!AU279</x:f>
        <x:v>1595420</x:v>
      </x:c>
      <x:c r="H319" s="60" t="n">
        <x:f>'玩家战力_节点'!AU279</x:f>
        <x:v>1549070</x:v>
      </x:c>
      <x:c r="I319" s="66" t="n">
        <x:f>'玩家战力_节点'!F279</x:f>
        <x:v>5</x:v>
      </x:c>
      <x:c r="J319" s="40" t="n">
        <x:f>'玩家战力_节点'!B279</x:f>
        <x:v>268</x:v>
      </x:c>
    </x:row>
    <x:row r="320" ht="25" customHeight="1">
      <x:c r="A320" s="40" t="str">
        <x:f>IF('调前玩家曲线'!C280=0,"序章",'调前玩家曲线'!C280)&amp;"-"&amp;'调前玩家曲线'!D280</x:f>
        <x:v>19-5</x:v>
      </x:c>
      <x:c r="B320" s="60" t="n">
        <x:f>IF(G320=0,0,ROUND(G320,2-INT(LOG10(ABS(G320)))))</x:f>
        <x:v>1600000</x:v>
      </x:c>
      <x:c r="C320" s="55" t="n">
        <x:f>IF(H320=0,0,ROUND(H320,2-INT(LOG10(ABS(H320)))))</x:f>
        <x:v>1550000</x:v>
      </x:c>
      <x:c r="D320" s="62" t="n">
        <x:f>H320/G320-1</x:f>
        <x:v>-0.026476769790234278</x:v>
      </x:c>
      <x:c r="E320" s="62" t="n">
        <x:f>G320/G319-1</x:f>
        <x:v>0.0005547128655776223</x:v>
      </x:c>
      <x:c r="F320" s="62" t="n">
        <x:f>H320/H319-1</x:f>
        <x:v>0.003208376638886623</x:v>
      </x:c>
      <x:c r="G320" s="60" t="n">
        <x:f>'调前玩家曲线'!AU280</x:f>
        <x:v>1596305</x:v>
      </x:c>
      <x:c r="H320" s="60" t="n">
        <x:f>'玩家战力_节点'!AU280</x:f>
        <x:v>1554040</x:v>
      </x:c>
      <x:c r="I320" s="66" t="n">
        <x:f>'玩家战力_节点'!F280</x:f>
        <x:v>5</x:v>
      </x:c>
      <x:c r="J320" s="40" t="n">
        <x:f>'玩家战力_节点'!B280</x:f>
        <x:v>269</x:v>
      </x:c>
    </x:row>
    <x:row r="321" ht="25" customHeight="1">
      <x:c r="A321" s="40" t="str">
        <x:f>IF('调前玩家曲线'!C281=0,"序章",'调前玩家曲线'!C281)&amp;"-"&amp;'调前玩家曲线'!D281</x:f>
        <x:v>19-6</x:v>
      </x:c>
      <x:c r="B321" s="60" t="n">
        <x:f>IF(G321=0,0,ROUND(G321,2-INT(LOG10(ABS(G321)))))</x:f>
        <x:v>1600000</x:v>
      </x:c>
      <x:c r="C321" s="55" t="n">
        <x:f>IF(H321=0,0,ROUND(H321,2-INT(LOG10(ABS(H321)))))</x:f>
        <x:v>1560000</x:v>
      </x:c>
      <x:c r="D321" s="62" t="n">
        <x:f>H321/G321-1</x:f>
        <x:v>-0.02388912889673611</x:v>
      </x:c>
      <x:c r="E321" s="62" t="n">
        <x:f>G321/G320-1</x:f>
        <x:v>0.0005418763958016104</x:v>
      </x:c>
      <x:c r="F321" s="62" t="n">
        <x:f>H321/H320-1</x:f>
        <x:v>0.003201333299014175</x:v>
      </x:c>
      <x:c r="G321" s="60" t="n">
        <x:f>'调前玩家曲线'!AU281</x:f>
        <x:v>1597170</x:v>
      </x:c>
      <x:c r="H321" s="60" t="n">
        <x:f>'玩家战力_节点'!AU281</x:f>
        <x:v>1559015</x:v>
      </x:c>
      <x:c r="I321" s="66" t="n">
        <x:f>'玩家战力_节点'!F281</x:f>
        <x:v>5</x:v>
      </x:c>
      <x:c r="J321" s="40" t="n">
        <x:f>'玩家战力_节点'!B281</x:f>
        <x:v>270</x:v>
      </x:c>
    </x:row>
    <x:row r="322" ht="25" customHeight="1">
      <x:c r="A322" s="40" t="str">
        <x:f>IF('调前玩家曲线'!C282=0,"序章",'调前玩家曲线'!C282)&amp;"-"&amp;'调前玩家曲线'!D282</x:f>
        <x:v>19-7</x:v>
      </x:c>
      <x:c r="B322" s="60" t="n">
        <x:f>IF(G322=0,0,ROUND(G322,2-INT(LOG10(ABS(G322)))))</x:f>
        <x:v>1600000</x:v>
      </x:c>
      <x:c r="C322" s="55" t="n">
        <x:f>IF(H322=0,0,ROUND(H322,2-INT(LOG10(ABS(H322)))))</x:f>
        <x:v>1560000</x:v>
      </x:c>
      <x:c r="D322" s="62" t="n">
        <x:f>H322/G322-1</x:f>
        <x:v>-0.02128571607364116</x:v>
      </x:c>
      <x:c r="E322" s="62" t="n">
        <x:f>G322/G321-1</x:f>
        <x:v>0.0005321913133855549</x:v>
      </x:c>
      <x:c r="F322" s="62" t="n">
        <x:f>H322/H321-1</x:f>
        <x:v>0.00320073892810524</x:v>
      </x:c>
      <x:c r="G322" s="60" t="n">
        <x:f>'调前玩家曲线'!AU282</x:f>
        <x:v>1598020</x:v>
      </x:c>
      <x:c r="H322" s="60" t="n">
        <x:f>'玩家战力_节点'!AU282</x:f>
        <x:v>1564005</x:v>
      </x:c>
      <x:c r="I322" s="66" t="n">
        <x:f>'玩家战力_节点'!F282</x:f>
        <x:v>5</x:v>
      </x:c>
      <x:c r="J322" s="40" t="n">
        <x:f>'玩家战力_节点'!B282</x:f>
        <x:v>271</x:v>
      </x:c>
    </x:row>
    <x:row r="323" ht="25" customHeight="1">
      <x:c r="A323" s="40" t="str">
        <x:f>IF('调前玩家曲线'!C283=0,"序章",'调前玩家曲线'!C283)&amp;"-"&amp;'调前玩家曲线'!D283</x:f>
        <x:v>19-8</x:v>
      </x:c>
      <x:c r="B323" s="60" t="n">
        <x:f>IF(G323=0,0,ROUND(G323,2-INT(LOG10(ABS(G323)))))</x:f>
        <x:v>1600000</x:v>
      </x:c>
      <x:c r="C323" s="55" t="n">
        <x:f>IF(H323=0,0,ROUND(H323,2-INT(LOG10(ABS(H323)))))</x:f>
        <x:v>1570000</x:v>
      </x:c>
      <x:c r="D323" s="62" t="n">
        <x:f>H323/G323-1</x:f>
        <x:v>-0.018672737677900786</x:v>
      </x:c>
      <x:c r="E323" s="62" t="n">
        <x:f>G323/G322-1</x:f>
        <x:v>0.0005225216205053673</x:v>
      </x:c>
      <x:c r="F323" s="62" t="n">
        <x:f>H323/H322-1</x:f>
        <x:v>0.0031937238052308636</x:v>
      </x:c>
      <x:c r="G323" s="60" t="n">
        <x:f>'调前玩家曲线'!AU283</x:f>
        <x:v>1598855</x:v>
      </x:c>
      <x:c r="H323" s="60" t="n">
        <x:f>'玩家战力_节点'!AU283</x:f>
        <x:v>1569000</x:v>
      </x:c>
      <x:c r="I323" s="66" t="n">
        <x:f>'玩家战力_节点'!F283</x:f>
        <x:v>5</x:v>
      </x:c>
      <x:c r="J323" s="40" t="n">
        <x:f>'玩家战力_节点'!B283</x:f>
        <x:v>272</x:v>
      </x:c>
    </x:row>
    <x:row r="324" ht="25" customHeight="1">
      <x:c r="A324" s="40" t="str">
        <x:f>IF('调前玩家曲线'!C284=0,"序章",'调前玩家曲线'!C284)&amp;"-"&amp;'调前玩家曲线'!D284</x:f>
        <x:v>19-9</x:v>
      </x:c>
      <x:c r="B324" s="60" t="n">
        <x:f>IF(G324=0,0,ROUND(G324,2-INT(LOG10(ABS(G324)))))</x:f>
        <x:v>1600000</x:v>
      </x:c>
      <x:c r="C324" s="55" t="n">
        <x:f>IF(H324=0,0,ROUND(H324,2-INT(LOG10(ABS(H324)))))</x:f>
        <x:v>1570000</x:v>
      </x:c>
      <x:c r="D324" s="62" t="n">
        <x:f>H324/G324-1</x:f>
        <x:v>-0.01604080841673594</x:v>
      </x:c>
      <x:c r="E324" s="62" t="n">
        <x:f>G324/G323-1</x:f>
        <x:v>0.0005097397825317707</x:v>
      </x:c>
      <x:c r="F324" s="62" t="n">
        <x:f>H324/H323-1</x:f>
        <x:v>0.0031931166347991535</x:v>
      </x:c>
      <x:c r="G324" s="60" t="n">
        <x:f>'调前玩家曲线'!AU284</x:f>
        <x:v>1599670</x:v>
      </x:c>
      <x:c r="H324" s="60" t="n">
        <x:f>'玩家战力_节点'!AU284</x:f>
        <x:v>1574010</x:v>
      </x:c>
      <x:c r="I324" s="66" t="n">
        <x:f>'玩家战力_节点'!F284</x:f>
        <x:v>5</x:v>
      </x:c>
      <x:c r="J324" s="40" t="n">
        <x:f>'玩家战力_节点'!B284</x:f>
        <x:v>273</x:v>
      </x:c>
    </x:row>
    <x:row r="325" ht="25" customHeight="1">
      <x:c r="A325" s="40" t="str">
        <x:f>IF('调前玩家曲线'!C285=0,"序章",'调前玩家曲线'!C285)&amp;"-"&amp;'调前玩家曲线'!D285</x:f>
        <x:v>19-10</x:v>
      </x:c>
      <x:c r="B325" s="60" t="n">
        <x:f>IF(G325=0,0,ROUND(G325,2-INT(LOG10(ABS(G325)))))</x:f>
        <x:v>1600000</x:v>
      </x:c>
      <x:c r="C325" s="55" t="n">
        <x:f>IF(H325=0,0,ROUND(H325,2-INT(LOG10(ABS(H325)))))</x:f>
        <x:v>1580000</x:v>
      </x:c>
      <x:c r="D325" s="62" t="n">
        <x:f>H325/G325-1</x:f>
        <x:v>-0.013399147128196343</x:v>
      </x:c>
      <x:c r="E325" s="62" t="n">
        <x:f>G325/G324-1</x:f>
        <x:v>0.000503228790938115</x:v>
      </x:c>
      <x:c r="F325" s="62" t="n">
        <x:f>H325/H324-1</x:f>
        <x:v>0.0031893062941150685</x:v>
      </x:c>
      <x:c r="G325" s="60" t="n">
        <x:f>'调前玩家曲线'!AU285</x:f>
        <x:v>1600475</x:v>
      </x:c>
      <x:c r="H325" s="60" t="n">
        <x:f>'玩家战力_节点'!AU285</x:f>
        <x:v>1579030</x:v>
      </x:c>
      <x:c r="I325" s="66" t="n">
        <x:f>'玩家战力_节点'!F285</x:f>
        <x:v>5</x:v>
      </x:c>
      <x:c r="J325" s="40" t="n">
        <x:f>'玩家战力_节点'!B285</x:f>
        <x:v>274</x:v>
      </x:c>
    </x:row>
    <x:row r="326" ht="25" customHeight="1">
      <x:c r="A326" s="40" t="str">
        <x:f>IF('调前玩家曲线'!C286=0,"序章",'调前玩家曲线'!C286)&amp;"-"&amp;'调前玩家曲线'!D286</x:f>
        <x:v>19-11</x:v>
      </x:c>
      <x:c r="B326" s="60" t="n">
        <x:f>IF(G326=0,0,ROUND(G326,2-INT(LOG10(ABS(G326)))))</x:f>
        <x:v>1600000</x:v>
      </x:c>
      <x:c r="C326" s="55" t="n">
        <x:f>IF(H326=0,0,ROUND(H326,2-INT(LOG10(ABS(H326)))))</x:f>
        <x:v>1580000</x:v>
      </x:c>
      <x:c r="D326" s="62" t="n">
        <x:f>H326/G326-1</x:f>
        <x:v>-0.010744663577432756</x:v>
      </x:c>
      <x:c r="E326" s="62" t="n">
        <x:f>G326/G325-1</x:f>
        <x:v>0.0004904793889313197</x:v>
      </x:c>
      <x:c r="F326" s="62" t="n">
        <x:f>H326/H325-1</x:f>
        <x:v>0.003182333457882436</x:v>
      </x:c>
      <x:c r="G326" s="60" t="n">
        <x:f>'调前玩家曲线'!AU286</x:f>
        <x:v>1601260</x:v>
      </x:c>
      <x:c r="H326" s="60" t="n">
        <x:f>'玩家战力_节点'!AU286</x:f>
        <x:v>1584055</x:v>
      </x:c>
      <x:c r="I326" s="66" t="n">
        <x:f>'玩家战力_节点'!F286</x:f>
        <x:v>5</x:v>
      </x:c>
      <x:c r="J326" s="40" t="n">
        <x:f>'玩家战力_节点'!B286</x:f>
        <x:v>275</x:v>
      </x:c>
    </x:row>
    <x:row r="327" ht="25" customHeight="1">
      <x:c r="A327" s="40" t="str">
        <x:f>IF('调前玩家曲线'!C287=0,"序章",'调前玩家曲线'!C287)&amp;"-"&amp;'调前玩家曲线'!D287</x:f>
        <x:v>19-12</x:v>
      </x:c>
      <x:c r="B327" s="60" t="n">
        <x:f>IF(G327=0,0,ROUND(G327,2-INT(LOG10(ABS(G327)))))</x:f>
        <x:v>1600000</x:v>
      </x:c>
      <x:c r="C327" s="55" t="n">
        <x:f>IF(H327=0,0,ROUND(H327,2-INT(LOG10(ABS(H327)))))</x:f>
        <x:v>1590000</x:v>
      </x:c>
      <x:c r="D327" s="62" t="n">
        <x:f>H327/G327-1</x:f>
        <x:v>-0.008077226777192803</x:v>
      </x:c>
      <x:c r="E327" s="62" t="n">
        <x:f>G327/G326-1</x:f>
        <x:v>0.00048399385483932633</x:v>
      </x:c>
      <x:c r="F327" s="62" t="n">
        <x:f>H327/H326-1</x:f>
        <x:v>0.0031817077058562404</x:v>
      </x:c>
      <x:c r="G327" s="60" t="n">
        <x:f>'调前玩家曲线'!AU287</x:f>
        <x:v>1602035</x:v>
      </x:c>
      <x:c r="H327" s="60" t="n">
        <x:f>'玩家战力_节点'!AU287</x:f>
        <x:v>1589095</x:v>
      </x:c>
      <x:c r="I327" s="66" t="n">
        <x:f>'玩家战力_节点'!F287</x:f>
        <x:v>5</x:v>
      </x:c>
      <x:c r="J327" s="40" t="n">
        <x:f>'玩家战力_节点'!B287</x:f>
        <x:v>276</x:v>
      </x:c>
    </x:row>
    <x:row r="328" ht="25" customHeight="1">
      <x:c r="A328" s="40" t="str">
        <x:f>IF('调前玩家曲线'!C288=0,"序章",'调前玩家曲线'!C288)&amp;"-"&amp;'调前玩家曲线'!D288</x:f>
        <x:v>19-13</x:v>
      </x:c>
      <x:c r="B328" s="60" t="n">
        <x:f>IF(G328=0,0,ROUND(G328,2-INT(LOG10(ABS(G328)))))</x:f>
        <x:v>1600000</x:v>
      </x:c>
      <x:c r="C328" s="55" t="n">
        <x:f>IF(H328=0,0,ROUND(H328,2-INT(LOG10(ABS(H328)))))</x:f>
        <x:v>1590000</x:v>
      </x:c>
      <x:c r="D328" s="62" t="n">
        <x:f>H328/G328-1</x:f>
        <x:v>-0.005396839261537667</x:v>
      </x:c>
      <x:c r="E328" s="62" t="n">
        <x:f>G328/G327-1</x:f>
        <x:v>0.00047127559635096183</x:v>
      </x:c>
      <x:c r="F328" s="62" t="n">
        <x:f>H328/H327-1</x:f>
        <x:v>0.0031747629940312994</x:v>
      </x:c>
      <x:c r="G328" s="60" t="n">
        <x:f>'调前玩家曲线'!AU288</x:f>
        <x:v>1602790</x:v>
      </x:c>
      <x:c r="H328" s="60" t="n">
        <x:f>'玩家战力_节点'!AU288</x:f>
        <x:v>1594140</x:v>
      </x:c>
      <x:c r="I328" s="66" t="n">
        <x:f>'玩家战力_节点'!F288</x:f>
        <x:v>5</x:v>
      </x:c>
      <x:c r="J328" s="40" t="n">
        <x:f>'玩家战力_节点'!B288</x:f>
        <x:v>277</x:v>
      </x:c>
    </x:row>
    <x:row r="329" ht="25" customHeight="1">
      <x:c r="A329" s="40" t="str">
        <x:f>IF('调前玩家曲线'!C289=0,"序章",'调前玩家曲线'!C289)&amp;"-"&amp;'调前玩家曲线'!D289</x:f>
        <x:v>19-14</x:v>
      </x:c>
      <x:c r="B329" s="60" t="n">
        <x:f>IF(G329=0,0,ROUND(G329,2-INT(LOG10(ABS(G329)))))</x:f>
        <x:v>1600000</x:v>
      </x:c>
      <x:c r="C329" s="55" t="n">
        <x:f>IF(H329=0,0,ROUND(H329,2-INT(LOG10(ABS(H329)))))</x:f>
        <x:v>1600000</x:v>
      </x:c>
      <x:c r="D329" s="62" t="n">
        <x:f>H329/G329-1</x:f>
        <x:v>-0.0027034021708288725</x:v>
      </x:c>
      <x:c r="E329" s="62" t="n">
        <x:f>G329/G328-1</x:f>
        <x:v>0.00046481447975099677</x:v>
      </x:c>
      <x:c r="F329" s="62" t="n">
        <x:f>H329/H328-1</x:f>
        <x:v>0.0031741252336683345</x:v>
      </x:c>
      <x:c r="G329" s="60" t="n">
        <x:f>'调前玩家曲线'!AU289</x:f>
        <x:v>1603535</x:v>
      </x:c>
      <x:c r="H329" s="60" t="n">
        <x:f>'玩家战力_节点'!AU289</x:f>
        <x:v>1599200</x:v>
      </x:c>
      <x:c r="I329" s="66" t="n">
        <x:f>'玩家战力_节点'!F289</x:f>
        <x:v>5</x:v>
      </x:c>
      <x:c r="J329" s="40" t="n">
        <x:f>'玩家战力_节点'!B289</x:f>
        <x:v>278</x:v>
      </x:c>
    </x:row>
    <x:row r="330" ht="25" customHeight="1">
      <x:c r="A330" s="40" t="str">
        <x:f>IF('调前玩家曲线'!C290=0,"序章",'调前玩家曲线'!C290)&amp;"-"&amp;'调前玩家曲线'!D290</x:f>
        <x:v>19-15</x:v>
      </x:c>
      <x:c r="B330" s="60" t="n">
        <x:f>IF(G330=0,0,ROUND(G330,2-INT(LOG10(ABS(G330)))))</x:f>
        <x:v>1600000</x:v>
      </x:c>
      <x:c r="C330" s="55" t="n">
        <x:f>IF(H330=0,0,ROUND(H330,2-INT(LOG10(ABS(H330)))))</x:f>
        <x:v>1600000</x:v>
      </x:c>
      <x:c r="D330" s="62" t="n">
        <x:f>H330/G330-1</x:f>
        <x:v>0</x:v>
      </x:c>
      <x:c r="E330" s="62" t="n">
        <x:f>G330/G329-1</x:f>
        <x:v>0.0004552441948570962</x:v>
      </x:c>
      <x:c r="F330" s="62" t="n">
        <x:f>H330/H329-1</x:f>
        <x:v>0.0031672086043021963</x:v>
      </x:c>
      <x:c r="G330" s="60" t="n">
        <x:f>'调前玩家曲线'!AU290</x:f>
        <x:v>1604265</x:v>
      </x:c>
      <x:c r="H330" s="60" t="n">
        <x:f>'玩家战力_节点'!AU290</x:f>
        <x:v>1604265</x:v>
      </x:c>
      <x:c r="I330" s="66" t="n">
        <x:f>'玩家战力_节点'!F290</x:f>
        <x:v>5</x:v>
      </x:c>
      <x:c r="J330" s="40" t="n">
        <x:f>'玩家战力_节点'!B290</x:f>
        <x:v>279</x:v>
      </x:c>
    </x:row>
    <x:row r="331" ht="25" customHeight="1">
      <x:c r="A331" s="40"/>
      <x:c r="B331" s="40"/>
      <x:c r="C331" s="40"/>
      <x:c r="D331" s="40"/>
      <x:c r="E331" s="40"/>
      <x:c r="F331" s="40"/>
      <x:c r="G331" s="40"/>
      <x:c r="H331" s="40"/>
      <x:c r="I331" s="40"/>
      <x:c r="J331" s="40"/>
    </x:row>
    <x:row r="332" ht="25" customHeight="1">
      <x:c r="A332" s="40"/>
      <x:c r="B332" s="40"/>
      <x:c r="C332" s="40"/>
      <x:c r="D332" s="40"/>
      <x:c r="E332" s="40"/>
      <x:c r="F332" s="40"/>
      <x:c r="G332" s="40"/>
      <x:c r="H332" s="40"/>
      <x:c r="I332" s="40"/>
      <x:c r="J332" s="40"/>
    </x:row>
    <x:row r="333" ht="25" customHeight="1">
      <x:c r="A333" s="40"/>
      <x:c r="B333" s="40"/>
      <x:c r="C333" s="40"/>
      <x:c r="D333" s="40"/>
      <x:c r="E333" s="40"/>
      <x:c r="F333" s="40"/>
      <x:c r="G333" s="40"/>
      <x:c r="H333" s="40"/>
      <x:c r="I333" s="40"/>
      <x:c r="J333" s="40"/>
    </x:row>
    <x:row r="334" ht="25" customHeight="1">
      <x:c r="A334" s="40"/>
      <x:c r="B334" s="40"/>
      <x:c r="C334" s="40"/>
      <x:c r="D334" s="40"/>
      <x:c r="E334" s="40"/>
      <x:c r="F334" s="40"/>
      <x:c r="G334" s="40"/>
      <x:c r="H334" s="40"/>
      <x:c r="I334" s="40"/>
      <x:c r="J334" s="40"/>
    </x:row>
    <x:row r="335" ht="25" customHeight="1">
      <x:c r="A335" s="40"/>
      <x:c r="B335" s="40"/>
      <x:c r="C335" s="40"/>
      <x:c r="D335" s="40"/>
      <x:c r="E335" s="40"/>
      <x:c r="F335" s="40"/>
      <x:c r="G335" s="40"/>
      <x:c r="H335" s="40"/>
      <x:c r="I335" s="40"/>
      <x:c r="J335" s="40"/>
    </x:row>
  </x:sheetData>
  <x:mergeCells>
    <x:mergeCell ref="A1:J1"/>
    <x:mergeCell ref="A2:J3"/>
    <x:mergeCell ref="A5:E5"/>
    <x:mergeCell ref="F5:J5"/>
    <x:mergeCell ref="A6:E7"/>
    <x:mergeCell ref="F6:G7"/>
    <x:mergeCell ref="H6:J7"/>
    <x:mergeCell ref="A46:J47"/>
    <x:mergeCell ref="A49:J49"/>
  </x:mergeCells>
  <x:pageMargins left="0.7" right="0.7" top="0.75" bottom="0.75" header="0.3" footer="0.3"/>
  <x:drawing xmlns:r="http://schemas.openxmlformats.org/officeDocument/2006/relationships" r:id="R8b665346981d4b09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42" t="str">
        <x:v>参数说明｜先理解单位，再调整节奏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</x:row>
    <x:row r="2" ht="25" customHeight="1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 ht="25" customHeight="1">
      <x:c r="A3" s="48" t="str">
        <x:v>1. 去哪里改</x:v>
      </x:c>
      <x:c r="B3" s="48"/>
      <x:c r="C3" s="46" t="str">
        <x:v>打开“主线调参”，定位关卡行，只改C:H列黄底蓝字；六个模块用同一套百分比单位。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 ht="25" customHeight="1">
      <x:c r="A4" s="48"/>
      <x:c r="B4" s="48"/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</x:row>
    <x:row r="5" ht="25" customHeight="1">
      <x:c r="A5" s="48" t="str">
        <x:v>2. 数字代表什么</x:v>
      </x:c>
      <x:c r="B5" s="48"/>
      <x:c r="C5" s="46" t="str">
        <x:v>50%表示这个模块已完成既定终点目标的一半。它不是角色50级、升星50%、战力占比50%，也不是资源投入50%。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</x:row>
    <x:row r="6" ht="25" customHeight="1">
      <x:c r="A6" s="48"/>
      <x:c r="B6" s="48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</x:row>
    <x:row r="7" ht="25" customHeight="1">
      <x:c r="A7" s="48" t="str">
        <x:v>3. 怎么放慢第三章</x:v>
      </x:c>
      <x:c r="B7" s="48"/>
      <x:c r="C7" s="46" t="str">
        <x:v>例如3-15映射目标完成度本轮为7.50%，可再调低；同列不能低于3-10，也不能高于4-1。先看“本轮调整对比”的章节增长，再决定是否继续放慢。</x:v>
      </x:c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</x:row>
    <x:row r="8" ht="25" customHeight="1">
      <x:c r="A8" s="48"/>
      <x:c r="B8" s="48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</x:row>
    <x:row r="9" ht="25" customHeight="1">
      <x:c r="A9" s="48" t="str">
        <x:v>4. 怎么看改动结果</x:v>
      </x:c>
      <x:c r="B9" s="48"/>
      <x:c r="C9" s="46" t="str">
        <x:v>I列看该节点战力；J列看相比上个节点的总涨幅；K列看按间隔关数折算的平均每关涨幅。后者只方便比较节奏，不是每一关真实增幅。</x:v>
      </x:c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</x:row>
    <x:row r="10" ht="25" customHeight="1">
      <x:c r="A10" s="48"/>
      <x:c r="B10" s="48"/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</x:row>
    <x:row r="11" ht="25" customHeight="1">
      <x:c r="A11" s="48" t="str">
        <x:v>5. 为什么有灰格</x:v>
      </x:c>
      <x:c r="B11" s="48"/>
      <x:c r="C11" s="46" t="str">
        <x:v>源模型尚未开启该模块，必须为0%。达到开启节点后可编辑；未开启阶段输出仍强制为0。</x:v>
      </x:c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</x:row>
    <x:row r="12" ht="25" customHeight="1">
      <x:c r="A12" s="48"/>
      <x:c r="B12" s="48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</x:row>
    <x:row r="13" ht="25" customHeight="1">
      <x:c r="A13" s="48" t="str">
        <x:v>6. 节点之间怎么算</x:v>
      </x:c>
      <x:c r="B13" s="48"/>
      <x:c r="C13" s="46" t="str">
        <x:v>六模块分别按相邻节点线性插值，再用原属性预算和统一战力公式算战力。不是拿两端战力直接插值，也不再用一条全局函数决定中间成长。</x:v>
      </x:c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</x:row>
    <x:row r="14" ht="25" customHeight="1">
      <x:c r="A14" s="48"/>
      <x:c r="B14" s="48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</x:row>
    <x:row r="15" ht="25" customHeight="1">
      <x:c r="A15" s="48" t="str">
        <x:v>7. 先后顺序</x:v>
      </x:c>
      <x:c r="B15" s="48"/>
      <x:c r="C15" s="46" t="str">
        <x:v>建议先定各章末的目标完成度，再调章首、开启点和章内关键点；同一列从上往下不能倒退。调整前先另存一份，红色提示清完再比较曲线。</x:v>
      </x:c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</x:row>
    <x:row r="16" ht="25" customHeight="1">
      <x:c r="A16" s="48"/>
      <x:c r="B16" s="48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</x:row>
    <x:row r="17" ht="25" customHeight="1">
      <x:c r="A17" s="48" t="str">
        <x:v>8. 哪些没变</x:v>
      </x:c>
      <x:c r="B17" s="48"/>
      <x:c r="C17" s="46" t="str">
        <x:v>预算、人数系数、战力公式不变；当前“玩家战力曲线”已接入节点版，旧曲线保留在“调前玩家曲线”。其他源表缓存须同步刷新；SVN未同步。</x:v>
      </x:c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</x:row>
    <x:row r="18" ht="25" customHeight="1">
      <x:c r="A18" s="48"/>
      <x:c r="B18" s="48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</x:row>
    <x:row r="19" ht="25" customHeight="1">
      <x:c r="A19" s="48" t="str">
        <x:v>9. 默认值从哪来</x:v>
      </x:c>
      <x:c r="B19" s="48"/>
      <x:c r="C19" s="46" t="str">
        <x:v>本轮以全程节点表为基准，序章和前两章不动。3～7章相对2-12的六模块新增进度乘75%；8-1继续保持75%，之后按节点逐步恢复到终点100%。这是初始节点方案，不改变分段插值规则。</x:v>
      </x:c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</x:row>
    <x:row r="20" ht="25" customHeight="1">
      <x:c r="A20" s="48"/>
      <x:c r="B20" s="48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</x:row>
    <x:row r="21" ht="25" customHeight="1">
      <x:c r="A21" s="48" t="str">
        <x:v>10. 使用边界</x:v>
      </x:c>
      <x:c r="B21" s="48"/>
      <x:c r="C21" s="46" t="str">
        <x:v>本页是属性释放节奏模型，未校验实际等级、星级、装备品质或材料获得量。100%仅指当前模型终点目标，不能当作玩家理论最高属性；可降低终点节点但不允许超预算。</x:v>
      </x:c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</x:row>
    <x:row r="22" ht="25" customHeight="1">
      <x:c r="A22" s="48"/>
      <x:c r="B22" s="48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</x:row>
    <x:row r="23" ht="25" customHeight="1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</x:row>
    <x:row r="24" ht="30" customHeight="1">
      <x:c r="A24" s="42" t="str">
        <x:v>单位换算与开启约束｜引用源模型，不是第二处调参入口</x:v>
      </x:c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</x:row>
    <x:row r="25" ht="25" customHeight="1">
      <x:c r="A25" s="40"/>
      <x:c r="B25" s="40"/>
      <x:c r="C25" s="42" t="str">
        <x:v>角色等级</x:v>
      </x:c>
      <x:c r="D25" s="42" t="str">
        <x:v>星盘/升星</x:v>
      </x:c>
      <x:c r="E25" s="42" t="str">
        <x:v>收容物</x:v>
      </x:c>
      <x:c r="F25" s="42" t="str">
        <x:v>映射装备</x:v>
      </x:c>
      <x:c r="G25" s="42" t="str">
        <x:v>旅券</x:v>
      </x:c>
      <x:c r="H25" s="42" t="str">
        <x:v>房车</x:v>
      </x:c>
      <x:c r="I25" s="44" t="str">
        <x:v>换算：新目标完成度＝旧进度÷源表终点进度；计算时再乘回去。例如映射旧进度6%÷终点60%＝本表10%。这只是换单位，本身不改变战力。</x:v>
      </x:c>
      <x:c r="J25" s="44"/>
      <x:c r="K25" s="44"/>
      <x:c r="L25" s="44"/>
      <x:c r="M25" s="44"/>
      <x:c r="N25" s="44"/>
    </x:row>
    <x:row r="26" ht="25" customHeight="1">
      <x:c r="A26" s="46" t="str">
        <x:v>开启关卡序号</x:v>
      </x:c>
      <x:c r="B26" s="46"/>
      <x:c r="C26" s="40" t="n">
        <x:f>'调前玩家曲线'!G8</x:f>
        <x:v>1</x:v>
      </x:c>
      <x:c r="D26" s="40" t="n">
        <x:f>'调前玩家曲线'!H8</x:f>
        <x:v>14</x:v>
      </x:c>
      <x:c r="E26" s="40" t="n">
        <x:f>'调前玩家曲线'!I8</x:f>
        <x:v>64</x:v>
      </x:c>
      <x:c r="F26" s="40" t="n">
        <x:f>'调前玩家曲线'!J8</x:f>
        <x:v>30</x:v>
      </x:c>
      <x:c r="G26" s="40" t="n">
        <x:f>'调前玩家曲线'!K8</x:f>
        <x:v>100</x:v>
      </x:c>
      <x:c r="H26" s="40" t="n">
        <x:f>'调前玩家曲线'!L8</x:f>
        <x:v>15</x:v>
      </x:c>
      <x:c r="I26" s="44"/>
      <x:c r="J26" s="44"/>
      <x:c r="K26" s="44"/>
      <x:c r="L26" s="44"/>
      <x:c r="M26" s="44"/>
      <x:c r="N26" s="44"/>
    </x:row>
    <x:row r="27" ht="25" customHeight="1">
      <x:c r="A27" s="46" t="str">
        <x:v>源表终点进度</x:v>
      </x:c>
      <x:c r="B27" s="46"/>
      <x:c r="C27" s="58" t="n">
        <x:f>'调前玩家曲线'!G4</x:f>
        <x:v>0.9</x:v>
      </x:c>
      <x:c r="D27" s="58" t="n">
        <x:f>'调前玩家曲线'!H4</x:f>
        <x:v>0.7</x:v>
      </x:c>
      <x:c r="E27" s="58" t="n">
        <x:f>'调前玩家曲线'!I4</x:f>
        <x:v>0.65</x:v>
      </x:c>
      <x:c r="F27" s="58" t="n">
        <x:f>'调前玩家曲线'!J4</x:f>
        <x:v>0.6</x:v>
      </x:c>
      <x:c r="G27" s="58" t="n">
        <x:f>'调前玩家曲线'!K4</x:f>
        <x:v>0.65</x:v>
      </x:c>
      <x:c r="H27" s="58" t="n">
        <x:f>'调前玩家曲线'!L4</x:f>
        <x:v>0.7</x:v>
      </x:c>
      <x:c r="I27" s="44"/>
      <x:c r="J27" s="44"/>
      <x:c r="K27" s="44"/>
      <x:c r="L27" s="44"/>
      <x:c r="M27" s="44"/>
      <x:c r="N27" s="44"/>
    </x:row>
    <x:row r="28" ht="25" customHeight="1">
      <x:c r="A28" s="46" t="str">
        <x:v>本表100%等于</x:v>
      </x:c>
      <x:c r="B28" s="46"/>
      <x:c r="C28" s="58" t="n">
        <x:f>C27</x:f>
        <x:v>0.9</x:v>
      </x:c>
      <x:c r="D28" s="58" t="n">
        <x:f>D27</x:f>
        <x:v>0.7</x:v>
      </x:c>
      <x:c r="E28" s="58" t="n">
        <x:f>E27</x:f>
        <x:v>0.65</x:v>
      </x:c>
      <x:c r="F28" s="58" t="n">
        <x:f>F27</x:f>
        <x:v>0.6</x:v>
      </x:c>
      <x:c r="G28" s="58" t="n">
        <x:f>G27</x:f>
        <x:v>0.65</x:v>
      </x:c>
      <x:c r="H28" s="58" t="n">
        <x:f>H27</x:f>
        <x:v>0.7</x:v>
      </x:c>
      <x:c r="I28" s="44"/>
      <x:c r="J28" s="44"/>
      <x:c r="K28" s="44"/>
      <x:c r="L28" s="44"/>
      <x:c r="M28" s="44"/>
      <x:c r="N28" s="44"/>
    </x:row>
    <x:row r="29" ht="25" customHeight="1">
      <x:c r="A29" s="46" t="str">
        <x:v>开启关卡</x:v>
      </x:c>
      <x:c r="B29" s="46"/>
      <x:c r="C29" s="40" t="str">
        <x:f>IF(INDEX('调前玩家曲线'!$C$12:$C$290,C26)=0,"序章",INDEX('调前玩家曲线'!$C$12:$C$290,C26))&amp;"-"&amp;INDEX('调前玩家曲线'!$D$12:$D$290,C26)</x:f>
        <x:v>序章-1</x:v>
      </x:c>
      <x:c r="D29" s="40" t="str">
        <x:f>IF(INDEX('调前玩家曲线'!$C$12:$C$290,D26)=0,"序章",INDEX('调前玩家曲线'!$C$12:$C$290,D26))&amp;"-"&amp;INDEX('调前玩家曲线'!$D$12:$D$290,D26)</x:f>
        <x:v>2-2</x:v>
      </x:c>
      <x:c r="E29" s="40" t="str">
        <x:f>IF(INDEX('调前玩家曲线'!$C$12:$C$290,E26)=0,"序章",INDEX('调前玩家曲线'!$C$12:$C$290,E26))&amp;"-"&amp;INDEX('调前玩家曲线'!$D$12:$D$290,E26)</x:f>
        <x:v>5-10</x:v>
      </x:c>
      <x:c r="F29" s="40" t="str">
        <x:f>IF(INDEX('调前玩家曲线'!$C$12:$C$290,F26)=0,"序章",INDEX('调前玩家曲线'!$C$12:$C$290,F26))&amp;"-"&amp;INDEX('调前玩家曲线'!$D$12:$D$290,F26)</x:f>
        <x:v>3-6</x:v>
      </x:c>
      <x:c r="G29" s="40" t="str">
        <x:f>IF(INDEX('调前玩家曲线'!$C$12:$C$290,G26)=0,"序章",INDEX('调前玩家曲线'!$C$12:$C$290,G26))&amp;"-"&amp;INDEX('调前玩家曲线'!$D$12:$D$290,G26)</x:f>
        <x:v>8-1</x:v>
      </x:c>
      <x:c r="H29" s="40" t="str">
        <x:f>IF(INDEX('调前玩家曲线'!$C$12:$C$290,H26)=0,"序章",INDEX('调前玩家曲线'!$C$12:$C$290,H26))&amp;"-"&amp;INDEX('调前玩家曲线'!$D$12:$D$290,H26)</x:f>
        <x:v>2-3</x:v>
      </x:c>
      <x:c r="I29" s="44"/>
      <x:c r="J29" s="44"/>
      <x:c r="K29" s="44"/>
      <x:c r="L29" s="44"/>
      <x:c r="M29" s="44"/>
      <x:c r="N29" s="44"/>
    </x:row>
    <x:row r="30" ht="25" customHeight="1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</x:row>
    <x:row r="31" ht="25" customHeight="1">
      <x:c r="A31" s="46" t="str">
        <x:v>来源：上一版养成属性分配_主线全程节点调参.xlsx/主线调参C11:H62与玩家战力_节点；原预算仍来自养成属性分配.xlsx。前两章不变为HUMAN_DECISION，75%试调幅度与后段衔接为DESIGN_PROPOSAL。</x:v>
      </x:c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</x:row>
    <x:row r="32" ht="25" customHeight="1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</x:row>
    <x:row r="33" ht="25" customHeight="1">
      <x:c r="A33" s="46" t="str">
        <x:v>默认值恢复区：C:H为本轮初始值。若要恢复上一版，请用“本轮调整对比”C336:H387，复制后粘贴为数值到主线调参C11:H62。</x:v>
      </x:c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</x:row>
    <x:row r="34" ht="25" customHeight="1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</x:row>
    <x:row r="35" ht="25" customHeight="1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</x:row>
    <x:row r="36" ht="42" customHeight="1">
      <x:c r="A36" s="49" t="str">
        <x:v>关卡</x:v>
      </x:c>
      <x:c r="B36" s="49" t="str">
        <x:v>序号</x:v>
      </x:c>
      <x:c r="C36" s="49" t="str">
        <x:v>角色等级</x:v>
      </x:c>
      <x:c r="D36" s="49" t="str">
        <x:v>星盘/升星</x:v>
      </x:c>
      <x:c r="E36" s="49" t="str">
        <x:v>收容物</x:v>
      </x:c>
      <x:c r="F36" s="49" t="str">
        <x:v>映射装备</x:v>
      </x:c>
      <x:c r="G36" s="49" t="str">
        <x:v>旅券</x:v>
      </x:c>
      <x:c r="H36" s="49" t="str">
        <x:v>房车</x:v>
      </x:c>
      <x:c r="I36" s="49" t="str">
        <x:v>初值来源</x:v>
      </x:c>
      <x:c r="J36" s="49" t="str">
        <x:v>本轮节点依据</x:v>
      </x:c>
      <x:c r="K36" s="49"/>
      <x:c r="L36" s="49"/>
      <x:c r="M36" s="49"/>
      <x:c r="N36" s="49"/>
    </x:row>
    <x:row r="37" ht="25" customHeight="1">
      <x:c r="A37" s="40" t="str">
        <x:f>'主线调参'!A11</x:f>
        <x:v>序章-1</x:v>
      </x:c>
      <x:c r="B37" s="40" t="n">
        <x:v>1</x:v>
      </x:c>
      <x:c r="C37" s="58" t="n">
        <x:v>0</x:v>
      </x:c>
      <x:c r="D37" s="58" t="n">
        <x:v>0</x:v>
      </x:c>
      <x:c r="E37" s="58" t="n">
        <x:v>0</x:v>
      </x:c>
      <x:c r="F37" s="58" t="n">
        <x:v>0</x:v>
      </x:c>
      <x:c r="G37" s="58" t="n">
        <x:v>0</x:v>
      </x:c>
      <x:c r="H37" s="58" t="n">
        <x:v>0</x:v>
      </x:c>
      <x:c r="I37" s="40" t="str">
        <x:v>本轮保持不变</x:v>
      </x:c>
      <x:c r="J37" s="40" t="str">
        <x:v>详见新增对比页第333行起</x:v>
      </x:c>
      <x:c r="K37" s="40"/>
      <x:c r="L37" s="40"/>
      <x:c r="M37" s="40"/>
      <x:c r="N37" s="40"/>
    </x:row>
    <x:row r="38" ht="25" customHeight="1">
      <x:c r="A38" s="40" t="str">
        <x:f>'主线调参'!A12</x:f>
        <x:v>序章-3</x:v>
      </x:c>
      <x:c r="B38" s="40" t="n">
        <x:v>3</x:v>
      </x:c>
      <x:c r="C38" s="58" t="n">
        <x:v>0.03022755894686022</x:v>
      </x:c>
      <x:c r="D38" s="58" t="n">
        <x:v>0</x:v>
      </x:c>
      <x:c r="E38" s="58" t="n">
        <x:v>0</x:v>
      </x:c>
      <x:c r="F38" s="58" t="n">
        <x:v>0</x:v>
      </x:c>
      <x:c r="G38" s="58" t="n">
        <x:v>0</x:v>
      </x:c>
      <x:c r="H38" s="58" t="n">
        <x:v>0</x:v>
      </x:c>
      <x:c r="I38" s="40" t="str">
        <x:v>本轮保持不变</x:v>
      </x:c>
      <x:c r="J38" s="58"/>
      <x:c r="K38" s="58"/>
      <x:c r="L38" s="58"/>
      <x:c r="M38" s="58"/>
      <x:c r="N38" s="58"/>
    </x:row>
    <x:row r="39" ht="25" customHeight="1">
      <x:c r="A39" s="40" t="str">
        <x:f>'主线调参'!A13</x:f>
        <x:v>序章-4</x:v>
      </x:c>
      <x:c r="B39" s="40" t="n">
        <x:v>4</x:v>
      </x:c>
      <x:c r="C39" s="58" t="n">
        <x:v>0.045002134956541665</x:v>
      </x:c>
      <x:c r="D39" s="58" t="n">
        <x:v>0</x:v>
      </x:c>
      <x:c r="E39" s="58" t="n">
        <x:v>0</x:v>
      </x:c>
      <x:c r="F39" s="58" t="n">
        <x:v>0</x:v>
      </x:c>
      <x:c r="G39" s="58" t="n">
        <x:v>0</x:v>
      </x:c>
      <x:c r="H39" s="58" t="n">
        <x:v>0</x:v>
      </x:c>
      <x:c r="I39" s="40" t="str">
        <x:v>本轮保持不变</x:v>
      </x:c>
      <x:c r="J39" s="40"/>
      <x:c r="K39" s="40"/>
      <x:c r="L39" s="40"/>
      <x:c r="M39" s="40"/>
      <x:c r="N39" s="40"/>
    </x:row>
    <x:row r="40" ht="25" customHeight="1">
      <x:c r="A40" s="40" t="str">
        <x:f>'主线调参'!A14</x:f>
        <x:v>1-1</x:v>
      </x:c>
      <x:c r="B40" s="40" t="n">
        <x:v>5</x:v>
      </x:c>
      <x:c r="C40" s="58" t="n">
        <x:v>0.05955509232607778</x:v>
      </x:c>
      <x:c r="D40" s="58" t="n">
        <x:v>0</x:v>
      </x:c>
      <x:c r="E40" s="58" t="n">
        <x:v>0</x:v>
      </x:c>
      <x:c r="F40" s="58" t="n">
        <x:v>0</x:v>
      </x:c>
      <x:c r="G40" s="58" t="n">
        <x:v>0</x:v>
      </x:c>
      <x:c r="H40" s="58" t="n">
        <x:v>0</x:v>
      </x:c>
      <x:c r="I40" s="40" t="str">
        <x:v>本轮保持不变</x:v>
      </x:c>
      <x:c r="J40" s="46" t="str">
        <x:v>第3～7章：新完成度＝2-12完成度＋75%×(改前完成度−2-12完成度)。第8章起将75%逐步回补至100%。这里只生成节点初始值，不用单条函数替代节点插值。</x:v>
      </x:c>
      <x:c r="K40" s="46"/>
      <x:c r="L40" s="46"/>
      <x:c r="M40" s="46"/>
      <x:c r="N40" s="46"/>
    </x:row>
    <x:row r="41" ht="25" customHeight="1">
      <x:c r="A41" s="40" t="str">
        <x:f>'主线调参'!A15</x:f>
        <x:v>1-2</x:v>
      </x:c>
      <x:c r="B41" s="40" t="n">
        <x:v>6</x:v>
      </x:c>
      <x:c r="C41" s="58" t="n">
        <x:v>0.07388975533507099</x:v>
      </x:c>
      <x:c r="D41" s="58" t="n">
        <x:v>0</x:v>
      </x:c>
      <x:c r="E41" s="58" t="n">
        <x:v>0</x:v>
      </x:c>
      <x:c r="F41" s="58" t="n">
        <x:v>0</x:v>
      </x:c>
      <x:c r="G41" s="58" t="n">
        <x:v>0</x:v>
      </x:c>
      <x:c r="H41" s="58" t="n">
        <x:v>0</x:v>
      </x:c>
      <x:c r="I41" s="40" t="str">
        <x:v>本轮保持不变</x:v>
      </x:c>
      <x:c r="J41" s="46"/>
      <x:c r="K41" s="46"/>
      <x:c r="L41" s="46"/>
      <x:c r="M41" s="46"/>
      <x:c r="N41" s="46"/>
    </x:row>
    <x:row r="42" ht="25" customHeight="1">
      <x:c r="A42" s="40" t="str">
        <x:f>'主线调参'!A16</x:f>
        <x:v>1-3</x:v>
      </x:c>
      <x:c r="B42" s="40" t="n">
        <x:v>7</x:v>
      </x:c>
      <x:c r="C42" s="58" t="n">
        <x:v>0.08800939839892911</x:v>
      </x:c>
      <x:c r="D42" s="58" t="n">
        <x:v>0</x:v>
      </x:c>
      <x:c r="E42" s="58" t="n">
        <x:v>0</x:v>
      </x:c>
      <x:c r="F42" s="58" t="n">
        <x:v>0</x:v>
      </x:c>
      <x:c r="G42" s="58" t="n">
        <x:v>0</x:v>
      </x:c>
      <x:c r="H42" s="58" t="n">
        <x:v>0</x:v>
      </x:c>
      <x:c r="I42" s="40" t="str">
        <x:v>本轮保持不变</x:v>
      </x:c>
      <x:c r="J42" s="46"/>
      <x:c r="K42" s="46"/>
      <x:c r="L42" s="46"/>
      <x:c r="M42" s="46"/>
      <x:c r="N42" s="46"/>
    </x:row>
    <x:row r="43" ht="25" customHeight="1">
      <x:c r="A43" s="40" t="str">
        <x:f>'主线调参'!A17</x:f>
        <x:v>1-5</x:v>
      </x:c>
      <x:c r="B43" s="40" t="n">
        <x:v>9</x:v>
      </x:c>
      <x:c r="C43" s="58" t="n">
        <x:v>0.1156164775084611</x:v>
      </x:c>
      <x:c r="D43" s="58" t="n">
        <x:v>0</x:v>
      </x:c>
      <x:c r="E43" s="58" t="n">
        <x:v>0</x:v>
      </x:c>
      <x:c r="F43" s="58" t="n">
        <x:v>0</x:v>
      </x:c>
      <x:c r="G43" s="58" t="n">
        <x:v>0</x:v>
      </x:c>
      <x:c r="H43" s="58" t="n">
        <x:v>0</x:v>
      </x:c>
      <x:c r="I43" s="40" t="str">
        <x:v>本轮保持不变</x:v>
      </x:c>
      <x:c r="J43" s="46"/>
      <x:c r="K43" s="46"/>
      <x:c r="L43" s="46"/>
      <x:c r="M43" s="46"/>
      <x:c r="N43" s="46"/>
    </x:row>
    <x:row r="44" ht="25" customHeight="1">
      <x:c r="A44" s="40" t="str">
        <x:f>'主线调参'!A18</x:f>
        <x:v>1-6</x:v>
      </x:c>
      <x:c r="B44" s="40" t="n">
        <x:v>10</x:v>
      </x:c>
      <x:c r="C44" s="58" t="n">
        <x:v>0.1291102197397189</x:v>
      </x:c>
      <x:c r="D44" s="58" t="n">
        <x:v>0</x:v>
      </x:c>
      <x:c r="E44" s="58" t="n">
        <x:v>0</x:v>
      </x:c>
      <x:c r="F44" s="58" t="n">
        <x:v>0</x:v>
      </x:c>
      <x:c r="G44" s="58" t="n">
        <x:v>0</x:v>
      </x:c>
      <x:c r="H44" s="58" t="n">
        <x:v>0</x:v>
      </x:c>
      <x:c r="I44" s="40" t="str">
        <x:v>本轮保持不变</x:v>
      </x:c>
      <x:c r="J44" s="46"/>
      <x:c r="K44" s="46"/>
      <x:c r="L44" s="46"/>
      <x:c r="M44" s="46"/>
      <x:c r="N44" s="46"/>
    </x:row>
    <x:row r="45" ht="25" customHeight="1">
      <x:c r="A45" s="40" t="str">
        <x:f>'主线调参'!A19</x:f>
        <x:v>1-8</x:v>
      </x:c>
      <x:c r="B45" s="40" t="n">
        <x:v>12</x:v>
      </x:c>
      <x:c r="C45" s="58" t="n">
        <x:v>0.1554935218938289</x:v>
      </x:c>
      <x:c r="D45" s="58" t="n">
        <x:v>0</x:v>
      </x:c>
      <x:c r="E45" s="58" t="n">
        <x:v>0</x:v>
      </x:c>
      <x:c r="F45" s="58" t="n">
        <x:v>0</x:v>
      </x:c>
      <x:c r="G45" s="58" t="n">
        <x:v>0</x:v>
      </x:c>
      <x:c r="H45" s="58" t="n">
        <x:v>0</x:v>
      </x:c>
      <x:c r="I45" s="40" t="str">
        <x:v>本轮保持不变</x:v>
      </x:c>
      <x:c r="J45" s="46"/>
      <x:c r="K45" s="46"/>
      <x:c r="L45" s="46"/>
      <x:c r="M45" s="46"/>
      <x:c r="N45" s="46"/>
    </x:row>
    <x:row r="46" ht="25" customHeight="1">
      <x:c r="A46" s="40" t="str">
        <x:f>'主线调参'!A20</x:f>
        <x:v>2-1</x:v>
      </x:c>
      <x:c r="B46" s="40" t="n">
        <x:v>13</x:v>
      </x:c>
      <x:c r="C46" s="58" t="n">
        <x:v>0.16838910845930555</x:v>
      </x:c>
      <x:c r="D46" s="58" t="n">
        <x:v>0</x:v>
      </x:c>
      <x:c r="E46" s="58" t="n">
        <x:v>0</x:v>
      </x:c>
      <x:c r="F46" s="58" t="n">
        <x:v>0</x:v>
      </x:c>
      <x:c r="G46" s="58" t="n">
        <x:v>0</x:v>
      </x:c>
      <x:c r="H46" s="58" t="n">
        <x:v>0</x:v>
      </x:c>
      <x:c r="I46" s="40" t="str">
        <x:v>本轮保持不变</x:v>
      </x:c>
      <x:c r="J46" s="40"/>
      <x:c r="K46" s="40"/>
      <x:c r="L46" s="40"/>
      <x:c r="M46" s="40"/>
      <x:c r="N46" s="40"/>
    </x:row>
    <x:row r="47" ht="25" customHeight="1">
      <x:c r="A47" s="40" t="str">
        <x:f>'主线调参'!A21</x:f>
        <x:v>2-2</x:v>
      </x:c>
      <x:c r="B47" s="40" t="n">
        <x:v>14</x:v>
      </x:c>
      <x:c r="C47" s="58" t="n">
        <x:v>0.18109126122629998</x:v>
      </x:c>
      <x:c r="D47" s="58" t="n">
        <x:v>0</x:v>
      </x:c>
      <x:c r="E47" s="58" t="n">
        <x:v>0</x:v>
      </x:c>
      <x:c r="F47" s="58" t="n">
        <x:v>0</x:v>
      </x:c>
      <x:c r="G47" s="58" t="n">
        <x:v>0</x:v>
      </x:c>
      <x:c r="H47" s="58" t="n">
        <x:v>0</x:v>
      </x:c>
      <x:c r="I47" s="40" t="str">
        <x:v>本轮保持不变</x:v>
      </x:c>
      <x:c r="J47" s="40"/>
      <x:c r="K47" s="40"/>
      <x:c r="L47" s="40"/>
      <x:c r="M47" s="40"/>
      <x:c r="N47" s="40"/>
    </x:row>
    <x:row r="48" ht="25" customHeight="1">
      <x:c r="A48" s="40" t="str">
        <x:f>'主线调参'!A22</x:f>
        <x:v>2-3</x:v>
      </x:c>
      <x:c r="B48" s="40" t="n">
        <x:v>15</x:v>
      </x:c>
      <x:c r="C48" s="58" t="n">
        <x:v>0.19360288170179</x:v>
      </x:c>
      <x:c r="D48" s="58" t="n">
        <x:v>0.020095060342159143</x:v>
      </x:c>
      <x:c r="E48" s="58" t="n">
        <x:v>0</x:v>
      </x:c>
      <x:c r="F48" s="58" t="n">
        <x:v>0</x:v>
      </x:c>
      <x:c r="G48" s="58" t="n">
        <x:v>0</x:v>
      </x:c>
      <x:c r="H48" s="58" t="n">
        <x:v>0</x:v>
      </x:c>
      <x:c r="I48" s="40" t="str">
        <x:v>本轮保持不变</x:v>
      </x:c>
      <x:c r="J48" s="40"/>
      <x:c r="K48" s="40"/>
      <x:c r="L48" s="40"/>
      <x:c r="M48" s="40"/>
      <x:c r="N48" s="40"/>
    </x:row>
    <x:row r="49" ht="25" customHeight="1">
      <x:c r="A49" s="40" t="str">
        <x:f>'主线调参'!A23</x:f>
        <x:v>2-8</x:v>
      </x:c>
      <x:c r="B49" s="40" t="n">
        <x:v>20</x:v>
      </x:c>
      <x:c r="C49" s="58" t="n">
        <x:v>0.2534015421545111</x:v>
      </x:c>
      <x:c r="D49" s="58" t="n">
        <x:v>0.11470021225275673</x:v>
      </x:c>
      <x:c r="E49" s="58" t="n">
        <x:v>0</x:v>
      </x:c>
      <x:c r="F49" s="58" t="n">
        <x:v>0</x:v>
      </x:c>
      <x:c r="G49" s="58" t="n">
        <x:v>0</x:v>
      </x:c>
      <x:c r="H49" s="58" t="n">
        <x:v>0.09654523421795544</x:v>
      </x:c>
      <x:c r="I49" s="40" t="str">
        <x:v>本轮保持不变</x:v>
      </x:c>
      <x:c r="J49" s="40"/>
      <x:c r="K49" s="40"/>
      <x:c r="L49" s="40"/>
      <x:c r="M49" s="40"/>
      <x:c r="N49" s="40"/>
    </x:row>
    <x:row r="50" ht="25" customHeight="1">
      <x:c r="A50" s="40" t="str">
        <x:f>'主线调参'!A24</x:f>
        <x:v>2-12</x:v>
      </x:c>
      <x:c r="B50" s="40" t="n">
        <x:v>24</x:v>
      </x:c>
      <x:c r="C50" s="58" t="n">
        <x:v>0.2980912259408604</x:v>
      </x:c>
      <x:c r="D50" s="58" t="n">
        <x:v>0.18379664919082683</x:v>
      </x:c>
      <x:c r="E50" s="58" t="n">
        <x:v>0</x:v>
      </x:c>
      <x:c r="F50" s="58" t="n">
        <x:v>0</x:v>
      </x:c>
      <x:c r="G50" s="58" t="n">
        <x:v>0</x:v>
      </x:c>
      <x:c r="H50" s="58" t="n">
        <x:v>0.1670586423473161</x:v>
      </x:c>
      <x:c r="I50" s="40" t="str">
        <x:v>本轮保持不变</x:v>
      </x:c>
      <x:c r="J50" s="40"/>
      <x:c r="K50" s="40"/>
      <x:c r="L50" s="40"/>
      <x:c r="M50" s="40"/>
      <x:c r="N50" s="40"/>
    </x:row>
    <x:row r="51" ht="25" customHeight="1">
      <x:c r="A51" s="40" t="str">
        <x:f>'主线调参'!A25</x:f>
        <x:v>3-1</x:v>
      </x:c>
      <x:c r="B51" s="40" t="n">
        <x:v>25</x:v>
      </x:c>
      <x:c r="C51" s="58" t="n">
        <x:v>0.30615869169443893</x:v>
      </x:c>
      <x:c r="D51" s="58" t="n">
        <x:v>0.19611099470958365</x:v>
      </x:c>
      <x:c r="E51" s="58" t="n">
        <x:v>0</x:v>
      </x:c>
      <x:c r="F51" s="58" t="n">
        <x:v>0</x:v>
      </x:c>
      <x:c r="G51" s="58" t="n">
        <x:v>0</x:v>
      </x:c>
      <x:c r="H51" s="58" t="n">
        <x:v>0.17355037487254332</x:v>
      </x:c>
      <x:c r="I51" s="40" t="str">
        <x:v>3～7章放缓</x:v>
      </x:c>
      <x:c r="J51" s="40"/>
      <x:c r="K51" s="40"/>
      <x:c r="L51" s="40"/>
      <x:c r="M51" s="40"/>
      <x:c r="N51" s="40"/>
    </x:row>
    <x:row r="52" ht="25" customHeight="1">
      <x:c r="A52" s="40" t="str">
        <x:f>'主线调参'!A26</x:f>
        <x:v>3-5</x:v>
      </x:c>
      <x:c r="B52" s="40" t="n">
        <x:v>29</x:v>
      </x:c>
      <x:c r="C52" s="58" t="n">
        <x:v>0.33723645091359267</x:v>
      </x:c>
      <x:c r="D52" s="58" t="n">
        <x:v>0.24295427445940948</x:v>
      </x:c>
      <x:c r="E52" s="58" t="n">
        <x:v>0</x:v>
      </x:c>
      <x:c r="F52" s="58" t="n">
        <x:v>0</x:v>
      </x:c>
      <x:c r="G52" s="58" t="n">
        <x:v>0</x:v>
      </x:c>
      <x:c r="H52" s="58" t="n">
        <x:v>0.199264660586829</x:v>
      </x:c>
      <x:c r="I52" s="40" t="str">
        <x:v>3～7章放缓</x:v>
      </x:c>
      <x:c r="J52" s="40"/>
      <x:c r="K52" s="40"/>
      <x:c r="L52" s="40"/>
      <x:c r="M52" s="40"/>
      <x:c r="N52" s="40"/>
    </x:row>
    <x:row r="53" ht="25" customHeight="1">
      <x:c r="A53" s="40" t="str">
        <x:f>'主线调参'!A27</x:f>
        <x:v>3-6</x:v>
      </x:c>
      <x:c r="B53" s="40" t="n">
        <x:v>30</x:v>
      </x:c>
      <x:c r="C53" s="58" t="n">
        <x:v>0.34471673829258026</x:v>
      </x:c>
      <x:c r="D53" s="58" t="n">
        <x:v>0.2540854674727948</x:v>
      </x:c>
      <x:c r="E53" s="58" t="n">
        <x:v>0</x:v>
      </x:c>
      <x:c r="F53" s="58" t="n">
        <x:v>0</x:v>
      </x:c>
      <x:c r="G53" s="58" t="n">
        <x:v>0</x:v>
      </x:c>
      <x:c r="H53" s="58" t="n">
        <x:v>0.20569323201540046</x:v>
      </x:c>
      <x:c r="I53" s="40" t="str">
        <x:v>3～7章放缓</x:v>
      </x:c>
      <x:c r="J53" s="40"/>
      <x:c r="K53" s="40"/>
      <x:c r="L53" s="40"/>
      <x:c r="M53" s="40"/>
      <x:c r="N53" s="40"/>
    </x:row>
    <x:row r="54" ht="25" customHeight="1">
      <x:c r="A54" s="40" t="str">
        <x:f>'主线调参'!A28</x:f>
        <x:v>3-10</x:v>
      </x:c>
      <x:c r="B54" s="40" t="n">
        <x:v>34</x:v>
      </x:c>
      <x:c r="C54" s="58" t="n">
        <x:v>0.373532549497125</x:v>
      </x:c>
      <x:c r="D54" s="58" t="n">
        <x:v>0.29642808222898265</x:v>
      </x:c>
      <x:c r="E54" s="58" t="n">
        <x:v>0</x:v>
      </x:c>
      <x:c r="F54" s="58" t="n">
        <x:v>0.03125</x:v>
      </x:c>
      <x:c r="G54" s="58" t="n">
        <x:v>0</x:v>
      </x:c>
      <x:c r="H54" s="58" t="n">
        <x:v>0.22819323201540045</x:v>
      </x:c>
      <x:c r="I54" s="40" t="str">
        <x:v>3～7章放缓</x:v>
      </x:c>
      <x:c r="J54" s="40"/>
      <x:c r="K54" s="40"/>
      <x:c r="L54" s="40"/>
      <x:c r="M54" s="40"/>
      <x:c r="N54" s="40"/>
    </x:row>
    <x:row r="55" ht="25" customHeight="1">
      <x:c r="A55" s="40" t="str">
        <x:f>'主线调参'!A29</x:f>
        <x:v>3-15</x:v>
      </x:c>
      <x:c r="B55" s="40" t="n">
        <x:v>39</x:v>
      </x:c>
      <x:c r="C55" s="58" t="n">
        <x:v>0.40718689107526584</x:v>
      </x:c>
      <x:c r="D55" s="58" t="n">
        <x:v>0.3447641691559853</x:v>
      </x:c>
      <x:c r="E55" s="58" t="n">
        <x:v>0</x:v>
      </x:c>
      <x:c r="F55" s="58" t="n">
        <x:v>0.07500000000000001</x:v>
      </x:c>
      <x:c r="G55" s="58" t="n">
        <x:v>0</x:v>
      </x:c>
      <x:c r="H55" s="58" t="n">
        <x:v>0.25605037487254334</x:v>
      </x:c>
      <x:c r="I55" s="40" t="str">
        <x:v>3～7章放缓</x:v>
      </x:c>
      <x:c r="J55" s="40"/>
      <x:c r="K55" s="40"/>
      <x:c r="L55" s="40"/>
      <x:c r="M55" s="40"/>
      <x:c r="N55" s="40"/>
    </x:row>
    <x:row r="56" ht="25" customHeight="1">
      <x:c r="A56" s="40" t="str">
        <x:f>'主线调参'!A30</x:f>
        <x:v>4-1</x:v>
      </x:c>
      <x:c r="B56" s="40" t="n">
        <x:v>40</x:v>
      </x:c>
      <x:c r="C56" s="58" t="n">
        <x:v>0.4136179218518282</x:v>
      </x:c>
      <x:c r="D56" s="58" t="n">
        <x:v>0.35385916427543895</x:v>
      </x:c>
      <x:c r="E56" s="58" t="n">
        <x:v>0</x:v>
      </x:c>
      <x:c r="F56" s="58" t="n">
        <x:v>0.08375</x:v>
      </x:c>
      <x:c r="G56" s="58" t="n">
        <x:v>0</x:v>
      </x:c>
      <x:c r="H56" s="58" t="n">
        <x:v>0.26247894630111474</x:v>
      </x:c>
      <x:c r="I56" s="40" t="str">
        <x:v>3～7章放缓</x:v>
      </x:c>
      <x:c r="J56" s="40"/>
      <x:c r="K56" s="40"/>
      <x:c r="L56" s="40"/>
      <x:c r="M56" s="40"/>
      <x:c r="N56" s="40"/>
    </x:row>
    <x:row r="57" ht="25" customHeight="1">
      <x:c r="A57" s="40" t="str">
        <x:f>'主线调参'!A31</x:f>
        <x:v>4-15</x:v>
      </x:c>
      <x:c r="B57" s="40" t="n">
        <x:v>54</x:v>
      </x:c>
      <x:c r="C57" s="58" t="n">
        <x:v>0.49415318278312903</x:v>
      </x:c>
      <x:c r="D57" s="58" t="n">
        <x:v>0.4636498059317089</x:v>
      </x:c>
      <x:c r="E57" s="58" t="n">
        <x:v>0</x:v>
      </x:c>
      <x:c r="F57" s="58" t="n">
        <x:v>0.24920955649466014</x:v>
      </x:c>
      <x:c r="G57" s="58" t="n">
        <x:v>0</x:v>
      </x:c>
      <x:c r="H57" s="58" t="n">
        <x:v>0.39392416888223736</x:v>
      </x:c>
      <x:c r="I57" s="40" t="str">
        <x:v>3～7章放缓</x:v>
      </x:c>
      <x:c r="J57" s="40"/>
      <x:c r="K57" s="40"/>
      <x:c r="L57" s="40"/>
      <x:c r="M57" s="40"/>
      <x:c r="N57" s="40"/>
    </x:row>
    <x:row r="58" ht="25" customHeight="1">
      <x:c r="A58" s="40" t="str">
        <x:f>'主线调参'!A32</x:f>
        <x:v>5-1</x:v>
      </x:c>
      <x:c r="B58" s="40" t="n">
        <x:v>55</x:v>
      </x:c>
      <x:c r="C58" s="58" t="n">
        <x:v>0.4992797191840741</x:v>
      </x:c>
      <x:c r="D58" s="58" t="n">
        <x:v>0.4703670883156478</x:v>
      </x:c>
      <x:c r="E58" s="58" t="n">
        <x:v>0</x:v>
      </x:c>
      <x:c r="F58" s="58" t="n">
        <x:v>0.25933281060201496</x:v>
      </x:c>
      <x:c r="G58" s="58" t="n">
        <x:v>0</x:v>
      </x:c>
      <x:c r="H58" s="58" t="n">
        <x:v>0.4019663359082908</x:v>
      </x:c>
      <x:c r="I58" s="40" t="str">
        <x:v>3～7章放缓</x:v>
      </x:c>
      <x:c r="J58" s="40"/>
      <x:c r="K58" s="40"/>
      <x:c r="L58" s="40"/>
      <x:c r="M58" s="40"/>
      <x:c r="N58" s="40"/>
    </x:row>
    <x:row r="59" ht="25" customHeight="1">
      <x:c r="A59" s="40" t="str">
        <x:f>'主线调参'!A33</x:f>
        <x:v>5-10</x:v>
      </x:c>
      <x:c r="B59" s="40" t="n">
        <x:v>64</x:v>
      </x:c>
      <x:c r="C59" s="58" t="n">
        <x:v>0.5420929823633216</x:v>
      </x:c>
      <x:c r="D59" s="58" t="n">
        <x:v>0.525088486523595</x:v>
      </x:c>
      <x:c r="E59" s="58" t="n">
        <x:v>0</x:v>
      </x:c>
      <x:c r="F59" s="58" t="n">
        <x:v>0.3418004794457896</x:v>
      </x:c>
      <x:c r="G59" s="58" t="n">
        <x:v>0</x:v>
      </x:c>
      <x:c r="H59" s="58" t="n">
        <x:v>0.46748072091310056</x:v>
      </x:c>
      <x:c r="I59" s="40" t="str">
        <x:v>3～7章放缓</x:v>
      </x:c>
      <x:c r="J59" s="40"/>
      <x:c r="K59" s="40"/>
      <x:c r="L59" s="40"/>
      <x:c r="M59" s="40"/>
      <x:c r="N59" s="40"/>
    </x:row>
    <x:row r="60" ht="25" customHeight="1">
      <x:c r="A60" s="40" t="str">
        <x:f>'主线调参'!A34</x:f>
        <x:v>5-15</x:v>
      </x:c>
      <x:c r="B60" s="40" t="n">
        <x:v>69</x:v>
      </x:c>
      <x:c r="C60" s="58" t="n">
        <x:v>0.5634789060746966</x:v>
      </x:c>
      <x:c r="D60" s="58" t="n">
        <x:v>0.5514550640025815</x:v>
      </x:c>
      <x:c r="E60" s="58" t="n">
        <x:v>0.07300776701056211</x:v>
      </x:c>
      <x:c r="F60" s="58" t="n">
        <x:v>0.38153612676638293</x:v>
      </x:c>
      <x:c r="G60" s="58" t="n">
        <x:v>0</x:v>
      </x:c>
      <x:c r="H60" s="58" t="n">
        <x:v>0.4990477159970559</x:v>
      </x:c>
      <x:c r="I60" s="40" t="str">
        <x:v>3～7章放缓</x:v>
      </x:c>
      <x:c r="J60" s="40"/>
      <x:c r="K60" s="40"/>
      <x:c r="L60" s="40"/>
      <x:c r="M60" s="40"/>
      <x:c r="N60" s="40"/>
    </x:row>
    <x:row r="61" ht="25" customHeight="1">
      <x:c r="A61" s="40" t="str">
        <x:f>'主线调参'!A35</x:f>
        <x:v>6-1</x:v>
      </x:c>
      <x:c r="B61" s="40" t="n">
        <x:v>70</x:v>
      </x:c>
      <x:c r="C61" s="58" t="n">
        <x:v>0.5675655566262675</x:v>
      </x:c>
      <x:c r="D61" s="58" t="n">
        <x:v>0.5564162412251035</x:v>
      </x:c>
      <x:c r="E61" s="58" t="n">
        <x:v>0.08674502475850651</x:v>
      </x:c>
      <x:c r="F61" s="58" t="n">
        <x:v>0.38901284946830306</x:v>
      </x:c>
      <x:c r="G61" s="58" t="n">
        <x:v>0</x:v>
      </x:c>
      <x:c r="H61" s="58" t="n">
        <x:v>0.5049874120808118</x:v>
      </x:c>
      <x:c r="I61" s="40" t="str">
        <x:v>3～7章放缓</x:v>
      </x:c>
      <x:c r="J61" s="40"/>
      <x:c r="K61" s="40"/>
      <x:c r="L61" s="40"/>
      <x:c r="M61" s="40"/>
      <x:c r="N61" s="40"/>
    </x:row>
    <x:row r="62" ht="25" customHeight="1">
      <x:c r="A62" s="40" t="str">
        <x:f>'主线调参'!A36</x:f>
        <x:v>6-15</x:v>
      </x:c>
      <x:c r="B62" s="40" t="n">
        <x:v>84</x:v>
      </x:c>
      <x:c r="C62" s="58" t="n">
        <x:v>0.6187423399352941</x:v>
      </x:c>
      <x:c r="D62" s="58" t="n">
        <x:v>0.6163053146635349</x:v>
      </x:c>
      <x:c r="E62" s="58" t="n">
        <x:v>0.25257494802238617</x:v>
      </x:c>
      <x:c r="F62" s="58" t="n">
        <x:v>0.47926844302811267</x:v>
      </x:c>
      <x:c r="G62" s="58" t="n">
        <x:v>0</x:v>
      </x:c>
      <x:c r="H62" s="58" t="n">
        <x:v>0.5766887198565497</x:v>
      </x:c>
      <x:c r="I62" s="40" t="str">
        <x:v>3～7章放缓</x:v>
      </x:c>
      <x:c r="J62" s="40"/>
      <x:c r="K62" s="40"/>
      <x:c r="L62" s="40"/>
      <x:c r="M62" s="40"/>
      <x:c r="N62" s="40"/>
    </x:row>
    <x:row r="63" ht="25" customHeight="1">
      <x:c r="A63" s="40" t="str">
        <x:f>'主线调参'!A37</x:f>
        <x:v>7-1</x:v>
      </x:c>
      <x:c r="B63" s="40" t="n">
        <x:v>85</x:v>
      </x:c>
      <x:c r="C63" s="58" t="n">
        <x:v>0.622000038978956</x:v>
      </x:c>
      <x:c r="D63" s="58" t="n">
        <x:v>0.6199694868728378</x:v>
      </x:c>
      <x:c r="E63" s="58" t="n">
        <x:v>0.2627208621500942</x:v>
      </x:c>
      <x:c r="F63" s="58" t="n">
        <x:v>0.48479051940479945</x:v>
      </x:c>
      <x:c r="G63" s="58" t="n">
        <x:v>0</x:v>
      </x:c>
      <x:c r="H63" s="58" t="n">
        <x:v>0.5810755958631152</x:v>
      </x:c>
      <x:c r="I63" s="40" t="str">
        <x:v>3～7章放缓</x:v>
      </x:c>
      <x:c r="J63" s="40"/>
      <x:c r="K63" s="40"/>
      <x:c r="L63" s="40"/>
      <x:c r="M63" s="40"/>
      <x:c r="N63" s="40"/>
    </x:row>
    <x:row r="64" ht="25" customHeight="1">
      <x:c r="A64" s="40" t="str">
        <x:f>'主线调参'!A38</x:f>
        <x:v>7-15</x:v>
      </x:c>
      <x:c r="B64" s="40" t="n">
        <x:v>99</x:v>
      </x:c>
      <x:c r="C64" s="58" t="n">
        <x:v>0.6627959318353742</x:v>
      </x:c>
      <x:c r="D64" s="58" t="n">
        <x:v>0.6642017061005239</x:v>
      </x:c>
      <x:c r="E64" s="58" t="n">
        <x:v>0.3851977197668538</x:v>
      </x:c>
      <x:c r="F64" s="58" t="n">
        <x:v>0.5514505121489955</x:v>
      </x:c>
      <x:c r="G64" s="58" t="n">
        <x:v>0</x:v>
      </x:c>
      <x:c r="H64" s="58" t="n">
        <x:v>0.6340319664055426</x:v>
      </x:c>
      <x:c r="I64" s="40" t="str">
        <x:v>3～7章放缓</x:v>
      </x:c>
      <x:c r="J64" s="40"/>
      <x:c r="K64" s="40"/>
      <x:c r="L64" s="40"/>
      <x:c r="M64" s="40"/>
      <x:c r="N64" s="40"/>
    </x:row>
    <x:row r="65" ht="25" customHeight="1">
      <x:c r="A65" s="40" t="str">
        <x:f>'主线调参'!A39</x:f>
        <x:v>8-1</x:v>
      </x:c>
      <x:c r="B65" s="40" t="n">
        <x:v>100</x:v>
      </x:c>
      <x:c r="C65" s="58" t="n">
        <x:v>0.6653928270005349</x:v>
      </x:c>
      <x:c r="D65" s="58" t="n">
        <x:v>0.6669079504810875</x:v>
      </x:c>
      <x:c r="E65" s="58" t="n">
        <x:v>0.39269117845967194</x:v>
      </x:c>
      <x:c r="F65" s="58" t="n">
        <x:v>0.5555289471432637</x:v>
      </x:c>
      <x:c r="G65" s="58" t="n">
        <x:v>0</x:v>
      </x:c>
      <x:c r="H65" s="58" t="n">
        <x:v>0.6372719774811296</x:v>
      </x:c>
      <x:c r="I65" s="40" t="str">
        <x:v>后段衔接</x:v>
      </x:c>
      <x:c r="J65" s="40"/>
      <x:c r="K65" s="40"/>
      <x:c r="L65" s="40"/>
      <x:c r="M65" s="40"/>
      <x:c r="N65" s="40"/>
    </x:row>
    <x:row r="66" ht="25" customHeight="1">
      <x:c r="A66" s="40" t="str">
        <x:f>'主线调参'!A40</x:f>
        <x:v>8-15</x:v>
      </x:c>
      <x:c r="B66" s="40" t="n">
        <x:v>114</x:v>
      </x:c>
      <x:c r="C66" s="58" t="n">
        <x:v>0.7083372007965745</x:v>
      </x:c>
      <x:c r="D66" s="58" t="n">
        <x:v>0.7130232754776997</x:v>
      </x:c>
      <x:c r="E66" s="58" t="n">
        <x:v>0.49574485941855795</x:v>
      </x:c>
      <x:c r="F66" s="58" t="n">
        <x:v>0.6205285641524183</x:v>
      </x:c>
      <x:c r="G66" s="58" t="n">
        <x:v>0.19482290218075313</x:v>
      </x:c>
      <x:c r="H66" s="58" t="n">
        <x:v>0.689662415320845</x:v>
      </x:c>
      <x:c r="I66" s="40" t="str">
        <x:v>后段衔接</x:v>
      </x:c>
      <x:c r="J66" s="40"/>
      <x:c r="K66" s="40"/>
      <x:c r="L66" s="40"/>
      <x:c r="M66" s="40"/>
      <x:c r="N66" s="40"/>
    </x:row>
    <x:row r="67" ht="25" customHeight="1">
      <x:c r="A67" s="40" t="str">
        <x:f>'主线调参'!A41</x:f>
        <x:v>9-1</x:v>
      </x:c>
      <x:c r="B67" s="40" t="n">
        <x:v>115</x:v>
      </x:c>
      <x:c r="C67" s="58" t="n">
        <x:v>0.7112097049607333</x:v>
      </x:c>
      <x:c r="D67" s="58" t="n">
        <x:v>0.7160383388198794</x:v>
      </x:c>
      <x:c r="E67" s="58" t="n">
        <x:v>0.5023336081332045</x:v>
      </x:c>
      <x:c r="F67" s="58" t="n">
        <x:v>0.6247510962026366</x:v>
      </x:c>
      <x:c r="G67" s="58" t="n">
        <x:v>0.20711789716711534</x:v>
      </x:c>
      <x:c r="H67" s="58" t="n">
        <x:v>0.6930706943866014</x:v>
      </x:c>
      <x:c r="I67" s="40" t="str">
        <x:v>后段衔接</x:v>
      </x:c>
      <x:c r="J67" s="40"/>
      <x:c r="K67" s="40"/>
      <x:c r="L67" s="40"/>
      <x:c r="M67" s="40"/>
      <x:c r="N67" s="40"/>
    </x:row>
    <x:row r="68" ht="25" customHeight="1">
      <x:c r="A68" s="40" t="str">
        <x:f>'主线调参'!A42</x:f>
        <x:v>9-15</x:v>
      </x:c>
      <x:c r="B68" s="40" t="n">
        <x:v>129</x:v>
      </x:c>
      <x:c r="C68" s="58" t="n">
        <x:v>0.7490114246962456</x:v>
      </x:c>
      <x:c r="D68" s="58" t="n">
        <x:v>0.7549682051428311</x:v>
      </x:c>
      <x:c r="E68" s="58" t="n">
        <x:v>0.5854911044951786</x:v>
      </x:c>
      <x:c r="F68" s="58" t="n">
        <x:v>0.6789218958607023</x:v>
      </x:c>
      <x:c r="G68" s="58" t="n">
        <x:v>0.360178218778613</x:v>
      </x:c>
      <x:c r="H68" s="58" t="n">
        <x:v>0.7368584480589011</x:v>
      </x:c>
      <x:c r="I68" s="40" t="str">
        <x:v>后段衔接</x:v>
      </x:c>
      <x:c r="J68" s="40"/>
      <x:c r="K68" s="40"/>
      <x:c r="L68" s="40"/>
      <x:c r="M68" s="40"/>
      <x:c r="N68" s="40"/>
    </x:row>
    <x:row r="69" ht="25" customHeight="1">
      <x:c r="A69" s="40" t="str">
        <x:f>'主线调参'!A43</x:f>
        <x:v>10-1</x:v>
      </x:c>
      <x:c r="B69" s="40" t="n">
        <x:v>130</x:v>
      </x:c>
      <x:c r="C69" s="58" t="n">
        <x:v>0.7515505124937499</x:v>
      </x:c>
      <x:c r="D69" s="58" t="n">
        <x:v>0.7575360260903223</x:v>
      </x:c>
      <x:c r="E69" s="58" t="n">
        <x:v>0.5908414608331621</x:v>
      </x:c>
      <x:c r="F69" s="58" t="n">
        <x:v>0.6824704130117043</x:v>
      </x:c>
      <x:c r="G69" s="58" t="n">
        <x:v>0.3698737977234289</x:v>
      </x:c>
      <x:c r="H69" s="58" t="n">
        <x:v>0.7397312727796361</x:v>
      </x:c>
      <x:c r="I69" s="40" t="str">
        <x:v>后段衔接</x:v>
      </x:c>
      <x:c r="J69" s="40"/>
      <x:c r="K69" s="40"/>
      <x:c r="L69" s="40"/>
      <x:c r="M69" s="40"/>
      <x:c r="N69" s="40"/>
    </x:row>
    <x:row r="70" ht="25" customHeight="1">
      <x:c r="A70" s="40" t="str">
        <x:f>'主线调参'!A44</x:f>
        <x:v>10-15</x:v>
      </x:c>
      <x:c r="B70" s="40" t="n">
        <x:v>144</x:v>
      </x:c>
      <x:c r="C70" s="58" t="n">
        <x:v>0.7851058468604888</x:v>
      </x:c>
      <x:c r="D70" s="58" t="n">
        <x:v>0.7909827391182461</x:v>
      </x:c>
      <x:c r="E70" s="58" t="n">
        <x:v>0.6588163731617863</x:v>
      </x:c>
      <x:c r="F70" s="58" t="n">
        <x:v>0.7283778479721849</x:v>
      </x:c>
      <x:c r="G70" s="58" t="n">
        <x:v>0.49106550222123435</x:v>
      </x:c>
      <x:c r="H70" s="58" t="n">
        <x:v>0.7769544022322521</x:v>
      </x:c>
      <x:c r="I70" s="40" t="str">
        <x:v>后段衔接</x:v>
      </x:c>
      <x:c r="J70" s="40"/>
      <x:c r="K70" s="40"/>
      <x:c r="L70" s="40"/>
      <x:c r="M70" s="40"/>
      <x:c r="N70" s="40"/>
    </x:row>
    <x:row r="71" ht="25" customHeight="1">
      <x:c r="A71" s="40" t="str">
        <x:f>'主线调参'!A45</x:f>
        <x:v>11-1</x:v>
      </x:c>
      <x:c r="B71" s="40" t="n">
        <x:v>145</x:v>
      </x:c>
      <x:c r="C71" s="58" t="n">
        <x:v>0.787369799537158</x:v>
      </x:c>
      <x:c r="D71" s="58" t="n">
        <x:v>0.7932094605421927</x:v>
      </x:c>
      <x:c r="E71" s="58" t="n">
        <x:v>0.6632222415561877</x:v>
      </x:c>
      <x:c r="F71" s="58" t="n">
        <x:v>0.7314123124222025</x:v>
      </x:c>
      <x:c r="G71" s="58" t="n">
        <x:v>0.49877857775448564</x:v>
      </x:c>
      <x:c r="H71" s="58" t="n">
        <x:v>0.7794188505912292</x:v>
      </x:c>
      <x:c r="I71" s="40" t="str">
        <x:v>后段衔接</x:v>
      </x:c>
      <x:c r="J71" s="40"/>
      <x:c r="K71" s="40"/>
      <x:c r="L71" s="40"/>
      <x:c r="M71" s="40"/>
      <x:c r="N71" s="40"/>
    </x:row>
    <x:row r="72" ht="25" customHeight="1">
      <x:c r="A72" s="40" t="str">
        <x:f>'主线调参'!A46</x:f>
        <x:v>11-15</x:v>
      </x:c>
      <x:c r="B72" s="40" t="n">
        <x:v>159</x:v>
      </x:c>
      <x:c r="C72" s="58" t="n">
        <x:v>0.8174230097405344</x:v>
      </x:c>
      <x:c r="D72" s="58" t="n">
        <x:v>0.8224763533866176</x:v>
      </x:c>
      <x:c r="E72" s="58" t="n">
        <x:v>0.7196234356672642</x:v>
      </x:c>
      <x:c r="F72" s="58" t="n">
        <x:v>0.7710205657461076</x:v>
      </x:c>
      <x:c r="G72" s="58" t="n">
        <x:v>0.5956767632013492</x:v>
      </x:c>
      <x:c r="H72" s="58" t="n">
        <x:v>0.8116377521234985</x:v>
      </x:c>
      <x:c r="I72" s="40" t="str">
        <x:v>后段衔接</x:v>
      </x:c>
      <x:c r="J72" s="40"/>
      <x:c r="K72" s="40"/>
      <x:c r="L72" s="40"/>
      <x:c r="M72" s="40"/>
      <x:c r="N72" s="40"/>
    </x:row>
    <x:row r="73" ht="25" customHeight="1">
      <x:c r="A73" s="40" t="str">
        <x:f>'主线调参'!A47</x:f>
        <x:v>12-1</x:v>
      </x:c>
      <x:c r="B73" s="40" t="n">
        <x:v>160</x:v>
      </x:c>
      <x:c r="C73" s="58" t="n">
        <x:v>0.819460183181302</x:v>
      </x:c>
      <x:c r="D73" s="58" t="n">
        <x:v>0.8244431873857949</x:v>
      </x:c>
      <x:c r="E73" s="58" t="n">
        <x:v>0.7233096884584779</x:v>
      </x:c>
      <x:c r="F73" s="58" t="n">
        <x:v>0.7736633678705181</x:v>
      </x:c>
      <x:c r="G73" s="58" t="n">
        <x:v>0.6018793478934715</x:v>
      </x:c>
      <x:c r="H73" s="58" t="n">
        <x:v>0.8137910541053375</x:v>
      </x:c>
      <x:c r="I73" s="40" t="str">
        <x:v>后段衔接</x:v>
      </x:c>
      <x:c r="J73" s="40"/>
      <x:c r="K73" s="40"/>
      <x:c r="L73" s="40"/>
      <x:c r="M73" s="40"/>
      <x:c r="N73" s="40"/>
    </x:row>
    <x:row r="74" ht="25" customHeight="1">
      <x:c r="A74" s="40" t="str">
        <x:f>'主线调参'!A48</x:f>
        <x:v>12-15</x:v>
      </x:c>
      <x:c r="B74" s="40" t="n">
        <x:v>174</x:v>
      </x:c>
      <x:c r="C74" s="58" t="n">
        <x:v>0.8466283129763637</x:v>
      </x:c>
      <x:c r="D74" s="58" t="n">
        <x:v>0.8505268822891359</x:v>
      </x:c>
      <x:c r="E74" s="58" t="n">
        <x:v>0.7708967627310461</x:v>
      </x:c>
      <x:c r="F74" s="58" t="n">
        <x:v>0.8084743952048404</x:v>
      </x:c>
      <x:c r="G74" s="58" t="n">
        <x:v>0.6802764791251475</x:v>
      </x:c>
      <x:c r="H74" s="58" t="n">
        <x:v>0.8421989189629573</x:v>
      </x:c>
      <x:c r="I74" s="40" t="str">
        <x:v>后段衔接</x:v>
      </x:c>
      <x:c r="J74" s="40"/>
      <x:c r="K74" s="40"/>
      <x:c r="L74" s="40"/>
      <x:c r="M74" s="40"/>
      <x:c r="N74" s="40"/>
    </x:row>
    <x:row r="75" ht="25" customHeight="1">
      <x:c r="A75" s="40" t="str">
        <x:f>'主线调参'!A49</x:f>
        <x:v>13-1</x:v>
      </x:c>
      <x:c r="B75" s="40" t="n">
        <x:v>175</x:v>
      </x:c>
      <x:c r="C75" s="58" t="n">
        <x:v>0.8484787662840645</x:v>
      </x:c>
      <x:c r="D75" s="58" t="n">
        <x:v>0.8522958910855545</x:v>
      </x:c>
      <x:c r="E75" s="58" t="n">
        <x:v>0.7740352471847358</x:v>
      </x:c>
      <x:c r="F75" s="58" t="n">
        <x:v>0.8108190656322491</x:v>
      </x:c>
      <x:c r="G75" s="58" t="n">
        <x:v>0.6853292846112281</x:v>
      </x:c>
      <x:c r="H75" s="58" t="n">
        <x:v>0.844115377645436</x:v>
      </x:c>
      <x:c r="I75" s="40" t="str">
        <x:v>后段衔接</x:v>
      </x:c>
      <x:c r="J75" s="40"/>
      <x:c r="K75" s="40"/>
      <x:c r="L75" s="40"/>
      <x:c r="M75" s="40"/>
      <x:c r="N75" s="40"/>
    </x:row>
    <x:row r="76" ht="25" customHeight="1">
      <x:c r="A76" s="40" t="str">
        <x:f>'主线调参'!A50</x:f>
        <x:v>13-15</x:v>
      </x:c>
      <x:c r="B76" s="40" t="n">
        <x:v>189</x:v>
      </x:c>
      <x:c r="C76" s="58" t="n">
        <x:v>0.8732726294409494</x:v>
      </x:c>
      <x:c r="D76" s="58" t="n">
        <x:v>0.8759575890630551</x:v>
      </x:c>
      <x:c r="E76" s="58" t="n">
        <x:v>0.8149159301024522</x:v>
      </x:c>
      <x:c r="F76" s="58" t="n">
        <x:v>0.8419800319856378</x:v>
      </x:c>
      <x:c r="G76" s="58" t="n">
        <x:v>0.7496495355284027</x:v>
      </x:c>
      <x:c r="H76" s="58" t="n">
        <x:v>0.8696235424903282</x:v>
      </x:c>
      <x:c r="I76" s="40" t="str">
        <x:v>后段衔接</x:v>
      </x:c>
      <x:c r="J76" s="40"/>
      <x:c r="K76" s="40"/>
      <x:c r="L76" s="40"/>
      <x:c r="M76" s="40"/>
      <x:c r="N76" s="40"/>
    </x:row>
    <x:row r="77" ht="25" customHeight="1">
      <x:c r="A77" s="40" t="str">
        <x:f>'主线调参'!A51</x:f>
        <x:v>14-1</x:v>
      </x:c>
      <x:c r="B77" s="40" t="n">
        <x:v>190</x:v>
      </x:c>
      <x:c r="C77" s="58" t="n">
        <x:v>0.8749695012058556</x:v>
      </x:c>
      <x:c r="D77" s="58" t="n">
        <x:v>0.8775761472095249</x:v>
      </x:c>
      <x:c r="E77" s="58" t="n">
        <x:v>0.8176378240446616</x:v>
      </x:c>
      <x:c r="F77" s="58" t="n">
        <x:v>0.8440979663503082</x:v>
      </x:c>
      <x:c r="G77" s="58" t="n">
        <x:v>0.7538279072899995</x:v>
      </x:c>
      <x:c r="H77" s="58" t="n">
        <x:v>0.8713598763564165</x:v>
      </x:c>
      <x:c r="I77" s="40" t="str">
        <x:v>后段衔接</x:v>
      </x:c>
      <x:c r="J77" s="40"/>
      <x:c r="K77" s="40"/>
      <x:c r="L77" s="40"/>
      <x:c r="M77" s="40"/>
      <x:c r="N77" s="40"/>
    </x:row>
    <x:row r="78" ht="25" customHeight="1">
      <x:c r="A78" s="40" t="str">
        <x:f>'主线调参'!A52</x:f>
        <x:v>14-15</x:v>
      </x:c>
      <x:c r="B78" s="40" t="n">
        <x:v>204</x:v>
      </x:c>
      <x:c r="C78" s="58" t="n">
        <x:v>0.8978113890594814</x:v>
      </x:c>
      <x:c r="D78" s="58" t="n">
        <x:v>0.8993966055571208</x:v>
      </x:c>
      <x:c r="E78" s="58" t="n">
        <x:v>0.8534202042335588</x:v>
      </x:c>
      <x:c r="F78" s="58" t="n">
        <x:v>0.8724840997309725</x:v>
      </x:c>
      <x:c r="G78" s="58" t="n">
        <x:v>0.8074466954497462</x:v>
      </x:c>
      <x:c r="H78" s="58" t="n">
        <x:v>0.89466364427524</x:v>
      </x:c>
      <x:c r="I78" s="40" t="str">
        <x:v>后段衔接</x:v>
      </x:c>
      <x:c r="J78" s="40"/>
      <x:c r="K78" s="40"/>
      <x:c r="L78" s="40"/>
      <x:c r="M78" s="40"/>
      <x:c r="N78" s="40"/>
    </x:row>
    <x:row r="79" ht="25" customHeight="1">
      <x:c r="A79" s="40" t="str">
        <x:f>'主线调参'!A53</x:f>
        <x:v>15-1</x:v>
      </x:c>
      <x:c r="B79" s="40" t="n">
        <x:v>205</x:v>
      </x:c>
      <x:c r="C79" s="58" t="n">
        <x:v>0.8993820566694544</x:v>
      </x:c>
      <x:c r="D79" s="58" t="n">
        <x:v>0.9009008378466256</x:v>
      </x:c>
      <x:c r="E79" s="58" t="n">
        <x:v>0.8558255354540693</x:v>
      </x:c>
      <x:c r="F79" s="58" t="n">
        <x:v>0.874429739760678</x:v>
      </x:c>
      <x:c r="G79" s="58" t="n">
        <x:v>0.810960594276557</x:v>
      </x:c>
      <x:c r="H79" s="58" t="n">
        <x:v>0.8962631031992658</x:v>
      </x:c>
      <x:c r="I79" s="40" t="str">
        <x:v>后段衔接</x:v>
      </x:c>
      <x:c r="J79" s="40"/>
      <x:c r="K79" s="40"/>
      <x:c r="L79" s="40"/>
      <x:c r="M79" s="40"/>
      <x:c r="N79" s="40"/>
    </x:row>
    <x:row r="80" ht="25" customHeight="1">
      <x:c r="A80" s="40" t="str">
        <x:f>'主线调参'!A54</x:f>
        <x:v>15-15</x:v>
      </x:c>
      <x:c r="B80" s="40" t="n">
        <x:v>219</x:v>
      </x:c>
      <x:c r="C80" s="58" t="n">
        <x:v>0.920620632832688</x:v>
      </x:c>
      <x:c r="D80" s="58" t="n">
        <x:v>0.9213226921364308</x:v>
      </x:c>
      <x:c r="E80" s="58" t="n">
        <x:v>0.8877352492238036</x:v>
      </x:c>
      <x:c r="F80" s="58" t="n">
        <x:v>0.9007081123739173</x:v>
      </x:c>
      <x:c r="G80" s="58" t="n">
        <x:v>0.8564505604221947</x:v>
      </x:c>
      <x:c r="H80" s="58" t="n">
        <x:v>0.9178924130868269</x:v>
      </x:c>
      <x:c r="I80" s="40" t="str">
        <x:v>后段衔接</x:v>
      </x:c>
      <x:c r="J80" s="40"/>
      <x:c r="K80" s="40"/>
      <x:c r="L80" s="40"/>
      <x:c r="M80" s="40"/>
      <x:c r="N80" s="40"/>
    </x:row>
    <x:row r="81" ht="25" customHeight="1">
      <x:c r="A81" s="40" t="str">
        <x:f>'主线调参'!A55</x:f>
        <x:v>16-1</x:v>
      </x:c>
      <x:c r="B81" s="40" t="n">
        <x:v>220</x:v>
      </x:c>
      <x:c r="C81" s="58" t="n">
        <x:v>0.9220876862142391</x:v>
      </x:c>
      <x:c r="D81" s="58" t="n">
        <x:v>0.9227401178051475</x:v>
      </x:c>
      <x:c r="E81" s="58" t="n">
        <x:v>0.8899002171453397</x:v>
      </x:c>
      <x:c r="F81" s="58" t="n">
        <x:v>0.9025229308257575</x:v>
      </x:c>
      <x:c r="G81" s="58" t="n">
        <x:v>0.8594599307756979</x:v>
      </x:c>
      <x:c r="H81" s="58" t="n">
        <x:v>0.9193879440674588</x:v>
      </x:c>
      <x:c r="I81" s="40" t="str">
        <x:v>后段衔接</x:v>
      </x:c>
      <x:c r="J81" s="40"/>
      <x:c r="K81" s="40"/>
      <x:c r="L81" s="40"/>
      <x:c r="M81" s="40"/>
      <x:c r="N81" s="40"/>
    </x:row>
    <x:row r="82" ht="25" customHeight="1">
      <x:c r="A82" s="40" t="str">
        <x:f>'主线调参'!A56</x:f>
        <x:v>16-15</x:v>
      </x:c>
      <x:c r="B82" s="40" t="n">
        <x:v>234</x:v>
      </x:c>
      <x:c r="C82" s="58" t="n">
        <x:v>0.9420104809996535</x:v>
      </x:c>
      <x:c r="D82" s="58" t="n">
        <x:v>0.9421004079534558</x:v>
      </x:c>
      <x:c r="E82" s="58" t="n">
        <x:v>0.918870511585018</x:v>
      </x:c>
      <x:c r="F82" s="58" t="n">
        <x:v>0.9272014773573466</x:v>
      </x:c>
      <x:c r="G82" s="58" t="n">
        <x:v>0.8987799834889205</x:v>
      </x:c>
      <x:c r="H82" s="58" t="n">
        <x:v>0.9397463119807474</x:v>
      </x:c>
      <x:c r="I82" s="40" t="str">
        <x:v>后段衔接</x:v>
      </x:c>
      <x:c r="J82" s="40"/>
      <x:c r="K82" s="40"/>
      <x:c r="L82" s="40"/>
      <x:c r="M82" s="40"/>
      <x:c r="N82" s="40"/>
    </x:row>
    <x:row r="83" ht="25" customHeight="1">
      <x:c r="A83" s="40" t="str">
        <x:f>'主线调参'!A57</x:f>
        <x:v>17-1</x:v>
      </x:c>
      <x:c r="B83" s="40" t="n">
        <x:v>235</x:v>
      </x:c>
      <x:c r="C83" s="58" t="n">
        <x:v>0.9433925383724879</x:v>
      </x:c>
      <x:c r="D83" s="58" t="n">
        <x:v>0.9434519712084066</x:v>
      </x:c>
      <x:c r="E83" s="58" t="n">
        <x:v>0.9208531096952767</x:v>
      </x:c>
      <x:c r="F83" s="58" t="n">
        <x:v>0.9289170381164844</x:v>
      </x:c>
      <x:c r="G83" s="58" t="n">
        <x:v>0.901406555125424</x:v>
      </x:c>
      <x:c r="H83" s="58" t="n">
        <x:v>0.9411629901602099</x:v>
      </x:c>
      <x:c r="I83" s="40" t="str">
        <x:v>后段衔接</x:v>
      </x:c>
      <x:c r="J83" s="40"/>
      <x:c r="K83" s="40"/>
      <x:c r="L83" s="40"/>
      <x:c r="M83" s="40"/>
      <x:c r="N83" s="40"/>
    </x:row>
    <x:row r="84" ht="25" customHeight="1">
      <x:c r="A84" s="40" t="str">
        <x:f>'主线调参'!A58</x:f>
        <x:v>17-15</x:v>
      </x:c>
      <x:c r="B84" s="40" t="n">
        <x:v>249</x:v>
      </x:c>
      <x:c r="C84" s="58" t="n">
        <x:v>0.9622364038392051</x:v>
      </x:c>
      <x:c r="D84" s="58" t="n">
        <x:v>0.9620071009884934</x:v>
      </x:c>
      <x:c r="E84" s="58" t="n">
        <x:v>0.9475939543470084</x:v>
      </x:c>
      <x:c r="F84" s="58" t="n">
        <x:v>0.9523821708686883</x:v>
      </x:c>
      <x:c r="G84" s="58" t="n">
        <x:v>0.9360469379280327</x:v>
      </x:c>
      <x:c r="H84" s="58" t="n">
        <x:v>0.9605573917261123</x:v>
      </x:c>
      <x:c r="I84" s="40" t="str">
        <x:v>后段衔接</x:v>
      </x:c>
      <x:c r="J84" s="40"/>
      <x:c r="K84" s="40"/>
      <x:c r="L84" s="40"/>
      <x:c r="M84" s="40"/>
      <x:c r="N84" s="40"/>
    </x:row>
    <x:row r="85" ht="25" customHeight="1">
      <x:c r="A85" s="40" t="str">
        <x:f>'主线调参'!A59</x:f>
        <x:v>18-1</x:v>
      </x:c>
      <x:c r="B85" s="40" t="n">
        <x:v>250</x:v>
      </x:c>
      <x:c r="C85" s="58" t="n">
        <x:v>0.9635487935122442</x:v>
      </x:c>
      <x:c r="D85" s="58" t="n">
        <x:v>0.9633087280062382</x:v>
      </x:c>
      <x:c r="E85" s="58" t="n">
        <x:v>0.9494382814520829</x:v>
      </x:c>
      <x:c r="F85" s="58" t="n">
        <x:v>0.954022475417128</x:v>
      </x:c>
      <x:c r="G85" s="58" t="n">
        <x:v>0.9383832753255914</x:v>
      </x:c>
      <x:c r="H85" s="58" t="n">
        <x:v>0.9619142844838342</x:v>
      </x:c>
      <x:c r="I85" s="40" t="str">
        <x:v>后段衔接</x:v>
      </x:c>
      <x:c r="J85" s="40"/>
      <x:c r="K85" s="40"/>
      <x:c r="L85" s="40"/>
      <x:c r="M85" s="40"/>
      <x:c r="N85" s="40"/>
    </x:row>
    <x:row r="86" ht="25" customHeight="1">
      <x:c r="A86" s="40" t="str">
        <x:f>'主线调参'!A60</x:f>
        <x:v>18-15</x:v>
      </x:c>
      <x:c r="B86" s="40" t="n">
        <x:v>264</x:v>
      </x:c>
      <x:c r="C86" s="58" t="n">
        <x:v>0.9815086323964737</x:v>
      </x:c>
      <x:c r="D86" s="58" t="n">
        <x:v>0.9812535912382414</x:v>
      </x:c>
      <x:c r="E86" s="58" t="n">
        <x:v>0.9744893277978988</x:v>
      </x:c>
      <x:c r="F86" s="58" t="n">
        <x:v>0.9765679083582552</x:v>
      </x:c>
      <x:c r="G86" s="58" t="n">
        <x:v>0.9694767299444134</x:v>
      </x:c>
      <x:c r="H86" s="58" t="n">
        <x:v>0.9805780534472084</x:v>
      </x:c>
      <x:c r="I86" s="40" t="str">
        <x:v>后段衔接</x:v>
      </x:c>
      <x:c r="J86" s="40"/>
      <x:c r="K86" s="40"/>
      <x:c r="L86" s="40"/>
      <x:c r="M86" s="40"/>
      <x:c r="N86" s="40"/>
    </x:row>
    <x:row r="87" ht="25" customHeight="1">
      <x:c r="A87" s="40" t="str">
        <x:f>'主线调参'!A61</x:f>
        <x:v>19-1</x:v>
      </x:c>
      <x:c r="B87" s="40" t="n">
        <x:v>265</x:v>
      </x:c>
      <x:c r="C87" s="58" t="n">
        <x:v>0.9827639613859629</x:v>
      </x:c>
      <x:c r="D87" s="58" t="n">
        <x:v>0.9825173824461275</x:v>
      </x:c>
      <x:c r="E87" s="58" t="n">
        <x:v>0.9762288893909125</x:v>
      </x:c>
      <x:c r="F87" s="58" t="n">
        <x:v>0.978151192597637</x:v>
      </x:c>
      <x:c r="G87" s="58" t="n">
        <x:v>0.9715931619567455</x:v>
      </x:c>
      <x:c r="H87" s="58" t="n">
        <x:v>0.9818896478409409</x:v>
      </x:c>
      <x:c r="I87" s="40" t="str">
        <x:v>后段衔接</x:v>
      </x:c>
      <x:c r="J87" s="40"/>
      <x:c r="K87" s="40"/>
      <x:c r="L87" s="40"/>
      <x:c r="M87" s="40"/>
      <x:c r="N87" s="40"/>
    </x:row>
    <x:row r="88" ht="25" customHeight="1">
      <x:c r="A88" s="40" t="str">
        <x:f>'主线调参'!A62</x:f>
        <x:v>19-15</x:v>
      </x:c>
      <x:c r="B88" s="40" t="n">
        <x:v>279</x:v>
      </x:c>
      <x:c r="C88" s="58" t="n">
        <x:v>1</x:v>
      </x:c>
      <x:c r="D88" s="58" t="n">
        <x:v>1</x:v>
      </x:c>
      <x:c r="E88" s="58" t="n">
        <x:v>1</x:v>
      </x:c>
      <x:c r="F88" s="58" t="n">
        <x:v>0.9999999999999998</x:v>
      </x:c>
      <x:c r="G88" s="58" t="n">
        <x:v>1</x:v>
      </x:c>
      <x:c r="H88" s="58" t="n">
        <x:v>1</x:v>
      </x:c>
      <x:c r="I88" s="40" t="str">
        <x:v>后段衔接</x:v>
      </x:c>
      <x:c r="J88" s="40"/>
      <x:c r="K88" s="40"/>
      <x:c r="L88" s="40"/>
      <x:c r="M88" s="40"/>
      <x:c r="N88" s="40"/>
    </x:row>
  </x:sheetData>
  <x:mergeCells>
    <x:mergeCell ref="A1:N1"/>
    <x:mergeCell ref="A3:B4"/>
    <x:mergeCell ref="C3:N4"/>
    <x:mergeCell ref="A5:B6"/>
    <x:mergeCell ref="C5:N6"/>
    <x:mergeCell ref="A7:B8"/>
    <x:mergeCell ref="C7:N8"/>
    <x:mergeCell ref="A9:B10"/>
    <x:mergeCell ref="C9:N10"/>
    <x:mergeCell ref="A11:B12"/>
    <x:mergeCell ref="C11:N12"/>
    <x:mergeCell ref="A13:B14"/>
    <x:mergeCell ref="C13:N14"/>
    <x:mergeCell ref="A15:B16"/>
    <x:mergeCell ref="C15:N16"/>
    <x:mergeCell ref="A17:B18"/>
    <x:mergeCell ref="C17:N18"/>
    <x:mergeCell ref="A19:B20"/>
    <x:mergeCell ref="C19:N20"/>
    <x:mergeCell ref="A21:B22"/>
    <x:mergeCell ref="C21:N22"/>
    <x:mergeCell ref="A24:N24"/>
    <x:mergeCell ref="A26:B26"/>
    <x:mergeCell ref="A27:B27"/>
    <x:mergeCell ref="A28:B28"/>
    <x:mergeCell ref="A29:B29"/>
    <x:mergeCell ref="I25:N29"/>
    <x:mergeCell ref="A31:N32"/>
    <x:mergeCell ref="A33:N34"/>
    <x:mergeCell ref="J40:N4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</x:cols>
  <x:sheetData>
    <x:row r="1" ht="25" customHeight="1">
      <x:c r="A1" s="40"/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  <x:c r="AB1" s="40"/>
      <x:c r="AC1" s="40"/>
      <x:c r="AD1" s="40"/>
      <x:c r="AE1" s="40"/>
      <x:c r="AF1" s="40"/>
      <x:c r="AG1" s="40"/>
      <x:c r="AH1" s="40"/>
      <x:c r="AI1" s="40"/>
      <x:c r="AJ1" s="40"/>
      <x:c r="AK1" s="40"/>
      <x:c r="AL1" s="40"/>
      <x:c r="AM1" s="40"/>
      <x:c r="AN1" s="40"/>
      <x:c r="AO1" s="40"/>
      <x:c r="AP1" s="40"/>
      <x:c r="AQ1" s="40"/>
      <x:c r="AR1" s="40"/>
      <x:c r="AS1" s="40"/>
      <x:c r="AT1" s="40"/>
      <x:c r="AU1" s="40"/>
      <x:c r="AV1" s="40"/>
      <x:c r="AW1" s="40"/>
      <x:c r="AX1" s="40"/>
      <x:c r="AY1" s="40"/>
    </x:row>
    <x:row r="2" ht="25" customHeight="1">
      <x:c r="A2" s="40" t="str">
        <x:v>全主线节点曲线｜已接入当前源表“玩家战力曲线”；预算与统一战力公式保留</x:v>
      </x:c>
      <x:c r="B2" s="40"/>
      <x:c r="C2" s="40"/>
      <x:c r="D2" s="40"/>
      <x:c r="E2" s="40" t="str">
        <x:v>基础进度</x:v>
      </x:c>
      <x:c r="F2" s="40"/>
      <x:c r="G2" s="40" t="str">
        <x:v>角色等级进度</x:v>
      </x:c>
      <x:c r="H2" s="40" t="str">
        <x:v>星盘/升星进度</x:v>
      </x:c>
      <x:c r="I2" s="40" t="str">
        <x:v>收容物进度</x:v>
      </x:c>
      <x:c r="J2" s="40" t="str">
        <x:v>映射装备进度</x:v>
      </x:c>
      <x:c r="K2" s="40" t="str">
        <x:v>旅券进度</x:v>
      </x:c>
      <x:c r="L2" s="40" t="str">
        <x:v>房车进度</x:v>
      </x:c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  <x:c r="AA2" s="40"/>
      <x:c r="AB2" s="40"/>
      <x:c r="AC2" s="40"/>
      <x:c r="AD2" s="40"/>
      <x:c r="AE2" s="40"/>
      <x:c r="AF2" s="40"/>
      <x:c r="AG2" s="40"/>
      <x:c r="AH2" s="40"/>
      <x:c r="AI2" s="40"/>
      <x:c r="AJ2" s="40"/>
      <x:c r="AK2" s="40"/>
      <x:c r="AL2" s="40"/>
      <x:c r="AM2" s="40" t="str">
        <x:v>预计bossTTK</x:v>
      </x:c>
      <x:c r="AN2" s="40"/>
      <x:c r="AO2" s="40"/>
      <x:c r="AP2" s="40"/>
      <x:c r="AQ2" s="40"/>
      <x:c r="AR2" s="40" t="str">
        <x:v>战力计算参数（当前配置）</x:v>
      </x:c>
      <x:c r="AS2" s="40"/>
      <x:c r="AT2" s="40"/>
      <x:c r="AU2" s="40"/>
      <x:c r="AV2" s="40"/>
      <x:c r="AW2" s="40"/>
      <x:c r="AX2" s="40"/>
      <x:c r="AY2" s="40"/>
    </x:row>
    <x:row r="3" ht="25" customHeight="1">
      <x:c r="A3" s="40" t="str">
        <x:v>以主线作为标准</x:v>
      </x:c>
      <x:c r="B3" s="40"/>
      <x:c r="C3" s="40"/>
      <x:c r="D3" s="40" t="str">
        <x:v>起始进度</x:v>
      </x:c>
      <x:c r="E3" s="40" t="n">
        <x:f>'调前玩家曲线'!E3</x:f>
        <x:v>1</x:v>
      </x:c>
      <x:c r="F3" s="40"/>
      <x:c r="G3" s="40" t="n">
        <x:f>'调前玩家曲线'!G3</x:f>
        <x:v>0</x:v>
      </x:c>
      <x:c r="H3" s="40" t="n">
        <x:f>'调前玩家曲线'!H3</x:f>
        <x:v>0</x:v>
      </x:c>
      <x:c r="I3" s="40" t="n">
        <x:f>'调前玩家曲线'!I3</x:f>
        <x:v>0</x:v>
      </x:c>
      <x:c r="J3" s="40" t="n">
        <x:f>'调前玩家曲线'!J3</x:f>
        <x:v>0</x:v>
      </x:c>
      <x:c r="K3" s="40" t="n">
        <x:f>'调前玩家曲线'!K3</x:f>
        <x:v>0</x:v>
      </x:c>
      <x:c r="L3" s="40" t="n">
        <x:f>'调前玩家曲线'!L3</x:f>
        <x:v>0</x:v>
      </x:c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  <x:c r="AA3" s="40"/>
      <x:c r="AB3" s="40"/>
      <x:c r="AC3" s="40"/>
      <x:c r="AD3" s="40"/>
      <x:c r="AE3" s="40"/>
      <x:c r="AF3" s="40"/>
      <x:c r="AG3" s="40"/>
      <x:c r="AH3" s="40"/>
      <x:c r="AI3" s="40"/>
      <x:c r="AJ3" s="40"/>
      <x:c r="AK3" s="40"/>
      <x:c r="AL3" s="40"/>
      <x:c r="AM3" s="40" t="n">
        <x:f>'调前玩家曲线'!AM3</x:f>
        <x:v>35</x:v>
      </x:c>
      <x:c r="AN3" s="40"/>
      <x:c r="AO3" s="40"/>
      <x:c r="AP3" s="40"/>
      <x:c r="AQ3" s="40"/>
      <x:c r="AR3" s="40" t="str">
        <x:v>生命战力系数</x:v>
      </x:c>
      <x:c r="AS3" s="40" t="n">
        <x:f>'调前玩家曲线'!AS3</x:f>
        <x:v>0.03</x:v>
      </x:c>
      <x:c r="AT3" s="40" t="str">
        <x:v>满投放能量回复</x:v>
      </x:c>
      <x:c r="AU3" s="40" t="n">
        <x:f>'调前玩家曲线'!AU3</x:f>
        <x:v>1.2</x:v>
      </x:c>
      <x:c r="AV3" s="40"/>
      <x:c r="AW3" s="40"/>
      <x:c r="AX3" s="40"/>
      <x:c r="AY3" s="40"/>
    </x:row>
    <x:row r="4" ht="25" customHeight="1">
      <x:c r="A4" s="40" t="str">
        <x:v>预计达到上限的章节</x:v>
      </x:c>
      <x:c r="B4" s="40"/>
      <x:c r="C4" s="40" t="n">
        <x:f>'调前玩家曲线'!C4</x:f>
        <x:v>20</x:v>
      </x:c>
      <x:c r="D4" s="40" t="str">
        <x:v>结束进度</x:v>
      </x:c>
      <x:c r="E4" s="40" t="n">
        <x:f>'调前玩家曲线'!E4</x:f>
        <x:v>1</x:v>
      </x:c>
      <x:c r="F4" s="40"/>
      <x:c r="G4" s="40" t="n">
        <x:f>'调前玩家曲线'!G4</x:f>
        <x:v>0.9</x:v>
      </x:c>
      <x:c r="H4" s="40" t="n">
        <x:f>'调前玩家曲线'!H4</x:f>
        <x:v>0.7</x:v>
      </x:c>
      <x:c r="I4" s="40" t="n">
        <x:f>'调前玩家曲线'!I4</x:f>
        <x:v>0.65</x:v>
      </x:c>
      <x:c r="J4" s="40" t="n">
        <x:f>'调前玩家曲线'!J4</x:f>
        <x:v>0.6</x:v>
      </x:c>
      <x:c r="K4" s="40" t="n">
        <x:f>'调前玩家曲线'!K4</x:f>
        <x:v>0.65</x:v>
      </x:c>
      <x:c r="L4" s="40" t="n">
        <x:f>'调前玩家曲线'!L4</x:f>
        <x:v>0.7</x:v>
      </x:c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  <x:c r="AA4" s="40"/>
      <x:c r="AB4" s="40"/>
      <x:c r="AC4" s="40"/>
      <x:c r="AD4" s="40"/>
      <x:c r="AE4" s="40"/>
      <x:c r="AF4" s="40"/>
      <x:c r="AG4" s="40"/>
      <x:c r="AH4" s="40"/>
      <x:c r="AI4" s="40"/>
      <x:c r="AJ4" s="40"/>
      <x:c r="AK4" s="40"/>
      <x:c r="AL4" s="40"/>
      <x:c r="AM4" s="40" t="n">
        <x:f>'调前玩家曲线'!AM4</x:f>
        <x:v>55</x:v>
      </x:c>
      <x:c r="AN4" s="40"/>
      <x:c r="AO4" s="40"/>
      <x:c r="AP4" s="40"/>
      <x:c r="AQ4" s="40"/>
      <x:c r="AR4" s="40" t="str">
        <x:v>攻击战力系数</x:v>
      </x:c>
      <x:c r="AS4" s="40" t="n">
        <x:f>'调前玩家曲线'!AS4</x:f>
        <x:v>0.1</x:v>
      </x:c>
      <x:c r="AT4" s="40" t="str">
        <x:v>满投放冷却缩减</x:v>
      </x:c>
      <x:c r="AU4" s="40" t="n">
        <x:f>'调前玩家曲线'!AU4</x:f>
        <x:v>0.6</x:v>
      </x:c>
      <x:c r="AV4" s="40"/>
      <x:c r="AW4" s="40"/>
      <x:c r="AX4" s="40"/>
      <x:c r="AY4" s="40"/>
    </x:row>
    <x:row r="5" ht="25" customHeight="1">
      <x:c r="A5" s="40" t="str">
        <x:v>预计达到上限的关卡</x:v>
      </x:c>
      <x:c r="B5" s="40"/>
      <x:c r="C5" s="40" t="n">
        <x:f>4+8+12+15*(C4-3)</x:f>
        <x:v>279</x:v>
      </x:c>
      <x:c r="D5" s="40" t="str">
        <x:v>函数参数1</x:v>
      </x:c>
      <x:c r="E5" s="40" t="n">
        <x:f>'调前玩家曲线'!E5</x:f>
        <x:v>0.999999</x:v>
      </x:c>
      <x:c r="F5" s="40"/>
      <x:c r="G5" s="40" t="n">
        <x:f>'调前玩家曲线'!G5</x:f>
        <x:v>0.985</x:v>
      </x:c>
      <x:c r="H5" s="40" t="n">
        <x:f>'调前玩家曲线'!H5</x:f>
        <x:v>0.98</x:v>
      </x:c>
      <x:c r="I5" s="40" t="n">
        <x:f>'调前玩家曲线'!I5</x:f>
        <x:v>0.98</x:v>
      </x:c>
      <x:c r="J5" s="40" t="n">
        <x:f>'调前玩家曲线'!J5</x:f>
        <x:v>0.98</x:v>
      </x:c>
      <x:c r="K5" s="40" t="n">
        <x:f>'调前玩家曲线'!K5</x:f>
        <x:v>0.98</x:v>
      </x:c>
      <x:c r="L5" s="40" t="n">
        <x:f>'调前玩家曲线'!L5</x:f>
        <x:v>0.98</x:v>
      </x:c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 t="n">
        <x:f>'调前玩家曲线'!Z5</x:f>
        <x:v>1.2</x:v>
      </x:c>
      <x:c r="AA5" s="40" t="n">
        <x:f>'调前玩家曲线'!AA5</x:f>
        <x:v>1</x:v>
      </x:c>
      <x:c r="AB5" s="40" t="n">
        <x:f>'调前玩家曲线'!AB5</x:f>
        <x:v>1</x:v>
      </x:c>
      <x:c r="AC5" s="40" t="n">
        <x:f>'调前玩家曲线'!AC5</x:f>
        <x:v>1</x:v>
      </x:c>
      <x:c r="AD5" s="40"/>
      <x:c r="AE5" s="40"/>
      <x:c r="AF5" s="40"/>
      <x:c r="AG5" s="40"/>
      <x:c r="AH5" s="40"/>
      <x:c r="AI5" s="40"/>
      <x:c r="AJ5" s="40"/>
      <x:c r="AK5" s="40"/>
      <x:c r="AL5" s="40" t="str">
        <x:v>单位时间伤害上限</x:v>
      </x:c>
      <x:c r="AM5" s="40" t="n">
        <x:f>'调前玩家曲线'!AM5</x:f>
        <x:v>1.01</x:v>
      </x:c>
      <x:c r="AN5" s="40"/>
      <x:c r="AO5" s="40"/>
      <x:c r="AP5" s="40"/>
      <x:c r="AQ5" s="40"/>
      <x:c r="AR5" s="40" t="str">
        <x:v>防御战力系数</x:v>
      </x:c>
      <x:c r="AS5" s="40" t="n">
        <x:f>'调前玩家曲线'!AS5</x:f>
        <x:v>0.15</x:v>
      </x:c>
      <x:c r="AT5" s="40"/>
      <x:c r="AU5" s="40"/>
      <x:c r="AV5" s="40"/>
      <x:c r="AW5" s="40"/>
      <x:c r="AX5" s="40"/>
      <x:c r="AY5" s="40"/>
    </x:row>
    <x:row r="6" ht="25" customHeight="1">
      <x:c r="A6" s="40"/>
      <x:c r="B6" s="40"/>
      <x:c r="C6" s="40"/>
      <x:c r="D6" s="40" t="str">
        <x:v>函数参数2</x:v>
      </x:c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  <x:c r="AA6" s="40"/>
      <x:c r="AB6" s="40"/>
      <x:c r="AC6" s="40"/>
      <x:c r="AD6" s="40"/>
      <x:c r="AE6" s="40"/>
      <x:c r="AF6" s="40"/>
      <x:c r="AG6" s="40"/>
      <x:c r="AH6" s="40"/>
      <x:c r="AI6" s="40"/>
      <x:c r="AJ6" s="40"/>
      <x:c r="AK6" s="40"/>
      <x:c r="AL6" s="40" t="n">
        <x:f>MAX(AL12:AL290)</x:f>
        <x:v>2497204.4717253866</x:v>
      </x:c>
      <x:c r="AM6" s="40"/>
      <x:c r="AN6" s="40"/>
      <x:c r="AO6" s="40"/>
      <x:c r="AP6" s="40"/>
      <x:c r="AQ6" s="40"/>
      <x:c r="AR6" s="40" t="str">
        <x:v>暴击战力系数</x:v>
      </x:c>
      <x:c r="AS6" s="40" t="n">
        <x:f>'调前玩家曲线'!AS6</x:f>
        <x:v>5.5556</x:v>
      </x:c>
      <x:c r="AT6" s="40"/>
      <x:c r="AU6" s="40"/>
      <x:c r="AV6" s="40"/>
      <x:c r="AW6" s="40"/>
      <x:c r="AX6" s="40"/>
      <x:c r="AY6" s="40"/>
    </x:row>
    <x:row r="7" ht="25" customHeight="1">
      <x:c r="A7" s="40"/>
      <x:c r="B7" s="40"/>
      <x:c r="C7" s="40"/>
      <x:c r="D7" s="40" t="str">
        <x:v>函数参数3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  <x:c r="AA7" s="40"/>
      <x:c r="AB7" s="40"/>
      <x:c r="AC7" s="40"/>
      <x:c r="AD7" s="40"/>
      <x:c r="AE7" s="40"/>
      <x:c r="AF7" s="40"/>
      <x:c r="AG7" s="40"/>
      <x:c r="AH7" s="40"/>
      <x:c r="AI7" s="40"/>
      <x:c r="AJ7" s="40"/>
      <x:c r="AK7" s="40"/>
      <x:c r="AL7" s="40"/>
      <x:c r="AM7" s="40"/>
      <x:c r="AN7" s="40"/>
      <x:c r="AO7" s="40"/>
      <x:c r="AP7" s="40"/>
      <x:c r="AQ7" s="40"/>
      <x:c r="AR7" s="40" t="str">
        <x:v>暴伤战力系数</x:v>
      </x:c>
      <x:c r="AS7" s="40" t="n">
        <x:f>'调前玩家曲线'!AS7</x:f>
        <x:v>1.8519</x:v>
      </x:c>
      <x:c r="AT7" s="40"/>
      <x:c r="AU7" s="40"/>
      <x:c r="AV7" s="40"/>
      <x:c r="AW7" s="40"/>
      <x:c r="AX7" s="40"/>
      <x:c r="AY7" s="40"/>
    </x:row>
    <x:row r="8" ht="25" customHeight="1">
      <x:c r="A8" s="40"/>
      <x:c r="B8" s="40"/>
      <x:c r="C8" s="40"/>
      <x:c r="D8" s="40" t="str">
        <x:v>起始关卡</x:v>
      </x:c>
      <x:c r="E8" s="40" t="n">
        <x:f>'调前玩家曲线'!E8</x:f>
        <x:v>1</x:v>
      </x:c>
      <x:c r="F8" s="40"/>
      <x:c r="G8" s="40" t="n">
        <x:f>'调前玩家曲线'!G8</x:f>
        <x:v>1</x:v>
      </x:c>
      <x:c r="H8" s="40" t="n">
        <x:f>'调前玩家曲线'!H8</x:f>
        <x:v>14</x:v>
      </x:c>
      <x:c r="I8" s="40" t="n">
        <x:f>'调前玩家曲线'!I8</x:f>
        <x:v>64</x:v>
      </x:c>
      <x:c r="J8" s="40" t="n">
        <x:f>'调前玩家曲线'!J8</x:f>
        <x:v>30</x:v>
      </x:c>
      <x:c r="K8" s="40" t="n">
        <x:f>'调前玩家曲线'!K8</x:f>
        <x:v>100</x:v>
      </x:c>
      <x:c r="L8" s="40" t="n">
        <x:f>'调前玩家曲线'!L8</x:f>
        <x:v>15</x:v>
      </x:c>
      <x:c r="M8" s="40"/>
      <x:c r="N8" s="40"/>
      <x:c r="O8" s="40"/>
      <x:c r="P8" s="40"/>
      <x:c r="Q8" s="40"/>
      <x:c r="R8" s="40"/>
      <x:c r="S8" s="40"/>
      <x:c r="T8" s="40"/>
      <x:c r="U8" s="40"/>
      <x:c r="V8" s="40" t="n">
        <x:f>'调前玩家曲线'!V8</x:f>
        <x:v>0.7</x:v>
      </x:c>
      <x:c r="W8" s="40" t="n">
        <x:f>'调前玩家曲线'!W8</x:f>
        <x:v>0</x:v>
      </x:c>
      <x:c r="X8" s="40" t="n">
        <x:f>'调前玩家曲线'!X8</x:f>
        <x:v>0.275</x:v>
      </x:c>
      <x:c r="Y8" s="40" t="n">
        <x:f>'调前玩家曲线'!Y8</x:f>
        <x:v>1</x:v>
      </x:c>
      <x:c r="Z8" s="40" t="n">
        <x:f>'调前玩家曲线'!Z8</x:f>
        <x:v>1</x:v>
      </x:c>
      <x:c r="AA8" s="40" t="n">
        <x:f>'调前玩家曲线'!AA8</x:f>
        <x:v>1</x:v>
      </x:c>
      <x:c r="AB8" s="40" t="n">
        <x:f>'调前玩家曲线'!AB8</x:f>
        <x:v>1</x:v>
      </x:c>
      <x:c r="AC8" s="40" t="n">
        <x:f>'调前玩家曲线'!AC8</x:f>
        <x:v>1</x:v>
      </x:c>
      <x:c r="AD8" s="40"/>
      <x:c r="AE8" s="40"/>
      <x:c r="AF8" s="40"/>
      <x:c r="AG8" s="40"/>
      <x:c r="AH8" s="40"/>
      <x:c r="AI8" s="40"/>
      <x:c r="AJ8" s="40"/>
      <x:c r="AK8" s="40"/>
      <x:c r="AL8" s="40"/>
      <x:c r="AM8" s="40" t="n">
        <x:f>'调前玩家曲线'!AM8</x:f>
        <x:v>1</x:v>
      </x:c>
      <x:c r="AN8" s="40"/>
      <x:c r="AO8" s="40"/>
      <x:c r="AP8" s="40"/>
      <x:c r="AQ8" s="40"/>
      <x:c r="AR8" s="40" t="str">
        <x:v>增伤战力系数</x:v>
      </x:c>
      <x:c r="AS8" s="40" t="n">
        <x:f>'调前玩家曲线'!AS8</x:f>
        <x:v>3.0303</x:v>
      </x:c>
      <x:c r="AT8" s="40"/>
      <x:c r="AU8" s="40"/>
      <x:c r="AV8" s="40"/>
      <x:c r="AW8" s="40"/>
      <x:c r="AX8" s="40"/>
      <x:c r="AY8" s="40"/>
    </x:row>
    <x:row r="9" ht="25" customHeight="1">
      <x:c r="A9" s="40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 t="n">
        <x:f>'模块规划'!$M$25</x:f>
        <x:v>3.8000000000000003</x:v>
      </x:c>
      <x:c r="P9" s="40"/>
      <x:c r="Q9" s="40"/>
      <x:c r="R9" s="40"/>
      <x:c r="S9" s="40"/>
      <x:c r="T9" s="40" t="n">
        <x:f>'模块规划'!$M$25</x:f>
        <x:v>3.8000000000000003</x:v>
      </x:c>
      <x:c r="U9" s="40"/>
      <x:c r="V9" s="40" t="n">
        <x:f>'调前玩家曲线'!V9</x:f>
        <x:v>1</x:v>
      </x:c>
      <x:c r="W9" s="40" t="n">
        <x:f>'调前玩家曲线'!W9</x:f>
        <x:v>0.4</x:v>
      </x:c>
      <x:c r="X9" s="40" t="n">
        <x:f>'调前玩家曲线'!X9</x:f>
        <x:v>0.55</x:v>
      </x:c>
      <x:c r="Y9" s="40" t="n">
        <x:f>'调前玩家曲线'!Y9</x:f>
        <x:v>1</x:v>
      </x:c>
      <x:c r="Z9" s="40" t="n">
        <x:f>'调前玩家曲线'!Z9</x:f>
        <x:v>1</x:v>
      </x:c>
      <x:c r="AA9" s="40" t="n">
        <x:f>'调前玩家曲线'!AA9</x:f>
        <x:v>1</x:v>
      </x:c>
      <x:c r="AB9" s="40" t="n">
        <x:f>'调前玩家曲线'!AB9</x:f>
        <x:v>1</x:v>
      </x:c>
      <x:c r="AC9" s="40" t="n">
        <x:f>'调前玩家曲线'!AC9</x:f>
        <x:v>1</x:v>
      </x:c>
      <x:c r="AD9" s="40"/>
      <x:c r="AE9" s="40" t="n">
        <x:f>'调前玩家曲线'!AE9</x:f>
        <x:v>0</x:v>
      </x:c>
      <x:c r="AF9" s="40" t="n">
        <x:f>'调前玩家曲线'!AF9</x:f>
        <x:v>0.307692307692308</x:v>
      </x:c>
      <x:c r="AG9" s="40" t="n">
        <x:f>'调前玩家曲线'!AG9</x:f>
        <x:v>0.54529914529915</x:v>
      </x:c>
      <x:c r="AH9" s="40" t="n">
        <x:f>'调前玩家曲线'!AH9</x:f>
        <x:v>0.7</x:v>
      </x:c>
      <x:c r="AI9" s="40" t="n">
        <x:f>'调前玩家曲线'!AI9</x:f>
        <x:v>1.95</x:v>
      </x:c>
      <x:c r="AJ9" s="40" t="n">
        <x:f>'调前玩家曲线'!AJ9</x:f>
        <x:v>1.6</x:v>
      </x:c>
      <x:c r="AK9" s="40"/>
      <x:c r="AL9" s="40"/>
      <x:c r="AM9" s="40"/>
      <x:c r="AN9" s="40"/>
      <x:c r="AO9" s="40"/>
      <x:c r="AP9" s="40"/>
      <x:c r="AQ9" s="40"/>
      <x:c r="AR9" s="40" t="str">
        <x:v>能量回复战力系数</x:v>
      </x:c>
      <x:c r="AS9" s="40" t="n">
        <x:f>'调前玩家曲线'!AS9</x:f>
        <x:v>3.0303</x:v>
      </x:c>
      <x:c r="AT9" s="40"/>
      <x:c r="AU9" s="40"/>
      <x:c r="AV9" s="40"/>
      <x:c r="AW9" s="40"/>
      <x:c r="AX9" s="40"/>
      <x:c r="AY9" s="40"/>
    </x:row>
    <x:row r="10" ht="25" customHeight="1">
      <x:c r="A10" s="40"/>
      <x:c r="B10" s="40"/>
      <x:c r="C10" s="40"/>
      <x:c r="D10" s="40"/>
      <x:c r="E10" s="40"/>
      <x:c r="F10" s="40"/>
      <x:c r="G10" s="40"/>
      <x:c r="H10" s="40" t="n">
        <x:f>'模块规划'!V13+'模块规划'!V14</x:f>
        <x:v>0.12</x:v>
      </x:c>
      <x:c r="I10" s="40" t="n">
        <x:f>'模块规划'!V15</x:f>
        <x:v>0.06</x:v>
      </x:c>
      <x:c r="J10" s="40" t="n">
        <x:f>'模块规划'!V17</x:f>
        <x:v>0.55</x:v>
      </x:c>
      <x:c r="K10" s="40" t="n">
        <x:f>'模块规划'!V16</x:f>
        <x:v>0.21000000000000002</x:v>
      </x:c>
      <x:c r="L10" s="40" t="n">
        <x:f>'模块规划'!V18+'模块规划'!V19</x:f>
        <x:v>0.15</x:v>
      </x:c>
      <x:c r="M10" s="40" t="str">
        <x:v>裸体基础属性</x:v>
      </x:c>
      <x:c r="N10" s="40" t="str">
        <x:v>额外基础属性</x:v>
      </x:c>
      <x:c r="O10" s="40" t="str">
        <x:v>基础属性百分比</x:v>
      </x:c>
      <x:c r="P10" s="40" t="str">
        <x:v>算百分比后基础</x:v>
      </x:c>
      <x:c r="Q10" s="40"/>
      <x:c r="R10" s="40" t="str">
        <x:v>裸体基础属性</x:v>
      </x:c>
      <x:c r="S10" s="40" t="str">
        <x:v>额外基础属性</x:v>
      </x:c>
      <x:c r="T10" s="40" t="str">
        <x:v>基础属性百分比</x:v>
      </x:c>
      <x:c r="U10" s="40" t="str">
        <x:v>算百分比后基础</x:v>
      </x:c>
      <x:c r="V10" s="40"/>
      <x:c r="W10" s="40"/>
      <x:c r="X10" s="40"/>
      <x:c r="Y10" s="40" t="str">
        <x:v>战斗内效果</x:v>
      </x:c>
      <x:c r="Z10" s="40"/>
      <x:c r="AA10" s="40"/>
      <x:c r="AB10" s="40"/>
      <x:c r="AC10" s="40"/>
      <x:c r="AD10" s="40"/>
      <x:c r="AE10" s="40"/>
      <x:c r="AF10" s="40"/>
      <x:c r="AG10" s="40"/>
      <x:c r="AH10" s="40"/>
      <x:c r="AI10" s="40"/>
      <x:c r="AJ10" s="40"/>
      <x:c r="AK10" s="40"/>
      <x:c r="AL10" s="40"/>
      <x:c r="AM10" s="40"/>
      <x:c r="AN10" s="40"/>
      <x:c r="AO10" s="40"/>
      <x:c r="AP10" s="40"/>
      <x:c r="AQ10" s="40"/>
      <x:c r="AR10" s="40" t="str">
        <x:v>冷却缩减战力系数</x:v>
      </x:c>
      <x:c r="AS10" s="40" t="n">
        <x:f>'调前玩家曲线'!AS10</x:f>
        <x:v>4</x:v>
      </x:c>
      <x:c r="AT10" s="40"/>
      <x:c r="AU10" s="40"/>
      <x:c r="AV10" s="40"/>
      <x:c r="AW10" s="40"/>
      <x:c r="AX10" s="40"/>
      <x:c r="AY10" s="40"/>
    </x:row>
    <x:row r="11" ht="45" customHeight="1">
      <x:c r="A11" s="49" t="str">
        <x:v>玩家等级</x:v>
      </x:c>
      <x:c r="B11" s="49" t="str">
        <x:v>关卡id</x:v>
      </x:c>
      <x:c r="C11" s="49" t="str">
        <x:v>章节</x:v>
      </x:c>
      <x:c r="D11" s="49" t="str">
        <x:v>关卡</x:v>
      </x:c>
      <x:c r="E11" s="49" t="str">
        <x:v>基础进度</x:v>
      </x:c>
      <x:c r="F11" s="49" t="str">
        <x:v>有效人数系数</x:v>
      </x:c>
      <x:c r="G11" s="49" t="str">
        <x:v>角色等级进度</x:v>
      </x:c>
      <x:c r="H11" s="49" t="str">
        <x:v>星盘/升星进度</x:v>
      </x:c>
      <x:c r="I11" s="49" t="str">
        <x:v>收容物进度</x:v>
      </x:c>
      <x:c r="J11" s="49" t="str">
        <x:v>映射装备进度</x:v>
      </x:c>
      <x:c r="K11" s="49" t="str">
        <x:v>旅券进度</x:v>
      </x:c>
      <x:c r="L11" s="49" t="str">
        <x:v>房车进度</x:v>
      </x:c>
      <x:c r="M11" s="49" t="str">
        <x:v>防御</x:v>
      </x:c>
      <x:c r="N11" s="49" t="str">
        <x:v>防御</x:v>
      </x:c>
      <x:c r="O11" s="49" t="str">
        <x:v>防御%</x:v>
      </x:c>
      <x:c r="P11" s="49" t="str">
        <x:v>防御</x:v>
      </x:c>
      <x:c r="Q11" s="49" t="str">
        <x:v>减伤率</x:v>
      </x:c>
      <x:c r="R11" s="49" t="str">
        <x:v>攻击</x:v>
      </x:c>
      <x:c r="S11" s="49" t="str">
        <x:v>攻击</x:v>
      </x:c>
      <x:c r="T11" s="49" t="str">
        <x:v>攻击%</x:v>
      </x:c>
      <x:c r="U11" s="49" t="str">
        <x:v>攻击</x:v>
      </x:c>
      <x:c r="V11" s="49" t="str">
        <x:v>普攻系数倍率</x:v>
      </x:c>
      <x:c r="W11" s="49" t="str">
        <x:v>技能系数倍率</x:v>
      </x:c>
      <x:c r="X11" s="49" t="str">
        <x:v>必杀系数倍率</x:v>
      </x:c>
      <x:c r="Y11" s="49" t="str">
        <x:v>角色天赋倍率</x:v>
      </x:c>
      <x:c r="Z11" s="49" t="str">
        <x:v>星盘/升星天赋倍率</x:v>
      </x:c>
      <x:c r="AA11" s="49" t="str">
        <x:v>收容物天赋倍率</x:v>
      </x:c>
      <x:c r="AB11" s="49" t="str">
        <x:v>映射装备天赋倍率</x:v>
      </x:c>
      <x:c r="AC11" s="49" t="str">
        <x:v>旅券/房车天赋倍率</x:v>
      </x:c>
      <x:c r="AD11" s="49" t="str">
        <x:v>战斗内总倍率</x:v>
      </x:c>
      <x:c r="AE11" s="49" t="str">
        <x:v>攻速倍率</x:v>
      </x:c>
      <x:c r="AF11" s="49" t="str">
        <x:v>技能倍率</x:v>
      </x:c>
      <x:c r="AG11" s="49" t="str">
        <x:v>必杀倍率</x:v>
      </x:c>
      <x:c r="AH11" s="49" t="str">
        <x:v>暴击</x:v>
      </x:c>
      <x:c r="AI11" s="49" t="str">
        <x:v>暴击伤害</x:v>
      </x:c>
      <x:c r="AJ11" s="49" t="str">
        <x:v>增伤倍率</x:v>
      </x:c>
      <x:c r="AK11" s="49" t="str">
        <x:v>养成总倍率</x:v>
      </x:c>
      <x:c r="AL11" s="49" t="str">
        <x:v>标准玩家DPS</x:v>
      </x:c>
      <x:c r="AM11" s="49" t="str">
        <x:v>预计bossTTK</x:v>
      </x:c>
      <x:c r="AN11" s="49" t="str">
        <x:v>玩家队伍EHP</x:v>
      </x:c>
      <x:c r="AO11" s="49" t="str">
        <x:v>Boss目标EHP</x:v>
      </x:c>
      <x:c r="AP11" s="49" t="str">
        <x:v>怪物等级</x:v>
      </x:c>
      <x:c r="AQ11" s="49" t="str">
        <x:v>实际上阵人数</x:v>
      </x:c>
      <x:c r="AR11" s="49" t="str">
        <x:v>单人基础战力</x:v>
      </x:c>
      <x:c r="AS11" s="49" t="str">
        <x:v>二级属性倍率</x:v>
      </x:c>
      <x:c r="AT11" s="49" t="str">
        <x:v>单人战力</x:v>
      </x:c>
      <x:c r="AU11" s="49" t="str">
        <x:v>预估队伍战力</x:v>
      </x:c>
      <x:c r="AV11" s="49" t="str">
        <x:v>左节点序号</x:v>
      </x:c>
      <x:c r="AW11" s="49" t="str">
        <x:v>段内插值比例</x:v>
      </x:c>
      <x:c r="AX11" s="49" t="str">
        <x:v>战力3位有效数字</x:v>
      </x:c>
      <x:c r="AY11" s="49" t="str">
        <x:v>逐关战力涨幅</x:v>
      </x:c>
    </x:row>
    <x:row r="12" ht="25" customHeight="1">
      <x:c r="A12" s="40" t="n">
        <x:f>'调前玩家曲线'!A12</x:f>
        <x:v>1</x:v>
      </x:c>
      <x:c r="B12" s="40" t="n">
        <x:f>'调前玩家曲线'!B12</x:f>
        <x:v>1</x:v>
      </x:c>
      <x:c r="C12" s="40" t="n">
        <x:f>'调前玩家曲线'!C12</x:f>
        <x:v>0</x:v>
      </x:c>
      <x:c r="D12" s="40" t="n">
        <x:f>'调前玩家曲线'!D12</x:f>
        <x:v>1</x:v>
      </x:c>
      <x:c r="E12" s="40" t="n">
        <x:f>'调前玩家曲线'!E12</x:f>
        <x:v>1</x:v>
      </x:c>
      <x:c r="F12" s="40" t="n">
        <x:f>'调前玩家曲线'!F12</x:f>
        <x:v>1</x:v>
      </x:c>
      <x:c r="G12" s="63" t="n">
        <x:f>IF(B12&lt;$G$8,0,(INDEX('主线调参'!$C$11:$C$62,$AV12)+(INDEX('主线调参'!$C$11:$C$62,$AV12+1)-INDEX('主线调参'!$C$11:$C$62,$AV12))*$AW12)*'参数说明'!$C$27)</x:f>
        <x:v>0</x:v>
      </x:c>
      <x:c r="H12" s="63" t="n">
        <x:f>IF(B12&lt;$H$8,0,(INDEX('主线调参'!$D$11:$D$62,$AV12)+(INDEX('主线调参'!$D$11:$D$62,$AV12+1)-INDEX('主线调参'!$D$11:$D$62,$AV12))*$AW12)*'参数说明'!$D$27)</x:f>
        <x:v>0</x:v>
      </x:c>
      <x:c r="I12" s="63" t="n">
        <x:f>IF(B12&lt;$I$8,0,(INDEX('主线调参'!$E$11:$E$62,$AV12)+(INDEX('主线调参'!$E$11:$E$62,$AV12+1)-INDEX('主线调参'!$E$11:$E$62,$AV12))*$AW12)*'参数说明'!$E$27)</x:f>
        <x:v>0</x:v>
      </x:c>
      <x:c r="J12" s="63" t="n">
        <x:f>IF(B12&lt;$J$8,0,(INDEX('主线调参'!$F$11:$F$62,$AV12)+(INDEX('主线调参'!$F$11:$F$62,$AV12+1)-INDEX('主线调参'!$F$11:$F$62,$AV12))*$AW12)*'参数说明'!$F$27)</x:f>
        <x:v>0</x:v>
      </x:c>
      <x:c r="K12" s="63" t="n">
        <x:f>IF(B12&lt;$K$8,0,(INDEX('主线调参'!$G$11:$G$62,$AV12)+(INDEX('主线调参'!$G$11:$G$62,$AV12+1)-INDEX('主线调参'!$G$11:$G$62,$AV12))*$AW12)*'参数说明'!$G$27)</x:f>
        <x:v>0</x:v>
      </x:c>
      <x:c r="L12" s="63" t="n">
        <x:f>IF(B12&lt;$L$8,0,(INDEX('主线调参'!$H$11:$H$62,$AV12)+(INDEX('主线调参'!$H$11:$H$62,$AV12+1)-INDEX('主线调参'!$H$11:$H$62,$AV12))*$AW12)*'参数说明'!$H$27)</x:f>
        <x:v>0</x:v>
      </x:c>
      <x:c r="M12" s="59" t="n">
        <x:f>E12*'模块规划'!$F$10+G12*'模块规划'!$F$11+H12*'模块规划'!$F$13</x:f>
        <x:v>1000</x:v>
      </x:c>
      <x:c r="N12" s="59" t="n">
        <x:f>I12*'模块规划'!$F$15+J12*'模块规划'!$F$17+K12*'模块规划'!$F$16+L12*'模块规划'!$F$18</x:f>
        <x:v>0</x:v>
      </x:c>
      <x:c r="O12" s="59" t="n">
        <x:f>1+O$9*SUMPRODUCT($H$10:$L$10,H12:L12)/SUM($H$10:$L$10)</x:f>
        <x:v>1</x:v>
      </x:c>
      <x:c r="P12" s="59" t="n">
        <x:f>M12*O12+N12</x:f>
        <x:v>1000</x:v>
      </x:c>
      <x:c r="Q12" s="59" t="n">
        <x:f>P12/(P12+'_曲线基线'!$L$2)</x:f>
        <x:v>0.04</x:v>
      </x:c>
      <x:c r="R12" s="59" t="n">
        <x:f>E12*'模块规划'!$E$10+G12*'模块规划'!$E$11+H12*'模块规划'!$E$13</x:f>
        <x:v>1500</x:v>
      </x:c>
      <x:c r="S12" s="59" t="n">
        <x:f>I12*'模块规划'!$E$15+J12*'模块规划'!$E$17+K12*'模块规划'!$E$16+L12*'模块规划'!$E$18</x:f>
        <x:v>0</x:v>
      </x:c>
      <x:c r="T12" s="59" t="n">
        <x:f>1+T$9*SUMPRODUCT($H$10:$L$10,H12:L12)/SUM($H$10:$L$10)</x:f>
        <x:v>1</x:v>
      </x:c>
      <x:c r="U12" s="59" t="n">
        <x:f>R12*T12+S12</x:f>
        <x:v>1500</x:v>
      </x:c>
      <x:c r="V12" s="59" t="n">
        <x:f>V$8+(V$9-V$8)*H12</x:f>
        <x:v>0.7</x:v>
      </x:c>
      <x:c r="W12" s="59" t="n">
        <x:f>IF(B12&lt;$H$8,0,W$8+(W$9-W$8)*H12)</x:f>
        <x:v>0</x:v>
      </x:c>
      <x:c r="X12" s="59" t="n">
        <x:f>X$8+(X$9-X$8)*H12</x:f>
        <x:v>0.275</x:v>
      </x:c>
      <x:c r="Y12" s="59" t="n">
        <x:f>Y$8+(Y$9-Y$8)*G12</x:f>
        <x:v>1</x:v>
      </x:c>
      <x:c r="Z12" s="59" t="n">
        <x:f>Z$8+(Z$9-Z$8)*H12</x:f>
        <x:v>1</x:v>
      </x:c>
      <x:c r="AA12" s="59" t="n">
        <x:f>AA$8+(AA$9-AA$8)*I12</x:f>
        <x:v>1</x:v>
      </x:c>
      <x:c r="AB12" s="59" t="n">
        <x:f>AB$8+(AB$9-AB$8)*J12</x:f>
        <x:v>1</x:v>
      </x:c>
      <x:c r="AC12" s="59" t="n">
        <x:f>AC$8+(AC$9-AC$8)*MAX(K12,L12)</x:f>
        <x:v>1</x:v>
      </x:c>
      <x:c r="AD12" s="59" t="n">
        <x:f>(V12*AE12+W12*AF12+X12*AG12)*PRODUCT(Y12:AC12)</x:f>
        <x:v>0.975</x:v>
      </x:c>
      <x:c r="AE12" s="59" t="n">
        <x:f>1+AE$9*($H$10*H12+$I$10*I12+$J$10*J12+$K$10*K12+$L$10*L12)</x:f>
        <x:v>1</x:v>
      </x:c>
      <x:c r="AF12" s="59" t="n">
        <x:f>1+AF$9*($H$10*H12+$I$10*I12+$J$10*J12+$K$10*K12+$L$10*L12)</x:f>
        <x:v>1</x:v>
      </x:c>
      <x:c r="AG12" s="59" t="n">
        <x:f>1+AG$9*($H$10*H12+$I$10*I12+$J$10*J12+$K$10*K12+$L$10*L12)</x:f>
        <x:v>1</x:v>
      </x:c>
      <x:c r="AH12" s="59" t="n">
        <x:f>MIN(1,'_曲线基线'!$L$3+AH$9*($H$10*H12+$I$10*I12+$J$10*J12+$K$10*K12+$L$10*L12))</x:f>
        <x:v>0.05</x:v>
      </x:c>
      <x:c r="AI12" s="59" t="n">
        <x:f>'_曲线基线'!$L$4+AI$9*($H$10*H12+$I$10*I12+$J$10*J12+$K$10*K12+$L$10*L12)</x:f>
        <x:v>2</x:v>
      </x:c>
      <x:c r="AJ12" s="59" t="n">
        <x:f>1+AJ$9*($H$10*H12+$I$10*I12+$J$10*J12+$K$10*K12+$L$10*L12)</x:f>
        <x:v>1</x:v>
      </x:c>
      <x:c r="AK12" s="59" t="n">
        <x:f>(1+AH12*(AI12-1))*AJ12</x:f>
        <x:v>1.05</x:v>
      </x:c>
      <x:c r="AL12" s="59" t="n">
        <x:f>U12*AD12*AK12*F12</x:f>
        <x:v>1535.625</x:v>
      </x:c>
      <x:c r="AM12" s="59" t="n">
        <x:f>IF($B12&lt;AM$8,0,AM$3+(AM$4-AM$3)*(POWER(AM$5,$B12-AM$8)-1)/(POWER(AM$5,$C$5-AM$8)-1))</x:f>
        <x:v>35</x:v>
      </x:c>
      <x:c r="AN12" s="59" t="n">
        <x:f>(((E12*'模块规划'!$D$10+G12*'模块规划'!$D$11+H12*'模块规划'!$D$13)*(1+'模块规划'!$G$14*H12)+(I12*'模块规划'!$D$15+J12*'模块规划'!$D$17+K12*'模块规划'!$D$16+L12*'模块规划'!$D$18))*(1+'模块规划'!$J$17*J12))*F12/(1-Q12)</x:f>
        <x:v>5208.333333333334</x:v>
      </x:c>
      <x:c r="AO12" s="59" t="n">
        <x:f>AL12*AM12</x:f>
        <x:v>53746.875</x:v>
      </x:c>
      <x:c r="AP12" s="61" t="n">
        <x:f>IF(AO12="","",INDEX('_曲线基线'!$A$3:$A$502,MIN(ROWS('_曲线基线'!$A$3:$A$502),COUNTIF('_曲线基线'!$E$3:$E$502,"&lt;"&amp;AO12)+1)))</x:f>
        <x:v>5</x:v>
      </x:c>
      <x:c r="AQ12" s="61" t="n">
        <x:f>IF(B12&lt;=2,1,IF(B12&lt;=6,2,IF(B12&lt;=9,3,IF(B12&lt;=19,4,5))))</x:f>
        <x:v>1</x:v>
      </x:c>
      <x:c r="AR12" s="59" t="n">
        <x:f>AN12*(1-Q12)/F12*$AS$3+U12*$AS$4+P12*$AS$5</x:f>
        <x:v>450</x:v>
      </x:c>
      <x:c r="AS12" s="59" t="n">
        <x:f>1+AH12*$AS$6+AI12*$AS$7+(AJ12-1)*$AS$8+($H$10*H12+$I$10*I12+$J$10*J12+$K$10*K12+$L$10*L12)*$AU$3*$AS$9+($H$10*H12+$I$10*I12+$J$10*J12+$K$10*K12+$L$10*L12)*$AU$4*$AS$10</x:f>
        <x:v>4.98158</x:v>
      </x:c>
      <x:c r="AT12" s="60" t="n">
        <x:f>ROUND(AR12*AS12,0)</x:f>
        <x:v>2242</x:v>
      </x:c>
      <x:c r="AU12" s="60" t="n">
        <x:f>ROUND(AT12*F12,0)</x:f>
        <x:v>2242</x:v>
      </x:c>
      <x:c r="AV12" s="60" t="n">
        <x:f>MIN(MATCH(B12,'主线调参'!$M$11:$M$62,1),ROWS('主线调参'!$M$11:$M$62)-1)</x:f>
        <x:v>1</x:v>
      </x:c>
      <x:c r="AW12" s="62" t="n">
        <x:f>(B12-INDEX('主线调参'!$M$11:$M$62,AV12))/(INDEX('主线调参'!$M$11:$M$62,AV12+1)-INDEX('主线调参'!$M$11:$M$62,AV12))</x:f>
        <x:v>0</x:v>
      </x:c>
      <x:c r="AX12" s="60" t="n">
        <x:f>IF(AU12=0,0,ROUND(AU12,2-INT(LOG10(ABS(AU12)))))</x:f>
        <x:v>2240</x:v>
      </x:c>
      <x:c r="AY12" s="62"/>
    </x:row>
    <x:row r="13" ht="25" customHeight="1">
      <x:c r="A13" s="40" t="n">
        <x:f>'调前玩家曲线'!A13</x:f>
        <x:v>2</x:v>
      </x:c>
      <x:c r="B13" s="40" t="n">
        <x:f>'调前玩家曲线'!B13</x:f>
        <x:v>2</x:v>
      </x:c>
      <x:c r="C13" s="40" t="n">
        <x:f>'调前玩家曲线'!C13</x:f>
        <x:v>0</x:v>
      </x:c>
      <x:c r="D13" s="40" t="n">
        <x:f>'调前玩家曲线'!D13</x:f>
        <x:v>2</x:v>
      </x:c>
      <x:c r="E13" s="40" t="n">
        <x:f>'调前玩家曲线'!E13</x:f>
        <x:v>1</x:v>
      </x:c>
      <x:c r="F13" s="40" t="n">
        <x:f>'调前玩家曲线'!F13</x:f>
        <x:v>1</x:v>
      </x:c>
      <x:c r="G13" s="63" t="n">
        <x:f>IF(B13&lt;$G$8,0,(INDEX('主线调参'!$C$11:$C$62,$AV13)+(INDEX('主线调参'!$C$11:$C$62,$AV13+1)-INDEX('主线调参'!$C$11:$C$62,$AV13))*$AW13)*'参数说明'!$C$27)</x:f>
        <x:v>0.0136024015260871</x:v>
      </x:c>
      <x:c r="H13" s="63" t="n">
        <x:f>IF(B13&lt;$H$8,0,(INDEX('主线调参'!$D$11:$D$62,$AV13)+(INDEX('主线调参'!$D$11:$D$62,$AV13+1)-INDEX('主线调参'!$D$11:$D$62,$AV13))*$AW13)*'参数说明'!$D$27)</x:f>
        <x:v>0</x:v>
      </x:c>
      <x:c r="I13" s="63" t="n">
        <x:f>IF(B13&lt;$I$8,0,(INDEX('主线调参'!$E$11:$E$62,$AV13)+(INDEX('主线调参'!$E$11:$E$62,$AV13+1)-INDEX('主线调参'!$E$11:$E$62,$AV13))*$AW13)*'参数说明'!$E$27)</x:f>
        <x:v>0</x:v>
      </x:c>
      <x:c r="J13" s="63" t="n">
        <x:f>IF(B13&lt;$J$8,0,(INDEX('主线调参'!$F$11:$F$62,$AV13)+(INDEX('主线调参'!$F$11:$F$62,$AV13+1)-INDEX('主线调参'!$F$11:$F$62,$AV13))*$AW13)*'参数说明'!$F$27)</x:f>
        <x:v>0</x:v>
      </x:c>
      <x:c r="K13" s="63" t="n">
        <x:f>IF(B13&lt;$K$8,0,(INDEX('主线调参'!$G$11:$G$62,$AV13)+(INDEX('主线调参'!$G$11:$G$62,$AV13+1)-INDEX('主线调参'!$G$11:$G$62,$AV13))*$AW13)*'参数说明'!$G$27)</x:f>
        <x:v>0</x:v>
      </x:c>
      <x:c r="L13" s="63" t="n">
        <x:f>IF(B13&lt;$L$8,0,(INDEX('主线调参'!$H$11:$H$62,$AV13)+(INDEX('主线调参'!$H$11:$H$62,$AV13+1)-INDEX('主线调参'!$H$11:$H$62,$AV13))*$AW13)*'参数说明'!$H$27)</x:f>
        <x:v>0</x:v>
      </x:c>
      <x:c r="M13" s="59" t="n">
        <x:f>E13*'模块规划'!$F$10+G13*'模块规划'!$F$11+H13*'模块规划'!$F$13</x:f>
        <x:v>1065.291527325218</x:v>
      </x:c>
      <x:c r="N13" s="59" t="n">
        <x:f>I13*'模块规划'!$F$15+J13*'模块规划'!$F$17+K13*'模块规划'!$F$16+L13*'模块规划'!$F$18</x:f>
        <x:v>0</x:v>
      </x:c>
      <x:c r="O13" s="59" t="n">
        <x:f>1+O$9*SUMPRODUCT($H$10:$L$10,H13:L13)/SUM($H$10:$L$10)</x:f>
        <x:v>1</x:v>
      </x:c>
      <x:c r="P13" s="59" t="n">
        <x:f>M13*O13+N13</x:f>
        <x:v>1065.291527325218</x:v>
      </x:c>
      <x:c r="Q13" s="59" t="n">
        <x:f>P13/(P13+'_曲线基线'!$L$2)</x:f>
        <x:v>0.04250066376303177</x:v>
      </x:c>
      <x:c r="R13" s="59" t="n">
        <x:f>E13*'模块规划'!$E$10+G13*'模块规划'!$E$11+H13*'模块规划'!$E$13</x:f>
        <x:v>1597.937290987827</x:v>
      </x:c>
      <x:c r="S13" s="59" t="n">
        <x:f>I13*'模块规划'!$E$15+J13*'模块规划'!$E$17+K13*'模块规划'!$E$16+L13*'模块规划'!$E$18</x:f>
        <x:v>0</x:v>
      </x:c>
      <x:c r="T13" s="59" t="n">
        <x:f>1+T$9*SUMPRODUCT($H$10:$L$10,H13:L13)/SUM($H$10:$L$10)</x:f>
        <x:v>1</x:v>
      </x:c>
      <x:c r="U13" s="59" t="n">
        <x:f>R13*T13+S13</x:f>
        <x:v>1597.937290987827</x:v>
      </x:c>
      <x:c r="V13" s="59" t="n">
        <x:f>V$8+(V$9-V$8)*H13</x:f>
        <x:v>0.7</x:v>
      </x:c>
      <x:c r="W13" s="59" t="n">
        <x:f>IF(B13&lt;$H$8,0,W$8+(W$9-W$8)*H13)</x:f>
        <x:v>0</x:v>
      </x:c>
      <x:c r="X13" s="59" t="n">
        <x:f>X$8+(X$9-X$8)*H13</x:f>
        <x:v>0.275</x:v>
      </x:c>
      <x:c r="Y13" s="59" t="n">
        <x:f>Y$8+(Y$9-Y$8)*G13</x:f>
        <x:v>1</x:v>
      </x:c>
      <x:c r="Z13" s="59" t="n">
        <x:f>Z$8+(Z$9-Z$8)*H13</x:f>
        <x:v>1</x:v>
      </x:c>
      <x:c r="AA13" s="59" t="n">
        <x:f>AA$8+(AA$9-AA$8)*I13</x:f>
        <x:v>1</x:v>
      </x:c>
      <x:c r="AB13" s="59" t="n">
        <x:f>AB$8+(AB$9-AB$8)*J13</x:f>
        <x:v>1</x:v>
      </x:c>
      <x:c r="AC13" s="59" t="n">
        <x:f>AC$8+(AC$9-AC$8)*MAX(K13,L13)</x:f>
        <x:v>1</x:v>
      </x:c>
      <x:c r="AD13" s="59" t="n">
        <x:f>(V13*AE13+W13*AF13+X13*AG13)*PRODUCT(Y13:AC13)</x:f>
        <x:v>0.975</x:v>
      </x:c>
      <x:c r="AE13" s="59" t="n">
        <x:f>1+AE$9*($H$10*H13+$I$10*I13+$J$10*J13+$K$10*K13+$L$10*L13)</x:f>
        <x:v>1</x:v>
      </x:c>
      <x:c r="AF13" s="59" t="n">
        <x:f>1+AF$9*($H$10*H13+$I$10*I13+$J$10*J13+$K$10*K13+$L$10*L13)</x:f>
        <x:v>1</x:v>
      </x:c>
      <x:c r="AG13" s="59" t="n">
        <x:f>1+AG$9*($H$10*H13+$I$10*I13+$J$10*J13+$K$10*K13+$L$10*L13)</x:f>
        <x:v>1</x:v>
      </x:c>
      <x:c r="AH13" s="59" t="n">
        <x:f>MIN(1,'_曲线基线'!$L$3+AH$9*($H$10*H13+$I$10*I13+$J$10*J13+$K$10*K13+$L$10*L13))</x:f>
        <x:v>0.05</x:v>
      </x:c>
      <x:c r="AI13" s="59" t="n">
        <x:f>'_曲线基线'!$L$4+AI$9*($H$10*H13+$I$10*I13+$J$10*J13+$K$10*K13+$L$10*L13)</x:f>
        <x:v>2</x:v>
      </x:c>
      <x:c r="AJ13" s="59" t="n">
        <x:f>1+AJ$9*($H$10*H13+$I$10*I13+$J$10*J13+$K$10*K13+$L$10*L13)</x:f>
        <x:v>1</x:v>
      </x:c>
      <x:c r="AK13" s="59" t="n">
        <x:f>(1+AH13*(AI13-1))*AJ13</x:f>
        <x:v>1.05</x:v>
      </x:c>
      <x:c r="AL13" s="59" t="n">
        <x:f>U13*AD13*AK13*F13</x:f>
        <x:v>1635.888301648788</x:v>
      </x:c>
      <x:c r="AM13" s="59" t="n">
        <x:f>IF($B13&lt;AM$8,0,AM$3+(AM$4-AM$3)*(POWER(AM$5,$B13-AM$8)-1)/(POWER(AM$5,$C$5-AM$8)-1))</x:f>
        <x:v>35.013424639921865</x:v>
      </x:c>
      <x:c r="AN13" s="59" t="n">
        <x:f>(((E13*'模块规划'!$D$10+G13*'模块规划'!$D$11+H13*'模块规划'!$D$13)*(1+'模块规划'!$G$14*H13)+(I13*'模块规划'!$D$15+J13*'模块规划'!$D$17+K13*'模块规划'!$D$16+L13*'模块规划'!$D$18))*(1+'模块规划'!$J$17*J13))*F13/(1-Q13)</x:f>
        <x:v>5562.883894582527</x:v>
      </x:c>
      <x:c r="AO13" s="59" t="n">
        <x:f>AL13*AM13</x:f>
        <x:v>57278.05176910961</x:v>
      </x:c>
      <x:c r="AP13" s="61" t="n">
        <x:f>IF(AO13="","",INDEX('_曲线基线'!$A$3:$A$502,MIN(ROWS('_曲线基线'!$A$3:$A$502),COUNTIF('_曲线基线'!$E$3:$E$502,"&lt;"&amp;AO13)+1)))</x:f>
        <x:v>5</x:v>
      </x:c>
      <x:c r="AQ13" s="61" t="n">
        <x:f>IF(B13&lt;=2,1,IF(B13&lt;=6,2,IF(B13&lt;=9,3,IF(B13&lt;=19,4,5))))</x:f>
        <x:v>1</x:v>
      </x:c>
      <x:c r="AR13" s="59" t="n">
        <x:f>AN13*(1-Q13)/F13*$AS$3+U13*$AS$4+P13*$AS$5</x:f>
        <x:v>479.3811872963481</x:v>
      </x:c>
      <x:c r="AS13" s="59" t="n">
        <x:f>1+AH13*$AS$6+AI13*$AS$7+(AJ13-1)*$AS$8+($H$10*H13+$I$10*I13+$J$10*J13+$K$10*K13+$L$10*L13)*$AU$3*$AS$9+($H$10*H13+$I$10*I13+$J$10*J13+$K$10*K13+$L$10*L13)*$AU$4*$AS$10</x:f>
        <x:v>4.98158</x:v>
      </x:c>
      <x:c r="AT13" s="60" t="n">
        <x:f>ROUND(AR13*AS13,0)</x:f>
        <x:v>2388</x:v>
      </x:c>
      <x:c r="AU13" s="60" t="n">
        <x:f>ROUND(AT13*F13,0)</x:f>
        <x:v>2388</x:v>
      </x:c>
      <x:c r="AV13" s="60" t="n">
        <x:f>MIN(MATCH(B13,'主线调参'!$M$11:$M$62,1),ROWS('主线调参'!$M$11:$M$62)-1)</x:f>
        <x:v>1</x:v>
      </x:c>
      <x:c r="AW13" s="62" t="n">
        <x:f>(B13-INDEX('主线调参'!$M$11:$M$62,AV13))/(INDEX('主线调参'!$M$11:$M$62,AV13+1)-INDEX('主线调参'!$M$11:$M$62,AV13))</x:f>
        <x:v>0.5</x:v>
      </x:c>
      <x:c r="AX13" s="60" t="n">
        <x:f>IF(AU13=0,0,ROUND(AU13,2-INT(LOG10(ABS(AU13)))))</x:f>
        <x:v>2390</x:v>
      </x:c>
      <x:c r="AY13" s="62" t="n">
        <x:f>AU13/AU12-1</x:f>
        <x:v>0.0651204281891169</x:v>
      </x:c>
    </x:row>
    <x:row r="14" ht="25" customHeight="1">
      <x:c r="A14" s="40" t="n">
        <x:f>'调前玩家曲线'!A14</x:f>
        <x:v>3</x:v>
      </x:c>
      <x:c r="B14" s="40" t="n">
        <x:f>'调前玩家曲线'!B14</x:f>
        <x:v>3</x:v>
      </x:c>
      <x:c r="C14" s="40" t="n">
        <x:f>'调前玩家曲线'!C14</x:f>
        <x:v>0</x:v>
      </x:c>
      <x:c r="D14" s="40" t="n">
        <x:f>'调前玩家曲线'!D14</x:f>
        <x:v>3</x:v>
      </x:c>
      <x:c r="E14" s="40" t="n">
        <x:f>'调前玩家曲线'!E14</x:f>
        <x:v>1</x:v>
      </x:c>
      <x:c r="F14" s="40" t="n">
        <x:f>'调前玩家曲线'!F14</x:f>
        <x:v>1.25</x:v>
      </x:c>
      <x:c r="G14" s="63" t="n">
        <x:f>IF(B14&lt;$G$8,0,(INDEX('主线调参'!$C$11:$C$62,$AV14)+(INDEX('主线调参'!$C$11:$C$62,$AV14+1)-INDEX('主线调参'!$C$11:$C$62,$AV14))*$AW14)*'参数说明'!$C$27)</x:f>
        <x:v>0.0272048030521742</x:v>
      </x:c>
      <x:c r="H14" s="63" t="n">
        <x:f>IF(B14&lt;$H$8,0,(INDEX('主线调参'!$D$11:$D$62,$AV14)+(INDEX('主线调参'!$D$11:$D$62,$AV14+1)-INDEX('主线调参'!$D$11:$D$62,$AV14))*$AW14)*'参数说明'!$D$27)</x:f>
        <x:v>0</x:v>
      </x:c>
      <x:c r="I14" s="63" t="n">
        <x:f>IF(B14&lt;$I$8,0,(INDEX('主线调参'!$E$11:$E$62,$AV14)+(INDEX('主线调参'!$E$11:$E$62,$AV14+1)-INDEX('主线调参'!$E$11:$E$62,$AV14))*$AW14)*'参数说明'!$E$27)</x:f>
        <x:v>0</x:v>
      </x:c>
      <x:c r="J14" s="63" t="n">
        <x:f>IF(B14&lt;$J$8,0,(INDEX('主线调参'!$F$11:$F$62,$AV14)+(INDEX('主线调参'!$F$11:$F$62,$AV14+1)-INDEX('主线调参'!$F$11:$F$62,$AV14))*$AW14)*'参数说明'!$F$27)</x:f>
        <x:v>0</x:v>
      </x:c>
      <x:c r="K14" s="63" t="n">
        <x:f>IF(B14&lt;$K$8,0,(INDEX('主线调参'!$G$11:$G$62,$AV14)+(INDEX('主线调参'!$G$11:$G$62,$AV14+1)-INDEX('主线调参'!$G$11:$G$62,$AV14))*$AW14)*'参数说明'!$G$27)</x:f>
        <x:v>0</x:v>
      </x:c>
      <x:c r="L14" s="63" t="n">
        <x:f>IF(B14&lt;$L$8,0,(INDEX('主线调参'!$H$11:$H$62,$AV14)+(INDEX('主线调参'!$H$11:$H$62,$AV14+1)-INDEX('主线调参'!$H$11:$H$62,$AV14))*$AW14)*'参数说明'!$H$27)</x:f>
        <x:v>0</x:v>
      </x:c>
      <x:c r="M14" s="59" t="n">
        <x:f>E14*'模块规划'!$F$10+G14*'模块规划'!$F$11+H14*'模块规划'!$F$13</x:f>
        <x:v>1130.5830546504362</x:v>
      </x:c>
      <x:c r="N14" s="59" t="n">
        <x:f>I14*'模块规划'!$F$15+J14*'模块规划'!$F$17+K14*'模块规划'!$F$16+L14*'模块规划'!$F$18</x:f>
        <x:v>0</x:v>
      </x:c>
      <x:c r="O14" s="59" t="n">
        <x:f>1+O$9*SUMPRODUCT($H$10:$L$10,H14:L14)/SUM($H$10:$L$10)</x:f>
        <x:v>1</x:v>
      </x:c>
      <x:c r="P14" s="59" t="n">
        <x:f>M14*O14+N14</x:f>
        <x:v>1130.5830546504362</x:v>
      </x:c>
      <x:c r="Q14" s="59" t="n">
        <x:f>P14/(P14+'_曲线基线'!$L$2)</x:f>
        <x:v>0.044988333624882644</x:v>
      </x:c>
      <x:c r="R14" s="59" t="n">
        <x:f>E14*'模块规划'!$E$10+G14*'模块规划'!$E$11+H14*'模块规划'!$E$13</x:f>
        <x:v>1695.874581975654</x:v>
      </x:c>
      <x:c r="S14" s="59" t="n">
        <x:f>I14*'模块规划'!$E$15+J14*'模块规划'!$E$17+K14*'模块规划'!$E$16+L14*'模块规划'!$E$18</x:f>
        <x:v>0</x:v>
      </x:c>
      <x:c r="T14" s="59" t="n">
        <x:f>1+T$9*SUMPRODUCT($H$10:$L$10,H14:L14)/SUM($H$10:$L$10)</x:f>
        <x:v>1</x:v>
      </x:c>
      <x:c r="U14" s="59" t="n">
        <x:f>R14*T14+S14</x:f>
        <x:v>1695.874581975654</x:v>
      </x:c>
      <x:c r="V14" s="59" t="n">
        <x:f>V$8+(V$9-V$8)*H14</x:f>
        <x:v>0.7</x:v>
      </x:c>
      <x:c r="W14" s="59" t="n">
        <x:f>IF(B14&lt;$H$8,0,W$8+(W$9-W$8)*H14)</x:f>
        <x:v>0</x:v>
      </x:c>
      <x:c r="X14" s="59" t="n">
        <x:f>X$8+(X$9-X$8)*H14</x:f>
        <x:v>0.275</x:v>
      </x:c>
      <x:c r="Y14" s="59" t="n">
        <x:f>Y$8+(Y$9-Y$8)*G14</x:f>
        <x:v>1</x:v>
      </x:c>
      <x:c r="Z14" s="59" t="n">
        <x:f>Z$8+(Z$9-Z$8)*H14</x:f>
        <x:v>1</x:v>
      </x:c>
      <x:c r="AA14" s="59" t="n">
        <x:f>AA$8+(AA$9-AA$8)*I14</x:f>
        <x:v>1</x:v>
      </x:c>
      <x:c r="AB14" s="59" t="n">
        <x:f>AB$8+(AB$9-AB$8)*J14</x:f>
        <x:v>1</x:v>
      </x:c>
      <x:c r="AC14" s="59" t="n">
        <x:f>AC$8+(AC$9-AC$8)*MAX(K14,L14)</x:f>
        <x:v>1</x:v>
      </x:c>
      <x:c r="AD14" s="59" t="n">
        <x:f>(V14*AE14+W14*AF14+X14*AG14)*PRODUCT(Y14:AC14)</x:f>
        <x:v>0.975</x:v>
      </x:c>
      <x:c r="AE14" s="59" t="n">
        <x:f>1+AE$9*($H$10*H14+$I$10*I14+$J$10*J14+$K$10*K14+$L$10*L14)</x:f>
        <x:v>1</x:v>
      </x:c>
      <x:c r="AF14" s="59" t="n">
        <x:f>1+AF$9*($H$10*H14+$I$10*I14+$J$10*J14+$K$10*K14+$L$10*L14)</x:f>
        <x:v>1</x:v>
      </x:c>
      <x:c r="AG14" s="59" t="n">
        <x:f>1+AG$9*($H$10*H14+$I$10*I14+$J$10*J14+$K$10*K14+$L$10*L14)</x:f>
        <x:v>1</x:v>
      </x:c>
      <x:c r="AH14" s="59" t="n">
        <x:f>MIN(1,'_曲线基线'!$L$3+AH$9*($H$10*H14+$I$10*I14+$J$10*J14+$K$10*K14+$L$10*L14))</x:f>
        <x:v>0.05</x:v>
      </x:c>
      <x:c r="AI14" s="59" t="n">
        <x:f>'_曲线基线'!$L$4+AI$9*($H$10*H14+$I$10*I14+$J$10*J14+$K$10*K14+$L$10*L14)</x:f>
        <x:v>2</x:v>
      </x:c>
      <x:c r="AJ14" s="59" t="n">
        <x:f>1+AJ$9*($H$10*H14+$I$10*I14+$J$10*J14+$K$10*K14+$L$10*L14)</x:f>
        <x:v>1</x:v>
      </x:c>
      <x:c r="AK14" s="59" t="n">
        <x:f>(1+AH14*(AI14-1))*AJ14</x:f>
        <x:v>1.05</x:v>
      </x:c>
      <x:c r="AL14" s="59" t="n">
        <x:f>U14*AD14*AK14*F14</x:f>
        <x:v>2170.1895041219695</x:v>
      </x:c>
      <x:c r="AM14" s="59" t="n">
        <x:f>IF($B14&lt;AM$8,0,AM$3+(AM$4-AM$3)*(POWER(AM$5,$B14-AM$8)-1)/(POWER(AM$5,$C$5-AM$8)-1))</x:f>
        <x:v>35.02698352624296</x:v>
      </x:c>
      <x:c r="AN14" s="59" t="n">
        <x:f>(((E14*'模块规划'!$D$10+G14*'模块规划'!$D$11+H14*'模块规划'!$D$13)*(1+'模块规划'!$G$14*H14)+(I14*'模块规划'!$D$15+J14*'模块规划'!$D$17+K14*'模块规划'!$D$16+L14*'模块规划'!$D$18))*(1+'模块规划'!$J$17*J14))*F14/(1-Q14)</x:f>
        <x:v>7399.013373716974</x:v>
      </x:c>
      <x:c r="AO14" s="59" t="n">
        <x:f>AL14*AM14</x:f>
        <x:v>76015.1920097056</x:v>
      </x:c>
      <x:c r="AP14" s="61" t="n">
        <x:f>IF(AO14="","",INDEX('_曲线基线'!$A$3:$A$502,MIN(ROWS('_曲线基线'!$A$3:$A$502),COUNTIF('_曲线基线'!$E$3:$E$502,"&lt;"&amp;AO14)+1)))</x:f>
        <x:v>7</x:v>
      </x:c>
      <x:c r="AQ14" s="61" t="n">
        <x:f>IF(B14&lt;=2,1,IF(B14&lt;=6,2,IF(B14&lt;=9,3,IF(B14&lt;=19,4,5))))</x:f>
        <x:v>2</x:v>
      </x:c>
      <x:c r="AR14" s="59" t="n">
        <x:f>AN14*(1-Q14)/F14*$AS$3+U14*$AS$4+P14*$AS$5</x:f>
        <x:v>508.76237459269623</x:v>
      </x:c>
      <x:c r="AS14" s="59" t="n">
        <x:f>1+AH14*$AS$6+AI14*$AS$7+(AJ14-1)*$AS$8+($H$10*H14+$I$10*I14+$J$10*J14+$K$10*K14+$L$10*L14)*$AU$3*$AS$9+($H$10*H14+$I$10*I14+$J$10*J14+$K$10*K14+$L$10*L14)*$AU$4*$AS$10</x:f>
        <x:v>4.98158</x:v>
      </x:c>
      <x:c r="AT14" s="60" t="n">
        <x:f>ROUND(AR14*AS14,0)</x:f>
        <x:v>2534</x:v>
      </x:c>
      <x:c r="AU14" s="60" t="n">
        <x:f>ROUND(AT14*F14,0)</x:f>
        <x:v>3168</x:v>
      </x:c>
      <x:c r="AV14" s="60" t="n">
        <x:f>MIN(MATCH(B14,'主线调参'!$M$11:$M$62,1),ROWS('主线调参'!$M$11:$M$62)-1)</x:f>
        <x:v>2</x:v>
      </x:c>
      <x:c r="AW14" s="62" t="n">
        <x:f>(B14-INDEX('主线调参'!$M$11:$M$62,AV14))/(INDEX('主线调参'!$M$11:$M$62,AV14+1)-INDEX('主线调参'!$M$11:$M$62,AV14))</x:f>
        <x:v>0</x:v>
      </x:c>
      <x:c r="AX14" s="60" t="n">
        <x:f>IF(AU14=0,0,ROUND(AU14,2-INT(LOG10(ABS(AU14)))))</x:f>
        <x:v>3170</x:v>
      </x:c>
      <x:c r="AY14" s="62" t="n">
        <x:f>AU14/AU13-1</x:f>
        <x:v>0.3266331658291457</x:v>
      </x:c>
    </x:row>
    <x:row r="15" ht="25" customHeight="1">
      <x:c r="A15" s="40" t="n">
        <x:f>'调前玩家曲线'!A15</x:f>
        <x:v>4</x:v>
      </x:c>
      <x:c r="B15" s="40" t="n">
        <x:f>'调前玩家曲线'!B15</x:f>
        <x:v>4</x:v>
      </x:c>
      <x:c r="C15" s="40" t="n">
        <x:f>'调前玩家曲线'!C15</x:f>
        <x:v>0</x:v>
      </x:c>
      <x:c r="D15" s="40" t="n">
        <x:f>'调前玩家曲线'!D15</x:f>
        <x:v>4</x:v>
      </x:c>
      <x:c r="E15" s="40" t="n">
        <x:f>'调前玩家曲线'!E15</x:f>
        <x:v>1</x:v>
      </x:c>
      <x:c r="F15" s="40" t="n">
        <x:f>'调前玩家曲线'!F15</x:f>
        <x:v>1.5</x:v>
      </x:c>
      <x:c r="G15" s="63" t="n">
        <x:f>IF(B15&lt;$G$8,0,(INDEX('主线调参'!$C$11:$C$62,$AV15)+(INDEX('主线调参'!$C$11:$C$62,$AV15+1)-INDEX('主线调参'!$C$11:$C$62,$AV15))*$AW15)*'参数说明'!$C$27)</x:f>
        <x:v>0.0405019214608875</x:v>
      </x:c>
      <x:c r="H15" s="63" t="n">
        <x:f>IF(B15&lt;$H$8,0,(INDEX('主线调参'!$D$11:$D$62,$AV15)+(INDEX('主线调参'!$D$11:$D$62,$AV15+1)-INDEX('主线调参'!$D$11:$D$62,$AV15))*$AW15)*'参数说明'!$D$27)</x:f>
        <x:v>0</x:v>
      </x:c>
      <x:c r="I15" s="63" t="n">
        <x:f>IF(B15&lt;$I$8,0,(INDEX('主线调参'!$E$11:$E$62,$AV15)+(INDEX('主线调参'!$E$11:$E$62,$AV15+1)-INDEX('主线调参'!$E$11:$E$62,$AV15))*$AW15)*'参数说明'!$E$27)</x:f>
        <x:v>0</x:v>
      </x:c>
      <x:c r="J15" s="63" t="n">
        <x:f>IF(B15&lt;$J$8,0,(INDEX('主线调参'!$F$11:$F$62,$AV15)+(INDEX('主线调参'!$F$11:$F$62,$AV15+1)-INDEX('主线调参'!$F$11:$F$62,$AV15))*$AW15)*'参数说明'!$F$27)</x:f>
        <x:v>0</x:v>
      </x:c>
      <x:c r="K15" s="63" t="n">
        <x:f>IF(B15&lt;$K$8,0,(INDEX('主线调参'!$G$11:$G$62,$AV15)+(INDEX('主线调参'!$G$11:$G$62,$AV15+1)-INDEX('主线调参'!$G$11:$G$62,$AV15))*$AW15)*'参数说明'!$G$27)</x:f>
        <x:v>0</x:v>
      </x:c>
      <x:c r="L15" s="63" t="n">
        <x:f>IF(B15&lt;$L$8,0,(INDEX('主线调参'!$H$11:$H$62,$AV15)+(INDEX('主线调参'!$H$11:$H$62,$AV15+1)-INDEX('主线调参'!$H$11:$H$62,$AV15))*$AW15)*'参数说明'!$H$27)</x:f>
        <x:v>0</x:v>
      </x:c>
      <x:c r="M15" s="59" t="n">
        <x:f>E15*'模块规划'!$F$10+G15*'模块规划'!$F$11+H15*'模块规划'!$F$13</x:f>
        <x:v>1194.40922301226</x:v>
      </x:c>
      <x:c r="N15" s="59" t="n">
        <x:f>I15*'模块规划'!$F$15+J15*'模块规划'!$F$17+K15*'模块规划'!$F$16+L15*'模块规划'!$F$18</x:f>
        <x:v>0</x:v>
      </x:c>
      <x:c r="O15" s="59" t="n">
        <x:f>1+O$9*SUMPRODUCT($H$10:$L$10,H15:L15)/SUM($H$10:$L$10)</x:f>
        <x:v>1</x:v>
      </x:c>
      <x:c r="P15" s="59" t="n">
        <x:f>M15*O15+N15</x:f>
        <x:v>1194.40922301226</x:v>
      </x:c>
      <x:c r="Q15" s="59" t="n">
        <x:f>P15/(P15+'_曲线基线'!$L$2)</x:f>
        <x:v>0.04740770908497039</x:v>
      </x:c>
      <x:c r="R15" s="59" t="n">
        <x:f>E15*'模块规划'!$E$10+G15*'模块规划'!$E$11+H15*'模块规划'!$E$13</x:f>
        <x:v>1791.61383451839</x:v>
      </x:c>
      <x:c r="S15" s="59" t="n">
        <x:f>I15*'模块规划'!$E$15+J15*'模块规划'!$E$17+K15*'模块规划'!$E$16+L15*'模块规划'!$E$18</x:f>
        <x:v>0</x:v>
      </x:c>
      <x:c r="T15" s="59" t="n">
        <x:f>1+T$9*SUMPRODUCT($H$10:$L$10,H15:L15)/SUM($H$10:$L$10)</x:f>
        <x:v>1</x:v>
      </x:c>
      <x:c r="U15" s="59" t="n">
        <x:f>R15*T15+S15</x:f>
        <x:v>1791.61383451839</x:v>
      </x:c>
      <x:c r="V15" s="59" t="n">
        <x:f>V$8+(V$9-V$8)*H15</x:f>
        <x:v>0.7</x:v>
      </x:c>
      <x:c r="W15" s="59" t="n">
        <x:f>IF(B15&lt;$H$8,0,W$8+(W$9-W$8)*H15)</x:f>
        <x:v>0</x:v>
      </x:c>
      <x:c r="X15" s="59" t="n">
        <x:f>X$8+(X$9-X$8)*H15</x:f>
        <x:v>0.275</x:v>
      </x:c>
      <x:c r="Y15" s="59" t="n">
        <x:f>Y$8+(Y$9-Y$8)*G15</x:f>
        <x:v>1</x:v>
      </x:c>
      <x:c r="Z15" s="59" t="n">
        <x:f>Z$8+(Z$9-Z$8)*H15</x:f>
        <x:v>1</x:v>
      </x:c>
      <x:c r="AA15" s="59" t="n">
        <x:f>AA$8+(AA$9-AA$8)*I15</x:f>
        <x:v>1</x:v>
      </x:c>
      <x:c r="AB15" s="59" t="n">
        <x:f>AB$8+(AB$9-AB$8)*J15</x:f>
        <x:v>1</x:v>
      </x:c>
      <x:c r="AC15" s="59" t="n">
        <x:f>AC$8+(AC$9-AC$8)*MAX(K15,L15)</x:f>
        <x:v>1</x:v>
      </x:c>
      <x:c r="AD15" s="59" t="n">
        <x:f>(V15*AE15+W15*AF15+X15*AG15)*PRODUCT(Y15:AC15)</x:f>
        <x:v>0.975</x:v>
      </x:c>
      <x:c r="AE15" s="59" t="n">
        <x:f>1+AE$9*($H$10*H15+$I$10*I15+$J$10*J15+$K$10*K15+$L$10*L15)</x:f>
        <x:v>1</x:v>
      </x:c>
      <x:c r="AF15" s="59" t="n">
        <x:f>1+AF$9*($H$10*H15+$I$10*I15+$J$10*J15+$K$10*K15+$L$10*L15)</x:f>
        <x:v>1</x:v>
      </x:c>
      <x:c r="AG15" s="59" t="n">
        <x:f>1+AG$9*($H$10*H15+$I$10*I15+$J$10*J15+$K$10*K15+$L$10*L15)</x:f>
        <x:v>1</x:v>
      </x:c>
      <x:c r="AH15" s="59" t="n">
        <x:f>MIN(1,'_曲线基线'!$L$3+AH$9*($H$10*H15+$I$10*I15+$J$10*J15+$K$10*K15+$L$10*L15))</x:f>
        <x:v>0.05</x:v>
      </x:c>
      <x:c r="AI15" s="59" t="n">
        <x:f>'_曲线基线'!$L$4+AI$9*($H$10*H15+$I$10*I15+$J$10*J15+$K$10*K15+$L$10*L15)</x:f>
        <x:v>2</x:v>
      </x:c>
      <x:c r="AJ15" s="59" t="n">
        <x:f>1+AJ$9*($H$10*H15+$I$10*I15+$J$10*J15+$K$10*K15+$L$10*L15)</x:f>
        <x:v>1</x:v>
      </x:c>
      <x:c r="AK15" s="59" t="n">
        <x:f>(1+AH15*(AI15-1))*AJ15</x:f>
        <x:v>1.05</x:v>
      </x:c>
      <x:c r="AL15" s="59" t="n">
        <x:f>U15*AD15*AK15*F15</x:f>
        <x:v>2751.2469946323026</x:v>
      </x:c>
      <x:c r="AM15" s="59" t="n">
        <x:f>IF($B15&lt;AM$8,0,AM$3+(AM$4-AM$3)*(POWER(AM$5,$B15-AM$8)-1)/(POWER(AM$5,$C$5-AM$8)-1))</x:f>
        <x:v>35.04067800142725</x:v>
      </x:c>
      <x:c r="AN15" s="59" t="n">
        <x:f>(((E15*'模块规划'!$D$10+G15*'模块规划'!$D$11+H15*'模块规划'!$D$13)*(1+'模块规划'!$G$14*H15)+(I15*'模块规划'!$D$15+J15*'模块规划'!$D$17+K15*'模块规划'!$D$16+L15*'模块规划'!$D$18))*(1+'模块规划'!$J$17*J15))*F15/(1-Q15)</x:f>
        <x:v>9403.885857597184</x:v>
      </x:c>
      <x:c r="AO15" s="59" t="n">
        <x:f>AL15*AM15</x:f>
        <x:v>96405.56004130497</x:v>
      </x:c>
      <x:c r="AP15" s="61" t="n">
        <x:f>IF(AO15="","",INDEX('_曲线基线'!$A$3:$A$502,MIN(ROWS('_曲线基线'!$A$3:$A$502),COUNTIF('_曲线基线'!$E$3:$E$502,"&lt;"&amp;AO15)+1)))</x:f>
        <x:v>9</x:v>
      </x:c>
      <x:c r="AQ15" s="61" t="n">
        <x:f>IF(B15&lt;=2,1,IF(B15&lt;=6,2,IF(B15&lt;=9,3,IF(B15&lt;=19,4,5))))</x:f>
        <x:v>2</x:v>
      </x:c>
      <x:c r="AR15" s="59" t="n">
        <x:f>AN15*(1-Q15)/F15*$AS$3+U15*$AS$4+P15*$AS$5</x:f>
        <x:v>537.484150355517</x:v>
      </x:c>
      <x:c r="AS15" s="59" t="n">
        <x:f>1+AH15*$AS$6+AI15*$AS$7+(AJ15-1)*$AS$8+($H$10*H15+$I$10*I15+$J$10*J15+$K$10*K15+$L$10*L15)*$AU$3*$AS$9+($H$10*H15+$I$10*I15+$J$10*J15+$K$10*K15+$L$10*L15)*$AU$4*$AS$10</x:f>
        <x:v>4.98158</x:v>
      </x:c>
      <x:c r="AT15" s="60" t="n">
        <x:f>ROUND(AR15*AS15,0)</x:f>
        <x:v>2678</x:v>
      </x:c>
      <x:c r="AU15" s="60" t="n">
        <x:f>ROUND(AT15*F15,0)</x:f>
        <x:v>4017</x:v>
      </x:c>
      <x:c r="AV15" s="60" t="n">
        <x:f>MIN(MATCH(B15,'主线调参'!$M$11:$M$62,1),ROWS('主线调参'!$M$11:$M$62)-1)</x:f>
        <x:v>3</x:v>
      </x:c>
      <x:c r="AW15" s="62" t="n">
        <x:f>(B15-INDEX('主线调参'!$M$11:$M$62,AV15))/(INDEX('主线调参'!$M$11:$M$62,AV15+1)-INDEX('主线调参'!$M$11:$M$62,AV15))</x:f>
        <x:v>0</x:v>
      </x:c>
      <x:c r="AX15" s="60" t="n">
        <x:f>IF(AU15=0,0,ROUND(AU15,2-INT(LOG10(ABS(AU15)))))</x:f>
        <x:v>4020</x:v>
      </x:c>
      <x:c r="AY15" s="62" t="n">
        <x:f>AU15/AU14-1</x:f>
        <x:v>0.2679924242424243</x:v>
      </x:c>
    </x:row>
    <x:row r="16" ht="25" customHeight="1">
      <x:c r="A16" s="40" t="n">
        <x:f>'调前玩家曲线'!A16</x:f>
        <x:v>5</x:v>
      </x:c>
      <x:c r="B16" s="40" t="n">
        <x:f>'调前玩家曲线'!B16</x:f>
        <x:v>5</x:v>
      </x:c>
      <x:c r="C16" s="40" t="n">
        <x:f>'调前玩家曲线'!C16</x:f>
        <x:v>1</x:v>
      </x:c>
      <x:c r="D16" s="40" t="n">
        <x:f>'调前玩家曲线'!D16</x:f>
        <x:v>1</x:v>
      </x:c>
      <x:c r="E16" s="40" t="n">
        <x:f>'调前玩家曲线'!E16</x:f>
        <x:v>1</x:v>
      </x:c>
      <x:c r="F16" s="40" t="n">
        <x:f>'调前玩家曲线'!F16</x:f>
        <x:v>1.75</x:v>
      </x:c>
      <x:c r="G16" s="63" t="n">
        <x:f>IF(B16&lt;$G$8,0,(INDEX('主线调参'!$C$11:$C$62,$AV16)+(INDEX('主线调参'!$C$11:$C$62,$AV16+1)-INDEX('主线调参'!$C$11:$C$62,$AV16))*$AW16)*'参数说明'!$C$27)</x:f>
        <x:v>0.05359958309347</x:v>
      </x:c>
      <x:c r="H16" s="63" t="n">
        <x:f>IF(B16&lt;$H$8,0,(INDEX('主线调参'!$D$11:$D$62,$AV16)+(INDEX('主线调参'!$D$11:$D$62,$AV16+1)-INDEX('主线调参'!$D$11:$D$62,$AV16))*$AW16)*'参数说明'!$D$27)</x:f>
        <x:v>0</x:v>
      </x:c>
      <x:c r="I16" s="63" t="n">
        <x:f>IF(B16&lt;$I$8,0,(INDEX('主线调参'!$E$11:$E$62,$AV16)+(INDEX('主线调参'!$E$11:$E$62,$AV16+1)-INDEX('主线调参'!$E$11:$E$62,$AV16))*$AW16)*'参数说明'!$E$27)</x:f>
        <x:v>0</x:v>
      </x:c>
      <x:c r="J16" s="63" t="n">
        <x:f>IF(B16&lt;$J$8,0,(INDEX('主线调参'!$F$11:$F$62,$AV16)+(INDEX('主线调参'!$F$11:$F$62,$AV16+1)-INDEX('主线调参'!$F$11:$F$62,$AV16))*$AW16)*'参数说明'!$F$27)</x:f>
        <x:v>0</x:v>
      </x:c>
      <x:c r="K16" s="63" t="n">
        <x:f>IF(B16&lt;$K$8,0,(INDEX('主线调参'!$G$11:$G$62,$AV16)+(INDEX('主线调参'!$G$11:$G$62,$AV16+1)-INDEX('主线调参'!$G$11:$G$62,$AV16))*$AW16)*'参数说明'!$G$27)</x:f>
        <x:v>0</x:v>
      </x:c>
      <x:c r="L16" s="63" t="n">
        <x:f>IF(B16&lt;$L$8,0,(INDEX('主线调参'!$H$11:$H$62,$AV16)+(INDEX('主线调参'!$H$11:$H$62,$AV16+1)-INDEX('主线调参'!$H$11:$H$62,$AV16))*$AW16)*'参数说明'!$H$27)</x:f>
        <x:v>0</x:v>
      </x:c>
      <x:c r="M16" s="59" t="n">
        <x:f>E16*'模块规划'!$F$10+G16*'模块规划'!$F$11+H16*'模块规划'!$F$13</x:f>
        <x:v>1257.277998848656</x:v>
      </x:c>
      <x:c r="N16" s="59" t="n">
        <x:f>I16*'模块规划'!$F$15+J16*'模块规划'!$F$17+K16*'模块规划'!$F$16+L16*'模块规划'!$F$18</x:f>
        <x:v>0</x:v>
      </x:c>
      <x:c r="O16" s="59" t="n">
        <x:f>1+O$9*SUMPRODUCT($H$10:$L$10,H16:L16)/SUM($H$10:$L$10)</x:f>
        <x:v>1</x:v>
      </x:c>
      <x:c r="P16" s="59" t="n">
        <x:f>M16*O16+N16</x:f>
        <x:v>1257.277998848656</x:v>
      </x:c>
      <x:c r="Q16" s="59" t="n">
        <x:f>P16/(P16+'_曲线基线'!$L$2)</x:f>
        <x:v>0.049778839940945674</x:v>
      </x:c>
      <x:c r="R16" s="59" t="n">
        <x:f>E16*'模块规划'!$E$10+G16*'模块规划'!$E$11+H16*'模块规划'!$E$13</x:f>
        <x:v>1885.916998272984</x:v>
      </x:c>
      <x:c r="S16" s="59" t="n">
        <x:f>I16*'模块规划'!$E$15+J16*'模块规划'!$E$17+K16*'模块规划'!$E$16+L16*'模块规划'!$E$18</x:f>
        <x:v>0</x:v>
      </x:c>
      <x:c r="T16" s="59" t="n">
        <x:f>1+T$9*SUMPRODUCT($H$10:$L$10,H16:L16)/SUM($H$10:$L$10)</x:f>
        <x:v>1</x:v>
      </x:c>
      <x:c r="U16" s="59" t="n">
        <x:f>R16*T16+S16</x:f>
        <x:v>1885.916998272984</x:v>
      </x:c>
      <x:c r="V16" s="59" t="n">
        <x:f>V$8+(V$9-V$8)*H16</x:f>
        <x:v>0.7</x:v>
      </x:c>
      <x:c r="W16" s="59" t="n">
        <x:f>IF(B16&lt;$H$8,0,W$8+(W$9-W$8)*H16)</x:f>
        <x:v>0</x:v>
      </x:c>
      <x:c r="X16" s="59" t="n">
        <x:f>X$8+(X$9-X$8)*H16</x:f>
        <x:v>0.275</x:v>
      </x:c>
      <x:c r="Y16" s="59" t="n">
        <x:f>Y$8+(Y$9-Y$8)*G16</x:f>
        <x:v>1</x:v>
      </x:c>
      <x:c r="Z16" s="59" t="n">
        <x:f>Z$8+(Z$9-Z$8)*H16</x:f>
        <x:v>1</x:v>
      </x:c>
      <x:c r="AA16" s="59" t="n">
        <x:f>AA$8+(AA$9-AA$8)*I16</x:f>
        <x:v>1</x:v>
      </x:c>
      <x:c r="AB16" s="59" t="n">
        <x:f>AB$8+(AB$9-AB$8)*J16</x:f>
        <x:v>1</x:v>
      </x:c>
      <x:c r="AC16" s="59" t="n">
        <x:f>AC$8+(AC$9-AC$8)*MAX(K16,L16)</x:f>
        <x:v>1</x:v>
      </x:c>
      <x:c r="AD16" s="59" t="n">
        <x:f>(V16*AE16+W16*AF16+X16*AG16)*PRODUCT(Y16:AC16)</x:f>
        <x:v>0.975</x:v>
      </x:c>
      <x:c r="AE16" s="59" t="n">
        <x:f>1+AE$9*($H$10*H16+$I$10*I16+$J$10*J16+$K$10*K16+$L$10*L16)</x:f>
        <x:v>1</x:v>
      </x:c>
      <x:c r="AF16" s="59" t="n">
        <x:f>1+AF$9*($H$10*H16+$I$10*I16+$J$10*J16+$K$10*K16+$L$10*L16)</x:f>
        <x:v>1</x:v>
      </x:c>
      <x:c r="AG16" s="59" t="n">
        <x:f>1+AG$9*($H$10*H16+$I$10*I16+$J$10*J16+$K$10*K16+$L$10*L16)</x:f>
        <x:v>1</x:v>
      </x:c>
      <x:c r="AH16" s="59" t="n">
        <x:f>MIN(1,'_曲线基线'!$L$3+AH$9*($H$10*H16+$I$10*I16+$J$10*J16+$K$10*K16+$L$10*L16))</x:f>
        <x:v>0.05</x:v>
      </x:c>
      <x:c r="AI16" s="59" t="n">
        <x:f>'_曲线基线'!$L$4+AI$9*($H$10*H16+$I$10*I16+$J$10*J16+$K$10*K16+$L$10*L16)</x:f>
        <x:v>2</x:v>
      </x:c>
      <x:c r="AJ16" s="59" t="n">
        <x:f>1+AJ$9*($H$10*H16+$I$10*I16+$J$10*J16+$K$10*K16+$L$10*L16)</x:f>
        <x:v>1</x:v>
      </x:c>
      <x:c r="AK16" s="59" t="n">
        <x:f>(1+AH16*(AI16-1))*AJ16</x:f>
        <x:v>1.05</x:v>
      </x:c>
      <x:c r="AL16" s="59" t="n">
        <x:f>U16*AD16*AK16*F16</x:f>
        <x:v>3378.738172218443</x:v>
      </x:c>
      <x:c r="AM16" s="59" t="n">
        <x:f>IF($B16&lt;AM$8,0,AM$3+(AM$4-AM$3)*(POWER(AM$5,$B16-AM$8)-1)/(POWER(AM$5,$C$5-AM$8)-1))</x:f>
        <x:v>35.05450942136339</x:v>
      </x:c>
      <x:c r="AN16" s="59" t="n">
        <x:f>(((E16*'模块规划'!$D$10+G16*'模块规划'!$D$11+H16*'模块规划'!$D$13)*(1+'模块规划'!$G$14*H16)+(I16*'模块规划'!$D$15+J16*'模块规划'!$D$17+K16*'模块规划'!$D$16+L16*'模块规划'!$D$18))*(1+'模块规划'!$J$17*J16))*F16/(1-Q16)</x:f>
        <x:v>11577.496852671688</x:v>
      </x:c>
      <x:c r="AO16" s="59" t="n">
        <x:f>AL16*AM16</x:f>
        <x:v>118440.00909035154</x:v>
      </x:c>
      <x:c r="AP16" s="61" t="n">
        <x:f>IF(AO16="","",INDEX('_曲线基线'!$A$3:$A$502,MIN(ROWS('_曲线基线'!$A$3:$A$502),COUNTIF('_曲线基线'!$E$3:$E$502,"&lt;"&amp;AO16)+1)))</x:f>
        <x:v>10</x:v>
      </x:c>
      <x:c r="AQ16" s="61" t="n">
        <x:f>IF(B16&lt;=2,1,IF(B16&lt;=6,2,IF(B16&lt;=9,3,IF(B16&lt;=19,4,5))))</x:f>
        <x:v>2</x:v>
      </x:c>
      <x:c r="AR16" s="59" t="n">
        <x:f>AN16*(1-Q16)/F16*$AS$3+U16*$AS$4+P16*$AS$5</x:f>
        <x:v>565.7750994818953</x:v>
      </x:c>
      <x:c r="AS16" s="59" t="n">
        <x:f>1+AH16*$AS$6+AI16*$AS$7+(AJ16-1)*$AS$8+($H$10*H16+$I$10*I16+$J$10*J16+$K$10*K16+$L$10*L16)*$AU$3*$AS$9+($H$10*H16+$I$10*I16+$J$10*J16+$K$10*K16+$L$10*L16)*$AU$4*$AS$10</x:f>
        <x:v>4.98158</x:v>
      </x:c>
      <x:c r="AT16" s="60" t="n">
        <x:f>ROUND(AR16*AS16,0)</x:f>
        <x:v>2818</x:v>
      </x:c>
      <x:c r="AU16" s="60" t="n">
        <x:f>ROUND(AT16*F16,0)</x:f>
        <x:v>4932</x:v>
      </x:c>
      <x:c r="AV16" s="60" t="n">
        <x:f>MIN(MATCH(B16,'主线调参'!$M$11:$M$62,1),ROWS('主线调参'!$M$11:$M$62)-1)</x:f>
        <x:v>4</x:v>
      </x:c>
      <x:c r="AW16" s="62" t="n">
        <x:f>(B16-INDEX('主线调参'!$M$11:$M$62,AV16))/(INDEX('主线调参'!$M$11:$M$62,AV16+1)-INDEX('主线调参'!$M$11:$M$62,AV16))</x:f>
        <x:v>0</x:v>
      </x:c>
      <x:c r="AX16" s="60" t="n">
        <x:f>IF(AU16=0,0,ROUND(AU16,2-INT(LOG10(ABS(AU16)))))</x:f>
        <x:v>4930</x:v>
      </x:c>
      <x:c r="AY16" s="62" t="n">
        <x:f>AU16/AU15-1</x:f>
        <x:v>0.22778192681105303</x:v>
      </x:c>
    </x:row>
    <x:row r="17" ht="25" customHeight="1">
      <x:c r="A17" s="40" t="n">
        <x:f>'调前玩家曲线'!A17</x:f>
        <x:v>6</x:v>
      </x:c>
      <x:c r="B17" s="40" t="n">
        <x:f>'调前玩家曲线'!B17</x:f>
        <x:v>6</x:v>
      </x:c>
      <x:c r="C17" s="40" t="n">
        <x:f>'调前玩家曲线'!C17</x:f>
        <x:v>1</x:v>
      </x:c>
      <x:c r="D17" s="40" t="n">
        <x:f>'调前玩家曲线'!D17</x:f>
        <x:v>2</x:v>
      </x:c>
      <x:c r="E17" s="40" t="n">
        <x:f>'调前玩家曲线'!E17</x:f>
        <x:v>1</x:v>
      </x:c>
      <x:c r="F17" s="40" t="n">
        <x:f>'调前玩家曲线'!F17</x:f>
        <x:v>2</x:v>
      </x:c>
      <x:c r="G17" s="63" t="n">
        <x:f>IF(B17&lt;$G$8,0,(INDEX('主线调参'!$C$11:$C$62,$AV17)+(INDEX('主线调参'!$C$11:$C$62,$AV17+1)-INDEX('主线调参'!$C$11:$C$62,$AV17))*$AW17)*'参数说明'!$C$27)</x:f>
        <x:v>0.0665007798015639</x:v>
      </x:c>
      <x:c r="H17" s="63" t="n">
        <x:f>IF(B17&lt;$H$8,0,(INDEX('主线调参'!$D$11:$D$62,$AV17)+(INDEX('主线调参'!$D$11:$D$62,$AV17+1)-INDEX('主线调参'!$D$11:$D$62,$AV17))*$AW17)*'参数说明'!$D$27)</x:f>
        <x:v>0</x:v>
      </x:c>
      <x:c r="I17" s="63" t="n">
        <x:f>IF(B17&lt;$I$8,0,(INDEX('主线调参'!$E$11:$E$62,$AV17)+(INDEX('主线调参'!$E$11:$E$62,$AV17+1)-INDEX('主线调参'!$E$11:$E$62,$AV17))*$AW17)*'参数说明'!$E$27)</x:f>
        <x:v>0</x:v>
      </x:c>
      <x:c r="J17" s="63" t="n">
        <x:f>IF(B17&lt;$J$8,0,(INDEX('主线调参'!$F$11:$F$62,$AV17)+(INDEX('主线调参'!$F$11:$F$62,$AV17+1)-INDEX('主线调参'!$F$11:$F$62,$AV17))*$AW17)*'参数说明'!$F$27)</x:f>
        <x:v>0</x:v>
      </x:c>
      <x:c r="K17" s="63" t="n">
        <x:f>IF(B17&lt;$K$8,0,(INDEX('主线调参'!$G$11:$G$62,$AV17)+(INDEX('主线调参'!$G$11:$G$62,$AV17+1)-INDEX('主线调参'!$G$11:$G$62,$AV17))*$AW17)*'参数说明'!$G$27)</x:f>
        <x:v>0</x:v>
      </x:c>
      <x:c r="L17" s="63" t="n">
        <x:f>IF(B17&lt;$L$8,0,(INDEX('主线调参'!$H$11:$H$62,$AV17)+(INDEX('主线调参'!$H$11:$H$62,$AV17+1)-INDEX('主线调参'!$H$11:$H$62,$AV17))*$AW17)*'参数说明'!$H$27)</x:f>
        <x:v>0</x:v>
      </x:c>
      <x:c r="M17" s="59" t="n">
        <x:f>E17*'模块规划'!$F$10+G17*'模块规划'!$F$11+H17*'模块规划'!$F$13</x:f>
        <x:v>1319.2037430475066</x:v>
      </x:c>
      <x:c r="N17" s="59" t="n">
        <x:f>I17*'模块规划'!$F$15+J17*'模块规划'!$F$17+K17*'模块规划'!$F$16+L17*'模块规划'!$F$18</x:f>
        <x:v>0</x:v>
      </x:c>
      <x:c r="O17" s="59" t="n">
        <x:f>1+O$9*SUMPRODUCT($H$10:$L$10,H17:L17)/SUM($H$10:$L$10)</x:f>
        <x:v>1</x:v>
      </x:c>
      <x:c r="P17" s="59" t="n">
        <x:f>M17*O17+N17</x:f>
        <x:v>1319.2037430475066</x:v>
      </x:c>
      <x:c r="Q17" s="59" t="n">
        <x:f>P17/(P17+'_曲线基线'!$L$2)</x:f>
        <x:v>0.05210289219343051</x:v>
      </x:c>
      <x:c r="R17" s="59" t="n">
        <x:f>E17*'模块规划'!$E$10+G17*'模块规划'!$E$11+H17*'模块规划'!$E$13</x:f>
        <x:v>1978.80561457126</x:v>
      </x:c>
      <x:c r="S17" s="59" t="n">
        <x:f>I17*'模块规划'!$E$15+J17*'模块规划'!$E$17+K17*'模块规划'!$E$16+L17*'模块规划'!$E$18</x:f>
        <x:v>0</x:v>
      </x:c>
      <x:c r="T17" s="59" t="n">
        <x:f>1+T$9*SUMPRODUCT($H$10:$L$10,H17:L17)/SUM($H$10:$L$10)</x:f>
        <x:v>1</x:v>
      </x:c>
      <x:c r="U17" s="59" t="n">
        <x:f>R17*T17+S17</x:f>
        <x:v>1978.80561457126</x:v>
      </x:c>
      <x:c r="V17" s="59" t="n">
        <x:f>V$8+(V$9-V$8)*H17</x:f>
        <x:v>0.7</x:v>
      </x:c>
      <x:c r="W17" s="59" t="n">
        <x:f>IF(B17&lt;$H$8,0,W$8+(W$9-W$8)*H17)</x:f>
        <x:v>0</x:v>
      </x:c>
      <x:c r="X17" s="59" t="n">
        <x:f>X$8+(X$9-X$8)*H17</x:f>
        <x:v>0.275</x:v>
      </x:c>
      <x:c r="Y17" s="59" t="n">
        <x:f>Y$8+(Y$9-Y$8)*G17</x:f>
        <x:v>1</x:v>
      </x:c>
      <x:c r="Z17" s="59" t="n">
        <x:f>Z$8+(Z$9-Z$8)*H17</x:f>
        <x:v>1</x:v>
      </x:c>
      <x:c r="AA17" s="59" t="n">
        <x:f>AA$8+(AA$9-AA$8)*I17</x:f>
        <x:v>1</x:v>
      </x:c>
      <x:c r="AB17" s="59" t="n">
        <x:f>AB$8+(AB$9-AB$8)*J17</x:f>
        <x:v>1</x:v>
      </x:c>
      <x:c r="AC17" s="59" t="n">
        <x:f>AC$8+(AC$9-AC$8)*MAX(K17,L17)</x:f>
        <x:v>1</x:v>
      </x:c>
      <x:c r="AD17" s="59" t="n">
        <x:f>(V17*AE17+W17*AF17+X17*AG17)*PRODUCT(Y17:AC17)</x:f>
        <x:v>0.975</x:v>
      </x:c>
      <x:c r="AE17" s="59" t="n">
        <x:f>1+AE$9*($H$10*H17+$I$10*I17+$J$10*J17+$K$10*K17+$L$10*L17)</x:f>
        <x:v>1</x:v>
      </x:c>
      <x:c r="AF17" s="59" t="n">
        <x:f>1+AF$9*($H$10*H17+$I$10*I17+$J$10*J17+$K$10*K17+$L$10*L17)</x:f>
        <x:v>1</x:v>
      </x:c>
      <x:c r="AG17" s="59" t="n">
        <x:f>1+AG$9*($H$10*H17+$I$10*I17+$J$10*J17+$K$10*K17+$L$10*L17)</x:f>
        <x:v>1</x:v>
      </x:c>
      <x:c r="AH17" s="59" t="n">
        <x:f>MIN(1,'_曲线基线'!$L$3+AH$9*($H$10*H17+$I$10*I17+$J$10*J17+$K$10*K17+$L$10*L17))</x:f>
        <x:v>0.05</x:v>
      </x:c>
      <x:c r="AI17" s="59" t="n">
        <x:f>'_曲线基线'!$L$4+AI$9*($H$10*H17+$I$10*I17+$J$10*J17+$K$10*K17+$L$10*L17)</x:f>
        <x:v>2</x:v>
      </x:c>
      <x:c r="AJ17" s="59" t="n">
        <x:f>1+AJ$9*($H$10*H17+$I$10*I17+$J$10*J17+$K$10*K17+$L$10*L17)</x:f>
        <x:v>1</x:v>
      </x:c>
      <x:c r="AK17" s="59" t="n">
        <x:f>(1+AH17*(AI17-1))*AJ17</x:f>
        <x:v>1.05</x:v>
      </x:c>
      <x:c r="AL17" s="59" t="n">
        <x:f>U17*AD17*AK17*F17</x:f>
        <x:v>4051.604495834655</x:v>
      </x:c>
      <x:c r="AM17" s="59" t="n">
        <x:f>IF($B17&lt;AM$8,0,AM$3+(AM$4-AM$3)*(POWER(AM$5,$B17-AM$8)-1)/(POWER(AM$5,$C$5-AM$8)-1))</x:f>
        <x:v>35.0684791554989</x:v>
      </x:c>
      <x:c r="AN17" s="59" t="n">
        <x:f>(((E17*'模块规划'!$D$10+G17*'模块规划'!$D$11+H17*'模块规划'!$D$13)*(1+'模块规划'!$G$14*H17)+(I17*'模块规划'!$D$15+J17*'模块规划'!$D$17+K17*'模块规划'!$D$16+L17*'模块规划'!$D$18))*(1+'模块规划'!$J$17*J17))*F17/(1-Q17)</x:f>
        <x:v>13917.161812004464</x:v>
      </x:c>
      <x:c r="AO17" s="59" t="n">
        <x:f>AL17*AM17</x:f>
        <x:v>142083.60780850323</x:v>
      </x:c>
      <x:c r="AP17" s="61" t="n">
        <x:f>IF(AO17="","",INDEX('_曲线基线'!$A$3:$A$502,MIN(ROWS('_曲线基线'!$A$3:$A$502),COUNTIF('_曲线基线'!$E$3:$E$502,"&lt;"&amp;AO17)+1)))</x:f>
        <x:v>12</x:v>
      </x:c>
      <x:c r="AQ17" s="61" t="n">
        <x:f>IF(B17&lt;=2,1,IF(B17&lt;=6,2,IF(B17&lt;=9,3,IF(B17&lt;=19,4,5))))</x:f>
        <x:v>2</x:v>
      </x:c>
      <x:c r="AR17" s="59" t="n">
        <x:f>AN17*(1-Q17)/F17*$AS$3+U17*$AS$4+P17*$AS$5</x:f>
        <x:v>593.641684371378</x:v>
      </x:c>
      <x:c r="AS17" s="59" t="n">
        <x:f>1+AH17*$AS$6+AI17*$AS$7+(AJ17-1)*$AS$8+($H$10*H17+$I$10*I17+$J$10*J17+$K$10*K17+$L$10*L17)*$AU$3*$AS$9+($H$10*H17+$I$10*I17+$J$10*J17+$K$10*K17+$L$10*L17)*$AU$4*$AS$10</x:f>
        <x:v>4.98158</x:v>
      </x:c>
      <x:c r="AT17" s="60" t="n">
        <x:f>ROUND(AR17*AS17,0)</x:f>
        <x:v>2957</x:v>
      </x:c>
      <x:c r="AU17" s="60" t="n">
        <x:f>ROUND(AT17*F17,0)</x:f>
        <x:v>5914</x:v>
      </x:c>
      <x:c r="AV17" s="60" t="n">
        <x:f>MIN(MATCH(B17,'主线调参'!$M$11:$M$62,1),ROWS('主线调参'!$M$11:$M$62)-1)</x:f>
        <x:v>5</x:v>
      </x:c>
      <x:c r="AW17" s="62" t="n">
        <x:f>(B17-INDEX('主线调参'!$M$11:$M$62,AV17))/(INDEX('主线调参'!$M$11:$M$62,AV17+1)-INDEX('主线调参'!$M$11:$M$62,AV17))</x:f>
        <x:v>0</x:v>
      </x:c>
      <x:c r="AX17" s="60" t="n">
        <x:f>IF(AU17=0,0,ROUND(AU17,2-INT(LOG10(ABS(AU17)))))</x:f>
        <x:v>5910</x:v>
      </x:c>
      <x:c r="AY17" s="62" t="n">
        <x:f>AU17/AU16-1</x:f>
        <x:v>0.19910786699107863</x:v>
      </x:c>
    </x:row>
    <x:row r="18" ht="25" customHeight="1">
      <x:c r="A18" s="40" t="n">
        <x:f>'调前玩家曲线'!A18</x:f>
        <x:v>6</x:v>
      </x:c>
      <x:c r="B18" s="40" t="n">
        <x:f>'调前玩家曲线'!B18</x:f>
        <x:v>7</x:v>
      </x:c>
      <x:c r="C18" s="40" t="n">
        <x:f>'调前玩家曲线'!C18</x:f>
        <x:v>1</x:v>
      </x:c>
      <x:c r="D18" s="40" t="n">
        <x:f>'调前玩家曲线'!D18</x:f>
        <x:v>3</x:v>
      </x:c>
      <x:c r="E18" s="40" t="n">
        <x:f>'调前玩家曲线'!E18</x:f>
        <x:v>1</x:v>
      </x:c>
      <x:c r="F18" s="40" t="n">
        <x:f>'调前玩家曲线'!F18</x:f>
        <x:v>2.3333333333333335</x:v>
      </x:c>
      <x:c r="G18" s="63" t="n">
        <x:f>IF(B18&lt;$G$8,0,(INDEX('主线调参'!$C$11:$C$62,$AV18)+(INDEX('主线调参'!$C$11:$C$62,$AV18+1)-INDEX('主线调参'!$C$11:$C$62,$AV18))*$AW18)*'参数说明'!$C$27)</x:f>
        <x:v>0.0792084585590362</x:v>
      </x:c>
      <x:c r="H18" s="63" t="n">
        <x:f>IF(B18&lt;$H$8,0,(INDEX('主线调参'!$D$11:$D$62,$AV18)+(INDEX('主线调参'!$D$11:$D$62,$AV18+1)-INDEX('主线调参'!$D$11:$D$62,$AV18))*$AW18)*'参数说明'!$D$27)</x:f>
        <x:v>0</x:v>
      </x:c>
      <x:c r="I18" s="63" t="n">
        <x:f>IF(B18&lt;$I$8,0,(INDEX('主线调参'!$E$11:$E$62,$AV18)+(INDEX('主线调参'!$E$11:$E$62,$AV18+1)-INDEX('主线调参'!$E$11:$E$62,$AV18))*$AW18)*'参数说明'!$E$27)</x:f>
        <x:v>0</x:v>
      </x:c>
      <x:c r="J18" s="63" t="n">
        <x:f>IF(B18&lt;$J$8,0,(INDEX('主线调参'!$F$11:$F$62,$AV18)+(INDEX('主线调参'!$F$11:$F$62,$AV18+1)-INDEX('主线调参'!$F$11:$F$62,$AV18))*$AW18)*'参数说明'!$F$27)</x:f>
        <x:v>0</x:v>
      </x:c>
      <x:c r="K18" s="63" t="n">
        <x:f>IF(B18&lt;$K$8,0,(INDEX('主线调参'!$G$11:$G$62,$AV18)+(INDEX('主线调参'!$G$11:$G$62,$AV18+1)-INDEX('主线调参'!$G$11:$G$62,$AV18))*$AW18)*'参数说明'!$G$27)</x:f>
        <x:v>0</x:v>
      </x:c>
      <x:c r="L18" s="63" t="n">
        <x:f>IF(B18&lt;$L$8,0,(INDEX('主线调参'!$H$11:$H$62,$AV18)+(INDEX('主线调参'!$H$11:$H$62,$AV18+1)-INDEX('主线调参'!$H$11:$H$62,$AV18))*$AW18)*'参数说明'!$H$27)</x:f>
        <x:v>0</x:v>
      </x:c>
      <x:c r="M18" s="59" t="n">
        <x:f>E18*'模块规划'!$F$10+G18*'模块规划'!$F$11+H18*'模块规划'!$F$13</x:f>
        <x:v>1380.2006010833738</x:v>
      </x:c>
      <x:c r="N18" s="59" t="n">
        <x:f>I18*'模块规划'!$F$15+J18*'模块规划'!$F$17+K18*'模块规划'!$F$16+L18*'模块规划'!$F$18</x:f>
        <x:v>0</x:v>
      </x:c>
      <x:c r="O18" s="59" t="n">
        <x:f>1+O$9*SUMPRODUCT($H$10:$L$10,H18:L18)/SUM($H$10:$L$10)</x:f>
        <x:v>1</x:v>
      </x:c>
      <x:c r="P18" s="59" t="n">
        <x:f>M18*O18+N18</x:f>
        <x:v>1380.2006010833738</x:v>
      </x:c>
      <x:c r="Q18" s="59" t="n">
        <x:f>P18/(P18+'_曲线基线'!$L$2)</x:f>
        <x:v>0.05438099654044732</x:v>
      </x:c>
      <x:c r="R18" s="59" t="n">
        <x:f>E18*'模块规划'!$E$10+G18*'模块规划'!$E$11+H18*'模块规划'!$E$13</x:f>
        <x:v>2070.3009016250608</x:v>
      </x:c>
      <x:c r="S18" s="59" t="n">
        <x:f>I18*'模块规划'!$E$15+J18*'模块规划'!$E$17+K18*'模块规划'!$E$16+L18*'模块规划'!$E$18</x:f>
        <x:v>0</x:v>
      </x:c>
      <x:c r="T18" s="59" t="n">
        <x:f>1+T$9*SUMPRODUCT($H$10:$L$10,H18:L18)/SUM($H$10:$L$10)</x:f>
        <x:v>1</x:v>
      </x:c>
      <x:c r="U18" s="59" t="n">
        <x:f>R18*T18+S18</x:f>
        <x:v>2070.3009016250608</x:v>
      </x:c>
      <x:c r="V18" s="59" t="n">
        <x:f>V$8+(V$9-V$8)*H18</x:f>
        <x:v>0.7</x:v>
      </x:c>
      <x:c r="W18" s="59" t="n">
        <x:f>IF(B18&lt;$H$8,0,W$8+(W$9-W$8)*H18)</x:f>
        <x:v>0</x:v>
      </x:c>
      <x:c r="X18" s="59" t="n">
        <x:f>X$8+(X$9-X$8)*H18</x:f>
        <x:v>0.275</x:v>
      </x:c>
      <x:c r="Y18" s="59" t="n">
        <x:f>Y$8+(Y$9-Y$8)*G18</x:f>
        <x:v>1</x:v>
      </x:c>
      <x:c r="Z18" s="59" t="n">
        <x:f>Z$8+(Z$9-Z$8)*H18</x:f>
        <x:v>1</x:v>
      </x:c>
      <x:c r="AA18" s="59" t="n">
        <x:f>AA$8+(AA$9-AA$8)*I18</x:f>
        <x:v>1</x:v>
      </x:c>
      <x:c r="AB18" s="59" t="n">
        <x:f>AB$8+(AB$9-AB$8)*J18</x:f>
        <x:v>1</x:v>
      </x:c>
      <x:c r="AC18" s="59" t="n">
        <x:f>AC$8+(AC$9-AC$8)*MAX(K18,L18)</x:f>
        <x:v>1</x:v>
      </x:c>
      <x:c r="AD18" s="59" t="n">
        <x:f>(V18*AE18+W18*AF18+X18*AG18)*PRODUCT(Y18:AC18)</x:f>
        <x:v>0.975</x:v>
      </x:c>
      <x:c r="AE18" s="59" t="n">
        <x:f>1+AE$9*($H$10*H18+$I$10*I18+$J$10*J18+$K$10*K18+$L$10*L18)</x:f>
        <x:v>1</x:v>
      </x:c>
      <x:c r="AF18" s="59" t="n">
        <x:f>1+AF$9*($H$10*H18+$I$10*I18+$J$10*J18+$K$10*K18+$L$10*L18)</x:f>
        <x:v>1</x:v>
      </x:c>
      <x:c r="AG18" s="59" t="n">
        <x:f>1+AG$9*($H$10*H18+$I$10*I18+$J$10*J18+$K$10*K18+$L$10*L18)</x:f>
        <x:v>1</x:v>
      </x:c>
      <x:c r="AH18" s="59" t="n">
        <x:f>MIN(1,'_曲线基线'!$L$3+AH$9*($H$10*H18+$I$10*I18+$J$10*J18+$K$10*K18+$L$10*L18))</x:f>
        <x:v>0.05</x:v>
      </x:c>
      <x:c r="AI18" s="59" t="n">
        <x:f>'_曲线基线'!$L$4+AI$9*($H$10*H18+$I$10*I18+$J$10*J18+$K$10*K18+$L$10*L18)</x:f>
        <x:v>2</x:v>
      </x:c>
      <x:c r="AJ18" s="59" t="n">
        <x:f>1+AJ$9*($H$10*H18+$I$10*I18+$J$10*J18+$K$10*K18+$L$10*L18)</x:f>
        <x:v>1</x:v>
      </x:c>
      <x:c r="AK18" s="59" t="n">
        <x:f>(1+AH18*(AI18-1))*AJ18</x:f>
        <x:v>1.05</x:v>
      </x:c>
      <x:c r="AL18" s="59" t="n">
        <x:f>U18*AD18*AK18*F18</x:f>
        <x:v>4945.431278756864</x:v>
      </x:c>
      <x:c r="AM18" s="59" t="n">
        <x:f>IF($B18&lt;AM$8,0,AM$3+(AM$4-AM$3)*(POWER(AM$5,$B18-AM$8)-1)/(POWER(AM$5,$C$5-AM$8)-1))</x:f>
        <x:v>35.08258858697575</x:v>
      </x:c>
      <x:c r="AN18" s="59" t="n">
        <x:f>(((E18*'模块规划'!$D$10+G18*'模块规划'!$D$11+H18*'模块规划'!$D$13)*(1+'模块规划'!$G$14*H18)+(I18*'模块规划'!$D$15+J18*'模块规划'!$D$17+K18*'模块规划'!$D$16+L18*'模块规划'!$D$18))*(1+'模块规划'!$J$17*J18))*F18/(1-Q18)</x:f>
        <x:v>17028.359505321056</x:v>
      </x:c>
      <x:c r="AO18" s="59" t="n">
        <x:f>AL18*AM18</x:f>
        <x:v>173498.53093778846</x:v>
      </x:c>
      <x:c r="AP18" s="61" t="n">
        <x:f>IF(AO18="","",INDEX('_曲线基线'!$A$3:$A$502,MIN(ROWS('_曲线基线'!$A$3:$A$502),COUNTIF('_曲线基线'!$E$3:$E$502,"&lt;"&amp;AO18)+1)))</x:f>
        <x:v>14</x:v>
      </x:c>
      <x:c r="AQ18" s="61" t="n">
        <x:f>IF(B18&lt;=2,1,IF(B18&lt;=6,2,IF(B18&lt;=9,3,IF(B18&lt;=19,4,5))))</x:f>
        <x:v>3</x:v>
      </x:c>
      <x:c r="AR18" s="59" t="n">
        <x:f>AN18*(1-Q18)/F18*$AS$3+U18*$AS$4+P18*$AS$5</x:f>
        <x:v>621.0902704875183</x:v>
      </x:c>
      <x:c r="AS18" s="59" t="n">
        <x:f>1+AH18*$AS$6+AI18*$AS$7+(AJ18-1)*$AS$8+($H$10*H18+$I$10*I18+$J$10*J18+$K$10*K18+$L$10*L18)*$AU$3*$AS$9+($H$10*H18+$I$10*I18+$J$10*J18+$K$10*K18+$L$10*L18)*$AU$4*$AS$10</x:f>
        <x:v>4.98158</x:v>
      </x:c>
      <x:c r="AT18" s="60" t="n">
        <x:f>ROUND(AR18*AS18,0)</x:f>
        <x:v>3094</x:v>
      </x:c>
      <x:c r="AU18" s="60" t="n">
        <x:f>ROUND(AT18*F18,0)</x:f>
        <x:v>7219</x:v>
      </x:c>
      <x:c r="AV18" s="60" t="n">
        <x:f>MIN(MATCH(B18,'主线调参'!$M$11:$M$62,1),ROWS('主线调参'!$M$11:$M$62)-1)</x:f>
        <x:v>6</x:v>
      </x:c>
      <x:c r="AW18" s="62" t="n">
        <x:f>(B18-INDEX('主线调参'!$M$11:$M$62,AV18))/(INDEX('主线调参'!$M$11:$M$62,AV18+1)-INDEX('主线调参'!$M$11:$M$62,AV18))</x:f>
        <x:v>0</x:v>
      </x:c>
      <x:c r="AX18" s="60" t="n">
        <x:f>IF(AU18=0,0,ROUND(AU18,2-INT(LOG10(ABS(AU18)))))</x:f>
        <x:v>7220</x:v>
      </x:c>
      <x:c r="AY18" s="62" t="n">
        <x:f>AU18/AU17-1</x:f>
        <x:v>0.22066283395333097</x:v>
      </x:c>
    </x:row>
    <x:row r="19" ht="25" customHeight="1">
      <x:c r="A19" s="40" t="n">
        <x:f>'调前玩家曲线'!A19</x:f>
        <x:v>7</x:v>
      </x:c>
      <x:c r="B19" s="40" t="n">
        <x:f>'调前玩家曲线'!B19</x:f>
        <x:v>8</x:v>
      </x:c>
      <x:c r="C19" s="40" t="n">
        <x:f>'调前玩家曲线'!C19</x:f>
        <x:v>1</x:v>
      </x:c>
      <x:c r="D19" s="40" t="n">
        <x:f>'调前玩家曲线'!D19</x:f>
        <x:v>4</x:v>
      </x:c>
      <x:c r="E19" s="40" t="n">
        <x:f>'调前玩家曲线'!E19</x:f>
        <x:v>1</x:v>
      </x:c>
      <x:c r="F19" s="40" t="n">
        <x:f>'调前玩家曲线'!F19</x:f>
        <x:v>2.6666666666666665</x:v>
      </x:c>
      <x:c r="G19" s="63" t="n">
        <x:f>IF(B19&lt;$G$8,0,(INDEX('主线调参'!$C$11:$C$62,$AV19)+(INDEX('主线调参'!$C$11:$C$62,$AV19+1)-INDEX('主线调参'!$C$11:$C$62,$AV19))*$AW19)*'参数说明'!$C$27)</x:f>
        <x:v>0.0916316441583256</x:v>
      </x:c>
      <x:c r="H19" s="63" t="n">
        <x:f>IF(B19&lt;$H$8,0,(INDEX('主线调参'!$D$11:$D$62,$AV19)+(INDEX('主线调参'!$D$11:$D$62,$AV19+1)-INDEX('主线调参'!$D$11:$D$62,$AV19))*$AW19)*'参数说明'!$D$27)</x:f>
        <x:v>0</x:v>
      </x:c>
      <x:c r="I19" s="63" t="n">
        <x:f>IF(B19&lt;$I$8,0,(INDEX('主线调参'!$E$11:$E$62,$AV19)+(INDEX('主线调参'!$E$11:$E$62,$AV19+1)-INDEX('主线调参'!$E$11:$E$62,$AV19))*$AW19)*'参数说明'!$E$27)</x:f>
        <x:v>0</x:v>
      </x:c>
      <x:c r="J19" s="63" t="n">
        <x:f>IF(B19&lt;$J$8,0,(INDEX('主线调参'!$F$11:$F$62,$AV19)+(INDEX('主线调参'!$F$11:$F$62,$AV19+1)-INDEX('主线调参'!$F$11:$F$62,$AV19))*$AW19)*'参数说明'!$F$27)</x:f>
        <x:v>0</x:v>
      </x:c>
      <x:c r="K19" s="63" t="n">
        <x:f>IF(B19&lt;$K$8,0,(INDEX('主线调参'!$G$11:$G$62,$AV19)+(INDEX('主线调参'!$G$11:$G$62,$AV19+1)-INDEX('主线调参'!$G$11:$G$62,$AV19))*$AW19)*'参数说明'!$G$27)</x:f>
        <x:v>0</x:v>
      </x:c>
      <x:c r="L19" s="63" t="n">
        <x:f>IF(B19&lt;$L$8,0,(INDEX('主线调参'!$H$11:$H$62,$AV19)+(INDEX('主线调参'!$H$11:$H$62,$AV19+1)-INDEX('主线调参'!$H$11:$H$62,$AV19))*$AW19)*'参数说明'!$H$27)</x:f>
        <x:v>0</x:v>
      </x:c>
      <x:c r="M19" s="59" t="n">
        <x:f>E19*'模块规划'!$F$10+G19*'模块规划'!$F$11+H19*'模块规划'!$F$13</x:f>
        <x:v>1439.8318919599628</x:v>
      </x:c>
      <x:c r="N19" s="59" t="n">
        <x:f>I19*'模块规划'!$F$15+J19*'模块规划'!$F$17+K19*'模块规划'!$F$16+L19*'模块规划'!$F$18</x:f>
        <x:v>0</x:v>
      </x:c>
      <x:c r="O19" s="59" t="n">
        <x:f>1+O$9*SUMPRODUCT($H$10:$L$10,H19:L19)/SUM($H$10:$L$10)</x:f>
        <x:v>1</x:v>
      </x:c>
      <x:c r="P19" s="59" t="n">
        <x:f>M19*O19+N19</x:f>
        <x:v>1439.8318919599628</x:v>
      </x:c>
      <x:c r="Q19" s="59" t="n">
        <x:f>P19/(P19+'_曲线基线'!$L$2)</x:f>
        <x:v>0.056597539562162326</x:v>
      </x:c>
      <x:c r="R19" s="59" t="n">
        <x:f>E19*'模块规划'!$E$10+G19*'模块规划'!$E$11+H19*'模块规划'!$E$13</x:f>
        <x:v>2159.7478379399445</x:v>
      </x:c>
      <x:c r="S19" s="59" t="n">
        <x:f>I19*'模块规划'!$E$15+J19*'模块规划'!$E$17+K19*'模块规划'!$E$16+L19*'模块规划'!$E$18</x:f>
        <x:v>0</x:v>
      </x:c>
      <x:c r="T19" s="59" t="n">
        <x:f>1+T$9*SUMPRODUCT($H$10:$L$10,H19:L19)/SUM($H$10:$L$10)</x:f>
        <x:v>1</x:v>
      </x:c>
      <x:c r="U19" s="59" t="n">
        <x:f>R19*T19+S19</x:f>
        <x:v>2159.7478379399445</x:v>
      </x:c>
      <x:c r="V19" s="59" t="n">
        <x:f>V$8+(V$9-V$8)*H19</x:f>
        <x:v>0.7</x:v>
      </x:c>
      <x:c r="W19" s="59" t="n">
        <x:f>IF(B19&lt;$H$8,0,W$8+(W$9-W$8)*H19)</x:f>
        <x:v>0</x:v>
      </x:c>
      <x:c r="X19" s="59" t="n">
        <x:f>X$8+(X$9-X$8)*H19</x:f>
        <x:v>0.275</x:v>
      </x:c>
      <x:c r="Y19" s="59" t="n">
        <x:f>Y$8+(Y$9-Y$8)*G19</x:f>
        <x:v>1</x:v>
      </x:c>
      <x:c r="Z19" s="59" t="n">
        <x:f>Z$8+(Z$9-Z$8)*H19</x:f>
        <x:v>1</x:v>
      </x:c>
      <x:c r="AA19" s="59" t="n">
        <x:f>AA$8+(AA$9-AA$8)*I19</x:f>
        <x:v>1</x:v>
      </x:c>
      <x:c r="AB19" s="59" t="n">
        <x:f>AB$8+(AB$9-AB$8)*J19</x:f>
        <x:v>1</x:v>
      </x:c>
      <x:c r="AC19" s="59" t="n">
        <x:f>AC$8+(AC$9-AC$8)*MAX(K19,L19)</x:f>
        <x:v>1</x:v>
      </x:c>
      <x:c r="AD19" s="59" t="n">
        <x:f>(V19*AE19+W19*AF19+X19*AG19)*PRODUCT(Y19:AC19)</x:f>
        <x:v>0.975</x:v>
      </x:c>
      <x:c r="AE19" s="59" t="n">
        <x:f>1+AE$9*($H$10*H19+$I$10*I19+$J$10*J19+$K$10*K19+$L$10*L19)</x:f>
        <x:v>1</x:v>
      </x:c>
      <x:c r="AF19" s="59" t="n">
        <x:f>1+AF$9*($H$10*H19+$I$10*I19+$J$10*J19+$K$10*K19+$L$10*L19)</x:f>
        <x:v>1</x:v>
      </x:c>
      <x:c r="AG19" s="59" t="n">
        <x:f>1+AG$9*($H$10*H19+$I$10*I19+$J$10*J19+$K$10*K19+$L$10*L19)</x:f>
        <x:v>1</x:v>
      </x:c>
      <x:c r="AH19" s="59" t="n">
        <x:f>MIN(1,'_曲线基线'!$L$3+AH$9*($H$10*H19+$I$10*I19+$J$10*J19+$K$10*K19+$L$10*L19))</x:f>
        <x:v>0.05</x:v>
      </x:c>
      <x:c r="AI19" s="59" t="n">
        <x:f>'_曲线基线'!$L$4+AI$9*($H$10*H19+$I$10*I19+$J$10*J19+$K$10*K19+$L$10*L19)</x:f>
        <x:v>2</x:v>
      </x:c>
      <x:c r="AJ19" s="59" t="n">
        <x:f>1+AJ$9*($H$10*H19+$I$10*I19+$J$10*J19+$K$10*K19+$L$10*L19)</x:f>
        <x:v>1</x:v>
      </x:c>
      <x:c r="AK19" s="59" t="n">
        <x:f>(1+AH19*(AI19-1))*AJ19</x:f>
        <x:v>1.05</x:v>
      </x:c>
      <x:c r="AL19" s="59" t="n">
        <x:f>U19*AD19*AK19*F19</x:f>
        <x:v>5896.111597576049</x:v>
      </x:c>
      <x:c r="AM19" s="59" t="n">
        <x:f>IF($B19&lt;AM$8,0,AM$3+(AM$4-AM$3)*(POWER(AM$5,$B19-AM$8)-1)/(POWER(AM$5,$C$5-AM$8)-1))</x:f>
        <x:v>35.096839112767384</x:v>
      </x:c>
      <x:c r="AN19" s="59" t="n">
        <x:f>(((E19*'模块规划'!$D$10+G19*'模块规划'!$D$11+H19*'模块规划'!$D$13)*(1+'模块规划'!$G$14*H19)+(I19*'模块规划'!$D$15+J19*'模块规划'!$D$17+K19*'模块规划'!$D$16+L19*'模块规划'!$D$18))*(1+'模块规划'!$J$17*J19))*F19/(1-Q19)</x:f>
        <x:v>20349.489602302285</x:v>
      </x:c>
      <x:c r="AO19" s="59" t="n">
        <x:f>AL19*AM19</x:f>
        <x:v>206934.88013104844</x:v>
      </x:c>
      <x:c r="AP19" s="61" t="n">
        <x:f>IF(AO19="","",INDEX('_曲线基线'!$A$3:$A$502,MIN(ROWS('_曲线基线'!$A$3:$A$502),COUNTIF('_曲线基线'!$E$3:$E$502,"&lt;"&amp;AO19)+1)))</x:f>
        <x:v>17</x:v>
      </x:c>
      <x:c r="AQ19" s="61" t="n">
        <x:f>IF(B19&lt;=2,1,IF(B19&lt;=6,2,IF(B19&lt;=9,3,IF(B19&lt;=19,4,5))))</x:f>
        <x:v>3</x:v>
      </x:c>
      <x:c r="AR19" s="59" t="n">
        <x:f>AN19*(1-Q19)/F19*$AS$3+U19*$AS$4+P19*$AS$5</x:f>
        <x:v>647.9243513819833</x:v>
      </x:c>
      <x:c r="AS19" s="59" t="n">
        <x:f>1+AH19*$AS$6+AI19*$AS$7+(AJ19-1)*$AS$8+($H$10*H19+$I$10*I19+$J$10*J19+$K$10*K19+$L$10*L19)*$AU$3*$AS$9+($H$10*H19+$I$10*I19+$J$10*J19+$K$10*K19+$L$10*L19)*$AU$4*$AS$10</x:f>
        <x:v>4.98158</x:v>
      </x:c>
      <x:c r="AT19" s="60" t="n">
        <x:f>ROUND(AR19*AS19,0)</x:f>
        <x:v>3228</x:v>
      </x:c>
      <x:c r="AU19" s="60" t="n">
        <x:f>ROUND(AT19*F19,0)</x:f>
        <x:v>8608</x:v>
      </x:c>
      <x:c r="AV19" s="60" t="n">
        <x:f>MIN(MATCH(B19,'主线调参'!$M$11:$M$62,1),ROWS('主线调参'!$M$11:$M$62)-1)</x:f>
        <x:v>6</x:v>
      </x:c>
      <x:c r="AW19" s="62" t="n">
        <x:f>(B19-INDEX('主线调参'!$M$11:$M$62,AV19))/(INDEX('主线调参'!$M$11:$M$62,AV19+1)-INDEX('主线调参'!$M$11:$M$62,AV19))</x:f>
        <x:v>0.5</x:v>
      </x:c>
      <x:c r="AX19" s="60" t="n">
        <x:f>IF(AU19=0,0,ROUND(AU19,2-INT(LOG10(ABS(AU19)))))</x:f>
        <x:v>8610</x:v>
      </x:c>
      <x:c r="AY19" s="62" t="n">
        <x:f>AU19/AU18-1</x:f>
        <x:v>0.19240892090317208</x:v>
      </x:c>
    </x:row>
    <x:row r="20" ht="25" customHeight="1">
      <x:c r="A20" s="40" t="n">
        <x:f>'调前玩家曲线'!A20</x:f>
        <x:v>8</x:v>
      </x:c>
      <x:c r="B20" s="40" t="n">
        <x:f>'调前玩家曲线'!B20</x:f>
        <x:v>9</x:v>
      </x:c>
      <x:c r="C20" s="40" t="n">
        <x:f>'调前玩家曲线'!C20</x:f>
        <x:v>1</x:v>
      </x:c>
      <x:c r="D20" s="40" t="n">
        <x:f>'调前玩家曲线'!D20</x:f>
        <x:v>5</x:v>
      </x:c>
      <x:c r="E20" s="40" t="n">
        <x:f>'调前玩家曲线'!E20</x:f>
        <x:v>1</x:v>
      </x:c>
      <x:c r="F20" s="40" t="n">
        <x:f>'调前玩家曲线'!F20</x:f>
        <x:v>3</x:v>
      </x:c>
      <x:c r="G20" s="63" t="n">
        <x:f>IF(B20&lt;$G$8,0,(INDEX('主线调参'!$C$11:$C$62,$AV20)+(INDEX('主线调参'!$C$11:$C$62,$AV20+1)-INDEX('主线调参'!$C$11:$C$62,$AV20))*$AW20)*'参数说明'!$C$27)</x:f>
        <x:v>0.104054829757615</x:v>
      </x:c>
      <x:c r="H20" s="63" t="n">
        <x:f>IF(B20&lt;$H$8,0,(INDEX('主线调参'!$D$11:$D$62,$AV20)+(INDEX('主线调参'!$D$11:$D$62,$AV20+1)-INDEX('主线调参'!$D$11:$D$62,$AV20))*$AW20)*'参数说明'!$D$27)</x:f>
        <x:v>0</x:v>
      </x:c>
      <x:c r="I20" s="63" t="n">
        <x:f>IF(B20&lt;$I$8,0,(INDEX('主线调参'!$E$11:$E$62,$AV20)+(INDEX('主线调参'!$E$11:$E$62,$AV20+1)-INDEX('主线调参'!$E$11:$E$62,$AV20))*$AW20)*'参数说明'!$E$27)</x:f>
        <x:v>0</x:v>
      </x:c>
      <x:c r="J20" s="63" t="n">
        <x:f>IF(B20&lt;$J$8,0,(INDEX('主线调参'!$F$11:$F$62,$AV20)+(INDEX('主线调参'!$F$11:$F$62,$AV20+1)-INDEX('主线调参'!$F$11:$F$62,$AV20))*$AW20)*'参数说明'!$F$27)</x:f>
        <x:v>0</x:v>
      </x:c>
      <x:c r="K20" s="63" t="n">
        <x:f>IF(B20&lt;$K$8,0,(INDEX('主线调参'!$G$11:$G$62,$AV20)+(INDEX('主线调参'!$G$11:$G$62,$AV20+1)-INDEX('主线调参'!$G$11:$G$62,$AV20))*$AW20)*'参数说明'!$G$27)</x:f>
        <x:v>0</x:v>
      </x:c>
      <x:c r="L20" s="63" t="n">
        <x:f>IF(B20&lt;$L$8,0,(INDEX('主线调参'!$H$11:$H$62,$AV20)+(INDEX('主线调参'!$H$11:$H$62,$AV20+1)-INDEX('主线调参'!$H$11:$H$62,$AV20))*$AW20)*'参数说明'!$H$27)</x:f>
        <x:v>0</x:v>
      </x:c>
      <x:c r="M20" s="59" t="n">
        <x:f>E20*'模块规划'!$F$10+G20*'模块规划'!$F$11+H20*'模块规划'!$F$13</x:f>
        <x:v>1499.463182836552</x:v>
      </x:c>
      <x:c r="N20" s="59" t="n">
        <x:f>I20*'模块规划'!$F$15+J20*'模块规划'!$F$17+K20*'模块规划'!$F$16+L20*'模块规划'!$F$18</x:f>
        <x:v>0</x:v>
      </x:c>
      <x:c r="O20" s="59" t="n">
        <x:f>1+O$9*SUMPRODUCT($H$10:$L$10,H20:L20)/SUM($H$10:$L$10)</x:f>
        <x:v>1</x:v>
      </x:c>
      <x:c r="P20" s="59" t="n">
        <x:f>M20*O20+N20</x:f>
        <x:v>1499.463182836552</x:v>
      </x:c>
      <x:c r="Q20" s="59" t="n">
        <x:f>P20/(P20+'_曲线基线'!$L$2)</x:f>
        <x:v>0.05880371567374119</x:v>
      </x:c>
      <x:c r="R20" s="59" t="n">
        <x:f>E20*'模块规划'!$E$10+G20*'模块规划'!$E$11+H20*'模块规划'!$E$13</x:f>
        <x:v>2249.194774254828</x:v>
      </x:c>
      <x:c r="S20" s="59" t="n">
        <x:f>I20*'模块规划'!$E$15+J20*'模块规划'!$E$17+K20*'模块规划'!$E$16+L20*'模块规划'!$E$18</x:f>
        <x:v>0</x:v>
      </x:c>
      <x:c r="T20" s="59" t="n">
        <x:f>1+T$9*SUMPRODUCT($H$10:$L$10,H20:L20)/SUM($H$10:$L$10)</x:f>
        <x:v>1</x:v>
      </x:c>
      <x:c r="U20" s="59" t="n">
        <x:f>R20*T20+S20</x:f>
        <x:v>2249.194774254828</x:v>
      </x:c>
      <x:c r="V20" s="59" t="n">
        <x:f>V$8+(V$9-V$8)*H20</x:f>
        <x:v>0.7</x:v>
      </x:c>
      <x:c r="W20" s="59" t="n">
        <x:f>IF(B20&lt;$H$8,0,W$8+(W$9-W$8)*H20)</x:f>
        <x:v>0</x:v>
      </x:c>
      <x:c r="X20" s="59" t="n">
        <x:f>X$8+(X$9-X$8)*H20</x:f>
        <x:v>0.275</x:v>
      </x:c>
      <x:c r="Y20" s="59" t="n">
        <x:f>Y$8+(Y$9-Y$8)*G20</x:f>
        <x:v>1</x:v>
      </x:c>
      <x:c r="Z20" s="59" t="n">
        <x:f>Z$8+(Z$9-Z$8)*H20</x:f>
        <x:v>1</x:v>
      </x:c>
      <x:c r="AA20" s="59" t="n">
        <x:f>AA$8+(AA$9-AA$8)*I20</x:f>
        <x:v>1</x:v>
      </x:c>
      <x:c r="AB20" s="59" t="n">
        <x:f>AB$8+(AB$9-AB$8)*J20</x:f>
        <x:v>1</x:v>
      </x:c>
      <x:c r="AC20" s="59" t="n">
        <x:f>AC$8+(AC$9-AC$8)*MAX(K20,L20)</x:f>
        <x:v>1</x:v>
      </x:c>
      <x:c r="AD20" s="59" t="n">
        <x:f>(V20*AE20+W20*AF20+X20*AG20)*PRODUCT(Y20:AC20)</x:f>
        <x:v>0.975</x:v>
      </x:c>
      <x:c r="AE20" s="59" t="n">
        <x:f>1+AE$9*($H$10*H20+$I$10*I20+$J$10*J20+$K$10*K20+$L$10*L20)</x:f>
        <x:v>1</x:v>
      </x:c>
      <x:c r="AF20" s="59" t="n">
        <x:f>1+AF$9*($H$10*H20+$I$10*I20+$J$10*J20+$K$10*K20+$L$10*L20)</x:f>
        <x:v>1</x:v>
      </x:c>
      <x:c r="AG20" s="59" t="n">
        <x:f>1+AG$9*($H$10*H20+$I$10*I20+$J$10*J20+$K$10*K20+$L$10*L20)</x:f>
        <x:v>1</x:v>
      </x:c>
      <x:c r="AH20" s="59" t="n">
        <x:f>MIN(1,'_曲线基线'!$L$3+AH$9*($H$10*H20+$I$10*I20+$J$10*J20+$K$10*K20+$L$10*L20))</x:f>
        <x:v>0.05</x:v>
      </x:c>
      <x:c r="AI20" s="59" t="n">
        <x:f>'_曲线基线'!$L$4+AI$9*($H$10*H20+$I$10*I20+$J$10*J20+$K$10*K20+$L$10*L20)</x:f>
        <x:v>2</x:v>
      </x:c>
      <x:c r="AJ20" s="59" t="n">
        <x:f>1+AJ$9*($H$10*H20+$I$10*I20+$J$10*J20+$K$10*K20+$L$10*L20)</x:f>
        <x:v>1</x:v>
      </x:c>
      <x:c r="AK20" s="59" t="n">
        <x:f>(1+AH20*(AI20-1))*AJ20</x:f>
        <x:v>1.05</x:v>
      </x:c>
      <x:c r="AL20" s="59" t="n">
        <x:f>U20*AD20*AK20*F20</x:f>
        <x:v>6907.839450430141</x:v>
      </x:c>
      <x:c r="AM20" s="59" t="n">
        <x:f>IF($B20&lt;AM$8,0,AM$3+(AM$4-AM$3)*(POWER(AM$5,$B20-AM$8)-1)/(POWER(AM$5,$C$5-AM$8)-1))</x:f>
        <x:v>35.11123214381692</x:v>
      </x:c>
      <x:c r="AN20" s="59" t="n">
        <x:f>(((E20*'模块规划'!$D$10+G20*'模块规划'!$D$11+H20*'模块规划'!$D$13)*(1+'模块规划'!$G$14*H20)+(I20*'模块规划'!$D$15+J20*'模块规划'!$D$17+K20*'模块规划'!$D$16+L20*'模块规划'!$D$18))*(1+'模块规划'!$J$17*J20))*F20/(1-Q20)</x:f>
        <x:v>23897.191390474734</x:v>
      </x:c>
      <x:c r="AO20" s="59" t="n">
        <x:f>AL20*AM20</x:f>
        <x:v>242542.75455626938</x:v>
      </x:c>
      <x:c r="AP20" s="61" t="n">
        <x:f>IF(AO20="","",INDEX('_曲线基线'!$A$3:$A$502,MIN(ROWS('_曲线基线'!$A$3:$A$502),COUNTIF('_曲线基线'!$E$3:$E$502,"&lt;"&amp;AO20)+1)))</x:f>
        <x:v>19</x:v>
      </x:c>
      <x:c r="AQ20" s="61" t="n">
        <x:f>IF(B20&lt;=2,1,IF(B20&lt;=6,2,IF(B20&lt;=9,3,IF(B20&lt;=19,4,5))))</x:f>
        <x:v>3</x:v>
      </x:c>
      <x:c r="AR20" s="59" t="n">
        <x:f>AN20*(1-Q20)/F20*$AS$3+U20*$AS$4+P20*$AS$5</x:f>
        <x:v>674.7584322764484</x:v>
      </x:c>
      <x:c r="AS20" s="59" t="n">
        <x:f>1+AH20*$AS$6+AI20*$AS$7+(AJ20-1)*$AS$8+($H$10*H20+$I$10*I20+$J$10*J20+$K$10*K20+$L$10*L20)*$AU$3*$AS$9+($H$10*H20+$I$10*I20+$J$10*J20+$K$10*K20+$L$10*L20)*$AU$4*$AS$10</x:f>
        <x:v>4.98158</x:v>
      </x:c>
      <x:c r="AT20" s="60" t="n">
        <x:f>ROUND(AR20*AS20,0)</x:f>
        <x:v>3361</x:v>
      </x:c>
      <x:c r="AU20" s="60" t="n">
        <x:f>ROUND(AT20*F20,0)</x:f>
        <x:v>10083</x:v>
      </x:c>
      <x:c r="AV20" s="60" t="n">
        <x:f>MIN(MATCH(B20,'主线调参'!$M$11:$M$62,1),ROWS('主线调参'!$M$11:$M$62)-1)</x:f>
        <x:v>7</x:v>
      </x:c>
      <x:c r="AW20" s="62" t="n">
        <x:f>(B20-INDEX('主线调参'!$M$11:$M$62,AV20))/(INDEX('主线调参'!$M$11:$M$62,AV20+1)-INDEX('主线调参'!$M$11:$M$62,AV20))</x:f>
        <x:v>0</x:v>
      </x:c>
      <x:c r="AX20" s="60" t="n">
        <x:f>IF(AU20=0,0,ROUND(AU20,2-INT(LOG10(ABS(AU20)))))</x:f>
        <x:v>10100</x:v>
      </x:c>
      <x:c r="AY20" s="62" t="n">
        <x:f>AU20/AU19-1</x:f>
        <x:v>0.1713522304832713</x:v>
      </x:c>
    </x:row>
    <x:row r="21" ht="25" customHeight="1">
      <x:c r="A21" s="40" t="n">
        <x:f>'调前玩家曲线'!A21</x:f>
        <x:v>9</x:v>
      </x:c>
      <x:c r="B21" s="40" t="n">
        <x:f>'调前玩家曲线'!B21</x:f>
        <x:v>10</x:v>
      </x:c>
      <x:c r="C21" s="40" t="n">
        <x:f>'调前玩家曲线'!C21</x:f>
        <x:v>1</x:v>
      </x:c>
      <x:c r="D21" s="40" t="n">
        <x:f>'调前玩家曲线'!D21</x:f>
        <x:v>6</x:v>
      </x:c>
      <x:c r="E21" s="40" t="n">
        <x:f>'调前玩家曲线'!E21</x:f>
        <x:v>1</x:v>
      </x:c>
      <x:c r="F21" s="40" t="n">
        <x:f>'调前玩家曲线'!F21</x:f>
        <x:v>3.2</x:v>
      </x:c>
      <x:c r="G21" s="63" t="n">
        <x:f>IF(B21&lt;$G$8,0,(INDEX('主线调参'!$C$11:$C$62,$AV21)+(INDEX('主线调参'!$C$11:$C$62,$AV21+1)-INDEX('主线调参'!$C$11:$C$62,$AV21))*$AW21)*'参数说明'!$C$27)</x:f>
        <x:v>0.11619919776574701</x:v>
      </x:c>
      <x:c r="H21" s="63" t="n">
        <x:f>IF(B21&lt;$H$8,0,(INDEX('主线调参'!$D$11:$D$62,$AV21)+(INDEX('主线调参'!$D$11:$D$62,$AV21+1)-INDEX('主线调参'!$D$11:$D$62,$AV21))*$AW21)*'参数说明'!$D$27)</x:f>
        <x:v>0</x:v>
      </x:c>
      <x:c r="I21" s="63" t="n">
        <x:f>IF(B21&lt;$I$8,0,(INDEX('主线调参'!$E$11:$E$62,$AV21)+(INDEX('主线调参'!$E$11:$E$62,$AV21+1)-INDEX('主线调参'!$E$11:$E$62,$AV21))*$AW21)*'参数说明'!$E$27)</x:f>
        <x:v>0</x:v>
      </x:c>
      <x:c r="J21" s="63" t="n">
        <x:f>IF(B21&lt;$J$8,0,(INDEX('主线调参'!$F$11:$F$62,$AV21)+(INDEX('主线调参'!$F$11:$F$62,$AV21+1)-INDEX('主线调参'!$F$11:$F$62,$AV21))*$AW21)*'参数说明'!$F$27)</x:f>
        <x:v>0</x:v>
      </x:c>
      <x:c r="K21" s="63" t="n">
        <x:f>IF(B21&lt;$K$8,0,(INDEX('主线调参'!$G$11:$G$62,$AV21)+(INDEX('主线调参'!$G$11:$G$62,$AV21+1)-INDEX('主线调参'!$G$11:$G$62,$AV21))*$AW21)*'参数说明'!$G$27)</x:f>
        <x:v>0</x:v>
      </x:c>
      <x:c r="L21" s="63" t="n">
        <x:f>IF(B21&lt;$L$8,0,(INDEX('主线调参'!$H$11:$H$62,$AV21)+(INDEX('主线调参'!$H$11:$H$62,$AV21+1)-INDEX('主线调参'!$H$11:$H$62,$AV21))*$AW21)*'参数说明'!$H$27)</x:f>
        <x:v>0</x:v>
      </x:c>
      <x:c r="M21" s="59" t="n">
        <x:f>E21*'模块规划'!$F$10+G21*'模块规划'!$F$11+H21*'模块规划'!$F$13</x:f>
        <x:v>1557.7561492755858</x:v>
      </x:c>
      <x:c r="N21" s="59" t="n">
        <x:f>I21*'模块规划'!$F$15+J21*'模块规划'!$F$17+K21*'模块规划'!$F$16+L21*'模块规划'!$F$18</x:f>
        <x:v>0</x:v>
      </x:c>
      <x:c r="O21" s="59" t="n">
        <x:f>1+O$9*SUMPRODUCT($H$10:$L$10,H21:L21)/SUM($H$10:$L$10)</x:f>
        <x:v>1</x:v>
      </x:c>
      <x:c r="P21" s="59" t="n">
        <x:f>M21*O21+N21</x:f>
        <x:v>1557.7561492755858</x:v>
      </x:c>
      <x:c r="Q21" s="59" t="n">
        <x:f>P21/(P21+'_曲线基线'!$L$2)</x:f>
        <x:v>0.060950426953648634</x:v>
      </x:c>
      <x:c r="R21" s="59" t="n">
        <x:f>E21*'模块规划'!$E$10+G21*'模块规划'!$E$11+H21*'模块规划'!$E$13</x:f>
        <x:v>2336.6342239133783</x:v>
      </x:c>
      <x:c r="S21" s="59" t="n">
        <x:f>I21*'模块规划'!$E$15+J21*'模块规划'!$E$17+K21*'模块规划'!$E$16+L21*'模块规划'!$E$18</x:f>
        <x:v>0</x:v>
      </x:c>
      <x:c r="T21" s="59" t="n">
        <x:f>1+T$9*SUMPRODUCT($H$10:$L$10,H21:L21)/SUM($H$10:$L$10)</x:f>
        <x:v>1</x:v>
      </x:c>
      <x:c r="U21" s="59" t="n">
        <x:f>R21*T21+S21</x:f>
        <x:v>2336.6342239133783</x:v>
      </x:c>
      <x:c r="V21" s="59" t="n">
        <x:f>V$8+(V$9-V$8)*H21</x:f>
        <x:v>0.7</x:v>
      </x:c>
      <x:c r="W21" s="59" t="n">
        <x:f>IF(B21&lt;$H$8,0,W$8+(W$9-W$8)*H21)</x:f>
        <x:v>0</x:v>
      </x:c>
      <x:c r="X21" s="59" t="n">
        <x:f>X$8+(X$9-X$8)*H21</x:f>
        <x:v>0.275</x:v>
      </x:c>
      <x:c r="Y21" s="59" t="n">
        <x:f>Y$8+(Y$9-Y$8)*G21</x:f>
        <x:v>1</x:v>
      </x:c>
      <x:c r="Z21" s="59" t="n">
        <x:f>Z$8+(Z$9-Z$8)*H21</x:f>
        <x:v>1</x:v>
      </x:c>
      <x:c r="AA21" s="59" t="n">
        <x:f>AA$8+(AA$9-AA$8)*I21</x:f>
        <x:v>1</x:v>
      </x:c>
      <x:c r="AB21" s="59" t="n">
        <x:f>AB$8+(AB$9-AB$8)*J21</x:f>
        <x:v>1</x:v>
      </x:c>
      <x:c r="AC21" s="59" t="n">
        <x:f>AC$8+(AC$9-AC$8)*MAX(K21,L21)</x:f>
        <x:v>1</x:v>
      </x:c>
      <x:c r="AD21" s="59" t="n">
        <x:f>(V21*AE21+W21*AF21+X21*AG21)*PRODUCT(Y21:AC21)</x:f>
        <x:v>0.975</x:v>
      </x:c>
      <x:c r="AE21" s="59" t="n">
        <x:f>1+AE$9*($H$10*H21+$I$10*I21+$J$10*J21+$K$10*K21+$L$10*L21)</x:f>
        <x:v>1</x:v>
      </x:c>
      <x:c r="AF21" s="59" t="n">
        <x:f>1+AF$9*($H$10*H21+$I$10*I21+$J$10*J21+$K$10*K21+$L$10*L21)</x:f>
        <x:v>1</x:v>
      </x:c>
      <x:c r="AG21" s="59" t="n">
        <x:f>1+AG$9*($H$10*H21+$I$10*I21+$J$10*J21+$K$10*K21+$L$10*L21)</x:f>
        <x:v>1</x:v>
      </x:c>
      <x:c r="AH21" s="59" t="n">
        <x:f>MIN(1,'_曲线基线'!$L$3+AH$9*($H$10*H21+$I$10*I21+$J$10*J21+$K$10*K21+$L$10*L21))</x:f>
        <x:v>0.05</x:v>
      </x:c>
      <x:c r="AI21" s="59" t="n">
        <x:f>'_曲线基线'!$L$4+AI$9*($H$10*H21+$I$10*I21+$J$10*J21+$K$10*K21+$L$10*L21)</x:f>
        <x:v>2</x:v>
      </x:c>
      <x:c r="AJ21" s="59" t="n">
        <x:f>1+AJ$9*($H$10*H21+$I$10*I21+$J$10*J21+$K$10*K21+$L$10*L21)</x:f>
        <x:v>1</x:v>
      </x:c>
      <x:c r="AK21" s="59" t="n">
        <x:f>(1+AH21*(AI21-1))*AJ21</x:f>
        <x:v>1.05</x:v>
      </x:c>
      <x:c r="AL21" s="59" t="n">
        <x:f>U21*AD21*AK21*F21</x:f>
        <x:v>7654.813717540227</x:v>
      </x:c>
      <x:c r="AM21" s="59" t="n">
        <x:f>IF($B21&lt;AM$8,0,AM$3+(AM$4-AM$3)*(POWER(AM$5,$B21-AM$8)-1)/(POWER(AM$5,$C$5-AM$8)-1))</x:f>
        <x:v>35.125769105176964</x:v>
      </x:c>
      <x:c r="AN21" s="59" t="n">
        <x:f>(((E21*'模块规划'!$D$10+G21*'模块规划'!$D$11+H21*'模块规划'!$D$13)*(1+'模块规划'!$G$14*H21)+(I21*'模块规划'!$D$15+J21*'模块规划'!$D$17+K21*'模块规划'!$D$16+L21*'模块规划'!$D$18))*(1+'模块规划'!$J$17*J21))*F21/(1-Q21)</x:f>
        <x:v>26541.83453547997</x:v>
      </x:c>
      <x:c r="AO21" s="59" t="n">
        <x:f>AL21*AM21</x:f>
        <x:v>268881.2191854593</x:v>
      </x:c>
      <x:c r="AP21" s="61" t="n">
        <x:f>IF(AO21="","",INDEX('_曲线基线'!$A$3:$A$502,MIN(ROWS('_曲线基线'!$A$3:$A$502),COUNTIF('_曲线基线'!$E$3:$E$502,"&lt;"&amp;AO21)+1)))</x:f>
        <x:v>21</x:v>
      </x:c>
      <x:c r="AQ21" s="61" t="n">
        <x:f>IF(B21&lt;=2,1,IF(B21&lt;=6,2,IF(B21&lt;=9,3,IF(B21&lt;=19,4,5))))</x:f>
        <x:v>4</x:v>
      </x:c>
      <x:c r="AR21" s="59" t="n">
        <x:f>AN21*(1-Q21)/F21*$AS$3+U21*$AS$4+P21*$AS$5</x:f>
        <x:v>700.9902671740135</x:v>
      </x:c>
      <x:c r="AS21" s="59" t="n">
        <x:f>1+AH21*$AS$6+AI21*$AS$7+(AJ21-1)*$AS$8+($H$10*H21+$I$10*I21+$J$10*J21+$K$10*K21+$L$10*L21)*$AU$3*$AS$9+($H$10*H21+$I$10*I21+$J$10*J21+$K$10*K21+$L$10*L21)*$AU$4*$AS$10</x:f>
        <x:v>4.98158</x:v>
      </x:c>
      <x:c r="AT21" s="60" t="n">
        <x:f>ROUND(AR21*AS21,0)</x:f>
        <x:v>3492</x:v>
      </x:c>
      <x:c r="AU21" s="60" t="n">
        <x:f>ROUND(AT21*F21,0)</x:f>
        <x:v>11174</x:v>
      </x:c>
      <x:c r="AV21" s="60" t="n">
        <x:f>MIN(MATCH(B21,'主线调参'!$M$11:$M$62,1),ROWS('主线调参'!$M$11:$M$62)-1)</x:f>
        <x:v>8</x:v>
      </x:c>
      <x:c r="AW21" s="62" t="n">
        <x:f>(B21-INDEX('主线调参'!$M$11:$M$62,AV21))/(INDEX('主线调参'!$M$11:$M$62,AV21+1)-INDEX('主线调参'!$M$11:$M$62,AV21))</x:f>
        <x:v>0</x:v>
      </x:c>
      <x:c r="AX21" s="60" t="n">
        <x:f>IF(AU21=0,0,ROUND(AU21,2-INT(LOG10(ABS(AU21)))))</x:f>
        <x:v>11200</x:v>
      </x:c>
      <x:c r="AY21" s="62" t="n">
        <x:f>AU21/AU20-1</x:f>
        <x:v>0.10820192403054651</x:v>
      </x:c>
    </x:row>
    <x:row r="22" ht="25" customHeight="1">
      <x:c r="A22" s="40" t="n">
        <x:f>'调前玩家曲线'!A22</x:f>
        <x:v>10</x:v>
      </x:c>
      <x:c r="B22" s="40" t="n">
        <x:f>'调前玩家曲线'!B22</x:f>
        <x:v>11</x:v>
      </x:c>
      <x:c r="C22" s="40" t="n">
        <x:f>'调前玩家曲线'!C22</x:f>
        <x:v>1</x:v>
      </x:c>
      <x:c r="D22" s="40" t="n">
        <x:f>'调前玩家曲线'!D22</x:f>
        <x:v>7</x:v>
      </x:c>
      <x:c r="E22" s="40" t="n">
        <x:f>'调前玩家曲线'!E22</x:f>
        <x:v>1</x:v>
      </x:c>
      <x:c r="F22" s="40" t="n">
        <x:f>'调前玩家曲线'!F22</x:f>
        <x:v>3.4</x:v>
      </x:c>
      <x:c r="G22" s="63" t="n">
        <x:f>IF(B22&lt;$G$8,0,(INDEX('主线调参'!$C$11:$C$62,$AV22)+(INDEX('主线调参'!$C$11:$C$62,$AV22+1)-INDEX('主线调参'!$C$11:$C$62,$AV22))*$AW22)*'参数说明'!$C$27)</x:f>
        <x:v>0.1280716837350965</x:v>
      </x:c>
      <x:c r="H22" s="63" t="n">
        <x:f>IF(B22&lt;$H$8,0,(INDEX('主线调参'!$D$11:$D$62,$AV22)+(INDEX('主线调参'!$D$11:$D$62,$AV22+1)-INDEX('主线调参'!$D$11:$D$62,$AV22))*$AW22)*'参数说明'!$D$27)</x:f>
        <x:v>0</x:v>
      </x:c>
      <x:c r="I22" s="63" t="n">
        <x:f>IF(B22&lt;$I$8,0,(INDEX('主线调参'!$E$11:$E$62,$AV22)+(INDEX('主线调参'!$E$11:$E$62,$AV22+1)-INDEX('主线调参'!$E$11:$E$62,$AV22))*$AW22)*'参数说明'!$E$27)</x:f>
        <x:v>0</x:v>
      </x:c>
      <x:c r="J22" s="63" t="n">
        <x:f>IF(B22&lt;$J$8,0,(INDEX('主线调参'!$F$11:$F$62,$AV22)+(INDEX('主线调参'!$F$11:$F$62,$AV22+1)-INDEX('主线调参'!$F$11:$F$62,$AV22))*$AW22)*'参数说明'!$F$27)</x:f>
        <x:v>0</x:v>
      </x:c>
      <x:c r="K22" s="63" t="n">
        <x:f>IF(B22&lt;$K$8,0,(INDEX('主线调参'!$G$11:$G$62,$AV22)+(INDEX('主线调参'!$G$11:$G$62,$AV22+1)-INDEX('主线调参'!$G$11:$G$62,$AV22))*$AW22)*'参数说明'!$G$27)</x:f>
        <x:v>0</x:v>
      </x:c>
      <x:c r="L22" s="63" t="n">
        <x:f>IF(B22&lt;$L$8,0,(INDEX('主线调参'!$H$11:$H$62,$AV22)+(INDEX('主线调参'!$H$11:$H$62,$AV22+1)-INDEX('主线调参'!$H$11:$H$62,$AV22))*$AW22)*'参数说明'!$H$27)</x:f>
        <x:v>0</x:v>
      </x:c>
      <x:c r="M22" s="59" t="n">
        <x:f>E22*'模块规划'!$F$10+G22*'模块规划'!$F$11+H22*'模块规划'!$F$13</x:f>
        <x:v>1614.7440819284632</x:v>
      </x:c>
      <x:c r="N22" s="59" t="n">
        <x:f>I22*'模块规划'!$F$15+J22*'模块规划'!$F$17+K22*'模块规划'!$F$16+L22*'模块规划'!$F$18</x:f>
        <x:v>0</x:v>
      </x:c>
      <x:c r="O22" s="59" t="n">
        <x:f>1+O$9*SUMPRODUCT($H$10:$L$10,H22:L22)/SUM($H$10:$L$10)</x:f>
        <x:v>1</x:v>
      </x:c>
      <x:c r="P22" s="59" t="n">
        <x:f>M22*O22+N22</x:f>
        <x:v>1614.7440819284632</x:v>
      </x:c>
      <x:c r="Q22" s="59" t="n">
        <x:f>P22/(P22+'_曲线基线'!$L$2)</x:f>
        <x:v>0.0630396336096009</x:v>
      </x:c>
      <x:c r="R22" s="59" t="n">
        <x:f>E22*'模块规划'!$E$10+G22*'模块规划'!$E$11+H22*'模块规划'!$E$13</x:f>
        <x:v>2422.116122892695</x:v>
      </x:c>
      <x:c r="S22" s="59" t="n">
        <x:f>I22*'模块规划'!$E$15+J22*'模块规划'!$E$17+K22*'模块规划'!$E$16+L22*'模块规划'!$E$18</x:f>
        <x:v>0</x:v>
      </x:c>
      <x:c r="T22" s="59" t="n">
        <x:f>1+T$9*SUMPRODUCT($H$10:$L$10,H22:L22)/SUM($H$10:$L$10)</x:f>
        <x:v>1</x:v>
      </x:c>
      <x:c r="U22" s="59" t="n">
        <x:f>R22*T22+S22</x:f>
        <x:v>2422.116122892695</x:v>
      </x:c>
      <x:c r="V22" s="59" t="n">
        <x:f>V$8+(V$9-V$8)*H22</x:f>
        <x:v>0.7</x:v>
      </x:c>
      <x:c r="W22" s="59" t="n">
        <x:f>IF(B22&lt;$H$8,0,W$8+(W$9-W$8)*H22)</x:f>
        <x:v>0</x:v>
      </x:c>
      <x:c r="X22" s="59" t="n">
        <x:f>X$8+(X$9-X$8)*H22</x:f>
        <x:v>0.275</x:v>
      </x:c>
      <x:c r="Y22" s="59" t="n">
        <x:f>Y$8+(Y$9-Y$8)*G22</x:f>
        <x:v>1</x:v>
      </x:c>
      <x:c r="Z22" s="59" t="n">
        <x:f>Z$8+(Z$9-Z$8)*H22</x:f>
        <x:v>1</x:v>
      </x:c>
      <x:c r="AA22" s="59" t="n">
        <x:f>AA$8+(AA$9-AA$8)*I22</x:f>
        <x:v>1</x:v>
      </x:c>
      <x:c r="AB22" s="59" t="n">
        <x:f>AB$8+(AB$9-AB$8)*J22</x:f>
        <x:v>1</x:v>
      </x:c>
      <x:c r="AC22" s="59" t="n">
        <x:f>AC$8+(AC$9-AC$8)*MAX(K22,L22)</x:f>
        <x:v>1</x:v>
      </x:c>
      <x:c r="AD22" s="59" t="n">
        <x:f>(V22*AE22+W22*AF22+X22*AG22)*PRODUCT(Y22:AC22)</x:f>
        <x:v>0.975</x:v>
      </x:c>
      <x:c r="AE22" s="59" t="n">
        <x:f>1+AE$9*($H$10*H22+$I$10*I22+$J$10*J22+$K$10*K22+$L$10*L22)</x:f>
        <x:v>1</x:v>
      </x:c>
      <x:c r="AF22" s="59" t="n">
        <x:f>1+AF$9*($H$10*H22+$I$10*I22+$J$10*J22+$K$10*K22+$L$10*L22)</x:f>
        <x:v>1</x:v>
      </x:c>
      <x:c r="AG22" s="59" t="n">
        <x:f>1+AG$9*($H$10*H22+$I$10*I22+$J$10*J22+$K$10*K22+$L$10*L22)</x:f>
        <x:v>1</x:v>
      </x:c>
      <x:c r="AH22" s="59" t="n">
        <x:f>MIN(1,'_曲线基线'!$L$3+AH$9*($H$10*H22+$I$10*I22+$J$10*J22+$K$10*K22+$L$10*L22))</x:f>
        <x:v>0.05</x:v>
      </x:c>
      <x:c r="AI22" s="59" t="n">
        <x:f>'_曲线基线'!$L$4+AI$9*($H$10*H22+$I$10*I22+$J$10*J22+$K$10*K22+$L$10*L22)</x:f>
        <x:v>2</x:v>
      </x:c>
      <x:c r="AJ22" s="59" t="n">
        <x:f>1+AJ$9*($H$10*H22+$I$10*I22+$J$10*J22+$K$10*K22+$L$10*L22)</x:f>
        <x:v>1</x:v>
      </x:c>
      <x:c r="AK22" s="59" t="n">
        <x:f>(1+AH22*(AI22-1))*AJ22</x:f>
        <x:v>1.05</x:v>
      </x:c>
      <x:c r="AL22" s="59" t="n">
        <x:f>U22*AD22*AK22*F22</x:f>
        <x:v>8430.780694758749</x:v>
      </x:c>
      <x:c r="AM22" s="59" t="n">
        <x:f>IF($B22&lt;AM$8,0,AM$3+(AM$4-AM$3)*(POWER(AM$5,$B22-AM$8)-1)/(POWER(AM$5,$C$5-AM$8)-1))</x:f>
        <x:v>35.1404514361506</x:v>
      </x:c>
      <x:c r="AN22" s="59" t="n">
        <x:f>(((E22*'模块规划'!$D$10+G22*'模块规划'!$D$11+H22*'模块规划'!$D$13)*(1+'模块规划'!$G$14*H22)+(I22*'模块规划'!$D$15+J22*'模块规划'!$D$17+K22*'模块规划'!$D$16+L22*'模块规划'!$D$18))*(1+'模块规划'!$J$17*J22))*F22/(1-Q22)</x:f>
        <x:v>29297.556628287657</x:v>
      </x:c>
      <x:c r="AO22" s="59" t="n">
        <x:f>AL22*AM22</x:f>
        <x:v>296261.43957300583</x:v>
      </x:c>
      <x:c r="AP22" s="61" t="n">
        <x:f>IF(AO22="","",INDEX('_曲线基线'!$A$3:$A$502,MIN(ROWS('_曲线基线'!$A$3:$A$502),COUNTIF('_曲线基线'!$E$3:$E$502,"&lt;"&amp;AO22)+1)))</x:f>
        <x:v>23</x:v>
      </x:c>
      <x:c r="AQ22" s="61" t="n">
        <x:f>IF(B22&lt;=2,1,IF(B22&lt;=6,2,IF(B22&lt;=9,3,IF(B22&lt;=19,4,5))))</x:f>
        <x:v>4</x:v>
      </x:c>
      <x:c r="AR22" s="59" t="n">
        <x:f>AN22*(1-Q22)/F22*$AS$3+U22*$AS$4+P22*$AS$5</x:f>
        <x:v>726.6348368678084</x:v>
      </x:c>
      <x:c r="AS22" s="59" t="n">
        <x:f>1+AH22*$AS$6+AI22*$AS$7+(AJ22-1)*$AS$8+($H$10*H22+$I$10*I22+$J$10*J22+$K$10*K22+$L$10*L22)*$AU$3*$AS$9+($H$10*H22+$I$10*I22+$J$10*J22+$K$10*K22+$L$10*L22)*$AU$4*$AS$10</x:f>
        <x:v>4.98158</x:v>
      </x:c>
      <x:c r="AT22" s="60" t="n">
        <x:f>ROUND(AR22*AS22,0)</x:f>
        <x:v>3620</x:v>
      </x:c>
      <x:c r="AU22" s="60" t="n">
        <x:f>ROUND(AT22*F22,0)</x:f>
        <x:v>12308</x:v>
      </x:c>
      <x:c r="AV22" s="60" t="n">
        <x:f>MIN(MATCH(B22,'主线调参'!$M$11:$M$62,1),ROWS('主线调参'!$M$11:$M$62)-1)</x:f>
        <x:v>8</x:v>
      </x:c>
      <x:c r="AW22" s="62" t="n">
        <x:f>(B22-INDEX('主线调参'!$M$11:$M$62,AV22))/(INDEX('主线调参'!$M$11:$M$62,AV22+1)-INDEX('主线调参'!$M$11:$M$62,AV22))</x:f>
        <x:v>0.5</x:v>
      </x:c>
      <x:c r="AX22" s="60" t="n">
        <x:f>IF(AU22=0,0,ROUND(AU22,2-INT(LOG10(ABS(AU22)))))</x:f>
        <x:v>12300</x:v>
      </x:c>
      <x:c r="AY22" s="62" t="n">
        <x:f>AU22/AU21-1</x:f>
        <x:v>0.10148559155181669</x:v>
      </x:c>
    </x:row>
    <x:row r="23" ht="25" customHeight="1">
      <x:c r="A23" s="40" t="n">
        <x:f>'调前玩家曲线'!A23</x:f>
        <x:v>10</x:v>
      </x:c>
      <x:c r="B23" s="40" t="n">
        <x:f>'调前玩家曲线'!B23</x:f>
        <x:v>12</x:v>
      </x:c>
      <x:c r="C23" s="40" t="n">
        <x:f>'调前玩家曲线'!C23</x:f>
        <x:v>1</x:v>
      </x:c>
      <x:c r="D23" s="40" t="n">
        <x:f>'调前玩家曲线'!D23</x:f>
        <x:v>8</x:v>
      </x:c>
      <x:c r="E23" s="40" t="n">
        <x:f>'调前玩家曲线'!E23</x:f>
        <x:v>1</x:v>
      </x:c>
      <x:c r="F23" s="40" t="n">
        <x:f>'调前玩家曲线'!F23</x:f>
        <x:v>3.6</x:v>
      </x:c>
      <x:c r="G23" s="63" t="n">
        <x:f>IF(B23&lt;$G$8,0,(INDEX('主线调参'!$C$11:$C$62,$AV23)+(INDEX('主线调参'!$C$11:$C$62,$AV23+1)-INDEX('主线调参'!$C$11:$C$62,$AV23))*$AW23)*'参数说明'!$C$27)</x:f>
        <x:v>0.139944169704446</x:v>
      </x:c>
      <x:c r="H23" s="63" t="n">
        <x:f>IF(B23&lt;$H$8,0,(INDEX('主线调参'!$D$11:$D$62,$AV23)+(INDEX('主线调参'!$D$11:$D$62,$AV23+1)-INDEX('主线调参'!$D$11:$D$62,$AV23))*$AW23)*'参数说明'!$D$27)</x:f>
        <x:v>0</x:v>
      </x:c>
      <x:c r="I23" s="63" t="n">
        <x:f>IF(B23&lt;$I$8,0,(INDEX('主线调参'!$E$11:$E$62,$AV23)+(INDEX('主线调参'!$E$11:$E$62,$AV23+1)-INDEX('主线调参'!$E$11:$E$62,$AV23))*$AW23)*'参数说明'!$E$27)</x:f>
        <x:v>0</x:v>
      </x:c>
      <x:c r="J23" s="63" t="n">
        <x:f>IF(B23&lt;$J$8,0,(INDEX('主线调参'!$F$11:$F$62,$AV23)+(INDEX('主线调参'!$F$11:$F$62,$AV23+1)-INDEX('主线调参'!$F$11:$F$62,$AV23))*$AW23)*'参数说明'!$F$27)</x:f>
        <x:v>0</x:v>
      </x:c>
      <x:c r="K23" s="63" t="n">
        <x:f>IF(B23&lt;$K$8,0,(INDEX('主线调参'!$G$11:$G$62,$AV23)+(INDEX('主线调参'!$G$11:$G$62,$AV23+1)-INDEX('主线调参'!$G$11:$G$62,$AV23))*$AW23)*'参数说明'!$G$27)</x:f>
        <x:v>0</x:v>
      </x:c>
      <x:c r="L23" s="63" t="n">
        <x:f>IF(B23&lt;$L$8,0,(INDEX('主线调参'!$H$11:$H$62,$AV23)+(INDEX('主线调参'!$H$11:$H$62,$AV23+1)-INDEX('主线调参'!$H$11:$H$62,$AV23))*$AW23)*'参数说明'!$H$27)</x:f>
        <x:v>0</x:v>
      </x:c>
      <x:c r="M23" s="59" t="n">
        <x:f>E23*'模块规划'!$F$10+G23*'模块规划'!$F$11+H23*'模块规划'!$F$13</x:f>
        <x:v>1671.732014581341</x:v>
      </x:c>
      <x:c r="N23" s="59" t="n">
        <x:f>I23*'模块规划'!$F$15+J23*'模块规划'!$F$17+K23*'模块规划'!$F$16+L23*'模块规划'!$F$18</x:f>
        <x:v>0</x:v>
      </x:c>
      <x:c r="O23" s="59" t="n">
        <x:f>1+O$9*SUMPRODUCT($H$10:$L$10,H23:L23)/SUM($H$10:$L$10)</x:f>
        <x:v>1</x:v>
      </x:c>
      <x:c r="P23" s="59" t="n">
        <x:f>M23*O23+N23</x:f>
        <x:v>1671.732014581341</x:v>
      </x:c>
      <x:c r="Q23" s="59" t="n">
        <x:f>P23/(P23+'_曲线基线'!$L$2)</x:f>
        <x:v>0.06511956472714074</x:v>
      </x:c>
      <x:c r="R23" s="59" t="n">
        <x:f>E23*'模块规划'!$E$10+G23*'模块规划'!$E$11+H23*'模块规划'!$E$13</x:f>
        <x:v>2507.5980218720115</x:v>
      </x:c>
      <x:c r="S23" s="59" t="n">
        <x:f>I23*'模块规划'!$E$15+J23*'模块规划'!$E$17+K23*'模块规划'!$E$16+L23*'模块规划'!$E$18</x:f>
        <x:v>0</x:v>
      </x:c>
      <x:c r="T23" s="59" t="n">
        <x:f>1+T$9*SUMPRODUCT($H$10:$L$10,H23:L23)/SUM($H$10:$L$10)</x:f>
        <x:v>1</x:v>
      </x:c>
      <x:c r="U23" s="59" t="n">
        <x:f>R23*T23+S23</x:f>
        <x:v>2507.5980218720115</x:v>
      </x:c>
      <x:c r="V23" s="59" t="n">
        <x:f>V$8+(V$9-V$8)*H23</x:f>
        <x:v>0.7</x:v>
      </x:c>
      <x:c r="W23" s="59" t="n">
        <x:f>IF(B23&lt;$H$8,0,W$8+(W$9-W$8)*H23)</x:f>
        <x:v>0</x:v>
      </x:c>
      <x:c r="X23" s="59" t="n">
        <x:f>X$8+(X$9-X$8)*H23</x:f>
        <x:v>0.275</x:v>
      </x:c>
      <x:c r="Y23" s="59" t="n">
        <x:f>Y$8+(Y$9-Y$8)*G23</x:f>
        <x:v>1</x:v>
      </x:c>
      <x:c r="Z23" s="59" t="n">
        <x:f>Z$8+(Z$9-Z$8)*H23</x:f>
        <x:v>1</x:v>
      </x:c>
      <x:c r="AA23" s="59" t="n">
        <x:f>AA$8+(AA$9-AA$8)*I23</x:f>
        <x:v>1</x:v>
      </x:c>
      <x:c r="AB23" s="59" t="n">
        <x:f>AB$8+(AB$9-AB$8)*J23</x:f>
        <x:v>1</x:v>
      </x:c>
      <x:c r="AC23" s="59" t="n">
        <x:f>AC$8+(AC$9-AC$8)*MAX(K23,L23)</x:f>
        <x:v>1</x:v>
      </x:c>
      <x:c r="AD23" s="59" t="n">
        <x:f>(V23*AE23+W23*AF23+X23*AG23)*PRODUCT(Y23:AC23)</x:f>
        <x:v>0.975</x:v>
      </x:c>
      <x:c r="AE23" s="59" t="n">
        <x:f>1+AE$9*($H$10*H23+$I$10*I23+$J$10*J23+$K$10*K23+$L$10*L23)</x:f>
        <x:v>1</x:v>
      </x:c>
      <x:c r="AF23" s="59" t="n">
        <x:f>1+AF$9*($H$10*H23+$I$10*I23+$J$10*J23+$K$10*K23+$L$10*L23)</x:f>
        <x:v>1</x:v>
      </x:c>
      <x:c r="AG23" s="59" t="n">
        <x:f>1+AG$9*($H$10*H23+$I$10*I23+$J$10*J23+$K$10*K23+$L$10*L23)</x:f>
        <x:v>1</x:v>
      </x:c>
      <x:c r="AH23" s="59" t="n">
        <x:f>MIN(1,'_曲线基线'!$L$3+AH$9*($H$10*H23+$I$10*I23+$J$10*J23+$K$10*K23+$L$10*L23))</x:f>
        <x:v>0.05</x:v>
      </x:c>
      <x:c r="AI23" s="59" t="n">
        <x:f>'_曲线基线'!$L$4+AI$9*($H$10*H23+$I$10*I23+$J$10*J23+$K$10*K23+$L$10*L23)</x:f>
        <x:v>2</x:v>
      </x:c>
      <x:c r="AJ23" s="59" t="n">
        <x:f>1+AJ$9*($H$10*H23+$I$10*I23+$J$10*J23+$K$10*K23+$L$10*L23)</x:f>
        <x:v>1</x:v>
      </x:c>
      <x:c r="AK23" s="59" t="n">
        <x:f>(1+AH23*(AI23-1))*AJ23</x:f>
        <x:v>1.05</x:v>
      </x:c>
      <x:c r="AL23" s="59" t="n">
        <x:f>U23*AD23*AK23*F23</x:f>
        <x:v>9241.7525096093</x:v>
      </x:c>
      <x:c r="AM23" s="59" t="n">
        <x:f>IF($B23&lt;AM$8,0,AM$3+(AM$4-AM$3)*(POWER(AM$5,$B23-AM$8)-1)/(POWER(AM$5,$C$5-AM$8)-1))</x:f>
        <x:v>35.155280590433975</x:v>
      </x:c>
      <x:c r="AN23" s="59" t="n">
        <x:f>(((E23*'模块规划'!$D$10+G23*'模块规划'!$D$11+H23*'模块规划'!$D$13)*(1+'模块规划'!$G$14*H23)+(I23*'模块规划'!$D$15+J23*'模块规划'!$D$17+K23*'模块规划'!$D$16+L23*'模块规划'!$D$18))*(1+'模块规划'!$J$17*J23))*F23/(1-Q23)</x:f>
        <x:v>32187.19220889627</x:v>
      </x:c>
      <x:c r="AO23" s="59" t="n">
        <x:f>AL23*AM23</x:f>
        <x:v>324896.4026226623</x:v>
      </x:c>
      <x:c r="AP23" s="61" t="n">
        <x:f>IF(AO23="","",INDEX('_曲线基线'!$A$3:$A$502,MIN(ROWS('_曲线基线'!$A$3:$A$502),COUNTIF('_曲线基线'!$E$3:$E$502,"&lt;"&amp;AO23)+1)))</x:f>
        <x:v>24</x:v>
      </x:c>
      <x:c r="AQ23" s="61" t="n">
        <x:f>IF(B23&lt;=2,1,IF(B23&lt;=6,2,IF(B23&lt;=9,3,IF(B23&lt;=19,4,5))))</x:f>
        <x:v>4</x:v>
      </x:c>
      <x:c r="AR23" s="59" t="n">
        <x:f>AN23*(1-Q23)/F23*$AS$3+U23*$AS$4+P23*$AS$5</x:f>
        <x:v>752.2794065616033</x:v>
      </x:c>
      <x:c r="AS23" s="59" t="n">
        <x:f>1+AH23*$AS$6+AI23*$AS$7+(AJ23-1)*$AS$8+($H$10*H23+$I$10*I23+$J$10*J23+$K$10*K23+$L$10*L23)*$AU$3*$AS$9+($H$10*H23+$I$10*I23+$J$10*J23+$K$10*K23+$L$10*L23)*$AU$4*$AS$10</x:f>
        <x:v>4.98158</x:v>
      </x:c>
      <x:c r="AT23" s="60" t="n">
        <x:f>ROUND(AR23*AS23,0)</x:f>
        <x:v>3748</x:v>
      </x:c>
      <x:c r="AU23" s="60" t="n">
        <x:f>ROUND(AT23*F23,0)</x:f>
        <x:v>13493</x:v>
      </x:c>
      <x:c r="AV23" s="60" t="n">
        <x:f>MIN(MATCH(B23,'主线调参'!$M$11:$M$62,1),ROWS('主线调参'!$M$11:$M$62)-1)</x:f>
        <x:v>9</x:v>
      </x:c>
      <x:c r="AW23" s="62" t="n">
        <x:f>(B23-INDEX('主线调参'!$M$11:$M$62,AV23))/(INDEX('主线调参'!$M$11:$M$62,AV23+1)-INDEX('主线调参'!$M$11:$M$62,AV23))</x:f>
        <x:v>0</x:v>
      </x:c>
      <x:c r="AX23" s="60" t="n">
        <x:f>IF(AU23=0,0,ROUND(AU23,2-INT(LOG10(ABS(AU23)))))</x:f>
        <x:v>13500</x:v>
      </x:c>
      <x:c r="AY23" s="62" t="n">
        <x:f>AU23/AU22-1</x:f>
        <x:v>0.09627884302892431</x:v>
      </x:c>
    </x:row>
    <x:row r="24" ht="25" customHeight="1">
      <x:c r="A24" s="40" t="n">
        <x:f>'调前玩家曲线'!A24</x:f>
        <x:v>11</x:v>
      </x:c>
      <x:c r="B24" s="40" t="n">
        <x:f>'调前玩家曲线'!B24</x:f>
        <x:v>13</x:v>
      </x:c>
      <x:c r="C24" s="40" t="n">
        <x:f>'调前玩家曲线'!C24</x:f>
        <x:v>2</x:v>
      </x:c>
      <x:c r="D24" s="40" t="n">
        <x:f>'调前玩家曲线'!D24</x:f>
        <x:v>1</x:v>
      </x:c>
      <x:c r="E24" s="40" t="n">
        <x:f>'调前玩家曲线'!E24</x:f>
        <x:v>1</x:v>
      </x:c>
      <x:c r="F24" s="40" t="n">
        <x:f>'调前玩家曲线'!F24</x:f>
        <x:v>3.8</x:v>
      </x:c>
      <x:c r="G24" s="63" t="n">
        <x:f>IF(B24&lt;$G$8,0,(INDEX('主线调参'!$C$11:$C$62,$AV24)+(INDEX('主线调参'!$C$11:$C$62,$AV24+1)-INDEX('主线调参'!$C$11:$C$62,$AV24))*$AW24)*'参数说明'!$C$27)</x:f>
        <x:v>0.151550197613375</x:v>
      </x:c>
      <x:c r="H24" s="63" t="n">
        <x:f>IF(B24&lt;$H$8,0,(INDEX('主线调参'!$D$11:$D$62,$AV24)+(INDEX('主线调参'!$D$11:$D$62,$AV24+1)-INDEX('主线调参'!$D$11:$D$62,$AV24))*$AW24)*'参数说明'!$D$27)</x:f>
        <x:v>0</x:v>
      </x:c>
      <x:c r="I24" s="63" t="n">
        <x:f>IF(B24&lt;$I$8,0,(INDEX('主线调参'!$E$11:$E$62,$AV24)+(INDEX('主线调参'!$E$11:$E$62,$AV24+1)-INDEX('主线调参'!$E$11:$E$62,$AV24))*$AW24)*'参数说明'!$E$27)</x:f>
        <x:v>0</x:v>
      </x:c>
      <x:c r="J24" s="63" t="n">
        <x:f>IF(B24&lt;$J$8,0,(INDEX('主线调参'!$F$11:$F$62,$AV24)+(INDEX('主线调参'!$F$11:$F$62,$AV24+1)-INDEX('主线调参'!$F$11:$F$62,$AV24))*$AW24)*'参数说明'!$F$27)</x:f>
        <x:v>0</x:v>
      </x:c>
      <x:c r="K24" s="63" t="n">
        <x:f>IF(B24&lt;$K$8,0,(INDEX('主线调参'!$G$11:$G$62,$AV24)+(INDEX('主线调参'!$G$11:$G$62,$AV24+1)-INDEX('主线调参'!$G$11:$G$62,$AV24))*$AW24)*'参数说明'!$G$27)</x:f>
        <x:v>0</x:v>
      </x:c>
      <x:c r="L24" s="63" t="n">
        <x:f>IF(B24&lt;$L$8,0,(INDEX('主线调参'!$H$11:$H$62,$AV24)+(INDEX('主线调参'!$H$11:$H$62,$AV24+1)-INDEX('主线调参'!$H$11:$H$62,$AV24))*$AW24)*'参数说明'!$H$27)</x:f>
        <x:v>0</x:v>
      </x:c>
      <x:c r="M24" s="59" t="n">
        <x:f>E24*'模块规划'!$F$10+G24*'模块规划'!$F$11+H24*'模块规划'!$F$13</x:f>
        <x:v>1727.4409485442</x:v>
      </x:c>
      <x:c r="N24" s="59" t="n">
        <x:f>I24*'模块规划'!$F$15+J24*'模块规划'!$F$17+K24*'模块规划'!$F$16+L24*'模块规划'!$F$18</x:f>
        <x:v>0</x:v>
      </x:c>
      <x:c r="O24" s="59" t="n">
        <x:f>1+O$9*SUMPRODUCT($H$10:$L$10,H24:L24)/SUM($H$10:$L$10)</x:f>
        <x:v>1</x:v>
      </x:c>
      <x:c r="P24" s="59" t="n">
        <x:f>M24*O24+N24</x:f>
        <x:v>1727.4409485442</x:v>
      </x:c>
      <x:c r="Q24" s="59" t="n">
        <x:f>P24/(P24+'_曲线基线'!$L$2)</x:f>
        <x:v>0.067143908793694</x:v>
      </x:c>
      <x:c r="R24" s="59" t="n">
        <x:f>E24*'模块规划'!$E$10+G24*'模块规划'!$E$11+H24*'模块规划'!$E$13</x:f>
        <x:v>2591.1614228163</x:v>
      </x:c>
      <x:c r="S24" s="59" t="n">
        <x:f>I24*'模块规划'!$E$15+J24*'模块规划'!$E$17+K24*'模块规划'!$E$16+L24*'模块规划'!$E$18</x:f>
        <x:v>0</x:v>
      </x:c>
      <x:c r="T24" s="59" t="n">
        <x:f>1+T$9*SUMPRODUCT($H$10:$L$10,H24:L24)/SUM($H$10:$L$10)</x:f>
        <x:v>1</x:v>
      </x:c>
      <x:c r="U24" s="59" t="n">
        <x:f>R24*T24+S24</x:f>
        <x:v>2591.1614228163</x:v>
      </x:c>
      <x:c r="V24" s="59" t="n">
        <x:f>V$8+(V$9-V$8)*H24</x:f>
        <x:v>0.7</x:v>
      </x:c>
      <x:c r="W24" s="59" t="n">
        <x:f>IF(B24&lt;$H$8,0,W$8+(W$9-W$8)*H24)</x:f>
        <x:v>0</x:v>
      </x:c>
      <x:c r="X24" s="59" t="n">
        <x:f>X$8+(X$9-X$8)*H24</x:f>
        <x:v>0.275</x:v>
      </x:c>
      <x:c r="Y24" s="59" t="n">
        <x:f>Y$8+(Y$9-Y$8)*G24</x:f>
        <x:v>1</x:v>
      </x:c>
      <x:c r="Z24" s="59" t="n">
        <x:f>Z$8+(Z$9-Z$8)*H24</x:f>
        <x:v>1</x:v>
      </x:c>
      <x:c r="AA24" s="59" t="n">
        <x:f>AA$8+(AA$9-AA$8)*I24</x:f>
        <x:v>1</x:v>
      </x:c>
      <x:c r="AB24" s="59" t="n">
        <x:f>AB$8+(AB$9-AB$8)*J24</x:f>
        <x:v>1</x:v>
      </x:c>
      <x:c r="AC24" s="59" t="n">
        <x:f>AC$8+(AC$9-AC$8)*MAX(K24,L24)</x:f>
        <x:v>1</x:v>
      </x:c>
      <x:c r="AD24" s="59" t="n">
        <x:f>(V24*AE24+W24*AF24+X24*AG24)*PRODUCT(Y24:AC24)</x:f>
        <x:v>0.975</x:v>
      </x:c>
      <x:c r="AE24" s="59" t="n">
        <x:f>1+AE$9*($H$10*H24+$I$10*I24+$J$10*J24+$K$10*K24+$L$10*L24)</x:f>
        <x:v>1</x:v>
      </x:c>
      <x:c r="AF24" s="59" t="n">
        <x:f>1+AF$9*($H$10*H24+$I$10*I24+$J$10*J24+$K$10*K24+$L$10*L24)</x:f>
        <x:v>1</x:v>
      </x:c>
      <x:c r="AG24" s="59" t="n">
        <x:f>1+AG$9*($H$10*H24+$I$10*I24+$J$10*J24+$K$10*K24+$L$10*L24)</x:f>
        <x:v>1</x:v>
      </x:c>
      <x:c r="AH24" s="59" t="n">
        <x:f>MIN(1,'_曲线基线'!$L$3+AH$9*($H$10*H24+$I$10*I24+$J$10*J24+$K$10*K24+$L$10*L24))</x:f>
        <x:v>0.05</x:v>
      </x:c>
      <x:c r="AI24" s="59" t="n">
        <x:f>'_曲线基线'!$L$4+AI$9*($H$10*H24+$I$10*I24+$J$10*J24+$K$10*K24+$L$10*L24)</x:f>
        <x:v>2</x:v>
      </x:c>
      <x:c r="AJ24" s="59" t="n">
        <x:f>1+AJ$9*($H$10*H24+$I$10*I24+$J$10*J24+$K$10*K24+$L$10*L24)</x:f>
        <x:v>1</x:v>
      </x:c>
      <x:c r="AK24" s="59" t="n">
        <x:f>(1+AH24*(AI24-1))*AJ24</x:f>
        <x:v>1.05</x:v>
      </x:c>
      <x:c r="AL24" s="59" t="n">
        <x:f>U24*AD24*AK24*F24</x:f>
        <x:v>10080.26572511111</x:v>
      </x:c>
      <x:c r="AM24" s="59" t="n">
        <x:f>IF($B24&lt;AM$8,0,AM$3+(AM$4-AM$3)*(POWER(AM$5,$B24-AM$8)-1)/(POWER(AM$5,$C$5-AM$8)-1))</x:f>
        <x:v>35.17025803626018</x:v>
      </x:c>
      <x:c r="AN24" s="59" t="n">
        <x:f>(((E24*'模块规划'!$D$10+G24*'模块规划'!$D$11+H24*'模块规划'!$D$13)*(1+'模块规划'!$G$14*H24)+(I24*'模块规划'!$D$15+J24*'模块规划'!$D$17+K24*'模块规划'!$D$16+L24*'模块规划'!$D$18))*(1+'模块规划'!$J$17*J24))*F24/(1-Q24)</x:f>
        <x:v>35183.75270498307</x:v>
      </x:c>
      <x:c r="AO24" s="59" t="n">
        <x:f>AL24*AM24</x:f>
        <x:v>354525.5466262271</x:v>
      </x:c>
      <x:c r="AP24" s="61" t="n">
        <x:f>IF(AO24="","",INDEX('_曲线基线'!$A$3:$A$502,MIN(ROWS('_曲线基线'!$A$3:$A$502),COUNTIF('_曲线基线'!$E$3:$E$502,"&lt;"&amp;AO24)+1)))</x:f>
        <x:v>26</x:v>
      </x:c>
      <x:c r="AQ24" s="61" t="n">
        <x:f>IF(B24&lt;=2,1,IF(B24&lt;=6,2,IF(B24&lt;=9,3,IF(B24&lt;=19,4,5))))</x:f>
        <x:v>4</x:v>
      </x:c>
      <x:c r="AR24" s="59" t="n">
        <x:f>AN24*(1-Q24)/F24*$AS$3+U24*$AS$4+P24*$AS$5</x:f>
        <x:v>777.34842684489</x:v>
      </x:c>
      <x:c r="AS24" s="59" t="n">
        <x:f>1+AH24*$AS$6+AI24*$AS$7+(AJ24-1)*$AS$8+($H$10*H24+$I$10*I24+$J$10*J24+$K$10*K24+$L$10*L24)*$AU$3*$AS$9+($H$10*H24+$I$10*I24+$J$10*J24+$K$10*K24+$L$10*L24)*$AU$4*$AS$10</x:f>
        <x:v>4.98158</x:v>
      </x:c>
      <x:c r="AT24" s="60" t="n">
        <x:f>ROUND(AR24*AS24,0)</x:f>
        <x:v>3872</x:v>
      </x:c>
      <x:c r="AU24" s="60" t="n">
        <x:f>ROUND(AT24*F24,0)</x:f>
        <x:v>14714</x:v>
      </x:c>
      <x:c r="AV24" s="60" t="n">
        <x:f>MIN(MATCH(B24,'主线调参'!$M$11:$M$62,1),ROWS('主线调参'!$M$11:$M$62)-1)</x:f>
        <x:v>10</x:v>
      </x:c>
      <x:c r="AW24" s="62" t="n">
        <x:f>(B24-INDEX('主线调参'!$M$11:$M$62,AV24))/(INDEX('主线调参'!$M$11:$M$62,AV24+1)-INDEX('主线调参'!$M$11:$M$62,AV24))</x:f>
        <x:v>0</x:v>
      </x:c>
      <x:c r="AX24" s="60" t="n">
        <x:f>IF(AU24=0,0,ROUND(AU24,2-INT(LOG10(ABS(AU24)))))</x:f>
        <x:v>14700</x:v>
      </x:c>
      <x:c r="AY24" s="62" t="n">
        <x:f>AU24/AU23-1</x:f>
        <x:v>0.09049136589342632</x:v>
      </x:c>
    </x:row>
    <x:row r="25" ht="25" customHeight="1">
      <x:c r="A25" s="40" t="n">
        <x:f>'调前玩家曲线'!A25</x:f>
        <x:v>12</x:v>
      </x:c>
      <x:c r="B25" s="40" t="n">
        <x:f>'调前玩家曲线'!B25</x:f>
        <x:v>14</x:v>
      </x:c>
      <x:c r="C25" s="40" t="n">
        <x:f>'调前玩家曲线'!C25</x:f>
        <x:v>2</x:v>
      </x:c>
      <x:c r="D25" s="40" t="n">
        <x:f>'调前玩家曲线'!D25</x:f>
        <x:v>2</x:v>
      </x:c>
      <x:c r="E25" s="40" t="n">
        <x:f>'调前玩家曲线'!E25</x:f>
        <x:v>1</x:v>
      </x:c>
      <x:c r="F25" s="40" t="n">
        <x:f>'调前玩家曲线'!F25</x:f>
        <x:v>4</x:v>
      </x:c>
      <x:c r="G25" s="63" t="n">
        <x:f>IF(B25&lt;$G$8,0,(INDEX('主线调参'!$C$11:$C$62,$AV25)+(INDEX('主线调参'!$C$11:$C$62,$AV25+1)-INDEX('主线调参'!$C$11:$C$62,$AV25))*$AW25)*'参数说明'!$C$27)</x:f>
        <x:v>0.16298213510367</x:v>
      </x:c>
      <x:c r="H25" s="63" t="n">
        <x:f>IF(B25&lt;$H$8,0,(INDEX('主线调参'!$D$11:$D$62,$AV25)+(INDEX('主线调参'!$D$11:$D$62,$AV25+1)-INDEX('主线调参'!$D$11:$D$62,$AV25))*$AW25)*'参数说明'!$D$27)</x:f>
        <x:v>0</x:v>
      </x:c>
      <x:c r="I25" s="63" t="n">
        <x:f>IF(B25&lt;$I$8,0,(INDEX('主线调参'!$E$11:$E$62,$AV25)+(INDEX('主线调参'!$E$11:$E$62,$AV25+1)-INDEX('主线调参'!$E$11:$E$62,$AV25))*$AW25)*'参数说明'!$E$27)</x:f>
        <x:v>0</x:v>
      </x:c>
      <x:c r="J25" s="63" t="n">
        <x:f>IF(B25&lt;$J$8,0,(INDEX('主线调参'!$F$11:$F$62,$AV25)+(INDEX('主线调参'!$F$11:$F$62,$AV25+1)-INDEX('主线调参'!$F$11:$F$62,$AV25))*$AW25)*'参数说明'!$F$27)</x:f>
        <x:v>0</x:v>
      </x:c>
      <x:c r="K25" s="63" t="n">
        <x:f>IF(B25&lt;$K$8,0,(INDEX('主线调参'!$G$11:$G$62,$AV25)+(INDEX('主线调参'!$G$11:$G$62,$AV25+1)-INDEX('主线调参'!$G$11:$G$62,$AV25))*$AW25)*'参数说明'!$G$27)</x:f>
        <x:v>0</x:v>
      </x:c>
      <x:c r="L25" s="63" t="n">
        <x:f>IF(B25&lt;$L$8,0,(INDEX('主线调参'!$H$11:$H$62,$AV25)+(INDEX('主线调参'!$H$11:$H$62,$AV25+1)-INDEX('主线调参'!$H$11:$H$62,$AV25))*$AW25)*'参数说明'!$H$27)</x:f>
        <x:v>0</x:v>
      </x:c>
      <x:c r="M25" s="59" t="n">
        <x:f>E25*'模块规划'!$F$10+G25*'模块规划'!$F$11+H25*'模块规划'!$F$13</x:f>
        <x:v>1782.314248497616</x:v>
      </x:c>
      <x:c r="N25" s="59" t="n">
        <x:f>I25*'模块规划'!$F$15+J25*'模块规划'!$F$17+K25*'模块规划'!$F$16+L25*'模块规划'!$F$18</x:f>
        <x:v>0</x:v>
      </x:c>
      <x:c r="O25" s="59" t="n">
        <x:f>1+O$9*SUMPRODUCT($H$10:$L$10,H25:L25)/SUM($H$10:$L$10)</x:f>
        <x:v>1</x:v>
      </x:c>
      <x:c r="P25" s="59" t="n">
        <x:f>M25*O25+N25</x:f>
        <x:v>1782.314248497616</x:v>
      </x:c>
      <x:c r="Q25" s="59" t="n">
        <x:f>P25/(P25+'_曲线基线'!$L$2)</x:f>
        <x:v>0.06912933537769887</x:v>
      </x:c>
      <x:c r="R25" s="59" t="n">
        <x:f>E25*'模块规划'!$E$10+G25*'模块规划'!$E$11+H25*'模块规划'!$E$13</x:f>
        <x:v>2673.471372746424</x:v>
      </x:c>
      <x:c r="S25" s="59" t="n">
        <x:f>I25*'模块规划'!$E$15+J25*'模块规划'!$E$17+K25*'模块规划'!$E$16+L25*'模块规划'!$E$18</x:f>
        <x:v>0</x:v>
      </x:c>
      <x:c r="T25" s="59" t="n">
        <x:f>1+T$9*SUMPRODUCT($H$10:$L$10,H25:L25)/SUM($H$10:$L$10)</x:f>
        <x:v>1</x:v>
      </x:c>
      <x:c r="U25" s="59" t="n">
        <x:f>R25*T25+S25</x:f>
        <x:v>2673.471372746424</x:v>
      </x:c>
      <x:c r="V25" s="59" t="n">
        <x:f>V$8+(V$9-V$8)*H25</x:f>
        <x:v>0.7</x:v>
      </x:c>
      <x:c r="W25" s="59" t="n">
        <x:f>IF(B25&lt;$H$8,0,W$8+(W$9-W$8)*H25)</x:f>
        <x:v>0</x:v>
      </x:c>
      <x:c r="X25" s="59" t="n">
        <x:f>X$8+(X$9-X$8)*H25</x:f>
        <x:v>0.275</x:v>
      </x:c>
      <x:c r="Y25" s="59" t="n">
        <x:f>Y$8+(Y$9-Y$8)*G25</x:f>
        <x:v>1</x:v>
      </x:c>
      <x:c r="Z25" s="59" t="n">
        <x:f>Z$8+(Z$9-Z$8)*H25</x:f>
        <x:v>1</x:v>
      </x:c>
      <x:c r="AA25" s="59" t="n">
        <x:f>AA$8+(AA$9-AA$8)*I25</x:f>
        <x:v>1</x:v>
      </x:c>
      <x:c r="AB25" s="59" t="n">
        <x:f>AB$8+(AB$9-AB$8)*J25</x:f>
        <x:v>1</x:v>
      </x:c>
      <x:c r="AC25" s="59" t="n">
        <x:f>AC$8+(AC$9-AC$8)*MAX(K25,L25)</x:f>
        <x:v>1</x:v>
      </x:c>
      <x:c r="AD25" s="59" t="n">
        <x:f>(V25*AE25+W25*AF25+X25*AG25)*PRODUCT(Y25:AC25)</x:f>
        <x:v>0.975</x:v>
      </x:c>
      <x:c r="AE25" s="59" t="n">
        <x:f>1+AE$9*($H$10*H25+$I$10*I25+$J$10*J25+$K$10*K25+$L$10*L25)</x:f>
        <x:v>1</x:v>
      </x:c>
      <x:c r="AF25" s="59" t="n">
        <x:f>1+AF$9*($H$10*H25+$I$10*I25+$J$10*J25+$K$10*K25+$L$10*L25)</x:f>
        <x:v>1</x:v>
      </x:c>
      <x:c r="AG25" s="59" t="n">
        <x:f>1+AG$9*($H$10*H25+$I$10*I25+$J$10*J25+$K$10*K25+$L$10*L25)</x:f>
        <x:v>1</x:v>
      </x:c>
      <x:c r="AH25" s="59" t="n">
        <x:f>MIN(1,'_曲线基线'!$L$3+AH$9*($H$10*H25+$I$10*I25+$J$10*J25+$K$10*K25+$L$10*L25))</x:f>
        <x:v>0.05</x:v>
      </x:c>
      <x:c r="AI25" s="59" t="n">
        <x:f>'_曲线基线'!$L$4+AI$9*($H$10*H25+$I$10*I25+$J$10*J25+$K$10*K25+$L$10*L25)</x:f>
        <x:v>2</x:v>
      </x:c>
      <x:c r="AJ25" s="59" t="n">
        <x:f>1+AJ$9*($H$10*H25+$I$10*I25+$J$10*J25+$K$10*K25+$L$10*L25)</x:f>
        <x:v>1</x:v>
      </x:c>
      <x:c r="AK25" s="59" t="n">
        <x:f>(1+AH25*(AI25-1))*AJ25</x:f>
        <x:v>1.05</x:v>
      </x:c>
      <x:c r="AL25" s="59" t="n">
        <x:f>U25*AD25*AK25*F25</x:f>
        <x:v>10947.865271396608</x:v>
      </x:c>
      <x:c r="AM25" s="59" t="n">
        <x:f>IF($B25&lt;AM$8,0,AM$3+(AM$4-AM$3)*(POWER(AM$5,$B25-AM$8)-1)/(POWER(AM$5,$C$5-AM$8)-1))</x:f>
        <x:v>35.185385256544656</x:v>
      </x:c>
      <x:c r="AN25" s="59" t="n">
        <x:f>(((E25*'模块规划'!$D$10+G25*'模块规划'!$D$11+H25*'模块规划'!$D$13)*(1+'模块规划'!$G$14*H25)+(I25*'模块规划'!$D$15+J25*'模块规划'!$D$17+K25*'模块规划'!$D$16+L25*'模块规划'!$D$18))*(1+'模块规划'!$J$17*J25))*F25/(1-Q25)</x:f>
        <x:v>38293.488370283674</x:v>
      </x:c>
      <x:c r="AO25" s="59" t="n">
        <x:f>AL25*AM25</x:f>
        <x:v>385204.85731083545</x:v>
      </x:c>
      <x:c r="AP25" s="61" t="n">
        <x:f>IF(AO25="","",INDEX('_曲线基线'!$A$3:$A$502,MIN(ROWS('_曲线基线'!$A$3:$A$502),COUNTIF('_曲线基线'!$E$3:$E$502,"&lt;"&amp;AO25)+1)))</x:f>
        <x:v>28</x:v>
      </x:c>
      <x:c r="AQ25" s="61" t="n">
        <x:f>IF(B25&lt;=2,1,IF(B25&lt;=6,2,IF(B25&lt;=9,3,IF(B25&lt;=19,4,5))))</x:f>
        <x:v>4</x:v>
      </x:c>
      <x:c r="AR25" s="59" t="n">
        <x:f>AN25*(1-Q25)/F25*$AS$3+U25*$AS$4+P25*$AS$5</x:f>
        <x:v>802.0414118239273</x:v>
      </x:c>
      <x:c r="AS25" s="59" t="n">
        <x:f>1+AH25*$AS$6+AI25*$AS$7+(AJ25-1)*$AS$8+($H$10*H25+$I$10*I25+$J$10*J25+$K$10*K25+$L$10*L25)*$AU$3*$AS$9+($H$10*H25+$I$10*I25+$J$10*J25+$K$10*K25+$L$10*L25)*$AU$4*$AS$10</x:f>
        <x:v>4.98158</x:v>
      </x:c>
      <x:c r="AT25" s="60" t="n">
        <x:f>ROUND(AR25*AS25,0)</x:f>
        <x:v>3995</x:v>
      </x:c>
      <x:c r="AU25" s="60" t="n">
        <x:f>ROUND(AT25*F25,0)</x:f>
        <x:v>15980</x:v>
      </x:c>
      <x:c r="AV25" s="60" t="n">
        <x:f>MIN(MATCH(B25,'主线调参'!$M$11:$M$62,1),ROWS('主线调参'!$M$11:$M$62)-1)</x:f>
        <x:v>11</x:v>
      </x:c>
      <x:c r="AW25" s="62" t="n">
        <x:f>(B25-INDEX('主线调参'!$M$11:$M$62,AV25))/(INDEX('主线调参'!$M$11:$M$62,AV25+1)-INDEX('主线调参'!$M$11:$M$62,AV25))</x:f>
        <x:v>0</x:v>
      </x:c>
      <x:c r="AX25" s="60" t="n">
        <x:f>IF(AU25=0,0,ROUND(AU25,2-INT(LOG10(ABS(AU25)))))</x:f>
        <x:v>16000</x:v>
      </x:c>
      <x:c r="AY25" s="62" t="n">
        <x:f>AU25/AU24-1</x:f>
        <x:v>0.08604050564088617</x:v>
      </x:c>
    </x:row>
    <x:row r="26" ht="25" customHeight="1">
      <x:c r="A26" s="40" t="n">
        <x:f>'调前玩家曲线'!A26</x:f>
        <x:v>13</x:v>
      </x:c>
      <x:c r="B26" s="40" t="n">
        <x:f>'调前玩家曲线'!B26</x:f>
        <x:v>15</x:v>
      </x:c>
      <x:c r="C26" s="40" t="n">
        <x:f>'调前玩家曲线'!C26</x:f>
        <x:v>2</x:v>
      </x:c>
      <x:c r="D26" s="40" t="n">
        <x:f>'调前玩家曲线'!D26</x:f>
        <x:v>3</x:v>
      </x:c>
      <x:c r="E26" s="40" t="n">
        <x:f>'调前玩家曲线'!E26</x:f>
        <x:v>1</x:v>
      </x:c>
      <x:c r="F26" s="40" t="n">
        <x:f>'调前玩家曲线'!F26</x:f>
        <x:v>4</x:v>
      </x:c>
      <x:c r="G26" s="63" t="n">
        <x:f>IF(B26&lt;$G$8,0,(INDEX('主线调参'!$C$11:$C$62,$AV26)+(INDEX('主线调参'!$C$11:$C$62,$AV26+1)-INDEX('主线调参'!$C$11:$C$62,$AV26))*$AW26)*'参数说明'!$C$27)</x:f>
        <x:v>0.174242593531611</x:v>
      </x:c>
      <x:c r="H26" s="63" t="n">
        <x:f>IF(B26&lt;$H$8,0,(INDEX('主线调参'!$D$11:$D$62,$AV26)+(INDEX('主线调参'!$D$11:$D$62,$AV26+1)-INDEX('主线调参'!$D$11:$D$62,$AV26))*$AW26)*'参数说明'!$D$27)</x:f>
        <x:v>0.014066542239511398</x:v>
      </x:c>
      <x:c r="I26" s="63" t="n">
        <x:f>IF(B26&lt;$I$8,0,(INDEX('主线调参'!$E$11:$E$62,$AV26)+(INDEX('主线调参'!$E$11:$E$62,$AV26+1)-INDEX('主线调参'!$E$11:$E$62,$AV26))*$AW26)*'参数说明'!$E$27)</x:f>
        <x:v>0</x:v>
      </x:c>
      <x:c r="J26" s="63" t="n">
        <x:f>IF(B26&lt;$J$8,0,(INDEX('主线调参'!$F$11:$F$62,$AV26)+(INDEX('主线调参'!$F$11:$F$62,$AV26+1)-INDEX('主线调参'!$F$11:$F$62,$AV26))*$AW26)*'参数说明'!$F$27)</x:f>
        <x:v>0</x:v>
      </x:c>
      <x:c r="K26" s="63" t="n">
        <x:f>IF(B26&lt;$K$8,0,(INDEX('主线调参'!$G$11:$G$62,$AV26)+(INDEX('主线调参'!$G$11:$G$62,$AV26+1)-INDEX('主线调参'!$G$11:$G$62,$AV26))*$AW26)*'参数说明'!$G$27)</x:f>
        <x:v>0</x:v>
      </x:c>
      <x:c r="L26" s="63" t="n">
        <x:f>IF(B26&lt;$L$8,0,(INDEX('主线调参'!$H$11:$H$62,$AV26)+(INDEX('主线调参'!$H$11:$H$62,$AV26+1)-INDEX('主线调参'!$H$11:$H$62,$AV26))*$AW26)*'参数说明'!$H$27)</x:f>
        <x:v>0</x:v>
      </x:c>
      <x:c r="M26" s="59" t="n">
        <x:f>E26*'模块规划'!$F$10+G26*'模块规划'!$F$11+H26*'模块规划'!$F$13</x:f>
        <x:v>1836.3644489517328</x:v>
      </x:c>
      <x:c r="N26" s="59" t="n">
        <x:f>I26*'模块规划'!$F$15+J26*'模块规划'!$F$17+K26*'模块规划'!$F$16+L26*'模块规划'!$F$18</x:f>
        <x:v>0</x:v>
      </x:c>
      <x:c r="O26" s="59" t="n">
        <x:f>1+O$9*SUMPRODUCT($H$10:$L$10,H26:L26)/SUM($H$10:$L$10)</x:f>
        <x:v>1.0058847185882727</x:v>
      </x:c>
      <x:c r="P26" s="59" t="n">
        <x:f>M26*O26+N26</x:f>
        <x:v>1847.1709369593223</x:v>
      </x:c>
      <x:c r="Q26" s="59" t="n">
        <x:f>P26/(P26+'_曲线基线'!$L$2)</x:f>
        <x:v>0.07146511088058849</x:v>
      </x:c>
      <x:c r="R26" s="59" t="n">
        <x:f>E26*'模块规划'!$E$10+G26*'模块规划'!$E$11+H26*'模块规划'!$E$13</x:f>
        <x:v>2754.546673427599</x:v>
      </x:c>
      <x:c r="S26" s="59" t="n">
        <x:f>I26*'模块规划'!$E$15+J26*'模块规划'!$E$17+K26*'模块规划'!$E$16+L26*'模块规划'!$E$18</x:f>
        <x:v>0</x:v>
      </x:c>
      <x:c r="T26" s="59" t="n">
        <x:f>1+T$9*SUMPRODUCT($H$10:$L$10,H26:L26)/SUM($H$10:$L$10)</x:f>
        <x:v>1.0058847185882727</x:v>
      </x:c>
      <x:c r="U26" s="59" t="n">
        <x:f>R26*T26+S26</x:f>
        <x:v>2770.756405438983</x:v>
      </x:c>
      <x:c r="V26" s="59" t="n">
        <x:f>V$8+(V$9-V$8)*H26</x:f>
        <x:v>0.7042199626718534</x:v>
      </x:c>
      <x:c r="W26" s="59" t="n">
        <x:f>IF(B26&lt;$H$8,0,W$8+(W$9-W$8)*H26)</x:f>
        <x:v>0.00562661689580456</x:v>
      </x:c>
      <x:c r="X26" s="59" t="n">
        <x:f>X$8+(X$9-X$8)*H26</x:f>
        <x:v>0.27886829911586564</x:v>
      </x:c>
      <x:c r="Y26" s="59" t="n">
        <x:f>Y$8+(Y$9-Y$8)*G26</x:f>
        <x:v>1</x:v>
      </x:c>
      <x:c r="Z26" s="59" t="n">
        <x:f>Z$8+(Z$9-Z$8)*H26</x:f>
        <x:v>1</x:v>
      </x:c>
      <x:c r="AA26" s="59" t="n">
        <x:f>AA$8+(AA$9-AA$8)*I26</x:f>
        <x:v>1</x:v>
      </x:c>
      <x:c r="AB26" s="59" t="n">
        <x:f>AB$8+(AB$9-AB$8)*J26</x:f>
        <x:v>1</x:v>
      </x:c>
      <x:c r="AC26" s="59" t="n">
        <x:f>AC$8+(AC$9-AC$8)*MAX(K26,L26)</x:f>
        <x:v>1</x:v>
      </x:c>
      <x:c r="AD26" s="59" t="n">
        <x:f>(V26*AE26+W26*AF26+X26*AG26)*PRODUCT(Y26:AC26)</x:f>
        <x:v>0.9889744872624077</x:v>
      </x:c>
      <x:c r="AE26" s="59" t="n">
        <x:f>1+AE$9*($H$10*H26+$I$10*I26+$J$10*J26+$K$10*K26+$L$10*L26)</x:f>
        <x:v>1</x:v>
      </x:c>
      <x:c r="AF26" s="59" t="n">
        <x:f>1+AF$9*($H$10*H26+$I$10*I26+$J$10*J26+$K$10*K26+$L$10*L26)</x:f>
        <x:v>1.0005193800211512</x:v>
      </x:c>
      <x:c r="AG26" s="59" t="n">
        <x:f>1+AG$9*($H$10*H26+$I$10*I26+$J$10*J26+$K$10*K26+$L$10*L26)</x:f>
        <x:v>1.0009204568152623</x:v>
      </x:c>
      <x:c r="AH26" s="59" t="n">
        <x:f>MIN(1,'_曲线基线'!$L$3+AH$9*($H$10*H26+$I$10*I26+$J$10*J26+$K$10*K26+$L$10*L26))</x:f>
        <x:v>0.05118158954811896</x:v>
      </x:c>
      <x:c r="AI26" s="59" t="n">
        <x:f>'_曲线基线'!$L$4+AI$9*($H$10*H26+$I$10*I26+$J$10*J26+$K$10*K26+$L$10*L26)</x:f>
        <x:v>2.0032915708840457</x:v>
      </x:c>
      <x:c r="AJ26" s="59" t="n">
        <x:f>1+AJ$9*($H$10*H26+$I$10*I26+$J$10*J26+$K$10*K26+$L$10*L26)</x:f>
        <x:v>1.0027007761099862</x:v>
      </x:c>
      <x:c r="AK26" s="59" t="n">
        <x:f>(1+AH26*(AI26-1))*AJ26</x:f>
        <x:v>1.0541895184962742</x:v>
      </x:c>
      <x:c r="AL26" s="59" t="n">
        <x:f>U26*AD26*AK26*F26</x:f>
        <x:v>11554.7916589384</x:v>
      </x:c>
      <x:c r="AM26" s="59" t="n">
        <x:f>IF($B26&lt;AM$8,0,AM$3+(AM$4-AM$3)*(POWER(AM$5,$B26-AM$8)-1)/(POWER(AM$5,$C$5-AM$8)-1))</x:f>
        <x:v>35.20066374903197</x:v>
      </x:c>
      <x:c r="AN26" s="59" t="n">
        <x:f>(((E26*'模块规划'!$D$10+G26*'模块规划'!$D$11+H26*'模块规划'!$D$13)*(1+'模块规划'!$G$14*H26)+(I26*'模块规划'!$D$15+J26*'模块规划'!$D$17+K26*'模块规划'!$D$16+L26*'模块规划'!$D$18))*(1+'模块规划'!$J$17*J26))*F26/(1-Q26)</x:f>
        <x:v>40054.770995084655</x:v>
      </x:c>
      <x:c r="AO26" s="59" t="n">
        <x:f>AL26*AM26</x:f>
        <x:v>406736.3358764099</x:v>
      </x:c>
      <x:c r="AP26" s="61" t="n">
        <x:f>IF(AO26="","",INDEX('_曲线基线'!$A$3:$A$502,MIN(ROWS('_曲线基线'!$A$3:$A$502),COUNTIF('_曲线基线'!$E$3:$E$502,"&lt;"&amp;AO26)+1)))</x:f>
        <x:v>29</x:v>
      </x:c>
      <x:c r="AQ26" s="61" t="n">
        <x:f>IF(B26&lt;=2,1,IF(B26&lt;=6,2,IF(B26&lt;=9,3,IF(B26&lt;=19,4,5))))</x:f>
        <x:v>4</x:v>
      </x:c>
      <x:c r="AR26" s="59" t="n">
        <x:f>AN26*(1-Q26)/F26*$AS$3+U26*$AS$4+P26*$AS$5</x:f>
        <x:v>833.0931736724792</x:v>
      </x:c>
      <x:c r="AS26" s="59" t="n">
        <x:f>1+AH26*$AS$6+AI26*$AS$7+(AJ26-1)*$AS$8+($H$10*H26+$I$10*I26+$J$10*J26+$K$10*K26+$L$10*L26)*$AU$3*$AS$9+($H$10*H26+$I$10*I26+$J$10*J26+$K$10*K26+$L$10*L26)*$AU$4*$AS$10</x:f>
        <x:v>5.012613546409333</x:v>
      </x:c>
      <x:c r="AT26" s="60" t="n">
        <x:f>ROUND(AR26*AS26,0)</x:f>
        <x:v>4176</x:v>
      </x:c>
      <x:c r="AU26" s="60" t="n">
        <x:f>ROUND(AT26*F26,0)</x:f>
        <x:v>16704</x:v>
      </x:c>
      <x:c r="AV26" s="60" t="n">
        <x:f>MIN(MATCH(B26,'主线调参'!$M$11:$M$62,1),ROWS('主线调参'!$M$11:$M$62)-1)</x:f>
        <x:v>12</x:v>
      </x:c>
      <x:c r="AW26" s="62" t="n">
        <x:f>(B26-INDEX('主线调参'!$M$11:$M$62,AV26))/(INDEX('主线调参'!$M$11:$M$62,AV26+1)-INDEX('主线调参'!$M$11:$M$62,AV26))</x:f>
        <x:v>0</x:v>
      </x:c>
      <x:c r="AX26" s="60" t="n">
        <x:f>IF(AU26=0,0,ROUND(AU26,2-INT(LOG10(ABS(AU26)))))</x:f>
        <x:v>16700</x:v>
      </x:c>
      <x:c r="AY26" s="62" t="n">
        <x:f>AU26/AU25-1</x:f>
        <x:v>0.04530663329161455</x:v>
      </x:c>
    </x:row>
    <x:row r="27" ht="25" customHeight="1">
      <x:c r="A27" s="40" t="n">
        <x:f>'调前玩家曲线'!A27</x:f>
        <x:v>13</x:v>
      </x:c>
      <x:c r="B27" s="40" t="n">
        <x:f>'调前玩家曲线'!B27</x:f>
        <x:v>16</x:v>
      </x:c>
      <x:c r="C27" s="40" t="n">
        <x:f>'调前玩家曲线'!C27</x:f>
        <x:v>2</x:v>
      </x:c>
      <x:c r="D27" s="40" t="n">
        <x:f>'调前玩家曲线'!D27</x:f>
        <x:v>4</x:v>
      </x:c>
      <x:c r="E27" s="40" t="n">
        <x:f>'调前玩家曲线'!E27</x:f>
        <x:v>1</x:v>
      </x:c>
      <x:c r="F27" s="40" t="n">
        <x:f>'调前玩家曲线'!F27</x:f>
        <x:v>4</x:v>
      </x:c>
      <x:c r="G27" s="63" t="n">
        <x:f>IF(B27&lt;$G$8,0,(INDEX('主线调参'!$C$11:$C$62,$AV27)+(INDEX('主线调参'!$C$11:$C$62,$AV27+1)-INDEX('主线调参'!$C$11:$C$62,$AV27))*$AW27)*'参数说明'!$C$27)</x:f>
        <x:v>0.1850063524131008</x:v>
      </x:c>
      <x:c r="H27" s="63" t="n">
        <x:f>IF(B27&lt;$H$8,0,(INDEX('主线调参'!$D$11:$D$62,$AV27)+(INDEX('主线调参'!$D$11:$D$62,$AV27+1)-INDEX('主线调参'!$D$11:$D$62,$AV27))*$AW27)*'参数说明'!$D$27)</x:f>
        <x:v>0.027311263506995063</x:v>
      </x:c>
      <x:c r="I27" s="63" t="n">
        <x:f>IF(B27&lt;$I$8,0,(INDEX('主线调参'!$E$11:$E$62,$AV27)+(INDEX('主线调参'!$E$11:$E$62,$AV27+1)-INDEX('主线调参'!$E$11:$E$62,$AV27))*$AW27)*'参数说明'!$E$27)</x:f>
        <x:v>0</x:v>
      </x:c>
      <x:c r="J27" s="63" t="n">
        <x:f>IF(B27&lt;$J$8,0,(INDEX('主线调参'!$F$11:$F$62,$AV27)+(INDEX('主线调参'!$F$11:$F$62,$AV27+1)-INDEX('主线调参'!$F$11:$F$62,$AV27))*$AW27)*'参数说明'!$F$27)</x:f>
        <x:v>0</x:v>
      </x:c>
      <x:c r="K27" s="63" t="n">
        <x:f>IF(B27&lt;$K$8,0,(INDEX('主线调参'!$G$11:$G$62,$AV27)+(INDEX('主线调参'!$G$11:$G$62,$AV27+1)-INDEX('主线调参'!$G$11:$G$62,$AV27))*$AW27)*'参数说明'!$G$27)</x:f>
        <x:v>0</x:v>
      </x:c>
      <x:c r="L27" s="63" t="n">
        <x:f>IF(B27&lt;$L$8,0,(INDEX('主线调参'!$H$11:$H$62,$AV27)+(INDEX('主线调参'!$H$11:$H$62,$AV27+1)-INDEX('主线调参'!$H$11:$H$62,$AV27))*$AW27)*'参数说明'!$H$27)</x:f>
        <x:v>0.013516332790513761</x:v>
      </x:c>
      <x:c r="M27" s="59" t="n">
        <x:f>E27*'模块规划'!$F$10+G27*'模块规划'!$F$11+H27*'模块规划'!$F$13</x:f>
        <x:v>1888.0304915828838</x:v>
      </x:c>
      <x:c r="N27" s="59" t="n">
        <x:f>I27*'模块规划'!$F$15+J27*'模块规划'!$F$17+K27*'模块规划'!$F$16+L27*'模块规划'!$F$18</x:f>
        <x:v>67.5816639525688</x:v>
      </x:c>
      <x:c r="O27" s="59" t="n">
        <x:f>1+O$9*SUMPRODUCT($H$10:$L$10,H27:L27)/SUM($H$10:$L$10)</x:f>
        <x:v>1.0184938035319107</x:v>
      </x:c>
      <x:c r="P27" s="59" t="n">
        <x:f>M27*O27+N27</x:f>
        <x:v>1990.529020509043</x:v>
      </x:c>
      <x:c r="Q27" s="59" t="n">
        <x:f>P27/(P27+'_曲线基线'!$L$2)</x:f>
        <x:v>0.07658670660140557</x:v>
      </x:c>
      <x:c r="R27" s="59" t="n">
        <x:f>E27*'模块规划'!$E$10+G27*'模块规划'!$E$11+H27*'模块规划'!$E$13</x:f>
        <x:v>2832.0457373743257</x:v>
      </x:c>
      <x:c r="S27" s="59" t="n">
        <x:f>I27*'模块规划'!$E$15+J27*'模块规划'!$E$17+K27*'模块规划'!$E$16+L27*'模块规划'!$E$18</x:f>
        <x:v>101.37249592885321</x:v>
      </x:c>
      <x:c r="T27" s="59" t="n">
        <x:f>1+T$9*SUMPRODUCT($H$10:$L$10,H27:L27)/SUM($H$10:$L$10)</x:f>
        <x:v>1.0184938035319107</x:v>
      </x:c>
      <x:c r="U27" s="59" t="n">
        <x:f>R27*T27+S27</x:f>
        <x:v>2985.793530763565</x:v>
      </x:c>
      <x:c r="V27" s="59" t="n">
        <x:f>V$8+(V$9-V$8)*H27</x:f>
        <x:v>0.7081933790520984</x:v>
      </x:c>
      <x:c r="W27" s="59" t="n">
        <x:f>IF(B27&lt;$H$8,0,W$8+(W$9-W$8)*H27)</x:f>
        <x:v>0.010924505402798025</x:v>
      </x:c>
      <x:c r="X27" s="59" t="n">
        <x:f>X$8+(X$9-X$8)*H27</x:f>
        <x:v>0.28251059746442364</x:v>
      </x:c>
      <x:c r="Y27" s="59" t="n">
        <x:f>Y$8+(Y$9-Y$8)*G27</x:f>
        <x:v>1</x:v>
      </x:c>
      <x:c r="Z27" s="59" t="n">
        <x:f>Z$8+(Z$9-Z$8)*H27</x:f>
        <x:v>1</x:v>
      </x:c>
      <x:c r="AA27" s="59" t="n">
        <x:f>AA$8+(AA$9-AA$8)*I27</x:f>
        <x:v>1</x:v>
      </x:c>
      <x:c r="AB27" s="59" t="n">
        <x:f>AB$8+(AB$9-AB$8)*J27</x:f>
        <x:v>1</x:v>
      </x:c>
      <x:c r="AC27" s="59" t="n">
        <x:f>AC$8+(AC$9-AC$8)*MAX(K27,L27)</x:f>
        <x:v>1</x:v>
      </x:c>
      <x:c r="AD27" s="59" t="n">
        <x:f>(V27*AE27+W27*AF27+X27*AG27)*PRODUCT(Y27:AC27)</x:f>
        <x:v>1.0024635328698288</x:v>
      </x:c>
      <x:c r="AE27" s="59" t="n">
        <x:f>1+AE$9*($H$10*H27+$I$10*I27+$J$10*J27+$K$10*K27+$L$10*L27)</x:f>
        <x:v>1</x:v>
      </x:c>
      <x:c r="AF27" s="59" t="n">
        <x:f>1+AF$9*($H$10*H27+$I$10*I27+$J$10*J27+$K$10*K27+$L$10*L27)</x:f>
        <x:v>1.0016322466275127</x:v>
      </x:c>
      <x:c r="AG27" s="59" t="n">
        <x:f>1+AG$9*($H$10*H27+$I$10*I27+$J$10*J27+$K$10*K27+$L$10*L27)</x:f>
        <x:v>1.0028927037454254</x:v>
      </x:c>
      <x:c r="AH27" s="59" t="n">
        <x:f>MIN(1,'_曲线基线'!$L$3+AH$9*($H$10*H27+$I$10*I27+$J$10*J27+$K$10*K27+$L$10*L27))</x:f>
        <x:v>0.05371336107759153</x:v>
      </x:c>
      <x:c r="AI27" s="59" t="n">
        <x:f>'_曲线基线'!$L$4+AI$9*($H$10*H27+$I$10*I27+$J$10*J27+$K$10*K27+$L$10*L27)</x:f>
        <x:v>2.0103443630018623</x:v>
      </x:c>
      <x:c r="AJ27" s="59" t="n">
        <x:f>1+AJ$9*($H$10*H27+$I$10*I27+$J$10*J27+$K$10*K27+$L$10*L27)</x:f>
        <x:v>1.0084876824630664</x:v>
      </x:c>
      <x:c r="AK27" s="59" t="n">
        <x:f>(1+AH27*(AI27-1))*AJ27</x:f>
        <x:v>1.0632172920138387</x:v>
      </x:c>
      <x:c r="AL27" s="59" t="n">
        <x:f>U27*AD27*AK27*F27</x:f>
        <x:v>12729.471655766125</x:v>
      </x:c>
      <x:c r="AM27" s="59" t="n">
        <x:f>IF($B27&lt;AM$8,0,AM$3+(AM$4-AM$3)*(POWER(AM$5,$B27-AM$8)-1)/(POWER(AM$5,$C$5-AM$8)-1))</x:f>
        <x:v>35.21609502644416</x:v>
      </x:c>
      <x:c r="AN27" s="59" t="n">
        <x:f>(((E27*'模块规划'!$D$10+G27*'模块规划'!$D$11+H27*'模块规划'!$D$13)*(1+'模块规划'!$G$14*H27)+(I27*'模块规划'!$D$15+J27*'模块规划'!$D$17+K27*'模块规划'!$D$16+L27*'模块规划'!$D$18))*(1+'模块规划'!$J$17*J27))*F27/(1-Q27)</x:f>
        <x:v>43361.30350918934</x:v>
      </x:c>
      <x:c r="AO27" s="59" t="n">
        <x:f>AL27*AM27</x:f>
        <x:v>448282.2834658873</x:v>
      </x:c>
      <x:c r="AP27" s="61" t="n">
        <x:f>IF(AO27="","",INDEX('_曲线基线'!$A$3:$A$502,MIN(ROWS('_曲线基线'!$A$3:$A$502),COUNTIF('_曲线基线'!$E$3:$E$502,"&lt;"&amp;AO27)+1)))</x:f>
        <x:v>31</x:v>
      </x:c>
      <x:c r="AQ27" s="61" t="n">
        <x:f>IF(B27&lt;=2,1,IF(B27&lt;=6,2,IF(B27&lt;=9,3,IF(B27&lt;=19,4,5))))</x:f>
        <x:v>4</x:v>
      </x:c>
      <x:c r="AR27" s="59" t="n">
        <x:f>AN27*(1-Q27)/F27*$AS$3+U27*$AS$4+P27*$AS$5</x:f>
        <x:v>897.4617367487872</x:v>
      </x:c>
      <x:c r="AS27" s="59" t="n">
        <x:f>1+AH27*$AS$6+AI27*$AS$7+(AJ27-1)*$AS$8+($H$10*H27+$I$10*I27+$J$10*J27+$K$10*K27+$L$10*L27)*$AU$3*$AS$9+($H$10*H27+$I$10*I27+$J$10*J27+$K$10*K27+$L$10*L27)*$AU$4*$AS$10</x:f>
        <x:v>5.079108590634118</x:v>
      </x:c>
      <x:c r="AT27" s="60" t="n">
        <x:f>ROUND(AR27*AS27,0)</x:f>
        <x:v>4558</x:v>
      </x:c>
      <x:c r="AU27" s="60" t="n">
        <x:f>ROUND(AT27*F27,0)</x:f>
        <x:v>18232</x:v>
      </x:c>
      <x:c r="AV27" s="60" t="n">
        <x:f>MIN(MATCH(B27,'主线调参'!$M$11:$M$62,1),ROWS('主线调参'!$M$11:$M$62)-1)</x:f>
        <x:v>12</x:v>
      </x:c>
      <x:c r="AW27" s="62" t="n">
        <x:f>(B27-INDEX('主线调参'!$M$11:$M$62,AV27))/(INDEX('主线调参'!$M$11:$M$62,AV27+1)-INDEX('主线调参'!$M$11:$M$62,AV27))</x:f>
        <x:v>0.2</x:v>
      </x:c>
      <x:c r="AX27" s="60" t="n">
        <x:f>IF(AU27=0,0,ROUND(AU27,2-INT(LOG10(ABS(AU27)))))</x:f>
        <x:v>18200</x:v>
      </x:c>
      <x:c r="AY27" s="62" t="n">
        <x:f>AU27/AU26-1</x:f>
        <x:v>0.09147509578544066</x:v>
      </x:c>
    </x:row>
    <x:row r="28" ht="25" customHeight="1">
      <x:c r="A28" s="40" t="n">
        <x:f>'调前玩家曲线'!A28</x:f>
        <x:v>13</x:v>
      </x:c>
      <x:c r="B28" s="40" t="n">
        <x:f>'调前玩家曲线'!B28</x:f>
        <x:v>17</x:v>
      </x:c>
      <x:c r="C28" s="40" t="n">
        <x:f>'调前玩家曲线'!C28</x:f>
        <x:v>2</x:v>
      </x:c>
      <x:c r="D28" s="40" t="n">
        <x:f>'调前玩家曲线'!D28</x:f>
        <x:v>5</x:v>
      </x:c>
      <x:c r="E28" s="40" t="n">
        <x:f>'调前玩家曲线'!E28</x:f>
        <x:v>1</x:v>
      </x:c>
      <x:c r="F28" s="40" t="n">
        <x:f>'调前玩家曲线'!F28</x:f>
        <x:v>4</x:v>
      </x:c>
      <x:c r="G28" s="63" t="n">
        <x:f>IF(B28&lt;$G$8,0,(INDEX('主线调参'!$C$11:$C$62,$AV28)+(INDEX('主线调参'!$C$11:$C$62,$AV28+1)-INDEX('主线调参'!$C$11:$C$62,$AV28))*$AW28)*'参数说明'!$C$27)</x:f>
        <x:v>0.1957701112945906</x:v>
      </x:c>
      <x:c r="H28" s="63" t="n">
        <x:f>IF(B28&lt;$H$8,0,(INDEX('主线调参'!$D$11:$D$62,$AV28)+(INDEX('主线调参'!$D$11:$D$62,$AV28+1)-INDEX('主线调参'!$D$11:$D$62,$AV28))*$AW28)*'参数说明'!$D$27)</x:f>
        <x:v>0.04055598477447872</x:v>
      </x:c>
      <x:c r="I28" s="63" t="n">
        <x:f>IF(B28&lt;$I$8,0,(INDEX('主线调参'!$E$11:$E$62,$AV28)+(INDEX('主线调参'!$E$11:$E$62,$AV28+1)-INDEX('主线调参'!$E$11:$E$62,$AV28))*$AW28)*'参数说明'!$E$27)</x:f>
        <x:v>0</x:v>
      </x:c>
      <x:c r="J28" s="63" t="n">
        <x:f>IF(B28&lt;$J$8,0,(INDEX('主线调参'!$F$11:$F$62,$AV28)+(INDEX('主线调参'!$F$11:$F$62,$AV28+1)-INDEX('主线调参'!$F$11:$F$62,$AV28))*$AW28)*'参数说明'!$F$27)</x:f>
        <x:v>0</x:v>
      </x:c>
      <x:c r="K28" s="63" t="n">
        <x:f>IF(B28&lt;$K$8,0,(INDEX('主线调参'!$G$11:$G$62,$AV28)+(INDEX('主线调参'!$G$11:$G$62,$AV28+1)-INDEX('主线调参'!$G$11:$G$62,$AV28))*$AW28)*'参数说明'!$G$27)</x:f>
        <x:v>0</x:v>
      </x:c>
      <x:c r="L28" s="63" t="n">
        <x:f>IF(B28&lt;$L$8,0,(INDEX('主线调参'!$H$11:$H$62,$AV28)+(INDEX('主线调参'!$H$11:$H$62,$AV28+1)-INDEX('主线调参'!$H$11:$H$62,$AV28))*$AW28)*'参数说明'!$H$27)</x:f>
        <x:v>0.027032665581027522</x:v>
      </x:c>
      <x:c r="M28" s="59" t="n">
        <x:f>E28*'模块规划'!$F$10+G28*'模块规划'!$F$11+H28*'模块规划'!$F$13</x:f>
        <x:v>1939.6965342140347</x:v>
      </x:c>
      <x:c r="N28" s="59" t="n">
        <x:f>I28*'模块规划'!$F$15+J28*'模块规划'!$F$17+K28*'模块规划'!$F$16+L28*'模块规划'!$F$18</x:f>
        <x:v>135.1633279051376</x:v>
      </x:c>
      <x:c r="O28" s="59" t="n">
        <x:f>1+O$9*SUMPRODUCT($H$10:$L$10,H28:L28)/SUM($H$10:$L$10)</x:f>
        <x:v>1.0311028884755487</x:v>
      </x:c>
      <x:c r="P28" s="59" t="n">
        <x:f>M28*O28+N28</x:f>
        <x:v>2135.1900270992396</x:v>
      </x:c>
      <x:c r="Q28" s="59" t="n">
        <x:f>P28/(P28+'_曲线基线'!$L$2)</x:f>
        <x:v>0.08169789562981132</x:v>
      </x:c>
      <x:c r="R28" s="59" t="n">
        <x:f>E28*'模块规划'!$E$10+G28*'模块规划'!$E$11+H28*'模块规划'!$E$13</x:f>
        <x:v>2909.5448013210525</x:v>
      </x:c>
      <x:c r="S28" s="59" t="n">
        <x:f>I28*'模块规划'!$E$15+J28*'模块规划'!$E$17+K28*'模块规划'!$E$16+L28*'模块规划'!$E$18</x:f>
        <x:v>202.74499185770642</x:v>
      </x:c>
      <x:c r="T28" s="59" t="n">
        <x:f>1+T$9*SUMPRODUCT($H$10:$L$10,H28:L28)/SUM($H$10:$L$10)</x:f>
        <x:v>1.0311028884755487</x:v>
      </x:c>
      <x:c r="U28" s="59" t="n">
        <x:f>R28*T28+S28</x:f>
        <x:v>3202.78504064886</x:v>
      </x:c>
      <x:c r="V28" s="59" t="n">
        <x:f>V$8+(V$9-V$8)*H28</x:f>
        <x:v>0.7121667954323436</x:v>
      </x:c>
      <x:c r="W28" s="59" t="n">
        <x:f>IF(B28&lt;$H$8,0,W$8+(W$9-W$8)*H28)</x:f>
        <x:v>0.01622239390979149</x:v>
      </x:c>
      <x:c r="X28" s="59" t="n">
        <x:f>X$8+(X$9-X$8)*H28</x:f>
        <x:v>0.28615289581298164</x:v>
      </x:c>
      <x:c r="Y28" s="59" t="n">
        <x:f>Y$8+(Y$9-Y$8)*G28</x:f>
        <x:v>1</x:v>
      </x:c>
      <x:c r="Z28" s="59" t="n">
        <x:f>Z$8+(Z$9-Z$8)*H28</x:f>
        <x:v>1</x:v>
      </x:c>
      <x:c r="AA28" s="59" t="n">
        <x:f>AA$8+(AA$9-AA$8)*I28</x:f>
        <x:v>1</x:v>
      </x:c>
      <x:c r="AB28" s="59" t="n">
        <x:f>AB$8+(AB$9-AB$8)*J28</x:f>
        <x:v>1</x:v>
      </x:c>
      <x:c r="AC28" s="59" t="n">
        <x:f>AC$8+(AC$9-AC$8)*MAX(K28,L28)</x:f>
        <x:v>1</x:v>
      </x:c>
      <x:c r="AD28" s="59" t="n">
        <x:f>(V28*AE28+W28*AF28+X28*AG28)*PRODUCT(Y28:AC28)</x:f>
        <x:v>1.0159787371871307</x:v>
      </x:c>
      <x:c r="AE28" s="59" t="n">
        <x:f>1+AE$9*($H$10*H28+$I$10*I28+$J$10*J28+$K$10*K28+$L$10*L28)</x:f>
        <x:v>1</x:v>
      </x:c>
      <x:c r="AF28" s="59" t="n">
        <x:f>1+AF$9*($H$10*H28+$I$10*I28+$J$10*J28+$K$10*K28+$L$10*L28)</x:f>
        <x:v>1.0027451132338743</x:v>
      </x:c>
      <x:c r="AG28" s="59" t="n">
        <x:f>1+AG$9*($H$10*H28+$I$10*I28+$J$10*J28+$K$10*K28+$L$10*L28)</x:f>
        <x:v>1.0048649506755885</x:v>
      </x:c>
      <x:c r="AH28" s="59" t="n">
        <x:f>MIN(1,'_曲线基线'!$L$3+AH$9*($H$10*H28+$I$10*I28+$J$10*J28+$K$10*K28+$L$10*L28))</x:f>
        <x:v>0.056245132607064104</x:v>
      </x:c>
      <x:c r="AI28" s="59" t="n">
        <x:f>'_曲线基线'!$L$4+AI$9*($H$10*H28+$I$10*I28+$J$10*J28+$K$10*K28+$L$10*L28)</x:f>
        <x:v>2.0173971551196788</x:v>
      </x:c>
      <x:c r="AJ28" s="59" t="n">
        <x:f>1+AJ$9*($H$10*H28+$I$10*I28+$J$10*J28+$K$10*K28+$L$10*L28)</x:f>
        <x:v>1.0142745888161466</x:v>
      </x:c>
      <x:c r="AK28" s="59" t="n">
        <x:f>(1+AH28*(AI28-1))*AJ28</x:f>
        <x:v>1.072315070621543</x:v>
      </x:c>
      <x:c r="AL28" s="59" t="n">
        <x:f>U28*AD28*AK28*F28</x:f>
        <x:v>13957.087827322654</x:v>
      </x:c>
      <x:c r="AM28" s="59" t="n">
        <x:f>IF($B28&lt;AM$8,0,AM$3+(AM$4-AM$3)*(POWER(AM$5,$B28-AM$8)-1)/(POWER(AM$5,$C$5-AM$8)-1))</x:f>
        <x:v>35.23168061663046</x:v>
      </x:c>
      <x:c r="AN28" s="59" t="n">
        <x:f>(((E28*'模块规划'!$D$10+G28*'模块规划'!$D$11+H28*'模块规划'!$D$13)*(1+'模块规划'!$G$14*H28)+(I28*'模块规划'!$D$15+J28*'模块规划'!$D$17+K28*'模块规划'!$D$16+L28*'模块规划'!$D$18))*(1+'模块规划'!$J$17*J28))*F28/(1-Q28)</x:f>
        <x:v>46731.016398760905</x:v>
      </x:c>
      <x:c r="AO28" s="59" t="n">
        <x:f>AL28*AM28</x:f>
        <x:v>491731.6606704925</x:v>
      </x:c>
      <x:c r="AP28" s="61" t="n">
        <x:f>IF(AO28="","",INDEX('_曲线基线'!$A$3:$A$502,MIN(ROWS('_曲线基线'!$A$3:$A$502),COUNTIF('_曲线基线'!$E$3:$E$502,"&lt;"&amp;AO28)+1)))</x:f>
        <x:v>33</x:v>
      </x:c>
      <x:c r="AQ28" s="61" t="n">
        <x:f>IF(B28&lt;=2,1,IF(B28&lt;=6,2,IF(B28&lt;=9,3,IF(B28&lt;=19,4,5))))</x:f>
        <x:v>4</x:v>
      </x:c>
      <x:c r="AR28" s="59" t="n">
        <x:f>AN28*(1-Q28)/F28*$AS$3+U28*$AS$4+P28*$AS$5</x:f>
        <x:v>962.4059383673214</x:v>
      </x:c>
      <x:c r="AS28" s="59" t="n">
        <x:f>1+AH28*$AS$6+AI28*$AS$7+(AJ28-1)*$AS$8+($H$10*H28+$I$10*I28+$J$10*J28+$K$10*K28+$L$10*L28)*$AU$3*$AS$9+($H$10*H28+$I$10*I28+$J$10*J28+$K$10*K28+$L$10*L28)*$AU$4*$AS$10</x:f>
        <x:v>5.1456036348589045</x:v>
      </x:c>
      <x:c r="AT28" s="60" t="n">
        <x:f>ROUND(AR28*AS28,0)</x:f>
        <x:v>4952</x:v>
      </x:c>
      <x:c r="AU28" s="60" t="n">
        <x:f>ROUND(AT28*F28,0)</x:f>
        <x:v>19808</x:v>
      </x:c>
      <x:c r="AV28" s="60" t="n">
        <x:f>MIN(MATCH(B28,'主线调参'!$M$11:$M$62,1),ROWS('主线调参'!$M$11:$M$62)-1)</x:f>
        <x:v>12</x:v>
      </x:c>
      <x:c r="AW28" s="62" t="n">
        <x:f>(B28-INDEX('主线调参'!$M$11:$M$62,AV28))/(INDEX('主线调参'!$M$11:$M$62,AV28+1)-INDEX('主线调参'!$M$11:$M$62,AV28))</x:f>
        <x:v>0.4</x:v>
      </x:c>
      <x:c r="AX28" s="60" t="n">
        <x:f>IF(AU28=0,0,ROUND(AU28,2-INT(LOG10(ABS(AU28)))))</x:f>
        <x:v>19800</x:v>
      </x:c>
      <x:c r="AY28" s="62" t="n">
        <x:f>AU28/AU27-1</x:f>
        <x:v>0.08644142167617375</x:v>
      </x:c>
    </x:row>
    <x:row r="29" ht="25" customHeight="1">
      <x:c r="A29" s="40" t="n">
        <x:f>'调前玩家曲线'!A29</x:f>
        <x:v>14</x:v>
      </x:c>
      <x:c r="B29" s="40" t="n">
        <x:f>'调前玩家曲线'!B29</x:f>
        <x:v>18</x:v>
      </x:c>
      <x:c r="C29" s="40" t="n">
        <x:f>'调前玩家曲线'!C29</x:f>
        <x:v>2</x:v>
      </x:c>
      <x:c r="D29" s="40" t="n">
        <x:f>'调前玩家曲线'!D29</x:f>
        <x:v>6</x:v>
      </x:c>
      <x:c r="E29" s="40" t="n">
        <x:f>'调前玩家曲线'!E29</x:f>
        <x:v>1</x:v>
      </x:c>
      <x:c r="F29" s="40" t="n">
        <x:f>'调前玩家曲线'!F29</x:f>
        <x:v>4</x:v>
      </x:c>
      <x:c r="G29" s="63" t="n">
        <x:f>IF(B29&lt;$G$8,0,(INDEX('主线调参'!$C$11:$C$62,$AV29)+(INDEX('主线调参'!$C$11:$C$62,$AV29+1)-INDEX('主线调参'!$C$11:$C$62,$AV29))*$AW29)*'参数说明'!$C$27)</x:f>
        <x:v>0.20653387017608038</x:v>
      </x:c>
      <x:c r="H29" s="63" t="n">
        <x:f>IF(B29&lt;$H$8,0,(INDEX('主线调参'!$D$11:$D$62,$AV29)+(INDEX('主线调参'!$D$11:$D$62,$AV29+1)-INDEX('主线调参'!$D$11:$D$62,$AV29))*$AW29)*'参数说明'!$D$27)</x:f>
        <x:v>0.053800706041962375</x:v>
      </x:c>
      <x:c r="I29" s="63" t="n">
        <x:f>IF(B29&lt;$I$8,0,(INDEX('主线调参'!$E$11:$E$62,$AV29)+(INDEX('主线调参'!$E$11:$E$62,$AV29+1)-INDEX('主线调参'!$E$11:$E$62,$AV29))*$AW29)*'参数说明'!$E$27)</x:f>
        <x:v>0</x:v>
      </x:c>
      <x:c r="J29" s="63" t="n">
        <x:f>IF(B29&lt;$J$8,0,(INDEX('主线调参'!$F$11:$F$62,$AV29)+(INDEX('主线调参'!$F$11:$F$62,$AV29+1)-INDEX('主线调参'!$F$11:$F$62,$AV29))*$AW29)*'参数说明'!$F$27)</x:f>
        <x:v>0</x:v>
      </x:c>
      <x:c r="K29" s="63" t="n">
        <x:f>IF(B29&lt;$K$8,0,(INDEX('主线调参'!$G$11:$G$62,$AV29)+(INDEX('主线调参'!$G$11:$G$62,$AV29+1)-INDEX('主线调参'!$G$11:$G$62,$AV29))*$AW29)*'参数说明'!$G$27)</x:f>
        <x:v>0</x:v>
      </x:c>
      <x:c r="L29" s="63" t="n">
        <x:f>IF(B29&lt;$L$8,0,(INDEX('主线调参'!$H$11:$H$62,$AV29)+(INDEX('主线调参'!$H$11:$H$62,$AV29+1)-INDEX('主线调参'!$H$11:$H$62,$AV29))*$AW29)*'参数说明'!$H$27)</x:f>
        <x:v>0.04054899837154128</x:v>
      </x:c>
      <x:c r="M29" s="59" t="n">
        <x:f>E29*'模块规划'!$F$10+G29*'模块规划'!$F$11+H29*'模块规划'!$F$13</x:f>
        <x:v>1991.3625768451857</x:v>
      </x:c>
      <x:c r="N29" s="59" t="n">
        <x:f>I29*'模块规划'!$F$15+J29*'模块规划'!$F$17+K29*'模块规划'!$F$16+L29*'模块规划'!$F$18</x:f>
        <x:v>202.7449918577064</x:v>
      </x:c>
      <x:c r="O29" s="59" t="n">
        <x:f>1+O$9*SUMPRODUCT($H$10:$L$10,H29:L29)/SUM($H$10:$L$10)</x:f>
        <x:v>1.0437119734191866</x:v>
      </x:c>
      <x:c r="P29" s="59" t="n">
        <x:f>M29*O29+N29</x:f>
        <x:v>2281.153956729912</x:v>
      </x:c>
      <x:c r="Q29" s="59" t="n">
        <x:f>P29/(P29+'_曲线基线'!$L$2)</x:f>
        <x:v>0.08679808963052661</x:v>
      </x:c>
      <x:c r="R29" s="59" t="n">
        <x:f>E29*'模块规划'!$E$10+G29*'模块规划'!$E$11+H29*'模块规划'!$E$13</x:f>
        <x:v>2987.0438652677785</x:v>
      </x:c>
      <x:c r="S29" s="59" t="n">
        <x:f>I29*'模块规划'!$E$15+J29*'模块规划'!$E$17+K29*'模块规划'!$E$16+L29*'模块规划'!$E$18</x:f>
        <x:v>304.1174877865596</x:v>
      </x:c>
      <x:c r="T29" s="59" t="n">
        <x:f>1+T$9*SUMPRODUCT($H$10:$L$10,H29:L29)/SUM($H$10:$L$10)</x:f>
        <x:v>1.0437119734191866</x:v>
      </x:c>
      <x:c r="U29" s="59" t="n">
        <x:f>R29*T29+S29</x:f>
        <x:v>3421.730935094868</x:v>
      </x:c>
      <x:c r="V29" s="59" t="n">
        <x:f>V$8+(V$9-V$8)*H29</x:f>
        <x:v>0.7161402118125887</x:v>
      </x:c>
      <x:c r="W29" s="59" t="n">
        <x:f>IF(B29&lt;$H$8,0,W$8+(W$9-W$8)*H29)</x:f>
        <x:v>0.021520282416784952</x:v>
      </x:c>
      <x:c r="X29" s="59" t="n">
        <x:f>X$8+(X$9-X$8)*H29</x:f>
        <x:v>0.28979519416153965</x:v>
      </x:c>
      <x:c r="Y29" s="59" t="n">
        <x:f>Y$8+(Y$9-Y$8)*G29</x:f>
        <x:v>1</x:v>
      </x:c>
      <x:c r="Z29" s="59" t="n">
        <x:f>Z$8+(Z$9-Z$8)*H29</x:f>
        <x:v>1</x:v>
      </x:c>
      <x:c r="AA29" s="59" t="n">
        <x:f>AA$8+(AA$9-AA$8)*I29</x:f>
        <x:v>1</x:v>
      </x:c>
      <x:c r="AB29" s="59" t="n">
        <x:f>AB$8+(AB$9-AB$8)*J29</x:f>
        <x:v>1</x:v>
      </x:c>
      <x:c r="AC29" s="59" t="n">
        <x:f>AC$8+(AC$9-AC$8)*MAX(K29,L29)</x:f>
        <x:v>1</x:v>
      </x:c>
      <x:c r="AD29" s="59" t="n">
        <x:f>(V29*AE29+W29*AF29+X29*AG29)*PRODUCT(Y29:AC29)</x:f>
        <x:v>1.029520100214313</x:v>
      </x:c>
      <x:c r="AE29" s="59" t="n">
        <x:f>1+AE$9*($H$10*H29+$I$10*I29+$J$10*J29+$K$10*K29+$L$10*L29)</x:f>
        <x:v>1</x:v>
      </x:c>
      <x:c r="AF29" s="59" t="n">
        <x:f>1+AF$9*($H$10*H29+$I$10*I29+$J$10*J29+$K$10*K29+$L$10*L29)</x:f>
        <x:v>1.0038579798402358</x:v>
      </x:c>
      <x:c r="AG29" s="59" t="n">
        <x:f>1+AG$9*($H$10*H29+$I$10*I29+$J$10*J29+$K$10*K29+$L$10*L29)</x:f>
        <x:v>1.0068371976057515</x:v>
      </x:c>
      <x:c r="AH29" s="59" t="n">
        <x:f>MIN(1,'_曲线基线'!$L$3+AH$9*($H$10*H29+$I$10*I29+$J$10*J29+$K$10*K29+$L$10*L29))</x:f>
        <x:v>0.058776904136536676</x:v>
      </x:c>
      <x:c r="AI29" s="59" t="n">
        <x:f>'_曲线基线'!$L$4+AI$9*($H$10*H29+$I$10*I29+$J$10*J29+$K$10*K29+$L$10*L29)</x:f>
        <x:v>2.024449947237495</x:v>
      </x:c>
      <x:c r="AJ29" s="59" t="n">
        <x:f>1+AJ$9*($H$10*H29+$I$10*I29+$J$10*J29+$K$10*K29+$L$10*L29)</x:f>
        <x:v>1.0200614951692266</x:v>
      </x:c>
      <x:c r="AK29" s="59" t="n">
        <x:f>(1+AH29*(AI29-1))*AJ29</x:f>
        <x:v>1.0814834743074089</x:v>
      </x:c>
      <x:c r="AL29" s="59" t="n">
        <x:f>U29*AD29*AK29*F29</x:f>
        <x:v>15239.14373061354</x:v>
      </x:c>
      <x:c r="AM29" s="59" t="n">
        <x:f>IF($B29&lt;AM$8,0,AM$3+(AM$4-AM$3)*(POWER(AM$5,$B29-AM$8)-1)/(POWER(AM$5,$C$5-AM$8)-1))</x:f>
        <x:v>35.24742206271864</x:v>
      </x:c>
      <x:c r="AN29" s="59" t="n">
        <x:f>(((E29*'模块规划'!$D$10+G29*'模块规划'!$D$11+H29*'模块规划'!$D$13)*(1+'模块规划'!$G$14*H29)+(I29*'模块规划'!$D$15+J29*'模块规划'!$D$17+K29*'模块规划'!$D$16+L29*'模块规划'!$D$18))*(1+'模块规划'!$J$17*J29))*F29/(1-Q29)</x:f>
        <x:v>50164.823004673635</x:v>
      </x:c>
      <x:c r="AO29" s="59" t="n">
        <x:f>AL29*AM29</x:f>
        <x:v>537140.5309473681</x:v>
      </x:c>
      <x:c r="AP29" s="61" t="n">
        <x:f>IF(AO29="","",INDEX('_曲线基线'!$A$3:$A$502,MIN(ROWS('_曲线基线'!$A$3:$A$502),COUNTIF('_曲线基线'!$E$3:$E$502,"&lt;"&amp;AO29)+1)))</x:f>
        <x:v>35</x:v>
      </x:c>
      <x:c r="AQ29" s="61" t="n">
        <x:f>IF(B29&lt;=2,1,IF(B29&lt;=6,2,IF(B29&lt;=9,3,IF(B29&lt;=19,4,5))))</x:f>
        <x:v>4</x:v>
      </x:c>
      <x:c r="AR29" s="59" t="n">
        <x:f>AN29*(1-Q29)/F29*$AS$3+U29*$AS$4+P29*$AS$5</x:f>
        <x:v>1027.925778528082</x:v>
      </x:c>
      <x:c r="AS29" s="59" t="n">
        <x:f>1+AH29*$AS$6+AI29*$AS$7+(AJ29-1)*$AS$8+($H$10*H29+$I$10*I29+$J$10*J29+$K$10*K29+$L$10*L29)*$AU$3*$AS$9+($H$10*H29+$I$10*I29+$J$10*J29+$K$10*K29+$L$10*L29)*$AU$4*$AS$10</x:f>
        <x:v>5.212098679083688</x:v>
      </x:c>
      <x:c r="AT29" s="60" t="n">
        <x:f>ROUND(AR29*AS29,0)</x:f>
        <x:v>5358</x:v>
      </x:c>
      <x:c r="AU29" s="60" t="n">
        <x:f>ROUND(AT29*F29,0)</x:f>
        <x:v>21432</x:v>
      </x:c>
      <x:c r="AV29" s="60" t="n">
        <x:f>MIN(MATCH(B29,'主线调参'!$M$11:$M$62,1),ROWS('主线调参'!$M$11:$M$62)-1)</x:f>
        <x:v>12</x:v>
      </x:c>
      <x:c r="AW29" s="62" t="n">
        <x:f>(B29-INDEX('主线调参'!$M$11:$M$62,AV29))/(INDEX('主线调参'!$M$11:$M$62,AV29+1)-INDEX('主线调参'!$M$11:$M$62,AV29))</x:f>
        <x:v>0.6</x:v>
      </x:c>
      <x:c r="AX29" s="60" t="n">
        <x:f>IF(AU29=0,0,ROUND(AU29,2-INT(LOG10(ABS(AU29)))))</x:f>
        <x:v>21400</x:v>
      </x:c>
      <x:c r="AY29" s="62" t="n">
        <x:f>AU29/AU28-1</x:f>
        <x:v>0.08198707592891763</x:v>
      </x:c>
    </x:row>
    <x:row r="30" ht="25" customHeight="1">
      <x:c r="A30" s="40" t="n">
        <x:f>'调前玩家曲线'!A30</x:f>
        <x:v>14</x:v>
      </x:c>
      <x:c r="B30" s="40" t="n">
        <x:f>'调前玩家曲线'!B30</x:f>
        <x:v>19</x:v>
      </x:c>
      <x:c r="C30" s="40" t="n">
        <x:f>'调前玩家曲线'!C30</x:f>
        <x:v>2</x:v>
      </x:c>
      <x:c r="D30" s="40" t="n">
        <x:f>'调前玩家曲线'!D30</x:f>
        <x:v>7</x:v>
      </x:c>
      <x:c r="E30" s="40" t="n">
        <x:f>'调前玩家曲线'!E30</x:f>
        <x:v>1</x:v>
      </x:c>
      <x:c r="F30" s="40" t="n">
        <x:f>'调前玩家曲线'!F30</x:f>
        <x:v>4</x:v>
      </x:c>
      <x:c r="G30" s="63" t="n">
        <x:f>IF(B30&lt;$G$8,0,(INDEX('主线调参'!$C$11:$C$62,$AV30)+(INDEX('主线调参'!$C$11:$C$62,$AV30+1)-INDEX('主线调参'!$C$11:$C$62,$AV30))*$AW30)*'参数说明'!$C$27)</x:f>
        <x:v>0.21729762905757022</x:v>
      </x:c>
      <x:c r="H30" s="63" t="n">
        <x:f>IF(B30&lt;$H$8,0,(INDEX('主线调参'!$D$11:$D$62,$AV30)+(INDEX('主线调参'!$D$11:$D$62,$AV30+1)-INDEX('主线调参'!$D$11:$D$62,$AV30))*$AW30)*'参数说明'!$D$27)</x:f>
        <x:v>0.06704542730944604</x:v>
      </x:c>
      <x:c r="I30" s="63" t="n">
        <x:f>IF(B30&lt;$I$8,0,(INDEX('主线调参'!$E$11:$E$62,$AV30)+(INDEX('主线调参'!$E$11:$E$62,$AV30+1)-INDEX('主线调参'!$E$11:$E$62,$AV30))*$AW30)*'参数说明'!$E$27)</x:f>
        <x:v>0</x:v>
      </x:c>
      <x:c r="J30" s="63" t="n">
        <x:f>IF(B30&lt;$J$8,0,(INDEX('主线调参'!$F$11:$F$62,$AV30)+(INDEX('主线调参'!$F$11:$F$62,$AV30+1)-INDEX('主线调参'!$F$11:$F$62,$AV30))*$AW30)*'参数说明'!$F$27)</x:f>
        <x:v>0</x:v>
      </x:c>
      <x:c r="K30" s="63" t="n">
        <x:f>IF(B30&lt;$K$8,0,(INDEX('主线调参'!$G$11:$G$62,$AV30)+(INDEX('主线调参'!$G$11:$G$62,$AV30+1)-INDEX('主线调参'!$G$11:$G$62,$AV30))*$AW30)*'参数说明'!$G$27)</x:f>
        <x:v>0</x:v>
      </x:c>
      <x:c r="L30" s="63" t="n">
        <x:f>IF(B30&lt;$L$8,0,(INDEX('主线调参'!$H$11:$H$62,$AV30)+(INDEX('主线调参'!$H$11:$H$62,$AV30+1)-INDEX('主线调参'!$H$11:$H$62,$AV30))*$AW30)*'参数说明'!$H$27)</x:f>
        <x:v>0.054065331162055044</x:v>
      </x:c>
      <x:c r="M30" s="59" t="n">
        <x:f>E30*'模块规划'!$F$10+G30*'模块规划'!$F$11+H30*'模块规划'!$F$13</x:f>
        <x:v>2043.028619476337</x:v>
      </x:c>
      <x:c r="N30" s="59" t="n">
        <x:f>I30*'模块规划'!$F$15+J30*'模块规划'!$F$17+K30*'模块规划'!$F$16+L30*'模块规划'!$F$18</x:f>
        <x:v>270.3266558102752</x:v>
      </x:c>
      <x:c r="O30" s="59" t="n">
        <x:f>1+O$9*SUMPRODUCT($H$10:$L$10,H30:L30)/SUM($H$10:$L$10)</x:f>
        <x:v>1.0563210583628246</x:v>
      </x:c>
      <x:c r="P30" s="59" t="n">
        <x:f>M30*O30+N30</x:f>
        <x:v>2428.42080940106</x:v>
      </x:c>
      <x:c r="Q30" s="59" t="n">
        <x:f>P30/(P30+'_曲线基线'!$L$2)</x:f>
        <x:v>0.09188671646007798</x:v>
      </x:c>
      <x:c r="R30" s="59" t="n">
        <x:f>E30*'模块规划'!$E$10+G30*'模块规划'!$E$11+H30*'模块规划'!$E$13</x:f>
        <x:v>3064.5429292145054</x:v>
      </x:c>
      <x:c r="S30" s="59" t="n">
        <x:f>I30*'模块规划'!$E$15+J30*'模块规划'!$E$17+K30*'模块规划'!$E$16+L30*'模块规划'!$E$18</x:f>
        <x:v>405.48998371541285</x:v>
      </x:c>
      <x:c r="T30" s="59" t="n">
        <x:f>1+T$9*SUMPRODUCT($H$10:$L$10,H30:L30)/SUM($H$10:$L$10)</x:f>
        <x:v>1.0563210583628246</x:v>
      </x:c>
      <x:c r="U30" s="59" t="n">
        <x:f>R30*T30+S30</x:f>
        <x:v>3642.63121410159</x:v>
      </x:c>
      <x:c r="V30" s="59" t="n">
        <x:f>V$8+(V$9-V$8)*H30</x:f>
        <x:v>0.7201136281928338</x:v>
      </x:c>
      <x:c r="W30" s="59" t="n">
        <x:f>IF(B30&lt;$H$8,0,W$8+(W$9-W$8)*H30)</x:f>
        <x:v>0.026818170923778417</x:v>
      </x:c>
      <x:c r="X30" s="59" t="n">
        <x:f>X$8+(X$9-X$8)*H30</x:f>
        <x:v>0.2934374925100977</x:v>
      </x:c>
      <x:c r="Y30" s="59" t="n">
        <x:f>Y$8+(Y$9-Y$8)*G30</x:f>
        <x:v>1</x:v>
      </x:c>
      <x:c r="Z30" s="59" t="n">
        <x:f>Z$8+(Z$9-Z$8)*H30</x:f>
        <x:v>1</x:v>
      </x:c>
      <x:c r="AA30" s="59" t="n">
        <x:f>AA$8+(AA$9-AA$8)*I30</x:f>
        <x:v>1</x:v>
      </x:c>
      <x:c r="AB30" s="59" t="n">
        <x:f>AB$8+(AB$9-AB$8)*J30</x:f>
        <x:v>1</x:v>
      </x:c>
      <x:c r="AC30" s="59" t="n">
        <x:f>AC$8+(AC$9-AC$8)*MAX(K30,L30)</x:f>
        <x:v>1</x:v>
      </x:c>
      <x:c r="AD30" s="59" t="n">
        <x:f>(V30*AE30+W30*AF30+X30*AG30)*PRODUCT(Y30:AC30)</x:f>
        <x:v>1.0430876219513763</x:v>
      </x:c>
      <x:c r="AE30" s="59" t="n">
        <x:f>1+AE$9*($H$10*H30+$I$10*I30+$J$10*J30+$K$10*K30+$L$10*L30)</x:f>
        <x:v>1</x:v>
      </x:c>
      <x:c r="AF30" s="59" t="n">
        <x:f>1+AF$9*($H$10*H30+$I$10*I30+$J$10*J30+$K$10*K30+$L$10*L30)</x:f>
        <x:v>1.0049708464465974</x:v>
      </x:c>
      <x:c r="AG30" s="59" t="n">
        <x:f>1+AG$9*($H$10*H30+$I$10*I30+$J$10*J30+$K$10*K30+$L$10*L30)</x:f>
        <x:v>1.0088094445359146</x:v>
      </x:c>
      <x:c r="AH30" s="59" t="n">
        <x:f>MIN(1,'_曲线基线'!$L$3+AH$9*($H$10*H30+$I$10*I30+$J$10*J30+$K$10*K30+$L$10*L30))</x:f>
        <x:v>0.06130867566600925</x:v>
      </x:c>
      <x:c r="AI30" s="59" t="n">
        <x:f>'_曲线基线'!$L$4+AI$9*($H$10*H30+$I$10*I30+$J$10*J30+$K$10*K30+$L$10*L30)</x:f>
        <x:v>2.0315027393553113</x:v>
      </x:c>
      <x:c r="AJ30" s="59" t="n">
        <x:f>1+AJ$9*($H$10*H30+$I$10*I30+$J$10*J30+$K$10*K30+$L$10*L30)</x:f>
        <x:v>1.0258484015223068</x:v>
      </x:c>
      <x:c r="AK30" s="59" t="n">
        <x:f>(1+AH30*(AI30-1))*AJ30</x:f>
        <x:v>1.0907231230594603</x:v>
      </x:c>
      <x:c r="AL30" s="59" t="n">
        <x:f>U30*AD30*AK30*F30</x:f>
        <x:v>16577.1744599968</x:v>
      </x:c>
      <x:c r="AM30" s="59" t="n">
        <x:f>IF($B30&lt;AM$8,0,AM$3+(AM$4-AM$3)*(POWER(AM$5,$B30-AM$8)-1)/(POWER(AM$5,$C$5-AM$8)-1))</x:f>
        <x:v>35.26332092326769</x:v>
      </x:c>
      <x:c r="AN30" s="59" t="n">
        <x:f>(((E30*'模块规划'!$D$10+G30*'模块规划'!$D$11+H30*'模块规划'!$D$13)*(1+'模块规划'!$G$14*H30)+(I30*'模块规划'!$D$15+J30*'模块规划'!$D$17+K30*'模块规划'!$D$16+L30*'模块规划'!$D$18))*(1+'模块规划'!$J$17*J30))*F30/(1-Q30)</x:f>
        <x:v>53663.64469214134</x:v>
      </x:c>
      <x:c r="AO30" s="59" t="n">
        <x:f>AL30*AM30</x:f>
        <x:v>584566.222983864</x:v>
      </x:c>
      <x:c r="AP30" s="61" t="n">
        <x:f>IF(AO30="","",INDEX('_曲线基线'!$A$3:$A$502,MIN(ROWS('_曲线基线'!$A$3:$A$502),COUNTIF('_曲线基线'!$E$3:$E$502,"&lt;"&amp;AO30)+1)))</x:f>
        <x:v>37</x:v>
      </x:c>
      <x:c r="AQ30" s="61" t="n">
        <x:f>IF(B30&lt;=2,1,IF(B30&lt;=6,2,IF(B30&lt;=9,3,IF(B30&lt;=19,4,5))))</x:f>
        <x:v>4</x:v>
      </x:c>
      <x:c r="AR30" s="59" t="n">
        <x:f>AN30*(1-Q30)/F30*$AS$3+U30*$AS$4+P30*$AS$5</x:f>
        <x:v>1094.0212572310693</x:v>
      </x:c>
      <x:c r="AS30" s="59" t="n">
        <x:f>1+AH30*$AS$6+AI30*$AS$7+(AJ30-1)*$AS$8+($H$10*H30+$I$10*I30+$J$10*J30+$K$10*K30+$L$10*L30)*$AU$3*$AS$9+($H$10*H30+$I$10*I30+$J$10*J30+$K$10*K30+$L$10*L30)*$AU$4*$AS$10</x:f>
        <x:v>5.278593723308474</x:v>
      </x:c>
      <x:c r="AT30" s="60" t="n">
        <x:f>ROUND(AR30*AS30,0)</x:f>
        <x:v>5775</x:v>
      </x:c>
      <x:c r="AU30" s="60" t="n">
        <x:f>ROUND(AT30*F30,0)</x:f>
        <x:v>23100</x:v>
      </x:c>
      <x:c r="AV30" s="60" t="n">
        <x:f>MIN(MATCH(B30,'主线调参'!$M$11:$M$62,1),ROWS('主线调参'!$M$11:$M$62)-1)</x:f>
        <x:v>12</x:v>
      </x:c>
      <x:c r="AW30" s="62" t="n">
        <x:f>(B30-INDEX('主线调参'!$M$11:$M$62,AV30))/(INDEX('主线调参'!$M$11:$M$62,AV30+1)-INDEX('主线调参'!$M$11:$M$62,AV30))</x:f>
        <x:v>0.8</x:v>
      </x:c>
      <x:c r="AX30" s="60" t="n">
        <x:f>IF(AU30=0,0,ROUND(AU30,2-INT(LOG10(ABS(AU30)))))</x:f>
        <x:v>23100</x:v>
      </x:c>
      <x:c r="AY30" s="62" t="n">
        <x:f>AU30/AU29-1</x:f>
        <x:v>0.0778275475923853</x:v>
      </x:c>
    </x:row>
    <x:row r="31" ht="25" customHeight="1">
      <x:c r="A31" s="40" t="n">
        <x:f>'调前玩家曲线'!A31</x:f>
        <x:v>15</x:v>
      </x:c>
      <x:c r="B31" s="40" t="n">
        <x:f>'调前玩家曲线'!B31</x:f>
        <x:v>20</x:v>
      </x:c>
      <x:c r="C31" s="40" t="n">
        <x:f>'调前玩家曲线'!C31</x:f>
        <x:v>2</x:v>
      </x:c>
      <x:c r="D31" s="40" t="n">
        <x:f>'调前玩家曲线'!D31</x:f>
        <x:v>8</x:v>
      </x:c>
      <x:c r="E31" s="40" t="n">
        <x:f>'调前玩家曲线'!E31</x:f>
        <x:v>1</x:v>
      </x:c>
      <x:c r="F31" s="40" t="n">
        <x:f>'调前玩家曲线'!F31</x:f>
        <x:v>4.1</x:v>
      </x:c>
      <x:c r="G31" s="63" t="n">
        <x:f>IF(B31&lt;$G$8,0,(INDEX('主线调参'!$C$11:$C$62,$AV31)+(INDEX('主线调参'!$C$11:$C$62,$AV31+1)-INDEX('主线调参'!$C$11:$C$62,$AV31))*$AW31)*'参数说明'!$C$27)</x:f>
        <x:v>0.22806138793906</x:v>
      </x:c>
      <x:c r="H31" s="63" t="n">
        <x:f>IF(B31&lt;$H$8,0,(INDEX('主线调参'!$D$11:$D$62,$AV31)+(INDEX('主线调参'!$D$11:$D$62,$AV31+1)-INDEX('主线调参'!$D$11:$D$62,$AV31))*$AW31)*'参数说明'!$D$27)</x:f>
        <x:v>0.0802901485769297</x:v>
      </x:c>
      <x:c r="I31" s="63" t="n">
        <x:f>IF(B31&lt;$I$8,0,(INDEX('主线调参'!$E$11:$E$62,$AV31)+(INDEX('主线调参'!$E$11:$E$62,$AV31+1)-INDEX('主线调参'!$E$11:$E$62,$AV31))*$AW31)*'参数说明'!$E$27)</x:f>
        <x:v>0</x:v>
      </x:c>
      <x:c r="J31" s="63" t="n">
        <x:f>IF(B31&lt;$J$8,0,(INDEX('主线调参'!$F$11:$F$62,$AV31)+(INDEX('主线调参'!$F$11:$F$62,$AV31+1)-INDEX('主线调参'!$F$11:$F$62,$AV31))*$AW31)*'参数说明'!$F$27)</x:f>
        <x:v>0</x:v>
      </x:c>
      <x:c r="K31" s="63" t="n">
        <x:f>IF(B31&lt;$K$8,0,(INDEX('主线调参'!$G$11:$G$62,$AV31)+(INDEX('主线调参'!$G$11:$G$62,$AV31+1)-INDEX('主线调参'!$G$11:$G$62,$AV31))*$AW31)*'参数说明'!$G$27)</x:f>
        <x:v>0</x:v>
      </x:c>
      <x:c r="L31" s="63" t="n">
        <x:f>IF(B31&lt;$L$8,0,(INDEX('主线调参'!$H$11:$H$62,$AV31)+(INDEX('主线调参'!$H$11:$H$62,$AV31+1)-INDEX('主线调参'!$H$11:$H$62,$AV31))*$AW31)*'参数说明'!$H$27)</x:f>
        <x:v>0.0675816639525688</x:v>
      </x:c>
      <x:c r="M31" s="59" t="n">
        <x:f>E31*'模块规划'!$F$10+G31*'模块规划'!$F$11+H31*'模块规划'!$F$13</x:f>
        <x:v>2094.694662107488</x:v>
      </x:c>
      <x:c r="N31" s="59" t="n">
        <x:f>I31*'模块规划'!$F$15+J31*'模块规划'!$F$17+K31*'模块规划'!$F$16+L31*'模块规划'!$F$18</x:f>
        <x:v>337.90831976284403</x:v>
      </x:c>
      <x:c r="O31" s="59" t="n">
        <x:f>1+O$9*SUMPRODUCT($H$10:$L$10,H31:L31)/SUM($H$10:$L$10)</x:f>
        <x:v>1.0689301433064626</x:v>
      </x:c>
      <x:c r="P31" s="59" t="n">
        <x:f>M31*O31+N31</x:f>
        <x:v>2576.990585112683</x:v>
      </x:c>
      <x:c r="Q31" s="59" t="n">
        <x:f>P31/(P31+'_曲线基线'!$L$2)</x:f>
        <x:v>0.09696322000265167</x:v>
      </x:c>
      <x:c r="R31" s="59" t="n">
        <x:f>E31*'模块规划'!$E$10+G31*'模块规划'!$E$11+H31*'模块规划'!$E$13</x:f>
        <x:v>3142.0419931612323</x:v>
      </x:c>
      <x:c r="S31" s="59" t="n">
        <x:f>I31*'模块规划'!$E$15+J31*'模块规划'!$E$17+K31*'模块规划'!$E$16+L31*'模块规划'!$E$18</x:f>
        <x:v>506.862479644266</x:v>
      </x:c>
      <x:c r="T31" s="59" t="n">
        <x:f>1+T$9*SUMPRODUCT($H$10:$L$10,H31:L31)/SUM($H$10:$L$10)</x:f>
        <x:v>1.0689301433064626</x:v>
      </x:c>
      <x:c r="U31" s="59" t="n">
        <x:f>R31*T31+S31</x:f>
        <x:v>3865.4858776690253</x:v>
      </x:c>
      <x:c r="V31" s="59" t="n">
        <x:f>V$8+(V$9-V$8)*H31</x:f>
        <x:v>0.7240870445730788</x:v>
      </x:c>
      <x:c r="W31" s="59" t="n">
        <x:f>IF(B31&lt;$H$8,0,W$8+(W$9-W$8)*H31)</x:f>
        <x:v>0.032116059430771886</x:v>
      </x:c>
      <x:c r="X31" s="59" t="n">
        <x:f>X$8+(X$9-X$8)*H31</x:f>
        <x:v>0.2970797908586557</x:v>
      </x:c>
      <x:c r="Y31" s="59" t="n">
        <x:f>Y$8+(Y$9-Y$8)*G31</x:f>
        <x:v>1</x:v>
      </x:c>
      <x:c r="Z31" s="59" t="n">
        <x:f>Z$8+(Z$9-Z$8)*H31</x:f>
        <x:v>1</x:v>
      </x:c>
      <x:c r="AA31" s="59" t="n">
        <x:f>AA$8+(AA$9-AA$8)*I31</x:f>
        <x:v>1</x:v>
      </x:c>
      <x:c r="AB31" s="59" t="n">
        <x:f>AB$8+(AB$9-AB$8)*J31</x:f>
        <x:v>1</x:v>
      </x:c>
      <x:c r="AC31" s="59" t="n">
        <x:f>AC$8+(AC$9-AC$8)*MAX(K31,L31)</x:f>
        <x:v>1</x:v>
      </x:c>
      <x:c r="AD31" s="59" t="n">
        <x:f>(V31*AE31+W31*AF31+X31*AG31)*PRODUCT(Y31:AC31)</x:f>
        <x:v>1.05668130239832</x:v>
      </x:c>
      <x:c r="AE31" s="59" t="n">
        <x:f>1+AE$9*($H$10*H31+$I$10*I31+$J$10*J31+$K$10*K31+$L$10*L31)</x:f>
        <x:v>1</x:v>
      </x:c>
      <x:c r="AF31" s="59" t="n">
        <x:f>1+AF$9*($H$10*H31+$I$10*I31+$J$10*J31+$K$10*K31+$L$10*L31)</x:f>
        <x:v>1.006083713052959</x:v>
      </x:c>
      <x:c r="AG31" s="59" t="n">
        <x:f>1+AG$9*($H$10*H31+$I$10*I31+$J$10*J31+$K$10*K31+$L$10*L31)</x:f>
        <x:v>1.0107816914660774</x:v>
      </x:c>
      <x:c r="AH31" s="59" t="n">
        <x:f>MIN(1,'_曲线基线'!$L$3+AH$9*($H$10*H31+$I$10*I31+$J$10*J31+$K$10*K31+$L$10*L31))</x:f>
        <x:v>0.06384044719548182</x:v>
      </x:c>
      <x:c r="AI31" s="59" t="n">
        <x:f>'_曲线基线'!$L$4+AI$9*($H$10*H31+$I$10*I31+$J$10*J31+$K$10*K31+$L$10*L31)</x:f>
        <x:v>2.038555531473128</x:v>
      </x:c>
      <x:c r="AJ31" s="59" t="n">
        <x:f>1+AJ$9*($H$10*H31+$I$10*I31+$J$10*J31+$K$10*K31+$L$10*L31)</x:f>
        <x:v>1.031635307875387</x:v>
      </x:c>
      <x:c r="AK31" s="59" t="n">
        <x:f>(1+AH31*(AI31-1))*AJ31</x:f>
        <x:v>1.1000346368657192</x:v>
      </x:c>
      <x:c r="AL31" s="59" t="n">
        <x:f>U31*AD31*AK31*F31</x:f>
        <x:v>18422.065855640878</x:v>
      </x:c>
      <x:c r="AM31" s="59" t="n">
        <x:f>IF($B31&lt;AM$8,0,AM$3+(AM$4-AM$3)*(POWER(AM$5,$B31-AM$8)-1)/(POWER(AM$5,$C$5-AM$8)-1))</x:f>
        <x:v>35.27937877242224</x:v>
      </x:c>
      <x:c r="AN31" s="59" t="n">
        <x:f>(((E31*'模块规划'!$D$10+G31*'模块规划'!$D$11+H31*'模块规划'!$D$13)*(1+'模块规划'!$G$14*H31)+(I31*'模块规划'!$D$15+J31*'模块规划'!$D$17+K31*'模块规划'!$D$16+L31*'模块规划'!$D$18))*(1+'模块规划'!$J$17*J31))*F31/(1-Q31)</x:f>
        <x:v>58659.12112198521</x:v>
      </x:c>
      <x:c r="AO31" s="59" t="n">
        <x:f>AL31*AM31</x:f>
        <x:v>649919.0390916613</x:v>
      </x:c>
      <x:c r="AP31" s="61" t="n">
        <x:f>IF(AO31="","",INDEX('_曲线基线'!$A$3:$A$502,MIN(ROWS('_曲线基线'!$A$3:$A$502),COUNTIF('_曲线基线'!$E$3:$E$502,"&lt;"&amp;AO31)+1)))</x:f>
        <x:v>40</x:v>
      </x:c>
      <x:c r="AQ31" s="61" t="n">
        <x:f>IF(B31&lt;=2,1,IF(B31&lt;=6,2,IF(B31&lt;=9,3,IF(B31&lt;=19,4,5))))</x:f>
        <x:v>5</x:v>
      </x:c>
      <x:c r="AR31" s="59" t="n">
        <x:f>AN31*(1-Q31)/F31*$AS$3+U31*$AS$4+P31*$AS$5</x:f>
        <x:v>1160.6923744762828</x:v>
      </x:c>
      <x:c r="AS31" s="59" t="n">
        <x:f>1+AH31*$AS$6+AI31*$AS$7+(AJ31-1)*$AS$8+($H$10*H31+$I$10*I31+$J$10*J31+$K$10*K31+$L$10*L31)*$AU$3*$AS$9+($H$10*H31+$I$10*I31+$J$10*J31+$K$10*K31+$L$10*L31)*$AU$4*$AS$10</x:f>
        <x:v>5.34508876753326</x:v>
      </x:c>
      <x:c r="AT31" s="60" t="n">
        <x:f>ROUND(AR31*AS31,0)</x:f>
        <x:v>6204</x:v>
      </x:c>
      <x:c r="AU31" s="60" t="n">
        <x:f>ROUND(AT31*F31,0)</x:f>
        <x:v>25436</x:v>
      </x:c>
      <x:c r="AV31" s="60" t="n">
        <x:f>MIN(MATCH(B31,'主线调参'!$M$11:$M$62,1),ROWS('主线调参'!$M$11:$M$62)-1)</x:f>
        <x:v>13</x:v>
      </x:c>
      <x:c r="AW31" s="62" t="n">
        <x:f>(B31-INDEX('主线调参'!$M$11:$M$62,AV31))/(INDEX('主线调参'!$M$11:$M$62,AV31+1)-INDEX('主线调参'!$M$11:$M$62,AV31))</x:f>
        <x:v>0</x:v>
      </x:c>
      <x:c r="AX31" s="60" t="n">
        <x:f>IF(AU31=0,0,ROUND(AU31,2-INT(LOG10(ABS(AU31)))))</x:f>
        <x:v>25400</x:v>
      </x:c>
      <x:c r="AY31" s="62" t="n">
        <x:f>AU31/AU30-1</x:f>
        <x:v>0.10112554112554117</x:v>
      </x:c>
    </x:row>
    <x:row r="32" ht="25" customHeight="1">
      <x:c r="A32" s="40" t="n">
        <x:f>'调前玩家曲线'!A32</x:f>
        <x:v>15</x:v>
      </x:c>
      <x:c r="B32" s="40" t="n">
        <x:f>'调前玩家曲线'!B32</x:f>
        <x:v>21</x:v>
      </x:c>
      <x:c r="C32" s="40" t="n">
        <x:f>'调前玩家曲线'!C32</x:f>
        <x:v>2</x:v>
      </x:c>
      <x:c r="D32" s="40" t="n">
        <x:f>'调前玩家曲线'!D32</x:f>
        <x:v>9</x:v>
      </x:c>
      <x:c r="E32" s="40" t="n">
        <x:f>'调前玩家曲线'!E32</x:f>
        <x:v>1</x:v>
      </x:c>
      <x:c r="F32" s="40" t="n">
        <x:f>'调前玩家曲线'!F32</x:f>
        <x:v>4.2</x:v>
      </x:c>
      <x:c r="G32" s="63" t="n">
        <x:f>IF(B32&lt;$G$8,0,(INDEX('主线调参'!$C$11:$C$62,$AV32)+(INDEX('主线调参'!$C$11:$C$62,$AV32+1)-INDEX('主线调参'!$C$11:$C$62,$AV32))*$AW32)*'参数说明'!$C$27)</x:f>
        <x:v>0.23811656679098858</x:v>
      </x:c>
      <x:c r="H32" s="63" t="n">
        <x:f>IF(B32&lt;$H$8,0,(INDEX('主线调参'!$D$11:$D$62,$AV32)+(INDEX('主线调参'!$D$11:$D$62,$AV32+1)-INDEX('主线调参'!$D$11:$D$62,$AV32))*$AW32)*'参数说明'!$D$27)</x:f>
        <x:v>0.09238202504109197</x:v>
      </x:c>
      <x:c r="I32" s="63" t="n">
        <x:f>IF(B32&lt;$I$8,0,(INDEX('主线调参'!$E$11:$E$62,$AV32)+(INDEX('主线调参'!$E$11:$E$62,$AV32+1)-INDEX('主线调参'!$E$11:$E$62,$AV32))*$AW32)*'参数说明'!$E$27)</x:f>
        <x:v>0</x:v>
      </x:c>
      <x:c r="J32" s="63" t="n">
        <x:f>IF(B32&lt;$J$8,0,(INDEX('主线调参'!$F$11:$F$62,$AV32)+(INDEX('主线调参'!$F$11:$F$62,$AV32+1)-INDEX('主线调参'!$F$11:$F$62,$AV32))*$AW32)*'参数说明'!$F$27)</x:f>
        <x:v>0</x:v>
      </x:c>
      <x:c r="K32" s="63" t="n">
        <x:f>IF(B32&lt;$K$8,0,(INDEX('主线调参'!$G$11:$G$62,$AV32)+(INDEX('主线调参'!$G$11:$G$62,$AV32+1)-INDEX('主线调参'!$G$11:$G$62,$AV32))*$AW32)*'参数说明'!$G$27)</x:f>
        <x:v>0</x:v>
      </x:c>
      <x:c r="L32" s="63" t="n">
        <x:f>IF(B32&lt;$L$8,0,(INDEX('主线调参'!$H$11:$H$62,$AV32)+(INDEX('主线调参'!$H$11:$H$62,$AV32+1)-INDEX('主线调参'!$H$11:$H$62,$AV32))*$AW32)*'参数说明'!$H$27)</x:f>
        <x:v>0.07992151037520692</x:v>
      </x:c>
      <x:c r="M32" s="59" t="n">
        <x:f>E32*'模块规划'!$F$10+G32*'模块规划'!$F$11+H32*'模块规划'!$F$13</x:f>
        <x:v>2142.9595205967453</x:v>
      </x:c>
      <x:c r="N32" s="59" t="n">
        <x:f>I32*'模块规划'!$F$15+J32*'模块规划'!$F$17+K32*'模块规划'!$F$16+L32*'模块规划'!$F$18</x:f>
        <x:v>399.6075518760346</x:v>
      </x:c>
      <x:c r="O32" s="59" t="n">
        <x:f>1+O$9*SUMPRODUCT($H$10:$L$10,H32:L32)/SUM($H$10:$L$10)</x:f>
        <x:v>1.0804417103968862</x:v>
      </x:c>
      <x:c r="P32" s="59" t="n">
        <x:f>M32*O32+N32</x:f>
        <x:v>2714.950401620873</x:v>
      </x:c>
      <x:c r="Q32" s="59" t="n">
        <x:f>P32/(P32+'_曲线基线'!$L$2)</x:f>
        <x:v>0.10162663081179252</x:v>
      </x:c>
      <x:c r="R32" s="59" t="n">
        <x:f>E32*'模块规划'!$E$10+G32*'模块规划'!$E$11+H32*'模块规划'!$E$13</x:f>
        <x:v>3214.439280895118</x:v>
      </x:c>
      <x:c r="S32" s="59" t="n">
        <x:f>I32*'模块规划'!$E$15+J32*'模块规划'!$E$17+K32*'模块规划'!$E$16+L32*'模块规划'!$E$18</x:f>
        <x:v>599.4113278140519</x:v>
      </x:c>
      <x:c r="T32" s="59" t="n">
        <x:f>1+T$9*SUMPRODUCT($H$10:$L$10,H32:L32)/SUM($H$10:$L$10)</x:f>
        <x:v>1.0804417103968862</x:v>
      </x:c>
      <x:c r="U32" s="59" t="n">
        <x:f>R32*T32+S32</x:f>
        <x:v>4072.42560243131</x:v>
      </x:c>
      <x:c r="V32" s="59" t="n">
        <x:f>V$8+(V$9-V$8)*H32</x:f>
        <x:v>0.7277146075123275</x:v>
      </x:c>
      <x:c r="W32" s="59" t="n">
        <x:f>IF(B32&lt;$H$8,0,W$8+(W$9-W$8)*H32)</x:f>
        <x:v>0.03695281001643679</x:v>
      </x:c>
      <x:c r="X32" s="59" t="n">
        <x:f>X$8+(X$9-X$8)*H32</x:f>
        <x:v>0.3004050568863003</x:v>
      </x:c>
      <x:c r="Y32" s="59" t="n">
        <x:f>Y$8+(Y$9-Y$8)*G32</x:f>
        <x:v>1</x:v>
      </x:c>
      <x:c r="Z32" s="59" t="n">
        <x:f>Z$8+(Z$9-Z$8)*H32</x:f>
        <x:v>1</x:v>
      </x:c>
      <x:c r="AA32" s="59" t="n">
        <x:f>AA$8+(AA$9-AA$8)*I32</x:f>
        <x:v>1</x:v>
      </x:c>
      <x:c r="AB32" s="59" t="n">
        <x:f>AB$8+(AB$9-AB$8)*J32</x:f>
        <x:v>1</x:v>
      </x:c>
      <x:c r="AC32" s="59" t="n">
        <x:f>AC$8+(AC$9-AC$8)*MAX(K32,L32)</x:f>
        <x:v>1</x:v>
      </x:c>
      <x:c r="AD32" s="59" t="n">
        <x:f>(V32*AE32+W32*AF32+X32*AG32)*PRODUCT(Y32:AC32)</x:f>
        <x:v>1.0691146064453692</x:v>
      </x:c>
      <x:c r="AE32" s="59" t="n">
        <x:f>1+AE$9*($H$10*H32+$I$10*I32+$J$10*J32+$K$10*K32+$L$10*L32)</x:f>
        <x:v>1</x:v>
      </x:c>
      <x:c r="AF32" s="59" t="n">
        <x:f>1+AF$9*($H$10*H32+$I$10*I32+$J$10*J32+$K$10*K32+$L$10*L32)</x:f>
        <x:v>1.0070997137111422</x:v>
      </x:c>
      <x:c r="AG32" s="59" t="n">
        <x:f>1+AG$9*($H$10*H32+$I$10*I32+$J$10*J32+$K$10*K32+$L$10*L32)</x:f>
        <x:v>1.012582270410302</x:v>
      </x:c>
      <x:c r="AH32" s="59" t="n">
        <x:f>MIN(1,'_曲线基线'!$L$3+AH$9*($H$10*H32+$I$10*I32+$J$10*J32+$K$10*K32+$L$10*L32))</x:f>
        <x:v>0.06615184869284846</x:v>
      </x:c>
      <x:c r="AI32" s="59" t="n">
        <x:f>'_曲线基线'!$L$4+AI$9*($H$10*H32+$I$10*I32+$J$10*J32+$K$10*K32+$L$10*L32)</x:f>
        <x:v>2.0449944356443637</x:v>
      </x:c>
      <x:c r="AJ32" s="59" t="n">
        <x:f>1+AJ$9*($H$10*H32+$I$10*I32+$J$10*J32+$K$10*K32+$L$10*L32)</x:f>
        <x:v>1.0369185112979393</x:v>
      </x:c>
      <x:c r="AK32" s="59" t="n">
        <x:f>(1+AH32*(AI32-1))*AJ32</x:f>
        <x:v>1.1085989395232771</x:v>
      </x:c>
      <x:c r="AL32" s="59" t="n">
        <x:f>U32*AD32*AK32*F32</x:f>
        <x:v>20272.21349547981</x:v>
      </x:c>
      <x:c r="AM32" s="59" t="n">
        <x:f>IF($B32&lt;AM$8,0,AM$3+(AM$4-AM$3)*(POWER(AM$5,$B32-AM$8)-1)/(POWER(AM$5,$C$5-AM$8)-1))</x:f>
        <x:v>35.29559720006833</x:v>
      </x:c>
      <x:c r="AN32" s="59" t="n">
        <x:f>(((E32*'模块规划'!$D$10+G32*'模块规划'!$D$11+H32*'模块规划'!$D$13)*(1+'模块规划'!$G$14*H32)+(I32*'模块规划'!$D$15+J32*'模块规划'!$D$17+K32*'模块规划'!$D$16+L32*'模块规划'!$D$18))*(1+'模块规划'!$J$17*J32))*F32/(1-Q32)</x:f>
        <x:v>63598.90135805182</x:v>
      </x:c>
      <x:c r="AO32" s="59" t="n">
        <x:f>AL32*AM32</x:f>
        <x:v>715519.8818902445</x:v>
      </x:c>
      <x:c r="AP32" s="61" t="n">
        <x:f>IF(AO32="","",INDEX('_曲线基线'!$A$3:$A$502,MIN(ROWS('_曲线基线'!$A$3:$A$502),COUNTIF('_曲线基线'!$E$3:$E$502,"&lt;"&amp;AO32)+1)))</x:f>
        <x:v>43</x:v>
      </x:c>
      <x:c r="AQ32" s="61" t="n">
        <x:f>IF(B32&lt;=2,1,IF(B32&lt;=6,2,IF(B32&lt;=9,3,IF(B32&lt;=19,4,5))))</x:f>
        <x:v>5</x:v>
      </x:c>
      <x:c r="AR32" s="59" t="n">
        <x:f>AN32*(1-Q32)/F32*$AS$3+U32*$AS$4+P32*$AS$5</x:f>
        <x:v>1222.596258269844</x:v>
      </x:c>
      <x:c r="AS32" s="59" t="n">
        <x:f>1+AH32*$AS$6+AI32*$AS$7+(AJ32-1)*$AS$8+($H$10*H32+$I$10*I32+$J$10*J32+$K$10*K32+$L$10*L32)*$AU$3*$AS$9+($H$10*H32+$I$10*I32+$J$10*J32+$K$10*K32+$L$10*L32)*$AU$4*$AS$10</x:f>
        <x:v>5.405795961290449</x:v>
      </x:c>
      <x:c r="AT32" s="60" t="n">
        <x:f>ROUND(AR32*AS32,0)</x:f>
        <x:v>6609</x:v>
      </x:c>
      <x:c r="AU32" s="60" t="n">
        <x:f>ROUND(AT32*F32,0)</x:f>
        <x:v>27758</x:v>
      </x:c>
      <x:c r="AV32" s="60" t="n">
        <x:f>MIN(MATCH(B32,'主线调参'!$M$11:$M$62,1),ROWS('主线调参'!$M$11:$M$62)-1)</x:f>
        <x:v>13</x:v>
      </x:c>
      <x:c r="AW32" s="62" t="n">
        <x:f>(B32-INDEX('主线调参'!$M$11:$M$62,AV32))/(INDEX('主线调参'!$M$11:$M$62,AV32+1)-INDEX('主线调参'!$M$11:$M$62,AV32))</x:f>
        <x:v>0.25</x:v>
      </x:c>
      <x:c r="AX32" s="60" t="n">
        <x:f>IF(AU32=0,0,ROUND(AU32,2-INT(LOG10(ABS(AU32)))))</x:f>
        <x:v>27800</x:v>
      </x:c>
      <x:c r="AY32" s="62" t="n">
        <x:f>AU32/AU31-1</x:f>
        <x:v>0.0912879383550873</x:v>
      </x:c>
    </x:row>
    <x:row r="33" ht="25" customHeight="1">
      <x:c r="A33" s="40" t="n">
        <x:f>'调前玩家曲线'!A33</x:f>
        <x:v>15</x:v>
      </x:c>
      <x:c r="B33" s="40" t="n">
        <x:f>'调前玩家曲线'!B33</x:f>
        <x:v>22</x:v>
      </x:c>
      <x:c r="C33" s="40" t="n">
        <x:f>'调前玩家曲线'!C33</x:f>
        <x:v>2</x:v>
      </x:c>
      <x:c r="D33" s="40" t="n">
        <x:f>'调前玩家曲线'!D33</x:f>
        <x:v>10</x:v>
      </x:c>
      <x:c r="E33" s="40" t="n">
        <x:f>'调前玩家曲线'!E33</x:f>
        <x:v>1</x:v>
      </x:c>
      <x:c r="F33" s="40" t="n">
        <x:f>'调前玩家曲线'!F33</x:f>
        <x:v>4.3</x:v>
      </x:c>
      <x:c r="G33" s="63" t="n">
        <x:f>IF(B33&lt;$G$8,0,(INDEX('主线调参'!$C$11:$C$62,$AV33)+(INDEX('主线调参'!$C$11:$C$62,$AV33+1)-INDEX('主线调参'!$C$11:$C$62,$AV33))*$AW33)*'参数说明'!$C$27)</x:f>
        <x:v>0.2481717456429172</x:v>
      </x:c>
      <x:c r="H33" s="63" t="n">
        <x:f>IF(B33&lt;$H$8,0,(INDEX('主线调参'!$D$11:$D$62,$AV33)+(INDEX('主线调参'!$D$11:$D$62,$AV33+1)-INDEX('主线调参'!$D$11:$D$62,$AV33))*$AW33)*'参数说明'!$D$27)</x:f>
        <x:v>0.10447390150525424</x:v>
      </x:c>
      <x:c r="I33" s="63" t="n">
        <x:f>IF(B33&lt;$I$8,0,(INDEX('主线调参'!$E$11:$E$62,$AV33)+(INDEX('主线调参'!$E$11:$E$62,$AV33+1)-INDEX('主线调参'!$E$11:$E$62,$AV33))*$AW33)*'参数说明'!$E$27)</x:f>
        <x:v>0</x:v>
      </x:c>
      <x:c r="J33" s="63" t="n">
        <x:f>IF(B33&lt;$J$8,0,(INDEX('主线调参'!$F$11:$F$62,$AV33)+(INDEX('主线调参'!$F$11:$F$62,$AV33+1)-INDEX('主线调参'!$F$11:$F$62,$AV33))*$AW33)*'参数说明'!$F$27)</x:f>
        <x:v>0</x:v>
      </x:c>
      <x:c r="K33" s="63" t="n">
        <x:f>IF(B33&lt;$K$8,0,(INDEX('主线调参'!$G$11:$G$62,$AV33)+(INDEX('主线调参'!$G$11:$G$62,$AV33+1)-INDEX('主线调参'!$G$11:$G$62,$AV33))*$AW33)*'参数说明'!$G$27)</x:f>
        <x:v>0</x:v>
      </x:c>
      <x:c r="L33" s="63" t="n">
        <x:f>IF(B33&lt;$L$8,0,(INDEX('主线调参'!$H$11:$H$62,$AV33)+(INDEX('主线调参'!$H$11:$H$62,$AV33+1)-INDEX('主线调参'!$H$11:$H$62,$AV33))*$AW33)*'参数说明'!$H$27)</x:f>
        <x:v>0.09226135679784503</x:v>
      </x:c>
      <x:c r="M33" s="59" t="n">
        <x:f>E33*'模块规划'!$F$10+G33*'模块规划'!$F$11+H33*'模块规划'!$F$13</x:f>
        <x:v>2191.2243790860025</x:v>
      </x:c>
      <x:c r="N33" s="59" t="n">
        <x:f>I33*'模块规划'!$F$15+J33*'模块规划'!$F$17+K33*'模块规划'!$F$16+L33*'模块规划'!$F$18</x:f>
        <x:v>461.30678398922515</x:v>
      </x:c>
      <x:c r="O33" s="59" t="n">
        <x:f>1+O$9*SUMPRODUCT($H$10:$L$10,H33:L33)/SUM($H$10:$L$10)</x:f>
        <x:v>1.0919532774873097</x:v>
      </x:c>
      <x:c r="P33" s="59" t="n">
        <x:f>M33*O33+N33</x:f>
        <x:v>2854.0214264422807</x:v>
      </x:c>
      <x:c r="Q33" s="59" t="n">
        <x:f>P33/(P33+'_曲线基线'!$L$2)</x:f>
        <x:v>0.10627910736795715</x:v>
      </x:c>
      <x:c r="R33" s="59" t="n">
        <x:f>E33*'模块规划'!$E$10+G33*'模块规划'!$E$11+H33*'模块规划'!$E$13</x:f>
        <x:v>3286.8365686290035</x:v>
      </x:c>
      <x:c r="S33" s="59" t="n">
        <x:f>I33*'模块规划'!$E$15+J33*'模块规划'!$E$17+K33*'模块规划'!$E$16+L33*'模块规划'!$E$18</x:f>
        <x:v>691.9601759838378</x:v>
      </x:c>
      <x:c r="T33" s="59" t="n">
        <x:f>1+T$9*SUMPRODUCT($H$10:$L$10,H33:L33)/SUM($H$10:$L$10)</x:f>
        <x:v>1.0919532774873097</x:v>
      </x:c>
      <x:c r="U33" s="59" t="n">
        <x:f>R33*T33+S33</x:f>
        <x:v>4281.032139663421</x:v>
      </x:c>
      <x:c r="V33" s="59" t="n">
        <x:f>V$8+(V$9-V$8)*H33</x:f>
        <x:v>0.7313421704515762</x:v>
      </x:c>
      <x:c r="W33" s="59" t="n">
        <x:f>IF(B33&lt;$H$8,0,W$8+(W$9-W$8)*H33)</x:f>
        <x:v>0.0417895606021017</x:v>
      </x:c>
      <x:c r="X33" s="59" t="n">
        <x:f>X$8+(X$9-X$8)*H33</x:f>
        <x:v>0.3037303229139449</x:v>
      </x:c>
      <x:c r="Y33" s="59" t="n">
        <x:f>Y$8+(Y$9-Y$8)*G33</x:f>
        <x:v>1</x:v>
      </x:c>
      <x:c r="Z33" s="59" t="n">
        <x:f>Z$8+(Z$9-Z$8)*H33</x:f>
        <x:v>1</x:v>
      </x:c>
      <x:c r="AA33" s="59" t="n">
        <x:f>AA$8+(AA$9-AA$8)*I33</x:f>
        <x:v>1</x:v>
      </x:c>
      <x:c r="AB33" s="59" t="n">
        <x:f>AB$8+(AB$9-AB$8)*J33</x:f>
        <x:v>1</x:v>
      </x:c>
      <x:c r="AC33" s="59" t="n">
        <x:f>AC$8+(AC$9-AC$8)*MAX(K33,L33)</x:f>
        <x:v>1</x:v>
      </x:c>
      <x:c r="AD33" s="59" t="n">
        <x:f>(V33*AE33+W33*AF33+X33*AG33)*PRODUCT(Y33:AC33)</x:f>
        <x:v>1.0815697135839621</x:v>
      </x:c>
      <x:c r="AE33" s="59" t="n">
        <x:f>1+AE$9*($H$10*H33+$I$10*I33+$J$10*J33+$K$10*K33+$L$10*L33)</x:f>
        <x:v>1</x:v>
      </x:c>
      <x:c r="AF33" s="59" t="n">
        <x:f>1+AF$9*($H$10*H33+$I$10*I33+$J$10*J33+$K$10*K33+$L$10*L33)</x:f>
        <x:v>1.0081157143693253</x:v>
      </x:c>
      <x:c r="AG33" s="59" t="n">
        <x:f>1+AG$9*($H$10*H33+$I$10*I33+$J$10*J33+$K$10*K33+$L$10*L33)</x:f>
        <x:v>1.0143828493545266</x:v>
      </x:c>
      <x:c r="AH33" s="59" t="n">
        <x:f>MIN(1,'_曲线基线'!$L$3+AH$9*($H$10*H33+$I$10*I33+$J$10*J33+$K$10*K33+$L$10*L33))</x:f>
        <x:v>0.06846325019021508</x:v>
      </x:c>
      <x:c r="AI33" s="59" t="n">
        <x:f>'_曲线基线'!$L$4+AI$9*($H$10*H33+$I$10*I33+$J$10*J33+$K$10*K33+$L$10*L33)</x:f>
        <x:v>2.051433339815599</x:v>
      </x:c>
      <x:c r="AJ33" s="59" t="n">
        <x:f>1+AJ$9*($H$10*H33+$I$10*I33+$J$10*J33+$K$10*K33+$L$10*L33)</x:f>
        <x:v>1.0422017147204916</x:v>
      </x:c>
      <x:c r="AK33" s="59" t="n">
        <x:f>(1+AH33*(AI33-1))*AJ33</x:f>
        <x:v>1.1172241297044425</x:v>
      </x:c>
      <x:c r="AL33" s="59" t="n">
        <x:f>U33*AD33*AK33*F33</x:f>
        <x:v>22243.942736740184</x:v>
      </x:c>
      <x:c r="AM33" s="59" t="n">
        <x:f>IF($B33&lt;AM$8,0,AM$3+(AM$4-AM$3)*(POWER(AM$5,$B33-AM$8)-1)/(POWER(AM$5,$C$5-AM$8)-1))</x:f>
        <x:v>35.311977811990886</x:v>
      </x:c>
      <x:c r="AN33" s="59" t="n">
        <x:f>(((E33*'模块规划'!$D$10+G33*'模块规划'!$D$11+H33*'模块规划'!$D$13)*(1+'模块规划'!$G$14*H33)+(I33*'模块规划'!$D$15+J33*'模块规划'!$D$17+K33*'模块规划'!$D$16+L33*'模块规划'!$D$18))*(1+'模块规划'!$J$17*J33))*F33/(1-Q33)</x:f>
        <x:v>68767.70361748728</x:v>
      </x:c>
      <x:c r="AO33" s="59" t="n">
        <x:f>AL33*AM33</x:f>
        <x:v>785477.6123709652</x:v>
      </x:c>
      <x:c r="AP33" s="61" t="n">
        <x:f>IF(AO33="","",INDEX('_曲线基线'!$A$3:$A$502,MIN(ROWS('_曲线基线'!$A$3:$A$502),COUNTIF('_曲线基线'!$E$3:$E$502,"&lt;"&amp;AO33)+1)))</x:f>
        <x:v>45</x:v>
      </x:c>
      <x:c r="AQ33" s="61" t="n">
        <x:f>IF(B33&lt;=2,1,IF(B33&lt;=6,2,IF(B33&lt;=9,3,IF(B33&lt;=19,4,5))))</x:f>
        <x:v>5</x:v>
      </x:c>
      <x:c r="AR33" s="59" t="n">
        <x:f>AN33*(1-Q33)/F33*$AS$3+U33*$AS$4+P33*$AS$5</x:f>
        <x:v>1284.9910799881015</x:v>
      </x:c>
      <x:c r="AS33" s="59" t="n">
        <x:f>1+AH33*$AS$6+AI33*$AS$7+(AJ33-1)*$AS$8+($H$10*H33+$I$10*I33+$J$10*J33+$K$10*K33+$L$10*L33)*$AU$3*$AS$9+($H$10*H33+$I$10*I33+$J$10*J33+$K$10*K33+$L$10*L33)*$AU$4*$AS$10</x:f>
        <x:v>5.466503155047639</x:v>
      </x:c>
      <x:c r="AT33" s="60" t="n">
        <x:f>ROUND(AR33*AS33,0)</x:f>
        <x:v>7024</x:v>
      </x:c>
      <x:c r="AU33" s="60" t="n">
        <x:f>ROUND(AT33*F33,0)</x:f>
        <x:v>30203</x:v>
      </x:c>
      <x:c r="AV33" s="60" t="n">
        <x:f>MIN(MATCH(B33,'主线调参'!$M$11:$M$62,1),ROWS('主线调参'!$M$11:$M$62)-1)</x:f>
        <x:v>13</x:v>
      </x:c>
      <x:c r="AW33" s="62" t="n">
        <x:f>(B33-INDEX('主线调参'!$M$11:$M$62,AV33))/(INDEX('主线调参'!$M$11:$M$62,AV33+1)-INDEX('主线调参'!$M$11:$M$62,AV33))</x:f>
        <x:v>0.5</x:v>
      </x:c>
      <x:c r="AX33" s="60" t="n">
        <x:f>IF(AU33=0,0,ROUND(AU33,2-INT(LOG10(ABS(AU33)))))</x:f>
        <x:v>30200</x:v>
      </x:c>
      <x:c r="AY33" s="62" t="n">
        <x:f>AU33/AU32-1</x:f>
        <x:v>0.0880827148930039</x:v>
      </x:c>
    </x:row>
    <x:row r="34" ht="25" customHeight="1">
      <x:c r="A34" s="40" t="n">
        <x:f>'调前玩家曲线'!A34</x:f>
        <x:v>16</x:v>
      </x:c>
      <x:c r="B34" s="40" t="n">
        <x:f>'调前玩家曲线'!B34</x:f>
        <x:v>23</x:v>
      </x:c>
      <x:c r="C34" s="40" t="n">
        <x:f>'调前玩家曲线'!C34</x:f>
        <x:v>2</x:v>
      </x:c>
      <x:c r="D34" s="40" t="n">
        <x:f>'调前玩家曲线'!D34</x:f>
        <x:v>11</x:v>
      </x:c>
      <x:c r="E34" s="40" t="n">
        <x:f>'调前玩家曲线'!E34</x:f>
        <x:v>1</x:v>
      </x:c>
      <x:c r="F34" s="40" t="n">
        <x:f>'调前玩家曲线'!F34</x:f>
        <x:v>4.4</x:v>
      </x:c>
      <x:c r="G34" s="63" t="n">
        <x:f>IF(B34&lt;$G$8,0,(INDEX('主线调参'!$C$11:$C$62,$AV34)+(INDEX('主线调参'!$C$11:$C$62,$AV34+1)-INDEX('主线调参'!$C$11:$C$62,$AV34))*$AW34)*'参数说明'!$C$27)</x:f>
        <x:v>0.2582269244948458</x:v>
      </x:c>
      <x:c r="H34" s="63" t="n">
        <x:f>IF(B34&lt;$H$8,0,(INDEX('主线调参'!$D$11:$D$62,$AV34)+(INDEX('主线调参'!$D$11:$D$62,$AV34+1)-INDEX('主线调参'!$D$11:$D$62,$AV34))*$AW34)*'参数说明'!$D$27)</x:f>
        <x:v>0.1165657779694165</x:v>
      </x:c>
      <x:c r="I34" s="63" t="n">
        <x:f>IF(B34&lt;$I$8,0,(INDEX('主线调参'!$E$11:$E$62,$AV34)+(INDEX('主线调参'!$E$11:$E$62,$AV34+1)-INDEX('主线调参'!$E$11:$E$62,$AV34))*$AW34)*'参数说明'!$E$27)</x:f>
        <x:v>0</x:v>
      </x:c>
      <x:c r="J34" s="63" t="n">
        <x:f>IF(B34&lt;$J$8,0,(INDEX('主线调参'!$F$11:$F$62,$AV34)+(INDEX('主线调参'!$F$11:$F$62,$AV34+1)-INDEX('主线调参'!$F$11:$F$62,$AV34))*$AW34)*'参数说明'!$F$27)</x:f>
        <x:v>0</x:v>
      </x:c>
      <x:c r="K34" s="63" t="n">
        <x:f>IF(B34&lt;$K$8,0,(INDEX('主线调参'!$G$11:$G$62,$AV34)+(INDEX('主线调参'!$G$11:$G$62,$AV34+1)-INDEX('主线调参'!$G$11:$G$62,$AV34))*$AW34)*'参数说明'!$G$27)</x:f>
        <x:v>0</x:v>
      </x:c>
      <x:c r="L34" s="63" t="n">
        <x:f>IF(B34&lt;$L$8,0,(INDEX('主线调参'!$H$11:$H$62,$AV34)+(INDEX('主线调参'!$H$11:$H$62,$AV34+1)-INDEX('主线调参'!$H$11:$H$62,$AV34))*$AW34)*'参数说明'!$H$27)</x:f>
        <x:v>0.10460120322048315</x:v>
      </x:c>
      <x:c r="M34" s="59" t="n">
        <x:f>E34*'模块规划'!$F$10+G34*'模块规划'!$F$11+H34*'模块规划'!$F$13</x:f>
        <x:v>2239.4892375752597</x:v>
      </x:c>
      <x:c r="N34" s="59" t="n">
        <x:f>I34*'模块规划'!$F$15+J34*'模块规划'!$F$17+K34*'模块规划'!$F$16+L34*'模块规划'!$F$18</x:f>
        <x:v>523.0060161024157</x:v>
      </x:c>
      <x:c r="O34" s="59" t="n">
        <x:f>1+O$9*SUMPRODUCT($H$10:$L$10,H34:L34)/SUM($H$10:$L$10)</x:f>
        <x:v>1.1034648445777333</x:v>
      </x:c>
      <x:c r="P34" s="59" t="n">
        <x:f>M34*O34+N34</x:f>
        <x:v>2994.2036595769064</x:v>
      </x:c>
      <x:c r="Q34" s="59" t="n">
        <x:f>P34/(P34+'_曲线基线'!$L$2)</x:f>
        <x:v>0.11092024411376306</x:v>
      </x:c>
      <x:c r="R34" s="59" t="n">
        <x:f>E34*'模块规划'!$E$10+G34*'模块规划'!$E$11+H34*'模块规划'!$E$13</x:f>
        <x:v>3359.23385636289</x:v>
      </x:c>
      <x:c r="S34" s="59" t="n">
        <x:f>I34*'模块规划'!$E$15+J34*'模块规划'!$E$17+K34*'模块规划'!$E$16+L34*'模块规划'!$E$18</x:f>
        <x:v>784.5090241536236</x:v>
      </x:c>
      <x:c r="T34" s="59" t="n">
        <x:f>1+T$9*SUMPRODUCT($H$10:$L$10,H34:L34)/SUM($H$10:$L$10)</x:f>
        <x:v>1.1034648445777333</x:v>
      </x:c>
      <x:c r="U34" s="59" t="n">
        <x:f>R34*T34+S34</x:f>
        <x:v>4491.30548936536</x:v>
      </x:c>
      <x:c r="V34" s="59" t="n">
        <x:f>V$8+(V$9-V$8)*H34</x:f>
        <x:v>0.7349697333908249</x:v>
      </x:c>
      <x:c r="W34" s="59" t="n">
        <x:f>IF(B34&lt;$H$8,0,W$8+(W$9-W$8)*H34)</x:f>
        <x:v>0.046626311187766604</x:v>
      </x:c>
      <x:c r="X34" s="59" t="n">
        <x:f>X$8+(X$9-X$8)*H34</x:f>
        <x:v>0.3070555889415896</x:v>
      </x:c>
      <x:c r="Y34" s="59" t="n">
        <x:f>Y$8+(Y$9-Y$8)*G34</x:f>
        <x:v>1</x:v>
      </x:c>
      <x:c r="Z34" s="59" t="n">
        <x:f>Z$8+(Z$9-Z$8)*H34</x:f>
        <x:v>1</x:v>
      </x:c>
      <x:c r="AA34" s="59" t="n">
        <x:f>AA$8+(AA$9-AA$8)*I34</x:f>
        <x:v>1</x:v>
      </x:c>
      <x:c r="AB34" s="59" t="n">
        <x:f>AB$8+(AB$9-AB$8)*J34</x:f>
        <x:v>1</x:v>
      </x:c>
      <x:c r="AC34" s="59" t="n">
        <x:f>AC$8+(AC$9-AC$8)*MAX(K34,L34)</x:f>
        <x:v>1</x:v>
      </x:c>
      <x:c r="AD34" s="59" t="n">
        <x:f>(V34*AE34+W34*AF34+X34*AG34)*PRODUCT(Y34:AC34)</x:f>
        <x:v>1.094046623814099</x:v>
      </x:c>
      <x:c r="AE34" s="59" t="n">
        <x:f>1+AE$9*($H$10*H34+$I$10*I34+$J$10*J34+$K$10*K34+$L$10*L34)</x:f>
        <x:v>1</x:v>
      </x:c>
      <x:c r="AF34" s="59" t="n">
        <x:f>1+AF$9*($H$10*H34+$I$10*I34+$J$10*J34+$K$10*K34+$L$10*L34)</x:f>
        <x:v>1.0091317150275085</x:v>
      </x:c>
      <x:c r="AG34" s="59" t="n">
        <x:f>1+AG$9*($H$10*H34+$I$10*I34+$J$10*J34+$K$10*K34+$L$10*L34)</x:f>
        <x:v>1.0161834282987512</x:v>
      </x:c>
      <x:c r="AH34" s="59" t="n">
        <x:f>MIN(1,'_曲线基线'!$L$3+AH$9*($H$10*H34+$I$10*I34+$J$10*J34+$K$10*K34+$L$10*L34))</x:f>
        <x:v>0.07077465168758171</x:v>
      </x:c>
      <x:c r="AI34" s="59" t="n">
        <x:f>'_曲线基线'!$L$4+AI$9*($H$10*H34+$I$10*I34+$J$10*J34+$K$10*K34+$L$10*L34)</x:f>
        <x:v>2.057872243986835</x:v>
      </x:c>
      <x:c r="AJ34" s="59" t="n">
        <x:f>1+AJ$9*($H$10*H34+$I$10*I34+$J$10*J34+$K$10*K34+$L$10*L34)</x:f>
        <x:v>1.047484918143044</x:v>
      </x:c>
      <x:c r="AK34" s="59" t="n">
        <x:f>(1+AH34*(AI34-1))*AJ34</x:f>
        <x:v>1.125910679185315</x:v>
      </x:c>
      <x:c r="AL34" s="59" t="n">
        <x:f>U34*AD34*AK34*F34</x:f>
        <x:v>24342.492284820208</x:v>
      </x:c>
      <x:c r="AM34" s="59" t="n">
        <x:f>IF($B34&lt;AM$8,0,AM$3+(AM$4-AM$3)*(POWER(AM$5,$B34-AM$8)-1)/(POWER(AM$5,$C$5-AM$8)-1))</x:f>
        <x:v>35.32852223003266</x:v>
      </x:c>
      <x:c r="AN34" s="59" t="n">
        <x:f>(((E34*'模块规划'!$D$10+G34*'模块规划'!$D$11+H34*'模块规划'!$D$13)*(1+'模块规划'!$G$14*H34)+(I34*'模块规划'!$D$15+J34*'模块规划'!$D$17+K34*'模块规划'!$D$16+L34*'模块规划'!$D$18))*(1+'模块规划'!$J$17*J34))*F34/(1-Q34)</x:f>
        <x:v>74170.67106513023</x:v>
      </x:c>
      <x:c r="AO34" s="59" t="n">
        <x:f>AL34*AM34</x:f>
        <x:v>859984.2798186692</x:v>
      </x:c>
      <x:c r="AP34" s="61" t="n">
        <x:f>IF(AO34="","",INDEX('_曲线基线'!$A$3:$A$502,MIN(ROWS('_曲线基线'!$A$3:$A$502),COUNTIF('_曲线基线'!$E$3:$E$502,"&lt;"&amp;AO34)+1)))</x:f>
        <x:v>48</x:v>
      </x:c>
      <x:c r="AQ34" s="61" t="n">
        <x:f>IF(B34&lt;=2,1,IF(B34&lt;=6,2,IF(B34&lt;=9,3,IF(B34&lt;=19,4,5))))</x:f>
        <x:v>5</x:v>
      </x:c>
      <x:c r="AR34" s="59" t="n">
        <x:f>AN34*(1-Q34)/F34*$AS$3+U34*$AS$4+P34*$AS$5</x:f>
        <x:v>1347.876839631056</x:v>
      </x:c>
      <x:c r="AS34" s="59" t="n">
        <x:f>1+AH34*$AS$6+AI34*$AS$7+(AJ34-1)*$AS$8+($H$10*H34+$I$10*I34+$J$10*J34+$K$10*K34+$L$10*L34)*$AU$3*$AS$9+($H$10*H34+$I$10*I34+$J$10*J34+$K$10*K34+$L$10*L34)*$AU$4*$AS$10</x:f>
        <x:v>5.52721034880483</x:v>
      </x:c>
      <x:c r="AT34" s="60" t="n">
        <x:f>ROUND(AR34*AS34,0)</x:f>
        <x:v>7450</x:v>
      </x:c>
      <x:c r="AU34" s="60" t="n">
        <x:f>ROUND(AT34*F34,0)</x:f>
        <x:v>32780</x:v>
      </x:c>
      <x:c r="AV34" s="60" t="n">
        <x:f>MIN(MATCH(B34,'主线调参'!$M$11:$M$62,1),ROWS('主线调参'!$M$11:$M$62)-1)</x:f>
        <x:v>13</x:v>
      </x:c>
      <x:c r="AW34" s="62" t="n">
        <x:f>(B34-INDEX('主线调参'!$M$11:$M$62,AV34))/(INDEX('主线调参'!$M$11:$M$62,AV34+1)-INDEX('主线调参'!$M$11:$M$62,AV34))</x:f>
        <x:v>0.75</x:v>
      </x:c>
      <x:c r="AX34" s="60" t="n">
        <x:f>IF(AU34=0,0,ROUND(AU34,2-INT(LOG10(ABS(AU34)))))</x:f>
        <x:v>32800</x:v>
      </x:c>
      <x:c r="AY34" s="62" t="n">
        <x:f>AU34/AU33-1</x:f>
        <x:v>0.0853226500678741</x:v>
      </x:c>
    </x:row>
    <x:row r="35" ht="25" customHeight="1">
      <x:c r="A35" s="40" t="n">
        <x:f>'调前玩家曲线'!A35</x:f>
        <x:v>16</x:v>
      </x:c>
      <x:c r="B35" s="40" t="n">
        <x:f>'调前玩家曲线'!B35</x:f>
        <x:v>24</x:v>
      </x:c>
      <x:c r="C35" s="40" t="n">
        <x:f>'调前玩家曲线'!C35</x:f>
        <x:v>2</x:v>
      </x:c>
      <x:c r="D35" s="40" t="n">
        <x:f>'调前玩家曲线'!D35</x:f>
        <x:v>12</x:v>
      </x:c>
      <x:c r="E35" s="40" t="n">
        <x:f>'调前玩家曲线'!E35</x:f>
        <x:v>1</x:v>
      </x:c>
      <x:c r="F35" s="40" t="n">
        <x:f>'调前玩家曲线'!F35</x:f>
        <x:v>4.5</x:v>
      </x:c>
      <x:c r="G35" s="63" t="n">
        <x:f>IF(B35&lt;$G$8,0,(INDEX('主线调参'!$C$11:$C$62,$AV35)+(INDEX('主线调参'!$C$11:$C$62,$AV35+1)-INDEX('主线调参'!$C$11:$C$62,$AV35))*$AW35)*'参数说明'!$C$27)</x:f>
        <x:v>0.2682821033467744</x:v>
      </x:c>
      <x:c r="H35" s="63" t="n">
        <x:f>IF(B35&lt;$H$8,0,(INDEX('主线调参'!$D$11:$D$62,$AV35)+(INDEX('主线调参'!$D$11:$D$62,$AV35+1)-INDEX('主线调参'!$D$11:$D$62,$AV35))*$AW35)*'参数说明'!$D$27)</x:f>
        <x:v>0.12865765443357877</x:v>
      </x:c>
      <x:c r="I35" s="63" t="n">
        <x:f>IF(B35&lt;$I$8,0,(INDEX('主线调参'!$E$11:$E$62,$AV35)+(INDEX('主线调参'!$E$11:$E$62,$AV35+1)-INDEX('主线调参'!$E$11:$E$62,$AV35))*$AW35)*'参数说明'!$E$27)</x:f>
        <x:v>0</x:v>
      </x:c>
      <x:c r="J35" s="63" t="n">
        <x:f>IF(B35&lt;$J$8,0,(INDEX('主线调参'!$F$11:$F$62,$AV35)+(INDEX('主线调参'!$F$11:$F$62,$AV35+1)-INDEX('主线调参'!$F$11:$F$62,$AV35))*$AW35)*'参数说明'!$F$27)</x:f>
        <x:v>0</x:v>
      </x:c>
      <x:c r="K35" s="63" t="n">
        <x:f>IF(B35&lt;$K$8,0,(INDEX('主线调参'!$G$11:$G$62,$AV35)+(INDEX('主线调参'!$G$11:$G$62,$AV35+1)-INDEX('主线调参'!$G$11:$G$62,$AV35))*$AW35)*'参数说明'!$G$27)</x:f>
        <x:v>0</x:v>
      </x:c>
      <x:c r="L35" s="63" t="n">
        <x:f>IF(B35&lt;$L$8,0,(INDEX('主线调参'!$H$11:$H$62,$AV35)+(INDEX('主线调参'!$H$11:$H$62,$AV35+1)-INDEX('主线调参'!$H$11:$H$62,$AV35))*$AW35)*'参数说明'!$H$27)</x:f>
        <x:v>0.11694104964312126</x:v>
      </x:c>
      <x:c r="M35" s="59" t="n">
        <x:f>E35*'模块规划'!$F$10+G35*'模块规划'!$F$11+H35*'模块规划'!$F$13</x:f>
        <x:v>2287.754096064517</x:v>
      </x:c>
      <x:c r="N35" s="59" t="n">
        <x:f>I35*'模块规划'!$F$15+J35*'模块规划'!$F$17+K35*'模块规划'!$F$16+L35*'模块规划'!$F$18</x:f>
        <x:v>584.7052482156063</x:v>
      </x:c>
      <x:c r="O35" s="59" t="n">
        <x:f>1+O$9*SUMPRODUCT($H$10:$L$10,H35:L35)/SUM($H$10:$L$10)</x:f>
        <x:v>1.1149764116681569</x:v>
      </x:c>
      <x:c r="P35" s="59" t="n">
        <x:f>M35*O35+N35</x:f>
        <x:v>3135.497101024749</x:v>
      </x:c>
      <x:c r="Q35" s="59" t="n">
        <x:f>P35/(P35+'_曲线基线'!$L$2)</x:f>
        <x:v>0.11554964662528108</x:v>
      </x:c>
      <x:c r="R35" s="59" t="n">
        <x:f>E35*'模块规划'!$E$10+G35*'模块规划'!$E$11+H35*'模块规划'!$E$13</x:f>
        <x:v>3431.6311440967756</x:v>
      </x:c>
      <x:c r="S35" s="59" t="n">
        <x:f>I35*'模块规划'!$E$15+J35*'模块规划'!$E$17+K35*'模块规划'!$E$16+L35*'模块规划'!$E$18</x:f>
        <x:v>877.0578723234095</x:v>
      </x:c>
      <x:c r="T35" s="59" t="n">
        <x:f>1+T$9*SUMPRODUCT($H$10:$L$10,H35:L35)/SUM($H$10:$L$10)</x:f>
        <x:v>1.1149764116681569</x:v>
      </x:c>
      <x:c r="U35" s="59" t="n">
        <x:f>R35*T35+S35</x:f>
        <x:v>4703.245651537124</x:v>
      </x:c>
      <x:c r="V35" s="59" t="n">
        <x:f>V$8+(V$9-V$8)*H35</x:f>
        <x:v>0.7385972963300735</x:v>
      </x:c>
      <x:c r="W35" s="59" t="n">
        <x:f>IF(B35&lt;$H$8,0,W$8+(W$9-W$8)*H35)</x:f>
        <x:v>0.05146306177343151</x:v>
      </x:c>
      <x:c r="X35" s="59" t="n">
        <x:f>X$8+(X$9-X$8)*H35</x:f>
        <x:v>0.3103808549692342</x:v>
      </x:c>
      <x:c r="Y35" s="59" t="n">
        <x:f>Y$8+(Y$9-Y$8)*G35</x:f>
        <x:v>1</x:v>
      </x:c>
      <x:c r="Z35" s="59" t="n">
        <x:f>Z$8+(Z$9-Z$8)*H35</x:f>
        <x:v>1</x:v>
      </x:c>
      <x:c r="AA35" s="59" t="n">
        <x:f>AA$8+(AA$9-AA$8)*I35</x:f>
        <x:v>1</x:v>
      </x:c>
      <x:c r="AB35" s="59" t="n">
        <x:f>AB$8+(AB$9-AB$8)*J35</x:f>
        <x:v>1</x:v>
      </x:c>
      <x:c r="AC35" s="59" t="n">
        <x:f>AC$8+(AC$9-AC$8)*MAX(K35,L35)</x:f>
        <x:v>1</x:v>
      </x:c>
      <x:c r="AD35" s="59" t="n">
        <x:f>(V35*AE35+W35*AF35+X35*AG35)*PRODUCT(Y35:AC35)</x:f>
        <x:v>1.106545337135779</x:v>
      </x:c>
      <x:c r="AE35" s="59" t="n">
        <x:f>1+AE$9*($H$10*H35+$I$10*I35+$J$10*J35+$K$10*K35+$L$10*L35)</x:f>
        <x:v>1</x:v>
      </x:c>
      <x:c r="AF35" s="59" t="n">
        <x:f>1+AF$9*($H$10*H35+$I$10*I35+$J$10*J35+$K$10*K35+$L$10*L35)</x:f>
        <x:v>1.0101477156856915</x:v>
      </x:c>
      <x:c r="AG35" s="59" t="n">
        <x:f>1+AG$9*($H$10*H35+$I$10*I35+$J$10*J35+$K$10*K35+$L$10*L35)</x:f>
        <x:v>1.0179840072429758</x:v>
      </x:c>
      <x:c r="AH35" s="59" t="n">
        <x:f>MIN(1,'_曲线基线'!$L$3+AH$9*($H$10*H35+$I$10*I35+$J$10*J35+$K$10*K35+$L$10*L35))</x:f>
        <x:v>0.07308605318494835</x:v>
      </x:c>
      <x:c r="AI35" s="59" t="n">
        <x:f>'_曲线基线'!$L$4+AI$9*($H$10*H35+$I$10*I35+$J$10*J35+$K$10*K35+$L$10*L35)</x:f>
        <x:v>2.0643111481580703</x:v>
      </x:c>
      <x:c r="AJ35" s="59" t="n">
        <x:f>1+AJ$9*($H$10*H35+$I$10*I35+$J$10*J35+$K$10*K35+$L$10*L35)</x:f>
        <x:v>1.0527681215655962</x:v>
      </x:c>
      <x:c r="AK35" s="59" t="n">
        <x:f>(1+AH35*(AI35-1))*AJ35</x:f>
        <x:v>1.1346590597419943</x:v>
      </x:c>
      <x:c r="AL35" s="59" t="n">
        <x:f>U35*AD35*AK35*F35</x:f>
        <x:v>26573.25615624613</x:v>
      </x:c>
      <x:c r="AM35" s="59" t="n">
        <x:f>IF($B35&lt;AM$8,0,AM$3+(AM$4-AM$3)*(POWER(AM$5,$B35-AM$8)-1)/(POWER(AM$5,$C$5-AM$8)-1))</x:f>
        <x:v>35.345232092254854</x:v>
      </x:c>
      <x:c r="AN35" s="59" t="n">
        <x:f>(((E35*'模块规划'!$D$10+G35*'模块规划'!$D$11+H35*'模块规划'!$D$13)*(1+'模块规划'!$G$14*H35)+(I35*'模块规划'!$D$15+J35*'模块规划'!$D$17+K35*'模块规划'!$D$16+L35*'模块规划'!$D$18))*(1+'模块规划'!$J$17*J35))*F35/(1-Q35)</x:f>
        <x:v>79813.02824329917</x:v>
      </x:c>
      <x:c r="AO35" s="59" t="n">
        <x:f>AL35*AM35</x:f>
        <x:v>939237.9062894596</x:v>
      </x:c>
      <x:c r="AP35" s="61" t="n">
        <x:f>IF(AO35="","",INDEX('_曲线基线'!$A$3:$A$502,MIN(ROWS('_曲线基线'!$A$3:$A$502),COUNTIF('_曲线基线'!$E$3:$E$502,"&lt;"&amp;AO35)+1)))</x:f>
        <x:v>50</x:v>
      </x:c>
      <x:c r="AQ35" s="61" t="n">
        <x:f>IF(B35&lt;=2,1,IF(B35&lt;=6,2,IF(B35&lt;=9,3,IF(B35&lt;=19,4,5))))</x:f>
        <x:v>5</x:v>
      </x:c>
      <x:c r="AR35" s="59" t="n">
        <x:f>AN35*(1-Q35)/F35*$AS$3+U35*$AS$4+P35*$AS$5</x:f>
        <x:v>1411.2535371987074</x:v>
      </x:c>
      <x:c r="AS35" s="59" t="n">
        <x:f>1+AH35*$AS$6+AI35*$AS$7+(AJ35-1)*$AS$8+($H$10*H35+$I$10*I35+$J$10*J35+$K$10*K35+$L$10*L35)*$AU$3*$AS$9+($H$10*H35+$I$10*I35+$J$10*J35+$K$10*K35+$L$10*L35)*$AU$4*$AS$10</x:f>
        <x:v>5.587917542562019</x:v>
      </x:c>
      <x:c r="AT35" s="60" t="n">
        <x:f>ROUND(AR35*AS35,0)</x:f>
        <x:v>7886</x:v>
      </x:c>
      <x:c r="AU35" s="60" t="n">
        <x:f>ROUND(AT35*F35,0)</x:f>
        <x:v>35487</x:v>
      </x:c>
      <x:c r="AV35" s="60" t="n">
        <x:f>MIN(MATCH(B35,'主线调参'!$M$11:$M$62,1),ROWS('主线调参'!$M$11:$M$62)-1)</x:f>
        <x:v>14</x:v>
      </x:c>
      <x:c r="AW35" s="62" t="n">
        <x:f>(B35-INDEX('主线调参'!$M$11:$M$62,AV35))/(INDEX('主线调参'!$M$11:$M$62,AV35+1)-INDEX('主线调参'!$M$11:$M$62,AV35))</x:f>
        <x:v>0</x:v>
      </x:c>
      <x:c r="AX35" s="60" t="n">
        <x:f>IF(AU35=0,0,ROUND(AU35,2-INT(LOG10(ABS(AU35)))))</x:f>
        <x:v>35500</x:v>
      </x:c>
      <x:c r="AY35" s="62" t="n">
        <x:f>AU35/AU34-1</x:f>
        <x:v>0.08258084197681503</x:v>
      </x:c>
    </x:row>
    <x:row r="36" ht="25" customHeight="1">
      <x:c r="A36" s="40" t="n">
        <x:f>'调前玩家曲线'!A36</x:f>
        <x:v>17</x:v>
      </x:c>
      <x:c r="B36" s="40" t="n">
        <x:f>'调前玩家曲线'!B36</x:f>
        <x:v>25</x:v>
      </x:c>
      <x:c r="C36" s="40" t="n">
        <x:f>'调前玩家曲线'!C36</x:f>
        <x:v>3</x:v>
      </x:c>
      <x:c r="D36" s="40" t="n">
        <x:f>'调前玩家曲线'!D36</x:f>
        <x:v>1</x:v>
      </x:c>
      <x:c r="E36" s="40" t="n">
        <x:f>'调前玩家曲线'!E36</x:f>
        <x:v>1</x:v>
      </x:c>
      <x:c r="F36" s="40" t="n">
        <x:f>'调前玩家曲线'!F36</x:f>
        <x:v>4.6</x:v>
      </x:c>
      <x:c r="G36" s="63" t="n">
        <x:f>IF(B36&lt;$G$8,0,(INDEX('主线调参'!$C$11:$C$62,$AV36)+(INDEX('主线调参'!$C$11:$C$62,$AV36+1)-INDEX('主线调参'!$C$11:$C$62,$AV36))*$AW36)*'参数说明'!$C$27)</x:f>
        <x:v>0.27554282252499507</x:v>
      </x:c>
      <x:c r="H36" s="63" t="n">
        <x:f>IF(B36&lt;$H$8,0,(INDEX('主线调参'!$D$11:$D$62,$AV36)+(INDEX('主线调参'!$D$11:$D$62,$AV36+1)-INDEX('主线调参'!$D$11:$D$62,$AV36))*$AW36)*'参数说明'!$D$27)</x:f>
        <x:v>0.13727769629670855</x:v>
      </x:c>
      <x:c r="I36" s="63" t="n">
        <x:f>IF(B36&lt;$I$8,0,(INDEX('主线调参'!$E$11:$E$62,$AV36)+(INDEX('主线调参'!$E$11:$E$62,$AV36+1)-INDEX('主线调参'!$E$11:$E$62,$AV36))*$AW36)*'参数说明'!$E$27)</x:f>
        <x:v>0</x:v>
      </x:c>
      <x:c r="J36" s="63" t="n">
        <x:f>IF(B36&lt;$J$8,0,(INDEX('主线调参'!$F$11:$F$62,$AV36)+(INDEX('主线调参'!$F$11:$F$62,$AV36+1)-INDEX('主线调参'!$F$11:$F$62,$AV36))*$AW36)*'参数说明'!$F$27)</x:f>
        <x:v>0</x:v>
      </x:c>
      <x:c r="K36" s="63" t="n">
        <x:f>IF(B36&lt;$K$8,0,(INDEX('主线调参'!$G$11:$G$62,$AV36)+(INDEX('主线调参'!$G$11:$G$62,$AV36+1)-INDEX('主线调参'!$G$11:$G$62,$AV36))*$AW36)*'参数说明'!$G$27)</x:f>
        <x:v>0</x:v>
      </x:c>
      <x:c r="L36" s="63" t="n">
        <x:f>IF(B36&lt;$L$8,0,(INDEX('主线调参'!$H$11:$H$62,$AV36)+(INDEX('主线调参'!$H$11:$H$62,$AV36+1)-INDEX('主线调参'!$H$11:$H$62,$AV36))*$AW36)*'参数说明'!$H$27)</x:f>
        <x:v>0.12148526241078032</x:v>
      </x:c>
      <x:c r="M36" s="59" t="n">
        <x:f>E36*'模块规划'!$F$10+G36*'模块规划'!$F$11+H36*'模块规划'!$F$13</x:f>
        <x:v>2322.6055481199764</x:v>
      </x:c>
      <x:c r="N36" s="59" t="n">
        <x:f>I36*'模块规划'!$F$15+J36*'模块规划'!$F$17+K36*'模块规划'!$F$16+L36*'模块规划'!$F$18</x:f>
        <x:v>607.4263120539016</x:v>
      </x:c>
      <x:c r="O36" s="59" t="n">
        <x:f>1+O$9*SUMPRODUCT($H$10:$L$10,H36:L36)/SUM($H$10:$L$10)</x:f>
        <x:v>1.1209589257664623</x:v>
      </x:c>
      <x:c r="P36" s="59" t="n">
        <x:f>M36*O36+N36</x:f>
        <x:v>3210.971732253696</x:v>
      </x:c>
      <x:c r="Q36" s="59" t="n">
        <x:f>P36/(P36+'_曲线基线'!$L$2)</x:f>
        <x:v>0.1180028322343104</x:v>
      </x:c>
      <x:c r="R36" s="59" t="n">
        <x:f>E36*'模块规划'!$E$10+G36*'模块规划'!$E$11+H36*'模块规划'!$E$13</x:f>
        <x:v>3483.9083221799647</x:v>
      </x:c>
      <x:c r="S36" s="59" t="n">
        <x:f>I36*'模块规划'!$E$15+J36*'模块规划'!$E$17+K36*'模块规划'!$E$16+L36*'模块规划'!$E$18</x:f>
        <x:v>911.1394680808525</x:v>
      </x:c>
      <x:c r="T36" s="59" t="n">
        <x:f>1+T$9*SUMPRODUCT($H$10:$L$10,H36:L36)/SUM($H$10:$L$10)</x:f>
        <x:v>1.1209589257664623</x:v>
      </x:c>
      <x:c r="U36" s="59" t="n">
        <x:f>R36*T36+S36</x:f>
        <x:v>4816.4575983805435</x:v>
      </x:c>
      <x:c r="V36" s="59" t="n">
        <x:f>V$8+(V$9-V$8)*H36</x:f>
        <x:v>0.7411833088890125</x:v>
      </x:c>
      <x:c r="W36" s="59" t="n">
        <x:f>IF(B36&lt;$H$8,0,W$8+(W$9-W$8)*H36)</x:f>
        <x:v>0.054911078518683425</x:v>
      </x:c>
      <x:c r="X36" s="59" t="n">
        <x:f>X$8+(X$9-X$8)*H36</x:f>
        <x:v>0.31275136648159485</x:v>
      </x:c>
      <x:c r="Y36" s="59" t="n">
        <x:f>Y$8+(Y$9-Y$8)*G36</x:f>
        <x:v>1</x:v>
      </x:c>
      <x:c r="Z36" s="59" t="n">
        <x:f>Z$8+(Z$9-Z$8)*H36</x:f>
        <x:v>1</x:v>
      </x:c>
      <x:c r="AA36" s="59" t="n">
        <x:f>AA$8+(AA$9-AA$8)*I36</x:f>
        <x:v>1</x:v>
      </x:c>
      <x:c r="AB36" s="59" t="n">
        <x:f>AB$8+(AB$9-AB$8)*J36</x:f>
        <x:v>1</x:v>
      </x:c>
      <x:c r="AC36" s="59" t="n">
        <x:f>AC$8+(AC$9-AC$8)*MAX(K36,L36)</x:f>
        <x:v>1</x:v>
      </x:c>
      <x:c r="AD36" s="59" t="n">
        <x:f>(V36*AE36+W36*AF36+X36*AG36)*PRODUCT(Y36:AC36)</x:f>
        <x:v>1.1153491505940178</x:v>
      </x:c>
      <x:c r="AE36" s="59" t="n">
        <x:f>1+AE$9*($H$10*H36+$I$10*I36+$J$10*J36+$K$10*K36+$L$10*L36)</x:f>
        <x:v>1</x:v>
      </x:c>
      <x:c r="AF36" s="59" t="n">
        <x:f>1+AF$9*($H$10*H36+$I$10*I36+$J$10*J36+$K$10*K36+$L$10*L36)</x:f>
        <x:v>1.010675727051453</x:v>
      </x:c>
      <x:c r="AG36" s="59" t="n">
        <x:f>1+AG$9*($H$10*H36+$I$10*I36+$J$10*J36+$K$10*K36+$L$10*L36)</x:f>
        <x:v>1.018919760718964</x:v>
      </x:c>
      <x:c r="AH36" s="59" t="n">
        <x:f>MIN(1,'_曲线基线'!$L$3+AH$9*($H$10*H36+$I$10*I36+$J$10*J36+$K$10*K36+$L$10*L36))</x:f>
        <x:v>0.07428727904205545</x:v>
      </x:c>
      <x:c r="AI36" s="59" t="n">
        <x:f>'_曲线基线'!$L$4+AI$9*($H$10*H36+$I$10*I36+$J$10*J36+$K$10*K36+$L$10*L36)</x:f>
        <x:v>2.067657420188583</x:v>
      </x:c>
      <x:c r="AJ36" s="59" t="n">
        <x:f>1+AJ$9*($H$10*H36+$I$10*I36+$J$10*J36+$K$10*K36+$L$10*L36)</x:f>
        <x:v>1.0555137806675554</x:v>
      </x:c>
      <x:c r="AK36" s="59" t="n">
        <x:f>(1+AH36*(AI36-1))*AJ36</x:f>
        <x:v>1.1392301300941026</x:v>
      </x:c>
      <x:c r="AL36" s="59" t="n">
        <x:f>U36*AD36*AK36*F36</x:f>
        <x:v>28151.910715430065</x:v>
      </x:c>
      <x:c r="AM36" s="59" t="n">
        <x:f>IF($B36&lt;AM$8,0,AM$3+(AM$4-AM$3)*(POWER(AM$5,$B36-AM$8)-1)/(POWER(AM$5,$C$5-AM$8)-1))</x:f>
        <x:v>35.362109053099275</x:v>
      </x:c>
      <x:c r="AN36" s="59" t="n">
        <x:f>(((E36*'模块规划'!$D$10+G36*'模块规划'!$D$11+H36*'模块规划'!$D$13)*(1+'模块规划'!$G$14*H36)+(I36*'模块规划'!$D$15+J36*'模块规划'!$D$17+K36*'模块规划'!$D$16+L36*'模块规划'!$D$18))*(1+'模块规划'!$J$17*J36))*F36/(1-Q36)</x:f>
        <x:v>83890.02099610947</x:v>
      </x:c>
      <x:c r="AO36" s="59" t="n">
        <x:f>AL36*AM36</x:f>
        <x:v>995510.936772152</x:v>
      </x:c>
      <x:c r="AP36" s="61" t="n">
        <x:f>IF(AO36="","",INDEX('_曲线基线'!$A$3:$A$502,MIN(ROWS('_曲线基线'!$A$3:$A$502),COUNTIF('_曲线基线'!$E$3:$E$502,"&lt;"&amp;AO36)+1)))</x:f>
        <x:v>52</x:v>
      </x:c>
      <x:c r="AQ36" s="61" t="n">
        <x:f>IF(B36&lt;=2,1,IF(B36&lt;=6,2,IF(B36&lt;=9,3,IF(B36&lt;=19,4,5))))</x:f>
        <x:v>5</x:v>
      </x:c>
      <x:c r="AR36" s="59" t="n">
        <x:f>AN36*(1-Q36)/F36*$AS$3+U36*$AS$4+P36*$AS$5</x:f>
        <x:v>1445.8399604741921</x:v>
      </x:c>
      <x:c r="AS36" s="59" t="n">
        <x:f>1+AH36*$AS$6+AI36*$AS$7+(AJ36-1)*$AS$8+($H$10*H36+$I$10*I36+$J$10*J36+$K$10*K36+$L$10*L36)*$AU$3*$AS$9+($H$10*H36+$I$10*I36+$J$10*J36+$K$10*K36+$L$10*L36)*$AU$4*$AS$10</x:f>
        <x:v>5.619466821619177</x:v>
      </x:c>
      <x:c r="AT36" s="60" t="n">
        <x:f>ROUND(AR36*AS36,0)</x:f>
        <x:v>8125</x:v>
      </x:c>
      <x:c r="AU36" s="60" t="n">
        <x:f>ROUND(AT36*F36,0)</x:f>
        <x:v>37375</x:v>
      </x:c>
      <x:c r="AV36" s="60" t="n">
        <x:f>MIN(MATCH(B36,'主线调参'!$M$11:$M$62,1),ROWS('主线调参'!$M$11:$M$62)-1)</x:f>
        <x:v>15</x:v>
      </x:c>
      <x:c r="AW36" s="62" t="n">
        <x:f>(B36-INDEX('主线调参'!$M$11:$M$62,AV36))/(INDEX('主线调参'!$M$11:$M$62,AV36+1)-INDEX('主线调参'!$M$11:$M$62,AV36))</x:f>
        <x:v>0</x:v>
      </x:c>
      <x:c r="AX36" s="60" t="n">
        <x:f>IF(AU36=0,0,ROUND(AU36,2-INT(LOG10(ABS(AU36)))))</x:f>
        <x:v>37400</x:v>
      </x:c>
      <x:c r="AY36" s="62" t="n">
        <x:f>AU36/AU35-1</x:f>
        <x:v>0.053202581226928114</x:v>
      </x:c>
    </x:row>
    <x:row r="37" ht="25" customHeight="1">
      <x:c r="A37" s="40" t="n">
        <x:f>'调前玩家曲线'!A37</x:f>
        <x:v>17</x:v>
      </x:c>
      <x:c r="B37" s="40" t="n">
        <x:f>'调前玩家曲线'!B37</x:f>
        <x:v>26</x:v>
      </x:c>
      <x:c r="C37" s="40" t="n">
        <x:f>'调前玩家曲线'!C37</x:f>
        <x:v>3</x:v>
      </x:c>
      <x:c r="D37" s="40" t="n">
        <x:f>'调前玩家曲线'!D37</x:f>
        <x:v>2</x:v>
      </x:c>
      <x:c r="E37" s="40" t="n">
        <x:f>'调前玩家曲线'!E37</x:f>
        <x:v>1</x:v>
      </x:c>
      <x:c r="F37" s="40" t="n">
        <x:f>'调前玩家曲线'!F37</x:f>
        <x:v>4.7</x:v>
      </x:c>
      <x:c r="G37" s="63" t="n">
        <x:f>IF(B37&lt;$G$8,0,(INDEX('主线调参'!$C$11:$C$62,$AV37)+(INDEX('主线调参'!$C$11:$C$62,$AV37+1)-INDEX('主线调参'!$C$11:$C$62,$AV37))*$AW37)*'参数说明'!$C$27)</x:f>
        <x:v>0.2825353183493047</x:v>
      </x:c>
      <x:c r="H37" s="63" t="n">
        <x:f>IF(B37&lt;$H$8,0,(INDEX('主线调参'!$D$11:$D$62,$AV37)+(INDEX('主线调参'!$D$11:$D$62,$AV37+1)-INDEX('主线调参'!$D$11:$D$62,$AV37))*$AW37)*'参数说明'!$D$27)</x:f>
        <x:v>0.14547527025292806</x:v>
      </x:c>
      <x:c r="I37" s="63" t="n">
        <x:f>IF(B37&lt;$I$8,0,(INDEX('主线调参'!$E$11:$E$62,$AV37)+(INDEX('主线调参'!$E$11:$E$62,$AV37+1)-INDEX('主线调参'!$E$11:$E$62,$AV37))*$AW37)*'参数说明'!$E$27)</x:f>
        <x:v>0</x:v>
      </x:c>
      <x:c r="J37" s="63" t="n">
        <x:f>IF(B37&lt;$J$8,0,(INDEX('主线调参'!$F$11:$F$62,$AV37)+(INDEX('主线调参'!$F$11:$F$62,$AV37+1)-INDEX('主线调参'!$F$11:$F$62,$AV37))*$AW37)*'参数说明'!$F$27)</x:f>
        <x:v>0</x:v>
      </x:c>
      <x:c r="K37" s="63" t="n">
        <x:f>IF(B37&lt;$K$8,0,(INDEX('主线调参'!$G$11:$G$62,$AV37)+(INDEX('主线调参'!$G$11:$G$62,$AV37+1)-INDEX('主线调参'!$G$11:$G$62,$AV37))*$AW37)*'参数说明'!$G$27)</x:f>
        <x:v>0</x:v>
      </x:c>
      <x:c r="L37" s="63" t="n">
        <x:f>IF(B37&lt;$L$8,0,(INDEX('主线调参'!$H$11:$H$62,$AV37)+(INDEX('主线调参'!$H$11:$H$62,$AV37+1)-INDEX('主线调参'!$H$11:$H$62,$AV37))*$AW37)*'参数说明'!$H$27)</x:f>
        <x:v>0.1259852624107803</x:v>
      </x:c>
      <x:c r="M37" s="59" t="n">
        <x:f>E37*'模块规划'!$F$10+G37*'模块规划'!$F$11+H37*'模块规划'!$F$13</x:f>
        <x:v>2356.1695280766626</x:v>
      </x:c>
      <x:c r="N37" s="59" t="n">
        <x:f>I37*'模块规划'!$F$15+J37*'模块规划'!$F$17+K37*'模块规划'!$F$16+L37*'模块规划'!$F$18</x:f>
        <x:v>629.9263120539016</x:v>
      </x:c>
      <x:c r="O37" s="59" t="n">
        <x:f>1+O$9*SUMPRODUCT($H$10:$L$10,H37:L37)/SUM($H$10:$L$10)</x:f>
        <x:v>1.126741580559156</x:v>
      </x:c>
      <x:c r="P37" s="59" t="n">
        <x:f>M37*O37+N37</x:f>
        <x:v>3284.7204901843215</x:v>
      </x:c>
      <x:c r="Q37" s="59" t="n">
        <x:f>P37/(P37+'_曲线基线'!$L$2)</x:f>
        <x:v>0.12038681104928305</x:v>
      </x:c>
      <x:c r="R37" s="59" t="n">
        <x:f>E37*'模块规划'!$E$10+G37*'模块规划'!$E$11+H37*'模块规划'!$E$13</x:f>
        <x:v>3534.2542921149934</x:v>
      </x:c>
      <x:c r="S37" s="59" t="n">
        <x:f>I37*'模块规划'!$E$15+J37*'模块规划'!$E$17+K37*'模块规划'!$E$16+L37*'模块规划'!$E$18</x:f>
        <x:v>944.8894680808523</x:v>
      </x:c>
      <x:c r="T37" s="59" t="n">
        <x:f>1+T$9*SUMPRODUCT($H$10:$L$10,H37:L37)/SUM($H$10:$L$10)</x:f>
        <x:v>1.126741580559156</x:v>
      </x:c>
      <x:c r="U37" s="59" t="n">
        <x:f>R37*T37+S37</x:f>
        <x:v>4927.080735276481</x:v>
      </x:c>
      <x:c r="V37" s="59" t="n">
        <x:f>V$8+(V$9-V$8)*H37</x:f>
        <x:v>0.7436425810758783</x:v>
      </x:c>
      <x:c r="W37" s="59" t="n">
        <x:f>IF(B37&lt;$H$8,0,W$8+(W$9-W$8)*H37)</x:f>
        <x:v>0.05819010810117123</x:v>
      </x:c>
      <x:c r="X37" s="59" t="n">
        <x:f>X$8+(X$9-X$8)*H37</x:f>
        <x:v>0.31500569931955524</x:v>
      </x:c>
      <x:c r="Y37" s="59" t="n">
        <x:f>Y$8+(Y$9-Y$8)*G37</x:f>
        <x:v>1</x:v>
      </x:c>
      <x:c r="Z37" s="59" t="n">
        <x:f>Z$8+(Z$9-Z$8)*H37</x:f>
        <x:v>1</x:v>
      </x:c>
      <x:c r="AA37" s="59" t="n">
        <x:f>AA$8+(AA$9-AA$8)*I37</x:f>
        <x:v>1</x:v>
      </x:c>
      <x:c r="AB37" s="59" t="n">
        <x:f>AB$8+(AB$9-AB$8)*J37</x:f>
        <x:v>1</x:v>
      </x:c>
      <x:c r="AC37" s="59" t="n">
        <x:f>AC$8+(AC$9-AC$8)*MAX(K37,L37)</x:f>
        <x:v>1</x:v>
      </x:c>
      <x:c r="AD37" s="59" t="n">
        <x:f>(V37*AE37+W37*AF37+X37*AG37)*PRODUCT(Y37:AC37)</x:f>
        <x:v>1.1237340615661098</x:v>
      </x:c>
      <x:c r="AE37" s="59" t="n">
        <x:f>1+AE$9*($H$10*H37+$I$10*I37+$J$10*J37+$K$10*K37+$L$10*L37)</x:f>
        <x:v>1</x:v>
      </x:c>
      <x:c r="AF37" s="59" t="n">
        <x:f>1+AF$9*($H$10*H37+$I$10*I37+$J$10*J37+$K$10*K37+$L$10*L37)</x:f>
        <x:v>1.0111860990129133</x:v>
      </x:c>
      <x:c r="AG37" s="59" t="n">
        <x:f>1+AG$9*($H$10*H37+$I$10*I37+$J$10*J37+$K$10*K37+$L$10*L37)</x:f>
        <x:v>1.0198242532506634</x:v>
      </x:c>
      <x:c r="AH37" s="59" t="n">
        <x:f>MIN(1,'_曲线基线'!$L$3+AH$9*($H$10*H37+$I$10*I37+$J$10*J37+$K$10*K37+$L$10*L37))</x:f>
        <x:v>0.07544837525437789</x:v>
      </x:c>
      <x:c r="AI37" s="59" t="n">
        <x:f>'_曲线基线'!$L$4+AI$9*($H$10*H37+$I$10*I37+$J$10*J37+$K$10*K37+$L$10*L37)</x:f>
        <x:v>2.0708919024943384</x:v>
      </x:c>
      <x:c r="AJ37" s="59" t="n">
        <x:f>1+AJ$9*($H$10*H37+$I$10*I37+$J$10*J37+$K$10*K37+$L$10*L37)</x:f>
        <x:v>1.0581677148671496</x:v>
      </x:c>
      <x:c r="AK37" s="59" t="n">
        <x:f>(1+AH37*(AI37-1))*AJ37</x:f>
        <x:v>1.1436645489893578</x:v>
      </x:c>
      <x:c r="AL37" s="59" t="n">
        <x:f>U37*AD37*AK37*F37</x:f>
        <x:v>29761.152194734936</x:v>
      </x:c>
      <x:c r="AM37" s="59" t="n">
        <x:f>IF($B37&lt;AM$8,0,AM$3+(AM$4-AM$3)*(POWER(AM$5,$B37-AM$8)-1)/(POWER(AM$5,$C$5-AM$8)-1))</x:f>
        <x:v>35.37915478355213</x:v>
      </x:c>
      <x:c r="AN37" s="59" t="n">
        <x:f>(((E37*'模块规划'!$D$10+G37*'模块规划'!$D$11+H37*'模块规划'!$D$13)*(1+'模块规划'!$G$14*H37)+(I37*'模块规划'!$D$15+J37*'模块规划'!$D$17+K37*'模块规划'!$D$16+L37*'模块规划'!$D$18))*(1+'模块规划'!$J$17*J37))*F37/(1-Q37)</x:f>
        <x:v>88019.05229648268</x:v>
      </x:c>
      <x:c r="AO37" s="59" t="n">
        <x:f>AL37*AM37</x:f>
        <x:v>1052924.4100343795</x:v>
      </x:c>
      <x:c r="AP37" s="61" t="n">
        <x:f>IF(AO37="","",INDEX('_曲线基线'!$A$3:$A$502,MIN(ROWS('_曲线基线'!$A$3:$A$502),COUNTIF('_曲线基线'!$E$3:$E$502,"&lt;"&amp;AO37)+1)))</x:f>
        <x:v>54</x:v>
      </x:c>
      <x:c r="AQ37" s="61" t="n">
        <x:f>IF(B37&lt;=2,1,IF(B37&lt;=6,2,IF(B37&lt;=9,3,IF(B37&lt;=19,4,5))))</x:f>
        <x:v>5</x:v>
      </x:c>
      <x:c r="AR37" s="59" t="n">
        <x:f>AN37*(1-Q37)/F37*$AS$3+U37*$AS$4+P37*$AS$5</x:f>
        <x:v>1479.603716920801</x:v>
      </x:c>
      <x:c r="AS37" s="59" t="n">
        <x:f>1+AH37*$AS$6+AI37*$AS$7+(AJ37-1)*$AS$8+($H$10*H37+$I$10*I37+$J$10*J37+$K$10*K37+$L$10*L37)*$AU$3*$AS$9+($H$10*H37+$I$10*I37+$J$10*J37+$K$10*K37+$L$10*L37)*$AU$4*$AS$10</x:f>
        <x:v>5.649962126226577</x:v>
      </x:c>
      <x:c r="AT37" s="60" t="n">
        <x:f>ROUND(AR37*AS37,0)</x:f>
        <x:v>8360</x:v>
      </x:c>
      <x:c r="AU37" s="60" t="n">
        <x:f>ROUND(AT37*F37,0)</x:f>
        <x:v>39292</x:v>
      </x:c>
      <x:c r="AV37" s="60" t="n">
        <x:f>MIN(MATCH(B37,'主线调参'!$M$11:$M$62,1),ROWS('主线调参'!$M$11:$M$62)-1)</x:f>
        <x:v>15</x:v>
      </x:c>
      <x:c r="AW37" s="62" t="n">
        <x:f>(B37-INDEX('主线调参'!$M$11:$M$62,AV37))/(INDEX('主线调参'!$M$11:$M$62,AV37+1)-INDEX('主线调参'!$M$11:$M$62,AV37))</x:f>
        <x:v>0.25</x:v>
      </x:c>
      <x:c r="AX37" s="60" t="n">
        <x:f>IF(AU37=0,0,ROUND(AU37,2-INT(LOG10(ABS(AU37)))))</x:f>
        <x:v>39300</x:v>
      </x:c>
      <x:c r="AY37" s="62" t="n">
        <x:f>AU37/AU36-1</x:f>
        <x:v>0.05129096989966553</x:v>
      </x:c>
    </x:row>
    <x:row r="38" ht="25" customHeight="1">
      <x:c r="A38" s="40" t="n">
        <x:f>'调前玩家曲线'!A38</x:f>
        <x:v>17</x:v>
      </x:c>
      <x:c r="B38" s="40" t="n">
        <x:f>'调前玩家曲线'!B38</x:f>
        <x:v>27</x:v>
      </x:c>
      <x:c r="C38" s="40" t="n">
        <x:f>'调前玩家曲线'!C38</x:f>
        <x:v>3</x:v>
      </x:c>
      <x:c r="D38" s="40" t="n">
        <x:f>'调前玩家曲线'!D38</x:f>
        <x:v>3</x:v>
      </x:c>
      <x:c r="E38" s="40" t="n">
        <x:f>'调前玩家曲线'!E38</x:f>
        <x:v>1</x:v>
      </x:c>
      <x:c r="F38" s="40" t="n">
        <x:f>'调前玩家曲线'!F38</x:f>
        <x:v>4.8</x:v>
      </x:c>
      <x:c r="G38" s="63" t="n">
        <x:f>IF(B38&lt;$G$8,0,(INDEX('主线调参'!$C$11:$C$62,$AV38)+(INDEX('主线调参'!$C$11:$C$62,$AV38+1)-INDEX('主线调参'!$C$11:$C$62,$AV38))*$AW38)*'参数说明'!$C$27)</x:f>
        <x:v>0.28952781417361423</x:v>
      </x:c>
      <x:c r="H38" s="63" t="n">
        <x:f>IF(B38&lt;$H$8,0,(INDEX('主线调参'!$D$11:$D$62,$AV38)+(INDEX('主线调参'!$D$11:$D$62,$AV38+1)-INDEX('主线调参'!$D$11:$D$62,$AV38))*$AW38)*'参数说明'!$D$27)</x:f>
        <x:v>0.1536728442091476</x:v>
      </x:c>
      <x:c r="I38" s="63" t="n">
        <x:f>IF(B38&lt;$I$8,0,(INDEX('主线调参'!$E$11:$E$62,$AV38)+(INDEX('主线调参'!$E$11:$E$62,$AV38+1)-INDEX('主线调参'!$E$11:$E$62,$AV38))*$AW38)*'参数说明'!$E$27)</x:f>
        <x:v>0</x:v>
      </x:c>
      <x:c r="J38" s="63" t="n">
        <x:f>IF(B38&lt;$J$8,0,(INDEX('主线调参'!$F$11:$F$62,$AV38)+(INDEX('主线调参'!$F$11:$F$62,$AV38+1)-INDEX('主线调参'!$F$11:$F$62,$AV38))*$AW38)*'参数说明'!$F$27)</x:f>
        <x:v>0</x:v>
      </x:c>
      <x:c r="K38" s="63" t="n">
        <x:f>IF(B38&lt;$K$8,0,(INDEX('主线调参'!$G$11:$G$62,$AV38)+(INDEX('主线调参'!$G$11:$G$62,$AV38+1)-INDEX('主线调参'!$G$11:$G$62,$AV38))*$AW38)*'参数说明'!$G$27)</x:f>
        <x:v>0</x:v>
      </x:c>
      <x:c r="L38" s="63" t="n">
        <x:f>IF(B38&lt;$L$8,0,(INDEX('主线调参'!$H$11:$H$62,$AV38)+(INDEX('主线调参'!$H$11:$H$62,$AV38+1)-INDEX('主线调参'!$H$11:$H$62,$AV38))*$AW38)*'参数说明'!$H$27)</x:f>
        <x:v>0.13048526241078032</x:v>
      </x:c>
      <x:c r="M38" s="59" t="n">
        <x:f>E38*'模块规划'!$F$10+G38*'模块规划'!$F$11+H38*'模块规划'!$F$13</x:f>
        <x:v>2389.7335080333482</x:v>
      </x:c>
      <x:c r="N38" s="59" t="n">
        <x:f>I38*'模块规划'!$F$15+J38*'模块规划'!$F$17+K38*'模块规划'!$F$16+L38*'模块规划'!$F$18</x:f>
        <x:v>652.4263120539016</x:v>
      </x:c>
      <x:c r="O38" s="59" t="n">
        <x:f>1+O$9*SUMPRODUCT($H$10:$L$10,H38:L38)/SUM($H$10:$L$10)</x:f>
        <x:v>1.1325242353518497</x:v>
      </x:c>
      <x:c r="P38" s="59" t="n">
        <x:f>M38*O38+N38</x:f>
        <x:v>3358.8574259340626</x:v>
      </x:c>
      <x:c r="Q38" s="59" t="n">
        <x:f>P38/(P38+'_曲线基线'!$L$2)</x:f>
        <x:v>0.12277038377889742</x:v>
      </x:c>
      <x:c r="R38" s="59" t="n">
        <x:f>E38*'模块规划'!$E$10+G38*'模块规划'!$E$11+H38*'模块规划'!$E$13</x:f>
        <x:v>3584.6002620500226</x:v>
      </x:c>
      <x:c r="S38" s="59" t="n">
        <x:f>I38*'模块规划'!$E$15+J38*'模块规划'!$E$17+K38*'模块规划'!$E$16+L38*'模块规划'!$E$18</x:f>
        <x:v>978.6394680808523</x:v>
      </x:c>
      <x:c r="T38" s="59" t="n">
        <x:f>1+T$9*SUMPRODUCT($H$10:$L$10,H38:L38)/SUM($H$10:$L$10)</x:f>
        <x:v>1.1325242353518497</x:v>
      </x:c>
      <x:c r="U38" s="59" t="n">
        <x:f>R38*T38+S38</x:f>
        <x:v>5038.286138901094</x:v>
      </x:c>
      <x:c r="V38" s="59" t="n">
        <x:f>V$8+(V$9-V$8)*H38</x:f>
        <x:v>0.7461018532627443</x:v>
      </x:c>
      <x:c r="W38" s="59" t="n">
        <x:f>IF(B38&lt;$H$8,0,W$8+(W$9-W$8)*H38)</x:f>
        <x:v>0.06146913768365904</x:v>
      </x:c>
      <x:c r="X38" s="59" t="n">
        <x:f>X$8+(X$9-X$8)*H38</x:f>
        <x:v>0.31726003215751564</x:v>
      </x:c>
      <x:c r="Y38" s="59" t="n">
        <x:f>Y$8+(Y$9-Y$8)*G38</x:f>
        <x:v>1</x:v>
      </x:c>
      <x:c r="Z38" s="59" t="n">
        <x:f>Z$8+(Z$9-Z$8)*H38</x:f>
        <x:v>1</x:v>
      </x:c>
      <x:c r="AA38" s="59" t="n">
        <x:f>AA$8+(AA$9-AA$8)*I38</x:f>
        <x:v>1</x:v>
      </x:c>
      <x:c r="AB38" s="59" t="n">
        <x:f>AB$8+(AB$9-AB$8)*J38</x:f>
        <x:v>1</x:v>
      </x:c>
      <x:c r="AC38" s="59" t="n">
        <x:f>AC$8+(AC$9-AC$8)*MAX(K38,L38)</x:f>
        <x:v>1</x:v>
      </x:c>
      <x:c r="AD38" s="59" t="n">
        <x:f>(V38*AE38+W38*AF38+X38*AG38)*PRODUCT(Y38:AC38)</x:f>
        <x:v>1.132126397642153</x:v>
      </x:c>
      <x:c r="AE38" s="59" t="n">
        <x:f>1+AE$9*($H$10*H38+$I$10*I38+$J$10*J38+$K$10*K38+$L$10*L38)</x:f>
        <x:v>1</x:v>
      </x:c>
      <x:c r="AF38" s="59" t="n">
        <x:f>1+AF$9*($H$10*H38+$I$10*I38+$J$10*J38+$K$10*K38+$L$10*L38)</x:f>
        <x:v>1.0116964709743739</x:v>
      </x:c>
      <x:c r="AG38" s="59" t="n">
        <x:f>1+AG$9*($H$10*H38+$I$10*I38+$J$10*J38+$K$10*K38+$L$10*L38)</x:f>
        <x:v>1.0207287457823626</x:v>
      </x:c>
      <x:c r="AH38" s="59" t="n">
        <x:f>MIN(1,'_曲线基线'!$L$3+AH$9*($H$10*H38+$I$10*I38+$J$10*J38+$K$10*K38+$L$10*L38))</x:f>
        <x:v>0.07660947146670033</x:v>
      </x:c>
      <x:c r="AI38" s="59" t="n">
        <x:f>'_曲线基线'!$L$4+AI$9*($H$10*H38+$I$10*I38+$J$10*J38+$K$10*K38+$L$10*L38)</x:f>
        <x:v>2.0741263848000937</x:v>
      </x:c>
      <x:c r="AJ38" s="59" t="n">
        <x:f>1+AJ$9*($H$10*H38+$I$10*I38+$J$10*J38+$K$10*K38+$L$10*L38)</x:f>
        <x:v>1.0608216490667437</x:v>
      </x:c>
      <x:c r="AK38" s="59" t="n">
        <x:f>(1+AH38*(AI38-1))*AJ38</x:f>
        <x:v>1.148114811040014</x:v>
      </x:c>
      <x:c r="AL38" s="59" t="n">
        <x:f>U38*AD38*AK38*F38</x:f>
        <x:v>31434.336831653138</x:v>
      </x:c>
      <x:c r="AM38" s="59" t="n">
        <x:f>IF($B38&lt;AM$8,0,AM$3+(AM$4-AM$3)*(POWER(AM$5,$B38-AM$8)-1)/(POWER(AM$5,$C$5-AM$8)-1))</x:f>
        <x:v>35.39637097130952</x:v>
      </x:c>
      <x:c r="AN38" s="59" t="n">
        <x:f>(((E38*'模块规划'!$D$10+G38*'模块规划'!$D$11+H38*'模块规划'!$D$13)*(1+'模块规划'!$G$14*H38)+(I38*'模块规划'!$D$15+J38*'模块规划'!$D$17+K38*'模块规划'!$D$16+L38*'模块规划'!$D$18))*(1+'模块规划'!$J$17*J38))*F38/(1-Q38)</x:f>
        <x:v>92272.48660908219</x:v>
      </x:c>
      <x:c r="AO38" s="59" t="n">
        <x:f>AL38*AM38</x:f>
        <x:v>1112661.4477302928</x:v>
      </x:c>
      <x:c r="AP38" s="61" t="n">
        <x:f>IF(AO38="","",INDEX('_曲线基线'!$A$3:$A$502,MIN(ROWS('_曲线基线'!$A$3:$A$502),COUNTIF('_曲线基线'!$E$3:$E$502,"&lt;"&amp;AO38)+1)))</x:f>
        <x:v>55</x:v>
      </x:c>
      <x:c r="AQ38" s="61" t="n">
        <x:f>IF(B38&lt;=2,1,IF(B38&lt;=6,2,IF(B38&lt;=9,3,IF(B38&lt;=19,4,5))))</x:f>
        <x:v>5</x:v>
      </x:c>
      <x:c r="AR38" s="59" t="n">
        <x:f>AN38*(1-Q38)/F38*$AS$3+U38*$AS$4+P38*$AS$5</x:f>
        <x:v>1513.5582153792936</x:v>
      </x:c>
      <x:c r="AS38" s="59" t="n">
        <x:f>1+AH38*$AS$6+AI38*$AS$7+(AJ38-1)*$AS$8+($H$10*H38+$I$10*I38+$J$10*J38+$K$10*K38+$L$10*L38)*$AU$3*$AS$9+($H$10*H38+$I$10*I38+$J$10*J38+$K$10*K38+$L$10*L38)*$AU$4*$AS$10</x:f>
        <x:v>5.680457430833978</x:v>
      </x:c>
      <x:c r="AT38" s="60" t="n">
        <x:f>ROUND(AR38*AS38,0)</x:f>
        <x:v>8598</x:v>
      </x:c>
      <x:c r="AU38" s="60" t="n">
        <x:f>ROUND(AT38*F38,0)</x:f>
        <x:v>41270</x:v>
      </x:c>
      <x:c r="AV38" s="60" t="n">
        <x:f>MIN(MATCH(B38,'主线调参'!$M$11:$M$62,1),ROWS('主线调参'!$M$11:$M$62)-1)</x:f>
        <x:v>15</x:v>
      </x:c>
      <x:c r="AW38" s="62" t="n">
        <x:f>(B38-INDEX('主线调参'!$M$11:$M$62,AV38))/(INDEX('主线调参'!$M$11:$M$62,AV38+1)-INDEX('主线调参'!$M$11:$M$62,AV38))</x:f>
        <x:v>0.5</x:v>
      </x:c>
      <x:c r="AX38" s="60" t="n">
        <x:f>IF(AU38=0,0,ROUND(AU38,2-INT(LOG10(ABS(AU38)))))</x:f>
        <x:v>41300</x:v>
      </x:c>
      <x:c r="AY38" s="62" t="n">
        <x:f>AU38/AU37-1</x:f>
        <x:v>0.05034103634327591</x:v>
      </x:c>
    </x:row>
    <x:row r="39" ht="25" customHeight="1">
      <x:c r="A39" s="40" t="n">
        <x:f>'调前玩家曲线'!A39</x:f>
        <x:v>18</x:v>
      </x:c>
      <x:c r="B39" s="40" t="n">
        <x:f>'调前玩家曲线'!B39</x:f>
        <x:v>28</x:v>
      </x:c>
      <x:c r="C39" s="40" t="n">
        <x:f>'调前玩家曲线'!C39</x:f>
        <x:v>3</x:v>
      </x:c>
      <x:c r="D39" s="40" t="n">
        <x:f>'调前玩家曲线'!D39</x:f>
        <x:v>4</x:v>
      </x:c>
      <x:c r="E39" s="40" t="n">
        <x:f>'调前玩家曲线'!E39</x:f>
        <x:v>1</x:v>
      </x:c>
      <x:c r="F39" s="40" t="n">
        <x:f>'调前玩家曲线'!F39</x:f>
        <x:v>4.9</x:v>
      </x:c>
      <x:c r="G39" s="63" t="n">
        <x:f>IF(B39&lt;$G$8,0,(INDEX('主线调参'!$C$11:$C$62,$AV39)+(INDEX('主线调参'!$C$11:$C$62,$AV39+1)-INDEX('主线调参'!$C$11:$C$62,$AV39))*$AW39)*'参数说明'!$C$27)</x:f>
        <x:v>0.2965203099979238</x:v>
      </x:c>
      <x:c r="H39" s="63" t="n">
        <x:f>IF(B39&lt;$H$8,0,(INDEX('主线调参'!$D$11:$D$62,$AV39)+(INDEX('主线调参'!$D$11:$D$62,$AV39+1)-INDEX('主线调参'!$D$11:$D$62,$AV39))*$AW39)*'参数说明'!$D$27)</x:f>
        <x:v>0.1618704181653671</x:v>
      </x:c>
      <x:c r="I39" s="63" t="n">
        <x:f>IF(B39&lt;$I$8,0,(INDEX('主线调参'!$E$11:$E$62,$AV39)+(INDEX('主线调参'!$E$11:$E$62,$AV39+1)-INDEX('主线调参'!$E$11:$E$62,$AV39))*$AW39)*'参数说明'!$E$27)</x:f>
        <x:v>0</x:v>
      </x:c>
      <x:c r="J39" s="63" t="n">
        <x:f>IF(B39&lt;$J$8,0,(INDEX('主线调参'!$F$11:$F$62,$AV39)+(INDEX('主线调参'!$F$11:$F$62,$AV39+1)-INDEX('主线调参'!$F$11:$F$62,$AV39))*$AW39)*'参数说明'!$F$27)</x:f>
        <x:v>0</x:v>
      </x:c>
      <x:c r="K39" s="63" t="n">
        <x:f>IF(B39&lt;$K$8,0,(INDEX('主线调参'!$G$11:$G$62,$AV39)+(INDEX('主线调参'!$G$11:$G$62,$AV39+1)-INDEX('主线调参'!$G$11:$G$62,$AV39))*$AW39)*'参数说明'!$G$27)</x:f>
        <x:v>0</x:v>
      </x:c>
      <x:c r="L39" s="63" t="n">
        <x:f>IF(B39&lt;$L$8,0,(INDEX('主线调参'!$H$11:$H$62,$AV39)+(INDEX('主线调参'!$H$11:$H$62,$AV39+1)-INDEX('主线调参'!$H$11:$H$62,$AV39))*$AW39)*'参数说明'!$H$27)</x:f>
        <x:v>0.1349852624107803</x:v>
      </x:c>
      <x:c r="M39" s="59" t="n">
        <x:f>E39*'模块规划'!$F$10+G39*'模块规划'!$F$11+H39*'模块规划'!$F$13</x:f>
        <x:v>2423.297487990034</x:v>
      </x:c>
      <x:c r="N39" s="59" t="n">
        <x:f>I39*'模块规划'!$F$15+J39*'模块规划'!$F$17+K39*'模块规划'!$F$16+L39*'模块规划'!$F$18</x:f>
        <x:v>674.9263120539015</x:v>
      </x:c>
      <x:c r="O39" s="59" t="n">
        <x:f>1+O$9*SUMPRODUCT($H$10:$L$10,H39:L39)/SUM($H$10:$L$10)</x:f>
        <x:v>1.1383068901445432</x:v>
      </x:c>
      <x:c r="P39" s="59" t="n">
        <x:f>M39*O39+N39</x:f>
        <x:v>3433.3825395029207</x:v>
      </x:c>
      <x:c r="Q39" s="59" t="n">
        <x:f>P39/(P39+'_曲线基线'!$L$2)</x:f>
        <x:v>0.12515345253393356</x:v>
      </x:c>
      <x:c r="R39" s="59" t="n">
        <x:f>E39*'模块规划'!$E$10+G39*'模块规划'!$E$11+H39*'模块规划'!$E$13</x:f>
        <x:v>3634.9462319850513</x:v>
      </x:c>
      <x:c r="S39" s="59" t="n">
        <x:f>I39*'模块规划'!$E$15+J39*'模块规划'!$E$17+K39*'模块规划'!$E$16+L39*'模块规划'!$E$18</x:f>
        <x:v>1012.3894680808522</x:v>
      </x:c>
      <x:c r="T39" s="59" t="n">
        <x:f>1+T$9*SUMPRODUCT($H$10:$L$10,H39:L39)/SUM($H$10:$L$10)</x:f>
        <x:v>1.1383068901445432</x:v>
      </x:c>
      <x:c r="U39" s="59" t="n">
        <x:f>R39*T39+S39</x:f>
        <x:v>5150.073809254382</x:v>
      </x:c>
      <x:c r="V39" s="59" t="n">
        <x:f>V$8+(V$9-V$8)*H39</x:f>
        <x:v>0.7485611254496101</x:v>
      </x:c>
      <x:c r="W39" s="59" t="n">
        <x:f>IF(B39&lt;$H$8,0,W$8+(W$9-W$8)*H39)</x:f>
        <x:v>0.06474816726614684</x:v>
      </x:c>
      <x:c r="X39" s="59" t="n">
        <x:f>X$8+(X$9-X$8)*H39</x:f>
        <x:v>0.319514364995476</x:v>
      </x:c>
      <x:c r="Y39" s="59" t="n">
        <x:f>Y$8+(Y$9-Y$8)*G39</x:f>
        <x:v>1</x:v>
      </x:c>
      <x:c r="Z39" s="59" t="n">
        <x:f>Z$8+(Z$9-Z$8)*H39</x:f>
        <x:v>1</x:v>
      </x:c>
      <x:c r="AA39" s="59" t="n">
        <x:f>AA$8+(AA$9-AA$8)*I39</x:f>
        <x:v>1</x:v>
      </x:c>
      <x:c r="AB39" s="59" t="n">
        <x:f>AB$8+(AB$9-AB$8)*J39</x:f>
        <x:v>1</x:v>
      </x:c>
      <x:c r="AC39" s="59" t="n">
        <x:f>AC$8+(AC$9-AC$8)*MAX(K39,L39)</x:f>
        <x:v>1</x:v>
      </x:c>
      <x:c r="AD39" s="59" t="n">
        <x:f>(V39*AE39+W39*AF39+X39*AG39)*PRODUCT(Y39:AC39)</x:f>
        <x:v>1.1405261588221471</x:v>
      </x:c>
      <x:c r="AE39" s="59" t="n">
        <x:f>1+AE$9*($H$10*H39+$I$10*I39+$J$10*J39+$K$10*K39+$L$10*L39)</x:f>
        <x:v>1</x:v>
      </x:c>
      <x:c r="AF39" s="59" t="n">
        <x:f>1+AF$9*($H$10*H39+$I$10*I39+$J$10*J39+$K$10*K39+$L$10*L39)</x:f>
        <x:v>1.0122068429358342</x:v>
      </x:c>
      <x:c r="AG39" s="59" t="n">
        <x:f>1+AG$9*($H$10*H39+$I$10*I39+$J$10*J39+$K$10*K39+$L$10*L39)</x:f>
        <x:v>1.0216332383140618</x:v>
      </x:c>
      <x:c r="AH39" s="59" t="n">
        <x:f>MIN(1,'_曲线基线'!$L$3+AH$9*($H$10*H39+$I$10*I39+$J$10*J39+$K$10*K39+$L$10*L39))</x:f>
        <x:v>0.07777056767902277</x:v>
      </x:c>
      <x:c r="AI39" s="59" t="n">
        <x:f>'_曲线基线'!$L$4+AI$9*($H$10*H39+$I$10*I39+$J$10*J39+$K$10*K39+$L$10*L39)</x:f>
        <x:v>2.077360867105849</x:v>
      </x:c>
      <x:c r="AJ39" s="59" t="n">
        <x:f>1+AJ$9*($H$10*H39+$I$10*I39+$J$10*J39+$K$10*K39+$L$10*L39)</x:f>
        <x:v>1.0634755832663378</x:v>
      </x:c>
      <x:c r="AK39" s="59" t="n">
        <x:f>(1+AH39*(AI39-1))*AJ39</x:f>
        <x:v>1.1525809760478893</x:v>
      </x:c>
      <x:c r="AL39" s="59" t="n">
        <x:f>U39*AD39*AK39*F39</x:f>
        <x:v>33173.11321735053</x:v>
      </x:c>
      <x:c r="AM39" s="59" t="n">
        <x:f>IF($B39&lt;AM$8,0,AM$3+(AM$4-AM$3)*(POWER(AM$5,$B39-AM$8)-1)/(POWER(AM$5,$C$5-AM$8)-1))</x:f>
        <x:v>35.413759320944486</x:v>
      </x:c>
      <x:c r="AN39" s="59" t="n">
        <x:f>(((E39*'模块规划'!$D$10+G39*'模块规划'!$D$11+H39*'模块规划'!$D$13)*(1+'模块规划'!$G$14*H39)+(I39*'模块规划'!$D$15+J39*'模块规划'!$D$17+K39*'模块规划'!$D$16+L39*'模块规划'!$D$18))*(1+'模块规划'!$J$17*J39))*F39/(1-Q39)</x:f>
        <x:v>96652.17318935909</x:v>
      </x:c>
      <x:c r="AO39" s="59" t="n">
        <x:f>AL39*AM39</x:f>
        <x:v>1174784.6474056942</x:v>
      </x:c>
      <x:c r="AP39" s="61" t="n">
        <x:f>IF(AO39="","",INDEX('_曲线基线'!$A$3:$A$502,MIN(ROWS('_曲线基线'!$A$3:$A$502),COUNTIF('_曲线基线'!$E$3:$E$502,"&lt;"&amp;AO39)+1)))</x:f>
        <x:v>57</x:v>
      </x:c>
      <x:c r="AQ39" s="61" t="n">
        <x:f>IF(B39&lt;=2,1,IF(B39&lt;=6,2,IF(B39&lt;=9,3,IF(B39&lt;=19,4,5))))</x:f>
        <x:v>5</x:v>
      </x:c>
      <x:c r="AR39" s="59" t="n">
        <x:f>AN39*(1-Q39)/F39*$AS$3+U39*$AS$4+P39*$AS$5</x:f>
        <x:v>1547.7034558496707</x:v>
      </x:c>
      <x:c r="AS39" s="59" t="n">
        <x:f>1+AH39*$AS$6+AI39*$AS$7+(AJ39-1)*$AS$8+($H$10*H39+$I$10*I39+$J$10*J39+$K$10*K39+$L$10*L39)*$AU$3*$AS$9+($H$10*H39+$I$10*I39+$J$10*J39+$K$10*K39+$L$10*L39)*$AU$4*$AS$10</x:f>
        <x:v>5.710952735441378</x:v>
      </x:c>
      <x:c r="AT39" s="60" t="n">
        <x:f>ROUND(AR39*AS39,0)</x:f>
        <x:v>8839</x:v>
      </x:c>
      <x:c r="AU39" s="60" t="n">
        <x:f>ROUND(AT39*F39,0)</x:f>
        <x:v>43311</x:v>
      </x:c>
      <x:c r="AV39" s="60" t="n">
        <x:f>MIN(MATCH(B39,'主线调参'!$M$11:$M$62,1),ROWS('主线调参'!$M$11:$M$62)-1)</x:f>
        <x:v>15</x:v>
      </x:c>
      <x:c r="AW39" s="62" t="n">
        <x:f>(B39-INDEX('主线调参'!$M$11:$M$62,AV39))/(INDEX('主线调参'!$M$11:$M$62,AV39+1)-INDEX('主线调参'!$M$11:$M$62,AV39))</x:f>
        <x:v>0.75</x:v>
      </x:c>
      <x:c r="AX39" s="60" t="n">
        <x:f>IF(AU39=0,0,ROUND(AU39,2-INT(LOG10(ABS(AU39)))))</x:f>
        <x:v>43300</x:v>
      </x:c>
      <x:c r="AY39" s="62" t="n">
        <x:f>AU39/AU38-1</x:f>
        <x:v>0.049454809789193144</x:v>
      </x:c>
    </x:row>
    <x:row r="40" ht="25" customHeight="1">
      <x:c r="A40" s="40" t="n">
        <x:f>'调前玩家曲线'!A40</x:f>
        <x:v>18</x:v>
      </x:c>
      <x:c r="B40" s="40" t="n">
        <x:f>'调前玩家曲线'!B40</x:f>
        <x:v>29</x:v>
      </x:c>
      <x:c r="C40" s="40" t="n">
        <x:f>'调前玩家曲线'!C40</x:f>
        <x:v>3</x:v>
      </x:c>
      <x:c r="D40" s="40" t="n">
        <x:f>'调前玩家曲线'!D40</x:f>
        <x:v>5</x:v>
      </x:c>
      <x:c r="E40" s="40" t="n">
        <x:f>'调前玩家曲线'!E40</x:f>
        <x:v>1</x:v>
      </x:c>
      <x:c r="F40" s="40" t="n">
        <x:f>'调前玩家曲线'!F40</x:f>
        <x:v>5</x:v>
      </x:c>
      <x:c r="G40" s="63" t="n">
        <x:f>IF(B40&lt;$G$8,0,(INDEX('主线调参'!$C$11:$C$62,$AV40)+(INDEX('主线调参'!$C$11:$C$62,$AV40+1)-INDEX('主线调参'!$C$11:$C$62,$AV40))*$AW40)*'参数说明'!$C$27)</x:f>
        <x:v>0.3035128058222334</x:v>
      </x:c>
      <x:c r="H40" s="63" t="n">
        <x:f>IF(B40&lt;$H$8,0,(INDEX('主线调参'!$D$11:$D$62,$AV40)+(INDEX('主线调参'!$D$11:$D$62,$AV40+1)-INDEX('主线调参'!$D$11:$D$62,$AV40))*$AW40)*'参数说明'!$D$27)</x:f>
        <x:v>0.17006799212158663</x:v>
      </x:c>
      <x:c r="I40" s="63" t="n">
        <x:f>IF(B40&lt;$I$8,0,(INDEX('主线调参'!$E$11:$E$62,$AV40)+(INDEX('主线调参'!$E$11:$E$62,$AV40+1)-INDEX('主线调参'!$E$11:$E$62,$AV40))*$AW40)*'参数说明'!$E$27)</x:f>
        <x:v>0</x:v>
      </x:c>
      <x:c r="J40" s="63" t="n">
        <x:f>IF(B40&lt;$J$8,0,(INDEX('主线调参'!$F$11:$F$62,$AV40)+(INDEX('主线调参'!$F$11:$F$62,$AV40+1)-INDEX('主线调参'!$F$11:$F$62,$AV40))*$AW40)*'参数说明'!$F$27)</x:f>
        <x:v>0</x:v>
      </x:c>
      <x:c r="K40" s="63" t="n">
        <x:f>IF(B40&lt;$K$8,0,(INDEX('主线调参'!$G$11:$G$62,$AV40)+(INDEX('主线调参'!$G$11:$G$62,$AV40+1)-INDEX('主线调参'!$G$11:$G$62,$AV40))*$AW40)*'参数说明'!$G$27)</x:f>
        <x:v>0</x:v>
      </x:c>
      <x:c r="L40" s="63" t="n">
        <x:f>IF(B40&lt;$L$8,0,(INDEX('主线调参'!$H$11:$H$62,$AV40)+(INDEX('主线调参'!$H$11:$H$62,$AV40+1)-INDEX('主线调参'!$H$11:$H$62,$AV40))*$AW40)*'参数说明'!$H$27)</x:f>
        <x:v>0.1394852624107803</x:v>
      </x:c>
      <x:c r="M40" s="59" t="n">
        <x:f>E40*'模块规划'!$F$10+G40*'模块规划'!$F$11+H40*'模块规划'!$F$13</x:f>
        <x:v>2456.86146794672</x:v>
      </x:c>
      <x:c r="N40" s="59" t="n">
        <x:f>I40*'模块规划'!$F$15+J40*'模块规划'!$F$17+K40*'模块规划'!$F$16+L40*'模块规划'!$F$18</x:f>
        <x:v>697.4263120539015</x:v>
      </x:c>
      <x:c r="O40" s="59" t="n">
        <x:f>1+O$9*SUMPRODUCT($H$10:$L$10,H40:L40)/SUM($H$10:$L$10)</x:f>
        <x:v>1.144089544937237</x:v>
      </x:c>
      <x:c r="P40" s="59" t="n">
        <x:f>M40*O40+N40</x:f>
        <x:v>3508.2958308908965</x:v>
      </x:c>
      <x:c r="Q40" s="59" t="n">
        <x:f>P40/(P40+'_曲线基线'!$L$2)</x:f>
        <x:v>0.12753592052587998</x:v>
      </x:c>
      <x:c r="R40" s="59" t="n">
        <x:f>E40*'模块规划'!$E$10+G40*'模块规划'!$E$11+H40*'模块规划'!$E$13</x:f>
        <x:v>3685.2922019200805</x:v>
      </x:c>
      <x:c r="S40" s="59" t="n">
        <x:f>I40*'模块规划'!$E$15+J40*'模块规划'!$E$17+K40*'模块规划'!$E$16+L40*'模块规划'!$E$18</x:f>
        <x:v>1046.1394680808523</x:v>
      </x:c>
      <x:c r="T40" s="59" t="n">
        <x:f>1+T$9*SUMPRODUCT($H$10:$L$10,H40:L40)/SUM($H$10:$L$10)</x:f>
        <x:v>1.144089544937237</x:v>
      </x:c>
      <x:c r="U40" s="59" t="n">
        <x:f>R40*T40+S40</x:f>
        <x:v>5262.443746336346</x:v>
      </x:c>
      <x:c r="V40" s="59" t="n">
        <x:f>V$8+(V$9-V$8)*H40</x:f>
        <x:v>0.751020397636476</x:v>
      </x:c>
      <x:c r="W40" s="59" t="n">
        <x:f>IF(B40&lt;$H$8,0,W$8+(W$9-W$8)*H40)</x:f>
        <x:v>0.06802719684863466</x:v>
      </x:c>
      <x:c r="X40" s="59" t="n">
        <x:f>X$8+(X$9-X$8)*H40</x:f>
        <x:v>0.32176869783343637</x:v>
      </x:c>
      <x:c r="Y40" s="59" t="n">
        <x:f>Y$8+(Y$9-Y$8)*G40</x:f>
        <x:v>1</x:v>
      </x:c>
      <x:c r="Z40" s="59" t="n">
        <x:f>Z$8+(Z$9-Z$8)*H40</x:f>
        <x:v>1</x:v>
      </x:c>
      <x:c r="AA40" s="59" t="n">
        <x:f>AA$8+(AA$9-AA$8)*I40</x:f>
        <x:v>1</x:v>
      </x:c>
      <x:c r="AB40" s="59" t="n">
        <x:f>AB$8+(AB$9-AB$8)*J40</x:f>
        <x:v>1</x:v>
      </x:c>
      <x:c r="AC40" s="59" t="n">
        <x:f>AC$8+(AC$9-AC$8)*MAX(K40,L40)</x:f>
        <x:v>1</x:v>
      </x:c>
      <x:c r="AD40" s="59" t="n">
        <x:f>(V40*AE40+W40*AF40+X40*AG40)*PRODUCT(Y40:AC40)</x:f>
        <x:v>1.1489333451060928</x:v>
      </x:c>
      <x:c r="AE40" s="59" t="n">
        <x:f>1+AE$9*($H$10*H40+$I$10*I40+$J$10*J40+$K$10*K40+$L$10*L40)</x:f>
        <x:v>1</x:v>
      </x:c>
      <x:c r="AF40" s="59" t="n">
        <x:f>1+AF$9*($H$10*H40+$I$10*I40+$J$10*J40+$K$10*K40+$L$10*L40)</x:f>
        <x:v>1.0127172148972947</x:v>
      </x:c>
      <x:c r="AG40" s="59" t="n">
        <x:f>1+AG$9*($H$10*H40+$I$10*I40+$J$10*J40+$K$10*K40+$L$10*L40)</x:f>
        <x:v>1.0225377308457613</x:v>
      </x:c>
      <x:c r="AH40" s="59" t="n">
        <x:f>MIN(1,'_曲线基线'!$L$3+AH$9*($H$10*H40+$I$10*I40+$J$10*J40+$K$10*K40+$L$10*L40))</x:f>
        <x:v>0.0789316638913452</x:v>
      </x:c>
      <x:c r="AI40" s="59" t="n">
        <x:f>'_曲线基线'!$L$4+AI$9*($H$10*H40+$I$10*I40+$J$10*J40+$K$10*K40+$L$10*L40)</x:f>
        <x:v>2.0805953494116043</x:v>
      </x:c>
      <x:c r="AJ40" s="59" t="n">
        <x:f>1+AJ$9*($H$10*H40+$I$10*I40+$J$10*J40+$K$10*K40+$L$10*L40)</x:f>
        <x:v>1.066129517465932</x:v>
      </x:c>
      <x:c r="AK40" s="59" t="n">
        <x:f>(1+AH40*(AI40-1))*AJ40</x:f>
        <x:v>1.1570631038148023</x:v>
      </x:c>
      <x:c r="AL40" s="59" t="n">
        <x:f>U40*AD40*AK40*F40</x:f>
        <x:v>34979.15789613861</x:v>
      </x:c>
      <x:c r="AM40" s="59" t="n">
        <x:f>IF($B40&lt;AM$8,0,AM$3+(AM$4-AM$3)*(POWER(AM$5,$B40-AM$8)-1)/(POWER(AM$5,$C$5-AM$8)-1))</x:f>
        <x:v>35.4313215540758</x:v>
      </x:c>
      <x:c r="AN40" s="59" t="n">
        <x:f>(((E40*'模块规划'!$D$10+G40*'模块规划'!$D$11+H40*'模块规划'!$D$13)*(1+'模块规划'!$G$14*H40)+(I40*'模块规划'!$D$15+J40*'模块规划'!$D$17+K40*'模块规划'!$D$16+L40*'模块规划'!$D$18))*(1+'模块规划'!$J$17*J40))*F40/(1-Q40)</x:f>
        <x:v>101159.97925168664</x:v>
      </x:c>
      <x:c r="AO40" s="59" t="n">
        <x:f>AL40*AM40</x:f>
        <x:v>1239357.7911088767</x:v>
      </x:c>
      <x:c r="AP40" s="61" t="n">
        <x:f>IF(AO40="","",INDEX('_曲线基线'!$A$3:$A$502,MIN(ROWS('_曲线基线'!$A$3:$A$502),COUNTIF('_曲线基线'!$E$3:$E$502,"&lt;"&amp;AO40)+1)))</x:f>
        <x:v>59</x:v>
      </x:c>
      <x:c r="AQ40" s="61" t="n">
        <x:f>IF(B40&lt;=2,1,IF(B40&lt;=6,2,IF(B40&lt;=9,3,IF(B40&lt;=19,4,5))))</x:f>
        <x:v>5</x:v>
      </x:c>
      <x:c r="AR40" s="59" t="n">
        <x:f>AN40*(1-Q40)/F40*$AS$3+U40*$AS$4+P40*$AS$5</x:f>
        <x:v>1582.0394383319322</x:v>
      </x:c>
      <x:c r="AS40" s="59" t="n">
        <x:f>1+AH40*$AS$6+AI40*$AS$7+(AJ40-1)*$AS$8+($H$10*H40+$I$10*I40+$J$10*J40+$K$10*K40+$L$10*L40)*$AU$3*$AS$9+($H$10*H40+$I$10*I40+$J$10*J40+$K$10*K40+$L$10*L40)*$AU$4*$AS$10</x:f>
        <x:v>5.74144804004878</x:v>
      </x:c>
      <x:c r="AT40" s="60" t="n">
        <x:f>ROUND(AR40*AS40,0)</x:f>
        <x:v>9083</x:v>
      </x:c>
      <x:c r="AU40" s="60" t="n">
        <x:f>ROUND(AT40*F40,0)</x:f>
        <x:v>45415</x:v>
      </x:c>
      <x:c r="AV40" s="60" t="n">
        <x:f>MIN(MATCH(B40,'主线调参'!$M$11:$M$62,1),ROWS('主线调参'!$M$11:$M$62)-1)</x:f>
        <x:v>16</x:v>
      </x:c>
      <x:c r="AW40" s="62" t="n">
        <x:f>(B40-INDEX('主线调参'!$M$11:$M$62,AV40))/(INDEX('主线调参'!$M$11:$M$62,AV40+1)-INDEX('主线调参'!$M$11:$M$62,AV40))</x:f>
        <x:v>0</x:v>
      </x:c>
      <x:c r="AX40" s="60" t="n">
        <x:f>IF(AU40=0,0,ROUND(AU40,2-INT(LOG10(ABS(AU40)))))</x:f>
        <x:v>45400</x:v>
      </x:c>
      <x:c r="AY40" s="62" t="n">
        <x:f>AU40/AU39-1</x:f>
        <x:v>0.04857888296275781</x:v>
      </x:c>
    </x:row>
    <x:row r="41" ht="25" customHeight="1">
      <x:c r="A41" s="40" t="n">
        <x:f>'调前玩家曲线'!A41</x:f>
        <x:v>19</x:v>
      </x:c>
      <x:c r="B41" s="40" t="n">
        <x:f>'调前玩家曲线'!B41</x:f>
        <x:v>30</x:v>
      </x:c>
      <x:c r="C41" s="40" t="n">
        <x:f>'调前玩家曲线'!C41</x:f>
        <x:v>3</x:v>
      </x:c>
      <x:c r="D41" s="40" t="n">
        <x:f>'调前玩家曲线'!D41</x:f>
        <x:v>6</x:v>
      </x:c>
      <x:c r="E41" s="40" t="n">
        <x:f>'调前玩家曲线'!E41</x:f>
        <x:v>1</x:v>
      </x:c>
      <x:c r="F41" s="40" t="n">
        <x:f>'调前玩家曲线'!F41</x:f>
        <x:v>5</x:v>
      </x:c>
      <x:c r="G41" s="63" t="n">
        <x:f>IF(B41&lt;$G$8,0,(INDEX('主线调参'!$C$11:$C$62,$AV41)+(INDEX('主线调参'!$C$11:$C$62,$AV41+1)-INDEX('主线调参'!$C$11:$C$62,$AV41))*$AW41)*'参数说明'!$C$27)</x:f>
        <x:v>0.31024506446332223</x:v>
      </x:c>
      <x:c r="H41" s="63" t="n">
        <x:f>IF(B41&lt;$H$8,0,(INDEX('主线调参'!$D$11:$D$62,$AV41)+(INDEX('主线调参'!$D$11:$D$62,$AV41+1)-INDEX('主线调参'!$D$11:$D$62,$AV41))*$AW41)*'参数说明'!$D$27)</x:f>
        <x:v>0.17785982723095636</x:v>
      </x:c>
      <x:c r="I41" s="63" t="n">
        <x:f>IF(B41&lt;$I$8,0,(INDEX('主线调参'!$E$11:$E$62,$AV41)+(INDEX('主线调参'!$E$11:$E$62,$AV41+1)-INDEX('主线调参'!$E$11:$E$62,$AV41))*$AW41)*'参数说明'!$E$27)</x:f>
        <x:v>0</x:v>
      </x:c>
      <x:c r="J41" s="63" t="n">
        <x:f>IF(B41&lt;$J$8,0,(INDEX('主线调参'!$F$11:$F$62,$AV41)+(INDEX('主线调参'!$F$11:$F$62,$AV41+1)-INDEX('主线调参'!$F$11:$F$62,$AV41))*$AW41)*'参数说明'!$F$27)</x:f>
        <x:v>0</x:v>
      </x:c>
      <x:c r="K41" s="63" t="n">
        <x:f>IF(B41&lt;$K$8,0,(INDEX('主线调参'!$G$11:$G$62,$AV41)+(INDEX('主线调参'!$G$11:$G$62,$AV41+1)-INDEX('主线调参'!$G$11:$G$62,$AV41))*$AW41)*'参数说明'!$G$27)</x:f>
        <x:v>0</x:v>
      </x:c>
      <x:c r="L41" s="63" t="n">
        <x:f>IF(B41&lt;$L$8,0,(INDEX('主线调参'!$H$11:$H$62,$AV41)+(INDEX('主线调参'!$H$11:$H$62,$AV41+1)-INDEX('主线调参'!$H$11:$H$62,$AV41))*$AW41)*'参数说明'!$H$27)</x:f>
        <x:v>0.1439852624107803</x:v>
      </x:c>
      <x:c r="M41" s="59" t="n">
        <x:f>E41*'模块规划'!$F$10+G41*'模块规划'!$F$11+H41*'模块规划'!$F$13</x:f>
        <x:v>2489.176309423947</x:v>
      </x:c>
      <x:c r="N41" s="59" t="n">
        <x:f>I41*'模块规划'!$F$15+J41*'模块规划'!$F$17+K41*'模块规划'!$F$16+L41*'模块规划'!$F$18</x:f>
        <x:v>719.9263120539015</x:v>
      </x:c>
      <x:c r="O41" s="59" t="n">
        <x:f>1+O$9*SUMPRODUCT($H$10:$L$10,H41:L41)/SUM($H$10:$L$10)</x:f>
        <x:v>1.1497024594417073</x:v>
      </x:c>
      <x:c r="P41" s="59" t="n">
        <x:f>M41*O41+N41</x:f>
        <x:v>3581.738436982646</x:v>
      </x:c>
      <x:c r="Q41" s="59" t="n">
        <x:f>P41/(P41+'_曲线基线'!$L$2)</x:f>
        <x:v>0.1298590531255316</x:v>
      </x:c>
      <x:c r="R41" s="59" t="n">
        <x:f>E41*'模块规划'!$E$10+G41*'模块规划'!$E$11+H41*'模块规划'!$E$13</x:f>
        <x:v>3733.76446413592</x:v>
      </x:c>
      <x:c r="S41" s="59" t="n">
        <x:f>I41*'模块规划'!$E$15+J41*'模块规划'!$E$17+K41*'模块规划'!$E$16+L41*'模块规划'!$E$18</x:f>
        <x:v>1079.8894680808523</x:v>
      </x:c>
      <x:c r="T41" s="59" t="n">
        <x:f>1+T$9*SUMPRODUCT($H$10:$L$10,H41:L41)/SUM($H$10:$L$10)</x:f>
        <x:v>1.1497024594417073</x:v>
      </x:c>
      <x:c r="U41" s="59" t="n">
        <x:f>R41*T41+S41</x:f>
        <x:v>5372.607655473968</x:v>
      </x:c>
      <x:c r="V41" s="59" t="n">
        <x:f>V$8+(V$9-V$8)*H41</x:f>
        <x:v>0.7533579481692869</x:v>
      </x:c>
      <x:c r="W41" s="59" t="n">
        <x:f>IF(B41&lt;$H$8,0,W$8+(W$9-W$8)*H41)</x:f>
        <x:v>0.07114393089238255</x:v>
      </x:c>
      <x:c r="X41" s="59" t="n">
        <x:f>X$8+(X$9-X$8)*H41</x:f>
        <x:v>0.32391145248851305</x:v>
      </x:c>
      <x:c r="Y41" s="59" t="n">
        <x:f>Y$8+(Y$9-Y$8)*G41</x:f>
        <x:v>1</x:v>
      </x:c>
      <x:c r="Z41" s="59" t="n">
        <x:f>Z$8+(Z$9-Z$8)*H41</x:f>
        <x:v>1</x:v>
      </x:c>
      <x:c r="AA41" s="59" t="n">
        <x:f>AA$8+(AA$9-AA$8)*I41</x:f>
        <x:v>1</x:v>
      </x:c>
      <x:c r="AB41" s="59" t="n">
        <x:f>AB$8+(AB$9-AB$8)*J41</x:f>
        <x:v>1</x:v>
      </x:c>
      <x:c r="AC41" s="59" t="n">
        <x:f>AC$8+(AC$9-AC$8)*MAX(K41,L41)</x:f>
        <x:v>1</x:v>
      </x:c>
      <x:c r="AD41" s="59" t="n">
        <x:f>(V41*AE41+W41*AF41+X41*AG41)*PRODUCT(Y41:AC41)</x:f>
        <x:v>1.1569379330710512</x:v>
      </x:c>
      <x:c r="AE41" s="59" t="n">
        <x:f>1+AE$9*($H$10*H41+$I$10*I41+$J$10*J41+$K$10*K41+$L$10*L41)</x:f>
        <x:v>1</x:v>
      </x:c>
      <x:c r="AF41" s="59" t="n">
        <x:f>1+AF$9*($H$10*H41+$I$10*I41+$J$10*J41+$K$10*K41+$L$10*L41)</x:f>
        <x:v>1.013212605732102</x:v>
      </x:c>
      <x:c r="AG41" s="59" t="n">
        <x:f>1+AG$9*($H$10*H41+$I$10*I41+$J$10*J41+$K$10*K41+$L$10*L41)</x:f>
        <x:v>1.0234156734918922</x:v>
      </x:c>
      <x:c r="AH41" s="59" t="n">
        <x:f>MIN(1,'_曲线基线'!$L$3+AH$9*($H$10*H41+$I$10*I41+$J$10*J41+$K$10*K41+$L$10*L41))</x:f>
        <x:v>0.08005867804053227</x:v>
      </x:c>
      <x:c r="AI41" s="59" t="n">
        <x:f>'_曲线基线'!$L$4+AI$9*($H$10*H41+$I$10*I41+$J$10*J41+$K$10*K41+$L$10*L41)</x:f>
        <x:v>2.083734888827197</x:v>
      </x:c>
      <x:c r="AJ41" s="59" t="n">
        <x:f>1+AJ$9*($H$10*H41+$I$10*I41+$J$10*J41+$K$10*K41+$L$10*L41)</x:f>
        <x:v>1.0687055498069309</x:v>
      </x:c>
      <x:c r="AK41" s="59" t="n">
        <x:f>(1+AH41*(AI41-1))*AJ41</x:f>
        <x:v>1.1614289895482153</x:v>
      </x:c>
      <x:c r="AL41" s="59" t="n">
        <x:f>U41*AD41*AK41*F41</x:f>
        <x:v>36095.898235044086</x:v>
      </x:c>
      <x:c r="AM41" s="59" t="n">
        <x:f>IF($B41&lt;AM$8,0,AM$3+(AM$4-AM$3)*(POWER(AM$5,$B41-AM$8)-1)/(POWER(AM$5,$C$5-AM$8)-1))</x:f>
        <x:v>35.44905940953843</x:v>
      </x:c>
      <x:c r="AN41" s="59" t="n">
        <x:f>(((E41*'模块规划'!$D$10+G41*'模块规划'!$D$11+H41*'模块规划'!$D$13)*(1+'模块规划'!$G$14*H41)+(I41*'模块规划'!$D$15+J41*'模块规划'!$D$17+K41*'模块规划'!$D$16+L41*'模块规划'!$D$18))*(1+'模块规划'!$J$17*J41))*F41/(1-Q41)</x:f>
        <x:v>103648.57141660507</x:v>
      </x:c>
      <x:c r="AO41" s="59" t="n">
        <x:f>AL41*AM41</x:f>
        <x:v>1279565.6409747312</x:v>
      </x:c>
      <x:c r="AP41" s="61" t="n">
        <x:f>IF(AO41="","",INDEX('_曲线基线'!$A$3:$A$502,MIN(ROWS('_曲线基线'!$A$3:$A$502),COUNTIF('_曲线基线'!$E$3:$E$502,"&lt;"&amp;AO41)+1)))</x:f>
        <x:v>60</x:v>
      </x:c>
      <x:c r="AQ41" s="61" t="n">
        <x:f>IF(B41&lt;=2,1,IF(B41&lt;=6,2,IF(B41&lt;=9,3,IF(B41&lt;=19,4,5))))</x:f>
        <x:v>5</x:v>
      </x:c>
      <x:c r="AR41" s="59" t="n">
        <x:f>AN41*(1-Q41)/F41*$AS$3+U41*$AS$4+P41*$AS$5</x:f>
        <x:v>1615.654727542578</x:v>
      </x:c>
      <x:c r="AS41" s="59" t="n">
        <x:f>1+AH41*$AS$6+AI41*$AS$7+(AJ41-1)*$AS$8+($H$10*H41+$I$10*I41+$J$10*J41+$K$10*K41+$L$10*L41)*$AU$3*$AS$9+($H$10*H41+$I$10*I41+$J$10*J41+$K$10*K41+$L$10*L41)*$AU$4*$AS$10</x:f>
        <x:v>5.771048205316363</x:v>
      </x:c>
      <x:c r="AT41" s="60" t="n">
        <x:f>ROUND(AR41*AS41,0)</x:f>
        <x:v>9324</x:v>
      </x:c>
      <x:c r="AU41" s="60" t="n">
        <x:f>ROUND(AT41*F41,0)</x:f>
        <x:v>46620</x:v>
      </x:c>
      <x:c r="AV41" s="60" t="n">
        <x:f>MIN(MATCH(B41,'主线调参'!$M$11:$M$62,1),ROWS('主线调参'!$M$11:$M$62)-1)</x:f>
        <x:v>17</x:v>
      </x:c>
      <x:c r="AW41" s="62" t="n">
        <x:f>(B41-INDEX('主线调参'!$M$11:$M$62,AV41))/(INDEX('主线调参'!$M$11:$M$62,AV41+1)-INDEX('主线调参'!$M$11:$M$62,AV41))</x:f>
        <x:v>0</x:v>
      </x:c>
      <x:c r="AX41" s="60" t="n">
        <x:f>IF(AU41=0,0,ROUND(AU41,2-INT(LOG10(ABS(AU41)))))</x:f>
        <x:v>46600</x:v>
      </x:c>
      <x:c r="AY41" s="62" t="n">
        <x:f>AU41/AU40-1</x:f>
        <x:v>0.02653308378289121</x:v>
      </x:c>
    </x:row>
    <x:row r="42" ht="25" customHeight="1">
      <x:c r="A42" s="40" t="n">
        <x:f>'调前玩家曲线'!A42</x:f>
        <x:v>19</x:v>
      </x:c>
      <x:c r="B42" s="40" t="n">
        <x:f>'调前玩家曲线'!B42</x:f>
        <x:v>31</x:v>
      </x:c>
      <x:c r="C42" s="40" t="n">
        <x:f>'调前玩家曲线'!C42</x:f>
        <x:v>3</x:v>
      </x:c>
      <x:c r="D42" s="40" t="n">
        <x:f>'调前玩家曲线'!D42</x:f>
        <x:v>7</x:v>
      </x:c>
      <x:c r="E42" s="40" t="n">
        <x:f>'调前玩家曲线'!E42</x:f>
        <x:v>1</x:v>
      </x:c>
      <x:c r="F42" s="40" t="n">
        <x:f>'调前玩家曲线'!F42</x:f>
        <x:v>5</x:v>
      </x:c>
      <x:c r="G42" s="63" t="n">
        <x:f>IF(B42&lt;$G$8,0,(INDEX('主线调参'!$C$11:$C$62,$AV42)+(INDEX('主线调参'!$C$11:$C$62,$AV42+1)-INDEX('主线调参'!$C$11:$C$62,$AV42))*$AW42)*'参数说明'!$C$27)</x:f>
        <x:v>0.3167286219843448</x:v>
      </x:c>
      <x:c r="H42" s="63" t="n">
        <x:f>IF(B42&lt;$H$8,0,(INDEX('主线调参'!$D$11:$D$62,$AV42)+(INDEX('主线调参'!$D$11:$D$62,$AV42+1)-INDEX('主线调参'!$D$11:$D$62,$AV42))*$AW42)*'参数说明'!$D$27)</x:f>
        <x:v>0.18526978481328923</x:v>
      </x:c>
      <x:c r="I42" s="63" t="n">
        <x:f>IF(B42&lt;$I$8,0,(INDEX('主线调参'!$E$11:$E$62,$AV42)+(INDEX('主线调参'!$E$11:$E$62,$AV42+1)-INDEX('主线调参'!$E$11:$E$62,$AV42))*$AW42)*'参数说明'!$E$27)</x:f>
        <x:v>0</x:v>
      </x:c>
      <x:c r="J42" s="63" t="n">
        <x:f>IF(B42&lt;$J$8,0,(INDEX('主线调参'!$F$11:$F$62,$AV42)+(INDEX('主线调参'!$F$11:$F$62,$AV42+1)-INDEX('主线调参'!$F$11:$F$62,$AV42))*$AW42)*'参数说明'!$F$27)</x:f>
        <x:v>0.0046875</x:v>
      </x:c>
      <x:c r="K42" s="63" t="n">
        <x:f>IF(B42&lt;$K$8,0,(INDEX('主线调参'!$G$11:$G$62,$AV42)+(INDEX('主线调参'!$G$11:$G$62,$AV42+1)-INDEX('主线调参'!$G$11:$G$62,$AV42))*$AW42)*'参数说明'!$G$27)</x:f>
        <x:v>0</x:v>
      </x:c>
      <x:c r="L42" s="63" t="n">
        <x:f>IF(B42&lt;$L$8,0,(INDEX('主线调参'!$H$11:$H$62,$AV42)+(INDEX('主线调参'!$H$11:$H$62,$AV42+1)-INDEX('主线调参'!$H$11:$H$62,$AV42))*$AW42)*'参数说明'!$H$27)</x:f>
        <x:v>0.1479227624107803</x:v>
      </x:c>
      <x:c r="M42" s="59" t="n">
        <x:f>E42*'模块规划'!$F$10+G42*'模块规划'!$F$11+H42*'模块规划'!$F$13</x:f>
        <x:v>2520.297385524855</x:v>
      </x:c>
      <x:c r="N42" s="59" t="n">
        <x:f>I42*'模块规划'!$F$15+J42*'模块规划'!$F$17+K42*'模块规划'!$F$16+L42*'模块规划'!$F$18</x:f>
        <x:v>786.4888120539016</x:v>
      </x:c>
      <x:c r="O42" s="59" t="n">
        <x:f>1+O$9*SUMPRODUCT($H$10:$L$10,H42:L42)/SUM($H$10:$L$10)</x:f>
        <x:v>1.1638494233477108</x:v>
      </x:c>
      <x:c r="P42" s="59" t="n">
        <x:f>M42*O42+N42</x:f>
        <x:v>3719.7354708617477</x:v>
      </x:c>
      <x:c r="Q42" s="59" t="n">
        <x:f>P42/(P42+'_曲线基线'!$L$2)</x:f>
        <x:v>0.13419087187075918</x:v>
      </x:c>
      <x:c r="R42" s="59" t="n">
        <x:f>E42*'模块规划'!$E$10+G42*'模块规划'!$E$11+H42*'模块规划'!$E$13</x:f>
        <x:v>3780.4460782872825</x:v>
      </x:c>
      <x:c r="S42" s="59" t="n">
        <x:f>I42*'模块规划'!$E$15+J42*'模块规划'!$E$17+K42*'模块规划'!$E$16+L42*'模块规划'!$E$18</x:f>
        <x:v>1179.7332180808523</x:v>
      </x:c>
      <x:c r="T42" s="59" t="n">
        <x:f>1+T$9*SUMPRODUCT($H$10:$L$10,H42:L42)/SUM($H$10:$L$10)</x:f>
        <x:v>1.1638494233477108</x:v>
      </x:c>
      <x:c r="U42" s="59" t="n">
        <x:f>R42*T42+S42</x:f>
        <x:v>5579.603206292621</x:v>
      </x:c>
      <x:c r="V42" s="59" t="n">
        <x:f>V$8+(V$9-V$8)*H42</x:f>
        <x:v>0.7555809354439867</x:v>
      </x:c>
      <x:c r="W42" s="59" t="n">
        <x:f>IF(B42&lt;$H$8,0,W$8+(W$9-W$8)*H42)</x:f>
        <x:v>0.0741079139253157</x:v>
      </x:c>
      <x:c r="X42" s="59" t="n">
        <x:f>X$8+(X$9-X$8)*H42</x:f>
        <x:v>0.3259491908236546</x:v>
      </x:c>
      <x:c r="Y42" s="59" t="n">
        <x:f>Y$8+(Y$9-Y$8)*G42</x:f>
        <x:v>1</x:v>
      </x:c>
      <x:c r="Z42" s="59" t="n">
        <x:f>Z$8+(Z$9-Z$8)*H42</x:f>
        <x:v>1</x:v>
      </x:c>
      <x:c r="AA42" s="59" t="n">
        <x:f>AA$8+(AA$9-AA$8)*I42</x:f>
        <x:v>1</x:v>
      </x:c>
      <x:c r="AB42" s="59" t="n">
        <x:f>AB$8+(AB$9-AB$8)*J42</x:f>
        <x:v>1</x:v>
      </x:c>
      <x:c r="AC42" s="59" t="n">
        <x:f>AC$8+(AC$9-AC$8)*MAX(K42,L42)</x:f>
        <x:v>1</x:v>
      </x:c>
      <x:c r="AD42" s="59" t="n">
        <x:f>(V42*AE42+W42*AF42+X42*AG42)*PRODUCT(Y42:AC42)</x:f>
        <x:v>1.1650633080720543</x:v>
      </x:c>
      <x:c r="AE42" s="59" t="n">
        <x:f>1+AE$9*($H$10*H42+$I$10*I42+$J$10*J42+$K$10*K42+$L$10*L42)</x:f>
        <x:v>1</x:v>
      </x:c>
      <x:c r="AF42" s="59" t="n">
        <x:f>1+AF$9*($H$10*H42+$I$10*I42+$J$10*J42+$K$10*K42+$L$10*L42)</x:f>
        <x:v>1.0144612041659113</x:v>
      </x:c>
      <x:c r="AG42" s="59" t="n">
        <x:f>1+AG$9*($H$10*H42+$I$10*I42+$J$10*J42+$K$10*K42+$L$10*L42)</x:f>
        <x:v>1.0256284673829208</x:v>
      </x:c>
      <x:c r="AH42" s="59" t="n">
        <x:f>MIN(1,'_曲线基线'!$L$3+AH$9*($H$10*H42+$I$10*I42+$J$10*J42+$K$10*K42+$L$10*L42))</x:f>
        <x:v>0.08289923947744823</x:v>
      </x:c>
      <x:c r="AI42" s="59" t="n">
        <x:f>'_曲线基线'!$L$4+AI$9*($H$10*H42+$I$10*I42+$J$10*J42+$K$10*K42+$L$10*L42)</x:f>
        <x:v>2.091647881401463</x:v>
      </x:c>
      <x:c r="AJ42" s="59" t="n">
        <x:f>1+AJ$9*($H$10*H42+$I$10*I42+$J$10*J42+$K$10*K42+$L$10*L42)</x:f>
        <x:v>1.075198261662739</x:v>
      </x:c>
      <x:c r="AK42" s="59" t="n">
        <x:f>(1+AH42*(AI42-1))*AJ42</x:f>
        <x:v>1.1725002412858947</x:v>
      </x:c>
      <x:c r="AL42" s="59" t="n">
        <x:f>U42*AD42*AK42*F42</x:f>
        <x:v>38109.722399748614</x:v>
      </x:c>
      <x:c r="AM42" s="59" t="n">
        <x:f>IF($B42&lt;AM$8,0,AM$3+(AM$4-AM$3)*(POWER(AM$5,$B42-AM$8)-1)/(POWER(AM$5,$C$5-AM$8)-1))</x:f>
        <x:v>35.46697464355568</x:v>
      </x:c>
      <x:c r="AN42" s="59" t="n">
        <x:f>(((E42*'模块规划'!$D$10+G42*'模块规划'!$D$11+H42*'模块规划'!$D$13)*(1+'模块规划'!$G$14*H42)+(I42*'模块规划'!$D$15+J42*'模块规划'!$D$17+K42*'模块规划'!$D$16+L42*'模块规划'!$D$18))*(1+'模块规划'!$J$17*J42))*F42/(1-Q42)</x:f>
        <x:v>108222.24163592543</x:v>
      </x:c>
      <x:c r="AO42" s="59" t="n">
        <x:f>AL42*AM42</x:f>
        <x:v>1351636.55802483</x:v>
      </x:c>
      <x:c r="AP42" s="61" t="n">
        <x:f>IF(AO42="","",INDEX('_曲线基线'!$A$3:$A$502,MIN(ROWS('_曲线基线'!$A$3:$A$502),COUNTIF('_曲线基线'!$E$3:$E$502,"&lt;"&amp;AO42)+1)))</x:f>
        <x:v>62</x:v>
      </x:c>
      <x:c r="AQ42" s="61" t="n">
        <x:f>IF(B42&lt;=2,1,IF(B42&lt;=6,2,IF(B42&lt;=9,3,IF(B42&lt;=19,4,5))))</x:f>
        <x:v>5</x:v>
      </x:c>
      <x:c r="AR42" s="59" t="n">
        <x:f>AN42*(1-Q42)/F42*$AS$3+U42*$AS$4+P42*$AS$5</x:f>
        <x:v>1678.11946930848</x:v>
      </x:c>
      <x:c r="AS42" s="59" t="n">
        <x:f>1+AH42*$AS$6+AI42*$AS$7+(AJ42-1)*$AS$8+($H$10*H42+$I$10*I42+$J$10*J42+$K$10*K42+$L$10*L42)*$AU$3*$AS$9+($H$10*H42+$I$10*I42+$J$10*J42+$K$10*K42+$L$10*L42)*$AU$4*$AS$10</x:f>
        <x:v>5.845653380456434</x:v>
      </x:c>
      <x:c r="AT42" s="60" t="n">
        <x:f>ROUND(AR42*AS42,0)</x:f>
        <x:v>9810</x:v>
      </x:c>
      <x:c r="AU42" s="60" t="n">
        <x:f>ROUND(AT42*F42,0)</x:f>
        <x:v>49050</x:v>
      </x:c>
      <x:c r="AV42" s="60" t="n">
        <x:f>MIN(MATCH(B42,'主线调参'!$M$11:$M$62,1),ROWS('主线调参'!$M$11:$M$62)-1)</x:f>
        <x:v>17</x:v>
      </x:c>
      <x:c r="AW42" s="62" t="n">
        <x:f>(B42-INDEX('主线调参'!$M$11:$M$62,AV42))/(INDEX('主线调参'!$M$11:$M$62,AV42+1)-INDEX('主线调参'!$M$11:$M$62,AV42))</x:f>
        <x:v>0.25</x:v>
      </x:c>
      <x:c r="AX42" s="60" t="n">
        <x:f>IF(AU42=0,0,ROUND(AU42,2-INT(LOG10(ABS(AU42)))))</x:f>
        <x:v>49100</x:v>
      </x:c>
      <x:c r="AY42" s="62" t="n">
        <x:f>AU42/AU41-1</x:f>
        <x:v>0.05212355212355213</x:v>
      </x:c>
    </x:row>
    <x:row r="43" ht="25" customHeight="1">
      <x:c r="A43" s="40" t="n">
        <x:f>'调前玩家曲线'!A43</x:f>
        <x:v>19</x:v>
      </x:c>
      <x:c r="B43" s="40" t="n">
        <x:f>'调前玩家曲线'!B43</x:f>
        <x:v>32</x:v>
      </x:c>
      <x:c r="C43" s="40" t="n">
        <x:f>'调前玩家曲线'!C43</x:f>
        <x:v>3</x:v>
      </x:c>
      <x:c r="D43" s="40" t="n">
        <x:f>'调前玩家曲线'!D43</x:f>
        <x:v>8</x:v>
      </x:c>
      <x:c r="E43" s="40" t="n">
        <x:f>'调前玩家曲线'!E43</x:f>
        <x:v>1</x:v>
      </x:c>
      <x:c r="F43" s="40" t="n">
        <x:f>'调前玩家曲线'!F43</x:f>
        <x:v>5</x:v>
      </x:c>
      <x:c r="G43" s="63" t="n">
        <x:f>IF(B43&lt;$G$8,0,(INDEX('主线调参'!$C$11:$C$62,$AV43)+(INDEX('主线调参'!$C$11:$C$62,$AV43+1)-INDEX('主线调参'!$C$11:$C$62,$AV43))*$AW43)*'参数说明'!$C$27)</x:f>
        <x:v>0.3232121795053674</x:v>
      </x:c>
      <x:c r="H43" s="63" t="n">
        <x:f>IF(B43&lt;$H$8,0,(INDEX('主线调参'!$D$11:$D$62,$AV43)+(INDEX('主线调参'!$D$11:$D$62,$AV43+1)-INDEX('主线调参'!$D$11:$D$62,$AV43))*$AW43)*'参数说明'!$D$27)</x:f>
        <x:v>0.1926797423956221</x:v>
      </x:c>
      <x:c r="I43" s="63" t="n">
        <x:f>IF(B43&lt;$I$8,0,(INDEX('主线调参'!$E$11:$E$62,$AV43)+(INDEX('主线调参'!$E$11:$E$62,$AV43+1)-INDEX('主线调参'!$E$11:$E$62,$AV43))*$AW43)*'参数说明'!$E$27)</x:f>
        <x:v>0</x:v>
      </x:c>
      <x:c r="J43" s="63" t="n">
        <x:f>IF(B43&lt;$J$8,0,(INDEX('主线调参'!$F$11:$F$62,$AV43)+(INDEX('主线调参'!$F$11:$F$62,$AV43+1)-INDEX('主线调参'!$F$11:$F$62,$AV43))*$AW43)*'参数说明'!$F$27)</x:f>
        <x:v>0.009375</x:v>
      </x:c>
      <x:c r="K43" s="63" t="n">
        <x:f>IF(B43&lt;$K$8,0,(INDEX('主线调参'!$G$11:$G$62,$AV43)+(INDEX('主线调参'!$G$11:$G$62,$AV43+1)-INDEX('主线调参'!$G$11:$G$62,$AV43))*$AW43)*'参数说明'!$G$27)</x:f>
        <x:v>0</x:v>
      </x:c>
      <x:c r="L43" s="63" t="n">
        <x:f>IF(B43&lt;$L$8,0,(INDEX('主线调参'!$H$11:$H$62,$AV43)+(INDEX('主线调参'!$H$11:$H$62,$AV43+1)-INDEX('主线调参'!$H$11:$H$62,$AV43))*$AW43)*'参数说明'!$H$27)</x:f>
        <x:v>0.1518602624107803</x:v>
      </x:c>
      <x:c r="M43" s="59" t="n">
        <x:f>E43*'模块规划'!$F$10+G43*'模块规划'!$F$11+H43*'模块规划'!$F$13</x:f>
        <x:v>2551.4184616257635</x:v>
      </x:c>
      <x:c r="N43" s="59" t="n">
        <x:f>I43*'模块规划'!$F$15+J43*'模块规划'!$F$17+K43*'模块规划'!$F$16+L43*'模块规划'!$F$18</x:f>
        <x:v>853.0513120539015</x:v>
      </x:c>
      <x:c r="O43" s="59" t="n">
        <x:f>1+O$9*SUMPRODUCT($H$10:$L$10,H43:L43)/SUM($H$10:$L$10)</x:f>
        <x:v>1.1779963872537142</x:v>
      </x:c>
      <x:c r="P43" s="59" t="n">
        <x:f>M43*O43+N43</x:f>
        <x:v>3858.61304222148</x:v>
      </x:c>
      <x:c r="Q43" s="59" t="n">
        <x:f>P43/(P43+'_曲线基线'!$L$2)</x:f>
        <x:v>0.13850700450785217</x:v>
      </x:c>
      <x:c r="R43" s="59" t="n">
        <x:f>E43*'模块规划'!$E$10+G43*'模块规划'!$E$11+H43*'模块规划'!$E$13</x:f>
        <x:v>3827.127692438645</x:v>
      </x:c>
      <x:c r="S43" s="59" t="n">
        <x:f>I43*'模块规划'!$E$15+J43*'模块规划'!$E$17+K43*'模块规划'!$E$16+L43*'模块规划'!$E$18</x:f>
        <x:v>1279.576968080852</x:v>
      </x:c>
      <x:c r="T43" s="59" t="n">
        <x:f>1+T$9*SUMPRODUCT($H$10:$L$10,H43:L43)/SUM($H$10:$L$10)</x:f>
        <x:v>1.1779963872537142</x:v>
      </x:c>
      <x:c r="U43" s="59" t="n">
        <x:f>R43*T43+S43</x:f>
        <x:v>5787.91956333222</x:v>
      </x:c>
      <x:c r="V43" s="59" t="n">
        <x:f>V$8+(V$9-V$8)*H43</x:f>
        <x:v>0.7578039227186866</x:v>
      </x:c>
      <x:c r="W43" s="59" t="n">
        <x:f>IF(B43&lt;$H$8,0,W$8+(W$9-W$8)*H43)</x:f>
        <x:v>0.07707189695824884</x:v>
      </x:c>
      <x:c r="X43" s="59" t="n">
        <x:f>X$8+(X$9-X$8)*H43</x:f>
        <x:v>0.3279869291587961</x:v>
      </x:c>
      <x:c r="Y43" s="59" t="n">
        <x:f>Y$8+(Y$9-Y$8)*G43</x:f>
        <x:v>1</x:v>
      </x:c>
      <x:c r="Z43" s="59" t="n">
        <x:f>Z$8+(Z$9-Z$8)*H43</x:f>
        <x:v>1</x:v>
      </x:c>
      <x:c r="AA43" s="59" t="n">
        <x:f>AA$8+(AA$9-AA$8)*I43</x:f>
        <x:v>1</x:v>
      </x:c>
      <x:c r="AB43" s="59" t="n">
        <x:f>AB$8+(AB$9-AB$8)*J43</x:f>
        <x:v>1</x:v>
      </x:c>
      <x:c r="AC43" s="59" t="n">
        <x:f>AC$8+(AC$9-AC$8)*MAX(K43,L43)</x:f>
        <x:v>1</x:v>
      </x:c>
      <x:c r="AD43" s="59" t="n">
        <x:f>(V43*AE43+W43*AF43+X43*AG43)*PRODUCT(Y43:AC43)</x:f>
        <x:v>1.173205102912082</x:v>
      </x:c>
      <x:c r="AE43" s="59" t="n">
        <x:f>1+AE$9*($H$10*H43+$I$10*I43+$J$10*J43+$K$10*K43+$L$10*L43)</x:f>
        <x:v>1</x:v>
      </x:c>
      <x:c r="AF43" s="59" t="n">
        <x:f>1+AF$9*($H$10*H43+$I$10*I43+$J$10*J43+$K$10*K43+$L$10*L43)</x:f>
        <x:v>1.0157098025997204</x:v>
      </x:c>
      <x:c r="AG43" s="59" t="n">
        <x:f>1+AG$9*($H$10*H43+$I$10*I43+$J$10*J43+$K$10*K43+$L$10*L43)</x:f>
        <x:v>1.0278412612739494</x:v>
      </x:c>
      <x:c r="AH43" s="59" t="n">
        <x:f>MIN(1,'_曲线基线'!$L$3+AH$9*($H$10*H43+$I$10*I43+$J$10*J43+$K$10*K43+$L$10*L43))</x:f>
        <x:v>0.08573980091436419</x:v>
      </x:c>
      <x:c r="AI43" s="59" t="n">
        <x:f>'_曲线基线'!$L$4+AI$9*($H$10*H43+$I$10*I43+$J$10*J43+$K$10*K43+$L$10*L43)</x:f>
        <x:v>2.099560873975729</x:v>
      </x:c>
      <x:c r="AJ43" s="59" t="n">
        <x:f>1+AJ$9*($H$10*H43+$I$10*I43+$J$10*J43+$K$10*K43+$L$10*L43)</x:f>
        <x:v>1.0816909735185467</x:v>
      </x:c>
      <x:c r="AK43" s="59" t="n">
        <x:f>(1+AH43*(AI43-1))*AJ43</x:f>
        <x:v>1.183668612820667</x:v>
      </x:c>
      <x:c r="AL43" s="59" t="n">
        <x:f>U43*AD43*AK43*F43</x:f>
        <x:v>40188.01597502603</x:v>
      </x:c>
      <x:c r="AM43" s="59" t="n">
        <x:f>IF($B43&lt;AM$8,0,AM$3+(AM$4-AM$3)*(POWER(AM$5,$B43-AM$8)-1)/(POWER(AM$5,$C$5-AM$8)-1))</x:f>
        <x:v>35.485069029913106</x:v>
      </x:c>
      <x:c r="AN43" s="59" t="n">
        <x:f>(((E43*'模块规划'!$D$10+G43*'模块规划'!$D$11+H43*'模块规划'!$D$13)*(1+'模块规划'!$G$14*H43)+(I43*'模块规划'!$D$15+J43*'模块规划'!$D$17+K43*'模块规划'!$D$16+L43*'模块规划'!$D$18))*(1+'模块规划'!$J$17*J43))*F43/(1-Q43)</x:f>
        <x:v>112891.03866998134</x:v>
      </x:c>
      <x:c r="AO43" s="59" t="n">
        <x:f>AL43*AM43</x:f>
        <x:v>1426074.5210490492</x:v>
      </x:c>
      <x:c r="AP43" s="61" t="n">
        <x:f>IF(AO43="","",INDEX('_曲线基线'!$A$3:$A$502,MIN(ROWS('_曲线基线'!$A$3:$A$502),COUNTIF('_曲线基线'!$E$3:$E$502,"&lt;"&amp;AO43)+1)))</x:f>
        <x:v>63</x:v>
      </x:c>
      <x:c r="AQ43" s="61" t="n">
        <x:f>IF(B43&lt;=2,1,IF(B43&lt;=6,2,IF(B43&lt;=9,3,IF(B43&lt;=19,4,5))))</x:f>
        <x:v>5</x:v>
      </x:c>
      <x:c r="AR43" s="59" t="n">
        <x:f>AN43*(1-Q43)/F43*$AS$3+U43*$AS$4+P43*$AS$5</x:f>
        <x:v>1741.1129470745768</x:v>
      </x:c>
      <x:c r="AS43" s="59" t="n">
        <x:f>1+AH43*$AS$6+AI43*$AS$7+(AJ43-1)*$AS$8+($H$10*H43+$I$10*I43+$J$10*J43+$K$10*K43+$L$10*L43)*$AU$3*$AS$9+($H$10*H43+$I$10*I43+$J$10*J43+$K$10*K43+$L$10*L43)*$AU$4*$AS$10</x:f>
        <x:v>5.920258555596506</x:v>
      </x:c>
      <x:c r="AT43" s="60" t="n">
        <x:f>ROUND(AR43*AS43,0)</x:f>
        <x:v>10308</x:v>
      </x:c>
      <x:c r="AU43" s="60" t="n">
        <x:f>ROUND(AT43*F43,0)</x:f>
        <x:v>51540</x:v>
      </x:c>
      <x:c r="AV43" s="60" t="n">
        <x:f>MIN(MATCH(B43,'主线调参'!$M$11:$M$62,1),ROWS('主线调参'!$M$11:$M$62)-1)</x:f>
        <x:v>17</x:v>
      </x:c>
      <x:c r="AW43" s="62" t="n">
        <x:f>(B43-INDEX('主线调参'!$M$11:$M$62,AV43))/(INDEX('主线调参'!$M$11:$M$62,AV43+1)-INDEX('主线调参'!$M$11:$M$62,AV43))</x:f>
        <x:v>0.5</x:v>
      </x:c>
      <x:c r="AX43" s="60" t="n">
        <x:f>IF(AU43=0,0,ROUND(AU43,2-INT(LOG10(ABS(AU43)))))</x:f>
        <x:v>51500</x:v>
      </x:c>
      <x:c r="AY43" s="62" t="n">
        <x:f>AU43/AU42-1</x:f>
        <x:v>0.05076452599388381</x:v>
      </x:c>
    </x:row>
    <x:row r="44" ht="25" customHeight="1">
      <x:c r="A44" s="40" t="n">
        <x:f>'调前玩家曲线'!A44</x:f>
        <x:v>20</x:v>
      </x:c>
      <x:c r="B44" s="40" t="n">
        <x:f>'调前玩家曲线'!B44</x:f>
        <x:v>33</x:v>
      </x:c>
      <x:c r="C44" s="40" t="n">
        <x:f>'调前玩家曲线'!C44</x:f>
        <x:v>3</x:v>
      </x:c>
      <x:c r="D44" s="40" t="n">
        <x:f>'调前玩家曲线'!D44</x:f>
        <x:v>9</x:v>
      </x:c>
      <x:c r="E44" s="40" t="n">
        <x:f>'调前玩家曲线'!E44</x:f>
        <x:v>1</x:v>
      </x:c>
      <x:c r="F44" s="40" t="n">
        <x:f>'调前玩家曲线'!F44</x:f>
        <x:v>5</x:v>
      </x:c>
      <x:c r="G44" s="63" t="n">
        <x:f>IF(B44&lt;$G$8,0,(INDEX('主线调参'!$C$11:$C$62,$AV44)+(INDEX('主线调参'!$C$11:$C$62,$AV44+1)-INDEX('主线调参'!$C$11:$C$62,$AV44))*$AW44)*'参数说明'!$C$27)</x:f>
        <x:v>0.32969573702638993</x:v>
      </x:c>
      <x:c r="H44" s="63" t="n">
        <x:f>IF(B44&lt;$H$8,0,(INDEX('主线调参'!$D$11:$D$62,$AV44)+(INDEX('主线调参'!$D$11:$D$62,$AV44+1)-INDEX('主线调参'!$D$11:$D$62,$AV44))*$AW44)*'参数说明'!$D$27)</x:f>
        <x:v>0.20008969997795498</x:v>
      </x:c>
      <x:c r="I44" s="63" t="n">
        <x:f>IF(B44&lt;$I$8,0,(INDEX('主线调参'!$E$11:$E$62,$AV44)+(INDEX('主线调参'!$E$11:$E$62,$AV44+1)-INDEX('主线调参'!$E$11:$E$62,$AV44))*$AW44)*'参数说明'!$E$27)</x:f>
        <x:v>0</x:v>
      </x:c>
      <x:c r="J44" s="63" t="n">
        <x:f>IF(B44&lt;$J$8,0,(INDEX('主线调参'!$F$11:$F$62,$AV44)+(INDEX('主线调参'!$F$11:$F$62,$AV44+1)-INDEX('主线调参'!$F$11:$F$62,$AV44))*$AW44)*'参数说明'!$F$27)</x:f>
        <x:v>0.014062499999999999</x:v>
      </x:c>
      <x:c r="K44" s="63" t="n">
        <x:f>IF(B44&lt;$K$8,0,(INDEX('主线调参'!$G$11:$G$62,$AV44)+(INDEX('主线调参'!$G$11:$G$62,$AV44+1)-INDEX('主线调参'!$G$11:$G$62,$AV44))*$AW44)*'参数说明'!$G$27)</x:f>
        <x:v>0</x:v>
      </x:c>
      <x:c r="L44" s="63" t="n">
        <x:f>IF(B44&lt;$L$8,0,(INDEX('主线调参'!$H$11:$H$62,$AV44)+(INDEX('主线调参'!$H$11:$H$62,$AV44+1)-INDEX('主线调参'!$H$11:$H$62,$AV44))*$AW44)*'参数说明'!$H$27)</x:f>
        <x:v>0.1557977624107803</x:v>
      </x:c>
      <x:c r="M44" s="59" t="n">
        <x:f>E44*'模块规划'!$F$10+G44*'模块规划'!$F$11+H44*'模块规划'!$F$13</x:f>
        <x:v>2582.5395377266714</x:v>
      </x:c>
      <x:c r="N44" s="59" t="n">
        <x:f>I44*'模块规划'!$F$15+J44*'模块规划'!$F$17+K44*'模块规划'!$F$16+L44*'模块规划'!$F$18</x:f>
        <x:v>919.6138120539015</x:v>
      </x:c>
      <x:c r="O44" s="59" t="n">
        <x:f>1+O$9*SUMPRODUCT($H$10:$L$10,H44:L44)/SUM($H$10:$L$10)</x:f>
        <x:v>1.1921433511597177</x:v>
      </x:c>
      <x:c r="P44" s="59" t="n">
        <x:f>M44*O44+N44</x:f>
        <x:v>3998.371151061844</x:v>
      </x:c>
      <x:c r="Q44" s="59" t="n">
        <x:f>P44/(P44+'_曲线基线'!$L$2)</x:f>
        <x:v>0.14280727723370454</x:v>
      </x:c>
      <x:c r="R44" s="59" t="n">
        <x:f>E44*'模块规划'!$E$10+G44*'模块规划'!$E$11+H44*'模块规划'!$E$13</x:f>
        <x:v>3873.8093065900075</x:v>
      </x:c>
      <x:c r="S44" s="59" t="n">
        <x:f>I44*'模块规划'!$E$15+J44*'模块规划'!$E$17+K44*'模块规划'!$E$16+L44*'模块规划'!$E$18</x:f>
        <x:v>1379.4207180808523</x:v>
      </x:c>
      <x:c r="T44" s="59" t="n">
        <x:f>1+T$9*SUMPRODUCT($H$10:$L$10,H44:L44)/SUM($H$10:$L$10)</x:f>
        <x:v>1.1921433511597177</x:v>
      </x:c>
      <x:c r="U44" s="59" t="n">
        <x:f>R44*T44+S44</x:f>
        <x:v>5997.556726592767</x:v>
      </x:c>
      <x:c r="V44" s="59" t="n">
        <x:f>V$8+(V$9-V$8)*H44</x:f>
        <x:v>0.7600269099933865</x:v>
      </x:c>
      <x:c r="W44" s="59" t="n">
        <x:f>IF(B44&lt;$H$8,0,W$8+(W$9-W$8)*H44)</x:f>
        <x:v>0.080035879991182</x:v>
      </x:c>
      <x:c r="X44" s="59" t="n">
        <x:f>X$8+(X$9-X$8)*H44</x:f>
        <x:v>0.33002466749393766</x:v>
      </x:c>
      <x:c r="Y44" s="59" t="n">
        <x:f>Y$8+(Y$9-Y$8)*G44</x:f>
        <x:v>1</x:v>
      </x:c>
      <x:c r="Z44" s="59" t="n">
        <x:f>Z$8+(Z$9-Z$8)*H44</x:f>
        <x:v>1</x:v>
      </x:c>
      <x:c r="AA44" s="59" t="n">
        <x:f>AA$8+(AA$9-AA$8)*I44</x:f>
        <x:v>1</x:v>
      </x:c>
      <x:c r="AB44" s="59" t="n">
        <x:f>AB$8+(AB$9-AB$8)*J44</x:f>
        <x:v>1</x:v>
      </x:c>
      <x:c r="AC44" s="59" t="n">
        <x:f>AC$8+(AC$9-AC$8)*MAX(K44,L44)</x:f>
        <x:v>1</x:v>
      </x:c>
      <x:c r="AD44" s="59" t="n">
        <x:f>(V44*AE44+W44*AF44+X44*AG44)*PRODUCT(Y44:AC44)</x:f>
        <x:v>1.1813633175911344</x:v>
      </x:c>
      <x:c r="AE44" s="59" t="n">
        <x:f>1+AE$9*($H$10*H44+$I$10*I44+$J$10*J44+$K$10*K44+$L$10*L44)</x:f>
        <x:v>1</x:v>
      </x:c>
      <x:c r="AF44" s="59" t="n">
        <x:f>1+AF$9*($H$10*H44+$I$10*I44+$J$10*J44+$K$10*K44+$L$10*L44)</x:f>
        <x:v>1.0169584010335297</x:v>
      </x:c>
      <x:c r="AG44" s="59" t="n">
        <x:f>1+AG$9*($H$10*H44+$I$10*I44+$J$10*J44+$K$10*K44+$L$10*L44)</x:f>
        <x:v>1.030054055164978</x:v>
      </x:c>
      <x:c r="AH44" s="59" t="n">
        <x:f>MIN(1,'_曲线基线'!$L$3+AH$9*($H$10*H44+$I$10*I44+$J$10*J44+$K$10*K44+$L$10*L44))</x:f>
        <x:v>0.08858036235128014</x:v>
      </x:c>
      <x:c r="AI44" s="59" t="n">
        <x:f>'_曲线基线'!$L$4+AI$9*($H$10*H44+$I$10*I44+$J$10*J44+$K$10*K44+$L$10*L44)</x:f>
        <x:v>2.1074738665499946</x:v>
      </x:c>
      <x:c r="AJ44" s="59" t="n">
        <x:f>1+AJ$9*($H$10*H44+$I$10*I44+$J$10*J44+$K$10*K44+$L$10*L44)</x:f>
        <x:v>1.0881836853743545</x:v>
      </x:c>
      <x:c r="AK44" s="59" t="n">
        <x:f>(1+AH44*(AI44-1))*AJ44</x:f>
        <x:v>1.1949349797859439</x:v>
      </x:c>
      <x:c r="AL44" s="59" t="n">
        <x:f>U44*AD44*AK44*F44</x:f>
        <x:v>42332.32529750872</x:v>
      </x:c>
      <x:c r="AM44" s="59" t="n">
        <x:f>IF($B44&lt;AM$8,0,AM$3+(AM$4-AM$3)*(POWER(AM$5,$B44-AM$8)-1)/(POWER(AM$5,$C$5-AM$8)-1))</x:f>
        <x:v>35.50334436013411</x:v>
      </x:c>
      <x:c r="AN44" s="59" t="n">
        <x:f>(((E44*'模块规划'!$D$10+G44*'模块规划'!$D$11+H44*'模块规划'!$D$13)*(1+'模块规划'!$G$14*H44)+(I44*'模块规划'!$D$15+J44*'模块规划'!$D$17+K44*'模块规划'!$D$16+L44*'模块规划'!$D$18))*(1+'模块规划'!$J$17*J44))*F44/(1-Q44)</x:f>
        <x:v>117656.32359146411</x:v>
      </x:c>
      <x:c r="AO44" s="59" t="n">
        <x:f>AL44*AM44</x:f>
        <x:v>1502939.1226026688</x:v>
      </x:c>
      <x:c r="AP44" s="61" t="n">
        <x:f>IF(AO44="","",INDEX('_曲线基线'!$A$3:$A$502,MIN(ROWS('_曲线基线'!$A$3:$A$502),COUNTIF('_曲线基线'!$E$3:$E$502,"&lt;"&amp;AO44)+1)))</x:f>
        <x:v>65</x:v>
      </x:c>
      <x:c r="AQ44" s="61" t="n">
        <x:f>IF(B44&lt;=2,1,IF(B44&lt;=6,2,IF(B44&lt;=9,3,IF(B44&lt;=19,4,5))))</x:f>
        <x:v>5</x:v>
      </x:c>
      <x:c r="AR44" s="59" t="n">
        <x:f>AN44*(1-Q44)/F44*$AS$3+U44*$AS$4+P44*$AS$5</x:f>
        <x:v>1804.63621153879</x:v>
      </x:c>
      <x:c r="AS44" s="59" t="n">
        <x:f>1+AH44*$AS$6+AI44*$AS$7+(AJ44-1)*$AS$8+($H$10*H44+$I$10*I44+$J$10*J44+$K$10*K44+$L$10*L44)*$AU$3*$AS$9+($H$10*H44+$I$10*I44+$J$10*J44+$K$10*K44+$L$10*L44)*$AU$4*$AS$10</x:f>
        <x:v>5.994863730736576</x:v>
      </x:c>
      <x:c r="AT44" s="60" t="n">
        <x:f>ROUND(AR44*AS44,0)</x:f>
        <x:v>10819</x:v>
      </x:c>
      <x:c r="AU44" s="60" t="n">
        <x:f>ROUND(AT44*F44,0)</x:f>
        <x:v>54095</x:v>
      </x:c>
      <x:c r="AV44" s="60" t="n">
        <x:f>MIN(MATCH(B44,'主线调参'!$M$11:$M$62,1),ROWS('主线调参'!$M$11:$M$62)-1)</x:f>
        <x:v>17</x:v>
      </x:c>
      <x:c r="AW44" s="62" t="n">
        <x:f>(B44-INDEX('主线调参'!$M$11:$M$62,AV44))/(INDEX('主线调参'!$M$11:$M$62,AV44+1)-INDEX('主线调参'!$M$11:$M$62,AV44))</x:f>
        <x:v>0.75</x:v>
      </x:c>
      <x:c r="AX44" s="60" t="n">
        <x:f>IF(AU44=0,0,ROUND(AU44,2-INT(LOG10(ABS(AU44)))))</x:f>
        <x:v>54100</x:v>
      </x:c>
      <x:c r="AY44" s="62" t="n">
        <x:f>AU44/AU43-1</x:f>
        <x:v>0.049573147070236745</x:v>
      </x:c>
    </x:row>
    <x:row r="45" ht="25" customHeight="1">
      <x:c r="A45" s="40" t="n">
        <x:f>'调前玩家曲线'!A45</x:f>
        <x:v>20</x:v>
      </x:c>
      <x:c r="B45" s="40" t="n">
        <x:f>'调前玩家曲线'!B45</x:f>
        <x:v>34</x:v>
      </x:c>
      <x:c r="C45" s="40" t="n">
        <x:f>'调前玩家曲线'!C45</x:f>
        <x:v>3</x:v>
      </x:c>
      <x:c r="D45" s="40" t="n">
        <x:f>'调前玩家曲线'!D45</x:f>
        <x:v>10</x:v>
      </x:c>
      <x:c r="E45" s="40" t="n">
        <x:f>'调前玩家曲线'!E45</x:f>
        <x:v>1</x:v>
      </x:c>
      <x:c r="F45" s="40" t="n">
        <x:f>'调前玩家曲线'!F45</x:f>
        <x:v>5</x:v>
      </x:c>
      <x:c r="G45" s="63" t="n">
        <x:f>IF(B45&lt;$G$8,0,(INDEX('主线调参'!$C$11:$C$62,$AV45)+(INDEX('主线调参'!$C$11:$C$62,$AV45+1)-INDEX('主线调参'!$C$11:$C$62,$AV45))*$AW45)*'参数说明'!$C$27)</x:f>
        <x:v>0.3361792945474125</x:v>
      </x:c>
      <x:c r="H45" s="63" t="n">
        <x:f>IF(B45&lt;$H$8,0,(INDEX('主线调参'!$D$11:$D$62,$AV45)+(INDEX('主线调参'!$D$11:$D$62,$AV45+1)-INDEX('主线调参'!$D$11:$D$62,$AV45))*$AW45)*'参数说明'!$D$27)</x:f>
        <x:v>0.20749965756028785</x:v>
      </x:c>
      <x:c r="I45" s="63" t="n">
        <x:f>IF(B45&lt;$I$8,0,(INDEX('主线调参'!$E$11:$E$62,$AV45)+(INDEX('主线调参'!$E$11:$E$62,$AV45+1)-INDEX('主线调参'!$E$11:$E$62,$AV45))*$AW45)*'参数说明'!$E$27)</x:f>
        <x:v>0</x:v>
      </x:c>
      <x:c r="J45" s="63" t="n">
        <x:f>IF(B45&lt;$J$8,0,(INDEX('主线调参'!$F$11:$F$62,$AV45)+(INDEX('主线调参'!$F$11:$F$62,$AV45+1)-INDEX('主线调参'!$F$11:$F$62,$AV45))*$AW45)*'参数说明'!$F$27)</x:f>
        <x:v>0.01875</x:v>
      </x:c>
      <x:c r="K45" s="63" t="n">
        <x:f>IF(B45&lt;$K$8,0,(INDEX('主线调参'!$G$11:$G$62,$AV45)+(INDEX('主线调参'!$G$11:$G$62,$AV45+1)-INDEX('主线调参'!$G$11:$G$62,$AV45))*$AW45)*'参数说明'!$G$27)</x:f>
        <x:v>0</x:v>
      </x:c>
      <x:c r="L45" s="63" t="n">
        <x:f>IF(B45&lt;$L$8,0,(INDEX('主线调参'!$H$11:$H$62,$AV45)+(INDEX('主线调参'!$H$11:$H$62,$AV45+1)-INDEX('主线调参'!$H$11:$H$62,$AV45))*$AW45)*'参数说明'!$H$27)</x:f>
        <x:v>0.15973526241078032</x:v>
      </x:c>
      <x:c r="M45" s="59" t="n">
        <x:f>E45*'模块规划'!$F$10+G45*'模块规划'!$F$11+H45*'模块规划'!$F$13</x:f>
        <x:v>2613.66061382758</x:v>
      </x:c>
      <x:c r="N45" s="59" t="n">
        <x:f>I45*'模块规划'!$F$15+J45*'模块规划'!$F$17+K45*'模块规划'!$F$16+L45*'模块规划'!$F$18</x:f>
        <x:v>986.1763120539016</x:v>
      </x:c>
      <x:c r="O45" s="59" t="n">
        <x:f>1+O$9*SUMPRODUCT($H$10:$L$10,H45:L45)/SUM($H$10:$L$10)</x:f>
        <x:v>1.2062903150657212</x:v>
      </x:c>
      <x:c r="P45" s="59" t="n">
        <x:f>M45*O45+N45</x:f>
        <x:v>4139.00979738284</x:v>
      </x:c>
      <x:c r="Q45" s="59" t="n">
        <x:f>P45/(P45+'_曲线基线'!$L$2)</x:f>
        <x:v>0.14709152266501582</x:v>
      </x:c>
      <x:c r="R45" s="59" t="n">
        <x:f>E45*'模块规划'!$E$10+G45*'模块规划'!$E$11+H45*'模块规划'!$E$13</x:f>
        <x:v>3920.4909207413702</x:v>
      </x:c>
      <x:c r="S45" s="59" t="n">
        <x:f>I45*'模块规划'!$E$15+J45*'模块规划'!$E$17+K45*'模块规划'!$E$16+L45*'模块规划'!$E$18</x:f>
        <x:v>1479.2644680808523</x:v>
      </x:c>
      <x:c r="T45" s="59" t="n">
        <x:f>1+T$9*SUMPRODUCT($H$10:$L$10,H45:L45)/SUM($H$10:$L$10)</x:f>
        <x:v>1.2062903150657212</x:v>
      </x:c>
      <x:c r="U45" s="59" t="n">
        <x:f>R45*T45+S45</x:f>
        <x:v>6208.5146960742595</x:v>
      </x:c>
      <x:c r="V45" s="59" t="n">
        <x:f>V$8+(V$9-V$8)*H45</x:f>
        <x:v>0.7622498972680863</x:v>
      </x:c>
      <x:c r="W45" s="59" t="n">
        <x:f>IF(B45&lt;$H$8,0,W$8+(W$9-W$8)*H45)</x:f>
        <x:v>0.08299986302411515</x:v>
      </x:c>
      <x:c r="X45" s="59" t="n">
        <x:f>X$8+(X$9-X$8)*H45</x:f>
        <x:v>0.3320624058290792</x:v>
      </x:c>
      <x:c r="Y45" s="59" t="n">
        <x:f>Y$8+(Y$9-Y$8)*G45</x:f>
        <x:v>1</x:v>
      </x:c>
      <x:c r="Z45" s="59" t="n">
        <x:f>Z$8+(Z$9-Z$8)*H45</x:f>
        <x:v>1</x:v>
      </x:c>
      <x:c r="AA45" s="59" t="n">
        <x:f>AA$8+(AA$9-AA$8)*I45</x:f>
        <x:v>1</x:v>
      </x:c>
      <x:c r="AB45" s="59" t="n">
        <x:f>AB$8+(AB$9-AB$8)*J45</x:f>
        <x:v>1</x:v>
      </x:c>
      <x:c r="AC45" s="59" t="n">
        <x:f>AC$8+(AC$9-AC$8)*MAX(K45,L45)</x:f>
        <x:v>1</x:v>
      </x:c>
      <x:c r="AD45" s="59" t="n">
        <x:f>(V45*AE45+W45*AF45+X45*AG45)*PRODUCT(Y45:AC45)</x:f>
        <x:v>1.1895379521092113</x:v>
      </x:c>
      <x:c r="AE45" s="59" t="n">
        <x:f>1+AE$9*($H$10*H45+$I$10*I45+$J$10*J45+$K$10*K45+$L$10*L45)</x:f>
        <x:v>1</x:v>
      </x:c>
      <x:c r="AF45" s="59" t="n">
        <x:f>1+AF$9*($H$10*H45+$I$10*I45+$J$10*J45+$K$10*K45+$L$10*L45)</x:f>
        <x:v>1.018206999467339</x:v>
      </x:c>
      <x:c r="AG45" s="59" t="n">
        <x:f>1+AG$9*($H$10*H45+$I$10*I45+$J$10*J45+$K$10*K45+$L$10*L45)</x:f>
        <x:v>1.0322668490560065</x:v>
      </x:c>
      <x:c r="AH45" s="59" t="n">
        <x:f>MIN(1,'_曲线基线'!$L$3+AH$9*($H$10*H45+$I$10*I45+$J$10*J45+$K$10*K45+$L$10*L45))</x:f>
        <x:v>0.0914209237881961</x:v>
      </x:c>
      <x:c r="AI45" s="59" t="n">
        <x:f>'_曲线基线'!$L$4+AI$9*($H$10*H45+$I$10*I45+$J$10*J45+$K$10*K45+$L$10*L45)</x:f>
        <x:v>2.1153868591242606</x:v>
      </x:c>
      <x:c r="AJ45" s="59" t="n">
        <x:f>1+AJ$9*($H$10*H45+$I$10*I45+$J$10*J45+$K$10*K45+$L$10*L45)</x:f>
        <x:v>1.0946763972301625</x:v>
      </x:c>
      <x:c r="AK45" s="59" t="n">
        <x:f>(1+AH45*(AI45-1))*AJ45</x:f>
        <x:v>1.2063002178151383</x:v>
      </x:c>
      <x:c r="AL45" s="59" t="n">
        <x:f>U45*AD45*AK45*F45</x:f>
        <x:v>44544.2269978621</x:v>
      </x:c>
      <x:c r="AM45" s="59" t="n">
        <x:f>IF($B45&lt;AM$8,0,AM$3+(AM$4-AM$3)*(POWER(AM$5,$B45-AM$8)-1)/(POWER(AM$5,$C$5-AM$8)-1))</x:f>
        <x:v>35.521802443657315</x:v>
      </x:c>
      <x:c r="AN45" s="59" t="n">
        <x:f>(((E45*'模块规划'!$D$10+G45*'模块规划'!$D$11+H45*'模块规划'!$D$13)*(1+'模块规划'!$G$14*H45)+(I45*'模块规划'!$D$15+J45*'模块规划'!$D$17+K45*'模块规划'!$D$16+L45*'模块规划'!$D$18))*(1+'模块规划'!$J$17*J45))*F45/(1-Q45)</x:f>
        <x:v>122519.47128475165</x:v>
      </x:c>
      <x:c r="AO45" s="59" t="n">
        <x:f>AL45*AM45</x:f>
        <x:v>1582291.231423484</x:v>
      </x:c>
      <x:c r="AP45" s="61" t="n">
        <x:f>IF(AO45="","",INDEX('_曲线基线'!$A$3:$A$502,MIN(ROWS('_曲线基线'!$A$3:$A$502),COUNTIF('_曲线基线'!$E$3:$E$502,"&lt;"&amp;AO45)+1)))</x:f>
        <x:v>67</x:v>
      </x:c>
      <x:c r="AQ45" s="61" t="n">
        <x:f>IF(B45&lt;=2,1,IF(B45&lt;=6,2,IF(B45&lt;=9,3,IF(B45&lt;=19,4,5))))</x:f>
        <x:v>5</x:v>
      </x:c>
      <x:c r="AR45" s="59" t="n">
        <x:f>AN45*(1-Q45)/F45*$AS$3+U45*$AS$4+P45*$AS$5</x:f>
        <x:v>1868.6903133990409</x:v>
      </x:c>
      <x:c r="AS45" s="59" t="n">
        <x:f>1+AH45*$AS$6+AI45*$AS$7+(AJ45-1)*$AS$8+($H$10*H45+$I$10*I45+$J$10*J45+$K$10*K45+$L$10*L45)*$AU$3*$AS$9+($H$10*H45+$I$10*I45+$J$10*J45+$K$10*K45+$L$10*L45)*$AU$4*$AS$10</x:f>
        <x:v>6.069468905876647</x:v>
      </x:c>
      <x:c r="AT45" s="60" t="n">
        <x:f>ROUND(AR45*AS45,0)</x:f>
        <x:v>11342</x:v>
      </x:c>
      <x:c r="AU45" s="60" t="n">
        <x:f>ROUND(AT45*F45,0)</x:f>
        <x:v>56710</x:v>
      </x:c>
      <x:c r="AV45" s="60" t="n">
        <x:f>MIN(MATCH(B45,'主线调参'!$M$11:$M$62,1),ROWS('主线调参'!$M$11:$M$62)-1)</x:f>
        <x:v>18</x:v>
      </x:c>
      <x:c r="AW45" s="62" t="n">
        <x:f>(B45-INDEX('主线调参'!$M$11:$M$62,AV45))/(INDEX('主线调参'!$M$11:$M$62,AV45+1)-INDEX('主线调参'!$M$11:$M$62,AV45))</x:f>
        <x:v>0</x:v>
      </x:c>
      <x:c r="AX45" s="60" t="n">
        <x:f>IF(AU45=0,0,ROUND(AU45,2-INT(LOG10(ABS(AU45)))))</x:f>
        <x:v>56700</x:v>
      </x:c>
      <x:c r="AY45" s="62" t="n">
        <x:f>AU45/AU44-1</x:f>
        <x:v>0.048340881782050094</x:v>
      </x:c>
    </x:row>
    <x:row r="46" ht="25" customHeight="1">
      <x:c r="A46" s="40" t="n">
        <x:f>'调前玩家曲线'!A46</x:f>
        <x:v>20</x:v>
      </x:c>
      <x:c r="B46" s="40" t="n">
        <x:f>'调前玩家曲线'!B46</x:f>
        <x:v>35</x:v>
      </x:c>
      <x:c r="C46" s="40" t="n">
        <x:f>'调前玩家曲线'!C46</x:f>
        <x:v>3</x:v>
      </x:c>
      <x:c r="D46" s="40" t="n">
        <x:f>'调前玩家曲线'!D46</x:f>
        <x:v>11</x:v>
      </x:c>
      <x:c r="E46" s="40" t="n">
        <x:f>'调前玩家曲线'!E46</x:f>
        <x:v>1</x:v>
      </x:c>
      <x:c r="F46" s="40" t="n">
        <x:f>'调前玩家曲线'!F46</x:f>
        <x:v>5</x:v>
      </x:c>
      <x:c r="G46" s="63" t="n">
        <x:f>IF(B46&lt;$G$8,0,(INDEX('主线调参'!$C$11:$C$62,$AV46)+(INDEX('主线调参'!$C$11:$C$62,$AV46+1)-INDEX('主线调参'!$C$11:$C$62,$AV46))*$AW46)*'参数说明'!$C$27)</x:f>
        <x:v>0.3422370760314779</x:v>
      </x:c>
      <x:c r="H46" s="63" t="n">
        <x:f>IF(B46&lt;$H$8,0,(INDEX('主线调参'!$D$11:$D$62,$AV46)+(INDEX('主线调参'!$D$11:$D$62,$AV46+1)-INDEX('主线调参'!$D$11:$D$62,$AV46))*$AW46)*'参数说明'!$D$27)</x:f>
        <x:v>0.21426670973006823</x:v>
      </x:c>
      <x:c r="I46" s="63" t="n">
        <x:f>IF(B46&lt;$I$8,0,(INDEX('主线调参'!$E$11:$E$62,$AV46)+(INDEX('主线调参'!$E$11:$E$62,$AV46+1)-INDEX('主线调参'!$E$11:$E$62,$AV46))*$AW46)*'参数说明'!$E$27)</x:f>
        <x:v>0</x:v>
      </x:c>
      <x:c r="J46" s="63" t="n">
        <x:f>IF(B46&lt;$J$8,0,(INDEX('主线调参'!$F$11:$F$62,$AV46)+(INDEX('主线调参'!$F$11:$F$62,$AV46+1)-INDEX('主线调参'!$F$11:$F$62,$AV46))*$AW46)*'参数说明'!$F$27)</x:f>
        <x:v>0.024</x:v>
      </x:c>
      <x:c r="K46" s="63" t="n">
        <x:f>IF(B46&lt;$K$8,0,(INDEX('主线调参'!$G$11:$G$62,$AV46)+(INDEX('主线调参'!$G$11:$G$62,$AV46+1)-INDEX('主线调参'!$G$11:$G$62,$AV46))*$AW46)*'参数说明'!$G$27)</x:f>
        <x:v>0</x:v>
      </x:c>
      <x:c r="L46" s="63" t="n">
        <x:f>IF(B46&lt;$L$8,0,(INDEX('主线调参'!$H$11:$H$62,$AV46)+(INDEX('主线调参'!$H$11:$H$62,$AV46+1)-INDEX('主线调参'!$H$11:$H$62,$AV46))*$AW46)*'参数说明'!$H$27)</x:f>
        <x:v>0.16363526241078033</x:v>
      </x:c>
      <x:c r="M46" s="59" t="n">
        <x:f>E46*'模块规划'!$F$10+G46*'模块规划'!$F$11+H46*'模块规划'!$F$13</x:f>
        <x:v>2642.737964951094</x:v>
      </x:c>
      <x:c r="N46" s="59" t="n">
        <x:f>I46*'模块规划'!$F$15+J46*'模块规划'!$F$17+K46*'模块规划'!$F$16+L46*'模块规划'!$F$18</x:f>
        <x:v>1058.1763120539017</x:v>
      </x:c>
      <x:c r="O46" s="59" t="n">
        <x:f>1+O$9*SUMPRODUCT($H$10:$L$10,H46:L46)/SUM($H$10:$L$10)</x:f>
        <x:v>1.221227265331244</x:v>
      </x:c>
      <x:c r="P46" s="59" t="n">
        <x:f>M46*O46+N46</x:f>
        <x:v>4285.559969978183</x:v>
      </x:c>
      <x:c r="Q46" s="59" t="n">
        <x:f>P46/(P46+'_曲线基线'!$L$2)</x:f>
        <x:v>0.15151052249016123</x:v>
      </x:c>
      <x:c r="R46" s="59" t="n">
        <x:f>E46*'模块规划'!$E$10+G46*'模块规划'!$E$11+H46*'模块规划'!$E$13</x:f>
        <x:v>3964.106947426641</x:v>
      </x:c>
      <x:c r="S46" s="59" t="n">
        <x:f>I46*'模块规划'!$E$15+J46*'模块规划'!$E$17+K46*'模块规划'!$E$16+L46*'模块规划'!$E$18</x:f>
        <x:v>1587.2644680808526</x:v>
      </x:c>
      <x:c r="T46" s="59" t="n">
        <x:f>1+T$9*SUMPRODUCT($H$10:$L$10,H46:L46)/SUM($H$10:$L$10)</x:f>
        <x:v>1.221227265331244</x:v>
      </x:c>
      <x:c r="U46" s="59" t="n">
        <x:f>R46*T46+S46</x:f>
        <x:v>6428.339954967275</x:v>
      </x:c>
      <x:c r="V46" s="59" t="n">
        <x:f>V$8+(V$9-V$8)*H46</x:f>
        <x:v>0.7642800129190205</x:v>
      </x:c>
      <x:c r="W46" s="59" t="n">
        <x:f>IF(B46&lt;$H$8,0,W$8+(W$9-W$8)*H46)</x:f>
        <x:v>0.08570668389202729</x:v>
      </x:c>
      <x:c r="X46" s="59" t="n">
        <x:f>X$8+(X$9-X$8)*H46</x:f>
        <x:v>0.33392334517576877</x:v>
      </x:c>
      <x:c r="Y46" s="59" t="n">
        <x:f>Y$8+(Y$9-Y$8)*G46</x:f>
        <x:v>1</x:v>
      </x:c>
      <x:c r="Z46" s="59" t="n">
        <x:f>Z$8+(Z$9-Z$8)*H46</x:f>
        <x:v>1</x:v>
      </x:c>
      <x:c r="AA46" s="59" t="n">
        <x:f>AA$8+(AA$9-AA$8)*I46</x:f>
        <x:v>1</x:v>
      </x:c>
      <x:c r="AB46" s="59" t="n">
        <x:f>AB$8+(AB$9-AB$8)*J46</x:f>
        <x:v>1</x:v>
      </x:c>
      <x:c r="AC46" s="59" t="n">
        <x:f>AC$8+(AC$9-AC$8)*MAX(K46,L46)</x:f>
        <x:v>1</x:v>
      </x:c>
      <x:c r="AD46" s="59" t="n">
        <x:f>(V46*AE46+W46*AF46+X46*AG46)*PRODUCT(Y46:AC46)</x:f>
        <x:v>1.1971383116614331</x:v>
      </x:c>
      <x:c r="AE46" s="59" t="n">
        <x:f>1+AE$9*($H$10*H46+$I$10*I46+$J$10*J46+$K$10*K46+$L$10*L46)</x:f>
        <x:v>1</x:v>
      </x:c>
      <x:c r="AF46" s="59" t="n">
        <x:f>1+AF$9*($H$10*H46+$I$10*I46+$J$10*J46+$K$10*K46+$L$10*L46)</x:f>
        <x:v>1.0195253213936077</x:v>
      </x:c>
      <x:c r="AG46" s="59" t="n">
        <x:f>1+AG$9*($H$10*H46+$I$10*I46+$J$10*J46+$K$10*K46+$L$10*L46)</x:f>
        <x:v>1.034603208469783</x:v>
      </x:c>
      <x:c r="AH46" s="59" t="n">
        <x:f>MIN(1,'_曲线基线'!$L$3+AH$9*($H$10*H46+$I$10*I46+$J$10*J46+$K$10*K46+$L$10*L46))</x:f>
        <x:v>0.09442010617045768</x:v>
      </x:c>
      <x:c r="AI46" s="59" t="n">
        <x:f>'_曲线基线'!$L$4+AI$9*($H$10*H46+$I$10*I46+$J$10*J46+$K$10*K46+$L$10*L46)</x:f>
        <x:v>2.1237417243319894</x:v>
      </x:c>
      <x:c r="AJ46" s="59" t="n">
        <x:f>1+AJ$9*($H$10*H46+$I$10*I46+$J$10*J46+$K$10*K46+$L$10*L46)</x:f>
        <x:v>1.1015316712467604</x:v>
      </x:c>
      <x:c r="AK46" s="59" t="n">
        <x:f>(1+AH46*(AI46-1))*AJ46</x:f>
        <x:v>1.2184083816177407</x:v>
      </x:c>
      <x:c r="AL46" s="59" t="n">
        <x:f>U46*AD46*AK46*F46</x:f>
        <x:v>46881.99105896728</x:v>
      </x:c>
      <x:c r="AM46" s="59" t="n">
        <x:f>IF($B46&lt;AM$8,0,AM$3+(AM$4-AM$3)*(POWER(AM$5,$B46-AM$8)-1)/(POWER(AM$5,$C$5-AM$8)-1))</x:f>
        <x:v>35.54044510801575</x:v>
      </x:c>
      <x:c r="AN46" s="59" t="n">
        <x:f>(((E46*'模块规划'!$D$10+G46*'模块规划'!$D$11+H46*'模块规划'!$D$13)*(1+'模块规划'!$G$14*H46)+(I46*'模块规划'!$D$15+J46*'模块规划'!$D$17+K46*'模块规划'!$D$16+L46*'模块规划'!$D$18))*(1+'模块规划'!$J$17*J46))*F46/(1-Q46)</x:f>
        <x:v>127632.80024401098</x:v>
      </x:c>
      <x:c r="AO46" s="59" t="n">
        <x:f>AL46*AM46</x:f>
        <x:v>1666206.8297857118</x:v>
      </x:c>
      <x:c r="AP46" s="61" t="n">
        <x:f>IF(AO46="","",INDEX('_曲线基线'!$A$3:$A$502,MIN(ROWS('_曲线基线'!$A$3:$A$502),COUNTIF('_曲线基线'!$E$3:$E$502,"&lt;"&amp;AO46)+1)))</x:f>
        <x:v>68</x:v>
      </x:c>
      <x:c r="AQ46" s="61" t="n">
        <x:f>IF(B46&lt;=2,1,IF(B46&lt;=6,2,IF(B46&lt;=9,3,IF(B46&lt;=19,4,5))))</x:f>
        <x:v>5</x:v>
      </x:c>
      <x:c r="AR46" s="59" t="n">
        <x:f>AN46*(1-Q46)/F46*$AS$3+U46*$AS$4+P46*$AS$5</x:f>
        <x:v>1935.438518946406</x:v>
      </x:c>
      <x:c r="AS46" s="59" t="n">
        <x:f>1+AH46*$AS$6+AI46*$AS$7+(AJ46-1)*$AS$8+($H$10*H46+$I$10*I46+$J$10*J46+$K$10*K46+$L$10*L46)*$AU$3*$AS$9+($H$10*H46+$I$10*I46+$J$10*J46+$K$10*K46+$L$10*L46)*$AU$4*$AS$10</x:f>
        <x:v>6.148240138914497</x:v>
      </x:c>
      <x:c r="AT46" s="60" t="n">
        <x:f>ROUND(AR46*AS46,0)</x:f>
        <x:v>11900</x:v>
      </x:c>
      <x:c r="AU46" s="60" t="n">
        <x:f>ROUND(AT46*F46,0)</x:f>
        <x:v>59500</x:v>
      </x:c>
      <x:c r="AV46" s="60" t="n">
        <x:f>MIN(MATCH(B46,'主线调参'!$M$11:$M$62,1),ROWS('主线调参'!$M$11:$M$62)-1)</x:f>
        <x:v>18</x:v>
      </x:c>
      <x:c r="AW46" s="62" t="n">
        <x:f>(B46-INDEX('主线调参'!$M$11:$M$62,AV46))/(INDEX('主线调参'!$M$11:$M$62,AV46+1)-INDEX('主线调参'!$M$11:$M$62,AV46))</x:f>
        <x:v>0.2</x:v>
      </x:c>
      <x:c r="AX46" s="60" t="n">
        <x:f>IF(AU46=0,0,ROUND(AU46,2-INT(LOG10(ABS(AU46)))))</x:f>
        <x:v>59500</x:v>
      </x:c>
      <x:c r="AY46" s="62" t="n">
        <x:f>AU46/AU45-1</x:f>
        <x:v>0.04919767236818906</x:v>
      </x:c>
    </x:row>
    <x:row r="47" ht="25" customHeight="1">
      <x:c r="A47" s="40" t="n">
        <x:f>'调前玩家曲线'!A47</x:f>
        <x:v>21</x:v>
      </x:c>
      <x:c r="B47" s="40" t="n">
        <x:f>'调前玩家曲线'!B47</x:f>
        <x:v>36</x:v>
      </x:c>
      <x:c r="C47" s="40" t="n">
        <x:f>'调前玩家曲线'!C47</x:f>
        <x:v>3</x:v>
      </x:c>
      <x:c r="D47" s="40" t="n">
        <x:f>'调前玩家曲线'!D47</x:f>
        <x:v>12</x:v>
      </x:c>
      <x:c r="E47" s="40" t="n">
        <x:f>'调前玩家曲线'!E47</x:f>
        <x:v>1</x:v>
      </x:c>
      <x:c r="F47" s="40" t="n">
        <x:f>'调前玩家曲线'!F47</x:f>
        <x:v>5</x:v>
      </x:c>
      <x:c r="G47" s="63" t="n">
        <x:f>IF(B47&lt;$G$8,0,(INDEX('主线调参'!$C$11:$C$62,$AV47)+(INDEX('主线调参'!$C$11:$C$62,$AV47+1)-INDEX('主线调参'!$C$11:$C$62,$AV47))*$AW47)*'参数说明'!$C$27)</x:f>
        <x:v>0.3482948575155432</x:v>
      </x:c>
      <x:c r="H47" s="63" t="n">
        <x:f>IF(B47&lt;$H$8,0,(INDEX('主线调参'!$D$11:$D$62,$AV47)+(INDEX('主线调参'!$D$11:$D$62,$AV47+1)-INDEX('主线调参'!$D$11:$D$62,$AV47))*$AW47)*'参数说明'!$D$27)</x:f>
        <x:v>0.22103376189984858</x:v>
      </x:c>
      <x:c r="I47" s="63" t="n">
        <x:f>IF(B47&lt;$I$8,0,(INDEX('主线调参'!$E$11:$E$62,$AV47)+(INDEX('主线调参'!$E$11:$E$62,$AV47+1)-INDEX('主线调参'!$E$11:$E$62,$AV47))*$AW47)*'参数说明'!$E$27)</x:f>
        <x:v>0</x:v>
      </x:c>
      <x:c r="J47" s="63" t="n">
        <x:f>IF(B47&lt;$J$8,0,(INDEX('主线调参'!$F$11:$F$62,$AV47)+(INDEX('主线调参'!$F$11:$F$62,$AV47+1)-INDEX('主线调参'!$F$11:$F$62,$AV47))*$AW47)*'参数说明'!$F$27)</x:f>
        <x:v>0.029249999999999998</x:v>
      </x:c>
      <x:c r="K47" s="63" t="n">
        <x:f>IF(B47&lt;$K$8,0,(INDEX('主线调参'!$G$11:$G$62,$AV47)+(INDEX('主线调参'!$G$11:$G$62,$AV47+1)-INDEX('主线调参'!$G$11:$G$62,$AV47))*$AW47)*'参数说明'!$G$27)</x:f>
        <x:v>0</x:v>
      </x:c>
      <x:c r="L47" s="63" t="n">
        <x:f>IF(B47&lt;$L$8,0,(INDEX('主线调参'!$H$11:$H$62,$AV47)+(INDEX('主线调参'!$H$11:$H$62,$AV47+1)-INDEX('主线调参'!$H$11:$H$62,$AV47))*$AW47)*'参数说明'!$H$27)</x:f>
        <x:v>0.16753526241078032</x:v>
      </x:c>
      <x:c r="M47" s="59" t="n">
        <x:f>E47*'模块规划'!$F$10+G47*'模块规划'!$F$11+H47*'模块规划'!$F$13</x:f>
        <x:v>2671.815316074607</x:v>
      </x:c>
      <x:c r="N47" s="59" t="n">
        <x:f>I47*'模块规划'!$F$15+J47*'模块规划'!$F$17+K47*'模块规划'!$F$16+L47*'模块规划'!$F$18</x:f>
        <x:v>1130.1763120539017</x:v>
      </x:c>
      <x:c r="O47" s="59" t="n">
        <x:f>1+O$9*SUMPRODUCT($H$10:$L$10,H47:L47)/SUM($H$10:$L$10)</x:f>
        <x:v>1.2361642155967667</x:v>
      </x:c>
      <x:c r="P47" s="59" t="n">
        <x:f>M47*O47+N47</x:f>
        <x:v>4432.978796468696</x:v>
      </x:c>
      <x:c r="Q47" s="59" t="n">
        <x:f>P47/(P47+'_曲线基线'!$L$2)</x:f>
        <x:v>0.1559097563502302</x:v>
      </x:c>
      <x:c r="R47" s="59" t="n">
        <x:f>E47*'模块规划'!$E$10+G47*'模块规划'!$E$11+H47*'模块规划'!$E$13</x:f>
        <x:v>4007.722974111911</x:v>
      </x:c>
      <x:c r="S47" s="59" t="n">
        <x:f>I47*'模块规划'!$E$15+J47*'模块规划'!$E$17+K47*'模块规划'!$E$16+L47*'模块规划'!$E$18</x:f>
        <x:v>1695.2644680808523</x:v>
      </x:c>
      <x:c r="T47" s="59" t="n">
        <x:f>1+T$9*SUMPRODUCT($H$10:$L$10,H47:L47)/SUM($H$10:$L$10)</x:f>
        <x:v>1.2361642155967667</x:v>
      </x:c>
      <x:c r="U47" s="59" t="n">
        <x:f>R47*T47+S47</x:f>
        <x:v>6649.468194703044</x:v>
      </x:c>
      <x:c r="V47" s="59" t="n">
        <x:f>V$8+(V$9-V$8)*H47</x:f>
        <x:v>0.7663101285699545</x:v>
      </x:c>
      <x:c r="W47" s="59" t="n">
        <x:f>IF(B47&lt;$H$8,0,W$8+(W$9-W$8)*H47)</x:f>
        <x:v>0.08841350475993943</x:v>
      </x:c>
      <x:c r="X47" s="59" t="n">
        <x:f>X$8+(X$9-X$8)*H47</x:f>
        <x:v>0.3357842845224584</x:v>
      </x:c>
      <x:c r="Y47" s="59" t="n">
        <x:f>Y$8+(Y$9-Y$8)*G47</x:f>
        <x:v>1</x:v>
      </x:c>
      <x:c r="Z47" s="59" t="n">
        <x:f>Z$8+(Z$9-Z$8)*H47</x:f>
        <x:v>1</x:v>
      </x:c>
      <x:c r="AA47" s="59" t="n">
        <x:f>AA$8+(AA$9-AA$8)*I47</x:f>
        <x:v>1</x:v>
      </x:c>
      <x:c r="AB47" s="59" t="n">
        <x:f>AB$8+(AB$9-AB$8)*J47</x:f>
        <x:v>1</x:v>
      </x:c>
      <x:c r="AC47" s="59" t="n">
        <x:f>AC$8+(AC$9-AC$8)*MAX(K47,L47)</x:f>
        <x:v>1</x:v>
      </x:c>
      <x:c r="AD47" s="59" t="n">
        <x:f>(V47*AE47+W47*AF47+X47*AG47)*PRODUCT(Y47:AC47)</x:f>
        <x:v>1.2047545037825784</x:v>
      </x:c>
      <x:c r="AE47" s="59" t="n">
        <x:f>1+AE$9*($H$10*H47+$I$10*I47+$J$10*J47+$K$10*K47+$L$10*L47)</x:f>
        <x:v>1</x:v>
      </x:c>
      <x:c r="AF47" s="59" t="n">
        <x:f>1+AF$9*($H$10*H47+$I$10*I47+$J$10*J47+$K$10*K47+$L$10*L47)</x:f>
        <x:v>1.0208436433198766</x:v>
      </x:c>
      <x:c r="AG47" s="59" t="n">
        <x:f>1+AG$9*($H$10*H47+$I$10*I47+$J$10*J47+$K$10*K47+$L$10*L47)</x:f>
        <x:v>1.0369395678835593</x:v>
      </x:c>
      <x:c r="AH47" s="59" t="n">
        <x:f>MIN(1,'_曲线基线'!$L$3+AH$9*($H$10*H47+$I$10*I47+$J$10*J47+$K$10*K47+$L$10*L47))</x:f>
        <x:v>0.09741928855271921</x:v>
      </x:c>
      <x:c r="AI47" s="59" t="n">
        <x:f>'_曲线基线'!$L$4+AI$9*($H$10*H47+$I$10*I47+$J$10*J47+$K$10*K47+$L$10*L47)</x:f>
        <x:v>2.1320965895397177</x:v>
      </x:c>
      <x:c r="AJ47" s="59" t="n">
        <x:f>1+AJ$9*($H$10*H47+$I$10*I47+$J$10*J47+$K$10*K47+$L$10*L47)</x:f>
        <x:v>1.1083869452633581</x:v>
      </x:c>
      <x:c r="AK47" s="59" t="n">
        <x:f>(1+AH47*(AI47-1))*AJ47</x:f>
        <x:v>1.2306287738128334</x:v>
      </x:c>
      <x:c r="AL47" s="59" t="n">
        <x:f>U47*AD47*AK47*F47</x:f>
        <x:v>49292.69250725898</x:v>
      </x:c>
      <x:c r="AM47" s="59" t="n">
        <x:f>IF($B47&lt;AM$8,0,AM$3+(AM$4-AM$3)*(POWER(AM$5,$B47-AM$8)-1)/(POWER(AM$5,$C$5-AM$8)-1))</x:f>
        <x:v>35.55927419901778</x:v>
      </x:c>
      <x:c r="AN47" s="59" t="n">
        <x:f>(((E47*'模块规划'!$D$10+G47*'模块规划'!$D$11+H47*'模块规划'!$D$13)*(1+'模块规划'!$G$14*H47)+(I47*'模块规划'!$D$15+J47*'模块规划'!$D$17+K47*'模块规划'!$D$16+L47*'模块规划'!$D$18))*(1+'模块规划'!$J$17*J47))*F47/(1-Q47)</x:f>
        <x:v>132853.17102398578</x:v>
      </x:c>
      <x:c r="AO47" s="59" t="n">
        <x:f>AL47*AM47</x:f>
        <x:v>1752812.3688734912</x:v>
      </x:c>
      <x:c r="AP47" s="61" t="n">
        <x:f>IF(AO47="","",INDEX('_曲线基线'!$A$3:$A$502,MIN(ROWS('_曲线基线'!$A$3:$A$502),COUNTIF('_曲线基线'!$E$3:$E$502,"&lt;"&amp;AO47)+1)))</x:f>
        <x:v>70</x:v>
      </x:c>
      <x:c r="AQ47" s="61" t="n">
        <x:f>IF(B47&lt;=2,1,IF(B47&lt;=6,2,IF(B47&lt;=9,3,IF(B47&lt;=19,4,5))))</x:f>
        <x:v>5</x:v>
      </x:c>
      <x:c r="AR47" s="59" t="n">
        <x:f>AN47*(1-Q47)/F47*$AS$3+U47*$AS$4+P47*$AS$5</x:f>
        <x:v>2002.734031936293</x:v>
      </x:c>
      <x:c r="AS47" s="59" t="n">
        <x:f>1+AH47*$AS$6+AI47*$AS$7+(AJ47-1)*$AS$8+($H$10*H47+$I$10*I47+$J$10*J47+$K$10*K47+$L$10*L47)*$AU$3*$AS$9+($H$10*H47+$I$10*I47+$J$10*J47+$K$10*K47+$L$10*L47)*$AU$4*$AS$10</x:f>
        <x:v>6.227011371952347</x:v>
      </x:c>
      <x:c r="AT47" s="60" t="n">
        <x:f>ROUND(AR47*AS47,0)</x:f>
        <x:v>12471</x:v>
      </x:c>
      <x:c r="AU47" s="60" t="n">
        <x:f>ROUND(AT47*F47,0)</x:f>
        <x:v>62355</x:v>
      </x:c>
      <x:c r="AV47" s="60" t="n">
        <x:f>MIN(MATCH(B47,'主线调参'!$M$11:$M$62,1),ROWS('主线调参'!$M$11:$M$62)-1)</x:f>
        <x:v>18</x:v>
      </x:c>
      <x:c r="AW47" s="62" t="n">
        <x:f>(B47-INDEX('主线调参'!$M$11:$M$62,AV47))/(INDEX('主线调参'!$M$11:$M$62,AV47+1)-INDEX('主线调参'!$M$11:$M$62,AV47))</x:f>
        <x:v>0.4</x:v>
      </x:c>
      <x:c r="AX47" s="60" t="n">
        <x:f>IF(AU47=0,0,ROUND(AU47,2-INT(LOG10(ABS(AU47)))))</x:f>
        <x:v>62400</x:v>
      </x:c>
      <x:c r="AY47" s="62" t="n">
        <x:f>AU47/AU46-1</x:f>
        <x:v>0.04798319327731093</x:v>
      </x:c>
    </x:row>
    <x:row r="48" ht="25" customHeight="1">
      <x:c r="A48" s="40" t="n">
        <x:f>'调前玩家曲线'!A48</x:f>
        <x:v>21</x:v>
      </x:c>
      <x:c r="B48" s="40" t="n">
        <x:f>'调前玩家曲线'!B48</x:f>
        <x:v>37</x:v>
      </x:c>
      <x:c r="C48" s="40" t="n">
        <x:f>'调前玩家曲线'!C48</x:f>
        <x:v>3</x:v>
      </x:c>
      <x:c r="D48" s="40" t="n">
        <x:f>'调前玩家曲线'!D48</x:f>
        <x:v>13</x:v>
      </x:c>
      <x:c r="E48" s="40" t="n">
        <x:f>'调前玩家曲线'!E48</x:f>
        <x:v>1</x:v>
      </x:c>
      <x:c r="F48" s="40" t="n">
        <x:f>'调前玩家曲线'!F48</x:f>
        <x:v>5</x:v>
      </x:c>
      <x:c r="G48" s="63" t="n">
        <x:f>IF(B48&lt;$G$8,0,(INDEX('主线调参'!$C$11:$C$62,$AV48)+(INDEX('主线调参'!$C$11:$C$62,$AV48+1)-INDEX('主线调参'!$C$11:$C$62,$AV48))*$AW48)*'参数说明'!$C$27)</x:f>
        <x:v>0.35435263899960856</x:v>
      </x:c>
      <x:c r="H48" s="63" t="n">
        <x:f>IF(B48&lt;$H$8,0,(INDEX('主线调参'!$D$11:$D$62,$AV48)+(INDEX('主线调参'!$D$11:$D$62,$AV48+1)-INDEX('主线调参'!$D$11:$D$62,$AV48))*$AW48)*'参数说明'!$D$27)</x:f>
        <x:v>0.22780081406962896</x:v>
      </x:c>
      <x:c r="I48" s="63" t="n">
        <x:f>IF(B48&lt;$I$8,0,(INDEX('主线调参'!$E$11:$E$62,$AV48)+(INDEX('主线调参'!$E$11:$E$62,$AV48+1)-INDEX('主线调参'!$E$11:$E$62,$AV48))*$AW48)*'参数说明'!$E$27)</x:f>
        <x:v>0</x:v>
      </x:c>
      <x:c r="J48" s="63" t="n">
        <x:f>IF(B48&lt;$J$8,0,(INDEX('主线调参'!$F$11:$F$62,$AV48)+(INDEX('主线调参'!$F$11:$F$62,$AV48+1)-INDEX('主线调参'!$F$11:$F$62,$AV48))*$AW48)*'参数说明'!$F$27)</x:f>
        <x:v>0.0345</x:v>
      </x:c>
      <x:c r="K48" s="63" t="n">
        <x:f>IF(B48&lt;$K$8,0,(INDEX('主线调参'!$G$11:$G$62,$AV48)+(INDEX('主线调参'!$G$11:$G$62,$AV48+1)-INDEX('主线调参'!$G$11:$G$62,$AV48))*$AW48)*'参数说明'!$G$27)</x:f>
        <x:v>0</x:v>
      </x:c>
      <x:c r="L48" s="63" t="n">
        <x:f>IF(B48&lt;$L$8,0,(INDEX('主线调参'!$H$11:$H$62,$AV48)+(INDEX('主线调参'!$H$11:$H$62,$AV48+1)-INDEX('主线调参'!$H$11:$H$62,$AV48))*$AW48)*'参数说明'!$H$27)</x:f>
        <x:v>0.17143526241078033</x:v>
      </x:c>
      <x:c r="M48" s="59" t="n">
        <x:f>E48*'模块规划'!$F$10+G48*'模块规划'!$F$11+H48*'模块规划'!$F$13</x:f>
        <x:v>2700.8926671981208</x:v>
      </x:c>
      <x:c r="N48" s="59" t="n">
        <x:f>I48*'模块规划'!$F$15+J48*'模块规划'!$F$17+K48*'模块规划'!$F$16+L48*'模块规划'!$F$18</x:f>
        <x:v>1202.1763120539017</x:v>
      </x:c>
      <x:c r="O48" s="59" t="n">
        <x:f>1+O$9*SUMPRODUCT($H$10:$L$10,H48:L48)/SUM($H$10:$L$10)</x:f>
        <x:v>1.2511011658622895</x:v>
      </x:c>
      <x:c r="P48" s="59" t="n">
        <x:f>M48*O48+N48</x:f>
        <x:v>4581.26627685438</x:v>
      </x:c>
      <x:c r="Q48" s="59" t="n">
        <x:f>P48/(P48+'_曲线基线'!$L$2)</x:f>
        <x:v>0.1602891289867157</x:v>
      </x:c>
      <x:c r="R48" s="59" t="n">
        <x:f>E48*'模块规划'!$E$10+G48*'模块规划'!$E$11+H48*'模块规划'!$E$13</x:f>
        <x:v>4051.3390007971816</x:v>
      </x:c>
      <x:c r="S48" s="59" t="n">
        <x:f>I48*'模块规划'!$E$15+J48*'模块规划'!$E$17+K48*'模块规划'!$E$16+L48*'模块规划'!$E$18</x:f>
        <x:v>1803.2644680808526</x:v>
      </x:c>
      <x:c r="T48" s="59" t="n">
        <x:f>1+T$9*SUMPRODUCT($H$10:$L$10,H48:L48)/SUM($H$10:$L$10)</x:f>
        <x:v>1.2511011658622895</x:v>
      </x:c>
      <x:c r="U48" s="59" t="n">
        <x:f>R48*T48+S48</x:f>
        <x:v>6871.899415281569</x:v>
      </x:c>
      <x:c r="V48" s="59" t="n">
        <x:f>V$8+(V$9-V$8)*H48</x:f>
        <x:v>0.7683402442208886</x:v>
      </x:c>
      <x:c r="W48" s="59" t="n">
        <x:f>IF(B48&lt;$H$8,0,W$8+(W$9-W$8)*H48)</x:f>
        <x:v>0.09112032562785159</x:v>
      </x:c>
      <x:c r="X48" s="59" t="n">
        <x:f>X$8+(X$9-X$8)*H48</x:f>
        <x:v>0.33764522386914797</x:v>
      </x:c>
      <x:c r="Y48" s="59" t="n">
        <x:f>Y$8+(Y$9-Y$8)*G48</x:f>
        <x:v>1</x:v>
      </x:c>
      <x:c r="Z48" s="59" t="n">
        <x:f>Z$8+(Z$9-Z$8)*H48</x:f>
        <x:v>1</x:v>
      </x:c>
      <x:c r="AA48" s="59" t="n">
        <x:f>AA$8+(AA$9-AA$8)*I48</x:f>
        <x:v>1</x:v>
      </x:c>
      <x:c r="AB48" s="59" t="n">
        <x:f>AB$8+(AB$9-AB$8)*J48</x:f>
        <x:v>1</x:v>
      </x:c>
      <x:c r="AC48" s="59" t="n">
        <x:f>AC$8+(AC$9-AC$8)*MAX(K48,L48)</x:f>
        <x:v>1</x:v>
      </x:c>
      <x:c r="AD48" s="59" t="n">
        <x:f>(V48*AE48+W48*AF48+X48*AG48)*PRODUCT(Y48:AC48)</x:f>
        <x:v>1.2123865284726474</x:v>
      </x:c>
      <x:c r="AE48" s="59" t="n">
        <x:f>1+AE$9*($H$10*H48+$I$10*I48+$J$10*J48+$K$10*K48+$L$10*L48)</x:f>
        <x:v>1</x:v>
      </x:c>
      <x:c r="AF48" s="59" t="n">
        <x:f>1+AF$9*($H$10*H48+$I$10*I48+$J$10*J48+$K$10*K48+$L$10*L48)</x:f>
        <x:v>1.0221619652461453</x:v>
      </x:c>
      <x:c r="AG48" s="59" t="n">
        <x:f>1+AG$9*($H$10*H48+$I$10*I48+$J$10*J48+$K$10*K48+$L$10*L48)</x:f>
        <x:v>1.0392759272973358</x:v>
      </x:c>
      <x:c r="AH48" s="59" t="n">
        <x:f>MIN(1,'_曲线基线'!$L$3+AH$9*($H$10*H48+$I$10*I48+$J$10*J48+$K$10*K48+$L$10*L48))</x:f>
        <x:v>0.10041847093498077</x:v>
      </x:c>
      <x:c r="AI48" s="59" t="n">
        <x:f>'_曲线基线'!$L$4+AI$9*($H$10*H48+$I$10*I48+$J$10*J48+$K$10*K48+$L$10*L48)</x:f>
        <x:v>2.1404514547474465</x:v>
      </x:c>
      <x:c r="AJ48" s="59" t="n">
        <x:f>1+AJ$9*($H$10*H48+$I$10*I48+$J$10*J48+$K$10*K48+$L$10*L48)</x:f>
        <x:v>1.115242219279956</x:v>
      </x:c>
      <x:c r="AK48" s="59" t="n">
        <x:f>(1+AH48*(AI48-1))*AJ48</x:f>
        <x:v>1.24296242506747</x:v>
      </x:c>
      <x:c r="AL48" s="59" t="n">
        <x:f>U48*AD48*AK48*F48</x:f>
        <x:v>51778.07502736098</x:v>
      </x:c>
      <x:c r="AM48" s="59" t="n">
        <x:f>IF($B48&lt;AM$8,0,AM$3+(AM$4-AM$3)*(POWER(AM$5,$B48-AM$8)-1)/(POWER(AM$5,$C$5-AM$8)-1))</x:f>
        <x:v>35.57829158092983</x:v>
      </x:c>
      <x:c r="AN48" s="59" t="n">
        <x:f>(((E48*'模块规划'!$D$10+G48*'模块规划'!$D$11+H48*'模块规划'!$D$13)*(1+'模块规划'!$G$14*H48)+(I48*'模块规划'!$D$15+J48*'模块规划'!$D$17+K48*'模块规划'!$D$16+L48*'模块规划'!$D$18))*(1+'模块规划'!$J$17*J48))*F48/(1-Q48)</x:f>
        <x:v>138182.08097015216</x:v>
      </x:c>
      <x:c r="AO48" s="59" t="n">
        <x:f>AL48*AM48</x:f>
        <x:v>1842175.4508227103</x:v>
      </x:c>
      <x:c r="AP48" s="61" t="n">
        <x:f>IF(AO48="","",INDEX('_曲线基线'!$A$3:$A$502,MIN(ROWS('_曲线基线'!$A$3:$A$502),COUNTIF('_曲线基线'!$E$3:$E$502,"&lt;"&amp;AO48)+1)))</x:f>
        <x:v>72</x:v>
      </x:c>
      <x:c r="AQ48" s="61" t="n">
        <x:f>IF(B48&lt;=2,1,IF(B48&lt;=6,2,IF(B48&lt;=9,3,IF(B48&lt;=19,4,5))))</x:f>
        <x:v>5</x:v>
      </x:c>
      <x:c r="AR48" s="59" t="n">
        <x:f>AN48*(1-Q48)/F48*$AS$3+U48*$AS$4+P48*$AS$5</x:f>
        <x:v>2070.577856475562</x:v>
      </x:c>
      <x:c r="AS48" s="59" t="n">
        <x:f>1+AH48*$AS$6+AI48*$AS$7+(AJ48-1)*$AS$8+($H$10*H48+$I$10*I48+$J$10*J48+$K$10*K48+$L$10*L48)*$AU$3*$AS$9+($H$10*H48+$I$10*I48+$J$10*J48+$K$10*K48+$L$10*L48)*$AU$4*$AS$10</x:f>
        <x:v>6.305782604990199</x:v>
      </x:c>
      <x:c r="AT48" s="60" t="n">
        <x:f>ROUND(AR48*AS48,0)</x:f>
        <x:v>13057</x:v>
      </x:c>
      <x:c r="AU48" s="60" t="n">
        <x:f>ROUND(AT48*F48,0)</x:f>
        <x:v>65285</x:v>
      </x:c>
      <x:c r="AV48" s="60" t="n">
        <x:f>MIN(MATCH(B48,'主线调参'!$M$11:$M$62,1),ROWS('主线调参'!$M$11:$M$62)-1)</x:f>
        <x:v>18</x:v>
      </x:c>
      <x:c r="AW48" s="62" t="n">
        <x:f>(B48-INDEX('主线调参'!$M$11:$M$62,AV48))/(INDEX('主线调参'!$M$11:$M$62,AV48+1)-INDEX('主线调参'!$M$11:$M$62,AV48))</x:f>
        <x:v>0.6</x:v>
      </x:c>
      <x:c r="AX48" s="60" t="n">
        <x:f>IF(AU48=0,0,ROUND(AU48,2-INT(LOG10(ABS(AU48)))))</x:f>
        <x:v>65300</x:v>
      </x:c>
      <x:c r="AY48" s="62" t="n">
        <x:f>AU48/AU47-1</x:f>
        <x:v>0.04698901451367177</x:v>
      </x:c>
    </x:row>
    <x:row r="49" ht="25" customHeight="1">
      <x:c r="A49" s="40" t="n">
        <x:f>'调前玩家曲线'!A49</x:f>
        <x:v>21</x:v>
      </x:c>
      <x:c r="B49" s="40" t="n">
        <x:f>'调前玩家曲线'!B49</x:f>
        <x:v>38</x:v>
      </x:c>
      <x:c r="C49" s="40" t="n">
        <x:f>'调前玩家曲线'!C49</x:f>
        <x:v>3</x:v>
      </x:c>
      <x:c r="D49" s="40" t="n">
        <x:f>'调前玩家曲线'!D49</x:f>
        <x:v>14</x:v>
      </x:c>
      <x:c r="E49" s="40" t="n">
        <x:f>'调前玩家曲线'!E49</x:f>
        <x:v>1</x:v>
      </x:c>
      <x:c r="F49" s="40" t="n">
        <x:f>'调前玩家曲线'!F49</x:f>
        <x:v>5</x:v>
      </x:c>
      <x:c r="G49" s="63" t="n">
        <x:f>IF(B49&lt;$G$8,0,(INDEX('主线调参'!$C$11:$C$62,$AV49)+(INDEX('主线调参'!$C$11:$C$62,$AV49+1)-INDEX('主线调参'!$C$11:$C$62,$AV49))*$AW49)*'参数说明'!$C$27)</x:f>
        <x:v>0.3604104204836739</x:v>
      </x:c>
      <x:c r="H49" s="63" t="n">
        <x:f>IF(B49&lt;$H$8,0,(INDEX('主线调参'!$D$11:$D$62,$AV49)+(INDEX('主线调参'!$D$11:$D$62,$AV49+1)-INDEX('主线调参'!$D$11:$D$62,$AV49))*$AW49)*'参数说明'!$D$27)</x:f>
        <x:v>0.2345678662394093</x:v>
      </x:c>
      <x:c r="I49" s="63" t="n">
        <x:f>IF(B49&lt;$I$8,0,(INDEX('主线调参'!$E$11:$E$62,$AV49)+(INDEX('主线调参'!$E$11:$E$62,$AV49+1)-INDEX('主线调参'!$E$11:$E$62,$AV49))*$AW49)*'参数说明'!$E$27)</x:f>
        <x:v>0</x:v>
      </x:c>
      <x:c r="J49" s="63" t="n">
        <x:f>IF(B49&lt;$J$8,0,(INDEX('主线调参'!$F$11:$F$62,$AV49)+(INDEX('主线调参'!$F$11:$F$62,$AV49+1)-INDEX('主线调参'!$F$11:$F$62,$AV49))*$AW49)*'参数说明'!$F$27)</x:f>
        <x:v>0.03975</x:v>
      </x:c>
      <x:c r="K49" s="63" t="n">
        <x:f>IF(B49&lt;$K$8,0,(INDEX('主线调参'!$G$11:$G$62,$AV49)+(INDEX('主线调参'!$G$11:$G$62,$AV49+1)-INDEX('主线调参'!$G$11:$G$62,$AV49))*$AW49)*'参数说明'!$G$27)</x:f>
        <x:v>0</x:v>
      </x:c>
      <x:c r="L49" s="63" t="n">
        <x:f>IF(B49&lt;$L$8,0,(INDEX('主线调参'!$H$11:$H$62,$AV49)+(INDEX('主线调参'!$H$11:$H$62,$AV49+1)-INDEX('主线调参'!$H$11:$H$62,$AV49))*$AW49)*'参数说明'!$H$27)</x:f>
        <x:v>0.17533526241078035</x:v>
      </x:c>
      <x:c r="M49" s="59" t="n">
        <x:f>E49*'模块规划'!$F$10+G49*'模块规划'!$F$11+H49*'模块规划'!$F$13</x:f>
        <x:v>2729.9700183216346</x:v>
      </x:c>
      <x:c r="N49" s="59" t="n">
        <x:f>I49*'模块规划'!$F$15+J49*'模块规划'!$F$17+K49*'模块规划'!$F$16+L49*'模块规划'!$F$18</x:f>
        <x:v>1274.1763120539017</x:v>
      </x:c>
      <x:c r="O49" s="59" t="n">
        <x:f>1+O$9*SUMPRODUCT($H$10:$L$10,H49:L49)/SUM($H$10:$L$10)</x:f>
        <x:v>1.2660381161278123</x:v>
      </x:c>
      <x:c r="P49" s="59" t="n">
        <x:f>M49*O49+N49</x:f>
        <x:v>4730.422411135233</x:v>
      </x:c>
      <x:c r="Q49" s="59" t="n">
        <x:f>P49/(P49+'_曲线基线'!$L$2)</x:f>
        <x:v>0.16464855070497791</x:v>
      </x:c>
      <x:c r="R49" s="59" t="n">
        <x:f>E49*'模块规划'!$E$10+G49*'模块规划'!$E$11+H49*'模块规划'!$E$13</x:f>
        <x:v>4094.955027482452</x:v>
      </x:c>
      <x:c r="S49" s="59" t="n">
        <x:f>I49*'模块规划'!$E$15+J49*'模块规划'!$E$17+K49*'模块规划'!$E$16+L49*'模块规划'!$E$18</x:f>
        <x:v>1911.2644680808526</x:v>
      </x:c>
      <x:c r="T49" s="59" t="n">
        <x:f>1+T$9*SUMPRODUCT($H$10:$L$10,H49:L49)/SUM($H$10:$L$10)</x:f>
        <x:v>1.2660381161278123</x:v>
      </x:c>
      <x:c r="U49" s="59" t="n">
        <x:f>R49*T49+S49</x:f>
        <x:v>7095.633616702849</x:v>
      </x:c>
      <x:c r="V49" s="59" t="n">
        <x:f>V$8+(V$9-V$8)*H49</x:f>
        <x:v>0.7703703598718228</x:v>
      </x:c>
      <x:c r="W49" s="59" t="n">
        <x:f>IF(B49&lt;$H$8,0,W$8+(W$9-W$8)*H49)</x:f>
        <x:v>0.09382714649576374</x:v>
      </x:c>
      <x:c r="X49" s="59" t="n">
        <x:f>X$8+(X$9-X$8)*H49</x:f>
        <x:v>0.3395061632158376</x:v>
      </x:c>
      <x:c r="Y49" s="59" t="n">
        <x:f>Y$8+(Y$9-Y$8)*G49</x:f>
        <x:v>1</x:v>
      </x:c>
      <x:c r="Z49" s="59" t="n">
        <x:f>Z$8+(Z$9-Z$8)*H49</x:f>
        <x:v>1</x:v>
      </x:c>
      <x:c r="AA49" s="59" t="n">
        <x:f>AA$8+(AA$9-AA$8)*I49</x:f>
        <x:v>1</x:v>
      </x:c>
      <x:c r="AB49" s="59" t="n">
        <x:f>AB$8+(AB$9-AB$8)*J49</x:f>
        <x:v>1</x:v>
      </x:c>
      <x:c r="AC49" s="59" t="n">
        <x:f>AC$8+(AC$9-AC$8)*MAX(K49,L49)</x:f>
        <x:v>1</x:v>
      </x:c>
      <x:c r="AD49" s="59" t="n">
        <x:f>(V49*AE49+W49*AF49+X49*AG49)*PRODUCT(Y49:AC49)</x:f>
        <x:v>1.22003438573164</x:v>
      </x:c>
      <x:c r="AE49" s="59" t="n">
        <x:f>1+AE$9*($H$10*H49+$I$10*I49+$J$10*J49+$K$10*K49+$L$10*L49)</x:f>
        <x:v>1</x:v>
      </x:c>
      <x:c r="AF49" s="59" t="n">
        <x:f>1+AF$9*($H$10*H49+$I$10*I49+$J$10*J49+$K$10*K49+$L$10*L49)</x:f>
        <x:v>1.0234802871724142</x:v>
      </x:c>
      <x:c r="AG49" s="59" t="n">
        <x:f>1+AG$9*($H$10*H49+$I$10*I49+$J$10*J49+$K$10*K49+$L$10*L49)</x:f>
        <x:v>1.0416122867111122</x:v>
      </x:c>
      <x:c r="AH49" s="59" t="n">
        <x:f>MIN(1,'_曲线基线'!$L$3+AH$9*($H$10*H49+$I$10*I49+$J$10*J49+$K$10*K49+$L$10*L49))</x:f>
        <x:v>0.10341765331724231</x:v>
      </x:c>
      <x:c r="AI49" s="59" t="n">
        <x:f>'_曲线基线'!$L$4+AI$9*($H$10*H49+$I$10*I49+$J$10*J49+$K$10*K49+$L$10*L49)</x:f>
        <x:v>2.148806319955175</x:v>
      </x:c>
      <x:c r="AJ49" s="59" t="n">
        <x:f>1+AJ$9*($H$10*H49+$I$10*I49+$J$10*J49+$K$10*K49+$L$10*L49)</x:f>
        <x:v>1.122097493296554</x:v>
      </x:c>
      <x:c r="AK49" s="59" t="n">
        <x:f>(1+AH49*(AI49-1))*AJ49</x:f>
        <x:v>1.2554103660487033</x:v>
      </x:c>
      <x:c r="AL49" s="59" t="n">
        <x:f>U49*AD49*AK49*F49</x:f>
        <x:v>54339.91670495911</x:v>
      </x:c>
      <x:c r="AM49" s="59" t="n">
        <x:f>IF($B49&lt;AM$8,0,AM$3+(AM$4-AM$3)*(POWER(AM$5,$B49-AM$8)-1)/(POWER(AM$5,$C$5-AM$8)-1))</x:f>
        <x:v>35.59749913666099</x:v>
      </x:c>
      <x:c r="AN49" s="59" t="n">
        <x:f>(((E49*'模块规划'!$D$10+G49*'模块规划'!$D$11+H49*'模块规划'!$D$13)*(1+'模块规划'!$G$14*H49)+(I49*'模块规划'!$D$15+J49*'模块规划'!$D$17+K49*'模块规划'!$D$16+L49*'模块规划'!$D$18))*(1+'模块规划'!$J$17*J49))*F49/(1-Q49)</x:f>
        <x:v>143621.04196543043</x:v>
      </x:c>
      <x:c r="AO49" s="59" t="n">
        <x:f>AL49*AM49</x:f>
        <x:v>1934365.1379910123</x:v>
      </x:c>
      <x:c r="AP49" s="61" t="n">
        <x:f>IF(AO49="","",INDEX('_曲线基线'!$A$3:$A$502,MIN(ROWS('_曲线基线'!$A$3:$A$502),COUNTIF('_曲线基线'!$E$3:$E$502,"&lt;"&amp;AO49)+1)))</x:f>
        <x:v>74</x:v>
      </x:c>
      <x:c r="AQ49" s="61" t="n">
        <x:f>IF(B49&lt;=2,1,IF(B49&lt;=6,2,IF(B49&lt;=9,3,IF(B49&lt;=19,4,5))))</x:f>
        <x:v>5</x:v>
      </x:c>
      <x:c r="AR49" s="59" t="n">
        <x:f>AN49*(1-Q49)/F49*$AS$3+U49*$AS$4+P49*$AS$5</x:f>
        <x:v>2138.9709966710707</x:v>
      </x:c>
      <x:c r="AS49" s="59" t="n">
        <x:f>1+AH49*$AS$6+AI49*$AS$7+(AJ49-1)*$AS$8+($H$10*H49+$I$10*I49+$J$10*J49+$K$10*K49+$L$10*L49)*$AU$3*$AS$9+($H$10*H49+$I$10*I49+$J$10*J49+$K$10*K49+$L$10*L49)*$AU$4*$AS$10</x:f>
        <x:v>6.384553838028049</x:v>
      </x:c>
      <x:c r="AT49" s="60" t="n">
        <x:f>ROUND(AR49*AS49,0)</x:f>
        <x:v>13656</x:v>
      </x:c>
      <x:c r="AU49" s="60" t="n">
        <x:f>ROUND(AT49*F49,0)</x:f>
        <x:v>68280</x:v>
      </x:c>
      <x:c r="AV49" s="60" t="n">
        <x:f>MIN(MATCH(B49,'主线调参'!$M$11:$M$62,1),ROWS('主线调参'!$M$11:$M$62)-1)</x:f>
        <x:v>18</x:v>
      </x:c>
      <x:c r="AW49" s="62" t="n">
        <x:f>(B49-INDEX('主线调参'!$M$11:$M$62,AV49))/(INDEX('主线调参'!$M$11:$M$62,AV49+1)-INDEX('主线调参'!$M$11:$M$62,AV49))</x:f>
        <x:v>0.8</x:v>
      </x:c>
      <x:c r="AX49" s="60" t="n">
        <x:f>IF(AU49=0,0,ROUND(AU49,2-INT(LOG10(ABS(AU49)))))</x:f>
        <x:v>68300</x:v>
      </x:c>
      <x:c r="AY49" s="62" t="n">
        <x:f>AU49/AU48-1</x:f>
        <x:v>0.04587577544612076</x:v>
      </x:c>
    </x:row>
    <x:row r="50" ht="25" customHeight="1">
      <x:c r="A50" s="40" t="n">
        <x:f>'调前玩家曲线'!A50</x:f>
        <x:v>22</x:v>
      </x:c>
      <x:c r="B50" s="40" t="n">
        <x:f>'调前玩家曲线'!B50</x:f>
        <x:v>39</x:v>
      </x:c>
      <x:c r="C50" s="40" t="n">
        <x:f>'调前玩家曲线'!C50</x:f>
        <x:v>3</x:v>
      </x:c>
      <x:c r="D50" s="40" t="n">
        <x:f>'调前玩家曲线'!D50</x:f>
        <x:v>15</x:v>
      </x:c>
      <x:c r="E50" s="40" t="n">
        <x:f>'调前玩家曲线'!E50</x:f>
        <x:v>1</x:v>
      </x:c>
      <x:c r="F50" s="40" t="n">
        <x:f>'调前玩家曲线'!F50</x:f>
        <x:v>5</x:v>
      </x:c>
      <x:c r="G50" s="63" t="n">
        <x:f>IF(B50&lt;$G$8,0,(INDEX('主线调参'!$C$11:$C$62,$AV50)+(INDEX('主线调参'!$C$11:$C$62,$AV50+1)-INDEX('主线调参'!$C$11:$C$62,$AV50))*$AW50)*'参数说明'!$C$27)</x:f>
        <x:v>0.36646820196773927</x:v>
      </x:c>
      <x:c r="H50" s="63" t="n">
        <x:f>IF(B50&lt;$H$8,0,(INDEX('主线调参'!$D$11:$D$62,$AV50)+(INDEX('主线调参'!$D$11:$D$62,$AV50+1)-INDEX('主线调参'!$D$11:$D$62,$AV50))*$AW50)*'参数说明'!$D$27)</x:f>
        <x:v>0.2413349184091897</x:v>
      </x:c>
      <x:c r="I50" s="63" t="n">
        <x:f>IF(B50&lt;$I$8,0,(INDEX('主线调参'!$E$11:$E$62,$AV50)+(INDEX('主线调参'!$E$11:$E$62,$AV50+1)-INDEX('主线调参'!$E$11:$E$62,$AV50))*$AW50)*'参数说明'!$E$27)</x:f>
        <x:v>0</x:v>
      </x:c>
      <x:c r="J50" s="63" t="n">
        <x:f>IF(B50&lt;$J$8,0,(INDEX('主线调参'!$F$11:$F$62,$AV50)+(INDEX('主线调参'!$F$11:$F$62,$AV50+1)-INDEX('主线调参'!$F$11:$F$62,$AV50))*$AW50)*'参数说明'!$F$27)</x:f>
        <x:v>0.045000000000000005</x:v>
      </x:c>
      <x:c r="K50" s="63" t="n">
        <x:f>IF(B50&lt;$K$8,0,(INDEX('主线调参'!$G$11:$G$62,$AV50)+(INDEX('主线调参'!$G$11:$G$62,$AV50+1)-INDEX('主线调参'!$G$11:$G$62,$AV50))*$AW50)*'参数说明'!$G$27)</x:f>
        <x:v>0</x:v>
      </x:c>
      <x:c r="L50" s="63" t="n">
        <x:f>IF(B50&lt;$L$8,0,(INDEX('主线调参'!$H$11:$H$62,$AV50)+(INDEX('主线调参'!$H$11:$H$62,$AV50+1)-INDEX('主线调参'!$H$11:$H$62,$AV50))*$AW50)*'参数说明'!$H$27)</x:f>
        <x:v>0.17923526241078033</x:v>
      </x:c>
      <x:c r="M50" s="59" t="n">
        <x:f>E50*'模块规划'!$F$10+G50*'模块规划'!$F$11+H50*'模块规划'!$F$13</x:f>
        <x:v>2759.0473694451484</x:v>
      </x:c>
      <x:c r="N50" s="59" t="n">
        <x:f>I50*'模块规划'!$F$15+J50*'模块规划'!$F$17+K50*'模块规划'!$F$16+L50*'模块规划'!$F$18</x:f>
        <x:v>1346.1763120539017</x:v>
      </x:c>
      <x:c r="O50" s="59" t="n">
        <x:f>1+O$9*SUMPRODUCT($H$10:$L$10,H50:L50)/SUM($H$10:$L$10)</x:f>
        <x:v>1.2809750663933352</x:v>
      </x:c>
      <x:c r="P50" s="59" t="n">
        <x:f>M50*O50+N50</x:f>
        <x:v>4880.447199311258</x:v>
      </x:c>
      <x:c r="Q50" s="59" t="n">
        <x:f>P50/(P50+'_曲线基线'!$L$2)</x:f>
        <x:v>0.16898793725838315</x:v>
      </x:c>
      <x:c r="R50" s="59" t="n">
        <x:f>E50*'模块规划'!$E$10+G50*'模块规划'!$E$11+H50*'模块规划'!$E$13</x:f>
        <x:v>4138.571054167723</x:v>
      </x:c>
      <x:c r="S50" s="59" t="n">
        <x:f>I50*'模块规划'!$E$15+J50*'模块规划'!$E$17+K50*'模块规划'!$E$16+L50*'模块规划'!$E$18</x:f>
        <x:v>2019.2644680808526</x:v>
      </x:c>
      <x:c r="T50" s="59" t="n">
        <x:f>1+T$9*SUMPRODUCT($H$10:$L$10,H50:L50)/SUM($H$10:$L$10)</x:f>
        <x:v>1.2809750663933352</x:v>
      </x:c>
      <x:c r="U50" s="59" t="n">
        <x:f>R50*T50+S50</x:f>
        <x:v>7320.670798966887</x:v>
      </x:c>
      <x:c r="V50" s="59" t="n">
        <x:f>V$8+(V$9-V$8)*H50</x:f>
        <x:v>0.7724004755227569</x:v>
      </x:c>
      <x:c r="W50" s="59" t="n">
        <x:f>IF(B50&lt;$H$8,0,W$8+(W$9-W$8)*H50)</x:f>
        <x:v>0.09653396736367588</x:v>
      </x:c>
      <x:c r="X50" s="59" t="n">
        <x:f>X$8+(X$9-X$8)*H50</x:f>
        <x:v>0.3413671025625272</x:v>
      </x:c>
      <x:c r="Y50" s="59" t="n">
        <x:f>Y$8+(Y$9-Y$8)*G50</x:f>
        <x:v>1</x:v>
      </x:c>
      <x:c r="Z50" s="59" t="n">
        <x:f>Z$8+(Z$9-Z$8)*H50</x:f>
        <x:v>1</x:v>
      </x:c>
      <x:c r="AA50" s="59" t="n">
        <x:f>AA$8+(AA$9-AA$8)*I50</x:f>
        <x:v>1</x:v>
      </x:c>
      <x:c r="AB50" s="59" t="n">
        <x:f>AB$8+(AB$9-AB$8)*J50</x:f>
        <x:v>1</x:v>
      </x:c>
      <x:c r="AC50" s="59" t="n">
        <x:f>AC$8+(AC$9-AC$8)*MAX(K50,L50)</x:f>
        <x:v>1</x:v>
      </x:c>
      <x:c r="AD50" s="59" t="n">
        <x:f>(V50*AE50+W50*AF50+X50*AG50)*PRODUCT(Y50:AC50)</x:f>
        <x:v>1.227698075559556</x:v>
      </x:c>
      <x:c r="AE50" s="59" t="n">
        <x:f>1+AE$9*($H$10*H50+$I$10*I50+$J$10*J50+$K$10*K50+$L$10*L50)</x:f>
        <x:v>1</x:v>
      </x:c>
      <x:c r="AF50" s="59" t="n">
        <x:f>1+AF$9*($H$10*H50+$I$10*I50+$J$10*J50+$K$10*K50+$L$10*L50)</x:f>
        <x:v>1.0247986090986831</x:v>
      </x:c>
      <x:c r="AG50" s="59" t="n">
        <x:f>1+AG$9*($H$10*H50+$I$10*I50+$J$10*J50+$K$10*K50+$L$10*L50)</x:f>
        <x:v>1.0439486461248886</x:v>
      </x:c>
      <x:c r="AH50" s="59" t="n">
        <x:f>MIN(1,'_曲线基线'!$L$3+AH$9*($H$10*H50+$I$10*I50+$J$10*J50+$K$10*K50+$L$10*L50))</x:f>
        <x:v>0.10641683569950387</x:v>
      </x:c>
      <x:c r="AI50" s="59" t="n">
        <x:f>'_曲线基线'!$L$4+AI$9*($H$10*H50+$I$10*I50+$J$10*J50+$K$10*K50+$L$10*L50)</x:f>
        <x:v>2.1571611851629036</x:v>
      </x:c>
      <x:c r="AJ50" s="59" t="n">
        <x:f>1+AJ$9*($H$10*H50+$I$10*I50+$J$10*J50+$K$10*K50+$L$10*L50)</x:f>
        <x:v>1.1289527673131516</x:v>
      </x:c>
      <x:c r="AK50" s="59" t="n">
        <x:f>(1+AH50*(AI50-1))*AJ50</x:f>
        <x:v>1.2679736274235858</x:v>
      </x:c>
      <x:c r="AL50" s="59" t="n">
        <x:f>U50*AD50*AK50*F50</x:f>
        <x:v>56980.0305564188</x:v>
      </x:c>
      <x:c r="AM50" s="59" t="n">
        <x:f>IF($B50&lt;AM$8,0,AM$3+(AM$4-AM$3)*(POWER(AM$5,$B50-AM$8)-1)/(POWER(AM$5,$C$5-AM$8)-1))</x:f>
        <x:v>35.61689876794947</x:v>
      </x:c>
      <x:c r="AN50" s="59" t="n">
        <x:f>(((E50*'模块规划'!$D$10+G50*'模块规划'!$D$11+H50*'模块规划'!$D$13)*(1+'模块规划'!$G$14*H50)+(I50*'模块规划'!$D$15+J50*'模块规划'!$D$17+K50*'模块规划'!$D$16+L50*'模块规划'!$D$18))*(1+'模块规划'!$J$17*J50))*F50/(1-Q50)</x:f>
        <x:v>149171.5804907562</x:v>
      </x:c>
      <x:c r="AO50" s="59" t="n">
        <x:f>AL50*AM50</x:f>
        <x:v>2029451.980122636</x:v>
      </x:c>
      <x:c r="AP50" s="61" t="n">
        <x:f>IF(AO50="","",INDEX('_曲线基线'!$A$3:$A$502,MIN(ROWS('_曲线基线'!$A$3:$A$502),COUNTIF('_曲线基线'!$E$3:$E$502,"&lt;"&amp;AO50)+1)))</x:f>
        <x:v>75</x:v>
      </x:c>
      <x:c r="AQ50" s="61" t="n">
        <x:f>IF(B50&lt;=2,1,IF(B50&lt;=6,2,IF(B50&lt;=9,3,IF(B50&lt;=19,4,5))))</x:f>
        <x:v>5</x:v>
      </x:c>
      <x:c r="AR50" s="59" t="n">
        <x:f>AN50*(1-Q50)/F50*$AS$3+U50*$AS$4+P50*$AS$5</x:f>
        <x:v>2207.91445662968</x:v>
      </x:c>
      <x:c r="AS50" s="59" t="n">
        <x:f>1+AH50*$AS$6+AI50*$AS$7+(AJ50-1)*$AS$8+($H$10*H50+$I$10*I50+$J$10*J50+$K$10*K50+$L$10*L50)*$AU$3*$AS$9+($H$10*H50+$I$10*I50+$J$10*J50+$K$10*K50+$L$10*L50)*$AU$4*$AS$10</x:f>
        <x:v>6.463325071065899</x:v>
      </x:c>
      <x:c r="AT50" s="60" t="n">
        <x:f>ROUND(AR50*AS50,0)</x:f>
        <x:v>14270</x:v>
      </x:c>
      <x:c r="AU50" s="60" t="n">
        <x:f>ROUND(AT50*F50,0)</x:f>
        <x:v>71350</x:v>
      </x:c>
      <x:c r="AV50" s="60" t="n">
        <x:f>MIN(MATCH(B50,'主线调参'!$M$11:$M$62,1),ROWS('主线调参'!$M$11:$M$62)-1)</x:f>
        <x:v>19</x:v>
      </x:c>
      <x:c r="AW50" s="62" t="n">
        <x:f>(B50-INDEX('主线调参'!$M$11:$M$62,AV50))/(INDEX('主线调参'!$M$11:$M$62,AV50+1)-INDEX('主线调参'!$M$11:$M$62,AV50))</x:f>
        <x:v>0</x:v>
      </x:c>
      <x:c r="AX50" s="60" t="n">
        <x:f>IF(AU50=0,0,ROUND(AU50,2-INT(LOG10(ABS(AU50)))))</x:f>
        <x:v>71400</x:v>
      </x:c>
      <x:c r="AY50" s="62" t="n">
        <x:f>AU50/AU49-1</x:f>
        <x:v>0.044961921499707014</x:v>
      </x:c>
    </x:row>
    <x:row r="51" ht="25" customHeight="1">
      <x:c r="A51" s="40" t="n">
        <x:f>'调前玩家曲线'!A51</x:f>
        <x:v>22</x:v>
      </x:c>
      <x:c r="B51" s="40" t="n">
        <x:f>'调前玩家曲线'!B51</x:f>
        <x:v>40</x:v>
      </x:c>
      <x:c r="C51" s="40" t="n">
        <x:f>'调前玩家曲线'!C51</x:f>
        <x:v>4</x:v>
      </x:c>
      <x:c r="D51" s="40" t="n">
        <x:f>'调前玩家曲线'!D51</x:f>
        <x:v>1</x:v>
      </x:c>
      <x:c r="E51" s="40" t="n">
        <x:f>'调前玩家曲线'!E51</x:f>
        <x:v>1</x:v>
      </x:c>
      <x:c r="F51" s="40" t="n">
        <x:f>'调前玩家曲线'!F51</x:f>
        <x:v>5</x:v>
      </x:c>
      <x:c r="G51" s="63" t="n">
        <x:f>IF(B51&lt;$G$8,0,(INDEX('主线调参'!$C$11:$C$62,$AV51)+(INDEX('主线调参'!$C$11:$C$62,$AV51+1)-INDEX('主线调参'!$C$11:$C$62,$AV51))*$AW51)*'参数说明'!$C$27)</x:f>
        <x:v>0.3722561296666454</x:v>
      </x:c>
      <x:c r="H51" s="63" t="n">
        <x:f>IF(B51&lt;$H$8,0,(INDEX('主线调参'!$D$11:$D$62,$AV51)+(INDEX('主线调参'!$D$11:$D$62,$AV51+1)-INDEX('主线调参'!$D$11:$D$62,$AV51))*$AW51)*'参数说明'!$D$27)</x:f>
        <x:v>0.24770141499280726</x:v>
      </x:c>
      <x:c r="I51" s="63" t="n">
        <x:f>IF(B51&lt;$I$8,0,(INDEX('主线调参'!$E$11:$E$62,$AV51)+(INDEX('主线调参'!$E$11:$E$62,$AV51+1)-INDEX('主线调参'!$E$11:$E$62,$AV51))*$AW51)*'参数说明'!$E$27)</x:f>
        <x:v>0</x:v>
      </x:c>
      <x:c r="J51" s="63" t="n">
        <x:f>IF(B51&lt;$J$8,0,(INDEX('主线调参'!$F$11:$F$62,$AV51)+(INDEX('主线调参'!$F$11:$F$62,$AV51+1)-INDEX('主线调参'!$F$11:$F$62,$AV51))*$AW51)*'参数说明'!$F$27)</x:f>
        <x:v>0.05025</x:v>
      </x:c>
      <x:c r="K51" s="63" t="n">
        <x:f>IF(B51&lt;$K$8,0,(INDEX('主线调参'!$G$11:$G$62,$AV51)+(INDEX('主线调参'!$G$11:$G$62,$AV51+1)-INDEX('主线调参'!$G$11:$G$62,$AV51))*$AW51)*'参数说明'!$G$27)</x:f>
        <x:v>0</x:v>
      </x:c>
      <x:c r="L51" s="63" t="n">
        <x:f>IF(B51&lt;$L$8,0,(INDEX('主线调参'!$H$11:$H$62,$AV51)+(INDEX('主线调参'!$H$11:$H$62,$AV51+1)-INDEX('主线调参'!$H$11:$H$62,$AV51))*$AW51)*'参数说明'!$H$27)</x:f>
        <x:v>0.1837352624107803</x:v>
      </x:c>
      <x:c r="M51" s="59" t="n">
        <x:f>E51*'模块规划'!$F$10+G51*'模块规划'!$F$11+H51*'模块规划'!$F$13</x:f>
        <x:v>2786.829422399898</x:v>
      </x:c>
      <x:c r="N51" s="59" t="n">
        <x:f>I51*'模块规划'!$F$15+J51*'模块规划'!$F$17+K51*'模块规划'!$F$16+L51*'模块规划'!$F$18</x:f>
        <x:v>1421.1763120539017</x:v>
      </x:c>
      <x:c r="O51" s="59" t="n">
        <x:f>1+O$9*SUMPRODUCT($H$10:$L$10,H51:L51)/SUM($H$10:$L$10)</x:f>
        <x:v>1.2960582062485</x:v>
      </x:c>
      <x:c r="P51" s="59" t="n">
        <x:f>M51*O51+N51</x:f>
        <x:v>5033.0694543700565</x:v>
      </x:c>
      <x:c r="Q51" s="59" t="n">
        <x:f>P51/(P51+'_曲线基线'!$L$2)</x:f>
        <x:v>0.1733564362624593</x:v>
      </x:c>
      <x:c r="R51" s="59" t="n">
        <x:f>E51*'模块规划'!$E$10+G51*'模块规划'!$E$11+H51*'模块规划'!$E$13</x:f>
        <x:v>4180.2441335998465</x:v>
      </x:c>
      <x:c r="S51" s="59" t="n">
        <x:f>I51*'模块规划'!$E$15+J51*'模块规划'!$E$17+K51*'模块规划'!$E$16+L51*'模块规划'!$E$18</x:f>
        <x:v>2131.7644680808526</x:v>
      </x:c>
      <x:c r="T51" s="59" t="n">
        <x:f>1+T$9*SUMPRODUCT($H$10:$L$10,H51:L51)/SUM($H$10:$L$10)</x:f>
        <x:v>1.2960582062485</x:v>
      </x:c>
      <x:c r="U51" s="59" t="n">
        <x:f>R51*T51+S51</x:f>
        <x:v>7549.604181555084</x:v>
      </x:c>
      <x:c r="V51" s="59" t="n">
        <x:f>V$8+(V$9-V$8)*H51</x:f>
        <x:v>0.7743104244978422</x:v>
      </x:c>
      <x:c r="W51" s="59" t="n">
        <x:f>IF(B51&lt;$H$8,0,W$8+(W$9-W$8)*H51)</x:f>
        <x:v>0.09908056599712291</x:v>
      </x:c>
      <x:c r="X51" s="59" t="n">
        <x:f>X$8+(X$9-X$8)*H51</x:f>
        <x:v>0.343117889123022</x:v>
      </x:c>
      <x:c r="Y51" s="59" t="n">
        <x:f>Y$8+(Y$9-Y$8)*G51</x:f>
        <x:v>1</x:v>
      </x:c>
      <x:c r="Z51" s="59" t="n">
        <x:f>Z$8+(Z$9-Z$8)*H51</x:f>
        <x:v>1</x:v>
      </x:c>
      <x:c r="AA51" s="59" t="n">
        <x:f>AA$8+(AA$9-AA$8)*I51</x:f>
        <x:v>1</x:v>
      </x:c>
      <x:c r="AB51" s="59" t="n">
        <x:f>AB$8+(AB$9-AB$8)*J51</x:f>
        <x:v>1</x:v>
      </x:c>
      <x:c r="AC51" s="59" t="n">
        <x:f>AC$8+(AC$9-AC$8)*MAX(K51,L51)</x:f>
        <x:v>1</x:v>
      </x:c>
      <x:c r="AD51" s="59" t="n">
        <x:f>(V51*AE51+W51*AF51+X51*AG51)*PRODUCT(Y51:AC51)</x:f>
        <x:v>1.2349868975230671</x:v>
      </x:c>
      <x:c r="AE51" s="59" t="n">
        <x:f>1+AE$9*($H$10*H51+$I$10*I51+$J$10*J51+$K$10*K51+$L$10*L51)</x:f>
        <x:v>1</x:v>
      </x:c>
      <x:c r="AF51" s="59" t="n">
        <x:f>1+AF$9*($H$10*H51+$I$10*I51+$J$10*J51+$K$10*K51+$L$10*L51)</x:f>
        <x:v>1.0261298335879243</x:v>
      </x:c>
      <x:c r="AG51" s="59" t="n">
        <x:f>1+AG$9*($H$10*H51+$I$10*I51+$J$10*J51+$K$10*K51+$L$10*L51)</x:f>
        <x:v>1.0463078717474885</x:v>
      </x:c>
      <x:c r="AH51" s="59" t="n">
        <x:f>MIN(1,'_曲线基线'!$L$3+AH$9*($H$10*H51+$I$10*I51+$J$10*J51+$K$10*K51+$L$10*L51))</x:f>
        <x:v>0.10944537141252775</x:v>
      </x:c>
      <x:c r="AI51" s="59" t="n">
        <x:f>'_曲线基线'!$L$4+AI$9*($H$10*H51+$I$10*I51+$J$10*J51+$K$10*K51+$L$10*L51)</x:f>
        <x:v>2.16559782036347</x:v>
      </x:c>
      <x:c r="AJ51" s="59" t="n">
        <x:f>1+AJ$9*($H$10*H51+$I$10*I51+$J$10*J51+$K$10*K51+$L$10*L51)</x:f>
        <x:v>1.1358751346572062</x:v>
      </x:c>
      <x:c r="AK51" s="59" t="n">
        <x:f>(1+AH51*(AI51-1))*AJ51</x:f>
        <x:v>1.2807779149878014</x:v>
      </x:c>
      <x:c r="AL51" s="59" t="n">
        <x:f>U51*AD51*AK51*F51</x:f>
        <x:v>59707.703455528346</x:v>
      </x:c>
      <x:c r="AM51" s="59" t="n">
        <x:f>IF($B51&lt;AM$8,0,AM$3+(AM$4-AM$3)*(POWER(AM$5,$B51-AM$8)-1)/(POWER(AM$5,$C$5-AM$8)-1))</x:f>
        <x:v>35.63649239555084</x:v>
      </x:c>
      <x:c r="AN51" s="59" t="n">
        <x:f>(((E51*'模块规划'!$D$10+G51*'模块规划'!$D$11+H51*'模块规划'!$D$13)*(1+'模块规划'!$G$14*H51)+(I51*'模块规划'!$D$15+J51*'模块规划'!$D$17+K51*'模块规划'!$D$16+L51*'模块规划'!$D$18))*(1+'模块规划'!$J$17*J51))*F51/(1-Q51)</x:f>
        <x:v>154857.631643349</x:v>
      </x:c>
      <x:c r="AO51" s="59" t="n">
        <x:f>AL51*AM51</x:f>
        <x:v>2127773.1201487402</x:v>
      </x:c>
      <x:c r="AP51" s="61" t="n">
        <x:f>IF(AO51="","",INDEX('_曲线基线'!$A$3:$A$502,MIN(ROWS('_曲线基线'!$A$3:$A$502),COUNTIF('_曲线基线'!$E$3:$E$502,"&lt;"&amp;AO51)+1)))</x:f>
        <x:v>77</x:v>
      </x:c>
      <x:c r="AQ51" s="61" t="n">
        <x:f>IF(B51&lt;=2,1,IF(B51&lt;=6,2,IF(B51&lt;=9,3,IF(B51&lt;=19,4,5))))</x:f>
        <x:v>5</x:v>
      </x:c>
      <x:c r="AR51" s="59" t="n">
        <x:f>AN51*(1-Q51)/F51*$AS$3+U51*$AS$4+P51*$AS$5</x:f>
        <x:v>2277.993223272697</x:v>
      </x:c>
      <x:c r="AS51" s="59" t="n">
        <x:f>1+AH51*$AS$6+AI51*$AS$7+(AJ51-1)*$AS$8+($H$10*H51+$I$10*I51+$J$10*J51+$K$10*K51+$L$10*L51)*$AU$3*$AS$9+($H$10*H51+$I$10*I51+$J$10*J51+$K$10*K51+$L$10*L51)*$AU$4*$AS$10</x:f>
        <x:v>6.54286724690189</x:v>
      </x:c>
      <x:c r="AT51" s="60" t="n">
        <x:f>ROUND(AR51*AS51,0)</x:f>
        <x:v>14905</x:v>
      </x:c>
      <x:c r="AU51" s="60" t="n">
        <x:f>ROUND(AT51*F51,0)</x:f>
        <x:v>74525</x:v>
      </x:c>
      <x:c r="AV51" s="60" t="n">
        <x:f>MIN(MATCH(B51,'主线调参'!$M$11:$M$62,1),ROWS('主线调参'!$M$11:$M$62)-1)</x:f>
        <x:v>20</x:v>
      </x:c>
      <x:c r="AW51" s="62" t="n">
        <x:f>(B51-INDEX('主线调参'!$M$11:$M$62,AV51))/(INDEX('主线调参'!$M$11:$M$62,AV51+1)-INDEX('主线调参'!$M$11:$M$62,AV51))</x:f>
        <x:v>0</x:v>
      </x:c>
      <x:c r="AX51" s="60" t="n">
        <x:f>IF(AU51=0,0,ROUND(AU51,2-INT(LOG10(ABS(AU51)))))</x:f>
        <x:v>74500</x:v>
      </x:c>
      <x:c r="AY51" s="62" t="n">
        <x:f>AU51/AU50-1</x:f>
        <x:v>0.04449894884372818</x:v>
      </x:c>
    </x:row>
    <x:row r="52" ht="25" customHeight="1">
      <x:c r="A52" s="40" t="n">
        <x:f>'调前玩家曲线'!A52</x:f>
        <x:v>22</x:v>
      </x:c>
      <x:c r="B52" s="40" t="n">
        <x:f>'调前玩家曲线'!B52</x:f>
        <x:v>41</x:v>
      </x:c>
      <x:c r="C52" s="40" t="n">
        <x:f>'调前玩家曲线'!C52</x:f>
        <x:v>4</x:v>
      </x:c>
      <x:c r="D52" s="40" t="n">
        <x:f>'调前玩家曲线'!D52</x:f>
        <x:v>2</x:v>
      </x:c>
      <x:c r="E52" s="40" t="n">
        <x:f>'调前玩家曲线'!E52</x:f>
        <x:v>1</x:v>
      </x:c>
      <x:c r="F52" s="40" t="n">
        <x:f>'调前玩家曲线'!F52</x:f>
        <x:v>5</x:v>
      </x:c>
      <x:c r="G52" s="63" t="n">
        <x:f>IF(B52&lt;$G$8,0,(INDEX('主线调参'!$C$11:$C$62,$AV52)+(INDEX('主线调参'!$C$11:$C$62,$AV52+1)-INDEX('主线调参'!$C$11:$C$62,$AV52))*$AW52)*'参数说明'!$C$27)</x:f>
        <x:v>0.3774333964408005</x:v>
      </x:c>
      <x:c r="H52" s="63" t="n">
        <x:f>IF(B52&lt;$H$8,0,(INDEX('主线调参'!$D$11:$D$62,$AV52)+(INDEX('主线调参'!$D$11:$D$62,$AV52+1)-INDEX('主线调参'!$D$11:$D$62,$AV52))*$AW52)*'参数说明'!$D$27)</x:f>
        <x:v>0.25319094707562073</x:v>
      </x:c>
      <x:c r="I52" s="63" t="n">
        <x:f>IF(B52&lt;$I$8,0,(INDEX('主线调参'!$E$11:$E$62,$AV52)+(INDEX('主线调参'!$E$11:$E$62,$AV52+1)-INDEX('主线调参'!$E$11:$E$62,$AV52))*$AW52)*'参数说明'!$E$27)</x:f>
        <x:v>0</x:v>
      </x:c>
      <x:c r="J52" s="63" t="n">
        <x:f>IF(B52&lt;$J$8,0,(INDEX('主线调参'!$F$11:$F$62,$AV52)+(INDEX('主线调参'!$F$11:$F$62,$AV52+1)-INDEX('主线调参'!$F$11:$F$62,$AV52))*$AW52)*'参数说明'!$F$27)</x:f>
        <x:v>0.05734112384977115</x:v>
      </x:c>
      <x:c r="K52" s="63" t="n">
        <x:f>IF(B52&lt;$K$8,0,(INDEX('主线调参'!$G$11:$G$62,$AV52)+(INDEX('主线调参'!$G$11:$G$62,$AV52+1)-INDEX('主线调参'!$G$11:$G$62,$AV52))*$AW52)*'参数说明'!$G$27)</x:f>
        <x:v>0</x:v>
      </x:c>
      <x:c r="L52" s="63" t="n">
        <x:f>IF(B52&lt;$L$8,0,(INDEX('主线调参'!$H$11:$H$62,$AV52)+(INDEX('主线调参'!$H$11:$H$62,$AV52+1)-INDEX('主线调参'!$H$11:$H$62,$AV52))*$AW52)*'参数说明'!$H$27)</x:f>
        <x:v>0.19030752353983646</x:v>
      </x:c>
      <x:c r="M52" s="59" t="n">
        <x:f>E52*'模块规划'!$F$10+G52*'模块规划'!$F$11+H52*'模块规划'!$F$13</x:f>
        <x:v>2811.6803029158423</x:v>
      </x:c>
      <x:c r="N52" s="59" t="n">
        <x:f>I52*'模块规划'!$F$15+J52*'模块规划'!$F$17+K52*'模块规划'!$F$16+L52*'模块规划'!$F$18</x:f>
        <x:v>1524.9488561968938</x:v>
      </x:c>
      <x:c r="O52" s="59" t="n">
        <x:f>1+O$9*SUMPRODUCT($H$10:$L$10,H52:L52)/SUM($H$10:$L$10)</x:f>
        <x:v>1.3153883570001943</x:v>
      </x:c>
      <x:c r="P52" s="59" t="n">
        <x:f>M52*O52+N52</x:f>
        <x:v>5223.400390259172</x:v>
      </x:c>
      <x:c r="Q52" s="59" t="n">
        <x:f>P52/(P52+'_曲线基线'!$L$2)</x:f>
        <x:v>0.17874033550182788</x:v>
      </x:c>
      <x:c r="R52" s="59" t="n">
        <x:f>E52*'模块规划'!$E$10+G52*'模块规划'!$E$11+H52*'模块规划'!$E$13</x:f>
        <x:v>4217.520454373764</x:v>
      </x:c>
      <x:c r="S52" s="59" t="n">
        <x:f>I52*'模块规划'!$E$15+J52*'模块规划'!$E$17+K52*'模块规划'!$E$16+L52*'模块规划'!$E$18</x:f>
        <x:v>2287.4232842953406</x:v>
      </x:c>
      <x:c r="T52" s="59" t="n">
        <x:f>1+T$9*SUMPRODUCT($H$10:$L$10,H52:L52)/SUM($H$10:$L$10)</x:f>
        <x:v>1.3153883570001943</x:v>
      </x:c>
      <x:c r="U52" s="59" t="n">
        <x:f>R52*T52+S52</x:f>
        <x:v>7835.100585388758</x:v>
      </x:c>
      <x:c r="V52" s="59" t="n">
        <x:f>V$8+(V$9-V$8)*H52</x:f>
        <x:v>0.7759572841226862</x:v>
      </x:c>
      <x:c r="W52" s="59" t="n">
        <x:f>IF(B52&lt;$H$8,0,W$8+(W$9-W$8)*H52)</x:f>
        <x:v>0.1012763788302483</x:v>
      </x:c>
      <x:c r="X52" s="59" t="n">
        <x:f>X$8+(X$9-X$8)*H52</x:f>
        <x:v>0.34462751044579576</x:v>
      </x:c>
      <x:c r="Y52" s="59" t="n">
        <x:f>Y$8+(Y$9-Y$8)*G52</x:f>
        <x:v>1</x:v>
      </x:c>
      <x:c r="Z52" s="59" t="n">
        <x:f>Z$8+(Z$9-Z$8)*H52</x:f>
        <x:v>1</x:v>
      </x:c>
      <x:c r="AA52" s="59" t="n">
        <x:f>AA$8+(AA$9-AA$8)*I52</x:f>
        <x:v>1</x:v>
      </x:c>
      <x:c r="AB52" s="59" t="n">
        <x:f>AB$8+(AB$9-AB$8)*J52</x:f>
        <x:v>1</x:v>
      </x:c>
      <x:c r="AC52" s="59" t="n">
        <x:f>AC$8+(AC$9-AC$8)*MAX(K52,L52)</x:f>
        <x:v>1</x:v>
      </x:c>
      <x:c r="AD52" s="59" t="n">
        <x:f>(V52*AE52+W52*AF52+X52*AG52)*PRODUCT(Y52:AC52)</x:f>
        <x:v>1.2416812470913328</x:v>
      </x:c>
      <x:c r="AE52" s="59" t="n">
        <x:f>1+AE$9*($H$10*H52+$I$10*I52+$J$10*J52+$K$10*K52+$L$10*L52)</x:f>
        <x:v>1</x:v>
      </x:c>
      <x:c r="AF52" s="59" t="n">
        <x:f>1+AF$9*($H$10*H52+$I$10*I52+$J$10*J52+$K$10*K52+$L$10*L52)</x:f>
        <x:v>1.0278358954761304</x:v>
      </x:c>
      <x:c r="AG52" s="59" t="n">
        <x:f>1+AG$9*($H$10*H52+$I$10*I52+$J$10*J52+$K$10*K52+$L$10*L52)</x:f>
        <x:v>1.049331392538254</x:v>
      </x:c>
      <x:c r="AH52" s="59" t="n">
        <x:f>MIN(1,'_曲线基线'!$L$3+AH$9*($H$10*H52+$I$10*I52+$J$10*J52+$K$10*K52+$L$10*L52))</x:f>
        <x:v>0.11332666220819686</x:v>
      </x:c>
      <x:c r="AI52" s="59" t="n">
        <x:f>'_曲线基线'!$L$4+AI$9*($H$10*H52+$I$10*I52+$J$10*J52+$K$10*K52+$L$10*L52)</x:f>
        <x:v>2.176409987579977</x:v>
      </x:c>
      <x:c r="AJ52" s="59" t="n">
        <x:f>1+AJ$9*($H$10*H52+$I$10*I52+$J$10*J52+$K$10*K52+$L$10*L52)</x:f>
        <x:v>1.1447466564758786</x:v>
      </x:c>
      <x:c r="AK52" s="59" t="n">
        <x:f>(1+AH52*(AI52-1))*AJ52</x:f>
        <x:v>1.2973626978540904</x:v>
      </x:c>
      <x:c r="AL52" s="59" t="n">
        <x:f>U52*AD52*AK52*F52</x:f>
        <x:v>63108.24595516575</x:v>
      </x:c>
      <x:c r="AM52" s="59" t="n">
        <x:f>IF($B52&lt;AM$8,0,AM$3+(AM$4-AM$3)*(POWER(AM$5,$B52-AM$8)-1)/(POWER(AM$5,$C$5-AM$8)-1))</x:f>
        <x:v>35.65628195942821</x:v>
      </x:c>
      <x:c r="AN52" s="59" t="n">
        <x:f>(((E52*'模块规划'!$D$10+G52*'模块规划'!$D$11+H52*'模块规划'!$D$13)*(1+'模块规划'!$G$14*H52)+(I52*'模块规划'!$D$15+J52*'模块规划'!$D$17+K52*'模块规划'!$D$16+L52*'模块规划'!$D$18))*(1+'模块规划'!$J$17*J52))*F52/(1-Q52)</x:f>
        <x:v>161940.83180592075</x:v>
      </x:c>
      <x:c r="AO52" s="59" t="n">
        <x:f>AL52*AM52</x:f>
        <x:v>2250205.411742335</x:v>
      </x:c>
      <x:c r="AP52" s="61" t="n">
        <x:f>IF(AO52="","",INDEX('_曲线基线'!$A$3:$A$502,MIN(ROWS('_曲线基线'!$A$3:$A$502),COUNTIF('_曲线基线'!$E$3:$E$502,"&lt;"&amp;AO52)+1)))</x:f>
        <x:v>79</x:v>
      </x:c>
      <x:c r="AQ52" s="61" t="n">
        <x:f>IF(B52&lt;=2,1,IF(B52&lt;=6,2,IF(B52&lt;=9,3,IF(B52&lt;=19,4,5))))</x:f>
        <x:v>5</x:v>
      </x:c>
      <x:c r="AR52" s="59" t="n">
        <x:f>AN52*(1-Q52)/F52*$AS$3+U52*$AS$4+P52*$AS$5</x:f>
        <x:v>2364.9929562626644</x:v>
      </x:c>
      <x:c r="AS52" s="59" t="n">
        <x:f>1+AH52*$AS$6+AI52*$AS$7+(AJ52-1)*$AS$8+($H$10*H52+$I$10*I52+$J$10*J52+$K$10*K52+$L$10*L52)*$AU$3*$AS$9+($H$10*H52+$I$10*I52+$J$10*J52+$K$10*K52+$L$10*L52)*$AU$4*$AS$10</x:f>
        <x:v>6.644806383235032</x:v>
      </x:c>
      <x:c r="AT52" s="60" t="n">
        <x:f>ROUND(AR52*AS52,0)</x:f>
        <x:v>15715</x:v>
      </x:c>
      <x:c r="AU52" s="60" t="n">
        <x:f>ROUND(AT52*F52,0)</x:f>
        <x:v>78575</x:v>
      </x:c>
      <x:c r="AV52" s="60" t="n">
        <x:f>MIN(MATCH(B52,'主线调参'!$M$11:$M$62,1),ROWS('主线调参'!$M$11:$M$62)-1)</x:f>
        <x:v>20</x:v>
      </x:c>
      <x:c r="AW52" s="62" t="n">
        <x:f>(B52-INDEX('主线调参'!$M$11:$M$62,AV52))/(INDEX('主线调参'!$M$11:$M$62,AV52+1)-INDEX('主线调参'!$M$11:$M$62,AV52))</x:f>
        <x:v>0.07142857142857142</x:v>
      </x:c>
      <x:c r="AX52" s="60" t="n">
        <x:f>IF(AU52=0,0,ROUND(AU52,2-INT(LOG10(ABS(AU52)))))</x:f>
        <x:v>78600</x:v>
      </x:c>
      <x:c r="AY52" s="62" t="n">
        <x:f>AU52/AU51-1</x:f>
        <x:v>0.05434417980543449</x:v>
      </x:c>
    </x:row>
    <x:row r="53" ht="25" customHeight="1">
      <x:c r="A53" s="40" t="n">
        <x:f>'调前玩家曲线'!A53</x:f>
        <x:v>23</x:v>
      </x:c>
      <x:c r="B53" s="40" t="n">
        <x:f>'调前玩家曲线'!B53</x:f>
        <x:v>42</x:v>
      </x:c>
      <x:c r="C53" s="40" t="n">
        <x:f>'调前玩家曲线'!C53</x:f>
        <x:v>4</x:v>
      </x:c>
      <x:c r="D53" s="40" t="n">
        <x:f>'调前玩家曲线'!D53</x:f>
        <x:v>3</x:v>
      </x:c>
      <x:c r="E53" s="40" t="n">
        <x:f>'调前玩家曲线'!E53</x:f>
        <x:v>1</x:v>
      </x:c>
      <x:c r="F53" s="40" t="n">
        <x:f>'调前玩家曲线'!F53</x:f>
        <x:v>5</x:v>
      </x:c>
      <x:c r="G53" s="63" t="n">
        <x:f>IF(B53&lt;$G$8,0,(INDEX('主线调参'!$C$11:$C$62,$AV53)+(INDEX('主线调参'!$C$11:$C$62,$AV53+1)-INDEX('主线调参'!$C$11:$C$62,$AV53))*$AW53)*'参数说明'!$C$27)</x:f>
        <x:v>0.3826106632149555</x:v>
      </x:c>
      <x:c r="H53" s="63" t="n">
        <x:f>IF(B53&lt;$H$8,0,(INDEX('主线调参'!$D$11:$D$62,$AV53)+(INDEX('主线调参'!$D$11:$D$62,$AV53+1)-INDEX('主线调参'!$D$11:$D$62,$AV53))*$AW53)*'参数说明'!$D$27)</x:f>
        <x:v>0.2586804791584343</x:v>
      </x:c>
      <x:c r="I53" s="63" t="n">
        <x:f>IF(B53&lt;$I$8,0,(INDEX('主线调参'!$E$11:$E$62,$AV53)+(INDEX('主线调参'!$E$11:$E$62,$AV53+1)-INDEX('主线调参'!$E$11:$E$62,$AV53))*$AW53)*'参数说明'!$E$27)</x:f>
        <x:v>0</x:v>
      </x:c>
      <x:c r="J53" s="63" t="n">
        <x:f>IF(B53&lt;$J$8,0,(INDEX('主线调参'!$F$11:$F$62,$AV53)+(INDEX('主线调参'!$F$11:$F$62,$AV53+1)-INDEX('主线调参'!$F$11:$F$62,$AV53))*$AW53)*'参数说明'!$F$27)</x:f>
        <x:v>0.0644322476995423</x:v>
      </x:c>
      <x:c r="K53" s="63" t="n">
        <x:f>IF(B53&lt;$K$8,0,(INDEX('主线调参'!$G$11:$G$62,$AV53)+(INDEX('主线调参'!$G$11:$G$62,$AV53+1)-INDEX('主线调参'!$G$11:$G$62,$AV53))*$AW53)*'参数说明'!$G$27)</x:f>
        <x:v>0</x:v>
      </x:c>
      <x:c r="L53" s="63" t="n">
        <x:f>IF(B53&lt;$L$8,0,(INDEX('主线调参'!$H$11:$H$62,$AV53)+(INDEX('主线调参'!$H$11:$H$62,$AV53+1)-INDEX('主线调参'!$H$11:$H$62,$AV53))*$AW53)*'参数说明'!$H$27)</x:f>
        <x:v>0.19687978466889255</x:v>
      </x:c>
      <x:c r="M53" s="59" t="n">
        <x:f>E53*'模块规划'!$F$10+G53*'模块规划'!$F$11+H53*'模块规划'!$F$13</x:f>
        <x:v>2836.5311834317863</x:v>
      </x:c>
      <x:c r="N53" s="59" t="n">
        <x:f>I53*'模块规划'!$F$15+J53*'模块规划'!$F$17+K53*'模块规划'!$F$16+L53*'模块规划'!$F$18</x:f>
        <x:v>1628.7214003398858</x:v>
      </x:c>
      <x:c r="O53" s="59" t="n">
        <x:f>1+O$9*SUMPRODUCT($H$10:$L$10,H53:L53)/SUM($H$10:$L$10)</x:f>
        <x:v>1.3347185077518884</x:v>
      </x:c>
      <x:c r="P53" s="59" t="n">
        <x:f>M53*O53+N53</x:f>
        <x:v>5414.6920686816575</x:v>
      </x:c>
      <x:c r="Q53" s="59" t="n">
        <x:f>P53/(P53+'_曲线基线'!$L$2)</x:f>
        <x:v>0.18408120867077768</x:v>
      </x:c>
      <x:c r="R53" s="59" t="n">
        <x:f>E53*'模块规划'!$E$10+G53*'模块规划'!$E$11+H53*'模块规划'!$E$13</x:f>
        <x:v>4254.79677514768</x:v>
      </x:c>
      <x:c r="S53" s="59" t="n">
        <x:f>I53*'模块规划'!$E$15+J53*'模块规划'!$E$17+K53*'模块规划'!$E$16+L53*'模块规划'!$E$18</x:f>
        <x:v>2443.0821005098287</x:v>
      </x:c>
      <x:c r="T53" s="59" t="n">
        <x:f>1+T$9*SUMPRODUCT($H$10:$L$10,H53:L53)/SUM($H$10:$L$10)</x:f>
        <x:v>1.3347185077518884</x:v>
      </x:c>
      <x:c r="U53" s="59" t="n">
        <x:f>R53*T53+S53</x:f>
        <x:v>8122.038103022487</x:v>
      </x:c>
      <x:c r="V53" s="59" t="n">
        <x:f>V$8+(V$9-V$8)*H53</x:f>
        <x:v>0.7776041437475303</x:v>
      </x:c>
      <x:c r="W53" s="59" t="n">
        <x:f>IF(B53&lt;$H$8,0,W$8+(W$9-W$8)*H53)</x:f>
        <x:v>0.10347219166337372</x:v>
      </x:c>
      <x:c r="X53" s="59" t="n">
        <x:f>X$8+(X$9-X$8)*H53</x:f>
        <x:v>0.3461371317685695</x:v>
      </x:c>
      <x:c r="Y53" s="59" t="n">
        <x:f>Y$8+(Y$9-Y$8)*G53</x:f>
        <x:v>1</x:v>
      </x:c>
      <x:c r="Z53" s="59" t="n">
        <x:f>Z$8+(Z$9-Z$8)*H53</x:f>
        <x:v>1</x:v>
      </x:c>
      <x:c r="AA53" s="59" t="n">
        <x:f>AA$8+(AA$9-AA$8)*I53</x:f>
        <x:v>1</x:v>
      </x:c>
      <x:c r="AB53" s="59" t="n">
        <x:f>AB$8+(AB$9-AB$8)*J53</x:f>
        <x:v>1</x:v>
      </x:c>
      <x:c r="AC53" s="59" t="n">
        <x:f>AC$8+(AC$9-AC$8)*MAX(K53,L53)</x:f>
        <x:v>1</x:v>
      </x:c>
      <x:c r="AD53" s="59" t="n">
        <x:f>(V53*AE53+W53*AF53+X53*AG53)*PRODUCT(Y53:AC53)</x:f>
        <x:v>1.248392217787686</x:v>
      </x:c>
      <x:c r="AE53" s="59" t="n">
        <x:f>1+AE$9*($H$10*H53+$I$10*I53+$J$10*J53+$K$10*K53+$L$10*L53)</x:f>
        <x:v>1</x:v>
      </x:c>
      <x:c r="AF53" s="59" t="n">
        <x:f>1+AF$9*($H$10*H53+$I$10*I53+$J$10*J53+$K$10*K53+$L$10*L53)</x:f>
        <x:v>1.0295419573643367</x:v>
      </x:c>
      <x:c r="AG53" s="59" t="n">
        <x:f>1+AG$9*($H$10*H53+$I$10*I53+$J$10*J53+$K$10*K53+$L$10*L53)</x:f>
        <x:v>1.0523549133290193</x:v>
      </x:c>
      <x:c r="AH53" s="59" t="n">
        <x:f>MIN(1,'_曲线基线'!$L$3+AH$9*($H$10*H53+$I$10*I53+$J$10*J53+$K$10*K53+$L$10*L53))</x:f>
        <x:v>0.11720795300386598</x:v>
      </x:c>
      <x:c r="AI53" s="59" t="n">
        <x:f>'_曲线基线'!$L$4+AI$9*($H$10*H53+$I$10*I53+$J$10*J53+$K$10*K53+$L$10*L53)</x:f>
        <x:v>2.187222154796484</x:v>
      </x:c>
      <x:c r="AJ53" s="59" t="n">
        <x:f>1+AJ$9*($H$10*H53+$I$10*I53+$J$10*J53+$K$10*K53+$L$10*L53)</x:f>
        <x:v>1.153618178294551</x:v>
      </x:c>
      <x:c r="AK53" s="59" t="n">
        <x:f>(1+AH53*(AI53-1))*AJ53</x:f>
        <x:v>1.3141463149042893</x:v>
      </x:c>
      <x:c r="AL53" s="59" t="n">
        <x:f>U53*AD53*AK53*F53</x:f>
        <x:v>66623.86157568157</x:v>
      </x:c>
      <x:c r="AM53" s="59" t="n">
        <x:f>IF($B53&lt;AM$8,0,AM$3+(AM$4-AM$3)*(POWER(AM$5,$B53-AM$8)-1)/(POWER(AM$5,$C$5-AM$8)-1))</x:f>
        <x:v>35.676269418944365</x:v>
      </x:c>
      <x:c r="AN53" s="59" t="n">
        <x:f>(((E53*'模块规划'!$D$10+G53*'模块规划'!$D$11+H53*'模块规划'!$D$13)*(1+'模块规划'!$G$14*H53)+(I53*'模块规划'!$D$15+J53*'模块规划'!$D$17+K53*'模块规划'!$D$16+L53*'模块规划'!$D$18))*(1+'模块规划'!$J$17*J53))*F53/(1-Q53)</x:f>
        <x:v>169193.90679273073</x:v>
      </x:c>
      <x:c r="AO53" s="59" t="n">
        <x:f>AL53*AM53</x:f>
        <x:v>2376890.8353044707</x:v>
      </x:c>
      <x:c r="AP53" s="61" t="n">
        <x:f>IF(AO53="","",INDEX('_曲线基线'!$A$3:$A$502,MIN(ROWS('_曲线基线'!$A$3:$A$502),COUNTIF('_曲线基线'!$E$3:$E$502,"&lt;"&amp;AO53)+1)))</x:f>
        <x:v>81</x:v>
      </x:c>
      <x:c r="AQ53" s="61" t="n">
        <x:f>IF(B53&lt;=2,1,IF(B53&lt;=6,2,IF(B53&lt;=9,3,IF(B53&lt;=19,4,5))))</x:f>
        <x:v>5</x:v>
      </x:c>
      <x:c r="AR53" s="59" t="n">
        <x:f>AN53*(1-Q53)/F53*$AS$3+U53*$AS$4+P53*$AS$5</x:f>
        <x:v>2452.698548188061</x:v>
      </x:c>
      <x:c r="AS53" s="59" t="n">
        <x:f>1+AH53*$AS$6+AI53*$AS$7+(AJ53-1)*$AS$8+($H$10*H53+$I$10*I53+$J$10*J53+$K$10*K53+$L$10*L53)*$AU$3*$AS$9+($H$10*H53+$I$10*I53+$J$10*J53+$K$10*K53+$L$10*L53)*$AU$4*$AS$10</x:f>
        <x:v>6.746745519568174</x:v>
      </x:c>
      <x:c r="AT53" s="60" t="n">
        <x:f>ROUND(AR53*AS53,0)</x:f>
        <x:v>16548</x:v>
      </x:c>
      <x:c r="AU53" s="60" t="n">
        <x:f>ROUND(AT53*F53,0)</x:f>
        <x:v>82740</x:v>
      </x:c>
      <x:c r="AV53" s="60" t="n">
        <x:f>MIN(MATCH(B53,'主线调参'!$M$11:$M$62,1),ROWS('主线调参'!$M$11:$M$62)-1)</x:f>
        <x:v>20</x:v>
      </x:c>
      <x:c r="AW53" s="62" t="n">
        <x:f>(B53-INDEX('主线调参'!$M$11:$M$62,AV53))/(INDEX('主线调参'!$M$11:$M$62,AV53+1)-INDEX('主线调参'!$M$11:$M$62,AV53))</x:f>
        <x:v>0.14285714285714285</x:v>
      </x:c>
      <x:c r="AX53" s="60" t="n">
        <x:f>IF(AU53=0,0,ROUND(AU53,2-INT(LOG10(ABS(AU53)))))</x:f>
        <x:v>82700</x:v>
      </x:c>
      <x:c r="AY53" s="62" t="n">
        <x:f>AU53/AU52-1</x:f>
        <x:v>0.05300668151447652</x:v>
      </x:c>
    </x:row>
    <x:row r="54" ht="25" customHeight="1">
      <x:c r="A54" s="40" t="n">
        <x:f>'调前玩家曲线'!A54</x:f>
        <x:v>23</x:v>
      </x:c>
      <x:c r="B54" s="40" t="n">
        <x:f>'调前玩家曲线'!B54</x:f>
        <x:v>43</x:v>
      </x:c>
      <x:c r="C54" s="40" t="n">
        <x:f>'调前玩家曲线'!C54</x:f>
        <x:v>4</x:v>
      </x:c>
      <x:c r="D54" s="40" t="n">
        <x:f>'调前玩家曲线'!D54</x:f>
        <x:v>4</x:v>
      </x:c>
      <x:c r="E54" s="40" t="n">
        <x:f>'调前玩家曲线'!E54</x:f>
        <x:v>1</x:v>
      </x:c>
      <x:c r="F54" s="40" t="n">
        <x:f>'调前玩家曲线'!F54</x:f>
        <x:v>5</x:v>
      </x:c>
      <x:c r="G54" s="63" t="n">
        <x:f>IF(B54&lt;$G$8,0,(INDEX('主线调参'!$C$11:$C$62,$AV54)+(INDEX('主线调参'!$C$11:$C$62,$AV54+1)-INDEX('主线调参'!$C$11:$C$62,$AV54))*$AW54)*'参数说明'!$C$27)</x:f>
        <x:v>0.3877879299891106</x:v>
      </x:c>
      <x:c r="H54" s="63" t="n">
        <x:f>IF(B54&lt;$H$8,0,(INDEX('主线调参'!$D$11:$D$62,$AV54)+(INDEX('主线调参'!$D$11:$D$62,$AV54+1)-INDEX('主线调参'!$D$11:$D$62,$AV54))*$AW54)*'参数说明'!$D$27)</x:f>
        <x:v>0.2641700112412478</x:v>
      </x:c>
      <x:c r="I54" s="63" t="n">
        <x:f>IF(B54&lt;$I$8,0,(INDEX('主线调参'!$E$11:$E$62,$AV54)+(INDEX('主线调参'!$E$11:$E$62,$AV54+1)-INDEX('主线调参'!$E$11:$E$62,$AV54))*$AW54)*'参数说明'!$E$27)</x:f>
        <x:v>0</x:v>
      </x:c>
      <x:c r="J54" s="63" t="n">
        <x:f>IF(B54&lt;$J$8,0,(INDEX('主线调参'!$F$11:$F$62,$AV54)+(INDEX('主线调参'!$F$11:$F$62,$AV54+1)-INDEX('主线调参'!$F$11:$F$62,$AV54))*$AW54)*'参数说明'!$F$27)</x:f>
        <x:v>0.07152337154931344</x:v>
      </x:c>
      <x:c r="K54" s="63" t="n">
        <x:f>IF(B54&lt;$K$8,0,(INDEX('主线调参'!$G$11:$G$62,$AV54)+(INDEX('主线调参'!$G$11:$G$62,$AV54+1)-INDEX('主线调参'!$G$11:$G$62,$AV54))*$AW54)*'参数说明'!$G$27)</x:f>
        <x:v>0</x:v>
      </x:c>
      <x:c r="L54" s="63" t="n">
        <x:f>IF(B54&lt;$L$8,0,(INDEX('主线调参'!$H$11:$H$62,$AV54)+(INDEX('主线调参'!$H$11:$H$62,$AV54+1)-INDEX('主线调参'!$H$11:$H$62,$AV54))*$AW54)*'参数说明'!$H$27)</x:f>
        <x:v>0.2034520457979487</x:v>
      </x:c>
      <x:c r="M54" s="59" t="n">
        <x:f>E54*'模块规划'!$F$10+G54*'模块规划'!$F$11+H54*'模块规划'!$F$13</x:f>
        <x:v>2861.382063947731</x:v>
      </x:c>
      <x:c r="N54" s="59" t="n">
        <x:f>I54*'模块规划'!$F$15+J54*'模块规划'!$F$17+K54*'模块规划'!$F$16+L54*'模块规划'!$F$18</x:f>
        <x:v>1732.4939444828779</x:v>
      </x:c>
      <x:c r="O54" s="59" t="n">
        <x:f>1+O$9*SUMPRODUCT($H$10:$L$10,H54:L54)/SUM($H$10:$L$10)</x:f>
        <x:v>1.3540486585035825</x:v>
      </x:c>
      <x:c r="P54" s="59" t="n">
        <x:f>M54*O54+N54</x:f>
        <x:v>5606.944489637515</x:v>
      </x:c>
      <x:c r="Q54" s="59" t="n">
        <x:f>P54/(P54+'_曲线基线'!$L$2)</x:f>
        <x:v>0.18937936981642792</x:v>
      </x:c>
      <x:c r="R54" s="59" t="n">
        <x:f>E54*'模块规划'!$E$10+G54*'模块规划'!$E$11+H54*'模块规划'!$E$13</x:f>
        <x:v>4292.073095921596</x:v>
      </x:c>
      <x:c r="S54" s="59" t="n">
        <x:f>I54*'模块规划'!$E$15+J54*'模块规划'!$E$17+K54*'模块规划'!$E$16+L54*'模块规划'!$E$18</x:f>
        <x:v>2598.740916724317</x:v>
      </x:c>
      <x:c r="T54" s="59" t="n">
        <x:f>1+T$9*SUMPRODUCT($H$10:$L$10,H54:L54)/SUM($H$10:$L$10)</x:f>
        <x:v>1.3540486585035825</x:v>
      </x:c>
      <x:c r="U54" s="59" t="n">
        <x:f>R54*T54+S54</x:f>
        <x:v>8410.416734456272</x:v>
      </x:c>
      <x:c r="V54" s="59" t="n">
        <x:f>V$8+(V$9-V$8)*H54</x:f>
        <x:v>0.7792510033723743</x:v>
      </x:c>
      <x:c r="W54" s="59" t="n">
        <x:f>IF(B54&lt;$H$8,0,W$8+(W$9-W$8)*H54)</x:f>
        <x:v>0.10566800449649912</x:v>
      </x:c>
      <x:c r="X54" s="59" t="n">
        <x:f>X$8+(X$9-X$8)*H54</x:f>
        <x:v>0.3476467530913432</x:v>
      </x:c>
      <x:c r="Y54" s="59" t="n">
        <x:f>Y$8+(Y$9-Y$8)*G54</x:f>
        <x:v>1</x:v>
      </x:c>
      <x:c r="Z54" s="59" t="n">
        <x:f>Z$8+(Z$9-Z$8)*H54</x:f>
        <x:v>1</x:v>
      </x:c>
      <x:c r="AA54" s="59" t="n">
        <x:f>AA$8+(AA$9-AA$8)*I54</x:f>
        <x:v>1</x:v>
      </x:c>
      <x:c r="AB54" s="59" t="n">
        <x:f>AB$8+(AB$9-AB$8)*J54</x:f>
        <x:v>1</x:v>
      </x:c>
      <x:c r="AC54" s="59" t="n">
        <x:f>AC$8+(AC$9-AC$8)*MAX(K54,L54)</x:f>
        <x:v>1</x:v>
      </x:c>
      <x:c r="AD54" s="59" t="n">
        <x:f>(V54*AE54+W54*AF54+X54*AG54)*PRODUCT(Y54:AC54)</x:f>
        <x:v>1.2551198096121272</x:v>
      </x:c>
      <x:c r="AE54" s="59" t="n">
        <x:f>1+AE$9*($H$10*H54+$I$10*I54+$J$10*J54+$K$10*K54+$L$10*L54)</x:f>
        <x:v>1</x:v>
      </x:c>
      <x:c r="AF54" s="59" t="n">
        <x:f>1+AF$9*($H$10*H54+$I$10*I54+$J$10*J54+$K$10*K54+$L$10*L54)</x:f>
        <x:v>1.0312480192525428</x:v>
      </x:c>
      <x:c r="AG54" s="59" t="n">
        <x:f>1+AG$9*($H$10*H54+$I$10*I54+$J$10*J54+$K$10*K54+$L$10*L54)</x:f>
        <x:v>1.055378434119785</x:v>
      </x:c>
      <x:c r="AH54" s="59" t="n">
        <x:f>MIN(1,'_曲线基线'!$L$3+AH$9*($H$10*H54+$I$10*I54+$J$10*J54+$K$10*K54+$L$10*L54))</x:f>
        <x:v>0.1210892437995351</x:v>
      </x:c>
      <x:c r="AI54" s="59" t="n">
        <x:f>'_曲线基线'!$L$4+AI$9*($H$10*H54+$I$10*I54+$J$10*J54+$K$10*K54+$L$10*L54)</x:f>
        <x:v>2.1980343220129908</x:v>
      </x:c>
      <x:c r="AJ54" s="59" t="n">
        <x:f>1+AJ$9*($H$10*H54+$I$10*I54+$J$10*J54+$K$10*K54+$L$10*L54)</x:f>
        <x:v>1.162489700113223</x:v>
      </x:c>
      <x:c r="AK54" s="59" t="n">
        <x:f>(1+AH54*(AI54-1))*AJ54</x:f>
        <x:v>1.3311309999076648</x:v>
      </x:c>
      <x:c r="AL54" s="59" t="n">
        <x:f>U54*AD54*AK54*F54</x:f>
        <x:v>70257.63095709268</x:v>
      </x:c>
      <x:c r="AM54" s="59" t="n">
        <x:f>IF($B54&lt;AM$8,0,AM$3+(AM$4-AM$3)*(POWER(AM$5,$B54-AM$8)-1)/(POWER(AM$5,$C$5-AM$8)-1))</x:f>
        <x:v>35.69645675305568</x:v>
      </x:c>
      <x:c r="AN54" s="59" t="n">
        <x:f>(((E54*'模块规划'!$D$10+G54*'模块规划'!$D$11+H54*'模块规划'!$D$13)*(1+'模块规划'!$G$14*H54)+(I54*'模块规划'!$D$15+J54*'模块规划'!$D$17+K54*'模块规划'!$D$16+L54*'模块规划'!$D$18))*(1+'模块规划'!$J$17*J54))*F54/(1-Q54)</x:f>
        <x:v>176619.3211419989</x:v>
      </x:c>
      <x:c r="AO54" s="59" t="n">
        <x:f>AL54*AM54</x:f>
        <x:v>2507948.485032005</x:v>
      </x:c>
      <x:c r="AP54" s="61" t="n">
        <x:f>IF(AO54="","",INDEX('_曲线基线'!$A$3:$A$502,MIN(ROWS('_曲线基线'!$A$3:$A$502),COUNTIF('_曲线基线'!$E$3:$E$502,"&lt;"&amp;AO54)+1)))</x:f>
        <x:v>83</x:v>
      </x:c>
      <x:c r="AQ54" s="61" t="n">
        <x:f>IF(B54&lt;=2,1,IF(B54&lt;=6,2,IF(B54&lt;=9,3,IF(B54&lt;=19,4,5))))</x:f>
        <x:v>5</x:v>
      </x:c>
      <x:c r="AR54" s="59" t="n">
        <x:f>AN54*(1-Q54)/F54*$AS$3+U54*$AS$4+P54*$AS$5</x:f>
        <x:v>2541.1109393315855</x:v>
      </x:c>
      <x:c r="AS54" s="59" t="n">
        <x:f>1+AH54*$AS$6+AI54*$AS$7+(AJ54-1)*$AS$8+($H$10*H54+$I$10*I54+$J$10*J54+$K$10*K54+$L$10*L54)*$AU$3*$AS$9+($H$10*H54+$I$10*I54+$J$10*J54+$K$10*K54+$L$10*L54)*$AU$4*$AS$10</x:f>
        <x:v>6.848684655901314</x:v>
      </x:c>
      <x:c r="AT54" s="60" t="n">
        <x:f>ROUND(AR54*AS54,0)</x:f>
        <x:v>17403</x:v>
      </x:c>
      <x:c r="AU54" s="60" t="n">
        <x:f>ROUND(AT54*F54,0)</x:f>
        <x:v>87015</x:v>
      </x:c>
      <x:c r="AV54" s="60" t="n">
        <x:f>MIN(MATCH(B54,'主线调参'!$M$11:$M$62,1),ROWS('主线调参'!$M$11:$M$62)-1)</x:f>
        <x:v>20</x:v>
      </x:c>
      <x:c r="AW54" s="62" t="n">
        <x:f>(B54-INDEX('主线调参'!$M$11:$M$62,AV54))/(INDEX('主线调参'!$M$11:$M$62,AV54+1)-INDEX('主线调参'!$M$11:$M$62,AV54))</x:f>
        <x:v>0.21428571428571427</x:v>
      </x:c>
      <x:c r="AX54" s="60" t="n">
        <x:f>IF(AU54=0,0,ROUND(AU54,2-INT(LOG10(ABS(AU54)))))</x:f>
        <x:v>87000</x:v>
      </x:c>
      <x:c r="AY54" s="62" t="n">
        <x:f>AU54/AU53-1</x:f>
        <x:v>0.05166787527193617</x:v>
      </x:c>
    </x:row>
    <x:row r="55" ht="25" customHeight="1">
      <x:c r="A55" s="40" t="n">
        <x:f>'调前玩家曲线'!A55</x:f>
        <x:v>23</x:v>
      </x:c>
      <x:c r="B55" s="40" t="n">
        <x:f>'调前玩家曲线'!B55</x:f>
        <x:v>44</x:v>
      </x:c>
      <x:c r="C55" s="40" t="n">
        <x:f>'调前玩家曲线'!C55</x:f>
        <x:v>4</x:v>
      </x:c>
      <x:c r="D55" s="40" t="n">
        <x:f>'调前玩家曲线'!D55</x:f>
        <x:v>5</x:v>
      </x:c>
      <x:c r="E55" s="40" t="n">
        <x:f>'调前玩家曲线'!E55</x:f>
        <x:v>1</x:v>
      </x:c>
      <x:c r="F55" s="40" t="n">
        <x:f>'调前玩家曲线'!F55</x:f>
        <x:v>5</x:v>
      </x:c>
      <x:c r="G55" s="63" t="n">
        <x:f>IF(B55&lt;$G$8,0,(INDEX('主线调参'!$C$11:$C$62,$AV55)+(INDEX('主线调参'!$C$11:$C$62,$AV55+1)-INDEX('主线调参'!$C$11:$C$62,$AV55))*$AW55)*'参数说明'!$C$27)</x:f>
        <x:v>0.3929651967632656</x:v>
      </x:c>
      <x:c r="H55" s="63" t="n">
        <x:f>IF(B55&lt;$H$8,0,(INDEX('主线调参'!$D$11:$D$62,$AV55)+(INDEX('主线调参'!$D$11:$D$62,$AV55+1)-INDEX('主线调参'!$D$11:$D$62,$AV55))*$AW55)*'参数说明'!$D$27)</x:f>
        <x:v>0.2696595433240612</x:v>
      </x:c>
      <x:c r="I55" s="63" t="n">
        <x:f>IF(B55&lt;$I$8,0,(INDEX('主线调参'!$E$11:$E$62,$AV55)+(INDEX('主线调参'!$E$11:$E$62,$AV55+1)-INDEX('主线调参'!$E$11:$E$62,$AV55))*$AW55)*'参数说明'!$E$27)</x:f>
        <x:v>0</x:v>
      </x:c>
      <x:c r="J55" s="63" t="n">
        <x:f>IF(B55&lt;$J$8,0,(INDEX('主线调参'!$F$11:$F$62,$AV55)+(INDEX('主线调参'!$F$11:$F$62,$AV55+1)-INDEX('主线调参'!$F$11:$F$62,$AV55))*$AW55)*'参数说明'!$F$27)</x:f>
        <x:v>0.07861449539908459</x:v>
      </x:c>
      <x:c r="K55" s="63" t="n">
        <x:f>IF(B55&lt;$K$8,0,(INDEX('主线调参'!$G$11:$G$62,$AV55)+(INDEX('主线调参'!$G$11:$G$62,$AV55+1)-INDEX('主线调参'!$G$11:$G$62,$AV55))*$AW55)*'参数说明'!$G$27)</x:f>
        <x:v>0</x:v>
      </x:c>
      <x:c r="L55" s="63" t="n">
        <x:f>IF(B55&lt;$L$8,0,(INDEX('主线调参'!$H$11:$H$62,$AV55)+(INDEX('主线调参'!$H$11:$H$62,$AV55+1)-INDEX('主线调参'!$H$11:$H$62,$AV55))*$AW55)*'参数说明'!$H$27)</x:f>
        <x:v>0.21002430692700486</x:v>
      </x:c>
      <x:c r="M55" s="59" t="n">
        <x:f>E55*'模块规划'!$F$10+G55*'模块规划'!$F$11+H55*'模块规划'!$F$13</x:f>
        <x:v>2886.232944463675</x:v>
      </x:c>
      <x:c r="N55" s="59" t="n">
        <x:f>I55*'模块规划'!$F$15+J55*'模块规划'!$F$17+K55*'模块规划'!$F$16+L55*'模块规划'!$F$18</x:f>
        <x:v>1836.2664886258704</x:v>
      </x:c>
      <x:c r="O55" s="59" t="n">
        <x:f>1+O$9*SUMPRODUCT($H$10:$L$10,H55:L55)/SUM($H$10:$L$10)</x:f>
        <x:v>1.3733788092552768</x:v>
      </x:c>
      <x:c r="P55" s="59" t="n">
        <x:f>M55*O55+N55</x:f>
        <x:v>5800.157653126744</x:v>
      </x:c>
      <x:c r="Q55" s="59" t="n">
        <x:f>P55/(P55+'_曲线基线'!$L$2)</x:f>
        <x:v>0.19463513316407471</x:v>
      </x:c>
      <x:c r="R55" s="59" t="n">
        <x:f>E55*'模块规划'!$E$10+G55*'模块规划'!$E$11+H55*'模块规划'!$E$13</x:f>
        <x:v>4329.3494166955115</x:v>
      </x:c>
      <x:c r="S55" s="59" t="n">
        <x:f>I55*'模块规划'!$E$15+J55*'模块规划'!$E$17+K55*'模块规划'!$E$16+L55*'模块规划'!$E$18</x:f>
        <x:v>2754.3997329388053</x:v>
      </x:c>
      <x:c r="T55" s="59" t="n">
        <x:f>1+T$9*SUMPRODUCT($H$10:$L$10,H55:L55)/SUM($H$10:$L$10)</x:f>
        <x:v>1.3733788092552768</x:v>
      </x:c>
      <x:c r="U55" s="59" t="n">
        <x:f>R55*T55+S55</x:f>
        <x:v>8700.236479690115</x:v>
      </x:c>
      <x:c r="V55" s="59" t="n">
        <x:f>V$8+(V$9-V$8)*H55</x:f>
        <x:v>0.7808978629972183</x:v>
      </x:c>
      <x:c r="W55" s="59" t="n">
        <x:f>IF(B55&lt;$H$8,0,W$8+(W$9-W$8)*H55)</x:f>
        <x:v>0.1078638173296245</x:v>
      </x:c>
      <x:c r="X55" s="59" t="n">
        <x:f>X$8+(X$9-X$8)*H55</x:f>
        <x:v>0.34915637441411684</x:v>
      </x:c>
      <x:c r="Y55" s="59" t="n">
        <x:f>Y$8+(Y$9-Y$8)*G55</x:f>
        <x:v>1</x:v>
      </x:c>
      <x:c r="Z55" s="59" t="n">
        <x:f>Z$8+(Z$9-Z$8)*H55</x:f>
        <x:v>1</x:v>
      </x:c>
      <x:c r="AA55" s="59" t="n">
        <x:f>AA$8+(AA$9-AA$8)*I55</x:f>
        <x:v>1</x:v>
      </x:c>
      <x:c r="AB55" s="59" t="n">
        <x:f>AB$8+(AB$9-AB$8)*J55</x:f>
        <x:v>1</x:v>
      </x:c>
      <x:c r="AC55" s="59" t="n">
        <x:f>AC$8+(AC$9-AC$8)*MAX(K55,L55)</x:f>
        <x:v>1</x:v>
      </x:c>
      <x:c r="AD55" s="59" t="n">
        <x:f>(V55*AE55+W55*AF55+X55*AG55)*PRODUCT(Y55:AC55)</x:f>
        <x:v>1.2618640225646556</x:v>
      </x:c>
      <x:c r="AE55" s="59" t="n">
        <x:f>1+AE$9*($H$10*H55+$I$10*I55+$J$10*J55+$K$10*K55+$L$10*L55)</x:f>
        <x:v>1</x:v>
      </x:c>
      <x:c r="AF55" s="59" t="n">
        <x:f>1+AF$9*($H$10*H55+$I$10*I55+$J$10*J55+$K$10*K55+$L$10*L55)</x:f>
        <x:v>1.0329540811407492</x:v>
      </x:c>
      <x:c r="AG55" s="59" t="n">
        <x:f>1+AG$9*($H$10*H55+$I$10*I55+$J$10*J55+$K$10*K55+$L$10*L55)</x:f>
        <x:v>1.0584019549105503</x:v>
      </x:c>
      <x:c r="AH55" s="59" t="n">
        <x:f>MIN(1,'_曲线基线'!$L$3+AH$9*($H$10*H55+$I$10*I55+$J$10*J55+$K$10*K55+$L$10*L55))</x:f>
        <x:v>0.12497053459520421</x:v>
      </x:c>
      <x:c r="AI55" s="59" t="n">
        <x:f>'_曲线基线'!$L$4+AI$9*($H$10*H55+$I$10*I55+$J$10*J55+$K$10*K55+$L$10*L55)</x:f>
        <x:v>2.2088464892294977</x:v>
      </x:c>
      <x:c r="AJ55" s="59" t="n">
        <x:f>1+AJ$9*($H$10*H55+$I$10*I55+$J$10*J55+$K$10*K55+$L$10*L55)</x:f>
        <x:v>1.1713612219318954</x:v>
      </x:c>
      <x:c r="AK55" s="59" t="n">
        <x:f>(1+AH55*(AI55-1))*AJ55</x:f>
        <x:v>1.348318986633484</x:v>
      </x:c>
      <x:c r="AL55" s="59" t="n">
        <x:f>U55*AD55*AK55*F55</x:f>
        <x:v>74012.70380462497</x:v>
      </x:c>
      <x:c r="AM55" s="59" t="n">
        <x:f>IF($B55&lt;AM$8,0,AM$3+(AM$4-AM$3)*(POWER(AM$5,$B55-AM$8)-1)/(POWER(AM$5,$C$5-AM$8)-1))</x:f>
        <x:v>35.7168459605081</x:v>
      </x:c>
      <x:c r="AN55" s="59" t="n">
        <x:f>(((E55*'模块规划'!$D$10+G55*'模块规划'!$D$11+H55*'模块规划'!$D$13)*(1+'模块规划'!$G$14*H55)+(I55*'模块规划'!$D$15+J55*'模块规划'!$D$17+K55*'模块规划'!$D$16+L55*'模块规划'!$D$18))*(1+'模块规划'!$J$17*J55))*F55/(1-Q55)</x:f>
        <x:v>184219.56115684114</x:v>
      </x:c>
      <x:c r="AO55" s="59" t="n">
        <x:f>AL55*AM55</x:f>
        <x:v>2643500.340910502</x:v>
      </x:c>
      <x:c r="AP55" s="61" t="n">
        <x:f>IF(AO55="","",INDEX('_曲线基线'!$A$3:$A$502,MIN(ROWS('_曲线基线'!$A$3:$A$502),COUNTIF('_曲线基线'!$E$3:$E$502,"&lt;"&amp;AO55)+1)))</x:f>
        <x:v>85</x:v>
      </x:c>
      <x:c r="AQ55" s="61" t="n">
        <x:f>IF(B55&lt;=2,1,IF(B55&lt;=6,2,IF(B55&lt;=9,3,IF(B55&lt;=19,4,5))))</x:f>
        <x:v>5</x:v>
      </x:c>
      <x:c r="AR55" s="59" t="n">
        <x:f>AN55*(1-Q55)/F55*$AS$3+U55*$AS$4+P55*$AS$5</x:f>
        <x:v>2630.2310699759346</x:v>
      </x:c>
      <x:c r="AS55" s="59" t="n">
        <x:f>1+AH55*$AS$6+AI55*$AS$7+(AJ55-1)*$AS$8+($H$10*H55+$I$10*I55+$J$10*J55+$K$10*K55+$L$10*L55)*$AU$3*$AS$9+($H$10*H55+$I$10*I55+$J$10*J55+$K$10*K55+$L$10*L55)*$AU$4*$AS$10</x:f>
        <x:v>6.950623792234456</x:v>
      </x:c>
      <x:c r="AT55" s="60" t="n">
        <x:f>ROUND(AR55*AS55,0)</x:f>
        <x:v>18282</x:v>
      </x:c>
      <x:c r="AU55" s="60" t="n">
        <x:f>ROUND(AT55*F55,0)</x:f>
        <x:v>91410</x:v>
      </x:c>
      <x:c r="AV55" s="60" t="n">
        <x:f>MIN(MATCH(B55,'主线调参'!$M$11:$M$62,1),ROWS('主线调参'!$M$11:$M$62)-1)</x:f>
        <x:v>20</x:v>
      </x:c>
      <x:c r="AW55" s="62" t="n">
        <x:f>(B55-INDEX('主线调参'!$M$11:$M$62,AV55))/(INDEX('主线调参'!$M$11:$M$62,AV55+1)-INDEX('主线调参'!$M$11:$M$62,AV55))</x:f>
        <x:v>0.2857142857142857</x:v>
      </x:c>
      <x:c r="AX55" s="60" t="n">
        <x:f>IF(AU55=0,0,ROUND(AU55,2-INT(LOG10(ABS(AU55)))))</x:f>
        <x:v>91400</x:v>
      </x:c>
      <x:c r="AY55" s="62" t="n">
        <x:f>AU55/AU54-1</x:f>
        <x:v>0.05050853301154978</x:v>
      </x:c>
    </x:row>
    <x:row r="56" ht="25" customHeight="1">
      <x:c r="A56" s="40" t="n">
        <x:f>'调前玩家曲线'!A56</x:f>
        <x:v>24</x:v>
      </x:c>
      <x:c r="B56" s="40" t="n">
        <x:f>'调前玩家曲线'!B56</x:f>
        <x:v>45</x:v>
      </x:c>
      <x:c r="C56" s="40" t="n">
        <x:f>'调前玩家曲线'!C56</x:f>
        <x:v>4</x:v>
      </x:c>
      <x:c r="D56" s="40" t="n">
        <x:f>'调前玩家曲线'!D56</x:f>
        <x:v>6</x:v>
      </x:c>
      <x:c r="E56" s="40" t="n">
        <x:f>'调前玩家曲线'!E56</x:f>
        <x:v>1</x:v>
      </x:c>
      <x:c r="F56" s="40" t="n">
        <x:f>'调前玩家曲线'!F56</x:f>
        <x:v>5</x:v>
      </x:c>
      <x:c r="G56" s="63" t="n">
        <x:f>IF(B56&lt;$G$8,0,(INDEX('主线调参'!$C$11:$C$62,$AV56)+(INDEX('主线调参'!$C$11:$C$62,$AV56+1)-INDEX('主线调参'!$C$11:$C$62,$AV56))*$AW56)*'参数说明'!$C$27)</x:f>
        <x:v>0.39814246353742067</x:v>
      </x:c>
      <x:c r="H56" s="63" t="n">
        <x:f>IF(B56&lt;$H$8,0,(INDEX('主线调参'!$D$11:$D$62,$AV56)+(INDEX('主线调参'!$D$11:$D$62,$AV56+1)-INDEX('主线调参'!$D$11:$D$62,$AV56))*$AW56)*'参数说明'!$D$27)</x:f>
        <x:v>0.2751490754068747</x:v>
      </x:c>
      <x:c r="I56" s="63" t="n">
        <x:f>IF(B56&lt;$I$8,0,(INDEX('主线调参'!$E$11:$E$62,$AV56)+(INDEX('主线调参'!$E$11:$E$62,$AV56+1)-INDEX('主线调参'!$E$11:$E$62,$AV56))*$AW56)*'参数说明'!$E$27)</x:f>
        <x:v>0</x:v>
      </x:c>
      <x:c r="J56" s="63" t="n">
        <x:f>IF(B56&lt;$J$8,0,(INDEX('主线调参'!$F$11:$F$62,$AV56)+(INDEX('主线调参'!$F$11:$F$62,$AV56+1)-INDEX('主线调参'!$F$11:$F$62,$AV56))*$AW56)*'参数说明'!$F$27)</x:f>
        <x:v>0.08570561924885574</x:v>
      </x:c>
      <x:c r="K56" s="63" t="n">
        <x:f>IF(B56&lt;$K$8,0,(INDEX('主线调参'!$G$11:$G$62,$AV56)+(INDEX('主线调参'!$G$11:$G$62,$AV56+1)-INDEX('主线调参'!$G$11:$G$62,$AV56))*$AW56)*'参数说明'!$G$27)</x:f>
        <x:v>0</x:v>
      </x:c>
      <x:c r="L56" s="63" t="n">
        <x:f>IF(B56&lt;$L$8,0,(INDEX('主线调参'!$H$11:$H$62,$AV56)+(INDEX('主线调参'!$H$11:$H$62,$AV56+1)-INDEX('主线调参'!$H$11:$H$62,$AV56))*$AW56)*'参数说明'!$H$27)</x:f>
        <x:v>0.21659656805606095</x:v>
      </x:c>
      <x:c r="M56" s="59" t="n">
        <x:f>E56*'模块规划'!$F$10+G56*'模块规划'!$F$11+H56*'模块规划'!$F$13</x:f>
        <x:v>2911.0838249796193</x:v>
      </x:c>
      <x:c r="N56" s="59" t="n">
        <x:f>I56*'模块规划'!$F$15+J56*'模块规划'!$F$17+K56*'模块规划'!$F$16+L56*'模块规划'!$F$18</x:f>
        <x:v>1940.0390327688622</x:v>
      </x:c>
      <x:c r="O56" s="59" t="n">
        <x:f>1+O$9*SUMPRODUCT($H$10:$L$10,H56:L56)/SUM($H$10:$L$10)</x:f>
        <x:v>1.3927089600069709</x:v>
      </x:c>
      <x:c r="P56" s="59" t="n">
        <x:f>M56*O56+N56</x:f>
        <x:v>5994.331559149343</x:v>
      </x:c>
      <x:c r="Q56" s="59" t="n">
        <x:f>P56/(P56+'_曲线基线'!$L$2)</x:f>
        <x:v>0.1998488130108323</x:v>
      </x:c>
      <x:c r="R56" s="59" t="n">
        <x:f>E56*'模块规划'!$E$10+G56*'模块规划'!$E$11+H56*'模块规划'!$E$13</x:f>
        <x:v>4366.625737469429</x:v>
      </x:c>
      <x:c r="S56" s="59" t="n">
        <x:f>I56*'模块规划'!$E$15+J56*'模块规划'!$E$17+K56*'模块规划'!$E$16+L56*'模块规划'!$E$18</x:f>
        <x:v>2910.058549153293</x:v>
      </x:c>
      <x:c r="T56" s="59" t="n">
        <x:f>1+T$9*SUMPRODUCT($H$10:$L$10,H56:L56)/SUM($H$10:$L$10)</x:f>
        <x:v>1.3927089600069709</x:v>
      </x:c>
      <x:c r="U56" s="59" t="n">
        <x:f>R56*T56+S56</x:f>
        <x:v>8991.497338724013</x:v>
      </x:c>
      <x:c r="V56" s="59" t="n">
        <x:f>V$8+(V$9-V$8)*H56</x:f>
        <x:v>0.7825447226220624</x:v>
      </x:c>
      <x:c r="W56" s="59" t="n">
        <x:f>IF(B56&lt;$H$8,0,W$8+(W$9-W$8)*H56)</x:f>
        <x:v>0.11005963016274989</x:v>
      </x:c>
      <x:c r="X56" s="59" t="n">
        <x:f>X$8+(X$9-X$8)*H56</x:f>
        <x:v>0.35066599573689056</x:v>
      </x:c>
      <x:c r="Y56" s="59" t="n">
        <x:f>Y$8+(Y$9-Y$8)*G56</x:f>
        <x:v>1</x:v>
      </x:c>
      <x:c r="Z56" s="59" t="n">
        <x:f>Z$8+(Z$9-Z$8)*H56</x:f>
        <x:v>1</x:v>
      </x:c>
      <x:c r="AA56" s="59" t="n">
        <x:f>AA$8+(AA$9-AA$8)*I56</x:f>
        <x:v>1</x:v>
      </x:c>
      <x:c r="AB56" s="59" t="n">
        <x:f>AB$8+(AB$9-AB$8)*J56</x:f>
        <x:v>1</x:v>
      </x:c>
      <x:c r="AC56" s="59" t="n">
        <x:f>AC$8+(AC$9-AC$8)*MAX(K56,L56)</x:f>
        <x:v>1</x:v>
      </x:c>
      <x:c r="AD56" s="59" t="n">
        <x:f>(V56*AE56+W56*AF56+X56*AG56)*PRODUCT(Y56:AC56)</x:f>
        <x:v>1.2686248566452718</x:v>
      </x:c>
      <x:c r="AE56" s="59" t="n">
        <x:f>1+AE$9*($H$10*H56+$I$10*I56+$J$10*J56+$K$10*K56+$L$10*L56)</x:f>
        <x:v>1</x:v>
      </x:c>
      <x:c r="AF56" s="59" t="n">
        <x:f>1+AF$9*($H$10*H56+$I$10*I56+$J$10*J56+$K$10*K56+$L$10*L56)</x:f>
        <x:v>1.0346601430289553</x:v>
      </x:c>
      <x:c r="AG56" s="59" t="n">
        <x:f>1+AG$9*($H$10*H56+$I$10*I56+$J$10*J56+$K$10*K56+$L$10*L56)</x:f>
        <x:v>1.0614254757013157</x:v>
      </x:c>
      <x:c r="AH56" s="59" t="n">
        <x:f>MIN(1,'_曲线基线'!$L$3+AH$9*($H$10*H56+$I$10*I56+$J$10*J56+$K$10*K56+$L$10*L56))</x:f>
        <x:v>0.1288518253908733</x:v>
      </x:c>
      <x:c r="AI56" s="59" t="n">
        <x:f>'_曲线基线'!$L$4+AI$9*($H$10*H56+$I$10*I56+$J$10*J56+$K$10*K56+$L$10*L56)</x:f>
        <x:v>2.219658656446004</x:v>
      </x:c>
      <x:c r="AJ56" s="59" t="n">
        <x:f>1+AJ$9*($H$10*H56+$I$10*I56+$J$10*J56+$K$10*K56+$L$10*L56)</x:f>
        <x:v>1.1802327437505675</x:v>
      </x:c>
      <x:c r="AK56" s="59" t="n">
        <x:f>(1+AH56*(AI56-1))*AJ56</x:f>
        <x:v>1.3657125088510127</x:v>
      </x:c>
      <x:c r="AL56" s="59" t="n">
        <x:f>U56*AD56*AK56*F56</x:f>
        <x:v>77892.30003934425</x:v>
      </x:c>
      <x:c r="AM56" s="59" t="n">
        <x:f>IF($B56&lt;AM$8,0,AM$3+(AM$4-AM$3)*(POWER(AM$5,$B56-AM$8)-1)/(POWER(AM$5,$C$5-AM$8)-1))</x:f>
        <x:v>35.73743906003505</x:v>
      </x:c>
      <x:c r="AN56" s="59" t="n">
        <x:f>(((E56*'模块规划'!$D$10+G56*'模块规划'!$D$11+H56*'模块规划'!$D$13)*(1+'模块规划'!$G$14*H56)+(I56*'模块规划'!$D$15+J56*'模块规划'!$D$17+K56*'模块规划'!$D$16+L56*'模块规划'!$D$18))*(1+'模块规划'!$J$17*J56))*F56/(1-Q56)</x:f>
        <x:v>191997.13496800308</x:v>
      </x:c>
      <x:c r="AO56" s="59" t="n">
        <x:f>AL56*AM56</x:f>
        <x:v>2783671.325902031</x:v>
      </x:c>
      <x:c r="AP56" s="61" t="n">
        <x:f>IF(AO56="","",INDEX('_曲线基线'!$A$3:$A$502,MIN(ROWS('_曲线基线'!$A$3:$A$502),COUNTIF('_曲线基线'!$E$3:$E$502,"&lt;"&amp;AO56)+1)))</x:f>
        <x:v>87</x:v>
      </x:c>
      <x:c r="AQ56" s="61" t="n">
        <x:f>IF(B56&lt;=2,1,IF(B56&lt;=6,2,IF(B56&lt;=9,3,IF(B56&lt;=19,4,5))))</x:f>
        <x:v>5</x:v>
      </x:c>
      <x:c r="AR56" s="59" t="n">
        <x:f>AN56*(1-Q56)/F56*$AS$3+U56*$AS$4+P56*$AS$5</x:f>
        <x:v>2720.0598804038054</x:v>
      </x:c>
      <x:c r="AS56" s="59" t="n">
        <x:f>1+AH56*$AS$6+AI56*$AS$7+(AJ56-1)*$AS$8+($H$10*H56+$I$10*I56+$J$10*J56+$K$10*K56+$L$10*L56)*$AU$3*$AS$9+($H$10*H56+$I$10*I56+$J$10*J56+$K$10*K56+$L$10*L56)*$AU$4*$AS$10</x:f>
        <x:v>7.052562928567596</x:v>
      </x:c>
      <x:c r="AT56" s="60" t="n">
        <x:f>ROUND(AR56*AS56,0)</x:f>
        <x:v>19183</x:v>
      </x:c>
      <x:c r="AU56" s="60" t="n">
        <x:f>ROUND(AT56*F56,0)</x:f>
        <x:v>95915</x:v>
      </x:c>
      <x:c r="AV56" s="60" t="n">
        <x:f>MIN(MATCH(B56,'主线调参'!$M$11:$M$62,1),ROWS('主线调参'!$M$11:$M$62)-1)</x:f>
        <x:v>20</x:v>
      </x:c>
      <x:c r="AW56" s="62" t="n">
        <x:f>(B56-INDEX('主线调参'!$M$11:$M$62,AV56))/(INDEX('主线调参'!$M$11:$M$62,AV56+1)-INDEX('主线调参'!$M$11:$M$62,AV56))</x:f>
        <x:v>0.35714285714285715</x:v>
      </x:c>
      <x:c r="AX56" s="60" t="n">
        <x:f>IF(AU56=0,0,ROUND(AU56,2-INT(LOG10(ABS(AU56)))))</x:f>
        <x:v>95900</x:v>
      </x:c>
      <x:c r="AY56" s="62" t="n">
        <x:f>AU56/AU55-1</x:f>
        <x:v>0.049283448200415636</x:v>
      </x:c>
    </x:row>
    <x:row r="57" ht="25" customHeight="1">
      <x:c r="A57" s="40" t="n">
        <x:f>'调前玩家曲线'!A57</x:f>
        <x:v>24</x:v>
      </x:c>
      <x:c r="B57" s="40" t="n">
        <x:f>'调前玩家曲线'!B57</x:f>
        <x:v>46</x:v>
      </x:c>
      <x:c r="C57" s="40" t="n">
        <x:f>'调前玩家曲线'!C57</x:f>
        <x:v>4</x:v>
      </x:c>
      <x:c r="D57" s="40" t="n">
        <x:f>'调前玩家曲线'!D57</x:f>
        <x:v>7</x:v>
      </x:c>
      <x:c r="E57" s="40" t="n">
        <x:f>'调前玩家曲线'!E57</x:f>
        <x:v>1</x:v>
      </x:c>
      <x:c r="F57" s="40" t="n">
        <x:f>'调前玩家曲线'!F57</x:f>
        <x:v>5</x:v>
      </x:c>
      <x:c r="G57" s="63" t="n">
        <x:f>IF(B57&lt;$G$8,0,(INDEX('主线调参'!$C$11:$C$62,$AV57)+(INDEX('主线调参'!$C$11:$C$62,$AV57+1)-INDEX('主线调参'!$C$11:$C$62,$AV57))*$AW57)*'参数说明'!$C$27)</x:f>
        <x:v>0.4033197303115757</x:v>
      </x:c>
      <x:c r="H57" s="63" t="n">
        <x:f>IF(B57&lt;$H$8,0,(INDEX('主线调参'!$D$11:$D$62,$AV57)+(INDEX('主线调参'!$D$11:$D$62,$AV57+1)-INDEX('主线调参'!$D$11:$D$62,$AV57))*$AW57)*'参数说明'!$D$27)</x:f>
        <x:v>0.2806386074896882</x:v>
      </x:c>
      <x:c r="I57" s="63" t="n">
        <x:f>IF(B57&lt;$I$8,0,(INDEX('主线调参'!$E$11:$E$62,$AV57)+(INDEX('主线调参'!$E$11:$E$62,$AV57+1)-INDEX('主线调参'!$E$11:$E$62,$AV57))*$AW57)*'参数说明'!$E$27)</x:f>
        <x:v>0</x:v>
      </x:c>
      <x:c r="J57" s="63" t="n">
        <x:f>IF(B57&lt;$J$8,0,(INDEX('主线调参'!$F$11:$F$62,$AV57)+(INDEX('主线调参'!$F$11:$F$62,$AV57+1)-INDEX('主线调参'!$F$11:$F$62,$AV57))*$AW57)*'参数说明'!$F$27)</x:f>
        <x:v>0.09279674309862689</x:v>
      </x:c>
      <x:c r="K57" s="63" t="n">
        <x:f>IF(B57&lt;$K$8,0,(INDEX('主线调参'!$G$11:$G$62,$AV57)+(INDEX('主线调参'!$G$11:$G$62,$AV57+1)-INDEX('主线调参'!$G$11:$G$62,$AV57))*$AW57)*'参数说明'!$G$27)</x:f>
        <x:v>0</x:v>
      </x:c>
      <x:c r="L57" s="63" t="n">
        <x:f>IF(B57&lt;$L$8,0,(INDEX('主线调参'!$H$11:$H$62,$AV57)+(INDEX('主线调参'!$H$11:$H$62,$AV57+1)-INDEX('主线调参'!$H$11:$H$62,$AV57))*$AW57)*'参数说明'!$H$27)</x:f>
        <x:v>0.2231688291851171</x:v>
      </x:c>
      <x:c r="M57" s="59" t="n">
        <x:f>E57*'模块规划'!$F$10+G57*'模块规划'!$F$11+H57*'模块规划'!$F$13</x:f>
        <x:v>2935.9347054955633</x:v>
      </x:c>
      <x:c r="N57" s="59" t="n">
        <x:f>I57*'模块规划'!$F$15+J57*'模块规划'!$F$17+K57*'模块规划'!$F$16+L57*'模块规划'!$F$18</x:f>
        <x:v>2043.8115769118544</x:v>
      </x:c>
      <x:c r="O57" s="59" t="n">
        <x:f>1+O$9*SUMPRODUCT($H$10:$L$10,H57:L57)/SUM($H$10:$L$10)</x:f>
        <x:v>1.412039110758665</x:v>
      </x:c>
      <x:c r="P57" s="59" t="n">
        <x:f>M57*O57+N57</x:f>
        <x:v>6189.466207705313</x:v>
      </x:c>
      <x:c r="Q57" s="59" t="n">
        <x:f>P57/(P57+'_曲线基线'!$L$2)</x:f>
        <x:v>0.20502072362331347</x:v>
      </x:c>
      <x:c r="R57" s="59" t="n">
        <x:f>E57*'模块规划'!$E$10+G57*'模块规划'!$E$11+H57*'模块规划'!$E$13</x:f>
        <x:v>4403.902058243345</x:v>
      </x:c>
      <x:c r="S57" s="59" t="n">
        <x:f>I57*'模块规划'!$E$15+J57*'模块规划'!$E$17+K57*'模块规划'!$E$16+L57*'模块规划'!$E$18</x:f>
        <x:v>3065.7173653677814</x:v>
      </x:c>
      <x:c r="T57" s="59" t="n">
        <x:f>1+T$9*SUMPRODUCT($H$10:$L$10,H57:L57)/SUM($H$10:$L$10)</x:f>
        <x:v>1.412039110758665</x:v>
      </x:c>
      <x:c r="U57" s="59" t="n">
        <x:f>R57*T57+S57</x:f>
        <x:v>9284.199311557968</x:v>
      </x:c>
      <x:c r="V57" s="59" t="n">
        <x:f>V$8+(V$9-V$8)*H57</x:f>
        <x:v>0.7841915822469064</x:v>
      </x:c>
      <x:c r="W57" s="59" t="n">
        <x:f>IF(B57&lt;$H$8,0,W$8+(W$9-W$8)*H57)</x:f>
        <x:v>0.1122554429958753</x:v>
      </x:c>
      <x:c r="X57" s="59" t="n">
        <x:f>X$8+(X$9-X$8)*H57</x:f>
        <x:v>0.35217561705966427</x:v>
      </x:c>
      <x:c r="Y57" s="59" t="n">
        <x:f>Y$8+(Y$9-Y$8)*G57</x:f>
        <x:v>1</x:v>
      </x:c>
      <x:c r="Z57" s="59" t="n">
        <x:f>Z$8+(Z$9-Z$8)*H57</x:f>
        <x:v>1</x:v>
      </x:c>
      <x:c r="AA57" s="59" t="n">
        <x:f>AA$8+(AA$9-AA$8)*I57</x:f>
        <x:v>1</x:v>
      </x:c>
      <x:c r="AB57" s="59" t="n">
        <x:f>AB$8+(AB$9-AB$8)*J57</x:f>
        <x:v>1</x:v>
      </x:c>
      <x:c r="AC57" s="59" t="n">
        <x:f>AC$8+(AC$9-AC$8)*MAX(K57,L57)</x:f>
        <x:v>1</x:v>
      </x:c>
      <x:c r="AD57" s="59" t="n">
        <x:f>(V57*AE57+W57*AF57+X57*AG57)*PRODUCT(Y57:AC57)</x:f>
        <x:v>1.2754023118539757</x:v>
      </x:c>
      <x:c r="AE57" s="59" t="n">
        <x:f>1+AE$9*($H$10*H57+$I$10*I57+$J$10*J57+$K$10*K57+$L$10*L57)</x:f>
        <x:v>1</x:v>
      </x:c>
      <x:c r="AF57" s="59" t="n">
        <x:f>1+AF$9*($H$10*H57+$I$10*I57+$J$10*J57+$K$10*K57+$L$10*L57)</x:f>
        <x:v>1.0363662049171616</x:v>
      </x:c>
      <x:c r="AG57" s="59" t="n">
        <x:f>1+AG$9*($H$10*H57+$I$10*I57+$J$10*J57+$K$10*K57+$L$10*L57)</x:f>
        <x:v>1.0644489964920814</x:v>
      </x:c>
      <x:c r="AH57" s="59" t="n">
        <x:f>MIN(1,'_曲线基线'!$L$3+AH$9*($H$10*H57+$I$10*I57+$J$10*J57+$K$10*K57+$L$10*L57))</x:f>
        <x:v>0.13273311618654246</x:v>
      </x:c>
      <x:c r="AI57" s="59" t="n">
        <x:f>'_曲线基线'!$L$4+AI$9*($H$10*H57+$I$10*I57+$J$10*J57+$K$10*K57+$L$10*L57)</x:f>
        <x:v>2.230470823662511</x:v>
      </x:c>
      <x:c r="AJ57" s="59" t="n">
        <x:f>1+AJ$9*($H$10*H57+$I$10*I57+$J$10*J57+$K$10*K57+$L$10*L57)</x:f>
        <x:v>1.1891042655692399</x:v>
      </x:c>
      <x:c r="AK57" s="59" t="n">
        <x:f>(1+AH57*(AI57-1))*AJ57</x:f>
        <x:v>1.3833138003295191</x:v>
      </x:c>
      <x:c r="AL57" s="59" t="n">
        <x:f>U57*AD57*AK57*F57</x:f>
        <x:v>81899.71096070373</x:v>
      </x:c>
      <x:c r="AM57" s="59" t="n">
        <x:f>IF($B57&lt;AM$8,0,AM$3+(AM$4-AM$3)*(POWER(AM$5,$B57-AM$8)-1)/(POWER(AM$5,$C$5-AM$8)-1))</x:f>
        <x:v>35.75823809055727</x:v>
      </x:c>
      <x:c r="AN57" s="59" t="n">
        <x:f>(((E57*'模块规划'!$D$10+G57*'模块规划'!$D$11+H57*'模块规划'!$D$13)*(1+'模块规划'!$G$14*H57)+(I57*'模块规划'!$D$15+J57*'模块规划'!$D$17+K57*'模块规划'!$D$16+L57*'模块规划'!$D$18))*(1+'模块规划'!$J$17*J57))*F57/(1-Q57)</x:f>
        <x:v>199954.57259659437</x:v>
      </x:c>
      <x:c r="AO57" s="59" t="n">
        <x:f>AL57*AM57</x:f>
        <x:v>2928589.364080667</x:v>
      </x:c>
      <x:c r="AP57" s="61" t="n">
        <x:f>IF(AO57="","",INDEX('_曲线基线'!$A$3:$A$502,MIN(ROWS('_曲线基线'!$A$3:$A$502),COUNTIF('_曲线基线'!$E$3:$E$502,"&lt;"&amp;AO57)+1)))</x:f>
        <x:v>89</x:v>
      </x:c>
      <x:c r="AQ57" s="61" t="n">
        <x:f>IF(B57&lt;=2,1,IF(B57&lt;=6,2,IF(B57&lt;=9,3,IF(B57&lt;=19,4,5))))</x:f>
        <x:v>5</x:v>
      </x:c>
      <x:c r="AR57" s="59" t="n">
        <x:f>AN57*(1-Q57)/F57*$AS$3+U57*$AS$4+P57*$AS$5</x:f>
        <x:v>2810.598310897895</x:v>
      </x:c>
      <x:c r="AS57" s="59" t="n">
        <x:f>1+AH57*$AS$6+AI57*$AS$7+(AJ57-1)*$AS$8+($H$10*H57+$I$10*I57+$J$10*J57+$K$10*K57+$L$10*L57)*$AU$3*$AS$9+($H$10*H57+$I$10*I57+$J$10*J57+$K$10*K57+$L$10*L57)*$AU$4*$AS$10</x:f>
        <x:v>7.154502064900738</x:v>
      </x:c>
      <x:c r="AT57" s="60" t="n">
        <x:f>ROUND(AR57*AS57,0)</x:f>
        <x:v>20108</x:v>
      </x:c>
      <x:c r="AU57" s="60" t="n">
        <x:f>ROUND(AT57*F57,0)</x:f>
        <x:v>100540</x:v>
      </x:c>
      <x:c r="AV57" s="60" t="n">
        <x:f>MIN(MATCH(B57,'主线调参'!$M$11:$M$62,1),ROWS('主线调参'!$M$11:$M$62)-1)</x:f>
        <x:v>20</x:v>
      </x:c>
      <x:c r="AW57" s="62" t="n">
        <x:f>(B57-INDEX('主线调参'!$M$11:$M$62,AV57))/(INDEX('主线调参'!$M$11:$M$62,AV57+1)-INDEX('主线调参'!$M$11:$M$62,AV57))</x:f>
        <x:v>0.42857142857142855</x:v>
      </x:c>
      <x:c r="AX57" s="60" t="n">
        <x:f>IF(AU57=0,0,ROUND(AU57,2-INT(LOG10(ABS(AU57)))))</x:f>
        <x:v>101000</x:v>
      </x:c>
      <x:c r="AY57" s="62" t="n">
        <x:f>AU57/AU56-1</x:f>
        <x:v>0.048219777928374175</x:v>
      </x:c>
    </x:row>
    <x:row r="58" ht="25" customHeight="1">
      <x:c r="A58" s="40" t="n">
        <x:f>'调前玩家曲线'!A58</x:f>
        <x:v>24</x:v>
      </x:c>
      <x:c r="B58" s="40" t="n">
        <x:f>'调前玩家曲线'!B58</x:f>
        <x:v>47</x:v>
      </x:c>
      <x:c r="C58" s="40" t="n">
        <x:f>'调前玩家曲线'!C58</x:f>
        <x:v>4</x:v>
      </x:c>
      <x:c r="D58" s="40" t="n">
        <x:f>'调前玩家曲线'!D58</x:f>
        <x:v>8</x:v>
      </x:c>
      <x:c r="E58" s="40" t="n">
        <x:f>'调前玩家曲线'!E58</x:f>
        <x:v>1</x:v>
      </x:c>
      <x:c r="F58" s="40" t="n">
        <x:f>'调前玩家曲线'!F58</x:f>
        <x:v>5</x:v>
      </x:c>
      <x:c r="G58" s="63" t="n">
        <x:f>IF(B58&lt;$G$8,0,(INDEX('主线调参'!$C$11:$C$62,$AV58)+(INDEX('主线调参'!$C$11:$C$62,$AV58+1)-INDEX('主线调参'!$C$11:$C$62,$AV58))*$AW58)*'参数说明'!$C$27)</x:f>
        <x:v>0.4084969970857308</x:v>
      </x:c>
      <x:c r="H58" s="63" t="n">
        <x:f>IF(B58&lt;$H$8,0,(INDEX('主线调参'!$D$11:$D$62,$AV58)+(INDEX('主线调参'!$D$11:$D$62,$AV58+1)-INDEX('主线调参'!$D$11:$D$62,$AV58))*$AW58)*'参数说明'!$D$27)</x:f>
        <x:v>0.2861281395725017</x:v>
      </x:c>
      <x:c r="I58" s="63" t="n">
        <x:f>IF(B58&lt;$I$8,0,(INDEX('主线调参'!$E$11:$E$62,$AV58)+(INDEX('主线调参'!$E$11:$E$62,$AV58+1)-INDEX('主线调参'!$E$11:$E$62,$AV58))*$AW58)*'参数说明'!$E$27)</x:f>
        <x:v>0</x:v>
      </x:c>
      <x:c r="J58" s="63" t="n">
        <x:f>IF(B58&lt;$J$8,0,(INDEX('主线调参'!$F$11:$F$62,$AV58)+(INDEX('主线调参'!$F$11:$F$62,$AV58+1)-INDEX('主线调参'!$F$11:$F$62,$AV58))*$AW58)*'参数说明'!$F$27)</x:f>
        <x:v>0.09988786694839803</x:v>
      </x:c>
      <x:c r="K58" s="63" t="n">
        <x:f>IF(B58&lt;$K$8,0,(INDEX('主线调参'!$G$11:$G$62,$AV58)+(INDEX('主线调参'!$G$11:$G$62,$AV58+1)-INDEX('主线调参'!$G$11:$G$62,$AV58))*$AW58)*'参数说明'!$G$27)</x:f>
        <x:v>0</x:v>
      </x:c>
      <x:c r="L58" s="63" t="n">
        <x:f>IF(B58&lt;$L$8,0,(INDEX('主线调参'!$H$11:$H$62,$AV58)+(INDEX('主线调参'!$H$11:$H$62,$AV58+1)-INDEX('主线调参'!$H$11:$H$62,$AV58))*$AW58)*'参数说明'!$H$27)</x:f>
        <x:v>0.2297410903141732</x:v>
      </x:c>
      <x:c r="M58" s="59" t="n">
        <x:f>E58*'模块规划'!$F$10+G58*'模块规划'!$F$11+H58*'模块规划'!$F$13</x:f>
        <x:v>2960.785586011508</x:v>
      </x:c>
      <x:c r="N58" s="59" t="n">
        <x:f>I58*'模块规划'!$F$15+J58*'模块规划'!$F$17+K58*'模块规划'!$F$16+L58*'模块规划'!$F$18</x:f>
        <x:v>2147.584121054846</x:v>
      </x:c>
      <x:c r="O58" s="59" t="n">
        <x:f>1+O$9*SUMPRODUCT($H$10:$L$10,H58:L58)/SUM($H$10:$L$10)</x:f>
        <x:v>1.4313692615103593</x:v>
      </x:c>
      <x:c r="P58" s="59" t="n">
        <x:f>M58*O58+N58</x:f>
        <x:v>6385.561598794654</x:v>
      </x:c>
      <x:c r="Q58" s="59" t="n">
        <x:f>P58/(P58+'_曲线基线'!$L$2)</x:f>
        <x:v>0.21015117913923825</x:v>
      </x:c>
      <x:c r="R58" s="59" t="n">
        <x:f>E58*'模块规划'!$E$10+G58*'模块规划'!$E$11+H58*'模块规划'!$E$13</x:f>
        <x:v>4441.178379017261</x:v>
      </x:c>
      <x:c r="S58" s="59" t="n">
        <x:f>I58*'模块规划'!$E$15+J58*'模块规划'!$E$17+K58*'模块规划'!$E$16+L58*'模块规划'!$E$18</x:f>
        <x:v>3221.3761815822695</x:v>
      </x:c>
      <x:c r="T58" s="59" t="n">
        <x:f>1+T$9*SUMPRODUCT($H$10:$L$10,H58:L58)/SUM($H$10:$L$10)</x:f>
        <x:v>1.4313692615103593</x:v>
      </x:c>
      <x:c r="U58" s="59" t="n">
        <x:f>R58*T58+S58</x:f>
        <x:v>9578.34239819198</x:v>
      </x:c>
      <x:c r="V58" s="59" t="n">
        <x:f>V$8+(V$9-V$8)*H58</x:f>
        <x:v>0.7858384418717504</x:v>
      </x:c>
      <x:c r="W58" s="59" t="n">
        <x:f>IF(B58&lt;$H$8,0,W$8+(W$9-W$8)*H58)</x:f>
        <x:v>0.11445125582900069</x:v>
      </x:c>
      <x:c r="X58" s="59" t="n">
        <x:f>X$8+(X$9-X$8)*H58</x:f>
        <x:v>0.353685238382438</x:v>
      </x:c>
      <x:c r="Y58" s="59" t="n">
        <x:f>Y$8+(Y$9-Y$8)*G58</x:f>
        <x:v>1</x:v>
      </x:c>
      <x:c r="Z58" s="59" t="n">
        <x:f>Z$8+(Z$9-Z$8)*H58</x:f>
        <x:v>1</x:v>
      </x:c>
      <x:c r="AA58" s="59" t="n">
        <x:f>AA$8+(AA$9-AA$8)*I58</x:f>
        <x:v>1</x:v>
      </x:c>
      <x:c r="AB58" s="59" t="n">
        <x:f>AB$8+(AB$9-AB$8)*J58</x:f>
        <x:v>1</x:v>
      </x:c>
      <x:c r="AC58" s="59" t="n">
        <x:f>AC$8+(AC$9-AC$8)*MAX(K58,L58)</x:f>
        <x:v>1</x:v>
      </x:c>
      <x:c r="AD58" s="59" t="n">
        <x:f>(V58*AE58+W58*AF58+X58*AG58)*PRODUCT(Y58:AC58)</x:f>
        <x:v>1.282196388190767</x:v>
      </x:c>
      <x:c r="AE58" s="59" t="n">
        <x:f>1+AE$9*($H$10*H58+$I$10*I58+$J$10*J58+$K$10*K58+$L$10*L58)</x:f>
        <x:v>1</x:v>
      </x:c>
      <x:c r="AF58" s="59" t="n">
        <x:f>1+AF$9*($H$10*H58+$I$10*I58+$J$10*J58+$K$10*K58+$L$10*L58)</x:f>
        <x:v>1.0380722668053677</x:v>
      </x:c>
      <x:c r="AG58" s="59" t="n">
        <x:f>1+AG$9*($H$10*H58+$I$10*I58+$J$10*J58+$K$10*K58+$L$10*L58)</x:f>
        <x:v>1.0674725172828468</x:v>
      </x:c>
      <x:c r="AH58" s="59" t="n">
        <x:f>MIN(1,'_曲线基线'!$L$3+AH$9*($H$10*H58+$I$10*I58+$J$10*J58+$K$10*K58+$L$10*L58))</x:f>
        <x:v>0.13661440698221156</x:v>
      </x:c>
      <x:c r="AI58" s="59" t="n">
        <x:f>'_曲线基线'!$L$4+AI$9*($H$10*H58+$I$10*I58+$J$10*J58+$K$10*K58+$L$10*L58)</x:f>
        <x:v>2.241282990879018</x:v>
      </x:c>
      <x:c r="AJ58" s="59" t="n">
        <x:f>1+AJ$9*($H$10*H58+$I$10*I58+$J$10*J58+$K$10*K58+$L$10*L58)</x:f>
        <x:v>1.1979757873879122</x:v>
      </x:c>
      <x:c r="AK58" s="59" t="n">
        <x:f>(1+AH58*(AI58-1))*AJ58</x:f>
        <x:v>1.4011250948382694</x:v>
      </x:c>
      <x:c r="AL58" s="59" t="n">
        <x:f>U58*AD58*AK58*F58</x:f>
        <x:v>86038.30042106398</x:v>
      </x:c>
      <x:c r="AM58" s="59" t="n">
        <x:f>IF($B58&lt;AM$8,0,AM$3+(AM$4-AM$3)*(POWER(AM$5,$B58-AM$8)-1)/(POWER(AM$5,$C$5-AM$8)-1))</x:f>
        <x:v>35.77924511138471</x:v>
      </x:c>
      <x:c r="AN58" s="59" t="n">
        <x:f>(((E58*'模块规划'!$D$10+G58*'模块规划'!$D$11+H58*'模块规划'!$D$13)*(1+'模块规划'!$G$14*H58)+(I58*'模块规划'!$D$15+J58*'模块规划'!$D$17+K58*'模块规划'!$D$16+L58*'模块规划'!$D$18))*(1+'模块规划'!$J$17*J58))*F58/(1-Q58)</x:f>
        <x:v>208094.42601682228</x:v>
      </x:c>
      <x:c r="AO58" s="59" t="n">
        <x:f>AL58*AM58</x:f>
        <x:v>3078385.4397322023</x:v>
      </x:c>
      <x:c r="AP58" s="61" t="n">
        <x:f>IF(AO58="","",INDEX('_曲线基线'!$A$3:$A$502,MIN(ROWS('_曲线基线'!$A$3:$A$502),COUNTIF('_曲线基线'!$E$3:$E$502,"&lt;"&amp;AO58)+1)))</x:f>
        <x:v>91</x:v>
      </x:c>
      <x:c r="AQ58" s="61" t="n">
        <x:f>IF(B58&lt;=2,1,IF(B58&lt;=6,2,IF(B58&lt;=9,3,IF(B58&lt;=19,4,5))))</x:f>
        <x:v>5</x:v>
      </x:c>
      <x:c r="AR58" s="59" t="n">
        <x:f>AN58*(1-Q58)/F58*$AS$3+U58*$AS$4+P58*$AS$5</x:f>
        <x:v>2901.8473017409005</x:v>
      </x:c>
      <x:c r="AS58" s="59" t="n">
        <x:f>1+AH58*$AS$6+AI58*$AS$7+(AJ58-1)*$AS$8+($H$10*H58+$I$10*I58+$J$10*J58+$K$10*K58+$L$10*L58)*$AU$3*$AS$9+($H$10*H58+$I$10*I58+$J$10*J58+$K$10*K58+$L$10*L58)*$AU$4*$AS$10</x:f>
        <x:v>7.256441201233879</x:v>
      </x:c>
      <x:c r="AT58" s="60" t="n">
        <x:f>ROUND(AR58*AS58,0)</x:f>
        <x:v>21057</x:v>
      </x:c>
      <x:c r="AU58" s="60" t="n">
        <x:f>ROUND(AT58*F58,0)</x:f>
        <x:v>105285</x:v>
      </x:c>
      <x:c r="AV58" s="60" t="n">
        <x:f>MIN(MATCH(B58,'主线调参'!$M$11:$M$62,1),ROWS('主线调参'!$M$11:$M$62)-1)</x:f>
        <x:v>20</x:v>
      </x:c>
      <x:c r="AW58" s="62" t="n">
        <x:f>(B58-INDEX('主线调参'!$M$11:$M$62,AV58))/(INDEX('主线调参'!$M$11:$M$62,AV58+1)-INDEX('主线调参'!$M$11:$M$62,AV58))</x:f>
        <x:v>0.5</x:v>
      </x:c>
      <x:c r="AX58" s="60" t="n">
        <x:f>IF(AU58=0,0,ROUND(AU58,2-INT(LOG10(ABS(AU58)))))</x:f>
        <x:v>105000</x:v>
      </x:c>
      <x:c r="AY58" s="62" t="n">
        <x:f>AU58/AU57-1</x:f>
        <x:v>0.04719514621046339</x:v>
      </x:c>
    </x:row>
    <x:row r="59" ht="25" customHeight="1">
      <x:c r="A59" s="40" t="n">
        <x:f>'调前玩家曲线'!A59</x:f>
        <x:v>25</x:v>
      </x:c>
      <x:c r="B59" s="40" t="n">
        <x:f>'调前玩家曲线'!B59</x:f>
        <x:v>48</x:v>
      </x:c>
      <x:c r="C59" s="40" t="n">
        <x:f>'调前玩家曲线'!C59</x:f>
        <x:v>4</x:v>
      </x:c>
      <x:c r="D59" s="40" t="n">
        <x:f>'调前玩家曲线'!D59</x:f>
        <x:v>9</x:v>
      </x:c>
      <x:c r="E59" s="40" t="n">
        <x:f>'调前玩家曲线'!E59</x:f>
        <x:v>1</x:v>
      </x:c>
      <x:c r="F59" s="40" t="n">
        <x:f>'调前玩家曲线'!F59</x:f>
        <x:v>5</x:v>
      </x:c>
      <x:c r="G59" s="63" t="n">
        <x:f>IF(B59&lt;$G$8,0,(INDEX('主线调参'!$C$11:$C$62,$AV59)+(INDEX('主线调参'!$C$11:$C$62,$AV59+1)-INDEX('主线调参'!$C$11:$C$62,$AV59))*$AW59)*'参数说明'!$C$27)</x:f>
        <x:v>0.4136742638598858</x:v>
      </x:c>
      <x:c r="H59" s="63" t="n">
        <x:f>IF(B59&lt;$H$8,0,(INDEX('主线调参'!$D$11:$D$62,$AV59)+(INDEX('主线调参'!$D$11:$D$62,$AV59+1)-INDEX('主线调参'!$D$11:$D$62,$AV59))*$AW59)*'参数说明'!$D$27)</x:f>
        <x:v>0.2916176716553152</x:v>
      </x:c>
      <x:c r="I59" s="63" t="n">
        <x:f>IF(B59&lt;$I$8,0,(INDEX('主线调参'!$E$11:$E$62,$AV59)+(INDEX('主线调参'!$E$11:$E$62,$AV59+1)-INDEX('主线调参'!$E$11:$E$62,$AV59))*$AW59)*'参数说明'!$E$27)</x:f>
        <x:v>0</x:v>
      </x:c>
      <x:c r="J59" s="63" t="n">
        <x:f>IF(B59&lt;$J$8,0,(INDEX('主线调参'!$F$11:$F$62,$AV59)+(INDEX('主线调参'!$F$11:$F$62,$AV59+1)-INDEX('主线调参'!$F$11:$F$62,$AV59))*$AW59)*'参数说明'!$F$27)</x:f>
        <x:v>0.10697899079816921</x:v>
      </x:c>
      <x:c r="K59" s="63" t="n">
        <x:f>IF(B59&lt;$K$8,0,(INDEX('主线调参'!$G$11:$G$62,$AV59)+(INDEX('主线调参'!$G$11:$G$62,$AV59+1)-INDEX('主线调参'!$G$11:$G$62,$AV59))*$AW59)*'参数说明'!$G$27)</x:f>
        <x:v>0</x:v>
      </x:c>
      <x:c r="L59" s="63" t="n">
        <x:f>IF(B59&lt;$L$8,0,(INDEX('主线调参'!$H$11:$H$62,$AV59)+(INDEX('主线调参'!$H$11:$H$62,$AV59+1)-INDEX('主线调参'!$H$11:$H$62,$AV59))*$AW59)*'参数说明'!$H$27)</x:f>
        <x:v>0.23631335144322935</x:v>
      </x:c>
      <x:c r="M59" s="59" t="n">
        <x:f>E59*'模块规划'!$F$10+G59*'模块规划'!$F$11+H59*'模块规划'!$F$13</x:f>
        <x:v>2985.636466527452</x:v>
      </x:c>
      <x:c r="N59" s="59" t="n">
        <x:f>I59*'模块规划'!$F$15+J59*'模块规划'!$F$17+K59*'模块规划'!$F$16+L59*'模块规划'!$F$18</x:f>
        <x:v>2251.356665197839</x:v>
      </x:c>
      <x:c r="O59" s="59" t="n">
        <x:f>1+O$9*SUMPRODUCT($H$10:$L$10,H59:L59)/SUM($H$10:$L$10)</x:f>
        <x:v>1.4506994122620533</x:v>
      </x:c>
      <x:c r="P59" s="59" t="n">
        <x:f>M59*O59+N59</x:f>
        <x:v>6582.617732417367</x:v>
      </x:c>
      <x:c r="Q59" s="59" t="n">
        <x:f>P59/(P59+'_曲线基线'!$L$2)</x:f>
        <x:v>0.21524049347286048</x:v>
      </x:c>
      <x:c r="R59" s="59" t="n">
        <x:f>E59*'模块规划'!$E$10+G59*'模块规划'!$E$11+H59*'模块规划'!$E$13</x:f>
        <x:v>4478.454699791178</x:v>
      </x:c>
      <x:c r="S59" s="59" t="n">
        <x:f>I59*'模块规划'!$E$15+J59*'模块规划'!$E$17+K59*'模块规划'!$E$16+L59*'模块规划'!$E$18</x:f>
        <x:v>3377.034997796758</x:v>
      </x:c>
      <x:c r="T59" s="59" t="n">
        <x:f>1+T$9*SUMPRODUCT($H$10:$L$10,H59:L59)/SUM($H$10:$L$10)</x:f>
        <x:v>1.4506994122620533</x:v>
      </x:c>
      <x:c r="U59" s="59" t="n">
        <x:f>R59*T59+S59</x:f>
        <x:v>9873.92659862605</x:v>
      </x:c>
      <x:c r="V59" s="59" t="n">
        <x:f>V$8+(V$9-V$8)*H59</x:f>
        <x:v>0.7874853014965946</x:v>
      </x:c>
      <x:c r="W59" s="59" t="n">
        <x:f>IF(B59&lt;$H$8,0,W$8+(W$9-W$8)*H59)</x:f>
        <x:v>0.1166470686621261</x:v>
      </x:c>
      <x:c r="X59" s="59" t="n">
        <x:f>X$8+(X$9-X$8)*H59</x:f>
        <x:v>0.3551948597052117</x:v>
      </x:c>
      <x:c r="Y59" s="59" t="n">
        <x:f>Y$8+(Y$9-Y$8)*G59</x:f>
        <x:v>1</x:v>
      </x:c>
      <x:c r="Z59" s="59" t="n">
        <x:f>Z$8+(Z$9-Z$8)*H59</x:f>
        <x:v>1</x:v>
      </x:c>
      <x:c r="AA59" s="59" t="n">
        <x:f>AA$8+(AA$9-AA$8)*I59</x:f>
        <x:v>1</x:v>
      </x:c>
      <x:c r="AB59" s="59" t="n">
        <x:f>AB$8+(AB$9-AB$8)*J59</x:f>
        <x:v>1</x:v>
      </x:c>
      <x:c r="AC59" s="59" t="n">
        <x:f>AC$8+(AC$9-AC$8)*MAX(K59,L59)</x:f>
        <x:v>1</x:v>
      </x:c>
      <x:c r="AD59" s="59" t="n">
        <x:f>(V59*AE59+W59*AF59+X59*AG59)*PRODUCT(Y59:AC59)</x:f>
        <x:v>1.2890070856556464</x:v>
      </x:c>
      <x:c r="AE59" s="59" t="n">
        <x:f>1+AE$9*($H$10*H59+$I$10*I59+$J$10*J59+$K$10*K59+$L$10*L59)</x:f>
        <x:v>1</x:v>
      </x:c>
      <x:c r="AF59" s="59" t="n">
        <x:f>1+AF$9*($H$10*H59+$I$10*I59+$J$10*J59+$K$10*K59+$L$10*L59)</x:f>
        <x:v>1.039778328693574</x:v>
      </x:c>
      <x:c r="AG59" s="59" t="n">
        <x:f>1+AG$9*($H$10*H59+$I$10*I59+$J$10*J59+$K$10*K59+$L$10*L59)</x:f>
        <x:v>1.0704960380736122</x:v>
      </x:c>
      <x:c r="AH59" s="59" t="n">
        <x:f>MIN(1,'_曲线基线'!$L$3+AH$9*($H$10*H59+$I$10*I59+$J$10*J59+$K$10*K59+$L$10*L59))</x:f>
        <x:v>0.1404956977778807</x:v>
      </x:c>
      <x:c r="AI59" s="59" t="n">
        <x:f>'_曲线基线'!$L$4+AI$9*($H$10*H59+$I$10*I59+$J$10*J59+$K$10*K59+$L$10*L59)</x:f>
        <x:v>2.252095158095525</x:v>
      </x:c>
      <x:c r="AJ59" s="59" t="n">
        <x:f>1+AJ$9*($H$10*H59+$I$10*I59+$J$10*J59+$K$10*K59+$L$10*L59)</x:f>
        <x:v>1.2068473092065846</x:v>
      </x:c>
      <x:c r="AK59" s="59" t="n">
        <x:f>(1+AH59*(AI59-1))*AJ59</x:f>
        <x:v>1.41914862614653</x:v>
      </x:c>
      <x:c r="AL59" s="59" t="n">
        <x:f>U59*AD59*AK59*F59</x:f>
        <x:v>90311.50601224208</x:v>
      </x:c>
      <x:c r="AM59" s="59" t="n">
        <x:f>IF($B59&lt;AM$8,0,AM$3+(AM$4-AM$3)*(POWER(AM$5,$B59-AM$8)-1)/(POWER(AM$5,$C$5-AM$8)-1))</x:f>
        <x:v>35.80046220242043</x:v>
      </x:c>
      <x:c r="AN59" s="59" t="n">
        <x:f>(((E59*'模块规划'!$D$10+G59*'模块规划'!$D$11+H59*'模块规划'!$D$13)*(1+'模块规划'!$G$14*H59)+(I59*'模块规划'!$D$15+J59*'模块规划'!$D$17+K59*'模块规划'!$D$16+L59*'模块规划'!$D$18))*(1+'模块规划'!$J$17*J59))*F59/(1-Q59)</x:f>
        <x:v>216419.26921872594</x:v>
      </x:c>
      <x:c r="AO59" s="59" t="n">
        <x:f>AL59*AM59</x:f>
        <x:v>3233193.657434938</x:v>
      </x:c>
      <x:c r="AP59" s="61" t="n">
        <x:f>IF(AO59="","",INDEX('_曲线基线'!$A$3:$A$502,MIN(ROWS('_曲线基线'!$A$3:$A$502),COUNTIF('_曲线基线'!$E$3:$E$502,"&lt;"&amp;AO59)+1)))</x:f>
        <x:v>93</x:v>
      </x:c>
      <x:c r="AQ59" s="61" t="n">
        <x:f>IF(B59&lt;=2,1,IF(B59&lt;=6,2,IF(B59&lt;=9,3,IF(B59&lt;=19,4,5))))</x:f>
        <x:v>5</x:v>
      </x:c>
      <x:c r="AR59" s="59" t="n">
        <x:f>AN59*(1-Q59)/F59*$AS$3+U59*$AS$4+P59*$AS$5</x:f>
        <x:v>2993.8077932155193</x:v>
      </x:c>
      <x:c r="AS59" s="59" t="n">
        <x:f>1+AH59*$AS$6+AI59*$AS$7+(AJ59-1)*$AS$8+($H$10*H59+$I$10*I59+$J$10*J59+$K$10*K59+$L$10*L59)*$AU$3*$AS$9+($H$10*H59+$I$10*I59+$J$10*J59+$K$10*K59+$L$10*L59)*$AU$4*$AS$10</x:f>
        <x:v>7.358380337567021</x:v>
      </x:c>
      <x:c r="AT59" s="60" t="n">
        <x:f>ROUND(AR59*AS59,0)</x:f>
        <x:v>22030</x:v>
      </x:c>
      <x:c r="AU59" s="60" t="n">
        <x:f>ROUND(AT59*F59,0)</x:f>
        <x:v>110150</x:v>
      </x:c>
      <x:c r="AV59" s="60" t="n">
        <x:f>MIN(MATCH(B59,'主线调参'!$M$11:$M$62,1),ROWS('主线调参'!$M$11:$M$62)-1)</x:f>
        <x:v>20</x:v>
      </x:c>
      <x:c r="AW59" s="62" t="n">
        <x:f>(B59-INDEX('主线调参'!$M$11:$M$62,AV59))/(INDEX('主线调参'!$M$11:$M$62,AV59+1)-INDEX('主线调参'!$M$11:$M$62,AV59))</x:f>
        <x:v>0.5714285714285714</x:v>
      </x:c>
      <x:c r="AX59" s="60" t="n">
        <x:f>IF(AU59=0,0,ROUND(AU59,2-INT(LOG10(ABS(AU59)))))</x:f>
        <x:v>110000</x:v>
      </x:c>
      <x:c r="AY59" s="62" t="n">
        <x:f>AU59/AU58-1</x:f>
        <x:v>0.04620791185828943</x:v>
      </x:c>
    </x:row>
    <x:row r="60" ht="25" customHeight="1">
      <x:c r="A60" s="40" t="n">
        <x:f>'调前玩家曲线'!A60</x:f>
        <x:v>25</x:v>
      </x:c>
      <x:c r="B60" s="40" t="n">
        <x:f>'调前玩家曲线'!B60</x:f>
        <x:v>49</x:v>
      </x:c>
      <x:c r="C60" s="40" t="n">
        <x:f>'调前玩家曲线'!C60</x:f>
        <x:v>4</x:v>
      </x:c>
      <x:c r="D60" s="40" t="n">
        <x:f>'调前玩家曲线'!D60</x:f>
        <x:v>10</x:v>
      </x:c>
      <x:c r="E60" s="40" t="n">
        <x:f>'调前玩家曲线'!E60</x:f>
        <x:v>1</x:v>
      </x:c>
      <x:c r="F60" s="40" t="n">
        <x:f>'调前玩家曲线'!F60</x:f>
        <x:v>5</x:v>
      </x:c>
      <x:c r="G60" s="63" t="n">
        <x:f>IF(B60&lt;$G$8,0,(INDEX('主线调参'!$C$11:$C$62,$AV60)+(INDEX('主线调参'!$C$11:$C$62,$AV60+1)-INDEX('主线调参'!$C$11:$C$62,$AV60))*$AW60)*'参数说明'!$C$27)</x:f>
        <x:v>0.4188515306340409</x:v>
      </x:c>
      <x:c r="H60" s="63" t="n">
        <x:f>IF(B60&lt;$H$8,0,(INDEX('主线调参'!$D$11:$D$62,$AV60)+(INDEX('主线调参'!$D$11:$D$62,$AV60+1)-INDEX('主线调参'!$D$11:$D$62,$AV60))*$AW60)*'参数说明'!$D$27)</x:f>
        <x:v>0.2971072037381287</x:v>
      </x:c>
      <x:c r="I60" s="63" t="n">
        <x:f>IF(B60&lt;$I$8,0,(INDEX('主线调参'!$E$11:$E$62,$AV60)+(INDEX('主线调参'!$E$11:$E$62,$AV60+1)-INDEX('主线调参'!$E$11:$E$62,$AV60))*$AW60)*'参数说明'!$E$27)</x:f>
        <x:v>0</x:v>
      </x:c>
      <x:c r="J60" s="63" t="n">
        <x:f>IF(B60&lt;$J$8,0,(INDEX('主线调参'!$F$11:$F$62,$AV60)+(INDEX('主线调参'!$F$11:$F$62,$AV60+1)-INDEX('主线调参'!$F$11:$F$62,$AV60))*$AW60)*'参数说明'!$F$27)</x:f>
        <x:v>0.11407011464794034</x:v>
      </x:c>
      <x:c r="K60" s="63" t="n">
        <x:f>IF(B60&lt;$K$8,0,(INDEX('主线调参'!$G$11:$G$62,$AV60)+(INDEX('主线调参'!$G$11:$G$62,$AV60+1)-INDEX('主线调参'!$G$11:$G$62,$AV60))*$AW60)*'参数说明'!$G$27)</x:f>
        <x:v>0</x:v>
      </x:c>
      <x:c r="L60" s="63" t="n">
        <x:f>IF(B60&lt;$L$8,0,(INDEX('主线调参'!$H$11:$H$62,$AV60)+(INDEX('主线调参'!$H$11:$H$62,$AV60+1)-INDEX('主线调参'!$H$11:$H$62,$AV60))*$AW60)*'参数说明'!$H$27)</x:f>
        <x:v>0.2428856125722855</x:v>
      </x:c>
      <x:c r="M60" s="59" t="n">
        <x:f>E60*'模块规划'!$F$10+G60*'模块规划'!$F$11+H60*'模块规划'!$F$13</x:f>
        <x:v>3010.4873470433963</x:v>
      </x:c>
      <x:c r="N60" s="59" t="n">
        <x:f>I60*'模块规划'!$F$15+J60*'模块规划'!$F$17+K60*'模块规划'!$F$16+L60*'模块规划'!$F$18</x:f>
        <x:v>2355.129209340831</x:v>
      </x:c>
      <x:c r="O60" s="59" t="n">
        <x:f>1+O$9*SUMPRODUCT($H$10:$L$10,H60:L60)/SUM($H$10:$L$10)</x:f>
        <x:v>1.4700295630137474</x:v>
      </x:c>
      <x:c r="P60" s="59" t="n">
        <x:f>M60*O60+N60</x:f>
        <x:v>6780.63460857345</x:v>
      </x:c>
      <x:c r="Q60" s="59" t="n">
        <x:f>P60/(P60+'_曲线基线'!$L$2)</x:f>
        <x:v>0.22028898022410537</x:v>
      </x:c>
      <x:c r="R60" s="59" t="n">
        <x:f>E60*'模块规划'!$E$10+G60*'模块规划'!$E$11+H60*'模块规划'!$E$13</x:f>
        <x:v>4515.731020565095</x:v>
      </x:c>
      <x:c r="S60" s="59" t="n">
        <x:f>I60*'模块规划'!$E$15+J60*'模块规划'!$E$17+K60*'模块规划'!$E$16+L60*'模块规划'!$E$18</x:f>
        <x:v>3532.693814011246</x:v>
      </x:c>
      <x:c r="T60" s="59" t="n">
        <x:f>1+T$9*SUMPRODUCT($H$10:$L$10,H60:L60)/SUM($H$10:$L$10)</x:f>
        <x:v>1.4700295630137474</x:v>
      </x:c>
      <x:c r="U60" s="59" t="n">
        <x:f>R60*T60+S60</x:f>
        <x:v>10170.951912860175</x:v>
      </x:c>
      <x:c r="V60" s="59" t="n">
        <x:f>V$8+(V$9-V$8)*H60</x:f>
        <x:v>0.7891321611214386</x:v>
      </x:c>
      <x:c r="W60" s="59" t="n">
        <x:f>IF(B60&lt;$H$8,0,W$8+(W$9-W$8)*H60)</x:f>
        <x:v>0.11884288149525149</x:v>
      </x:c>
      <x:c r="X60" s="59" t="n">
        <x:f>X$8+(X$9-X$8)*H60</x:f>
        <x:v>0.3567044810279854</x:v>
      </x:c>
      <x:c r="Y60" s="59" t="n">
        <x:f>Y$8+(Y$9-Y$8)*G60</x:f>
        <x:v>1</x:v>
      </x:c>
      <x:c r="Z60" s="59" t="n">
        <x:f>Z$8+(Z$9-Z$8)*H60</x:f>
        <x:v>1</x:v>
      </x:c>
      <x:c r="AA60" s="59" t="n">
        <x:f>AA$8+(AA$9-AA$8)*I60</x:f>
        <x:v>1</x:v>
      </x:c>
      <x:c r="AB60" s="59" t="n">
        <x:f>AB$8+(AB$9-AB$8)*J60</x:f>
        <x:v>1</x:v>
      </x:c>
      <x:c r="AC60" s="59" t="n">
        <x:f>AC$8+(AC$9-AC$8)*MAX(K60,L60)</x:f>
        <x:v>1</x:v>
      </x:c>
      <x:c r="AD60" s="59" t="n">
        <x:f>(V60*AE60+W60*AF60+X60*AG60)*PRODUCT(Y60:AC60)</x:f>
        <x:v>1.295834404248613</x:v>
      </x:c>
      <x:c r="AE60" s="59" t="n">
        <x:f>1+AE$9*($H$10*H60+$I$10*I60+$J$10*J60+$K$10*K60+$L$10*L60)</x:f>
        <x:v>1</x:v>
      </x:c>
      <x:c r="AF60" s="59" t="n">
        <x:f>1+AF$9*($H$10*H60+$I$10*I60+$J$10*J60+$K$10*K60+$L$10*L60)</x:f>
        <x:v>1.04148439058178</x:v>
      </x:c>
      <x:c r="AG60" s="59" t="n">
        <x:f>1+AG$9*($H$10*H60+$I$10*I60+$J$10*J60+$K$10*K60+$L$10*L60)</x:f>
        <x:v>1.0735195588643776</x:v>
      </x:c>
      <x:c r="AH60" s="59" t="n">
        <x:f>MIN(1,'_曲线基线'!$L$3+AH$9*($H$10*H60+$I$10*I60+$J$10*J60+$K$10*K60+$L$10*L60))</x:f>
        <x:v>0.1443769885735498</x:v>
      </x:c>
      <x:c r="AI60" s="59" t="n">
        <x:f>'_曲线基线'!$L$4+AI$9*($H$10*H60+$I$10*I60+$J$10*J60+$K$10*K60+$L$10*L60)</x:f>
        <x:v>2.2629073253120318</x:v>
      </x:c>
      <x:c r="AJ60" s="59" t="n">
        <x:f>1+AJ$9*($H$10*H60+$I$10*I60+$J$10*J60+$K$10*K60+$L$10*L60)</x:f>
        <x:v>1.2157188310252567</x:v>
      </x:c>
      <x:c r="AK60" s="59" t="n">
        <x:f>(1+AH60*(AI60-1))*AJ60</x:f>
        <x:v>1.4373866280235679</x:v>
      </x:c>
      <x:c r="AL60" s="59" t="n">
        <x:f>U60*AD60*AK60*F60</x:f>
        <x:v>94722.8402641455</x:v>
      </x:c>
      <x:c r="AM60" s="59" t="n">
        <x:f>IF($B60&lt;AM$8,0,AM$3+(AM$4-AM$3)*(POWER(AM$5,$B60-AM$8)-1)/(POWER(AM$5,$C$5-AM$8)-1))</x:f>
        <x:v>35.8218914643665</x:v>
      </x:c>
      <x:c r="AN60" s="59" t="n">
        <x:f>(((E60*'模块规划'!$D$10+G60*'模块规划'!$D$11+H60*'模块规划'!$D$13)*(1+'模块规划'!$G$14*H60)+(I60*'模块规划'!$D$15+J60*'模块规划'!$D$17+K60*'模块规划'!$D$16+L60*'模块规划'!$D$18))*(1+'模块规划'!$J$17*J60))*F60/(1-Q60)</x:f>
        <x:v>224931.69827091054</x:v>
      </x:c>
      <x:c r="AO60" s="59" t="n">
        <x:f>AL60*AM60</x:f>
        <x:v>3393151.3031387455</x:v>
      </x:c>
      <x:c r="AP60" s="61" t="n">
        <x:f>IF(AO60="","",INDEX('_曲线基线'!$A$3:$A$502,MIN(ROWS('_曲线基线'!$A$3:$A$502),COUNTIF('_曲线基线'!$E$3:$E$502,"&lt;"&amp;AO60)+1)))</x:f>
        <x:v>95</x:v>
      </x:c>
      <x:c r="AQ60" s="61" t="n">
        <x:f>IF(B60&lt;=2,1,IF(B60&lt;=6,2,IF(B60&lt;=9,3,IF(B60&lt;=19,4,5))))</x:f>
        <x:v>5</x:v>
      </x:c>
      <x:c r="AR60" s="59" t="n">
        <x:f>AN60*(1-Q60)/F60*$AS$3+U60*$AS$4+P60*$AS$5</x:f>
        <x:v>3086.480725604448</x:v>
      </x:c>
      <x:c r="AS60" s="59" t="n">
        <x:f>1+AH60*$AS$6+AI60*$AS$7+(AJ60-1)*$AS$8+($H$10*H60+$I$10*I60+$J$10*J60+$K$10*K60+$L$10*L60)*$AU$3*$AS$9+($H$10*H60+$I$10*I60+$J$10*J60+$K$10*K60+$L$10*L60)*$AU$4*$AS$10</x:f>
        <x:v>7.460319473900161</x:v>
      </x:c>
      <x:c r="AT60" s="60" t="n">
        <x:f>ROUND(AR60*AS60,0)</x:f>
        <x:v>23026</x:v>
      </x:c>
      <x:c r="AU60" s="60" t="n">
        <x:f>ROUND(AT60*F60,0)</x:f>
        <x:v>115130</x:v>
      </x:c>
      <x:c r="AV60" s="60" t="n">
        <x:f>MIN(MATCH(B60,'主线调参'!$M$11:$M$62,1),ROWS('主线调参'!$M$11:$M$62)-1)</x:f>
        <x:v>20</x:v>
      </x:c>
      <x:c r="AW60" s="62" t="n">
        <x:f>(B60-INDEX('主线调参'!$M$11:$M$62,AV60))/(INDEX('主线调参'!$M$11:$M$62,AV60+1)-INDEX('主线调参'!$M$11:$M$62,AV60))</x:f>
        <x:v>0.6428571428571429</x:v>
      </x:c>
      <x:c r="AX60" s="60" t="n">
        <x:f>IF(AU60=0,0,ROUND(AU60,2-INT(LOG10(ABS(AU60)))))</x:f>
        <x:v>115000</x:v>
      </x:c>
      <x:c r="AY60" s="62" t="n">
        <x:f>AU60/AU59-1</x:f>
        <x:v>0.04521107580571937</x:v>
      </x:c>
    </x:row>
    <x:row r="61" ht="25" customHeight="1">
      <x:c r="A61" s="40" t="n">
        <x:f>'调前玩家曲线'!A61</x:f>
        <x:v>25</x:v>
      </x:c>
      <x:c r="B61" s="40" t="n">
        <x:f>'调前玩家曲线'!B61</x:f>
        <x:v>50</x:v>
      </x:c>
      <x:c r="C61" s="40" t="n">
        <x:f>'调前玩家曲线'!C61</x:f>
        <x:v>4</x:v>
      </x:c>
      <x:c r="D61" s="40" t="n">
        <x:f>'调前玩家曲线'!D61</x:f>
        <x:v>11</x:v>
      </x:c>
      <x:c r="E61" s="40" t="n">
        <x:f>'调前玩家曲线'!E61</x:f>
        <x:v>1</x:v>
      </x:c>
      <x:c r="F61" s="40" t="n">
        <x:f>'调前玩家曲线'!F61</x:f>
        <x:v>5</x:v>
      </x:c>
      <x:c r="G61" s="63" t="n">
        <x:f>IF(B61&lt;$G$8,0,(INDEX('主线调参'!$C$11:$C$62,$AV61)+(INDEX('主线调参'!$C$11:$C$62,$AV61+1)-INDEX('主线调参'!$C$11:$C$62,$AV61))*$AW61)*'参数说明'!$C$27)</x:f>
        <x:v>0.42402879740819593</x:v>
      </x:c>
      <x:c r="H61" s="63" t="n">
        <x:f>IF(B61&lt;$H$8,0,(INDEX('主线调参'!$D$11:$D$62,$AV61)+(INDEX('主线调参'!$D$11:$D$62,$AV61+1)-INDEX('主线调参'!$D$11:$D$62,$AV61))*$AW61)*'参数说明'!$D$27)</x:f>
        <x:v>0.3025967358209422</x:v>
      </x:c>
      <x:c r="I61" s="63" t="n">
        <x:f>IF(B61&lt;$I$8,0,(INDEX('主线调参'!$E$11:$E$62,$AV61)+(INDEX('主线调参'!$E$11:$E$62,$AV61+1)-INDEX('主线调参'!$E$11:$E$62,$AV61))*$AW61)*'参数说明'!$E$27)</x:f>
        <x:v>0</x:v>
      </x:c>
      <x:c r="J61" s="63" t="n">
        <x:f>IF(B61&lt;$J$8,0,(INDEX('主线调参'!$F$11:$F$62,$AV61)+(INDEX('主线调参'!$F$11:$F$62,$AV61+1)-INDEX('主线调参'!$F$11:$F$62,$AV61))*$AW61)*'参数说明'!$F$27)</x:f>
        <x:v>0.12116123849771149</x:v>
      </x:c>
      <x:c r="K61" s="63" t="n">
        <x:f>IF(B61&lt;$K$8,0,(INDEX('主线调参'!$G$11:$G$62,$AV61)+(INDEX('主线调参'!$G$11:$G$62,$AV61+1)-INDEX('主线调参'!$G$11:$G$62,$AV61))*$AW61)*'参数说明'!$G$27)</x:f>
        <x:v>0</x:v>
      </x:c>
      <x:c r="L61" s="63" t="n">
        <x:f>IF(B61&lt;$L$8,0,(INDEX('主线调参'!$H$11:$H$62,$AV61)+(INDEX('主线调参'!$H$11:$H$62,$AV61+1)-INDEX('主线调参'!$H$11:$H$62,$AV61))*$AW61)*'参数说明'!$H$27)</x:f>
        <x:v>0.24945787370134162</x:v>
      </x:c>
      <x:c r="M61" s="59" t="n">
        <x:f>E61*'模块规划'!$F$10+G61*'模块规划'!$F$11+H61*'模块规划'!$F$13</x:f>
        <x:v>3035.3382275593403</x:v>
      </x:c>
      <x:c r="N61" s="59" t="n">
        <x:f>I61*'模块规划'!$F$15+J61*'模块规划'!$F$17+K61*'模块规划'!$F$16+L61*'模块规划'!$F$18</x:f>
        <x:v>2458.901753483823</x:v>
      </x:c>
      <x:c r="O61" s="59" t="n">
        <x:f>1+O$9*SUMPRODUCT($H$10:$L$10,H61:L61)/SUM($H$10:$L$10)</x:f>
        <x:v>1.4893597137654417</x:v>
      </x:c>
      <x:c r="P61" s="59" t="n">
        <x:f>M61*O61+N61</x:f>
        <x:v>6979.612227262905</x:v>
      </x:c>
      <x:c r="Q61" s="59" t="n">
        <x:f>P61/(P61+'_曲线基线'!$L$2)</x:f>
        <x:v>0.2252969525913128</x:v>
      </x:c>
      <x:c r="R61" s="59" t="n">
        <x:f>E61*'模块规划'!$E$10+G61*'模块规划'!$E$11+H61*'模块规划'!$E$13</x:f>
        <x:v>4553.007341339011</x:v>
      </x:c>
      <x:c r="S61" s="59" t="n">
        <x:f>I61*'模块规划'!$E$15+J61*'模块规划'!$E$17+K61*'模块规划'!$E$16+L61*'模块规划'!$E$18</x:f>
        <x:v>3688.352630225734</x:v>
      </x:c>
      <x:c r="T61" s="59" t="n">
        <x:f>1+T$9*SUMPRODUCT($H$10:$L$10,H61:L61)/SUM($H$10:$L$10)</x:f>
        <x:v>1.4893597137654417</x:v>
      </x:c>
      <x:c r="U61" s="59" t="n">
        <x:f>R61*T61+S61</x:f>
        <x:v>10469.418340894357</x:v>
      </x:c>
      <x:c r="V61" s="59" t="n">
        <x:f>V$8+(V$9-V$8)*H61</x:f>
        <x:v>0.7907790207462826</x:v>
      </x:c>
      <x:c r="W61" s="59" t="n">
        <x:f>IF(B61&lt;$H$8,0,W$8+(W$9-W$8)*H61)</x:f>
        <x:v>0.12103869432837688</x:v>
      </x:c>
      <x:c r="X61" s="59" t="n">
        <x:f>X$8+(X$9-X$8)*H61</x:f>
        <x:v>0.3582141023507591</x:v>
      </x:c>
      <x:c r="Y61" s="59" t="n">
        <x:f>Y$8+(Y$9-Y$8)*G61</x:f>
        <x:v>1</x:v>
      </x:c>
      <x:c r="Z61" s="59" t="n">
        <x:f>Z$8+(Z$9-Z$8)*H61</x:f>
        <x:v>1</x:v>
      </x:c>
      <x:c r="AA61" s="59" t="n">
        <x:f>AA$8+(AA$9-AA$8)*I61</x:f>
        <x:v>1</x:v>
      </x:c>
      <x:c r="AB61" s="59" t="n">
        <x:f>AB$8+(AB$9-AB$8)*J61</x:f>
        <x:v>1</x:v>
      </x:c>
      <x:c r="AC61" s="59" t="n">
        <x:f>AC$8+(AC$9-AC$8)*MAX(K61,L61)</x:f>
        <x:v>1</x:v>
      </x:c>
      <x:c r="AD61" s="59" t="n">
        <x:f>(V61*AE61+W61*AF61+X61*AG61)*PRODUCT(Y61:AC61)</x:f>
        <x:v>1.3026783439696672</x:v>
      </x:c>
      <x:c r="AE61" s="59" t="n">
        <x:f>1+AE$9*($H$10*H61+$I$10*I61+$J$10*J61+$K$10*K61+$L$10*L61)</x:f>
        <x:v>1</x:v>
      </x:c>
      <x:c r="AF61" s="59" t="n">
        <x:f>1+AF$9*($H$10*H61+$I$10*I61+$J$10*J61+$K$10*K61+$L$10*L61)</x:f>
        <x:v>1.0431904524699864</x:v>
      </x:c>
      <x:c r="AG61" s="59" t="n">
        <x:f>1+AG$9*($H$10*H61+$I$10*I61+$J$10*J61+$K$10*K61+$L$10*L61)</x:f>
        <x:v>1.0765430796551432</x:v>
      </x:c>
      <x:c r="AH61" s="59" t="n">
        <x:f>MIN(1,'_曲线基线'!$L$3+AH$9*($H$10*H61+$I$10*I61+$J$10*J61+$K$10*K61+$L$10*L61))</x:f>
        <x:v>0.14825827936921893</x:v>
      </x:c>
      <x:c r="AI61" s="59" t="n">
        <x:f>'_曲线基线'!$L$4+AI$9*($H$10*H61+$I$10*I61+$J$10*J61+$K$10*K61+$L$10*L61)</x:f>
        <x:v>2.2737194925285387</x:v>
      </x:c>
      <x:c r="AJ61" s="59" t="n">
        <x:f>1+AJ$9*($H$10*H61+$I$10*I61+$J$10*J61+$K$10*K61+$L$10*L61)</x:f>
        <x:v>1.224590352843929</x:v>
      </x:c>
      <x:c r="AK61" s="59" t="n">
        <x:f>(1+AH61*(AI61-1))*AJ61</x:f>
        <x:v>1.45584133423865</x:v>
      </x:c>
      <x:c r="AL61" s="59" t="n">
        <x:f>U61*AD61*AK61*F61</x:f>
        <x:v>99275.89185554768</x:v>
      </x:c>
      <x:c r="AM61" s="59" t="n">
        <x:f>IF($B61&lt;AM$8,0,AM$3+(AM$4-AM$3)*(POWER(AM$5,$B61-AM$8)-1)/(POWER(AM$5,$C$5-AM$8)-1))</x:f>
        <x:v>35.84353501893204</x:v>
      </x:c>
      <x:c r="AN61" s="59" t="n">
        <x:f>(((E61*'模块规划'!$D$10+G61*'模块规划'!$D$11+H61*'模块规划'!$D$13)*(1+'模块规划'!$G$14*H61)+(I61*'模块规划'!$D$15+J61*'模块规划'!$D$17+K61*'模块规划'!$D$16+L61*'模块规划'!$D$18))*(1+'模块规划'!$J$17*J61))*F61/(1-Q61)</x:f>
        <x:v>233634.33138328083</x:v>
      </x:c>
      <x:c r="AO61" s="59" t="n">
        <x:f>AL61*AM61</x:f>
        <x:v>3558398.906260033</x:v>
      </x:c>
      <x:c r="AP61" s="61" t="n">
        <x:f>IF(AO61="","",INDEX('_曲线基线'!$A$3:$A$502,MIN(ROWS('_曲线基线'!$A$3:$A$502),COUNTIF('_曲线基线'!$E$3:$E$502,"&lt;"&amp;AO61)+1)))</x:f>
        <x:v>96</x:v>
      </x:c>
      <x:c r="AQ61" s="61" t="n">
        <x:f>IF(B61&lt;=2,1,IF(B61&lt;=6,2,IF(B61&lt;=9,3,IF(B61&lt;=19,4,5))))</x:f>
        <x:v>5</x:v>
      </x:c>
      <x:c r="AR61" s="59" t="n">
        <x:f>AN61*(1-Q61)/F61*$AS$3+U61*$AS$4+P61*$AS$5</x:f>
        <x:v>3179.8670391903843</x:v>
      </x:c>
      <x:c r="AS61" s="59" t="n">
        <x:f>1+AH61*$AS$6+AI61*$AS$7+(AJ61-1)*$AS$8+($H$10*H61+$I$10*I61+$J$10*J61+$K$10*K61+$L$10*L61)*$AU$3*$AS$9+($H$10*H61+$I$10*I61+$J$10*J61+$K$10*K61+$L$10*L61)*$AU$4*$AS$10</x:f>
        <x:v>7.562258610233304</x:v>
      </x:c>
      <x:c r="AT61" s="60" t="n">
        <x:f>ROUND(AR61*AS61,0)</x:f>
        <x:v>24047</x:v>
      </x:c>
      <x:c r="AU61" s="60" t="n">
        <x:f>ROUND(AT61*F61,0)</x:f>
        <x:v>120235</x:v>
      </x:c>
      <x:c r="AV61" s="60" t="n">
        <x:f>MIN(MATCH(B61,'主线调参'!$M$11:$M$62,1),ROWS('主线调参'!$M$11:$M$62)-1)</x:f>
        <x:v>20</x:v>
      </x:c>
      <x:c r="AW61" s="62" t="n">
        <x:f>(B61-INDEX('主线调参'!$M$11:$M$62,AV61))/(INDEX('主线调参'!$M$11:$M$62,AV61+1)-INDEX('主线调参'!$M$11:$M$62,AV61))</x:f>
        <x:v>0.7142857142857143</x:v>
      </x:c>
      <x:c r="AX61" s="60" t="n">
        <x:f>IF(AU61=0,0,ROUND(AU61,2-INT(LOG10(ABS(AU61)))))</x:f>
        <x:v>120000</x:v>
      </x:c>
      <x:c r="AY61" s="62" t="n">
        <x:f>AU61/AU60-1</x:f>
        <x:v>0.044341179536176556</x:v>
      </x:c>
    </x:row>
    <x:row r="62" ht="25" customHeight="1">
      <x:c r="A62" s="40" t="n">
        <x:f>'调前玩家曲线'!A62</x:f>
        <x:v>26</x:v>
      </x:c>
      <x:c r="B62" s="40" t="n">
        <x:f>'调前玩家曲线'!B62</x:f>
        <x:v>51</x:v>
      </x:c>
      <x:c r="C62" s="40" t="n">
        <x:f>'调前玩家曲线'!C62</x:f>
        <x:v>4</x:v>
      </x:c>
      <x:c r="D62" s="40" t="n">
        <x:f>'调前玩家曲线'!D62</x:f>
        <x:v>12</x:v>
      </x:c>
      <x:c r="E62" s="40" t="n">
        <x:f>'调前玩家曲线'!E62</x:f>
        <x:v>1</x:v>
      </x:c>
      <x:c r="F62" s="40" t="n">
        <x:f>'调前玩家曲线'!F62</x:f>
        <x:v>5</x:v>
      </x:c>
      <x:c r="G62" s="63" t="n">
        <x:f>IF(B62&lt;$G$8,0,(INDEX('主线调参'!$C$11:$C$62,$AV62)+(INDEX('主线调参'!$C$11:$C$62,$AV62+1)-INDEX('主线调参'!$C$11:$C$62,$AV62))*$AW62)*'参数说明'!$C$27)</x:f>
        <x:v>0.429206064182351</x:v>
      </x:c>
      <x:c r="H62" s="63" t="n">
        <x:f>IF(B62&lt;$H$8,0,(INDEX('主线调参'!$D$11:$D$62,$AV62)+(INDEX('主线调参'!$D$11:$D$62,$AV62+1)-INDEX('主线调参'!$D$11:$D$62,$AV62))*$AW62)*'参数说明'!$D$27)</x:f>
        <x:v>0.30808626790375576</x:v>
      </x:c>
      <x:c r="I62" s="63" t="n">
        <x:f>IF(B62&lt;$I$8,0,(INDEX('主线调参'!$E$11:$E$62,$AV62)+(INDEX('主线调参'!$E$11:$E$62,$AV62+1)-INDEX('主线调参'!$E$11:$E$62,$AV62))*$AW62)*'参数说明'!$E$27)</x:f>
        <x:v>0</x:v>
      </x:c>
      <x:c r="J62" s="63" t="n">
        <x:f>IF(B62&lt;$J$8,0,(INDEX('主线调参'!$F$11:$F$62,$AV62)+(INDEX('主线调参'!$F$11:$F$62,$AV62+1)-INDEX('主线调参'!$F$11:$F$62,$AV62))*$AW62)*'参数说明'!$F$27)</x:f>
        <x:v>0.12825236234748263</x:v>
      </x:c>
      <x:c r="K62" s="63" t="n">
        <x:f>IF(B62&lt;$K$8,0,(INDEX('主线调参'!$G$11:$G$62,$AV62)+(INDEX('主线调参'!$G$11:$G$62,$AV62+1)-INDEX('主线调参'!$G$11:$G$62,$AV62))*$AW62)*'参数说明'!$G$27)</x:f>
        <x:v>0</x:v>
      </x:c>
      <x:c r="L62" s="63" t="n">
        <x:f>IF(B62&lt;$L$8,0,(INDEX('主线调参'!$H$11:$H$62,$AV62)+(INDEX('主线调参'!$H$11:$H$62,$AV62+1)-INDEX('主线调参'!$H$11:$H$62,$AV62))*$AW62)*'参数说明'!$H$27)</x:f>
        <x:v>0.2560301348303977</x:v>
      </x:c>
      <x:c r="M62" s="59" t="n">
        <x:f>E62*'模块规划'!$F$10+G62*'模块规划'!$F$11+H62*'模块规划'!$F$13</x:f>
        <x:v>3060.189108075285</x:v>
      </x:c>
      <x:c r="N62" s="59" t="n">
        <x:f>I62*'模块规划'!$F$15+J62*'模块规划'!$F$17+K62*'模块规划'!$F$16+L62*'模块规划'!$F$18</x:f>
        <x:v>2562.674297626815</x:v>
      </x:c>
      <x:c r="O62" s="59" t="n">
        <x:f>1+O$9*SUMPRODUCT($H$10:$L$10,H62:L62)/SUM($H$10:$L$10)</x:f>
        <x:v>1.5086898645171358</x:v>
      </x:c>
      <x:c r="P62" s="59" t="n">
        <x:f>M62*O62+N62</x:f>
        <x:v>7179.550588485731</x:v>
      </x:c>
      <x:c r="Q62" s="59" t="n">
        <x:f>P62/(P62+'_曲线基线'!$L$2)</x:f>
        <x:v>0.23026472328748257</x:v>
      </x:c>
      <x:c r="R62" s="59" t="n">
        <x:f>E62*'模块规划'!$E$10+G62*'模块规划'!$E$11+H62*'模块规划'!$E$13</x:f>
        <x:v>4590.283662112927</x:v>
      </x:c>
      <x:c r="S62" s="59" t="n">
        <x:f>I62*'模块规划'!$E$15+J62*'模块规划'!$E$17+K62*'模块规划'!$E$16+L62*'模块规划'!$E$18</x:f>
        <x:v>3844.0114464402222</x:v>
      </x:c>
      <x:c r="T62" s="59" t="n">
        <x:f>1+T$9*SUMPRODUCT($H$10:$L$10,H62:L62)/SUM($H$10:$L$10)</x:f>
        <x:v>1.5086898645171358</x:v>
      </x:c>
      <x:c r="U62" s="59" t="n">
        <x:f>R62*T62+S62</x:f>
        <x:v>10769.325882728597</x:v>
      </x:c>
      <x:c r="V62" s="59" t="n">
        <x:f>V$8+(V$9-V$8)*H62</x:f>
        <x:v>0.7924258803711267</x:v>
      </x:c>
      <x:c r="W62" s="59" t="n">
        <x:f>IF(B62&lt;$H$8,0,W$8+(W$9-W$8)*H62)</x:f>
        <x:v>0.1232345071615023</x:v>
      </x:c>
      <x:c r="X62" s="59" t="n">
        <x:f>X$8+(X$9-X$8)*H62</x:f>
        <x:v>0.3597237236735329</x:v>
      </x:c>
      <x:c r="Y62" s="59" t="n">
        <x:f>Y$8+(Y$9-Y$8)*G62</x:f>
        <x:v>1</x:v>
      </x:c>
      <x:c r="Z62" s="59" t="n">
        <x:f>Z$8+(Z$9-Z$8)*H62</x:f>
        <x:v>1</x:v>
      </x:c>
      <x:c r="AA62" s="59" t="n">
        <x:f>AA$8+(AA$9-AA$8)*I62</x:f>
        <x:v>1</x:v>
      </x:c>
      <x:c r="AB62" s="59" t="n">
        <x:f>AB$8+(AB$9-AB$8)*J62</x:f>
        <x:v>1</x:v>
      </x:c>
      <x:c r="AC62" s="59" t="n">
        <x:f>AC$8+(AC$9-AC$8)*MAX(K62,L62)</x:f>
        <x:v>1</x:v>
      </x:c>
      <x:c r="AD62" s="59" t="n">
        <x:f>(V62*AE62+W62*AF62+X62*AG62)*PRODUCT(Y62:AC62)</x:f>
        <x:v>1.3095389048188095</x:v>
      </x:c>
      <x:c r="AE62" s="59" t="n">
        <x:f>1+AE$9*($H$10*H62+$I$10*I62+$J$10*J62+$K$10*K62+$L$10*L62)</x:f>
        <x:v>1</x:v>
      </x:c>
      <x:c r="AF62" s="59" t="n">
        <x:f>1+AF$9*($H$10*H62+$I$10*I62+$J$10*J62+$K$10*K62+$L$10*L62)</x:f>
        <x:v>1.0448965143581925</x:v>
      </x:c>
      <x:c r="AG62" s="59" t="n">
        <x:f>1+AG$9*($H$10*H62+$I$10*I62+$J$10*J62+$K$10*K62+$L$10*L62)</x:f>
        <x:v>1.0795666004459086</x:v>
      </x:c>
      <x:c r="AH62" s="59" t="n">
        <x:f>MIN(1,'_曲线基线'!$L$3+AH$9*($H$10*H62+$I$10*I62+$J$10*J62+$K$10*K62+$L$10*L62))</x:f>
        <x:v>0.15213957016488805</x:v>
      </x:c>
      <x:c r="AI62" s="59" t="n">
        <x:f>'_曲线基线'!$L$4+AI$9*($H$10*H62+$I$10*I62+$J$10*J62+$K$10*K62+$L$10*L62)</x:f>
        <x:v>2.284531659745045</x:v>
      </x:c>
      <x:c r="AJ62" s="59" t="n">
        <x:f>1+AJ$9*($H$10*H62+$I$10*I62+$J$10*J62+$K$10*K62+$L$10*L62)</x:f>
        <x:v>1.2334618746626012</x:v>
      </x:c>
      <x:c r="AK62" s="59" t="n">
        <x:f>(1+AH62*(AI62-1))*AJ62</x:f>
        <x:v>1.4745149785610427</x:v>
      </x:c>
      <x:c r="AL62" s="59" t="n">
        <x:f>U62*AD62*AK62*F62</x:f>
        <x:v>103974.32683706062</x:v>
      </x:c>
      <x:c r="AM62" s="59" t="n">
        <x:f>IF($B62&lt;AM$8,0,AM$3+(AM$4-AM$3)*(POWER(AM$5,$B62-AM$8)-1)/(POWER(AM$5,$C$5-AM$8)-1))</x:f>
        <x:v>35.865395009043226</x:v>
      </x:c>
      <x:c r="AN62" s="59" t="n">
        <x:f>(((E62*'模块规划'!$D$10+G62*'模块规划'!$D$11+H62*'模块规划'!$D$13)*(1+'模块规划'!$G$14*H62)+(I62*'模块规划'!$D$15+J62*'模块规划'!$D$17+K62*'模块规划'!$D$16+L62*'模块规划'!$D$18))*(1+'模块规划'!$J$17*J62))*F62/(1-Q62)</x:f>
        <x:v>242529.8089697755</x:v>
      </x:c>
      <x:c r="AO62" s="59" t="n">
        <x:f>AL62*AM62</x:f>
        <x:v>3729080.302810543</x:v>
      </x:c>
      <x:c r="AP62" s="61" t="n">
        <x:f>IF(AO62="","",INDEX('_曲线基线'!$A$3:$A$502,MIN(ROWS('_曲线基线'!$A$3:$A$502),COUNTIF('_曲线基线'!$E$3:$E$502,"&lt;"&amp;AO62)+1)))</x:f>
        <x:v>98</x:v>
      </x:c>
      <x:c r="AQ62" s="61" t="n">
        <x:f>IF(B62&lt;=2,1,IF(B62&lt;=6,2,IF(B62&lt;=9,3,IF(B62&lt;=19,4,5))))</x:f>
        <x:v>5</x:v>
      </x:c>
      <x:c r="AR62" s="59" t="n">
        <x:f>AN62*(1-Q62)/F62*$AS$3+U62*$AS$4+P62*$AS$5</x:f>
        <x:v>3273.967674256024</x:v>
      </x:c>
      <x:c r="AS62" s="59" t="n">
        <x:f>1+AH62*$AS$6+AI62*$AS$7+(AJ62-1)*$AS$8+($H$10*H62+$I$10*I62+$J$10*J62+$K$10*K62+$L$10*L62)*$AU$3*$AS$9+($H$10*H62+$I$10*I62+$J$10*J62+$K$10*K62+$L$10*L62)*$AU$4*$AS$10</x:f>
        <x:v>7.664197746566444</x:v>
      </x:c>
      <x:c r="AT62" s="60" t="n">
        <x:f>ROUND(AR62*AS62,0)</x:f>
        <x:v>25092</x:v>
      </x:c>
      <x:c r="AU62" s="60" t="n">
        <x:f>ROUND(AT62*F62,0)</x:f>
        <x:v>125460</x:v>
      </x:c>
      <x:c r="AV62" s="60" t="n">
        <x:f>MIN(MATCH(B62,'主线调参'!$M$11:$M$62,1),ROWS('主线调参'!$M$11:$M$62)-1)</x:f>
        <x:v>20</x:v>
      </x:c>
      <x:c r="AW62" s="62" t="n">
        <x:f>(B62-INDEX('主线调参'!$M$11:$M$62,AV62))/(INDEX('主线调参'!$M$11:$M$62,AV62+1)-INDEX('主线调参'!$M$11:$M$62,AV62))</x:f>
        <x:v>0.7857142857142857</x:v>
      </x:c>
      <x:c r="AX62" s="60" t="n">
        <x:f>IF(AU62=0,0,ROUND(AU62,2-INT(LOG10(ABS(AU62)))))</x:f>
        <x:v>125000</x:v>
      </x:c>
      <x:c r="AY62" s="62" t="n">
        <x:f>AU62/AU61-1</x:f>
        <x:v>0.043456564228386174</x:v>
      </x:c>
    </x:row>
    <x:row r="63" ht="25" customHeight="1">
      <x:c r="A63" s="40" t="n">
        <x:f>'调前玩家曲线'!A63</x:f>
        <x:v>26</x:v>
      </x:c>
      <x:c r="B63" s="40" t="n">
        <x:f>'调前玩家曲线'!B63</x:f>
        <x:v>52</x:v>
      </x:c>
      <x:c r="C63" s="40" t="n">
        <x:f>'调前玩家曲线'!C63</x:f>
        <x:v>4</x:v>
      </x:c>
      <x:c r="D63" s="40" t="n">
        <x:f>'调前玩家曲线'!D63</x:f>
        <x:v>13</x:v>
      </x:c>
      <x:c r="E63" s="40" t="n">
        <x:f>'调前玩家曲线'!E63</x:f>
        <x:v>1</x:v>
      </x:c>
      <x:c r="F63" s="40" t="n">
        <x:f>'调前玩家曲线'!F63</x:f>
        <x:v>5</x:v>
      </x:c>
      <x:c r="G63" s="63" t="n">
        <x:f>IF(B63&lt;$G$8,0,(INDEX('主线调参'!$C$11:$C$62,$AV63)+(INDEX('主线调参'!$C$11:$C$62,$AV63+1)-INDEX('主线调参'!$C$11:$C$62,$AV63))*$AW63)*'参数说明'!$C$27)</x:f>
        <x:v>0.434383330956506</x:v>
      </x:c>
      <x:c r="H63" s="63" t="n">
        <x:f>IF(B63&lt;$H$8,0,(INDEX('主线调参'!$D$11:$D$62,$AV63)+(INDEX('主线调参'!$D$11:$D$62,$AV63+1)-INDEX('主线调参'!$D$11:$D$62,$AV63))*$AW63)*'参数说明'!$D$27)</x:f>
        <x:v>0.3135757999865692</x:v>
      </x:c>
      <x:c r="I63" s="63" t="n">
        <x:f>IF(B63&lt;$I$8,0,(INDEX('主线调参'!$E$11:$E$62,$AV63)+(INDEX('主线调参'!$E$11:$E$62,$AV63+1)-INDEX('主线调参'!$E$11:$E$62,$AV63))*$AW63)*'参数说明'!$E$27)</x:f>
        <x:v>0</x:v>
      </x:c>
      <x:c r="J63" s="63" t="n">
        <x:f>IF(B63&lt;$J$8,0,(INDEX('主线调参'!$F$11:$F$62,$AV63)+(INDEX('主线调参'!$F$11:$F$62,$AV63+1)-INDEX('主线调参'!$F$11:$F$62,$AV63))*$AW63)*'参数说明'!$F$27)</x:f>
        <x:v>0.13534348619725378</x:v>
      </x:c>
      <x:c r="K63" s="63" t="n">
        <x:f>IF(B63&lt;$K$8,0,(INDEX('主线调参'!$G$11:$G$62,$AV63)+(INDEX('主线调参'!$G$11:$G$62,$AV63+1)-INDEX('主线调参'!$G$11:$G$62,$AV63))*$AW63)*'参数说明'!$G$27)</x:f>
        <x:v>0</x:v>
      </x:c>
      <x:c r="L63" s="63" t="n">
        <x:f>IF(B63&lt;$L$8,0,(INDEX('主线调参'!$H$11:$H$62,$AV63)+(INDEX('主线调参'!$H$11:$H$62,$AV63+1)-INDEX('主线调参'!$H$11:$H$62,$AV63))*$AW63)*'参数说明'!$H$27)</x:f>
        <x:v>0.26260239595945384</x:v>
      </x:c>
      <x:c r="M63" s="59" t="n">
        <x:f>E63*'模块规划'!$F$10+G63*'模块规划'!$F$11+H63*'模块规划'!$F$13</x:f>
        <x:v>3085.039988591229</x:v>
      </x:c>
      <x:c r="N63" s="59" t="n">
        <x:f>I63*'模块规划'!$F$15+J63*'模块规划'!$F$17+K63*'模块规划'!$F$16+L63*'模块规划'!$F$18</x:f>
        <x:v>2666.446841769807</x:v>
      </x:c>
      <x:c r="O63" s="59" t="n">
        <x:f>1+O$9*SUMPRODUCT($H$10:$L$10,H63:L63)/SUM($H$10:$L$10)</x:f>
        <x:v>1.5280200152688301</x:v>
      </x:c>
      <x:c r="P63" s="59" t="n">
        <x:f>M63*O63+N63</x:f>
        <x:v>7380.4496922419285</x:v>
      </x:c>
      <x:c r="Q63" s="59" t="n">
        <x:f>P63/(P63+'_曲线基线'!$L$2)</x:f>
        <x:v>0.23519260445992174</x:v>
      </x:c>
      <x:c r="R63" s="59" t="n">
        <x:f>E63*'模块规划'!$E$10+G63*'模块规划'!$E$11+H63*'模块规划'!$E$13</x:f>
        <x:v>4627.5599828868435</x:v>
      </x:c>
      <x:c r="S63" s="59" t="n">
        <x:f>I63*'模块规划'!$E$15+J63*'模块规划'!$E$17+K63*'模块规划'!$E$16+L63*'模块规划'!$E$18</x:f>
        <x:v>3999.6702626547103</x:v>
      </x:c>
      <x:c r="T63" s="59" t="n">
        <x:f>1+T$9*SUMPRODUCT($H$10:$L$10,H63:L63)/SUM($H$10:$L$10)</x:f>
        <x:v>1.5280200152688301</x:v>
      </x:c>
      <x:c r="U63" s="59" t="n">
        <x:f>R63*T63+S63</x:f>
        <x:v>11070.674538362891</x:v>
      </x:c>
      <x:c r="V63" s="59" t="n">
        <x:f>V$8+(V$9-V$8)*H63</x:f>
        <x:v>0.7940727399959707</x:v>
      </x:c>
      <x:c r="W63" s="59" t="n">
        <x:f>IF(B63&lt;$H$8,0,W$8+(W$9-W$8)*H63)</x:f>
        <x:v>0.1254303199946277</x:v>
      </x:c>
      <x:c r="X63" s="59" t="n">
        <x:f>X$8+(X$9-X$8)*H63</x:f>
        <x:v>0.36123334499630655</x:v>
      </x:c>
      <x:c r="Y63" s="59" t="n">
        <x:f>Y$8+(Y$9-Y$8)*G63</x:f>
        <x:v>1</x:v>
      </x:c>
      <x:c r="Z63" s="59" t="n">
        <x:f>Z$8+(Z$9-Z$8)*H63</x:f>
        <x:v>1</x:v>
      </x:c>
      <x:c r="AA63" s="59" t="n">
        <x:f>AA$8+(AA$9-AA$8)*I63</x:f>
        <x:v>1</x:v>
      </x:c>
      <x:c r="AB63" s="59" t="n">
        <x:f>AB$8+(AB$9-AB$8)*J63</x:f>
        <x:v>1</x:v>
      </x:c>
      <x:c r="AC63" s="59" t="n">
        <x:f>AC$8+(AC$9-AC$8)*MAX(K63,L63)</x:f>
        <x:v>1</x:v>
      </x:c>
      <x:c r="AD63" s="59" t="n">
        <x:f>(V63*AE63+W63*AF63+X63*AG63)*PRODUCT(Y63:AC63)</x:f>
        <x:v>1.316416086796039</x:v>
      </x:c>
      <x:c r="AE63" s="59" t="n">
        <x:f>1+AE$9*($H$10*H63+$I$10*I63+$J$10*J63+$K$10*K63+$L$10*L63)</x:f>
        <x:v>1</x:v>
      </x:c>
      <x:c r="AF63" s="59" t="n">
        <x:f>1+AF$9*($H$10*H63+$I$10*I63+$J$10*J63+$K$10*K63+$L$10*L63)</x:f>
        <x:v>1.0466025762463989</x:v>
      </x:c>
      <x:c r="AG63" s="59" t="n">
        <x:f>1+AG$9*($H$10*H63+$I$10*I63+$J$10*J63+$K$10*K63+$L$10*L63)</x:f>
        <x:v>1.082590121236674</x:v>
      </x:c>
      <x:c r="AH63" s="59" t="n">
        <x:f>MIN(1,'_曲线基线'!$L$3+AH$9*($H$10*H63+$I$10*I63+$J$10*J63+$K$10*K63+$L$10*L63))</x:f>
        <x:v>0.15602086096055717</x:v>
      </x:c>
      <x:c r="AI63" s="59" t="n">
        <x:f>'_曲线基线'!$L$4+AI$9*($H$10*H63+$I$10*I63+$J$10*J63+$K$10*K63+$L$10*L63)</x:f>
        <x:v>2.295343826961552</x:v>
      </x:c>
      <x:c r="AJ63" s="59" t="n">
        <x:f>1+AJ$9*($H$10*H63+$I$10*I63+$J$10*J63+$K$10*K63+$L$10*L63)</x:f>
        <x:v>1.2423333964812735</x:v>
      </x:c>
      <x:c r="AK63" s="59" t="n">
        <x:f>(1+AH63*(AI63-1))*AJ63</x:f>
        <x:v>1.4934097947600136</x:v>
      </x:c>
      <x:c r="AL63" s="59" t="n">
        <x:f>U63*AD63*AK63*F63</x:f>
        <x:v>108821.88986636115</x:v>
      </x:c>
      <x:c r="AM63" s="59" t="n">
        <x:f>IF($B63&lt;AM$8,0,AM$3+(AM$4-AM$3)*(POWER(AM$5,$B63-AM$8)-1)/(POWER(AM$5,$C$5-AM$8)-1))</x:f>
        <x:v>35.887473599055525</x:v>
      </x:c>
      <x:c r="AN63" s="59" t="n">
        <x:f>(((E63*'模块规划'!$D$10+G63*'模块规划'!$D$11+H63*'模块规划'!$D$13)*(1+'模块规划'!$G$14*H63)+(I63*'模块规划'!$D$15+J63*'模块规划'!$D$17+K63*'模块规划'!$D$16+L63*'模块规划'!$D$18))*(1+'模块规划'!$J$17*J63))*F63/(1-Q63)</x:f>
        <x:v>251620.79371110108</x:v>
      </x:c>
      <x:c r="AO63" s="59" t="n">
        <x:f>AL63*AM63</x:f>
        <x:v>3905342.6995783634</x:v>
      </x:c>
      <x:c r="AP63" s="61" t="n">
        <x:f>IF(AO63="","",INDEX('_曲线基线'!$A$3:$A$502,MIN(ROWS('_曲线基线'!$A$3:$A$502),COUNTIF('_曲线基线'!$E$3:$E$502,"&lt;"&amp;AO63)+1)))</x:f>
        <x:v>100</x:v>
      </x:c>
      <x:c r="AQ63" s="61" t="n">
        <x:f>IF(B63&lt;=2,1,IF(B63&lt;=6,2,IF(B63&lt;=9,3,IF(B63&lt;=19,4,5))))</x:f>
        <x:v>5</x:v>
      </x:c>
      <x:c r="AR63" s="59" t="n">
        <x:f>AN63*(1-Q63)/F63*$AS$3+U63*$AS$4+P63*$AS$5</x:f>
        <x:v>3368.7835710840654</x:v>
      </x:c>
      <x:c r="AS63" s="59" t="n">
        <x:f>1+AH63*$AS$6+AI63*$AS$7+(AJ63-1)*$AS$8+($H$10*H63+$I$10*I63+$J$10*J63+$K$10*K63+$L$10*L63)*$AU$3*$AS$9+($H$10*H63+$I$10*I63+$J$10*J63+$K$10*K63+$L$10*L63)*$AU$4*$AS$10</x:f>
        <x:v>7.766136882899586</x:v>
      </x:c>
      <x:c r="AT63" s="60" t="n">
        <x:f>ROUND(AR63*AS63,0)</x:f>
        <x:v>26162</x:v>
      </x:c>
      <x:c r="AU63" s="60" t="n">
        <x:f>ROUND(AT63*F63,0)</x:f>
        <x:v>130810</x:v>
      </x:c>
      <x:c r="AV63" s="60" t="n">
        <x:f>MIN(MATCH(B63,'主线调参'!$M$11:$M$62,1),ROWS('主线调参'!$M$11:$M$62)-1)</x:f>
        <x:v>20</x:v>
      </x:c>
      <x:c r="AW63" s="62" t="n">
        <x:f>(B63-INDEX('主线调参'!$M$11:$M$62,AV63))/(INDEX('主线调参'!$M$11:$M$62,AV63+1)-INDEX('主线调参'!$M$11:$M$62,AV63))</x:f>
        <x:v>0.8571428571428571</x:v>
      </x:c>
      <x:c r="AX63" s="60" t="n">
        <x:f>IF(AU63=0,0,ROUND(AU63,2-INT(LOG10(ABS(AU63)))))</x:f>
        <x:v>131000</x:v>
      </x:c>
      <x:c r="AY63" s="62" t="n">
        <x:f>AU63/AU62-1</x:f>
        <x:v>0.042643073489558425</x:v>
      </x:c>
    </x:row>
    <x:row r="64" ht="25" customHeight="1">
      <x:c r="A64" s="40" t="n">
        <x:f>'调前玩家曲线'!A64</x:f>
        <x:v>26</x:v>
      </x:c>
      <x:c r="B64" s="40" t="n">
        <x:f>'调前玩家曲线'!B64</x:f>
        <x:v>53</x:v>
      </x:c>
      <x:c r="C64" s="40" t="n">
        <x:f>'调前玩家曲线'!C64</x:f>
        <x:v>4</x:v>
      </x:c>
      <x:c r="D64" s="40" t="n">
        <x:f>'调前玩家曲线'!D64</x:f>
        <x:v>14</x:v>
      </x:c>
      <x:c r="E64" s="40" t="n">
        <x:f>'调前玩家曲线'!E64</x:f>
        <x:v>1</x:v>
      </x:c>
      <x:c r="F64" s="40" t="n">
        <x:f>'调前玩家曲线'!F64</x:f>
        <x:v>5</x:v>
      </x:c>
      <x:c r="G64" s="63" t="n">
        <x:f>IF(B64&lt;$G$8,0,(INDEX('主线调参'!$C$11:$C$62,$AV64)+(INDEX('主线调参'!$C$11:$C$62,$AV64+1)-INDEX('主线调参'!$C$11:$C$62,$AV64))*$AW64)*'参数说明'!$C$27)</x:f>
        <x:v>0.4395605977306611</x:v>
      </x:c>
      <x:c r="H64" s="63" t="n">
        <x:f>IF(B64&lt;$H$8,0,(INDEX('主线调参'!$D$11:$D$62,$AV64)+(INDEX('主线调参'!$D$11:$D$62,$AV64+1)-INDEX('主线调参'!$D$11:$D$62,$AV64))*$AW64)*'参数说明'!$D$27)</x:f>
        <x:v>0.3190653320693827</x:v>
      </x:c>
      <x:c r="I64" s="63" t="n">
        <x:f>IF(B64&lt;$I$8,0,(INDEX('主线调参'!$E$11:$E$62,$AV64)+(INDEX('主线调参'!$E$11:$E$62,$AV64+1)-INDEX('主线调参'!$E$11:$E$62,$AV64))*$AW64)*'参数说明'!$E$27)</x:f>
        <x:v>0</x:v>
      </x:c>
      <x:c r="J64" s="63" t="n">
        <x:f>IF(B64&lt;$J$8,0,(INDEX('主线调参'!$F$11:$F$62,$AV64)+(INDEX('主线调参'!$F$11:$F$62,$AV64+1)-INDEX('主线调参'!$F$11:$F$62,$AV64))*$AW64)*'参数说明'!$F$27)</x:f>
        <x:v>0.14243461004702496</x:v>
      </x:c>
      <x:c r="K64" s="63" t="n">
        <x:f>IF(B64&lt;$K$8,0,(INDEX('主线调参'!$G$11:$G$62,$AV64)+(INDEX('主线调参'!$G$11:$G$62,$AV64+1)-INDEX('主线调参'!$G$11:$G$62,$AV64))*$AW64)*'参数说明'!$G$27)</x:f>
        <x:v>0</x:v>
      </x:c>
      <x:c r="L64" s="63" t="n">
        <x:f>IF(B64&lt;$L$8,0,(INDEX('主线调参'!$H$11:$H$62,$AV64)+(INDEX('主线调参'!$H$11:$H$62,$AV64+1)-INDEX('主线调参'!$H$11:$H$62,$AV64))*$AW64)*'参数说明'!$H$27)</x:f>
        <x:v>0.26917465708850996</x:v>
      </x:c>
      <x:c r="M64" s="59" t="n">
        <x:f>E64*'模块规划'!$F$10+G64*'模块规划'!$F$11+H64*'模块规划'!$F$13</x:f>
        <x:v>3109.8908691071733</x:v>
      </x:c>
      <x:c r="N64" s="59" t="n">
        <x:f>I64*'模块规划'!$F$15+J64*'模块规划'!$F$17+K64*'模块规划'!$F$16+L64*'模块规划'!$F$18</x:f>
        <x:v>2770.219385912799</x:v>
      </x:c>
      <x:c r="O64" s="59" t="n">
        <x:f>1+O$9*SUMPRODUCT($H$10:$L$10,H64:L64)/SUM($H$10:$L$10)</x:f>
        <x:v>1.5473501660205242</x:v>
      </x:c>
      <x:c r="P64" s="59" t="n">
        <x:f>M64*O64+N64</x:f>
        <x:v>7582.309538531496</x:v>
      </x:c>
      <x:c r="Q64" s="59" t="n">
        <x:f>P64/(P64+'_曲线基线'!$L$2)</x:f>
        <x:v>0.24008090761319467</x:v>
      </x:c>
      <x:c r="R64" s="59" t="n">
        <x:f>E64*'模块规划'!$E$10+G64*'模块规划'!$E$11+H64*'模块规划'!$E$13</x:f>
        <x:v>4664.83630366076</x:v>
      </x:c>
      <x:c r="S64" s="59" t="n">
        <x:f>I64*'模块规划'!$E$15+J64*'模块规划'!$E$17+K64*'模块规划'!$E$16+L64*'模块规划'!$E$18</x:f>
        <x:v>4155.329078869199</x:v>
      </x:c>
      <x:c r="T64" s="59" t="n">
        <x:f>1+T$9*SUMPRODUCT($H$10:$L$10,H64:L64)/SUM($H$10:$L$10)</x:f>
        <x:v>1.5473501660205242</x:v>
      </x:c>
      <x:c r="U64" s="59" t="n">
        <x:f>R64*T64+S64</x:f>
        <x:v>11373.464307797243</x:v>
      </x:c>
      <x:c r="V64" s="59" t="n">
        <x:f>V$8+(V$9-V$8)*H64</x:f>
        <x:v>0.7957195996208147</x:v>
      </x:c>
      <x:c r="W64" s="59" t="n">
        <x:f>IF(B64&lt;$H$8,0,W$8+(W$9-W$8)*H64)</x:f>
        <x:v>0.1276261328277531</x:v>
      </x:c>
      <x:c r="X64" s="59" t="n">
        <x:f>X$8+(X$9-X$8)*H64</x:f>
        <x:v>0.36274296631908026</x:v>
      </x:c>
      <x:c r="Y64" s="59" t="n">
        <x:f>Y$8+(Y$9-Y$8)*G64</x:f>
        <x:v>1</x:v>
      </x:c>
      <x:c r="Z64" s="59" t="n">
        <x:f>Z$8+(Z$9-Z$8)*H64</x:f>
        <x:v>1</x:v>
      </x:c>
      <x:c r="AA64" s="59" t="n">
        <x:f>AA$8+(AA$9-AA$8)*I64</x:f>
        <x:v>1</x:v>
      </x:c>
      <x:c r="AB64" s="59" t="n">
        <x:f>AB$8+(AB$9-AB$8)*J64</x:f>
        <x:v>1</x:v>
      </x:c>
      <x:c r="AC64" s="59" t="n">
        <x:f>AC$8+(AC$9-AC$8)*MAX(K64,L64)</x:f>
        <x:v>1</x:v>
      </x:c>
      <x:c r="AD64" s="59" t="n">
        <x:f>(V64*AE64+W64*AF64+X64*AG64)*PRODUCT(Y64:AC64)</x:f>
        <x:v>1.3233098899013565</x:v>
      </x:c>
      <x:c r="AE64" s="59" t="n">
        <x:f>1+AE$9*($H$10*H64+$I$10*I64+$J$10*J64+$K$10*K64+$L$10*L64)</x:f>
        <x:v>1</x:v>
      </x:c>
      <x:c r="AF64" s="59" t="n">
        <x:f>1+AF$9*($H$10*H64+$I$10*I64+$J$10*J64+$K$10*K64+$L$10*L64)</x:f>
        <x:v>1.048308638134605</x:v>
      </x:c>
      <x:c r="AG64" s="59" t="n">
        <x:f>1+AG$9*($H$10*H64+$I$10*I64+$J$10*J64+$K$10*K64+$L$10*L64)</x:f>
        <x:v>1.0856136420274396</x:v>
      </x:c>
      <x:c r="AH64" s="59" t="n">
        <x:f>MIN(1,'_曲线基线'!$L$3+AH$9*($H$10*H64+$I$10*I64+$J$10*J64+$K$10*K64+$L$10*L64))</x:f>
        <x:v>0.1599021517562263</x:v>
      </x:c>
      <x:c r="AI64" s="59" t="n">
        <x:f>'_曲线基线'!$L$4+AI$9*($H$10*H64+$I$10*I64+$J$10*J64+$K$10*K64+$L$10*L64)</x:f>
        <x:v>2.306155994178059</x:v>
      </x:c>
      <x:c r="AJ64" s="59" t="n">
        <x:f>1+AJ$9*($H$10*H64+$I$10*I64+$J$10*J64+$K$10*K64+$L$10*L64)</x:f>
        <x:v>1.2512049182999458</x:v>
      </x:c>
      <x:c r="AK64" s="59" t="n">
        <x:f>(1+AH64*(AI64-1))*AJ64</x:f>
        <x:v>1.5125280166048287</x:v>
      </x:c>
      <x:c r="AL64" s="59" t="n">
        <x:f>U64*AD64*AK64*F64</x:f>
        <x:v>113822.40545572739</x:v>
      </x:c>
      <x:c r="AM64" s="59" t="n">
        <x:f>IF($B64&lt;AM$8,0,AM$3+(AM$4-AM$3)*(POWER(AM$5,$B64-AM$8)-1)/(POWER(AM$5,$C$5-AM$8)-1))</x:f>
        <x:v>35.90977297496795</x:v>
      </x:c>
      <x:c r="AN64" s="59" t="n">
        <x:f>(((E64*'模块规划'!$D$10+G64*'模块规划'!$D$11+H64*'模块规划'!$D$13)*(1+'模块规划'!$G$14*H64)+(I64*'模块规划'!$D$15+J64*'模块规划'!$D$17+K64*'模块规划'!$D$16+L64*'模块规划'!$D$18))*(1+'模块规划'!$J$17*J64))*F64/(1-Q64)</x:f>
        <x:v>260909.970617466</x:v>
      </x:c>
      <x:c r="AO64" s="59" t="n">
        <x:f>AL64*AM64</x:f>
        <x:v>4087336.7393799243</x:v>
      </x:c>
      <x:c r="AP64" s="61" t="n">
        <x:f>IF(AO64="","",INDEX('_曲线基线'!$A$3:$A$502,MIN(ROWS('_曲线基线'!$A$3:$A$502),COUNTIF('_曲线基线'!$E$3:$E$502,"&lt;"&amp;AO64)+1)))</x:f>
        <x:v>102</x:v>
      </x:c>
      <x:c r="AQ64" s="61" t="n">
        <x:f>IF(B64&lt;=2,1,IF(B64&lt;=6,2,IF(B64&lt;=9,3,IF(B64&lt;=19,4,5))))</x:f>
        <x:v>5</x:v>
      </x:c>
      <x:c r="AR64" s="59" t="n">
        <x:f>AN64*(1-Q64)/F64*$AS$3+U64*$AS$4+P64*$AS$5</x:f>
        <x:v>3464.315669957206</x:v>
      </x:c>
      <x:c r="AS64" s="59" t="n">
        <x:f>1+AH64*$AS$6+AI64*$AS$7+(AJ64-1)*$AS$8+($H$10*H64+$I$10*I64+$J$10*J64+$K$10*K64+$L$10*L64)*$AU$3*$AS$9+($H$10*H64+$I$10*I64+$J$10*J64+$K$10*K64+$L$10*L64)*$AU$4*$AS$10</x:f>
        <x:v>7.868076019232728</x:v>
      </x:c>
      <x:c r="AT64" s="60" t="n">
        <x:f>ROUND(AR64*AS64,0)</x:f>
        <x:v>27257</x:v>
      </x:c>
      <x:c r="AU64" s="60" t="n">
        <x:f>ROUND(AT64*F64,0)</x:f>
        <x:v>136285</x:v>
      </x:c>
      <x:c r="AV64" s="60" t="n">
        <x:f>MIN(MATCH(B64,'主线调参'!$M$11:$M$62,1),ROWS('主线调参'!$M$11:$M$62)-1)</x:f>
        <x:v>20</x:v>
      </x:c>
      <x:c r="AW64" s="62" t="n">
        <x:f>(B64-INDEX('主线调参'!$M$11:$M$62,AV64))/(INDEX('主线调参'!$M$11:$M$62,AV64+1)-INDEX('主线调参'!$M$11:$M$62,AV64))</x:f>
        <x:v>0.9285714285714286</x:v>
      </x:c>
      <x:c r="AX64" s="60" t="n">
        <x:f>IF(AU64=0,0,ROUND(AU64,2-INT(LOG10(ABS(AU64)))))</x:f>
        <x:v>136000</x:v>
      </x:c>
      <x:c r="AY64" s="62" t="n">
        <x:f>AU64/AU63-1</x:f>
        <x:v>0.04185459827230331</x:v>
      </x:c>
    </x:row>
    <x:row r="65" ht="25" customHeight="1">
      <x:c r="A65" s="40" t="n">
        <x:f>'调前玩家曲线'!A65</x:f>
        <x:v>27</x:v>
      </x:c>
      <x:c r="B65" s="40" t="n">
        <x:f>'调前玩家曲线'!B65</x:f>
        <x:v>54</x:v>
      </x:c>
      <x:c r="C65" s="40" t="n">
        <x:f>'调前玩家曲线'!C65</x:f>
        <x:v>4</x:v>
      </x:c>
      <x:c r="D65" s="40" t="n">
        <x:f>'调前玩家曲线'!D65</x:f>
        <x:v>15</x:v>
      </x:c>
      <x:c r="E65" s="40" t="n">
        <x:f>'调前玩家曲线'!E65</x:f>
        <x:v>1</x:v>
      </x:c>
      <x:c r="F65" s="40" t="n">
        <x:f>'调前玩家曲线'!F65</x:f>
        <x:v>5</x:v>
      </x:c>
      <x:c r="G65" s="63" t="n">
        <x:f>IF(B65&lt;$G$8,0,(INDEX('主线调参'!$C$11:$C$62,$AV65)+(INDEX('主线调参'!$C$11:$C$62,$AV65+1)-INDEX('主线调参'!$C$11:$C$62,$AV65))*$AW65)*'参数说明'!$C$27)</x:f>
        <x:v>0.4447378645048161</x:v>
      </x:c>
      <x:c r="H65" s="63" t="n">
        <x:f>IF(B65&lt;$H$8,0,(INDEX('主线调参'!$D$11:$D$62,$AV65)+(INDEX('主线调参'!$D$11:$D$62,$AV65+1)-INDEX('主线调参'!$D$11:$D$62,$AV65))*$AW65)*'参数说明'!$D$27)</x:f>
        <x:v>0.3245548641521962</x:v>
      </x:c>
      <x:c r="I65" s="63" t="n">
        <x:f>IF(B65&lt;$I$8,0,(INDEX('主线调参'!$E$11:$E$62,$AV65)+(INDEX('主线调参'!$E$11:$E$62,$AV65+1)-INDEX('主线调参'!$E$11:$E$62,$AV65))*$AW65)*'参数说明'!$E$27)</x:f>
        <x:v>0</x:v>
      </x:c>
      <x:c r="J65" s="63" t="n">
        <x:f>IF(B65&lt;$J$8,0,(INDEX('主线调参'!$F$11:$F$62,$AV65)+(INDEX('主线调参'!$F$11:$F$62,$AV65+1)-INDEX('主线调参'!$F$11:$F$62,$AV65))*$AW65)*'参数说明'!$F$27)</x:f>
        <x:v>0.14952573389679608</x:v>
      </x:c>
      <x:c r="K65" s="63" t="n">
        <x:f>IF(B65&lt;$K$8,0,(INDEX('主线调参'!$G$11:$G$62,$AV65)+(INDEX('主线调参'!$G$11:$G$62,$AV65+1)-INDEX('主线调参'!$G$11:$G$62,$AV65))*$AW65)*'参数说明'!$G$27)</x:f>
        <x:v>0</x:v>
      </x:c>
      <x:c r="L65" s="63" t="n">
        <x:f>IF(B65&lt;$L$8,0,(INDEX('主线调参'!$H$11:$H$62,$AV65)+(INDEX('主线调参'!$H$11:$H$62,$AV65+1)-INDEX('主线调参'!$H$11:$H$62,$AV65))*$AW65)*'参数说明'!$H$27)</x:f>
        <x:v>0.27574691821756614</x:v>
      </x:c>
      <x:c r="M65" s="59" t="n">
        <x:f>E65*'模块规划'!$F$10+G65*'模块规划'!$F$11+H65*'模块规划'!$F$13</x:f>
        <x:v>3134.7417496231174</x:v>
      </x:c>
      <x:c r="N65" s="59" t="n">
        <x:f>I65*'模块规划'!$F$15+J65*'模块规划'!$F$17+K65*'模块规划'!$F$16+L65*'模块规划'!$F$18</x:f>
        <x:v>2873.9919300557913</x:v>
      </x:c>
      <x:c r="O65" s="59" t="n">
        <x:f>1+O$9*SUMPRODUCT($H$10:$L$10,H65:L65)/SUM($H$10:$L$10)</x:f>
        <x:v>1.5666803167722185</x:v>
      </x:c>
      <x:c r="P65" s="59" t="n">
        <x:f>M65*O65+N65</x:f>
        <x:v>7785.130127354435</x:v>
      </x:c>
      <x:c r="Q65" s="59" t="n">
        <x:f>P65/(P65+'_曲线基线'!$L$2)</x:f>
        <x:v>0.24492994353527955</x:v>
      </x:c>
      <x:c r="R65" s="59" t="n">
        <x:f>E65*'模块规划'!$E$10+G65*'模块规划'!$E$11+H65*'模块规划'!$E$13</x:f>
        <x:v>4702.112624434676</x:v>
      </x:c>
      <x:c r="S65" s="59" t="n">
        <x:f>I65*'模块规划'!$E$15+J65*'模块规划'!$E$17+K65*'模块规划'!$E$16+L65*'模块规划'!$E$18</x:f>
        <x:v>4310.987895083686</x:v>
      </x:c>
      <x:c r="T65" s="59" t="n">
        <x:f>1+T$9*SUMPRODUCT($H$10:$L$10,H65:L65)/SUM($H$10:$L$10)</x:f>
        <x:v>1.5666803167722185</x:v>
      </x:c>
      <x:c r="U65" s="59" t="n">
        <x:f>R65*T65+S65</x:f>
        <x:v>11677.695191031653</x:v>
      </x:c>
      <x:c r="V65" s="59" t="n">
        <x:f>V$8+(V$9-V$8)*H65</x:f>
        <x:v>0.7973664592456589</x:v>
      </x:c>
      <x:c r="W65" s="59" t="n">
        <x:f>IF(B65&lt;$H$8,0,W$8+(W$9-W$8)*H65)</x:f>
        <x:v>0.12982194566087848</x:v>
      </x:c>
      <x:c r="X65" s="59" t="n">
        <x:f>X$8+(X$9-X$8)*H65</x:f>
        <x:v>0.364252587641854</x:v>
      </x:c>
      <x:c r="Y65" s="59" t="n">
        <x:f>Y$8+(Y$9-Y$8)*G65</x:f>
        <x:v>1</x:v>
      </x:c>
      <x:c r="Z65" s="59" t="n">
        <x:f>Z$8+(Z$9-Z$8)*H65</x:f>
        <x:v>1</x:v>
      </x:c>
      <x:c r="AA65" s="59" t="n">
        <x:f>AA$8+(AA$9-AA$8)*I65</x:f>
        <x:v>1</x:v>
      </x:c>
      <x:c r="AB65" s="59" t="n">
        <x:f>AB$8+(AB$9-AB$8)*J65</x:f>
        <x:v>1</x:v>
      </x:c>
      <x:c r="AC65" s="59" t="n">
        <x:f>AC$8+(AC$9-AC$8)*MAX(K65,L65)</x:f>
        <x:v>1</x:v>
      </x:c>
      <x:c r="AD65" s="59" t="n">
        <x:f>(V65*AE65+W65*AF65+X65*AG65)*PRODUCT(Y65:AC65)</x:f>
        <x:v>1.3302203141347613</x:v>
      </x:c>
      <x:c r="AE65" s="59" t="n">
        <x:f>1+AE$9*($H$10*H65+$I$10*I65+$J$10*J65+$K$10*K65+$L$10*L65)</x:f>
        <x:v>1</x:v>
      </x:c>
      <x:c r="AF65" s="59" t="n">
        <x:f>1+AF$9*($H$10*H65+$I$10*I65+$J$10*J65+$K$10*K65+$L$10*L65)</x:f>
        <x:v>1.0500147000228113</x:v>
      </x:c>
      <x:c r="AG65" s="59" t="n">
        <x:f>1+AG$9*($H$10*H65+$I$10*I65+$J$10*J65+$K$10*K65+$L$10*L65)</x:f>
        <x:v>1.088637162818205</x:v>
      </x:c>
      <x:c r="AH65" s="59" t="n">
        <x:f>MIN(1,'_曲线基线'!$L$3+AH$9*($H$10*H65+$I$10*I65+$J$10*J65+$K$10*K65+$L$10*L65))</x:f>
        <x:v>0.16378344255189542</x:v>
      </x:c>
      <x:c r="AI65" s="59" t="n">
        <x:f>'_曲线基线'!$L$4+AI$9*($H$10*H65+$I$10*I65+$J$10*J65+$K$10*K65+$L$10*L65)</x:f>
        <x:v>2.316968161394566</x:v>
      </x:c>
      <x:c r="AJ65" s="59" t="n">
        <x:f>1+AJ$9*($H$10*H65+$I$10*I65+$J$10*J65+$K$10*K65+$L$10*L65)</x:f>
        <x:v>1.2600764401186182</x:v>
      </x:c>
      <x:c r="AK65" s="59" t="n">
        <x:f>(1+AH65*(AI65-1))*AJ65</x:f>
        <x:v>1.5318718778647553</x:v>
      </x:c>
      <x:c r="AL65" s="59" t="n">
        <x:f>U65*AD65*AK65*F65</x:f>
        <x:v>118979.77923194061</x:v>
      </x:c>
      <x:c r="AM65" s="59" t="n">
        <x:f>IF($B65&lt;AM$8,0,AM$3+(AM$4-AM$3)*(POWER(AM$5,$B65-AM$8)-1)/(POWER(AM$5,$C$5-AM$8)-1))</x:f>
        <x:v>35.93229534463949</x:v>
      </x:c>
      <x:c r="AN65" s="59" t="n">
        <x:f>(((E65*'模块规划'!$D$10+G65*'模块规划'!$D$11+H65*'模块规划'!$D$13)*(1+'模块规划'!$G$14*H65)+(I65*'模块规划'!$D$15+J65*'模块规划'!$D$17+K65*'模块规划'!$D$16+L65*'模块规划'!$D$18))*(1+'模块规划'!$J$17*J65))*F65/(1-Q65)</x:f>
        <x:v>270400.0470913143</x:v>
      </x:c>
      <x:c r="AO65" s="59" t="n">
        <x:f>AL65*AM65</x:f>
        <x:v>4275216.567402095</x:v>
      </x:c>
      <x:c r="AP65" s="61" t="n">
        <x:f>IF(AO65="","",INDEX('_曲线基线'!$A$3:$A$502,MIN(ROWS('_曲线基线'!$A$3:$A$502),COUNTIF('_曲线基线'!$E$3:$E$502,"&lt;"&amp;AO65)+1)))</x:f>
        <x:v>104</x:v>
      </x:c>
      <x:c r="AQ65" s="61" t="n">
        <x:f>IF(B65&lt;=2,1,IF(B65&lt;=6,2,IF(B65&lt;=9,3,IF(B65&lt;=19,4,5))))</x:f>
        <x:v>5</x:v>
      </x:c>
      <x:c r="AR65" s="59" t="n">
        <x:f>AN65*(1-Q65)/F65*$AS$3+U65*$AS$4+P65*$AS$5</x:f>
        <x:v>3560.564911158141</x:v>
      </x:c>
      <x:c r="AS65" s="59" t="n">
        <x:f>1+AH65*$AS$6+AI65*$AS$7+(AJ65-1)*$AS$8+($H$10*H65+$I$10*I65+$J$10*J65+$K$10*K65+$L$10*L65)*$AU$3*$AS$9+($H$10*H65+$I$10*I65+$J$10*J65+$K$10*K65+$L$10*L65)*$AU$4*$AS$10</x:f>
        <x:v>7.970015155565869</x:v>
      </x:c>
      <x:c r="AT65" s="60" t="n">
        <x:f>ROUND(AR65*AS65,0)</x:f>
        <x:v>28378</x:v>
      </x:c>
      <x:c r="AU65" s="60" t="n">
        <x:f>ROUND(AT65*F65,0)</x:f>
        <x:v>141890</x:v>
      </x:c>
      <x:c r="AV65" s="60" t="n">
        <x:f>MIN(MATCH(B65,'主线调参'!$M$11:$M$62,1),ROWS('主线调参'!$M$11:$M$62)-1)</x:f>
        <x:v>21</x:v>
      </x:c>
      <x:c r="AW65" s="62" t="n">
        <x:f>(B65-INDEX('主线调参'!$M$11:$M$62,AV65))/(INDEX('主线调参'!$M$11:$M$62,AV65+1)-INDEX('主线调参'!$M$11:$M$62,AV65))</x:f>
        <x:v>0</x:v>
      </x:c>
      <x:c r="AX65" s="60" t="n">
        <x:f>IF(AU65=0,0,ROUND(AU65,2-INT(LOG10(ABS(AU65)))))</x:f>
        <x:v>142000</x:v>
      </x:c>
      <x:c r="AY65" s="62" t="n">
        <x:f>AU65/AU64-1</x:f>
        <x:v>0.04112704993212746</x:v>
      </x:c>
    </x:row>
    <x:row r="66" ht="25" customHeight="1">
      <x:c r="A66" s="40" t="n">
        <x:f>'调前玩家曲线'!A66</x:f>
        <x:v>27</x:v>
      </x:c>
      <x:c r="B66" s="40" t="n">
        <x:f>'调前玩家曲线'!B66</x:f>
        <x:v>55</x:v>
      </x:c>
      <x:c r="C66" s="40" t="n">
        <x:f>'调前玩家曲线'!C66</x:f>
        <x:v>5</x:v>
      </x:c>
      <x:c r="D66" s="40" t="n">
        <x:f>'调前玩家曲线'!D66</x:f>
        <x:v>1</x:v>
      </x:c>
      <x:c r="E66" s="40" t="n">
        <x:f>'调前玩家曲线'!E66</x:f>
        <x:v>1</x:v>
      </x:c>
      <x:c r="F66" s="40" t="n">
        <x:f>'调前玩家曲线'!F66</x:f>
        <x:v>5</x:v>
      </x:c>
      <x:c r="G66" s="63" t="n">
        <x:f>IF(B66&lt;$G$8,0,(INDEX('主线调参'!$C$11:$C$62,$AV66)+(INDEX('主线调参'!$C$11:$C$62,$AV66+1)-INDEX('主线调参'!$C$11:$C$62,$AV66))*$AW66)*'参数说明'!$C$27)</x:f>
        <x:v>0.4493517472656667</x:v>
      </x:c>
      <x:c r="H66" s="63" t="n">
        <x:f>IF(B66&lt;$H$8,0,(INDEX('主线调参'!$D$11:$D$62,$AV66)+(INDEX('主线调参'!$D$11:$D$62,$AV66+1)-INDEX('主线调参'!$D$11:$D$62,$AV66))*$AW66)*'参数说明'!$D$27)</x:f>
        <x:v>0.32925696182095343</x:v>
      </x:c>
      <x:c r="I66" s="63" t="n">
        <x:f>IF(B66&lt;$I$8,0,(INDEX('主线调参'!$E$11:$E$62,$AV66)+(INDEX('主线调参'!$E$11:$E$62,$AV66+1)-INDEX('主线调参'!$E$11:$E$62,$AV66))*$AW66)*'参数说明'!$E$27)</x:f>
        <x:v>0</x:v>
      </x:c>
      <x:c r="J66" s="63" t="n">
        <x:f>IF(B66&lt;$J$8,0,(INDEX('主线调参'!$F$11:$F$62,$AV66)+(INDEX('主线调参'!$F$11:$F$62,$AV66+1)-INDEX('主线调参'!$F$11:$F$62,$AV66))*$AW66)*'参数说明'!$F$27)</x:f>
        <x:v>0.15559968636120897</x:v>
      </x:c>
      <x:c r="K66" s="63" t="n">
        <x:f>IF(B66&lt;$K$8,0,(INDEX('主线调参'!$G$11:$G$62,$AV66)+(INDEX('主线调参'!$G$11:$G$62,$AV66+1)-INDEX('主线调参'!$G$11:$G$62,$AV66))*$AW66)*'参数说明'!$G$27)</x:f>
        <x:v>0</x:v>
      </x:c>
      <x:c r="L66" s="63" t="n">
        <x:f>IF(B66&lt;$L$8,0,(INDEX('主线调参'!$H$11:$H$62,$AV66)+(INDEX('主线调参'!$H$11:$H$62,$AV66+1)-INDEX('主线调参'!$H$11:$H$62,$AV66))*$AW66)*'参数说明'!$H$27)</x:f>
        <x:v>0.2813764351358035</x:v>
      </x:c>
      <x:c r="M66" s="59" t="n">
        <x:f>E66*'模块规划'!$F$10+G66*'模块规划'!$F$11+H66*'模块规划'!$F$13</x:f>
        <x:v>3156.8883868752</x:v>
      </x:c>
      <x:c r="N66" s="59" t="n">
        <x:f>I66*'模块规划'!$F$15+J66*'模块规划'!$F$17+K66*'模块规划'!$F$16+L66*'模块规划'!$F$18</x:f>
        <x:v>2962.879039291107</x:v>
      </x:c>
      <x:c r="O66" s="59" t="n">
        <x:f>1+O$9*SUMPRODUCT($H$10:$L$10,H66:L66)/SUM($H$10:$L$10)</x:f>
        <x:v>1.583237694598798</x:v>
      </x:c>
      <x:c r="P66" s="59" t="n">
        <x:f>M66*O66+N66</x:f>
        <x:v>7960.983731033117</x:v>
      </x:c>
      <x:c r="Q66" s="59" t="n">
        <x:f>P66/(P66+'_曲线基线'!$L$2)</x:f>
        <x:v>0.24908443989173118</x:v>
      </x:c>
      <x:c r="R66" s="59" t="n">
        <x:f>E66*'模块规划'!$E$10+G66*'模块规划'!$E$11+H66*'模块规划'!$E$13</x:f>
        <x:v>4735.3325803128</x:v>
      </x:c>
      <x:c r="S66" s="59" t="n">
        <x:f>I66*'模块规划'!$E$15+J66*'模块规划'!$E$17+K66*'模块规划'!$E$16+L66*'模块规划'!$E$18</x:f>
        <x:v>4444.31855893666</x:v>
      </x:c>
      <x:c r="T66" s="59" t="n">
        <x:f>1+T$9*SUMPRODUCT($H$10:$L$10,H66:L66)/SUM($H$10:$L$10)</x:f>
        <x:v>1.583237694598798</x:v>
      </x:c>
      <x:c r="U66" s="59" t="n">
        <x:f>R66*T66+S66</x:f>
        <x:v>11941.475596549675</x:v>
      </x:c>
      <x:c r="V66" s="59" t="n">
        <x:f>V$8+(V$9-V$8)*H66</x:f>
        <x:v>0.798777088546286</x:v>
      </x:c>
      <x:c r="W66" s="59" t="n">
        <x:f>IF(B66&lt;$H$8,0,W$8+(W$9-W$8)*H66)</x:f>
        <x:v>0.13170278472838137</x:v>
      </x:c>
      <x:c r="X66" s="59" t="n">
        <x:f>X$8+(X$9-X$8)*H66</x:f>
        <x:v>0.3655456645007622</x:v>
      </x:c>
      <x:c r="Y66" s="59" t="n">
        <x:f>Y$8+(Y$9-Y$8)*G66</x:f>
        <x:v>1</x:v>
      </x:c>
      <x:c r="Z66" s="59" t="n">
        <x:f>Z$8+(Z$9-Z$8)*H66</x:f>
        <x:v>1</x:v>
      </x:c>
      <x:c r="AA66" s="59" t="n">
        <x:f>AA$8+(AA$9-AA$8)*I66</x:f>
        <x:v>1</x:v>
      </x:c>
      <x:c r="AB66" s="59" t="n">
        <x:f>AB$8+(AB$9-AB$8)*J66</x:f>
        <x:v>1</x:v>
      </x:c>
      <x:c r="AC66" s="59" t="n">
        <x:f>AC$8+(AC$9-AC$8)*MAX(K66,L66)</x:f>
        <x:v>1</x:v>
      </x:c>
      <x:c r="AD66" s="59" t="n">
        <x:f>(V66*AE66+W66*AF66+X66*AG66)*PRODUCT(Y66:AC66)</x:f>
        <x:v>1.336152702911082</x:v>
      </x:c>
      <x:c r="AE66" s="59" t="n">
        <x:f>1+AE$9*($H$10*H66+$I$10*I66+$J$10*J66+$K$10*K66+$L$10*L66)</x:f>
        <x:v>1</x:v>
      </x:c>
      <x:c r="AF66" s="59" t="n">
        <x:f>1+AF$9*($H$10*H66+$I$10*I66+$J$10*J66+$K$10*K66+$L$10*L66)</x:f>
        <x:v>1.051476039442323</x:v>
      </x:c>
      <x:c r="AG66" s="59" t="n">
        <x:f>1+AG$9*($H$10*H66+$I$10*I66+$J$10*J66+$K$10*K66+$L$10*L66)</x:f>
        <x:v>1.0912269810116733</x:v>
      </x:c>
      <x:c r="AH66" s="59" t="n">
        <x:f>MIN(1,'_曲线基线'!$L$3+AH$9*($H$10*H66+$I$10*I66+$J$10*J66+$K$10*K66+$L$10*L66))</x:f>
        <x:v>0.1671079897312849</x:v>
      </x:c>
      <x:c r="AI66" s="59" t="n">
        <x:f>'_曲线基线'!$L$4+AI$9*($H$10*H66+$I$10*I66+$J$10*J66+$K$10*K66+$L$10*L66)</x:f>
        <x:v>2.3262293999657224</x:v>
      </x:c>
      <x:c r="AJ66" s="59" t="n">
        <x:f>1+AJ$9*($H$10*H66+$I$10*I66+$J$10*J66+$K$10*K66+$L$10*L66)</x:f>
        <x:v>1.2676754051000798</x:v>
      </x:c>
      <x:c r="AK66" s="59" t="n">
        <x:f>(1+AH66*(AI66-1))*AJ66</x:f>
        <x:v>1.5486221019424946</x:v>
      </x:c>
      <x:c r="AL66" s="59" t="n">
        <x:f>U66*AD66*AK66*F66</x:f>
        <x:v>123546.24424520248</x:v>
      </x:c>
      <x:c r="AM66" s="59" t="n">
        <x:f>IF($B66&lt;AM$8,0,AM$3+(AM$4-AM$3)*(POWER(AM$5,$B66-AM$8)-1)/(POWER(AM$5,$C$5-AM$8)-1))</x:f>
        <x:v>35.95504293800776</x:v>
      </x:c>
      <x:c r="AN66" s="59" t="n">
        <x:f>(((E66*'模块规划'!$D$10+G66*'模块规划'!$D$11+H66*'模块规划'!$D$13)*(1+'模块规划'!$G$14*H66)+(I66*'模块规划'!$D$15+J66*'模块规划'!$D$17+K66*'模块规划'!$D$16+L66*'模块规划'!$D$18))*(1+'模块规划'!$J$17*J66))*F66/(1-Q66)</x:f>
        <x:v>278746.5938106992</x:v>
      </x:c>
      <x:c r="AO66" s="59" t="n">
        <x:f>AL66*AM66</x:f>
        <x:v>4442110.516665849</x:v>
      </x:c>
      <x:c r="AP66" s="61" t="n">
        <x:f>IF(AO66="","",INDEX('_曲线基线'!$A$3:$A$502,MIN(ROWS('_曲线基线'!$A$3:$A$502),COUNTIF('_曲线基线'!$E$3:$E$502,"&lt;"&amp;AO66)+1)))</x:f>
        <x:v>106</x:v>
      </x:c>
      <x:c r="AQ66" s="61" t="n">
        <x:f>IF(B66&lt;=2,1,IF(B66&lt;=6,2,IF(B66&lt;=9,3,IF(B66&lt;=19,4,5))))</x:f>
        <x:v>5</x:v>
      </x:c>
      <x:c r="AR66" s="59" t="n">
        <x:f>AN66*(1-Q66)/F66*$AS$3+U66*$AS$4+P66*$AS$5</x:f>
        <x:v>3644.1860470277343</x:v>
      </x:c>
      <x:c r="AS66" s="59" t="n">
        <x:f>1+AH66*$AS$6+AI66*$AS$7+(AJ66-1)*$AS$8+($H$10*H66+$I$10*I66+$J$10*J66+$K$10*K66+$L$10*L66)*$AU$3*$AS$9+($H$10*H66+$I$10*I66+$J$10*J66+$K$10*K66+$L$10*L66)*$AU$4*$AS$10</x:f>
        <x:v>8.05733184632862</x:v>
      </x:c>
      <x:c r="AT66" s="60" t="n">
        <x:f>ROUND(AR66*AS66,0)</x:f>
        <x:v>29362</x:v>
      </x:c>
      <x:c r="AU66" s="60" t="n">
        <x:f>ROUND(AT66*F66,0)</x:f>
        <x:v>146810</x:v>
      </x:c>
      <x:c r="AV66" s="60" t="n">
        <x:f>MIN(MATCH(B66,'主线调参'!$M$11:$M$62,1),ROWS('主线调参'!$M$11:$M$62)-1)</x:f>
        <x:v>22</x:v>
      </x:c>
      <x:c r="AW66" s="62" t="n">
        <x:f>(B66-INDEX('主线调参'!$M$11:$M$62,AV66))/(INDEX('主线调参'!$M$11:$M$62,AV66+1)-INDEX('主线调参'!$M$11:$M$62,AV66))</x:f>
        <x:v>0</x:v>
      </x:c>
      <x:c r="AX66" s="60" t="n">
        <x:f>IF(AU66=0,0,ROUND(AU66,2-INT(LOG10(ABS(AU66)))))</x:f>
        <x:v>147000</x:v>
      </x:c>
      <x:c r="AY66" s="62" t="n">
        <x:f>AU66/AU65-1</x:f>
        <x:v>0.03467474804425974</x:v>
      </x:c>
    </x:row>
    <x:row r="67" ht="25" customHeight="1">
      <x:c r="A67" s="40" t="n">
        <x:f>'调前玩家曲线'!A67</x:f>
        <x:v>27</x:v>
      </x:c>
      <x:c r="B67" s="40" t="n">
        <x:f>'调前玩家曲线'!B67</x:f>
        <x:v>56</x:v>
      </x:c>
      <x:c r="C67" s="40" t="n">
        <x:f>'调前玩家曲线'!C67</x:f>
        <x:v>5</x:v>
      </x:c>
      <x:c r="D67" s="40" t="n">
        <x:f>'调前玩家曲线'!D67</x:f>
        <x:v>2</x:v>
      </x:c>
      <x:c r="E67" s="40" t="n">
        <x:f>'调前玩家曲线'!E67</x:f>
        <x:v>1</x:v>
      </x:c>
      <x:c r="F67" s="40" t="n">
        <x:f>'调前玩家曲线'!F67</x:f>
        <x:v>5</x:v>
      </x:c>
      <x:c r="G67" s="63" t="n">
        <x:f>IF(B67&lt;$G$8,0,(INDEX('主线调参'!$C$11:$C$62,$AV67)+(INDEX('主线调参'!$C$11:$C$62,$AV67+1)-INDEX('主线调参'!$C$11:$C$62,$AV67))*$AW67)*'参数说明'!$C$27)</x:f>
        <x:v>0.45363307358359145</x:v>
      </x:c>
      <x:c r="H67" s="63" t="n">
        <x:f>IF(B67&lt;$H$8,0,(INDEX('主线调参'!$D$11:$D$62,$AV67)+(INDEX('主线调参'!$D$11:$D$62,$AV67+1)-INDEX('主线调参'!$D$11:$D$62,$AV67))*$AW67)*'参数说明'!$D$27)</x:f>
        <x:v>0.3335130705704604</x:v>
      </x:c>
      <x:c r="I67" s="63" t="n">
        <x:f>IF(B67&lt;$I$8,0,(INDEX('主线调参'!$E$11:$E$62,$AV67)+(INDEX('主线调参'!$E$11:$E$62,$AV67+1)-INDEX('主线调参'!$E$11:$E$62,$AV67))*$AW67)*'参数说明'!$E$27)</x:f>
        <x:v>0</x:v>
      </x:c>
      <x:c r="J67" s="63" t="n">
        <x:f>IF(B67&lt;$J$8,0,(INDEX('主线调参'!$F$11:$F$62,$AV67)+(INDEX('主线调参'!$F$11:$F$62,$AV67+1)-INDEX('主线调参'!$F$11:$F$62,$AV67))*$AW67)*'参数说明'!$F$27)</x:f>
        <x:v>0.16109753095079396</x:v>
      </x:c>
      <x:c r="K67" s="63" t="n">
        <x:f>IF(B67&lt;$K$8,0,(INDEX('主线调参'!$G$11:$G$62,$AV67)+(INDEX('主线调参'!$G$11:$G$62,$AV67+1)-INDEX('主线调参'!$G$11:$G$62,$AV67))*$AW67)*'参数说明'!$G$27)</x:f>
        <x:v>0</x:v>
      </x:c>
      <x:c r="L67" s="63" t="n">
        <x:f>IF(B67&lt;$L$8,0,(INDEX('主线调参'!$H$11:$H$62,$AV67)+(INDEX('主线调参'!$H$11:$H$62,$AV67+1)-INDEX('主线调参'!$H$11:$H$62,$AV67))*$AW67)*'参数说明'!$H$27)</x:f>
        <x:v>0.2864719984139554</x:v>
      </x:c>
      <x:c r="M67" s="59" t="n">
        <x:f>E67*'模块规划'!$F$10+G67*'模块规划'!$F$11+H67*'模块规划'!$F$13</x:f>
        <x:v>3177.438753201239</x:v>
      </x:c>
      <x:c r="N67" s="59" t="n">
        <x:f>I67*'模块规划'!$F$15+J67*'模块规划'!$F$17+K67*'模块规划'!$F$16+L67*'模块规划'!$F$18</x:f>
        <x:v>3043.3353015777166</x:v>
      </x:c>
      <x:c r="O67" s="59" t="n">
        <x:f>1+O$9*SUMPRODUCT($H$10:$L$10,H67:L67)/SUM($H$10:$L$10)</x:f>
        <x:v>1.598224622902059</x:v>
      </x:c>
      <x:c r="P67" s="59" t="n">
        <x:f>M67*O67+N67</x:f>
        <x:v>8121.596154707155</x:v>
      </x:c>
      <x:c r="Q67" s="59" t="n">
        <x:f>P67/(P67+'_曲线基线'!$L$2)</x:f>
        <x:v>0.25283912155520333</x:v>
      </x:c>
      <x:c r="R67" s="59" t="n">
        <x:f>E67*'模块规划'!$E$10+G67*'模块规划'!$E$11+H67*'模块规划'!$E$13</x:f>
        <x:v>4766.158129801859</x:v>
      </x:c>
      <x:c r="S67" s="59" t="n">
        <x:f>I67*'模块规划'!$E$15+J67*'模块规划'!$E$17+K67*'模块规划'!$E$16+L67*'模块规划'!$E$18</x:f>
        <x:v>4565.002952366574</x:v>
      </x:c>
      <x:c r="T67" s="59" t="n">
        <x:f>1+T$9*SUMPRODUCT($H$10:$L$10,H67:L67)/SUM($H$10:$L$10)</x:f>
        <x:v>1.598224622902059</x:v>
      </x:c>
      <x:c r="U67" s="59" t="n">
        <x:f>R67*T67+S67</x:f>
        <x:v>12182.394232060733</x:v>
      </x:c>
      <x:c r="V67" s="59" t="n">
        <x:f>V$8+(V$9-V$8)*H67</x:f>
        <x:v>0.800053921171138</x:v>
      </x:c>
      <x:c r="W67" s="59" t="n">
        <x:f>IF(B67&lt;$H$8,0,W$8+(W$9-W$8)*H67)</x:f>
        <x:v>0.13340522822818418</x:v>
      </x:c>
      <x:c r="X67" s="59" t="n">
        <x:f>X$8+(X$9-X$8)*H67</x:f>
        <x:v>0.36671609440687664</x:v>
      </x:c>
      <x:c r="Y67" s="59" t="n">
        <x:f>Y$8+(Y$9-Y$8)*G67</x:f>
        <x:v>1</x:v>
      </x:c>
      <x:c r="Z67" s="59" t="n">
        <x:f>Z$8+(Z$9-Z$8)*H67</x:f>
        <x:v>1</x:v>
      </x:c>
      <x:c r="AA67" s="59" t="n">
        <x:f>AA$8+(AA$9-AA$8)*I67</x:f>
        <x:v>1</x:v>
      </x:c>
      <x:c r="AB67" s="59" t="n">
        <x:f>AB$8+(AB$9-AB$8)*J67</x:f>
        <x:v>1</x:v>
      </x:c>
      <x:c r="AC67" s="59" t="n">
        <x:f>AC$8+(AC$9-AC$8)*MAX(K67,L67)</x:f>
        <x:v>1</x:v>
      </x:c>
      <x:c r="AD67" s="59" t="n">
        <x:f>(V67*AE67+W67*AF67+X67*AG67)*PRODUCT(Y67:AC67)</x:f>
        <x:v>1.3415329255976105</x:v>
      </x:c>
      <x:c r="AE67" s="59" t="n">
        <x:f>1+AE$9*($H$10*H67+$I$10*I67+$J$10*J67+$K$10*K67+$L$10*L67)</x:f>
        <x:v>1</x:v>
      </x:c>
      <x:c r="AF67" s="59" t="n">
        <x:f>1+AF$9*($H$10*H67+$I$10*I67+$J$10*J67+$K$10*K67+$L$10*L67)</x:f>
        <x:v>1.0527987723856878</x:v>
      </x:c>
      <x:c r="AG67" s="59" t="n">
        <x:f>1+AG$9*($H$10*H67+$I$10*I67+$J$10*J67+$K$10*K67+$L$10*L67)</x:f>
        <x:v>1.0935711577279696</x:v>
      </x:c>
      <x:c r="AH67" s="59" t="n">
        <x:f>MIN(1,'_曲线基线'!$L$3+AH$9*($H$10*H67+$I$10*I67+$J$10*J67+$K$10*K67+$L$10*L67))</x:f>
        <x:v>0.17011720717743967</x:v>
      </x:c>
      <x:c r="AI67" s="59" t="n">
        <x:f>'_曲线基线'!$L$4+AI$9*($H$10*H67+$I$10*I67+$J$10*J67+$K$10*K67+$L$10*L67)</x:f>
        <x:v>2.3346122199942965</x:v>
      </x:c>
      <x:c r="AJ67" s="59" t="n">
        <x:f>1+AJ$9*($H$10*H67+$I$10*I67+$J$10*J67+$K$10*K67+$L$10*L67)</x:f>
        <x:v>1.2745536164055764</x:v>
      </x:c>
      <x:c r="AK67" s="59" t="n">
        <x:f>(1+AH67*(AI67-1))*AJ67</x:f>
        <x:v>1.5639289112506791</x:v>
      </x:c>
      <x:c r="AL67" s="59" t="n">
        <x:f>U67*AD67*AK67*F67</x:f>
        <x:v>127797.09981722989</x:v>
      </x:c>
      <x:c r="AM67" s="59" t="n">
        <x:f>IF($B67&lt;AM$8,0,AM$3+(AM$4-AM$3)*(POWER(AM$5,$B67-AM$8)-1)/(POWER(AM$5,$C$5-AM$8)-1))</x:f>
        <x:v>35.97801800730971</x:v>
      </x:c>
      <x:c r="AN67" s="59" t="n">
        <x:f>(((E67*'模块规划'!$D$10+G67*'模块规划'!$D$11+H67*'模块规划'!$D$13)*(1+'模块规划'!$G$14*H67)+(I67*'模块规划'!$D$15+J67*'模块规划'!$D$17+K67*'模块规划'!$D$16+L67*'模块规划'!$D$18))*(1+'模块规划'!$J$17*J67))*F67/(1-Q67)</x:f>
        <x:v>286466.9714298991</x:v>
      </x:c>
      <x:c r="AO67" s="59" t="n">
        <x:f>AL67*AM67</x:f>
        <x:v>4597886.358506253</x:v>
      </x:c>
      <x:c r="AP67" s="61" t="n">
        <x:f>IF(AO67="","",INDEX('_曲线基线'!$A$3:$A$502,MIN(ROWS('_曲线基线'!$A$3:$A$502),COUNTIF('_曲线基线'!$E$3:$E$502,"&lt;"&amp;AO67)+1)))</x:f>
        <x:v>107</x:v>
      </x:c>
      <x:c r="AQ67" s="61" t="n">
        <x:f>IF(B67&lt;=2,1,IF(B67&lt;=6,2,IF(B67&lt;=9,3,IF(B67&lt;=19,4,5))))</x:f>
        <x:v>5</x:v>
      </x:c>
      <x:c r="AR67" s="59" t="n">
        <x:f>AN67*(1-Q67)/F67*$AS$3+U67*$AS$4+P67*$AS$5</x:f>
        <x:v>3720.7003305260496</x:v>
      </x:c>
      <x:c r="AS67" s="59" t="n">
        <x:f>1+AH67*$AS$6+AI67*$AS$7+(AJ67-1)*$AS$8+($H$10*H67+$I$10*I67+$J$10*J67+$K$10*K67+$L$10*L67)*$AU$3*$AS$9+($H$10*H67+$I$10*I67+$J$10*J67+$K$10*K67+$L$10*L67)*$AU$4*$AS$10</x:f>
        <x:v>8.136366642649968</x:v>
      </x:c>
      <x:c r="AT67" s="60" t="n">
        <x:f>ROUND(AR67*AS67,0)</x:f>
        <x:v>30273</x:v>
      </x:c>
      <x:c r="AU67" s="60" t="n">
        <x:f>ROUND(AT67*F67,0)</x:f>
        <x:v>151365</x:v>
      </x:c>
      <x:c r="AV67" s="60" t="n">
        <x:f>MIN(MATCH(B67,'主线调参'!$M$11:$M$62,1),ROWS('主线调参'!$M$11:$M$62)-1)</x:f>
        <x:v>22</x:v>
      </x:c>
      <x:c r="AW67" s="62" t="n">
        <x:f>(B67-INDEX('主线调参'!$M$11:$M$62,AV67))/(INDEX('主线调参'!$M$11:$M$62,AV67+1)-INDEX('主线调参'!$M$11:$M$62,AV67))</x:f>
        <x:v>0.1111111111111111</x:v>
      </x:c>
      <x:c r="AX67" s="60" t="n">
        <x:f>IF(AU67=0,0,ROUND(AU67,2-INT(LOG10(ABS(AU67)))))</x:f>
        <x:v>151000</x:v>
      </x:c>
      <x:c r="AY67" s="62" t="n">
        <x:f>AU67/AU66-1</x:f>
        <x:v>0.031026496832640804</x:v>
      </x:c>
    </x:row>
    <x:row r="68" ht="25" customHeight="1">
      <x:c r="A68" s="40" t="n">
        <x:f>'调前玩家曲线'!A68</x:f>
        <x:v>28</x:v>
      </x:c>
      <x:c r="B68" s="40" t="n">
        <x:f>'调前玩家曲线'!B68</x:f>
        <x:v>57</x:v>
      </x:c>
      <x:c r="C68" s="40" t="n">
        <x:f>'调前玩家曲线'!C68</x:f>
        <x:v>5</x:v>
      </x:c>
      <x:c r="D68" s="40" t="n">
        <x:f>'调前玩家曲线'!D68</x:f>
        <x:v>3</x:v>
      </x:c>
      <x:c r="E68" s="40" t="n">
        <x:f>'调前玩家曲线'!E68</x:f>
        <x:v>1</x:v>
      </x:c>
      <x:c r="F68" s="40" t="n">
        <x:f>'调前玩家曲线'!F68</x:f>
        <x:v>5</x:v>
      </x:c>
      <x:c r="G68" s="63" t="n">
        <x:f>IF(B68&lt;$G$8,0,(INDEX('主线调参'!$C$11:$C$62,$AV68)+(INDEX('主线调参'!$C$11:$C$62,$AV68+1)-INDEX('主线调参'!$C$11:$C$62,$AV68))*$AW68)*'参数说明'!$C$27)</x:f>
        <x:v>0.4579143999015162</x:v>
      </x:c>
      <x:c r="H68" s="63" t="n">
        <x:f>IF(B68&lt;$H$8,0,(INDEX('主线调参'!$D$11:$D$62,$AV68)+(INDEX('主线调参'!$D$11:$D$62,$AV68+1)-INDEX('主线调参'!$D$11:$D$62,$AV68))*$AW68)*'参数说明'!$D$27)</x:f>
        <x:v>0.3377691793199674</x:v>
      </x:c>
      <x:c r="I68" s="63" t="n">
        <x:f>IF(B68&lt;$I$8,0,(INDEX('主线调参'!$E$11:$E$62,$AV68)+(INDEX('主线调参'!$E$11:$E$62,$AV68+1)-INDEX('主线调参'!$E$11:$E$62,$AV68))*$AW68)*'参数说明'!$E$27)</x:f>
        <x:v>0</x:v>
      </x:c>
      <x:c r="J68" s="63" t="n">
        <x:f>IF(B68&lt;$J$8,0,(INDEX('主线调参'!$F$11:$F$62,$AV68)+(INDEX('主线调参'!$F$11:$F$62,$AV68+1)-INDEX('主线调参'!$F$11:$F$62,$AV68))*$AW68)*'参数说明'!$F$27)</x:f>
        <x:v>0.16659537554037893</x:v>
      </x:c>
      <x:c r="K68" s="63" t="n">
        <x:f>IF(B68&lt;$K$8,0,(INDEX('主线调参'!$G$11:$G$62,$AV68)+(INDEX('主线调参'!$G$11:$G$62,$AV68+1)-INDEX('主线调参'!$G$11:$G$62,$AV68))*$AW68)*'参数说明'!$G$27)</x:f>
        <x:v>0</x:v>
      </x:c>
      <x:c r="L68" s="63" t="n">
        <x:f>IF(B68&lt;$L$8,0,(INDEX('主线调参'!$H$11:$H$62,$AV68)+(INDEX('主线调参'!$H$11:$H$62,$AV68+1)-INDEX('主线调参'!$H$11:$H$62,$AV68))*$AW68)*'参数说明'!$H$27)</x:f>
        <x:v>0.2915675616921073</x:v>
      </x:c>
      <x:c r="M68" s="59" t="n">
        <x:f>E68*'模块规划'!$F$10+G68*'模块规划'!$F$11+H68*'模块规划'!$F$13</x:f>
        <x:v>3197.989119527278</x:v>
      </x:c>
      <x:c r="N68" s="59" t="n">
        <x:f>I68*'模块规划'!$F$15+J68*'模块规划'!$F$17+K68*'模块规划'!$F$16+L68*'模块规划'!$F$18</x:f>
        <x:v>3123.791563864326</x:v>
      </x:c>
      <x:c r="O68" s="59" t="n">
        <x:f>1+O$9*SUMPRODUCT($H$10:$L$10,H68:L68)/SUM($H$10:$L$10)</x:f>
        <x:v>1.6132115512053198</x:v>
      </x:c>
      <x:c r="P68" s="59" t="n">
        <x:f>M68*O68+N68</x:f>
        <x:v>8282.82455211466</x:v>
      </x:c>
      <x:c r="Q68" s="59" t="n">
        <x:f>P68/(P68+'_曲线基线'!$L$2)</x:f>
        <x:v>0.25657062747850856</x:v>
      </x:c>
      <x:c r="R68" s="59" t="n">
        <x:f>E68*'模块规划'!$E$10+G68*'模块规划'!$E$11+H68*'模块规划'!$E$13</x:f>
        <x:v>4796.983679290917</x:v>
      </x:c>
      <x:c r="S68" s="59" t="n">
        <x:f>I68*'模块规划'!$E$15+J68*'模块规划'!$E$17+K68*'模块规划'!$E$16+L68*'模块规划'!$E$18</x:f>
        <x:v>4685.687345796488</x:v>
      </x:c>
      <x:c r="T68" s="59" t="n">
        <x:f>1+T$9*SUMPRODUCT($H$10:$L$10,H68:L68)/SUM($H$10:$L$10)</x:f>
        <x:v>1.6132115512053198</x:v>
      </x:c>
      <x:c r="U68" s="59" t="n">
        <x:f>R68*T68+S68</x:f>
        <x:v>12424.23682817199</x:v>
      </x:c>
      <x:c r="V68" s="59" t="n">
        <x:f>V$8+(V$9-V$8)*H68</x:f>
        <x:v>0.8013307537959902</x:v>
      </x:c>
      <x:c r="W68" s="59" t="n">
        <x:f>IF(B68&lt;$H$8,0,W$8+(W$9-W$8)*H68)</x:f>
        <x:v>0.13510767172798696</x:v>
      </x:c>
      <x:c r="X68" s="59" t="n">
        <x:f>X$8+(X$9-X$8)*H68</x:f>
        <x:v>0.36788652431299107</x:v>
      </x:c>
      <x:c r="Y68" s="59" t="n">
        <x:f>Y$8+(Y$9-Y$8)*G68</x:f>
        <x:v>1</x:v>
      </x:c>
      <x:c r="Z68" s="59" t="n">
        <x:f>Z$8+(Z$9-Z$8)*H68</x:f>
        <x:v>1</x:v>
      </x:c>
      <x:c r="AA68" s="59" t="n">
        <x:f>AA$8+(AA$9-AA$8)*I68</x:f>
        <x:v>1</x:v>
      </x:c>
      <x:c r="AB68" s="59" t="n">
        <x:f>AB$8+(AB$9-AB$8)*J68</x:f>
        <x:v>1</x:v>
      </x:c>
      <x:c r="AC68" s="59" t="n">
        <x:f>AC$8+(AC$9-AC$8)*MAX(K68,L68)</x:f>
        <x:v>1</x:v>
      </x:c>
      <x:c r="AD68" s="59" t="n">
        <x:f>(V68*AE68+W68*AF68+X68*AG68)*PRODUCT(Y68:AC68)</x:f>
        <x:v>1.3469231394294094</x:v>
      </x:c>
      <x:c r="AE68" s="59" t="n">
        <x:f>1+AE$9*($H$10*H68+$I$10*I68+$J$10*J68+$K$10*K68+$L$10*L68)</x:f>
        <x:v>1</x:v>
      </x:c>
      <x:c r="AF68" s="59" t="n">
        <x:f>1+AF$9*($H$10*H68+$I$10*I68+$J$10*J68+$K$10*K68+$L$10*L68)</x:f>
        <x:v>1.0541215053290525</x:v>
      </x:c>
      <x:c r="AG68" s="59" t="n">
        <x:f>1+AG$9*($H$10*H68+$I$10*I68+$J$10*J68+$K$10*K68+$L$10*L68)</x:f>
        <x:v>1.095915334444266</x:v>
      </x:c>
      <x:c r="AH68" s="59" t="n">
        <x:f>MIN(1,'_曲线基线'!$L$3+AH$9*($H$10*H68+$I$10*I68+$J$10*J68+$K$10*K68+$L$10*L68))</x:f>
        <x:v>0.1731264246235944</x:v>
      </x:c>
      <x:c r="AI68" s="59" t="n">
        <x:f>'_曲线基线'!$L$4+AI$9*($H$10*H68+$I$10*I68+$J$10*J68+$K$10*K68+$L$10*L68)</x:f>
        <x:v>2.34299504002287</x:v>
      </x:c>
      <x:c r="AJ68" s="59" t="n">
        <x:f>1+AJ$9*($H$10*H68+$I$10*I68+$J$10*J68+$K$10*K68+$L$10*L68)</x:f>
        <x:v>1.281431827711073</x:v>
      </x:c>
      <x:c r="AK68" s="59" t="n">
        <x:f>(1+AH68*(AI68-1))*AJ68</x:f>
        <x:v>1.5793748888526375</x:v>
      </x:c>
      <x:c r="AL68" s="59" t="n">
        <x:f>U68*AD68*AK68*F68</x:f>
        <x:v>132150.1827938623</x:v>
      </x:c>
      <x:c r="AM68" s="59" t="n">
        <x:f>IF($B68&lt;AM$8,0,AM$3+(AM$4-AM$3)*(POWER(AM$5,$B68-AM$8)-1)/(POWER(AM$5,$C$5-AM$8)-1))</x:f>
        <x:v>36.00122282730467</x:v>
      </x:c>
      <x:c r="AN68" s="59" t="n">
        <x:f>(((E68*'模块规划'!$D$10+G68*'模块规划'!$D$11+H68*'模块规划'!$D$13)*(1+'模块规划'!$G$14*H68)+(I68*'模块规划'!$D$15+J68*'模块规划'!$D$17+K68*'模块规划'!$D$16+L68*'模块规划'!$D$18))*(1+'模块规划'!$J$17*J68))*F68/(1-Q68)</x:f>
        <x:v>294315.4348125676</x:v>
      </x:c>
      <x:c r="AO68" s="59" t="n">
        <x:f>AL68*AM68</x:f>
        <x:v>4757568.177430881</x:v>
      </x:c>
      <x:c r="AP68" s="61" t="n">
        <x:f>IF(AO68="","",INDEX('_曲线基线'!$A$3:$A$502,MIN(ROWS('_曲线基线'!$A$3:$A$502),COUNTIF('_曲线基线'!$E$3:$E$502,"&lt;"&amp;AO68)+1)))</x:f>
        <x:v>109</x:v>
      </x:c>
      <x:c r="AQ68" s="61" t="n">
        <x:f>IF(B68&lt;=2,1,IF(B68&lt;=6,2,IF(B68&lt;=9,3,IF(B68&lt;=19,4,5))))</x:f>
        <x:v>5</x:v>
      </x:c>
      <x:c r="AR68" s="59" t="n">
        <x:f>AN68*(1-Q68)/F68*$AS$3+U68*$AS$4+P68*$AS$5</x:f>
        <x:v>3797.66379979098</x:v>
      </x:c>
      <x:c r="AS68" s="59" t="n">
        <x:f>1+AH68*$AS$6+AI68*$AS$7+(AJ68-1)*$AS$8+($H$10*H68+$I$10*I68+$J$10*J68+$K$10*K68+$L$10*L68)*$AU$3*$AS$9+($H$10*H68+$I$10*I68+$J$10*J68+$K$10*K68+$L$10*L68)*$AU$4*$AS$10</x:f>
        <x:v>8.215401438971316</x:v>
      </x:c>
      <x:c r="AT68" s="60" t="n">
        <x:f>ROUND(AR68*AS68,0)</x:f>
        <x:v>31199</x:v>
      </x:c>
      <x:c r="AU68" s="60" t="n">
        <x:f>ROUND(AT68*F68,0)</x:f>
        <x:v>155995</x:v>
      </x:c>
      <x:c r="AV68" s="60" t="n">
        <x:f>MIN(MATCH(B68,'主线调参'!$M$11:$M$62,1),ROWS('主线调参'!$M$11:$M$62)-1)</x:f>
        <x:v>22</x:v>
      </x:c>
      <x:c r="AW68" s="62" t="n">
        <x:f>(B68-INDEX('主线调参'!$M$11:$M$62,AV68))/(INDEX('主线调参'!$M$11:$M$62,AV68+1)-INDEX('主线调参'!$M$11:$M$62,AV68))</x:f>
        <x:v>0.2222222222222222</x:v>
      </x:c>
      <x:c r="AX68" s="60" t="n">
        <x:f>IF(AU68=0,0,ROUND(AU68,2-INT(LOG10(ABS(AU68)))))</x:f>
        <x:v>156000</x:v>
      </x:c>
      <x:c r="AY68" s="62" t="n">
        <x:f>AU68/AU67-1</x:f>
        <x:v>0.030588313018200974</x:v>
      </x:c>
    </x:row>
    <x:row r="69" ht="25" customHeight="1">
      <x:c r="A69" s="40" t="n">
        <x:f>'调前玩家曲线'!A69</x:f>
        <x:v>28</x:v>
      </x:c>
      <x:c r="B69" s="40" t="n">
        <x:f>'调前玩家曲线'!B69</x:f>
        <x:v>58</x:v>
      </x:c>
      <x:c r="C69" s="40" t="n">
        <x:f>'调前玩家曲线'!C69</x:f>
        <x:v>5</x:v>
      </x:c>
      <x:c r="D69" s="40" t="n">
        <x:f>'调前玩家曲线'!D69</x:f>
        <x:v>4</x:v>
      </x:c>
      <x:c r="E69" s="40" t="n">
        <x:f>'调前玩家曲线'!E69</x:f>
        <x:v>1</x:v>
      </x:c>
      <x:c r="F69" s="40" t="n">
        <x:f>'调前玩家曲线'!F69</x:f>
        <x:v>5</x:v>
      </x:c>
      <x:c r="G69" s="63" t="n">
        <x:f>IF(B69&lt;$G$8,0,(INDEX('主线调参'!$C$11:$C$62,$AV69)+(INDEX('主线调参'!$C$11:$C$62,$AV69+1)-INDEX('主线调参'!$C$11:$C$62,$AV69))*$AW69)*'参数说明'!$C$27)</x:f>
        <x:v>0.46219572621944094</x:v>
      </x:c>
      <x:c r="H69" s="63" t="n">
        <x:f>IF(B69&lt;$H$8,0,(INDEX('主线调参'!$D$11:$D$62,$AV69)+(INDEX('主线调参'!$D$11:$D$62,$AV69+1)-INDEX('主线调参'!$D$11:$D$62,$AV69))*$AW69)*'参数说明'!$D$27)</x:f>
        <x:v>0.3420252880694744</x:v>
      </x:c>
      <x:c r="I69" s="63" t="n">
        <x:f>IF(B69&lt;$I$8,0,(INDEX('主线调参'!$E$11:$E$62,$AV69)+(INDEX('主线调参'!$E$11:$E$62,$AV69+1)-INDEX('主线调参'!$E$11:$E$62,$AV69))*$AW69)*'参数说明'!$E$27)</x:f>
        <x:v>0</x:v>
      </x:c>
      <x:c r="J69" s="63" t="n">
        <x:f>IF(B69&lt;$J$8,0,(INDEX('主线调参'!$F$11:$F$62,$AV69)+(INDEX('主线调参'!$F$11:$F$62,$AV69+1)-INDEX('主线调参'!$F$11:$F$62,$AV69))*$AW69)*'参数说明'!$F$27)</x:f>
        <x:v>0.1720932201299639</x:v>
      </x:c>
      <x:c r="K69" s="63" t="n">
        <x:f>IF(B69&lt;$K$8,0,(INDEX('主线调参'!$G$11:$G$62,$AV69)+(INDEX('主线调参'!$G$11:$G$62,$AV69+1)-INDEX('主线调参'!$G$11:$G$62,$AV69))*$AW69)*'参数说明'!$G$27)</x:f>
        <x:v>0</x:v>
      </x:c>
      <x:c r="L69" s="63" t="n">
        <x:f>IF(B69&lt;$L$8,0,(INDEX('主线调参'!$H$11:$H$62,$AV69)+(INDEX('主线调参'!$H$11:$H$62,$AV69+1)-INDEX('主线调参'!$H$11:$H$62,$AV69))*$AW69)*'参数说明'!$H$27)</x:f>
        <x:v>0.29666312497025915</x:v>
      </x:c>
      <x:c r="M69" s="59" t="n">
        <x:f>E69*'模块规划'!$F$10+G69*'模块规划'!$F$11+H69*'模块规划'!$F$13</x:f>
        <x:v>3218.5394858533164</x:v>
      </x:c>
      <x:c r="N69" s="59" t="n">
        <x:f>I69*'模块规划'!$F$15+J69*'模块规划'!$F$17+K69*'模块规划'!$F$16+L69*'模块规划'!$F$18</x:f>
        <x:v>3204.247826150935</x:v>
      </x:c>
      <x:c r="O69" s="59" t="n">
        <x:f>1+O$9*SUMPRODUCT($H$10:$L$10,H69:L69)/SUM($H$10:$L$10)</x:f>
        <x:v>1.6281984795085807</x:v>
      </x:c>
      <x:c r="P69" s="59" t="n">
        <x:f>M69*O69+N69</x:f>
        <x:v>8444.668923255635</x:v>
      </x:c>
      <x:c r="Q69" s="59" t="n">
        <x:f>P69/(P69+'_曲线基线'!$L$2)</x:f>
        <x:v>0.2602790906336751</x:v>
      </x:c>
      <x:c r="R69" s="59" t="n">
        <x:f>E69*'模块规划'!$E$10+G69*'模块规划'!$E$11+H69*'模块规划'!$E$13</x:f>
        <x:v>4827.809228779975</x:v>
      </x:c>
      <x:c r="S69" s="59" t="n">
        <x:f>I69*'模块规划'!$E$15+J69*'模块规划'!$E$17+K69*'模块规划'!$E$16+L69*'模块规划'!$E$18</x:f>
        <x:v>4806.3717392264025</x:v>
      </x:c>
      <x:c r="T69" s="59" t="n">
        <x:f>1+T$9*SUMPRODUCT($H$10:$L$10,H69:L69)/SUM($H$10:$L$10)</x:f>
        <x:v>1.6281984795085807</x:v>
      </x:c>
      <x:c r="U69" s="59" t="n">
        <x:f>R69*T69+S69</x:f>
        <x:v>12667.00338488345</x:v>
      </x:c>
      <x:c r="V69" s="59" t="n">
        <x:f>V$8+(V$9-V$8)*H69</x:f>
        <x:v>0.8026075864208423</x:v>
      </x:c>
      <x:c r="W69" s="59" t="n">
        <x:f>IF(B69&lt;$H$8,0,W$8+(W$9-W$8)*H69)</x:f>
        <x:v>0.13681011522778977</x:v>
      </x:c>
      <x:c r="X69" s="59" t="n">
        <x:f>X$8+(X$9-X$8)*H69</x:f>
        <x:v>0.3690569542191055</x:v>
      </x:c>
      <x:c r="Y69" s="59" t="n">
        <x:f>Y$8+(Y$9-Y$8)*G69</x:f>
        <x:v>1</x:v>
      </x:c>
      <x:c r="Z69" s="59" t="n">
        <x:f>Z$8+(Z$9-Z$8)*H69</x:f>
        <x:v>1</x:v>
      </x:c>
      <x:c r="AA69" s="59" t="n">
        <x:f>AA$8+(AA$9-AA$8)*I69</x:f>
        <x:v>1</x:v>
      </x:c>
      <x:c r="AB69" s="59" t="n">
        <x:f>AB$8+(AB$9-AB$8)*J69</x:f>
        <x:v>1</x:v>
      </x:c>
      <x:c r="AC69" s="59" t="n">
        <x:f>AC$8+(AC$9-AC$8)*MAX(K69,L69)</x:f>
        <x:v>1</x:v>
      </x:c>
      <x:c r="AD69" s="59" t="n">
        <x:f>(V69*AE69+W69*AF69+X69*AG69)*PRODUCT(Y69:AC69)</x:f>
        <x:v>1.3523233444064793</x:v>
      </x:c>
      <x:c r="AE69" s="59" t="n">
        <x:f>1+AE$9*($H$10*H69+$I$10*I69+$J$10*J69+$K$10*K69+$L$10*L69)</x:f>
        <x:v>1</x:v>
      </x:c>
      <x:c r="AF69" s="59" t="n">
        <x:f>1+AF$9*($H$10*H69+$I$10*I69+$J$10*J69+$K$10*K69+$L$10*L69)</x:f>
        <x:v>1.0554442382724172</x:v>
      </x:c>
      <x:c r="AG69" s="59" t="n">
        <x:f>1+AG$9*($H$10*H69+$I$10*I69+$J$10*J69+$K$10*K69+$L$10*L69)</x:f>
        <x:v>1.0982595111605624</x:v>
      </x:c>
      <x:c r="AH69" s="59" t="n">
        <x:f>MIN(1,'_曲线基线'!$L$3+AH$9*($H$10*H69+$I$10*I69+$J$10*J69+$K$10*K69+$L$10*L69))</x:f>
        <x:v>0.17613564206974913</x:v>
      </x:c>
      <x:c r="AI69" s="59" t="n">
        <x:f>'_曲线基线'!$L$4+AI$9*($H$10*H69+$I$10*I69+$J$10*J69+$K$10*K69+$L$10*L69)</x:f>
        <x:v>2.351377860051444</x:v>
      </x:c>
      <x:c r="AJ69" s="59" t="n">
        <x:f>1+AJ$9*($H$10*H69+$I$10*I69+$J$10*J69+$K$10*K69+$L$10*L69)</x:f>
        <x:v>1.2883100390165696</x:v>
      </x:c>
      <x:c r="AK69" s="59" t="n">
        <x:f>(1+AH69*(AI69-1))*AJ69</x:f>
        <x:v>1.5949610757957065</x:v>
      </x:c>
      <x:c r="AL69" s="59" t="n">
        <x:f>U69*AD69*AK69*F69</x:f>
        <x:v>136607.49410330804</x:v>
      </x:c>
      <x:c r="AM69" s="59" t="n">
        <x:f>IF($B69&lt;AM$8,0,AM$3+(AM$4-AM$3)*(POWER(AM$5,$B69-AM$8)-1)/(POWER(AM$5,$C$5-AM$8)-1))</x:f>
        <x:v>36.02465969549959</x:v>
      </x:c>
      <x:c r="AN69" s="59" t="n">
        <x:f>(((E69*'模块规划'!$D$10+G69*'模块规划'!$D$11+H69*'模块规划'!$D$13)*(1+'模块规划'!$G$14*H69)+(I69*'模块规划'!$D$15+J69*'模块规划'!$D$17+K69*'模块规划'!$D$16+L69*'模块规划'!$D$18))*(1+'模块规划'!$J$17*J69))*F69/(1-Q69)</x:f>
        <x:v>302293.34430054325</x:v>
      </x:c>
      <x:c r="AO69" s="59" t="n">
        <x:f>AL69*AM69</x:f>
        <x:v>4921238.4869266385</x:v>
      </x:c>
      <x:c r="AP69" s="61" t="n">
        <x:f>IF(AO69="","",INDEX('_曲线基线'!$A$3:$A$502,MIN(ROWS('_曲线基线'!$A$3:$A$502),COUNTIF('_曲线基线'!$E$3:$E$502,"&lt;"&amp;AO69)+1)))</x:f>
        <x:v>110</x:v>
      </x:c>
      <x:c r="AQ69" s="61" t="n">
        <x:f>IF(B69&lt;=2,1,IF(B69&lt;=6,2,IF(B69&lt;=9,3,IF(B69&lt;=19,4,5))))</x:f>
        <x:v>5</x:v>
      </x:c>
      <x:c r="AR69" s="59" t="n">
        <x:f>AN69*(1-Q69)/F69*$AS$3+U69*$AS$4+P69*$AS$5</x:f>
        <x:v>3875.0769222250024</x:v>
      </x:c>
      <x:c r="AS69" s="59" t="n">
        <x:f>1+AH69*$AS$6+AI69*$AS$7+(AJ69-1)*$AS$8+($H$10*H69+$I$10*I69+$J$10*J69+$K$10*K69+$L$10*L69)*$AU$3*$AS$9+($H$10*H69+$I$10*I69+$J$10*J69+$K$10*K69+$L$10*L69)*$AU$4*$AS$10</x:f>
        <x:v>8.294436235292666</x:v>
      </x:c>
      <x:c r="AT69" s="60" t="n">
        <x:f>ROUND(AR69*AS69,0)</x:f>
        <x:v>32142</x:v>
      </x:c>
      <x:c r="AU69" s="60" t="n">
        <x:f>ROUND(AT69*F69,0)</x:f>
        <x:v>160710</x:v>
      </x:c>
      <x:c r="AV69" s="60" t="n">
        <x:f>MIN(MATCH(B69,'主线调参'!$M$11:$M$62,1),ROWS('主线调参'!$M$11:$M$62)-1)</x:f>
        <x:v>22</x:v>
      </x:c>
      <x:c r="AW69" s="62" t="n">
        <x:f>(B69-INDEX('主线调参'!$M$11:$M$62,AV69))/(INDEX('主线调参'!$M$11:$M$62,AV69+1)-INDEX('主线调参'!$M$11:$M$62,AV69))</x:f>
        <x:v>0.3333333333333333</x:v>
      </x:c>
      <x:c r="AX69" s="60" t="n">
        <x:f>IF(AU69=0,0,ROUND(AU69,2-INT(LOG10(ABS(AU69)))))</x:f>
        <x:v>161000</x:v>
      </x:c>
      <x:c r="AY69" s="62" t="n">
        <x:f>AU69/AU68-1</x:f>
        <x:v>0.030225327734863194</x:v>
      </x:c>
    </x:row>
    <x:row r="70" ht="25" customHeight="1">
      <x:c r="A70" s="40" t="n">
        <x:f>'调前玩家曲线'!A70</x:f>
        <x:v>28</x:v>
      </x:c>
      <x:c r="B70" s="40" t="n">
        <x:f>'调前玩家曲线'!B70</x:f>
        <x:v>59</x:v>
      </x:c>
      <x:c r="C70" s="40" t="n">
        <x:f>'调前玩家曲线'!C70</x:f>
        <x:v>5</x:v>
      </x:c>
      <x:c r="D70" s="40" t="n">
        <x:f>'调前玩家曲线'!D70</x:f>
        <x:v>5</x:v>
      </x:c>
      <x:c r="E70" s="40" t="n">
        <x:f>'调前玩家曲线'!E70</x:f>
        <x:v>1</x:v>
      </x:c>
      <x:c r="F70" s="40" t="n">
        <x:f>'调前玩家曲线'!F70</x:f>
        <x:v>5</x:v>
      </x:c>
      <x:c r="G70" s="63" t="n">
        <x:f>IF(B70&lt;$G$8,0,(INDEX('主线调参'!$C$11:$C$62,$AV70)+(INDEX('主线调参'!$C$11:$C$62,$AV70+1)-INDEX('主线调参'!$C$11:$C$62,$AV70))*$AW70)*'参数说明'!$C$27)</x:f>
        <x:v>0.4664770525373657</x:v>
      </x:c>
      <x:c r="H70" s="63" t="n">
        <x:f>IF(B70&lt;$H$8,0,(INDEX('主线调参'!$D$11:$D$62,$AV70)+(INDEX('主线调参'!$D$11:$D$62,$AV70+1)-INDEX('主线调参'!$D$11:$D$62,$AV70))*$AW70)*'参数说明'!$D$27)</x:f>
        <x:v>0.34628139681898146</x:v>
      </x:c>
      <x:c r="I70" s="63" t="n">
        <x:f>IF(B70&lt;$I$8,0,(INDEX('主线调参'!$E$11:$E$62,$AV70)+(INDEX('主线调参'!$E$11:$E$62,$AV70+1)-INDEX('主线调参'!$E$11:$E$62,$AV70))*$AW70)*'参数说明'!$E$27)</x:f>
        <x:v>0</x:v>
      </x:c>
      <x:c r="J70" s="63" t="n">
        <x:f>IF(B70&lt;$J$8,0,(INDEX('主线调参'!$F$11:$F$62,$AV70)+(INDEX('主线调参'!$F$11:$F$62,$AV70+1)-INDEX('主线调参'!$F$11:$F$62,$AV70))*$AW70)*'参数说明'!$F$27)</x:f>
        <x:v>0.17759106471954889</x:v>
      </x:c>
      <x:c r="K70" s="63" t="n">
        <x:f>IF(B70&lt;$K$8,0,(INDEX('主线调参'!$G$11:$G$62,$AV70)+(INDEX('主线调参'!$G$11:$G$62,$AV70+1)-INDEX('主线调参'!$G$11:$G$62,$AV70))*$AW70)*'参数说明'!$G$27)</x:f>
        <x:v>0</x:v>
      </x:c>
      <x:c r="L70" s="63" t="n">
        <x:f>IF(B70&lt;$L$8,0,(INDEX('主线调参'!$H$11:$H$62,$AV70)+(INDEX('主线调参'!$H$11:$H$62,$AV70+1)-INDEX('主线调参'!$H$11:$H$62,$AV70))*$AW70)*'参数说明'!$H$27)</x:f>
        <x:v>0.301758688248411</x:v>
      </x:c>
      <x:c r="M70" s="59" t="n">
        <x:f>E70*'模块规划'!$F$10+G70*'模块规划'!$F$11+H70*'模块规划'!$F$13</x:f>
        <x:v>3239.0898521793556</x:v>
      </x:c>
      <x:c r="N70" s="59" t="n">
        <x:f>I70*'模块规划'!$F$15+J70*'模块规划'!$F$17+K70*'模块规划'!$F$16+L70*'模块规划'!$F$18</x:f>
        <x:v>3284.7040884375438</x:v>
      </x:c>
      <x:c r="O70" s="59" t="n">
        <x:f>1+O$9*SUMPRODUCT($H$10:$L$10,H70:L70)/SUM($H$10:$L$10)</x:f>
        <x:v>1.6431854078118415</x:v>
      </x:c>
      <x:c r="P70" s="59" t="n">
        <x:f>M70*O70+N70</x:f>
        <x:v>8607.129268130077</x:v>
      </x:c>
      <x:c r="Q70" s="59" t="n">
        <x:f>P70/(P70+'_曲线基线'!$L$2)</x:f>
        <x:v>0.2639646439695202</x:v>
      </x:c>
      <x:c r="R70" s="59" t="n">
        <x:f>E70*'模块规划'!$E$10+G70*'模块规划'!$E$11+H70*'模块规划'!$E$13</x:f>
        <x:v>4858.634778269034</x:v>
      </x:c>
      <x:c r="S70" s="59" t="n">
        <x:f>I70*'模块规划'!$E$15+J70*'模块规划'!$E$17+K70*'模块规划'!$E$16+L70*'模块规划'!$E$18</x:f>
        <x:v>4927.056132656317</x:v>
      </x:c>
      <x:c r="T70" s="59" t="n">
        <x:f>1+T$9*SUMPRODUCT($H$10:$L$10,H70:L70)/SUM($H$10:$L$10)</x:f>
        <x:v>1.6431854078118415</x:v>
      </x:c>
      <x:c r="U70" s="59" t="n">
        <x:f>R70*T70+S70</x:f>
        <x:v>12910.693902195115</x:v>
      </x:c>
      <x:c r="V70" s="59" t="n">
        <x:f>V$8+(V$9-V$8)*H70</x:f>
        <x:v>0.8038844190456944</x:v>
      </x:c>
      <x:c r="W70" s="59" t="n">
        <x:f>IF(B70&lt;$H$8,0,W$8+(W$9-W$8)*H70)</x:f>
        <x:v>0.13851255872759258</x:v>
      </x:c>
      <x:c r="X70" s="59" t="n">
        <x:f>X$8+(X$9-X$8)*H70</x:f>
        <x:v>0.37022738412521994</x:v>
      </x:c>
      <x:c r="Y70" s="59" t="n">
        <x:f>Y$8+(Y$9-Y$8)*G70</x:f>
        <x:v>1</x:v>
      </x:c>
      <x:c r="Z70" s="59" t="n">
        <x:f>Z$8+(Z$9-Z$8)*H70</x:f>
        <x:v>1</x:v>
      </x:c>
      <x:c r="AA70" s="59" t="n">
        <x:f>AA$8+(AA$9-AA$8)*I70</x:f>
        <x:v>1</x:v>
      </x:c>
      <x:c r="AB70" s="59" t="n">
        <x:f>AB$8+(AB$9-AB$8)*J70</x:f>
        <x:v>1</x:v>
      </x:c>
      <x:c r="AC70" s="59" t="n">
        <x:f>AC$8+(AC$9-AC$8)*MAX(K70,L70)</x:f>
        <x:v>1</x:v>
      </x:c>
      <x:c r="AD70" s="59" t="n">
        <x:f>(V70*AE70+W70*AF70+X70*AG70)*PRODUCT(Y70:AC70)</x:f>
        <x:v>1.35773354052882</x:v>
      </x:c>
      <x:c r="AE70" s="59" t="n">
        <x:f>1+AE$9*($H$10*H70+$I$10*I70+$J$10*J70+$K$10*K70+$L$10*L70)</x:f>
        <x:v>1</x:v>
      </x:c>
      <x:c r="AF70" s="59" t="n">
        <x:f>1+AF$9*($H$10*H70+$I$10*I70+$J$10*J70+$K$10*K70+$L$10*L70)</x:f>
        <x:v>1.056766971215782</x:v>
      </x:c>
      <x:c r="AG70" s="59" t="n">
        <x:f>1+AG$9*($H$10*H70+$I$10*I70+$J$10*J70+$K$10*K70+$L$10*L70)</x:f>
        <x:v>1.1006036878768588</x:v>
      </x:c>
      <x:c r="AH70" s="59" t="n">
        <x:f>MIN(1,'_曲线基线'!$L$3+AH$9*($H$10*H70+$I$10*I70+$J$10*J70+$K$10*K70+$L$10*L70))</x:f>
        <x:v>0.17914485951590392</x:v>
      </x:c>
      <x:c r="AI70" s="59" t="n">
        <x:f>'_曲线基线'!$L$4+AI$9*($H$10*H70+$I$10*I70+$J$10*J70+$K$10*K70+$L$10*L70)</x:f>
        <x:v>2.359760680080018</x:v>
      </x:c>
      <x:c r="AJ70" s="59" t="n">
        <x:f>1+AJ$9*($H$10*H70+$I$10*I70+$J$10*J70+$K$10*K70+$L$10*L70)</x:f>
        <x:v>1.2951882503220662</x:v>
      </x:c>
      <x:c r="AK70" s="59" t="n">
        <x:f>(1+AH70*(AI70-1))*AJ70</x:f>
        <x:v>1.6106885131272224</x:v>
      </x:c>
      <x:c r="AL70" s="59" t="n">
        <x:f>U70*AD70*AK70*F70</x:f>
        <x:v>141171.06695154484</x:v>
      </x:c>
      <x:c r="AM70" s="59" t="n">
        <x:f>IF($B70&lt;AM$8,0,AM$3+(AM$4-AM$3)*(POWER(AM$5,$B70-AM$8)-1)/(POWER(AM$5,$C$5-AM$8)-1))</x:f>
        <x:v>36.04833093237645</x:v>
      </x:c>
      <x:c r="AN70" s="59" t="n">
        <x:f>(((E70*'模块规划'!$D$10+G70*'模块规划'!$D$11+H70*'模块规划'!$D$13)*(1+'模块规划'!$G$14*H70)+(I70*'模块规划'!$D$15+J70*'模块规划'!$D$17+K70*'模块规划'!$D$16+L70*'模块规划'!$D$18))*(1+'模块规划'!$J$17*J70))*F70/(1-Q70)</x:f>
        <x:v>310402.069130767</x:v>
      </x:c>
      <x:c r="AO70" s="59" t="n">
        <x:f>AL70*AM70</x:f>
        <x:v>5088981.339545961</x:v>
      </x:c>
      <x:c r="AP70" s="61" t="n">
        <x:f>IF(AO70="","",INDEX('_曲线基线'!$A$3:$A$502,MIN(ROWS('_曲线基线'!$A$3:$A$502),COUNTIF('_曲线基线'!$E$3:$E$502,"&lt;"&amp;AO70)+1)))</x:f>
        <x:v>112</x:v>
      </x:c>
      <x:c r="AQ70" s="61" t="n">
        <x:f>IF(B70&lt;=2,1,IF(B70&lt;=6,2,IF(B70&lt;=9,3,IF(B70&lt;=19,4,5))))</x:f>
        <x:v>5</x:v>
      </x:c>
      <x:c r="AR70" s="59" t="n">
        <x:f>AN70*(1-Q70)/F70*$AS$3+U70*$AS$4+P70*$AS$5</x:f>
        <x:v>3952.9401652305933</x:v>
      </x:c>
      <x:c r="AS70" s="59" t="n">
        <x:f>1+AH70*$AS$6+AI70*$AS$7+(AJ70-1)*$AS$8+($H$10*H70+$I$10*I70+$J$10*J70+$K$10*K70+$L$10*L70)*$AU$3*$AS$9+($H$10*H70+$I$10*I70+$J$10*J70+$K$10*K70+$L$10*L70)*$AU$4*$AS$10</x:f>
        <x:v>8.373471031614017</x:v>
      </x:c>
      <x:c r="AT70" s="60" t="n">
        <x:f>ROUND(AR70*AS70,0)</x:f>
        <x:v>33100</x:v>
      </x:c>
      <x:c r="AU70" s="60" t="n">
        <x:f>ROUND(AT70*F70,0)</x:f>
        <x:v>165500</x:v>
      </x:c>
      <x:c r="AV70" s="60" t="n">
        <x:f>MIN(MATCH(B70,'主线调参'!$M$11:$M$62,1),ROWS('主线调参'!$M$11:$M$62)-1)</x:f>
        <x:v>22</x:v>
      </x:c>
      <x:c r="AW70" s="62" t="n">
        <x:f>(B70-INDEX('主线调参'!$M$11:$M$62,AV70))/(INDEX('主线调参'!$M$11:$M$62,AV70+1)-INDEX('主线调参'!$M$11:$M$62,AV70))</x:f>
        <x:v>0.4444444444444444</x:v>
      </x:c>
      <x:c r="AX70" s="60" t="n">
        <x:f>IF(AU70=0,0,ROUND(AU70,2-INT(LOG10(ABS(AU70)))))</x:f>
        <x:v>166000</x:v>
      </x:c>
      <x:c r="AY70" s="62" t="n">
        <x:f>AU70/AU69-1</x:f>
        <x:v>0.029805239250824567</x:v>
      </x:c>
    </x:row>
    <x:row r="71" ht="25" customHeight="1">
      <x:c r="A71" s="40" t="n">
        <x:f>'调前玩家曲线'!A71</x:f>
        <x:v>29</x:v>
      </x:c>
      <x:c r="B71" s="40" t="n">
        <x:f>'调前玩家曲线'!B71</x:f>
        <x:v>60</x:v>
      </x:c>
      <x:c r="C71" s="40" t="n">
        <x:f>'调前玩家曲线'!C71</x:f>
        <x:v>5</x:v>
      </x:c>
      <x:c r="D71" s="40" t="n">
        <x:f>'调前玩家曲线'!D71</x:f>
        <x:v>6</x:v>
      </x:c>
      <x:c r="E71" s="40" t="n">
        <x:f>'调前玩家曲线'!E71</x:f>
        <x:v>1</x:v>
      </x:c>
      <x:c r="F71" s="40" t="n">
        <x:f>'调前玩家曲线'!F71</x:f>
        <x:v>5</x:v>
      </x:c>
      <x:c r="G71" s="63" t="n">
        <x:f>IF(B71&lt;$G$8,0,(INDEX('主线调参'!$C$11:$C$62,$AV71)+(INDEX('主线调参'!$C$11:$C$62,$AV71+1)-INDEX('主线调参'!$C$11:$C$62,$AV71))*$AW71)*'参数说明'!$C$27)</x:f>
        <x:v>0.4707583788552904</x:v>
      </x:c>
      <x:c r="H71" s="63" t="n">
        <x:f>IF(B71&lt;$H$8,0,(INDEX('主线调参'!$D$11:$D$62,$AV71)+(INDEX('主线调参'!$D$11:$D$62,$AV71+1)-INDEX('主线调参'!$D$11:$D$62,$AV71))*$AW71)*'参数说明'!$D$27)</x:f>
        <x:v>0.35053750556848845</x:v>
      </x:c>
      <x:c r="I71" s="63" t="n">
        <x:f>IF(B71&lt;$I$8,0,(INDEX('主线调参'!$E$11:$E$62,$AV71)+(INDEX('主线调参'!$E$11:$E$62,$AV71+1)-INDEX('主线调参'!$E$11:$E$62,$AV71))*$AW71)*'参数说明'!$E$27)</x:f>
        <x:v>0</x:v>
      </x:c>
      <x:c r="J71" s="63" t="n">
        <x:f>IF(B71&lt;$J$8,0,(INDEX('主线调参'!$F$11:$F$62,$AV71)+(INDEX('主线调参'!$F$11:$F$62,$AV71+1)-INDEX('主线调参'!$F$11:$F$62,$AV71))*$AW71)*'参数说明'!$F$27)</x:f>
        <x:v>0.18308890930913385</x:v>
      </x:c>
      <x:c r="K71" s="63" t="n">
        <x:f>IF(B71&lt;$K$8,0,(INDEX('主线调参'!$G$11:$G$62,$AV71)+(INDEX('主线调参'!$G$11:$G$62,$AV71+1)-INDEX('主线调参'!$G$11:$G$62,$AV71))*$AW71)*'参数说明'!$G$27)</x:f>
        <x:v>0</x:v>
      </x:c>
      <x:c r="L71" s="63" t="n">
        <x:f>IF(B71&lt;$L$8,0,(INDEX('主线调参'!$H$11:$H$62,$AV71)+(INDEX('主线调参'!$H$11:$H$62,$AV71+1)-INDEX('主线调参'!$H$11:$H$62,$AV71))*$AW71)*'参数说明'!$H$27)</x:f>
        <x:v>0.30685425152656287</x:v>
      </x:c>
      <x:c r="M71" s="59" t="n">
        <x:f>E71*'模块规划'!$F$10+G71*'模块规划'!$F$11+H71*'模块规划'!$F$13</x:f>
        <x:v>3259.640218505394</x:v>
      </x:c>
      <x:c r="N71" s="59" t="n">
        <x:f>I71*'模块规划'!$F$15+J71*'模块规划'!$F$17+K71*'模块规划'!$F$16+L71*'模块规划'!$F$18</x:f>
        <x:v>3365.160350724153</x:v>
      </x:c>
      <x:c r="O71" s="59" t="n">
        <x:f>1+O$9*SUMPRODUCT($H$10:$L$10,H71:L71)/SUM($H$10:$L$10)</x:f>
        <x:v>1.6581723361151024</x:v>
      </x:c>
      <x:c r="P71" s="59" t="n">
        <x:f>M71*O71+N71</x:f>
        <x:v>8770.205586737984</x:v>
      </x:c>
      <x:c r="Q71" s="59" t="n">
        <x:f>P71/(P71+'_曲线基线'!$L$2)</x:f>
        <x:v>0.2676274203872332</x:v>
      </x:c>
      <x:c r="R71" s="59" t="n">
        <x:f>E71*'模块规划'!$E$10+G71*'模块规划'!$E$11+H71*'模块规划'!$E$13</x:f>
        <x:v>4889.460327758091</x:v>
      </x:c>
      <x:c r="S71" s="59" t="n">
        <x:f>I71*'模块规划'!$E$15+J71*'模块规划'!$E$17+K71*'模块规划'!$E$16+L71*'模块规划'!$E$18</x:f>
        <x:v>5047.740526086229</x:v>
      </x:c>
      <x:c r="T71" s="59" t="n">
        <x:f>1+T$9*SUMPRODUCT($H$10:$L$10,H71:L71)/SUM($H$10:$L$10)</x:f>
        <x:v>1.6581723361151024</x:v>
      </x:c>
      <x:c r="U71" s="59" t="n">
        <x:f>R71*T71+S71</x:f>
        <x:v>13155.308380106977</x:v>
      </x:c>
      <x:c r="V71" s="59" t="n">
        <x:f>V$8+(V$9-V$8)*H71</x:f>
        <x:v>0.8051612516705465</x:v>
      </x:c>
      <x:c r="W71" s="59" t="n">
        <x:f>IF(B71&lt;$H$8,0,W$8+(W$9-W$8)*H71)</x:f>
        <x:v>0.14021500222739539</x:v>
      </x:c>
      <x:c r="X71" s="59" t="n">
        <x:f>X$8+(X$9-X$8)*H71</x:f>
        <x:v>0.3713978140313344</x:v>
      </x:c>
      <x:c r="Y71" s="59" t="n">
        <x:f>Y$8+(Y$9-Y$8)*G71</x:f>
        <x:v>1</x:v>
      </x:c>
      <x:c r="Z71" s="59" t="n">
        <x:f>Z$8+(Z$9-Z$8)*H71</x:f>
        <x:v>1</x:v>
      </x:c>
      <x:c r="AA71" s="59" t="n">
        <x:f>AA$8+(AA$9-AA$8)*I71</x:f>
        <x:v>1</x:v>
      </x:c>
      <x:c r="AB71" s="59" t="n">
        <x:f>AB$8+(AB$9-AB$8)*J71</x:f>
        <x:v>1</x:v>
      </x:c>
      <x:c r="AC71" s="59" t="n">
        <x:f>AC$8+(AC$9-AC$8)*MAX(K71,L71)</x:f>
        <x:v>1</x:v>
      </x:c>
      <x:c r="AD71" s="59" t="n">
        <x:f>(V71*AE71+W71*AF71+X71*AG71)*PRODUCT(Y71:AC71)</x:f>
        <x:v>1.3631537277964314</x:v>
      </x:c>
      <x:c r="AE71" s="59" t="n">
        <x:f>1+AE$9*($H$10*H71+$I$10*I71+$J$10*J71+$K$10*K71+$L$10*L71)</x:f>
        <x:v>1</x:v>
      </x:c>
      <x:c r="AF71" s="59" t="n">
        <x:f>1+AF$9*($H$10*H71+$I$10*I71+$J$10*J71+$K$10*K71+$L$10*L71)</x:f>
        <x:v>1.0580897041591468</x:v>
      </x:c>
      <x:c r="AG71" s="59" t="n">
        <x:f>1+AG$9*($H$10*H71+$I$10*I71+$J$10*J71+$K$10*K71+$L$10*L71)</x:f>
        <x:v>1.1029478645931552</x:v>
      </x:c>
      <x:c r="AH71" s="59" t="n">
        <x:f>MIN(1,'_曲线基线'!$L$3+AH$9*($H$10*H71+$I$10*I71+$J$10*J71+$K$10*K71+$L$10*L71))</x:f>
        <x:v>0.18215407696205865</x:v>
      </x:c>
      <x:c r="AI71" s="59" t="n">
        <x:f>'_曲线基线'!$L$4+AI$9*($H$10*H71+$I$10*I71+$J$10*J71+$K$10*K71+$L$10*L71)</x:f>
        <x:v>2.3681435001085918</x:v>
      </x:c>
      <x:c r="AJ71" s="59" t="n">
        <x:f>1+AJ$9*($H$10*H71+$I$10*I71+$J$10*J71+$K$10*K71+$L$10*L71)</x:f>
        <x:v>1.3020664616275628</x:v>
      </x:c>
      <x:c r="AK71" s="59" t="n">
        <x:f>(1+AH71*(AI71-1))*AJ71</x:f>
        <x:v>1.6265582418945221</x:v>
      </x:c>
      <x:c r="AL71" s="59" t="n">
        <x:f>U71*AD71*AK71*F71</x:f>
        <x:v>145842.96720834717</x:v>
      </x:c>
      <x:c r="AM71" s="59" t="n">
        <x:f>IF($B71&lt;AM$8,0,AM$3+(AM$4-AM$3)*(POWER(AM$5,$B71-AM$8)-1)/(POWER(AM$5,$C$5-AM$8)-1))</x:f>
        <x:v>36.072238881622084</x:v>
      </x:c>
      <x:c r="AN71" s="59" t="n">
        <x:f>(((E71*'模块规划'!$D$10+G71*'模块规划'!$D$11+H71*'模块规划'!$D$13)*(1+'模块规划'!$G$14*H71)+(I71*'模块规划'!$D$15+J71*'模块规划'!$D$17+K71*'模块规划'!$D$16+L71*'模块规划'!$D$18))*(1+'模块规划'!$J$17*J71))*F71/(1-Q71)</x:f>
        <x:v>318642.9874552751</x:v>
      </x:c>
      <x:c r="AO71" s="59" t="n">
        <x:f>AL71*AM71</x:f>
        <x:v>5260882.352344075</x:v>
      </x:c>
      <x:c r="AP71" s="61" t="n">
        <x:f>IF(AO71="","",INDEX('_曲线基线'!$A$3:$A$502,MIN(ROWS('_曲线基线'!$A$3:$A$502),COUNTIF('_曲线基线'!$E$3:$E$502,"&lt;"&amp;AO71)+1)))</x:f>
        <x:v>113</x:v>
      </x:c>
      <x:c r="AQ71" s="61" t="n">
        <x:f>IF(B71&lt;=2,1,IF(B71&lt;=6,2,IF(B71&lt;=9,3,IF(B71&lt;=19,4,5))))</x:f>
        <x:v>5</x:v>
      </x:c>
      <x:c r="AR71" s="59" t="n">
        <x:f>AN71*(1-Q71)/F71*$AS$3+U71*$AS$4+P71*$AS$5</x:f>
        <x:v>4031.253996210225</x:v>
      </x:c>
      <x:c r="AS71" s="59" t="n">
        <x:f>1+AH71*$AS$6+AI71*$AS$7+(AJ71-1)*$AS$8+($H$10*H71+$I$10*I71+$J$10*J71+$K$10*K71+$L$10*L71)*$AU$3*$AS$9+($H$10*H71+$I$10*I71+$J$10*J71+$K$10*K71+$L$10*L71)*$AU$4*$AS$10</x:f>
        <x:v>8.452505827935365</x:v>
      </x:c>
      <x:c r="AT71" s="60" t="n">
        <x:f>ROUND(AR71*AS71,0)</x:f>
        <x:v>34074</x:v>
      </x:c>
      <x:c r="AU71" s="60" t="n">
        <x:f>ROUND(AT71*F71,0)</x:f>
        <x:v>170370</x:v>
      </x:c>
      <x:c r="AV71" s="60" t="n">
        <x:f>MIN(MATCH(B71,'主线调参'!$M$11:$M$62,1),ROWS('主线调参'!$M$11:$M$62)-1)</x:f>
        <x:v>22</x:v>
      </x:c>
      <x:c r="AW71" s="62" t="n">
        <x:f>(B71-INDEX('主线调参'!$M$11:$M$62,AV71))/(INDEX('主线调参'!$M$11:$M$62,AV71+1)-INDEX('主线调参'!$M$11:$M$62,AV71))</x:f>
        <x:v>0.5555555555555556</x:v>
      </x:c>
      <x:c r="AX71" s="60" t="n">
        <x:f>IF(AU71=0,0,ROUND(AU71,2-INT(LOG10(ABS(AU71)))))</x:f>
        <x:v>170000</x:v>
      </x:c>
      <x:c r="AY71" s="62" t="n">
        <x:f>AU71/AU70-1</x:f>
        <x:v>0.02942598187311174</x:v>
      </x:c>
    </x:row>
    <x:row r="72" ht="25" customHeight="1">
      <x:c r="A72" s="40" t="n">
        <x:f>'调前玩家曲线'!A72</x:f>
        <x:v>29</x:v>
      </x:c>
      <x:c r="B72" s="40" t="n">
        <x:f>'调前玩家曲线'!B72</x:f>
        <x:v>61</x:v>
      </x:c>
      <x:c r="C72" s="40" t="n">
        <x:f>'调前玩家曲线'!C72</x:f>
        <x:v>5</x:v>
      </x:c>
      <x:c r="D72" s="40" t="n">
        <x:f>'调前玩家曲线'!D72</x:f>
        <x:v>7</x:v>
      </x:c>
      <x:c r="E72" s="40" t="n">
        <x:f>'调前玩家曲线'!E72</x:f>
        <x:v>1</x:v>
      </x:c>
      <x:c r="F72" s="40" t="n">
        <x:f>'调前玩家曲线'!F72</x:f>
        <x:v>5</x:v>
      </x:c>
      <x:c r="G72" s="63" t="n">
        <x:f>IF(B72&lt;$G$8,0,(INDEX('主线调参'!$C$11:$C$62,$AV72)+(INDEX('主线调参'!$C$11:$C$62,$AV72+1)-INDEX('主线调参'!$C$11:$C$62,$AV72))*$AW72)*'参数说明'!$C$27)</x:f>
        <x:v>0.4750397051732152</x:v>
      </x:c>
      <x:c r="H72" s="63" t="n">
        <x:f>IF(B72&lt;$H$8,0,(INDEX('主线调参'!$D$11:$D$62,$AV72)+(INDEX('主线调参'!$D$11:$D$62,$AV72+1)-INDEX('主线调参'!$D$11:$D$62,$AV72))*$AW72)*'参数说明'!$D$27)</x:f>
        <x:v>0.35479361431799544</x:v>
      </x:c>
      <x:c r="I72" s="63" t="n">
        <x:f>IF(B72&lt;$I$8,0,(INDEX('主线调参'!$E$11:$E$62,$AV72)+(INDEX('主线调参'!$E$11:$E$62,$AV72+1)-INDEX('主线调参'!$E$11:$E$62,$AV72))*$AW72)*'参数说明'!$E$27)</x:f>
        <x:v>0</x:v>
      </x:c>
      <x:c r="J72" s="63" t="n">
        <x:f>IF(B72&lt;$J$8,0,(INDEX('主线调参'!$F$11:$F$62,$AV72)+(INDEX('主线调参'!$F$11:$F$62,$AV72+1)-INDEX('主线调参'!$F$11:$F$62,$AV72))*$AW72)*'参数说明'!$F$27)</x:f>
        <x:v>0.18858675389871885</x:v>
      </x:c>
      <x:c r="K72" s="63" t="n">
        <x:f>IF(B72&lt;$K$8,0,(INDEX('主线调参'!$G$11:$G$62,$AV72)+(INDEX('主线调参'!$G$11:$G$62,$AV72+1)-INDEX('主线调参'!$G$11:$G$62,$AV72))*$AW72)*'参数说明'!$G$27)</x:f>
        <x:v>0</x:v>
      </x:c>
      <x:c r="L72" s="63" t="n">
        <x:f>IF(B72&lt;$L$8,0,(INDEX('主线调参'!$H$11:$H$62,$AV72)+(INDEX('主线调参'!$H$11:$H$62,$AV72+1)-INDEX('主线调参'!$H$11:$H$62,$AV72))*$AW72)*'参数说明'!$H$27)</x:f>
        <x:v>0.31194981480471473</x:v>
      </x:c>
      <x:c r="M72" s="59" t="n">
        <x:f>E72*'模块规划'!$F$10+G72*'模块规划'!$F$11+H72*'模块规划'!$F$13</x:f>
        <x:v>3280.190584831433</x:v>
      </x:c>
      <x:c r="N72" s="59" t="n">
        <x:f>I72*'模块规划'!$F$15+J72*'模块规划'!$F$17+K72*'模块规划'!$F$16+L72*'模块规划'!$F$18</x:f>
        <x:v>3445.616613010762</x:v>
      </x:c>
      <x:c r="O72" s="59" t="n">
        <x:f>1+O$9*SUMPRODUCT($H$10:$L$10,H72:L72)/SUM($H$10:$L$10)</x:f>
        <x:v>1.6731592644183633</x:v>
      </x:c>
      <x:c r="P72" s="59" t="n">
        <x:f>M72*O72+N72</x:f>
        <x:v>8933.897879079363</x:v>
      </x:c>
      <x:c r="Q72" s="59" t="n">
        <x:f>P72/(P72+'_曲线基线'!$L$2)</x:f>
        <x:v>0.27126755271669356</x:v>
      </x:c>
      <x:c r="R72" s="59" t="n">
        <x:f>E72*'模块规划'!$E$10+G72*'模块规划'!$E$11+H72*'模块规划'!$E$13</x:f>
        <x:v>4920.28587724715</x:v>
      </x:c>
      <x:c r="S72" s="59" t="n">
        <x:f>I72*'模块规划'!$E$15+J72*'模块规划'!$E$17+K72*'模块规划'!$E$16+L72*'模块规划'!$E$18</x:f>
        <x:v>5168.424919516143</x:v>
      </x:c>
      <x:c r="T72" s="59" t="n">
        <x:f>1+T$9*SUMPRODUCT($H$10:$L$10,H72:L72)/SUM($H$10:$L$10)</x:f>
        <x:v>1.6731592644183633</x:v>
      </x:c>
      <x:c r="U72" s="59" t="n">
        <x:f>R72*T72+S72</x:f>
        <x:v>13400.846818619046</x:v>
      </x:c>
      <x:c r="V72" s="59" t="n">
        <x:f>V$8+(V$9-V$8)*H72</x:f>
        <x:v>0.8064380842953986</x:v>
      </x:c>
      <x:c r="W72" s="59" t="n">
        <x:f>IF(B72&lt;$H$8,0,W$8+(W$9-W$8)*H72)</x:f>
        <x:v>0.1419174457271982</x:v>
      </x:c>
      <x:c r="X72" s="59" t="n">
        <x:f>X$8+(X$9-X$8)*H72</x:f>
        <x:v>0.3725682439374488</x:v>
      </x:c>
      <x:c r="Y72" s="59" t="n">
        <x:f>Y$8+(Y$9-Y$8)*G72</x:f>
        <x:v>1</x:v>
      </x:c>
      <x:c r="Z72" s="59" t="n">
        <x:f>Z$8+(Z$9-Z$8)*H72</x:f>
        <x:v>1</x:v>
      </x:c>
      <x:c r="AA72" s="59" t="n">
        <x:f>AA$8+(AA$9-AA$8)*I72</x:f>
        <x:v>1</x:v>
      </x:c>
      <x:c r="AB72" s="59" t="n">
        <x:f>AB$8+(AB$9-AB$8)*J72</x:f>
        <x:v>1</x:v>
      </x:c>
      <x:c r="AC72" s="59" t="n">
        <x:f>AC$8+(AC$9-AC$8)*MAX(K72,L72)</x:f>
        <x:v>1</x:v>
      </x:c>
      <x:c r="AD72" s="59" t="n">
        <x:f>(V72*AE72+W72*AF72+X72*AG72)*PRODUCT(Y72:AC72)</x:f>
        <x:v>1.3685839062093135</x:v>
      </x:c>
      <x:c r="AE72" s="59" t="n">
        <x:f>1+AE$9*($H$10*H72+$I$10*I72+$J$10*J72+$K$10*K72+$L$10*L72)</x:f>
        <x:v>1</x:v>
      </x:c>
      <x:c r="AF72" s="59" t="n">
        <x:f>1+AF$9*($H$10*H72+$I$10*I72+$J$10*J72+$K$10*K72+$L$10*L72)</x:f>
        <x:v>1.0594124371025115</x:v>
      </x:c>
      <x:c r="AG72" s="59" t="n">
        <x:f>1+AG$9*($H$10*H72+$I$10*I72+$J$10*J72+$K$10*K72+$L$10*L72)</x:f>
        <x:v>1.1052920413094516</x:v>
      </x:c>
      <x:c r="AH72" s="59" t="n">
        <x:f>MIN(1,'_曲线基线'!$L$3+AH$9*($H$10*H72+$I$10*I72+$J$10*J72+$K$10*K72+$L$10*L72))</x:f>
        <x:v>0.18516329440821344</x:v>
      </x:c>
      <x:c r="AI72" s="59" t="n">
        <x:f>'_曲线基线'!$L$4+AI$9*($H$10*H72+$I$10*I72+$J$10*J72+$K$10*K72+$L$10*L72)</x:f>
        <x:v>2.376526320137166</x:v>
      </x:c>
      <x:c r="AJ72" s="59" t="n">
        <x:f>1+AJ$9*($H$10*H72+$I$10*I72+$J$10*J72+$K$10*K72+$L$10*L72)</x:f>
        <x:v>1.3089446729330594</x:v>
      </x:c>
      <x:c r="AK72" s="59" t="n">
        <x:f>(1+AH72*(AI72-1))*AJ72</x:f>
        <x:v>1.6425713031449423</x:v>
      </x:c>
      <x:c r="AL72" s="59" t="n">
        <x:f>U72*AD72*AK72*F72</x:f>
        <x:v>150625.2937962187</x:v>
      </x:c>
      <x:c r="AM72" s="59" t="n">
        <x:f>IF($B72&lt;AM$8,0,AM$3+(AM$4-AM$3)*(POWER(AM$5,$B72-AM$8)-1)/(POWER(AM$5,$C$5-AM$8)-1))</x:f>
        <x:v>36.096385910360176</x:v>
      </x:c>
      <x:c r="AN72" s="59" t="n">
        <x:f>(((E72*'模块规划'!$D$10+G72*'模块规划'!$D$11+H72*'模块规划'!$D$13)*(1+'模块规划'!$G$14*H72)+(I72*'模块规划'!$D$15+J72*'模块规划'!$D$17+K72*'模块规划'!$D$16+L72*'模块规划'!$D$18))*(1+'模块规划'!$J$17*J72))*F72/(1-Q72)</x:f>
        <x:v>327017.4863611938</x:v>
      </x:c>
      <x:c r="AO72" s="59" t="n">
        <x:f>AL72*AM72</x:f>
        <x:v>5437028.732729691</x:v>
      </x:c>
      <x:c r="AP72" s="61" t="n">
        <x:f>IF(AO72="","",INDEX('_曲线基线'!$A$3:$A$502,MIN(ROWS('_曲线基线'!$A$3:$A$502),COUNTIF('_曲线基线'!$E$3:$E$502,"&lt;"&amp;AO72)+1)))</x:f>
        <x:v>114</x:v>
      </x:c>
      <x:c r="AQ72" s="61" t="n">
        <x:f>IF(B72&lt;=2,1,IF(B72&lt;=6,2,IF(B72&lt;=9,3,IF(B72&lt;=19,4,5))))</x:f>
        <x:v>5</x:v>
      </x:c>
      <x:c r="AR72" s="59" t="n">
        <x:f>AN72*(1-Q72)/F72*$AS$3+U72*$AS$4+P72*$AS$5</x:f>
        <x:v>4110.018882566377</x:v>
      </x:c>
      <x:c r="AS72" s="59" t="n">
        <x:f>1+AH72*$AS$6+AI72*$AS$7+(AJ72-1)*$AS$8+($H$10*H72+$I$10*I72+$J$10*J72+$K$10*K72+$L$10*L72)*$AU$3*$AS$9+($H$10*H72+$I$10*I72+$J$10*J72+$K$10*K72+$L$10*L72)*$AU$4*$AS$10</x:f>
        <x:v>8.531540624256714</x:v>
      </x:c>
      <x:c r="AT72" s="60" t="n">
        <x:f>ROUND(AR72*AS72,0)</x:f>
        <x:v>35065</x:v>
      </x:c>
      <x:c r="AU72" s="60" t="n">
        <x:f>ROUND(AT72*F72,0)</x:f>
        <x:v>175325</x:v>
      </x:c>
      <x:c r="AV72" s="60" t="n">
        <x:f>MIN(MATCH(B72,'主线调参'!$M$11:$M$62,1),ROWS('主线调参'!$M$11:$M$62)-1)</x:f>
        <x:v>22</x:v>
      </x:c>
      <x:c r="AW72" s="62" t="n">
        <x:f>(B72-INDEX('主线调参'!$M$11:$M$62,AV72))/(INDEX('主线调参'!$M$11:$M$62,AV72+1)-INDEX('主线调参'!$M$11:$M$62,AV72))</x:f>
        <x:v>0.6666666666666666</x:v>
      </x:c>
      <x:c r="AX72" s="60" t="n">
        <x:f>IF(AU72=0,0,ROUND(AU72,2-INT(LOG10(ABS(AU72)))))</x:f>
        <x:v>175000</x:v>
      </x:c>
      <x:c r="AY72" s="62" t="n">
        <x:f>AU72/AU71-1</x:f>
        <x:v>0.02908375887773662</x:v>
      </x:c>
    </x:row>
    <x:row r="73" ht="25" customHeight="1">
      <x:c r="A73" s="40" t="n">
        <x:f>'调前玩家曲线'!A73</x:f>
        <x:v>29</x:v>
      </x:c>
      <x:c r="B73" s="40" t="n">
        <x:f>'调前玩家曲线'!B73</x:f>
        <x:v>62</x:v>
      </x:c>
      <x:c r="C73" s="40" t="n">
        <x:f>'调前玩家曲线'!C73</x:f>
        <x:v>5</x:v>
      </x:c>
      <x:c r="D73" s="40" t="n">
        <x:f>'调前玩家曲线'!D73</x:f>
        <x:v>8</x:v>
      </x:c>
      <x:c r="E73" s="40" t="n">
        <x:f>'调前玩家曲线'!E73</x:f>
        <x:v>1</x:v>
      </x:c>
      <x:c r="F73" s="40" t="n">
        <x:f>'调前玩家曲线'!F73</x:f>
        <x:v>5</x:v>
      </x:c>
      <x:c r="G73" s="63" t="n">
        <x:f>IF(B73&lt;$G$8,0,(INDEX('主线调参'!$C$11:$C$62,$AV73)+(INDEX('主线调参'!$C$11:$C$62,$AV73+1)-INDEX('主线调参'!$C$11:$C$62,$AV73))*$AW73)*'参数说明'!$C$27)</x:f>
        <x:v>0.47932103149113997</x:v>
      </x:c>
      <x:c r="H73" s="63" t="n">
        <x:f>IF(B73&lt;$H$8,0,(INDEX('主线调参'!$D$11:$D$62,$AV73)+(INDEX('主线调参'!$D$11:$D$62,$AV73+1)-INDEX('主线调参'!$D$11:$D$62,$AV73))*$AW73)*'参数说明'!$D$27)</x:f>
        <x:v>0.35904972306750244</x:v>
      </x:c>
      <x:c r="I73" s="63" t="n">
        <x:f>IF(B73&lt;$I$8,0,(INDEX('主线调参'!$E$11:$E$62,$AV73)+(INDEX('主线调参'!$E$11:$E$62,$AV73+1)-INDEX('主线调参'!$E$11:$E$62,$AV73))*$AW73)*'参数说明'!$E$27)</x:f>
        <x:v>0</x:v>
      </x:c>
      <x:c r="J73" s="63" t="n">
        <x:f>IF(B73&lt;$J$8,0,(INDEX('主线调参'!$F$11:$F$62,$AV73)+(INDEX('主线调参'!$F$11:$F$62,$AV73+1)-INDEX('主线调参'!$F$11:$F$62,$AV73))*$AW73)*'参数说明'!$F$27)</x:f>
        <x:v>0.1940845984883038</x:v>
      </x:c>
      <x:c r="K73" s="63" t="n">
        <x:f>IF(B73&lt;$K$8,0,(INDEX('主线调参'!$G$11:$G$62,$AV73)+(INDEX('主线调参'!$G$11:$G$62,$AV73+1)-INDEX('主线调参'!$G$11:$G$62,$AV73))*$AW73)*'参数说明'!$G$27)</x:f>
        <x:v>0</x:v>
      </x:c>
      <x:c r="L73" s="63" t="n">
        <x:f>IF(B73&lt;$L$8,0,(INDEX('主线调参'!$H$11:$H$62,$AV73)+(INDEX('主线调参'!$H$11:$H$62,$AV73+1)-INDEX('主线调参'!$H$11:$H$62,$AV73))*$AW73)*'参数说明'!$H$27)</x:f>
        <x:v>0.31704537808286665</x:v>
      </x:c>
      <x:c r="M73" s="59" t="n">
        <x:f>E73*'模块规划'!$F$10+G73*'模块规划'!$F$11+H73*'模块规划'!$F$13</x:f>
        <x:v>3300.740951157472</x:v>
      </x:c>
      <x:c r="N73" s="59" t="n">
        <x:f>I73*'模块规划'!$F$15+J73*'模块规划'!$F$17+K73*'模块规划'!$F$16+L73*'模块规划'!$F$18</x:f>
        <x:v>3526.072875297371</x:v>
      </x:c>
      <x:c r="O73" s="59" t="n">
        <x:f>1+O$9*SUMPRODUCT($H$10:$L$10,H73:L73)/SUM($H$10:$L$10)</x:f>
        <x:v>1.6881461927216241</x:v>
      </x:c>
      <x:c r="P73" s="59" t="n">
        <x:f>M73*O73+N73</x:f>
        <x:v>9098.20614515421</x:v>
      </x:c>
      <x:c r="Q73" s="59" t="n">
        <x:f>P73/(P73+'_曲线基线'!$L$2)</x:f>
        <x:v>0.27488517369350685</x:v>
      </x:c>
      <x:c r="R73" s="59" t="n">
        <x:f>E73*'模块规划'!$E$10+G73*'模块规划'!$E$11+H73*'模块规划'!$E$13</x:f>
        <x:v>4951.111426736208</x:v>
      </x:c>
      <x:c r="S73" s="59" t="n">
        <x:f>I73*'模块规划'!$E$15+J73*'模块规划'!$E$17+K73*'模块规划'!$E$16+L73*'模块规划'!$E$18</x:f>
        <x:v>5289.109312946057</x:v>
      </x:c>
      <x:c r="T73" s="59" t="n">
        <x:f>1+T$9*SUMPRODUCT($H$10:$L$10,H73:L73)/SUM($H$10:$L$10)</x:f>
        <x:v>1.6881461927216241</x:v>
      </x:c>
      <x:c r="U73" s="59" t="n">
        <x:f>R73*T73+S73</x:f>
        <x:v>13647.309217731316</x:v>
      </x:c>
      <x:c r="V73" s="59" t="n">
        <x:f>V$8+(V$9-V$8)*H73</x:f>
        <x:v>0.8077149169202507</x:v>
      </x:c>
      <x:c r="W73" s="59" t="n">
        <x:f>IF(B73&lt;$H$8,0,W$8+(W$9-W$8)*H73)</x:f>
        <x:v>0.14361988922700097</x:v>
      </x:c>
      <x:c r="X73" s="59" t="n">
        <x:f>X$8+(X$9-X$8)*H73</x:f>
        <x:v>0.3737386738435632</x:v>
      </x:c>
      <x:c r="Y73" s="59" t="n">
        <x:f>Y$8+(Y$9-Y$8)*G73</x:f>
        <x:v>1</x:v>
      </x:c>
      <x:c r="Z73" s="59" t="n">
        <x:f>Z$8+(Z$9-Z$8)*H73</x:f>
        <x:v>1</x:v>
      </x:c>
      <x:c r="AA73" s="59" t="n">
        <x:f>AA$8+(AA$9-AA$8)*I73</x:f>
        <x:v>1</x:v>
      </x:c>
      <x:c r="AB73" s="59" t="n">
        <x:f>AB$8+(AB$9-AB$8)*J73</x:f>
        <x:v>1</x:v>
      </x:c>
      <x:c r="AC73" s="59" t="n">
        <x:f>AC$8+(AC$9-AC$8)*MAX(K73,L73)</x:f>
        <x:v>1</x:v>
      </x:c>
      <x:c r="AD73" s="59" t="n">
        <x:f>(V73*AE73+W73*AF73+X73*AG73)*PRODUCT(Y73:AC73)</x:f>
        <x:v>1.3740240757674662</x:v>
      </x:c>
      <x:c r="AE73" s="59" t="n">
        <x:f>1+AE$9*($H$10*H73+$I$10*I73+$J$10*J73+$K$10*K73+$L$10*L73)</x:f>
        <x:v>1</x:v>
      </x:c>
      <x:c r="AF73" s="59" t="n">
        <x:f>1+AF$9*($H$10*H73+$I$10*I73+$J$10*J73+$K$10*K73+$L$10*L73)</x:f>
        <x:v>1.0607351700458763</x:v>
      </x:c>
      <x:c r="AG73" s="59" t="n">
        <x:f>1+AG$9*($H$10*H73+$I$10*I73+$J$10*J73+$K$10*K73+$L$10*L73)</x:f>
        <x:v>1.107636218025748</x:v>
      </x:c>
      <x:c r="AH73" s="59" t="n">
        <x:f>MIN(1,'_曲线基线'!$L$3+AH$9*($H$10*H73+$I$10*I73+$J$10*J73+$K$10*K73+$L$10*L73))</x:f>
        <x:v>0.18817251185436817</x:v>
      </x:c>
      <x:c r="AI73" s="59" t="n">
        <x:f>'_曲线基线'!$L$4+AI$9*($H$10*H73+$I$10*I73+$J$10*J73+$K$10*K73+$L$10*L73)</x:f>
        <x:v>2.38490914016574</x:v>
      </x:c>
      <x:c r="AJ73" s="59" t="n">
        <x:f>1+AJ$9*($H$10*H73+$I$10*I73+$J$10*J73+$K$10*K73+$L$10*L73)</x:f>
        <x:v>1.3158228842385558</x:v>
      </x:c>
      <x:c r="AK73" s="59" t="n">
        <x:f>(1+AH73*(AI73-1))*AJ73</x:f>
        <x:v>1.6587287379258187</x:v>
      </x:c>
      <x:c r="AL73" s="59" t="n">
        <x:f>U73*AD73*AK73*F73</x:f>
        <x:v>155520.17908224033</x:v>
      </x:c>
      <x:c r="AM73" s="59" t="n">
        <x:f>IF($B73&lt;AM$8,0,AM$3+(AM$4-AM$3)*(POWER(AM$5,$B73-AM$8)-1)/(POWER(AM$5,$C$5-AM$8)-1))</x:f>
        <x:v>36.120774409385646</x:v>
      </x:c>
      <x:c r="AN73" s="59" t="n">
        <x:f>(((E73*'模块规划'!$D$10+G73*'模块规划'!$D$11+H73*'模块规划'!$D$13)*(1+'模块规划'!$G$14*H73)+(I73*'模块规划'!$D$15+J73*'模块规划'!$D$17+K73*'模块规划'!$D$16+L73*'模块规划'!$D$18))*(1+'模块规划'!$J$17*J73))*F73/(1-Q73)</x:f>
        <x:v>335526.96189073194</x:v>
      </x:c>
      <x:c r="AO73" s="59" t="n">
        <x:f>AL73*AM73</x:f>
        <x:v>5617509.304736859</x:v>
      </x:c>
      <x:c r="AP73" s="61" t="n">
        <x:f>IF(AO73="","",INDEX('_曲线基线'!$A$3:$A$502,MIN(ROWS('_曲线基线'!$A$3:$A$502),COUNTIF('_曲线基线'!$E$3:$E$502,"&lt;"&amp;AO73)+1)))</x:f>
        <x:v>116</x:v>
      </x:c>
      <x:c r="AQ73" s="61" t="n">
        <x:f>IF(B73&lt;=2,1,IF(B73&lt;=6,2,IF(B73&lt;=9,3,IF(B73&lt;=19,4,5))))</x:f>
        <x:v>5</x:v>
      </x:c>
      <x:c r="AR73" s="59" t="n">
        <x:f>AN73*(1-Q73)/F73*$AS$3+U73*$AS$4+P73*$AS$5</x:f>
        <x:v>4189.235291701524</x:v>
      </x:c>
      <x:c r="AS73" s="59" t="n">
        <x:f>1+AH73*$AS$6+AI73*$AS$7+(AJ73-1)*$AS$8+($H$10*H73+$I$10*I73+$J$10*J73+$K$10*K73+$L$10*L73)*$AU$3*$AS$9+($H$10*H73+$I$10*I73+$J$10*J73+$K$10*K73+$L$10*L73)*$AU$4*$AS$10</x:f>
        <x:v>8.610575420578062</x:v>
      </x:c>
      <x:c r="AT73" s="60" t="n">
        <x:f>ROUND(AR73*AS73,0)</x:f>
        <x:v>36072</x:v>
      </x:c>
      <x:c r="AU73" s="60" t="n">
        <x:f>ROUND(AT73*F73,0)</x:f>
        <x:v>180360</x:v>
      </x:c>
      <x:c r="AV73" s="60" t="n">
        <x:f>MIN(MATCH(B73,'主线调参'!$M$11:$M$62,1),ROWS('主线调参'!$M$11:$M$62)-1)</x:f>
        <x:v>22</x:v>
      </x:c>
      <x:c r="AW73" s="62" t="n">
        <x:f>(B73-INDEX('主线调参'!$M$11:$M$62,AV73))/(INDEX('主线调参'!$M$11:$M$62,AV73+1)-INDEX('主线调参'!$M$11:$M$62,AV73))</x:f>
        <x:v>0.7777777777777778</x:v>
      </x:c>
      <x:c r="AX73" s="60" t="n">
        <x:f>IF(AU73=0,0,ROUND(AU73,2-INT(LOG10(ABS(AU73)))))</x:f>
        <x:v>180000</x:v>
      </x:c>
      <x:c r="AY73" s="62" t="n">
        <x:f>AU73/AU72-1</x:f>
        <x:v>0.028718094966490693</x:v>
      </x:c>
    </x:row>
    <x:row r="74" ht="25" customHeight="1">
      <x:c r="A74" s="40" t="n">
        <x:f>'调前玩家曲线'!A74</x:f>
        <x:v>29</x:v>
      </x:c>
      <x:c r="B74" s="40" t="n">
        <x:f>'调前玩家曲线'!B74</x:f>
        <x:v>63</x:v>
      </x:c>
      <x:c r="C74" s="40" t="n">
        <x:f>'调前玩家曲线'!C74</x:f>
        <x:v>5</x:v>
      </x:c>
      <x:c r="D74" s="40" t="n">
        <x:f>'调前玩家曲线'!D74</x:f>
        <x:v>9</x:v>
      </x:c>
      <x:c r="E74" s="40" t="n">
        <x:f>'调前玩家曲线'!E74</x:f>
        <x:v>1</x:v>
      </x:c>
      <x:c r="F74" s="40" t="n">
        <x:f>'调前玩家曲线'!F74</x:f>
        <x:v>5</x:v>
      </x:c>
      <x:c r="G74" s="63" t="n">
        <x:f>IF(B74&lt;$G$8,0,(INDEX('主线调参'!$C$11:$C$62,$AV74)+(INDEX('主线调参'!$C$11:$C$62,$AV74+1)-INDEX('主线调参'!$C$11:$C$62,$AV74))*$AW74)*'参数说明'!$C$27)</x:f>
        <x:v>0.4836023578090647</x:v>
      </x:c>
      <x:c r="H74" s="63" t="n">
        <x:f>IF(B74&lt;$H$8,0,(INDEX('主线调参'!$D$11:$D$62,$AV74)+(INDEX('主线调参'!$D$11:$D$62,$AV74+1)-INDEX('主线调参'!$D$11:$D$62,$AV74))*$AW74)*'参数说明'!$D$27)</x:f>
        <x:v>0.36330583181700943</x:v>
      </x:c>
      <x:c r="I74" s="63" t="n">
        <x:f>IF(B74&lt;$I$8,0,(INDEX('主线调参'!$E$11:$E$62,$AV74)+(INDEX('主线调参'!$E$11:$E$62,$AV74+1)-INDEX('主线调参'!$E$11:$E$62,$AV74))*$AW74)*'参数说明'!$E$27)</x:f>
        <x:v>0</x:v>
      </x:c>
      <x:c r="J74" s="63" t="n">
        <x:f>IF(B74&lt;$J$8,0,(INDEX('主线调参'!$F$11:$F$62,$AV74)+(INDEX('主线调参'!$F$11:$F$62,$AV74+1)-INDEX('主线调参'!$F$11:$F$62,$AV74))*$AW74)*'参数说明'!$F$27)</x:f>
        <x:v>0.19958244307788878</x:v>
      </x:c>
      <x:c r="K74" s="63" t="n">
        <x:f>IF(B74&lt;$K$8,0,(INDEX('主线调参'!$G$11:$G$62,$AV74)+(INDEX('主线调参'!$G$11:$G$62,$AV74+1)-INDEX('主线调参'!$G$11:$G$62,$AV74))*$AW74)*'参数说明'!$G$27)</x:f>
        <x:v>0</x:v>
      </x:c>
      <x:c r="L74" s="63" t="n">
        <x:f>IF(B74&lt;$L$8,0,(INDEX('主线调参'!$H$11:$H$62,$AV74)+(INDEX('主线调参'!$H$11:$H$62,$AV74+1)-INDEX('主线调参'!$H$11:$H$62,$AV74))*$AW74)*'参数说明'!$H$27)</x:f>
        <x:v>0.3221409413610185</x:v>
      </x:c>
      <x:c r="M74" s="59" t="n">
        <x:f>E74*'模块规划'!$F$10+G74*'模块规划'!$F$11+H74*'模块规划'!$F$13</x:f>
        <x:v>3321.2913174835103</x:v>
      </x:c>
      <x:c r="N74" s="59" t="n">
        <x:f>I74*'模块规划'!$F$15+J74*'模块规划'!$F$17+K74*'模块规划'!$F$16+L74*'模块规划'!$F$18</x:f>
        <x:v>3606.52913758398</x:v>
      </x:c>
      <x:c r="O74" s="59" t="n">
        <x:f>1+O$9*SUMPRODUCT($H$10:$L$10,H74:L74)/SUM($H$10:$L$10)</x:f>
        <x:v>1.703133121024885</x:v>
      </x:c>
      <x:c r="P74" s="59" t="n">
        <x:f>M74*O74+N74</x:f>
        <x:v>9263.130384962524</x:v>
      </x:c>
      <x:c r="Q74" s="59" t="n">
        <x:f>P74/(P74+'_曲线基线'!$L$2)</x:f>
        <x:v>0.2784804159367444</x:v>
      </x:c>
      <x:c r="R74" s="59" t="n">
        <x:f>E74*'模块规划'!$E$10+G74*'模块规划'!$E$11+H74*'模块规划'!$E$13</x:f>
        <x:v>4981.936976225266</x:v>
      </x:c>
      <x:c r="S74" s="59" t="n">
        <x:f>I74*'模块规划'!$E$15+J74*'模块规划'!$E$17+K74*'模块规划'!$E$16+L74*'模块规划'!$E$18</x:f>
        <x:v>5409.793706375971</x:v>
      </x:c>
      <x:c r="T74" s="59" t="n">
        <x:f>1+T$9*SUMPRODUCT($H$10:$L$10,H74:L74)/SUM($H$10:$L$10)</x:f>
        <x:v>1.703133121024885</x:v>
      </x:c>
      <x:c r="U74" s="59" t="n">
        <x:f>R74*T74+S74</x:f>
        <x:v>13894.695577443787</x:v>
      </x:c>
      <x:c r="V74" s="59" t="n">
        <x:f>V$8+(V$9-V$8)*H74</x:f>
        <x:v>0.8089917495451028</x:v>
      </x:c>
      <x:c r="W74" s="59" t="n">
        <x:f>IF(B74&lt;$H$8,0,W$8+(W$9-W$8)*H74)</x:f>
        <x:v>0.14532233272680378</x:v>
      </x:c>
      <x:c r="X74" s="59" t="n">
        <x:f>X$8+(X$9-X$8)*H74</x:f>
        <x:v>0.3749091037496776</x:v>
      </x:c>
      <x:c r="Y74" s="59" t="n">
        <x:f>Y$8+(Y$9-Y$8)*G74</x:f>
        <x:v>1</x:v>
      </x:c>
      <x:c r="Z74" s="59" t="n">
        <x:f>Z$8+(Z$9-Z$8)*H74</x:f>
        <x:v>1</x:v>
      </x:c>
      <x:c r="AA74" s="59" t="n">
        <x:f>AA$8+(AA$9-AA$8)*I74</x:f>
        <x:v>1</x:v>
      </x:c>
      <x:c r="AB74" s="59" t="n">
        <x:f>AB$8+(AB$9-AB$8)*J74</x:f>
        <x:v>1</x:v>
      </x:c>
      <x:c r="AC74" s="59" t="n">
        <x:f>AC$8+(AC$9-AC$8)*MAX(K74,L74)</x:f>
        <x:v>1</x:v>
      </x:c>
      <x:c r="AD74" s="59" t="n">
        <x:f>(V74*AE74+W74*AF74+X74*AG74)*PRODUCT(Y74:AC74)</x:f>
        <x:v>1.37947423647089</x:v>
      </x:c>
      <x:c r="AE74" s="59" t="n">
        <x:f>1+AE$9*($H$10*H74+$I$10*I74+$J$10*J74+$K$10*K74+$L$10*L74)</x:f>
        <x:v>1</x:v>
      </x:c>
      <x:c r="AF74" s="59" t="n">
        <x:f>1+AF$9*($H$10*H74+$I$10*I74+$J$10*J74+$K$10*K74+$L$10*L74)</x:f>
        <x:v>1.062057902989241</x:v>
      </x:c>
      <x:c r="AG74" s="59" t="n">
        <x:f>1+AG$9*($H$10*H74+$I$10*I74+$J$10*J74+$K$10*K74+$L$10*L74)</x:f>
        <x:v>1.1099803947420444</x:v>
      </x:c>
      <x:c r="AH74" s="59" t="n">
        <x:f>MIN(1,'_曲线基线'!$L$3+AH$9*($H$10*H74+$I$10*I74+$J$10*J74+$K$10*K74+$L$10*L74))</x:f>
        <x:v>0.1911817293005229</x:v>
      </x:c>
      <x:c r="AI74" s="59" t="n">
        <x:f>'_曲线基线'!$L$4+AI$9*($H$10*H74+$I$10*I74+$J$10*J74+$K$10*K74+$L$10*L74)</x:f>
        <x:v>2.393291960194314</x:v>
      </x:c>
      <x:c r="AJ74" s="59" t="n">
        <x:f>1+AJ$9*($H$10*H74+$I$10*I74+$J$10*J74+$K$10*K74+$L$10*L74)</x:f>
        <x:v>1.3227010955440524</x:v>
      </x:c>
      <x:c r="AK74" s="59" t="n">
        <x:f>(1+AH74*(AI74-1))*AJ74</x:f>
        <x:v>1.6750315872844888</x:v>
      </x:c>
      <x:c r="AL74" s="59" t="n">
        <x:f>U74*AD74*AK74*F74</x:f>
        <x:v>160529.78927284406</x:v>
      </x:c>
      <x:c r="AM74" s="59" t="n">
        <x:f>IF($B74&lt;AM$8,0,AM$3+(AM$4-AM$3)*(POWER(AM$5,$B74-AM$8)-1)/(POWER(AM$5,$C$5-AM$8)-1))</x:f>
        <x:v>36.14540679340137</x:v>
      </x:c>
      <x:c r="AN74" s="59" t="n">
        <x:f>(((E74*'模块规划'!$D$10+G74*'模块规划'!$D$11+H74*'模块规划'!$D$13)*(1+'模块规划'!$G$14*H74)+(I74*'模块规划'!$D$15+J74*'模块规划'!$D$17+K74*'模块规划'!$D$16+L74*'模块规划'!$D$18))*(1+'模块规划'!$J$17*J74))*F74/(1-Q74)</x:f>
        <x:v>344172.81906117493</x:v>
      </x:c>
      <x:c r="AO74" s="59" t="n">
        <x:f>AL74*AM74</x:f>
        <x:v>5802414.535725948</x:v>
      </x:c>
      <x:c r="AP74" s="61" t="n">
        <x:f>IF(AO74="","",INDEX('_曲线基线'!$A$3:$A$502,MIN(ROWS('_曲线基线'!$A$3:$A$502),COUNTIF('_曲线基线'!$E$3:$E$502,"&lt;"&amp;AO74)+1)))</x:f>
        <x:v>117</x:v>
      </x:c>
      <x:c r="AQ74" s="61" t="n">
        <x:f>IF(B74&lt;=2,1,IF(B74&lt;=6,2,IF(B74&lt;=9,3,IF(B74&lt;=19,4,5))))</x:f>
        <x:v>5</x:v>
      </x:c>
      <x:c r="AR74" s="59" t="n">
        <x:f>AN74*(1-Q74)/F74*$AS$3+U74*$AS$4+P74*$AS$5</x:f>
        <x:v>4268.90369101814</x:v>
      </x:c>
      <x:c r="AS74" s="59" t="n">
        <x:f>1+AH74*$AS$6+AI74*$AS$7+(AJ74-1)*$AS$8+($H$10*H74+$I$10*I74+$J$10*J74+$K$10*K74+$L$10*L74)*$AU$3*$AS$9+($H$10*H74+$I$10*I74+$J$10*J74+$K$10*K74+$L$10*L74)*$AU$4*$AS$10</x:f>
        <x:v>8.689610216899412</x:v>
      </x:c>
      <x:c r="AT74" s="60" t="n">
        <x:f>ROUND(AR74*AS74,0)</x:f>
        <x:v>37095</x:v>
      </x:c>
      <x:c r="AU74" s="60" t="n">
        <x:f>ROUND(AT74*F74,0)</x:f>
        <x:v>185475</x:v>
      </x:c>
      <x:c r="AV74" s="60" t="n">
        <x:f>MIN(MATCH(B74,'主线调参'!$M$11:$M$62,1),ROWS('主线调参'!$M$11:$M$62)-1)</x:f>
        <x:v>22</x:v>
      </x:c>
      <x:c r="AW74" s="62" t="n">
        <x:f>(B74-INDEX('主线调参'!$M$11:$M$62,AV74))/(INDEX('主线调参'!$M$11:$M$62,AV74+1)-INDEX('主线调参'!$M$11:$M$62,AV74))</x:f>
        <x:v>0.8888888888888888</x:v>
      </x:c>
      <x:c r="AX74" s="60" t="n">
        <x:f>IF(AU74=0,0,ROUND(AU74,2-INT(LOG10(ABS(AU74)))))</x:f>
        <x:v>185000</x:v>
      </x:c>
      <x:c r="AY74" s="62" t="n">
        <x:f>AU74/AU73-1</x:f>
        <x:v>0.02835994677312037</x:v>
      </x:c>
    </x:row>
    <x:row r="75" ht="25" customHeight="1">
      <x:c r="A75" s="40" t="n">
        <x:f>'调前玩家曲线'!A75</x:f>
        <x:v>30</x:v>
      </x:c>
      <x:c r="B75" s="40" t="n">
        <x:f>'调前玩家曲线'!B75</x:f>
        <x:v>64</x:v>
      </x:c>
      <x:c r="C75" s="40" t="n">
        <x:f>'调前玩家曲线'!C75</x:f>
        <x:v>5</x:v>
      </x:c>
      <x:c r="D75" s="40" t="n">
        <x:f>'调前玩家曲线'!D75</x:f>
        <x:v>10</x:v>
      </x:c>
      <x:c r="E75" s="40" t="n">
        <x:f>'调前玩家曲线'!E75</x:f>
        <x:v>1</x:v>
      </x:c>
      <x:c r="F75" s="40" t="n">
        <x:f>'调前玩家曲线'!F75</x:f>
        <x:v>5</x:v>
      </x:c>
      <x:c r="G75" s="63" t="n">
        <x:f>IF(B75&lt;$G$8,0,(INDEX('主线调参'!$C$11:$C$62,$AV75)+(INDEX('主线调参'!$C$11:$C$62,$AV75+1)-INDEX('主线调参'!$C$11:$C$62,$AV75))*$AW75)*'参数说明'!$C$27)</x:f>
        <x:v>0.48788368412698946</x:v>
      </x:c>
      <x:c r="H75" s="63" t="n">
        <x:f>IF(B75&lt;$H$8,0,(INDEX('主线调参'!$D$11:$D$62,$AV75)+(INDEX('主线调参'!$D$11:$D$62,$AV75+1)-INDEX('主线调参'!$D$11:$D$62,$AV75))*$AW75)*'参数说明'!$D$27)</x:f>
        <x:v>0.3675619405665165</x:v>
      </x:c>
      <x:c r="I75" s="63" t="n">
        <x:f>IF(B75&lt;$I$8,0,(INDEX('主线调参'!$E$11:$E$62,$AV75)+(INDEX('主线调参'!$E$11:$E$62,$AV75+1)-INDEX('主线调参'!$E$11:$E$62,$AV75))*$AW75)*'参数说明'!$E$27)</x:f>
        <x:v>0</x:v>
      </x:c>
      <x:c r="J75" s="63" t="n">
        <x:f>IF(B75&lt;$J$8,0,(INDEX('主线调参'!$F$11:$F$62,$AV75)+(INDEX('主线调参'!$F$11:$F$62,$AV75+1)-INDEX('主线调参'!$F$11:$F$62,$AV75))*$AW75)*'参数说明'!$F$27)</x:f>
        <x:v>0.20508028766747377</x:v>
      </x:c>
      <x:c r="K75" s="63" t="n">
        <x:f>IF(B75&lt;$K$8,0,(INDEX('主线调参'!$G$11:$G$62,$AV75)+(INDEX('主线调参'!$G$11:$G$62,$AV75+1)-INDEX('主线调参'!$G$11:$G$62,$AV75))*$AW75)*'参数说明'!$G$27)</x:f>
        <x:v>0</x:v>
      </x:c>
      <x:c r="L75" s="63" t="n">
        <x:f>IF(B75&lt;$L$8,0,(INDEX('主线调参'!$H$11:$H$62,$AV75)+(INDEX('主线调参'!$H$11:$H$62,$AV75+1)-INDEX('主线调参'!$H$11:$H$62,$AV75))*$AW75)*'参数说明'!$H$27)</x:f>
        <x:v>0.32723650463917037</x:v>
      </x:c>
      <x:c r="M75" s="59" t="n">
        <x:f>E75*'模块规划'!$F$10+G75*'模块规划'!$F$11+H75*'模块规划'!$F$13</x:f>
        <x:v>3341.8416838095495</x:v>
      </x:c>
      <x:c r="N75" s="59" t="n">
        <x:f>I75*'模块规划'!$F$15+J75*'模块规划'!$F$17+K75*'模块规划'!$F$16+L75*'模块规划'!$F$18</x:f>
        <x:v>3686.9853998705894</x:v>
      </x:c>
      <x:c r="O75" s="59" t="n">
        <x:f>1+O$9*SUMPRODUCT($H$10:$L$10,H75:L75)/SUM($H$10:$L$10)</x:f>
        <x:v>1.7181200493281459</x:v>
      </x:c>
      <x:c r="P75" s="59" t="n">
        <x:f>M75*O75+N75</x:f>
        <x:v>9428.670598504306</x:v>
      </x:c>
      <x:c r="Q75" s="59" t="n">
        <x:f>P75/(P75+'_曲线基线'!$L$2)</x:f>
        <x:v>0.28205341192737027</x:v>
      </x:c>
      <x:c r="R75" s="59" t="n">
        <x:f>E75*'模块规划'!$E$10+G75*'模块规划'!$E$11+H75*'模块规划'!$E$13</x:f>
        <x:v>5012.7625257143245</x:v>
      </x:c>
      <x:c r="S75" s="59" t="n">
        <x:f>I75*'模块规划'!$E$15+J75*'模块规划'!$E$17+K75*'模块规划'!$E$16+L75*'模块规划'!$E$18</x:f>
        <x:v>5530.478099805885</x:v>
      </x:c>
      <x:c r="T75" s="59" t="n">
        <x:f>1+T$9*SUMPRODUCT($H$10:$L$10,H75:L75)/SUM($H$10:$L$10)</x:f>
        <x:v>1.7181200493281459</x:v>
      </x:c>
      <x:c r="U75" s="59" t="n">
        <x:f>R75*T75+S75</x:f>
        <x:v>14143.005897756462</x:v>
      </x:c>
      <x:c r="V75" s="59" t="n">
        <x:f>V$8+(V$9-V$8)*H75</x:f>
        <x:v>0.8102685821699549</x:v>
      </x:c>
      <x:c r="W75" s="59" t="n">
        <x:f>IF(B75&lt;$H$8,0,W$8+(W$9-W$8)*H75)</x:f>
        <x:v>0.1470247762266066</x:v>
      </x:c>
      <x:c r="X75" s="59" t="n">
        <x:f>X$8+(X$9-X$8)*H75</x:f>
        <x:v>0.37607953365579205</x:v>
      </x:c>
      <x:c r="Y75" s="59" t="n">
        <x:f>Y$8+(Y$9-Y$8)*G75</x:f>
        <x:v>1</x:v>
      </x:c>
      <x:c r="Z75" s="59" t="n">
        <x:f>Z$8+(Z$9-Z$8)*H75</x:f>
        <x:v>1</x:v>
      </x:c>
      <x:c r="AA75" s="59" t="n">
        <x:f>AA$8+(AA$9-AA$8)*I75</x:f>
        <x:v>1</x:v>
      </x:c>
      <x:c r="AB75" s="59" t="n">
        <x:f>AB$8+(AB$9-AB$8)*J75</x:f>
        <x:v>1</x:v>
      </x:c>
      <x:c r="AC75" s="59" t="n">
        <x:f>AC$8+(AC$9-AC$8)*MAX(K75,L75)</x:f>
        <x:v>1</x:v>
      </x:c>
      <x:c r="AD75" s="59" t="n">
        <x:f>(V75*AE75+W75*AF75+X75*AG75)*PRODUCT(Y75:AC75)</x:f>
        <x:v>1.3849343883195844</x:v>
      </x:c>
      <x:c r="AE75" s="59" t="n">
        <x:f>1+AE$9*($H$10*H75+$I$10*I75+$J$10*J75+$K$10*K75+$L$10*L75)</x:f>
        <x:v>1</x:v>
      </x:c>
      <x:c r="AF75" s="59" t="n">
        <x:f>1+AF$9*($H$10*H75+$I$10*I75+$J$10*J75+$K$10*K75+$L$10*L75)</x:f>
        <x:v>1.0633806359326057</x:v>
      </x:c>
      <x:c r="AG75" s="59" t="n">
        <x:f>1+AG$9*($H$10*H75+$I$10*I75+$J$10*J75+$K$10*K75+$L$10*L75)</x:f>
        <x:v>1.1123245714583407</x:v>
      </x:c>
      <x:c r="AH75" s="59" t="n">
        <x:f>MIN(1,'_曲线基线'!$L$3+AH$9*($H$10*H75+$I$10*I75+$J$10*J75+$K$10*K75+$L$10*L75))</x:f>
        <x:v>0.1941909467466777</x:v>
      </x:c>
      <x:c r="AI75" s="59" t="n">
        <x:f>'_曲线基线'!$L$4+AI$9*($H$10*H75+$I$10*I75+$J$10*J75+$K$10*K75+$L$10*L75)</x:f>
        <x:v>2.401674780222888</x:v>
      </x:c>
      <x:c r="AJ75" s="59" t="n">
        <x:f>1+AJ$9*($H$10*H75+$I$10*I75+$J$10*J75+$K$10*K75+$L$10*L75)</x:f>
        <x:v>1.329579306849549</x:v>
      </x:c>
      <x:c r="AK75" s="59" t="n">
        <x:f>(1+AH75*(AI75-1))*AJ75</x:f>
        <x:v>1.6914808922682893</x:v>
      </x:c>
      <x:c r="AL75" s="59" t="n">
        <x:f>U75*AD75*AK75*F75</x:f>
        <x:v>165656.32481152235</x:v>
      </x:c>
      <x:c r="AM75" s="59" t="n">
        <x:f>IF($B75&lt;AM$8,0,AM$3+(AM$4-AM$3)*(POWER(AM$5,$B75-AM$8)-1)/(POWER(AM$5,$C$5-AM$8)-1))</x:f>
        <x:v>36.170285501257254</x:v>
      </x:c>
      <x:c r="AN75" s="59" t="n">
        <x:f>(((E75*'模块规划'!$D$10+G75*'模块规划'!$D$11+H75*'模块规划'!$D$13)*(1+'模块规划'!$G$14*H75)+(I75*'模块规划'!$D$15+J75*'模块规划'!$D$17+K75*'模块规划'!$D$16+L75*'模块规划'!$D$18))*(1+'模块规划'!$J$17*J75))*F75/(1-Q75)</x:f>
        <x:v>352956.4718848786</x:v>
      </x:c>
      <x:c r="AO75" s="59" t="n">
        <x:f>AL75*AM75</x:f>
        <x:v>5991836.563521769</x:v>
      </x:c>
      <x:c r="AP75" s="61" t="n">
        <x:f>IF(AO75="","",INDEX('_曲线基线'!$A$3:$A$502,MIN(ROWS('_曲线基线'!$A$3:$A$502),COUNTIF('_曲线基线'!$E$3:$E$502,"&lt;"&amp;AO75)+1)))</x:f>
        <x:v>119</x:v>
      </x:c>
      <x:c r="AQ75" s="61" t="n">
        <x:f>IF(B75&lt;=2,1,IF(B75&lt;=6,2,IF(B75&lt;=9,3,IF(B75&lt;=19,4,5))))</x:f>
        <x:v>5</x:v>
      </x:c>
      <x:c r="AR75" s="59" t="n">
        <x:f>AN75*(1-Q75)/F75*$AS$3+U75*$AS$4+P75*$AS$5</x:f>
        <x:v>4349.0245479187015</x:v>
      </x:c>
      <x:c r="AS75" s="59" t="n">
        <x:f>1+AH75*$AS$6+AI75*$AS$7+(AJ75-1)*$AS$8+($H$10*H75+$I$10*I75+$J$10*J75+$K$10*K75+$L$10*L75)*$AU$3*$AS$9+($H$10*H75+$I$10*I75+$J$10*J75+$K$10*K75+$L$10*L75)*$AU$4*$AS$10</x:f>
        <x:v>8.768645013220763</x:v>
      </x:c>
      <x:c r="AT75" s="60" t="n">
        <x:f>ROUND(AR75*AS75,0)</x:f>
        <x:v>38135</x:v>
      </x:c>
      <x:c r="AU75" s="60" t="n">
        <x:f>ROUND(AT75*F75,0)</x:f>
        <x:v>190675</x:v>
      </x:c>
      <x:c r="AV75" s="60" t="n">
        <x:f>MIN(MATCH(B75,'主线调参'!$M$11:$M$62,1),ROWS('主线调参'!$M$11:$M$62)-1)</x:f>
        <x:v>23</x:v>
      </x:c>
      <x:c r="AW75" s="62" t="n">
        <x:f>(B75-INDEX('主线调参'!$M$11:$M$62,AV75))/(INDEX('主线调参'!$M$11:$M$62,AV75+1)-INDEX('主线调参'!$M$11:$M$62,AV75))</x:f>
        <x:v>0</x:v>
      </x:c>
      <x:c r="AX75" s="60" t="n">
        <x:f>IF(AU75=0,0,ROUND(AU75,2-INT(LOG10(ABS(AU75)))))</x:f>
        <x:v>191000</x:v>
      </x:c>
      <x:c r="AY75" s="62" t="n">
        <x:f>AU75/AU74-1</x:f>
        <x:v>0.028036123466774532</x:v>
      </x:c>
    </x:row>
    <x:row r="76" ht="25" customHeight="1">
      <x:c r="A76" s="40" t="n">
        <x:f>'调前玩家曲线'!A76</x:f>
        <x:v>30</x:v>
      </x:c>
      <x:c r="B76" s="40" t="n">
        <x:f>'调前玩家曲线'!B76</x:f>
        <x:v>65</x:v>
      </x:c>
      <x:c r="C76" s="40" t="n">
        <x:f>'调前玩家曲线'!C76</x:f>
        <x:v>5</x:v>
      </x:c>
      <x:c r="D76" s="40" t="n">
        <x:f>'调前玩家曲线'!D76</x:f>
        <x:v>11</x:v>
      </x:c>
      <x:c r="E76" s="40" t="n">
        <x:f>'调前玩家曲线'!E76</x:f>
        <x:v>1</x:v>
      </x:c>
      <x:c r="F76" s="40" t="n">
        <x:f>'调前玩家曲线'!F76</x:f>
        <x:v>5</x:v>
      </x:c>
      <x:c r="G76" s="63" t="n">
        <x:f>IF(B76&lt;$G$8,0,(INDEX('主线调参'!$C$11:$C$62,$AV76)+(INDEX('主线调参'!$C$11:$C$62,$AV76+1)-INDEX('主线调参'!$C$11:$C$62,$AV76))*$AW76)*'参数说明'!$C$27)</x:f>
        <x:v>0.49173315039503696</x:v>
      </x:c>
      <x:c r="H76" s="63" t="n">
        <x:f>IF(B76&lt;$H$8,0,(INDEX('主线调参'!$D$11:$D$62,$AV76)+(INDEX('主线调参'!$D$11:$D$62,$AV76+1)-INDEX('主线调参'!$D$11:$D$62,$AV76))*$AW76)*'参数说明'!$D$27)</x:f>
        <x:v>0.3712532614135746</x:v>
      </x:c>
      <x:c r="I76" s="63" t="n">
        <x:f>IF(B76&lt;$I$8,0,(INDEX('主线调参'!$E$11:$E$62,$AV76)+(INDEX('主线调参'!$E$11:$E$62,$AV76+1)-INDEX('主线调参'!$E$11:$E$62,$AV76))*$AW76)*'参数说明'!$E$27)</x:f>
        <x:v>0.009491009711373075</x:v>
      </x:c>
      <x:c r="J76" s="63" t="n">
        <x:f>IF(B76&lt;$J$8,0,(INDEX('主线调参'!$F$11:$F$62,$AV76)+(INDEX('主线调参'!$F$11:$F$62,$AV76+1)-INDEX('主线调参'!$F$11:$F$62,$AV76))*$AW76)*'参数说明'!$F$27)</x:f>
        <x:v>0.20984856534594498</x:v>
      </x:c>
      <x:c r="K76" s="63" t="n">
        <x:f>IF(B76&lt;$K$8,0,(INDEX('主线调参'!$G$11:$G$62,$AV76)+(INDEX('主线调参'!$G$11:$G$62,$AV76+1)-INDEX('主线调参'!$G$11:$G$62,$AV76))*$AW76)*'参数说明'!$G$27)</x:f>
        <x:v>0</x:v>
      </x:c>
      <x:c r="L76" s="63" t="n">
        <x:f>IF(B76&lt;$L$8,0,(INDEX('主线调参'!$H$11:$H$62,$AV76)+(INDEX('主线调参'!$H$11:$H$62,$AV76+1)-INDEX('主线调参'!$H$11:$H$62,$AV76))*$AW76)*'参数说明'!$H$27)</x:f>
        <x:v>0.3316558839509241</x:v>
      </x:c>
      <x:c r="M76" s="59" t="n">
        <x:f>E76*'模块规划'!$F$10+G76*'模块规划'!$F$11+H76*'模块规划'!$F$13</x:f>
        <x:v>3360.3191218961774</x:v>
      </x:c>
      <x:c r="N76" s="59" t="n">
        <x:f>I76*'模块规划'!$F$15+J76*'模块规划'!$F$17+K76*'模块规划'!$F$16+L76*'模块规划'!$F$18</x:f>
        <x:v>3832.6931509050546</x:v>
      </x:c>
      <x:c r="O76" s="59" t="n">
        <x:f>1+O$9*SUMPRODUCT($H$10:$L$10,H76:L76)/SUM($H$10:$L$10)</x:f>
        <x:v>1.7331034796732432</x:v>
      </x:c>
      <x:c r="P76" s="59" t="n">
        <x:f>M76*O76+N76</x:f>
        <x:v>9656.473913875856</x:v>
      </x:c>
      <x:c r="Q76" s="59" t="n">
        <x:f>P76/(P76+'_曲线基线'!$L$2)</x:f>
        <x:v>0.2869128221389435</x:v>
      </x:c>
      <x:c r="R76" s="59" t="n">
        <x:f>E76*'模块规划'!$E$10+G76*'模块规划'!$E$11+H76*'模块规划'!$E$13</x:f>
        <x:v>5040.478682844267</x:v>
      </x:c>
      <x:c r="S76" s="59" t="n">
        <x:f>I76*'模块规划'!$E$15+J76*'模块规划'!$E$17+K76*'模块规划'!$E$16+L76*'模块规划'!$E$18</x:f>
        <x:v>5749.039726357582</x:v>
      </x:c>
      <x:c r="T76" s="59" t="n">
        <x:f>1+T$9*SUMPRODUCT($H$10:$L$10,H76:L76)/SUM($H$10:$L$10)</x:f>
        <x:v>1.7331034796732432</x:v>
      </x:c>
      <x:c r="U76" s="59" t="n">
        <x:f>R76*T76+S76</x:f>
        <x:v>14484.710870813786</x:v>
      </x:c>
      <x:c r="V76" s="59" t="n">
        <x:f>V$8+(V$9-V$8)*H76</x:f>
        <x:v>0.8113759784240724</x:v>
      </x:c>
      <x:c r="W76" s="59" t="n">
        <x:f>IF(B76&lt;$H$8,0,W$8+(W$9-W$8)*H76)</x:f>
        <x:v>0.14850130456542984</x:v>
      </x:c>
      <x:c r="X76" s="59" t="n">
        <x:f>X$8+(X$9-X$8)*H76</x:f>
        <x:v>0.37709464688873306</x:v>
      </x:c>
      <x:c r="Y76" s="59" t="n">
        <x:f>Y$8+(Y$9-Y$8)*G76</x:f>
        <x:v>1</x:v>
      </x:c>
      <x:c r="Z76" s="59" t="n">
        <x:f>Z$8+(Z$9-Z$8)*H76</x:f>
        <x:v>1</x:v>
      </x:c>
      <x:c r="AA76" s="59" t="n">
        <x:f>AA$8+(AA$9-AA$8)*I76</x:f>
        <x:v>1</x:v>
      </x:c>
      <x:c r="AB76" s="59" t="n">
        <x:f>AB$8+(AB$9-AB$8)*J76</x:f>
        <x:v>1</x:v>
      </x:c>
      <x:c r="AC76" s="59" t="n">
        <x:f>AC$8+(AC$9-AC$8)*MAX(K76,L76)</x:f>
        <x:v>1</x:v>
      </x:c>
      <x:c r="AD76" s="59" t="n">
        <x:f>(V76*AE76+W76*AF76+X76*AG76)*PRODUCT(Y76:AC76)</x:f>
        <x:v>1.38982118350122</x:v>
      </x:c>
      <x:c r="AE76" s="59" t="n">
        <x:f>1+AE$9*($H$10*H76+$I$10*I76+$J$10*J76+$K$10*K76+$L$10*L76)</x:f>
        <x:v>1</x:v>
      </x:c>
      <x:c r="AF76" s="59" t="n">
        <x:f>1+AF$9*($H$10*H76+$I$10*I76+$J$10*J76+$K$10*K76+$L$10*L76)</x:f>
        <x:v>1.0647030601492984</x:v>
      </x:c>
      <x:c r="AG76" s="59" t="n">
        <x:f>1+AG$9*($H$10*H76+$I$10*I76+$J$10*J76+$K$10*K76+$L$10*L76)</x:f>
        <x:v>1.1146682010423687</x:v>
      </x:c>
      <x:c r="AH76" s="59" t="n">
        <x:f>MIN(1,'_曲线基线'!$L$3+AH$9*($H$10*H76+$I$10*I76+$J$10*J76+$K$10*K76+$L$10*L76))</x:f>
        <x:v>0.19719946183965376</x:v>
      </x:c>
      <x:c r="AI76" s="59" t="n">
        <x:f>'_曲线基线'!$L$4+AI$9*($H$10*H76+$I$10*I76+$J$10*J76+$K$10*K76+$L$10*L76)</x:f>
        <x:v>2.4100556436961784</x:v>
      </x:c>
      <x:c r="AJ76" s="59" t="n">
        <x:f>1+AJ$9*($H$10*H76+$I$10*I76+$J$10*J76+$K$10*K76+$L$10*L76)</x:f>
        <x:v>1.3364559127763516</x:v>
      </x:c>
      <x:c r="AK76" s="59" t="n">
        <x:f>(1+AH76*(AI76-1))*AJ76</x:f>
        <x:v>1.7080738029311202</x:v>
      </x:c>
      <x:c r="AL76" s="59" t="n">
        <x:f>U76*AD76*AK76*F76</x:f>
        <x:v>171927.51805629695</x:v>
      </x:c>
      <x:c r="AM76" s="59" t="n">
        <x:f>IF($B76&lt;AM$8,0,AM$3+(AM$4-AM$3)*(POWER(AM$5,$B76-AM$8)-1)/(POWER(AM$5,$C$5-AM$8)-1))</x:f>
        <x:v>36.19541299619169</x:v>
      </x:c>
      <x:c r="AN76" s="59" t="n">
        <x:f>(((E76*'模块规划'!$D$10+G76*'模块规划'!$D$11+H76*'模块规划'!$D$13)*(1+'模块规划'!$G$14*H76)+(I76*'模块规划'!$D$15+J76*'模块规划'!$D$17+K76*'模块规划'!$D$16+L76*'模块规划'!$D$18))*(1+'模块规划'!$J$17*J76))*F76/(1-Q76)</x:f>
        <x:v>364957.3536018215</x:v>
      </x:c>
      <x:c r="AO76" s="59" t="n">
        <x:f>AL76*AM76</x:f>
        <x:v>6222987.521457872</x:v>
      </x:c>
      <x:c r="AP76" s="61" t="n">
        <x:f>IF(AO76="","",INDEX('_曲线基线'!$A$3:$A$502,MIN(ROWS('_曲线基线'!$A$3:$A$502),COUNTIF('_曲线基线'!$E$3:$E$502,"&lt;"&amp;AO76)+1)))</x:f>
        <x:v>121</x:v>
      </x:c>
      <x:c r="AQ76" s="61" t="n">
        <x:f>IF(B76&lt;=2,1,IF(B76&lt;=6,2,IF(B76&lt;=9,3,IF(B76&lt;=19,4,5))))</x:f>
        <x:v>5</x:v>
      </x:c>
      <x:c r="AR76" s="59" t="n">
        <x:f>AN76*(1-Q76)/F76*$AS$3+U76*$AS$4+P76*$AS$5</x:f>
        <x:v>4458.4206300801325</x:v>
      </x:c>
      <x:c r="AS76" s="59" t="n">
        <x:f>1+AH76*$AS$6+AI76*$AS$7+(AJ76-1)*$AS$8+($H$10*H76+$I$10*I76+$J$10*J76+$K$10*K76+$L$10*L76)*$AU$3*$AS$9+($H$10*H76+$I$10*I76+$J$10*J76+$K$10*K76+$L$10*L76)*$AU$4*$AS$10</x:f>
        <x:v>8.847661362772673</x:v>
      </x:c>
      <x:c r="AT76" s="60" t="n">
        <x:f>ROUND(AR76*AS76,0)</x:f>
        <x:v>39447</x:v>
      </x:c>
      <x:c r="AU76" s="60" t="n">
        <x:f>ROUND(AT76*F76,0)</x:f>
        <x:v>197235</x:v>
      </x:c>
      <x:c r="AV76" s="60" t="n">
        <x:f>MIN(MATCH(B76,'主线调参'!$M$11:$M$62,1),ROWS('主线调参'!$M$11:$M$62)-1)</x:f>
        <x:v>23</x:v>
      </x:c>
      <x:c r="AW76" s="62" t="n">
        <x:f>(B76-INDEX('主线调参'!$M$11:$M$62,AV76))/(INDEX('主线调参'!$M$11:$M$62,AV76+1)-INDEX('主线调参'!$M$11:$M$62,AV76))</x:f>
        <x:v>0.2</x:v>
      </x:c>
      <x:c r="AX76" s="60" t="n">
        <x:f>IF(AU76=0,0,ROUND(AU76,2-INT(LOG10(ABS(AU76)))))</x:f>
        <x:v>197000</x:v>
      </x:c>
      <x:c r="AY76" s="62" t="n">
        <x:f>AU76/AU75-1</x:f>
        <x:v>0.03440409073030026</x:v>
      </x:c>
    </x:row>
    <x:row r="77" ht="25" customHeight="1">
      <x:c r="A77" s="40" t="n">
        <x:f>'调前玩家曲线'!A77</x:f>
        <x:v>30</x:v>
      </x:c>
      <x:c r="B77" s="40" t="n">
        <x:f>'调前玩家曲线'!B77</x:f>
        <x:v>66</x:v>
      </x:c>
      <x:c r="C77" s="40" t="n">
        <x:f>'调前玩家曲线'!C77</x:f>
        <x:v>5</x:v>
      </x:c>
      <x:c r="D77" s="40" t="n">
        <x:f>'调前玩家曲线'!D77</x:f>
        <x:v>12</x:v>
      </x:c>
      <x:c r="E77" s="40" t="n">
        <x:f>'调前玩家曲线'!E77</x:f>
        <x:v>1</x:v>
      </x:c>
      <x:c r="F77" s="40" t="n">
        <x:f>'调前玩家曲线'!F77</x:f>
        <x:v>5</x:v>
      </x:c>
      <x:c r="G77" s="63" t="n">
        <x:f>IF(B77&lt;$G$8,0,(INDEX('主线调参'!$C$11:$C$62,$AV77)+(INDEX('主线调参'!$C$11:$C$62,$AV77+1)-INDEX('主线调参'!$C$11:$C$62,$AV77))*$AW77)*'参数说明'!$C$27)</x:f>
        <x:v>0.49558261666308445</x:v>
      </x:c>
      <x:c r="H77" s="63" t="n">
        <x:f>IF(B77&lt;$H$8,0,(INDEX('主线调参'!$D$11:$D$62,$AV77)+(INDEX('主线调参'!$D$11:$D$62,$AV77+1)-INDEX('主线调参'!$D$11:$D$62,$AV77))*$AW77)*'参数说明'!$D$27)</x:f>
        <x:v>0.37494458226063265</x:v>
      </x:c>
      <x:c r="I77" s="63" t="n">
        <x:f>IF(B77&lt;$I$8,0,(INDEX('主线调参'!$E$11:$E$62,$AV77)+(INDEX('主线调参'!$E$11:$E$62,$AV77+1)-INDEX('主线调参'!$E$11:$E$62,$AV77))*$AW77)*'参数说明'!$E$27)</x:f>
        <x:v>0.01898201942274615</x:v>
      </x:c>
      <x:c r="J77" s="63" t="n">
        <x:f>IF(B77&lt;$J$8,0,(INDEX('主线调参'!$F$11:$F$62,$AV77)+(INDEX('主线调参'!$F$11:$F$62,$AV77+1)-INDEX('主线调参'!$F$11:$F$62,$AV77))*$AW77)*'参数说明'!$F$27)</x:f>
        <x:v>0.21461684302441617</x:v>
      </x:c>
      <x:c r="K77" s="63" t="n">
        <x:f>IF(B77&lt;$K$8,0,(INDEX('主线调参'!$G$11:$G$62,$AV77)+(INDEX('主线调参'!$G$11:$G$62,$AV77+1)-INDEX('主线调参'!$G$11:$G$62,$AV77))*$AW77)*'参数说明'!$G$27)</x:f>
        <x:v>0</x:v>
      </x:c>
      <x:c r="L77" s="63" t="n">
        <x:f>IF(B77&lt;$L$8,0,(INDEX('主线调参'!$H$11:$H$62,$AV77)+(INDEX('主线调参'!$H$11:$H$62,$AV77+1)-INDEX('主线调参'!$H$11:$H$62,$AV77))*$AW77)*'参数说明'!$H$27)</x:f>
        <x:v>0.33607526326267784</x:v>
      </x:c>
      <x:c r="M77" s="59" t="n">
        <x:f>E77*'模块规划'!$F$10+G77*'模块规划'!$F$11+H77*'模块规划'!$F$13</x:f>
        <x:v>3378.7965599828053</x:v>
      </x:c>
      <x:c r="N77" s="59" t="n">
        <x:f>I77*'模块规划'!$F$15+J77*'模块规划'!$F$17+K77*'模块规划'!$F$16+L77*'模块规划'!$F$18</x:f>
        <x:v>3978.40090193952</x:v>
      </x:c>
      <x:c r="O77" s="59" t="n">
        <x:f>1+O$9*SUMPRODUCT($H$10:$L$10,H77:L77)/SUM($H$10:$L$10)</x:f>
        <x:v>1.7480869100183405</x:v>
      </x:c>
      <x:c r="P77" s="59" t="n">
        <x:f>M77*O77+N77</x:f>
        <x:v>9884.83094006046</x:v>
      </x:c>
      <x:c r="Q77" s="59" t="n">
        <x:f>P77/(P77+'_曲线基线'!$L$2)</x:f>
        <x:v>0.2917184671083627</x:v>
      </x:c>
      <x:c r="R77" s="59" t="n">
        <x:f>E77*'模块规划'!$E$10+G77*'模块规划'!$E$11+H77*'模块规划'!$E$13</x:f>
        <x:v>5068.194839974209</x:v>
      </x:c>
      <x:c r="S77" s="59" t="n">
        <x:f>I77*'模块规划'!$E$15+J77*'模块规划'!$E$17+K77*'模块规划'!$E$16+L77*'模块规划'!$E$18</x:f>
        <x:v>5967.60135290928</x:v>
      </x:c>
      <x:c r="T77" s="59" t="n">
        <x:f>1+T$9*SUMPRODUCT($H$10:$L$10,H77:L77)/SUM($H$10:$L$10)</x:f>
        <x:v>1.7480869100183405</x:v>
      </x:c>
      <x:c r="U77" s="59" t="n">
        <x:f>R77*T77+S77</x:f>
        <x:v>14827.246410090691</x:v>
      </x:c>
      <x:c r="V77" s="59" t="n">
        <x:f>V$8+(V$9-V$8)*H77</x:f>
        <x:v>0.8124833746781898</x:v>
      </x:c>
      <x:c r="W77" s="59" t="n">
        <x:f>IF(B77&lt;$H$8,0,W$8+(W$9-W$8)*H77)</x:f>
        <x:v>0.14997783290425307</x:v>
      </x:c>
      <x:c r="X77" s="59" t="n">
        <x:f>X$8+(X$9-X$8)*H77</x:f>
        <x:v>0.378109760121674</x:v>
      </x:c>
      <x:c r="Y77" s="59" t="n">
        <x:f>Y$8+(Y$9-Y$8)*G77</x:f>
        <x:v>1</x:v>
      </x:c>
      <x:c r="Z77" s="59" t="n">
        <x:f>Z$8+(Z$9-Z$8)*H77</x:f>
        <x:v>1</x:v>
      </x:c>
      <x:c r="AA77" s="59" t="n">
        <x:f>AA$8+(AA$9-AA$8)*I77</x:f>
        <x:v>1</x:v>
      </x:c>
      <x:c r="AB77" s="59" t="n">
        <x:f>AB$8+(AB$9-AB$8)*J77</x:f>
        <x:v>1</x:v>
      </x:c>
      <x:c r="AC77" s="59" t="n">
        <x:f>AC$8+(AC$9-AC$8)*MAX(K77,L77)</x:f>
        <x:v>1</x:v>
      </x:c>
      <x:c r="AD77" s="59" t="n">
        <x:f>(V77*AE77+W77*AF77+X77*AG77)*PRODUCT(Y77:AC77)</x:f>
        <x:v>1.3947166419753265</x:v>
      </x:c>
      <x:c r="AE77" s="59" t="n">
        <x:f>1+AE$9*($H$10*H77+$I$10*I77+$J$10*J77+$K$10*K77+$L$10*L77)</x:f>
        <x:v>1</x:v>
      </x:c>
      <x:c r="AF77" s="59" t="n">
        <x:f>1+AF$9*($H$10*H77+$I$10*I77+$J$10*J77+$K$10*K77+$L$10*L77)</x:f>
        <x:v>1.0660254843659913</x:v>
      </x:c>
      <x:c r="AG77" s="59" t="n">
        <x:f>1+AG$9*($H$10*H77+$I$10*I77+$J$10*J77+$K$10*K77+$L$10*L77)</x:f>
        <x:v>1.1170118306263965</x:v>
      </x:c>
      <x:c r="AH77" s="59" t="n">
        <x:f>MIN(1,'_曲线基线'!$L$3+AH$9*($H$10*H77+$I$10*I77+$J$10*J77+$K$10*K77+$L$10*L77))</x:f>
        <x:v>0.20020797693262987</x:v>
      </x:c>
      <x:c r="AI77" s="59" t="n">
        <x:f>'_曲线基线'!$L$4+AI$9*($H$10*H77+$I$10*I77+$J$10*J77+$K$10*K77+$L$10*L77)</x:f>
        <x:v>2.418436507169469</x:v>
      </x:c>
      <x:c r="AJ77" s="59" t="n">
        <x:f>1+AJ$9*($H$10*H77+$I$10*I77+$J$10*J77+$K$10*K77+$L$10*L77)</x:f>
        <x:v>1.343332518703154</x:v>
      </x:c>
      <x:c r="AK77" s="59" t="n">
        <x:f>(1+AH77*(AI77-1))*AJ77</x:f>
        <x:v>1.7248151817413904</x:v>
      </x:c>
      <x:c r="AL77" s="59" t="n">
        <x:f>U77*AD77*AK77*F77</x:f>
        <x:v>178344.22812945428</x:v>
      </x:c>
      <x:c r="AM77" s="59" t="n">
        <x:f>IF($B77&lt;AM$8,0,AM$3+(AM$4-AM$3)*(POWER(AM$5,$B77-AM$8)-1)/(POWER(AM$5,$C$5-AM$8)-1))</x:f>
        <x:v>36.22079176607548</x:v>
      </x:c>
      <x:c r="AN77" s="59" t="n">
        <x:f>(((E77*'模块规划'!$D$10+G77*'模块规划'!$D$11+H77*'模块规划'!$D$13)*(1+'模块规划'!$G$14*H77)+(I77*'模块规划'!$D$15+J77*'模块规划'!$D$17+K77*'模块规划'!$D$16+L77*'模块规划'!$D$18))*(1+'模块规划'!$J$17*J77))*F77/(1-Q77)</x:f>
        <x:v>377173.0402404321</x:v>
      </x:c>
      <x:c r="AO77" s="59" t="n">
        <x:f>AL77*AM77</x:f>
        <x:v>6459769.149758425</x:v>
      </x:c>
      <x:c r="AP77" s="61" t="n">
        <x:f>IF(AO77="","",INDEX('_曲线基线'!$A$3:$A$502,MIN(ROWS('_曲线基线'!$A$3:$A$502),COUNTIF('_曲线基线'!$E$3:$E$502,"&lt;"&amp;AO77)+1)))</x:f>
        <x:v>122</x:v>
      </x:c>
      <x:c r="AQ77" s="61" t="n">
        <x:f>IF(B77&lt;=2,1,IF(B77&lt;=6,2,IF(B77&lt;=9,3,IF(B77&lt;=19,4,5))))</x:f>
        <x:v>5</x:v>
      </x:c>
      <x:c r="AR77" s="59" t="n">
        <x:f>AN77*(1-Q77)/F77*$AS$3+U77*$AS$4+P77*$AS$5</x:f>
        <x:v>4568.317476659493</x:v>
      </x:c>
      <x:c r="AS77" s="59" t="n">
        <x:f>1+AH77*$AS$6+AI77*$AS$7+(AJ77-1)*$AS$8+($H$10*H77+$I$10*I77+$J$10*J77+$K$10*K77+$L$10*L77)*$AU$3*$AS$9+($H$10*H77+$I$10*I77+$J$10*J77+$K$10*K77+$L$10*L77)*$AU$4*$AS$10</x:f>
        <x:v>8.926677712324581</x:v>
      </x:c>
      <x:c r="AT77" s="60" t="n">
        <x:f>ROUND(AR77*AS77,0)</x:f>
        <x:v>40780</x:v>
      </x:c>
      <x:c r="AU77" s="60" t="n">
        <x:f>ROUND(AT77*F77,0)</x:f>
        <x:v>203900</x:v>
      </x:c>
      <x:c r="AV77" s="60" t="n">
        <x:f>MIN(MATCH(B77,'主线调参'!$M$11:$M$62,1),ROWS('主线调参'!$M$11:$M$62)-1)</x:f>
        <x:v>23</x:v>
      </x:c>
      <x:c r="AW77" s="62" t="n">
        <x:f>(B77-INDEX('主线调参'!$M$11:$M$62,AV77))/(INDEX('主线调参'!$M$11:$M$62,AV77+1)-INDEX('主线调参'!$M$11:$M$62,AV77))</x:f>
        <x:v>0.4</x:v>
      </x:c>
      <x:c r="AX77" s="60" t="n">
        <x:f>IF(AU77=0,0,ROUND(AU77,2-INT(LOG10(ABS(AU77)))))</x:f>
        <x:v>204000</x:v>
      </x:c>
      <x:c r="AY77" s="62" t="n">
        <x:f>AU77/AU76-1</x:f>
        <x:v>0.03379217684488056</x:v>
      </x:c>
    </x:row>
    <x:row r="78" ht="25" customHeight="1">
      <x:c r="A78" s="40" t="n">
        <x:f>'调前玩家曲线'!A78</x:f>
        <x:v>30</x:v>
      </x:c>
      <x:c r="B78" s="40" t="n">
        <x:f>'调前玩家曲线'!B78</x:f>
        <x:v>67</x:v>
      </x:c>
      <x:c r="C78" s="40" t="n">
        <x:f>'调前玩家曲线'!C78</x:f>
        <x:v>5</x:v>
      </x:c>
      <x:c r="D78" s="40" t="n">
        <x:f>'调前玩家曲线'!D78</x:f>
        <x:v>13</x:v>
      </x:c>
      <x:c r="E78" s="40" t="n">
        <x:f>'调前玩家曲线'!E78</x:f>
        <x:v>1</x:v>
      </x:c>
      <x:c r="F78" s="40" t="n">
        <x:f>'调前玩家曲线'!F78</x:f>
        <x:v>5</x:v>
      </x:c>
      <x:c r="G78" s="63" t="n">
        <x:f>IF(B78&lt;$G$8,0,(INDEX('主线调参'!$C$11:$C$62,$AV78)+(INDEX('主线调参'!$C$11:$C$62,$AV78+1)-INDEX('主线调参'!$C$11:$C$62,$AV78))*$AW78)*'参数说明'!$C$27)</x:f>
        <x:v>0.49943208293113195</x:v>
      </x:c>
      <x:c r="H78" s="63" t="n">
        <x:f>IF(B78&lt;$H$8,0,(INDEX('主线调参'!$D$11:$D$62,$AV78)+(INDEX('主线调参'!$D$11:$D$62,$AV78+1)-INDEX('主线调参'!$D$11:$D$62,$AV78))*$AW78)*'参数说明'!$D$27)</x:f>
        <x:v>0.3786359031076908</x:v>
      </x:c>
      <x:c r="I78" s="63" t="n">
        <x:f>IF(B78&lt;$I$8,0,(INDEX('主线调参'!$E$11:$E$62,$AV78)+(INDEX('主线调参'!$E$11:$E$62,$AV78+1)-INDEX('主线调参'!$E$11:$E$62,$AV78))*$AW78)*'参数说明'!$E$27)</x:f>
        <x:v>0.02847302913411922</x:v>
      </x:c>
      <x:c r="J78" s="63" t="n">
        <x:f>IF(B78&lt;$J$8,0,(INDEX('主线调参'!$F$11:$F$62,$AV78)+(INDEX('主线调参'!$F$11:$F$62,$AV78+1)-INDEX('主线调参'!$F$11:$F$62,$AV78))*$AW78)*'参数说明'!$F$27)</x:f>
        <x:v>0.21938512070288738</x:v>
      </x:c>
      <x:c r="K78" s="63" t="n">
        <x:f>IF(B78&lt;$K$8,0,(INDEX('主线调参'!$G$11:$G$62,$AV78)+(INDEX('主线调参'!$G$11:$G$62,$AV78+1)-INDEX('主线调参'!$G$11:$G$62,$AV78))*$AW78)*'参数说明'!$G$27)</x:f>
        <x:v>0</x:v>
      </x:c>
      <x:c r="L78" s="63" t="n">
        <x:f>IF(B78&lt;$L$8,0,(INDEX('主线调参'!$H$11:$H$62,$AV78)+(INDEX('主线调参'!$H$11:$H$62,$AV78+1)-INDEX('主线调参'!$H$11:$H$62,$AV78))*$AW78)*'参数说明'!$H$27)</x:f>
        <x:v>0.3404946425744316</x:v>
      </x:c>
      <x:c r="M78" s="59" t="n">
        <x:f>E78*'模块规划'!$F$10+G78*'模块规划'!$F$11+H78*'模块规划'!$F$13</x:f>
        <x:v>3397.273998069433</x:v>
      </x:c>
      <x:c r="N78" s="59" t="n">
        <x:f>I78*'模块规划'!$F$15+J78*'模块规划'!$F$17+K78*'模块规划'!$F$16+L78*'模块规划'!$F$18</x:f>
        <x:v>4124.108652973986</x:v>
      </x:c>
      <x:c r="O78" s="59" t="n">
        <x:f>1+O$9*SUMPRODUCT($H$10:$L$10,H78:L78)/SUM($H$10:$L$10)</x:f>
        <x:v>1.7630703403634378</x:v>
      </x:c>
      <x:c r="P78" s="59" t="n">
        <x:f>M78*O78+N78</x:f>
        <x:v>10113.741677058119</x:v>
      </x:c>
      <x:c r="Q78" s="59" t="n">
        <x:f>P78/(P78+'_曲线基线'!$L$2)</x:f>
        <x:v>0.2964711925417353</x:v>
      </x:c>
      <x:c r="R78" s="59" t="n">
        <x:f>E78*'模块规划'!$E$10+G78*'模块规划'!$E$11+H78*'模块规划'!$E$13</x:f>
        <x:v>5095.91099710415</x:v>
      </x:c>
      <x:c r="S78" s="59" t="n">
        <x:f>I78*'模块规划'!$E$15+J78*'模块规划'!$E$17+K78*'模块规划'!$E$16+L78*'模块规划'!$E$18</x:f>
        <x:v>6186.162979460978</x:v>
      </x:c>
      <x:c r="T78" s="59" t="n">
        <x:f>1+T$9*SUMPRODUCT($H$10:$L$10,H78:L78)/SUM($H$10:$L$10)</x:f>
        <x:v>1.7630703403634378</x:v>
      </x:c>
      <x:c r="U78" s="59" t="n">
        <x:f>R78*T78+S78</x:f>
        <x:v>15170.612515587178</x:v>
      </x:c>
      <x:c r="V78" s="59" t="n">
        <x:f>V$8+(V$9-V$8)*H78</x:f>
        <x:v>0.8135907709323073</x:v>
      </x:c>
      <x:c r="W78" s="59" t="n">
        <x:f>IF(B78&lt;$H$8,0,W$8+(W$9-W$8)*H78)</x:f>
        <x:v>0.15145436124307632</x:v>
      </x:c>
      <x:c r="X78" s="59" t="n">
        <x:f>X$8+(X$9-X$8)*H78</x:f>
        <x:v>0.379124873354615</x:v>
      </x:c>
      <x:c r="Y78" s="59" t="n">
        <x:f>Y$8+(Y$9-Y$8)*G78</x:f>
        <x:v>1</x:v>
      </x:c>
      <x:c r="Z78" s="59" t="n">
        <x:f>Z$8+(Z$9-Z$8)*H78</x:f>
        <x:v>1</x:v>
      </x:c>
      <x:c r="AA78" s="59" t="n">
        <x:f>AA$8+(AA$9-AA$8)*I78</x:f>
        <x:v>1</x:v>
      </x:c>
      <x:c r="AB78" s="59" t="n">
        <x:f>AB$8+(AB$9-AB$8)*J78</x:f>
        <x:v>1</x:v>
      </x:c>
      <x:c r="AC78" s="59" t="n">
        <x:f>AC$8+(AC$9-AC$8)*MAX(K78,L78)</x:f>
        <x:v>1</x:v>
      </x:c>
      <x:c r="AD78" s="59" t="n">
        <x:f>(V78*AE78+W78*AF78+X78*AG78)*PRODUCT(Y78:AC78)</x:f>
        <x:v>1.399620763741905</x:v>
      </x:c>
      <x:c r="AE78" s="59" t="n">
        <x:f>1+AE$9*($H$10*H78+$I$10*I78+$J$10*J78+$K$10*K78+$L$10*L78)</x:f>
        <x:v>1</x:v>
      </x:c>
      <x:c r="AF78" s="59" t="n">
        <x:f>1+AF$9*($H$10*H78+$I$10*I78+$J$10*J78+$K$10*K78+$L$10*L78)</x:f>
        <x:v>1.067347908582684</x:v>
      </x:c>
      <x:c r="AG78" s="59" t="n">
        <x:f>1+AG$9*($H$10*H78+$I$10*I78+$J$10*J78+$K$10*K78+$L$10*L78)</x:f>
        <x:v>1.1193554602104243</x:v>
      </x:c>
      <x:c r="AH78" s="59" t="n">
        <x:f>MIN(1,'_曲线基线'!$L$3+AH$9*($H$10*H78+$I$10*I78+$J$10*J78+$K$10*K78+$L$10*L78))</x:f>
        <x:v>0.203216492025606</x:v>
      </x:c>
      <x:c r="AI78" s="59" t="n">
        <x:f>'_曲线基线'!$L$4+AI$9*($H$10*H78+$I$10*I78+$J$10*J78+$K$10*K78+$L$10*L78)</x:f>
        <x:v>2.4268173706427594</x:v>
      </x:c>
      <x:c r="AJ78" s="59" t="n">
        <x:f>1+AJ$9*($H$10*H78+$I$10*I78+$J$10*J78+$K$10*K78+$L$10*L78)</x:f>
        <x:v>1.3502091246299566</x:v>
      </x:c>
      <x:c r="AK78" s="59" t="n">
        <x:f>(1+AH78*(AI78-1))*AJ78</x:f>
        <x:v>1.7417060690176638</x:v>
      </x:c>
      <x:c r="AL78" s="59" t="n">
        <x:f>U78*AD78*AK78*F78</x:f>
        <x:v>184909.13290360433</x:v>
      </x:c>
      <x:c r="AM78" s="59" t="n">
        <x:f>IF($B78&lt;AM$8,0,AM$3+(AM$4-AM$3)*(POWER(AM$5,$B78-AM$8)-1)/(POWER(AM$5,$C$5-AM$8)-1))</x:f>
        <x:v>36.2464243236581</x:v>
      </x:c>
      <x:c r="AN78" s="59" t="n">
        <x:f>(((E78*'模块规划'!$D$10+G78*'模块规划'!$D$11+H78*'模块规划'!$D$13)*(1+'模块规划'!$G$14*H78)+(I78*'模块规划'!$D$15+J78*'模块规划'!$D$17+K78*'模块规划'!$D$16+L78*'模块规划'!$D$18))*(1+'模块规划'!$J$17*J78))*F78/(1-Q78)</x:f>
        <x:v>389605.67622917594</x:v>
      </x:c>
      <x:c r="AO78" s="59" t="n">
        <x:f>AL78*AM78</x:f>
        <x:v>6702294.892543732</x:v>
      </x:c>
      <x:c r="AP78" s="61" t="n">
        <x:f>IF(AO78="","",INDEX('_曲线基线'!$A$3:$A$502,MIN(ROWS('_曲线基线'!$A$3:$A$502),COUNTIF('_曲线基线'!$E$3:$E$502,"&lt;"&amp;AO78)+1)))</x:f>
        <x:v>124</x:v>
      </x:c>
      <x:c r="AQ78" s="61" t="n">
        <x:f>IF(B78&lt;=2,1,IF(B78&lt;=6,2,IF(B78&lt;=9,3,IF(B78&lt;=19,4,5))))</x:f>
        <x:v>5</x:v>
      </x:c>
      <x:c r="AR78" s="59" t="n">
        <x:f>AN78*(1-Q78)/F78*$AS$3+U78*$AS$4+P78*$AS$5</x:f>
        <x:v>4678.715403776333</x:v>
      </x:c>
      <x:c r="AS78" s="59" t="n">
        <x:f>1+AH78*$AS$6+AI78*$AS$7+(AJ78-1)*$AS$8+($H$10*H78+$I$10*I78+$J$10*J78+$K$10*K78+$L$10*L78)*$AU$3*$AS$9+($H$10*H78+$I$10*I78+$J$10*J78+$K$10*K78+$L$10*L78)*$AU$4*$AS$10</x:f>
        <x:v>9.005694061876493</x:v>
      </x:c>
      <x:c r="AT78" s="60" t="n">
        <x:f>ROUND(AR78*AS78,0)</x:f>
        <x:v>42135</x:v>
      </x:c>
      <x:c r="AU78" s="60" t="n">
        <x:f>ROUND(AT78*F78,0)</x:f>
        <x:v>210675</x:v>
      </x:c>
      <x:c r="AV78" s="60" t="n">
        <x:f>MIN(MATCH(B78,'主线调参'!$M$11:$M$62,1),ROWS('主线调参'!$M$11:$M$62)-1)</x:f>
        <x:v>23</x:v>
      </x:c>
      <x:c r="AW78" s="62" t="n">
        <x:f>(B78-INDEX('主线调参'!$M$11:$M$62,AV78))/(INDEX('主线调参'!$M$11:$M$62,AV78+1)-INDEX('主线调参'!$M$11:$M$62,AV78))</x:f>
        <x:v>0.6</x:v>
      </x:c>
      <x:c r="AX78" s="60" t="n">
        <x:f>IF(AU78=0,0,ROUND(AU78,2-INT(LOG10(ABS(AU78)))))</x:f>
        <x:v>211000</x:v>
      </x:c>
      <x:c r="AY78" s="62" t="n">
        <x:f>AU78/AU77-1</x:f>
        <x:v>0.03322707209416387</x:v>
      </x:c>
    </x:row>
    <x:row r="79" ht="25" customHeight="1">
      <x:c r="A79" s="40" t="n">
        <x:f>'调前玩家曲线'!A79</x:f>
        <x:v>31</x:v>
      </x:c>
      <x:c r="B79" s="40" t="n">
        <x:f>'调前玩家曲线'!B79</x:f>
        <x:v>68</x:v>
      </x:c>
      <x:c r="C79" s="40" t="n">
        <x:f>'调前玩家曲线'!C79</x:f>
        <x:v>5</x:v>
      </x:c>
      <x:c r="D79" s="40" t="n">
        <x:f>'调前玩家曲线'!D79</x:f>
        <x:v>14</x:v>
      </x:c>
      <x:c r="E79" s="40" t="n">
        <x:f>'调前玩家曲线'!E79</x:f>
        <x:v>1</x:v>
      </x:c>
      <x:c r="F79" s="40" t="n">
        <x:f>'调前玩家曲线'!F79</x:f>
        <x:v>5</x:v>
      </x:c>
      <x:c r="G79" s="63" t="n">
        <x:f>IF(B79&lt;$G$8,0,(INDEX('主线调参'!$C$11:$C$62,$AV79)+(INDEX('主线调参'!$C$11:$C$62,$AV79+1)-INDEX('主线调参'!$C$11:$C$62,$AV79))*$AW79)*'参数说明'!$C$27)</x:f>
        <x:v>0.5032815491991794</x:v>
      </x:c>
      <x:c r="H79" s="63" t="n">
        <x:f>IF(B79&lt;$H$8,0,(INDEX('主线调参'!$D$11:$D$62,$AV79)+(INDEX('主线调参'!$D$11:$D$62,$AV79+1)-INDEX('主线调参'!$D$11:$D$62,$AV79))*$AW79)*'参数说明'!$D$27)</x:f>
        <x:v>0.3823272239547489</x:v>
      </x:c>
      <x:c r="I79" s="63" t="n">
        <x:f>IF(B79&lt;$I$8,0,(INDEX('主线调参'!$E$11:$E$62,$AV79)+(INDEX('主线调参'!$E$11:$E$62,$AV79+1)-INDEX('主线调参'!$E$11:$E$62,$AV79))*$AW79)*'参数说明'!$E$27)</x:f>
        <x:v>0.0379640388454923</x:v>
      </x:c>
      <x:c r="J79" s="63" t="n">
        <x:f>IF(B79&lt;$J$8,0,(INDEX('主线调参'!$F$11:$F$62,$AV79)+(INDEX('主线调参'!$F$11:$F$62,$AV79+1)-INDEX('主线调参'!$F$11:$F$62,$AV79))*$AW79)*'参数说明'!$F$27)</x:f>
        <x:v>0.22415339838135853</x:v>
      </x:c>
      <x:c r="K79" s="63" t="n">
        <x:f>IF(B79&lt;$K$8,0,(INDEX('主线调参'!$G$11:$G$62,$AV79)+(INDEX('主线调参'!$G$11:$G$62,$AV79+1)-INDEX('主线调参'!$G$11:$G$62,$AV79))*$AW79)*'参数说明'!$G$27)</x:f>
        <x:v>0</x:v>
      </x:c>
      <x:c r="L79" s="63" t="n">
        <x:f>IF(B79&lt;$L$8,0,(INDEX('主线调参'!$H$11:$H$62,$AV79)+(INDEX('主线调参'!$H$11:$H$62,$AV79+1)-INDEX('主线调参'!$H$11:$H$62,$AV79))*$AW79)*'参数说明'!$H$27)</x:f>
        <x:v>0.34491402188618536</x:v>
      </x:c>
      <x:c r="M79" s="59" t="n">
        <x:f>E79*'模块规划'!$F$10+G79*'模块规划'!$F$11+H79*'模块规划'!$F$13</x:f>
        <x:v>3415.751436156061</x:v>
      </x:c>
      <x:c r="N79" s="59" t="n">
        <x:f>I79*'模块规划'!$F$15+J79*'模块规划'!$F$17+K79*'模块规划'!$F$16+L79*'模块规划'!$F$18</x:f>
        <x:v>4269.81640400845</x:v>
      </x:c>
      <x:c r="O79" s="59" t="n">
        <x:f>1+O$9*SUMPRODUCT($H$10:$L$10,H79:L79)/SUM($H$10:$L$10)</x:f>
        <x:v>1.7780537707085347</x:v>
      </x:c>
      <x:c r="P79" s="59" t="n">
        <x:f>M79*O79+N79</x:f>
        <x:v>10343.206124868826</x:v>
      </x:c>
      <x:c r="Q79" s="59" t="n">
        <x:f>P79/(P79+'_曲线基线'!$L$2)</x:f>
        <x:v>0.3011718267438938</x:v>
      </x:c>
      <x:c r="R79" s="59" t="n">
        <x:f>E79*'模块规划'!$E$10+G79*'模块规划'!$E$11+H79*'模块规划'!$E$13</x:f>
        <x:v>5123.627154234092</x:v>
      </x:c>
      <x:c r="S79" s="59" t="n">
        <x:f>I79*'模块规划'!$E$15+J79*'模块规划'!$E$17+K79*'模块规划'!$E$16+L79*'模块规划'!$E$18</x:f>
        <x:v>6404.724606012676</x:v>
      </x:c>
      <x:c r="T79" s="59" t="n">
        <x:f>1+T$9*SUMPRODUCT($H$10:$L$10,H79:L79)/SUM($H$10:$L$10)</x:f>
        <x:v>1.7780537707085347</x:v>
      </x:c>
      <x:c r="U79" s="59" t="n">
        <x:f>R79*T79+S79</x:f>
        <x:v>15514.809187303243</x:v>
      </x:c>
      <x:c r="V79" s="59" t="n">
        <x:f>V$8+(V$9-V$8)*H79</x:f>
        <x:v>0.8146981671864246</x:v>
      </x:c>
      <x:c r="W79" s="59" t="n">
        <x:f>IF(B79&lt;$H$8,0,W$8+(W$9-W$8)*H79)</x:f>
        <x:v>0.15293088958189957</x:v>
      </x:c>
      <x:c r="X79" s="59" t="n">
        <x:f>X$8+(X$9-X$8)*H79</x:f>
        <x:v>0.380139986587556</x:v>
      </x:c>
      <x:c r="Y79" s="59" t="n">
        <x:f>Y$8+(Y$9-Y$8)*G79</x:f>
        <x:v>1</x:v>
      </x:c>
      <x:c r="Z79" s="59" t="n">
        <x:f>Z$8+(Z$9-Z$8)*H79</x:f>
        <x:v>1</x:v>
      </x:c>
      <x:c r="AA79" s="59" t="n">
        <x:f>AA$8+(AA$9-AA$8)*I79</x:f>
        <x:v>1</x:v>
      </x:c>
      <x:c r="AB79" s="59" t="n">
        <x:f>AB$8+(AB$9-AB$8)*J79</x:f>
        <x:v>1</x:v>
      </x:c>
      <x:c r="AC79" s="59" t="n">
        <x:f>AC$8+(AC$9-AC$8)*MAX(K79,L79)</x:f>
        <x:v>1</x:v>
      </x:c>
      <x:c r="AD79" s="59" t="n">
        <x:f>(V79*AE79+W79*AF79+X79*AG79)*PRODUCT(Y79:AC79)</x:f>
        <x:v>1.4045335488009547</x:v>
      </x:c>
      <x:c r="AE79" s="59" t="n">
        <x:f>1+AE$9*($H$10*H79+$I$10*I79+$J$10*J79+$K$10*K79+$L$10*L79)</x:f>
        <x:v>1</x:v>
      </x:c>
      <x:c r="AF79" s="59" t="n">
        <x:f>1+AF$9*($H$10*H79+$I$10*I79+$J$10*J79+$K$10*K79+$L$10*L79)</x:f>
        <x:v>1.0686703327993767</x:v>
      </x:c>
      <x:c r="AG79" s="59" t="n">
        <x:f>1+AG$9*($H$10*H79+$I$10*I79+$J$10*J79+$K$10*K79+$L$10*L79)</x:f>
        <x:v>1.121699089794452</x:v>
      </x:c>
      <x:c r="AH79" s="59" t="n">
        <x:f>MIN(1,'_曲线基线'!$L$3+AH$9*($H$10*H79+$I$10*I79+$J$10*J79+$K$10*K79+$L$10*L79))</x:f>
        <x:v>0.2062250071185821</x:v>
      </x:c>
      <x:c r="AI79" s="59" t="n">
        <x:f>'_曲线基线'!$L$4+AI$9*($H$10*H79+$I$10*I79+$J$10*J79+$K$10*K79+$L$10*L79)</x:f>
        <x:v>2.43519823411605</x:v>
      </x:c>
      <x:c r="AJ79" s="59" t="n">
        <x:f>1+AJ$9*($H$10*H79+$I$10*I79+$J$10*J79+$K$10*K79+$L$10*L79)</x:f>
        <x:v>1.3570857305567592</x:v>
      </x:c>
      <x:c r="AK79" s="59" t="n">
        <x:f>(1+AH79*(AI79-1))*AJ79</x:f>
        <x:v>1.758747505078503</x:v>
      </x:c>
      <x:c r="AL79" s="59" t="n">
        <x:f>U79*AD79*AK79*F79</x:f>
        <x:v>191624.950037364</x:v>
      </x:c>
      <x:c r="AM79" s="59" t="n">
        <x:f>IF($B79&lt;AM$8,0,AM$3+(AM$4-AM$3)*(POWER(AM$5,$B79-AM$8)-1)/(POWER(AM$5,$C$5-AM$8)-1))</x:f>
        <x:v>36.27231320681655</x:v>
      </x:c>
      <x:c r="AN79" s="59" t="n">
        <x:f>(((E79*'模块规划'!$D$10+G79*'模块规划'!$D$11+H79*'模块规划'!$D$13)*(1+'模块规划'!$G$14*H79)+(I79*'模块规划'!$D$15+J79*'模块规划'!$D$17+K79*'模块规划'!$D$16+L79*'模块规划'!$D$18))*(1+'模块规划'!$J$17*J79))*F79/(1-Q79)</x:f>
        <x:v>402257.4157323003</x:v>
      </x:c>
      <x:c r="AO79" s="59" t="n">
        <x:f>AL79*AM79</x:f>
        <x:v>6950680.20599584</x:v>
      </x:c>
      <x:c r="AP79" s="61" t="n">
        <x:f>IF(AO79="","",INDEX('_曲线基线'!$A$3:$A$502,MIN(ROWS('_曲线基线'!$A$3:$A$502),COUNTIF('_曲线基线'!$E$3:$E$502,"&lt;"&amp;AO79)+1)))</x:f>
        <x:v>126</x:v>
      </x:c>
      <x:c r="AQ79" s="61" t="n">
        <x:f>IF(B79&lt;=2,1,IF(B79&lt;=6,2,IF(B79&lt;=9,3,IF(B79&lt;=19,4,5))))</x:f>
        <x:v>5</x:v>
      </x:c>
      <x:c r="AR79" s="59" t="n">
        <x:f>AN79*(1-Q79)/F79*$AS$3+U79*$AS$4+P79*$AS$5</x:f>
        <x:v>4789.614727550201</x:v>
      </x:c>
      <x:c r="AS79" s="59" t="n">
        <x:f>1+AH79*$AS$6+AI79*$AS$7+(AJ79-1)*$AS$8+($H$10*H79+$I$10*I79+$J$10*J79+$K$10*K79+$L$10*L79)*$AU$3*$AS$9+($H$10*H79+$I$10*I79+$J$10*J79+$K$10*K79+$L$10*L79)*$AU$4*$AS$10</x:f>
        <x:v>9.084710411428405</x:v>
      </x:c>
      <x:c r="AT79" s="60" t="n">
        <x:f>ROUND(AR79*AS79,0)</x:f>
        <x:v>43512</x:v>
      </x:c>
      <x:c r="AU79" s="60" t="n">
        <x:f>ROUND(AT79*F79,0)</x:f>
        <x:v>217560</x:v>
      </x:c>
      <x:c r="AV79" s="60" t="n">
        <x:f>MIN(MATCH(B79,'主线调参'!$M$11:$M$62,1),ROWS('主线调参'!$M$11:$M$62)-1)</x:f>
        <x:v>23</x:v>
      </x:c>
      <x:c r="AW79" s="62" t="n">
        <x:f>(B79-INDEX('主线调参'!$M$11:$M$62,AV79))/(INDEX('主线调参'!$M$11:$M$62,AV79+1)-INDEX('主线调参'!$M$11:$M$62,AV79))</x:f>
        <x:v>0.8</x:v>
      </x:c>
      <x:c r="AX79" s="60" t="n">
        <x:f>IF(AU79=0,0,ROUND(AU79,2-INT(LOG10(ABS(AU79)))))</x:f>
        <x:v>218000</x:v>
      </x:c>
      <x:c r="AY79" s="62" t="n">
        <x:f>AU79/AU78-1</x:f>
        <x:v>0.03268066927732294</x:v>
      </x:c>
    </x:row>
    <x:row r="80" ht="25" customHeight="1">
      <x:c r="A80" s="40" t="n">
        <x:f>'调前玩家曲线'!A80</x:f>
        <x:v>31</x:v>
      </x:c>
      <x:c r="B80" s="40" t="n">
        <x:f>'调前玩家曲线'!B80</x:f>
        <x:v>69</x:v>
      </x:c>
      <x:c r="C80" s="40" t="n">
        <x:f>'调前玩家曲线'!C80</x:f>
        <x:v>5</x:v>
      </x:c>
      <x:c r="D80" s="40" t="n">
        <x:f>'调前玩家曲线'!D80</x:f>
        <x:v>15</x:v>
      </x:c>
      <x:c r="E80" s="40" t="n">
        <x:f>'调前玩家曲线'!E80</x:f>
        <x:v>1</x:v>
      </x:c>
      <x:c r="F80" s="40" t="n">
        <x:f>'调前玩家曲线'!F80</x:f>
        <x:v>5</x:v>
      </x:c>
      <x:c r="G80" s="63" t="n">
        <x:f>IF(B80&lt;$G$8,0,(INDEX('主线调参'!$C$11:$C$62,$AV80)+(INDEX('主线调参'!$C$11:$C$62,$AV80+1)-INDEX('主线调参'!$C$11:$C$62,$AV80))*$AW80)*'参数说明'!$C$27)</x:f>
        <x:v>0.5071310154672269</x:v>
      </x:c>
      <x:c r="H80" s="63" t="n">
        <x:f>IF(B80&lt;$H$8,0,(INDEX('主线调参'!$D$11:$D$62,$AV80)+(INDEX('主线调参'!$D$11:$D$62,$AV80+1)-INDEX('主线调参'!$D$11:$D$62,$AV80))*$AW80)*'参数说明'!$D$27)</x:f>
        <x:v>0.38601854480180703</x:v>
      </x:c>
      <x:c r="I80" s="63" t="n">
        <x:f>IF(B80&lt;$I$8,0,(INDEX('主线调参'!$E$11:$E$62,$AV80)+(INDEX('主线调参'!$E$11:$E$62,$AV80+1)-INDEX('主线调参'!$E$11:$E$62,$AV80))*$AW80)*'参数说明'!$E$27)</x:f>
        <x:v>0.04745504855686537</x:v>
      </x:c>
      <x:c r="J80" s="63" t="n">
        <x:f>IF(B80&lt;$J$8,0,(INDEX('主线调参'!$F$11:$F$62,$AV80)+(INDEX('主线调参'!$F$11:$F$62,$AV80+1)-INDEX('主线调参'!$F$11:$F$62,$AV80))*$AW80)*'参数说明'!$F$27)</x:f>
        <x:v>0.22892167605982974</x:v>
      </x:c>
      <x:c r="K80" s="63" t="n">
        <x:f>IF(B80&lt;$K$8,0,(INDEX('主线调参'!$G$11:$G$62,$AV80)+(INDEX('主线调参'!$G$11:$G$62,$AV80+1)-INDEX('主线调参'!$G$11:$G$62,$AV80))*$AW80)*'参数说明'!$G$27)</x:f>
        <x:v>0</x:v>
      </x:c>
      <x:c r="L80" s="63" t="n">
        <x:f>IF(B80&lt;$L$8,0,(INDEX('主线调参'!$H$11:$H$62,$AV80)+(INDEX('主线调参'!$H$11:$H$62,$AV80+1)-INDEX('主线调参'!$H$11:$H$62,$AV80))*$AW80)*'参数说明'!$H$27)</x:f>
        <x:v>0.3493334011979391</x:v>
      </x:c>
      <x:c r="M80" s="59" t="n">
        <x:f>E80*'模块规划'!$F$10+G80*'模块规划'!$F$11+H80*'模块规划'!$F$13</x:f>
        <x:v>3434.2288742426895</x:v>
      </x:c>
      <x:c r="N80" s="59" t="n">
        <x:f>I80*'模块规划'!$F$15+J80*'模块规划'!$F$17+K80*'模块规划'!$F$16+L80*'模块规划'!$F$18</x:f>
        <x:v>4415.524155042916</x:v>
      </x:c>
      <x:c r="O80" s="59" t="n">
        <x:f>1+O$9*SUMPRODUCT($H$10:$L$10,H80:L80)/SUM($H$10:$L$10)</x:f>
        <x:v>1.7930372010536322</x:v>
      </x:c>
      <x:c r="P80" s="59" t="n">
        <x:f>M80*O80+N80</x:f>
        <x:v>10573.224283492595</x:v>
      </x:c>
      <x:c r="Q80" s="59" t="n">
        <x:f>P80/(P80+'_曲线基线'!$L$2)</x:f>
        <x:v>0.30582118106181116</x:v>
      </x:c>
      <x:c r="R80" s="59" t="n">
        <x:f>E80*'模块规划'!$E$10+G80*'模块规划'!$E$11+H80*'模块规划'!$E$13</x:f>
        <x:v>5151.343311364034</x:v>
      </x:c>
      <x:c r="S80" s="59" t="n">
        <x:f>I80*'模块规划'!$E$15+J80*'模块规划'!$E$17+K80*'模块规划'!$E$16+L80*'模块规划'!$E$18</x:f>
        <x:v>6623.286232564374</x:v>
      </x:c>
      <x:c r="T80" s="59" t="n">
        <x:f>1+T$9*SUMPRODUCT($H$10:$L$10,H80:L80)/SUM($H$10:$L$10)</x:f>
        <x:v>1.7930372010536322</x:v>
      </x:c>
      <x:c r="U80" s="59" t="n">
        <x:f>R80*T80+S80</x:f>
        <x:v>15859.83642523889</x:v>
      </x:c>
      <x:c r="V80" s="59" t="n">
        <x:f>V$8+(V$9-V$8)*H80</x:f>
        <x:v>0.8158055634405421</x:v>
      </x:c>
      <x:c r="W80" s="59" t="n">
        <x:f>IF(B80&lt;$H$8,0,W$8+(W$9-W$8)*H80)</x:f>
        <x:v>0.15440741792072282</x:v>
      </x:c>
      <x:c r="X80" s="59" t="n">
        <x:f>X$8+(X$9-X$8)*H80</x:f>
        <x:v>0.38115509982049695</x:v>
      </x:c>
      <x:c r="Y80" s="59" t="n">
        <x:f>Y$8+(Y$9-Y$8)*G80</x:f>
        <x:v>1</x:v>
      </x:c>
      <x:c r="Z80" s="59" t="n">
        <x:f>Z$8+(Z$9-Z$8)*H80</x:f>
        <x:v>1</x:v>
      </x:c>
      <x:c r="AA80" s="59" t="n">
        <x:f>AA$8+(AA$9-AA$8)*I80</x:f>
        <x:v>1</x:v>
      </x:c>
      <x:c r="AB80" s="59" t="n">
        <x:f>AB$8+(AB$9-AB$8)*J80</x:f>
        <x:v>1</x:v>
      </x:c>
      <x:c r="AC80" s="59" t="n">
        <x:f>AC$8+(AC$9-AC$8)*MAX(K80,L80)</x:f>
        <x:v>1</x:v>
      </x:c>
      <x:c r="AD80" s="59" t="n">
        <x:f>(V80*AE80+W80*AF80+X80*AG80)*PRODUCT(Y80:AC80)</x:f>
        <x:v>1.4094549971524761</x:v>
      </x:c>
      <x:c r="AE80" s="59" t="n">
        <x:f>1+AE$9*($H$10*H80+$I$10*I80+$J$10*J80+$K$10*K80+$L$10*L80)</x:f>
        <x:v>1</x:v>
      </x:c>
      <x:c r="AF80" s="59" t="n">
        <x:f>1+AF$9*($H$10*H80+$I$10*I80+$J$10*J80+$K$10*K80+$L$10*L80)</x:f>
        <x:v>1.0699927570160697</x:v>
      </x:c>
      <x:c r="AG80" s="59" t="n">
        <x:f>1+AG$9*($H$10*H80+$I$10*I80+$J$10*J80+$K$10*K80+$L$10*L80)</x:f>
        <x:v>1.1240427193784799</x:v>
      </x:c>
      <x:c r="AH80" s="59" t="n">
        <x:f>MIN(1,'_曲线基线'!$L$3+AH$9*($H$10*H80+$I$10*I80+$J$10*J80+$K$10*K80+$L$10*L80))</x:f>
        <x:v>0.20923352221155822</x:v>
      </x:c>
      <x:c r="AI80" s="59" t="n">
        <x:f>'_曲线基线'!$L$4+AI$9*($H$10*H80+$I$10*I80+$J$10*J80+$K$10*K80+$L$10*L80)</x:f>
        <x:v>2.4435790975893408</x:v>
      </x:c>
      <x:c r="AJ80" s="59" t="n">
        <x:f>1+AJ$9*($H$10*H80+$I$10*I80+$J$10*J80+$K$10*K80+$L$10*L80)</x:f>
        <x:v>1.3639623364835616</x:v>
      </x:c>
      <x:c r="AK80" s="59" t="n">
        <x:f>(1+AH80*(AI80-1))*AJ80</x:f>
        <x:v>1.775940530242472</x:v>
      </x:c>
      <x:c r="AL80" s="59" t="n">
        <x:f>U80*AD80*AK80*F80</x:f>
        <x:v>198494.43739449827</x:v>
      </x:c>
      <x:c r="AM80" s="59" t="n">
        <x:f>IF($B80&lt;AM$8,0,AM$3+(AM$4-AM$3)*(POWER(AM$5,$B80-AM$8)-1)/(POWER(AM$5,$C$5-AM$8)-1))</x:f>
        <x:v>36.29846097880658</x:v>
      </x:c>
      <x:c r="AN80" s="59" t="n">
        <x:f>(((E80*'模块规划'!$D$10+G80*'模块规划'!$D$11+H80*'模块规划'!$D$13)*(1+'模块规划'!$G$14*H80)+(I80*'模块规划'!$D$15+J80*'模块规划'!$D$17+K80*'模块规划'!$D$16+L80*'模块规划'!$D$18))*(1+'模块规划'!$J$17*J80))*F80/(1-Q80)</x:f>
        <x:v>415130.42266199057</x:v>
      </x:c>
      <x:c r="AO80" s="59" t="n">
        <x:f>AL80*AM80</x:f>
        <x:v>7205042.590274361</x:v>
      </x:c>
      <x:c r="AP80" s="61" t="n">
        <x:f>IF(AO80="","",INDEX('_曲线基线'!$A$3:$A$502,MIN(ROWS('_曲线基线'!$A$3:$A$502),COUNTIF('_曲线基线'!$E$3:$E$502,"&lt;"&amp;AO80)+1)))</x:f>
        <x:v>127</x:v>
      </x:c>
      <x:c r="AQ80" s="61" t="n">
        <x:f>IF(B80&lt;=2,1,IF(B80&lt;=6,2,IF(B80&lt;=9,3,IF(B80&lt;=19,4,5))))</x:f>
        <x:v>5</x:v>
      </x:c>
      <x:c r="AR80" s="59" t="n">
        <x:f>AN80*(1-Q80)/F80*$AS$3+U80*$AS$4+P80*$AS$5</x:f>
        <x:v>4901.015764100648</x:v>
      </x:c>
      <x:c r="AS80" s="59" t="n">
        <x:f>1+AH80*$AS$6+AI80*$AS$7+(AJ80-1)*$AS$8+($H$10*H80+$I$10*I80+$J$10*J80+$K$10*K80+$L$10*L80)*$AU$3*$AS$9+($H$10*H80+$I$10*I80+$J$10*J80+$K$10*K80+$L$10*L80)*$AU$4*$AS$10</x:f>
        <x:v>9.163726760980314</x:v>
      </x:c>
      <x:c r="AT80" s="60" t="n">
        <x:f>ROUND(AR80*AS80,0)</x:f>
        <x:v>44912</x:v>
      </x:c>
      <x:c r="AU80" s="60" t="n">
        <x:f>ROUND(AT80*F80,0)</x:f>
        <x:v>224560</x:v>
      </x:c>
      <x:c r="AV80" s="60" t="n">
        <x:f>MIN(MATCH(B80,'主线调参'!$M$11:$M$62,1),ROWS('主线调参'!$M$11:$M$62)-1)</x:f>
        <x:v>24</x:v>
      </x:c>
      <x:c r="AW80" s="62" t="n">
        <x:f>(B80-INDEX('主线调参'!$M$11:$M$62,AV80))/(INDEX('主线调参'!$M$11:$M$62,AV80+1)-INDEX('主线调参'!$M$11:$M$62,AV80))</x:f>
        <x:v>0</x:v>
      </x:c>
      <x:c r="AX80" s="60" t="n">
        <x:f>IF(AU80=0,0,ROUND(AU80,2-INT(LOG10(ABS(AU80)))))</x:f>
        <x:v>225000</x:v>
      </x:c>
      <x:c r="AY80" s="62" t="n">
        <x:f>AU80/AU79-1</x:f>
        <x:v>0.03217503217503226</x:v>
      </x:c>
    </x:row>
    <x:row r="81" ht="25" customHeight="1">
      <x:c r="A81" s="40" t="n">
        <x:f>'调前玩家曲线'!A81</x:f>
        <x:v>31</x:v>
      </x:c>
      <x:c r="B81" s="40" t="n">
        <x:f>'调前玩家曲线'!B81</x:f>
        <x:v>70</x:v>
      </x:c>
      <x:c r="C81" s="40" t="n">
        <x:f>'调前玩家曲线'!C81</x:f>
        <x:v>6</x:v>
      </x:c>
      <x:c r="D81" s="40" t="n">
        <x:f>'调前玩家曲线'!D81</x:f>
        <x:v>1</x:v>
      </x:c>
      <x:c r="E81" s="40" t="n">
        <x:f>'调前玩家曲线'!E81</x:f>
        <x:v>1</x:v>
      </x:c>
      <x:c r="F81" s="40" t="n">
        <x:f>'调前玩家曲线'!F81</x:f>
        <x:v>5</x:v>
      </x:c>
      <x:c r="G81" s="63" t="n">
        <x:f>IF(B81&lt;$G$8,0,(INDEX('主线调参'!$C$11:$C$62,$AV81)+(INDEX('主线调参'!$C$11:$C$62,$AV81+1)-INDEX('主线调参'!$C$11:$C$62,$AV81))*$AW81)*'参数说明'!$C$27)</x:f>
        <x:v>0.5108090009636408</x:v>
      </x:c>
      <x:c r="H81" s="63" t="n">
        <x:f>IF(B81&lt;$H$8,0,(INDEX('主线调参'!$D$11:$D$62,$AV81)+(INDEX('主线调参'!$D$11:$D$62,$AV81+1)-INDEX('主线调参'!$D$11:$D$62,$AV81))*$AW81)*'参数说明'!$D$27)</x:f>
        <x:v>0.3894913688575724</x:v>
      </x:c>
      <x:c r="I81" s="63" t="n">
        <x:f>IF(B81&lt;$I$8,0,(INDEX('主线调参'!$E$11:$E$62,$AV81)+(INDEX('主线调参'!$E$11:$E$62,$AV81+1)-INDEX('主线调参'!$E$11:$E$62,$AV81))*$AW81)*'参数说明'!$E$27)</x:f>
        <x:v>0.05638426609302923</x:v>
      </x:c>
      <x:c r="J81" s="63" t="n">
        <x:f>IF(B81&lt;$J$8,0,(INDEX('主线调参'!$F$11:$F$62,$AV81)+(INDEX('主线调参'!$F$11:$F$62,$AV81+1)-INDEX('主线调参'!$F$11:$F$62,$AV81))*$AW81)*'参数说明'!$F$27)</x:f>
        <x:v>0.23340770968098182</x:v>
      </x:c>
      <x:c r="K81" s="63" t="n">
        <x:f>IF(B81&lt;$K$8,0,(INDEX('主线调参'!$G$11:$G$62,$AV81)+(INDEX('主线调参'!$G$11:$G$62,$AV81+1)-INDEX('主线调参'!$G$11:$G$62,$AV81))*$AW81)*'参数说明'!$G$27)</x:f>
        <x:v>0</x:v>
      </x:c>
      <x:c r="L81" s="63" t="n">
        <x:f>IF(B81&lt;$L$8,0,(INDEX('主线调参'!$H$11:$H$62,$AV81)+(INDEX('主线调参'!$H$11:$H$62,$AV81+1)-INDEX('主线调参'!$H$11:$H$62,$AV81))*$AW81)*'参数说明'!$H$27)</x:f>
        <x:v>0.35349118845656824</x:v>
      </x:c>
      <x:c r="M81" s="59" t="n">
        <x:f>E81*'模块规划'!$F$10+G81*'模块规划'!$F$11+H81*'模块规划'!$F$13</x:f>
        <x:v>3451.8832046254756</x:v>
      </x:c>
      <x:c r="N81" s="59" t="n">
        <x:f>I81*'模块规划'!$F$15+J81*'模块规划'!$F$17+K81*'模块规划'!$F$16+L81*'模块规划'!$F$18</x:f>
        <x:v>4552.6071678368935</x:v>
      </x:c>
      <x:c r="O81" s="59" t="n">
        <x:f>1+O$9*SUMPRODUCT($H$10:$L$10,H81:L81)/SUM($H$10:$L$10)</x:f>
        <x:v>1.8071337316713392</x:v>
      </x:c>
      <x:c r="P81" s="59" t="n">
        <x:f>M81*O81+N81</x:f>
        <x:v>10790.62174470535</x:v>
      </x:c>
      <x:c r="Q81" s="59" t="n">
        <x:f>P81/(P81+'_曲线基线'!$L$2)</x:f>
        <x:v>0.31015892224885383</x:v>
      </x:c>
      <x:c r="R81" s="59" t="n">
        <x:f>E81*'模块规划'!$E$10+G81*'模块规划'!$E$11+H81*'模块规划'!$E$13</x:f>
        <x:v>5177.824806938213</x:v>
      </x:c>
      <x:c r="S81" s="59" t="n">
        <x:f>I81*'模块规划'!$E$15+J81*'模块规划'!$E$17+K81*'模块规划'!$E$16+L81*'模块规划'!$E$18</x:f>
        <x:v>6828.91075175534</x:v>
      </x:c>
      <x:c r="T81" s="59" t="n">
        <x:f>1+T$9*SUMPRODUCT($H$10:$L$10,H81:L81)/SUM($H$10:$L$10)</x:f>
        <x:v>1.8071337316713392</x:v>
      </x:c>
      <x:c r="U81" s="59" t="n">
        <x:f>R81*T81+S81</x:f>
        <x:v>16185.932617058024</x:v>
      </x:c>
      <x:c r="V81" s="59" t="n">
        <x:f>V$8+(V$9-V$8)*H81</x:f>
        <x:v>0.8168474106572717</x:v>
      </x:c>
      <x:c r="W81" s="59" t="n">
        <x:f>IF(B81&lt;$H$8,0,W$8+(W$9-W$8)*H81)</x:f>
        <x:v>0.15579654754302896</x:v>
      </x:c>
      <x:c r="X81" s="59" t="n">
        <x:f>X$8+(X$9-X$8)*H81</x:f>
        <x:v>0.3821101264358324</x:v>
      </x:c>
      <x:c r="Y81" s="59" t="n">
        <x:f>Y$8+(Y$9-Y$8)*G81</x:f>
        <x:v>1</x:v>
      </x:c>
      <x:c r="Z81" s="59" t="n">
        <x:f>Z$8+(Z$9-Z$8)*H81</x:f>
        <x:v>1</x:v>
      </x:c>
      <x:c r="AA81" s="59" t="n">
        <x:f>AA$8+(AA$9-AA$8)*I81</x:f>
        <x:v>1</x:v>
      </x:c>
      <x:c r="AB81" s="59" t="n">
        <x:f>AB$8+(AB$9-AB$8)*J81</x:f>
        <x:v>1</x:v>
      </x:c>
      <x:c r="AC81" s="59" t="n">
        <x:f>AC$8+(AC$9-AC$8)*MAX(K81,L81)</x:f>
        <x:v>1</x:v>
      </x:c>
      <x:c r="AD81" s="59" t="n">
        <x:f>(V81*AE81+W81*AF81+X81*AG81)*PRODUCT(Y81:AC81)</x:f>
        <x:v>1.4140930442352857</x:v>
      </x:c>
      <x:c r="AE81" s="59" t="n">
        <x:f>1+AE$9*($H$10*H81+$I$10*I81+$J$10*J81+$K$10*K81+$L$10*L81)</x:f>
        <x:v>1</x:v>
      </x:c>
      <x:c r="AF81" s="59" t="n">
        <x:f>1+AF$9*($H$10*H81+$I$10*I81+$J$10*J81+$K$10*K81+$L$10*L81)</x:f>
        <x:v>1.071236904252774</x:v>
      </x:c>
      <x:c r="AG81" s="59" t="n">
        <x:f>1+AG$9*($H$10*H81+$I$10*I81+$J$10*J81+$K$10*K81+$L$10*L81)</x:f>
        <x:v>1.126247624759084</x:v>
      </x:c>
      <x:c r="AH81" s="59" t="n">
        <x:f>MIN(1,'_曲线基线'!$L$3+AH$9*($H$10*H81+$I$10*I81+$J$10*J81+$K$10*K81+$L$10*L81))</x:f>
        <x:v>0.21206395717506094</x:v>
      </x:c>
      <x:c r="AI81" s="59" t="n">
        <x:f>'_曲线基线'!$L$4+AI$9*($H$10*H81+$I$10*I81+$J$10*J81+$K$10*K81+$L$10*L81)</x:f>
        <x:v>2.4514638807019553</x:v>
      </x:c>
      <x:c r="AJ81" s="59" t="n">
        <x:f>1+AJ$9*($H$10*H81+$I$10*I81+$J$10*J81+$K$10*K81+$L$10*L81)</x:f>
        <x:v>1.3704319021144251</x:v>
      </x:c>
      <x:c r="AK81" s="59" t="n">
        <x:f>(1+AH81*(AI81-1))*AJ81</x:f>
        <x:v>1.7922551916627136</x:v>
      </x:c>
      <x:c r="AL81" s="59" t="n">
        <x:f>U81*AD81*AK81*F81</x:f>
        <x:v>205109.40062811226</x:v>
      </x:c>
      <x:c r="AM81" s="59" t="n">
        <x:f>IF($B81&lt;AM$8,0,AM$3+(AM$4-AM$3)*(POWER(AM$5,$B81-AM$8)-1)/(POWER(AM$5,$C$5-AM$8)-1))</x:f>
        <x:v>36.32487022851652</x:v>
      </x:c>
      <x:c r="AN81" s="59" t="n">
        <x:f>(((E81*'模块规划'!$D$10+G81*'模块规划'!$D$11+H81*'模块规划'!$D$13)*(1+'模块规划'!$G$14*H81)+(I81*'模块规划'!$D$15+J81*'模块规划'!$D$17+K81*'模块规划'!$D$16+L81*'模块规划'!$D$18))*(1+'模块规划'!$J$17*J81))*F81/(1-Q81)</x:f>
        <x:v>427468.367251895</x:v>
      </x:c>
      <x:c r="AO81" s="59" t="n">
        <x:f>AL81*AM81</x:f>
        <x:v>7450572.360464982</x:v>
      </x:c>
      <x:c r="AP81" s="61" t="n">
        <x:f>IF(AO81="","",INDEX('_曲线基线'!$A$3:$A$502,MIN(ROWS('_曲线基线'!$A$3:$A$502),COUNTIF('_曲线基线'!$E$3:$E$502,"&lt;"&amp;AO81)+1)))</x:f>
        <x:v>129</x:v>
      </x:c>
      <x:c r="AQ81" s="61" t="n">
        <x:f>IF(B81&lt;=2,1,IF(B81&lt;=6,2,IF(B81&lt;=9,3,IF(B81&lt;=19,4,5))))</x:f>
        <x:v>5</x:v>
      </x:c>
      <x:c r="AR81" s="59" t="n">
        <x:f>AN81*(1-Q81)/F81*$AS$3+U81*$AS$4+P81*$AS$5</x:f>
        <x:v>5006.497958429025</x:v>
      </x:c>
      <x:c r="AS81" s="59" t="n">
        <x:f>1+AH81*$AS$6+AI81*$AS$7+(AJ81-1)*$AS$8+($H$10*H81+$I$10*I81+$J$10*J81+$K$10*K81+$L$10*L81)*$AU$3*$AS$9+($H$10*H81+$I$10*I81+$J$10*J81+$K$10*K81+$L$10*L81)*$AU$4*$AS$10</x:f>
        <x:v>9.238065972035708</x:v>
      </x:c>
      <x:c r="AT81" s="60" t="n">
        <x:f>ROUND(AR81*AS81,0)</x:f>
        <x:v>46250</x:v>
      </x:c>
      <x:c r="AU81" s="60" t="n">
        <x:f>ROUND(AT81*F81,0)</x:f>
        <x:v>231250</x:v>
      </x:c>
      <x:c r="AV81" s="60" t="n">
        <x:f>MIN(MATCH(B81,'主线调参'!$M$11:$M$62,1),ROWS('主线调参'!$M$11:$M$62)-1)</x:f>
        <x:v>25</x:v>
      </x:c>
      <x:c r="AW81" s="62" t="n">
        <x:f>(B81-INDEX('主线调参'!$M$11:$M$62,AV81))/(INDEX('主线调参'!$M$11:$M$62,AV81+1)-INDEX('主线调参'!$M$11:$M$62,AV81))</x:f>
        <x:v>0</x:v>
      </x:c>
      <x:c r="AX81" s="60" t="n">
        <x:f>IF(AU81=0,0,ROUND(AU81,2-INT(LOG10(ABS(AU81)))))</x:f>
        <x:v>231000</x:v>
      </x:c>
      <x:c r="AY81" s="62" t="n">
        <x:f>AU81/AU80-1</x:f>
        <x:v>0.029791592447452775</x:v>
      </x:c>
    </x:row>
    <x:row r="82" ht="25" customHeight="1">
      <x:c r="A82" s="40" t="n">
        <x:f>'调前玩家曲线'!A82</x:f>
        <x:v>32</x:v>
      </x:c>
      <x:c r="B82" s="40" t="n">
        <x:f>'调前玩家曲线'!B82</x:f>
        <x:v>71</x:v>
      </x:c>
      <x:c r="C82" s="40" t="n">
        <x:f>'调前玩家曲线'!C82</x:f>
        <x:v>6</x:v>
      </x:c>
      <x:c r="D82" s="40" t="n">
        <x:f>'调前玩家曲线'!D82</x:f>
        <x:v>2</x:v>
      </x:c>
      <x:c r="E82" s="40" t="n">
        <x:f>'调前玩家曲线'!E82</x:f>
        <x:v>1</x:v>
      </x:c>
      <x:c r="F82" s="40" t="n">
        <x:f>'调前玩家曲线'!F82</x:f>
        <x:v>5</x:v>
      </x:c>
      <x:c r="G82" s="63" t="n">
        <x:f>IF(B82&lt;$G$8,0,(INDEX('主线调参'!$C$11:$C$62,$AV82)+(INDEX('主线调参'!$C$11:$C$62,$AV82+1)-INDEX('主线调参'!$C$11:$C$62,$AV82))*$AW82)*'参数说明'!$C$27)</x:f>
        <x:v>0.5140989370335067</x:v>
      </x:c>
      <x:c r="H82" s="63" t="n">
        <x:f>IF(B82&lt;$H$8,0,(INDEX('主线调参'!$D$11:$D$62,$AV82)+(INDEX('主线调参'!$D$11:$D$62,$AV82+1)-INDEX('主线调参'!$D$11:$D$62,$AV82))*$AW82)*'参数说明'!$D$27)</x:f>
        <x:v>0.392485822529494</x:v>
      </x:c>
      <x:c r="I82" s="63" t="n">
        <x:f>IF(B82&lt;$I$8,0,(INDEX('主线调参'!$E$11:$E$62,$AV82)+(INDEX('主线调参'!$E$11:$E$62,$AV82+1)-INDEX('主线调参'!$E$11:$E$62,$AV82))*$AW82)*'参数说明'!$E$27)</x:f>
        <x:v>0.06408351253028079</x:v>
      </x:c>
      <x:c r="J82" s="63" t="n">
        <x:f>IF(B82&lt;$J$8,0,(INDEX('主线调参'!$F$11:$F$62,$AV82)+(INDEX('主线调参'!$F$11:$F$62,$AV82+1)-INDEX('主线调参'!$F$11:$F$62,$AV82))*$AW82)*'参数说明'!$F$27)</x:f>
        <x:v>0.2372758065478308</x:v>
      </x:c>
      <x:c r="K82" s="63" t="n">
        <x:f>IF(B82&lt;$K$8,0,(INDEX('主线调参'!$G$11:$G$62,$AV82)+(INDEX('主线调参'!$G$11:$G$62,$AV82+1)-INDEX('主线调参'!$G$11:$G$62,$AV82))*$AW82)*'参数说明'!$G$27)</x:f>
        <x:v>0</x:v>
      </x:c>
      <x:c r="L82" s="63" t="n">
        <x:f>IF(B82&lt;$L$8,0,(INDEX('主线调参'!$H$11:$H$62,$AV82)+(INDEX('主线调参'!$H$11:$H$62,$AV82+1)-INDEX('主线调参'!$H$11:$H$62,$AV82))*$AW82)*'参数说明'!$H$27)</x:f>
        <x:v>0.35707625384535513</x:v>
      </x:c>
      <x:c r="M82" s="59" t="n">
        <x:f>E82*'模块规划'!$F$10+G82*'模块规划'!$F$11+H82*'模块规划'!$F$13</x:f>
        <x:v>3467.674897760832</x:v>
      </x:c>
      <x:c r="N82" s="59" t="n">
        <x:f>I82*'模块规划'!$F$15+J82*'模块规划'!$F$17+K82*'模块规划'!$F$16+L82*'模块规划'!$F$18</x:f>
        <x:v>4670.80743494733</x:v>
      </x:c>
      <x:c r="O82" s="59" t="n">
        <x:f>1+O$9*SUMPRODUCT($H$10:$L$10,H82:L82)/SUM($H$10:$L$10)</x:f>
        <x:v>1.8192885103735525</x:v>
      </x:c>
      <x:c r="P82" s="59" t="n">
        <x:f>M82*O82+N82</x:f>
        <x:v>10979.508534154396</x:v>
      </x:c>
      <x:c r="Q82" s="59" t="n">
        <x:f>P82/(P82+'_曲线基线'!$L$2)</x:f>
        <x:v>0.3138840136485588</x:v>
      </x:c>
      <x:c r="R82" s="59" t="n">
        <x:f>E82*'模块规划'!$E$10+G82*'模块规划'!$E$11+H82*'模块规划'!$E$13</x:f>
        <x:v>5201.512346641248</x:v>
      </x:c>
      <x:c r="S82" s="59" t="n">
        <x:f>I82*'模块规划'!$E$15+J82*'模块规划'!$E$17+K82*'模块规划'!$E$16+L82*'模块规划'!$E$18</x:f>
        <x:v>7006.211152420994</x:v>
      </x:c>
      <x:c r="T82" s="59" t="n">
        <x:f>1+T$9*SUMPRODUCT($H$10:$L$10,H82:L82)/SUM($H$10:$L$10)</x:f>
        <x:v>1.8192885103735525</x:v>
      </x:c>
      <x:c r="U82" s="59" t="n">
        <x:f>R82*T82+S82</x:f>
        <x:v>16469.26280123159</x:v>
      </x:c>
      <x:c r="V82" s="59" t="n">
        <x:f>V$8+(V$9-V$8)*H82</x:f>
        <x:v>0.8177457467588481</x:v>
      </x:c>
      <x:c r="W82" s="59" t="n">
        <x:f>IF(B82&lt;$H$8,0,W$8+(W$9-W$8)*H82)</x:f>
        <x:v>0.1569943290117976</x:v>
      </x:c>
      <x:c r="X82" s="59" t="n">
        <x:f>X$8+(X$9-X$8)*H82</x:f>
        <x:v>0.3829336011956109</x:v>
      </x:c>
      <x:c r="Y82" s="59" t="n">
        <x:f>Y$8+(Y$9-Y$8)*G82</x:f>
        <x:v>1</x:v>
      </x:c>
      <x:c r="Z82" s="59" t="n">
        <x:f>Z$8+(Z$9-Z$8)*H82</x:f>
        <x:v>1</x:v>
      </x:c>
      <x:c r="AA82" s="59" t="n">
        <x:f>AA$8+(AA$9-AA$8)*I82</x:f>
        <x:v>1</x:v>
      </x:c>
      <x:c r="AB82" s="59" t="n">
        <x:f>AB$8+(AB$9-AB$8)*J82</x:f>
        <x:v>1</x:v>
      </x:c>
      <x:c r="AC82" s="59" t="n">
        <x:f>AC$8+(AC$9-AC$8)*MAX(K82,L82)</x:f>
        <x:v>1</x:v>
      </x:c>
      <x:c r="AD82" s="59" t="n">
        <x:f>(V82*AE82+W82*AF82+X82*AG82)*PRODUCT(Y82:AC82)</x:f>
        <x:v>1.4180983716203037</x:v>
      </x:c>
      <x:c r="AE82" s="59" t="n">
        <x:f>1+AE$9*($H$10*H82+$I$10*I82+$J$10*J82+$K$10*K82+$L$10*L82)</x:f>
        <x:v>1</x:v>
      </x:c>
      <x:c r="AF82" s="59" t="n">
        <x:f>1+AF$9*($H$10*H82+$I$10*I82+$J$10*J82+$K$10*K82+$L$10*L82)</x:f>
        <x:v>1.0723096741949127</x:v>
      </x:c>
      <x:c r="AG82" s="59" t="n">
        <x:f>1+AG$9*($H$10*H82+$I$10*I82+$J$10*J82+$K$10*K82+$L$10*L82)</x:f>
        <x:v>1.1281488114898743</x:v>
      </x:c>
      <x:c r="AH82" s="59" t="n">
        <x:f>MIN(1,'_曲线基线'!$L$3+AH$9*($H$10*H82+$I$10*I82+$J$10*J82+$K$10*K82+$L$10*L82))</x:f>
        <x:v>0.21450450879342642</x:v>
      </x:c>
      <x:c r="AI82" s="59" t="n">
        <x:f>'_曲线基线'!$L$4+AI$9*($H$10*H82+$I$10*I82+$J$10*J82+$K$10*K82+$L$10*L82)</x:f>
        <x:v>2.4582625602102595</x:v>
      </x:c>
      <x:c r="AJ82" s="59" t="n">
        <x:f>1+AJ$9*($H$10*H82+$I$10*I82+$J$10*J82+$K$10*K82+$L$10*L82)</x:f>
        <x:v>1.3760103058135462</x:v>
      </x:c>
      <x:c r="AK82" s="59" t="n">
        <x:f>(1+AH82*(AI82-1))*AJ82</x:f>
        <x:v>1.8064316878897269</x:v>
      </x:c>
      <x:c r="AL82" s="59" t="n">
        <x:f>U82*AD82*AK82*F82</x:f>
        <x:v>210946.3743130773</x:v>
      </x:c>
      <x:c r="AM82" s="59" t="n">
        <x:f>IF($B82&lt;AM$8,0,AM$3+(AM$4-AM$3)*(POWER(AM$5,$B82-AM$8)-1)/(POWER(AM$5,$C$5-AM$8)-1))</x:f>
        <x:v>36.35154357072355</x:v>
      </x:c>
      <x:c r="AN82" s="59" t="n">
        <x:f>(((E82*'模块规划'!$D$10+G82*'模块规划'!$D$11+H82*'模块规划'!$D$13)*(1+'模块规划'!$G$14*H82)+(I82*'模块规划'!$D$15+J82*'模块规划'!$D$17+K82*'模块规划'!$D$16+L82*'模块规划'!$D$18))*(1+'模块规划'!$J$17*J82))*F82/(1-Q82)</x:f>
        <x:v>438316.6544915118</x:v>
      </x:c>
      <x:c r="AO82" s="59" t="n">
        <x:f>AL82*AM82</x:f>
        <x:v>7668226.316927989</x:v>
      </x:c>
      <x:c r="AP82" s="61" t="n">
        <x:f>IF(AO82="","",INDEX('_曲线基线'!$A$3:$A$502,MIN(ROWS('_曲线基线'!$A$3:$A$502),COUNTIF('_曲线基线'!$E$3:$E$502,"&lt;"&amp;AO82)+1)))</x:f>
        <x:v>130</x:v>
      </x:c>
      <x:c r="AQ82" s="61" t="n">
        <x:f>IF(B82&lt;=2,1,IF(B82&lt;=6,2,IF(B82&lt;=9,3,IF(B82&lt;=19,4,5))))</x:f>
        <x:v>5</x:v>
      </x:c>
      <x:c r="AR82" s="59" t="n">
        <x:f>AN82*(1-Q82)/F82*$AS$3+U82*$AS$4+P82*$AS$5</x:f>
        <x:v>5098.268942630564</x:v>
      </x:c>
      <x:c r="AS82" s="59" t="n">
        <x:f>1+AH82*$AS$6+AI82*$AS$7+(AJ82-1)*$AS$8+($H$10*H82+$I$10*I82+$J$10*J82+$K$10*K82+$L$10*L82)*$AU$3*$AS$9+($H$10*H82+$I$10*I82+$J$10*J82+$K$10*K82+$L$10*L82)*$AU$4*$AS$10</x:f>
        <x:v>9.30216519501334</x:v>
      </x:c>
      <x:c r="AT82" s="60" t="n">
        <x:f>ROUND(AR82*AS82,0)</x:f>
        <x:v>47425</x:v>
      </x:c>
      <x:c r="AU82" s="60" t="n">
        <x:f>ROUND(AT82*F82,0)</x:f>
        <x:v>237125</x:v>
      </x:c>
      <x:c r="AV82" s="60" t="n">
        <x:f>MIN(MATCH(B82,'主线调参'!$M$11:$M$62,1),ROWS('主线调参'!$M$11:$M$62)-1)</x:f>
        <x:v>25</x:v>
      </x:c>
      <x:c r="AW82" s="62" t="n">
        <x:f>(B82-INDEX('主线调参'!$M$11:$M$62,AV82))/(INDEX('主线调参'!$M$11:$M$62,AV82+1)-INDEX('主线调参'!$M$11:$M$62,AV82))</x:f>
        <x:v>0.07142857142857142</x:v>
      </x:c>
      <x:c r="AX82" s="60" t="n">
        <x:f>IF(AU82=0,0,ROUND(AU82,2-INT(LOG10(ABS(AU82)))))</x:f>
        <x:v>237000</x:v>
      </x:c>
      <x:c r="AY82" s="62" t="n">
        <x:f>AU82/AU81-1</x:f>
        <x:v>0.025405405405405368</x:v>
      </x:c>
    </x:row>
    <x:row r="83" ht="25" customHeight="1">
      <x:c r="A83" s="40" t="n">
        <x:f>'调前玩家曲线'!A83</x:f>
        <x:v>32</x:v>
      </x:c>
      <x:c r="B83" s="40" t="n">
        <x:f>'调前玩家曲线'!B83</x:f>
        <x:v>72</x:v>
      </x:c>
      <x:c r="C83" s="40" t="n">
        <x:f>'调前玩家曲线'!C83</x:f>
        <x:v>6</x:v>
      </x:c>
      <x:c r="D83" s="40" t="n">
        <x:f>'调前玩家曲线'!D83</x:f>
        <x:v>3</x:v>
      </x:c>
      <x:c r="E83" s="40" t="n">
        <x:f>'调前玩家曲线'!E83</x:f>
        <x:v>1</x:v>
      </x:c>
      <x:c r="F83" s="40" t="n">
        <x:f>'调前玩家曲线'!F83</x:f>
        <x:v>5</x:v>
      </x:c>
      <x:c r="G83" s="63" t="n">
        <x:f>IF(B83&lt;$G$8,0,(INDEX('主线调参'!$C$11:$C$62,$AV83)+(INDEX('主线调参'!$C$11:$C$62,$AV83+1)-INDEX('主线调参'!$C$11:$C$62,$AV83))*$AW83)*'参数说明'!$C$27)</x:f>
        <x:v>0.5173888731033728</x:v>
      </x:c>
      <x:c r="H83" s="63" t="n">
        <x:f>IF(B83&lt;$H$8,0,(INDEX('主线调参'!$D$11:$D$62,$AV83)+(INDEX('主线调参'!$D$11:$D$62,$AV83+1)-INDEX('主线调参'!$D$11:$D$62,$AV83))*$AW83)*'参数说明'!$D$27)</x:f>
        <x:v>0.3954802762014155</x:v>
      </x:c>
      <x:c r="I83" s="63" t="n">
        <x:f>IF(B83&lt;$I$8,0,(INDEX('主线调参'!$E$11:$E$62,$AV83)+(INDEX('主线调参'!$E$11:$E$62,$AV83+1)-INDEX('主线调参'!$E$11:$E$62,$AV83))*$AW83)*'参数说明'!$E$27)</x:f>
        <x:v>0.07178275896753235</x:v>
      </x:c>
      <x:c r="J83" s="63" t="n">
        <x:f>IF(B83&lt;$J$8,0,(INDEX('主线调参'!$F$11:$F$62,$AV83)+(INDEX('主线调参'!$F$11:$F$62,$AV83+1)-INDEX('主线调参'!$F$11:$F$62,$AV83))*$AW83)*'参数说明'!$F$27)</x:f>
        <x:v>0.24114390341467978</x:v>
      </x:c>
      <x:c r="K83" s="63" t="n">
        <x:f>IF(B83&lt;$K$8,0,(INDEX('主线调参'!$G$11:$G$62,$AV83)+(INDEX('主线调参'!$G$11:$G$62,$AV83+1)-INDEX('主线调参'!$G$11:$G$62,$AV83))*$AW83)*'参数说明'!$G$27)</x:f>
        <x:v>0</x:v>
      </x:c>
      <x:c r="L83" s="63" t="n">
        <x:f>IF(B83&lt;$L$8,0,(INDEX('主线调参'!$H$11:$H$62,$AV83)+(INDEX('主线调参'!$H$11:$H$62,$AV83+1)-INDEX('主线调参'!$H$11:$H$62,$AV83))*$AW83)*'参数说明'!$H$27)</x:f>
        <x:v>0.360661319234142</x:v>
      </x:c>
      <x:c r="M83" s="59" t="n">
        <x:f>E83*'模块规划'!$F$10+G83*'模块规划'!$F$11+H83*'模块规划'!$F$13</x:f>
        <x:v>3483.4665908961892</x:v>
      </x:c>
      <x:c r="N83" s="59" t="n">
        <x:f>I83*'模块规划'!$F$15+J83*'模块规划'!$F$17+K83*'模块规划'!$F$16+L83*'模块规划'!$F$18</x:f>
        <x:v>4789.007702057766</x:v>
      </x:c>
      <x:c r="O83" s="59" t="n">
        <x:f>1+O$9*SUMPRODUCT($H$10:$L$10,H83:L83)/SUM($H$10:$L$10)</x:f>
        <x:v>1.8314432890757657</x:v>
      </x:c>
      <x:c r="P83" s="59" t="n">
        <x:f>M83*O83+N83</x:f>
        <x:v>11168.779212674228</x:v>
      </x:c>
      <x:c r="Q83" s="59" t="n">
        <x:f>P83/(P83+'_曲线基线'!$L$2)</x:f>
        <x:v>0.31757653983761797</x:v>
      </x:c>
      <x:c r="R83" s="59" t="n">
        <x:f>E83*'模块规划'!$E$10+G83*'模块规划'!$E$11+H83*'模块规划'!$E$13</x:f>
        <x:v>5225.199886344284</x:v>
      </x:c>
      <x:c r="S83" s="59" t="n">
        <x:f>I83*'模块规划'!$E$15+J83*'模块规划'!$E$17+K83*'模块规划'!$E$16+L83*'模块规划'!$E$18</x:f>
        <x:v>7183.511553086651</x:v>
      </x:c>
      <x:c r="T83" s="59" t="n">
        <x:f>1+T$9*SUMPRODUCT($H$10:$L$10,H83:L83)/SUM($H$10:$L$10)</x:f>
        <x:v>1.8314432890757657</x:v>
      </x:c>
      <x:c r="U83" s="59" t="n">
        <x:f>R83*T83+S83</x:f>
        <x:v>16753.168819011342</x:v>
      </x:c>
      <x:c r="V83" s="59" t="n">
        <x:f>V$8+(V$9-V$8)*H83</x:f>
        <x:v>0.8186440828604247</x:v>
      </x:c>
      <x:c r="W83" s="59" t="n">
        <x:f>IF(B83&lt;$H$8,0,W$8+(W$9-W$8)*H83)</x:f>
        <x:v>0.15819211048056622</x:v>
      </x:c>
      <x:c r="X83" s="59" t="n">
        <x:f>X$8+(X$9-X$8)*H83</x:f>
        <x:v>0.3837570759553893</x:v>
      </x:c>
      <x:c r="Y83" s="59" t="n">
        <x:f>Y$8+(Y$9-Y$8)*G83</x:f>
        <x:v>1</x:v>
      </x:c>
      <x:c r="Z83" s="59" t="n">
        <x:f>Z$8+(Z$9-Z$8)*H83</x:f>
        <x:v>1</x:v>
      </x:c>
      <x:c r="AA83" s="59" t="n">
        <x:f>AA$8+(AA$9-AA$8)*I83</x:f>
        <x:v>1</x:v>
      </x:c>
      <x:c r="AB83" s="59" t="n">
        <x:f>AB$8+(AB$9-AB$8)*J83</x:f>
        <x:v>1</x:v>
      </x:c>
      <x:c r="AC83" s="59" t="n">
        <x:f>AC$8+(AC$9-AC$8)*MAX(K83,L83)</x:f>
        <x:v>1</x:v>
      </x:c>
      <x:c r="AD83" s="59" t="n">
        <x:f>(V83*AE83+W83*AF83+X83*AG83)*PRODUCT(Y83:AC83)</x:f>
        <x:v>1.4221094000518084</x:v>
      </x:c>
      <x:c r="AE83" s="59" t="n">
        <x:f>1+AE$9*($H$10*H83+$I$10*I83+$J$10*J83+$K$10*K83+$L$10*L83)</x:f>
        <x:v>1</x:v>
      </x:c>
      <x:c r="AF83" s="59" t="n">
        <x:f>1+AF$9*($H$10*H83+$I$10*I83+$J$10*J83+$K$10*K83+$L$10*L83)</x:f>
        <x:v>1.0733824441370514</x:v>
      </x:c>
      <x:c r="AG83" s="59" t="n">
        <x:f>1+AG$9*($H$10*H83+$I$10*I83+$J$10*J83+$K$10*K83+$L$10*L83)</x:f>
        <x:v>1.1300499982206644</x:v>
      </x:c>
      <x:c r="AH83" s="59" t="n">
        <x:f>MIN(1,'_曲线基线'!$L$3+AH$9*($H$10*H83+$I$10*I83+$J$10*J83+$K$10*K83+$L$10*L83))</x:f>
        <x:v>0.2169450604117919</x:v>
      </x:c>
      <x:c r="AI83" s="59" t="n">
        <x:f>'_曲线基线'!$L$4+AI$9*($H$10*H83+$I$10*I83+$J$10*J83+$K$10*K83+$L$10*L83)</x:f>
        <x:v>2.465061239718563</x:v>
      </x:c>
      <x:c r="AJ83" s="59" t="n">
        <x:f>1+AJ$9*($H$10*H83+$I$10*I83+$J$10*J83+$K$10*K83+$L$10*L83)</x:f>
        <x:v>1.381588709512667</x:v>
      </x:c>
      <x:c r="AK83" s="59" t="n">
        <x:f>(1+AH83*(AI83-1))*AJ83</x:f>
        <x:v>1.8207098242853255</x:v>
      </x:c>
      <x:c r="AL83" s="59" t="n">
        <x:f>U83*AD83*AK83*F83</x:f>
        <x:v>216890.5908554325</x:v>
      </x:c>
      <x:c r="AM83" s="59" t="n">
        <x:f>IF($B83&lt;AM$8,0,AM$3+(AM$4-AM$3)*(POWER(AM$5,$B83-AM$8)-1)/(POWER(AM$5,$C$5-AM$8)-1))</x:f>
        <x:v>36.378483646352656</x:v>
      </x:c>
      <x:c r="AN83" s="59" t="n">
        <x:f>(((E83*'模块规划'!$D$10+G83*'模块规划'!$D$11+H83*'模块规划'!$D$13)*(1+'模块规划'!$G$14*H83)+(I83*'模块规划'!$D$15+J83*'模块规划'!$D$17+K83*'模块规划'!$D$16+L83*'模块规划'!$D$18))*(1+'模块规划'!$J$17*J83))*F83/(1-Q83)</x:f>
        <x:v>449316.59184260905</x:v>
      </x:c>
      <x:c r="AO83" s="59" t="n">
        <x:f>AL83*AM83</x:f>
        <x:v>7890150.812482116</x:v>
      </x:c>
      <x:c r="AP83" s="61" t="n">
        <x:f>IF(AO83="","",INDEX('_曲线基线'!$A$3:$A$502,MIN(ROWS('_曲线基线'!$A$3:$A$502),COUNTIF('_曲线基线'!$E$3:$E$502,"&lt;"&amp;AO83)+1)))</x:f>
        <x:v>132</x:v>
      </x:c>
      <x:c r="AQ83" s="61" t="n">
        <x:f>IF(B83&lt;=2,1,IF(B83&lt;=6,2,IF(B83&lt;=9,3,IF(B83&lt;=19,4,5))))</x:f>
        <x:v>5</x:v>
      </x:c>
      <x:c r="AR83" s="59" t="n">
        <x:f>AN83*(1-Q83)/F83*$AS$3+U83*$AS$4+P83*$AS$5</x:f>
        <x:v>5190.37886368388</x:v>
      </x:c>
      <x:c r="AS83" s="59" t="n">
        <x:f>1+AH83*$AS$6+AI83*$AS$7+(AJ83-1)*$AS$8+($H$10*H83+$I$10*I83+$J$10*J83+$K$10*K83+$L$10*L83)*$AU$3*$AS$9+($H$10*H83+$I$10*I83+$J$10*J83+$K$10*K83+$L$10*L83)*$AU$4*$AS$10</x:f>
        <x:v>9.36626441799097</x:v>
      </x:c>
      <x:c r="AT83" s="60" t="n">
        <x:f>ROUND(AR83*AS83,0)</x:f>
        <x:v>48614</x:v>
      </x:c>
      <x:c r="AU83" s="60" t="n">
        <x:f>ROUND(AT83*F83,0)</x:f>
        <x:v>243070</x:v>
      </x:c>
      <x:c r="AV83" s="60" t="n">
        <x:f>MIN(MATCH(B83,'主线调参'!$M$11:$M$62,1),ROWS('主线调参'!$M$11:$M$62)-1)</x:f>
        <x:v>25</x:v>
      </x:c>
      <x:c r="AW83" s="62" t="n">
        <x:f>(B83-INDEX('主线调参'!$M$11:$M$62,AV83))/(INDEX('主线调参'!$M$11:$M$62,AV83+1)-INDEX('主线调参'!$M$11:$M$62,AV83))</x:f>
        <x:v>0.14285714285714285</x:v>
      </x:c>
      <x:c r="AX83" s="60" t="n">
        <x:f>IF(AU83=0,0,ROUND(AU83,2-INT(LOG10(ABS(AU83)))))</x:f>
        <x:v>243000</x:v>
      </x:c>
      <x:c r="AY83" s="62" t="n">
        <x:f>AU83/AU82-1</x:f>
        <x:v>0.02507116499736428</x:v>
      </x:c>
    </x:row>
    <x:row r="84" ht="25" customHeight="1">
      <x:c r="A84" s="40" t="n">
        <x:f>'调前玩家曲线'!A84</x:f>
        <x:v>32</x:v>
      </x:c>
      <x:c r="B84" s="40" t="n">
        <x:f>'调前玩家曲线'!B84</x:f>
        <x:v>73</x:v>
      </x:c>
      <x:c r="C84" s="40" t="n">
        <x:f>'调前玩家曲线'!C84</x:f>
        <x:v>6</x:v>
      </x:c>
      <x:c r="D84" s="40" t="n">
        <x:f>'调前玩家曲线'!D84</x:f>
        <x:v>4</x:v>
      </x:c>
      <x:c r="E84" s="40" t="n">
        <x:f>'调前玩家曲线'!E84</x:f>
        <x:v>1</x:v>
      </x:c>
      <x:c r="F84" s="40" t="n">
        <x:f>'调前玩家曲线'!F84</x:f>
        <x:v>5</x:v>
      </x:c>
      <x:c r="G84" s="63" t="n">
        <x:f>IF(B84&lt;$G$8,0,(INDEX('主线调参'!$C$11:$C$62,$AV84)+(INDEX('主线调参'!$C$11:$C$62,$AV84+1)-INDEX('主线调参'!$C$11:$C$62,$AV84))*$AW84)*'参数说明'!$C$27)</x:f>
        <x:v>0.5206788091732387</x:v>
      </x:c>
      <x:c r="H84" s="63" t="n">
        <x:f>IF(B84&lt;$H$8,0,(INDEX('主线调参'!$D$11:$D$62,$AV84)+(INDEX('主线调参'!$D$11:$D$62,$AV84+1)-INDEX('主线调参'!$D$11:$D$62,$AV84))*$AW84)*'参数说明'!$D$27)</x:f>
        <x:v>0.39847472987333715</x:v>
      </x:c>
      <x:c r="I84" s="63" t="n">
        <x:f>IF(B84&lt;$I$8,0,(INDEX('主线调参'!$E$11:$E$62,$AV84)+(INDEX('主线调参'!$E$11:$E$62,$AV84+1)-INDEX('主线调参'!$E$11:$E$62,$AV84))*$AW84)*'参数说明'!$E$27)</x:f>
        <x:v>0.0794820054047839</x:v>
      </x:c>
      <x:c r="J84" s="63" t="n">
        <x:f>IF(B84&lt;$J$8,0,(INDEX('主线调参'!$F$11:$F$62,$AV84)+(INDEX('主线调参'!$F$11:$F$62,$AV84+1)-INDEX('主线调参'!$F$11:$F$62,$AV84))*$AW84)*'参数说明'!$F$27)</x:f>
        <x:v>0.24501200028152875</x:v>
      </x:c>
      <x:c r="K84" s="63" t="n">
        <x:f>IF(B84&lt;$K$8,0,(INDEX('主线调参'!$G$11:$G$62,$AV84)+(INDEX('主线调参'!$G$11:$G$62,$AV84+1)-INDEX('主线调参'!$G$11:$G$62,$AV84))*$AW84)*'参数说明'!$G$27)</x:f>
        <x:v>0</x:v>
      </x:c>
      <x:c r="L84" s="63" t="n">
        <x:f>IF(B84&lt;$L$8,0,(INDEX('主线调参'!$H$11:$H$62,$AV84)+(INDEX('主线调参'!$H$11:$H$62,$AV84+1)-INDEX('主线调参'!$H$11:$H$62,$AV84))*$AW84)*'参数说明'!$H$27)</x:f>
        <x:v>0.36424638462292885</x:v>
      </x:c>
      <x:c r="M84" s="59" t="n">
        <x:f>E84*'模块规划'!$F$10+G84*'模块规划'!$F$11+H84*'模块规划'!$F$13</x:f>
        <x:v>3499.258284031546</x:v>
      </x:c>
      <x:c r="N84" s="59" t="n">
        <x:f>I84*'模块规划'!$F$15+J84*'模块规划'!$F$17+K84*'模块规划'!$F$16+L84*'模块规划'!$F$18</x:f>
        <x:v>4907.207969168203</x:v>
      </x:c>
      <x:c r="O84" s="59" t="n">
        <x:f>1+O$9*SUMPRODUCT($H$10:$L$10,H84:L84)/SUM($H$10:$L$10)</x:f>
        <x:v>1.843598067777979</x:v>
      </x:c>
      <x:c r="P84" s="59" t="n">
        <x:f>M84*O84+N84</x:f>
        <x:v>11358.433780264848</x:v>
      </x:c>
      <x:c r="Q84" s="59" t="n">
        <x:f>P84/(P84+'_曲线基线'!$L$2)</x:f>
        <x:v>0.3212369035023408</x:v>
      </x:c>
      <x:c r="R84" s="59" t="n">
        <x:f>E84*'模块规划'!$E$10+G84*'模块规划'!$E$11+H84*'模块规划'!$E$13</x:f>
        <x:v>5248.8874260473185</x:v>
      </x:c>
      <x:c r="S84" s="59" t="n">
        <x:f>I84*'模块规划'!$E$15+J84*'模块规划'!$E$17+K84*'模块规划'!$E$16+L84*'模块规划'!$E$18</x:f>
        <x:v>7360.811953752304</x:v>
      </x:c>
      <x:c r="T84" s="59" t="n">
        <x:f>1+T$9*SUMPRODUCT($H$10:$L$10,H84:L84)/SUM($H$10:$L$10)</x:f>
        <x:v>1.843598067777979</x:v>
      </x:c>
      <x:c r="U84" s="59" t="n">
        <x:f>R84*T84+S84</x:f>
        <x:v>17037.65067039727</x:v>
      </x:c>
      <x:c r="V84" s="59" t="n">
        <x:f>V$8+(V$9-V$8)*H84</x:f>
        <x:v>0.8195424189620011</x:v>
      </x:c>
      <x:c r="W84" s="59" t="n">
        <x:f>IF(B84&lt;$H$8,0,W$8+(W$9-W$8)*H84)</x:f>
        <x:v>0.15938989194933487</x:v>
      </x:c>
      <x:c r="X84" s="59" t="n">
        <x:f>X$8+(X$9-X$8)*H84</x:f>
        <x:v>0.3845805507151677</x:v>
      </x:c>
      <x:c r="Y84" s="59" t="n">
        <x:f>Y$8+(Y$9-Y$8)*G84</x:f>
        <x:v>1</x:v>
      </x:c>
      <x:c r="Z84" s="59" t="n">
        <x:f>Z$8+(Z$9-Z$8)*H84</x:f>
        <x:v>1</x:v>
      </x:c>
      <x:c r="AA84" s="59" t="n">
        <x:f>AA$8+(AA$9-AA$8)*I84</x:f>
        <x:v>1</x:v>
      </x:c>
      <x:c r="AB84" s="59" t="n">
        <x:f>AB$8+(AB$9-AB$8)*J84</x:f>
        <x:v>1</x:v>
      </x:c>
      <x:c r="AC84" s="59" t="n">
        <x:f>AC$8+(AC$9-AC$8)*MAX(K84,L84)</x:f>
        <x:v>1</x:v>
      </x:c>
      <x:c r="AD84" s="59" t="n">
        <x:f>(V84*AE84+W84*AF84+X84*AG84)*PRODUCT(Y84:AC84)</x:f>
        <x:v>1.4261261295297998</x:v>
      </x:c>
      <x:c r="AE84" s="59" t="n">
        <x:f>1+AE$9*($H$10*H84+$I$10*I84+$J$10*J84+$K$10*K84+$L$10*L84)</x:f>
        <x:v>1</x:v>
      </x:c>
      <x:c r="AF84" s="59" t="n">
        <x:f>1+AF$9*($H$10*H84+$I$10*I84+$J$10*J84+$K$10*K84+$L$10*L84)</x:f>
        <x:v>1.07445521407919</x:v>
      </x:c>
      <x:c r="AG84" s="59" t="n">
        <x:f>1+AG$9*($H$10*H84+$I$10*I84+$J$10*J84+$K$10*K84+$L$10*L84)</x:f>
        <x:v>1.1319511849514545</x:v>
      </x:c>
      <x:c r="AH84" s="59" t="n">
        <x:f>MIN(1,'_曲线基线'!$L$3+AH$9*($H$10*H84+$I$10*I84+$J$10*J84+$K$10*K84+$L$10*L84))</x:f>
        <x:v>0.21938561203015733</x:v>
      </x:c>
      <x:c r="AI84" s="59" t="n">
        <x:f>'_曲线基线'!$L$4+AI$9*($H$10*H84+$I$10*I84+$J$10*J84+$K$10*K84+$L$10*L84)</x:f>
        <x:v>2.471859919226867</x:v>
      </x:c>
      <x:c r="AJ84" s="59" t="n">
        <x:f>1+AJ$9*($H$10*H84+$I$10*I84+$J$10*J84+$K$10*K84+$L$10*L84)</x:f>
        <x:v>1.3871671132117882</x:v>
      </x:c>
      <x:c r="AK84" s="59" t="n">
        <x:f>(1+AH84*(AI84-1))*AJ84</x:f>
        <x:v>1.8350901562084376</x:v>
      </x:c>
      <x:c r="AL84" s="59" t="n">
        <x:f>U84*AD84*AK84*F84</x:f>
        <x:v>222943.62405798992</x:v>
      </x:c>
      <x:c r="AM84" s="59" t="n">
        <x:f>IF($B84&lt;AM$8,0,AM$3+(AM$4-AM$3)*(POWER(AM$5,$B84-AM$8)-1)/(POWER(AM$5,$C$5-AM$8)-1))</x:f>
        <x:v>36.40569312273805</x:v>
      </x:c>
      <x:c r="AN84" s="59" t="n">
        <x:f>(((E84*'模块规划'!$D$10+G84*'模块规划'!$D$11+H84*'模块规划'!$D$13)*(1+'模块规划'!$G$14*H84)+(I84*'模块规划'!$D$15+J84*'模块规划'!$D$17+K84*'模块规划'!$D$16+L84*'模块规划'!$D$18))*(1+'模块规划'!$J$17*J84))*F84/(1-Q84)</x:f>
        <x:v>460469.3878656869</x:v>
      </x:c>
      <x:c r="AO84" s="59" t="n">
        <x:f>AL84*AM84</x:f>
        <x:v>8116417.161126261</x:v>
      </x:c>
      <x:c r="AP84" s="61" t="n">
        <x:f>IF(AO84="","",INDEX('_曲线基线'!$A$3:$A$502,MIN(ROWS('_曲线基线'!$A$3:$A$502),COUNTIF('_曲线基线'!$E$3:$E$502,"&lt;"&amp;AO84)+1)))</x:f>
        <x:v>133</x:v>
      </x:c>
      <x:c r="AQ84" s="61" t="n">
        <x:f>IF(B84&lt;=2,1,IF(B84&lt;=6,2,IF(B84&lt;=9,3,IF(B84&lt;=19,4,5))))</x:f>
        <x:v>5</x:v>
      </x:c>
      <x:c r="AR84" s="59" t="n">
        <x:f>AN84*(1-Q84)/F84*$AS$3+U84*$AS$4+P84*$AS$5</x:f>
        <x:v>5282.827899380026</x:v>
      </x:c>
      <x:c r="AS84" s="59" t="n">
        <x:f>1+AH84*$AS$6+AI84*$AS$7+(AJ84-1)*$AS$8+($H$10*H84+$I$10*I84+$J$10*J84+$K$10*K84+$L$10*L84)*$AU$3*$AS$9+($H$10*H84+$I$10*I84+$J$10*J84+$K$10*K84+$L$10*L84)*$AU$4*$AS$10</x:f>
        <x:v>9.430363640968602</x:v>
      </x:c>
      <x:c r="AT84" s="60" t="n">
        <x:f>ROUND(AR84*AS84,0)</x:f>
        <x:v>49819</x:v>
      </x:c>
      <x:c r="AU84" s="60" t="n">
        <x:f>ROUND(AT84*F84,0)</x:f>
        <x:v>249095</x:v>
      </x:c>
      <x:c r="AV84" s="60" t="n">
        <x:f>MIN(MATCH(B84,'主线调参'!$M$11:$M$62,1),ROWS('主线调参'!$M$11:$M$62)-1)</x:f>
        <x:v>25</x:v>
      </x:c>
      <x:c r="AW84" s="62" t="n">
        <x:f>(B84-INDEX('主线调参'!$M$11:$M$62,AV84))/(INDEX('主线调参'!$M$11:$M$62,AV84+1)-INDEX('主线调参'!$M$11:$M$62,AV84))</x:f>
        <x:v>0.21428571428571427</x:v>
      </x:c>
      <x:c r="AX84" s="60" t="n">
        <x:f>IF(AU84=0,0,ROUND(AU84,2-INT(LOG10(ABS(AU84)))))</x:f>
        <x:v>249000</x:v>
      </x:c>
      <x:c r="AY84" s="62" t="n">
        <x:f>AU84/AU83-1</x:f>
        <x:v>0.024787098366725546</x:v>
      </x:c>
    </x:row>
    <x:row r="85" ht="25" customHeight="1">
      <x:c r="A85" s="40" t="n">
        <x:f>'调前玩家曲线'!A85</x:f>
        <x:v>32</x:v>
      </x:c>
      <x:c r="B85" s="40" t="n">
        <x:f>'调前玩家曲线'!B85</x:f>
        <x:v>74</x:v>
      </x:c>
      <x:c r="C85" s="40" t="n">
        <x:f>'调前玩家曲线'!C85</x:f>
        <x:v>6</x:v>
      </x:c>
      <x:c r="D85" s="40" t="n">
        <x:f>'调前玩家曲线'!D85</x:f>
        <x:v>5</x:v>
      </x:c>
      <x:c r="E85" s="40" t="n">
        <x:f>'调前玩家曲线'!E85</x:f>
        <x:v>1</x:v>
      </x:c>
      <x:c r="F85" s="40" t="n">
        <x:f>'调前玩家曲线'!F85</x:f>
        <x:v>5</x:v>
      </x:c>
      <x:c r="G85" s="63" t="n">
        <x:f>IF(B85&lt;$G$8,0,(INDEX('主线调参'!$C$11:$C$62,$AV85)+(INDEX('主线调参'!$C$11:$C$62,$AV85+1)-INDEX('主线调参'!$C$11:$C$62,$AV85))*$AW85)*'参数说明'!$C$27)</x:f>
        <x:v>0.5239687452431048</x:v>
      </x:c>
      <x:c r="H85" s="63" t="n">
        <x:f>IF(B85&lt;$H$8,0,(INDEX('主线调参'!$D$11:$D$62,$AV85)+(INDEX('主线调参'!$D$11:$D$62,$AV85+1)-INDEX('主线调参'!$D$11:$D$62,$AV85))*$AW85)*'参数说明'!$D$27)</x:f>
        <x:v>0.4014691835452587</x:v>
      </x:c>
      <x:c r="I85" s="63" t="n">
        <x:f>IF(B85&lt;$I$8,0,(INDEX('主线调参'!$E$11:$E$62,$AV85)+(INDEX('主线调参'!$E$11:$E$62,$AV85+1)-INDEX('主线调参'!$E$11:$E$62,$AV85))*$AW85)*'参数说明'!$E$27)</x:f>
        <x:v>0.08718125184203546</x:v>
      </x:c>
      <x:c r="J85" s="63" t="n">
        <x:f>IF(B85&lt;$J$8,0,(INDEX('主线调参'!$F$11:$F$62,$AV85)+(INDEX('主线调参'!$F$11:$F$62,$AV85+1)-INDEX('主线调参'!$F$11:$F$62,$AV85))*$AW85)*'参数说明'!$F$27)</x:f>
        <x:v>0.24888009714837778</x:v>
      </x:c>
      <x:c r="K85" s="63" t="n">
        <x:f>IF(B85&lt;$K$8,0,(INDEX('主线调参'!$G$11:$G$62,$AV85)+(INDEX('主线调参'!$G$11:$G$62,$AV85+1)-INDEX('主线调参'!$G$11:$G$62,$AV85))*$AW85)*'参数说明'!$G$27)</x:f>
        <x:v>0</x:v>
      </x:c>
      <x:c r="L85" s="63" t="n">
        <x:f>IF(B85&lt;$L$8,0,(INDEX('主线调参'!$H$11:$H$62,$AV85)+(INDEX('主线调参'!$H$11:$H$62,$AV85+1)-INDEX('主线调参'!$H$11:$H$62,$AV85))*$AW85)*'参数说明'!$H$27)</x:f>
        <x:v>0.3678314500117158</x:v>
      </x:c>
      <x:c r="M85" s="59" t="n">
        <x:f>E85*'模块规划'!$F$10+G85*'模块规划'!$F$11+H85*'模块规划'!$F$13</x:f>
        <x:v>3515.049977166903</x:v>
      </x:c>
      <x:c r="N85" s="59" t="n">
        <x:f>I85*'模块规划'!$F$15+J85*'模块规划'!$F$17+K85*'模块规划'!$F$16+L85*'模块规划'!$F$18</x:f>
        <x:v>5025.40823627864</x:v>
      </x:c>
      <x:c r="O85" s="59" t="n">
        <x:f>1+O$9*SUMPRODUCT($H$10:$L$10,H85:L85)/SUM($H$10:$L$10)</x:f>
        <x:v>1.8557528464801925</x:v>
      </x:c>
      <x:c r="P85" s="59" t="n">
        <x:f>M85*O85+N85</x:f>
        <x:v>11548.472236926256</x:v>
      </x:c>
      <x:c r="Q85" s="59" t="n">
        <x:f>P85/(P85+'_曲线基线'!$L$2)</x:f>
        <x:v>0.3248655008281956</x:v>
      </x:c>
      <x:c r="R85" s="59" t="n">
        <x:f>E85*'模块规划'!$E$10+G85*'模块规划'!$E$11+H85*'模块规划'!$E$13</x:f>
        <x:v>5272.574965750355</x:v>
      </x:c>
      <x:c r="S85" s="59" t="n">
        <x:f>I85*'模块规划'!$E$15+J85*'模块规划'!$E$17+K85*'模块规划'!$E$16+L85*'模块规划'!$E$18</x:f>
        <x:v>7538.112354417961</x:v>
      </x:c>
      <x:c r="T85" s="59" t="n">
        <x:f>1+T$9*SUMPRODUCT($H$10:$L$10,H85:L85)/SUM($H$10:$L$10)</x:f>
        <x:v>1.8557528464801925</x:v>
      </x:c>
      <x:c r="U85" s="59" t="n">
        <x:f>R85*T85+S85</x:f>
        <x:v>17322.708355389383</x:v>
      </x:c>
      <x:c r="V85" s="59" t="n">
        <x:f>V$8+(V$9-V$8)*H85</x:f>
        <x:v>0.8204407550635776</x:v>
      </x:c>
      <x:c r="W85" s="59" t="n">
        <x:f>IF(B85&lt;$H$8,0,W$8+(W$9-W$8)*H85)</x:f>
        <x:v>0.16058767341810348</x:v>
      </x:c>
      <x:c r="X85" s="59" t="n">
        <x:f>X$8+(X$9-X$8)*H85</x:f>
        <x:v>0.3854040254749462</x:v>
      </x:c>
      <x:c r="Y85" s="59" t="n">
        <x:f>Y$8+(Y$9-Y$8)*G85</x:f>
        <x:v>1</x:v>
      </x:c>
      <x:c r="Z85" s="59" t="n">
        <x:f>Z$8+(Z$9-Z$8)*H85</x:f>
        <x:v>1</x:v>
      </x:c>
      <x:c r="AA85" s="59" t="n">
        <x:f>AA$8+(AA$9-AA$8)*I85</x:f>
        <x:v>1</x:v>
      </x:c>
      <x:c r="AB85" s="59" t="n">
        <x:f>AB$8+(AB$9-AB$8)*J85</x:f>
        <x:v>1</x:v>
      </x:c>
      <x:c r="AC85" s="59" t="n">
        <x:f>AC$8+(AC$9-AC$8)*MAX(K85,L85)</x:f>
        <x:v>1</x:v>
      </x:c>
      <x:c r="AD85" s="59" t="n">
        <x:f>(V85*AE85+W85*AF85+X85*AG85)*PRODUCT(Y85:AC85)</x:f>
        <x:v>1.430148560054278</x:v>
      </x:c>
      <x:c r="AE85" s="59" t="n">
        <x:f>1+AE$9*($H$10*H85+$I$10*I85+$J$10*J85+$K$10*K85+$L$10*L85)</x:f>
        <x:v>1</x:v>
      </x:c>
      <x:c r="AF85" s="59" t="n">
        <x:f>1+AF$9*($H$10*H85+$I$10*I85+$J$10*J85+$K$10*K85+$L$10*L85)</x:f>
        <x:v>1.0755279840213288</x:v>
      </x:c>
      <x:c r="AG85" s="59" t="n">
        <x:f>1+AG$9*($H$10*H85+$I$10*I85+$J$10*J85+$K$10*K85+$L$10*L85)</x:f>
        <x:v>1.1338523716822448</x:v>
      </x:c>
      <x:c r="AH85" s="59" t="n">
        <x:f>MIN(1,'_曲线基线'!$L$3+AH$9*($H$10*H85+$I$10*I85+$J$10*J85+$K$10*K85+$L$10*L85))</x:f>
        <x:v>0.2218261636485228</x:v>
      </x:c>
      <x:c r="AI85" s="59" t="n">
        <x:f>'_曲线基线'!$L$4+AI$9*($H$10*H85+$I$10*I85+$J$10*J85+$K$10*K85+$L$10*L85)</x:f>
        <x:v>2.4786585987351706</x:v>
      </x:c>
      <x:c r="AJ85" s="59" t="n">
        <x:f>1+AJ$9*($H$10*H85+$I$10*I85+$J$10*J85+$K$10*K85+$L$10*L85)</x:f>
        <x:v>1.3927455169109093</x:v>
      </x:c>
      <x:c r="AK85" s="59" t="n">
        <x:f>(1+AH85*(AI85-1))*AJ85</x:f>
        <x:v>1.8495732390179893</x:v>
      </x:c>
      <x:c r="AL85" s="59" t="n">
        <x:f>U85*AD85*AK85*F85</x:f>
        <x:v>229107.06631710505</x:v>
      </x:c>
      <x:c r="AM85" s="59" t="n">
        <x:f>IF($B85&lt;AM$8,0,AM$3+(AM$4-AM$3)*(POWER(AM$5,$B85-AM$8)-1)/(POWER(AM$5,$C$5-AM$8)-1))</x:f>
        <x:v>36.4331746938873</x:v>
      </x:c>
      <x:c r="AN85" s="59" t="n">
        <x:f>(((E85*'模块规划'!$D$10+G85*'模块规划'!$D$11+H85*'模块规划'!$D$13)*(1+'模块规划'!$G$14*H85)+(I85*'模块规划'!$D$15+J85*'模块规划'!$D$17+K85*'模块规划'!$D$16+L85*'模块规划'!$D$18))*(1+'模块规划'!$J$17*J85))*F85/(1-Q85)</x:f>
        <x:v>471776.2556390656</x:v>
      </x:c>
      <x:c r="AO85" s="59" t="n">
        <x:f>AL85*AM85</x:f>
        <x:v>8347097.770735112</x:v>
      </x:c>
      <x:c r="AP85" s="61" t="n">
        <x:f>IF(AO85="","",INDEX('_曲线基线'!$A$3:$A$502,MIN(ROWS('_曲线基线'!$A$3:$A$502),COUNTIF('_曲线基线'!$E$3:$E$502,"&lt;"&amp;AO85)+1)))</x:f>
        <x:v>135</x:v>
      </x:c>
      <x:c r="AQ85" s="61" t="n">
        <x:f>IF(B85&lt;=2,1,IF(B85&lt;=6,2,IF(B85&lt;=9,3,IF(B85&lt;=19,4,5))))</x:f>
        <x:v>5</x:v>
      </x:c>
      <x:c r="AR85" s="59" t="n">
        <x:f>AN85*(1-Q85)/F85*$AS$3+U85*$AS$4+P85*$AS$5</x:f>
        <x:v>5375.616227510055</x:v>
      </x:c>
      <x:c r="AS85" s="59" t="n">
        <x:f>1+AH85*$AS$6+AI85*$AS$7+(AJ85-1)*$AS$8+($H$10*H85+$I$10*I85+$J$10*J85+$K$10*K85+$L$10*L85)*$AU$3*$AS$9+($H$10*H85+$I$10*I85+$J$10*J85+$K$10*K85+$L$10*L85)*$AU$4*$AS$10</x:f>
        <x:v>9.494462863946234</x:v>
      </x:c>
      <x:c r="AT85" s="60" t="n">
        <x:f>ROUND(AR85*AS85,0)</x:f>
        <x:v>51039</x:v>
      </x:c>
      <x:c r="AU85" s="60" t="n">
        <x:f>ROUND(AT85*F85,0)</x:f>
        <x:v>255195</x:v>
      </x:c>
      <x:c r="AV85" s="60" t="n">
        <x:f>MIN(MATCH(B85,'主线调参'!$M$11:$M$62,1),ROWS('主线调参'!$M$11:$M$62)-1)</x:f>
        <x:v>25</x:v>
      </x:c>
      <x:c r="AW85" s="62" t="n">
        <x:f>(B85-INDEX('主线调参'!$M$11:$M$62,AV85))/(INDEX('主线调参'!$M$11:$M$62,AV85+1)-INDEX('主线调参'!$M$11:$M$62,AV85))</x:f>
        <x:v>0.2857142857142857</x:v>
      </x:c>
      <x:c r="AX85" s="60" t="n">
        <x:f>IF(AU85=0,0,ROUND(AU85,2-INT(LOG10(ABS(AU85)))))</x:f>
        <x:v>255000</x:v>
      </x:c>
      <x:c r="AY85" s="62" t="n">
        <x:f>AU85/AU84-1</x:f>
        <x:v>0.02448864890905078</x:v>
      </x:c>
    </x:row>
    <x:row r="86" ht="25" customHeight="1">
      <x:c r="A86" s="40" t="n">
        <x:f>'调前玩家曲线'!A86</x:f>
        <x:v>33</x:v>
      </x:c>
      <x:c r="B86" s="40" t="n">
        <x:f>'调前玩家曲线'!B86</x:f>
        <x:v>75</x:v>
      </x:c>
      <x:c r="C86" s="40" t="n">
        <x:f>'调前玩家曲线'!C86</x:f>
        <x:v>6</x:v>
      </x:c>
      <x:c r="D86" s="40" t="n">
        <x:f>'调前玩家曲线'!D86</x:f>
        <x:v>6</x:v>
      </x:c>
      <x:c r="E86" s="40" t="n">
        <x:f>'调前玩家曲线'!E86</x:f>
        <x:v>1</x:v>
      </x:c>
      <x:c r="F86" s="40" t="n">
        <x:f>'调前玩家曲线'!F86</x:f>
        <x:v>5</x:v>
      </x:c>
      <x:c r="G86" s="63" t="n">
        <x:f>IF(B86&lt;$G$8,0,(INDEX('主线调参'!$C$11:$C$62,$AV86)+(INDEX('主线调参'!$C$11:$C$62,$AV86+1)-INDEX('主线调参'!$C$11:$C$62,$AV86))*$AW86)*'参数说明'!$C$27)</x:f>
        <x:v>0.5272586813129708</x:v>
      </x:c>
      <x:c r="H86" s="63" t="n">
        <x:f>IF(B86&lt;$H$8,0,(INDEX('主线调参'!$D$11:$D$62,$AV86)+(INDEX('主线调参'!$D$11:$D$62,$AV86+1)-INDEX('主线调参'!$D$11:$D$62,$AV86))*$AW86)*'参数说明'!$D$27)</x:f>
        <x:v>0.40446363721718026</x:v>
      </x:c>
      <x:c r="I86" s="63" t="n">
        <x:f>IF(B86&lt;$I$8,0,(INDEX('主线调参'!$E$11:$E$62,$AV86)+(INDEX('主线调参'!$E$11:$E$62,$AV86+1)-INDEX('主线调参'!$E$11:$E$62,$AV86))*$AW86)*'参数说明'!$E$27)</x:f>
        <x:v>0.094880498279287</x:v>
      </x:c>
      <x:c r="J86" s="63" t="n">
        <x:f>IF(B86&lt;$J$8,0,(INDEX('主线调参'!$F$11:$F$62,$AV86)+(INDEX('主线调参'!$F$11:$F$62,$AV86+1)-INDEX('主线调参'!$F$11:$F$62,$AV86))*$AW86)*'参数说明'!$F$27)</x:f>
        <x:v>0.25274819401522675</x:v>
      </x:c>
      <x:c r="K86" s="63" t="n">
        <x:f>IF(B86&lt;$K$8,0,(INDEX('主线调参'!$G$11:$G$62,$AV86)+(INDEX('主线调参'!$G$11:$G$62,$AV86+1)-INDEX('主线调参'!$G$11:$G$62,$AV86))*$AW86)*'参数说明'!$G$27)</x:f>
        <x:v>0</x:v>
      </x:c>
      <x:c r="L86" s="63" t="n">
        <x:f>IF(B86&lt;$L$8,0,(INDEX('主线调参'!$H$11:$H$62,$AV86)+(INDEX('主线调参'!$H$11:$H$62,$AV86+1)-INDEX('主线调参'!$H$11:$H$62,$AV86))*$AW86)*'参数说明'!$H$27)</x:f>
        <x:v>0.3714165154005027</x:v>
      </x:c>
      <x:c r="M86" s="59" t="n">
        <x:f>E86*'模块规划'!$F$10+G86*'模块规划'!$F$11+H86*'模块规划'!$F$13</x:f>
        <x:v>3530.84167030226</x:v>
      </x:c>
      <x:c r="N86" s="59" t="n">
        <x:f>I86*'模块规划'!$F$15+J86*'模块规划'!$F$17+K86*'模块规划'!$F$16+L86*'模块规划'!$F$18</x:f>
        <x:v>5143.608503389077</x:v>
      </x:c>
      <x:c r="O86" s="59" t="n">
        <x:f>1+O$9*SUMPRODUCT($H$10:$L$10,H86:L86)/SUM($H$10:$L$10)</x:f>
        <x:v>1.8679076251824056</x:v>
      </x:c>
      <x:c r="P86" s="59" t="n">
        <x:f>M86*O86+N86</x:f>
        <x:v>11738.89458265845</x:v>
      </x:c>
      <x:c r="Q86" s="59" t="n">
        <x:f>P86/(P86+'_曲线基线'!$L$2)</x:f>
        <x:v>0.3284627216297423</x:v>
      </x:c>
      <x:c r="R86" s="59" t="n">
        <x:f>E86*'模块规划'!$E$10+G86*'模块规划'!$E$11+H86*'模块规划'!$E$13</x:f>
        <x:v>5296.26250545339</x:v>
      </x:c>
      <x:c r="S86" s="59" t="n">
        <x:f>I86*'模块规划'!$E$15+J86*'模块规划'!$E$17+K86*'模块规划'!$E$16+L86*'模块规划'!$E$18</x:f>
        <x:v>7715.412755083615</x:v>
      </x:c>
      <x:c r="T86" s="59" t="n">
        <x:f>1+T$9*SUMPRODUCT($H$10:$L$10,H86:L86)/SUM($H$10:$L$10)</x:f>
        <x:v>1.8679076251824056</x:v>
      </x:c>
      <x:c r="U86" s="59" t="n">
        <x:f>R86*T86+S86</x:f>
        <x:v>17608.341873987672</x:v>
      </x:c>
      <x:c r="V86" s="59" t="n">
        <x:f>V$8+(V$9-V$8)*H86</x:f>
        <x:v>0.821339091165154</x:v>
      </x:c>
      <x:c r="W86" s="59" t="n">
        <x:f>IF(B86&lt;$H$8,0,W$8+(W$9-W$8)*H86)</x:f>
        <x:v>0.16178545488687213</x:v>
      </x:c>
      <x:c r="X86" s="59" t="n">
        <x:f>X$8+(X$9-X$8)*H86</x:f>
        <x:v>0.38622750023472463</x:v>
      </x:c>
      <x:c r="Y86" s="59" t="n">
        <x:f>Y$8+(Y$9-Y$8)*G86</x:f>
        <x:v>1</x:v>
      </x:c>
      <x:c r="Z86" s="59" t="n">
        <x:f>Z$8+(Z$9-Z$8)*H86</x:f>
        <x:v>1</x:v>
      </x:c>
      <x:c r="AA86" s="59" t="n">
        <x:f>AA$8+(AA$9-AA$8)*I86</x:f>
        <x:v>1</x:v>
      </x:c>
      <x:c r="AB86" s="59" t="n">
        <x:f>AB$8+(AB$9-AB$8)*J86</x:f>
        <x:v>1</x:v>
      </x:c>
      <x:c r="AC86" s="59" t="n">
        <x:f>AC$8+(AC$9-AC$8)*MAX(K86,L86)</x:f>
        <x:v>1</x:v>
      </x:c>
      <x:c r="AD86" s="59" t="n">
        <x:f>(V86*AE86+W86*AF86+X86*AG86)*PRODUCT(Y86:AC86)</x:f>
        <x:v>1.434176691625243</x:v>
      </x:c>
      <x:c r="AE86" s="59" t="n">
        <x:f>1+AE$9*($H$10*H86+$I$10*I86+$J$10*J86+$K$10*K86+$L$10*L86)</x:f>
        <x:v>1</x:v>
      </x:c>
      <x:c r="AF86" s="59" t="n">
        <x:f>1+AF$9*($H$10*H86+$I$10*I86+$J$10*J86+$K$10*K86+$L$10*L86)</x:f>
        <x:v>1.0766007539634674</x:v>
      </x:c>
      <x:c r="AG86" s="59" t="n">
        <x:f>1+AG$9*($H$10*H86+$I$10*I86+$J$10*J86+$K$10*K86+$L$10*L86)</x:f>
        <x:v>1.135753558413035</x:v>
      </x:c>
      <x:c r="AH86" s="59" t="n">
        <x:f>MIN(1,'_曲线基线'!$L$3+AH$9*($H$10*H86+$I$10*I86+$J$10*J86+$K$10*K86+$L$10*L86))</x:f>
        <x:v>0.22426671526688824</x:v>
      </x:c>
      <x:c r="AI86" s="59" t="n">
        <x:f>'_曲线基线'!$L$4+AI$9*($H$10*H86+$I$10*I86+$J$10*J86+$K$10*K86+$L$10*L86)</x:f>
        <x:v>2.4854572782434743</x:v>
      </x:c>
      <x:c r="AJ86" s="59" t="n">
        <x:f>1+AJ$9*($H$10*H86+$I$10*I86+$J$10*J86+$K$10*K86+$L$10*L86)</x:f>
        <x:v>1.3983239206100304</x:v>
      </x:c>
      <x:c r="AK86" s="59" t="n">
        <x:f>(1+AH86*(AI86-1))*AJ86</x:f>
        <x:v>1.864159628072907</x:v>
      </x:c>
      <x:c r="AL86" s="59" t="n">
        <x:f>U86*AD86*AK86*F86</x:f>
        <x:v>235382.52877914638</x:v>
      </x:c>
      <x:c r="AM86" s="59" t="n">
        <x:f>IF($B86&lt;AM$8,0,AM$3+(AM$4-AM$3)*(POWER(AM$5,$B86-AM$8)-1)/(POWER(AM$5,$C$5-AM$8)-1))</x:f>
        <x:v>36.46093108074804</x:v>
      </x:c>
      <x:c r="AN86" s="59" t="n">
        <x:f>(((E86*'模块规划'!$D$10+G86*'模块规划'!$D$11+H86*'模块规划'!$D$13)*(1+'模块规划'!$G$14*H86)+(I86*'模块规划'!$D$15+J86*'模块规划'!$D$17+K86*'模块规划'!$D$16+L86*'模块规划'!$D$18))*(1+'模块规划'!$J$17*J86))*F86/(1-Q86)</x:f>
        <x:v>483238.4127636239</x:v>
      </x:c>
      <x:c r="AO86" s="59" t="n">
        <x:f>AL86*AM86</x:f>
        <x:v>8582266.159428649</x:v>
      </x:c>
      <x:c r="AP86" s="61" t="n">
        <x:f>IF(AO86="","",INDEX('_曲线基线'!$A$3:$A$502,MIN(ROWS('_曲线基线'!$A$3:$A$502),COUNTIF('_曲线基线'!$E$3:$E$502,"&lt;"&amp;AO86)+1)))</x:f>
        <x:v>136</x:v>
      </x:c>
      <x:c r="AQ86" s="61" t="n">
        <x:f>IF(B86&lt;=2,1,IF(B86&lt;=6,2,IF(B86&lt;=9,3,IF(B86&lt;=19,4,5))))</x:f>
        <x:v>5</x:v>
      </x:c>
      <x:c r="AR86" s="59" t="n">
        <x:f>AN86*(1-Q86)/F86*$AS$3+U86*$AS$4+P86*$AS$5</x:f>
        <x:v>5468.744025865018</x:v>
      </x:c>
      <x:c r="AS86" s="59" t="n">
        <x:f>1+AH86*$AS$6+AI86*$AS$7+(AJ86-1)*$AS$8+($H$10*H86+$I$10*I86+$J$10*J86+$K$10*K86+$L$10*L86)*$AU$3*$AS$9+($H$10*H86+$I$10*I86+$J$10*J86+$K$10*K86+$L$10*L86)*$AU$4*$AS$10</x:f>
        <x:v>9.558562086923866</x:v>
      </x:c>
      <x:c r="AT86" s="60" t="n">
        <x:f>ROUND(AR86*AS86,0)</x:f>
        <x:v>52273</x:v>
      </x:c>
      <x:c r="AU86" s="60" t="n">
        <x:f>ROUND(AT86*F86,0)</x:f>
        <x:v>261365</x:v>
      </x:c>
      <x:c r="AV86" s="60" t="n">
        <x:f>MIN(MATCH(B86,'主线调参'!$M$11:$M$62,1),ROWS('主线调参'!$M$11:$M$62)-1)</x:f>
        <x:v>25</x:v>
      </x:c>
      <x:c r="AW86" s="62" t="n">
        <x:f>(B86-INDEX('主线调参'!$M$11:$M$62,AV86))/(INDEX('主线调参'!$M$11:$M$62,AV86+1)-INDEX('主线调参'!$M$11:$M$62,AV86))</x:f>
        <x:v>0.35714285714285715</x:v>
      </x:c>
      <x:c r="AX86" s="60" t="n">
        <x:f>IF(AU86=0,0,ROUND(AU86,2-INT(LOG10(ABS(AU86)))))</x:f>
        <x:v>261000</x:v>
      </x:c>
      <x:c r="AY86" s="62" t="n">
        <x:f>AU86/AU85-1</x:f>
        <x:v>0.024177589686318335</x:v>
      </x:c>
    </x:row>
    <x:row r="87" ht="25" customHeight="1">
      <x:c r="A87" s="40" t="n">
        <x:f>'调前玩家曲线'!A87</x:f>
        <x:v>33</x:v>
      </x:c>
      <x:c r="B87" s="40" t="n">
        <x:f>'调前玩家曲线'!B87</x:f>
        <x:v>76</x:v>
      </x:c>
      <x:c r="C87" s="40" t="n">
        <x:f>'调前玩家曲线'!C87</x:f>
        <x:v>6</x:v>
      </x:c>
      <x:c r="D87" s="40" t="n">
        <x:f>'调前玩家曲线'!D87</x:f>
        <x:v>7</x:v>
      </x:c>
      <x:c r="E87" s="40" t="n">
        <x:f>'调前玩家曲线'!E87</x:f>
        <x:v>1</x:v>
      </x:c>
      <x:c r="F87" s="40" t="n">
        <x:f>'调前玩家曲线'!F87</x:f>
        <x:v>5</x:v>
      </x:c>
      <x:c r="G87" s="63" t="n">
        <x:f>IF(B87&lt;$G$8,0,(INDEX('主线调参'!$C$11:$C$62,$AV87)+(INDEX('主线调参'!$C$11:$C$62,$AV87+1)-INDEX('主线调参'!$C$11:$C$62,$AV87))*$AW87)*'参数说明'!$C$27)</x:f>
        <x:v>0.5305486173828368</x:v>
      </x:c>
      <x:c r="H87" s="63" t="n">
        <x:f>IF(B87&lt;$H$8,0,(INDEX('主线调参'!$D$11:$D$62,$AV87)+(INDEX('主线调参'!$D$11:$D$62,$AV87+1)-INDEX('主线调参'!$D$11:$D$62,$AV87))*$AW87)*'参数说明'!$D$27)</x:f>
        <x:v>0.4074580908891018</x:v>
      </x:c>
      <x:c r="I87" s="63" t="n">
        <x:f>IF(B87&lt;$I$8,0,(INDEX('主线调参'!$E$11:$E$62,$AV87)+(INDEX('主线调参'!$E$11:$E$62,$AV87+1)-INDEX('主线调参'!$E$11:$E$62,$AV87))*$AW87)*'参数说明'!$E$27)</x:f>
        <x:v>0.10257974471653858</x:v>
      </x:c>
      <x:c r="J87" s="63" t="n">
        <x:f>IF(B87&lt;$J$8,0,(INDEX('主线调参'!$F$11:$F$62,$AV87)+(INDEX('主线调参'!$F$11:$F$62,$AV87+1)-INDEX('主线调参'!$F$11:$F$62,$AV87))*$AW87)*'参数说明'!$F$27)</x:f>
        <x:v>0.2566162908820757</x:v>
      </x:c>
      <x:c r="K87" s="63" t="n">
        <x:f>IF(B87&lt;$K$8,0,(INDEX('主线调参'!$G$11:$G$62,$AV87)+(INDEX('主线调参'!$G$11:$G$62,$AV87+1)-INDEX('主线调参'!$G$11:$G$62,$AV87))*$AW87)*'参数说明'!$G$27)</x:f>
        <x:v>0</x:v>
      </x:c>
      <x:c r="L87" s="63" t="n">
        <x:f>IF(B87&lt;$L$8,0,(INDEX('主线调参'!$H$11:$H$62,$AV87)+(INDEX('主线调参'!$H$11:$H$62,$AV87+1)-INDEX('主线调参'!$H$11:$H$62,$AV87))*$AW87)*'参数说明'!$H$27)</x:f>
        <x:v>0.37500158078928963</x:v>
      </x:c>
      <x:c r="M87" s="59" t="n">
        <x:f>E87*'模块规划'!$F$10+G87*'模块规划'!$F$11+H87*'模块规划'!$F$13</x:f>
        <x:v>3546.6333634376165</x:v>
      </x:c>
      <x:c r="N87" s="59" t="n">
        <x:f>I87*'模块规划'!$F$15+J87*'模块规划'!$F$17+K87*'模块规划'!$F$16+L87*'模块规划'!$F$18</x:f>
        <x:v>5261.808770499514</x:v>
      </x:c>
      <x:c r="O87" s="59" t="n">
        <x:f>1+O$9*SUMPRODUCT($H$10:$L$10,H87:L87)/SUM($H$10:$L$10)</x:f>
        <x:v>1.880062403884619</x:v>
      </x:c>
      <x:c r="P87" s="59" t="n">
        <x:f>M87*O87+N87</x:f>
        <x:v>11929.700817461431</x:v>
      </x:c>
      <x:c r="Q87" s="59" t="n">
        <x:f>P87/(P87+'_曲线基线'!$L$2)</x:f>
        <x:v>0.3320289494774677</x:v>
      </x:c>
      <x:c r="R87" s="59" t="n">
        <x:f>E87*'模块规划'!$E$10+G87*'模块规划'!$E$11+H87*'模块规划'!$E$13</x:f>
        <x:v>5319.9500451564245</x:v>
      </x:c>
      <x:c r="S87" s="59" t="n">
        <x:f>I87*'模块规划'!$E$15+J87*'模块规划'!$E$17+K87*'模块规划'!$E$16+L87*'模块规划'!$E$18</x:f>
        <x:v>7892.71315574927</x:v>
      </x:c>
      <x:c r="T87" s="59" t="n">
        <x:f>1+T$9*SUMPRODUCT($H$10:$L$10,H87:L87)/SUM($H$10:$L$10)</x:f>
        <x:v>1.880062403884619</x:v>
      </x:c>
      <x:c r="U87" s="59" t="n">
        <x:f>R87*T87+S87</x:f>
        <x:v>17894.551226192147</x:v>
      </x:c>
      <x:c r="V87" s="59" t="n">
        <x:f>V$8+(V$9-V$8)*H87</x:f>
        <x:v>0.8222374272667305</x:v>
      </x:c>
      <x:c r="W87" s="59" t="n">
        <x:f>IF(B87&lt;$H$8,0,W$8+(W$9-W$8)*H87)</x:f>
        <x:v>0.16298323635564071</x:v>
      </x:c>
      <x:c r="X87" s="59" t="n">
        <x:f>X$8+(X$9-X$8)*H87</x:f>
        <x:v>0.387050974994503</x:v>
      </x:c>
      <x:c r="Y87" s="59" t="n">
        <x:f>Y$8+(Y$9-Y$8)*G87</x:f>
        <x:v>1</x:v>
      </x:c>
      <x:c r="Z87" s="59" t="n">
        <x:f>Z$8+(Z$9-Z$8)*H87</x:f>
        <x:v>1</x:v>
      </x:c>
      <x:c r="AA87" s="59" t="n">
        <x:f>AA$8+(AA$9-AA$8)*I87</x:f>
        <x:v>1</x:v>
      </x:c>
      <x:c r="AB87" s="59" t="n">
        <x:f>AB$8+(AB$9-AB$8)*J87</x:f>
        <x:v>1</x:v>
      </x:c>
      <x:c r="AC87" s="59" t="n">
        <x:f>AC$8+(AC$9-AC$8)*MAX(K87,L87)</x:f>
        <x:v>1</x:v>
      </x:c>
      <x:c r="AD87" s="59" t="n">
        <x:f>(V87*AE87+W87*AF87+X87*AG87)*PRODUCT(Y87:AC87)</x:f>
        <x:v>1.4382105242426946</x:v>
      </x:c>
      <x:c r="AE87" s="59" t="n">
        <x:f>1+AE$9*($H$10*H87+$I$10*I87+$J$10*J87+$K$10*K87+$L$10*L87)</x:f>
        <x:v>1</x:v>
      </x:c>
      <x:c r="AF87" s="59" t="n">
        <x:f>1+AF$9*($H$10*H87+$I$10*I87+$J$10*J87+$K$10*K87+$L$10*L87)</x:f>
        <x:v>1.0776735239056061</x:v>
      </x:c>
      <x:c r="AG87" s="59" t="n">
        <x:f>1+AG$9*($H$10*H87+$I$10*I87+$J$10*J87+$K$10*K87+$L$10*L87)</x:f>
        <x:v>1.1376547451438253</x:v>
      </x:c>
      <x:c r="AH87" s="59" t="n">
        <x:f>MIN(1,'_曲线基线'!$L$3+AH$9*($H$10*H87+$I$10*I87+$J$10*J87+$K$10*K87+$L$10*L87))</x:f>
        <x:v>0.22670726688525372</x:v>
      </x:c>
      <x:c r="AI87" s="59" t="n">
        <x:f>'_曲线基线'!$L$4+AI$9*($H$10*H87+$I$10*I87+$J$10*J87+$K$10*K87+$L$10*L87)</x:f>
        <x:v>2.492255957751778</x:v>
      </x:c>
      <x:c r="AJ87" s="59" t="n">
        <x:f>1+AJ$9*($H$10*H87+$I$10*I87+$J$10*J87+$K$10*K87+$L$10*L87)</x:f>
        <x:v>1.4039023243091513</x:v>
      </x:c>
      <x:c r="AK87" s="59" t="n">
        <x:f>(1+AH87*(AI87-1))*AJ87</x:f>
        <x:v>1.8788498787321177</x:v>
      </x:c>
      <x:c r="AL87" s="59" t="n">
        <x:f>U87*AD87*AK87*F87</x:f>
        <x:v>241771.6414977732</x:v>
      </x:c>
      <x:c r="AM87" s="59" t="n">
        <x:f>IF($B87&lt;AM$8,0,AM$3+(AM$4-AM$3)*(POWER(AM$5,$B87-AM$8)-1)/(POWER(AM$5,$C$5-AM$8)-1))</x:f>
        <x:v>36.48896503147739</x:v>
      </x:c>
      <x:c r="AN87" s="59" t="n">
        <x:f>(((E87*'模块规划'!$D$10+G87*'模块规划'!$D$11+H87*'模块规划'!$D$13)*(1+'模块规划'!$G$14*H87)+(I87*'模块规划'!$D$15+J87*'模块规划'!$D$17+K87*'模块规划'!$D$16+L87*'模块规划'!$D$18))*(1+'模块规划'!$J$17*J87))*F87/(1-Q87)</x:f>
        <x:v>494857.0813675398</x:v>
      </x:c>
      <x:c r="AO87" s="59" t="n">
        <x:f>AL87*AM87</x:f>
        <x:v>8821996.972215135</x:v>
      </x:c>
      <x:c r="AP87" s="61" t="n">
        <x:f>IF(AO87="","",INDEX('_曲线基线'!$A$3:$A$502,MIN(ROWS('_曲线基线'!$A$3:$A$502),COUNTIF('_曲线基线'!$E$3:$E$502,"&lt;"&amp;AO87)+1)))</x:f>
        <x:v>137</x:v>
      </x:c>
      <x:c r="AQ87" s="61" t="n">
        <x:f>IF(B87&lt;=2,1,IF(B87&lt;=6,2,IF(B87&lt;=9,3,IF(B87&lt;=19,4,5))))</x:f>
        <x:v>5</x:v>
      </x:c>
      <x:c r="AR87" s="59" t="n">
        <x:f>AN87*(1-Q87)/F87*$AS$3+U87*$AS$4+P87*$AS$5</x:f>
        <x:v>5562.211472235968</x:v>
      </x:c>
      <x:c r="AS87" s="59" t="n">
        <x:f>1+AH87*$AS$6+AI87*$AS$7+(AJ87-1)*$AS$8+($H$10*H87+$I$10*I87+$J$10*J87+$K$10*K87+$L$10*L87)*$AU$3*$AS$9+($H$10*H87+$I$10*I87+$J$10*J87+$K$10*K87+$L$10*L87)*$AU$4*$AS$10</x:f>
        <x:v>9.622661309901499</x:v>
      </x:c>
      <x:c r="AT87" s="60" t="n">
        <x:f>ROUND(AR87*AS87,0)</x:f>
        <x:v>53523</x:v>
      </x:c>
      <x:c r="AU87" s="60" t="n">
        <x:f>ROUND(AT87*F87,0)</x:f>
        <x:v>267615</x:v>
      </x:c>
      <x:c r="AV87" s="60" t="n">
        <x:f>MIN(MATCH(B87,'主线调参'!$M$11:$M$62,1),ROWS('主线调参'!$M$11:$M$62)-1)</x:f>
        <x:v>25</x:v>
      </x:c>
      <x:c r="AW87" s="62" t="n">
        <x:f>(B87-INDEX('主线调参'!$M$11:$M$62,AV87))/(INDEX('主线调参'!$M$11:$M$62,AV87+1)-INDEX('主线调参'!$M$11:$M$62,AV87))</x:f>
        <x:v>0.42857142857142855</x:v>
      </x:c>
      <x:c r="AX87" s="60" t="n">
        <x:f>IF(AU87=0,0,ROUND(AU87,2-INT(LOG10(ABS(AU87)))))</x:f>
        <x:v>268000</x:v>
      </x:c>
      <x:c r="AY87" s="62" t="n">
        <x:f>AU87/AU86-1</x:f>
        <x:v>0.023912918715206732</x:v>
      </x:c>
    </x:row>
    <x:row r="88" ht="25" customHeight="1">
      <x:c r="A88" s="40" t="n">
        <x:f>'调前玩家曲线'!A88</x:f>
        <x:v>33</x:v>
      </x:c>
      <x:c r="B88" s="40" t="n">
        <x:f>'调前玩家曲线'!B88</x:f>
        <x:v>77</x:v>
      </x:c>
      <x:c r="C88" s="40" t="n">
        <x:f>'调前玩家曲线'!C88</x:f>
        <x:v>6</x:v>
      </x:c>
      <x:c r="D88" s="40" t="n">
        <x:f>'调前玩家曲线'!D88</x:f>
        <x:v>8</x:v>
      </x:c>
      <x:c r="E88" s="40" t="n">
        <x:f>'调前玩家曲线'!E88</x:f>
        <x:v>1</x:v>
      </x:c>
      <x:c r="F88" s="40" t="n">
        <x:f>'调前玩家曲线'!F88</x:f>
        <x:v>5</x:v>
      </x:c>
      <x:c r="G88" s="63" t="n">
        <x:f>IF(B88&lt;$G$8,0,(INDEX('主线调参'!$C$11:$C$62,$AV88)+(INDEX('主线调参'!$C$11:$C$62,$AV88+1)-INDEX('主线调参'!$C$11:$C$62,$AV88))*$AW88)*'参数说明'!$C$27)</x:f>
        <x:v>0.5338385534527028</x:v>
      </x:c>
      <x:c r="H88" s="63" t="n">
        <x:f>IF(B88&lt;$H$8,0,(INDEX('主线调参'!$D$11:$D$62,$AV88)+(INDEX('主线调参'!$D$11:$D$62,$AV88+1)-INDEX('主线调参'!$D$11:$D$62,$AV88))*$AW88)*'参数说明'!$D$27)</x:f>
        <x:v>0.4104525445610234</x:v>
      </x:c>
      <x:c r="I88" s="63" t="n">
        <x:f>IF(B88&lt;$I$8,0,(INDEX('主线调参'!$E$11:$E$62,$AV88)+(INDEX('主线调参'!$E$11:$E$62,$AV88+1)-INDEX('主线调参'!$E$11:$E$62,$AV88))*$AW88)*'参数说明'!$E$27)</x:f>
        <x:v>0.11027899115379011</x:v>
      </x:c>
      <x:c r="J88" s="63" t="n">
        <x:f>IF(B88&lt;$J$8,0,(INDEX('主线调参'!$F$11:$F$62,$AV88)+(INDEX('主线调参'!$F$11:$F$62,$AV88+1)-INDEX('主线调参'!$F$11:$F$62,$AV88))*$AW88)*'参数说明'!$F$27)</x:f>
        <x:v>0.2604843877489247</x:v>
      </x:c>
      <x:c r="K88" s="63" t="n">
        <x:f>IF(B88&lt;$K$8,0,(INDEX('主线调参'!$G$11:$G$62,$AV88)+(INDEX('主线调参'!$G$11:$G$62,$AV88+1)-INDEX('主线调参'!$G$11:$G$62,$AV88))*$AW88)*'参数说明'!$G$27)</x:f>
        <x:v>0</x:v>
      </x:c>
      <x:c r="L88" s="63" t="n">
        <x:f>IF(B88&lt;$L$8,0,(INDEX('主线调参'!$H$11:$H$62,$AV88)+(INDEX('主线调参'!$H$11:$H$62,$AV88+1)-INDEX('主线调参'!$H$11:$H$62,$AV88))*$AW88)*'参数说明'!$H$27)</x:f>
        <x:v>0.37858664617807647</x:v>
      </x:c>
      <x:c r="M88" s="59" t="n">
        <x:f>E88*'模块规划'!$F$10+G88*'模块规划'!$F$11+H88*'模块规划'!$F$13</x:f>
        <x:v>3562.4250565729735</x:v>
      </x:c>
      <x:c r="N88" s="59" t="n">
        <x:f>I88*'模块规划'!$F$15+J88*'模块规划'!$F$17+K88*'模块规划'!$F$16+L88*'模块规划'!$F$18</x:f>
        <x:v>5380.009037609951</x:v>
      </x:c>
      <x:c r="O88" s="59" t="n">
        <x:f>1+O$9*SUMPRODUCT($H$10:$L$10,H88:L88)/SUM($H$10:$L$10)</x:f>
        <x:v>1.8922171825868324</x:v>
      </x:c>
      <x:c r="P88" s="59" t="n">
        <x:f>M88*O88+N88</x:f>
        <x:v>12120.8909413352</x:v>
      </x:c>
      <x:c r="Q88" s="59" t="n">
        <x:f>P88/(P88+'_曲线基线'!$L$2)</x:f>
        <x:v>0.335564561821607</x:v>
      </x:c>
      <x:c r="R88" s="59" t="n">
        <x:f>E88*'模块规划'!$E$10+G88*'模块规划'!$E$11+H88*'模块规划'!$E$13</x:f>
        <x:v>5343.63758485946</x:v>
      </x:c>
      <x:c r="S88" s="59" t="n">
        <x:f>I88*'模块规划'!$E$15+J88*'模块规划'!$E$17+K88*'模块规划'!$E$16+L88*'模块规划'!$E$18</x:f>
        <x:v>8070.013556414924</x:v>
      </x:c>
      <x:c r="T88" s="59" t="n">
        <x:f>1+T$9*SUMPRODUCT($H$10:$L$10,H88:L88)/SUM($H$10:$L$10)</x:f>
        <x:v>1.8922171825868324</x:v>
      </x:c>
      <x:c r="U88" s="59" t="n">
        <x:f>R88*T88+S88</x:f>
        <x:v>18181.336412002798</x:v>
      </x:c>
      <x:c r="V88" s="59" t="n">
        <x:f>V$8+(V$9-V$8)*H88</x:f>
        <x:v>0.823135763368307</x:v>
      </x:c>
      <x:c r="W88" s="59" t="n">
        <x:f>IF(B88&lt;$H$8,0,W$8+(W$9-W$8)*H88)</x:f>
        <x:v>0.1641810178244094</x:v>
      </x:c>
      <x:c r="X88" s="59" t="n">
        <x:f>X$8+(X$9-X$8)*H88</x:f>
        <x:v>0.3878744497542815</x:v>
      </x:c>
      <x:c r="Y88" s="59" t="n">
        <x:f>Y$8+(Y$9-Y$8)*G88</x:f>
        <x:v>1</x:v>
      </x:c>
      <x:c r="Z88" s="59" t="n">
        <x:f>Z$8+(Z$9-Z$8)*H88</x:f>
        <x:v>1</x:v>
      </x:c>
      <x:c r="AA88" s="59" t="n">
        <x:f>AA$8+(AA$9-AA$8)*I88</x:f>
        <x:v>1</x:v>
      </x:c>
      <x:c r="AB88" s="59" t="n">
        <x:f>AB$8+(AB$9-AB$8)*J88</x:f>
        <x:v>1</x:v>
      </x:c>
      <x:c r="AC88" s="59" t="n">
        <x:f>AC$8+(AC$9-AC$8)*MAX(K88,L88)</x:f>
        <x:v>1</x:v>
      </x:c>
      <x:c r="AD88" s="59" t="n">
        <x:f>(V88*AE88+W88*AF88+X88*AG88)*PRODUCT(Y88:AC88)</x:f>
        <x:v>1.442250057906633</x:v>
      </x:c>
      <x:c r="AE88" s="59" t="n">
        <x:f>1+AE$9*($H$10*H88+$I$10*I88+$J$10*J88+$K$10*K88+$L$10*L88)</x:f>
        <x:v>1</x:v>
      </x:c>
      <x:c r="AF88" s="59" t="n">
        <x:f>1+AF$9*($H$10*H88+$I$10*I88+$J$10*J88+$K$10*K88+$L$10*L88)</x:f>
        <x:v>1.0787462938477448</x:v>
      </x:c>
      <x:c r="AG88" s="59" t="n">
        <x:f>1+AG$9*($H$10*H88+$I$10*I88+$J$10*J88+$K$10*K88+$L$10*L88)</x:f>
        <x:v>1.1395559318746153</x:v>
      </x:c>
      <x:c r="AH88" s="59" t="n">
        <x:f>MIN(1,'_曲线基线'!$L$3+AH$9*($H$10*H88+$I$10*I88+$J$10*J88+$K$10*K88+$L$10*L88))</x:f>
        <x:v>0.2291478185036192</x:v>
      </x:c>
      <x:c r="AI88" s="59" t="n">
        <x:f>'_曲线基线'!$L$4+AI$9*($H$10*H88+$I$10*I88+$J$10*J88+$K$10*K88+$L$10*L88)</x:f>
        <x:v>2.499054637260082</x:v>
      </x:c>
      <x:c r="AJ88" s="59" t="n">
        <x:f>1+AJ$9*($H$10*H88+$I$10*I88+$J$10*J88+$K$10*K88+$L$10*L88)</x:f>
        <x:v>1.4094807280082724</x:v>
      </x:c>
      <x:c r="AK88" s="59" t="n">
        <x:f>(1+AH88*(AI88-1))*AJ88</x:f>
        <x:v>1.8936445463545484</x:v>
      </x:c>
      <x:c r="AL88" s="59" t="n">
        <x:f>U88*AD88*AK88*F88</x:f>
        <x:v>248276.05359202245</x:v>
      </x:c>
      <x:c r="AM88" s="59" t="n">
        <x:f>IF($B88&lt;AM$8,0,AM$3+(AM$4-AM$3)*(POWER(AM$5,$B88-AM$8)-1)/(POWER(AM$5,$C$5-AM$8)-1))</x:f>
        <x:v>36.517279321714035</x:v>
      </x:c>
      <x:c r="AN88" s="59" t="n">
        <x:f>(((E88*'模块规划'!$D$10+G88*'模块规划'!$D$11+H88*'模块规划'!$D$13)*(1+'模块规划'!$G$14*H88)+(I88*'模块规划'!$D$15+J88*'模块规划'!$D$17+K88*'模块规划'!$D$16+L88*'模块规划'!$D$18))*(1+'模块规划'!$J$17*J88))*F88/(1-Q88)</x:f>
        <x:v>506633.4881110297</x:v>
      </x:c>
      <x:c r="AO88" s="59" t="n">
        <x:f>AL88*AM88</x:f>
        <x:v>9066365.997912727</x:v>
      </x:c>
      <x:c r="AP88" s="61" t="n">
        <x:f>IF(AO88="","",INDEX('_曲线基线'!$A$3:$A$502,MIN(ROWS('_曲线基线'!$A$3:$A$502),COUNTIF('_曲线基线'!$E$3:$E$502,"&lt;"&amp;AO88)+1)))</x:f>
        <x:v>139</x:v>
      </x:c>
      <x:c r="AQ88" s="61" t="n">
        <x:f>IF(B88&lt;=2,1,IF(B88&lt;=6,2,IF(B88&lt;=9,3,IF(B88&lt;=19,4,5))))</x:f>
        <x:v>5</x:v>
      </x:c>
      <x:c r="AR88" s="59" t="n">
        <x:f>AN88*(1-Q88)/F88*$AS$3+U88*$AS$4+P88*$AS$5</x:f>
        <x:v>5656.018744413958</x:v>
      </x:c>
      <x:c r="AS88" s="59" t="n">
        <x:f>1+AH88*$AS$6+AI88*$AS$7+(AJ88-1)*$AS$8+($H$10*H88+$I$10*I88+$J$10*J88+$K$10*K88+$L$10*L88)*$AU$3*$AS$9+($H$10*H88+$I$10*I88+$J$10*J88+$K$10*K88+$L$10*L88)*$AU$4*$AS$10</x:f>
        <x:v>9.68676053287913</x:v>
      </x:c>
      <x:c r="AT88" s="60" t="n">
        <x:f>ROUND(AR88*AS88,0)</x:f>
        <x:v>54788</x:v>
      </x:c>
      <x:c r="AU88" s="60" t="n">
        <x:f>ROUND(AT88*F88,0)</x:f>
        <x:v>273940</x:v>
      </x:c>
      <x:c r="AV88" s="60" t="n">
        <x:f>MIN(MATCH(B88,'主线调参'!$M$11:$M$62,1),ROWS('主线调参'!$M$11:$M$62)-1)</x:f>
        <x:v>25</x:v>
      </x:c>
      <x:c r="AW88" s="62" t="n">
        <x:f>(B88-INDEX('主线调参'!$M$11:$M$62,AV88))/(INDEX('主线调参'!$M$11:$M$62,AV88+1)-INDEX('主线调参'!$M$11:$M$62,AV88))</x:f>
        <x:v>0.5</x:v>
      </x:c>
      <x:c r="AX88" s="60" t="n">
        <x:f>IF(AU88=0,0,ROUND(AU88,2-INT(LOG10(ABS(AU88)))))</x:f>
        <x:v>274000</x:v>
      </x:c>
      <x:c r="AY88" s="62" t="n">
        <x:f>AU88/AU87-1</x:f>
        <x:v>0.02363469910132099</x:v>
      </x:c>
    </x:row>
    <x:row r="89" ht="25" customHeight="1">
      <x:c r="A89" s="40" t="n">
        <x:f>'调前玩家曲线'!A89</x:f>
        <x:v>33</x:v>
      </x:c>
      <x:c r="B89" s="40" t="n">
        <x:f>'调前玩家曲线'!B89</x:f>
        <x:v>78</x:v>
      </x:c>
      <x:c r="C89" s="40" t="n">
        <x:f>'调前玩家曲线'!C89</x:f>
        <x:v>6</x:v>
      </x:c>
      <x:c r="D89" s="40" t="n">
        <x:f>'调前玩家曲线'!D89</x:f>
        <x:v>9</x:v>
      </x:c>
      <x:c r="E89" s="40" t="n">
        <x:f>'调前玩家曲线'!E89</x:f>
        <x:v>1</x:v>
      </x:c>
      <x:c r="F89" s="40" t="n">
        <x:f>'调前玩家曲线'!F89</x:f>
        <x:v>5</x:v>
      </x:c>
      <x:c r="G89" s="63" t="n">
        <x:f>IF(B89&lt;$G$8,0,(INDEX('主线调参'!$C$11:$C$62,$AV89)+(INDEX('主线调参'!$C$11:$C$62,$AV89+1)-INDEX('主线调参'!$C$11:$C$62,$AV89))*$AW89)*'参数说明'!$C$27)</x:f>
        <x:v>0.5371284895225688</x:v>
      </x:c>
      <x:c r="H89" s="63" t="n">
        <x:f>IF(B89&lt;$H$8,0,(INDEX('主线调参'!$D$11:$D$62,$AV89)+(INDEX('主线调参'!$D$11:$D$62,$AV89+1)-INDEX('主线调参'!$D$11:$D$62,$AV89))*$AW89)*'参数说明'!$D$27)</x:f>
        <x:v>0.413446998232945</x:v>
      </x:c>
      <x:c r="I89" s="63" t="n">
        <x:f>IF(B89&lt;$I$8,0,(INDEX('主线调参'!$E$11:$E$62,$AV89)+(INDEX('主线调参'!$E$11:$E$62,$AV89+1)-INDEX('主线调参'!$E$11:$E$62,$AV89))*$AW89)*'参数说明'!$E$27)</x:f>
        <x:v>0.11797823759104169</x:v>
      </x:c>
      <x:c r="J89" s="63" t="n">
        <x:f>IF(B89&lt;$J$8,0,(INDEX('主线调参'!$F$11:$F$62,$AV89)+(INDEX('主线调参'!$F$11:$F$62,$AV89+1)-INDEX('主线调参'!$F$11:$F$62,$AV89))*$AW89)*'参数说明'!$F$27)</x:f>
        <x:v>0.26435248461577365</x:v>
      </x:c>
      <x:c r="K89" s="63" t="n">
        <x:f>IF(B89&lt;$K$8,0,(INDEX('主线调参'!$G$11:$G$62,$AV89)+(INDEX('主线调参'!$G$11:$G$62,$AV89+1)-INDEX('主线调参'!$G$11:$G$62,$AV89))*$AW89)*'参数说明'!$G$27)</x:f>
        <x:v>0</x:v>
      </x:c>
      <x:c r="L89" s="63" t="n">
        <x:f>IF(B89&lt;$L$8,0,(INDEX('主线调参'!$H$11:$H$62,$AV89)+(INDEX('主线调参'!$H$11:$H$62,$AV89+1)-INDEX('主线调参'!$H$11:$H$62,$AV89))*$AW89)*'参数说明'!$H$27)</x:f>
        <x:v>0.38217171156686336</x:v>
      </x:c>
      <x:c r="M89" s="59" t="n">
        <x:f>E89*'模块规划'!$F$10+G89*'模块规划'!$F$11+H89*'模块规划'!$F$13</x:f>
        <x:v>3578.21674970833</x:v>
      </x:c>
      <x:c r="N89" s="59" t="n">
        <x:f>I89*'模块规划'!$F$15+J89*'模块规划'!$F$17+K89*'模块规划'!$F$16+L89*'模块规划'!$F$18</x:f>
        <x:v>5498.209304720387</x:v>
      </x:c>
      <x:c r="O89" s="59" t="n">
        <x:f>1+O$9*SUMPRODUCT($H$10:$L$10,H89:L89)/SUM($H$10:$L$10)</x:f>
        <x:v>1.9043719612890455</x:v>
      </x:c>
      <x:c r="P89" s="59" t="n">
        <x:f>M89*O89+N89</x:f>
        <x:v>12312.464954279752</x:v>
      </x:c>
      <x:c r="Q89" s="59" t="n">
        <x:f>P89/(P89+'_曲线基线'!$L$2)</x:f>
        <x:v>0.33906993011303727</x:v>
      </x:c>
      <x:c r="R89" s="59" t="n">
        <x:f>E89*'模块规划'!$E$10+G89*'模块规划'!$E$11+H89*'模块规划'!$E$13</x:f>
        <x:v>5367.325124562495</x:v>
      </x:c>
      <x:c r="S89" s="59" t="n">
        <x:f>I89*'模块规划'!$E$15+J89*'模块规划'!$E$17+K89*'模块规划'!$E$16+L89*'模块规划'!$E$18</x:f>
        <x:v>8247.31395708058</x:v>
      </x:c>
      <x:c r="T89" s="59" t="n">
        <x:f>1+T$9*SUMPRODUCT($H$10:$L$10,H89:L89)/SUM($H$10:$L$10)</x:f>
        <x:v>1.9043719612890455</x:v>
      </x:c>
      <x:c r="U89" s="59" t="n">
        <x:f>R89*T89+S89</x:f>
        <x:v>18468.697431419627</x:v>
      </x:c>
      <x:c r="V89" s="59" t="n">
        <x:f>V$8+(V$9-V$8)*H89</x:f>
        <x:v>0.8240340994698835</x:v>
      </x:c>
      <x:c r="W89" s="59" t="n">
        <x:f>IF(B89&lt;$H$8,0,W$8+(W$9-W$8)*H89)</x:f>
        <x:v>0.165378799293178</x:v>
      </x:c>
      <x:c r="X89" s="59" t="n">
        <x:f>X$8+(X$9-X$8)*H89</x:f>
        <x:v>0.38869792451405993</x:v>
      </x:c>
      <x:c r="Y89" s="59" t="n">
        <x:f>Y$8+(Y$9-Y$8)*G89</x:f>
        <x:v>1</x:v>
      </x:c>
      <x:c r="Z89" s="59" t="n">
        <x:f>Z$8+(Z$9-Z$8)*H89</x:f>
        <x:v>1</x:v>
      </x:c>
      <x:c r="AA89" s="59" t="n">
        <x:f>AA$8+(AA$9-AA$8)*I89</x:f>
        <x:v>1</x:v>
      </x:c>
      <x:c r="AB89" s="59" t="n">
        <x:f>AB$8+(AB$9-AB$8)*J89</x:f>
        <x:v>1</x:v>
      </x:c>
      <x:c r="AC89" s="59" t="n">
        <x:f>AC$8+(AC$9-AC$8)*MAX(K89,L89)</x:f>
        <x:v>1</x:v>
      </x:c>
      <x:c r="AD89" s="59" t="n">
        <x:f>(V89*AE89+W89*AF89+X89*AG89)*PRODUCT(Y89:AC89)</x:f>
        <x:v>1.4462952926170582</x:v>
      </x:c>
      <x:c r="AE89" s="59" t="n">
        <x:f>1+AE$9*($H$10*H89+$I$10*I89+$J$10*J89+$K$10*K89+$L$10*L89)</x:f>
        <x:v>1</x:v>
      </x:c>
      <x:c r="AF89" s="59" t="n">
        <x:f>1+AF$9*($H$10*H89+$I$10*I89+$J$10*J89+$K$10*K89+$L$10*L89)</x:f>
        <x:v>1.0798190637898835</x:v>
      </x:c>
      <x:c r="AG89" s="59" t="n">
        <x:f>1+AG$9*($H$10*H89+$I$10*I89+$J$10*J89+$K$10*K89+$L$10*L89)</x:f>
        <x:v>1.1414571186054057</x:v>
      </x:c>
      <x:c r="AH89" s="59" t="n">
        <x:f>MIN(1,'_曲线基线'!$L$3+AH$9*($H$10*H89+$I$10*I89+$J$10*J89+$K$10*K89+$L$10*L89))</x:f>
        <x:v>0.23158837012198463</x:v>
      </x:c>
      <x:c r="AI89" s="59" t="n">
        <x:f>'_曲线基线'!$L$4+AI$9*($H$10*H89+$I$10*I89+$J$10*J89+$K$10*K89+$L$10*L89)</x:f>
        <x:v>2.505853316768386</x:v>
      </x:c>
      <x:c r="AJ89" s="59" t="n">
        <x:f>1+AJ$9*($H$10*H89+$I$10*I89+$J$10*J89+$K$10*K89+$L$10*L89)</x:f>
        <x:v>1.4150591317073935</x:v>
      </x:c>
      <x:c r="AK89" s="59" t="n">
        <x:f>(1+AH89*(AI89-1))*AJ89</x:f>
        <x:v>1.9085441862991255</x:v>
      </x:c>
      <x:c r="AL89" s="59" t="n">
        <x:f>U89*AD89*AK89*F89</x:f>
        <x:v>254897.43340520805</x:v>
      </x:c>
      <x:c r="AM89" s="59" t="n">
        <x:f>IF($B89&lt;AM$8,0,AM$3+(AM$4-AM$3)*(POWER(AM$5,$B89-AM$8)-1)/(POWER(AM$5,$C$5-AM$8)-1))</x:f>
        <x:v>36.54587675485304</x:v>
      </x:c>
      <x:c r="AN89" s="59" t="n">
        <x:f>(((E89*'模块规划'!$D$10+G89*'模块规划'!$D$11+H89*'模块规划'!$D$13)*(1+'模块规划'!$G$14*H89)+(I89*'模块规划'!$D$15+J89*'模块规划'!$D$17+K89*'模块规划'!$D$16+L89*'模块规划'!$D$18))*(1+'模块规划'!$J$17*J89))*F89/(1-Q89)</x:f>
        <x:v>518568.86419108836</x:v>
      </x:c>
      <x:c r="AO89" s="59" t="n">
        <x:f>AL89*AM89</x:f>
        <x:v>9315450.186355093</x:v>
      </x:c>
      <x:c r="AP89" s="61" t="n">
        <x:f>IF(AO89="","",INDEX('_曲线基线'!$A$3:$A$502,MIN(ROWS('_曲线基线'!$A$3:$A$502),COUNTIF('_曲线基线'!$E$3:$E$502,"&lt;"&amp;AO89)+1)))</x:f>
        <x:v>140</x:v>
      </x:c>
      <x:c r="AQ89" s="61" t="n">
        <x:f>IF(B89&lt;=2,1,IF(B89&lt;=6,2,IF(B89&lt;=9,3,IF(B89&lt;=19,4,5))))</x:f>
        <x:v>5</x:v>
      </x:c>
      <x:c r="AR89" s="59" t="n">
        <x:f>AN89*(1-Q89)/F89*$AS$3+U89*$AS$4+P89*$AS$5</x:f>
        <x:v>5750.166020190039</x:v>
      </x:c>
      <x:c r="AS89" s="59" t="n">
        <x:f>1+AH89*$AS$6+AI89*$AS$7+(AJ89-1)*$AS$8+($H$10*H89+$I$10*I89+$J$10*J89+$K$10*K89+$L$10*L89)*$AU$3*$AS$9+($H$10*H89+$I$10*I89+$J$10*J89+$K$10*K89+$L$10*L89)*$AU$4*$AS$10</x:f>
        <x:v>9.750859755856762</x:v>
      </x:c>
      <x:c r="AT89" s="60" t="n">
        <x:f>ROUND(AR89*AS89,0)</x:f>
        <x:v>56069</x:v>
      </x:c>
      <x:c r="AU89" s="60" t="n">
        <x:f>ROUND(AT89*F89,0)</x:f>
        <x:v>280345</x:v>
      </x:c>
      <x:c r="AV89" s="60" t="n">
        <x:f>MIN(MATCH(B89,'主线调参'!$M$11:$M$62,1),ROWS('主线调参'!$M$11:$M$62)-1)</x:f>
        <x:v>25</x:v>
      </x:c>
      <x:c r="AW89" s="62" t="n">
        <x:f>(B89-INDEX('主线调参'!$M$11:$M$62,AV89))/(INDEX('主线调参'!$M$11:$M$62,AV89+1)-INDEX('主线调参'!$M$11:$M$62,AV89))</x:f>
        <x:v>0.5714285714285714</x:v>
      </x:c>
      <x:c r="AX89" s="60" t="n">
        <x:f>IF(AU89=0,0,ROUND(AU89,2-INT(LOG10(ABS(AU89)))))</x:f>
        <x:v>280000</x:v>
      </x:c>
      <x:c r="AY89" s="62" t="n">
        <x:f>AU89/AU88-1</x:f>
        <x:v>0.023381032342848718</x:v>
      </x:c>
    </x:row>
    <x:row r="90" ht="25" customHeight="1">
      <x:c r="A90" s="40" t="n">
        <x:f>'调前玩家曲线'!A90</x:f>
        <x:v>33</x:v>
      </x:c>
      <x:c r="B90" s="40" t="n">
        <x:f>'调前玩家曲线'!B90</x:f>
        <x:v>79</x:v>
      </x:c>
      <x:c r="C90" s="40" t="n">
        <x:f>'调前玩家曲线'!C90</x:f>
        <x:v>6</x:v>
      </x:c>
      <x:c r="D90" s="40" t="n">
        <x:f>'调前玩家曲线'!D90</x:f>
        <x:v>10</x:v>
      </x:c>
      <x:c r="E90" s="40" t="n">
        <x:f>'调前玩家曲线'!E90</x:f>
        <x:v>1</x:v>
      </x:c>
      <x:c r="F90" s="40" t="n">
        <x:f>'调前玩家曲线'!F90</x:f>
        <x:v>5</x:v>
      </x:c>
      <x:c r="G90" s="63" t="n">
        <x:f>IF(B90&lt;$G$8,0,(INDEX('主线调参'!$C$11:$C$62,$AV90)+(INDEX('主线调参'!$C$11:$C$62,$AV90+1)-INDEX('主线调参'!$C$11:$C$62,$AV90))*$AW90)*'参数说明'!$C$27)</x:f>
        <x:v>0.5404184255924347</x:v>
      </x:c>
      <x:c r="H90" s="63" t="n">
        <x:f>IF(B90&lt;$H$8,0,(INDEX('主线调参'!$D$11:$D$62,$AV90)+(INDEX('主线调参'!$D$11:$D$62,$AV90+1)-INDEX('主线调参'!$D$11:$D$62,$AV90))*$AW90)*'参数说明'!$D$27)</x:f>
        <x:v>0.41644145190486653</x:v>
      </x:c>
      <x:c r="I90" s="63" t="n">
        <x:f>IF(B90&lt;$I$8,0,(INDEX('主线调参'!$E$11:$E$62,$AV90)+(INDEX('主线调参'!$E$11:$E$62,$AV90+1)-INDEX('主线调参'!$E$11:$E$62,$AV90))*$AW90)*'参数说明'!$E$27)</x:f>
        <x:v>0.12567748402829323</x:v>
      </x:c>
      <x:c r="J90" s="63" t="n">
        <x:f>IF(B90&lt;$J$8,0,(INDEX('主线调参'!$F$11:$F$62,$AV90)+(INDEX('主线调参'!$F$11:$F$62,$AV90+1)-INDEX('主线调参'!$F$11:$F$62,$AV90))*$AW90)*'参数说明'!$F$27)</x:f>
        <x:v>0.2682205814826227</x:v>
      </x:c>
      <x:c r="K90" s="63" t="n">
        <x:f>IF(B90&lt;$K$8,0,(INDEX('主线调参'!$G$11:$G$62,$AV90)+(INDEX('主线调参'!$G$11:$G$62,$AV90+1)-INDEX('主线调参'!$G$11:$G$62,$AV90))*$AW90)*'参数说明'!$G$27)</x:f>
        <x:v>0</x:v>
      </x:c>
      <x:c r="L90" s="63" t="n">
        <x:f>IF(B90&lt;$L$8,0,(INDEX('主线调参'!$H$11:$H$62,$AV90)+(INDEX('主线调参'!$H$11:$H$62,$AV90+1)-INDEX('主线调参'!$H$11:$H$62,$AV90))*$AW90)*'参数说明'!$H$27)</x:f>
        <x:v>0.38575677695565025</x:v>
      </x:c>
      <x:c r="M90" s="59" t="n">
        <x:f>E90*'模块规划'!$F$10+G90*'模块规划'!$F$11+H90*'模块规划'!$F$13</x:f>
        <x:v>3594.0084428436867</x:v>
      </x:c>
      <x:c r="N90" s="59" t="n">
        <x:f>I90*'模块规划'!$F$15+J90*'模块规划'!$F$17+K90*'模块规划'!$F$16+L90*'模块规划'!$F$18</x:f>
        <x:v>5616.409571830824</x:v>
      </x:c>
      <x:c r="O90" s="59" t="n">
        <x:f>1+O$9*SUMPRODUCT($H$10:$L$10,H90:L90)/SUM($H$10:$L$10)</x:f>
        <x:v>1.916526739991259</x:v>
      </x:c>
      <x:c r="P90" s="59" t="n">
        <x:f>M90*O90+N90</x:f>
        <x:v>12504.422856295096</x:v>
      </x:c>
      <x:c r="Q90" s="59" t="n">
        <x:f>P90/(P90+'_曲线基线'!$L$2)</x:f>
        <x:v>0.34254541992132165</x:v>
      </x:c>
      <x:c r="R90" s="59" t="n">
        <x:f>E90*'模块规划'!$E$10+G90*'模块规划'!$E$11+H90*'模块规划'!$E$13</x:f>
        <x:v>5391.01266426553</x:v>
      </x:c>
      <x:c r="S90" s="59" t="n">
        <x:f>I90*'模块规划'!$E$15+J90*'模块规划'!$E$17+K90*'模块规划'!$E$16+L90*'模块规划'!$E$18</x:f>
        <x:v>8424.614357746235</x:v>
      </x:c>
      <x:c r="T90" s="59" t="n">
        <x:f>1+T$9*SUMPRODUCT($H$10:$L$10,H90:L90)/SUM($H$10:$L$10)</x:f>
        <x:v>1.916526739991259</x:v>
      </x:c>
      <x:c r="U90" s="59" t="n">
        <x:f>R90*T90+S90</x:f>
        <x:v>18756.634284442644</x:v>
      </x:c>
      <x:c r="V90" s="59" t="n">
        <x:f>V$8+(V$9-V$8)*H90</x:f>
        <x:v>0.8249324355714599</x:v>
      </x:c>
      <x:c r="W90" s="59" t="n">
        <x:f>IF(B90&lt;$H$8,0,W$8+(W$9-W$8)*H90)</x:f>
        <x:v>0.16657658076194662</x:v>
      </x:c>
      <x:c r="X90" s="59" t="n">
        <x:f>X$8+(X$9-X$8)*H90</x:f>
        <x:v>0.38952139927383833</x:v>
      </x:c>
      <x:c r="Y90" s="59" t="n">
        <x:f>Y$8+(Y$9-Y$8)*G90</x:f>
        <x:v>1</x:v>
      </x:c>
      <x:c r="Z90" s="59" t="n">
        <x:f>Z$8+(Z$9-Z$8)*H90</x:f>
        <x:v>1</x:v>
      </x:c>
      <x:c r="AA90" s="59" t="n">
        <x:f>AA$8+(AA$9-AA$8)*I90</x:f>
        <x:v>1</x:v>
      </x:c>
      <x:c r="AB90" s="59" t="n">
        <x:f>AB$8+(AB$9-AB$8)*J90</x:f>
        <x:v>1</x:v>
      </x:c>
      <x:c r="AC90" s="59" t="n">
        <x:f>AC$8+(AC$9-AC$8)*MAX(K90,L90)</x:f>
        <x:v>1</x:v>
      </x:c>
      <x:c r="AD90" s="59" t="n">
        <x:f>(V90*AE90+W90*AF90+X90*AG90)*PRODUCT(Y90:AC90)</x:f>
        <x:v>1.45034622837397</x:v>
      </x:c>
      <x:c r="AE90" s="59" t="n">
        <x:f>1+AE$9*($H$10*H90+$I$10*I90+$J$10*J90+$K$10*K90+$L$10*L90)</x:f>
        <x:v>1</x:v>
      </x:c>
      <x:c r="AF90" s="59" t="n">
        <x:f>1+AF$9*($H$10*H90+$I$10*I90+$J$10*J90+$K$10*K90+$L$10*L90)</x:f>
        <x:v>1.0808918337320221</x:v>
      </x:c>
      <x:c r="AG90" s="59" t="n">
        <x:f>1+AG$9*($H$10*H90+$I$10*I90+$J$10*J90+$K$10*K90+$L$10*L90)</x:f>
        <x:v>1.1433583053361958</x:v>
      </x:c>
      <x:c r="AH90" s="59" t="n">
        <x:f>MIN(1,'_曲线基线'!$L$3+AH$9*($H$10*H90+$I$10*I90+$J$10*J90+$K$10*K90+$L$10*L90))</x:f>
        <x:v>0.23402892174035012</x:v>
      </x:c>
      <x:c r="AI90" s="59" t="n">
        <x:f>'_曲线基线'!$L$4+AI$9*($H$10*H90+$I$10*I90+$J$10*J90+$K$10*K90+$L$10*L90)</x:f>
        <x:v>2.5126519962766896</x:v>
      </x:c>
      <x:c r="AJ90" s="59" t="n">
        <x:f>1+AJ$9*($H$10*H90+$I$10*I90+$J$10*J90+$K$10*K90+$L$10*L90)</x:f>
        <x:v>1.4206375354065146</x:v>
      </x:c>
      <x:c r="AK90" s="59" t="n">
        <x:f>(1+AH90*(AI90-1))*AJ90</x:f>
        <x:v>1.9235493539247757</x:v>
      </x:c>
      <x:c r="AL90" s="59" t="n">
        <x:f>U90*AD90*AK90*F90</x:f>
        <x:v>261637.4686646338</x:v>
      </x:c>
      <x:c r="AM90" s="59" t="n">
        <x:f>IF($B90&lt;AM$8,0,AM$3+(AM$4-AM$3)*(POWER(AM$5,$B90-AM$8)-1)/(POWER(AM$5,$C$5-AM$8)-1))</x:f>
        <x:v>36.57476016232344</x:v>
      </x:c>
      <x:c r="AN90" s="59" t="n">
        <x:f>(((E90*'模块规划'!$D$10+G90*'模块规划'!$D$11+H90*'模块规划'!$D$13)*(1+'模块规划'!$G$14*H90)+(I90*'模块规划'!$D$15+J90*'模块规划'!$D$17+K90*'模块规划'!$D$16+L90*'模块规划'!$D$18))*(1+'模块规划'!$J$17*J90))*F90/(1-Q90)</x:f>
        <x:v>530664.4453462287</x:v>
      </x:c>
      <x:c r="AO90" s="59" t="n">
        <x:f>AL90*AM90</x:f>
        <x:v>9569327.665886397</x:v>
      </x:c>
      <x:c r="AP90" s="61" t="n">
        <x:f>IF(AO90="","",INDEX('_曲线基线'!$A$3:$A$502,MIN(ROWS('_曲线基线'!$A$3:$A$502),COUNTIF('_曲线基线'!$E$3:$E$502,"&lt;"&amp;AO90)+1)))</x:f>
        <x:v>141</x:v>
      </x:c>
      <x:c r="AQ90" s="61" t="n">
        <x:f>IF(B90&lt;=2,1,IF(B90&lt;=6,2,IF(B90&lt;=9,3,IF(B90&lt;=19,4,5))))</x:f>
        <x:v>5</x:v>
      </x:c>
      <x:c r="AR90" s="59" t="n">
        <x:f>AN90*(1-Q90)/F90*$AS$3+U90*$AS$4+P90*$AS$5</x:f>
        <x:v>5844.653477355266</x:v>
      </x:c>
      <x:c r="AS90" s="59" t="n">
        <x:f>1+AH90*$AS$6+AI90*$AS$7+(AJ90-1)*$AS$8+($H$10*H90+$I$10*I90+$J$10*J90+$K$10*K90+$L$10*L90)*$AU$3*$AS$9+($H$10*H90+$I$10*I90+$J$10*J90+$K$10*K90+$L$10*L90)*$AU$4*$AS$10</x:f>
        <x:v>9.814958978834394</x:v>
      </x:c>
      <x:c r="AT90" s="60" t="n">
        <x:f>ROUND(AR90*AS90,0)</x:f>
        <x:v>57365</x:v>
      </x:c>
      <x:c r="AU90" s="60" t="n">
        <x:f>ROUND(AT90*F90,0)</x:f>
        <x:v>286825</x:v>
      </x:c>
      <x:c r="AV90" s="60" t="n">
        <x:f>MIN(MATCH(B90,'主线调参'!$M$11:$M$62,1),ROWS('主线调参'!$M$11:$M$62)-1)</x:f>
        <x:v>25</x:v>
      </x:c>
      <x:c r="AW90" s="62" t="n">
        <x:f>(B90-INDEX('主线调参'!$M$11:$M$62,AV90))/(INDEX('主线调参'!$M$11:$M$62,AV90+1)-INDEX('主线调参'!$M$11:$M$62,AV90))</x:f>
        <x:v>0.6428571428571429</x:v>
      </x:c>
      <x:c r="AX90" s="60" t="n">
        <x:f>IF(AU90=0,0,ROUND(AU90,2-INT(LOG10(ABS(AU90)))))</x:f>
        <x:v>287000</x:v>
      </x:c>
      <x:c r="AY90" s="62" t="n">
        <x:f>AU90/AU89-1</x:f>
        <x:v>0.023114376928427438</x:v>
      </x:c>
    </x:row>
    <x:row r="91" ht="25" customHeight="1">
      <x:c r="A91" s="40" t="n">
        <x:f>'调前玩家曲线'!A91</x:f>
        <x:v>34</x:v>
      </x:c>
      <x:c r="B91" s="40" t="n">
        <x:f>'调前玩家曲线'!B91</x:f>
        <x:v>80</x:v>
      </x:c>
      <x:c r="C91" s="40" t="n">
        <x:f>'调前玩家曲线'!C91</x:f>
        <x:v>6</x:v>
      </x:c>
      <x:c r="D91" s="40" t="n">
        <x:f>'调前玩家曲线'!D91</x:f>
        <x:v>11</x:v>
      </x:c>
      <x:c r="E91" s="40" t="n">
        <x:f>'调前玩家曲线'!E91</x:f>
        <x:v>1</x:v>
      </x:c>
      <x:c r="F91" s="40" t="n">
        <x:f>'调前玩家曲线'!F91</x:f>
        <x:v>5</x:v>
      </x:c>
      <x:c r="G91" s="63" t="n">
        <x:f>IF(B91&lt;$G$8,0,(INDEX('主线调参'!$C$11:$C$62,$AV91)+(INDEX('主线调参'!$C$11:$C$62,$AV91+1)-INDEX('主线调参'!$C$11:$C$62,$AV91))*$AW91)*'参数说明'!$C$27)</x:f>
        <x:v>0.5437083616623007</x:v>
      </x:c>
      <x:c r="H91" s="63" t="n">
        <x:f>IF(B91&lt;$H$8,0,(INDEX('主线调参'!$D$11:$D$62,$AV91)+(INDEX('主线调参'!$D$11:$D$62,$AV91+1)-INDEX('主线调参'!$D$11:$D$62,$AV91))*$AW91)*'参数说明'!$D$27)</x:f>
        <x:v>0.4194359055767881</x:v>
      </x:c>
      <x:c r="I91" s="63" t="n">
        <x:f>IF(B91&lt;$I$8,0,(INDEX('主线调参'!$E$11:$E$62,$AV91)+(INDEX('主线调参'!$E$11:$E$62,$AV91+1)-INDEX('主线调参'!$E$11:$E$62,$AV91))*$AW91)*'参数说明'!$E$27)</x:f>
        <x:v>0.1333767304655448</x:v>
      </x:c>
      <x:c r="J91" s="63" t="n">
        <x:f>IF(B91&lt;$J$8,0,(INDEX('主线调参'!$F$11:$F$62,$AV91)+(INDEX('主线调参'!$F$11:$F$62,$AV91+1)-INDEX('主线调参'!$F$11:$F$62,$AV91))*$AW91)*'参数说明'!$F$27)</x:f>
        <x:v>0.27208867834947165</x:v>
      </x:c>
      <x:c r="K91" s="63" t="n">
        <x:f>IF(B91&lt;$K$8,0,(INDEX('主线调参'!$G$11:$G$62,$AV91)+(INDEX('主线调参'!$G$11:$G$62,$AV91+1)-INDEX('主线调参'!$G$11:$G$62,$AV91))*$AW91)*'参数说明'!$G$27)</x:f>
        <x:v>0</x:v>
      </x:c>
      <x:c r="L91" s="63" t="n">
        <x:f>IF(B91&lt;$L$8,0,(INDEX('主线调参'!$H$11:$H$62,$AV91)+(INDEX('主线调参'!$H$11:$H$62,$AV91+1)-INDEX('主线调参'!$H$11:$H$62,$AV91))*$AW91)*'参数说明'!$H$27)</x:f>
        <x:v>0.3893418423444372</x:v>
      </x:c>
      <x:c r="M91" s="59" t="n">
        <x:f>E91*'模块规划'!$F$10+G91*'模块规划'!$F$11+H91*'模块规划'!$F$13</x:f>
        <x:v>3609.8001359790437</x:v>
      </x:c>
      <x:c r="N91" s="59" t="n">
        <x:f>I91*'模块规划'!$F$15+J91*'模块规划'!$F$17+K91*'模块规划'!$F$16+L91*'模块规划'!$F$18</x:f>
        <x:v>5734.60983894126</x:v>
      </x:c>
      <x:c r="O91" s="59" t="n">
        <x:f>1+O$9*SUMPRODUCT($H$10:$L$10,H91:L91)/SUM($H$10:$L$10)</x:f>
        <x:v>1.9286815186934723</x:v>
      </x:c>
      <x:c r="P91" s="59" t="n">
        <x:f>M91*O91+N91</x:f>
        <x:v>12696.764647381224</x:v>
      </x:c>
      <x:c r="Q91" s="59" t="n">
        <x:f>P91/(P91+'_曲线基线'!$L$2)</x:f>
        <x:v>0.34599139104998183</x:v>
      </x:c>
      <x:c r="R91" s="59" t="n">
        <x:f>E91*'模块规划'!$E$10+G91*'模块规划'!$E$11+H91*'模块规划'!$E$13</x:f>
        <x:v>5414.700203968565</x:v>
      </x:c>
      <x:c r="S91" s="59" t="n">
        <x:f>I91*'模块规划'!$E$15+J91*'模块规划'!$E$17+K91*'模块规划'!$E$16+L91*'模块规划'!$E$18</x:f>
        <x:v>8601.914758411891</x:v>
      </x:c>
      <x:c r="T91" s="59" t="n">
        <x:f>1+T$9*SUMPRODUCT($H$10:$L$10,H91:L91)/SUM($H$10:$L$10)</x:f>
        <x:v>1.9286815186934723</x:v>
      </x:c>
      <x:c r="U91" s="59" t="n">
        <x:f>R91*T91+S91</x:f>
        <x:v>19045.146971071837</x:v>
      </x:c>
      <x:c r="V91" s="59" t="n">
        <x:f>V$8+(V$9-V$8)*H91</x:f>
        <x:v>0.8258307716730364</x:v>
      </x:c>
      <x:c r="W91" s="59" t="n">
        <x:f>IF(B91&lt;$H$8,0,W$8+(W$9-W$8)*H91)</x:f>
        <x:v>0.16777436223071526</x:v>
      </x:c>
      <x:c r="X91" s="59" t="n">
        <x:f>X$8+(X$9-X$8)*H91</x:f>
        <x:v>0.39034487403361673</x:v>
      </x:c>
      <x:c r="Y91" s="59" t="n">
        <x:f>Y$8+(Y$9-Y$8)*G91</x:f>
        <x:v>1</x:v>
      </x:c>
      <x:c r="Z91" s="59" t="n">
        <x:f>Z$8+(Z$9-Z$8)*H91</x:f>
        <x:v>1</x:v>
      </x:c>
      <x:c r="AA91" s="59" t="n">
        <x:f>AA$8+(AA$9-AA$8)*I91</x:f>
        <x:v>1</x:v>
      </x:c>
      <x:c r="AB91" s="59" t="n">
        <x:f>AB$8+(AB$9-AB$8)*J91</x:f>
        <x:v>1</x:v>
      </x:c>
      <x:c r="AC91" s="59" t="n">
        <x:f>AC$8+(AC$9-AC$8)*MAX(K91,L91)</x:f>
        <x:v>1</x:v>
      </x:c>
      <x:c r="AD91" s="59" t="n">
        <x:f>(V91*AE91+W91*AF91+X91*AG91)*PRODUCT(Y91:AC91)</x:f>
        <x:v>1.454402865177369</x:v>
      </x:c>
      <x:c r="AE91" s="59" t="n">
        <x:f>1+AE$9*($H$10*H91+$I$10*I91+$J$10*J91+$K$10*K91+$L$10*L91)</x:f>
        <x:v>1</x:v>
      </x:c>
      <x:c r="AF91" s="59" t="n">
        <x:f>1+AF$9*($H$10*H91+$I$10*I91+$J$10*J91+$K$10*K91+$L$10*L91)</x:f>
        <x:v>1.0819646036741608</x:v>
      </x:c>
      <x:c r="AG91" s="59" t="n">
        <x:f>1+AG$9*($H$10*H91+$I$10*I91+$J$10*J91+$K$10*K91+$L$10*L91)</x:f>
        <x:v>1.145259492066986</x:v>
      </x:c>
      <x:c r="AH91" s="59" t="n">
        <x:f>MIN(1,'_曲线基线'!$L$3+AH$9*($H$10*H91+$I$10*I91+$J$10*J91+$K$10*K91+$L$10*L91))</x:f>
        <x:v>0.23646947335871554</x:v>
      </x:c>
      <x:c r="AI91" s="59" t="n">
        <x:f>'_曲线基线'!$L$4+AI$9*($H$10*H91+$I$10*I91+$J$10*J91+$K$10*K91+$L$10*L91)</x:f>
        <x:v>2.5194506757849933</x:v>
      </x:c>
      <x:c r="AJ91" s="59" t="n">
        <x:f>1+AJ$9*($H$10*H91+$I$10*I91+$J$10*J91+$K$10*K91+$L$10*L91)</x:f>
        <x:v>1.4262159391056355</x:v>
      </x:c>
      <x:c r="AK91" s="59" t="n">
        <x:f>(1+AH91*(AI91-1))*AJ91</x:f>
        <x:v>1.9386606045904256</x:v>
      </x:c>
      <x:c r="AL91" s="59" t="n">
        <x:f>U91*AD91*AK91*F91</x:f>
        <x:v>268497.8666421212</x:v>
      </x:c>
      <x:c r="AM91" s="59" t="n">
        <x:f>IF($B91&lt;AM$8,0,AM$3+(AM$4-AM$3)*(POWER(AM$5,$B91-AM$8)-1)/(POWER(AM$5,$C$5-AM$8)-1))</x:f>
        <x:v>36.60393240386854</x:v>
      </x:c>
      <x:c r="AN91" s="59" t="n">
        <x:f>(((E91*'模块规划'!$D$10+G91*'模块规划'!$D$11+H91*'模块规划'!$D$13)*(1+'模块规划'!$G$14*H91)+(I91*'模块规划'!$D$15+J91*'模块规划'!$D$17+K91*'模块规划'!$D$16+L91*'模块规划'!$D$18))*(1+'模块规划'!$J$17*J91))*F91/(1-Q91)</x:f>
        <x:v>542921.471861221</x:v>
      </x:c>
      <x:c r="AO91" s="59" t="n">
        <x:f>AL91*AM91</x:f>
        <x:v>9828077.761151114</x:v>
      </x:c>
      <x:c r="AP91" s="61" t="n">
        <x:f>IF(AO91="","",INDEX('_曲线基线'!$A$3:$A$502,MIN(ROWS('_曲线基线'!$A$3:$A$502),COUNTIF('_曲线基线'!$E$3:$E$502,"&lt;"&amp;AO91)+1)))</x:f>
        <x:v>143</x:v>
      </x:c>
      <x:c r="AQ91" s="61" t="n">
        <x:f>IF(B91&lt;=2,1,IF(B91&lt;=6,2,IF(B91&lt;=9,3,IF(B91&lt;=19,4,5))))</x:f>
        <x:v>5</x:v>
      </x:c>
      <x:c r="AR91" s="59" t="n">
        <x:f>AN91*(1-Q91)/F91*$AS$3+U91*$AS$4+P91*$AS$5</x:f>
        <x:v>5939.481293700688</x:v>
      </x:c>
      <x:c r="AS91" s="59" t="n">
        <x:f>1+AH91*$AS$6+AI91*$AS$7+(AJ91-1)*$AS$8+($H$10*H91+$I$10*I91+$J$10*J91+$K$10*K91+$L$10*L91)*$AU$3*$AS$9+($H$10*H91+$I$10*I91+$J$10*J91+$K$10*K91+$L$10*L91)*$AU$4*$AS$10</x:f>
        <x:v>9.879058201812025</x:v>
      </x:c>
      <x:c r="AT91" s="60" t="n">
        <x:f>ROUND(AR91*AS91,0)</x:f>
        <x:v>58676</x:v>
      </x:c>
      <x:c r="AU91" s="60" t="n">
        <x:f>ROUND(AT91*F91,0)</x:f>
        <x:v>293380</x:v>
      </x:c>
      <x:c r="AV91" s="60" t="n">
        <x:f>MIN(MATCH(B91,'主线调参'!$M$11:$M$62,1),ROWS('主线调参'!$M$11:$M$62)-1)</x:f>
        <x:v>25</x:v>
      </x:c>
      <x:c r="AW91" s="62" t="n">
        <x:f>(B91-INDEX('主线调参'!$M$11:$M$62,AV91))/(INDEX('主线调参'!$M$11:$M$62,AV91+1)-INDEX('主线调参'!$M$11:$M$62,AV91))</x:f>
        <x:v>0.7142857142857143</x:v>
      </x:c>
      <x:c r="AX91" s="60" t="n">
        <x:f>IF(AU91=0,0,ROUND(AU91,2-INT(LOG10(ABS(AU91)))))</x:f>
        <x:v>293000</x:v>
      </x:c>
      <x:c r="AY91" s="62" t="n">
        <x:f>AU91/AU90-1</x:f>
        <x:v>0.02285365641070336</x:v>
      </x:c>
    </x:row>
    <x:row r="92" ht="25" customHeight="1">
      <x:c r="A92" s="40" t="n">
        <x:f>'调前玩家曲线'!A92</x:f>
        <x:v>34</x:v>
      </x:c>
      <x:c r="B92" s="40" t="n">
        <x:f>'调前玩家曲线'!B92</x:f>
        <x:v>81</x:v>
      </x:c>
      <x:c r="C92" s="40" t="n">
        <x:f>'调前玩家曲线'!C92</x:f>
        <x:v>6</x:v>
      </x:c>
      <x:c r="D92" s="40" t="n">
        <x:f>'调前玩家曲线'!D92</x:f>
        <x:v>12</x:v>
      </x:c>
      <x:c r="E92" s="40" t="n">
        <x:f>'调前玩家曲线'!E92</x:f>
        <x:v>1</x:v>
      </x:c>
      <x:c r="F92" s="40" t="n">
        <x:f>'调前玩家曲线'!F92</x:f>
        <x:v>5</x:v>
      </x:c>
      <x:c r="G92" s="63" t="n">
        <x:f>IF(B92&lt;$G$8,0,(INDEX('主线调参'!$C$11:$C$62,$AV92)+(INDEX('主线调参'!$C$11:$C$62,$AV92+1)-INDEX('主线调参'!$C$11:$C$62,$AV92))*$AW92)*'参数说明'!$C$27)</x:f>
        <x:v>0.5469982977321668</x:v>
      </x:c>
      <x:c r="H92" s="63" t="n">
        <x:f>IF(B92&lt;$H$8,0,(INDEX('主线调参'!$D$11:$D$62,$AV92)+(INDEX('主线调参'!$D$11:$D$62,$AV92+1)-INDEX('主线调参'!$D$11:$D$62,$AV92))*$AW92)*'参数说明'!$D$27)</x:f>
        <x:v>0.42243035924870964</x:v>
      </x:c>
      <x:c r="I92" s="63" t="n">
        <x:f>IF(B92&lt;$I$8,0,(INDEX('主线调参'!$E$11:$E$62,$AV92)+(INDEX('主线调参'!$E$11:$E$62,$AV92+1)-INDEX('主线调参'!$E$11:$E$62,$AV92))*$AW92)*'参数说明'!$E$27)</x:f>
        <x:v>0.14107597690279636</x:v>
      </x:c>
      <x:c r="J92" s="63" t="n">
        <x:f>IF(B92&lt;$J$8,0,(INDEX('主线调参'!$F$11:$F$62,$AV92)+(INDEX('主线调参'!$F$11:$F$62,$AV92+1)-INDEX('主线调参'!$F$11:$F$62,$AV92))*$AW92)*'参数说明'!$F$27)</x:f>
        <x:v>0.27595677521632067</x:v>
      </x:c>
      <x:c r="K92" s="63" t="n">
        <x:f>IF(B92&lt;$K$8,0,(INDEX('主线调参'!$G$11:$G$62,$AV92)+(INDEX('主线调参'!$G$11:$G$62,$AV92+1)-INDEX('主线调参'!$G$11:$G$62,$AV92))*$AW92)*'参数说明'!$G$27)</x:f>
        <x:v>0</x:v>
      </x:c>
      <x:c r="L92" s="63" t="n">
        <x:f>IF(B92&lt;$L$8,0,(INDEX('主线调参'!$H$11:$H$62,$AV92)+(INDEX('主线调参'!$H$11:$H$62,$AV92+1)-INDEX('主线调参'!$H$11:$H$62,$AV92))*$AW92)*'参数说明'!$H$27)</x:f>
        <x:v>0.3929269077332241</x:v>
      </x:c>
      <x:c r="M92" s="59" t="n">
        <x:f>E92*'模块规划'!$F$10+G92*'模块规划'!$F$11+H92*'模块规划'!$F$13</x:f>
        <x:v>3625.5918291144008</x:v>
      </x:c>
      <x:c r="N92" s="59" t="n">
        <x:f>I92*'模块规划'!$F$15+J92*'模块规划'!$F$17+K92*'模块规划'!$F$16+L92*'模块规划'!$F$18</x:f>
        <x:v>5852.810106051698</x:v>
      </x:c>
      <x:c r="O92" s="59" t="n">
        <x:f>1+O$9*SUMPRODUCT($H$10:$L$10,H92:L92)/SUM($H$10:$L$10)</x:f>
        <x:v>1.9408362973956859</x:v>
      </x:c>
      <x:c r="P92" s="59" t="n">
        <x:f>M92*O92+N92</x:f>
        <x:v>12889.490327538144</x:v>
      </x:c>
      <x:c r="Q92" s="59" t="n">
        <x:f>P92/(P92+'_曲线基线'!$L$2)</x:f>
        <x:v>0.3494081976490765</x:v>
      </x:c>
      <x:c r="R92" s="59" t="n">
        <x:f>E92*'模块规划'!$E$10+G92*'模块规划'!$E$11+H92*'模块规划'!$E$13</x:f>
        <x:v>5438.387743671601</x:v>
      </x:c>
      <x:c r="S92" s="59" t="n">
        <x:f>I92*'模块规划'!$E$15+J92*'模块规划'!$E$17+K92*'模块规划'!$E$16+L92*'模块规划'!$E$18</x:f>
        <x:v>8779.215159077547</x:v>
      </x:c>
      <x:c r="T92" s="59" t="n">
        <x:f>1+T$9*SUMPRODUCT($H$10:$L$10,H92:L92)/SUM($H$10:$L$10)</x:f>
        <x:v>1.9408362973956859</x:v>
      </x:c>
      <x:c r="U92" s="59" t="n">
        <x:f>R92*T92+S92</x:f>
        <x:v>19334.235491307216</x:v>
      </x:c>
      <x:c r="V92" s="59" t="n">
        <x:f>V$8+(V$9-V$8)*H92</x:f>
        <x:v>0.8267291077746128</x:v>
      </x:c>
      <x:c r="W92" s="59" t="n">
        <x:f>IF(B92&lt;$H$8,0,W$8+(W$9-W$8)*H92)</x:f>
        <x:v>0.16897214369948388</x:v>
      </x:c>
      <x:c r="X92" s="59" t="n">
        <x:f>X$8+(X$9-X$8)*H92</x:f>
        <x:v>0.3911683487933952</x:v>
      </x:c>
      <x:c r="Y92" s="59" t="n">
        <x:f>Y$8+(Y$9-Y$8)*G92</x:f>
        <x:v>1</x:v>
      </x:c>
      <x:c r="Z92" s="59" t="n">
        <x:f>Z$8+(Z$9-Z$8)*H92</x:f>
        <x:v>1</x:v>
      </x:c>
      <x:c r="AA92" s="59" t="n">
        <x:f>AA$8+(AA$9-AA$8)*I92</x:f>
        <x:v>1</x:v>
      </x:c>
      <x:c r="AB92" s="59" t="n">
        <x:f>AB$8+(AB$9-AB$8)*J92</x:f>
        <x:v>1</x:v>
      </x:c>
      <x:c r="AC92" s="59" t="n">
        <x:f>AC$8+(AC$9-AC$8)*MAX(K92,L92)</x:f>
        <x:v>1</x:v>
      </x:c>
      <x:c r="AD92" s="59" t="n">
        <x:f>(V92*AE92+W92*AF92+X92*AG92)*PRODUCT(Y92:AC92)</x:f>
        <x:v>1.4584652030272542</x:v>
      </x:c>
      <x:c r="AE92" s="59" t="n">
        <x:f>1+AE$9*($H$10*H92+$I$10*I92+$J$10*J92+$K$10*K92+$L$10*L92)</x:f>
        <x:v>1</x:v>
      </x:c>
      <x:c r="AF92" s="59" t="n">
        <x:f>1+AF$9*($H$10*H92+$I$10*I92+$J$10*J92+$K$10*K92+$L$10*L92)</x:f>
        <x:v>1.0830373736162995</x:v>
      </x:c>
      <x:c r="AG92" s="59" t="n">
        <x:f>1+AG$9*($H$10*H92+$I$10*I92+$J$10*J92+$K$10*K92+$L$10*L92)</x:f>
        <x:v>1.1471606787977762</x:v>
      </x:c>
      <x:c r="AH92" s="59" t="n">
        <x:f>MIN(1,'_曲线基线'!$L$3+AH$9*($H$10*H92+$I$10*I92+$J$10*J92+$K$10*K92+$L$10*L92))</x:f>
        <x:v>0.23891002497708103</x:v>
      </x:c>
      <x:c r="AI92" s="59" t="n">
        <x:f>'_曲线基线'!$L$4+AI$9*($H$10*H92+$I$10*I92+$J$10*J92+$K$10*K92+$L$10*L92)</x:f>
        <x:v>2.526249355293297</x:v>
      </x:c>
      <x:c r="AJ92" s="59" t="n">
        <x:f>1+AJ$9*($H$10*H92+$I$10*I92+$J$10*J92+$K$10*K92+$L$10*L92)</x:f>
        <x:v>1.4317943428047566</x:v>
      </x:c>
      <x:c r="AK92" s="59" t="n">
        <x:f>(1+AH92*(AI92-1))*AJ92</x:f>
        <x:v>1.953878493655002</x:v>
      </x:c>
      <x:c r="AL92" s="59" t="n">
        <x:f>U92*AD92*AK92*F92</x:f>
        <x:v>275480.3543153553</x:v>
      </x:c>
      <x:c r="AM92" s="59" t="n">
        <x:f>IF($B92&lt;AM$8,0,AM$3+(AM$4-AM$3)*(POWER(AM$5,$B92-AM$8)-1)/(POWER(AM$5,$C$5-AM$8)-1))</x:f>
        <x:v>36.6333963678291</x:v>
      </x:c>
      <x:c r="AN92" s="59" t="n">
        <x:f>(((E92*'模块规划'!$D$10+G92*'模块规划'!$D$11+H92*'模块规划'!$D$13)*(1+'模块规划'!$G$14*H92)+(I92*'模块规划'!$D$15+J92*'模块规划'!$D$17+K92*'模块规划'!$D$16+L92*'模块规划'!$D$18))*(1+'模块规划'!$J$17*J92))*F92/(1-Q92)</x:f>
        <x:v>555341.1885718334</x:v>
      </x:c>
      <x:c r="AO92" s="59" t="n">
        <x:f>AL92*AM92</x:f>
        <x:v>10091781.011184411</x:v>
      </x:c>
      <x:c r="AP92" s="61" t="n">
        <x:f>IF(AO92="","",INDEX('_曲线基线'!$A$3:$A$502,MIN(ROWS('_曲线基线'!$A$3:$A$502),COUNTIF('_曲线基线'!$E$3:$E$502,"&lt;"&amp;AO92)+1)))</x:f>
        <x:v>144</x:v>
      </x:c>
      <x:c r="AQ92" s="61" t="n">
        <x:f>IF(B92&lt;=2,1,IF(B92&lt;=6,2,IF(B92&lt;=9,3,IF(B92&lt;=19,4,5))))</x:f>
        <x:v>5</x:v>
      </x:c>
      <x:c r="AR92" s="59" t="n">
        <x:f>AN92*(1-Q92)/F92*$AS$3+U92*$AS$4+P92*$AS$5</x:f>
        <x:v>6034.649647017363</x:v>
      </x:c>
      <x:c r="AS92" s="59" t="n">
        <x:f>1+AH92*$AS$6+AI92*$AS$7+(AJ92-1)*$AS$8+($H$10*H92+$I$10*I92+$J$10*J92+$K$10*K92+$L$10*L92)*$AU$3*$AS$9+($H$10*H92+$I$10*I92+$J$10*J92+$K$10*K92+$L$10*L92)*$AU$4*$AS$10</x:f>
        <x:v>9.943157424789659</x:v>
      </x:c>
      <x:c r="AT92" s="60" t="n">
        <x:f>ROUND(AR92*AS92,0)</x:f>
        <x:v>60003</x:v>
      </x:c>
      <x:c r="AU92" s="60" t="n">
        <x:f>ROUND(AT92*F92,0)</x:f>
        <x:v>300015</x:v>
      </x:c>
      <x:c r="AV92" s="60" t="n">
        <x:f>MIN(MATCH(B92,'主线调参'!$M$11:$M$62,1),ROWS('主线调参'!$M$11:$M$62)-1)</x:f>
        <x:v>25</x:v>
      </x:c>
      <x:c r="AW92" s="62" t="n">
        <x:f>(B92-INDEX('主线调参'!$M$11:$M$62,AV92))/(INDEX('主线调参'!$M$11:$M$62,AV92+1)-INDEX('主线调参'!$M$11:$M$62,AV92))</x:f>
        <x:v>0.7857142857142857</x:v>
      </x:c>
      <x:c r="AX92" s="60" t="n">
        <x:f>IF(AU92=0,0,ROUND(AU92,2-INT(LOG10(ABS(AU92)))))</x:f>
        <x:v>300000</x:v>
      </x:c>
      <x:c r="AY92" s="62" t="n">
        <x:f>AU92/AU91-1</x:f>
        <x:v>0.02261572022632774</x:v>
      </x:c>
    </x:row>
    <x:row r="93" ht="25" customHeight="1">
      <x:c r="A93" s="40" t="n">
        <x:f>'调前玩家曲线'!A93</x:f>
        <x:v>34</x:v>
      </x:c>
      <x:c r="B93" s="40" t="n">
        <x:f>'调前玩家曲线'!B93</x:f>
        <x:v>82</x:v>
      </x:c>
      <x:c r="C93" s="40" t="n">
        <x:f>'调前玩家曲线'!C93</x:f>
        <x:v>6</x:v>
      </x:c>
      <x:c r="D93" s="40" t="n">
        <x:f>'调前玩家曲线'!D93</x:f>
        <x:v>13</x:v>
      </x:c>
      <x:c r="E93" s="40" t="n">
        <x:f>'调前玩家曲线'!E93</x:f>
        <x:v>1</x:v>
      </x:c>
      <x:c r="F93" s="40" t="n">
        <x:f>'调前玩家曲线'!F93</x:f>
        <x:v>5</x:v>
      </x:c>
      <x:c r="G93" s="63" t="n">
        <x:f>IF(B93&lt;$G$8,0,(INDEX('主线调参'!$C$11:$C$62,$AV93)+(INDEX('主线调参'!$C$11:$C$62,$AV93+1)-INDEX('主线调参'!$C$11:$C$62,$AV93))*$AW93)*'参数说明'!$C$27)</x:f>
        <x:v>0.5502882338020327</x:v>
      </x:c>
      <x:c r="H93" s="63" t="n">
        <x:f>IF(B93&lt;$H$8,0,(INDEX('主线调参'!$D$11:$D$62,$AV93)+(INDEX('主线调参'!$D$11:$D$62,$AV93+1)-INDEX('主线调参'!$D$11:$D$62,$AV93))*$AW93)*'参数说明'!$D$27)</x:f>
        <x:v>0.4254248129206313</x:v>
      </x:c>
      <x:c r="I93" s="63" t="n">
        <x:f>IF(B93&lt;$I$8,0,(INDEX('主线调参'!$E$11:$E$62,$AV93)+(INDEX('主线调参'!$E$11:$E$62,$AV93+1)-INDEX('主线调参'!$E$11:$E$62,$AV93))*$AW93)*'参数说明'!$E$27)</x:f>
        <x:v>0.14877522334004792</x:v>
      </x:c>
      <x:c r="J93" s="63" t="n">
        <x:f>IF(B93&lt;$J$8,0,(INDEX('主线调参'!$F$11:$F$62,$AV93)+(INDEX('主线调参'!$F$11:$F$62,$AV93+1)-INDEX('主线调参'!$F$11:$F$62,$AV93))*$AW93)*'参数说明'!$F$27)</x:f>
        <x:v>0.27982487208316964</x:v>
      </x:c>
      <x:c r="K93" s="63" t="n">
        <x:f>IF(B93&lt;$K$8,0,(INDEX('主线调参'!$G$11:$G$62,$AV93)+(INDEX('主线调参'!$G$11:$G$62,$AV93+1)-INDEX('主线调参'!$G$11:$G$62,$AV93))*$AW93)*'参数说明'!$G$27)</x:f>
        <x:v>0</x:v>
      </x:c>
      <x:c r="L93" s="63" t="n">
        <x:f>IF(B93&lt;$L$8,0,(INDEX('主线调参'!$H$11:$H$62,$AV93)+(INDEX('主线调参'!$H$11:$H$62,$AV93+1)-INDEX('主线调参'!$H$11:$H$62,$AV93))*$AW93)*'参数说明'!$H$27)</x:f>
        <x:v>0.3965119731220109</x:v>
      </x:c>
      <x:c r="M93" s="59" t="n">
        <x:f>E93*'模块规划'!$F$10+G93*'模块规划'!$F$11+H93*'模块规划'!$F$13</x:f>
        <x:v>3641.3835222497573</x:v>
      </x:c>
      <x:c r="N93" s="59" t="n">
        <x:f>I93*'模块规划'!$F$15+J93*'模块规划'!$F$17+K93*'模块规划'!$F$16+L93*'模块规划'!$F$18</x:f>
        <x:v>5971.010373162135</x:v>
      </x:c>
      <x:c r="O93" s="59" t="n">
        <x:f>1+O$9*SUMPRODUCT($H$10:$L$10,H93:L93)/SUM($H$10:$L$10)</x:f>
        <x:v>1.9529910760978988</x:v>
      </x:c>
      <x:c r="P93" s="59" t="n">
        <x:f>M93*O93+N93</x:f>
        <x:v>13082.599896765845</x:v>
      </x:c>
      <x:c r="Q93" s="59" t="n">
        <x:f>P93/(P93+'_曲线基线'!$L$2)</x:f>
        <x:v>0.35279618832515686</x:v>
      </x:c>
      <x:c r="R93" s="59" t="n">
        <x:f>E93*'模块规划'!$E$10+G93*'模块规划'!$E$11+H93*'模块规划'!$E$13</x:f>
        <x:v>5462.075283374636</x:v>
      </x:c>
      <x:c r="S93" s="59" t="n">
        <x:f>I93*'模块规划'!$E$15+J93*'模块规划'!$E$17+K93*'模块规划'!$E$16+L93*'模块规划'!$E$18</x:f>
        <x:v>8956.5155597432</x:v>
      </x:c>
      <x:c r="T93" s="59" t="n">
        <x:f>1+T$9*SUMPRODUCT($H$10:$L$10,H93:L93)/SUM($H$10:$L$10)</x:f>
        <x:v>1.9529910760978988</x:v>
      </x:c>
      <x:c r="U93" s="59" t="n">
        <x:f>R93*T93+S93</x:f>
        <x:v>19623.899845148764</x:v>
      </x:c>
      <x:c r="V93" s="59" t="n">
        <x:f>V$8+(V$9-V$8)*H93</x:f>
        <x:v>0.8276274438761894</x:v>
      </x:c>
      <x:c r="W93" s="59" t="n">
        <x:f>IF(B93&lt;$H$8,0,W$8+(W$9-W$8)*H93)</x:f>
        <x:v>0.17016992516825252</x:v>
      </x:c>
      <x:c r="X93" s="59" t="n">
        <x:f>X$8+(X$9-X$8)*H93</x:f>
        <x:v>0.39199182355317364</x:v>
      </x:c>
      <x:c r="Y93" s="59" t="n">
        <x:f>Y$8+(Y$9-Y$8)*G93</x:f>
        <x:v>1</x:v>
      </x:c>
      <x:c r="Z93" s="59" t="n">
        <x:f>Z$8+(Z$9-Z$8)*H93</x:f>
        <x:v>1</x:v>
      </x:c>
      <x:c r="AA93" s="59" t="n">
        <x:f>AA$8+(AA$9-AA$8)*I93</x:f>
        <x:v>1</x:v>
      </x:c>
      <x:c r="AB93" s="59" t="n">
        <x:f>AB$8+(AB$9-AB$8)*J93</x:f>
        <x:v>1</x:v>
      </x:c>
      <x:c r="AC93" s="59" t="n">
        <x:f>AC$8+(AC$9-AC$8)*MAX(K93,L93)</x:f>
        <x:v>1</x:v>
      </x:c>
      <x:c r="AD93" s="59" t="n">
        <x:f>(V93*AE93+W93*AF93+X93*AG93)*PRODUCT(Y93:AC93)</x:f>
        <x:v>1.4625332419236265</x:v>
      </x:c>
      <x:c r="AE93" s="59" t="n">
        <x:f>1+AE$9*($H$10*H93+$I$10*I93+$J$10*J93+$K$10*K93+$L$10*L93)</x:f>
        <x:v>1</x:v>
      </x:c>
      <x:c r="AF93" s="59" t="n">
        <x:f>1+AF$9*($H$10*H93+$I$10*I93+$J$10*J93+$K$10*K93+$L$10*L93)</x:f>
        <x:v>1.0841101435584382</x:v>
      </x:c>
      <x:c r="AG93" s="59" t="n">
        <x:f>1+AG$9*($H$10*H93+$I$10*I93+$J$10*J93+$K$10*K93+$L$10*L93)</x:f>
        <x:v>1.1490618655285665</x:v>
      </x:c>
      <x:c r="AH93" s="59" t="n">
        <x:f>MIN(1,'_曲线基线'!$L$3+AH$9*($H$10*H93+$I$10*I93+$J$10*J93+$K$10*K93+$L$10*L93))</x:f>
        <x:v>0.2413505765954465</x:v>
      </x:c>
      <x:c r="AI93" s="59" t="n">
        <x:f>'_曲线基线'!$L$4+AI$9*($H$10*H93+$I$10*I93+$J$10*J93+$K$10*K93+$L$10*L93)</x:f>
        <x:v>2.5330480348016007</x:v>
      </x:c>
      <x:c r="AJ93" s="59" t="n">
        <x:f>1+AJ$9*($H$10*H93+$I$10*I93+$J$10*J93+$K$10*K93+$L$10*L93)</x:f>
        <x:v>1.4373727465038777</x:v>
      </x:c>
      <x:c r="AK93" s="59" t="n">
        <x:f>(1+AH93*(AI93-1))*AJ93</x:f>
        <x:v>1.969203576477432</x:v>
      </x:c>
      <x:c r="AL93" s="59" t="n">
        <x:f>U93*AD93*AK93*F93</x:f>
        <x:v>282586.67853005015</x:v>
      </x:c>
      <x:c r="AM93" s="59" t="n">
        <x:f>IF($B93&lt;AM$8,0,AM$3+(AM$4-AM$3)*(POWER(AM$5,$B93-AM$8)-1)/(POWER(AM$5,$C$5-AM$8)-1))</x:f>
        <x:v>36.66315497142926</x:v>
      </x:c>
      <x:c r="AN93" s="59" t="n">
        <x:f>(((E93*'模块规划'!$D$10+G93*'模块规划'!$D$11+H93*'模块规划'!$D$13)*(1+'模块规划'!$G$14*H93)+(I93*'模块规划'!$D$15+J93*'模块规划'!$D$17+K93*'模块规划'!$D$16+L93*'模块规划'!$D$18))*(1+'模块规划'!$J$17*J93))*F93/(1-Q93)</x:f>
        <x:v>567924.8448695713</x:v>
      </x:c>
      <x:c r="AO93" s="59" t="n">
        <x:f>AL93*AM93</x:f>
        <x:v>10360519.187808689</x:v>
      </x:c>
      <x:c r="AP93" s="61" t="n">
        <x:f>IF(AO93="","",INDEX('_曲线基线'!$A$3:$A$502,MIN(ROWS('_曲线基线'!$A$3:$A$502),COUNTIF('_曲线基线'!$E$3:$E$502,"&lt;"&amp;AO93)+1)))</x:f>
        <x:v>146</x:v>
      </x:c>
      <x:c r="AQ93" s="61" t="n">
        <x:f>IF(B93&lt;=2,1,IF(B93&lt;=6,2,IF(B93&lt;=9,3,IF(B93&lt;=19,4,5))))</x:f>
        <x:v>5</x:v>
      </x:c>
      <x:c r="AR93" s="59" t="n">
        <x:f>AN93*(1-Q93)/F93*$AS$3+U93*$AS$4+P93*$AS$5</x:f>
        <x:v>6130.158715096335</x:v>
      </x:c>
      <x:c r="AS93" s="59" t="n">
        <x:f>1+AH93*$AS$6+AI93*$AS$7+(AJ93-1)*$AS$8+($H$10*H93+$I$10*I93+$J$10*J93+$K$10*K93+$L$10*L93)*$AU$3*$AS$9+($H$10*H93+$I$10*I93+$J$10*J93+$K$10*K93+$L$10*L93)*$AU$4*$AS$10</x:f>
        <x:v>10.007256647767289</x:v>
      </x:c>
      <x:c r="AT93" s="60" t="n">
        <x:f>ROUND(AR93*AS93,0)</x:f>
        <x:v>61346</x:v>
      </x:c>
      <x:c r="AU93" s="60" t="n">
        <x:f>ROUND(AT93*F93,0)</x:f>
        <x:v>306730</x:v>
      </x:c>
      <x:c r="AV93" s="60" t="n">
        <x:f>MIN(MATCH(B93,'主线调参'!$M$11:$M$62,1),ROWS('主线调参'!$M$11:$M$62)-1)</x:f>
        <x:v>25</x:v>
      </x:c>
      <x:c r="AW93" s="62" t="n">
        <x:f>(B93-INDEX('主线调参'!$M$11:$M$62,AV93))/(INDEX('主线调参'!$M$11:$M$62,AV93+1)-INDEX('主线调参'!$M$11:$M$62,AV93))</x:f>
        <x:v>0.8571428571428571</x:v>
      </x:c>
      <x:c r="AX93" s="60" t="n">
        <x:f>IF(AU93=0,0,ROUND(AU93,2-INT(LOG10(ABS(AU93)))))</x:f>
        <x:v>307000</x:v>
      </x:c>
      <x:c r="AY93" s="62" t="n">
        <x:f>AU93/AU92-1</x:f>
        <x:v>0.02238221422262221</x:v>
      </x:c>
    </x:row>
    <x:row r="94" ht="25" customHeight="1">
      <x:c r="A94" s="40" t="n">
        <x:f>'调前玩家曲线'!A94</x:f>
        <x:v>34</x:v>
      </x:c>
      <x:c r="B94" s="40" t="n">
        <x:f>'调前玩家曲线'!B94</x:f>
        <x:v>83</x:v>
      </x:c>
      <x:c r="C94" s="40" t="n">
        <x:f>'调前玩家曲线'!C94</x:f>
        <x:v>6</x:v>
      </x:c>
      <x:c r="D94" s="40" t="n">
        <x:f>'调前玩家曲线'!D94</x:f>
        <x:v>14</x:v>
      </x:c>
      <x:c r="E94" s="40" t="n">
        <x:f>'调前玩家曲线'!E94</x:f>
        <x:v>1</x:v>
      </x:c>
      <x:c r="F94" s="40" t="n">
        <x:f>'调前玩家曲线'!F94</x:f>
        <x:v>5</x:v>
      </x:c>
      <x:c r="G94" s="63" t="n">
        <x:f>IF(B94&lt;$G$8,0,(INDEX('主线调参'!$C$11:$C$62,$AV94)+(INDEX('主线调参'!$C$11:$C$62,$AV94+1)-INDEX('主线调参'!$C$11:$C$62,$AV94))*$AW94)*'参数说明'!$C$27)</x:f>
        <x:v>0.5535781698718988</x:v>
      </x:c>
      <x:c r="H94" s="63" t="n">
        <x:f>IF(B94&lt;$H$8,0,(INDEX('主线调参'!$D$11:$D$62,$AV94)+(INDEX('主线调参'!$D$11:$D$62,$AV94+1)-INDEX('主线调参'!$D$11:$D$62,$AV94))*$AW94)*'参数说明'!$D$27)</x:f>
        <x:v>0.4284192665925528</x:v>
      </x:c>
      <x:c r="I94" s="63" t="n">
        <x:f>IF(B94&lt;$I$8,0,(INDEX('主线调参'!$E$11:$E$62,$AV94)+(INDEX('主线调参'!$E$11:$E$62,$AV94+1)-INDEX('主线调参'!$E$11:$E$62,$AV94))*$AW94)*'参数说明'!$E$27)</x:f>
        <x:v>0.15647446977729945</x:v>
      </x:c>
      <x:c r="J94" s="63" t="n">
        <x:f>IF(B94&lt;$J$8,0,(INDEX('主线调参'!$F$11:$F$62,$AV94)+(INDEX('主线调参'!$F$11:$F$62,$AV94+1)-INDEX('主线调参'!$F$11:$F$62,$AV94))*$AW94)*'参数说明'!$F$27)</x:f>
        <x:v>0.2836929689500186</x:v>
      </x:c>
      <x:c r="K94" s="63" t="n">
        <x:f>IF(B94&lt;$K$8,0,(INDEX('主线调参'!$G$11:$G$62,$AV94)+(INDEX('主线调参'!$G$11:$G$62,$AV94+1)-INDEX('主线调参'!$G$11:$G$62,$AV94))*$AW94)*'参数说明'!$G$27)</x:f>
        <x:v>0</x:v>
      </x:c>
      <x:c r="L94" s="63" t="n">
        <x:f>IF(B94&lt;$L$8,0,(INDEX('主线调参'!$H$11:$H$62,$AV94)+(INDEX('主线调参'!$H$11:$H$62,$AV94+1)-INDEX('主线调参'!$H$11:$H$62,$AV94))*$AW94)*'参数说明'!$H$27)</x:f>
        <x:v>0.40009703851079786</x:v>
      </x:c>
      <x:c r="M94" s="59" t="n">
        <x:f>E94*'模块规划'!$F$10+G94*'模块规划'!$F$11+H94*'模块规划'!$F$13</x:f>
        <x:v>3657.1752153851144</x:v>
      </x:c>
      <x:c r="N94" s="59" t="n">
        <x:f>I94*'模块规划'!$F$15+J94*'模块规划'!$F$17+K94*'模块规划'!$F$16+L94*'模块规划'!$F$18</x:f>
        <x:v>6089.210640272571</x:v>
      </x:c>
      <x:c r="O94" s="59" t="n">
        <x:f>1+O$9*SUMPRODUCT($H$10:$L$10,H94:L94)/SUM($H$10:$L$10)</x:f>
        <x:v>1.9651458548001124</x:v>
      </x:c>
      <x:c r="P94" s="59" t="n">
        <x:f>M94*O94+N94</x:f>
        <x:v>13276.093355064337</x:v>
      </x:c>
      <x:c r="Q94" s="59" t="n">
        <x:f>P94/(P94+'_曲线基线'!$L$2)</x:f>
        <x:v>0.35615570624867116</x:v>
      </x:c>
      <x:c r="R94" s="59" t="n">
        <x:f>E94*'模块规划'!$E$10+G94*'模块规划'!$E$11+H94*'模块规划'!$E$13</x:f>
        <x:v>5485.762823077672</x:v>
      </x:c>
      <x:c r="S94" s="59" t="n">
        <x:f>I94*'模块规划'!$E$15+J94*'模块规划'!$E$17+K94*'模块规划'!$E$16+L94*'模块规划'!$E$18</x:f>
        <x:v>9133.815960408856</x:v>
      </x:c>
      <x:c r="T94" s="59" t="n">
        <x:f>1+T$9*SUMPRODUCT($H$10:$L$10,H94:L94)/SUM($H$10:$L$10)</x:f>
        <x:v>1.9651458548001124</x:v>
      </x:c>
      <x:c r="U94" s="59" t="n">
        <x:f>R94*T94+S94</x:f>
        <x:v>19914.140032596504</x:v>
      </x:c>
      <x:c r="V94" s="59" t="n">
        <x:f>V$8+(V$9-V$8)*H94</x:f>
        <x:v>0.8285257799777658</x:v>
      </x:c>
      <x:c r="W94" s="59" t="n">
        <x:f>IF(B94&lt;$H$8,0,W$8+(W$9-W$8)*H94)</x:f>
        <x:v>0.17136770663702114</x:v>
      </x:c>
      <x:c r="X94" s="59" t="n">
        <x:f>X$8+(X$9-X$8)*H94</x:f>
        <x:v>0.39281529831295203</x:v>
      </x:c>
      <x:c r="Y94" s="59" t="n">
        <x:f>Y$8+(Y$9-Y$8)*G94</x:f>
        <x:v>1</x:v>
      </x:c>
      <x:c r="Z94" s="59" t="n">
        <x:f>Z$8+(Z$9-Z$8)*H94</x:f>
        <x:v>1</x:v>
      </x:c>
      <x:c r="AA94" s="59" t="n">
        <x:f>AA$8+(AA$9-AA$8)*I94</x:f>
        <x:v>1</x:v>
      </x:c>
      <x:c r="AB94" s="59" t="n">
        <x:f>AB$8+(AB$9-AB$8)*J94</x:f>
        <x:v>1</x:v>
      </x:c>
      <x:c r="AC94" s="59" t="n">
        <x:f>AC$8+(AC$9-AC$8)*MAX(K94,L94)</x:f>
        <x:v>1</x:v>
      </x:c>
      <x:c r="AD94" s="59" t="n">
        <x:f>(V94*AE94+W94*AF94+X94*AG94)*PRODUCT(Y94:AC94)</x:f>
        <x:v>1.4666069818664853</x:v>
      </x:c>
      <x:c r="AE94" s="59" t="n">
        <x:f>1+AE$9*($H$10*H94+$I$10*I94+$J$10*J94+$K$10*K94+$L$10*L94)</x:f>
        <x:v>1</x:v>
      </x:c>
      <x:c r="AF94" s="59" t="n">
        <x:f>1+AF$9*($H$10*H94+$I$10*I94+$J$10*J94+$K$10*K94+$L$10*L94)</x:f>
        <x:v>1.0851829135005768</x:v>
      </x:c>
      <x:c r="AG94" s="59" t="n">
        <x:f>1+AG$9*($H$10*H94+$I$10*I94+$J$10*J94+$K$10*K94+$L$10*L94)</x:f>
        <x:v>1.1509630522593566</x:v>
      </x:c>
      <x:c r="AH94" s="59" t="n">
        <x:f>MIN(1,'_曲线基线'!$L$3+AH$9*($H$10*H94+$I$10*I94+$J$10*J94+$K$10*K94+$L$10*L94))</x:f>
        <x:v>0.243791128213812</x:v>
      </x:c>
      <x:c r="AI94" s="59" t="n">
        <x:f>'_曲线基线'!$L$4+AI$9*($H$10*H94+$I$10*I94+$J$10*J94+$K$10*K94+$L$10*L94)</x:f>
        <x:v>2.539846714309905</x:v>
      </x:c>
      <x:c r="AJ94" s="59" t="n">
        <x:f>1+AJ$9*($H$10*H94+$I$10*I94+$J$10*J94+$K$10*K94+$L$10*L94)</x:f>
        <x:v>1.4429511502029988</x:v>
      </x:c>
      <x:c r="AK94" s="59" t="n">
        <x:f>(1+AH94*(AI94-1))*AJ94</x:f>
        <x:v>1.9846364084166417</x:v>
      </x:c>
      <x:c r="AL94" s="59" t="n">
        <x:f>U94*AD94*AK94*F94</x:f>
        <x:v>289818.606162935</x:v>
      </x:c>
      <x:c r="AM94" s="59" t="n">
        <x:f>IF($B94&lt;AM$8,0,AM$3+(AM$4-AM$3)*(POWER(AM$5,$B94-AM$8)-1)/(POWER(AM$5,$C$5-AM$8)-1))</x:f>
        <x:v>36.69321116106542</x:v>
      </x:c>
      <x:c r="AN94" s="59" t="n">
        <x:f>(((E94*'模块规划'!$D$10+G94*'模块规划'!$D$11+H94*'模块规划'!$D$13)*(1+'模块规划'!$G$14*H94)+(I94*'模块规划'!$D$15+J94*'模块规划'!$D$17+K94*'模块规划'!$D$16+L94*'模块规划'!$D$18))*(1+'模块规划'!$J$17*J94))*F94/(1-Q94)</x:f>
        <x:v>580673.6947064166</x:v>
      </x:c>
      <x:c r="AO94" s="59" t="n">
        <x:f>AL94*AM94</x:f>
        <x:v>10634375.314342229</x:v>
      </x:c>
      <x:c r="AP94" s="61" t="n">
        <x:f>IF(AO94="","",INDEX('_曲线基线'!$A$3:$A$502,MIN(ROWS('_曲线基线'!$A$3:$A$502),COUNTIF('_曲线基线'!$E$3:$E$502,"&lt;"&amp;AO94)+1)))</x:f>
        <x:v>147</x:v>
      </x:c>
      <x:c r="AQ94" s="61" t="n">
        <x:f>IF(B94&lt;=2,1,IF(B94&lt;=6,2,IF(B94&lt;=9,3,IF(B94&lt;=19,4,5))))</x:f>
        <x:v>5</x:v>
      </x:c>
      <x:c r="AR94" s="59" t="n">
        <x:f>AN94*(1-Q94)/F94*$AS$3+U94*$AS$4+P94*$AS$5</x:f>
        <x:v>6226.008675728666</x:v>
      </x:c>
      <x:c r="AS94" s="59" t="n">
        <x:f>1+AH94*$AS$6+AI94*$AS$7+(AJ94-1)*$AS$8+($H$10*H94+$I$10*I94+$J$10*J94+$K$10*K94+$L$10*L94)*$AU$3*$AS$9+($H$10*H94+$I$10*I94+$J$10*J94+$K$10*K94+$L$10*L94)*$AU$4*$AS$10</x:f>
        <x:v>10.071355870744922</x:v>
      </x:c>
      <x:c r="AT94" s="60" t="n">
        <x:f>ROUND(AR94*AS94,0)</x:f>
        <x:v>62704</x:v>
      </x:c>
      <x:c r="AU94" s="60" t="n">
        <x:f>ROUND(AT94*F94,0)</x:f>
        <x:v>313520</x:v>
      </x:c>
      <x:c r="AV94" s="60" t="n">
        <x:f>MIN(MATCH(B94,'主线调参'!$M$11:$M$62,1),ROWS('主线调参'!$M$11:$M$62)-1)</x:f>
        <x:v>25</x:v>
      </x:c>
      <x:c r="AW94" s="62" t="n">
        <x:f>(B94-INDEX('主线调参'!$M$11:$M$62,AV94))/(INDEX('主线调参'!$M$11:$M$62,AV94+1)-INDEX('主线调参'!$M$11:$M$62,AV94))</x:f>
        <x:v>0.9285714285714286</x:v>
      </x:c>
      <x:c r="AX94" s="60" t="n">
        <x:f>IF(AU94=0,0,ROUND(AU94,2-INT(LOG10(ABS(AU94)))))</x:f>
        <x:v>314000</x:v>
      </x:c>
      <x:c r="AY94" s="62" t="n">
        <x:f>AU94/AU93-1</x:f>
        <x:v>0.022136732631304445</x:v>
      </x:c>
    </x:row>
    <x:row r="95" ht="25" customHeight="1">
      <x:c r="A95" s="40" t="n">
        <x:f>'调前玩家曲线'!A95</x:f>
        <x:v>34</x:v>
      </x:c>
      <x:c r="B95" s="40" t="n">
        <x:f>'调前玩家曲线'!B95</x:f>
        <x:v>84</x:v>
      </x:c>
      <x:c r="C95" s="40" t="n">
        <x:f>'调前玩家曲线'!C95</x:f>
        <x:v>6</x:v>
      </x:c>
      <x:c r="D95" s="40" t="n">
        <x:f>'调前玩家曲线'!D95</x:f>
        <x:v>15</x:v>
      </x:c>
      <x:c r="E95" s="40" t="n">
        <x:f>'调前玩家曲线'!E95</x:f>
        <x:v>1</x:v>
      </x:c>
      <x:c r="F95" s="40" t="n">
        <x:f>'调前玩家曲线'!F95</x:f>
        <x:v>5</x:v>
      </x:c>
      <x:c r="G95" s="63" t="n">
        <x:f>IF(B95&lt;$G$8,0,(INDEX('主线调参'!$C$11:$C$62,$AV95)+(INDEX('主线调参'!$C$11:$C$62,$AV95+1)-INDEX('主线调参'!$C$11:$C$62,$AV95))*$AW95)*'参数说明'!$C$27)</x:f>
        <x:v>0.5568681059417647</x:v>
      </x:c>
      <x:c r="H95" s="63" t="n">
        <x:f>IF(B95&lt;$H$8,0,(INDEX('主线调参'!$D$11:$D$62,$AV95)+(INDEX('主线调参'!$D$11:$D$62,$AV95+1)-INDEX('主线调参'!$D$11:$D$62,$AV95))*$AW95)*'参数说明'!$D$27)</x:f>
        <x:v>0.4314137202644744</x:v>
      </x:c>
      <x:c r="I95" s="63" t="n">
        <x:f>IF(B95&lt;$I$8,0,(INDEX('主线调参'!$E$11:$E$62,$AV95)+(INDEX('主线调参'!$E$11:$E$62,$AV95+1)-INDEX('主线调参'!$E$11:$E$62,$AV95))*$AW95)*'参数说明'!$E$27)</x:f>
        <x:v>0.164173716214551</x:v>
      </x:c>
      <x:c r="J95" s="63" t="n">
        <x:f>IF(B95&lt;$J$8,0,(INDEX('主线调参'!$F$11:$F$62,$AV95)+(INDEX('主线调参'!$F$11:$F$62,$AV95+1)-INDEX('主线调参'!$F$11:$F$62,$AV95))*$AW95)*'参数说明'!$F$27)</x:f>
        <x:v>0.2875610658168676</x:v>
      </x:c>
      <x:c r="K95" s="63" t="n">
        <x:f>IF(B95&lt;$K$8,0,(INDEX('主线调参'!$G$11:$G$62,$AV95)+(INDEX('主线调参'!$G$11:$G$62,$AV95+1)-INDEX('主线调参'!$G$11:$G$62,$AV95))*$AW95)*'参数说明'!$G$27)</x:f>
        <x:v>0</x:v>
      </x:c>
      <x:c r="L95" s="63" t="n">
        <x:f>IF(B95&lt;$L$8,0,(INDEX('主线调参'!$H$11:$H$62,$AV95)+(INDEX('主线调参'!$H$11:$H$62,$AV95+1)-INDEX('主线调参'!$H$11:$H$62,$AV95))*$AW95)*'参数说明'!$H$27)</x:f>
        <x:v>0.40368210389958475</x:v>
      </x:c>
      <x:c r="M95" s="59" t="n">
        <x:f>E95*'模块规划'!$F$10+G95*'模块规划'!$F$11+H95*'模块规划'!$F$13</x:f>
        <x:v>3672.9669085204705</x:v>
      </x:c>
      <x:c r="N95" s="59" t="n">
        <x:f>I95*'模块规划'!$F$15+J95*'模块规划'!$F$17+K95*'模块规划'!$F$16+L95*'模块规划'!$F$18</x:f>
        <x:v>6207.410907383008</x:v>
      </x:c>
      <x:c r="O95" s="59" t="n">
        <x:f>1+O$9*SUMPRODUCT($H$10:$L$10,H95:L95)/SUM($H$10:$L$10)</x:f>
        <x:v>1.9773006335023253</x:v>
      </x:c>
      <x:c r="P95" s="59" t="n">
        <x:f>M95*O95+N95</x:f>
        <x:v>13469.970702433611</x:v>
      </x:c>
      <x:c r="Q95" s="59" t="n">
        <x:f>P95/(P95+'_曲线基线'!$L$2)</x:f>
        <x:v>0.35948708925888645</x:v>
      </x:c>
      <x:c r="R95" s="59" t="n">
        <x:f>E95*'模块规划'!$E$10+G95*'模块规划'!$E$11+H95*'模块规划'!$E$13</x:f>
        <x:v>5509.450362780706</x:v>
      </x:c>
      <x:c r="S95" s="59" t="n">
        <x:f>I95*'模块规划'!$E$15+J95*'模块规划'!$E$17+K95*'模块规划'!$E$16+L95*'模块规划'!$E$18</x:f>
        <x:v>9311.116361074512</x:v>
      </x:c>
      <x:c r="T95" s="59" t="n">
        <x:f>1+T$9*SUMPRODUCT($H$10:$L$10,H95:L95)/SUM($H$10:$L$10)</x:f>
        <x:v>1.9773006335023253</x:v>
      </x:c>
      <x:c r="U95" s="59" t="n">
        <x:f>R95*T95+S95</x:f>
        <x:v>20204.956053650418</x:v>
      </x:c>
      <x:c r="V95" s="59" t="n">
        <x:f>V$8+(V$9-V$8)*H95</x:f>
        <x:v>0.8294241160793423</x:v>
      </x:c>
      <x:c r="W95" s="59" t="n">
        <x:f>IF(B95&lt;$H$8,0,W$8+(W$9-W$8)*H95)</x:f>
        <x:v>0.17256548810578975</x:v>
      </x:c>
      <x:c r="X95" s="59" t="n">
        <x:f>X$8+(X$9-X$8)*H95</x:f>
        <x:v>0.3936387730727305</x:v>
      </x:c>
      <x:c r="Y95" s="59" t="n">
        <x:f>Y$8+(Y$9-Y$8)*G95</x:f>
        <x:v>1</x:v>
      </x:c>
      <x:c r="Z95" s="59" t="n">
        <x:f>Z$8+(Z$9-Z$8)*H95</x:f>
        <x:v>1</x:v>
      </x:c>
      <x:c r="AA95" s="59" t="n">
        <x:f>AA$8+(AA$9-AA$8)*I95</x:f>
        <x:v>1</x:v>
      </x:c>
      <x:c r="AB95" s="59" t="n">
        <x:f>AB$8+(AB$9-AB$8)*J95</x:f>
        <x:v>1</x:v>
      </x:c>
      <x:c r="AC95" s="59" t="n">
        <x:f>AC$8+(AC$9-AC$8)*MAX(K95,L95)</x:f>
        <x:v>1</x:v>
      </x:c>
      <x:c r="AD95" s="59" t="n">
        <x:f>(V95*AE95+W95*AF95+X95*AG95)*PRODUCT(Y95:AC95)</x:f>
        <x:v>1.4706864228558314</x:v>
      </x:c>
      <x:c r="AE95" s="59" t="n">
        <x:f>1+AE$9*($H$10*H95+$I$10*I95+$J$10*J95+$K$10*K95+$L$10*L95)</x:f>
        <x:v>1</x:v>
      </x:c>
      <x:c r="AF95" s="59" t="n">
        <x:f>1+AF$9*($H$10*H95+$I$10*I95+$J$10*J95+$K$10*K95+$L$10*L95)</x:f>
        <x:v>1.0862556834427155</x:v>
      </x:c>
      <x:c r="AG95" s="59" t="n">
        <x:f>1+AG$9*($H$10*H95+$I$10*I95+$J$10*J95+$K$10*K95+$L$10*L95)</x:f>
        <x:v>1.152864238990147</x:v>
      </x:c>
      <x:c r="AH95" s="59" t="n">
        <x:f>MIN(1,'_曲线基线'!$L$3+AH$9*($H$10*H95+$I$10*I95+$J$10*J95+$K$10*K95+$L$10*L95))</x:f>
        <x:v>0.24623167983217742</x:v>
      </x:c>
      <x:c r="AI95" s="59" t="n">
        <x:f>'_曲线基线'!$L$4+AI$9*($H$10*H95+$I$10*I95+$J$10*J95+$K$10*K95+$L$10*L95)</x:f>
        <x:v>2.5466453938182085</x:v>
      </x:c>
      <x:c r="AJ95" s="59" t="n">
        <x:f>1+AJ$9*($H$10*H95+$I$10*I95+$J$10*J95+$K$10*K95+$L$10*L95)</x:f>
        <x:v>1.44852955390212</x:v>
      </x:c>
      <x:c r="AK95" s="59" t="n">
        <x:f>(1+AH95*(AI95-1))*AJ95</x:f>
        <x:v>2.000177544831558</x:v>
      </x:c>
      <x:c r="AL95" s="59" t="n">
        <x:f>U95*AD95*AK95*F95</x:f>
        <x:v>297177.92428556393</x:v>
      </x:c>
      <x:c r="AM95" s="59" t="n">
        <x:f>IF($B95&lt;AM$8,0,AM$3+(AM$4-AM$3)*(POWER(AM$5,$B95-AM$8)-1)/(POWER(AM$5,$C$5-AM$8)-1))</x:f>
        <x:v>36.72356791259794</x:v>
      </x:c>
      <x:c r="AN95" s="59" t="n">
        <x:f>(((E95*'模块规划'!$D$10+G95*'模块规划'!$D$11+H95*'模块规划'!$D$13)*(1+'模块规划'!$G$14*H95)+(I95*'模块规划'!$D$15+J95*'模块规划'!$D$17+K95*'模块规划'!$D$16+L95*'模块规划'!$D$18))*(1+'模块规划'!$J$17*J95))*F95/(1-Q95)</x:f>
        <x:v>593588.996599568</x:v>
      </x:c>
      <x:c r="AO95" s="59" t="n">
        <x:f>AL95*AM95</x:f>
        <x:v>10913433.684625797</x:v>
      </x:c>
      <x:c r="AP95" s="61" t="n">
        <x:f>IF(AO95="","",INDEX('_曲线基线'!$A$3:$A$502,MIN(ROWS('_曲线基线'!$A$3:$A$502),COUNTIF('_曲线基线'!$E$3:$E$502,"&lt;"&amp;AO95)+1)))</x:f>
        <x:v>148</x:v>
      </x:c>
      <x:c r="AQ95" s="61" t="n">
        <x:f>IF(B95&lt;=2,1,IF(B95&lt;=6,2,IF(B95&lt;=9,3,IF(B95&lt;=19,4,5))))</x:f>
        <x:v>5</x:v>
      </x:c>
      <x:c r="AR95" s="59" t="n">
        <x:f>AN95*(1-Q95)/F95*$AS$3+U95*$AS$4+P95*$AS$5</x:f>
        <x:v>6322.199706705402</x:v>
      </x:c>
      <x:c r="AS95" s="59" t="n">
        <x:f>1+AH95*$AS$6+AI95*$AS$7+(AJ95-1)*$AS$8+($H$10*H95+$I$10*I95+$J$10*J95+$K$10*K95+$L$10*L95)*$AU$3*$AS$9+($H$10*H95+$I$10*I95+$J$10*J95+$K$10*K95+$L$10*L95)*$AU$4*$AS$10</x:f>
        <x:v>10.135455093722555</x:v>
      </x:c>
      <x:c r="AT95" s="60" t="n">
        <x:f>ROUND(AR95*AS95,0)</x:f>
        <x:v>64078</x:v>
      </x:c>
      <x:c r="AU95" s="60" t="n">
        <x:f>ROUND(AT95*F95,0)</x:f>
        <x:v>320390</x:v>
      </x:c>
      <x:c r="AV95" s="60" t="n">
        <x:f>MIN(MATCH(B95,'主线调参'!$M$11:$M$62,1),ROWS('主线调参'!$M$11:$M$62)-1)</x:f>
        <x:v>26</x:v>
      </x:c>
      <x:c r="AW95" s="62" t="n">
        <x:f>(B95-INDEX('主线调参'!$M$11:$M$62,AV95))/(INDEX('主线调参'!$M$11:$M$62,AV95+1)-INDEX('主线调参'!$M$11:$M$62,AV95))</x:f>
        <x:v>0</x:v>
      </x:c>
      <x:c r="AX95" s="60" t="n">
        <x:f>IF(AU95=0,0,ROUND(AU95,2-INT(LOG10(ABS(AU95)))))</x:f>
        <x:v>320000</x:v>
      </x:c>
      <x:c r="AY95" s="62" t="n">
        <x:f>AU95/AU94-1</x:f>
        <x:v>0.02191247767287563</x:v>
      </x:c>
    </x:row>
    <x:row r="96" ht="25" customHeight="1">
      <x:c r="A96" s="40" t="n">
        <x:f>'调前玩家曲线'!A96</x:f>
        <x:v>35</x:v>
      </x:c>
      <x:c r="B96" s="40" t="n">
        <x:f>'调前玩家曲线'!B96</x:f>
        <x:v>85</x:v>
      </x:c>
      <x:c r="C96" s="40" t="n">
        <x:f>'调前玩家曲线'!C96</x:f>
        <x:v>7</x:v>
      </x:c>
      <x:c r="D96" s="40" t="n">
        <x:f>'调前玩家曲线'!D96</x:f>
        <x:v>1</x:v>
      </x:c>
      <x:c r="E96" s="40" t="n">
        <x:f>'调前玩家曲线'!E96</x:f>
        <x:v>1</x:v>
      </x:c>
      <x:c r="F96" s="40" t="n">
        <x:f>'调前玩家曲线'!F96</x:f>
        <x:v>5</x:v>
      </x:c>
      <x:c r="G96" s="63" t="n">
        <x:f>IF(B96&lt;$G$8,0,(INDEX('主线调参'!$C$11:$C$62,$AV96)+(INDEX('主线调参'!$C$11:$C$62,$AV96+1)-INDEX('主线调参'!$C$11:$C$62,$AV96))*$AW96)*'参数说明'!$C$27)</x:f>
        <x:v>0.5598000350810604</x:v>
      </x:c>
      <x:c r="H96" s="63" t="n">
        <x:f>IF(B96&lt;$H$8,0,(INDEX('主线调参'!$D$11:$D$62,$AV96)+(INDEX('主线调参'!$D$11:$D$62,$AV96+1)-INDEX('主线调参'!$D$11:$D$62,$AV96))*$AW96)*'参数说明'!$D$27)</x:f>
        <x:v>0.43397864081098647</x:v>
      </x:c>
      <x:c r="I96" s="63" t="n">
        <x:f>IF(B96&lt;$I$8,0,(INDEX('主线调参'!$E$11:$E$62,$AV96)+(INDEX('主线调参'!$E$11:$E$62,$AV96+1)-INDEX('主线调参'!$E$11:$E$62,$AV96))*$AW96)*'参数说明'!$E$27)</x:f>
        <x:v>0.17076856039756125</x:v>
      </x:c>
      <x:c r="J96" s="63" t="n">
        <x:f>IF(B96&lt;$J$8,0,(INDEX('主线调参'!$F$11:$F$62,$AV96)+(INDEX('主线调参'!$F$11:$F$62,$AV96+1)-INDEX('主线调参'!$F$11:$F$62,$AV96))*$AW96)*'参数说明'!$F$27)</x:f>
        <x:v>0.29087431164287963</x:v>
      </x:c>
      <x:c r="K96" s="63" t="n">
        <x:f>IF(B96&lt;$K$8,0,(INDEX('主线调参'!$G$11:$G$62,$AV96)+(INDEX('主线调参'!$G$11:$G$62,$AV96+1)-INDEX('主线调参'!$G$11:$G$62,$AV96))*$AW96)*'参数说明'!$G$27)</x:f>
        <x:v>0</x:v>
      </x:c>
      <x:c r="L96" s="63" t="n">
        <x:f>IF(B96&lt;$L$8,0,(INDEX('主线调参'!$H$11:$H$62,$AV96)+(INDEX('主线调参'!$H$11:$H$62,$AV96+1)-INDEX('主线调参'!$H$11:$H$62,$AV96))*$AW96)*'参数说明'!$H$27)</x:f>
        <x:v>0.4067529171041806</x:v>
      </x:c>
      <x:c r="M96" s="59" t="n">
        <x:f>E96*'模块规划'!$F$10+G96*'模块规划'!$F$11+H96*'模块规划'!$F$13</x:f>
        <x:v>3687.0401683890896</x:v>
      </x:c>
      <x:c r="N96" s="59" t="n">
        <x:f>I96*'模块规划'!$F$15+J96*'模块规划'!$F$17+K96*'模块规划'!$F$16+L96*'模块规划'!$F$18</x:f>
        <x:v>6308.656185130189</x:v>
      </x:c>
      <x:c r="O96" s="59" t="n">
        <x:f>1+O$9*SUMPRODUCT($H$10:$L$10,H96:L96)/SUM($H$10:$L$10)</x:f>
        <x:v>1.98771189547106</x:v>
      </x:c>
      <x:c r="P96" s="59" t="n">
        <x:f>M96*O96+N96</x:f>
        <x:v>13637.429786916804</x:v>
      </x:c>
      <x:c r="Q96" s="59" t="n">
        <x:f>P96/(P96+'_曲线基线'!$L$2)</x:f>
        <x:v>0.36233690409054786</x:v>
      </x:c>
      <x:c r="R96" s="59" t="n">
        <x:f>E96*'模块规划'!$E$10+G96*'模块规划'!$E$11+H96*'模块规划'!$E$13</x:f>
        <x:v>5530.560252583635</x:v>
      </x:c>
      <x:c r="S96" s="59" t="n">
        <x:f>I96*'模块规划'!$E$15+J96*'模块规划'!$E$17+K96*'模块规划'!$E$16+L96*'模块规划'!$E$18</x:f>
        <x:v>9462.984277695283</x:v>
      </x:c>
      <x:c r="T96" s="59" t="n">
        <x:f>1+T$9*SUMPRODUCT($H$10:$L$10,H96:L96)/SUM($H$10:$L$10)</x:f>
        <x:v>1.98771189547106</x:v>
      </x:c>
      <x:c r="U96" s="59" t="n">
        <x:f>R96*T96+S96</x:f>
        <x:v>20456.144680375204</x:v>
      </x:c>
      <x:c r="V96" s="59" t="n">
        <x:f>V$8+(V$9-V$8)*H96</x:f>
        <x:v>0.8301935922432959</x:v>
      </x:c>
      <x:c r="W96" s="59" t="n">
        <x:f>IF(B96&lt;$H$8,0,W$8+(W$9-W$8)*H96)</x:f>
        <x:v>0.1735914563243946</x:v>
      </x:c>
      <x:c r="X96" s="59" t="n">
        <x:f>X$8+(X$9-X$8)*H96</x:f>
        <x:v>0.3943441262230213</x:v>
      </x:c>
      <x:c r="Y96" s="59" t="n">
        <x:f>Y$8+(Y$9-Y$8)*G96</x:f>
        <x:v>1</x:v>
      </x:c>
      <x:c r="Z96" s="59" t="n">
        <x:f>Z$8+(Z$9-Z$8)*H96</x:f>
        <x:v>1</x:v>
      </x:c>
      <x:c r="AA96" s="59" t="n">
        <x:f>AA$8+(AA$9-AA$8)*I96</x:f>
        <x:v>1</x:v>
      </x:c>
      <x:c r="AB96" s="59" t="n">
        <x:f>AB$8+(AB$9-AB$8)*J96</x:f>
        <x:v>1</x:v>
      </x:c>
      <x:c r="AC96" s="59" t="n">
        <x:f>AC$8+(AC$9-AC$8)*MAX(K96,L96)</x:f>
        <x:v>1</x:v>
      </x:c>
      <x:c r="AD96" s="59" t="n">
        <x:f>(V96*AE96+W96*AF96+X96*AG96)*PRODUCT(Y96:AC96)</x:f>
        <x:v>1.4741852300265221</x:v>
      </x:c>
      <x:c r="AE96" s="59" t="n">
        <x:f>1+AE$9*($H$10*H96+$I$10*I96+$J$10*J96+$K$10*K96+$L$10*L96)</x:f>
        <x:v>1</x:v>
      </x:c>
      <x:c r="AF96" s="59" t="n">
        <x:f>1+AF$9*($H$10*H96+$I$10*I96+$J$10*J96+$K$10*K96+$L$10*L96)</x:f>
        <x:v>1.0871745721508872</x:v>
      </x:c>
      <x:c r="AG96" s="59" t="n">
        <x:f>1+AG$9*($H$10*H96+$I$10*I96+$J$10*J96+$K$10*K96+$L$10*L96)</x:f>
        <x:v>1.154492713978518</x:v>
      </x:c>
      <x:c r="AH96" s="59" t="n">
        <x:f>MIN(1,'_曲线基线'!$L$3+AH$9*($H$10*H96+$I$10*I96+$J$10*J96+$K$10*K96+$L$10*L96))</x:f>
        <x:v>0.24832215164326804</x:v>
      </x:c>
      <x:c r="AI96" s="59" t="n">
        <x:f>'_曲线基线'!$L$4+AI$9*($H$10*H96+$I$10*I96+$J$10*J96+$K$10*K96+$L$10*L96)</x:f>
        <x:v>2.552468851006247</x:v>
      </x:c>
      <x:c r="AJ96" s="59" t="n">
        <x:f>1+AJ$9*($H$10*H96+$I$10*I96+$J$10*J96+$K$10*K96+$L$10*L96)</x:f>
        <x:v>1.4533077751846126</x:v>
      </x:c>
      <x:c r="AK96" s="59" t="n">
        <x:f>(1+AH96*(AI96-1))*AJ96</x:f>
        <x:v>2.0135759514421747</x:v>
      </x:c>
      <x:c r="AL96" s="59" t="n">
        <x:f>U96*AD96*AK96*F96</x:f>
        <x:v>303608.45540367527</x:v>
      </x:c>
      <x:c r="AM96" s="59" t="n">
        <x:f>IF($B96&lt;AM$8,0,AM$3+(AM$4-AM$3)*(POWER(AM$5,$B96-AM$8)-1)/(POWER(AM$5,$C$5-AM$8)-1))</x:f>
        <x:v>36.75422823164579</x:v>
      </x:c>
      <x:c r="AN96" s="59" t="n">
        <x:f>(((E96*'模块规划'!$D$10+G96*'模块规划'!$D$11+H96*'模块规划'!$D$13)*(1+'模块规划'!$G$14*H96)+(I96*'模块规划'!$D$15+J96*'模块规划'!$D$17+K96*'模块规划'!$D$16+L96*'模块规划'!$D$18))*(1+'模块规划'!$J$17*J96))*F96/(1-Q96)</x:f>
        <x:v>604842.67487879</x:v>
      </x:c>
      <x:c r="AO96" s="59" t="n">
        <x:f>AL96*AM96</x:f>
        <x:v>11158894.462964132</x:v>
      </x:c>
      <x:c r="AP96" s="61" t="n">
        <x:f>IF(AO96="","",INDEX('_曲线基线'!$A$3:$A$502,MIN(ROWS('_曲线基线'!$A$3:$A$502),COUNTIF('_曲线基线'!$E$3:$E$502,"&lt;"&amp;AO96)+1)))</x:f>
        <x:v>149</x:v>
      </x:c>
      <x:c r="AQ96" s="61" t="n">
        <x:f>IF(B96&lt;=2,1,IF(B96&lt;=6,2,IF(B96&lt;=9,3,IF(B96&lt;=19,4,5))))</x:f>
        <x:v>5</x:v>
      </x:c>
      <x:c r="AR96" s="59" t="n">
        <x:f>AN96*(1-Q96)/F96*$AS$3+U96*$AS$4+P96*$AS$5</x:f>
        <x:v>6405.344051683222</x:v>
      </x:c>
      <x:c r="AS96" s="59" t="n">
        <x:f>1+AH96*$AS$6+AI96*$AS$7+(AJ96-1)*$AS$8+($H$10*H96+$I$10*I96+$J$10*J96+$K$10*K96+$L$10*L96)*$AU$3*$AS$9+($H$10*H96+$I$10*I96+$J$10*J96+$K$10*K96+$L$10*L96)*$AU$4*$AS$10</x:f>
        <x:v>10.190359738123107</x:v>
      </x:c>
      <x:c r="AT96" s="60" t="n">
        <x:f>ROUND(AR96*AS96,0)</x:f>
        <x:v>65273</x:v>
      </x:c>
      <x:c r="AU96" s="60" t="n">
        <x:f>ROUND(AT96*F96,0)</x:f>
        <x:v>326365</x:v>
      </x:c>
      <x:c r="AV96" s="60" t="n">
        <x:f>MIN(MATCH(B96,'主线调参'!$M$11:$M$62,1),ROWS('主线调参'!$M$11:$M$62)-1)</x:f>
        <x:v>27</x:v>
      </x:c>
      <x:c r="AW96" s="62" t="n">
        <x:f>(B96-INDEX('主线调参'!$M$11:$M$62,AV96))/(INDEX('主线调参'!$M$11:$M$62,AV96+1)-INDEX('主线调参'!$M$11:$M$62,AV96))</x:f>
        <x:v>0</x:v>
      </x:c>
      <x:c r="AX96" s="60" t="n">
        <x:f>IF(AU96=0,0,ROUND(AU96,2-INT(LOG10(ABS(AU96)))))</x:f>
        <x:v>326000</x:v>
      </x:c>
      <x:c r="AY96" s="62" t="n">
        <x:f>AU96/AU95-1</x:f>
        <x:v>0.018649146352882395</x:v>
      </x:c>
    </x:row>
    <x:row r="97" ht="25" customHeight="1">
      <x:c r="A97" s="40" t="n">
        <x:f>'调前玩家曲线'!A97</x:f>
        <x:v>35</x:v>
      </x:c>
      <x:c r="B97" s="40" t="n">
        <x:f>'调前玩家曲线'!B97</x:f>
        <x:v>86</x:v>
      </x:c>
      <x:c r="C97" s="40" t="n">
        <x:f>'调前玩家曲线'!C97</x:f>
        <x:v>7</x:v>
      </x:c>
      <x:c r="D97" s="40" t="n">
        <x:f>'调前玩家曲线'!D97</x:f>
        <x:v>2</x:v>
      </x:c>
      <x:c r="E97" s="40" t="n">
        <x:f>'调前玩家曲线'!E97</x:f>
        <x:v>1</x:v>
      </x:c>
      <x:c r="F97" s="40" t="n">
        <x:f>'调前玩家曲线'!F97</x:f>
        <x:v>5</x:v>
      </x:c>
      <x:c r="G97" s="63" t="n">
        <x:f>IF(B97&lt;$G$8,0,(INDEX('主线调参'!$C$11:$C$62,$AV97)+(INDEX('主线调参'!$C$11:$C$62,$AV97+1)-INDEX('主线调参'!$C$11:$C$62,$AV97))*$AW97)*'参数说明'!$C$27)</x:f>
        <x:v>0.5624226281932587</x:v>
      </x:c>
      <x:c r="H97" s="63" t="n">
        <x:f>IF(B97&lt;$H$8,0,(INDEX('主线调参'!$D$11:$D$62,$AV97)+(INDEX('主线调参'!$D$11:$D$62,$AV97+1)-INDEX('主线调参'!$D$11:$D$62,$AV97))*$AW97)*'参数说明'!$D$27)</x:f>
        <x:v>0.43619025177237075</x:v>
      </x:c>
      <x:c r="I97" s="63" t="n">
        <x:f>IF(B97&lt;$I$8,0,(INDEX('主线调参'!$E$11:$E$62,$AV97)+(INDEX('主线调参'!$E$11:$E$62,$AV97+1)-INDEX('主线调参'!$E$11:$E$62,$AV97))*$AW97)*'参数说明'!$E$27)</x:f>
        <x:v>0.17645498592976794</x:v>
      </x:c>
      <x:c r="J97" s="63" t="n">
        <x:f>IF(B97&lt;$J$8,0,(INDEX('主线调参'!$F$11:$F$62,$AV97)+(INDEX('主线调参'!$F$11:$F$62,$AV97+1)-INDEX('主线调参'!$F$11:$F$62,$AV97))*$AW97)*'参数说明'!$F$27)</x:f>
        <x:v>0.29373116847477376</x:v>
      </x:c>
      <x:c r="K97" s="63" t="n">
        <x:f>IF(B97&lt;$K$8,0,(INDEX('主线调参'!$G$11:$G$62,$AV97)+(INDEX('主线调参'!$G$11:$G$62,$AV97+1)-INDEX('主线调参'!$G$11:$G$62,$AV97))*$AW97)*'参数说明'!$G$27)</x:f>
        <x:v>0</x:v>
      </x:c>
      <x:c r="L97" s="63" t="n">
        <x:f>IF(B97&lt;$L$8,0,(INDEX('主线调参'!$H$11:$H$62,$AV97)+(INDEX('主线调参'!$H$11:$H$62,$AV97+1)-INDEX('主线调参'!$H$11:$H$62,$AV97))*$AW97)*'参数说明'!$H$27)</x:f>
        <x:v>0.40940073563130197</x:v>
      </x:c>
      <x:c r="M97" s="59" t="n">
        <x:f>E97*'模块规划'!$F$10+G97*'模块规划'!$F$11+H97*'模块规划'!$F$13</x:f>
        <x:v>3699.628615327642</x:v>
      </x:c>
      <x:c r="N97" s="59" t="n">
        <x:f>I97*'模块规划'!$F$15+J97*'模块规划'!$F$17+K97*'模块规划'!$F$16+L97*'模块规划'!$F$18</x:f>
        <x:v>6395.95525034239</x:v>
      </x:c>
      <x:c r="O97" s="59" t="n">
        <x:f>1+O$9*SUMPRODUCT($H$10:$L$10,H97:L97)/SUM($H$10:$L$10)</x:f>
        <x:v>1.9966890394700072</x:v>
      </x:c>
      <x:c r="P97" s="59" t="n">
        <x:f>M97*O97+N97</x:f>
        <x:v>13782.963156676691</x:v>
      </x:c>
      <x:c r="Q97" s="59" t="n">
        <x:f>P97/(P97+'_曲线基线'!$L$2)</x:f>
        <x:v>0.364793070874884</x:v>
      </x:c>
      <x:c r="R97" s="59" t="n">
        <x:f>E97*'模块规划'!$E$10+G97*'模块规划'!$E$11+H97*'模块规划'!$E$13</x:f>
        <x:v>5549.442922991462</x:v>
      </x:c>
      <x:c r="S97" s="59" t="n">
        <x:f>I97*'模块规划'!$E$15+J97*'模块规划'!$E$17+K97*'模块规划'!$E$16+L97*'模块规划'!$E$18</x:f>
        <x:v>9593.932875513587</x:v>
      </x:c>
      <x:c r="T97" s="59" t="n">
        <x:f>1+T$9*SUMPRODUCT($H$10:$L$10,H97:L97)/SUM($H$10:$L$10)</x:f>
        <x:v>1.9966890394700072</x:v>
      </x:c>
      <x:c r="U97" s="59" t="n">
        <x:f>R97*T97+S97</x:f>
        <x:v>20674.444735015037</x:v>
      </x:c>
      <x:c r="V97" s="59" t="n">
        <x:f>V$8+(V$9-V$8)*H97</x:f>
        <x:v>0.8308570755317112</x:v>
      </x:c>
      <x:c r="W97" s="59" t="n">
        <x:f>IF(B97&lt;$H$8,0,W$8+(W$9-W$8)*H97)</x:f>
        <x:v>0.1744761007089483</x:v>
      </x:c>
      <x:c r="X97" s="59" t="n">
        <x:f>X$8+(X$9-X$8)*H97</x:f>
        <x:v>0.394952319237402</x:v>
      </x:c>
      <x:c r="Y97" s="59" t="n">
        <x:f>Y$8+(Y$9-Y$8)*G97</x:f>
        <x:v>1</x:v>
      </x:c>
      <x:c r="Z97" s="59" t="n">
        <x:f>Z$8+(Z$9-Z$8)*H97</x:f>
        <x:v>1</x:v>
      </x:c>
      <x:c r="AA97" s="59" t="n">
        <x:f>AA$8+(AA$9-AA$8)*I97</x:f>
        <x:v>1</x:v>
      </x:c>
      <x:c r="AB97" s="59" t="n">
        <x:f>AB$8+(AB$9-AB$8)*J97</x:f>
        <x:v>1</x:v>
      </x:c>
      <x:c r="AC97" s="59" t="n">
        <x:f>AC$8+(AC$9-AC$8)*MAX(K97,L97)</x:f>
        <x:v>1</x:v>
      </x:c>
      <x:c r="AD97" s="59" t="n">
        <x:f>(V97*AE97+W97*AF97+X97*AG97)*PRODUCT(Y97:AC97)</x:f>
        <x:v>1.4772054459551387</x:v>
      </x:c>
      <x:c r="AE97" s="59" t="n">
        <x:f>1+AE$9*($H$10*H97+$I$10*I97+$J$10*J97+$K$10*K97+$L$10*L97)</x:f>
        <x:v>1</x:v>
      </x:c>
      <x:c r="AF97" s="59" t="n">
        <x:f>1+AF$9*($H$10*H97+$I$10*I97+$J$10*J97+$K$10*K97+$L$10*L97)</x:f>
        <x:v>1.0879668868843975</x:v>
      </x:c>
      <x:c r="AG97" s="59" t="n">
        <x:f>1+AG$9*($H$10*H97+$I$10*I97+$J$10*J97+$K$10*K97+$L$10*L97)</x:f>
        <x:v>1.155896871756239</x:v>
      </x:c>
      <x:c r="AH97" s="59" t="n">
        <x:f>MIN(1,'_曲线基线'!$L$3+AH$9*($H$10*H97+$I$10*I97+$J$10*J97+$K$10*K97+$L$10*L97))</x:f>
        <x:v>0.250124667662004</x:v>
      </x:c>
      <x:c r="AI97" s="59" t="n">
        <x:f>'_曲线基线'!$L$4+AI$9*($H$10*H97+$I$10*I97+$J$10*J97+$K$10*K97+$L$10*L97)</x:f>
        <x:v>2.557490145629868</x:v>
      </x:c>
      <x:c r="AJ97" s="59" t="n">
        <x:f>1+AJ$9*($H$10*H97+$I$10*I97+$J$10*J97+$K$10*K97+$L$10*L97)</x:f>
        <x:v>1.4574278117988664</x:v>
      </x:c>
      <x:c r="AK97" s="59" t="n">
        <x:f>(1+AH97*(AI97-1))*AJ97</x:f>
        <x:v>2.0251931623078248</x:v>
      </x:c>
      <x:c r="AL97" s="59" t="n">
        <x:f>U97*AD97*AK97*F97</x:f>
        <x:v>309251.07011396403</x:v>
      </x:c>
      <x:c r="AM97" s="59" t="n">
        <x:f>IF($B97&lt;AM$8,0,AM$3+(AM$4-AM$3)*(POWER(AM$5,$B97-AM$8)-1)/(POWER(AM$5,$C$5-AM$8)-1))</x:f>
        <x:v>36.78519515388412</x:v>
      </x:c>
      <x:c r="AN97" s="59" t="n">
        <x:f>(((E97*'模块规划'!$D$10+G97*'模块规划'!$D$11+H97*'模块规划'!$D$13)*(1+'模块规划'!$G$14*H97)+(I97*'模块规划'!$D$15+J97*'模块规划'!$D$17+K97*'模块规划'!$D$16+L97*'模块规划'!$D$18))*(1+'模块规划'!$J$17*J97))*F97/(1-Q97)</x:f>
        <x:v>614695.1047203236</x:v>
      </x:c>
      <x:c r="AO97" s="59" t="n">
        <x:f>AL97*AM97</x:f>
        <x:v>11375860.965689667</x:v>
      </x:c>
      <x:c r="AP97" s="61" t="n">
        <x:f>IF(AO97="","",INDEX('_曲线基线'!$A$3:$A$502,MIN(ROWS('_曲线基线'!$A$3:$A$502),COUNTIF('_曲线基线'!$E$3:$E$502,"&lt;"&amp;AO97)+1)))</x:f>
        <x:v>150</x:v>
      </x:c>
      <x:c r="AQ97" s="61" t="n">
        <x:f>IF(B97&lt;=2,1,IF(B97&lt;=6,2,IF(B97&lt;=9,3,IF(B97&lt;=19,4,5))))</x:f>
        <x:v>5</x:v>
      </x:c>
      <x:c r="AR97" s="59" t="n">
        <x:f>AN97*(1-Q97)/F97*$AS$3+U97*$AS$4+P97*$AS$5</x:f>
        <x:v>6477.640485908838</x:v>
      </x:c>
      <x:c r="AS97" s="59" t="n">
        <x:f>1+AH97*$AS$6+AI97*$AS$7+(AJ97-1)*$AS$8+($H$10*H97+$I$10*I97+$J$10*J97+$K$10*K97+$L$10*L97)*$AU$3*$AS$9+($H$10*H97+$I$10*I97+$J$10*J97+$K$10*K97+$L$10*L97)*$AU$4*$AS$10</x:f>
        <x:v>10.237701443717965</x:v>
      </x:c>
      <x:c r="AT97" s="60" t="n">
        <x:f>ROUND(AR97*AS97,0)</x:f>
        <x:v>66316</x:v>
      </x:c>
      <x:c r="AU97" s="60" t="n">
        <x:f>ROUND(AT97*F97,0)</x:f>
        <x:v>331580</x:v>
      </x:c>
      <x:c r="AV97" s="60" t="n">
        <x:f>MIN(MATCH(B97,'主线调参'!$M$11:$M$62,1),ROWS('主线调参'!$M$11:$M$62)-1)</x:f>
        <x:v>27</x:v>
      </x:c>
      <x:c r="AW97" s="62" t="n">
        <x:f>(B97-INDEX('主线调参'!$M$11:$M$62,AV97))/(INDEX('主线调参'!$M$11:$M$62,AV97+1)-INDEX('主线调参'!$M$11:$M$62,AV97))</x:f>
        <x:v>0.07142857142857142</x:v>
      </x:c>
      <x:c r="AX97" s="60" t="n">
        <x:f>IF(AU97=0,0,ROUND(AU97,2-INT(LOG10(ABS(AU97)))))</x:f>
        <x:v>332000</x:v>
      </x:c>
      <x:c r="AY97" s="62" t="n">
        <x:f>AU97/AU96-1</x:f>
        <x:v>0.015979041870298527</x:v>
      </x:c>
    </x:row>
    <x:row r="98" ht="25" customHeight="1">
      <x:c r="A98" s="40" t="n">
        <x:f>'调前玩家曲线'!A98</x:f>
        <x:v>35</x:v>
      </x:c>
      <x:c r="B98" s="40" t="n">
        <x:f>'调前玩家曲线'!B98</x:f>
        <x:v>87</x:v>
      </x:c>
      <x:c r="C98" s="40" t="n">
        <x:f>'调前玩家曲线'!C98</x:f>
        <x:v>7</x:v>
      </x:c>
      <x:c r="D98" s="40" t="n">
        <x:f>'调前玩家曲线'!D98</x:f>
        <x:v>3</x:v>
      </x:c>
      <x:c r="E98" s="40" t="n">
        <x:f>'调前玩家曲线'!E98</x:f>
        <x:v>1</x:v>
      </x:c>
      <x:c r="F98" s="40" t="n">
        <x:f>'调前玩家曲线'!F98</x:f>
        <x:v>5</x:v>
      </x:c>
      <x:c r="G98" s="63" t="n">
        <x:f>IF(B98&lt;$G$8,0,(INDEX('主线调参'!$C$11:$C$62,$AV98)+(INDEX('主线调参'!$C$11:$C$62,$AV98+1)-INDEX('主线调参'!$C$11:$C$62,$AV98))*$AW98)*'参数说明'!$C$27)</x:f>
        <x:v>0.565045221305457</x:v>
      </x:c>
      <x:c r="H98" s="63" t="n">
        <x:f>IF(B98&lt;$H$8,0,(INDEX('主线调参'!$D$11:$D$62,$AV98)+(INDEX('主线调参'!$D$11:$D$62,$AV98+1)-INDEX('主线调参'!$D$11:$D$62,$AV98))*$AW98)*'参数说明'!$D$27)</x:f>
        <x:v>0.43840186273375503</x:v>
      </x:c>
      <x:c r="I98" s="63" t="n">
        <x:f>IF(B98&lt;$I$8,0,(INDEX('主线调参'!$E$11:$E$62,$AV98)+(INDEX('主线调参'!$E$11:$E$62,$AV98+1)-INDEX('主线调参'!$E$11:$E$62,$AV98))*$AW98)*'参数说明'!$E$27)</x:f>
        <x:v>0.18214141146197466</x:v>
      </x:c>
      <x:c r="J98" s="63" t="n">
        <x:f>IF(B98&lt;$J$8,0,(INDEX('主线调参'!$F$11:$F$62,$AV98)+(INDEX('主线调参'!$F$11:$F$62,$AV98+1)-INDEX('主线调参'!$F$11:$F$62,$AV98))*$AW98)*'参数说明'!$F$27)</x:f>
        <x:v>0.2965880253066679</x:v>
      </x:c>
      <x:c r="K98" s="63" t="n">
        <x:f>IF(B98&lt;$K$8,0,(INDEX('主线调参'!$G$11:$G$62,$AV98)+(INDEX('主线调参'!$G$11:$G$62,$AV98+1)-INDEX('主线调参'!$G$11:$G$62,$AV98))*$AW98)*'参数说明'!$G$27)</x:f>
        <x:v>0</x:v>
      </x:c>
      <x:c r="L98" s="63" t="n">
        <x:f>IF(B98&lt;$L$8,0,(INDEX('主线调参'!$H$11:$H$62,$AV98)+(INDEX('主线调参'!$H$11:$H$62,$AV98+1)-INDEX('主线调参'!$H$11:$H$62,$AV98))*$AW98)*'参数说明'!$H$27)</x:f>
        <x:v>0.4120485541584234</x:v>
      </x:c>
      <x:c r="M98" s="59" t="n">
        <x:f>E98*'模块规划'!$F$10+G98*'模块规划'!$F$11+H98*'模块规划'!$F$13</x:f>
        <x:v>3712.2170622661934</x:v>
      </x:c>
      <x:c r="N98" s="59" t="n">
        <x:f>I98*'模块规划'!$F$15+J98*'模块规划'!$F$17+K98*'模块规划'!$F$16+L98*'模块规划'!$F$18</x:f>
        <x:v>6483.254315554593</x:v>
      </x:c>
      <x:c r="O98" s="59" t="n">
        <x:f>1+O$9*SUMPRODUCT($H$10:$L$10,H98:L98)/SUM($H$10:$L$10)</x:f>
        <x:v>2.005666183468954</x:v>
      </x:c>
      <x:c r="P98" s="59" t="n">
        <x:f>M98*O98+N98</x:f>
        <x:v>13928.722543038362</x:v>
      </x:c>
      <x:c r="Q98" s="59" t="n">
        <x:f>P98/(P98+'_曲线基线'!$L$2)</x:f>
        <x:v>0.3672341594746094</x:v>
      </x:c>
      <x:c r="R98" s="59" t="n">
        <x:f>E98*'模块规划'!$E$10+G98*'模块规划'!$E$11+H98*'模块规划'!$E$13</x:f>
        <x:v>5568.32559339929</x:v>
      </x:c>
      <x:c r="S98" s="59" t="n">
        <x:f>I98*'模块规划'!$E$15+J98*'模块规划'!$E$17+K98*'模块规划'!$E$16+L98*'模块规划'!$E$18</x:f>
        <x:v>9724.88147333189</x:v>
      </x:c>
      <x:c r="T98" s="59" t="n">
        <x:f>1+T$9*SUMPRODUCT($H$10:$L$10,H98:L98)/SUM($H$10:$L$10)</x:f>
        <x:v>2.005666183468954</x:v>
      </x:c>
      <x:c r="U98" s="59" t="n">
        <x:f>R98*T98+S98</x:f>
        <x:v>20893.08381455754</x:v>
      </x:c>
      <x:c r="V98" s="59" t="n">
        <x:f>V$8+(V$9-V$8)*H98</x:f>
        <x:v>0.8315205588201264</x:v>
      </x:c>
      <x:c r="W98" s="59" t="n">
        <x:f>IF(B98&lt;$H$8,0,W$8+(W$9-W$8)*H98)</x:f>
        <x:v>0.17536074509350202</x:v>
      </x:c>
      <x:c r="X98" s="59" t="n">
        <x:f>X$8+(X$9-X$8)*H98</x:f>
        <x:v>0.3955605122517827</x:v>
      </x:c>
      <x:c r="Y98" s="59" t="n">
        <x:f>Y$8+(Y$9-Y$8)*G98</x:f>
        <x:v>1</x:v>
      </x:c>
      <x:c r="Z98" s="59" t="n">
        <x:f>Z$8+(Z$9-Z$8)*H98</x:f>
        <x:v>1</x:v>
      </x:c>
      <x:c r="AA98" s="59" t="n">
        <x:f>AA$8+(AA$9-AA$8)*I98</x:f>
        <x:v>1</x:v>
      </x:c>
      <x:c r="AB98" s="59" t="n">
        <x:f>AB$8+(AB$9-AB$8)*J98</x:f>
        <x:v>1</x:v>
      </x:c>
      <x:c r="AC98" s="59" t="n">
        <x:f>AC$8+(AC$9-AC$8)*MAX(K98,L98)</x:f>
        <x:v>1</x:v>
      </x:c>
      <x:c r="AD98" s="59" t="n">
        <x:f>(V98*AE98+W98*AF98+X98*AG98)*PRODUCT(Y98:AC98)</x:f>
        <x:v>1.4802287717152176</x:v>
      </x:c>
      <x:c r="AE98" s="59" t="n">
        <x:f>1+AE$9*($H$10*H98+$I$10*I98+$J$10*J98+$K$10*K98+$L$10*L98)</x:f>
        <x:v>1</x:v>
      </x:c>
      <x:c r="AF98" s="59" t="n">
        <x:f>1+AF$9*($H$10*H98+$I$10*I98+$J$10*J98+$K$10*K98+$L$10*L98)</x:f>
        <x:v>1.0887592016179077</x:v>
      </x:c>
      <x:c r="AG98" s="59" t="n">
        <x:f>1+AG$9*($H$10*H98+$I$10*I98+$J$10*J98+$K$10*K98+$L$10*L98)</x:f>
        <x:v>1.1573010295339599</x:v>
      </x:c>
      <x:c r="AH98" s="59" t="n">
        <x:f>MIN(1,'_曲线基线'!$L$3+AH$9*($H$10*H98+$I$10*I98+$J$10*J98+$K$10*K98+$L$10*L98))</x:f>
        <x:v>0.2519271836807399</x:v>
      </x:c>
      <x:c r="AI98" s="59" t="n">
        <x:f>'_曲线基线'!$L$4+AI$9*($H$10*H98+$I$10*I98+$J$10*J98+$K$10*K98+$L$10*L98)</x:f>
        <x:v>2.56251144025349</x:v>
      </x:c>
      <x:c r="AJ98" s="59" t="n">
        <x:f>1+AJ$9*($H$10*H98+$I$10*I98+$J$10*J98+$K$10*K98+$L$10*L98)</x:f>
        <x:v>1.46154784841312</x:v>
      </x:c>
      <x:c r="AK98" s="59" t="n">
        <x:f>(1+AH98*(AI98-1))*AJ98</x:f>
        <x:v>2.036870237733149</x:v>
      </x:c>
      <x:c r="AL98" s="59" t="n">
        <x:f>U98*AD98*AK98*F98</x:f>
        <x:v>314966.783031065</x:v>
      </x:c>
      <x:c r="AM98" s="59" t="n">
        <x:f>IF($B98&lt;AM$8,0,AM$3+(AM$4-AM$3)*(POWER(AM$5,$B98-AM$8)-1)/(POWER(AM$5,$C$5-AM$8)-1))</x:f>
        <x:v>36.81647174534483</x:v>
      </x:c>
      <x:c r="AN98" s="59" t="n">
        <x:f>(((E98*'模块规划'!$D$10+G98*'模块规划'!$D$11+H98*'模块规划'!$D$13)*(1+'模块规划'!$G$14*H98)+(I98*'模块规划'!$D$15+J98*'模块规划'!$D$17+K98*'模块规划'!$D$16+L98*'模块规划'!$D$18))*(1+'模块规划'!$J$17*J98))*F98/(1-Q98)</x:f>
        <x:v>624642.2094254444</x:v>
      </x:c>
      <x:c r="AO98" s="59" t="n">
        <x:f>AL98*AM98</x:f>
        <x:v>11595965.66818536</x:v>
      </x:c>
      <x:c r="AP98" s="61" t="n">
        <x:f>IF(AO98="","",INDEX('_曲线基线'!$A$3:$A$502,MIN(ROWS('_曲线基线'!$A$3:$A$502),COUNTIF('_曲线基线'!$E$3:$E$502,"&lt;"&amp;AO98)+1)))</x:f>
        <x:v>151</x:v>
      </x:c>
      <x:c r="AQ98" s="61" t="n">
        <x:f>IF(B98&lt;=2,1,IF(B98&lt;=6,2,IF(B98&lt;=9,3,IF(B98&lt;=19,4,5))))</x:f>
        <x:v>5</x:v>
      </x:c>
      <x:c r="AR98" s="59" t="n">
        <x:f>AN98*(1-Q98)/F98*$AS$3+U98*$AS$4+P98*$AS$5</x:f>
        <x:v>6550.130278959878</x:v>
      </x:c>
      <x:c r="AS98" s="59" t="n">
        <x:f>1+AH98*$AS$6+AI98*$AS$7+(AJ98-1)*$AS$8+($H$10*H98+$I$10*I98+$J$10*J98+$K$10*K98+$L$10*L98)*$AU$3*$AS$9+($H$10*H98+$I$10*I98+$J$10*J98+$K$10*K98+$L$10*L98)*$AU$4*$AS$10</x:f>
        <x:v>10.285043149312823</x:v>
      </x:c>
      <x:c r="AT98" s="60" t="n">
        <x:f>ROUND(AR98*AS98,0)</x:f>
        <x:v>67368</x:v>
      </x:c>
      <x:c r="AU98" s="60" t="n">
        <x:f>ROUND(AT98*F98,0)</x:f>
        <x:v>336840</x:v>
      </x:c>
      <x:c r="AV98" s="60" t="n">
        <x:f>MIN(MATCH(B98,'主线调参'!$M$11:$M$62,1),ROWS('主线调参'!$M$11:$M$62)-1)</x:f>
        <x:v>27</x:v>
      </x:c>
      <x:c r="AW98" s="62" t="n">
        <x:f>(B98-INDEX('主线调参'!$M$11:$M$62,AV98))/(INDEX('主线调参'!$M$11:$M$62,AV98+1)-INDEX('主线调参'!$M$11:$M$62,AV98))</x:f>
        <x:v>0.14285714285714285</x:v>
      </x:c>
      <x:c r="AX98" s="60" t="n">
        <x:f>IF(AU98=0,0,ROUND(AU98,2-INT(LOG10(ABS(AU98)))))</x:f>
        <x:v>337000</x:v>
      </x:c>
      <x:c r="AY98" s="62" t="n">
        <x:f>AU98/AU97-1</x:f>
        <x:v>0.015863441703359626</x:v>
      </x:c>
    </x:row>
    <x:row r="99" ht="25" customHeight="1">
      <x:c r="A99" s="40" t="n">
        <x:f>'调前玩家曲线'!A99</x:f>
        <x:v>35</x:v>
      </x:c>
      <x:c r="B99" s="40" t="n">
        <x:f>'调前玩家曲线'!B99</x:f>
        <x:v>88</x:v>
      </x:c>
      <x:c r="C99" s="40" t="n">
        <x:f>'调前玩家曲线'!C99</x:f>
        <x:v>7</x:v>
      </x:c>
      <x:c r="D99" s="40" t="n">
        <x:f>'调前玩家曲线'!D99</x:f>
        <x:v>4</x:v>
      </x:c>
      <x:c r="E99" s="40" t="n">
        <x:f>'调前玩家曲线'!E99</x:f>
        <x:v>1</x:v>
      </x:c>
      <x:c r="F99" s="40" t="n">
        <x:f>'调前玩家曲线'!F99</x:f>
        <x:v>5</x:v>
      </x:c>
      <x:c r="G99" s="63" t="n">
        <x:f>IF(B99&lt;$G$8,0,(INDEX('主线调参'!$C$11:$C$62,$AV99)+(INDEX('主线调参'!$C$11:$C$62,$AV99+1)-INDEX('主线调参'!$C$11:$C$62,$AV99))*$AW99)*'参数说明'!$C$27)</x:f>
        <x:v>0.5676678144176553</x:v>
      </x:c>
      <x:c r="H99" s="63" t="n">
        <x:f>IF(B99&lt;$H$8,0,(INDEX('主线调参'!$D$11:$D$62,$AV99)+(INDEX('主线调参'!$D$11:$D$62,$AV99+1)-INDEX('主线调参'!$D$11:$D$62,$AV99))*$AW99)*'参数说明'!$D$27)</x:f>
        <x:v>0.4406134736951393</x:v>
      </x:c>
      <x:c r="I99" s="63" t="n">
        <x:f>IF(B99&lt;$I$8,0,(INDEX('主线调参'!$E$11:$E$62,$AV99)+(INDEX('主线调参'!$E$11:$E$62,$AV99+1)-INDEX('主线调参'!$E$11:$E$62,$AV99))*$AW99)*'参数说明'!$E$27)</x:f>
        <x:v>0.18782783699418132</x:v>
      </x:c>
      <x:c r="J99" s="63" t="n">
        <x:f>IF(B99&lt;$J$8,0,(INDEX('主线调参'!$F$11:$F$62,$AV99)+(INDEX('主线调参'!$F$11:$F$62,$AV99+1)-INDEX('主线调参'!$F$11:$F$62,$AV99))*$AW99)*'参数说明'!$F$27)</x:f>
        <x:v>0.299444882138562</x:v>
      </x:c>
      <x:c r="K99" s="63" t="n">
        <x:f>IF(B99&lt;$K$8,0,(INDEX('主线调参'!$G$11:$G$62,$AV99)+(INDEX('主线调参'!$G$11:$G$62,$AV99+1)-INDEX('主线调参'!$G$11:$G$62,$AV99))*$AW99)*'参数说明'!$G$27)</x:f>
        <x:v>0</x:v>
      </x:c>
      <x:c r="L99" s="63" t="n">
        <x:f>IF(B99&lt;$L$8,0,(INDEX('主线调参'!$H$11:$H$62,$AV99)+(INDEX('主线调参'!$H$11:$H$62,$AV99+1)-INDEX('主线调参'!$H$11:$H$62,$AV99))*$AW99)*'参数说明'!$H$27)</x:f>
        <x:v>0.4146963726855447</x:v>
      </x:c>
      <x:c r="M99" s="59" t="n">
        <x:f>E99*'模块规划'!$F$10+G99*'模块规划'!$F$11+H99*'模块规划'!$F$13</x:f>
        <x:v>3724.8055092047457</x:v>
      </x:c>
      <x:c r="N99" s="59" t="n">
        <x:f>I99*'模块规划'!$F$15+J99*'模块规划'!$F$17+K99*'模块规划'!$F$16+L99*'模块规划'!$F$18</x:f>
        <x:v>6570.553380766794</x:v>
      </x:c>
      <x:c r="O99" s="59" t="n">
        <x:f>1+O$9*SUMPRODUCT($H$10:$L$10,H99:L99)/SUM($H$10:$L$10)</x:f>
        <x:v>2.014643327467901</x:v>
      </x:c>
      <x:c r="P99" s="59" t="n">
        <x:f>M99*O99+N99</x:f>
        <x:v>14074.707946001814</x:v>
      </x:c>
      <x:c r="Q99" s="59" t="n">
        <x:f>P99/(P99+'_曲线基线'!$L$2)</x:f>
        <x:v>0.36966029958687535</x:v>
      </x:c>
      <x:c r="R99" s="59" t="n">
        <x:f>E99*'模块规划'!$E$10+G99*'模块规划'!$E$11+H99*'模块规划'!$E$13</x:f>
        <x:v>5587.208263807119</x:v>
      </x:c>
      <x:c r="S99" s="59" t="n">
        <x:f>I99*'模块规划'!$E$15+J99*'模块规划'!$E$17+K99*'模块规划'!$E$16+L99*'模块规划'!$E$18</x:f>
        <x:v>9855.83007115019</x:v>
      </x:c>
      <x:c r="T99" s="59" t="n">
        <x:f>1+T$9*SUMPRODUCT($H$10:$L$10,H99:L99)/SUM($H$10:$L$10)</x:f>
        <x:v>2.014643327467901</x:v>
      </x:c>
      <x:c r="U99" s="59" t="n">
        <x:f>R99*T99+S99</x:f>
        <x:v>21112.06191900272</x:v>
      </x:c>
      <x:c r="V99" s="59" t="n">
        <x:f>V$8+(V$9-V$8)*H99</x:f>
        <x:v>0.8321840421085418</x:v>
      </x:c>
      <x:c r="W99" s="59" t="n">
        <x:f>IF(B99&lt;$H$8,0,W$8+(W$9-W$8)*H99)</x:f>
        <x:v>0.17624538947805574</x:v>
      </x:c>
      <x:c r="X99" s="59" t="n">
        <x:f>X$8+(X$9-X$8)*H99</x:f>
        <x:v>0.3961687052661633</x:v>
      </x:c>
      <x:c r="Y99" s="59" t="n">
        <x:f>Y$8+(Y$9-Y$8)*G99</x:f>
        <x:v>1</x:v>
      </x:c>
      <x:c r="Z99" s="59" t="n">
        <x:f>Z$8+(Z$9-Z$8)*H99</x:f>
        <x:v>1</x:v>
      </x:c>
      <x:c r="AA99" s="59" t="n">
        <x:f>AA$8+(AA$9-AA$8)*I99</x:f>
        <x:v>1</x:v>
      </x:c>
      <x:c r="AB99" s="59" t="n">
        <x:f>AB$8+(AB$9-AB$8)*J99</x:f>
        <x:v>1</x:v>
      </x:c>
      <x:c r="AC99" s="59" t="n">
        <x:f>AC$8+(AC$9-AC$8)*MAX(K99,L99)</x:f>
        <x:v>1</x:v>
      </x:c>
      <x:c r="AD99" s="59" t="n">
        <x:f>(V99*AE99+W99*AF99+X99*AG99)*PRODUCT(Y99:AC99)</x:f>
        <x:v>1.4832552073067595</x:v>
      </x:c>
      <x:c r="AE99" s="59" t="n">
        <x:f>1+AE$9*($H$10*H99+$I$10*I99+$J$10*J99+$K$10*K99+$L$10*L99)</x:f>
        <x:v>1</x:v>
      </x:c>
      <x:c r="AF99" s="59" t="n">
        <x:f>1+AF$9*($H$10*H99+$I$10*I99+$J$10*J99+$K$10*K99+$L$10*L99)</x:f>
        <x:v>1.089551516351418</x:v>
      </x:c>
      <x:c r="AG99" s="59" t="n">
        <x:f>1+AG$9*($H$10*H99+$I$10*I99+$J$10*J99+$K$10*K99+$L$10*L99)</x:f>
        <x:v>1.158705187311681</x:v>
      </x:c>
      <x:c r="AH99" s="59" t="n">
        <x:f>MIN(1,'_曲线基线'!$L$3+AH$9*($H$10*H99+$I$10*I99+$J$10*J99+$K$10*K99+$L$10*L99))</x:f>
        <x:v>0.2537296996994759</x:v>
      </x:c>
      <x:c r="AI99" s="59" t="n">
        <x:f>'_曲线基线'!$L$4+AI$9*($H$10*H99+$I$10*I99+$J$10*J99+$K$10*K99+$L$10*L99)</x:f>
        <x:v>2.5675327348771115</x:v>
      </x:c>
      <x:c r="AJ99" s="59" t="n">
        <x:f>1+AJ$9*($H$10*H99+$I$10*I99+$J$10*J99+$K$10*K99+$L$10*L99)</x:f>
        <x:v>1.4656678850273734</x:v>
      </x:c>
      <x:c r="AK99" s="59" t="n">
        <x:f>(1+AH99*(AI99-1))*AJ99</x:f>
        <x:v>2.0486074014599653</x:v>
      </x:c>
      <x:c r="AL99" s="59" t="n">
        <x:f>U99*AD99*AK99*F99</x:f>
        <x:v>320756.35856546747</x:v>
      </x:c>
      <x:c r="AM99" s="59" t="n">
        <x:f>IF($B99&lt;AM$8,0,AM$3+(AM$4-AM$3)*(POWER(AM$5,$B99-AM$8)-1)/(POWER(AM$5,$C$5-AM$8)-1))</x:f>
        <x:v>36.848061102720145</x:v>
      </x:c>
      <x:c r="AN99" s="59" t="n">
        <x:f>(((E99*'模块规划'!$D$10+G99*'模块规划'!$D$11+H99*'模块规划'!$D$13)*(1+'模块规划'!$G$14*H99)+(I99*'模块规划'!$D$15+J99*'模块规划'!$D$17+K99*'模块规划'!$D$16+L99*'模块规划'!$D$18))*(1+'模块规划'!$J$17*J99))*F99/(1-Q99)</x:f>
        <x:v>634684.5261300027</x:v>
      </x:c>
      <x:c r="AO99" s="59" t="n">
        <x:f>AL99*AM99</x:f>
        <x:v>11819249.899506357</x:v>
      </x:c>
      <x:c r="AP99" s="61" t="n">
        <x:f>IF(AO99="","",INDEX('_曲线基线'!$A$3:$A$502,MIN(ROWS('_曲线基线'!$A$3:$A$502),COUNTIF('_曲线基线'!$E$3:$E$502,"&lt;"&amp;AO99)+1)))</x:f>
        <x:v>152</x:v>
      </x:c>
      <x:c r="AQ99" s="61" t="n">
        <x:f>IF(B99&lt;=2,1,IF(B99&lt;=6,2,IF(B99&lt;=9,3,IF(B99&lt;=19,4,5))))</x:f>
        <x:v>5</x:v>
      </x:c>
      <x:c r="AR99" s="59" t="n">
        <x:f>AN99*(1-Q99)/F99*$AS$3+U99*$AS$4+P99*$AS$5</x:f>
        <x:v>6622.813508146335</x:v>
      </x:c>
      <x:c r="AS99" s="59" t="n">
        <x:f>1+AH99*$AS$6+AI99*$AS$7+(AJ99-1)*$AS$8+($H$10*H99+$I$10*I99+$J$10*J99+$K$10*K99+$L$10*L99)*$AU$3*$AS$9+($H$10*H99+$I$10*I99+$J$10*J99+$K$10*K99+$L$10*L99)*$AU$4*$AS$10</x:f>
        <x:v>10.332384854907678</x:v>
      </x:c>
      <x:c r="AT99" s="60" t="n">
        <x:f>ROUND(AR99*AS99,0)</x:f>
        <x:v>68429</x:v>
      </x:c>
      <x:c r="AU99" s="60" t="n">
        <x:f>ROUND(AT99*F99,0)</x:f>
        <x:v>342145</x:v>
      </x:c>
      <x:c r="AV99" s="60" t="n">
        <x:f>MIN(MATCH(B99,'主线调参'!$M$11:$M$62,1),ROWS('主线调参'!$M$11:$M$62)-1)</x:f>
        <x:v>27</x:v>
      </x:c>
      <x:c r="AW99" s="62" t="n">
        <x:f>(B99-INDEX('主线调参'!$M$11:$M$62,AV99))/(INDEX('主线调参'!$M$11:$M$62,AV99+1)-INDEX('主线调参'!$M$11:$M$62,AV99))</x:f>
        <x:v>0.21428571428571427</x:v>
      </x:c>
      <x:c r="AX99" s="60" t="n">
        <x:f>IF(AU99=0,0,ROUND(AU99,2-INT(LOG10(ABS(AU99)))))</x:f>
        <x:v>342000</x:v>
      </x:c>
      <x:c r="AY99" s="62" t="n">
        <x:f>AU99/AU98-1</x:f>
        <x:v>0.01574931718323236</x:v>
      </x:c>
    </x:row>
    <x:row r="100" ht="25" customHeight="1">
      <x:c r="A100" s="40" t="n">
        <x:f>'调前玩家曲线'!A100</x:f>
        <x:v>35</x:v>
      </x:c>
      <x:c r="B100" s="40" t="n">
        <x:f>'调前玩家曲线'!B100</x:f>
        <x:v>89</x:v>
      </x:c>
      <x:c r="C100" s="40" t="n">
        <x:f>'调前玩家曲线'!C100</x:f>
        <x:v>7</x:v>
      </x:c>
      <x:c r="D100" s="40" t="n">
        <x:f>'调前玩家曲线'!D100</x:f>
        <x:v>5</x:v>
      </x:c>
      <x:c r="E100" s="40" t="n">
        <x:f>'调前玩家曲线'!E100</x:f>
        <x:v>1</x:v>
      </x:c>
      <x:c r="F100" s="40" t="n">
        <x:f>'调前玩家曲线'!F100</x:f>
        <x:v>5</x:v>
      </x:c>
      <x:c r="G100" s="63" t="n">
        <x:f>IF(B100&lt;$G$8,0,(INDEX('主线调参'!$C$11:$C$62,$AV100)+(INDEX('主线调参'!$C$11:$C$62,$AV100+1)-INDEX('主线调参'!$C$11:$C$62,$AV100))*$AW100)*'参数说明'!$C$27)</x:f>
        <x:v>0.5702904075298536</x:v>
      </x:c>
      <x:c r="H100" s="63" t="n">
        <x:f>IF(B100&lt;$H$8,0,(INDEX('主线调参'!$D$11:$D$62,$AV100)+(INDEX('主线调参'!$D$11:$D$62,$AV100+1)-INDEX('主线调参'!$D$11:$D$62,$AV100))*$AW100)*'参数说明'!$D$27)</x:f>
        <x:v>0.44282508465652365</x:v>
      </x:c>
      <x:c r="I100" s="63" t="n">
        <x:f>IF(B100&lt;$I$8,0,(INDEX('主线调参'!$E$11:$E$62,$AV100)+(INDEX('主线调参'!$E$11:$E$62,$AV100+1)-INDEX('主线调参'!$E$11:$E$62,$AV100))*$AW100)*'参数说明'!$E$27)</x:f>
        <x:v>0.193514262526388</x:v>
      </x:c>
      <x:c r="J100" s="63" t="n">
        <x:f>IF(B100&lt;$J$8,0,(INDEX('主线调参'!$F$11:$F$62,$AV100)+(INDEX('主线调参'!$F$11:$F$62,$AV100+1)-INDEX('主线调参'!$F$11:$F$62,$AV100))*$AW100)*'参数说明'!$F$27)</x:f>
        <x:v>0.3023017389704561</x:v>
      </x:c>
      <x:c r="K100" s="63" t="n">
        <x:f>IF(B100&lt;$K$8,0,(INDEX('主线调参'!$G$11:$G$62,$AV100)+(INDEX('主线调参'!$G$11:$G$62,$AV100+1)-INDEX('主线调参'!$G$11:$G$62,$AV100))*$AW100)*'参数说明'!$G$27)</x:f>
        <x:v>0</x:v>
      </x:c>
      <x:c r="L100" s="63" t="n">
        <x:f>IF(B100&lt;$L$8,0,(INDEX('主线调参'!$H$11:$H$62,$AV100)+(INDEX('主线调参'!$H$11:$H$62,$AV100+1)-INDEX('主线调参'!$H$11:$H$62,$AV100))*$AW100)*'参数说明'!$H$27)</x:f>
        <x:v>0.4173441912126661</x:v>
      </x:c>
      <x:c r="M100" s="59" t="n">
        <x:f>E100*'模块规划'!$F$10+G100*'模块规划'!$F$11+H100*'模块规划'!$F$13</x:f>
        <x:v>3737.393956143297</x:v>
      </x:c>
      <x:c r="N100" s="59" t="n">
        <x:f>I100*'模块规划'!$F$15+J100*'模块规划'!$F$17+K100*'模块规划'!$F$16+L100*'模块规划'!$F$18</x:f>
        <x:v>6657.852445978995</x:v>
      </x:c>
      <x:c r="O100" s="59" t="n">
        <x:f>1+O$9*SUMPRODUCT($H$10:$L$10,H100:L100)/SUM($H$10:$L$10)</x:f>
        <x:v>2.023620471466848</x:v>
      </x:c>
      <x:c r="P100" s="59" t="n">
        <x:f>M100*O100+N100</x:f>
        <x:v>14220.919365567042</x:v>
      </x:c>
      <x:c r="Q100" s="59" t="n">
        <x:f>P100/(P100+'_曲线基线'!$L$2)</x:f>
        <x:v>0.37207161945922657</x:v>
      </x:c>
      <x:c r="R100" s="59" t="n">
        <x:f>E100*'模块规划'!$E$10+G100*'模块规划'!$E$11+H100*'模块规划'!$E$13</x:f>
        <x:v>5606.090934214946</x:v>
      </x:c>
      <x:c r="S100" s="59" t="n">
        <x:f>I100*'模块规划'!$E$15+J100*'模块规划'!$E$17+K100*'模块规划'!$E$16+L100*'模块规划'!$E$18</x:f>
        <x:v>9986.778668968493</x:v>
      </x:c>
      <x:c r="T100" s="59" t="n">
        <x:f>1+T$9*SUMPRODUCT($H$10:$L$10,H100:L100)/SUM($H$10:$L$10)</x:f>
        <x:v>2.023620471466848</x:v>
      </x:c>
      <x:c r="U100" s="59" t="n">
        <x:f>R100*T100+S100</x:f>
        <x:v>21331.379048350565</x:v>
      </x:c>
      <x:c r="V100" s="59" t="n">
        <x:f>V$8+(V$9-V$8)*H100</x:f>
        <x:v>0.8328475253969571</x:v>
      </x:c>
      <x:c r="W100" s="59" t="n">
        <x:f>IF(B100&lt;$H$8,0,W$8+(W$9-W$8)*H100)</x:f>
        <x:v>0.17713003386260948</x:v>
      </x:c>
      <x:c r="X100" s="59" t="n">
        <x:f>X$8+(X$9-X$8)*H100</x:f>
        <x:v>0.396776898280544</x:v>
      </x:c>
      <x:c r="Y100" s="59" t="n">
        <x:f>Y$8+(Y$9-Y$8)*G100</x:f>
        <x:v>1</x:v>
      </x:c>
      <x:c r="Z100" s="59" t="n">
        <x:f>Z$8+(Z$9-Z$8)*H100</x:f>
        <x:v>1</x:v>
      </x:c>
      <x:c r="AA100" s="59" t="n">
        <x:f>AA$8+(AA$9-AA$8)*I100</x:f>
        <x:v>1</x:v>
      </x:c>
      <x:c r="AB100" s="59" t="n">
        <x:f>AB$8+(AB$9-AB$8)*J100</x:f>
        <x:v>1</x:v>
      </x:c>
      <x:c r="AC100" s="59" t="n">
        <x:f>AC$8+(AC$9-AC$8)*MAX(K100,L100)</x:f>
        <x:v>1</x:v>
      </x:c>
      <x:c r="AD100" s="59" t="n">
        <x:f>(V100*AE100+W100*AF100+X100*AG100)*PRODUCT(Y100:AC100)</x:f>
        <x:v>1.486284752729764</x:v>
      </x:c>
      <x:c r="AE100" s="59" t="n">
        <x:f>1+AE$9*($H$10*H100+$I$10*I100+$J$10*J100+$K$10*K100+$L$10*L100)</x:f>
        <x:v>1</x:v>
      </x:c>
      <x:c r="AF100" s="59" t="n">
        <x:f>1+AF$9*($H$10*H100+$I$10*I100+$J$10*J100+$K$10*K100+$L$10*L100)</x:f>
        <x:v>1.0903438310849283</x:v>
      </x:c>
      <x:c r="AG100" s="59" t="n">
        <x:f>1+AG$9*($H$10*H100+$I$10*I100+$J$10*J100+$K$10*K100+$L$10*L100)</x:f>
        <x:v>1.160109345089402</x:v>
      </x:c>
      <x:c r="AH100" s="59" t="n">
        <x:f>MIN(1,'_曲线基线'!$L$3+AH$9*($H$10*H100+$I$10*I100+$J$10*J100+$K$10*K100+$L$10*L100))</x:f>
        <x:v>0.25553221571821183</x:v>
      </x:c>
      <x:c r="AI100" s="59" t="n">
        <x:f>'_曲线基线'!$L$4+AI$9*($H$10*H100+$I$10*I100+$J$10*J100+$K$10*K100+$L$10*L100)</x:f>
        <x:v>2.5725540295007328</x:v>
      </x:c>
      <x:c r="AJ100" s="59" t="n">
        <x:f>1+AJ$9*($H$10*H100+$I$10*I100+$J$10*J100+$K$10*K100+$L$10*L100)</x:f>
        <x:v>1.469787921641627</x:v>
      </x:c>
      <x:c r="AK100" s="59" t="n">
        <x:f>(1+AH100*(AI100-1))*AJ100</x:f>
        <x:v>2.0604048772300922</x:v>
      </x:c>
      <x:c r="AL100" s="59" t="n">
        <x:f>U100*AD100*AK100*F100</x:f>
        <x:v>326620.5675305642</x:v>
      </x:c>
      <x:c r="AM100" s="59" t="n">
        <x:f>IF($B100&lt;AM$8,0,AM$3+(AM$4-AM$3)*(POWER(AM$5,$B100-AM$8)-1)/(POWER(AM$5,$C$5-AM$8)-1))</x:f>
        <x:v>36.87996635366921</x:v>
      </x:c>
      <x:c r="AN100" s="59" t="n">
        <x:f>(((E100*'模块规划'!$D$10+G100*'模块规划'!$D$11+H100*'模块规划'!$D$13)*(1+'模块规划'!$G$14*H100)+(I100*'模块规划'!$D$15+J100*'模块规划'!$D$17+K100*'模块规划'!$D$16+L100*'模块规划'!$D$18))*(1+'模块规划'!$J$17*J100))*F100/(1-Q100)</x:f>
        <x:v>644822.5934662244</x:v>
      </x:c>
      <x:c r="AO100" s="59" t="n">
        <x:f>AL100*AM100</x:f>
        <x:v>12045755.54094355</x:v>
      </x:c>
      <x:c r="AP100" s="61" t="n">
        <x:f>IF(AO100="","",INDEX('_曲线基线'!$A$3:$A$502,MIN(ROWS('_曲线基线'!$A$3:$A$502),COUNTIF('_曲线基线'!$E$3:$E$502,"&lt;"&amp;AO100)+1)))</x:f>
        <x:v>153</x:v>
      </x:c>
      <x:c r="AQ100" s="61" t="n">
        <x:f>IF(B100&lt;=2,1,IF(B100&lt;=6,2,IF(B100&lt;=9,3,IF(B100&lt;=19,4,5))))</x:f>
        <x:v>5</x:v>
      </x:c>
      <x:c r="AR100" s="59" t="n">
        <x:f>AN100*(1-Q100)/F100*$AS$3+U100*$AS$4+P100*$AS$5</x:f>
        <x:v>6695.6902507782</x:v>
      </x:c>
      <x:c r="AS100" s="59" t="n">
        <x:f>1+AH100*$AS$6+AI100*$AS$7+(AJ100-1)*$AS$8+($H$10*H100+$I$10*I100+$J$10*J100+$K$10*K100+$L$10*L100)*$AU$3*$AS$9+($H$10*H100+$I$10*I100+$J$10*J100+$K$10*K100+$L$10*L100)*$AU$4*$AS$10</x:f>
        <x:v>10.379726560502533</x:v>
      </x:c>
      <x:c r="AT100" s="60" t="n">
        <x:f>ROUND(AR100*AS100,0)</x:f>
        <x:v>69499</x:v>
      </x:c>
      <x:c r="AU100" s="60" t="n">
        <x:f>ROUND(AT100*F100,0)</x:f>
        <x:v>347495</x:v>
      </x:c>
      <x:c r="AV100" s="60" t="n">
        <x:f>MIN(MATCH(B100,'主线调参'!$M$11:$M$62,1),ROWS('主线调参'!$M$11:$M$62)-1)</x:f>
        <x:v>27</x:v>
      </x:c>
      <x:c r="AW100" s="62" t="n">
        <x:f>(B100-INDEX('主线调参'!$M$11:$M$62,AV100))/(INDEX('主线调参'!$M$11:$M$62,AV100+1)-INDEX('主线调参'!$M$11:$M$62,AV100))</x:f>
        <x:v>0.2857142857142857</x:v>
      </x:c>
      <x:c r="AX100" s="60" t="n">
        <x:f>IF(AU100=0,0,ROUND(AU100,2-INT(LOG10(ABS(AU100)))))</x:f>
        <x:v>347000</x:v>
      </x:c>
      <x:c r="AY100" s="62" t="n">
        <x:f>AU100/AU99-1</x:f>
        <x:v>0.015636645281971173</x:v>
      </x:c>
    </x:row>
    <x:row r="101" ht="25" customHeight="1">
      <x:c r="A101" s="40" t="n">
        <x:f>'调前玩家曲线'!A101</x:f>
        <x:v>36</x:v>
      </x:c>
      <x:c r="B101" s="40" t="n">
        <x:f>'调前玩家曲线'!B101</x:f>
        <x:v>90</x:v>
      </x:c>
      <x:c r="C101" s="40" t="n">
        <x:f>'调前玩家曲线'!C101</x:f>
        <x:v>7</x:v>
      </x:c>
      <x:c r="D101" s="40" t="n">
        <x:f>'调前玩家曲线'!D101</x:f>
        <x:v>6</x:v>
      </x:c>
      <x:c r="E101" s="40" t="n">
        <x:f>'调前玩家曲线'!E101</x:f>
        <x:v>1</x:v>
      </x:c>
      <x:c r="F101" s="40" t="n">
        <x:f>'调前玩家曲线'!F101</x:f>
        <x:v>5</x:v>
      </x:c>
      <x:c r="G101" s="63" t="n">
        <x:f>IF(B101&lt;$G$8,0,(INDEX('主线调参'!$C$11:$C$62,$AV101)+(INDEX('主线调参'!$C$11:$C$62,$AV101+1)-INDEX('主线调参'!$C$11:$C$62,$AV101))*$AW101)*'参数说明'!$C$27)</x:f>
        <x:v>0.572913000642052</x:v>
      </x:c>
      <x:c r="H101" s="63" t="n">
        <x:f>IF(B101&lt;$H$8,0,(INDEX('主线调参'!$D$11:$D$62,$AV101)+(INDEX('主线调参'!$D$11:$D$62,$AV101+1)-INDEX('主线调参'!$D$11:$D$62,$AV101))*$AW101)*'参数说明'!$D$27)</x:f>
        <x:v>0.445036695617908</x:v>
      </x:c>
      <x:c r="I101" s="63" t="n">
        <x:f>IF(B101&lt;$I$8,0,(INDEX('主线调参'!$E$11:$E$62,$AV101)+(INDEX('主线调参'!$E$11:$E$62,$AV101+1)-INDEX('主线调参'!$E$11:$E$62,$AV101))*$AW101)*'参数说明'!$E$27)</x:f>
        <x:v>0.19920068805859473</x:v>
      </x:c>
      <x:c r="J101" s="63" t="n">
        <x:f>IF(B101&lt;$J$8,0,(INDEX('主线调参'!$F$11:$F$62,$AV101)+(INDEX('主线调参'!$F$11:$F$62,$AV101+1)-INDEX('主线调参'!$F$11:$F$62,$AV101))*$AW101)*'参数说明'!$F$27)</x:f>
        <x:v>0.3051585958023503</x:v>
      </x:c>
      <x:c r="K101" s="63" t="n">
        <x:f>IF(B101&lt;$K$8,0,(INDEX('主线调参'!$G$11:$G$62,$AV101)+(INDEX('主线调参'!$G$11:$G$62,$AV101+1)-INDEX('主线调参'!$G$11:$G$62,$AV101))*$AW101)*'参数说明'!$G$27)</x:f>
        <x:v>0</x:v>
      </x:c>
      <x:c r="L101" s="63" t="n">
        <x:f>IF(B101&lt;$L$8,0,(INDEX('主线调参'!$H$11:$H$62,$AV101)+(INDEX('主线调参'!$H$11:$H$62,$AV101+1)-INDEX('主线调参'!$H$11:$H$62,$AV101))*$AW101)*'参数说明'!$H$27)</x:f>
        <x:v>0.41999200973978745</x:v>
      </x:c>
      <x:c r="M101" s="59" t="n">
        <x:f>E101*'模块规划'!$F$10+G101*'模块规划'!$F$11+H101*'模块规划'!$F$13</x:f>
        <x:v>3749.9824030818495</x:v>
      </x:c>
      <x:c r="N101" s="59" t="n">
        <x:f>I101*'模块规划'!$F$15+J101*'模块规划'!$F$17+K101*'模块规划'!$F$16+L101*'模块规划'!$F$18</x:f>
        <x:v>6745.151511191198</x:v>
      </x:c>
      <x:c r="O101" s="59" t="n">
        <x:f>1+O$9*SUMPRODUCT($H$10:$L$10,H101:L101)/SUM($H$10:$L$10)</x:f>
        <x:v>2.032597615465795</x:v>
      </x:c>
      <x:c r="P101" s="59" t="n">
        <x:f>M101*O101+N101</x:f>
        <x:v>14367.356801734059</x:v>
      </x:c>
      <x:c r="Q101" s="59" t="n">
        <x:f>P101/(P101+'_曲线基线'!$L$2)</x:f>
        <x:v>0.37446824590962463</x:v>
      </x:c>
      <x:c r="R101" s="59" t="n">
        <x:f>E101*'模块规划'!$E$10+G101*'模块规划'!$E$11+H101*'模块规划'!$E$13</x:f>
        <x:v>5624.9736046227745</x:v>
      </x:c>
      <x:c r="S101" s="59" t="n">
        <x:f>I101*'模块规划'!$E$15+J101*'模块规划'!$E$17+K101*'模块规划'!$E$16+L101*'模块规划'!$E$18</x:f>
        <x:v>10117.727266786798</x:v>
      </x:c>
      <x:c r="T101" s="59" t="n">
        <x:f>1+T$9*SUMPRODUCT($H$10:$L$10,H101:L101)/SUM($H$10:$L$10)</x:f>
        <x:v>2.032597615465795</x:v>
      </x:c>
      <x:c r="U101" s="59" t="n">
        <x:f>R101*T101+S101</x:f>
        <x:v>21551.035202601088</x:v>
      </x:c>
      <x:c r="V101" s="59" t="n">
        <x:f>V$8+(V$9-V$8)*H101</x:f>
        <x:v>0.8335110086853723</x:v>
      </x:c>
      <x:c r="W101" s="59" t="n">
        <x:f>IF(B101&lt;$H$8,0,W$8+(W$9-W$8)*H101)</x:f>
        <x:v>0.17801467824716322</x:v>
      </x:c>
      <x:c r="X101" s="59" t="n">
        <x:f>X$8+(X$9-X$8)*H101</x:f>
        <x:v>0.3973850912949247</x:v>
      </x:c>
      <x:c r="Y101" s="59" t="n">
        <x:f>Y$8+(Y$9-Y$8)*G101</x:f>
        <x:v>1</x:v>
      </x:c>
      <x:c r="Z101" s="59" t="n">
        <x:f>Z$8+(Z$9-Z$8)*H101</x:f>
        <x:v>1</x:v>
      </x:c>
      <x:c r="AA101" s="59" t="n">
        <x:f>AA$8+(AA$9-AA$8)*I101</x:f>
        <x:v>1</x:v>
      </x:c>
      <x:c r="AB101" s="59" t="n">
        <x:f>AB$8+(AB$9-AB$8)*J101</x:f>
        <x:v>1</x:v>
      </x:c>
      <x:c r="AC101" s="59" t="n">
        <x:f>AC$8+(AC$9-AC$8)*MAX(K101,L101)</x:f>
        <x:v>1</x:v>
      </x:c>
      <x:c r="AD101" s="59" t="n">
        <x:f>(V101*AE101+W101*AF101+X101*AG101)*PRODUCT(Y101:AC101)</x:f>
        <x:v>1.489317407984231</x:v>
      </x:c>
      <x:c r="AE101" s="59" t="n">
        <x:f>1+AE$9*($H$10*H101+$I$10*I101+$J$10*J101+$K$10*K101+$L$10*L101)</x:f>
        <x:v>1</x:v>
      </x:c>
      <x:c r="AF101" s="59" t="n">
        <x:f>1+AF$9*($H$10*H101+$I$10*I101+$J$10*J101+$K$10*K101+$L$10*L101)</x:f>
        <x:v>1.0911361458184388</x:v>
      </x:c>
      <x:c r="AG101" s="59" t="n">
        <x:f>1+AG$9*($H$10*H101+$I$10*I101+$J$10*J101+$K$10*K101+$L$10*L101)</x:f>
        <x:v>1.161513502867123</x:v>
      </x:c>
      <x:c r="AH101" s="59" t="n">
        <x:f>MIN(1,'_曲线基线'!$L$3+AH$9*($H$10*H101+$I$10*I101+$J$10*J101+$K$10*K101+$L$10*L101))</x:f>
        <x:v>0.25733473173694776</x:v>
      </x:c>
      <x:c r="AI101" s="59" t="n">
        <x:f>'_曲线基线'!$L$4+AI$9*($H$10*H101+$I$10*I101+$J$10*J101+$K$10*K101+$L$10*L101)</x:f>
        <x:v>2.5775753241243544</x:v>
      </x:c>
      <x:c r="AJ101" s="59" t="n">
        <x:f>1+AJ$9*($H$10*H101+$I$10*I101+$J$10*J101+$K$10*K101+$L$10*L101)</x:f>
        <x:v>1.4739079582558807</x:v>
      </x:c>
      <x:c r="AK101" s="59" t="n">
        <x:f>(1+AH101*(AI101-1))*AJ101</x:f>
        <x:v>2.0722628887853487</x:v>
      </x:c>
      <x:c r="AL101" s="59" t="n">
        <x:f>U101*AD101*AK101*F101</x:f>
        <x:v>332560.18718110106</x:v>
      </x:c>
      <x:c r="AM101" s="59" t="n">
        <x:f>IF($B101&lt;AM$8,0,AM$3+(AM$4-AM$3)*(POWER(AM$5,$B101-AM$8)-1)/(POWER(AM$5,$C$5-AM$8)-1))</x:f>
        <x:v>36.91219065712777</x:v>
      </x:c>
      <x:c r="AN101" s="59" t="n">
        <x:f>(((E101*'模块规划'!$D$10+G101*'模块规划'!$D$11+H101*'模块规划'!$D$13)*(1+'模块规划'!$G$14*H101)+(I101*'模块规划'!$D$15+J101*'模块规划'!$D$17+K101*'模块规划'!$D$16+L101*'模块规划'!$D$18))*(1+'模块规划'!$J$17*J101))*F101/(1-Q101)</x:f>
        <x:v>655056.9515639229</x:v>
      </x:c>
      <x:c r="AO101" s="59" t="n">
        <x:f>AL101*AM101</x:f>
        <x:v>12275525.034198903</x:v>
      </x:c>
      <x:c r="AP101" s="61" t="n">
        <x:f>IF(AO101="","",INDEX('_曲线基线'!$A$3:$A$502,MIN(ROWS('_曲线基线'!$A$3:$A$502),COUNTIF('_曲线基线'!$E$3:$E$502,"&lt;"&amp;AO101)+1)))</x:f>
        <x:v>154</x:v>
      </x:c>
      <x:c r="AQ101" s="61" t="n">
        <x:f>IF(B101&lt;=2,1,IF(B101&lt;=6,2,IF(B101&lt;=9,3,IF(B101&lt;=19,4,5))))</x:f>
        <x:v>5</x:v>
      </x:c>
      <x:c r="AR101" s="59" t="n">
        <x:f>AN101*(1-Q101)/F101*$AS$3+U101*$AS$4+P101*$AS$5</x:f>
        <x:v>6768.760584165466</x:v>
      </x:c>
      <x:c r="AS101" s="59" t="n">
        <x:f>1+AH101*$AS$6+AI101*$AS$7+(AJ101-1)*$AS$8+($H$10*H101+$I$10*I101+$J$10*J101+$K$10*K101+$L$10*L101)*$AU$3*$AS$9+($H$10*H101+$I$10*I101+$J$10*J101+$K$10*K101+$L$10*L101)*$AU$4*$AS$10</x:f>
        <x:v>10.427068266097391</x:v>
      </x:c>
      <x:c r="AT101" s="60" t="n">
        <x:f>ROUND(AR101*AS101,0)</x:f>
        <x:v>70578</x:v>
      </x:c>
      <x:c r="AU101" s="60" t="n">
        <x:f>ROUND(AT101*F101,0)</x:f>
        <x:v>352890</x:v>
      </x:c>
      <x:c r="AV101" s="60" t="n">
        <x:f>MIN(MATCH(B101,'主线调参'!$M$11:$M$62,1),ROWS('主线调参'!$M$11:$M$62)-1)</x:f>
        <x:v>27</x:v>
      </x:c>
      <x:c r="AW101" s="62" t="n">
        <x:f>(B101-INDEX('主线调参'!$M$11:$M$62,AV101))/(INDEX('主线调参'!$M$11:$M$62,AV101+1)-INDEX('主线调参'!$M$11:$M$62,AV101))</x:f>
        <x:v>0.35714285714285715</x:v>
      </x:c>
      <x:c r="AX101" s="60" t="n">
        <x:f>IF(AU101=0,0,ROUND(AU101,2-INT(LOG10(ABS(AU101)))))</x:f>
        <x:v>353000</x:v>
      </x:c>
      <x:c r="AY101" s="62" t="n">
        <x:f>AU101/AU100-1</x:f>
        <x:v>0.015525403243212166</x:v>
      </x:c>
    </x:row>
    <x:row r="102" ht="25" customHeight="1">
      <x:c r="A102" s="40" t="n">
        <x:f>'调前玩家曲线'!A102</x:f>
        <x:v>36</x:v>
      </x:c>
      <x:c r="B102" s="40" t="n">
        <x:f>'调前玩家曲线'!B102</x:f>
        <x:v>91</x:v>
      </x:c>
      <x:c r="C102" s="40" t="n">
        <x:f>'调前玩家曲线'!C102</x:f>
        <x:v>7</x:v>
      </x:c>
      <x:c r="D102" s="40" t="n">
        <x:f>'调前玩家曲线'!D102</x:f>
        <x:v>7</x:v>
      </x:c>
      <x:c r="E102" s="40" t="n">
        <x:f>'调前玩家曲线'!E102</x:f>
        <x:v>1</x:v>
      </x:c>
      <x:c r="F102" s="40" t="n">
        <x:f>'调前玩家曲线'!F102</x:f>
        <x:v>5</x:v>
      </x:c>
      <x:c r="G102" s="63" t="n">
        <x:f>IF(B102&lt;$G$8,0,(INDEX('主线调参'!$C$11:$C$62,$AV102)+(INDEX('主线调参'!$C$11:$C$62,$AV102+1)-INDEX('主线调参'!$C$11:$C$62,$AV102))*$AW102)*'参数说明'!$C$27)</x:f>
        <x:v>0.5755355937542502</x:v>
      </x:c>
      <x:c r="H102" s="63" t="n">
        <x:f>IF(B102&lt;$H$8,0,(INDEX('主线调参'!$D$11:$D$62,$AV102)+(INDEX('主线调参'!$D$11:$D$62,$AV102+1)-INDEX('主线调参'!$D$11:$D$62,$AV102))*$AW102)*'参数说明'!$D$27)</x:f>
        <x:v>0.4472483065792922</x:v>
      </x:c>
      <x:c r="I102" s="63" t="n">
        <x:f>IF(B102&lt;$I$8,0,(INDEX('主线调参'!$E$11:$E$62,$AV102)+(INDEX('主线调参'!$E$11:$E$62,$AV102+1)-INDEX('主线调参'!$E$11:$E$62,$AV102))*$AW102)*'参数说明'!$E$27)</x:f>
        <x:v>0.20488711359080142</x:v>
      </x:c>
      <x:c r="J102" s="63" t="n">
        <x:f>IF(B102&lt;$J$8,0,(INDEX('主线调参'!$F$11:$F$62,$AV102)+(INDEX('主线调参'!$F$11:$F$62,$AV102+1)-INDEX('主线调参'!$F$11:$F$62,$AV102))*$AW102)*'参数说明'!$F$27)</x:f>
        <x:v>0.30801545263424435</x:v>
      </x:c>
      <x:c r="K102" s="63" t="n">
        <x:f>IF(B102&lt;$K$8,0,(INDEX('主线调参'!$G$11:$G$62,$AV102)+(INDEX('主线调参'!$G$11:$G$62,$AV102+1)-INDEX('主线调参'!$G$11:$G$62,$AV102))*$AW102)*'参数说明'!$G$27)</x:f>
        <x:v>0</x:v>
      </x:c>
      <x:c r="L102" s="63" t="n">
        <x:f>IF(B102&lt;$L$8,0,(INDEX('主线调参'!$H$11:$H$62,$AV102)+(INDEX('主线调参'!$H$11:$H$62,$AV102+1)-INDEX('主线调参'!$H$11:$H$62,$AV102))*$AW102)*'参数说明'!$H$27)</x:f>
        <x:v>0.4226398282669089</x:v>
      </x:c>
      <x:c r="M102" s="59" t="n">
        <x:f>E102*'模块规划'!$F$10+G102*'模块规划'!$F$11+H102*'模块规划'!$F$13</x:f>
        <x:v>3762.570850020401</x:v>
      </x:c>
      <x:c r="N102" s="59" t="n">
        <x:f>I102*'模块规划'!$F$15+J102*'模块规划'!$F$17+K102*'模块规划'!$F$16+L102*'模块规划'!$F$18</x:f>
        <x:v>6832.4505764034</x:v>
      </x:c>
      <x:c r="O102" s="59" t="n">
        <x:f>1+O$9*SUMPRODUCT($H$10:$L$10,H102:L102)/SUM($H$10:$L$10)</x:f>
        <x:v>2.041574759464742</x:v>
      </x:c>
      <x:c r="P102" s="59" t="n">
        <x:f>M102*O102+N102</x:f>
        <x:v>14514.02025450285</x:v>
      </x:c>
      <x:c r="Q102" s="59" t="n">
        <x:f>P102/(P102+'_曲线基线'!$L$2)</x:f>
        <x:v>0.3768503043461413</x:v>
      </x:c>
      <x:c r="R102" s="59" t="n">
        <x:f>E102*'模块规划'!$E$10+G102*'模块规划'!$E$11+H102*'模块规划'!$E$13</x:f>
        <x:v>5643.856275030602</x:v>
      </x:c>
      <x:c r="S102" s="59" t="n">
        <x:f>I102*'模块规划'!$E$15+J102*'模块规划'!$E$17+K102*'模块规划'!$E$16+L102*'模块规划'!$E$18</x:f>
        <x:v>10248.675864605098</x:v>
      </x:c>
      <x:c r="T102" s="59" t="n">
        <x:f>1+T$9*SUMPRODUCT($H$10:$L$10,H102:L102)/SUM($H$10:$L$10)</x:f>
        <x:v>2.041574759464742</x:v>
      </x:c>
      <x:c r="U102" s="59" t="n">
        <x:f>R102*T102+S102</x:f>
        <x:v>21771.030381754274</x:v>
      </x:c>
      <x:c r="V102" s="59" t="n">
        <x:f>V$8+(V$9-V$8)*H102</x:f>
        <x:v>0.8341744919737877</x:v>
      </x:c>
      <x:c r="W102" s="59" t="n">
        <x:f>IF(B102&lt;$H$8,0,W$8+(W$9-W$8)*H102)</x:f>
        <x:v>0.1788993226317169</x:v>
      </x:c>
      <x:c r="X102" s="59" t="n">
        <x:f>X$8+(X$9-X$8)*H102</x:f>
        <x:v>0.39799328430930536</x:v>
      </x:c>
      <x:c r="Y102" s="59" t="n">
        <x:f>Y$8+(Y$9-Y$8)*G102</x:f>
        <x:v>1</x:v>
      </x:c>
      <x:c r="Z102" s="59" t="n">
        <x:f>Z$8+(Z$9-Z$8)*H102</x:f>
        <x:v>1</x:v>
      </x:c>
      <x:c r="AA102" s="59" t="n">
        <x:f>AA$8+(AA$9-AA$8)*I102</x:f>
        <x:v>1</x:v>
      </x:c>
      <x:c r="AB102" s="59" t="n">
        <x:f>AB$8+(AB$9-AB$8)*J102</x:f>
        <x:v>1</x:v>
      </x:c>
      <x:c r="AC102" s="59" t="n">
        <x:f>AC$8+(AC$9-AC$8)*MAX(K102,L102)</x:f>
        <x:v>1</x:v>
      </x:c>
      <x:c r="AD102" s="59" t="n">
        <x:f>(V102*AE102+W102*AF102+X102*AG102)*PRODUCT(Y102:AC102)</x:f>
        <x:v>1.4923531730701605</x:v>
      </x:c>
      <x:c r="AE102" s="59" t="n">
        <x:f>1+AE$9*($H$10*H102+$I$10*I102+$J$10*J102+$K$10*K102+$L$10*L102)</x:f>
        <x:v>1</x:v>
      </x:c>
      <x:c r="AF102" s="59" t="n">
        <x:f>1+AF$9*($H$10*H102+$I$10*I102+$J$10*J102+$K$10*K102+$L$10*L102)</x:f>
        <x:v>1.091928460551949</x:v>
      </x:c>
      <x:c r="AG102" s="59" t="n">
        <x:f>1+AG$9*($H$10*H102+$I$10*I102+$J$10*J102+$K$10*K102+$L$10*L102)</x:f>
        <x:v>1.1629176606448441</x:v>
      </x:c>
      <x:c r="AH102" s="59" t="n">
        <x:f>MIN(1,'_曲线基线'!$L$3+AH$9*($H$10*H102+$I$10*I102+$J$10*J102+$K$10*K102+$L$10*L102))</x:f>
        <x:v>0.2591372477556837</x:v>
      </x:c>
      <x:c r="AI102" s="59" t="n">
        <x:f>'_曲线基线'!$L$4+AI$9*($H$10*H102+$I$10*I102+$J$10*J102+$K$10*K102+$L$10*L102)</x:f>
        <x:v>2.582596618747976</x:v>
      </x:c>
      <x:c r="AJ102" s="59" t="n">
        <x:f>1+AJ$9*($H$10*H102+$I$10*I102+$J$10*J102+$K$10*K102+$L$10*L102)</x:f>
        <x:v>1.4780279948701343</x:v>
      </x:c>
      <x:c r="AK102" s="59" t="n">
        <x:f>(1+AH102*(AI102-1))*AJ102</x:f>
        <x:v>2.0841816598675513</x:v>
      </x:c>
      <x:c r="AL102" s="59" t="n">
        <x:f>U102*AD102*AK102*F102</x:f>
        <x:v>338576.00125176786</x:v>
      </x:c>
      <x:c r="AM102" s="59" t="n">
        <x:f>IF($B102&lt;AM$8,0,AM$3+(AM$4-AM$3)*(POWER(AM$5,$B102-AM$8)-1)/(POWER(AM$5,$C$5-AM$8)-1))</x:f>
        <x:v>36.94473720362092</x:v>
      </x:c>
      <x:c r="AN102" s="59" t="n">
        <x:f>(((E102*'模块规划'!$D$10+G102*'模块规划'!$D$11+H102*'模块规划'!$D$13)*(1+'模块规划'!$G$14*H102)+(I102*'模块规划'!$D$15+J102*'模块规划'!$D$17+K102*'模块规划'!$D$16+L102*'模块规划'!$D$18))*(1+'模块规划'!$J$17*J102))*F102/(1-Q102)</x:f>
        <x:v>665388.1420517128</x:v>
      </x:c>
      <x:c r="AO102" s="59" t="n">
        <x:f>AL102*AM102</x:f>
        <x:v>12508601.38969939</x:v>
      </x:c>
      <x:c r="AP102" s="61" t="n">
        <x:f>IF(AO102="","",INDEX('_曲线基线'!$A$3:$A$502,MIN(ROWS('_曲线基线'!$A$3:$A$502),COUNTIF('_曲线基线'!$E$3:$E$502,"&lt;"&amp;AO102)+1)))</x:f>
        <x:v>156</x:v>
      </x:c>
      <x:c r="AQ102" s="61" t="n">
        <x:f>IF(B102&lt;=2,1,IF(B102&lt;=6,2,IF(B102&lt;=9,3,IF(B102&lt;=19,4,5))))</x:f>
        <x:v>5</x:v>
      </x:c>
      <x:c r="AR102" s="59" t="n">
        <x:f>AN102*(1-Q102)/F102*$AS$3+U102*$AS$4+P102*$AS$5</x:f>
        <x:v>6842.024585618123</x:v>
      </x:c>
      <x:c r="AS102" s="59" t="n">
        <x:f>1+AH102*$AS$6+AI102*$AS$7+(AJ102-1)*$AS$8+($H$10*H102+$I$10*I102+$J$10*J102+$K$10*K102+$L$10*L102)*$AU$3*$AS$9+($H$10*H102+$I$10*I102+$J$10*J102+$K$10*K102+$L$10*L102)*$AU$4*$AS$10</x:f>
        <x:v>10.474409971692248</x:v>
      </x:c>
      <x:c r="AT102" s="60" t="n">
        <x:f>ROUND(AR102*AS102,0)</x:f>
        <x:v>71666</x:v>
      </x:c>
      <x:c r="AU102" s="60" t="n">
        <x:f>ROUND(AT102*F102,0)</x:f>
        <x:v>358330</x:v>
      </x:c>
      <x:c r="AV102" s="60" t="n">
        <x:f>MIN(MATCH(B102,'主线调参'!$M$11:$M$62,1),ROWS('主线调参'!$M$11:$M$62)-1)</x:f>
        <x:v>27</x:v>
      </x:c>
      <x:c r="AW102" s="62" t="n">
        <x:f>(B102-INDEX('主线调参'!$M$11:$M$62,AV102))/(INDEX('主线调参'!$M$11:$M$62,AV102+1)-INDEX('主线调参'!$M$11:$M$62,AV102))</x:f>
        <x:v>0.42857142857142855</x:v>
      </x:c>
      <x:c r="AX102" s="60" t="n">
        <x:f>IF(AU102=0,0,ROUND(AU102,2-INT(LOG10(ABS(AU102)))))</x:f>
        <x:v>358000</x:v>
      </x:c>
      <x:c r="AY102" s="62" t="n">
        <x:f>AU102/AU101-1</x:f>
        <x:v>0.015415568590779083</x:v>
      </x:c>
    </x:row>
    <x:row r="103" ht="25" customHeight="1">
      <x:c r="A103" s="40" t="n">
        <x:f>'调前玩家曲线'!A103</x:f>
        <x:v>36</x:v>
      </x:c>
      <x:c r="B103" s="40" t="n">
        <x:f>'调前玩家曲线'!B103</x:f>
        <x:v>92</x:v>
      </x:c>
      <x:c r="C103" s="40" t="n">
        <x:f>'调前玩家曲线'!C103</x:f>
        <x:v>7</x:v>
      </x:c>
      <x:c r="D103" s="40" t="n">
        <x:f>'调前玩家曲线'!D103</x:f>
        <x:v>8</x:v>
      </x:c>
      <x:c r="E103" s="40" t="n">
        <x:f>'调前玩家曲线'!E103</x:f>
        <x:v>1</x:v>
      </x:c>
      <x:c r="F103" s="40" t="n">
        <x:f>'调前玩家曲线'!F103</x:f>
        <x:v>5</x:v>
      </x:c>
      <x:c r="G103" s="63" t="n">
        <x:f>IF(B103&lt;$G$8,0,(INDEX('主线调参'!$C$11:$C$62,$AV103)+(INDEX('主线调参'!$C$11:$C$62,$AV103+1)-INDEX('主线调参'!$C$11:$C$62,$AV103))*$AW103)*'参数说明'!$C$27)</x:f>
        <x:v>0.5781581868664486</x:v>
      </x:c>
      <x:c r="H103" s="63" t="n">
        <x:f>IF(B103&lt;$H$8,0,(INDEX('主线调参'!$D$11:$D$62,$AV103)+(INDEX('主线调参'!$D$11:$D$62,$AV103+1)-INDEX('主线调参'!$D$11:$D$62,$AV103))*$AW103)*'参数说明'!$D$27)</x:f>
        <x:v>0.44945991754067655</x:v>
      </x:c>
      <x:c r="I103" s="63" t="n">
        <x:f>IF(B103&lt;$I$8,0,(INDEX('主线调参'!$E$11:$E$62,$AV103)+(INDEX('主线调参'!$E$11:$E$62,$AV103+1)-INDEX('主线调参'!$E$11:$E$62,$AV103))*$AW103)*'参数说明'!$E$27)</x:f>
        <x:v>0.21057353912300808</x:v>
      </x:c>
      <x:c r="J103" s="63" t="n">
        <x:f>IF(B103&lt;$J$8,0,(INDEX('主线调参'!$F$11:$F$62,$AV103)+(INDEX('主线调参'!$F$11:$F$62,$AV103+1)-INDEX('主线调参'!$F$11:$F$62,$AV103))*$AW103)*'参数说明'!$F$27)</x:f>
        <x:v>0.31087230946613853</x:v>
      </x:c>
      <x:c r="K103" s="63" t="n">
        <x:f>IF(B103&lt;$K$8,0,(INDEX('主线调参'!$G$11:$G$62,$AV103)+(INDEX('主线调参'!$G$11:$G$62,$AV103+1)-INDEX('主线调参'!$G$11:$G$62,$AV103))*$AW103)*'参数说明'!$G$27)</x:f>
        <x:v>0</x:v>
      </x:c>
      <x:c r="L103" s="63" t="n">
        <x:f>IF(B103&lt;$L$8,0,(INDEX('主线调参'!$H$11:$H$62,$AV103)+(INDEX('主线调参'!$H$11:$H$62,$AV103+1)-INDEX('主线调参'!$H$11:$H$62,$AV103))*$AW103)*'参数说明'!$H$27)</x:f>
        <x:v>0.4252876467940302</x:v>
      </x:c>
      <x:c r="M103" s="59" t="n">
        <x:f>E103*'模块规划'!$F$10+G103*'模块规划'!$F$11+H103*'模块规划'!$F$13</x:f>
        <x:v>3775.1592969589533</x:v>
      </x:c>
      <x:c r="N103" s="59" t="n">
        <x:f>I103*'模块规划'!$F$15+J103*'模块规划'!$F$17+K103*'模块规划'!$F$16+L103*'模块规划'!$F$18</x:f>
        <x:v>6919.749641615601</x:v>
      </x:c>
      <x:c r="O103" s="59" t="n">
        <x:f>1+O$9*SUMPRODUCT($H$10:$L$10,H103:L103)/SUM($H$10:$L$10)</x:f>
        <x:v>2.050551903463689</x:v>
      </x:c>
      <x:c r="P103" s="59" t="n">
        <x:f>M103*O103+N103</x:f>
        <x:v>14660.909723873425</x:v>
      </x:c>
      <x:c r="Q103" s="59" t="n">
        <x:f>P103/(P103+'_曲线基线'!$L$2)</x:f>
        <x:v>0.3792179187863289</x:v>
      </x:c>
      <x:c r="R103" s="59" t="n">
        <x:f>E103*'模块规划'!$E$10+G103*'模块规划'!$E$11+H103*'模块规划'!$E$13</x:f>
        <x:v>5662.73894543843</x:v>
      </x:c>
      <x:c r="S103" s="59" t="n">
        <x:f>I103*'模块规划'!$E$15+J103*'模块规划'!$E$17+K103*'模块规划'!$E$16+L103*'模块规划'!$E$18</x:f>
        <x:v>10379.624462423402</x:v>
      </x:c>
      <x:c r="T103" s="59" t="n">
        <x:f>1+T$9*SUMPRODUCT($H$10:$L$10,H103:L103)/SUM($H$10:$L$10)</x:f>
        <x:v>2.050551903463689</x:v>
      </x:c>
      <x:c r="U103" s="59" t="n">
        <x:f>R103*T103+S103</x:f>
        <x:v>21991.364585810137</x:v>
      </x:c>
      <x:c r="V103" s="59" t="n">
        <x:f>V$8+(V$9-V$8)*H103</x:f>
        <x:v>0.8348379752622029</x:v>
      </x:c>
      <x:c r="W103" s="59" t="n">
        <x:f>IF(B103&lt;$H$8,0,W$8+(W$9-W$8)*H103)</x:f>
        <x:v>0.17978396701627064</x:v>
      </x:c>
      <x:c r="X103" s="59" t="n">
        <x:f>X$8+(X$9-X$8)*H103</x:f>
        <x:v>0.3986014773236861</x:v>
      </x:c>
      <x:c r="Y103" s="59" t="n">
        <x:f>Y$8+(Y$9-Y$8)*G103</x:f>
        <x:v>1</x:v>
      </x:c>
      <x:c r="Z103" s="59" t="n">
        <x:f>Z$8+(Z$9-Z$8)*H103</x:f>
        <x:v>1</x:v>
      </x:c>
      <x:c r="AA103" s="59" t="n">
        <x:f>AA$8+(AA$9-AA$8)*I103</x:f>
        <x:v>1</x:v>
      </x:c>
      <x:c r="AB103" s="59" t="n">
        <x:f>AB$8+(AB$9-AB$8)*J103</x:f>
        <x:v>1</x:v>
      </x:c>
      <x:c r="AC103" s="59" t="n">
        <x:f>AC$8+(AC$9-AC$8)*MAX(K103,L103)</x:f>
        <x:v>1</x:v>
      </x:c>
      <x:c r="AD103" s="59" t="n">
        <x:f>(V103*AE103+W103*AF103+X103*AG103)*PRODUCT(Y103:AC103)</x:f>
        <x:v>1.4953920479875529</x:v>
      </x:c>
      <x:c r="AE103" s="59" t="n">
        <x:f>1+AE$9*($H$10*H103+$I$10*I103+$J$10*J103+$K$10*K103+$L$10*L103)</x:f>
        <x:v>1</x:v>
      </x:c>
      <x:c r="AF103" s="59" t="n">
        <x:f>1+AF$9*($H$10*H103+$I$10*I103+$J$10*J103+$K$10*K103+$L$10*L103)</x:f>
        <x:v>1.0927207752854593</x:v>
      </x:c>
      <x:c r="AG103" s="59" t="n">
        <x:f>1+AG$9*($H$10*H103+$I$10*I103+$J$10*J103+$K$10*K103+$L$10*L103)</x:f>
        <x:v>1.1643218184225652</x:v>
      </x:c>
      <x:c r="AH103" s="59" t="n">
        <x:f>MIN(1,'_曲线基线'!$L$3+AH$9*($H$10*H103+$I$10*I103+$J$10*J103+$K$10*K103+$L$10*L103))</x:f>
        <x:v>0.2609397637744197</x:v>
      </x:c>
      <x:c r="AI103" s="59" t="n">
        <x:f>'_曲线基线'!$L$4+AI$9*($H$10*H103+$I$10*I103+$J$10*J103+$K$10*K103+$L$10*L103)</x:f>
        <x:v>2.5876179133715977</x:v>
      </x:c>
      <x:c r="AJ103" s="59" t="n">
        <x:f>1+AJ$9*($H$10*H103+$I$10*I103+$J$10*J103+$K$10*K103+$L$10*L103)</x:f>
        <x:v>1.4821480314843878</x:v>
      </x:c>
      <x:c r="AK103" s="59" t="n">
        <x:f>(1+AH103*(AI103-1))*AJ103</x:f>
        <x:v>2.0961614142185203</x:v>
      </x:c>
      <x:c r="AL103" s="59" t="n">
        <x:f>U103*AD103*AK103*F103</x:f>
        <x:v>344668.7999959368</x:v>
      </x:c>
      <x:c r="AM103" s="59" t="n">
        <x:f>IF($B103&lt;AM$8,0,AM$3+(AM$4-AM$3)*(POWER(AM$5,$B103-AM$8)-1)/(POWER(AM$5,$C$5-AM$8)-1))</x:f>
        <x:v>36.977609215578994</x:v>
      </x:c>
      <x:c r="AN103" s="59" t="n">
        <x:f>(((E103*'模块规划'!$D$10+G103*'模块规划'!$D$11+H103*'模块规划'!$D$13)*(1+'模块规划'!$G$14*H103)+(I103*'模块规划'!$D$15+J103*'模块规划'!$D$17+K103*'模块规划'!$D$16+L103*'模块规划'!$D$18))*(1+'模块规划'!$J$17*J103))*F103/(1-Q103)</x:f>
        <x:v>675816.7080582242</x:v>
      </x:c>
      <x:c r="AO103" s="59" t="n">
        <x:f>AL103*AM103</x:f>
        <x:v>12745028.195052305</x:v>
      </x:c>
      <x:c r="AP103" s="61" t="n">
        <x:f>IF(AO103="","",INDEX('_曲线基线'!$A$3:$A$502,MIN(ROWS('_曲线基线'!$A$3:$A$502),COUNTIF('_曲线基线'!$E$3:$E$502,"&lt;"&amp;AO103)+1)))</x:f>
        <x:v>157</x:v>
      </x:c>
      <x:c r="AQ103" s="61" t="n">
        <x:f>IF(B103&lt;=2,1,IF(B103&lt;=6,2,IF(B103&lt;=9,3,IF(B103&lt;=19,4,5))))</x:f>
        <x:v>5</x:v>
      </x:c>
      <x:c r="AR103" s="59" t="n">
        <x:f>AN103*(1-Q103)/F103*$AS$3+U103*$AS$4+P103*$AS$5</x:f>
        <x:v>6915.482332446165</x:v>
      </x:c>
      <x:c r="AS103" s="59" t="n">
        <x:f>1+AH103*$AS$6+AI103*$AS$7+(AJ103-1)*$AS$8+($H$10*H103+$I$10*I103+$J$10*J103+$K$10*K103+$L$10*L103)*$AU$3*$AS$9+($H$10*H103+$I$10*I103+$J$10*J103+$K$10*K103+$L$10*L103)*$AU$4*$AS$10</x:f>
        <x:v>10.521751677287105</x:v>
      </x:c>
      <x:c r="AT103" s="60" t="n">
        <x:f>ROUND(AR103*AS103,0)</x:f>
        <x:v>72763</x:v>
      </x:c>
      <x:c r="AU103" s="60" t="n">
        <x:f>ROUND(AT103*F103,0)</x:f>
        <x:v>363815</x:v>
      </x:c>
      <x:c r="AV103" s="60" t="n">
        <x:f>MIN(MATCH(B103,'主线调参'!$M$11:$M$62,1),ROWS('主线调参'!$M$11:$M$62)-1)</x:f>
        <x:v>27</x:v>
      </x:c>
      <x:c r="AW103" s="62" t="n">
        <x:f>(B103-INDEX('主线调参'!$M$11:$M$62,AV103))/(INDEX('主线调参'!$M$11:$M$62,AV103+1)-INDEX('主线调参'!$M$11:$M$62,AV103))</x:f>
        <x:v>0.5</x:v>
      </x:c>
      <x:c r="AX103" s="60" t="n">
        <x:f>IF(AU103=0,0,ROUND(AU103,2-INT(LOG10(ABS(AU103)))))</x:f>
        <x:v>364000</x:v>
      </x:c>
      <x:c r="AY103" s="62" t="n">
        <x:f>AU103/AU102-1</x:f>
        <x:v>0.01530711913599192</x:v>
      </x:c>
    </x:row>
    <x:row r="104" ht="25" customHeight="1">
      <x:c r="A104" s="40" t="n">
        <x:f>'调前玩家曲线'!A104</x:f>
        <x:v>36</x:v>
      </x:c>
      <x:c r="B104" s="40" t="n">
        <x:f>'调前玩家曲线'!B104</x:f>
        <x:v>93</x:v>
      </x:c>
      <x:c r="C104" s="40" t="n">
        <x:f>'调前玩家曲线'!C104</x:f>
        <x:v>7</x:v>
      </x:c>
      <x:c r="D104" s="40" t="n">
        <x:f>'调前玩家曲线'!D104</x:f>
        <x:v>9</x:v>
      </x:c>
      <x:c r="E104" s="40" t="n">
        <x:f>'调前玩家曲线'!E104</x:f>
        <x:v>1</x:v>
      </x:c>
      <x:c r="F104" s="40" t="n">
        <x:f>'调前玩家曲线'!F104</x:f>
        <x:v>5</x:v>
      </x:c>
      <x:c r="G104" s="63" t="n">
        <x:f>IF(B104&lt;$G$8,0,(INDEX('主线调参'!$C$11:$C$62,$AV104)+(INDEX('主线调参'!$C$11:$C$62,$AV104+1)-INDEX('主线调参'!$C$11:$C$62,$AV104))*$AW104)*'参数说明'!$C$27)</x:f>
        <x:v>0.580780779978647</x:v>
      </x:c>
      <x:c r="H104" s="63" t="n">
        <x:f>IF(B104&lt;$H$8,0,(INDEX('主线调参'!$D$11:$D$62,$AV104)+(INDEX('主线调参'!$D$11:$D$62,$AV104+1)-INDEX('主线调参'!$D$11:$D$62,$AV104))*$AW104)*'参数说明'!$D$27)</x:f>
        <x:v>0.4516715285020609</x:v>
      </x:c>
      <x:c r="I104" s="63" t="n">
        <x:f>IF(B104&lt;$I$8,0,(INDEX('主线调参'!$E$11:$E$62,$AV104)+(INDEX('主线调参'!$E$11:$E$62,$AV104+1)-INDEX('主线调参'!$E$11:$E$62,$AV104))*$AW104)*'参数说明'!$E$27)</x:f>
        <x:v>0.2162599646552148</x:v>
      </x:c>
      <x:c r="J104" s="63" t="n">
        <x:f>IF(B104&lt;$J$8,0,(INDEX('主线调参'!$F$11:$F$62,$AV104)+(INDEX('主线调参'!$F$11:$F$62,$AV104+1)-INDEX('主线调参'!$F$11:$F$62,$AV104))*$AW104)*'参数说明'!$F$27)</x:f>
        <x:v>0.3137291662980326</x:v>
      </x:c>
      <x:c r="K104" s="63" t="n">
        <x:f>IF(B104&lt;$K$8,0,(INDEX('主线调参'!$G$11:$G$62,$AV104)+(INDEX('主线调参'!$G$11:$G$62,$AV104+1)-INDEX('主线调参'!$G$11:$G$62,$AV104))*$AW104)*'参数说明'!$G$27)</x:f>
        <x:v>0</x:v>
      </x:c>
      <x:c r="L104" s="63" t="n">
        <x:f>IF(B104&lt;$L$8,0,(INDEX('主线调参'!$H$11:$H$62,$AV104)+(INDEX('主线调参'!$H$11:$H$62,$AV104+1)-INDEX('主线调参'!$H$11:$H$62,$AV104))*$AW104)*'参数说明'!$H$27)</x:f>
        <x:v>0.42793546532115156</x:v>
      </x:c>
      <x:c r="M104" s="59" t="n">
        <x:f>E104*'模块规划'!$F$10+G104*'模块规划'!$F$11+H104*'模块规划'!$F$13</x:f>
        <x:v>3787.7477438975056</x:v>
      </x:c>
      <x:c r="N104" s="59" t="n">
        <x:f>I104*'模块规划'!$F$15+J104*'模块规划'!$F$17+K104*'模块规划'!$F$16+L104*'模块规划'!$F$18</x:f>
        <x:v>7007.048706827803</x:v>
      </x:c>
      <x:c r="O104" s="59" t="n">
        <x:f>1+O$9*SUMPRODUCT($H$10:$L$10,H104:L104)/SUM($H$10:$L$10)</x:f>
        <x:v>2.0595290474626364</x:v>
      </x:c>
      <x:c r="P104" s="59" t="n">
        <x:f>M104*O104+N104</x:f>
        <x:v>14808.025209845782</x:v>
      </x:c>
      <x:c r="Q104" s="59" t="n">
        <x:f>P104/(P104+'_曲线基线'!$L$2)</x:f>
        <x:v>0.3815712118762723</x:v>
      </x:c>
      <x:c r="R104" s="59" t="n">
        <x:f>E104*'模块规划'!$E$10+G104*'模块规划'!$E$11+H104*'模块规划'!$E$13</x:f>
        <x:v>5681.6216158462585</x:v>
      </x:c>
      <x:c r="S104" s="59" t="n">
        <x:f>I104*'模块规划'!$E$15+J104*'模块规划'!$E$17+K104*'模块规划'!$E$16+L104*'模块规划'!$E$18</x:f>
        <x:v>10510.573060241702</x:v>
      </x:c>
      <x:c r="T104" s="59" t="n">
        <x:f>1+T$9*SUMPRODUCT($H$10:$L$10,H104:L104)/SUM($H$10:$L$10)</x:f>
        <x:v>2.0595290474626364</x:v>
      </x:c>
      <x:c r="U104" s="59" t="n">
        <x:f>R104*T104+S104</x:f>
        <x:v>22212.03781476867</x:v>
      </x:c>
      <x:c r="V104" s="59" t="n">
        <x:f>V$8+(V$9-V$8)*H104</x:f>
        <x:v>0.8355014585506182</x:v>
      </x:c>
      <x:c r="W104" s="59" t="n">
        <x:f>IF(B104&lt;$H$8,0,W$8+(W$9-W$8)*H104)</x:f>
        <x:v>0.18066861140082435</x:v>
      </x:c>
      <x:c r="X104" s="59" t="n">
        <x:f>X$8+(X$9-X$8)*H104</x:f>
        <x:v>0.39920967033806676</x:v>
      </x:c>
      <x:c r="Y104" s="59" t="n">
        <x:f>Y$8+(Y$9-Y$8)*G104</x:f>
        <x:v>1</x:v>
      </x:c>
      <x:c r="Z104" s="59" t="n">
        <x:f>Z$8+(Z$9-Z$8)*H104</x:f>
        <x:v>1</x:v>
      </x:c>
      <x:c r="AA104" s="59" t="n">
        <x:f>AA$8+(AA$9-AA$8)*I104</x:f>
        <x:v>1</x:v>
      </x:c>
      <x:c r="AB104" s="59" t="n">
        <x:f>AB$8+(AB$9-AB$8)*J104</x:f>
        <x:v>1</x:v>
      </x:c>
      <x:c r="AC104" s="59" t="n">
        <x:f>AC$8+(AC$9-AC$8)*MAX(K104,L104)</x:f>
        <x:v>1</x:v>
      </x:c>
      <x:c r="AD104" s="59" t="n">
        <x:f>(V104*AE104+W104*AF104+X104*AG104)*PRODUCT(Y104:AC104)</x:f>
        <x:v>1.4984340327364074</x:v>
      </x:c>
      <x:c r="AE104" s="59" t="n">
        <x:f>1+AE$9*($H$10*H104+$I$10*I104+$J$10*J104+$K$10*K104+$L$10*L104)</x:f>
        <x:v>1</x:v>
      </x:c>
      <x:c r="AF104" s="59" t="n">
        <x:f>1+AF$9*($H$10*H104+$I$10*I104+$J$10*J104+$K$10*K104+$L$10*L104)</x:f>
        <x:v>1.0935130900189696</x:v>
      </x:c>
      <x:c r="AG104" s="59" t="n">
        <x:f>1+AG$9*($H$10*H104+$I$10*I104+$J$10*J104+$K$10*K104+$L$10*L104)</x:f>
        <x:v>1.1657259762002863</x:v>
      </x:c>
      <x:c r="AH104" s="59" t="n">
        <x:f>MIN(1,'_曲线基线'!$L$3+AH$9*($H$10*H104+$I$10*I104+$J$10*J104+$K$10*K104+$L$10*L104))</x:f>
        <x:v>0.2627422797931556</x:v>
      </x:c>
      <x:c r="AI104" s="59" t="n">
        <x:f>'_曲线基线'!$L$4+AI$9*($H$10*H104+$I$10*I104+$J$10*J104+$K$10*K104+$L$10*L104)</x:f>
        <x:v>2.5926392079952194</x:v>
      </x:c>
      <x:c r="AJ104" s="59" t="n">
        <x:f>1+AJ$9*($H$10*H104+$I$10*I104+$J$10*J104+$K$10*K104+$L$10*L104)</x:f>
        <x:v>1.4862680680986413</x:v>
      </x:c>
      <x:c r="AK104" s="59" t="n">
        <x:f>(1+AH104*(AI104-1))*AJ104</x:f>
        <x:v>2.1082023755800727</x:v>
      </x:c>
      <x:c r="AL104" s="59" t="n">
        <x:f>U104*AD104*AK104*F104</x:f>
        <x:v>350839.3802245391</x:v>
      </x:c>
      <x:c r="AM104" s="59" t="n">
        <x:f>IF($B104&lt;AM$8,0,AM$3+(AM$4-AM$3)*(POWER(AM$5,$B104-AM$8)-1)/(POWER(AM$5,$C$5-AM$8)-1))</x:f>
        <x:v>37.010809947656654</x:v>
      </x:c>
      <x:c r="AN104" s="59" t="n">
        <x:f>(((E104*'模块规划'!$D$10+G104*'模块规划'!$D$11+H104*'模块规划'!$D$13)*(1+'模块规划'!$G$14*H104)+(I104*'模块规划'!$D$15+J104*'模块规划'!$D$17+K104*'模块规划'!$D$16+L104*'模块规划'!$D$18))*(1+'模块规划'!$J$17*J104))*F104/(1-Q104)</x:f>
        <x:v>686343.1942133148</x:v>
      </x:c>
      <x:c r="AO104" s="59" t="n">
        <x:f>AL104*AM104</x:f>
        <x:v>12984849.623644067</x:v>
      </x:c>
      <x:c r="AP104" s="61" t="n">
        <x:f>IF(AO104="","",INDEX('_曲线基线'!$A$3:$A$502,MIN(ROWS('_曲线基线'!$A$3:$A$502),COUNTIF('_曲线基线'!$E$3:$E$502,"&lt;"&amp;AO104)+1)))</x:f>
        <x:v>158</x:v>
      </x:c>
      <x:c r="AQ104" s="61" t="n">
        <x:f>IF(B104&lt;=2,1,IF(B104&lt;=6,2,IF(B104&lt;=9,3,IF(B104&lt;=19,4,5))))</x:f>
        <x:v>5</x:v>
      </x:c>
      <x:c r="AR104" s="59" t="n">
        <x:f>AN104*(1-Q104)/F104*$AS$3+U104*$AS$4+P104*$AS$5</x:f>
        <x:v>6989.133901959586</x:v>
      </x:c>
      <x:c r="AS104" s="59" t="n">
        <x:f>1+AH104*$AS$6+AI104*$AS$7+(AJ104-1)*$AS$8+($H$10*H104+$I$10*I104+$J$10*J104+$K$10*K104+$L$10*L104)*$AU$3*$AS$9+($H$10*H104+$I$10*I104+$J$10*J104+$K$10*K104+$L$10*L104)*$AU$4*$AS$10</x:f>
        <x:v>10.569093382881961</x:v>
      </x:c>
      <x:c r="AT104" s="60" t="n">
        <x:f>ROUND(AR104*AS104,0)</x:f>
        <x:v>73869</x:v>
      </x:c>
      <x:c r="AU104" s="60" t="n">
        <x:f>ROUND(AT104*F104,0)</x:f>
        <x:v>369345</x:v>
      </x:c>
      <x:c r="AV104" s="60" t="n">
        <x:f>MIN(MATCH(B104,'主线调参'!$M$11:$M$62,1),ROWS('主线调参'!$M$11:$M$62)-1)</x:f>
        <x:v>27</x:v>
      </x:c>
      <x:c r="AW104" s="62" t="n">
        <x:f>(B104-INDEX('主线调参'!$M$11:$M$62,AV104))/(INDEX('主线调参'!$M$11:$M$62,AV104+1)-INDEX('主线调参'!$M$11:$M$62,AV104))</x:f>
        <x:v>0.5714285714285714</x:v>
      </x:c>
      <x:c r="AX104" s="60" t="n">
        <x:f>IF(AU104=0,0,ROUND(AU104,2-INT(LOG10(ABS(AU104)))))</x:f>
        <x:v>369000</x:v>
      </x:c>
      <x:c r="AY104" s="62" t="n">
        <x:f>AU104/AU103-1</x:f>
        <x:v>0.015200032983796685</x:v>
      </x:c>
    </x:row>
    <x:row r="105" ht="25" customHeight="1">
      <x:c r="A105" s="40" t="n">
        <x:f>'调前玩家曲线'!A105</x:f>
        <x:v>36</x:v>
      </x:c>
      <x:c r="B105" s="40" t="n">
        <x:f>'调前玩家曲线'!B105</x:f>
        <x:v>94</x:v>
      </x:c>
      <x:c r="C105" s="40" t="n">
        <x:f>'调前玩家曲线'!C105</x:f>
        <x:v>7</x:v>
      </x:c>
      <x:c r="D105" s="40" t="n">
        <x:f>'调前玩家曲线'!D105</x:f>
        <x:v>10</x:v>
      </x:c>
      <x:c r="E105" s="40" t="n">
        <x:f>'调前玩家曲线'!E105</x:f>
        <x:v>1</x:v>
      </x:c>
      <x:c r="F105" s="40" t="n">
        <x:f>'调前玩家曲线'!F105</x:f>
        <x:v>5</x:v>
      </x:c>
      <x:c r="G105" s="63" t="n">
        <x:f>IF(B105&lt;$G$8,0,(INDEX('主线调参'!$C$11:$C$62,$AV105)+(INDEX('主线调参'!$C$11:$C$62,$AV105+1)-INDEX('主线调参'!$C$11:$C$62,$AV105))*$AW105)*'参数说明'!$C$27)</x:f>
        <x:v>0.5834033730908452</x:v>
      </x:c>
      <x:c r="H105" s="63" t="n">
        <x:f>IF(B105&lt;$H$8,0,(INDEX('主线调参'!$D$11:$D$62,$AV105)+(INDEX('主线调参'!$D$11:$D$62,$AV105+1)-INDEX('主线调参'!$D$11:$D$62,$AV105))*$AW105)*'参数说明'!$D$27)</x:f>
        <x:v>0.4538831394634451</x:v>
      </x:c>
      <x:c r="I105" s="63" t="n">
        <x:f>IF(B105&lt;$I$8,0,(INDEX('主线调参'!$E$11:$E$62,$AV105)+(INDEX('主线调参'!$E$11:$E$62,$AV105+1)-INDEX('主线调参'!$E$11:$E$62,$AV105))*$AW105)*'参数说明'!$E$27)</x:f>
        <x:v>0.2219463901874215</x:v>
      </x:c>
      <x:c r="J105" s="63" t="n">
        <x:f>IF(B105&lt;$J$8,0,(INDEX('主线调参'!$F$11:$F$62,$AV105)+(INDEX('主线调参'!$F$11:$F$62,$AV105+1)-INDEX('主线调参'!$F$11:$F$62,$AV105))*$AW105)*'参数说明'!$F$27)</x:f>
        <x:v>0.31658602312992673</x:v>
      </x:c>
      <x:c r="K105" s="63" t="n">
        <x:f>IF(B105&lt;$K$8,0,(INDEX('主线调参'!$G$11:$G$62,$AV105)+(INDEX('主线调参'!$G$11:$G$62,$AV105+1)-INDEX('主线调参'!$G$11:$G$62,$AV105))*$AW105)*'参数说明'!$G$27)</x:f>
        <x:v>0</x:v>
      </x:c>
      <x:c r="L105" s="63" t="n">
        <x:f>IF(B105&lt;$L$8,0,(INDEX('主线调参'!$H$11:$H$62,$AV105)+(INDEX('主线调参'!$H$11:$H$62,$AV105+1)-INDEX('主线调参'!$H$11:$H$62,$AV105))*$AW105)*'参数说明'!$H$27)</x:f>
        <x:v>0.430583283848273</x:v>
      </x:c>
      <x:c r="M105" s="59" t="n">
        <x:f>E105*'模块规划'!$F$10+G105*'模块规划'!$F$11+H105*'模块规划'!$F$13</x:f>
        <x:v>3800.336190836057</x:v>
      </x:c>
      <x:c r="N105" s="59" t="n">
        <x:f>I105*'模块规划'!$F$15+J105*'模块规划'!$F$17+K105*'模块规划'!$F$16+L105*'模块规划'!$F$18</x:f>
        <x:v>7094.347772040004</x:v>
      </x:c>
      <x:c r="O105" s="59" t="n">
        <x:f>1+O$9*SUMPRODUCT($H$10:$L$10,H105:L105)/SUM($H$10:$L$10)</x:f>
        <x:v>2.0685061914615837</x:v>
      </x:c>
      <x:c r="P105" s="59" t="n">
        <x:f>M105*O105+N105</x:f>
        <x:v>14955.36671241992</x:v>
      </x:c>
      <x:c r="Q105" s="59" t="n">
        <x:f>P105/(P105+'_曲线基线'!$L$2)</x:f>
        <x:v>0.38391030490933065</x:v>
      </x:c>
      <x:c r="R105" s="59" t="n">
        <x:f>E105*'模块规划'!$E$10+G105*'模块规划'!$E$11+H105*'模块规划'!$E$13</x:f>
        <x:v>5700.504286254086</x:v>
      </x:c>
      <x:c r="S105" s="59" t="n">
        <x:f>I105*'模块规划'!$E$15+J105*'模块规划'!$E$17+K105*'模块规划'!$E$16+L105*'模块规划'!$E$18</x:f>
        <x:v>10641.521658060006</x:v>
      </x:c>
      <x:c r="T105" s="59" t="n">
        <x:f>1+T$9*SUMPRODUCT($H$10:$L$10,H105:L105)/SUM($H$10:$L$10)</x:f>
        <x:v>2.0685061914615837</x:v>
      </x:c>
      <x:c r="U105" s="59" t="n">
        <x:f>R105*T105+S105</x:f>
        <x:v>22433.050068629876</x:v>
      </x:c>
      <x:c r="V105" s="59" t="n">
        <x:f>V$8+(V$9-V$8)*H105</x:f>
        <x:v>0.8361649418390336</x:v>
      </x:c>
      <x:c r="W105" s="59" t="n">
        <x:f>IF(B105&lt;$H$8,0,W$8+(W$9-W$8)*H105)</x:f>
        <x:v>0.18155325578537806</x:v>
      </x:c>
      <x:c r="X105" s="59" t="n">
        <x:f>X$8+(X$9-X$8)*H105</x:f>
        <x:v>0.39981786335244746</x:v>
      </x:c>
      <x:c r="Y105" s="59" t="n">
        <x:f>Y$8+(Y$9-Y$8)*G105</x:f>
        <x:v>1</x:v>
      </x:c>
      <x:c r="Z105" s="59" t="n">
        <x:f>Z$8+(Z$9-Z$8)*H105</x:f>
        <x:v>1</x:v>
      </x:c>
      <x:c r="AA105" s="59" t="n">
        <x:f>AA$8+(AA$9-AA$8)*I105</x:f>
        <x:v>1</x:v>
      </x:c>
      <x:c r="AB105" s="59" t="n">
        <x:f>AB$8+(AB$9-AB$8)*J105</x:f>
        <x:v>1</x:v>
      </x:c>
      <x:c r="AC105" s="59" t="n">
        <x:f>AC$8+(AC$9-AC$8)*MAX(K105,L105)</x:f>
        <x:v>1</x:v>
      </x:c>
      <x:c r="AD105" s="59" t="n">
        <x:f>(V105*AE105+W105*AF105+X105*AG105)*PRODUCT(Y105:AC105)</x:f>
        <x:v>1.501479127316725</x:v>
      </x:c>
      <x:c r="AE105" s="59" t="n">
        <x:f>1+AE$9*($H$10*H105+$I$10*I105+$J$10*J105+$K$10*K105+$L$10*L105)</x:f>
        <x:v>1</x:v>
      </x:c>
      <x:c r="AF105" s="59" t="n">
        <x:f>1+AF$9*($H$10*H105+$I$10*I105+$J$10*J105+$K$10*K105+$L$10*L105)</x:f>
        <x:v>1.0943054047524798</x:v>
      </x:c>
      <x:c r="AG105" s="59" t="n">
        <x:f>1+AG$9*($H$10*H105+$I$10*I105+$J$10*J105+$K$10*K105+$L$10*L105)</x:f>
        <x:v>1.1671301339780074</x:v>
      </x:c>
      <x:c r="AH105" s="59" t="n">
        <x:f>MIN(1,'_曲线基线'!$L$3+AH$9*($H$10*H105+$I$10*I105+$J$10*J105+$K$10*K105+$L$10*L105))</x:f>
        <x:v>0.26454479581189155</x:v>
      </x:c>
      <x:c r="AI105" s="59" t="n">
        <x:f>'_曲线基线'!$L$4+AI$9*($H$10*H105+$I$10*I105+$J$10*J105+$K$10*K105+$L$10*L105)</x:f>
        <x:v>2.5976605026188406</x:v>
      </x:c>
      <x:c r="AJ105" s="59" t="n">
        <x:f>1+AJ$9*($H$10*H105+$I$10*I105+$J$10*J105+$K$10*K105+$L$10*L105)</x:f>
        <x:v>1.490388104712895</x:v>
      </x:c>
      <x:c r="AK105" s="59" t="n">
        <x:f>(1+AH105*(AI105-1))*AJ105</x:f>
        <x:v>2.1203047676940274</x:v>
      </x:c>
      <x:c r="AL105" s="59" t="n">
        <x:f>U105*AD105*AK105*F105</x:f>
        <x:v>357088.54534509074</x:v>
      </x:c>
      <x:c r="AM105" s="59" t="n">
        <x:f>IF($B105&lt;AM$8,0,AM$3+(AM$4-AM$3)*(POWER(AM$5,$B105-AM$8)-1)/(POWER(AM$5,$C$5-AM$8)-1))</x:f>
        <x:v>37.04434268705509</x:v>
      </x:c>
      <x:c r="AN105" s="59" t="n">
        <x:f>(((E105*'模块规划'!$D$10+G105*'模块规划'!$D$11+H105*'模块规划'!$D$13)*(1+'模块规划'!$G$14*H105)+(I105*'模块规划'!$D$15+J105*'模块规划'!$D$17+K105*'模块规划'!$D$16+L105*'模块规划'!$D$18))*(1+'模块规划'!$J$17*J105))*F105/(1-Q105)</x:f>
        <x:v>696968.1466492843</x:v>
      </x:c>
      <x:c r="AO105" s="59" t="n">
        <x:f>AL105*AM105</x:f>
        <x:v>13228110.443385553</x:v>
      </x:c>
      <x:c r="AP105" s="61" t="n">
        <x:f>IF(AO105="","",INDEX('_曲线基线'!$A$3:$A$502,MIN(ROWS('_曲线基线'!$A$3:$A$502),COUNTIF('_曲线基线'!$E$3:$E$502,"&lt;"&amp;AO105)+1)))</x:f>
        <x:v>159</x:v>
      </x:c>
      <x:c r="AQ105" s="61" t="n">
        <x:f>IF(B105&lt;=2,1,IF(B105&lt;=6,2,IF(B105&lt;=9,3,IF(B105&lt;=19,4,5))))</x:f>
        <x:v>5</x:v>
      </x:c>
      <x:c r="AR105" s="59" t="n">
        <x:f>AN105*(1-Q105)/F105*$AS$3+U105*$AS$4+P105*$AS$5</x:f>
        <x:v>7062.979371468375</x:v>
      </x:c>
      <x:c r="AS105" s="59" t="n">
        <x:f>1+AH105*$AS$6+AI105*$AS$7+(AJ105-1)*$AS$8+($H$10*H105+$I$10*I105+$J$10*J105+$K$10*K105+$L$10*L105)*$AU$3*$AS$9+($H$10*H105+$I$10*I105+$J$10*J105+$K$10*K105+$L$10*L105)*$AU$4*$AS$10</x:f>
        <x:v>10.61643508847682</x:v>
      </x:c>
      <x:c r="AT105" s="60" t="n">
        <x:f>ROUND(AR105*AS105,0)</x:f>
        <x:v>74984</x:v>
      </x:c>
      <x:c r="AU105" s="60" t="n">
        <x:f>ROUND(AT105*F105,0)</x:f>
        <x:v>374920</x:v>
      </x:c>
      <x:c r="AV105" s="60" t="n">
        <x:f>MIN(MATCH(B105,'主线调参'!$M$11:$M$62,1),ROWS('主线调参'!$M$11:$M$62)-1)</x:f>
        <x:v>27</x:v>
      </x:c>
      <x:c r="AW105" s="62" t="n">
        <x:f>(B105-INDEX('主线调参'!$M$11:$M$62,AV105))/(INDEX('主线调参'!$M$11:$M$62,AV105+1)-INDEX('主线调参'!$M$11:$M$62,AV105))</x:f>
        <x:v>0.6428571428571429</x:v>
      </x:c>
      <x:c r="AX105" s="60" t="n">
        <x:f>IF(AU105=0,0,ROUND(AU105,2-INT(LOG10(ABS(AU105)))))</x:f>
        <x:v>375000</x:v>
      </x:c>
      <x:c r="AY105" s="62" t="n">
        <x:f>AU105/AU104-1</x:f>
        <x:v>0.015094288537816913</x:v>
      </x:c>
    </x:row>
    <x:row r="106" ht="25" customHeight="1">
      <x:c r="A106" s="40" t="n">
        <x:f>'调前玩家曲线'!A106</x:f>
        <x:v>37</x:v>
      </x:c>
      <x:c r="B106" s="40" t="n">
        <x:f>'调前玩家曲线'!B106</x:f>
        <x:v>95</x:v>
      </x:c>
      <x:c r="C106" s="40" t="n">
        <x:f>'调前玩家曲线'!C106</x:f>
        <x:v>7</x:v>
      </x:c>
      <x:c r="D106" s="40" t="n">
        <x:f>'调前玩家曲线'!D106</x:f>
        <x:v>11</x:v>
      </x:c>
      <x:c r="E106" s="40" t="n">
        <x:f>'调前玩家曲线'!E106</x:f>
        <x:v>1</x:v>
      </x:c>
      <x:c r="F106" s="40" t="n">
        <x:f>'调前玩家曲线'!F106</x:f>
        <x:v>5</x:v>
      </x:c>
      <x:c r="G106" s="63" t="n">
        <x:f>IF(B106&lt;$G$8,0,(INDEX('主线调参'!$C$11:$C$62,$AV106)+(INDEX('主线调参'!$C$11:$C$62,$AV106+1)-INDEX('主线调参'!$C$11:$C$62,$AV106))*$AW106)*'参数说明'!$C$27)</x:f>
        <x:v>0.5860259662030435</x:v>
      </x:c>
      <x:c r="H106" s="63" t="n">
        <x:f>IF(B106&lt;$H$8,0,(INDEX('主线调参'!$D$11:$D$62,$AV106)+(INDEX('主线调参'!$D$11:$D$62,$AV106+1)-INDEX('主线调参'!$D$11:$D$62,$AV106))*$AW106)*'参数说明'!$D$27)</x:f>
        <x:v>0.45609475042482944</x:v>
      </x:c>
      <x:c r="I106" s="63" t="n">
        <x:f>IF(B106&lt;$I$8,0,(INDEX('主线调参'!$E$11:$E$62,$AV106)+(INDEX('主线调参'!$E$11:$E$62,$AV106+1)-INDEX('主线调参'!$E$11:$E$62,$AV106))*$AW106)*'参数说明'!$E$27)</x:f>
        <x:v>0.22763281571962818</x:v>
      </x:c>
      <x:c r="J106" s="63" t="n">
        <x:f>IF(B106&lt;$J$8,0,(INDEX('主线调参'!$F$11:$F$62,$AV106)+(INDEX('主线调参'!$F$11:$F$62,$AV106+1)-INDEX('主线调参'!$F$11:$F$62,$AV106))*$AW106)*'参数说明'!$F$27)</x:f>
        <x:v>0.31944287996182086</x:v>
      </x:c>
      <x:c r="K106" s="63" t="n">
        <x:f>IF(B106&lt;$K$8,0,(INDEX('主线调参'!$G$11:$G$62,$AV106)+(INDEX('主线调参'!$G$11:$G$62,$AV106+1)-INDEX('主线调参'!$G$11:$G$62,$AV106))*$AW106)*'参数说明'!$G$27)</x:f>
        <x:v>0</x:v>
      </x:c>
      <x:c r="L106" s="63" t="n">
        <x:f>IF(B106&lt;$L$8,0,(INDEX('主线调参'!$H$11:$H$62,$AV106)+(INDEX('主线调参'!$H$11:$H$62,$AV106+1)-INDEX('主线调参'!$H$11:$H$62,$AV106))*$AW106)*'参数说明'!$H$27)</x:f>
        <x:v>0.4332311023753943</x:v>
      </x:c>
      <x:c r="M106" s="59" t="n">
        <x:f>E106*'模块规划'!$F$10+G106*'模块规划'!$F$11+H106*'模块规划'!$F$13</x:f>
        <x:v>3812.9246377746085</x:v>
      </x:c>
      <x:c r="N106" s="59" t="n">
        <x:f>I106*'模块规划'!$F$15+J106*'模块规划'!$F$17+K106*'模块规划'!$F$16+L106*'模块规划'!$F$18</x:f>
        <x:v>7181.646837252205</x:v>
      </x:c>
      <x:c r="O106" s="59" t="n">
        <x:f>1+O$9*SUMPRODUCT($H$10:$L$10,H106:L106)/SUM($H$10:$L$10)</x:f>
        <x:v>2.0774833354605304</x:v>
      </x:c>
      <x:c r="P106" s="59" t="n">
        <x:f>M106*O106+N106</x:f>
        <x:v>15102.934231595835</x:v>
      </x:c>
      <x:c r="Q106" s="59" t="n">
        <x:f>P106/(P106+'_曲线基线'!$L$2)</x:f>
        <x:v>0.3862353178445726</x:v>
      </x:c>
      <x:c r="R106" s="59" t="n">
        <x:f>E106*'模块规划'!$E$10+G106*'模块规划'!$E$11+H106*'模块规划'!$E$13</x:f>
        <x:v>5719.386956661913</x:v>
      </x:c>
      <x:c r="S106" s="59" t="n">
        <x:f>I106*'模块规划'!$E$15+J106*'模块规划'!$E$17+K106*'模块规划'!$E$16+L106*'模块规划'!$E$18</x:f>
        <x:v>10772.470255878306</x:v>
      </x:c>
      <x:c r="T106" s="59" t="n">
        <x:f>1+T$9*SUMPRODUCT($H$10:$L$10,H106:L106)/SUM($H$10:$L$10)</x:f>
        <x:v>2.0774833354605304</x:v>
      </x:c>
      <x:c r="U106" s="59" t="n">
        <x:f>R106*T106+S106</x:f>
        <x:v>22654.401347393752</x:v>
      </x:c>
      <x:c r="V106" s="59" t="n">
        <x:f>V$8+(V$9-V$8)*H106</x:f>
        <x:v>0.8368284251274488</x:v>
      </x:c>
      <x:c r="W106" s="59" t="n">
        <x:f>IF(B106&lt;$H$8,0,W$8+(W$9-W$8)*H106)</x:f>
        <x:v>0.18243790016993178</x:v>
      </x:c>
      <x:c r="X106" s="59" t="n">
        <x:f>X$8+(X$9-X$8)*H106</x:f>
        <x:v>0.40042605636682815</x:v>
      </x:c>
      <x:c r="Y106" s="59" t="n">
        <x:f>Y$8+(Y$9-Y$8)*G106</x:f>
        <x:v>1</x:v>
      </x:c>
      <x:c r="Z106" s="59" t="n">
        <x:f>Z$8+(Z$9-Z$8)*H106</x:f>
        <x:v>1</x:v>
      </x:c>
      <x:c r="AA106" s="59" t="n">
        <x:f>AA$8+(AA$9-AA$8)*I106</x:f>
        <x:v>1</x:v>
      </x:c>
      <x:c r="AB106" s="59" t="n">
        <x:f>AB$8+(AB$9-AB$8)*J106</x:f>
        <x:v>1</x:v>
      </x:c>
      <x:c r="AC106" s="59" t="n">
        <x:f>AC$8+(AC$9-AC$8)*MAX(K106,L106)</x:f>
        <x:v>1</x:v>
      </x:c>
      <x:c r="AD106" s="59" t="n">
        <x:f>(V106*AE106+W106*AF106+X106*AG106)*PRODUCT(Y106:AC106)</x:f>
        <x:v>1.5045273317285046</x:v>
      </x:c>
      <x:c r="AE106" s="59" t="n">
        <x:f>1+AE$9*($H$10*H106+$I$10*I106+$J$10*J106+$K$10*K106+$L$10*L106)</x:f>
        <x:v>1</x:v>
      </x:c>
      <x:c r="AF106" s="59" t="n">
        <x:f>1+AF$9*($H$10*H106+$I$10*I106+$J$10*J106+$K$10*K106+$L$10*L106)</x:f>
        <x:v>1.09509771948599</x:v>
      </x:c>
      <x:c r="AG106" s="59" t="n">
        <x:f>1+AG$9*($H$10*H106+$I$10*I106+$J$10*J106+$K$10*K106+$L$10*L106)</x:f>
        <x:v>1.1685342917557284</x:v>
      </x:c>
      <x:c r="AH106" s="59" t="n">
        <x:f>MIN(1,'_曲线基线'!$L$3+AH$9*($H$10*H106+$I$10*I106+$J$10*J106+$K$10*K106+$L$10*L106))</x:f>
        <x:v>0.2663473118306275</x:v>
      </x:c>
      <x:c r="AI106" s="59" t="n">
        <x:f>'_曲线基线'!$L$4+AI$9*($H$10*H106+$I$10*I106+$J$10*J106+$K$10*K106+$L$10*L106)</x:f>
        <x:v>2.6026817972424623</x:v>
      </x:c>
      <x:c r="AJ106" s="59" t="n">
        <x:f>1+AJ$9*($H$10*H106+$I$10*I106+$J$10*J106+$K$10*K106+$L$10*L106)</x:f>
        <x:v>1.4945081413271486</x:v>
      </x:c>
      <x:c r="AK106" s="59" t="n">
        <x:f>(1+AH106*(AI106-1))*AJ106</x:f>
        <x:v>2.1324688143022024</x:v>
      </x:c>
      <x:c r="AL106" s="59" t="n">
        <x:f>U106*AD106*AK106*F106</x:f>
        <x:v>363417.1054008595</x:v>
      </x:c>
      <x:c r="AM106" s="59" t="n">
        <x:f>IF($B106&lt;AM$8,0,AM$3+(AM$4-AM$3)*(POWER(AM$5,$B106-AM$8)-1)/(POWER(AM$5,$C$5-AM$8)-1))</x:f>
        <x:v>37.07821075384751</x:v>
      </x:c>
      <x:c r="AN106" s="59" t="n">
        <x:f>(((E106*'模块规划'!$D$10+G106*'模块规划'!$D$11+H106*'模块规划'!$D$13)*(1+'模块规划'!$G$14*H106)+(I106*'模块规划'!$D$15+J106*'模块规划'!$D$17+K106*'模块规划'!$D$16+L106*'模块规划'!$D$18))*(1+'模块规划'!$J$17*J106))*F106/(1-Q106)</x:f>
        <x:v>707692.113002087</x:v>
      </x:c>
      <x:c r="AO106" s="59" t="n">
        <x:f>AL106*AM106</x:f>
        <x:v>13474856.025606282</x:v>
      </x:c>
      <x:c r="AP106" s="61" t="n">
        <x:f>IF(AO106="","",INDEX('_曲线基线'!$A$3:$A$502,MIN(ROWS('_曲线基线'!$A$3:$A$502),COUNTIF('_曲线基线'!$E$3:$E$502,"&lt;"&amp;AO106)+1)))</x:f>
        <x:v>160</x:v>
      </x:c>
      <x:c r="AQ106" s="61" t="n">
        <x:f>IF(B106&lt;=2,1,IF(B106&lt;=6,2,IF(B106&lt;=9,3,IF(B106&lt;=19,4,5))))</x:f>
        <x:v>5</x:v>
      </x:c>
      <x:c r="AR106" s="59" t="n">
        <x:f>AN106*(1-Q106)/F106*$AS$3+U106*$AS$4+P106*$AS$5</x:f>
        <x:v>7137.018818282523</x:v>
      </x:c>
      <x:c r="AS106" s="59" t="n">
        <x:f>1+AH106*$AS$6+AI106*$AS$7+(AJ106-1)*$AS$8+($H$10*H106+$I$10*I106+$J$10*J106+$K$10*K106+$L$10*L106)*$AU$3*$AS$9+($H$10*H106+$I$10*I106+$J$10*J106+$K$10*K106+$L$10*L106)*$AU$4*$AS$10</x:f>
        <x:v>10.663776794071676</x:v>
      </x:c>
      <x:c r="AT106" s="60" t="n">
        <x:f>ROUND(AR106*AS106,0)</x:f>
        <x:v>76108</x:v>
      </x:c>
      <x:c r="AU106" s="60" t="n">
        <x:f>ROUND(AT106*F106,0)</x:f>
        <x:v>380540</x:v>
      </x:c>
      <x:c r="AV106" s="60" t="n">
        <x:f>MIN(MATCH(B106,'主线调参'!$M$11:$M$62,1),ROWS('主线调参'!$M$11:$M$62)-1)</x:f>
        <x:v>27</x:v>
      </x:c>
      <x:c r="AW106" s="62" t="n">
        <x:f>(B106-INDEX('主线调参'!$M$11:$M$62,AV106))/(INDEX('主线调参'!$M$11:$M$62,AV106+1)-INDEX('主线调参'!$M$11:$M$62,AV106))</x:f>
        <x:v>0.7142857142857143</x:v>
      </x:c>
      <x:c r="AX106" s="60" t="n">
        <x:f>IF(AU106=0,0,ROUND(AU106,2-INT(LOG10(ABS(AU106)))))</x:f>
        <x:v>381000</x:v>
      </x:c>
      <x:c r="AY106" s="62" t="n">
        <x:f>AU106/AU105-1</x:f>
        <x:v>0.01498986450442752</x:v>
      </x:c>
    </x:row>
    <x:row r="107" ht="25" customHeight="1">
      <x:c r="A107" s="40" t="n">
        <x:f>'调前玩家曲线'!A107</x:f>
        <x:v>37</x:v>
      </x:c>
      <x:c r="B107" s="40" t="n">
        <x:f>'调前玩家曲线'!B107</x:f>
        <x:v>96</x:v>
      </x:c>
      <x:c r="C107" s="40" t="n">
        <x:f>'调前玩家曲线'!C107</x:f>
        <x:v>7</x:v>
      </x:c>
      <x:c r="D107" s="40" t="n">
        <x:f>'调前玩家曲线'!D107</x:f>
        <x:v>12</x:v>
      </x:c>
      <x:c r="E107" s="40" t="n">
        <x:f>'调前玩家曲线'!E107</x:f>
        <x:v>1</x:v>
      </x:c>
      <x:c r="F107" s="40" t="n">
        <x:f>'调前玩家曲线'!F107</x:f>
        <x:v>5</x:v>
      </x:c>
      <x:c r="G107" s="63" t="n">
        <x:f>IF(B107&lt;$G$8,0,(INDEX('主线调参'!$C$11:$C$62,$AV107)+(INDEX('主线调参'!$C$11:$C$62,$AV107+1)-INDEX('主线调参'!$C$11:$C$62,$AV107))*$AW107)*'参数说明'!$C$27)</x:f>
        <x:v>0.5886485593152418</x:v>
      </x:c>
      <x:c r="H107" s="63" t="n">
        <x:f>IF(B107&lt;$H$8,0,(INDEX('主线调参'!$D$11:$D$62,$AV107)+(INDEX('主线调参'!$D$11:$D$62,$AV107+1)-INDEX('主线调参'!$D$11:$D$62,$AV107))*$AW107)*'参数说明'!$D$27)</x:f>
        <x:v>0.4583063613862138</x:v>
      </x:c>
      <x:c r="I107" s="63" t="n">
        <x:f>IF(B107&lt;$I$8,0,(INDEX('主线调参'!$E$11:$E$62,$AV107)+(INDEX('主线调参'!$E$11:$E$62,$AV107+1)-INDEX('主线调参'!$E$11:$E$62,$AV107))*$AW107)*'参数说明'!$E$27)</x:f>
        <x:v>0.2333192412518349</x:v>
      </x:c>
      <x:c r="J107" s="63" t="n">
        <x:f>IF(B107&lt;$J$8,0,(INDEX('主线调参'!$F$11:$F$62,$AV107)+(INDEX('主线调参'!$F$11:$F$62,$AV107+1)-INDEX('主线调参'!$F$11:$F$62,$AV107))*$AW107)*'参数说明'!$F$27)</x:f>
        <x:v>0.322299736793715</x:v>
      </x:c>
      <x:c r="K107" s="63" t="n">
        <x:f>IF(B107&lt;$K$8,0,(INDEX('主线调参'!$G$11:$G$62,$AV107)+(INDEX('主线调参'!$G$11:$G$62,$AV107+1)-INDEX('主线调参'!$G$11:$G$62,$AV107))*$AW107)*'参数说明'!$G$27)</x:f>
        <x:v>0</x:v>
      </x:c>
      <x:c r="L107" s="63" t="n">
        <x:f>IF(B107&lt;$L$8,0,(INDEX('主线调参'!$H$11:$H$62,$AV107)+(INDEX('主线调参'!$H$11:$H$62,$AV107+1)-INDEX('主线调参'!$H$11:$H$62,$AV107))*$AW107)*'参数说明'!$H$27)</x:f>
        <x:v>0.4358789209025157</x:v>
      </x:c>
      <x:c r="M107" s="59" t="n">
        <x:f>E107*'模块规划'!$F$10+G107*'模块规划'!$F$11+H107*'模块规划'!$F$13</x:f>
        <x:v>3825.513084713161</x:v>
      </x:c>
      <x:c r="N107" s="59" t="n">
        <x:f>I107*'模块规划'!$F$15+J107*'模块规划'!$F$17+K107*'模块规划'!$F$16+L107*'模块规划'!$F$18</x:f>
        <x:v>7268.9459024644075</x:v>
      </x:c>
      <x:c r="O107" s="59" t="n">
        <x:f>1+O$9*SUMPRODUCT($H$10:$L$10,H107:L107)/SUM($H$10:$L$10)</x:f>
        <x:v>2.086460479459477</x:v>
      </x:c>
      <x:c r="P107" s="59" t="n">
        <x:f>M107*O107+N107</x:f>
        <x:v>15250.727767373533</x:v>
      </x:c>
      <x:c r="Q107" s="59" t="n">
        <x:f>P107/(P107+'_曲线基线'!$L$2)</x:f>
        <x:v>0.38854636932491293</x:v>
      </x:c>
      <x:c r="R107" s="59" t="n">
        <x:f>E107*'模块规划'!$E$10+G107*'模块规划'!$E$11+H107*'模块规划'!$E$13</x:f>
        <x:v>5738.269627069742</x:v>
      </x:c>
      <x:c r="S107" s="59" t="n">
        <x:f>I107*'模块规划'!$E$15+J107*'模块规划'!$E$17+K107*'模块规划'!$E$16+L107*'模块规划'!$E$18</x:f>
        <x:v>10903.41885369661</x:v>
      </x:c>
      <x:c r="T107" s="59" t="n">
        <x:f>1+T$9*SUMPRODUCT($H$10:$L$10,H107:L107)/SUM($H$10:$L$10)</x:f>
        <x:v>2.086460479459477</x:v>
      </x:c>
      <x:c r="U107" s="59" t="n">
        <x:f>R107*T107+S107</x:f>
        <x:v>22876.0916510603</x:v>
      </x:c>
      <x:c r="V107" s="59" t="n">
        <x:f>V$8+(V$9-V$8)*H107</x:f>
        <x:v>0.8374919084158641</x:v>
      </x:c>
      <x:c r="W107" s="59" t="n">
        <x:f>IF(B107&lt;$H$8,0,W$8+(W$9-W$8)*H107)</x:f>
        <x:v>0.18332254455448552</x:v>
      </x:c>
      <x:c r="X107" s="59" t="n">
        <x:f>X$8+(X$9-X$8)*H107</x:f>
        <x:v>0.4010342493812088</x:v>
      </x:c>
      <x:c r="Y107" s="59" t="n">
        <x:f>Y$8+(Y$9-Y$8)*G107</x:f>
        <x:v>1</x:v>
      </x:c>
      <x:c r="Z107" s="59" t="n">
        <x:f>Z$8+(Z$9-Z$8)*H107</x:f>
        <x:v>1</x:v>
      </x:c>
      <x:c r="AA107" s="59" t="n">
        <x:f>AA$8+(AA$9-AA$8)*I107</x:f>
        <x:v>1</x:v>
      </x:c>
      <x:c r="AB107" s="59" t="n">
        <x:f>AB$8+(AB$9-AB$8)*J107</x:f>
        <x:v>1</x:v>
      </x:c>
      <x:c r="AC107" s="59" t="n">
        <x:f>AC$8+(AC$9-AC$8)*MAX(K107,L107)</x:f>
        <x:v>1</x:v>
      </x:c>
      <x:c r="AD107" s="59" t="n">
        <x:f>(V107*AE107+W107*AF107+X107*AG107)*PRODUCT(Y107:AC107)</x:f>
        <x:v>1.5075786459717473</x:v>
      </x:c>
      <x:c r="AE107" s="59" t="n">
        <x:f>1+AE$9*($H$10*H107+$I$10*I107+$J$10*J107+$K$10*K107+$L$10*L107)</x:f>
        <x:v>1</x:v>
      </x:c>
      <x:c r="AF107" s="59" t="n">
        <x:f>1+AF$9*($H$10*H107+$I$10*I107+$J$10*J107+$K$10*K107+$L$10*L107)</x:f>
        <x:v>1.0958900342195006</x:v>
      </x:c>
      <x:c r="AG107" s="59" t="n">
        <x:f>1+AG$9*($H$10*H107+$I$10*I107+$J$10*J107+$K$10*K107+$L$10*L107)</x:f>
        <x:v>1.1699384495334495</x:v>
      </x:c>
      <x:c r="AH107" s="59" t="n">
        <x:f>MIN(1,'_曲线基线'!$L$3+AH$9*($H$10*H107+$I$10*I107+$J$10*J107+$K$10*K107+$L$10*L107))</x:f>
        <x:v>0.2681498278493634</x:v>
      </x:c>
      <x:c r="AI107" s="59" t="n">
        <x:f>'_曲线基线'!$L$4+AI$9*($H$10*H107+$I$10*I107+$J$10*J107+$K$10*K107+$L$10*L107)</x:f>
        <x:v>2.607703091866084</x:v>
      </x:c>
      <x:c r="AJ107" s="59" t="n">
        <x:f>1+AJ$9*($H$10*H107+$I$10*I107+$J$10*J107+$K$10*K107+$L$10*L107)</x:f>
        <x:v>1.4986281779414021</x:v>
      </x:c>
      <x:c r="AK107" s="59" t="n">
        <x:f>(1+AH107*(AI107-1))*AJ107</x:f>
        <x:v>2.144694739146416</x:v>
      </x:c>
      <x:c r="AL107" s="59" t="n">
        <x:f>U107*AD107*AK107*F107</x:f>
        <x:v>369825.8771101773</x:v>
      </x:c>
      <x:c r="AM107" s="59" t="n">
        <x:f>IF($B107&lt;AM$8,0,AM$3+(AM$4-AM$3)*(POWER(AM$5,$B107-AM$8)-1)/(POWER(AM$5,$C$5-AM$8)-1))</x:f>
        <x:v>37.11241750130785</x:v>
      </x:c>
      <x:c r="AN107" s="59" t="n">
        <x:f>(((E107*'模块规划'!$D$10+G107*'模块规划'!$D$11+H107*'模块规划'!$D$13)*(1+'模块规划'!$G$14*H107)+(I107*'模块规划'!$D$15+J107*'模块规划'!$D$17+K107*'模块规划'!$D$16+L107*'模块规划'!$D$18))*(1+'模块规划'!$J$17*J107))*F107/(1-Q107)</x:f>
        <x:v>718515.6424125469</x:v>
      </x:c>
      <x:c r="AO107" s="59" t="n">
        <x:f>AL107*AM107</x:f>
        <x:v>13725132.354100272</x:v>
      </x:c>
      <x:c r="AP107" s="61" t="n">
        <x:f>IF(AO107="","",INDEX('_曲线基线'!$A$3:$A$502,MIN(ROWS('_曲线基线'!$A$3:$A$502),COUNTIF('_曲线基线'!$E$3:$E$502,"&lt;"&amp;AO107)+1)))</x:f>
        <x:v>161</x:v>
      </x:c>
      <x:c r="AQ107" s="61" t="n">
        <x:f>IF(B107&lt;=2,1,IF(B107&lt;=6,2,IF(B107&lt;=9,3,IF(B107&lt;=19,4,5))))</x:f>
        <x:v>5</x:v>
      </x:c>
      <x:c r="AR107" s="59" t="n">
        <x:f>AN107*(1-Q107)/F107*$AS$3+U107*$AS$4+P107*$AS$5</x:f>
        <x:v>7211.252319712026</x:v>
      </x:c>
      <x:c r="AS107" s="59" t="n">
        <x:f>1+AH107*$AS$6+AI107*$AS$7+(AJ107-1)*$AS$8+($H$10*H107+$I$10*I107+$J$10*J107+$K$10*K107+$L$10*L107)*$AU$3*$AS$9+($H$10*H107+$I$10*I107+$J$10*J107+$K$10*K107+$L$10*L107)*$AU$4*$AS$10</x:f>
        <x:v>10.711118499666531</x:v>
      </x:c>
      <x:c r="AT107" s="60" t="n">
        <x:f>ROUND(AR107*AS107,0)</x:f>
        <x:v>77241</x:v>
      </x:c>
      <x:c r="AU107" s="60" t="n">
        <x:f>ROUND(AT107*F107,0)</x:f>
        <x:v>386205</x:v>
      </x:c>
      <x:c r="AV107" s="60" t="n">
        <x:f>MIN(MATCH(B107,'主线调参'!$M$11:$M$62,1),ROWS('主线调参'!$M$11:$M$62)-1)</x:f>
        <x:v>27</x:v>
      </x:c>
      <x:c r="AW107" s="62" t="n">
        <x:f>(B107-INDEX('主线调参'!$M$11:$M$62,AV107))/(INDEX('主线调参'!$M$11:$M$62,AV107+1)-INDEX('主线调参'!$M$11:$M$62,AV107))</x:f>
        <x:v>0.7857142857142857</x:v>
      </x:c>
      <x:c r="AX107" s="60" t="n">
        <x:f>IF(AU107=0,0,ROUND(AU107,2-INT(LOG10(ABS(AU107)))))</x:f>
        <x:v>386000</x:v>
      </x:c>
      <x:c r="AY107" s="62" t="n">
        <x:f>AU107/AU106-1</x:f>
        <x:v>0.014886739895937362</x:v>
      </x:c>
    </x:row>
    <x:row r="108" ht="25" customHeight="1">
      <x:c r="A108" s="40" t="n">
        <x:f>'调前玩家曲线'!A108</x:f>
        <x:v>37</x:v>
      </x:c>
      <x:c r="B108" s="40" t="n">
        <x:f>'调前玩家曲线'!B108</x:f>
        <x:v>97</x:v>
      </x:c>
      <x:c r="C108" s="40" t="n">
        <x:f>'调前玩家曲线'!C108</x:f>
        <x:v>7</x:v>
      </x:c>
      <x:c r="D108" s="40" t="n">
        <x:f>'调前玩家曲线'!D108</x:f>
        <x:v>13</x:v>
      </x:c>
      <x:c r="E108" s="40" t="n">
        <x:f>'调前玩家曲线'!E108</x:f>
        <x:v>1</x:v>
      </x:c>
      <x:c r="F108" s="40" t="n">
        <x:f>'调前玩家曲线'!F108</x:f>
        <x:v>5</x:v>
      </x:c>
      <x:c r="G108" s="63" t="n">
        <x:f>IF(B108&lt;$G$8,0,(INDEX('主线调参'!$C$11:$C$62,$AV108)+(INDEX('主线调参'!$C$11:$C$62,$AV108+1)-INDEX('主线调参'!$C$11:$C$62,$AV108))*$AW108)*'参数说明'!$C$27)</x:f>
        <x:v>0.5912711524274402</x:v>
      </x:c>
      <x:c r="H108" s="63" t="n">
        <x:f>IF(B108&lt;$H$8,0,(INDEX('主线调参'!$D$11:$D$62,$AV108)+(INDEX('主线调参'!$D$11:$D$62,$AV108+1)-INDEX('主线调参'!$D$11:$D$62,$AV108))*$AW108)*'参数说明'!$D$27)</x:f>
        <x:v>0.4605179723475981</x:v>
      </x:c>
      <x:c r="I108" s="63" t="n">
        <x:f>IF(B108&lt;$I$8,0,(INDEX('主线调参'!$E$11:$E$62,$AV108)+(INDEX('主线调参'!$E$11:$E$62,$AV108+1)-INDEX('主线调参'!$E$11:$E$62,$AV108))*$AW108)*'参数说明'!$E$27)</x:f>
        <x:v>0.2390056667840416</x:v>
      </x:c>
      <x:c r="J108" s="63" t="n">
        <x:f>IF(B108&lt;$J$8,0,(INDEX('主线调参'!$F$11:$F$62,$AV108)+(INDEX('主线调参'!$F$11:$F$62,$AV108+1)-INDEX('主线调参'!$F$11:$F$62,$AV108))*$AW108)*'参数说明'!$F$27)</x:f>
        <x:v>0.32515659362560906</x:v>
      </x:c>
      <x:c r="K108" s="63" t="n">
        <x:f>IF(B108&lt;$K$8,0,(INDEX('主线调参'!$G$11:$G$62,$AV108)+(INDEX('主线调参'!$G$11:$G$62,$AV108+1)-INDEX('主线调参'!$G$11:$G$62,$AV108))*$AW108)*'参数说明'!$G$27)</x:f>
        <x:v>0</x:v>
      </x:c>
      <x:c r="L108" s="63" t="n">
        <x:f>IF(B108&lt;$L$8,0,(INDEX('主线调参'!$H$11:$H$62,$AV108)+(INDEX('主线调参'!$H$11:$H$62,$AV108+1)-INDEX('主线调参'!$H$11:$H$62,$AV108))*$AW108)*'参数说明'!$H$27)</x:f>
        <x:v>0.438526739429637</x:v>
      </x:c>
      <x:c r="M108" s="59" t="n">
        <x:f>E108*'模块规划'!$F$10+G108*'模块规划'!$F$11+H108*'模块规划'!$F$13</x:f>
        <x:v>3838.1015316517132</x:v>
      </x:c>
      <x:c r="N108" s="59" t="n">
        <x:f>I108*'模块规划'!$F$15+J108*'模块规划'!$F$17+K108*'模块规划'!$F$16+L108*'模块规划'!$F$18</x:f>
        <x:v>7356.244967676608</x:v>
      </x:c>
      <x:c r="O108" s="59" t="n">
        <x:f>1+O$9*SUMPRODUCT($H$10:$L$10,H108:L108)/SUM($H$10:$L$10)</x:f>
        <x:v>2.095437623458424</x:v>
      </x:c>
      <x:c r="P108" s="59" t="n">
        <x:f>M108*O108+N108</x:f>
        <x:v>15398.747319753013</x:v>
      </x:c>
      <x:c r="Q108" s="59" t="n">
        <x:f>P108/(P108+'_曲线基线'!$L$2)</x:f>
        <x:v>0.39084357669495434</x:v>
      </x:c>
      <x:c r="R108" s="59" t="n">
        <x:f>E108*'模块规划'!$E$10+G108*'模块规划'!$E$11+H108*'模块规划'!$E$13</x:f>
        <x:v>5757.15229747757</x:v>
      </x:c>
      <x:c r="S108" s="59" t="n">
        <x:f>I108*'模块规划'!$E$15+J108*'模块规划'!$E$17+K108*'模块规划'!$E$16+L108*'模块规划'!$E$18</x:f>
        <x:v>11034.367451514912</x:v>
      </x:c>
      <x:c r="T108" s="59" t="n">
        <x:f>1+T$9*SUMPRODUCT($H$10:$L$10,H108:L108)/SUM($H$10:$L$10)</x:f>
        <x:v>2.095437623458424</x:v>
      </x:c>
      <x:c r="U108" s="59" t="n">
        <x:f>R108*T108+S108</x:f>
        <x:v>23098.120979629515</x:v>
      </x:c>
      <x:c r="V108" s="59" t="n">
        <x:f>V$8+(V$9-V$8)*H108</x:f>
        <x:v>0.8381553917042794</x:v>
      </x:c>
      <x:c r="W108" s="59" t="n">
        <x:f>IF(B108&lt;$H$8,0,W$8+(W$9-W$8)*H108)</x:f>
        <x:v>0.18420718893903926</x:v>
      </x:c>
      <x:c r="X108" s="59" t="n">
        <x:f>X$8+(X$9-X$8)*H108</x:f>
        <x:v>0.40164244239558955</x:v>
      </x:c>
      <x:c r="Y108" s="59" t="n">
        <x:f>Y$8+(Y$9-Y$8)*G108</x:f>
        <x:v>1</x:v>
      </x:c>
      <x:c r="Z108" s="59" t="n">
        <x:f>Z$8+(Z$9-Z$8)*H108</x:f>
        <x:v>1</x:v>
      </x:c>
      <x:c r="AA108" s="59" t="n">
        <x:f>AA$8+(AA$9-AA$8)*I108</x:f>
        <x:v>1</x:v>
      </x:c>
      <x:c r="AB108" s="59" t="n">
        <x:f>AB$8+(AB$9-AB$8)*J108</x:f>
        <x:v>1</x:v>
      </x:c>
      <x:c r="AC108" s="59" t="n">
        <x:f>AC$8+(AC$9-AC$8)*MAX(K108,L108)</x:f>
        <x:v>1</x:v>
      </x:c>
      <x:c r="AD108" s="59" t="n">
        <x:f>(V108*AE108+W108*AF108+X108*AG108)*PRODUCT(Y108:AC108)</x:f>
        <x:v>1.5106330700464525</x:v>
      </x:c>
      <x:c r="AE108" s="59" t="n">
        <x:f>1+AE$9*($H$10*H108+$I$10*I108+$J$10*J108+$K$10*K108+$L$10*L108)</x:f>
        <x:v>1</x:v>
      </x:c>
      <x:c r="AF108" s="59" t="n">
        <x:f>1+AF$9*($H$10*H108+$I$10*I108+$J$10*J108+$K$10*K108+$L$10*L108)</x:f>
        <x:v>1.0966823489530109</x:v>
      </x:c>
      <x:c r="AG108" s="59" t="n">
        <x:f>1+AG$9*($H$10*H108+$I$10*I108+$J$10*J108+$K$10*K108+$L$10*L108)</x:f>
        <x:v>1.1713426073111703</x:v>
      </x:c>
      <x:c r="AH108" s="59" t="n">
        <x:f>MIN(1,'_曲线基线'!$L$3+AH$9*($H$10*H108+$I$10*I108+$J$10*J108+$K$10*K108+$L$10*L108))</x:f>
        <x:v>0.26995234386809935</x:v>
      </x:c>
      <x:c r="AI108" s="59" t="n">
        <x:f>'_曲线基线'!$L$4+AI$9*($H$10*H108+$I$10*I108+$J$10*J108+$K$10*K108+$L$10*L108)</x:f>
        <x:v>2.612724386489705</x:v>
      </x:c>
      <x:c r="AJ108" s="59" t="n">
        <x:f>1+AJ$9*($H$10*H108+$I$10*I108+$J$10*J108+$K$10*K108+$L$10*L108)</x:f>
        <x:v>1.5027482145556559</x:v>
      </x:c>
      <x:c r="AK108" s="59" t="n">
        <x:f>(1+AH108*(AI108-1))*AJ108</x:f>
        <x:v>2.1569827659684866</x:v>
      </x:c>
      <x:c r="AL108" s="59" t="n">
        <x:f>U108*AD108*AK108*F108</x:f>
        <x:v>376315.68390589784</x:v>
      </x:c>
      <x:c r="AM108" s="59" t="n">
        <x:f>IF($B108&lt;AM$8,0,AM$3+(AM$4-AM$3)*(POWER(AM$5,$B108-AM$8)-1)/(POWER(AM$5,$C$5-AM$8)-1))</x:f>
        <x:v>37.1469663162428</x:v>
      </x:c>
      <x:c r="AN108" s="59" t="n">
        <x:f>(((E108*'模块规划'!$D$10+G108*'模块规划'!$D$11+H108*'模块规划'!$D$13)*(1+'模块规划'!$G$14*H108)+(I108*'模块规划'!$D$15+J108*'模块规划'!$D$17+K108*'模块规划'!$D$16+L108*'模块规划'!$D$18))*(1+'模块规划'!$J$17*J108))*F108/(1-Q108)</x:f>
        <x:v>729439.2855275687</x:v>
      </x:c>
      <x:c r="AO108" s="59" t="n">
        <x:f>AL108*AM108</x:f>
        <x:v>13978986.03432626</x:v>
      </x:c>
      <x:c r="AP108" s="61" t="n">
        <x:f>IF(AO108="","",INDEX('_曲线基线'!$A$3:$A$502,MIN(ROWS('_曲线基线'!$A$3:$A$502),COUNTIF('_曲线基线'!$E$3:$E$502,"&lt;"&amp;AO108)+1)))</x:f>
        <x:v>162</x:v>
      </x:c>
      <x:c r="AQ108" s="61" t="n">
        <x:f>IF(B108&lt;=2,1,IF(B108&lt;=6,2,IF(B108&lt;=9,3,IF(B108&lt;=19,4,5))))</x:f>
        <x:v>5</x:v>
      </x:c>
      <x:c r="AR108" s="59" t="n">
        <x:f>AN108*(1-Q108)/F108*$AS$3+U108*$AS$4+P108*$AS$5</x:f>
        <x:v>7285.679953066874</x:v>
      </x:c>
      <x:c r="AS108" s="59" t="n">
        <x:f>1+AH108*$AS$6+AI108*$AS$7+(AJ108-1)*$AS$8+($H$10*H108+$I$10*I108+$J$10*J108+$K$10*K108+$L$10*L108)*$AU$3*$AS$9+($H$10*H108+$I$10*I108+$J$10*J108+$K$10*K108+$L$10*L108)*$AU$4*$AS$10</x:f>
        <x:v>10.758460205261388</x:v>
      </x:c>
      <x:c r="AT108" s="60" t="n">
        <x:f>ROUND(AR108*AS108,0)</x:f>
        <x:v>78383</x:v>
      </x:c>
      <x:c r="AU108" s="60" t="n">
        <x:f>ROUND(AT108*F108,0)</x:f>
        <x:v>391915</x:v>
      </x:c>
      <x:c r="AV108" s="60" t="n">
        <x:f>MIN(MATCH(B108,'主线调参'!$M$11:$M$62,1),ROWS('主线调参'!$M$11:$M$62)-1)</x:f>
        <x:v>27</x:v>
      </x:c>
      <x:c r="AW108" s="62" t="n">
        <x:f>(B108-INDEX('主线调参'!$M$11:$M$62,AV108))/(INDEX('主线调参'!$M$11:$M$62,AV108+1)-INDEX('主线调参'!$M$11:$M$62,AV108))</x:f>
        <x:v>0.8571428571428571</x:v>
      </x:c>
      <x:c r="AX108" s="60" t="n">
        <x:f>IF(AU108=0,0,ROUND(AU108,2-INT(LOG10(ABS(AU108)))))</x:f>
        <x:v>392000</x:v>
      </x:c>
      <x:c r="AY108" s="62" t="n">
        <x:f>AU108/AU107-1</x:f>
        <x:v>0.014784894032961793</x:v>
      </x:c>
    </x:row>
    <x:row r="109" ht="25" customHeight="1">
      <x:c r="A109" s="40" t="n">
        <x:f>'调前玩家曲线'!A109</x:f>
        <x:v>37</x:v>
      </x:c>
      <x:c r="B109" s="40" t="n">
        <x:f>'调前玩家曲线'!B109</x:f>
        <x:v>98</x:v>
      </x:c>
      <x:c r="C109" s="40" t="n">
        <x:f>'调前玩家曲线'!C109</x:f>
        <x:v>7</x:v>
      </x:c>
      <x:c r="D109" s="40" t="n">
        <x:f>'调前玩家曲线'!D109</x:f>
        <x:v>14</x:v>
      </x:c>
      <x:c r="E109" s="40" t="n">
        <x:f>'调前玩家曲线'!E109</x:f>
        <x:v>1</x:v>
      </x:c>
      <x:c r="F109" s="40" t="n">
        <x:f>'调前玩家曲线'!F109</x:f>
        <x:v>5</x:v>
      </x:c>
      <x:c r="G109" s="63" t="n">
        <x:f>IF(B109&lt;$G$8,0,(INDEX('主线调参'!$C$11:$C$62,$AV109)+(INDEX('主线调参'!$C$11:$C$62,$AV109+1)-INDEX('主线调参'!$C$11:$C$62,$AV109))*$AW109)*'参数说明'!$C$27)</x:f>
        <x:v>0.5938937455396385</x:v>
      </x:c>
      <x:c r="H109" s="63" t="n">
        <x:f>IF(B109&lt;$H$8,0,(INDEX('主线调参'!$D$11:$D$62,$AV109)+(INDEX('主线调参'!$D$11:$D$62,$AV109+1)-INDEX('主线调参'!$D$11:$D$62,$AV109))*$AW109)*'参数说明'!$D$27)</x:f>
        <x:v>0.46272958330898234</x:v>
      </x:c>
      <x:c r="I109" s="63" t="n">
        <x:f>IF(B109&lt;$I$8,0,(INDEX('主线调参'!$E$11:$E$62,$AV109)+(INDEX('主线调参'!$E$11:$E$62,$AV109+1)-INDEX('主线调参'!$E$11:$E$62,$AV109))*$AW109)*'参数说明'!$E$27)</x:f>
        <x:v>0.2446920923162483</x:v>
      </x:c>
      <x:c r="J109" s="63" t="n">
        <x:f>IF(B109&lt;$J$8,0,(INDEX('主线调参'!$F$11:$F$62,$AV109)+(INDEX('主线调参'!$F$11:$F$62,$AV109+1)-INDEX('主线调参'!$F$11:$F$62,$AV109))*$AW109)*'参数说明'!$F$27)</x:f>
        <x:v>0.32801345045750324</x:v>
      </x:c>
      <x:c r="K109" s="63" t="n">
        <x:f>IF(B109&lt;$K$8,0,(INDEX('主线调参'!$G$11:$G$62,$AV109)+(INDEX('主线调参'!$G$11:$G$62,$AV109+1)-INDEX('主线调参'!$G$11:$G$62,$AV109))*$AW109)*'参数说明'!$G$27)</x:f>
        <x:v>0</x:v>
      </x:c>
      <x:c r="L109" s="63" t="n">
        <x:f>IF(B109&lt;$L$8,0,(INDEX('主线调参'!$H$11:$H$62,$AV109)+(INDEX('主线调参'!$H$11:$H$62,$AV109+1)-INDEX('主线调参'!$H$11:$H$62,$AV109))*$AW109)*'参数说明'!$H$27)</x:f>
        <x:v>0.4411745579567584</x:v>
      </x:c>
      <x:c r="M109" s="59" t="n">
        <x:f>E109*'模块规划'!$F$10+G109*'模块规划'!$F$11+H109*'模块规划'!$F$13</x:f>
        <x:v>3850.6899785902647</x:v>
      </x:c>
      <x:c r="N109" s="59" t="n">
        <x:f>I109*'模块规划'!$F$15+J109*'模块规划'!$F$17+K109*'模块规划'!$F$16+L109*'模块规划'!$F$18</x:f>
        <x:v>7443.544032888811</x:v>
      </x:c>
      <x:c r="O109" s="59" t="n">
        <x:f>1+O$9*SUMPRODUCT($H$10:$L$10,H109:L109)/SUM($H$10:$L$10)</x:f>
        <x:v>2.1044147674573717</x:v>
      </x:c>
      <x:c r="P109" s="59" t="n">
        <x:f>M109*O109+N109</x:f>
        <x:v>15546.992888734274</x:v>
      </x:c>
      <x:c r="Q109" s="59" t="n">
        <x:f>P109/(P109+'_曲线基线'!$L$2)</x:f>
        <x:v>0.3931270560185408</x:v>
      </x:c>
      <x:c r="R109" s="59" t="n">
        <x:f>E109*'模块规划'!$E$10+G109*'模块规划'!$E$11+H109*'模块规划'!$E$13</x:f>
        <x:v>5776.034967885397</x:v>
      </x:c>
      <x:c r="S109" s="59" t="n">
        <x:f>I109*'模块规划'!$E$15+J109*'模块规划'!$E$17+K109*'模块规划'!$E$16+L109*'模块规划'!$E$18</x:f>
        <x:v>11165.316049333216</x:v>
      </x:c>
      <x:c r="T109" s="59" t="n">
        <x:f>1+T$9*SUMPRODUCT($H$10:$L$10,H109:L109)/SUM($H$10:$L$10)</x:f>
        <x:v>2.1044147674573717</x:v>
      </x:c>
      <x:c r="U109" s="59" t="n">
        <x:f>R109*T109+S109</x:f>
        <x:v>23320.48933310141</x:v>
      </x:c>
      <x:c r="V109" s="59" t="n">
        <x:f>V$8+(V$9-V$8)*H109</x:f>
        <x:v>0.8388188749926947</x:v>
      </x:c>
      <x:c r="W109" s="59" t="n">
        <x:f>IF(B109&lt;$H$8,0,W$8+(W$9-W$8)*H109)</x:f>
        <x:v>0.18509183332359294</x:v>
      </x:c>
      <x:c r="X109" s="59" t="n">
        <x:f>X$8+(X$9-X$8)*H109</x:f>
        <x:v>0.4022506354099702</x:v>
      </x:c>
      <x:c r="Y109" s="59" t="n">
        <x:f>Y$8+(Y$9-Y$8)*G109</x:f>
        <x:v>1</x:v>
      </x:c>
      <x:c r="Z109" s="59" t="n">
        <x:f>Z$8+(Z$9-Z$8)*H109</x:f>
        <x:v>1</x:v>
      </x:c>
      <x:c r="AA109" s="59" t="n">
        <x:f>AA$8+(AA$9-AA$8)*I109</x:f>
        <x:v>1</x:v>
      </x:c>
      <x:c r="AB109" s="59" t="n">
        <x:f>AB$8+(AB$9-AB$8)*J109</x:f>
        <x:v>1</x:v>
      </x:c>
      <x:c r="AC109" s="59" t="n">
        <x:f>AC$8+(AC$9-AC$8)*MAX(K109,L109)</x:f>
        <x:v>1</x:v>
      </x:c>
      <x:c r="AD109" s="59" t="n">
        <x:f>(V109*AE109+W109*AF109+X109*AG109)*PRODUCT(Y109:AC109)</x:f>
        <x:v>1.51369060395262</x:v>
      </x:c>
      <x:c r="AE109" s="59" t="n">
        <x:f>1+AE$9*($H$10*H109+$I$10*I109+$J$10*J109+$K$10*K109+$L$10*L109)</x:f>
        <x:v>1</x:v>
      </x:c>
      <x:c r="AF109" s="59" t="n">
        <x:f>1+AF$9*($H$10*H109+$I$10*I109+$J$10*J109+$K$10*K109+$L$10*L109)</x:f>
        <x:v>1.0974746636865211</x:v>
      </x:c>
      <x:c r="AG109" s="59" t="n">
        <x:f>1+AG$9*($H$10*H109+$I$10*I109+$J$10*J109+$K$10*K109+$L$10*L109)</x:f>
        <x:v>1.1727467650888914</x:v>
      </x:c>
      <x:c r="AH109" s="59" t="n">
        <x:f>MIN(1,'_曲线基线'!$L$3+AH$9*($H$10*H109+$I$10*I109+$J$10*J109+$K$10*K109+$L$10*L109))</x:f>
        <x:v>0.2717548598868353</x:v>
      </x:c>
      <x:c r="AI109" s="59" t="n">
        <x:f>'_曲线基线'!$L$4+AI$9*($H$10*H109+$I$10*I109+$J$10*J109+$K$10*K109+$L$10*L109)</x:f>
        <x:v>2.617745681113327</x:v>
      </x:c>
      <x:c r="AJ109" s="59" t="n">
        <x:f>1+AJ$9*($H$10*H109+$I$10*I109+$J$10*J109+$K$10*K109+$L$10*L109)</x:f>
        <x:v>1.5068682511699092</x:v>
      </x:c>
      <x:c r="AK109" s="59" t="n">
        <x:f>(1+AH109*(AI109-1))*AJ109</x:f>
        <x:v>2.1693331185102323</x:v>
      </x:c>
      <x:c r="AL109" s="59" t="n">
        <x:f>U109*AD109*AK109*F109</x:f>
        <x:v>382887.3559749977</x:v>
      </x:c>
      <x:c r="AM109" s="59" t="n">
        <x:f>IF($B109&lt;AM$8,0,AM$3+(AM$4-AM$3)*(POWER(AM$5,$B109-AM$8)-1)/(POWER(AM$5,$C$5-AM$8)-1))</x:f>
        <x:v>37.1818606193271</x:v>
      </x:c>
      <x:c r="AN109" s="59" t="n">
        <x:f>(((E109*'模块规划'!$D$10+G109*'模块规划'!$D$11+H109*'模块规划'!$D$13)*(1+'模块规划'!$G$14*H109)+(I109*'模块规划'!$D$15+J109*'模块规划'!$D$17+K109*'模块规划'!$D$16+L109*'模块规划'!$D$18))*(1+'模块规划'!$J$17*J109))*F109/(1-Q109)</x:f>
        <x:v>740463.5945013535</x:v>
      </x:c>
      <x:c r="AO109" s="59" t="n">
        <x:f>AL109*AM109</x:f>
        <x:v>14236464.302765042</x:v>
      </x:c>
      <x:c r="AP109" s="61" t="n">
        <x:f>IF(AO109="","",INDEX('_曲线基线'!$A$3:$A$502,MIN(ROWS('_曲线基线'!$A$3:$A$502),COUNTIF('_曲线基线'!$E$3:$E$502,"&lt;"&amp;AO109)+1)))</x:f>
        <x:v>163</x:v>
      </x:c>
      <x:c r="AQ109" s="61" t="n">
        <x:f>IF(B109&lt;=2,1,IF(B109&lt;=6,2,IF(B109&lt;=9,3,IF(B109&lt;=19,4,5))))</x:f>
        <x:v>5</x:v>
      </x:c>
      <x:c r="AR109" s="59" t="n">
        <x:f>AN109*(1-Q109)/F109*$AS$3+U109*$AS$4+P109*$AS$5</x:f>
        <x:v>7360.30179565706</x:v>
      </x:c>
      <x:c r="AS109" s="59" t="n">
        <x:f>1+AH109*$AS$6+AI109*$AS$7+(AJ109-1)*$AS$8+($H$10*H109+$I$10*I109+$J$10*J109+$K$10*K109+$L$10*L109)*$AU$3*$AS$9+($H$10*H109+$I$10*I109+$J$10*J109+$K$10*K109+$L$10*L109)*$AU$4*$AS$10</x:f>
        <x:v>10.805801910856243</x:v>
      </x:c>
      <x:c r="AT109" s="60" t="n">
        <x:f>ROUND(AR109*AS109,0)</x:f>
        <x:v>79534</x:v>
      </x:c>
      <x:c r="AU109" s="60" t="n">
        <x:f>ROUND(AT109*F109,0)</x:f>
        <x:v>397670</x:v>
      </x:c>
      <x:c r="AV109" s="60" t="n">
        <x:f>MIN(MATCH(B109,'主线调参'!$M$11:$M$62,1),ROWS('主线调参'!$M$11:$M$62)-1)</x:f>
        <x:v>27</x:v>
      </x:c>
      <x:c r="AW109" s="62" t="n">
        <x:f>(B109-INDEX('主线调参'!$M$11:$M$62,AV109))/(INDEX('主线调参'!$M$11:$M$62,AV109+1)-INDEX('主线调参'!$M$11:$M$62,AV109))</x:f>
        <x:v>0.9285714285714286</x:v>
      </x:c>
      <x:c r="AX109" s="60" t="n">
        <x:f>IF(AU109=0,0,ROUND(AU109,2-INT(LOG10(ABS(AU109)))))</x:f>
        <x:v>398000</x:v>
      </x:c>
      <x:c r="AY109" s="62" t="n">
        <x:f>AU109/AU108-1</x:f>
        <x:v>0.014684306546062231</x:v>
      </x:c>
    </x:row>
    <x:row r="110" ht="25" customHeight="1">
      <x:c r="A110" s="40" t="n">
        <x:f>'调前玩家曲线'!A110</x:f>
        <x:v>37</x:v>
      </x:c>
      <x:c r="B110" s="40" t="n">
        <x:f>'调前玩家曲线'!B110</x:f>
        <x:v>99</x:v>
      </x:c>
      <x:c r="C110" s="40" t="n">
        <x:f>'调前玩家曲线'!C110</x:f>
        <x:v>7</x:v>
      </x:c>
      <x:c r="D110" s="40" t="n">
        <x:f>'调前玩家曲线'!D110</x:f>
        <x:v>15</x:v>
      </x:c>
      <x:c r="E110" s="40" t="n">
        <x:f>'调前玩家曲线'!E110</x:f>
        <x:v>1</x:v>
      </x:c>
      <x:c r="F110" s="40" t="n">
        <x:f>'调前玩家曲线'!F110</x:f>
        <x:v>5</x:v>
      </x:c>
      <x:c r="G110" s="63" t="n">
        <x:f>IF(B110&lt;$G$8,0,(INDEX('主线调参'!$C$11:$C$62,$AV110)+(INDEX('主线调参'!$C$11:$C$62,$AV110+1)-INDEX('主线调参'!$C$11:$C$62,$AV110))*$AW110)*'参数说明'!$C$27)</x:f>
        <x:v>0.5965163386518368</x:v>
      </x:c>
      <x:c r="H110" s="63" t="n">
        <x:f>IF(B110&lt;$H$8,0,(INDEX('主线调参'!$D$11:$D$62,$AV110)+(INDEX('主线调参'!$D$11:$D$62,$AV110+1)-INDEX('主线调参'!$D$11:$D$62,$AV110))*$AW110)*'参数说明'!$D$27)</x:f>
        <x:v>0.4649411942703667</x:v>
      </x:c>
      <x:c r="I110" s="63" t="n">
        <x:f>IF(B110&lt;$I$8,0,(INDEX('主线调参'!$E$11:$E$62,$AV110)+(INDEX('主线调参'!$E$11:$E$62,$AV110+1)-INDEX('主线调参'!$E$11:$E$62,$AV110))*$AW110)*'参数说明'!$E$27)</x:f>
        <x:v>0.250378517848455</x:v>
      </x:c>
      <x:c r="J110" s="63" t="n">
        <x:f>IF(B110&lt;$J$8,0,(INDEX('主线调参'!$F$11:$F$62,$AV110)+(INDEX('主线调参'!$F$11:$F$62,$AV110+1)-INDEX('主线调参'!$F$11:$F$62,$AV110))*$AW110)*'参数说明'!$F$27)</x:f>
        <x:v>0.3308703072893973</x:v>
      </x:c>
      <x:c r="K110" s="63" t="n">
        <x:f>IF(B110&lt;$K$8,0,(INDEX('主线调参'!$G$11:$G$62,$AV110)+(INDEX('主线调参'!$G$11:$G$62,$AV110+1)-INDEX('主线调参'!$G$11:$G$62,$AV110))*$AW110)*'参数说明'!$G$27)</x:f>
        <x:v>0</x:v>
      </x:c>
      <x:c r="L110" s="63" t="n">
        <x:f>IF(B110&lt;$L$8,0,(INDEX('主线调参'!$H$11:$H$62,$AV110)+(INDEX('主线调参'!$H$11:$H$62,$AV110+1)-INDEX('主线调参'!$H$11:$H$62,$AV110))*$AW110)*'参数说明'!$H$27)</x:f>
        <x:v>0.4438223764838798</x:v>
      </x:c>
      <x:c r="M110" s="59" t="n">
        <x:f>E110*'模块规划'!$F$10+G110*'模块规划'!$F$11+H110*'模块规划'!$F$13</x:f>
        <x:v>3863.278425528817</x:v>
      </x:c>
      <x:c r="N110" s="59" t="n">
        <x:f>I110*'模块规划'!$F$15+J110*'模块规划'!$F$17+K110*'模块规划'!$F$16+L110*'模块规划'!$F$18</x:f>
        <x:v>7530.843098101012</x:v>
      </x:c>
      <x:c r="O110" s="59" t="n">
        <x:f>1+O$9*SUMPRODUCT($H$10:$L$10,H110:L110)/SUM($H$10:$L$10)</x:f>
        <x:v>2.1133919114563184</x:v>
      </x:c>
      <x:c r="P110" s="59" t="n">
        <x:f>M110*O110+N110</x:f>
        <x:v>15695.464474317316</x:v>
      </x:c>
      <x:c r="Q110" s="59" t="n">
        <x:f>P110/(P110+'_曲线基线'!$L$2)</x:f>
        <x:v>0.39539692209602867</x:v>
      </x:c>
      <x:c r="R110" s="59" t="n">
        <x:f>E110*'模块规划'!$E$10+G110*'模块规划'!$E$11+H110*'模块规划'!$E$13</x:f>
        <x:v>5794.9176382932255</x:v>
      </x:c>
      <x:c r="S110" s="59" t="n">
        <x:f>I110*'模块规划'!$E$15+J110*'模块规划'!$E$17+K110*'模块规划'!$E$16+L110*'模块规划'!$E$18</x:f>
        <x:v>11296.264647151518</x:v>
      </x:c>
      <x:c r="T110" s="59" t="n">
        <x:f>1+T$9*SUMPRODUCT($H$10:$L$10,H110:L110)/SUM($H$10:$L$10)</x:f>
        <x:v>2.1133919114563184</x:v>
      </x:c>
      <x:c r="U110" s="59" t="n">
        <x:f>R110*T110+S110</x:f>
        <x:v>23543.196711475972</x:v>
      </x:c>
      <x:c r="V110" s="59" t="n">
        <x:f>V$8+(V$9-V$8)*H110</x:f>
        <x:v>0.83948235828111</x:v>
      </x:c>
      <x:c r="W110" s="59" t="n">
        <x:f>IF(B110&lt;$H$8,0,W$8+(W$9-W$8)*H110)</x:f>
        <x:v>0.18597647770814668</x:v>
      </x:c>
      <x:c r="X110" s="59" t="n">
        <x:f>X$8+(X$9-X$8)*H110</x:f>
        <x:v>0.40285882842435083</x:v>
      </x:c>
      <x:c r="Y110" s="59" t="n">
        <x:f>Y$8+(Y$9-Y$8)*G110</x:f>
        <x:v>1</x:v>
      </x:c>
      <x:c r="Z110" s="59" t="n">
        <x:f>Z$8+(Z$9-Z$8)*H110</x:f>
        <x:v>1</x:v>
      </x:c>
      <x:c r="AA110" s="59" t="n">
        <x:f>AA$8+(AA$9-AA$8)*I110</x:f>
        <x:v>1</x:v>
      </x:c>
      <x:c r="AB110" s="59" t="n">
        <x:f>AB$8+(AB$9-AB$8)*J110</x:f>
        <x:v>1</x:v>
      </x:c>
      <x:c r="AC110" s="59" t="n">
        <x:f>AC$8+(AC$9-AC$8)*MAX(K110,L110)</x:f>
        <x:v>1</x:v>
      </x:c>
      <x:c r="AD110" s="59" t="n">
        <x:f>(V110*AE110+W110*AF110+X110*AG110)*PRODUCT(Y110:AC110)</x:f>
        <x:v>1.5167512476902505</x:v>
      </x:c>
      <x:c r="AE110" s="59" t="n">
        <x:f>1+AE$9*($H$10*H110+$I$10*I110+$J$10*J110+$K$10*K110+$L$10*L110)</x:f>
        <x:v>1</x:v>
      </x:c>
      <x:c r="AF110" s="59" t="n">
        <x:f>1+AF$9*($H$10*H110+$I$10*I110+$J$10*J110+$K$10*K110+$L$10*L110)</x:f>
        <x:v>1.0982669784200314</x:v>
      </x:c>
      <x:c r="AG110" s="59" t="n">
        <x:f>1+AG$9*($H$10*H110+$I$10*I110+$J$10*J110+$K$10*K110+$L$10*L110)</x:f>
        <x:v>1.1741509228666125</x:v>
      </x:c>
      <x:c r="AH110" s="59" t="n">
        <x:f>MIN(1,'_曲线基线'!$L$3+AH$9*($H$10*H110+$I$10*I110+$J$10*J110+$K$10*K110+$L$10*L110))</x:f>
        <x:v>0.2735573759055712</x:v>
      </x:c>
      <x:c r="AI110" s="59" t="n">
        <x:f>'_曲线基线'!$L$4+AI$9*($H$10*H110+$I$10*I110+$J$10*J110+$K$10*K110+$L$10*L110)</x:f>
        <x:v>2.6227669757369485</x:v>
      </x:c>
      <x:c r="AJ110" s="59" t="n">
        <x:f>1+AJ$9*($H$10*H110+$I$10*I110+$J$10*J110+$K$10*K110+$L$10*L110)</x:f>
        <x:v>1.510988287784163</x:v>
      </x:c>
      <x:c r="AK110" s="59" t="n">
        <x:f>(1+AH110*(AI110-1))*AJ110</x:f>
        <x:v>2.1817460205134718</x:v>
      </x:c>
      <x:c r="AL110" s="59" t="n">
        <x:f>U110*AD110*AK110*F110</x:f>
        <x:v>389541.73029832507</x:v>
      </x:c>
      <x:c r="AM110" s="59" t="n">
        <x:f>IF($B110&lt;AM$8,0,AM$3+(AM$4-AM$3)*(POWER(AM$5,$B110-AM$8)-1)/(POWER(AM$5,$C$5-AM$8)-1))</x:f>
        <x:v>37.21710386544224</x:v>
      </x:c>
      <x:c r="AN110" s="59" t="n">
        <x:f>(((E110*'模块规划'!$D$10+G110*'模块规划'!$D$11+H110*'模块规划'!$D$13)*(1+'模块规划'!$G$14*H110)+(I110*'模块规划'!$D$15+J110*'模块规划'!$D$17+K110*'模块规划'!$D$16+L110*'模块规划'!$D$18))*(1+'模块规划'!$J$17*J110))*F110/(1-Q110)</x:f>
        <x:v>751589.12299661</x:v>
      </x:c>
      <x:c r="AO110" s="59" t="n">
        <x:f>AL110*AM110</x:f>
        <x:v>14497615.036436852</x:v>
      </x:c>
      <x:c r="AP110" s="61" t="n">
        <x:f>IF(AO110="","",INDEX('_曲线基线'!$A$3:$A$502,MIN(ROWS('_曲线基线'!$A$3:$A$502),COUNTIF('_曲线基线'!$E$3:$E$502,"&lt;"&amp;AO110)+1)))</x:f>
        <x:v>164</x:v>
      </x:c>
      <x:c r="AQ110" s="61" t="n">
        <x:f>IF(B110&lt;=2,1,IF(B110&lt;=6,2,IF(B110&lt;=9,3,IF(B110&lt;=19,4,5))))</x:f>
        <x:v>5</x:v>
      </x:c>
      <x:c r="AR110" s="59" t="n">
        <x:f>AN110*(1-Q110)/F110*$AS$3+U110*$AS$4+P110*$AS$5</x:f>
        <x:v>7435.117924792576</x:v>
      </x:c>
      <x:c r="AS110" s="59" t="n">
        <x:f>1+AH110*$AS$6+AI110*$AS$7+(AJ110-1)*$AS$8+($H$10*H110+$I$10*I110+$J$10*J110+$K$10*K110+$L$10*L110)*$AU$3*$AS$9+($H$10*H110+$I$10*I110+$J$10*J110+$K$10*K110+$L$10*L110)*$AU$4*$AS$10</x:f>
        <x:v>10.853143616451101</x:v>
      </x:c>
      <x:c r="AT110" s="60" t="n">
        <x:f>ROUND(AR110*AS110,0)</x:f>
        <x:v>80694</x:v>
      </x:c>
      <x:c r="AU110" s="60" t="n">
        <x:f>ROUND(AT110*F110,0)</x:f>
        <x:v>403470</x:v>
      </x:c>
      <x:c r="AV110" s="60" t="n">
        <x:f>MIN(MATCH(B110,'主线调参'!$M$11:$M$62,1),ROWS('主线调参'!$M$11:$M$62)-1)</x:f>
        <x:v>28</x:v>
      </x:c>
      <x:c r="AW110" s="62" t="n">
        <x:f>(B110-INDEX('主线调参'!$M$11:$M$62,AV110))/(INDEX('主线调参'!$M$11:$M$62,AV110+1)-INDEX('主线调参'!$M$11:$M$62,AV110))</x:f>
        <x:v>0</x:v>
      </x:c>
      <x:c r="AX110" s="60" t="n">
        <x:f>IF(AU110=0,0,ROUND(AU110,2-INT(LOG10(ABS(AU110)))))</x:f>
        <x:v>403000</x:v>
      </x:c>
      <x:c r="AY110" s="62" t="n">
        <x:f>AU110/AU109-1</x:f>
        <x:v>0.014584957376719387</x:v>
      </x:c>
    </x:row>
    <x:row r="111" ht="25" customHeight="1">
      <x:c r="A111" s="40" t="n">
        <x:f>'调前玩家曲线'!A111</x:f>
        <x:v>38</x:v>
      </x:c>
      <x:c r="B111" s="40" t="n">
        <x:f>'调前玩家曲线'!B111</x:f>
        <x:v>100</x:v>
      </x:c>
      <x:c r="C111" s="40" t="n">
        <x:f>'调前玩家曲线'!C111</x:f>
        <x:v>8</x:v>
      </x:c>
      <x:c r="D111" s="40" t="n">
        <x:f>'调前玩家曲线'!D111</x:f>
        <x:v>1</x:v>
      </x:c>
      <x:c r="E111" s="40" t="n">
        <x:f>'调前玩家曲线'!E111</x:f>
        <x:v>1</x:v>
      </x:c>
      <x:c r="F111" s="40" t="n">
        <x:f>'调前玩家曲线'!F111</x:f>
        <x:v>5</x:v>
      </x:c>
      <x:c r="G111" s="63" t="n">
        <x:f>IF(B111&lt;$G$8,0,(INDEX('主线调参'!$C$11:$C$62,$AV111)+(INDEX('主线调参'!$C$11:$C$62,$AV111+1)-INDEX('主线调参'!$C$11:$C$62,$AV111))*$AW111)*'参数说明'!$C$27)</x:f>
        <x:v>0.5988535443004814</x:v>
      </x:c>
      <x:c r="H111" s="63" t="n">
        <x:f>IF(B111&lt;$H$8,0,(INDEX('主线调参'!$D$11:$D$62,$AV111)+(INDEX('主线调参'!$D$11:$D$62,$AV111+1)-INDEX('主线调参'!$D$11:$D$62,$AV111))*$AW111)*'参数说明'!$D$27)</x:f>
        <x:v>0.46683556533676124</x:v>
      </x:c>
      <x:c r="I111" s="63" t="n">
        <x:f>IF(B111&lt;$I$8,0,(INDEX('主线调参'!$E$11:$E$62,$AV111)+(INDEX('主线调参'!$E$11:$E$62,$AV111+1)-INDEX('主线调参'!$E$11:$E$62,$AV111))*$AW111)*'参数说明'!$E$27)</x:f>
        <x:v>0.2552492659987868</x:v>
      </x:c>
      <x:c r="J111" s="63" t="n">
        <x:f>IF(B111&lt;$J$8,0,(INDEX('主线调参'!$F$11:$F$62,$AV111)+(INDEX('主线调参'!$F$11:$F$62,$AV111+1)-INDEX('主线调参'!$F$11:$F$62,$AV111))*$AW111)*'参数说明'!$F$27)</x:f>
        <x:v>0.3333173682859582</x:v>
      </x:c>
      <x:c r="K111" s="63" t="n">
        <x:f>IF(B111&lt;$K$8,0,(INDEX('主线调参'!$G$11:$G$62,$AV111)+(INDEX('主线调参'!$G$11:$G$62,$AV111+1)-INDEX('主线调参'!$G$11:$G$62,$AV111))*$AW111)*'参数说明'!$G$27)</x:f>
        <x:v>0</x:v>
      </x:c>
      <x:c r="L111" s="63" t="n">
        <x:f>IF(B111&lt;$L$8,0,(INDEX('主线调参'!$H$11:$H$62,$AV111)+(INDEX('主线调参'!$H$11:$H$62,$AV111+1)-INDEX('主线调参'!$H$11:$H$62,$AV111))*$AW111)*'参数说明'!$H$27)</x:f>
        <x:v>0.4460903842367907</x:v>
      </x:c>
      <x:c r="M111" s="59" t="n">
        <x:f>E111*'模块规划'!$F$10+G111*'模块规划'!$F$11+H111*'模块规划'!$F$13</x:f>
        <x:v>3874.497012642311</x:v>
      </x:c>
      <x:c r="N111" s="59" t="n">
        <x:f>I111*'模块规划'!$F$15+J111*'模块规划'!$F$17+K111*'模块规划'!$F$16+L111*'模块规划'!$F$18</x:f>
        <x:v>7605.61973203383</x:v>
      </x:c>
      <x:c r="O111" s="59" t="n">
        <x:f>1+O$9*SUMPRODUCT($H$10:$L$10,H111:L111)/SUM($H$10:$L$10)</x:f>
        <x:v>2.1210813478659727</x:v>
      </x:c>
      <x:c r="P111" s="59" t="n">
        <x:f>M111*O111+N111</x:f>
        <x:v>15823.743077911866</x:v>
      </x:c>
      <x:c r="Q111" s="59" t="n">
        <x:f>P111/(P111+'_曲线基线'!$L$2)</x:f>
        <x:v>0.39734444466844865</x:v>
      </x:c>
      <x:c r="R111" s="59" t="n">
        <x:f>E111*'模块规划'!$E$10+G111*'模块规划'!$E$11+H111*'模块规划'!$E$13</x:f>
        <x:v>5811.745518963467</x:v>
      </x:c>
      <x:c r="S111" s="59" t="n">
        <x:f>I111*'模块规划'!$E$15+J111*'模块规划'!$E$17+K111*'模块规划'!$E$16+L111*'模块规划'!$E$18</x:f>
        <x:v>11408.429598050745</x:v>
      </x:c>
      <x:c r="T111" s="59" t="n">
        <x:f>1+T$9*SUMPRODUCT($H$10:$L$10,H111:L111)/SUM($H$10:$L$10)</x:f>
        <x:v>2.1210813478659727</x:v>
      </x:c>
      <x:c r="U111" s="59" t="n">
        <x:f>R111*T111+S111</x:f>
        <x:v>23735.614616867802</x:v>
      </x:c>
      <x:c r="V111" s="59" t="n">
        <x:f>V$8+(V$9-V$8)*H111</x:f>
        <x:v>0.8400506696010284</x:v>
      </x:c>
      <x:c r="W111" s="59" t="n">
        <x:f>IF(B111&lt;$H$8,0,W$8+(W$9-W$8)*H111)</x:f>
        <x:v>0.1867342261347045</x:v>
      </x:c>
      <x:c r="X111" s="59" t="n">
        <x:f>X$8+(X$9-X$8)*H111</x:f>
        <x:v>0.40337978046760936</x:v>
      </x:c>
      <x:c r="Y111" s="59" t="n">
        <x:f>Y$8+(Y$9-Y$8)*G111</x:f>
        <x:v>1</x:v>
      </x:c>
      <x:c r="Z111" s="59" t="n">
        <x:f>Z$8+(Z$9-Z$8)*H111</x:f>
        <x:v>1</x:v>
      </x:c>
      <x:c r="AA111" s="59" t="n">
        <x:f>AA$8+(AA$9-AA$8)*I111</x:f>
        <x:v>1</x:v>
      </x:c>
      <x:c r="AB111" s="59" t="n">
        <x:f>AB$8+(AB$9-AB$8)*J111</x:f>
        <x:v>1</x:v>
      </x:c>
      <x:c r="AC111" s="59" t="n">
        <x:f>AC$8+(AC$9-AC$8)*MAX(K111,L111)</x:f>
        <x:v>1</x:v>
      </x:c>
      <x:c r="AD111" s="59" t="n">
        <x:f>(V111*AE111+W111*AF111+X111*AG111)*PRODUCT(Y111:AC111)</x:f>
        <x:v>1.5193753365076699</x:v>
      </x:c>
      <x:c r="AE111" s="59" t="n">
        <x:f>1+AE$9*($H$10*H111+$I$10*I111+$J$10*J111+$K$10*K111+$L$10*L111)</x:f>
        <x:v>1</x:v>
      </x:c>
      <x:c r="AF111" s="59" t="n">
        <x:f>1+AF$9*($H$10*H111+$I$10*I111+$J$10*J111+$K$10*K111+$L$10*L111)</x:f>
        <x:v>1.0989456412286567</x:v>
      </x:c>
      <x:c r="AG111" s="59" t="n">
        <x:f>1+AG$9*($H$10*H111+$I$10*I111+$J$10*J111+$K$10*K111+$L$10*L111)</x:f>
        <x:v>1.1753536641774542</x:v>
      </x:c>
      <x:c r="AH111" s="59" t="n">
        <x:f>MIN(1,'_曲线基线'!$L$3+AH$9*($H$10*H111+$I$10*I111+$J$10*J111+$K$10*K111+$L$10*L111))</x:f>
        <x:v>0.2751013337951939</x:v>
      </x:c>
      <x:c r="AI111" s="59" t="n">
        <x:f>'_曲线基线'!$L$4+AI$9*($H$10*H111+$I$10*I111+$J$10*J111+$K$10*K111+$L$10*L111)</x:f>
        <x:v>2.6270680012866117</x:v>
      </x:c>
      <x:c r="AJ111" s="59" t="n">
        <x:f>1+AJ$9*($H$10*H111+$I$10*I111+$J$10*J111+$K$10*K111+$L$10*L111)</x:f>
        <x:v>1.5145173343890148</x:v>
      </x:c>
      <x:c r="AK111" s="59" t="n">
        <x:f>(1+AH111*(AI111-1))*AJ111</x:f>
        <x:v>2.192428283775638</x:v>
      </x:c>
      <x:c r="AL111" s="59" t="n">
        <x:f>U111*AD111*AK111*F111</x:f>
        <x:v>395331.0762524642</x:v>
      </x:c>
      <x:c r="AM111" s="59" t="n">
        <x:f>IF($B111&lt;AM$8,0,AM$3+(AM$4-AM$3)*(POWER(AM$5,$B111-AM$8)-1)/(POWER(AM$5,$C$5-AM$8)-1))</x:f>
        <x:v>37.252699544018526</x:v>
      </x:c>
      <x:c r="AN111" s="59" t="n">
        <x:f>(((E111*'模块规划'!$D$10+G111*'模块规划'!$D$11+H111*'模块规划'!$D$13)*(1+'模块规划'!$G$14*H111)+(I111*'模块规划'!$D$15+J111*'模块规划'!$D$17+K111*'模块规划'!$D$16+L111*'模块规划'!$D$18))*(1+'模块规划'!$J$17*J111))*F111/(1-Q111)</x:f>
        <x:v>761253.2955452682</x:v>
      </x:c>
      <x:c r="AO111" s="59" t="n">
        <x:f>AL111*AM111</x:f>
        <x:v>14727149.804046527</x:v>
      </x:c>
      <x:c r="AP111" s="61" t="n">
        <x:f>IF(AO111="","",INDEX('_曲线基线'!$A$3:$A$502,MIN(ROWS('_曲线基线'!$A$3:$A$502),COUNTIF('_曲线基线'!$E$3:$E$502,"&lt;"&amp;AO111)+1)))</x:f>
        <x:v>164</x:v>
      </x:c>
      <x:c r="AQ111" s="61" t="n">
        <x:f>IF(B111&lt;=2,1,IF(B111&lt;=6,2,IF(B111&lt;=9,3,IF(B111&lt;=19,4,5))))</x:f>
        <x:v>5</x:v>
      </x:c>
      <x:c r="AR111" s="59" t="n">
        <x:f>AN111*(1-Q111)/F111*$AS$3+U111*$AS$4+P111*$AS$5</x:f>
        <x:v>7499.764088822403</x:v>
      </x:c>
      <x:c r="AS111" s="59" t="n">
        <x:f>1+AH111*$AS$6+AI111*$AS$7+(AJ111-1)*$AS$8+($H$10*H111+$I$10*I111+$J$10*J111+$K$10*K111+$L$10*L111)*$AU$3*$AS$9+($H$10*H111+$I$10*I111+$J$10*J111+$K$10*K111+$L$10*L111)*$AU$4*$AS$10</x:f>
        <x:v>10.893694490397083</x:v>
      </x:c>
      <x:c r="AT111" s="60" t="n">
        <x:f>ROUND(AR111*AS111,0)</x:f>
        <x:v>81700</x:v>
      </x:c>
      <x:c r="AU111" s="60" t="n">
        <x:f>ROUND(AT111*F111,0)</x:f>
        <x:v>408500</x:v>
      </x:c>
      <x:c r="AV111" s="60" t="n">
        <x:f>MIN(MATCH(B111,'主线调参'!$M$11:$M$62,1),ROWS('主线调参'!$M$11:$M$62)-1)</x:f>
        <x:v>29</x:v>
      </x:c>
      <x:c r="AW111" s="62" t="n">
        <x:f>(B111-INDEX('主线调参'!$M$11:$M$62,AV111))/(INDEX('主线调参'!$M$11:$M$62,AV111+1)-INDEX('主线调参'!$M$11:$M$62,AV111))</x:f>
        <x:v>0</x:v>
      </x:c>
      <x:c r="AX111" s="60" t="n">
        <x:f>IF(AU111=0,0,ROUND(AU111,2-INT(LOG10(ABS(AU111)))))</x:f>
        <x:v>409000</x:v>
      </x:c>
      <x:c r="AY111" s="62" t="n">
        <x:f>AU111/AU110-1</x:f>
        <x:v>0.012466850075594227</x:v>
      </x:c>
    </x:row>
    <x:row r="112" ht="25" customHeight="1">
      <x:c r="A112" s="40" t="n">
        <x:f>'调前玩家曲线'!A112</x:f>
        <x:v>38</x:v>
      </x:c>
      <x:c r="B112" s="40" t="n">
        <x:f>'调前玩家曲线'!B112</x:f>
        <x:v>101</x:v>
      </x:c>
      <x:c r="C112" s="40" t="n">
        <x:f>'调前玩家曲线'!C112</x:f>
        <x:v>8</x:v>
      </x:c>
      <x:c r="D112" s="40" t="n">
        <x:f>'调前玩家曲线'!D112</x:f>
        <x:v>2</x:v>
      </x:c>
      <x:c r="E112" s="40" t="n">
        <x:f>'调前玩家曲线'!E112</x:f>
        <x:v>1</x:v>
      </x:c>
      <x:c r="F112" s="40" t="n">
        <x:f>'调前玩家曲线'!F112</x:f>
        <x:v>5</x:v>
      </x:c>
      <x:c r="G112" s="63" t="n">
        <x:f>IF(B112&lt;$G$8,0,(INDEX('主线调参'!$C$11:$C$62,$AV112)+(INDEX('主线调参'!$C$11:$C$62,$AV112+1)-INDEX('主线调参'!$C$11:$C$62,$AV112))*$AW112)*'参数说明'!$C$27)</x:f>
        <x:v>0.6016142540445126</x:v>
      </x:c>
      <x:c r="H112" s="63" t="n">
        <x:f>IF(B112&lt;$H$8,0,(INDEX('主线调参'!$D$11:$D$62,$AV112)+(INDEX('主线调参'!$D$11:$D$62,$AV112+1)-INDEX('主线调参'!$D$11:$D$62,$AV112))*$AW112)*'参数说明'!$D$27)</x:f>
        <x:v>0.4691413315865919</x:v>
      </x:c>
      <x:c r="I112" s="63" t="n">
        <x:f>IF(B112&lt;$I$8,0,(INDEX('主线调参'!$E$11:$E$62,$AV112)+(INDEX('主线调参'!$E$11:$E$62,$AV112+1)-INDEX('主线调参'!$E$11:$E$62,$AV112))*$AW112)*'参数说明'!$E$27)</x:f>
        <x:v>0.2600339011861636</x:v>
      </x:c>
      <x:c r="J112" s="63" t="n">
        <x:f>IF(B112&lt;$J$8,0,(INDEX('主线调参'!$F$11:$F$62,$AV112)+(INDEX('主线调参'!$F$11:$F$62,$AV112+1)-INDEX('主线调参'!$F$11:$F$62,$AV112))*$AW112)*'参数说明'!$F$27)</x:f>
        <x:v>0.33610306615777913</x:v>
      </x:c>
      <x:c r="K112" s="63" t="n">
        <x:f>IF(B112&lt;$K$8,0,(INDEX('主线调参'!$G$11:$G$62,$AV112)+(INDEX('主线调参'!$G$11:$G$62,$AV112+1)-INDEX('主线调参'!$G$11:$G$62,$AV112))*$AW112)*'参数说明'!$G$27)</x:f>
        <x:v>0.00904534902982068</x:v>
      </x:c>
      <x:c r="L112" s="63" t="n">
        <x:f>IF(B112&lt;$L$8,0,(INDEX('主线调参'!$H$11:$H$62,$AV112)+(INDEX('主线调参'!$H$11:$H$62,$AV112+1)-INDEX('主线调参'!$H$11:$H$62,$AV112))*$AW112)*'参数说明'!$H$27)</x:f>
        <x:v>0.4487099061287764</x:v>
      </x:c>
      <x:c r="M112" s="59" t="n">
        <x:f>E112*'模块规划'!$F$10+G112*'模块规划'!$F$11+H112*'模块规划'!$F$13</x:f>
        <x:v>3887.7484194136605</x:v>
      </x:c>
      <x:c r="N112" s="59" t="n">
        <x:f>I112*'模块规划'!$F$15+J112*'模块规划'!$F$17+K112*'模块规划'!$F$16+L112*'模块规划'!$F$18</x:f>
        <x:v>7739.123495889906</x:v>
      </x:c>
      <x:c r="O112" s="59" t="n">
        <x:f>1+O$9*SUMPRODUCT($H$10:$L$10,H112:L112)/SUM($H$10:$L$10)</x:f>
        <x:v>2.136380201800816</x:v>
      </x:c>
      <x:c r="P112" s="59" t="n">
        <x:f>M112*O112+N112</x:f>
        <x:v>16044.832248707666</x:v>
      </x:c>
      <x:c r="Q112" s="59" t="n">
        <x:f>P112/(P112+'_曲线基线'!$L$2)</x:f>
        <x:v>0.4006717308505011</x:v>
      </x:c>
      <x:c r="R112" s="59" t="n">
        <x:f>E112*'模块规划'!$E$10+G112*'模块规划'!$E$11+H112*'模块规划'!$E$13</x:f>
        <x:v>5831.622629120491</x:v>
      </x:c>
      <x:c r="S112" s="59" t="n">
        <x:f>I112*'模块规划'!$E$15+J112*'模块规划'!$E$17+K112*'模块规划'!$E$16+L112*'模块规划'!$E$18</x:f>
        <x:v>11608.68524383486</x:v>
      </x:c>
      <x:c r="T112" s="59" t="n">
        <x:f>1+T$9*SUMPRODUCT($H$10:$L$10,H112:L112)/SUM($H$10:$L$10)</x:f>
        <x:v>2.136380201800816</x:v>
      </x:c>
      <x:c r="U112" s="59" t="n">
        <x:f>R112*T112+S112</x:f>
        <x:v>24067.2483730615</x:v>
      </x:c>
      <x:c r="V112" s="59" t="n">
        <x:f>V$8+(V$9-V$8)*H112</x:f>
        <x:v>0.8407423994759775</x:v>
      </x:c>
      <x:c r="W112" s="59" t="n">
        <x:f>IF(B112&lt;$H$8,0,W$8+(W$9-W$8)*H112)</x:f>
        <x:v>0.18765653263463677</x:v>
      </x:c>
      <x:c r="X112" s="59" t="n">
        <x:f>X$8+(X$9-X$8)*H112</x:f>
        <x:v>0.4040138661863128</x:v>
      </x:c>
      <x:c r="Y112" s="59" t="n">
        <x:f>Y$8+(Y$9-Y$8)*G112</x:f>
        <x:v>1</x:v>
      </x:c>
      <x:c r="Z112" s="59" t="n">
        <x:f>Z$8+(Z$9-Z$8)*H112</x:f>
        <x:v>1</x:v>
      </x:c>
      <x:c r="AA112" s="59" t="n">
        <x:f>AA$8+(AA$9-AA$8)*I112</x:f>
        <x:v>1</x:v>
      </x:c>
      <x:c r="AB112" s="59" t="n">
        <x:f>AB$8+(AB$9-AB$8)*J112</x:f>
        <x:v>1</x:v>
      </x:c>
      <x:c r="AC112" s="59" t="n">
        <x:f>AC$8+(AC$9-AC$8)*MAX(K112,L112)</x:f>
        <x:v>1</x:v>
      </x:c>
      <x:c r="AD112" s="59" t="n">
        <x:f>(V112*AE112+W112*AF112+X112*AG112)*PRODUCT(Y112:AC112)</x:f>
        <x:v>1.5230460834200845</x:v>
      </x:c>
      <x:c r="AE112" s="59" t="n">
        <x:f>1+AE$9*($H$10*H112+$I$10*I112+$J$10*J112+$K$10*K112+$L$10*L112)</x:f>
        <x:v>1</x:v>
      </x:c>
      <x:c r="AF112" s="59" t="n">
        <x:f>1+AF$9*($H$10*H112+$I$10*I112+$J$10*J112+$K$10*K112+$L$10*L112)</x:f>
        <x:v>1.1002959044504366</x:v>
      </x:c>
      <x:c r="AG112" s="59" t="n">
        <x:f>1+AG$9*($H$10*H112+$I$10*I112+$J$10*J112+$K$10*K112+$L$10*L112)</x:f>
        <x:v>1.1777466306649416</x:v>
      </x:c>
      <x:c r="AH112" s="59" t="n">
        <x:f>MIN(1,'_曲线基线'!$L$3+AH$9*($H$10*H112+$I$10*I112+$J$10*J112+$K$10*K112+$L$10*L112))</x:f>
        <x:v>0.2781731826247428</x:v>
      </x:c>
      <x:c r="AI112" s="59" t="n">
        <x:f>'_曲线基线'!$L$4+AI$9*($H$10*H112+$I$10*I112+$J$10*J112+$K$10*K112+$L$10*L112)</x:f>
        <x:v>2.6356252944546403</x:v>
      </x:c>
      <x:c r="AJ112" s="59" t="n">
        <x:f>1+AJ$9*($H$10*H112+$I$10*I112+$J$10*J112+$K$10*K112+$L$10*L112)</x:f>
        <x:v>1.5215387031422694</x:v>
      </x:c>
      <x:c r="AK112" s="59" t="n">
        <x:f>(1+AH112*(AI112-1))*AJ112</x:f>
        <x:v>2.213819175697868</x:v>
      </x:c>
      <x:c r="AL112" s="59" t="n">
        <x:f>U112*AD112*AK112*F112</x:f>
        <x:v>405743.55804063025</x:v>
      </x:c>
      <x:c r="AM112" s="59" t="n">
        <x:f>IF($B112&lt;AM$8,0,AM$3+(AM$4-AM$3)*(POWER(AM$5,$B112-AM$8)-1)/(POWER(AM$5,$C$5-AM$8)-1))</x:f>
        <x:v>37.28865117938058</x:v>
      </x:c>
      <x:c r="AN112" s="59" t="n">
        <x:f>(((E112*'模块规划'!$D$10+G112*'模块规划'!$D$11+H112*'模块规划'!$D$13)*(1+'模块规划'!$G$14*H112)+(I112*'模块规划'!$D$15+J112*'模块规划'!$D$17+K112*'模块规划'!$D$16+L112*'模块规划'!$D$18))*(1+'模块规划'!$J$17*J112))*F112/(1-Q112)</x:f>
        <x:v>776696.1726326202</x:v>
      </x:c>
      <x:c r="AO112" s="59" t="n">
        <x:f>AL112*AM112</x:f>
        <x:v>15129630.004057819</x:v>
      </x:c>
      <x:c r="AP112" s="61" t="n">
        <x:f>IF(AO112="","",INDEX('_曲线基线'!$A$3:$A$502,MIN(ROWS('_曲线基线'!$A$3:$A$502),COUNTIF('_曲线基线'!$E$3:$E$502,"&lt;"&amp;AO112)+1)))</x:f>
        <x:v>166</x:v>
      </x:c>
      <x:c r="AQ112" s="61" t="n">
        <x:f>IF(B112&lt;=2,1,IF(B112&lt;=6,2,IF(B112&lt;=9,3,IF(B112&lt;=19,4,5))))</x:f>
        <x:v>5</x:v>
      </x:c>
      <x:c r="AR112" s="59" t="n">
        <x:f>AN112*(1-Q112)/F112*$AS$3+U112*$AS$4+P112*$AS$5</x:f>
        <x:v>7606.425511405991</x:v>
      </x:c>
      <x:c r="AS112" s="59" t="n">
        <x:f>1+AH112*$AS$6+AI112*$AS$7+(AJ112-1)*$AS$8+($H$10*H112+$I$10*I112+$J$10*J112+$K$10*K112+$L$10*L112)*$AU$3*$AS$9+($H$10*H112+$I$10*I112+$J$10*J112+$K$10*K112+$L$10*L112)*$AU$4*$AS$10</x:f>
        <x:v>10.974374252135007</x:v>
      </x:c>
      <x:c r="AT112" s="60" t="n">
        <x:f>ROUND(AR112*AS112,0)</x:f>
        <x:v>83476</x:v>
      </x:c>
      <x:c r="AU112" s="60" t="n">
        <x:f>ROUND(AT112*F112,0)</x:f>
        <x:v>417380</x:v>
      </x:c>
      <x:c r="AV112" s="60" t="n">
        <x:f>MIN(MATCH(B112,'主线调参'!$M$11:$M$62,1),ROWS('主线调参'!$M$11:$M$62)-1)</x:f>
        <x:v>29</x:v>
      </x:c>
      <x:c r="AW112" s="62" t="n">
        <x:f>(B112-INDEX('主线调参'!$M$11:$M$62,AV112))/(INDEX('主线调参'!$M$11:$M$62,AV112+1)-INDEX('主线调参'!$M$11:$M$62,AV112))</x:f>
        <x:v>0.07142857142857142</x:v>
      </x:c>
      <x:c r="AX112" s="60" t="n">
        <x:f>IF(AU112=0,0,ROUND(AU112,2-INT(LOG10(ABS(AU112)))))</x:f>
        <x:v>417000</x:v>
      </x:c>
      <x:c r="AY112" s="62" t="n">
        <x:f>AU112/AU111-1</x:f>
        <x:v>0.02173806609547113</x:v>
      </x:c>
    </x:row>
    <x:row r="113" ht="25" customHeight="1">
      <x:c r="A113" s="40" t="n">
        <x:f>'调前玩家曲线'!A113</x:f>
        <x:v>38</x:v>
      </x:c>
      <x:c r="B113" s="40" t="n">
        <x:f>'调前玩家曲线'!B113</x:f>
        <x:v>102</x:v>
      </x:c>
      <x:c r="C113" s="40" t="n">
        <x:f>'调前玩家曲线'!C113</x:f>
        <x:v>8</x:v>
      </x:c>
      <x:c r="D113" s="40" t="n">
        <x:f>'调前玩家曲线'!D113</x:f>
        <x:v>3</x:v>
      </x:c>
      <x:c r="E113" s="40" t="n">
        <x:f>'调前玩家曲线'!E113</x:f>
        <x:v>1</x:v>
      </x:c>
      <x:c r="F113" s="40" t="n">
        <x:f>'调前玩家曲线'!F113</x:f>
        <x:v>5</x:v>
      </x:c>
      <x:c r="G113" s="63" t="n">
        <x:f>IF(B113&lt;$G$8,0,(INDEX('主线调参'!$C$11:$C$62,$AV113)+(INDEX('主线调参'!$C$11:$C$62,$AV113+1)-INDEX('主线调参'!$C$11:$C$62,$AV113))*$AW113)*'参数说明'!$C$27)</x:f>
        <x:v>0.6043749637885436</x:v>
      </x:c>
      <x:c r="H113" s="63" t="n">
        <x:f>IF(B113&lt;$H$8,0,(INDEX('主线调参'!$D$11:$D$62,$AV113)+(INDEX('主线调参'!$D$11:$D$62,$AV113+1)-INDEX('主线调参'!$D$11:$D$62,$AV113))*$AW113)*'参数说明'!$D$27)</x:f>
        <x:v>0.47144709783642247</x:v>
      </x:c>
      <x:c r="I113" s="63" t="n">
        <x:f>IF(B113&lt;$I$8,0,(INDEX('主线调参'!$E$11:$E$62,$AV113)+(INDEX('主线调参'!$E$11:$E$62,$AV113+1)-INDEX('主线调参'!$E$11:$E$62,$AV113))*$AW113)*'参数说明'!$E$27)</x:f>
        <x:v>0.26481853637354047</x:v>
      </x:c>
      <x:c r="J113" s="63" t="n">
        <x:f>IF(B113&lt;$J$8,0,(INDEX('主线调参'!$F$11:$F$62,$AV113)+(INDEX('主线调参'!$F$11:$F$62,$AV113+1)-INDEX('主线调参'!$F$11:$F$62,$AV113))*$AW113)*'参数说明'!$F$27)</x:f>
        <x:v>0.33888876402960005</x:v>
      </x:c>
      <x:c r="K113" s="63" t="n">
        <x:f>IF(B113&lt;$K$8,0,(INDEX('主线调参'!$G$11:$G$62,$AV113)+(INDEX('主线调参'!$G$11:$G$62,$AV113+1)-INDEX('主线调参'!$G$11:$G$62,$AV113))*$AW113)*'参数说明'!$G$27)</x:f>
        <x:v>0.01809069805964136</x:v>
      </x:c>
      <x:c r="L113" s="63" t="n">
        <x:f>IF(B113&lt;$L$8,0,(INDEX('主线调参'!$H$11:$H$62,$AV113)+(INDEX('主线调参'!$H$11:$H$62,$AV113+1)-INDEX('主线调参'!$H$11:$H$62,$AV113))*$AW113)*'参数说明'!$H$27)</x:f>
        <x:v>0.45132942802076226</x:v>
      </x:c>
      <x:c r="M113" s="59" t="n">
        <x:f>E113*'模块规划'!$F$10+G113*'模块规划'!$F$11+H113*'模块规划'!$F$13</x:f>
        <x:v>3900.999826185009</x:v>
      </x:c>
      <x:c r="N113" s="59" t="n">
        <x:f>I113*'模块规划'!$F$15+J113*'模块规划'!$F$17+K113*'模块规划'!$F$16+L113*'模块规划'!$F$18</x:f>
        <x:v>7872.627259745983</x:v>
      </x:c>
      <x:c r="O113" s="59" t="n">
        <x:f>1+O$9*SUMPRODUCT($H$10:$L$10,H113:L113)/SUM($H$10:$L$10)</x:f>
        <x:v>2.1516790557356593</x:v>
      </x:c>
      <x:c r="P113" s="59" t="n">
        <x:f>M113*O113+N113</x:f>
        <x:v>16266.326882176714</x:v>
      </x:c>
      <x:c r="Q113" s="59" t="n">
        <x:f>P113/(P113+'_曲线基线'!$L$2)</x:f>
        <x:v>0.4039684804073043</x:v>
      </x:c>
      <x:c r="R113" s="59" t="n">
        <x:f>E113*'模块规划'!$E$10+G113*'模块规划'!$E$11+H113*'模块规划'!$E$13</x:f>
        <x:v>5851.499739277514</x:v>
      </x:c>
      <x:c r="S113" s="59" t="n">
        <x:f>I113*'模块规划'!$E$15+J113*'模块规划'!$E$17+K113*'模块规划'!$E$16+L113*'模块规划'!$E$18</x:f>
        <x:v>11808.940889618978</x:v>
      </x:c>
      <x:c r="T113" s="59" t="n">
        <x:f>1+T$9*SUMPRODUCT($H$10:$L$10,H113:L113)/SUM($H$10:$L$10)</x:f>
        <x:v>2.1516790557356593</x:v>
      </x:c>
      <x:c r="U113" s="59" t="n">
        <x:f>R113*T113+S113</x:f>
        <x:v>24399.490323265076</x:v>
      </x:c>
      <x:c r="V113" s="59" t="n">
        <x:f>V$8+(V$9-V$8)*H113</x:f>
        <x:v>0.8414341293509267</x:v>
      </x:c>
      <x:c r="W113" s="59" t="n">
        <x:f>IF(B113&lt;$H$8,0,W$8+(W$9-W$8)*H113)</x:f>
        <x:v>0.188578839134569</x:v>
      </x:c>
      <x:c r="X113" s="59" t="n">
        <x:f>X$8+(X$9-X$8)*H113</x:f>
        <x:v>0.40464795190501623</x:v>
      </x:c>
      <x:c r="Y113" s="59" t="n">
        <x:f>Y$8+(Y$9-Y$8)*G113</x:f>
        <x:v>1</x:v>
      </x:c>
      <x:c r="Z113" s="59" t="n">
        <x:f>Z$8+(Z$9-Z$8)*H113</x:f>
        <x:v>1</x:v>
      </x:c>
      <x:c r="AA113" s="59" t="n">
        <x:f>AA$8+(AA$9-AA$8)*I113</x:f>
        <x:v>1</x:v>
      </x:c>
      <x:c r="AB113" s="59" t="n">
        <x:f>AB$8+(AB$9-AB$8)*J113</x:f>
        <x:v>1</x:v>
      </x:c>
      <x:c r="AC113" s="59" t="n">
        <x:f>AC$8+(AC$9-AC$8)*MAX(K113,L113)</x:f>
        <x:v>1</x:v>
      </x:c>
      <x:c r="AD113" s="59" t="n">
        <x:f>(V113*AE113+W113*AF113+X113*AG113)*PRODUCT(Y113:AC113)</x:f>
        <x:v>1.5267223557373413</x:v>
      </x:c>
      <x:c r="AE113" s="59" t="n">
        <x:f>1+AE$9*($H$10*H113+$I$10*I113+$J$10*J113+$K$10*K113+$L$10*L113)</x:f>
        <x:v>1</x:v>
      </x:c>
      <x:c r="AF113" s="59" t="n">
        <x:f>1+AF$9*($H$10*H113+$I$10*I113+$J$10*J113+$K$10*K113+$L$10*L113)</x:f>
        <x:v>1.1016461676722162</x:v>
      </x:c>
      <x:c r="AG113" s="59" t="n">
        <x:f>1+AG$9*($H$10*H113+$I$10*I113+$J$10*J113+$K$10*K113+$L$10*L113)</x:f>
        <x:v>1.1801395971524289</x:v>
      </x:c>
      <x:c r="AH113" s="59" t="n">
        <x:f>MIN(1,'_曲线基线'!$L$3+AH$9*($H$10*H113+$I$10*I113+$J$10*J113+$K$10*K113+$L$10*L113))</x:f>
        <x:v>0.28124503145429147</x:v>
      </x:c>
      <x:c r="AI113" s="59" t="n">
        <x:f>'_曲线基线'!$L$4+AI$9*($H$10*H113+$I$10*I113+$J$10*J113+$K$10*K113+$L$10*L113)</x:f>
        <x:v>2.6441825876226694</x:v>
      </x:c>
      <x:c r="AJ113" s="59" t="n">
        <x:f>1+AJ$9*($H$10*H113+$I$10*I113+$J$10*J113+$K$10*K113+$L$10*L113)</x:f>
        <x:v>1.5285600718955235</x:v>
      </x:c>
      <x:c r="AK113" s="59" t="n">
        <x:f>(1+AH113*(AI113-1))*AJ113</x:f>
        <x:v>2.2353940438229567</x:v>
      </x:c>
      <x:c r="AL113" s="59" t="n">
        <x:f>U113*AD113*AK113*F113</x:f>
        <x:v>416356.08220134873</x:v>
      </x:c>
      <x:c r="AM113" s="59" t="n">
        <x:f>IF($B113&lt;AM$8,0,AM$3+(AM$4-AM$3)*(POWER(AM$5,$B113-AM$8)-1)/(POWER(AM$5,$C$5-AM$8)-1))</x:f>
        <x:v>37.32496233109626</x:v>
      </x:c>
      <x:c r="AN113" s="59" t="n">
        <x:f>(((E113*'模块规划'!$D$10+G113*'模块规划'!$D$11+H113*'模块规划'!$D$13)*(1+'模块规划'!$G$14*H113)+(I113*'模块规划'!$D$15+J113*'模块规划'!$D$17+K113*'模块规划'!$D$16+L113*'模块规划'!$D$18))*(1+'模块规划'!$J$17*J113))*F113/(1-Q113)</x:f>
        <x:v>792319.1049332435</x:v>
      </x:c>
      <x:c r="AO113" s="59" t="n">
        <x:f>AL113*AM113</x:f>
        <x:v>15540475.084488159</x:v>
      </x:c>
      <x:c r="AP113" s="61" t="n">
        <x:f>IF(AO113="","",INDEX('_曲线基线'!$A$3:$A$502,MIN(ROWS('_曲线基线'!$A$3:$A$502),COUNTIF('_曲线基线'!$E$3:$E$502,"&lt;"&amp;AO113)+1)))</x:f>
        <x:v>167</x:v>
      </x:c>
      <x:c r="AQ113" s="61" t="n">
        <x:f>IF(B113&lt;=2,1,IF(B113&lt;=6,2,IF(B113&lt;=9,3,IF(B113&lt;=19,4,5))))</x:f>
        <x:v>5</x:v>
      </x:c>
      <x:c r="AR113" s="59" t="n">
        <x:f>AN113*(1-Q113)/F113*$AS$3+U113*$AS$4+P113*$AS$5</x:f>
        <x:v>7713.381025347129</x:v>
      </x:c>
      <x:c r="AS113" s="59" t="n">
        <x:f>1+AH113*$AS$6+AI113*$AS$7+(AJ113-1)*$AS$8+($H$10*H113+$I$10*I113+$J$10*J113+$K$10*K113+$L$10*L113)*$AU$3*$AS$9+($H$10*H113+$I$10*I113+$J$10*J113+$K$10*K113+$L$10*L113)*$AU$4*$AS$10</x:f>
        <x:v>11.055054013872926</x:v>
      </x:c>
      <x:c r="AT113" s="60" t="n">
        <x:f>ROUND(AR113*AS113,0)</x:f>
        <x:v>85272</x:v>
      </x:c>
      <x:c r="AU113" s="60" t="n">
        <x:f>ROUND(AT113*F113,0)</x:f>
        <x:v>426360</x:v>
      </x:c>
      <x:c r="AV113" s="60" t="n">
        <x:f>MIN(MATCH(B113,'主线调参'!$M$11:$M$62,1),ROWS('主线调参'!$M$11:$M$62)-1)</x:f>
        <x:v>29</x:v>
      </x:c>
      <x:c r="AW113" s="62" t="n">
        <x:f>(B113-INDEX('主线调参'!$M$11:$M$62,AV113))/(INDEX('主线调参'!$M$11:$M$62,AV113+1)-INDEX('主线调参'!$M$11:$M$62,AV113))</x:f>
        <x:v>0.14285714285714285</x:v>
      </x:c>
      <x:c r="AX113" s="60" t="n">
        <x:f>IF(AU113=0,0,ROUND(AU113,2-INT(LOG10(ABS(AU113)))))</x:f>
        <x:v>426000</x:v>
      </x:c>
      <x:c r="AY113" s="62" t="n">
        <x:f>AU113/AU112-1</x:f>
        <x:v>0.02151516603574688</x:v>
      </x:c>
    </x:row>
    <x:row r="114" ht="25" customHeight="1">
      <x:c r="A114" s="40" t="n">
        <x:f>'调前玩家曲线'!A114</x:f>
        <x:v>38</x:v>
      </x:c>
      <x:c r="B114" s="40" t="n">
        <x:f>'调前玩家曲线'!B114</x:f>
        <x:v>103</x:v>
      </x:c>
      <x:c r="C114" s="40" t="n">
        <x:f>'调前玩家曲线'!C114</x:f>
        <x:v>8</x:v>
      </x:c>
      <x:c r="D114" s="40" t="n">
        <x:f>'调前玩家曲线'!D114</x:f>
        <x:v>4</x:v>
      </x:c>
      <x:c r="E114" s="40" t="n">
        <x:f>'调前玩家曲线'!E114</x:f>
        <x:v>1</x:v>
      </x:c>
      <x:c r="F114" s="40" t="n">
        <x:f>'调前玩家曲线'!F114</x:f>
        <x:v>5</x:v>
      </x:c>
      <x:c r="G114" s="63" t="n">
        <x:f>IF(B114&lt;$G$8,0,(INDEX('主线调参'!$C$11:$C$62,$AV114)+(INDEX('主线调参'!$C$11:$C$62,$AV114+1)-INDEX('主线调参'!$C$11:$C$62,$AV114))*$AW114)*'参数说明'!$C$27)</x:f>
        <x:v>0.6071356735325748</x:v>
      </x:c>
      <x:c r="H114" s="63" t="n">
        <x:f>IF(B114&lt;$H$8,0,(INDEX('主线调参'!$D$11:$D$62,$AV114)+(INDEX('主线调参'!$D$11:$D$62,$AV114+1)-INDEX('主线调参'!$D$11:$D$62,$AV114))*$AW114)*'参数说明'!$D$27)</x:f>
        <x:v>0.4737528640862531</x:v>
      </x:c>
      <x:c r="I114" s="63" t="n">
        <x:f>IF(B114&lt;$I$8,0,(INDEX('主线调参'!$E$11:$E$62,$AV114)+(INDEX('主线调参'!$E$11:$E$62,$AV114+1)-INDEX('主线调参'!$E$11:$E$62,$AV114))*$AW114)*'参数说明'!$E$27)</x:f>
        <x:v>0.26960317156091734</x:v>
      </x:c>
      <x:c r="J114" s="63" t="n">
        <x:f>IF(B114&lt;$J$8,0,(INDEX('主线调参'!$F$11:$F$62,$AV114)+(INDEX('主线调参'!$F$11:$F$62,$AV114+1)-INDEX('主线调参'!$F$11:$F$62,$AV114))*$AW114)*'参数说明'!$F$27)</x:f>
        <x:v>0.3416744619014209</x:v>
      </x:c>
      <x:c r="K114" s="63" t="n">
        <x:f>IF(B114&lt;$K$8,0,(INDEX('主线调参'!$G$11:$G$62,$AV114)+(INDEX('主线调参'!$G$11:$G$62,$AV114+1)-INDEX('主线调参'!$G$11:$G$62,$AV114))*$AW114)*'参数说明'!$G$27)</x:f>
        <x:v>0.027136047089462042</x:v>
      </x:c>
      <x:c r="L114" s="63" t="n">
        <x:f>IF(B114&lt;$L$8,0,(INDEX('主线调参'!$H$11:$H$62,$AV114)+(INDEX('主线调参'!$H$11:$H$62,$AV114+1)-INDEX('主线调参'!$H$11:$H$62,$AV114))*$AW114)*'参数说明'!$H$27)</x:f>
        <x:v>0.45394894991274803</x:v>
      </x:c>
      <x:c r="M114" s="59" t="n">
        <x:f>E114*'模块规划'!$F$10+G114*'模块规划'!$F$11+H114*'模块规划'!$F$13</x:f>
        <x:v>3914.251232956359</x:v>
      </x:c>
      <x:c r="N114" s="59" t="n">
        <x:f>I114*'模块规划'!$F$15+J114*'模块规划'!$F$17+K114*'模块规划'!$F$16+L114*'模块规划'!$F$18</x:f>
        <x:v>8006.131023602062</x:v>
      </x:c>
      <x:c r="O114" s="59" t="n">
        <x:f>1+O$9*SUMPRODUCT($H$10:$L$10,H114:L114)/SUM($H$10:$L$10)</x:f>
        <x:v>2.1669779096705026</x:v>
      </x:c>
      <x:c r="P114" s="59" t="n">
        <x:f>M114*O114+N114</x:f>
        <x:v>16488.22697831902</x:v>
      </x:c>
      <x:c r="Q114" s="59" t="n">
        <x:f>P114/(P114+'_曲线基线'!$L$2)</x:f>
        <x:v>0.4072350954549893</x:v>
      </x:c>
      <x:c r="R114" s="59" t="n">
        <x:f>E114*'模块规划'!$E$10+G114*'模块规划'!$E$11+H114*'模块规划'!$E$13</x:f>
        <x:v>5871.376849434539</x:v>
      </x:c>
      <x:c r="S114" s="59" t="n">
        <x:f>I114*'模块规划'!$E$15+J114*'模块规划'!$E$17+K114*'模块规划'!$E$16+L114*'模块规划'!$E$18</x:f>
        <x:v>12009.19653540309</x:v>
      </x:c>
      <x:c r="T114" s="59" t="n">
        <x:f>1+T$9*SUMPRODUCT($H$10:$L$10,H114:L114)/SUM($H$10:$L$10)</x:f>
        <x:v>2.1669779096705026</x:v>
      </x:c>
      <x:c r="U114" s="59" t="n">
        <x:f>R114*T114+S114</x:f>
        <x:v>24732.340467478527</x:v>
      </x:c>
      <x:c r="V114" s="59" t="n">
        <x:f>V$8+(V$9-V$8)*H114</x:f>
        <x:v>0.8421258592258759</x:v>
      </x:c>
      <x:c r="W114" s="59" t="n">
        <x:f>IF(B114&lt;$H$8,0,W$8+(W$9-W$8)*H114)</x:f>
        <x:v>0.18950114563450127</x:v>
      </x:c>
      <x:c r="X114" s="59" t="n">
        <x:f>X$8+(X$9-X$8)*H114</x:f>
        <x:v>0.4052820376237196</x:v>
      </x:c>
      <x:c r="Y114" s="59" t="n">
        <x:f>Y$8+(Y$9-Y$8)*G114</x:f>
        <x:v>1</x:v>
      </x:c>
      <x:c r="Z114" s="59" t="n">
        <x:f>Z$8+(Z$9-Z$8)*H114</x:f>
        <x:v>1</x:v>
      </x:c>
      <x:c r="AA114" s="59" t="n">
        <x:f>AA$8+(AA$9-AA$8)*I114</x:f>
        <x:v>1</x:v>
      </x:c>
      <x:c r="AB114" s="59" t="n">
        <x:f>AB$8+(AB$9-AB$8)*J114</x:f>
        <x:v>1</x:v>
      </x:c>
      <x:c r="AC114" s="59" t="n">
        <x:f>AC$8+(AC$9-AC$8)*MAX(K114,L114)</x:f>
        <x:v>1</x:v>
      </x:c>
      <x:c r="AD114" s="59" t="n">
        <x:f>(V114*AE114+W114*AF114+X114*AG114)*PRODUCT(Y114:AC114)</x:f>
        <x:v>1.5304041534594401</x:v>
      </x:c>
      <x:c r="AE114" s="59" t="n">
        <x:f>1+AE$9*($H$10*H114+$I$10*I114+$J$10*J114+$K$10*K114+$L$10*L114)</x:f>
        <x:v>1</x:v>
      </x:c>
      <x:c r="AF114" s="59" t="n">
        <x:f>1+AF$9*($H$10*H114+$I$10*I114+$J$10*J114+$K$10*K114+$L$10*L114)</x:f>
        <x:v>1.102996430893996</x:v>
      </x:c>
      <x:c r="AG114" s="59" t="n">
        <x:f>1+AG$9*($H$10*H114+$I$10*I114+$J$10*J114+$K$10*K114+$L$10*L114)</x:f>
        <x:v>1.1825325636399162</x:v>
      </x:c>
      <x:c r="AH114" s="59" t="n">
        <x:f>MIN(1,'_曲线基线'!$L$3+AH$9*($H$10*H114+$I$10*I114+$J$10*J114+$K$10*K114+$L$10*L114))</x:f>
        <x:v>0.28431688028384033</x:v>
      </x:c>
      <x:c r="AI114" s="59" t="n">
        <x:f>'_曲线基线'!$L$4+AI$9*($H$10*H114+$I$10*I114+$J$10*J114+$K$10*K114+$L$10*L114)</x:f>
        <x:v>2.652739880790698</x:v>
      </x:c>
      <x:c r="AJ114" s="59" t="n">
        <x:f>1+AJ$9*($H$10*H114+$I$10*I114+$J$10*J114+$K$10*K114+$L$10*L114)</x:f>
        <x:v>1.535581440648778</x:v>
      </x:c>
      <x:c r="AK114" s="59" t="n">
        <x:f>(1+AH114*(AI114-1))*AJ114</x:f>
        <x:v>2.2571539955630535</x:v>
      </x:c>
      <x:c r="AL114" s="59" t="n">
        <x:f>U114*AD114*AK114*F114</x:f>
        <x:v>427171.77218970197</x:v>
      </x:c>
      <x:c r="AM114" s="59" t="n">
        <x:f>IF($B114&lt;AM$8,0,AM$3+(AM$4-AM$3)*(POWER(AM$5,$B114-AM$8)-1)/(POWER(AM$5,$C$5-AM$8)-1))</x:f>
        <x:v>37.361636594329084</x:v>
      </x:c>
      <x:c r="AN114" s="59" t="n">
        <x:f>(((E114*'模块规划'!$D$10+G114*'模块规划'!$D$11+H114*'模块规划'!$D$13)*(1+'模块规划'!$G$14*H114)+(I114*'模块规划'!$D$15+J114*'模块规划'!$D$17+K114*'模块规划'!$D$16+L114*'模块规划'!$D$18))*(1+'模块规划'!$J$17*J114))*F114/(1-Q114)</x:f>
        <x:v>808123.253655679</x:v>
      </x:c>
      <x:c r="AO114" s="59" t="n">
        <x:f>AL114*AM114</x:f>
        <x:v>15959836.515907176</x:v>
      </x:c>
      <x:c r="AP114" s="61" t="n">
        <x:f>IF(AO114="","",INDEX('_曲线基线'!$A$3:$A$502,MIN(ROWS('_曲线基线'!$A$3:$A$502),COUNTIF('_曲线基线'!$E$3:$E$502,"&lt;"&amp;AO114)+1)))</x:f>
        <x:v>169</x:v>
      </x:c>
      <x:c r="AQ114" s="61" t="n">
        <x:f>IF(B114&lt;=2,1,IF(B114&lt;=6,2,IF(B114&lt;=9,3,IF(B114&lt;=19,4,5))))</x:f>
        <x:v>5</x:v>
      </x:c>
      <x:c r="AR114" s="59" t="n">
        <x:f>AN114*(1-Q114)/F114*$AS$3+U114*$AS$4+P114*$AS$5</x:f>
        <x:v>7820.630713378578</x:v>
      </x:c>
      <x:c r="AS114" s="59" t="n">
        <x:f>1+AH114*$AS$6+AI114*$AS$7+(AJ114-1)*$AS$8+($H$10*H114+$I$10*I114+$J$10*J114+$K$10*K114+$L$10*L114)*$AU$3*$AS$9+($H$10*H114+$I$10*I114+$J$10*J114+$K$10*K114+$L$10*L114)*$AU$4*$AS$10</x:f>
        <x:v>11.13573377561085</x:v>
      </x:c>
      <x:c r="AT114" s="60" t="n">
        <x:f>ROUND(AR114*AS114,0)</x:f>
        <x:v>87088</x:v>
      </x:c>
      <x:c r="AU114" s="60" t="n">
        <x:f>ROUND(AT114*F114,0)</x:f>
        <x:v>435440</x:v>
      </x:c>
      <x:c r="AV114" s="60" t="n">
        <x:f>MIN(MATCH(B114,'主线调参'!$M$11:$M$62,1),ROWS('主线调参'!$M$11:$M$62)-1)</x:f>
        <x:v>29</x:v>
      </x:c>
      <x:c r="AW114" s="62" t="n">
        <x:f>(B114-INDEX('主线调参'!$M$11:$M$62,AV114))/(INDEX('主线调参'!$M$11:$M$62,AV114+1)-INDEX('主线调参'!$M$11:$M$62,AV114))</x:f>
        <x:v>0.21428571428571427</x:v>
      </x:c>
      <x:c r="AX114" s="60" t="n">
        <x:f>IF(AU114=0,0,ROUND(AU114,2-INT(LOG10(ABS(AU114)))))</x:f>
        <x:v>435000</x:v>
      </x:c>
      <x:c r="AY114" s="62" t="n">
        <x:f>AU114/AU113-1</x:f>
        <x:v>0.0212965569002721</x:v>
      </x:c>
    </x:row>
    <x:row r="115" ht="25" customHeight="1">
      <x:c r="A115" s="40" t="n">
        <x:f>'调前玩家曲线'!A115</x:f>
        <x:v>38</x:v>
      </x:c>
      <x:c r="B115" s="40" t="n">
        <x:f>'调前玩家曲线'!B115</x:f>
        <x:v>104</x:v>
      </x:c>
      <x:c r="C115" s="40" t="n">
        <x:f>'调前玩家曲线'!C115</x:f>
        <x:v>8</x:v>
      </x:c>
      <x:c r="D115" s="40" t="n">
        <x:f>'调前玩家曲线'!D115</x:f>
        <x:v>5</x:v>
      </x:c>
      <x:c r="E115" s="40" t="n">
        <x:f>'调前玩家曲线'!E115</x:f>
        <x:v>1</x:v>
      </x:c>
      <x:c r="F115" s="40" t="n">
        <x:f>'调前玩家曲线'!F115</x:f>
        <x:v>5</x:v>
      </x:c>
      <x:c r="G115" s="63" t="n">
        <x:f>IF(B115&lt;$G$8,0,(INDEX('主线调参'!$C$11:$C$62,$AV115)+(INDEX('主线调参'!$C$11:$C$62,$AV115+1)-INDEX('主线调参'!$C$11:$C$62,$AV115))*$AW115)*'参数说明'!$C$27)</x:f>
        <x:v>0.6098963832766059</x:v>
      </x:c>
      <x:c r="H115" s="63" t="n">
        <x:f>IF(B115&lt;$H$8,0,(INDEX('主线调参'!$D$11:$D$62,$AV115)+(INDEX('主线调参'!$D$11:$D$62,$AV115+1)-INDEX('主线调参'!$D$11:$D$62,$AV115))*$AW115)*'参数说明'!$D$27)</x:f>
        <x:v>0.47605863033608364</x:v>
      </x:c>
      <x:c r="I115" s="63" t="n">
        <x:f>IF(B115&lt;$I$8,0,(INDEX('主线调参'!$E$11:$E$62,$AV115)+(INDEX('主线调参'!$E$11:$E$62,$AV115+1)-INDEX('主线调参'!$E$11:$E$62,$AV115))*$AW115)*'参数说明'!$E$27)</x:f>
        <x:v>0.27438780674829416</x:v>
      </x:c>
      <x:c r="J115" s="63" t="n">
        <x:f>IF(B115&lt;$J$8,0,(INDEX('主线调参'!$F$11:$F$62,$AV115)+(INDEX('主线调参'!$F$11:$F$62,$AV115+1)-INDEX('主线调参'!$F$11:$F$62,$AV115))*$AW115)*'参数说明'!$F$27)</x:f>
        <x:v>0.34446015977324185</x:v>
      </x:c>
      <x:c r="K115" s="63" t="n">
        <x:f>IF(B115&lt;$K$8,0,(INDEX('主线调参'!$G$11:$G$62,$AV115)+(INDEX('主线调参'!$G$11:$G$62,$AV115+1)-INDEX('主线调参'!$G$11:$G$62,$AV115))*$AW115)*'参数说明'!$G$27)</x:f>
        <x:v>0.03618139611928272</x:v>
      </x:c>
      <x:c r="L115" s="63" t="n">
        <x:f>IF(B115&lt;$L$8,0,(INDEX('主线调参'!$H$11:$H$62,$AV115)+(INDEX('主线调参'!$H$11:$H$62,$AV115+1)-INDEX('主线调参'!$H$11:$H$62,$AV115))*$AW115)*'参数说明'!$H$27)</x:f>
        <x:v>0.45656847180473376</x:v>
      </x:c>
      <x:c r="M115" s="59" t="n">
        <x:f>E115*'模块规划'!$F$10+G115*'模块规划'!$F$11+H115*'模块规划'!$F$13</x:f>
        <x:v>3927.5026397277084</x:v>
      </x:c>
      <x:c r="N115" s="59" t="n">
        <x:f>I115*'模块规划'!$F$15+J115*'模块规划'!$F$17+K115*'模块规划'!$F$16+L115*'模块规划'!$F$18</x:f>
        <x:v>8139.634787458138</x:v>
      </x:c>
      <x:c r="O115" s="59" t="n">
        <x:f>1+O$9*SUMPRODUCT($H$10:$L$10,H115:L115)/SUM($H$10:$L$10)</x:f>
        <x:v>2.182276763605346</x:v>
      </x:c>
      <x:c r="P115" s="59" t="n">
        <x:f>M115*O115+N115</x:f>
        <x:v>16710.532537134575</x:v>
      </x:c>
      <x:c r="Q115" s="59" t="n">
        <x:f>P115/(P115+'_曲线基线'!$L$2)</x:f>
        <x:v>0.41047197115124623</x:v>
      </x:c>
      <x:c r="R115" s="59" t="n">
        <x:f>E115*'模块规划'!$E$10+G115*'模块规划'!$E$11+H115*'模块规划'!$E$13</x:f>
        <x:v>5891.253959591562</x:v>
      </x:c>
      <x:c r="S115" s="59" t="n">
        <x:f>I115*'模块规划'!$E$15+J115*'模块规划'!$E$17+K115*'模块规划'!$E$16+L115*'模块规划'!$E$18</x:f>
        <x:v>12209.452181187207</x:v>
      </x:c>
      <x:c r="T115" s="59" t="n">
        <x:f>1+T$9*SUMPRODUCT($H$10:$L$10,H115:L115)/SUM($H$10:$L$10)</x:f>
        <x:v>2.182276763605346</x:v>
      </x:c>
      <x:c r="U115" s="59" t="n">
        <x:f>R115*T115+S115</x:f>
        <x:v>25065.79880570186</x:v>
      </x:c>
      <x:c r="V115" s="59" t="n">
        <x:f>V$8+(V$9-V$8)*H115</x:f>
        <x:v>0.842817589100825</x:v>
      </x:c>
      <x:c r="W115" s="59" t="n">
        <x:f>IF(B115&lt;$H$8,0,W$8+(W$9-W$8)*H115)</x:f>
        <x:v>0.19042345213443346</x:v>
      </x:c>
      <x:c r="X115" s="59" t="n">
        <x:f>X$8+(X$9-X$8)*H115</x:f>
        <x:v>0.405916123342423</x:v>
      </x:c>
      <x:c r="Y115" s="59" t="n">
        <x:f>Y$8+(Y$9-Y$8)*G115</x:f>
        <x:v>1</x:v>
      </x:c>
      <x:c r="Z115" s="59" t="n">
        <x:f>Z$8+(Z$9-Z$8)*H115</x:f>
        <x:v>1</x:v>
      </x:c>
      <x:c r="AA115" s="59" t="n">
        <x:f>AA$8+(AA$9-AA$8)*I115</x:f>
        <x:v>1</x:v>
      </x:c>
      <x:c r="AB115" s="59" t="n">
        <x:f>AB$8+(AB$9-AB$8)*J115</x:f>
        <x:v>1</x:v>
      </x:c>
      <x:c r="AC115" s="59" t="n">
        <x:f>AC$8+(AC$9-AC$8)*MAX(K115,L115)</x:f>
        <x:v>1</x:v>
      </x:c>
      <x:c r="AD115" s="59" t="n">
        <x:f>(V115*AE115+W115*AF115+X115*AG115)*PRODUCT(Y115:AC115)</x:f>
        <x:v>1.5340914765863813</x:v>
      </x:c>
      <x:c r="AE115" s="59" t="n">
        <x:f>1+AE$9*($H$10*H115+$I$10*I115+$J$10*J115+$K$10*K115+$L$10*L115)</x:f>
        <x:v>1</x:v>
      </x:c>
      <x:c r="AF115" s="59" t="n">
        <x:f>1+AF$9*($H$10*H115+$I$10*I115+$J$10*J115+$K$10*K115+$L$10*L115)</x:f>
        <x:v>1.1043466941157756</x:v>
      </x:c>
      <x:c r="AG115" s="59" t="n">
        <x:f>1+AG$9*($H$10*H115+$I$10*I115+$J$10*J115+$K$10*K115+$L$10*L115)</x:f>
        <x:v>1.1849255301274035</x:v>
      </x:c>
      <x:c r="AH115" s="59" t="n">
        <x:f>MIN(1,'_曲线基线'!$L$3+AH$9*($H$10*H115+$I$10*I115+$J$10*J115+$K$10*K115+$L$10*L115))</x:f>
        <x:v>0.2873887291133891</x:v>
      </x:c>
      <x:c r="AI115" s="59" t="n">
        <x:f>'_曲线基线'!$L$4+AI$9*($H$10*H115+$I$10*I115+$J$10*J115+$K$10*K115+$L$10*L115)</x:f>
        <x:v>2.661297173958727</x:v>
      </x:c>
      <x:c r="AJ115" s="59" t="n">
        <x:f>1+AJ$9*($H$10*H115+$I$10*I115+$J$10*J115+$K$10*K115+$L$10*L115)</x:f>
        <x:v>1.5426028094020323</x:v>
      </x:c>
      <x:c r="AK115" s="59" t="n">
        <x:f>(1+AH115*(AI115-1))*AJ115</x:f>
        <x:v>2.2791001383303056</x:v>
      </x:c>
      <x:c r="AL115" s="59" t="n">
        <x:f>U115*AD115*AK115*F115</x:f>
        <x:v>438193.78970775864</x:v>
      </x:c>
      <x:c r="AM115" s="59" t="n">
        <x:f>IF($B115&lt;AM$8,0,AM$3+(AM$4-AM$3)*(POWER(AM$5,$B115-AM$8)-1)/(POWER(AM$5,$C$5-AM$8)-1))</x:f>
        <x:v>37.39867760019425</x:v>
      </x:c>
      <x:c r="AN115" s="59" t="n">
        <x:f>(((E115*'模块规划'!$D$10+G115*'模块规划'!$D$11+H115*'模块规划'!$D$13)*(1+'模块规划'!$G$14*H115)+(I115*'模块规划'!$D$15+J115*'模块规划'!$D$17+K115*'模块规划'!$D$16+L115*'模块规划'!$D$18))*(1+'模块规划'!$J$17*J115))*F115/(1-Q115)</x:f>
        <x:v>824109.7834328178</x:v>
      </x:c>
      <x:c r="AO115" s="59" t="n">
        <x:f>AL115*AM115</x:f>
        <x:v>16387868.26768778</x:v>
      </x:c>
      <x:c r="AP115" s="61" t="n">
        <x:f>IF(AO115="","",INDEX('_曲线基线'!$A$3:$A$502,MIN(ROWS('_曲线基线'!$A$3:$A$502),COUNTIF('_曲线基线'!$E$3:$E$502,"&lt;"&amp;AO115)+1)))</x:f>
        <x:v>170</x:v>
      </x:c>
      <x:c r="AQ115" s="61" t="n">
        <x:f>IF(B115&lt;=2,1,IF(B115&lt;=6,2,IF(B115&lt;=9,3,IF(B115&lt;=19,4,5))))</x:f>
        <x:v>5</x:v>
      </x:c>
      <x:c r="AR115" s="59" t="n">
        <x:f>AN115*(1-Q115)/F115*$AS$3+U115*$AS$4+P115*$AS$5</x:f>
        <x:v>7928.174658233106</x:v>
      </x:c>
      <x:c r="AS115" s="59" t="n">
        <x:f>1+AH115*$AS$6+AI115*$AS$7+(AJ115-1)*$AS$8+($H$10*H115+$I$10*I115+$J$10*J115+$K$10*K115+$L$10*L115)*$AU$3*$AS$9+($H$10*H115+$I$10*I115+$J$10*J115+$K$10*K115+$L$10*L115)*$AU$4*$AS$10</x:f>
        <x:v>11.216413537348773</x:v>
      </x:c>
      <x:c r="AT115" s="60" t="n">
        <x:f>ROUND(AR115*AS115,0)</x:f>
        <x:v>88926</x:v>
      </x:c>
      <x:c r="AU115" s="60" t="n">
        <x:f>ROUND(AT115*F115,0)</x:f>
        <x:v>444630</x:v>
      </x:c>
      <x:c r="AV115" s="60" t="n">
        <x:f>MIN(MATCH(B115,'主线调参'!$M$11:$M$62,1),ROWS('主线调参'!$M$11:$M$62)-1)</x:f>
        <x:v>29</x:v>
      </x:c>
      <x:c r="AW115" s="62" t="n">
        <x:f>(B115-INDEX('主线调参'!$M$11:$M$62,AV115))/(INDEX('主线调参'!$M$11:$M$62,AV115+1)-INDEX('主线调参'!$M$11:$M$62,AV115))</x:f>
        <x:v>0.2857142857142857</x:v>
      </x:c>
      <x:c r="AX115" s="60" t="n">
        <x:f>IF(AU115=0,0,ROUND(AU115,2-INT(LOG10(ABS(AU115)))))</x:f>
        <x:v>445000</x:v>
      </x:c>
      <x:c r="AY115" s="62" t="n">
        <x:f>AU115/AU114-1</x:f>
        <x:v>0.021105089105272867</x:v>
      </x:c>
    </x:row>
    <x:row r="116" ht="25" customHeight="1">
      <x:c r="A116" s="40" t="n">
        <x:f>'调前玩家曲线'!A116</x:f>
        <x:v>39</x:v>
      </x:c>
      <x:c r="B116" s="40" t="n">
        <x:f>'调前玩家曲线'!B116</x:f>
        <x:v>105</x:v>
      </x:c>
      <x:c r="C116" s="40" t="n">
        <x:f>'调前玩家曲线'!C116</x:f>
        <x:v>8</x:v>
      </x:c>
      <x:c r="D116" s="40" t="n">
        <x:f>'调前玩家曲线'!D116</x:f>
        <x:v>6</x:v>
      </x:c>
      <x:c r="E116" s="40" t="n">
        <x:f>'调前玩家曲线'!E116</x:f>
        <x:v>1</x:v>
      </x:c>
      <x:c r="F116" s="40" t="n">
        <x:f>'调前玩家曲线'!F116</x:f>
        <x:v>5</x:v>
      </x:c>
      <x:c r="G116" s="63" t="n">
        <x:f>IF(B116&lt;$G$8,0,(INDEX('主线调参'!$C$11:$C$62,$AV116)+(INDEX('主线调参'!$C$11:$C$62,$AV116+1)-INDEX('主线调参'!$C$11:$C$62,$AV116))*$AW116)*'参数说明'!$C$27)</x:f>
        <x:v>0.6126570930206371</x:v>
      </x:c>
      <x:c r="H116" s="63" t="n">
        <x:f>IF(B116&lt;$H$8,0,(INDEX('主线调参'!$D$11:$D$62,$AV116)+(INDEX('主线调参'!$D$11:$D$62,$AV116+1)-INDEX('主线调参'!$D$11:$D$62,$AV116))*$AW116)*'参数说明'!$D$27)</x:f>
        <x:v>0.4783643965859143</x:v>
      </x:c>
      <x:c r="I116" s="63" t="n">
        <x:f>IF(B116&lt;$I$8,0,(INDEX('主线调参'!$E$11:$E$62,$AV116)+(INDEX('主线调参'!$E$11:$E$62,$AV116+1)-INDEX('主线调参'!$E$11:$E$62,$AV116))*$AW116)*'参数说明'!$E$27)</x:f>
        <x:v>0.27917244193567103</x:v>
      </x:c>
      <x:c r="J116" s="63" t="n">
        <x:f>IF(B116&lt;$J$8,0,(INDEX('主线调参'!$F$11:$F$62,$AV116)+(INDEX('主线调参'!$F$11:$F$62,$AV116+1)-INDEX('主线调参'!$F$11:$F$62,$AV116))*$AW116)*'参数说明'!$F$27)</x:f>
        <x:v>0.34724585764506277</x:v>
      </x:c>
      <x:c r="K116" s="63" t="n">
        <x:f>IF(B116&lt;$K$8,0,(INDEX('主线调参'!$G$11:$G$62,$AV116)+(INDEX('主线调参'!$G$11:$G$62,$AV116+1)-INDEX('主线调参'!$G$11:$G$62,$AV116))*$AW116)*'参数说明'!$G$27)</x:f>
        <x:v>0.04522674514910341</x:v>
      </x:c>
      <x:c r="L116" s="63" t="n">
        <x:f>IF(B116&lt;$L$8,0,(INDEX('主线调参'!$H$11:$H$62,$AV116)+(INDEX('主线调参'!$H$11:$H$62,$AV116+1)-INDEX('主线调参'!$H$11:$H$62,$AV116))*$AW116)*'参数说明'!$H$27)</x:f>
        <x:v>0.4591879936967196</x:v>
      </x:c>
      <x:c r="M116" s="59" t="n">
        <x:f>E116*'模块规划'!$F$10+G116*'模块规划'!$F$11+H116*'模块规划'!$F$13</x:f>
        <x:v>3940.754046499058</x:v>
      </x:c>
      <x:c r="N116" s="59" t="n">
        <x:f>I116*'模块规划'!$F$15+J116*'模块规划'!$F$17+K116*'模块规划'!$F$16+L116*'模块规划'!$F$18</x:f>
        <x:v>8273.138551314216</x:v>
      </x:c>
      <x:c r="O116" s="59" t="n">
        <x:f>1+O$9*SUMPRODUCT($H$10:$L$10,H116:L116)/SUM($H$10:$L$10)</x:f>
        <x:v>2.1975756175401893</x:v>
      </x:c>
      <x:c r="P116" s="59" t="n">
        <x:f>M116*O116+N116</x:f>
        <x:v>16933.243558623384</x:v>
      </x:c>
      <x:c r="Q116" s="59" t="n">
        <x:f>P116/(P116+'_曲线基线'!$L$2)</x:f>
        <x:v>0.4136794958447916</x:v>
      </x:c>
      <x:c r="R116" s="59" t="n">
        <x:f>E116*'模块规划'!$E$10+G116*'模块规划'!$E$11+H116*'模块规划'!$E$13</x:f>
        <x:v>5911.131069748587</x:v>
      </x:c>
      <x:c r="S116" s="59" t="n">
        <x:f>I116*'模块规划'!$E$15+J116*'模块规划'!$E$17+K116*'模块规划'!$E$16+L116*'模块规划'!$E$18</x:f>
        <x:v>12409.70782697132</x:v>
      </x:c>
      <x:c r="T116" s="59" t="n">
        <x:f>1+T$9*SUMPRODUCT($H$10:$L$10,H116:L116)/SUM($H$10:$L$10)</x:f>
        <x:v>2.1975756175401893</x:v>
      </x:c>
      <x:c r="U116" s="59" t="n">
        <x:f>R116*T116+S116</x:f>
        <x:v>25399.865337935073</x:v>
      </x:c>
      <x:c r="V116" s="59" t="n">
        <x:f>V$8+(V$9-V$8)*H116</x:f>
        <x:v>0.8435093189757743</x:v>
      </x:c>
      <x:c r="W116" s="59" t="n">
        <x:f>IF(B116&lt;$H$8,0,W$8+(W$9-W$8)*H116)</x:f>
        <x:v>0.19134575863436573</x:v>
      </x:c>
      <x:c r="X116" s="59" t="n">
        <x:f>X$8+(X$9-X$8)*H116</x:f>
        <x:v>0.4065502090611265</x:v>
      </x:c>
      <x:c r="Y116" s="59" t="n">
        <x:f>Y$8+(Y$9-Y$8)*G116</x:f>
        <x:v>1</x:v>
      </x:c>
      <x:c r="Z116" s="59" t="n">
        <x:f>Z$8+(Z$9-Z$8)*H116</x:f>
        <x:v>1</x:v>
      </x:c>
      <x:c r="AA116" s="59" t="n">
        <x:f>AA$8+(AA$9-AA$8)*I116</x:f>
        <x:v>1</x:v>
      </x:c>
      <x:c r="AB116" s="59" t="n">
        <x:f>AB$8+(AB$9-AB$8)*J116</x:f>
        <x:v>1</x:v>
      </x:c>
      <x:c r="AC116" s="59" t="n">
        <x:f>AC$8+(AC$9-AC$8)*MAX(K116,L116)</x:f>
        <x:v>1</x:v>
      </x:c>
      <x:c r="AD116" s="59" t="n">
        <x:f>(V116*AE116+W116*AF116+X116*AG116)*PRODUCT(Y116:AC116)</x:f>
        <x:v>1.5377843251181649</x:v>
      </x:c>
      <x:c r="AE116" s="59" t="n">
        <x:f>1+AE$9*($H$10*H116+$I$10*I116+$J$10*J116+$K$10*K116+$L$10*L116)</x:f>
        <x:v>1</x:v>
      </x:c>
      <x:c r="AF116" s="59" t="n">
        <x:f>1+AF$9*($H$10*H116+$I$10*I116+$J$10*J116+$K$10*K116+$L$10*L116)</x:f>
        <x:v>1.1056969573375552</x:v>
      </x:c>
      <x:c r="AG116" s="59" t="n">
        <x:f>1+AG$9*($H$10*H116+$I$10*I116+$J$10*J116+$K$10*K116+$L$10*L116)</x:f>
        <x:v>1.1873184966148909</x:v>
      </x:c>
      <x:c r="AH116" s="59" t="n">
        <x:f>MIN(1,'_曲线基线'!$L$3+AH$9*($H$10*H116+$I$10*I116+$J$10*J116+$K$10*K116+$L$10*L116))</x:f>
        <x:v>0.2904605779429379</x:v>
      </x:c>
      <x:c r="AI116" s="59" t="n">
        <x:f>'_曲线基线'!$L$4+AI$9*($H$10*H116+$I$10*I116+$J$10*J116+$K$10*K116+$L$10*L116)</x:f>
        <x:v>2.6698544671267554</x:v>
      </x:c>
      <x:c r="AJ116" s="59" t="n">
        <x:f>1+AJ$9*($H$10*H116+$I$10*I116+$J$10*J116+$K$10*K116+$L$10*L116)</x:f>
        <x:v>1.5496241781552866</x:v>
      </x:c>
      <x:c r="AK116" s="59" t="n">
        <x:f>(1+AH116*(AI116-1))*AJ116</x:f>
        <x:v>2.30123357953686</x:v>
      </x:c>
      <x:c r="AL116" s="59" t="n">
        <x:f>U116*AD116*AK116*F116</x:f>
        <x:v>449425.33502381237</x:v>
      </x:c>
      <x:c r="AM116" s="59" t="n">
        <x:f>IF($B116&lt;AM$8,0,AM$3+(AM$4-AM$3)*(POWER(AM$5,$B116-AM$8)-1)/(POWER(AM$5,$C$5-AM$8)-1))</x:f>
        <x:v>37.43608901611806</x:v>
      </x:c>
      <x:c r="AN116" s="59" t="n">
        <x:f>(((E116*'模块规划'!$D$10+G116*'模块规划'!$D$11+H116*'模块规划'!$D$13)*(1+'模块规划'!$G$14*H116)+(I116*'模块规划'!$D$15+J116*'模块规划'!$D$17+K116*'模块规划'!$D$16+L116*'模块规划'!$D$18))*(1+'模块规划'!$J$17*J116))*F116/(1-Q116)</x:f>
        <x:v>840279.8623242285</x:v>
      </x:c>
      <x:c r="AO116" s="59" t="n">
        <x:f>AL116*AM116</x:f>
        <x:v>16824726.84805012</x:v>
      </x:c>
      <x:c r="AP116" s="61" t="n">
        <x:f>IF(AO116="","",INDEX('_曲线基线'!$A$3:$A$502,MIN(ROWS('_曲线基线'!$A$3:$A$502),COUNTIF('_曲线基线'!$E$3:$E$502,"&lt;"&amp;AO116)+1)))</x:f>
        <x:v>172</x:v>
      </x:c>
      <x:c r="AQ116" s="61" t="n">
        <x:f>IF(B116&lt;=2,1,IF(B116&lt;=6,2,IF(B116&lt;=9,3,IF(B116&lt;=19,4,5))))</x:f>
        <x:v>5</x:v>
      </x:c>
      <x:c r="AR116" s="59" t="n">
        <x:f>AN116*(1-Q116)/F116*$AS$3+U116*$AS$4+P116*$AS$5</x:f>
        <x:v>8036.01294264348</x:v>
      </x:c>
      <x:c r="AS116" s="59" t="n">
        <x:f>1+AH116*$AS$6+AI116*$AS$7+(AJ116-1)*$AS$8+($H$10*H116+$I$10*I116+$J$10*J116+$K$10*K116+$L$10*L116)*$AU$3*$AS$9+($H$10*H116+$I$10*I116+$J$10*J116+$K$10*K116+$L$10*L116)*$AU$4*$AS$10</x:f>
        <x:v>11.297093299086692</x:v>
      </x:c>
      <x:c r="AT116" s="60" t="n">
        <x:f>ROUND(AR116*AS116,0)</x:f>
        <x:v>90784</x:v>
      </x:c>
      <x:c r="AU116" s="60" t="n">
        <x:f>ROUND(AT116*F116,0)</x:f>
        <x:v>453920</x:v>
      </x:c>
      <x:c r="AV116" s="60" t="n">
        <x:f>MIN(MATCH(B116,'主线调参'!$M$11:$M$62,1),ROWS('主线调参'!$M$11:$M$62)-1)</x:f>
        <x:v>29</x:v>
      </x:c>
      <x:c r="AW116" s="62" t="n">
        <x:f>(B116-INDEX('主线调参'!$M$11:$M$62,AV116))/(INDEX('主线调参'!$M$11:$M$62,AV116+1)-INDEX('主线调参'!$M$11:$M$62,AV116))</x:f>
        <x:v>0.35714285714285715</x:v>
      </x:c>
      <x:c r="AX116" s="60" t="n">
        <x:f>IF(AU116=0,0,ROUND(AU116,2-INT(LOG10(ABS(AU116)))))</x:f>
        <x:v>454000</x:v>
      </x:c>
      <x:c r="AY116" s="62" t="n">
        <x:f>AU116/AU115-1</x:f>
        <x:v>0.020893776848165846</x:v>
      </x:c>
    </x:row>
    <x:row r="117" ht="25" customHeight="1">
      <x:c r="A117" s="40" t="str">
        <x:f>'调前玩家曲线'!A117</x:f>
      </x:c>
      <x:c r="B117" s="40" t="n">
        <x:f>'调前玩家曲线'!B117</x:f>
        <x:v>106</x:v>
      </x:c>
      <x:c r="C117" s="40" t="n">
        <x:f>'调前玩家曲线'!C117</x:f>
        <x:v>8</x:v>
      </x:c>
      <x:c r="D117" s="40" t="n">
        <x:f>'调前玩家曲线'!D117</x:f>
        <x:v>7</x:v>
      </x:c>
      <x:c r="E117" s="40" t="n">
        <x:f>'调前玩家曲线'!E117</x:f>
        <x:v>1</x:v>
      </x:c>
      <x:c r="F117" s="40" t="n">
        <x:f>'调前玩家曲线'!F117</x:f>
        <x:v>5</x:v>
      </x:c>
      <x:c r="G117" s="63" t="n">
        <x:f>IF(B117&lt;$G$8,0,(INDEX('主线调参'!$C$11:$C$62,$AV117)+(INDEX('主线调参'!$C$11:$C$62,$AV117+1)-INDEX('主线调参'!$C$11:$C$62,$AV117))*$AW117)*'参数说明'!$C$27)</x:f>
        <x:v>0.6154178027646681</x:v>
      </x:c>
      <x:c r="H117" s="63" t="n">
        <x:f>IF(B117&lt;$H$8,0,(INDEX('主线调参'!$D$11:$D$62,$AV117)+(INDEX('主线调参'!$D$11:$D$62,$AV117+1)-INDEX('主线调参'!$D$11:$D$62,$AV117))*$AW117)*'参数说明'!$D$27)</x:f>
        <x:v>0.4806701628357449</x:v>
      </x:c>
      <x:c r="I117" s="63" t="n">
        <x:f>IF(B117&lt;$I$8,0,(INDEX('主线调参'!$E$11:$E$62,$AV117)+(INDEX('主线调参'!$E$11:$E$62,$AV117+1)-INDEX('主线调参'!$E$11:$E$62,$AV117))*$AW117)*'参数说明'!$E$27)</x:f>
        <x:v>0.2839570771230479</x:v>
      </x:c>
      <x:c r="J117" s="63" t="n">
        <x:f>IF(B117&lt;$J$8,0,(INDEX('主线调参'!$F$11:$F$62,$AV117)+(INDEX('主线调参'!$F$11:$F$62,$AV117+1)-INDEX('主线调参'!$F$11:$F$62,$AV117))*$AW117)*'参数说明'!$F$27)</x:f>
        <x:v>0.3500315555168837</x:v>
      </x:c>
      <x:c r="K117" s="63" t="n">
        <x:f>IF(B117&lt;$K$8,0,(INDEX('主线调参'!$G$11:$G$62,$AV117)+(INDEX('主线调参'!$G$11:$G$62,$AV117+1)-INDEX('主线调参'!$G$11:$G$62,$AV117))*$AW117)*'参数说明'!$G$27)</x:f>
        <x:v>0.054272094178924084</x:v>
      </x:c>
      <x:c r="L117" s="63" t="n">
        <x:f>IF(B117&lt;$L$8,0,(INDEX('主线调参'!$H$11:$H$62,$AV117)+(INDEX('主线调参'!$H$11:$H$62,$AV117+1)-INDEX('主线调参'!$H$11:$H$62,$AV117))*$AW117)*'参数说明'!$H$27)</x:f>
        <x:v>0.4618075155887053</x:v>
      </x:c>
      <x:c r="M117" s="59" t="n">
        <x:f>E117*'模块规划'!$F$10+G117*'模块规划'!$F$11+H117*'模块规划'!$F$13</x:f>
        <x:v>3954.0054532704066</x:v>
      </x:c>
      <x:c r="N117" s="59" t="n">
        <x:f>I117*'模块规划'!$F$15+J117*'模块规划'!$F$17+K117*'模块规划'!$F$16+L117*'模块规划'!$F$18</x:f>
        <x:v>8406.642315170291</x:v>
      </x:c>
      <x:c r="O117" s="59" t="n">
        <x:f>1+O$9*SUMPRODUCT($H$10:$L$10,H117:L117)/SUM($H$10:$L$10)</x:f>
        <x:v>2.2128744714750326</x:v>
      </x:c>
      <x:c r="P117" s="59" t="n">
        <x:f>M117*O117+N117</x:f>
        <x:v>17156.36004278544</x:v>
      </x:c>
      <x:c r="Q117" s="59" t="n">
        <x:f>P117/(P117+'_曲线基线'!$L$2)</x:f>
        <x:v>0.41685805122100167</x:v>
      </x:c>
      <x:c r="R117" s="59" t="n">
        <x:f>E117*'模块规划'!$E$10+G117*'模块规划'!$E$11+H117*'模块规划'!$E$13</x:f>
        <x:v>5931.00817990561</x:v>
      </x:c>
      <x:c r="S117" s="59" t="n">
        <x:f>I117*'模块规划'!$E$15+J117*'模块规划'!$E$17+K117*'模块规划'!$E$16+L117*'模块规划'!$E$18</x:f>
        <x:v>12609.963472755437</x:v>
      </x:c>
      <x:c r="T117" s="59" t="n">
        <x:f>1+T$9*SUMPRODUCT($H$10:$L$10,H117:L117)/SUM($H$10:$L$10)</x:f>
        <x:v>2.2128744714750326</x:v>
      </x:c>
      <x:c r="U117" s="59" t="n">
        <x:f>R117*T117+S117</x:f>
        <x:v>25734.54006417816</x:v>
      </x:c>
      <x:c r="V117" s="59" t="n">
        <x:f>V$8+(V$9-V$8)*H117</x:f>
        <x:v>0.8442010488507234</x:v>
      </x:c>
      <x:c r="W117" s="59" t="n">
        <x:f>IF(B117&lt;$H$8,0,W$8+(W$9-W$8)*H117)</x:f>
        <x:v>0.19226806513429795</x:v>
      </x:c>
      <x:c r="X117" s="59" t="n">
        <x:f>X$8+(X$9-X$8)*H117</x:f>
        <x:v>0.40718429477982987</x:v>
      </x:c>
      <x:c r="Y117" s="59" t="n">
        <x:f>Y$8+(Y$9-Y$8)*G117</x:f>
        <x:v>1</x:v>
      </x:c>
      <x:c r="Z117" s="59" t="n">
        <x:f>Z$8+(Z$9-Z$8)*H117</x:f>
        <x:v>1</x:v>
      </x:c>
      <x:c r="AA117" s="59" t="n">
        <x:f>AA$8+(AA$9-AA$8)*I117</x:f>
        <x:v>1</x:v>
      </x:c>
      <x:c r="AB117" s="59" t="n">
        <x:f>AB$8+(AB$9-AB$8)*J117</x:f>
        <x:v>1</x:v>
      </x:c>
      <x:c r="AC117" s="59" t="n">
        <x:f>AC$8+(AC$9-AC$8)*MAX(K117,L117)</x:f>
        <x:v>1</x:v>
      </x:c>
      <x:c r="AD117" s="59" t="n">
        <x:f>(V117*AE117+W117*AF117+X117*AG117)*PRODUCT(Y117:AC117)</x:f>
        <x:v>1.5414826990547907</x:v>
      </x:c>
      <x:c r="AE117" s="59" t="n">
        <x:f>1+AE$9*($H$10*H117+$I$10*I117+$J$10*J117+$K$10*K117+$L$10*L117)</x:f>
        <x:v>1</x:v>
      </x:c>
      <x:c r="AF117" s="59" t="n">
        <x:f>1+AF$9*($H$10*H117+$I$10*I117+$J$10*J117+$K$10*K117+$L$10*L117)</x:f>
        <x:v>1.107047220559335</x:v>
      </x:c>
      <x:c r="AG117" s="59" t="n">
        <x:f>1+AG$9*($H$10*H117+$I$10*I117+$J$10*J117+$K$10*K117+$L$10*L117)</x:f>
        <x:v>1.1897114631023784</x:v>
      </x:c>
      <x:c r="AH117" s="59" t="n">
        <x:f>MIN(1,'_曲线基线'!$L$3+AH$9*($H$10*H117+$I$10*I117+$J$10*J117+$K$10*K117+$L$10*L117))</x:f>
        <x:v>0.2935324267724867</x:v>
      </x:c>
      <x:c r="AI117" s="59" t="n">
        <x:f>'_曲线基线'!$L$4+AI$9*($H$10*H117+$I$10*I117+$J$10*J117+$K$10*K117+$L$10*L117)</x:f>
        <x:v>2.678411760294784</x:v>
      </x:c>
      <x:c r="AJ117" s="59" t="n">
        <x:f>1+AJ$9*($H$10*H117+$I$10*I117+$J$10*J117+$K$10*K117+$L$10*L117)</x:f>
        <x:v>1.5566455469085412</x:v>
      </x:c>
      <x:c r="AK117" s="59" t="n">
        <x:f>(1+AH117*(AI117-1))*AJ117</x:f>
        <x:v>2.3235554265948655</x:v>
      </x:c>
      <x:c r="AL117" s="59" t="n">
        <x:f>U117*AD117*AK117*F117</x:f>
        <x:v>460869.64729325706</x:v>
      </x:c>
      <x:c r="AM117" s="59" t="n">
        <x:f>IF($B117&lt;AM$8,0,AM$3+(AM$4-AM$3)*(POWER(AM$5,$B117-AM$8)-1)/(POWER(AM$5,$C$5-AM$8)-1))</x:f>
        <x:v>37.47387454620111</x:v>
      </x:c>
      <x:c r="AN117" s="59" t="n">
        <x:f>(((E117*'模块规划'!$D$10+G117*'模块规划'!$D$11+H117*'模块规划'!$D$13)*(1+'模块规划'!$G$14*H117)+(I117*'模块规划'!$D$15+J117*'模块规划'!$D$17+K117*'模块规划'!$D$16+L117*'模块规划'!$D$18))*(1+'模块规划'!$J$17*J117))*F117/(1-Q117)</x:f>
        <x:v>856634.6618184878</x:v>
      </x:c>
      <x:c r="AO117" s="59" t="n">
        <x:f>AL117*AM117</x:f>
        <x:v>17270571.344819468</x:v>
      </x:c>
      <x:c r="AP117" s="61" t="n">
        <x:f>IF(AO117="","",INDEX('_曲线基线'!$A$3:$A$502,MIN(ROWS('_曲线基线'!$A$3:$A$502),COUNTIF('_曲线基线'!$E$3:$E$502,"&lt;"&amp;AO117)+1)))</x:f>
        <x:v>174</x:v>
      </x:c>
      <x:c r="AQ117" s="61" t="n">
        <x:f>IF(B117&lt;=2,1,IF(B117&lt;=6,2,IF(B117&lt;=9,3,IF(B117&lt;=19,4,5))))</x:f>
        <x:v>5</x:v>
      </x:c>
      <x:c r="AR117" s="59" t="n">
        <x:f>AN117*(1-Q117)/F117*$AS$3+U117*$AS$4+P117*$AS$5</x:f>
        <x:v>8144.145649342459</x:v>
      </x:c>
      <x:c r="AS117" s="59" t="n">
        <x:f>1+AH117*$AS$6+AI117*$AS$7+(AJ117-1)*$AS$8+($H$10*H117+$I$10*I117+$J$10*J117+$K$10*K117+$L$10*L117)*$AU$3*$AS$9+($H$10*H117+$I$10*I117+$J$10*J117+$K$10*K117+$L$10*L117)*$AU$4*$AS$10</x:f>
        <x:v>11.377773060824616</x:v>
      </x:c>
      <x:c r="AT117" s="60" t="n">
        <x:f>ROUND(AR117*AS117,0)</x:f>
        <x:v>92662</x:v>
      </x:c>
      <x:c r="AU117" s="60" t="n">
        <x:f>ROUND(AT117*F117,0)</x:f>
        <x:v>463310</x:v>
      </x:c>
      <x:c r="AV117" s="60" t="n">
        <x:f>MIN(MATCH(B117,'主线调参'!$M$11:$M$62,1),ROWS('主线调参'!$M$11:$M$62)-1)</x:f>
        <x:v>29</x:v>
      </x:c>
      <x:c r="AW117" s="62" t="n">
        <x:f>(B117-INDEX('主线调参'!$M$11:$M$62,AV117))/(INDEX('主线调参'!$M$11:$M$62,AV117+1)-INDEX('主线调参'!$M$11:$M$62,AV117))</x:f>
        <x:v>0.42857142857142855</x:v>
      </x:c>
      <x:c r="AX117" s="60" t="n">
        <x:f>IF(AU117=0,0,ROUND(AU117,2-INT(LOG10(ABS(AU117)))))</x:f>
        <x:v>463000</x:v>
      </x:c>
      <x:c r="AY117" s="62" t="n">
        <x:f>AU117/AU116-1</x:f>
        <x:v>0.02068646457525558</x:v>
      </x:c>
    </x:row>
    <x:row r="118" ht="25" customHeight="1">
      <x:c r="A118" s="40" t="str">
        <x:f>'调前玩家曲线'!A118</x:f>
      </x:c>
      <x:c r="B118" s="40" t="n">
        <x:f>'调前玩家曲线'!B118</x:f>
        <x:v>107</x:v>
      </x:c>
      <x:c r="C118" s="40" t="n">
        <x:f>'调前玩家曲线'!C118</x:f>
        <x:v>8</x:v>
      </x:c>
      <x:c r="D118" s="40" t="n">
        <x:f>'调前玩家曲线'!D118</x:f>
        <x:v>8</x:v>
      </x:c>
      <x:c r="E118" s="40" t="n">
        <x:f>'调前玩家曲线'!E118</x:f>
        <x:v>1</x:v>
      </x:c>
      <x:c r="F118" s="40" t="n">
        <x:f>'调前玩家曲线'!F118</x:f>
        <x:v>5</x:v>
      </x:c>
      <x:c r="G118" s="63" t="n">
        <x:f>IF(B118&lt;$G$8,0,(INDEX('主线调参'!$C$11:$C$62,$AV118)+(INDEX('主线调参'!$C$11:$C$62,$AV118+1)-INDEX('主线调参'!$C$11:$C$62,$AV118))*$AW118)*'参数说明'!$C$27)</x:f>
        <x:v>0.6181785125086993</x:v>
      </x:c>
      <x:c r="H118" s="63" t="n">
        <x:f>IF(B118&lt;$H$8,0,(INDEX('主线调参'!$D$11:$D$62,$AV118)+(INDEX('主线调参'!$D$11:$D$62,$AV118+1)-INDEX('主线调参'!$D$11:$D$62,$AV118))*$AW118)*'参数说明'!$D$27)</x:f>
        <x:v>0.4829759290855755</x:v>
      </x:c>
      <x:c r="I118" s="63" t="n">
        <x:f>IF(B118&lt;$I$8,0,(INDEX('主线调参'!$E$11:$E$62,$AV118)+(INDEX('主线调参'!$E$11:$E$62,$AV118+1)-INDEX('主线调参'!$E$11:$E$62,$AV118))*$AW118)*'参数说明'!$E$27)</x:f>
        <x:v>0.2887417123104247</x:v>
      </x:c>
      <x:c r="J118" s="63" t="n">
        <x:f>IF(B118&lt;$J$8,0,(INDEX('主线调参'!$F$11:$F$62,$AV118)+(INDEX('主线调参'!$F$11:$F$62,$AV118+1)-INDEX('主线调参'!$F$11:$F$62,$AV118))*$AW118)*'参数说明'!$F$27)</x:f>
        <x:v>0.35281725338870457</x:v>
      </x:c>
      <x:c r="K118" s="63" t="n">
        <x:f>IF(B118&lt;$K$8,0,(INDEX('主线调参'!$G$11:$G$62,$AV118)+(INDEX('主线调参'!$G$11:$G$62,$AV118+1)-INDEX('主线调参'!$G$11:$G$62,$AV118))*$AW118)*'参数说明'!$G$27)</x:f>
        <x:v>0.06331744320874477</x:v>
      </x:c>
      <x:c r="L118" s="63" t="n">
        <x:f>IF(B118&lt;$L$8,0,(INDEX('主线调参'!$H$11:$H$62,$AV118)+(INDEX('主线调参'!$H$11:$H$62,$AV118+1)-INDEX('主线调参'!$H$11:$H$62,$AV118))*$AW118)*'参数说明'!$H$27)</x:f>
        <x:v>0.4644270374806911</x:v>
      </x:c>
      <x:c r="M118" s="59" t="n">
        <x:f>E118*'模块规划'!$F$10+G118*'模块规划'!$F$11+H118*'模块规划'!$F$13</x:f>
        <x:v>3967.2568600417567</x:v>
      </x:c>
      <x:c r="N118" s="59" t="n">
        <x:f>I118*'模块规划'!$F$15+J118*'模块规划'!$F$17+K118*'模块规划'!$F$16+L118*'模块规划'!$F$18</x:f>
        <x:v>8540.146079026366</x:v>
      </x:c>
      <x:c r="O118" s="59" t="n">
        <x:f>1+O$9*SUMPRODUCT($H$10:$L$10,H118:L118)/SUM($H$10:$L$10)</x:f>
        <x:v>2.228173325409876</x:v>
      </x:c>
      <x:c r="P118" s="59" t="n">
        <x:f>M118*O118+N118</x:f>
        <x:v>17379.88198962075</x:v>
      </x:c>
      <x:c r="Q118" s="59" t="n">
        <x:f>P118/(P118+'_曲线基线'!$L$2)</x:f>
        <x:v>0.4200080124438276</x:v>
      </x:c>
      <x:c r="R118" s="59" t="n">
        <x:f>E118*'模块规划'!$E$10+G118*'模块规划'!$E$11+H118*'模块规划'!$E$13</x:f>
        <x:v>5950.885290062634</x:v>
      </x:c>
      <x:c r="S118" s="59" t="n">
        <x:f>I118*'模块规划'!$E$15+J118*'模块规划'!$E$17+K118*'模块规划'!$E$16+L118*'模块规划'!$E$18</x:f>
        <x:v>12810.219118539551</x:v>
      </x:c>
      <x:c r="T118" s="59" t="n">
        <x:f>1+T$9*SUMPRODUCT($H$10:$L$10,H118:L118)/SUM($H$10:$L$10)</x:f>
        <x:v>2.228173325409876</x:v>
      </x:c>
      <x:c r="U118" s="59" t="n">
        <x:f>R118*T118+S118</x:f>
        <x:v>26069.822984431124</x:v>
      </x:c>
      <x:c r="V118" s="59" t="n">
        <x:f>V$8+(V$9-V$8)*H118</x:f>
        <x:v>0.8448927787256726</x:v>
      </x:c>
      <x:c r="W118" s="59" t="n">
        <x:f>IF(B118&lt;$H$8,0,W$8+(W$9-W$8)*H118)</x:f>
        <x:v>0.19319037163423022</x:v>
      </x:c>
      <x:c r="X118" s="59" t="n">
        <x:f>X$8+(X$9-X$8)*H118</x:f>
        <x:v>0.4078183804985333</x:v>
      </x:c>
      <x:c r="Y118" s="59" t="n">
        <x:f>Y$8+(Y$9-Y$8)*G118</x:f>
        <x:v>1</x:v>
      </x:c>
      <x:c r="Z118" s="59" t="n">
        <x:f>Z$8+(Z$9-Z$8)*H118</x:f>
        <x:v>1</x:v>
      </x:c>
      <x:c r="AA118" s="59" t="n">
        <x:f>AA$8+(AA$9-AA$8)*I118</x:f>
        <x:v>1</x:v>
      </x:c>
      <x:c r="AB118" s="59" t="n">
        <x:f>AB$8+(AB$9-AB$8)*J118</x:f>
        <x:v>1</x:v>
      </x:c>
      <x:c r="AC118" s="59" t="n">
        <x:f>AC$8+(AC$9-AC$8)*MAX(K118,L118)</x:f>
        <x:v>1</x:v>
      </x:c>
      <x:c r="AD118" s="59" t="n">
        <x:f>(V118*AE118+W118*AF118+X118*AG118)*PRODUCT(Y118:AC118)</x:f>
        <x:v>1.5451865983962587</x:v>
      </x:c>
      <x:c r="AE118" s="59" t="n">
        <x:f>1+AE$9*($H$10*H118+$I$10*I118+$J$10*J118+$K$10*K118+$L$10*L118)</x:f>
        <x:v>1</x:v>
      </x:c>
      <x:c r="AF118" s="59" t="n">
        <x:f>1+AF$9*($H$10*H118+$I$10*I118+$J$10*J118+$K$10*K118+$L$10*L118)</x:f>
        <x:v>1.1083974837811146</x:v>
      </x:c>
      <x:c r="AG118" s="59" t="n">
        <x:f>1+AG$9*($H$10*H118+$I$10*I118+$J$10*J118+$K$10*K118+$L$10*L118)</x:f>
        <x:v>1.1921044295898657</x:v>
      </x:c>
      <x:c r="AH118" s="59" t="n">
        <x:f>MIN(1,'_曲线基线'!$L$3+AH$9*($H$10*H118+$I$10*I118+$J$10*J118+$K$10*K118+$L$10*L118))</x:f>
        <x:v>0.2966042756020355</x:v>
      </x:c>
      <x:c r="AI118" s="59" t="n">
        <x:f>'_曲线基线'!$L$4+AI$9*($H$10*H118+$I$10*I118+$J$10*J118+$K$10*K118+$L$10*L118)</x:f>
        <x:v>2.6869690534628132</x:v>
      </x:c>
      <x:c r="AJ118" s="59" t="n">
        <x:f>1+AJ$9*($H$10*H118+$I$10*I118+$J$10*J118+$K$10*K118+$L$10*L118)</x:f>
        <x:v>1.5636669156617955</x:v>
      </x:c>
      <x:c r="AK118" s="59" t="n">
        <x:f>(1+AH118*(AI118-1))*AJ118</x:f>
        <x:v>2.346066786916468</x:v>
      </x:c>
      <x:c r="AL118" s="59" t="n">
        <x:f>U118*AD118*AK118*F118</x:f>
        <x:v>472530.00488110434</x:v>
      </x:c>
      <x:c r="AM118" s="59" t="n">
        <x:f>IF($B118&lt;AM$8,0,AM$3+(AM$4-AM$3)*(POWER(AM$5,$B118-AM$8)-1)/(POWER(AM$5,$C$5-AM$8)-1))</x:f>
        <x:v>37.512037931584985</x:v>
      </x:c>
      <x:c r="AN118" s="59" t="n">
        <x:f>(((E118*'模块规划'!$D$10+G118*'模块规划'!$D$11+H118*'模块规划'!$D$13)*(1+'模块规划'!$G$14*H118)+(I118*'模块规划'!$D$15+J118*'模块规划'!$D$17+K118*'模块规划'!$D$16+L118*'模块规划'!$D$18))*(1+'模块规划'!$J$17*J118))*F118/(1-Q118)</x:f>
        <x:v>873175.3568355114</x:v>
      </x:c>
      <x:c r="AO118" s="59" t="n">
        <x:f>AL118*AM118</x:f>
        <x:v>17725563.466912024</x:v>
      </x:c>
      <x:c r="AP118" s="61" t="n">
        <x:f>IF(AO118="","",INDEX('_曲线基线'!$A$3:$A$502,MIN(ROWS('_曲线基线'!$A$3:$A$502),COUNTIF('_曲线基线'!$E$3:$E$502,"&lt;"&amp;AO118)+1)))</x:f>
        <x:v>175</x:v>
      </x:c>
      <x:c r="AQ118" s="61" t="n">
        <x:f>IF(B118&lt;=2,1,IF(B118&lt;=6,2,IF(B118&lt;=9,3,IF(B118&lt;=19,4,5))))</x:f>
        <x:v>5</x:v>
      </x:c>
      <x:c r="AR118" s="59" t="n">
        <x:f>AN118*(1-Q118)/F118*$AS$3+U118*$AS$4+P118*$AS$5</x:f>
        <x:v>8252.572861062814</x:v>
      </x:c>
      <x:c r="AS118" s="59" t="n">
        <x:f>1+AH118*$AS$6+AI118*$AS$7+(AJ118-1)*$AS$8+($H$10*H118+$I$10*I118+$J$10*J118+$K$10*K118+$L$10*L118)*$AU$3*$AS$9+($H$10*H118+$I$10*I118+$J$10*J118+$K$10*K118+$L$10*L118)*$AU$4*$AS$10</x:f>
        <x:v>11.458452822562538</x:v>
      </x:c>
      <x:c r="AT118" s="60" t="n">
        <x:f>ROUND(AR118*AS118,0)</x:f>
        <x:v>94562</x:v>
      </x:c>
      <x:c r="AU118" s="60" t="n">
        <x:f>ROUND(AT118*F118,0)</x:f>
        <x:v>472810</x:v>
      </x:c>
      <x:c r="AV118" s="60" t="n">
        <x:f>MIN(MATCH(B118,'主线调参'!$M$11:$M$62,1),ROWS('主线调参'!$M$11:$M$62)-1)</x:f>
        <x:v>29</x:v>
      </x:c>
      <x:c r="AW118" s="62" t="n">
        <x:f>(B118-INDEX('主线调参'!$M$11:$M$62,AV118))/(INDEX('主线调参'!$M$11:$M$62,AV118+1)-INDEX('主线调参'!$M$11:$M$62,AV118))</x:f>
        <x:v>0.5</x:v>
      </x:c>
      <x:c r="AX118" s="60" t="n">
        <x:f>IF(AU118=0,0,ROUND(AU118,2-INT(LOG10(ABS(AU118)))))</x:f>
        <x:v>473000</x:v>
      </x:c>
      <x:c r="AY118" s="62" t="n">
        <x:f>AU118/AU117-1</x:f>
        <x:v>0.020504629729554802</x:v>
      </x:c>
    </x:row>
    <x:row r="119" ht="25" customHeight="1">
      <x:c r="A119" s="40" t="str">
        <x:f>'调前玩家曲线'!A119</x:f>
      </x:c>
      <x:c r="B119" s="40" t="n">
        <x:f>'调前玩家曲线'!B119</x:f>
        <x:v>108</x:v>
      </x:c>
      <x:c r="C119" s="40" t="n">
        <x:f>'调前玩家曲线'!C119</x:f>
        <x:v>8</x:v>
      </x:c>
      <x:c r="D119" s="40" t="n">
        <x:f>'调前玩家曲线'!D119</x:f>
        <x:v>9</x:v>
      </x:c>
      <x:c r="E119" s="40" t="n">
        <x:f>'调前玩家曲线'!E119</x:f>
        <x:v>1</x:v>
      </x:c>
      <x:c r="F119" s="40" t="n">
        <x:f>'调前玩家曲线'!F119</x:f>
        <x:v>5</x:v>
      </x:c>
      <x:c r="G119" s="63" t="n">
        <x:f>IF(B119&lt;$G$8,0,(INDEX('主线调参'!$C$11:$C$62,$AV119)+(INDEX('主线调参'!$C$11:$C$62,$AV119+1)-INDEX('主线调参'!$C$11:$C$62,$AV119))*$AW119)*'参数说明'!$C$27)</x:f>
        <x:v>0.6209392222527303</x:v>
      </x:c>
      <x:c r="H119" s="63" t="n">
        <x:f>IF(B119&lt;$H$8,0,(INDEX('主线调参'!$D$11:$D$62,$AV119)+(INDEX('主线调参'!$D$11:$D$62,$AV119+1)-INDEX('主线调参'!$D$11:$D$62,$AV119))*$AW119)*'参数说明'!$D$27)</x:f>
        <x:v>0.4852816953354061</x:v>
      </x:c>
      <x:c r="I119" s="63" t="n">
        <x:f>IF(B119&lt;$I$8,0,(INDEX('主线调参'!$E$11:$E$62,$AV119)+(INDEX('主线调参'!$E$11:$E$62,$AV119+1)-INDEX('主线调参'!$E$11:$E$62,$AV119))*$AW119)*'参数说明'!$E$27)</x:f>
        <x:v>0.29352634749780154</x:v>
      </x:c>
      <x:c r="J119" s="63" t="n">
        <x:f>IF(B119&lt;$J$8,0,(INDEX('主线调参'!$F$11:$F$62,$AV119)+(INDEX('主线调参'!$F$11:$F$62,$AV119+1)-INDEX('主线调参'!$F$11:$F$62,$AV119))*$AW119)*'参数说明'!$F$27)</x:f>
        <x:v>0.3556029512605255</x:v>
      </x:c>
      <x:c r="K119" s="63" t="n">
        <x:f>IF(B119&lt;$K$8,0,(INDEX('主线调参'!$G$11:$G$62,$AV119)+(INDEX('主线调参'!$G$11:$G$62,$AV119+1)-INDEX('主线调参'!$G$11:$G$62,$AV119))*$AW119)*'参数说明'!$G$27)</x:f>
        <x:v>0.07236279223856544</x:v>
      </x:c>
      <x:c r="L119" s="63" t="n">
        <x:f>IF(B119&lt;$L$8,0,(INDEX('主线调参'!$H$11:$H$62,$AV119)+(INDEX('主线调参'!$H$11:$H$62,$AV119+1)-INDEX('主线调参'!$H$11:$H$62,$AV119))*$AW119)*'参数说明'!$H$27)</x:f>
        <x:v>0.46704655937267686</x:v>
      </x:c>
      <x:c r="M119" s="59" t="n">
        <x:f>E119*'模块规划'!$F$10+G119*'模块规划'!$F$11+H119*'模块规划'!$F$13</x:f>
        <x:v>3980.508266813106</x:v>
      </x:c>
      <x:c r="N119" s="59" t="n">
        <x:f>I119*'模块规划'!$F$15+J119*'模块规划'!$F$17+K119*'模块规划'!$F$16+L119*'模块规划'!$F$18</x:f>
        <x:v>8673.649842882445</x:v>
      </x:c>
      <x:c r="O119" s="59" t="n">
        <x:f>1+O$9*SUMPRODUCT($H$10:$L$10,H119:L119)/SUM($H$10:$L$10)</x:f>
        <x:v>2.243472179344719</x:v>
      </x:c>
      <x:c r="P119" s="59" t="n">
        <x:f>M119*O119+N119</x:f>
        <x:v>17603.809399129314</x:v>
      </x:c>
      <x:c r="Q119" s="59" t="n">
        <x:f>P119/(P119+'_曲线基线'!$L$2)</x:f>
        <x:v>0.4231297482941004</x:v>
      </x:c>
      <x:c r="R119" s="59" t="n">
        <x:f>E119*'模块规划'!$E$10+G119*'模块规划'!$E$11+H119*'模块规划'!$E$13</x:f>
        <x:v>5970.762400219659</x:v>
      </x:c>
      <x:c r="S119" s="59" t="n">
        <x:f>I119*'模块规划'!$E$15+J119*'模块规划'!$E$17+K119*'模块规划'!$E$16+L119*'模块规划'!$E$18</x:f>
        <x:v>13010.474764323666</x:v>
      </x:c>
      <x:c r="T119" s="59" t="n">
        <x:f>1+T$9*SUMPRODUCT($H$10:$L$10,H119:L119)/SUM($H$10:$L$10)</x:f>
        <x:v>2.243472179344719</x:v>
      </x:c>
      <x:c r="U119" s="59" t="n">
        <x:f>R119*T119+S119</x:f>
        <x:v>26405.71409869397</x:v>
      </x:c>
      <x:c r="V119" s="59" t="n">
        <x:f>V$8+(V$9-V$8)*H119</x:f>
        <x:v>0.8455845086006218</x:v>
      </x:c>
      <x:c r="W119" s="59" t="n">
        <x:f>IF(B119&lt;$H$8,0,W$8+(W$9-W$8)*H119)</x:f>
        <x:v>0.19411267813416244</x:v>
      </x:c>
      <x:c r="X119" s="59" t="n">
        <x:f>X$8+(X$9-X$8)*H119</x:f>
        <x:v>0.40845246621723674</x:v>
      </x:c>
      <x:c r="Y119" s="59" t="n">
        <x:f>Y$8+(Y$9-Y$8)*G119</x:f>
        <x:v>1</x:v>
      </x:c>
      <x:c r="Z119" s="59" t="n">
        <x:f>Z$8+(Z$9-Z$8)*H119</x:f>
        <x:v>1</x:v>
      </x:c>
      <x:c r="AA119" s="59" t="n">
        <x:f>AA$8+(AA$9-AA$8)*I119</x:f>
        <x:v>1</x:v>
      </x:c>
      <x:c r="AB119" s="59" t="n">
        <x:f>AB$8+(AB$9-AB$8)*J119</x:f>
        <x:v>1</x:v>
      </x:c>
      <x:c r="AC119" s="59" t="n">
        <x:f>AC$8+(AC$9-AC$8)*MAX(K119,L119)</x:f>
        <x:v>1</x:v>
      </x:c>
      <x:c r="AD119" s="59" t="n">
        <x:f>(V119*AE119+W119*AF119+X119*AG119)*PRODUCT(Y119:AC119)</x:f>
        <x:v>1.5488960231425688</x:v>
      </x:c>
      <x:c r="AE119" s="59" t="n">
        <x:f>1+AE$9*($H$10*H119+$I$10*I119+$J$10*J119+$K$10*K119+$L$10*L119)</x:f>
        <x:v>1</x:v>
      </x:c>
      <x:c r="AF119" s="59" t="n">
        <x:f>1+AF$9*($H$10*H119+$I$10*I119+$J$10*J119+$K$10*K119+$L$10*L119)</x:f>
        <x:v>1.1097477470028942</x:v>
      </x:c>
      <x:c r="AG119" s="59" t="n">
        <x:f>1+AG$9*($H$10*H119+$I$10*I119+$J$10*J119+$K$10*K119+$L$10*L119)</x:f>
        <x:v>1.194497396077353</x:v>
      </x:c>
      <x:c r="AH119" s="59" t="n">
        <x:f>MIN(1,'_曲线基线'!$L$3+AH$9*($H$10*H119+$I$10*I119+$J$10*J119+$K$10*K119+$L$10*L119))</x:f>
        <x:v>0.29967612443158426</x:v>
      </x:c>
      <x:c r="AI119" s="59" t="n">
        <x:f>'_曲线基线'!$L$4+AI$9*($H$10*H119+$I$10*I119+$J$10*J119+$K$10*K119+$L$10*L119)</x:f>
        <x:v>2.695526346630842</x:v>
      </x:c>
      <x:c r="AJ119" s="59" t="n">
        <x:f>1+AJ$9*($H$10*H119+$I$10*I119+$J$10*J119+$K$10*K119+$L$10*L119)</x:f>
        <x:v>1.5706882844150498</x:v>
      </x:c>
      <x:c r="AK119" s="59" t="n">
        <x:f>(1+AH119*(AI119-1))*AJ119</x:f>
        <x:v>2.368768767913816</x:v>
      </x:c>
      <x:c r="AL119" s="59" t="n">
        <x:f>U119*AD119*AK119*F119</x:f>
        <x:v>484409.72568614664</x:v>
      </x:c>
      <x:c r="AM119" s="59" t="n">
        <x:f>IF($B119&lt;AM$8,0,AM$3+(AM$4-AM$3)*(POWER(AM$5,$B119-AM$8)-1)/(POWER(AM$5,$C$5-AM$8)-1))</x:f>
        <x:v>37.55058295082271</x:v>
      </x:c>
      <x:c r="AN119" s="59" t="n">
        <x:f>(((E119*'模块规划'!$D$10+G119*'模块规划'!$D$11+H119*'模块规划'!$D$13)*(1+'模块规划'!$G$14*H119)+(I119*'模块规划'!$D$15+J119*'模块规划'!$D$17+K119*'模块规划'!$D$16+L119*'模块规划'!$D$18))*(1+'模块规划'!$J$17*J119))*F119/(1-Q119)</x:f>
        <x:v>889903.1257288803</x:v>
      </x:c>
      <x:c r="AO119" s="59" t="n">
        <x:f>AL119*AM119</x:f>
        <x:v>18189867.586562924</x:v>
      </x:c>
      <x:c r="AP119" s="61" t="n">
        <x:f>IF(AO119="","",INDEX('_曲线基线'!$A$3:$A$502,MIN(ROWS('_曲线基线'!$A$3:$A$502),COUNTIF('_曲线基线'!$E$3:$E$502,"&lt;"&amp;AO119)+1)))</x:f>
        <x:v>177</x:v>
      </x:c>
      <x:c r="AQ119" s="61" t="n">
        <x:f>IF(B119&lt;=2,1,IF(B119&lt;=6,2,IF(B119&lt;=9,3,IF(B119&lt;=19,4,5))))</x:f>
        <x:v>5</x:v>
      </x:c>
      <x:c r="AR119" s="59" t="n">
        <x:f>AN119*(1-Q119)/F119*$AS$3+U119*$AS$4+P119*$AS$5</x:f>
        <x:v>8361.29466053731</x:v>
      </x:c>
      <x:c r="AS119" s="59" t="n">
        <x:f>1+AH119*$AS$6+AI119*$AS$7+(AJ119-1)*$AS$8+($H$10*H119+$I$10*I119+$J$10*J119+$K$10*K119+$L$10*L119)*$AU$3*$AS$9+($H$10*H119+$I$10*I119+$J$10*J119+$K$10*K119+$L$10*L119)*$AU$4*$AS$10</x:f>
        <x:v>11.539132584300459</x:v>
      </x:c>
      <x:c r="AT119" s="60" t="n">
        <x:f>ROUND(AR119*AS119,0)</x:f>
        <x:v>96482</x:v>
      </x:c>
      <x:c r="AU119" s="60" t="n">
        <x:f>ROUND(AT119*F119,0)</x:f>
        <x:v>482410</x:v>
      </x:c>
      <x:c r="AV119" s="60" t="n">
        <x:f>MIN(MATCH(B119,'主线调参'!$M$11:$M$62,1),ROWS('主线调参'!$M$11:$M$62)-1)</x:f>
        <x:v>29</x:v>
      </x:c>
      <x:c r="AW119" s="62" t="n">
        <x:f>(B119-INDEX('主线调参'!$M$11:$M$62,AV119))/(INDEX('主线调参'!$M$11:$M$62,AV119+1)-INDEX('主线调参'!$M$11:$M$62,AV119))</x:f>
        <x:v>0.5714285714285714</x:v>
      </x:c>
      <x:c r="AX119" s="60" t="n">
        <x:f>IF(AU119=0,0,ROUND(AU119,2-INT(LOG10(ABS(AU119)))))</x:f>
        <x:v>482000</x:v>
      </x:c>
      <x:c r="AY119" s="62" t="n">
        <x:f>AU119/AU118-1</x:f>
        <x:v>0.020304139083352712</x:v>
      </x:c>
    </x:row>
    <x:row r="120" ht="25" customHeight="1">
      <x:c r="A120" s="40" t="str">
        <x:f>'调前玩家曲线'!A120</x:f>
      </x:c>
      <x:c r="B120" s="40" t="n">
        <x:f>'调前玩家曲线'!B120</x:f>
        <x:v>109</x:v>
      </x:c>
      <x:c r="C120" s="40" t="n">
        <x:f>'调前玩家曲线'!C120</x:f>
        <x:v>8</x:v>
      </x:c>
      <x:c r="D120" s="40" t="n">
        <x:f>'调前玩家曲线'!D120</x:f>
        <x:v>10</x:v>
      </x:c>
      <x:c r="E120" s="40" t="n">
        <x:f>'调前玩家曲线'!E120</x:f>
        <x:v>1</x:v>
      </x:c>
      <x:c r="F120" s="40" t="n">
        <x:f>'调前玩家曲线'!F120</x:f>
        <x:v>5</x:v>
      </x:c>
      <x:c r="G120" s="63" t="n">
        <x:f>IF(B120&lt;$G$8,0,(INDEX('主线调参'!$C$11:$C$62,$AV120)+(INDEX('主线调参'!$C$11:$C$62,$AV120+1)-INDEX('主线调参'!$C$11:$C$62,$AV120))*$AW120)*'参数说明'!$C$27)</x:f>
        <x:v>0.6236999319967614</x:v>
      </x:c>
      <x:c r="H120" s="63" t="n">
        <x:f>IF(B120&lt;$H$8,0,(INDEX('主线调参'!$D$11:$D$62,$AV120)+(INDEX('主线调参'!$D$11:$D$62,$AV120+1)-INDEX('主线调参'!$D$11:$D$62,$AV120))*$AW120)*'参数说明'!$D$27)</x:f>
        <x:v>0.48758746158523675</x:v>
      </x:c>
      <x:c r="I120" s="63" t="n">
        <x:f>IF(B120&lt;$I$8,0,(INDEX('主线调参'!$E$11:$E$62,$AV120)+(INDEX('主线调参'!$E$11:$E$62,$AV120+1)-INDEX('主线调参'!$E$11:$E$62,$AV120))*$AW120)*'参数说明'!$E$27)</x:f>
        <x:v>0.2983109826851784</x:v>
      </x:c>
      <x:c r="J120" s="63" t="n">
        <x:f>IF(B120&lt;$J$8,0,(INDEX('主线调参'!$F$11:$F$62,$AV120)+(INDEX('主线调参'!$F$11:$F$62,$AV120+1)-INDEX('主线调参'!$F$11:$F$62,$AV120))*$AW120)*'参数说明'!$F$27)</x:f>
        <x:v>0.3583886491323464</x:v>
      </x:c>
      <x:c r="K120" s="63" t="n">
        <x:f>IF(B120&lt;$K$8,0,(INDEX('主线调参'!$G$11:$G$62,$AV120)+(INDEX('主线调参'!$G$11:$G$62,$AV120+1)-INDEX('主线调参'!$G$11:$G$62,$AV120))*$AW120)*'参数说明'!$G$27)</x:f>
        <x:v>0.08140814126838614</x:v>
      </x:c>
      <x:c r="L120" s="63" t="n">
        <x:f>IF(B120&lt;$L$8,0,(INDEX('主线调参'!$H$11:$H$62,$AV120)+(INDEX('主线调参'!$H$11:$H$62,$AV120+1)-INDEX('主线调参'!$H$11:$H$62,$AV120))*$AW120)*'参数说明'!$H$27)</x:f>
        <x:v>0.46966608126466264</x:v>
      </x:c>
      <x:c r="M120" s="59" t="n">
        <x:f>E120*'模块规划'!$F$10+G120*'模块规划'!$F$11+H120*'模块规划'!$F$13</x:f>
        <x:v>3993.759673584455</x:v>
      </x:c>
      <x:c r="N120" s="59" t="n">
        <x:f>I120*'模块规划'!$F$15+J120*'模块规划'!$F$17+K120*'模块规划'!$F$16+L120*'模块规划'!$F$18</x:f>
        <x:v>8807.153606738522</x:v>
      </x:c>
      <x:c r="O120" s="59" t="n">
        <x:f>1+O$9*SUMPRODUCT($H$10:$L$10,H120:L120)/SUM($H$10:$L$10)</x:f>
        <x:v>2.2587710332795625</x:v>
      </x:c>
      <x:c r="P120" s="59" t="n">
        <x:f>M120*O120+N120</x:f>
        <x:v>17828.14227131113</x:v>
      </x:c>
      <x:c r="Q120" s="59" t="n">
        <x:f>P120/(P120+'_曲线基线'!$L$2)</x:f>
        <x:v>0.4262236213043343</x:v>
      </x:c>
      <x:c r="R120" s="59" t="n">
        <x:f>E120*'模块规划'!$E$10+G120*'模块规划'!$E$11+H120*'模块规划'!$E$13</x:f>
        <x:v>5990.639510376683</x:v>
      </x:c>
      <x:c r="S120" s="59" t="n">
        <x:f>I120*'模块规划'!$E$15+J120*'模块规划'!$E$17+K120*'模块规划'!$E$16+L120*'模块规划'!$E$18</x:f>
        <x:v>13210.730410107783</x:v>
      </x:c>
      <x:c r="T120" s="59" t="n">
        <x:f>1+T$9*SUMPRODUCT($H$10:$L$10,H120:L120)/SUM($H$10:$L$10)</x:f>
        <x:v>2.2587710332795625</x:v>
      </x:c>
      <x:c r="U120" s="59" t="n">
        <x:f>R120*T120+S120</x:f>
        <x:v>26742.213406966694</x:v>
      </x:c>
      <x:c r="V120" s="59" t="n">
        <x:f>V$8+(V$9-V$8)*H120</x:f>
        <x:v>0.846276238475571</x:v>
      </x:c>
      <x:c r="W120" s="59" t="n">
        <x:f>IF(B120&lt;$H$8,0,W$8+(W$9-W$8)*H120)</x:f>
        <x:v>0.19503498463409472</x:v>
      </x:c>
      <x:c r="X120" s="59" t="n">
        <x:f>X$8+(X$9-X$8)*H120</x:f>
        <x:v>0.4090865519359401</x:v>
      </x:c>
      <x:c r="Y120" s="59" t="n">
        <x:f>Y$8+(Y$9-Y$8)*G120</x:f>
        <x:v>1</x:v>
      </x:c>
      <x:c r="Z120" s="59" t="n">
        <x:f>Z$8+(Z$9-Z$8)*H120</x:f>
        <x:v>1</x:v>
      </x:c>
      <x:c r="AA120" s="59" t="n">
        <x:f>AA$8+(AA$9-AA$8)*I120</x:f>
        <x:v>1</x:v>
      </x:c>
      <x:c r="AB120" s="59" t="n">
        <x:f>AB$8+(AB$9-AB$8)*J120</x:f>
        <x:v>1</x:v>
      </x:c>
      <x:c r="AC120" s="59" t="n">
        <x:f>AC$8+(AC$9-AC$8)*MAX(K120,L120)</x:f>
        <x:v>1</x:v>
      </x:c>
      <x:c r="AD120" s="59" t="n">
        <x:f>(V120*AE120+W120*AF120+X120*AG120)*PRODUCT(Y120:AC120)</x:f>
        <x:v>1.5526109732937212</x:v>
      </x:c>
      <x:c r="AE120" s="59" t="n">
        <x:f>1+AE$9*($H$10*H120+$I$10*I120+$J$10*J120+$K$10*K120+$L$10*L120)</x:f>
        <x:v>1</x:v>
      </x:c>
      <x:c r="AF120" s="59" t="n">
        <x:f>1+AF$9*($H$10*H120+$I$10*I120+$J$10*J120+$K$10*K120+$L$10*L120)</x:f>
        <x:v>1.111098010224674</x:v>
      </x:c>
      <x:c r="AG120" s="59" t="n">
        <x:f>1+AG$9*($H$10*H120+$I$10*I120+$J$10*J120+$K$10*K120+$L$10*L120)</x:f>
        <x:v>1.1968903625648404</x:v>
      </x:c>
      <x:c r="AH120" s="59" t="n">
        <x:f>MIN(1,'_曲线基线'!$L$3+AH$9*($H$10*H120+$I$10*I120+$J$10*J120+$K$10*K120+$L$10*L120))</x:f>
        <x:v>0.3027479732611331</x:v>
      </x:c>
      <x:c r="AI120" s="59" t="n">
        <x:f>'_曲线基线'!$L$4+AI$9*($H$10*H120+$I$10*I120+$J$10*J120+$K$10*K120+$L$10*L120)</x:f>
        <x:v>2.7040836397988706</x:v>
      </x:c>
      <x:c r="AJ120" s="59" t="n">
        <x:f>1+AJ$9*($H$10*H120+$I$10*I120+$J$10*J120+$K$10*K120+$L$10*L120)</x:f>
        <x:v>1.5777096531683044</x:v>
      </x:c>
      <x:c r="AK120" s="59" t="n">
        <x:f>(1+AH120*(AI120-1))*AJ120</x:f>
        <x:v>2.3916624769990573</x:v>
      </x:c>
      <x:c r="AL120" s="59" t="n">
        <x:f>U120*AD120*AK120*F120</x:f>
        <x:v>496512.16746676876</x:v>
      </x:c>
      <x:c r="AM120" s="59" t="n">
        <x:f>IF($B120&lt;AM$8,0,AM$3+(AM$4-AM$3)*(POWER(AM$5,$B120-AM$8)-1)/(POWER(AM$5,$C$5-AM$8)-1))</x:f>
        <x:v>37.5895134202528</x:v>
      </x:c>
      <x:c r="AN120" s="59" t="n">
        <x:f>(((E120*'模块规划'!$D$10+G120*'模块规划'!$D$11+H120*'模块规划'!$D$13)*(1+'模块规划'!$G$14*H120)+(I120*'模块规划'!$D$15+J120*'模块规划'!$D$17+K120*'模块规划'!$D$16+L120*'模块规划'!$D$18))*(1+'模块规划'!$J$17*J120))*F120/(1-Q120)</x:f>
        <x:v>906819.1502881733</x:v>
      </x:c>
      <x:c r="AO120" s="59" t="n">
        <x:f>AL120*AM120</x:f>
        <x:v>18663650.78231091</x:v>
      </x:c>
      <x:c r="AP120" s="61" t="n">
        <x:f>IF(AO120="","",INDEX('_曲线基线'!$A$3:$A$502,MIN(ROWS('_曲线基线'!$A$3:$A$502),COUNTIF('_曲线基线'!$E$3:$E$502,"&lt;"&amp;AO120)+1)))</x:f>
        <x:v>178</x:v>
      </x:c>
      <x:c r="AQ120" s="61" t="n">
        <x:f>IF(B120&lt;=2,1,IF(B120&lt;=6,2,IF(B120&lt;=9,3,IF(B120&lt;=19,4,5))))</x:f>
        <x:v>5</x:v>
      </x:c>
      <x:c r="AR120" s="59" t="n">
        <x:f>AN120*(1-Q120)/F120*$AS$3+U120*$AS$4+P120*$AS$5</x:f>
        <x:v>8470.311130498712</x:v>
      </x:c>
      <x:c r="AS120" s="59" t="n">
        <x:f>1+AH120*$AS$6+AI120*$AS$7+(AJ120-1)*$AS$8+($H$10*H120+$I$10*I120+$J$10*J120+$K$10*K120+$L$10*L120)*$AU$3*$AS$9+($H$10*H120+$I$10*I120+$J$10*J120+$K$10*K120+$L$10*L120)*$AU$4*$AS$10</x:f>
        <x:v>11.619812346038383</x:v>
      </x:c>
      <x:c r="AT120" s="60" t="n">
        <x:f>ROUND(AR120*AS120,0)</x:f>
        <x:v>98423</x:v>
      </x:c>
      <x:c r="AU120" s="60" t="n">
        <x:f>ROUND(AT120*F120,0)</x:f>
        <x:v>492115</x:v>
      </x:c>
      <x:c r="AV120" s="60" t="n">
        <x:f>MIN(MATCH(B120,'主线调参'!$M$11:$M$62,1),ROWS('主线调参'!$M$11:$M$62)-1)</x:f>
        <x:v>29</x:v>
      </x:c>
      <x:c r="AW120" s="62" t="n">
        <x:f>(B120-INDEX('主线调参'!$M$11:$M$62,AV120))/(INDEX('主线调参'!$M$11:$M$62,AV120+1)-INDEX('主线调参'!$M$11:$M$62,AV120))</x:f>
        <x:v>0.6428571428571429</x:v>
      </x:c>
      <x:c r="AX120" s="60" t="n">
        <x:f>IF(AU120=0,0,ROUND(AU120,2-INT(LOG10(ABS(AU120)))))</x:f>
        <x:v>492000</x:v>
      </x:c>
      <x:c r="AY120" s="62" t="n">
        <x:f>AU120/AU119-1</x:f>
        <x:v>0.020117742169523778</x:v>
      </x:c>
    </x:row>
    <x:row r="121" ht="25" customHeight="1">
      <x:c r="A121" s="40" t="str">
        <x:f>'调前玩家曲线'!A121</x:f>
      </x:c>
      <x:c r="B121" s="40" t="n">
        <x:f>'调前玩家曲线'!B121</x:f>
        <x:v>110</x:v>
      </x:c>
      <x:c r="C121" s="40" t="n">
        <x:f>'调前玩家曲线'!C121</x:f>
        <x:v>8</x:v>
      </x:c>
      <x:c r="D121" s="40" t="n">
        <x:f>'调前玩家曲线'!D121</x:f>
        <x:v>11</x:v>
      </x:c>
      <x:c r="E121" s="40" t="n">
        <x:f>'调前玩家曲线'!E121</x:f>
        <x:v>1</x:v>
      </x:c>
      <x:c r="F121" s="40" t="n">
        <x:f>'调前玩家曲线'!F121</x:f>
        <x:v>5</x:v>
      </x:c>
      <x:c r="G121" s="63" t="n">
        <x:f>IF(B121&lt;$G$8,0,(INDEX('主线调参'!$C$11:$C$62,$AV121)+(INDEX('主线调参'!$C$11:$C$62,$AV121+1)-INDEX('主线调参'!$C$11:$C$62,$AV121))*$AW121)*'参数说明'!$C$27)</x:f>
        <x:v>0.6264606417407925</x:v>
      </x:c>
      <x:c r="H121" s="63" t="n">
        <x:f>IF(B121&lt;$H$8,0,(INDEX('主线调参'!$D$11:$D$62,$AV121)+(INDEX('主线调参'!$D$11:$D$62,$AV121+1)-INDEX('主线调参'!$D$11:$D$62,$AV121))*$AW121)*'参数说明'!$D$27)</x:f>
        <x:v>0.4898932278350674</x:v>
      </x:c>
      <x:c r="I121" s="63" t="n">
        <x:f>IF(B121&lt;$I$8,0,(INDEX('主线调参'!$E$11:$E$62,$AV121)+(INDEX('主线调参'!$E$11:$E$62,$AV121+1)-INDEX('主线调参'!$E$11:$E$62,$AV121))*$AW121)*'参数说明'!$E$27)</x:f>
        <x:v>0.3030956178725553</x:v>
      </x:c>
      <x:c r="J121" s="63" t="n">
        <x:f>IF(B121&lt;$J$8,0,(INDEX('主线调参'!$F$11:$F$62,$AV121)+(INDEX('主线调参'!$F$11:$F$62,$AV121+1)-INDEX('主线调参'!$F$11:$F$62,$AV121))*$AW121)*'参数说明'!$F$27)</x:f>
        <x:v>0.36117434700416734</x:v>
      </x:c>
      <x:c r="K121" s="63" t="n">
        <x:f>IF(B121&lt;$K$8,0,(INDEX('主线调参'!$G$11:$G$62,$AV121)+(INDEX('主线调参'!$G$11:$G$62,$AV121+1)-INDEX('主线调参'!$G$11:$G$62,$AV121))*$AW121)*'参数说明'!$G$27)</x:f>
        <x:v>0.09045349029820682</x:v>
      </x:c>
      <x:c r="L121" s="63" t="n">
        <x:f>IF(B121&lt;$L$8,0,(INDEX('主线调参'!$H$11:$H$62,$AV121)+(INDEX('主线调参'!$H$11:$H$62,$AV121+1)-INDEX('主线调参'!$H$11:$H$62,$AV121))*$AW121)*'参数说明'!$H$27)</x:f>
        <x:v>0.47228560315664847</x:v>
      </x:c>
      <x:c r="M121" s="59" t="n">
        <x:f>E121*'模块规划'!$F$10+G121*'模块规划'!$F$11+H121*'模块规划'!$F$13</x:f>
        <x:v>4007.011080355804</x:v>
      </x:c>
      <x:c r="N121" s="59" t="n">
        <x:f>I121*'模块规划'!$F$15+J121*'模块规划'!$F$17+K121*'模块规划'!$F$16+L121*'模块规划'!$F$18</x:f>
        <x:v>8940.6573705946</x:v>
      </x:c>
      <x:c r="O121" s="59" t="n">
        <x:f>1+O$9*SUMPRODUCT($H$10:$L$10,H121:L121)/SUM($H$10:$L$10)</x:f>
        <x:v>2.274069887214406</x:v>
      </x:c>
      <x:c r="P121" s="59" t="n">
        <x:f>M121*O121+N121</x:f>
        <x:v>18052.880606166196</x:v>
      </x:c>
      <x:c r="Q121" s="59" t="n">
        <x:f>P121/(P121+'_曲线基线'!$L$2)</x:f>
        <x:v>0.4292899878901306</x:v>
      </x:c>
      <x:c r="R121" s="59" t="n">
        <x:f>E121*'模块规划'!$E$10+G121*'模块规划'!$E$11+H121*'模块规划'!$E$13</x:f>
        <x:v>6010.516620533706</x:v>
      </x:c>
      <x:c r="S121" s="59" t="n">
        <x:f>I121*'模块规划'!$E$15+J121*'模块规划'!$E$17+K121*'模块规划'!$E$16+L121*'模块规划'!$E$18</x:f>
        <x:v>13410.986055891899</x:v>
      </x:c>
      <x:c r="T121" s="59" t="n">
        <x:f>1+T$9*SUMPRODUCT($H$10:$L$10,H121:L121)/SUM($H$10:$L$10)</x:f>
        <x:v>2.274069887214406</x:v>
      </x:c>
      <x:c r="U121" s="59" t="n">
        <x:f>R121*T121+S121</x:f>
        <x:v>27079.320909249298</x:v>
      </x:c>
      <x:c r="V121" s="59" t="n">
        <x:f>V$8+(V$9-V$8)*H121</x:f>
        <x:v>0.8469679683505202</x:v>
      </x:c>
      <x:c r="W121" s="59" t="n">
        <x:f>IF(B121&lt;$H$8,0,W$8+(W$9-W$8)*H121)</x:f>
        <x:v>0.19595729113402696</x:v>
      </x:c>
      <x:c r="X121" s="59" t="n">
        <x:f>X$8+(X$9-X$8)*H121</x:f>
        <x:v>0.40972063765464356</x:v>
      </x:c>
      <x:c r="Y121" s="59" t="n">
        <x:f>Y$8+(Y$9-Y$8)*G121</x:f>
        <x:v>1</x:v>
      </x:c>
      <x:c r="Z121" s="59" t="n">
        <x:f>Z$8+(Z$9-Z$8)*H121</x:f>
        <x:v>1</x:v>
      </x:c>
      <x:c r="AA121" s="59" t="n">
        <x:f>AA$8+(AA$9-AA$8)*I121</x:f>
        <x:v>1</x:v>
      </x:c>
      <x:c r="AB121" s="59" t="n">
        <x:f>AB$8+(AB$9-AB$8)*J121</x:f>
        <x:v>1</x:v>
      </x:c>
      <x:c r="AC121" s="59" t="n">
        <x:f>AC$8+(AC$9-AC$8)*MAX(K121,L121)</x:f>
        <x:v>1</x:v>
      </x:c>
      <x:c r="AD121" s="59" t="n">
        <x:f>(V121*AE121+W121*AF121+X121*AG121)*PRODUCT(Y121:AC121)</x:f>
        <x:v>1.556331448849716</x:v>
      </x:c>
      <x:c r="AE121" s="59" t="n">
        <x:f>1+AE$9*($H$10*H121+$I$10*I121+$J$10*J121+$K$10*K121+$L$10*L121)</x:f>
        <x:v>1</x:v>
      </x:c>
      <x:c r="AF121" s="59" t="n">
        <x:f>1+AF$9*($H$10*H121+$I$10*I121+$J$10*J121+$K$10*K121+$L$10*L121)</x:f>
        <x:v>1.1124482734464536</x:v>
      </x:c>
      <x:c r="AG121" s="59" t="n">
        <x:f>1+AG$9*($H$10*H121+$I$10*I121+$J$10*J121+$K$10*K121+$L$10*L121)</x:f>
        <x:v>1.1992833290523277</x:v>
      </x:c>
      <x:c r="AH121" s="59" t="n">
        <x:f>MIN(1,'_曲线基线'!$L$3+AH$9*($H$10*H121+$I$10*I121+$J$10*J121+$K$10*K121+$L$10*L121))</x:f>
        <x:v>0.30581982209068187</x:v>
      </x:c>
      <x:c r="AI121" s="59" t="n">
        <x:f>'_曲线基线'!$L$4+AI$9*($H$10*H121+$I$10*I121+$J$10*J121+$K$10*K121+$L$10*L121)</x:f>
        <x:v>2.7126409329668997</x:v>
      </x:c>
      <x:c r="AJ121" s="59" t="n">
        <x:f>1+AJ$9*($H$10*H121+$I$10*I121+$J$10*J121+$K$10*K121+$L$10*L121)</x:f>
        <x:v>1.5847310219215587</x:v>
      </x:c>
      <x:c r="AK121" s="59" t="n">
        <x:f>(1+AH121*(AI121-1))*AJ121</x:f>
        <x:v>2.4147490215843384</x:v>
      </x:c>
      <x:c r="AL121" s="59" t="n">
        <x:f>U121*AD121*AK121*F121</x:f>
        <x:v>508840.7281684127</x:v>
      </x:c>
      <x:c r="AM121" s="59" t="n">
        <x:f>IF($B121&lt;AM$8,0,AM$3+(AM$4-AM$3)*(POWER(AM$5,$B121-AM$8)-1)/(POWER(AM$5,$C$5-AM$8)-1))</x:f>
        <x:v>37.628833194377194</x:v>
      </x:c>
      <x:c r="AN121" s="59" t="n">
        <x:f>(((E121*'模块规划'!$D$10+G121*'模块规划'!$D$11+H121*'模块规划'!$D$13)*(1+'模块规划'!$G$14*H121)+(I121*'模块规划'!$D$15+J121*'模块规划'!$D$17+K121*'模块规划'!$D$16+L121*'模块规划'!$D$18))*(1+'模块规划'!$J$17*J121))*F121/(1-Q121)</x:f>
        <x:v>923924.6157412946</x:v>
      </x:c>
      <x:c r="AO121" s="59" t="n">
        <x:f>AL121*AM121</x:f>
        <x:v>19147082.88275463</x:v>
      </x:c>
      <x:c r="AP121" s="61" t="n">
        <x:f>IF(AO121="","",INDEX('_曲线基线'!$A$3:$A$502,MIN(ROWS('_曲线基线'!$A$3:$A$502),COUNTIF('_曲线基线'!$E$3:$E$502,"&lt;"&amp;AO121)+1)))</x:f>
        <x:v>180</x:v>
      </x:c>
      <x:c r="AQ121" s="61" t="n">
        <x:f>IF(B121&lt;=2,1,IF(B121&lt;=6,2,IF(B121&lt;=9,3,IF(B121&lt;=19,4,5))))</x:f>
        <x:v>5</x:v>
      </x:c>
      <x:c r="AR121" s="59" t="n">
        <x:f>AN121*(1-Q121)/F121*$AS$3+U121*$AS$4+P121*$AS$5</x:f>
        <x:v>8579.622353679782</x:v>
      </x:c>
      <x:c r="AS121" s="59" t="n">
        <x:f>1+AH121*$AS$6+AI121*$AS$7+(AJ121-1)*$AS$8+($H$10*H121+$I$10*I121+$J$10*J121+$K$10*K121+$L$10*L121)*$AU$3*$AS$9+($H$10*H121+$I$10*I121+$J$10*J121+$K$10*K121+$L$10*L121)*$AU$4*$AS$10</x:f>
        <x:v>11.700492107776304</x:v>
      </x:c>
      <x:c r="AT121" s="60" t="n">
        <x:f>ROUND(AR121*AS121,0)</x:f>
        <x:v>100386</x:v>
      </x:c>
      <x:c r="AU121" s="60" t="n">
        <x:f>ROUND(AT121*F121,0)</x:f>
        <x:v>501930</x:v>
      </x:c>
      <x:c r="AV121" s="60" t="n">
        <x:f>MIN(MATCH(B121,'主线调参'!$M$11:$M$62,1),ROWS('主线调参'!$M$11:$M$62)-1)</x:f>
        <x:v>29</x:v>
      </x:c>
      <x:c r="AW121" s="62" t="n">
        <x:f>(B121-INDEX('主线调参'!$M$11:$M$62,AV121))/(INDEX('主线调参'!$M$11:$M$62,AV121+1)-INDEX('主线调参'!$M$11:$M$62,AV121))</x:f>
        <x:v>0.7142857142857143</x:v>
      </x:c>
      <x:c r="AX121" s="60" t="n">
        <x:f>IF(AU121=0,0,ROUND(AU121,2-INT(LOG10(ABS(AU121)))))</x:f>
        <x:v>502000</x:v>
      </x:c>
      <x:c r="AY121" s="62" t="n">
        <x:f>AU121/AU120-1</x:f>
        <x:v>0.019944525161801563</x:v>
      </x:c>
    </x:row>
    <x:row r="122" ht="25" customHeight="1">
      <x:c r="A122" s="40" t="str">
        <x:f>'调前玩家曲线'!A122</x:f>
      </x:c>
      <x:c r="B122" s="40" t="n">
        <x:f>'调前玩家曲线'!B122</x:f>
        <x:v>111</x:v>
      </x:c>
      <x:c r="C122" s="40" t="n">
        <x:f>'调前玩家曲线'!C122</x:f>
        <x:v>8</x:v>
      </x:c>
      <x:c r="D122" s="40" t="n">
        <x:f>'调前玩家曲线'!D122</x:f>
        <x:v>12</x:v>
      </x:c>
      <x:c r="E122" s="40" t="n">
        <x:f>'调前玩家曲线'!E122</x:f>
        <x:v>1</x:v>
      </x:c>
      <x:c r="F122" s="40" t="n">
        <x:f>'调前玩家曲线'!F122</x:f>
        <x:v>5</x:v>
      </x:c>
      <x:c r="G122" s="63" t="n">
        <x:f>IF(B122&lt;$G$8,0,(INDEX('主线调参'!$C$11:$C$62,$AV122)+(INDEX('主线调参'!$C$11:$C$62,$AV122+1)-INDEX('主线调参'!$C$11:$C$62,$AV122))*$AW122)*'参数说明'!$C$27)</x:f>
        <x:v>0.6292213514848237</x:v>
      </x:c>
      <x:c r="H122" s="63" t="n">
        <x:f>IF(B122&lt;$H$8,0,(INDEX('主线调参'!$D$11:$D$62,$AV122)+(INDEX('主线调参'!$D$11:$D$62,$AV122+1)-INDEX('主线调参'!$D$11:$D$62,$AV122))*$AW122)*'参数说明'!$D$27)</x:f>
        <x:v>0.4921989940848979</x:v>
      </x:c>
      <x:c r="I122" s="63" t="n">
        <x:f>IF(B122&lt;$I$8,0,(INDEX('主线调参'!$E$11:$E$62,$AV122)+(INDEX('主线调参'!$E$11:$E$62,$AV122+1)-INDEX('主线调参'!$E$11:$E$62,$AV122))*$AW122)*'参数说明'!$E$27)</x:f>
        <x:v>0.3078802530599321</x:v>
      </x:c>
      <x:c r="J122" s="63" t="n">
        <x:f>IF(B122&lt;$J$8,0,(INDEX('主线调参'!$F$11:$F$62,$AV122)+(INDEX('主线调参'!$F$11:$F$62,$AV122+1)-INDEX('主线调参'!$F$11:$F$62,$AV122))*$AW122)*'参数说明'!$F$27)</x:f>
        <x:v>0.36396004487598826</x:v>
      </x:c>
      <x:c r="K122" s="63" t="n">
        <x:f>IF(B122&lt;$K$8,0,(INDEX('主线调参'!$G$11:$G$62,$AV122)+(INDEX('主线调参'!$G$11:$G$62,$AV122+1)-INDEX('主线调参'!$G$11:$G$62,$AV122))*$AW122)*'参数说明'!$G$27)</x:f>
        <x:v>0.09949883932802749</x:v>
      </x:c>
      <x:c r="L122" s="63" t="n">
        <x:f>IF(B122&lt;$L$8,0,(INDEX('主线调参'!$H$11:$H$62,$AV122)+(INDEX('主线调参'!$H$11:$H$62,$AV122+1)-INDEX('主线调参'!$H$11:$H$62,$AV122))*$AW122)*'参数说明'!$H$27)</x:f>
        <x:v>0.4749051250486342</x:v>
      </x:c>
      <x:c r="M122" s="59" t="n">
        <x:f>E122*'模块规划'!$F$10+G122*'模块规划'!$F$11+H122*'模块规划'!$F$13</x:f>
        <x:v>4020.2624871271537</x:v>
      </x:c>
      <x:c r="N122" s="59" t="n">
        <x:f>I122*'模块规划'!$F$15+J122*'模块规划'!$F$17+K122*'模块规划'!$F$16+L122*'模块规划'!$F$18</x:f>
        <x:v>9074.161134450675</x:v>
      </x:c>
      <x:c r="O122" s="59" t="n">
        <x:f>1+O$9*SUMPRODUCT($H$10:$L$10,H122:L122)/SUM($H$10:$L$10)</x:f>
        <x:v>2.2893687411492487</x:v>
      </x:c>
      <x:c r="P122" s="59" t="n">
        <x:f>M122*O122+N122</x:f>
        <x:v>18278.024403694515</x:v>
      </x:c>
      <x:c r="Q122" s="59" t="n">
        <x:f>P122/(P122+'_曲线基线'!$L$2)</x:f>
        <x:v>0.43232919847828244</x:v>
      </x:c>
      <x:c r="R122" s="59" t="n">
        <x:f>E122*'模块规划'!$E$10+G122*'模块规划'!$E$11+H122*'模块规划'!$E$13</x:f>
        <x:v>6030.393730690731</x:v>
      </x:c>
      <x:c r="S122" s="59" t="n">
        <x:f>I122*'模块规划'!$E$15+J122*'模块规划'!$E$17+K122*'模块规划'!$E$16+L122*'模块规划'!$E$18</x:f>
        <x:v>13611.241701676014</x:v>
      </x:c>
      <x:c r="T122" s="59" t="n">
        <x:f>1+T$9*SUMPRODUCT($H$10:$L$10,H122:L122)/SUM($H$10:$L$10)</x:f>
        <x:v>2.2893687411492487</x:v>
      </x:c>
      <x:c r="U122" s="59" t="n">
        <x:f>R122*T122+S122</x:f>
        <x:v>27417.036605541776</x:v>
      </x:c>
      <x:c r="V122" s="59" t="n">
        <x:f>V$8+(V$9-V$8)*H122</x:f>
        <x:v>0.8476596982254694</x:v>
      </x:c>
      <x:c r="W122" s="59" t="n">
        <x:f>IF(B122&lt;$H$8,0,W$8+(W$9-W$8)*H122)</x:f>
        <x:v>0.19687959763395918</x:v>
      </x:c>
      <x:c r="X122" s="59" t="n">
        <x:f>X$8+(X$9-X$8)*H122</x:f>
        <x:v>0.410354723373347</x:v>
      </x:c>
      <x:c r="Y122" s="59" t="n">
        <x:f>Y$8+(Y$9-Y$8)*G122</x:f>
        <x:v>1</x:v>
      </x:c>
      <x:c r="Z122" s="59" t="n">
        <x:f>Z$8+(Z$9-Z$8)*H122</x:f>
        <x:v>1</x:v>
      </x:c>
      <x:c r="AA122" s="59" t="n">
        <x:f>AA$8+(AA$9-AA$8)*I122</x:f>
        <x:v>1</x:v>
      </x:c>
      <x:c r="AB122" s="59" t="n">
        <x:f>AB$8+(AB$9-AB$8)*J122</x:f>
        <x:v>1</x:v>
      </x:c>
      <x:c r="AC122" s="59" t="n">
        <x:f>AC$8+(AC$9-AC$8)*MAX(K122,L122)</x:f>
        <x:v>1</x:v>
      </x:c>
      <x:c r="AD122" s="59" t="n">
        <x:f>(V122*AE122+W122*AF122+X122*AG122)*PRODUCT(Y122:AC122)</x:f>
        <x:v>1.5600574498105528</x:v>
      </x:c>
      <x:c r="AE122" s="59" t="n">
        <x:f>1+AE$9*($H$10*H122+$I$10*I122+$J$10*J122+$K$10*K122+$L$10*L122)</x:f>
        <x:v>1</x:v>
      </x:c>
      <x:c r="AF122" s="59" t="n">
        <x:f>1+AF$9*($H$10*H122+$I$10*I122+$J$10*J122+$K$10*K122+$L$10*L122)</x:f>
        <x:v>1.1137985366682335</x:v>
      </x:c>
      <x:c r="AG122" s="59" t="n">
        <x:f>1+AG$9*($H$10*H122+$I$10*I122+$J$10*J122+$K$10*K122+$L$10*L122)</x:f>
        <x:v>1.2016762955398153</x:v>
      </x:c>
      <x:c r="AH122" s="59" t="n">
        <x:f>MIN(1,'_曲线基线'!$L$3+AH$9*($H$10*H122+$I$10*I122+$J$10*J122+$K$10*K122+$L$10*L122))</x:f>
        <x:v>0.3088916709202307</x:v>
      </x:c>
      <x:c r="AI122" s="59" t="n">
        <x:f>'_曲线基线'!$L$4+AI$9*($H$10*H122+$I$10*I122+$J$10*J122+$K$10*K122+$L$10*L122)</x:f>
        <x:v>2.7211982261349283</x:v>
      </x:c>
      <x:c r="AJ122" s="59" t="n">
        <x:f>1+AJ$9*($H$10*H122+$I$10*I122+$J$10*J122+$K$10*K122+$L$10*L122)</x:f>
        <x:v>1.591752390674813</x:v>
      </x:c>
      <x:c r="AK122" s="59" t="n">
        <x:f>(1+AH122*(AI122-1))*AJ122</x:f>
        <x:v>2.4380295090818076</x:v>
      </x:c>
      <x:c r="AL122" s="59" t="n">
        <x:f>U122*AD122*AK122*F122</x:f>
        <x:v>521398.8462527008</x:v>
      </x:c>
      <x:c r="AM122" s="59" t="n">
        <x:f>IF($B122&lt;AM$8,0,AM$3+(AM$4-AM$3)*(POWER(AM$5,$B122-AM$8)-1)/(POWER(AM$5,$C$5-AM$8)-1))</x:f>
        <x:v>37.66854616624284</x:v>
      </x:c>
      <x:c r="AN122" s="59" t="n">
        <x:f>(((E122*'模块规划'!$D$10+G122*'模块规划'!$D$11+H122*'模块规划'!$D$13)*(1+'模块规划'!$G$14*H122)+(I122*'模块规划'!$D$15+J122*'模块规划'!$D$17+K122*'模块规划'!$D$16+L122*'模块规划'!$D$18))*(1+'模块规划'!$J$17*J122))*F122/(1-Q122)</x:f>
        <x:v>941220.7107568042</x:v>
      </x:c>
      <x:c r="AO122" s="59" t="n">
        <x:f>AL122*AM122</x:f>
        <x:v>19640336.511095613</x:v>
      </x:c>
      <x:c r="AP122" s="61" t="n">
        <x:f>IF(AO122="","",INDEX('_曲线基线'!$A$3:$A$502,MIN(ROWS('_曲线基线'!$A$3:$A$502),COUNTIF('_曲线基线'!$E$3:$E$502,"&lt;"&amp;AO122)+1)))</x:f>
        <x:v>181</x:v>
      </x:c>
      <x:c r="AQ122" s="61" t="n">
        <x:f>IF(B122&lt;=2,1,IF(B122&lt;=6,2,IF(B122&lt;=9,3,IF(B122&lt;=19,4,5))))</x:f>
        <x:v>5</x:v>
      </x:c>
      <x:c r="AR122" s="59" t="n">
        <x:f>AN122*(1-Q122)/F122*$AS$3+U122*$AS$4+P122*$AS$5</x:f>
        <x:v>8689.228412813289</x:v>
      </x:c>
      <x:c r="AS122" s="59" t="n">
        <x:f>1+AH122*$AS$6+AI122*$AS$7+(AJ122-1)*$AS$8+($H$10*H122+$I$10*I122+$J$10*J122+$K$10*K122+$L$10*L122)*$AU$3*$AS$9+($H$10*H122+$I$10*I122+$J$10*J122+$K$10*K122+$L$10*L122)*$AU$4*$AS$10</x:f>
        <x:v>11.781171869514228</x:v>
      </x:c>
      <x:c r="AT122" s="60" t="n">
        <x:f>ROUND(AR122*AS122,0)</x:f>
        <x:v>102369</x:v>
      </x:c>
      <x:c r="AU122" s="60" t="n">
        <x:f>ROUND(AT122*F122,0)</x:f>
        <x:v>511845</x:v>
      </x:c>
      <x:c r="AV122" s="60" t="n">
        <x:f>MIN(MATCH(B122,'主线调参'!$M$11:$M$62,1),ROWS('主线调参'!$M$11:$M$62)-1)</x:f>
        <x:v>29</x:v>
      </x:c>
      <x:c r="AW122" s="62" t="n">
        <x:f>(B122-INDEX('主线调参'!$M$11:$M$62,AV122))/(INDEX('主线调参'!$M$11:$M$62,AV122+1)-INDEX('主线调参'!$M$11:$M$62,AV122))</x:f>
        <x:v>0.7857142857142857</x:v>
      </x:c>
      <x:c r="AX122" s="60" t="n">
        <x:f>IF(AU122=0,0,ROUND(AU122,2-INT(LOG10(ABS(AU122)))))</x:f>
        <x:v>512000</x:v>
      </x:c>
      <x:c r="AY122" s="62" t="n">
        <x:f>AU122/AU121-1</x:f>
        <x:v>0.019753750522981228</x:v>
      </x:c>
    </x:row>
    <x:row r="123" ht="25" customHeight="1">
      <x:c r="A123" s="40" t="str">
        <x:f>'调前玩家曲线'!A123</x:f>
      </x:c>
      <x:c r="B123" s="40" t="n">
        <x:f>'调前玩家曲线'!B123</x:f>
        <x:v>112</x:v>
      </x:c>
      <x:c r="C123" s="40" t="n">
        <x:f>'调前玩家曲线'!C123</x:f>
        <x:v>8</x:v>
      </x:c>
      <x:c r="D123" s="40" t="n">
        <x:f>'调前玩家曲线'!D123</x:f>
        <x:v>13</x:v>
      </x:c>
      <x:c r="E123" s="40" t="n">
        <x:f>'调前玩家曲线'!E123</x:f>
        <x:v>1</x:v>
      </x:c>
      <x:c r="F123" s="40" t="n">
        <x:f>'调前玩家曲线'!F123</x:f>
        <x:v>5</x:v>
      </x:c>
      <x:c r="G123" s="63" t="n">
        <x:f>IF(B123&lt;$G$8,0,(INDEX('主线调参'!$C$11:$C$62,$AV123)+(INDEX('主线调参'!$C$11:$C$62,$AV123+1)-INDEX('主线调参'!$C$11:$C$62,$AV123))*$AW123)*'参数说明'!$C$27)</x:f>
        <x:v>0.6319820612288548</x:v>
      </x:c>
      <x:c r="H123" s="63" t="n">
        <x:f>IF(B123&lt;$H$8,0,(INDEX('主线调参'!$D$11:$D$62,$AV123)+(INDEX('主线调参'!$D$11:$D$62,$AV123+1)-INDEX('主线调参'!$D$11:$D$62,$AV123))*$AW123)*'参数说明'!$D$27)</x:f>
        <x:v>0.4945047603347285</x:v>
      </x:c>
      <x:c r="I123" s="63" t="n">
        <x:f>IF(B123&lt;$I$8,0,(INDEX('主线调参'!$E$11:$E$62,$AV123)+(INDEX('主线调参'!$E$11:$E$62,$AV123+1)-INDEX('主线调参'!$E$11:$E$62,$AV123))*$AW123)*'参数说明'!$E$27)</x:f>
        <x:v>0.312664888247309</x:v>
      </x:c>
      <x:c r="J123" s="63" t="n">
        <x:f>IF(B123&lt;$J$8,0,(INDEX('主线调参'!$F$11:$F$62,$AV123)+(INDEX('主线调参'!$F$11:$F$62,$AV123+1)-INDEX('主线调参'!$F$11:$F$62,$AV123))*$AW123)*'参数说明'!$F$27)</x:f>
        <x:v>0.36674574274780913</x:v>
      </x:c>
      <x:c r="K123" s="63" t="n">
        <x:f>IF(B123&lt;$K$8,0,(INDEX('主线调参'!$G$11:$G$62,$AV123)+(INDEX('主线调参'!$G$11:$G$62,$AV123+1)-INDEX('主线调参'!$G$11:$G$62,$AV123))*$AW123)*'参数说明'!$G$27)</x:f>
        <x:v>0.10854418835784817</x:v>
      </x:c>
      <x:c r="L123" s="63" t="n">
        <x:f>IF(B123&lt;$L$8,0,(INDEX('主线调参'!$H$11:$H$62,$AV123)+(INDEX('主线调参'!$H$11:$H$62,$AV123+1)-INDEX('主线调参'!$H$11:$H$62,$AV123))*$AW123)*'参数说明'!$H$27)</x:f>
        <x:v>0.4775246469406199</x:v>
      </x:c>
      <x:c r="M123" s="59" t="n">
        <x:f>E123*'模块规划'!$F$10+G123*'模块规划'!$F$11+H123*'模块规划'!$F$13</x:f>
        <x:v>4033.5138938985033</x:v>
      </x:c>
      <x:c r="N123" s="59" t="n">
        <x:f>I123*'模块规划'!$F$15+J123*'模块规划'!$F$17+K123*'模块规划'!$F$16+L123*'模块规划'!$F$18</x:f>
        <x:v>9207.664898306752</x:v>
      </x:c>
      <x:c r="O123" s="59" t="n">
        <x:f>1+O$9*SUMPRODUCT($H$10:$L$10,H123:L123)/SUM($H$10:$L$10)</x:f>
        <x:v>2.304667595084092</x:v>
      </x:c>
      <x:c r="P123" s="59" t="n">
        <x:f>M123*O123+N123</x:f>
        <x:v>18503.573663896088</x:v>
      </x:c>
      <x:c r="Q123" s="59" t="n">
        <x:f>P123/(P123+'_曲线基线'!$L$2)</x:f>
        <x:v>0.4353415976316745</x:v>
      </x:c>
      <x:c r="R123" s="59" t="n">
        <x:f>E123*'模块规划'!$E$10+G123*'模块规划'!$E$11+H123*'模块规划'!$E$13</x:f>
        <x:v>6050.270840847755</x:v>
      </x:c>
      <x:c r="S123" s="59" t="n">
        <x:f>I123*'模块规划'!$E$15+J123*'模块规划'!$E$17+K123*'模块规划'!$E$16+L123*'模块规划'!$E$18</x:f>
        <x:v>13811.497347460128</x:v>
      </x:c>
      <x:c r="T123" s="59" t="n">
        <x:f>1+T$9*SUMPRODUCT($H$10:$L$10,H123:L123)/SUM($H$10:$L$10)</x:f>
        <x:v>2.304667595084092</x:v>
      </x:c>
      <x:c r="U123" s="59" t="n">
        <x:f>R123*T123+S123</x:f>
        <x:v>27755.36049584413</x:v>
      </x:c>
      <x:c r="V123" s="59" t="n">
        <x:f>V$8+(V$9-V$8)*H123</x:f>
        <x:v>0.8483514281004185</x:v>
      </x:c>
      <x:c r="W123" s="59" t="n">
        <x:f>IF(B123&lt;$H$8,0,W$8+(W$9-W$8)*H123)</x:f>
        <x:v>0.19780190413389143</x:v>
      </x:c>
      <x:c r="X123" s="59" t="n">
        <x:f>X$8+(X$9-X$8)*H123</x:f>
        <x:v>0.4109888090920504</x:v>
      </x:c>
      <x:c r="Y123" s="59" t="n">
        <x:f>Y$8+(Y$9-Y$8)*G123</x:f>
        <x:v>1</x:v>
      </x:c>
      <x:c r="Z123" s="59" t="n">
        <x:f>Z$8+(Z$9-Z$8)*H123</x:f>
        <x:v>1</x:v>
      </x:c>
      <x:c r="AA123" s="59" t="n">
        <x:f>AA$8+(AA$9-AA$8)*I123</x:f>
        <x:v>1</x:v>
      </x:c>
      <x:c r="AB123" s="59" t="n">
        <x:f>AB$8+(AB$9-AB$8)*J123</x:f>
        <x:v>1</x:v>
      </x:c>
      <x:c r="AC123" s="59" t="n">
        <x:f>AC$8+(AC$9-AC$8)*MAX(K123,L123)</x:f>
        <x:v>1</x:v>
      </x:c>
      <x:c r="AD123" s="59" t="n">
        <x:f>(V123*AE123+W123*AF123+X123*AG123)*PRODUCT(Y123:AC123)</x:f>
        <x:v>1.563788976176232</x:v>
      </x:c>
      <x:c r="AE123" s="59" t="n">
        <x:f>1+AE$9*($H$10*H123+$I$10*I123+$J$10*J123+$K$10*K123+$L$10*L123)</x:f>
        <x:v>1</x:v>
      </x:c>
      <x:c r="AF123" s="59" t="n">
        <x:f>1+AF$9*($H$10*H123+$I$10*I123+$J$10*J123+$K$10*K123+$L$10*L123)</x:f>
        <x:v>1.1151487998900131</x:v>
      </x:c>
      <x:c r="AG123" s="59" t="n">
        <x:f>1+AG$9*($H$10*H123+$I$10*I123+$J$10*J123+$K$10*K123+$L$10*L123)</x:f>
        <x:v>1.2040692620273026</x:v>
      </x:c>
      <x:c r="AH123" s="59" t="n">
        <x:f>MIN(1,'_曲线基线'!$L$3+AH$9*($H$10*H123+$I$10*I123+$J$10*J123+$K$10*K123+$L$10*L123))</x:f>
        <x:v>0.3119635197497794</x:v>
      </x:c>
      <x:c r="AI123" s="59" t="n">
        <x:f>'_曲线基线'!$L$4+AI$9*($H$10*H123+$I$10*I123+$J$10*J123+$K$10*K123+$L$10*L123)</x:f>
        <x:v>2.729755519302957</x:v>
      </x:c>
      <x:c r="AJ123" s="59" t="n">
        <x:f>1+AJ$9*($H$10*H123+$I$10*I123+$J$10*J123+$K$10*K123+$L$10*L123)</x:f>
        <x:v>1.5987737594280675</x:v>
      </x:c>
      <x:c r="AK123" s="59" t="n">
        <x:f>(1+AH123*(AI123-1))*AJ123</x:f>
        <x:v>2.461505046903612</x:v>
      </x:c>
      <x:c r="AL123" s="59" t="n">
        <x:f>U123*AD123*AK123*F123</x:f>
        <x:v>534190.0010282187</x:v>
      </x:c>
      <x:c r="AM123" s="59" t="n">
        <x:f>IF($B123&lt;AM$8,0,AM$3+(AM$4-AM$3)*(POWER(AM$5,$B123-AM$8)-1)/(POWER(AM$5,$C$5-AM$8)-1))</x:f>
        <x:v>37.70865626782714</x:v>
      </x:c>
      <x:c r="AN123" s="59" t="n">
        <x:f>(((E123*'模块规划'!$D$10+G123*'模块规划'!$D$11+H123*'模块规划'!$D$13)*(1+'模块规划'!$G$14*H123)+(I123*'模块规划'!$D$15+J123*'模块规划'!$D$17+K123*'模块规划'!$D$16+L123*'模块规划'!$D$18))*(1+'模块规划'!$J$17*J123))*F123/(1-Q123)</x:f>
        <x:v>958708.6274462478</x:v>
      </x:c>
      <x:c r="AO123" s="59" t="n">
        <x:f>AL123*AM123</x:f>
        <x:v>20143587.13048332</x:v>
      </x:c>
      <x:c r="AP123" s="61" t="n">
        <x:f>IF(AO123="","",INDEX('_曲线基线'!$A$3:$A$502,MIN(ROWS('_曲线基线'!$A$3:$A$502),COUNTIF('_曲线基线'!$E$3:$E$502,"&lt;"&amp;AO123)+1)))</x:f>
        <x:v>183</x:v>
      </x:c>
      <x:c r="AQ123" s="61" t="n">
        <x:f>IF(B123&lt;=2,1,IF(B123&lt;=6,2,IF(B123&lt;=9,3,IF(B123&lt;=19,4,5))))</x:f>
        <x:v>5</x:v>
      </x:c>
      <x:c r="AR123" s="59" t="n">
        <x:f>AN123*(1-Q123)/F123*$AS$3+U123*$AS$4+P123*$AS$5</x:f>
        <x:v>8799.129390631995</x:v>
      </x:c>
      <x:c r="AS123" s="59" t="n">
        <x:f>1+AH123*$AS$6+AI123*$AS$7+(AJ123-1)*$AS$8+($H$10*H123+$I$10*I123+$J$10*J123+$K$10*K123+$L$10*L123)*$AU$3*$AS$9+($H$10*H123+$I$10*I123+$J$10*J123+$K$10*K123+$L$10*L123)*$AU$4*$AS$10</x:f>
        <x:v>11.86185163125215</x:v>
      </x:c>
      <x:c r="AT123" s="60" t="n">
        <x:f>ROUND(AR123*AS123,0)</x:f>
        <x:v>104374</x:v>
      </x:c>
      <x:c r="AU123" s="60" t="n">
        <x:f>ROUND(AT123*F123,0)</x:f>
        <x:v>521870</x:v>
      </x:c>
      <x:c r="AV123" s="60" t="n">
        <x:f>MIN(MATCH(B123,'主线调参'!$M$11:$M$62,1),ROWS('主线调参'!$M$11:$M$62)-1)</x:f>
        <x:v>29</x:v>
      </x:c>
      <x:c r="AW123" s="62" t="n">
        <x:f>(B123-INDEX('主线调参'!$M$11:$M$62,AV123))/(INDEX('主线调参'!$M$11:$M$62,AV123+1)-INDEX('主线调参'!$M$11:$M$62,AV123))</x:f>
        <x:v>0.8571428571428571</x:v>
      </x:c>
      <x:c r="AX123" s="60" t="n">
        <x:f>IF(AU123=0,0,ROUND(AU123,2-INT(LOG10(ABS(AU123)))))</x:f>
        <x:v>522000</x:v>
      </x:c>
      <x:c r="AY123" s="62" t="n">
        <x:f>AU123/AU122-1</x:f>
        <x:v>0.01958600748273409</x:v>
      </x:c>
    </x:row>
    <x:row r="124" ht="25" customHeight="1">
      <x:c r="A124" s="40" t="str">
        <x:f>'调前玩家曲线'!A124</x:f>
      </x:c>
      <x:c r="B124" s="40" t="n">
        <x:f>'调前玩家曲线'!B124</x:f>
        <x:v>113</x:v>
      </x:c>
      <x:c r="C124" s="40" t="n">
        <x:f>'调前玩家曲线'!C124</x:f>
        <x:v>8</x:v>
      </x:c>
      <x:c r="D124" s="40" t="n">
        <x:f>'调前玩家曲线'!D124</x:f>
        <x:v>14</x:v>
      </x:c>
      <x:c r="E124" s="40" t="n">
        <x:f>'调前玩家曲线'!E124</x:f>
        <x:v>1</x:v>
      </x:c>
      <x:c r="F124" s="40" t="n">
        <x:f>'调前玩家曲线'!F124</x:f>
        <x:v>5</x:v>
      </x:c>
      <x:c r="G124" s="63" t="n">
        <x:f>IF(B124&lt;$G$8,0,(INDEX('主线调参'!$C$11:$C$62,$AV124)+(INDEX('主线调参'!$C$11:$C$62,$AV124+1)-INDEX('主线调参'!$C$11:$C$62,$AV124))*$AW124)*'参数说明'!$C$27)</x:f>
        <x:v>0.6347427709728859</x:v>
      </x:c>
      <x:c r="H124" s="63" t="n">
        <x:f>IF(B124&lt;$H$8,0,(INDEX('主线调参'!$D$11:$D$62,$AV124)+(INDEX('主线调参'!$D$11:$D$62,$AV124+1)-INDEX('主线调参'!$D$11:$D$62,$AV124))*$AW124)*'参数说明'!$D$27)</x:f>
        <x:v>0.49681052658455915</x:v>
      </x:c>
      <x:c r="I124" s="63" t="n">
        <x:f>IF(B124&lt;$I$8,0,(INDEX('主线调参'!$E$11:$E$62,$AV124)+(INDEX('主线调参'!$E$11:$E$62,$AV124+1)-INDEX('主线调参'!$E$11:$E$62,$AV124))*$AW124)*'参数说明'!$E$27)</x:f>
        <x:v>0.31744952343468585</x:v>
      </x:c>
      <x:c r="J124" s="63" t="n">
        <x:f>IF(B124&lt;$J$8,0,(INDEX('主线调参'!$F$11:$F$62,$AV124)+(INDEX('主线调参'!$F$11:$F$62,$AV124+1)-INDEX('主线调参'!$F$11:$F$62,$AV124))*$AW124)*'参数说明'!$F$27)</x:f>
        <x:v>0.36953144061963006</x:v>
      </x:c>
      <x:c r="K124" s="63" t="n">
        <x:f>IF(B124&lt;$K$8,0,(INDEX('主线调参'!$G$11:$G$62,$AV124)+(INDEX('主线调参'!$G$11:$G$62,$AV124+1)-INDEX('主线调参'!$G$11:$G$62,$AV124))*$AW124)*'参数说明'!$G$27)</x:f>
        <x:v>0.11758953738766886</x:v>
      </x:c>
      <x:c r="L124" s="63" t="n">
        <x:f>IF(B124&lt;$L$8,0,(INDEX('主线调参'!$H$11:$H$62,$AV124)+(INDEX('主线调参'!$H$11:$H$62,$AV124+1)-INDEX('主线调参'!$H$11:$H$62,$AV124))*$AW124)*'参数说明'!$H$27)</x:f>
        <x:v>0.48014416883260574</x:v>
      </x:c>
      <x:c r="M124" s="59" t="n">
        <x:f>E124*'模块规划'!$F$10+G124*'模块规划'!$F$11+H124*'模块规划'!$F$13</x:f>
        <x:v>4046.7653006698524</x:v>
      </x:c>
      <x:c r="N124" s="59" t="n">
        <x:f>I124*'模块规划'!$F$15+J124*'模块规划'!$F$17+K124*'模块规划'!$F$16+L124*'模块规划'!$F$18</x:f>
        <x:v>9341.168662162829</x:v>
      </x:c>
      <x:c r="O124" s="59" t="n">
        <x:f>1+O$9*SUMPRODUCT($H$10:$L$10,H124:L124)/SUM($H$10:$L$10)</x:f>
        <x:v>2.319966449018936</x:v>
      </x:c>
      <x:c r="P124" s="59" t="n">
        <x:f>M124*O124+N124</x:f>
        <x:v>18729.52838677091</x:v>
      </x:c>
      <x:c r="Q124" s="59" t="n">
        <x:f>P124/(P124+'_曲线基线'!$L$2)</x:f>
        <x:v>0.43832752417107385</x:v>
      </x:c>
      <x:c r="R124" s="59" t="n">
        <x:f>E124*'模块规划'!$E$10+G124*'模块规划'!$E$11+H124*'模块规划'!$E$13</x:f>
        <x:v>6070.147951004778</x:v>
      </x:c>
      <x:c r="S124" s="59" t="n">
        <x:f>I124*'模块规划'!$E$15+J124*'模块规划'!$E$17+K124*'模块规划'!$E$16+L124*'模块规划'!$E$18</x:f>
        <x:v>14011.752993244245</x:v>
      </x:c>
      <x:c r="T124" s="59" t="n">
        <x:f>1+T$9*SUMPRODUCT($H$10:$L$10,H124:L124)/SUM($H$10:$L$10)</x:f>
        <x:v>2.319966449018936</x:v>
      </x:c>
      <x:c r="U124" s="59" t="n">
        <x:f>R124*T124+S124</x:f>
        <x:v>28094.29258015637</x:v>
      </x:c>
      <x:c r="V124" s="59" t="n">
        <x:f>V$8+(V$9-V$8)*H124</x:f>
        <x:v>0.8490431579753677</x:v>
      </x:c>
      <x:c r="W124" s="59" t="n">
        <x:f>IF(B124&lt;$H$8,0,W$8+(W$9-W$8)*H124)</x:f>
        <x:v>0.19872421063382367</x:v>
      </x:c>
      <x:c r="X124" s="59" t="n">
        <x:f>X$8+(X$9-X$8)*H124</x:f>
        <x:v>0.41162289481075376</x:v>
      </x:c>
      <x:c r="Y124" s="59" t="n">
        <x:f>Y$8+(Y$9-Y$8)*G124</x:f>
        <x:v>1</x:v>
      </x:c>
      <x:c r="Z124" s="59" t="n">
        <x:f>Z$8+(Z$9-Z$8)*H124</x:f>
        <x:v>1</x:v>
      </x:c>
      <x:c r="AA124" s="59" t="n">
        <x:f>AA$8+(AA$9-AA$8)*I124</x:f>
        <x:v>1</x:v>
      </x:c>
      <x:c r="AB124" s="59" t="n">
        <x:f>AB$8+(AB$9-AB$8)*J124</x:f>
        <x:v>1</x:v>
      </x:c>
      <x:c r="AC124" s="59" t="n">
        <x:f>AC$8+(AC$9-AC$8)*MAX(K124,L124)</x:f>
        <x:v>1</x:v>
      </x:c>
      <x:c r="AD124" s="59" t="n">
        <x:f>(V124*AE124+W124*AF124+X124*AG124)*PRODUCT(Y124:AC124)</x:f>
        <x:v>1.5675260279467533</x:v>
      </x:c>
      <x:c r="AE124" s="59" t="n">
        <x:f>1+AE$9*($H$10*H124+$I$10*I124+$J$10*J124+$K$10*K124+$L$10*L124)</x:f>
        <x:v>1</x:v>
      </x:c>
      <x:c r="AF124" s="59" t="n">
        <x:f>1+AF$9*($H$10*H124+$I$10*I124+$J$10*J124+$K$10*K124+$L$10*L124)</x:f>
        <x:v>1.1164990631117928</x:v>
      </x:c>
      <x:c r="AG124" s="59" t="n">
        <x:f>1+AG$9*($H$10*H124+$I$10*I124+$J$10*J124+$K$10*K124+$L$10*L124)</x:f>
        <x:v>1.20646222851479</x:v>
      </x:c>
      <x:c r="AH124" s="59" t="n">
        <x:f>MIN(1,'_曲线基线'!$L$3+AH$9*($H$10*H124+$I$10*I124+$J$10*J124+$K$10*K124+$L$10*L124))</x:f>
        <x:v>0.3150353685793283</x:v>
      </x:c>
      <x:c r="AI124" s="59" t="n">
        <x:f>'_曲线基线'!$L$4+AI$9*($H$10*H124+$I$10*I124+$J$10*J124+$K$10*K124+$L$10*L124)</x:f>
        <x:v>2.738312812470986</x:v>
      </x:c>
      <x:c r="AJ124" s="59" t="n">
        <x:f>1+AJ$9*($H$10*H124+$I$10*I124+$J$10*J124+$K$10*K124+$L$10*L124)</x:f>
        <x:v>1.6057951281813219</x:v>
      </x:c>
      <x:c r="AK124" s="59" t="n">
        <x:f>(1+AH124*(AI124-1))*AJ124</x:f>
        <x:v>2.4851767424619005</x:v>
      </x:c>
      <x:c r="AL124" s="59" t="n">
        <x:f>U124*AD124*AK124*F124</x:f>
        <x:v>547217.7129829645</x:v>
      </x:c>
      <x:c r="AM124" s="59" t="n">
        <x:f>IF($B124&lt;AM$8,0,AM$3+(AM$4-AM$3)*(POWER(AM$5,$B124-AM$8)-1)/(POWER(AM$5,$C$5-AM$8)-1))</x:f>
        <x:v>37.749167470427274</x:v>
      </x:c>
      <x:c r="AN124" s="59" t="n">
        <x:f>(((E124*'模块规划'!$D$10+G124*'模块规划'!$D$11+H124*'模块规划'!$D$13)*(1+'模块规划'!$G$14*H124)+(I124*'模块规划'!$D$15+J124*'模块规划'!$D$17+K124*'模块规划'!$D$16+L124*'模块规划'!$D$18))*(1+'模块规划'!$J$17*J124))*F124/(1-Q124)</x:f>
        <x:v>976389.5613664851</x:v>
      </x:c>
      <x:c r="AO124" s="59" t="n">
        <x:f>AL124*AM124</x:f>
        <x:v>20657013.090178132</x:v>
      </x:c>
      <x:c r="AP124" s="61" t="n">
        <x:f>IF(AO124="","",INDEX('_曲线基线'!$A$3:$A$502,MIN(ROWS('_曲线基线'!$A$3:$A$502),COUNTIF('_曲线基线'!$E$3:$E$502,"&lt;"&amp;AO124)+1)))</x:f>
        <x:v>184</x:v>
      </x:c>
      <x:c r="AQ124" s="61" t="n">
        <x:f>IF(B124&lt;=2,1,IF(B124&lt;=6,2,IF(B124&lt;=9,3,IF(B124&lt;=19,4,5))))</x:f>
        <x:v>5</x:v>
      </x:c>
      <x:c r="AR124" s="59" t="n">
        <x:f>AN124*(1-Q124)/F124*$AS$3+U124*$AS$4+P124*$AS$5</x:f>
        <x:v>8909.325369868671</x:v>
      </x:c>
      <x:c r="AS124" s="59" t="n">
        <x:f>1+AH124*$AS$6+AI124*$AS$7+(AJ124-1)*$AS$8+($H$10*H124+$I$10*I124+$J$10*J124+$K$10*K124+$L$10*L124)*$AU$3*$AS$9+($H$10*H124+$I$10*I124+$J$10*J124+$K$10*K124+$L$10*L124)*$AU$4*$AS$10</x:f>
        <x:v>11.942531392990071</x:v>
      </x:c>
      <x:c r="AT124" s="60" t="n">
        <x:f>ROUND(AR124*AS124,0)</x:f>
        <x:v>106400</x:v>
      </x:c>
      <x:c r="AU124" s="60" t="n">
        <x:f>ROUND(AT124*F124,0)</x:f>
        <x:v>532000</x:v>
      </x:c>
      <x:c r="AV124" s="60" t="n">
        <x:f>MIN(MATCH(B124,'主线调参'!$M$11:$M$62,1),ROWS('主线调参'!$M$11:$M$62)-1)</x:f>
        <x:v>29</x:v>
      </x:c>
      <x:c r="AW124" s="62" t="n">
        <x:f>(B124-INDEX('主线调参'!$M$11:$M$62,AV124))/(INDEX('主线调参'!$M$11:$M$62,AV124+1)-INDEX('主线调参'!$M$11:$M$62,AV124))</x:f>
        <x:v>0.9285714285714286</x:v>
      </x:c>
      <x:c r="AX124" s="60" t="n">
        <x:f>IF(AU124=0,0,ROUND(AU124,2-INT(LOG10(ABS(AU124)))))</x:f>
        <x:v>532000</x:v>
      </x:c>
      <x:c r="AY124" s="62" t="n">
        <x:f>AU124/AU123-1</x:f>
        <x:v>0.019410964416425536</x:v>
      </x:c>
    </x:row>
    <x:row r="125" ht="25" customHeight="1">
      <x:c r="A125" s="40" t="str">
        <x:f>'调前玩家曲线'!A125</x:f>
      </x:c>
      <x:c r="B125" s="40" t="n">
        <x:f>'调前玩家曲线'!B125</x:f>
        <x:v>114</x:v>
      </x:c>
      <x:c r="C125" s="40" t="n">
        <x:f>'调前玩家曲线'!C125</x:f>
        <x:v>8</x:v>
      </x:c>
      <x:c r="D125" s="40" t="n">
        <x:f>'调前玩家曲线'!D125</x:f>
        <x:v>15</x:v>
      </x:c>
      <x:c r="E125" s="40" t="n">
        <x:f>'调前玩家曲线'!E125</x:f>
        <x:v>1</x:v>
      </x:c>
      <x:c r="F125" s="40" t="n">
        <x:f>'调前玩家曲线'!F125</x:f>
        <x:v>5</x:v>
      </x:c>
      <x:c r="G125" s="63" t="n">
        <x:f>IF(B125&lt;$G$8,0,(INDEX('主线调参'!$C$11:$C$62,$AV125)+(INDEX('主线调参'!$C$11:$C$62,$AV125+1)-INDEX('主线调参'!$C$11:$C$62,$AV125))*$AW125)*'参数说明'!$C$27)</x:f>
        <x:v>0.6375034807169171</x:v>
      </x:c>
      <x:c r="H125" s="63" t="n">
        <x:f>IF(B125&lt;$H$8,0,(INDEX('主线调参'!$D$11:$D$62,$AV125)+(INDEX('主线调参'!$D$11:$D$62,$AV125+1)-INDEX('主线调参'!$D$11:$D$62,$AV125))*$AW125)*'参数说明'!$D$27)</x:f>
        <x:v>0.4991162928343898</x:v>
      </x:c>
      <x:c r="I125" s="63" t="n">
        <x:f>IF(B125&lt;$I$8,0,(INDEX('主线调参'!$E$11:$E$62,$AV125)+(INDEX('主线调参'!$E$11:$E$62,$AV125+1)-INDEX('主线调参'!$E$11:$E$62,$AV125))*$AW125)*'参数说明'!$E$27)</x:f>
        <x:v>0.32223415862206267</x:v>
      </x:c>
      <x:c r="J125" s="63" t="n">
        <x:f>IF(B125&lt;$J$8,0,(INDEX('主线调参'!$F$11:$F$62,$AV125)+(INDEX('主线调参'!$F$11:$F$62,$AV125+1)-INDEX('主线调参'!$F$11:$F$62,$AV125))*$AW125)*'参数说明'!$F$27)</x:f>
        <x:v>0.372317138491451</x:v>
      </x:c>
      <x:c r="K125" s="63" t="n">
        <x:f>IF(B125&lt;$K$8,0,(INDEX('主线调参'!$G$11:$G$62,$AV125)+(INDEX('主线调参'!$G$11:$G$62,$AV125+1)-INDEX('主线调参'!$G$11:$G$62,$AV125))*$AW125)*'参数说明'!$G$27)</x:f>
        <x:v>0.12663488641748954</x:v>
      </x:c>
      <x:c r="L125" s="63" t="n">
        <x:f>IF(B125&lt;$L$8,0,(INDEX('主线调参'!$H$11:$H$62,$AV125)+(INDEX('主线调参'!$H$11:$H$62,$AV125+1)-INDEX('主线调参'!$H$11:$H$62,$AV125))*$AW125)*'参数说明'!$H$27)</x:f>
        <x:v>0.4827636907245915</x:v>
      </x:c>
      <x:c r="M125" s="59" t="n">
        <x:f>E125*'模块规划'!$F$10+G125*'模块规划'!$F$11+H125*'模块规划'!$F$13</x:f>
        <x:v>4060.016707441202</x:v>
      </x:c>
      <x:c r="N125" s="59" t="n">
        <x:f>I125*'模块规划'!$F$15+J125*'模块规划'!$F$17+K125*'模块规划'!$F$16+L125*'模块规划'!$F$18</x:f>
        <x:v>9474.672426018906</x:v>
      </x:c>
      <x:c r="O125" s="59" t="n">
        <x:f>1+O$9*SUMPRODUCT($H$10:$L$10,H125:L125)/SUM($H$10:$L$10)</x:f>
        <x:v>2.335265302953778</x:v>
      </x:c>
      <x:c r="P125" s="59" t="n">
        <x:f>M125*O125+N125</x:f>
        <x:v>18955.888572318985</x:v>
      </x:c>
      <x:c r="Q125" s="59" t="n">
        <x:f>P125/(P125+'_曲线基线'!$L$2)</x:f>
        <x:v>0.44128731129389936</x:v>
      </x:c>
      <x:c r="R125" s="59" t="n">
        <x:f>E125*'模块规划'!$E$10+G125*'模块规划'!$E$11+H125*'模块规划'!$E$13</x:f>
        <x:v>6090.025061161803</x:v>
      </x:c>
      <x:c r="S125" s="59" t="n">
        <x:f>I125*'模块规划'!$E$15+J125*'模块规划'!$E$17+K125*'模块规划'!$E$16+L125*'模块规划'!$E$18</x:f>
        <x:v>14212.00863902836</x:v>
      </x:c>
      <x:c r="T125" s="59" t="n">
        <x:f>1+T$9*SUMPRODUCT($H$10:$L$10,H125:L125)/SUM($H$10:$L$10)</x:f>
        <x:v>2.335265302953778</x:v>
      </x:c>
      <x:c r="U125" s="59" t="n">
        <x:f>R125*T125+S125</x:f>
        <x:v>28433.83285847848</x:v>
      </x:c>
      <x:c r="V125" s="59" t="n">
        <x:f>V$8+(V$9-V$8)*H125</x:f>
        <x:v>0.8497348878503169</x:v>
      </x:c>
      <x:c r="W125" s="59" t="n">
        <x:f>IF(B125&lt;$H$8,0,W$8+(W$9-W$8)*H125)</x:f>
        <x:v>0.19964651713375592</x:v>
      </x:c>
      <x:c r="X125" s="59" t="n">
        <x:f>X$8+(X$9-X$8)*H125</x:f>
        <x:v>0.41225698052945725</x:v>
      </x:c>
      <x:c r="Y125" s="59" t="n">
        <x:f>Y$8+(Y$9-Y$8)*G125</x:f>
        <x:v>1</x:v>
      </x:c>
      <x:c r="Z125" s="59" t="n">
        <x:f>Z$8+(Z$9-Z$8)*H125</x:f>
        <x:v>1</x:v>
      </x:c>
      <x:c r="AA125" s="59" t="n">
        <x:f>AA$8+(AA$9-AA$8)*I125</x:f>
        <x:v>1</x:v>
      </x:c>
      <x:c r="AB125" s="59" t="n">
        <x:f>AB$8+(AB$9-AB$8)*J125</x:f>
        <x:v>1</x:v>
      </x:c>
      <x:c r="AC125" s="59" t="n">
        <x:f>AC$8+(AC$9-AC$8)*MAX(K125,L125)</x:f>
        <x:v>1</x:v>
      </x:c>
      <x:c r="AD125" s="59" t="n">
        <x:f>(V125*AE125+W125*AF125+X125*AG125)*PRODUCT(Y125:AC125)</x:f>
        <x:v>1.5712686051221172</x:v>
      </x:c>
      <x:c r="AE125" s="59" t="n">
        <x:f>1+AE$9*($H$10*H125+$I$10*I125+$J$10*J125+$K$10*K125+$L$10*L125)</x:f>
        <x:v>1</x:v>
      </x:c>
      <x:c r="AF125" s="59" t="n">
        <x:f>1+AF$9*($H$10*H125+$I$10*I125+$J$10*J125+$K$10*K125+$L$10*L125)</x:f>
        <x:v>1.1178493263335725</x:v>
      </x:c>
      <x:c r="AG125" s="59" t="n">
        <x:f>1+AG$9*($H$10*H125+$I$10*I125+$J$10*J125+$K$10*K125+$L$10*L125)</x:f>
        <x:v>1.2088551950022772</x:v>
      </x:c>
      <x:c r="AH125" s="59" t="n">
        <x:f>MIN(1,'_曲线基线'!$L$3+AH$9*($H$10*H125+$I$10*I125+$J$10*J125+$K$10*K125+$L$10*L125))</x:f>
        <x:v>0.318107217408877</x:v>
      </x:c>
      <x:c r="AI125" s="59" t="n">
        <x:f>'_曲线基线'!$L$4+AI$9*($H$10*H125+$I$10*I125+$J$10*J125+$K$10*K125+$L$10*L125)</x:f>
        <x:v>2.7468701056390143</x:v>
      </x:c>
      <x:c r="AJ125" s="59" t="n">
        <x:f>1+AJ$9*($H$10*H125+$I$10*I125+$J$10*J125+$K$10*K125+$L$10*L125)</x:f>
        <x:v>1.6128164969345762</x:v>
      </x:c>
      <x:c r="AK125" s="59" t="n">
        <x:f>(1+AH125*(AI125-1))*AJ125</x:f>
        <x:v>2.5090457031688174</x:v>
      </x:c>
      <x:c r="AL125" s="59" t="n">
        <x:f>U125*AD125*AK125*F125</x:f>
        <x:v>560485.5441184646</x:v>
      </x:c>
      <x:c r="AM125" s="59" t="n">
        <x:f>IF($B125&lt;AM$8,0,AM$3+(AM$4-AM$3)*(POWER(AM$5,$B125-AM$8)-1)/(POWER(AM$5,$C$5-AM$8)-1))</x:f>
        <x:v>37.79008378505342</x:v>
      </x:c>
      <x:c r="AN125" s="59" t="n">
        <x:f>(((E125*'模块规划'!$D$10+G125*'模块规划'!$D$11+H125*'模块规划'!$D$13)*(1+'模块规划'!$G$14*H125)+(I125*'模块规划'!$D$15+J125*'模块规划'!$D$17+K125*'模块规划'!$D$16+L125*'模块规划'!$D$18))*(1+'模块规划'!$J$17*J125))*F125/(1-Q125)</x:f>
        <x:v>994264.7115220204</x:v>
      </x:c>
      <x:c r="AO125" s="59" t="n">
        <x:f>AL125*AM125</x:f>
        <x:v>21180795.67254803</x:v>
      </x:c>
      <x:c r="AP125" s="61" t="n">
        <x:f>IF(AO125="","",INDEX('_曲线基线'!$A$3:$A$502,MIN(ROWS('_曲线基线'!$A$3:$A$502),COUNTIF('_曲线基线'!$E$3:$E$502,"&lt;"&amp;AO125)+1)))</x:f>
        <x:v>186</x:v>
      </x:c>
      <x:c r="AQ125" s="61" t="n">
        <x:f>IF(B125&lt;=2,1,IF(B125&lt;=6,2,IF(B125&lt;=9,3,IF(B125&lt;=19,4,5))))</x:f>
        <x:v>5</x:v>
      </x:c>
      <x:c r="AR125" s="59" t="n">
        <x:f>AN125*(1-Q125)/F125*$AS$3+U125*$AS$4+P125*$AS$5</x:f>
        <x:v>9019.816433256077</x:v>
      </x:c>
      <x:c r="AS125" s="59" t="n">
        <x:f>1+AH125*$AS$6+AI125*$AS$7+(AJ125-1)*$AS$8+($H$10*H125+$I$10*I125+$J$10*J125+$K$10*K125+$L$10*L125)*$AU$3*$AS$9+($H$10*H125+$I$10*I125+$J$10*J125+$K$10*K125+$L$10*L125)*$AU$4*$AS$10</x:f>
        <x:v>12.023211154727994</x:v>
      </x:c>
      <x:c r="AT125" s="60" t="n">
        <x:f>ROUND(AR125*AS125,0)</x:f>
        <x:v>108447</x:v>
      </x:c>
      <x:c r="AU125" s="60" t="n">
        <x:f>ROUND(AT125*F125,0)</x:f>
        <x:v>542235</x:v>
      </x:c>
      <x:c r="AV125" s="60" t="n">
        <x:f>MIN(MATCH(B125,'主线调参'!$M$11:$M$62,1),ROWS('主线调参'!$M$11:$M$62)-1)</x:f>
        <x:v>30</x:v>
      </x:c>
      <x:c r="AW125" s="62" t="n">
        <x:f>(B125-INDEX('主线调参'!$M$11:$M$62,AV125))/(INDEX('主线调参'!$M$11:$M$62,AV125+1)-INDEX('主线调参'!$M$11:$M$62,AV125))</x:f>
        <x:v>0</x:v>
      </x:c>
      <x:c r="AX125" s="60" t="n">
        <x:f>IF(AU125=0,0,ROUND(AU125,2-INT(LOG10(ABS(AU125)))))</x:f>
        <x:v>542000</x:v>
      </x:c>
      <x:c r="AY125" s="62" t="n">
        <x:f>AU125/AU124-1</x:f>
        <x:v>0.01923872180451136</x:v>
      </x:c>
    </x:row>
    <x:row r="126" ht="25" customHeight="1">
      <x:c r="A126" s="40" t="str">
        <x:f>'调前玩家曲线'!A126</x:f>
      </x:c>
      <x:c r="B126" s="40" t="n">
        <x:f>'调前玩家曲线'!B126</x:f>
        <x:v>115</x:v>
      </x:c>
      <x:c r="C126" s="40" t="n">
        <x:f>'调前玩家曲线'!C126</x:f>
        <x:v>9</x:v>
      </x:c>
      <x:c r="D126" s="40" t="n">
        <x:f>'调前玩家曲线'!D126</x:f>
        <x:v>1</x:v>
      </x:c>
      <x:c r="E126" s="40" t="n">
        <x:f>'调前玩家曲线'!E126</x:f>
        <x:v>1</x:v>
      </x:c>
      <x:c r="F126" s="40" t="n">
        <x:f>'调前玩家曲线'!F126</x:f>
        <x:v>5</x:v>
      </x:c>
      <x:c r="G126" s="63" t="n">
        <x:f>IF(B126&lt;$G$8,0,(INDEX('主线调参'!$C$11:$C$62,$AV126)+(INDEX('主线调参'!$C$11:$C$62,$AV126+1)-INDEX('主线调参'!$C$11:$C$62,$AV126))*$AW126)*'参数说明'!$C$27)</x:f>
        <x:v>0.64008873446466</x:v>
      </x:c>
      <x:c r="H126" s="63" t="n">
        <x:f>IF(B126&lt;$H$8,0,(INDEX('主线调参'!$D$11:$D$62,$AV126)+(INDEX('主线调参'!$D$11:$D$62,$AV126+1)-INDEX('主线调参'!$D$11:$D$62,$AV126))*$AW126)*'参数说明'!$D$27)</x:f>
        <x:v>0.5012268371739156</x:v>
      </x:c>
      <x:c r="I126" s="63" t="n">
        <x:f>IF(B126&lt;$I$8,0,(INDEX('主线调参'!$E$11:$E$62,$AV126)+(INDEX('主线调参'!$E$11:$E$62,$AV126+1)-INDEX('主线调参'!$E$11:$E$62,$AV126))*$AW126)*'参数说明'!$E$27)</x:f>
        <x:v>0.3265168452865829</x:v>
      </x:c>
      <x:c r="J126" s="63" t="n">
        <x:f>IF(B126&lt;$J$8,0,(INDEX('主线调参'!$F$11:$F$62,$AV126)+(INDEX('主线调参'!$F$11:$F$62,$AV126+1)-INDEX('主线调参'!$F$11:$F$62,$AV126))*$AW126)*'参数说明'!$F$27)</x:f>
        <x:v>0.37485065772158194</x:v>
      </x:c>
      <x:c r="K126" s="63" t="n">
        <x:f>IF(B126&lt;$K$8,0,(INDEX('主线调参'!$G$11:$G$62,$AV126)+(INDEX('主线调参'!$G$11:$G$62,$AV126+1)-INDEX('主线调参'!$G$11:$G$62,$AV126))*$AW126)*'参数说明'!$G$27)</x:f>
        <x:v>0.13462663315862497</x:v>
      </x:c>
      <x:c r="L126" s="63" t="n">
        <x:f>IF(B126&lt;$L$8,0,(INDEX('主线调参'!$H$11:$H$62,$AV126)+(INDEX('主线调参'!$H$11:$H$62,$AV126+1)-INDEX('主线调参'!$H$11:$H$62,$AV126))*$AW126)*'参数说明'!$H$27)</x:f>
        <x:v>0.48514948607062097</x:v>
      </x:c>
      <x:c r="M126" s="59" t="n">
        <x:f>E126*'模块规划'!$F$10+G126*'模块规划'!$F$11+H126*'模块规划'!$F$13</x:f>
        <x:v>4072.425925430368</x:v>
      </x:c>
      <x:c r="N126" s="59" t="n">
        <x:f>I126*'模块规划'!$F$15+J126*'模块规划'!$F$17+K126*'模块规划'!$F$16+L126*'模块规划'!$F$18</x:f>
        <x:v>9594.148568813338</x:v>
      </x:c>
      <x:c r="O126" s="59" t="n">
        <x:f>1+O$9*SUMPRODUCT($H$10:$L$10,H126:L126)/SUM($H$10:$L$10)</x:f>
        <x:v>2.349000379298706</x:v>
      </x:c>
      <x:c r="P126" s="59" t="n">
        <x:f>M126*O126+N126</x:f>
        <x:v>19160.278612315156</x:v>
      </x:c>
      <x:c r="Q126" s="59" t="n">
        <x:f>P126/(P126+'_曲线基线'!$L$2)</x:f>
        <x:v>0.443933154009994</x:v>
      </x:c>
      <x:c r="R126" s="59" t="n">
        <x:f>E126*'模块规划'!$E$10+G126*'模块规划'!$E$11+H126*'模块规划'!$E$13</x:f>
        <x:v>6108.638888145551</x:v>
      </x:c>
      <x:c r="S126" s="59" t="n">
        <x:f>I126*'模块规划'!$E$15+J126*'模块规划'!$E$17+K126*'模块规划'!$E$16+L126*'模块规划'!$E$18</x:f>
        <x:v>14391.222853220008</x:v>
      </x:c>
      <x:c r="T126" s="59" t="n">
        <x:f>1+T$9*SUMPRODUCT($H$10:$L$10,H126:L126)/SUM($H$10:$L$10)</x:f>
        <x:v>2.349000379298706</x:v>
      </x:c>
      <x:c r="U126" s="59" t="n">
        <x:f>R126*T126+S126</x:f>
        <x:v>28740.417918472733</x:v>
      </x:c>
      <x:c r="V126" s="59" t="n">
        <x:f>V$8+(V$9-V$8)*H126</x:f>
        <x:v>0.8503680511521746</x:v>
      </x:c>
      <x:c r="W126" s="59" t="n">
        <x:f>IF(B126&lt;$H$8,0,W$8+(W$9-W$8)*H126)</x:f>
        <x:v>0.20049073486956626</x:v>
      </x:c>
      <x:c r="X126" s="59" t="n">
        <x:f>X$8+(X$9-X$8)*H126</x:f>
        <x:v>0.4128373802228268</x:v>
      </x:c>
      <x:c r="Y126" s="59" t="n">
        <x:f>Y$8+(Y$9-Y$8)*G126</x:f>
        <x:v>1</x:v>
      </x:c>
      <x:c r="Z126" s="59" t="n">
        <x:f>Z$8+(Z$9-Z$8)*H126</x:f>
        <x:v>1</x:v>
      </x:c>
      <x:c r="AA126" s="59" t="n">
        <x:f>AA$8+(AA$9-AA$8)*I126</x:f>
        <x:v>1</x:v>
      </x:c>
      <x:c r="AB126" s="59" t="n">
        <x:f>AB$8+(AB$9-AB$8)*J126</x:f>
        <x:v>1</x:v>
      </x:c>
      <x:c r="AC126" s="59" t="n">
        <x:f>AC$8+(AC$9-AC$8)*MAX(K126,L126)</x:f>
        <x:v>1</x:v>
      </x:c>
      <x:c r="AD126" s="59" t="n">
        <x:f>(V126*AE126+W126*AF126+X126*AG126)*PRODUCT(Y126:AC126)</x:f>
        <x:v>1.5746770667120549</x:v>
      </x:c>
      <x:c r="AE126" s="59" t="n">
        <x:f>1+AE$9*($H$10*H126+$I$10*I126+$J$10*J126+$K$10*K126+$L$10*L126)</x:f>
        <x:v>1</x:v>
      </x:c>
      <x:c r="AF126" s="59" t="n">
        <x:f>1+AF$9*($H$10*H126+$I$10*I126+$J$10*J126+$K$10*K126+$L$10*L126)</x:f>
        <x:v>1.1190615719381045</x:v>
      </x:c>
      <x:c r="AG126" s="59" t="n">
        <x:f>1+AG$9*($H$10*H126+$I$10*I126+$J$10*J126+$K$10*K126+$L$10*L126)</x:f>
        <x:v>1.2110035636014203</x:v>
      </x:c>
      <x:c r="AH126" s="59" t="n">
        <x:f>MIN(1,'_曲线基线'!$L$3+AH$9*($H$10*H126+$I$10*I126+$J$10*J126+$K$10*K126+$L$10*L126))</x:f>
        <x:v>0.32086507615918747</x:v>
      </x:c>
      <x:c r="AI126" s="59" t="n">
        <x:f>'_曲线基线'!$L$4+AI$9*($H$10*H126+$I$10*I126+$J$10*J126+$K$10*K126+$L$10*L126)</x:f>
        <x:v>2.7545527121577367</x:v>
      </x:c>
      <x:c r="AJ126" s="59" t="n">
        <x:f>1+AJ$9*($H$10*H126+$I$10*I126+$J$10*J126+$K$10*K126+$L$10*L126)</x:f>
        <x:v>1.619120174078143</x:v>
      </x:c>
      <x:c r="AK126" s="59" t="n">
        <x:f>(1+AH126*(AI126-1))*AJ126</x:f>
        <x:v>2.530643851523991</x:v>
      </x:c>
      <x:c r="AL126" s="59" t="n">
        <x:f>U126*AD126*AK126*F126</x:f>
        <x:v>572645.1873929171</x:v>
      </x:c>
      <x:c r="AM126" s="59" t="n">
        <x:f>IF($B126&lt;AM$8,0,AM$3+(AM$4-AM$3)*(POWER(AM$5,$B126-AM$8)-1)/(POWER(AM$5,$C$5-AM$8)-1))</x:f>
        <x:v>37.831409262825815</x:v>
      </x:c>
      <x:c r="AN126" s="59" t="n">
        <x:f>(((E126*'模块规划'!$D$10+G126*'模块规划'!$D$11+H126*'模块规划'!$D$13)*(1+'模块规划'!$G$14*H126)+(I126*'模块规划'!$D$15+J126*'模块规划'!$D$17+K126*'模块规划'!$D$16+L126*'模块规划'!$D$18))*(1+'模块规划'!$J$17*J126))*F126/(1-Q126)</x:f>
        <x:v>1010558.924610117</x:v>
      </x:c>
      <x:c r="AO126" s="59" t="n">
        <x:f>AL126*AM126</x:f>
        <x:v>21663974.44664903</x:v>
      </x:c>
      <x:c r="AP126" s="61" t="n">
        <x:f>IF(AO126="","",INDEX('_曲线基线'!$A$3:$A$502,MIN(ROWS('_曲线基线'!$A$3:$A$502),COUNTIF('_曲线基线'!$E$3:$E$502,"&lt;"&amp;AO126)+1)))</x:f>
        <x:v>187</x:v>
      </x:c>
      <x:c r="AQ126" s="61" t="n">
        <x:f>IF(B126&lt;=2,1,IF(B126&lt;=6,2,IF(B126&lt;=9,3,IF(B126&lt;=19,4,5))))</x:f>
        <x:v>5</x:v>
      </x:c>
      <x:c r="AR126" s="59" t="n">
        <x:f>AN126*(1-Q126)/F126*$AS$3+U126*$AS$4+P126*$AS$5</x:f>
        <x:v>9119.713467064548</x:v>
      </x:c>
      <x:c r="AS126" s="59" t="n">
        <x:f>1+AH126*$AS$6+AI126*$AS$7+(AJ126-1)*$AS$8+($H$10*H126+$I$10*I126+$J$10*J126+$K$10*K126+$L$10*L126)*$AU$3*$AS$9+($H$10*H126+$I$10*I126+$J$10*J126+$K$10*K126+$L$10*L126)*$AU$4*$AS$10</x:f>
        <x:v>12.095644207012853</x:v>
      </x:c>
      <x:c r="AT126" s="60" t="n">
        <x:f>ROUND(AR126*AS126,0)</x:f>
        <x:v>110309</x:v>
      </x:c>
      <x:c r="AU126" s="60" t="n">
        <x:f>ROUND(AT126*F126,0)</x:f>
        <x:v>551545</x:v>
      </x:c>
      <x:c r="AV126" s="60" t="n">
        <x:f>MIN(MATCH(B126,'主线调参'!$M$11:$M$62,1),ROWS('主线调参'!$M$11:$M$62)-1)</x:f>
        <x:v>31</x:v>
      </x:c>
      <x:c r="AW126" s="62" t="n">
        <x:f>(B126-INDEX('主线调参'!$M$11:$M$62,AV126))/(INDEX('主线调参'!$M$11:$M$62,AV126+1)-INDEX('主线调参'!$M$11:$M$62,AV126))</x:f>
        <x:v>0</x:v>
      </x:c>
      <x:c r="AX126" s="60" t="n">
        <x:f>IF(AU126=0,0,ROUND(AU126,2-INT(LOG10(ABS(AU126)))))</x:f>
        <x:v>552000</x:v>
      </x:c>
      <x:c r="AY126" s="62" t="n">
        <x:f>AU126/AU125-1</x:f>
        <x:v>0.017169677353914725</x:v>
      </x:c>
    </x:row>
    <x:row r="127" ht="25" customHeight="1">
      <x:c r="A127" s="40" t="str">
        <x:f>'调前玩家曲线'!A127</x:f>
      </x:c>
      <x:c r="B127" s="40" t="n">
        <x:f>'调前玩家曲线'!B127</x:f>
        <x:v>116</x:v>
      </x:c>
      <x:c r="C127" s="40" t="n">
        <x:f>'调前玩家曲线'!C127</x:f>
        <x:v>9</x:v>
      </x:c>
      <x:c r="D127" s="40" t="n">
        <x:f>'调前玩家曲线'!D127</x:f>
        <x:v>2</x:v>
      </x:c>
      <x:c r="E127" s="40" t="n">
        <x:f>'调前玩家曲线'!E127</x:f>
        <x:v>1</x:v>
      </x:c>
      <x:c r="F127" s="40" t="n">
        <x:f>'调前玩家曲线'!F127</x:f>
        <x:v>5</x:v>
      </x:c>
      <x:c r="G127" s="63" t="n">
        <x:f>IF(B127&lt;$G$8,0,(INDEX('主线调参'!$C$11:$C$62,$AV127)+(INDEX('主线调参'!$C$11:$C$62,$AV127+1)-INDEX('主线调参'!$C$11:$C$62,$AV127))*$AW127)*'参数说明'!$C$27)</x:f>
        <x:v>0.6425188450190857</x:v>
      </x:c>
      <x:c r="H127" s="63" t="n">
        <x:f>IF(B127&lt;$H$8,0,(INDEX('主线调参'!$D$11:$D$62,$AV127)+(INDEX('主线调参'!$D$11:$D$62,$AV127+1)-INDEX('主线调参'!$D$11:$D$62,$AV127))*$AW127)*'参数说明'!$D$27)</x:f>
        <x:v>0.5031733304900632</x:v>
      </x:c>
      <x:c r="I127" s="63" t="n">
        <x:f>IF(B127&lt;$I$8,0,(INDEX('主线调参'!$E$11:$E$62,$AV127)+(INDEX('主线调参'!$E$11:$E$62,$AV127+1)-INDEX('主线调参'!$E$11:$E$62,$AV127))*$AW127)*'参数说明'!$E$27)</x:f>
        <x:v>0.33037772904624596</x:v>
      </x:c>
      <x:c r="J127" s="63" t="n">
        <x:f>IF(B127&lt;$J$8,0,(INDEX('主线调参'!$F$11:$F$62,$AV127)+(INDEX('主线调参'!$F$11:$F$62,$AV127+1)-INDEX('主线调参'!$F$11:$F$62,$AV127))*$AW127)*'参数说明'!$F$27)</x:f>
        <x:v>0.37717226342121335</x:v>
      </x:c>
      <x:c r="K127" s="63" t="n">
        <x:f>IF(B127&lt;$K$8,0,(INDEX('主线调参'!$G$11:$G$62,$AV127)+(INDEX('主线调参'!$G$11:$G$62,$AV127+1)-INDEX('主线调参'!$G$11:$G$62,$AV127))*$AW127)*'参数说明'!$G$27)</x:f>
        <x:v>0.1417330052334445</x:v>
      </x:c>
      <x:c r="L127" s="63" t="n">
        <x:f>IF(B127&lt;$L$8,0,(INDEX('主线调参'!$H$11:$H$62,$AV127)+(INDEX('主线调参'!$H$11:$H$62,$AV127+1)-INDEX('主线调参'!$H$11:$H$62,$AV127))*$AW127)*'参数说明'!$H$27)</x:f>
        <x:v>0.4873388737542359</x:v>
      </x:c>
      <x:c r="M127" s="59" t="n">
        <x:f>E127*'模块规划'!$F$10+G127*'模块规划'!$F$11+H127*'模块规划'!$F$13</x:f>
        <x:v>4084.0904560916115</x:v>
      </x:c>
      <x:c r="N127" s="59" t="n">
        <x:f>I127*'模块规划'!$F$15+J127*'模块规划'!$F$17+K127*'模块规划'!$F$16+L127*'模块规划'!$F$18</x:f>
        <x:v>9701.836866753947</x:v>
      </x:c>
      <x:c r="O127" s="59" t="n">
        <x:f>1+O$9*SUMPRODUCT($H$10:$L$10,H127:L127)/SUM($H$10:$L$10)</x:f>
        <x:v>2.3614213648555524</x:v>
      </x:c>
      <x:c r="P127" s="59" t="n">
        <x:f>M127*O127+N127</x:f>
        <x:v>19346.095325771334</x:v>
      </x:c>
      <x:c r="Q127" s="59" t="n">
        <x:f>P127/(P127+'_曲线基线'!$L$2)</x:f>
        <x:v>0.44631690998633394</x:v>
      </x:c>
      <x:c r="R127" s="59" t="n">
        <x:f>E127*'模块规划'!$E$10+G127*'模块规划'!$E$11+H127*'模块规划'!$E$13</x:f>
        <x:v>6126.135684137417</x:v>
      </x:c>
      <x:c r="S127" s="59" t="n">
        <x:f>I127*'模块规划'!$E$15+J127*'模块规划'!$E$17+K127*'模块规划'!$E$16+L127*'模块规划'!$E$18</x:f>
        <x:v>14552.75530013092</x:v>
      </x:c>
      <x:c r="T127" s="59" t="n">
        <x:f>1+T$9*SUMPRODUCT($H$10:$L$10,H127:L127)/SUM($H$10:$L$10)</x:f>
        <x:v>2.3614213648555524</x:v>
      </x:c>
      <x:c r="U127" s="59" t="n">
        <x:f>R127*T127+S127</x:f>
        <x:v>29019.142988657004</x:v>
      </x:c>
      <x:c r="V127" s="59" t="n">
        <x:f>V$8+(V$9-V$8)*H127</x:f>
        <x:v>0.8509519991470189</x:v>
      </x:c>
      <x:c r="W127" s="59" t="n">
        <x:f>IF(B127&lt;$H$8,0,W$8+(W$9-W$8)*H127)</x:f>
        <x:v>0.20126933219602527</x:v>
      </x:c>
      <x:c r="X127" s="59" t="n">
        <x:f>X$8+(X$9-X$8)*H127</x:f>
        <x:v>0.4133726658847674</x:v>
      </x:c>
      <x:c r="Y127" s="59" t="n">
        <x:f>Y$8+(Y$9-Y$8)*G127</x:f>
        <x:v>1</x:v>
      </x:c>
      <x:c r="Z127" s="59" t="n">
        <x:f>Z$8+(Z$9-Z$8)*H127</x:f>
        <x:v>1</x:v>
      </x:c>
      <x:c r="AA127" s="59" t="n">
        <x:f>AA$8+(AA$9-AA$8)*I127</x:f>
        <x:v>1</x:v>
      </x:c>
      <x:c r="AB127" s="59" t="n">
        <x:f>AB$8+(AB$9-AB$8)*J127</x:f>
        <x:v>1</x:v>
      </x:c>
      <x:c r="AC127" s="59" t="n">
        <x:f>AC$8+(AC$9-AC$8)*MAX(K127,L127)</x:f>
        <x:v>1</x:v>
      </x:c>
      <x:c r="AD127" s="59" t="n">
        <x:f>(V127*AE127+W127*AF127+X127*AG127)*PRODUCT(Y127:AC127)</x:f>
        <x:v>1.577804301367494</x:v>
      </x:c>
      <x:c r="AE127" s="59" t="n">
        <x:f>1+AE$9*($H$10*H127+$I$10*I127+$J$10*J127+$K$10*K127+$L$10*L127)</x:f>
        <x:v>1</x:v>
      </x:c>
      <x:c r="AF127" s="59" t="n">
        <x:f>1+AF$9*($H$10*H127+$I$10*I127+$J$10*J127+$K$10*K127+$L$10*L127)</x:f>
        <x:v>1.1201578370601257</x:v>
      </x:c>
      <x:c r="AG127" s="59" t="n">
        <x:f>1+AG$9*($H$10*H127+$I$10*I127+$J$10*J127+$K$10*K127+$L$10*L127)</x:f>
        <x:v>1.2129463890121135</x:v>
      </x:c>
      <x:c r="AH127" s="59" t="n">
        <x:f>MIN(1,'_曲线基线'!$L$3+AH$9*($H$10*H127+$I$10*I127+$J$10*J127+$K$10*K127+$L$10*L127))</x:f>
        <x:v>0.32335907931178587</x:v>
      </x:c>
      <x:c r="AI127" s="59" t="n">
        <x:f>'_曲线基线'!$L$4+AI$9*($H$10*H127+$I$10*I127+$J$10*J127+$K$10*K127+$L$10*L127)</x:f>
        <x:v>2.761500292368546</x:v>
      </x:c>
      <x:c r="AJ127" s="59" t="n">
        <x:f>1+AJ$9*($H$10*H127+$I$10*I127+$J$10*J127+$K$10*K127+$L$10*L127)</x:f>
        <x:v>1.6248207527126535</x:v>
      </x:c>
      <x:c r="AK127" s="59" t="n">
        <x:f>(1+AH127*(AI127-1))*AJ127</x:f>
        <x:v>2.5503139621903816</x:v>
      </x:c>
      <x:c r="AL127" s="59" t="n">
        <x:f>U127*AD127*AK127*F127</x:f>
        <x:v>583850.1162202351</x:v>
      </x:c>
      <x:c r="AM127" s="59" t="n">
        <x:f>IF($B127&lt;AM$8,0,AM$3+(AM$4-AM$3)*(POWER(AM$5,$B127-AM$8)-1)/(POWER(AM$5,$C$5-AM$8)-1))</x:f>
        <x:v>37.873147995375945</x:v>
      </x:c>
      <x:c r="AN127" s="59" t="n">
        <x:f>(((E127*'模块规划'!$D$10+G127*'模块规划'!$D$11+H127*'模块规划'!$D$13)*(1+'模块规划'!$G$14*H127)+(I127*'模块规划'!$D$15+J127*'模块规划'!$D$17+K127*'模块规划'!$D$16+L127*'模块规划'!$D$18))*(1+'模块规划'!$J$17*J127))*F127/(1-Q127)</x:f>
        <x:v>1025502.4129998017</x:v>
      </x:c>
      <x:c r="AO127" s="59" t="n">
        <x:f>AL127*AM127</x:f>
        <x:v>22112241.858726412</x:v>
      </x:c>
      <x:c r="AP127" s="61" t="n">
        <x:f>IF(AO127="","",INDEX('_曲线基线'!$A$3:$A$502,MIN(ROWS('_曲线基线'!$A$3:$A$502),COUNTIF('_曲线基线'!$E$3:$E$502,"&lt;"&amp;AO127)+1)))</x:f>
        <x:v>188</x:v>
      </x:c>
      <x:c r="AQ127" s="61" t="n">
        <x:f>IF(B127&lt;=2,1,IF(B127&lt;=6,2,IF(B127&lt;=9,3,IF(B127&lt;=19,4,5))))</x:f>
        <x:v>5</x:v>
      </x:c>
      <x:c r="AR127" s="59" t="n">
        <x:f>AN127*(1-Q127)/F127*$AS$3+U127*$AS$4+P127*$AS$5</x:f>
        <x:v>9210.648666808605</x:v>
      </x:c>
      <x:c r="AS127" s="59" t="n">
        <x:f>1+AH127*$AS$6+AI127*$AS$7+(AJ127-1)*$AS$8+($H$10*H127+$I$10*I127+$J$10*J127+$K$10*K127+$L$10*L127)*$AU$3*$AS$9+($H$10*H127+$I$10*I127+$J$10*J127+$K$10*K127+$L$10*L127)*$AU$4*$AS$10</x:f>
        <x:v>12.161147293684868</x:v>
      </x:c>
      <x:c r="AT127" s="60" t="n">
        <x:f>ROUND(AR127*AS127,0)</x:f>
        <x:v>112012</x:v>
      </x:c>
      <x:c r="AU127" s="60" t="n">
        <x:f>ROUND(AT127*F127,0)</x:f>
        <x:v>560060</x:v>
      </x:c>
      <x:c r="AV127" s="60" t="n">
        <x:f>MIN(MATCH(B127,'主线调参'!$M$11:$M$62,1),ROWS('主线调参'!$M$11:$M$62)-1)</x:f>
        <x:v>31</x:v>
      </x:c>
      <x:c r="AW127" s="62" t="n">
        <x:f>(B127-INDEX('主线调参'!$M$11:$M$62,AV127))/(INDEX('主线调参'!$M$11:$M$62,AV127+1)-INDEX('主线调参'!$M$11:$M$62,AV127))</x:f>
        <x:v>0.07142857142857142</x:v>
      </x:c>
      <x:c r="AX127" s="60" t="n">
        <x:f>IF(AU127=0,0,ROUND(AU127,2-INT(LOG10(ABS(AU127)))))</x:f>
        <x:v>560000</x:v>
      </x:c>
      <x:c r="AY127" s="62" t="n">
        <x:f>AU127/AU126-1</x:f>
        <x:v>0.01543845017179013</x:v>
      </x:c>
    </x:row>
    <x:row r="128" ht="25" customHeight="1">
      <x:c r="A128" s="40" t="str">
        <x:f>'调前玩家曲线'!A128</x:f>
      </x:c>
      <x:c r="B128" s="40" t="n">
        <x:f>'调前玩家曲线'!B128</x:f>
        <x:v>117</x:v>
      </x:c>
      <x:c r="C128" s="40" t="n">
        <x:f>'调前玩家曲线'!C128</x:f>
        <x:v>9</x:v>
      </x:c>
      <x:c r="D128" s="40" t="n">
        <x:f>'调前玩家曲线'!D128</x:f>
        <x:v>3</x:v>
      </x:c>
      <x:c r="E128" s="40" t="n">
        <x:f>'调前玩家曲线'!E128</x:f>
        <x:v>1</x:v>
      </x:c>
      <x:c r="F128" s="40" t="n">
        <x:f>'调前玩家曲线'!F128</x:f>
        <x:v>5</x:v>
      </x:c>
      <x:c r="G128" s="63" t="n">
        <x:f>IF(B128&lt;$G$8,0,(INDEX('主线调参'!$C$11:$C$62,$AV128)+(INDEX('主线调参'!$C$11:$C$62,$AV128+1)-INDEX('主线调参'!$C$11:$C$62,$AV128))*$AW128)*'参数说明'!$C$27)</x:f>
        <x:v>0.6449489555735116</x:v>
      </x:c>
      <x:c r="H128" s="63" t="n">
        <x:f>IF(B128&lt;$H$8,0,(INDEX('主线调参'!$D$11:$D$62,$AV128)+(INDEX('主线调参'!$D$11:$D$62,$AV128+1)-INDEX('主线调参'!$D$11:$D$62,$AV128))*$AW128)*'参数说明'!$D$27)</x:f>
        <x:v>0.5051198238062108</x:v>
      </x:c>
      <x:c r="I128" s="63" t="n">
        <x:f>IF(B128&lt;$I$8,0,(INDEX('主线调参'!$E$11:$E$62,$AV128)+(INDEX('主线调参'!$E$11:$E$62,$AV128+1)-INDEX('主线调参'!$E$11:$E$62,$AV128))*$AW128)*'参数说明'!$E$27)</x:f>
        <x:v>0.3342386128059091</x:v>
      </x:c>
      <x:c r="J128" s="63" t="n">
        <x:f>IF(B128&lt;$J$8,0,(INDEX('主线调参'!$F$11:$F$62,$AV128)+(INDEX('主线调参'!$F$11:$F$62,$AV128+1)-INDEX('主线调参'!$F$11:$F$62,$AV128))*$AW128)*'参数说明'!$F$27)</x:f>
        <x:v>0.37949386912084476</x:v>
      </x:c>
      <x:c r="K128" s="63" t="n">
        <x:f>IF(B128&lt;$K$8,0,(INDEX('主线调参'!$G$11:$G$62,$AV128)+(INDEX('主线调参'!$G$11:$G$62,$AV128+1)-INDEX('主线调参'!$G$11:$G$62,$AV128))*$AW128)*'参数说明'!$G$27)</x:f>
        <x:v>0.14883937730826405</x:v>
      </x:c>
      <x:c r="L128" s="63" t="n">
        <x:f>IF(B128&lt;$L$8,0,(INDEX('主线调参'!$H$11:$H$62,$AV128)+(INDEX('主线调参'!$H$11:$H$62,$AV128+1)-INDEX('主线调参'!$H$11:$H$62,$AV128))*$AW128)*'参数说明'!$H$27)</x:f>
        <x:v>0.4895282614378509</x:v>
      </x:c>
      <x:c r="M128" s="59" t="n">
        <x:f>E128*'模块规划'!$F$10+G128*'模块规划'!$F$11+H128*'模块规划'!$F$13</x:f>
        <x:v>4095.754986752856</x:v>
      </x:c>
      <x:c r="N128" s="59" t="n">
        <x:f>I128*'模块规划'!$F$15+J128*'模块规划'!$F$17+K128*'模块规划'!$F$16+L128*'模块规划'!$F$18</x:f>
        <x:v>9809.52516469456</x:v>
      </x:c>
      <x:c r="O128" s="59" t="n">
        <x:f>1+O$9*SUMPRODUCT($H$10:$L$10,H128:L128)/SUM($H$10:$L$10)</x:f>
        <x:v>2.3738423504123993</x:v>
      </x:c>
      <x:c r="P128" s="59" t="n">
        <x:f>M128*O128+N128</x:f>
        <x:v>19532.201809161263</x:v>
      </x:c>
      <x:c r="Q128" s="59" t="n">
        <x:f>P128/(P128+'_曲线基线'!$L$2)</x:f>
        <x:v>0.4486839855881296</x:v>
      </x:c>
      <x:c r="R128" s="59" t="n">
        <x:f>E128*'模块规划'!$E$10+G128*'模块规划'!$E$11+H128*'模块规划'!$E$13</x:f>
        <x:v>6143.632480129284</x:v>
      </x:c>
      <x:c r="S128" s="59" t="n">
        <x:f>I128*'模块规划'!$E$15+J128*'模块规划'!$E$17+K128*'模块规划'!$E$16+L128*'模块规划'!$E$18</x:f>
        <x:v>14714.287747041837</x:v>
      </x:c>
      <x:c r="T128" s="59" t="n">
        <x:f>1+T$9*SUMPRODUCT($H$10:$L$10,H128:L128)/SUM($H$10:$L$10)</x:f>
        <x:v>2.3738423504123993</x:v>
      </x:c>
      <x:c r="U128" s="59" t="n">
        <x:f>R128*T128+S128</x:f>
        <x:v>29298.302713741894</x:v>
      </x:c>
      <x:c r="V128" s="59" t="n">
        <x:f>V$8+(V$9-V$8)*H128</x:f>
        <x:v>0.8515359471418632</x:v>
      </x:c>
      <x:c r="W128" s="59" t="n">
        <x:f>IF(B128&lt;$H$8,0,W$8+(W$9-W$8)*H128)</x:f>
        <x:v>0.20204792952248432</x:v>
      </x:c>
      <x:c r="X128" s="59" t="n">
        <x:f>X$8+(X$9-X$8)*H128</x:f>
        <x:v>0.413907951546708</x:v>
      </x:c>
      <x:c r="Y128" s="59" t="n">
        <x:f>Y$8+(Y$9-Y$8)*G128</x:f>
        <x:v>1</x:v>
      </x:c>
      <x:c r="Z128" s="59" t="n">
        <x:f>Z$8+(Z$9-Z$8)*H128</x:f>
        <x:v>1</x:v>
      </x:c>
      <x:c r="AA128" s="59" t="n">
        <x:f>AA$8+(AA$9-AA$8)*I128</x:f>
        <x:v>1</x:v>
      </x:c>
      <x:c r="AB128" s="59" t="n">
        <x:f>AB$8+(AB$9-AB$8)*J128</x:f>
        <x:v>1</x:v>
      </x:c>
      <x:c r="AC128" s="59" t="n">
        <x:f>AC$8+(AC$9-AC$8)*MAX(K128,L128)</x:f>
        <x:v>1</x:v>
      </x:c>
      <x:c r="AD128" s="59" t="n">
        <x:f>(V128*AE128+W128*AF128+X128*AG128)*PRODUCT(Y128:AC128)</x:f>
        <x:v>1.580935323054291</x:v>
      </x:c>
      <x:c r="AE128" s="59" t="n">
        <x:f>1+AE$9*($H$10*H128+$I$10*I128+$J$10*J128+$K$10*K128+$L$10*L128)</x:f>
        <x:v>1</x:v>
      </x:c>
      <x:c r="AF128" s="59" t="n">
        <x:f>1+AF$9*($H$10*H128+$I$10*I128+$J$10*J128+$K$10*K128+$L$10*L128)</x:f>
        <x:v>1.1212541021821472</x:v>
      </x:c>
      <x:c r="AG128" s="59" t="n">
        <x:f>1+AG$9*($H$10*H128+$I$10*I128+$J$10*J128+$K$10*K128+$L$10*L128)</x:f>
        <x:v>1.2148892144228067</x:v>
      </x:c>
      <x:c r="AH128" s="59" t="n">
        <x:f>MIN(1,'_曲线基线'!$L$3+AH$9*($H$10*H128+$I$10*I128+$J$10*J128+$K$10*K128+$L$10*L128))</x:f>
        <x:v>0.32585308246438427</x:v>
      </x:c>
      <x:c r="AI128" s="59" t="n">
        <x:f>'_曲线基线'!$L$4+AI$9*($H$10*H128+$I$10*I128+$J$10*J128+$K$10*K128+$L$10*L128)</x:f>
        <x:v>2.7684478725793564</x:v>
      </x:c>
      <x:c r="AJ128" s="59" t="n">
        <x:f>1+AJ$9*($H$10*H128+$I$10*I128+$J$10*J128+$K$10*K128+$L$10*L128)</x:f>
        <x:v>1.6305213313471643</x:v>
      </x:c>
      <x:c r="AK128" s="59" t="n">
        <x:f>(1+AH128*(AI128-1))*AJ128</x:f>
        <x:v>2.570116081166417</x:v>
      </x:c>
      <x:c r="AL128" s="59" t="n">
        <x:f>U128*AD128*AK128*F128</x:f>
        <x:v>595222.4570603311</x:v>
      </x:c>
      <x:c r="AM128" s="59" t="n">
        <x:f>IF($B128&lt;AM$8,0,AM$3+(AM$4-AM$3)*(POWER(AM$5,$B128-AM$8)-1)/(POWER(AM$5,$C$5-AM$8)-1))</x:f>
        <x:v>37.91530411525157</x:v>
      </x:c>
      <x:c r="AN128" s="59" t="n">
        <x:f>(((E128*'模块规划'!$D$10+G128*'模块规划'!$D$11+H128*'模块规划'!$D$13)*(1+'模块规划'!$G$14*H128)+(I128*'模块规划'!$D$15+J128*'模块规划'!$D$17+K128*'模块规划'!$D$16+L128*'模块规划'!$D$18))*(1+'模块规划'!$J$17*J128))*F128/(1-Q128)</x:f>
        <x:v>1040579.6363749051</x:v>
      </x:c>
      <x:c r="AO128" s="59" t="n">
        <x:f>AL128*AM128</x:f>
        <x:v>22568040.475669727</x:v>
      </x:c>
      <x:c r="AP128" s="61" t="n">
        <x:f>IF(AO128="","",INDEX('_曲线基线'!$A$3:$A$502,MIN(ROWS('_曲线基线'!$A$3:$A$502),COUNTIF('_曲线基线'!$E$3:$E$502,"&lt;"&amp;AO128)+1)))</x:f>
        <x:v>189</x:v>
      </x:c>
      <x:c r="AQ128" s="61" t="n">
        <x:f>IF(B128&lt;=2,1,IF(B128&lt;=6,2,IF(B128&lt;=9,3,IF(B128&lt;=19,4,5))))</x:f>
        <x:v>5</x:v>
      </x:c>
      <x:c r="AR128" s="59" t="n">
        <x:f>AN128*(1-Q128)/F128*$AS$3+U128*$AS$4+P128*$AS$5</x:f>
        <x:v>9301.789849574574</x:v>
      </x:c>
      <x:c r="AS128" s="59" t="n">
        <x:f>1+AH128*$AS$6+AI128*$AS$7+(AJ128-1)*$AS$8+($H$10*H128+$I$10*I128+$J$10*J128+$K$10*K128+$L$10*L128)*$AU$3*$AS$9+($H$10*H128+$I$10*I128+$J$10*J128+$K$10*K128+$L$10*L128)*$AU$4*$AS$10</x:f>
        <x:v>12.226650380356885</x:v>
      </x:c>
      <x:c r="AT128" s="60" t="n">
        <x:f>ROUND(AR128*AS128,0)</x:f>
        <x:v>113730</x:v>
      </x:c>
      <x:c r="AU128" s="60" t="n">
        <x:f>ROUND(AT128*F128,0)</x:f>
        <x:v>568650</x:v>
      </x:c>
      <x:c r="AV128" s="60" t="n">
        <x:f>MIN(MATCH(B128,'主线调参'!$M$11:$M$62,1),ROWS('主线调参'!$M$11:$M$62)-1)</x:f>
        <x:v>31</x:v>
      </x:c>
      <x:c r="AW128" s="62" t="n">
        <x:f>(B128-INDEX('主线调参'!$M$11:$M$62,AV128))/(INDEX('主线调参'!$M$11:$M$62,AV128+1)-INDEX('主线调参'!$M$11:$M$62,AV128))</x:f>
        <x:v>0.14285714285714285</x:v>
      </x:c>
      <x:c r="AX128" s="60" t="n">
        <x:f>IF(AU128=0,0,ROUND(AU128,2-INT(LOG10(ABS(AU128)))))</x:f>
        <x:v>569000</x:v>
      </x:c>
      <x:c r="AY128" s="62" t="n">
        <x:f>AU128/AU127-1</x:f>
        <x:v>0.015337642395457651</x:v>
      </x:c>
    </x:row>
    <x:row r="129" ht="25" customHeight="1">
      <x:c r="A129" s="40" t="str">
        <x:f>'调前玩家曲线'!A129</x:f>
      </x:c>
      <x:c r="B129" s="40" t="n">
        <x:f>'调前玩家曲线'!B129</x:f>
        <x:v>118</x:v>
      </x:c>
      <x:c r="C129" s="40" t="n">
        <x:f>'调前玩家曲线'!C129</x:f>
        <x:v>9</x:v>
      </x:c>
      <x:c r="D129" s="40" t="n">
        <x:f>'调前玩家曲线'!D129</x:f>
        <x:v>4</x:v>
      </x:c>
      <x:c r="E129" s="40" t="n">
        <x:f>'调前玩家曲线'!E129</x:f>
        <x:v>1</x:v>
      </x:c>
      <x:c r="F129" s="40" t="n">
        <x:f>'调前玩家曲线'!F129</x:f>
        <x:v>5</x:v>
      </x:c>
      <x:c r="G129" s="63" t="n">
        <x:f>IF(B129&lt;$G$8,0,(INDEX('主线调参'!$C$11:$C$62,$AV129)+(INDEX('主线调参'!$C$11:$C$62,$AV129+1)-INDEX('主线调参'!$C$11:$C$62,$AV129))*$AW129)*'参数说明'!$C$27)</x:f>
        <x:v>0.6473790661279374</x:v>
      </x:c>
      <x:c r="H129" s="63" t="n">
        <x:f>IF(B129&lt;$H$8,0,(INDEX('主线调参'!$D$11:$D$62,$AV129)+(INDEX('主线调参'!$D$11:$D$62,$AV129+1)-INDEX('主线调参'!$D$11:$D$62,$AV129))*$AW129)*'参数说明'!$D$27)</x:f>
        <x:v>0.5070663171223584</x:v>
      </x:c>
      <x:c r="I129" s="63" t="n">
        <x:f>IF(B129&lt;$I$8,0,(INDEX('主线调参'!$E$11:$E$62,$AV129)+(INDEX('主线调参'!$E$11:$E$62,$AV129+1)-INDEX('主线调参'!$E$11:$E$62,$AV129))*$AW129)*'参数说明'!$E$27)</x:f>
        <x:v>0.33809949656557214</x:v>
      </x:c>
      <x:c r="J129" s="63" t="n">
        <x:f>IF(B129&lt;$J$8,0,(INDEX('主线调参'!$F$11:$F$62,$AV129)+(INDEX('主线调参'!$F$11:$F$62,$AV129+1)-INDEX('主线调参'!$F$11:$F$62,$AV129))*$AW129)*'参数说明'!$F$27)</x:f>
        <x:v>0.38181547482047606</x:v>
      </x:c>
      <x:c r="K129" s="63" t="n">
        <x:f>IF(B129&lt;$K$8,0,(INDEX('主线调参'!$G$11:$G$62,$AV129)+(INDEX('主线调参'!$G$11:$G$62,$AV129+1)-INDEX('主线调参'!$G$11:$G$62,$AV129))*$AW129)*'参数说明'!$G$27)</x:f>
        <x:v>0.1559457493830836</x:v>
      </x:c>
      <x:c r="L129" s="63" t="n">
        <x:f>IF(B129&lt;$L$8,0,(INDEX('主线调参'!$H$11:$H$62,$AV129)+(INDEX('主线调参'!$H$11:$H$62,$AV129+1)-INDEX('主线调参'!$H$11:$H$62,$AV129))*$AW129)*'参数说明'!$H$27)</x:f>
        <x:v>0.49171764912146587</x:v>
      </x:c>
      <x:c r="M129" s="59" t="n">
        <x:f>E129*'模块规划'!$F$10+G129*'模块规划'!$F$11+H129*'模块规划'!$F$13</x:f>
        <x:v>4107.4195174141</x:v>
      </x:c>
      <x:c r="N129" s="59" t="n">
        <x:f>I129*'模块规划'!$F$15+J129*'模块规划'!$F$17+K129*'模块规划'!$F$16+L129*'模块规划'!$F$18</x:f>
        <x:v>9917.213462635169</x:v>
      </x:c>
      <x:c r="O129" s="59" t="n">
        <x:f>1+O$9*SUMPRODUCT($H$10:$L$10,H129:L129)/SUM($H$10:$L$10)</x:f>
        <x:v>2.3862633359692453</x:v>
      </x:c>
      <x:c r="P129" s="59" t="n">
        <x:f>M129*O129+N129</x:f>
        <x:v>19718.598062484925</x:v>
      </x:c>
      <x:c r="Q129" s="59" t="n">
        <x:f>P129/(P129+'_曲线基线'!$L$2)</x:f>
        <x:v>0.4510345467689075</x:v>
      </x:c>
      <x:c r="R129" s="59" t="n">
        <x:f>E129*'模块规划'!$E$10+G129*'模块规划'!$E$11+H129*'模块规划'!$E$13</x:f>
        <x:v>6161.129276121149</x:v>
      </x:c>
      <x:c r="S129" s="59" t="n">
        <x:f>I129*'模块规划'!$E$15+J129*'模块规划'!$E$17+K129*'模块规划'!$E$16+L129*'模块规划'!$E$18</x:f>
        <x:v>14875.820193952753</x:v>
      </x:c>
      <x:c r="T129" s="59" t="n">
        <x:f>1+T$9*SUMPRODUCT($H$10:$L$10,H129:L129)/SUM($H$10:$L$10)</x:f>
        <x:v>2.3862633359692453</x:v>
      </x:c>
      <x:c r="U129" s="59" t="n">
        <x:f>R129*T129+S129</x:f>
        <x:v>29577.897093727388</x:v>
      </x:c>
      <x:c r="V129" s="59" t="n">
        <x:f>V$8+(V$9-V$8)*H129</x:f>
        <x:v>0.8521198951367075</x:v>
      </x:c>
      <x:c r="W129" s="59" t="n">
        <x:f>IF(B129&lt;$H$8,0,W$8+(W$9-W$8)*H129)</x:f>
        <x:v>0.20282652684894337</x:v>
      </x:c>
      <x:c r="X129" s="59" t="n">
        <x:f>X$8+(X$9-X$8)*H129</x:f>
        <x:v>0.4144432372086486</x:v>
      </x:c>
      <x:c r="Y129" s="59" t="n">
        <x:f>Y$8+(Y$9-Y$8)*G129</x:f>
        <x:v>1</x:v>
      </x:c>
      <x:c r="Z129" s="59" t="n">
        <x:f>Z$8+(Z$9-Z$8)*H129</x:f>
        <x:v>1</x:v>
      </x:c>
      <x:c r="AA129" s="59" t="n">
        <x:f>AA$8+(AA$9-AA$8)*I129</x:f>
        <x:v>1</x:v>
      </x:c>
      <x:c r="AB129" s="59" t="n">
        <x:f>AB$8+(AB$9-AB$8)*J129</x:f>
        <x:v>1</x:v>
      </x:c>
      <x:c r="AC129" s="59" t="n">
        <x:f>AC$8+(AC$9-AC$8)*MAX(K129,L129)</x:f>
        <x:v>1</x:v>
      </x:c>
      <x:c r="AD129" s="59" t="n">
        <x:f>(V129*AE129+W129*AF129+X129*AG129)*PRODUCT(Y129:AC129)</x:f>
        <x:v>1.5840701317724468</x:v>
      </x:c>
      <x:c r="AE129" s="59" t="n">
        <x:f>1+AE$9*($H$10*H129+$I$10*I129+$J$10*J129+$K$10*K129+$L$10*L129)</x:f>
        <x:v>1</x:v>
      </x:c>
      <x:c r="AF129" s="59" t="n">
        <x:f>1+AF$9*($H$10*H129+$I$10*I129+$J$10*J129+$K$10*K129+$L$10*L129)</x:f>
        <x:v>1.1223503673041684</x:v>
      </x:c>
      <x:c r="AG129" s="59" t="n">
        <x:f>1+AG$9*($H$10*H129+$I$10*I129+$J$10*J129+$K$10*K129+$L$10*L129)</x:f>
        <x:v>1.2168320398335</x:v>
      </x:c>
      <x:c r="AH129" s="59" t="n">
        <x:f>MIN(1,'_曲线基线'!$L$3+AH$9*($H$10*H129+$I$10*I129+$J$10*J129+$K$10*K129+$L$10*L129))</x:f>
        <x:v>0.3283470856169826</x:v>
      </x:c>
      <x:c r="AI129" s="59" t="n">
        <x:f>'_曲线基线'!$L$4+AI$9*($H$10*H129+$I$10*I129+$J$10*J129+$K$10*K129+$L$10*L129)</x:f>
        <x:v>2.775395452790166</x:v>
      </x:c>
      <x:c r="AJ129" s="59" t="n">
        <x:f>1+AJ$9*($H$10*H129+$I$10*I129+$J$10*J129+$K$10*K129+$L$10*L129)</x:f>
        <x:v>1.6362219099816746</x:v>
      </x:c>
      <x:c r="AK129" s="59" t="n">
        <x:f>(1+AH129*(AI129-1))*AJ129</x:f>
        <x:v>2.5900508011054644</x:v>
      </x:c>
      <x:c r="AL129" s="59" t="n">
        <x:f>U129*AD129*AK129*F129</x:f>
        <x:v>606764.2513798876</x:v>
      </x:c>
      <x:c r="AM129" s="59" t="n">
        <x:f>IF($B129&lt;AM$8,0,AM$3+(AM$4-AM$3)*(POWER(AM$5,$B129-AM$8)-1)/(POWER(AM$5,$C$5-AM$8)-1))</x:f>
        <x:v>37.95788179632596</x:v>
      </x:c>
      <x:c r="AN129" s="59" t="n">
        <x:f>(((E129*'模块规划'!$D$10+G129*'模块规划'!$D$11+H129*'模块规划'!$D$13)*(1+'模块规划'!$G$14*H129)+(I129*'模块规划'!$D$15+J129*'模块规划'!$D$17+K129*'模块规划'!$D$16+L129*'模块规划'!$D$18))*(1+'模块规划'!$J$17*J129))*F129/(1-Q129)</x:f>
        <x:v>1055791.2850389096</x:v>
      </x:c>
      <x:c r="AO129" s="59" t="n">
        <x:f>AL129*AM129</x:f>
        <x:v>23031485.73211398</x:v>
      </x:c>
      <x:c r="AP129" s="61" t="n">
        <x:f>IF(AO129="","",INDEX('_曲线基线'!$A$3:$A$502,MIN(ROWS('_曲线基线'!$A$3:$A$502),COUNTIF('_曲线基线'!$E$3:$E$502,"&lt;"&amp;AO129)+1)))</x:f>
        <x:v>191</x:v>
      </x:c>
      <x:c r="AQ129" s="61" t="n">
        <x:f>IF(B129&lt;=2,1,IF(B129&lt;=6,2,IF(B129&lt;=9,3,IF(B129&lt;=19,4,5))))</x:f>
        <x:v>5</x:v>
      </x:c>
      <x:c r="AR129" s="59" t="n">
        <x:f>AN129*(1-Q129)/F129*$AS$3+U129*$AS$4+P129*$AS$5</x:f>
        <x:v>9393.137066598414</x:v>
      </x:c>
      <x:c r="AS129" s="59" t="n">
        <x:f>1+AH129*$AS$6+AI129*$AS$7+(AJ129-1)*$AS$8+($H$10*H129+$I$10*I129+$J$10*J129+$K$10*K129+$L$10*L129)*$AU$3*$AS$9+($H$10*H129+$I$10*I129+$J$10*J129+$K$10*K129+$L$10*L129)*$AU$4*$AS$10</x:f>
        <x:v>12.292153467028898</x:v>
      </x:c>
      <x:c r="AT129" s="60" t="n">
        <x:f>ROUND(AR129*AS129,0)</x:f>
        <x:v>115462</x:v>
      </x:c>
      <x:c r="AU129" s="60" t="n">
        <x:f>ROUND(AT129*F129,0)</x:f>
        <x:v>577310</x:v>
      </x:c>
      <x:c r="AV129" s="60" t="n">
        <x:f>MIN(MATCH(B129,'主线调参'!$M$11:$M$62,1),ROWS('主线调参'!$M$11:$M$62)-1)</x:f>
        <x:v>31</x:v>
      </x:c>
      <x:c r="AW129" s="62" t="n">
        <x:f>(B129-INDEX('主线调参'!$M$11:$M$62,AV129))/(INDEX('主线调参'!$M$11:$M$62,AV129+1)-INDEX('主线调参'!$M$11:$M$62,AV129))</x:f>
        <x:v>0.21428571428571427</x:v>
      </x:c>
      <x:c r="AX129" s="60" t="n">
        <x:f>IF(AU129=0,0,ROUND(AU129,2-INT(LOG10(ABS(AU129)))))</x:f>
        <x:v>577000</x:v>
      </x:c>
      <x:c r="AY129" s="62" t="n">
        <x:f>AU129/AU128-1</x:f>
        <x:v>0.015229051261760329</x:v>
      </x:c>
    </x:row>
    <x:row r="130" ht="25" customHeight="1">
      <x:c r="A130" s="40" t="str">
        <x:f>'调前玩家曲线'!A130</x:f>
      </x:c>
      <x:c r="B130" s="40" t="n">
        <x:f>'调前玩家曲线'!B130</x:f>
        <x:v>119</x:v>
      </x:c>
      <x:c r="C130" s="40" t="n">
        <x:f>'调前玩家曲线'!C130</x:f>
        <x:v>9</x:v>
      </x:c>
      <x:c r="D130" s="40" t="n">
        <x:f>'调前玩家曲线'!D130</x:f>
        <x:v>5</x:v>
      </x:c>
      <x:c r="E130" s="40" t="n">
        <x:f>'调前玩家曲线'!E130</x:f>
        <x:v>1</x:v>
      </x:c>
      <x:c r="F130" s="40" t="n">
        <x:f>'调前玩家曲线'!F130</x:f>
        <x:v>5</x:v>
      </x:c>
      <x:c r="G130" s="63" t="n">
        <x:f>IF(B130&lt;$G$8,0,(INDEX('主线调参'!$C$11:$C$62,$AV130)+(INDEX('主线调参'!$C$11:$C$62,$AV130+1)-INDEX('主线调参'!$C$11:$C$62,$AV130))*$AW130)*'参数说明'!$C$27)</x:f>
        <x:v>0.6498091766823632</x:v>
      </x:c>
      <x:c r="H130" s="63" t="n">
        <x:f>IF(B130&lt;$H$8,0,(INDEX('主线调参'!$D$11:$D$62,$AV130)+(INDEX('主线调参'!$D$11:$D$62,$AV130+1)-INDEX('主线调参'!$D$11:$D$62,$AV130))*$AW130)*'参数说明'!$D$27)</x:f>
        <x:v>0.509012810438506</x:v>
      </x:c>
      <x:c r="I130" s="63" t="n">
        <x:f>IF(B130&lt;$I$8,0,(INDEX('主线调参'!$E$11:$E$62,$AV130)+(INDEX('主线调参'!$E$11:$E$62,$AV130+1)-INDEX('主线调参'!$E$11:$E$62,$AV130))*$AW130)*'参数说明'!$E$27)</x:f>
        <x:v>0.3419603803252353</x:v>
      </x:c>
      <x:c r="J130" s="63" t="n">
        <x:f>IF(B130&lt;$J$8,0,(INDEX('主线调参'!$F$11:$F$62,$AV130)+(INDEX('主线调参'!$F$11:$F$62,$AV130+1)-INDEX('主线调参'!$F$11:$F$62,$AV130))*$AW130)*'参数说明'!$F$27)</x:f>
        <x:v>0.3841370805201075</x:v>
      </x:c>
      <x:c r="K130" s="63" t="n">
        <x:f>IF(B130&lt;$K$8,0,(INDEX('主线调参'!$G$11:$G$62,$AV130)+(INDEX('主线调参'!$G$11:$G$62,$AV130+1)-INDEX('主线调参'!$G$11:$G$62,$AV130))*$AW130)*'参数说明'!$G$27)</x:f>
        <x:v>0.16305212145790313</x:v>
      </x:c>
      <x:c r="L130" s="63" t="n">
        <x:f>IF(B130&lt;$L$8,0,(INDEX('主线调参'!$H$11:$H$62,$AV130)+(INDEX('主线调参'!$H$11:$H$62,$AV130+1)-INDEX('主线调参'!$H$11:$H$62,$AV130))*$AW130)*'参数说明'!$H$27)</x:f>
        <x:v>0.4939070368050809</x:v>
      </x:c>
      <x:c r="M130" s="59" t="n">
        <x:f>E130*'模块规划'!$F$10+G130*'模块规划'!$F$11+H130*'模块规划'!$F$13</x:f>
        <x:v>4119.084048075343</x:v>
      </x:c>
      <x:c r="N130" s="59" t="n">
        <x:f>I130*'模块规划'!$F$15+J130*'模块规划'!$F$17+K130*'模块规划'!$F$16+L130*'模块规划'!$F$18</x:f>
        <x:v>10024.901760575782</x:v>
      </x:c>
      <x:c r="O130" s="59" t="n">
        <x:f>1+O$9*SUMPRODUCT($H$10:$L$10,H130:L130)/SUM($H$10:$L$10)</x:f>
        <x:v>2.398684321526092</x:v>
      </x:c>
      <x:c r="P130" s="59" t="n">
        <x:f>M130*O130+N130</x:f>
        <x:v>19905.284085742336</x:v>
      </x:c>
      <x:c r="Q130" s="59" t="n">
        <x:f>P130/(P130+'_曲线基线'!$L$2)</x:f>
        <x:v>0.4533687573201768</x:v>
      </x:c>
      <x:c r="R130" s="59" t="n">
        <x:f>E130*'模块规划'!$E$10+G130*'模块规划'!$E$11+H130*'模块规划'!$E$13</x:f>
        <x:v>6178.626072113015</x:v>
      </x:c>
      <x:c r="S130" s="59" t="n">
        <x:f>I130*'模块规划'!$E$15+J130*'模块规划'!$E$17+K130*'模块规划'!$E$16+L130*'模块规划'!$E$18</x:f>
        <x:v>15037.35264086367</x:v>
      </x:c>
      <x:c r="T130" s="59" t="n">
        <x:f>1+T$9*SUMPRODUCT($H$10:$L$10,H130:L130)/SUM($H$10:$L$10)</x:f>
        <x:v>2.398684321526092</x:v>
      </x:c>
      <x:c r="U130" s="59" t="n">
        <x:f>R130*T130+S130</x:f>
        <x:v>29857.9261286135</x:v>
      </x:c>
      <x:c r="V130" s="59" t="n">
        <x:f>V$8+(V$9-V$8)*H130</x:f>
        <x:v>0.8527038431315518</x:v>
      </x:c>
      <x:c r="W130" s="59" t="n">
        <x:f>IF(B130&lt;$H$8,0,W$8+(W$9-W$8)*H130)</x:f>
        <x:v>0.2036051241754024</x:v>
      </x:c>
      <x:c r="X130" s="59" t="n">
        <x:f>X$8+(X$9-X$8)*H130</x:f>
        <x:v>0.4149785228705892</x:v>
      </x:c>
      <x:c r="Y130" s="59" t="n">
        <x:f>Y$8+(Y$9-Y$8)*G130</x:f>
        <x:v>1</x:v>
      </x:c>
      <x:c r="Z130" s="59" t="n">
        <x:f>Z$8+(Z$9-Z$8)*H130</x:f>
        <x:v>1</x:v>
      </x:c>
      <x:c r="AA130" s="59" t="n">
        <x:f>AA$8+(AA$9-AA$8)*I130</x:f>
        <x:v>1</x:v>
      </x:c>
      <x:c r="AB130" s="59" t="n">
        <x:f>AB$8+(AB$9-AB$8)*J130</x:f>
        <x:v>1</x:v>
      </x:c>
      <x:c r="AC130" s="59" t="n">
        <x:f>AC$8+(AC$9-AC$8)*MAX(K130,L130)</x:f>
        <x:v>1</x:v>
      </x:c>
      <x:c r="AD130" s="59" t="n">
        <x:f>(V130*AE130+W130*AF130+X130*AG130)*PRODUCT(Y130:AC130)</x:f>
        <x:v>1.5872087275219604</x:v>
      </x:c>
      <x:c r="AE130" s="59" t="n">
        <x:f>1+AE$9*($H$10*H130+$I$10*I130+$J$10*J130+$K$10*K130+$L$10*L130)</x:f>
        <x:v>1</x:v>
      </x:c>
      <x:c r="AF130" s="59" t="n">
        <x:f>1+AF$9*($H$10*H130+$I$10*I130+$J$10*J130+$K$10*K130+$L$10*L130)</x:f>
        <x:v>1.1234466324261896</x:v>
      </x:c>
      <x:c r="AG130" s="59" t="n">
        <x:f>1+AG$9*($H$10*H130+$I$10*I130+$J$10*J130+$K$10*K130+$L$10*L130)</x:f>
        <x:v>1.2187748652441932</x:v>
      </x:c>
      <x:c r="AH130" s="59" t="n">
        <x:f>MIN(1,'_曲线基线'!$L$3+AH$9*($H$10*H130+$I$10*I130+$J$10*J130+$K$10*K130+$L$10*L130))</x:f>
        <x:v>0.330841088769581</x:v>
      </x:c>
      <x:c r="AI130" s="59" t="n">
        <x:f>'_曲线基线'!$L$4+AI$9*($H$10*H130+$I$10*I130+$J$10*J130+$K$10*K130+$L$10*L130)</x:f>
        <x:v>2.7823430330009757</x:v>
      </x:c>
      <x:c r="AJ130" s="59" t="n">
        <x:f>1+AJ$9*($H$10*H130+$I$10*I130+$J$10*J130+$K$10*K130+$L$10*L130)</x:f>
        <x:v>1.6419224886161854</x:v>
      </x:c>
      <x:c r="AK130" s="59" t="n">
        <x:f>(1+AH130*(AI130-1))*AJ130</x:f>
        <x:v>2.610118714660898</x:v>
      </x:c>
      <x:c r="AL130" s="59" t="n">
        <x:f>U130*AD130*AK130*F130</x:f>
        <x:v>618477.5601189609</x:v>
      </x:c>
      <x:c r="AM130" s="59" t="n">
        <x:f>IF($B130&lt;AM$8,0,AM$3+(AM$4-AM$3)*(POWER(AM$5,$B130-AM$8)-1)/(POWER(AM$5,$C$5-AM$8)-1))</x:f>
        <x:v>38.000885254211084</x:v>
      </x:c>
      <x:c r="AN130" s="59" t="n">
        <x:f>(((E130*'模块规划'!$D$10+G130*'模块规划'!$D$11+H130*'模块规划'!$D$13)*(1+'模块规划'!$G$14*H130)+(I130*'模块规划'!$D$15+J130*'模块规划'!$D$17+K130*'模块规划'!$D$16+L130*'模块规划'!$D$18))*(1+'模块规划'!$J$17*J130))*F130/(1-Q130)</x:f>
        <x:v>1071138.0509983988</x:v>
      </x:c>
      <x:c r="AO130" s="59" t="n">
        <x:f>AL130*AM130</x:f>
        <x:v>23502694.79438507</x:v>
      </x:c>
      <x:c r="AP130" s="61" t="n">
        <x:f>IF(AO130="","",INDEX('_曲线基线'!$A$3:$A$502,MIN(ROWS('_曲线基线'!$A$3:$A$502),COUNTIF('_曲线基线'!$E$3:$E$502,"&lt;"&amp;AO130)+1)))</x:f>
        <x:v>192</x:v>
      </x:c>
      <x:c r="AQ130" s="61" t="n">
        <x:f>IF(B130&lt;=2,1,IF(B130&lt;=6,2,IF(B130&lt;=9,3,IF(B130&lt;=19,4,5))))</x:f>
        <x:v>5</x:v>
      </x:c>
      <x:c r="AR130" s="59" t="n">
        <x:f>AN130*(1-Q130)/F130*$AS$3+U130*$AS$4+P130*$AS$5</x:f>
        <x:v>9484.690369116093</x:v>
      </x:c>
      <x:c r="AS130" s="59" t="n">
        <x:f>1+AH130*$AS$6+AI130*$AS$7+(AJ130-1)*$AS$8+($H$10*H130+$I$10*I130+$J$10*J130+$K$10*K130+$L$10*L130)*$AU$3*$AS$9+($H$10*H130+$I$10*I130+$J$10*J130+$K$10*K130+$L$10*L130)*$AU$4*$AS$10</x:f>
        <x:v>12.357656553700915</x:v>
      </x:c>
      <x:c r="AT130" s="60" t="n">
        <x:f>ROUND(AR130*AS130,0)</x:f>
        <x:v>117209</x:v>
      </x:c>
      <x:c r="AU130" s="60" t="n">
        <x:f>ROUND(AT130*F130,0)</x:f>
        <x:v>586045</x:v>
      </x:c>
      <x:c r="AV130" s="60" t="n">
        <x:f>MIN(MATCH(B130,'主线调参'!$M$11:$M$62,1),ROWS('主线调参'!$M$11:$M$62)-1)</x:f>
        <x:v>31</x:v>
      </x:c>
      <x:c r="AW130" s="62" t="n">
        <x:f>(B130-INDEX('主线调参'!$M$11:$M$62,AV130))/(INDEX('主线调参'!$M$11:$M$62,AV130+1)-INDEX('主线调参'!$M$11:$M$62,AV130))</x:f>
        <x:v>0.2857142857142857</x:v>
      </x:c>
      <x:c r="AX130" s="60" t="n">
        <x:f>IF(AU130=0,0,ROUND(AU130,2-INT(LOG10(ABS(AU130)))))</x:f>
        <x:v>586000</x:v>
      </x:c>
      <x:c r="AY130" s="62" t="n">
        <x:f>AU130/AU129-1</x:f>
        <x:v>0.015130519131835607</x:v>
      </x:c>
    </x:row>
    <x:row r="131" ht="25" customHeight="1">
      <x:c r="A131" s="40" t="str">
        <x:f>'调前玩家曲线'!A131</x:f>
      </x:c>
      <x:c r="B131" s="40" t="n">
        <x:f>'调前玩家曲线'!B131</x:f>
        <x:v>120</x:v>
      </x:c>
      <x:c r="C131" s="40" t="n">
        <x:f>'调前玩家曲线'!C131</x:f>
        <x:v>9</x:v>
      </x:c>
      <x:c r="D131" s="40" t="n">
        <x:f>'调前玩家曲线'!D131</x:f>
        <x:v>6</x:v>
      </x:c>
      <x:c r="E131" s="40" t="n">
        <x:f>'调前玩家曲线'!E131</x:f>
        <x:v>1</x:v>
      </x:c>
      <x:c r="F131" s="40" t="n">
        <x:f>'调前玩家曲线'!F131</x:f>
        <x:v>5</x:v>
      </x:c>
      <x:c r="G131" s="63" t="n">
        <x:f>IF(B131&lt;$G$8,0,(INDEX('主线调参'!$C$11:$C$62,$AV131)+(INDEX('主线调参'!$C$11:$C$62,$AV131+1)-INDEX('主线调参'!$C$11:$C$62,$AV131))*$AW131)*'参数说明'!$C$27)</x:f>
        <x:v>0.6522392872367889</x:v>
      </x:c>
      <x:c r="H131" s="63" t="n">
        <x:f>IF(B131&lt;$H$8,0,(INDEX('主线调参'!$D$11:$D$62,$AV131)+(INDEX('主线调参'!$D$11:$D$62,$AV131+1)-INDEX('主线调参'!$D$11:$D$62,$AV131))*$AW131)*'参数说明'!$D$27)</x:f>
        <x:v>0.5109593037546535</x:v>
      </x:c>
      <x:c r="I131" s="63" t="n">
        <x:f>IF(B131&lt;$I$8,0,(INDEX('主线调参'!$E$11:$E$62,$AV131)+(INDEX('主线调参'!$E$11:$E$62,$AV131+1)-INDEX('主线调参'!$E$11:$E$62,$AV131))*$AW131)*'参数说明'!$E$27)</x:f>
        <x:v>0.3458212640848983</x:v>
      </x:c>
      <x:c r="J131" s="63" t="n">
        <x:f>IF(B131&lt;$J$8,0,(INDEX('主线调参'!$F$11:$F$62,$AV131)+(INDEX('主线调参'!$F$11:$F$62,$AV131+1)-INDEX('主线调参'!$F$11:$F$62,$AV131))*$AW131)*'参数说明'!$F$27)</x:f>
        <x:v>0.3864586862197389</x:v>
      </x:c>
      <x:c r="K131" s="63" t="n">
        <x:f>IF(B131&lt;$K$8,0,(INDEX('主线调参'!$G$11:$G$62,$AV131)+(INDEX('主线调参'!$G$11:$G$62,$AV131+1)-INDEX('主线调参'!$G$11:$G$62,$AV131))*$AW131)*'参数说明'!$G$27)</x:f>
        <x:v>0.17015849353272264</x:v>
      </x:c>
      <x:c r="L131" s="63" t="n">
        <x:f>IF(B131&lt;$L$8,0,(INDEX('主线调参'!$H$11:$H$62,$AV131)+(INDEX('主线调参'!$H$11:$H$62,$AV131+1)-INDEX('主线调参'!$H$11:$H$62,$AV131))*$AW131)*'参数说明'!$H$27)</x:f>
        <x:v>0.4960964244886959</x:v>
      </x:c>
      <x:c r="M131" s="59" t="n">
        <x:f>E131*'模块规划'!$F$10+G131*'模块规划'!$F$11+H131*'模块规划'!$F$13</x:f>
        <x:v>4130.748578736587</x:v>
      </x:c>
      <x:c r="N131" s="59" t="n">
        <x:f>I131*'模块规划'!$F$15+J131*'模块规划'!$F$17+K131*'模块规划'!$F$16+L131*'模块规划'!$F$18</x:f>
        <x:v>10132.59005851639</x:v>
      </x:c>
      <x:c r="O131" s="59" t="n">
        <x:f>1+O$9*SUMPRODUCT($H$10:$L$10,H131:L131)/SUM($H$10:$L$10)</x:f>
        <x:v>2.4111053070829382</x:v>
      </x:c>
      <x:c r="P131" s="59" t="n">
        <x:f>M131*O131+N131</x:f>
        <x:v>20092.25987893348</x:v>
      </x:c>
      <x:c r="Q131" s="59" t="n">
        <x:f>P131/(P131+'_曲线基线'!$L$2)</x:f>
        <x:v>0.45568677890636344</x:v>
      </x:c>
      <x:c r="R131" s="59" t="n">
        <x:f>E131*'模块规划'!$E$10+G131*'模块规划'!$E$11+H131*'模块规划'!$E$13</x:f>
        <x:v>6196.122868104881</x:v>
      </x:c>
      <x:c r="S131" s="59" t="n">
        <x:f>I131*'模块规划'!$E$15+J131*'模块规划'!$E$17+K131*'模块规划'!$E$16+L131*'模块规划'!$E$18</x:f>
        <x:v>15198.885087774586</x:v>
      </x:c>
      <x:c r="T131" s="59" t="n">
        <x:f>1+T$9*SUMPRODUCT($H$10:$L$10,H131:L131)/SUM($H$10:$L$10)</x:f>
        <x:v>2.4111053070829382</x:v>
      </x:c>
      <x:c r="U131" s="59" t="n">
        <x:f>R131*T131+S131</x:f>
        <x:v>30138.38981840022</x:v>
      </x:c>
      <x:c r="V131" s="59" t="n">
        <x:f>V$8+(V$9-V$8)*H131</x:f>
        <x:v>0.8532877911263961</x:v>
      </x:c>
      <x:c r="W131" s="59" t="n">
        <x:f>IF(B131&lt;$H$8,0,W$8+(W$9-W$8)*H131)</x:f>
        <x:v>0.2043837215018614</x:v>
      </x:c>
      <x:c r="X131" s="59" t="n">
        <x:f>X$8+(X$9-X$8)*H131</x:f>
        <x:v>0.4155138085325297</x:v>
      </x:c>
      <x:c r="Y131" s="59" t="n">
        <x:f>Y$8+(Y$9-Y$8)*G131</x:f>
        <x:v>1</x:v>
      </x:c>
      <x:c r="Z131" s="59" t="n">
        <x:f>Z$8+(Z$9-Z$8)*H131</x:f>
        <x:v>1</x:v>
      </x:c>
      <x:c r="AA131" s="59" t="n">
        <x:f>AA$8+(AA$9-AA$8)*I131</x:f>
        <x:v>1</x:v>
      </x:c>
      <x:c r="AB131" s="59" t="n">
        <x:f>AB$8+(AB$9-AB$8)*J131</x:f>
        <x:v>1</x:v>
      </x:c>
      <x:c r="AC131" s="59" t="n">
        <x:f>AC$8+(AC$9-AC$8)*MAX(K131,L131)</x:f>
        <x:v>1</x:v>
      </x:c>
      <x:c r="AD131" s="59" t="n">
        <x:f>(V131*AE131+W131*AF131+X131*AG131)*PRODUCT(Y131:AC131)</x:f>
        <x:v>1.5903511103028323</x:v>
      </x:c>
      <x:c r="AE131" s="59" t="n">
        <x:f>1+AE$9*($H$10*H131+$I$10*I131+$J$10*J131+$K$10*K131+$L$10*L131)</x:f>
        <x:v>1</x:v>
      </x:c>
      <x:c r="AF131" s="59" t="n">
        <x:f>1+AF$9*($H$10*H131+$I$10*I131+$J$10*J131+$K$10*K131+$L$10*L131)</x:f>
        <x:v>1.1245428975482108</x:v>
      </x:c>
      <x:c r="AG131" s="59" t="n">
        <x:f>1+AG$9*($H$10*H131+$I$10*I131+$J$10*J131+$K$10*K131+$L$10*L131)</x:f>
        <x:v>1.2207176906548864</x:v>
      </x:c>
      <x:c r="AH131" s="59" t="n">
        <x:f>MIN(1,'_曲线基线'!$L$3+AH$9*($H$10*H131+$I$10*I131+$J$10*J131+$K$10*K131+$L$10*L131))</x:f>
        <x:v>0.33333509192217936</x:v>
      </x:c>
      <x:c r="AI131" s="59" t="n">
        <x:f>'_曲线基线'!$L$4+AI$9*($H$10*H131+$I$10*I131+$J$10*J131+$K$10*K131+$L$10*L131)</x:f>
        <x:v>2.7892906132117856</x:v>
      </x:c>
      <x:c r="AJ131" s="59" t="n">
        <x:f>1+AJ$9*($H$10*H131+$I$10*I131+$J$10*J131+$K$10*K131+$L$10*L131)</x:f>
        <x:v>1.647623067250696</x:v>
      </x:c>
      <x:c r="AK131" s="59" t="n">
        <x:f>(1+AH131*(AI131-1))*AJ131</x:f>
        <x:v>2.6303204144860857</x:v>
      </x:c>
      <x:c r="AL131" s="59" t="n">
        <x:f>U131*AD131*AK131*F131</x:f>
        <x:v>630364.4638198011</x:v>
      </x:c>
      <x:c r="AM131" s="59" t="n">
        <x:f>IF($B131&lt;AM$8,0,AM$3+(AM$4-AM$3)*(POWER(AM$5,$B131-AM$8)-1)/(POWER(AM$5,$C$5-AM$8)-1))</x:f>
        <x:v>38.04431874667507</x:v>
      </x:c>
      <x:c r="AN131" s="59" t="n">
        <x:f>(((E131*'模块规划'!$D$10+G131*'模块规划'!$D$11+H131*'模块规划'!$D$13)*(1+'模块规划'!$G$14*H131)+(I131*'模块规划'!$D$15+J131*'模块规划'!$D$17+K131*'模块规划'!$D$16+L131*'模块规划'!$D$18))*(1+'模块规划'!$J$17*J131))*F131/(1-Q131)</x:f>
        <x:v>1086620.6279640838</x:v>
      </x:c>
      <x:c r="AO131" s="59" t="n">
        <x:f>AL131*AM131</x:f>
        <x:v>23981786.588137437</x:v>
      </x:c>
      <x:c r="AP131" s="61" t="n">
        <x:f>IF(AO131="","",INDEX('_曲线基线'!$A$3:$A$502,MIN(ROWS('_曲线基线'!$A$3:$A$502),COUNTIF('_曲线基线'!$E$3:$E$502,"&lt;"&amp;AO131)+1)))</x:f>
        <x:v>193</x:v>
      </x:c>
      <x:c r="AQ131" s="61" t="n">
        <x:f>IF(B131&lt;=2,1,IF(B131&lt;=6,2,IF(B131&lt;=9,3,IF(B131&lt;=19,4,5))))</x:f>
        <x:v>5</x:v>
      </x:c>
      <x:c r="AR131" s="59" t="n">
        <x:f>AN131*(1-Q131)/F131*$AS$3+U131*$AS$4+P131*$AS$5</x:f>
        <x:v>9576.449808363566</x:v>
      </x:c>
      <x:c r="AS131" s="59" t="n">
        <x:f>1+AH131*$AS$6+AI131*$AS$7+(AJ131-1)*$AS$8+($H$10*H131+$I$10*I131+$J$10*J131+$K$10*K131+$L$10*L131)*$AU$3*$AS$9+($H$10*H131+$I$10*I131+$J$10*J131+$K$10*K131+$L$10*L131)*$AU$4*$AS$10</x:f>
        <x:v>12.423159640372932</x:v>
      </x:c>
      <x:c r="AT131" s="60" t="n">
        <x:f>ROUND(AR131*AS131,0)</x:f>
        <x:v>118970</x:v>
      </x:c>
      <x:c r="AU131" s="60" t="n">
        <x:f>ROUND(AT131*F131,0)</x:f>
        <x:v>594850</x:v>
      </x:c>
      <x:c r="AV131" s="60" t="n">
        <x:f>MIN(MATCH(B131,'主线调参'!$M$11:$M$62,1),ROWS('主线调参'!$M$11:$M$62)-1)</x:f>
        <x:v>31</x:v>
      </x:c>
      <x:c r="AW131" s="62" t="n">
        <x:f>(B131-INDEX('主线调参'!$M$11:$M$62,AV131))/(INDEX('主线调参'!$M$11:$M$62,AV131+1)-INDEX('主线调参'!$M$11:$M$62,AV131))</x:f>
        <x:v>0.35714285714285715</x:v>
      </x:c>
      <x:c r="AX131" s="60" t="n">
        <x:f>IF(AU131=0,0,ROUND(AU131,2-INT(LOG10(ABS(AU131)))))</x:f>
        <x:v>595000</x:v>
      </x:c>
      <x:c r="AY131" s="62" t="n">
        <x:f>AU131/AU130-1</x:f>
        <x:v>0.015024443515429642</x:v>
      </x:c>
    </x:row>
    <x:row r="132" ht="25" customHeight="1">
      <x:c r="A132" s="40" t="str">
        <x:f>'调前玩家曲线'!A132</x:f>
      </x:c>
      <x:c r="B132" s="40" t="n">
        <x:f>'调前玩家曲线'!B132</x:f>
        <x:v>121</x:v>
      </x:c>
      <x:c r="C132" s="40" t="n">
        <x:f>'调前玩家曲线'!C132</x:f>
        <x:v>9</x:v>
      </x:c>
      <x:c r="D132" s="40" t="n">
        <x:f>'调前玩家曲线'!D132</x:f>
        <x:v>7</x:v>
      </x:c>
      <x:c r="E132" s="40" t="n">
        <x:f>'调前玩家曲线'!E132</x:f>
        <x:v>1</x:v>
      </x:c>
      <x:c r="F132" s="40" t="n">
        <x:f>'调前玩家曲线'!F132</x:f>
        <x:v>5</x:v>
      </x:c>
      <x:c r="G132" s="63" t="n">
        <x:f>IF(B132&lt;$G$8,0,(INDEX('主线调参'!$C$11:$C$62,$AV132)+(INDEX('主线调参'!$C$11:$C$62,$AV132+1)-INDEX('主线调参'!$C$11:$C$62,$AV132))*$AW132)*'参数说明'!$C$27)</x:f>
        <x:v>0.6546693977912148</x:v>
      </x:c>
      <x:c r="H132" s="63" t="n">
        <x:f>IF(B132&lt;$H$8,0,(INDEX('主线调参'!$D$11:$D$62,$AV132)+(INDEX('主线调参'!$D$11:$D$62,$AV132+1)-INDEX('主线调参'!$D$11:$D$62,$AV132))*$AW132)*'参数说明'!$D$27)</x:f>
        <x:v>0.5129057970708011</x:v>
      </x:c>
      <x:c r="I132" s="63" t="n">
        <x:f>IF(B132&lt;$I$8,0,(INDEX('主线调参'!$E$11:$E$62,$AV132)+(INDEX('主线调参'!$E$11:$E$62,$AV132+1)-INDEX('主线调参'!$E$11:$E$62,$AV132))*$AW132)*'参数说明'!$E$27)</x:f>
        <x:v>0.3496821478445615</x:v>
      </x:c>
      <x:c r="J132" s="63" t="n">
        <x:f>IF(B132&lt;$J$8,0,(INDEX('主线调参'!$F$11:$F$62,$AV132)+(INDEX('主线调参'!$F$11:$F$62,$AV132+1)-INDEX('主线调参'!$F$11:$F$62,$AV132))*$AW132)*'参数说明'!$F$27)</x:f>
        <x:v>0.3887802919193703</x:v>
      </x:c>
      <x:c r="K132" s="63" t="n">
        <x:f>IF(B132&lt;$K$8,0,(INDEX('主线调参'!$G$11:$G$62,$AV132)+(INDEX('主线调参'!$G$11:$G$62,$AV132+1)-INDEX('主线调参'!$G$11:$G$62,$AV132))*$AW132)*'参数说明'!$G$27)</x:f>
        <x:v>0.17726486560754218</x:v>
      </x:c>
      <x:c r="L132" s="63" t="n">
        <x:f>IF(B132&lt;$L$8,0,(INDEX('主线调参'!$H$11:$H$62,$AV132)+(INDEX('主线调参'!$H$11:$H$62,$AV132+1)-INDEX('主线调参'!$H$11:$H$62,$AV132))*$AW132)*'参数说明'!$H$27)</x:f>
        <x:v>0.4982858121723109</x:v>
      </x:c>
      <x:c r="M132" s="59" t="n">
        <x:f>E132*'模块规划'!$F$10+G132*'模块规划'!$F$11+H132*'模块规划'!$F$13</x:f>
        <x:v>4142.413109397831</x:v>
      </x:c>
      <x:c r="N132" s="59" t="n">
        <x:f>I132*'模块规划'!$F$15+J132*'模块规划'!$F$17+K132*'模块规划'!$F$16+L132*'模块规划'!$F$18</x:f>
        <x:v>10240.278356457002</x:v>
      </x:c>
      <x:c r="O132" s="59" t="n">
        <x:f>1+O$9*SUMPRODUCT($H$10:$L$10,H132:L132)/SUM($H$10:$L$10)</x:f>
        <x:v>2.423526292639785</x:v>
      </x:c>
      <x:c r="P132" s="59" t="n">
        <x:f>M132*O132+N132</x:f>
        <x:v>20279.525442058373</x:v>
      </x:c>
      <x:c r="Q132" s="59" t="n">
        <x:f>P132/(P132+'_曲线基线'!$L$2)</x:f>
        <x:v>0.4579887710990712</x:v>
      </x:c>
      <x:c r="R132" s="59" t="n">
        <x:f>E132*'模块规划'!$E$10+G132*'模块规划'!$E$11+H132*'模块规划'!$E$13</x:f>
        <x:v>6213.619664096746</x:v>
      </x:c>
      <x:c r="S132" s="59" t="n">
        <x:f>I132*'模块规划'!$E$15+J132*'模块规划'!$E$17+K132*'模块规划'!$E$16+L132*'模块规划'!$E$18</x:f>
        <x:v>15360.417534685505</x:v>
      </x:c>
      <x:c r="T132" s="59" t="n">
        <x:f>1+T$9*SUMPRODUCT($H$10:$L$10,H132:L132)/SUM($H$10:$L$10)</x:f>
        <x:v>2.423526292639785</x:v>
      </x:c>
      <x:c r="U132" s="59" t="n">
        <x:f>R132*T132+S132</x:f>
        <x:v>30419.28816308756</x:v>
      </x:c>
      <x:c r="V132" s="59" t="n">
        <x:f>V$8+(V$9-V$8)*H132</x:f>
        <x:v>0.8538717391212403</x:v>
      </x:c>
      <x:c r="W132" s="59" t="n">
        <x:f>IF(B132&lt;$H$8,0,W$8+(W$9-W$8)*H132)</x:f>
        <x:v>0.20516231882832045</x:v>
      </x:c>
      <x:c r="X132" s="59" t="n">
        <x:f>X$8+(X$9-X$8)*H132</x:f>
        <x:v>0.41604909419447034</x:v>
      </x:c>
      <x:c r="Y132" s="59" t="n">
        <x:f>Y$8+(Y$9-Y$8)*G132</x:f>
        <x:v>1</x:v>
      </x:c>
      <x:c r="Z132" s="59" t="n">
        <x:f>Z$8+(Z$9-Z$8)*H132</x:f>
        <x:v>1</x:v>
      </x:c>
      <x:c r="AA132" s="59" t="n">
        <x:f>AA$8+(AA$9-AA$8)*I132</x:f>
        <x:v>1</x:v>
      </x:c>
      <x:c r="AB132" s="59" t="n">
        <x:f>AB$8+(AB$9-AB$8)*J132</x:f>
        <x:v>1</x:v>
      </x:c>
      <x:c r="AC132" s="59" t="n">
        <x:f>AC$8+(AC$9-AC$8)*MAX(K132,L132)</x:f>
        <x:v>1</x:v>
      </x:c>
      <x:c r="AD132" s="59" t="n">
        <x:f>(V132*AE132+W132*AF132+X132*AG132)*PRODUCT(Y132:AC132)</x:f>
        <x:v>1.593497280115062</x:v>
      </x:c>
      <x:c r="AE132" s="59" t="n">
        <x:f>1+AE$9*($H$10*H132+$I$10*I132+$J$10*J132+$K$10*K132+$L$10*L132)</x:f>
        <x:v>1</x:v>
      </x:c>
      <x:c r="AF132" s="59" t="n">
        <x:f>1+AF$9*($H$10*H132+$I$10*I132+$J$10*J132+$K$10*K132+$L$10*L132)</x:f>
        <x:v>1.125639162670232</x:v>
      </x:c>
      <x:c r="AG132" s="59" t="n">
        <x:f>1+AG$9*($H$10*H132+$I$10*I132+$J$10*J132+$K$10*K132+$L$10*L132)</x:f>
        <x:v>1.2226605160655797</x:v>
      </x:c>
      <x:c r="AH132" s="59" t="n">
        <x:f>MIN(1,'_曲线基线'!$L$3+AH$9*($H$10*H132+$I$10*I132+$J$10*J132+$K$10*K132+$L$10*L132))</x:f>
        <x:v>0.33582909507477776</x:v>
      </x:c>
      <x:c r="AI132" s="59" t="n">
        <x:f>'_曲线基线'!$L$4+AI$9*($H$10*H132+$I$10*I132+$J$10*J132+$K$10*K132+$L$10*L132)</x:f>
        <x:v>2.796238193422595</x:v>
      </x:c>
      <x:c r="AJ132" s="59" t="n">
        <x:f>1+AJ$9*($H$10*H132+$I$10*I132+$J$10*J132+$K$10*K132+$L$10*L132)</x:f>
        <x:v>1.6533236458852065</x:v>
      </x:c>
      <x:c r="AK132" s="59" t="n">
        <x:f>(1+AH132*(AI132-1))*AJ132</x:f>
        <x:v>2.6506564932343997</x:v>
      </x:c>
      <x:c r="AL132" s="59" t="n">
        <x:f>U132*AD132*AK132*F132</x:f>
        <x:v>642427.0627562061</x:v>
      </x:c>
      <x:c r="AM132" s="59" t="n">
        <x:f>IF($B132&lt;AM$8,0,AM$3+(AM$4-AM$3)*(POWER(AM$5,$B132-AM$8)-1)/(POWER(AM$5,$C$5-AM$8)-1))</x:f>
        <x:v>38.088186574063684</x:v>
      </x:c>
      <x:c r="AN132" s="59" t="n">
        <x:f>(((E132*'模块规划'!$D$10+G132*'模块规划'!$D$11+H132*'模块规划'!$D$13)*(1+'模块规划'!$G$14*H132)+(I132*'模块规划'!$D$15+J132*'模块规划'!$D$17+K132*'模块规划'!$D$16+L132*'模块规划'!$D$18))*(1+'模块规划'!$J$17*J132))*F132/(1-Q132)</x:f>
        <x:v>1102239.711351841</x:v>
      </x:c>
      <x:c r="AO132" s="59" t="n">
        <x:f>AL132*AM132</x:f>
        <x:v>24468881.8264861</x:v>
      </x:c>
      <x:c r="AP132" s="61" t="n">
        <x:f>IF(AO132="","",INDEX('_曲线基线'!$A$3:$A$502,MIN(ROWS('_曲线基线'!$A$3:$A$502),COUNTIF('_曲线基线'!$E$3:$E$502,"&lt;"&amp;AO132)+1)))</x:f>
        <x:v>194</x:v>
      </x:c>
      <x:c r="AQ132" s="61" t="n">
        <x:f>IF(B132&lt;=2,1,IF(B132&lt;=6,2,IF(B132&lt;=9,3,IF(B132&lt;=19,4,5))))</x:f>
        <x:v>5</x:v>
      </x:c>
      <x:c r="AR132" s="59" t="n">
        <x:f>AN132*(1-Q132)/F132*$AS$3+U132*$AS$4+P132*$AS$5</x:f>
        <x:v>9668.415435576811</x:v>
      </x:c>
      <x:c r="AS132" s="59" t="n">
        <x:f>1+AH132*$AS$6+AI132*$AS$7+(AJ132-1)*$AS$8+($H$10*H132+$I$10*I132+$J$10*J132+$K$10*K132+$L$10*L132)*$AU$3*$AS$9+($H$10*H132+$I$10*I132+$J$10*J132+$K$10*K132+$L$10*L132)*$AU$4*$AS$10</x:f>
        <x:v>12.488662727044947</x:v>
      </x:c>
      <x:c r="AT132" s="60" t="n">
        <x:f>ROUND(AR132*AS132,0)</x:f>
        <x:v>120746</x:v>
      </x:c>
      <x:c r="AU132" s="60" t="n">
        <x:f>ROUND(AT132*F132,0)</x:f>
        <x:v>603730</x:v>
      </x:c>
      <x:c r="AV132" s="60" t="n">
        <x:f>MIN(MATCH(B132,'主线调参'!$M$11:$M$62,1),ROWS('主线调参'!$M$11:$M$62)-1)</x:f>
        <x:v>31</x:v>
      </x:c>
      <x:c r="AW132" s="62" t="n">
        <x:f>(B132-INDEX('主线调参'!$M$11:$M$62,AV132))/(INDEX('主线调参'!$M$11:$M$62,AV132+1)-INDEX('主线调参'!$M$11:$M$62,AV132))</x:f>
        <x:v>0.42857142857142855</x:v>
      </x:c>
      <x:c r="AX132" s="60" t="n">
        <x:f>IF(AU132=0,0,ROUND(AU132,2-INT(LOG10(ABS(AU132)))))</x:f>
        <x:v>604000</x:v>
      </x:c>
      <x:c r="AY132" s="62" t="n">
        <x:f>AU132/AU131-1</x:f>
        <x:v>0.014928133142809052</x:v>
      </x:c>
    </x:row>
    <x:row r="133" ht="25" customHeight="1">
      <x:c r="A133" s="40" t="str">
        <x:f>'调前玩家曲线'!A133</x:f>
      </x:c>
      <x:c r="B133" s="40" t="n">
        <x:f>'调前玩家曲线'!B133</x:f>
        <x:v>122</x:v>
      </x:c>
      <x:c r="C133" s="40" t="n">
        <x:f>'调前玩家曲线'!C133</x:f>
        <x:v>9</x:v>
      </x:c>
      <x:c r="D133" s="40" t="n">
        <x:f>'调前玩家曲线'!D133</x:f>
        <x:v>8</x:v>
      </x:c>
      <x:c r="E133" s="40" t="n">
        <x:f>'调前玩家曲线'!E133</x:f>
        <x:v>1</x:v>
      </x:c>
      <x:c r="F133" s="40" t="n">
        <x:f>'调前玩家曲线'!F133</x:f>
        <x:v>5</x:v>
      </x:c>
      <x:c r="G133" s="63" t="n">
        <x:f>IF(B133&lt;$G$8,0,(INDEX('主线调参'!$C$11:$C$62,$AV133)+(INDEX('主线调参'!$C$11:$C$62,$AV133+1)-INDEX('主线调参'!$C$11:$C$62,$AV133))*$AW133)*'参数说明'!$C$27)</x:f>
        <x:v>0.6570995083456406</x:v>
      </x:c>
      <x:c r="H133" s="63" t="n">
        <x:f>IF(B133&lt;$H$8,0,(INDEX('主线调参'!$D$11:$D$62,$AV133)+(INDEX('主线调参'!$D$11:$D$62,$AV133+1)-INDEX('主线调参'!$D$11:$D$62,$AV133))*$AW133)*'参数说明'!$D$27)</x:f>
        <x:v>0.5148522903869487</x:v>
      </x:c>
      <x:c r="I133" s="63" t="n">
        <x:f>IF(B133&lt;$I$8,0,(INDEX('主线调参'!$E$11:$E$62,$AV133)+(INDEX('主线调参'!$E$11:$E$62,$AV133+1)-INDEX('主线调参'!$E$11:$E$62,$AV133))*$AW133)*'参数说明'!$E$27)</x:f>
        <x:v>0.3535430316042245</x:v>
      </x:c>
      <x:c r="J133" s="63" t="n">
        <x:f>IF(B133&lt;$J$8,0,(INDEX('主线调参'!$F$11:$F$62,$AV133)+(INDEX('主线调参'!$F$11:$F$62,$AV133+1)-INDEX('主线调参'!$F$11:$F$62,$AV133))*$AW133)*'参数说明'!$F$27)</x:f>
        <x:v>0.3911018976190016</x:v>
      </x:c>
      <x:c r="K133" s="63" t="n">
        <x:f>IF(B133&lt;$K$8,0,(INDEX('主线调参'!$G$11:$G$62,$AV133)+(INDEX('主线调参'!$G$11:$G$62,$AV133+1)-INDEX('主线调参'!$G$11:$G$62,$AV133))*$AW133)*'参数说明'!$G$27)</x:f>
        <x:v>0.18437123768236172</x:v>
      </x:c>
      <x:c r="L133" s="63" t="n">
        <x:f>IF(B133&lt;$L$8,0,(INDEX('主线调参'!$H$11:$H$62,$AV133)+(INDEX('主线调参'!$H$11:$H$62,$AV133+1)-INDEX('主线调参'!$H$11:$H$62,$AV133))*$AW133)*'参数说明'!$H$27)</x:f>
        <x:v>0.5004751998559258</x:v>
      </x:c>
      <x:c r="M133" s="59" t="n">
        <x:f>E133*'模块规划'!$F$10+G133*'模块规划'!$F$11+H133*'模块规划'!$F$13</x:f>
        <x:v>4154.077640059075</x:v>
      </x:c>
      <x:c r="N133" s="59" t="n">
        <x:f>I133*'模块规划'!$F$15+J133*'模块规划'!$F$17+K133*'模块规划'!$F$16+L133*'模块规划'!$F$18</x:f>
        <x:v>10347.966654397611</x:v>
      </x:c>
      <x:c r="O133" s="59" t="n">
        <x:f>1+O$9*SUMPRODUCT($H$10:$L$10,H133:L133)/SUM($H$10:$L$10)</x:f>
        <x:v>2.435947278196631</x:v>
      </x:c>
      <x:c r="P133" s="59" t="n">
        <x:f>M133*O133+N133</x:f>
        <x:v>20467.080775117</x:v>
      </x:c>
      <x:c r="Q133" s="59" t="n">
        <x:f>P133/(P133+'_曲线基线'!$L$2)</x:f>
        <x:v>0.46027489141068195</x:v>
      </x:c>
      <x:c r="R133" s="59" t="n">
        <x:f>E133*'模块规划'!$E$10+G133*'模块规划'!$E$11+H133*'模块规划'!$E$13</x:f>
        <x:v>6231.116460088612</x:v>
      </x:c>
      <x:c r="S133" s="59" t="n">
        <x:f>I133*'模块规划'!$E$15+J133*'模块规划'!$E$17+K133*'模块规划'!$E$16+L133*'模块规划'!$E$18</x:f>
        <x:v>15521.949981596417</x:v>
      </x:c>
      <x:c r="T133" s="59" t="n">
        <x:f>1+T$9*SUMPRODUCT($H$10:$L$10,H133:L133)/SUM($H$10:$L$10)</x:f>
        <x:v>2.435947278196631</x:v>
      </x:c>
      <x:c r="U133" s="59" t="n">
        <x:f>R133*T133+S133</x:f>
        <x:v>30700.6211626755</x:v>
      </x:c>
      <x:c r="V133" s="59" t="n">
        <x:f>V$8+(V$9-V$8)*H133</x:f>
        <x:v>0.8544556871160846</x:v>
      </x:c>
      <x:c r="W133" s="59" t="n">
        <x:f>IF(B133&lt;$H$8,0,W$8+(W$9-W$8)*H133)</x:f>
        <x:v>0.2059409161547795</x:v>
      </x:c>
      <x:c r="X133" s="59" t="n">
        <x:f>X$8+(X$9-X$8)*H133</x:f>
        <x:v>0.41658437985641095</x:v>
      </x:c>
      <x:c r="Y133" s="59" t="n">
        <x:f>Y$8+(Y$9-Y$8)*G133</x:f>
        <x:v>1</x:v>
      </x:c>
      <x:c r="Z133" s="59" t="n">
        <x:f>Z$8+(Z$9-Z$8)*H133</x:f>
        <x:v>1</x:v>
      </x:c>
      <x:c r="AA133" s="59" t="n">
        <x:f>AA$8+(AA$9-AA$8)*I133</x:f>
        <x:v>1</x:v>
      </x:c>
      <x:c r="AB133" s="59" t="n">
        <x:f>AB$8+(AB$9-AB$8)*J133</x:f>
        <x:v>1</x:v>
      </x:c>
      <x:c r="AC133" s="59" t="n">
        <x:f>AC$8+(AC$9-AC$8)*MAX(K133,L133)</x:f>
        <x:v>1</x:v>
      </x:c>
      <x:c r="AD133" s="59" t="n">
        <x:f>(V133*AE133+W133*AF133+X133*AG133)*PRODUCT(Y133:AC133)</x:f>
        <x:v>1.5966472369586504</x:v>
      </x:c>
      <x:c r="AE133" s="59" t="n">
        <x:f>1+AE$9*($H$10*H133+$I$10*I133+$J$10*J133+$K$10*K133+$L$10*L133)</x:f>
        <x:v>1</x:v>
      </x:c>
      <x:c r="AF133" s="59" t="n">
        <x:f>1+AF$9*($H$10*H133+$I$10*I133+$J$10*J133+$K$10*K133+$L$10*L133)</x:f>
        <x:v>1.1267354277922534</x:v>
      </x:c>
      <x:c r="AG133" s="59" t="n">
        <x:f>1+AG$9*($H$10*H133+$I$10*I133+$J$10*J133+$K$10*K133+$L$10*L133)</x:f>
        <x:v>1.224603341476273</x:v>
      </x:c>
      <x:c r="AH133" s="59" t="n">
        <x:f>MIN(1,'_曲线基线'!$L$3+AH$9*($H$10*H133+$I$10*I133+$J$10*J133+$K$10*K133+$L$10*L133))</x:f>
        <x:v>0.3383230982273761</x:v>
      </x:c>
      <x:c r="AI133" s="59" t="n">
        <x:f>'_曲线基线'!$L$4+AI$9*($H$10*H133+$I$10*I133+$J$10*J133+$K$10*K133+$L$10*L133)</x:f>
        <x:v>2.803185773633405</x:v>
      </x:c>
      <x:c r="AJ133" s="59" t="n">
        <x:f>1+AJ$9*($H$10*H133+$I$10*I133+$J$10*J133+$K$10*K133+$L$10*L133)</x:f>
        <x:v>1.6590242245197169</x:v>
      </x:c>
      <x:c r="AK133" s="59" t="n">
        <x:f>(1+AH133*(AI133-1))*AJ133</x:f>
        <x:v>2.6711275435592094</x:v>
      </x:c>
      <x:c r="AL133" s="59" t="n">
        <x:f>U133*AD133*AK133*F133</x:f>
        <x:v>654667.4770634026</x:v>
      </x:c>
      <x:c r="AM133" s="59" t="n">
        <x:f>IF($B133&lt;AM$8,0,AM$3+(AM$4-AM$3)*(POWER(AM$5,$B133-AM$8)-1)/(POWER(AM$5,$C$5-AM$8)-1))</x:f>
        <x:v>38.13249307972619</x:v>
      </x:c>
      <x:c r="AN133" s="59" t="n">
        <x:f>(((E133*'模块规划'!$D$10+G133*'模块规划'!$D$11+H133*'模块规划'!$D$13)*(1+'模块规划'!$G$14*H133)+(I133*'模块规划'!$D$15+J133*'模块规划'!$D$17+K133*'模块规划'!$D$16+L133*'模块规划'!$D$18))*(1+'模块规划'!$J$17*J133))*F133/(1-Q133)</x:f>
        <x:v>1117995.998283737</x:v>
      </x:c>
      <x:c r="AO133" s="59" t="n">
        <x:f>AL133*AM133</x:f>
        <x:v>24964103.038642004</x:v>
      </x:c>
      <x:c r="AP133" s="61" t="n">
        <x:f>IF(AO133="","",INDEX('_曲线基线'!$A$3:$A$502,MIN(ROWS('_曲线基线'!$A$3:$A$502),COUNTIF('_曲线基线'!$E$3:$E$502,"&lt;"&amp;AO133)+1)))</x:f>
        <x:v>196</x:v>
      </x:c>
      <x:c r="AQ133" s="61" t="n">
        <x:f>IF(B133&lt;=2,1,IF(B133&lt;=6,2,IF(B133&lt;=9,3,IF(B133&lt;=19,4,5))))</x:f>
        <x:v>5</x:v>
      </x:c>
      <x:c r="AR133" s="59" t="n">
        <x:f>AN133*(1-Q133)/F133*$AS$3+U133*$AS$4+P133*$AS$5</x:f>
        <x:v>9760.587301991778</x:v>
      </x:c>
      <x:c r="AS133" s="59" t="n">
        <x:f>1+AH133*$AS$6+AI133*$AS$7+(AJ133-1)*$AS$8+($H$10*H133+$I$10*I133+$J$10*J133+$K$10*K133+$L$10*L133)*$AU$3*$AS$9+($H$10*H133+$I$10*I133+$J$10*J133+$K$10*K133+$L$10*L133)*$AU$4*$AS$10</x:f>
        <x:v>12.55416581371696</x:v>
      </x:c>
      <x:c r="AT133" s="60" t="n">
        <x:f>ROUND(AR133*AS133,0)</x:f>
        <x:v>122536</x:v>
      </x:c>
      <x:c r="AU133" s="60" t="n">
        <x:f>ROUND(AT133*F133,0)</x:f>
        <x:v>612680</x:v>
      </x:c>
      <x:c r="AV133" s="60" t="n">
        <x:f>MIN(MATCH(B133,'主线调参'!$M$11:$M$62,1),ROWS('主线调参'!$M$11:$M$62)-1)</x:f>
        <x:v>31</x:v>
      </x:c>
      <x:c r="AW133" s="62" t="n">
        <x:f>(B133-INDEX('主线调参'!$M$11:$M$62,AV133))/(INDEX('主线调参'!$M$11:$M$62,AV133+1)-INDEX('主线调参'!$M$11:$M$62,AV133))</x:f>
        <x:v>0.5</x:v>
      </x:c>
      <x:c r="AX133" s="60" t="n">
        <x:f>IF(AU133=0,0,ROUND(AU133,2-INT(LOG10(ABS(AU133)))))</x:f>
        <x:v>613000</x:v>
      </x:c>
      <x:c r="AY133" s="62" t="n">
        <x:f>AU133/AU132-1</x:f>
        <x:v>0.014824507644145557</x:v>
      </x:c>
    </x:row>
    <x:row r="134" ht="25" customHeight="1">
      <x:c r="A134" s="40" t="str">
        <x:f>'调前玩家曲线'!A134</x:f>
      </x:c>
      <x:c r="B134" s="40" t="n">
        <x:f>'调前玩家曲线'!B134</x:f>
        <x:v>123</x:v>
      </x:c>
      <x:c r="C134" s="40" t="n">
        <x:f>'调前玩家曲线'!C134</x:f>
        <x:v>9</x:v>
      </x:c>
      <x:c r="D134" s="40" t="n">
        <x:f>'调前玩家曲线'!D134</x:f>
        <x:v>9</x:v>
      </x:c>
      <x:c r="E134" s="40" t="n">
        <x:f>'调前玩家曲线'!E134</x:f>
        <x:v>1</x:v>
      </x:c>
      <x:c r="F134" s="40" t="n">
        <x:f>'调前玩家曲线'!F134</x:f>
        <x:v>5</x:v>
      </x:c>
      <x:c r="G134" s="63" t="n">
        <x:f>IF(B134&lt;$G$8,0,(INDEX('主线调参'!$C$11:$C$62,$AV134)+(INDEX('主线调参'!$C$11:$C$62,$AV134+1)-INDEX('主线调参'!$C$11:$C$62,$AV134))*$AW134)*'参数说明'!$C$27)</x:f>
        <x:v>0.6595296189000662</x:v>
      </x:c>
      <x:c r="H134" s="63" t="n">
        <x:f>IF(B134&lt;$H$8,0,(INDEX('主线调参'!$D$11:$D$62,$AV134)+(INDEX('主线调参'!$D$11:$D$62,$AV134+1)-INDEX('主线调参'!$D$11:$D$62,$AV134))*$AW134)*'参数说明'!$D$27)</x:f>
        <x:v>0.5167987837030962</x:v>
      </x:c>
      <x:c r="I134" s="63" t="n">
        <x:f>IF(B134&lt;$I$8,0,(INDEX('主线调参'!$E$11:$E$62,$AV134)+(INDEX('主线调参'!$E$11:$E$62,$AV134+1)-INDEX('主线调参'!$E$11:$E$62,$AV134))*$AW134)*'参数说明'!$E$27)</x:f>
        <x:v>0.35740391536388755</x:v>
      </x:c>
      <x:c r="J134" s="63" t="n">
        <x:f>IF(B134&lt;$J$8,0,(INDEX('主线调参'!$F$11:$F$62,$AV134)+(INDEX('主线调参'!$F$11:$F$62,$AV134+1)-INDEX('主线调参'!$F$11:$F$62,$AV134))*$AW134)*'参数说明'!$F$27)</x:f>
        <x:v>0.393423503318633</x:v>
      </x:c>
      <x:c r="K134" s="63" t="n">
        <x:f>IF(B134&lt;$K$8,0,(INDEX('主线调参'!$G$11:$G$62,$AV134)+(INDEX('主线调参'!$G$11:$G$62,$AV134+1)-INDEX('主线调参'!$G$11:$G$62,$AV134))*$AW134)*'参数说明'!$G$27)</x:f>
        <x:v>0.19147760975718126</x:v>
      </x:c>
      <x:c r="L134" s="63" t="n">
        <x:f>IF(B134&lt;$L$8,0,(INDEX('主线调参'!$H$11:$H$62,$AV134)+(INDEX('主线调参'!$H$11:$H$62,$AV134+1)-INDEX('主线调参'!$H$11:$H$62,$AV134))*$AW134)*'参数说明'!$H$27)</x:f>
        <x:v>0.5026645875395408</x:v>
      </x:c>
      <x:c r="M134" s="59" t="n">
        <x:f>E134*'模块规划'!$F$10+G134*'模块规划'!$F$11+H134*'模块规划'!$F$13</x:f>
        <x:v>4165.7421707203175</x:v>
      </x:c>
      <x:c r="N134" s="59" t="n">
        <x:f>I134*'模块规划'!$F$15+J134*'模块规划'!$F$17+K134*'模块规划'!$F$16+L134*'模块规划'!$F$18</x:f>
        <x:v>10455.654952338222</x:v>
      </x:c>
      <x:c r="O134" s="59" t="n">
        <x:f>1+O$9*SUMPRODUCT($H$10:$L$10,H134:L134)/SUM($H$10:$L$10)</x:f>
        <x:v>2.448368263753477</x:v>
      </x:c>
      <x:c r="P134" s="59" t="n">
        <x:f>M134*O134+N134</x:f>
        <x:v>20654.925878109367</x:v>
      </x:c>
      <x:c r="Q134" s="59" t="n">
        <x:f>P134/(P134+'_曲线基线'!$L$2)</x:f>
        <x:v>0.462545295327313</x:v>
      </x:c>
      <x:c r="R134" s="59" t="n">
        <x:f>E134*'模块规划'!$E$10+G134*'模块规划'!$E$11+H134*'模块规划'!$E$13</x:f>
        <x:v>6248.613256080477</x:v>
      </x:c>
      <x:c r="S134" s="59" t="n">
        <x:f>I134*'模块规划'!$E$15+J134*'模块规划'!$E$17+K134*'模块规划'!$E$16+L134*'模块规划'!$E$18</x:f>
        <x:v>15683.482428507334</x:v>
      </x:c>
      <x:c r="T134" s="59" t="n">
        <x:f>1+T$9*SUMPRODUCT($H$10:$L$10,H134:L134)/SUM($H$10:$L$10)</x:f>
        <x:v>2.448368263753477</x:v>
      </x:c>
      <x:c r="U134" s="59" t="n">
        <x:f>R134*T134+S134</x:f>
        <x:v>30982.388817164054</x:v>
      </x:c>
      <x:c r="V134" s="59" t="n">
        <x:f>V$8+(V$9-V$8)*H134</x:f>
        <x:v>0.8550396351109288</x:v>
      </x:c>
      <x:c r="W134" s="59" t="n">
        <x:f>IF(B134&lt;$H$8,0,W$8+(W$9-W$8)*H134)</x:f>
        <x:v>0.2067195134812385</x:v>
      </x:c>
      <x:c r="X134" s="59" t="n">
        <x:f>X$8+(X$9-X$8)*H134</x:f>
        <x:v>0.41711966551835145</x:v>
      </x:c>
      <x:c r="Y134" s="59" t="n">
        <x:f>Y$8+(Y$9-Y$8)*G134</x:f>
        <x:v>1</x:v>
      </x:c>
      <x:c r="Z134" s="59" t="n">
        <x:f>Z$8+(Z$9-Z$8)*H134</x:f>
        <x:v>1</x:v>
      </x:c>
      <x:c r="AA134" s="59" t="n">
        <x:f>AA$8+(AA$9-AA$8)*I134</x:f>
        <x:v>1</x:v>
      </x:c>
      <x:c r="AB134" s="59" t="n">
        <x:f>AB$8+(AB$9-AB$8)*J134</x:f>
        <x:v>1</x:v>
      </x:c>
      <x:c r="AC134" s="59" t="n">
        <x:f>AC$8+(AC$9-AC$8)*MAX(K134,L134)</x:f>
        <x:v>1</x:v>
      </x:c>
      <x:c r="AD134" s="59" t="n">
        <x:f>(V134*AE134+W134*AF134+X134*AG134)*PRODUCT(Y134:AC134)</x:f>
        <x:v>1.5998009808335967</x:v>
      </x:c>
      <x:c r="AE134" s="59" t="n">
        <x:f>1+AE$9*($H$10*H134+$I$10*I134+$J$10*J134+$K$10*K134+$L$10*L134)</x:f>
        <x:v>1</x:v>
      </x:c>
      <x:c r="AF134" s="59" t="n">
        <x:f>1+AF$9*($H$10*H134+$I$10*I134+$J$10*J134+$K$10*K134+$L$10*L134)</x:f>
        <x:v>1.1278316929142747</x:v>
      </x:c>
      <x:c r="AG134" s="59" t="n">
        <x:f>1+AG$9*($H$10*H134+$I$10*I134+$J$10*J134+$K$10*K134+$L$10*L134)</x:f>
        <x:v>1.2265461668869662</x:v>
      </x:c>
      <x:c r="AH134" s="59" t="n">
        <x:f>MIN(1,'_曲线基线'!$L$3+AH$9*($H$10*H134+$I$10*I134+$J$10*J134+$K$10*K134+$L$10*L134))</x:f>
        <x:v>0.34081710137997445</x:v>
      </x:c>
      <x:c r="AI134" s="59" t="n">
        <x:f>'_曲线基线'!$L$4+AI$9*($H$10*H134+$I$10*I134+$J$10*J134+$K$10*K134+$L$10*L134)</x:f>
        <x:v>2.810133353844215</x:v>
      </x:c>
      <x:c r="AJ134" s="59" t="n">
        <x:f>1+AJ$9*($H$10*H134+$I$10*I134+$J$10*J134+$K$10*K134+$L$10*L134)</x:f>
        <x:v>1.6647248031542274</x:v>
      </x:c>
      <x:c r="AK134" s="59" t="n">
        <x:f>(1+AH134*(AI134-1))*AJ134</x:f>
        <x:v>2.6917341581138863</x:v>
      </x:c>
      <x:c r="AL134" s="59" t="n">
        <x:f>U134*AD134*AK134*F134</x:f>
        <x:v>667087.8468684609</x:v>
      </x:c>
      <x:c r="AM134" s="59" t="n">
        <x:f>IF($B134&lt;AM$8,0,AM$3+(AM$4-AM$3)*(POWER(AM$5,$B134-AM$8)-1)/(POWER(AM$5,$C$5-AM$8)-1))</x:f>
        <x:v>38.17724265044532</x:v>
      </x:c>
      <x:c r="AN134" s="59" t="n">
        <x:f>(((E134*'模块规划'!$D$10+G134*'模块规划'!$D$11+H134*'模块规划'!$D$13)*(1+'模块规划'!$G$14*H134)+(I134*'模块规划'!$D$15+J134*'模块规划'!$D$17+K134*'模块规划'!$D$16+L134*'模块规划'!$D$18))*(1+'模块规划'!$J$17*J134))*F134/(1-Q134)</x:f>
        <x:v>1133890.1875890635</x:v>
      </x:c>
      <x:c r="AO134" s="59" t="n">
        <x:f>AL134*AM134</x:f>
        <x:v>25467574.59906034</x:v>
      </x:c>
      <x:c r="AP134" s="61" t="n">
        <x:f>IF(AO134="","",INDEX('_曲线基线'!$A$3:$A$502,MIN(ROWS('_曲线基线'!$A$3:$A$502),COUNTIF('_曲线基线'!$E$3:$E$502,"&lt;"&amp;AO134)+1)))</x:f>
        <x:v>197</x:v>
      </x:c>
      <x:c r="AQ134" s="61" t="n">
        <x:f>IF(B134&lt;=2,1,IF(B134&lt;=6,2,IF(B134&lt;=9,3,IF(B134&lt;=19,4,5))))</x:f>
        <x:v>5</x:v>
      </x:c>
      <x:c r="AR134" s="59" t="n">
        <x:f>AN134*(1-Q134)/F134*$AS$3+U134*$AS$4+P134*$AS$5</x:f>
        <x:v>9852.965458844437</x:v>
      </x:c>
      <x:c r="AS134" s="59" t="n">
        <x:f>1+AH134*$AS$6+AI134*$AS$7+(AJ134-1)*$AS$8+($H$10*H134+$I$10*I134+$J$10*J134+$K$10*K134+$L$10*L134)*$AU$3*$AS$9+($H$10*H134+$I$10*I134+$J$10*J134+$K$10*K134+$L$10*L134)*$AU$4*$AS$10</x:f>
        <x:v>12.619668900388975</x:v>
      </x:c>
      <x:c r="AT134" s="60" t="n">
        <x:f>ROUND(AR134*AS134,0)</x:f>
        <x:v>124341</x:v>
      </x:c>
      <x:c r="AU134" s="60" t="n">
        <x:f>ROUND(AT134*F134,0)</x:f>
        <x:v>621705</x:v>
      </x:c>
      <x:c r="AV134" s="60" t="n">
        <x:f>MIN(MATCH(B134,'主线调参'!$M$11:$M$62,1),ROWS('主线调参'!$M$11:$M$62)-1)</x:f>
        <x:v>31</x:v>
      </x:c>
      <x:c r="AW134" s="62" t="n">
        <x:f>(B134-INDEX('主线调参'!$M$11:$M$62,AV134))/(INDEX('主线调参'!$M$11:$M$62,AV134+1)-INDEX('主线调参'!$M$11:$M$62,AV134))</x:f>
        <x:v>0.5714285714285714</x:v>
      </x:c>
      <x:c r="AX134" s="60" t="n">
        <x:f>IF(AU134=0,0,ROUND(AU134,2-INT(LOG10(ABS(AU134)))))</x:f>
        <x:v>622000</x:v>
      </x:c>
      <x:c r="AY134" s="62" t="n">
        <x:f>AU134/AU133-1</x:f>
        <x:v>0.01473036495397273</x:v>
      </x:c>
    </x:row>
    <x:row r="135" ht="25" customHeight="1">
      <x:c r="A135" s="40" t="str">
        <x:f>'调前玩家曲线'!A135</x:f>
      </x:c>
      <x:c r="B135" s="40" t="n">
        <x:f>'调前玩家曲线'!B135</x:f>
        <x:v>124</x:v>
      </x:c>
      <x:c r="C135" s="40" t="n">
        <x:f>'调前玩家曲线'!C135</x:f>
        <x:v>9</x:v>
      </x:c>
      <x:c r="D135" s="40" t="n">
        <x:f>'调前玩家曲线'!D135</x:f>
        <x:v>10</x:v>
      </x:c>
      <x:c r="E135" s="40" t="n">
        <x:f>'调前玩家曲线'!E135</x:f>
        <x:v>1</x:v>
      </x:c>
      <x:c r="F135" s="40" t="n">
        <x:f>'调前玩家曲线'!F135</x:f>
        <x:v>5</x:v>
      </x:c>
      <x:c r="G135" s="63" t="n">
        <x:f>IF(B135&lt;$G$8,0,(INDEX('主线调参'!$C$11:$C$62,$AV135)+(INDEX('主线调参'!$C$11:$C$62,$AV135+1)-INDEX('主线调参'!$C$11:$C$62,$AV135))*$AW135)*'参数说明'!$C$27)</x:f>
        <x:v>0.6619597294544921</x:v>
      </x:c>
      <x:c r="H135" s="63" t="n">
        <x:f>IF(B135&lt;$H$8,0,(INDEX('主线调参'!$D$11:$D$62,$AV135)+(INDEX('主线调参'!$D$11:$D$62,$AV135+1)-INDEX('主线调参'!$D$11:$D$62,$AV135))*$AW135)*'参数说明'!$D$27)</x:f>
        <x:v>0.5187452770192438</x:v>
      </x:c>
      <x:c r="I135" s="63" t="n">
        <x:f>IF(B135&lt;$I$8,0,(INDEX('主线调参'!$E$11:$E$62,$AV135)+(INDEX('主线调参'!$E$11:$E$62,$AV135+1)-INDEX('主线调参'!$E$11:$E$62,$AV135))*$AW135)*'参数说明'!$E$27)</x:f>
        <x:v>0.3612647991235507</x:v>
      </x:c>
      <x:c r="J135" s="63" t="n">
        <x:f>IF(B135&lt;$J$8,0,(INDEX('主线调参'!$F$11:$F$62,$AV135)+(INDEX('主线调参'!$F$11:$F$62,$AV135+1)-INDEX('主线调参'!$F$11:$F$62,$AV135))*$AW135)*'参数说明'!$F$27)</x:f>
        <x:v>0.39574510901826443</x:v>
      </x:c>
      <x:c r="K135" s="63" t="n">
        <x:f>IF(B135&lt;$K$8,0,(INDEX('主线调参'!$G$11:$G$62,$AV135)+(INDEX('主线调参'!$G$11:$G$62,$AV135+1)-INDEX('主线调参'!$G$11:$G$62,$AV135))*$AW135)*'参数说明'!$G$27)</x:f>
        <x:v>0.19858398183200077</x:v>
      </x:c>
      <x:c r="L135" s="63" t="n">
        <x:f>IF(B135&lt;$L$8,0,(INDEX('主线调参'!$H$11:$H$62,$AV135)+(INDEX('主线调参'!$H$11:$H$62,$AV135+1)-INDEX('主线调参'!$H$11:$H$62,$AV135))*$AW135)*'参数说明'!$H$27)</x:f>
        <x:v>0.5048539752231558</x:v>
      </x:c>
      <x:c r="M135" s="59" t="n">
        <x:f>E135*'模块规划'!$F$10+G135*'模块规划'!$F$11+H135*'模块规划'!$F$13</x:f>
        <x:v>4177.406701381562</x:v>
      </x:c>
      <x:c r="N135" s="59" t="n">
        <x:f>I135*'模块规划'!$F$15+J135*'模块规划'!$F$17+K135*'模块规划'!$F$16+L135*'模块规划'!$F$18</x:f>
        <x:v>10563.343250278835</x:v>
      </x:c>
      <x:c r="O135" s="59" t="n">
        <x:f>1+O$9*SUMPRODUCT($H$10:$L$10,H135:L135)/SUM($H$10:$L$10)</x:f>
        <x:v>2.4607892493103236</x:v>
      </x:c>
      <x:c r="P135" s="59" t="n">
        <x:f>M135*O135+N135</x:f>
        <x:v>20843.060751035482</x:v>
      </x:c>
      <x:c r="Q135" s="59" t="n">
        <x:f>P135/(P135+'_曲线基线'!$L$2)</x:f>
        <x:v>0.4648001363411437</x:v>
      </x:c>
      <x:c r="R135" s="59" t="n">
        <x:f>E135*'模块规划'!$E$10+G135*'模块规划'!$E$11+H135*'模块规划'!$E$13</x:f>
        <x:v>6266.110052072343</x:v>
      </x:c>
      <x:c r="S135" s="59" t="n">
        <x:f>I135*'模块规划'!$E$15+J135*'模块规划'!$E$17+K135*'模块规划'!$E$16+L135*'模块规划'!$E$18</x:f>
        <x:v>15845.014875418248</x:v>
      </x:c>
      <x:c r="T135" s="59" t="n">
        <x:f>1+T$9*SUMPRODUCT($H$10:$L$10,H135:L135)/SUM($H$10:$L$10)</x:f>
        <x:v>2.4607892493103236</x:v>
      </x:c>
      <x:c r="U135" s="59" t="n">
        <x:f>R135*T135+S135</x:f>
        <x:v>31264.59112655322</x:v>
      </x:c>
      <x:c r="V135" s="59" t="n">
        <x:f>V$8+(V$9-V$8)*H135</x:f>
        <x:v>0.8556235831057731</x:v>
      </x:c>
      <x:c r="W135" s="59" t="n">
        <x:f>IF(B135&lt;$H$8,0,W$8+(W$9-W$8)*H135)</x:f>
        <x:v>0.20749811080769753</x:v>
      </x:c>
      <x:c r="X135" s="59" t="n">
        <x:f>X$8+(X$9-X$8)*H135</x:f>
        <x:v>0.41765495118029206</x:v>
      </x:c>
      <x:c r="Y135" s="59" t="n">
        <x:f>Y$8+(Y$9-Y$8)*G135</x:f>
        <x:v>1</x:v>
      </x:c>
      <x:c r="Z135" s="59" t="n">
        <x:f>Z$8+(Z$9-Z$8)*H135</x:f>
        <x:v>1</x:v>
      </x:c>
      <x:c r="AA135" s="59" t="n">
        <x:f>AA$8+(AA$9-AA$8)*I135</x:f>
        <x:v>1</x:v>
      </x:c>
      <x:c r="AB135" s="59" t="n">
        <x:f>AB$8+(AB$9-AB$8)*J135</x:f>
        <x:v>1</x:v>
      </x:c>
      <x:c r="AC135" s="59" t="n">
        <x:f>AC$8+(AC$9-AC$8)*MAX(K135,L135)</x:f>
        <x:v>1</x:v>
      </x:c>
      <x:c r="AD135" s="59" t="n">
        <x:f>(V135*AE135+W135*AF135+X135*AG135)*PRODUCT(Y135:AC135)</x:f>
        <x:v>1.6029585117399012</x:v>
      </x:c>
      <x:c r="AE135" s="59" t="n">
        <x:f>1+AE$9*($H$10*H135+$I$10*I135+$J$10*J135+$K$10*K135+$L$10*L135)</x:f>
        <x:v>1</x:v>
      </x:c>
      <x:c r="AF135" s="59" t="n">
        <x:f>1+AF$9*($H$10*H135+$I$10*I135+$J$10*J135+$K$10*K135+$L$10*L135)</x:f>
        <x:v>1.1289279580362959</x:v>
      </x:c>
      <x:c r="AG135" s="59" t="n">
        <x:f>1+AG$9*($H$10*H135+$I$10*I135+$J$10*J135+$K$10*K135+$L$10*L135)</x:f>
        <x:v>1.2284889922976594</x:v>
      </x:c>
      <x:c r="AH135" s="59" t="n">
        <x:f>MIN(1,'_曲线基线'!$L$3+AH$9*($H$10*H135+$I$10*I135+$J$10*J135+$K$10*K135+$L$10*L135))</x:f>
        <x:v>0.34331110453257285</x:v>
      </x:c>
      <x:c r="AI135" s="59" t="n">
        <x:f>'_曲线基线'!$L$4+AI$9*($H$10*H135+$I$10*I135+$J$10*J135+$K$10*K135+$L$10*L135)</x:f>
        <x:v>2.8170809340550242</x:v>
      </x:c>
      <x:c r="AJ135" s="59" t="n">
        <x:f>1+AJ$9*($H$10*H135+$I$10*I135+$J$10*J135+$K$10*K135+$L$10*L135)</x:f>
        <x:v>1.670425381788738</x:v>
      </x:c>
      <x:c r="AK135" s="59" t="n">
        <x:f>(1+AH135*(AI135-1))*AJ135</x:f>
        <x:v>2.712476929551801</x:v>
      </x:c>
      <x:c r="AL135" s="59" t="n">
        <x:f>U135*AD135*AK135*F135</x:f>
        <x:v>679690.3324212407</x:v>
      </x:c>
      <x:c r="AM135" s="59" t="n">
        <x:f>IF($B135&lt;AM$8,0,AM$3+(AM$4-AM$3)*(POWER(AM$5,$B135-AM$8)-1)/(POWER(AM$5,$C$5-AM$8)-1))</x:f>
        <x:v>38.22243971687164</x:v>
      </x:c>
      <x:c r="AN135" s="59" t="n">
        <x:f>(((E135*'模块规划'!$D$10+G135*'模块规划'!$D$11+H135*'模块规划'!$D$13)*(1+'模块规划'!$G$14*H135)+(I135*'模块规划'!$D$15+J135*'模块规划'!$D$17+K135*'模块规划'!$D$16+L135*'模块规划'!$D$18))*(1+'模块规划'!$J$17*J135))*F135/(1-Q135)</x:f>
        <x:v>1149922.9798053678</x:v>
      </x:c>
      <x:c r="AO135" s="59" t="n">
        <x:f>AL135*AM135</x:f>
        <x:v>25979422.757111322</x:v>
      </x:c>
      <x:c r="AP135" s="61" t="n">
        <x:f>IF(AO135="","",INDEX('_曲线基线'!$A$3:$A$502,MIN(ROWS('_曲线基线'!$A$3:$A$502),COUNTIF('_曲线基线'!$E$3:$E$502,"&lt;"&amp;AO135)+1)))</x:f>
        <x:v>198</x:v>
      </x:c>
      <x:c r="AQ135" s="61" t="n">
        <x:f>IF(B135&lt;=2,1,IF(B135&lt;=6,2,IF(B135&lt;=9,3,IF(B135&lt;=19,4,5))))</x:f>
        <x:v>5</x:v>
      </x:c>
      <x:c r="AR135" s="59" t="n">
        <x:f>AN135*(1-Q135)/F135*$AS$3+U135*$AS$4+P135*$AS$5</x:f>
        <x:v>9945.549957370757</x:v>
      </x:c>
      <x:c r="AS135" s="59" t="n">
        <x:f>1+AH135*$AS$6+AI135*$AS$7+(AJ135-1)*$AS$8+($H$10*H135+$I$10*I135+$J$10*J135+$K$10*K135+$L$10*L135)*$AU$3*$AS$9+($H$10*H135+$I$10*I135+$J$10*J135+$K$10*K135+$L$10*L135)*$AU$4*$AS$10</x:f>
        <x:v>12.68517198706099</x:v>
      </x:c>
      <x:c r="AT135" s="60" t="n">
        <x:f>ROUND(AR135*AS135,0)</x:f>
        <x:v>126161</x:v>
      </x:c>
      <x:c r="AU135" s="60" t="n">
        <x:f>ROUND(AT135*F135,0)</x:f>
        <x:v>630805</x:v>
      </x:c>
      <x:c r="AV135" s="60" t="n">
        <x:f>MIN(MATCH(B135,'主线调参'!$M$11:$M$62,1),ROWS('主线调参'!$M$11:$M$62)-1)</x:f>
        <x:v>31</x:v>
      </x:c>
      <x:c r="AW135" s="62" t="n">
        <x:f>(B135-INDEX('主线调参'!$M$11:$M$62,AV135))/(INDEX('主线调参'!$M$11:$M$62,AV135+1)-INDEX('主线调参'!$M$11:$M$62,AV135))</x:f>
        <x:v>0.6428571428571429</x:v>
      </x:c>
      <x:c r="AX135" s="60" t="n">
        <x:f>IF(AU135=0,0,ROUND(AU135,2-INT(LOG10(ABS(AU135)))))</x:f>
        <x:v>631000</x:v>
      </x:c>
      <x:c r="AY135" s="62" t="n">
        <x:f>AU135/AU134-1</x:f>
        <x:v>0.014637167145189478</x:v>
      </x:c>
    </x:row>
    <x:row r="136" ht="25" customHeight="1">
      <x:c r="A136" s="40" t="str">
        <x:f>'调前玩家曲线'!A136</x:f>
      </x:c>
      <x:c r="B136" s="40" t="n">
        <x:f>'调前玩家曲线'!B136</x:f>
        <x:v>125</x:v>
      </x:c>
      <x:c r="C136" s="40" t="n">
        <x:f>'调前玩家曲线'!C136</x:f>
        <x:v>9</x:v>
      </x:c>
      <x:c r="D136" s="40" t="n">
        <x:f>'调前玩家曲线'!D136</x:f>
        <x:v>11</x:v>
      </x:c>
      <x:c r="E136" s="40" t="n">
        <x:f>'调前玩家曲线'!E136</x:f>
        <x:v>1</x:v>
      </x:c>
      <x:c r="F136" s="40" t="n">
        <x:f>'调前玩家曲线'!F136</x:f>
        <x:v>5</x:v>
      </x:c>
      <x:c r="G136" s="63" t="n">
        <x:f>IF(B136&lt;$G$8,0,(INDEX('主线调参'!$C$11:$C$62,$AV136)+(INDEX('主线调参'!$C$11:$C$62,$AV136+1)-INDEX('主线调参'!$C$11:$C$62,$AV136))*$AW136)*'参数说明'!$C$27)</x:f>
        <x:v>0.6643898400089179</x:v>
      </x:c>
      <x:c r="H136" s="63" t="n">
        <x:f>IF(B136&lt;$H$8,0,(INDEX('主线调参'!$D$11:$D$62,$AV136)+(INDEX('主线调参'!$D$11:$D$62,$AV136+1)-INDEX('主线调参'!$D$11:$D$62,$AV136))*$AW136)*'参数说明'!$D$27)</x:f>
        <x:v>0.5206917703353914</x:v>
      </x:c>
      <x:c r="I136" s="63" t="n">
        <x:f>IF(B136&lt;$I$8,0,(INDEX('主线调参'!$E$11:$E$62,$AV136)+(INDEX('主线调参'!$E$11:$E$62,$AV136+1)-INDEX('主线调参'!$E$11:$E$62,$AV136))*$AW136)*'参数说明'!$E$27)</x:f>
        <x:v>0.36512568288321373</x:v>
      </x:c>
      <x:c r="J136" s="63" t="n">
        <x:f>IF(B136&lt;$J$8,0,(INDEX('主线调参'!$F$11:$F$62,$AV136)+(INDEX('主线调参'!$F$11:$F$62,$AV136+1)-INDEX('主线调参'!$F$11:$F$62,$AV136))*$AW136)*'参数说明'!$F$27)</x:f>
        <x:v>0.39806671471789584</x:v>
      </x:c>
      <x:c r="K136" s="63" t="n">
        <x:f>IF(B136&lt;$K$8,0,(INDEX('主线调参'!$G$11:$G$62,$AV136)+(INDEX('主线调参'!$G$11:$G$62,$AV136+1)-INDEX('主线调参'!$G$11:$G$62,$AV136))*$AW136)*'参数说明'!$G$27)</x:f>
        <x:v>0.20569035390682033</x:v>
      </x:c>
      <x:c r="L136" s="63" t="n">
        <x:f>IF(B136&lt;$L$8,0,(INDEX('主线调参'!$H$11:$H$62,$AV136)+(INDEX('主线调参'!$H$11:$H$62,$AV136+1)-INDEX('主线调参'!$H$11:$H$62,$AV136))*$AW136)*'参数说明'!$H$27)</x:f>
        <x:v>0.5070433629067708</x:v>
      </x:c>
      <x:c r="M136" s="59" t="n">
        <x:f>E136*'模块规划'!$F$10+G136*'模块规划'!$F$11+H136*'模块规划'!$F$13</x:f>
        <x:v>4189.071232042806</x:v>
      </x:c>
      <x:c r="N136" s="59" t="n">
        <x:f>I136*'模块规划'!$F$15+J136*'模块规划'!$F$17+K136*'模块规划'!$F$16+L136*'模块规划'!$F$18</x:f>
        <x:v>10671.031548219444</x:v>
      </x:c>
      <x:c r="O136" s="59" t="n">
        <x:f>1+O$9*SUMPRODUCT($H$10:$L$10,H136:L136)/SUM($H$10:$L$10)</x:f>
        <x:v>2.473210234867171</x:v>
      </x:c>
      <x:c r="P136" s="59" t="n">
        <x:f>M136*O136+N136</x:f>
        <x:v>21031.48539389534</x:v>
      </x:c>
      <x:c r="Q136" s="59" t="n">
        <x:f>P136/(P136+'_曲线基线'!$L$2)</x:f>
        <x:v>0.4670395659821263</x:v>
      </x:c>
      <x:c r="R136" s="59" t="n">
        <x:f>E136*'模块规划'!$E$10+G136*'模块规划'!$E$11+H136*'模块规划'!$E$13</x:f>
        <x:v>6283.606848064209</x:v>
      </x:c>
      <x:c r="S136" s="59" t="n">
        <x:f>I136*'模块规划'!$E$15+J136*'模块规划'!$E$17+K136*'模块规划'!$E$16+L136*'模块规划'!$E$18</x:f>
        <x:v>16006.547322329165</x:v>
      </x:c>
      <x:c r="T136" s="59" t="n">
        <x:f>1+T$9*SUMPRODUCT($H$10:$L$10,H136:L136)/SUM($H$10:$L$10)</x:f>
        <x:v>2.473210234867171</x:v>
      </x:c>
      <x:c r="U136" s="59" t="n">
        <x:f>R136*T136+S136</x:f>
        <x:v>31547.22809084301</x:v>
      </x:c>
      <x:c r="V136" s="59" t="n">
        <x:f>V$8+(V$9-V$8)*H136</x:f>
        <x:v>0.8562075311006174</x:v>
      </x:c>
      <x:c r="W136" s="59" t="n">
        <x:f>IF(B136&lt;$H$8,0,W$8+(W$9-W$8)*H136)</x:f>
        <x:v>0.20827670813415655</x:v>
      </x:c>
      <x:c r="X136" s="59" t="n">
        <x:f>X$8+(X$9-X$8)*H136</x:f>
        <x:v>0.41819023684223267</x:v>
      </x:c>
      <x:c r="Y136" s="59" t="n">
        <x:f>Y$8+(Y$9-Y$8)*G136</x:f>
        <x:v>1</x:v>
      </x:c>
      <x:c r="Z136" s="59" t="n">
        <x:f>Z$8+(Z$9-Z$8)*H136</x:f>
        <x:v>1</x:v>
      </x:c>
      <x:c r="AA136" s="59" t="n">
        <x:f>AA$8+(AA$9-AA$8)*I136</x:f>
        <x:v>1</x:v>
      </x:c>
      <x:c r="AB136" s="59" t="n">
        <x:f>AB$8+(AB$9-AB$8)*J136</x:f>
        <x:v>1</x:v>
      </x:c>
      <x:c r="AC136" s="59" t="n">
        <x:f>AC$8+(AC$9-AC$8)*MAX(K136,L136)</x:f>
        <x:v>1</x:v>
      </x:c>
      <x:c r="AD136" s="59" t="n">
        <x:f>(V136*AE136+W136*AF136+X136*AG136)*PRODUCT(Y136:AC136)</x:f>
        <x:v>1.606119829677564</x:v>
      </x:c>
      <x:c r="AE136" s="59" t="n">
        <x:f>1+AE$9*($H$10*H136+$I$10*I136+$J$10*J136+$K$10*K136+$L$10*L136)</x:f>
        <x:v>1</x:v>
      </x:c>
      <x:c r="AF136" s="59" t="n">
        <x:f>1+AF$9*($H$10*H136+$I$10*I136+$J$10*J136+$K$10*K136+$L$10*L136)</x:f>
        <x:v>1.1300242231583173</x:v>
      </x:c>
      <x:c r="AG136" s="59" t="n">
        <x:f>1+AG$9*($H$10*H136+$I$10*I136+$J$10*J136+$K$10*K136+$L$10*L136)</x:f>
        <x:v>1.2304318177083529</x:v>
      </x:c>
      <x:c r="AH136" s="59" t="n">
        <x:f>MIN(1,'_曲线基线'!$L$3+AH$9*($H$10*H136+$I$10*I136+$J$10*J136+$K$10*K136+$L$10*L136))</x:f>
        <x:v>0.34580510768517125</x:v>
      </x:c>
      <x:c r="AI136" s="59" t="n">
        <x:f>'_曲线基线'!$L$4+AI$9*($H$10*H136+$I$10*I136+$J$10*J136+$K$10*K136+$L$10*L136)</x:f>
        <x:v>2.8240285142658346</x:v>
      </x:c>
      <x:c r="AJ136" s="59" t="n">
        <x:f>1+AJ$9*($H$10*H136+$I$10*I136+$J$10*J136+$K$10*K136+$L$10*L136)</x:f>
        <x:v>1.6761259604232488</x:v>
      </x:c>
      <x:c r="AK136" s="59" t="n">
        <x:f>(1+AH136*(AI136-1))*AJ136</x:f>
        <x:v>2.7333564505263253</x:v>
      </x:c>
      <x:c r="AL136" s="59" t="n">
        <x:f>U136*AD136*AK136*F136</x:f>
        <x:v>692477.1142258728</x:v>
      </x:c>
      <x:c r="AM136" s="59" t="n">
        <x:f>IF($B136&lt;AM$8,0,AM$3+(AM$4-AM$3)*(POWER(AM$5,$B136-AM$8)-1)/(POWER(AM$5,$C$5-AM$8)-1))</x:f>
        <x:v>38.268088753962225</x:v>
      </x:c>
      <x:c r="AN136" s="59" t="n">
        <x:f>(((E136*'模块规划'!$D$10+G136*'模块规划'!$D$11+H136*'模块规划'!$D$13)*(1+'模块规划'!$G$14*H136)+(I136*'模块规划'!$D$15+J136*'模块规划'!$D$17+K136*'模块规划'!$D$16+L136*'模块规划'!$D$18))*(1+'模块规划'!$J$17*J136))*F136/(1-Q136)</x:f>
        <x:v>1166095.0771794813</x:v>
      </x:c>
      <x:c r="AO136" s="59" t="n">
        <x:f>AL136*AM136</x:f>
        <x:v>26499775.667283338</x:v>
      </x:c>
      <x:c r="AP136" s="61" t="n">
        <x:f>IF(AO136="","",INDEX('_曲线基线'!$A$3:$A$502,MIN(ROWS('_曲线基线'!$A$3:$A$502),COUNTIF('_曲线基线'!$E$3:$E$502,"&lt;"&amp;AO136)+1)))</x:f>
        <x:v>199</x:v>
      </x:c>
      <x:c r="AQ136" s="61" t="n">
        <x:f>IF(B136&lt;=2,1,IF(B136&lt;=6,2,IF(B136&lt;=9,3,IF(B136&lt;=19,4,5))))</x:f>
        <x:v>5</x:v>
      </x:c>
      <x:c r="AR136" s="59" t="n">
        <x:f>AN136*(1-Q136)/F136*$AS$3+U136*$AS$4+P136*$AS$5</x:f>
        <x:v>10038.340848806696</x:v>
      </x:c>
      <x:c r="AS136" s="59" t="n">
        <x:f>1+AH136*$AS$6+AI136*$AS$7+(AJ136-1)*$AS$8+($H$10*H136+$I$10*I136+$J$10*J136+$K$10*K136+$L$10*L136)*$AU$3*$AS$9+($H$10*H136+$I$10*I136+$J$10*J136+$K$10*K136+$L$10*L136)*$AU$4*$AS$10</x:f>
        <x:v>12.75067507373301</x:v>
      </x:c>
      <x:c r="AT136" s="60" t="n">
        <x:f>ROUND(AR136*AS136,0)</x:f>
        <x:v>127996</x:v>
      </x:c>
      <x:c r="AU136" s="60" t="n">
        <x:f>ROUND(AT136*F136,0)</x:f>
        <x:v>639980</x:v>
      </x:c>
      <x:c r="AV136" s="60" t="n">
        <x:f>MIN(MATCH(B136,'主线调参'!$M$11:$M$62,1),ROWS('主线调参'!$M$11:$M$62)-1)</x:f>
        <x:v>31</x:v>
      </x:c>
      <x:c r="AW136" s="62" t="n">
        <x:f>(B136-INDEX('主线调参'!$M$11:$M$62,AV136))/(INDEX('主线调参'!$M$11:$M$62,AV136+1)-INDEX('主线调参'!$M$11:$M$62,AV136))</x:f>
        <x:v>0.7142857142857143</x:v>
      </x:c>
      <x:c r="AX136" s="60" t="n">
        <x:f>IF(AU136=0,0,ROUND(AU136,2-INT(LOG10(ABS(AU136)))))</x:f>
        <x:v>640000</x:v>
      </x:c>
      <x:c r="AY136" s="62" t="n">
        <x:f>AU136/AU135-1</x:f>
        <x:v>0.014544906904669475</x:v>
      </x:c>
    </x:row>
    <x:row r="137" ht="25" customHeight="1">
      <x:c r="A137" s="40" t="str">
        <x:f>'调前玩家曲线'!A137</x:f>
      </x:c>
      <x:c r="B137" s="40" t="n">
        <x:f>'调前玩家曲线'!B137</x:f>
        <x:v>126</x:v>
      </x:c>
      <x:c r="C137" s="40" t="n">
        <x:f>'调前玩家曲线'!C137</x:f>
        <x:v>9</x:v>
      </x:c>
      <x:c r="D137" s="40" t="n">
        <x:f>'调前玩家曲线'!D137</x:f>
        <x:v>12</x:v>
      </x:c>
      <x:c r="E137" s="40" t="n">
        <x:f>'调前玩家曲线'!E137</x:f>
        <x:v>1</x:v>
      </x:c>
      <x:c r="F137" s="40" t="n">
        <x:f>'调前玩家曲线'!F137</x:f>
        <x:v>5</x:v>
      </x:c>
      <x:c r="G137" s="63" t="n">
        <x:f>IF(B137&lt;$G$8,0,(INDEX('主线调参'!$C$11:$C$62,$AV137)+(INDEX('主线调参'!$C$11:$C$62,$AV137+1)-INDEX('主线调参'!$C$11:$C$62,$AV137))*$AW137)*'参数说明'!$C$27)</x:f>
        <x:v>0.6668199505633438</x:v>
      </x:c>
      <x:c r="H137" s="63" t="n">
        <x:f>IF(B137&lt;$H$8,0,(INDEX('主线调参'!$D$11:$D$62,$AV137)+(INDEX('主线调参'!$D$11:$D$62,$AV137+1)-INDEX('主线调参'!$D$11:$D$62,$AV137))*$AW137)*'参数说明'!$D$27)</x:f>
        <x:v>0.522638263651539</x:v>
      </x:c>
      <x:c r="I137" s="63" t="n">
        <x:f>IF(B137&lt;$I$8,0,(INDEX('主线调参'!$E$11:$E$62,$AV137)+(INDEX('主线调参'!$E$11:$E$62,$AV137+1)-INDEX('主线调参'!$E$11:$E$62,$AV137))*$AW137)*'参数说明'!$E$27)</x:f>
        <x:v>0.3689865666428769</x:v>
      </x:c>
      <x:c r="J137" s="63" t="n">
        <x:f>IF(B137&lt;$J$8,0,(INDEX('主线调参'!$F$11:$F$62,$AV137)+(INDEX('主线调参'!$F$11:$F$62,$AV137+1)-INDEX('主线调参'!$F$11:$F$62,$AV137))*$AW137)*'参数说明'!$F$27)</x:f>
        <x:v>0.4003883204175272</x:v>
      </x:c>
      <x:c r="K137" s="63" t="n">
        <x:f>IF(B137&lt;$K$8,0,(INDEX('主线调参'!$G$11:$G$62,$AV137)+(INDEX('主线调参'!$G$11:$G$62,$AV137+1)-INDEX('主线调参'!$G$11:$G$62,$AV137))*$AW137)*'参数说明'!$G$27)</x:f>
        <x:v>0.21279672598163984</x:v>
      </x:c>
      <x:c r="L137" s="63" t="n">
        <x:f>IF(B137&lt;$L$8,0,(INDEX('主线调参'!$H$11:$H$62,$AV137)+(INDEX('主线调参'!$H$11:$H$62,$AV137+1)-INDEX('主线调参'!$H$11:$H$62,$AV137))*$AW137)*'参数说明'!$H$27)</x:f>
        <x:v>0.5092327505903859</x:v>
      </x:c>
      <x:c r="M137" s="59" t="n">
        <x:f>E137*'模块规划'!$F$10+G137*'模块规划'!$F$11+H137*'模块规划'!$F$13</x:f>
        <x:v>4200.73576270405</x:v>
      </x:c>
      <x:c r="N137" s="59" t="n">
        <x:f>I137*'模块规划'!$F$15+J137*'模块规划'!$F$17+K137*'模块规划'!$F$16+L137*'模块规划'!$F$18</x:f>
        <x:v>10778.719846160056</x:v>
      </x:c>
      <x:c r="O137" s="59" t="n">
        <x:f>1+O$9*SUMPRODUCT($H$10:$L$10,H137:L137)/SUM($H$10:$L$10)</x:f>
        <x:v>2.4856312204240174</x:v>
      </x:c>
      <x:c r="P137" s="59" t="n">
        <x:f>M137*O137+N137</x:f>
        <x:v>21220.199806688943</x:v>
      </x:c>
      <x:c r="Q137" s="59" t="n">
        <x:f>P137/(P137+'_曲线基线'!$L$2)</x:f>
        <x:v>0.46926373384909426</x:v>
      </x:c>
      <x:c r="R137" s="59" t="n">
        <x:f>E137*'模块规划'!$E$10+G137*'模块规划'!$E$11+H137*'模块规划'!$E$13</x:f>
        <x:v>6301.103644056075</x:v>
      </x:c>
      <x:c r="S137" s="59" t="n">
        <x:f>I137*'模块规划'!$E$15+J137*'模块规划'!$E$17+K137*'模块规划'!$E$16+L137*'模块规划'!$E$18</x:f>
        <x:v>16168.079769240085</x:v>
      </x:c>
      <x:c r="T137" s="59" t="n">
        <x:f>1+T$9*SUMPRODUCT($H$10:$L$10,H137:L137)/SUM($H$10:$L$10)</x:f>
        <x:v>2.4856312204240174</x:v>
      </x:c>
      <x:c r="U137" s="59" t="n">
        <x:f>R137*T137+S137</x:f>
        <x:v>31830.29971003341</x:v>
      </x:c>
      <x:c r="V137" s="59" t="n">
        <x:f>V$8+(V$9-V$8)*H137</x:f>
        <x:v>0.8567914790954616</x:v>
      </x:c>
      <x:c r="W137" s="59" t="n">
        <x:f>IF(B137&lt;$H$8,0,W$8+(W$9-W$8)*H137)</x:f>
        <x:v>0.2090553054606156</x:v>
      </x:c>
      <x:c r="X137" s="59" t="n">
        <x:f>X$8+(X$9-X$8)*H137</x:f>
        <x:v>0.4187255225041733</x:v>
      </x:c>
      <x:c r="Y137" s="59" t="n">
        <x:f>Y$8+(Y$9-Y$8)*G137</x:f>
        <x:v>1</x:v>
      </x:c>
      <x:c r="Z137" s="59" t="n">
        <x:f>Z$8+(Z$9-Z$8)*H137</x:f>
        <x:v>1</x:v>
      </x:c>
      <x:c r="AA137" s="59" t="n">
        <x:f>AA$8+(AA$9-AA$8)*I137</x:f>
        <x:v>1</x:v>
      </x:c>
      <x:c r="AB137" s="59" t="n">
        <x:f>AB$8+(AB$9-AB$8)*J137</x:f>
        <x:v>1</x:v>
      </x:c>
      <x:c r="AC137" s="59" t="n">
        <x:f>AC$8+(AC$9-AC$8)*MAX(K137,L137)</x:f>
        <x:v>1</x:v>
      </x:c>
      <x:c r="AD137" s="59" t="n">
        <x:f>(V137*AE137+W137*AF137+X137*AG137)*PRODUCT(Y137:AC137)</x:f>
        <x:v>1.6092849346465852</x:v>
      </x:c>
      <x:c r="AE137" s="59" t="n">
        <x:f>1+AE$9*($H$10*H137+$I$10*I137+$J$10*J137+$K$10*K137+$L$10*L137)</x:f>
        <x:v>1</x:v>
      </x:c>
      <x:c r="AF137" s="59" t="n">
        <x:f>1+AF$9*($H$10*H137+$I$10*I137+$J$10*J137+$K$10*K137+$L$10*L137)</x:f>
        <x:v>1.1311204882803385</x:v>
      </x:c>
      <x:c r="AG137" s="59" t="n">
        <x:f>1+AG$9*($H$10*H137+$I$10*I137+$J$10*J137+$K$10*K137+$L$10*L137)</x:f>
        <x:v>1.232374643119046</x:v>
      </x:c>
      <x:c r="AH137" s="59" t="n">
        <x:f>MIN(1,'_曲线基线'!$L$3+AH$9*($H$10*H137+$I$10*I137+$J$10*J137+$K$10*K137+$L$10*L137))</x:f>
        <x:v>0.34829911083776965</x:v>
      </x:c>
      <x:c r="AI137" s="59" t="n">
        <x:f>'_曲线基线'!$L$4+AI$9*($H$10*H137+$I$10*I137+$J$10*J137+$K$10*K137+$L$10*L137)</x:f>
        <x:v>2.830976094476644</x:v>
      </x:c>
      <x:c r="AJ137" s="59" t="n">
        <x:f>1+AJ$9*($H$10*H137+$I$10*I137+$J$10*J137+$K$10*K137+$L$10*L137)</x:f>
        <x:v>1.6818265390577594</x:v>
      </x:c>
      <x:c r="AK137" s="59" t="n">
        <x:f>(1+AH137*(AI137-1))*AJ137</x:f>
        <x:v>2.7543733136908273</x:v>
      </x:c>
      <x:c r="AL137" s="59" t="n">
        <x:f>U137*AD137*AK137*F137</x:f>
        <x:v>705450.3931727696</x:v>
      </x:c>
      <x:c r="AM137" s="59" t="n">
        <x:f>IF($B137&lt;AM$8,0,AM$3+(AM$4-AM$3)*(POWER(AM$5,$B137-AM$8)-1)/(POWER(AM$5,$C$5-AM$8)-1))</x:f>
        <x:v>38.31419428142372</x:v>
      </x:c>
      <x:c r="AN137" s="59" t="n">
        <x:f>(((E137*'模块规划'!$D$10+G137*'模块规划'!$D$11+H137*'模块规划'!$D$13)*(1+'模块规划'!$G$14*H137)+(I137*'模块规划'!$D$15+J137*'模块规划'!$D$17+K137*'模块规划'!$D$16+L137*'模块规划'!$D$18))*(1+'模块规划'!$J$17*J137))*F137/(1-Q137)</x:f>
        <x:v>1182407.1836685536</x:v>
      </x:c>
      <x:c r="AO137" s="59" t="n">
        <x:f>AL137*AM137</x:f>
        <x:v>27028763.41992824</x:v>
      </x:c>
      <x:c r="AP137" s="61" t="n">
        <x:f>IF(AO137="","",INDEX('_曲线基线'!$A$3:$A$502,MIN(ROWS('_曲线基线'!$A$3:$A$502),COUNTIF('_曲线基线'!$E$3:$E$502,"&lt;"&amp;AO137)+1)))</x:f>
        <x:v>201</x:v>
      </x:c>
      <x:c r="AQ137" s="61" t="n">
        <x:f>IF(B137&lt;=2,1,IF(B137&lt;=6,2,IF(B137&lt;=9,3,IF(B137&lt;=19,4,5))))</x:f>
        <x:v>5</x:v>
      </x:c>
      <x:c r="AR137" s="59" t="n">
        <x:f>AN137*(1-Q137)/F137*$AS$3+U137*$AS$4+P137*$AS$5</x:f>
        <x:v>10131.33818438822</x:v>
      </x:c>
      <x:c r="AS137" s="59" t="n">
        <x:f>1+AH137*$AS$6+AI137*$AS$7+(AJ137-1)*$AS$8+($H$10*H137+$I$10*I137+$J$10*J137+$K$10*K137+$L$10*L137)*$AU$3*$AS$9+($H$10*H137+$I$10*I137+$J$10*J137+$K$10*K137+$L$10*L137)*$AU$4*$AS$10</x:f>
        <x:v>12.816178160405022</x:v>
      </x:c>
      <x:c r="AT137" s="60" t="n">
        <x:f>ROUND(AR137*AS137,0)</x:f>
        <x:v>129845</x:v>
      </x:c>
      <x:c r="AU137" s="60" t="n">
        <x:f>ROUND(AT137*F137,0)</x:f>
        <x:v>649225</x:v>
      </x:c>
      <x:c r="AV137" s="60" t="n">
        <x:f>MIN(MATCH(B137,'主线调参'!$M$11:$M$62,1),ROWS('主线调参'!$M$11:$M$62)-1)</x:f>
        <x:v>31</x:v>
      </x:c>
      <x:c r="AW137" s="62" t="n">
        <x:f>(B137-INDEX('主线调参'!$M$11:$M$62,AV137))/(INDEX('主线调参'!$M$11:$M$62,AV137+1)-INDEX('主线调参'!$M$11:$M$62,AV137))</x:f>
        <x:v>0.7857142857142857</x:v>
      </x:c>
      <x:c r="AX137" s="60" t="n">
        <x:f>IF(AU137=0,0,ROUND(AU137,2-INT(LOG10(ABS(AU137)))))</x:f>
        <x:v>649000</x:v>
      </x:c>
      <x:c r="AY137" s="62" t="n">
        <x:f>AU137/AU136-1</x:f>
        <x:v>0.014445763930122757</x:v>
      </x:c>
    </x:row>
    <x:row r="138" ht="25" customHeight="1">
      <x:c r="A138" s="40" t="str">
        <x:f>'调前玩家曲线'!A138</x:f>
      </x:c>
      <x:c r="B138" s="40" t="n">
        <x:f>'调前玩家曲线'!B138</x:f>
        <x:v>127</x:v>
      </x:c>
      <x:c r="C138" s="40" t="n">
        <x:f>'调前玩家曲线'!C138</x:f>
        <x:v>9</x:v>
      </x:c>
      <x:c r="D138" s="40" t="n">
        <x:f>'调前玩家曲线'!D138</x:f>
        <x:v>13</x:v>
      </x:c>
      <x:c r="E138" s="40" t="n">
        <x:f>'调前玩家曲线'!E138</x:f>
        <x:v>1</x:v>
      </x:c>
      <x:c r="F138" s="40" t="n">
        <x:f>'调前玩家曲线'!F138</x:f>
        <x:v>5</x:v>
      </x:c>
      <x:c r="G138" s="63" t="n">
        <x:f>IF(B138&lt;$G$8,0,(INDEX('主线调参'!$C$11:$C$62,$AV138)+(INDEX('主线调参'!$C$11:$C$62,$AV138+1)-INDEX('主线调参'!$C$11:$C$62,$AV138))*$AW138)*'参数说明'!$C$27)</x:f>
        <x:v>0.6692500611177694</x:v>
      </x:c>
      <x:c r="H138" s="63" t="n">
        <x:f>IF(B138&lt;$H$8,0,(INDEX('主线调参'!$D$11:$D$62,$AV138)+(INDEX('主线调参'!$D$11:$D$62,$AV138+1)-INDEX('主线调参'!$D$11:$D$62,$AV138))*$AW138)*'参数说明'!$D$27)</x:f>
        <x:v>0.5245847569676866</x:v>
      </x:c>
      <x:c r="I138" s="63" t="n">
        <x:f>IF(B138&lt;$I$8,0,(INDEX('主线调参'!$E$11:$E$62,$AV138)+(INDEX('主线调参'!$E$11:$E$62,$AV138+1)-INDEX('主线调参'!$E$11:$E$62,$AV138))*$AW138)*'参数说明'!$E$27)</x:f>
        <x:v>0.3728474504025399</x:v>
      </x:c>
      <x:c r="J138" s="63" t="n">
        <x:f>IF(B138&lt;$J$8,0,(INDEX('主线调参'!$F$11:$F$62,$AV138)+(INDEX('主线调参'!$F$11:$F$62,$AV138+1)-INDEX('主线调参'!$F$11:$F$62,$AV138))*$AW138)*'参数说明'!$F$27)</x:f>
        <x:v>0.40270992611715856</x:v>
      </x:c>
      <x:c r="K138" s="63" t="n">
        <x:f>IF(B138&lt;$K$8,0,(INDEX('主线调参'!$G$11:$G$62,$AV138)+(INDEX('主线调参'!$G$11:$G$62,$AV138+1)-INDEX('主线调参'!$G$11:$G$62,$AV138))*$AW138)*'参数说明'!$G$27)</x:f>
        <x:v>0.21990309805645938</x:v>
      </x:c>
      <x:c r="L138" s="63" t="n">
        <x:f>IF(B138&lt;$L$8,0,(INDEX('主线调参'!$H$11:$H$62,$AV138)+(INDEX('主线调参'!$H$11:$H$62,$AV138+1)-INDEX('主线调参'!$H$11:$H$62,$AV138))*$AW138)*'参数说明'!$H$27)</x:f>
        <x:v>0.5114221382740008</x:v>
      </x:c>
      <x:c r="M138" s="59" t="n">
        <x:f>E138*'模块规划'!$F$10+G138*'模块规划'!$F$11+H138*'模块规划'!$F$13</x:f>
        <x:v>4212.400293365294</x:v>
      </x:c>
      <x:c r="N138" s="59" t="n">
        <x:f>I138*'模块规划'!$F$15+J138*'模块规划'!$F$17+K138*'模块规划'!$F$16+L138*'模块规划'!$F$18</x:f>
        <x:v>10886.408144100666</x:v>
      </x:c>
      <x:c r="O138" s="59" t="n">
        <x:f>1+O$9*SUMPRODUCT($H$10:$L$10,H138:L138)/SUM($H$10:$L$10)</x:f>
        <x:v>2.4980522059808634</x:v>
      </x:c>
      <x:c r="P138" s="59" t="n">
        <x:f>M138*O138+N138</x:f>
        <x:v>21409.203989416274</x:v>
      </x:c>
      <x:c r="Q138" s="59" t="n">
        <x:f>P138/(P138+'_曲线基线'!$L$2)</x:f>
        <x:v>0.47147278764028133</x:v>
      </x:c>
      <x:c r="R138" s="59" t="n">
        <x:f>E138*'模块规划'!$E$10+G138*'模块规划'!$E$11+H138*'模块规划'!$E$13</x:f>
        <x:v>6318.60044004794</x:v>
      </x:c>
      <x:c r="S138" s="59" t="n">
        <x:f>I138*'模块规划'!$E$15+J138*'模块规划'!$E$17+K138*'模块规划'!$E$16+L138*'模块规划'!$E$18</x:f>
        <x:v>16329.612216150996</x:v>
      </x:c>
      <x:c r="T138" s="59" t="n">
        <x:f>1+T$9*SUMPRODUCT($H$10:$L$10,H138:L138)/SUM($H$10:$L$10)</x:f>
        <x:v>2.4980522059808634</x:v>
      </x:c>
      <x:c r="U138" s="59" t="n">
        <x:f>R138*T138+S138</x:f>
        <x:v>32113.805984124403</x:v>
      </x:c>
      <x:c r="V138" s="59" t="n">
        <x:f>V$8+(V$9-V$8)*H138</x:f>
        <x:v>0.857375427090306</x:v>
      </x:c>
      <x:c r="W138" s="59" t="n">
        <x:f>IF(B138&lt;$H$8,0,W$8+(W$9-W$8)*H138)</x:f>
        <x:v>0.20983390278707464</x:v>
      </x:c>
      <x:c r="X138" s="59" t="n">
        <x:f>X$8+(X$9-X$8)*H138</x:f>
        <x:v>0.4192608081661139</x:v>
      </x:c>
      <x:c r="Y138" s="59" t="n">
        <x:f>Y$8+(Y$9-Y$8)*G138</x:f>
        <x:v>1</x:v>
      </x:c>
      <x:c r="Z138" s="59" t="n">
        <x:f>Z$8+(Z$9-Z$8)*H138</x:f>
        <x:v>1</x:v>
      </x:c>
      <x:c r="AA138" s="59" t="n">
        <x:f>AA$8+(AA$9-AA$8)*I138</x:f>
        <x:v>1</x:v>
      </x:c>
      <x:c r="AB138" s="59" t="n">
        <x:f>AB$8+(AB$9-AB$8)*J138</x:f>
        <x:v>1</x:v>
      </x:c>
      <x:c r="AC138" s="59" t="n">
        <x:f>AC$8+(AC$9-AC$8)*MAX(K138,L138)</x:f>
        <x:v>1</x:v>
      </x:c>
      <x:c r="AD138" s="59" t="n">
        <x:f>(V138*AE138+W138*AF138+X138*AG138)*PRODUCT(Y138:AC138)</x:f>
        <x:v>1.6124538266469643</x:v>
      </x:c>
      <x:c r="AE138" s="59" t="n">
        <x:f>1+AE$9*($H$10*H138+$I$10*I138+$J$10*J138+$K$10*K138+$L$10*L138)</x:f>
        <x:v>1</x:v>
      </x:c>
      <x:c r="AF138" s="59" t="n">
        <x:f>1+AF$9*($H$10*H138+$I$10*I138+$J$10*J138+$K$10*K138+$L$10*L138)</x:f>
        <x:v>1.1322167534023597</x:v>
      </x:c>
      <x:c r="AG138" s="59" t="n">
        <x:f>1+AG$9*($H$10*H138+$I$10*I138+$J$10*J138+$K$10*K138+$L$10*L138)</x:f>
        <x:v>1.2343174685297393</x:v>
      </x:c>
      <x:c r="AH138" s="59" t="n">
        <x:f>MIN(1,'_曲线基线'!$L$3+AH$9*($H$10*H138+$I$10*I138+$J$10*J138+$K$10*K138+$L$10*L138))</x:f>
        <x:v>0.350793113990368</x:v>
      </x:c>
      <x:c r="AI138" s="59" t="n">
        <x:f>'_曲线基线'!$L$4+AI$9*($H$10*H138+$I$10*I138+$J$10*J138+$K$10*K138+$L$10*L138)</x:f>
        <x:v>2.837923674687454</x:v>
      </x:c>
      <x:c r="AJ138" s="59" t="n">
        <x:f>1+AJ$9*($H$10*H138+$I$10*I138+$J$10*J138+$K$10*K138+$L$10*L138)</x:f>
        <x:v>1.68752711769227</x:v>
      </x:c>
      <x:c r="AK138" s="59" t="n">
        <x:f>(1+AH138*(AI138-1))*AJ138</x:f>
        <x:v>2.775528111698679</x:v>
      </x:c>
      <x:c r="AL138" s="59" t="n">
        <x:f>U138*AD138*AK138*F138</x:f>
        <x:v>718612.3906711799</x:v>
      </x:c>
      <x:c r="AM138" s="59" t="n">
        <x:f>IF($B138&lt;AM$8,0,AM$3+(AM$4-AM$3)*(POWER(AM$5,$B138-AM$8)-1)/(POWER(AM$5,$C$5-AM$8)-1))</x:f>
        <x:v>38.36076086415982</x:v>
      </x:c>
      <x:c r="AN138" s="59" t="n">
        <x:f>(((E138*'模块规划'!$D$10+G138*'模块规划'!$D$11+H138*'模块规划'!$D$13)*(1+'模块规划'!$G$14*H138)+(I138*'模块规划'!$D$15+J138*'模块规划'!$D$17+K138*'模块规划'!$D$16+L138*'模块规划'!$D$18))*(1+'模块规划'!$J$17*J138))*F138/(1-Q138)</x:f>
        <x:v>1198860.0049410807</x:v>
      </x:c>
      <x:c r="AO138" s="59" t="n">
        <x:f>AL138*AM138</x:f>
        <x:v>27566518.072559327</x:v>
      </x:c>
      <x:c r="AP138" s="61" t="n">
        <x:f>IF(AO138="","",INDEX('_曲线基线'!$A$3:$A$502,MIN(ROWS('_曲线基线'!$A$3:$A$502),COUNTIF('_曲线基线'!$E$3:$E$502,"&lt;"&amp;AO138)+1)))</x:f>
        <x:v>202</x:v>
      </x:c>
      <x:c r="AQ138" s="61" t="n">
        <x:f>IF(B138&lt;=2,1,IF(B138&lt;=6,2,IF(B138&lt;=9,3,IF(B138&lt;=19,4,5))))</x:f>
        <x:v>5</x:v>
      </x:c>
      <x:c r="AR138" s="59" t="n">
        <x:f>AN138*(1-Q138)/F138*$AS$3+U138*$AS$4+P138*$AS$5</x:f>
        <x:v>10224.54201535129</x:v>
      </x:c>
      <x:c r="AS138" s="59" t="n">
        <x:f>1+AH138*$AS$6+AI138*$AS$7+(AJ138-1)*$AS$8+($H$10*H138+$I$10*I138+$J$10*J138+$K$10*K138+$L$10*L138)*$AU$3*$AS$9+($H$10*H138+$I$10*I138+$J$10*J138+$K$10*K138+$L$10*L138)*$AU$4*$AS$10</x:f>
        <x:v>12.88168124707704</x:v>
      </x:c>
      <x:c r="AT138" s="60" t="n">
        <x:f>ROUND(AR138*AS138,0)</x:f>
        <x:v>131709</x:v>
      </x:c>
      <x:c r="AU138" s="60" t="n">
        <x:f>ROUND(AT138*F138,0)</x:f>
        <x:v>658545</x:v>
      </x:c>
      <x:c r="AV138" s="60" t="n">
        <x:f>MIN(MATCH(B138,'主线调参'!$M$11:$M$62,1),ROWS('主线调参'!$M$11:$M$62)-1)</x:f>
        <x:v>31</x:v>
      </x:c>
      <x:c r="AW138" s="62" t="n">
        <x:f>(B138-INDEX('主线调参'!$M$11:$M$62,AV138))/(INDEX('主线调参'!$M$11:$M$62,AV138+1)-INDEX('主线调参'!$M$11:$M$62,AV138))</x:f>
        <x:v>0.8571428571428571</x:v>
      </x:c>
      <x:c r="AX138" s="60" t="n">
        <x:f>IF(AU138=0,0,ROUND(AU138,2-INT(LOG10(ABS(AU138)))))</x:f>
        <x:v>659000</x:v>
      </x:c>
      <x:c r="AY138" s="62" t="n">
        <x:f>AU138/AU137-1</x:f>
        <x:v>0.014355577804305186</x:v>
      </x:c>
    </x:row>
    <x:row r="139" ht="25" customHeight="1">
      <x:c r="A139" s="40" t="str">
        <x:f>'调前玩家曲线'!A139</x:f>
      </x:c>
      <x:c r="B139" s="40" t="n">
        <x:f>'调前玩家曲线'!B139</x:f>
        <x:v>128</x:v>
      </x:c>
      <x:c r="C139" s="40" t="n">
        <x:f>'调前玩家曲线'!C139</x:f>
        <x:v>9</x:v>
      </x:c>
      <x:c r="D139" s="40" t="n">
        <x:f>'调前玩家曲线'!D139</x:f>
        <x:v>14</x:v>
      </x:c>
      <x:c r="E139" s="40" t="n">
        <x:f>'调前玩家曲线'!E139</x:f>
        <x:v>1</x:v>
      </x:c>
      <x:c r="F139" s="40" t="n">
        <x:f>'调前玩家曲线'!F139</x:f>
        <x:v>5</x:v>
      </x:c>
      <x:c r="G139" s="63" t="n">
        <x:f>IF(B139&lt;$G$8,0,(INDEX('主线调参'!$C$11:$C$62,$AV139)+(INDEX('主线调参'!$C$11:$C$62,$AV139+1)-INDEX('主线调参'!$C$11:$C$62,$AV139))*$AW139)*'参数说明'!$C$27)</x:f>
        <x:v>0.6716801716721953</x:v>
      </x:c>
      <x:c r="H139" s="63" t="n">
        <x:f>IF(B139&lt;$H$8,0,(INDEX('主线调参'!$D$11:$D$62,$AV139)+(INDEX('主线调参'!$D$11:$D$62,$AV139+1)-INDEX('主线调参'!$D$11:$D$62,$AV139))*$AW139)*'参数说明'!$D$27)</x:f>
        <x:v>0.5265312502838342</x:v>
      </x:c>
      <x:c r="I139" s="63" t="n">
        <x:f>IF(B139&lt;$I$8,0,(INDEX('主线调参'!$E$11:$E$62,$AV139)+(INDEX('主线调参'!$E$11:$E$62,$AV139+1)-INDEX('主线调参'!$E$11:$E$62,$AV139))*$AW139)*'参数说明'!$E$27)</x:f>
        <x:v>0.37670833416220306</x:v>
      </x:c>
      <x:c r="J139" s="63" t="n">
        <x:f>IF(B139&lt;$J$8,0,(INDEX('主线调参'!$F$11:$F$62,$AV139)+(INDEX('主线调参'!$F$11:$F$62,$AV139+1)-INDEX('主线调参'!$F$11:$F$62,$AV139))*$AW139)*'参数说明'!$F$27)</x:f>
        <x:v>0.40503153181678997</x:v>
      </x:c>
      <x:c r="K139" s="63" t="n">
        <x:f>IF(B139&lt;$K$8,0,(INDEX('主线调参'!$G$11:$G$62,$AV139)+(INDEX('主线调参'!$G$11:$G$62,$AV139+1)-INDEX('主线调参'!$G$11:$G$62,$AV139))*$AW139)*'参数说明'!$G$27)</x:f>
        <x:v>0.22700947013127892</x:v>
      </x:c>
      <x:c r="L139" s="63" t="n">
        <x:f>IF(B139&lt;$L$8,0,(INDEX('主线调参'!$H$11:$H$62,$AV139)+(INDEX('主线调参'!$H$11:$H$62,$AV139+1)-INDEX('主线调参'!$H$11:$H$62,$AV139))*$AW139)*'参数说明'!$H$27)</x:f>
        <x:v>0.5136115259576157</x:v>
      </x:c>
      <x:c r="M139" s="59" t="n">
        <x:f>E139*'模块规划'!$F$10+G139*'模块规划'!$F$11+H139*'模块规划'!$F$13</x:f>
        <x:v>4224.064824026537</x:v>
      </x:c>
      <x:c r="N139" s="59" t="n">
        <x:f>I139*'模块规划'!$F$15+J139*'模块规划'!$F$17+K139*'模块规划'!$F$16+L139*'模块规划'!$F$18</x:f>
        <x:v>10994.096442041275</x:v>
      </x:c>
      <x:c r="O139" s="59" t="n">
        <x:f>1+O$9*SUMPRODUCT($H$10:$L$10,H139:L139)/SUM($H$10:$L$10)</x:f>
        <x:v>2.5104731915377094</x:v>
      </x:c>
      <x:c r="P139" s="59" t="n">
        <x:f>M139*O139+N139</x:f>
        <x:v>21598.49794207735</x:v>
      </x:c>
      <x:c r="Q139" s="59" t="n">
        <x:f>P139/(P139+'_曲线基线'!$L$2)</x:f>
        <x:v>0.4736668731832656</x:v>
      </x:c>
      <x:c r="R139" s="59" t="n">
        <x:f>E139*'模块规划'!$E$10+G139*'模块规划'!$E$11+H139*'模块规划'!$E$13</x:f>
        <x:v>6336.097236039806</x:v>
      </x:c>
      <x:c r="S139" s="59" t="n">
        <x:f>I139*'模块规划'!$E$15+J139*'模块规划'!$E$17+K139*'模块规划'!$E$16+L139*'模块规划'!$E$18</x:f>
        <x:v>16491.144663061914</x:v>
      </x:c>
      <x:c r="T139" s="59" t="n">
        <x:f>1+T$9*SUMPRODUCT($H$10:$L$10,H139:L139)/SUM($H$10:$L$10)</x:f>
        <x:v>2.5104731915377094</x:v>
      </x:c>
      <x:c r="U139" s="59" t="n">
        <x:f>R139*T139+S139</x:f>
        <x:v>32397.746913116025</x:v>
      </x:c>
      <x:c r="V139" s="59" t="n">
        <x:f>V$8+(V$9-V$8)*H139</x:f>
        <x:v>0.8579593750851502</x:v>
      </x:c>
      <x:c r="W139" s="59" t="n">
        <x:f>IF(B139&lt;$H$8,0,W$8+(W$9-W$8)*H139)</x:f>
        <x:v>0.2106125001135337</x:v>
      </x:c>
      <x:c r="X139" s="59" t="n">
        <x:f>X$8+(X$9-X$8)*H139</x:f>
        <x:v>0.41979609382805444</x:v>
      </x:c>
      <x:c r="Y139" s="59" t="n">
        <x:f>Y$8+(Y$9-Y$8)*G139</x:f>
        <x:v>1</x:v>
      </x:c>
      <x:c r="Z139" s="59" t="n">
        <x:f>Z$8+(Z$9-Z$8)*H139</x:f>
        <x:v>1</x:v>
      </x:c>
      <x:c r="AA139" s="59" t="n">
        <x:f>AA$8+(AA$9-AA$8)*I139</x:f>
        <x:v>1</x:v>
      </x:c>
      <x:c r="AB139" s="59" t="n">
        <x:f>AB$8+(AB$9-AB$8)*J139</x:f>
        <x:v>1</x:v>
      </x:c>
      <x:c r="AC139" s="59" t="n">
        <x:f>AC$8+(AC$9-AC$8)*MAX(K139,L139)</x:f>
        <x:v>1</x:v>
      </x:c>
      <x:c r="AD139" s="59" t="n">
        <x:f>(V139*AE139+W139*AF139+X139*AG139)*PRODUCT(Y139:AC139)</x:f>
        <x:v>1.6156265056787016</x:v>
      </x:c>
      <x:c r="AE139" s="59" t="n">
        <x:f>1+AE$9*($H$10*H139+$I$10*I139+$J$10*J139+$K$10*K139+$L$10*L139)</x:f>
        <x:v>1</x:v>
      </x:c>
      <x:c r="AF139" s="59" t="n">
        <x:f>1+AF$9*($H$10*H139+$I$10*I139+$J$10*J139+$K$10*K139+$L$10*L139)</x:f>
        <x:v>1.133313018524381</x:v>
      </x:c>
      <x:c r="AG139" s="59" t="n">
        <x:f>1+AG$9*($H$10*H139+$I$10*I139+$J$10*J139+$K$10*K139+$L$10*L139)</x:f>
        <x:v>1.2362602939404326</x:v>
      </x:c>
      <x:c r="AH139" s="59" t="n">
        <x:f>MIN(1,'_曲线基线'!$L$3+AH$9*($H$10*H139+$I$10*I139+$J$10*J139+$K$10*K139+$L$10*L139))</x:f>
        <x:v>0.35328711714296634</x:v>
      </x:c>
      <x:c r="AI139" s="59" t="n">
        <x:f>'_曲线基线'!$L$4+AI$9*($H$10*H139+$I$10*I139+$J$10*J139+$K$10*K139+$L$10*L139)</x:f>
        <x:v>2.8448712548982638</x:v>
      </x:c>
      <x:c r="AJ139" s="59" t="n">
        <x:f>1+AJ$9*($H$10*H139+$I$10*I139+$J$10*J139+$K$10*K139+$L$10*L139)</x:f>
        <x:v>1.6932276963267805</x:v>
      </x:c>
      <x:c r="AK139" s="59" t="n">
        <x:f>(1+AH139*(AI139-1))*AJ139</x:f>
        <x:v>2.7968214372032514</x:v>
      </x:c>
      <x:c r="AL139" s="59" t="n">
        <x:f>U139*AD139*AK139*F139</x:f>
        <x:v>731965.3487822742</x:v>
      </x:c>
      <x:c r="AM139" s="59" t="n">
        <x:f>IF($B139&lt;AM$8,0,AM$3+(AM$4-AM$3)*(POWER(AM$5,$B139-AM$8)-1)/(POWER(AM$5,$C$5-AM$8)-1))</x:f>
        <x:v>38.40779311272329</x:v>
      </x:c>
      <x:c r="AN139" s="59" t="n">
        <x:f>(((E139*'模块规划'!$D$10+G139*'模块规划'!$D$11+H139*'模块规划'!$D$13)*(1+'模块规划'!$G$14*H139)+(I139*'模块规划'!$D$15+J139*'模块规划'!$D$17+K139*'模块规划'!$D$16+L139*'模块规划'!$D$18))*(1+'模块规划'!$J$17*J139))*F139/(1-Q139)</x:f>
        <x:v>1215454.2483779395</x:v>
      </x:c>
      <x:c r="AO139" s="59" t="n">
        <x:f>AL139*AM139</x:f>
        <x:v>28113173.68171193</x:v>
      </x:c>
      <x:c r="AP139" s="61" t="n">
        <x:f>IF(AO139="","",INDEX('_曲线基线'!$A$3:$A$502,MIN(ROWS('_曲线基线'!$A$3:$A$502),COUNTIF('_曲线基线'!$E$3:$E$502,"&lt;"&amp;AO139)+1)))</x:f>
        <x:v>203</x:v>
      </x:c>
      <x:c r="AQ139" s="61" t="n">
        <x:f>IF(B139&lt;=2,1,IF(B139&lt;=6,2,IF(B139&lt;=9,3,IF(B139&lt;=19,4,5))))</x:f>
        <x:v>5</x:v>
      </x:c>
      <x:c r="AR139" s="59" t="n">
        <x:f>AN139*(1-Q139)/F139*$AS$3+U139*$AS$4+P139*$AS$5</x:f>
        <x:v>10317.952392931873</x:v>
      </x:c>
      <x:c r="AS139" s="59" t="n">
        <x:f>1+AH139*$AS$6+AI139*$AS$7+(AJ139-1)*$AS$8+($H$10*H139+$I$10*I139+$J$10*J139+$K$10*K139+$L$10*L139)*$AU$3*$AS$9+($H$10*H139+$I$10*I139+$J$10*J139+$K$10*K139+$L$10*L139)*$AU$4*$AS$10</x:f>
        <x:v>12.947184333749055</x:v>
      </x:c>
      <x:c r="AT139" s="60" t="n">
        <x:f>ROUND(AR139*AS139,0)</x:f>
        <x:v>133588</x:v>
      </x:c>
      <x:c r="AU139" s="60" t="n">
        <x:f>ROUND(AT139*F139,0)</x:f>
        <x:v>667940</x:v>
      </x:c>
      <x:c r="AV139" s="60" t="n">
        <x:f>MIN(MATCH(B139,'主线调参'!$M$11:$M$62,1),ROWS('主线调参'!$M$11:$M$62)-1)</x:f>
        <x:v>31</x:v>
      </x:c>
      <x:c r="AW139" s="62" t="n">
        <x:f>(B139-INDEX('主线调参'!$M$11:$M$62,AV139))/(INDEX('主线调参'!$M$11:$M$62,AV139+1)-INDEX('主线调参'!$M$11:$M$62,AV139))</x:f>
        <x:v>0.9285714285714286</x:v>
      </x:c>
      <x:c r="AX139" s="60" t="n">
        <x:f>IF(AU139=0,0,ROUND(AU139,2-INT(LOG10(ABS(AU139)))))</x:f>
        <x:v>668000</x:v>
      </x:c>
      <x:c r="AY139" s="62" t="n">
        <x:f>AU139/AU138-1</x:f>
        <x:v>0.01426629918988076</x:v>
      </x:c>
    </x:row>
    <x:row r="140" ht="25" customHeight="1">
      <x:c r="A140" s="40" t="str">
        <x:f>'调前玩家曲线'!A140</x:f>
      </x:c>
      <x:c r="B140" s="40" t="n">
        <x:f>'调前玩家曲线'!B140</x:f>
        <x:v>129</x:v>
      </x:c>
      <x:c r="C140" s="40" t="n">
        <x:f>'调前玩家曲线'!C140</x:f>
        <x:v>9</x:v>
      </x:c>
      <x:c r="D140" s="40" t="n">
        <x:f>'调前玩家曲线'!D140</x:f>
        <x:v>15</x:v>
      </x:c>
      <x:c r="E140" s="40" t="n">
        <x:f>'调前玩家曲线'!E140</x:f>
        <x:v>1</x:v>
      </x:c>
      <x:c r="F140" s="40" t="n">
        <x:f>'调前玩家曲线'!F140</x:f>
        <x:v>5</x:v>
      </x:c>
      <x:c r="G140" s="63" t="n">
        <x:f>IF(B140&lt;$G$8,0,(INDEX('主线调参'!$C$11:$C$62,$AV140)+(INDEX('主线调参'!$C$11:$C$62,$AV140+1)-INDEX('主线调参'!$C$11:$C$62,$AV140))*$AW140)*'参数说明'!$C$27)</x:f>
        <x:v>0.6741102822266211</x:v>
      </x:c>
      <x:c r="H140" s="63" t="n">
        <x:f>IF(B140&lt;$H$8,0,(INDEX('主线调参'!$D$11:$D$62,$AV140)+(INDEX('主线调参'!$D$11:$D$62,$AV140+1)-INDEX('主线调参'!$D$11:$D$62,$AV140))*$AW140)*'参数说明'!$D$27)</x:f>
        <x:v>0.5284777435999818</x:v>
      </x:c>
      <x:c r="I140" s="63" t="n">
        <x:f>IF(B140&lt;$I$8,0,(INDEX('主线调参'!$E$11:$E$62,$AV140)+(INDEX('主线调参'!$E$11:$E$62,$AV140+1)-INDEX('主线调参'!$E$11:$E$62,$AV140))*$AW140)*'参数说明'!$E$27)</x:f>
        <x:v>0.3805692179218661</x:v>
      </x:c>
      <x:c r="J140" s="63" t="n">
        <x:f>IF(B140&lt;$J$8,0,(INDEX('主线调参'!$F$11:$F$62,$AV140)+(INDEX('主线调参'!$F$11:$F$62,$AV140+1)-INDEX('主线调参'!$F$11:$F$62,$AV140))*$AW140)*'参数说明'!$F$27)</x:f>
        <x:v>0.4073531375164214</x:v>
      </x:c>
      <x:c r="K140" s="63" t="n">
        <x:f>IF(B140&lt;$K$8,0,(INDEX('主线调参'!$G$11:$G$62,$AV140)+(INDEX('主线调参'!$G$11:$G$62,$AV140+1)-INDEX('主线调参'!$G$11:$G$62,$AV140))*$AW140)*'参数说明'!$G$27)</x:f>
        <x:v>0.23411584220609846</x:v>
      </x:c>
      <x:c r="L140" s="63" t="n">
        <x:f>IF(B140&lt;$L$8,0,(INDEX('主线调参'!$H$11:$H$62,$AV140)+(INDEX('主线调参'!$H$11:$H$62,$AV140+1)-INDEX('主线调参'!$H$11:$H$62,$AV140))*$AW140)*'参数说明'!$H$27)</x:f>
        <x:v>0.5158009136412307</x:v>
      </x:c>
      <x:c r="M140" s="59" t="n">
        <x:f>E140*'模块规划'!$F$10+G140*'模块规划'!$F$11+H140*'模块规划'!$F$13</x:f>
        <x:v>4235.729354687781</x:v>
      </x:c>
      <x:c r="N140" s="59" t="n">
        <x:f>I140*'模块规划'!$F$15+J140*'模块规划'!$F$17+K140*'模块规划'!$F$16+L140*'模块规划'!$F$18</x:f>
        <x:v>11101.784739981886</x:v>
      </x:c>
      <x:c r="O140" s="59" t="n">
        <x:f>1+O$9*SUMPRODUCT($H$10:$L$10,H140:L140)/SUM($H$10:$L$10)</x:f>
        <x:v>2.5228941770945563</x:v>
      </x:c>
      <x:c r="P140" s="59" t="n">
        <x:f>M140*O140+N140</x:f>
        <x:v>21788.081664672172</x:v>
      </x:c>
      <x:c r="Q140" s="59" t="n">
        <x:f>P140/(P140+'_曲线基线'!$L$2)</x:f>
        <x:v>0.47584613446434865</x:v>
      </x:c>
      <x:c r="R140" s="59" t="n">
        <x:f>E140*'模块规划'!$E$10+G140*'模块规划'!$E$11+H140*'模块规划'!$E$13</x:f>
        <x:v>6353.594032031671</x:v>
      </x:c>
      <x:c r="S140" s="59" t="n">
        <x:f>I140*'模块规划'!$E$15+J140*'模块规划'!$E$17+K140*'模块规划'!$E$16+L140*'模块规划'!$E$18</x:f>
        <x:v>16652.67710997283</x:v>
      </x:c>
      <x:c r="T140" s="59" t="n">
        <x:f>1+T$9*SUMPRODUCT($H$10:$L$10,H140:L140)/SUM($H$10:$L$10)</x:f>
        <x:v>2.5228941770945563</x:v>
      </x:c>
      <x:c r="U140" s="59" t="n">
        <x:f>R140*T140+S140</x:f>
        <x:v>32682.122497008255</x:v>
      </x:c>
      <x:c r="V140" s="59" t="n">
        <x:f>V$8+(V$9-V$8)*H140</x:f>
        <x:v>0.8585433230799945</x:v>
      </x:c>
      <x:c r="W140" s="59" t="n">
        <x:f>IF(B140&lt;$H$8,0,W$8+(W$9-W$8)*H140)</x:f>
        <x:v>0.21139109743999274</x:v>
      </x:c>
      <x:c r="X140" s="59" t="n">
        <x:f>X$8+(X$9-X$8)*H140</x:f>
        <x:v>0.420331379489995</x:v>
      </x:c>
      <x:c r="Y140" s="59" t="n">
        <x:f>Y$8+(Y$9-Y$8)*G140</x:f>
        <x:v>1</x:v>
      </x:c>
      <x:c r="Z140" s="59" t="n">
        <x:f>Z$8+(Z$9-Z$8)*H140</x:f>
        <x:v>1</x:v>
      </x:c>
      <x:c r="AA140" s="59" t="n">
        <x:f>AA$8+(AA$9-AA$8)*I140</x:f>
        <x:v>1</x:v>
      </x:c>
      <x:c r="AB140" s="59" t="n">
        <x:f>AB$8+(AB$9-AB$8)*J140</x:f>
        <x:v>1</x:v>
      </x:c>
      <x:c r="AC140" s="59" t="n">
        <x:f>AC$8+(AC$9-AC$8)*MAX(K140,L140)</x:f>
        <x:v>1</x:v>
      </x:c>
      <x:c r="AD140" s="59" t="n">
        <x:f>(V140*AE140+W140*AF140+X140*AG140)*PRODUCT(Y140:AC140)</x:f>
        <x:v>1.6188029717417969</x:v>
      </x:c>
      <x:c r="AE140" s="59" t="n">
        <x:f>1+AE$9*($H$10*H140+$I$10*I140+$J$10*J140+$K$10*K140+$L$10*L140)</x:f>
        <x:v>1</x:v>
      </x:c>
      <x:c r="AF140" s="59" t="n">
        <x:f>1+AF$9*($H$10*H140+$I$10*I140+$J$10*J140+$K$10*K140+$L$10*L140)</x:f>
        <x:v>1.1344092836464021</x:v>
      </x:c>
      <x:c r="AG140" s="59" t="n">
        <x:f>1+AG$9*($H$10*H140+$I$10*I140+$J$10*J140+$K$10*K140+$L$10*L140)</x:f>
        <x:v>1.2382031193511258</x:v>
      </x:c>
      <x:c r="AH140" s="59" t="n">
        <x:f>MIN(1,'_曲线基线'!$L$3+AH$9*($H$10*H140+$I$10*I140+$J$10*J140+$K$10*K140+$L$10*L140))</x:f>
        <x:v>0.35578112029556475</x:v>
      </x:c>
      <x:c r="AI140" s="59" t="n">
        <x:f>'_曲线基线'!$L$4+AI$9*($H$10*H140+$I$10*I140+$J$10*J140+$K$10*K140+$L$10*L140)</x:f>
        <x:v>2.851818835109073</x:v>
      </x:c>
      <x:c r="AJ140" s="59" t="n">
        <x:f>1+AJ$9*($H$10*H140+$I$10*I140+$J$10*J140+$K$10*K140+$L$10*L140)</x:f>
        <x:v>1.698928274961291</x:v>
      </x:c>
      <x:c r="AK140" s="59" t="n">
        <x:f>(1+AH140*(AI140-1))*AJ140</x:f>
        <x:v>2.8182538828579142</x:v>
      </x:c>
      <x:c r="AL140" s="59" t="n">
        <x:f>U140*AD140*AK140*F140</x:f>
        <x:v>745511.5303527676</x:v>
      </x:c>
      <x:c r="AM140" s="59" t="n">
        <x:f>IF($B140&lt;AM$8,0,AM$3+(AM$4-AM$3)*(POWER(AM$5,$B140-AM$8)-1)/(POWER(AM$5,$C$5-AM$8)-1))</x:f>
        <x:v>38.45529568377239</x:v>
      </x:c>
      <x:c r="AN140" s="59" t="n">
        <x:f>(((E140*'模块规划'!$D$10+G140*'模块规划'!$D$11+H140*'模块规划'!$D$13)*(1+'模块规划'!$G$14*H140)+(I140*'模块规划'!$D$15+J140*'模块规划'!$D$17+K140*'模块规划'!$D$16+L140*'模块规划'!$D$18))*(1+'模块规划'!$J$17*J140))*F140/(1-Q140)</x:f>
        <x:v>1232190.6230734158</x:v>
      </x:c>
      <x:c r="AO140" s="59" t="n">
        <x:f>AL140*AM140</x:f>
        <x:v>28668866.33537733</x:v>
      </x:c>
      <x:c r="AP140" s="61" t="n">
        <x:f>IF(AO140="","",INDEX('_曲线基线'!$A$3:$A$502,MIN(ROWS('_曲线基线'!$A$3:$A$502),COUNTIF('_曲线基线'!$E$3:$E$502,"&lt;"&amp;AO140)+1)))</x:f>
        <x:v>204</x:v>
      </x:c>
      <x:c r="AQ140" s="61" t="n">
        <x:f>IF(B140&lt;=2,1,IF(B140&lt;=6,2,IF(B140&lt;=9,3,IF(B140&lt;=19,4,5))))</x:f>
        <x:v>5</x:v>
      </x:c>
      <x:c r="AR140" s="59" t="n">
        <x:f>AN140*(1-Q140)/F140*$AS$3+U140*$AS$4+P140*$AS$5</x:f>
        <x:v>10411.569368365934</x:v>
      </x:c>
      <x:c r="AS140" s="59" t="n">
        <x:f>1+AH140*$AS$6+AI140*$AS$7+(AJ140-1)*$AS$8+($H$10*H140+$I$10*I140+$J$10*J140+$K$10*K140+$L$10*L140)*$AU$3*$AS$9+($H$10*H140+$I$10*I140+$J$10*J140+$K$10*K140+$L$10*L140)*$AU$4*$AS$10</x:f>
        <x:v>13.012687420421068</x:v>
      </x:c>
      <x:c r="AT140" s="60" t="n">
        <x:f>ROUND(AR140*AS140,0)</x:f>
        <x:v>135482</x:v>
      </x:c>
      <x:c r="AU140" s="60" t="n">
        <x:f>ROUND(AT140*F140,0)</x:f>
        <x:v>677410</x:v>
      </x:c>
      <x:c r="AV140" s="60" t="n">
        <x:f>MIN(MATCH(B140,'主线调参'!$M$11:$M$62,1),ROWS('主线调参'!$M$11:$M$62)-1)</x:f>
        <x:v>32</x:v>
      </x:c>
      <x:c r="AW140" s="62" t="n">
        <x:f>(B140-INDEX('主线调参'!$M$11:$M$62,AV140))/(INDEX('主线调参'!$M$11:$M$62,AV140+1)-INDEX('主线调参'!$M$11:$M$62,AV140))</x:f>
        <x:v>0</x:v>
      </x:c>
      <x:c r="AX140" s="60" t="n">
        <x:f>IF(AU140=0,0,ROUND(AU140,2-INT(LOG10(ABS(AU140)))))</x:f>
        <x:v>677000</x:v>
      </x:c>
      <x:c r="AY140" s="62" t="n">
        <x:f>AU140/AU139-1</x:f>
        <x:v>0.014177920172470548</x:v>
      </x:c>
    </x:row>
    <x:row r="141" ht="25" customHeight="1">
      <x:c r="A141" s="40" t="str">
        <x:f>'调前玩家曲线'!A141</x:f>
      </x:c>
      <x:c r="B141" s="40" t="n">
        <x:f>'调前玩家曲线'!B141</x:f>
        <x:v>130</x:v>
      </x:c>
      <x:c r="C141" s="40" t="n">
        <x:f>'调前玩家曲线'!C141</x:f>
        <x:v>10</x:v>
      </x:c>
      <x:c r="D141" s="40" t="n">
        <x:f>'调前玩家曲线'!D141</x:f>
        <x:v>1</x:v>
      </x:c>
      <x:c r="E141" s="40" t="n">
        <x:f>'调前玩家曲线'!E141</x:f>
        <x:v>1</x:v>
      </x:c>
      <x:c r="F141" s="40" t="n">
        <x:f>'调前玩家曲线'!F141</x:f>
        <x:v>5</x:v>
      </x:c>
      <x:c r="G141" s="63" t="n">
        <x:f>IF(B141&lt;$G$8,0,(INDEX('主线调参'!$C$11:$C$62,$AV141)+(INDEX('主线调参'!$C$11:$C$62,$AV141+1)-INDEX('主线调参'!$C$11:$C$62,$AV141))*$AW141)*'参数说明'!$C$27)</x:f>
        <x:v>0.676395461244375</x:v>
      </x:c>
      <x:c r="H141" s="63" t="n">
        <x:f>IF(B141&lt;$H$8,0,(INDEX('主线调参'!$D$11:$D$62,$AV141)+(INDEX('主线调参'!$D$11:$D$62,$AV141+1)-INDEX('主线调参'!$D$11:$D$62,$AV141))*$AW141)*'参数说明'!$D$27)</x:f>
        <x:v>0.5302752182632255</x:v>
      </x:c>
      <x:c r="I141" s="63" t="n">
        <x:f>IF(B141&lt;$I$8,0,(INDEX('主线调参'!$E$11:$E$62,$AV141)+(INDEX('主线调参'!$E$11:$E$62,$AV141+1)-INDEX('主线调参'!$E$11:$E$62,$AV141))*$AW141)*'参数说明'!$E$27)</x:f>
        <x:v>0.3840469495415554</x:v>
      </x:c>
      <x:c r="J141" s="63" t="n">
        <x:f>IF(B141&lt;$J$8,0,(INDEX('主线调参'!$F$11:$F$62,$AV141)+(INDEX('主线调参'!$F$11:$F$62,$AV141+1)-INDEX('主线调参'!$F$11:$F$62,$AV141))*$AW141)*'参数说明'!$F$27)</x:f>
        <x:v>0.4094822478070226</x:v>
      </x:c>
      <x:c r="K141" s="63" t="n">
        <x:f>IF(B141&lt;$K$8,0,(INDEX('主线调参'!$G$11:$G$62,$AV141)+(INDEX('主线调参'!$G$11:$G$62,$AV141+1)-INDEX('主线调参'!$G$11:$G$62,$AV141))*$AW141)*'参数说明'!$G$27)</x:f>
        <x:v>0.2404179685202288</x:v>
      </x:c>
      <x:c r="L141" s="63" t="n">
        <x:f>IF(B141&lt;$L$8,0,(INDEX('主线调参'!$H$11:$H$62,$AV141)+(INDEX('主线调参'!$H$11:$H$62,$AV141+1)-INDEX('主线调参'!$H$11:$H$62,$AV141))*$AW141)*'参数说明'!$H$27)</x:f>
        <x:v>0.5178118909457453</x:v>
      </x:c>
      <x:c r="M141" s="59" t="n">
        <x:f>E141*'模块规划'!$F$10+G141*'模块规划'!$F$11+H141*'模块规划'!$F$13</x:f>
        <x:v>4246.698213973</x:v>
      </x:c>
      <x:c r="N141" s="59" t="n">
        <x:f>I141*'模块规划'!$F$15+J141*'模块规划'!$F$17+K141*'模块规划'!$F$16+L141*'模块规划'!$F$18</x:f>
        <x:v>11198.765340252769</x:v>
      </x:c>
      <x:c r="O141" s="59" t="n">
        <x:f>1+O$9*SUMPRODUCT($H$10:$L$10,H141:L141)/SUM($H$10:$L$10)</x:f>
        <x:v>2.5341214850077067</x:v>
      </x:c>
      <x:c r="P141" s="59" t="n">
        <x:f>M141*O141+N141</x:f>
        <x:v>21960.4145246256</x:v>
      </x:c>
      <x:c r="Q141" s="59" t="n">
        <x:f>P141/(P141+'_曲线基线'!$L$2)</x:f>
        <x:v>0.4778114982592075</x:v>
      </x:c>
      <x:c r="R141" s="59" t="n">
        <x:f>E141*'模块规划'!$E$10+G141*'模块规划'!$E$11+H141*'模块规划'!$E$13</x:f>
        <x:v>6370.0473209595</x:v>
      </x:c>
      <x:c r="S141" s="59" t="n">
        <x:f>I141*'模块规划'!$E$15+J141*'模块规划'!$E$17+K141*'模块规划'!$E$16+L141*'模块规划'!$E$18</x:f>
        <x:v>16798.14801037915</x:v>
      </x:c>
      <x:c r="T141" s="59" t="n">
        <x:f>1+T$9*SUMPRODUCT($H$10:$L$10,H141:L141)/SUM($H$10:$L$10)</x:f>
        <x:v>2.5341214850077067</x:v>
      </x:c>
      <x:c r="U141" s="59" t="n">
        <x:f>R141*T141+S141</x:f>
        <x:v>32940.621786938405</x:v>
      </x:c>
      <x:c r="V141" s="59" t="n">
        <x:f>V$8+(V$9-V$8)*H141</x:f>
        <x:v>0.8590825654789677</x:v>
      </x:c>
      <x:c r="W141" s="59" t="n">
        <x:f>IF(B141&lt;$H$8,0,W$8+(W$9-W$8)*H141)</x:f>
        <x:v>0.21211008730529024</x:v>
      </x:c>
      <x:c r="X141" s="59" t="n">
        <x:f>X$8+(X$9-X$8)*H141</x:f>
        <x:v>0.42082568502238704</x:v>
      </x:c>
      <x:c r="Y141" s="59" t="n">
        <x:f>Y$8+(Y$9-Y$8)*G141</x:f>
        <x:v>1</x:v>
      </x:c>
      <x:c r="Z141" s="59" t="n">
        <x:f>Z$8+(Z$9-Z$8)*H141</x:f>
        <x:v>1</x:v>
      </x:c>
      <x:c r="AA141" s="59" t="n">
        <x:f>AA$8+(AA$9-AA$8)*I141</x:f>
        <x:v>1</x:v>
      </x:c>
      <x:c r="AB141" s="59" t="n">
        <x:f>AB$8+(AB$9-AB$8)*J141</x:f>
        <x:v>1</x:v>
      </x:c>
      <x:c r="AC141" s="59" t="n">
        <x:f>AC$8+(AC$9-AC$8)*MAX(K141,L141)</x:f>
        <x:v>1</x:v>
      </x:c>
      <x:c r="AD141" s="59" t="n">
        <x:f>(V141*AE141+W141*AF141+X141*AG141)*PRODUCT(Y141:AC141)</x:f>
        <x:v>1.6217190950207794</x:v>
      </x:c>
      <x:c r="AE141" s="59" t="n">
        <x:f>1+AE$9*($H$10*H141+$I$10*I141+$J$10*J141+$K$10*K141+$L$10*L141)</x:f>
        <x:v>1</x:v>
      </x:c>
      <x:c r="AF141" s="59" t="n">
        <x:f>1+AF$9*($H$10*H141+$I$10*I141+$J$10*J141+$K$10*K141+$L$10*L141)</x:f>
        <x:v>1.1354001958427855</x:v>
      </x:c>
      <x:c r="AG141" s="59" t="n">
        <x:f>1+AG$9*($H$10*H141+$I$10*I141+$J$10*J141+$K$10*K141+$L$10*L141)</x:f>
        <x:v>1.2399592359658274</x:v>
      </x:c>
      <x:c r="AH141" s="59" t="n">
        <x:f>MIN(1,'_曲线基线'!$L$3+AH$9*($H$10*H141+$I$10*I141+$J$10*J141+$K$10*K141+$L$10*L141))</x:f>
        <x:v>0.3580354455423368</x:v>
      </x:c>
      <x:c r="AI141" s="59" t="n">
        <x:f>'_曲线基线'!$L$4+AI$9*($H$10*H141+$I$10*I141+$J$10*J141+$K$10*K141+$L$10*L141)</x:f>
        <x:v>2.8580987411536527</x:v>
      </x:c>
      <x:c r="AJ141" s="59" t="n">
        <x:f>1+AJ$9*($H$10*H141+$I$10*I141+$J$10*J141+$K$10*K141+$L$10*L141)</x:f>
        <x:v>1.7040810183824844</x:v>
      </x:c>
      <x:c r="AK141" s="59" t="n">
        <x:f>(1+AH141*(AI141-1))*AJ141</x:f>
        <x:v>2.837746836042402</x:v>
      </x:c>
      <x:c r="AL141" s="59" t="n">
        <x:f>U141*AD141*AK141*F141</x:f>
        <x:v>757968.3570253532</x:v>
      </x:c>
      <x:c r="AM141" s="59" t="n">
        <x:f>IF($B141&lt;AM$8,0,AM$3+(AM$4-AM$3)*(POWER(AM$5,$B141-AM$8)-1)/(POWER(AM$5,$C$5-AM$8)-1))</x:f>
        <x:v>38.503273280531985</x:v>
      </x:c>
      <x:c r="AN141" s="59" t="n">
        <x:f>(((E141*'模块规划'!$D$10+G141*'模块规划'!$D$11+H141*'模块规划'!$D$13)*(1+'模块规划'!$G$14*H141)+(I141*'模块规划'!$D$15+J141*'模块规划'!$D$17+K141*'模块规划'!$D$16+L141*'模块规划'!$D$18))*(1+'模块规划'!$J$17*J141))*F141/(1-Q141)</x:f>
        <x:v>1247521.3745948873</x:v>
      </x:c>
      <x:c r="AO141" s="59" t="n">
        <x:f>AL141*AM141</x:f>
        <x:v>29184262.788543012</x:v>
      </x:c>
      <x:c r="AP141" s="61" t="n">
        <x:f>IF(AO141="","",INDEX('_曲线基线'!$A$3:$A$502,MIN(ROWS('_曲线基线'!$A$3:$A$502),COUNTIF('_曲线基线'!$E$3:$E$502,"&lt;"&amp;AO141)+1)))</x:f>
        <x:v>205</x:v>
      </x:c>
      <x:c r="AQ141" s="61" t="n">
        <x:f>IF(B141&lt;=2,1,IF(B141&lt;=6,2,IF(B141&lt;=9,3,IF(B141&lt;=19,4,5))))</x:f>
        <x:v>5</x:v>
      </x:c>
      <x:c r="AR141" s="59" t="n">
        <x:f>AN141*(1-Q141)/F141*$AS$3+U141*$AS$4+P141*$AS$5</x:f>
        <x:v>10496.77226232359</x:v>
      </x:c>
      <x:c r="AS141" s="59" t="n">
        <x:f>1+AH141*$AS$6+AI141*$AS$7+(AJ141-1)*$AS$8+($H$10*H141+$I$10*I141+$J$10*J141+$K$10*K141+$L$10*L141)*$AU$3*$AS$9+($H$10*H141+$I$10*I141+$J$10*J141+$K$10*K141+$L$10*L141)*$AU$4*$AS$10</x:f>
        <x:v>13.071895550078956</x:v>
      </x:c>
      <x:c r="AT141" s="60" t="n">
        <x:f>ROUND(AR141*AS141,0)</x:f>
        <x:v>137213</x:v>
      </x:c>
      <x:c r="AU141" s="60" t="n">
        <x:f>ROUND(AT141*F141,0)</x:f>
        <x:v>686065</x:v>
      </x:c>
      <x:c r="AV141" s="60" t="n">
        <x:f>MIN(MATCH(B141,'主线调参'!$M$11:$M$62,1),ROWS('主线调参'!$M$11:$M$62)-1)</x:f>
        <x:v>33</x:v>
      </x:c>
      <x:c r="AW141" s="62" t="n">
        <x:f>(B141-INDEX('主线调参'!$M$11:$M$62,AV141))/(INDEX('主线调参'!$M$11:$M$62,AV141+1)-INDEX('主线调参'!$M$11:$M$62,AV141))</x:f>
        <x:v>0</x:v>
      </x:c>
      <x:c r="AX141" s="60" t="n">
        <x:f>IF(AU141=0,0,ROUND(AU141,2-INT(LOG10(ABS(AU141)))))</x:f>
        <x:v>686000</x:v>
      </x:c>
      <x:c r="AY141" s="62" t="n">
        <x:f>AU141/AU140-1</x:f>
        <x:v>0.012776605010259567</x:v>
      </x:c>
    </x:row>
    <x:row r="142" ht="25" customHeight="1">
      <x:c r="A142" s="40" t="str">
        <x:f>'调前玩家曲线'!A142</x:f>
      </x:c>
      <x:c r="B142" s="40" t="n">
        <x:f>'调前玩家曲线'!B142</x:f>
        <x:v>131</x:v>
      </x:c>
      <x:c r="C142" s="40" t="n">
        <x:f>'调前玩家曲线'!C142</x:f>
        <x:v>10</x:v>
      </x:c>
      <x:c r="D142" s="40" t="n">
        <x:f>'调前玩家曲线'!D142</x:f>
        <x:v>2</x:v>
      </x:c>
      <x:c r="E142" s="40" t="n">
        <x:f>'调前玩家曲线'!E142</x:f>
        <x:v>1</x:v>
      </x:c>
      <x:c r="F142" s="40" t="n">
        <x:f>'调前玩家曲线'!F142</x:f>
        <x:v>5</x:v>
      </x:c>
      <x:c r="G142" s="63" t="n">
        <x:f>IF(B142&lt;$G$8,0,(INDEX('主线调参'!$C$11:$C$62,$AV142)+(INDEX('主线调参'!$C$11:$C$62,$AV142+1)-INDEX('主线调参'!$C$11:$C$62,$AV142))*$AW142)*'参数说明'!$C$27)</x:f>
        <x:v>0.6785525898822368</x:v>
      </x:c>
      <x:c r="H142" s="63" t="n">
        <x:f>IF(B142&lt;$H$8,0,(INDEX('主线调参'!$D$11:$D$62,$AV142)+(INDEX('主线调参'!$D$11:$D$62,$AV142+1)-INDEX('主线调参'!$D$11:$D$62,$AV142))*$AW142)*'参数说明'!$D$27)</x:f>
        <x:v>0.5319475539146218</x:v>
      </x:c>
      <x:c r="I142" s="63" t="n">
        <x:f>IF(B142&lt;$I$8,0,(INDEX('主线调参'!$E$11:$E$62,$AV142)+(INDEX('主线调参'!$E$11:$E$62,$AV142+1)-INDEX('主线调参'!$E$11:$E$62,$AV142))*$AW142)*'参数说明'!$E$27)</x:f>
        <x:v>0.38720292761395586</x:v>
      </x:c>
      <x:c r="J142" s="63" t="n">
        <x:f>IF(B142&lt;$J$8,0,(INDEX('主线调参'!$F$11:$F$62,$AV142)+(INDEX('主线调参'!$F$11:$F$62,$AV142+1)-INDEX('主线调参'!$F$11:$F$62,$AV142))*$AW142)*'参数说明'!$F$27)</x:f>
        <x:v>0.4114497093053289</x:v>
      </x:c>
      <x:c r="K142" s="63" t="n">
        <x:f>IF(B142&lt;$K$8,0,(INDEX('主线调参'!$G$11:$G$62,$AV142)+(INDEX('主线调参'!$G$11:$G$62,$AV142+1)-INDEX('主线调参'!$G$11:$G$62,$AV142))*$AW142)*'参数说明'!$G$27)</x:f>
        <x:v>0.24604472622905546</x:v>
      </x:c>
      <x:c r="L142" s="63" t="n">
        <x:f>IF(B142&lt;$L$8,0,(INDEX('主线调参'!$H$11:$H$62,$AV142)+(INDEX('主线调参'!$H$11:$H$62,$AV142+1)-INDEX('主线调参'!$H$11:$H$62,$AV142))*$AW142)*'参数说明'!$H$27)</x:f>
        <x:v>0.519673047418376</x:v>
      </x:c>
      <x:c r="M142" s="59" t="n">
        <x:f>E142*'模块规划'!$F$10+G142*'模块规划'!$F$11+H142*'模块规划'!$F$13</x:f>
        <x:v>4257.052431434737</x:v>
      </x:c>
      <x:c r="N142" s="59" t="n">
        <x:f>I142*'模块规划'!$F$15+J142*'模块规划'!$F$17+K142*'模块规划'!$F$16+L142*'模块规划'!$F$18</x:f>
        <x:v>11286.754108431149</x:v>
      </x:c>
      <x:c r="O142" s="59" t="n">
        <x:f>1+O$9*SUMPRODUCT($H$10:$L$10,H142:L142)/SUM($H$10:$L$10)</x:f>
        <x:v>2.5443463973288516</x:v>
      </x:c>
      <x:c r="P142" s="59" t="n">
        <x:f>M142*O142+N142</x:f>
        <x:v>22118.17012559215</x:v>
      </x:c>
      <x:c r="Q142" s="59" t="n">
        <x:f>P142/(P142+'_曲线基线'!$L$2)</x:f>
        <x:v>0.4795977391418272</x:v>
      </x:c>
      <x:c r="R142" s="59" t="n">
        <x:f>E142*'模块规划'!$E$10+G142*'模块规划'!$E$11+H142*'模块规划'!$E$13</x:f>
        <x:v>6385.578647152105</x:v>
      </x:c>
      <x:c r="S142" s="59" t="n">
        <x:f>I142*'模块规划'!$E$15+J142*'模块规划'!$E$17+K142*'模块规划'!$E$16+L142*'模块规划'!$E$18</x:f>
        <x:v>16930.131162646725</x:v>
      </x:c>
      <x:c r="T142" s="59" t="n">
        <x:f>1+T$9*SUMPRODUCT($H$10:$L$10,H142:L142)/SUM($H$10:$L$10)</x:f>
        <x:v>2.5443463973288516</x:v>
      </x:c>
      <x:c r="U142" s="59" t="n">
        <x:f>R142*T142+S142</x:f>
        <x:v>33177.255188388226</x:v>
      </x:c>
      <x:c r="V142" s="59" t="n">
        <x:f>V$8+(V$9-V$8)*H142</x:f>
        <x:v>0.8595842661743865</x:v>
      </x:c>
      <x:c r="W142" s="59" t="n">
        <x:f>IF(B142&lt;$H$8,0,W$8+(W$9-W$8)*H142)</x:f>
        <x:v>0.2127790215658487</x:v>
      </x:c>
      <x:c r="X142" s="59" t="n">
        <x:f>X$8+(X$9-X$8)*H142</x:f>
        <x:v>0.42128557732652105</x:v>
      </x:c>
      <x:c r="Y142" s="59" t="n">
        <x:f>Y$8+(Y$9-Y$8)*G142</x:f>
        <x:v>1</x:v>
      </x:c>
      <x:c r="Z142" s="59" t="n">
        <x:f>Z$8+(Z$9-Z$8)*H142</x:f>
        <x:v>1</x:v>
      </x:c>
      <x:c r="AA142" s="59" t="n">
        <x:f>AA$8+(AA$9-AA$8)*I142</x:f>
        <x:v>1</x:v>
      </x:c>
      <x:c r="AB142" s="59" t="n">
        <x:f>AB$8+(AB$9-AB$8)*J142</x:f>
        <x:v>1</x:v>
      </x:c>
      <x:c r="AC142" s="59" t="n">
        <x:f>AC$8+(AC$9-AC$8)*MAX(K142,L142)</x:f>
        <x:v>1</x:v>
      </x:c>
      <x:c r="AD142" s="59" t="n">
        <x:f>(V142*AE142+W142*AF142+X142*AG142)*PRODUCT(Y142:AC142)</x:f>
        <x:v>1.6244163456322926</x:v>
      </x:c>
      <x:c r="AE142" s="59" t="n">
        <x:f>1+AE$9*($H$10*H142+$I$10*I142+$J$10*J142+$K$10*K142+$L$10*L142)</x:f>
        <x:v>1</x:v>
      </x:c>
      <x:c r="AF142" s="59" t="n">
        <x:f>1+AF$9*($H$10*H142+$I$10*I142+$J$10*J142+$K$10*K142+$L$10*L142)</x:f>
        <x:v>1.1363026374970404</x:v>
      </x:c>
      <x:c r="AG142" s="59" t="n">
        <x:f>1+AG$9*($H$10*H142+$I$10*I142+$J$10*J142+$K$10*K142+$L$10*L142)</x:f>
        <x:v>1.2415585631197568</x:v>
      </x:c>
      <x:c r="AH142" s="59" t="n">
        <x:f>MIN(1,'_曲线基线'!$L$3+AH$9*($H$10*H142+$I$10*I142+$J$10*J142+$K$10*K142+$L$10*L142))</x:f>
        <x:v>0.3600885003057666</x:v>
      </x:c>
      <x:c r="AI142" s="59" t="n">
        <x:f>'_曲线基线'!$L$4+AI$9*($H$10*H142+$I$10*I142+$J$10*J142+$K$10*K142+$L$10*L142)</x:f>
        <x:v>2.8638179651374926</x:v>
      </x:c>
      <x:c r="AJ142" s="59" t="n">
        <x:f>1+AJ$9*($H$10*H142+$I$10*I142+$J$10*J142+$K$10*K142+$L$10*L142)</x:f>
        <x:v>1.7087737149846096</x:v>
      </x:c>
      <x:c r="AK142" s="59" t="n">
        <x:f>(1+AH142*(AI142-1))*AJ142</x:f>
        <x:v>2.8555991079805545</x:v>
      </x:c>
      <x:c r="AL142" s="59" t="n">
        <x:f>U142*AD142*AK142*F142</x:f>
        <x:v>769493.6602916918</x:v>
      </x:c>
      <x:c r="AM142" s="59" t="n">
        <x:f>IF($B142&lt;AM$8,0,AM$3+(AM$4-AM$3)*(POWER(AM$5,$B142-AM$8)-1)/(POWER(AM$5,$C$5-AM$8)-1))</x:f>
        <x:v>38.55173065325917</x:v>
      </x:c>
      <x:c r="AN142" s="59" t="n">
        <x:f>(((E142*'模块规划'!$D$10+G142*'模块规划'!$D$11+H142*'模块规划'!$D$13)*(1+'模块规划'!$G$14*H142)+(I142*'模块规划'!$D$15+J142*'模块规划'!$D$17+K142*'模块规划'!$D$16+L142*'模块规划'!$D$18))*(1+'模块规划'!$J$17*J142))*F142/(1-Q142)</x:f>
        <x:v>1261656.4490719137</x:v>
      </x:c>
      <x:c r="AO142" s="59" t="n">
        <x:f>AL142*AM142</x:f>
        <x:v>29665312.330955815</x:v>
      </x:c>
      <x:c r="AP142" s="61" t="n">
        <x:f>IF(AO142="","",INDEX('_曲线基线'!$A$3:$A$502,MIN(ROWS('_曲线基线'!$A$3:$A$502),COUNTIF('_曲线基线'!$E$3:$E$502,"&lt;"&amp;AO142)+1)))</x:f>
        <x:v>206</x:v>
      </x:c>
      <x:c r="AQ142" s="61" t="n">
        <x:f>IF(B142&lt;=2,1,IF(B142&lt;=6,2,IF(B142&lt;=9,3,IF(B142&lt;=19,4,5))))</x:f>
        <x:v>5</x:v>
      </x:c>
      <x:c r="AR142" s="59" t="n">
        <x:f>AN142*(1-Q142)/F142*$AS$3+U142*$AS$4+P142*$AS$5</x:f>
        <x:v>10574.864248817554</x:v>
      </x:c>
      <x:c r="AS142" s="59" t="n">
        <x:f>1+AH142*$AS$6+AI142*$AS$7+(AJ142-1)*$AS$8+($H$10*H142+$I$10*I142+$J$10*J142+$K$10*K142+$L$10*L142)*$AU$3*$AS$9+($H$10*H142+$I$10*I142+$J$10*J142+$K$10*K142+$L$10*L142)*$AU$4*$AS$10</x:f>
        <x:v>13.125817464320011</x:v>
      </x:c>
      <x:c r="AT142" s="60" t="n">
        <x:f>ROUND(AR142*AS142,0)</x:f>
        <x:v>138804</x:v>
      </x:c>
      <x:c r="AU142" s="60" t="n">
        <x:f>ROUND(AT142*F142,0)</x:f>
        <x:v>694020</x:v>
      </x:c>
      <x:c r="AV142" s="60" t="n">
        <x:f>MIN(MATCH(B142,'主线调参'!$M$11:$M$62,1),ROWS('主线调参'!$M$11:$M$62)-1)</x:f>
        <x:v>33</x:v>
      </x:c>
      <x:c r="AW142" s="62" t="n">
        <x:f>(B142-INDEX('主线调参'!$M$11:$M$62,AV142))/(INDEX('主线调参'!$M$11:$M$62,AV142+1)-INDEX('主线调参'!$M$11:$M$62,AV142))</x:f>
        <x:v>0.07142857142857142</x:v>
      </x:c>
      <x:c r="AX142" s="60" t="n">
        <x:f>IF(AU142=0,0,ROUND(AU142,2-INT(LOG10(ABS(AU142)))))</x:f>
        <x:v>694000</x:v>
      </x:c>
      <x:c r="AY142" s="62" t="n">
        <x:f>AU142/AU141-1</x:f>
        <x:v>0.01159511125039181</x:v>
      </x:c>
    </x:row>
    <x:row r="143" ht="25" customHeight="1">
      <x:c r="A143" s="40" t="str">
        <x:f>'调前玩家曲线'!A143</x:f>
      </x:c>
      <x:c r="B143" s="40" t="n">
        <x:f>'调前玩家曲线'!B143</x:f>
        <x:v>132</x:v>
      </x:c>
      <x:c r="C143" s="40" t="n">
        <x:f>'调前玩家曲线'!C143</x:f>
        <x:v>10</x:v>
      </x:c>
      <x:c r="D143" s="40" t="n">
        <x:f>'调前玩家曲线'!D143</x:f>
        <x:v>3</x:v>
      </x:c>
      <x:c r="E143" s="40" t="n">
        <x:f>'调前玩家曲线'!E143</x:f>
        <x:v>1</x:v>
      </x:c>
      <x:c r="F143" s="40" t="n">
        <x:f>'调前玩家曲线'!F143</x:f>
        <x:v>5</x:v>
      </x:c>
      <x:c r="G143" s="63" t="n">
        <x:f>IF(B143&lt;$G$8,0,(INDEX('主线调参'!$C$11:$C$62,$AV143)+(INDEX('主线调参'!$C$11:$C$62,$AV143+1)-INDEX('主线调参'!$C$11:$C$62,$AV143))*$AW143)*'参数说明'!$C$27)</x:f>
        <x:v>0.6807097185200985</x:v>
      </x:c>
      <x:c r="H143" s="63" t="n">
        <x:f>IF(B143&lt;$H$8,0,(INDEX('主线调参'!$D$11:$D$62,$AV143)+(INDEX('主线调参'!$D$11:$D$62,$AV143+1)-INDEX('主线调参'!$D$11:$D$62,$AV143))*$AW143)*'参数说明'!$D$27)</x:f>
        <x:v>0.5336198895660179</x:v>
      </x:c>
      <x:c r="I143" s="63" t="n">
        <x:f>IF(B143&lt;$I$8,0,(INDEX('主线调参'!$E$11:$E$62,$AV143)+(INDEX('主线调参'!$E$11:$E$62,$AV143+1)-INDEX('主线调参'!$E$11:$E$62,$AV143))*$AW143)*'参数说明'!$E$27)</x:f>
        <x:v>0.39035890568635623</x:v>
      </x:c>
      <x:c r="J143" s="63" t="n">
        <x:f>IF(B143&lt;$J$8,0,(INDEX('主线调参'!$F$11:$F$62,$AV143)+(INDEX('主线调参'!$F$11:$F$62,$AV143+1)-INDEX('主线调参'!$F$11:$F$62,$AV143))*$AW143)*'参数说明'!$F$27)</x:f>
        <x:v>0.41341717080363516</x:v>
      </x:c>
      <x:c r="K143" s="63" t="n">
        <x:f>IF(B143&lt;$K$8,0,(INDEX('主线调参'!$G$11:$G$62,$AV143)+(INDEX('主线调参'!$G$11:$G$62,$AV143+1)-INDEX('主线调参'!$G$11:$G$62,$AV143))*$AW143)*'参数说明'!$G$27)</x:f>
        <x:v>0.25167148393788213</x:v>
      </x:c>
      <x:c r="L143" s="63" t="n">
        <x:f>IF(B143&lt;$L$8,0,(INDEX('主线调参'!$H$11:$H$62,$AV143)+(INDEX('主线调参'!$H$11:$H$62,$AV143+1)-INDEX('主线调参'!$H$11:$H$62,$AV143))*$AW143)*'参数说明'!$H$27)</x:f>
        <x:v>0.5215342038910069</x:v>
      </x:c>
      <x:c r="M143" s="59" t="n">
        <x:f>E143*'模块规划'!$F$10+G143*'模块规划'!$F$11+H143*'模块规划'!$F$13</x:f>
        <x:v>4267.406648896473</x:v>
      </x:c>
      <x:c r="N143" s="59" t="n">
        <x:f>I143*'模块规划'!$F$15+J143*'模块规划'!$F$17+K143*'模块规划'!$F$16+L143*'模块规划'!$F$18</x:f>
        <x:v>11374.742876609529</x:v>
      </x:c>
      <x:c r="O143" s="59" t="n">
        <x:f>1+O$9*SUMPRODUCT($H$10:$L$10,H143:L143)/SUM($H$10:$L$10)</x:f>
        <x:v>2.5545713096499956</x:v>
      </x:c>
      <x:c r="P143" s="59" t="n">
        <x:f>M143*O143+N143</x:f>
        <x:v>22276.137468490087</x:v>
      </x:c>
      <x:c r="Q143" s="59" t="n">
        <x:f>P143/(P143+'_曲线基线'!$L$2)</x:f>
        <x:v>0.48137417440377656</x:v>
      </x:c>
      <x:c r="R143" s="59" t="n">
        <x:f>E143*'模块规划'!$E$10+G143*'模块规划'!$E$11+H143*'模块规划'!$E$13</x:f>
        <x:v>6401.109973344709</x:v>
      </x:c>
      <x:c r="S143" s="59" t="n">
        <x:f>I143*'模块规划'!$E$15+J143*'模块规划'!$E$17+K143*'模块规划'!$E$16+L143*'模块规划'!$E$18</x:f>
        <x:v>17062.11431491429</x:v>
      </x:c>
      <x:c r="T143" s="59" t="n">
        <x:f>1+T$9*SUMPRODUCT($H$10:$L$10,H143:L143)/SUM($H$10:$L$10)</x:f>
        <x:v>2.5545713096499956</x:v>
      </x:c>
      <x:c r="U143" s="59" t="n">
        <x:f>R143*T143+S143</x:f>
        <x:v>33414.206202735135</x:v>
      </x:c>
      <x:c r="V143" s="59" t="n">
        <x:f>V$8+(V$9-V$8)*H143</x:f>
        <x:v>0.8600859668698053</x:v>
      </x:c>
      <x:c r="W143" s="59" t="n">
        <x:f>IF(B143&lt;$H$8,0,W$8+(W$9-W$8)*H143)</x:f>
        <x:v>0.2134479558264072</x:v>
      </x:c>
      <x:c r="X143" s="59" t="n">
        <x:f>X$8+(X$9-X$8)*H143</x:f>
        <x:v>0.42174546963065496</x:v>
      </x:c>
      <x:c r="Y143" s="59" t="n">
        <x:f>Y$8+(Y$9-Y$8)*G143</x:f>
        <x:v>1</x:v>
      </x:c>
      <x:c r="Z143" s="59" t="n">
        <x:f>Z$8+(Z$9-Z$8)*H143</x:f>
        <x:v>1</x:v>
      </x:c>
      <x:c r="AA143" s="59" t="n">
        <x:f>AA$8+(AA$9-AA$8)*I143</x:f>
        <x:v>1</x:v>
      </x:c>
      <x:c r="AB143" s="59" t="n">
        <x:f>AB$8+(AB$9-AB$8)*J143</x:f>
        <x:v>1</x:v>
      </x:c>
      <x:c r="AC143" s="59" t="n">
        <x:f>AC$8+(AC$9-AC$8)*MAX(K143,L143)</x:f>
        <x:v>1</x:v>
      </x:c>
      <x:c r="AD143" s="59" t="n">
        <x:f>(V143*AE143+W143*AF143+X143*AG143)*PRODUCT(Y143:AC143)</x:f>
        <x:v>1.627116274628587</x:v>
      </x:c>
      <x:c r="AE143" s="59" t="n">
        <x:f>1+AE$9*($H$10*H143+$I$10*I143+$J$10*J143+$K$10*K143+$L$10*L143)</x:f>
        <x:v>1</x:v>
      </x:c>
      <x:c r="AF143" s="59" t="n">
        <x:f>1+AF$9*($H$10*H143+$I$10*I143+$J$10*J143+$K$10*K143+$L$10*L143)</x:f>
        <x:v>1.1372050791512953</x:v>
      </x:c>
      <x:c r="AG143" s="59" t="n">
        <x:f>1+AG$9*($H$10*H143+$I$10*I143+$J$10*J143+$K$10*K143+$L$10*L143)</x:f>
        <x:v>1.2431578902736862</x:v>
      </x:c>
      <x:c r="AH143" s="59" t="n">
        <x:f>MIN(1,'_曲线基线'!$L$3+AH$9*($H$10*H143+$I$10*I143+$J$10*J143+$K$10*K143+$L$10*L143))</x:f>
        <x:v>0.3621415550691964</x:v>
      </x:c>
      <x:c r="AI143" s="59" t="n">
        <x:f>'_曲线基线'!$L$4+AI$9*($H$10*H143+$I$10*I143+$J$10*J143+$K$10*K143+$L$10*L143)</x:f>
        <x:v>2.869537189121333</x:v>
      </x:c>
      <x:c r="AJ143" s="59" t="n">
        <x:f>1+AJ$9*($H$10*H143+$I$10*I143+$J$10*J143+$K$10*K143+$L$10*L143)</x:f>
        <x:v>1.7134664115867348</x:v>
      </x:c>
      <x:c r="AK143" s="59" t="n">
        <x:f>(1+AH143*(AI143-1))*AJ143</x:f>
        <x:v>2.8735467502789476</x:v>
      </x:c>
      <x:c r="AL143" s="59" t="n">
        <x:f>U143*AD143*AK143*F143</x:f>
        <x:v>781156.4243384793</x:v>
      </x:c>
      <x:c r="AM143" s="59" t="n">
        <x:f>IF($B143&lt;AM$8,0,AM$3+(AM$4-AM$3)*(POWER(AM$5,$B143-AM$8)-1)/(POWER(AM$5,$C$5-AM$8)-1))</x:f>
        <x:v>38.60067259971363</x:v>
      </x:c>
      <x:c r="AN143" s="59" t="n">
        <x:f>(((E143*'模块规划'!$D$10+G143*'模块规划'!$D$11+H143*'模块规划'!$D$13)*(1+'模块规划'!$G$14*H143)+(I143*'模块规划'!$D$15+J143*'模块规划'!$D$17+K143*'模块规划'!$D$16+L143*'模块规划'!$D$18))*(1+'模块规划'!$J$17*J143))*F143/(1-Q143)</x:f>
        <x:v>1275891.9851987187</x:v>
      </x:c>
      <x:c r="AO143" s="59" t="n">
        <x:f>AL143*AM143</x:f>
        <x:v>30153163.385052614</x:v>
      </x:c>
      <x:c r="AP143" s="61" t="n">
        <x:f>IF(AO143="","",INDEX('_曲线基线'!$A$3:$A$502,MIN(ROWS('_曲线基线'!$A$3:$A$502),COUNTIF('_曲线基线'!$E$3:$E$502,"&lt;"&amp;AO143)+1)))</x:f>
        <x:v>207</x:v>
      </x:c>
      <x:c r="AQ143" s="61" t="n">
        <x:f>IF(B143&lt;=2,1,IF(B143&lt;=6,2,IF(B143&lt;=9,3,IF(B143&lt;=19,4,5))))</x:f>
        <x:v>5</x:v>
      </x:c>
      <x:c r="AR143" s="59" t="n">
        <x:f>AN143*(1-Q143)/F143*$AS$3+U143*$AS$4+P143*$AS$5</x:f>
        <x:v>10653.104445718767</x:v>
      </x:c>
      <x:c r="AS143" s="59" t="n">
        <x:f>1+AH143*$AS$6+AI143*$AS$7+(AJ143-1)*$AS$8+($H$10*H143+$I$10*I143+$J$10*J143+$K$10*K143+$L$10*L143)*$AU$3*$AS$9+($H$10*H143+$I$10*I143+$J$10*J143+$K$10*K143+$L$10*L143)*$AU$4*$AS$10</x:f>
        <x:v>13.17973937856107</x:v>
      </x:c>
      <x:c r="AT143" s="60" t="n">
        <x:f>ROUND(AR143*AS143,0)</x:f>
        <x:v>140405</x:v>
      </x:c>
      <x:c r="AU143" s="60" t="n">
        <x:f>ROUND(AT143*F143,0)</x:f>
        <x:v>702025</x:v>
      </x:c>
      <x:c r="AV143" s="60" t="n">
        <x:f>MIN(MATCH(B143,'主线调参'!$M$11:$M$62,1),ROWS('主线调参'!$M$11:$M$62)-1)</x:f>
        <x:v>33</x:v>
      </x:c>
      <x:c r="AW143" s="62" t="n">
        <x:f>(B143-INDEX('主线调参'!$M$11:$M$62,AV143))/(INDEX('主线调参'!$M$11:$M$62,AV143+1)-INDEX('主线调参'!$M$11:$M$62,AV143))</x:f>
        <x:v>0.14285714285714285</x:v>
      </x:c>
      <x:c r="AX143" s="60" t="n">
        <x:f>IF(AU143=0,0,ROUND(AU143,2-INT(LOG10(ABS(AU143)))))</x:f>
        <x:v>702000</x:v>
      </x:c>
      <x:c r="AY143" s="62" t="n">
        <x:f>AU143/AU142-1</x:f>
        <x:v>0.011534249733436974</x:v>
      </x:c>
    </x:row>
    <x:row r="144" ht="25" customHeight="1">
      <x:c r="A144" s="40" t="str">
        <x:f>'调前玩家曲线'!A144</x:f>
      </x:c>
      <x:c r="B144" s="40" t="n">
        <x:f>'调前玩家曲线'!B144</x:f>
        <x:v>133</x:v>
      </x:c>
      <x:c r="C144" s="40" t="n">
        <x:f>'调前玩家曲线'!C144</x:f>
        <x:v>10</x:v>
      </x:c>
      <x:c r="D144" s="40" t="n">
        <x:f>'调前玩家曲线'!D144</x:f>
        <x:v>4</x:v>
      </x:c>
      <x:c r="E144" s="40" t="n">
        <x:f>'调前玩家曲线'!E144</x:f>
        <x:v>1</x:v>
      </x:c>
      <x:c r="F144" s="40" t="n">
        <x:f>'调前玩家曲线'!F144</x:f>
        <x:v>5</x:v>
      </x:c>
      <x:c r="G144" s="63" t="n">
        <x:f>IF(B144&lt;$G$8,0,(INDEX('主线调参'!$C$11:$C$62,$AV144)+(INDEX('主线调参'!$C$11:$C$62,$AV144+1)-INDEX('主线调参'!$C$11:$C$62,$AV144))*$AW144)*'参数说明'!$C$27)</x:f>
        <x:v>0.6828668471579603</x:v>
      </x:c>
      <x:c r="H144" s="63" t="n">
        <x:f>IF(B144&lt;$H$8,0,(INDEX('主线调参'!$D$11:$D$62,$AV144)+(INDEX('主线调参'!$D$11:$D$62,$AV144+1)-INDEX('主线调参'!$D$11:$D$62,$AV144))*$AW144)*'参数说明'!$D$27)</x:f>
        <x:v>0.5352922252174142</x:v>
      </x:c>
      <x:c r="I144" s="63" t="n">
        <x:f>IF(B144&lt;$I$8,0,(INDEX('主线调参'!$E$11:$E$62,$AV144)+(INDEX('主线调参'!$E$11:$E$62,$AV144+1)-INDEX('主线调参'!$E$11:$E$62,$AV144))*$AW144)*'参数说明'!$E$27)</x:f>
        <x:v>0.39351488375875665</x:v>
      </x:c>
      <x:c r="J144" s="63" t="n">
        <x:f>IF(B144&lt;$J$8,0,(INDEX('主线调参'!$F$11:$F$62,$AV144)+(INDEX('主线调参'!$F$11:$F$62,$AV144+1)-INDEX('主线调参'!$F$11:$F$62,$AV144))*$AW144)*'参数说明'!$F$27)</x:f>
        <x:v>0.4153846323019415</x:v>
      </x:c>
      <x:c r="K144" s="63" t="n">
        <x:f>IF(B144&lt;$K$8,0,(INDEX('主线调参'!$G$11:$G$62,$AV144)+(INDEX('主线调参'!$G$11:$G$62,$AV144+1)-INDEX('主线调参'!$G$11:$G$62,$AV144))*$AW144)*'参数说明'!$G$27)</x:f>
        <x:v>0.25729824164670884</x:v>
      </x:c>
      <x:c r="L144" s="63" t="n">
        <x:f>IF(B144&lt;$L$8,0,(INDEX('主线调参'!$H$11:$H$62,$AV144)+(INDEX('主线调参'!$H$11:$H$62,$AV144+1)-INDEX('主线调参'!$H$11:$H$62,$AV144))*$AW144)*'参数说明'!$H$27)</x:f>
        <x:v>0.5233953603636377</x:v>
      </x:c>
      <x:c r="M144" s="59" t="n">
        <x:f>E144*'模块规划'!$F$10+G144*'模块规划'!$F$11+H144*'模块规划'!$F$13</x:f>
        <x:v>4277.76086635821</x:v>
      </x:c>
      <x:c r="N144" s="59" t="n">
        <x:f>I144*'模块规划'!$F$15+J144*'模块规划'!$F$17+K144*'模块规划'!$F$16+L144*'模块规划'!$F$18</x:f>
        <x:v>11462.731644787907</x:v>
      </x:c>
      <x:c r="O144" s="59" t="n">
        <x:f>1+O$9*SUMPRODUCT($H$10:$L$10,H144:L144)/SUM($H$10:$L$10)</x:f>
        <x:v>2.56479622197114</x:v>
      </x:c>
      <x:c r="P144" s="59" t="n">
        <x:f>M144*O144+N144</x:f>
        <x:v>22434.316553319433</x:v>
      </x:c>
      <x:c r="Q144" s="59" t="n">
        <x:f>P144/(P144+'_曲线基线'!$L$2)</x:f>
        <x:v>0.483140879818025</x:v>
      </x:c>
      <x:c r="R144" s="59" t="n">
        <x:f>E144*'模块规划'!$E$10+G144*'模块规划'!$E$11+H144*'模块规划'!$E$13</x:f>
        <x:v>6416.641299537314</x:v>
      </x:c>
      <x:c r="S144" s="59" t="n">
        <x:f>I144*'模块规划'!$E$15+J144*'模块规划'!$E$17+K144*'模块规划'!$E$16+L144*'模块规划'!$E$18</x:f>
        <x:v>17194.097467181866</x:v>
      </x:c>
      <x:c r="T144" s="59" t="n">
        <x:f>1+T$9*SUMPRODUCT($H$10:$L$10,H144:L144)/SUM($H$10:$L$10)</x:f>
        <x:v>2.56479622197114</x:v>
      </x:c>
      <x:c r="U144" s="59" t="n">
        <x:f>R144*T144+S144</x:f>
        <x:v>33651.47482997915</x:v>
      </x:c>
      <x:c r="V144" s="59" t="n">
        <x:f>V$8+(V$9-V$8)*H144</x:f>
        <x:v>0.8605876675652242</x:v>
      </x:c>
      <x:c r="W144" s="59" t="n">
        <x:f>IF(B144&lt;$H$8,0,W$8+(W$9-W$8)*H144)</x:f>
        <x:v>0.21411689008696566</x:v>
      </x:c>
      <x:c r="X144" s="59" t="n">
        <x:f>X$8+(X$9-X$8)*H144</x:f>
        <x:v>0.4222053619347889</x:v>
      </x:c>
      <x:c r="Y144" s="59" t="n">
        <x:f>Y$8+(Y$9-Y$8)*G144</x:f>
        <x:v>1</x:v>
      </x:c>
      <x:c r="Z144" s="59" t="n">
        <x:f>Z$8+(Z$9-Z$8)*H144</x:f>
        <x:v>1</x:v>
      </x:c>
      <x:c r="AA144" s="59" t="n">
        <x:f>AA$8+(AA$9-AA$8)*I144</x:f>
        <x:v>1</x:v>
      </x:c>
      <x:c r="AB144" s="59" t="n">
        <x:f>AB$8+(AB$9-AB$8)*J144</x:f>
        <x:v>1</x:v>
      </x:c>
      <x:c r="AC144" s="59" t="n">
        <x:f>AC$8+(AC$9-AC$8)*MAX(K144,L144)</x:f>
        <x:v>1</x:v>
      </x:c>
      <x:c r="AD144" s="59" t="n">
        <x:f>(V144*AE144+W144*AF144+X144*AG144)*PRODUCT(Y144:AC144)</x:f>
        <x:v>1.6298188820096624</x:v>
      </x:c>
      <x:c r="AE144" s="59" t="n">
        <x:f>1+AE$9*($H$10*H144+$I$10*I144+$J$10*J144+$K$10*K144+$L$10*L144)</x:f>
        <x:v>1</x:v>
      </x:c>
      <x:c r="AF144" s="59" t="n">
        <x:f>1+AF$9*($H$10*H144+$I$10*I144+$J$10*J144+$K$10*K144+$L$10*L144)</x:f>
        <x:v>1.13810752080555</x:v>
      </x:c>
      <x:c r="AG144" s="59" t="n">
        <x:f>1+AG$9*($H$10*H144+$I$10*I144+$J$10*J144+$K$10*K144+$L$10*L144)</x:f>
        <x:v>1.2447572174276158</x:v>
      </x:c>
      <x:c r="AH144" s="59" t="n">
        <x:f>MIN(1,'_曲线基线'!$L$3+AH$9*($H$10*H144+$I$10*I144+$J$10*J144+$K$10*K144+$L$10*L144))</x:f>
        <x:v>0.3641946098326262</x:v>
      </x:c>
      <x:c r="AI144" s="59" t="n">
        <x:f>'_曲线基线'!$L$4+AI$9*($H$10*H144+$I$10*I144+$J$10*J144+$K$10*K144+$L$10*L144)</x:f>
        <x:v>2.875256413105173</x:v>
      </x:c>
      <x:c r="AJ144" s="59" t="n">
        <x:f>1+AJ$9*($H$10*H144+$I$10*I144+$J$10*J144+$K$10*K144+$L$10*L144)</x:f>
        <x:v>1.71815910818886</x:v>
      </x:c>
      <x:c r="AK144" s="59" t="n">
        <x:f>(1+AH144*(AI144-1))*AJ144</x:f>
        <x:v>2.8915900935440653</x:v>
      </x:c>
      <x:c r="AL144" s="59" t="n">
        <x:f>U144*AD144*AK144*F144</x:f>
        <x:v>792957.9911183671</x:v>
      </x:c>
      <x:c r="AM144" s="59" t="n">
        <x:f>IF($B144&lt;AM$8,0,AM$3+(AM$4-AM$3)*(POWER(AM$5,$B144-AM$8)-1)/(POWER(AM$5,$C$5-AM$8)-1))</x:f>
        <x:v>38.65010396563264</x:v>
      </x:c>
      <x:c r="AN144" s="59" t="n">
        <x:f>(((E144*'模块规划'!$D$10+G144*'模块规划'!$D$11+H144*'模块规划'!$D$13)*(1+'模块规划'!$G$14*H144)+(I144*'模块规划'!$D$15+J144*'模块规划'!$D$17+K144*'模块规划'!$D$16+L144*'模块规划'!$D$18))*(1+'模块规划'!$J$17*J144))*F144/(1-Q144)</x:f>
        <x:v>1290228.4084480614</x:v>
      </x:c>
      <x:c r="AO144" s="59" t="n">
        <x:f>AL144*AM144</x:f>
        <x:v>30647908.79710409</x:v>
      </x:c>
      <x:c r="AP144" s="61" t="n">
        <x:f>IF(AO144="","",INDEX('_曲线基线'!$A$3:$A$502,MIN(ROWS('_曲线基线'!$A$3:$A$502),COUNTIF('_曲线基线'!$E$3:$E$502,"&lt;"&amp;AO144)+1)))</x:f>
        <x:v>209</x:v>
      </x:c>
      <x:c r="AQ144" s="61" t="n">
        <x:f>IF(B144&lt;=2,1,IF(B144&lt;=6,2,IF(B144&lt;=9,3,IF(B144&lt;=19,4,5))))</x:f>
        <x:v>5</x:v>
      </x:c>
      <x:c r="AR144" s="59" t="n">
        <x:f>AN144*(1-Q144)/F144*$AS$3+U144*$AS$4+P144*$AS$5</x:f>
        <x:v>10731.49288614136</x:v>
      </x:c>
      <x:c r="AS144" s="59" t="n">
        <x:f>1+AH144*$AS$6+AI144*$AS$7+(AJ144-1)*$AS$8+($H$10*H144+$I$10*I144+$J$10*J144+$K$10*K144+$L$10*L144)*$AU$3*$AS$9+($H$10*H144+$I$10*I144+$J$10*J144+$K$10*K144+$L$10*L144)*$AU$4*$AS$10</x:f>
        <x:v>13.233661292802129</x:v>
      </x:c>
      <x:c r="AT144" s="60" t="n">
        <x:f>ROUND(AR144*AS144,0)</x:f>
        <x:v>142017</x:v>
      </x:c>
      <x:c r="AU144" s="60" t="n">
        <x:f>ROUND(AT144*F144,0)</x:f>
        <x:v>710085</x:v>
      </x:c>
      <x:c r="AV144" s="60" t="n">
        <x:f>MIN(MATCH(B144,'主线调参'!$M$11:$M$62,1),ROWS('主线调参'!$M$11:$M$62)-1)</x:f>
        <x:v>33</x:v>
      </x:c>
      <x:c r="AW144" s="62" t="n">
        <x:f>(B144-INDEX('主线调参'!$M$11:$M$62,AV144))/(INDEX('主线调参'!$M$11:$M$62,AV144+1)-INDEX('主线调参'!$M$11:$M$62,AV144))</x:f>
        <x:v>0.21428571428571427</x:v>
      </x:c>
      <x:c r="AX144" s="60" t="n">
        <x:f>IF(AU144=0,0,ROUND(AU144,2-INT(LOG10(ABS(AU144)))))</x:f>
        <x:v>710000</x:v>
      </x:c>
      <x:c r="AY144" s="62" t="n">
        <x:f>AU144/AU143-1</x:f>
        <x:v>0.011481072611374321</x:v>
      </x:c>
    </x:row>
    <x:row r="145" ht="25" customHeight="1">
      <x:c r="A145" s="40" t="str">
        <x:f>'调前玩家曲线'!A145</x:f>
      </x:c>
      <x:c r="B145" s="40" t="n">
        <x:f>'调前玩家曲线'!B145</x:f>
        <x:v>134</x:v>
      </x:c>
      <x:c r="C145" s="40" t="n">
        <x:f>'调前玩家曲线'!C145</x:f>
        <x:v>10</x:v>
      </x:c>
      <x:c r="D145" s="40" t="n">
        <x:f>'调前玩家曲线'!D145</x:f>
        <x:v>5</x:v>
      </x:c>
      <x:c r="E145" s="40" t="n">
        <x:f>'调前玩家曲线'!E145</x:f>
        <x:v>1</x:v>
      </x:c>
      <x:c r="F145" s="40" t="n">
        <x:f>'调前玩家曲线'!F145</x:f>
        <x:v>5</x:v>
      </x:c>
      <x:c r="G145" s="63" t="n">
        <x:f>IF(B145&lt;$G$8,0,(INDEX('主线调参'!$C$11:$C$62,$AV145)+(INDEX('主线调参'!$C$11:$C$62,$AV145+1)-INDEX('主线调参'!$C$11:$C$62,$AV145))*$AW145)*'参数说明'!$C$27)</x:f>
        <x:v>0.6850239757958221</x:v>
      </x:c>
      <x:c r="H145" s="63" t="n">
        <x:f>IF(B145&lt;$H$8,0,(INDEX('主线调参'!$D$11:$D$62,$AV145)+(INDEX('主线调参'!$D$11:$D$62,$AV145+1)-INDEX('主线调参'!$D$11:$D$62,$AV145))*$AW145)*'参数说明'!$D$27)</x:f>
        <x:v>0.5369645608688104</x:v>
      </x:c>
      <x:c r="I145" s="63" t="n">
        <x:f>IF(B145&lt;$I$8,0,(INDEX('主线调参'!$E$11:$E$62,$AV145)+(INDEX('主线调参'!$E$11:$E$62,$AV145+1)-INDEX('主线调参'!$E$11:$E$62,$AV145))*$AW145)*'参数说明'!$E$27)</x:f>
        <x:v>0.396670861831157</x:v>
      </x:c>
      <x:c r="J145" s="63" t="n">
        <x:f>IF(B145&lt;$J$8,0,(INDEX('主线调参'!$F$11:$F$62,$AV145)+(INDEX('主线调参'!$F$11:$F$62,$AV145+1)-INDEX('主线调参'!$F$11:$F$62,$AV145))*$AW145)*'参数说明'!$F$27)</x:f>
        <x:v>0.41735209380024785</x:v>
      </x:c>
      <x:c r="K145" s="63" t="n">
        <x:f>IF(B145&lt;$K$8,0,(INDEX('主线调参'!$G$11:$G$62,$AV145)+(INDEX('主线调参'!$G$11:$G$62,$AV145+1)-INDEX('主线调参'!$G$11:$G$62,$AV145))*$AW145)*'参数说明'!$G$27)</x:f>
        <x:v>0.2629249993555355</x:v>
      </x:c>
      <x:c r="L145" s="63" t="n">
        <x:f>IF(B145&lt;$L$8,0,(INDEX('主线调参'!$H$11:$H$62,$AV145)+(INDEX('主线调参'!$H$11:$H$62,$AV145+1)-INDEX('主线调参'!$H$11:$H$62,$AV145))*$AW145)*'参数说明'!$H$27)</x:f>
        <x:v>0.5252565168362684</x:v>
      </x:c>
      <x:c r="M145" s="59" t="n">
        <x:f>E145*'模块规划'!$F$10+G145*'模块规划'!$F$11+H145*'模块规划'!$F$13</x:f>
        <x:v>4288.115083819946</x:v>
      </x:c>
      <x:c r="N145" s="59" t="n">
        <x:f>I145*'模块规划'!$F$15+J145*'模块规划'!$F$17+K145*'模块规划'!$F$16+L145*'模块规划'!$F$18</x:f>
        <x:v>11550.72041296629</x:v>
      </x:c>
      <x:c r="O145" s="59" t="n">
        <x:f>1+O$9*SUMPRODUCT($H$10:$L$10,H145:L145)/SUM($H$10:$L$10)</x:f>
        <x:v>2.5750211342922844</x:v>
      </x:c>
      <x:c r="P145" s="59" t="n">
        <x:f>M145*O145+N145</x:f>
        <x:v>22592.70738008018</x:v>
      </x:c>
      <x:c r="Q145" s="59" t="n">
        <x:f>P145/(P145+'_曲线基线'!$L$2)</x:f>
        <x:v>0.48489793039455914</x:v>
      </x:c>
      <x:c r="R145" s="59" t="n">
        <x:f>E145*'模块规划'!$E$10+G145*'模块规划'!$E$11+H145*'模块规划'!$E$13</x:f>
        <x:v>6432.172625729919</x:v>
      </x:c>
      <x:c r="S145" s="59" t="n">
        <x:f>I145*'模块规划'!$E$15+J145*'模块规划'!$E$17+K145*'模块规划'!$E$16+L145*'模块规划'!$E$18</x:f>
        <x:v>17326.080619449433</x:v>
      </x:c>
      <x:c r="T145" s="59" t="n">
        <x:f>1+T$9*SUMPRODUCT($H$10:$L$10,H145:L145)/SUM($H$10:$L$10)</x:f>
        <x:v>2.5750211342922844</x:v>
      </x:c>
      <x:c r="U145" s="59" t="n">
        <x:f>R145*T145+S145</x:f>
        <x:v>33889.06107012027</x:v>
      </x:c>
      <x:c r="V145" s="59" t="n">
        <x:f>V$8+(V$9-V$8)*H145</x:f>
        <x:v>0.8610893682606431</x:v>
      </x:c>
      <x:c r="W145" s="59" t="n">
        <x:f>IF(B145&lt;$H$8,0,W$8+(W$9-W$8)*H145)</x:f>
        <x:v>0.21478582434752416</x:v>
      </x:c>
      <x:c r="X145" s="59" t="n">
        <x:f>X$8+(X$9-X$8)*H145</x:f>
        <x:v>0.42266525423892287</x:v>
      </x:c>
      <x:c r="Y145" s="59" t="n">
        <x:f>Y$8+(Y$9-Y$8)*G145</x:f>
        <x:v>1</x:v>
      </x:c>
      <x:c r="Z145" s="59" t="n">
        <x:f>Z$8+(Z$9-Z$8)*H145</x:f>
        <x:v>1</x:v>
      </x:c>
      <x:c r="AA145" s="59" t="n">
        <x:f>AA$8+(AA$9-AA$8)*I145</x:f>
        <x:v>1</x:v>
      </x:c>
      <x:c r="AB145" s="59" t="n">
        <x:f>AB$8+(AB$9-AB$8)*J145</x:f>
        <x:v>1</x:v>
      </x:c>
      <x:c r="AC145" s="59" t="n">
        <x:f>AC$8+(AC$9-AC$8)*MAX(K145,L145)</x:f>
        <x:v>1</x:v>
      </x:c>
      <x:c r="AD145" s="59" t="n">
        <x:f>(V145*AE145+W145*AF145+X145*AG145)*PRODUCT(Y145:AC145)</x:f>
        <x:v>1.632524167775519</x:v>
      </x:c>
      <x:c r="AE145" s="59" t="n">
        <x:f>1+AE$9*($H$10*H145+$I$10*I145+$J$10*J145+$K$10*K145+$L$10*L145)</x:f>
        <x:v>1</x:v>
      </x:c>
      <x:c r="AF145" s="59" t="n">
        <x:f>1+AF$9*($H$10*H145+$I$10*I145+$J$10*J145+$K$10*K145+$L$10*L145)</x:f>
        <x:v>1.139009962459805</x:v>
      </x:c>
      <x:c r="AG145" s="59" t="n">
        <x:f>1+AG$9*($H$10*H145+$I$10*I145+$J$10*J145+$K$10*K145+$L$10*L145)</x:f>
        <x:v>1.2463565445815452</x:v>
      </x:c>
      <x:c r="AH145" s="59" t="n">
        <x:f>MIN(1,'_曲线基线'!$L$3+AH$9*($H$10*H145+$I$10*I145+$J$10*J145+$K$10*K145+$L$10*L145))</x:f>
        <x:v>0.36624766459605596</x:v>
      </x:c>
      <x:c r="AI145" s="59" t="n">
        <x:f>'_曲线基线'!$L$4+AI$9*($H$10*H145+$I$10*I145+$J$10*J145+$K$10*K145+$L$10*L145)</x:f>
        <x:v>2.880975637089013</x:v>
      </x:c>
      <x:c r="AJ145" s="59" t="n">
        <x:f>1+AJ$9*($H$10*H145+$I$10*I145+$J$10*J145+$K$10*K145+$L$10*L145)</x:f>
        <x:v>1.7228518047909853</x:v>
      </x:c>
      <x:c r="AK145" s="59" t="n">
        <x:f>(1+AH145*(AI145-1))*AJ145</x:f>
        <x:v>2.9097294683823907</x:v>
      </x:c>
      <x:c r="AL145" s="59" t="n">
        <x:f>U145*AD145*AK145*F145</x:f>
        <x:v>804899.7128356902</x:v>
      </x:c>
      <x:c r="AM145" s="59" t="n">
        <x:f>IF($B145&lt;AM$8,0,AM$3+(AM$4-AM$3)*(POWER(AM$5,$B145-AM$8)-1)/(POWER(AM$5,$C$5-AM$8)-1))</x:f>
        <x:v>38.70002964521083</x:v>
      </x:c>
      <x:c r="AN145" s="59" t="n">
        <x:f>(((E145*'模块规划'!$D$10+G145*'模块规划'!$D$11+H145*'模块规划'!$D$13)*(1+'模块规划'!$G$14*H145)+(I145*'模块规划'!$D$15+J145*'模块规划'!$D$17+K145*'模块规划'!$D$16+L145*'模块规划'!$D$18))*(1+'模块规划'!$J$17*J145))*F145/(1-Q145)</x:f>
        <x:v>1304666.1451855558</x:v>
      </x:c>
      <x:c r="AO145" s="59" t="n">
        <x:f>AL145*AM145</x:f>
        <x:v>31149642.7481629</x:v>
      </x:c>
      <x:c r="AP145" s="61" t="n">
        <x:f>IF(AO145="","",INDEX('_曲线基线'!$A$3:$A$502,MIN(ROWS('_曲线基线'!$A$3:$A$502),COUNTIF('_曲线基线'!$E$3:$E$502,"&lt;"&amp;AO145)+1)))</x:f>
        <x:v>210</x:v>
      </x:c>
      <x:c r="AQ145" s="61" t="n">
        <x:f>IF(B145&lt;=2,1,IF(B145&lt;=6,2,IF(B145&lt;=9,3,IF(B145&lt;=19,4,5))))</x:f>
        <x:v>5</x:v>
      </x:c>
      <x:c r="AR145" s="59" t="n">
        <x:f>AN145*(1-Q145)/F145*$AS$3+U145*$AS$4+P145*$AS$5</x:f>
        <x:v>10810.029603199448</x:v>
      </x:c>
      <x:c r="AS145" s="59" t="n">
        <x:f>1+AH145*$AS$6+AI145*$AS$7+(AJ145-1)*$AS$8+($H$10*H145+$I$10*I145+$J$10*J145+$K$10*K145+$L$10*L145)*$AU$3*$AS$9+($H$10*H145+$I$10*I145+$J$10*J145+$K$10*K145+$L$10*L145)*$AU$4*$AS$10</x:f>
        <x:v>13.287583207043184</x:v>
      </x:c>
      <x:c r="AT145" s="60" t="n">
        <x:f>ROUND(AR145*AS145,0)</x:f>
        <x:v>143639</x:v>
      </x:c>
      <x:c r="AU145" s="60" t="n">
        <x:f>ROUND(AT145*F145,0)</x:f>
        <x:v>718195</x:v>
      </x:c>
      <x:c r="AV145" s="60" t="n">
        <x:f>MIN(MATCH(B145,'主线调参'!$M$11:$M$62,1),ROWS('主线调参'!$M$11:$M$62)-1)</x:f>
        <x:v>33</x:v>
      </x:c>
      <x:c r="AW145" s="62" t="n">
        <x:f>(B145-INDEX('主线调参'!$M$11:$M$62,AV145))/(INDEX('主线调参'!$M$11:$M$62,AV145+1)-INDEX('主线调参'!$M$11:$M$62,AV145))</x:f>
        <x:v>0.2857142857142857</x:v>
      </x:c>
      <x:c r="AX145" s="60" t="n">
        <x:f>IF(AU145=0,0,ROUND(AU145,2-INT(LOG10(ABS(AU145)))))</x:f>
        <x:v>718000</x:v>
      </x:c>
      <x:c r="AY145" s="62" t="n">
        <x:f>AU145/AU144-1</x:f>
        <x:v>0.011421167888351347</x:v>
      </x:c>
    </x:row>
    <x:row r="146" ht="25" customHeight="1">
      <x:c r="A146" s="40" t="str">
        <x:f>'调前玩家曲线'!A146</x:f>
      </x:c>
      <x:c r="B146" s="40" t="n">
        <x:f>'调前玩家曲线'!B146</x:f>
        <x:v>135</x:v>
      </x:c>
      <x:c r="C146" s="40" t="n">
        <x:f>'调前玩家曲线'!C146</x:f>
        <x:v>10</x:v>
      </x:c>
      <x:c r="D146" s="40" t="n">
        <x:f>'调前玩家曲线'!D146</x:f>
        <x:v>6</x:v>
      </x:c>
      <x:c r="E146" s="40" t="n">
        <x:f>'调前玩家曲线'!E146</x:f>
        <x:v>1</x:v>
      </x:c>
      <x:c r="F146" s="40" t="n">
        <x:f>'调前玩家曲线'!F146</x:f>
        <x:v>5</x:v>
      </x:c>
      <x:c r="G146" s="63" t="n">
        <x:f>IF(B146&lt;$G$8,0,(INDEX('主线调参'!$C$11:$C$62,$AV146)+(INDEX('主线调参'!$C$11:$C$62,$AV146+1)-INDEX('主线调参'!$C$11:$C$62,$AV146))*$AW146)*'参数说明'!$C$27)</x:f>
        <x:v>0.6871811044336839</x:v>
      </x:c>
      <x:c r="H146" s="63" t="n">
        <x:f>IF(B146&lt;$H$8,0,(INDEX('主线调参'!$D$11:$D$62,$AV146)+(INDEX('主线调参'!$D$11:$D$62,$AV146+1)-INDEX('主线调参'!$D$11:$D$62,$AV146))*$AW146)*'参数说明'!$D$27)</x:f>
        <x:v>0.5386368965202065</x:v>
      </x:c>
      <x:c r="I146" s="63" t="n">
        <x:f>IF(B146&lt;$I$8,0,(INDEX('主线调参'!$E$11:$E$62,$AV146)+(INDEX('主线调参'!$E$11:$E$62,$AV146+1)-INDEX('主线调参'!$E$11:$E$62,$AV146))*$AW146)*'参数说明'!$E$27)</x:f>
        <x:v>0.39982683990355744</x:v>
      </x:c>
      <x:c r="J146" s="63" t="n">
        <x:f>IF(B146&lt;$J$8,0,(INDEX('主线调参'!$F$11:$F$62,$AV146)+(INDEX('主线调参'!$F$11:$F$62,$AV146+1)-INDEX('主线调参'!$F$11:$F$62,$AV146))*$AW146)*'参数说明'!$F$27)</x:f>
        <x:v>0.4193195552985541</x:v>
      </x:c>
      <x:c r="K146" s="63" t="n">
        <x:f>IF(B146&lt;$K$8,0,(INDEX('主线调参'!$G$11:$G$62,$AV146)+(INDEX('主线调参'!$G$11:$G$62,$AV146+1)-INDEX('主线调参'!$G$11:$G$62,$AV146))*$AW146)*'参数说明'!$G$27)</x:f>
        <x:v>0.2685517570643622</x:v>
      </x:c>
      <x:c r="L146" s="63" t="n">
        <x:f>IF(B146&lt;$L$8,0,(INDEX('主线调参'!$H$11:$H$62,$AV146)+(INDEX('主线调参'!$H$11:$H$62,$AV146+1)-INDEX('主线调参'!$H$11:$H$62,$AV146))*$AW146)*'参数说明'!$H$27)</x:f>
        <x:v>0.5271176733088992</x:v>
      </x:c>
      <x:c r="M146" s="59" t="n">
        <x:f>E146*'模块规划'!$F$10+G146*'模块规划'!$F$11+H146*'模块规划'!$F$13</x:f>
        <x:v>4298.469301281682</x:v>
      </x:c>
      <x:c r="N146" s="59" t="n">
        <x:f>I146*'模块规划'!$F$15+J146*'模块规划'!$F$17+K146*'模块规划'!$F$16+L146*'模块规划'!$F$18</x:f>
        <x:v>11638.709181144668</x:v>
      </x:c>
      <x:c r="O146" s="59" t="n">
        <x:f>1+O$9*SUMPRODUCT($H$10:$L$10,H146:L146)/SUM($H$10:$L$10)</x:f>
        <x:v>2.5852460466134284</x:v>
      </x:c>
      <x:c r="P146" s="59" t="n">
        <x:f>M146*O146+N146</x:f>
        <x:v>22751.309948772323</x:v>
      </x:c>
      <x:c r="Q146" s="59" t="n">
        <x:f>P146/(P146+'_曲线基线'!$L$2)</x:f>
        <x:v>0.4866454003898936</x:v>
      </x:c>
      <x:c r="R146" s="59" t="n">
        <x:f>E146*'模块规划'!$E$10+G146*'模块规划'!$E$11+H146*'模块规划'!$E$13</x:f>
        <x:v>6447.703951922524</x:v>
      </x:c>
      <x:c r="S146" s="59" t="n">
        <x:f>I146*'模块规划'!$E$15+J146*'模块规划'!$E$17+K146*'模块规划'!$E$16+L146*'模块规划'!$E$18</x:f>
        <x:v>17458.063771717003</x:v>
      </x:c>
      <x:c r="T146" s="59" t="n">
        <x:f>1+T$9*SUMPRODUCT($H$10:$L$10,H146:L146)/SUM($H$10:$L$10)</x:f>
        <x:v>2.5852460466134284</x:v>
      </x:c>
      <x:c r="U146" s="59" t="n">
        <x:f>R146*T146+S146</x:f>
        <x:v>34126.964923158484</x:v>
      </x:c>
      <x:c r="V146" s="59" t="n">
        <x:f>V$8+(V$9-V$8)*H146</x:f>
        <x:v>0.861591068956062</x:v>
      </x:c>
      <x:c r="W146" s="59" t="n">
        <x:f>IF(B146&lt;$H$8,0,W$8+(W$9-W$8)*H146)</x:f>
        <x:v>0.2154547586080826</x:v>
      </x:c>
      <x:c r="X146" s="59" t="n">
        <x:f>X$8+(X$9-X$8)*H146</x:f>
        <x:v>0.42312514654305683</x:v>
      </x:c>
      <x:c r="Y146" s="59" t="n">
        <x:f>Y$8+(Y$9-Y$8)*G146</x:f>
        <x:v>1</x:v>
      </x:c>
      <x:c r="Z146" s="59" t="n">
        <x:f>Z$8+(Z$9-Z$8)*H146</x:f>
        <x:v>1</x:v>
      </x:c>
      <x:c r="AA146" s="59" t="n">
        <x:f>AA$8+(AA$9-AA$8)*I146</x:f>
        <x:v>1</x:v>
      </x:c>
      <x:c r="AB146" s="59" t="n">
        <x:f>AB$8+(AB$9-AB$8)*J146</x:f>
        <x:v>1</x:v>
      </x:c>
      <x:c r="AC146" s="59" t="n">
        <x:f>AC$8+(AC$9-AC$8)*MAX(K146,L146)</x:f>
        <x:v>1</x:v>
      </x:c>
      <x:c r="AD146" s="59" t="n">
        <x:f>(V146*AE146+W146*AF146+X146*AG146)*PRODUCT(Y146:AC146)</x:f>
        <x:v>1.6352321319261567</x:v>
      </x:c>
      <x:c r="AE146" s="59" t="n">
        <x:f>1+AE$9*($H$10*H146+$I$10*I146+$J$10*J146+$K$10*K146+$L$10*L146)</x:f>
        <x:v>1</x:v>
      </x:c>
      <x:c r="AF146" s="59" t="n">
        <x:f>1+AF$9*($H$10*H146+$I$10*I146+$J$10*J146+$K$10*K146+$L$10*L146)</x:f>
        <x:v>1.1399124041140598</x:v>
      </x:c>
      <x:c r="AG146" s="59" t="n">
        <x:f>1+AG$9*($H$10*H146+$I$10*I146+$J$10*J146+$K$10*K146+$L$10*L146)</x:f>
        <x:v>1.2479558717354746</x:v>
      </x:c>
      <x:c r="AH146" s="59" t="n">
        <x:f>MIN(1,'_曲线基线'!$L$3+AH$9*($H$10*H146+$I$10*I146+$J$10*J146+$K$10*K146+$L$10*L146))</x:f>
        <x:v>0.3683007193594857</x:v>
      </x:c>
      <x:c r="AI146" s="59" t="n">
        <x:f>'_曲线基线'!$L$4+AI$9*($H$10*H146+$I$10*I146+$J$10*J146+$K$10*K146+$L$10*L146)</x:f>
        <x:v>2.8866948610728533</x:v>
      </x:c>
      <x:c r="AJ146" s="59" t="n">
        <x:f>1+AJ$9*($H$10*H146+$I$10*I146+$J$10*J146+$K$10*K146+$L$10*L146)</x:f>
        <x:v>1.7275445013931103</x:v>
      </x:c>
      <x:c r="AK146" s="59" t="n">
        <x:f>(1+AH146*(AI146-1))*AJ146</x:f>
        <x:v>2.9279652054004073</x:v>
      </x:c>
      <x:c r="AL146" s="59" t="n">
        <x:f>U146*AD146*AK146*F146</x:f>
        <x:v>816982.9520014873</x:v>
      </x:c>
      <x:c r="AM146" s="59" t="n">
        <x:f>IF($B146&lt;AM$8,0,AM$3+(AM$4-AM$3)*(POWER(AM$5,$B146-AM$8)-1)/(POWER(AM$5,$C$5-AM$8)-1))</x:f>
        <x:v>38.75045458158481</x:v>
      </x:c>
      <x:c r="AN146" s="59" t="n">
        <x:f>(((E146*'模块规划'!$D$10+G146*'模块规划'!$D$11+H146*'模块规划'!$D$13)*(1+'模块规划'!$G$14*H146)+(I146*'模块规划'!$D$15+J146*'模块规划'!$D$17+K146*'模块规划'!$D$16+L146*'模块规划'!$D$18))*(1+'模块规划'!$J$17*J146))*F146/(1-Q146)</x:f>
        <x:v>1319205.6226701643</x:v>
      </x:c>
      <x:c r="AO146" s="59" t="n">
        <x:f>AL146*AM146</x:f>
        <x:v>31658460.775462717</x:v>
      </x:c>
      <x:c r="AP146" s="61" t="n">
        <x:f>IF(AO146="","",INDEX('_曲线基线'!$A$3:$A$502,MIN(ROWS('_曲线基线'!$A$3:$A$502),COUNTIF('_曲线基线'!$E$3:$E$502,"&lt;"&amp;AO146)+1)))</x:f>
        <x:v>211</x:v>
      </x:c>
      <x:c r="AQ146" s="61" t="n">
        <x:f>IF(B146&lt;=2,1,IF(B146&lt;=6,2,IF(B146&lt;=9,3,IF(B146&lt;=19,4,5))))</x:f>
        <x:v>5</x:v>
      </x:c>
      <x:c r="AR146" s="59" t="n">
        <x:f>AN146*(1-Q146)/F146*$AS$3+U146*$AS$4+P146*$AS$5</x:f>
        <x:v>10888.714630007156</x:v>
      </x:c>
      <x:c r="AS146" s="59" t="n">
        <x:f>1+AH146*$AS$6+AI146*$AS$7+(AJ146-1)*$AS$8+($H$10*H146+$I$10*I146+$J$10*J146+$K$10*K146+$L$10*L146)*$AU$3*$AS$9+($H$10*H146+$I$10*I146+$J$10*J146+$K$10*K146+$L$10*L146)*$AU$4*$AS$10</x:f>
        <x:v>13.341505121284241</x:v>
      </x:c>
      <x:c r="AT146" s="60" t="n">
        <x:f>ROUND(AR146*AS146,0)</x:f>
        <x:v>145272</x:v>
      </x:c>
      <x:c r="AU146" s="60" t="n">
        <x:f>ROUND(AT146*F146,0)</x:f>
        <x:v>726360</x:v>
      </x:c>
      <x:c r="AV146" s="60" t="n">
        <x:f>MIN(MATCH(B146,'主线调参'!$M$11:$M$62,1),ROWS('主线调参'!$M$11:$M$62)-1)</x:f>
        <x:v>33</x:v>
      </x:c>
      <x:c r="AW146" s="62" t="n">
        <x:f>(B146-INDEX('主线调参'!$M$11:$M$62,AV146))/(INDEX('主线调参'!$M$11:$M$62,AV146+1)-INDEX('主线调参'!$M$11:$M$62,AV146))</x:f>
        <x:v>0.35714285714285715</x:v>
      </x:c>
      <x:c r="AX146" s="60" t="n">
        <x:f>IF(AU146=0,0,ROUND(AU146,2-INT(LOG10(ABS(AU146)))))</x:f>
        <x:v>726000</x:v>
      </x:c>
      <x:c r="AY146" s="62" t="n">
        <x:f>AU146/AU145-1</x:f>
        <x:v>0.011368778674315516</x:v>
      </x:c>
    </x:row>
    <x:row r="147" ht="25" customHeight="1">
      <x:c r="A147" s="40" t="str">
        <x:f>'调前玩家曲线'!A147</x:f>
      </x:c>
      <x:c r="B147" s="40" t="n">
        <x:f>'调前玩家曲线'!B147</x:f>
        <x:v>136</x:v>
      </x:c>
      <x:c r="C147" s="40" t="n">
        <x:f>'调前玩家曲线'!C147</x:f>
        <x:v>10</x:v>
      </x:c>
      <x:c r="D147" s="40" t="n">
        <x:f>'调前玩家曲线'!D147</x:f>
        <x:v>7</x:v>
      </x:c>
      <x:c r="E147" s="40" t="n">
        <x:f>'调前玩家曲线'!E147</x:f>
        <x:v>1</x:v>
      </x:c>
      <x:c r="F147" s="40" t="n">
        <x:f>'调前玩家曲线'!F147</x:f>
        <x:v>5</x:v>
      </x:c>
      <x:c r="G147" s="63" t="n">
        <x:f>IF(B147&lt;$G$8,0,(INDEX('主线调参'!$C$11:$C$62,$AV147)+(INDEX('主线调参'!$C$11:$C$62,$AV147+1)-INDEX('主线调参'!$C$11:$C$62,$AV147))*$AW147)*'参数说明'!$C$27)</x:f>
        <x:v>0.6893382330715457</x:v>
      </x:c>
      <x:c r="H147" s="63" t="n">
        <x:f>IF(B147&lt;$H$8,0,(INDEX('主线调参'!$D$11:$D$62,$AV147)+(INDEX('主线调参'!$D$11:$D$62,$AV147+1)-INDEX('主线调参'!$D$11:$D$62,$AV147))*$AW147)*'参数说明'!$D$27)</x:f>
        <x:v>0.5403092321716028</x:v>
      </x:c>
      <x:c r="I147" s="63" t="n">
        <x:f>IF(B147&lt;$I$8,0,(INDEX('主线调参'!$E$11:$E$62,$AV147)+(INDEX('主线调参'!$E$11:$E$62,$AV147+1)-INDEX('主线调参'!$E$11:$E$62,$AV147))*$AW147)*'参数说明'!$E$27)</x:f>
        <x:v>0.4029828179759578</x:v>
      </x:c>
      <x:c r="J147" s="63" t="n">
        <x:f>IF(B147&lt;$J$8,0,(INDEX('主线调参'!$F$11:$F$62,$AV147)+(INDEX('主线调参'!$F$11:$F$62,$AV147+1)-INDEX('主线调参'!$F$11:$F$62,$AV147))*$AW147)*'参数说明'!$F$27)</x:f>
        <x:v>0.4212870167968604</x:v>
      </x:c>
      <x:c r="K147" s="63" t="n">
        <x:f>IF(B147&lt;$K$8,0,(INDEX('主线调参'!$G$11:$G$62,$AV147)+(INDEX('主线调参'!$G$11:$G$62,$AV147+1)-INDEX('主线调参'!$G$11:$G$62,$AV147))*$AW147)*'参数说明'!$G$27)</x:f>
        <x:v>0.2741785147731889</x:v>
      </x:c>
      <x:c r="L147" s="63" t="n">
        <x:f>IF(B147&lt;$L$8,0,(INDEX('主线调参'!$H$11:$H$62,$AV147)+(INDEX('主线调参'!$H$11:$H$62,$AV147+1)-INDEX('主线调参'!$H$11:$H$62,$AV147))*$AW147)*'参数说明'!$H$27)</x:f>
        <x:v>0.52897882978153</x:v>
      </x:c>
      <x:c r="M147" s="59" t="n">
        <x:f>E147*'模块规划'!$F$10+G147*'模块规划'!$F$11+H147*'模块规划'!$F$13</x:f>
        <x:v>4308.82351874342</x:v>
      </x:c>
      <x:c r="N147" s="59" t="n">
        <x:f>I147*'模块规划'!$F$15+J147*'模块规划'!$F$17+K147*'模块规划'!$F$16+L147*'模块规划'!$F$18</x:f>
        <x:v>11726.69794932305</x:v>
      </x:c>
      <x:c r="O147" s="59" t="n">
        <x:f>1+O$9*SUMPRODUCT($H$10:$L$10,H147:L147)/SUM($H$10:$L$10)</x:f>
        <x:v>2.5954709589345732</x:v>
      </x:c>
      <x:c r="P147" s="59" t="n">
        <x:f>M147*O147+N147</x:f>
        <x:v>22910.124259395878</x:v>
      </x:c>
      <x:c r="Q147" s="59" t="n">
        <x:f>P147/(P147+'_曲线基线'!$L$2)</x:f>
        <x:v>0.48838336331643994</x:v>
      </x:c>
      <x:c r="R147" s="59" t="n">
        <x:f>E147*'模块规划'!$E$10+G147*'模块规划'!$E$11+H147*'模块规划'!$E$13</x:f>
        <x:v>6463.235278115129</x:v>
      </x:c>
      <x:c r="S147" s="59" t="n">
        <x:f>I147*'模块规划'!$E$15+J147*'模块规划'!$E$17+K147*'模块规划'!$E$16+L147*'模块规划'!$E$18</x:f>
        <x:v>17590.046923984577</x:v>
      </x:c>
      <x:c r="T147" s="59" t="n">
        <x:f>1+T$9*SUMPRODUCT($H$10:$L$10,H147:L147)/SUM($H$10:$L$10)</x:f>
        <x:v>2.5954709589345732</x:v>
      </x:c>
      <x:c r="U147" s="59" t="n">
        <x:f>R147*T147+S147</x:f>
        <x:v>34365.18638909381</x:v>
      </x:c>
      <x:c r="V147" s="59" t="n">
        <x:f>V$8+(V$9-V$8)*H147</x:f>
        <x:v>0.8620927696514809</x:v>
      </x:c>
      <x:c r="W147" s="59" t="n">
        <x:f>IF(B147&lt;$H$8,0,W$8+(W$9-W$8)*H147)</x:f>
        <x:v>0.2161236928686411</x:v>
      </x:c>
      <x:c r="X147" s="59" t="n">
        <x:f>X$8+(X$9-X$8)*H147</x:f>
        <x:v>0.4235850388471908</x:v>
      </x:c>
      <x:c r="Y147" s="59" t="n">
        <x:f>Y$8+(Y$9-Y$8)*G147</x:f>
        <x:v>1</x:v>
      </x:c>
      <x:c r="Z147" s="59" t="n">
        <x:f>Z$8+(Z$9-Z$8)*H147</x:f>
        <x:v>1</x:v>
      </x:c>
      <x:c r="AA147" s="59" t="n">
        <x:f>AA$8+(AA$9-AA$8)*I147</x:f>
        <x:v>1</x:v>
      </x:c>
      <x:c r="AB147" s="59" t="n">
        <x:f>AB$8+(AB$9-AB$8)*J147</x:f>
        <x:v>1</x:v>
      </x:c>
      <x:c r="AC147" s="59" t="n">
        <x:f>AC$8+(AC$9-AC$8)*MAX(K147,L147)</x:f>
        <x:v>1</x:v>
      </x:c>
      <x:c r="AD147" s="59" t="n">
        <x:f>(V147*AE147+W147*AF147+X147*AG147)*PRODUCT(Y147:AC147)</x:f>
        <x:v>1.6379427744615758</x:v>
      </x:c>
      <x:c r="AE147" s="59" t="n">
        <x:f>1+AE$9*($H$10*H147+$I$10*I147+$J$10*J147+$K$10*K147+$L$10*L147)</x:f>
        <x:v>1</x:v>
      </x:c>
      <x:c r="AF147" s="59" t="n">
        <x:f>1+AF$9*($H$10*H147+$I$10*I147+$J$10*J147+$K$10*K147+$L$10*L147)</x:f>
        <x:v>1.1408148457683147</x:v>
      </x:c>
      <x:c r="AG147" s="59" t="n">
        <x:f>1+AG$9*($H$10*H147+$I$10*I147+$J$10*J147+$K$10*K147+$L$10*L147)</x:f>
        <x:v>1.249555198889404</x:v>
      </x:c>
      <x:c r="AH147" s="59" t="n">
        <x:f>MIN(1,'_曲线基线'!$L$3+AH$9*($H$10*H147+$I$10*I147+$J$10*J147+$K$10*K147+$L$10*L147))</x:f>
        <x:v>0.37035377412291554</x:v>
      </x:c>
      <x:c r="AI147" s="59" t="n">
        <x:f>'_曲线基线'!$L$4+AI$9*($H$10*H147+$I$10*I147+$J$10*J147+$K$10*K147+$L$10*L147)</x:f>
        <x:v>2.8924140850566933</x:v>
      </x:c>
      <x:c r="AJ147" s="59" t="n">
        <x:f>1+AJ$9*($H$10*H147+$I$10*I147+$J$10*J147+$K$10*K147+$L$10*L147)</x:f>
        <x:v>1.7322371979952356</x:v>
      </x:c>
      <x:c r="AK147" s="59" t="n">
        <x:f>(1+AH147*(AI147-1))*AJ147</x:f>
        <x:v>2.946297635204599</x:v>
      </x:c>
      <x:c r="AL147" s="59" t="n">
        <x:f>U147*AD147*AK147*F147</x:f>
        <x:v>829209.0814887041</x:v>
      </x:c>
      <x:c r="AM147" s="59" t="n">
        <x:f>IF($B147&lt;AM$8,0,AM$3+(AM$4-AM$3)*(POWER(AM$5,$B147-AM$8)-1)/(POWER(AM$5,$C$5-AM$8)-1))</x:f>
        <x:v>38.80138376732253</x:v>
      </x:c>
      <x:c r="AN147" s="59" t="n">
        <x:f>(((E147*'模块规划'!$D$10+G147*'模块规划'!$D$11+H147*'模块规划'!$D$13)*(1+'模块规划'!$G$14*H147)+(I147*'模块规划'!$D$15+J147*'模块规划'!$D$17+K147*'模块规划'!$D$16+L147*'模块规划'!$D$18))*(1+'模块规划'!$J$17*J147))*F147/(1-Q147)</x:f>
        <x:v>1333847.2690546806</x:v>
      </x:c>
      <x:c r="AO147" s="59" t="n">
        <x:f>AL147*AM147</x:f>
        <x:v>32174459.794192225</x:v>
      </x:c>
      <x:c r="AP147" s="61" t="n">
        <x:f>IF(AO147="","",INDEX('_曲线基线'!$A$3:$A$502,MIN(ROWS('_曲线基线'!$A$3:$A$502),COUNTIF('_曲线基线'!$E$3:$E$502,"&lt;"&amp;AO147)+1)))</x:f>
        <x:v>212</x:v>
      </x:c>
      <x:c r="AQ147" s="61" t="n">
        <x:f>IF(B147&lt;=2,1,IF(B147&lt;=6,2,IF(B147&lt;=9,3,IF(B147&lt;=19,4,5))))</x:f>
        <x:v>5</x:v>
      </x:c>
      <x:c r="AR147" s="59" t="n">
        <x:f>AN147*(1-Q147)/F147*$AS$3+U147*$AS$4+P147*$AS$5</x:f>
        <x:v>10967.547999678607</x:v>
      </x:c>
      <x:c r="AS147" s="59" t="n">
        <x:f>1+AH147*$AS$6+AI147*$AS$7+(AJ147-1)*$AS$8+($H$10*H147+$I$10*I147+$J$10*J147+$K$10*K147+$L$10*L147)*$AU$3*$AS$9+($H$10*H147+$I$10*I147+$J$10*J147+$K$10*K147+$L$10*L147)*$AU$4*$AS$10</x:f>
        <x:v>13.395427035525298</x:v>
      </x:c>
      <x:c r="AT147" s="60" t="n">
        <x:f>ROUND(AR147*AS147,0)</x:f>
        <x:v>146915</x:v>
      </x:c>
      <x:c r="AU147" s="60" t="n">
        <x:f>ROUND(AT147*F147,0)</x:f>
        <x:v>734575</x:v>
      </x:c>
      <x:c r="AV147" s="60" t="n">
        <x:f>MIN(MATCH(B147,'主线调参'!$M$11:$M$62,1),ROWS('主线调参'!$M$11:$M$62)-1)</x:f>
        <x:v>33</x:v>
      </x:c>
      <x:c r="AW147" s="62" t="n">
        <x:f>(B147-INDEX('主线调参'!$M$11:$M$62,AV147))/(INDEX('主线调参'!$M$11:$M$62,AV147+1)-INDEX('主线调参'!$M$11:$M$62,AV147))</x:f>
        <x:v>0.42857142857142855</x:v>
      </x:c>
      <x:c r="AX147" s="60" t="n">
        <x:f>IF(AU147=0,0,ROUND(AU147,2-INT(LOG10(ABS(AU147)))))</x:f>
        <x:v>735000</x:v>
      </x:c>
      <x:c r="AY147" s="62" t="n">
        <x:f>AU147/AU146-1</x:f>
        <x:v>0.011309818822622386</x:v>
      </x:c>
    </x:row>
    <x:row r="148" ht="25" customHeight="1">
      <x:c r="A148" s="40" t="str">
        <x:f>'调前玩家曲线'!A148</x:f>
      </x:c>
      <x:c r="B148" s="40" t="n">
        <x:f>'调前玩家曲线'!B148</x:f>
        <x:v>137</x:v>
      </x:c>
      <x:c r="C148" s="40" t="n">
        <x:f>'调前玩家曲线'!C148</x:f>
        <x:v>10</x:v>
      </x:c>
      <x:c r="D148" s="40" t="n">
        <x:f>'调前玩家曲线'!D148</x:f>
        <x:v>8</x:v>
      </x:c>
      <x:c r="E148" s="40" t="n">
        <x:f>'调前玩家曲线'!E148</x:f>
        <x:v>1</x:v>
      </x:c>
      <x:c r="F148" s="40" t="n">
        <x:f>'调前玩家曲线'!F148</x:f>
        <x:v>5</x:v>
      </x:c>
      <x:c r="G148" s="63" t="n">
        <x:f>IF(B148&lt;$G$8,0,(INDEX('主线调参'!$C$11:$C$62,$AV148)+(INDEX('主线调参'!$C$11:$C$62,$AV148+1)-INDEX('主线调参'!$C$11:$C$62,$AV148))*$AW148)*'参数说明'!$C$27)</x:f>
        <x:v>0.6914953617094074</x:v>
      </x:c>
      <x:c r="H148" s="63" t="n">
        <x:f>IF(B148&lt;$H$8,0,(INDEX('主线调参'!$D$11:$D$62,$AV148)+(INDEX('主线调参'!$D$11:$D$62,$AV148+1)-INDEX('主线调参'!$D$11:$D$62,$AV148))*$AW148)*'参数说明'!$D$27)</x:f>
        <x:v>0.541981567822999</x:v>
      </x:c>
      <x:c r="I148" s="63" t="n">
        <x:f>IF(B148&lt;$I$8,0,(INDEX('主线调参'!$E$11:$E$62,$AV148)+(INDEX('主线调参'!$E$11:$E$62,$AV148+1)-INDEX('主线调参'!$E$11:$E$62,$AV148))*$AW148)*'参数说明'!$E$27)</x:f>
        <x:v>0.4061387960483583</x:v>
      </x:c>
      <x:c r="J148" s="63" t="n">
        <x:f>IF(B148&lt;$J$8,0,(INDEX('主线调参'!$F$11:$F$62,$AV148)+(INDEX('主线调参'!$F$11:$F$62,$AV148+1)-INDEX('主线调参'!$F$11:$F$62,$AV148))*$AW148)*'参数说明'!$F$27)</x:f>
        <x:v>0.42325447829516677</x:v>
      </x:c>
      <x:c r="K148" s="63" t="n">
        <x:f>IF(B148&lt;$K$8,0,(INDEX('主线调参'!$G$11:$G$62,$AV148)+(INDEX('主线调参'!$G$11:$G$62,$AV148+1)-INDEX('主线调参'!$G$11:$G$62,$AV148))*$AW148)*'参数说明'!$G$27)</x:f>
        <x:v>0.27980527248201553</x:v>
      </x:c>
      <x:c r="L148" s="63" t="n">
        <x:f>IF(B148&lt;$L$8,0,(INDEX('主线调参'!$H$11:$H$62,$AV148)+(INDEX('主线调参'!$H$11:$H$62,$AV148+1)-INDEX('主线调参'!$H$11:$H$62,$AV148))*$AW148)*'参数说明'!$H$27)</x:f>
        <x:v>0.5308399862541608</x:v>
      </x:c>
      <x:c r="M148" s="59" t="n">
        <x:f>E148*'模块规划'!$F$10+G148*'模块规划'!$F$11+H148*'模块规划'!$F$13</x:f>
        <x:v>4319.177736205156</x:v>
      </x:c>
      <x:c r="N148" s="59" t="n">
        <x:f>I148*'模块规划'!$F$15+J148*'模块规划'!$F$17+K148*'模块规划'!$F$16+L148*'模块规划'!$F$18</x:f>
        <x:v>11814.686717501432</x:v>
      </x:c>
      <x:c r="O148" s="59" t="n">
        <x:f>1+O$9*SUMPRODUCT($H$10:$L$10,H148:L148)/SUM($H$10:$L$10)</x:f>
        <x:v>2.605695871255718</x:v>
      </x:c>
      <x:c r="P148" s="59" t="n">
        <x:f>M148*O148+N148</x:f>
        <x:v>23069.150311950827</x:v>
      </x:c>
      <x:c r="Q148" s="59" t="n">
        <x:f>P148/(P148+'_曲线基线'!$L$2)</x:f>
        <x:v>0.4901118919517352</x:v>
      </x:c>
      <x:c r="R148" s="59" t="n">
        <x:f>E148*'模块规划'!$E$10+G148*'模块规划'!$E$11+H148*'模块规划'!$E$13</x:f>
        <x:v>6478.766604307733</x:v>
      </x:c>
      <x:c r="S148" s="59" t="n">
        <x:f>I148*'模块规划'!$E$15+J148*'模块规划'!$E$17+K148*'模块规划'!$E$16+L148*'模块规划'!$E$18</x:f>
        <x:v>17722.030076252147</x:v>
      </x:c>
      <x:c r="T148" s="59" t="n">
        <x:f>1+T$9*SUMPRODUCT($H$10:$L$10,H148:L148)/SUM($H$10:$L$10)</x:f>
        <x:v>2.605695871255718</x:v>
      </x:c>
      <x:c r="U148" s="59" t="n">
        <x:f>R148*T148+S148</x:f>
        <x:v>34603.72546792624</x:v>
      </x:c>
      <x:c r="V148" s="59" t="n">
        <x:f>V$8+(V$9-V$8)*H148</x:f>
        <x:v>0.8625944703468997</x:v>
      </x:c>
      <x:c r="W148" s="59" t="n">
        <x:f>IF(B148&lt;$H$8,0,W$8+(W$9-W$8)*H148)</x:f>
        <x:v>0.2167926271291996</x:v>
      </x:c>
      <x:c r="X148" s="59" t="n">
        <x:f>X$8+(X$9-X$8)*H148</x:f>
        <x:v>0.4240449311513248</x:v>
      </x:c>
      <x:c r="Y148" s="59" t="n">
        <x:f>Y$8+(Y$9-Y$8)*G148</x:f>
        <x:v>1</x:v>
      </x:c>
      <x:c r="Z148" s="59" t="n">
        <x:f>Z$8+(Z$9-Z$8)*H148</x:f>
        <x:v>1</x:v>
      </x:c>
      <x:c r="AA148" s="59" t="n">
        <x:f>AA$8+(AA$9-AA$8)*I148</x:f>
        <x:v>1</x:v>
      </x:c>
      <x:c r="AB148" s="59" t="n">
        <x:f>AB$8+(AB$9-AB$8)*J148</x:f>
        <x:v>1</x:v>
      </x:c>
      <x:c r="AC148" s="59" t="n">
        <x:f>AC$8+(AC$9-AC$8)*MAX(K148,L148)</x:f>
        <x:v>1</x:v>
      </x:c>
      <x:c r="AD148" s="59" t="n">
        <x:f>(V148*AE148+W148*AF148+X148*AG148)*PRODUCT(Y148:AC148)</x:f>
        <x:v>1.6406560953817757</x:v>
      </x:c>
      <x:c r="AE148" s="59" t="n">
        <x:f>1+AE$9*($H$10*H148+$I$10*I148+$J$10*J148+$K$10*K148+$L$10*L148)</x:f>
        <x:v>1</x:v>
      </x:c>
      <x:c r="AF148" s="59" t="n">
        <x:f>1+AF$9*($H$10*H148+$I$10*I148+$J$10*J148+$K$10*K148+$L$10*L148)</x:f>
        <x:v>1.1417172874225696</x:v>
      </x:c>
      <x:c r="AG148" s="59" t="n">
        <x:f>1+AG$9*($H$10*H148+$I$10*I148+$J$10*J148+$K$10*K148+$L$10*L148)</x:f>
        <x:v>1.2511545260433334</x:v>
      </x:c>
      <x:c r="AH148" s="59" t="n">
        <x:f>MIN(1,'_曲线基线'!$L$3+AH$9*($H$10*H148+$I$10*I148+$J$10*J148+$K$10*K148+$L$10*L148))</x:f>
        <x:v>0.37240682888634535</x:v>
      </x:c>
      <x:c r="AI148" s="59" t="n">
        <x:f>'_曲线基线'!$L$4+AI$9*($H$10*H148+$I$10*I148+$J$10*J148+$K$10*K148+$L$10*L148)</x:f>
        <x:v>2.8981333090405332</x:v>
      </x:c>
      <x:c r="AJ148" s="59" t="n">
        <x:f>1+AJ$9*($H$10*H148+$I$10*I148+$J$10*J148+$K$10*K148+$L$10*L148)</x:f>
        <x:v>1.736929894597361</x:v>
      </x:c>
      <x:c r="AK148" s="59" t="n">
        <x:f>(1+AH148*(AI148-1))*AJ148</x:f>
        <x:v>2.96472708840145</x:v>
      </x:c>
      <x:c r="AL148" s="59" t="n">
        <x:f>U148*AD148*AK148*F148</x:f>
        <x:v>841579.4845875816</x:v>
      </x:c>
      <x:c r="AM148" s="59" t="n">
        <x:f>IF($B148&lt;AM$8,0,AM$3+(AM$4-AM$3)*(POWER(AM$5,$B148-AM$8)-1)/(POWER(AM$5,$C$5-AM$8)-1))</x:f>
        <x:v>38.85282224491762</x:v>
      </x:c>
      <x:c r="AN148" s="59" t="n">
        <x:f>(((E148*'模块规划'!$D$10+G148*'模块规划'!$D$11+H148*'模块规划'!$D$13)*(1+'模块规划'!$G$14*H148)+(I148*'模块规划'!$D$15+J148*'模块规划'!$D$17+K148*'模块规划'!$D$16+L148*'模块规划'!$D$18))*(1+'模块规划'!$J$17*J148))*F148/(1-Q148)</x:f>
        <x:v>1348591.513386218</x:v>
      </x:c>
      <x:c r="AO148" s="59" t="n">
        <x:f>AL148*AM148</x:f>
        <x:v>32697738.119650695</x:v>
      </x:c>
      <x:c r="AP148" s="61" t="n">
        <x:f>IF(AO148="","",INDEX('_曲线基线'!$A$3:$A$502,MIN(ROWS('_曲线基线'!$A$3:$A$502),COUNTIF('_曲线基线'!$E$3:$E$502,"&lt;"&amp;AO148)+1)))</x:f>
        <x:v>213</x:v>
      </x:c>
      <x:c r="AQ148" s="61" t="n">
        <x:f>IF(B148&lt;=2,1,IF(B148&lt;=6,2,IF(B148&lt;=9,3,IF(B148&lt;=19,4,5))))</x:f>
        <x:v>5</x:v>
      </x:c>
      <x:c r="AR148" s="59" t="n">
        <x:f>AN148*(1-Q148)/F148*$AS$3+U148*$AS$4+P148*$AS$5</x:f>
        <x:v>11046.529745327918</x:v>
      </x:c>
      <x:c r="AS148" s="59" t="n">
        <x:f>1+AH148*$AS$6+AI148*$AS$7+(AJ148-1)*$AS$8+($H$10*H148+$I$10*I148+$J$10*J148+$K$10*K148+$L$10*L148)*$AU$3*$AS$9+($H$10*H148+$I$10*I148+$J$10*J148+$K$10*K148+$L$10*L148)*$AU$4*$AS$10</x:f>
        <x:v>13.449348949766357</x:v>
      </x:c>
      <x:c r="AT148" s="60" t="n">
        <x:f>ROUND(AR148*AS148,0)</x:f>
        <x:v>148569</x:v>
      </x:c>
      <x:c r="AU148" s="60" t="n">
        <x:f>ROUND(AT148*F148,0)</x:f>
        <x:v>742845</x:v>
      </x:c>
      <x:c r="AV148" s="60" t="n">
        <x:f>MIN(MATCH(B148,'主线调参'!$M$11:$M$62,1),ROWS('主线调参'!$M$11:$M$62)-1)</x:f>
        <x:v>33</x:v>
      </x:c>
      <x:c r="AW148" s="62" t="n">
        <x:f>(B148-INDEX('主线调参'!$M$11:$M$62,AV148))/(INDEX('主线调参'!$M$11:$M$62,AV148+1)-INDEX('主线调参'!$M$11:$M$62,AV148))</x:f>
        <x:v>0.5</x:v>
      </x:c>
      <x:c r="AX148" s="60" t="n">
        <x:f>IF(AU148=0,0,ROUND(AU148,2-INT(LOG10(ABS(AU148)))))</x:f>
        <x:v>743000</x:v>
      </x:c>
      <x:c r="AY148" s="62" t="n">
        <x:f>AU148/AU147-1</x:f>
        <x:v>0.011258210529898172</x:v>
      </x:c>
    </x:row>
    <x:row r="149" ht="25" customHeight="1">
      <x:c r="A149" s="40" t="str">
        <x:f>'调前玩家曲线'!A149</x:f>
      </x:c>
      <x:c r="B149" s="40" t="n">
        <x:f>'调前玩家曲线'!B149</x:f>
        <x:v>138</x:v>
      </x:c>
      <x:c r="C149" s="40" t="n">
        <x:f>'调前玩家曲线'!C149</x:f>
        <x:v>10</x:v>
      </x:c>
      <x:c r="D149" s="40" t="n">
        <x:f>'调前玩家曲线'!D149</x:f>
        <x:v>9</x:v>
      </x:c>
      <x:c r="E149" s="40" t="n">
        <x:f>'调前玩家曲线'!E149</x:f>
        <x:v>1</x:v>
      </x:c>
      <x:c r="F149" s="40" t="n">
        <x:f>'调前玩家曲线'!F149</x:f>
        <x:v>5</x:v>
      </x:c>
      <x:c r="G149" s="63" t="n">
        <x:f>IF(B149&lt;$G$8,0,(INDEX('主线调参'!$C$11:$C$62,$AV149)+(INDEX('主线调参'!$C$11:$C$62,$AV149+1)-INDEX('主线调参'!$C$11:$C$62,$AV149))*$AW149)*'参数说明'!$C$27)</x:f>
        <x:v>0.6936524903472692</x:v>
      </x:c>
      <x:c r="H149" s="63" t="n">
        <x:f>IF(B149&lt;$H$8,0,(INDEX('主线调参'!$D$11:$D$62,$AV149)+(INDEX('主线调参'!$D$11:$D$62,$AV149+1)-INDEX('主线调参'!$D$11:$D$62,$AV149))*$AW149)*'参数说明'!$D$27)</x:f>
        <x:v>0.5436539034743951</x:v>
      </x:c>
      <x:c r="I149" s="63" t="n">
        <x:f>IF(B149&lt;$I$8,0,(INDEX('主线调参'!$E$11:$E$62,$AV149)+(INDEX('主线调参'!$E$11:$E$62,$AV149+1)-INDEX('主线调参'!$E$11:$E$62,$AV149))*$AW149)*'参数说明'!$E$27)</x:f>
        <x:v>0.4092947741207587</x:v>
      </x:c>
      <x:c r="J149" s="63" t="n">
        <x:f>IF(B149&lt;$J$8,0,(INDEX('主线调参'!$F$11:$F$62,$AV149)+(INDEX('主线调参'!$F$11:$F$62,$AV149+1)-INDEX('主线调参'!$F$11:$F$62,$AV149))*$AW149)*'参数说明'!$F$27)</x:f>
        <x:v>0.42522193979347306</x:v>
      </x:c>
      <x:c r="K149" s="63" t="n">
        <x:f>IF(B149&lt;$K$8,0,(INDEX('主线调参'!$G$11:$G$62,$AV149)+(INDEX('主线调参'!$G$11:$G$62,$AV149+1)-INDEX('主线调参'!$G$11:$G$62,$AV149))*$AW149)*'参数说明'!$G$27)</x:f>
        <x:v>0.28543203019084223</x:v>
      </x:c>
      <x:c r="L149" s="63" t="n">
        <x:f>IF(B149&lt;$L$8,0,(INDEX('主线调参'!$H$11:$H$62,$AV149)+(INDEX('主线调参'!$H$11:$H$62,$AV149+1)-INDEX('主线调参'!$H$11:$H$62,$AV149))*$AW149)*'参数说明'!$H$27)</x:f>
        <x:v>0.5327011427267917</x:v>
      </x:c>
      <x:c r="M149" s="59" t="n">
        <x:f>E149*'模块规划'!$F$10+G149*'模块规划'!$F$11+H149*'模块规划'!$F$13</x:f>
        <x:v>4329.531953666892</x:v>
      </x:c>
      <x:c r="N149" s="59" t="n">
        <x:f>I149*'模块规划'!$F$15+J149*'模块规划'!$F$17+K149*'模块规划'!$F$16+L149*'模块规划'!$F$18</x:f>
        <x:v>11902.675485679812</x:v>
      </x:c>
      <x:c r="O149" s="59" t="n">
        <x:f>1+O$9*SUMPRODUCT($H$10:$L$10,H149:L149)/SUM($H$10:$L$10)</x:f>
        <x:v>2.615920783576862</x:v>
      </x:c>
      <x:c r="P149" s="59" t="n">
        <x:f>M149*O149+N149</x:f>
        <x:v>23228.38810643717</x:v>
      </x:c>
      <x:c r="Q149" s="59" t="n">
        <x:f>P149/(P149+'_曲线基线'!$L$2)</x:f>
        <x:v>0.49183105834753593</x:v>
      </x:c>
      <x:c r="R149" s="59" t="n">
        <x:f>E149*'模块规划'!$E$10+G149*'模块规划'!$E$11+H149*'模块规划'!$E$13</x:f>
        <x:v>6494.297930500338</x:v>
      </x:c>
      <x:c r="S149" s="59" t="n">
        <x:f>I149*'模块规划'!$E$15+J149*'模块规划'!$E$17+K149*'模块规划'!$E$16+L149*'模块规划'!$E$18</x:f>
        <x:v>17854.013228519718</x:v>
      </x:c>
      <x:c r="T149" s="59" t="n">
        <x:f>1+T$9*SUMPRODUCT($H$10:$L$10,H149:L149)/SUM($H$10:$L$10)</x:f>
        <x:v>2.615920783576862</x:v>
      </x:c>
      <x:c r="U149" s="59" t="n">
        <x:f>R149*T149+S149</x:f>
        <x:v>34842.58215965576</x:v>
      </x:c>
      <x:c r="V149" s="59" t="n">
        <x:f>V$8+(V$9-V$8)*H149</x:f>
        <x:v>0.8630961710423185</x:v>
      </x:c>
      <x:c r="W149" s="59" t="n">
        <x:f>IF(B149&lt;$H$8,0,W$8+(W$9-W$8)*H149)</x:f>
        <x:v>0.21746156138975806</x:v>
      </x:c>
      <x:c r="X149" s="59" t="n">
        <x:f>X$8+(X$9-X$8)*H149</x:f>
        <x:v>0.4245048234554587</x:v>
      </x:c>
      <x:c r="Y149" s="59" t="n">
        <x:f>Y$8+(Y$9-Y$8)*G149</x:f>
        <x:v>1</x:v>
      </x:c>
      <x:c r="Z149" s="59" t="n">
        <x:f>Z$8+(Z$9-Z$8)*H149</x:f>
        <x:v>1</x:v>
      </x:c>
      <x:c r="AA149" s="59" t="n">
        <x:f>AA$8+(AA$9-AA$8)*I149</x:f>
        <x:v>1</x:v>
      </x:c>
      <x:c r="AB149" s="59" t="n">
        <x:f>AB$8+(AB$9-AB$8)*J149</x:f>
        <x:v>1</x:v>
      </x:c>
      <x:c r="AC149" s="59" t="n">
        <x:f>AC$8+(AC$9-AC$8)*MAX(K149,L149)</x:f>
        <x:v>1</x:v>
      </x:c>
      <x:c r="AD149" s="59" t="n">
        <x:f>(V149*AE149+W149*AF149+X149*AG149)*PRODUCT(Y149:AC149)</x:f>
        <x:v>1.643372094686757</x:v>
      </x:c>
      <x:c r="AE149" s="59" t="n">
        <x:f>1+AE$9*($H$10*H149+$I$10*I149+$J$10*J149+$K$10*K149+$L$10*L149)</x:f>
        <x:v>1</x:v>
      </x:c>
      <x:c r="AF149" s="59" t="n">
        <x:f>1+AF$9*($H$10*H149+$I$10*I149+$J$10*J149+$K$10*K149+$L$10*L149)</x:f>
        <x:v>1.1426197290768243</x:v>
      </x:c>
      <x:c r="AG149" s="59" t="n">
        <x:f>1+AG$9*($H$10*H149+$I$10*I149+$J$10*J149+$K$10*K149+$L$10*L149)</x:f>
        <x:v>1.2527538531972628</x:v>
      </x:c>
      <x:c r="AH149" s="59" t="n">
        <x:f>MIN(1,'_曲线基线'!$L$3+AH$9*($H$10*H149+$I$10*I149+$J$10*J149+$K$10*K149+$L$10*L149))</x:f>
        <x:v>0.3744598836497751</x:v>
      </x:c>
      <x:c r="AI149" s="59" t="n">
        <x:f>'_曲线基线'!$L$4+AI$9*($H$10*H149+$I$10*I149+$J$10*J149+$K$10*K149+$L$10*L149)</x:f>
        <x:v>2.9038525330243736</x:v>
      </x:c>
      <x:c r="AJ149" s="59" t="n">
        <x:f>1+AJ$9*($H$10*H149+$I$10*I149+$J$10*J149+$K$10*K149+$L$10*L149)</x:f>
        <x:v>1.7416225911994863</x:v>
      </x:c>
      <x:c r="AK149" s="59" t="n">
        <x:f>(1+AH149*(AI149-1))*AJ149</x:f>
        <x:v>2.9832538955974424</x:v>
      </x:c>
      <x:c r="AL149" s="59" t="n">
        <x:f>U149*AD149*AK149*F149</x:f>
        <x:v>854095.5550612314</x:v>
      </x:c>
      <x:c r="AM149" s="59" t="n">
        <x:f>IF($B149&lt;AM$8,0,AM$3+(AM$4-AM$3)*(POWER(AM$5,$B149-AM$8)-1)/(POWER(AM$5,$C$5-AM$8)-1))</x:f>
        <x:v>38.904775107288664</x:v>
      </x:c>
      <x:c r="AN149" s="59" t="n">
        <x:f>(((E149*'模块规划'!$D$10+G149*'模块规划'!$D$11+H149*'模块规划'!$D$13)*(1+'模块规划'!$G$14*H149)+(I149*'模块规划'!$D$15+J149*'模块规划'!$D$17+K149*'模块规划'!$D$16+L149*'模块规划'!$D$18))*(1+'模块规划'!$J$17*J149))*F149/(1-Q149)</x:f>
        <x:v>1363438.7856066977</x:v>
      </x:c>
      <x:c r="AO149" s="59" t="n">
        <x:f>AL149*AM149</x:f>
        <x:v>33228395.48979209</x:v>
      </x:c>
      <x:c r="AP149" s="61" t="n">
        <x:f>IF(AO149="","",INDEX('_曲线基线'!$A$3:$A$502,MIN(ROWS('_曲线基线'!$A$3:$A$502),COUNTIF('_曲线基线'!$E$3:$E$502,"&lt;"&amp;AO149)+1)))</x:f>
        <x:v>214</x:v>
      </x:c>
      <x:c r="AQ149" s="61" t="n">
        <x:f>IF(B149&lt;=2,1,IF(B149&lt;=6,2,IF(B149&lt;=9,3,IF(B149&lt;=19,4,5))))</x:f>
        <x:v>5</x:v>
      </x:c>
      <x:c r="AR149" s="59" t="n">
        <x:f>AN149*(1-Q149)/F149*$AS$3+U149*$AS$4+P149*$AS$5</x:f>
        <x:v>11125.65990006921</x:v>
      </x:c>
      <x:c r="AS149" s="59" t="n">
        <x:f>1+AH149*$AS$6+AI149*$AS$7+(AJ149-1)*$AS$8+($H$10*H149+$I$10*I149+$J$10*J149+$K$10*K149+$L$10*L149)*$AU$3*$AS$9+($H$10*H149+$I$10*I149+$J$10*J149+$K$10*K149+$L$10*L149)*$AU$4*$AS$10</x:f>
        <x:v>13.503270864007412</x:v>
      </x:c>
      <x:c r="AT149" s="60" t="n">
        <x:f>ROUND(AR149*AS149,0)</x:f>
        <x:v>150233</x:v>
      </x:c>
      <x:c r="AU149" s="60" t="n">
        <x:f>ROUND(AT149*F149,0)</x:f>
        <x:v>751165</x:v>
      </x:c>
      <x:c r="AV149" s="60" t="n">
        <x:f>MIN(MATCH(B149,'主线调参'!$M$11:$M$62,1),ROWS('主线调参'!$M$11:$M$62)-1)</x:f>
        <x:v>33</x:v>
      </x:c>
      <x:c r="AW149" s="62" t="n">
        <x:f>(B149-INDEX('主线调参'!$M$11:$M$62,AV149))/(INDEX('主线调参'!$M$11:$M$62,AV149+1)-INDEX('主线调参'!$M$11:$M$62,AV149))</x:f>
        <x:v>0.5714285714285714</x:v>
      </x:c>
      <x:c r="AX149" s="60" t="n">
        <x:f>IF(AU149=0,0,ROUND(AU149,2-INT(LOG10(ABS(AU149)))))</x:f>
        <x:v>751000</x:v>
      </x:c>
      <x:c r="AY149" s="62" t="n">
        <x:f>AU149/AU148-1</x:f>
        <x:v>0.011200183079915771</x:v>
      </x:c>
    </x:row>
    <x:row r="150" ht="25" customHeight="1">
      <x:c r="A150" s="40" t="str">
        <x:f>'调前玩家曲线'!A150</x:f>
      </x:c>
      <x:c r="B150" s="40" t="n">
        <x:f>'调前玩家曲线'!B150</x:f>
        <x:v>139</x:v>
      </x:c>
      <x:c r="C150" s="40" t="n">
        <x:f>'调前玩家曲线'!C150</x:f>
        <x:v>10</x:v>
      </x:c>
      <x:c r="D150" s="40" t="n">
        <x:f>'调前玩家曲线'!D150</x:f>
        <x:v>10</x:v>
      </x:c>
      <x:c r="E150" s="40" t="n">
        <x:f>'调前玩家曲线'!E150</x:f>
        <x:v>1</x:v>
      </x:c>
      <x:c r="F150" s="40" t="n">
        <x:f>'调前玩家曲线'!F150</x:f>
        <x:v>5</x:v>
      </x:c>
      <x:c r="G150" s="63" t="n">
        <x:f>IF(B150&lt;$G$8,0,(INDEX('主线调参'!$C$11:$C$62,$AV150)+(INDEX('主线调参'!$C$11:$C$62,$AV150+1)-INDEX('主线调参'!$C$11:$C$62,$AV150))*$AW150)*'参数说明'!$C$27)</x:f>
        <x:v>0.695809618985131</x:v>
      </x:c>
      <x:c r="H150" s="63" t="n">
        <x:f>IF(B150&lt;$H$8,0,(INDEX('主线调参'!$D$11:$D$62,$AV150)+(INDEX('主线调参'!$D$11:$D$62,$AV150+1)-INDEX('主线调参'!$D$11:$D$62,$AV150))*$AW150)*'参数说明'!$D$27)</x:f>
        <x:v>0.5453262391257913</x:v>
      </x:c>
      <x:c r="I150" s="63" t="n">
        <x:f>IF(B150&lt;$I$8,0,(INDEX('主线调参'!$E$11:$E$62,$AV150)+(INDEX('主线调参'!$E$11:$E$62,$AV150+1)-INDEX('主线调参'!$E$11:$E$62,$AV150))*$AW150)*'参数说明'!$E$27)</x:f>
        <x:v>0.4124507521931591</x:v>
      </x:c>
      <x:c r="J150" s="63" t="n">
        <x:f>IF(B150&lt;$J$8,0,(INDEX('主线调参'!$F$11:$F$62,$AV150)+(INDEX('主线调参'!$F$11:$F$62,$AV150+1)-INDEX('主线调参'!$F$11:$F$62,$AV150))*$AW150)*'参数说明'!$F$27)</x:f>
        <x:v>0.42718940129177935</x:v>
      </x:c>
      <x:c r="K150" s="63" t="n">
        <x:f>IF(B150&lt;$K$8,0,(INDEX('主线调参'!$G$11:$G$62,$AV150)+(INDEX('主线调参'!$G$11:$G$62,$AV150+1)-INDEX('主线调参'!$G$11:$G$62,$AV150))*$AW150)*'参数说明'!$G$27)</x:f>
        <x:v>0.29105878789966894</x:v>
      </x:c>
      <x:c r="L150" s="63" t="n">
        <x:f>IF(B150&lt;$L$8,0,(INDEX('主线调参'!$H$11:$H$62,$AV150)+(INDEX('主线调参'!$H$11:$H$62,$AV150+1)-INDEX('主线调参'!$H$11:$H$62,$AV150))*$AW150)*'参数说明'!$H$27)</x:f>
        <x:v>0.5345622991994224</x:v>
      </x:c>
      <x:c r="M150" s="59" t="n">
        <x:f>E150*'模块规划'!$F$10+G150*'模块规划'!$F$11+H150*'模块规划'!$F$13</x:f>
        <x:v>4339.886171128629</x:v>
      </x:c>
      <x:c r="N150" s="59" t="n">
        <x:f>I150*'模块规划'!$F$15+J150*'模块规划'!$F$17+K150*'模块规划'!$F$16+L150*'模块规划'!$F$18</x:f>
        <x:v>11990.664253858193</x:v>
      </x:c>
      <x:c r="O150" s="59" t="n">
        <x:f>1+O$9*SUMPRODUCT($H$10:$L$10,H150:L150)/SUM($H$10:$L$10)</x:f>
        <x:v>2.626145695898006</x:v>
      </x:c>
      <x:c r="P150" s="59" t="n">
        <x:f>M150*O150+N150</x:f>
        <x:v>23387.83764285492</x:v>
      </x:c>
      <x:c r="Q150" s="59" t="n">
        <x:f>P150/(P150+'_曲线基线'!$L$2)</x:f>
        <x:v>0.493540933838776</x:v>
      </x:c>
      <x:c r="R150" s="59" t="n">
        <x:f>E150*'模块规划'!$E$10+G150*'模块规划'!$E$11+H150*'模块规划'!$E$13</x:f>
        <x:v>6509.829256692944</x:v>
      </x:c>
      <x:c r="S150" s="59" t="n">
        <x:f>I150*'模块规划'!$E$15+J150*'模块规划'!$E$17+K150*'模块规划'!$E$16+L150*'模块规划'!$E$18</x:f>
        <x:v>17985.99638078729</x:v>
      </x:c>
      <x:c r="T150" s="59" t="n">
        <x:f>1+T$9*SUMPRODUCT($H$10:$L$10,H150:L150)/SUM($H$10:$L$10)</x:f>
        <x:v>2.626145695898006</x:v>
      </x:c>
      <x:c r="U150" s="59" t="n">
        <x:f>R150*T150+S150</x:f>
        <x:v>35081.75646428238</x:v>
      </x:c>
      <x:c r="V150" s="59" t="n">
        <x:f>V$8+(V$9-V$8)*H150</x:f>
        <x:v>0.8635978717377374</x:v>
      </x:c>
      <x:c r="W150" s="59" t="n">
        <x:f>IF(B150&lt;$H$8,0,W$8+(W$9-W$8)*H150)</x:f>
        <x:v>0.2181304956503165</x:v>
      </x:c>
      <x:c r="X150" s="59" t="n">
        <x:f>X$8+(X$9-X$8)*H150</x:f>
        <x:v>0.4249647157595926</x:v>
      </x:c>
      <x:c r="Y150" s="59" t="n">
        <x:f>Y$8+(Y$9-Y$8)*G150</x:f>
        <x:v>1</x:v>
      </x:c>
      <x:c r="Z150" s="59" t="n">
        <x:f>Z$8+(Z$9-Z$8)*H150</x:f>
        <x:v>1</x:v>
      </x:c>
      <x:c r="AA150" s="59" t="n">
        <x:f>AA$8+(AA$9-AA$8)*I150</x:f>
        <x:v>1</x:v>
      </x:c>
      <x:c r="AB150" s="59" t="n">
        <x:f>AB$8+(AB$9-AB$8)*J150</x:f>
        <x:v>1</x:v>
      </x:c>
      <x:c r="AC150" s="59" t="n">
        <x:f>AC$8+(AC$9-AC$8)*MAX(K150,L150)</x:f>
        <x:v>1</x:v>
      </x:c>
      <x:c r="AD150" s="59" t="n">
        <x:f>(V150*AE150+W150*AF150+X150*AG150)*PRODUCT(Y150:AC150)</x:f>
        <x:v>1.6460907723765188</x:v>
      </x:c>
      <x:c r="AE150" s="59" t="n">
        <x:f>1+AE$9*($H$10*H150+$I$10*I150+$J$10*J150+$K$10*K150+$L$10*L150)</x:f>
        <x:v>1</x:v>
      </x:c>
      <x:c r="AF150" s="59" t="n">
        <x:f>1+AF$9*($H$10*H150+$I$10*I150+$J$10*J150+$K$10*K150+$L$10*L150)</x:f>
        <x:v>1.1435221707310792</x:v>
      </x:c>
      <x:c r="AG150" s="59" t="n">
        <x:f>1+AG$9*($H$10*H150+$I$10*I150+$J$10*J150+$K$10*K150+$L$10*L150)</x:f>
        <x:v>1.2543531803511923</x:v>
      </x:c>
      <x:c r="AH150" s="59" t="n">
        <x:f>MIN(1,'_曲线基线'!$L$3+AH$9*($H$10*H150+$I$10*I150+$J$10*J150+$K$10*K150+$L$10*L150))</x:f>
        <x:v>0.3765129384132049</x:v>
      </x:c>
      <x:c r="AI150" s="59" t="n">
        <x:f>'_曲线基线'!$L$4+AI$9*($H$10*H150+$I$10*I150+$J$10*J150+$K$10*K150+$L$10*L150)</x:f>
        <x:v>2.9095717570082136</x:v>
      </x:c>
      <x:c r="AJ150" s="59" t="n">
        <x:f>1+AJ$9*($H$10*H150+$I$10*I150+$J$10*J150+$K$10*K150+$L$10*L150)</x:f>
        <x:v>1.7463152878016113</x:v>
      </x:c>
      <x:c r="AK150" s="59" t="n">
        <x:f>(1+AH150*(AI150-1))*AJ150</x:f>
        <x:v>3.00187838739906</x:v>
      </x:c>
      <x:c r="AL150" s="59" t="n">
        <x:f>U150*AD150*AK150*F150</x:f>
        <x:v>866758.6972013973</x:v>
      </x:c>
      <x:c r="AM150" s="59" t="n">
        <x:f>IF($B150&lt;AM$8,0,AM$3+(AM$4-AM$3)*(POWER(AM$5,$B150-AM$8)-1)/(POWER(AM$5,$C$5-AM$8)-1))</x:f>
        <x:v>38.95724749828342</x:v>
      </x:c>
      <x:c r="AN150" s="59" t="n">
        <x:f>(((E150*'模块规划'!$D$10+G150*'模块规划'!$D$11+H150*'模块规划'!$D$13)*(1+'模块规划'!$G$14*H150)+(I150*'模块规划'!$D$15+J150*'模块规划'!$D$17+K150*'模块规划'!$D$16+L150*'模块规划'!$D$18))*(1+'模块规划'!$J$17*J150))*F150/(1-Q150)</x:f>
        <x:v>1378389.5165533328</x:v>
      </x:c>
      <x:c r="AO150" s="59" t="n">
        <x:f>AL150*AM150</x:f>
        <x:v>33766533.08816453</x:v>
      </x:c>
      <x:c r="AP150" s="61" t="n">
        <x:f>IF(AO150="","",INDEX('_曲线基线'!$A$3:$A$502,MIN(ROWS('_曲线基线'!$A$3:$A$502),COUNTIF('_曲线基线'!$E$3:$E$502,"&lt;"&amp;AO150)+1)))</x:f>
        <x:v>215</x:v>
      </x:c>
      <x:c r="AQ150" s="61" t="n">
        <x:f>IF(B150&lt;=2,1,IF(B150&lt;=6,2,IF(B150&lt;=9,3,IF(B150&lt;=19,4,5))))</x:f>
        <x:v>5</x:v>
      </x:c>
      <x:c r="AR150" s="59" t="n">
        <x:f>AN150*(1-Q150)/F150*$AS$3+U150*$AS$4+P150*$AS$5</x:f>
        <x:v>11204.938497016608</x:v>
      </x:c>
      <x:c r="AS150" s="59" t="n">
        <x:f>1+AH150*$AS$6+AI150*$AS$7+(AJ150-1)*$AS$8+($H$10*H150+$I$10*I150+$J$10*J150+$K$10*K150+$L$10*L150)*$AU$3*$AS$9+($H$10*H150+$I$10*I150+$J$10*J150+$K$10*K150+$L$10*L150)*$AU$4*$AS$10</x:f>
        <x:v>13.557192778248469</x:v>
      </x:c>
      <x:c r="AT150" s="60" t="n">
        <x:f>ROUND(AR150*AS150,0)</x:f>
        <x:v>151908</x:v>
      </x:c>
      <x:c r="AU150" s="60" t="n">
        <x:f>ROUND(AT150*F150,0)</x:f>
        <x:v>759540</x:v>
      </x:c>
      <x:c r="AV150" s="60" t="n">
        <x:f>MIN(MATCH(B150,'主线调参'!$M$11:$M$62,1),ROWS('主线调参'!$M$11:$M$62)-1)</x:f>
        <x:v>33</x:v>
      </x:c>
      <x:c r="AW150" s="62" t="n">
        <x:f>(B150-INDEX('主线调参'!$M$11:$M$62,AV150))/(INDEX('主线调参'!$M$11:$M$62,AV150+1)-INDEX('主线调参'!$M$11:$M$62,AV150))</x:f>
        <x:v>0.6428571428571429</x:v>
      </x:c>
      <x:c r="AX150" s="60" t="n">
        <x:f>IF(AU150=0,0,ROUND(AU150,2-INT(LOG10(ABS(AU150)))))</x:f>
        <x:v>760000</x:v>
      </x:c>
      <x:c r="AY150" s="62" t="n">
        <x:f>AU150/AU149-1</x:f>
        <x:v>0.01114934801275358</x:v>
      </x:c>
    </x:row>
    <x:row r="151" ht="25" customHeight="1">
      <x:c r="A151" s="40" t="str">
        <x:f>'调前玩家曲线'!A151</x:f>
      </x:c>
      <x:c r="B151" s="40" t="n">
        <x:f>'调前玩家曲线'!B151</x:f>
        <x:v>140</x:v>
      </x:c>
      <x:c r="C151" s="40" t="n">
        <x:f>'调前玩家曲线'!C151</x:f>
        <x:v>10</x:v>
      </x:c>
      <x:c r="D151" s="40" t="n">
        <x:f>'调前玩家曲线'!D151</x:f>
        <x:v>11</x:v>
      </x:c>
      <x:c r="E151" s="40" t="n">
        <x:f>'调前玩家曲线'!E151</x:f>
        <x:v>1</x:v>
      </x:c>
      <x:c r="F151" s="40" t="n">
        <x:f>'调前玩家曲线'!F151</x:f>
        <x:v>5</x:v>
      </x:c>
      <x:c r="G151" s="63" t="n">
        <x:f>IF(B151&lt;$G$8,0,(INDEX('主线调参'!$C$11:$C$62,$AV151)+(INDEX('主线调参'!$C$11:$C$62,$AV151+1)-INDEX('主线调参'!$C$11:$C$62,$AV151))*$AW151)*'参数说明'!$C$27)</x:f>
        <x:v>0.6979667476229928</x:v>
      </x:c>
      <x:c r="H151" s="63" t="n">
        <x:f>IF(B151&lt;$H$8,0,(INDEX('主线调参'!$D$11:$D$62,$AV151)+(INDEX('主线调参'!$D$11:$D$62,$AV151+1)-INDEX('主线调参'!$D$11:$D$62,$AV151))*$AW151)*'参数说明'!$D$27)</x:f>
        <x:v>0.5469985747771875</x:v>
      </x:c>
      <x:c r="I151" s="63" t="n">
        <x:f>IF(B151&lt;$I$8,0,(INDEX('主线调参'!$E$11:$E$62,$AV151)+(INDEX('主线调参'!$E$11:$E$62,$AV151+1)-INDEX('主线调参'!$E$11:$E$62,$AV151))*$AW151)*'参数说明'!$E$27)</x:f>
        <x:v>0.4156067302655595</x:v>
      </x:c>
      <x:c r="J151" s="63" t="n">
        <x:f>IF(B151&lt;$J$8,0,(INDEX('主线调参'!$F$11:$F$62,$AV151)+(INDEX('主线调参'!$F$11:$F$62,$AV151+1)-INDEX('主线调参'!$F$11:$F$62,$AV151))*$AW151)*'参数说明'!$F$27)</x:f>
        <x:v>0.42915686279008564</x:v>
      </x:c>
      <x:c r="K151" s="63" t="n">
        <x:f>IF(B151&lt;$K$8,0,(INDEX('主线调参'!$G$11:$G$62,$AV151)+(INDEX('主线调参'!$G$11:$G$62,$AV151+1)-INDEX('主线调参'!$G$11:$G$62,$AV151))*$AW151)*'参数说明'!$G$27)</x:f>
        <x:v>0.2966855456084956</x:v>
      </x:c>
      <x:c r="L151" s="63" t="n">
        <x:f>IF(B151&lt;$L$8,0,(INDEX('主线调参'!$H$11:$H$62,$AV151)+(INDEX('主线调参'!$H$11:$H$62,$AV151+1)-INDEX('主线调参'!$H$11:$H$62,$AV151))*$AW151)*'参数说明'!$H$27)</x:f>
        <x:v>0.5364234556720533</x:v>
      </x:c>
      <x:c r="M151" s="59" t="n">
        <x:f>E151*'模块规划'!$F$10+G151*'模块规划'!$F$11+H151*'模块规划'!$F$13</x:f>
        <x:v>4350.240388590366</x:v>
      </x:c>
      <x:c r="N151" s="59" t="n">
        <x:f>I151*'模块规划'!$F$15+J151*'模块规划'!$F$17+K151*'模块规划'!$F$16+L151*'模块规划'!$F$18</x:f>
        <x:v>12078.653022036573</x:v>
      </x:c>
      <x:c r="O151" s="59" t="n">
        <x:f>1+O$9*SUMPRODUCT($H$10:$L$10,H151:L151)/SUM($H$10:$L$10)</x:f>
        <x:v>2.636370608219151</x:v>
      </x:c>
      <x:c r="P151" s="59" t="n">
        <x:f>M151*O151+N151</x:f>
        <x:v>23547.49892120407</x:v>
      </x:c>
      <x:c r="Q151" s="59" t="n">
        <x:f>P151/(P151+'_曲线基线'!$L$2)</x:f>
        <x:v>0.49524158905239357</x:v>
      </x:c>
      <x:c r="R151" s="59" t="n">
        <x:f>E151*'模块规划'!$E$10+G151*'模块规划'!$E$11+H151*'模块规划'!$E$13</x:f>
        <x:v>6525.360582885548</x:v>
      </x:c>
      <x:c r="S151" s="59" t="n">
        <x:f>I151*'模块规划'!$E$15+J151*'模块规划'!$E$17+K151*'模块规划'!$E$16+L151*'模块规划'!$E$18</x:f>
        <x:v>18117.97953305486</x:v>
      </x:c>
      <x:c r="T151" s="59" t="n">
        <x:f>1+T$9*SUMPRODUCT($H$10:$L$10,H151:L151)/SUM($H$10:$L$10)</x:f>
        <x:v>2.636370608219151</x:v>
      </x:c>
      <x:c r="U151" s="59" t="n">
        <x:f>R151*T151+S151</x:f>
        <x:v>35321.2483818061</x:v>
      </x:c>
      <x:c r="V151" s="59" t="n">
        <x:f>V$8+(V$9-V$8)*H151</x:f>
        <x:v>0.8640995724331562</x:v>
      </x:c>
      <x:c r="W151" s="59" t="n">
        <x:f>IF(B151&lt;$H$8,0,W$8+(W$9-W$8)*H151)</x:f>
        <x:v>0.218799429910875</x:v>
      </x:c>
      <x:c r="X151" s="59" t="n">
        <x:f>X$8+(X$9-X$8)*H151</x:f>
        <x:v>0.4254246080637266</x:v>
      </x:c>
      <x:c r="Y151" s="59" t="n">
        <x:f>Y$8+(Y$9-Y$8)*G151</x:f>
        <x:v>1</x:v>
      </x:c>
      <x:c r="Z151" s="59" t="n">
        <x:f>Z$8+(Z$9-Z$8)*H151</x:f>
        <x:v>1</x:v>
      </x:c>
      <x:c r="AA151" s="59" t="n">
        <x:f>AA$8+(AA$9-AA$8)*I151</x:f>
        <x:v>1</x:v>
      </x:c>
      <x:c r="AB151" s="59" t="n">
        <x:f>AB$8+(AB$9-AB$8)*J151</x:f>
        <x:v>1</x:v>
      </x:c>
      <x:c r="AC151" s="59" t="n">
        <x:f>AC$8+(AC$9-AC$8)*MAX(K151,L151)</x:f>
        <x:v>1</x:v>
      </x:c>
      <x:c r="AD151" s="59" t="n">
        <x:f>(V151*AE151+W151*AF151+X151*AG151)*PRODUCT(Y151:AC151)</x:f>
        <x:v>1.6488121284510626</x:v>
      </x:c>
      <x:c r="AE151" s="59" t="n">
        <x:f>1+AE$9*($H$10*H151+$I$10*I151+$J$10*J151+$K$10*K151+$L$10*L151)</x:f>
        <x:v>1</x:v>
      </x:c>
      <x:c r="AF151" s="59" t="n">
        <x:f>1+AF$9*($H$10*H151+$I$10*I151+$J$10*J151+$K$10*K151+$L$10*L151)</x:f>
        <x:v>1.144424612385334</x:v>
      </x:c>
      <x:c r="AG151" s="59" t="n">
        <x:f>1+AG$9*($H$10*H151+$I$10*I151+$J$10*J151+$K$10*K151+$L$10*L151)</x:f>
        <x:v>1.2559525075051219</x:v>
      </x:c>
      <x:c r="AH151" s="59" t="n">
        <x:f>MIN(1,'_曲线基线'!$L$3+AH$9*($H$10*H151+$I$10*I151+$J$10*J151+$K$10*K151+$L$10*L151))</x:f>
        <x:v>0.3785659931766347</x:v>
      </x:c>
      <x:c r="AI151" s="59" t="n">
        <x:f>'_曲线基线'!$L$4+AI$9*($H$10*H151+$I$10*I151+$J$10*J151+$K$10*K151+$L$10*L151)</x:f>
        <x:v>2.9152909809920535</x:v>
      </x:c>
      <x:c r="AJ151" s="59" t="n">
        <x:f>1+AJ$9*($H$10*H151+$I$10*I151+$J$10*J151+$K$10*K151+$L$10*L151)</x:f>
        <x:v>1.7510079844037365</x:v>
      </x:c>
      <x:c r="AK151" s="59" t="n">
        <x:f>(1+AH151*(AI151-1))*AJ151</x:f>
        <x:v>3.0206008944127865</x:v>
      </x:c>
      <x:c r="AL151" s="59" t="n">
        <x:f>U151*AD151*AK151*F151</x:f>
        <x:v>879570.3258844016</x:v>
      </x:c>
      <x:c r="AM151" s="59" t="n">
        <x:f>IF($B151&lt;AM$8,0,AM$3+(AM$4-AM$3)*(POWER(AM$5,$B151-AM$8)-1)/(POWER(AM$5,$C$5-AM$8)-1))</x:f>
        <x:v>39.01024461318812</x:v>
      </x:c>
      <x:c r="AN151" s="59" t="n">
        <x:f>(((E151*'模块规划'!$D$10+G151*'模块规划'!$D$11+H151*'模块规划'!$D$13)*(1+'模块规划'!$G$14*H151)+(I151*'模块规划'!$D$15+J151*'模块规划'!$D$17+K151*'模块规划'!$D$16+L151*'模块规划'!$D$18))*(1+'模块规划'!$J$17*J151))*F151/(1-Q151)</x:f>
        <x:v>1393444.137959119</x:v>
      </x:c>
      <x:c r="AO151" s="59" t="n">
        <x:f>AL151*AM151</x:f>
        <x:v>34312253.5672521</x:v>
      </x:c>
      <x:c r="AP151" s="61" t="n">
        <x:f>IF(AO151="","",INDEX('_曲线基线'!$A$3:$A$502,MIN(ROWS('_曲线基线'!$A$3:$A$502),COUNTIF('_曲线基线'!$E$3:$E$502,"&lt;"&amp;AO151)+1)))</x:f>
        <x:v>216</x:v>
      </x:c>
      <x:c r="AQ151" s="61" t="n">
        <x:f>IF(B151&lt;=2,1,IF(B151&lt;=6,2,IF(B151&lt;=9,3,IF(B151&lt;=19,4,5))))</x:f>
        <x:v>5</x:v>
      </x:c>
      <x:c r="AR151" s="59" t="n">
        <x:f>AN151*(1-Q151)/F151*$AS$3+U151*$AS$4+P151*$AS$5</x:f>
        <x:v>11284.365569284233</x:v>
      </x:c>
      <x:c r="AS151" s="59" t="n">
        <x:f>1+AH151*$AS$6+AI151*$AS$7+(AJ151-1)*$AS$8+($H$10*H151+$I$10*I151+$J$10*J151+$K$10*K151+$L$10*L151)*$AU$3*$AS$9+($H$10*H151+$I$10*I151+$J$10*J151+$K$10*K151+$L$10*L151)*$AU$4*$AS$10</x:f>
        <x:v>13.611114692489526</x:v>
      </x:c>
      <x:c r="AT151" s="60" t="n">
        <x:f>ROUND(AR151*AS151,0)</x:f>
        <x:v>153593</x:v>
      </x:c>
      <x:c r="AU151" s="60" t="n">
        <x:f>ROUND(AT151*F151,0)</x:f>
        <x:v>767965</x:v>
      </x:c>
      <x:c r="AV151" s="60" t="n">
        <x:f>MIN(MATCH(B151,'主线调参'!$M$11:$M$62,1),ROWS('主线调参'!$M$11:$M$62)-1)</x:f>
        <x:v>33</x:v>
      </x:c>
      <x:c r="AW151" s="62" t="n">
        <x:f>(B151-INDEX('主线调参'!$M$11:$M$62,AV151))/(INDEX('主线调参'!$M$11:$M$62,AV151+1)-INDEX('主线调参'!$M$11:$M$62,AV151))</x:f>
        <x:v>0.7142857142857143</x:v>
      </x:c>
      <x:c r="AX151" s="60" t="n">
        <x:f>IF(AU151=0,0,ROUND(AU151,2-INT(LOG10(ABS(AU151)))))</x:f>
        <x:v>768000</x:v>
      </x:c>
      <x:c r="AY151" s="62" t="n">
        <x:f>AU151/AU150-1</x:f>
        <x:v>0.011092240040024182</x:v>
      </x:c>
    </x:row>
    <x:row r="152" ht="25" customHeight="1">
      <x:c r="A152" s="40" t="str">
        <x:f>'调前玩家曲线'!A152</x:f>
      </x:c>
      <x:c r="B152" s="40" t="n">
        <x:f>'调前玩家曲线'!B152</x:f>
        <x:v>141</x:v>
      </x:c>
      <x:c r="C152" s="40" t="n">
        <x:f>'调前玩家曲线'!C152</x:f>
        <x:v>10</x:v>
      </x:c>
      <x:c r="D152" s="40" t="n">
        <x:f>'调前玩家曲线'!D152</x:f>
        <x:v>12</x:v>
      </x:c>
      <x:c r="E152" s="40" t="n">
        <x:f>'调前玩家曲线'!E152</x:f>
        <x:v>1</x:v>
      </x:c>
      <x:c r="F152" s="40" t="n">
        <x:f>'调前玩家曲线'!F152</x:f>
        <x:v>5</x:v>
      </x:c>
      <x:c r="G152" s="63" t="n">
        <x:f>IF(B152&lt;$G$8,0,(INDEX('主线调参'!$C$11:$C$62,$AV152)+(INDEX('主线调参'!$C$11:$C$62,$AV152+1)-INDEX('主线调参'!$C$11:$C$62,$AV152))*$AW152)*'参数说明'!$C$27)</x:f>
        <x:v>0.7001238762608546</x:v>
      </x:c>
      <x:c r="H152" s="63" t="n">
        <x:f>IF(B152&lt;$H$8,0,(INDEX('主线调参'!$D$11:$D$62,$AV152)+(INDEX('主线调参'!$D$11:$D$62,$AV152+1)-INDEX('主线调参'!$D$11:$D$62,$AV152))*$AW152)*'参数说明'!$D$27)</x:f>
        <x:v>0.5486709104285836</x:v>
      </x:c>
      <x:c r="I152" s="63" t="n">
        <x:f>IF(B152&lt;$I$8,0,(INDEX('主线调参'!$E$11:$E$62,$AV152)+(INDEX('主线调参'!$E$11:$E$62,$AV152+1)-INDEX('主线调参'!$E$11:$E$62,$AV152))*$AW152)*'参数说明'!$E$27)</x:f>
        <x:v>0.41876270833795987</x:v>
      </x:c>
      <x:c r="J152" s="63" t="n">
        <x:f>IF(B152&lt;$J$8,0,(INDEX('主线调参'!$F$11:$F$62,$AV152)+(INDEX('主线调参'!$F$11:$F$62,$AV152+1)-INDEX('主线调参'!$F$11:$F$62,$AV152))*$AW152)*'参数说明'!$F$27)</x:f>
        <x:v>0.431124324288392</x:v>
      </x:c>
      <x:c r="K152" s="63" t="n">
        <x:f>IF(B152&lt;$K$8,0,(INDEX('主线调参'!$G$11:$G$62,$AV152)+(INDEX('主线调参'!$G$11:$G$62,$AV152+1)-INDEX('主线调参'!$G$11:$G$62,$AV152))*$AW152)*'参数说明'!$G$27)</x:f>
        <x:v>0.3023123033173223</x:v>
      </x:c>
      <x:c r="L152" s="63" t="n">
        <x:f>IF(B152&lt;$L$8,0,(INDEX('主线调参'!$H$11:$H$62,$AV152)+(INDEX('主线调参'!$H$11:$H$62,$AV152+1)-INDEX('主线调参'!$H$11:$H$62,$AV152))*$AW152)*'参数说明'!$H$27)</x:f>
        <x:v>0.538284612144684</x:v>
      </x:c>
      <x:c r="M152" s="59" t="n">
        <x:f>E152*'模块规划'!$F$10+G152*'模块规划'!$F$11+H152*'模块规划'!$F$13</x:f>
        <x:v>4360.594606052102</x:v>
      </x:c>
      <x:c r="N152" s="59" t="n">
        <x:f>I152*'模块规划'!$F$15+J152*'模块规划'!$F$17+K152*'模块规划'!$F$16+L152*'模块规划'!$F$18</x:f>
        <x:v>12166.641790214953</x:v>
      </x:c>
      <x:c r="O152" s="59" t="n">
        <x:f>1+O$9*SUMPRODUCT($H$10:$L$10,H152:L152)/SUM($H$10:$L$10)</x:f>
        <x:v>2.6465955205402953</x:v>
      </x:c>
      <x:c r="P152" s="59" t="n">
        <x:f>M152*O152+N152</x:f>
        <x:v>23707.37194148462</x:v>
      </x:c>
      <x:c r="Q152" s="59" t="n">
        <x:f>P152/(P152+'_曲线基线'!$L$2)</x:f>
        <x:v>0.49693309391602725</x:v>
      </x:c>
      <x:c r="R152" s="59" t="n">
        <x:f>E152*'模块规划'!$E$10+G152*'模块规划'!$E$11+H152*'模块规划'!$E$13</x:f>
        <x:v>6540.891909078153</x:v>
      </x:c>
      <x:c r="S152" s="59" t="n">
        <x:f>I152*'模块规划'!$E$15+J152*'模块规划'!$E$17+K152*'模块规划'!$E$16+L152*'模块规划'!$E$18</x:f>
        <x:v>18249.96268532243</x:v>
      </x:c>
      <x:c r="T152" s="59" t="n">
        <x:f>1+T$9*SUMPRODUCT($H$10:$L$10,H152:L152)/SUM($H$10:$L$10)</x:f>
        <x:v>2.6465955205402953</x:v>
      </x:c>
      <x:c r="U152" s="59" t="n">
        <x:f>R152*T152+S152</x:f>
        <x:v>35561.05791222693</x:v>
      </x:c>
      <x:c r="V152" s="59" t="n">
        <x:f>V$8+(V$9-V$8)*H152</x:f>
        <x:v>0.864601273128575</x:v>
      </x:c>
      <x:c r="W152" s="59" t="n">
        <x:f>IF(B152&lt;$H$8,0,W$8+(W$9-W$8)*H152)</x:f>
        <x:v>0.21946836417143345</x:v>
      </x:c>
      <x:c r="X152" s="59" t="n">
        <x:f>X$8+(X$9-X$8)*H152</x:f>
        <x:v>0.4258845003678605</x:v>
      </x:c>
      <x:c r="Y152" s="59" t="n">
        <x:f>Y$8+(Y$9-Y$8)*G152</x:f>
        <x:v>1</x:v>
      </x:c>
      <x:c r="Z152" s="59" t="n">
        <x:f>Z$8+(Z$9-Z$8)*H152</x:f>
        <x:v>1</x:v>
      </x:c>
      <x:c r="AA152" s="59" t="n">
        <x:f>AA$8+(AA$9-AA$8)*I152</x:f>
        <x:v>1</x:v>
      </x:c>
      <x:c r="AB152" s="59" t="n">
        <x:f>AB$8+(AB$9-AB$8)*J152</x:f>
        <x:v>1</x:v>
      </x:c>
      <x:c r="AC152" s="59" t="n">
        <x:f>AC$8+(AC$9-AC$8)*MAX(K152,L152)</x:f>
        <x:v>1</x:v>
      </x:c>
      <x:c r="AD152" s="59" t="n">
        <x:f>(V152*AE152+W152*AF152+X152*AG152)*PRODUCT(Y152:AC152)</x:f>
        <x:v>1.651536162910387</x:v>
      </x:c>
      <x:c r="AE152" s="59" t="n">
        <x:f>1+AE$9*($H$10*H152+$I$10*I152+$J$10*J152+$K$10*K152+$L$10*L152)</x:f>
        <x:v>1</x:v>
      </x:c>
      <x:c r="AF152" s="59" t="n">
        <x:f>1+AF$9*($H$10*H152+$I$10*I152+$J$10*J152+$K$10*K152+$L$10*L152)</x:f>
        <x:v>1.145327054039589</x:v>
      </x:c>
      <x:c r="AG152" s="59" t="n">
        <x:f>1+AG$9*($H$10*H152+$I$10*I152+$J$10*J152+$K$10*K152+$L$10*L152)</x:f>
        <x:v>1.2575518346590513</x:v>
      </x:c>
      <x:c r="AH152" s="59" t="n">
        <x:f>MIN(1,'_曲线基线'!$L$3+AH$9*($H$10*H152+$I$10*I152+$J$10*J152+$K$10*K152+$L$10*L152))</x:f>
        <x:v>0.38061904794006446</x:v>
      </x:c>
      <x:c r="AI152" s="59" t="n">
        <x:f>'_曲线基线'!$L$4+AI$9*($H$10*H152+$I$10*I152+$J$10*J152+$K$10*K152+$L$10*L152)</x:f>
        <x:v>2.921010204975894</x:v>
      </x:c>
      <x:c r="AJ152" s="59" t="n">
        <x:f>1+AJ$9*($H$10*H152+$I$10*I152+$J$10*J152+$K$10*K152+$L$10*L152)</x:f>
        <x:v>1.7557006810058617</x:v>
      </x:c>
      <x:c r="AK152" s="59" t="n">
        <x:f>(1+AH152*(AI152-1))*AJ152</x:f>
        <x:v>3.0394217472451053</x:v>
      </x:c>
      <x:c r="AL152" s="59" t="n">
        <x:f>U152*AD152*AK152*F152</x:f>
        <x:v>892531.8666272764</x:v>
      </x:c>
      <x:c r="AM152" s="59" t="n">
        <x:f>IF($B152&lt;AM$8,0,AM$3+(AM$4-AM$3)*(POWER(AM$5,$B152-AM$8)-1)/(POWER(AM$5,$C$5-AM$8)-1))</x:f>
        <x:v>39.063771699241876</x:v>
      </x:c>
      <x:c r="AN152" s="59" t="n">
        <x:f>(((E152*'模块规划'!$D$10+G152*'模块规划'!$D$11+H152*'模块规划'!$D$13)*(1+'模块规划'!$G$14*H152)+(I152*'模块规划'!$D$15+J152*'模块规划'!$D$17+K152*'模块规划'!$D$16+L152*'模块规划'!$D$18))*(1+'模块规划'!$J$17*J152))*F152/(1-Q152)</x:f>
        <x:v>1408603.0824533147</x:v>
      </x:c>
      <x:c r="AO152" s="59" t="n">
        <x:f>AL152*AM152</x:f>
        <x:v>34865661.07222612</x:v>
      </x:c>
      <x:c r="AP152" s="61" t="n">
        <x:f>IF(AO152="","",INDEX('_曲线基线'!$A$3:$A$502,MIN(ROWS('_曲线基线'!$A$3:$A$502),COUNTIF('_曲线基线'!$E$3:$E$502,"&lt;"&amp;AO152)+1)))</x:f>
        <x:v>217</x:v>
      </x:c>
      <x:c r="AQ152" s="61" t="n">
        <x:f>IF(B152&lt;=2,1,IF(B152&lt;=6,2,IF(B152&lt;=9,3,IF(B152&lt;=19,4,5))))</x:f>
        <x:v>5</x:v>
      </x:c>
      <x:c r="AR152" s="59" t="n">
        <x:f>AN152*(1-Q152)/F152*$AS$3+U152*$AS$4+P152*$AS$5</x:f>
        <x:v>11363.941149986204</x:v>
      </x:c>
      <x:c r="AS152" s="59" t="n">
        <x:f>1+AH152*$AS$6+AI152*$AS$7+(AJ152-1)*$AS$8+($H$10*H152+$I$10*I152+$J$10*J152+$K$10*K152+$L$10*L152)*$AU$3*$AS$9+($H$10*H152+$I$10*I152+$J$10*J152+$K$10*K152+$L$10*L152)*$AU$4*$AS$10</x:f>
        <x:v>13.665036606730583</x:v>
      </x:c>
      <x:c r="AT152" s="60" t="n">
        <x:f>ROUND(AR152*AS152,0)</x:f>
        <x:v>155289</x:v>
      </x:c>
      <x:c r="AU152" s="60" t="n">
        <x:f>ROUND(AT152*F152,0)</x:f>
        <x:v>776445</x:v>
      </x:c>
      <x:c r="AV152" s="60" t="n">
        <x:f>MIN(MATCH(B152,'主线调参'!$M$11:$M$62,1),ROWS('主线调参'!$M$11:$M$62)-1)</x:f>
        <x:v>33</x:v>
      </x:c>
      <x:c r="AW152" s="62" t="n">
        <x:f>(B152-INDEX('主线调参'!$M$11:$M$62,AV152))/(INDEX('主线调参'!$M$11:$M$62,AV152+1)-INDEX('主线调参'!$M$11:$M$62,AV152))</x:f>
        <x:v>0.7857142857142857</x:v>
      </x:c>
      <x:c r="AX152" s="60" t="n">
        <x:f>IF(AU152=0,0,ROUND(AU152,2-INT(LOG10(ABS(AU152)))))</x:f>
        <x:v>776000</x:v>
      </x:c>
      <x:c r="AY152" s="62" t="n">
        <x:f>AU152/AU151-1</x:f>
        <x:v>0.011042169890554954</x:v>
      </x:c>
    </x:row>
    <x:row r="153" ht="25" customHeight="1">
      <x:c r="A153" s="40" t="str">
        <x:f>'调前玩家曲线'!A153</x:f>
      </x:c>
      <x:c r="B153" s="40" t="n">
        <x:f>'调前玩家曲线'!B153</x:f>
        <x:v>142</x:v>
      </x:c>
      <x:c r="C153" s="40" t="n">
        <x:f>'调前玩家曲线'!C153</x:f>
        <x:v>10</x:v>
      </x:c>
      <x:c r="D153" s="40" t="n">
        <x:f>'调前玩家曲线'!D153</x:f>
        <x:v>13</x:v>
      </x:c>
      <x:c r="E153" s="40" t="n">
        <x:f>'调前玩家曲线'!E153</x:f>
        <x:v>1</x:v>
      </x:c>
      <x:c r="F153" s="40" t="n">
        <x:f>'调前玩家曲线'!F153</x:f>
        <x:v>5</x:v>
      </x:c>
      <x:c r="G153" s="63" t="n">
        <x:f>IF(B153&lt;$G$8,0,(INDEX('主线调参'!$C$11:$C$62,$AV153)+(INDEX('主线调参'!$C$11:$C$62,$AV153+1)-INDEX('主线调参'!$C$11:$C$62,$AV153))*$AW153)*'参数说明'!$C$27)</x:f>
        <x:v>0.7022810048987164</x:v>
      </x:c>
      <x:c r="H153" s="63" t="n">
        <x:f>IF(B153&lt;$H$8,0,(INDEX('主线调参'!$D$11:$D$62,$AV153)+(INDEX('主线调参'!$D$11:$D$62,$AV153+1)-INDEX('主线调参'!$D$11:$D$62,$AV153))*$AW153)*'参数说明'!$D$27)</x:f>
        <x:v>0.5503432460799799</x:v>
      </x:c>
      <x:c r="I153" s="63" t="n">
        <x:f>IF(B153&lt;$I$8,0,(INDEX('主线调参'!$E$11:$E$62,$AV153)+(INDEX('主线调参'!$E$11:$E$62,$AV153+1)-INDEX('主线调参'!$E$11:$E$62,$AV153))*$AW153)*'参数说明'!$E$27)</x:f>
        <x:v>0.4219186864103603</x:v>
      </x:c>
      <x:c r="J153" s="63" t="n">
        <x:f>IF(B153&lt;$J$8,0,(INDEX('主线调参'!$F$11:$F$62,$AV153)+(INDEX('主线调参'!$F$11:$F$62,$AV153+1)-INDEX('主线调参'!$F$11:$F$62,$AV153))*$AW153)*'参数说明'!$F$27)</x:f>
        <x:v>0.4330917857866983</x:v>
      </x:c>
      <x:c r="K153" s="63" t="n">
        <x:f>IF(B153&lt;$K$8,0,(INDEX('主线调参'!$G$11:$G$62,$AV153)+(INDEX('主线调参'!$G$11:$G$62,$AV153+1)-INDEX('主线调参'!$G$11:$G$62,$AV153))*$AW153)*'参数说明'!$G$27)</x:f>
        <x:v>0.307939061026149</x:v>
      </x:c>
      <x:c r="L153" s="63" t="n">
        <x:f>IF(B153&lt;$L$8,0,(INDEX('主线调参'!$H$11:$H$62,$AV153)+(INDEX('主线调参'!$H$11:$H$62,$AV153+1)-INDEX('主线调参'!$H$11:$H$62,$AV153))*$AW153)*'参数说明'!$H$27)</x:f>
        <x:v>0.5401457686173148</x:v>
      </x:c>
      <x:c r="M153" s="59" t="n">
        <x:f>E153*'模块规划'!$F$10+G153*'模块规划'!$F$11+H153*'模块规划'!$F$13</x:f>
        <x:v>4370.948823513839</x:v>
      </x:c>
      <x:c r="N153" s="59" t="n">
        <x:f>I153*'模块规划'!$F$15+J153*'模块规划'!$F$17+K153*'模块规划'!$F$16+L153*'模块规划'!$F$18</x:f>
        <x:v>12254.630558393334</x:v>
      </x:c>
      <x:c r="O153" s="59" t="n">
        <x:f>1+O$9*SUMPRODUCT($H$10:$L$10,H153:L153)/SUM($H$10:$L$10)</x:f>
        <x:v>2.6568204328614398</x:v>
      </x:c>
      <x:c r="P153" s="59" t="n">
        <x:f>M153*O153+N153</x:f>
        <x:v>23867.45670369657</x:v>
      </x:c>
      <x:c r="Q153" s="59" t="n">
        <x:f>P153/(P153+'_曲线基线'!$L$2)</x:f>
        <x:v>0.49861551766658624</x:v>
      </x:c>
      <x:c r="R153" s="59" t="n">
        <x:f>E153*'模块规划'!$E$10+G153*'模块规划'!$E$11+H153*'模块规划'!$E$13</x:f>
        <x:v>6556.423235270758</x:v>
      </x:c>
      <x:c r="S153" s="59" t="n">
        <x:f>I153*'模块规划'!$E$15+J153*'模块规划'!$E$17+K153*'模块规划'!$E$16+L153*'模块规划'!$E$18</x:f>
        <x:v>18381.94583759</x:v>
      </x:c>
      <x:c r="T153" s="59" t="n">
        <x:f>1+T$9*SUMPRODUCT($H$10:$L$10,H153:L153)/SUM($H$10:$L$10)</x:f>
        <x:v>2.6568204328614398</x:v>
      </x:c>
      <x:c r="U153" s="59" t="n">
        <x:f>R153*T153+S153</x:f>
        <x:v>35801.185055544855</x:v>
      </x:c>
      <x:c r="V153" s="59" t="n">
        <x:f>V$8+(V$9-V$8)*H153</x:f>
        <x:v>0.8651029738239939</x:v>
      </x:c>
      <x:c r="W153" s="59" t="n">
        <x:f>IF(B153&lt;$H$8,0,W$8+(W$9-W$8)*H153)</x:f>
        <x:v>0.22013729843199195</x:v>
      </x:c>
      <x:c r="X153" s="59" t="n">
        <x:f>X$8+(X$9-X$8)*H153</x:f>
        <x:v>0.42634439267199453</x:v>
      </x:c>
      <x:c r="Y153" s="59" t="n">
        <x:f>Y$8+(Y$9-Y$8)*G153</x:f>
        <x:v>1</x:v>
      </x:c>
      <x:c r="Z153" s="59" t="n">
        <x:f>Z$8+(Z$9-Z$8)*H153</x:f>
        <x:v>1</x:v>
      </x:c>
      <x:c r="AA153" s="59" t="n">
        <x:f>AA$8+(AA$9-AA$8)*I153</x:f>
        <x:v>1</x:v>
      </x:c>
      <x:c r="AB153" s="59" t="n">
        <x:f>AB$8+(AB$9-AB$8)*J153</x:f>
        <x:v>1</x:v>
      </x:c>
      <x:c r="AC153" s="59" t="n">
        <x:f>AC$8+(AC$9-AC$8)*MAX(K153,L153)</x:f>
        <x:v>1</x:v>
      </x:c>
      <x:c r="AD153" s="59" t="n">
        <x:f>(V153*AE153+W153*AF153+X153*AG153)*PRODUCT(Y153:AC153)</x:f>
        <x:v>1.6542628757544926</x:v>
      </x:c>
      <x:c r="AE153" s="59" t="n">
        <x:f>1+AE$9*($H$10*H153+$I$10*I153+$J$10*J153+$K$10*K153+$L$10*L153)</x:f>
        <x:v>1</x:v>
      </x:c>
      <x:c r="AF153" s="59" t="n">
        <x:f>1+AF$9*($H$10*H153+$I$10*I153+$J$10*J153+$K$10*K153+$L$10*L153)</x:f>
        <x:v>1.1462294956938437</x:v>
      </x:c>
      <x:c r="AG153" s="59" t="n">
        <x:f>1+AG$9*($H$10*H153+$I$10*I153+$J$10*J153+$K$10*K153+$L$10*L153)</x:f>
        <x:v>1.2591511618129807</x:v>
      </x:c>
      <x:c r="AH153" s="59" t="n">
        <x:f>MIN(1,'_曲线基线'!$L$3+AH$9*($H$10*H153+$I$10*I153+$J$10*J153+$K$10*K153+$L$10*L153))</x:f>
        <x:v>0.3826721027034943</x:v>
      </x:c>
      <x:c r="AI153" s="59" t="n">
        <x:f>'_曲线基线'!$L$4+AI$9*($H$10*H153+$I$10*I153+$J$10*J153+$K$10*K153+$L$10*L153)</x:f>
        <x:v>2.9267294289597343</x:v>
      </x:c>
      <x:c r="AJ153" s="59" t="n">
        <x:f>1+AJ$9*($H$10*H153+$I$10*I153+$J$10*J153+$K$10*K153+$L$10*L153)</x:f>
        <x:v>1.760393377607987</x:v>
      </x:c>
      <x:c r="AK153" s="59" t="n">
        <x:f>(1+AH153*(AI153-1))*AJ153</x:f>
        <x:v>3.058341276502501</x:v>
      </x:c>
      <x:c r="AL153" s="59" t="n">
        <x:f>U153*AD153*AK153*F153</x:f>
        <x:v>905644.7556440876</x:v>
      </x:c>
      <x:c r="AM153" s="59" t="n">
        <x:f>IF($B153&lt;AM$8,0,AM$3+(AM$4-AM$3)*(POWER(AM$5,$B153-AM$8)-1)/(POWER(AM$5,$C$5-AM$8)-1))</x:f>
        <x:v>39.11783405615616</x:v>
      </x:c>
      <x:c r="AN153" s="59" t="n">
        <x:f>(((E153*'模块规划'!$D$10+G153*'模块规划'!$D$11+H153*'模块规划'!$D$13)*(1+'模块规划'!$G$14*H153)+(I153*'模块规划'!$D$15+J153*'模块规划'!$D$17+K153*'模块规划'!$D$16+L153*'模块规划'!$D$18))*(1+'模块规划'!$J$17*J153))*F153/(1-Q153)</x:f>
        <x:v>1423866.7835619391</x:v>
      </x:c>
      <x:c r="AO153" s="59" t="n">
        <x:f>AL153*AM153</x:f>
        <x:v>35426861.26511352</x:v>
      </x:c>
      <x:c r="AP153" s="61" t="n">
        <x:f>IF(AO153="","",INDEX('_曲线基线'!$A$3:$A$502,MIN(ROWS('_曲线基线'!$A$3:$A$502),COUNTIF('_曲线基线'!$E$3:$E$502,"&lt;"&amp;AO153)+1)))</x:f>
        <x:v>218</x:v>
      </x:c>
      <x:c r="AQ153" s="61" t="n">
        <x:f>IF(B153&lt;=2,1,IF(B153&lt;=6,2,IF(B153&lt;=9,3,IF(B153&lt;=19,4,5))))</x:f>
        <x:v>5</x:v>
      </x:c>
      <x:c r="AR153" s="59" t="n">
        <x:f>AN153*(1-Q153)/F153*$AS$3+U153*$AS$4+P153*$AS$5</x:f>
        <x:v>11443.665272236645</x:v>
      </x:c>
      <x:c r="AS153" s="59" t="n">
        <x:f>1+AH153*$AS$6+AI153*$AS$7+(AJ153-1)*$AS$8+($H$10*H153+$I$10*I153+$J$10*J153+$K$10*K153+$L$10*L153)*$AU$3*$AS$9+($H$10*H153+$I$10*I153+$J$10*J153+$K$10*K153+$L$10*L153)*$AU$4*$AS$10</x:f>
        <x:v>13.71895852097164</x:v>
      </x:c>
      <x:c r="AT153" s="60" t="n">
        <x:f>ROUND(AR153*AS153,0)</x:f>
        <x:v>156995</x:v>
      </x:c>
      <x:c r="AU153" s="60" t="n">
        <x:f>ROUND(AT153*F153,0)</x:f>
        <x:v>784975</x:v>
      </x:c>
      <x:c r="AV153" s="60" t="n">
        <x:f>MIN(MATCH(B153,'主线调参'!$M$11:$M$62,1),ROWS('主线调参'!$M$11:$M$62)-1)</x:f>
        <x:v>33</x:v>
      </x:c>
      <x:c r="AW153" s="62" t="n">
        <x:f>(B153-INDEX('主线调参'!$M$11:$M$62,AV153))/(INDEX('主线调参'!$M$11:$M$62,AV153+1)-INDEX('主线调参'!$M$11:$M$62,AV153))</x:f>
        <x:v>0.8571428571428571</x:v>
      </x:c>
      <x:c r="AX153" s="60" t="n">
        <x:f>IF(AU153=0,0,ROUND(AU153,2-INT(LOG10(ABS(AU153)))))</x:f>
        <x:v>785000</x:v>
      </x:c>
      <x:c r="AY153" s="62" t="n">
        <x:f>AU153/AU152-1</x:f>
        <x:v>0.01098596809819119</x:v>
      </x:c>
    </x:row>
    <x:row r="154" ht="25" customHeight="1">
      <x:c r="A154" s="40" t="str">
        <x:f>'调前玩家曲线'!A154</x:f>
      </x:c>
      <x:c r="B154" s="40" t="n">
        <x:f>'调前玩家曲线'!B154</x:f>
        <x:v>143</x:v>
      </x:c>
      <x:c r="C154" s="40" t="n">
        <x:f>'调前玩家曲线'!C154</x:f>
        <x:v>10</x:v>
      </x:c>
      <x:c r="D154" s="40" t="n">
        <x:f>'调前玩家曲线'!D154</x:f>
        <x:v>14</x:v>
      </x:c>
      <x:c r="E154" s="40" t="n">
        <x:f>'调前玩家曲线'!E154</x:f>
        <x:v>1</x:v>
      </x:c>
      <x:c r="F154" s="40" t="n">
        <x:f>'调前玩家曲线'!F154</x:f>
        <x:v>5</x:v>
      </x:c>
      <x:c r="G154" s="63" t="n">
        <x:f>IF(B154&lt;$G$8,0,(INDEX('主线调参'!$C$11:$C$62,$AV154)+(INDEX('主线调参'!$C$11:$C$62,$AV154+1)-INDEX('主线调参'!$C$11:$C$62,$AV154))*$AW154)*'参数说明'!$C$27)</x:f>
        <x:v>0.7044381335365781</x:v>
      </x:c>
      <x:c r="H154" s="63" t="n">
        <x:f>IF(B154&lt;$H$8,0,(INDEX('主线调参'!$D$11:$D$62,$AV154)+(INDEX('主线调参'!$D$11:$D$62,$AV154+1)-INDEX('主线调参'!$D$11:$D$62,$AV154))*$AW154)*'参数说明'!$D$27)</x:f>
        <x:v>0.5520155817313761</x:v>
      </x:c>
      <x:c r="I154" s="63" t="n">
        <x:f>IF(B154&lt;$I$8,0,(INDEX('主线调参'!$E$11:$E$62,$AV154)+(INDEX('主线调参'!$E$11:$E$62,$AV154+1)-INDEX('主线调参'!$E$11:$E$62,$AV154))*$AW154)*'参数说明'!$E$27)</x:f>
        <x:v>0.42507466448276066</x:v>
      </x:c>
      <x:c r="J154" s="63" t="n">
        <x:f>IF(B154&lt;$J$8,0,(INDEX('主线调参'!$F$11:$F$62,$AV154)+(INDEX('主线调参'!$F$11:$F$62,$AV154+1)-INDEX('主线调参'!$F$11:$F$62,$AV154))*$AW154)*'参数说明'!$F$27)</x:f>
        <x:v>0.43505924728500456</x:v>
      </x:c>
      <x:c r="K154" s="63" t="n">
        <x:f>IF(B154&lt;$K$8,0,(INDEX('主线调参'!$G$11:$G$62,$AV154)+(INDEX('主线调参'!$G$11:$G$62,$AV154+1)-INDEX('主线调参'!$G$11:$G$62,$AV154))*$AW154)*'参数说明'!$G$27)</x:f>
        <x:v>0.31356581873497563</x:v>
      </x:c>
      <x:c r="L154" s="63" t="n">
        <x:f>IF(B154&lt;$L$8,0,(INDEX('主线调参'!$H$11:$H$62,$AV154)+(INDEX('主线调参'!$H$11:$H$62,$AV154+1)-INDEX('主线调参'!$H$11:$H$62,$AV154))*$AW154)*'参数说明'!$H$27)</x:f>
        <x:v>0.5420069250899456</x:v>
      </x:c>
      <x:c r="M154" s="59" t="n">
        <x:f>E154*'模块规划'!$F$10+G154*'模块规划'!$F$11+H154*'模块规划'!$F$13</x:f>
        <x:v>4381.303040975576</x:v>
      </x:c>
      <x:c r="N154" s="59" t="n">
        <x:f>I154*'模块规划'!$F$15+J154*'模块规划'!$F$17+K154*'模块规划'!$F$16+L154*'模块规划'!$F$18</x:f>
        <x:v>12342.619326571712</x:v>
      </x:c>
      <x:c r="O154" s="59" t="n">
        <x:f>1+O$9*SUMPRODUCT($H$10:$L$10,H154:L154)/SUM($H$10:$L$10)</x:f>
        <x:v>2.6670453451825837</x:v>
      </x:c>
      <x:c r="P154" s="59" t="n">
        <x:f>M154*O154+N154</x:f>
        <x:v>24027.75320783992</x:v>
      </x:c>
      <x:c r="Q154" s="59" t="n">
        <x:f>P154/(P154+'_曲线基线'!$L$2)</x:f>
        <x:v>0.5002889288586936</x:v>
      </x:c>
      <x:c r="R154" s="59" t="n">
        <x:f>E154*'模块规划'!$E$10+G154*'模块规划'!$E$11+H154*'模块规划'!$E$13</x:f>
        <x:v>6571.954561463363</x:v>
      </x:c>
      <x:c r="S154" s="59" t="n">
        <x:f>I154*'模块规划'!$E$15+J154*'模块规划'!$E$17+K154*'模块规划'!$E$16+L154*'模块规划'!$E$18</x:f>
        <x:v>18513.928989857566</x:v>
      </x:c>
      <x:c r="T154" s="59" t="n">
        <x:f>1+T$9*SUMPRODUCT($H$10:$L$10,H154:L154)/SUM($H$10:$L$10)</x:f>
        <x:v>2.6670453451825837</x:v>
      </x:c>
      <x:c r="U154" s="59" t="n">
        <x:f>R154*T154+S154</x:f>
        <x:v>36041.62981175988</x:v>
      </x:c>
      <x:c r="V154" s="59" t="n">
        <x:f>V$8+(V$9-V$8)*H154</x:f>
        <x:v>0.8656046745194128</x:v>
      </x:c>
      <x:c r="W154" s="59" t="n">
        <x:f>IF(B154&lt;$H$8,0,W$8+(W$9-W$8)*H154)</x:f>
        <x:v>0.22080623269255045</x:v>
      </x:c>
      <x:c r="X154" s="59" t="n">
        <x:f>X$8+(X$9-X$8)*H154</x:f>
        <x:v>0.42680428497612843</x:v>
      </x:c>
      <x:c r="Y154" s="59" t="n">
        <x:f>Y$8+(Y$9-Y$8)*G154</x:f>
        <x:v>1</x:v>
      </x:c>
      <x:c r="Z154" s="59" t="n">
        <x:f>Z$8+(Z$9-Z$8)*H154</x:f>
        <x:v>1</x:v>
      </x:c>
      <x:c r="AA154" s="59" t="n">
        <x:f>AA$8+(AA$9-AA$8)*I154</x:f>
        <x:v>1</x:v>
      </x:c>
      <x:c r="AB154" s="59" t="n">
        <x:f>AB$8+(AB$9-AB$8)*J154</x:f>
        <x:v>1</x:v>
      </x:c>
      <x:c r="AC154" s="59" t="n">
        <x:f>AC$8+(AC$9-AC$8)*MAX(K154,L154)</x:f>
        <x:v>1</x:v>
      </x:c>
      <x:c r="AD154" s="59" t="n">
        <x:f>(V154*AE154+W154*AF154+X154*AG154)*PRODUCT(Y154:AC154)</x:f>
        <x:v>1.6569922669833796</x:v>
      </x:c>
      <x:c r="AE154" s="59" t="n">
        <x:f>1+AE$9*($H$10*H154+$I$10*I154+$J$10*J154+$K$10*K154+$L$10*L154)</x:f>
        <x:v>1</x:v>
      </x:c>
      <x:c r="AF154" s="59" t="n">
        <x:f>1+AF$9*($H$10*H154+$I$10*I154+$J$10*J154+$K$10*K154+$L$10*L154)</x:f>
        <x:v>1.1471319373480986</x:v>
      </x:c>
      <x:c r="AG154" s="59" t="n">
        <x:f>1+AG$9*($H$10*H154+$I$10*I154+$J$10*J154+$K$10*K154+$L$10*L154)</x:f>
        <x:v>1.26075048896691</x:v>
      </x:c>
      <x:c r="AH154" s="59" t="n">
        <x:f>MIN(1,'_曲线基线'!$L$3+AH$9*($H$10*H154+$I$10*I154+$J$10*J154+$K$10*K154+$L$10*L154))</x:f>
        <x:v>0.384725157466924</x:v>
      </x:c>
      <x:c r="AI154" s="59" t="n">
        <x:f>'_曲线基线'!$L$4+AI$9*($H$10*H154+$I$10*I154+$J$10*J154+$K$10*K154+$L$10*L154)</x:f>
        <x:v>2.932448652943574</x:v>
      </x:c>
      <x:c r="AJ154" s="59" t="n">
        <x:f>1+AJ$9*($H$10*H154+$I$10*I154+$J$10*J154+$K$10*K154+$L$10*L154)</x:f>
        <x:v>1.765086074210112</x:v>
      </x:c>
      <x:c r="AK154" s="59" t="n">
        <x:f>(1+AH154*(AI154-1))*AJ154</x:f>
        <x:v>3.077359812791454</x:v>
      </x:c>
      <x:c r="AL154" s="59" t="n">
        <x:f>U154*AD154*AK154*F154</x:f>
        <x:v>918910.4399024372</x:v>
      </x:c>
      <x:c r="AM154" s="59" t="n">
        <x:f>IF($B154&lt;AM$8,0,AM$3+(AM$4-AM$3)*(POWER(AM$5,$B154-AM$8)-1)/(POWER(AM$5,$C$5-AM$8)-1))</x:f>
        <x:v>39.17243703663959</x:v>
      </x:c>
      <x:c r="AN154" s="59" t="n">
        <x:f>(((E154*'模块规划'!$D$10+G154*'模块规划'!$D$11+H154*'模块规划'!$D$13)*(1+'模块规划'!$G$14*H154)+(I154*'模块规划'!$D$15+J154*'模块规划'!$D$17+K154*'模块规划'!$D$16+L154*'模块规划'!$D$18))*(1+'模块规划'!$J$17*J154))*F154/(1-Q154)</x:f>
        <x:v>1439235.6757082467</x:v>
      </x:c>
      <x:c r="AO154" s="59" t="n">
        <x:f>AL154*AM154</x:f>
        <x:v>35995961.34938901</x:v>
      </x:c>
      <x:c r="AP154" s="61" t="n">
        <x:f>IF(AO154="","",INDEX('_曲线基线'!$A$3:$A$502,MIN(ROWS('_曲线基线'!$A$3:$A$502),COUNTIF('_曲线基线'!$E$3:$E$502,"&lt;"&amp;AO154)+1)))</x:f>
        <x:v>219</x:v>
      </x:c>
      <x:c r="AQ154" s="61" t="n">
        <x:f>IF(B154&lt;=2,1,IF(B154&lt;=6,2,IF(B154&lt;=9,3,IF(B154&lt;=19,4,5))))</x:f>
        <x:v>5</x:v>
      </x:c>
      <x:c r="AR154" s="59" t="n">
        <x:f>AN154*(1-Q154)/F154*$AS$3+U154*$AS$4+P154*$AS$5</x:f>
        <x:v>11523.537969149675</x:v>
      </x:c>
      <x:c r="AS154" s="59" t="n">
        <x:f>1+AH154*$AS$6+AI154*$AS$7+(AJ154-1)*$AS$8+($H$10*H154+$I$10*I154+$J$10*J154+$K$10*K154+$L$10*L154)*$AU$3*$AS$9+($H$10*H154+$I$10*I154+$J$10*J154+$K$10*K154+$L$10*L154)*$AU$4*$AS$10</x:f>
        <x:v>13.772880435212695</x:v>
      </x:c>
      <x:c r="AT154" s="60" t="n">
        <x:f>ROUND(AR154*AS154,0)</x:f>
        <x:v>158712</x:v>
      </x:c>
      <x:c r="AU154" s="60" t="n">
        <x:f>ROUND(AT154*F154,0)</x:f>
        <x:v>793560</x:v>
      </x:c>
      <x:c r="AV154" s="60" t="n">
        <x:f>MIN(MATCH(B154,'主线调参'!$M$11:$M$62,1),ROWS('主线调参'!$M$11:$M$62)-1)</x:f>
        <x:v>33</x:v>
      </x:c>
      <x:c r="AW154" s="62" t="n">
        <x:f>(B154-INDEX('主线调参'!$M$11:$M$62,AV154))/(INDEX('主线调参'!$M$11:$M$62,AV154+1)-INDEX('主线调参'!$M$11:$M$62,AV154))</x:f>
        <x:v>0.9285714285714286</x:v>
      </x:c>
      <x:c r="AX154" s="60" t="n">
        <x:f>IF(AU154=0,0,ROUND(AU154,2-INT(LOG10(ABS(AU154)))))</x:f>
        <x:v>794000</x:v>
      </x:c>
      <x:c r="AY154" s="62" t="n">
        <x:f>AU154/AU153-1</x:f>
        <x:v>0.010936654033568027</x:v>
      </x:c>
    </x:row>
    <x:row r="155" ht="25" customHeight="1">
      <x:c r="A155" s="40" t="str">
        <x:f>'调前玩家曲线'!A155</x:f>
      </x:c>
      <x:c r="B155" s="40" t="n">
        <x:f>'调前玩家曲线'!B155</x:f>
        <x:v>144</x:v>
      </x:c>
      <x:c r="C155" s="40" t="n">
        <x:f>'调前玩家曲线'!C155</x:f>
        <x:v>10</x:v>
      </x:c>
      <x:c r="D155" s="40" t="n">
        <x:f>'调前玩家曲线'!D155</x:f>
        <x:v>15</x:v>
      </x:c>
      <x:c r="E155" s="40" t="n">
        <x:f>'调前玩家曲线'!E155</x:f>
        <x:v>1</x:v>
      </x:c>
      <x:c r="F155" s="40" t="n">
        <x:f>'调前玩家曲线'!F155</x:f>
        <x:v>5</x:v>
      </x:c>
      <x:c r="G155" s="63" t="n">
        <x:f>IF(B155&lt;$G$8,0,(INDEX('主线调参'!$C$11:$C$62,$AV155)+(INDEX('主线调参'!$C$11:$C$62,$AV155+1)-INDEX('主线调参'!$C$11:$C$62,$AV155))*$AW155)*'参数说明'!$C$27)</x:f>
        <x:v>0.7065952621744399</x:v>
      </x:c>
      <x:c r="H155" s="63" t="n">
        <x:f>IF(B155&lt;$H$8,0,(INDEX('主线调参'!$D$11:$D$62,$AV155)+(INDEX('主线调参'!$D$11:$D$62,$AV155+1)-INDEX('主线调参'!$D$11:$D$62,$AV155))*$AW155)*'参数说明'!$D$27)</x:f>
        <x:v>0.5536879173827722</x:v>
      </x:c>
      <x:c r="I155" s="63" t="n">
        <x:f>IF(B155&lt;$I$8,0,(INDEX('主线调参'!$E$11:$E$62,$AV155)+(INDEX('主线调参'!$E$11:$E$62,$AV155+1)-INDEX('主线调参'!$E$11:$E$62,$AV155))*$AW155)*'参数说明'!$E$27)</x:f>
        <x:v>0.42823064255516113</x:v>
      </x:c>
      <x:c r="J155" s="63" t="n">
        <x:f>IF(B155&lt;$J$8,0,(INDEX('主线调参'!$F$11:$F$62,$AV155)+(INDEX('主线调参'!$F$11:$F$62,$AV155+1)-INDEX('主线调参'!$F$11:$F$62,$AV155))*$AW155)*'参数说明'!$F$27)</x:f>
        <x:v>0.4370267087833109</x:v>
      </x:c>
      <x:c r="K155" s="63" t="n">
        <x:f>IF(B155&lt;$K$8,0,(INDEX('主线调参'!$G$11:$G$62,$AV155)+(INDEX('主线调参'!$G$11:$G$62,$AV155+1)-INDEX('主线调参'!$G$11:$G$62,$AV155))*$AW155)*'参数说明'!$G$27)</x:f>
        <x:v>0.31919257644380233</x:v>
      </x:c>
      <x:c r="L155" s="63" t="n">
        <x:f>IF(B155&lt;$L$8,0,(INDEX('主线调参'!$H$11:$H$62,$AV155)+(INDEX('主线调参'!$H$11:$H$62,$AV155+1)-INDEX('主线调参'!$H$11:$H$62,$AV155))*$AW155)*'参数说明'!$H$27)</x:f>
        <x:v>0.5438680815625764</x:v>
      </x:c>
      <x:c r="M155" s="59" t="n">
        <x:f>E155*'模块规划'!$F$10+G155*'模块规划'!$F$11+H155*'模块规划'!$F$13</x:f>
        <x:v>4391.657258437312</x:v>
      </x:c>
      <x:c r="N155" s="59" t="n">
        <x:f>I155*'模块规划'!$F$15+J155*'模块规划'!$F$17+K155*'模块规划'!$F$16+L155*'模块规划'!$F$18</x:f>
        <x:v>12430.608094750094</x:v>
      </x:c>
      <x:c r="O155" s="59" t="n">
        <x:f>1+O$9*SUMPRODUCT($H$10:$L$10,H155:L155)/SUM($H$10:$L$10)</x:f>
        <x:v>2.6772702575037286</x:v>
      </x:c>
      <x:c r="P155" s="59" t="n">
        <x:f>M155*O155+N155</x:f>
        <x:v>24188.261453914674</x:v>
      </x:c>
      <x:c r="Q155" s="59" t="n">
        <x:f>P155/(P155+'_曲线基线'!$L$2)</x:f>
        <x:v>0.5019533953730072</x:v>
      </x:c>
      <x:c r="R155" s="59" t="n">
        <x:f>E155*'模块规划'!$E$10+G155*'模块规划'!$E$11+H155*'模块规划'!$E$13</x:f>
        <x:v>6587.485887655967</x:v>
      </x:c>
      <x:c r="S155" s="59" t="n">
        <x:f>I155*'模块规划'!$E$15+J155*'模块规划'!$E$17+K155*'模块规划'!$E$16+L155*'模块规划'!$E$18</x:f>
        <x:v>18645.91214212514</x:v>
      </x:c>
      <x:c r="T155" s="59" t="n">
        <x:f>1+T$9*SUMPRODUCT($H$10:$L$10,H155:L155)/SUM($H$10:$L$10)</x:f>
        <x:v>2.6772702575037286</x:v>
      </x:c>
      <x:c r="U155" s="59" t="n">
        <x:f>R155*T155+S155</x:f>
        <x:v>36282.39218087201</x:v>
      </x:c>
      <x:c r="V155" s="59" t="n">
        <x:f>V$8+(V$9-V$8)*H155</x:f>
        <x:v>0.8661063752148317</x:v>
      </x:c>
      <x:c r="W155" s="59" t="n">
        <x:f>IF(B155&lt;$H$8,0,W$8+(W$9-W$8)*H155)</x:f>
        <x:v>0.2214751669531089</x:v>
      </x:c>
      <x:c r="X155" s="59" t="n">
        <x:f>X$8+(X$9-X$8)*H155</x:f>
        <x:v>0.4272641772802624</x:v>
      </x:c>
      <x:c r="Y155" s="59" t="n">
        <x:f>Y$8+(Y$9-Y$8)*G155</x:f>
        <x:v>1</x:v>
      </x:c>
      <x:c r="Z155" s="59" t="n">
        <x:f>Z$8+(Z$9-Z$8)*H155</x:f>
        <x:v>1</x:v>
      </x:c>
      <x:c r="AA155" s="59" t="n">
        <x:f>AA$8+(AA$9-AA$8)*I155</x:f>
        <x:v>1</x:v>
      </x:c>
      <x:c r="AB155" s="59" t="n">
        <x:f>AB$8+(AB$9-AB$8)*J155</x:f>
        <x:v>1</x:v>
      </x:c>
      <x:c r="AC155" s="59" t="n">
        <x:f>AC$8+(AC$9-AC$8)*MAX(K155,L155)</x:f>
        <x:v>1</x:v>
      </x:c>
      <x:c r="AD155" s="59" t="n">
        <x:f>(V155*AE155+W155*AF155+X155*AG155)*PRODUCT(Y155:AC155)</x:f>
        <x:v>1.6597243365970475</x:v>
      </x:c>
      <x:c r="AE155" s="59" t="n">
        <x:f>1+AE$9*($H$10*H155+$I$10*I155+$J$10*J155+$K$10*K155+$L$10*L155)</x:f>
        <x:v>1</x:v>
      </x:c>
      <x:c r="AF155" s="59" t="n">
        <x:f>1+AF$9*($H$10*H155+$I$10*I155+$J$10*J155+$K$10*K155+$L$10*L155)</x:f>
        <x:v>1.1480343790023535</x:v>
      </x:c>
      <x:c r="AG155" s="59" t="n">
        <x:f>1+AG$9*($H$10*H155+$I$10*I155+$J$10*J155+$K$10*K155+$L$10*L155)</x:f>
        <x:v>1.2623498161208395</x:v>
      </x:c>
      <x:c r="AH155" s="59" t="n">
        <x:f>MIN(1,'_曲线基线'!$L$3+AH$9*($H$10*H155+$I$10*I155+$J$10*J155+$K$10*K155+$L$10*L155))</x:f>
        <x:v>0.3867782122303538</x:v>
      </x:c>
      <x:c r="AI155" s="59" t="n">
        <x:f>'_曲线基线'!$L$4+AI$9*($H$10*H155+$I$10*I155+$J$10*J155+$K$10*K155+$L$10*L155)</x:f>
        <x:v>2.938167876927414</x:v>
      </x:c>
      <x:c r="AJ155" s="59" t="n">
        <x:f>1+AJ$9*($H$10*H155+$I$10*I155+$J$10*J155+$K$10*K155+$L$10*L155)</x:f>
        <x:v>1.7697787708122372</x:v>
      </x:c>
      <x:c r="AK155" s="59" t="n">
        <x:f>(1+AH155*(AI155-1))*AJ155</x:f>
        <x:v>3.0964776867184516</x:v>
      </x:c>
      <x:c r="AL155" s="59" t="n">
        <x:f>U155*AD155*AK155*F155</x:f>
        <x:v>932330.3771801632</x:v>
      </x:c>
      <x:c r="AM155" s="59" t="n">
        <x:f>IF($B155&lt;AM$8,0,AM$3+(AM$4-AM$3)*(POWER(AM$5,$B155-AM$8)-1)/(POWER(AM$5,$C$5-AM$8)-1))</x:f>
        <x:v>39.227586046927854</x:v>
      </x:c>
      <x:c r="AN155" s="59" t="n">
        <x:f>(((E155*'模块规划'!$D$10+G155*'模块规划'!$D$11+H155*'模块规划'!$D$13)*(1+'模块规划'!$G$14*H155)+(I155*'模块规划'!$D$15+J155*'模块规划'!$D$17+K155*'模块规划'!$D$16+L155*'模块规划'!$D$18))*(1+'模块规划'!$J$17*J155))*F155/(1-Q155)</x:f>
        <x:v>1454710.1942132236</x:v>
      </x:c>
      <x:c r="AO155" s="59" t="n">
        <x:f>AL155*AM155</x:f>
        <x:v>36573070.09499955</x:v>
      </x:c>
      <x:c r="AP155" s="61" t="n">
        <x:f>IF(AO155="","",INDEX('_曲线基线'!$A$3:$A$502,MIN(ROWS('_曲线基线'!$A$3:$A$502),COUNTIF('_曲线基线'!$E$3:$E$502,"&lt;"&amp;AO155)+1)))</x:f>
        <x:v>220</x:v>
      </x:c>
      <x:c r="AQ155" s="61" t="n">
        <x:f>IF(B155&lt;=2,1,IF(B155&lt;=6,2,IF(B155&lt;=9,3,IF(B155&lt;=19,4,5))))</x:f>
        <x:v>5</x:v>
      </x:c>
      <x:c r="AR155" s="59" t="n">
        <x:f>AN155*(1-Q155)/F155*$AS$3+U155*$AS$4+P155*$AS$5</x:f>
        <x:v>11603.559273839419</x:v>
      </x:c>
      <x:c r="AS155" s="59" t="n">
        <x:f>1+AH155*$AS$6+AI155*$AS$7+(AJ155-1)*$AS$8+($H$10*H155+$I$10*I155+$J$10*J155+$K$10*K155+$L$10*L155)*$AU$3*$AS$9+($H$10*H155+$I$10*I155+$J$10*J155+$K$10*K155+$L$10*L155)*$AU$4*$AS$10</x:f>
        <x:v>13.826802349453752</x:v>
      </x:c>
      <x:c r="AT155" s="60" t="n">
        <x:f>ROUND(AR155*AS155,0)</x:f>
        <x:v>160440</x:v>
      </x:c>
      <x:c r="AU155" s="60" t="n">
        <x:f>ROUND(AT155*F155,0)</x:f>
        <x:v>802200</x:v>
      </x:c>
      <x:c r="AV155" s="60" t="n">
        <x:f>MIN(MATCH(B155,'主线调参'!$M$11:$M$62,1),ROWS('主线调参'!$M$11:$M$62)-1)</x:f>
        <x:v>34</x:v>
      </x:c>
      <x:c r="AW155" s="62" t="n">
        <x:f>(B155-INDEX('主线调参'!$M$11:$M$62,AV155))/(INDEX('主线调参'!$M$11:$M$62,AV155+1)-INDEX('主线调参'!$M$11:$M$62,AV155))</x:f>
        <x:v>0</x:v>
      </x:c>
      <x:c r="AX155" s="60" t="n">
        <x:f>IF(AU155=0,0,ROUND(AU155,2-INT(LOG10(ABS(AU155)))))</x:f>
        <x:v>802000</x:v>
      </x:c>
      <x:c r="AY155" s="62" t="n">
        <x:f>AU155/AU154-1</x:f>
        <x:v>0.010887645546650448</x:v>
      </x:c>
    </x:row>
    <x:row r="156" ht="25" customHeight="1">
      <x:c r="A156" s="40" t="str">
        <x:f>'调前玩家曲线'!A156</x:f>
      </x:c>
      <x:c r="B156" s="40" t="n">
        <x:f>'调前玩家曲线'!B156</x:f>
        <x:v>145</x:v>
      </x:c>
      <x:c r="C156" s="40" t="n">
        <x:f>'调前玩家曲线'!C156</x:f>
        <x:v>11</x:v>
      </x:c>
      <x:c r="D156" s="40" t="n">
        <x:f>'调前玩家曲线'!D156</x:f>
        <x:v>1</x:v>
      </x:c>
      <x:c r="E156" s="40" t="n">
        <x:f>'调前玩家曲线'!E156</x:f>
        <x:v>1</x:v>
      </x:c>
      <x:c r="F156" s="40" t="n">
        <x:f>'调前玩家曲线'!F156</x:f>
        <x:v>5</x:v>
      </x:c>
      <x:c r="G156" s="63" t="n">
        <x:f>IF(B156&lt;$G$8,0,(INDEX('主线调参'!$C$11:$C$62,$AV156)+(INDEX('主线调参'!$C$11:$C$62,$AV156+1)-INDEX('主线调参'!$C$11:$C$62,$AV156))*$AW156)*'参数说明'!$C$27)</x:f>
        <x:v>0.7086328195834423</x:v>
      </x:c>
      <x:c r="H156" s="63" t="n">
        <x:f>IF(B156&lt;$H$8,0,(INDEX('主线调参'!$D$11:$D$62,$AV156)+(INDEX('主线调参'!$D$11:$D$62,$AV156+1)-INDEX('主线调参'!$D$11:$D$62,$AV156))*$AW156)*'参数说明'!$D$27)</x:f>
        <x:v>0.5552466223795348</x:v>
      </x:c>
      <x:c r="I156" s="63" t="n">
        <x:f>IF(B156&lt;$I$8,0,(INDEX('主线调参'!$E$11:$E$62,$AV156)+(INDEX('主线调参'!$E$11:$E$62,$AV156+1)-INDEX('主线调参'!$E$11:$E$62,$AV156))*$AW156)*'参数说明'!$E$27)</x:f>
        <x:v>0.431094457011522</x:v>
      </x:c>
      <x:c r="J156" s="63" t="n">
        <x:f>IF(B156&lt;$J$8,0,(INDEX('主线调参'!$F$11:$F$62,$AV156)+(INDEX('主线调参'!$F$11:$F$62,$AV156+1)-INDEX('主线调参'!$F$11:$F$62,$AV156))*$AW156)*'参数说明'!$F$27)</x:f>
        <x:v>0.43884738745332147</x:v>
      </x:c>
      <x:c r="K156" s="63" t="n">
        <x:f>IF(B156&lt;$K$8,0,(INDEX('主线调参'!$G$11:$G$62,$AV156)+(INDEX('主线调参'!$G$11:$G$62,$AV156+1)-INDEX('主线调参'!$G$11:$G$62,$AV156))*$AW156)*'参数说明'!$G$27)</x:f>
        <x:v>0.3242060755404157</x:v>
      </x:c>
      <x:c r="L156" s="63" t="n">
        <x:f>IF(B156&lt;$L$8,0,(INDEX('主线调参'!$H$11:$H$62,$AV156)+(INDEX('主线调参'!$H$11:$H$62,$AV156+1)-INDEX('主线调参'!$H$11:$H$62,$AV156))*$AW156)*'参数说明'!$H$27)</x:f>
        <x:v>0.5455931954138604</x:v>
      </x:c>
      <x:c r="M156" s="59" t="n">
        <x:f>E156*'模块规划'!$F$10+G156*'模块规划'!$F$11+H156*'模块规划'!$F$13</x:f>
        <x:v>4401.437534000523</x:v>
      </x:c>
      <x:c r="N156" s="59" t="n">
        <x:f>I156*'模块规划'!$F$15+J156*'模块规划'!$F$17+K156*'模块规划'!$F$16+L156*'模块规划'!$F$18</x:f>
        <x:v>12510.431960937185</x:v>
      </x:c>
      <x:c r="O156" s="59" t="n">
        <x:f>1+O$9*SUMPRODUCT($H$10:$L$10,H156:L156)/SUM($H$10:$L$10)</x:f>
        <x:v>2.686584959126871</x:v>
      </x:c>
      <x:c r="P156" s="59" t="n">
        <x:f>M156*O156+N156</x:f>
        <x:v>24335.267838319458</x:v>
      </x:c>
      <x:c r="Q156" s="59" t="n">
        <x:f>P156/(P156+'_曲线基线'!$L$2)</x:f>
        <x:v>0.5034681491725764</x:v>
      </x:c>
      <x:c r="R156" s="59" t="n">
        <x:f>E156*'模块规划'!$E$10+G156*'模块规划'!$E$11+H156*'模块规划'!$E$13</x:f>
        <x:v>6602.156301000784</x:v>
      </x:c>
      <x:c r="S156" s="59" t="n">
        <x:f>I156*'模块规划'!$E$15+J156*'模块规划'!$E$17+K156*'模块规划'!$E$16+L156*'模块规划'!$E$18</x:f>
        <x:v>18765.647941405783</x:v>
      </x:c>
      <x:c r="T156" s="59" t="n">
        <x:f>1+T$9*SUMPRODUCT($H$10:$L$10,H156:L156)/SUM($H$10:$L$10)</x:f>
        <x:v>2.686584959126871</x:v>
      </x:c>
      <x:c r="U156" s="59" t="n">
        <x:f>R156*T156+S156</x:f>
        <x:v>36502.901757479194</x:v>
      </x:c>
      <x:c r="V156" s="59" t="n">
        <x:f>V$8+(V$9-V$8)*H156</x:f>
        <x:v>0.8665739867138604</x:v>
      </x:c>
      <x:c r="W156" s="59" t="n">
        <x:f>IF(B156&lt;$H$8,0,W$8+(W$9-W$8)*H156)</x:f>
        <x:v>0.22209864895181394</x:v>
      </x:c>
      <x:c r="X156" s="59" t="n">
        <x:f>X$8+(X$9-X$8)*H156</x:f>
        <x:v>0.4276928211543721</x:v>
      </x:c>
      <x:c r="Y156" s="59" t="n">
        <x:f>Y$8+(Y$9-Y$8)*G156</x:f>
        <x:v>1</x:v>
      </x:c>
      <x:c r="Z156" s="59" t="n">
        <x:f>Z$8+(Z$9-Z$8)*H156</x:f>
        <x:v>1</x:v>
      </x:c>
      <x:c r="AA156" s="59" t="n">
        <x:f>AA$8+(AA$9-AA$8)*I156</x:f>
        <x:v>1</x:v>
      </x:c>
      <x:c r="AB156" s="59" t="n">
        <x:f>AB$8+(AB$9-AB$8)*J156</x:f>
        <x:v>1</x:v>
      </x:c>
      <x:c r="AC156" s="59" t="n">
        <x:f>AC$8+(AC$9-AC$8)*MAX(K156,L156)</x:f>
        <x:v>1</x:v>
      </x:c>
      <x:c r="AD156" s="59" t="n">
        <x:f>(V156*AE156+W156*AF156+X156*AG156)*PRODUCT(Y156:AC156)</x:f>
        <x:v>1.6622545442462113</x:v>
      </x:c>
      <x:c r="AE156" s="59" t="n">
        <x:f>1+AE$9*($H$10*H156+$I$10*I156+$J$10*J156+$K$10*K156+$L$10*L156)</x:f>
        <x:v>1</x:v>
      </x:c>
      <x:c r="AF156" s="59" t="n">
        <x:f>1+AF$9*($H$10*H156+$I$10*I156+$J$10*J156+$K$10*K156+$L$10*L156)</x:f>
        <x:v>1.1488564862711166</x:v>
      </x:c>
      <x:c r="AG156" s="59" t="n">
        <x:f>1+AG$9*($H$10*H156+$I$10*I156+$J$10*J156+$K$10*K156+$L$10*L156)</x:f>
        <x:v>1.263806772891592</x:v>
      </x:c>
      <x:c r="AH156" s="59" t="n">
        <x:f>MIN(1,'_曲线基线'!$L$3+AH$9*($H$10*H156+$I$10*I156+$J$10*J156+$K$10*K156+$L$10*L156))</x:f>
        <x:v>0.38864850626679004</x:v>
      </x:c>
      <x:c r="AI156" s="59" t="n">
        <x:f>'_曲线基线'!$L$4+AI$9*($H$10*H156+$I$10*I156+$J$10*J156+$K$10*K156+$L$10*L156)</x:f>
        <x:v>2.943377981743201</x:v>
      </x:c>
      <x:c r="AJ156" s="59" t="n">
        <x:f>1+AJ$9*($H$10*H156+$I$10*I156+$J$10*J156+$K$10*K156+$L$10*L156)</x:f>
        <x:v>1.774053728609806</x:v>
      </x:c>
      <x:c r="AK156" s="59" t="n">
        <x:f>(1+AH156*(AI156-1))*AJ156</x:f>
        <x:v>3.113980454139186</x:v>
      </x:c>
      <x:c r="AL156" s="59" t="n">
        <x:f>U156*AD156*AK156*F156</x:f>
        <x:v>944736.7401009756</x:v>
      </x:c>
      <x:c r="AM156" s="59" t="n">
        <x:f>IF($B156&lt;AM$8,0,AM$3+(AM$4-AM$3)*(POWER(AM$5,$B156-AM$8)-1)/(POWER(AM$5,$C$5-AM$8)-1))</x:f>
        <x:v>39.283286547319</x:v>
      </x:c>
      <x:c r="AN156" s="59" t="n">
        <x:f>(((E156*'模块规划'!$D$10+G156*'模块规划'!$D$11+H156*'模块规划'!$D$13)*(1+'模块规划'!$G$14*H156)+(I156*'模块规划'!$D$15+J156*'模块规划'!$D$17+K156*'模块规划'!$D$16+L156*'模块规划'!$D$18))*(1+'模块规划'!$J$17*J156))*F156/(1-Q156)</x:f>
        <x:v>1468975.8214466728</x:v>
      </x:c>
      <x:c r="AO156" s="59" t="n">
        <x:f>AL156*AM156</x:f>
        <x:v>37112364.07316666</x:v>
      </x:c>
      <x:c r="AP156" s="61" t="n">
        <x:f>IF(AO156="","",INDEX('_曲线基线'!$A$3:$A$502,MIN(ROWS('_曲线基线'!$A$3:$A$502),COUNTIF('_曲线基线'!$E$3:$E$502,"&lt;"&amp;AO156)+1)))</x:f>
        <x:v>221</x:v>
      </x:c>
      <x:c r="AQ156" s="61" t="n">
        <x:f>IF(B156&lt;=2,1,IF(B156&lt;=6,2,IF(B156&lt;=9,3,IF(B156&lt;=19,4,5))))</x:f>
        <x:v>5</x:v>
      </x:c>
      <x:c r="AR156" s="59" t="n">
        <x:f>AN156*(1-Q156)/F156*$AS$3+U156*$AS$4+P156*$AS$5</x:f>
        <x:v>11676.940052157745</x:v>
      </x:c>
      <x:c r="AS156" s="59" t="n">
        <x:f>1+AH156*$AS$6+AI156*$AS$7+(AJ156-1)*$AS$8+($H$10*H156+$I$10*I156+$J$10*J156+$K$10*K156+$L$10*L156)*$AU$3*$AS$9+($H$10*H156+$I$10*I156+$J$10*J156+$K$10*K156+$L$10*L156)*$AU$4*$AS$10</x:f>
        <x:v>13.875924192881739</x:v>
      </x:c>
      <x:c r="AT156" s="60" t="n">
        <x:f>ROUND(AR156*AS156,0)</x:f>
        <x:v>162028</x:v>
      </x:c>
      <x:c r="AU156" s="60" t="n">
        <x:f>ROUND(AT156*F156,0)</x:f>
        <x:v>810140</x:v>
      </x:c>
      <x:c r="AV156" s="60" t="n">
        <x:f>MIN(MATCH(B156,'主线调参'!$M$11:$M$62,1),ROWS('主线调参'!$M$11:$M$62)-1)</x:f>
        <x:v>35</x:v>
      </x:c>
      <x:c r="AW156" s="62" t="n">
        <x:f>(B156-INDEX('主线调参'!$M$11:$M$62,AV156))/(INDEX('主线调参'!$M$11:$M$62,AV156+1)-INDEX('主线调参'!$M$11:$M$62,AV156))</x:f>
        <x:v>0</x:v>
      </x:c>
      <x:c r="AX156" s="60" t="n">
        <x:f>IF(AU156=0,0,ROUND(AU156,2-INT(LOG10(ABS(AU156)))))</x:f>
        <x:v>810000</x:v>
      </x:c>
      <x:c r="AY156" s="62" t="n">
        <x:f>AU156/AU155-1</x:f>
        <x:v>0.009897781101969594</x:v>
      </x:c>
    </x:row>
    <x:row r="157" ht="25" customHeight="1">
      <x:c r="A157" s="40" t="str">
        <x:f>'调前玩家曲线'!A157</x:f>
      </x:c>
      <x:c r="B157" s="40" t="n">
        <x:f>'调前玩家曲线'!B157</x:f>
        <x:v>146</x:v>
      </x:c>
      <x:c r="C157" s="40" t="n">
        <x:f>'调前玩家曲线'!C157</x:f>
        <x:v>11</x:v>
      </x:c>
      <x:c r="D157" s="40" t="n">
        <x:f>'调前玩家曲线'!D157</x:f>
        <x:v>2</x:v>
      </x:c>
      <x:c r="E157" s="40" t="n">
        <x:f>'调前玩家曲线'!E157</x:f>
        <x:v>1</x:v>
      </x:c>
      <x:c r="F157" s="40" t="n">
        <x:f>'调前玩家曲线'!F157</x:f>
        <x:v>5</x:v>
      </x:c>
      <x:c r="G157" s="63" t="n">
        <x:f>IF(B157&lt;$G$8,0,(INDEX('主线调参'!$C$11:$C$62,$AV157)+(INDEX('主线调参'!$C$11:$C$62,$AV157+1)-INDEX('主线调参'!$C$11:$C$62,$AV157))*$AW157)*'参数说明'!$C$27)</x:f>
        <x:v>0.710564811667945</x:v>
      </x:c>
      <x:c r="H157" s="63" t="n">
        <x:f>IF(B157&lt;$H$8,0,(INDEX('主线调参'!$D$11:$D$62,$AV157)+(INDEX('主线调参'!$D$11:$D$62,$AV157+1)-INDEX('主线调参'!$D$11:$D$62,$AV157))*$AW157)*'参数说明'!$D$27)</x:f>
        <x:v>0.556709967021756</x:v>
      </x:c>
      <x:c r="I157" s="63" t="n">
        <x:f>IF(B157&lt;$I$8,0,(INDEX('主线调参'!$E$11:$E$62,$AV157)+(INDEX('主线调参'!$E$11:$E$62,$AV157+1)-INDEX('主线调参'!$E$11:$E$62,$AV157))*$AW157)*'参数说明'!$E$27)</x:f>
        <x:v>0.43371308388096486</x:v>
      </x:c>
      <x:c r="J157" s="63" t="n">
        <x:f>IF(B157&lt;$J$8,0,(INDEX('主线调参'!$F$11:$F$62,$AV157)+(INDEX('主线调参'!$F$11:$F$62,$AV157+1)-INDEX('主线调参'!$F$11:$F$62,$AV157))*$AW157)*'参数说明'!$F$27)</x:f>
        <x:v>0.440544884024346</x:v>
      </x:c>
      <x:c r="K157" s="63" t="n">
        <x:f>IF(B157&lt;$K$8,0,(INDEX('主线调参'!$G$11:$G$62,$AV157)+(INDEX('主线调参'!$G$11:$G$62,$AV157+1)-INDEX('主线调参'!$G$11:$G$62,$AV157))*$AW157)*'参数说明'!$G$27)</x:f>
        <x:v>0.3287049198647343</x:v>
      </x:c>
      <x:c r="L157" s="63" t="n">
        <x:f>IF(B157&lt;$L$8,0,(INDEX('主线调参'!$H$11:$H$62,$AV157)+(INDEX('主线调参'!$H$11:$H$62,$AV157+1)-INDEX('主线调参'!$H$11:$H$62,$AV157))*$AW157)*'参数说明'!$H$27)</x:f>
        <x:v>0.5472041404904738</x:v>
      </x:c>
      <x:c r="M157" s="59" t="n">
        <x:f>E157*'模块规划'!$F$10+G157*'模块规划'!$F$11+H157*'模块规划'!$F$13</x:f>
        <x:v>4410.711096006136</x:v>
      </x:c>
      <x:c r="N157" s="59" t="n">
        <x:f>I157*'模块规划'!$F$15+J157*'模块规划'!$F$17+K157*'模块规划'!$F$16+L157*'模块规划'!$F$18</x:f>
        <x:v>12583.403732931954</x:v>
      </x:c>
      <x:c r="O157" s="59" t="n">
        <x:f>1+O$9*SUMPRODUCT($H$10:$L$10,H157:L157)/SUM($H$10:$L$10)</x:f>
        <x:v>2.6951357998433876</x:v>
      </x:c>
      <x:c r="P157" s="59" t="n">
        <x:f>M157*O157+N157</x:f>
        <x:v>24470.869110544558</x:v>
      </x:c>
      <x:c r="Q157" s="59" t="n">
        <x:f>P157/(P157+'_曲线基线'!$L$2)</x:f>
        <x:v>0.5048572381637172</x:v>
      </x:c>
      <x:c r="R157" s="59" t="n">
        <x:f>E157*'模块规划'!$E$10+G157*'模块规划'!$E$11+H157*'模块规划'!$E$13</x:f>
        <x:v>6616.0666440092045</x:v>
      </x:c>
      <x:c r="S157" s="59" t="n">
        <x:f>I157*'模块规划'!$E$15+J157*'模块规划'!$E$17+K157*'模块规划'!$E$16+L157*'模块规划'!$E$18</x:f>
        <x:v>18875.10559939793</x:v>
      </x:c>
      <x:c r="T157" s="59" t="n">
        <x:f>1+T$9*SUMPRODUCT($H$10:$L$10,H157:L157)/SUM($H$10:$L$10)</x:f>
        <x:v>2.6951357998433876</x:v>
      </x:c>
      <x:c r="U157" s="59" t="n">
        <x:f>R157*T157+S157</x:f>
        <x:v>36706.303665816835</x:v>
      </x:c>
      <x:c r="V157" s="59" t="n">
        <x:f>V$8+(V$9-V$8)*H157</x:f>
        <x:v>0.8670129901065268</x:v>
      </x:c>
      <x:c r="W157" s="59" t="n">
        <x:f>IF(B157&lt;$H$8,0,W$8+(W$9-W$8)*H157)</x:f>
        <x:v>0.2226839868087024</x:v>
      </x:c>
      <x:c r="X157" s="59" t="n">
        <x:f>X$8+(X$9-X$8)*H157</x:f>
        <x:v>0.42809524093098295</x:v>
      </x:c>
      <x:c r="Y157" s="59" t="n">
        <x:f>Y$8+(Y$9-Y$8)*G157</x:f>
        <x:v>1</x:v>
      </x:c>
      <x:c r="Z157" s="59" t="n">
        <x:f>Z$8+(Z$9-Z$8)*H157</x:f>
        <x:v>1</x:v>
      </x:c>
      <x:c r="AA157" s="59" t="n">
        <x:f>AA$8+(AA$9-AA$8)*I157</x:f>
        <x:v>1</x:v>
      </x:c>
      <x:c r="AB157" s="59" t="n">
        <x:f>AB$8+(AB$9-AB$8)*J157</x:f>
        <x:v>1</x:v>
      </x:c>
      <x:c r="AC157" s="59" t="n">
        <x:f>AC$8+(AC$9-AC$8)*MAX(K157,L157)</x:f>
        <x:v>1</x:v>
      </x:c>
      <x:c r="AD157" s="59" t="n">
        <x:f>(V157*AE157+W157*AF157+X157*AG157)*PRODUCT(Y157:AC157)</x:f>
        <x:v>1.6646152227760174</x:v>
      </x:c>
      <x:c r="AE157" s="59" t="n">
        <x:f>1+AE$9*($H$10*H157+$I$10*I157+$J$10*J157+$K$10*K157+$L$10*L157)</x:f>
        <x:v>1</x:v>
      </x:c>
      <x:c r="AF157" s="59" t="n">
        <x:f>1+AF$9*($H$10*H157+$I$10*I157+$J$10*J157+$K$10*K157+$L$10*L157)</x:f>
        <x:v>1.149611175856623</x:v>
      </x:c>
      <x:c r="AG157" s="59" t="n">
        <x:f>1+AG$9*($H$10*H157+$I$10*I157+$J$10*J157+$K$10*K157+$L$10*L157)</x:f>
        <x:v>1.265144250545906</x:v>
      </x:c>
      <x:c r="AH157" s="59" t="n">
        <x:f>MIN(1,'_曲线基线'!$L$3+AH$9*($H$10*H157+$I$10*I157+$J$10*J157+$K$10*K157+$L$10*L157))</x:f>
        <x:v>0.3903654250738169</x:v>
      </x:c>
      <x:c r="AI157" s="59" t="n">
        <x:f>'_曲线基线'!$L$4+AI$9*($H$10*H157+$I$10*I157+$J$10*J157+$K$10*K157+$L$10*L157)</x:f>
        <x:v>2.948160826991347</x:v>
      </x:c>
      <x:c r="AJ157" s="59" t="n">
        <x:f>1+AJ$9*($H$10*H157+$I$10*I157+$J$10*J157+$K$10*K157+$L$10*L157)</x:f>
        <x:v>1.7779781144544389</x:v>
      </x:c>
      <x:c r="AK157" s="59" t="n">
        <x:f>(1+AH157*(AI157-1))*AJ157</x:f>
        <x:v>3.13012092158223</x:v>
      </x:c>
      <x:c r="AL157" s="59" t="n">
        <x:f>U157*AD157*AK157*F157</x:f>
        <x:v>956281.237189549</x:v>
      </x:c>
      <x:c r="AM157" s="59" t="n">
        <x:f>IF($B157&lt;AM$8,0,AM$3+(AM$4-AM$3)*(POWER(AM$5,$B157-AM$8)-1)/(POWER(AM$5,$C$5-AM$8)-1))</x:f>
        <x:v>39.33954405271406</x:v>
      </x:c>
      <x:c r="AN157" s="59" t="n">
        <x:f>(((E157*'模块规划'!$D$10+G157*'模块规划'!$D$11+H157*'模块规划'!$D$13)*(1+'模块规划'!$G$14*H157)+(I157*'模块规划'!$D$15+J157*'模块规划'!$D$17+K157*'模块规划'!$D$16+L157*'模块规划'!$D$18))*(1+'模块规划'!$J$17*J157))*F157/(1-Q157)</x:f>
        <x:v>1482216.4427242633</x:v>
      </x:c>
      <x:c r="AO157" s="59" t="n">
        <x:f>AL157*AM157</x:f>
        <x:v>37619667.857202165</x:v>
      </x:c>
      <x:c r="AP157" s="61" t="n">
        <x:f>IF(AO157="","",INDEX('_曲线基线'!$A$3:$A$502,MIN(ROWS('_曲线基线'!$A$3:$A$502),COUNTIF('_曲线基线'!$E$3:$E$502,"&lt;"&amp;AO157)+1)))</x:f>
        <x:v>222</x:v>
      </x:c>
      <x:c r="AQ157" s="61" t="n">
        <x:f>IF(B157&lt;=2,1,IF(B157&lt;=6,2,IF(B157&lt;=9,3,IF(B157&lt;=19,4,5))))</x:f>
        <x:v>5</x:v>
      </x:c>
      <x:c r="AR157" s="59" t="n">
        <x:f>AN157*(1-Q157)/F157*$AS$3+U157*$AS$4+P157*$AS$5</x:f>
        <x:v>11744.71319170122</x:v>
      </x:c>
      <x:c r="AS157" s="59" t="n">
        <x:f>1+AH157*$AS$6+AI157*$AS$7+(AJ157-1)*$AS$8+($H$10*H157+$I$10*I157+$J$10*J157+$K$10*K157+$L$10*L157)*$AU$3*$AS$9+($H$10*H157+$I$10*I157+$J$10*J157+$K$10*K157+$L$10*L157)*$AU$4*$AS$10</x:f>
        <x:v>13.921017753131784</x:v>
      </x:c>
      <x:c r="AT157" s="60" t="n">
        <x:f>ROUND(AR157*AS157,0)</x:f>
        <x:v>163498</x:v>
      </x:c>
      <x:c r="AU157" s="60" t="n">
        <x:f>ROUND(AT157*F157,0)</x:f>
        <x:v>817490</x:v>
      </x:c>
      <x:c r="AV157" s="60" t="n">
        <x:f>MIN(MATCH(B157,'主线调参'!$M$11:$M$62,1),ROWS('主线调参'!$M$11:$M$62)-1)</x:f>
        <x:v>35</x:v>
      </x:c>
      <x:c r="AW157" s="62" t="n">
        <x:f>(B157-INDEX('主线调参'!$M$11:$M$62,AV157))/(INDEX('主线调参'!$M$11:$M$62,AV157+1)-INDEX('主线调参'!$M$11:$M$62,AV157))</x:f>
        <x:v>0.07142857142857142</x:v>
      </x:c>
      <x:c r="AX157" s="60" t="n">
        <x:f>IF(AU157=0,0,ROUND(AU157,2-INT(LOG10(ABS(AU157)))))</x:f>
        <x:v>817000</x:v>
      </x:c>
      <x:c r="AY157" s="62" t="n">
        <x:f>AU157/AU156-1</x:f>
        <x:v>0.009072505986619683</x:v>
      </x:c>
    </x:row>
    <x:row r="158" ht="25" customHeight="1">
      <x:c r="A158" s="40" t="str">
        <x:f>'调前玩家曲线'!A158</x:f>
      </x:c>
      <x:c r="B158" s="40" t="n">
        <x:f>'调前玩家曲线'!B158</x:f>
        <x:v>147</x:v>
      </x:c>
      <x:c r="C158" s="40" t="n">
        <x:f>'调前玩家曲线'!C158</x:f>
        <x:v>11</x:v>
      </x:c>
      <x:c r="D158" s="40" t="n">
        <x:f>'调前玩家曲线'!D158</x:f>
        <x:v>3</x:v>
      </x:c>
      <x:c r="E158" s="40" t="n">
        <x:f>'调前玩家曲线'!E158</x:f>
        <x:v>1</x:v>
      </x:c>
      <x:c r="F158" s="40" t="n">
        <x:f>'调前玩家曲线'!F158</x:f>
        <x:v>5</x:v>
      </x:c>
      <x:c r="G158" s="63" t="n">
        <x:f>IF(B158&lt;$G$8,0,(INDEX('主线调参'!$C$11:$C$62,$AV158)+(INDEX('主线调参'!$C$11:$C$62,$AV158+1)-INDEX('主线调参'!$C$11:$C$62,$AV158))*$AW158)*'参数说明'!$C$27)</x:f>
        <x:v>0.7124968037524477</x:v>
      </x:c>
      <x:c r="H158" s="63" t="n">
        <x:f>IF(B158&lt;$H$8,0,(INDEX('主线调参'!$D$11:$D$62,$AV158)+(INDEX('主线调参'!$D$11:$D$62,$AV158+1)-INDEX('主线调参'!$D$11:$D$62,$AV158))*$AW158)*'参数说明'!$D$27)</x:f>
        <x:v>0.5581733116639773</x:v>
      </x:c>
      <x:c r="I158" s="63" t="n">
        <x:f>IF(B158&lt;$I$8,0,(INDEX('主线调参'!$E$11:$E$62,$AV158)+(INDEX('主线调参'!$E$11:$E$62,$AV158+1)-INDEX('主线调参'!$E$11:$E$62,$AV158))*$AW158)*'参数说明'!$E$27)</x:f>
        <x:v>0.43633171075040766</x:v>
      </x:c>
      <x:c r="J158" s="63" t="n">
        <x:f>IF(B158&lt;$J$8,0,(INDEX('主线调参'!$F$11:$F$62,$AV158)+(INDEX('主线调参'!$F$11:$F$62,$AV158+1)-INDEX('主线调参'!$F$11:$F$62,$AV158))*$AW158)*'参数说明'!$F$27)</x:f>
        <x:v>0.44224238059537047</x:v>
      </x:c>
      <x:c r="K158" s="63" t="n">
        <x:f>IF(B158&lt;$K$8,0,(INDEX('主线调参'!$G$11:$G$62,$AV158)+(INDEX('主线调参'!$G$11:$G$62,$AV158+1)-INDEX('主线调参'!$G$11:$G$62,$AV158))*$AW158)*'参数说明'!$G$27)</x:f>
        <x:v>0.333203764189053</x:v>
      </x:c>
      <x:c r="L158" s="63" t="n">
        <x:f>IF(B158&lt;$L$8,0,(INDEX('主线调参'!$H$11:$H$62,$AV158)+(INDEX('主线调参'!$H$11:$H$62,$AV158+1)-INDEX('主线调参'!$H$11:$H$62,$AV158))*$AW158)*'参数说明'!$H$27)</x:f>
        <x:v>0.5488150855670874</x:v>
      </x:c>
      <x:c r="M158" s="59" t="n">
        <x:f>E158*'模块规划'!$F$10+G158*'模块规划'!$F$11+H158*'模块规划'!$F$13</x:f>
        <x:v>4419.984658011749</x:v>
      </x:c>
      <x:c r="N158" s="59" t="n">
        <x:f>I158*'模块规划'!$F$15+J158*'模块规划'!$F$17+K158*'模块规划'!$F$16+L158*'模块规划'!$F$18</x:f>
        <x:v>12656.37550492672</x:v>
      </x:c>
      <x:c r="O158" s="59" t="n">
        <x:f>1+O$9*SUMPRODUCT($H$10:$L$10,H158:L158)/SUM($H$10:$L$10)</x:f>
        <x:v>2.703686640559904</x:v>
      </x:c>
      <x:c r="P158" s="59" t="n">
        <x:f>M158*O158+N158</x:f>
        <x:v>24606.628976272823</x:v>
      </x:c>
      <x:c r="Q158" s="59" t="n">
        <x:f>P158/(P158+'_曲线基线'!$L$2)</x:f>
        <x:v>0.506240187697124</x:v>
      </x:c>
      <x:c r="R158" s="59" t="n">
        <x:f>E158*'模块规划'!$E$10+G158*'模块规划'!$E$11+H158*'模块规划'!$E$13</x:f>
        <x:v>6629.976987017623</x:v>
      </x:c>
      <x:c r="S158" s="59" t="n">
        <x:f>I158*'模块规划'!$E$15+J158*'模块规划'!$E$17+K158*'模块规划'!$E$16+L158*'模块规划'!$E$18</x:f>
        <x:v>18984.56325739008</x:v>
      </x:c>
      <x:c r="T158" s="59" t="n">
        <x:f>1+T$9*SUMPRODUCT($H$10:$L$10,H158:L158)/SUM($H$10:$L$10)</x:f>
        <x:v>2.703686640559904</x:v>
      </x:c>
      <x:c r="U158" s="59" t="n">
        <x:f>R158*T158+S158</x:f>
        <x:v>36909.94346440923</x:v>
      </x:c>
      <x:c r="V158" s="59" t="n">
        <x:f>V$8+(V$9-V$8)*H158</x:f>
        <x:v>0.8674519934991931</x:v>
      </x:c>
      <x:c r="W158" s="59" t="n">
        <x:f>IF(B158&lt;$H$8,0,W$8+(W$9-W$8)*H158)</x:f>
        <x:v>0.22326932466559093</x:v>
      </x:c>
      <x:c r="X158" s="59" t="n">
        <x:f>X$8+(X$9-X$8)*H158</x:f>
        <x:v>0.42849766070759376</x:v>
      </x:c>
      <x:c r="Y158" s="59" t="n">
        <x:f>Y$8+(Y$9-Y$8)*G158</x:f>
        <x:v>1</x:v>
      </x:c>
      <x:c r="Z158" s="59" t="n">
        <x:f>Z$8+(Z$9-Z$8)*H158</x:f>
        <x:v>1</x:v>
      </x:c>
      <x:c r="AA158" s="59" t="n">
        <x:f>AA$8+(AA$9-AA$8)*I158</x:f>
        <x:v>1</x:v>
      </x:c>
      <x:c r="AB158" s="59" t="n">
        <x:f>AB$8+(AB$9-AB$8)*J158</x:f>
        <x:v>1</x:v>
      </x:c>
      <x:c r="AC158" s="59" t="n">
        <x:f>AC$8+(AC$9-AC$8)*MAX(K158,L158)</x:f>
        <x:v>1</x:v>
      </x:c>
      <x:c r="AD158" s="59" t="n">
        <x:f>(V158*AE158+W158*AF158+X158*AG158)*PRODUCT(Y158:AC158)</x:f>
        <x:v>1.6669778612575104</x:v>
      </x:c>
      <x:c r="AE158" s="59" t="n">
        <x:f>1+AE$9*($H$10*H158+$I$10*I158+$J$10*J158+$K$10*K158+$L$10*L158)</x:f>
        <x:v>1</x:v>
      </x:c>
      <x:c r="AF158" s="59" t="n">
        <x:f>1+AF$9*($H$10*H158+$I$10*I158+$J$10*J158+$K$10*K158+$L$10*L158)</x:f>
        <x:v>1.1503658654421294</x:v>
      </x:c>
      <x:c r="AG158" s="59" t="n">
        <x:f>1+AG$9*($H$10*H158+$I$10*I158+$J$10*J158+$K$10*K158+$L$10*L158)</x:f>
        <x:v>1.26648172820022</x:v>
      </x:c>
      <x:c r="AH158" s="59" t="n">
        <x:f>MIN(1,'_曲线基线'!$L$3+AH$9*($H$10*H158+$I$10*I158+$J$10*J158+$K$10*K158+$L$10*L158))</x:f>
        <x:v>0.39208234388084373</x:v>
      </x:c>
      <x:c r="AI158" s="59" t="n">
        <x:f>'_曲线基线'!$L$4+AI$9*($H$10*H158+$I$10*I158+$J$10*J158+$K$10*K158+$L$10*L158)</x:f>
        <x:v>2.9529436722394933</x:v>
      </x:c>
      <x:c r="AJ158" s="59" t="n">
        <x:f>1+AJ$9*($H$10*H158+$I$10*I158+$J$10*J158+$K$10*K158+$L$10*L158)</x:f>
        <x:v>1.7819025002990716</x:v>
      </x:c>
      <x:c r="AK158" s="59" t="n">
        <x:f>(1+AH158*(AI158-1))*AJ158</x:f>
        <x:v>3.146331496619099</x:v>
      </x:c>
      <x:c r="AL158" s="59" t="n">
        <x:f>U158*AD158*AK158*F158</x:f>
        <x:v>967938.3437378703</x:v>
      </x:c>
      <x:c r="AM158" s="59" t="n">
        <x:f>IF($B158&lt;AM$8,0,AM$3+(AM$4-AM$3)*(POWER(AM$5,$B158-AM$8)-1)/(POWER(AM$5,$C$5-AM$8)-1))</x:f>
        <x:v>39.39636413316307</x:v>
      </x:c>
      <x:c r="AN158" s="59" t="n">
        <x:f>(((E158*'模块规划'!$D$10+G158*'模块规划'!$D$11+H158*'模块规划'!$D$13)*(1+'模块规划'!$G$14*H158)+(I158*'模块规划'!$D$15+J158*'模块规划'!$D$17+K158*'模块规划'!$D$16+L158*'模块规划'!$D$18))*(1+'模块规划'!$J$17*J158))*F158/(1-Q158)</x:f>
        <x:v>1495533.9810669282</x:v>
      </x:c>
      <x:c r="AO158" s="59" t="n">
        <x:f>AL158*AM158</x:f>
        <x:v>38133251.448347904</x:v>
      </x:c>
      <x:c r="AP158" s="61" t="n">
        <x:f>IF(AO158="","",INDEX('_曲线基线'!$A$3:$A$502,MIN(ROWS('_曲线基线'!$A$3:$A$502),COUNTIF('_曲线基线'!$E$3:$E$502,"&lt;"&amp;AO158)+1)))</x:f>
        <x:v>223</x:v>
      </x:c>
      <x:c r="AQ158" s="61" t="n">
        <x:f>IF(B158&lt;=2,1,IF(B158&lt;=6,2,IF(B158&lt;=9,3,IF(B158&lt;=19,4,5))))</x:f>
        <x:v>5</x:v>
      </x:c>
      <x:c r="AR158" s="59" t="n">
        <x:f>AN158*(1-Q158)/F158*$AS$3+U158*$AS$4+P158*$AS$5</x:f>
        <x:v>11812.596159586923</x:v>
      </x:c>
      <x:c r="AS158" s="59" t="n">
        <x:f>1+AH158*$AS$6+AI158*$AS$7+(AJ158-1)*$AS$8+($H$10*H158+$I$10*I158+$J$10*J158+$K$10*K158+$L$10*L158)*$AU$3*$AS$9+($H$10*H158+$I$10*I158+$J$10*J158+$K$10*K158+$L$10*L158)*$AU$4*$AS$10</x:f>
        <x:v>13.966111313381823</x:v>
      </x:c>
      <x:c r="AT158" s="60" t="n">
        <x:f>ROUND(AR158*AS158,0)</x:f>
        <x:v>164976</x:v>
      </x:c>
      <x:c r="AU158" s="60" t="n">
        <x:f>ROUND(AT158*F158,0)</x:f>
        <x:v>824880</x:v>
      </x:c>
      <x:c r="AV158" s="60" t="n">
        <x:f>MIN(MATCH(B158,'主线调参'!$M$11:$M$62,1),ROWS('主线调参'!$M$11:$M$62)-1)</x:f>
        <x:v>35</x:v>
      </x:c>
      <x:c r="AW158" s="62" t="n">
        <x:f>(B158-INDEX('主线调参'!$M$11:$M$62,AV158))/(INDEX('主线调参'!$M$11:$M$62,AV158+1)-INDEX('主线调参'!$M$11:$M$62,AV158))</x:f>
        <x:v>0.14285714285714285</x:v>
      </x:c>
      <x:c r="AX158" s="60" t="n">
        <x:f>IF(AU158=0,0,ROUND(AU158,2-INT(LOG10(ABS(AU158)))))</x:f>
        <x:v>825000</x:v>
      </x:c>
      <x:c r="AY158" s="62" t="n">
        <x:f>AU158/AU157-1</x:f>
        <x:v>0.009039865931081748</x:v>
      </x:c>
    </x:row>
    <x:row r="159" ht="25" customHeight="1">
      <x:c r="A159" s="40" t="str">
        <x:f>'调前玩家曲线'!A159</x:f>
      </x:c>
      <x:c r="B159" s="40" t="n">
        <x:f>'调前玩家曲线'!B159</x:f>
        <x:v>148</x:v>
      </x:c>
      <x:c r="C159" s="40" t="n">
        <x:f>'调前玩家曲线'!C159</x:f>
        <x:v>11</x:v>
      </x:c>
      <x:c r="D159" s="40" t="n">
        <x:f>'调前玩家曲线'!D159</x:f>
        <x:v>4</x:v>
      </x:c>
      <x:c r="E159" s="40" t="n">
        <x:f>'调前玩家曲线'!E159</x:f>
        <x:v>1</x:v>
      </x:c>
      <x:c r="F159" s="40" t="n">
        <x:f>'调前玩家曲线'!F159</x:f>
        <x:v>5</x:v>
      </x:c>
      <x:c r="G159" s="63" t="n">
        <x:f>IF(B159&lt;$G$8,0,(INDEX('主线调参'!$C$11:$C$62,$AV159)+(INDEX('主线调参'!$C$11:$C$62,$AV159+1)-INDEX('主线调参'!$C$11:$C$62,$AV159))*$AW159)*'参数说明'!$C$27)</x:f>
        <x:v>0.7144287958369505</x:v>
      </x:c>
      <x:c r="H159" s="63" t="n">
        <x:f>IF(B159&lt;$H$8,0,(INDEX('主线调参'!$D$11:$D$62,$AV159)+(INDEX('主线调参'!$D$11:$D$62,$AV159+1)-INDEX('主线调参'!$D$11:$D$62,$AV159))*$AW159)*'参数说明'!$D$27)</x:f>
        <x:v>0.5596366563061985</x:v>
      </x:c>
      <x:c r="I159" s="63" t="n">
        <x:f>IF(B159&lt;$I$8,0,(INDEX('主线调参'!$E$11:$E$62,$AV159)+(INDEX('主线调参'!$E$11:$E$62,$AV159+1)-INDEX('主线调参'!$E$11:$E$62,$AV159))*$AW159)*'参数说明'!$E$27)</x:f>
        <x:v>0.43895033761985053</x:v>
      </x:c>
      <x:c r="J159" s="63" t="n">
        <x:f>IF(B159&lt;$J$8,0,(INDEX('主线调参'!$F$11:$F$62,$AV159)+(INDEX('主线调参'!$F$11:$F$62,$AV159+1)-INDEX('主线调参'!$F$11:$F$62,$AV159))*$AW159)*'参数说明'!$F$27)</x:f>
        <x:v>0.443939877166395</x:v>
      </x:c>
      <x:c r="K159" s="63" t="n">
        <x:f>IF(B159&lt;$K$8,0,(INDEX('主线调参'!$G$11:$G$62,$AV159)+(INDEX('主线调参'!$G$11:$G$62,$AV159+1)-INDEX('主线调参'!$G$11:$G$62,$AV159))*$AW159)*'参数说明'!$G$27)</x:f>
        <x:v>0.33770260851337164</x:v>
      </x:c>
      <x:c r="L159" s="63" t="n">
        <x:f>IF(B159&lt;$L$8,0,(INDEX('主线调参'!$H$11:$H$62,$AV159)+(INDEX('主线调参'!$H$11:$H$62,$AV159+1)-INDEX('主线调参'!$H$11:$H$62,$AV159))*$AW159)*'参数说明'!$H$27)</x:f>
        <x:v>0.5504260306437008</x:v>
      </x:c>
      <x:c r="M159" s="59" t="n">
        <x:f>E159*'模块规划'!$F$10+G159*'模块规划'!$F$11+H159*'模块规划'!$F$13</x:f>
        <x:v>4429.258220017362</x:v>
      </x:c>
      <x:c r="N159" s="59" t="n">
        <x:f>I159*'模块规划'!$F$15+J159*'模块规划'!$F$17+K159*'模块规划'!$F$16+L159*'模块规划'!$F$18</x:f>
        <x:v>12729.34727692149</x:v>
      </x:c>
      <x:c r="O159" s="59" t="n">
        <x:f>1+O$9*SUMPRODUCT($H$10:$L$10,H159:L159)/SUM($H$10:$L$10)</x:f>
        <x:v>2.7122374812764205</x:v>
      </x:c>
      <x:c r="P159" s="59" t="n">
        <x:f>M159*O159+N159</x:f>
        <x:v>24742.54743550426</x:v>
      </x:c>
      <x:c r="Q159" s="59" t="n">
        <x:f>P159/(P159+'_曲线基线'!$L$2)</x:f>
        <x:v>0.507617035573354</x:v>
      </x:c>
      <x:c r="R159" s="59" t="n">
        <x:f>E159*'模块规划'!$E$10+G159*'模块规划'!$E$11+H159*'模块规划'!$E$13</x:f>
        <x:v>6643.887330026044</x:v>
      </x:c>
      <x:c r="S159" s="59" t="n">
        <x:f>I159*'模块规划'!$E$15+J159*'模块规划'!$E$17+K159*'模块规划'!$E$16+L159*'模块规划'!$E$18</x:f>
        <x:v>19094.02091538223</x:v>
      </x:c>
      <x:c r="T159" s="59" t="n">
        <x:f>1+T$9*SUMPRODUCT($H$10:$L$10,H159:L159)/SUM($H$10:$L$10)</x:f>
        <x:v>2.7122374812764205</x:v>
      </x:c>
      <x:c r="U159" s="59" t="n">
        <x:f>R159*T159+S159</x:f>
        <x:v>37113.82115325639</x:v>
      </x:c>
      <x:c r="V159" s="59" t="n">
        <x:f>V$8+(V$9-V$8)*H159</x:f>
        <x:v>0.8678909968918596</x:v>
      </x:c>
      <x:c r="W159" s="59" t="n">
        <x:f>IF(B159&lt;$H$8,0,W$8+(W$9-W$8)*H159)</x:f>
        <x:v>0.22385466252247943</x:v>
      </x:c>
      <x:c r="X159" s="59" t="n">
        <x:f>X$8+(X$9-X$8)*H159</x:f>
        <x:v>0.42890008048420464</x:v>
      </x:c>
      <x:c r="Y159" s="59" t="n">
        <x:f>Y$8+(Y$9-Y$8)*G159</x:f>
        <x:v>1</x:v>
      </x:c>
      <x:c r="Z159" s="59" t="n">
        <x:f>Z$8+(Z$9-Z$8)*H159</x:f>
        <x:v>1</x:v>
      </x:c>
      <x:c r="AA159" s="59" t="n">
        <x:f>AA$8+(AA$9-AA$8)*I159</x:f>
        <x:v>1</x:v>
      </x:c>
      <x:c r="AB159" s="59" t="n">
        <x:f>AB$8+(AB$9-AB$8)*J159</x:f>
        <x:v>1</x:v>
      </x:c>
      <x:c r="AC159" s="59" t="n">
        <x:f>AC$8+(AC$9-AC$8)*MAX(K159,L159)</x:f>
        <x:v>1</x:v>
      </x:c>
      <x:c r="AD159" s="59" t="n">
        <x:f>(V159*AE159+W159*AF159+X159*AG159)*PRODUCT(Y159:AC159)</x:f>
        <x:v>1.6693424596906903</x:v>
      </x:c>
      <x:c r="AE159" s="59" t="n">
        <x:f>1+AE$9*($H$10*H159+$I$10*I159+$J$10*J159+$K$10*K159+$L$10*L159)</x:f>
        <x:v>1</x:v>
      </x:c>
      <x:c r="AF159" s="59" t="n">
        <x:f>1+AF$9*($H$10*H159+$I$10*I159+$J$10*J159+$K$10*K159+$L$10*L159)</x:f>
        <x:v>1.1511205550276356</x:v>
      </x:c>
      <x:c r="AG159" s="59" t="n">
        <x:f>1+AG$9*($H$10*H159+$I$10*I159+$J$10*J159+$K$10*K159+$L$10*L159)</x:f>
        <x:v>1.2678192058545341</x:v>
      </x:c>
      <x:c r="AH159" s="59" t="n">
        <x:f>MIN(1,'_曲线基线'!$L$3+AH$9*($H$10*H159+$I$10*I159+$J$10*J159+$K$10*K159+$L$10*L159))</x:f>
        <x:v>0.3937992626878707</x:v>
      </x:c>
      <x:c r="AI159" s="59" t="n">
        <x:f>'_曲线基线'!$L$4+AI$9*($H$10*H159+$I$10*I159+$J$10*J159+$K$10*K159+$L$10*L159)</x:f>
        <x:v>2.95772651748764</x:v>
      </x:c>
      <x:c r="AJ159" s="59" t="n">
        <x:f>1+AJ$9*($H$10*H159+$I$10*I159+$J$10*J159+$K$10*K159+$L$10*L159)</x:f>
        <x:v>1.7858268861437046</x:v>
      </x:c>
      <x:c r="AK159" s="59" t="n">
        <x:f>(1+AH159*(AI159-1))*AJ159</x:f>
        <x:v>3.1626123726064104</x:v>
      </x:c>
      <x:c r="AL159" s="59" t="n">
        <x:f>U159*AD159*AK159*F159</x:f>
        <x:v>979708.9609549236</x:v>
      </x:c>
      <x:c r="AM159" s="59" t="n">
        <x:f>IF($B159&lt;AM$8,0,AM$3+(AM$4-AM$3)*(POWER(AM$5,$B159-AM$8)-1)/(POWER(AM$5,$C$5-AM$8)-1))</x:f>
        <x:v>39.45375241441657</x:v>
      </x:c>
      <x:c r="AN159" s="59" t="n">
        <x:f>(((E159*'模块规划'!$D$10+G159*'模块规划'!$D$11+H159*'模块规划'!$D$13)*(1+'模块规划'!$G$14*H159)+(I159*'模块规划'!$D$15+J159*'模块规划'!$D$17+K159*'模块规划'!$D$16+L159*'模块规划'!$D$18))*(1+'模块规划'!$J$17*J159))*F159/(1-Q159)</x:f>
        <x:v>1508928.709839103</x:v>
      </x:c>
      <x:c r="AO159" s="59" t="n">
        <x:f>AL159*AM159</x:f>
        <x:v>38653194.78370087</x:v>
      </x:c>
      <x:c r="AP159" s="61" t="n">
        <x:f>IF(AO159="","",INDEX('_曲线基线'!$A$3:$A$502,MIN(ROWS('_曲线基线'!$A$3:$A$502),COUNTIF('_曲线基线'!$E$3:$E$502,"&lt;"&amp;AO159)+1)))</x:f>
        <x:v>224</x:v>
      </x:c>
      <x:c r="AQ159" s="61" t="n">
        <x:f>IF(B159&lt;=2,1,IF(B159&lt;=6,2,IF(B159&lt;=9,3,IF(B159&lt;=19,4,5))))</x:f>
        <x:v>5</x:v>
      </x:c>
      <x:c r="AR159" s="59" t="n">
        <x:f>AN159*(1-Q159)/F159*$AS$3+U159*$AS$4+P159*$AS$5</x:f>
        <x:v>11880.58897820559</x:v>
      </x:c>
      <x:c r="AS159" s="59" t="n">
        <x:f>1+AH159*$AS$6+AI159*$AS$7+(AJ159-1)*$AS$8+($H$10*H159+$I$10*I159+$J$10*J159+$K$10*K159+$L$10*L159)*$AU$3*$AS$9+($H$10*H159+$I$10*I159+$J$10*J159+$K$10*K159+$L$10*L159)*$AU$4*$AS$10</x:f>
        <x:v>14.01120487363187</x:v>
      </x:c>
      <x:c r="AT159" s="60" t="n">
        <x:f>ROUND(AR159*AS159,0)</x:f>
        <x:v>166461</x:v>
      </x:c>
      <x:c r="AU159" s="60" t="n">
        <x:f>ROUND(AT159*F159,0)</x:f>
        <x:v>832305</x:v>
      </x:c>
      <x:c r="AV159" s="60" t="n">
        <x:f>MIN(MATCH(B159,'主线调参'!$M$11:$M$62,1),ROWS('主线调参'!$M$11:$M$62)-1)</x:f>
        <x:v>35</x:v>
      </x:c>
      <x:c r="AW159" s="62" t="n">
        <x:f>(B159-INDEX('主线调参'!$M$11:$M$62,AV159))/(INDEX('主线调参'!$M$11:$M$62,AV159+1)-INDEX('主线调参'!$M$11:$M$62,AV159))</x:f>
        <x:v>0.21428571428571427</x:v>
      </x:c>
      <x:c r="AX159" s="60" t="n">
        <x:f>IF(AU159=0,0,ROUND(AU159,2-INT(LOG10(ABS(AU159)))))</x:f>
        <x:v>832000</x:v>
      </x:c>
      <x:c r="AY159" s="62" t="n">
        <x:f>AU159/AU158-1</x:f>
        <x:v>0.009001309281350123</x:v>
      </x:c>
    </x:row>
    <x:row r="160" ht="25" customHeight="1">
      <x:c r="A160" s="40" t="str">
        <x:f>'调前玩家曲线'!A160</x:f>
      </x:c>
      <x:c r="B160" s="40" t="n">
        <x:f>'调前玩家曲线'!B160</x:f>
        <x:v>149</x:v>
      </x:c>
      <x:c r="C160" s="40" t="n">
        <x:f>'调前玩家曲线'!C160</x:f>
        <x:v>11</x:v>
      </x:c>
      <x:c r="D160" s="40" t="n">
        <x:f>'调前玩家曲线'!D160</x:f>
        <x:v>5</x:v>
      </x:c>
      <x:c r="E160" s="40" t="n">
        <x:f>'调前玩家曲线'!E160</x:f>
        <x:v>1</x:v>
      </x:c>
      <x:c r="F160" s="40" t="n">
        <x:f>'调前玩家曲线'!F160</x:f>
        <x:v>5</x:v>
      </x:c>
      <x:c r="G160" s="63" t="n">
        <x:f>IF(B160&lt;$G$8,0,(INDEX('主线调参'!$C$11:$C$62,$AV160)+(INDEX('主线调参'!$C$11:$C$62,$AV160+1)-INDEX('主线调参'!$C$11:$C$62,$AV160))*$AW160)*'参数说明'!$C$27)</x:f>
        <x:v>0.7163607879214533</x:v>
      </x:c>
      <x:c r="H160" s="63" t="n">
        <x:f>IF(B160&lt;$H$8,0,(INDEX('主线调参'!$D$11:$D$62,$AV160)+(INDEX('主线调参'!$D$11:$D$62,$AV160+1)-INDEX('主线调参'!$D$11:$D$62,$AV160))*$AW160)*'参数说明'!$D$27)</x:f>
        <x:v>0.5611000009484198</x:v>
      </x:c>
      <x:c r="I160" s="63" t="n">
        <x:f>IF(B160&lt;$I$8,0,(INDEX('主线调参'!$E$11:$E$62,$AV160)+(INDEX('主线调参'!$E$11:$E$62,$AV160+1)-INDEX('主线调参'!$E$11:$E$62,$AV160))*$AW160)*'参数说明'!$E$27)</x:f>
        <x:v>0.44156896448929334</x:v>
      </x:c>
      <x:c r="J160" s="63" t="n">
        <x:f>IF(B160&lt;$J$8,0,(INDEX('主线调参'!$F$11:$F$62,$AV160)+(INDEX('主线调参'!$F$11:$F$62,$AV160+1)-INDEX('主线调参'!$F$11:$F$62,$AV160))*$AW160)*'参数说明'!$F$27)</x:f>
        <x:v>0.4456373737374195</x:v>
      </x:c>
      <x:c r="K160" s="63" t="n">
        <x:f>IF(B160&lt;$K$8,0,(INDEX('主线调参'!$G$11:$G$62,$AV160)+(INDEX('主线调参'!$G$11:$G$62,$AV160+1)-INDEX('主线调参'!$G$11:$G$62,$AV160))*$AW160)*'参数说明'!$G$27)</x:f>
        <x:v>0.3422014528376904</x:v>
      </x:c>
      <x:c r="L160" s="63" t="n">
        <x:f>IF(B160&lt;$L$8,0,(INDEX('主线调参'!$H$11:$H$62,$AV160)+(INDEX('主线调参'!$H$11:$H$62,$AV160+1)-INDEX('主线调参'!$H$11:$H$62,$AV160))*$AW160)*'参数说明'!$H$27)</x:f>
        <x:v>0.5520369757203143</x:v>
      </x:c>
      <x:c r="M160" s="59" t="n">
        <x:f>E160*'模块规划'!$F$10+G160*'模块规划'!$F$11+H160*'模块规划'!$F$13</x:f>
        <x:v>4438.531782022976</x:v>
      </x:c>
      <x:c r="N160" s="59" t="n">
        <x:f>I160*'模块规划'!$F$15+J160*'模块规划'!$F$17+K160*'模块规划'!$F$16+L160*'模块规划'!$F$18</x:f>
        <x:v>12802.319048916255</x:v>
      </x:c>
      <x:c r="O160" s="59" t="n">
        <x:f>1+O$9*SUMPRODUCT($H$10:$L$10,H160:L160)/SUM($H$10:$L$10)</x:f>
        <x:v>2.720788321992937</x:v>
      </x:c>
      <x:c r="P160" s="59" t="n">
        <x:f>M160*O160+N160</x:f>
        <x:v>24878.624488238867</x:v>
      </x:c>
      <x:c r="Q160" s="59" t="n">
        <x:f>P160/(P160+'_曲线基线'!$L$2)</x:f>
        <x:v>0.508987819291542</x:v>
      </x:c>
      <x:c r="R160" s="59" t="n">
        <x:f>E160*'模块规划'!$E$10+G160*'模块规划'!$E$11+H160*'模块规划'!$E$13</x:f>
        <x:v>6657.7976730344635</x:v>
      </x:c>
      <x:c r="S160" s="59" t="n">
        <x:f>I160*'模块规划'!$E$15+J160*'模块规划'!$E$17+K160*'模块规划'!$E$16+L160*'模块规划'!$E$18</x:f>
        <x:v>19203.478573374385</x:v>
      </x:c>
      <x:c r="T160" s="59" t="n">
        <x:f>1+T$9*SUMPRODUCT($H$10:$L$10,H160:L160)/SUM($H$10:$L$10)</x:f>
        <x:v>2.720788321992937</x:v>
      </x:c>
      <x:c r="U160" s="59" t="n">
        <x:f>R160*T160+S160</x:f>
        <x:v>37317.9367323583</x:v>
      </x:c>
      <x:c r="V160" s="59" t="n">
        <x:f>V$8+(V$9-V$8)*H160</x:f>
        <x:v>0.8683300002845259</x:v>
      </x:c>
      <x:c r="W160" s="59" t="n">
        <x:f>IF(B160&lt;$H$8,0,W$8+(W$9-W$8)*H160)</x:f>
        <x:v>0.22444000037936795</x:v>
      </x:c>
      <x:c r="X160" s="59" t="n">
        <x:f>X$8+(X$9-X$8)*H160</x:f>
        <x:v>0.4293025002608155</x:v>
      </x:c>
      <x:c r="Y160" s="59" t="n">
        <x:f>Y$8+(Y$9-Y$8)*G160</x:f>
        <x:v>1</x:v>
      </x:c>
      <x:c r="Z160" s="59" t="n">
        <x:f>Z$8+(Z$9-Z$8)*H160</x:f>
        <x:v>1</x:v>
      </x:c>
      <x:c r="AA160" s="59" t="n">
        <x:f>AA$8+(AA$9-AA$8)*I160</x:f>
        <x:v>1</x:v>
      </x:c>
      <x:c r="AB160" s="59" t="n">
        <x:f>AB$8+(AB$9-AB$8)*J160</x:f>
        <x:v>1</x:v>
      </x:c>
      <x:c r="AC160" s="59" t="n">
        <x:f>AC$8+(AC$9-AC$8)*MAX(K160,L160)</x:f>
        <x:v>1</x:v>
      </x:c>
      <x:c r="AD160" s="59" t="n">
        <x:f>(V160*AE160+W160*AF160+X160*AG160)*PRODUCT(Y160:AC160)</x:f>
        <x:v>1.671709018075557</x:v>
      </x:c>
      <x:c r="AE160" s="59" t="n">
        <x:f>1+AE$9*($H$10*H160+$I$10*I160+$J$10*J160+$K$10*K160+$L$10*L160)</x:f>
        <x:v>1</x:v>
      </x:c>
      <x:c r="AF160" s="59" t="n">
        <x:f>1+AF$9*($H$10*H160+$I$10*I160+$J$10*J160+$K$10*K160+$L$10*L160)</x:f>
        <x:v>1.151875244613142</x:v>
      </x:c>
      <x:c r="AG160" s="59" t="n">
        <x:f>1+AG$9*($H$10*H160+$I$10*I160+$J$10*J160+$K$10*K160+$L$10*L160)</x:f>
        <x:v>1.2691566835088481</x:v>
      </x:c>
      <x:c r="AH160" s="59" t="n">
        <x:f>MIN(1,'_曲线基线'!$L$3+AH$9*($H$10*H160+$I$10*I160+$J$10*J160+$K$10*K160+$L$10*L160))</x:f>
        <x:v>0.39551618149489753</x:v>
      </x:c>
      <x:c r="AI160" s="59" t="n">
        <x:f>'_曲线基线'!$L$4+AI$9*($H$10*H160+$I$10*I160+$J$10*J160+$K$10*K160+$L$10*L160)</x:f>
        <x:v>2.962509362735786</x:v>
      </x:c>
      <x:c r="AJ160" s="59" t="n">
        <x:f>1+AJ$9*($H$10*H160+$I$10*I160+$J$10*J160+$K$10*K160+$L$10*L160)</x:f>
        <x:v>1.7897512719883375</x:v>
      </x:c>
      <x:c r="AK160" s="59" t="n">
        <x:f>(1+AH160*(AI160-1))*AJ160</x:f>
        <x:v>3.17896374290078</x:v>
      </x:c>
      <x:c r="AL160" s="59" t="n">
        <x:f>U160*AD160*AK160*F160</x:f>
        <x:v>991593.9957023247</x:v>
      </x:c>
      <x:c r="AM160" s="59" t="n">
        <x:f>IF($B160&lt;AM$8,0,AM$3+(AM$4-AM$3)*(POWER(AM$5,$B160-AM$8)-1)/(POWER(AM$5,$C$5-AM$8)-1))</x:f>
        <x:v>39.511714578482604</x:v>
      </x:c>
      <x:c r="AN160" s="59" t="n">
        <x:f>(((E160*'模块规划'!$D$10+G160*'模块规划'!$D$11+H160*'模块规划'!$D$13)*(1+'模块规划'!$G$14*H160)+(I160*'模块规划'!$D$15+J160*'模块规划'!$D$17+K160*'模块规划'!$D$16+L160*'模块规划'!$D$18))*(1+'模块规划'!$J$17*J160))*F160/(1-Q160)</x:f>
        <x:v>1522400.9029012115</x:v>
      </x:c>
      <x:c r="AO160" s="59" t="n">
        <x:f>AL160*AM160</x:f>
        <x:v>39179578.93592736</x:v>
      </x:c>
      <x:c r="AP160" s="61" t="n">
        <x:f>IF(AO160="","",INDEX('_曲线基线'!$A$3:$A$502,MIN(ROWS('_曲线基线'!$A$3:$A$502),COUNTIF('_曲线基线'!$E$3:$E$502,"&lt;"&amp;AO160)+1)))</x:f>
        <x:v>225</x:v>
      </x:c>
      <x:c r="AQ160" s="61" t="n">
        <x:f>IF(B160&lt;=2,1,IF(B160&lt;=6,2,IF(B160&lt;=9,3,IF(B160&lt;=19,4,5))))</x:f>
        <x:v>5</x:v>
      </x:c>
      <x:c r="AR160" s="59" t="n">
        <x:f>AN160*(1-Q160)/F160*$AS$3+U160*$AS$4+P160*$AS$5</x:f>
        <x:v>11948.691669947955</x:v>
      </x:c>
      <x:c r="AS160" s="59" t="n">
        <x:f>1+AH160*$AS$6+AI160*$AS$7+(AJ160-1)*$AS$8+($H$10*H160+$I$10*I160+$J$10*J160+$K$10*K160+$L$10*L160)*$AU$3*$AS$9+($H$10*H160+$I$10*I160+$J$10*J160+$K$10*K160+$L$10*L160)*$AU$4*$AS$10</x:f>
        <x:v>14.056298433881915</x:v>
      </x:c>
      <x:c r="AT160" s="60" t="n">
        <x:f>ROUND(AR160*AS160,0)</x:f>
        <x:v>167954</x:v>
      </x:c>
      <x:c r="AU160" s="60" t="n">
        <x:f>ROUND(AT160*F160,0)</x:f>
        <x:v>839770</x:v>
      </x:c>
      <x:c r="AV160" s="60" t="n">
        <x:f>MIN(MATCH(B160,'主线调参'!$M$11:$M$62,1),ROWS('主线调参'!$M$11:$M$62)-1)</x:f>
        <x:v>35</x:v>
      </x:c>
      <x:c r="AW160" s="62" t="n">
        <x:f>(B160-INDEX('主线调参'!$M$11:$M$62,AV160))/(INDEX('主线调参'!$M$11:$M$62,AV160+1)-INDEX('主线调参'!$M$11:$M$62,AV160))</x:f>
        <x:v>0.2857142857142857</x:v>
      </x:c>
      <x:c r="AX160" s="60" t="n">
        <x:f>IF(AU160=0,0,ROUND(AU160,2-INT(LOG10(ABS(AU160)))))</x:f>
        <x:v>840000</x:v>
      </x:c>
      <x:c r="AY160" s="62" t="n">
        <x:f>AU160/AU159-1</x:f>
        <x:v>0.00896906782970186</x:v>
      </x:c>
    </x:row>
    <x:row r="161" ht="25" customHeight="1">
      <x:c r="A161" s="40" t="str">
        <x:f>'调前玩家曲线'!A161</x:f>
      </x:c>
      <x:c r="B161" s="40" t="n">
        <x:f>'调前玩家曲线'!B161</x:f>
        <x:v>150</x:v>
      </x:c>
      <x:c r="C161" s="40" t="n">
        <x:f>'调前玩家曲线'!C161</x:f>
        <x:v>11</x:v>
      </x:c>
      <x:c r="D161" s="40" t="n">
        <x:f>'调前玩家曲线'!D161</x:f>
        <x:v>6</x:v>
      </x:c>
      <x:c r="E161" s="40" t="n">
        <x:f>'调前玩家曲线'!E161</x:f>
        <x:v>1</x:v>
      </x:c>
      <x:c r="F161" s="40" t="n">
        <x:f>'调前玩家曲线'!F161</x:f>
        <x:v>5</x:v>
      </x:c>
      <x:c r="G161" s="63" t="n">
        <x:f>IF(B161&lt;$G$8,0,(INDEX('主线调参'!$C$11:$C$62,$AV161)+(INDEX('主线调参'!$C$11:$C$62,$AV161+1)-INDEX('主线调参'!$C$11:$C$62,$AV161))*$AW161)*'参数说明'!$C$27)</x:f>
        <x:v>0.7182927800059561</x:v>
      </x:c>
      <x:c r="H161" s="63" t="n">
        <x:f>IF(B161&lt;$H$8,0,(INDEX('主线调参'!$D$11:$D$62,$AV161)+(INDEX('主线调参'!$D$11:$D$62,$AV161+1)-INDEX('主线调参'!$D$11:$D$62,$AV161))*$AW161)*'参数说明'!$D$27)</x:f>
        <x:v>0.562563345590641</x:v>
      </x:c>
      <x:c r="I161" s="63" t="n">
        <x:f>IF(B161&lt;$I$8,0,(INDEX('主线调参'!$E$11:$E$62,$AV161)+(INDEX('主线调参'!$E$11:$E$62,$AV161+1)-INDEX('主线调参'!$E$11:$E$62,$AV161))*$AW161)*'参数说明'!$E$27)</x:f>
        <x:v>0.4441875913587362</x:v>
      </x:c>
      <x:c r="J161" s="63" t="n">
        <x:f>IF(B161&lt;$J$8,0,(INDEX('主线调参'!$F$11:$F$62,$AV161)+(INDEX('主线调参'!$F$11:$F$62,$AV161+1)-INDEX('主线调参'!$F$11:$F$62,$AV161))*$AW161)*'参数说明'!$F$27)</x:f>
        <x:v>0.44733487030844404</x:v>
      </x:c>
      <x:c r="K161" s="63" t="n">
        <x:f>IF(B161&lt;$K$8,0,(INDEX('主线调参'!$G$11:$G$62,$AV161)+(INDEX('主线调参'!$G$11:$G$62,$AV161+1)-INDEX('主线调参'!$G$11:$G$62,$AV161))*$AW161)*'参数说明'!$G$27)</x:f>
        <x:v>0.346700297162009</x:v>
      </x:c>
      <x:c r="L161" s="63" t="n">
        <x:f>IF(B161&lt;$L$8,0,(INDEX('主线调参'!$H$11:$H$62,$AV161)+(INDEX('主线调参'!$H$11:$H$62,$AV161+1)-INDEX('主线调参'!$H$11:$H$62,$AV161))*$AW161)*'参数说明'!$H$27)</x:f>
        <x:v>0.5536479207969277</x:v>
      </x:c>
      <x:c r="M161" s="59" t="n">
        <x:f>E161*'模块规划'!$F$10+G161*'模块规划'!$F$11+H161*'模块规划'!$F$13</x:f>
        <x:v>4447.805344028589</x:v>
      </x:c>
      <x:c r="N161" s="59" t="n">
        <x:f>I161*'模块规划'!$F$15+J161*'模块规划'!$F$17+K161*'模块规划'!$F$16+L161*'模块规划'!$F$18</x:f>
        <x:v>12875.290820911023</x:v>
      </x:c>
      <x:c r="O161" s="59" t="n">
        <x:f>1+O$9*SUMPRODUCT($H$10:$L$10,H161:L161)/SUM($H$10:$L$10)</x:f>
        <x:v>2.729339162709454</x:v>
      </x:c>
      <x:c r="P161" s="59" t="n">
        <x:f>M161*O161+N161</x:f>
        <x:v>25014.860134476647</x:v>
      </x:c>
      <x:c r="Q161" s="59" t="n">
        <x:f>P161/(P161+'_曲线基线'!$L$2)</x:f>
        <x:v>0.5103525760523674</x:v>
      </x:c>
      <x:c r="R161" s="59" t="n">
        <x:f>E161*'模块规划'!$E$10+G161*'模块规划'!$E$11+H161*'模块规划'!$E$13</x:f>
        <x:v>6671.708016042884</x:v>
      </x:c>
      <x:c r="S161" s="59" t="n">
        <x:f>I161*'模块规划'!$E$15+J161*'模块规划'!$E$17+K161*'模块规划'!$E$16+L161*'模块规划'!$E$18</x:f>
        <x:v>19312.936231366533</x:v>
      </x:c>
      <x:c r="T161" s="59" t="n">
        <x:f>1+T$9*SUMPRODUCT($H$10:$L$10,H161:L161)/SUM($H$10:$L$10)</x:f>
        <x:v>2.729339162709454</x:v>
      </x:c>
      <x:c r="U161" s="59" t="n">
        <x:f>R161*T161+S161</x:f>
        <x:v>37522.290201714975</x:v>
      </x:c>
      <x:c r="V161" s="59" t="n">
        <x:f>V$8+(V$9-V$8)*H161</x:f>
        <x:v>0.8687690036771922</x:v>
      </x:c>
      <x:c r="W161" s="59" t="n">
        <x:f>IF(B161&lt;$H$8,0,W$8+(W$9-W$8)*H161)</x:f>
        <x:v>0.22502533823625642</x:v>
      </x:c>
      <x:c r="X161" s="59" t="n">
        <x:f>X$8+(X$9-X$8)*H161</x:f>
        <x:v>0.42970492003742633</x:v>
      </x:c>
      <x:c r="Y161" s="59" t="n">
        <x:f>Y$8+(Y$9-Y$8)*G161</x:f>
        <x:v>1</x:v>
      </x:c>
      <x:c r="Z161" s="59" t="n">
        <x:f>Z$8+(Z$9-Z$8)*H161</x:f>
        <x:v>1</x:v>
      </x:c>
      <x:c r="AA161" s="59" t="n">
        <x:f>AA$8+(AA$9-AA$8)*I161</x:f>
        <x:v>1</x:v>
      </x:c>
      <x:c r="AB161" s="59" t="n">
        <x:f>AB$8+(AB$9-AB$8)*J161</x:f>
        <x:v>1</x:v>
      </x:c>
      <x:c r="AC161" s="59" t="n">
        <x:f>AC$8+(AC$9-AC$8)*MAX(K161,L161)</x:f>
        <x:v>1</x:v>
      </x:c>
      <x:c r="AD161" s="59" t="n">
        <x:f>(V161*AE161+W161*AF161+X161*AG161)*PRODUCT(Y161:AC161)</x:f>
        <x:v>1.6740775364121108</x:v>
      </x:c>
      <x:c r="AE161" s="59" t="n">
        <x:f>1+AE$9*($H$10*H161+$I$10*I161+$J$10*J161+$K$10*K161+$L$10*L161)</x:f>
        <x:v>1</x:v>
      </x:c>
      <x:c r="AF161" s="59" t="n">
        <x:f>1+AF$9*($H$10*H161+$I$10*I161+$J$10*J161+$K$10*K161+$L$10*L161)</x:f>
        <x:v>1.1526299341986483</x:v>
      </x:c>
      <x:c r="AG161" s="59" t="n">
        <x:f>1+AG$9*($H$10*H161+$I$10*I161+$J$10*J161+$K$10*K161+$L$10*L161)</x:f>
        <x:v>1.2704941611631622</x:v>
      </x:c>
      <x:c r="AH161" s="59" t="n">
        <x:f>MIN(1,'_曲线基线'!$L$3+AH$9*($H$10*H161+$I$10*I161+$J$10*J161+$K$10*K161+$L$10*L161))</x:f>
        <x:v>0.39723310030192444</x:v>
      </x:c>
      <x:c r="AI161" s="59" t="n">
        <x:f>'_曲线基线'!$L$4+AI$9*($H$10*H161+$I$10*I161+$J$10*J161+$K$10*K161+$L$10*L161)</x:f>
        <x:v>2.9672922079839323</x:v>
      </x:c>
      <x:c r="AJ161" s="59" t="n">
        <x:f>1+AJ$9*($H$10*H161+$I$10*I161+$J$10*J161+$K$10*K161+$L$10*L161)</x:f>
        <x:v>1.7936756578329702</x:v>
      </x:c>
      <x:c r="AK161" s="59" t="n">
        <x:f>(1+AH161*(AI161-1))*AJ161</x:f>
        <x:v>3.1953858008588236</x:v>
      </x:c>
      <x:c r="AL161" s="59" t="n">
        <x:f>U161*AD161*AK161*F161</x:f>
        <x:v>1003594.3605194767</x:v>
      </x:c>
      <x:c r="AM161" s="59" t="n">
        <x:f>IF($B161&lt;AM$8,0,AM$3+(AM$4-AM$3)*(POWER(AM$5,$B161-AM$8)-1)/(POWER(AM$5,$C$5-AM$8)-1))</x:f>
        <x:v>39.5702563641893</x:v>
      </x:c>
      <x:c r="AN161" s="59" t="n">
        <x:f>(((E161*'模块规划'!$D$10+G161*'模块规划'!$D$11+H161*'模块规划'!$D$13)*(1+'模块规划'!$G$14*H161)+(I161*'模块规划'!$D$15+J161*'模块规划'!$D$17+K161*'模块规划'!$D$16+L161*'模块规划'!$D$18))*(1+'模块规划'!$J$17*J161))*F161/(1-Q161)</x:f>
        <x:v>1535950.8346099143</x:v>
      </x:c>
      <x:c r="AO161" s="59" t="n">
        <x:f>AL161*AM161</x:f>
        <x:v>39712486.13141031</x:v>
      </x:c>
      <x:c r="AP161" s="61" t="n">
        <x:f>IF(AO161="","",INDEX('_曲线基线'!$A$3:$A$502,MIN(ROWS('_曲线基线'!$A$3:$A$502),COUNTIF('_曲线基线'!$E$3:$E$502,"&lt;"&amp;AO161)+1)))</x:f>
        <x:v>226</x:v>
      </x:c>
      <x:c r="AQ161" s="61" t="n">
        <x:f>IF(B161&lt;=2,1,IF(B161&lt;=6,2,IF(B161&lt;=9,3,IF(B161&lt;=19,4,5))))</x:f>
        <x:v>5</x:v>
      </x:c>
      <x:c r="AR161" s="59" t="n">
        <x:f>AN161*(1-Q161)/F161*$AS$3+U161*$AS$4+P161*$AS$5</x:f>
        <x:v>12016.904257204758</x:v>
      </x:c>
      <x:c r="AS161" s="59" t="n">
        <x:f>1+AH161*$AS$6+AI161*$AS$7+(AJ161-1)*$AS$8+($H$10*H161+$I$10*I161+$J$10*J161+$K$10*K161+$L$10*L161)*$AU$3*$AS$9+($H$10*H161+$I$10*I161+$J$10*J161+$K$10*K161+$L$10*L161)*$AU$4*$AS$10</x:f>
        <x:v>14.101391994131959</x:v>
      </x:c>
      <x:c r="AT161" s="60" t="n">
        <x:f>ROUND(AR161*AS161,0)</x:f>
        <x:v>169455</x:v>
      </x:c>
      <x:c r="AU161" s="60" t="n">
        <x:f>ROUND(AT161*F161,0)</x:f>
        <x:v>847275</x:v>
      </x:c>
      <x:c r="AV161" s="60" t="n">
        <x:f>MIN(MATCH(B161,'主线调参'!$M$11:$M$62,1),ROWS('主线调参'!$M$11:$M$62)-1)</x:f>
        <x:v>35</x:v>
      </x:c>
      <x:c r="AW161" s="62" t="n">
        <x:f>(B161-INDEX('主线调参'!$M$11:$M$62,AV161))/(INDEX('主线调参'!$M$11:$M$62,AV161+1)-INDEX('主线调参'!$M$11:$M$62,AV161))</x:f>
        <x:v>0.35714285714285715</x:v>
      </x:c>
      <x:c r="AX161" s="60" t="n">
        <x:f>IF(AU161=0,0,ROUND(AU161,2-INT(LOG10(ABS(AU161)))))</x:f>
        <x:v>847000</x:v>
      </x:c>
      <x:c r="AY161" s="62" t="n">
        <x:f>AU161/AU160-1</x:f>
        <x:v>0.008936970837253089</x:v>
      </x:c>
    </x:row>
    <x:row r="162" ht="25" customHeight="1">
      <x:c r="A162" s="40" t="str">
        <x:f>'调前玩家曲线'!A162</x:f>
      </x:c>
      <x:c r="B162" s="40" t="n">
        <x:f>'调前玩家曲线'!B162</x:f>
        <x:v>151</x:v>
      </x:c>
      <x:c r="C162" s="40" t="n">
        <x:f>'调前玩家曲线'!C162</x:f>
        <x:v>11</x:v>
      </x:c>
      <x:c r="D162" s="40" t="n">
        <x:f>'调前玩家曲线'!D162</x:f>
        <x:v>7</x:v>
      </x:c>
      <x:c r="E162" s="40" t="n">
        <x:f>'调前玩家曲线'!E162</x:f>
        <x:v>1</x:v>
      </x:c>
      <x:c r="F162" s="40" t="n">
        <x:f>'调前玩家曲线'!F162</x:f>
        <x:v>5</x:v>
      </x:c>
      <x:c r="G162" s="63" t="n">
        <x:f>IF(B162&lt;$G$8,0,(INDEX('主线调参'!$C$11:$C$62,$AV162)+(INDEX('主线调参'!$C$11:$C$62,$AV162+1)-INDEX('主线调参'!$C$11:$C$62,$AV162))*$AW162)*'参数说明'!$C$27)</x:f>
        <x:v>0.7202247720904588</x:v>
      </x:c>
      <x:c r="H162" s="63" t="n">
        <x:f>IF(B162&lt;$H$8,0,(INDEX('主线调参'!$D$11:$D$62,$AV162)+(INDEX('主线调参'!$D$11:$D$62,$AV162+1)-INDEX('主线调参'!$D$11:$D$62,$AV162))*$AW162)*'参数说明'!$D$27)</x:f>
        <x:v>0.5640266902328623</x:v>
      </x:c>
      <x:c r="I162" s="63" t="n">
        <x:f>IF(B162&lt;$I$8,0,(INDEX('主线调参'!$E$11:$E$62,$AV162)+(INDEX('主线调参'!$E$11:$E$62,$AV162+1)-INDEX('主线调参'!$E$11:$E$62,$AV162))*$AW162)*'参数说明'!$E$27)</x:f>
        <x:v>0.446806218228179</x:v>
      </x:c>
      <x:c r="J162" s="63" t="n">
        <x:f>IF(B162&lt;$J$8,0,(INDEX('主线调参'!$F$11:$F$62,$AV162)+(INDEX('主线调参'!$F$11:$F$62,$AV162+1)-INDEX('主线调参'!$F$11:$F$62,$AV162))*$AW162)*'参数说明'!$F$27)</x:f>
        <x:v>0.4490323668794685</x:v>
      </x:c>
      <x:c r="K162" s="63" t="n">
        <x:f>IF(B162&lt;$K$8,0,(INDEX('主线调参'!$G$11:$G$62,$AV162)+(INDEX('主线调参'!$G$11:$G$62,$AV162+1)-INDEX('主线调参'!$G$11:$G$62,$AV162))*$AW162)*'参数说明'!$G$27)</x:f>
        <x:v>0.3511991414863277</x:v>
      </x:c>
      <x:c r="L162" s="63" t="n">
        <x:f>IF(B162&lt;$L$8,0,(INDEX('主线调参'!$H$11:$H$62,$AV162)+(INDEX('主线调参'!$H$11:$H$62,$AV162+1)-INDEX('主线调参'!$H$11:$H$62,$AV162))*$AW162)*'参数说明'!$H$27)</x:f>
        <x:v>0.5552588658735412</x:v>
      </x:c>
      <x:c r="M162" s="59" t="n">
        <x:f>E162*'模块规划'!$F$10+G162*'模块规划'!$F$11+H162*'模块规划'!$F$13</x:f>
        <x:v>4457.078906034202</x:v>
      </x:c>
      <x:c r="N162" s="59" t="n">
        <x:f>I162*'模块规划'!$F$15+J162*'模块规划'!$F$17+K162*'模块规划'!$F$16+L162*'模块规划'!$F$18</x:f>
        <x:v>12948.26259290579</x:v>
      </x:c>
      <x:c r="O162" s="59" t="n">
        <x:f>1+O$9*SUMPRODUCT($H$10:$L$10,H162:L162)/SUM($H$10:$L$10)</x:f>
        <x:v>2.7378900034259703</x:v>
      </x:c>
      <x:c r="P162" s="59" t="n">
        <x:f>M162*O162+N162</x:f>
        <x:v>25151.25437421759</x:v>
      </x:c>
      <x:c r="Q162" s="59" t="n">
        <x:f>P162/(P162+'_曲线基线'!$L$2)</x:f>
        <x:v>0.5117113427609844</x:v>
      </x:c>
      <x:c r="R162" s="59" t="n">
        <x:f>E162*'模块规划'!$E$10+G162*'模块规划'!$E$11+H162*'模块规划'!$E$13</x:f>
        <x:v>6685.618359051303</x:v>
      </x:c>
      <x:c r="S162" s="59" t="n">
        <x:f>I162*'模块规划'!$E$15+J162*'模块规划'!$E$17+K162*'模块规划'!$E$16+L162*'模块规划'!$E$18</x:f>
        <x:v>19422.393889358686</x:v>
      </x:c>
      <x:c r="T162" s="59" t="n">
        <x:f>1+T$9*SUMPRODUCT($H$10:$L$10,H162:L162)/SUM($H$10:$L$10)</x:f>
        <x:v>2.7378900034259703</x:v>
      </x:c>
      <x:c r="U162" s="59" t="n">
        <x:f>R162*T162+S162</x:f>
        <x:v>37726.88156132639</x:v>
      </x:c>
      <x:c r="V162" s="59" t="n">
        <x:f>V$8+(V$9-V$8)*H162</x:f>
        <x:v>0.8692080070698587</x:v>
      </x:c>
      <x:c r="W162" s="59" t="n">
        <x:f>IF(B162&lt;$H$8,0,W$8+(W$9-W$8)*H162)</x:f>
        <x:v>0.22561067609314495</x:v>
      </x:c>
      <x:c r="X162" s="59" t="n">
        <x:f>X$8+(X$9-X$8)*H162</x:f>
        <x:v>0.43010733981403715</x:v>
      </x:c>
      <x:c r="Y162" s="59" t="n">
        <x:f>Y$8+(Y$9-Y$8)*G162</x:f>
        <x:v>1</x:v>
      </x:c>
      <x:c r="Z162" s="59" t="n">
        <x:f>Z$8+(Z$9-Z$8)*H162</x:f>
        <x:v>1</x:v>
      </x:c>
      <x:c r="AA162" s="59" t="n">
        <x:f>AA$8+(AA$9-AA$8)*I162</x:f>
        <x:v>1</x:v>
      </x:c>
      <x:c r="AB162" s="59" t="n">
        <x:f>AB$8+(AB$9-AB$8)*J162</x:f>
        <x:v>1</x:v>
      </x:c>
      <x:c r="AC162" s="59" t="n">
        <x:f>AC$8+(AC$9-AC$8)*MAX(K162,L162)</x:f>
        <x:v>1</x:v>
      </x:c>
      <x:c r="AD162" s="59" t="n">
        <x:f>(V162*AE162+W162*AF162+X162*AG162)*PRODUCT(Y162:AC162)</x:f>
        <x:v>1.6764480147003513</x:v>
      </x:c>
      <x:c r="AE162" s="59" t="n">
        <x:f>1+AE$9*($H$10*H162+$I$10*I162+$J$10*J162+$K$10*K162+$L$10*L162)</x:f>
        <x:v>1</x:v>
      </x:c>
      <x:c r="AF162" s="59" t="n">
        <x:f>1+AF$9*($H$10*H162+$I$10*I162+$J$10*J162+$K$10*K162+$L$10*L162)</x:f>
        <x:v>1.1533846237841545</x:v>
      </x:c>
      <x:c r="AG162" s="59" t="n">
        <x:f>1+AG$9*($H$10*H162+$I$10*I162+$J$10*J162+$K$10*K162+$L$10*L162)</x:f>
        <x:v>1.271831638817476</x:v>
      </x:c>
      <x:c r="AH162" s="59" t="n">
        <x:f>MIN(1,'_曲线基线'!$L$3+AH$9*($H$10*H162+$I$10*I162+$J$10*J162+$K$10*K162+$L$10*L162))</x:f>
        <x:v>0.3989500191089513</x:v>
      </x:c>
      <x:c r="AI162" s="59" t="n">
        <x:f>'_曲线基线'!$L$4+AI$9*($H$10*H162+$I$10*I162+$J$10*J162+$K$10*K162+$L$10*L162)</x:f>
        <x:v>2.9720750532320785</x:v>
      </x:c>
      <x:c r="AJ162" s="59" t="n">
        <x:f>1+AJ$9*($H$10*H162+$I$10*I162+$J$10*J162+$K$10*K162+$L$10*L162)</x:f>
        <x:v>1.797600043677603</x:v>
      </x:c>
      <x:c r="AK162" s="59" t="n">
        <x:f>(1+AH162*(AI162-1))*AJ162</x:f>
        <x:v>3.2118787398371587</x:v>
      </x:c>
      <x:c r="AL162" s="59" t="n">
        <x:f>U162*AD162*AK162*F162</x:f>
        <x:v>1015710.9736488002</x:v>
      </x:c>
      <x:c r="AM162" s="59" t="n">
        <x:f>IF($B162&lt;AM$8,0,AM$3+(AM$4-AM$3)*(POWER(AM$5,$B162-AM$8)-1)/(POWER(AM$5,$C$5-AM$8)-1))</x:f>
        <x:v>39.62938356775306</x:v>
      </x:c>
      <x:c r="AN162" s="59" t="n">
        <x:f>(((E162*'模块规划'!$D$10+G162*'模块规划'!$D$11+H162*'模块规划'!$D$13)*(1+'模块规划'!$G$14*H162)+(I162*'模块规划'!$D$15+J162*'模块规划'!$D$17+K162*'模块规划'!$D$16+L162*'模块规划'!$D$18))*(1+'模块规划'!$J$17*J162))*F162/(1-Q162)</x:f>
        <x:v>1549578.7798183535</x:v>
      </x:c>
      <x:c r="AO162" s="59" t="n">
        <x:f>AL162*AM162</x:f>
        <x:v>40251999.76870422</x:v>
      </x:c>
      <x:c r="AP162" s="61" t="n">
        <x:f>IF(AO162="","",INDEX('_曲线基线'!$A$3:$A$502,MIN(ROWS('_曲线基线'!$A$3:$A$502),COUNTIF('_曲线基线'!$E$3:$E$502,"&lt;"&amp;AO162)+1)))</x:f>
        <x:v>227</x:v>
      </x:c>
      <x:c r="AQ162" s="61" t="n">
        <x:f>IF(B162&lt;=2,1,IF(B162&lt;=6,2,IF(B162&lt;=9,3,IF(B162&lt;=19,4,5))))</x:f>
        <x:v>5</x:v>
      </x:c>
      <x:c r="AR162" s="59" t="n">
        <x:f>AN162*(1-Q162)/F162*$AS$3+U162*$AS$4+P162*$AS$5</x:f>
        <x:v>12085.226762366734</x:v>
      </x:c>
      <x:c r="AS162" s="59" t="n">
        <x:f>1+AH162*$AS$6+AI162*$AS$7+(AJ162-1)*$AS$8+($H$10*H162+$I$10*I162+$J$10*J162+$K$10*K162+$L$10*L162)*$AU$3*$AS$9+($H$10*H162+$I$10*I162+$J$10*J162+$K$10*K162+$L$10*L162)*$AU$4*$AS$10</x:f>
        <x:v>14.146485554382004</x:v>
      </x:c>
      <x:c r="AT162" s="60" t="n">
        <x:f>ROUND(AR162*AS162,0)</x:f>
        <x:v>170963</x:v>
      </x:c>
      <x:c r="AU162" s="60" t="n">
        <x:f>ROUND(AT162*F162,0)</x:f>
        <x:v>854815</x:v>
      </x:c>
      <x:c r="AV162" s="60" t="n">
        <x:f>MIN(MATCH(B162,'主线调参'!$M$11:$M$62,1),ROWS('主线调参'!$M$11:$M$62)-1)</x:f>
        <x:v>35</x:v>
      </x:c>
      <x:c r="AW162" s="62" t="n">
        <x:f>(B162-INDEX('主线调参'!$M$11:$M$62,AV162))/(INDEX('主线调参'!$M$11:$M$62,AV162+1)-INDEX('主线调参'!$M$11:$M$62,AV162))</x:f>
        <x:v>0.42857142857142855</x:v>
      </x:c>
      <x:c r="AX162" s="60" t="n">
        <x:f>IF(AU162=0,0,ROUND(AU162,2-INT(LOG10(ABS(AU162)))))</x:f>
        <x:v>855000</x:v>
      </x:c>
      <x:c r="AY162" s="62" t="n">
        <x:f>AU162/AU161-1</x:f>
        <x:v>0.008899117759877173</x:v>
      </x:c>
    </x:row>
    <x:row r="163" ht="25" customHeight="1">
      <x:c r="A163" s="40" t="str">
        <x:f>'调前玩家曲线'!A163</x:f>
      </x:c>
      <x:c r="B163" s="40" t="n">
        <x:f>'调前玩家曲线'!B163</x:f>
        <x:v>152</x:v>
      </x:c>
      <x:c r="C163" s="40" t="n">
        <x:f>'调前玩家曲线'!C163</x:f>
        <x:v>11</x:v>
      </x:c>
      <x:c r="D163" s="40" t="n">
        <x:f>'调前玩家曲线'!D163</x:f>
        <x:v>8</x:v>
      </x:c>
      <x:c r="E163" s="40" t="n">
        <x:f>'调前玩家曲线'!E163</x:f>
        <x:v>1</x:v>
      </x:c>
      <x:c r="F163" s="40" t="n">
        <x:f>'调前玩家曲线'!F163</x:f>
        <x:v>5</x:v>
      </x:c>
      <x:c r="G163" s="63" t="n">
        <x:f>IF(B163&lt;$G$8,0,(INDEX('主线调参'!$C$11:$C$62,$AV163)+(INDEX('主线调参'!$C$11:$C$62,$AV163+1)-INDEX('主线调参'!$C$11:$C$62,$AV163))*$AW163)*'参数说明'!$C$27)</x:f>
        <x:v>0.7221567641749616</x:v>
      </x:c>
      <x:c r="H163" s="63" t="n">
        <x:f>IF(B163&lt;$H$8,0,(INDEX('主线调参'!$D$11:$D$62,$AV163)+(INDEX('主线调参'!$D$11:$D$62,$AV163+1)-INDEX('主线调参'!$D$11:$D$62,$AV163))*$AW163)*'参数说明'!$D$27)</x:f>
        <x:v>0.5654900348750835</x:v>
      </x:c>
      <x:c r="I163" s="63" t="n">
        <x:f>IF(B163&lt;$I$8,0,(INDEX('主线调参'!$E$11:$E$62,$AV163)+(INDEX('主线调参'!$E$11:$E$62,$AV163+1)-INDEX('主线调参'!$E$11:$E$62,$AV163))*$AW163)*'参数说明'!$E$27)</x:f>
        <x:v>0.4494248450976219</x:v>
      </x:c>
      <x:c r="J163" s="63" t="n">
        <x:f>IF(B163&lt;$J$8,0,(INDEX('主线调参'!$F$11:$F$62,$AV163)+(INDEX('主线调参'!$F$11:$F$62,$AV163+1)-INDEX('主线调参'!$F$11:$F$62,$AV163))*$AW163)*'参数说明'!$F$27)</x:f>
        <x:v>0.450729863450493</x:v>
      </x:c>
      <x:c r="K163" s="63" t="n">
        <x:f>IF(B163&lt;$K$8,0,(INDEX('主线调参'!$G$11:$G$62,$AV163)+(INDEX('主线调参'!$G$11:$G$62,$AV163+1)-INDEX('主线调参'!$G$11:$G$62,$AV163))*$AW163)*'参数说明'!$G$27)</x:f>
        <x:v>0.3556979858106463</x:v>
      </x:c>
      <x:c r="L163" s="63" t="n">
        <x:f>IF(B163&lt;$L$8,0,(INDEX('主线调参'!$H$11:$H$62,$AV163)+(INDEX('主线调参'!$H$11:$H$62,$AV163+1)-INDEX('主线调参'!$H$11:$H$62,$AV163))*$AW163)*'参数说明'!$H$27)</x:f>
        <x:v>0.5568698109501546</x:v>
      </x:c>
      <x:c r="M163" s="59" t="n">
        <x:f>E163*'模块规划'!$F$10+G163*'模块规划'!$F$11+H163*'模块规划'!$F$13</x:f>
        <x:v>4466.352468039815</x:v>
      </x:c>
      <x:c r="N163" s="59" t="n">
        <x:f>I163*'模块规划'!$F$15+J163*'模块规划'!$F$17+K163*'模块规划'!$F$16+L163*'模块规划'!$F$18</x:f>
        <x:v>13021.234364900556</x:v>
      </x:c>
      <x:c r="O163" s="59" t="n">
        <x:f>1+O$9*SUMPRODUCT($H$10:$L$10,H163:L163)/SUM($H$10:$L$10)</x:f>
        <x:v>2.746440844142487</x:v>
      </x:c>
      <x:c r="P163" s="59" t="n">
        <x:f>M163*O163+N163</x:f>
        <x:v>25287.807207461705</x:v>
      </x:c>
      <x:c r="Q163" s="59" t="n">
        <x:f>P163/(P163+'_曲线基线'!$L$2)</x:f>
        <x:v>0.5130641560299191</x:v>
      </x:c>
      <x:c r="R163" s="59" t="n">
        <x:f>E163*'模块规划'!$E$10+G163*'模块规划'!$E$11+H163*'模块规划'!$E$13</x:f>
        <x:v>6699.528702059723</x:v>
      </x:c>
      <x:c r="S163" s="59" t="n">
        <x:f>I163*'模块规划'!$E$15+J163*'模块规划'!$E$17+K163*'模块规划'!$E$16+L163*'模块规划'!$E$18</x:f>
        <x:v>19531.85154735083</x:v>
      </x:c>
      <x:c r="T163" s="59" t="n">
        <x:f>1+T$9*SUMPRODUCT($H$10:$L$10,H163:L163)/SUM($H$10:$L$10)</x:f>
        <x:v>2.746440844142487</x:v>
      </x:c>
      <x:c r="U163" s="59" t="n">
        <x:f>R163*T163+S163</x:f>
        <x:v>37931.710811192555</x:v>
      </x:c>
      <x:c r="V163" s="59" t="n">
        <x:f>V$8+(V$9-V$8)*H163</x:f>
        <x:v>0.869647010462525</x:v>
      </x:c>
      <x:c r="W163" s="59" t="n">
        <x:f>IF(B163&lt;$H$8,0,W$8+(W$9-W$8)*H163)</x:f>
        <x:v>0.22619601395003341</x:v>
      </x:c>
      <x:c r="X163" s="59" t="n">
        <x:f>X$8+(X$9-X$8)*H163</x:f>
        <x:v>0.43050975959064797</x:v>
      </x:c>
      <x:c r="Y163" s="59" t="n">
        <x:f>Y$8+(Y$9-Y$8)*G163</x:f>
        <x:v>1</x:v>
      </x:c>
      <x:c r="Z163" s="59" t="n">
        <x:f>Z$8+(Z$9-Z$8)*H163</x:f>
        <x:v>1</x:v>
      </x:c>
      <x:c r="AA163" s="59" t="n">
        <x:f>AA$8+(AA$9-AA$8)*I163</x:f>
        <x:v>1</x:v>
      </x:c>
      <x:c r="AB163" s="59" t="n">
        <x:f>AB$8+(AB$9-AB$8)*J163</x:f>
        <x:v>1</x:v>
      </x:c>
      <x:c r="AC163" s="59" t="n">
        <x:f>AC$8+(AC$9-AC$8)*MAX(K163,L163)</x:f>
        <x:v>1</x:v>
      </x:c>
      <x:c r="AD163" s="59" t="n">
        <x:f>(V163*AE163+W163*AF163+X163*AG163)*PRODUCT(Y163:AC163)</x:f>
        <x:v>1.6788204529402786</x:v>
      </x:c>
      <x:c r="AE163" s="59" t="n">
        <x:f>1+AE$9*($H$10*H163+$I$10*I163+$J$10*J163+$K$10*K163+$L$10*L163)</x:f>
        <x:v>1</x:v>
      </x:c>
      <x:c r="AF163" s="59" t="n">
        <x:f>1+AF$9*($H$10*H163+$I$10*I163+$J$10*J163+$K$10*K163+$L$10*L163)</x:f>
        <x:v>1.154139313369661</x:v>
      </x:c>
      <x:c r="AG163" s="59" t="n">
        <x:f>1+AG$9*($H$10*H163+$I$10*I163+$J$10*J163+$K$10*K163+$L$10*L163)</x:f>
        <x:v>1.27316911647179</x:v>
      </x:c>
      <x:c r="AH163" s="59" t="n">
        <x:f>MIN(1,'_曲线基线'!$L$3+AH$9*($H$10*H163+$I$10*I163+$J$10*J163+$K$10*K163+$L$10*L163))</x:f>
        <x:v>0.4006669379159782</x:v>
      </x:c>
      <x:c r="AI163" s="59" t="n">
        <x:f>'_曲线基线'!$L$4+AI$9*($H$10*H163+$I$10*I163+$J$10*J163+$K$10*K163+$L$10*L163)</x:f>
        <x:v>2.976857898480225</x:v>
      </x:c>
      <x:c r="AJ163" s="59" t="n">
        <x:f>1+AJ$9*($H$10*H163+$I$10*I163+$J$10*J163+$K$10*K163+$L$10*L163)</x:f>
        <x:v>1.8015244295222361</x:v>
      </x:c>
      <x:c r="AK163" s="59" t="n">
        <x:f>(1+AH163*(AI163-1))*AJ163</x:f>
        <x:v>3.2284427531924034</x:v>
      </x:c>
      <x:c r="AL163" s="59" t="n">
        <x:f>U163*AD163*AK163*F163</x:f>
        <x:v>1027944.759061032</x:v>
      </x:c>
      <x:c r="AM163" s="59" t="n">
        <x:f>IF($B163&lt;AM$8,0,AM$3+(AM$4-AM$3)*(POWER(AM$5,$B163-AM$8)-1)/(POWER(AM$5,$C$5-AM$8)-1))</x:f>
        <x:v>39.689102043352456</x:v>
      </x:c>
      <x:c r="AN163" s="59" t="n">
        <x:f>(((E163*'模块规划'!$D$10+G163*'模块规划'!$D$11+H163*'模块规划'!$D$13)*(1+'模块规划'!$G$14*H163)+(I163*'模块规划'!$D$15+J163*'模块规划'!$D$17+K163*'模块规划'!$D$16+L163*'模块规划'!$D$18))*(1+'模块规划'!$J$17*J163))*F163/(1-Q163)</x:f>
        <x:v>1563285.0138763988</x:v>
      </x:c>
      <x:c r="AO163" s="59" t="n">
        <x:f>AL163*AM163</x:f>
        <x:v>40798204.43730265</x:v>
      </x:c>
      <x:c r="AP163" s="61" t="n">
        <x:f>IF(AO163="","",INDEX('_曲线基线'!$A$3:$A$502,MIN(ROWS('_曲线基线'!$A$3:$A$502),COUNTIF('_曲线基线'!$E$3:$E$502,"&lt;"&amp;AO163)+1)))</x:f>
        <x:v>227</x:v>
      </x:c>
      <x:c r="AQ163" s="61" t="n">
        <x:f>IF(B163&lt;=2,1,IF(B163&lt;=6,2,IF(B163&lt;=9,3,IF(B163&lt;=19,4,5))))</x:f>
        <x:v>5</x:v>
      </x:c>
      <x:c r="AR163" s="59" t="n">
        <x:f>AN163*(1-Q163)/F163*$AS$3+U163*$AS$4+P163*$AS$5</x:f>
        <x:v>12153.659207824614</x:v>
      </x:c>
      <x:c r="AS163" s="59" t="n">
        <x:f>1+AH163*$AS$6+AI163*$AS$7+(AJ163-1)*$AS$8+($H$10*H163+$I$10*I163+$J$10*J163+$K$10*K163+$L$10*L163)*$AU$3*$AS$9+($H$10*H163+$I$10*I163+$J$10*J163+$K$10*K163+$L$10*L163)*$AU$4*$AS$10</x:f>
        <x:v>14.191579114632049</x:v>
      </x:c>
      <x:c r="AT163" s="60" t="n">
        <x:f>ROUND(AR163*AS163,0)</x:f>
        <x:v>172480</x:v>
      </x:c>
      <x:c r="AU163" s="60" t="n">
        <x:f>ROUND(AT163*F163,0)</x:f>
        <x:v>862400</x:v>
      </x:c>
      <x:c r="AV163" s="60" t="n">
        <x:f>MIN(MATCH(B163,'主线调参'!$M$11:$M$62,1),ROWS('主线调参'!$M$11:$M$62)-1)</x:f>
        <x:v>35</x:v>
      </x:c>
      <x:c r="AW163" s="62" t="n">
        <x:f>(B163-INDEX('主线调参'!$M$11:$M$62,AV163))/(INDEX('主线调参'!$M$11:$M$62,AV163+1)-INDEX('主线调参'!$M$11:$M$62,AV163))</x:f>
        <x:v>0.5</x:v>
      </x:c>
      <x:c r="AX163" s="60" t="n">
        <x:f>IF(AU163=0,0,ROUND(AU163,2-INT(LOG10(ABS(AU163)))))</x:f>
        <x:v>862000</x:v>
      </x:c>
      <x:c r="AY163" s="62" t="n">
        <x:f>AU163/AU162-1</x:f>
        <x:v>0.008873264975462591</x:v>
      </x:c>
    </x:row>
    <x:row r="164" ht="25" customHeight="1">
      <x:c r="A164" s="40" t="str">
        <x:f>'调前玩家曲线'!A164</x:f>
      </x:c>
      <x:c r="B164" s="40" t="n">
        <x:f>'调前玩家曲线'!B164</x:f>
        <x:v>153</x:v>
      </x:c>
      <x:c r="C164" s="40" t="n">
        <x:f>'调前玩家曲线'!C164</x:f>
        <x:v>11</x:v>
      </x:c>
      <x:c r="D164" s="40" t="n">
        <x:f>'调前玩家曲线'!D164</x:f>
        <x:v>9</x:v>
      </x:c>
      <x:c r="E164" s="40" t="n">
        <x:f>'调前玩家曲线'!E164</x:f>
        <x:v>1</x:v>
      </x:c>
      <x:c r="F164" s="40" t="n">
        <x:f>'调前玩家曲线'!F164</x:f>
        <x:v>5</x:v>
      </x:c>
      <x:c r="G164" s="63" t="n">
        <x:f>IF(B164&lt;$G$8,0,(INDEX('主线调参'!$C$11:$C$62,$AV164)+(INDEX('主线调参'!$C$11:$C$62,$AV164+1)-INDEX('主线调参'!$C$11:$C$62,$AV164))*$AW164)*'参数说明'!$C$27)</x:f>
        <x:v>0.7240887562594644</x:v>
      </x:c>
      <x:c r="H164" s="63" t="n">
        <x:f>IF(B164&lt;$H$8,0,(INDEX('主线调参'!$D$11:$D$62,$AV164)+(INDEX('主线调参'!$D$11:$D$62,$AV164+1)-INDEX('主线调参'!$D$11:$D$62,$AV164))*$AW164)*'参数说明'!$D$27)</x:f>
        <x:v>0.5669533795173048</x:v>
      </x:c>
      <x:c r="I164" s="63" t="n">
        <x:f>IF(B164&lt;$I$8,0,(INDEX('主线调参'!$E$11:$E$62,$AV164)+(INDEX('主线调参'!$E$11:$E$62,$AV164+1)-INDEX('主线调参'!$E$11:$E$62,$AV164))*$AW164)*'参数说明'!$E$27)</x:f>
        <x:v>0.4520434719670647</x:v>
      </x:c>
      <x:c r="J164" s="63" t="n">
        <x:f>IF(B164&lt;$J$8,0,(INDEX('主线调参'!$F$11:$F$62,$AV164)+(INDEX('主线调参'!$F$11:$F$62,$AV164+1)-INDEX('主线调参'!$F$11:$F$62,$AV164))*$AW164)*'参数说明'!$F$27)</x:f>
        <x:v>0.4524273600215175</x:v>
      </x:c>
      <x:c r="K164" s="63" t="n">
        <x:f>IF(B164&lt;$K$8,0,(INDEX('主线调参'!$G$11:$G$62,$AV164)+(INDEX('主线调参'!$G$11:$G$62,$AV164+1)-INDEX('主线调参'!$G$11:$G$62,$AV164))*$AW164)*'参数说明'!$G$27)</x:f>
        <x:v>0.36019683013496495</x:v>
      </x:c>
      <x:c r="L164" s="63" t="n">
        <x:f>IF(B164&lt;$L$8,0,(INDEX('主线调参'!$H$11:$H$62,$AV164)+(INDEX('主线调参'!$H$11:$H$62,$AV164+1)-INDEX('主线调参'!$H$11:$H$62,$AV164))*$AW164)*'参数说明'!$H$27)</x:f>
        <x:v>0.558480756026768</x:v>
      </x:c>
      <x:c r="M164" s="59" t="n">
        <x:f>E164*'模块规划'!$F$10+G164*'模块规划'!$F$11+H164*'模块规划'!$F$13</x:f>
        <x:v>4475.626030045429</x:v>
      </x:c>
      <x:c r="N164" s="59" t="n">
        <x:f>I164*'模块规划'!$F$15+J164*'模块规划'!$F$17+K164*'模块规划'!$F$16+L164*'模块规划'!$F$18</x:f>
        <x:v>13094.206136895322</x:v>
      </x:c>
      <x:c r="O164" s="59" t="n">
        <x:f>1+O$9*SUMPRODUCT($H$10:$L$10,H164:L164)/SUM($H$10:$L$10)</x:f>
        <x:v>2.7549916848590037</x:v>
      </x:c>
      <x:c r="P164" s="59" t="n">
        <x:f>M164*O164+N164</x:f>
        <x:v>25424.51863420899</x:v>
      </x:c>
      <x:c r="Q164" s="59" t="n">
        <x:f>P164/(P164+'_曲线基线'!$L$2)</x:f>
        <x:v>0.5144110521819328</x:v>
      </x:c>
      <x:c r="R164" s="59" t="n">
        <x:f>E164*'模块规划'!$E$10+G164*'模块规划'!$E$11+H164*'模块规划'!$E$13</x:f>
        <x:v>6713.439045068144</x:v>
      </x:c>
      <x:c r="S164" s="59" t="n">
        <x:f>I164*'模块规划'!$E$15+J164*'模块规划'!$E$17+K164*'模块规划'!$E$16+L164*'模块规划'!$E$18</x:f>
        <x:v>19641.309205342983</x:v>
      </x:c>
      <x:c r="T164" s="59" t="n">
        <x:f>1+T$9*SUMPRODUCT($H$10:$L$10,H164:L164)/SUM($H$10:$L$10)</x:f>
        <x:v>2.7549916848590037</x:v>
      </x:c>
      <x:c r="U164" s="59" t="n">
        <x:f>R164*T164+S164</x:f>
        <x:v>38136.77795131349</x:v>
      </x:c>
      <x:c r="V164" s="59" t="n">
        <x:f>V$8+(V$9-V$8)*H164</x:f>
        <x:v>0.8700860138551915</x:v>
      </x:c>
      <x:c r="W164" s="59" t="n">
        <x:f>IF(B164&lt;$H$8,0,W$8+(W$9-W$8)*H164)</x:f>
        <x:v>0.22678135180692194</x:v>
      </x:c>
      <x:c r="X164" s="59" t="n">
        <x:f>X$8+(X$9-X$8)*H164</x:f>
        <x:v>0.4309121793672589</x:v>
      </x:c>
      <x:c r="Y164" s="59" t="n">
        <x:f>Y$8+(Y$9-Y$8)*G164</x:f>
        <x:v>1</x:v>
      </x:c>
      <x:c r="Z164" s="59" t="n">
        <x:f>Z$8+(Z$9-Z$8)*H164</x:f>
        <x:v>1</x:v>
      </x:c>
      <x:c r="AA164" s="59" t="n">
        <x:f>AA$8+(AA$9-AA$8)*I164</x:f>
        <x:v>1</x:v>
      </x:c>
      <x:c r="AB164" s="59" t="n">
        <x:f>AB$8+(AB$9-AB$8)*J164</x:f>
        <x:v>1</x:v>
      </x:c>
      <x:c r="AC164" s="59" t="n">
        <x:f>AC$8+(AC$9-AC$8)*MAX(K164,L164)</x:f>
        <x:v>1</x:v>
      </x:c>
      <x:c r="AD164" s="59" t="n">
        <x:f>(V164*AE164+W164*AF164+X164*AG164)*PRODUCT(Y164:AC164)</x:f>
        <x:v>1.6811948511318935</x:v>
      </x:c>
      <x:c r="AE164" s="59" t="n">
        <x:f>1+AE$9*($H$10*H164+$I$10*I164+$J$10*J164+$K$10*K164+$L$10*L164)</x:f>
        <x:v>1</x:v>
      </x:c>
      <x:c r="AF164" s="59" t="n">
        <x:f>1+AF$9*($H$10*H164+$I$10*I164+$J$10*J164+$K$10*K164+$L$10*L164)</x:f>
        <x:v>1.1548940029551673</x:v>
      </x:c>
      <x:c r="AG164" s="59" t="n">
        <x:f>1+AG$9*($H$10*H164+$I$10*I164+$J$10*J164+$K$10*K164+$L$10*L164)</x:f>
        <x:v>1.274506594126104</x:v>
      </x:c>
      <x:c r="AH164" s="59" t="n">
        <x:f>MIN(1,'_曲线基线'!$L$3+AH$9*($H$10*H164+$I$10*I164+$J$10*J164+$K$10*K164+$L$10*L164))</x:f>
        <x:v>0.40238385672300503</x:v>
      </x:c>
      <x:c r="AI164" s="59" t="n">
        <x:f>'_曲线基线'!$L$4+AI$9*($H$10*H164+$I$10*I164+$J$10*J164+$K$10*K164+$L$10*L164)</x:f>
        <x:v>2.9816407437283714</x:v>
      </x:c>
      <x:c r="AJ164" s="59" t="n">
        <x:f>1+AJ$9*($H$10*H164+$I$10*I164+$J$10*J164+$K$10*K164+$L$10*L164)</x:f>
        <x:v>1.8054488153668689</x:v>
      </x:c>
      <x:c r="AK164" s="59" t="n">
        <x:f>(1+AH164*(AI164-1))*AJ164</x:f>
        <x:v>3.245078034281171</x:v>
      </x:c>
      <x:c r="AL164" s="59" t="n">
        <x:f>U164*AD164*AK164*F164</x:f>
        <x:v>1040296.6464805935</x:v>
      </x:c>
      <x:c r="AM164" s="59" t="n">
        <x:f>IF($B164&lt;AM$8,0,AM$3+(AM$4-AM$3)*(POWER(AM$5,$B164-AM$8)-1)/(POWER(AM$5,$C$5-AM$8)-1))</x:f>
        <x:v>39.749417703707856</x:v>
      </x:c>
      <x:c r="AN164" s="59" t="n">
        <x:f>(((E164*'模块规划'!$D$10+G164*'模块规划'!$D$11+H164*'模块规划'!$D$13)*(1+'模块规划'!$G$14*H164)+(I164*'模块规划'!$D$15+J164*'模块规划'!$D$17+K164*'模块规划'!$D$16+L164*'模块规划'!$D$18))*(1+'模块规划'!$J$17*J164))*F164/(1-Q164)</x:f>
        <x:v>1577069.8126308983</x:v>
      </x:c>
      <x:c r="AO164" s="59" t="n">
        <x:f>AL164*AM164</x:f>
        <x:v>41351185.93672361</x:v>
      </x:c>
      <x:c r="AP164" s="61" t="n">
        <x:f>IF(AO164="","",INDEX('_曲线基线'!$A$3:$A$502,MIN(ROWS('_曲线基线'!$A$3:$A$502),COUNTIF('_曲线基线'!$E$3:$E$502,"&lt;"&amp;AO164)+1)))</x:f>
        <x:v>228</x:v>
      </x:c>
      <x:c r="AQ164" s="61" t="n">
        <x:f>IF(B164&lt;=2,1,IF(B164&lt;=6,2,IF(B164&lt;=9,3,IF(B164&lt;=19,4,5))))</x:f>
        <x:v>5</x:v>
      </x:c>
      <x:c r="AR164" s="59" t="n">
        <x:f>AN164*(1-Q164)/F164*$AS$3+U164*$AS$4+P164*$AS$5</x:f>
        <x:v>12222.201615969143</x:v>
      </x:c>
      <x:c r="AS164" s="59" t="n">
        <x:f>1+AH164*$AS$6+AI164*$AS$7+(AJ164-1)*$AS$8+($H$10*H164+$I$10*I164+$J$10*J164+$K$10*K164+$L$10*L164)*$AU$3*$AS$9+($H$10*H164+$I$10*I164+$J$10*J164+$K$10*K164+$L$10*L164)*$AU$4*$AS$10</x:f>
        <x:v>14.23667267488209</x:v>
      </x:c>
      <x:c r="AT164" s="60" t="n">
        <x:f>ROUND(AR164*AS164,0)</x:f>
        <x:v>174003</x:v>
      </x:c>
      <x:c r="AU164" s="60" t="n">
        <x:f>ROUND(AT164*F164,0)</x:f>
        <x:v>870015</x:v>
      </x:c>
      <x:c r="AV164" s="60" t="n">
        <x:f>MIN(MATCH(B164,'主线调参'!$M$11:$M$62,1),ROWS('主线调参'!$M$11:$M$62)-1)</x:f>
        <x:v>35</x:v>
      </x:c>
      <x:c r="AW164" s="62" t="n">
        <x:f>(B164-INDEX('主线调参'!$M$11:$M$62,AV164))/(INDEX('主线调参'!$M$11:$M$62,AV164+1)-INDEX('主线调参'!$M$11:$M$62,AV164))</x:f>
        <x:v>0.5714285714285714</x:v>
      </x:c>
      <x:c r="AX164" s="60" t="n">
        <x:f>IF(AU164=0,0,ROUND(AU164,2-INT(LOG10(ABS(AU164)))))</x:f>
        <x:v>870000</x:v>
      </x:c>
      <x:c r="AY164" s="62" t="n">
        <x:f>AU164/AU163-1</x:f>
        <x:v>0.008830009276437956</x:v>
      </x:c>
    </x:row>
    <x:row r="165" ht="25" customHeight="1">
      <x:c r="A165" s="40" t="str">
        <x:f>'调前玩家曲线'!A165</x:f>
      </x:c>
      <x:c r="B165" s="40" t="n">
        <x:f>'调前玩家曲线'!B165</x:f>
        <x:v>154</x:v>
      </x:c>
      <x:c r="C165" s="40" t="n">
        <x:f>'调前玩家曲线'!C165</x:f>
        <x:v>11</x:v>
      </x:c>
      <x:c r="D165" s="40" t="n">
        <x:f>'调前玩家曲线'!D165</x:f>
        <x:v>10</x:v>
      </x:c>
      <x:c r="E165" s="40" t="n">
        <x:f>'调前玩家曲线'!E165</x:f>
        <x:v>1</x:v>
      </x:c>
      <x:c r="F165" s="40" t="n">
        <x:f>'调前玩家曲线'!F165</x:f>
        <x:v>5</x:v>
      </x:c>
      <x:c r="G165" s="63" t="n">
        <x:f>IF(B165&lt;$G$8,0,(INDEX('主线调参'!$C$11:$C$62,$AV165)+(INDEX('主线调参'!$C$11:$C$62,$AV165+1)-INDEX('主线调参'!$C$11:$C$62,$AV165))*$AW165)*'参数说明'!$C$27)</x:f>
        <x:v>0.7260207483439671</x:v>
      </x:c>
      <x:c r="H165" s="63" t="n">
        <x:f>IF(B165&lt;$H$8,0,(INDEX('主线调参'!$D$11:$D$62,$AV165)+(INDEX('主线调参'!$D$11:$D$62,$AV165+1)-INDEX('主线调参'!$D$11:$D$62,$AV165))*$AW165)*'参数说明'!$D$27)</x:f>
        <x:v>0.568416724159526</x:v>
      </x:c>
      <x:c r="I165" s="63" t="n">
        <x:f>IF(B165&lt;$I$8,0,(INDEX('主线调参'!$E$11:$E$62,$AV165)+(INDEX('主线调参'!$E$11:$E$62,$AV165+1)-INDEX('主线调参'!$E$11:$E$62,$AV165))*$AW165)*'参数说明'!$E$27)</x:f>
        <x:v>0.45466209883650754</x:v>
      </x:c>
      <x:c r="J165" s="63" t="n">
        <x:f>IF(B165&lt;$J$8,0,(INDEX('主线调参'!$F$11:$F$62,$AV165)+(INDEX('主线调参'!$F$11:$F$62,$AV165+1)-INDEX('主线调参'!$F$11:$F$62,$AV165))*$AW165)*'参数说明'!$F$27)</x:f>
        <x:v>0.454124856592542</x:v>
      </x:c>
      <x:c r="K165" s="63" t="n">
        <x:f>IF(B165&lt;$K$8,0,(INDEX('主线调参'!$G$11:$G$62,$AV165)+(INDEX('主线调参'!$G$11:$G$62,$AV165+1)-INDEX('主线调参'!$G$11:$G$62,$AV165))*$AW165)*'参数说明'!$G$27)</x:f>
        <x:v>0.3646956744592837</x:v>
      </x:c>
      <x:c r="L165" s="63" t="n">
        <x:f>IF(B165&lt;$L$8,0,(INDEX('主线调参'!$H$11:$H$62,$AV165)+(INDEX('主线调参'!$H$11:$H$62,$AV165+1)-INDEX('主线调参'!$H$11:$H$62,$AV165))*$AW165)*'参数说明'!$H$27)</x:f>
        <x:v>0.5600917011033816</x:v>
      </x:c>
      <x:c r="M165" s="59" t="n">
        <x:f>E165*'模块规划'!$F$10+G165*'模块规划'!$F$11+H165*'模块规划'!$F$13</x:f>
        <x:v>4484.899592051042</x:v>
      </x:c>
      <x:c r="N165" s="59" t="n">
        <x:f>I165*'模块规划'!$F$15+J165*'模块规划'!$F$17+K165*'模块规划'!$F$16+L165*'模块规划'!$F$18</x:f>
        <x:v>13167.177908890091</x:v>
      </x:c>
      <x:c r="O165" s="59" t="n">
        <x:f>1+O$9*SUMPRODUCT($H$10:$L$10,H165:L165)/SUM($H$10:$L$10)</x:f>
        <x:v>2.76354252557552</x:v>
      </x:c>
      <x:c r="P165" s="59" t="n">
        <x:f>M165*O165+N165</x:f>
        <x:v>25561.38865445945</x:v>
      </x:c>
      <x:c r="Q165" s="59" t="n">
        <x:f>P165/(P165+'_曲线基线'!$L$2)</x:f>
        <x:v>0.5157520672528508</x:v>
      </x:c>
      <x:c r="R165" s="59" t="n">
        <x:f>E165*'模块规划'!$E$10+G165*'模块规划'!$E$11+H165*'模块规划'!$E$13</x:f>
        <x:v>6727.349388076564</x:v>
      </x:c>
      <x:c r="S165" s="59" t="n">
        <x:f>I165*'模块规划'!$E$15+J165*'模块规划'!$E$17+K165*'模块规划'!$E$16+L165*'模块规划'!$E$18</x:f>
        <x:v>19750.766863335135</x:v>
      </x:c>
      <x:c r="T165" s="59" t="n">
        <x:f>1+T$9*SUMPRODUCT($H$10:$L$10,H165:L165)/SUM($H$10:$L$10)</x:f>
        <x:v>2.76354252557552</x:v>
      </x:c>
      <x:c r="U165" s="59" t="n">
        <x:f>R165*T165+S165</x:f>
        <x:v>38342.08298168917</x:v>
      </x:c>
      <x:c r="V165" s="59" t="n">
        <x:f>V$8+(V$9-V$8)*H165</x:f>
        <x:v>0.8705250172478578</x:v>
      </x:c>
      <x:c r="W165" s="59" t="n">
        <x:f>IF(B165&lt;$H$8,0,W$8+(W$9-W$8)*H165)</x:f>
        <x:v>0.22736668966381043</x:v>
      </x:c>
      <x:c r="X165" s="59" t="n">
        <x:f>X$8+(X$9-X$8)*H165</x:f>
        <x:v>0.4313145991438697</x:v>
      </x:c>
      <x:c r="Y165" s="59" t="n">
        <x:f>Y$8+(Y$9-Y$8)*G165</x:f>
        <x:v>1</x:v>
      </x:c>
      <x:c r="Z165" s="59" t="n">
        <x:f>Z$8+(Z$9-Z$8)*H165</x:f>
        <x:v>1</x:v>
      </x:c>
      <x:c r="AA165" s="59" t="n">
        <x:f>AA$8+(AA$9-AA$8)*I165</x:f>
        <x:v>1</x:v>
      </x:c>
      <x:c r="AB165" s="59" t="n">
        <x:f>AB$8+(AB$9-AB$8)*J165</x:f>
        <x:v>1</x:v>
      </x:c>
      <x:c r="AC165" s="59" t="n">
        <x:f>AC$8+(AC$9-AC$8)*MAX(K165,L165)</x:f>
        <x:v>1</x:v>
      </x:c>
      <x:c r="AD165" s="59" t="n">
        <x:f>(V165*AE165+W165*AF165+X165*AG165)*PRODUCT(Y165:AC165)</x:f>
        <x:v>1.683571209275195</x:v>
      </x:c>
      <x:c r="AE165" s="59" t="n">
        <x:f>1+AE$9*($H$10*H165+$I$10*I165+$J$10*J165+$K$10*K165+$L$10*L165)</x:f>
        <x:v>1</x:v>
      </x:c>
      <x:c r="AF165" s="59" t="n">
        <x:f>1+AF$9*($H$10*H165+$I$10*I165+$J$10*J165+$K$10*K165+$L$10*L165)</x:f>
        <x:v>1.1556486925406735</x:v>
      </x:c>
      <x:c r="AG165" s="59" t="n">
        <x:f>1+AG$9*($H$10*H165+$I$10*I165+$J$10*J165+$K$10*K165+$L$10*L165)</x:f>
        <x:v>1.275844071780418</x:v>
      </x:c>
      <x:c r="AH165" s="59" t="n">
        <x:f>MIN(1,'_曲线基线'!$L$3+AH$9*($H$10*H165+$I$10*I165+$J$10*J165+$K$10*K165+$L$10*L165))</x:f>
        <x:v>0.40410077553003193</x:v>
      </x:c>
      <x:c r="AI165" s="59" t="n">
        <x:f>'_曲线基线'!$L$4+AI$9*($H$10*H165+$I$10*I165+$J$10*J165+$K$10*K165+$L$10*L165)</x:f>
        <x:v>2.9864235889765176</x:v>
      </x:c>
      <x:c r="AJ165" s="59" t="n">
        <x:f>1+AJ$9*($H$10*H165+$I$10*I165+$J$10*J165+$K$10*K165+$L$10*L165)</x:f>
        <x:v>1.8093732012115016</x:v>
      </x:c>
      <x:c r="AK165" s="59" t="n">
        <x:f>(1+AH165*(AI165-1))*AJ165</x:f>
        <x:v>3.2617847764600807</x:v>
      </x:c>
      <x:c r="AL165" s="59" t="n">
        <x:f>U165*AD165*AK165*F165</x:f>
        <x:v>1052767.5714110318</x:v>
      </x:c>
      <x:c r="AM165" s="59" t="n">
        <x:f>IF($B165&lt;AM$8,0,AM$3+(AM$4-AM$3)*(POWER(AM$5,$B165-AM$8)-1)/(POWER(AM$5,$C$5-AM$8)-1))</x:f>
        <x:v>39.8103365206668</x:v>
      </x:c>
      <x:c r="AN165" s="59" t="n">
        <x:f>(((E165*'模块规划'!$D$10+G165*'模块规划'!$D$11+H165*'模块规划'!$D$13)*(1+'模块规划'!$G$14*H165)+(I165*'模块规划'!$D$15+J165*'模块规划'!$D$17+K165*'模块规划'!$D$16+L165*'模块规划'!$D$18))*(1+'模块规划'!$J$17*J165))*F165/(1-Q165)</x:f>
        <x:v>1590933.4524259185</x:v>
      </x:c>
      <x:c r="AO165" s="59" t="n">
        <x:f>AL165*AM165</x:f>
        <x:v>41911031.29591829</x:v>
      </x:c>
      <x:c r="AP165" s="61" t="n">
        <x:f>IF(AO165="","",INDEX('_曲线基线'!$A$3:$A$502,MIN(ROWS('_曲线基线'!$A$3:$A$502),COUNTIF('_曲线基线'!$E$3:$E$502,"&lt;"&amp;AO165)+1)))</x:f>
        <x:v>229</x:v>
      </x:c>
      <x:c r="AQ165" s="61" t="n">
        <x:f>IF(B165&lt;=2,1,IF(B165&lt;=6,2,IF(B165&lt;=9,3,IF(B165&lt;=19,4,5))))</x:f>
        <x:v>5</x:v>
      </x:c>
      <x:c r="AR165" s="59" t="n">
        <x:f>AN165*(1-Q165)/F165*$AS$3+U165*$AS$4+P165*$AS$5</x:f>
        <x:v>12290.85400919105</x:v>
      </x:c>
      <x:c r="AS165" s="59" t="n">
        <x:f>1+AH165*$AS$6+AI165*$AS$7+(AJ165-1)*$AS$8+($H$10*H165+$I$10*I165+$J$10*J165+$K$10*K165+$L$10*L165)*$AU$3*$AS$9+($H$10*H165+$I$10*I165+$J$10*J165+$K$10*K165+$L$10*L165)*$AU$4*$AS$10</x:f>
        <x:v>14.281766235132135</x:v>
      </x:c>
      <x:c r="AT165" s="60" t="n">
        <x:f>ROUND(AR165*AS165,0)</x:f>
        <x:v>175535</x:v>
      </x:c>
      <x:c r="AU165" s="60" t="n">
        <x:f>ROUND(AT165*F165,0)</x:f>
        <x:v>877675</x:v>
      </x:c>
      <x:c r="AV165" s="60" t="n">
        <x:f>MIN(MATCH(B165,'主线调参'!$M$11:$M$62,1),ROWS('主线调参'!$M$11:$M$62)-1)</x:f>
        <x:v>35</x:v>
      </x:c>
      <x:c r="AW165" s="62" t="n">
        <x:f>(B165-INDEX('主线调参'!$M$11:$M$62,AV165))/(INDEX('主线调参'!$M$11:$M$62,AV165+1)-INDEX('主线调参'!$M$11:$M$62,AV165))</x:f>
        <x:v>0.6428571428571429</x:v>
      </x:c>
      <x:c r="AX165" s="60" t="n">
        <x:f>IF(AU165=0,0,ROUND(AU165,2-INT(LOG10(ABS(AU165)))))</x:f>
        <x:v>878000</x:v>
      </x:c>
      <x:c r="AY165" s="62" t="n">
        <x:f>AU165/AU164-1</x:f>
        <x:v>0.008804445900358004</x:v>
      </x:c>
    </x:row>
    <x:row r="166" ht="25" customHeight="1">
      <x:c r="A166" s="40" t="str">
        <x:f>'调前玩家曲线'!A166</x:f>
      </x:c>
      <x:c r="B166" s="40" t="n">
        <x:f>'调前玩家曲线'!B166</x:f>
        <x:v>155</x:v>
      </x:c>
      <x:c r="C166" s="40" t="n">
        <x:f>'调前玩家曲线'!C166</x:f>
        <x:v>11</x:v>
      </x:c>
      <x:c r="D166" s="40" t="n">
        <x:f>'调前玩家曲线'!D166</x:f>
        <x:v>11</x:v>
      </x:c>
      <x:c r="E166" s="40" t="n">
        <x:f>'调前玩家曲线'!E166</x:f>
        <x:v>1</x:v>
      </x:c>
      <x:c r="F166" s="40" t="n">
        <x:f>'调前玩家曲线'!F166</x:f>
        <x:v>5</x:v>
      </x:c>
      <x:c r="G166" s="63" t="n">
        <x:f>IF(B166&lt;$G$8,0,(INDEX('主线调参'!$C$11:$C$62,$AV166)+(INDEX('主线调参'!$C$11:$C$62,$AV166+1)-INDEX('主线调参'!$C$11:$C$62,$AV166))*$AW166)*'参数说明'!$C$27)</x:f>
        <x:v>0.7279527404284699</x:v>
      </x:c>
      <x:c r="H166" s="63" t="n">
        <x:f>IF(B166&lt;$H$8,0,(INDEX('主线调参'!$D$11:$D$62,$AV166)+(INDEX('主线调参'!$D$11:$D$62,$AV166+1)-INDEX('主线调参'!$D$11:$D$62,$AV166))*$AW166)*'参数说明'!$D$27)</x:f>
        <x:v>0.5698800688017474</x:v>
      </x:c>
      <x:c r="I166" s="63" t="n">
        <x:f>IF(B166&lt;$I$8,0,(INDEX('主线调参'!$E$11:$E$62,$AV166)+(INDEX('主线调参'!$E$11:$E$62,$AV166+1)-INDEX('主线调参'!$E$11:$E$62,$AV166))*$AW166)*'参数说明'!$E$27)</x:f>
        <x:v>0.45728072570595035</x:v>
      </x:c>
      <x:c r="J166" s="63" t="n">
        <x:f>IF(B166&lt;$J$8,0,(INDEX('主线调参'!$F$11:$F$62,$AV166)+(INDEX('主线调参'!$F$11:$F$62,$AV166+1)-INDEX('主线调参'!$F$11:$F$62,$AV166))*$AW166)*'参数说明'!$F$27)</x:f>
        <x:v>0.45582235316356645</x:v>
      </x:c>
      <x:c r="K166" s="63" t="n">
        <x:f>IF(B166&lt;$K$8,0,(INDEX('主线调参'!$G$11:$G$62,$AV166)+(INDEX('主线调参'!$G$11:$G$62,$AV166+1)-INDEX('主线调参'!$G$11:$G$62,$AV166))*$AW166)*'参数说明'!$G$27)</x:f>
        <x:v>0.3691945187836023</x:v>
      </x:c>
      <x:c r="L166" s="63" t="n">
        <x:f>IF(B166&lt;$L$8,0,(INDEX('主线调参'!$H$11:$H$62,$AV166)+(INDEX('主线调参'!$H$11:$H$62,$AV166+1)-INDEX('主线调参'!$H$11:$H$62,$AV166))*$AW166)*'参数说明'!$H$27)</x:f>
        <x:v>0.561702646179995</x:v>
      </x:c>
      <x:c r="M166" s="59" t="n">
        <x:f>E166*'模块规划'!$F$10+G166*'模块规划'!$F$11+H166*'模块规划'!$F$13</x:f>
        <x:v>4494.173154056656</x:v>
      </x:c>
      <x:c r="N166" s="59" t="n">
        <x:f>I166*'模块规划'!$F$15+J166*'模块规划'!$F$17+K166*'模块规划'!$F$16+L166*'模块规划'!$F$18</x:f>
        <x:v>13240.149680884857</x:v>
      </x:c>
      <x:c r="O166" s="59" t="n">
        <x:f>1+O$9*SUMPRODUCT($H$10:$L$10,H166:L166)/SUM($H$10:$L$10)</x:f>
        <x:v>2.772093366292036</x:v>
      </x:c>
      <x:c r="P166" s="59" t="n">
        <x:f>M166*O166+N166</x:f>
        <x:v>25698.41726821307</x:v>
      </x:c>
      <x:c r="Q166" s="59" t="n">
        <x:f>P166/(P166+'_曲线基线'!$L$2)</x:f>
        <x:v>0.5170872369943597</x:v>
      </x:c>
      <x:c r="R166" s="59" t="n">
        <x:f>E166*'模块规划'!$E$10+G166*'模块规划'!$E$11+H166*'模块规划'!$E$13</x:f>
        <x:v>6741.259731084983</x:v>
      </x:c>
      <x:c r="S166" s="59" t="n">
        <x:f>I166*'模块规划'!$E$15+J166*'模块规划'!$E$17+K166*'模块规划'!$E$16+L166*'模块规划'!$E$18</x:f>
        <x:v>19860.224521327284</x:v>
      </x:c>
      <x:c r="T166" s="59" t="n">
        <x:f>1+T$9*SUMPRODUCT($H$10:$L$10,H166:L166)/SUM($H$10:$L$10)</x:f>
        <x:v>2.772093366292036</x:v>
      </x:c>
      <x:c r="U166" s="59" t="n">
        <x:f>R166*T166+S166</x:f>
        <x:v>38547.6259023196</x:v>
      </x:c>
      <x:c r="V166" s="59" t="n">
        <x:f>V$8+(V$9-V$8)*H166</x:f>
        <x:v>0.8709640206405243</x:v>
      </x:c>
      <x:c r="W166" s="59" t="n">
        <x:f>IF(B166&lt;$H$8,0,W$8+(W$9-W$8)*H166)</x:f>
        <x:v>0.22795202752069896</x:v>
      </x:c>
      <x:c r="X166" s="59" t="n">
        <x:f>X$8+(X$9-X$8)*H166</x:f>
        <x:v>0.43171701892048053</x:v>
      </x:c>
      <x:c r="Y166" s="59" t="n">
        <x:f>Y$8+(Y$9-Y$8)*G166</x:f>
        <x:v>1</x:v>
      </x:c>
      <x:c r="Z166" s="59" t="n">
        <x:f>Z$8+(Z$9-Z$8)*H166</x:f>
        <x:v>1</x:v>
      </x:c>
      <x:c r="AA166" s="59" t="n">
        <x:f>AA$8+(AA$9-AA$8)*I166</x:f>
        <x:v>1</x:v>
      </x:c>
      <x:c r="AB166" s="59" t="n">
        <x:f>AB$8+(AB$9-AB$8)*J166</x:f>
        <x:v>1</x:v>
      </x:c>
      <x:c r="AC166" s="59" t="n">
        <x:f>AC$8+(AC$9-AC$8)*MAX(K166,L166)</x:f>
        <x:v>1</x:v>
      </x:c>
      <x:c r="AD166" s="59" t="n">
        <x:f>(V166*AE166+W166*AF166+X166*AG166)*PRODUCT(Y166:AC166)</x:f>
        <x:v>1.6859495273701834</x:v>
      </x:c>
      <x:c r="AE166" s="59" t="n">
        <x:f>1+AE$9*($H$10*H166+$I$10*I166+$J$10*J166+$K$10*K166+$L$10*L166)</x:f>
        <x:v>1</x:v>
      </x:c>
      <x:c r="AF166" s="59" t="n">
        <x:f>1+AF$9*($H$10*H166+$I$10*I166+$J$10*J166+$K$10*K166+$L$10*L166)</x:f>
        <x:v>1.1564033821261799</x:v>
      </x:c>
      <x:c r="AG166" s="59" t="n">
        <x:f>1+AG$9*($H$10*H166+$I$10*I166+$J$10*J166+$K$10*K166+$L$10*L166)</x:f>
        <x:v>1.277181549434732</x:v>
      </x:c>
      <x:c r="AH166" s="59" t="n">
        <x:f>MIN(1,'_曲线基线'!$L$3+AH$9*($H$10*H166+$I$10*I166+$J$10*J166+$K$10*K166+$L$10*L166))</x:f>
        <x:v>0.4058176943370588</x:v>
      </x:c>
      <x:c r="AI166" s="59" t="n">
        <x:f>'_曲线基线'!$L$4+AI$9*($H$10*H166+$I$10*I166+$J$10*J166+$K$10*K166+$L$10*L166)</x:f>
        <x:v>2.991206434224664</x:v>
      </x:c>
      <x:c r="AJ166" s="59" t="n">
        <x:f>1+AJ$9*($H$10*H166+$I$10*I166+$J$10*J166+$K$10*K166+$L$10*L166)</x:f>
        <x:v>1.8132975870561343</x:v>
      </x:c>
      <x:c r="AK166" s="59" t="n">
        <x:f>(1+AH166*(AI166-1))*AJ166</x:f>
        <x:v>3.278563173085747</x:v>
      </x:c>
      <x:c r="AL166" s="59" t="n">
        <x:f>U166*AD166*AK166*F166</x:f>
        <x:v>1065358.4751605317</x:v>
      </x:c>
      <x:c r="AM166" s="59" t="n">
        <x:f>IF($B166&lt;AM$8,0,AM$3+(AM$4-AM$3)*(POWER(AM$5,$B166-AM$8)-1)/(POWER(AM$5,$C$5-AM$8)-1))</x:f>
        <x:v>39.87186452579534</x:v>
      </x:c>
      <x:c r="AN166" s="59" t="n">
        <x:f>(((E166*'模块规划'!$D$10+G166*'模块规划'!$D$11+H166*'模块规划'!$D$13)*(1+'模块规划'!$G$14*H166)+(I166*'模块规划'!$D$15+J166*'模块规划'!$D$17+K166*'模块规划'!$D$16+L166*'模块规划'!$D$18))*(1+'模块规划'!$J$17*J166))*F166/(1-Q166)</x:f>
        <x:v>1604876.2101029973</x:v>
      </x:c>
      <x:c r="AO166" s="59" t="n">
        <x:f>AL166*AM166</x:f>
        <x:v>42477828.79300862</x:v>
      </x:c>
      <x:c r="AP166" s="61" t="n">
        <x:f>IF(AO166="","",INDEX('_曲线基线'!$A$3:$A$502,MIN(ROWS('_曲线基线'!$A$3:$A$502),COUNTIF('_曲线基线'!$E$3:$E$502,"&lt;"&amp;AO166)+1)))</x:f>
        <x:v>230</x:v>
      </x:c>
      <x:c r="AQ166" s="61" t="n">
        <x:f>IF(B166&lt;=2,1,IF(B166&lt;=6,2,IF(B166&lt;=9,3,IF(B166&lt;=19,4,5))))</x:f>
        <x:v>5</x:v>
      </x:c>
      <x:c r="AR166" s="59" t="n">
        <x:f>AN166*(1-Q166)/F166*$AS$3+U166*$AS$4+P166*$AS$5</x:f>
        <x:v>12359.616409881073</x:v>
      </x:c>
      <x:c r="AS166" s="59" t="n">
        <x:f>1+AH166*$AS$6+AI166*$AS$7+(AJ166-1)*$AS$8+($H$10*H166+$I$10*I166+$J$10*J166+$K$10*K166+$L$10*L166)*$AU$3*$AS$9+($H$10*H166+$I$10*I166+$J$10*J166+$K$10*K166+$L$10*L166)*$AU$4*$AS$10</x:f>
        <x:v>14.326859795382177</x:v>
      </x:c>
      <x:c r="AT166" s="60" t="n">
        <x:f>ROUND(AR166*AS166,0)</x:f>
        <x:v>177074</x:v>
      </x:c>
      <x:c r="AU166" s="60" t="n">
        <x:f>ROUND(AT166*F166,0)</x:f>
        <x:v>885370</x:v>
      </x:c>
      <x:c r="AV166" s="60" t="n">
        <x:f>MIN(MATCH(B166,'主线调参'!$M$11:$M$62,1),ROWS('主线调参'!$M$11:$M$62)-1)</x:f>
        <x:v>35</x:v>
      </x:c>
      <x:c r="AW166" s="62" t="n">
        <x:f>(B166-INDEX('主线调参'!$M$11:$M$62,AV166))/(INDEX('主线调参'!$M$11:$M$62,AV166+1)-INDEX('主线调参'!$M$11:$M$62,AV166))</x:f>
        <x:v>0.7142857142857143</x:v>
      </x:c>
      <x:c r="AX166" s="60" t="n">
        <x:f>IF(AU166=0,0,ROUND(AU166,2-INT(LOG10(ABS(AU166)))))</x:f>
        <x:v>885000</x:v>
      </x:c>
      <x:c r="AY166" s="62" t="n">
        <x:f>AU166/AU165-1</x:f>
        <x:v>0.008767482268493554</x:v>
      </x:c>
    </x:row>
    <x:row r="167" ht="25" customHeight="1">
      <x:c r="A167" s="40" t="str">
        <x:f>'调前玩家曲线'!A167</x:f>
      </x:c>
      <x:c r="B167" s="40" t="n">
        <x:f>'调前玩家曲线'!B167</x:f>
        <x:v>156</x:v>
      </x:c>
      <x:c r="C167" s="40" t="n">
        <x:f>'调前玩家曲线'!C167</x:f>
        <x:v>11</x:v>
      </x:c>
      <x:c r="D167" s="40" t="n">
        <x:f>'调前玩家曲线'!D167</x:f>
        <x:v>12</x:v>
      </x:c>
      <x:c r="E167" s="40" t="n">
        <x:f>'调前玩家曲线'!E167</x:f>
        <x:v>1</x:v>
      </x:c>
      <x:c r="F167" s="40" t="n">
        <x:f>'调前玩家曲线'!F167</x:f>
        <x:v>5</x:v>
      </x:c>
      <x:c r="G167" s="63" t="n">
        <x:f>IF(B167&lt;$G$8,0,(INDEX('主线调参'!$C$11:$C$62,$AV167)+(INDEX('主线调参'!$C$11:$C$62,$AV167+1)-INDEX('主线调参'!$C$11:$C$62,$AV167))*$AW167)*'参数说明'!$C$27)</x:f>
        <x:v>0.7298847325129726</x:v>
      </x:c>
      <x:c r="H167" s="63" t="n">
        <x:f>IF(B167&lt;$H$8,0,(INDEX('主线调参'!$D$11:$D$62,$AV167)+(INDEX('主线调参'!$D$11:$D$62,$AV167+1)-INDEX('主线调参'!$D$11:$D$62,$AV167))*$AW167)*'参数说明'!$D$27)</x:f>
        <x:v>0.5713434134439686</x:v>
      </x:c>
      <x:c r="I167" s="63" t="n">
        <x:f>IF(B167&lt;$I$8,0,(INDEX('主线调参'!$E$11:$E$62,$AV167)+(INDEX('主线调参'!$E$11:$E$62,$AV167+1)-INDEX('主线调参'!$E$11:$E$62,$AV167))*$AW167)*'参数说明'!$E$27)</x:f>
        <x:v>0.4598993525753932</x:v>
      </x:c>
      <x:c r="J167" s="63" t="n">
        <x:f>IF(B167&lt;$J$8,0,(INDEX('主线调参'!$F$11:$F$62,$AV167)+(INDEX('主线调参'!$F$11:$F$62,$AV167+1)-INDEX('主线调参'!$F$11:$F$62,$AV167))*$AW167)*'参数说明'!$F$27)</x:f>
        <x:v>0.45751984973459103</x:v>
      </x:c>
      <x:c r="K167" s="63" t="n">
        <x:f>IF(B167&lt;$K$8,0,(INDEX('主线调参'!$G$11:$G$62,$AV167)+(INDEX('主线调参'!$G$11:$G$62,$AV167+1)-INDEX('主线调参'!$G$11:$G$62,$AV167))*$AW167)*'参数说明'!$G$27)</x:f>
        <x:v>0.373693363107921</x:v>
      </x:c>
      <x:c r="L167" s="63" t="n">
        <x:f>IF(B167&lt;$L$8,0,(INDEX('主线调参'!$H$11:$H$62,$AV167)+(INDEX('主线调参'!$H$11:$H$62,$AV167+1)-INDEX('主线调参'!$H$11:$H$62,$AV167))*$AW167)*'参数说明'!$H$27)</x:f>
        <x:v>0.5633135912566085</x:v>
      </x:c>
      <x:c r="M167" s="59" t="n">
        <x:f>E167*'模块规划'!$F$10+G167*'模块规划'!$F$11+H167*'模块规划'!$F$13</x:f>
        <x:v>4503.446716062268</x:v>
      </x:c>
      <x:c r="N167" s="59" t="n">
        <x:f>I167*'模块规划'!$F$15+J167*'模块规划'!$F$17+K167*'模块规划'!$F$16+L167*'模块规划'!$F$18</x:f>
        <x:v>13313.121452879624</x:v>
      </x:c>
      <x:c r="O167" s="59" t="n">
        <x:f>1+O$9*SUMPRODUCT($H$10:$L$10,H167:L167)/SUM($H$10:$L$10)</x:f>
        <x:v>2.780644207008553</x:v>
      </x:c>
      <x:c r="P167" s="59" t="n">
        <x:f>M167*O167+N167</x:f>
        <x:v>25835.60447546986</x:v>
      </x:c>
      <x:c r="Q167" s="59" t="n">
        <x:f>P167/(P167+'_曲线基线'!$L$2)</x:f>
        <x:v>0.5184165968767709</x:v>
      </x:c>
      <x:c r="R167" s="59" t="n">
        <x:f>E167*'模块规划'!$E$10+G167*'模块规划'!$E$11+H167*'模块规划'!$E$13</x:f>
        <x:v>6755.170074093403</x:v>
      </x:c>
      <x:c r="S167" s="59" t="n">
        <x:f>I167*'模块规划'!$E$15+J167*'模块规划'!$E$17+K167*'模块规划'!$E$16+L167*'模块规划'!$E$18</x:f>
        <x:v>19969.682179319436</x:v>
      </x:c>
      <x:c r="T167" s="59" t="n">
        <x:f>1+T$9*SUMPRODUCT($H$10:$L$10,H167:L167)/SUM($H$10:$L$10)</x:f>
        <x:v>2.780644207008553</x:v>
      </x:c>
      <x:c r="U167" s="59" t="n">
        <x:f>R167*T167+S167</x:f>
        <x:v>38753.40671320479</x:v>
      </x:c>
      <x:c r="V167" s="59" t="n">
        <x:f>V$8+(V$9-V$8)*H167</x:f>
        <x:v>0.8714030240331906</x:v>
      </x:c>
      <x:c r="W167" s="59" t="n">
        <x:f>IF(B167&lt;$H$8,0,W$8+(W$9-W$8)*H167)</x:f>
        <x:v>0.22853736537758743</x:v>
      </x:c>
      <x:c r="X167" s="59" t="n">
        <x:f>X$8+(X$9-X$8)*H167</x:f>
        <x:v>0.43211943869709135</x:v>
      </x:c>
      <x:c r="Y167" s="59" t="n">
        <x:f>Y$8+(Y$9-Y$8)*G167</x:f>
        <x:v>1</x:v>
      </x:c>
      <x:c r="Z167" s="59" t="n">
        <x:f>Z$8+(Z$9-Z$8)*H167</x:f>
        <x:v>1</x:v>
      </x:c>
      <x:c r="AA167" s="59" t="n">
        <x:f>AA$8+(AA$9-AA$8)*I167</x:f>
        <x:v>1</x:v>
      </x:c>
      <x:c r="AB167" s="59" t="n">
        <x:f>AB$8+(AB$9-AB$8)*J167</x:f>
        <x:v>1</x:v>
      </x:c>
      <x:c r="AC167" s="59" t="n">
        <x:f>AC$8+(AC$9-AC$8)*MAX(K167,L167)</x:f>
        <x:v>1</x:v>
      </x:c>
      <x:c r="AD167" s="59" t="n">
        <x:f>(V167*AE167+W167*AF167+X167*AG167)*PRODUCT(Y167:AC167)</x:f>
        <x:v>1.6883298054168585</x:v>
      </x:c>
      <x:c r="AE167" s="59" t="n">
        <x:f>1+AE$9*($H$10*H167+$I$10*I167+$J$10*J167+$K$10*K167+$L$10*L167)</x:f>
        <x:v>1</x:v>
      </x:c>
      <x:c r="AF167" s="59" t="n">
        <x:f>1+AF$9*($H$10*H167+$I$10*I167+$J$10*J167+$K$10*K167+$L$10*L167)</x:f>
        <x:v>1.1571580717116863</x:v>
      </x:c>
      <x:c r="AG167" s="59" t="n">
        <x:f>1+AG$9*($H$10*H167+$I$10*I167+$J$10*J167+$K$10*K167+$L$10*L167)</x:f>
        <x:v>1.278519027089046</x:v>
      </x:c>
      <x:c r="AH167" s="59" t="n">
        <x:f>MIN(1,'_曲线基线'!$L$3+AH$9*($H$10*H167+$I$10*I167+$J$10*J167+$K$10*K167+$L$10*L167))</x:f>
        <x:v>0.4075346131440857</x:v>
      </x:c>
      <x:c r="AI167" s="59" t="n">
        <x:f>'_曲线基线'!$L$4+AI$9*($H$10*H167+$I$10*I167+$J$10*J167+$K$10*K167+$L$10*L167)</x:f>
        <x:v>2.99598927947281</x:v>
      </x:c>
      <x:c r="AJ167" s="59" t="n">
        <x:f>1+AJ$9*($H$10*H167+$I$10*I167+$J$10*J167+$K$10*K167+$L$10*L167)</x:f>
        <x:v>1.8172219729007675</x:v>
      </x:c>
      <x:c r="AK167" s="59" t="n">
        <x:f>(1+AH167*(AI167-1))*AJ167</x:f>
        <x:v>3.2954134175147893</x:v>
      </x:c>
      <x:c r="AL167" s="59" t="n">
        <x:f>U167*AD167*AK167*F167</x:f>
        <x:v>1078070.3048674995</x:v>
      </x:c>
      <x:c r="AM167" s="59" t="n">
        <x:f>IF($B167&lt;AM$8,0,AM$3+(AM$4-AM$3)*(POWER(AM$5,$B167-AM$8)-1)/(POWER(AM$5,$C$5-AM$8)-1))</x:f>
        <x:v>39.93400781097516</x:v>
      </x:c>
      <x:c r="AN167" s="59" t="n">
        <x:f>(((E167*'模块规划'!$D$10+G167*'模块规划'!$D$11+H167*'模块规划'!$D$13)*(1+'模块规划'!$G$14*H167)+(I167*'模块规划'!$D$15+J167*'模块规划'!$D$17+K167*'模块规划'!$D$16+L167*'模块规划'!$D$18))*(1+'模块规划'!$J$17*J167))*F167/(1-Q167)</x:f>
        <x:v>1618898.3630013869</x:v>
      </x:c>
      <x:c r="AO167" s="59" t="n">
        <x:f>AL167*AM167</x:f>
        <x:v>43051667.9753591</x:v>
      </x:c>
      <x:c r="AP167" s="61" t="n">
        <x:f>IF(AO167="","",INDEX('_曲线基线'!$A$3:$A$502,MIN(ROWS('_曲线基线'!$A$3:$A$502),COUNTIF('_曲线基线'!$E$3:$E$502,"&lt;"&amp;AO167)+1)))</x:f>
        <x:v>231</x:v>
      </x:c>
      <x:c r="AQ167" s="61" t="n">
        <x:f>IF(B167&lt;=2,1,IF(B167&lt;=6,2,IF(B167&lt;=9,3,IF(B167&lt;=19,4,5))))</x:f>
        <x:v>5</x:v>
      </x:c>
      <x:c r="AR167" s="59" t="n">
        <x:f>AN167*(1-Q167)/F167*$AS$3+U167*$AS$4+P167*$AS$5</x:f>
        <x:v>12428.488840429953</x:v>
      </x:c>
      <x:c r="AS167" s="59" t="n">
        <x:f>1+AH167*$AS$6+AI167*$AS$7+(AJ167-1)*$AS$8+($H$10*H167+$I$10*I167+$J$10*J167+$K$10*K167+$L$10*L167)*$AU$3*$AS$9+($H$10*H167+$I$10*I167+$J$10*J167+$K$10*K167+$L$10*L167)*$AU$4*$AS$10</x:f>
        <x:v>14.371953355632222</x:v>
      </x:c>
      <x:c r="AT167" s="60" t="n">
        <x:f>ROUND(AR167*AS167,0)</x:f>
        <x:v>178622</x:v>
      </x:c>
      <x:c r="AU167" s="60" t="n">
        <x:f>ROUND(AT167*F167,0)</x:f>
        <x:v>893110</x:v>
      </x:c>
      <x:c r="AV167" s="60" t="n">
        <x:f>MIN(MATCH(B167,'主线调参'!$M$11:$M$62,1),ROWS('主线调参'!$M$11:$M$62)-1)</x:f>
        <x:v>35</x:v>
      </x:c>
      <x:c r="AW167" s="62" t="n">
        <x:f>(B167-INDEX('主线调参'!$M$11:$M$62,AV167))/(INDEX('主线调参'!$M$11:$M$62,AV167+1)-INDEX('主线调参'!$M$11:$M$62,AV167))</x:f>
        <x:v>0.7857142857142857</x:v>
      </x:c>
      <x:c r="AX167" s="60" t="n">
        <x:f>IF(AU167=0,0,ROUND(AU167,2-INT(LOG10(ABS(AU167)))))</x:f>
        <x:v>893000</x:v>
      </x:c>
      <x:c r="AY167" s="62" t="n">
        <x:f>AU167/AU166-1</x:f>
        <x:v>0.008742107819329714</x:v>
      </x:c>
    </x:row>
    <x:row r="168" ht="25" customHeight="1">
      <x:c r="A168" s="40" t="str">
        <x:f>'调前玩家曲线'!A168</x:f>
      </x:c>
      <x:c r="B168" s="40" t="n">
        <x:f>'调前玩家曲线'!B168</x:f>
        <x:v>157</x:v>
      </x:c>
      <x:c r="C168" s="40" t="n">
        <x:f>'调前玩家曲线'!C168</x:f>
        <x:v>11</x:v>
      </x:c>
      <x:c r="D168" s="40" t="n">
        <x:f>'调前玩家曲线'!D168</x:f>
        <x:v>13</x:v>
      </x:c>
      <x:c r="E168" s="40" t="n">
        <x:f>'调前玩家曲线'!E168</x:f>
        <x:v>1</x:v>
      </x:c>
      <x:c r="F168" s="40" t="n">
        <x:f>'调前玩家曲线'!F168</x:f>
        <x:v>5</x:v>
      </x:c>
      <x:c r="G168" s="63" t="n">
        <x:f>IF(B168&lt;$G$8,0,(INDEX('主线调参'!$C$11:$C$62,$AV168)+(INDEX('主线调参'!$C$11:$C$62,$AV168+1)-INDEX('主线调参'!$C$11:$C$62,$AV168))*$AW168)*'参数说明'!$C$27)</x:f>
        <x:v>0.7318167245974755</x:v>
      </x:c>
      <x:c r="H168" s="63" t="n">
        <x:f>IF(B168&lt;$H$8,0,(INDEX('主线调参'!$D$11:$D$62,$AV168)+(INDEX('主线调参'!$D$11:$D$62,$AV168+1)-INDEX('主线调参'!$D$11:$D$62,$AV168))*$AW168)*'参数说明'!$D$27)</x:f>
        <x:v>0.5728067580861897</x:v>
      </x:c>
      <x:c r="I168" s="63" t="n">
        <x:f>IF(B168&lt;$I$8,0,(INDEX('主线调参'!$E$11:$E$62,$AV168)+(INDEX('主线调参'!$E$11:$E$62,$AV168+1)-INDEX('主线调参'!$E$11:$E$62,$AV168))*$AW168)*'参数说明'!$E$27)</x:f>
        <x:v>0.462517979444836</x:v>
      </x:c>
      <x:c r="J168" s="63" t="n">
        <x:f>IF(B168&lt;$J$8,0,(INDEX('主线调参'!$F$11:$F$62,$AV168)+(INDEX('主线调参'!$F$11:$F$62,$AV168+1)-INDEX('主线调参'!$F$11:$F$62,$AV168))*$AW168)*'参数说明'!$F$27)</x:f>
        <x:v>0.4592173463056155</x:v>
      </x:c>
      <x:c r="K168" s="63" t="n">
        <x:f>IF(B168&lt;$K$8,0,(INDEX('主线调参'!$G$11:$G$62,$AV168)+(INDEX('主线调参'!$G$11:$G$62,$AV168+1)-INDEX('主线调参'!$G$11:$G$62,$AV168))*$AW168)*'参数说明'!$G$27)</x:f>
        <x:v>0.37819220743223964</x:v>
      </x:c>
      <x:c r="L168" s="63" t="n">
        <x:f>IF(B168&lt;$L$8,0,(INDEX('主线调参'!$H$11:$H$62,$AV168)+(INDEX('主线调参'!$H$11:$H$62,$AV168+1)-INDEX('主线调参'!$H$11:$H$62,$AV168))*$AW168)*'参数说明'!$H$27)</x:f>
        <x:v>0.564924536333222</x:v>
      </x:c>
      <x:c r="M168" s="59" t="n">
        <x:f>E168*'模块规划'!$F$10+G168*'模块规划'!$F$11+H168*'模块规划'!$F$13</x:f>
        <x:v>4512.720278067882</x:v>
      </x:c>
      <x:c r="N168" s="59" t="n">
        <x:f>I168*'模块规划'!$F$15+J168*'模块规划'!$F$17+K168*'模块规划'!$F$16+L168*'模块规划'!$F$18</x:f>
        <x:v>13386.093224874392</x:v>
      </x:c>
      <x:c r="O168" s="59" t="n">
        <x:f>1+O$9*SUMPRODUCT($H$10:$L$10,H168:L168)/SUM($H$10:$L$10)</x:f>
        <x:v>2.7891950477250695</x:v>
      </x:c>
      <x:c r="P168" s="59" t="n">
        <x:f>M168*O168+N168</x:f>
        <x:v>25972.95027622983</x:v>
      </x:c>
      <x:c r="Q168" s="59" t="n">
        <x:f>P168/(P168+'_曲线基线'!$L$2)</x:f>
        <x:v>0.5197401820917534</x:v>
      </x:c>
      <x:c r="R168" s="59" t="n">
        <x:f>E168*'模块规划'!$E$10+G168*'模块规划'!$E$11+H168*'模块规划'!$E$13</x:f>
        <x:v>6769.0804171018235</x:v>
      </x:c>
      <x:c r="S168" s="59" t="n">
        <x:f>I168*'模块规划'!$E$15+J168*'模块规划'!$E$17+K168*'模块规划'!$E$16+L168*'模块规划'!$E$18</x:f>
        <x:v>20079.139837311588</x:v>
      </x:c>
      <x:c r="T168" s="59" t="n">
        <x:f>1+T$9*SUMPRODUCT($H$10:$L$10,H168:L168)/SUM($H$10:$L$10)</x:f>
        <x:v>2.7891950477250695</x:v>
      </x:c>
      <x:c r="U168" s="59" t="n">
        <x:f>R168*T168+S168</x:f>
        <x:v>38959.42541434475</x:v>
      </x:c>
      <x:c r="V168" s="59" t="n">
        <x:f>V$8+(V$9-V$8)*H168</x:f>
        <x:v>0.8718420274258569</x:v>
      </x:c>
      <x:c r="W168" s="59" t="n">
        <x:f>IF(B168&lt;$H$8,0,W$8+(W$9-W$8)*H168)</x:f>
        <x:v>0.22912270323447592</x:v>
      </x:c>
      <x:c r="X168" s="59" t="n">
        <x:f>X$8+(X$9-X$8)*H168</x:f>
        <x:v>0.4325218584737022</x:v>
      </x:c>
      <x:c r="Y168" s="59" t="n">
        <x:f>Y$8+(Y$9-Y$8)*G168</x:f>
        <x:v>1</x:v>
      </x:c>
      <x:c r="Z168" s="59" t="n">
        <x:f>Z$8+(Z$9-Z$8)*H168</x:f>
        <x:v>1</x:v>
      </x:c>
      <x:c r="AA168" s="59" t="n">
        <x:f>AA$8+(AA$9-AA$8)*I168</x:f>
        <x:v>1</x:v>
      </x:c>
      <x:c r="AB168" s="59" t="n">
        <x:f>AB$8+(AB$9-AB$8)*J168</x:f>
        <x:v>1</x:v>
      </x:c>
      <x:c r="AC168" s="59" t="n">
        <x:f>AC$8+(AC$9-AC$8)*MAX(K168,L168)</x:f>
        <x:v>1</x:v>
      </x:c>
      <x:c r="AD168" s="59" t="n">
        <x:f>(V168*AE168+W168*AF168+X168*AG168)*PRODUCT(Y168:AC168)</x:f>
        <x:v>1.690712043415221</x:v>
      </x:c>
      <x:c r="AE168" s="59" t="n">
        <x:f>1+AE$9*($H$10*H168+$I$10*I168+$J$10*J168+$K$10*K168+$L$10*L168)</x:f>
        <x:v>1</x:v>
      </x:c>
      <x:c r="AF168" s="59" t="n">
        <x:f>1+AF$9*($H$10*H168+$I$10*I168+$J$10*J168+$K$10*K168+$L$10*L168)</x:f>
        <x:v>1.1579127612971924</x:v>
      </x:c>
      <x:c r="AG168" s="59" t="n">
        <x:f>1+AG$9*($H$10*H168+$I$10*I168+$J$10*J168+$K$10*K168+$L$10*L168)</x:f>
        <x:v>1.27985650474336</x:v>
      </x:c>
      <x:c r="AH168" s="59" t="n">
        <x:f>MIN(1,'_曲线基线'!$L$3+AH$9*($H$10*H168+$I$10*I168+$J$10*J168+$K$10*K168+$L$10*L168))</x:f>
        <x:v>0.4092515319511126</x:v>
      </x:c>
      <x:c r="AI168" s="59" t="n">
        <x:f>'_曲线基线'!$L$4+AI$9*($H$10*H168+$I$10*I168+$J$10*J168+$K$10*K168+$L$10*L168)</x:f>
        <x:v>3.0007721247209567</x:v>
      </x:c>
      <x:c r="AJ168" s="59" t="n">
        <x:f>1+AJ$9*($H$10*H168+$I$10*I168+$J$10*J168+$K$10*K168+$L$10*L168)</x:f>
        <x:v>1.8211463587454002</x:v>
      </x:c>
      <x:c r="AK168" s="59" t="n">
        <x:f>(1+AH168*(AI168-1))*AJ168</x:f>
        <x:v>3.3123357031038223</x:v>
      </x:c>
      <x:c r="AL168" s="59" t="n">
        <x:f>U168*AD168*AK168*F168</x:f>
        <x:v>1090904.0135262148</x:v>
      </x:c>
      <x:c r="AM168" s="59" t="n">
        <x:f>IF($B168&lt;AM$8,0,AM$3+(AM$4-AM$3)*(POWER(AM$5,$B168-AM$8)-1)/(POWER(AM$5,$C$5-AM$8)-1))</x:f>
        <x:v>39.996772529006776</x:v>
      </x:c>
      <x:c r="AN168" s="59" t="n">
        <x:f>(((E168*'模块规划'!$D$10+G168*'模块规划'!$D$11+H168*'模块规划'!$D$13)*(1+'模块规划'!$G$14*H168)+(I168*'模块规划'!$D$15+J168*'模块规划'!$D$17+K168*'模块规划'!$D$16+L168*'模块规划'!$D$18))*(1+'模块规划'!$J$17*J168))*F168/(1-Q168)</x:f>
        <x:v>1633000.1889583003</x:v>
      </x:c>
      <x:c r="AO168" s="59" t="n">
        <x:f>AL168*AM168</x:f>
        <x:v>43632639.67998854</x:v>
      </x:c>
      <x:c r="AP168" s="61" t="n">
        <x:f>IF(AO168="","",INDEX('_曲线基线'!$A$3:$A$502,MIN(ROWS('_曲线基线'!$A$3:$A$502),COUNTIF('_曲线基线'!$E$3:$E$502,"&lt;"&amp;AO168)+1)))</x:f>
        <x:v>232</x:v>
      </x:c>
      <x:c r="AQ168" s="61" t="n">
        <x:f>IF(B168&lt;=2,1,IF(B168&lt;=6,2,IF(B168&lt;=9,3,IF(B168&lt;=19,4,5))))</x:f>
        <x:v>5</x:v>
      </x:c>
      <x:c r="AR168" s="59" t="n">
        <x:f>AN168*(1-Q168)/F168*$AS$3+U168*$AS$4+P168*$AS$5</x:f>
        <x:v>12497.471323228423</x:v>
      </x:c>
      <x:c r="AS168" s="59" t="n">
        <x:f>1+AH168*$AS$6+AI168*$AS$7+(AJ168-1)*$AS$8+($H$10*H168+$I$10*I168+$J$10*J168+$K$10*K168+$L$10*L168)*$AU$3*$AS$9+($H$10*H168+$I$10*I168+$J$10*J168+$K$10*K168+$L$10*L168)*$AU$4*$AS$10</x:f>
        <x:v>14.417046915882267</x:v>
      </x:c>
      <x:c r="AT168" s="60" t="n">
        <x:f>ROUND(AR168*AS168,0)</x:f>
        <x:v>180177</x:v>
      </x:c>
      <x:c r="AU168" s="60" t="n">
        <x:f>ROUND(AT168*F168,0)</x:f>
        <x:v>900885</x:v>
      </x:c>
      <x:c r="AV168" s="60" t="n">
        <x:f>MIN(MATCH(B168,'主线调参'!$M$11:$M$62,1),ROWS('主线调参'!$M$11:$M$62)-1)</x:f>
        <x:v>35</x:v>
      </x:c>
      <x:c r="AW168" s="62" t="n">
        <x:f>(B168-INDEX('主线调参'!$M$11:$M$62,AV168))/(INDEX('主线调参'!$M$11:$M$62,AV168+1)-INDEX('主线调参'!$M$11:$M$62,AV168))</x:f>
        <x:v>0.8571428571428571</x:v>
      </x:c>
      <x:c r="AX168" s="60" t="n">
        <x:f>IF(AU168=0,0,ROUND(AU168,2-INT(LOG10(ABS(AU168)))))</x:f>
        <x:v>901000</x:v>
      </x:c>
      <x:c r="AY168" s="62" t="n">
        <x:f>AU168/AU167-1</x:f>
        <x:v>0.008705534592603481</x:v>
      </x:c>
    </x:row>
    <x:row r="169" ht="25" customHeight="1">
      <x:c r="A169" s="40" t="str">
        <x:f>'调前玩家曲线'!A169</x:f>
      </x:c>
      <x:c r="B169" s="40" t="n">
        <x:f>'调前玩家曲线'!B169</x:f>
        <x:v>158</x:v>
      </x:c>
      <x:c r="C169" s="40" t="n">
        <x:f>'调前玩家曲线'!C169</x:f>
        <x:v>11</x:v>
      </x:c>
      <x:c r="D169" s="40" t="n">
        <x:f>'调前玩家曲线'!D169</x:f>
        <x:v>14</x:v>
      </x:c>
      <x:c r="E169" s="40" t="n">
        <x:f>'调前玩家曲线'!E169</x:f>
        <x:v>1</x:v>
      </x:c>
      <x:c r="F169" s="40" t="n">
        <x:f>'调前玩家曲线'!F169</x:f>
        <x:v>5</x:v>
      </x:c>
      <x:c r="G169" s="63" t="n">
        <x:f>IF(B169&lt;$G$8,0,(INDEX('主线调参'!$C$11:$C$62,$AV169)+(INDEX('主线调参'!$C$11:$C$62,$AV169+1)-INDEX('主线调参'!$C$11:$C$62,$AV169))*$AW169)*'参数说明'!$C$27)</x:f>
        <x:v>0.7337487166819782</x:v>
      </x:c>
      <x:c r="H169" s="63" t="n">
        <x:f>IF(B169&lt;$H$8,0,(INDEX('主线调参'!$D$11:$D$62,$AV169)+(INDEX('主线调参'!$D$11:$D$62,$AV169+1)-INDEX('主线调参'!$D$11:$D$62,$AV169))*$AW169)*'参数说明'!$D$27)</x:f>
        <x:v>0.5742701027284111</x:v>
      </x:c>
      <x:c r="I169" s="63" t="n">
        <x:f>IF(B169&lt;$I$8,0,(INDEX('主线调参'!$E$11:$E$62,$AV169)+(INDEX('主线调参'!$E$11:$E$62,$AV169+1)-INDEX('主线调参'!$E$11:$E$62,$AV169))*$AW169)*'参数说明'!$E$27)</x:f>
        <x:v>0.4651366063142789</x:v>
      </x:c>
      <x:c r="J169" s="63" t="n">
        <x:f>IF(B169&lt;$J$8,0,(INDEX('主线调参'!$F$11:$F$62,$AV169)+(INDEX('主线调参'!$F$11:$F$62,$AV169+1)-INDEX('主线调参'!$F$11:$F$62,$AV169))*$AW169)*'参数说明'!$F$27)</x:f>
        <x:v>0.46091484287664003</x:v>
      </x:c>
      <x:c r="K169" s="63" t="n">
        <x:f>IF(B169&lt;$K$8,0,(INDEX('主线调参'!$G$11:$G$62,$AV169)+(INDEX('主线调参'!$G$11:$G$62,$AV169+1)-INDEX('主线调参'!$G$11:$G$62,$AV169))*$AW169)*'参数说明'!$G$27)</x:f>
        <x:v>0.3826910517565584</x:v>
      </x:c>
      <x:c r="L169" s="63" t="n">
        <x:f>IF(B169&lt;$L$8,0,(INDEX('主线调参'!$H$11:$H$62,$AV169)+(INDEX('主线调参'!$H$11:$H$62,$AV169+1)-INDEX('主线调参'!$H$11:$H$62,$AV169))*$AW169)*'参数说明'!$H$27)</x:f>
        <x:v>0.5665354814098355</x:v>
      </x:c>
      <x:c r="M169" s="59" t="n">
        <x:f>E169*'模块规划'!$F$10+G169*'模块规划'!$F$11+H169*'模块规划'!$F$13</x:f>
        <x:v>4521.993840073495</x:v>
      </x:c>
      <x:c r="N169" s="59" t="n">
        <x:f>I169*'模块规划'!$F$15+J169*'模块规划'!$F$17+K169*'模块规划'!$F$16+L169*'模块规划'!$F$18</x:f>
        <x:v>13459.06499686916</x:v>
      </x:c>
      <x:c r="O169" s="59" t="n">
        <x:f>1+O$9*SUMPRODUCT($H$10:$L$10,H169:L169)/SUM($H$10:$L$10)</x:f>
        <x:v>2.797745888441586</x:v>
      </x:c>
      <x:c r="P169" s="59" t="n">
        <x:f>M169*O169+N169</x:f>
        <x:v>26110.45467049296</x:v>
      </x:c>
      <x:c r="Q169" s="59" t="n">
        <x:f>P169/(P169+'_曲线基线'!$L$2)</x:f>
        <x:v>0.5210580275550332</x:v>
      </x:c>
      <x:c r="R169" s="59" t="n">
        <x:f>E169*'模块规划'!$E$10+G169*'模块规划'!$E$11+H169*'模块规划'!$E$13</x:f>
        <x:v>6782.990760110243</x:v>
      </x:c>
      <x:c r="S169" s="59" t="n">
        <x:f>I169*'模块规划'!$E$15+J169*'模块规划'!$E$17+K169*'模块规划'!$E$16+L169*'模块规划'!$E$18</x:f>
        <x:v>20188.597495303737</x:v>
      </x:c>
      <x:c r="T169" s="59" t="n">
        <x:f>1+T$9*SUMPRODUCT($H$10:$L$10,H169:L169)/SUM($H$10:$L$10)</x:f>
        <x:v>2.797745888441586</x:v>
      </x:c>
      <x:c r="U169" s="59" t="n">
        <x:f>R169*T169+S169</x:f>
        <x:v>39165.682005739436</x:v>
      </x:c>
      <x:c r="V169" s="59" t="n">
        <x:f>V$8+(V$9-V$8)*H169</x:f>
        <x:v>0.8722810308185233</x:v>
      </x:c>
      <x:c r="W169" s="59" t="n">
        <x:f>IF(B169&lt;$H$8,0,W$8+(W$9-W$8)*H169)</x:f>
        <x:v>0.22970804109136445</x:v>
      </x:c>
      <x:c r="X169" s="59" t="n">
        <x:f>X$8+(X$9-X$8)*H169</x:f>
        <x:v>0.4329242782503131</x:v>
      </x:c>
      <x:c r="Y169" s="59" t="n">
        <x:f>Y$8+(Y$9-Y$8)*G169</x:f>
        <x:v>1</x:v>
      </x:c>
      <x:c r="Z169" s="59" t="n">
        <x:f>Z$8+(Z$9-Z$8)*H169</x:f>
        <x:v>1</x:v>
      </x:c>
      <x:c r="AA169" s="59" t="n">
        <x:f>AA$8+(AA$9-AA$8)*I169</x:f>
        <x:v>1</x:v>
      </x:c>
      <x:c r="AB169" s="59" t="n">
        <x:f>AB$8+(AB$9-AB$8)*J169</x:f>
        <x:v>1</x:v>
      </x:c>
      <x:c r="AC169" s="59" t="n">
        <x:f>AC$8+(AC$9-AC$8)*MAX(K169,L169)</x:f>
        <x:v>1</x:v>
      </x:c>
      <x:c r="AD169" s="59" t="n">
        <x:f>(V169*AE169+W169*AF169+X169*AG169)*PRODUCT(Y169:AC169)</x:f>
        <x:v>1.6930962413652701</x:v>
      </x:c>
      <x:c r="AE169" s="59" t="n">
        <x:f>1+AE$9*($H$10*H169+$I$10*I169+$J$10*J169+$K$10*K169+$L$10*L169)</x:f>
        <x:v>1</x:v>
      </x:c>
      <x:c r="AF169" s="59" t="n">
        <x:f>1+AF$9*($H$10*H169+$I$10*I169+$J$10*J169+$K$10*K169+$L$10*L169)</x:f>
        <x:v>1.1586674508826988</x:v>
      </x:c>
      <x:c r="AG169" s="59" t="n">
        <x:f>1+AG$9*($H$10*H169+$I$10*I169+$J$10*J169+$K$10*K169+$L$10*L169)</x:f>
        <x:v>1.281193982397674</x:v>
      </x:c>
      <x:c r="AH169" s="59" t="n">
        <x:f>MIN(1,'_曲线基线'!$L$3+AH$9*($H$10*H169+$I$10*I169+$J$10*J169+$K$10*K169+$L$10*L169))</x:f>
        <x:v>0.4109684507581394</x:v>
      </x:c>
      <x:c r="AI169" s="59" t="n">
        <x:f>'_曲线基线'!$L$4+AI$9*($H$10*H169+$I$10*I169+$J$10*J169+$K$10*K169+$L$10*L169)</x:f>
        <x:v>3.0055549699691024</x:v>
      </x:c>
      <x:c r="AJ169" s="59" t="n">
        <x:f>1+AJ$9*($H$10*H169+$I$10*I169+$J$10*J169+$K$10*K169+$L$10*L169)</x:f>
        <x:v>1.825070744590033</x:v>
      </x:c>
      <x:c r="AK169" s="59" t="n">
        <x:f>(1+AH169*(AI169-1))*AJ169</x:f>
        <x:v>3.3293302232094613</x:v>
      </x:c>
      <x:c r="AL169" s="59" t="n">
        <x:f>U169*AD169*AK169*F169</x:f>
        <x:v>1103860.5600125554</x:v>
      </x:c>
      <x:c r="AM169" s="59" t="n">
        <x:f>IF($B169&lt;AM$8,0,AM$3+(AM$4-AM$3)*(POWER(AM$5,$B169-AM$8)-1)/(POWER(AM$5,$C$5-AM$8)-1))</x:f>
        <x:v>40.060164894218715</x:v>
      </x:c>
      <x:c r="AN169" s="59" t="n">
        <x:f>(((E169*'模块规划'!$D$10+G169*'模块规划'!$D$11+H169*'模块规划'!$D$13)*(1+'模块规划'!$G$14*H169)+(I169*'模块规划'!$D$15+J169*'模块规划'!$D$17+K169*'模块规划'!$D$16+L169*'模块规划'!$D$18))*(1+'模块规划'!$J$17*J169))*F169/(1-Q169)</x:f>
        <x:v>1647181.9663091586</x:v>
      </x:c>
      <x:c r="AO169" s="59" t="n">
        <x:f>AL169*AM169</x:f>
        <x:v>44220836.054327585</x:v>
      </x:c>
      <x:c r="AP169" s="61" t="n">
        <x:f>IF(AO169="","",INDEX('_曲线基线'!$A$3:$A$502,MIN(ROWS('_曲线基线'!$A$3:$A$502),COUNTIF('_曲线基线'!$E$3:$E$502,"&lt;"&amp;AO169)+1)))</x:f>
        <x:v>233</x:v>
      </x:c>
      <x:c r="AQ169" s="61" t="n">
        <x:f>IF(B169&lt;=2,1,IF(B169&lt;=6,2,IF(B169&lt;=9,3,IF(B169&lt;=19,4,5))))</x:f>
        <x:v>5</x:v>
      </x:c>
      <x:c r="AR169" s="59" t="n">
        <x:f>AN169*(1-Q169)/F169*$AS$3+U169*$AS$4+P169*$AS$5</x:f>
        <x:v>12566.56388066721</x:v>
      </x:c>
      <x:c r="AS169" s="59" t="n">
        <x:f>1+AH169*$AS$6+AI169*$AS$7+(AJ169-1)*$AS$8+($H$10*H169+$I$10*I169+$J$10*J169+$K$10*K169+$L$10*L169)*$AU$3*$AS$9+($H$10*H169+$I$10*I169+$J$10*J169+$K$10*K169+$L$10*L169)*$AU$4*$AS$10</x:f>
        <x:v>14.462140476132308</x:v>
      </x:c>
      <x:c r="AT169" s="60" t="n">
        <x:f>ROUND(AR169*AS169,0)</x:f>
        <x:v>181739</x:v>
      </x:c>
      <x:c r="AU169" s="60" t="n">
        <x:f>ROUND(AT169*F169,0)</x:f>
        <x:v>908695</x:v>
      </x:c>
      <x:c r="AV169" s="60" t="n">
        <x:f>MIN(MATCH(B169,'主线调参'!$M$11:$M$62,1),ROWS('主线调参'!$M$11:$M$62)-1)</x:f>
        <x:v>35</x:v>
      </x:c>
      <x:c r="AW169" s="62" t="n">
        <x:f>(B169-INDEX('主线调参'!$M$11:$M$62,AV169))/(INDEX('主线调参'!$M$11:$M$62,AV169+1)-INDEX('主线调参'!$M$11:$M$62,AV169))</x:f>
        <x:v>0.9285714285714286</x:v>
      </x:c>
      <x:c r="AX169" s="60" t="n">
        <x:f>IF(AU169=0,0,ROUND(AU169,2-INT(LOG10(ABS(AU169)))))</x:f>
        <x:v>909000</x:v>
      </x:c>
      <x:c r="AY169" s="62" t="n">
        <x:f>AU169/AU168-1</x:f>
        <x:v>0.008669253012315581</x:v>
      </x:c>
    </x:row>
    <x:row r="170" ht="25" customHeight="1">
      <x:c r="A170" s="40" t="str">
        <x:f>'调前玩家曲线'!A170</x:f>
      </x:c>
      <x:c r="B170" s="40" t="n">
        <x:f>'调前玩家曲线'!B170</x:f>
        <x:v>159</x:v>
      </x:c>
      <x:c r="C170" s="40" t="n">
        <x:f>'调前玩家曲线'!C170</x:f>
        <x:v>11</x:v>
      </x:c>
      <x:c r="D170" s="40" t="n">
        <x:f>'调前玩家曲线'!D170</x:f>
        <x:v>15</x:v>
      </x:c>
      <x:c r="E170" s="40" t="n">
        <x:f>'调前玩家曲线'!E170</x:f>
        <x:v>1</x:v>
      </x:c>
      <x:c r="F170" s="40" t="n">
        <x:f>'调前玩家曲线'!F170</x:f>
        <x:v>5</x:v>
      </x:c>
      <x:c r="G170" s="63" t="n">
        <x:f>IF(B170&lt;$G$8,0,(INDEX('主线调参'!$C$11:$C$62,$AV170)+(INDEX('主线调参'!$C$11:$C$62,$AV170+1)-INDEX('主线调参'!$C$11:$C$62,$AV170))*$AW170)*'参数说明'!$C$27)</x:f>
        <x:v>0.735680708766481</x:v>
      </x:c>
      <x:c r="H170" s="63" t="n">
        <x:f>IF(B170&lt;$H$8,0,(INDEX('主线调参'!$D$11:$D$62,$AV170)+(INDEX('主线调参'!$D$11:$D$62,$AV170+1)-INDEX('主线调参'!$D$11:$D$62,$AV170))*$AW170)*'参数说明'!$D$27)</x:f>
        <x:v>0.5757334473706323</x:v>
      </x:c>
      <x:c r="I170" s="63" t="n">
        <x:f>IF(B170&lt;$I$8,0,(INDEX('主线调参'!$E$11:$E$62,$AV170)+(INDEX('主线调参'!$E$11:$E$62,$AV170+1)-INDEX('主线调参'!$E$11:$E$62,$AV170))*$AW170)*'参数说明'!$E$27)</x:f>
        <x:v>0.4677552331837217</x:v>
      </x:c>
      <x:c r="J170" s="63" t="n">
        <x:f>IF(B170&lt;$J$8,0,(INDEX('主线调参'!$F$11:$F$62,$AV170)+(INDEX('主线调参'!$F$11:$F$62,$AV170+1)-INDEX('主线调参'!$F$11:$F$62,$AV170))*$AW170)*'参数说明'!$F$27)</x:f>
        <x:v>0.4626123394476645</x:v>
      </x:c>
      <x:c r="K170" s="63" t="n">
        <x:f>IF(B170&lt;$K$8,0,(INDEX('主线调参'!$G$11:$G$62,$AV170)+(INDEX('主线调参'!$G$11:$G$62,$AV170+1)-INDEX('主线调参'!$G$11:$G$62,$AV170))*$AW170)*'参数说明'!$G$27)</x:f>
        <x:v>0.387189896080877</x:v>
      </x:c>
      <x:c r="L170" s="63" t="n">
        <x:f>IF(B170&lt;$L$8,0,(INDEX('主线调参'!$H$11:$H$62,$AV170)+(INDEX('主线调参'!$H$11:$H$62,$AV170+1)-INDEX('主线调参'!$H$11:$H$62,$AV170))*$AW170)*'参数说明'!$H$27)</x:f>
        <x:v>0.568146426486449</x:v>
      </x:c>
      <x:c r="M170" s="59" t="n">
        <x:f>E170*'模块规划'!$F$10+G170*'模块规划'!$F$11+H170*'模块规划'!$F$13</x:f>
        <x:v>4531.267402079109</x:v>
      </x:c>
      <x:c r="N170" s="59" t="n">
        <x:f>I170*'模块规划'!$F$15+J170*'模块规划'!$F$17+K170*'模块规划'!$F$16+L170*'模块规划'!$F$18</x:f>
        <x:v>13532.036768863927</x:v>
      </x:c>
      <x:c r="O170" s="59" t="n">
        <x:f>1+O$9*SUMPRODUCT($H$10:$L$10,H170:L170)/SUM($H$10:$L$10)</x:f>
        <x:v>2.8062967291581025</x:v>
      </x:c>
      <x:c r="P170" s="59" t="n">
        <x:f>M170*O170+N170</x:f>
        <x:v>26248.117658259263</x:v>
      </x:c>
      <x:c r="Q170" s="59" t="n">
        <x:f>P170/(P170+'_曲线基线'!$L$2)</x:f>
        <x:v>0.5223701679090634</x:v>
      </x:c>
      <x:c r="R170" s="59" t="n">
        <x:f>E170*'模块规划'!$E$10+G170*'模块规划'!$E$11+H170*'模块规划'!$E$13</x:f>
        <x:v>6796.901103118663</x:v>
      </x:c>
      <x:c r="S170" s="59" t="n">
        <x:f>I170*'模块规划'!$E$15+J170*'模块规划'!$E$17+K170*'模块规划'!$E$16+L170*'模块规划'!$E$18</x:f>
        <x:v>20298.05515329589</x:v>
      </x:c>
      <x:c r="T170" s="59" t="n">
        <x:f>1+T$9*SUMPRODUCT($H$10:$L$10,H170:L170)/SUM($H$10:$L$10)</x:f>
        <x:v>2.8062967291581025</x:v>
      </x:c>
      <x:c r="U170" s="59" t="n">
        <x:f>R170*T170+S170</x:f>
        <x:v>39372.17648738889</x:v>
      </x:c>
      <x:c r="V170" s="59" t="n">
        <x:f>V$8+(V$9-V$8)*H170</x:f>
        <x:v>0.8727200342111896</x:v>
      </x:c>
      <x:c r="W170" s="59" t="n">
        <x:f>IF(B170&lt;$H$8,0,W$8+(W$9-W$8)*H170)</x:f>
        <x:v>0.2302933789482529</x:v>
      </x:c>
      <x:c r="X170" s="59" t="n">
        <x:f>X$8+(X$9-X$8)*H170</x:f>
        <x:v>0.4333266980269239</x:v>
      </x:c>
      <x:c r="Y170" s="59" t="n">
        <x:f>Y$8+(Y$9-Y$8)*G170</x:f>
        <x:v>1</x:v>
      </x:c>
      <x:c r="Z170" s="59" t="n">
        <x:f>Z$8+(Z$9-Z$8)*H170</x:f>
        <x:v>1</x:v>
      </x:c>
      <x:c r="AA170" s="59" t="n">
        <x:f>AA$8+(AA$9-AA$8)*I170</x:f>
        <x:v>1</x:v>
      </x:c>
      <x:c r="AB170" s="59" t="n">
        <x:f>AB$8+(AB$9-AB$8)*J170</x:f>
        <x:v>1</x:v>
      </x:c>
      <x:c r="AC170" s="59" t="n">
        <x:f>AC$8+(AC$9-AC$8)*MAX(K170,L170)</x:f>
        <x:v>1</x:v>
      </x:c>
      <x:c r="AD170" s="59" t="n">
        <x:f>(V170*AE170+W170*AF170+X170*AG170)*PRODUCT(Y170:AC170)</x:f>
        <x:v>1.6954823992670063</x:v>
      </x:c>
      <x:c r="AE170" s="59" t="n">
        <x:f>1+AE$9*($H$10*H170+$I$10*I170+$J$10*J170+$K$10*K170+$L$10*L170)</x:f>
        <x:v>1</x:v>
      </x:c>
      <x:c r="AF170" s="59" t="n">
        <x:f>1+AF$9*($H$10*H170+$I$10*I170+$J$10*J170+$K$10*K170+$L$10*L170)</x:f>
        <x:v>1.1594221404682052</x:v>
      </x:c>
      <x:c r="AG170" s="59" t="n">
        <x:f>1+AG$9*($H$10*H170+$I$10*I170+$J$10*J170+$K$10*K170+$L$10*L170)</x:f>
        <x:v>1.282531460051988</x:v>
      </x:c>
      <x:c r="AH170" s="59" t="n">
        <x:f>MIN(1,'_曲线基线'!$L$3+AH$9*($H$10*H170+$I$10*I170+$J$10*J170+$K$10*K170+$L$10*L170))</x:f>
        <x:v>0.41268536956516627</x:v>
      </x:c>
      <x:c r="AI170" s="59" t="n">
        <x:f>'_曲线基线'!$L$4+AI$9*($H$10*H170+$I$10*I170+$J$10*J170+$K$10*K170+$L$10*L170)</x:f>
        <x:v>3.010337815217249</x:v>
      </x:c>
      <x:c r="AJ170" s="59" t="n">
        <x:f>1+AJ$9*($H$10*H170+$I$10*I170+$J$10*J170+$K$10*K170+$L$10*L170)</x:f>
        <x:v>1.8289951304346659</x:v>
      </x:c>
      <x:c r="AK170" s="59" t="n">
        <x:f>(1+AH170*(AI170-1))*AJ170</x:f>
        <x:v>3.3463971711883262</x:v>
      </x:c>
      <x:c r="AL170" s="59" t="n">
        <x:f>U170*AD170*AK170*F170</x:f>
        <x:v>1116940.9091097983</x:v>
      </x:c>
      <x:c r="AM170" s="59" t="n">
        <x:f>IF($B170&lt;AM$8,0,AM$3+(AM$4-AM$3)*(POWER(AM$5,$B170-AM$8)-1)/(POWER(AM$5,$C$5-AM$8)-1))</x:f>
        <x:v>40.12419118308277</x:v>
      </x:c>
      <x:c r="AN170" s="59" t="n">
        <x:f>(((E170*'模块规划'!$D$10+G170*'模块规划'!$D$11+H170*'模块规划'!$D$13)*(1+'模块规划'!$G$14*H170)+(I170*'模块规划'!$D$15+J170*'模块规划'!$D$17+K170*'模块规划'!$D$16+L170*'模块规划'!$D$18))*(1+'模块规划'!$J$17*J170))*F170/(1-Q170)</x:f>
        <x:v>1661443.9738878405</x:v>
      </x:c>
      <x:c r="AO170" s="59" t="n">
        <x:f>AL170*AM170</x:f>
        <x:v>44816350.577327825</x:v>
      </x:c>
      <x:c r="AP170" s="61" t="n">
        <x:f>IF(AO170="","",INDEX('_曲线基线'!$A$3:$A$502,MIN(ROWS('_曲线基线'!$A$3:$A$502),COUNTIF('_曲线基线'!$E$3:$E$502,"&lt;"&amp;AO170)+1)))</x:f>
        <x:v>234</x:v>
      </x:c>
      <x:c r="AQ170" s="61" t="n">
        <x:f>IF(B170&lt;=2,1,IF(B170&lt;=6,2,IF(B170&lt;=9,3,IF(B170&lt;=19,4,5))))</x:f>
        <x:v>5</x:v>
      </x:c>
      <x:c r="AR170" s="59" t="n">
        <x:f>AN170*(1-Q170)/F170*$AS$3+U170*$AS$4+P170*$AS$5</x:f>
        <x:v>12635.766535137065</x:v>
      </x:c>
      <x:c r="AS170" s="59" t="n">
        <x:f>1+AH170*$AS$6+AI170*$AS$7+(AJ170-1)*$AS$8+($H$10*H170+$I$10*I170+$J$10*J170+$K$10*K170+$L$10*L170)*$AU$3*$AS$9+($H$10*H170+$I$10*I170+$J$10*J170+$K$10*K170+$L$10*L170)*$AU$4*$AS$10</x:f>
        <x:v>14.507234036382355</x:v>
      </x:c>
      <x:c r="AT170" s="60" t="n">
        <x:f>ROUND(AR170*AS170,0)</x:f>
        <x:v>183310</x:v>
      </x:c>
      <x:c r="AU170" s="60" t="n">
        <x:f>ROUND(AT170*F170,0)</x:f>
        <x:v>916550</x:v>
      </x:c>
      <x:c r="AV170" s="60" t="n">
        <x:f>MIN(MATCH(B170,'主线调参'!$M$11:$M$62,1),ROWS('主线调参'!$M$11:$M$62)-1)</x:f>
        <x:v>36</x:v>
      </x:c>
      <x:c r="AW170" s="62" t="n">
        <x:f>(B170-INDEX('主线调参'!$M$11:$M$62,AV170))/(INDEX('主线调参'!$M$11:$M$62,AV170+1)-INDEX('主线调参'!$M$11:$M$62,AV170))</x:f>
        <x:v>0</x:v>
      </x:c>
      <x:c r="AX170" s="60" t="n">
        <x:f>IF(AU170=0,0,ROUND(AU170,2-INT(LOG10(ABS(AU170)))))</x:f>
        <x:v>917000</x:v>
      </x:c>
      <x:c r="AY170" s="62" t="n">
        <x:f>AU170/AU169-1</x:f>
        <x:v>0.008644264577223337</x:v>
      </x:c>
    </x:row>
    <x:row r="171" ht="25" customHeight="1">
      <x:c r="A171" s="40" t="str">
        <x:f>'调前玩家曲线'!A171</x:f>
      </x:c>
      <x:c r="B171" s="40" t="n">
        <x:f>'调前玩家曲线'!B171</x:f>
        <x:v>160</x:v>
      </x:c>
      <x:c r="C171" s="40" t="n">
        <x:f>'调前玩家曲线'!C171</x:f>
        <x:v>12</x:v>
      </x:c>
      <x:c r="D171" s="40" t="n">
        <x:f>'调前玩家曲线'!D171</x:f>
        <x:v>1</x:v>
      </x:c>
      <x:c r="E171" s="40" t="n">
        <x:f>'调前玩家曲线'!E171</x:f>
        <x:v>1</x:v>
      </x:c>
      <x:c r="F171" s="40" t="n">
        <x:f>'调前玩家曲线'!F171</x:f>
        <x:v>5</x:v>
      </x:c>
      <x:c r="G171" s="63" t="n">
        <x:f>IF(B171&lt;$G$8,0,(INDEX('主线调参'!$C$11:$C$62,$AV171)+(INDEX('主线调参'!$C$11:$C$62,$AV171+1)-INDEX('主线调参'!$C$11:$C$62,$AV171))*$AW171)*'参数说明'!$C$27)</x:f>
        <x:v>0.7375141648631718</x:v>
      </x:c>
      <x:c r="H171" s="63" t="n">
        <x:f>IF(B171&lt;$H$8,0,(INDEX('主线调参'!$D$11:$D$62,$AV171)+(INDEX('主线调参'!$D$11:$D$62,$AV171+1)-INDEX('主线调参'!$D$11:$D$62,$AV171))*$AW171)*'参数说明'!$D$27)</x:f>
        <x:v>0.5771102311700564</x:v>
      </x:c>
      <x:c r="I171" s="63" t="n">
        <x:f>IF(B171&lt;$I$8,0,(INDEX('主线调参'!$E$11:$E$62,$AV171)+(INDEX('主线调参'!$E$11:$E$62,$AV171+1)-INDEX('主线调参'!$E$11:$E$62,$AV171))*$AW171)*'参数说明'!$E$27)</x:f>
        <x:v>0.47015129749801066</x:v>
      </x:c>
      <x:c r="J171" s="63" t="n">
        <x:f>IF(B171&lt;$J$8,0,(INDEX('主线调参'!$F$11:$F$62,$AV171)+(INDEX('主线调参'!$F$11:$F$62,$AV171+1)-INDEX('主线调参'!$F$11:$F$62,$AV171))*$AW171)*'参数说明'!$F$27)</x:f>
        <x:v>0.46419802072231087</x:v>
      </x:c>
      <x:c r="K171" s="63" t="n">
        <x:f>IF(B171&lt;$K$8,0,(INDEX('主线调参'!$G$11:$G$62,$AV171)+(INDEX('主线调参'!$G$11:$G$62,$AV171+1)-INDEX('主线调参'!$G$11:$G$62,$AV171))*$AW171)*'参数说明'!$G$27)</x:f>
        <x:v>0.39122157613075653</x:v>
      </x:c>
      <x:c r="L171" s="63" t="n">
        <x:f>IF(B171&lt;$L$8,0,(INDEX('主线调参'!$H$11:$H$62,$AV171)+(INDEX('主线调参'!$H$11:$H$62,$AV171+1)-INDEX('主线调参'!$H$11:$H$62,$AV171))*$AW171)*'参数说明'!$H$27)</x:f>
        <x:v>0.5696537378737362</x:v>
      </x:c>
      <x:c r="M171" s="59" t="n">
        <x:f>E171*'模块规划'!$F$10+G171*'模块规划'!$F$11+H171*'模块规划'!$F$13</x:f>
        <x:v>4540.067991343225</x:v>
      </x:c>
      <x:c r="N171" s="59" t="n">
        <x:f>I171*'模块规划'!$F$15+J171*'模块规划'!$F$17+K171*'模块规划'!$F$16+L171*'模块规划'!$F$18</x:f>
        <x:v>13598.788733360414</x:v>
      </x:c>
      <x:c r="O171" s="59" t="n">
        <x:f>1+O$9*SUMPRODUCT($H$10:$L$10,H171:L171)/SUM($H$10:$L$10)</x:f>
        <x:v>2.8141541953147664</x:v>
      </x:c>
      <x:c r="P171" s="59" t="n">
        <x:f>M171*O171+N171</x:f>
        <x:v>26375.240118213234</x:v>
      </x:c>
      <x:c r="Q171" s="59" t="n">
        <x:f>P171/(P171+'_曲线基线'!$L$2)</x:f>
        <x:v>0.5235754719246933</x:v>
      </x:c>
      <x:c r="R171" s="59" t="n">
        <x:f>E171*'模块规划'!$E$10+G171*'模块规划'!$E$11+H171*'模块规划'!$E$13</x:f>
        <x:v>6810.101987014837</x:v>
      </x:c>
      <x:c r="S171" s="59" t="n">
        <x:f>I171*'模块规划'!$E$15+J171*'模块规划'!$E$17+K171*'模块规划'!$E$16+L171*'模块规划'!$E$18</x:f>
        <x:v>20398.183100040624</x:v>
      </x:c>
      <x:c r="T171" s="59" t="n">
        <x:f>1+T$9*SUMPRODUCT($H$10:$L$10,H171:L171)/SUM($H$10:$L$10)</x:f>
        <x:v>2.8141541953147664</x:v>
      </x:c>
      <x:c r="U171" s="59" t="n">
        <x:f>R171*T171+S171</x:f>
        <x:v>39562.86017731985</x:v>
      </x:c>
      <x:c r="V171" s="59" t="n">
        <x:f>V$8+(V$9-V$8)*H171</x:f>
        <x:v>0.8731330693510169</x:v>
      </x:c>
      <x:c r="W171" s="59" t="n">
        <x:f>IF(B171&lt;$H$8,0,W$8+(W$9-W$8)*H171)</x:f>
        <x:v>0.2308440924680226</x:v>
      </x:c>
      <x:c r="X171" s="59" t="n">
        <x:f>X$8+(X$9-X$8)*H171</x:f>
        <x:v>0.43370531357176556</x:v>
      </x:c>
      <x:c r="Y171" s="59" t="n">
        <x:f>Y$8+(Y$9-Y$8)*G171</x:f>
        <x:v>1</x:v>
      </x:c>
      <x:c r="Z171" s="59" t="n">
        <x:f>Z$8+(Z$9-Z$8)*H171</x:f>
        <x:v>1</x:v>
      </x:c>
      <x:c r="AA171" s="59" t="n">
        <x:f>AA$8+(AA$9-AA$8)*I171</x:f>
        <x:v>1</x:v>
      </x:c>
      <x:c r="AB171" s="59" t="n">
        <x:f>AB$8+(AB$9-AB$8)*J171</x:f>
        <x:v>1</x:v>
      </x:c>
      <x:c r="AC171" s="59" t="n">
        <x:f>AC$8+(AC$9-AC$8)*MAX(K171,L171)</x:f>
        <x:v>1</x:v>
      </x:c>
      <x:c r="AD171" s="59" t="n">
        <x:f>(V171*AE171+W171*AF171+X171*AG171)*PRODUCT(Y171:AC171)</x:f>
        <x:v>1.6977126530405098</x:v>
      </x:c>
      <x:c r="AE171" s="59" t="n">
        <x:f>1+AE$9*($H$10*H171+$I$10*I171+$J$10*J171+$K$10*K171+$L$10*L171)</x:f>
        <x:v>1</x:v>
      </x:c>
      <x:c r="AF171" s="59" t="n">
        <x:f>1+AF$9*($H$10*H171+$I$10*I171+$J$10*J171+$K$10*K171+$L$10*L171)</x:f>
        <x:v>1.1601156334326395</x:v>
      </x:c>
      <x:c r="AG171" s="59" t="n">
        <x:f>1+AG$9*($H$10*H171+$I$10*I171+$J$10*J171+$K$10*K171+$L$10*L171)</x:f>
        <x:v>1.2837604836945131</x:v>
      </x:c>
      <x:c r="AH171" s="59" t="n">
        <x:f>MIN(1,'_曲线基线'!$L$3+AH$9*($H$10*H171+$I$10*I171+$J$10*J171+$K$10*K171+$L$10*L171))</x:f>
        <x:v>0.41426306605925434</x:v>
      </x:c>
      <x:c r="AI171" s="59" t="n">
        <x:f>'_曲线基线'!$L$4+AI$9*($H$10*H171+$I$10*I171+$J$10*J171+$K$10*K171+$L$10*L171)</x:f>
        <x:v>3.014732826879351</x:v>
      </x:c>
      <x:c r="AJ171" s="59" t="n">
        <x:f>1+AJ$9*($H$10*H171+$I$10*I171+$J$10*J171+$K$10*K171+$L$10*L171)</x:f>
        <x:v>1.8326012938497245</x:v>
      </x:c>
      <x:c r="AK171" s="59" t="n">
        <x:f>(1+AH171*(AI171-1))*AJ171</x:f>
        <x:v>3.3621442087904216</x:v>
      </x:c>
      <x:c r="AL171" s="59" t="n">
        <x:f>U171*AD171*AK171*F171</x:f>
        <x:v>1129115.0812537342</x:v>
      </x:c>
      <x:c r="AM171" s="59" t="n">
        <x:f>IF($B171&lt;AM$8,0,AM$3+(AM$4-AM$3)*(POWER(AM$5,$B171-AM$8)-1)/(POWER(AM$5,$C$5-AM$8)-1))</x:f>
        <x:v>40.188857734835466</x:v>
      </x:c>
      <x:c r="AN171" s="59" t="n">
        <x:f>(((E171*'模块规划'!$D$10+G171*'模块规划'!$D$11+H171*'模块规划'!$D$13)*(1+'模块规划'!$G$14*H171)+(I171*'模块规划'!$D$15+J171*'模块规划'!$D$17+K171*'模块规划'!$D$16+L171*'模块规划'!$D$18))*(1+'模块规划'!$J$17*J171))*F171/(1-Q171)</x:f>
        <x:v>1674690.4784511023</x:v>
      </x:c>
      <x:c r="AO171" s="59" t="n">
        <x:f>AL171*AM171</x:f>
        <x:v>45377845.36676351</x:v>
      </x:c>
      <x:c r="AP171" s="61" t="n">
        <x:f>IF(AO171="","",INDEX('_曲线基线'!$A$3:$A$502,MIN(ROWS('_曲线基线'!$A$3:$A$502),COUNTIF('_曲线基线'!$E$3:$E$502,"&lt;"&amp;AO171)+1)))</x:f>
        <x:v>235</x:v>
      </x:c>
      <x:c r="AQ171" s="61" t="n">
        <x:f>IF(B171&lt;=2,1,IF(B171&lt;=6,2,IF(B171&lt;=9,3,IF(B171&lt;=19,4,5))))</x:f>
        <x:v>5</x:v>
      </x:c>
      <x:c r="AR171" s="59" t="n">
        <x:f>AN171*(1-Q171)/F171*$AS$3+U171*$AS$4+P171*$AS$5</x:f>
        <x:v>12699.753760673626</x:v>
      </x:c>
      <x:c r="AS171" s="59" t="n">
        <x:f>1+AH171*$AS$6+AI171*$AS$7+(AJ171-1)*$AS$8+($H$10*H171+$I$10*I171+$J$10*J171+$K$10*K171+$L$10*L171)*$AU$3*$AS$9+($H$10*H171+$I$10*I171+$J$10*J171+$K$10*K171+$L$10*L171)*$AU$4*$AS$10</x:f>
        <x:v>14.548671028988686</x:v>
      </x:c>
      <x:c r="AT171" s="60" t="n">
        <x:f>ROUND(AR171*AS171,0)</x:f>
        <x:v>184765</x:v>
      </x:c>
      <x:c r="AU171" s="60" t="n">
        <x:f>ROUND(AT171*F171,0)</x:f>
        <x:v>923825</x:v>
      </x:c>
      <x:c r="AV171" s="60" t="n">
        <x:f>MIN(MATCH(B171,'主线调参'!$M$11:$M$62,1),ROWS('主线调参'!$M$11:$M$62)-1)</x:f>
        <x:v>37</x:v>
      </x:c>
      <x:c r="AW171" s="62" t="n">
        <x:f>(B171-INDEX('主线调参'!$M$11:$M$62,AV171))/(INDEX('主线调参'!$M$11:$M$62,AV171+1)-INDEX('主线调参'!$M$11:$M$62,AV171))</x:f>
        <x:v>0</x:v>
      </x:c>
      <x:c r="AX171" s="60" t="n">
        <x:f>IF(AU171=0,0,ROUND(AU171,2-INT(LOG10(ABS(AU171)))))</x:f>
        <x:v>924000</x:v>
      </x:c>
      <x:c r="AY171" s="62" t="n">
        <x:f>AU171/AU170-1</x:f>
        <x:v>0.007937373847580531</x:v>
      </x:c>
    </x:row>
    <x:row r="172" ht="25" customHeight="1">
      <x:c r="A172" s="40" t="str">
        <x:f>'调前玩家曲线'!A172</x:f>
      </x:c>
      <x:c r="B172" s="40" t="n">
        <x:f>'调前玩家曲线'!B172</x:f>
        <x:v>161</x:v>
      </x:c>
      <x:c r="C172" s="40" t="n">
        <x:f>'调前玩家曲线'!C172</x:f>
        <x:v>12</x:v>
      </x:c>
      <x:c r="D172" s="40" t="n">
        <x:f>'调前玩家曲线'!D172</x:f>
        <x:v>2</x:v>
      </x:c>
      <x:c r="E172" s="40" t="n">
        <x:f>'调前玩家曲线'!E172</x:f>
        <x:v>1</x:v>
      </x:c>
      <x:c r="F172" s="40" t="n">
        <x:f>'调前玩家曲线'!F172</x:f>
        <x:v>5</x:v>
      </x:c>
      <x:c r="G172" s="63" t="n">
        <x:f>IF(B172&lt;$G$8,0,(INDEX('主线调参'!$C$11:$C$62,$AV172)+(INDEX('主线调参'!$C$11:$C$62,$AV172+1)-INDEX('主线调参'!$C$11:$C$62,$AV172))*$AW172)*'参数说明'!$C$27)</x:f>
        <x:v>0.7392606874928543</x:v>
      </x:c>
      <x:c r="H172" s="63" t="n">
        <x:f>IF(B172&lt;$H$8,0,(INDEX('主线调参'!$D$11:$D$62,$AV172)+(INDEX('主线调参'!$D$11:$D$62,$AV172+1)-INDEX('主线调参'!$D$11:$D$62,$AV172))*$AW172)*'参数说明'!$D$27)</x:f>
        <x:v>0.5784144159152235</x:v>
      </x:c>
      <x:c r="I172" s="63" t="n">
        <x:f>IF(B172&lt;$I$8,0,(INDEX('主线调参'!$E$11:$E$62,$AV172)+(INDEX('主线调参'!$E$11:$E$62,$AV172+1)-INDEX('主线调参'!$E$11:$E$62,$AV172))*$AW172)*'参数说明'!$E$27)</x:f>
        <x:v>0.4723606973749513</x:v>
      </x:c>
      <x:c r="J172" s="63" t="n">
        <x:f>IF(B172&lt;$J$8,0,(INDEX('主线调参'!$F$11:$F$62,$AV172)+(INDEX('主线调参'!$F$11:$F$62,$AV172+1)-INDEX('主线调参'!$F$11:$F$62,$AV172))*$AW172)*'参数说明'!$F$27)</x:f>
        <x:v>0.46568992189378183</x:v>
      </x:c>
      <x:c r="K172" s="63" t="n">
        <x:f>IF(B172&lt;$K$8,0,(INDEX('主线调参'!$G$11:$G$62,$AV172)+(INDEX('主线调参'!$G$11:$G$62,$AV172+1)-INDEX('主线调参'!$G$11:$G$62,$AV172))*$AW172)*'参数说明'!$G$27)</x:f>
        <x:v>0.39486144293794145</x:v>
      </x:c>
      <x:c r="L172" s="63" t="n">
        <x:f>IF(B172&lt;$L$8,0,(INDEX('主线调参'!$H$11:$H$62,$AV172)+(INDEX('主线调参'!$H$11:$H$62,$AV172+1)-INDEX('主线调参'!$H$11:$H$62,$AV172))*$AW172)*'参数说明'!$H$27)</x:f>
        <x:v>0.5710741311166172</x:v>
      </x:c>
      <x:c r="M172" s="59" t="n">
        <x:f>E172*'模块规划'!$F$10+G172*'模块规划'!$F$11+H172*'模块规划'!$F$13</x:f>
        <x:v>4548.451299965701</x:v>
      </x:c>
      <x:c r="N172" s="59" t="n">
        <x:f>I172*'模块规划'!$F$15+J172*'模块规划'!$F$17+K172*'模块规划'!$F$16+L172*'模块规划'!$F$18</x:f>
        <x:v>13660.324111148166</x:v>
      </x:c>
      <x:c r="O172" s="59" t="n">
        <x:f>1+O$9*SUMPRODUCT($H$10:$L$10,H172:L172)/SUM($H$10:$L$10)</x:f>
        <x:v>2.8214301244199858</x:v>
      </x:c>
      <x:c r="P172" s="59" t="n">
        <x:f>M172*O172+N172</x:f>
        <x:v>26493.461628328638</x:v>
      </x:c>
      <x:c r="Q172" s="59" t="n">
        <x:f>P172/(P172+'_曲线基线'!$L$2)</x:f>
        <x:v>0.5246909356966102</x:v>
      </x:c>
      <x:c r="R172" s="59" t="n">
        <x:f>E172*'模块规划'!$E$10+G172*'模块规划'!$E$11+H172*'模块规划'!$E$13</x:f>
        <x:v>6822.676949948551</x:v>
      </x:c>
      <x:c r="S172" s="59" t="n">
        <x:f>I172*'模块规划'!$E$15+J172*'模块规划'!$E$17+K172*'模块规划'!$E$16+L172*'模块规划'!$E$18</x:f>
        <x:v>20490.486166722247</x:v>
      </x:c>
      <x:c r="T172" s="59" t="n">
        <x:f>1+T$9*SUMPRODUCT($H$10:$L$10,H172:L172)/SUM($H$10:$L$10)</x:f>
        <x:v>2.8214301244199858</x:v>
      </x:c>
      <x:c r="U172" s="59" t="n">
        <x:f>R172*T172+S172</x:f>
        <x:v>39740.19244249296</x:v>
      </x:c>
      <x:c r="V172" s="59" t="n">
        <x:f>V$8+(V$9-V$8)*H172</x:f>
        <x:v>0.873524324774567</x:v>
      </x:c>
      <x:c r="W172" s="59" t="n">
        <x:f>IF(B172&lt;$H$8,0,W$8+(W$9-W$8)*H172)</x:f>
        <x:v>0.2313657663660894</x:v>
      </x:c>
      <x:c r="X172" s="59" t="n">
        <x:f>X$8+(X$9-X$8)*H172</x:f>
        <x:v>0.4340639643766865</x:v>
      </x:c>
      <x:c r="Y172" s="59" t="n">
        <x:f>Y$8+(Y$9-Y$8)*G172</x:f>
        <x:v>1</x:v>
      </x:c>
      <x:c r="Z172" s="59" t="n">
        <x:f>Z$8+(Z$9-Z$8)*H172</x:f>
        <x:v>1</x:v>
      </x:c>
      <x:c r="AA172" s="59" t="n">
        <x:f>AA$8+(AA$9-AA$8)*I172</x:f>
        <x:v>1</x:v>
      </x:c>
      <x:c r="AB172" s="59" t="n">
        <x:f>AB$8+(AB$9-AB$8)*J172</x:f>
        <x:v>1</x:v>
      </x:c>
      <x:c r="AC172" s="59" t="n">
        <x:f>AC$8+(AC$9-AC$8)*MAX(K172,L172)</x:f>
        <x:v>1</x:v>
      </x:c>
      <x:c r="AD172" s="59" t="n">
        <x:f>(V172*AE172+W172*AF172+X172*AG172)*PRODUCT(Y172:AC172)</x:f>
        <x:v>1.6998120996978319</x:v>
      </x:c>
      <x:c r="AE172" s="59" t="n">
        <x:f>1+AE$9*($H$10*H172+$I$10*I172+$J$10*J172+$K$10*K172+$L$10*L172)</x:f>
        <x:v>1</x:v>
      </x:c>
      <x:c r="AF172" s="59" t="n">
        <x:f>1+AF$9*($H$10*H172+$I$10*I172+$J$10*J172+$K$10*K172+$L$10*L172)</x:f>
        <x:v>1.1607578004548815</x:v>
      </x:c>
      <x:c r="AG172" s="59" t="n">
        <x:f>1+AG$9*($H$10*H172+$I$10*I172+$J$10*J172+$K$10*K172+$L$10*L172)</x:f>
        <x:v>1.2848985463617089</x:v>
      </x:c>
      <x:c r="AH172" s="59" t="n">
        <x:f>MIN(1,'_曲线基线'!$L$3+AH$9*($H$10*H172+$I$10*I172+$J$10*J172+$K$10*K172+$L$10*L172))</x:f>
        <x:v>0.41572399603485494</x:v>
      </x:c>
      <x:c r="AI172" s="59" t="n">
        <x:f>'_曲线基线'!$L$4+AI$9*($H$10*H172+$I$10*I172+$J$10*J172+$K$10*K172+$L$10*L172)</x:f>
        <x:v>3.0188025603828104</x:v>
      </x:c>
      <x:c r="AJ172" s="59" t="n">
        <x:f>1+AJ$9*($H$10*H172+$I$10*I172+$J$10*J172+$K$10*K172+$L$10*L172)</x:f>
        <x:v>1.8359405623653828</x:v>
      </x:c>
      <x:c r="AK172" s="59" t="n">
        <x:f>(1+AH172*(AI172-1))*AJ172</x:f>
        <x:v>3.37678060818653</x:v>
      </x:c>
      <x:c r="AL172" s="59" t="n">
        <x:f>U172*AD172*AK172*F172</x:f>
        <x:v>1140522.1698636715</x:v>
      </x:c>
      <x:c r="AM172" s="59" t="n">
        <x:f>IF($B172&lt;AM$8,0,AM$3+(AM$4-AM$3)*(POWER(AM$5,$B172-AM$8)-1)/(POWER(AM$5,$C$5-AM$8)-1))</x:f>
        <x:v>40.25417095210569</x:v>
      </x:c>
      <x:c r="AN172" s="59" t="n">
        <x:f>(((E172*'模块规划'!$D$10+G172*'模块规划'!$D$11+H172*'模块规划'!$D$13)*(1+'模块规划'!$G$14*H172)+(I172*'模块规划'!$D$15+J172*'模块规划'!$D$17+K172*'模块规划'!$D$16+L172*'模块规划'!$D$18))*(1+'模块规划'!$J$17*J172))*F172/(1-Q172)</x:f>
        <x:v>1687078.138011301</x:v>
      </x:c>
      <x:c r="AO172" s="59" t="n">
        <x:f>AL172*AM172</x:f>
        <x:v>45910774.40035876</x:v>
      </x:c>
      <x:c r="AP172" s="61" t="n">
        <x:f>IF(AO172="","",INDEX('_曲线基线'!$A$3:$A$502,MIN(ROWS('_曲线基线'!$A$3:$A$502),COUNTIF('_曲线基线'!$E$3:$E$502,"&lt;"&amp;AO172)+1)))</x:f>
        <x:v>236</x:v>
      </x:c>
      <x:c r="AQ172" s="61" t="n">
        <x:f>IF(B172&lt;=2,1,IF(B172&lt;=6,2,IF(B172&lt;=9,3,IF(B172&lt;=19,4,5))))</x:f>
        <x:v>5</x:v>
      </x:c>
      <x:c r="AR172" s="59" t="n">
        <x:f>AN172*(1-Q172)/F172*$AS$3+U172*$AS$4+P172*$AS$5</x:f>
        <x:v>12759.33967560773</x:v>
      </x:c>
      <x:c r="AS172" s="59" t="n">
        <x:f>1+AH172*$AS$6+AI172*$AS$7+(AJ172-1)*$AS$8+($H$10*H172+$I$10*I172+$J$10*J172+$K$10*K172+$L$10*L172)*$AU$3*$AS$9+($H$10*H172+$I$10*I172+$J$10*J172+$K$10*K172+$L$10*L172)*$AU$4*$AS$10</x:f>
        <x:v>14.587041238229924</x:v>
      </x:c>
      <x:c r="AT172" s="60" t="n">
        <x:f>ROUND(AR172*AS172,0)</x:f>
        <x:v>186121</x:v>
      </x:c>
      <x:c r="AU172" s="60" t="n">
        <x:f>ROUND(AT172*F172,0)</x:f>
        <x:v>930605</x:v>
      </x:c>
      <x:c r="AV172" s="60" t="n">
        <x:f>MIN(MATCH(B172,'主线调参'!$M$11:$M$62,1),ROWS('主线调参'!$M$11:$M$62)-1)</x:f>
        <x:v>37</x:v>
      </x:c>
      <x:c r="AW172" s="62" t="n">
        <x:f>(B172-INDEX('主线调参'!$M$11:$M$62,AV172))/(INDEX('主线调参'!$M$11:$M$62,AV172+1)-INDEX('主线调参'!$M$11:$M$62,AV172))</x:f>
        <x:v>0.07142857142857142</x:v>
      </x:c>
      <x:c r="AX172" s="60" t="n">
        <x:f>IF(AU172=0,0,ROUND(AU172,2-INT(LOG10(ABS(AU172)))))</x:f>
        <x:v>931000</x:v>
      </x:c>
      <x:c r="AY172" s="62" t="n">
        <x:f>AU172/AU171-1</x:f>
        <x:v>0.007339052309690786</x:v>
      </x:c>
    </x:row>
    <x:row r="173" ht="25" customHeight="1">
      <x:c r="A173" s="40" t="str">
        <x:f>'调前玩家曲线'!A173</x:f>
      </x:c>
      <x:c r="B173" s="40" t="n">
        <x:f>'调前玩家曲线'!B173</x:f>
        <x:v>162</x:v>
      </x:c>
      <x:c r="C173" s="40" t="n">
        <x:f>'调前玩家曲线'!C173</x:f>
        <x:v>12</x:v>
      </x:c>
      <x:c r="D173" s="40" t="n">
        <x:f>'调前玩家曲线'!D173</x:f>
        <x:v>3</x:v>
      </x:c>
      <x:c r="E173" s="40" t="n">
        <x:f>'调前玩家曲线'!E173</x:f>
        <x:v>1</x:v>
      </x:c>
      <x:c r="F173" s="40" t="n">
        <x:f>'调前玩家曲线'!F173</x:f>
        <x:v>5</x:v>
      </x:c>
      <x:c r="G173" s="63" t="n">
        <x:f>IF(B173&lt;$G$8,0,(INDEX('主线调参'!$C$11:$C$62,$AV173)+(INDEX('主线调参'!$C$11:$C$62,$AV173+1)-INDEX('主线调参'!$C$11:$C$62,$AV173))*$AW173)*'参数说明'!$C$27)</x:f>
        <x:v>0.7410072101225369</x:v>
      </x:c>
      <x:c r="H173" s="63" t="n">
        <x:f>IF(B173&lt;$H$8,0,(INDEX('主线调参'!$D$11:$D$62,$AV173)+(INDEX('主线调参'!$D$11:$D$62,$AV173+1)-INDEX('主线调参'!$D$11:$D$62,$AV173))*$AW173)*'参数说明'!$D$27)</x:f>
        <x:v>0.5797186006603905</x:v>
      </x:c>
      <x:c r="I173" s="63" t="n">
        <x:f>IF(B173&lt;$I$8,0,(INDEX('主线调参'!$E$11:$E$62,$AV173)+(INDEX('主线调参'!$E$11:$E$62,$AV173+1)-INDEX('主线调参'!$E$11:$E$62,$AV173))*$AW173)*'参数说明'!$E$27)</x:f>
        <x:v>0.474570097251892</x:v>
      </x:c>
      <x:c r="J173" s="63" t="n">
        <x:f>IF(B173&lt;$J$8,0,(INDEX('主线调参'!$F$11:$F$62,$AV173)+(INDEX('主线调参'!$F$11:$F$62,$AV173+1)-INDEX('主线调参'!$F$11:$F$62,$AV173))*$AW173)*'参数说明'!$F$27)</x:f>
        <x:v>0.4671818230652528</x:v>
      </x:c>
      <x:c r="K173" s="63" t="n">
        <x:f>IF(B173&lt;$K$8,0,(INDEX('主线调参'!$G$11:$G$62,$AV173)+(INDEX('主线调参'!$G$11:$G$62,$AV173+1)-INDEX('主线调参'!$G$11:$G$62,$AV173))*$AW173)*'参数说明'!$G$27)</x:f>
        <x:v>0.39850130974512643</x:v>
      </x:c>
      <x:c r="L173" s="63" t="n">
        <x:f>IF(B173&lt;$L$8,0,(INDEX('主线调参'!$H$11:$H$62,$AV173)+(INDEX('主线调参'!$H$11:$H$62,$AV173+1)-INDEX('主线调参'!$H$11:$H$62,$AV173))*$AW173)*'参数说明'!$H$27)</x:f>
        <x:v>0.5724945243594981</x:v>
      </x:c>
      <x:c r="M173" s="59" t="n">
        <x:f>E173*'模块规划'!$F$10+G173*'模块规划'!$F$11+H173*'模块规划'!$F$13</x:f>
        <x:v>4556.834608588177</x:v>
      </x:c>
      <x:c r="N173" s="59" t="n">
        <x:f>I173*'模块规划'!$F$15+J173*'模块规划'!$F$17+K173*'模块规划'!$F$16+L173*'模块规划'!$F$18</x:f>
        <x:v>13721.859488935912</x:v>
      </x:c>
      <x:c r="O173" s="59" t="n">
        <x:f>1+O$9*SUMPRODUCT($H$10:$L$10,H173:L173)/SUM($H$10:$L$10)</x:f>
        <x:v>2.8287060535252047</x:v>
      </x:c>
      <x:c r="P173" s="59" t="n">
        <x:f>M173*O173+N173</x:f>
        <x:v>26611.805131162444</x:v>
      </x:c>
      <x:c r="Q173" s="59" t="n">
        <x:f>P173/(P173+'_曲线基线'!$L$2)</x:f>
        <x:v>0.5258023313374602</x:v>
      </x:c>
      <x:c r="R173" s="59" t="n">
        <x:f>E173*'模块规划'!$E$10+G173*'模块规划'!$E$11+H173*'模块规划'!$E$13</x:f>
        <x:v>6835.251912882266</x:v>
      </x:c>
      <x:c r="S173" s="59" t="n">
        <x:f>I173*'模块规划'!$E$15+J173*'模块规划'!$E$17+K173*'模块规划'!$E$16+L173*'模块规划'!$E$18</x:f>
        <x:v>20582.78923340387</x:v>
      </x:c>
      <x:c r="T173" s="59" t="n">
        <x:f>1+T$9*SUMPRODUCT($H$10:$L$10,H173:L173)/SUM($H$10:$L$10)</x:f>
        <x:v>2.8287060535252047</x:v>
      </x:c>
      <x:c r="U173" s="59" t="n">
        <x:f>R173*T173+S173</x:f>
        <x:v>39917.70769674367</x:v>
      </x:c>
      <x:c r="V173" s="59" t="n">
        <x:f>V$8+(V$9-V$8)*H173</x:f>
        <x:v>0.8739155801981171</x:v>
      </x:c>
      <x:c r="W173" s="59" t="n">
        <x:f>IF(B173&lt;$H$8,0,W$8+(W$9-W$8)*H173)</x:f>
        <x:v>0.2318874402641562</x:v>
      </x:c>
      <x:c r="X173" s="59" t="n">
        <x:f>X$8+(X$9-X$8)*H173</x:f>
        <x:v>0.4344226151816074</x:v>
      </x:c>
      <x:c r="Y173" s="59" t="n">
        <x:f>Y$8+(Y$9-Y$8)*G173</x:f>
        <x:v>1</x:v>
      </x:c>
      <x:c r="Z173" s="59" t="n">
        <x:f>Z$8+(Z$9-Z$8)*H173</x:f>
        <x:v>1</x:v>
      </x:c>
      <x:c r="AA173" s="59" t="n">
        <x:f>AA$8+(AA$9-AA$8)*I173</x:f>
        <x:v>1</x:v>
      </x:c>
      <x:c r="AB173" s="59" t="n">
        <x:f>AB$8+(AB$9-AB$8)*J173</x:f>
        <x:v>1</x:v>
      </x:c>
      <x:c r="AC173" s="59" t="n">
        <x:f>AC$8+(AC$9-AC$8)*MAX(K173,L173)</x:f>
        <x:v>1</x:v>
      </x:c>
      <x:c r="AD173" s="59" t="n">
        <x:f>(V173*AE173+W173*AF173+X173*AG173)*PRODUCT(Y173:AC173)</x:f>
        <x:v>1.7019130326928846</x:v>
      </x:c>
      <x:c r="AE173" s="59" t="n">
        <x:f>1+AE$9*($H$10*H173+$I$10*I173+$J$10*J173+$K$10*K173+$L$10*L173)</x:f>
        <x:v>1</x:v>
      </x:c>
      <x:c r="AF173" s="59" t="n">
        <x:f>1+AF$9*($H$10*H173+$I$10*I173+$J$10*J173+$K$10*K173+$L$10*L173)</x:f>
        <x:v>1.1613999674771234</x:v>
      </x:c>
      <x:c r="AG173" s="59" t="n">
        <x:f>1+AG$9*($H$10*H173+$I$10*I173+$J$10*J173+$K$10*K173+$L$10*L173)</x:f>
        <x:v>1.2860366090289044</x:v>
      </x:c>
      <x:c r="AH173" s="59" t="n">
        <x:f>MIN(1,'_曲线基线'!$L$3+AH$9*($H$10*H173+$I$10*I173+$J$10*J173+$K$10*K173+$L$10*L173))</x:f>
        <x:v>0.4171849260104554</x:v>
      </x:c>
      <x:c r="AI173" s="59" t="n">
        <x:f>'_曲线基线'!$L$4+AI$9*($H$10*H173+$I$10*I173+$J$10*J173+$K$10*K173+$L$10*L173)</x:f>
        <x:v>3.0228722938862687</x:v>
      </x:c>
      <x:c r="AJ173" s="59" t="n">
        <x:f>1+AJ$9*($H$10*H173+$I$10*I173+$J$10*J173+$K$10*K173+$L$10*L173)</x:f>
        <x:v>1.8392798308810412</x:v>
      </x:c>
      <x:c r="AK173" s="59" t="n">
        <x:f>(1+AH173*(AI173-1))*AJ173</x:f>
        <x:v>3.391469835629729</x:v>
      </x:c>
      <x:c r="AL173" s="59" t="n">
        <x:f>U173*AD173*AK173*F173</x:f>
        <x:v>1152022.3922436177</x:v>
      </x:c>
      <x:c r="AM173" s="59" t="n">
        <x:f>IF($B173&lt;AM$8,0,AM$3+(AM$4-AM$3)*(POWER(AM$5,$B173-AM$8)-1)/(POWER(AM$5,$C$5-AM$8)-1))</x:f>
        <x:v>40.32013730154861</x:v>
      </x:c>
      <x:c r="AN173" s="59" t="n">
        <x:f>(((E173*'模块规划'!$D$10+G173*'模块规划'!$D$11+H173*'模块规划'!$D$13)*(1+'模块规划'!$G$14*H173)+(I173*'模块规划'!$D$15+J173*'模块规划'!$D$17+K173*'模块规划'!$D$16+L173*'模块规划'!$D$18))*(1+'模块规划'!$J$17*J173))*F173/(1-Q173)</x:f>
        <x:v>1699526.1448193379</x:v>
      </x:c>
      <x:c r="AO173" s="59" t="n">
        <x:f>AL173*AM173</x:f>
        <x:v>46449701.029721156</x:v>
      </x:c>
      <x:c r="AP173" s="61" t="n">
        <x:f>IF(AO173="","",INDEX('_曲线基线'!$A$3:$A$502,MIN(ROWS('_曲线基线'!$A$3:$A$502),COUNTIF('_曲线基线'!$E$3:$E$502,"&lt;"&amp;AO173)+1)))</x:f>
        <x:v>236</x:v>
      </x:c>
      <x:c r="AQ173" s="61" t="n">
        <x:f>IF(B173&lt;=2,1,IF(B173&lt;=6,2,IF(B173&lt;=9,3,IF(B173&lt;=19,4,5))))</x:f>
        <x:v>5</x:v>
      </x:c>
      <x:c r="AR173" s="59" t="n">
        <x:f>AN173*(1-Q173)/F173*$AS$3+U173*$AS$4+P173*$AS$5</x:f>
        <x:v>12819.009553574917</x:v>
      </x:c>
      <x:c r="AS173" s="59" t="n">
        <x:f>1+AH173*$AS$6+AI173*$AS$7+(AJ173-1)*$AS$8+($H$10*H173+$I$10*I173+$J$10*J173+$K$10*K173+$L$10*L173)*$AU$3*$AS$9+($H$10*H173+$I$10*I173+$J$10*J173+$K$10*K173+$L$10*L173)*$AU$4*$AS$10</x:f>
        <x:v>14.625411447471164</x:v>
      </x:c>
      <x:c r="AT173" s="60" t="n">
        <x:f>ROUND(AR173*AS173,0)</x:f>
        <x:v>187483</x:v>
      </x:c>
      <x:c r="AU173" s="60" t="n">
        <x:f>ROUND(AT173*F173,0)</x:f>
        <x:v>937415</x:v>
      </x:c>
      <x:c r="AV173" s="60" t="n">
        <x:f>MIN(MATCH(B173,'主线调参'!$M$11:$M$62,1),ROWS('主线调参'!$M$11:$M$62)-1)</x:f>
        <x:v>37</x:v>
      </x:c>
      <x:c r="AW173" s="62" t="n">
        <x:f>(B173-INDEX('主线调参'!$M$11:$M$62,AV173))/(INDEX('主线调参'!$M$11:$M$62,AV173+1)-INDEX('主线调参'!$M$11:$M$62,AV173))</x:f>
        <x:v>0.14285714285714285</x:v>
      </x:c>
      <x:c r="AX173" s="60" t="n">
        <x:f>IF(AU173=0,0,ROUND(AU173,2-INT(LOG10(ABS(AU173)))))</x:f>
        <x:v>937000</x:v>
      </x:c>
      <x:c r="AY173" s="62" t="n">
        <x:f>AU173/AU172-1</x:f>
        <x:v>0.0073178201277663835</x:v>
      </x:c>
    </x:row>
    <x:row r="174" ht="25" customHeight="1">
      <x:c r="A174" s="40" t="str">
        <x:f>'调前玩家曲线'!A174</x:f>
      </x:c>
      <x:c r="B174" s="40" t="n">
        <x:f>'调前玩家曲线'!B174</x:f>
        <x:v>163</x:v>
      </x:c>
      <x:c r="C174" s="40" t="n">
        <x:f>'调前玩家曲线'!C174</x:f>
        <x:v>12</x:v>
      </x:c>
      <x:c r="D174" s="40" t="n">
        <x:f>'调前玩家曲线'!D174</x:f>
        <x:v>4</x:v>
      </x:c>
      <x:c r="E174" s="40" t="n">
        <x:f>'调前玩家曲线'!E174</x:f>
        <x:v>1</x:v>
      </x:c>
      <x:c r="F174" s="40" t="n">
        <x:f>'调前玩家曲线'!F174</x:f>
        <x:v>5</x:v>
      </x:c>
      <x:c r="G174" s="63" t="n">
        <x:f>IF(B174&lt;$G$8,0,(INDEX('主线调参'!$C$11:$C$62,$AV174)+(INDEX('主线调参'!$C$11:$C$62,$AV174+1)-INDEX('主线调参'!$C$11:$C$62,$AV174))*$AW174)*'参数说明'!$C$27)</x:f>
        <x:v>0.7427537327522195</x:v>
      </x:c>
      <x:c r="H174" s="63" t="n">
        <x:f>IF(B174&lt;$H$8,0,(INDEX('主线调参'!$D$11:$D$62,$AV174)+(INDEX('主线调参'!$D$11:$D$62,$AV174+1)-INDEX('主线调参'!$D$11:$D$62,$AV174))*$AW174)*'参数说明'!$D$27)</x:f>
        <x:v>0.5810227854055575</x:v>
      </x:c>
      <x:c r="I174" s="63" t="n">
        <x:f>IF(B174&lt;$I$8,0,(INDEX('主线调参'!$E$11:$E$62,$AV174)+(INDEX('主线调参'!$E$11:$E$62,$AV174+1)-INDEX('主线调参'!$E$11:$E$62,$AV174))*$AW174)*'参数说明'!$E$27)</x:f>
        <x:v>0.4767794971288326</x:v>
      </x:c>
      <x:c r="J174" s="63" t="n">
        <x:f>IF(B174&lt;$J$8,0,(INDEX('主线调参'!$F$11:$F$62,$AV174)+(INDEX('主线调参'!$F$11:$F$62,$AV174+1)-INDEX('主线调参'!$F$11:$F$62,$AV174))*$AW174)*'参数说明'!$F$27)</x:f>
        <x:v>0.4686737242367237</x:v>
      </x:c>
      <x:c r="K174" s="63" t="n">
        <x:f>IF(B174&lt;$K$8,0,(INDEX('主线调参'!$G$11:$G$62,$AV174)+(INDEX('主线调参'!$G$11:$G$62,$AV174+1)-INDEX('主线调参'!$G$11:$G$62,$AV174))*$AW174)*'参数说明'!$G$27)</x:f>
        <x:v>0.40214117655231135</x:v>
      </x:c>
      <x:c r="L174" s="63" t="n">
        <x:f>IF(B174&lt;$L$8,0,(INDEX('主线调参'!$H$11:$H$62,$AV174)+(INDEX('主线调参'!$H$11:$H$62,$AV174+1)-INDEX('主线调参'!$H$11:$H$62,$AV174))*$AW174)*'参数说明'!$H$27)</x:f>
        <x:v>0.5739149176023791</x:v>
      </x:c>
      <x:c r="M174" s="59" t="n">
        <x:f>E174*'模块规划'!$F$10+G174*'模块规划'!$F$11+H174*'模块规划'!$F$13</x:f>
        <x:v>4565.2179172106535</x:v>
      </x:c>
      <x:c r="N174" s="59" t="n">
        <x:f>I174*'模块规划'!$F$15+J174*'模块规划'!$F$17+K174*'模块规划'!$F$16+L174*'模块规划'!$F$18</x:f>
        <x:v>13783.394866723662</x:v>
      </x:c>
      <x:c r="O174" s="59" t="n">
        <x:f>1+O$9*SUMPRODUCT($H$10:$L$10,H174:L174)/SUM($H$10:$L$10)</x:f>
        <x:v>2.8359819826304236</x:v>
      </x:c>
      <x:c r="P174" s="59" t="n">
        <x:f>M174*O174+N174</x:f>
        <x:v>26730.270626714664</x:v>
      </x:c>
      <x:c r="Q174" s="59" t="n">
        <x:f>P174/(P174+'_曲线基线'!$L$2)</x:f>
        <x:v>0.5269096792998075</x:v>
      </x:c>
      <x:c r="R174" s="59" t="n">
        <x:f>E174*'模块规划'!$E$10+G174*'模块规划'!$E$11+H174*'模块规划'!$E$13</x:f>
        <x:v>6847.82687581598</x:v>
      </x:c>
      <x:c r="S174" s="59" t="n">
        <x:f>I174*'模块规划'!$E$15+J174*'模块规划'!$E$17+K174*'模块规划'!$E$16+L174*'模块规划'!$E$18</x:f>
        <x:v>20675.09230008549</x:v>
      </x:c>
      <x:c r="T174" s="59" t="n">
        <x:f>1+T$9*SUMPRODUCT($H$10:$L$10,H174:L174)/SUM($H$10:$L$10)</x:f>
        <x:v>2.8359819826304236</x:v>
      </x:c>
      <x:c r="U174" s="59" t="n">
        <x:f>R174*T174+S174</x:f>
        <x:v>40095.40594007199</x:v>
      </x:c>
      <x:c r="V174" s="59" t="n">
        <x:f>V$8+(V$9-V$8)*H174</x:f>
        <x:v>0.8743068356216672</x:v>
      </x:c>
      <x:c r="W174" s="59" t="n">
        <x:f>IF(B174&lt;$H$8,0,W$8+(W$9-W$8)*H174)</x:f>
        <x:v>0.232409114162223</x:v>
      </x:c>
      <x:c r="X174" s="59" t="n">
        <x:f>X$8+(X$9-X$8)*H174</x:f>
        <x:v>0.43478126598652833</x:v>
      </x:c>
      <x:c r="Y174" s="59" t="n">
        <x:f>Y$8+(Y$9-Y$8)*G174</x:f>
        <x:v>1</x:v>
      </x:c>
      <x:c r="Z174" s="59" t="n">
        <x:f>Z$8+(Z$9-Z$8)*H174</x:f>
        <x:v>1</x:v>
      </x:c>
      <x:c r="AA174" s="59" t="n">
        <x:f>AA$8+(AA$9-AA$8)*I174</x:f>
        <x:v>1</x:v>
      </x:c>
      <x:c r="AB174" s="59" t="n">
        <x:f>AB$8+(AB$9-AB$8)*J174</x:f>
        <x:v>1</x:v>
      </x:c>
      <x:c r="AC174" s="59" t="n">
        <x:f>AC$8+(AC$9-AC$8)*MAX(K174,L174)</x:f>
        <x:v>1</x:v>
      </x:c>
      <x:c r="AD174" s="59" t="n">
        <x:f>(V174*AE174+W174*AF174+X174*AG174)*PRODUCT(Y174:AC174)</x:f>
        <x:v>1.7040154520256678</x:v>
      </x:c>
      <x:c r="AE174" s="59" t="n">
        <x:f>1+AE$9*($H$10*H174+$I$10*I174+$J$10*J174+$K$10*K174+$L$10*L174)</x:f>
        <x:v>1</x:v>
      </x:c>
      <x:c r="AF174" s="59" t="n">
        <x:f>1+AF$9*($H$10*H174+$I$10*I174+$J$10*J174+$K$10*K174+$L$10*L174)</x:f>
        <x:v>1.1620421344993654</x:v>
      </x:c>
      <x:c r="AG174" s="59" t="n">
        <x:f>1+AG$9*($H$10*H174+$I$10*I174+$J$10*J174+$K$10*K174+$L$10*L174)</x:f>
        <x:v>1.2871746716961</x:v>
      </x:c>
      <x:c r="AH174" s="59" t="n">
        <x:f>MIN(1,'_曲线基线'!$L$3+AH$9*($H$10*H174+$I$10*I174+$J$10*J174+$K$10*K174+$L$10*L174))</x:f>
        <x:v>0.41864585598605597</x:v>
      </x:c>
      <x:c r="AI174" s="59" t="n">
        <x:f>'_曲线基线'!$L$4+AI$9*($H$10*H174+$I$10*I174+$J$10*J174+$K$10*K174+$L$10*L174)</x:f>
        <x:v>3.0269420273897274</x:v>
      </x:c>
      <x:c r="AJ174" s="59" t="n">
        <x:f>1+AJ$9*($H$10*H174+$I$10*I174+$J$10*J174+$K$10*K174+$L$10*L174)</x:f>
        <x:v>1.8426190993966993</x:v>
      </x:c>
      <x:c r="AK174" s="59" t="n">
        <x:f>(1+AH174*(AI174-1))*AJ174</x:f>
        <x:v>3.40621201024366</x:v>
      </x:c>
      <x:c r="AL174" s="59" t="n">
        <x:f>U174*AD174*AK174*F174</x:f>
        <x:v>1163616.3735315804</x:v>
      </x:c>
      <x:c r="AM174" s="59" t="n">
        <x:f>IF($B174&lt;AM$8,0,AM$3+(AM$4-AM$3)*(POWER(AM$5,$B174-AM$8)-1)/(POWER(AM$5,$C$5-AM$8)-1))</x:f>
        <x:v>40.38676331448597</x:v>
      </x:c>
      <x:c r="AN174" s="59" t="n">
        <x:f>(((E174*'模块规划'!$D$10+G174*'模块规划'!$D$11+H174*'模块规划'!$D$13)*(1+'模块规划'!$G$14*H174)+(I174*'模块规划'!$D$15+J174*'模块规划'!$D$17+K174*'模块规划'!$D$16+L174*'模块规划'!$D$18))*(1+'模块规划'!$J$17*J174))*F174/(1-Q174)</x:f>
        <x:v>1712034.6826595645</x:v>
      </x:c>
      <x:c r="AO174" s="59" t="n">
        <x:f>AL174*AM174</x:f>
        <x:v>46994699.06668043</x:v>
      </x:c>
      <x:c r="AP174" s="61" t="n">
        <x:f>IF(AO174="","",INDEX('_曲线基线'!$A$3:$A$502,MIN(ROWS('_曲线基线'!$A$3:$A$502),COUNTIF('_曲线基线'!$E$3:$E$502,"&lt;"&amp;AO174)+1)))</x:f>
        <x:v>237</x:v>
      </x:c>
      <x:c r="AQ174" s="61" t="n">
        <x:f>IF(B174&lt;=2,1,IF(B174&lt;=6,2,IF(B174&lt;=9,3,IF(B174&lt;=19,4,5))))</x:f>
        <x:v>5</x:v>
      </x:c>
      <x:c r="AR174" s="59" t="n">
        <x:f>AN174*(1-Q174)/F174*$AS$3+U174*$AS$4+P174*$AS$5</x:f>
        <x:v>12878.763410429994</x:v>
      </x:c>
      <x:c r="AS174" s="59" t="n">
        <x:f>1+AH174*$AS$6+AI174*$AS$7+(AJ174-1)*$AS$8+($H$10*H174+$I$10*I174+$J$10*J174+$K$10*K174+$L$10*L174)*$AU$3*$AS$9+($H$10*H174+$I$10*I174+$J$10*J174+$K$10*K174+$L$10*L174)*$AU$4*$AS$10</x:f>
        <x:v>14.6637816567124</x:v>
      </x:c>
      <x:c r="AT174" s="60" t="n">
        <x:f>ROUND(AR174*AS174,0)</x:f>
        <x:v>188851</x:v>
      </x:c>
      <x:c r="AU174" s="60" t="n">
        <x:f>ROUND(AT174*F174,0)</x:f>
        <x:v>944255</x:v>
      </x:c>
      <x:c r="AV174" s="60" t="n">
        <x:f>MIN(MATCH(B174,'主线调参'!$M$11:$M$62,1),ROWS('主线调参'!$M$11:$M$62)-1)</x:f>
        <x:v>37</x:v>
      </x:c>
      <x:c r="AW174" s="62" t="n">
        <x:f>(B174-INDEX('主线调参'!$M$11:$M$62,AV174))/(INDEX('主线调参'!$M$11:$M$62,AV174+1)-INDEX('主线调参'!$M$11:$M$62,AV174))</x:f>
        <x:v>0.21428571428571427</x:v>
      </x:c>
      <x:c r="AX174" s="60" t="n">
        <x:f>IF(AU174=0,0,ROUND(AU174,2-INT(LOG10(ABS(AU174)))))</x:f>
        <x:v>944000</x:v>
      </x:c>
      <x:c r="AY174" s="62" t="n">
        <x:f>AU174/AU173-1</x:f>
        <x:v>0.007296661563981788</x:v>
      </x:c>
    </x:row>
    <x:row r="175" ht="25" customHeight="1">
      <x:c r="A175" s="40" t="str">
        <x:f>'调前玩家曲线'!A175</x:f>
      </x:c>
      <x:c r="B175" s="40" t="n">
        <x:f>'调前玩家曲线'!B175</x:f>
        <x:v>164</x:v>
      </x:c>
      <x:c r="C175" s="40" t="n">
        <x:f>'调前玩家曲线'!C175</x:f>
        <x:v>12</x:v>
      </x:c>
      <x:c r="D175" s="40" t="n">
        <x:f>'调前玩家曲线'!D175</x:f>
        <x:v>5</x:v>
      </x:c>
      <x:c r="E175" s="40" t="n">
        <x:f>'调前玩家曲线'!E175</x:f>
        <x:v>1</x:v>
      </x:c>
      <x:c r="F175" s="40" t="n">
        <x:f>'调前玩家曲线'!F175</x:f>
        <x:v>5</x:v>
      </x:c>
      <x:c r="G175" s="63" t="n">
        <x:f>IF(B175&lt;$G$8,0,(INDEX('主线调参'!$C$11:$C$62,$AV175)+(INDEX('主线调参'!$C$11:$C$62,$AV175+1)-INDEX('主线调参'!$C$11:$C$62,$AV175))*$AW175)*'参数说明'!$C$27)</x:f>
        <x:v>0.7445002553819019</x:v>
      </x:c>
      <x:c r="H175" s="63" t="n">
        <x:f>IF(B175&lt;$H$8,0,(INDEX('主线调参'!$D$11:$D$62,$AV175)+(INDEX('主线调参'!$D$11:$D$62,$AV175+1)-INDEX('主线调参'!$D$11:$D$62,$AV175))*$AW175)*'参数说明'!$D$27)</x:f>
        <x:v>0.5823269701507245</x:v>
      </x:c>
      <x:c r="I175" s="63" t="n">
        <x:f>IF(B175&lt;$I$8,0,(INDEX('主线调参'!$E$11:$E$62,$AV175)+(INDEX('主线调参'!$E$11:$E$62,$AV175+1)-INDEX('主线调参'!$E$11:$E$62,$AV175))*$AW175)*'参数说明'!$E$27)</x:f>
        <x:v>0.4789888970057733</x:v>
      </x:c>
      <x:c r="J175" s="63" t="n">
        <x:f>IF(B175&lt;$J$8,0,(INDEX('主线调参'!$F$11:$F$62,$AV175)+(INDEX('主线调参'!$F$11:$F$62,$AV175+1)-INDEX('主线调参'!$F$11:$F$62,$AV175))*$AW175)*'参数说明'!$F$27)</x:f>
        <x:v>0.4701656254081947</x:v>
      </x:c>
      <x:c r="K175" s="63" t="n">
        <x:f>IF(B175&lt;$K$8,0,(INDEX('主线调参'!$G$11:$G$62,$AV175)+(INDEX('主线调参'!$G$11:$G$62,$AV175+1)-INDEX('主线调参'!$G$11:$G$62,$AV175))*$AW175)*'参数说明'!$G$27)</x:f>
        <x:v>0.4057810433594964</x:v>
      </x:c>
      <x:c r="L175" s="63" t="n">
        <x:f>IF(B175&lt;$L$8,0,(INDEX('主线调参'!$H$11:$H$62,$AV175)+(INDEX('主线调参'!$H$11:$H$62,$AV175+1)-INDEX('主线调参'!$H$11:$H$62,$AV175))*$AW175)*'参数说明'!$H$27)</x:f>
        <x:v>0.5753353108452602</x:v>
      </x:c>
      <x:c r="M175" s="59" t="n">
        <x:f>E175*'模块规划'!$F$10+G175*'模块规划'!$F$11+H175*'模块规划'!$F$13</x:f>
        <x:v>4573.601225833129</x:v>
      </x:c>
      <x:c r="N175" s="59" t="n">
        <x:f>I175*'模块规划'!$F$15+J175*'模块规划'!$F$17+K175*'模块规划'!$F$16+L175*'模块规划'!$F$18</x:f>
        <x:v>13844.930244511412</x:v>
      </x:c>
      <x:c r="O175" s="59" t="n">
        <x:f>1+O$9*SUMPRODUCT($H$10:$L$10,H175:L175)/SUM($H$10:$L$10)</x:f>
        <x:v>2.843257911735643</x:v>
      </x:c>
      <x:c r="P175" s="59" t="n">
        <x:f>M175*O175+N175</x:f>
        <x:v>26848.85811498529</x:v>
      </x:c>
      <x:c r="Q175" s="59" t="n">
        <x:f>P175/(P175+'_曲线基线'!$L$2)</x:f>
        <x:v>0.5280129999039813</x:v>
      </x:c>
      <x:c r="R175" s="59" t="n">
        <x:f>E175*'模块规划'!$E$10+G175*'模块规划'!$E$11+H175*'模块规划'!$E$13</x:f>
        <x:v>6860.4018387496935</x:v>
      </x:c>
      <x:c r="S175" s="59" t="n">
        <x:f>I175*'模块规划'!$E$15+J175*'模块规划'!$E$17+K175*'模块规划'!$E$16+L175*'模块规划'!$E$18</x:f>
        <x:v>20767.39536676712</x:v>
      </x:c>
      <x:c r="T175" s="59" t="n">
        <x:f>1+T$9*SUMPRODUCT($H$10:$L$10,H175:L175)/SUM($H$10:$L$10)</x:f>
        <x:v>2.843257911735643</x:v>
      </x:c>
      <x:c r="U175" s="59" t="n">
        <x:f>R175*T175+S175</x:f>
        <x:v>40273.28717247794</x:v>
      </x:c>
      <x:c r="V175" s="59" t="n">
        <x:f>V$8+(V$9-V$8)*H175</x:f>
        <x:v>0.8746980910452173</x:v>
      </x:c>
      <x:c r="W175" s="59" t="n">
        <x:f>IF(B175&lt;$H$8,0,W$8+(W$9-W$8)*H175)</x:f>
        <x:v>0.23293078806028983</x:v>
      </x:c>
      <x:c r="X175" s="59" t="n">
        <x:f>X$8+(X$9-X$8)*H175</x:f>
        <x:v>0.43513991679144925</x:v>
      </x:c>
      <x:c r="Y175" s="59" t="n">
        <x:f>Y$8+(Y$9-Y$8)*G175</x:f>
        <x:v>1</x:v>
      </x:c>
      <x:c r="Z175" s="59" t="n">
        <x:f>Z$8+(Z$9-Z$8)*H175</x:f>
        <x:v>1</x:v>
      </x:c>
      <x:c r="AA175" s="59" t="n">
        <x:f>AA$8+(AA$9-AA$8)*I175</x:f>
        <x:v>1</x:v>
      </x:c>
      <x:c r="AB175" s="59" t="n">
        <x:f>AB$8+(AB$9-AB$8)*J175</x:f>
        <x:v>1</x:v>
      </x:c>
      <x:c r="AC175" s="59" t="n">
        <x:f>AC$8+(AC$9-AC$8)*MAX(K175,L175)</x:f>
        <x:v>1</x:v>
      </x:c>
      <x:c r="AD175" s="59" t="n">
        <x:f>(V175*AE175+W175*AF175+X175*AG175)*PRODUCT(Y175:AC175)</x:f>
        <x:v>1.7061193576961817</x:v>
      </x:c>
      <x:c r="AE175" s="59" t="n">
        <x:f>1+AE$9*($H$10*H175+$I$10*I175+$J$10*J175+$K$10*K175+$L$10*L175)</x:f>
        <x:v>1</x:v>
      </x:c>
      <x:c r="AF175" s="59" t="n">
        <x:f>1+AF$9*($H$10*H175+$I$10*I175+$J$10*J175+$K$10*K175+$L$10*L175)</x:f>
        <x:v>1.1626843015216075</x:v>
      </x:c>
      <x:c r="AG175" s="59" t="n">
        <x:f>1+AG$9*($H$10*H175+$I$10*I175+$J$10*J175+$K$10*K175+$L$10*L175)</x:f>
        <x:v>1.2883127343632954</x:v>
      </x:c>
      <x:c r="AH175" s="59" t="n">
        <x:f>MIN(1,'_曲线基线'!$L$3+AH$9*($H$10*H175+$I$10*I175+$J$10*J175+$K$10*K175+$L$10*L175))</x:f>
        <x:v>0.42010678596165657</x:v>
      </x:c>
      <x:c r="AI175" s="59" t="n">
        <x:f>'_曲线基线'!$L$4+AI$9*($H$10*H175+$I$10*I175+$J$10*J175+$K$10*K175+$L$10*L175)</x:f>
        <x:v>3.031011760893186</x:v>
      </x:c>
      <x:c r="AJ175" s="59" t="n">
        <x:f>1+AJ$9*($H$10*H175+$I$10*I175+$J$10*J175+$K$10*K175+$L$10*L175)</x:f>
        <x:v>1.845958367912358</x:v>
      </x:c>
      <x:c r="AK175" s="59" t="n">
        <x:f>(1+AH175*(AI175-1))*AJ175</x:f>
        <x:v>3.421007251151969</x:v>
      </x:c>
      <x:c r="AL175" s="59" t="n">
        <x:f>U175*AD175*AK175*F175</x:f>
        <x:v>1175304.7421606681</x:v>
      </x:c>
      <x:c r="AM175" s="59" t="n">
        <x:f>IF($B175&lt;AM$8,0,AM$3+(AM$4-AM$3)*(POWER(AM$5,$B175-AM$8)-1)/(POWER(AM$5,$C$5-AM$8)-1))</x:f>
        <x:v>40.4540555875527</x:v>
      </x:c>
      <x:c r="AN175" s="59" t="n">
        <x:f>(((E175*'模块规划'!$D$10+G175*'模块规划'!$D$11+H175*'模块规划'!$D$13)*(1+'模块规划'!$G$14*H175)+(I175*'模块规划'!$D$15+J175*'模块规划'!$D$17+K175*'模块规划'!$D$16+L175*'模块规划'!$D$18))*(1+'模块规划'!$J$17*J175))*F175/(1-Q175)</x:f>
        <x:v>1724603.9356093185</x:v>
      </x:c>
      <x:c r="AO175" s="59" t="n">
        <x:f>AL175*AM175</x:f>
        <x:v>47545843.371681966</x:v>
      </x:c>
      <x:c r="AP175" s="61" t="n">
        <x:f>IF(AO175="","",INDEX('_曲线基线'!$A$3:$A$502,MIN(ROWS('_曲线基线'!$A$3:$A$502),COUNTIF('_曲线基线'!$E$3:$E$502,"&lt;"&amp;AO175)+1)))</x:f>
        <x:v>238</x:v>
      </x:c>
      <x:c r="AQ175" s="61" t="n">
        <x:f>IF(B175&lt;=2,1,IF(B175&lt;=6,2,IF(B175&lt;=9,3,IF(B175&lt;=19,4,5))))</x:f>
        <x:v>5</x:v>
      </x:c>
      <x:c r="AR175" s="59" t="n">
        <x:f>AN175*(1-Q175)/F175*$AS$3+U175*$AS$4+P175*$AS$5</x:f>
        <x:v>12938.601262027765</x:v>
      </x:c>
      <x:c r="AS175" s="59" t="n">
        <x:f>1+AH175*$AS$6+AI175*$AS$7+(AJ175-1)*$AS$8+($H$10*H175+$I$10*I175+$J$10*J175+$K$10*K175+$L$10*L175)*$AU$3*$AS$9+($H$10*H175+$I$10*I175+$J$10*J175+$K$10*K175+$L$10*L175)*$AU$4*$AS$10</x:f>
        <x:v>14.702151865953642</x:v>
      </x:c>
      <x:c r="AT175" s="60" t="n">
        <x:f>ROUND(AR175*AS175,0)</x:f>
        <x:v>190225</x:v>
      </x:c>
      <x:c r="AU175" s="60" t="n">
        <x:f>ROUND(AT175*F175,0)</x:f>
        <x:v>951125</x:v>
      </x:c>
      <x:c r="AV175" s="60" t="n">
        <x:f>MIN(MATCH(B175,'主线调参'!$M$11:$M$62,1),ROWS('主线调参'!$M$11:$M$62)-1)</x:f>
        <x:v>37</x:v>
      </x:c>
      <x:c r="AW175" s="62" t="n">
        <x:f>(B175-INDEX('主线调参'!$M$11:$M$62,AV175))/(INDEX('主线调参'!$M$11:$M$62,AV175+1)-INDEX('主线调参'!$M$11:$M$62,AV175))</x:f>
        <x:v>0.2857142857142857</x:v>
      </x:c>
      <x:c r="AX175" s="60" t="n">
        <x:f>IF(AU175=0,0,ROUND(AU175,2-INT(LOG10(ABS(AU175)))))</x:f>
        <x:v>951000</x:v>
      </x:c>
      <x:c r="AY175" s="62" t="n">
        <x:f>AU175/AU174-1</x:f>
        <x:v>0.007275577042218373</x:v>
      </x:c>
    </x:row>
    <x:row r="176" ht="25" customHeight="1">
      <x:c r="A176" s="40" t="str">
        <x:f>'调前玩家曲线'!A176</x:f>
      </x:c>
      <x:c r="B176" s="40" t="n">
        <x:f>'调前玩家曲线'!B176</x:f>
        <x:v>165</x:v>
      </x:c>
      <x:c r="C176" s="40" t="n">
        <x:f>'调前玩家曲线'!C176</x:f>
        <x:v>12</x:v>
      </x:c>
      <x:c r="D176" s="40" t="n">
        <x:f>'调前玩家曲线'!D176</x:f>
        <x:v>6</x:v>
      </x:c>
      <x:c r="E176" s="40" t="n">
        <x:f>'调前玩家曲线'!E176</x:f>
        <x:v>1</x:v>
      </x:c>
      <x:c r="F176" s="40" t="n">
        <x:f>'调前玩家曲线'!F176</x:f>
        <x:v>5</x:v>
      </x:c>
      <x:c r="G176" s="63" t="n">
        <x:f>IF(B176&lt;$G$8,0,(INDEX('主线调参'!$C$11:$C$62,$AV176)+(INDEX('主线调参'!$C$11:$C$62,$AV176+1)-INDEX('主线调参'!$C$11:$C$62,$AV176))*$AW176)*'参数说明'!$C$27)</x:f>
        <x:v>0.7462467780115845</x:v>
      </x:c>
      <x:c r="H176" s="63" t="n">
        <x:f>IF(B176&lt;$H$8,0,(INDEX('主线调参'!$D$11:$D$62,$AV176)+(INDEX('主线调参'!$D$11:$D$62,$AV176+1)-INDEX('主线调参'!$D$11:$D$62,$AV176))*$AW176)*'参数说明'!$D$27)</x:f>
        <x:v>0.5836311548958917</x:v>
      </x:c>
      <x:c r="I176" s="63" t="n">
        <x:f>IF(B176&lt;$I$8,0,(INDEX('主线调参'!$E$11:$E$62,$AV176)+(INDEX('主线调参'!$E$11:$E$62,$AV176+1)-INDEX('主线调参'!$E$11:$E$62,$AV176))*$AW176)*'参数说明'!$E$27)</x:f>
        <x:v>0.481198296882714</x:v>
      </x:c>
      <x:c r="J176" s="63" t="n">
        <x:f>IF(B176&lt;$J$8,0,(INDEX('主线调参'!$F$11:$F$62,$AV176)+(INDEX('主线调参'!$F$11:$F$62,$AV176+1)-INDEX('主线调参'!$F$11:$F$62,$AV176))*$AW176)*'参数说明'!$F$27)</x:f>
        <x:v>0.47165752657966564</x:v>
      </x:c>
      <x:c r="K176" s="63" t="n">
        <x:f>IF(B176&lt;$K$8,0,(INDEX('主线调参'!$G$11:$G$62,$AV176)+(INDEX('主线调参'!$G$11:$G$62,$AV176+1)-INDEX('主线调参'!$G$11:$G$62,$AV176))*$AW176)*'参数说明'!$G$27)</x:f>
        <x:v>0.4094209101666813</x:v>
      </x:c>
      <x:c r="L176" s="63" t="n">
        <x:f>IF(B176&lt;$L$8,0,(INDEX('主线调参'!$H$11:$H$62,$AV176)+(INDEX('主线调参'!$H$11:$H$62,$AV176+1)-INDEX('主线调参'!$H$11:$H$62,$AV176))*$AW176)*'参数说明'!$H$27)</x:f>
        <x:v>0.5767557040881411</x:v>
      </x:c>
      <x:c r="M176" s="59" t="n">
        <x:f>E176*'模块规划'!$F$10+G176*'模块规划'!$F$11+H176*'模块规划'!$F$13</x:f>
        <x:v>4581.984534455605</x:v>
      </x:c>
      <x:c r="N176" s="59" t="n">
        <x:f>I176*'模块规划'!$F$15+J176*'模块规划'!$F$17+K176*'模块规划'!$F$16+L176*'模块规划'!$F$18</x:f>
        <x:v>13906.465622299162</x:v>
      </x:c>
      <x:c r="O176" s="59" t="n">
        <x:f>1+O$9*SUMPRODUCT($H$10:$L$10,H176:L176)/SUM($H$10:$L$10)</x:f>
        <x:v>2.8505338408408614</x:v>
      </x:c>
      <x:c r="P176" s="59" t="n">
        <x:f>M176*O176+N176</x:f>
        <x:v>26967.567595974324</x:v>
      </x:c>
      <x:c r="Q176" s="59" t="n">
        <x:f>P176/(P176+'_曲线基线'!$L$2)</x:f>
        <x:v>0.5291123133391274</x:v>
      </x:c>
      <x:c r="R176" s="59" t="n">
        <x:f>E176*'模块规划'!$E$10+G176*'模块规划'!$E$11+H176*'模块规划'!$E$13</x:f>
        <x:v>6872.976801683408</x:v>
      </x:c>
      <x:c r="S176" s="59" t="n">
        <x:f>I176*'模块规划'!$E$15+J176*'模块规划'!$E$17+K176*'模块规划'!$E$16+L176*'模块规划'!$E$18</x:f>
        <x:v>20859.698433448742</x:v>
      </x:c>
      <x:c r="T176" s="59" t="n">
        <x:f>1+T$9*SUMPRODUCT($H$10:$L$10,H176:L176)/SUM($H$10:$L$10)</x:f>
        <x:v>2.8505338408408614</x:v>
      </x:c>
      <x:c r="U176" s="59" t="n">
        <x:f>R176*T176+S176</x:f>
        <x:v>40451.351393961486</x:v>
      </x:c>
      <x:c r="V176" s="59" t="n">
        <x:f>V$8+(V$9-V$8)*H176</x:f>
        <x:v>0.8750893464687675</x:v>
      </x:c>
      <x:c r="W176" s="59" t="n">
        <x:f>IF(B176&lt;$H$8,0,W$8+(W$9-W$8)*H176)</x:f>
        <x:v>0.23345246195835667</x:v>
      </x:c>
      <x:c r="X176" s="59" t="n">
        <x:f>X$8+(X$9-X$8)*H176</x:f>
        <x:v>0.43549856759637023</x:v>
      </x:c>
      <x:c r="Y176" s="59" t="n">
        <x:f>Y$8+(Y$9-Y$8)*G176</x:f>
        <x:v>1</x:v>
      </x:c>
      <x:c r="Z176" s="59" t="n">
        <x:f>Z$8+(Z$9-Z$8)*H176</x:f>
        <x:v>1</x:v>
      </x:c>
      <x:c r="AA176" s="59" t="n">
        <x:f>AA$8+(AA$9-AA$8)*I176</x:f>
        <x:v>1</x:v>
      </x:c>
      <x:c r="AB176" s="59" t="n">
        <x:f>AB$8+(AB$9-AB$8)*J176</x:f>
        <x:v>1</x:v>
      </x:c>
      <x:c r="AC176" s="59" t="n">
        <x:f>AC$8+(AC$9-AC$8)*MAX(K176,L176)</x:f>
        <x:v>1</x:v>
      </x:c>
      <x:c r="AD176" s="59" t="n">
        <x:f>(V176*AE176+W176*AF176+X176*AG176)*PRODUCT(Y176:AC176)</x:f>
        <x:v>1.7082247497044265</x:v>
      </x:c>
      <x:c r="AE176" s="59" t="n">
        <x:f>1+AE$9*($H$10*H176+$I$10*I176+$J$10*J176+$K$10*K176+$L$10*L176)</x:f>
        <x:v>1</x:v>
      </x:c>
      <x:c r="AF176" s="59" t="n">
        <x:f>1+AF$9*($H$10*H176+$I$10*I176+$J$10*J176+$K$10*K176+$L$10*L176)</x:f>
        <x:v>1.1633264685438496</x:v>
      </x:c>
      <x:c r="AG176" s="59" t="n">
        <x:f>1+AG$9*($H$10*H176+$I$10*I176+$J$10*J176+$K$10*K176+$L$10*L176)</x:f>
        <x:v>1.289450797030491</x:v>
      </x:c>
      <x:c r="AH176" s="59" t="n">
        <x:f>MIN(1,'_曲线基线'!$L$3+AH$9*($H$10*H176+$I$10*I176+$J$10*J176+$K$10*K176+$L$10*L176))</x:f>
        <x:v>0.4215677159372571</x:v>
      </x:c>
      <x:c r="AI176" s="59" t="n">
        <x:f>'_曲线基线'!$L$4+AI$9*($H$10*H176+$I$10*I176+$J$10*J176+$K$10*K176+$L$10*L176)</x:f>
        <x:v>3.035081494396645</x:v>
      </x:c>
      <x:c r="AJ176" s="59" t="n">
        <x:f>1+AJ$9*($H$10*H176+$I$10*I176+$J$10*J176+$K$10*K176+$L$10*L176)</x:f>
        <x:v>1.8492976364280165</x:v>
      </x:c>
      <x:c r="AK176" s="59" t="n">
        <x:f>(1+AH176*(AI176-1))*AJ176</x:f>
        <x:v>3.4358556774782962</x:v>
      </x:c>
      <x:c r="AL176" s="59" t="n">
        <x:f>U176*AD176*AK176*F176</x:f>
        <x:v>1187088.129871507</x:v>
      </x:c>
      <x:c r="AM176" s="59" t="n">
        <x:f>IF($B176&lt;AM$8,0,AM$3+(AM$4-AM$3)*(POWER(AM$5,$B176-AM$8)-1)/(POWER(AM$5,$C$5-AM$8)-1))</x:f>
        <x:v>40.522020783350094</x:v>
      </x:c>
      <x:c r="AN176" s="59" t="n">
        <x:f>(((E176*'模块规划'!$D$10+G176*'模块规划'!$D$11+H176*'模块规划'!$D$13)*(1+'模块规划'!$G$14*H176)+(I176*'模块规划'!$D$15+J176*'模块规划'!$D$17+K176*'模块规划'!$D$16+L176*'模块规划'!$D$18))*(1+'模块规划'!$J$17*J176))*F176/(1-Q176)</x:f>
        <x:v>1737234.088039058</x:v>
      </x:c>
      <x:c r="AO176" s="59" t="n">
        <x:f>AL176*AM176</x:f>
        <x:v>48103209.8703214</x:v>
      </x:c>
      <x:c r="AP176" s="61" t="n">
        <x:f>IF(AO176="","",INDEX('_曲线基线'!$A$3:$A$502,MIN(ROWS('_曲线基线'!$A$3:$A$502),COUNTIF('_曲线基线'!$E$3:$E$502,"&lt;"&amp;AO176)+1)))</x:f>
        <x:v>239</x:v>
      </x:c>
      <x:c r="AQ176" s="61" t="n">
        <x:f>IF(B176&lt;=2,1,IF(B176&lt;=6,2,IF(B176&lt;=9,3,IF(B176&lt;=19,4,5))))</x:f>
        <x:v>5</x:v>
      </x:c>
      <x:c r="AR176" s="59" t="n">
        <x:f>AN176*(1-Q176)/F176*$AS$3+U176*$AS$4+P176*$AS$5</x:f>
        <x:v>12998.523124223033</x:v>
      </x:c>
      <x:c r="AS176" s="59" t="n">
        <x:f>1+AH176*$AS$6+AI176*$AS$7+(AJ176-1)*$AS$8+($H$10*H176+$I$10*I176+$J$10*J176+$K$10*K176+$L$10*L176)*$AU$3*$AS$9+($H$10*H176+$I$10*I176+$J$10*J176+$K$10*K176+$L$10*L176)*$AU$4*$AS$10</x:f>
        <x:v>14.740522075194878</x:v>
      </x:c>
      <x:c r="AT176" s="60" t="n">
        <x:f>ROUND(AR176*AS176,0)</x:f>
        <x:v>191605</x:v>
      </x:c>
      <x:c r="AU176" s="60" t="n">
        <x:f>ROUND(AT176*F176,0)</x:f>
        <x:v>958025</x:v>
      </x:c>
      <x:c r="AV176" s="60" t="n">
        <x:f>MIN(MATCH(B176,'主线调参'!$M$11:$M$62,1),ROWS('主线调参'!$M$11:$M$62)-1)</x:f>
        <x:v>37</x:v>
      </x:c>
      <x:c r="AW176" s="62" t="n">
        <x:f>(B176-INDEX('主线调参'!$M$11:$M$62,AV176))/(INDEX('主线调参'!$M$11:$M$62,AV176+1)-INDEX('主线调参'!$M$11:$M$62,AV176))</x:f>
        <x:v>0.35714285714285715</x:v>
      </x:c>
      <x:c r="AX176" s="60" t="n">
        <x:f>IF(AU176=0,0,ROUND(AU176,2-INT(LOG10(ABS(AU176)))))</x:f>
        <x:v>958000</x:v>
      </x:c>
      <x:c r="AY176" s="62" t="n">
        <x:f>AU176/AU175-1</x:f>
        <x:v>0.007254566960178677</x:v>
      </x:c>
    </x:row>
    <x:row r="177" ht="25" customHeight="1">
      <x:c r="A177" s="40" t="str">
        <x:f>'调前玩家曲线'!A177</x:f>
      </x:c>
      <x:c r="B177" s="40" t="n">
        <x:f>'调前玩家曲线'!B177</x:f>
        <x:v>166</x:v>
      </x:c>
      <x:c r="C177" s="40" t="n">
        <x:f>'调前玩家曲线'!C177</x:f>
        <x:v>12</x:v>
      </x:c>
      <x:c r="D177" s="40" t="n">
        <x:f>'调前玩家曲线'!D177</x:f>
        <x:v>7</x:v>
      </x:c>
      <x:c r="E177" s="40" t="n">
        <x:f>'调前玩家曲线'!E177</x:f>
        <x:v>1</x:v>
      </x:c>
      <x:c r="F177" s="40" t="n">
        <x:f>'调前玩家曲线'!F177</x:f>
        <x:v>5</x:v>
      </x:c>
      <x:c r="G177" s="63" t="n">
        <x:f>IF(B177&lt;$G$8,0,(INDEX('主线调参'!$C$11:$C$62,$AV177)+(INDEX('主线调参'!$C$11:$C$62,$AV177+1)-INDEX('主线调参'!$C$11:$C$62,$AV177))*$AW177)*'参数说明'!$C$27)</x:f>
        <x:v>0.747993300641267</x:v>
      </x:c>
      <x:c r="H177" s="63" t="n">
        <x:f>IF(B177&lt;$H$8,0,(INDEX('主线调参'!$D$11:$D$62,$AV177)+(INDEX('主线调参'!$D$11:$D$62,$AV177+1)-INDEX('主线调参'!$D$11:$D$62,$AV177))*$AW177)*'参数说明'!$D$27)</x:f>
        <x:v>0.5849353396410587</x:v>
      </x:c>
      <x:c r="I177" s="63" t="n">
        <x:f>IF(B177&lt;$I$8,0,(INDEX('主线调参'!$E$11:$E$62,$AV177)+(INDEX('主线调参'!$E$11:$E$62,$AV177+1)-INDEX('主线调参'!$E$11:$E$62,$AV177))*$AW177)*'参数说明'!$E$27)</x:f>
        <x:v>0.4834076967596546</x:v>
      </x:c>
      <x:c r="J177" s="63" t="n">
        <x:f>IF(B177&lt;$J$8,0,(INDEX('主线调参'!$F$11:$F$62,$AV177)+(INDEX('主线调参'!$F$11:$F$62,$AV177+1)-INDEX('主线调参'!$F$11:$F$62,$AV177))*$AW177)*'参数说明'!$F$27)</x:f>
        <x:v>0.4731494277511366</x:v>
      </x:c>
      <x:c r="K177" s="63" t="n">
        <x:f>IF(B177&lt;$K$8,0,(INDEX('主线调参'!$G$11:$G$62,$AV177)+(INDEX('主线调参'!$G$11:$G$62,$AV177+1)-INDEX('主线调参'!$G$11:$G$62,$AV177))*$AW177)*'参数说明'!$G$27)</x:f>
        <x:v>0.4130607769738663</x:v>
      </x:c>
      <x:c r="L177" s="63" t="n">
        <x:f>IF(B177&lt;$L$8,0,(INDEX('主线调参'!$H$11:$H$62,$AV177)+(INDEX('主线调参'!$H$11:$H$62,$AV177+1)-INDEX('主线调参'!$H$11:$H$62,$AV177))*$AW177)*'参数说明'!$H$27)</x:f>
        <x:v>0.5781760973310222</x:v>
      </x:c>
      <x:c r="M177" s="59" t="n">
        <x:f>E177*'模块规划'!$F$10+G177*'模块规划'!$F$11+H177*'模块规划'!$F$13</x:f>
        <x:v>4590.367843078082</x:v>
      </x:c>
      <x:c r="N177" s="59" t="n">
        <x:f>I177*'模块规划'!$F$15+J177*'模块规划'!$F$17+K177*'模块规划'!$F$16+L177*'模块规划'!$F$18</x:f>
        <x:v>13968.001000086912</x:v>
      </x:c>
      <x:c r="O177" s="59" t="n">
        <x:f>1+O$9*SUMPRODUCT($H$10:$L$10,H177:L177)/SUM($H$10:$L$10)</x:f>
        <x:v>2.8578097699460807</x:v>
      </x:c>
      <x:c r="P177" s="59" t="n">
        <x:f>M177*O177+N177</x:f>
        <x:v>27086.39906968177</x:v>
      </x:c>
      <x:c r="Q177" s="59" t="n">
        <x:f>P177/(P177+'_曲线基线'!$L$2)</x:f>
        <x:v>0.5302076396642473</x:v>
      </x:c>
      <x:c r="R177" s="59" t="n">
        <x:f>E177*'模块规划'!$E$10+G177*'模块规划'!$E$11+H177*'模块规划'!$E$13</x:f>
        <x:v>6885.551764617123</x:v>
      </x:c>
      <x:c r="S177" s="59" t="n">
        <x:f>I177*'模块规划'!$E$15+J177*'模块规划'!$E$17+K177*'模块规划'!$E$16+L177*'模块规划'!$E$18</x:f>
        <x:v>20952.00150013037</x:v>
      </x:c>
      <x:c r="T177" s="59" t="n">
        <x:f>1+T$9*SUMPRODUCT($H$10:$L$10,H177:L177)/SUM($H$10:$L$10)</x:f>
        <x:v>2.8578097699460807</x:v>
      </x:c>
      <x:c r="U177" s="59" t="n">
        <x:f>R177*T177+S177</x:f>
        <x:v>40629.59860452266</x:v>
      </x:c>
      <x:c r="V177" s="59" t="n">
        <x:f>V$8+(V$9-V$8)*H177</x:f>
        <x:v>0.8754806018923176</x:v>
      </x:c>
      <x:c r="W177" s="59" t="n">
        <x:f>IF(B177&lt;$H$8,0,W$8+(W$9-W$8)*H177)</x:f>
        <x:v>0.2339741358564235</x:v>
      </x:c>
      <x:c r="X177" s="59" t="n">
        <x:f>X$8+(X$9-X$8)*H177</x:f>
        <x:v>0.4358572184012912</x:v>
      </x:c>
      <x:c r="Y177" s="59" t="n">
        <x:f>Y$8+(Y$9-Y$8)*G177</x:f>
        <x:v>1</x:v>
      </x:c>
      <x:c r="Z177" s="59" t="n">
        <x:f>Z$8+(Z$9-Z$8)*H177</x:f>
        <x:v>1</x:v>
      </x:c>
      <x:c r="AA177" s="59" t="n">
        <x:f>AA$8+(AA$9-AA$8)*I177</x:f>
        <x:v>1</x:v>
      </x:c>
      <x:c r="AB177" s="59" t="n">
        <x:f>AB$8+(AB$9-AB$8)*J177</x:f>
        <x:v>1</x:v>
      </x:c>
      <x:c r="AC177" s="59" t="n">
        <x:f>AC$8+(AC$9-AC$8)*MAX(K177,L177)</x:f>
        <x:v>1</x:v>
      </x:c>
      <x:c r="AD177" s="59" t="n">
        <x:f>(V177*AE177+W177*AF177+X177*AG177)*PRODUCT(Y177:AC177)</x:f>
        <x:v>1.710331628050402</x:v>
      </x:c>
      <x:c r="AE177" s="59" t="n">
        <x:f>1+AE$9*($H$10*H177+$I$10*I177+$J$10*J177+$K$10*K177+$L$10*L177)</x:f>
        <x:v>1</x:v>
      </x:c>
      <x:c r="AF177" s="59" t="n">
        <x:f>1+AF$9*($H$10*H177+$I$10*I177+$J$10*J177+$K$10*K177+$L$10*L177)</x:f>
        <x:v>1.1639686355660914</x:v>
      </x:c>
      <x:c r="AG177" s="59" t="n">
        <x:f>1+AG$9*($H$10*H177+$I$10*I177+$J$10*J177+$K$10*K177+$L$10*L177)</x:f>
        <x:v>1.2905888596976864</x:v>
      </x:c>
      <x:c r="AH177" s="59" t="n">
        <x:f>MIN(1,'_曲线基线'!$L$3+AH$9*($H$10*H177+$I$10*I177+$J$10*J177+$K$10*K177+$L$10*L177))</x:f>
        <x:v>0.42302864591285766</x:v>
      </x:c>
      <x:c r="AI177" s="59" t="n">
        <x:f>'_曲线基线'!$L$4+AI$9*($H$10*H177+$I$10*I177+$J$10*J177+$K$10*K177+$L$10*L177)</x:f>
        <x:v>3.0391512279001036</x:v>
      </x:c>
      <x:c r="AJ177" s="59" t="n">
        <x:f>1+AJ$9*($H$10*H177+$I$10*I177+$J$10*J177+$K$10*K177+$L$10*L177)</x:f>
        <x:v>1.8526369049436746</x:v>
      </x:c>
      <x:c r="AK177" s="59" t="n">
        <x:f>(1+AH177*(AI177-1))*AJ177</x:f>
        <x:v>3.4507574083462833</x:v>
      </x:c>
      <x:c r="AL177" s="59" t="n">
        <x:f>U177*AD177*AK177*F177</x:f>
        <x:v>1198967.1717246952</x:v>
      </x:c>
      <x:c r="AM177" s="59" t="n">
        <x:f>IF($B177&lt;AM$8,0,AM$3+(AM$4-AM$3)*(POWER(AM$5,$B177-AM$8)-1)/(POWER(AM$5,$C$5-AM$8)-1))</x:f>
        <x:v>40.590665631105466</x:v>
      </x:c>
      <x:c r="AN177" s="59" t="n">
        <x:f>(((E177*'模块规划'!$D$10+G177*'模块规划'!$D$11+H177*'模块规划'!$D$13)*(1+'模块规划'!$G$14*H177)+(I177*'模块规划'!$D$15+J177*'模块规划'!$D$17+K177*'模块规划'!$D$16+L177*'模块规划'!$D$18))*(1+'模块规划'!$J$17*J177))*F177/(1-Q177)</x:f>
        <x:v>1749925.324612496</x:v>
      </x:c>
      <x:c r="AO177" s="59" t="n">
        <x:f>AL177*AM177</x:f>
        <x:v>48666875.57014931</x:v>
      </x:c>
      <x:c r="AP177" s="61" t="n">
        <x:f>IF(AO177="","",INDEX('_曲线基线'!$A$3:$A$502,MIN(ROWS('_曲线基线'!$A$3:$A$502),COUNTIF('_曲线基线'!$E$3:$E$502,"&lt;"&amp;AO177)+1)))</x:f>
        <x:v>240</x:v>
      </x:c>
      <x:c r="AQ177" s="61" t="n">
        <x:f>IF(B177&lt;=2,1,IF(B177&lt;=6,2,IF(B177&lt;=9,3,IF(B177&lt;=19,4,5))))</x:f>
        <x:v>5</x:v>
      </x:c>
      <x:c r="AR177" s="59" t="n">
        <x:f>AN177*(1-Q177)/F177*$AS$3+U177*$AS$4+P177*$AS$5</x:f>
        <x:v>13058.529012870607</x:v>
      </x:c>
      <x:c r="AS177" s="59" t="n">
        <x:f>1+AH177*$AS$6+AI177*$AS$7+(AJ177-1)*$AS$8+($H$10*H177+$I$10*I177+$J$10*J177+$K$10*K177+$L$10*L177)*$AU$3*$AS$9+($H$10*H177+$I$10*I177+$J$10*J177+$K$10*K177+$L$10*L177)*$AU$4*$AS$10</x:f>
        <x:v>14.778892284436118</x:v>
      </x:c>
      <x:c r="AT177" s="60" t="n">
        <x:f>ROUND(AR177*AS177,0)</x:f>
        <x:v>192991</x:v>
      </x:c>
      <x:c r="AU177" s="60" t="n">
        <x:f>ROUND(AT177*F177,0)</x:f>
        <x:v>964955</x:v>
      </x:c>
      <x:c r="AV177" s="60" t="n">
        <x:f>MIN(MATCH(B177,'主线调参'!$M$11:$M$62,1),ROWS('主线调参'!$M$11:$M$62)-1)</x:f>
        <x:v>37</x:v>
      </x:c>
      <x:c r="AW177" s="62" t="n">
        <x:f>(B177-INDEX('主线调参'!$M$11:$M$62,AV177))/(INDEX('主线调参'!$M$11:$M$62,AV177+1)-INDEX('主线调参'!$M$11:$M$62,AV177))</x:f>
        <x:v>0.42857142857142855</x:v>
      </x:c>
      <x:c r="AX177" s="60" t="n">
        <x:f>IF(AU177=0,0,ROUND(AU177,2-INT(LOG10(ABS(AU177)))))</x:f>
        <x:v>965000</x:v>
      </x:c>
      <x:c r="AY177" s="62" t="n">
        <x:f>AU177/AU176-1</x:f>
        <x:v>0.007233631690195974</x:v>
      </x:c>
    </x:row>
    <x:row r="178" ht="25" customHeight="1">
      <x:c r="A178" s="40" t="str">
        <x:f>'调前玩家曲线'!A178</x:f>
      </x:c>
      <x:c r="B178" s="40" t="n">
        <x:f>'调前玩家曲线'!B178</x:f>
        <x:v>167</x:v>
      </x:c>
      <x:c r="C178" s="40" t="n">
        <x:f>'调前玩家曲线'!C178</x:f>
        <x:v>12</x:v>
      </x:c>
      <x:c r="D178" s="40" t="n">
        <x:f>'调前玩家曲线'!D178</x:f>
        <x:v>8</x:v>
      </x:c>
      <x:c r="E178" s="40" t="n">
        <x:f>'调前玩家曲线'!E178</x:f>
        <x:v>1</x:v>
      </x:c>
      <x:c r="F178" s="40" t="n">
        <x:f>'调前玩家曲线'!F178</x:f>
        <x:v>5</x:v>
      </x:c>
      <x:c r="G178" s="63" t="n">
        <x:f>IF(B178&lt;$G$8,0,(INDEX('主线调参'!$C$11:$C$62,$AV178)+(INDEX('主线调参'!$C$11:$C$62,$AV178+1)-INDEX('主线调参'!$C$11:$C$62,$AV178))*$AW178)*'参数说明'!$C$27)</x:f>
        <x:v>0.7497398232709496</x:v>
      </x:c>
      <x:c r="H178" s="63" t="n">
        <x:f>IF(B178&lt;$H$8,0,(INDEX('主线调参'!$D$11:$D$62,$AV178)+(INDEX('主线调参'!$D$11:$D$62,$AV178+1)-INDEX('主线调参'!$D$11:$D$62,$AV178))*$AW178)*'参数说明'!$D$27)</x:f>
        <x:v>0.5862395243862257</x:v>
      </x:c>
      <x:c r="I178" s="63" t="n">
        <x:f>IF(B178&lt;$I$8,0,(INDEX('主线调参'!$E$11:$E$62,$AV178)+(INDEX('主线调参'!$E$11:$E$62,$AV178+1)-INDEX('主线调参'!$E$11:$E$62,$AV178))*$AW178)*'参数说明'!$E$27)</x:f>
        <x:v>0.48561709663659536</x:v>
      </x:c>
      <x:c r="J178" s="63" t="n">
        <x:f>IF(B178&lt;$J$8,0,(INDEX('主线调参'!$F$11:$F$62,$AV178)+(INDEX('主线调参'!$F$11:$F$62,$AV178+1)-INDEX('主线调参'!$F$11:$F$62,$AV178))*$AW178)*'参数说明'!$F$27)</x:f>
        <x:v>0.4746413289226076</x:v>
      </x:c>
      <x:c r="K178" s="63" t="n">
        <x:f>IF(B178&lt;$K$8,0,(INDEX('主线调参'!$G$11:$G$62,$AV178)+(INDEX('主线调参'!$G$11:$G$62,$AV178+1)-INDEX('主线调参'!$G$11:$G$62,$AV178))*$AW178)*'参数说明'!$G$27)</x:f>
        <x:v>0.4167006437810512</x:v>
      </x:c>
      <x:c r="L178" s="63" t="n">
        <x:f>IF(B178&lt;$L$8,0,(INDEX('主线调参'!$H$11:$H$62,$AV178)+(INDEX('主线调参'!$H$11:$H$62,$AV178+1)-INDEX('主线调参'!$H$11:$H$62,$AV178))*$AW178)*'参数说明'!$H$27)</x:f>
        <x:v>0.5795964905739032</x:v>
      </x:c>
      <x:c r="M178" s="59" t="n">
        <x:f>E178*'模块规划'!$F$10+G178*'模块规划'!$F$11+H178*'模块规划'!$F$13</x:f>
        <x:v>4598.751151700558</x:v>
      </x:c>
      <x:c r="N178" s="59" t="n">
        <x:f>I178*'模块规划'!$F$15+J178*'模块规划'!$F$17+K178*'模块规划'!$F$16+L178*'模块规划'!$F$18</x:f>
        <x:v>14029.536377874661</x:v>
      </x:c>
      <x:c r="O178" s="59" t="n">
        <x:f>1+O$9*SUMPRODUCT($H$10:$L$10,H178:L178)/SUM($H$10:$L$10)</x:f>
        <x:v>2.8650856990512996</x:v>
      </x:c>
      <x:c r="P178" s="59" t="n">
        <x:f>M178*O178+N178</x:f>
        <x:v>27205.352536107624</x:v>
      </x:c>
      <x:c r="Q178" s="59" t="n">
        <x:f>P178/(P178+'_曲线基线'!$L$2)</x:f>
        <x:v>0.5312989988092296</x:v>
      </x:c>
      <x:c r="R178" s="59" t="n">
        <x:f>E178*'模块规划'!$E$10+G178*'模块规划'!$E$11+H178*'模块规划'!$E$13</x:f>
        <x:v>6898.126727550837</x:v>
      </x:c>
      <x:c r="S178" s="59" t="n">
        <x:f>I178*'模块规划'!$E$15+J178*'模块规划'!$E$17+K178*'模块规划'!$E$16+L178*'模块规划'!$E$18</x:f>
        <x:v>21044.304566811996</x:v>
      </x:c>
      <x:c r="T178" s="59" t="n">
        <x:f>1+T$9*SUMPRODUCT($H$10:$L$10,H178:L178)/SUM($H$10:$L$10)</x:f>
        <x:v>2.8650856990512996</x:v>
      </x:c>
      <x:c r="U178" s="59" t="n">
        <x:f>R178*T178+S178</x:f>
        <x:v>40808.02880416144</x:v>
      </x:c>
      <x:c r="V178" s="59" t="n">
        <x:f>V$8+(V$9-V$8)*H178</x:f>
        <x:v>0.8758718573158677</x:v>
      </x:c>
      <x:c r="W178" s="59" t="n">
        <x:f>IF(B178&lt;$H$8,0,W$8+(W$9-W$8)*H178)</x:f>
        <x:v>0.2344958097544903</x:v>
      </x:c>
      <x:c r="X178" s="59" t="n">
        <x:f>X$8+(X$9-X$8)*H178</x:f>
        <x:v>0.43621586920621214</x:v>
      </x:c>
      <x:c r="Y178" s="59" t="n">
        <x:f>Y$8+(Y$9-Y$8)*G178</x:f>
        <x:v>1</x:v>
      </x:c>
      <x:c r="Z178" s="59" t="n">
        <x:f>Z$8+(Z$9-Z$8)*H178</x:f>
        <x:v>1</x:v>
      </x:c>
      <x:c r="AA178" s="59" t="n">
        <x:f>AA$8+(AA$9-AA$8)*I178</x:f>
        <x:v>1</x:v>
      </x:c>
      <x:c r="AB178" s="59" t="n">
        <x:f>AB$8+(AB$9-AB$8)*J178</x:f>
        <x:v>1</x:v>
      </x:c>
      <x:c r="AC178" s="59" t="n">
        <x:f>AC$8+(AC$9-AC$8)*MAX(K178,L178)</x:f>
        <x:v>1</x:v>
      </x:c>
      <x:c r="AD178" s="59" t="n">
        <x:f>(V178*AE178+W178*AF178+X178*AG178)*PRODUCT(Y178:AC178)</x:f>
        <x:v>1.712439992734108</x:v>
      </x:c>
      <x:c r="AE178" s="59" t="n">
        <x:f>1+AE$9*($H$10*H178+$I$10*I178+$J$10*J178+$K$10*K178+$L$10*L178)</x:f>
        <x:v>1</x:v>
      </x:c>
      <x:c r="AF178" s="59" t="n">
        <x:f>1+AF$9*($H$10*H178+$I$10*I178+$J$10*J178+$K$10*K178+$L$10*L178)</x:f>
        <x:v>1.1646108025883335</x:v>
      </x:c>
      <x:c r="AG178" s="59" t="n">
        <x:f>1+AG$9*($H$10*H178+$I$10*I178+$J$10*J178+$K$10*K178+$L$10*L178)</x:f>
        <x:v>1.2917269223648822</x:v>
      </x:c>
      <x:c r="AH178" s="59" t="n">
        <x:f>MIN(1,'_曲线基线'!$L$3+AH$9*($H$10*H178+$I$10*I178+$J$10*J178+$K$10*K178+$L$10*L178))</x:f>
        <x:v>0.42448957588845826</x:v>
      </x:c>
      <x:c r="AI178" s="59" t="n">
        <x:f>'_曲线基线'!$L$4+AI$9*($H$10*H178+$I$10*I178+$J$10*J178+$K$10*K178+$L$10*L178)</x:f>
        <x:v>3.0432209614035624</x:v>
      </x:c>
      <x:c r="AJ178" s="59" t="n">
        <x:f>1+AJ$9*($H$10*H178+$I$10*I178+$J$10*J178+$K$10*K178+$L$10*L178)</x:f>
        <x:v>1.8559761734593332</x:v>
      </x:c>
      <x:c r="AK178" s="59" t="n">
        <x:f>(1+AH178*(AI178-1))*AJ178</x:f>
        <x:v>3.4657125628795753</x:v>
      </x:c>
      <x:c r="AL178" s="59" t="n">
        <x:f>U178*AD178*AK178*F178</x:f>
        <x:v>1210942.506113283</x:v>
      </x:c>
      <x:c r="AM178" s="59" t="n">
        <x:f>IF($B178&lt;AM$8,0,AM$3+(AM$4-AM$3)*(POWER(AM$5,$B178-AM$8)-1)/(POWER(AM$5,$C$5-AM$8)-1))</x:f>
        <x:v>40.65999692733838</x:v>
      </x:c>
      <x:c r="AN178" s="59" t="n">
        <x:f>(((E178*'模块规划'!$D$10+G178*'模块规划'!$D$11+H178*'模块规划'!$D$13)*(1+'模块规划'!$G$14*H178)+(I178*'模块规划'!$D$15+J178*'模块规划'!$D$17+K178*'模块规划'!$D$16+L178*'模块规划'!$D$18))*(1+'模块规划'!$J$17*J178))*F178/(1-Q178)</x:f>
        <x:v>1762677.8302867338</x:v>
      </x:c>
      <x:c r="AO178" s="59" t="n">
        <x:f>AL178*AM178</x:f>
        <x:v>49236918.577749535</x:v>
      </x:c>
      <x:c r="AP178" s="61" t="n">
        <x:f>IF(AO178="","",INDEX('_曲线基线'!$A$3:$A$502,MIN(ROWS('_曲线基线'!$A$3:$A$502),COUNTIF('_曲线基线'!$E$3:$E$502,"&lt;"&amp;AO178)+1)))</x:f>
        <x:v>240</x:v>
      </x:c>
      <x:c r="AQ178" s="61" t="n">
        <x:f>IF(B178&lt;=2,1,IF(B178&lt;=6,2,IF(B178&lt;=9,3,IF(B178&lt;=19,4,5))))</x:f>
        <x:v>5</x:v>
      </x:c>
      <x:c r="AR178" s="59" t="n">
        <x:f>AN178*(1-Q178)/F178*$AS$3+U178*$AS$4+P178*$AS$5</x:f>
        <x:v>13118.61894382529</x:v>
      </x:c>
      <x:c r="AS178" s="59" t="n">
        <x:f>1+AH178*$AS$6+AI178*$AS$7+(AJ178-1)*$AS$8+($H$10*H178+$I$10*I178+$J$10*J178+$K$10*K178+$L$10*L178)*$AU$3*$AS$9+($H$10*H178+$I$10*I178+$J$10*J178+$K$10*K178+$L$10*L178)*$AU$4*$AS$10</x:f>
        <x:v>14.817262493677358</x:v>
      </x:c>
      <x:c r="AT178" s="60" t="n">
        <x:f>ROUND(AR178*AS178,0)</x:f>
        <x:v>194382</x:v>
      </x:c>
      <x:c r="AU178" s="60" t="n">
        <x:f>ROUND(AT178*F178,0)</x:f>
        <x:v>971910</x:v>
      </x:c>
      <x:c r="AV178" s="60" t="n">
        <x:f>MIN(MATCH(B178,'主线调参'!$M$11:$M$62,1),ROWS('主线调参'!$M$11:$M$62)-1)</x:f>
        <x:v>37</x:v>
      </x:c>
      <x:c r="AW178" s="62" t="n">
        <x:f>(B178-INDEX('主线调参'!$M$11:$M$62,AV178))/(INDEX('主线调参'!$M$11:$M$62,AV178+1)-INDEX('主线调参'!$M$11:$M$62,AV178))</x:f>
        <x:v>0.5</x:v>
      </x:c>
      <x:c r="AX178" s="60" t="n">
        <x:f>IF(AU178=0,0,ROUND(AU178,2-INT(LOG10(ABS(AU178)))))</x:f>
        <x:v>972000</x:v>
      </x:c>
      <x:c r="AY178" s="62" t="n">
        <x:f>AU178/AU177-1</x:f>
        <x:v>0.007207589991243157</x:v>
      </x:c>
    </x:row>
    <x:row r="179" ht="25" customHeight="1">
      <x:c r="A179" s="40" t="str">
        <x:f>'调前玩家曲线'!A179</x:f>
      </x:c>
      <x:c r="B179" s="40" t="n">
        <x:f>'调前玩家曲线'!B179</x:f>
        <x:v>168</x:v>
      </x:c>
      <x:c r="C179" s="40" t="n">
        <x:f>'调前玩家曲线'!C179</x:f>
        <x:v>12</x:v>
      </x:c>
      <x:c r="D179" s="40" t="n">
        <x:f>'调前玩家曲线'!D179</x:f>
        <x:v>9</x:v>
      </x:c>
      <x:c r="E179" s="40" t="n">
        <x:f>'调前玩家曲线'!E179</x:f>
        <x:v>1</x:v>
      </x:c>
      <x:c r="F179" s="40" t="n">
        <x:f>'调前玩家曲线'!F179</x:f>
        <x:v>5</x:v>
      </x:c>
      <x:c r="G179" s="63" t="n">
        <x:f>IF(B179&lt;$G$8,0,(INDEX('主线调参'!$C$11:$C$62,$AV179)+(INDEX('主线调参'!$C$11:$C$62,$AV179+1)-INDEX('主线调参'!$C$11:$C$62,$AV179))*$AW179)*'参数说明'!$C$27)</x:f>
        <x:v>0.7514863459006321</x:v>
      </x:c>
      <x:c r="H179" s="63" t="n">
        <x:f>IF(B179&lt;$H$8,0,(INDEX('主线调参'!$D$11:$D$62,$AV179)+(INDEX('主线调参'!$D$11:$D$62,$AV179+1)-INDEX('主线调参'!$D$11:$D$62,$AV179))*$AW179)*'参数说明'!$D$27)</x:f>
        <x:v>0.5875437091313928</x:v>
      </x:c>
      <x:c r="I179" s="63" t="n">
        <x:f>IF(B179&lt;$I$8,0,(INDEX('主线调参'!$E$11:$E$62,$AV179)+(INDEX('主线调参'!$E$11:$E$62,$AV179+1)-INDEX('主线调参'!$E$11:$E$62,$AV179))*$AW179)*'参数说明'!$E$27)</x:f>
        <x:v>0.487826496513536</x:v>
      </x:c>
      <x:c r="J179" s="63" t="n">
        <x:f>IF(B179&lt;$J$8,0,(INDEX('主线调参'!$F$11:$F$62,$AV179)+(INDEX('主线调参'!$F$11:$F$62,$AV179+1)-INDEX('主线调参'!$F$11:$F$62,$AV179))*$AW179)*'参数说明'!$F$27)</x:f>
        <x:v>0.4761332300940785</x:v>
      </x:c>
      <x:c r="K179" s="63" t="n">
        <x:f>IF(B179&lt;$K$8,0,(INDEX('主线调参'!$G$11:$G$62,$AV179)+(INDEX('主线调参'!$G$11:$G$62,$AV179+1)-INDEX('主线调参'!$G$11:$G$62,$AV179))*$AW179)*'参数说明'!$G$27)</x:f>
        <x:v>0.4203405105882361</x:v>
      </x:c>
      <x:c r="L179" s="63" t="n">
        <x:f>IF(B179&lt;$L$8,0,(INDEX('主线调参'!$H$11:$H$62,$AV179)+(INDEX('主线调参'!$H$11:$H$62,$AV179+1)-INDEX('主线调参'!$H$11:$H$62,$AV179))*$AW179)*'参数说明'!$H$27)</x:f>
        <x:v>0.5810168838167841</x:v>
      </x:c>
      <x:c r="M179" s="59" t="n">
        <x:f>E179*'模块规划'!$F$10+G179*'模块规划'!$F$11+H179*'模块规划'!$F$13</x:f>
        <x:v>4607.134460323034</x:v>
      </x:c>
      <x:c r="N179" s="59" t="n">
        <x:f>I179*'模块规划'!$F$15+J179*'模块规划'!$F$17+K179*'模块规划'!$F$16+L179*'模块规划'!$F$18</x:f>
        <x:v>14091.071755662411</x:v>
      </x:c>
      <x:c r="O179" s="59" t="n">
        <x:f>1+O$9*SUMPRODUCT($H$10:$L$10,H179:L179)/SUM($H$10:$L$10)</x:f>
        <x:v>2.8723616281565185</x:v>
      </x:c>
      <x:c r="P179" s="59" t="n">
        <x:f>M179*O179+N179</x:f>
        <x:v>27324.427995251885</x:v>
      </x:c>
      <x:c r="Q179" s="59" t="n">
        <x:f>P179/(P179+'_曲线基线'!$L$2)</x:f>
        <x:v>0.5323864105758708</x:v>
      </x:c>
      <x:c r="R179" s="59" t="n">
        <x:f>E179*'模块规划'!$E$10+G179*'模块规划'!$E$11+H179*'模块规划'!$E$13</x:f>
        <x:v>6910.701690484551</x:v>
      </x:c>
      <x:c r="S179" s="59" t="n">
        <x:f>I179*'模块规划'!$E$15+J179*'模块规划'!$E$17+K179*'模块规划'!$E$16+L179*'模块规划'!$E$18</x:f>
        <x:v>21136.60763349361</x:v>
      </x:c>
      <x:c r="T179" s="59" t="n">
        <x:f>1+T$9*SUMPRODUCT($H$10:$L$10,H179:L179)/SUM($H$10:$L$10)</x:f>
        <x:v>2.8723616281565185</x:v>
      </x:c>
      <x:c r="U179" s="59" t="n">
        <x:f>R179*T179+S179</x:f>
        <x:v>40986.64199287782</x:v>
      </x:c>
      <x:c r="V179" s="59" t="n">
        <x:f>V$8+(V$9-V$8)*H179</x:f>
        <x:v>0.8762631127394178</x:v>
      </x:c>
      <x:c r="W179" s="59" t="n">
        <x:f>IF(B179&lt;$H$8,0,W$8+(W$9-W$8)*H179)</x:f>
        <x:v>0.23501748365255712</x:v>
      </x:c>
      <x:c r="X179" s="59" t="n">
        <x:f>X$8+(X$9-X$8)*H179</x:f>
        <x:v>0.43657452001113306</x:v>
      </x:c>
      <x:c r="Y179" s="59" t="n">
        <x:f>Y$8+(Y$9-Y$8)*G179</x:f>
        <x:v>1</x:v>
      </x:c>
      <x:c r="Z179" s="59" t="n">
        <x:f>Z$8+(Z$9-Z$8)*H179</x:f>
        <x:v>1</x:v>
      </x:c>
      <x:c r="AA179" s="59" t="n">
        <x:f>AA$8+(AA$9-AA$8)*I179</x:f>
        <x:v>1</x:v>
      </x:c>
      <x:c r="AB179" s="59" t="n">
        <x:f>AB$8+(AB$9-AB$8)*J179</x:f>
        <x:v>1</x:v>
      </x:c>
      <x:c r="AC179" s="59" t="n">
        <x:f>AC$8+(AC$9-AC$8)*MAX(K179,L179)</x:f>
        <x:v>1</x:v>
      </x:c>
      <x:c r="AD179" s="59" t="n">
        <x:f>(V179*AE179+W179*AF179+X179*AG179)*PRODUCT(Y179:AC179)</x:f>
        <x:v>1.7145498437555449</x:v>
      </x:c>
      <x:c r="AE179" s="59" t="n">
        <x:f>1+AE$9*($H$10*H179+$I$10*I179+$J$10*J179+$K$10*K179+$L$10*L179)</x:f>
        <x:v>1</x:v>
      </x:c>
      <x:c r="AF179" s="59" t="n">
        <x:f>1+AF$9*($H$10*H179+$I$10*I179+$J$10*J179+$K$10*K179+$L$10*L179)</x:f>
        <x:v>1.1652529696105756</x:v>
      </x:c>
      <x:c r="AG179" s="59" t="n">
        <x:f>1+AG$9*($H$10*H179+$I$10*I179+$J$10*J179+$K$10*K179+$L$10*L179)</x:f>
        <x:v>1.2928649850320777</x:v>
      </x:c>
      <x:c r="AH179" s="59" t="n">
        <x:f>MIN(1,'_曲线基线'!$L$3+AH$9*($H$10*H179+$I$10*I179+$J$10*J179+$K$10*K179+$L$10*L179))</x:f>
        <x:v>0.42595050586405875</x:v>
      </x:c>
      <x:c r="AI179" s="59" t="n">
        <x:f>'_曲线基线'!$L$4+AI$9*($H$10*H179+$I$10*I179+$J$10*J179+$K$10*K179+$L$10*L179)</x:f>
        <x:v>3.047290694907021</x:v>
      </x:c>
      <x:c r="AJ179" s="59" t="n">
        <x:f>1+AJ$9*($H$10*H179+$I$10*I179+$J$10*J179+$K$10*K179+$L$10*L179)</x:f>
        <x:v>1.8593154419749915</x:v>
      </x:c>
      <x:c r="AK179" s="59" t="n">
        <x:f>(1+AH179*(AI179-1))*AJ179</x:f>
        <x:v>3.4807212602018125</x:v>
      </x:c>
      <x:c r="AL179" s="59" t="n">
        <x:f>U179*AD179*AK179*F179</x:f>
        <x:v>1223014.7747752804</x:v>
      </x:c>
      <x:c r="AM179" s="59" t="n">
        <x:f>IF($B179&lt;AM$8,0,AM$3+(AM$4-AM$3)*(POWER(AM$5,$B179-AM$8)-1)/(POWER(AM$5,$C$5-AM$8)-1))</x:f>
        <x:v>40.73002153653364</x:v>
      </x:c>
      <x:c r="AN179" s="59" t="n">
        <x:f>(((E179*'模块规划'!$D$10+G179*'模块规划'!$D$11+H179*'模块规划'!$D$13)*(1+'模块规划'!$G$14*H179)+(I179*'模块规划'!$D$15+J179*'模块规划'!$D$17+K179*'模块规划'!$D$16+L179*'模块规划'!$D$18))*(1+'模块规划'!$J$17*J179))*F179/(1-Q179)</x:f>
        <x:v>1775491.7903123945</x:v>
      </x:c>
      <x:c r="AO179" s="59" t="n">
        <x:f>AL179*AM179</x:f>
        <x:v>49813418.11609601</x:v>
      </x:c>
      <x:c r="AP179" s="61" t="n">
        <x:f>IF(AO179="","",INDEX('_曲线基线'!$A$3:$A$502,MIN(ROWS('_曲线基线'!$A$3:$A$502),COUNTIF('_曲线基线'!$E$3:$E$502,"&lt;"&amp;AO179)+1)))</x:f>
        <x:v>241</x:v>
      </x:c>
      <x:c r="AQ179" s="61" t="n">
        <x:f>IF(B179&lt;=2,1,IF(B179&lt;=6,2,IF(B179&lt;=9,3,IF(B179&lt;=19,4,5))))</x:f>
        <x:v>5</x:v>
      </x:c>
      <x:c r="AR179" s="59" t="n">
        <x:f>AN179*(1-Q179)/F179*$AS$3+U179*$AS$4+P179*$AS$5</x:f>
        <x:v>13178.792932941877</x:v>
      </x:c>
      <x:c r="AS179" s="59" t="n">
        <x:f>1+AH179*$AS$6+AI179*$AS$7+(AJ179-1)*$AS$8+($H$10*H179+$I$10*I179+$J$10*J179+$K$10*K179+$L$10*L179)*$AU$3*$AS$9+($H$10*H179+$I$10*I179+$J$10*J179+$K$10*K179+$L$10*L179)*$AU$4*$AS$10</x:f>
        <x:v>14.855632702918593</x:v>
      </x:c>
      <x:c r="AT179" s="60" t="n">
        <x:f>ROUND(AR179*AS179,0)</x:f>
        <x:v>195779</x:v>
      </x:c>
      <x:c r="AU179" s="60" t="n">
        <x:f>ROUND(AT179*F179,0)</x:f>
        <x:v>978895</x:v>
      </x:c>
      <x:c r="AV179" s="60" t="n">
        <x:f>MIN(MATCH(B179,'主线调参'!$M$11:$M$62,1),ROWS('主线调参'!$M$11:$M$62)-1)</x:f>
        <x:v>37</x:v>
      </x:c>
      <x:c r="AW179" s="62" t="n">
        <x:f>(B179-INDEX('主线调参'!$M$11:$M$62,AV179))/(INDEX('主线调参'!$M$11:$M$62,AV179+1)-INDEX('主线调参'!$M$11:$M$62,AV179))</x:f>
        <x:v>0.5714285714285714</x:v>
      </x:c>
      <x:c r="AX179" s="60" t="n">
        <x:f>IF(AU179=0,0,ROUND(AU179,2-INT(LOG10(ABS(AU179)))))</x:f>
        <x:v>979000</x:v>
      </x:c>
      <x:c r="AY179" s="62" t="n">
        <x:f>AU179/AU178-1</x:f>
        <x:v>0.007186879443569882</x:v>
      </x:c>
    </x:row>
    <x:row r="180" ht="25" customHeight="1">
      <x:c r="A180" s="40" t="str">
        <x:f>'调前玩家曲线'!A180</x:f>
      </x:c>
      <x:c r="B180" s="40" t="n">
        <x:f>'调前玩家曲线'!B180</x:f>
        <x:v>169</x:v>
      </x:c>
      <x:c r="C180" s="40" t="n">
        <x:f>'调前玩家曲线'!C180</x:f>
        <x:v>12</x:v>
      </x:c>
      <x:c r="D180" s="40" t="n">
        <x:f>'调前玩家曲线'!D180</x:f>
        <x:v>10</x:v>
      </x:c>
      <x:c r="E180" s="40" t="n">
        <x:f>'调前玩家曲线'!E180</x:f>
        <x:v>1</x:v>
      </x:c>
      <x:c r="F180" s="40" t="n">
        <x:f>'调前玩家曲线'!F180</x:f>
        <x:v>5</x:v>
      </x:c>
      <x:c r="G180" s="63" t="n">
        <x:f>IF(B180&lt;$G$8,0,(INDEX('主线调参'!$C$11:$C$62,$AV180)+(INDEX('主线调参'!$C$11:$C$62,$AV180+1)-INDEX('主线调参'!$C$11:$C$62,$AV180))*$AW180)*'参数说明'!$C$27)</x:f>
        <x:v>0.7532328685303146</x:v>
      </x:c>
      <x:c r="H180" s="63" t="n">
        <x:f>IF(B180&lt;$H$8,0,(INDEX('主线调参'!$D$11:$D$62,$AV180)+(INDEX('主线调参'!$D$11:$D$62,$AV180+1)-INDEX('主线调参'!$D$11:$D$62,$AV180))*$AW180)*'参数说明'!$D$27)</x:f>
        <x:v>0.5888478938765598</x:v>
      </x:c>
      <x:c r="I180" s="63" t="n">
        <x:f>IF(B180&lt;$I$8,0,(INDEX('主线调参'!$E$11:$E$62,$AV180)+(INDEX('主线调参'!$E$11:$E$62,$AV180+1)-INDEX('主线调参'!$E$11:$E$62,$AV180))*$AW180)*'参数说明'!$E$27)</x:f>
        <x:v>0.4900358963904766</x:v>
      </x:c>
      <x:c r="J180" s="63" t="n">
        <x:f>IF(B180&lt;$J$8,0,(INDEX('主线调参'!$F$11:$F$62,$AV180)+(INDEX('主线调参'!$F$11:$F$62,$AV180+1)-INDEX('主线调参'!$F$11:$F$62,$AV180))*$AW180)*'参数说明'!$F$27)</x:f>
        <x:v>0.47762513126554945</x:v>
      </x:c>
      <x:c r="K180" s="63" t="n">
        <x:f>IF(B180&lt;$K$8,0,(INDEX('主线调参'!$G$11:$G$62,$AV180)+(INDEX('主线调参'!$G$11:$G$62,$AV180+1)-INDEX('主线调参'!$G$11:$G$62,$AV180))*$AW180)*'参数说明'!$G$27)</x:f>
        <x:v>0.42398037739542116</x:v>
      </x:c>
      <x:c r="L180" s="63" t="n">
        <x:f>IF(B180&lt;$L$8,0,(INDEX('主线调参'!$H$11:$H$62,$AV180)+(INDEX('主线调参'!$H$11:$H$62,$AV180+1)-INDEX('主线调参'!$H$11:$H$62,$AV180))*$AW180)*'参数说明'!$H$27)</x:f>
        <x:v>0.5824372770596651</x:v>
      </x:c>
      <x:c r="M180" s="59" t="n">
        <x:f>E180*'模块规划'!$F$10+G180*'模块规划'!$F$11+H180*'模块规划'!$F$13</x:f>
        <x:v>4615.51776894551</x:v>
      </x:c>
      <x:c r="N180" s="59" t="n">
        <x:f>I180*'模块规划'!$F$15+J180*'模块规划'!$F$17+K180*'模块规划'!$F$16+L180*'模块规划'!$F$18</x:f>
        <x:v>14152.60713345016</x:v>
      </x:c>
      <x:c r="O180" s="59" t="n">
        <x:f>1+O$9*SUMPRODUCT($H$10:$L$10,H180:L180)/SUM($H$10:$L$10)</x:f>
        <x:v>2.879637557261738</x:v>
      </x:c>
      <x:c r="P180" s="59" t="n">
        <x:f>M180*O180+N180</x:f>
        <x:v>27443.625447114555</x:v>
      </x:c>
      <x:c r="Q180" s="59" t="n">
        <x:f>P180/(P180+'_曲线基线'!$L$2)</x:f>
        <x:v>0.5334698946388868</x:v>
      </x:c>
      <x:c r="R180" s="59" t="n">
        <x:f>E180*'模块规划'!$E$10+G180*'模块规划'!$E$11+H180*'模块规划'!$E$13</x:f>
        <x:v>6923.276653418265</x:v>
      </x:c>
      <x:c r="S180" s="59" t="n">
        <x:f>I180*'模块规划'!$E$15+J180*'模块规划'!$E$17+K180*'模块规划'!$E$16+L180*'模块规划'!$E$18</x:f>
        <x:v>21228.910700175238</x:v>
      </x:c>
      <x:c r="T180" s="59" t="n">
        <x:f>1+T$9*SUMPRODUCT($H$10:$L$10,H180:L180)/SUM($H$10:$L$10)</x:f>
        <x:v>2.879637557261738</x:v>
      </x:c>
      <x:c r="U180" s="59" t="n">
        <x:f>R180*T180+S180</x:f>
        <x:v>41165.43817067183</x:v>
      </x:c>
      <x:c r="V180" s="59" t="n">
        <x:f>V$8+(V$9-V$8)*H180</x:f>
        <x:v>0.8766543681629679</x:v>
      </x:c>
      <x:c r="W180" s="59" t="n">
        <x:f>IF(B180&lt;$H$8,0,W$8+(W$9-W$8)*H180)</x:f>
        <x:v>0.23553915755062393</x:v>
      </x:c>
      <x:c r="X180" s="59" t="n">
        <x:f>X$8+(X$9-X$8)*H180</x:f>
        <x:v>0.436933170816054</x:v>
      </x:c>
      <x:c r="Y180" s="59" t="n">
        <x:f>Y$8+(Y$9-Y$8)*G180</x:f>
        <x:v>1</x:v>
      </x:c>
      <x:c r="Z180" s="59" t="n">
        <x:f>Z$8+(Z$9-Z$8)*H180</x:f>
        <x:v>1</x:v>
      </x:c>
      <x:c r="AA180" s="59" t="n">
        <x:f>AA$8+(AA$9-AA$8)*I180</x:f>
        <x:v>1</x:v>
      </x:c>
      <x:c r="AB180" s="59" t="n">
        <x:f>AB$8+(AB$9-AB$8)*J180</x:f>
        <x:v>1</x:v>
      </x:c>
      <x:c r="AC180" s="59" t="n">
        <x:f>AC$8+(AC$9-AC$8)*MAX(K180,L180)</x:f>
        <x:v>1</x:v>
      </x:c>
      <x:c r="AD180" s="59" t="n">
        <x:f>(V180*AE180+W180*AF180+X180*AG180)*PRODUCT(Y180:AC180)</x:f>
        <x:v>1.7166611811147123</x:v>
      </x:c>
      <x:c r="AE180" s="59" t="n">
        <x:f>1+AE$9*($H$10*H180+$I$10*I180+$J$10*J180+$K$10*K180+$L$10*L180)</x:f>
        <x:v>1</x:v>
      </x:c>
      <x:c r="AF180" s="59" t="n">
        <x:f>1+AF$9*($H$10*H180+$I$10*I180+$J$10*J180+$K$10*K180+$L$10*L180)</x:f>
        <x:v>1.1658951366328174</x:v>
      </x:c>
      <x:c r="AG180" s="59" t="n">
        <x:f>1+AG$9*($H$10*H180+$I$10*I180+$J$10*J180+$K$10*K180+$L$10*L180)</x:f>
        <x:v>1.2940030476992732</x:v>
      </x:c>
      <x:c r="AH180" s="59" t="n">
        <x:f>MIN(1,'_曲线基线'!$L$3+AH$9*($H$10*H180+$I$10*I180+$J$10*J180+$K$10*K180+$L$10*L180))</x:f>
        <x:v>0.42741143583965935</x:v>
      </x:c>
      <x:c r="AI180" s="59" t="n">
        <x:f>'_曲线基线'!$L$4+AI$9*($H$10*H180+$I$10*I180+$J$10*J180+$K$10*K180+$L$10*L180)</x:f>
        <x:v>3.0513604284104794</x:v>
      </x:c>
      <x:c r="AJ180" s="59" t="n">
        <x:f>1+AJ$9*($H$10*H180+$I$10*I180+$J$10*J180+$K$10*K180+$L$10*L180)</x:f>
        <x:v>1.86265471049065</x:v>
      </x:c>
      <x:c r="AK180" s="59" t="n">
        <x:f>(1+AH180*(AI180-1))*AJ180</x:f>
        <x:v>3.495783619436638</x:v>
      </x:c>
      <x:c r="AL180" s="59" t="n">
        <x:f>U180*AD180*AK180*F180</x:f>
        <x:v>1235184.6228062022</x:v>
      </x:c>
      <x:c r="AM180" s="59" t="n">
        <x:f>IF($B180&lt;AM$8,0,AM$3+(AM$4-AM$3)*(POWER(AM$5,$B180-AM$8)-1)/(POWER(AM$5,$C$5-AM$8)-1))</x:f>
        <x:v>40.800746391820844</x:v>
      </x:c>
      <x:c r="AN180" s="59" t="n">
        <x:f>(((E180*'模块规划'!$D$10+G180*'模块规划'!$D$11+H180*'模块规划'!$D$13)*(1+'模块规划'!$G$14*H180)+(I180*'模块规划'!$D$15+J180*'模块规划'!$D$17+K180*'模块规划'!$D$16+L180*'模块规划'!$D$18))*(1+'模块规划'!$J$17*J180))*F180/(1-Q180)</x:f>
        <x:v>1788367.3902337642</x:v>
      </x:c>
      <x:c r="AO180" s="59" t="n">
        <x:f>AL180*AM180</x:f>
        <x:v>50396454.54219274</x:v>
      </x:c>
      <x:c r="AP180" s="61" t="n">
        <x:f>IF(AO180="","",INDEX('_曲线基线'!$A$3:$A$502,MIN(ROWS('_曲线基线'!$A$3:$A$502),COUNTIF('_曲线基线'!$E$3:$E$502,"&lt;"&amp;AO180)+1)))</x:f>
        <x:v>242</x:v>
      </x:c>
      <x:c r="AQ180" s="61" t="n">
        <x:f>IF(B180&lt;=2,1,IF(B180&lt;=6,2,IF(B180&lt;=9,3,IF(B180&lt;=19,4,5))))</x:f>
        <x:v>5</x:v>
      </x:c>
      <x:c r="AR180" s="59" t="n">
        <x:f>AN180*(1-Q180)/F180*$AS$3+U180*$AS$4+P180*$AS$5</x:f>
        <x:v>13239.050996075188</x:v>
      </x:c>
      <x:c r="AS180" s="59" t="n">
        <x:f>1+AH180*$AS$6+AI180*$AS$7+(AJ180-1)*$AS$8+($H$10*H180+$I$10*I180+$J$10*J180+$K$10*K180+$L$10*L180)*$AU$3*$AS$9+($H$10*H180+$I$10*I180+$J$10*J180+$K$10*K180+$L$10*L180)*$AU$4*$AS$10</x:f>
        <x:v>14.89400291215983</x:v>
      </x:c>
      <x:c r="AT180" s="60" t="n">
        <x:f>ROUND(AR180*AS180,0)</x:f>
        <x:v>197182</x:v>
      </x:c>
      <x:c r="AU180" s="60" t="n">
        <x:f>ROUND(AT180*F180,0)</x:f>
        <x:v>985910</x:v>
      </x:c>
      <x:c r="AV180" s="60" t="n">
        <x:f>MIN(MATCH(B180,'主线调参'!$M$11:$M$62,1),ROWS('主线调参'!$M$11:$M$62)-1)</x:f>
        <x:v>37</x:v>
      </x:c>
      <x:c r="AW180" s="62" t="n">
        <x:f>(B180-INDEX('主线调参'!$M$11:$M$62,AV180))/(INDEX('主线调参'!$M$11:$M$62,AV180+1)-INDEX('主线调参'!$M$11:$M$62,AV180))</x:f>
        <x:v>0.6428571428571429</x:v>
      </x:c>
      <x:c r="AX180" s="60" t="n">
        <x:f>IF(AU180=0,0,ROUND(AU180,2-INT(LOG10(ABS(AU180)))))</x:f>
        <x:v>986000</x:v>
      </x:c>
      <x:c r="AY180" s="62" t="n">
        <x:f>AU180/AU179-1</x:f>
        <x:v>0.0071662435705566185</x:v>
      </x:c>
    </x:row>
    <x:row r="181" ht="25" customHeight="1">
      <x:c r="A181" s="40" t="str">
        <x:f>'调前玩家曲线'!A181</x:f>
      </x:c>
      <x:c r="B181" s="40" t="n">
        <x:f>'调前玩家曲线'!B181</x:f>
        <x:v>170</x:v>
      </x:c>
      <x:c r="C181" s="40" t="n">
        <x:f>'调前玩家曲线'!C181</x:f>
        <x:v>12</x:v>
      </x:c>
      <x:c r="D181" s="40" t="n">
        <x:f>'调前玩家曲线'!D181</x:f>
        <x:v>11</x:v>
      </x:c>
      <x:c r="E181" s="40" t="n">
        <x:f>'调前玩家曲线'!E181</x:f>
        <x:v>1</x:v>
      </x:c>
      <x:c r="F181" s="40" t="n">
        <x:f>'调前玩家曲线'!F181</x:f>
        <x:v>5</x:v>
      </x:c>
      <x:c r="G181" s="63" t="n">
        <x:f>IF(B181&lt;$G$8,0,(INDEX('主线调参'!$C$11:$C$62,$AV181)+(INDEX('主线调参'!$C$11:$C$62,$AV181+1)-INDEX('主线调参'!$C$11:$C$62,$AV181))*$AW181)*'参数说明'!$C$27)</x:f>
        <x:v>0.7549793911599972</x:v>
      </x:c>
      <x:c r="H181" s="63" t="n">
        <x:f>IF(B181&lt;$H$8,0,(INDEX('主线调参'!$D$11:$D$62,$AV181)+(INDEX('主线调参'!$D$11:$D$62,$AV181+1)-INDEX('主线调参'!$D$11:$D$62,$AV181))*$AW181)*'参数说明'!$D$27)</x:f>
        <x:v>0.5901520786217269</x:v>
      </x:c>
      <x:c r="I181" s="63" t="n">
        <x:f>IF(B181&lt;$I$8,0,(INDEX('主线调参'!$E$11:$E$62,$AV181)+(INDEX('主线调参'!$E$11:$E$62,$AV181+1)-INDEX('主线调参'!$E$11:$E$62,$AV181))*$AW181)*'参数说明'!$E$27)</x:f>
        <x:v>0.49224529626741736</x:v>
      </x:c>
      <x:c r="J181" s="63" t="n">
        <x:f>IF(B181&lt;$J$8,0,(INDEX('主线调参'!$F$11:$F$62,$AV181)+(INDEX('主线调参'!$F$11:$F$62,$AV181+1)-INDEX('主线调参'!$F$11:$F$62,$AV181))*$AW181)*'参数说明'!$F$27)</x:f>
        <x:v>0.4791170324370204</x:v>
      </x:c>
      <x:c r="K181" s="63" t="n">
        <x:f>IF(B181&lt;$K$8,0,(INDEX('主线调参'!$G$11:$G$62,$AV181)+(INDEX('主线调参'!$G$11:$G$62,$AV181+1)-INDEX('主线调参'!$G$11:$G$62,$AV181))*$AW181)*'参数说明'!$G$27)</x:f>
        <x:v>0.4276202442026061</x:v>
      </x:c>
      <x:c r="L181" s="63" t="n">
        <x:f>IF(B181&lt;$L$8,0,(INDEX('主线调参'!$H$11:$H$62,$AV181)+(INDEX('主线调参'!$H$11:$H$62,$AV181+1)-INDEX('主线调参'!$H$11:$H$62,$AV181))*$AW181)*'参数说明'!$H$27)</x:f>
        <x:v>0.5838576703025461</x:v>
      </x:c>
      <x:c r="M181" s="59" t="n">
        <x:f>E181*'模块规划'!$F$10+G181*'模块规划'!$F$11+H181*'模块规划'!$F$13</x:f>
        <x:v>4623.901077567987</x:v>
      </x:c>
      <x:c r="N181" s="59" t="n">
        <x:f>I181*'模块规划'!$F$15+J181*'模块规划'!$F$17+K181*'模块规划'!$F$16+L181*'模块规划'!$F$18</x:f>
        <x:v>14214.14251123791</x:v>
      </x:c>
      <x:c r="O181" s="59" t="n">
        <x:f>1+O$9*SUMPRODUCT($H$10:$L$10,H181:L181)/SUM($H$10:$L$10)</x:f>
        <x:v>2.8869134863669568</x:v>
      </x:c>
      <x:c r="P181" s="59" t="n">
        <x:f>M181*O181+N181</x:f>
        <x:v>27562.944891695635</x:v>
      </x:c>
      <x:c r="Q181" s="59" t="n">
        <x:f>P181/(P181+'_曲线基线'!$L$2)</x:f>
        <x:v>0.5345494705469146</x:v>
      </x:c>
      <x:c r="R181" s="59" t="n">
        <x:f>E181*'模块规划'!$E$10+G181*'模块规划'!$E$11+H181*'模块规划'!$E$13</x:f>
        <x:v>6935.85161635198</x:v>
      </x:c>
      <x:c r="S181" s="59" t="n">
        <x:f>I181*'模块规划'!$E$15+J181*'模块规划'!$E$17+K181*'模块规划'!$E$16+L181*'模块规划'!$E$18</x:f>
        <x:v>21321.213766856865</x:v>
      </x:c>
      <x:c r="T181" s="59" t="n">
        <x:f>1+T$9*SUMPRODUCT($H$10:$L$10,H181:L181)/SUM($H$10:$L$10)</x:f>
        <x:v>2.8869134863669568</x:v>
      </x:c>
      <x:c r="U181" s="59" t="n">
        <x:f>R181*T181+S181</x:f>
        <x:v>41344.41733754345</x:v>
      </x:c>
      <x:c r="V181" s="59" t="n">
        <x:f>V$8+(V$9-V$8)*H181</x:f>
        <x:v>0.877045623586518</x:v>
      </x:c>
      <x:c r="W181" s="59" t="n">
        <x:f>IF(B181&lt;$H$8,0,W$8+(W$9-W$8)*H181)</x:f>
        <x:v>0.23606083144869078</x:v>
      </x:c>
      <x:c r="X181" s="59" t="n">
        <x:f>X$8+(X$9-X$8)*H181</x:f>
        <x:v>0.4372918216209749</x:v>
      </x:c>
      <x:c r="Y181" s="59" t="n">
        <x:f>Y$8+(Y$9-Y$8)*G181</x:f>
        <x:v>1</x:v>
      </x:c>
      <x:c r="Z181" s="59" t="n">
        <x:f>Z$8+(Z$9-Z$8)*H181</x:f>
        <x:v>1</x:v>
      </x:c>
      <x:c r="AA181" s="59" t="n">
        <x:f>AA$8+(AA$9-AA$8)*I181</x:f>
        <x:v>1</x:v>
      </x:c>
      <x:c r="AB181" s="59" t="n">
        <x:f>AB$8+(AB$9-AB$8)*J181</x:f>
        <x:v>1</x:v>
      </x:c>
      <x:c r="AC181" s="59" t="n">
        <x:f>AC$8+(AC$9-AC$8)*MAX(K181,L181)</x:f>
        <x:v>1</x:v>
      </x:c>
      <x:c r="AD181" s="59" t="n">
        <x:f>(V181*AE181+W181*AF181+X181*AG181)*PRODUCT(Y181:AC181)</x:f>
        <x:v>1.7187740048116105</x:v>
      </x:c>
      <x:c r="AE181" s="59" t="n">
        <x:f>1+AE$9*($H$10*H181+$I$10*I181+$J$10*J181+$K$10*K181+$L$10*L181)</x:f>
        <x:v>1</x:v>
      </x:c>
      <x:c r="AF181" s="59" t="n">
        <x:f>1+AF$9*($H$10*H181+$I$10*I181+$J$10*J181+$K$10*K181+$L$10*L181)</x:f>
        <x:v>1.1665373036550595</x:v>
      </x:c>
      <x:c r="AG181" s="59" t="n">
        <x:f>1+AG$9*($H$10*H181+$I$10*I181+$J$10*J181+$K$10*K181+$L$10*L181)</x:f>
        <x:v>1.2951411103664687</x:v>
      </x:c>
      <x:c r="AH181" s="59" t="n">
        <x:f>MIN(1,'_曲线基线'!$L$3+AH$9*($H$10*H181+$I$10*I181+$J$10*J181+$K$10*K181+$L$10*L181))</x:f>
        <x:v>0.42887236581525995</x:v>
      </x:c>
      <x:c r="AI181" s="59" t="n">
        <x:f>'_曲线基线'!$L$4+AI$9*($H$10*H181+$I$10*I181+$J$10*J181+$K$10*K181+$L$10*L181)</x:f>
        <x:v>3.0554301619139386</x:v>
      </x:c>
      <x:c r="AJ181" s="59" t="n">
        <x:f>1+AJ$9*($H$10*H181+$I$10*I181+$J$10*J181+$K$10*K181+$L$10*L181)</x:f>
        <x:v>1.8659939790063085</x:v>
      </x:c>
      <x:c r="AK181" s="59" t="n">
        <x:f>(1+AH181*(AI181-1))*AJ181</x:f>
        <x:v>3.510899759707696</x:v>
      </x:c>
      <x:c r="AL181" s="59" t="n">
        <x:f>U181*AD181*AK181*F181</x:f>
        <x:v>1247452.6986716324</x:v>
      </x:c>
      <x:c r="AM181" s="59" t="n">
        <x:f>IF($B181&lt;AM$8,0,AM$3+(AM$4-AM$3)*(POWER(AM$5,$B181-AM$8)-1)/(POWER(AM$5,$C$5-AM$8)-1))</x:f>
        <x:v>40.87217849566092</x:v>
      </x:c>
      <x:c r="AN181" s="59" t="n">
        <x:f>(((E181*'模块规划'!$D$10+G181*'模块规划'!$D$11+H181*'模块规划'!$D$13)*(1+'模块规划'!$G$14*H181)+(I181*'模块规划'!$D$15+J181*'模块规划'!$D$17+K181*'模块规划'!$D$16+L181*'模块规划'!$D$18))*(1+'模块规划'!$J$17*J181))*F181/(1-Q181)</x:f>
        <x:v>1801304.8158889145</x:v>
      </x:c>
      <x:c r="AO181" s="59" t="n">
        <x:f>AL181*AM181</x:f>
        <x:v>50986109.365000874</x:v>
      </x:c>
      <x:c r="AP181" s="61" t="n">
        <x:f>IF(AO181="","",INDEX('_曲线基线'!$A$3:$A$502,MIN(ROWS('_曲线基线'!$A$3:$A$502),COUNTIF('_曲线基线'!$E$3:$E$502,"&lt;"&amp;AO181)+1)))</x:f>
        <x:v>243</x:v>
      </x:c>
      <x:c r="AQ181" s="61" t="n">
        <x:f>IF(B181&lt;=2,1,IF(B181&lt;=6,2,IF(B181&lt;=9,3,IF(B181&lt;=19,4,5))))</x:f>
        <x:v>5</x:v>
      </x:c>
      <x:c r="AR181" s="59" t="n">
        <x:f>AN181*(1-Q181)/F181*$AS$3+U181*$AS$4+P181*$AS$5</x:f>
        <x:v>13299.393149080017</x:v>
      </x:c>
      <x:c r="AS181" s="59" t="n">
        <x:f>1+AH181*$AS$6+AI181*$AS$7+(AJ181-1)*$AS$8+($H$10*H181+$I$10*I181+$J$10*J181+$K$10*K181+$L$10*L181)*$AU$3*$AS$9+($H$10*H181+$I$10*I181+$J$10*J181+$K$10*K181+$L$10*L181)*$AU$4*$AS$10</x:f>
        <x:v>14.932373121401072</x:v>
      </x:c>
      <x:c r="AT181" s="60" t="n">
        <x:f>ROUND(AR181*AS181,0)</x:f>
        <x:v>198592</x:v>
      </x:c>
      <x:c r="AU181" s="60" t="n">
        <x:f>ROUND(AT181*F181,0)</x:f>
        <x:v>992960</x:v>
      </x:c>
      <x:c r="AV181" s="60" t="n">
        <x:f>MIN(MATCH(B181,'主线调参'!$M$11:$M$62,1),ROWS('主线调参'!$M$11:$M$62)-1)</x:f>
        <x:v>37</x:v>
      </x:c>
      <x:c r="AW181" s="62" t="n">
        <x:f>(B181-INDEX('主线调参'!$M$11:$M$62,AV181))/(INDEX('主线调参'!$M$11:$M$62,AV181+1)-INDEX('主线调参'!$M$11:$M$62,AV181))</x:f>
        <x:v>0.7142857142857143</x:v>
      </x:c>
      <x:c r="AX181" s="60" t="n">
        <x:f>IF(AU181=0,0,ROUND(AU181,2-INT(LOG10(ABS(AU181)))))</x:f>
        <x:v>993000</x:v>
      </x:c>
      <x:c r="AY181" s="62" t="n">
        <x:f>AU181/AU180-1</x:f>
        <x:v>0.007150754125630154</x:v>
      </x:c>
    </x:row>
    <x:row r="182" ht="25" customHeight="1">
      <x:c r="A182" s="40" t="str">
        <x:f>'调前玩家曲线'!A182</x:f>
      </x:c>
      <x:c r="B182" s="40" t="n">
        <x:f>'调前玩家曲线'!B182</x:f>
        <x:v>171</x:v>
      </x:c>
      <x:c r="C182" s="40" t="n">
        <x:f>'调前玩家曲线'!C182</x:f>
        <x:v>12</x:v>
      </x:c>
      <x:c r="D182" s="40" t="n">
        <x:f>'调前玩家曲线'!D182</x:f>
        <x:v>12</x:v>
      </x:c>
      <x:c r="E182" s="40" t="n">
        <x:f>'调前玩家曲线'!E182</x:f>
        <x:v>1</x:v>
      </x:c>
      <x:c r="F182" s="40" t="n">
        <x:f>'调前玩家曲线'!F182</x:f>
        <x:v>5</x:v>
      </x:c>
      <x:c r="G182" s="63" t="n">
        <x:f>IF(B182&lt;$G$8,0,(INDEX('主线调参'!$C$11:$C$62,$AV182)+(INDEX('主线调参'!$C$11:$C$62,$AV182+1)-INDEX('主线调参'!$C$11:$C$62,$AV182))*$AW182)*'参数说明'!$C$27)</x:f>
        <x:v>0.7567259137896797</x:v>
      </x:c>
      <x:c r="H182" s="63" t="n">
        <x:f>IF(B182&lt;$H$8,0,(INDEX('主线调参'!$D$11:$D$62,$AV182)+(INDEX('主线调参'!$D$11:$D$62,$AV182+1)-INDEX('主线调参'!$D$11:$D$62,$AV182))*$AW182)*'参数说明'!$D$27)</x:f>
        <x:v>0.5914562633668939</x:v>
      </x:c>
      <x:c r="I182" s="63" t="n">
        <x:f>IF(B182&lt;$I$8,0,(INDEX('主线调参'!$E$11:$E$62,$AV182)+(INDEX('主线调参'!$E$11:$E$62,$AV182+1)-INDEX('主线调参'!$E$11:$E$62,$AV182))*$AW182)*'参数说明'!$E$27)</x:f>
        <x:v>0.494454696144358</x:v>
      </x:c>
      <x:c r="J182" s="63" t="n">
        <x:f>IF(B182&lt;$J$8,0,(INDEX('主线调参'!$F$11:$F$62,$AV182)+(INDEX('主线调参'!$F$11:$F$62,$AV182+1)-INDEX('主线调参'!$F$11:$F$62,$AV182))*$AW182)*'参数说明'!$F$27)</x:f>
        <x:v>0.4806089336084914</x:v>
      </x:c>
      <x:c r="K182" s="63" t="n">
        <x:f>IF(B182&lt;$K$8,0,(INDEX('主线调参'!$G$11:$G$62,$AV182)+(INDEX('主线调参'!$G$11:$G$62,$AV182+1)-INDEX('主线调参'!$G$11:$G$62,$AV182))*$AW182)*'参数说明'!$G$27)</x:f>
        <x:v>0.43126011100979106</x:v>
      </x:c>
      <x:c r="L182" s="63" t="n">
        <x:f>IF(B182&lt;$L$8,0,(INDEX('主线调参'!$H$11:$H$62,$AV182)+(INDEX('主线调参'!$H$11:$H$62,$AV182+1)-INDEX('主线调参'!$H$11:$H$62,$AV182))*$AW182)*'参数说明'!$H$27)</x:f>
        <x:v>0.5852780635454271</x:v>
      </x:c>
      <x:c r="M182" s="59" t="n">
        <x:f>E182*'模块规划'!$F$10+G182*'模块规划'!$F$11+H182*'模块规划'!$F$13</x:f>
        <x:v>4632.284386190462</x:v>
      </x:c>
      <x:c r="N182" s="59" t="n">
        <x:f>I182*'模块规划'!$F$15+J182*'模块规划'!$F$17+K182*'模块规划'!$F$16+L182*'模块规划'!$F$18</x:f>
        <x:v>14275.677889025661</x:v>
      </x:c>
      <x:c r="O182" s="59" t="n">
        <x:f>1+O$9*SUMPRODUCT($H$10:$L$10,H182:L182)/SUM($H$10:$L$10)</x:f>
        <x:v>2.8941894154721757</x:v>
      </x:c>
      <x:c r="P182" s="59" t="n">
        <x:f>M182*O182+N182</x:f>
        <x:v>27682.38632899512</x:v>
      </x:c>
      <x:c r="Q182" s="59" t="n">
        <x:f>P182/(P182+'_曲线基线'!$L$2)</x:f>
        <x:v>0.5356251577235048</x:v>
      </x:c>
      <x:c r="R182" s="59" t="n">
        <x:f>E182*'模块规划'!$E$10+G182*'模块规划'!$E$11+H182*'模块规划'!$E$13</x:f>
        <x:v>6948.426579285694</x:v>
      </x:c>
      <x:c r="S182" s="59" t="n">
        <x:f>I182*'模块规划'!$E$15+J182*'模块规划'!$E$17+K182*'模块规划'!$E$16+L182*'模块规划'!$E$18</x:f>
        <x:v>21413.516833538488</x:v>
      </x:c>
      <x:c r="T182" s="59" t="n">
        <x:f>1+T$9*SUMPRODUCT($H$10:$L$10,H182:L182)/SUM($H$10:$L$10)</x:f>
        <x:v>2.8941894154721757</x:v>
      </x:c>
      <x:c r="U182" s="59" t="n">
        <x:f>R182*T182+S182</x:f>
        <x:v>41523.57949349268</x:v>
      </x:c>
      <x:c r="V182" s="59" t="n">
        <x:f>V$8+(V$9-V$8)*H182</x:f>
        <x:v>0.8774368790100682</x:v>
      </x:c>
      <x:c r="W182" s="59" t="n">
        <x:f>IF(B182&lt;$H$8,0,W$8+(W$9-W$8)*H182)</x:f>
        <x:v>0.2365825053467576</x:v>
      </x:c>
      <x:c r="X182" s="59" t="n">
        <x:f>X$8+(X$9-X$8)*H182</x:f>
        <x:v>0.43765047242589583</x:v>
      </x:c>
      <x:c r="Y182" s="59" t="n">
        <x:f>Y$8+(Y$9-Y$8)*G182</x:f>
        <x:v>1</x:v>
      </x:c>
      <x:c r="Z182" s="59" t="n">
        <x:f>Z$8+(Z$9-Z$8)*H182</x:f>
        <x:v>1</x:v>
      </x:c>
      <x:c r="AA182" s="59" t="n">
        <x:f>AA$8+(AA$9-AA$8)*I182</x:f>
        <x:v>1</x:v>
      </x:c>
      <x:c r="AB182" s="59" t="n">
        <x:f>AB$8+(AB$9-AB$8)*J182</x:f>
        <x:v>1</x:v>
      </x:c>
      <x:c r="AC182" s="59" t="n">
        <x:f>AC$8+(AC$9-AC$8)*MAX(K182,L182)</x:f>
        <x:v>1</x:v>
      </x:c>
      <x:c r="AD182" s="59" t="n">
        <x:f>(V182*AE182+W182*AF182+X182*AG182)*PRODUCT(Y182:AC182)</x:f>
        <x:v>1.7208883148462393</x:v>
      </x:c>
      <x:c r="AE182" s="59" t="n">
        <x:f>1+AE$9*($H$10*H182+$I$10*I182+$J$10*J182+$K$10*K182+$L$10*L182)</x:f>
        <x:v>1</x:v>
      </x:c>
      <x:c r="AF182" s="59" t="n">
        <x:f>1+AF$9*($H$10*H182+$I$10*I182+$J$10*J182+$K$10*K182+$L$10*L182)</x:f>
        <x:v>1.1671794706773015</x:v>
      </x:c>
      <x:c r="AG182" s="59" t="n">
        <x:f>1+AG$9*($H$10*H182+$I$10*I182+$J$10*J182+$K$10*K182+$L$10*L182)</x:f>
        <x:v>1.2962791730336642</x:v>
      </x:c>
      <x:c r="AH182" s="59" t="n">
        <x:f>MIN(1,'_曲线基线'!$L$3+AH$9*($H$10*H182+$I$10*I182+$J$10*J182+$K$10*K182+$L$10*L182))</x:f>
        <x:v>0.43033329579086044</x:v>
      </x:c>
      <x:c r="AI182" s="59" t="n">
        <x:f>'_曲线基线'!$L$4+AI$9*($H$10*H182+$I$10*I182+$J$10*J182+$K$10*K182+$L$10*L182)</x:f>
        <x:v>3.059499895417397</x:v>
      </x:c>
      <x:c r="AJ182" s="59" t="n">
        <x:f>1+AJ$9*($H$10*H182+$I$10*I182+$J$10*J182+$K$10*K182+$L$10*L182)</x:f>
        <x:v>1.8693332475219668</x:v>
      </x:c>
      <x:c r="AK182" s="59" t="n">
        <x:f>(1+AH182*(AI182-1))*AJ182</x:f>
        <x:v>3.526069800138626</x:v>
      </x:c>
      <x:c r="AL182" s="59" t="n">
        <x:f>U182*AD182*AK182*F182</x:f>
        <x:v>1259819.6542198265</x:v>
      </x:c>
      <x:c r="AM182" s="59" t="n">
        <x:f>IF($B182&lt;AM$8,0,AM$3+(AM$4-AM$3)*(POWER(AM$5,$B182-AM$8)-1)/(POWER(AM$5,$C$5-AM$8)-1))</x:f>
        <x:v>40.9443249205394</x:v>
      </x:c>
      <x:c r="AN182" s="59" t="n">
        <x:f>(((E182*'模块规划'!$D$10+G182*'模块规划'!$D$11+H182*'模块规划'!$D$13)*(1+'模块规划'!$G$14*H182)+(I182*'模块规划'!$D$15+J182*'模块规划'!$D$17+K182*'模块规划'!$D$16+L182*'模块规划'!$D$18))*(1+'模块规划'!$J$17*J182))*F182/(1-Q182)</x:f>
        <x:v>1814304.2534098483</x:v>
      </x:c>
      <x:c r="AO182" s="59" t="n">
        <x:f>AL182*AM182</x:f>
        <x:v>51582465.26365817</x:v>
      </x:c>
      <x:c r="AP182" s="61" t="n">
        <x:f>IF(AO182="","",INDEX('_曲线基线'!$A$3:$A$502,MIN(ROWS('_曲线基线'!$A$3:$A$502),COUNTIF('_曲线基线'!$E$3:$E$502,"&lt;"&amp;AO182)+1)))</x:f>
        <x:v>244</x:v>
      </x:c>
      <x:c r="AQ182" s="61" t="n">
        <x:f>IF(B182&lt;=2,1,IF(B182&lt;=6,2,IF(B182&lt;=9,3,IF(B182&lt;=19,4,5))))</x:f>
        <x:v>5</x:v>
      </x:c>
      <x:c r="AR182" s="59" t="n">
        <x:f>AN182*(1-Q182)/F182*$AS$3+U182*$AS$4+P182*$AS$5</x:f>
        <x:v>13359.819407811174</x:v>
      </x:c>
      <x:c r="AS182" s="59" t="n">
        <x:f>1+AH182*$AS$6+AI182*$AS$7+(AJ182-1)*$AS$8+($H$10*H182+$I$10*I182+$J$10*J182+$K$10*K182+$L$10*L182)*$AU$3*$AS$9+($H$10*H182+$I$10*I182+$J$10*J182+$K$10*K182+$L$10*L182)*$AU$4*$AS$10</x:f>
        <x:v>14.97074333064231</x:v>
      </x:c>
      <x:c r="AT182" s="60" t="n">
        <x:f>ROUND(AR182*AS182,0)</x:f>
        <x:v>200006</x:v>
      </x:c>
      <x:c r="AU182" s="60" t="n">
        <x:f>ROUND(AT182*F182,0)</x:f>
        <x:v>1000030</x:v>
      </x:c>
      <x:c r="AV182" s="60" t="n">
        <x:f>MIN(MATCH(B182,'主线调参'!$M$11:$M$62,1),ROWS('主线调参'!$M$11:$M$62)-1)</x:f>
        <x:v>37</x:v>
      </x:c>
      <x:c r="AW182" s="62" t="n">
        <x:f>(B182-INDEX('主线调参'!$M$11:$M$62,AV182))/(INDEX('主线调参'!$M$11:$M$62,AV182+1)-INDEX('主线调参'!$M$11:$M$62,AV182))</x:f>
        <x:v>0.7857142857142857</x:v>
      </x:c>
      <x:c r="AX182" s="60" t="n">
        <x:f>IF(AU182=0,0,ROUND(AU182,2-INT(LOG10(ABS(AU182)))))</x:f>
        <x:v>1000000</x:v>
      </x:c>
      <x:c r="AY182" s="62" t="n">
        <x:f>AU182/AU181-1</x:f>
        <x:v>0.007120125684821232</x:v>
      </x:c>
    </x:row>
    <x:row r="183" ht="25" customHeight="1">
      <x:c r="A183" s="40" t="str">
        <x:f>'调前玩家曲线'!A183</x:f>
      </x:c>
      <x:c r="B183" s="40" t="n">
        <x:f>'调前玩家曲线'!B183</x:f>
        <x:v>172</x:v>
      </x:c>
      <x:c r="C183" s="40" t="n">
        <x:f>'调前玩家曲线'!C183</x:f>
        <x:v>12</x:v>
      </x:c>
      <x:c r="D183" s="40" t="n">
        <x:f>'调前玩家曲线'!D183</x:f>
        <x:v>13</x:v>
      </x:c>
      <x:c r="E183" s="40" t="n">
        <x:f>'调前玩家曲线'!E183</x:f>
        <x:v>1</x:v>
      </x:c>
      <x:c r="F183" s="40" t="n">
        <x:f>'调前玩家曲线'!F183</x:f>
        <x:v>5</x:v>
      </x:c>
      <x:c r="G183" s="63" t="n">
        <x:f>IF(B183&lt;$G$8,0,(INDEX('主线调参'!$C$11:$C$62,$AV183)+(INDEX('主线调参'!$C$11:$C$62,$AV183+1)-INDEX('主线调参'!$C$11:$C$62,$AV183))*$AW183)*'参数说明'!$C$27)</x:f>
        <x:v>0.7584724364193622</x:v>
      </x:c>
      <x:c r="H183" s="63" t="n">
        <x:f>IF(B183&lt;$H$8,0,(INDEX('主线调参'!$D$11:$D$62,$AV183)+(INDEX('主线调参'!$D$11:$D$62,$AV183+1)-INDEX('主线调参'!$D$11:$D$62,$AV183))*$AW183)*'参数说明'!$D$27)</x:f>
        <x:v>0.592760448112061</x:v>
      </x:c>
      <x:c r="I183" s="63" t="n">
        <x:f>IF(B183&lt;$I$8,0,(INDEX('主线调参'!$E$11:$E$62,$AV183)+(INDEX('主线调参'!$E$11:$E$62,$AV183+1)-INDEX('主线调参'!$E$11:$E$62,$AV183))*$AW183)*'参数说明'!$E$27)</x:f>
        <x:v>0.49666409602129863</x:v>
      </x:c>
      <x:c r="J183" s="63" t="n">
        <x:f>IF(B183&lt;$J$8,0,(INDEX('主线调参'!$F$11:$F$62,$AV183)+(INDEX('主线调参'!$F$11:$F$62,$AV183+1)-INDEX('主线调参'!$F$11:$F$62,$AV183))*$AW183)*'参数说明'!$F$27)</x:f>
        <x:v>0.48210083477996235</x:v>
      </x:c>
      <x:c r="K183" s="63" t="n">
        <x:f>IF(B183&lt;$K$8,0,(INDEX('主线调参'!$G$11:$G$62,$AV183)+(INDEX('主线调参'!$G$11:$G$62,$AV183+1)-INDEX('主线调参'!$G$11:$G$62,$AV183))*$AW183)*'参数说明'!$G$27)</x:f>
        <x:v>0.434899977816976</x:v>
      </x:c>
      <x:c r="L183" s="63" t="n">
        <x:f>IF(B183&lt;$L$8,0,(INDEX('主线调参'!$H$11:$H$62,$AV183)+(INDEX('主线调参'!$H$11:$H$62,$AV183+1)-INDEX('主线调参'!$H$11:$H$62,$AV183))*$AW183)*'参数说明'!$H$27)</x:f>
        <x:v>0.5866984567883081</x:v>
      </x:c>
      <x:c r="M183" s="59" t="n">
        <x:f>E183*'模块规划'!$F$10+G183*'模块规划'!$F$11+H183*'模块规划'!$F$13</x:f>
        <x:v>4640.667694812939</x:v>
      </x:c>
      <x:c r="N183" s="59" t="n">
        <x:f>I183*'模块规划'!$F$15+J183*'模块规划'!$F$17+K183*'模块规划'!$F$16+L183*'模块规划'!$F$18</x:f>
        <x:v>14337.213266813409</x:v>
      </x:c>
      <x:c r="O183" s="59" t="n">
        <x:f>1+O$9*SUMPRODUCT($H$10:$L$10,H183:L183)/SUM($H$10:$L$10)</x:f>
        <x:v>2.901465344577394</x:v>
      </x:c>
      <x:c r="P183" s="59" t="n">
        <x:f>M183*O183+N183</x:f>
        <x:v>27801.949759013012</x:v>
      </x:c>
      <x:c r="Q183" s="59" t="n">
        <x:f>P183/(P183+'_曲线基线'!$L$2)</x:f>
        <x:v>0.5366969754681049</x:v>
      </x:c>
      <x:c r="R183" s="59" t="n">
        <x:f>E183*'模块规划'!$E$10+G183*'模块规划'!$E$11+H183*'模块规划'!$E$13</x:f>
        <x:v>6961.001542219408</x:v>
      </x:c>
      <x:c r="S183" s="59" t="n">
        <x:f>I183*'模块规划'!$E$15+J183*'模块规划'!$E$17+K183*'模块规划'!$E$16+L183*'模块规划'!$E$18</x:f>
        <x:v>21505.81990022011</x:v>
      </x:c>
      <x:c r="T183" s="59" t="n">
        <x:f>1+T$9*SUMPRODUCT($H$10:$L$10,H183:L183)/SUM($H$10:$L$10)</x:f>
        <x:v>2.901465344577394</x:v>
      </x:c>
      <x:c r="U183" s="59" t="n">
        <x:f>R183*T183+S183</x:f>
        <x:v>41702.924638519515</x:v>
      </x:c>
      <x:c r="V183" s="59" t="n">
        <x:f>V$8+(V$9-V$8)*H183</x:f>
        <x:v>0.8778281344336183</x:v>
      </x:c>
      <x:c r="W183" s="59" t="n">
        <x:f>IF(B183&lt;$H$8,0,W$8+(W$9-W$8)*H183)</x:f>
        <x:v>0.2371041792448244</x:v>
      </x:c>
      <x:c r="X183" s="59" t="n">
        <x:f>X$8+(X$9-X$8)*H183</x:f>
        <x:v>0.4380091232308168</x:v>
      </x:c>
      <x:c r="Y183" s="59" t="n">
        <x:f>Y$8+(Y$9-Y$8)*G183</x:f>
        <x:v>1</x:v>
      </x:c>
      <x:c r="Z183" s="59" t="n">
        <x:f>Z$8+(Z$9-Z$8)*H183</x:f>
        <x:v>1</x:v>
      </x:c>
      <x:c r="AA183" s="59" t="n">
        <x:f>AA$8+(AA$9-AA$8)*I183</x:f>
        <x:v>1</x:v>
      </x:c>
      <x:c r="AB183" s="59" t="n">
        <x:f>AB$8+(AB$9-AB$8)*J183</x:f>
        <x:v>1</x:v>
      </x:c>
      <x:c r="AC183" s="59" t="n">
        <x:f>AC$8+(AC$9-AC$8)*MAX(K183,L183)</x:f>
        <x:v>1</x:v>
      </x:c>
      <x:c r="AD183" s="59" t="n">
        <x:f>(V183*AE183+W183*AF183+X183*AG183)*PRODUCT(Y183:AC183)</x:f>
        <x:v>1.7230041112185988</x:v>
      </x:c>
      <x:c r="AE183" s="59" t="n">
        <x:f>1+AE$9*($H$10*H183+$I$10*I183+$J$10*J183+$K$10*K183+$L$10*L183)</x:f>
        <x:v>1</x:v>
      </x:c>
      <x:c r="AF183" s="59" t="n">
        <x:f>1+AF$9*($H$10*H183+$I$10*I183+$J$10*J183+$K$10*K183+$L$10*L183)</x:f>
        <x:v>1.1678216376995434</x:v>
      </x:c>
      <x:c r="AG183" s="59" t="n">
        <x:f>1+AG$9*($H$10*H183+$I$10*I183+$J$10*J183+$K$10*K183+$L$10*L183)</x:f>
        <x:v>1.29741723570086</x:v>
      </x:c>
      <x:c r="AH183" s="59" t="n">
        <x:f>MIN(1,'_曲线基线'!$L$3+AH$9*($H$10*H183+$I$10*I183+$J$10*J183+$K$10*K183+$L$10*L183))</x:f>
        <x:v>0.4317942257664609</x:v>
      </x:c>
      <x:c r="AI183" s="59" t="n">
        <x:f>'_曲线基线'!$L$4+AI$9*($H$10*H183+$I$10*I183+$J$10*J183+$K$10*K183+$L$10*L183)</x:f>
        <x:v>3.0635696289208556</x:v>
      </x:c>
      <x:c r="AJ183" s="59" t="n">
        <x:f>1+AJ$9*($H$10*H183+$I$10*I183+$J$10*J183+$K$10*K183+$L$10*L183)</x:f>
        <x:v>1.8726725160376252</x:v>
      </x:c>
      <x:c r="AK183" s="59" t="n">
        <x:f>(1+AH183*(AI183-1))*AJ183</x:f>
        <x:v>3.5412938598530723</x:v>
      </x:c>
      <x:c r="AL183" s="59" t="n">
        <x:f>U183*AD183*AK183*F183</x:f>
        <x:v>1272286.1446943416</x:v>
      </x:c>
      <x:c r="AM183" s="59" t="n">
        <x:f>IF($B183&lt;AM$8,0,AM$3+(AM$4-AM$3)*(POWER(AM$5,$B183-AM$8)-1)/(POWER(AM$5,$C$5-AM$8)-1))</x:f>
        <x:v>41.01719280966666</x:v>
      </x:c>
      <x:c r="AN183" s="59" t="n">
        <x:f>(((E183*'模块规划'!$D$10+G183*'模块规划'!$D$11+H183*'模块规划'!$D$13)*(1+'模块规划'!$G$14*H183)+(I183*'模块规划'!$D$15+J183*'模块规划'!$D$17+K183*'模块规划'!$D$16+L183*'模块规划'!$D$18))*(1+'模块规划'!$J$17*J183))*F183/(1-Q183)</x:f>
        <x:v>1827365.8892226259</x:v>
      </x:c>
      <x:c r="AO183" s="59" t="n">
        <x:f>AL183*AM183</x:f>
        <x:v>52185606.10599526</x:v>
      </x:c>
      <x:c r="AP183" s="61" t="n">
        <x:f>IF(AO183="","",INDEX('_曲线基线'!$A$3:$A$502,MIN(ROWS('_曲线基线'!$A$3:$A$502),COUNTIF('_曲线基线'!$E$3:$E$502,"&lt;"&amp;AO183)+1)))</x:f>
        <x:v>245</x:v>
      </x:c>
      <x:c r="AQ183" s="61" t="n">
        <x:f>IF(B183&lt;=2,1,IF(B183&lt;=6,2,IF(B183&lt;=9,3,IF(B183&lt;=19,4,5))))</x:f>
        <x:v>5</x:v>
      </x:c>
      <x:c r="AR183" s="59" t="n">
        <x:f>AN183*(1-Q183)/F183*$AS$3+U183*$AS$4+P183*$AS$5</x:f>
        <x:v>13420.329788123454</x:v>
      </x:c>
      <x:c r="AS183" s="59" t="n">
        <x:f>1+AH183*$AS$6+AI183*$AS$7+(AJ183-1)*$AS$8+($H$10*H183+$I$10*I183+$J$10*J183+$K$10*K183+$L$10*L183)*$AU$3*$AS$9+($H$10*H183+$I$10*I183+$J$10*J183+$K$10*K183+$L$10*L183)*$AU$4*$AS$10</x:f>
        <x:v>15.009113539883545</x:v>
      </x:c>
      <x:c r="AT183" s="60" t="n">
        <x:f>ROUND(AR183*AS183,0)</x:f>
        <x:v>201427</x:v>
      </x:c>
      <x:c r="AU183" s="60" t="n">
        <x:f>ROUND(AT183*F183,0)</x:f>
        <x:v>1007135</x:v>
      </x:c>
      <x:c r="AV183" s="60" t="n">
        <x:f>MIN(MATCH(B183,'主线调参'!$M$11:$M$62,1),ROWS('主线调参'!$M$11:$M$62)-1)</x:f>
        <x:v>37</x:v>
      </x:c>
      <x:c r="AW183" s="62" t="n">
        <x:f>(B183-INDEX('主线调参'!$M$11:$M$62,AV183))/(INDEX('主线调参'!$M$11:$M$62,AV183+1)-INDEX('主线调参'!$M$11:$M$62,AV183))</x:f>
        <x:v>0.8571428571428571</x:v>
      </x:c>
      <x:c r="AX183" s="60" t="n">
        <x:f>IF(AU183=0,0,ROUND(AU183,2-INT(LOG10(ABS(AU183)))))</x:f>
        <x:v>1010000</x:v>
      </x:c>
      <x:c r="AY183" s="62" t="n">
        <x:f>AU183/AU182-1</x:f>
        <x:v>0.007104786856394263</x:v>
      </x:c>
    </x:row>
    <x:row r="184" ht="25" customHeight="1">
      <x:c r="A184" s="40" t="str">
        <x:f>'调前玩家曲线'!A184</x:f>
      </x:c>
      <x:c r="B184" s="40" t="n">
        <x:f>'调前玩家曲线'!B184</x:f>
        <x:v>173</x:v>
      </x:c>
      <x:c r="C184" s="40" t="n">
        <x:f>'调前玩家曲线'!C184</x:f>
        <x:v>12</x:v>
      </x:c>
      <x:c r="D184" s="40" t="n">
        <x:f>'调前玩家曲线'!D184</x:f>
        <x:v>14</x:v>
      </x:c>
      <x:c r="E184" s="40" t="n">
        <x:f>'调前玩家曲线'!E184</x:f>
        <x:v>1</x:v>
      </x:c>
      <x:c r="F184" s="40" t="n">
        <x:f>'调前玩家曲线'!F184</x:f>
        <x:v>5</x:v>
      </x:c>
      <x:c r="G184" s="63" t="n">
        <x:f>IF(B184&lt;$G$8,0,(INDEX('主线调参'!$C$11:$C$62,$AV184)+(INDEX('主线调参'!$C$11:$C$62,$AV184+1)-INDEX('主线调参'!$C$11:$C$62,$AV184))*$AW184)*'参数说明'!$C$27)</x:f>
        <x:v>0.7602189590490447</x:v>
      </x:c>
      <x:c r="H184" s="63" t="n">
        <x:f>IF(B184&lt;$H$8,0,(INDEX('主线调参'!$D$11:$D$62,$AV184)+(INDEX('主线调参'!$D$11:$D$62,$AV184+1)-INDEX('主线调参'!$D$11:$D$62,$AV184))*$AW184)*'参数说明'!$D$27)</x:f>
        <x:v>0.594064632857228</x:v>
      </x:c>
      <x:c r="I184" s="63" t="n">
        <x:f>IF(B184&lt;$I$8,0,(INDEX('主线调参'!$E$11:$E$62,$AV184)+(INDEX('主线调参'!$E$11:$E$62,$AV184+1)-INDEX('主线调参'!$E$11:$E$62,$AV184))*$AW184)*'参数说明'!$E$27)</x:f>
        <x:v>0.49887349589823937</x:v>
      </x:c>
      <x:c r="J184" s="63" t="n">
        <x:f>IF(B184&lt;$J$8,0,(INDEX('主线调参'!$F$11:$F$62,$AV184)+(INDEX('主线调参'!$F$11:$F$62,$AV184+1)-INDEX('主线调参'!$F$11:$F$62,$AV184))*$AW184)*'参数说明'!$F$27)</x:f>
        <x:v>0.48359273595143326</x:v>
      </x:c>
      <x:c r="K184" s="63" t="n">
        <x:f>IF(B184&lt;$K$8,0,(INDEX('主线调参'!$G$11:$G$62,$AV184)+(INDEX('主线调参'!$G$11:$G$62,$AV184+1)-INDEX('主线调参'!$G$11:$G$62,$AV184))*$AW184)*'参数说明'!$G$27)</x:f>
        <x:v>0.438539844624161</x:v>
      </x:c>
      <x:c r="L184" s="63" t="n">
        <x:f>IF(B184&lt;$L$8,0,(INDEX('主线调参'!$H$11:$H$62,$AV184)+(INDEX('主线调参'!$H$11:$H$62,$AV184+1)-INDEX('主线调参'!$H$11:$H$62,$AV184))*$AW184)*'参数说明'!$H$27)</x:f>
        <x:v>0.5881188500311891</x:v>
      </x:c>
      <x:c r="M184" s="59" t="n">
        <x:f>E184*'模块规划'!$F$10+G184*'模块规划'!$F$11+H184*'模块规划'!$F$13</x:f>
        <x:v>4649.051003435415</x:v>
      </x:c>
      <x:c r="N184" s="59" t="n">
        <x:f>I184*'模块规划'!$F$15+J184*'模块规划'!$F$17+K184*'模块规划'!$F$16+L184*'模块规划'!$F$18</x:f>
        <x:v>14398.748644601159</x:v>
      </x:c>
      <x:c r="O184" s="59" t="n">
        <x:f>1+O$9*SUMPRODUCT($H$10:$L$10,H184:L184)/SUM($H$10:$L$10)</x:f>
        <x:v>2.908741273682614</x:v>
      </x:c>
      <x:c r="P184" s="59" t="n">
        <x:f>M184*O184+N184</x:f>
        <x:v>27921.63518174932</x:v>
      </x:c>
      <x:c r="Q184" s="59" t="n">
        <x:f>P184/(P184+'_曲线基线'!$L$2)</x:f>
        <x:v>0.5377649429570334</x:v>
      </x:c>
      <x:c r="R184" s="59" t="n">
        <x:f>E184*'模块规划'!$E$10+G184*'模块规划'!$E$11+H184*'模块规划'!$E$13</x:f>
        <x:v>6973.576505153122</x:v>
      </x:c>
      <x:c r="S184" s="59" t="n">
        <x:f>I184*'模块规划'!$E$15+J184*'模块规划'!$E$17+K184*'模块规划'!$E$16+L184*'模块规划'!$E$18</x:f>
        <x:v>21598.122966901738</x:v>
      </x:c>
      <x:c r="T184" s="59" t="n">
        <x:f>1+T$9*SUMPRODUCT($H$10:$L$10,H184:L184)/SUM($H$10:$L$10)</x:f>
        <x:v>2.908741273682614</x:v>
      </x:c>
      <x:c r="U184" s="59" t="n">
        <x:f>R184*T184+S184</x:f>
        <x:v>41882.452772623976</x:v>
      </x:c>
      <x:c r="V184" s="59" t="n">
        <x:f>V$8+(V$9-V$8)*H184</x:f>
        <x:v>0.8782193898571684</x:v>
      </x:c>
      <x:c r="W184" s="59" t="n">
        <x:f>IF(B184&lt;$H$8,0,W$8+(W$9-W$8)*H184)</x:f>
        <x:v>0.2376258531428912</x:v>
      </x:c>
      <x:c r="X184" s="59" t="n">
        <x:f>X$8+(X$9-X$8)*H184</x:f>
        <x:v>0.43836777403573773</x:v>
      </x:c>
      <x:c r="Y184" s="59" t="n">
        <x:f>Y$8+(Y$9-Y$8)*G184</x:f>
        <x:v>1</x:v>
      </x:c>
      <x:c r="Z184" s="59" t="n">
        <x:f>Z$8+(Z$9-Z$8)*H184</x:f>
        <x:v>1</x:v>
      </x:c>
      <x:c r="AA184" s="59" t="n">
        <x:f>AA$8+(AA$9-AA$8)*I184</x:f>
        <x:v>1</x:v>
      </x:c>
      <x:c r="AB184" s="59" t="n">
        <x:f>AB$8+(AB$9-AB$8)*J184</x:f>
        <x:v>1</x:v>
      </x:c>
      <x:c r="AC184" s="59" t="n">
        <x:f>AC$8+(AC$9-AC$8)*MAX(K184,L184)</x:f>
        <x:v>1</x:v>
      </x:c>
      <x:c r="AD184" s="59" t="n">
        <x:f>(V184*AE184+W184*AF184+X184*AG184)*PRODUCT(Y184:AC184)</x:f>
        <x:v>1.725121393928689</x:v>
      </x:c>
      <x:c r="AE184" s="59" t="n">
        <x:f>1+AE$9*($H$10*H184+$I$10*I184+$J$10*J184+$K$10*K184+$L$10*L184)</x:f>
        <x:v>1</x:v>
      </x:c>
      <x:c r="AF184" s="59" t="n">
        <x:f>1+AF$9*($H$10*H184+$I$10*I184+$J$10*J184+$K$10*K184+$L$10*L184)</x:f>
        <x:v>1.1684638047217855</x:v>
      </x:c>
      <x:c r="AG184" s="59" t="n">
        <x:f>1+AG$9*($H$10*H184+$I$10*I184+$J$10*J184+$K$10*K184+$L$10*L184)</x:f>
        <x:v>1.2985552983680555</x:v>
      </x:c>
      <x:c r="AH184" s="59" t="n">
        <x:f>MIN(1,'_曲线基线'!$L$3+AH$9*($H$10*H184+$I$10*I184+$J$10*J184+$K$10*K184+$L$10*L184))</x:f>
        <x:v>0.4332551557420615</x:v>
      </x:c>
      <x:c r="AI184" s="59" t="n">
        <x:f>'_曲线基线'!$L$4+AI$9*($H$10*H184+$I$10*I184+$J$10*J184+$K$10*K184+$L$10*L184)</x:f>
        <x:v>3.0676393624243143</x:v>
      </x:c>
      <x:c r="AJ184" s="59" t="n">
        <x:f>1+AJ$9*($H$10*H184+$I$10*I184+$J$10*J184+$K$10*K184+$L$10*L184)</x:f>
        <x:v>1.8760117845532838</x:v>
      </x:c>
      <x:c r="AK184" s="59" t="n">
        <x:f>(1+AH184*(AI184-1))*AJ184</x:f>
        <x:v>3.5565720579746785</x:v>
      </x:c>
      <x:c r="AL184" s="59" t="n">
        <x:f>U184*AD184*AK184*F184</x:f>
        <x:v>1284852.828746696</x:v>
      </x:c>
      <x:c r="AM184" s="59" t="n">
        <x:f>IF($B184&lt;AM$8,0,AM$3+(AM$4-AM$3)*(POWER(AM$5,$B184-AM$8)-1)/(POWER(AM$5,$C$5-AM$8)-1))</x:f>
        <x:v>41.0907893776852</x:v>
      </x:c>
      <x:c r="AN184" s="59" t="n">
        <x:f>(((E184*'模块规划'!$D$10+G184*'模块规划'!$D$11+H184*'模块规划'!$D$13)*(1+'模块规划'!$G$14*H184)+(I184*'模块规划'!$D$15+J184*'模块规划'!$D$17+K184*'模块规划'!$D$16+L184*'模块规划'!$D$18))*(1+'模块规划'!$J$17*J184))*F184/(1-Q184)</x:f>
        <x:v>1840489.9100475046</x:v>
      </x:c>
      <x:c r="AO184" s="59" t="n">
        <x:f>AL184*AM184</x:f>
        <x:v>52795616.967353515</x:v>
      </x:c>
      <x:c r="AP184" s="61" t="n">
        <x:f>IF(AO184="","",INDEX('_曲线基线'!$A$3:$A$502,MIN(ROWS('_曲线基线'!$A$3:$A$502),COUNTIF('_曲线基线'!$E$3:$E$502,"&lt;"&amp;AO184)+1)))</x:f>
        <x:v>245</x:v>
      </x:c>
      <x:c r="AQ184" s="61" t="n">
        <x:f>IF(B184&lt;=2,1,IF(B184&lt;=6,2,IF(B184&lt;=9,3,IF(B184&lt;=19,4,5))))</x:f>
        <x:v>5</x:v>
      </x:c>
      <x:c r="AR184" s="59" t="n">
        <x:f>AN184*(1-Q184)/F184*$AS$3+U184*$AS$4+P184*$AS$5</x:f>
        <x:v>13480.924305871671</x:v>
      </x:c>
      <x:c r="AS184" s="59" t="n">
        <x:f>1+AH184*$AS$6+AI184*$AS$7+(AJ184-1)*$AS$8+($H$10*H184+$I$10*I184+$J$10*J184+$K$10*K184+$L$10*L184)*$AU$3*$AS$9+($H$10*H184+$I$10*I184+$J$10*J184+$K$10*K184+$L$10*L184)*$AU$4*$AS$10</x:f>
        <x:v>15.047483749124789</x:v>
      </x:c>
      <x:c r="AT184" s="60" t="n">
        <x:f>ROUND(AR184*AS184,0)</x:f>
        <x:v>202854</x:v>
      </x:c>
      <x:c r="AU184" s="60" t="n">
        <x:f>ROUND(AT184*F184,0)</x:f>
        <x:v>1014270</x:v>
      </x:c>
      <x:c r="AV184" s="60" t="n">
        <x:f>MIN(MATCH(B184,'主线调参'!$M$11:$M$62,1),ROWS('主线调参'!$M$11:$M$62)-1)</x:f>
        <x:v>37</x:v>
      </x:c>
      <x:c r="AW184" s="62" t="n">
        <x:f>(B184-INDEX('主线调参'!$M$11:$M$62,AV184))/(INDEX('主线调参'!$M$11:$M$62,AV184+1)-INDEX('主线调参'!$M$11:$M$62,AV184))</x:f>
        <x:v>0.9285714285714286</x:v>
      </x:c>
      <x:c r="AX184" s="60" t="n">
        <x:f>IF(AU184=0,0,ROUND(AU184,2-INT(LOG10(ABS(AU184)))))</x:f>
        <x:v>1010000</x:v>
      </x:c>
      <x:c r="AY184" s="62" t="n">
        <x:f>AU184/AU183-1</x:f>
        <x:v>0.00708445243189848</x:v>
      </x:c>
    </x:row>
    <x:row r="185" ht="25" customHeight="1">
      <x:c r="A185" s="40" t="str">
        <x:f>'调前玩家曲线'!A185</x:f>
      </x:c>
      <x:c r="B185" s="40" t="n">
        <x:f>'调前玩家曲线'!B185</x:f>
        <x:v>174</x:v>
      </x:c>
      <x:c r="C185" s="40" t="n">
        <x:f>'调前玩家曲线'!C185</x:f>
        <x:v>12</x:v>
      </x:c>
      <x:c r="D185" s="40" t="n">
        <x:f>'调前玩家曲线'!D185</x:f>
        <x:v>15</x:v>
      </x:c>
      <x:c r="E185" s="40" t="n">
        <x:f>'调前玩家曲线'!E185</x:f>
        <x:v>1</x:v>
      </x:c>
      <x:c r="F185" s="40" t="n">
        <x:f>'调前玩家曲线'!F185</x:f>
        <x:v>5</x:v>
      </x:c>
      <x:c r="G185" s="63" t="n">
        <x:f>IF(B185&lt;$G$8,0,(INDEX('主线调参'!$C$11:$C$62,$AV185)+(INDEX('主线调参'!$C$11:$C$62,$AV185+1)-INDEX('主线调参'!$C$11:$C$62,$AV185))*$AW185)*'参数说明'!$C$27)</x:f>
        <x:v>0.7619654816787274</x:v>
      </x:c>
      <x:c r="H185" s="63" t="n">
        <x:f>IF(B185&lt;$H$8,0,(INDEX('主线调参'!$D$11:$D$62,$AV185)+(INDEX('主线调参'!$D$11:$D$62,$AV185+1)-INDEX('主线调参'!$D$11:$D$62,$AV185))*$AW185)*'参数说明'!$D$27)</x:f>
        <x:v>0.595368817602395</x:v>
      </x:c>
      <x:c r="I185" s="63" t="n">
        <x:f>IF(B185&lt;$I$8,0,(INDEX('主线调参'!$E$11:$E$62,$AV185)+(INDEX('主线调参'!$E$11:$E$62,$AV185+1)-INDEX('主线调参'!$E$11:$E$62,$AV185))*$AW185)*'参数说明'!$E$27)</x:f>
        <x:v>0.50108289577518</x:v>
      </x:c>
      <x:c r="J185" s="63" t="n">
        <x:f>IF(B185&lt;$J$8,0,(INDEX('主线调参'!$F$11:$F$62,$AV185)+(INDEX('主线调参'!$F$11:$F$62,$AV185+1)-INDEX('主线调参'!$F$11:$F$62,$AV185))*$AW185)*'参数说明'!$F$27)</x:f>
        <x:v>0.4850846371229042</x:v>
      </x:c>
      <x:c r="K185" s="63" t="n">
        <x:f>IF(B185&lt;$K$8,0,(INDEX('主线调参'!$G$11:$G$62,$AV185)+(INDEX('主线调参'!$G$11:$G$62,$AV185+1)-INDEX('主线调参'!$G$11:$G$62,$AV185))*$AW185)*'参数说明'!$G$27)</x:f>
        <x:v>0.44217971143134593</x:v>
      </x:c>
      <x:c r="L185" s="63" t="n">
        <x:f>IF(B185&lt;$L$8,0,(INDEX('主线调参'!$H$11:$H$62,$AV185)+(INDEX('主线调参'!$H$11:$H$62,$AV185+1)-INDEX('主线调参'!$H$11:$H$62,$AV185))*$AW185)*'参数说明'!$H$27)</x:f>
        <x:v>0.58953924327407</x:v>
      </x:c>
      <x:c r="M185" s="59" t="n">
        <x:f>E185*'模块规划'!$F$10+G185*'模块规划'!$F$11+H185*'模块规划'!$F$13</x:f>
        <x:v>4657.4343120578915</x:v>
      </x:c>
      <x:c r="N185" s="59" t="n">
        <x:f>I185*'模块规划'!$F$15+J185*'模块规划'!$F$17+K185*'模块规划'!$F$16+L185*'模块规划'!$F$18</x:f>
        <x:v>14460.284022388907</x:v>
      </x:c>
      <x:c r="O185" s="59" t="n">
        <x:f>1+O$9*SUMPRODUCT($H$10:$L$10,H185:L185)/SUM($H$10:$L$10)</x:f>
        <x:v>2.9160172027878324</x:v>
      </x:c>
      <x:c r="P185" s="59" t="n">
        <x:f>M185*O185+N185</x:f>
        <x:v>28041.442597204034</x:v>
      </x:c>
      <x:c r="Q185" s="59" t="n">
        <x:f>P185/(P185+'_曲线基线'!$L$2)</x:f>
        <x:v>0.538829079244444</x:v>
      </x:c>
      <x:c r="R185" s="59" t="n">
        <x:f>E185*'模块规划'!$E$10+G185*'模块规划'!$E$11+H185*'模块规划'!$E$13</x:f>
        <x:v>6986.151468086837</x:v>
      </x:c>
      <x:c r="S185" s="59" t="n">
        <x:f>I185*'模块规划'!$E$15+J185*'模块规划'!$E$17+K185*'模块规划'!$E$16+L185*'模块规划'!$E$18</x:f>
        <x:v>21690.426033583364</x:v>
      </x:c>
      <x:c r="T185" s="59" t="n">
        <x:f>1+T$9*SUMPRODUCT($H$10:$L$10,H185:L185)/SUM($H$10:$L$10)</x:f>
        <x:v>2.9160172027878324</x:v>
      </x:c>
      <x:c r="U185" s="59" t="n">
        <x:f>R185*T185+S185</x:f>
        <x:v>42062.16389580605</x:v>
      </x:c>
      <x:c r="V185" s="59" t="n">
        <x:f>V$8+(V$9-V$8)*H185</x:f>
        <x:v>0.8786106452807185</x:v>
      </x:c>
      <x:c r="W185" s="59" t="n">
        <x:f>IF(B185&lt;$H$8,0,W$8+(W$9-W$8)*H185)</x:f>
        <x:v>0.238147527040958</x:v>
      </x:c>
      <x:c r="X185" s="59" t="n">
        <x:f>X$8+(X$9-X$8)*H185</x:f>
        <x:v>0.43872642484065866</x:v>
      </x:c>
      <x:c r="Y185" s="59" t="n">
        <x:f>Y$8+(Y$9-Y$8)*G185</x:f>
        <x:v>1</x:v>
      </x:c>
      <x:c r="Z185" s="59" t="n">
        <x:f>Z$8+(Z$9-Z$8)*H185</x:f>
        <x:v>1</x:v>
      </x:c>
      <x:c r="AA185" s="59" t="n">
        <x:f>AA$8+(AA$9-AA$8)*I185</x:f>
        <x:v>1</x:v>
      </x:c>
      <x:c r="AB185" s="59" t="n">
        <x:f>AB$8+(AB$9-AB$8)*J185</x:f>
        <x:v>1</x:v>
      </x:c>
      <x:c r="AC185" s="59" t="n">
        <x:f>AC$8+(AC$9-AC$8)*MAX(K185,L185)</x:f>
        <x:v>1</x:v>
      </x:c>
      <x:c r="AD185" s="59" t="n">
        <x:f>(V185*AE185+W185*AF185+X185*AG185)*PRODUCT(Y185:AC185)</x:f>
        <x:v>1.72724016297651</x:v>
      </x:c>
      <x:c r="AE185" s="59" t="n">
        <x:f>1+AE$9*($H$10*H185+$I$10*I185+$J$10*J185+$K$10*K185+$L$10*L185)</x:f>
        <x:v>1</x:v>
      </x:c>
      <x:c r="AF185" s="59" t="n">
        <x:f>1+AF$9*($H$10*H185+$I$10*I185+$J$10*J185+$K$10*K185+$L$10*L185)</x:f>
        <x:v>1.1691059717440275</x:v>
      </x:c>
      <x:c r="AG185" s="59" t="n">
        <x:f>1+AG$9*($H$10*H185+$I$10*I185+$J$10*J185+$K$10*K185+$L$10*L185)</x:f>
        <x:v>1.299693361035251</x:v>
      </x:c>
      <x:c r="AH185" s="59" t="n">
        <x:f>MIN(1,'_曲线基线'!$L$3+AH$9*($H$10*H185+$I$10*I185+$J$10*J185+$K$10*K185+$L$10*L185))</x:f>
        <x:v>0.43471608571766207</x:v>
      </x:c>
      <x:c r="AI185" s="59" t="n">
        <x:f>'_曲线基线'!$L$4+AI$9*($H$10*H185+$I$10*I185+$J$10*J185+$K$10*K185+$L$10*L185)</x:f>
        <x:v>3.0717090959277726</x:v>
      </x:c>
      <x:c r="AJ185" s="59" t="n">
        <x:f>1+AJ$9*($H$10*H185+$I$10*I185+$J$10*J185+$K$10*K185+$L$10*L185)</x:f>
        <x:v>1.879351053068942</x:v>
      </x:c>
      <x:c r="AK185" s="59" t="n">
        <x:f>(1+AH185*(AI185-1))*AJ185</x:f>
        <x:v>3.5719045136270844</x:v>
      </x:c>
      <x:c r="AL185" s="59" t="n">
        <x:f>U185*AD185*AK185*F185</x:f>
        <x:v>1297520.3684490558</x:v>
      </x:c>
      <x:c r="AM185" s="59" t="n">
        <x:f>IF($B185&lt;AM$8,0,AM$3+(AM$4-AM$3)*(POWER(AM$5,$B185-AM$8)-1)/(POWER(AM$5,$C$5-AM$8)-1))</x:f>
        <x:v>41.16512191138392</x:v>
      </x:c>
      <x:c r="AN185" s="59" t="n">
        <x:f>(((E185*'模块规划'!$D$10+G185*'模块规划'!$D$11+H185*'模块规划'!$D$13)*(1+'模块规划'!$G$14*H185)+(I185*'模块规划'!$D$15+J185*'模块规划'!$D$17+K185*'模块规划'!$D$16+L185*'模块规划'!$D$18))*(1+'模块规划'!$J$17*J185))*F185/(1-Q185)</x:f>
        <x:v>1853676.5028990707</x:v>
      </x:c>
      <x:c r="AO185" s="59" t="n">
        <x:f>AL185*AM185</x:f>
        <x:v>53412584.149709165</x:v>
      </x:c>
      <x:c r="AP185" s="61" t="n">
        <x:f>IF(AO185="","",INDEX('_曲线基线'!$A$3:$A$502,MIN(ROWS('_曲线基线'!$A$3:$A$502),COUNTIF('_曲线基线'!$E$3:$E$502,"&lt;"&amp;AO185)+1)))</x:f>
        <x:v>246</x:v>
      </x:c>
      <x:c r="AQ185" s="61" t="n">
        <x:f>IF(B185&lt;=2,1,IF(B185&lt;=6,2,IF(B185&lt;=9,3,IF(B185&lt;=19,4,5))))</x:f>
        <x:v>5</x:v>
      </x:c>
      <x:c r="AR185" s="59" t="n">
        <x:f>AN185*(1-Q185)/F185*$AS$3+U185*$AS$4+P185*$AS$5</x:f>
        <x:v>13541.602976910632</x:v>
      </x:c>
      <x:c r="AS185" s="59" t="n">
        <x:f>1+AH185*$AS$6+AI185*$AS$7+(AJ185-1)*$AS$8+($H$10*H185+$I$10*I185+$J$10*J185+$K$10*K185+$L$10*L185)*$AU$3*$AS$9+($H$10*H185+$I$10*I185+$J$10*J185+$K$10*K185+$L$10*L185)*$AU$4*$AS$10</x:f>
        <x:v>15.085853958366025</x:v>
      </x:c>
      <x:c r="AT185" s="60" t="n">
        <x:f>ROUND(AR185*AS185,0)</x:f>
        <x:v>204287</x:v>
      </x:c>
      <x:c r="AU185" s="60" t="n">
        <x:f>ROUND(AT185*F185,0)</x:f>
        <x:v>1021435</x:v>
      </x:c>
      <x:c r="AV185" s="60" t="n">
        <x:f>MIN(MATCH(B185,'主线调参'!$M$11:$M$62,1),ROWS('主线调参'!$M$11:$M$62)-1)</x:f>
        <x:v>38</x:v>
      </x:c>
      <x:c r="AW185" s="62" t="n">
        <x:f>(B185-INDEX('主线调参'!$M$11:$M$62,AV185))/(INDEX('主线调参'!$M$11:$M$62,AV185+1)-INDEX('主线调参'!$M$11:$M$62,AV185))</x:f>
        <x:v>0</x:v>
      </x:c>
      <x:c r="AX185" s="60" t="n">
        <x:f>IF(AU185=0,0,ROUND(AU185,2-INT(LOG10(ABS(AU185)))))</x:f>
        <x:v>1020000</x:v>
      </x:c>
      <x:c r="AY185" s="62" t="n">
        <x:f>AU185/AU184-1</x:f>
        <x:v>0.007064193952300624</x:v>
      </x:c>
    </x:row>
    <x:row r="186" ht="25" customHeight="1">
      <x:c r="A186" s="40" t="str">
        <x:f>'调前玩家曲线'!A186</x:f>
      </x:c>
      <x:c r="B186" s="40" t="n">
        <x:f>'调前玩家曲线'!B186</x:f>
        <x:v>175</x:v>
      </x:c>
      <x:c r="C186" s="40" t="n">
        <x:f>'调前玩家曲线'!C186</x:f>
        <x:v>13</x:v>
      </x:c>
      <x:c r="D186" s="40" t="n">
        <x:f>'调前玩家曲线'!D186</x:f>
        <x:v>1</x:v>
      </x:c>
      <x:c r="E186" s="40" t="n">
        <x:f>'调前玩家曲线'!E186</x:f>
        <x:v>1</x:v>
      </x:c>
      <x:c r="F186" s="40" t="n">
        <x:f>'调前玩家曲线'!F186</x:f>
        <x:v>5</x:v>
      </x:c>
      <x:c r="G186" s="63" t="n">
        <x:f>IF(B186&lt;$G$8,0,(INDEX('主线调参'!$C$11:$C$62,$AV186)+(INDEX('主线调参'!$C$11:$C$62,$AV186+1)-INDEX('主线调参'!$C$11:$C$62,$AV186))*$AW186)*'参数说明'!$C$27)</x:f>
        <x:v>0.7636308896556581</x:v>
      </x:c>
      <x:c r="H186" s="63" t="n">
        <x:f>IF(B186&lt;$H$8,0,(INDEX('主线调参'!$D$11:$D$62,$AV186)+(INDEX('主线调参'!$D$11:$D$62,$AV186+1)-INDEX('主线调参'!$D$11:$D$62,$AV186))*$AW186)*'参数说明'!$D$27)</x:f>
        <x:v>0.5966071237598881</x:v>
      </x:c>
      <x:c r="I186" s="63" t="n">
        <x:f>IF(B186&lt;$I$8,0,(INDEX('主线调参'!$E$11:$E$62,$AV186)+(INDEX('主线调参'!$E$11:$E$62,$AV186+1)-INDEX('主线调参'!$E$11:$E$62,$AV186))*$AW186)*'参数说明'!$E$27)</x:f>
        <x:v>0.5031229106700783</x:v>
      </x:c>
      <x:c r="J186" s="63" t="n">
        <x:f>IF(B186&lt;$J$8,0,(INDEX('主线调参'!$F$11:$F$62,$AV186)+(INDEX('主线调参'!$F$11:$F$62,$AV186+1)-INDEX('主线调参'!$F$11:$F$62,$AV186))*$AW186)*'参数说明'!$F$27)</x:f>
        <x:v>0.48649143937934947</x:v>
      </x:c>
      <x:c r="K186" s="63" t="n">
        <x:f>IF(B186&lt;$K$8,0,(INDEX('主线调参'!$G$11:$G$62,$AV186)+(INDEX('主线调参'!$G$11:$G$62,$AV186+1)-INDEX('主线调参'!$G$11:$G$62,$AV186))*$AW186)*'参数说明'!$G$27)</x:f>
        <x:v>0.4454640349972983</x:v>
      </x:c>
      <x:c r="L186" s="63" t="n">
        <x:f>IF(B186&lt;$L$8,0,(INDEX('主线调参'!$H$11:$H$62,$AV186)+(INDEX('主线调参'!$H$11:$H$62,$AV186+1)-INDEX('主线调参'!$H$11:$H$62,$AV186))*$AW186)*'参数说明'!$H$27)</x:f>
        <x:v>0.5908807643518051</x:v>
      </x:c>
      <x:c r="M186" s="59" t="n">
        <x:f>E186*'模块规划'!$F$10+G186*'模块规划'!$F$11+H186*'模块规划'!$F$13</x:f>
        <x:v>4665.428270347158</x:v>
      </x:c>
      <x:c r="N186" s="59" t="n">
        <x:f>I186*'模块规划'!$F$15+J186*'模块规划'!$F$17+K186*'模块规划'!$F$16+L186*'模块规划'!$F$18</x:f>
        <x:v>14517.085710896938</x:v>
      </x:c>
      <x:c r="O186" s="59" t="n">
        <x:f>1+O$9*SUMPRODUCT($H$10:$L$10,H186:L186)/SUM($H$10:$L$10)</x:f>
        <x:v>2.9227654275032116</x:v>
      </x:c>
      <x:c r="P186" s="59" t="n">
        <x:f>M186*O186+N186</x:f>
        <x:v>28153.03816396372</x:v>
      </x:c>
      <x:c r="Q186" s="59" t="n">
        <x:f>P186/(P186+'_曲线基线'!$L$2)</x:f>
        <x:v>0.5398158794786508</x:v>
      </x:c>
      <x:c r="R186" s="59" t="n">
        <x:f>E186*'模块规划'!$E$10+G186*'模块规划'!$E$11+H186*'模块规划'!$E$13</x:f>
        <x:v>6998.142405520738</x:v>
      </x:c>
      <x:c r="S186" s="59" t="n">
        <x:f>I186*'模块规划'!$E$15+J186*'模块规划'!$E$17+K186*'模块规划'!$E$16+L186*'模块规划'!$E$18</x:f>
        <x:v>21775.628566345404</x:v>
      </x:c>
      <x:c r="T186" s="59" t="n">
        <x:f>1+T$9*SUMPRODUCT($H$10:$L$10,H186:L186)/SUM($H$10:$L$10)</x:f>
        <x:v>2.9227654275032116</x:v>
      </x:c>
      <x:c r="U186" s="59" t="n">
        <x:f>R186*T186+S186</x:f>
        <x:v>42229.55724594557</x:v>
      </x:c>
      <x:c r="V186" s="59" t="n">
        <x:f>V$8+(V$9-V$8)*H186</x:f>
        <x:v>0.8789821371279665</x:v>
      </x:c>
      <x:c r="W186" s="59" t="n">
        <x:f>IF(B186&lt;$H$8,0,W$8+(W$9-W$8)*H186)</x:f>
        <x:v>0.23864284950395526</x:v>
      </x:c>
      <x:c r="X186" s="59" t="n">
        <x:f>X$8+(X$9-X$8)*H186</x:f>
        <x:v>0.4390669590339693</x:v>
      </x:c>
      <x:c r="Y186" s="59" t="n">
        <x:f>Y$8+(Y$9-Y$8)*G186</x:f>
        <x:v>1</x:v>
      </x:c>
      <x:c r="Z186" s="59" t="n">
        <x:f>Z$8+(Z$9-Z$8)*H186</x:f>
        <x:v>1</x:v>
      </x:c>
      <x:c r="AA186" s="59" t="n">
        <x:f>AA$8+(AA$9-AA$8)*I186</x:f>
        <x:v>1</x:v>
      </x:c>
      <x:c r="AB186" s="59" t="n">
        <x:f>AB$8+(AB$9-AB$8)*J186</x:f>
        <x:v>1</x:v>
      </x:c>
      <x:c r="AC186" s="59" t="n">
        <x:f>AC$8+(AC$9-AC$8)*MAX(K186,L186)</x:f>
        <x:v>1</x:v>
      </x:c>
      <x:c r="AD186" s="59" t="n">
        <x:f>(V186*AE186+W186*AF186+X186*AG186)*PRODUCT(Y186:AC186)</x:f>
        <x:v>1.7292389079448882</x:v>
      </x:c>
      <x:c r="AE186" s="59" t="n">
        <x:f>1+AE$9*($H$10*H186+$I$10*I186+$J$10*J186+$K$10*K186+$L$10*L186)</x:f>
        <x:v>1</x:v>
      </x:c>
      <x:c r="AF186" s="59" t="n">
        <x:f>1+AF$9*($H$10*H186+$I$10*I186+$J$10*J186+$K$10*K186+$L$10*L186)</x:f>
        <x:v>1.1697015640468422</x:v>
      </x:c>
      <x:c r="AG186" s="59" t="n">
        <x:f>1+AG$9*($H$10*H186+$I$10*I186+$J$10*J186+$K$10*K186+$L$10*L186)</x:f>
        <x:v>1.300748882949684</x:v>
      </x:c>
      <x:c r="AH186" s="59" t="n">
        <x:f>MIN(1,'_曲线基线'!$L$3+AH$9*($H$10*H186+$I$10*I186+$J$10*J186+$K$10*K186+$L$10*L186))</x:f>
        <x:v>0.43607105820656583</x:v>
      </x:c>
      <x:c r="AI186" s="59" t="n">
        <x:f>'_曲线基线'!$L$4+AI$9*($H$10*H186+$I$10*I186+$J$10*J186+$K$10*K186+$L$10*L186)</x:f>
        <x:v>3.075483662146862</x:v>
      </x:c>
      <x:c r="AJ186" s="59" t="n">
        <x:f>1+AJ$9*($H$10*H186+$I$10*I186+$J$10*J186+$K$10*K186+$L$10*L186)</x:f>
        <x:v>1.8824481330435792</x:v>
      </x:c>
      <x:c r="AK186" s="59" t="n">
        <x:f>(1+AH186*(AI186-1))*AJ186</x:f>
        <x:v>3.586173547177836</x:v>
      </x:c>
      <x:c r="AL186" s="59" t="n">
        <x:f>U186*AD186*AK186*F186</x:f>
        <x:v>1309401.4990553309</x:v>
      </x:c>
      <x:c r="AM186" s="59" t="n">
        <x:f>IF($B186&lt;AM$8,0,AM$3+(AM$4-AM$3)*(POWER(AM$5,$B186-AM$8)-1)/(POWER(AM$5,$C$5-AM$8)-1))</x:f>
        <x:v>41.24019777041963</x:v>
      </x:c>
      <x:c r="AN186" s="59" t="n">
        <x:f>(((E186*'模块规划'!$D$10+G186*'模块规划'!$D$11+H186*'模块规划'!$D$13)*(1+'模块规划'!$G$14*H186)+(I186*'模块规划'!$D$15+J186*'模块规划'!$D$17+K186*'模块规划'!$D$16+L186*'模块规划'!$D$18))*(1+'模块规划'!$J$17*J186))*F186/(1-Q186)</x:f>
        <x:v>1866024.6459977664</x:v>
      </x:c>
      <x:c r="AO186" s="59" t="n">
        <x:f>AL186*AM186</x:f>
        <x:v>53999976.781925775</x:v>
      </x:c>
      <x:c r="AP186" s="61" t="n">
        <x:f>IF(AO186="","",INDEX('_曲线基线'!$A$3:$A$502,MIN(ROWS('_曲线基线'!$A$3:$A$502),COUNTIF('_曲线基线'!$E$3:$E$502,"&lt;"&amp;AO186)+1)))</x:f>
        <x:v>247</x:v>
      </x:c>
      <x:c r="AQ186" s="61" t="n">
        <x:f>IF(B186&lt;=2,1,IF(B186&lt;=6,2,IF(B186&lt;=9,3,IF(B186&lt;=19,4,5))))</x:f>
        <x:v>5</x:v>
      </x:c>
      <x:c r="AR186" s="59" t="n">
        <x:f>AN186*(1-Q186)/F186*$AS$3+U186*$AS$4+P186*$AS$5</x:f>
        <x:v>13598.200912726978</x:v>
      </x:c>
      <x:c r="AS186" s="59" t="n">
        <x:f>1+AH186*$AS$6+AI186*$AS$7+(AJ186-1)*$AS$8+($H$10*H186+$I$10*I186+$J$10*J186+$K$10*K186+$L$10*L186)*$AU$3*$AS$9+($H$10*H186+$I$10*I186+$J$10*J186+$K$10*K186+$L$10*L186)*$AU$4*$AS$10</x:f>
        <x:v>15.121441275200965</x:v>
      </x:c>
      <x:c r="AT186" s="60" t="n">
        <x:f>ROUND(AR186*AS186,0)</x:f>
        <x:v>205624</x:v>
      </x:c>
      <x:c r="AU186" s="60" t="n">
        <x:f>ROUND(AT186*F186,0)</x:f>
        <x:v>1028120</x:v>
      </x:c>
      <x:c r="AV186" s="60" t="n">
        <x:f>MIN(MATCH(B186,'主线调参'!$M$11:$M$62,1),ROWS('主线调参'!$M$11:$M$62)-1)</x:f>
        <x:v>39</x:v>
      </x:c>
      <x:c r="AW186" s="62" t="n">
        <x:f>(B186-INDEX('主线调参'!$M$11:$M$62,AV186))/(INDEX('主线调参'!$M$11:$M$62,AV186+1)-INDEX('主线调参'!$M$11:$M$62,AV186))</x:f>
        <x:v>0</x:v>
      </x:c>
      <x:c r="AX186" s="60" t="n">
        <x:f>IF(AU186=0,0,ROUND(AU186,2-INT(LOG10(ABS(AU186)))))</x:f>
        <x:v>1030000</x:v>
      </x:c>
      <x:c r="AY186" s="62" t="n">
        <x:f>AU186/AU185-1</x:f>
        <x:v>0.006544714054247169</x:v>
      </x:c>
    </x:row>
    <x:row r="187" ht="25" customHeight="1">
      <x:c r="A187" s="40" t="str">
        <x:f>'调前玩家曲线'!A187</x:f>
      </x:c>
      <x:c r="B187" s="40" t="n">
        <x:f>'调前玩家曲线'!B187</x:f>
        <x:v>176</x:v>
      </x:c>
      <x:c r="C187" s="40" t="n">
        <x:f>'调前玩家曲线'!C187</x:f>
        <x:v>13</x:v>
      </x:c>
      <x:c r="D187" s="40" t="n">
        <x:f>'调前玩家曲线'!D187</x:f>
        <x:v>2</x:v>
      </x:c>
      <x:c r="E187" s="40" t="n">
        <x:f>'调前玩家曲线'!E187</x:f>
        <x:v>1</x:v>
      </x:c>
      <x:c r="F187" s="40" t="n">
        <x:f>'调前玩家曲线'!F187</x:f>
        <x:v>5</x:v>
      </x:c>
      <x:c r="G187" s="63" t="n">
        <x:f>IF(B187&lt;$G$8,0,(INDEX('主线调参'!$C$11:$C$62,$AV187)+(INDEX('主线调参'!$C$11:$C$62,$AV187+1)-INDEX('主线调参'!$C$11:$C$62,$AV187))*$AW187)*'参数说明'!$C$27)</x:f>
        <x:v>0.7652247808586007</x:v>
      </x:c>
      <x:c r="H187" s="63" t="n">
        <x:f>IF(B187&lt;$H$8,0,(INDEX('主线调参'!$D$11:$D$62,$AV187)+(INDEX('主线调参'!$D$11:$D$62,$AV187+1)-INDEX('主线调参'!$D$11:$D$62,$AV187))*$AW187)*'参数说明'!$D$27)</x:f>
        <x:v>0.5977902086587631</x:v>
      </x:c>
      <x:c r="I187" s="63" t="n">
        <x:f>IF(B187&lt;$I$8,0,(INDEX('主线调参'!$E$11:$E$62,$AV187)+(INDEX('主线调参'!$E$11:$E$62,$AV187+1)-INDEX('主线调参'!$E$11:$E$62,$AV187))*$AW187)*'参数说明'!$E$27)</x:f>
        <x:v>0.5050209423769723</x:v>
      </x:c>
      <x:c r="J187" s="63" t="n">
        <x:f>IF(B187&lt;$J$8,0,(INDEX('主线调参'!$F$11:$F$62,$AV187)+(INDEX('主线调参'!$F$11:$F$62,$AV187+1)-INDEX('主线调参'!$F$11:$F$62,$AV187))*$AW187)*'参数说明'!$F$27)</x:f>
        <x:v>0.48782690936592327</x:v>
      </x:c>
      <x:c r="K187" s="63" t="n">
        <x:f>IF(B187&lt;$K$8,0,(INDEX('主线调参'!$G$11:$G$62,$AV187)+(INDEX('主线调参'!$G$11:$G$62,$AV187+1)-INDEX('主线调参'!$G$11:$G$62,$AV187))*$AW187)*'参数说明'!$G$27)</x:f>
        <x:v>0.44845033236130993</x:v>
      </x:c>
      <x:c r="L187" s="63" t="n">
        <x:f>IF(B187&lt;$L$8,0,(INDEX('主线调参'!$H$11:$H$62,$AV187)+(INDEX('主线调参'!$H$11:$H$62,$AV187+1)-INDEX('主线调参'!$H$11:$H$62,$AV187))*$AW187)*'参数说明'!$H$27)</x:f>
        <x:v>0.5921561725940497</x:v>
      </x:c>
      <x:c r="M187" s="59" t="n">
        <x:f>E187*'模块规划'!$F$10+G187*'模块规划'!$F$11+H187*'模块规划'!$F$13</x:f>
        <x:v>4673.078948121283</x:v>
      </x:c>
      <x:c r="N187" s="59" t="n">
        <x:f>I187*'模块规划'!$F$15+J187*'模块规划'!$F$17+K187*'模块规划'!$F$16+L187*'模块规划'!$F$18</x:f>
        <x:v>14569.919489813117</x:v>
      </x:c>
      <x:c r="O187" s="59" t="n">
        <x:f>1+O$9*SUMPRODUCT($H$10:$L$10,H187:L187)/SUM($H$10:$L$10)</x:f>
        <x:v>2.9290713157688613</x:v>
      </x:c>
      <x:c r="P187" s="59" t="n">
        <x:f>M187*O187+N187</x:f>
        <x:v>28257.70099307849</x:v>
      </x:c>
      <x:c r="Q187" s="59" t="n">
        <x:f>P187/(P187+'_曲线基线'!$L$2)</x:f>
        <x:v>0.5407375459709032</x:v>
      </x:c>
      <x:c r="R187" s="59" t="n">
        <x:f>E187*'模块规划'!$E$10+G187*'模块规划'!$E$11+H187*'模块规划'!$E$13</x:f>
        <x:v>7009.618422181925</x:v>
      </x:c>
      <x:c r="S187" s="59" t="n">
        <x:f>I187*'模块规划'!$E$15+J187*'模块规划'!$E$17+K187*'模块规划'!$E$16+L187*'模块规划'!$E$18</x:f>
        <x:v>21854.87923471968</x:v>
      </x:c>
      <x:c r="T187" s="59" t="n">
        <x:f>1+T$9*SUMPRODUCT($H$10:$L$10,H187:L187)/SUM($H$10:$L$10)</x:f>
        <x:v>2.9290713157688613</x:v>
      </x:c>
      <x:c r="U187" s="59" t="n">
        <x:f>R187*T187+S187</x:f>
        <x:v>42386.55148961774</x:v>
      </x:c>
      <x:c r="V187" s="59" t="n">
        <x:f>V$8+(V$9-V$8)*H187</x:f>
        <x:v>0.8793370625976289</x:v>
      </x:c>
      <x:c r="W187" s="59" t="n">
        <x:f>IF(B187&lt;$H$8,0,W$8+(W$9-W$8)*H187)</x:f>
        <x:v>0.23911608346350524</x:v>
      </x:c>
      <x:c r="X187" s="59" t="n">
        <x:f>X$8+(X$9-X$8)*H187</x:f>
        <x:v>0.43939230738115986</x:v>
      </x:c>
      <x:c r="Y187" s="59" t="n">
        <x:f>Y$8+(Y$9-Y$8)*G187</x:f>
        <x:v>1</x:v>
      </x:c>
      <x:c r="Z187" s="59" t="n">
        <x:f>Z$8+(Z$9-Z$8)*H187</x:f>
        <x:v>1</x:v>
      </x:c>
      <x:c r="AA187" s="59" t="n">
        <x:f>AA$8+(AA$9-AA$8)*I187</x:f>
        <x:v>1</x:v>
      </x:c>
      <x:c r="AB187" s="59" t="n">
        <x:f>AB$8+(AB$9-AB$8)*J187</x:f>
        <x:v>1</x:v>
      </x:c>
      <x:c r="AC187" s="59" t="n">
        <x:f>AC$8+(AC$9-AC$8)*MAX(K187,L187)</x:f>
        <x:v>1</x:v>
      </x:c>
      <x:c r="AD187" s="59" t="n">
        <x:f>(V187*AE187+W187*AF187+X187*AG187)*PRODUCT(Y187:AC187)</x:f>
        <x:v>1.7311370405280542</x:v>
      </x:c>
      <x:c r="AE187" s="59" t="n">
        <x:f>1+AE$9*($H$10*H187+$I$10*I187+$J$10*J187+$K$10*K187+$L$10*L187)</x:f>
        <x:v>1</x:v>
      </x:c>
      <x:c r="AF187" s="59" t="n">
        <x:f>1+AF$9*($H$10*H187+$I$10*I187+$J$10*J187+$K$10*K187+$L$10*L187)</x:f>
        <x:v>1.1702581161285879</x:v>
      </x:c>
      <x:c r="AG187" s="59" t="n">
        <x:f>1+AG$9*($H$10*H187+$I$10*I187+$J$10*J187+$K$10*K187+$L$10*L187)</x:f>
        <x:v>1.3017352169167775</x:v>
      </x:c>
      <x:c r="AH187" s="59" t="n">
        <x:f>MIN(1,'_曲线基线'!$L$3+AH$9*($H$10*H187+$I$10*I187+$J$10*J187+$K$10*K187+$L$10*L187))</x:f>
        <x:v>0.4373372141925371</x:v>
      </x:c>
      <x:c r="AI187" s="59" t="n">
        <x:f>'_曲线基线'!$L$4+AI$9*($H$10*H187+$I$10*I187+$J$10*J187+$K$10*K187+$L$10*L187)</x:f>
        <x:v>3.079010810964925</x:v>
      </x:c>
      <x:c r="AJ187" s="59" t="n">
        <x:f>1+AJ$9*($H$10*H187+$I$10*I187+$J$10*J187+$K$10*K187+$L$10*L187)</x:f>
        <x:v>1.8853422038686563</x:v>
      </x:c>
      <x:c r="AK187" s="59" t="n">
        <x:f>(1+AH187*(AI187-1))*AJ187</x:f>
        <x:v>3.599549626587884</x:v>
      </x:c>
      <x:c r="AL187" s="59" t="n">
        <x:f>U187*AD187*AK187*F187</x:f>
        <x:v>1320619.4923805771</x:v>
      </x:c>
      <x:c r="AM187" s="59" t="n">
        <x:f>IF($B187&lt;AM$8,0,AM$3+(AM$4-AM$3)*(POWER(AM$5,$B187-AM$8)-1)/(POWER(AM$5,$C$5-AM$8)-1))</x:f>
        <x:v>41.31602438804569</x:v>
      </x:c>
      <x:c r="AN187" s="59" t="n">
        <x:f>(((E187*'模块规划'!$D$10+G187*'模块规划'!$D$11+H187*'模块规划'!$D$13)*(1+'模块规划'!$G$14*H187)+(I187*'模块规划'!$D$15+J187*'模块规划'!$D$17+K187*'模块规划'!$D$16+L187*'模块规划'!$D$18))*(1+'模块规划'!$J$17*J187))*F187/(1-Q187)</x:f>
        <x:v>1877665.2023861827</x:v>
      </x:c>
      <x:c r="AO187" s="59" t="n">
        <x:f>AL187*AM187</x:f>
        <x:v>54562747.154524446</x:v>
      </x:c>
      <x:c r="AP187" s="61" t="n">
        <x:f>IF(AO187="","",INDEX('_曲线基线'!$A$3:$A$502,MIN(ROWS('_曲线基线'!$A$3:$A$502),COUNTIF('_曲线基线'!$E$3:$E$502,"&lt;"&amp;AO187)+1)))</x:f>
        <x:v>248</x:v>
      </x:c>
      <x:c r="AQ187" s="61" t="n">
        <x:f>IF(B187&lt;=2,1,IF(B187&lt;=6,2,IF(B187&lt;=9,3,IF(B187&lt;=19,4,5))))</x:f>
        <x:v>5</x:v>
      </x:c>
      <x:c r="AR187" s="59" t="n">
        <x:f>AN187*(1-Q187)/F187*$AS$3+U187*$AS$4+P187*$AS$5</x:f>
        <x:v>13651.357070081063</x:v>
      </x:c>
      <x:c r="AS187" s="59" t="n">
        <x:f>1+AH187*$AS$6+AI187*$AS$7+(AJ187-1)*$AS$8+($H$10*H187+$I$10*I187+$J$10*J187+$K$10*K187+$L$10*L187)*$AU$3*$AS$9+($H$10*H187+$I$10*I187+$J$10*J187+$K$10*K187+$L$10*L187)*$AU$4*$AS$10</x:f>
        <x:v>15.15469589446757</x:v>
      </x:c>
      <x:c r="AT187" s="60" t="n">
        <x:f>ROUND(AR187*AS187,0)</x:f>
        <x:v>206882</x:v>
      </x:c>
      <x:c r="AU187" s="60" t="n">
        <x:f>ROUND(AT187*F187,0)</x:f>
        <x:v>1034410</x:v>
      </x:c>
      <x:c r="AV187" s="60" t="n">
        <x:f>MIN(MATCH(B187,'主线调参'!$M$11:$M$62,1),ROWS('主线调参'!$M$11:$M$62)-1)</x:f>
        <x:v>39</x:v>
      </x:c>
      <x:c r="AW187" s="62" t="n">
        <x:f>(B187-INDEX('主线调参'!$M$11:$M$62,AV187))/(INDEX('主线调参'!$M$11:$M$62,AV187+1)-INDEX('主线调参'!$M$11:$M$62,AV187))</x:f>
        <x:v>0.07142857142857142</x:v>
      </x:c>
      <x:c r="AX187" s="60" t="n">
        <x:f>IF(AU187=0,0,ROUND(AU187,2-INT(LOG10(ABS(AU187)))))</x:f>
        <x:v>1030000</x:v>
      </x:c>
      <x:c r="AY187" s="62" t="n">
        <x:f>AU187/AU186-1</x:f>
        <x:v>0.006117962883710026</x:v>
      </x:c>
    </x:row>
    <x:row r="188" ht="25" customHeight="1">
      <x:c r="A188" s="40" t="str">
        <x:f>'调前玩家曲线'!A188</x:f>
      </x:c>
      <x:c r="B188" s="40" t="n">
        <x:f>'调前玩家曲线'!B188</x:f>
        <x:v>177</x:v>
      </x:c>
      <x:c r="C188" s="40" t="n">
        <x:f>'调前玩家曲线'!C188</x:f>
        <x:v>13</x:v>
      </x:c>
      <x:c r="D188" s="40" t="n">
        <x:f>'调前玩家曲线'!D188</x:f>
        <x:v>3</x:v>
      </x:c>
      <x:c r="E188" s="40" t="n">
        <x:f>'调前玩家曲线'!E188</x:f>
        <x:v>1</x:v>
      </x:c>
      <x:c r="F188" s="40" t="n">
        <x:f>'调前玩家曲线'!F188</x:f>
        <x:v>5</x:v>
      </x:c>
      <x:c r="G188" s="63" t="n">
        <x:f>IF(B188&lt;$G$8,0,(INDEX('主线调参'!$C$11:$C$62,$AV188)+(INDEX('主线调参'!$C$11:$C$62,$AV188+1)-INDEX('主线调参'!$C$11:$C$62,$AV188))*$AW188)*'参数说明'!$C$27)</x:f>
        <x:v>0.7668186720615432</x:v>
      </x:c>
      <x:c r="H188" s="63" t="n">
        <x:f>IF(B188&lt;$H$8,0,(INDEX('主线调参'!$D$11:$D$62,$AV188)+(INDEX('主线调参'!$D$11:$D$62,$AV188+1)-INDEX('主线调参'!$D$11:$D$62,$AV188))*$AW188)*'参数说明'!$D$27)</x:f>
        <x:v>0.5989732935576382</x:v>
      </x:c>
      <x:c r="I188" s="63" t="n">
        <x:f>IF(B188&lt;$I$8,0,(INDEX('主线调参'!$E$11:$E$62,$AV188)+(INDEX('主线调参'!$E$11:$E$62,$AV188+1)-INDEX('主线调参'!$E$11:$E$62,$AV188))*$AW188)*'参数说明'!$E$27)</x:f>
        <x:v>0.5069189740838662</x:v>
      </x:c>
      <x:c r="J188" s="63" t="n">
        <x:f>IF(B188&lt;$J$8,0,(INDEX('主线调参'!$F$11:$F$62,$AV188)+(INDEX('主线调参'!$F$11:$F$62,$AV188+1)-INDEX('主线调参'!$F$11:$F$62,$AV188))*$AW188)*'参数说明'!$F$27)</x:f>
        <x:v>0.48916237935249707</x:v>
      </x:c>
      <x:c r="K188" s="63" t="n">
        <x:f>IF(B188&lt;$K$8,0,(INDEX('主线调参'!$G$11:$G$62,$AV188)+(INDEX('主线调参'!$G$11:$G$62,$AV188+1)-INDEX('主线调参'!$G$11:$G$62,$AV188))*$AW188)*'参数说明'!$G$27)</x:f>
        <x:v>0.4514366297253216</x:v>
      </x:c>
      <x:c r="L188" s="63" t="n">
        <x:f>IF(B188&lt;$L$8,0,(INDEX('主线调参'!$H$11:$H$62,$AV188)+(INDEX('主线调参'!$H$11:$H$62,$AV188+1)-INDEX('主线调参'!$H$11:$H$62,$AV188))*$AW188)*'参数说明'!$H$27)</x:f>
        <x:v>0.5934315808362943</x:v>
      </x:c>
      <x:c r="M188" s="59" t="n">
        <x:f>E188*'模块规划'!$F$10+G188*'模块规划'!$F$11+H188*'模块规划'!$F$13</x:f>
        <x:v>4680.7296258954075</x:v>
      </x:c>
      <x:c r="N188" s="59" t="n">
        <x:f>I188*'模块规划'!$F$15+J188*'模块规划'!$F$17+K188*'模块规划'!$F$16+L188*'模块规划'!$F$18</x:f>
        <x:v>14622.7532687293</x:v>
      </x:c>
      <x:c r="O188" s="59" t="n">
        <x:f>1+O$9*SUMPRODUCT($H$10:$L$10,H188:L188)/SUM($H$10:$L$10)</x:f>
        <x:v>2.9353772040345127</x:v>
      </x:c>
      <x:c r="P188" s="59" t="n">
        <x:f>M188*O188+N188</x:f>
        <x:v>28362.460310831673</x:v>
      </x:c>
      <x:c r="Q188" s="59" t="n">
        <x:f>P188/(P188+'_曲线基线'!$L$2)</x:f>
        <x:v>0.5416563725704965</x:v>
      </x:c>
      <x:c r="R188" s="59" t="n">
        <x:f>E188*'模块规划'!$E$10+G188*'模块规划'!$E$11+H188*'模块规划'!$E$13</x:f>
        <x:v>7021.094438843111</x:v>
      </x:c>
      <x:c r="S188" s="59" t="n">
        <x:f>I188*'模块规划'!$E$15+J188*'模块规划'!$E$17+K188*'模块规划'!$E$16+L188*'模块规划'!$E$18</x:f>
        <x:v>21934.12990309395</x:v>
      </x:c>
      <x:c r="T188" s="59" t="n">
        <x:f>1+T$9*SUMPRODUCT($H$10:$L$10,H188:L188)/SUM($H$10:$L$10)</x:f>
        <x:v>2.9353772040345127</x:v>
      </x:c>
      <x:c r="U188" s="59" t="n">
        <x:f>R188*T188+S188</x:f>
        <x:v>42543.69046624751</x:v>
      </x:c>
      <x:c r="V188" s="59" t="n">
        <x:f>V$8+(V$9-V$8)*H188</x:f>
        <x:v>0.8796919880672914</x:v>
      </x:c>
      <x:c r="W188" s="59" t="n">
        <x:f>IF(B188&lt;$H$8,0,W$8+(W$9-W$8)*H188)</x:f>
        <x:v>0.23958931742305528</x:v>
      </x:c>
      <x:c r="X188" s="59" t="n">
        <x:f>X$8+(X$9-X$8)*H188</x:f>
        <x:v>0.43971765572835053</x:v>
      </x:c>
      <x:c r="Y188" s="59" t="n">
        <x:f>Y$8+(Y$9-Y$8)*G188</x:f>
        <x:v>1</x:v>
      </x:c>
      <x:c r="Z188" s="59" t="n">
        <x:f>Z$8+(Z$9-Z$8)*H188</x:f>
        <x:v>1</x:v>
      </x:c>
      <x:c r="AA188" s="59" t="n">
        <x:f>AA$8+(AA$9-AA$8)*I188</x:f>
        <x:v>1</x:v>
      </x:c>
      <x:c r="AB188" s="59" t="n">
        <x:f>AB$8+(AB$9-AB$8)*J188</x:f>
        <x:v>1</x:v>
      </x:c>
      <x:c r="AC188" s="59" t="n">
        <x:f>AC$8+(AC$9-AC$8)*MAX(K188,L188)</x:f>
        <x:v>1</x:v>
      </x:c>
      <x:c r="AD188" s="59" t="n">
        <x:f>(V188*AE188+W188*AF188+X188*AG188)*PRODUCT(Y188:AC188)</x:f>
        <x:v>1.7330363416741634</x:v>
      </x:c>
      <x:c r="AE188" s="59" t="n">
        <x:f>1+AE$9*($H$10*H188+$I$10*I188+$J$10*J188+$K$10*K188+$L$10*L188)</x:f>
        <x:v>1</x:v>
      </x:c>
      <x:c r="AF188" s="59" t="n">
        <x:f>1+AF$9*($H$10*H188+$I$10*I188+$J$10*J188+$K$10*K188+$L$10*L188)</x:f>
        <x:v>1.1708146682103335</x:v>
      </x:c>
      <x:c r="AG188" s="59" t="n">
        <x:f>1+AG$9*($H$10*H188+$I$10*I188+$J$10*J188+$K$10*K188+$L$10*L188)</x:f>
        <x:v>1.3027215508838714</x:v>
      </x:c>
      <x:c r="AH188" s="59" t="n">
        <x:f>MIN(1,'_曲线基线'!$L$3+AH$9*($H$10*H188+$I$10*I188+$J$10*J188+$K$10*K188+$L$10*L188))</x:f>
        <x:v>0.43860337017850853</x:v>
      </x:c>
      <x:c r="AI188" s="59" t="n">
        <x:f>'_曲线基线'!$L$4+AI$9*($H$10*H188+$I$10*I188+$J$10*J188+$K$10*K188+$L$10*L188)</x:f>
        <x:v>3.0825379597829885</x:v>
      </x:c>
      <x:c r="AJ188" s="59" t="n">
        <x:f>1+AJ$9*($H$10*H188+$I$10*I188+$J$10*J188+$K$10*K188+$L$10*L188)</x:f>
        <x:v>1.888236274693734</x:v>
      </x:c>
      <x:c r="AK188" s="59" t="n">
        <x:f>(1+AH188*(AI188-1))*AJ188</x:f>
        <x:v>3.6129667105190206</x:v>
      </x:c>
      <x:c r="AL188" s="59" t="n">
        <x:f>U188*AD188*AK188*F188</x:f>
        <x:v>1331915.872747139</x:v>
      </x:c>
      <x:c r="AM188" s="59" t="n">
        <x:f>IF($B188&lt;AM$8,0,AM$3+(AM$4-AM$3)*(POWER(AM$5,$B188-AM$8)-1)/(POWER(AM$5,$C$5-AM$8)-1))</x:f>
        <x:v>41.392609271848016</x:v>
      </x:c>
      <x:c r="AN188" s="59" t="n">
        <x:f>(((E188*'模块规划'!$D$10+G188*'模块规划'!$D$11+H188*'模块规划'!$D$13)*(1+'模块规划'!$G$14*H188)+(I188*'模块规划'!$D$15+J188*'模块规划'!$D$17+K188*'模块规划'!$D$16+L188*'模块规划'!$D$18))*(1+'模块规划'!$J$17*J188))*F188/(1-Q188)</x:f>
        <x:v>1889354.440105753</x:v>
      </x:c>
      <x:c r="AO188" s="59" t="n">
        <x:f>AL188*AM188</x:f>
        <x:v>55131473.30359477</x:v>
      </x:c>
      <x:c r="AP188" s="61" t="n">
        <x:f>IF(AO188="","",INDEX('_曲线基线'!$A$3:$A$502,MIN(ROWS('_曲线基线'!$A$3:$A$502),COUNTIF('_曲线基线'!$E$3:$E$502,"&lt;"&amp;AO188)+1)))</x:f>
        <x:v>248</x:v>
      </x:c>
      <x:c r="AQ188" s="61" t="n">
        <x:f>IF(B188&lt;=2,1,IF(B188&lt;=6,2,IF(B188&lt;=9,3,IF(B188&lt;=19,4,5))))</x:f>
        <x:v>5</x:v>
      </x:c>
      <x:c r="AR188" s="59" t="n">
        <x:f>AN188*(1-Q188)/F188*$AS$3+U188*$AS$4+P188*$AS$5</x:f>
        <x:v>13704.579498718158</x:v>
      </x:c>
      <x:c r="AS188" s="59" t="n">
        <x:f>1+AH188*$AS$6+AI188*$AS$7+(AJ188-1)*$AS$8+($H$10*H188+$I$10*I188+$J$10*J188+$K$10*K188+$L$10*L188)*$AU$3*$AS$9+($H$10*H188+$I$10*I188+$J$10*J188+$K$10*K188+$L$10*L188)*$AU$4*$AS$10</x:f>
        <x:v>15.18795051373418</x:v>
      </x:c>
      <x:c r="AT188" s="60" t="n">
        <x:f>ROUND(AR188*AS188,0)</x:f>
        <x:v>208144</x:v>
      </x:c>
      <x:c r="AU188" s="60" t="n">
        <x:f>ROUND(AT188*F188,0)</x:f>
        <x:v>1040720</x:v>
      </x:c>
      <x:c r="AV188" s="60" t="n">
        <x:f>MIN(MATCH(B188,'主线调参'!$M$11:$M$62,1),ROWS('主线调参'!$M$11:$M$62)-1)</x:f>
        <x:v>39</x:v>
      </x:c>
      <x:c r="AW188" s="62" t="n">
        <x:f>(B188-INDEX('主线调参'!$M$11:$M$62,AV188))/(INDEX('主线调参'!$M$11:$M$62,AV188+1)-INDEX('主线调参'!$M$11:$M$62,AV188))</x:f>
        <x:v>0.14285714285714285</x:v>
      </x:c>
      <x:c r="AX188" s="60" t="n">
        <x:f>IF(AU188=0,0,ROUND(AU188,2-INT(LOG10(ABS(AU188)))))</x:f>
        <x:v>1040000</x:v>
      </x:c>
      <x:c r="AY188" s="62" t="n">
        <x:f>AU188/AU187-1</x:f>
        <x:v>0.006100095706731423</x:v>
      </x:c>
    </x:row>
    <x:row r="189" ht="25" customHeight="1">
      <x:c r="A189" s="40" t="str">
        <x:f>'调前玩家曲线'!A189</x:f>
      </x:c>
      <x:c r="B189" s="40" t="n">
        <x:f>'调前玩家曲线'!B189</x:f>
        <x:v>178</x:v>
      </x:c>
      <x:c r="C189" s="40" t="n">
        <x:f>'调前玩家曲线'!C189</x:f>
        <x:v>13</x:v>
      </x:c>
      <x:c r="D189" s="40" t="n">
        <x:f>'调前玩家曲线'!D189</x:f>
        <x:v>4</x:v>
      </x:c>
      <x:c r="E189" s="40" t="n">
        <x:f>'调前玩家曲线'!E189</x:f>
        <x:v>1</x:v>
      </x:c>
      <x:c r="F189" s="40" t="n">
        <x:f>'调前玩家曲线'!F189</x:f>
        <x:v>5</x:v>
      </x:c>
      <x:c r="G189" s="63" t="n">
        <x:f>IF(B189&lt;$G$8,0,(INDEX('主线调参'!$C$11:$C$62,$AV189)+(INDEX('主线调参'!$C$11:$C$62,$AV189+1)-INDEX('主线调参'!$C$11:$C$62,$AV189))*$AW189)*'参数说明'!$C$27)</x:f>
        <x:v>0.7684125632644858</x:v>
      </x:c>
      <x:c r="H189" s="63" t="n">
        <x:f>IF(B189&lt;$H$8,0,(INDEX('主线调参'!$D$11:$D$62,$AV189)+(INDEX('主线调参'!$D$11:$D$62,$AV189+1)-INDEX('主线调参'!$D$11:$D$62,$AV189))*$AW189)*'参数说明'!$D$27)</x:f>
        <x:v>0.6001563784565132</x:v>
      </x:c>
      <x:c r="I189" s="63" t="n">
        <x:f>IF(B189&lt;$I$8,0,(INDEX('主线调参'!$E$11:$E$62,$AV189)+(INDEX('主线调参'!$E$11:$E$62,$AV189+1)-INDEX('主线调参'!$E$11:$E$62,$AV189))*$AW189)*'参数说明'!$E$27)</x:f>
        <x:v>0.5088170057907602</x:v>
      </x:c>
      <x:c r="J189" s="63" t="n">
        <x:f>IF(B189&lt;$J$8,0,(INDEX('主线调参'!$F$11:$F$62,$AV189)+(INDEX('主线调参'!$F$11:$F$62,$AV189+1)-INDEX('主线调参'!$F$11:$F$62,$AV189))*$AW189)*'参数说明'!$F$27)</x:f>
        <x:v>0.4904978493390708</x:v>
      </x:c>
      <x:c r="K189" s="63" t="n">
        <x:f>IF(B189&lt;$K$8,0,(INDEX('主线调参'!$G$11:$G$62,$AV189)+(INDEX('主线调参'!$G$11:$G$62,$AV189+1)-INDEX('主线调参'!$G$11:$G$62,$AV189))*$AW189)*'参数说明'!$G$27)</x:f>
        <x:v>0.45442292708933335</x:v>
      </x:c>
      <x:c r="L189" s="63" t="n">
        <x:f>IF(B189&lt;$L$8,0,(INDEX('主线调参'!$H$11:$H$62,$AV189)+(INDEX('主线调参'!$H$11:$H$62,$AV189+1)-INDEX('主线调参'!$H$11:$H$62,$AV189))*$AW189)*'参数说明'!$H$27)</x:f>
        <x:v>0.5947069890785389</x:v>
      </x:c>
      <x:c r="M189" s="59" t="n">
        <x:f>E189*'模块规划'!$F$10+G189*'模块规划'!$F$11+H189*'模块规划'!$F$13</x:f>
        <x:v>4688.380303669532</x:v>
      </x:c>
      <x:c r="N189" s="59" t="n">
        <x:f>I189*'模块规划'!$F$15+J189*'模块规划'!$F$17+K189*'模块规划'!$F$16+L189*'模块规划'!$F$18</x:f>
        <x:v>14675.587047645484</x:v>
      </x:c>
      <x:c r="O189" s="59" t="n">
        <x:f>1+O$9*SUMPRODUCT($H$10:$L$10,H189:L189)/SUM($H$10:$L$10)</x:f>
        <x:v>2.9416830923001624</x:v>
      </x:c>
      <x:c r="P189" s="59" t="n">
        <x:f>M189*O189+N189</x:f>
        <x:v>28467.316117223247</x:v>
      </x:c>
      <x:c r="Q189" s="59" t="n">
        <x:f>P189/(P189+'_曲线基线'!$L$2)</x:f>
        <x:v>0.5425723712190871</x:v>
      </x:c>
      <x:c r="R189" s="59" t="n">
        <x:f>E189*'模块规划'!$E$10+G189*'模块规划'!$E$11+H189*'模块规划'!$E$13</x:f>
        <x:v>7032.570455504298</x:v>
      </x:c>
      <x:c r="S189" s="59" t="n">
        <x:f>I189*'模块规划'!$E$15+J189*'模块规划'!$E$17+K189*'模块规划'!$E$16+L189*'模块规划'!$E$18</x:f>
        <x:v>22013.380571468228</x:v>
      </x:c>
      <x:c r="T189" s="59" t="n">
        <x:f>1+T$9*SUMPRODUCT($H$10:$L$10,H189:L189)/SUM($H$10:$L$10)</x:f>
        <x:v>2.9416830923001624</x:v>
      </x:c>
      <x:c r="U189" s="59" t="n">
        <x:f>R189*T189+S189</x:f>
        <x:v>42700.97417583487</x:v>
      </x:c>
      <x:c r="V189" s="59" t="n">
        <x:f>V$8+(V$9-V$8)*H189</x:f>
        <x:v>0.880046913536954</x:v>
      </x:c>
      <x:c r="W189" s="59" t="n">
        <x:f>IF(B189&lt;$H$8,0,W$8+(W$9-W$8)*H189)</x:f>
        <x:v>0.24006255138260527</x:v>
      </x:c>
      <x:c r="X189" s="59" t="n">
        <x:f>X$8+(X$9-X$8)*H189</x:f>
        <x:v>0.44004300407554114</x:v>
      </x:c>
      <x:c r="Y189" s="59" t="n">
        <x:f>Y$8+(Y$9-Y$8)*G189</x:f>
        <x:v>1</x:v>
      </x:c>
      <x:c r="Z189" s="59" t="n">
        <x:f>Z$8+(Z$9-Z$8)*H189</x:f>
        <x:v>1</x:v>
      </x:c>
      <x:c r="AA189" s="59" t="n">
        <x:f>AA$8+(AA$9-AA$8)*I189</x:f>
        <x:v>1</x:v>
      </x:c>
      <x:c r="AB189" s="59" t="n">
        <x:f>AB$8+(AB$9-AB$8)*J189</x:f>
        <x:v>1</x:v>
      </x:c>
      <x:c r="AC189" s="59" t="n">
        <x:f>AC$8+(AC$9-AC$8)*MAX(K189,L189)</x:f>
        <x:v>1</x:v>
      </x:c>
      <x:c r="AD189" s="59" t="n">
        <x:f>(V189*AE189+W189*AF189+X189*AG189)*PRODUCT(Y189:AC189)</x:f>
        <x:v>1.7349368113832146</x:v>
      </x:c>
      <x:c r="AE189" s="59" t="n">
        <x:f>1+AE$9*($H$10*H189+$I$10*I189+$J$10*J189+$K$10*K189+$L$10*L189)</x:f>
        <x:v>1</x:v>
      </x:c>
      <x:c r="AF189" s="59" t="n">
        <x:f>1+AF$9*($H$10*H189+$I$10*I189+$J$10*J189+$K$10*K189+$L$10*L189)</x:f>
        <x:v>1.1713712202920792</x:v>
      </x:c>
      <x:c r="AG189" s="59" t="n">
        <x:f>1+AG$9*($H$10*H189+$I$10*I189+$J$10*J189+$K$10*K189+$L$10*L189)</x:f>
        <x:v>1.303707884850965</x:v>
      </x:c>
      <x:c r="AH189" s="59" t="n">
        <x:f>MIN(1,'_曲线基线'!$L$3+AH$9*($H$10*H189+$I$10*I189+$J$10*J189+$K$10*K189+$L$10*L189))</x:f>
        <x:v>0.43986952616447983</x:v>
      </x:c>
      <x:c r="AI189" s="59" t="n">
        <x:f>'_曲线基线'!$L$4+AI$9*($H$10*H189+$I$10*I189+$J$10*J189+$K$10*K189+$L$10*L189)</x:f>
        <x:v>3.0860651086010513</x:v>
      </x:c>
      <x:c r="AJ189" s="59" t="n">
        <x:f>1+AJ$9*($H$10*H189+$I$10*I189+$J$10*J189+$K$10*K189+$L$10*L189)</x:f>
        <x:v>1.8911303455188113</x:v>
      </x:c>
      <x:c r="AK189" s="59" t="n">
        <x:f>(1+AH189*(AI189-1))*AJ189</x:f>
        <x:v>3.626424876519386</x:v>
      </x:c>
      <x:c r="AL189" s="59" t="n">
        <x:f>U189*AD189*AK189*F189</x:f>
        <x:v>1343291.0912708656</x:v>
      </x:c>
      <x:c r="AM189" s="59" t="n">
        <x:f>IF($B189&lt;AM$8,0,AM$3+(AM$4-AM$3)*(POWER(AM$5,$B189-AM$8)-1)/(POWER(AM$5,$C$5-AM$8)-1))</x:f>
        <x:v>41.469960004488364</x:v>
      </x:c>
      <x:c r="AN189" s="59" t="n">
        <x:f>(((E189*'模块规划'!$D$10+G189*'模块规划'!$D$11+H189*'模块规划'!$D$13)*(1+'模块规划'!$G$14*H189)+(I189*'模块规划'!$D$15+J189*'模块规划'!$D$17+K189*'模块规划'!$D$16+L189*'模块规划'!$D$18))*(1+'模块规划'!$J$17*J189))*F189/(1-Q189)</x:f>
        <x:v>1901092.4887091925</x:v>
      </x:c>
      <x:c r="AO189" s="59" t="n">
        <x:f>AL189*AM189</x:f>
        <x:v>55706227.82938833</x:v>
      </x:c>
      <x:c r="AP189" s="61" t="n">
        <x:f>IF(AO189="","",INDEX('_曲线基线'!$A$3:$A$502,MIN(ROWS('_曲线基线'!$A$3:$A$502),COUNTIF('_曲线基线'!$E$3:$E$502,"&lt;"&amp;AO189)+1)))</x:f>
        <x:v>249</x:v>
      </x:c>
      <x:c r="AQ189" s="61" t="n">
        <x:f>IF(B189&lt;=2,1,IF(B189&lt;=6,2,IF(B189&lt;=9,3,IF(B189&lt;=19,4,5))))</x:f>
        <x:v>5</x:v>
      </x:c>
      <x:c r="AR189" s="59" t="n">
        <x:f>AN189*(1-Q189)/F189*$AS$3+U189*$AS$4+P189*$AS$5</x:f>
        <x:v>13757.868210387676</x:v>
      </x:c>
      <x:c r="AS189" s="59" t="n">
        <x:f>1+AH189*$AS$6+AI189*$AS$7+(AJ189-1)*$AS$8+($H$10*H189+$I$10*I189+$J$10*J189+$K$10*K189+$L$10*L189)*$AU$3*$AS$9+($H$10*H189+$I$10*I189+$J$10*J189+$K$10*K189+$L$10*L189)*$AU$4*$AS$10</x:f>
        <x:v>15.221205133000783</x:v>
      </x:c>
      <x:c r="AT189" s="60" t="n">
        <x:f>ROUND(AR189*AS189,0)</x:f>
        <x:v>209411</x:v>
      </x:c>
      <x:c r="AU189" s="60" t="n">
        <x:f>ROUND(AT189*F189,0)</x:f>
        <x:v>1047055</x:v>
      </x:c>
      <x:c r="AV189" s="60" t="n">
        <x:f>MIN(MATCH(B189,'主线调参'!$M$11:$M$62,1),ROWS('主线调参'!$M$11:$M$62)-1)</x:f>
        <x:v>39</x:v>
      </x:c>
      <x:c r="AW189" s="62" t="n">
        <x:f>(B189-INDEX('主线调参'!$M$11:$M$62,AV189))/(INDEX('主线调参'!$M$11:$M$62,AV189+1)-INDEX('主线调参'!$M$11:$M$62,AV189))</x:f>
        <x:v>0.21428571428571427</x:v>
      </x:c>
      <x:c r="AX189" s="60" t="n">
        <x:f>IF(AU189=0,0,ROUND(AU189,2-INT(LOG10(ABS(AU189)))))</x:f>
        <x:v>1050000</x:v>
      </x:c>
      <x:c r="AY189" s="62" t="n">
        <x:f>AU189/AU188-1</x:f>
        <x:v>0.006087131985548444</x:v>
      </x:c>
    </x:row>
    <x:row r="190" ht="25" customHeight="1">
      <x:c r="A190" s="40" t="str">
        <x:f>'调前玩家曲线'!A190</x:f>
      </x:c>
      <x:c r="B190" s="40" t="n">
        <x:f>'调前玩家曲线'!B190</x:f>
        <x:v>179</x:v>
      </x:c>
      <x:c r="C190" s="40" t="n">
        <x:f>'调前玩家曲线'!C190</x:f>
        <x:v>13</x:v>
      </x:c>
      <x:c r="D190" s="40" t="n">
        <x:f>'调前玩家曲线'!D190</x:f>
        <x:v>5</x:v>
      </x:c>
      <x:c r="E190" s="40" t="n">
        <x:f>'调前玩家曲线'!E190</x:f>
        <x:v>1</x:v>
      </x:c>
      <x:c r="F190" s="40" t="n">
        <x:f>'调前玩家曲线'!F190</x:f>
        <x:v>5</x:v>
      </x:c>
      <x:c r="G190" s="63" t="n">
        <x:f>IF(B190&lt;$G$8,0,(INDEX('主线调参'!$C$11:$C$62,$AV190)+(INDEX('主线调参'!$C$11:$C$62,$AV190+1)-INDEX('主线调参'!$C$11:$C$62,$AV190))*$AW190)*'参数说明'!$C$27)</x:f>
        <x:v>0.7700064544674285</x:v>
      </x:c>
      <x:c r="H190" s="63" t="n">
        <x:f>IF(B190&lt;$H$8,0,(INDEX('主线调参'!$D$11:$D$62,$AV190)+(INDEX('主线调参'!$D$11:$D$62,$AV190+1)-INDEX('主线调参'!$D$11:$D$62,$AV190))*$AW190)*'参数说明'!$D$27)</x:f>
        <x:v>0.6013394633553882</x:v>
      </x:c>
      <x:c r="I190" s="63" t="n">
        <x:f>IF(B190&lt;$I$8,0,(INDEX('主线调参'!$E$11:$E$62,$AV190)+(INDEX('主线调参'!$E$11:$E$62,$AV190+1)-INDEX('主线调参'!$E$11:$E$62,$AV190))*$AW190)*'参数说明'!$E$27)</x:f>
        <x:v>0.5107150374976542</x:v>
      </x:c>
      <x:c r="J190" s="63" t="n">
        <x:f>IF(B190&lt;$J$8,0,(INDEX('主线调参'!$F$11:$F$62,$AV190)+(INDEX('主线调参'!$F$11:$F$62,$AV190+1)-INDEX('主线调参'!$F$11:$F$62,$AV190))*$AW190)*'参数说明'!$F$27)</x:f>
        <x:v>0.49183331932564467</x:v>
      </x:c>
      <x:c r="K190" s="63" t="n">
        <x:f>IF(B190&lt;$K$8,0,(INDEX('主线调参'!$G$11:$G$62,$AV190)+(INDEX('主线调参'!$G$11:$G$62,$AV190+1)-INDEX('主线调参'!$G$11:$G$62,$AV190))*$AW190)*'参数说明'!$G$27)</x:f>
        <x:v>0.45740922445334503</x:v>
      </x:c>
      <x:c r="L190" s="63" t="n">
        <x:f>IF(B190&lt;$L$8,0,(INDEX('主线调参'!$H$11:$H$62,$AV190)+(INDEX('主线调参'!$H$11:$H$62,$AV190+1)-INDEX('主线调参'!$H$11:$H$62,$AV190))*$AW190)*'参数说明'!$H$27)</x:f>
        <x:v>0.5959823973207836</x:v>
      </x:c>
      <x:c r="M190" s="59" t="n">
        <x:f>E190*'模块规划'!$F$10+G190*'模块规划'!$F$11+H190*'模块规划'!$F$13</x:f>
        <x:v>4696.030981443657</x:v>
      </x:c>
      <x:c r="N190" s="59" t="n">
        <x:f>I190*'模块规划'!$F$15+J190*'模块规划'!$F$17+K190*'模块规划'!$F$16+L190*'模块规划'!$F$18</x:f>
        <x:v>14728.420826561669</x:v>
      </x:c>
      <x:c r="O190" s="59" t="n">
        <x:f>1+O$9*SUMPRODUCT($H$10:$L$10,H190:L190)/SUM($H$10:$L$10)</x:f>
        <x:v>2.947988980565813</x:v>
      </x:c>
      <x:c r="P190" s="59" t="n">
        <x:f>M190*O190+N190</x:f>
        <x:v>28572.26841225323</x:v>
      </x:c>
      <x:c r="Q190" s="59" t="n">
        <x:f>P190/(P190+'_曲线基线'!$L$2)</x:f>
        <x:v>0.5434855537942467</x:v>
      </x:c>
      <x:c r="R190" s="59" t="n">
        <x:f>E190*'模块规划'!$E$10+G190*'模块规划'!$E$11+H190*'模块规划'!$E$13</x:f>
        <x:v>7044.046472165485</x:v>
      </x:c>
      <x:c r="S190" s="59" t="n">
        <x:f>I190*'模块规划'!$E$15+J190*'模块规划'!$E$17+K190*'模块规划'!$E$16+L190*'模块规划'!$E$18</x:f>
        <x:v>22092.631239842503</x:v>
      </x:c>
      <x:c r="T190" s="59" t="n">
        <x:f>1+T$9*SUMPRODUCT($H$10:$L$10,H190:L190)/SUM($H$10:$L$10)</x:f>
        <x:v>2.947988980565813</x:v>
      </x:c>
      <x:c r="U190" s="59" t="n">
        <x:f>R190*T190+S190</x:f>
        <x:v>42858.40261837984</x:v>
      </x:c>
      <x:c r="V190" s="59" t="n">
        <x:f>V$8+(V$9-V$8)*H190</x:f>
        <x:v>0.8804018390066164</x:v>
      </x:c>
      <x:c r="W190" s="59" t="n">
        <x:f>IF(B190&lt;$H$8,0,W$8+(W$9-W$8)*H190)</x:f>
        <x:v>0.2405357853421553</x:v>
      </x:c>
      <x:c r="X190" s="59" t="n">
        <x:f>X$8+(X$9-X$8)*H190</x:f>
        <x:v>0.4403683524227318</x:v>
      </x:c>
      <x:c r="Y190" s="59" t="n">
        <x:f>Y$8+(Y$9-Y$8)*G190</x:f>
        <x:v>1</x:v>
      </x:c>
      <x:c r="Z190" s="59" t="n">
        <x:f>Z$8+(Z$9-Z$8)*H190</x:f>
        <x:v>1</x:v>
      </x:c>
      <x:c r="AA190" s="59" t="n">
        <x:f>AA$8+(AA$9-AA$8)*I190</x:f>
        <x:v>1</x:v>
      </x:c>
      <x:c r="AB190" s="59" t="n">
        <x:f>AB$8+(AB$9-AB$8)*J190</x:f>
        <x:v>1</x:v>
      </x:c>
      <x:c r="AC190" s="59" t="n">
        <x:f>AC$8+(AC$9-AC$8)*MAX(K190,L190)</x:f>
        <x:v>1</x:v>
      </x:c>
      <x:c r="AD190" s="59" t="n">
        <x:f>(V190*AE190+W190*AF190+X190*AG190)*PRODUCT(Y190:AC190)</x:f>
        <x:v>1.7368384496552087</x:v>
      </x:c>
      <x:c r="AE190" s="59" t="n">
        <x:f>1+AE$9*($H$10*H190+$I$10*I190+$J$10*J190+$K$10*K190+$L$10*L190)</x:f>
        <x:v>1</x:v>
      </x:c>
      <x:c r="AF190" s="59" t="n">
        <x:f>1+AF$9*($H$10*H190+$I$10*I190+$J$10*J190+$K$10*K190+$L$10*L190)</x:f>
        <x:v>1.1719277723738248</x:v>
      </x:c>
      <x:c r="AG190" s="59" t="n">
        <x:f>1+AG$9*($H$10*H190+$I$10*I190+$J$10*J190+$K$10*K190+$L$10*L190)</x:f>
        <x:v>1.3046942188180588</x:v>
      </x:c>
      <x:c r="AH190" s="59" t="n">
        <x:f>MIN(1,'_曲线基线'!$L$3+AH$9*($H$10*H190+$I$10*I190+$J$10*J190+$K$10*K190+$L$10*L190))</x:f>
        <x:v>0.4411356821504513</x:v>
      </x:c>
      <x:c r="AI190" s="59" t="n">
        <x:f>'_曲线基线'!$L$4+AI$9*($H$10*H190+$I$10*I190+$J$10*J190+$K$10*K190+$L$10*L190)</x:f>
        <x:v>3.089592257419114</x:v>
      </x:c>
      <x:c r="AJ190" s="59" t="n">
        <x:f>1+AJ$9*($H$10*H190+$I$10*I190+$J$10*J190+$K$10*K190+$L$10*L190)</x:f>
        <x:v>1.8940244163438886</x:v>
      </x:c>
      <x:c r="AK190" s="59" t="n">
        <x:f>(1+AH190*(AI190-1))*AJ190</x:f>
        <x:v>3.6399242021371254</x:v>
      </x:c>
      <x:c r="AL190" s="59" t="n">
        <x:f>U190*AD190*AK190*F190</x:f>
        <x:v>1354745.601110329</x:v>
      </x:c>
      <x:c r="AM190" s="59" t="n">
        <x:f>IF($B190&lt;AM$8,0,AM$3+(AM$4-AM$3)*(POWER(AM$5,$B190-AM$8)-1)/(POWER(AM$5,$C$5-AM$8)-1))</x:f>
        <x:v>41.54808424445512</x:v>
      </x:c>
      <x:c r="AN190" s="59" t="n">
        <x:f>(((E190*'模块规划'!$D$10+G190*'模块规划'!$D$11+H190*'模块规划'!$D$13)*(1+'模块规划'!$G$14*H190)+(I190*'模块规划'!$D$15+J190*'模块规划'!$D$17+K190*'模块规划'!$D$16+L190*'模块规划'!$D$18))*(1+'模块规划'!$J$17*J190))*F190/(1-Q190)</x:f>
        <x:v>1912879.4779335356</x:v>
      </x:c>
      <x:c r="AO190" s="59" t="n">
        <x:f>AL190*AM190</x:f>
        <x:v>56287084.36473694</x:v>
      </x:c>
      <x:c r="AP190" s="61" t="n">
        <x:f>IF(AO190="","",INDEX('_曲线基线'!$A$3:$A$502,MIN(ROWS('_曲线基线'!$A$3:$A$502),COUNTIF('_曲线基线'!$E$3:$E$502,"&lt;"&amp;AO190)+1)))</x:f>
        <x:v>250</x:v>
      </x:c>
      <x:c r="AQ190" s="61" t="n">
        <x:f>IF(B190&lt;=2,1,IF(B190&lt;=6,2,IF(B190&lt;=9,3,IF(B190&lt;=19,4,5))))</x:f>
        <x:v>5</x:v>
      </x:c>
      <x:c r="AR190" s="59" t="n">
        <x:f>AN190*(1-Q190)/F190*$AS$3+U190*$AS$4+P190*$AS$5</x:f>
        <x:v>13811.22321683904</x:v>
      </x:c>
      <x:c r="AS190" s="59" t="n">
        <x:f>1+AH190*$AS$6+AI190*$AS$7+(AJ190-1)*$AS$8+($H$10*H190+$I$10*I190+$J$10*J190+$K$10*K190+$L$10*L190)*$AU$3*$AS$9+($H$10*H190+$I$10*I190+$J$10*J190+$K$10*K190+$L$10*L190)*$AU$4*$AS$10</x:f>
        <x:v>15.254459752267387</x:v>
      </x:c>
      <x:c r="AT190" s="60" t="n">
        <x:f>ROUND(AR190*AS190,0)</x:f>
        <x:v>210683</x:v>
      </x:c>
      <x:c r="AU190" s="60" t="n">
        <x:f>ROUND(AT190*F190,0)</x:f>
        <x:v>1053415</x:v>
      </x:c>
      <x:c r="AV190" s="60" t="n">
        <x:f>MIN(MATCH(B190,'主线调参'!$M$11:$M$62,1),ROWS('主线调参'!$M$11:$M$62)-1)</x:f>
        <x:v>39</x:v>
      </x:c>
      <x:c r="AW190" s="62" t="n">
        <x:f>(B190-INDEX('主线调参'!$M$11:$M$62,AV190))/(INDEX('主线调参'!$M$11:$M$62,AV190+1)-INDEX('主线调参'!$M$11:$M$62,AV190))</x:f>
        <x:v>0.2857142857142857</x:v>
      </x:c>
      <x:c r="AX190" s="60" t="n">
        <x:f>IF(AU190=0,0,ROUND(AU190,2-INT(LOG10(ABS(AU190)))))</x:f>
        <x:v>1050000</x:v>
      </x:c>
      <x:c r="AY190" s="62" t="n">
        <x:f>AU190/AU189-1</x:f>
        <x:v>0.006074179484363285</x:v>
      </x:c>
    </x:row>
    <x:row r="191" ht="25" customHeight="1">
      <x:c r="A191" s="40" t="str">
        <x:f>'调前玩家曲线'!A191</x:f>
      </x:c>
      <x:c r="B191" s="40" t="n">
        <x:f>'调前玩家曲线'!B191</x:f>
        <x:v>180</x:v>
      </x:c>
      <x:c r="C191" s="40" t="n">
        <x:f>'调前玩家曲线'!C191</x:f>
        <x:v>13</x:v>
      </x:c>
      <x:c r="D191" s="40" t="n">
        <x:f>'调前玩家曲线'!D191</x:f>
        <x:v>6</x:v>
      </x:c>
      <x:c r="E191" s="40" t="n">
        <x:f>'调前玩家曲线'!E191</x:f>
        <x:v>1</x:v>
      </x:c>
      <x:c r="F191" s="40" t="n">
        <x:f>'调前玩家曲线'!F191</x:f>
        <x:v>5</x:v>
      </x:c>
      <x:c r="G191" s="63" t="n">
        <x:f>IF(B191&lt;$G$8,0,(INDEX('主线调参'!$C$11:$C$62,$AV191)+(INDEX('主线调参'!$C$11:$C$62,$AV191+1)-INDEX('主线调参'!$C$11:$C$62,$AV191))*$AW191)*'参数说明'!$C$27)</x:f>
        <x:v>0.7716003456703711</x:v>
      </x:c>
      <x:c r="H191" s="63" t="n">
        <x:f>IF(B191&lt;$H$8,0,(INDEX('主线调参'!$D$11:$D$62,$AV191)+(INDEX('主线调参'!$D$11:$D$62,$AV191+1)-INDEX('主线调参'!$D$11:$D$62,$AV191))*$AW191)*'参数说明'!$D$27)</x:f>
        <x:v>0.6025225482542633</x:v>
      </x:c>
      <x:c r="I191" s="63" t="n">
        <x:f>IF(B191&lt;$I$8,0,(INDEX('主线调参'!$E$11:$E$62,$AV191)+(INDEX('主线调参'!$E$11:$E$62,$AV191+1)-INDEX('主线调参'!$E$11:$E$62,$AV191))*$AW191)*'参数说明'!$E$27)</x:f>
        <x:v>0.5126130692045482</x:v>
      </x:c>
      <x:c r="J191" s="63" t="n">
        <x:f>IF(B191&lt;$J$8,0,(INDEX('主线调参'!$F$11:$F$62,$AV191)+(INDEX('主线调参'!$F$11:$F$62,$AV191+1)-INDEX('主线调参'!$F$11:$F$62,$AV191))*$AW191)*'参数说明'!$F$27)</x:f>
        <x:v>0.49316878931221847</x:v>
      </x:c>
      <x:c r="K191" s="63" t="n">
        <x:f>IF(B191&lt;$K$8,0,(INDEX('主线调参'!$G$11:$G$62,$AV191)+(INDEX('主线调参'!$G$11:$G$62,$AV191+1)-INDEX('主线调参'!$G$11:$G$62,$AV191))*$AW191)*'参数说明'!$G$27)</x:f>
        <x:v>0.46039552181735666</x:v>
      </x:c>
      <x:c r="L191" s="63" t="n">
        <x:f>IF(B191&lt;$L$8,0,(INDEX('主线调参'!$H$11:$H$62,$AV191)+(INDEX('主线调参'!$H$11:$H$62,$AV191+1)-INDEX('主线调参'!$H$11:$H$62,$AV191))*$AW191)*'参数说明'!$H$27)</x:f>
        <x:v>0.5972578055630282</x:v>
      </x:c>
      <x:c r="M191" s="59" t="n">
        <x:f>E191*'模块规划'!$F$10+G191*'模块规划'!$F$11+H191*'模块规划'!$F$13</x:f>
        <x:v>4703.681659217781</x:v>
      </x:c>
      <x:c r="N191" s="59" t="n">
        <x:f>I191*'模块规划'!$F$15+J191*'模块规划'!$F$17+K191*'模块规划'!$F$16+L191*'模块规划'!$F$18</x:f>
        <x:v>14781.25460547785</x:v>
      </x:c>
      <x:c r="O191" s="59" t="n">
        <x:f>1+O$9*SUMPRODUCT($H$10:$L$10,H191:L191)/SUM($H$10:$L$10)</x:f>
        <x:v>2.9542948688314636</x:v>
      </x:c>
      <x:c r="P191" s="59" t="n">
        <x:f>M191*O191+N191</x:f>
        <x:v>28677.317195921605</x:v>
      </x:c>
      <x:c r="Q191" s="59" t="n">
        <x:f>P191/(P191+'_曲线基线'!$L$2)</x:f>
        <x:v>0.544395932109881</x:v>
      </x:c>
      <x:c r="R191" s="59" t="n">
        <x:f>E191*'模块规划'!$E$10+G191*'模块规划'!$E$11+H191*'模块规划'!$E$13</x:f>
        <x:v>7055.522488826671</x:v>
      </x:c>
      <x:c r="S191" s="59" t="n">
        <x:f>I191*'模块规划'!$E$15+J191*'模块规划'!$E$17+K191*'模块规划'!$E$16+L191*'模块规划'!$E$18</x:f>
        <x:v>22171.881908216776</x:v>
      </x:c>
      <x:c r="T191" s="59" t="n">
        <x:f>1+T$9*SUMPRODUCT($H$10:$L$10,H191:L191)/SUM($H$10:$L$10)</x:f>
        <x:v>2.9542948688314636</x:v>
      </x:c>
      <x:c r="U191" s="59" t="n">
        <x:f>R191*T191+S191</x:f>
        <x:v>43015.975793882404</x:v>
      </x:c>
      <x:c r="V191" s="59" t="n">
        <x:f>V$8+(V$9-V$8)*H191</x:f>
        <x:v>0.880756764476279</x:v>
      </x:c>
      <x:c r="W191" s="59" t="n">
        <x:f>IF(B191&lt;$H$8,0,W$8+(W$9-W$8)*H191)</x:f>
        <x:v>0.24100901930170535</x:v>
      </x:c>
      <x:c r="X191" s="59" t="n">
        <x:f>X$8+(X$9-X$8)*H191</x:f>
        <x:v>0.4406937007699224</x:v>
      </x:c>
      <x:c r="Y191" s="59" t="n">
        <x:f>Y$8+(Y$9-Y$8)*G191</x:f>
        <x:v>1</x:v>
      </x:c>
      <x:c r="Z191" s="59" t="n">
        <x:f>Z$8+(Z$9-Z$8)*H191</x:f>
        <x:v>1</x:v>
      </x:c>
      <x:c r="AA191" s="59" t="n">
        <x:f>AA$8+(AA$9-AA$8)*I191</x:f>
        <x:v>1</x:v>
      </x:c>
      <x:c r="AB191" s="59" t="n">
        <x:f>AB$8+(AB$9-AB$8)*J191</x:f>
        <x:v>1</x:v>
      </x:c>
      <x:c r="AC191" s="59" t="n">
        <x:f>AC$8+(AC$9-AC$8)*MAX(K191,L191)</x:f>
        <x:v>1</x:v>
      </x:c>
      <x:c r="AD191" s="59" t="n">
        <x:f>(V191*AE191+W191*AF191+X191*AG191)*PRODUCT(Y191:AC191)</x:f>
        <x:v>1.7387412564901457</x:v>
      </x:c>
      <x:c r="AE191" s="59" t="n">
        <x:f>1+AE$9*($H$10*H191+$I$10*I191+$J$10*J191+$K$10*K191+$L$10*L191)</x:f>
        <x:v>1</x:v>
      </x:c>
      <x:c r="AF191" s="59" t="n">
        <x:f>1+AF$9*($H$10*H191+$I$10*I191+$J$10*J191+$K$10*K191+$L$10*L191)</x:f>
        <x:v>1.1724843244555705</x:v>
      </x:c>
      <x:c r="AG191" s="59" t="n">
        <x:f>1+AG$9*($H$10*H191+$I$10*I191+$J$10*J191+$K$10*K191+$L$10*L191)</x:f>
        <x:v>1.3056805527851525</x:v>
      </x:c>
      <x:c r="AH191" s="59" t="n">
        <x:f>MIN(1,'_曲线基线'!$L$3+AH$9*($H$10*H191+$I$10*I191+$J$10*J191+$K$10*K191+$L$10*L191))</x:f>
        <x:v>0.44240183813642264</x:v>
      </x:c>
      <x:c r="AI191" s="59" t="n">
        <x:f>'_曲线基线'!$L$4+AI$9*($H$10*H191+$I$10*I191+$J$10*J191+$K$10*K191+$L$10*L191)</x:f>
        <x:v>3.0931194062371774</x:v>
      </x:c>
      <x:c r="AJ191" s="59" t="n">
        <x:f>1+AJ$9*($H$10*H191+$I$10*I191+$J$10*J191+$K$10*K191+$L$10*L191)</x:f>
        <x:v>1.8969184871689662</x:v>
      </x:c>
      <x:c r="AK191" s="59" t="n">
        <x:f>(1+AH191*(AI191-1))*AJ191</x:f>
        <x:v>3.6534647649203804</x:v>
      </x:c>
      <x:c r="AL191" s="59" t="n">
        <x:f>U191*AD191*AK191*F191</x:f>
        <x:v>1366279.8574734738</x:v>
      </x:c>
      <x:c r="AM191" s="59" t="n">
        <x:f>IF($B191&lt;AM$8,0,AM$3+(AM$4-AM$3)*(POWER(AM$5,$B191-AM$8)-1)/(POWER(AM$5,$C$5-AM$8)-1))</x:f>
        <x:v>41.626989726821535</x:v>
      </x:c>
      <x:c r="AN191" s="59" t="n">
        <x:f>(((E191*'模块规划'!$D$10+G191*'模块规划'!$D$11+H191*'模块规划'!$D$13)*(1+'模块规划'!$G$14*H191)+(I191*'模块规划'!$D$15+J191*'模块规划'!$D$17+K191*'模块规划'!$D$16+L191*'模块规划'!$D$18))*(1+'模块规划'!$J$17*J191))*F191/(1-Q191)</x:f>
        <x:v>1924715.5377001995</x:v>
      </x:c>
      <x:c r="AO191" s="59" t="n">
        <x:f>AL191*AM191</x:f>
        <x:v>56874117.59101148</x:v>
      </x:c>
      <x:c r="AP191" s="61" t="n">
        <x:f>IF(AO191="","",INDEX('_曲线基线'!$A$3:$A$502,MIN(ROWS('_曲线基线'!$A$3:$A$502),COUNTIF('_曲线基线'!$E$3:$E$502,"&lt;"&amp;AO191)+1)))</x:f>
        <x:v>251</x:v>
      </x:c>
      <x:c r="AQ191" s="61" t="n">
        <x:f>IF(B191&lt;=2,1,IF(B191&lt;=6,2,IF(B191&lt;=9,3,IF(B191&lt;=19,4,5))))</x:f>
        <x:v>5</x:v>
      </x:c>
      <x:c r="AR191" s="59" t="n">
        <x:f>AN191*(1-Q191)/F191*$AS$3+U191*$AS$4+P191*$AS$5</x:f>
        <x:v>13864.644529821651</x:v>
      </x:c>
      <x:c r="AS191" s="59" t="n">
        <x:f>1+AH191*$AS$6+AI191*$AS$7+(AJ191-1)*$AS$8+($H$10*H191+$I$10*I191+$J$10*J191+$K$10*K191+$L$10*L191)*$AU$3*$AS$9+($H$10*H191+$I$10*I191+$J$10*J191+$K$10*K191+$L$10*L191)*$AU$4*$AS$10</x:f>
        <x:v>15.287714371533994</x:v>
      </x:c>
      <x:c r="AT191" s="60" t="n">
        <x:f>ROUND(AR191*AS191,0)</x:f>
        <x:v>211959</x:v>
      </x:c>
      <x:c r="AU191" s="60" t="n">
        <x:f>ROUND(AT191*F191,0)</x:f>
        <x:v>1059795</x:v>
      </x:c>
      <x:c r="AV191" s="60" t="n">
        <x:f>MIN(MATCH(B191,'主线调参'!$M$11:$M$62,1),ROWS('主线调参'!$M$11:$M$62)-1)</x:f>
        <x:v>39</x:v>
      </x:c>
      <x:c r="AW191" s="62" t="n">
        <x:f>(B191-INDEX('主线调参'!$M$11:$M$62,AV191))/(INDEX('主线调参'!$M$11:$M$62,AV191+1)-INDEX('主线调参'!$M$11:$M$62,AV191))</x:f>
        <x:v>0.35714285714285715</x:v>
      </x:c>
      <x:c r="AX191" s="60" t="n">
        <x:f>IF(AU191=0,0,ROUND(AU191,2-INT(LOG10(ABS(AU191)))))</x:f>
        <x:v>1060000</x:v>
      </x:c>
      <x:c r="AY191" s="62" t="n">
        <x:f>AU191/AU190-1</x:f>
        <x:v>0.0060564924554900035</x:v>
      </x:c>
    </x:row>
    <x:row r="192" ht="25" customHeight="1">
      <x:c r="A192" s="40" t="str">
        <x:f>'调前玩家曲线'!A192</x:f>
      </x:c>
      <x:c r="B192" s="40" t="n">
        <x:f>'调前玩家曲线'!B192</x:f>
        <x:v>181</x:v>
      </x:c>
      <x:c r="C192" s="40" t="n">
        <x:f>'调前玩家曲线'!C192</x:f>
        <x:v>13</x:v>
      </x:c>
      <x:c r="D192" s="40" t="n">
        <x:f>'调前玩家曲线'!D192</x:f>
        <x:v>7</x:v>
      </x:c>
      <x:c r="E192" s="40" t="n">
        <x:f>'调前玩家曲线'!E192</x:f>
        <x:v>1</x:v>
      </x:c>
      <x:c r="F192" s="40" t="n">
        <x:f>'调前玩家曲线'!F192</x:f>
        <x:v>5</x:v>
      </x:c>
      <x:c r="G192" s="63" t="n">
        <x:f>IF(B192&lt;$G$8,0,(INDEX('主线调参'!$C$11:$C$62,$AV192)+(INDEX('主线调参'!$C$11:$C$62,$AV192+1)-INDEX('主线调参'!$C$11:$C$62,$AV192))*$AW192)*'参数说明'!$C$27)</x:f>
        <x:v>0.7731942368733137</x:v>
      </x:c>
      <x:c r="H192" s="63" t="n">
        <x:f>IF(B192&lt;$H$8,0,(INDEX('主线调参'!$D$11:$D$62,$AV192)+(INDEX('主线调参'!$D$11:$D$62,$AV192+1)-INDEX('主线调参'!$D$11:$D$62,$AV192))*$AW192)*'参数说明'!$D$27)</x:f>
        <x:v>0.6037056331531383</x:v>
      </x:c>
      <x:c r="I192" s="63" t="n">
        <x:f>IF(B192&lt;$I$8,0,(INDEX('主线调参'!$E$11:$E$62,$AV192)+(INDEX('主线调参'!$E$11:$E$62,$AV192+1)-INDEX('主线调参'!$E$11:$E$62,$AV192))*$AW192)*'参数说明'!$E$27)</x:f>
        <x:v>0.5145111009114421</x:v>
      </x:c>
      <x:c r="J192" s="63" t="n">
        <x:f>IF(B192&lt;$J$8,0,(INDEX('主线调参'!$F$11:$F$62,$AV192)+(INDEX('主线调参'!$F$11:$F$62,$AV192+1)-INDEX('主线调参'!$F$11:$F$62,$AV192))*$AW192)*'参数说明'!$F$27)</x:f>
        <x:v>0.49450425929879227</x:v>
      </x:c>
      <x:c r="K192" s="63" t="n">
        <x:f>IF(B192&lt;$K$8,0,(INDEX('主线调参'!$G$11:$G$62,$AV192)+(INDEX('主线调参'!$G$11:$G$62,$AV192+1)-INDEX('主线调参'!$G$11:$G$62,$AV192))*$AW192)*'参数说明'!$G$27)</x:f>
        <x:v>0.46338181918136834</x:v>
      </x:c>
      <x:c r="L192" s="63" t="n">
        <x:f>IF(B192&lt;$L$8,0,(INDEX('主线调参'!$H$11:$H$62,$AV192)+(INDEX('主线调参'!$H$11:$H$62,$AV192+1)-INDEX('主线调参'!$H$11:$H$62,$AV192))*$AW192)*'参数说明'!$H$27)</x:f>
        <x:v>0.5985332138052728</x:v>
      </x:c>
      <x:c r="M192" s="59" t="n">
        <x:f>E192*'模块规划'!$F$10+G192*'模块规划'!$F$11+H192*'模块规划'!$F$13</x:f>
        <x:v>4711.332336991905</x:v>
      </x:c>
      <x:c r="N192" s="59" t="n">
        <x:f>I192*'模块规划'!$F$15+J192*'模块规划'!$F$17+K192*'模块规划'!$F$16+L192*'模块规划'!$F$18</x:f>
        <x:v>14834.088384394034</x:v>
      </x:c>
      <x:c r="O192" s="59" t="n">
        <x:f>1+O$9*SUMPRODUCT($H$10:$L$10,H192:L192)/SUM($H$10:$L$10)</x:f>
        <x:v>2.9606007570971133</x:v>
      </x:c>
      <x:c r="P192" s="59" t="n">
        <x:f>M192*O192+N192</x:f>
        <x:v>28782.462468228383</x:v>
      </x:c>
      <x:c r="Q192" s="59" t="n">
        <x:f>P192/(P192+'_曲线基线'!$L$2)</x:f>
        <x:v>0.5453035179166481</x:v>
      </x:c>
      <x:c r="R192" s="59" t="n">
        <x:f>E192*'模块规划'!$E$10+G192*'模块规划'!$E$11+H192*'模块规划'!$E$13</x:f>
        <x:v>7066.998505487859</x:v>
      </x:c>
      <x:c r="S192" s="59" t="n">
        <x:f>I192*'模块规划'!$E$15+J192*'模块规划'!$E$17+K192*'模块规划'!$E$16+L192*'模块规划'!$E$18</x:f>
        <x:v>22251.132576591055</x:v>
      </x:c>
      <x:c r="T192" s="59" t="n">
        <x:f>1+T$9*SUMPRODUCT($H$10:$L$10,H192:L192)/SUM($H$10:$L$10)</x:f>
        <x:v>2.9606007570971133</x:v>
      </x:c>
      <x:c r="U192" s="59" t="n">
        <x:f>R192*T192+S192</x:f>
        <x:v>43173.69370234258</x:v>
      </x:c>
      <x:c r="V192" s="59" t="n">
        <x:f>V$8+(V$9-V$8)*H192</x:f>
        <x:v>0.8811116899459415</x:v>
      </x:c>
      <x:c r="W192" s="59" t="n">
        <x:f>IF(B192&lt;$H$8,0,W$8+(W$9-W$8)*H192)</x:f>
        <x:v>0.24148225326125533</x:v>
      </x:c>
      <x:c r="X192" s="59" t="n">
        <x:f>X$8+(X$9-X$8)*H192</x:f>
        <x:v>0.4410190491171131</x:v>
      </x:c>
      <x:c r="Y192" s="59" t="n">
        <x:f>Y$8+(Y$9-Y$8)*G192</x:f>
        <x:v>1</x:v>
      </x:c>
      <x:c r="Z192" s="59" t="n">
        <x:f>Z$8+(Z$9-Z$8)*H192</x:f>
        <x:v>1</x:v>
      </x:c>
      <x:c r="AA192" s="59" t="n">
        <x:f>AA$8+(AA$9-AA$8)*I192</x:f>
        <x:v>1</x:v>
      </x:c>
      <x:c r="AB192" s="59" t="n">
        <x:f>AB$8+(AB$9-AB$8)*J192</x:f>
        <x:v>1</x:v>
      </x:c>
      <x:c r="AC192" s="59" t="n">
        <x:f>AC$8+(AC$9-AC$8)*MAX(K192,L192)</x:f>
        <x:v>1</x:v>
      </x:c>
      <x:c r="AD192" s="59" t="n">
        <x:f>(V192*AE192+W192*AF192+X192*AG192)*PRODUCT(Y192:AC192)</x:f>
        <x:v>1.7406452318880246</x:v>
      </x:c>
      <x:c r="AE192" s="59" t="n">
        <x:f>1+AE$9*($H$10*H192+$I$10*I192+$J$10*J192+$K$10*K192+$L$10*L192)</x:f>
        <x:v>1</x:v>
      </x:c>
      <x:c r="AF192" s="59" t="n">
        <x:f>1+AF$9*($H$10*H192+$I$10*I192+$J$10*J192+$K$10*K192+$L$10*L192)</x:f>
        <x:v>1.1730408765373161</x:v>
      </x:c>
      <x:c r="AG192" s="59" t="n">
        <x:f>1+AG$9*($H$10*H192+$I$10*I192+$J$10*J192+$K$10*K192+$L$10*L192)</x:f>
        <x:v>1.3066668867522462</x:v>
      </x:c>
      <x:c r="AH192" s="59" t="n">
        <x:f>MIN(1,'_曲线基线'!$L$3+AH$9*($H$10*H192+$I$10*I192+$J$10*J192+$K$10*K192+$L$10*L192))</x:f>
        <x:v>0.443667994122394</x:v>
      </x:c>
      <x:c r="AI192" s="59" t="n">
        <x:f>'_曲线基线'!$L$4+AI$9*($H$10*H192+$I$10*I192+$J$10*J192+$K$10*K192+$L$10*L192)</x:f>
        <x:v>3.0966465550552407</x:v>
      </x:c>
      <x:c r="AJ192" s="59" t="n">
        <x:f>1+AJ$9*($H$10*H192+$I$10*I192+$J$10*J192+$K$10*K192+$L$10*L192)</x:f>
        <x:v>1.8998125579940437</x:v>
      </x:c>
      <x:c r="AK192" s="59" t="n">
        <x:f>(1+AH192*(AI192-1))*AJ192</x:f>
        <x:v>3.6670466424172954</x:v>
      </x:c>
      <x:c r="AL192" s="59" t="n">
        <x:f>U192*AD192*AK192*F192</x:f>
        <x:v>1377894.3176242905</x:v>
      </x:c>
      <x:c r="AM192" s="59" t="n">
        <x:f>IF($B192&lt;AM$8,0,AM$3+(AM$4-AM$3)*(POWER(AM$5,$B192-AM$8)-1)/(POWER(AM$5,$C$5-AM$8)-1))</x:f>
        <x:v>41.70668426401162</x:v>
      </x:c>
      <x:c r="AN192" s="59" t="n">
        <x:f>(((E192*'模块规划'!$D$10+G192*'模块规划'!$D$11+H192*'模块规划'!$D$13)*(1+'模块规划'!$G$14*H192)+(I192*'模块规划'!$D$15+J192*'模块规划'!$D$17+K192*'模块规划'!$D$16+L192*'模块规划'!$D$18))*(1+'模块规划'!$J$17*J192))*F192/(1-Q192)</x:f>
        <x:v>1936600.7981150753</x:v>
      </x:c>
      <x:c r="AO192" s="59" t="n">
        <x:f>AL192*AM192</x:f>
        <x:v>57467403.25433203</x:v>
      </x:c>
      <x:c r="AP192" s="61" t="n">
        <x:f>IF(AO192="","",INDEX('_曲线基线'!$A$3:$A$502,MIN(ROWS('_曲线基线'!$A$3:$A$502),COUNTIF('_曲线基线'!$E$3:$E$502,"&lt;"&amp;AO192)+1)))</x:f>
        <x:v>251</x:v>
      </x:c>
      <x:c r="AQ192" s="61" t="n">
        <x:f>IF(B192&lt;=2,1,IF(B192&lt;=6,2,IF(B192&lt;=9,3,IF(B192&lt;=19,4,5))))</x:f>
        <x:v>5</x:v>
      </x:c>
      <x:c r="AR192" s="59" t="n">
        <x:f>AN192*(1-Q192)/F192*$AS$3+U192*$AS$4+P192*$AS$5</x:f>
        <x:v>13918.132161084934</x:v>
      </x:c>
      <x:c r="AS192" s="59" t="n">
        <x:f>1+AH192*$AS$6+AI192*$AS$7+(AJ192-1)*$AS$8+($H$10*H192+$I$10*I192+$J$10*J192+$K$10*K192+$L$10*L192)*$AU$3*$AS$9+($H$10*H192+$I$10*I192+$J$10*J192+$K$10*K192+$L$10*L192)*$AU$4*$AS$10</x:f>
        <x:v>15.320968990800601</x:v>
      </x:c>
      <x:c r="AT192" s="60" t="n">
        <x:f>ROUND(AR192*AS192,0)</x:f>
        <x:v>213239</x:v>
      </x:c>
      <x:c r="AU192" s="60" t="n">
        <x:f>ROUND(AT192*F192,0)</x:f>
        <x:v>1066195</x:v>
      </x:c>
      <x:c r="AV192" s="60" t="n">
        <x:f>MIN(MATCH(B192,'主线调参'!$M$11:$M$62,1),ROWS('主线调参'!$M$11:$M$62)-1)</x:f>
        <x:v>39</x:v>
      </x:c>
      <x:c r="AW192" s="62" t="n">
        <x:f>(B192-INDEX('主线调参'!$M$11:$M$62,AV192))/(INDEX('主线调参'!$M$11:$M$62,AV192+1)-INDEX('主线调参'!$M$11:$M$62,AV192))</x:f>
        <x:v>0.42857142857142855</x:v>
      </x:c>
      <x:c r="AX192" s="60" t="n">
        <x:f>IF(AU192=0,0,ROUND(AU192,2-INT(LOG10(ABS(AU192)))))</x:f>
        <x:v>1070000</x:v>
      </x:c>
      <x:c r="AY192" s="62" t="n">
        <x:f>AU192/AU191-1</x:f>
        <x:v>0.00603890375025351</x:v>
      </x:c>
    </x:row>
    <x:row r="193" ht="25" customHeight="1">
      <x:c r="A193" s="40" t="str">
        <x:f>'调前玩家曲线'!A193</x:f>
      </x:c>
      <x:c r="B193" s="40" t="n">
        <x:f>'调前玩家曲线'!B193</x:f>
        <x:v>182</x:v>
      </x:c>
      <x:c r="C193" s="40" t="n">
        <x:f>'调前玩家曲线'!C193</x:f>
        <x:v>13</x:v>
      </x:c>
      <x:c r="D193" s="40" t="n">
        <x:f>'调前玩家曲线'!D193</x:f>
        <x:v>8</x:v>
      </x:c>
      <x:c r="E193" s="40" t="n">
        <x:f>'调前玩家曲线'!E193</x:f>
        <x:v>1</x:v>
      </x:c>
      <x:c r="F193" s="40" t="n">
        <x:f>'调前玩家曲线'!F193</x:f>
        <x:v>5</x:v>
      </x:c>
      <x:c r="G193" s="63" t="n">
        <x:f>IF(B193&lt;$G$8,0,(INDEX('主线调参'!$C$11:$C$62,$AV193)+(INDEX('主线调参'!$C$11:$C$62,$AV193+1)-INDEX('主线调参'!$C$11:$C$62,$AV193))*$AW193)*'参数说明'!$C$27)</x:f>
        <x:v>0.7747881280762563</x:v>
      </x:c>
      <x:c r="H193" s="63" t="n">
        <x:f>IF(B193&lt;$H$8,0,(INDEX('主线调参'!$D$11:$D$62,$AV193)+(INDEX('主线调参'!$D$11:$D$62,$AV193+1)-INDEX('主线调参'!$D$11:$D$62,$AV193))*$AW193)*'参数说明'!$D$27)</x:f>
        <x:v>0.6048887180520133</x:v>
      </x:c>
      <x:c r="I193" s="63" t="n">
        <x:f>IF(B193&lt;$I$8,0,(INDEX('主线调参'!$E$11:$E$62,$AV193)+(INDEX('主线调参'!$E$11:$E$62,$AV193+1)-INDEX('主线调参'!$E$11:$E$62,$AV193))*$AW193)*'参数说明'!$E$27)</x:f>
        <x:v>0.5164091326183361</x:v>
      </x:c>
      <x:c r="J193" s="63" t="n">
        <x:f>IF(B193&lt;$J$8,0,(INDEX('主线调参'!$F$11:$F$62,$AV193)+(INDEX('主线调参'!$F$11:$F$62,$AV193+1)-INDEX('主线调参'!$F$11:$F$62,$AV193))*$AW193)*'参数说明'!$F$27)</x:f>
        <x:v>0.49583972928536607</x:v>
      </x:c>
      <x:c r="K193" s="63" t="n">
        <x:f>IF(B193&lt;$K$8,0,(INDEX('主线调参'!$G$11:$G$62,$AV193)+(INDEX('主线调参'!$G$11:$G$62,$AV193+1)-INDEX('主线调参'!$G$11:$G$62,$AV193))*$AW193)*'参数说明'!$G$27)</x:f>
        <x:v>0.4663681165453801</x:v>
      </x:c>
      <x:c r="L193" s="63" t="n">
        <x:f>IF(B193&lt;$L$8,0,(INDEX('主线调参'!$H$11:$H$62,$AV193)+(INDEX('主线调参'!$H$11:$H$62,$AV193+1)-INDEX('主线调参'!$H$11:$H$62,$AV193))*$AW193)*'参数说明'!$H$27)</x:f>
        <x:v>0.5998086220475174</x:v>
      </x:c>
      <x:c r="M193" s="59" t="n">
        <x:f>E193*'模块规划'!$F$10+G193*'模块规划'!$F$11+H193*'模块规划'!$F$13</x:f>
        <x:v>4718.9830147660305</x:v>
      </x:c>
      <x:c r="N193" s="59" t="n">
        <x:f>I193*'模块规划'!$F$15+J193*'模块规划'!$F$17+K193*'模块规划'!$F$16+L193*'模块规划'!$F$18</x:f>
        <x:v>14886.922163310217</x:v>
      </x:c>
      <x:c r="O193" s="59" t="n">
        <x:f>1+O$9*SUMPRODUCT($H$10:$L$10,H193:L193)/SUM($H$10:$L$10)</x:f>
        <x:v>2.966906645362764</x:v>
      </x:c>
      <x:c r="P193" s="59" t="n">
        <x:f>M193*O193+N193</x:f>
        <x:v>28887.704229173563</x:v>
      </x:c>
      <x:c r="Q193" s="59" t="n">
        <x:f>P193/(P193+'_曲线基线'!$L$2)</x:f>
        <x:v>0.5462083229023718</x:v>
      </x:c>
      <x:c r="R193" s="59" t="n">
        <x:f>E193*'模块规划'!$E$10+G193*'模块规划'!$E$11+H193*'模块规划'!$E$13</x:f>
        <x:v>7078.474522149046</x:v>
      </x:c>
      <x:c r="S193" s="59" t="n">
        <x:f>I193*'模块规划'!$E$15+J193*'模块规划'!$E$17+K193*'模块规划'!$E$16+L193*'模块规划'!$E$18</x:f>
        <x:v>22330.383244965327</x:v>
      </x:c>
      <x:c r="T193" s="59" t="n">
        <x:f>1+T$9*SUMPRODUCT($H$10:$L$10,H193:L193)/SUM($H$10:$L$10)</x:f>
        <x:v>2.966906645362764</x:v>
      </x:c>
      <x:c r="U193" s="59" t="n">
        <x:f>R193*T193+S193</x:f>
        <x:v>43331.55634376034</x:v>
      </x:c>
      <x:c r="V193" s="59" t="n">
        <x:f>V$8+(V$9-V$8)*H193</x:f>
        <x:v>0.881466615415604</x:v>
      </x:c>
      <x:c r="W193" s="59" t="n">
        <x:f>IF(B193&lt;$H$8,0,W$8+(W$9-W$8)*H193)</x:f>
        <x:v>0.24195548722080532</x:v>
      </x:c>
      <x:c r="X193" s="59" t="n">
        <x:f>X$8+(X$9-X$8)*H193</x:f>
        <x:v>0.44134439746430365</x:v>
      </x:c>
      <x:c r="Y193" s="59" t="n">
        <x:f>Y$8+(Y$9-Y$8)*G193</x:f>
        <x:v>1</x:v>
      </x:c>
      <x:c r="Z193" s="59" t="n">
        <x:f>Z$8+(Z$9-Z$8)*H193</x:f>
        <x:v>1</x:v>
      </x:c>
      <x:c r="AA193" s="59" t="n">
        <x:f>AA$8+(AA$9-AA$8)*I193</x:f>
        <x:v>1</x:v>
      </x:c>
      <x:c r="AB193" s="59" t="n">
        <x:f>AB$8+(AB$9-AB$8)*J193</x:f>
        <x:v>1</x:v>
      </x:c>
      <x:c r="AC193" s="59" t="n">
        <x:f>AC$8+(AC$9-AC$8)*MAX(K193,L193)</x:f>
        <x:v>1</x:v>
      </x:c>
      <x:c r="AD193" s="59" t="n">
        <x:f>(V193*AE193+W193*AF193+X193*AG193)*PRODUCT(Y193:AC193)</x:f>
        <x:v>1.7425503758488468</x:v>
      </x:c>
      <x:c r="AE193" s="59" t="n">
        <x:f>1+AE$9*($H$10*H193+$I$10*I193+$J$10*J193+$K$10*K193+$L$10*L193)</x:f>
        <x:v>1</x:v>
      </x:c>
      <x:c r="AF193" s="59" t="n">
        <x:f>1+AF$9*($H$10*H193+$I$10*I193+$J$10*J193+$K$10*K193+$L$10*L193)</x:f>
        <x:v>1.1735974286190618</x:v>
      </x:c>
      <x:c r="AG193" s="59" t="n">
        <x:f>1+AG$9*($H$10*H193+$I$10*I193+$J$10*J193+$K$10*K193+$L$10*L193)</x:f>
        <x:v>1.3076532207193399</x:v>
      </x:c>
      <x:c r="AH193" s="59" t="n">
        <x:f>MIN(1,'_曲线基线'!$L$3+AH$9*($H$10*H193+$I$10*I193+$J$10*J193+$K$10*K193+$L$10*L193))</x:f>
        <x:v>0.4449341501083653</x:v>
      </x:c>
      <x:c r="AI193" s="59" t="n">
        <x:f>'_曲线基线'!$L$4+AI$9*($H$10*H193+$I$10*I193+$J$10*J193+$K$10*K193+$L$10*L193)</x:f>
        <x:v>3.1001737038733035</x:v>
      </x:c>
      <x:c r="AJ193" s="59" t="n">
        <x:f>1+AJ$9*($H$10*H193+$I$10*I193+$J$10*J193+$K$10*K193+$L$10*L193)</x:f>
        <x:v>1.9027066288191208</x:v>
      </x:c>
      <x:c r="AK193" s="59" t="n">
        <x:f>(1+AH193*(AI193-1))*AJ193</x:f>
        <x:v>3.6806699121760102</x:v>
      </x:c>
      <x:c r="AL193" s="59" t="n">
        <x:f>U193*AD193*AK193*F193</x:f>
        <x:v>1389589.440889497</x:v>
      </x:c>
      <x:c r="AM193" s="59" t="n">
        <x:f>IF($B193&lt;AM$8,0,AM$3+(AM$4-AM$3)*(POWER(AM$5,$B193-AM$8)-1)/(POWER(AM$5,$C$5-AM$8)-1))</x:f>
        <x:v>41.7871757465736</x:v>
      </x:c>
      <x:c r="AN193" s="59" t="n">
        <x:f>(((E193*'模块规划'!$D$10+G193*'模块规划'!$D$11+H193*'模块规划'!$D$13)*(1+'模块规划'!$G$14*H193)+(I193*'模块规划'!$D$15+J193*'模块规划'!$D$17+K193*'模块规划'!$D$16+L193*'模块规划'!$D$18))*(1+'模块规划'!$J$17*J193))*F193/(1-Q193)</x:f>
        <x:v>1948535.3894686045</x:v>
      </x:c>
      <x:c r="AO193" s="59" t="n">
        <x:f>AL193*AM193</x:f>
        <x:v>58067018.18203236</x:v>
      </x:c>
      <x:c r="AP193" s="61" t="n">
        <x:f>IF(AO193="","",INDEX('_曲线基线'!$A$3:$A$502,MIN(ROWS('_曲线基线'!$A$3:$A$502),COUNTIF('_曲线基线'!$E$3:$E$502,"&lt;"&amp;AO193)+1)))</x:f>
        <x:v>252</x:v>
      </x:c>
      <x:c r="AQ193" s="61" t="n">
        <x:f>IF(B193&lt;=2,1,IF(B193&lt;=6,2,IF(B193&lt;=9,3,IF(B193&lt;=19,4,5))))</x:f>
        <x:v>5</x:v>
      </x:c>
      <x:c r="AR193" s="59" t="n">
        <x:f>AN193*(1-Q193)/F193*$AS$3+U193*$AS$4+P193*$AS$5</x:f>
        <x:v>13971.686122378298</x:v>
      </x:c>
      <x:c r="AS193" s="59" t="n">
        <x:f>1+AH193*$AS$6+AI193*$AS$7+(AJ193-1)*$AS$8+($H$10*H193+$I$10*I193+$J$10*J193+$K$10*K193+$L$10*L193)*$AU$3*$AS$9+($H$10*H193+$I$10*I193+$J$10*J193+$K$10*K193+$L$10*L193)*$AU$4*$AS$10</x:f>
        <x:v>15.354223610067203</x:v>
      </x:c>
      <x:c r="AT193" s="60" t="n">
        <x:f>ROUND(AR193*AS193,0)</x:f>
        <x:v>214524</x:v>
      </x:c>
      <x:c r="AU193" s="60" t="n">
        <x:f>ROUND(AT193*F193,0)</x:f>
        <x:v>1072620</x:v>
      </x:c>
      <x:c r="AV193" s="60" t="n">
        <x:f>MIN(MATCH(B193,'主线调参'!$M$11:$M$62,1),ROWS('主线调参'!$M$11:$M$62)-1)</x:f>
        <x:v>39</x:v>
      </x:c>
      <x:c r="AW193" s="62" t="n">
        <x:f>(B193-INDEX('主线调参'!$M$11:$M$62,AV193))/(INDEX('主线调参'!$M$11:$M$62,AV193+1)-INDEX('主线调参'!$M$11:$M$62,AV193))</x:f>
        <x:v>0.5</x:v>
      </x:c>
      <x:c r="AX193" s="60" t="n">
        <x:f>IF(AU193=0,0,ROUND(AU193,2-INT(LOG10(ABS(AU193)))))</x:f>
        <x:v>1070000</x:v>
      </x:c>
      <x:c r="AY193" s="62" t="n">
        <x:f>AU193/AU192-1</x:f>
        <x:v>0.0060261021670520165</x:v>
      </x:c>
    </x:row>
    <x:row r="194" ht="25" customHeight="1">
      <x:c r="A194" s="40" t="str">
        <x:f>'调前玩家曲线'!A194</x:f>
      </x:c>
      <x:c r="B194" s="40" t="n">
        <x:f>'调前玩家曲线'!B194</x:f>
        <x:v>183</x:v>
      </x:c>
      <x:c r="C194" s="40" t="n">
        <x:f>'调前玩家曲线'!C194</x:f>
        <x:v>13</x:v>
      </x:c>
      <x:c r="D194" s="40" t="n">
        <x:f>'调前玩家曲线'!D194</x:f>
        <x:v>9</x:v>
      </x:c>
      <x:c r="E194" s="40" t="n">
        <x:f>'调前玩家曲线'!E194</x:f>
        <x:v>1</x:v>
      </x:c>
      <x:c r="F194" s="40" t="n">
        <x:f>'调前玩家曲线'!F194</x:f>
        <x:v>5</x:v>
      </x:c>
      <x:c r="G194" s="63" t="n">
        <x:f>IF(B194&lt;$G$8,0,(INDEX('主线调参'!$C$11:$C$62,$AV194)+(INDEX('主线调参'!$C$11:$C$62,$AV194+1)-INDEX('主线调参'!$C$11:$C$62,$AV194))*$AW194)*'参数说明'!$C$27)</x:f>
        <x:v>0.7763820192791988</x:v>
      </x:c>
      <x:c r="H194" s="63" t="n">
        <x:f>IF(B194&lt;$H$8,0,(INDEX('主线调参'!$D$11:$D$62,$AV194)+(INDEX('主线调参'!$D$11:$D$62,$AV194+1)-INDEX('主线调参'!$D$11:$D$62,$AV194))*$AW194)*'参数说明'!$D$27)</x:f>
        <x:v>0.6060718029508884</x:v>
      </x:c>
      <x:c r="I194" s="63" t="n">
        <x:f>IF(B194&lt;$I$8,0,(INDEX('主线调参'!$E$11:$E$62,$AV194)+(INDEX('主线调参'!$E$11:$E$62,$AV194+1)-INDEX('主线调参'!$E$11:$E$62,$AV194))*$AW194)*'参数说明'!$E$27)</x:f>
        <x:v>0.51830716432523</x:v>
      </x:c>
      <x:c r="J194" s="63" t="n">
        <x:f>IF(B194&lt;$J$8,0,(INDEX('主线调参'!$F$11:$F$62,$AV194)+(INDEX('主线调参'!$F$11:$F$62,$AV194+1)-INDEX('主线调参'!$F$11:$F$62,$AV194))*$AW194)*'参数说明'!$F$27)</x:f>
        <x:v>0.4971751992719398</x:v>
      </x:c>
      <x:c r="K194" s="63" t="n">
        <x:f>IF(B194&lt;$K$8,0,(INDEX('主线调参'!$G$11:$G$62,$AV194)+(INDEX('主线调参'!$G$11:$G$62,$AV194+1)-INDEX('主线调参'!$G$11:$G$62,$AV194))*$AW194)*'参数说明'!$G$27)</x:f>
        <x:v>0.46935441390939175</x:v>
      </x:c>
      <x:c r="L194" s="63" t="n">
        <x:f>IF(B194&lt;$L$8,0,(INDEX('主线调参'!$H$11:$H$62,$AV194)+(INDEX('主线调参'!$H$11:$H$62,$AV194+1)-INDEX('主线调参'!$H$11:$H$62,$AV194))*$AW194)*'参数说明'!$H$27)</x:f>
        <x:v>0.6010840302897621</x:v>
      </x:c>
      <x:c r="M194" s="59" t="n">
        <x:f>E194*'模块规划'!$F$10+G194*'模块规划'!$F$11+H194*'模块规划'!$F$13</x:f>
        <x:v>4726.633692540154</x:v>
      </x:c>
      <x:c r="N194" s="59" t="n">
        <x:f>I194*'模块规划'!$F$15+J194*'模块规划'!$F$17+K194*'模块规划'!$F$16+L194*'模块规划'!$F$18</x:f>
        <x:v>14939.755942226398</x:v>
      </x:c>
      <x:c r="O194" s="59" t="n">
        <x:f>1+O$9*SUMPRODUCT($H$10:$L$10,H194:L194)/SUM($H$10:$L$10)</x:f>
        <x:v>2.9732125336284145</x:v>
      </x:c>
      <x:c r="P194" s="59" t="n">
        <x:f>M194*O194+N194</x:f>
        <x:v>28993.04247875714</x:v>
      </x:c>
      <x:c r="Q194" s="59" t="n">
        <x:f>P194/(P194+'_曲线基线'!$L$2)</x:f>
        <x:v>0.5471103586924515</x:v>
      </x:c>
      <x:c r="R194" s="59" t="n">
        <x:f>E194*'模块规划'!$E$10+G194*'模块规划'!$E$11+H194*'模块规划'!$E$13</x:f>
        <x:v>7089.950538810232</x:v>
      </x:c>
      <x:c r="S194" s="59" t="n">
        <x:f>I194*'模块规划'!$E$15+J194*'模块规划'!$E$17+K194*'模块规划'!$E$16+L194*'模块规划'!$E$18</x:f>
        <x:v>22409.6339133396</x:v>
      </x:c>
      <x:c r="T194" s="59" t="n">
        <x:f>1+T$9*SUMPRODUCT($H$10:$L$10,H194:L194)/SUM($H$10:$L$10)</x:f>
        <x:v>2.9732125336284145</x:v>
      </x:c>
      <x:c r="U194" s="59" t="n">
        <x:f>R194*T194+S194</x:f>
        <x:v>43489.563718135716</x:v>
      </x:c>
      <x:c r="V194" s="59" t="n">
        <x:f>V$8+(V$9-V$8)*H194</x:f>
        <x:v>0.8818215408852665</x:v>
      </x:c>
      <x:c r="W194" s="59" t="n">
        <x:f>IF(B194&lt;$H$8,0,W$8+(W$9-W$8)*H194)</x:f>
        <x:v>0.24242872118035536</x:v>
      </x:c>
      <x:c r="X194" s="59" t="n">
        <x:f>X$8+(X$9-X$8)*H194</x:f>
        <x:v>0.4416697458114943</x:v>
      </x:c>
      <x:c r="Y194" s="59" t="n">
        <x:f>Y$8+(Y$9-Y$8)*G194</x:f>
        <x:v>1</x:v>
      </x:c>
      <x:c r="Z194" s="59" t="n">
        <x:f>Z$8+(Z$9-Z$8)*H194</x:f>
        <x:v>1</x:v>
      </x:c>
      <x:c r="AA194" s="59" t="n">
        <x:f>AA$8+(AA$9-AA$8)*I194</x:f>
        <x:v>1</x:v>
      </x:c>
      <x:c r="AB194" s="59" t="n">
        <x:f>AB$8+(AB$9-AB$8)*J194</x:f>
        <x:v>1</x:v>
      </x:c>
      <x:c r="AC194" s="59" t="n">
        <x:f>AC$8+(AC$9-AC$8)*MAX(K194,L194)</x:f>
        <x:v>1</x:v>
      </x:c>
      <x:c r="AD194" s="59" t="n">
        <x:f>(V194*AE194+W194*AF194+X194*AG194)*PRODUCT(Y194:AC194)</x:f>
        <x:v>1.7444566883726114</x:v>
      </x:c>
      <x:c r="AE194" s="59" t="n">
        <x:f>1+AE$9*($H$10*H194+$I$10*I194+$J$10*J194+$K$10*K194+$L$10*L194)</x:f>
        <x:v>1</x:v>
      </x:c>
      <x:c r="AF194" s="59" t="n">
        <x:f>1+AF$9*($H$10*H194+$I$10*I194+$J$10*J194+$K$10*K194+$L$10*L194)</x:f>
        <x:v>1.1741539807008075</x:v>
      </x:c>
      <x:c r="AG194" s="59" t="n">
        <x:f>1+AG$9*($H$10*H194+$I$10*I194+$J$10*J194+$K$10*K194+$L$10*L194)</x:f>
        <x:v>1.3086395546864336</x:v>
      </x:c>
      <x:c r="AH194" s="59" t="n">
        <x:f>MIN(1,'_曲线基线'!$L$3+AH$9*($H$10*H194+$I$10*I194+$J$10*J194+$K$10*K194+$L$10*L194))</x:f>
        <x:v>0.44620030609433675</x:v>
      </x:c>
      <x:c r="AI194" s="59" t="n">
        <x:f>'_曲线基线'!$L$4+AI$9*($H$10*H194+$I$10*I194+$J$10*J194+$K$10*K194+$L$10*L194)</x:f>
        <x:v>3.1037008526913668</x:v>
      </x:c>
      <x:c r="AJ194" s="59" t="n">
        <x:f>1+AJ$9*($H$10*H194+$I$10*I194+$J$10*J194+$K$10*K194+$L$10*L194)</x:f>
        <x:v>1.9056006996441983</x:v>
      </x:c>
      <x:c r="AK194" s="59" t="n">
        <x:f>(1+AH194*(AI194-1))*AJ194</x:f>
        <x:v>3.694334651744672</x:v>
      </x:c>
      <x:c r="AL194" s="59" t="n">
        <x:f>U194*AD194*AK194*F194</x:f>
        <x:v>1401365.6886652403</x:v>
      </x:c>
      <x:c r="AM194" s="59" t="n">
        <x:f>IF($B194&lt;AM$8,0,AM$3+(AM$4-AM$3)*(POWER(AM$5,$B194-AM$8)-1)/(POWER(AM$5,$C$5-AM$8)-1))</x:f>
        <x:v>41.868472143961206</x:v>
      </x:c>
      <x:c r="AN194" s="59" t="n">
        <x:f>(((E194*'模块规划'!$D$10+G194*'模块规划'!$D$11+H194*'模块规划'!$D$13)*(1+'模块规划'!$G$14*H194)+(I194*'模块规划'!$D$15+J194*'模块规划'!$D$17+K194*'模块规划'!$D$16+L194*'模块规划'!$D$18))*(1+'模块规划'!$J$17*J194))*F194/(1-Q194)</x:f>
        <x:v>1960519.4422358512</x:v>
      </x:c>
      <x:c r="AO194" s="59" t="n">
        <x:f>AL194*AM194</x:f>
        <x:v>58673040.299383625</x:v>
      </x:c>
      <x:c r="AP194" s="61" t="n">
        <x:f>IF(AO194="","",INDEX('_曲线基线'!$A$3:$A$502,MIN(ROWS('_曲线基线'!$A$3:$A$502),COUNTIF('_曲线基线'!$E$3:$E$502,"&lt;"&amp;AO194)+1)))</x:f>
        <x:v>253</x:v>
      </x:c>
      <x:c r="AQ194" s="61" t="n">
        <x:f>IF(B194&lt;=2,1,IF(B194&lt;=6,2,IF(B194&lt;=9,3,IF(B194&lt;=19,4,5))))</x:f>
        <x:v>5</x:v>
      </x:c>
      <x:c r="AR194" s="59" t="n">
        <x:f>AN194*(1-Q194)/F194*$AS$3+U194*$AS$4+P194*$AS$5</x:f>
        <x:v>14025.30642545116</x:v>
      </x:c>
      <x:c r="AS194" s="59" t="n">
        <x:f>1+AH194*$AS$6+AI194*$AS$7+(AJ194-1)*$AS$8+($H$10*H194+$I$10*I194+$J$10*J194+$K$10*K194+$L$10*L194)*$AU$3*$AS$9+($H$10*H194+$I$10*I194+$J$10*J194+$K$10*K194+$L$10*L194)*$AU$4*$AS$10</x:f>
        <x:v>15.387478229333812</x:v>
      </x:c>
      <x:c r="AT194" s="60" t="n">
        <x:f>ROUND(AR194*AS194,0)</x:f>
        <x:v>215814</x:v>
      </x:c>
      <x:c r="AU194" s="60" t="n">
        <x:f>ROUND(AT194*F194,0)</x:f>
        <x:v>1079070</x:v>
      </x:c>
      <x:c r="AV194" s="60" t="n">
        <x:f>MIN(MATCH(B194,'主线调参'!$M$11:$M$62,1),ROWS('主线调参'!$M$11:$M$62)-1)</x:f>
        <x:v>39</x:v>
      </x:c>
      <x:c r="AW194" s="62" t="n">
        <x:f>(B194-INDEX('主线调参'!$M$11:$M$62,AV194))/(INDEX('主线调参'!$M$11:$M$62,AV194+1)-INDEX('主线调参'!$M$11:$M$62,AV194))</x:f>
        <x:v>0.5714285714285714</x:v>
      </x:c>
      <x:c r="AX194" s="60" t="n">
        <x:f>IF(AU194=0,0,ROUND(AU194,2-INT(LOG10(ABS(AU194)))))</x:f>
        <x:v>1080000</x:v>
      </x:c>
      <x:c r="AY194" s="62" t="n">
        <x:f>AU194/AU193-1</x:f>
        <x:v>0.006013313195726289</x:v>
      </x:c>
    </x:row>
    <x:row r="195" ht="25" customHeight="1">
      <x:c r="A195" s="40" t="str">
        <x:f>'调前玩家曲线'!A195</x:f>
      </x:c>
      <x:c r="B195" s="40" t="n">
        <x:f>'调前玩家曲线'!B195</x:f>
        <x:v>184</x:v>
      </x:c>
      <x:c r="C195" s="40" t="n">
        <x:f>'调前玩家曲线'!C195</x:f>
        <x:v>13</x:v>
      </x:c>
      <x:c r="D195" s="40" t="n">
        <x:f>'调前玩家曲线'!D195</x:f>
        <x:v>10</x:v>
      </x:c>
      <x:c r="E195" s="40" t="n">
        <x:f>'调前玩家曲线'!E195</x:f>
        <x:v>1</x:v>
      </x:c>
      <x:c r="F195" s="40" t="n">
        <x:f>'调前玩家曲线'!F195</x:f>
        <x:v>5</x:v>
      </x:c>
      <x:c r="G195" s="63" t="n">
        <x:f>IF(B195&lt;$G$8,0,(INDEX('主线调参'!$C$11:$C$62,$AV195)+(INDEX('主线调参'!$C$11:$C$62,$AV195+1)-INDEX('主线调参'!$C$11:$C$62,$AV195))*$AW195)*'参数说明'!$C$27)</x:f>
        <x:v>0.7779759104821414</x:v>
      </x:c>
      <x:c r="H195" s="63" t="n">
        <x:f>IF(B195&lt;$H$8,0,(INDEX('主线调参'!$D$11:$D$62,$AV195)+(INDEX('主线调参'!$D$11:$D$62,$AV195+1)-INDEX('主线调参'!$D$11:$D$62,$AV195))*$AW195)*'参数说明'!$D$27)</x:f>
        <x:v>0.6072548878497633</x:v>
      </x:c>
      <x:c r="I195" s="63" t="n">
        <x:f>IF(B195&lt;$I$8,0,(INDEX('主线调参'!$E$11:$E$62,$AV195)+(INDEX('主线调参'!$E$11:$E$62,$AV195+1)-INDEX('主线调参'!$E$11:$E$62,$AV195))*$AW195)*'参数说明'!$E$27)</x:f>
        <x:v>0.5202051960321241</x:v>
      </x:c>
      <x:c r="J195" s="63" t="n">
        <x:f>IF(B195&lt;$J$8,0,(INDEX('主线调参'!$F$11:$F$62,$AV195)+(INDEX('主线调参'!$F$11:$F$62,$AV195+1)-INDEX('主线调参'!$F$11:$F$62,$AV195))*$AW195)*'参数说明'!$F$27)</x:f>
        <x:v>0.4985106692585136</x:v>
      </x:c>
      <x:c r="K195" s="63" t="n">
        <x:f>IF(B195&lt;$K$8,0,(INDEX('主线调参'!$G$11:$G$62,$AV195)+(INDEX('主线调参'!$G$11:$G$62,$AV195+1)-INDEX('主线调参'!$G$11:$G$62,$AV195))*$AW195)*'参数说明'!$G$27)</x:f>
        <x:v>0.4723407112734034</x:v>
      </x:c>
      <x:c r="L195" s="63" t="n">
        <x:f>IF(B195&lt;$L$8,0,(INDEX('主线调参'!$H$11:$H$62,$AV195)+(INDEX('主线调参'!$H$11:$H$62,$AV195+1)-INDEX('主线调参'!$H$11:$H$62,$AV195))*$AW195)*'参数说明'!$H$27)</x:f>
        <x:v>0.6023594385320067</x:v>
      </x:c>
      <x:c r="M195" s="59" t="n">
        <x:f>E195*'模块规划'!$F$10+G195*'模块规划'!$F$11+H195*'模块规划'!$F$13</x:f>
        <x:v>4734.284370314279</x:v>
      </x:c>
      <x:c r="N195" s="59" t="n">
        <x:f>I195*'模块规划'!$F$15+J195*'模块规划'!$F$17+K195*'模块规划'!$F$16+L195*'模块规划'!$F$18</x:f>
        <x:v>14992.589721142584</x:v>
      </x:c>
      <x:c r="O195" s="59" t="n">
        <x:f>1+O$9*SUMPRODUCT($H$10:$L$10,H195:L195)/SUM($H$10:$L$10)</x:f>
        <x:v>2.9795184218940642</x:v>
      </x:c>
      <x:c r="P195" s="59" t="n">
        <x:f>M195*O195+N195</x:f>
        <x:v>29098.477216979118</x:v>
      </x:c>
      <x:c r="Q195" s="59" t="n">
        <x:f>P195/(P195+'_曲线基线'!$L$2)</x:f>
        <x:v>0.548009636850271</x:v>
      </x:c>
      <x:c r="R195" s="59" t="n">
        <x:f>E195*'模块规划'!$E$10+G195*'模块规划'!$E$11+H195*'模块规划'!$E$13</x:f>
        <x:v>7101.426555471418</x:v>
      </x:c>
      <x:c r="S195" s="59" t="n">
        <x:f>I195*'模块规划'!$E$15+J195*'模块规划'!$E$17+K195*'模块规划'!$E$16+L195*'模块规划'!$E$18</x:f>
        <x:v>22488.884581713875</x:v>
      </x:c>
      <x:c r="T195" s="59" t="n">
        <x:f>1+T$9*SUMPRODUCT($H$10:$L$10,H195:L195)/SUM($H$10:$L$10)</x:f>
        <x:v>2.9795184218940642</x:v>
      </x:c>
      <x:c r="U195" s="59" t="n">
        <x:f>R195*T195+S195</x:f>
        <x:v>43647.71582546868</x:v>
      </x:c>
      <x:c r="V195" s="59" t="n">
        <x:f>V$8+(V$9-V$8)*H195</x:f>
        <x:v>0.882176466354929</x:v>
      </x:c>
      <x:c r="W195" s="59" t="n">
        <x:f>IF(B195&lt;$H$8,0,W$8+(W$9-W$8)*H195)</x:f>
        <x:v>0.24290195513990534</x:v>
      </x:c>
      <x:c r="X195" s="59" t="n">
        <x:f>X$8+(X$9-X$8)*H195</x:f>
        <x:v>0.441995094158685</x:v>
      </x:c>
      <x:c r="Y195" s="59" t="n">
        <x:f>Y$8+(Y$9-Y$8)*G195</x:f>
        <x:v>1</x:v>
      </x:c>
      <x:c r="Z195" s="59" t="n">
        <x:f>Z$8+(Z$9-Z$8)*H195</x:f>
        <x:v>1</x:v>
      </x:c>
      <x:c r="AA195" s="59" t="n">
        <x:f>AA$8+(AA$9-AA$8)*I195</x:f>
        <x:v>1</x:v>
      </x:c>
      <x:c r="AB195" s="59" t="n">
        <x:f>AB$8+(AB$9-AB$8)*J195</x:f>
        <x:v>1</x:v>
      </x:c>
      <x:c r="AC195" s="59" t="n">
        <x:f>AC$8+(AC$9-AC$8)*MAX(K195,L195)</x:f>
        <x:v>1</x:v>
      </x:c>
      <x:c r="AD195" s="59" t="n">
        <x:f>(V195*AE195+W195*AF195+X195*AG195)*PRODUCT(Y195:AC195)</x:f>
        <x:v>1.7463641694593184</x:v>
      </x:c>
      <x:c r="AE195" s="59" t="n">
        <x:f>1+AE$9*($H$10*H195+$I$10*I195+$J$10*J195+$K$10*K195+$L$10*L195)</x:f>
        <x:v>1</x:v>
      </x:c>
      <x:c r="AF195" s="59" t="n">
        <x:f>1+AF$9*($H$10*H195+$I$10*I195+$J$10*J195+$K$10*K195+$L$10*L195)</x:f>
        <x:v>1.174710532782553</x:v>
      </x:c>
      <x:c r="AG195" s="59" t="n">
        <x:f>1+AG$9*($H$10*H195+$I$10*I195+$J$10*J195+$K$10*K195+$L$10*L195)</x:f>
        <x:v>1.3096258886535272</x:v>
      </x:c>
      <x:c r="AH195" s="59" t="n">
        <x:f>MIN(1,'_曲线基线'!$L$3+AH$9*($H$10*H195+$I$10*I195+$J$10*J195+$K$10*K195+$L$10*L195))</x:f>
        <x:v>0.447466462080308</x:v>
      </x:c>
      <x:c r="AI195" s="59" t="n">
        <x:f>'_曲线基线'!$L$4+AI$9*($H$10*H195+$I$10*I195+$J$10*J195+$K$10*K195+$L$10*L195)</x:f>
        <x:v>3.1072280015094296</x:v>
      </x:c>
      <x:c r="AJ195" s="59" t="n">
        <x:f>1+AJ$9*($H$10*H195+$I$10*I195+$J$10*J195+$K$10*K195+$L$10*L195)</x:f>
        <x:v>1.9084947704692756</x:v>
      </x:c>
      <x:c r="AK195" s="59" t="n">
        <x:f>(1+AH195*(AI195-1))*AJ195</x:f>
        <x:v>3.7080409386714197</x:v>
      </x:c>
      <x:c r="AL195" s="59" t="n">
        <x:f>U195*AD195*AK195*F195</x:f>
        <x:v>1413223.5244238</x:v>
      </x:c>
      <x:c r="AM195" s="59" t="n">
        <x:f>IF($B195&lt;AM$8,0,AM$3+(AM$4-AM$3)*(POWER(AM$5,$B195-AM$8)-1)/(POWER(AM$5,$C$5-AM$8)-1))</x:f>
        <x:v>41.95058150532269</x:v>
      </x:c>
      <x:c r="AN195" s="59" t="n">
        <x:f>(((E195*'模块规划'!$D$10+G195*'模块规划'!$D$11+H195*'模块规划'!$D$13)*(1+'模块规划'!$G$14*H195)+(I195*'模块规划'!$D$15+J195*'模块规划'!$D$17+K195*'模块规划'!$D$16+L195*'模块规划'!$D$18))*(1+'模块规划'!$J$17*J195))*F195/(1-Q195)</x:f>
        <x:v>1972553.0870765883</x:v>
      </x:c>
      <x:c r="AO195" s="59" t="n">
        <x:f>AL195*AM195</x:f>
        <x:v>59285548.64658001</x:v>
      </x:c>
      <x:c r="AP195" s="61" t="n">
        <x:f>IF(AO195="","",INDEX('_曲线基线'!$A$3:$A$502,MIN(ROWS('_曲线基线'!$A$3:$A$502),COUNTIF('_曲线基线'!$E$3:$E$502,"&lt;"&amp;AO195)+1)))</x:f>
        <x:v>254</x:v>
      </x:c>
      <x:c r="AQ195" s="61" t="n">
        <x:f>IF(B195&lt;=2,1,IF(B195&lt;=6,2,IF(B195&lt;=9,3,IF(B195&lt;=19,4,5))))</x:f>
        <x:v>5</x:v>
      </x:c>
      <x:c r="AR195" s="59" t="n">
        <x:f>AN195*(1-Q195)/F195*$AS$3+U195*$AS$4+P195*$AS$5</x:f>
        <x:v>14078.993082052932</x:v>
      </x:c>
      <x:c r="AS195" s="59" t="n">
        <x:f>1+AH195*$AS$6+AI195*$AS$7+(AJ195-1)*$AS$8+($H$10*H195+$I$10*I195+$J$10*J195+$K$10*K195+$L$10*L195)*$AU$3*$AS$9+($H$10*H195+$I$10*I195+$J$10*J195+$K$10*K195+$L$10*L195)*$AU$4*$AS$10</x:f>
        <x:v>15.420732848600416</x:v>
      </x:c>
      <x:c r="AT195" s="60" t="n">
        <x:f>ROUND(AR195*AS195,0)</x:f>
        <x:v>217108</x:v>
      </x:c>
      <x:c r="AU195" s="60" t="n">
        <x:f>ROUND(AT195*F195,0)</x:f>
        <x:v>1085540</x:v>
      </x:c>
      <x:c r="AV195" s="60" t="n">
        <x:f>MIN(MATCH(B195,'主线调参'!$M$11:$M$62,1),ROWS('主线调参'!$M$11:$M$62)-1)</x:f>
        <x:v>39</x:v>
      </x:c>
      <x:c r="AW195" s="62" t="n">
        <x:f>(B195-INDEX('主线调参'!$M$11:$M$62,AV195))/(INDEX('主线调参'!$M$11:$M$62,AV195+1)-INDEX('主线调参'!$M$11:$M$62,AV195))</x:f>
        <x:v>0.6428571428571429</x:v>
      </x:c>
      <x:c r="AX195" s="60" t="n">
        <x:f>IF(AU195=0,0,ROUND(AU195,2-INT(LOG10(ABS(AU195)))))</x:f>
        <x:v>1090000</x:v>
      </x:c>
      <x:c r="AY195" s="62" t="n">
        <x:f>AU195/AU194-1</x:f>
        <x:v>0.00599590388019311</x:v>
      </x:c>
    </x:row>
    <x:row r="196" ht="25" customHeight="1">
      <x:c r="A196" s="40" t="str">
        <x:f>'调前玩家曲线'!A196</x:f>
      </x:c>
      <x:c r="B196" s="40" t="n">
        <x:f>'调前玩家曲线'!B196</x:f>
        <x:v>185</x:v>
      </x:c>
      <x:c r="C196" s="40" t="n">
        <x:f>'调前玩家曲线'!C196</x:f>
        <x:v>13</x:v>
      </x:c>
      <x:c r="D196" s="40" t="n">
        <x:f>'调前玩家曲线'!D196</x:f>
        <x:v>11</x:v>
      </x:c>
      <x:c r="E196" s="40" t="n">
        <x:f>'调前玩家曲线'!E196</x:f>
        <x:v>1</x:v>
      </x:c>
      <x:c r="F196" s="40" t="n">
        <x:f>'调前玩家曲线'!F196</x:f>
        <x:v>5</x:v>
      </x:c>
      <x:c r="G196" s="63" t="n">
        <x:f>IF(B196&lt;$G$8,0,(INDEX('主线调参'!$C$11:$C$62,$AV196)+(INDEX('主线调参'!$C$11:$C$62,$AV196+1)-INDEX('主线调参'!$C$11:$C$62,$AV196))*$AW196)*'参数说明'!$C$27)</x:f>
        <x:v>0.779569801685084</x:v>
      </x:c>
      <x:c r="H196" s="63" t="n">
        <x:f>IF(B196&lt;$H$8,0,(INDEX('主线调参'!$D$11:$D$62,$AV196)+(INDEX('主线调参'!$D$11:$D$62,$AV196+1)-INDEX('主线调参'!$D$11:$D$62,$AV196))*$AW196)*'参数说明'!$D$27)</x:f>
        <x:v>0.6084379727486384</x:v>
      </x:c>
      <x:c r="I196" s="63" t="n">
        <x:f>IF(B196&lt;$I$8,0,(INDEX('主线调参'!$E$11:$E$62,$AV196)+(INDEX('主线调参'!$E$11:$E$62,$AV196+1)-INDEX('主线调参'!$E$11:$E$62,$AV196))*$AW196)*'参数说明'!$E$27)</x:f>
        <x:v>0.5221032277390181</x:v>
      </x:c>
      <x:c r="J196" s="63" t="n">
        <x:f>IF(B196&lt;$J$8,0,(INDEX('主线调参'!$F$11:$F$62,$AV196)+(INDEX('主线调参'!$F$11:$F$62,$AV196+1)-INDEX('主线调参'!$F$11:$F$62,$AV196))*$AW196)*'参数说明'!$F$27)</x:f>
        <x:v>0.4998461392450875</x:v>
      </x:c>
      <x:c r="K196" s="63" t="n">
        <x:f>IF(B196&lt;$K$8,0,(INDEX('主线调参'!$G$11:$G$62,$AV196)+(INDEX('主线调参'!$G$11:$G$62,$AV196+1)-INDEX('主线调参'!$G$11:$G$62,$AV196))*$AW196)*'参数说明'!$G$27)</x:f>
        <x:v>0.47532700863741506</x:v>
      </x:c>
      <x:c r="L196" s="63" t="n">
        <x:f>IF(B196&lt;$L$8,0,(INDEX('主线调参'!$H$11:$H$62,$AV196)+(INDEX('主线调参'!$H$11:$H$62,$AV196+1)-INDEX('主线调参'!$H$11:$H$62,$AV196))*$AW196)*'参数说明'!$H$27)</x:f>
        <x:v>0.6036348467742513</x:v>
      </x:c>
      <x:c r="M196" s="59" t="n">
        <x:f>E196*'模块规划'!$F$10+G196*'模块规划'!$F$11+H196*'模块规划'!$F$13</x:f>
        <x:v>4741.935048088404</x:v>
      </x:c>
      <x:c r="N196" s="59" t="n">
        <x:f>I196*'模块规划'!$F$15+J196*'模块规划'!$F$17+K196*'模块规划'!$F$16+L196*'模块规划'!$F$18</x:f>
        <x:v>15045.423500058765</x:v>
      </x:c>
      <x:c r="O196" s="59" t="n">
        <x:f>1+O$9*SUMPRODUCT($H$10:$L$10,H196:L196)/SUM($H$10:$L$10)</x:f>
        <x:v>2.985824310159715</x:v>
      </x:c>
      <x:c r="P196" s="59" t="n">
        <x:f>M196*O196+N196</x:f>
        <x:v>29204.0084438395</x:v>
      </x:c>
      <x:c r="Q196" s="59" t="n">
        <x:f>P196/(P196+'_曲线基线'!$L$2)</x:f>
        <x:v>0.5489061688776015</x:v>
      </x:c>
      <x:c r="R196" s="59" t="n">
        <x:f>E196*'模块规划'!$E$10+G196*'模块规划'!$E$11+H196*'模块规划'!$E$13</x:f>
        <x:v>7112.902572132605</x:v>
      </x:c>
      <x:c r="S196" s="59" t="n">
        <x:f>I196*'模块规划'!$E$15+J196*'模块规划'!$E$17+K196*'模块规划'!$E$16+L196*'模块规划'!$E$18</x:f>
        <x:v>22568.135250088148</x:v>
      </x:c>
      <x:c r="T196" s="59" t="n">
        <x:f>1+T$9*SUMPRODUCT($H$10:$L$10,H196:L196)/SUM($H$10:$L$10)</x:f>
        <x:v>2.985824310159715</x:v>
      </x:c>
      <x:c r="U196" s="59" t="n">
        <x:f>R196*T196+S196</x:f>
        <x:v>43806.01266575925</x:v>
      </x:c>
      <x:c r="V196" s="59" t="n">
        <x:f>V$8+(V$9-V$8)*H196</x:f>
        <x:v>0.8825313918245915</x:v>
      </x:c>
      <x:c r="W196" s="59" t="n">
        <x:f>IF(B196&lt;$H$8,0,W$8+(W$9-W$8)*H196)</x:f>
        <x:v>0.24337518909945538</x:v>
      </x:c>
      <x:c r="X196" s="59" t="n">
        <x:f>X$8+(X$9-X$8)*H196</x:f>
        <x:v>0.4423204425058756</x:v>
      </x:c>
      <x:c r="Y196" s="59" t="n">
        <x:f>Y$8+(Y$9-Y$8)*G196</x:f>
        <x:v>1</x:v>
      </x:c>
      <x:c r="Z196" s="59" t="n">
        <x:f>Z$8+(Z$9-Z$8)*H196</x:f>
        <x:v>1</x:v>
      </x:c>
      <x:c r="AA196" s="59" t="n">
        <x:f>AA$8+(AA$9-AA$8)*I196</x:f>
        <x:v>1</x:v>
      </x:c>
      <x:c r="AB196" s="59" t="n">
        <x:f>AB$8+(AB$9-AB$8)*J196</x:f>
        <x:v>1</x:v>
      </x:c>
      <x:c r="AC196" s="59" t="n">
        <x:f>AC$8+(AC$9-AC$8)*MAX(K196,L196)</x:f>
        <x:v>1</x:v>
      </x:c>
      <x:c r="AD196" s="59" t="n">
        <x:f>(V196*AE196+W196*AF196+X196*AG196)*PRODUCT(Y196:AC196)</x:f>
        <x:v>1.748272819108968</x:v>
      </x:c>
      <x:c r="AE196" s="59" t="n">
        <x:f>1+AE$9*($H$10*H196+$I$10*I196+$J$10*J196+$K$10*K196+$L$10*L196)</x:f>
        <x:v>1</x:v>
      </x:c>
      <x:c r="AF196" s="59" t="n">
        <x:f>1+AF$9*($H$10*H196+$I$10*I196+$J$10*J196+$K$10*K196+$L$10*L196)</x:f>
        <x:v>1.1752670848642988</x:v>
      </x:c>
      <x:c r="AG196" s="59" t="n">
        <x:f>1+AG$9*($H$10*H196+$I$10*I196+$J$10*J196+$K$10*K196+$L$10*L196)</x:f>
        <x:v>1.310612222620621</x:v>
      </x:c>
      <x:c r="AH196" s="59" t="n">
        <x:f>MIN(1,'_曲线基线'!$L$3+AH$9*($H$10*H196+$I$10*I196+$J$10*J196+$K$10*K196+$L$10*L196))</x:f>
        <x:v>0.44873261806627945</x:v>
      </x:c>
      <x:c r="AI196" s="59" t="n">
        <x:f>'_曲线基线'!$L$4+AI$9*($H$10*H196+$I$10*I196+$J$10*J196+$K$10*K196+$L$10*L196)</x:f>
        <x:v>3.110755150327493</x:v>
      </x:c>
      <x:c r="AJ196" s="59" t="n">
        <x:f>1+AJ$9*($H$10*H196+$I$10*I196+$J$10*J196+$K$10*K196+$L$10*L196)</x:f>
        <x:v>1.9113888412943532</x:v>
      </x:c>
      <x:c r="AK196" s="59" t="n">
        <x:f>(1+AH196*(AI196-1))*AJ196</x:f>
        <x:v>3.7217888505044003</x:v>
      </x:c>
      <x:c r="AL196" s="59" t="n">
        <x:f>U196*AD196*AK196*F196</x:f>
        <x:v>1425163.4137203216</x:v>
      </x:c>
      <x:c r="AM196" s="59" t="n">
        <x:f>IF($B196&lt;AM$8,0,AM$3+(AM$4-AM$3)*(POWER(AM$5,$B196-AM$8)-1)/(POWER(AM$5,$C$5-AM$8)-1))</x:f>
        <x:v>42.03351196029779</x:v>
      </x:c>
      <x:c r="AN196" s="59" t="n">
        <x:f>(((E196*'模块规划'!$D$10+G196*'模块规划'!$D$11+H196*'模块规划'!$D$13)*(1+'模块规划'!$G$14*H196)+(I196*'模块规划'!$D$15+J196*'模块规划'!$D$17+K196*'模块规划'!$D$16+L196*'模块规划'!$D$18))*(1+'模块规划'!$J$17*J196))*F196/(1-Q196)</x:f>
        <x:v>1984636.4548353737</x:v>
      </x:c>
      <x:c r="AO196" s="59" t="n">
        <x:f>AL196*AM196</x:f>
        <x:v>59904623.39599196</x:v>
      </x:c>
      <x:c r="AP196" s="61" t="n">
        <x:f>IF(AO196="","",INDEX('_曲线基线'!$A$3:$A$502,MIN(ROWS('_曲线基线'!$A$3:$A$502),COUNTIF('_曲线基线'!$E$3:$E$502,"&lt;"&amp;AO196)+1)))</x:f>
        <x:v>254</x:v>
      </x:c>
      <x:c r="AQ196" s="61" t="n">
        <x:f>IF(B196&lt;=2,1,IF(B196&lt;=6,2,IF(B196&lt;=9,3,IF(B196&lt;=19,4,5))))</x:f>
        <x:v>5</x:v>
      </x:c>
      <x:c r="AR196" s="59" t="n">
        <x:f>AN196*(1-Q196)/F196*$AS$3+U196*$AS$4+P196*$AS$5</x:f>
        <x:v>14132.746103933032</x:v>
      </x:c>
      <x:c r="AS196" s="59" t="n">
        <x:f>1+AH196*$AS$6+AI196*$AS$7+(AJ196-1)*$AS$8+($H$10*H196+$I$10*I196+$J$10*J196+$K$10*K196+$L$10*L196)*$AU$3*$AS$9+($H$10*H196+$I$10*I196+$J$10*J196+$K$10*K196+$L$10*L196)*$AU$4*$AS$10</x:f>
        <x:v>15.453987467867021</x:v>
      </x:c>
      <x:c r="AT196" s="60" t="n">
        <x:f>ROUND(AR196*AS196,0)</x:f>
        <x:v>218407</x:v>
      </x:c>
      <x:c r="AU196" s="60" t="n">
        <x:f>ROUND(AT196*F196,0)</x:f>
        <x:v>1092035</x:v>
      </x:c>
      <x:c r="AV196" s="60" t="n">
        <x:f>MIN(MATCH(B196,'主线调参'!$M$11:$M$62,1),ROWS('主线调参'!$M$11:$M$62)-1)</x:f>
        <x:v>39</x:v>
      </x:c>
      <x:c r="AW196" s="62" t="n">
        <x:f>(B196-INDEX('主线调参'!$M$11:$M$62,AV196))/(INDEX('主线调参'!$M$11:$M$62,AV196+1)-INDEX('主线调参'!$M$11:$M$62,AV196))</x:f>
        <x:v>0.7142857142857143</x:v>
      </x:c>
      <x:c r="AX196" s="60" t="n">
        <x:f>IF(AU196=0,0,ROUND(AU196,2-INT(LOG10(ABS(AU196)))))</x:f>
        <x:v>1090000</x:v>
      </x:c>
      <x:c r="AY196" s="62" t="n">
        <x:f>AU196/AU195-1</x:f>
        <x:v>0.005983197302724896</x:v>
      </x:c>
    </x:row>
    <x:row r="197" ht="25" customHeight="1">
      <x:c r="A197" s="40" t="str">
        <x:f>'调前玩家曲线'!A197</x:f>
      </x:c>
      <x:c r="B197" s="40" t="n">
        <x:f>'调前玩家曲线'!B197</x:f>
        <x:v>186</x:v>
      </x:c>
      <x:c r="C197" s="40" t="n">
        <x:f>'调前玩家曲线'!C197</x:f>
        <x:v>13</x:v>
      </x:c>
      <x:c r="D197" s="40" t="n">
        <x:f>'调前玩家曲线'!D197</x:f>
        <x:v>12</x:v>
      </x:c>
      <x:c r="E197" s="40" t="n">
        <x:f>'调前玩家曲线'!E197</x:f>
        <x:v>1</x:v>
      </x:c>
      <x:c r="F197" s="40" t="n">
        <x:f>'调前玩家曲线'!F197</x:f>
        <x:v>5</x:v>
      </x:c>
      <x:c r="G197" s="63" t="n">
        <x:f>IF(B197&lt;$G$8,0,(INDEX('主线调参'!$C$11:$C$62,$AV197)+(INDEX('主线调参'!$C$11:$C$62,$AV197+1)-INDEX('主线调参'!$C$11:$C$62,$AV197))*$AW197)*'参数说明'!$C$27)</x:f>
        <x:v>0.7811636928880267</x:v>
      </x:c>
      <x:c r="H197" s="63" t="n">
        <x:f>IF(B197&lt;$H$8,0,(INDEX('主线调参'!$D$11:$D$62,$AV197)+(INDEX('主线调参'!$D$11:$D$62,$AV197+1)-INDEX('主线调参'!$D$11:$D$62,$AV197))*$AW197)*'参数说明'!$D$27)</x:f>
        <x:v>0.6096210576475135</x:v>
      </x:c>
      <x:c r="I197" s="63" t="n">
        <x:f>IF(B197&lt;$I$8,0,(INDEX('主线调参'!$E$11:$E$62,$AV197)+(INDEX('主线调参'!$E$11:$E$62,$AV197+1)-INDEX('主线调参'!$E$11:$E$62,$AV197))*$AW197)*'参数说明'!$E$27)</x:f>
        <x:v>0.524001259445912</x:v>
      </x:c>
      <x:c r="J197" s="63" t="n">
        <x:f>IF(B197&lt;$J$8,0,(INDEX('主线调参'!$F$11:$F$62,$AV197)+(INDEX('主线调参'!$F$11:$F$62,$AV197+1)-INDEX('主线调参'!$F$11:$F$62,$AV197))*$AW197)*'参数说明'!$F$27)</x:f>
        <x:v>0.5011816092316612</x:v>
      </x:c>
      <x:c r="K197" s="63" t="n">
        <x:f>IF(B197&lt;$K$8,0,(INDEX('主线调参'!$G$11:$G$62,$AV197)+(INDEX('主线调参'!$G$11:$G$62,$AV197+1)-INDEX('主线调参'!$G$11:$G$62,$AV197))*$AW197)*'参数说明'!$G$27)</x:f>
        <x:v>0.47831330600142674</x:v>
      </x:c>
      <x:c r="L197" s="63" t="n">
        <x:f>IF(B197&lt;$L$8,0,(INDEX('主线调参'!$H$11:$H$62,$AV197)+(INDEX('主线调参'!$H$11:$H$62,$AV197+1)-INDEX('主线调参'!$H$11:$H$62,$AV197))*$AW197)*'参数说明'!$H$27)</x:f>
        <x:v>0.604910255016496</x:v>
      </x:c>
      <x:c r="M197" s="59" t="n">
        <x:f>E197*'模块规划'!$F$10+G197*'模块规划'!$F$11+H197*'模块规划'!$F$13</x:f>
        <x:v>4749.585725862527</x:v>
      </x:c>
      <x:c r="N197" s="59" t="n">
        <x:f>I197*'模块规划'!$F$15+J197*'模块规划'!$F$17+K197*'模块规划'!$F$16+L197*'模块规划'!$F$18</x:f>
        <x:v>15098.257278974948</x:v>
      </x:c>
      <x:c r="O197" s="59" t="n">
        <x:f>1+O$9*SUMPRODUCT($H$10:$L$10,H197:L197)/SUM($H$10:$L$10)</x:f>
        <x:v>2.992130198425365</x:v>
      </x:c>
      <x:c r="P197" s="59" t="n">
        <x:f>M197*O197+N197</x:f>
        <x:v>29309.636159338275</x:v>
      </x:c>
      <x:c r="Q197" s="59" t="n">
        <x:f>P197/(P197+'_曲线基线'!$L$2)</x:f>
        <x:v>0.5497999662150028</x:v>
      </x:c>
      <x:c r="R197" s="59" t="n">
        <x:f>E197*'模块规划'!$E$10+G197*'模块规划'!$E$11+H197*'模块规划'!$E$13</x:f>
        <x:v>7124.378588793792</x:v>
      </x:c>
      <x:c r="S197" s="59" t="n">
        <x:f>I197*'模块规划'!$E$15+J197*'模块规划'!$E$17+K197*'模块规划'!$E$16+L197*'模块规划'!$E$18</x:f>
        <x:v>22647.385918462423</x:v>
      </x:c>
      <x:c r="T197" s="59" t="n">
        <x:f>1+T$9*SUMPRODUCT($H$10:$L$10,H197:L197)/SUM($H$10:$L$10)</x:f>
        <x:v>2.992130198425365</x:v>
      </x:c>
      <x:c r="U197" s="59" t="n">
        <x:f>R197*T197+S197</x:f>
        <x:v>43964.45423900741</x:v>
      </x:c>
      <x:c r="V197" s="59" t="n">
        <x:f>V$8+(V$9-V$8)*H197</x:f>
        <x:v>0.882886317294254</x:v>
      </x:c>
      <x:c r="W197" s="59" t="n">
        <x:f>IF(B197&lt;$H$8,0,W$8+(W$9-W$8)*H197)</x:f>
        <x:v>0.24384842305900542</x:v>
      </x:c>
      <x:c r="X197" s="59" t="n">
        <x:f>X$8+(X$9-X$8)*H197</x:f>
        <x:v>0.4426457908530662</x:v>
      </x:c>
      <x:c r="Y197" s="59" t="n">
        <x:f>Y$8+(Y$9-Y$8)*G197</x:f>
        <x:v>1</x:v>
      </x:c>
      <x:c r="Z197" s="59" t="n">
        <x:f>Z$8+(Z$9-Z$8)*H197</x:f>
        <x:v>1</x:v>
      </x:c>
      <x:c r="AA197" s="59" t="n">
        <x:f>AA$8+(AA$9-AA$8)*I197</x:f>
        <x:v>1</x:v>
      </x:c>
      <x:c r="AB197" s="59" t="n">
        <x:f>AB$8+(AB$9-AB$8)*J197</x:f>
        <x:v>1</x:v>
      </x:c>
      <x:c r="AC197" s="59" t="n">
        <x:f>AC$8+(AC$9-AC$8)*MAX(K197,L197)</x:f>
        <x:v>1</x:v>
      </x:c>
      <x:c r="AD197" s="59" t="n">
        <x:f>(V197*AE197+W197*AF197+X197*AG197)*PRODUCT(Y197:AC197)</x:f>
        <x:v>1.7501826373215605</x:v>
      </x:c>
      <x:c r="AE197" s="59" t="n">
        <x:f>1+AE$9*($H$10*H197+$I$10*I197+$J$10*J197+$K$10*K197+$L$10*L197)</x:f>
        <x:v>1</x:v>
      </x:c>
      <x:c r="AF197" s="59" t="n">
        <x:f>1+AF$9*($H$10*H197+$I$10*I197+$J$10*J197+$K$10*K197+$L$10*L197)</x:f>
        <x:v>1.1758236369460444</x:v>
      </x:c>
      <x:c r="AG197" s="59" t="n">
        <x:f>1+AG$9*($H$10*H197+$I$10*I197+$J$10*J197+$K$10*K197+$L$10*L197)</x:f>
        <x:v>1.3115985565877146</x:v>
      </x:c>
      <x:c r="AH197" s="59" t="n">
        <x:f>MIN(1,'_曲线基线'!$L$3+AH$9*($H$10*H197+$I$10*I197+$J$10*J197+$K$10*K197+$L$10*L197))</x:f>
        <x:v>0.4499987740522508</x:v>
      </x:c>
      <x:c r="AI197" s="59" t="n">
        <x:f>'_曲线基线'!$L$4+AI$9*($H$10*H197+$I$10*I197+$J$10*J197+$K$10*K197+$L$10*L197)</x:f>
        <x:v>3.1142822991455557</x:v>
      </x:c>
      <x:c r="AJ197" s="59" t="n">
        <x:f>1+AJ$9*($H$10*H197+$I$10*I197+$J$10*J197+$K$10*K197+$L$10*L197)</x:f>
        <x:v>1.9142829121194307</x:v>
      </x:c>
      <x:c r="AK197" s="59" t="n">
        <x:f>(1+AH197*(AI197-1))*AJ197</x:f>
        <x:v>3.7355784647917525</x:v>
      </x:c>
      <x:c r="AL197" s="59" t="n">
        <x:f>U197*AD197*AK197*F197</x:f>
        <x:v>1437185.8241995494</x:v>
      </x:c>
      <x:c r="AM197" s="59" t="n">
        <x:f>IF($B197&lt;AM$8,0,AM$3+(AM$4-AM$3)*(POWER(AM$5,$B197-AM$8)-1)/(POWER(AM$5,$C$5-AM$8)-1))</x:f>
        <x:v>42.11727171982263</x:v>
      </x:c>
      <x:c r="AN197" s="59" t="n">
        <x:f>(((E197*'模块规划'!$D$10+G197*'模块规划'!$D$11+H197*'模块规划'!$D$13)*(1+'模块规划'!$G$14*H197)+(I197*'模块规划'!$D$15+J197*'模块规划'!$D$17+K197*'模块规划'!$D$16+L197*'模块规划'!$D$18))*(1+'模块规划'!$J$17*J197))*F197/(1-Q197)</x:f>
        <x:v>1996769.6765416255</x:v>
      </x:c>
      <x:c r="AO197" s="59" t="n">
        <x:f>AL197*AM197</x:f>
        <x:v>60530345.869689666</x:v>
      </x:c>
      <x:c r="AP197" s="61" t="n">
        <x:f>IF(AO197="","",INDEX('_曲线基线'!$A$3:$A$502,MIN(ROWS('_曲线基线'!$A$3:$A$502),COUNTIF('_曲线基线'!$E$3:$E$502,"&lt;"&amp;AO197)+1)))</x:f>
        <x:v>255</x:v>
      </x:c>
      <x:c r="AQ197" s="61" t="n">
        <x:f>IF(B197&lt;=2,1,IF(B197&lt;=6,2,IF(B197&lt;=9,3,IF(B197&lt;=19,4,5))))</x:f>
        <x:v>5</x:v>
      </x:c>
      <x:c r="AR197" s="59" t="n">
        <x:f>AN197*(1-Q197)/F197*$AS$3+U197*$AS$4+P197*$AS$5</x:f>
        <x:v>14186.56550284087</x:v>
      </x:c>
      <x:c r="AS197" s="59" t="n">
        <x:f>1+AH197*$AS$6+AI197*$AS$7+(AJ197-1)*$AS$8+($H$10*H197+$I$10*I197+$J$10*J197+$K$10*K197+$L$10*L197)*$AU$3*$AS$9+($H$10*H197+$I$10*I197+$J$10*J197+$K$10*K197+$L$10*L197)*$AU$4*$AS$10</x:f>
        <x:v>15.487242087133628</x:v>
      </x:c>
      <x:c r="AT197" s="60" t="n">
        <x:f>ROUND(AR197*AS197,0)</x:f>
        <x:v>219711</x:v>
      </x:c>
      <x:c r="AU197" s="60" t="n">
        <x:f>ROUND(AT197*F197,0)</x:f>
        <x:v>1098555</x:v>
      </x:c>
      <x:c r="AV197" s="60" t="n">
        <x:f>MIN(MATCH(B197,'主线调参'!$M$11:$M$62,1),ROWS('主线调参'!$M$11:$M$62)-1)</x:f>
        <x:v>39</x:v>
      </x:c>
      <x:c r="AW197" s="62" t="n">
        <x:f>(B197-INDEX('主线调参'!$M$11:$M$62,AV197))/(INDEX('主线调参'!$M$11:$M$62,AV197+1)-INDEX('主线调参'!$M$11:$M$62,AV197))</x:f>
        <x:v>0.7857142857142857</x:v>
      </x:c>
      <x:c r="AX197" s="60" t="n">
        <x:f>IF(AU197=0,0,ROUND(AU197,2-INT(LOG10(ABS(AU197)))))</x:f>
        <x:v>1100000</x:v>
      </x:c>
      <x:c r="AY197" s="62" t="n">
        <x:f>AU197/AU196-1</x:f>
        <x:v>0.005970504608368676</x:v>
      </x:c>
    </x:row>
    <x:row r="198" ht="25" customHeight="1">
      <x:c r="A198" s="40" t="str">
        <x:f>'调前玩家曲线'!A198</x:f>
      </x:c>
      <x:c r="B198" s="40" t="n">
        <x:f>'调前玩家曲线'!B198</x:f>
        <x:v>187</x:v>
      </x:c>
      <x:c r="C198" s="40" t="n">
        <x:f>'调前玩家曲线'!C198</x:f>
        <x:v>13</x:v>
      </x:c>
      <x:c r="D198" s="40" t="n">
        <x:f>'调前玩家曲线'!D198</x:f>
        <x:v>13</x:v>
      </x:c>
      <x:c r="E198" s="40" t="n">
        <x:f>'调前玩家曲线'!E198</x:f>
        <x:v>1</x:v>
      </x:c>
      <x:c r="F198" s="40" t="n">
        <x:f>'调前玩家曲线'!F198</x:f>
        <x:v>5</x:v>
      </x:c>
      <x:c r="G198" s="63" t="n">
        <x:f>IF(B198&lt;$G$8,0,(INDEX('主线调参'!$C$11:$C$62,$AV198)+(INDEX('主线调参'!$C$11:$C$62,$AV198+1)-INDEX('主线调参'!$C$11:$C$62,$AV198))*$AW198)*'参数说明'!$C$27)</x:f>
        <x:v>0.7827575840909693</x:v>
      </x:c>
      <x:c r="H198" s="63" t="n">
        <x:f>IF(B198&lt;$H$8,0,(INDEX('主线调参'!$D$11:$D$62,$AV198)+(INDEX('主线调参'!$D$11:$D$62,$AV198+1)-INDEX('主线调参'!$D$11:$D$62,$AV198))*$AW198)*'参数说明'!$D$27)</x:f>
        <x:v>0.6108041425463885</x:v>
      </x:c>
      <x:c r="I198" s="63" t="n">
        <x:f>IF(B198&lt;$I$8,0,(INDEX('主线调参'!$E$11:$E$62,$AV198)+(INDEX('主线调参'!$E$11:$E$62,$AV198+1)-INDEX('主线调参'!$E$11:$E$62,$AV198))*$AW198)*'参数说明'!$E$27)</x:f>
        <x:v>0.525899291152806</x:v>
      </x:c>
      <x:c r="J198" s="63" t="n">
        <x:f>IF(B198&lt;$J$8,0,(INDEX('主线调参'!$F$11:$F$62,$AV198)+(INDEX('主线调参'!$F$11:$F$62,$AV198+1)-INDEX('主线调参'!$F$11:$F$62,$AV198))*$AW198)*'参数说明'!$F$27)</x:f>
        <x:v>0.502517079218235</x:v>
      </x:c>
      <x:c r="K198" s="63" t="n">
        <x:f>IF(B198&lt;$K$8,0,(INDEX('主线调参'!$G$11:$G$62,$AV198)+(INDEX('主线调参'!$G$11:$G$62,$AV198+1)-INDEX('主线调参'!$G$11:$G$62,$AV198))*$AW198)*'参数说明'!$G$27)</x:f>
        <x:v>0.4812996033654385</x:v>
      </x:c>
      <x:c r="L198" s="63" t="n">
        <x:f>IF(B198&lt;$L$8,0,(INDEX('主线调参'!$H$11:$H$62,$AV198)+(INDEX('主线调参'!$H$11:$H$62,$AV198+1)-INDEX('主线调参'!$H$11:$H$62,$AV198))*$AW198)*'参数说明'!$H$27)</x:f>
        <x:v>0.6061856632587406</x:v>
      </x:c>
      <x:c r="M198" s="59" t="n">
        <x:f>E198*'模块规划'!$F$10+G198*'模块规划'!$F$11+H198*'模块规划'!$F$13</x:f>
        <x:v>4757.2364036366525</x:v>
      </x:c>
      <x:c r="N198" s="59" t="n">
        <x:f>I198*'模块规划'!$F$15+J198*'模块规划'!$F$17+K198*'模块规划'!$F$16+L198*'模块规划'!$F$18</x:f>
        <x:v>15151.09105789113</x:v>
      </x:c>
      <x:c r="O198" s="59" t="n">
        <x:f>1+O$9*SUMPRODUCT($H$10:$L$10,H198:L198)/SUM($H$10:$L$10)</x:f>
        <x:v>2.998436086691015</x:v>
      </x:c>
      <x:c r="P198" s="59" t="n">
        <x:f>M198*O198+N198</x:f>
        <x:v>29415.360363475455</x:v>
      </x:c>
      <x:c r="Q198" s="59" t="n">
        <x:f>P198/(P198+'_曲线基线'!$L$2)</x:f>
        <x:v>0.550691040242222</x:v>
      </x:c>
      <x:c r="R198" s="59" t="n">
        <x:f>E198*'模块规划'!$E$10+G198*'模块规划'!$E$11+H198*'模块规划'!$E$13</x:f>
        <x:v>7135.854605454979</x:v>
      </x:c>
      <x:c r="S198" s="59" t="n">
        <x:f>I198*'模块规划'!$E$15+J198*'模块规划'!$E$17+K198*'模块规划'!$E$16+L198*'模块规划'!$E$18</x:f>
        <x:v>22726.6365868367</x:v>
      </x:c>
      <x:c r="T198" s="59" t="n">
        <x:f>1+T$9*SUMPRODUCT($H$10:$L$10,H198:L198)/SUM($H$10:$L$10)</x:f>
        <x:v>2.998436086691015</x:v>
      </x:c>
      <x:c r="U198" s="59" t="n">
        <x:f>R198*T198+S198</x:f>
        <x:v>44123.04054521318</x:v>
      </x:c>
      <x:c r="V198" s="59" t="n">
        <x:f>V$8+(V$9-V$8)*H198</x:f>
        <x:v>0.8832412427639165</x:v>
      </x:c>
      <x:c r="W198" s="59" t="n">
        <x:f>IF(B198&lt;$H$8,0,W$8+(W$9-W$8)*H198)</x:f>
        <x:v>0.2443216570185554</x:v>
      </x:c>
      <x:c r="X198" s="59" t="n">
        <x:f>X$8+(X$9-X$8)*H198</x:f>
        <x:v>0.4429711392002569</x:v>
      </x:c>
      <x:c r="Y198" s="59" t="n">
        <x:f>Y$8+(Y$9-Y$8)*G198</x:f>
        <x:v>1</x:v>
      </x:c>
      <x:c r="Z198" s="59" t="n">
        <x:f>Z$8+(Z$9-Z$8)*H198</x:f>
        <x:v>1</x:v>
      </x:c>
      <x:c r="AA198" s="59" t="n">
        <x:f>AA$8+(AA$9-AA$8)*I198</x:f>
        <x:v>1</x:v>
      </x:c>
      <x:c r="AB198" s="59" t="n">
        <x:f>AB$8+(AB$9-AB$8)*J198</x:f>
        <x:v>1</x:v>
      </x:c>
      <x:c r="AC198" s="59" t="n">
        <x:f>AC$8+(AC$9-AC$8)*MAX(K198,L198)</x:f>
        <x:v>1</x:v>
      </x:c>
      <x:c r="AD198" s="59" t="n">
        <x:f>(V198*AE198+W198*AF198+X198*AG198)*PRODUCT(Y198:AC198)</x:f>
        <x:v>1.7520936240970955</x:v>
      </x:c>
      <x:c r="AE198" s="59" t="n">
        <x:f>1+AE$9*($H$10*H198+$I$10*I198+$J$10*J198+$K$10*K198+$L$10*L198)</x:f>
        <x:v>1</x:v>
      </x:c>
      <x:c r="AF198" s="59" t="n">
        <x:f>1+AF$9*($H$10*H198+$I$10*I198+$J$10*J198+$K$10*K198+$L$10*L198)</x:f>
        <x:v>1.17638018902779</x:v>
      </x:c>
      <x:c r="AG198" s="59" t="n">
        <x:f>1+AG$9*($H$10*H198+$I$10*I198+$J$10*J198+$K$10*K198+$L$10*L198)</x:f>
        <x:v>1.3125848905548083</x:v>
      </x:c>
      <x:c r="AH198" s="59" t="n">
        <x:f>MIN(1,'_曲线基线'!$L$3+AH$9*($H$10*H198+$I$10*I198+$J$10*J198+$K$10*K198+$L$10*L198))</x:f>
        <x:v>0.4512649300382221</x:v>
      </x:c>
      <x:c r="AI198" s="59" t="n">
        <x:f>'_曲线基线'!$L$4+AI$9*($H$10*H198+$I$10*I198+$J$10*J198+$K$10*K198+$L$10*L198)</x:f>
        <x:v>3.1178094479636185</x:v>
      </x:c>
      <x:c r="AJ198" s="59" t="n">
        <x:f>1+AJ$9*($H$10*H198+$I$10*I198+$J$10*J198+$K$10*K198+$L$10*L198)</x:f>
        <x:v>1.9171769829445078</x:v>
      </x:c>
      <x:c r="AK198" s="59" t="n">
        <x:f>(1+AH198*(AI198-1))*AJ198</x:f>
        <x:v>3.749409859081621</x:v>
      </x:c>
      <x:c r="AL198" s="59" t="n">
        <x:f>U198*AD198*AK198*F198</x:f>
        <x:v>1449291.225602584</x:v>
      </x:c>
      <x:c r="AM198" s="59" t="n">
        <x:f>IF($B198&lt;AM$8,0,AM$3+(AM$4-AM$3)*(POWER(AM$5,$B198-AM$8)-1)/(POWER(AM$5,$C$5-AM$8)-1))</x:f>
        <x:v>42.20186907694273</x:v>
      </x:c>
      <x:c r="AN198" s="59" t="n">
        <x:f>(((E198*'模块规划'!$D$10+G198*'模块规划'!$D$11+H198*'模块规划'!$D$13)*(1+'模块规划'!$G$14*H198)+(I198*'模块规划'!$D$15+J198*'模块规划'!$D$17+K198*'模块规划'!$D$16+L198*'模块规划'!$D$18))*(1+'模块规划'!$J$17*J198))*F198/(1-Q198)</x:f>
        <x:v>2008952.8834097069</x:v>
      </x:c>
      <x:c r="AO198" s="59" t="n">
        <x:f>AL198*AM198</x:f>
        <x:v>61162798.55724212</x:v>
      </x:c>
      <x:c r="AP198" s="61" t="n">
        <x:f>IF(AO198="","",INDEX('_曲线基线'!$A$3:$A$502,MIN(ROWS('_曲线基线'!$A$3:$A$502),COUNTIF('_曲线基线'!$E$3:$E$502,"&lt;"&amp;AO198)+1)))</x:f>
        <x:v>256</x:v>
      </x:c>
      <x:c r="AQ198" s="61" t="n">
        <x:f>IF(B198&lt;=2,1,IF(B198&lt;=6,2,IF(B198&lt;=9,3,IF(B198&lt;=19,4,5))))</x:f>
        <x:v>5</x:v>
      </x:c>
      <x:c r="AR198" s="59" t="n">
        <x:f>AN198*(1-Q198)/F198*$AS$3+U198*$AS$4+P198*$AS$5</x:f>
        <x:v>14240.45129052586</x:v>
      </x:c>
      <x:c r="AS198" s="59" t="n">
        <x:f>1+AH198*$AS$6+AI198*$AS$7+(AJ198-1)*$AS$8+($H$10*H198+$I$10*I198+$J$10*J198+$K$10*K198+$L$10*L198)*$AU$3*$AS$9+($H$10*H198+$I$10*I198+$J$10*J198+$K$10*K198+$L$10*L198)*$AU$4*$AS$10</x:f>
        <x:v>15.520496706400232</x:v>
      </x:c>
      <x:c r="AT198" s="60" t="n">
        <x:f>ROUND(AR198*AS198,0)</x:f>
        <x:v>221019</x:v>
      </x:c>
      <x:c r="AU198" s="60" t="n">
        <x:f>ROUND(AT198*F198,0)</x:f>
        <x:v>1105095</x:v>
      </x:c>
      <x:c r="AV198" s="60" t="n">
        <x:f>MIN(MATCH(B198,'主线调参'!$M$11:$M$62,1),ROWS('主线调参'!$M$11:$M$62)-1)</x:f>
        <x:v>39</x:v>
      </x:c>
      <x:c r="AW198" s="62" t="n">
        <x:f>(B198-INDEX('主线调参'!$M$11:$M$62,AV198))/(INDEX('主线调参'!$M$11:$M$62,AV198+1)-INDEX('主线调参'!$M$11:$M$62,AV198))</x:f>
        <x:v>0.8571428571428571</x:v>
      </x:c>
      <x:c r="AX198" s="60" t="n">
        <x:f>IF(AU198=0,0,ROUND(AU198,2-INT(LOG10(ABS(AU198)))))</x:f>
        <x:v>1110000</x:v>
      </x:c>
      <x:c r="AY198" s="62" t="n">
        <x:f>AU198/AU197-1</x:f>
        <x:v>0.005953274983956147</x:v>
      </x:c>
    </x:row>
    <x:row r="199" ht="25" customHeight="1">
      <x:c r="A199" s="40" t="str">
        <x:f>'调前玩家曲线'!A199</x:f>
      </x:c>
      <x:c r="B199" s="40" t="n">
        <x:f>'调前玩家曲线'!B199</x:f>
        <x:v>188</x:v>
      </x:c>
      <x:c r="C199" s="40" t="n">
        <x:f>'调前玩家曲线'!C199</x:f>
        <x:v>13</x:v>
      </x:c>
      <x:c r="D199" s="40" t="n">
        <x:f>'调前玩家曲线'!D199</x:f>
        <x:v>14</x:v>
      </x:c>
      <x:c r="E199" s="40" t="n">
        <x:f>'调前玩家曲线'!E199</x:f>
        <x:v>1</x:v>
      </x:c>
      <x:c r="F199" s="40" t="n">
        <x:f>'调前玩家曲线'!F199</x:f>
        <x:v>5</x:v>
      </x:c>
      <x:c r="G199" s="63" t="n">
        <x:f>IF(B199&lt;$G$8,0,(INDEX('主线调参'!$C$11:$C$62,$AV199)+(INDEX('主线调参'!$C$11:$C$62,$AV199+1)-INDEX('主线调参'!$C$11:$C$62,$AV199))*$AW199)*'参数说明'!$C$27)</x:f>
        <x:v>0.7843514752939119</x:v>
      </x:c>
      <x:c r="H199" s="63" t="n">
        <x:f>IF(B199&lt;$H$8,0,(INDEX('主线调参'!$D$11:$D$62,$AV199)+(INDEX('主线调参'!$D$11:$D$62,$AV199+1)-INDEX('主线调参'!$D$11:$D$62,$AV199))*$AW199)*'参数说明'!$D$27)</x:f>
        <x:v>0.6119872274452635</x:v>
      </x:c>
      <x:c r="I199" s="63" t="n">
        <x:f>IF(B199&lt;$I$8,0,(INDEX('主线调参'!$E$11:$E$62,$AV199)+(INDEX('主线调参'!$E$11:$E$62,$AV199+1)-INDEX('主线调参'!$E$11:$E$62,$AV199))*$AW199)*'参数说明'!$E$27)</x:f>
        <x:v>0.5277973228597</x:v>
      </x:c>
      <x:c r="J199" s="63" t="n">
        <x:f>IF(B199&lt;$J$8,0,(INDEX('主线调参'!$F$11:$F$62,$AV199)+(INDEX('主线调参'!$F$11:$F$62,$AV199+1)-INDEX('主线调参'!$F$11:$F$62,$AV199))*$AW199)*'参数说明'!$F$27)</x:f>
        <x:v>0.5038525492048088</x:v>
      </x:c>
      <x:c r="K199" s="63" t="n">
        <x:f>IF(B199&lt;$K$8,0,(INDEX('主线调参'!$G$11:$G$62,$AV199)+(INDEX('主线调参'!$G$11:$G$62,$AV199+1)-INDEX('主线调参'!$G$11:$G$62,$AV199))*$AW199)*'参数说明'!$G$27)</x:f>
        <x:v>0.48428590072945016</x:v>
      </x:c>
      <x:c r="L199" s="63" t="n">
        <x:f>IF(B199&lt;$L$8,0,(INDEX('主线调参'!$H$11:$H$62,$AV199)+(INDEX('主线调参'!$H$11:$H$62,$AV199+1)-INDEX('主线调参'!$H$11:$H$62,$AV199))*$AW199)*'参数说明'!$H$27)</x:f>
        <x:v>0.6074610715009852</x:v>
      </x:c>
      <x:c r="M199" s="59" t="n">
        <x:f>E199*'模块规划'!$F$10+G199*'模块规划'!$F$11+H199*'模块规划'!$F$13</x:f>
        <x:v>4764.887081410778</x:v>
      </x:c>
      <x:c r="N199" s="59" t="n">
        <x:f>I199*'模块规划'!$F$15+J199*'模块规划'!$F$17+K199*'模块规划'!$F$16+L199*'模块规划'!$F$18</x:f>
        <x:v>15203.924836807315</x:v>
      </x:c>
      <x:c r="O199" s="59" t="n">
        <x:f>1+O$9*SUMPRODUCT($H$10:$L$10,H199:L199)/SUM($H$10:$L$10)</x:f>
        <x:v>3.0047419749566657</x:v>
      </x:c>
      <x:c r="P199" s="59" t="n">
        <x:f>M199*O199+N199</x:f>
        <x:v>29521.181056251036</x:v>
      </x:c>
      <x:c r="Q199" s="59" t="n">
        <x:f>P199/(P199+'_曲线基线'!$L$2)</x:f>
        <x:v>0.551579402278588</x:v>
      </x:c>
      <x:c r="R199" s="59" t="n">
        <x:f>E199*'模块规划'!$E$10+G199*'模块规划'!$E$11+H199*'模块规划'!$E$13</x:f>
        <x:v>7147.330622116166</x:v>
      </x:c>
      <x:c r="S199" s="59" t="n">
        <x:f>I199*'模块规划'!$E$15+J199*'模块规划'!$E$17+K199*'模块规划'!$E$16+L199*'模块规划'!$E$18</x:f>
        <x:v>22805.887255210975</x:v>
      </x:c>
      <x:c r="T199" s="59" t="n">
        <x:f>1+T$9*SUMPRODUCT($H$10:$L$10,H199:L199)/SUM($H$10:$L$10)</x:f>
        <x:v>3.0047419749566657</x:v>
      </x:c>
      <x:c r="U199" s="59" t="n">
        <x:f>R199*T199+S199</x:f>
        <x:v>44281.77158437656</x:v>
      </x:c>
      <x:c r="V199" s="59" t="n">
        <x:f>V$8+(V$9-V$8)*H199</x:f>
        <x:v>0.883596168233579</x:v>
      </x:c>
      <x:c r="W199" s="59" t="n">
        <x:f>IF(B199&lt;$H$8,0,W$8+(W$9-W$8)*H199)</x:f>
        <x:v>0.2447948909781054</x:v>
      </x:c>
      <x:c r="X199" s="59" t="n">
        <x:f>X$8+(X$9-X$8)*H199</x:f>
        <x:v>0.4432964875474475</x:v>
      </x:c>
      <x:c r="Y199" s="59" t="n">
        <x:f>Y$8+(Y$9-Y$8)*G199</x:f>
        <x:v>1</x:v>
      </x:c>
      <x:c r="Z199" s="59" t="n">
        <x:f>Z$8+(Z$9-Z$8)*H199</x:f>
        <x:v>1</x:v>
      </x:c>
      <x:c r="AA199" s="59" t="n">
        <x:f>AA$8+(AA$9-AA$8)*I199</x:f>
        <x:v>1</x:v>
      </x:c>
      <x:c r="AB199" s="59" t="n">
        <x:f>AB$8+(AB$9-AB$8)*J199</x:f>
        <x:v>1</x:v>
      </x:c>
      <x:c r="AC199" s="59" t="n">
        <x:f>AC$8+(AC$9-AC$8)*MAX(K199,L199)</x:f>
        <x:v>1</x:v>
      </x:c>
      <x:c r="AD199" s="59" t="n">
        <x:f>(V199*AE199+W199*AF199+X199*AG199)*PRODUCT(Y199:AC199)</x:f>
        <x:v>1.7540057794355732</x:v>
      </x:c>
      <x:c r="AE199" s="59" t="n">
        <x:f>1+AE$9*($H$10*H199+$I$10*I199+$J$10*J199+$K$10*K199+$L$10*L199)</x:f>
        <x:v>1</x:v>
      </x:c>
      <x:c r="AF199" s="59" t="n">
        <x:f>1+AF$9*($H$10*H199+$I$10*I199+$J$10*J199+$K$10*K199+$L$10*L199)</x:f>
        <x:v>1.1769367411095357</x:v>
      </x:c>
      <x:c r="AG199" s="59" t="n">
        <x:f>1+AG$9*($H$10*H199+$I$10*I199+$J$10*J199+$K$10*K199+$L$10*L199)</x:f>
        <x:v>1.313571224521902</x:v>
      </x:c>
      <x:c r="AH199" s="59" t="n">
        <x:f>MIN(1,'_曲线基线'!$L$3+AH$9*($H$10*H199+$I$10*I199+$J$10*J199+$K$10*K199+$L$10*L199))</x:f>
        <x:v>0.45253108602419356</x:v>
      </x:c>
      <x:c r="AI199" s="59" t="n">
        <x:f>'_曲线基线'!$L$4+AI$9*($H$10*H199+$I$10*I199+$J$10*J199+$K$10*K199+$L$10*L199)</x:f>
        <x:v>3.121336596781682</x:v>
      </x:c>
      <x:c r="AJ199" s="59" t="n">
        <x:f>1+AJ$9*($H$10*H199+$I$10*I199+$J$10*J199+$K$10*K199+$L$10*L199)</x:f>
        <x:v>1.9200710537695853</x:v>
      </x:c>
      <x:c r="AK199" s="59" t="n">
        <x:f>(1+AH199*(AI199-1))*AJ199</x:f>
        <x:v>3.76328311092215</x:v>
      </x:c>
      <x:c r="AL199" s="59" t="n">
        <x:f>U199*AD199*AK199*F199</x:f>
        <x:v>1461480.0897736473</x:v>
      </x:c>
      <x:c r="AM199" s="59" t="n">
        <x:f>IF($B199&lt;AM$8,0,AM$3+(AM$4-AM$3)*(POWER(AM$5,$B199-AM$8)-1)/(POWER(AM$5,$C$5-AM$8)-1))</x:f>
        <x:v>42.28731240763402</x:v>
      </x:c>
      <x:c r="AN199" s="59" t="n">
        <x:f>(((E199*'模块规划'!$D$10+G199*'模块规划'!$D$11+H199*'模块规划'!$D$13)*(1+'模块规划'!$G$14*H199)+(I199*'模块规划'!$D$15+J199*'模块规划'!$D$17+K199*'模块规划'!$D$16+L199*'模块规划'!$D$18))*(1+'模块规划'!$J$17*J199))*F199/(1-Q199)</x:f>
        <x:v>2021186.2068390013</x:v>
      </x:c>
      <x:c r="AO199" s="59" t="n">
        <x:f>AL199*AM199</x:f>
        <x:v>61802065.13379523</x:v>
      </x:c>
      <x:c r="AP199" s="61" t="n">
        <x:f>IF(AO199="","",INDEX('_曲线基线'!$A$3:$A$502,MIN(ROWS('_曲线基线'!$A$3:$A$502),COUNTIF('_曲线基线'!$E$3:$E$502,"&lt;"&amp;AO199)+1)))</x:f>
        <x:v>257</x:v>
      </x:c>
      <x:c r="AQ199" s="61" t="n">
        <x:f>IF(B199&lt;=2,1,IF(B199&lt;=6,2,IF(B199&lt;=9,3,IF(B199&lt;=19,4,5))))</x:f>
        <x:v>5</x:v>
      </x:c>
      <x:c r="AR199" s="59" t="n">
        <x:f>AN199*(1-Q199)/F199*$AS$3+U199*$AS$4+P199*$AS$5</x:f>
        <x:v>14294.403478737422</x:v>
      </x:c>
      <x:c r="AS199" s="59" t="n">
        <x:f>1+AH199*$AS$6+AI199*$AS$7+(AJ199-1)*$AS$8+($H$10*H199+$I$10*I199+$J$10*J199+$K$10*K199+$L$10*L199)*$AU$3*$AS$9+($H$10*H199+$I$10*I199+$J$10*J199+$K$10*K199+$L$10*L199)*$AU$4*$AS$10</x:f>
        <x:v>15.55375132566684</x:v>
      </x:c>
      <x:c r="AT199" s="60" t="n">
        <x:f>ROUND(AR199*AS199,0)</x:f>
        <x:v>222332</x:v>
      </x:c>
      <x:c r="AU199" s="60" t="n">
        <x:f>ROUND(AT199*F199,0)</x:f>
        <x:v>1111660</x:v>
      </x:c>
      <x:c r="AV199" s="60" t="n">
        <x:f>MIN(MATCH(B199,'主线调参'!$M$11:$M$62,1),ROWS('主线调参'!$M$11:$M$62)-1)</x:f>
        <x:v>39</x:v>
      </x:c>
      <x:c r="AW199" s="62" t="n">
        <x:f>(B199-INDEX('主线调参'!$M$11:$M$62,AV199))/(INDEX('主线调参'!$M$11:$M$62,AV199+1)-INDEX('主线调参'!$M$11:$M$62,AV199))</x:f>
        <x:v>0.9285714285714286</x:v>
      </x:c>
      <x:c r="AX199" s="60" t="n">
        <x:f>IF(AU199=0,0,ROUND(AU199,2-INT(LOG10(ABS(AU199)))))</x:f>
        <x:v>1110000</x:v>
      </x:c>
      <x:c r="AY199" s="62" t="n">
        <x:f>AU199/AU198-1</x:f>
        <x:v>0.005940665734620154</x:v>
      </x:c>
    </x:row>
    <x:row r="200" ht="25" customHeight="1">
      <x:c r="A200" s="40" t="str">
        <x:f>'调前玩家曲线'!A200</x:f>
      </x:c>
      <x:c r="B200" s="40" t="n">
        <x:f>'调前玩家曲线'!B200</x:f>
        <x:v>189</x:v>
      </x:c>
      <x:c r="C200" s="40" t="n">
        <x:f>'调前玩家曲线'!C200</x:f>
        <x:v>13</x:v>
      </x:c>
      <x:c r="D200" s="40" t="n">
        <x:f>'调前玩家曲线'!D200</x:f>
        <x:v>15</x:v>
      </x:c>
      <x:c r="E200" s="40" t="n">
        <x:f>'调前玩家曲线'!E200</x:f>
        <x:v>1</x:v>
      </x:c>
      <x:c r="F200" s="40" t="n">
        <x:f>'调前玩家曲线'!F200</x:f>
        <x:v>5</x:v>
      </x:c>
      <x:c r="G200" s="63" t="n">
        <x:f>IF(B200&lt;$G$8,0,(INDEX('主线调参'!$C$11:$C$62,$AV200)+(INDEX('主线调参'!$C$11:$C$62,$AV200+1)-INDEX('主线调参'!$C$11:$C$62,$AV200))*$AW200)*'参数说明'!$C$27)</x:f>
        <x:v>0.7859453664968545</x:v>
      </x:c>
      <x:c r="H200" s="63" t="n">
        <x:f>IF(B200&lt;$H$8,0,(INDEX('主线调参'!$D$11:$D$62,$AV200)+(INDEX('主线调参'!$D$11:$D$62,$AV200+1)-INDEX('主线调参'!$D$11:$D$62,$AV200))*$AW200)*'参数说明'!$D$27)</x:f>
        <x:v>0.6131703123441385</x:v>
      </x:c>
      <x:c r="I200" s="63" t="n">
        <x:f>IF(B200&lt;$I$8,0,(INDEX('主线调参'!$E$11:$E$62,$AV200)+(INDEX('主线调参'!$E$11:$E$62,$AV200+1)-INDEX('主线调参'!$E$11:$E$62,$AV200))*$AW200)*'参数说明'!$E$27)</x:f>
        <x:v>0.529695354566594</x:v>
      </x:c>
      <x:c r="J200" s="63" t="n">
        <x:f>IF(B200&lt;$J$8,0,(INDEX('主线调参'!$F$11:$F$62,$AV200)+(INDEX('主线调参'!$F$11:$F$62,$AV200+1)-INDEX('主线调参'!$F$11:$F$62,$AV200))*$AW200)*'参数说明'!$F$27)</x:f>
        <x:v>0.5051880191913827</x:v>
      </x:c>
      <x:c r="K200" s="63" t="n">
        <x:f>IF(B200&lt;$K$8,0,(INDEX('主线调参'!$G$11:$G$62,$AV200)+(INDEX('主线调参'!$G$11:$G$62,$AV200+1)-INDEX('主线调参'!$G$11:$G$62,$AV200))*$AW200)*'参数说明'!$G$27)</x:f>
        <x:v>0.4872721980934618</x:v>
      </x:c>
      <x:c r="L200" s="63" t="n">
        <x:f>IF(B200&lt;$L$8,0,(INDEX('主线调参'!$H$11:$H$62,$AV200)+(INDEX('主线调参'!$H$11:$H$62,$AV200+1)-INDEX('主线调参'!$H$11:$H$62,$AV200))*$AW200)*'参数说明'!$H$27)</x:f>
        <x:v>0.6087364797432298</x:v>
      </x:c>
      <x:c r="M200" s="59" t="n">
        <x:f>E200*'模块规划'!$F$10+G200*'模块规划'!$F$11+H200*'模块规划'!$F$13</x:f>
        <x:v>4772.537759184902</x:v>
      </x:c>
      <x:c r="N200" s="59" t="n">
        <x:f>I200*'模块规划'!$F$15+J200*'模块规划'!$F$17+K200*'模块规划'!$F$16+L200*'模块规划'!$F$18</x:f>
        <x:v>15256.758615723498</x:v>
      </x:c>
      <x:c r="O200" s="59" t="n">
        <x:f>1+O$9*SUMPRODUCT($H$10:$L$10,H200:L200)/SUM($H$10:$L$10)</x:f>
        <x:v>3.011047863222316</x:v>
      </x:c>
      <x:c r="P200" s="59" t="n">
        <x:f>M200*O200+N200</x:f>
        <x:v>29627.098237665017</x:v>
      </x:c>
      <x:c r="Q200" s="59" t="n">
        <x:f>P200/(P200+'_曲线基线'!$L$2)</x:f>
        <x:v>0.5524650635834032</x:v>
      </x:c>
      <x:c r="R200" s="59" t="n">
        <x:f>E200*'模块规划'!$E$10+G200*'模块规划'!$E$11+H200*'模块规划'!$E$13</x:f>
        <x:v>7158.806638777352</x:v>
      </x:c>
      <x:c r="S200" s="59" t="n">
        <x:f>I200*'模块规划'!$E$15+J200*'模块规划'!$E$17+K200*'模块规划'!$E$16+L200*'模块规划'!$E$18</x:f>
        <x:v>22885.137923585244</x:v>
      </x:c>
      <x:c r="T200" s="59" t="n">
        <x:f>1+T$9*SUMPRODUCT($H$10:$L$10,H200:L200)/SUM($H$10:$L$10)</x:f>
        <x:v>3.011047863222316</x:v>
      </x:c>
      <x:c r="U200" s="59" t="n">
        <x:f>R200*T200+S200</x:f>
        <x:v>44440.64735649752</x:v>
      </x:c>
      <x:c r="V200" s="59" t="n">
        <x:f>V$8+(V$9-V$8)*H200</x:f>
        <x:v>0.8839510937032415</x:v>
      </x:c>
      <x:c r="W200" s="59" t="n">
        <x:f>IF(B200&lt;$H$8,0,W$8+(W$9-W$8)*H200)</x:f>
        <x:v>0.24526812493765543</x:v>
      </x:c>
      <x:c r="X200" s="59" t="n">
        <x:f>X$8+(X$9-X$8)*H200</x:f>
        <x:v>0.4436218358946381</x:v>
      </x:c>
      <x:c r="Y200" s="59" t="n">
        <x:f>Y$8+(Y$9-Y$8)*G200</x:f>
        <x:v>1</x:v>
      </x:c>
      <x:c r="Z200" s="59" t="n">
        <x:f>Z$8+(Z$9-Z$8)*H200</x:f>
        <x:v>1</x:v>
      </x:c>
      <x:c r="AA200" s="59" t="n">
        <x:f>AA$8+(AA$9-AA$8)*I200</x:f>
        <x:v>1</x:v>
      </x:c>
      <x:c r="AB200" s="59" t="n">
        <x:f>AB$8+(AB$9-AB$8)*J200</x:f>
        <x:v>1</x:v>
      </x:c>
      <x:c r="AC200" s="59" t="n">
        <x:f>AC$8+(AC$9-AC$8)*MAX(K200,L200)</x:f>
        <x:v>1</x:v>
      </x:c>
      <x:c r="AD200" s="59" t="n">
        <x:f>(V200*AE200+W200*AF200+X200*AG200)*PRODUCT(Y200:AC200)</x:f>
        <x:v>1.7559191033369936</x:v>
      </x:c>
      <x:c r="AE200" s="59" t="n">
        <x:f>1+AE$9*($H$10*H200+$I$10*I200+$J$10*J200+$K$10*K200+$L$10*L200)</x:f>
        <x:v>1</x:v>
      </x:c>
      <x:c r="AF200" s="59" t="n">
        <x:f>1+AF$9*($H$10*H200+$I$10*I200+$J$10*J200+$K$10*K200+$L$10*L200)</x:f>
        <x:v>1.1774932931912814</x:v>
      </x:c>
      <x:c r="AG200" s="59" t="n">
        <x:f>1+AG$9*($H$10*H200+$I$10*I200+$J$10*J200+$K$10*K200+$L$10*L200)</x:f>
        <x:v>1.3145575584889957</x:v>
      </x:c>
      <x:c r="AH200" s="59" t="n">
        <x:f>MIN(1,'_曲线基线'!$L$3+AH$9*($H$10*H200+$I$10*I200+$J$10*J200+$K$10*K200+$L$10*L200))</x:f>
        <x:v>0.4537972420101649</x:v>
      </x:c>
      <x:c r="AI200" s="59" t="n">
        <x:f>'_曲线基线'!$L$4+AI$9*($H$10*H200+$I$10*I200+$J$10*J200+$K$10*K200+$L$10*L200)</x:f>
        <x:v>3.124863745599745</x:v>
      </x:c>
      <x:c r="AJ200" s="59" t="n">
        <x:f>1+AJ$9*($H$10*H200+$I$10*I200+$J$10*J200+$K$10*K200+$L$10*L200)</x:f>
        <x:v>1.9229651245946626</x:v>
      </x:c>
      <x:c r="AK200" s="59" t="n">
        <x:f>(1+AH200*(AI200-1))*AJ200</x:f>
        <x:v>3.7771982978614806</x:v>
      </x:c>
      <x:c r="AL200" s="59" t="n">
        <x:f>U200*AD200*AK200*F200</x:f>
        <x:v>1473752.8906668595</x:v>
      </x:c>
      <x:c r="AM200" s="59" t="n">
        <x:f>IF($B200&lt;AM$8,0,AM$3+(AM$4-AM$3)*(POWER(AM$5,$B200-AM$8)-1)/(POWER(AM$5,$C$5-AM$8)-1))</x:f>
        <x:v>42.37361017163223</x:v>
      </x:c>
      <x:c r="AN200" s="59" t="n">
        <x:f>(((E200*'模块规划'!$D$10+G200*'模块规划'!$D$11+H200*'模块规划'!$D$13)*(1+'模块规划'!$G$14*H200)+(I200*'模块规划'!$D$15+J200*'模块规划'!$D$17+K200*'模块规划'!$D$16+L200*'模块规划'!$D$18))*(1+'模块规划'!$J$17*J200))*F200/(1-Q200)</x:f>
        <x:v>2033469.7784139912</x:v>
      </x:c>
      <x:c r="AO200" s="59" t="n">
        <x:f>AL200*AM200</x:f>
        <x:v>62448230.47843364</x:v>
      </x:c>
      <x:c r="AP200" s="61" t="n">
        <x:f>IF(AO200="","",INDEX('_曲线基线'!$A$3:$A$502,MIN(ROWS('_曲线基线'!$A$3:$A$502),COUNTIF('_曲线基线'!$E$3:$E$502,"&lt;"&amp;AO200)+1)))</x:f>
        <x:v>257</x:v>
      </x:c>
      <x:c r="AQ200" s="61" t="n">
        <x:f>IF(B200&lt;=2,1,IF(B200&lt;=6,2,IF(B200&lt;=9,3,IF(B200&lt;=19,4,5))))</x:f>
        <x:v>5</x:v>
      </x:c>
      <x:c r="AR200" s="59" t="n">
        <x:f>AN200*(1-Q200)/F200*$AS$3+U200*$AS$4+P200*$AS$5</x:f>
        <x:v>14348.422079224963</x:v>
      </x:c>
      <x:c r="AS200" s="59" t="n">
        <x:f>1+AH200*$AS$6+AI200*$AS$7+(AJ200-1)*$AS$8+($H$10*H200+$I$10*I200+$J$10*J200+$K$10*K200+$L$10*L200)*$AU$3*$AS$9+($H$10*H200+$I$10*I200+$J$10*J200+$K$10*K200+$L$10*L200)*$AU$4*$AS$10</x:f>
        <x:v>15.587005944933443</x:v>
      </x:c>
      <x:c r="AT200" s="60" t="n">
        <x:f>ROUND(AR200*AS200,0)</x:f>
        <x:v>223649</x:v>
      </x:c>
      <x:c r="AU200" s="60" t="n">
        <x:f>ROUND(AT200*F200,0)</x:f>
        <x:v>1118245</x:v>
      </x:c>
      <x:c r="AV200" s="60" t="n">
        <x:f>MIN(MATCH(B200,'主线调参'!$M$11:$M$62,1),ROWS('主线调参'!$M$11:$M$62)-1)</x:f>
        <x:v>40</x:v>
      </x:c>
      <x:c r="AW200" s="62" t="n">
        <x:f>(B200-INDEX('主线调参'!$M$11:$M$62,AV200))/(INDEX('主线调参'!$M$11:$M$62,AV200+1)-INDEX('主线调参'!$M$11:$M$62,AV200))</x:f>
        <x:v>0</x:v>
      </x:c>
      <x:c r="AX200" s="60" t="n">
        <x:f>IF(AU200=0,0,ROUND(AU200,2-INT(LOG10(ABS(AU200)))))</x:f>
        <x:v>1120000</x:v>
      </x:c>
      <x:c r="AY200" s="62" t="n">
        <x:f>AU200/AU199-1</x:f>
        <x:v>0.005923573754565314</x:v>
      </x:c>
    </x:row>
    <x:row r="201" ht="25" customHeight="1">
      <x:c r="A201" s="40" t="str">
        <x:f>'调前玩家曲线'!A201</x:f>
      </x:c>
      <x:c r="B201" s="40" t="n">
        <x:f>'调前玩家曲线'!B201</x:f>
        <x:v>190</x:v>
      </x:c>
      <x:c r="C201" s="40" t="n">
        <x:f>'调前玩家曲线'!C201</x:f>
        <x:v>14</x:v>
      </x:c>
      <x:c r="D201" s="40" t="n">
        <x:f>'调前玩家曲线'!D201</x:f>
        <x:v>1</x:v>
      </x:c>
      <x:c r="E201" s="40" t="n">
        <x:f>'调前玩家曲线'!E201</x:f>
        <x:v>1</x:v>
      </x:c>
      <x:c r="F201" s="40" t="n">
        <x:f>'调前玩家曲线'!F201</x:f>
        <x:v>5</x:v>
      </x:c>
      <x:c r="G201" s="63" t="n">
        <x:f>IF(B201&lt;$G$8,0,(INDEX('主线调参'!$C$11:$C$62,$AV201)+(INDEX('主线调参'!$C$11:$C$62,$AV201+1)-INDEX('主线调参'!$C$11:$C$62,$AV201))*$AW201)*'参数说明'!$C$27)</x:f>
        <x:v>0.78747255108527</x:v>
      </x:c>
      <x:c r="H201" s="63" t="n">
        <x:f>IF(B201&lt;$H$8,0,(INDEX('主线调参'!$D$11:$D$62,$AV201)+(INDEX('主线调参'!$D$11:$D$62,$AV201+1)-INDEX('主线调参'!$D$11:$D$62,$AV201))*$AW201)*'参数说明'!$D$27)</x:f>
        <x:v>0.6143033030466674</x:v>
      </x:c>
      <x:c r="I201" s="63" t="n">
        <x:f>IF(B201&lt;$I$8,0,(INDEX('主线调参'!$E$11:$E$62,$AV201)+(INDEX('主线调参'!$E$11:$E$62,$AV201+1)-INDEX('主线调参'!$E$11:$E$62,$AV201))*$AW201)*'参数说明'!$E$27)</x:f>
        <x:v>0.53146458562903</x:v>
      </x:c>
      <x:c r="J201" s="63" t="n">
        <x:f>IF(B201&lt;$J$8,0,(INDEX('主线调参'!$F$11:$F$62,$AV201)+(INDEX('主线调参'!$F$11:$F$62,$AV201+1)-INDEX('主线调参'!$F$11:$F$62,$AV201))*$AW201)*'参数说明'!$F$27)</x:f>
        <x:v>0.506458779810185</x:v>
      </x:c>
      <x:c r="K201" s="63" t="n">
        <x:f>IF(B201&lt;$K$8,0,(INDEX('主线调参'!$G$11:$G$62,$AV201)+(INDEX('主线调参'!$G$11:$G$62,$AV201+1)-INDEX('主线调参'!$G$11:$G$62,$AV201))*$AW201)*'参数说明'!$G$27)</x:f>
        <x:v>0.4899881397384997</x:v>
      </x:c>
      <x:c r="L201" s="63" t="n">
        <x:f>IF(B201&lt;$L$8,0,(INDEX('主线调参'!$H$11:$H$62,$AV201)+(INDEX('主线调参'!$H$11:$H$62,$AV201+1)-INDEX('主线调参'!$H$11:$H$62,$AV201))*$AW201)*'参数说明'!$H$27)</x:f>
        <x:v>0.6099519134494915</x:v>
      </x:c>
      <x:c r="M201" s="59" t="n">
        <x:f>E201*'模块规划'!$F$10+G201*'模块规划'!$F$11+H201*'模块规划'!$F$13</x:f>
        <x:v>4779.868245209296</x:v>
      </x:c>
      <x:c r="N201" s="59" t="n">
        <x:f>I201*'模块规划'!$F$15+J201*'模块规划'!$F$17+K201*'模块规划'!$F$16+L201*'模块规划'!$F$18</x:f>
        <x:v>15305.992888812545</x:v>
      </x:c>
      <x:c r="O201" s="59" t="n">
        <x:f>1+O$9*SUMPRODUCT($H$10:$L$10,H201:L201)/SUM($H$10:$L$10)</x:f>
        <x:v>3.016952484122495</x:v>
      </x:c>
      <x:c r="P201" s="59" t="n">
        <x:f>M201*O201+N201</x:f>
        <x:v>29726.628264974963</x:v>
      </x:c>
      <x:c r="Q201" s="59" t="n">
        <x:f>P201/(P201+'_曲线基线'!$L$2)</x:f>
        <x:v>0.5532941341184835</x:v>
      </x:c>
      <x:c r="R201" s="59" t="n">
        <x:f>E201*'模块规划'!$E$10+G201*'模块规划'!$E$11+H201*'模块规划'!$E$13</x:f>
        <x:v>7169.802367813944</x:v>
      </x:c>
      <x:c r="S201" s="59" t="n">
        <x:f>I201*'模块规划'!$E$15+J201*'模块规划'!$E$17+K201*'模块规划'!$E$16+L201*'模块规划'!$E$18</x:f>
        <x:v>22958.989333218815</x:v>
      </x:c>
      <x:c r="T201" s="59" t="n">
        <x:f>1+T$9*SUMPRODUCT($H$10:$L$10,H201:L201)/SUM($H$10:$L$10)</x:f>
        <x:v>3.016952484122495</x:v>
      </x:c>
      <x:c r="U201" s="59" t="n">
        <x:f>R201*T201+S201</x:f>
        <x:v>44589.94239746244</x:v>
      </x:c>
      <x:c r="V201" s="59" t="n">
        <x:f>V$8+(V$9-V$8)*H201</x:f>
        <x:v>0.8842909909140002</x:v>
      </x:c>
      <x:c r="W201" s="59" t="n">
        <x:f>IF(B201&lt;$H$8,0,W$8+(W$9-W$8)*H201)</x:f>
        <x:v>0.24572132121866697</x:v>
      </x:c>
      <x:c r="X201" s="59" t="n">
        <x:f>X$8+(X$9-X$8)*H201</x:f>
        <x:v>0.44393340833783357</x:v>
      </x:c>
      <x:c r="Y201" s="59" t="n">
        <x:f>Y$8+(Y$9-Y$8)*G201</x:f>
        <x:v>1</x:v>
      </x:c>
      <x:c r="Z201" s="59" t="n">
        <x:f>Z$8+(Z$9-Z$8)*H201</x:f>
        <x:v>1</x:v>
      </x:c>
      <x:c r="AA201" s="59" t="n">
        <x:f>AA$8+(AA$9-AA$8)*I201</x:f>
        <x:v>1</x:v>
      </x:c>
      <x:c r="AB201" s="59" t="n">
        <x:f>AB$8+(AB$9-AB$8)*J201</x:f>
        <x:v>1</x:v>
      </x:c>
      <x:c r="AC201" s="59" t="n">
        <x:f>AC$8+(AC$9-AC$8)*MAX(K201,L201)</x:f>
        <x:v>1</x:v>
      </x:c>
      <x:c r="AD201" s="59" t="n">
        <x:f>(V201*AE201+W201*AF201+X201*AG201)*PRODUCT(Y201:AC201)</x:f>
        <x:v>1.7577402739113888</x:v>
      </x:c>
      <x:c r="AE201" s="59" t="n">
        <x:f>1+AE$9*($H$10*H201+$I$10*I201+$J$10*J201+$K$10*K201+$L$10*L201)</x:f>
        <x:v>1</x:v>
      </x:c>
      <x:c r="AF201" s="59" t="n">
        <x:f>1+AF$9*($H$10*H201+$I$10*I201+$J$10*J201+$K$10*K201+$L$10*L201)</x:f>
        <x:v>1.1780144297727548</x:v>
      </x:c>
      <x:c r="AG201" s="59" t="n">
        <x:f>1+AG$9*($H$10*H201+$I$10*I201+$J$10*J201+$K$10*K201+$L$10*L201)</x:f>
        <x:v>1.3154811283194956</x:v>
      </x:c>
      <x:c r="AH201" s="59" t="n">
        <x:f>MIN(1,'_曲线基线'!$L$3+AH$9*($H$10*H201+$I$10*I201+$J$10*J201+$K$10*K201+$L$10*L201))</x:f>
        <x:v>0.45498282773301657</x:v>
      </x:c>
      <x:c r="AI201" s="59" t="n">
        <x:f>'_曲线基线'!$L$4+AI$9*($H$10*H201+$I$10*I201+$J$10*J201+$K$10*K201+$L$10*L201)</x:f>
        <x:v>3.1281664486848317</x:v>
      </x:c>
      <x:c r="AJ201" s="59" t="n">
        <x:f>1+AJ$9*($H$10*H201+$I$10*I201+$J$10*J201+$K$10*K201+$L$10*L201)</x:f>
        <x:v>1.9256750348183238</x:v>
      </x:c>
      <x:c r="AK201" s="59" t="n">
        <x:f>(1+AH201*(AI201-1))*AJ201</x:f>
        <x:v>3.7902660952496867</x:v>
      </x:c>
      <x:c r="AL201" s="59" t="n">
        <x:f>U201*AD201*AK201*F201</x:f>
        <x:v>1485358.616278733</x:v>
      </x:c>
      <x:c r="AM201" s="59" t="n">
        <x:f>IF($B201&lt;AM$8,0,AM$3+(AM$4-AM$3)*(POWER(AM$5,$B201-AM$8)-1)/(POWER(AM$5,$C$5-AM$8)-1))</x:f>
        <x:v>42.46077091327042</x:v>
      </x:c>
      <x:c r="AN201" s="59" t="n">
        <x:f>(((E201*'模块规划'!$D$10+G201*'模块规划'!$D$11+H201*'模块规划'!$D$13)*(1+'模块规划'!$G$14*H201)+(I201*'模块规划'!$D$15+J201*'模块规划'!$D$17+K201*'模块规划'!$D$16+L201*'模块规划'!$D$18))*(1+'模块规划'!$J$17*J201))*F201/(1-Q201)</x:f>
        <x:v>2045070.0766952385</x:v>
      </x:c>
      <x:c r="AO201" s="59" t="n">
        <x:f>AL201*AM201</x:f>
        <x:v>63069471.929863624</x:v>
      </x:c>
      <x:c r="AP201" s="61" t="n">
        <x:f>IF(AO201="","",INDEX('_曲线基线'!$A$3:$A$502,MIN(ROWS('_曲线基线'!$A$3:$A$502),COUNTIF('_曲线基线'!$E$3:$E$502,"&lt;"&amp;AO201)+1)))</x:f>
        <x:v>258</x:v>
      </x:c>
      <x:c r="AQ201" s="61" t="n">
        <x:f>IF(B201&lt;=2,1,IF(B201&lt;=6,2,IF(B201&lt;=9,3,IF(B201&lt;=19,4,5))))</x:f>
        <x:v>5</x:v>
      </x:c>
      <x:c r="AR201" s="59" t="n">
        <x:f>AN201*(1-Q201)/F201*$AS$3+U201*$AS$4+P201*$AS$5</x:f>
        <x:v>14399.257275883643</x:v>
      </x:c>
      <x:c r="AS201" s="59" t="n">
        <x:f>1+AH201*$AS$6+AI201*$AS$7+(AJ201-1)*$AS$8+($H$10*H201+$I$10*I201+$J$10*J201+$K$10*K201+$L$10*L201)*$AU$3*$AS$9+($H$10*H201+$I$10*I201+$J$10*J201+$K$10*K201+$L$10*L201)*$AU$4*$AS$10</x:f>
        <x:v>15.618144447817915</x:v>
      </x:c>
      <x:c r="AT201" s="60" t="n">
        <x:f>ROUND(AR201*AS201,0)</x:f>
        <x:v>224890</x:v>
      </x:c>
      <x:c r="AU201" s="60" t="n">
        <x:f>ROUND(AT201*F201,0)</x:f>
        <x:v>1124450</x:v>
      </x:c>
      <x:c r="AV201" s="60" t="n">
        <x:f>MIN(MATCH(B201,'主线调参'!$M$11:$M$62,1),ROWS('主线调参'!$M$11:$M$62)-1)</x:f>
        <x:v>41</x:v>
      </x:c>
      <x:c r="AW201" s="62" t="n">
        <x:f>(B201-INDEX('主线调参'!$M$11:$M$62,AV201))/(INDEX('主线调参'!$M$11:$M$62,AV201+1)-INDEX('主线调参'!$M$11:$M$62,AV201))</x:f>
        <x:v>0</x:v>
      </x:c>
      <x:c r="AX201" s="60" t="n">
        <x:f>IF(AU201=0,0,ROUND(AU201,2-INT(LOG10(ABS(AU201)))))</x:f>
        <x:v>1120000</x:v>
      </x:c>
      <x:c r="AY201" s="62" t="n">
        <x:f>AU201/AU200-1</x:f>
        <x:v>0.005548873457963177</x:v>
      </x:c>
    </x:row>
    <x:row r="202" ht="25" customHeight="1">
      <x:c r="A202" s="40" t="str">
        <x:f>'调前玩家曲线'!A202</x:f>
      </x:c>
      <x:c r="B202" s="40" t="n">
        <x:f>'调前玩家曲线'!B202</x:f>
        <x:v>191</x:v>
      </x:c>
      <x:c r="C202" s="40" t="n">
        <x:f>'调前玩家曲线'!C202</x:f>
        <x:v>14</x:v>
      </x:c>
      <x:c r="D202" s="40" t="n">
        <x:f>'调前玩家曲线'!D202</x:f>
        <x:v>2</x:v>
      </x:c>
      <x:c r="E202" s="40" t="n">
        <x:f>'调前玩家曲线'!E202</x:f>
        <x:v>1</x:v>
      </x:c>
      <x:c r="F202" s="40" t="n">
        <x:f>'调前玩家曲线'!F202</x:f>
        <x:v>5</x:v>
      </x:c>
      <x:c r="G202" s="63" t="n">
        <x:f>IF(B202&lt;$G$8,0,(INDEX('主线调参'!$C$11:$C$62,$AV202)+(INDEX('主线调参'!$C$11:$C$62,$AV202+1)-INDEX('主线调参'!$C$11:$C$62,$AV202))*$AW202)*'参数说明'!$C$27)</x:f>
        <x:v>0.7889409581615745</x:v>
      </x:c>
      <x:c r="H202" s="63" t="n">
        <x:f>IF(B202&lt;$H$8,0,(INDEX('主线调参'!$D$11:$D$62,$AV202)+(INDEX('主线调参'!$D$11:$D$62,$AV202+1)-INDEX('主线调参'!$D$11:$D$62,$AV202))*$AW202)*'参数说明'!$D$27)</x:f>
        <x:v>0.6153943259640472</x:v>
      </x:c>
      <x:c r="I202" s="63" t="n">
        <x:f>IF(B202&lt;$I$8,0,(INDEX('主线调参'!$E$11:$E$62,$AV202)+(INDEX('主线调参'!$E$11:$E$62,$AV202+1)-INDEX('主线调参'!$E$11:$E$62,$AV202))*$AW202)*'参数说明'!$E$27)</x:f>
        <x:v>0.5331259104235145</x:v>
      </x:c>
      <x:c r="J202" s="63" t="n">
        <x:f>IF(B202&lt;$J$8,0,(INDEX('主线调参'!$F$11:$F$62,$AV202)+(INDEX('主线调参'!$F$11:$F$62,$AV202+1)-INDEX('主线调参'!$F$11:$F$62,$AV202))*$AW202)*'参数说明'!$F$27)</x:f>
        <x:v>0.5076753283836419</x:v>
      </x:c>
      <x:c r="K202" s="63" t="n">
        <x:f>IF(B202&lt;$K$8,0,(INDEX('主线调参'!$G$11:$G$62,$AV202)+(INDEX('主线调参'!$G$11:$G$62,$AV202+1)-INDEX('主线调参'!$G$11:$G$62,$AV202))*$AW202)*'参数说明'!$G$27)</x:f>
        <x:v>0.49247758347448795</x:v>
      </x:c>
      <x:c r="L202" s="63" t="n">
        <x:f>IF(B202&lt;$L$8,0,(INDEX('主线调参'!$H$11:$H$62,$AV202)+(INDEX('主线调参'!$H$11:$H$62,$AV202+1)-INDEX('主线调参'!$H$11:$H$62,$AV202))*$AW202)*'参数说明'!$H$27)</x:f>
        <x:v>0.6111171018454327</x:v>
      </x:c>
      <x:c r="M202" s="59" t="n">
        <x:f>E202*'模块规划'!$F$10+G202*'模块规划'!$F$11+H202*'模块规划'!$F$13</x:f>
        <x:v>4786.916599175558</x:v>
      </x:c>
      <x:c r="N202" s="59" t="n">
        <x:f>I202*'模块规划'!$F$15+J202*'模块规划'!$F$17+K202*'模块规划'!$F$16+L202*'模块规划'!$F$18</x:f>
        <x:v>15352.211577298625</x:v>
      </x:c>
      <x:c r="O202" s="59" t="n">
        <x:f>1+O$9*SUMPRODUCT($H$10:$L$10,H202:L202)/SUM($H$10:$L$10)</x:f>
        <x:v>3.022520932295887</x:v>
      </x:c>
      <x:c r="P202" s="59" t="n">
        <x:f>M202*O202+N202</x:f>
        <x:v>29820.76719946139</x:v>
      </x:c>
      <x:c r="Q202" s="59" t="n">
        <x:f>P202/(P202+'_曲线基线'!$L$2)</x:f>
        <x:v>0.5540754759021684</x:v>
      </x:c>
      <x:c r="R202" s="59" t="n">
        <x:f>E202*'模块规划'!$E$10+G202*'模块规划'!$E$11+H202*'模块规划'!$E$13</x:f>
        <x:v>7180.374898763336</x:v>
      </x:c>
      <x:c r="S202" s="59" t="n">
        <x:f>I202*'模块规划'!$E$15+J202*'模块规划'!$E$17+K202*'模块规划'!$E$16+L202*'模块规划'!$E$18</x:f>
        <x:v>23028.317365947936</x:v>
      </x:c>
      <x:c r="T202" s="59" t="n">
        <x:f>1+T$9*SUMPRODUCT($H$10:$L$10,H202:L202)/SUM($H$10:$L$10)</x:f>
        <x:v>3.022520932295887</x:v>
      </x:c>
      <x:c r="U202" s="59" t="n">
        <x:f>R202*T202+S202</x:f>
        <x:v>44731.15079919208</x:v>
      </x:c>
      <x:c r="V202" s="59" t="n">
        <x:f>V$8+(V$9-V$8)*H202</x:f>
        <x:v>0.8846182977892141</x:v>
      </x:c>
      <x:c r="W202" s="59" t="n">
        <x:f>IF(B202&lt;$H$8,0,W$8+(W$9-W$8)*H202)</x:f>
        <x:v>0.2461577303856189</x:v>
      </x:c>
      <x:c r="X202" s="59" t="n">
        <x:f>X$8+(X$9-X$8)*H202</x:f>
        <x:v>0.444233439640113</x:v>
      </x:c>
      <x:c r="Y202" s="59" t="n">
        <x:f>Y$8+(Y$9-Y$8)*G202</x:f>
        <x:v>1</x:v>
      </x:c>
      <x:c r="Z202" s="59" t="n">
        <x:f>Z$8+(Z$9-Z$8)*H202</x:f>
        <x:v>1</x:v>
      </x:c>
      <x:c r="AA202" s="59" t="n">
        <x:f>AA$8+(AA$9-AA$8)*I202</x:f>
        <x:v>1</x:v>
      </x:c>
      <x:c r="AB202" s="59" t="n">
        <x:f>AB$8+(AB$9-AB$8)*J202</x:f>
        <x:v>1</x:v>
      </x:c>
      <x:c r="AC202" s="59" t="n">
        <x:f>AC$8+(AC$9-AC$8)*MAX(K202,L202)</x:f>
        <x:v>1</x:v>
      </x:c>
      <x:c r="AD202" s="59" t="n">
        <x:f>(V202*AE202+W202*AF202+X202*AG202)*PRODUCT(Y202:AC202)</x:f>
        <x:v>1.7594842625750786</x:v>
      </x:c>
      <x:c r="AE202" s="59" t="n">
        <x:f>1+AE$9*($H$10*H202+$I$10*I202+$J$10*J202+$K$10*K202+$L$10*L202)</x:f>
        <x:v>1</x:v>
      </x:c>
      <x:c r="AF202" s="59" t="n">
        <x:f>1+AF$9*($H$10*H202+$I$10*I202+$J$10*J202+$K$10*K202+$L$10*L202)</x:f>
        <x:v>1.1785058960487869</x:v>
      </x:c>
      <x:c r="AG202" s="59" t="n">
        <x:f>1+AG$9*($H$10*H202+$I$10*I202+$J$10*J202+$K$10*K202+$L$10*L202)</x:f>
        <x:v>1.3163521157753526</x:v>
      </x:c>
      <x:c r="AH202" s="59" t="n">
        <x:f>MIN(1,'_曲线基线'!$L$3+AH$9*($H$10*H202+$I$10*I202+$J$10*J202+$K$10*K202+$L$10*L202))</x:f>
        <x:v>0.4561009135109898</x:v>
      </x:c>
      <x:c r="AI202" s="59" t="n">
        <x:f>'_曲线基线'!$L$4+AI$9*($H$10*H202+$I$10*I202+$J$10*J202+$K$10*K202+$L$10*L202)</x:f>
        <x:v>3.131281116209186</x:v>
      </x:c>
      <x:c r="AJ202" s="59" t="n">
        <x:f>1+AJ$9*($H$10*H202+$I$10*I202+$J$10*J202+$K$10*K202+$L$10*L202)</x:f>
        <x:v>1.928230659453691</x:v>
      </x:c>
      <x:c r="AK202" s="59" t="n">
        <x:f>(1+AH202*(AI202-1))*AJ202</x:f>
        <x:v>3.80262369981742</x:v>
      </x:c>
      <x:c r="AL202" s="59" t="n">
        <x:f>U202*AD202*AK202*F202</x:f>
        <x:v>1496403.8368326088</x:v>
      </x:c>
      <x:c r="AM202" s="59" t="n">
        <x:f>IF($B202&lt;AM$8,0,AM$3+(AM$4-AM$3)*(POWER(AM$5,$B202-AM$8)-1)/(POWER(AM$5,$C$5-AM$8)-1))</x:f>
        <x:v>42.548803262324995</x:v>
      </x:c>
      <x:c r="AN202" s="59" t="n">
        <x:f>(((E202*'模块规划'!$D$10+G202*'模块规划'!$D$11+H202*'模块规划'!$D$13)*(1+'模块规划'!$G$14*H202)+(I202*'模块规划'!$D$15+J202*'模块规划'!$D$17+K202*'模块规划'!$D$16+L202*'模块规划'!$D$18))*(1+'模块规划'!$J$17*J202))*F202/(1-Q202)</x:f>
        <x:v>2056094.8670997103</x:v>
      </x:c>
      <x:c r="AO202" s="59" t="n">
        <x:f>AL202*AM202</x:f>
        <x:v>63670192.45437895</x:v>
      </x:c>
      <x:c r="AP202" s="61" t="n">
        <x:f>IF(AO202="","",INDEX('_曲线基线'!$A$3:$A$502,MIN(ROWS('_曲线基线'!$A$3:$A$502),COUNTIF('_曲线基线'!$E$3:$E$502,"&lt;"&amp;AO202)+1)))</x:f>
        <x:v>259</x:v>
      </x:c>
      <x:c r="AQ202" s="61" t="n">
        <x:f>IF(B202&lt;=2,1,IF(B202&lt;=6,2,IF(B202&lt;=9,3,IF(B202&lt;=19,4,5))))</x:f>
        <x:v>5</x:v>
      </x:c>
      <x:c r="AR202" s="59" t="n">
        <x:f>AN202*(1-Q202)/F202*$AS$3+U202*$AS$4+P202*$AS$5</x:f>
        <x:v>14447.408910507009</x:v>
      </x:c>
      <x:c r="AS202" s="59" t="n">
        <x:f>1+AH202*$AS$6+AI202*$AS$7+(AJ202-1)*$AS$8+($H$10*H202+$I$10*I202+$J$10*J202+$K$10*K202+$L$10*L202)*$AU$3*$AS$9+($H$10*H202+$I$10*I202+$J$10*J202+$K$10*K202+$L$10*L202)*$AU$4*$AS$10</x:f>
        <x:v>15.647510116239394</x:v>
      </x:c>
      <x:c r="AT202" s="60" t="n">
        <x:f>ROUND(AR202*AS202,0)</x:f>
        <x:v>226066</x:v>
      </x:c>
      <x:c r="AU202" s="60" t="n">
        <x:f>ROUND(AT202*F202,0)</x:f>
        <x:v>1130330</x:v>
      </x:c>
      <x:c r="AV202" s="60" t="n">
        <x:f>MIN(MATCH(B202,'主线调参'!$M$11:$M$62,1),ROWS('主线调参'!$M$11:$M$62)-1)</x:f>
        <x:v>41</x:v>
      </x:c>
      <x:c r="AW202" s="62" t="n">
        <x:f>(B202-INDEX('主线调参'!$M$11:$M$62,AV202))/(INDEX('主线调参'!$M$11:$M$62,AV202+1)-INDEX('主线调参'!$M$11:$M$62,AV202))</x:f>
        <x:v>0.07142857142857142</x:v>
      </x:c>
      <x:c r="AX202" s="60" t="n">
        <x:f>IF(AU202=0,0,ROUND(AU202,2-INT(LOG10(ABS(AU202)))))</x:f>
        <x:v>1130000</x:v>
      </x:c>
      <x:c r="AY202" s="62" t="n">
        <x:f>AU202/AU201-1</x:f>
        <x:v>0.0052292231757749</x:v>
      </x:c>
    </x:row>
    <x:row r="203" ht="25" customHeight="1">
      <x:c r="A203" s="40" t="str">
        <x:f>'调前玩家曲线'!A203</x:f>
      </x:c>
      <x:c r="B203" s="40" t="n">
        <x:f>'调前玩家曲线'!B203</x:f>
        <x:v>192</x:v>
      </x:c>
      <x:c r="C203" s="40" t="n">
        <x:f>'调前玩家曲线'!C203</x:f>
        <x:v>14</x:v>
      </x:c>
      <x:c r="D203" s="40" t="n">
        <x:f>'调前玩家曲线'!D203</x:f>
        <x:v>3</x:v>
      </x:c>
      <x:c r="E203" s="40" t="n">
        <x:f>'调前玩家曲线'!E203</x:f>
        <x:v>1</x:v>
      </x:c>
      <x:c r="F203" s="40" t="n">
        <x:f>'调前玩家曲线'!F203</x:f>
        <x:v>5</x:v>
      </x:c>
      <x:c r="G203" s="63" t="n">
        <x:f>IF(B203&lt;$G$8,0,(INDEX('主线调参'!$C$11:$C$62,$AV203)+(INDEX('主线调参'!$C$11:$C$62,$AV203+1)-INDEX('主线调参'!$C$11:$C$62,$AV203))*$AW203)*'参数说明'!$C$27)</x:f>
        <x:v>0.7904093652378791</x:v>
      </x:c>
      <x:c r="H203" s="63" t="n">
        <x:f>IF(B203&lt;$H$8,0,(INDEX('主线调参'!$D$11:$D$62,$AV203)+(INDEX('主线调参'!$D$11:$D$62,$AV203+1)-INDEX('主线调参'!$D$11:$D$62,$AV203))*$AW203)*'参数说明'!$D$27)</x:f>
        <x:v>0.616485348881427</x:v>
      </x:c>
      <x:c r="I203" s="63" t="n">
        <x:f>IF(B203&lt;$I$8,0,(INDEX('主线调参'!$E$11:$E$62,$AV203)+(INDEX('主线调参'!$E$11:$E$62,$AV203+1)-INDEX('主线调参'!$E$11:$E$62,$AV203))*$AW203)*'参数说明'!$E$27)</x:f>
        <x:v>0.5347872352179991</x:v>
      </x:c>
      <x:c r="J203" s="63" t="n">
        <x:f>IF(B203&lt;$J$8,0,(INDEX('主线调参'!$F$11:$F$62,$AV203)+(INDEX('主线调参'!$F$11:$F$62,$AV203+1)-INDEX('主线调参'!$F$11:$F$62,$AV203))*$AW203)*'参数说明'!$F$27)</x:f>
        <x:v>0.5088918769570989</x:v>
      </x:c>
      <x:c r="K203" s="63" t="n">
        <x:f>IF(B203&lt;$K$8,0,(INDEX('主线调参'!$G$11:$G$62,$AV203)+(INDEX('主线调参'!$G$11:$G$62,$AV203+1)-INDEX('主线调参'!$G$11:$G$62,$AV203))*$AW203)*'参数说明'!$G$27)</x:f>
        <x:v>0.49496702721047614</x:v>
      </x:c>
      <x:c r="L203" s="63" t="n">
        <x:f>IF(B203&lt;$L$8,0,(INDEX('主线调参'!$H$11:$H$62,$AV203)+(INDEX('主线调参'!$H$11:$H$62,$AV203+1)-INDEX('主线调参'!$H$11:$H$62,$AV203))*$AW203)*'参数说明'!$H$27)</x:f>
        <x:v>0.6122822902413739</x:v>
      </x:c>
      <x:c r="M203" s="59" t="n">
        <x:f>E203*'模块规划'!$F$10+G203*'模块规划'!$F$11+H203*'模块规划'!$F$13</x:f>
        <x:v>4793.96495314182</x:v>
      </x:c>
      <x:c r="N203" s="59" t="n">
        <x:f>I203*'模块规划'!$F$15+J203*'模块规划'!$F$17+K203*'模块规划'!$F$16+L203*'模块规划'!$F$18</x:f>
        <x:v>15398.43026578471</x:v>
      </x:c>
      <x:c r="O203" s="59" t="n">
        <x:f>1+O$9*SUMPRODUCT($H$10:$L$10,H203:L203)/SUM($H$10:$L$10)</x:f>
        <x:v>3.0280893804692797</x:v>
      </x:c>
      <x:c r="P203" s="59" t="n">
        <x:f>M203*O203+N203</x:f>
        <x:v>29914.984630735362</x:v>
      </x:c>
      <x:c r="Q203" s="59" t="n">
        <x:f>P203/(P203+'_曲线基线'!$L$2)</x:f>
        <x:v>0.5548547372427832</x:v>
      </x:c>
      <x:c r="R203" s="59" t="n">
        <x:f>E203*'模块规划'!$E$10+G203*'模块规划'!$E$11+H203*'模块规划'!$E$13</x:f>
        <x:v>7190.947429712729</x:v>
      </x:c>
      <x:c r="S203" s="59" t="n">
        <x:f>I203*'模块规划'!$E$15+J203*'模块规划'!$E$17+K203*'模块规划'!$E$16+L203*'模块规划'!$E$18</x:f>
        <x:v>23097.64539867706</x:v>
      </x:c>
      <x:c r="T203" s="59" t="n">
        <x:f>1+T$9*SUMPRODUCT($H$10:$L$10,H203:L203)/SUM($H$10:$L$10)</x:f>
        <x:v>3.0280893804692797</x:v>
      </x:c>
      <x:c r="U203" s="59" t="n">
        <x:f>R203*T203+S203</x:f>
        <x:v>44872.47694610304</x:v>
      </x:c>
      <x:c r="V203" s="59" t="n">
        <x:f>V$8+(V$9-V$8)*H203</x:f>
        <x:v>0.8849456046644281</x:v>
      </x:c>
      <x:c r="W203" s="59" t="n">
        <x:f>IF(B203&lt;$H$8,0,W$8+(W$9-W$8)*H203)</x:f>
        <x:v>0.2465941395525708</x:v>
      </x:c>
      <x:c r="X203" s="59" t="n">
        <x:f>X$8+(X$9-X$8)*H203</x:f>
        <x:v>0.4445334709423925</x:v>
      </x:c>
      <x:c r="Y203" s="59" t="n">
        <x:f>Y$8+(Y$9-Y$8)*G203</x:f>
        <x:v>1</x:v>
      </x:c>
      <x:c r="Z203" s="59" t="n">
        <x:f>Z$8+(Z$9-Z$8)*H203</x:f>
        <x:v>1</x:v>
      </x:c>
      <x:c r="AA203" s="59" t="n">
        <x:f>AA$8+(AA$9-AA$8)*I203</x:f>
        <x:v>1</x:v>
      </x:c>
      <x:c r="AB203" s="59" t="n">
        <x:f>AB$8+(AB$9-AB$8)*J203</x:f>
        <x:v>1</x:v>
      </x:c>
      <x:c r="AC203" s="59" t="n">
        <x:f>AC$8+(AC$9-AC$8)*MAX(K203,L203)</x:f>
        <x:v>1</x:v>
      </x:c>
      <x:c r="AD203" s="59" t="n">
        <x:f>(V203*AE203+W203*AF203+X203*AG203)*PRODUCT(Y203:AC203)</x:f>
        <x:v>1.7612292028465464</x:v>
      </x:c>
      <x:c r="AE203" s="59" t="n">
        <x:f>1+AE$9*($H$10*H203+$I$10*I203+$J$10*J203+$K$10*K203+$L$10*L203)</x:f>
        <x:v>1</x:v>
      </x:c>
      <x:c r="AF203" s="59" t="n">
        <x:f>1+AF$9*($H$10*H203+$I$10*I203+$J$10*J203+$K$10*K203+$L$10*L203)</x:f>
        <x:v>1.178997362324819</x:v>
      </x:c>
      <x:c r="AG203" s="59" t="n">
        <x:f>1+AG$9*($H$10*H203+$I$10*I203+$J$10*J203+$K$10*K203+$L$10*L203)</x:f>
        <x:v>1.3172231032312096</x:v>
      </x:c>
      <x:c r="AH203" s="59" t="n">
        <x:f>MIN(1,'_曲线基线'!$L$3+AH$9*($H$10*H203+$I$10*I203+$J$10*J203+$K$10*K203+$L$10*L203))</x:f>
        <x:v>0.45721899928896315</x:v>
      </x:c>
      <x:c r="AI203" s="59" t="n">
        <x:f>'_曲线基线'!$L$4+AI$9*($H$10*H203+$I$10*I203+$J$10*J203+$K$10*K203+$L$10*L203)</x:f>
        <x:v>3.1343957837335403</x:v>
      </x:c>
      <x:c r="AJ203" s="59" t="n">
        <x:f>1+AJ$9*($H$10*H203+$I$10*I203+$J$10*J203+$K$10*K203+$L$10*L203)</x:f>
        <x:v>1.9307862840890588</x:v>
      </x:c>
      <x:c r="AK203" s="59" t="n">
        <x:f>(1+AH203*(AI203-1))*AJ203</x:f>
        <x:v>3.815014175310577</x:v>
      </x:c>
      <x:c r="AL203" s="59" t="n">
        <x:f>U203*AD203*AK203*F203</x:f>
        <x:v>1507516.5244140604</x:v>
      </x:c>
      <x:c r="AM203" s="59" t="n">
        <x:f>IF($B203&lt;AM$8,0,AM$3+(AM$4-AM$3)*(POWER(AM$5,$B203-AM$8)-1)/(POWER(AM$5,$C$5-AM$8)-1))</x:f>
        <x:v>42.637715934870116</x:v>
      </x:c>
      <x:c r="AN203" s="59" t="n">
        <x:f>(((E203*'模块规划'!$D$10+G203*'模块规划'!$D$11+H203*'模块规划'!$D$13)*(1+'模块规划'!$G$14*H203)+(I203*'模块规划'!$D$15+J203*'模块规划'!$D$17+K203*'模块规划'!$D$16+L203*'模块规划'!$D$18))*(1+'模块规划'!$J$17*J203))*F203/(1-Q203)</x:f>
        <x:v>2067160.0954340724</x:v>
      </x:c>
      <x:c r="AO203" s="59" t="n">
        <x:f>AL203*AM203</x:f>
        <x:v>64277061.3350894</x:v>
      </x:c>
      <x:c r="AP203" s="61" t="n">
        <x:f>IF(AO203="","",INDEX('_曲线基线'!$A$3:$A$502,MIN(ROWS('_曲线基线'!$A$3:$A$502),COUNTIF('_曲线基线'!$E$3:$E$502,"&lt;"&amp;AO203)+1)))</x:f>
        <x:v>260</x:v>
      </x:c>
      <x:c r="AQ203" s="61" t="n">
        <x:f>IF(B203&lt;=2,1,IF(B203&lt;=6,2,IF(B203&lt;=9,3,IF(B203&lt;=19,4,5))))</x:f>
        <x:v>5</x:v>
      </x:c>
      <x:c r="AR203" s="59" t="n">
        <x:f>AN203*(1-Q203)/F203*$AS$3+U203*$AS$4+P203*$AS$5</x:f>
        <x:v>14495.614532280011</x:v>
      </x:c>
      <x:c r="AS203" s="59" t="n">
        <x:f>1+AH203*$AS$6+AI203*$AS$7+(AJ203-1)*$AS$8+($H$10*H203+$I$10*I203+$J$10*J203+$K$10*K203+$L$10*L203)*$AU$3*$AS$9+($H$10*H203+$I$10*I203+$J$10*J203+$K$10*K203+$L$10*L203)*$AU$4*$AS$10</x:f>
        <x:v>15.676875784660876</x:v>
      </x:c>
      <x:c r="AT203" s="60" t="n">
        <x:f>ROUND(AR203*AS203,0)</x:f>
        <x:v>227246</x:v>
      </x:c>
      <x:c r="AU203" s="60" t="n">
        <x:f>ROUND(AT203*F203,0)</x:f>
        <x:v>1136230</x:v>
      </x:c>
      <x:c r="AV203" s="60" t="n">
        <x:f>MIN(MATCH(B203,'主线调参'!$M$11:$M$62,1),ROWS('主线调参'!$M$11:$M$62)-1)</x:f>
        <x:v>41</x:v>
      </x:c>
      <x:c r="AW203" s="62" t="n">
        <x:f>(B203-INDEX('主线调参'!$M$11:$M$62,AV203))/(INDEX('主线调参'!$M$11:$M$62,AV203+1)-INDEX('主线调参'!$M$11:$M$62,AV203))</x:f>
        <x:v>0.14285714285714285</x:v>
      </x:c>
      <x:c r="AX203" s="60" t="n">
        <x:f>IF(AU203=0,0,ROUND(AU203,2-INT(LOG10(ABS(AU203)))))</x:f>
        <x:v>1140000</x:v>
      </x:c>
      <x:c r="AY203" s="62" t="n">
        <x:f>AU203/AU202-1</x:f>
        <x:v>0.0052197145966221825</x:v>
      </x:c>
    </x:row>
    <x:row r="204" ht="25" customHeight="1">
      <x:c r="A204" s="40" t="str">
        <x:f>'调前玩家曲线'!A204</x:f>
      </x:c>
      <x:c r="B204" s="40" t="n">
        <x:f>'调前玩家曲线'!B204</x:f>
        <x:v>193</x:v>
      </x:c>
      <x:c r="C204" s="40" t="n">
        <x:f>'调前玩家曲线'!C204</x:f>
        <x:v>14</x:v>
      </x:c>
      <x:c r="D204" s="40" t="n">
        <x:f>'调前玩家曲线'!D204</x:f>
        <x:v>4</x:v>
      </x:c>
      <x:c r="E204" s="40" t="n">
        <x:f>'调前玩家曲线'!E204</x:f>
        <x:v>1</x:v>
      </x:c>
      <x:c r="F204" s="40" t="n">
        <x:f>'调前玩家曲线'!F204</x:f>
        <x:v>5</x:v>
      </x:c>
      <x:c r="G204" s="63" t="n">
        <x:f>IF(B204&lt;$G$8,0,(INDEX('主线调参'!$C$11:$C$62,$AV204)+(INDEX('主线调参'!$C$11:$C$62,$AV204+1)-INDEX('主线调参'!$C$11:$C$62,$AV204))*$AW204)*'参数说明'!$C$27)</x:f>
        <x:v>0.7918777723141837</x:v>
      </x:c>
      <x:c r="H204" s="63" t="n">
        <x:f>IF(B204&lt;$H$8,0,(INDEX('主线调参'!$D$11:$D$62,$AV204)+(INDEX('主线调参'!$D$11:$D$62,$AV204+1)-INDEX('主线调参'!$D$11:$D$62,$AV204))*$AW204)*'参数说明'!$D$27)</x:f>
        <x:v>0.6175763717988068</x:v>
      </x:c>
      <x:c r="I204" s="63" t="n">
        <x:f>IF(B204&lt;$I$8,0,(INDEX('主线调参'!$E$11:$E$62,$AV204)+(INDEX('主线调参'!$E$11:$E$62,$AV204+1)-INDEX('主线调参'!$E$11:$E$62,$AV204))*$AW204)*'参数说明'!$E$27)</x:f>
        <x:v>0.5364485600124835</x:v>
      </x:c>
      <x:c r="J204" s="63" t="n">
        <x:f>IF(B204&lt;$J$8,0,(INDEX('主线调参'!$F$11:$F$62,$AV204)+(INDEX('主线调参'!$F$11:$F$62,$AV204+1)-INDEX('主线调参'!$F$11:$F$62,$AV204))*$AW204)*'参数说明'!$F$27)</x:f>
        <x:v>0.510108425530556</x:v>
      </x:c>
      <x:c r="K204" s="63" t="n">
        <x:f>IF(B204&lt;$K$8,0,(INDEX('主线调参'!$G$11:$G$62,$AV204)+(INDEX('主线调参'!$G$11:$G$62,$AV204+1)-INDEX('主线调参'!$G$11:$G$62,$AV204))*$AW204)*'参数说明'!$G$27)</x:f>
        <x:v>0.49745647094646445</x:v>
      </x:c>
      <x:c r="L204" s="63" t="n">
        <x:f>IF(B204&lt;$L$8,0,(INDEX('主线调参'!$H$11:$H$62,$AV204)+(INDEX('主线调参'!$H$11:$H$62,$AV204+1)-INDEX('主线调参'!$H$11:$H$62,$AV204))*$AW204)*'参数说明'!$H$27)</x:f>
        <x:v>0.6134474786373151</x:v>
      </x:c>
      <x:c r="M204" s="59" t="n">
        <x:f>E204*'模块规划'!$F$10+G204*'模块规划'!$F$11+H204*'模块规划'!$F$13</x:f>
        <x:v>4801.013307108082</x:v>
      </x:c>
      <x:c r="N204" s="59" t="n">
        <x:f>I204*'模块规划'!$F$15+J204*'模块规划'!$F$17+K204*'模块规划'!$F$16+L204*'模块规划'!$F$18</x:f>
        <x:v>15444.64895427079</x:v>
      </x:c>
      <x:c r="O204" s="59" t="n">
        <x:f>1+O$9*SUMPRODUCT($H$10:$L$10,H204:L204)/SUM($H$10:$L$10)</x:f>
        <x:v>3.033657828642672</x:v>
      </x:c>
      <x:c r="P204" s="59" t="n">
        <x:f>M204*O204+N204</x:f>
        <x:v>30009.28055879687</x:v>
      </x:c>
      <x:c r="Q204" s="59" t="n">
        <x:f>P204/(P204+'_曲线基线'!$L$2)</x:f>
        <x:v>0.5556319256304008</x:v>
      </x:c>
      <x:c r="R204" s="59" t="n">
        <x:f>E204*'模块规划'!$E$10+G204*'模块规划'!$E$11+H204*'模块规划'!$E$13</x:f>
        <x:v>7201.519960662123</x:v>
      </x:c>
      <x:c r="S204" s="59" t="n">
        <x:f>I204*'模块规划'!$E$15+J204*'模块规划'!$E$17+K204*'模块规划'!$E$16+L204*'模块规划'!$E$18</x:f>
        <x:v>23166.973431406186</x:v>
      </x:c>
      <x:c r="T204" s="59" t="n">
        <x:f>1+T$9*SUMPRODUCT($H$10:$L$10,H204:L204)/SUM($H$10:$L$10)</x:f>
        <x:v>3.033657828642672</x:v>
      </x:c>
      <x:c r="U204" s="59" t="n">
        <x:f>R204*T204+S204</x:f>
        <x:v>45013.92083819531</x:v>
      </x:c>
      <x:c r="V204" s="59" t="n">
        <x:f>V$8+(V$9-V$8)*H204</x:f>
        <x:v>0.885272911539642</x:v>
      </x:c>
      <x:c r="W204" s="59" t="n">
        <x:f>IF(B204&lt;$H$8,0,W$8+(W$9-W$8)*H204)</x:f>
        <x:v>0.2470305487195227</x:v>
      </x:c>
      <x:c r="X204" s="59" t="n">
        <x:f>X$8+(X$9-X$8)*H204</x:f>
        <x:v>0.4448335022446719</x:v>
      </x:c>
      <x:c r="Y204" s="59" t="n">
        <x:f>Y$8+(Y$9-Y$8)*G204</x:f>
        <x:v>1</x:v>
      </x:c>
      <x:c r="Z204" s="59" t="n">
        <x:f>Z$8+(Z$9-Z$8)*H204</x:f>
        <x:v>1</x:v>
      </x:c>
      <x:c r="AA204" s="59" t="n">
        <x:f>AA$8+(AA$9-AA$8)*I204</x:f>
        <x:v>1</x:v>
      </x:c>
      <x:c r="AB204" s="59" t="n">
        <x:f>AB$8+(AB$9-AB$8)*J204</x:f>
        <x:v>1</x:v>
      </x:c>
      <x:c r="AC204" s="59" t="n">
        <x:f>AC$8+(AC$9-AC$8)*MAX(K204,L204)</x:f>
        <x:v>1</x:v>
      </x:c>
      <x:c r="AD204" s="59" t="n">
        <x:f>(V204*AE204+W204*AF204+X204*AG204)*PRODUCT(Y204:AC204)</x:f>
        <x:v>1.7629750947257916</x:v>
      </x:c>
      <x:c r="AE204" s="59" t="n">
        <x:f>1+AE$9*($H$10*H204+$I$10*I204+$J$10*J204+$K$10*K204+$L$10*L204)</x:f>
        <x:v>1</x:v>
      </x:c>
      <x:c r="AF204" s="59" t="n">
        <x:f>1+AF$9*($H$10*H204+$I$10*I204+$J$10*J204+$K$10*K204+$L$10*L204)</x:f>
        <x:v>1.1794888286008514</x:v>
      </x:c>
      <x:c r="AG204" s="59" t="n">
        <x:f>1+AG$9*($H$10*H204+$I$10*I204+$J$10*J204+$K$10*K204+$L$10*L204)</x:f>
        <x:v>1.3180940906870668</x:v>
      </x:c>
      <x:c r="AH204" s="59" t="n">
        <x:f>MIN(1,'_曲线基线'!$L$3+AH$9*($H$10*H204+$I$10*I204+$J$10*J204+$K$10*K204+$L$10*L204))</x:f>
        <x:v>0.45833708506693643</x:v>
      </x:c>
      <x:c r="AI204" s="59" t="n">
        <x:f>'_曲线基线'!$L$4+AI$9*($H$10*H204+$I$10*I204+$J$10*J204+$K$10*K204+$L$10*L204)</x:f>
        <x:v>3.1375104512578944</x:v>
      </x:c>
      <x:c r="AJ204" s="59" t="n">
        <x:f>1+AJ$9*($H$10*H204+$I$10*I204+$J$10*J204+$K$10*K204+$L$10*L204)</x:f>
        <x:v>1.9333419087244264</x:v>
      </x:c>
      <x:c r="AK204" s="59" t="n">
        <x:f>(1+AH204*(AI204-1))*AJ204</x:f>
        <x:v>3.8274375751284015</x:v>
      </x:c>
      <x:c r="AL204" s="59" t="n">
        <x:f>U204*AD204*AK204*F204</x:f>
        <x:v>1518697.0189600533</x:v>
      </x:c>
      <x:c r="AM204" s="59" t="n">
        <x:f>IF($B204&lt;AM$8,0,AM$3+(AM$4-AM$3)*(POWER(AM$5,$B204-AM$8)-1)/(POWER(AM$5,$C$5-AM$8)-1))</x:f>
        <x:v>42.72751773414068</x:v>
      </x:c>
      <x:c r="AN204" s="59" t="n">
        <x:f>(((E204*'模块规划'!$D$10+G204*'模块规划'!$D$11+H204*'模块规划'!$D$13)*(1+'模块规划'!$G$14*H204)+(I204*'模块规划'!$D$15+J204*'模块规划'!$D$17+K204*'模块规划'!$D$16+L204*'模块规划'!$D$18))*(1+'模块规划'!$J$17*J204))*F204/(1-Q204)</x:f>
        <x:v>2078265.8574642278</x:v>
      </x:c>
      <x:c r="AO204" s="59" t="n">
        <x:f>AL204*AM204</x:f>
        <x:v>64890153.81040227</x:v>
      </x:c>
      <x:c r="AP204" s="61" t="n">
        <x:f>IF(AO204="","",INDEX('_曲线基线'!$A$3:$A$502,MIN(ROWS('_曲线基线'!$A$3:$A$502),COUNTIF('_曲线基线'!$E$3:$E$502,"&lt;"&amp;AO204)+1)))</x:f>
        <x:v>260</x:v>
      </x:c>
      <x:c r="AQ204" s="61" t="n">
        <x:f>IF(B204&lt;=2,1,IF(B204&lt;=6,2,IF(B204&lt;=9,3,IF(B204&lt;=19,4,5))))</x:f>
        <x:v>5</x:v>
      </x:c>
      <x:c r="AR204" s="59" t="n">
        <x:f>AN204*(1-Q204)/F204*$AS$3+U204*$AS$4+P204*$AS$5</x:f>
        <x:v>14543.874150295838</x:v>
      </x:c>
      <x:c r="AS204" s="59" t="n">
        <x:f>1+AH204*$AS$6+AI204*$AS$7+(AJ204-1)*$AS$8+($H$10*H204+$I$10*I204+$J$10*J204+$K$10*K204+$L$10*L204)*$AU$3*$AS$9+($H$10*H204+$I$10*I204+$J$10*J204+$K$10*K204+$L$10*L204)*$AU$4*$AS$10</x:f>
        <x:v>15.706241453082356</x:v>
      </x:c>
      <x:c r="AT204" s="60" t="n">
        <x:f>ROUND(AR204*AS204,0)</x:f>
        <x:v>228430</x:v>
      </x:c>
      <x:c r="AU204" s="60" t="n">
        <x:f>ROUND(AT204*F204,0)</x:f>
        <x:v>1142150</x:v>
      </x:c>
      <x:c r="AV204" s="60" t="n">
        <x:f>MIN(MATCH(B204,'主线调参'!$M$11:$M$62,1),ROWS('主线调参'!$M$11:$M$62)-1)</x:f>
        <x:v>41</x:v>
      </x:c>
      <x:c r="AW204" s="62" t="n">
        <x:f>(B204-INDEX('主线调参'!$M$11:$M$62,AV204))/(INDEX('主线调参'!$M$11:$M$62,AV204+1)-INDEX('主线调参'!$M$11:$M$62,AV204))</x:f>
        <x:v>0.21428571428571427</x:v>
      </x:c>
      <x:c r="AX204" s="60" t="n">
        <x:f>IF(AU204=0,0,ROUND(AU204,2-INT(LOG10(ABS(AU204)))))</x:f>
        <x:v>1140000</x:v>
      </x:c>
      <x:c r="AY204" s="62" t="n">
        <x:f>AU204/AU203-1</x:f>
        <x:v>0.005210212721016072</x:v>
      </x:c>
    </x:row>
    <x:row r="205" ht="25" customHeight="1">
      <x:c r="A205" s="40" t="str">
        <x:f>'调前玩家曲线'!A205</x:f>
      </x:c>
      <x:c r="B205" s="40" t="n">
        <x:f>'调前玩家曲线'!B205</x:f>
        <x:v>194</x:v>
      </x:c>
      <x:c r="C205" s="40" t="n">
        <x:f>'调前玩家曲线'!C205</x:f>
        <x:v>14</x:v>
      </x:c>
      <x:c r="D205" s="40" t="n">
        <x:f>'调前玩家曲线'!D205</x:f>
        <x:v>5</x:v>
      </x:c>
      <x:c r="E205" s="40" t="n">
        <x:f>'调前玩家曲线'!E205</x:f>
        <x:v>1</x:v>
      </x:c>
      <x:c r="F205" s="40" t="n">
        <x:f>'调前玩家曲线'!F205</x:f>
        <x:v>5</x:v>
      </x:c>
      <x:c r="G205" s="63" t="n">
        <x:f>IF(B205&lt;$G$8,0,(INDEX('主线调参'!$C$11:$C$62,$AV205)+(INDEX('主线调参'!$C$11:$C$62,$AV205+1)-INDEX('主线调参'!$C$11:$C$62,$AV205))*$AW205)*'参数说明'!$C$27)</x:f>
        <x:v>0.7933461793904881</x:v>
      </x:c>
      <x:c r="H205" s="63" t="n">
        <x:f>IF(B205&lt;$H$8,0,(INDEX('主线调参'!$D$11:$D$62,$AV205)+(INDEX('主线调参'!$D$11:$D$62,$AV205+1)-INDEX('主线调参'!$D$11:$D$62,$AV205))*$AW205)*'参数说明'!$D$27)</x:f>
        <x:v>0.6186673947161866</x:v>
      </x:c>
      <x:c r="I205" s="63" t="n">
        <x:f>IF(B205&lt;$I$8,0,(INDEX('主线调参'!$E$11:$E$62,$AV205)+(INDEX('主线调参'!$E$11:$E$62,$AV205+1)-INDEX('主线调参'!$E$11:$E$62,$AV205))*$AW205)*'参数说明'!$E$27)</x:f>
        <x:v>0.5381098848069681</x:v>
      </x:c>
      <x:c r="J205" s="63" t="n">
        <x:f>IF(B205&lt;$J$8,0,(INDEX('主线调参'!$F$11:$F$62,$AV205)+(INDEX('主线调参'!$F$11:$F$62,$AV205+1)-INDEX('主线调参'!$F$11:$F$62,$AV205))*$AW205)*'参数说明'!$F$27)</x:f>
        <x:v>0.5113249741040131</x:v>
      </x:c>
      <x:c r="K205" s="63" t="n">
        <x:f>IF(B205&lt;$K$8,0,(INDEX('主线调参'!$G$11:$G$62,$AV205)+(INDEX('主线调参'!$G$11:$G$62,$AV205+1)-INDEX('主线调参'!$G$11:$G$62,$AV205))*$AW205)*'参数说明'!$G$27)</x:f>
        <x:v>0.49994591468245264</x:v>
      </x:c>
      <x:c r="L205" s="63" t="n">
        <x:f>IF(B205&lt;$L$8,0,(INDEX('主线调参'!$H$11:$H$62,$AV205)+(INDEX('主线调参'!$H$11:$H$62,$AV205+1)-INDEX('主线调参'!$H$11:$H$62,$AV205))*$AW205)*'参数说明'!$H$27)</x:f>
        <x:v>0.6146126670332562</x:v>
      </x:c>
      <x:c r="M205" s="59" t="n">
        <x:f>E205*'模块规划'!$F$10+G205*'模块规划'!$F$11+H205*'模块规划'!$F$13</x:f>
        <x:v>4808.061661074344</x:v>
      </x:c>
      <x:c r="N205" s="59" t="n">
        <x:f>I205*'模块规划'!$F$15+J205*'模块规划'!$F$17+K205*'模块规划'!$F$16+L205*'模块规划'!$F$18</x:f>
        <x:v>15490.867642756873</x:v>
      </x:c>
      <x:c r="O205" s="59" t="n">
        <x:f>1+O$9*SUMPRODUCT($H$10:$L$10,H205:L205)/SUM($H$10:$L$10)</x:f>
        <x:v>3.0392262768160654</x:v>
      </x:c>
      <x:c r="P205" s="59" t="n">
        <x:f>M205*O205+N205</x:f>
        <x:v>30103.654983645916</x:v>
      </x:c>
      <x:c r="Q205" s="59" t="n">
        <x:f>P205/(P205+'_曲线基线'!$L$2)</x:f>
        <x:v>0.5564070485209446</x:v>
      </x:c>
      <x:c r="R205" s="59" t="n">
        <x:f>E205*'模块规划'!$E$10+G205*'模块规划'!$E$11+H205*'模块规划'!$E$13</x:f>
        <x:v>7212.092491611515</x:v>
      </x:c>
      <x:c r="S205" s="59" t="n">
        <x:f>I205*'模块规划'!$E$15+J205*'模块规划'!$E$17+K205*'模块规划'!$E$16+L205*'模块规划'!$E$18</x:f>
        <x:v>23236.30146413531</x:v>
      </x:c>
      <x:c r="T205" s="59" t="n">
        <x:f>1+T$9*SUMPRODUCT($H$10:$L$10,H205:L205)/SUM($H$10:$L$10)</x:f>
        <x:v>3.0392262768160654</x:v>
      </x:c>
      <x:c r="U205" s="59" t="n">
        <x:f>R205*T205+S205</x:f>
        <x:v>45155.482475468874</x:v>
      </x:c>
      <x:c r="V205" s="59" t="n">
        <x:f>V$8+(V$9-V$8)*H205</x:f>
        <x:v>0.8856002184148559</x:v>
      </x:c>
      <x:c r="W205" s="59" t="n">
        <x:f>IF(B205&lt;$H$8,0,W$8+(W$9-W$8)*H205)</x:f>
        <x:v>0.24746695788647466</x:v>
      </x:c>
      <x:c r="X205" s="59" t="n">
        <x:f>X$8+(X$9-X$8)*H205</x:f>
        <x:v>0.44513353354695134</x:v>
      </x:c>
      <x:c r="Y205" s="59" t="n">
        <x:f>Y$8+(Y$9-Y$8)*G205</x:f>
        <x:v>1</x:v>
      </x:c>
      <x:c r="Z205" s="59" t="n">
        <x:f>Z$8+(Z$9-Z$8)*H205</x:f>
        <x:v>1</x:v>
      </x:c>
      <x:c r="AA205" s="59" t="n">
        <x:f>AA$8+(AA$9-AA$8)*I205</x:f>
        <x:v>1</x:v>
      </x:c>
      <x:c r="AB205" s="59" t="n">
        <x:f>AB$8+(AB$9-AB$8)*J205</x:f>
        <x:v>1</x:v>
      </x:c>
      <x:c r="AC205" s="59" t="n">
        <x:f>AC$8+(AC$9-AC$8)*MAX(K205,L205)</x:f>
        <x:v>1</x:v>
      </x:c>
      <x:c r="AD205" s="59" t="n">
        <x:f>(V205*AE205+W205*AF205+X205*AG205)*PRODUCT(Y205:AC205)</x:f>
        <x:v>1.7647219382128143</x:v>
      </x:c>
      <x:c r="AE205" s="59" t="n">
        <x:f>1+AE$9*($H$10*H205+$I$10*I205+$J$10*J205+$K$10*K205+$L$10*L205)</x:f>
        <x:v>1</x:v>
      </x:c>
      <x:c r="AF205" s="59" t="n">
        <x:f>1+AF$9*($H$10*H205+$I$10*I205+$J$10*J205+$K$10*K205+$L$10*L205)</x:f>
        <x:v>1.1799802948768836</x:v>
      </x:c>
      <x:c r="AG205" s="59" t="n">
        <x:f>1+AG$9*($H$10*H205+$I$10*I205+$J$10*J205+$K$10*K205+$L$10*L205)</x:f>
        <x:v>1.318965078142924</x:v>
      </x:c>
      <x:c r="AH205" s="59" t="n">
        <x:f>MIN(1,'_曲线基线'!$L$3+AH$9*($H$10*H205+$I$10*I205+$J$10*J205+$K$10*K205+$L$10*L205))</x:f>
        <x:v>0.45945517084490983</x:v>
      </x:c>
      <x:c r="AI205" s="59" t="n">
        <x:f>'_曲线基线'!$L$4+AI$9*($H$10*H205+$I$10*I205+$J$10*J205+$K$10*K205+$L$10*L205)</x:f>
        <x:v>3.140625118782249</x:v>
      </x:c>
      <x:c r="AJ205" s="59" t="n">
        <x:f>1+AJ$9*($H$10*H205+$I$10*I205+$J$10*J205+$K$10*K205+$L$10*L205)</x:f>
        <x:v>1.9358975333597939</x:v>
      </x:c>
      <x:c r="AK205" s="59" t="n">
        <x:f>(1+AH205*(AI205-1))*AJ205</x:f>
        <x:v>3.8398939526701423</x:v>
      </x:c>
      <x:c r="AL205" s="59" t="n">
        <x:f>U205*AD205*AK205*F205</x:f>
        <x:v>1529945.661757613</x:v>
      </x:c>
      <x:c r="AM205" s="59" t="n">
        <x:f>IF($B205&lt;AM$8,0,AM$3+(AM$4-AM$3)*(POWER(AM$5,$B205-AM$8)-1)/(POWER(AM$5,$C$5-AM$8)-1))</x:f>
        <x:v>42.81821755140396</x:v>
      </x:c>
      <x:c r="AN205" s="59" t="n">
        <x:f>(((E205*'模块规划'!$D$10+G205*'模块规划'!$D$11+H205*'模块规划'!$D$13)*(1+'模块规划'!$G$14*H205)+(I205*'模块规划'!$D$15+J205*'模块规划'!$D$17+K205*'模块规划'!$D$16+L205*'模块规划'!$D$18))*(1+'模块规划'!$J$17*J205))*F205/(1-Q205)</x:f>
        <x:v>2089412.249079478</x:v>
      </x:c>
      <x:c r="AO205" s="59" t="n">
        <x:f>AL205*AM205</x:f>
        <x:v>65509546.18696418</x:v>
      </x:c>
      <x:c r="AP205" s="61" t="n">
        <x:f>IF(AO205="","",INDEX('_曲线基线'!$A$3:$A$502,MIN(ROWS('_曲线基线'!$A$3:$A$502),COUNTIF('_曲线基线'!$E$3:$E$502,"&lt;"&amp;AO205)+1)))</x:f>
        <x:v>261</x:v>
      </x:c>
      <x:c r="AQ205" s="61" t="n">
        <x:f>IF(B205&lt;=2,1,IF(B205&lt;=6,2,IF(B205&lt;=9,3,IF(B205&lt;=19,4,5))))</x:f>
        <x:v>5</x:v>
      </x:c>
      <x:c r="AR205" s="59" t="n">
        <x:f>AN205*(1-Q205)/F205*$AS$3+U205*$AS$4+P205*$AS$5</x:f>
        <x:v>14592.187773647716</x:v>
      </x:c>
      <x:c r="AS205" s="59" t="n">
        <x:f>1+AH205*$AS$6+AI205*$AS$7+(AJ205-1)*$AS$8+($H$10*H205+$I$10*I205+$J$10*J205+$K$10*K205+$L$10*L205)*$AU$3*$AS$9+($H$10*H205+$I$10*I205+$J$10*J205+$K$10*K205+$L$10*L205)*$AU$4*$AS$10</x:f>
        <x:v>15.73560712150384</x:v>
      </x:c>
      <x:c r="AT205" s="60" t="n">
        <x:f>ROUND(AR205*AS205,0)</x:f>
        <x:v>229617</x:v>
      </x:c>
      <x:c r="AU205" s="60" t="n">
        <x:f>ROUND(AT205*F205,0)</x:f>
        <x:v>1148085</x:v>
      </x:c>
      <x:c r="AV205" s="60" t="n">
        <x:f>MIN(MATCH(B205,'主线调参'!$M$11:$M$62,1),ROWS('主线调参'!$M$11:$M$62)-1)</x:f>
        <x:v>41</x:v>
      </x:c>
      <x:c r="AW205" s="62" t="n">
        <x:f>(B205-INDEX('主线调参'!$M$11:$M$62,AV205))/(INDEX('主线调参'!$M$11:$M$62,AV205+1)-INDEX('主线调参'!$M$11:$M$62,AV205))</x:f>
        <x:v>0.2857142857142857</x:v>
      </x:c>
      <x:c r="AX205" s="60" t="n">
        <x:f>IF(AU205=0,0,ROUND(AU205,2-INT(LOG10(ABS(AU205)))))</x:f>
        <x:v>1150000</x:v>
      </x:c>
      <x:c r="AY205" s="62" t="n">
        <x:f>AU205/AU204-1</x:f>
        <x:v>0.0051963402355206245</x:v>
      </x:c>
    </x:row>
    <x:row r="206" ht="25" customHeight="1">
      <x:c r="A206" s="40" t="str">
        <x:f>'调前玩家曲线'!A206</x:f>
      </x:c>
      <x:c r="B206" s="40" t="n">
        <x:f>'调前玩家曲线'!B206</x:f>
        <x:v>195</x:v>
      </x:c>
      <x:c r="C206" s="40" t="n">
        <x:f>'调前玩家曲线'!C206</x:f>
        <x:v>14</x:v>
      </x:c>
      <x:c r="D206" s="40" t="n">
        <x:f>'调前玩家曲线'!D206</x:f>
        <x:v>6</x:v>
      </x:c>
      <x:c r="E206" s="40" t="n">
        <x:f>'调前玩家曲线'!E206</x:f>
        <x:v>1</x:v>
      </x:c>
      <x:c r="F206" s="40" t="n">
        <x:f>'调前玩家曲线'!F206</x:f>
        <x:v>5</x:v>
      </x:c>
      <x:c r="G206" s="63" t="n">
        <x:f>IF(B206&lt;$G$8,0,(INDEX('主线调参'!$C$11:$C$62,$AV206)+(INDEX('主线调参'!$C$11:$C$62,$AV206+1)-INDEX('主线调参'!$C$11:$C$62,$AV206))*$AW206)*'参数说明'!$C$27)</x:f>
        <x:v>0.7948145864667926</x:v>
      </x:c>
      <x:c r="H206" s="63" t="n">
        <x:f>IF(B206&lt;$H$8,0,(INDEX('主线调参'!$D$11:$D$62,$AV206)+(INDEX('主线调参'!$D$11:$D$62,$AV206+1)-INDEX('主线调参'!$D$11:$D$62,$AV206))*$AW206)*'参数说明'!$D$27)</x:f>
        <x:v>0.6197584176335663</x:v>
      </x:c>
      <x:c r="I206" s="63" t="n">
        <x:f>IF(B206&lt;$I$8,0,(INDEX('主线调参'!$E$11:$E$62,$AV206)+(INDEX('主线调参'!$E$11:$E$62,$AV206+1)-INDEX('主线调参'!$E$11:$E$62,$AV206))*$AW206)*'参数说明'!$E$27)</x:f>
        <x:v>0.5397712096014526</x:v>
      </x:c>
      <x:c r="J206" s="63" t="n">
        <x:f>IF(B206&lt;$J$8,0,(INDEX('主线调参'!$F$11:$F$62,$AV206)+(INDEX('主线调参'!$F$11:$F$62,$AV206+1)-INDEX('主线调参'!$F$11:$F$62,$AV206))*$AW206)*'参数说明'!$F$27)</x:f>
        <x:v>0.5125415226774701</x:v>
      </x:c>
      <x:c r="K206" s="63" t="n">
        <x:f>IF(B206&lt;$K$8,0,(INDEX('主线调参'!$G$11:$G$62,$AV206)+(INDEX('主线调参'!$G$11:$G$62,$AV206+1)-INDEX('主线调参'!$G$11:$G$62,$AV206))*$AW206)*'参数说明'!$G$27)</x:f>
        <x:v>0.5024353584184409</x:v>
      </x:c>
      <x:c r="L206" s="63" t="n">
        <x:f>IF(B206&lt;$L$8,0,(INDEX('主线调参'!$H$11:$H$62,$AV206)+(INDEX('主线调参'!$H$11:$H$62,$AV206+1)-INDEX('主线调参'!$H$11:$H$62,$AV206))*$AW206)*'参数说明'!$H$27)</x:f>
        <x:v>0.6157778554291974</x:v>
      </x:c>
      <x:c r="M206" s="59" t="n">
        <x:f>E206*'模块规划'!$F$10+G206*'模块规划'!$F$11+H206*'模块规划'!$F$13</x:f>
        <x:v>4815.110015040605</x:v>
      </x:c>
      <x:c r="N206" s="59" t="n">
        <x:f>I206*'模块规划'!$F$15+J206*'模块规划'!$F$17+K206*'模块规划'!$F$16+L206*'模块规划'!$F$18</x:f>
        <x:v>15537.086331242954</x:v>
      </x:c>
      <x:c r="O206" s="59" t="n">
        <x:f>1+O$9*SUMPRODUCT($H$10:$L$10,H206:L206)/SUM($H$10:$L$10)</x:f>
        <x:v>3.044794724989458</x:v>
      </x:c>
      <x:c r="P206" s="59" t="n">
        <x:f>M206*O206+N206</x:f>
        <x:v>30198.107905282493</x:v>
      </x:c>
      <x:c r="Q206" s="59" t="n">
        <x:f>P206/(P206+'_曲线基线'!$L$2)</x:f>
        <x:v>0.5571801133363771</x:v>
      </x:c>
      <x:c r="R206" s="59" t="n">
        <x:f>E206*'模块规划'!$E$10+G206*'模块规划'!$E$11+H206*'模块规划'!$E$13</x:f>
        <x:v>7222.665022560906</x:v>
      </x:c>
      <x:c r="S206" s="59" t="n">
        <x:f>I206*'模块规划'!$E$15+J206*'模块规划'!$E$17+K206*'模块规划'!$E$16+L206*'模块规划'!$E$18</x:f>
        <x:v>23305.629496864432</x:v>
      </x:c>
      <x:c r="T206" s="59" t="n">
        <x:f>1+T$9*SUMPRODUCT($H$10:$L$10,H206:L206)/SUM($H$10:$L$10)</x:f>
        <x:v>3.044794724989458</x:v>
      </x:c>
      <x:c r="U206" s="59" t="n">
        <x:f>R206*T206+S206</x:f>
        <x:v>45297.16185792374</x:v>
      </x:c>
      <x:c r="V206" s="59" t="n">
        <x:f>V$8+(V$9-V$8)*H206</x:f>
        <x:v>0.8859275252900699</x:v>
      </x:c>
      <x:c r="W206" s="59" t="n">
        <x:f>IF(B206&lt;$H$8,0,W$8+(W$9-W$8)*H206)</x:f>
        <x:v>0.24790336705342653</x:v>
      </x:c>
      <x:c r="X206" s="59" t="n">
        <x:f>X$8+(X$9-X$8)*H206</x:f>
        <x:v>0.4454335648492308</x:v>
      </x:c>
      <x:c r="Y206" s="59" t="n">
        <x:f>Y$8+(Y$9-Y$8)*G206</x:f>
        <x:v>1</x:v>
      </x:c>
      <x:c r="Z206" s="59" t="n">
        <x:f>Z$8+(Z$9-Z$8)*H206</x:f>
        <x:v>1</x:v>
      </x:c>
      <x:c r="AA206" s="59" t="n">
        <x:f>AA$8+(AA$9-AA$8)*I206</x:f>
        <x:v>1</x:v>
      </x:c>
      <x:c r="AB206" s="59" t="n">
        <x:f>AB$8+(AB$9-AB$8)*J206</x:f>
        <x:v>1</x:v>
      </x:c>
      <x:c r="AC206" s="59" t="n">
        <x:f>AC$8+(AC$9-AC$8)*MAX(K206,L206)</x:f>
        <x:v>1</x:v>
      </x:c>
      <x:c r="AD206" s="59" t="n">
        <x:f>(V206*AE206+W206*AF206+X206*AG206)*PRODUCT(Y206:AC206)</x:f>
        <x:v>1.7664697333076145</x:v>
      </x:c>
      <x:c r="AE206" s="59" t="n">
        <x:f>1+AE$9*($H$10*H206+$I$10*I206+$J$10*J206+$K$10*K206+$L$10*L206)</x:f>
        <x:v>1</x:v>
      </x:c>
      <x:c r="AF206" s="59" t="n">
        <x:f>1+AF$9*($H$10*H206+$I$10*I206+$J$10*J206+$K$10*K206+$L$10*L206)</x:f>
        <x:v>1.1804717611529159</x:v>
      </x:c>
      <x:c r="AG206" s="59" t="n">
        <x:f>1+AG$9*($H$10*H206+$I$10*I206+$J$10*J206+$K$10*K206+$L$10*L206)</x:f>
        <x:v>1.319836065598781</x:v>
      </x:c>
      <x:c r="AH206" s="59" t="n">
        <x:f>MIN(1,'_曲线基线'!$L$3+AH$9*($H$10*H206+$I$10*I206+$J$10*J206+$K$10*K206+$L$10*L206))</x:f>
        <x:v>0.4605732566228831</x:v>
      </x:c>
      <x:c r="AI206" s="59" t="n">
        <x:f>'_曲线基线'!$L$4+AI$9*($H$10*H206+$I$10*I206+$J$10*J206+$K$10*K206+$L$10*L206)</x:f>
        <x:v>3.143739786306603</x:v>
      </x:c>
      <x:c r="AJ206" s="59" t="n">
        <x:f>1+AJ$9*($H$10*H206+$I$10*I206+$J$10*J206+$K$10*K206+$L$10*L206)</x:f>
        <x:v>1.9384531579951614</x:v>
      </x:c>
      <x:c r="AK206" s="59" t="n">
        <x:f>(1+AH206*(AI206-1))*AJ206</x:f>
        <x:v>3.8523833613350456</x:v>
      </x:c>
      <x:c r="AL206" s="59" t="n">
        <x:f>U206*AD206*AK206*F206</x:f>
        <x:v>1541262.7954477023</x:v>
      </x:c>
      <x:c r="AM206" s="59" t="n">
        <x:f>IF($B206&lt;AM$8,0,AM$3+(AM$4-AM$3)*(POWER(AM$5,$B206-AM$8)-1)/(POWER(AM$5,$C$5-AM$8)-1))</x:f>
        <x:v>42.90982436683987</x:v>
      </x:c>
      <x:c r="AN206" s="59" t="n">
        <x:f>(((E206*'模块规划'!$D$10+G206*'模块规划'!$D$11+H206*'模块规划'!$D$13)*(1+'模块规划'!$G$14*H206)+(I206*'模块规划'!$D$15+J206*'模块规划'!$D$17+K206*'模块规划'!$D$16+L206*'模块规划'!$D$18))*(1+'模块规划'!$J$17*J206))*F206/(1-Q206)</x:f>
        <x:v>2100599.36629256</x:v>
      </x:c>
      <x:c r="AO206" s="59" t="n">
        <x:f>AL206*AM206</x:f>
        <x:v>66135315.85580555</x:v>
      </x:c>
      <x:c r="AP206" s="61" t="n">
        <x:f>IF(AO206="","",INDEX('_曲线基线'!$A$3:$A$502,MIN(ROWS('_曲线基线'!$A$3:$A$502),COUNTIF('_曲线基线'!$E$3:$E$502,"&lt;"&amp;AO206)+1)))</x:f>
        <x:v>262</x:v>
      </x:c>
      <x:c r="AQ206" s="61" t="n">
        <x:f>IF(B206&lt;=2,1,IF(B206&lt;=6,2,IF(B206&lt;=9,3,IF(B206&lt;=19,4,5))))</x:f>
        <x:v>5</x:v>
      </x:c>
      <x:c r="AR206" s="59" t="n">
        <x:f>AN206*(1-Q206)/F206*$AS$3+U206*$AS$4+P206*$AS$5</x:f>
        <x:v>14640.555411428846</x:v>
      </x:c>
      <x:c r="AS206" s="59" t="n">
        <x:f>1+AH206*$AS$6+AI206*$AS$7+(AJ206-1)*$AS$8+($H$10*H206+$I$10*I206+$J$10*J206+$K$10*K206+$L$10*L206)*$AU$3*$AS$9+($H$10*H206+$I$10*I206+$J$10*J206+$K$10*K206+$L$10*L206)*$AU$4*$AS$10</x:f>
        <x:v>15.764972789925322</x:v>
      </x:c>
      <x:c r="AT206" s="60" t="n">
        <x:f>ROUND(AR206*AS206,0)</x:f>
        <x:v>230808</x:v>
      </x:c>
      <x:c r="AU206" s="60" t="n">
        <x:f>ROUND(AT206*F206,0)</x:f>
        <x:v>1154040</x:v>
      </x:c>
      <x:c r="AV206" s="60" t="n">
        <x:f>MIN(MATCH(B206,'主线调参'!$M$11:$M$62,1),ROWS('主线调参'!$M$11:$M$62)-1)</x:f>
        <x:v>41</x:v>
      </x:c>
      <x:c r="AW206" s="62" t="n">
        <x:f>(B206-INDEX('主线调参'!$M$11:$M$62,AV206))/(INDEX('主线调参'!$M$11:$M$62,AV206+1)-INDEX('主线调参'!$M$11:$M$62,AV206))</x:f>
        <x:v>0.35714285714285715</x:v>
      </x:c>
      <x:c r="AX206" s="60" t="n">
        <x:f>IF(AU206=0,0,ROUND(AU206,2-INT(LOG10(ABS(AU206)))))</x:f>
        <x:v>1150000</x:v>
      </x:c>
      <x:c r="AY206" s="62" t="n">
        <x:f>AU206/AU205-1</x:f>
        <x:v>0.005186898182625743</x:v>
      </x:c>
    </x:row>
    <x:row r="207" ht="25" customHeight="1">
      <x:c r="A207" s="40" t="str">
        <x:f>'调前玩家曲线'!A207</x:f>
      </x:c>
      <x:c r="B207" s="40" t="n">
        <x:f>'调前玩家曲线'!B207</x:f>
        <x:v>196</x:v>
      </x:c>
      <x:c r="C207" s="40" t="n">
        <x:f>'调前玩家曲线'!C207</x:f>
        <x:v>14</x:v>
      </x:c>
      <x:c r="D207" s="40" t="n">
        <x:f>'调前玩家曲线'!D207</x:f>
        <x:v>7</x:v>
      </x:c>
      <x:c r="E207" s="40" t="n">
        <x:f>'调前玩家曲线'!E207</x:f>
        <x:v>1</x:v>
      </x:c>
      <x:c r="F207" s="40" t="n">
        <x:f>'调前玩家曲线'!F207</x:f>
        <x:v>5</x:v>
      </x:c>
      <x:c r="G207" s="63" t="n">
        <x:f>IF(B207&lt;$G$8,0,(INDEX('主线调参'!$C$11:$C$62,$AV207)+(INDEX('主线调参'!$C$11:$C$62,$AV207+1)-INDEX('主线调参'!$C$11:$C$62,$AV207))*$AW207)*'参数说明'!$C$27)</x:f>
        <x:v>0.7962829935430972</x:v>
      </x:c>
      <x:c r="H207" s="63" t="n">
        <x:f>IF(B207&lt;$H$8,0,(INDEX('主线调参'!$D$11:$D$62,$AV207)+(INDEX('主线调参'!$D$11:$D$62,$AV207+1)-INDEX('主线调参'!$D$11:$D$62,$AV207))*$AW207)*'参数说明'!$D$27)</x:f>
        <x:v>0.6208494405509462</x:v>
      </x:c>
      <x:c r="I207" s="63" t="n">
        <x:f>IF(B207&lt;$I$8,0,(INDEX('主线调参'!$E$11:$E$62,$AV207)+(INDEX('主线调参'!$E$11:$E$62,$AV207+1)-INDEX('主线调参'!$E$11:$E$62,$AV207))*$AW207)*'参数说明'!$E$27)</x:f>
        <x:v>0.5414325343959371</x:v>
      </x:c>
      <x:c r="J207" s="63" t="n">
        <x:f>IF(B207&lt;$J$8,0,(INDEX('主线调参'!$F$11:$F$62,$AV207)+(INDEX('主线调参'!$F$11:$F$62,$AV207+1)-INDEX('主线调参'!$F$11:$F$62,$AV207))*$AW207)*'参数说明'!$F$27)</x:f>
        <x:v>0.5137580712509272</x:v>
      </x:c>
      <x:c r="K207" s="63" t="n">
        <x:f>IF(B207&lt;$K$8,0,(INDEX('主线调参'!$G$11:$G$62,$AV207)+(INDEX('主线调参'!$G$11:$G$62,$AV207+1)-INDEX('主线调参'!$G$11:$G$62,$AV207))*$AW207)*'参数说明'!$G$27)</x:f>
        <x:v>0.5049248021544291</x:v>
      </x:c>
      <x:c r="L207" s="63" t="n">
        <x:f>IF(B207&lt;$L$8,0,(INDEX('主线调参'!$H$11:$H$62,$AV207)+(INDEX('主线调参'!$H$11:$H$62,$AV207+1)-INDEX('主线调参'!$H$11:$H$62,$AV207))*$AW207)*'参数说明'!$H$27)</x:f>
        <x:v>0.6169430438251385</x:v>
      </x:c>
      <x:c r="M207" s="59" t="n">
        <x:f>E207*'模块规划'!$F$10+G207*'模块规划'!$F$11+H207*'模块规划'!$F$13</x:f>
        <x:v>4822.158369006866</x:v>
      </x:c>
      <x:c r="N207" s="59" t="n">
        <x:f>I207*'模块规划'!$F$15+J207*'模块规划'!$F$17+K207*'模块规划'!$F$16+L207*'模块规划'!$F$18</x:f>
        <x:v>15583.30501972904</x:v>
      </x:c>
      <x:c r="O207" s="59" t="n">
        <x:f>1+O$9*SUMPRODUCT($H$10:$L$10,H207:L207)/SUM($H$10:$L$10)</x:f>
        <x:v>3.05036317316285</x:v>
      </x:c>
      <x:c r="P207" s="59" t="n">
        <x:f>M207*O207+N207</x:f>
        <x:v>30292.63932370662</x:v>
      </x:c>
      <x:c r="Q207" s="59" t="n">
        <x:f>P207/(P207+'_曲线基线'!$L$2)</x:f>
        <x:v>0.5579511274648878</x:v>
      </x:c>
      <x:c r="R207" s="59" t="n">
        <x:f>E207*'模块规划'!$E$10+G207*'模块规划'!$E$11+H207*'模块规划'!$E$13</x:f>
        <x:v>7233.237553510299</x:v>
      </x:c>
      <x:c r="S207" s="59" t="n">
        <x:f>I207*'模块规划'!$E$15+J207*'模块规划'!$E$17+K207*'模块规划'!$E$16+L207*'模块规划'!$E$18</x:f>
        <x:v>23374.957529593554</x:v>
      </x:c>
      <x:c r="T207" s="59" t="n">
        <x:f>1+T$9*SUMPRODUCT($H$10:$L$10,H207:L207)/SUM($H$10:$L$10)</x:f>
        <x:v>3.05036317316285</x:v>
      </x:c>
      <x:c r="U207" s="59" t="n">
        <x:f>R207*T207+S207</x:f>
        <x:v>45438.95898555992</x:v>
      </x:c>
      <x:c r="V207" s="59" t="n">
        <x:f>V$8+(V$9-V$8)*H207</x:f>
        <x:v>0.8862548321652839</x:v>
      </x:c>
      <x:c r="W207" s="59" t="n">
        <x:f>IF(B207&lt;$H$8,0,W$8+(W$9-W$8)*H207)</x:f>
        <x:v>0.24833977622037848</x:v>
      </x:c>
      <x:c r="X207" s="59" t="n">
        <x:f>X$8+(X$9-X$8)*H207</x:f>
        <x:v>0.4457335961515102</x:v>
      </x:c>
      <x:c r="Y207" s="59" t="n">
        <x:f>Y$8+(Y$9-Y$8)*G207</x:f>
        <x:v>1</x:v>
      </x:c>
      <x:c r="Z207" s="59" t="n">
        <x:f>Z$8+(Z$9-Z$8)*H207</x:f>
        <x:v>1</x:v>
      </x:c>
      <x:c r="AA207" s="59" t="n">
        <x:f>AA$8+(AA$9-AA$8)*I207</x:f>
        <x:v>1</x:v>
      </x:c>
      <x:c r="AB207" s="59" t="n">
        <x:f>AB$8+(AB$9-AB$8)*J207</x:f>
        <x:v>1</x:v>
      </x:c>
      <x:c r="AC207" s="59" t="n">
        <x:f>AC$8+(AC$9-AC$8)*MAX(K207,L207)</x:f>
        <x:v>1</x:v>
      </x:c>
      <x:c r="AD207" s="59" t="n">
        <x:f>(V207*AE207+W207*AF207+X207*AG207)*PRODUCT(Y207:AC207)</x:f>
        <x:v>1.768218480010192</x:v>
      </x:c>
      <x:c r="AE207" s="59" t="n">
        <x:f>1+AE$9*($H$10*H207+$I$10*I207+$J$10*J207+$K$10*K207+$L$10*L207)</x:f>
        <x:v>1</x:v>
      </x:c>
      <x:c r="AF207" s="59" t="n">
        <x:f>1+AF$9*($H$10*H207+$I$10*I207+$J$10*J207+$K$10*K207+$L$10*L207)</x:f>
        <x:v>1.180963227428948</x:v>
      </x:c>
      <x:c r="AG207" s="59" t="n">
        <x:f>1+AG$9*($H$10*H207+$I$10*I207+$J$10*J207+$K$10*K207+$L$10*L207)</x:f>
        <x:v>1.320707053054638</x:v>
      </x:c>
      <x:c r="AH207" s="59" t="n">
        <x:f>MIN(1,'_曲线基线'!$L$3+AH$9*($H$10*H207+$I$10*I207+$J$10*J207+$K$10*K207+$L$10*L207))</x:f>
        <x:v>0.4616913424008564</x:v>
      </x:c>
      <x:c r="AI207" s="59" t="n">
        <x:f>'_曲线基线'!$L$4+AI$9*($H$10*H207+$I$10*I207+$J$10*J207+$K$10*K207+$L$10*L207)</x:f>
        <x:v>3.146854453830957</x:v>
      </x:c>
      <x:c r="AJ207" s="59" t="n">
        <x:f>1+AJ$9*($H$10*H207+$I$10*I207+$J$10*J207+$K$10*K207+$L$10*L207)</x:f>
        <x:v>1.941008782630529</x:v>
      </x:c>
      <x:c r="AK207" s="59" t="n">
        <x:f>(1+AH207*(AI207-1))*AJ207</x:f>
        <x:v>3.864905854522359</x:v>
      </x:c>
      <x:c r="AL207" s="59" t="n">
        <x:f>U207*AD207*AK207*F207</x:f>
        <x:v>1552648.7640291036</x:v>
      </x:c>
      <x:c r="AM207" s="59" t="n">
        <x:f>IF($B207&lt;AM$8,0,AM$3+(AM$4-AM$3)*(POWER(AM$5,$B207-AM$8)-1)/(POWER(AM$5,$C$5-AM$8)-1))</x:f>
        <x:v>43.002347250430134</x:v>
      </x:c>
      <x:c r="AN207" s="59" t="n">
        <x:f>(((E207*'模块规划'!$D$10+G207*'模块规划'!$D$11+H207*'模块规划'!$D$13)*(1+'模块规划'!$G$14*H207)+(I207*'模块规划'!$D$15+J207*'模块规划'!$D$17+K207*'模块规划'!$D$16+L207*'模块规划'!$D$18))*(1+'模块规划'!$J$17*J207))*F207/(1-Q207)</x:f>
        <x:v>2111827.3052397096</x:v>
      </x:c>
      <x:c r="AO207" s="59" t="n">
        <x:f>AL207*AM207</x:f>
        <x:v>66767541.30873067</x:v>
      </x:c>
      <x:c r="AP207" s="61" t="n">
        <x:f>IF(AO207="","",INDEX('_曲线基线'!$A$3:$A$502,MIN(ROWS('_曲线基线'!$A$3:$A$502),COUNTIF('_曲线基线'!$E$3:$E$502,"&lt;"&amp;AO207)+1)))</x:f>
        <x:v>262</x:v>
      </x:c>
      <x:c r="AQ207" s="61" t="n">
        <x:f>IF(B207&lt;=2,1,IF(B207&lt;=6,2,IF(B207&lt;=9,3,IF(B207&lt;=19,4,5))))</x:f>
        <x:v>5</x:v>
      </x:c>
      <x:c r="AR207" s="59" t="n">
        <x:f>AN207*(1-Q207)/F207*$AS$3+U207*$AS$4+P207*$AS$5</x:f>
        <x:v>14688.977072732452</x:v>
      </x:c>
      <x:c r="AS207" s="59" t="n">
        <x:f>1+AH207*$AS$6+AI207*$AS$7+(AJ207-1)*$AS$8+($H$10*H207+$I$10*I207+$J$10*J207+$K$10*K207+$L$10*L207)*$AU$3*$AS$9+($H$10*H207+$I$10*I207+$J$10*J207+$K$10*K207+$L$10*L207)*$AU$4*$AS$10</x:f>
        <x:v>15.7943384583468</x:v>
      </x:c>
      <x:c r="AT207" s="60" t="n">
        <x:f>ROUND(AR207*AS207,0)</x:f>
        <x:v>232003</x:v>
      </x:c>
      <x:c r="AU207" s="60" t="n">
        <x:f>ROUND(AT207*F207,0)</x:f>
        <x:v>1160015</x:v>
      </x:c>
      <x:c r="AV207" s="60" t="n">
        <x:f>MIN(MATCH(B207,'主线调参'!$M$11:$M$62,1),ROWS('主线调参'!$M$11:$M$62)-1)</x:f>
        <x:v>41</x:v>
      </x:c>
      <x:c r="AW207" s="62" t="n">
        <x:f>(B207-INDEX('主线调参'!$M$11:$M$62,AV207))/(INDEX('主线调参'!$M$11:$M$62,AV207+1)-INDEX('主线调参'!$M$11:$M$62,AV207))</x:f>
        <x:v>0.42857142857142855</x:v>
      </x:c>
      <x:c r="AX207" s="60" t="n">
        <x:f>IF(AU207=0,0,ROUND(AU207,2-INT(LOG10(ABS(AU207)))))</x:f>
        <x:v>1160000</x:v>
      </x:c>
      <x:c r="AY207" s="62" t="n">
        <x:f>AU207/AU206-1</x:f>
        <x:v>0.005177463519462133</x:v>
      </x:c>
    </x:row>
    <x:row r="208" ht="25" customHeight="1">
      <x:c r="A208" s="40" t="str">
        <x:f>'调前玩家曲线'!A208</x:f>
      </x:c>
      <x:c r="B208" s="40" t="n">
        <x:f>'调前玩家曲线'!B208</x:f>
        <x:v>197</x:v>
      </x:c>
      <x:c r="C208" s="40" t="n">
        <x:f>'调前玩家曲线'!C208</x:f>
        <x:v>14</x:v>
      </x:c>
      <x:c r="D208" s="40" t="n">
        <x:f>'调前玩家曲线'!D208</x:f>
        <x:v>8</x:v>
      </x:c>
      <x:c r="E208" s="40" t="n">
        <x:f>'调前玩家曲线'!E208</x:f>
        <x:v>1</x:v>
      </x:c>
      <x:c r="F208" s="40" t="n">
        <x:f>'调前玩家曲线'!F208</x:f>
        <x:v>5</x:v>
      </x:c>
      <x:c r="G208" s="63" t="n">
        <x:f>IF(B208&lt;$G$8,0,(INDEX('主线调参'!$C$11:$C$62,$AV208)+(INDEX('主线调参'!$C$11:$C$62,$AV208+1)-INDEX('主线调参'!$C$11:$C$62,$AV208))*$AW208)*'参数说明'!$C$27)</x:f>
        <x:v>0.7977514006194016</x:v>
      </x:c>
      <x:c r="H208" s="63" t="n">
        <x:f>IF(B208&lt;$H$8,0,(INDEX('主线调参'!$D$11:$D$62,$AV208)+(INDEX('主线调参'!$D$11:$D$62,$AV208+1)-INDEX('主线调参'!$D$11:$D$62,$AV208))*$AW208)*'参数说明'!$D$27)</x:f>
        <x:v>0.621940463468326</x:v>
      </x:c>
      <x:c r="I208" s="63" t="n">
        <x:f>IF(B208&lt;$I$8,0,(INDEX('主线调参'!$E$11:$E$62,$AV208)+(INDEX('主线调参'!$E$11:$E$62,$AV208+1)-INDEX('主线调参'!$E$11:$E$62,$AV208))*$AW208)*'参数说明'!$E$27)</x:f>
        <x:v>0.5430938591904216</x:v>
      </x:c>
      <x:c r="J208" s="63" t="n">
        <x:f>IF(B208&lt;$J$8,0,(INDEX('主线调参'!$F$11:$F$62,$AV208)+(INDEX('主线调参'!$F$11:$F$62,$AV208+1)-INDEX('主线调参'!$F$11:$F$62,$AV208))*$AW208)*'参数说明'!$F$27)</x:f>
        <x:v>0.5149746198243842</x:v>
      </x:c>
      <x:c r="K208" s="63" t="n">
        <x:f>IF(B208&lt;$K$8,0,(INDEX('主线调参'!$G$11:$G$62,$AV208)+(INDEX('主线调参'!$G$11:$G$62,$AV208+1)-INDEX('主线调参'!$G$11:$G$62,$AV208))*$AW208)*'参数说明'!$G$27)</x:f>
        <x:v>0.5074142458904174</x:v>
      </x:c>
      <x:c r="L208" s="63" t="n">
        <x:f>IF(B208&lt;$L$8,0,(INDEX('主线调参'!$H$11:$H$62,$AV208)+(INDEX('主线调参'!$H$11:$H$62,$AV208+1)-INDEX('主线调参'!$H$11:$H$62,$AV208))*$AW208)*'参数说明'!$H$27)</x:f>
        <x:v>0.6181082322210798</x:v>
      </x:c>
      <x:c r="M208" s="59" t="n">
        <x:f>E208*'模块规划'!$F$10+G208*'模块规划'!$F$11+H208*'模块规划'!$F$13</x:f>
        <x:v>4829.206722973127</x:v>
      </x:c>
      <x:c r="N208" s="59" t="n">
        <x:f>I208*'模块规划'!$F$15+J208*'模块规划'!$F$17+K208*'模块规划'!$F$16+L208*'模块规划'!$F$18</x:f>
        <x:v>15629.523708215118</x:v>
      </x:c>
      <x:c r="O208" s="59" t="n">
        <x:f>1+O$9*SUMPRODUCT($H$10:$L$10,H208:L208)/SUM($H$10:$L$10)</x:f>
        <x:v>3.055931621336243</x:v>
      </x:c>
      <x:c r="P208" s="59" t="n">
        <x:f>M208*O208+N208</x:f>
        <x:v>30387.249238918273</x:v>
      </x:c>
      <x:c r="Q208" s="59" t="n">
        <x:f>P208/(P208+'_曲线基线'!$L$2)</x:f>
        <x:v>0.5587200982610802</x:v>
      </x:c>
      <x:c r="R208" s="59" t="n">
        <x:f>E208*'模块规划'!$E$10+G208*'模块规划'!$E$11+H208*'模块规划'!$E$13</x:f>
        <x:v>7243.810084459692</x:v>
      </x:c>
      <x:c r="S208" s="59" t="n">
        <x:f>I208*'模块规划'!$E$15+J208*'模块规划'!$E$17+K208*'模块规划'!$E$16+L208*'模块规划'!$E$18</x:f>
        <x:v>23444.285562322675</x:v>
      </x:c>
      <x:c r="T208" s="59" t="n">
        <x:f>1+T$9*SUMPRODUCT($H$10:$L$10,H208:L208)/SUM($H$10:$L$10)</x:f>
        <x:v>3.055931621336243</x:v>
      </x:c>
      <x:c r="U208" s="59" t="n">
        <x:f>R208*T208+S208</x:f>
        <x:v>45580.87385837741</x:v>
      </x:c>
      <x:c r="V208" s="59" t="n">
        <x:f>V$8+(V$9-V$8)*H208</x:f>
        <x:v>0.8865821390404978</x:v>
      </x:c>
      <x:c r="W208" s="59" t="n">
        <x:f>IF(B208&lt;$H$8,0,W$8+(W$9-W$8)*H208)</x:f>
        <x:v>0.2487761853873304</x:v>
      </x:c>
      <x:c r="X208" s="59" t="n">
        <x:f>X$8+(X$9-X$8)*H208</x:f>
        <x:v>0.4460336274537897</x:v>
      </x:c>
      <x:c r="Y208" s="59" t="n">
        <x:f>Y$8+(Y$9-Y$8)*G208</x:f>
        <x:v>1</x:v>
      </x:c>
      <x:c r="Z208" s="59" t="n">
        <x:f>Z$8+(Z$9-Z$8)*H208</x:f>
        <x:v>1</x:v>
      </x:c>
      <x:c r="AA208" s="59" t="n">
        <x:f>AA$8+(AA$9-AA$8)*I208</x:f>
        <x:v>1</x:v>
      </x:c>
      <x:c r="AB208" s="59" t="n">
        <x:f>AB$8+(AB$9-AB$8)*J208</x:f>
        <x:v>1</x:v>
      </x:c>
      <x:c r="AC208" s="59" t="n">
        <x:f>AC$8+(AC$9-AC$8)*MAX(K208,L208)</x:f>
        <x:v>1</x:v>
      </x:c>
      <x:c r="AD208" s="59" t="n">
        <x:f>(V208*AE208+W208*AF208+X208*AG208)*PRODUCT(Y208:AC208)</x:f>
        <x:v>1.7699681783205472</x:v>
      </x:c>
      <x:c r="AE208" s="59" t="n">
        <x:f>1+AE$9*($H$10*H208+$I$10*I208+$J$10*J208+$K$10*K208+$L$10*L208)</x:f>
        <x:v>1</x:v>
      </x:c>
      <x:c r="AF208" s="59" t="n">
        <x:f>1+AF$9*($H$10*H208+$I$10*I208+$J$10*J208+$K$10*K208+$L$10*L208)</x:f>
        <x:v>1.1814546937049804</x:v>
      </x:c>
      <x:c r="AG208" s="59" t="n">
        <x:f>1+AG$9*($H$10*H208+$I$10*I208+$J$10*J208+$K$10*K208+$L$10*L208)</x:f>
        <x:v>1.3215780405104953</x:v>
      </x:c>
      <x:c r="AH208" s="59" t="n">
        <x:f>MIN(1,'_曲线基线'!$L$3+AH$9*($H$10*H208+$I$10*I208+$J$10*J208+$K$10*K208+$L$10*L208))</x:f>
        <x:v>0.46280942817882975</x:v>
      </x:c>
      <x:c r="AI208" s="59" t="n">
        <x:f>'_曲线基线'!$L$4+AI$9*($H$10*H208+$I$10*I208+$J$10*J208+$K$10*K208+$L$10*L208)</x:f>
        <x:v>3.1499691213553116</x:v>
      </x:c>
      <x:c r="AJ208" s="59" t="n">
        <x:f>1+AJ$9*($H$10*H208+$I$10*I208+$J$10*J208+$K$10*K208+$L$10*L208)</x:f>
        <x:v>1.9435644072658969</x:v>
      </x:c>
      <x:c r="AK208" s="59" t="n">
        <x:f>(1+AH208*(AI208-1))*AJ208</x:f>
        <x:v>3.877461485631331</x:v>
      </x:c>
      <x:c r="AL208" s="59" t="n">
        <x:f>U208*AD208*AK208*F208</x:f>
        <x:v>1564103.9128623132</x:v>
      </x:c>
      <x:c r="AM208" s="59" t="n">
        <x:f>IF($B208&lt;AM$8,0,AM$3+(AM$4-AM$3)*(POWER(AM$5,$B208-AM$8)-1)/(POWER(AM$5,$C$5-AM$8)-1))</x:f>
        <x:v>43.09579536285631</x:v>
      </x:c>
      <x:c r="AN208" s="59" t="n">
        <x:f>(((E208*'模块规划'!$D$10+G208*'模块规划'!$D$11+H208*'模块规划'!$D$13)*(1+'模块规划'!$G$14*H208)+(I208*'模块规划'!$D$15+J208*'模块规划'!$D$17+K208*'模块规划'!$D$16+L208*'模块规划'!$D$18))*(1+'模块规划'!$J$17*J208))*F208/(1-Q208)</x:f>
        <x:v>2123096.162180697</x:v>
      </x:c>
      <x:c r="AO208" s="59" t="n">
        <x:f>AL208*AM208</x:f>
        <x:v>67406302.15495709</x:v>
      </x:c>
      <x:c r="AP208" s="61" t="n">
        <x:f>IF(AO208="","",INDEX('_曲线基线'!$A$3:$A$502,MIN(ROWS('_曲线基线'!$A$3:$A$502),COUNTIF('_曲线基线'!$E$3:$E$502,"&lt;"&amp;AO208)+1)))</x:f>
        <x:v>263</x:v>
      </x:c>
      <x:c r="AQ208" s="61" t="n">
        <x:f>IF(B208&lt;=2,1,IF(B208&lt;=6,2,IF(B208&lt;=9,3,IF(B208&lt;=19,4,5))))</x:f>
        <x:v>5</x:v>
      </x:c>
      <x:c r="AR208" s="59" t="n">
        <x:f>AN208*(1-Q208)/F208*$AS$3+U208*$AS$4+P208*$AS$5</x:f>
        <x:v>14737.452766651739</x:v>
      </x:c>
      <x:c r="AS208" s="59" t="n">
        <x:f>1+AH208*$AS$6+AI208*$AS$7+(AJ208-1)*$AS$8+($H$10*H208+$I$10*I208+$J$10*J208+$K$10*K208+$L$10*L208)*$AU$3*$AS$9+($H$10*H208+$I$10*I208+$J$10*J208+$K$10*K208+$L$10*L208)*$AU$4*$AS$10</x:f>
        <x:v>15.823704126768288</x:v>
      </x:c>
      <x:c r="AT208" s="60" t="n">
        <x:f>ROUND(AR208*AS208,0)</x:f>
        <x:v>233201</x:v>
      </x:c>
      <x:c r="AU208" s="60" t="n">
        <x:f>ROUND(AT208*F208,0)</x:f>
        <x:v>1166005</x:v>
      </x:c>
      <x:c r="AV208" s="60" t="n">
        <x:f>MIN(MATCH(B208,'主线调参'!$M$11:$M$62,1),ROWS('主线调参'!$M$11:$M$62)-1)</x:f>
        <x:v>41</x:v>
      </x:c>
      <x:c r="AW208" s="62" t="n">
        <x:f>(B208-INDEX('主线调参'!$M$11:$M$62,AV208))/(INDEX('主线调参'!$M$11:$M$62,AV208+1)-INDEX('主线调参'!$M$11:$M$62,AV208))</x:f>
        <x:v>0.5</x:v>
      </x:c>
      <x:c r="AX208" s="60" t="n">
        <x:f>IF(AU208=0,0,ROUND(AU208,2-INT(LOG10(ABS(AU208)))))</x:f>
        <x:v>1170000</x:v>
      </x:c>
      <x:c r="AY208" s="62" t="n">
        <x:f>AU208/AU207-1</x:f>
        <x:v>0.005163726331125051</x:v>
      </x:c>
    </x:row>
    <x:row r="209" ht="25" customHeight="1">
      <x:c r="A209" s="40" t="str">
        <x:f>'调前玩家曲线'!A209</x:f>
      </x:c>
      <x:c r="B209" s="40" t="n">
        <x:f>'调前玩家曲线'!B209</x:f>
        <x:v>198</x:v>
      </x:c>
      <x:c r="C209" s="40" t="n">
        <x:f>'调前玩家曲线'!C209</x:f>
        <x:v>14</x:v>
      </x:c>
      <x:c r="D209" s="40" t="n">
        <x:f>'调前玩家曲线'!D209</x:f>
        <x:v>9</x:v>
      </x:c>
      <x:c r="E209" s="40" t="n">
        <x:f>'调前玩家曲线'!E209</x:f>
        <x:v>1</x:v>
      </x:c>
      <x:c r="F209" s="40" t="n">
        <x:f>'调前玩家曲线'!F209</x:f>
        <x:v>5</x:v>
      </x:c>
      <x:c r="G209" s="63" t="n">
        <x:f>IF(B209&lt;$G$8,0,(INDEX('主线调参'!$C$11:$C$62,$AV209)+(INDEX('主线调参'!$C$11:$C$62,$AV209+1)-INDEX('主线调参'!$C$11:$C$62,$AV209))*$AW209)*'参数说明'!$C$27)</x:f>
        <x:v>0.7992198076957062</x:v>
      </x:c>
      <x:c r="H209" s="63" t="n">
        <x:f>IF(B209&lt;$H$8,0,(INDEX('主线调参'!$D$11:$D$62,$AV209)+(INDEX('主线调参'!$D$11:$D$62,$AV209+1)-INDEX('主线调参'!$D$11:$D$62,$AV209))*$AW209)*'参数说明'!$D$27)</x:f>
        <x:v>0.6230314863857057</x:v>
      </x:c>
      <x:c r="I209" s="63" t="n">
        <x:f>IF(B209&lt;$I$8,0,(INDEX('主线调参'!$E$11:$E$62,$AV209)+(INDEX('主线调参'!$E$11:$E$62,$AV209+1)-INDEX('主线调参'!$E$11:$E$62,$AV209))*$AW209)*'参数说明'!$E$27)</x:f>
        <x:v>0.5447551839849062</x:v>
      </x:c>
      <x:c r="J209" s="63" t="n">
        <x:f>IF(B209&lt;$J$8,0,(INDEX('主线调参'!$F$11:$F$62,$AV209)+(INDEX('主线调参'!$F$11:$F$62,$AV209+1)-INDEX('主线调参'!$F$11:$F$62,$AV209))*$AW209)*'参数说明'!$F$27)</x:f>
        <x:v>0.5161911683978412</x:v>
      </x:c>
      <x:c r="K209" s="63" t="n">
        <x:f>IF(B209&lt;$K$8,0,(INDEX('主线调参'!$G$11:$G$62,$AV209)+(INDEX('主线调参'!$G$11:$G$62,$AV209+1)-INDEX('主线调参'!$G$11:$G$62,$AV209))*$AW209)*'参数说明'!$G$27)</x:f>
        <x:v>0.5099036896264056</x:v>
      </x:c>
      <x:c r="L209" s="63" t="n">
        <x:f>IF(B209&lt;$L$8,0,(INDEX('主线调参'!$H$11:$H$62,$AV209)+(INDEX('主线调参'!$H$11:$H$62,$AV209+1)-INDEX('主线调参'!$H$11:$H$62,$AV209))*$AW209)*'参数说明'!$H$27)</x:f>
        <x:v>0.619273420617021</x:v>
      </x:c>
      <x:c r="M209" s="59" t="n">
        <x:f>E209*'模块规划'!$F$10+G209*'模块规划'!$F$11+H209*'模块规划'!$F$13</x:f>
        <x:v>4836.255076939389</x:v>
      </x:c>
      <x:c r="N209" s="59" t="n">
        <x:f>I209*'模块规划'!$F$15+J209*'模块规划'!$F$17+K209*'模块规划'!$F$16+L209*'模块规划'!$F$18</x:f>
        <x:v>15675.7423967012</x:v>
      </x:c>
      <x:c r="O209" s="59" t="n">
        <x:f>1+O$9*SUMPRODUCT($H$10:$L$10,H209:L209)/SUM($H$10:$L$10)</x:f>
        <x:v>3.0615000695096355</x:v>
      </x:c>
      <x:c r="P209" s="59" t="n">
        <x:f>M209*O209+N209</x:f>
        <x:v>30481.93765091747</x:v>
      </x:c>
      <x:c r="Q209" s="59" t="n">
        <x:f>P209/(P209+'_曲线基线'!$L$2)</x:f>
        <x:v>0.5594870330461559</x:v>
      </x:c>
      <x:c r="R209" s="59" t="n">
        <x:f>E209*'模块规划'!$E$10+G209*'模块规划'!$E$11+H209*'模块规划'!$E$13</x:f>
        <x:v>7254.382615409085</x:v>
      </x:c>
      <x:c r="S209" s="59" t="n">
        <x:f>I209*'模块规划'!$E$15+J209*'模块规划'!$E$17+K209*'模块规划'!$E$16+L209*'模块规划'!$E$18</x:f>
        <x:v>23513.6135950518</x:v>
      </x:c>
      <x:c r="T209" s="59" t="n">
        <x:f>1+T$9*SUMPRODUCT($H$10:$L$10,H209:L209)/SUM($H$10:$L$10)</x:f>
        <x:v>3.0615000695096355</x:v>
      </x:c>
      <x:c r="U209" s="59" t="n">
        <x:f>R209*T209+S209</x:f>
        <x:v>45722.9064763762</x:v>
      </x:c>
      <x:c r="V209" s="59" t="n">
        <x:f>V$8+(V$9-V$8)*H209</x:f>
        <x:v>0.8869094459157116</x:v>
      </x:c>
      <x:c r="W209" s="59" t="n">
        <x:f>IF(B209&lt;$H$8,0,W$8+(W$9-W$8)*H209)</x:f>
        <x:v>0.2492125945542823</x:v>
      </x:c>
      <x:c r="X209" s="59" t="n">
        <x:f>X$8+(X$9-X$8)*H209</x:f>
        <x:v>0.4463336587560691</x:v>
      </x:c>
      <x:c r="Y209" s="59" t="n">
        <x:f>Y$8+(Y$9-Y$8)*G209</x:f>
        <x:v>1</x:v>
      </x:c>
      <x:c r="Z209" s="59" t="n">
        <x:f>Z$8+(Z$9-Z$8)*H209</x:f>
        <x:v>1</x:v>
      </x:c>
      <x:c r="AA209" s="59" t="n">
        <x:f>AA$8+(AA$9-AA$8)*I209</x:f>
        <x:v>1</x:v>
      </x:c>
      <x:c r="AB209" s="59" t="n">
        <x:f>AB$8+(AB$9-AB$8)*J209</x:f>
        <x:v>1</x:v>
      </x:c>
      <x:c r="AC209" s="59" t="n">
        <x:f>AC$8+(AC$9-AC$8)*MAX(K209,L209)</x:f>
        <x:v>1</x:v>
      </x:c>
      <x:c r="AD209" s="59" t="n">
        <x:f>(V209*AE209+W209*AF209+X209*AG209)*PRODUCT(Y209:AC209)</x:f>
        <x:v>1.7717188282386798</x:v>
      </x:c>
      <x:c r="AE209" s="59" t="n">
        <x:f>1+AE$9*($H$10*H209+$I$10*I209+$J$10*J209+$K$10*K209+$L$10*L209)</x:f>
        <x:v>1</x:v>
      </x:c>
      <x:c r="AF209" s="59" t="n">
        <x:f>1+AF$9*($H$10*H209+$I$10*I209+$J$10*J209+$K$10*K209+$L$10*L209)</x:f>
        <x:v>1.1819461599810124</x:v>
      </x:c>
      <x:c r="AG209" s="59" t="n">
        <x:f>1+AG$9*($H$10*H209+$I$10*I209+$J$10*J209+$K$10*K209+$L$10*L209)</x:f>
        <x:v>1.3224490279663523</x:v>
      </x:c>
      <x:c r="AH209" s="59" t="n">
        <x:f>MIN(1,'_曲线基线'!$L$3+AH$9*($H$10*H209+$I$10*I209+$J$10*J209+$K$10*K209+$L$10*L209))</x:f>
        <x:v>0.463927513956803</x:v>
      </x:c>
      <x:c r="AI209" s="59" t="n">
        <x:f>'_曲线基线'!$L$4+AI$9*($H$10*H209+$I$10*I209+$J$10*J209+$K$10*K209+$L$10*L209)</x:f>
        <x:v>3.1530837888796652</x:v>
      </x:c>
      <x:c r="AJ209" s="59" t="n">
        <x:f>1+AJ$9*($H$10*H209+$I$10*I209+$J$10*J209+$K$10*K209+$L$10*L209)</x:f>
        <x:v>1.946120031901264</x:v>
      </x:c>
      <x:c r="AK209" s="59" t="n">
        <x:f>(1+AH209*(AI209-1))*AJ209</x:f>
        <x:v>3.8900503080612046</x:v>
      </x:c>
      <x:c r="AL209" s="59" t="n">
        <x:f>U209*AD209*AK209*F209</x:f>
        <x:v>1575628.5886734328</x:v>
      </x:c>
      <x:c r="AM209" s="59" t="n">
        <x:f>IF($B209&lt;AM$8,0,AM$3+(AM$4-AM$3)*(POWER(AM$5,$B209-AM$8)-1)/(POWER(AM$5,$C$5-AM$8)-1))</x:f>
        <x:v>43.190177956406735</x:v>
      </x:c>
      <x:c r="AN209" s="59" t="n">
        <x:f>(((E209*'模块规划'!$D$10+G209*'模块规划'!$D$11+H209*'模块规划'!$D$13)*(1+'模块规划'!$G$14*H209)+(I209*'模块规划'!$D$15+J209*'模块规划'!$D$17+K209*'模块规划'!$D$16+L209*'模块规划'!$D$18))*(1+'模块规划'!$J$17*J209))*F209/(1-Q209)</x:f>
        <x:v>2134406.033498883</x:v>
      </x:c>
      <x:c r="AO209" s="59" t="n">
        <x:f>AL209*AM209</x:f>
        <x:v>68051679.13800755</x:v>
      </x:c>
      <x:c r="AP209" s="61" t="n">
        <x:f>IF(AO209="","",INDEX('_曲线基线'!$A$3:$A$502,MIN(ROWS('_曲线基线'!$A$3:$A$502),COUNTIF('_曲线基线'!$E$3:$E$502,"&lt;"&amp;AO209)+1)))</x:f>
        <x:v>264</x:v>
      </x:c>
      <x:c r="AQ209" s="61" t="n">
        <x:f>IF(B209&lt;=2,1,IF(B209&lt;=6,2,IF(B209&lt;=9,3,IF(B209&lt;=19,4,5))))</x:f>
        <x:v>5</x:v>
      </x:c>
      <x:c r="AR209" s="59" t="n">
        <x:f>AN209*(1-Q209)/F209*$AS$3+U209*$AS$4+P209*$AS$5</x:f>
        <x:v>14785.982502279912</x:v>
      </x:c>
      <x:c r="AS209" s="59" t="n">
        <x:f>1+AH209*$AS$6+AI209*$AS$7+(AJ209-1)*$AS$8+($H$10*H209+$I$10*I209+$J$10*J209+$K$10*K209+$L$10*L209)*$AU$3*$AS$9+($H$10*H209+$I$10*I209+$J$10*J209+$K$10*K209+$L$10*L209)*$AU$4*$AS$10</x:f>
        <x:v>15.85306979518976</x:v>
      </x:c>
      <x:c r="AT209" s="60" t="n">
        <x:f>ROUND(AR209*AS209,0)</x:f>
        <x:v>234403</x:v>
      </x:c>
      <x:c r="AU209" s="60" t="n">
        <x:f>ROUND(AT209*F209,0)</x:f>
        <x:v>1172015</x:v>
      </x:c>
      <x:c r="AV209" s="60" t="n">
        <x:f>MIN(MATCH(B209,'主线调参'!$M$11:$M$62,1),ROWS('主线调参'!$M$11:$M$62)-1)</x:f>
        <x:v>41</x:v>
      </x:c>
      <x:c r="AW209" s="62" t="n">
        <x:f>(B209-INDEX('主线调参'!$M$11:$M$62,AV209))/(INDEX('主线调参'!$M$11:$M$62,AV209+1)-INDEX('主线调参'!$M$11:$M$62,AV209))</x:f>
        <x:v>0.5714285714285714</x:v>
      </x:c>
      <x:c r="AX209" s="60" t="n">
        <x:f>IF(AU209=0,0,ROUND(AU209,2-INT(LOG10(ABS(AU209)))))</x:f>
        <x:v>1170000</x:v>
      </x:c>
      <x:c r="AY209" s="62" t="n">
        <x:f>AU209/AU208-1</x:f>
        <x:v>0.005154351825249481</x:v>
      </x:c>
    </x:row>
    <x:row r="210" ht="25" customHeight="1">
      <x:c r="A210" s="40" t="str">
        <x:f>'调前玩家曲线'!A210</x:f>
      </x:c>
      <x:c r="B210" s="40" t="n">
        <x:f>'调前玩家曲线'!B210</x:f>
        <x:v>199</x:v>
      </x:c>
      <x:c r="C210" s="40" t="n">
        <x:f>'调前玩家曲线'!C210</x:f>
        <x:v>14</x:v>
      </x:c>
      <x:c r="D210" s="40" t="n">
        <x:f>'调前玩家曲线'!D210</x:f>
        <x:v>10</x:v>
      </x:c>
      <x:c r="E210" s="40" t="n">
        <x:f>'调前玩家曲线'!E210</x:f>
        <x:v>1</x:v>
      </x:c>
      <x:c r="F210" s="40" t="n">
        <x:f>'调前玩家曲线'!F210</x:f>
        <x:v>5</x:v>
      </x:c>
      <x:c r="G210" s="63" t="n">
        <x:f>IF(B210&lt;$G$8,0,(INDEX('主线调参'!$C$11:$C$62,$AV210)+(INDEX('主线调参'!$C$11:$C$62,$AV210+1)-INDEX('主线调参'!$C$11:$C$62,$AV210))*$AW210)*'参数说明'!$C$27)</x:f>
        <x:v>0.8006882147720108</x:v>
      </x:c>
      <x:c r="H210" s="63" t="n">
        <x:f>IF(B210&lt;$H$8,0,(INDEX('主线调参'!$D$11:$D$62,$AV210)+(INDEX('主线调参'!$D$11:$D$62,$AV210+1)-INDEX('主线调参'!$D$11:$D$62,$AV210))*$AW210)*'参数说明'!$D$27)</x:f>
        <x:v>0.6241225093030855</x:v>
      </x:c>
      <x:c r="I210" s="63" t="n">
        <x:f>IF(B210&lt;$I$8,0,(INDEX('主线调参'!$E$11:$E$62,$AV210)+(INDEX('主线调参'!$E$11:$E$62,$AV210+1)-INDEX('主线调参'!$E$11:$E$62,$AV210))*$AW210)*'参数说明'!$E$27)</x:f>
        <x:v>0.5464165087793906</x:v>
      </x:c>
      <x:c r="J210" s="63" t="n">
        <x:f>IF(B210&lt;$J$8,0,(INDEX('主线调参'!$F$11:$F$62,$AV210)+(INDEX('主线调参'!$F$11:$F$62,$AV210+1)-INDEX('主线调参'!$F$11:$F$62,$AV210))*$AW210)*'参数说明'!$F$27)</x:f>
        <x:v>0.5174077169712983</x:v>
      </x:c>
      <x:c r="K210" s="63" t="n">
        <x:f>IF(B210&lt;$K$8,0,(INDEX('主线调参'!$G$11:$G$62,$AV210)+(INDEX('主线调参'!$G$11:$G$62,$AV210+1)-INDEX('主线调参'!$G$11:$G$62,$AV210))*$AW210)*'参数说明'!$G$27)</x:f>
        <x:v>0.5123931333623939</x:v>
      </x:c>
      <x:c r="L210" s="63" t="n">
        <x:f>IF(B210&lt;$L$8,0,(INDEX('主线调参'!$H$11:$H$62,$AV210)+(INDEX('主线调参'!$H$11:$H$62,$AV210+1)-INDEX('主线调参'!$H$11:$H$62,$AV210))*$AW210)*'参数说明'!$H$27)</x:f>
        <x:v>0.6204386090129621</x:v>
      </x:c>
      <x:c r="M210" s="59" t="n">
        <x:f>E210*'模块规划'!$F$10+G210*'模块规划'!$F$11+H210*'模块规划'!$F$13</x:f>
        <x:v>4843.303430905652</x:v>
      </x:c>
      <x:c r="N210" s="59" t="n">
        <x:f>I210*'模块规划'!$F$15+J210*'模块规划'!$F$17+K210*'模块规划'!$F$16+L210*'模块规划'!$F$18</x:f>
        <x:v>15721.961085187282</x:v>
      </x:c>
      <x:c r="O210" s="59" t="n">
        <x:f>1+O$9*SUMPRODUCT($H$10:$L$10,H210:L210)/SUM($H$10:$L$10)</x:f>
        <x:v>3.0670685176830284</x:v>
      </x:c>
      <x:c r="P210" s="59" t="n">
        <x:f>M210*O210+N210</x:f>
        <x:v>30576.704559704205</x:v>
      </x:c>
      <x:c r="Q210" s="59" t="n">
        <x:f>P210/(P210+'_曲线基线'!$L$2)</x:f>
        <x:v>0.5602519391081008</x:v>
      </x:c>
      <x:c r="R210" s="59" t="n">
        <x:f>E210*'模块规划'!$E$10+G210*'模块规划'!$E$11+H210*'模块规划'!$E$13</x:f>
        <x:v>7264.955146358478</x:v>
      </x:c>
      <x:c r="S210" s="59" t="n">
        <x:f>I210*'模块规划'!$E$15+J210*'模块规划'!$E$17+K210*'模块规划'!$E$16+L210*'模块规划'!$E$18</x:f>
        <x:v>23582.94162778092</x:v>
      </x:c>
      <x:c r="T210" s="59" t="n">
        <x:f>1+T$9*SUMPRODUCT($H$10:$L$10,H210:L210)/SUM($H$10:$L$10)</x:f>
        <x:v>3.0670685176830284</x:v>
      </x:c>
      <x:c r="U210" s="59" t="n">
        <x:f>R210*T210+S210</x:f>
        <x:v>45865.0568395563</x:v>
      </x:c>
      <x:c r="V210" s="59" t="n">
        <x:f>V$8+(V$9-V$8)*H210</x:f>
        <x:v>0.8872367527909256</x:v>
      </x:c>
      <x:c r="W210" s="59" t="n">
        <x:f>IF(B210&lt;$H$8,0,W$8+(W$9-W$8)*H210)</x:f>
        <x:v>0.24964900372123422</x:v>
      </x:c>
      <x:c r="X210" s="59" t="n">
        <x:f>X$8+(X$9-X$8)*H210</x:f>
        <x:v>0.4466336900583485</x:v>
      </x:c>
      <x:c r="Y210" s="59" t="n">
        <x:f>Y$8+(Y$9-Y$8)*G210</x:f>
        <x:v>1</x:v>
      </x:c>
      <x:c r="Z210" s="59" t="n">
        <x:f>Z$8+(Z$9-Z$8)*H210</x:f>
        <x:v>1</x:v>
      </x:c>
      <x:c r="AA210" s="59" t="n">
        <x:f>AA$8+(AA$9-AA$8)*I210</x:f>
        <x:v>1</x:v>
      </x:c>
      <x:c r="AB210" s="59" t="n">
        <x:f>AB$8+(AB$9-AB$8)*J210</x:f>
        <x:v>1</x:v>
      </x:c>
      <x:c r="AC210" s="59" t="n">
        <x:f>AC$8+(AC$9-AC$8)*MAX(K210,L210)</x:f>
        <x:v>1</x:v>
      </x:c>
      <x:c r="AD210" s="59" t="n">
        <x:f>(V210*AE210+W210*AF210+X210*AG210)*PRODUCT(Y210:AC210)</x:f>
        <x:v>1.7734704297645898</x:v>
      </x:c>
      <x:c r="AE210" s="59" t="n">
        <x:f>1+AE$9*($H$10*H210+$I$10*I210+$J$10*J210+$K$10*K210+$L$10*L210)</x:f>
        <x:v>1</x:v>
      </x:c>
      <x:c r="AF210" s="59" t="n">
        <x:f>1+AF$9*($H$10*H210+$I$10*I210+$J$10*J210+$K$10*K210+$L$10*L210)</x:f>
        <x:v>1.1824376262570446</x:v>
      </x:c>
      <x:c r="AG210" s="59" t="n">
        <x:f>1+AG$9*($H$10*H210+$I$10*I210+$J$10*J210+$K$10*K210+$L$10*L210)</x:f>
        <x:v>1.3233200154222096</x:v>
      </x:c>
      <x:c r="AH210" s="59" t="n">
        <x:f>MIN(1,'_曲线基线'!$L$3+AH$9*($H$10*H210+$I$10*I210+$J$10*J210+$K$10*K210+$L$10*L210))</x:f>
        <x:v>0.4650455997347763</x:v>
      </x:c>
      <x:c r="AI210" s="59" t="n">
        <x:f>'_曲线基线'!$L$4+AI$9*($H$10*H210+$I$10*I210+$J$10*J210+$K$10*K210+$L$10*L210)</x:f>
        <x:v>3.15619845640402</x:v>
      </x:c>
      <x:c r="AJ210" s="59" t="n">
        <x:f>1+AJ$9*($H$10*H210+$I$10*I210+$J$10*J210+$K$10*K210+$L$10*L210)</x:f>
        <x:v>1.9486756565366319</x:v>
      </x:c>
      <x:c r="AK210" s="59" t="n">
        <x:f>(1+AH210*(AI210-1))*AJ210</x:f>
        <x:v>3.9026723752112336</x:v>
      </x:c>
      <x:c r="AL210" s="59" t="n">
        <x:f>U210*AD210*AK210*F210</x:f>
        <x:v>1587223.1395580862</x:v>
      </x:c>
      <x:c r="AM210" s="59" t="n">
        <x:f>IF($B210&lt;AM$8,0,AM$3+(AM$4-AM$3)*(POWER(AM$5,$B210-AM$8)-1)/(POWER(AM$5,$C$5-AM$8)-1))</x:f>
        <x:v>43.28550437589267</x:v>
      </x:c>
      <x:c r="AN210" s="59" t="n">
        <x:f>(((E210*'模块规划'!$D$10+G210*'模块规划'!$D$11+H210*'模块规划'!$D$13)*(1+'模块规划'!$G$14*H210)+(I210*'模块规划'!$D$15+J210*'模块规划'!$D$17+K210*'模块规划'!$D$16+L210*'模块规划'!$D$18))*(1+'模块规划'!$J$17*J210))*F210/(1-Q210)</x:f>
        <x:v>2145757.0157012716</x:v>
      </x:c>
      <x:c r="AO210" s="59" t="n">
        <x:f>AL210*AM210</x:f>
        <x:v>68703754.15285964</x:v>
      </x:c>
      <x:c r="AP210" s="61" t="n">
        <x:f>IF(AO210="","",INDEX('_曲线基线'!$A$3:$A$502,MIN(ROWS('_曲线基线'!$A$3:$A$502),COUNTIF('_曲线基线'!$E$3:$E$502,"&lt;"&amp;AO210)+1)))</x:f>
        <x:v>264</x:v>
      </x:c>
      <x:c r="AQ210" s="61" t="n">
        <x:f>IF(B210&lt;=2,1,IF(B210&lt;=6,2,IF(B210&lt;=9,3,IF(B210&lt;=19,4,5))))</x:f>
        <x:v>5</x:v>
      </x:c>
      <x:c r="AR210" s="59" t="n">
        <x:f>AN210*(1-Q210)/F210*$AS$3+U210*$AS$4+P210*$AS$5</x:f>
        <x:v>14834.566288710197</x:v>
      </x:c>
      <x:c r="AS210" s="59" t="n">
        <x:f>1+AH210*$AS$6+AI210*$AS$7+(AJ210-1)*$AS$8+($H$10*H210+$I$10*I210+$J$10*J210+$K$10*K210+$L$10*L210)*$AU$3*$AS$9+($H$10*H210+$I$10*I210+$J$10*J210+$K$10*K210+$L$10*L210)*$AU$4*$AS$10</x:f>
        <x:v>15.882435463611248</x:v>
      </x:c>
      <x:c r="AT210" s="60" t="n">
        <x:f>ROUND(AR210*AS210,0)</x:f>
        <x:v>235609</x:v>
      </x:c>
      <x:c r="AU210" s="60" t="n">
        <x:f>ROUND(AT210*F210,0)</x:f>
        <x:v>1178045</x:v>
      </x:c>
      <x:c r="AV210" s="60" t="n">
        <x:f>MIN(MATCH(B210,'主线调参'!$M$11:$M$62,1),ROWS('主线调参'!$M$11:$M$62)-1)</x:f>
        <x:v>41</x:v>
      </x:c>
      <x:c r="AW210" s="62" t="n">
        <x:f>(B210-INDEX('主线调参'!$M$11:$M$62,AV210))/(INDEX('主线调参'!$M$11:$M$62,AV210+1)-INDEX('主线调参'!$M$11:$M$62,AV210))</x:f>
        <x:v>0.6428571428571429</x:v>
      </x:c>
      <x:c r="AX210" s="60" t="n">
        <x:f>IF(AU210=0,0,ROUND(AU210,2-INT(LOG10(ABS(AU210)))))</x:f>
        <x:v>1180000</x:v>
      </x:c>
      <x:c r="AY210" s="62" t="n">
        <x:f>AU210/AU209-1</x:f>
        <x:v>0.005144985345750586</x:v>
      </x:c>
    </x:row>
    <x:row r="211" ht="25" customHeight="1">
      <x:c r="A211" s="40" t="str">
        <x:f>'调前玩家曲线'!A211</x:f>
      </x:c>
      <x:c r="B211" s="40" t="n">
        <x:f>'调前玩家曲线'!B211</x:f>
        <x:v>200</x:v>
      </x:c>
      <x:c r="C211" s="40" t="n">
        <x:f>'调前玩家曲线'!C211</x:f>
        <x:v>14</x:v>
      </x:c>
      <x:c r="D211" s="40" t="n">
        <x:f>'调前玩家曲线'!D211</x:f>
        <x:v>11</x:v>
      </x:c>
      <x:c r="E211" s="40" t="n">
        <x:f>'调前玩家曲线'!E211</x:f>
        <x:v>1</x:v>
      </x:c>
      <x:c r="F211" s="40" t="n">
        <x:f>'调前玩家曲线'!F211</x:f>
        <x:v>5</x:v>
      </x:c>
      <x:c r="G211" s="63" t="n">
        <x:f>IF(B211&lt;$G$8,0,(INDEX('主线调参'!$C$11:$C$62,$AV211)+(INDEX('主线调参'!$C$11:$C$62,$AV211+1)-INDEX('主线调参'!$C$11:$C$62,$AV211))*$AW211)*'参数说明'!$C$27)</x:f>
        <x:v>0.8021566218483153</x:v>
      </x:c>
      <x:c r="H211" s="63" t="n">
        <x:f>IF(B211&lt;$H$8,0,(INDEX('主线调参'!$D$11:$D$62,$AV211)+(INDEX('主线调参'!$D$11:$D$62,$AV211+1)-INDEX('主线调参'!$D$11:$D$62,$AV211))*$AW211)*'参数说明'!$D$27)</x:f>
        <x:v>0.6252135322204654</x:v>
      </x:c>
      <x:c r="I211" s="63" t="n">
        <x:f>IF(B211&lt;$I$8,0,(INDEX('主线调参'!$E$11:$E$62,$AV211)+(INDEX('主线调参'!$E$11:$E$62,$AV211+1)-INDEX('主线调参'!$E$11:$E$62,$AV211))*$AW211)*'参数说明'!$E$27)</x:f>
        <x:v>0.5480778335738752</x:v>
      </x:c>
      <x:c r="J211" s="63" t="n">
        <x:f>IF(B211&lt;$J$8,0,(INDEX('主线调参'!$F$11:$F$62,$AV211)+(INDEX('主线调参'!$F$11:$F$62,$AV211+1)-INDEX('主线调参'!$F$11:$F$62,$AV211))*$AW211)*'参数说明'!$F$27)</x:f>
        <x:v>0.5186242655447553</x:v>
      </x:c>
      <x:c r="K211" s="63" t="n">
        <x:f>IF(B211&lt;$K$8,0,(INDEX('主线调参'!$G$11:$G$62,$AV211)+(INDEX('主线调参'!$G$11:$G$62,$AV211+1)-INDEX('主线调参'!$G$11:$G$62,$AV211))*$AW211)*'参数说明'!$G$27)</x:f>
        <x:v>0.5148825770983821</x:v>
      </x:c>
      <x:c r="L211" s="63" t="n">
        <x:f>IF(B211&lt;$L$8,0,(INDEX('主线调参'!$H$11:$H$62,$AV211)+(INDEX('主线调参'!$H$11:$H$62,$AV211+1)-INDEX('主线调参'!$H$11:$H$62,$AV211))*$AW211)*'参数说明'!$H$27)</x:f>
        <x:v>0.6216037974089033</x:v>
      </x:c>
      <x:c r="M211" s="59" t="n">
        <x:f>E211*'模块规划'!$F$10+G211*'模块规划'!$F$11+H211*'模块规划'!$F$13</x:f>
        <x:v>4850.351784871913</x:v>
      </x:c>
      <x:c r="N211" s="59" t="n">
        <x:f>I211*'模块规划'!$F$15+J211*'模块规划'!$F$17+K211*'模块规划'!$F$16+L211*'模块规划'!$F$18</x:f>
        <x:v>15768.179773673364</x:v>
      </x:c>
      <x:c r="O211" s="59" t="n">
        <x:f>1+O$9*SUMPRODUCT($H$10:$L$10,H211:L211)/SUM($H$10:$L$10)</x:f>
        <x:v>3.0726369658564208</x:v>
      </x:c>
      <x:c r="P211" s="59" t="n">
        <x:f>M211*O211+N211</x:f>
        <x:v>30671.549965278475</x:v>
      </x:c>
      <x:c r="Q211" s="59" t="n">
        <x:f>P211/(P211+'_曲线基线'!$L$2)</x:f>
        <x:v>0.5610148237018662</x:v>
      </x:c>
      <x:c r="R211" s="59" t="n">
        <x:f>E211*'模块规划'!$E$10+G211*'模块规划'!$E$11+H211*'模块规划'!$E$13</x:f>
        <x:v>7275.52767730787</x:v>
      </x:c>
      <x:c r="S211" s="59" t="n">
        <x:f>I211*'模块规划'!$E$15+J211*'模块规划'!$E$17+K211*'模块规划'!$E$16+L211*'模块规划'!$E$18</x:f>
        <x:v>23652.269660510043</x:v>
      </x:c>
      <x:c r="T211" s="59" t="n">
        <x:f>1+T$9*SUMPRODUCT($H$10:$L$10,H211:L211)/SUM($H$10:$L$10)</x:f>
        <x:v>3.0726369658564208</x:v>
      </x:c>
      <x:c r="U211" s="59" t="n">
        <x:f>R211*T211+S211</x:f>
        <x:v>46007.32494791771</x:v>
      </x:c>
      <x:c r="V211" s="59" t="n">
        <x:f>V$8+(V$9-V$8)*H211</x:f>
        <x:v>0.8875640596661396</x:v>
      </x:c>
      <x:c r="W211" s="59" t="n">
        <x:f>IF(B211&lt;$H$8,0,W$8+(W$9-W$8)*H211)</x:f>
        <x:v>0.25008541288818614</x:v>
      </x:c>
      <x:c r="X211" s="59" t="n">
        <x:f>X$8+(X$9-X$8)*H211</x:f>
        <x:v>0.44693372136062803</x:v>
      </x:c>
      <x:c r="Y211" s="59" t="n">
        <x:f>Y$8+(Y$9-Y$8)*G211</x:f>
        <x:v>1</x:v>
      </x:c>
      <x:c r="Z211" s="59" t="n">
        <x:f>Z$8+(Z$9-Z$8)*H211</x:f>
        <x:v>1</x:v>
      </x:c>
      <x:c r="AA211" s="59" t="n">
        <x:f>AA$8+(AA$9-AA$8)*I211</x:f>
        <x:v>1</x:v>
      </x:c>
      <x:c r="AB211" s="59" t="n">
        <x:f>AB$8+(AB$9-AB$8)*J211</x:f>
        <x:v>1</x:v>
      </x:c>
      <x:c r="AC211" s="59" t="n">
        <x:f>AC$8+(AC$9-AC$8)*MAX(K211,L211)</x:f>
        <x:v>1</x:v>
      </x:c>
      <x:c r="AD211" s="59" t="n">
        <x:f>(V211*AE211+W211*AF211+X211*AG211)*PRODUCT(Y211:AC211)</x:f>
        <x:v>1.7752229828982777</x:v>
      </x:c>
      <x:c r="AE211" s="59" t="n">
        <x:f>1+AE$9*($H$10*H211+$I$10*I211+$J$10*J211+$K$10*K211+$L$10*L211)</x:f>
        <x:v>1</x:v>
      </x:c>
      <x:c r="AF211" s="59" t="n">
        <x:f>1+AF$9*($H$10*H211+$I$10*I211+$J$10*J211+$K$10*K211+$L$10*L211)</x:f>
        <x:v>1.1829290925330769</x:v>
      </x:c>
      <x:c r="AG211" s="59" t="n">
        <x:f>1+AG$9*($H$10*H211+$I$10*I211+$J$10*J211+$K$10*K211+$L$10*L211)</x:f>
        <x:v>1.3241910028780666</x:v>
      </x:c>
      <x:c r="AH211" s="59" t="n">
        <x:f>MIN(1,'_曲线基线'!$L$3+AH$9*($H$10*H211+$I$10*I211+$J$10*J211+$K$10*K211+$L$10*L211))</x:f>
        <x:v>0.4661636855127497</x:v>
      </x:c>
      <x:c r="AI211" s="59" t="n">
        <x:f>'_曲线基线'!$L$4+AI$9*($H$10*H211+$I$10*I211+$J$10*J211+$K$10*K211+$L$10*L211)</x:f>
        <x:v>3.1593131239283743</x:v>
      </x:c>
      <x:c r="AJ211" s="59" t="n">
        <x:f>1+AJ$9*($H$10*H211+$I$10*I211+$J$10*J211+$K$10*K211+$L$10*L211)</x:f>
        <x:v>1.9512312811719994</x:v>
      </x:c>
      <x:c r="AK211" s="59" t="n">
        <x:f>(1+AH211*(AI211-1))*AJ211</x:f>
        <x:v>3.91532774048066</x:v>
      </x:c>
      <x:c r="AL211" s="59" t="n">
        <x:f>U211*AD211*AK211*F211</x:f>
        <x:v>1598887.9149853196</x:v>
      </x:c>
      <x:c r="AM211" s="59" t="n">
        <x:f>IF($B211&lt;AM$8,0,AM$3+(AM$4-AM$3)*(POWER(AM$5,$B211-AM$8)-1)/(POWER(AM$5,$C$5-AM$8)-1))</x:f>
        <x:v>43.38178405957347</x:v>
      </x:c>
      <x:c r="AN211" s="59" t="n">
        <x:f>(((E211*'模块规划'!$D$10+G211*'模块规划'!$D$11+H211*'模块规划'!$D$13)*(1+'模块规划'!$G$14*H211)+(I211*'模块规划'!$D$15+J211*'模块规划'!$D$17+K211*'模块规划'!$D$16+L211*'模块规划'!$D$18))*(1+'模块规划'!$J$17*J211))*F211/(1-Q211)</x:f>
        <x:v>2157149.2054185513</x:v>
      </x:c>
      <x:c r="AO211" s="59" t="n">
        <x:f>AL211*AM211</x:f>
        <x:v>69362610.2633548</x:v>
      </x:c>
      <x:c r="AP211" s="61" t="n">
        <x:f>IF(AO211="","",INDEX('_曲线基线'!$A$3:$A$502,MIN(ROWS('_曲线基线'!$A$3:$A$502),COUNTIF('_曲线基线'!$E$3:$E$502,"&lt;"&amp;AO211)+1)))</x:f>
        <x:v>265</x:v>
      </x:c>
      <x:c r="AQ211" s="61" t="n">
        <x:f>IF(B211&lt;=2,1,IF(B211&lt;=6,2,IF(B211&lt;=9,3,IF(B211&lt;=19,4,5))))</x:f>
        <x:v>5</x:v>
      </x:c>
      <x:c r="AR211" s="59" t="n">
        <x:f>AN211*(1-Q211)/F211*$AS$3+U211*$AS$4+P211*$AS$5</x:f>
        <x:v>14883.204135035796</x:v>
      </x:c>
      <x:c r="AS211" s="59" t="n">
        <x:f>1+AH211*$AS$6+AI211*$AS$7+(AJ211-1)*$AS$8+($H$10*H211+$I$10*I211+$J$10*J211+$K$10*K211+$L$10*L211)*$AU$3*$AS$9+($H$10*H211+$I$10*I211+$J$10*J211+$K$10*K211+$L$10*L211)*$AU$4*$AS$10</x:f>
        <x:v>15.911801132032732</x:v>
      </x:c>
      <x:c r="AT211" s="60" t="n">
        <x:f>ROUND(AR211*AS211,0)</x:f>
        <x:v>236819</x:v>
      </x:c>
      <x:c r="AU211" s="60" t="n">
        <x:f>ROUND(AT211*F211,0)</x:f>
        <x:v>1184095</x:v>
      </x:c>
      <x:c r="AV211" s="60" t="n">
        <x:f>MIN(MATCH(B211,'主线调参'!$M$11:$M$62,1),ROWS('主线调参'!$M$11:$M$62)-1)</x:f>
        <x:v>41</x:v>
      </x:c>
      <x:c r="AW211" s="62" t="n">
        <x:f>(B211-INDEX('主线调参'!$M$11:$M$62,AV211))/(INDEX('主线调参'!$M$11:$M$62,AV211+1)-INDEX('主线调参'!$M$11:$M$62,AV211))</x:f>
        <x:v>0.7142857142857143</x:v>
      </x:c>
      <x:c r="AX211" s="60" t="n">
        <x:f>IF(AU211=0,0,ROUND(AU211,2-INT(LOG10(ABS(AU211)))))</x:f>
        <x:v>1180000</x:v>
      </x:c>
      <x:c r="AY211" s="62" t="n">
        <x:f>AU211/AU210-1</x:f>
        <x:v>0.005135627246837027</x:v>
      </x:c>
    </x:row>
    <x:row r="212" ht="25" customHeight="1">
      <x:c r="A212" s="40" t="str">
        <x:f>'调前玩家曲线'!A212</x:f>
      </x:c>
      <x:c r="B212" s="40" t="n">
        <x:f>'调前玩家曲线'!B212</x:f>
        <x:v>201</x:v>
      </x:c>
      <x:c r="C212" s="40" t="n">
        <x:f>'调前玩家曲线'!C212</x:f>
        <x:v>14</x:v>
      </x:c>
      <x:c r="D212" s="40" t="n">
        <x:f>'调前玩家曲线'!D212</x:f>
        <x:v>12</x:v>
      </x:c>
      <x:c r="E212" s="40" t="n">
        <x:f>'调前玩家曲线'!E212</x:f>
        <x:v>1</x:v>
      </x:c>
      <x:c r="F212" s="40" t="n">
        <x:f>'调前玩家曲线'!F212</x:f>
        <x:v>5</x:v>
      </x:c>
      <x:c r="G212" s="63" t="n">
        <x:f>IF(B212&lt;$G$8,0,(INDEX('主线调参'!$C$11:$C$62,$AV212)+(INDEX('主线调参'!$C$11:$C$62,$AV212+1)-INDEX('主线调参'!$C$11:$C$62,$AV212))*$AW212)*'参数说明'!$C$27)</x:f>
        <x:v>0.8036250289246197</x:v>
      </x:c>
      <x:c r="H212" s="63" t="n">
        <x:f>IF(B212&lt;$H$8,0,(INDEX('主线调参'!$D$11:$D$62,$AV212)+(INDEX('主线调参'!$D$11:$D$62,$AV212+1)-INDEX('主线调参'!$D$11:$D$62,$AV212))*$AW212)*'参数说明'!$D$27)</x:f>
        <x:v>0.6263045551378451</x:v>
      </x:c>
      <x:c r="I212" s="63" t="n">
        <x:f>IF(B212&lt;$I$8,0,(INDEX('主线调参'!$E$11:$E$62,$AV212)+(INDEX('主线调参'!$E$11:$E$62,$AV212+1)-INDEX('主线调参'!$E$11:$E$62,$AV212))*$AW212)*'参数说明'!$E$27)</x:f>
        <x:v>0.5497391583683597</x:v>
      </x:c>
      <x:c r="J212" s="63" t="n">
        <x:f>IF(B212&lt;$J$8,0,(INDEX('主线调参'!$F$11:$F$62,$AV212)+(INDEX('主线调参'!$F$11:$F$62,$AV212+1)-INDEX('主线调参'!$F$11:$F$62,$AV212))*$AW212)*'参数说明'!$F$27)</x:f>
        <x:v>0.5198408141182124</x:v>
      </x:c>
      <x:c r="K212" s="63" t="n">
        <x:f>IF(B212&lt;$K$8,0,(INDEX('主线调参'!$G$11:$G$62,$AV212)+(INDEX('主线调参'!$G$11:$G$62,$AV212+1)-INDEX('主线调参'!$G$11:$G$62,$AV212))*$AW212)*'参数说明'!$G$27)</x:f>
        <x:v>0.5173720208343703</x:v>
      </x:c>
      <x:c r="L212" s="63" t="n">
        <x:f>IF(B212&lt;$L$8,0,(INDEX('主线调参'!$H$11:$H$62,$AV212)+(INDEX('主线调参'!$H$11:$H$62,$AV212+1)-INDEX('主线调参'!$H$11:$H$62,$AV212))*$AW212)*'参数说明'!$H$27)</x:f>
        <x:v>0.6227689858048444</x:v>
      </x:c>
      <x:c r="M212" s="59" t="n">
        <x:f>E212*'模块规划'!$F$10+G212*'模块规划'!$F$11+H212*'模块规划'!$F$13</x:f>
        <x:v>4857.400138838175</x:v>
      </x:c>
      <x:c r="N212" s="59" t="n">
        <x:f>I212*'模块规划'!$F$15+J212*'模块规划'!$F$17+K212*'模块规划'!$F$16+L212*'模块规划'!$F$18</x:f>
        <x:v>15814.398462159446</x:v>
      </x:c>
      <x:c r="O212" s="59" t="n">
        <x:f>1+O$9*SUMPRODUCT($H$10:$L$10,H212:L212)/SUM($H$10:$L$10)</x:f>
        <x:v>3.0782054140298136</x:v>
      </x:c>
      <x:c r="P212" s="59" t="n">
        <x:f>M212*O212+N212</x:f>
        <x:v>30766.473867640285</x:v>
      </x:c>
      <x:c r="Q212" s="59" t="n">
        <x:f>P212/(P212+'_曲线基线'!$L$2)</x:f>
        <x:v>0.5617756940495522</x:v>
      </x:c>
      <x:c r="R212" s="59" t="n">
        <x:f>E212*'模块规划'!$E$10+G212*'模块规划'!$E$11+H212*'模块规划'!$E$13</x:f>
        <x:v>7286.100208257262</x:v>
      </x:c>
      <x:c r="S212" s="59" t="n">
        <x:f>I212*'模块规划'!$E$15+J212*'模块规划'!$E$17+K212*'模块规划'!$E$16+L212*'模块规划'!$E$18</x:f>
        <x:v>23721.59769323917</x:v>
      </x:c>
      <x:c r="T212" s="59" t="n">
        <x:f>1+T$9*SUMPRODUCT($H$10:$L$10,H212:L212)/SUM($H$10:$L$10)</x:f>
        <x:v>3.0782054140298136</x:v>
      </x:c>
      <x:c r="U212" s="59" t="n">
        <x:f>R212*T212+S212</x:f>
        <x:v>46149.71080146043</x:v>
      </x:c>
      <x:c r="V212" s="59" t="n">
        <x:f>V$8+(V$9-V$8)*H212</x:f>
        <x:v>0.8878913665413535</x:v>
      </x:c>
      <x:c r="W212" s="59" t="n">
        <x:f>IF(B212&lt;$H$8,0,W$8+(W$9-W$8)*H212)</x:f>
        <x:v>0.25052182205513807</x:v>
      </x:c>
      <x:c r="X212" s="59" t="n">
        <x:f>X$8+(X$9-X$8)*H212</x:f>
        <x:v>0.44723375266290744</x:v>
      </x:c>
      <x:c r="Y212" s="59" t="n">
        <x:f>Y$8+(Y$9-Y$8)*G212</x:f>
        <x:v>1</x:v>
      </x:c>
      <x:c r="Z212" s="59" t="n">
        <x:f>Z$8+(Z$9-Z$8)*H212</x:f>
        <x:v>1</x:v>
      </x:c>
      <x:c r="AA212" s="59" t="n">
        <x:f>AA$8+(AA$9-AA$8)*I212</x:f>
        <x:v>1</x:v>
      </x:c>
      <x:c r="AB212" s="59" t="n">
        <x:f>AB$8+(AB$9-AB$8)*J212</x:f>
        <x:v>1</x:v>
      </x:c>
      <x:c r="AC212" s="59" t="n">
        <x:f>AC$8+(AC$9-AC$8)*MAX(K212,L212)</x:f>
        <x:v>1</x:v>
      </x:c>
      <x:c r="AD212" s="59" t="n">
        <x:f>(V212*AE212+W212*AF212+X212*AG212)*PRODUCT(Y212:AC212)</x:f>
        <x:v>1.7769764876397431</x:v>
      </x:c>
      <x:c r="AE212" s="59" t="n">
        <x:f>1+AE$9*($H$10*H212+$I$10*I212+$J$10*J212+$K$10*K212+$L$10*L212)</x:f>
        <x:v>1</x:v>
      </x:c>
      <x:c r="AF212" s="59" t="n">
        <x:f>1+AF$9*($H$10*H212+$I$10*I212+$J$10*J212+$K$10*K212+$L$10*L212)</x:f>
        <x:v>1.1834205588091091</x:v>
      </x:c>
      <x:c r="AG212" s="59" t="n">
        <x:f>1+AG$9*($H$10*H212+$I$10*I212+$J$10*J212+$K$10*K212+$L$10*L212)</x:f>
        <x:v>1.3250619903339238</x:v>
      </x:c>
      <x:c r="AH212" s="59" t="n">
        <x:f>MIN(1,'_曲线基线'!$L$3+AH$9*($H$10*H212+$I$10*I212+$J$10*J212+$K$10*K212+$L$10*L212))</x:f>
        <x:v>0.467281771290723</x:v>
      </x:c>
      <x:c r="AI212" s="59" t="n">
        <x:f>'_曲线基线'!$L$4+AI$9*($H$10*H212+$I$10*I212+$J$10*J212+$K$10*K212+$L$10*L212)</x:f>
        <x:v>3.1624277914527283</x:v>
      </x:c>
      <x:c r="AJ212" s="59" t="n">
        <x:f>1+AJ$9*($H$10*H212+$I$10*I212+$J$10*J212+$K$10*K212+$L$10*L212)</x:f>
        <x:v>1.953786905807367</x:v>
      </x:c>
      <x:c r="AK212" s="59" t="n">
        <x:f>(1+AH212*(AI212-1))*AJ212</x:f>
        <x:v>3.9280164572687304</x:v>
      </x:c>
      <x:c r="AL212" s="59" t="n">
        <x:f>U212*AD212*AK212*F212</x:f>
        <x:v>1610623.265801529</x:v>
      </x:c>
      <x:c r="AM212" s="59" t="n">
        <x:f>IF($B212&lt;AM$8,0,AM$3+(AM$4-AM$3)*(POWER(AM$5,$B212-AM$8)-1)/(POWER(AM$5,$C$5-AM$8)-1))</x:f>
        <x:v>43.47902654009107</x:v>
      </x:c>
      <x:c r="AN212" s="59" t="n">
        <x:f>(((E212*'模块规划'!$D$10+G212*'模块规划'!$D$11+H212*'模块规划'!$D$13)*(1+'模块规划'!$G$14*H212)+(I212*'模块规划'!$D$15+J212*'模块规划'!$D$17+K212*'模块规划'!$D$16+L212*'模块规划'!$D$18))*(1+'模块规划'!$J$17*J212))*F212/(1-Q212)</x:f>
        <x:v>2168582.6994051556</x:v>
      </x:c>
      <x:c r="AO212" s="59" t="n">
        <x:f>AL212*AM212</x:f>
        <x:v>70028331.71987283</x:v>
      </x:c>
      <x:c r="AP212" s="61" t="n">
        <x:f>IF(AO212="","",INDEX('_曲线基线'!$A$3:$A$502,MIN(ROWS('_曲线基线'!$A$3:$A$502),COUNTIF('_曲线基线'!$E$3:$E$502,"&lt;"&amp;AO212)+1)))</x:f>
        <x:v>266</x:v>
      </x:c>
      <x:c r="AQ212" s="61" t="n">
        <x:f>IF(B212&lt;=2,1,IF(B212&lt;=6,2,IF(B212&lt;=9,3,IF(B212&lt;=19,4,5))))</x:f>
        <x:v>5</x:v>
      </x:c>
      <x:c r="AR212" s="59" t="n">
        <x:f>AN212*(1-Q212)/F212*$AS$3+U212*$AS$4+P212*$AS$5</x:f>
        <x:v>14931.896050349924</x:v>
      </x:c>
      <x:c r="AS212" s="59" t="n">
        <x:f>1+AH212*$AS$6+AI212*$AS$7+(AJ212-1)*$AS$8+($H$10*H212+$I$10*I212+$J$10*J212+$K$10*K212+$L$10*L212)*$AU$3*$AS$9+($H$10*H212+$I$10*I212+$J$10*J212+$K$10*K212+$L$10*L212)*$AU$4*$AS$10</x:f>
        <x:v>15.941166800454212</x:v>
      </x:c>
      <x:c r="AT212" s="60" t="n">
        <x:f>ROUND(AR212*AS212,0)</x:f>
        <x:v>238032</x:v>
      </x:c>
      <x:c r="AU212" s="60" t="n">
        <x:f>ROUND(AT212*F212,0)</x:f>
        <x:v>1190160</x:v>
      </x:c>
      <x:c r="AV212" s="60" t="n">
        <x:f>MIN(MATCH(B212,'主线调参'!$M$11:$M$62,1),ROWS('主线调参'!$M$11:$M$62)-1)</x:f>
        <x:v>41</x:v>
      </x:c>
      <x:c r="AW212" s="62" t="n">
        <x:f>(B212-INDEX('主线调参'!$M$11:$M$62,AV212))/(INDEX('主线调参'!$M$11:$M$62,AV212+1)-INDEX('主线调参'!$M$11:$M$62,AV212))</x:f>
        <x:v>0.7857142857142857</x:v>
      </x:c>
      <x:c r="AX212" s="60" t="n">
        <x:f>IF(AU212=0,0,ROUND(AU212,2-INT(LOG10(ABS(AU212)))))</x:f>
        <x:v>1190000</x:v>
      </x:c>
      <x:c r="AY212" s="62" t="n">
        <x:f>AU212/AU211-1</x:f>
        <x:v>0.005122055240500023</x:v>
      </x:c>
    </x:row>
    <x:row r="213" ht="25" customHeight="1">
      <x:c r="A213" s="40" t="str">
        <x:f>'调前玩家曲线'!A213</x:f>
      </x:c>
      <x:c r="B213" s="40" t="n">
        <x:f>'调前玩家曲线'!B213</x:f>
        <x:v>202</x:v>
      </x:c>
      <x:c r="C213" s="40" t="n">
        <x:f>'调前玩家曲线'!C213</x:f>
        <x:v>14</x:v>
      </x:c>
      <x:c r="D213" s="40" t="n">
        <x:f>'调前玩家曲线'!D213</x:f>
        <x:v>13</x:v>
      </x:c>
      <x:c r="E213" s="40" t="n">
        <x:f>'调前玩家曲线'!E213</x:f>
        <x:v>1</x:v>
      </x:c>
      <x:c r="F213" s="40" t="n">
        <x:f>'调前玩家曲线'!F213</x:f>
        <x:v>5</x:v>
      </x:c>
      <x:c r="G213" s="63" t="n">
        <x:f>IF(B213&lt;$G$8,0,(INDEX('主线调参'!$C$11:$C$62,$AV213)+(INDEX('主线调参'!$C$11:$C$62,$AV213+1)-INDEX('主线调参'!$C$11:$C$62,$AV213))*$AW213)*'参数说明'!$C$27)</x:f>
        <x:v>0.8050934360009242</x:v>
      </x:c>
      <x:c r="H213" s="63" t="n">
        <x:f>IF(B213&lt;$H$8,0,(INDEX('主线调参'!$D$11:$D$62,$AV213)+(INDEX('主线调参'!$D$11:$D$62,$AV213+1)-INDEX('主线调参'!$D$11:$D$62,$AV213))*$AW213)*'参数说明'!$D$27)</x:f>
        <x:v>0.6273955780552248</x:v>
      </x:c>
      <x:c r="I213" s="63" t="n">
        <x:f>IF(B213&lt;$I$8,0,(INDEX('主线调参'!$E$11:$E$62,$AV213)+(INDEX('主线调参'!$E$11:$E$62,$AV213+1)-INDEX('主线调参'!$E$11:$E$62,$AV213))*$AW213)*'参数说明'!$E$27)</x:f>
        <x:v>0.5514004831628442</x:v>
      </x:c>
      <x:c r="J213" s="63" t="n">
        <x:f>IF(B213&lt;$J$8,0,(INDEX('主线调参'!$F$11:$F$62,$AV213)+(INDEX('主线调参'!$F$11:$F$62,$AV213+1)-INDEX('主线调参'!$F$11:$F$62,$AV213))*$AW213)*'参数说明'!$F$27)</x:f>
        <x:v>0.5210573626916695</x:v>
      </x:c>
      <x:c r="K213" s="63" t="n">
        <x:f>IF(B213&lt;$K$8,0,(INDEX('主线调参'!$G$11:$G$62,$AV213)+(INDEX('主线调参'!$G$11:$G$62,$AV213+1)-INDEX('主线调参'!$G$11:$G$62,$AV213))*$AW213)*'参数说明'!$G$27)</x:f>
        <x:v>0.5198614645703586</x:v>
      </x:c>
      <x:c r="L213" s="63" t="n">
        <x:f>IF(B213&lt;$L$8,0,(INDEX('主线调参'!$H$11:$H$62,$AV213)+(INDEX('主线调参'!$H$11:$H$62,$AV213+1)-INDEX('主线调参'!$H$11:$H$62,$AV213))*$AW213)*'参数说明'!$H$27)</x:f>
        <x:v>0.6239341742007857</x:v>
      </x:c>
      <x:c r="M213" s="59" t="n">
        <x:f>E213*'模块规划'!$F$10+G213*'模块规划'!$F$11+H213*'模块规划'!$F$13</x:f>
        <x:v>4864.448492804437</x:v>
      </x:c>
      <x:c r="N213" s="59" t="n">
        <x:f>I213*'模块规划'!$F$15+J213*'模块规划'!$F$17+K213*'模块规划'!$F$16+L213*'模块规划'!$F$18</x:f>
        <x:v>15860.617150645528</x:v>
      </x:c>
      <x:c r="O213" s="59" t="n">
        <x:f>1+O$9*SUMPRODUCT($H$10:$L$10,H213:L213)/SUM($H$10:$L$10)</x:f>
        <x:v>3.083773862203206</x:v>
      </x:c>
      <x:c r="P213" s="59" t="n">
        <x:f>M213*O213+N213</x:f>
        <x:v>30861.47626678963</x:v>
      </x:c>
      <x:c r="Q213" s="59" t="n">
        <x:f>P213/(P213+'_曲线基线'!$L$2)</x:f>
        <x:v>0.5625345573405871</x:v>
      </x:c>
      <x:c r="R213" s="59" t="n">
        <x:f>E213*'模块规划'!$E$10+G213*'模块规划'!$E$11+H213*'模块规划'!$E$13</x:f>
        <x:v>7296.672739206654</x:v>
      </x:c>
      <x:c r="S213" s="59" t="n">
        <x:f>I213*'模块规划'!$E$15+J213*'模块规划'!$E$17+K213*'模块规划'!$E$16+L213*'模块规划'!$E$18</x:f>
        <x:v>23790.925725968293</x:v>
      </x:c>
      <x:c r="T213" s="59" t="n">
        <x:f>1+T$9*SUMPRODUCT($H$10:$L$10,H213:L213)/SUM($H$10:$L$10)</x:f>
        <x:v>3.083773862203206</x:v>
      </x:c>
      <x:c r="U213" s="59" t="n">
        <x:f>R213*T213+S213</x:f>
        <x:v>46292.21440018444</x:v>
      </x:c>
      <x:c r="V213" s="59" t="n">
        <x:f>V$8+(V$9-V$8)*H213</x:f>
        <x:v>0.8882186734165675</x:v>
      </x:c>
      <x:c r="W213" s="59" t="n">
        <x:f>IF(B213&lt;$H$8,0,W$8+(W$9-W$8)*H213)</x:f>
        <x:v>0.25095823122208993</x:v>
      </x:c>
      <x:c r="X213" s="59" t="n">
        <x:f>X$8+(X$9-X$8)*H213</x:f>
        <x:v>0.44753378396518684</x:v>
      </x:c>
      <x:c r="Y213" s="59" t="n">
        <x:f>Y$8+(Y$9-Y$8)*G213</x:f>
        <x:v>1</x:v>
      </x:c>
      <x:c r="Z213" s="59" t="n">
        <x:f>Z$8+(Z$9-Z$8)*H213</x:f>
        <x:v>1</x:v>
      </x:c>
      <x:c r="AA213" s="59" t="n">
        <x:f>AA$8+(AA$9-AA$8)*I213</x:f>
        <x:v>1</x:v>
      </x:c>
      <x:c r="AB213" s="59" t="n">
        <x:f>AB$8+(AB$9-AB$8)*J213</x:f>
        <x:v>1</x:v>
      </x:c>
      <x:c r="AC213" s="59" t="n">
        <x:f>AC$8+(AC$9-AC$8)*MAX(K213,L213)</x:f>
        <x:v>1</x:v>
      </x:c>
      <x:c r="AD213" s="59" t="n">
        <x:f>(V213*AE213+W213*AF213+X213*AG213)*PRODUCT(Y213:AC213)</x:f>
        <x:v>1.778730943988986</x:v>
      </x:c>
      <x:c r="AE213" s="59" t="n">
        <x:f>1+AE$9*($H$10*H213+$I$10*I213+$J$10*J213+$K$10*K213+$L$10*L213)</x:f>
        <x:v>1</x:v>
      </x:c>
      <x:c r="AF213" s="59" t="n">
        <x:f>1+AF$9*($H$10*H213+$I$10*I213+$J$10*J213+$K$10*K213+$L$10*L213)</x:f>
        <x:v>1.1839120250851414</x:v>
      </x:c>
      <x:c r="AG213" s="59" t="n">
        <x:f>1+AG$9*($H$10*H213+$I$10*I213+$J$10*J213+$K$10*K213+$L$10*L213)</x:f>
        <x:v>1.325932977789781</x:v>
      </x:c>
      <x:c r="AH213" s="59" t="n">
        <x:f>MIN(1,'_曲线基线'!$L$3+AH$9*($H$10*H213+$I$10*I213+$J$10*J213+$K$10*K213+$L$10*L213))</x:f>
        <x:v>0.4683998570686963</x:v>
      </x:c>
      <x:c r="AI213" s="59" t="n">
        <x:f>'_曲线基线'!$L$4+AI$9*($H$10*H213+$I$10*I213+$J$10*J213+$K$10*K213+$L$10*L213)</x:f>
        <x:v>3.1655424589770824</x:v>
      </x:c>
      <x:c r="AJ213" s="59" t="n">
        <x:f>1+AJ$9*($H$10*H213+$I$10*I213+$J$10*J213+$K$10*K213+$L$10*L213)</x:f>
        <x:v>1.9563425304427344</x:v>
      </x:c>
      <x:c r="AK213" s="59" t="n">
        <x:f>(1+AH213*(AI213-1))*AJ213</x:f>
        <x:v>3.9407385789746963</x:v>
      </x:c>
      <x:c r="AL213" s="59" t="n">
        <x:f>U213*AD213*AK213*F213</x:f>
        <x:v>1622429.5442343857</x:v>
      </x:c>
      <x:c r="AM213" s="59" t="n">
        <x:f>IF($B213&lt;AM$8,0,AM$3+(AM$4-AM$3)*(POWER(AM$5,$B213-AM$8)-1)/(POWER(AM$5,$C$5-AM$8)-1))</x:f>
        <x:v>43.57724144541385</x:v>
      </x:c>
      <x:c r="AN213" s="59" t="n">
        <x:f>(((E213*'模块规划'!$D$10+G213*'模块规划'!$D$11+H213*'模块规划'!$D$13)*(1+'模块规划'!$G$14*H213)+(I213*'模块规划'!$D$15+J213*'模块规划'!$D$17+K213*'模块规划'!$D$16+L213*'模块规划'!$D$18))*(1+'模块规划'!$J$17*J213))*F213/(1-Q213)</x:f>
        <x:v>2180057.5945392996</x:v>
      </x:c>
      <x:c r="AO213" s="59" t="n">
        <x:f>AL213*AM213</x:f>
        <x:v>70701003.97727457</x:v>
      </x:c>
      <x:c r="AP213" s="61" t="n">
        <x:f>IF(AO213="","",INDEX('_曲线基线'!$A$3:$A$502,MIN(ROWS('_曲线基线'!$A$3:$A$502),COUNTIF('_曲线基线'!$E$3:$E$502,"&lt;"&amp;AO213)+1)))</x:f>
        <x:v>267</x:v>
      </x:c>
      <x:c r="AQ213" s="61" t="n">
        <x:f>IF(B213&lt;=2,1,IF(B213&lt;=6,2,IF(B213&lt;=9,3,IF(B213&lt;=19,4,5))))</x:f>
        <x:v>5</x:v>
      </x:c>
      <x:c r="AR213" s="59" t="n">
        <x:f>AN213*(1-Q213)/F213*$AS$3+U213*$AS$4+P213*$AS$5</x:f>
        <x:v>14980.642043745787</x:v>
      </x:c>
      <x:c r="AS213" s="59" t="n">
        <x:f>1+AH213*$AS$6+AI213*$AS$7+(AJ213-1)*$AS$8+($H$10*H213+$I$10*I213+$J$10*J213+$K$10*K213+$L$10*L213)*$AU$3*$AS$9+($H$10*H213+$I$10*I213+$J$10*J213+$K$10*K213+$L$10*L213)*$AU$4*$AS$10</x:f>
        <x:v>15.970532468875692</x:v>
      </x:c>
      <x:c r="AT213" s="60" t="n">
        <x:f>ROUND(AR213*AS213,0)</x:f>
        <x:v>239249</x:v>
      </x:c>
      <x:c r="AU213" s="60" t="n">
        <x:f>ROUND(AT213*F213,0)</x:f>
        <x:v>1196245</x:v>
      </x:c>
      <x:c r="AV213" s="60" t="n">
        <x:f>MIN(MATCH(B213,'主线调参'!$M$11:$M$62,1),ROWS('主线调参'!$M$11:$M$62)-1)</x:f>
        <x:v>41</x:v>
      </x:c>
      <x:c r="AW213" s="62" t="n">
        <x:f>(B213-INDEX('主线调参'!$M$11:$M$62,AV213))/(INDEX('主线调参'!$M$11:$M$62,AV213+1)-INDEX('主线调参'!$M$11:$M$62,AV213))</x:f>
        <x:v>0.8571428571428571</x:v>
      </x:c>
      <x:c r="AX213" s="60" t="n">
        <x:f>IF(AU213=0,0,ROUND(AU213,2-INT(LOG10(ABS(AU213)))))</x:f>
        <x:v>1200000</x:v>
      </x:c>
      <x:c r="AY213" s="62" t="n">
        <x:f>AU213/AU212-1</x:f>
        <x:v>0.005112757948511071</x:v>
      </x:c>
    </x:row>
    <x:row r="214" ht="25" customHeight="1">
      <x:c r="A214" s="40" t="str">
        <x:f>'调前玩家曲线'!A214</x:f>
      </x:c>
      <x:c r="B214" s="40" t="n">
        <x:f>'调前玩家曲线'!B214</x:f>
        <x:v>203</x:v>
      </x:c>
      <x:c r="C214" s="40" t="n">
        <x:f>'调前玩家曲线'!C214</x:f>
        <x:v>14</x:v>
      </x:c>
      <x:c r="D214" s="40" t="n">
        <x:f>'调前玩家曲线'!D214</x:f>
        <x:v>14</x:v>
      </x:c>
      <x:c r="E214" s="40" t="n">
        <x:f>'调前玩家曲线'!E214</x:f>
        <x:v>1</x:v>
      </x:c>
      <x:c r="F214" s="40" t="n">
        <x:f>'调前玩家曲线'!F214</x:f>
        <x:v>5</x:v>
      </x:c>
      <x:c r="G214" s="63" t="n">
        <x:f>IF(B214&lt;$G$8,0,(INDEX('主线调参'!$C$11:$C$62,$AV214)+(INDEX('主线调参'!$C$11:$C$62,$AV214+1)-INDEX('主线调参'!$C$11:$C$62,$AV214))*$AW214)*'参数说明'!$C$27)</x:f>
        <x:v>0.8065618430772288</x:v>
      </x:c>
      <x:c r="H214" s="63" t="n">
        <x:f>IF(B214&lt;$H$8,0,(INDEX('主线调参'!$D$11:$D$62,$AV214)+(INDEX('主线调参'!$D$11:$D$62,$AV214+1)-INDEX('主线调参'!$D$11:$D$62,$AV214))*$AW214)*'参数说明'!$D$27)</x:f>
        <x:v>0.6284866009726047</x:v>
      </x:c>
      <x:c r="I214" s="63" t="n">
        <x:f>IF(B214&lt;$I$8,0,(INDEX('主线调参'!$E$11:$E$62,$AV214)+(INDEX('主线调参'!$E$11:$E$62,$AV214+1)-INDEX('主线调参'!$E$11:$E$62,$AV214))*$AW214)*'参数说明'!$E$27)</x:f>
        <x:v>0.5530618079573287</x:v>
      </x:c>
      <x:c r="J214" s="63" t="n">
        <x:f>IF(B214&lt;$J$8,0,(INDEX('主线调参'!$F$11:$F$62,$AV214)+(INDEX('主线调参'!$F$11:$F$62,$AV214+1)-INDEX('主线调参'!$F$11:$F$62,$AV214))*$AW214)*'参数说明'!$F$27)</x:f>
        <x:v>0.5222739112651265</x:v>
      </x:c>
      <x:c r="K214" s="63" t="n">
        <x:f>IF(B214&lt;$K$8,0,(INDEX('主线调参'!$G$11:$G$62,$AV214)+(INDEX('主线调参'!$G$11:$G$62,$AV214+1)-INDEX('主线调参'!$G$11:$G$62,$AV214))*$AW214)*'参数说明'!$G$27)</x:f>
        <x:v>0.5223509083063468</x:v>
      </x:c>
      <x:c r="L214" s="63" t="n">
        <x:f>IF(B214&lt;$L$8,0,(INDEX('主线调参'!$H$11:$H$62,$AV214)+(INDEX('主线调参'!$H$11:$H$62,$AV214+1)-INDEX('主线调参'!$H$11:$H$62,$AV214))*$AW214)*'参数说明'!$H$27)</x:f>
        <x:v>0.6250993625967268</x:v>
      </x:c>
      <x:c r="M214" s="59" t="n">
        <x:f>E214*'模块规划'!$F$10+G214*'模块规划'!$F$11+H214*'模块规划'!$F$13</x:f>
        <x:v>4871.4968467706985</x:v>
      </x:c>
      <x:c r="N214" s="59" t="n">
        <x:f>I214*'模块规划'!$F$15+J214*'模块规划'!$F$17+K214*'模块规划'!$F$16+L214*'模块规划'!$F$18</x:f>
        <x:v>15906.83583913161</x:v>
      </x:c>
      <x:c r="O214" s="59" t="n">
        <x:f>1+O$9*SUMPRODUCT($H$10:$L$10,H214:L214)/SUM($H$10:$L$10)</x:f>
        <x:v>3.089342310376599</x:v>
      </x:c>
      <x:c r="P214" s="59" t="n">
        <x:f>M214*O214+N214</x:f>
        <x:v>30956.557162726516</x:v>
      </x:c>
      <x:c r="Q214" s="59" t="n">
        <x:f>P214/(P214+'_曲线基线'!$L$2)</x:f>
        <x:v>0.5632914207319076</x:v>
      </x:c>
      <x:c r="R214" s="59" t="n">
        <x:f>E214*'模块规划'!$E$10+G214*'模块规划'!$E$11+H214*'模块规划'!$E$13</x:f>
        <x:v>7307.245270156047</x:v>
      </x:c>
      <x:c r="S214" s="59" t="n">
        <x:f>I214*'模块规划'!$E$15+J214*'模块规划'!$E$17+K214*'模块规划'!$E$16+L214*'模块规划'!$E$18</x:f>
        <x:v>23860.253758697414</x:v>
      </x:c>
      <x:c r="T214" s="59" t="n">
        <x:f>1+T$9*SUMPRODUCT($H$10:$L$10,H214:L214)/SUM($H$10:$L$10)</x:f>
        <x:v>3.089342310376599</x:v>
      </x:c>
      <x:c r="U214" s="59" t="n">
        <x:f>R214*T214+S214</x:f>
        <x:v>46434.83574408977</x:v>
      </x:c>
      <x:c r="V214" s="59" t="n">
        <x:f>V$8+(V$9-V$8)*H214</x:f>
        <x:v>0.8885459802917814</x:v>
      </x:c>
      <x:c r="W214" s="59" t="n">
        <x:f>IF(B214&lt;$H$8,0,W$8+(W$9-W$8)*H214)</x:f>
        <x:v>0.25139464038904186</x:v>
      </x:c>
      <x:c r="X214" s="59" t="n">
        <x:f>X$8+(X$9-X$8)*H214</x:f>
        <x:v>0.44783381526746635</x:v>
      </x:c>
      <x:c r="Y214" s="59" t="n">
        <x:f>Y$8+(Y$9-Y$8)*G214</x:f>
        <x:v>1</x:v>
      </x:c>
      <x:c r="Z214" s="59" t="n">
        <x:f>Z$8+(Z$9-Z$8)*H214</x:f>
        <x:v>1</x:v>
      </x:c>
      <x:c r="AA214" s="59" t="n">
        <x:f>AA$8+(AA$9-AA$8)*I214</x:f>
        <x:v>1</x:v>
      </x:c>
      <x:c r="AB214" s="59" t="n">
        <x:f>AB$8+(AB$9-AB$8)*J214</x:f>
        <x:v>1</x:v>
      </x:c>
      <x:c r="AC214" s="59" t="n">
        <x:f>AC$8+(AC$9-AC$8)*MAX(K214,L214)</x:f>
        <x:v>1</x:v>
      </x:c>
      <x:c r="AD214" s="59" t="n">
        <x:f>(V214*AE214+W214*AF214+X214*AG214)*PRODUCT(Y214:AC214)</x:f>
        <x:v>1.7804863519460064</x:v>
      </x:c>
      <x:c r="AE214" s="59" t="n">
        <x:f>1+AE$9*($H$10*H214+$I$10*I214+$J$10*J214+$K$10*K214+$L$10*L214)</x:f>
        <x:v>1</x:v>
      </x:c>
      <x:c r="AF214" s="59" t="n">
        <x:f>1+AF$9*($H$10*H214+$I$10*I214+$J$10*J214+$K$10*K214+$L$10*L214)</x:f>
        <x:v>1.1844034913611736</x:v>
      </x:c>
      <x:c r="AG214" s="59" t="n">
        <x:f>1+AG$9*($H$10*H214+$I$10*I214+$J$10*J214+$K$10*K214+$L$10*L214)</x:f>
        <x:v>1.326803965245638</x:v>
      </x:c>
      <x:c r="AH214" s="59" t="n">
        <x:f>MIN(1,'_曲线基线'!$L$3+AH$9*($H$10*H214+$I$10*I214+$J$10*J214+$K$10*K214+$L$10*L214))</x:f>
        <x:v>0.4695179428466696</x:v>
      </x:c>
      <x:c r="AI214" s="59" t="n">
        <x:f>'_曲线基线'!$L$4+AI$9*($H$10*H214+$I$10*I214+$J$10*J214+$K$10*K214+$L$10*L214)</x:f>
        <x:v>3.1686571265014365</x:v>
      </x:c>
      <x:c r="AJ214" s="59" t="n">
        <x:f>1+AJ$9*($H$10*H214+$I$10*I214+$J$10*J214+$K$10*K214+$L$10*L214)</x:f>
        <x:v>1.958898155078102</x:v>
      </x:c>
      <x:c r="AK214" s="59" t="n">
        <x:f>(1+AH214*(AI214-1))*AJ214</x:f>
        <x:v>3.953494158997801</x:v>
      </x:c>
      <x:c r="AL214" s="59" t="n">
        <x:f>U214*AD214*AK214*F214</x:f>
        <x:v>1634307.10389677</x:v>
      </x:c>
      <x:c r="AM214" s="59" t="n">
        <x:f>IF($B214&lt;AM$8,0,AM$3+(AM$4-AM$3)*(POWER(AM$5,$B214-AM$8)-1)/(POWER(AM$5,$C$5-AM$8)-1))</x:f>
        <x:v>43.67643849978985</x:v>
      </x:c>
      <x:c r="AN214" s="59" t="n">
        <x:f>(((E214*'模块规划'!$D$10+G214*'模块规划'!$D$11+H214*'模块规划'!$D$13)*(1+'模块规划'!$G$14*H214)+(I214*'模块规划'!$D$15+J214*'模块规划'!$D$17+K214*'模块规划'!$D$16+L214*'模块规划'!$D$18))*(1+'模块规划'!$J$17*J214))*F214/(1-Q214)</x:f>
        <x:v>2191573.9878230426</x:v>
      </x:c>
      <x:c r="AO214" s="59" t="n">
        <x:f>AL214*AM214</x:f>
        <x:v>71380713.71311694</x:v>
      </x:c>
      <x:c r="AP214" s="61" t="n">
        <x:f>IF(AO214="","",INDEX('_曲线基线'!$A$3:$A$502,MIN(ROWS('_曲线基线'!$A$3:$A$502),COUNTIF('_曲线基线'!$E$3:$E$502,"&lt;"&amp;AO214)+1)))</x:f>
        <x:v>267</x:v>
      </x:c>
      <x:c r="AQ214" s="61" t="n">
        <x:f>IF(B214&lt;=2,1,IF(B214&lt;=6,2,IF(B214&lt;=9,3,IF(B214&lt;=19,4,5))))</x:f>
        <x:v>5</x:v>
      </x:c>
      <x:c r="AR214" s="59" t="n">
        <x:f>AN214*(1-Q214)/F214*$AS$3+U214*$AS$4+P214*$AS$5</x:f>
        <x:v>15029.442124316603</x:v>
      </x:c>
      <x:c r="AS214" s="59" t="n">
        <x:f>1+AH214*$AS$6+AI214*$AS$7+(AJ214-1)*$AS$8+($H$10*H214+$I$10*I214+$J$10*J214+$K$10*K214+$L$10*L214)*$AU$3*$AS$9+($H$10*H214+$I$10*I214+$J$10*J214+$K$10*K214+$L$10*L214)*$AU$4*$AS$10</x:f>
        <x:v>15.999898137297171</x:v>
      </x:c>
      <x:c r="AT214" s="60" t="n">
        <x:f>ROUND(AR214*AS214,0)</x:f>
        <x:v>240470</x:v>
      </x:c>
      <x:c r="AU214" s="60" t="n">
        <x:f>ROUND(AT214*F214,0)</x:f>
        <x:v>1202350</x:v>
      </x:c>
      <x:c r="AV214" s="60" t="n">
        <x:f>MIN(MATCH(B214,'主线调参'!$M$11:$M$62,1),ROWS('主线调参'!$M$11:$M$62)-1)</x:f>
        <x:v>41</x:v>
      </x:c>
      <x:c r="AW214" s="62" t="n">
        <x:f>(B214-INDEX('主线调参'!$M$11:$M$62,AV214))/(INDEX('主线调参'!$M$11:$M$62,AV214+1)-INDEX('主线调参'!$M$11:$M$62,AV214))</x:f>
        <x:v>0.9285714285714286</x:v>
      </x:c>
      <x:c r="AX214" s="60" t="n">
        <x:f>IF(AU214=0,0,ROUND(AU214,2-INT(LOG10(ABS(AU214)))))</x:f>
        <x:v>1200000</x:v>
      </x:c>
      <x:c r="AY214" s="62" t="n">
        <x:f>AU214/AU213-1</x:f>
        <x:v>0.005103469606978495</x:v>
      </x:c>
    </x:row>
    <x:row r="215" ht="25" customHeight="1">
      <x:c r="A215" s="40" t="str">
        <x:f>'调前玩家曲线'!A215</x:f>
      </x:c>
      <x:c r="B215" s="40" t="n">
        <x:f>'调前玩家曲线'!B215</x:f>
        <x:v>204</x:v>
      </x:c>
      <x:c r="C215" s="40" t="n">
        <x:f>'调前玩家曲线'!C215</x:f>
        <x:v>14</x:v>
      </x:c>
      <x:c r="D215" s="40" t="n">
        <x:f>'调前玩家曲线'!D215</x:f>
        <x:v>15</x:v>
      </x:c>
      <x:c r="E215" s="40" t="n">
        <x:f>'调前玩家曲线'!E215</x:f>
        <x:v>1</x:v>
      </x:c>
      <x:c r="F215" s="40" t="n">
        <x:f>'调前玩家曲线'!F215</x:f>
        <x:v>5</x:v>
      </x:c>
      <x:c r="G215" s="63" t="n">
        <x:f>IF(B215&lt;$G$8,0,(INDEX('主线调参'!$C$11:$C$62,$AV215)+(INDEX('主线调参'!$C$11:$C$62,$AV215+1)-INDEX('主线调参'!$C$11:$C$62,$AV215))*$AW215)*'参数说明'!$C$27)</x:f>
        <x:v>0.8080302501535334</x:v>
      </x:c>
      <x:c r="H215" s="63" t="n">
        <x:f>IF(B215&lt;$H$8,0,(INDEX('主线调参'!$D$11:$D$62,$AV215)+(INDEX('主线调参'!$D$11:$D$62,$AV215+1)-INDEX('主线调参'!$D$11:$D$62,$AV215))*$AW215)*'参数说明'!$D$27)</x:f>
        <x:v>0.6295776238899845</x:v>
      </x:c>
      <x:c r="I215" s="63" t="n">
        <x:f>IF(B215&lt;$I$8,0,(INDEX('主线调参'!$E$11:$E$62,$AV215)+(INDEX('主线调参'!$E$11:$E$62,$AV215+1)-INDEX('主线调参'!$E$11:$E$62,$AV215))*$AW215)*'参数说明'!$E$27)</x:f>
        <x:v>0.5547231327518133</x:v>
      </x:c>
      <x:c r="J215" s="63" t="n">
        <x:f>IF(B215&lt;$J$8,0,(INDEX('主线调参'!$F$11:$F$62,$AV215)+(INDEX('主线调参'!$F$11:$F$62,$AV215+1)-INDEX('主线调参'!$F$11:$F$62,$AV215))*$AW215)*'参数说明'!$F$27)</x:f>
        <x:v>0.5234904598385834</x:v>
      </x:c>
      <x:c r="K215" s="63" t="n">
        <x:f>IF(B215&lt;$K$8,0,(INDEX('主线调参'!$G$11:$G$62,$AV215)+(INDEX('主线调参'!$G$11:$G$62,$AV215+1)-INDEX('主线调参'!$G$11:$G$62,$AV215))*$AW215)*'参数说明'!$G$27)</x:f>
        <x:v>0.524840352042335</x:v>
      </x:c>
      <x:c r="L215" s="63" t="n">
        <x:f>IF(B215&lt;$L$8,0,(INDEX('主线调参'!$H$11:$H$62,$AV215)+(INDEX('主线调参'!$H$11:$H$62,$AV215+1)-INDEX('主线调参'!$H$11:$H$62,$AV215))*$AW215)*'参数说明'!$H$27)</x:f>
        <x:v>0.626264550992668</x:v>
      </x:c>
      <x:c r="M215" s="59" t="n">
        <x:f>E215*'模块规划'!$F$10+G215*'模块规划'!$F$11+H215*'模块规划'!$F$13</x:f>
        <x:v>4878.54520073696</x:v>
      </x:c>
      <x:c r="N215" s="59" t="n">
        <x:f>I215*'模块规划'!$F$15+J215*'模块规划'!$F$17+K215*'模块规划'!$F$16+L215*'模块规划'!$F$18</x:f>
        <x:v>15953.05452761769</x:v>
      </x:c>
      <x:c r="O215" s="59" t="n">
        <x:f>1+O$9*SUMPRODUCT($H$10:$L$10,H215:L215)/SUM($H$10:$L$10)</x:f>
        <x:v>3.094910758549991</x:v>
      </x:c>
      <x:c r="P215" s="59" t="n">
        <x:f>M215*O215+N215</x:f>
        <x:v>31051.716555450934</x:v>
      </x:c>
      <x:c r="Q215" s="59" t="n">
        <x:f>P215/(P215+'_曲线基线'!$L$2)</x:f>
        <x:v>0.564046291348137</x:v>
      </x:c>
      <x:c r="R215" s="59" t="n">
        <x:f>E215*'模块规划'!$E$10+G215*'模块规划'!$E$11+H215*'模块规划'!$E$13</x:f>
        <x:v>7317.817801105441</x:v>
      </x:c>
      <x:c r="S215" s="59" t="n">
        <x:f>I215*'模块规划'!$E$15+J215*'模块规划'!$E$17+K215*'模块规划'!$E$16+L215*'模块规划'!$E$18</x:f>
        <x:v>23929.581791426535</x:v>
      </x:c>
      <x:c r="T215" s="59" t="n">
        <x:f>1+T$9*SUMPRODUCT($H$10:$L$10,H215:L215)/SUM($H$10:$L$10)</x:f>
        <x:v>3.094910758549991</x:v>
      </x:c>
      <x:c r="U215" s="59" t="n">
        <x:f>R215*T215+S215</x:f>
        <x:v>46577.574833176404</x:v>
      </x:c>
      <x:c r="V215" s="59" t="n">
        <x:f>V$8+(V$9-V$8)*H215</x:f>
        <x:v>0.8888732871669953</x:v>
      </x:c>
      <x:c r="W215" s="59" t="n">
        <x:f>IF(B215&lt;$H$8,0,W$8+(W$9-W$8)*H215)</x:f>
        <x:v>0.25183104955599384</x:v>
      </x:c>
      <x:c r="X215" s="59" t="n">
        <x:f>X$8+(X$9-X$8)*H215</x:f>
        <x:v>0.44813384656974575</x:v>
      </x:c>
      <x:c r="Y215" s="59" t="n">
        <x:f>Y$8+(Y$9-Y$8)*G215</x:f>
        <x:v>1</x:v>
      </x:c>
      <x:c r="Z215" s="59" t="n">
        <x:f>Z$8+(Z$9-Z$8)*H215</x:f>
        <x:v>1</x:v>
      </x:c>
      <x:c r="AA215" s="59" t="n">
        <x:f>AA$8+(AA$9-AA$8)*I215</x:f>
        <x:v>1</x:v>
      </x:c>
      <x:c r="AB215" s="59" t="n">
        <x:f>AB$8+(AB$9-AB$8)*J215</x:f>
        <x:v>1</x:v>
      </x:c>
      <x:c r="AC215" s="59" t="n">
        <x:f>AC$8+(AC$9-AC$8)*MAX(K215,L215)</x:f>
        <x:v>1</x:v>
      </x:c>
      <x:c r="AD215" s="59" t="n">
        <x:f>(V215*AE215+W215*AF215+X215*AG215)*PRODUCT(Y215:AC215)</x:f>
        <x:v>1.7822427115108042</x:v>
      </x:c>
      <x:c r="AE215" s="59" t="n">
        <x:f>1+AE$9*($H$10*H215+$I$10*I215+$J$10*J215+$K$10*K215+$L$10*L215)</x:f>
        <x:v>1</x:v>
      </x:c>
      <x:c r="AF215" s="59" t="n">
        <x:f>1+AF$9*($H$10*H215+$I$10*I215+$J$10*J215+$K$10*K215+$L$10*L215)</x:f>
        <x:v>1.1848949576372059</x:v>
      </x:c>
      <x:c r="AG215" s="59" t="n">
        <x:f>1+AG$9*($H$10*H215+$I$10*I215+$J$10*J215+$K$10*K215+$L$10*L215)</x:f>
        <x:v>1.327674952701495</x:v>
      </x:c>
      <x:c r="AH215" s="59" t="n">
        <x:f>MIN(1,'_曲线基线'!$L$3+AH$9*($H$10*H215+$I$10*I215+$J$10*J215+$K$10*K215+$L$10*L215))</x:f>
        <x:v>0.4706360286246429</x:v>
      </x:c>
      <x:c r="AI215" s="59" t="n">
        <x:f>'_曲线基线'!$L$4+AI$9*($H$10*H215+$I$10*I215+$J$10*J215+$K$10*K215+$L$10*L215)</x:f>
        <x:v>3.1717717940257906</x:v>
      </x:c>
      <x:c r="AJ215" s="59" t="n">
        <x:f>1+AJ$9*($H$10*H215+$I$10*I215+$J$10*J215+$K$10*K215+$L$10*L215)</x:f>
        <x:v>1.9614537797134695</x:v>
      </x:c>
      <x:c r="AK215" s="59" t="n">
        <x:f>(1+AH215*(AI215-1))*AJ215</x:f>
        <x:v>3.9662832507372934</x:v>
      </x:c>
      <x:c r="AL215" s="59" t="n">
        <x:f>U215*AD215*AK215*F215</x:f>
        <x:v>1646256.2997907107</x:v>
      </x:c>
      <x:c r="AM215" s="59" t="n">
        <x:f>IF($B215&lt;AM$8,0,AM$3+(AM$4-AM$3)*(POWER(AM$5,$B215-AM$8)-1)/(POWER(AM$5,$C$5-AM$8)-1))</x:f>
        <x:v>43.776627524709625</x:v>
      </x:c>
      <x:c r="AN215" s="59" t="n">
        <x:f>(((E215*'模块规划'!$D$10+G215*'模块规划'!$D$11+H215*'模块规划'!$D$13)*(1+'模块规划'!$G$14*H215)+(I215*'模块规划'!$D$15+J215*'模块规划'!$D$17+K215*'模块规划'!$D$16+L215*'模块规划'!$D$18))*(1+'模块规划'!$J$17*J215))*F215/(1-Q215)</x:f>
        <x:v>2203131.976382326</x:v>
      </x:c>
      <x:c r="AO215" s="59" t="n">
        <x:f>AL215*AM215</x:f>
        <x:v>72067548.84614465</x:v>
      </x:c>
      <x:c r="AP215" s="61" t="n">
        <x:f>IF(AO215="","",INDEX('_曲线基线'!$A$3:$A$502,MIN(ROWS('_曲线基线'!$A$3:$A$502),COUNTIF('_曲线基线'!$E$3:$E$502,"&lt;"&amp;AO215)+1)))</x:f>
        <x:v>268</x:v>
      </x:c>
      <x:c r="AQ215" s="61" t="n">
        <x:f>IF(B215&lt;=2,1,IF(B215&lt;=6,2,IF(B215&lt;=9,3,IF(B215&lt;=19,4,5))))</x:f>
        <x:v>5</x:v>
      </x:c>
      <x:c r="AR215" s="59" t="n">
        <x:f>AN215*(1-Q215)/F215*$AS$3+U215*$AS$4+P215*$AS$5</x:f>
        <x:v>15078.296301155584</x:v>
      </x:c>
      <x:c r="AS215" s="59" t="n">
        <x:f>1+AH215*$AS$6+AI215*$AS$7+(AJ215-1)*$AS$8+($H$10*H215+$I$10*I215+$J$10*J215+$K$10*K215+$L$10*L215)*$AU$3*$AS$9+($H$10*H215+$I$10*I215+$J$10*J215+$K$10*K215+$L$10*L215)*$AU$4*$AS$10</x:f>
        <x:v>16.029263805718656</x:v>
      </x:c>
      <x:c r="AT215" s="60" t="n">
        <x:f>ROUND(AR215*AS215,0)</x:f>
        <x:v>241694</x:v>
      </x:c>
      <x:c r="AU215" s="60" t="n">
        <x:f>ROUND(AT215*F215,0)</x:f>
        <x:v>1208470</x:v>
      </x:c>
      <x:c r="AV215" s="60" t="n">
        <x:f>MIN(MATCH(B215,'主线调参'!$M$11:$M$62,1),ROWS('主线调参'!$M$11:$M$62)-1)</x:f>
        <x:v>42</x:v>
      </x:c>
      <x:c r="AW215" s="62" t="n">
        <x:f>(B215-INDEX('主线调参'!$M$11:$M$62,AV215))/(INDEX('主线调参'!$M$11:$M$62,AV215+1)-INDEX('主线调参'!$M$11:$M$62,AV215))</x:f>
        <x:v>0</x:v>
      </x:c>
      <x:c r="AX215" s="60" t="n">
        <x:f>IF(AU215=0,0,ROUND(AU215,2-INT(LOG10(ABS(AU215)))))</x:f>
        <x:v>1210000</x:v>
      </x:c>
      <x:c r="AY215" s="62" t="n">
        <x:f>AU215/AU214-1</x:f>
        <x:v>0.0050900320206261895</x:v>
      </x:c>
    </x:row>
    <x:row r="216" ht="25" customHeight="1">
      <x:c r="A216" s="40" t="str">
        <x:f>'调前玩家曲线'!A216</x:f>
      </x:c>
      <x:c r="B216" s="40" t="n">
        <x:f>'调前玩家曲线'!B216</x:f>
        <x:v>205</x:v>
      </x:c>
      <x:c r="C216" s="40" t="n">
        <x:f>'调前玩家曲线'!C216</x:f>
        <x:v>15</x:v>
      </x:c>
      <x:c r="D216" s="40" t="n">
        <x:f>'调前玩家曲线'!D216</x:f>
        <x:v>1</x:v>
      </x:c>
      <x:c r="E216" s="40" t="n">
        <x:f>'调前玩家曲线'!E216</x:f>
        <x:v>1</x:v>
      </x:c>
      <x:c r="F216" s="40" t="n">
        <x:f>'调前玩家曲线'!F216</x:f>
        <x:v>5</x:v>
      </x:c>
      <x:c r="G216" s="63" t="n">
        <x:f>IF(B216&lt;$G$8,0,(INDEX('主线调参'!$C$11:$C$62,$AV216)+(INDEX('主线调参'!$C$11:$C$62,$AV216+1)-INDEX('主线调参'!$C$11:$C$62,$AV216))*$AW216)*'参数说明'!$C$27)</x:f>
        <x:v>0.8094438510025089</x:v>
      </x:c>
      <x:c r="H216" s="63" t="n">
        <x:f>IF(B216&lt;$H$8,0,(INDEX('主线调参'!$D$11:$D$62,$AV216)+(INDEX('主线调参'!$D$11:$D$62,$AV216+1)-INDEX('主线调参'!$D$11:$D$62,$AV216))*$AW216)*'参数说明'!$D$27)</x:f>
        <x:v>0.6306305864926378</x:v>
      </x:c>
      <x:c r="I216" s="63" t="n">
        <x:f>IF(B216&lt;$I$8,0,(INDEX('主线调参'!$E$11:$E$62,$AV216)+(INDEX('主线调参'!$E$11:$E$62,$AV216+1)-INDEX('主线调参'!$E$11:$E$62,$AV216))*$AW216)*'参数说明'!$E$27)</x:f>
        <x:v>0.556286598045145</x:v>
      </x:c>
      <x:c r="J216" s="63" t="n">
        <x:f>IF(B216&lt;$J$8,0,(INDEX('主线调参'!$F$11:$F$62,$AV216)+(INDEX('主线调参'!$F$11:$F$62,$AV216+1)-INDEX('主线调参'!$F$11:$F$62,$AV216))*$AW216)*'参数说明'!$F$27)</x:f>
        <x:v>0.5246578438564068</x:v>
      </x:c>
      <x:c r="K216" s="63" t="n">
        <x:f>IF(B216&lt;$K$8,0,(INDEX('主线调参'!$G$11:$G$62,$AV216)+(INDEX('主线调参'!$G$11:$G$62,$AV216+1)-INDEX('主线调参'!$G$11:$G$62,$AV216))*$AW216)*'参数说明'!$G$27)</x:f>
        <x:v>0.5271243862797621</x:v>
      </x:c>
      <x:c r="L216" s="63" t="n">
        <x:f>IF(B216&lt;$L$8,0,(INDEX('主线调参'!$H$11:$H$62,$AV216)+(INDEX('主线调参'!$H$11:$H$62,$AV216+1)-INDEX('主线调参'!$H$11:$H$62,$AV216))*$AW216)*'参数说明'!$H$27)</x:f>
        <x:v>0.6273841722394861</x:v>
      </x:c>
      <x:c r="M216" s="59" t="n">
        <x:f>E216*'模块规划'!$F$10+G216*'模块规划'!$F$11+H216*'模块规划'!$F$13</x:f>
        <x:v>4885.330484812042</x:v>
      </x:c>
      <x:c r="N216" s="59" t="n">
        <x:f>I216*'模块规划'!$F$15+J216*'模块规划'!$F$17+K216*'模块规划'!$F$16+L216*'模块规划'!$F$18</x:f>
        <x:v>15996.538401801232</x:v>
      </x:c>
      <x:c r="O216" s="59" t="n">
        <x:f>1+O$9*SUMPRODUCT($H$10:$L$10,H216:L216)/SUM($H$10:$L$10)</x:f>
        <x:v>3.100174333837233</x:v>
      </x:c>
      <x:c r="P216" s="59" t="n">
        <x:f>M216*O216+N216</x:f>
        <x:v>31141.91458312813</x:v>
      </x:c>
      <x:c r="Q216" s="59" t="n">
        <x:f>P216/(P216+'_曲线基线'!$L$2)</x:f>
        <x:v>0.5647593997879913</x:v>
      </x:c>
      <x:c r="R216" s="59" t="n">
        <x:f>E216*'模块规划'!$E$10+G216*'模块规划'!$E$11+H216*'模块规划'!$E$13</x:f>
        <x:v>7327.9957272180645</x:v>
      </x:c>
      <x:c r="S216" s="59" t="n">
        <x:f>I216*'模块规划'!$E$15+J216*'模块规划'!$E$17+K216*'模块规划'!$E$16+L216*'模块规划'!$E$18</x:f>
        <x:v>23994.807602701847</x:v>
      </x:c>
      <x:c r="T216" s="59" t="n">
        <x:f>1+T$9*SUMPRODUCT($H$10:$L$10,H216:L216)/SUM($H$10:$L$10)</x:f>
        <x:v>3.100174333837233</x:v>
      </x:c>
      <x:c r="U216" s="59" t="n">
        <x:f>R216*T216+S216</x:f>
        <x:v>46712.871874692195</x:v>
      </x:c>
      <x:c r="V216" s="59" t="n">
        <x:f>V$8+(V$9-V$8)*H216</x:f>
        <x:v>0.8891891759477913</x:v>
      </x:c>
      <x:c r="W216" s="59" t="n">
        <x:f>IF(B216&lt;$H$8,0,W$8+(W$9-W$8)*H216)</x:f>
        <x:v>0.25225223459705515</x:v>
      </x:c>
      <x:c r="X216" s="59" t="n">
        <x:f>X$8+(X$9-X$8)*H216</x:f>
        <x:v>0.44842341128547547</x:v>
      </x:c>
      <x:c r="Y216" s="59" t="n">
        <x:f>Y$8+(Y$9-Y$8)*G216</x:f>
        <x:v>1</x:v>
      </x:c>
      <x:c r="Z216" s="59" t="n">
        <x:f>Z$8+(Z$9-Z$8)*H216</x:f>
        <x:v>1</x:v>
      </x:c>
      <x:c r="AA216" s="59" t="n">
        <x:f>AA$8+(AA$9-AA$8)*I216</x:f>
        <x:v>1</x:v>
      </x:c>
      <x:c r="AB216" s="59" t="n">
        <x:f>AB$8+(AB$9-AB$8)*J216</x:f>
        <x:v>1</x:v>
      </x:c>
      <x:c r="AC216" s="59" t="n">
        <x:f>AC$8+(AC$9-AC$8)*MAX(K216,L216)</x:f>
        <x:v>1</x:v>
      </x:c>
      <x:c r="AD216" s="59" t="n">
        <x:f>(V216*AE216+W216*AF216+X216*AG216)*PRODUCT(Y216:AC216)</x:f>
        <x:v>1.7839284814249003</x:v>
      </x:c>
      <x:c r="AE216" s="59" t="n">
        <x:f>1+AE$9*($H$10*H216+$I$10*I216+$J$10*J216+$K$10*K216+$L$10*L216)</x:f>
        <x:v>1</x:v>
      </x:c>
      <x:c r="AF216" s="59" t="n">
        <x:f>1+AF$9*($H$10*H216+$I$10*I216+$J$10*J216+$K$10*K216+$L$10*L216)</x:f>
        <x:v>1.185359516103853</x:v>
      </x:c>
      <x:c r="AG216" s="59" t="n">
        <x:f>1+AG$9*($H$10*H216+$I$10*I216+$J$10*J216+$K$10*K216+$L$10*L216)</x:f>
        <x:v>1.3284982535396088</x:v>
      </x:c>
      <x:c r="AH216" s="59" t="n">
        <x:f>MIN(1,'_曲线基线'!$L$3+AH$9*($H$10*H216+$I$10*I216+$J$10*J216+$K$10*K216+$L$10*L216))</x:f>
        <x:v>0.47169289913626533</x:v>
      </x:c>
      <x:c r="AI216" s="59" t="n">
        <x:f>'_曲线基线'!$L$4+AI$9*($H$10*H216+$I$10*I216+$J$10*J216+$K$10*K216+$L$10*L216)</x:f>
        <x:v>3.1747159333081676</x:v>
      </x:c>
      <x:c r="AJ216" s="59" t="n">
        <x:f>1+AJ$9*($H$10*H216+$I$10*I216+$J$10*J216+$K$10*K216+$L$10*L216)</x:f>
        <x:v>1.963869483740035</x:v>
      </x:c>
      <x:c r="AK216" s="59" t="n">
        <x:f>(1+AH216*(AI216-1))*AJ216</x:f>
        <x:v>3.978402996891562</x:v>
      </x:c>
      <x:c r="AL216" s="59" t="n">
        <x:f>U216*AD216*AK216*F216</x:f>
        <x:v>1657649.7987801493</x:v>
      </x:c>
      <x:c r="AM216" s="59" t="n">
        <x:f>IF($B216&lt;AM$8,0,AM$3+(AM$4-AM$3)*(POWER(AM$5,$B216-AM$8)-1)/(POWER(AM$5,$C$5-AM$8)-1))</x:f>
        <x:v>43.87781843987859</x:v>
      </x:c>
      <x:c r="AN216" s="59" t="n">
        <x:f>(((E216*'模块规划'!$D$10+G216*'模块规划'!$D$11+H216*'模块规划'!$D$13)*(1+'模块规划'!$G$14*H216)+(I216*'模块规划'!$D$15+J216*'模块规划'!$D$17+K216*'模块规划'!$D$16+L216*'模块规划'!$D$18))*(1+'模块规划'!$J$17*J216))*F216/(1-Q216)</x:f>
        <x:v>2214138.8314003586</x:v>
      </x:c>
      <x:c r="AO216" s="59" t="n">
        <x:f>AL216*AM216</x:f>
        <x:v>72734056.90777667</x:v>
      </x:c>
      <x:c r="AP216" s="61" t="n">
        <x:f>IF(AO216="","",INDEX('_曲线基线'!$A$3:$A$502,MIN(ROWS('_曲线基线'!$A$3:$A$502),COUNTIF('_曲线基线'!$E$3:$E$502,"&lt;"&amp;AO216)+1)))</x:f>
        <x:v>269</x:v>
      </x:c>
      <x:c r="AQ216" s="61" t="n">
        <x:f>IF(B216&lt;=2,1,IF(B216&lt;=6,2,IF(B216&lt;=9,3,IF(B216&lt;=19,4,5))))</x:f>
        <x:v>5</x:v>
      </x:c>
      <x:c r="AR216" s="59" t="n">
        <x:f>AN216*(1-Q216)/F216*$AS$3+U216*$AS$4+P216*$AS$5</x:f>
        <x:v>15124.673058526885</x:v>
      </x:c>
      <x:c r="AS216" s="59" t="n">
        <x:f>1+AH216*$AS$6+AI216*$AS$7+(AJ216-1)*$AS$8+($H$10*H216+$I$10*I216+$J$10*J216+$K$10*K216+$L$10*L216)*$AU$3*$AS$9+($H$10*H216+$I$10*I216+$J$10*J216+$K$10*K216+$L$10*L216)*$AU$4*$AS$10</x:f>
        <x:v>16.057021701955385</x:v>
      </x:c>
      <x:c r="AT216" s="60" t="n">
        <x:f>ROUND(AR216*AS216,0)</x:f>
        <x:v>242857</x:v>
      </x:c>
      <x:c r="AU216" s="60" t="n">
        <x:f>ROUND(AT216*F216,0)</x:f>
        <x:v>1214285</x:v>
      </x:c>
      <x:c r="AV216" s="60" t="n">
        <x:f>MIN(MATCH(B216,'主线调参'!$M$11:$M$62,1),ROWS('主线调参'!$M$11:$M$62)-1)</x:f>
        <x:v>43</x:v>
      </x:c>
      <x:c r="AW216" s="62" t="n">
        <x:f>(B216-INDEX('主线调参'!$M$11:$M$62,AV216))/(INDEX('主线调参'!$M$11:$M$62,AV216+1)-INDEX('主线调参'!$M$11:$M$62,AV216))</x:f>
        <x:v>0</x:v>
      </x:c>
      <x:c r="AX216" s="60" t="n">
        <x:f>IF(AU216=0,0,ROUND(AU216,2-INT(LOG10(ABS(AU216)))))</x:f>
        <x:v>1210000</x:v>
      </x:c>
      <x:c r="AY216" s="62" t="n">
        <x:f>AU216/AU215-1</x:f>
        <x:v>0.004811869554064208</x:v>
      </x:c>
    </x:row>
    <x:row r="217" ht="25" customHeight="1">
      <x:c r="A217" s="40" t="str">
        <x:f>'调前玩家曲线'!A217</x:f>
      </x:c>
      <x:c r="B217" s="40" t="n">
        <x:f>'调前玩家曲线'!B217</x:f>
        <x:v>206</x:v>
      </x:c>
      <x:c r="C217" s="40" t="n">
        <x:f>'调前玩家曲线'!C217</x:f>
        <x:v>15</x:v>
      </x:c>
      <x:c r="D217" s="40" t="n">
        <x:f>'调前玩家曲线'!D217</x:f>
        <x:v>2</x:v>
      </x:c>
      <x:c r="E217" s="40" t="n">
        <x:f>'调前玩家曲线'!E217</x:f>
        <x:v>1</x:v>
      </x:c>
      <x:c r="F217" s="40" t="n">
        <x:f>'调前玩家曲线'!F217</x:f>
        <x:v>5</x:v>
      </x:c>
      <x:c r="G217" s="63" t="n">
        <x:f>IF(B217&lt;$G$8,0,(INDEX('主线调参'!$C$11:$C$62,$AV217)+(INDEX('主线调参'!$C$11:$C$62,$AV217+1)-INDEX('主线调参'!$C$11:$C$62,$AV217))*$AW217)*'参数说明'!$C$27)</x:f>
        <x:v>0.810809188041574</x:v>
      </x:c>
      <x:c r="H217" s="63" t="n">
        <x:f>IF(B217&lt;$H$8,0,(INDEX('主线调参'!$D$11:$D$62,$AV217)+(INDEX('主线调参'!$D$11:$D$62,$AV217+1)-INDEX('主线调参'!$D$11:$D$62,$AV217))*$AW217)*'参数说明'!$D$27)</x:f>
        <x:v>0.6316516792071281</x:v>
      </x:c>
      <x:c r="I217" s="63" t="n">
        <x:f>IF(B217&lt;$I$8,0,(INDEX('主线调参'!$E$11:$E$62,$AV217)+(INDEX('主线调参'!$E$11:$E$62,$AV217+1)-INDEX('主线调参'!$E$11:$E$62,$AV217))*$AW217)*'参数说明'!$E$27)</x:f>
        <x:v>0.5577681204701684</x:v>
      </x:c>
      <x:c r="J217" s="63" t="n">
        <x:f>IF(B217&lt;$J$8,0,(INDEX('主线调参'!$F$11:$F$62,$AV217)+(INDEX('主线调参'!$F$11:$F$62,$AV217+1)-INDEX('主线调参'!$F$11:$F$62,$AV217))*$AW217)*'参数说明'!$F$27)</x:f>
        <x:v>0.5257840598255455</x:v>
      </x:c>
      <x:c r="K217" s="63" t="n">
        <x:f>IF(B217&lt;$K$8,0,(INDEX('主线调参'!$G$11:$G$62,$AV217)+(INDEX('主线调参'!$G$11:$G$62,$AV217+1)-INDEX('主线调参'!$G$11:$G$62,$AV217))*$AW217)*'参数说明'!$G$27)</x:f>
        <x:v>0.5292364204222381</x:v>
      </x:c>
      <x:c r="L217" s="63" t="n">
        <x:f>IF(B217&lt;$L$8,0,(INDEX('主线调参'!$H$11:$H$62,$AV217)+(INDEX('主线调参'!$H$11:$H$62,$AV217+1)-INDEX('主线调参'!$H$11:$H$62,$AV217))*$AW217)*'参数说明'!$H$27)</x:f>
        <x:v>0.6284656377338641</x:v>
      </x:c>
      <x:c r="M217" s="59" t="n">
        <x:f>E217*'模块规划'!$F$10+G217*'模块规划'!$F$11+H217*'模块规划'!$F$13</x:f>
        <x:v>4891.884102599555</x:v>
      </x:c>
      <x:c r="N217" s="59" t="n">
        <x:f>I217*'模块规划'!$F$15+J217*'模块规划'!$F$17+K217*'模块规划'!$F$16+L217*'模块规划'!$F$18</x:f>
        <x:v>16037.732273219552</x:v>
      </x:c>
      <x:c r="O217" s="59" t="n">
        <x:f>1+O$9*SUMPRODUCT($H$10:$L$10,H217:L217)/SUM($H$10:$L$10)</x:f>
        <x:v>3.1051826231433832</x:v>
      </x:c>
      <x:c r="P217" s="59" t="n">
        <x:f>M217*O217+N217</x:f>
        <x:v>31227.925783043054</x:v>
      </x:c>
      <x:c r="Q217" s="59" t="n">
        <x:f>P217/(P217+'_曲线基线'!$L$2)</x:f>
        <x:v>0.5654372374171464</x:v>
      </x:c>
      <x:c r="R217" s="59" t="n">
        <x:f>E217*'模块规划'!$E$10+G217*'模块规划'!$E$11+H217*'模块规划'!$E$13</x:f>
        <x:v>7337.826153899333</x:v>
      </x:c>
      <x:c r="S217" s="59" t="n">
        <x:f>I217*'模块规划'!$E$15+J217*'模块规划'!$E$17+K217*'模块规划'!$E$16+L217*'模块规划'!$E$18</x:f>
        <x:v>24056.598409829327</x:v>
      </x:c>
      <x:c r="T217" s="59" t="n">
        <x:f>1+T$9*SUMPRODUCT($H$10:$L$10,H217:L217)/SUM($H$10:$L$10)</x:f>
        <x:v>3.1051826231433832</x:v>
      </x:c>
      <x:c r="U217" s="59" t="n">
        <x:f>R217*T217+S217</x:f>
        <x:v>46841.88867456458</x:v>
      </x:c>
      <x:c r="V217" s="59" t="n">
        <x:f>V$8+(V$9-V$8)*H217</x:f>
        <x:v>0.8894955037621384</x:v>
      </x:c>
      <x:c r="W217" s="59" t="n">
        <x:f>IF(B217&lt;$H$8,0,W$8+(W$9-W$8)*H217)</x:f>
        <x:v>0.2526606716828512</x:v>
      </x:c>
      <x:c r="X217" s="59" t="n">
        <x:f>X$8+(X$9-X$8)*H217</x:f>
        <x:v>0.4487042117819603</x:v>
      </x:c>
      <x:c r="Y217" s="59" t="n">
        <x:f>Y$8+(Y$9-Y$8)*G217</x:f>
        <x:v>1</x:v>
      </x:c>
      <x:c r="Z217" s="59" t="n">
        <x:f>Z$8+(Z$9-Z$8)*H217</x:f>
        <x:v>1</x:v>
      </x:c>
      <x:c r="AA217" s="59" t="n">
        <x:f>AA$8+(AA$9-AA$8)*I217</x:f>
        <x:v>1</x:v>
      </x:c>
      <x:c r="AB217" s="59" t="n">
        <x:f>AB$8+(AB$9-AB$8)*J217</x:f>
        <x:v>1</x:v>
      </x:c>
      <x:c r="AC217" s="59" t="n">
        <x:f>AC$8+(AC$9-AC$8)*MAX(K217,L217)</x:f>
        <x:v>1</x:v>
      </x:c>
      <x:c r="AD217" s="59" t="n">
        <x:f>(V217*AE217+W217*AF217+X217*AG217)*PRODUCT(Y217:AC217)</x:f>
        <x:v>1.7855551814449862</x:v>
      </x:c>
      <x:c r="AE217" s="59" t="n">
        <x:f>1+AE$9*($H$10*H217+$I$10*I217+$J$10*J217+$K$10*K217+$L$10*L217)</x:f>
        <x:v>1</x:v>
      </x:c>
      <x:c r="AF217" s="59" t="n">
        <x:f>1+AF$9*($H$10*H217+$I$10*I217+$J$10*J217+$K$10*K217+$L$10*L217)</x:f>
        <x:v>1.1858015432571893</x:v>
      </x:c>
      <x:c r="AG217" s="59" t="n">
        <x:f>1+AG$9*($H$10*H217+$I$10*I217+$J$10*J217+$K$10*K217+$L$10*L217)</x:f>
        <x:v>1.3292816238835772</x:v>
      </x:c>
      <x:c r="AH217" s="59" t="n">
        <x:f>MIN(1,'_曲线基线'!$L$3+AH$9*($H$10*H217+$I$10*I217+$J$10*J217+$K$10*K217+$L$10*L217))</x:f>
        <x:v>0.4726985109101055</x:v>
      </x:c>
      <x:c r="AI217" s="59" t="n">
        <x:f>'_曲线基线'!$L$4+AI$9*($H$10*H217+$I$10*I217+$J$10*J217+$K$10*K217+$L$10*L217)</x:f>
        <x:v>3.177517280392437</x:v>
      </x:c>
      <x:c r="AJ217" s="59" t="n">
        <x:f>1+AJ$9*($H$10*H217+$I$10*I217+$J$10*J217+$K$10*K217+$L$10*L217)</x:f>
        <x:v>1.9661680249373843</x:v>
      </x:c>
      <x:c r="AK217" s="59" t="n">
        <x:f>(1+AH217*(AI217-1))*AJ217</x:f>
        <x:v>3.9899628144109074</x:v>
      </x:c>
      <x:c r="AL217" s="59" t="n">
        <x:f>U217*AD217*AK217*F217</x:f>
        <x:v>1668578.0509932085</x:v>
      </x:c>
      <x:c r="AM217" s="59" t="n">
        <x:f>IF($B217&lt;AM$8,0,AM$3+(AM$4-AM$3)*(POWER(AM$5,$B217-AM$8)-1)/(POWER(AM$5,$C$5-AM$8)-1))</x:f>
        <x:v>43.980021264199245</x:v>
      </x:c>
      <x:c r="AN217" s="59" t="n">
        <x:f>(((E217*'模块规划'!$D$10+G217*'模块规划'!$D$11+H217*'模块规划'!$D$13)*(1+'模块规划'!$G$14*H217)+(I217*'模块规划'!$D$15+J217*'模块规划'!$D$17+K217*'模块规划'!$D$16+L217*'模块规划'!$D$18))*(1+'模块规划'!$J$17*J217))*F217/(1-Q217)</x:f>
        <x:v>2224682.3676230605</x:v>
      </x:c>
      <x:c r="AO217" s="59" t="n">
        <x:f>AL217*AM217</x:f>
        <x:v>73384098.16365744</x:v>
      </x:c>
      <x:c r="AP217" s="61" t="n">
        <x:f>IF(AO217="","",INDEX('_曲线基线'!$A$3:$A$502,MIN(ROWS('_曲线基线'!$A$3:$A$502),COUNTIF('_曲线基线'!$E$3:$E$502,"&lt;"&amp;AO217)+1)))</x:f>
        <x:v>269</x:v>
      </x:c>
      <x:c r="AQ217" s="61" t="n">
        <x:f>IF(B217&lt;=2,1,IF(B217&lt;=6,2,IF(B217&lt;=9,3,IF(B217&lt;=19,4,5))))</x:f>
        <x:v>5</x:v>
      </x:c>
      <x:c r="AR217" s="59" t="n">
        <x:f>AN217*(1-Q217)/F217*$AS$3+U217*$AS$4+P217*$AS$5</x:f>
        <x:v>15168.96242817476</x:v>
      </x:c>
      <x:c r="AS217" s="59" t="n">
        <x:f>1+AH217*$AS$6+AI217*$AS$7+(AJ217-1)*$AS$8+($H$10*H217+$I$10*I217+$J$10*J217+$K$10*K217+$L$10*L217)*$AU$3*$AS$9+($H$10*H217+$I$10*I217+$J$10*J217+$K$10*K217+$L$10*L217)*$AU$4*$AS$10</x:f>
        <x:v>16.083433326620586</x:v>
      </x:c>
      <x:c r="AT217" s="60" t="n">
        <x:f>ROUND(AR217*AS217,0)</x:f>
        <x:v>243969</x:v>
      </x:c>
      <x:c r="AU217" s="60" t="n">
        <x:f>ROUND(AT217*F217,0)</x:f>
        <x:v>1219845</x:v>
      </x:c>
      <x:c r="AV217" s="60" t="n">
        <x:f>MIN(MATCH(B217,'主线调参'!$M$11:$M$62,1),ROWS('主线调参'!$M$11:$M$62)-1)</x:f>
        <x:v>43</x:v>
      </x:c>
      <x:c r="AW217" s="62" t="n">
        <x:f>(B217-INDEX('主线调参'!$M$11:$M$62,AV217))/(INDEX('主线调参'!$M$11:$M$62,AV217+1)-INDEX('主线调参'!$M$11:$M$62,AV217))</x:f>
        <x:v>0.07142857142857142</x:v>
      </x:c>
      <x:c r="AX217" s="60" t="n">
        <x:f>IF(AU217=0,0,ROUND(AU217,2-INT(LOG10(ABS(AU217)))))</x:f>
        <x:v>1220000</x:v>
      </x:c>
      <x:c r="AY217" s="62" t="n">
        <x:f>AU217/AU216-1</x:f>
        <x:v>0.004578826222839005</x:v>
      </x:c>
    </x:row>
    <x:row r="218" ht="25" customHeight="1">
      <x:c r="A218" s="40" t="str">
        <x:f>'调前玩家曲线'!A218</x:f>
      </x:c>
      <x:c r="B218" s="40" t="n">
        <x:f>'调前玩家曲线'!B218</x:f>
        <x:v>207</x:v>
      </x:c>
      <x:c r="C218" s="40" t="n">
        <x:f>'调前玩家曲线'!C218</x:f>
        <x:v>15</x:v>
      </x:c>
      <x:c r="D218" s="40" t="n">
        <x:f>'调前玩家曲线'!D218</x:f>
        <x:v>3</x:v>
      </x:c>
      <x:c r="E218" s="40" t="n">
        <x:f>'调前玩家曲线'!E218</x:f>
        <x:v>1</x:v>
      </x:c>
      <x:c r="F218" s="40" t="n">
        <x:f>'调前玩家曲线'!F218</x:f>
        <x:v>5</x:v>
      </x:c>
      <x:c r="G218" s="63" t="n">
        <x:f>IF(B218&lt;$G$8,0,(INDEX('主线调参'!$C$11:$C$62,$AV218)+(INDEX('主线调参'!$C$11:$C$62,$AV218+1)-INDEX('主线调参'!$C$11:$C$62,$AV218))*$AW218)*'参数说明'!$C$27)</x:f>
        <x:v>0.8121745250806389</x:v>
      </x:c>
      <x:c r="H218" s="63" t="n">
        <x:f>IF(B218&lt;$H$8,0,(INDEX('主线调参'!$D$11:$D$62,$AV218)+(INDEX('主线调参'!$D$11:$D$62,$AV218+1)-INDEX('主线调参'!$D$11:$D$62,$AV218))*$AW218)*'参数说明'!$D$27)</x:f>
        <x:v>0.6326727719216184</x:v>
      </x:c>
      <x:c r="I218" s="63" t="n">
        <x:f>IF(B218&lt;$I$8,0,(INDEX('主线调参'!$E$11:$E$62,$AV218)+(INDEX('主线调参'!$E$11:$E$62,$AV218+1)-INDEX('主线调参'!$E$11:$E$62,$AV218))*$AW218)*'参数说明'!$E$27)</x:f>
        <x:v>0.5592496428951919</x:v>
      </x:c>
      <x:c r="J218" s="63" t="n">
        <x:f>IF(B218&lt;$J$8,0,(INDEX('主线调参'!$F$11:$F$62,$AV218)+(INDEX('主线调参'!$F$11:$F$62,$AV218+1)-INDEX('主线调参'!$F$11:$F$62,$AV218))*$AW218)*'参数说明'!$F$27)</x:f>
        <x:v>0.5269102757946844</x:v>
      </x:c>
      <x:c r="K218" s="63" t="n">
        <x:f>IF(B218&lt;$K$8,0,(INDEX('主线调参'!$G$11:$G$62,$AV218)+(INDEX('主线调参'!$G$11:$G$62,$AV218+1)-INDEX('主线调参'!$G$11:$G$62,$AV218))*$AW218)*'参数说明'!$G$27)</x:f>
        <x:v>0.5313484545647141</x:v>
      </x:c>
      <x:c r="L218" s="63" t="n">
        <x:f>IF(B218&lt;$L$8,0,(INDEX('主线调参'!$H$11:$H$62,$AV218)+(INDEX('主线调参'!$H$11:$H$62,$AV218+1)-INDEX('主线调参'!$H$11:$H$62,$AV218))*$AW218)*'参数说明'!$H$27)</x:f>
        <x:v>0.6295471032282421</x:v>
      </x:c>
      <x:c r="M218" s="59" t="n">
        <x:f>E218*'模块规划'!$F$10+G218*'模块规划'!$F$11+H218*'模块规划'!$F$13</x:f>
        <x:v>4898.437720387066</x:v>
      </x:c>
      <x:c r="N218" s="59" t="n">
        <x:f>I218*'模块规划'!$F$15+J218*'模块规划'!$F$17+K218*'模块规划'!$F$16+L218*'模块规划'!$F$18</x:f>
        <x:v>16078.926144637875</x:v>
      </x:c>
      <x:c r="O218" s="59" t="n">
        <x:f>1+O$9*SUMPRODUCT($H$10:$L$10,H218:L218)/SUM($H$10:$L$10)</x:f>
        <x:v>3.1101909124495344</x:v>
      </x:c>
      <x:c r="P218" s="59" t="n">
        <x:f>M218*O218+N218</x:f>
        <x:v>31314.00262778574</x:v>
      </x:c>
      <x:c r="Q218" s="59" t="n">
        <x:f>P218/(P218+'_曲线基线'!$L$2)</x:f>
        <x:v>0.56611348194238</x:v>
      </x:c>
      <x:c r="R218" s="59" t="n">
        <x:f>E218*'模块规划'!$E$10+G218*'模块规划'!$E$11+H218*'模块规划'!$E$13</x:f>
        <x:v>7347.6565805806</x:v>
      </x:c>
      <x:c r="S218" s="59" t="n">
        <x:f>I218*'模块规划'!$E$15+J218*'模块规划'!$E$17+K218*'模块规划'!$E$16+L218*'模块规划'!$E$18</x:f>
        <x:v>24118.38921695681</x:v>
      </x:c>
      <x:c r="T218" s="59" t="n">
        <x:f>1+T$9*SUMPRODUCT($H$10:$L$10,H218:L218)/SUM($H$10:$L$10)</x:f>
        <x:v>3.1101909124495344</x:v>
      </x:c>
      <x:c r="U218" s="59" t="n">
        <x:f>R218*T218+S218</x:f>
        <x:v>46971.00394167862</x:v>
      </x:c>
      <x:c r="V218" s="59" t="n">
        <x:f>V$8+(V$9-V$8)*H218</x:f>
        <x:v>0.8898018315764855</x:v>
      </x:c>
      <x:c r="W218" s="59" t="n">
        <x:f>IF(B218&lt;$H$8,0,W$8+(W$9-W$8)*H218)</x:f>
        <x:v>0.25306910876864736</x:v>
      </x:c>
      <x:c r="X218" s="59" t="n">
        <x:f>X$8+(X$9-X$8)*H218</x:f>
        <x:v>0.4489850122784451</x:v>
      </x:c>
      <x:c r="Y218" s="59" t="n">
        <x:f>Y$8+(Y$9-Y$8)*G218</x:f>
        <x:v>1</x:v>
      </x:c>
      <x:c r="Z218" s="59" t="n">
        <x:f>Z$8+(Z$9-Z$8)*H218</x:f>
        <x:v>1</x:v>
      </x:c>
      <x:c r="AA218" s="59" t="n">
        <x:f>AA$8+(AA$9-AA$8)*I218</x:f>
        <x:v>1</x:v>
      </x:c>
      <x:c r="AB218" s="59" t="n">
        <x:f>AB$8+(AB$9-AB$8)*J218</x:f>
        <x:v>1</x:v>
      </x:c>
      <x:c r="AC218" s="59" t="n">
        <x:f>AC$8+(AC$9-AC$8)*MAX(K218,L218)</x:f>
        <x:v>1</x:v>
      </x:c>
      <x:c r="AD218" s="59" t="n">
        <x:f>(V218*AE218+W218*AF218+X218*AG218)*PRODUCT(Y218:AC218)</x:f>
        <x:v>1.7871826824872001</x:v>
      </x:c>
      <x:c r="AE218" s="59" t="n">
        <x:f>1+AE$9*($H$10*H218+$I$10*I218+$J$10*J218+$K$10*K218+$L$10*L218)</x:f>
        <x:v>1</x:v>
      </x:c>
      <x:c r="AF218" s="59" t="n">
        <x:f>1+AF$9*($H$10*H218+$I$10*I218+$J$10*J218+$K$10*K218+$L$10*L218)</x:f>
        <x:v>1.1862435704105259</x:v>
      </x:c>
      <x:c r="AG218" s="59" t="n">
        <x:f>1+AG$9*($H$10*H218+$I$10*I218+$J$10*J218+$K$10*K218+$L$10*L218)</x:f>
        <x:v>1.3300649942275455</x:v>
      </x:c>
      <x:c r="AH218" s="59" t="n">
        <x:f>MIN(1,'_曲线基线'!$L$3+AH$9*($H$10*H218+$I$10*I218+$J$10*J218+$K$10*K218+$L$10*L218))</x:f>
        <x:v>0.47370412268394585</x:v>
      </x:c>
      <x:c r="AI218" s="59" t="n">
        <x:f>'_曲线基线'!$L$4+AI$9*($H$10*H218+$I$10*I218+$J$10*J218+$K$10*K218+$L$10*L218)</x:f>
        <x:v>3.1803186274767064</x:v>
      </x:c>
      <x:c r="AJ218" s="59" t="n">
        <x:f>1+AJ$9*($H$10*H218+$I$10*I218+$J$10*J218+$K$10*K218+$L$10*L218)</x:f>
        <x:v>1.9684665661347336</x:v>
      </x:c>
      <x:c r="AK218" s="59" t="n">
        <x:f>(1+AH218*(AI218-1))*AJ218</x:f>
        <x:v>4.00154986341072</x:v>
      </x:c>
      <x:c r="AL218" s="59" t="n">
        <x:f>U218*AD218*AK218*F218</x:f>
        <x:v>1679565.8188190456</x:v>
      </x:c>
      <x:c r="AM218" s="59" t="n">
        <x:f>IF($B218&lt;AM$8,0,AM$3+(AM$4-AM$3)*(POWER(AM$5,$B218-AM$8)-1)/(POWER(AM$5,$C$5-AM$8)-1))</x:f>
        <x:v>44.08324611676311</x:v>
      </x:c>
      <x:c r="AN218" s="59" t="n">
        <x:f>(((E218*'模块规划'!$D$10+G218*'模块规划'!$D$11+H218*'模块规划'!$D$13)*(1+'模块规划'!$G$14*H218)+(I218*'模块规划'!$D$15+J218*'模块规划'!$D$17+K218*'模块规划'!$D$16+L218*'模块规划'!$D$18))*(1+'模块规划'!$J$17*J218))*F218/(1-Q218)</x:f>
        <x:v>2235260.488383866</x:v>
      </x:c>
      <x:c r="AO218" s="59" t="n">
        <x:f>AL218*AM218</x:f>
        <x:v>74040713.36030273</x:v>
      </x:c>
      <x:c r="AP218" s="61" t="n">
        <x:f>IF(AO218="","",INDEX('_曲线基线'!$A$3:$A$502,MIN(ROWS('_曲线基线'!$A$3:$A$502),COUNTIF('_曲线基线'!$E$3:$E$502,"&lt;"&amp;AO218)+1)))</x:f>
        <x:v>270</x:v>
      </x:c>
      <x:c r="AQ218" s="61" t="n">
        <x:f>IF(B218&lt;=2,1,IF(B218&lt;=6,2,IF(B218&lt;=9,3,IF(B218&lt;=19,4,5))))</x:f>
        <x:v>5</x:v>
      </x:c>
      <x:c r="AR218" s="59" t="n">
        <x:f>AN218*(1-Q218)/F218*$AS$3+U218*$AS$4+P218*$AS$5</x:f>
        <x:v>15213.297129875627</x:v>
      </x:c>
      <x:c r="AS218" s="59" t="n">
        <x:f>1+AH218*$AS$6+AI218*$AS$7+(AJ218-1)*$AS$8+($H$10*H218+$I$10*I218+$J$10*J218+$K$10*K218+$L$10*L218)*$AU$3*$AS$9+($H$10*H218+$I$10*I218+$J$10*J218+$K$10*K218+$L$10*L218)*$AU$4*$AS$10</x:f>
        <x:v>16.10984495128579</x:v>
      </x:c>
      <x:c r="AT218" s="60" t="n">
        <x:f>ROUND(AR218*AS218,0)</x:f>
        <x:v>245084</x:v>
      </x:c>
      <x:c r="AU218" s="60" t="n">
        <x:f>ROUND(AT218*F218,0)</x:f>
        <x:v>1225420</x:v>
      </x:c>
      <x:c r="AV218" s="60" t="n">
        <x:f>MIN(MATCH(B218,'主线调参'!$M$11:$M$62,1),ROWS('主线调参'!$M$11:$M$62)-1)</x:f>
        <x:v>43</x:v>
      </x:c>
      <x:c r="AW218" s="62" t="n">
        <x:f>(B218-INDEX('主线调参'!$M$11:$M$62,AV218))/(INDEX('主线调参'!$M$11:$M$62,AV218+1)-INDEX('主线调参'!$M$11:$M$62,AV218))</x:f>
        <x:v>0.14285714285714285</x:v>
      </x:c>
      <x:c r="AX218" s="60" t="n">
        <x:f>IF(AU218=0,0,ROUND(AU218,2-INT(LOG10(ABS(AU218)))))</x:f>
        <x:v>1230000</x:v>
      </x:c>
      <x:c r="AY218" s="62" t="n">
        <x:f>AU218/AU217-1</x:f>
        <x:v>0.0045702527780169255</x:v>
      </x:c>
    </x:row>
    <x:row r="219" ht="25" customHeight="1">
      <x:c r="A219" s="40" t="str">
        <x:f>'调前玩家曲线'!A219</x:f>
      </x:c>
      <x:c r="B219" s="40" t="n">
        <x:f>'调前玩家曲线'!B219</x:f>
        <x:v>208</x:v>
      </x:c>
      <x:c r="C219" s="40" t="n">
        <x:f>'调前玩家曲线'!C219</x:f>
        <x:v>15</x:v>
      </x:c>
      <x:c r="D219" s="40" t="n">
        <x:f>'调前玩家曲线'!D219</x:f>
        <x:v>4</x:v>
      </x:c>
      <x:c r="E219" s="40" t="n">
        <x:f>'调前玩家曲线'!E219</x:f>
        <x:v>1</x:v>
      </x:c>
      <x:c r="F219" s="40" t="n">
        <x:f>'调前玩家曲线'!F219</x:f>
        <x:v>5</x:v>
      </x:c>
      <x:c r="G219" s="63" t="n">
        <x:f>IF(B219&lt;$G$8,0,(INDEX('主线调参'!$C$11:$C$62,$AV219)+(INDEX('主线调参'!$C$11:$C$62,$AV219+1)-INDEX('主线调参'!$C$11:$C$62,$AV219))*$AW219)*'参数说明'!$C$27)</x:f>
        <x:v>0.813539862119704</x:v>
      </x:c>
      <x:c r="H219" s="63" t="n">
        <x:f>IF(B219&lt;$H$8,0,(INDEX('主线调参'!$D$11:$D$62,$AV219)+(INDEX('主线调参'!$D$11:$D$62,$AV219+1)-INDEX('主线调参'!$D$11:$D$62,$AV219))*$AW219)*'参数说明'!$D$27)</x:f>
        <x:v>0.6336938646361087</x:v>
      </x:c>
      <x:c r="I219" s="63" t="n">
        <x:f>IF(B219&lt;$I$8,0,(INDEX('主线调参'!$E$11:$E$62,$AV219)+(INDEX('主线调参'!$E$11:$E$62,$AV219+1)-INDEX('主线调参'!$E$11:$E$62,$AV219))*$AW219)*'参数说明'!$E$27)</x:f>
        <x:v>0.5607311653202152</x:v>
      </x:c>
      <x:c r="J219" s="63" t="n">
        <x:f>IF(B219&lt;$J$8,0,(INDEX('主线调参'!$F$11:$F$62,$AV219)+(INDEX('主线调参'!$F$11:$F$62,$AV219+1)-INDEX('主线调参'!$F$11:$F$62,$AV219))*$AW219)*'参数说明'!$F$27)</x:f>
        <x:v>0.5280364917638232</x:v>
      </x:c>
      <x:c r="K219" s="63" t="n">
        <x:f>IF(B219&lt;$K$8,0,(INDEX('主线调参'!$G$11:$G$62,$AV219)+(INDEX('主线调参'!$G$11:$G$62,$AV219+1)-INDEX('主线调参'!$G$11:$G$62,$AV219))*$AW219)*'参数说明'!$G$27)</x:f>
        <x:v>0.5334604887071902</x:v>
      </x:c>
      <x:c r="L219" s="63" t="n">
        <x:f>IF(B219&lt;$L$8,0,(INDEX('主线调参'!$H$11:$H$62,$AV219)+(INDEX('主线调参'!$H$11:$H$62,$AV219+1)-INDEX('主线调参'!$H$11:$H$62,$AV219))*$AW219)*'参数说明'!$H$27)</x:f>
        <x:v>0.6306285687226202</x:v>
      </x:c>
      <x:c r="M219" s="59" t="n">
        <x:f>E219*'模块规划'!$F$10+G219*'模块规划'!$F$11+H219*'模块规划'!$F$13</x:f>
        <x:v>4904.991338174579</x:v>
      </x:c>
      <x:c r="N219" s="59" t="n">
        <x:f>I219*'模块规划'!$F$15+J219*'模块规划'!$F$17+K219*'模块规划'!$F$16+L219*'模块规划'!$F$18</x:f>
        <x:v>16120.120016056195</x:v>
      </x:c>
      <x:c r="O219" s="59" t="n">
        <x:f>1+O$9*SUMPRODUCT($H$10:$L$10,H219:L219)/SUM($H$10:$L$10)</x:f>
        <x:v>3.115199201755685</x:v>
      </x:c>
      <x:c r="P219" s="59" t="n">
        <x:f>M219*O219+N219</x:f>
        <x:v>31400.145117356195</x:v>
      </x:c>
      <x:c r="Q219" s="59" t="n">
        <x:f>P219/(P219+'_曲线基线'!$L$2)</x:f>
        <x:v>0.5667881383855601</x:v>
      </x:c>
      <x:c r="R219" s="59" t="n">
        <x:f>E219*'模块规划'!$E$10+G219*'模块规划'!$E$11+H219*'模块规划'!$E$13</x:f>
        <x:v>7357.487007261869</x:v>
      </x:c>
      <x:c r="S219" s="59" t="n">
        <x:f>I219*'模块规划'!$E$15+J219*'模块规划'!$E$17+K219*'模块规划'!$E$16+L219*'模块规划'!$E$18</x:f>
        <x:v>24180.180024084293</x:v>
      </x:c>
      <x:c r="T219" s="59" t="n">
        <x:f>1+T$9*SUMPRODUCT($H$10:$L$10,H219:L219)/SUM($H$10:$L$10)</x:f>
        <x:v>3.115199201755685</x:v>
      </x:c>
      <x:c r="U219" s="59" t="n">
        <x:f>R219*T219+S219</x:f>
        <x:v>47100.21767603429</x:v>
      </x:c>
      <x:c r="V219" s="59" t="n">
        <x:f>V$8+(V$9-V$8)*H219</x:f>
        <x:v>0.8901081593908325</x:v>
      </x:c>
      <x:c r="W219" s="59" t="n">
        <x:f>IF(B219&lt;$H$8,0,W$8+(W$9-W$8)*H219)</x:f>
        <x:v>0.2534775458544435</x:v>
      </x:c>
      <x:c r="X219" s="59" t="n">
        <x:f>X$8+(X$9-X$8)*H219</x:f>
        <x:v>0.44926581277492994</x:v>
      </x:c>
      <x:c r="Y219" s="59" t="n">
        <x:f>Y$8+(Y$9-Y$8)*G219</x:f>
        <x:v>1</x:v>
      </x:c>
      <x:c r="Z219" s="59" t="n">
        <x:f>Z$8+(Z$9-Z$8)*H219</x:f>
        <x:v>1</x:v>
      </x:c>
      <x:c r="AA219" s="59" t="n">
        <x:f>AA$8+(AA$9-AA$8)*I219</x:f>
        <x:v>1</x:v>
      </x:c>
      <x:c r="AB219" s="59" t="n">
        <x:f>AB$8+(AB$9-AB$8)*J219</x:f>
        <x:v>1</x:v>
      </x:c>
      <x:c r="AC219" s="59" t="n">
        <x:f>AC$8+(AC$9-AC$8)*MAX(K219,L219)</x:f>
        <x:v>1</x:v>
      </x:c>
      <x:c r="AD219" s="59" t="n">
        <x:f>(V219*AE219+W219*AF219+X219*AG219)*PRODUCT(Y219:AC219)</x:f>
        <x:v>1.7888109845515414</x:v>
      </x:c>
      <x:c r="AE219" s="59" t="n">
        <x:f>1+AE$9*($H$10*H219+$I$10*I219+$J$10*J219+$K$10*K219+$L$10*L219)</x:f>
        <x:v>1</x:v>
      </x:c>
      <x:c r="AF219" s="59" t="n">
        <x:f>1+AF$9*($H$10*H219+$I$10*I219+$J$10*J219+$K$10*K219+$L$10*L219)</x:f>
        <x:v>1.1866855975638622</x:v>
      </x:c>
      <x:c r="AG219" s="59" t="n">
        <x:f>1+AG$9*($H$10*H219+$I$10*I219+$J$10*J219+$K$10*K219+$L$10*L219)</x:f>
        <x:v>1.330848364571514</x:v>
      </x:c>
      <x:c r="AH219" s="59" t="n">
        <x:f>MIN(1,'_曲线基线'!$L$3+AH$9*($H$10*H219+$I$10*I219+$J$10*J219+$K$10*K219+$L$10*L219))</x:f>
        <x:v>0.47470973445778614</x:v>
      </x:c>
      <x:c r="AI219" s="59" t="n">
        <x:f>'_曲线基线'!$L$4+AI$9*($H$10*H219+$I$10*I219+$J$10*J219+$K$10*K219+$L$10*L219)</x:f>
        <x:v>3.1831199745609755</x:v>
      </x:c>
      <x:c r="AJ219" s="59" t="n">
        <x:f>1+AJ$9*($H$10*H219+$I$10*I219+$J$10*J219+$K$10*K219+$L$10*L219)</x:f>
        <x:v>1.9707651073320829</x:v>
      </x:c>
      <x:c r="AK219" s="59" t="n">
        <x:f>(1+AH219*(AI219-1))*AJ219</x:f>
        <x:v>4.013164182741875</x:v>
      </x:c>
      <x:c r="AL219" s="59" t="n">
        <x:f>U219*AD219*AK219*F219</x:f>
        <x:v>1690613.3699724115</x:v>
      </x:c>
      <x:c r="AM219" s="59" t="n">
        <x:f>IF($B219&lt;AM$8,0,AM$3+(AM$4-AM$3)*(POWER(AM$5,$B219-AM$8)-1)/(POWER(AM$5,$C$5-AM$8)-1))</x:f>
        <x:v>44.18750321785261</x:v>
      </x:c>
      <x:c r="AN219" s="59" t="n">
        <x:f>(((E219*'模块规划'!$D$10+G219*'模块规划'!$D$11+H219*'模块规划'!$D$13)*(1+'模块规划'!$G$14*H219)+(I219*'模块规划'!$D$15+J219*'模块规划'!$D$17+K219*'模块规划'!$D$16+L219*'模块规划'!$D$18))*(1+'模块规划'!$J$17*J219))*F219/(1-Q219)</x:f>
        <x:v>2245873.2677944656</x:v>
      </x:c>
      <x:c r="AO219" s="59" t="n">
        <x:f>AL219*AM219</x:f>
        <x:v>74703983.72580057</x:v>
      </x:c>
      <x:c r="AP219" s="61" t="n">
        <x:f>IF(AO219="","",INDEX('_曲线基线'!$A$3:$A$502,MIN(ROWS('_曲线基线'!$A$3:$A$502),COUNTIF('_曲线基线'!$E$3:$E$502,"&lt;"&amp;AO219)+1)))</x:f>
        <x:v>271</x:v>
      </x:c>
      <x:c r="AQ219" s="61" t="n">
        <x:f>IF(B219&lt;=2,1,IF(B219&lt;=6,2,IF(B219&lt;=9,3,IF(B219&lt;=19,4,5))))</x:f>
        <x:v>5</x:v>
      </x:c>
      <x:c r="AR219" s="59" t="n">
        <x:f>AN219*(1-Q219)/F219*$AS$3+U219*$AS$4+P219*$AS$5</x:f>
        <x:v>15257.677170954936</x:v>
      </x:c>
      <x:c r="AS219" s="59" t="n">
        <x:f>1+AH219*$AS$6+AI219*$AS$7+(AJ219-1)*$AS$8+($H$10*H219+$I$10*I219+$J$10*J219+$K$10*K219+$L$10*L219)*$AU$3*$AS$9+($H$10*H219+$I$10*I219+$J$10*J219+$K$10*K219+$L$10*L219)*$AU$4*$AS$10</x:f>
        <x:v>16.13625657595099</x:v>
      </x:c>
      <x:c r="AT219" s="60" t="n">
        <x:f>ROUND(AR219*AS219,0)</x:f>
        <x:v>246202</x:v>
      </x:c>
      <x:c r="AU219" s="60" t="n">
        <x:f>ROUND(AT219*F219,0)</x:f>
        <x:v>1231010</x:v>
      </x:c>
      <x:c r="AV219" s="60" t="n">
        <x:f>MIN(MATCH(B219,'主线调参'!$M$11:$M$62,1),ROWS('主线调参'!$M$11:$M$62)-1)</x:f>
        <x:v>43</x:v>
      </x:c>
      <x:c r="AW219" s="62" t="n">
        <x:f>(B219-INDEX('主线调参'!$M$11:$M$62,AV219))/(INDEX('主线调参'!$M$11:$M$62,AV219+1)-INDEX('主线调参'!$M$11:$M$62,AV219))</x:f>
        <x:v>0.21428571428571427</x:v>
      </x:c>
      <x:c r="AX219" s="60" t="n">
        <x:f>IF(AU219=0,0,ROUND(AU219,2-INT(LOG10(ABS(AU219)))))</x:f>
        <x:v>1230000</x:v>
      </x:c>
      <x:c r="AY219" s="62" t="n">
        <x:f>AU219/AU218-1</x:f>
        <x:v>0.004561701294250042</x:v>
      </x:c>
    </x:row>
    <x:row r="220" ht="25" customHeight="1">
      <x:c r="A220" s="40" t="str">
        <x:f>'调前玩家曲线'!A220</x:f>
      </x:c>
      <x:c r="B220" s="40" t="n">
        <x:f>'调前玩家曲线'!B220</x:f>
        <x:v>209</x:v>
      </x:c>
      <x:c r="C220" s="40" t="n">
        <x:f>'调前玩家曲线'!C220</x:f>
        <x:v>15</x:v>
      </x:c>
      <x:c r="D220" s="40" t="n">
        <x:f>'调前玩家曲线'!D220</x:f>
        <x:v>5</x:v>
      </x:c>
      <x:c r="E220" s="40" t="n">
        <x:f>'调前玩家曲线'!E220</x:f>
        <x:v>1</x:v>
      </x:c>
      <x:c r="F220" s="40" t="n">
        <x:f>'调前玩家曲线'!F220</x:f>
        <x:v>5</x:v>
      </x:c>
      <x:c r="G220" s="63" t="n">
        <x:f>IF(B220&lt;$G$8,0,(INDEX('主线调参'!$C$11:$C$62,$AV220)+(INDEX('主线调参'!$C$11:$C$62,$AV220+1)-INDEX('主线调参'!$C$11:$C$62,$AV220))*$AW220)*'参数说明'!$C$27)</x:f>
        <x:v>0.814905199158769</x:v>
      </x:c>
      <x:c r="H220" s="63" t="n">
        <x:f>IF(B220&lt;$H$8,0,(INDEX('主线调参'!$D$11:$D$62,$AV220)+(INDEX('主线调参'!$D$11:$D$62,$AV220+1)-INDEX('主线调参'!$D$11:$D$62,$AV220))*$AW220)*'参数说明'!$D$27)</x:f>
        <x:v>0.6347149573505989</x:v>
      </x:c>
      <x:c r="I220" s="63" t="n">
        <x:f>IF(B220&lt;$I$8,0,(INDEX('主线调参'!$E$11:$E$62,$AV220)+(INDEX('主线调参'!$E$11:$E$62,$AV220+1)-INDEX('主线调参'!$E$11:$E$62,$AV220))*$AW220)*'参数说明'!$E$27)</x:f>
        <x:v>0.5622126877452386</x:v>
      </x:c>
      <x:c r="J220" s="63" t="n">
        <x:f>IF(B220&lt;$J$8,0,(INDEX('主线调参'!$F$11:$F$62,$AV220)+(INDEX('主线调参'!$F$11:$F$62,$AV220+1)-INDEX('主线调参'!$F$11:$F$62,$AV220))*$AW220)*'参数说明'!$F$27)</x:f>
        <x:v>0.5291627077329621</x:v>
      </x:c>
      <x:c r="K220" s="63" t="n">
        <x:f>IF(B220&lt;$K$8,0,(INDEX('主线调参'!$G$11:$G$62,$AV220)+(INDEX('主线调参'!$G$11:$G$62,$AV220+1)-INDEX('主线调参'!$G$11:$G$62,$AV220))*$AW220)*'参数说明'!$G$27)</x:f>
        <x:v>0.5355725228496662</x:v>
      </x:c>
      <x:c r="L220" s="63" t="n">
        <x:f>IF(B220&lt;$L$8,0,(INDEX('主线调参'!$H$11:$H$62,$AV220)+(INDEX('主线调参'!$H$11:$H$62,$AV220+1)-INDEX('主线调参'!$H$11:$H$62,$AV220))*$AW220)*'参数说明'!$H$27)</x:f>
        <x:v>0.6317100342169982</x:v>
      </x:c>
      <x:c r="M220" s="59" t="n">
        <x:f>E220*'模块规划'!$F$10+G220*'模块规划'!$F$11+H220*'模块规划'!$F$13</x:f>
        <x:v>4911.544955962091</x:v>
      </x:c>
      <x:c r="N220" s="59" t="n">
        <x:f>I220*'模块规划'!$F$15+J220*'模块规划'!$F$17+K220*'模块规划'!$F$16+L220*'模块规划'!$F$18</x:f>
        <x:v>16161.313887474518</x:v>
      </x:c>
      <x:c r="O220" s="59" t="n">
        <x:f>1+O$9*SUMPRODUCT($H$10:$L$10,H220:L220)/SUM($H$10:$L$10)</x:f>
        <x:v>3.1202074910618367</x:v>
      </x:c>
      <x:c r="P220" s="59" t="n">
        <x:f>M220*O220+N220</x:f>
        <x:v>31486.353251754415</x:v>
      </x:c>
      <x:c r="Q220" s="59" t="n">
        <x:f>P220/(P220+'_曲线基线'!$L$2)</x:f>
        <x:v>0.5674612117486537</x:v>
      </x:c>
      <x:c r="R220" s="59" t="n">
        <x:f>E220*'模块规划'!$E$10+G220*'模块规划'!$E$11+H220*'模块规划'!$E$13</x:f>
        <x:v>7367.317433943137</x:v>
      </x:c>
      <x:c r="S220" s="59" t="n">
        <x:f>I220*'模块规划'!$E$15+J220*'模块规划'!$E$17+K220*'模块规划'!$E$16+L220*'模块规划'!$E$18</x:f>
        <x:v>24241.970831211776</x:v>
      </x:c>
      <x:c r="T220" s="59" t="n">
        <x:f>1+T$9*SUMPRODUCT($H$10:$L$10,H220:L220)/SUM($H$10:$L$10)</x:f>
        <x:v>3.1202074910618367</x:v>
      </x:c>
      <x:c r="U220" s="59" t="n">
        <x:f>R220*T220+S220</x:f>
        <x:v>47229.52987763162</x:v>
      </x:c>
      <x:c r="V220" s="59" t="n">
        <x:f>V$8+(V$9-V$8)*H220</x:f>
        <x:v>0.8904144872051797</x:v>
      </x:c>
      <x:c r="W220" s="59" t="n">
        <x:f>IF(B220&lt;$H$8,0,W$8+(W$9-W$8)*H220)</x:f>
        <x:v>0.25388598294023956</x:v>
      </x:c>
      <x:c r="X220" s="59" t="n">
        <x:f>X$8+(X$9-X$8)*H220</x:f>
        <x:v>0.44954661327141476</x:v>
      </x:c>
      <x:c r="Y220" s="59" t="n">
        <x:f>Y$8+(Y$9-Y$8)*G220</x:f>
        <x:v>1</x:v>
      </x:c>
      <x:c r="Z220" s="59" t="n">
        <x:f>Z$8+(Z$9-Z$8)*H220</x:f>
        <x:v>1</x:v>
      </x:c>
      <x:c r="AA220" s="59" t="n">
        <x:f>AA$8+(AA$9-AA$8)*I220</x:f>
        <x:v>1</x:v>
      </x:c>
      <x:c r="AB220" s="59" t="n">
        <x:f>AB$8+(AB$9-AB$8)*J220</x:f>
        <x:v>1</x:v>
      </x:c>
      <x:c r="AC220" s="59" t="n">
        <x:f>AC$8+(AC$9-AC$8)*MAX(K220,L220)</x:f>
        <x:v>1</x:v>
      </x:c>
      <x:c r="AD220" s="59" t="n">
        <x:f>(V220*AE220+W220*AF220+X220*AG220)*PRODUCT(Y220:AC220)</x:f>
        <x:v>1.7904400876380109</x:v>
      </x:c>
      <x:c r="AE220" s="59" t="n">
        <x:f>1+AE$9*($H$10*H220+$I$10*I220+$J$10*J220+$K$10*K220+$L$10*L220)</x:f>
        <x:v>1</x:v>
      </x:c>
      <x:c r="AF220" s="59" t="n">
        <x:f>1+AF$9*($H$10*H220+$I$10*I220+$J$10*J220+$K$10*K220+$L$10*L220)</x:f>
        <x:v>1.1871276247171987</x:v>
      </x:c>
      <x:c r="AG220" s="59" t="n">
        <x:f>1+AG$9*($H$10*H220+$I$10*I220+$J$10*J220+$K$10*K220+$L$10*L220)</x:f>
        <x:v>1.3316317349154825</x:v>
      </x:c>
      <x:c r="AH220" s="59" t="n">
        <x:f>MIN(1,'_曲线基线'!$L$3+AH$9*($H$10*H220+$I$10*I220+$J$10*J220+$K$10*K220+$L$10*L220))</x:f>
        <x:v>0.4757153462316265</x:v>
      </x:c>
      <x:c r="AI220" s="59" t="n">
        <x:f>'_曲线基线'!$L$4+AI$9*($H$10*H220+$I$10*I220+$J$10*J220+$K$10*K220+$L$10*L220)</x:f>
        <x:v>3.185921321645245</x:v>
      </x:c>
      <x:c r="AJ220" s="59" t="n">
        <x:f>1+AJ$9*($H$10*H220+$I$10*I220+$J$10*J220+$K$10*K220+$L$10*L220)</x:f>
        <x:v>1.9730636485294322</x:v>
      </x:c>
      <x:c r="AK220" s="59" t="n">
        <x:f>(1+AH220*(AI220-1))*AJ220</x:f>
        <x:v>4.02480581125525</x:v>
      </x:c>
      <x:c r="AL220" s="59" t="n">
        <x:f>U220*AD220*AK220*F220</x:f>
        <x:v>1701720.9731186912</x:v>
      </x:c>
      <x:c r="AM220" s="59" t="n">
        <x:f>IF($B220&lt;AM$8,0,AM$3+(AM$4-AM$3)*(POWER(AM$5,$B220-AM$8)-1)/(POWER(AM$5,$C$5-AM$8)-1))</x:f>
        <x:v>44.292802889952995</x:v>
      </x:c>
      <x:c r="AN220" s="59" t="n">
        <x:f>(((E220*'模块规划'!$D$10+G220*'模块规划'!$D$11+H220*'模块规划'!$D$13)*(1+'模块规划'!$G$14*H220)+(I220*'模块规划'!$D$15+J220*'模块规划'!$D$17+K220*'模块规划'!$D$16+L220*'模块规划'!$D$18))*(1+'模块规划'!$J$17*J220))*F220/(1-Q220)</x:f>
        <x:v>2256520.7800542186</x:v>
      </x:c>
      <x:c r="AO220" s="59" t="n">
        <x:f>AL220*AM220</x:f>
        <x:v>75373991.63604519</x:v>
      </x:c>
      <x:c r="AP220" s="61" t="n">
        <x:f>IF(AO220="","",INDEX('_曲线基线'!$A$3:$A$502,MIN(ROWS('_曲线基线'!$A$3:$A$502),COUNTIF('_曲线基线'!$E$3:$E$502,"&lt;"&amp;AO220)+1)))</x:f>
        <x:v>271</x:v>
      </x:c>
      <x:c r="AQ220" s="61" t="n">
        <x:f>IF(B220&lt;=2,1,IF(B220&lt;=6,2,IF(B220&lt;=9,3,IF(B220&lt;=19,4,5))))</x:f>
        <x:v>5</x:v>
      </x:c>
      <x:c r="AR220" s="59" t="n">
        <x:f>AN220*(1-Q220)/F220*$AS$3+U220*$AS$4+P220*$AS$5</x:f>
        <x:v>15302.10255873813</x:v>
      </x:c>
      <x:c r="AS220" s="59" t="n">
        <x:f>1+AH220*$AS$6+AI220*$AS$7+(AJ220-1)*$AS$8+($H$10*H220+$I$10*I220+$J$10*J220+$K$10*K220+$L$10*L220)*$AU$3*$AS$9+($H$10*H220+$I$10*I220+$J$10*J220+$K$10*K220+$L$10*L220)*$AU$4*$AS$10</x:f>
        <x:v>16.162668200616196</x:v>
      </x:c>
      <x:c r="AT220" s="60" t="n">
        <x:f>ROUND(AR220*AS220,0)</x:f>
        <x:v>247323</x:v>
      </x:c>
      <x:c r="AU220" s="60" t="n">
        <x:f>ROUND(AT220*F220,0)</x:f>
        <x:v>1236615</x:v>
      </x:c>
      <x:c r="AV220" s="60" t="n">
        <x:f>MIN(MATCH(B220,'主线调参'!$M$11:$M$62,1),ROWS('主线调参'!$M$11:$M$62)-1)</x:f>
        <x:v>43</x:v>
      </x:c>
      <x:c r="AW220" s="62" t="n">
        <x:f>(B220-INDEX('主线调参'!$M$11:$M$62,AV220))/(INDEX('主线调参'!$M$11:$M$62,AV220+1)-INDEX('主线调参'!$M$11:$M$62,AV220))</x:f>
        <x:v>0.2857142857142857</x:v>
      </x:c>
      <x:c r="AX220" s="60" t="n">
        <x:f>IF(AU220=0,0,ROUND(AU220,2-INT(LOG10(ABS(AU220)))))</x:f>
        <x:v>1240000</x:v>
      </x:c>
      <x:c r="AY220" s="62" t="n">
        <x:f>AU220/AU219-1</x:f>
        <x:v>0.0045531717857694165</x:v>
      </x:c>
    </x:row>
    <x:row r="221" ht="25" customHeight="1">
      <x:c r="A221" s="40" t="str">
        <x:f>'调前玩家曲线'!A221</x:f>
      </x:c>
      <x:c r="B221" s="40" t="n">
        <x:f>'调前玩家曲线'!B221</x:f>
        <x:v>210</x:v>
      </x:c>
      <x:c r="C221" s="40" t="n">
        <x:f>'调前玩家曲线'!C221</x:f>
        <x:v>15</x:v>
      </x:c>
      <x:c r="D221" s="40" t="n">
        <x:f>'调前玩家曲线'!D221</x:f>
        <x:v>6</x:v>
      </x:c>
      <x:c r="E221" s="40" t="n">
        <x:f>'调前玩家曲线'!E221</x:f>
        <x:v>1</x:v>
      </x:c>
      <x:c r="F221" s="40" t="n">
        <x:f>'调前玩家曲线'!F221</x:f>
        <x:v>5</x:v>
      </x:c>
      <x:c r="G221" s="63" t="n">
        <x:f>IF(B221&lt;$G$8,0,(INDEX('主线调参'!$C$11:$C$62,$AV221)+(INDEX('主线调参'!$C$11:$C$62,$AV221+1)-INDEX('主线调参'!$C$11:$C$62,$AV221))*$AW221)*'参数说明'!$C$27)</x:f>
        <x:v>0.8162705361978341</x:v>
      </x:c>
      <x:c r="H221" s="63" t="n">
        <x:f>IF(B221&lt;$H$8,0,(INDEX('主线调参'!$D$11:$D$62,$AV221)+(INDEX('主线调参'!$D$11:$D$62,$AV221+1)-INDEX('主线调参'!$D$11:$D$62,$AV221))*$AW221)*'参数说明'!$D$27)</x:f>
        <x:v>0.6357360500650892</x:v>
      </x:c>
      <x:c r="I221" s="63" t="n">
        <x:f>IF(B221&lt;$I$8,0,(INDEX('主线调参'!$E$11:$E$62,$AV221)+(INDEX('主线调参'!$E$11:$E$62,$AV221+1)-INDEX('主线调参'!$E$11:$E$62,$AV221))*$AW221)*'参数说明'!$E$27)</x:f>
        <x:v>0.5636942101702619</x:v>
      </x:c>
      <x:c r="J221" s="63" t="n">
        <x:f>IF(B221&lt;$J$8,0,(INDEX('主线调参'!$F$11:$F$62,$AV221)+(INDEX('主线调参'!$F$11:$F$62,$AV221+1)-INDEX('主线调参'!$F$11:$F$62,$AV221))*$AW221)*'参数说明'!$F$27)</x:f>
        <x:v>0.5302889237021009</x:v>
      </x:c>
      <x:c r="K221" s="63" t="n">
        <x:f>IF(B221&lt;$K$8,0,(INDEX('主线调参'!$G$11:$G$62,$AV221)+(INDEX('主线调参'!$G$11:$G$62,$AV221+1)-INDEX('主线调参'!$G$11:$G$62,$AV221))*$AW221)*'参数说明'!$G$27)</x:f>
        <x:v>0.5376845569921422</x:v>
      </x:c>
      <x:c r="L221" s="63" t="n">
        <x:f>IF(B221&lt;$L$8,0,(INDEX('主线调参'!$H$11:$H$62,$AV221)+(INDEX('主线调参'!$H$11:$H$62,$AV221+1)-INDEX('主线调参'!$H$11:$H$62,$AV221))*$AW221)*'参数说明'!$H$27)</x:f>
        <x:v>0.6327914997113763</x:v>
      </x:c>
      <x:c r="M221" s="59" t="n">
        <x:f>E221*'模块规划'!$F$10+G221*'模块规划'!$F$11+H221*'模块规划'!$F$13</x:f>
        <x:v>4918.098573749603</x:v>
      </x:c>
      <x:c r="N221" s="59" t="n">
        <x:f>I221*'模块规划'!$F$15+J221*'模块规划'!$F$17+K221*'模块规划'!$F$16+L221*'模块规划'!$F$18</x:f>
        <x:v>16202.507758892838</x:v>
      </x:c>
      <x:c r="O221" s="59" t="n">
        <x:f>1+O$9*SUMPRODUCT($H$10:$L$10,H221:L221)/SUM($H$10:$L$10)</x:f>
        <x:v>3.1252157803679865</x:v>
      </x:c>
      <x:c r="P221" s="59" t="n">
        <x:f>M221*O221+N221</x:f>
        <x:v>31572.627030980388</x:v>
      </x:c>
      <x:c r="Q221" s="59" t="n">
        <x:f>P221/(P221+'_曲线基线'!$L$2)</x:f>
        <x:v>0.568132707013822</x:v>
      </x:c>
      <x:c r="R221" s="59" t="n">
        <x:f>E221*'模块规划'!$E$10+G221*'模块规划'!$E$11+H221*'模块规划'!$E$13</x:f>
        <x:v>7377.147860624405</x:v>
      </x:c>
      <x:c r="S221" s="59" t="n">
        <x:f>I221*'模块规划'!$E$15+J221*'模块规划'!$E$17+K221*'模块规划'!$E$16+L221*'模块规划'!$E$18</x:f>
        <x:v>24303.76163833926</x:v>
      </x:c>
      <x:c r="T221" s="59" t="n">
        <x:f>1+T$9*SUMPRODUCT($H$10:$L$10,H221:L221)/SUM($H$10:$L$10)</x:f>
        <x:v>3.1252157803679865</x:v>
      </x:c>
      <x:c r="U221" s="59" t="n">
        <x:f>R221*T221+S221</x:f>
        <x:v>47358.94054647058</x:v>
      </x:c>
      <x:c r="V221" s="59" t="n">
        <x:f>V$8+(V$9-V$8)*H221</x:f>
        <x:v>0.8907208150195267</x:v>
      </x:c>
      <x:c r="W221" s="59" t="n">
        <x:f>IF(B221&lt;$H$8,0,W$8+(W$9-W$8)*H221)</x:f>
        <x:v>0.2542944200260357</x:v>
      </x:c>
      <x:c r="X221" s="59" t="n">
        <x:f>X$8+(X$9-X$8)*H221</x:f>
        <x:v>0.4498274137678996</x:v>
      </x:c>
      <x:c r="Y221" s="59" t="n">
        <x:f>Y$8+(Y$9-Y$8)*G221</x:f>
        <x:v>1</x:v>
      </x:c>
      <x:c r="Z221" s="59" t="n">
        <x:f>Z$8+(Z$9-Z$8)*H221</x:f>
        <x:v>1</x:v>
      </x:c>
      <x:c r="AA221" s="59" t="n">
        <x:f>AA$8+(AA$9-AA$8)*I221</x:f>
        <x:v>1</x:v>
      </x:c>
      <x:c r="AB221" s="59" t="n">
        <x:f>AB$8+(AB$9-AB$8)*J221</x:f>
        <x:v>1</x:v>
      </x:c>
      <x:c r="AC221" s="59" t="n">
        <x:f>AC$8+(AC$9-AC$8)*MAX(K221,L221)</x:f>
        <x:v>1</x:v>
      </x:c>
      <x:c r="AD221" s="59" t="n">
        <x:f>(V221*AE221+W221*AF221+X221*AG221)*PRODUCT(Y221:AC221)</x:f>
        <x:v>1.792069991746608</x:v>
      </x:c>
      <x:c r="AE221" s="59" t="n">
        <x:f>1+AE$9*($H$10*H221+$I$10*I221+$J$10*J221+$K$10*K221+$L$10*L221)</x:f>
        <x:v>1</x:v>
      </x:c>
      <x:c r="AF221" s="59" t="n">
        <x:f>1+AF$9*($H$10*H221+$I$10*I221+$J$10*J221+$K$10*K221+$L$10*L221)</x:f>
        <x:v>1.187569651870535</x:v>
      </x:c>
      <x:c r="AG221" s="59" t="n">
        <x:f>1+AG$9*($H$10*H221+$I$10*I221+$J$10*J221+$K$10*K221+$L$10*L221)</x:f>
        <x:v>1.3324151052594506</x:v>
      </x:c>
      <x:c r="AH221" s="59" t="n">
        <x:f>MIN(1,'_曲线基线'!$L$3+AH$9*($H$10*H221+$I$10*I221+$J$10*J221+$K$10*K221+$L$10*L221))</x:f>
        <x:v>0.4767209580054667</x:v>
      </x:c>
      <x:c r="AI221" s="59" t="n">
        <x:f>'_曲线基线'!$L$4+AI$9*($H$10*H221+$I$10*I221+$J$10*J221+$K$10*K221+$L$10*L221)</x:f>
        <x:v>3.1887226687295147</x:v>
      </x:c>
      <x:c r="AJ221" s="59" t="n">
        <x:f>1+AJ$9*($H$10*H221+$I$10*I221+$J$10*J221+$K$10*K221+$L$10*L221)</x:f>
        <x:v>1.975362189726781</x:v>
      </x:c>
      <x:c r="AK221" s="59" t="n">
        <x:f>(1+AH221*(AI221-1))*AJ221</x:f>
        <x:v>4.036474787801717</x:v>
      </x:c>
      <x:c r="AL221" s="59" t="n">
        <x:f>U221*AD221*AK221*F221</x:f>
        <x:v>1712888.8978763474</x:v>
      </x:c>
      <x:c r="AM221" s="59" t="n">
        <x:f>IF($B221&lt;AM$8,0,AM$3+(AM$4-AM$3)*(POWER(AM$5,$B221-AM$8)-1)/(POWER(AM$5,$C$5-AM$8)-1))</x:f>
        <x:v>44.399155558774396</x:v>
      </x:c>
      <x:c r="AN221" s="59" t="n">
        <x:f>(((E221*'模块规划'!$D$10+G221*'模块规划'!$D$11+H221*'模块规划'!$D$13)*(1+'模块规划'!$G$14*H221)+(I221*'模块规划'!$D$15+J221*'模块规划'!$D$17+K221*'模块规划'!$D$16+L221*'模块规划'!$D$18))*(1+'模块规划'!$J$17*J221))*F221/(1-Q221)</x:f>
        <x:v>2267203.099450185</x:v>
      </x:c>
      <x:c r="AO221" s="59" t="n">
        <x:f>AL221*AM221</x:f>
        <x:v>76050820.63170958</x:v>
      </x:c>
      <x:c r="AP221" s="61" t="n">
        <x:f>IF(AO221="","",INDEX('_曲线基线'!$A$3:$A$502,MIN(ROWS('_曲线基线'!$A$3:$A$502),COUNTIF('_曲线基线'!$E$3:$E$502,"&lt;"&amp;AO221)+1)))</x:f>
        <x:v>272</x:v>
      </x:c>
      <x:c r="AQ221" s="61" t="n">
        <x:f>IF(B221&lt;=2,1,IF(B221&lt;=6,2,IF(B221&lt;=9,3,IF(B221&lt;=19,4,5))))</x:f>
        <x:v>5</x:v>
      </x:c>
      <x:c r="AR221" s="59" t="n">
        <x:f>AN221*(1-Q221)/F221*$AS$3+U221*$AS$4+P221*$AS$5</x:f>
        <x:v>15346.573300550659</x:v>
      </x:c>
      <x:c r="AS221" s="59" t="n">
        <x:f>1+AH221*$AS$6+AI221*$AS$7+(AJ221-1)*$AS$8+($H$10*H221+$I$10*I221+$J$10*J221+$K$10*K221+$L$10*L221)*$AU$3*$AS$9+($H$10*H221+$I$10*I221+$J$10*J221+$K$10*K221+$L$10*L221)*$AU$4*$AS$10</x:f>
        <x:v>16.189079825281393</x:v>
      </x:c>
      <x:c r="AT221" s="60" t="n">
        <x:f>ROUND(AR221*AS221,0)</x:f>
        <x:v>248447</x:v>
      </x:c>
      <x:c r="AU221" s="60" t="n">
        <x:f>ROUND(AT221*F221,0)</x:f>
        <x:v>1242235</x:v>
      </x:c>
      <x:c r="AV221" s="60" t="n">
        <x:f>MIN(MATCH(B221,'主线调参'!$M$11:$M$62,1),ROWS('主线调参'!$M$11:$M$62)-1)</x:f>
        <x:v>43</x:v>
      </x:c>
      <x:c r="AW221" s="62" t="n">
        <x:f>(B221-INDEX('主线调参'!$M$11:$M$62,AV221))/(INDEX('主线调参'!$M$11:$M$62,AV221+1)-INDEX('主线调参'!$M$11:$M$62,AV221))</x:f>
        <x:v>0.35714285714285715</x:v>
      </x:c>
      <x:c r="AX221" s="60" t="n">
        <x:f>IF(AU221=0,0,ROUND(AU221,2-INT(LOG10(ABS(AU221)))))</x:f>
        <x:v>1240000</x:v>
      </x:c>
      <x:c r="AY221" s="62" t="n">
        <x:f>AU221/AU220-1</x:f>
        <x:v>0.00454466426494915</x:v>
      </x:c>
    </x:row>
    <x:row r="222" ht="25" customHeight="1">
      <x:c r="A222" s="40" t="str">
        <x:f>'调前玩家曲线'!A222</x:f>
      </x:c>
      <x:c r="B222" s="40" t="n">
        <x:f>'调前玩家曲线'!B222</x:f>
        <x:v>211</x:v>
      </x:c>
      <x:c r="C222" s="40" t="n">
        <x:f>'调前玩家曲线'!C222</x:f>
        <x:v>15</x:v>
      </x:c>
      <x:c r="D222" s="40" t="n">
        <x:f>'调前玩家曲线'!D222</x:f>
        <x:v>7</x:v>
      </x:c>
      <x:c r="E222" s="40" t="n">
        <x:f>'调前玩家曲线'!E222</x:f>
        <x:v>1</x:v>
      </x:c>
      <x:c r="F222" s="40" t="n">
        <x:f>'调前玩家曲线'!F222</x:f>
        <x:v>5</x:v>
      </x:c>
      <x:c r="G222" s="63" t="n">
        <x:f>IF(B222&lt;$G$8,0,(INDEX('主线调参'!$C$11:$C$62,$AV222)+(INDEX('主线调参'!$C$11:$C$62,$AV222+1)-INDEX('主线调参'!$C$11:$C$62,$AV222))*$AW222)*'参数说明'!$C$27)</x:f>
        <x:v>0.8176358732368991</x:v>
      </x:c>
      <x:c r="H222" s="63" t="n">
        <x:f>IF(B222&lt;$H$8,0,(INDEX('主线调参'!$D$11:$D$62,$AV222)+(INDEX('主线调参'!$D$11:$D$62,$AV222+1)-INDEX('主线调参'!$D$11:$D$62,$AV222))*$AW222)*'参数说明'!$D$27)</x:f>
        <x:v>0.6367571427795794</x:v>
      </x:c>
      <x:c r="I222" s="63" t="n">
        <x:f>IF(B222&lt;$I$8,0,(INDEX('主线调参'!$E$11:$E$62,$AV222)+(INDEX('主线调参'!$E$11:$E$62,$AV222+1)-INDEX('主线调参'!$E$11:$E$62,$AV222))*$AW222)*'参数说明'!$E$27)</x:f>
        <x:v>0.5651757325952853</x:v>
      </x:c>
      <x:c r="J222" s="63" t="n">
        <x:f>IF(B222&lt;$J$8,0,(INDEX('主线调参'!$F$11:$F$62,$AV222)+(INDEX('主线调参'!$F$11:$F$62,$AV222+1)-INDEX('主线调参'!$F$11:$F$62,$AV222))*$AW222)*'参数说明'!$F$27)</x:f>
        <x:v>0.5314151396712398</x:v>
      </x:c>
      <x:c r="K222" s="63" t="n">
        <x:f>IF(B222&lt;$K$8,0,(INDEX('主线调参'!$G$11:$G$62,$AV222)+(INDEX('主线调参'!$G$11:$G$62,$AV222+1)-INDEX('主线调参'!$G$11:$G$62,$AV222))*$AW222)*'参数说明'!$G$27)</x:f>
        <x:v>0.5397965911346183</x:v>
      </x:c>
      <x:c r="L222" s="63" t="n">
        <x:f>IF(B222&lt;$L$8,0,(INDEX('主线调参'!$H$11:$H$62,$AV222)+(INDEX('主线调参'!$H$11:$H$62,$AV222+1)-INDEX('主线调参'!$H$11:$H$62,$AV222))*$AW222)*'参数说明'!$H$27)</x:f>
        <x:v>0.6338729652057543</x:v>
      </x:c>
      <x:c r="M222" s="59" t="n">
        <x:f>E222*'模块规划'!$F$10+G222*'模块规划'!$F$11+H222*'模块规划'!$F$13</x:f>
        <x:v>4924.652191537116</x:v>
      </x:c>
      <x:c r="N222" s="59" t="n">
        <x:f>I222*'模块规划'!$F$15+J222*'模块规划'!$F$17+K222*'模块规划'!$F$16+L222*'模块规划'!$F$18</x:f>
        <x:v>16243.701630311161</x:v>
      </x:c>
      <x:c r="O222" s="59" t="n">
        <x:f>1+O$9*SUMPRODUCT($H$10:$L$10,H222:L222)/SUM($H$10:$L$10)</x:f>
        <x:v>3.130224069674138</x:v>
      </x:c>
      <x:c r="P222" s="59" t="n">
        <x:f>M222*O222+N222</x:f>
        <x:v>31658.966455034133</x:v>
      </x:c>
      <x:c r="Q222" s="59" t="n">
        <x:f>P222/(P222+'_曲线基线'!$L$2)</x:f>
        <x:v>0.5688026291435152</x:v>
      </x:c>
      <x:c r="R222" s="59" t="n">
        <x:f>E222*'模块规划'!$E$10+G222*'模块规划'!$E$11+H222*'模块规划'!$E$13</x:f>
        <x:v>7386.978287305674</x:v>
      </x:c>
      <x:c r="S222" s="59" t="n">
        <x:f>I222*'模块规划'!$E$15+J222*'模块规划'!$E$17+K222*'模块规划'!$E$16+L222*'模块规划'!$E$18</x:f>
        <x:v>24365.55244546674</x:v>
      </x:c>
      <x:c r="T222" s="59" t="n">
        <x:f>1+T$9*SUMPRODUCT($H$10:$L$10,H222:L222)/SUM($H$10:$L$10)</x:f>
        <x:v>3.130224069674138</x:v>
      </x:c>
      <x:c r="U222" s="59" t="n">
        <x:f>R222*T222+S222</x:f>
        <x:v>47488.4496825512</x:v>
      </x:c>
      <x:c r="V222" s="59" t="n">
        <x:f>V$8+(V$9-V$8)*H222</x:f>
        <x:v>0.8910271428338739</x:v>
      </x:c>
      <x:c r="W222" s="59" t="n">
        <x:f>IF(B222&lt;$H$8,0,W$8+(W$9-W$8)*H222)</x:f>
        <x:v>0.25470285711183177</x:v>
      </x:c>
      <x:c r="X222" s="59" t="n">
        <x:f>X$8+(X$9-X$8)*H222</x:f>
        <x:v>0.4501082142643844</x:v>
      </x:c>
      <x:c r="Y222" s="59" t="n">
        <x:f>Y$8+(Y$9-Y$8)*G222</x:f>
        <x:v>1</x:v>
      </x:c>
      <x:c r="Z222" s="59" t="n">
        <x:f>Z$8+(Z$9-Z$8)*H222</x:f>
        <x:v>1</x:v>
      </x:c>
      <x:c r="AA222" s="59" t="n">
        <x:f>AA$8+(AA$9-AA$8)*I222</x:f>
        <x:v>1</x:v>
      </x:c>
      <x:c r="AB222" s="59" t="n">
        <x:f>AB$8+(AB$9-AB$8)*J222</x:f>
        <x:v>1</x:v>
      </x:c>
      <x:c r="AC222" s="59" t="n">
        <x:f>AC$8+(AC$9-AC$8)*MAX(K222,L222)</x:f>
        <x:v>1</x:v>
      </x:c>
      <x:c r="AD222" s="59" t="n">
        <x:f>(V222*AE222+W222*AF222+X222*AG222)*PRODUCT(Y222:AC222)</x:f>
        <x:v>1.793700696877333</x:v>
      </x:c>
      <x:c r="AE222" s="59" t="n">
        <x:f>1+AE$9*($H$10*H222+$I$10*I222+$J$10*J222+$K$10*K222+$L$10*L222)</x:f>
        <x:v>1</x:v>
      </x:c>
      <x:c r="AF222" s="59" t="n">
        <x:f>1+AF$9*($H$10*H222+$I$10*I222+$J$10*J222+$K$10*K222+$L$10*L222)</x:f>
        <x:v>1.1880116790238715</x:v>
      </x:c>
      <x:c r="AG222" s="59" t="n">
        <x:f>1+AG$9*($H$10*H222+$I$10*I222+$J$10*J222+$K$10*K222+$L$10*L222)</x:f>
        <x:v>1.3331984756034192</x:v>
      </x:c>
      <x:c r="AH222" s="59" t="n">
        <x:f>MIN(1,'_曲线基线'!$L$3+AH$9*($H$10*H222+$I$10*I222+$J$10*J222+$K$10*K222+$L$10*L222))</x:f>
        <x:v>0.47772656977930705</x:v>
      </x:c>
      <x:c r="AI222" s="59" t="n">
        <x:f>'_曲线基线'!$L$4+AI$9*($H$10*H222+$I$10*I222+$J$10*J222+$K$10*K222+$L$10*L222)</x:f>
        <x:v>3.1915240158137843</x:v>
      </x:c>
      <x:c r="AJ222" s="59" t="n">
        <x:f>1+AJ$9*($H$10*H222+$I$10*I222+$J$10*J222+$K$10*K222+$L$10*L222)</x:f>
        <x:v>1.9776607309241305</x:v>
      </x:c>
      <x:c r="AK222" s="59" t="n">
        <x:f>(1+AH222*(AI222-1))*AJ222</x:f>
        <x:v>4.0481711512321565</x:v>
      </x:c>
      <x:c r="AL222" s="59" t="n">
        <x:f>U222*AD222*AK222*F222</x:f>
        <x:v>1724117.4148193842</x:v>
      </x:c>
      <x:c r="AM222" s="59" t="n">
        <x:f>IF($B222&lt;AM$8,0,AM$3+(AM$4-AM$3)*(POWER(AM$5,$B222-AM$8)-1)/(POWER(AM$5,$C$5-AM$8)-1))</x:f>
        <x:v>44.50657175428401</x:v>
      </x:c>
      <x:c r="AN222" s="59" t="n">
        <x:f>(((E222*'模块规划'!$D$10+G222*'模块规划'!$D$11+H222*'模块规划'!$D$13)*(1+'模块规划'!$G$14*H222)+(I222*'模块规划'!$D$15+J222*'模块规划'!$D$17+K222*'模块规划'!$D$16+L222*'模块规划'!$D$18))*(1+'模块规划'!$J$17*J222))*F222/(1-Q222)</x:f>
        <x:v>2277920.300357163</x:v>
      </x:c>
      <x:c r="AO222" s="59" t="n">
        <x:f>AL222*AM222</x:f>
        <x:v>76734555.43546957</x:v>
      </x:c>
      <x:c r="AP222" s="61" t="n">
        <x:f>IF(AO222="","",INDEX('_曲线基线'!$A$3:$A$502,MIN(ROWS('_曲线基线'!$A$3:$A$502),COUNTIF('_曲线基线'!$E$3:$E$502,"&lt;"&amp;AO222)+1)))</x:f>
        <x:v>273</x:v>
      </x:c>
      <x:c r="AQ222" s="61" t="n">
        <x:f>IF(B222&lt;=2,1,IF(B222&lt;=6,2,IF(B222&lt;=9,3,IF(B222&lt;=19,4,5))))</x:f>
        <x:v>5</x:v>
      </x:c>
      <x:c r="AR222" s="59" t="n">
        <x:f>AN222*(1-Q222)/F222*$AS$3+U222*$AS$4+P222*$AS$5</x:f>
        <x:v>15391.089403717977</x:v>
      </x:c>
      <x:c r="AS222" s="59" t="n">
        <x:f>1+AH222*$AS$6+AI222*$AS$7+(AJ222-1)*$AS$8+($H$10*H222+$I$10*I222+$J$10*J222+$K$10*K222+$L$10*L222)*$AU$3*$AS$9+($H$10*H222+$I$10*I222+$J$10*J222+$K$10*K222+$L$10*L222)*$AU$4*$AS$10</x:f>
        <x:v>16.2154914499466</x:v>
      </x:c>
      <x:c r="AT222" s="60" t="n">
        <x:f>ROUND(AR222*AS222,0)</x:f>
        <x:v>249574</x:v>
      </x:c>
      <x:c r="AU222" s="60" t="n">
        <x:f>ROUND(AT222*F222,0)</x:f>
        <x:v>1247870</x:v>
      </x:c>
      <x:c r="AV222" s="60" t="n">
        <x:f>MIN(MATCH(B222,'主线调参'!$M$11:$M$62,1),ROWS('主线调参'!$M$11:$M$62)-1)</x:f>
        <x:v>43</x:v>
      </x:c>
      <x:c r="AW222" s="62" t="n">
        <x:f>(B222-INDEX('主线调参'!$M$11:$M$62,AV222))/(INDEX('主线调参'!$M$11:$M$62,AV222+1)-INDEX('主线调参'!$M$11:$M$62,AV222))</x:f>
        <x:v>0.42857142857142855</x:v>
      </x:c>
      <x:c r="AX222" s="60" t="n">
        <x:f>IF(AU222=0,0,ROUND(AU222,2-INT(LOG10(ABS(AU222)))))</x:f>
        <x:v>1250000</x:v>
      </x:c>
      <x:c r="AY222" s="62" t="n">
        <x:f>AU222/AU221-1</x:f>
        <x:v>0.004536178742347463</x:v>
      </x:c>
    </x:row>
    <x:row r="223" ht="25" customHeight="1">
      <x:c r="A223" s="40" t="str">
        <x:f>'调前玩家曲线'!A223</x:f>
      </x:c>
      <x:c r="B223" s="40" t="n">
        <x:f>'调前玩家曲线'!B223</x:f>
        <x:v>212</x:v>
      </x:c>
      <x:c r="C223" s="40" t="n">
        <x:f>'调前玩家曲线'!C223</x:f>
        <x:v>15</x:v>
      </x:c>
      <x:c r="D223" s="40" t="n">
        <x:f>'调前玩家曲线'!D223</x:f>
        <x:v>8</x:v>
      </x:c>
      <x:c r="E223" s="40" t="n">
        <x:f>'调前玩家曲线'!E223</x:f>
        <x:v>1</x:v>
      </x:c>
      <x:c r="F223" s="40" t="n">
        <x:f>'调前玩家曲线'!F223</x:f>
        <x:v>5</x:v>
      </x:c>
      <x:c r="G223" s="63" t="n">
        <x:f>IF(B223&lt;$G$8,0,(INDEX('主线调参'!$C$11:$C$62,$AV223)+(INDEX('主线调参'!$C$11:$C$62,$AV223+1)-INDEX('主线调参'!$C$11:$C$62,$AV223))*$AW223)*'参数说明'!$C$27)</x:f>
        <x:v>0.8190012102759641</x:v>
      </x:c>
      <x:c r="H223" s="63" t="n">
        <x:f>IF(B223&lt;$H$8,0,(INDEX('主线调参'!$D$11:$D$62,$AV223)+(INDEX('主线调参'!$D$11:$D$62,$AV223+1)-INDEX('主线调参'!$D$11:$D$62,$AV223))*$AW223)*'参数说明'!$D$27)</x:f>
        <x:v>0.6377782354940696</x:v>
      </x:c>
      <x:c r="I223" s="63" t="n">
        <x:f>IF(B223&lt;$I$8,0,(INDEX('主线调参'!$E$11:$E$62,$AV223)+(INDEX('主线调参'!$E$11:$E$62,$AV223+1)-INDEX('主线调参'!$E$11:$E$62,$AV223))*$AW223)*'参数说明'!$E$27)</x:f>
        <x:v>0.5666572550203087</x:v>
      </x:c>
      <x:c r="J223" s="63" t="n">
        <x:f>IF(B223&lt;$J$8,0,(INDEX('主线调参'!$F$11:$F$62,$AV223)+(INDEX('主线调参'!$F$11:$F$62,$AV223+1)-INDEX('主线调参'!$F$11:$F$62,$AV223))*$AW223)*'参数说明'!$F$27)</x:f>
        <x:v>0.5325413556403785</x:v>
      </x:c>
      <x:c r="K223" s="63" t="n">
        <x:f>IF(B223&lt;$K$8,0,(INDEX('主线调参'!$G$11:$G$62,$AV223)+(INDEX('主线调参'!$G$11:$G$62,$AV223+1)-INDEX('主线调参'!$G$11:$G$62,$AV223))*$AW223)*'参数说明'!$G$27)</x:f>
        <x:v>0.5419086252770943</x:v>
      </x:c>
      <x:c r="L223" s="63" t="n">
        <x:f>IF(B223&lt;$L$8,0,(INDEX('主线调参'!$H$11:$H$62,$AV223)+(INDEX('主线调参'!$H$11:$H$62,$AV223+1)-INDEX('主线调参'!$H$11:$H$62,$AV223))*$AW223)*'参数说明'!$H$27)</x:f>
        <x:v>0.6349544307001325</x:v>
      </x:c>
      <x:c r="M223" s="59" t="n">
        <x:f>E223*'模块规划'!$F$10+G223*'模块规划'!$F$11+H223*'模块规划'!$F$13</x:f>
        <x:v>4931.205809324627</x:v>
      </x:c>
      <x:c r="N223" s="59" t="n">
        <x:f>I223*'模块规划'!$F$15+J223*'模块规划'!$F$17+K223*'模块规划'!$F$16+L223*'模块规划'!$F$18</x:f>
        <x:v>16284.895501729483</x:v>
      </x:c>
      <x:c r="O223" s="59" t="n">
        <x:f>1+O$9*SUMPRODUCT($H$10:$L$10,H223:L223)/SUM($H$10:$L$10)</x:f>
        <x:v>3.1352323589802884</x:v>
      </x:c>
      <x:c r="P223" s="59" t="n">
        <x:f>M223*O223+N223</x:f>
        <x:v>31745.371523915637</x:v>
      </x:c>
      <x:c r="Q223" s="59" t="n">
        <x:f>P223/(P223+'_曲线基线'!$L$2)</x:f>
        <x:v>0.5694709830805662</x:v>
      </x:c>
      <x:c r="R223" s="59" t="n">
        <x:f>E223*'模块规划'!$E$10+G223*'模块规划'!$E$11+H223*'模块规划'!$E$13</x:f>
        <x:v>7396.808713986941</x:v>
      </x:c>
      <x:c r="S223" s="59" t="n">
        <x:f>I223*'模块规划'!$E$15+J223*'模块规划'!$E$17+K223*'模块规划'!$E$16+L223*'模块规划'!$E$18</x:f>
        <x:v>24427.343252594223</x:v>
      </x:c>
      <x:c r="T223" s="59" t="n">
        <x:f>1+T$9*SUMPRODUCT($H$10:$L$10,H223:L223)/SUM($H$10:$L$10)</x:f>
        <x:v>3.1352323589802884</x:v>
      </x:c>
      <x:c r="U223" s="59" t="n">
        <x:f>R223*T223+S223</x:f>
        <x:v>47618.05728587345</x:v>
      </x:c>
      <x:c r="V223" s="59" t="n">
        <x:f>V$8+(V$9-V$8)*H223</x:f>
        <x:v>0.8913334706482209</x:v>
      </x:c>
      <x:c r="W223" s="59" t="n">
        <x:f>IF(B223&lt;$H$8,0,W$8+(W$9-W$8)*H223)</x:f>
        <x:v>0.25511129419762785</x:v>
      </x:c>
      <x:c r="X223" s="59" t="n">
        <x:f>X$8+(X$9-X$8)*H223</x:f>
        <x:v>0.4503890147608692</x:v>
      </x:c>
      <x:c r="Y223" s="59" t="n">
        <x:f>Y$8+(Y$9-Y$8)*G223</x:f>
        <x:v>1</x:v>
      </x:c>
      <x:c r="Z223" s="59" t="n">
        <x:f>Z$8+(Z$9-Z$8)*H223</x:f>
        <x:v>1</x:v>
      </x:c>
      <x:c r="AA223" s="59" t="n">
        <x:f>AA$8+(AA$9-AA$8)*I223</x:f>
        <x:v>1</x:v>
      </x:c>
      <x:c r="AB223" s="59" t="n">
        <x:f>AB$8+(AB$9-AB$8)*J223</x:f>
        <x:v>1</x:v>
      </x:c>
      <x:c r="AC223" s="59" t="n">
        <x:f>AC$8+(AC$9-AC$8)*MAX(K223,L223)</x:f>
        <x:v>1</x:v>
      </x:c>
      <x:c r="AD223" s="59" t="n">
        <x:f>(V223*AE223+W223*AF223+X223*AG223)*PRODUCT(Y223:AC223)</x:f>
        <x:v>1.7953322030301853</x:v>
      </x:c>
      <x:c r="AE223" s="59" t="n">
        <x:f>1+AE$9*($H$10*H223+$I$10*I223+$J$10*J223+$K$10*K223+$L$10*L223)</x:f>
        <x:v>1</x:v>
      </x:c>
      <x:c r="AF223" s="59" t="n">
        <x:f>1+AF$9*($H$10*H223+$I$10*I223+$J$10*J223+$K$10*K223+$L$10*L223)</x:f>
        <x:v>1.1884537061772078</x:v>
      </x:c>
      <x:c r="AG223" s="59" t="n">
        <x:f>1+AG$9*($H$10*H223+$I$10*I223+$J$10*J223+$K$10*K223+$L$10*L223)</x:f>
        <x:v>1.3339818459473876</x:v>
      </x:c>
      <x:c r="AH223" s="59" t="n">
        <x:f>MIN(1,'_曲线基线'!$L$3+AH$9*($H$10*H223+$I$10*I223+$J$10*J223+$K$10*K223+$L$10*L223))</x:f>
        <x:v>0.47873218155314734</x:v>
      </x:c>
      <x:c r="AI223" s="59" t="n">
        <x:f>'_曲线基线'!$L$4+AI$9*($H$10*H223+$I$10*I223+$J$10*J223+$K$10*K223+$L$10*L223)</x:f>
        <x:v>3.194325362898053</x:v>
      </x:c>
      <x:c r="AJ223" s="59" t="n">
        <x:f>1+AJ$9*($H$10*H223+$I$10*I223+$J$10*J223+$K$10*K223+$L$10*L223)</x:f>
        <x:v>1.9799592721214796</x:v>
      </x:c>
      <x:c r="AK223" s="59" t="n">
        <x:f>(1+AH223*(AI223-1))*AJ223</x:f>
        <x:v>4.05989494039744</x:v>
      </x:c>
      <x:c r="AL223" s="59" t="n">
        <x:f>U223*AD223*AK223*F223</x:f>
        <x:v>1735406.795479793</x:v>
      </x:c>
      <x:c r="AM223" s="59" t="n">
        <x:f>IF($B223&lt;AM$8,0,AM$3+(AM$4-AM$3)*(POWER(AM$5,$B223-AM$8)-1)/(POWER(AM$5,$C$5-AM$8)-1))</x:f>
        <x:v>44.61506211174872</x:v>
      </x:c>
      <x:c r="AN223" s="59" t="n">
        <x:f>(((E223*'模块规划'!$D$10+G223*'模块规划'!$D$11+H223*'模块规划'!$D$13)*(1+'模块规划'!$G$14*H223)+(I223*'模块规划'!$D$15+J223*'模块规划'!$D$17+K223*'模块规划'!$D$16+L223*'模块规划'!$D$18))*(1+'模块规划'!$J$17*J223))*F223/(1-Q223)</x:f>
        <x:v>2288672.457237718</x:v>
      </x:c>
      <x:c r="AO223" s="59" t="n">
        <x:f>AL223*AM223</x:f>
        <x:v>77425281.96948178</x:v>
      </x:c>
      <x:c r="AP223" s="61" t="n">
        <x:f>IF(AO223="","",INDEX('_曲线基线'!$A$3:$A$502,MIN(ROWS('_曲线基线'!$A$3:$A$502),COUNTIF('_曲线基线'!$E$3:$E$502,"&lt;"&amp;AO223)+1)))</x:f>
        <x:v>273</x:v>
      </x:c>
      <x:c r="AQ223" s="61" t="n">
        <x:f>IF(B223&lt;=2,1,IF(B223&lt;=6,2,IF(B223&lt;=9,3,IF(B223&lt;=19,4,5))))</x:f>
        <x:v>5</x:v>
      </x:c>
      <x:c r="AR223" s="59" t="n">
        <x:f>AN223*(1-Q223)/F223*$AS$3+U223*$AS$4+P223*$AS$5</x:f>
        <x:v>15435.650875565529</x:v>
      </x:c>
      <x:c r="AS223" s="59" t="n">
        <x:f>1+AH223*$AS$6+AI223*$AS$7+(AJ223-1)*$AS$8+($H$10*H223+$I$10*I223+$J$10*J223+$K$10*K223+$L$10*L223)*$AU$3*$AS$9+($H$10*H223+$I$10*I223+$J$10*J223+$K$10*K223+$L$10*L223)*$AU$4*$AS$10</x:f>
        <x:v>16.2419030746118</x:v>
      </x:c>
      <x:c r="AT223" s="60" t="n">
        <x:f>ROUND(AR223*AS223,0)</x:f>
        <x:v>250704</x:v>
      </x:c>
      <x:c r="AU223" s="60" t="n">
        <x:f>ROUND(AT223*F223,0)</x:f>
        <x:v>1253520</x:v>
      </x:c>
      <x:c r="AV223" s="60" t="n">
        <x:f>MIN(MATCH(B223,'主线调参'!$M$11:$M$62,1),ROWS('主线调参'!$M$11:$M$62)-1)</x:f>
        <x:v>43</x:v>
      </x:c>
      <x:c r="AW223" s="62" t="n">
        <x:f>(B223-INDEX('主线调参'!$M$11:$M$62,AV223))/(INDEX('主线调参'!$M$11:$M$62,AV223+1)-INDEX('主线调参'!$M$11:$M$62,AV223))</x:f>
        <x:v>0.5</x:v>
      </x:c>
      <x:c r="AX223" s="60" t="n">
        <x:f>IF(AU223=0,0,ROUND(AU223,2-INT(LOG10(ABS(AU223)))))</x:f>
        <x:v>1250000</x:v>
      </x:c>
      <x:c r="AY223" s="62" t="n">
        <x:f>AU223/AU222-1</x:f>
        <x:v>0.004527715226746443</x:v>
      </x:c>
    </x:row>
    <x:row r="224" ht="25" customHeight="1">
      <x:c r="A224" s="40" t="str">
        <x:f>'调前玩家曲线'!A224</x:f>
      </x:c>
      <x:c r="B224" s="40" t="n">
        <x:f>'调前玩家曲线'!B224</x:f>
        <x:v>213</x:v>
      </x:c>
      <x:c r="C224" s="40" t="n">
        <x:f>'调前玩家曲线'!C224</x:f>
        <x:v>15</x:v>
      </x:c>
      <x:c r="D224" s="40" t="n">
        <x:f>'调前玩家曲线'!D224</x:f>
        <x:v>9</x:v>
      </x:c>
      <x:c r="E224" s="40" t="n">
        <x:f>'调前玩家曲线'!E224</x:f>
        <x:v>1</x:v>
      </x:c>
      <x:c r="F224" s="40" t="n">
        <x:f>'调前玩家曲线'!F224</x:f>
        <x:v>5</x:v>
      </x:c>
      <x:c r="G224" s="63" t="n">
        <x:f>IF(B224&lt;$G$8,0,(INDEX('主线调参'!$C$11:$C$62,$AV224)+(INDEX('主线调参'!$C$11:$C$62,$AV224+1)-INDEX('主线调参'!$C$11:$C$62,$AV224))*$AW224)*'参数说明'!$C$27)</x:f>
        <x:v>0.8203665473150291</x:v>
      </x:c>
      <x:c r="H224" s="63" t="n">
        <x:f>IF(B224&lt;$H$8,0,(INDEX('主线调参'!$D$11:$D$62,$AV224)+(INDEX('主线调参'!$D$11:$D$62,$AV224+1)-INDEX('主线调参'!$D$11:$D$62,$AV224))*$AW224)*'参数说明'!$D$27)</x:f>
        <x:v>0.63879932820856</x:v>
      </x:c>
      <x:c r="I224" s="63" t="n">
        <x:f>IF(B224&lt;$I$8,0,(INDEX('主线调参'!$E$11:$E$62,$AV224)+(INDEX('主线调参'!$E$11:$E$62,$AV224+1)-INDEX('主线调参'!$E$11:$E$62,$AV224))*$AW224)*'参数说明'!$E$27)</x:f>
        <x:v>0.568138777445332</x:v>
      </x:c>
      <x:c r="J224" s="63" t="n">
        <x:f>IF(B224&lt;$J$8,0,(INDEX('主线调参'!$F$11:$F$62,$AV224)+(INDEX('主线调参'!$F$11:$F$62,$AV224+1)-INDEX('主线调参'!$F$11:$F$62,$AV224))*$AW224)*'参数说明'!$F$27)</x:f>
        <x:v>0.5336675716095174</x:v>
      </x:c>
      <x:c r="K224" s="63" t="n">
        <x:f>IF(B224&lt;$K$8,0,(INDEX('主线调参'!$G$11:$G$62,$AV224)+(INDEX('主线调参'!$G$11:$G$62,$AV224+1)-INDEX('主线调参'!$G$11:$G$62,$AV224))*$AW224)*'参数说明'!$G$27)</x:f>
        <x:v>0.5440206594195703</x:v>
      </x:c>
      <x:c r="L224" s="63" t="n">
        <x:f>IF(B224&lt;$L$8,0,(INDEX('主线调参'!$H$11:$H$62,$AV224)+(INDEX('主线调参'!$H$11:$H$62,$AV224+1)-INDEX('主线调参'!$H$11:$H$62,$AV224))*$AW224)*'参数说明'!$H$27)</x:f>
        <x:v>0.6360358961945105</x:v>
      </x:c>
      <x:c r="M224" s="59" t="n">
        <x:f>E224*'模块规划'!$F$10+G224*'模块规划'!$F$11+H224*'模块规划'!$F$13</x:f>
        <x:v>4937.75942711214</x:v>
      </x:c>
      <x:c r="N224" s="59" t="n">
        <x:f>I224*'模块规划'!$F$15+J224*'模块规划'!$F$17+K224*'模块规划'!$F$16+L224*'模块规划'!$F$18</x:f>
        <x:v>16326.089373147805</x:v>
      </x:c>
      <x:c r="O224" s="59" t="n">
        <x:f>1+O$9*SUMPRODUCT($H$10:$L$10,H224:L224)/SUM($H$10:$L$10)</x:f>
        <x:v>3.1402406482864396</x:v>
      </x:c>
      <x:c r="P224" s="59" t="n">
        <x:f>M224*O224+N224</x:f>
        <x:v>31831.842237624907</x:v>
      </x:c>
      <x:c r="Q224" s="59" t="n">
        <x:f>P224/(P224+'_曲线基线'!$L$2)</x:f>
        <x:v>0.5701377737482846</x:v>
      </x:c>
      <x:c r="R224" s="59" t="n">
        <x:f>E224*'模块规划'!$E$10+G224*'模块规划'!$E$11+H224*'模块规划'!$E$13</x:f>
        <x:v>7406.63914066821</x:v>
      </x:c>
      <x:c r="S224" s="59" t="n">
        <x:f>I224*'模块规划'!$E$15+J224*'模块规划'!$E$17+K224*'模块规划'!$E$16+L224*'模块规划'!$E$18</x:f>
        <x:v>24489.134059721706</x:v>
      </x:c>
      <x:c r="T224" s="59" t="n">
        <x:f>1+T$9*SUMPRODUCT($H$10:$L$10,H224:L224)/SUM($H$10:$L$10)</x:f>
        <x:v>3.1402406482864396</x:v>
      </x:c>
      <x:c r="U224" s="59" t="n">
        <x:f>R224*T224+S224</x:f>
        <x:v>47747.76335643736</x:v>
      </x:c>
      <x:c r="V224" s="59" t="n">
        <x:f>V$8+(V$9-V$8)*H224</x:f>
        <x:v>0.891639798462568</x:v>
      </x:c>
      <x:c r="W224" s="59" t="n">
        <x:f>IF(B224&lt;$H$8,0,W$8+(W$9-W$8)*H224)</x:f>
        <x:v>0.25551973128342403</x:v>
      </x:c>
      <x:c r="X224" s="59" t="n">
        <x:f>X$8+(X$9-X$8)*H224</x:f>
        <x:v>0.45066981525735406</x:v>
      </x:c>
      <x:c r="Y224" s="59" t="n">
        <x:f>Y$8+(Y$9-Y$8)*G224</x:f>
        <x:v>1</x:v>
      </x:c>
      <x:c r="Z224" s="59" t="n">
        <x:f>Z$8+(Z$9-Z$8)*H224</x:f>
        <x:v>1</x:v>
      </x:c>
      <x:c r="AA224" s="59" t="n">
        <x:f>AA$8+(AA$9-AA$8)*I224</x:f>
        <x:v>1</x:v>
      </x:c>
      <x:c r="AB224" s="59" t="n">
        <x:f>AB$8+(AB$9-AB$8)*J224</x:f>
        <x:v>1</x:v>
      </x:c>
      <x:c r="AC224" s="59" t="n">
        <x:f>AC$8+(AC$9-AC$8)*MAX(K224,L224)</x:f>
        <x:v>1</x:v>
      </x:c>
      <x:c r="AD224" s="59" t="n">
        <x:f>(V224*AE224+W224*AF224+X224*AG224)*PRODUCT(Y224:AC224)</x:f>
        <x:v>1.7969645102051657</x:v>
      </x:c>
      <x:c r="AE224" s="59" t="n">
        <x:f>1+AE$9*($H$10*H224+$I$10*I224+$J$10*J224+$K$10*K224+$L$10*L224)</x:f>
        <x:v>1</x:v>
      </x:c>
      <x:c r="AF224" s="59" t="n">
        <x:f>1+AF$9*($H$10*H224+$I$10*I224+$J$10*J224+$K$10*K224+$L$10*L224)</x:f>
        <x:v>1.188895733330544</x:v>
      </x:c>
      <x:c r="AG224" s="59" t="n">
        <x:f>1+AG$9*($H$10*H224+$I$10*I224+$J$10*J224+$K$10*K224+$L$10*L224)</x:f>
        <x:v>1.334765216291356</x:v>
      </x:c>
      <x:c r="AH224" s="59" t="n">
        <x:f>MIN(1,'_曲线基线'!$L$3+AH$9*($H$10*H224+$I$10*I224+$J$10*J224+$K$10*K224+$L$10*L224))</x:f>
        <x:v>0.4797377933269876</x:v>
      </x:c>
      <x:c r="AI224" s="59" t="n">
        <x:f>'_曲线基线'!$L$4+AI$9*($H$10*H224+$I$10*I224+$J$10*J224+$K$10*K224+$L$10*L224)</x:f>
        <x:v>3.1971267099823226</x:v>
      </x:c>
      <x:c r="AJ224" s="59" t="n">
        <x:f>1+AJ$9*($H$10*H224+$I$10*I224+$J$10*J224+$K$10*K224+$L$10*L224)</x:f>
        <x:v>1.9822578133188289</x:v>
      </x:c>
      <x:c r="AK224" s="59" t="n">
        <x:f>(1+AH224*(AI224-1))*AJ224</x:f>
        <x:v>4.071646194148446</x:v>
      </x:c>
      <x:c r="AL224" s="59" t="n">
        <x:f>U224*AD224*AK224*F224</x:f>
        <x:v>1746757.312350029</x:v>
      </x:c>
      <x:c r="AM224" s="59" t="n">
        <x:f>IF($B224&lt;AM$8,0,AM$3+(AM$4-AM$3)*(POWER(AM$5,$B224-AM$8)-1)/(POWER(AM$5,$C$5-AM$8)-1))</x:f>
        <x:v>44.724637372788074</x:v>
      </x:c>
      <x:c r="AN224" s="59" t="n">
        <x:f>(((E224*'模块规划'!$D$10+G224*'模块规划'!$D$11+H224*'模块规划'!$D$13)*(1+'模块规划'!$G$14*H224)+(I224*'模块规划'!$D$15+J224*'模块规划'!$D$17+K224*'模块规划'!$D$16+L224*'模块规划'!$D$18))*(1+'模块规划'!$J$17*J224))*F224/(1-Q224)</x:f>
        <x:v>2299459.644642217</x:v>
      </x:c>
      <x:c r="AO224" s="59" t="n">
        <x:f>AL224*AM224</x:f>
        <x:v>78123087.37312095</x:v>
      </x:c>
      <x:c r="AP224" s="61" t="n">
        <x:f>IF(AO224="","",INDEX('_曲线基线'!$A$3:$A$502,MIN(ROWS('_曲线基线'!$A$3:$A$502),COUNTIF('_曲线基线'!$E$3:$E$502,"&lt;"&amp;AO224)+1)))</x:f>
        <x:v>274</x:v>
      </x:c>
      <x:c r="AQ224" s="61" t="n">
        <x:f>IF(B224&lt;=2,1,IF(B224&lt;=6,2,IF(B224&lt;=9,3,IF(B224&lt;=19,4,5))))</x:f>
        <x:v>5</x:v>
      </x:c>
      <x:c r="AR224" s="59" t="n">
        <x:f>AN224*(1-Q224)/F224*$AS$3+U224*$AS$4+P224*$AS$5</x:f>
        <x:v>15480.257723418763</x:v>
      </x:c>
      <x:c r="AS224" s="59" t="n">
        <x:f>1+AH224*$AS$6+AI224*$AS$7+(AJ224-1)*$AS$8+($H$10*H224+$I$10*I224+$J$10*J224+$K$10*K224+$L$10*L224)*$AU$3*$AS$9+($H$10*H224+$I$10*I224+$J$10*J224+$K$10*K224+$L$10*L224)*$AU$4*$AS$10</x:f>
        <x:v>16.268314699277003</x:v>
      </x:c>
      <x:c r="AT224" s="60" t="n">
        <x:f>ROUND(AR224*AS224,0)</x:f>
        <x:v>251838</x:v>
      </x:c>
      <x:c r="AU224" s="60" t="n">
        <x:f>ROUND(AT224*F224,0)</x:f>
        <x:v>1259190</x:v>
      </x:c>
      <x:c r="AV224" s="60" t="n">
        <x:f>MIN(MATCH(B224,'主线调参'!$M$11:$M$62,1),ROWS('主线调参'!$M$11:$M$62)-1)</x:f>
        <x:v>43</x:v>
      </x:c>
      <x:c r="AW224" s="62" t="n">
        <x:f>(B224-INDEX('主线调参'!$M$11:$M$62,AV224))/(INDEX('主线调参'!$M$11:$M$62,AV224+1)-INDEX('主线调参'!$M$11:$M$62,AV224))</x:f>
        <x:v>0.5714285714285714</x:v>
      </x:c>
      <x:c r="AX224" s="60" t="n">
        <x:f>IF(AU224=0,0,ROUND(AU224,2-INT(LOG10(ABS(AU224)))))</x:f>
        <x:v>1260000</x:v>
      </x:c>
      <x:c r="AY224" s="62" t="n">
        <x:f>AU224/AU223-1</x:f>
        <x:v>0.004523262492820201</x:v>
      </x:c>
    </x:row>
    <x:row r="225" ht="25" customHeight="1">
      <x:c r="A225" s="40" t="str">
        <x:f>'调前玩家曲线'!A225</x:f>
      </x:c>
      <x:c r="B225" s="40" t="n">
        <x:f>'调前玩家曲线'!B225</x:f>
        <x:v>214</x:v>
      </x:c>
      <x:c r="C225" s="40" t="n">
        <x:f>'调前玩家曲线'!C225</x:f>
        <x:v>15</x:v>
      </x:c>
      <x:c r="D225" s="40" t="n">
        <x:f>'调前玩家曲线'!D225</x:f>
        <x:v>10</x:v>
      </x:c>
      <x:c r="E225" s="40" t="n">
        <x:f>'调前玩家曲线'!E225</x:f>
        <x:v>1</x:v>
      </x:c>
      <x:c r="F225" s="40" t="n">
        <x:f>'调前玩家曲线'!F225</x:f>
        <x:v>5</x:v>
      </x:c>
      <x:c r="G225" s="63" t="n">
        <x:f>IF(B225&lt;$G$8,0,(INDEX('主线调参'!$C$11:$C$62,$AV225)+(INDEX('主线调参'!$C$11:$C$62,$AV225+1)-INDEX('主线调参'!$C$11:$C$62,$AV225))*$AW225)*'参数说明'!$C$27)</x:f>
        <x:v>0.821731884354094</x:v>
      </x:c>
      <x:c r="H225" s="63" t="n">
        <x:f>IF(B225&lt;$H$8,0,(INDEX('主线调参'!$D$11:$D$62,$AV225)+(INDEX('主线调参'!$D$11:$D$62,$AV225+1)-INDEX('主线调参'!$D$11:$D$62,$AV225))*$AW225)*'参数说明'!$D$27)</x:f>
        <x:v>0.6398204209230502</x:v>
      </x:c>
      <x:c r="I225" s="63" t="n">
        <x:f>IF(B225&lt;$I$8,0,(INDEX('主线调参'!$E$11:$E$62,$AV225)+(INDEX('主线调参'!$E$11:$E$62,$AV225+1)-INDEX('主线调参'!$E$11:$E$62,$AV225))*$AW225)*'参数说明'!$E$27)</x:f>
        <x:v>0.5696202998703555</x:v>
      </x:c>
      <x:c r="J225" s="63" t="n">
        <x:f>IF(B225&lt;$J$8,0,(INDEX('主线调参'!$F$11:$F$62,$AV225)+(INDEX('主线调参'!$F$11:$F$62,$AV225+1)-INDEX('主线调参'!$F$11:$F$62,$AV225))*$AW225)*'参数说明'!$F$27)</x:f>
        <x:v>0.5347937875786563</x:v>
      </x:c>
      <x:c r="K225" s="63" t="n">
        <x:f>IF(B225&lt;$K$8,0,(INDEX('主线调参'!$G$11:$G$62,$AV225)+(INDEX('主线调参'!$G$11:$G$62,$AV225+1)-INDEX('主线调参'!$G$11:$G$62,$AV225))*$AW225)*'参数说明'!$G$27)</x:f>
        <x:v>0.5461326935620464</x:v>
      </x:c>
      <x:c r="L225" s="63" t="n">
        <x:f>IF(B225&lt;$L$8,0,(INDEX('主线调参'!$H$11:$H$62,$AV225)+(INDEX('主线调参'!$H$11:$H$62,$AV225+1)-INDEX('主线调参'!$H$11:$H$62,$AV225))*$AW225)*'参数说明'!$H$27)</x:f>
        <x:v>0.6371173616888886</x:v>
      </x:c>
      <x:c r="M225" s="59" t="n">
        <x:f>E225*'模块规划'!$F$10+G225*'模块规划'!$F$11+H225*'模块规划'!$F$13</x:f>
        <x:v>4944.313044899652</x:v>
      </x:c>
      <x:c r="N225" s="59" t="n">
        <x:f>I225*'模块规划'!$F$15+J225*'模块规划'!$F$17+K225*'模块规划'!$F$16+L225*'模块规划'!$F$18</x:f>
        <x:v>16367.283244566126</x:v>
      </x:c>
      <x:c r="O225" s="59" t="n">
        <x:f>1+O$9*SUMPRODUCT($H$10:$L$10,H225:L225)/SUM($H$10:$L$10)</x:f>
        <x:v>3.1452489375925907</x:v>
      </x:c>
      <x:c r="P225" s="59" t="n">
        <x:f>M225*O225+N225</x:f>
        <x:v>31918.378596161943</x:v>
      </x:c>
      <x:c r="Q225" s="59" t="n">
        <x:f>P225/(P225+'_曲线基线'!$L$2)</x:f>
        <x:v>0.5708030060505495</x:v>
      </x:c>
      <x:c r="R225" s="59" t="n">
        <x:f>E225*'模块规划'!$E$10+G225*'模块规划'!$E$11+H225*'模块规划'!$E$13</x:f>
        <x:v>7416.469567349477</x:v>
      </x:c>
      <x:c r="S225" s="59" t="n">
        <x:f>I225*'模块规划'!$E$15+J225*'模块规划'!$E$17+K225*'模块规划'!$E$16+L225*'模块规划'!$E$18</x:f>
        <x:v>24550.92486684919</x:v>
      </x:c>
      <x:c r="T225" s="59" t="n">
        <x:f>1+T$9*SUMPRODUCT($H$10:$L$10,H225:L225)/SUM($H$10:$L$10)</x:f>
        <x:v>3.1452489375925907</x:v>
      </x:c>
      <x:c r="U225" s="59" t="n">
        <x:f>R225*T225+S225</x:f>
        <x:v>47877.56789424291</x:v>
      </x:c>
      <x:c r="V225" s="59" t="n">
        <x:f>V$8+(V$9-V$8)*H225</x:f>
        <x:v>0.891946126276915</x:v>
      </x:c>
      <x:c r="W225" s="59" t="n">
        <x:f>IF(B225&lt;$H$8,0,W$8+(W$9-W$8)*H225)</x:f>
        <x:v>0.2559281683692201</x:v>
      </x:c>
      <x:c r="X225" s="59" t="n">
        <x:f>X$8+(X$9-X$8)*H225</x:f>
        <x:v>0.4509506157538389</x:v>
      </x:c>
      <x:c r="Y225" s="59" t="n">
        <x:f>Y$8+(Y$9-Y$8)*G225</x:f>
        <x:v>1</x:v>
      </x:c>
      <x:c r="Z225" s="59" t="n">
        <x:f>Z$8+(Z$9-Z$8)*H225</x:f>
        <x:v>1</x:v>
      </x:c>
      <x:c r="AA225" s="59" t="n">
        <x:f>AA$8+(AA$9-AA$8)*I225</x:f>
        <x:v>1</x:v>
      </x:c>
      <x:c r="AB225" s="59" t="n">
        <x:f>AB$8+(AB$9-AB$8)*J225</x:f>
        <x:v>1</x:v>
      </x:c>
      <x:c r="AC225" s="59" t="n">
        <x:f>AC$8+(AC$9-AC$8)*MAX(K225,L225)</x:f>
        <x:v>1</x:v>
      </x:c>
      <x:c r="AD225" s="59" t="n">
        <x:f>(V225*AE225+W225*AF225+X225*AG225)*PRODUCT(Y225:AC225)</x:f>
        <x:v>1.7985976184022734</x:v>
      </x:c>
      <x:c r="AE225" s="59" t="n">
        <x:f>1+AE$9*($H$10*H225+$I$10*I225+$J$10*J225+$K$10*K225+$L$10*L225)</x:f>
        <x:v>1</x:v>
      </x:c>
      <x:c r="AF225" s="59" t="n">
        <x:f>1+AF$9*($H$10*H225+$I$10*I225+$J$10*J225+$K$10*K225+$L$10*L225)</x:f>
        <x:v>1.1893377604838806</x:v>
      </x:c>
      <x:c r="AG225" s="59" t="n">
        <x:f>1+AG$9*($H$10*H225+$I$10*I225+$J$10*J225+$K$10*K225+$L$10*L225)</x:f>
        <x:v>1.3355485866353243</x:v>
      </x:c>
      <x:c r="AH225" s="59" t="n">
        <x:f>MIN(1,'_曲线基线'!$L$3+AH$9*($H$10*H225+$I$10*I225+$J$10*J225+$K$10*K225+$L$10*L225))</x:f>
        <x:v>0.48074340510082797</x:v>
      </x:c>
      <x:c r="AI225" s="59" t="n">
        <x:f>'_曲线基线'!$L$4+AI$9*($H$10*H225+$I$10*I225+$J$10*J225+$K$10*K225+$L$10*L225)</x:f>
        <x:v>3.1999280570665922</x:v>
      </x:c>
      <x:c r="AJ225" s="59" t="n">
        <x:f>1+AJ$9*($H$10*H225+$I$10*I225+$J$10*J225+$K$10*K225+$L$10*L225)</x:f>
        <x:v>1.9845563545161782</x:v>
      </x:c>
      <x:c r="AK225" s="59" t="n">
        <x:f>(1+AH225*(AI225-1))*AJ225</x:f>
        <x:v>4.083424951336049</x:v>
      </x:c>
      <x:c r="AL225" s="59" t="n">
        <x:f>U225*AD225*AK225*F225</x:f>
        <x:v>1758169.2388854627</x:v>
      </x:c>
      <x:c r="AM225" s="59" t="n">
        <x:f>IF($B225&lt;AM$8,0,AM$3+(AM$4-AM$3)*(POWER(AM$5,$B225-AM$8)-1)/(POWER(AM$5,$C$5-AM$8)-1))</x:f>
        <x:v>44.83530838643782</x:v>
      </x:c>
      <x:c r="AN225" s="59" t="n">
        <x:f>(((E225*'模块规划'!$D$10+G225*'模块规划'!$D$11+H225*'模块规划'!$D$13)*(1+'模块规划'!$G$14*H225)+(I225*'模块规划'!$D$15+J225*'模块规划'!$D$17+K225*'模块规划'!$D$16+L225*'模块规划'!$D$18))*(1+'模块规划'!$J$17*J225))*F225/(1-Q225)</x:f>
        <x:v>2310281.9372088644</x:v>
      </x:c>
      <x:c r="AO225" s="59" t="n">
        <x:f>AL225*AM225</x:f>
        <x:v>78828060.02097839</x:v>
      </x:c>
      <x:c r="AP225" s="61" t="n">
        <x:f>IF(AO225="","",INDEX('_曲线基线'!$A$3:$A$502,MIN(ROWS('_曲线基线'!$A$3:$A$502),COUNTIF('_曲线基线'!$E$3:$E$502,"&lt;"&amp;AO225)+1)))</x:f>
        <x:v>275</x:v>
      </x:c>
      <x:c r="AQ225" s="61" t="n">
        <x:f>IF(B225&lt;=2,1,IF(B225&lt;=6,2,IF(B225&lt;=9,3,IF(B225&lt;=19,4,5))))</x:f>
        <x:v>5</x:v>
      </x:c>
      <x:c r="AR225" s="59" t="n">
        <x:f>AN225*(1-Q225)/F225*$AS$3+U225*$AS$4+P225*$AS$5</x:f>
        <x:v>15524.90995460313</x:v>
      </x:c>
      <x:c r="AS225" s="59" t="n">
        <x:f>1+AH225*$AS$6+AI225*$AS$7+(AJ225-1)*$AS$8+($H$10*H225+$I$10*I225+$J$10*J225+$K$10*K225+$L$10*L225)*$AU$3*$AS$9+($H$10*H225+$I$10*I225+$J$10*J225+$K$10*K225+$L$10*L225)*$AU$4*$AS$10</x:f>
        <x:v>16.294726323942204</x:v>
      </x:c>
      <x:c r="AT225" s="60" t="n">
        <x:f>ROUND(AR225*AS225,0)</x:f>
        <x:v>252974</x:v>
      </x:c>
      <x:c r="AU225" s="60" t="n">
        <x:f>ROUND(AT225*F225,0)</x:f>
        <x:v>1264870</x:v>
      </x:c>
      <x:c r="AV225" s="60" t="n">
        <x:f>MIN(MATCH(B225,'主线调参'!$M$11:$M$62,1),ROWS('主线调参'!$M$11:$M$62)-1)</x:f>
        <x:v>43</x:v>
      </x:c>
      <x:c r="AW225" s="62" t="n">
        <x:f>(B225-INDEX('主线调参'!$M$11:$M$62,AV225))/(INDEX('主线调参'!$M$11:$M$62,AV225+1)-INDEX('主线调参'!$M$11:$M$62,AV225))</x:f>
        <x:v>0.6428571428571429</x:v>
      </x:c>
      <x:c r="AX225" s="60" t="n">
        <x:f>IF(AU225=0,0,ROUND(AU225,2-INT(LOG10(ABS(AU225)))))</x:f>
        <x:v>1260000</x:v>
      </x:c>
      <x:c r="AY225" s="62" t="n">
        <x:f>AU225/AU224-1</x:f>
        <x:v>0.004510836331292234</x:v>
      </x:c>
    </x:row>
    <x:row r="226" ht="25" customHeight="1">
      <x:c r="A226" s="40" t="str">
        <x:f>'调前玩家曲线'!A226</x:f>
      </x:c>
      <x:c r="B226" s="40" t="n">
        <x:f>'调前玩家曲线'!B226</x:f>
        <x:v>215</x:v>
      </x:c>
      <x:c r="C226" s="40" t="n">
        <x:f>'调前玩家曲线'!C226</x:f>
        <x:v>15</x:v>
      </x:c>
      <x:c r="D226" s="40" t="n">
        <x:f>'调前玩家曲线'!D226</x:f>
        <x:v>11</x:v>
      </x:c>
      <x:c r="E226" s="40" t="n">
        <x:f>'调前玩家曲线'!E226</x:f>
        <x:v>1</x:v>
      </x:c>
      <x:c r="F226" s="40" t="n">
        <x:f>'调前玩家曲线'!F226</x:f>
        <x:v>5</x:v>
      </x:c>
      <x:c r="G226" s="63" t="n">
        <x:f>IF(B226&lt;$G$8,0,(INDEX('主线调参'!$C$11:$C$62,$AV226)+(INDEX('主线调参'!$C$11:$C$62,$AV226+1)-INDEX('主线调参'!$C$11:$C$62,$AV226))*$AW226)*'参数说明'!$C$27)</x:f>
        <x:v>0.8230972213931591</x:v>
      </x:c>
      <x:c r="H226" s="63" t="n">
        <x:f>IF(B226&lt;$H$8,0,(INDEX('主线调参'!$D$11:$D$62,$AV226)+(INDEX('主线调参'!$D$11:$D$62,$AV226+1)-INDEX('主线调参'!$D$11:$D$62,$AV226))*$AW226)*'参数说明'!$D$27)</x:f>
        <x:v>0.6408415136375405</x:v>
      </x:c>
      <x:c r="I226" s="63" t="n">
        <x:f>IF(B226&lt;$I$8,0,(INDEX('主线调参'!$E$11:$E$62,$AV226)+(INDEX('主线调参'!$E$11:$E$62,$AV226+1)-INDEX('主线调参'!$E$11:$E$62,$AV226))*$AW226)*'参数说明'!$E$27)</x:f>
        <x:v>0.5711018222953789</x:v>
      </x:c>
      <x:c r="J226" s="63" t="n">
        <x:f>IF(B226&lt;$J$8,0,(INDEX('主线调参'!$F$11:$F$62,$AV226)+(INDEX('主线调参'!$F$11:$F$62,$AV226+1)-INDEX('主线调参'!$F$11:$F$62,$AV226))*$AW226)*'参数说明'!$F$27)</x:f>
        <x:v>0.535920003547795</x:v>
      </x:c>
      <x:c r="K226" s="63" t="n">
        <x:f>IF(B226&lt;$K$8,0,(INDEX('主线调参'!$G$11:$G$62,$AV226)+(INDEX('主线调参'!$G$11:$G$62,$AV226+1)-INDEX('主线调参'!$G$11:$G$62,$AV226))*$AW226)*'参数说明'!$G$27)</x:f>
        <x:v>0.5482447277045224</x:v>
      </x:c>
      <x:c r="L226" s="63" t="n">
        <x:f>IF(B226&lt;$L$8,0,(INDEX('主线调参'!$H$11:$H$62,$AV226)+(INDEX('主线调参'!$H$11:$H$62,$AV226+1)-INDEX('主线调参'!$H$11:$H$62,$AV226))*$AW226)*'参数说明'!$H$27)</x:f>
        <x:v>0.6381988271832666</x:v>
      </x:c>
      <x:c r="M226" s="59" t="n">
        <x:f>E226*'模块规划'!$F$10+G226*'模块规划'!$F$11+H226*'模块规划'!$F$13</x:f>
        <x:v>4950.866662687164</x:v>
      </x:c>
      <x:c r="N226" s="59" t="n">
        <x:f>I226*'模块规划'!$F$15+J226*'模块规划'!$F$17+K226*'模块规划'!$F$16+L226*'模块规划'!$F$18</x:f>
        <x:v>16408.477115984446</x:v>
      </x:c>
      <x:c r="O226" s="59" t="n">
        <x:f>1+O$9*SUMPRODUCT($H$10:$L$10,H226:L226)/SUM($H$10:$L$10)</x:f>
        <x:v>3.150257226898741</x:v>
      </x:c>
      <x:c r="P226" s="59" t="n">
        <x:f>M226*O226+N226</x:f>
        <x:v>32004.980599526734</x:v>
      </x:c>
      <x:c r="Q226" s="59" t="n">
        <x:f>P226/(P226+'_曲线基线'!$L$2)</x:f>
        <x:v>0.571466684871902</x:v>
      </x:c>
      <x:c r="R226" s="59" t="n">
        <x:f>E226*'模块规划'!$E$10+G226*'模块规划'!$E$11+H226*'模块规划'!$E$13</x:f>
        <x:v>7426.299994030745</x:v>
      </x:c>
      <x:c r="S226" s="59" t="n">
        <x:f>I226*'模块规划'!$E$15+J226*'模块规划'!$E$17+K226*'模块规划'!$E$16+L226*'模块规划'!$E$18</x:f>
        <x:v>24612.715673976672</x:v>
      </x:c>
      <x:c r="T226" s="59" t="n">
        <x:f>1+T$9*SUMPRODUCT($H$10:$L$10,H226:L226)/SUM($H$10:$L$10)</x:f>
        <x:v>3.150257226898741</x:v>
      </x:c>
      <x:c r="U226" s="59" t="n">
        <x:f>R226*T226+S226</x:f>
        <x:v>48007.47089929011</x:v>
      </x:c>
      <x:c r="V226" s="59" t="n">
        <x:f>V$8+(V$9-V$8)*H226</x:f>
        <x:v>0.8922524540912622</x:v>
      </x:c>
      <x:c r="W226" s="59" t="n">
        <x:f>IF(B226&lt;$H$8,0,W$8+(W$9-W$8)*H226)</x:f>
        <x:v>0.2563366054550162</x:v>
      </x:c>
      <x:c r="X226" s="59" t="n">
        <x:f>X$8+(X$9-X$8)*H226</x:f>
        <x:v>0.4512314162503237</x:v>
      </x:c>
      <x:c r="Y226" s="59" t="n">
        <x:f>Y$8+(Y$9-Y$8)*G226</x:f>
        <x:v>1</x:v>
      </x:c>
      <x:c r="Z226" s="59" t="n">
        <x:f>Z$8+(Z$9-Z$8)*H226</x:f>
        <x:v>1</x:v>
      </x:c>
      <x:c r="AA226" s="59" t="n">
        <x:f>AA$8+(AA$9-AA$8)*I226</x:f>
        <x:v>1</x:v>
      </x:c>
      <x:c r="AB226" s="59" t="n">
        <x:f>AB$8+(AB$9-AB$8)*J226</x:f>
        <x:v>1</x:v>
      </x:c>
      <x:c r="AC226" s="59" t="n">
        <x:f>AC$8+(AC$9-AC$8)*MAX(K226,L226)</x:f>
        <x:v>1</x:v>
      </x:c>
      <x:c r="AD226" s="59" t="n">
        <x:f>(V226*AE226+W226*AF226+X226*AG226)*PRODUCT(Y226:AC226)</x:f>
        <x:v>1.8002315276215093</x:v>
      </x:c>
      <x:c r="AE226" s="59" t="n">
        <x:f>1+AE$9*($H$10*H226+$I$10*I226+$J$10*J226+$K$10*K226+$L$10*L226)</x:f>
        <x:v>1</x:v>
      </x:c>
      <x:c r="AF226" s="59" t="n">
        <x:f>1+AF$9*($H$10*H226+$I$10*I226+$J$10*J226+$K$10*K226+$L$10*L226)</x:f>
        <x:v>1.189779787637217</x:v>
      </x:c>
      <x:c r="AG226" s="59" t="n">
        <x:f>1+AG$9*($H$10*H226+$I$10*I226+$J$10*J226+$K$10*K226+$L$10*L226)</x:f>
        <x:v>1.3363319569792926</x:v>
      </x:c>
      <x:c r="AH226" s="59" t="n">
        <x:f>MIN(1,'_曲线基线'!$L$3+AH$9*($H$10*H226+$I$10*I226+$J$10*J226+$K$10*K226+$L$10*L226))</x:f>
        <x:v>0.48174901687466815</x:v>
      </x:c>
      <x:c r="AI226" s="59" t="n">
        <x:f>'_曲线基线'!$L$4+AI$9*($H$10*H226+$I$10*I226+$J$10*J226+$K$10*K226+$L$10*L226)</x:f>
        <x:v>3.2027294041508614</x:v>
      </x:c>
      <x:c r="AJ226" s="59" t="n">
        <x:f>1+AJ$9*($H$10*H226+$I$10*I226+$J$10*J226+$K$10*K226+$L$10*L226)</x:f>
        <x:v>1.9868548957135275</x:v>
      </x:c>
      <x:c r="AK226" s="59" t="n">
        <x:f>(1+AH226*(AI226-1))*AJ226</x:f>
        <x:v>4.095231250811126</x:v>
      </x:c>
      <x:c r="AL226" s="59" t="n">
        <x:f>U226*AD226*AK226*F226</x:f>
        <x:v>1769642.849506862</x:v>
      </x:c>
      <x:c r="AM226" s="59" t="n">
        <x:f>IF($B226&lt;AM$8,0,AM$3+(AM$4-AM$3)*(POWER(AM$5,$B226-AM$8)-1)/(POWER(AM$5,$C$5-AM$8)-1))</x:f>
        <x:v>44.94708611022407</x:v>
      </x:c>
      <x:c r="AN226" s="59" t="n">
        <x:f>(((E226*'模块规划'!$D$10+G226*'模块规划'!$D$11+H226*'模块规划'!$D$13)*(1+'模块规划'!$G$14*H226)+(I226*'模块规划'!$D$15+J226*'模块规划'!$D$17+K226*'模块规划'!$D$16+L226*'模块规划'!$D$18))*(1+'模块规划'!$J$17*J226))*F226/(1-Q226)</x:f>
        <x:v>2321139.409663733</x:v>
      </x:c>
      <x:c r="AO226" s="59" t="n">
        <x:f>AL226*AM226</x:f>
        <x:v>79540289.54112722</x:v>
      </x:c>
      <x:c r="AP226" s="61" t="n">
        <x:f>IF(AO226="","",INDEX('_曲线基线'!$A$3:$A$502,MIN(ROWS('_曲线基线'!$A$3:$A$502),COUNTIF('_曲线基线'!$E$3:$E$502,"&lt;"&amp;AO226)+1)))</x:f>
        <x:v>275</x:v>
      </x:c>
      <x:c r="AQ226" s="61" t="n">
        <x:f>IF(B226&lt;=2,1,IF(B226&lt;=6,2,IF(B226&lt;=9,3,IF(B226&lt;=19,4,5))))</x:f>
        <x:v>5</x:v>
      </x:c>
      <x:c r="AR226" s="59" t="n">
        <x:f>AN226*(1-Q226)/F226*$AS$3+U226*$AS$4+P226*$AS$5</x:f>
        <x:v>15569.607576444076</x:v>
      </x:c>
      <x:c r="AS226" s="59" t="n">
        <x:f>1+AH226*$AS$6+AI226*$AS$7+(AJ226-1)*$AS$8+($H$10*H226+$I$10*I226+$J$10*J226+$K$10*K226+$L$10*L226)*$AU$3*$AS$9+($H$10*H226+$I$10*I226+$J$10*J226+$K$10*K226+$L$10*L226)*$AU$4*$AS$10</x:f>
        <x:v>16.321137948607404</x:v>
      </x:c>
      <x:c r="AT226" s="60" t="n">
        <x:f>ROUND(AR226*AS226,0)</x:f>
        <x:v>254114</x:v>
      </x:c>
      <x:c r="AU226" s="60" t="n">
        <x:f>ROUND(AT226*F226,0)</x:f>
        <x:v>1270570</x:v>
      </x:c>
      <x:c r="AV226" s="60" t="n">
        <x:f>MIN(MATCH(B226,'主线调参'!$M$11:$M$62,1),ROWS('主线调参'!$M$11:$M$62)-1)</x:f>
        <x:v>43</x:v>
      </x:c>
      <x:c r="AW226" s="62" t="n">
        <x:f>(B226-INDEX('主线调参'!$M$11:$M$62,AV226))/(INDEX('主线调参'!$M$11:$M$62,AV226+1)-INDEX('主线调参'!$M$11:$M$62,AV226))</x:f>
        <x:v>0.7142857142857143</x:v>
      </x:c>
      <x:c r="AX226" s="60" t="n">
        <x:f>IF(AU226=0,0,ROUND(AU226,2-INT(LOG10(ABS(AU226)))))</x:f>
        <x:v>1270000</x:v>
      </x:c>
      <x:c r="AY226" s="62" t="n">
        <x:f>AU226/AU225-1</x:f>
        <x:v>0.00450639196122915</x:v>
      </x:c>
    </x:row>
    <x:row r="227" ht="25" customHeight="1">
      <x:c r="A227" s="40" t="str">
        <x:f>'调前玩家曲线'!A227</x:f>
      </x:c>
      <x:c r="B227" s="40" t="n">
        <x:f>'调前玩家曲线'!B227</x:f>
        <x:v>216</x:v>
      </x:c>
      <x:c r="C227" s="40" t="n">
        <x:f>'调前玩家曲线'!C227</x:f>
        <x:v>15</x:v>
      </x:c>
      <x:c r="D227" s="40" t="n">
        <x:f>'调前玩家曲线'!D227</x:f>
        <x:v>12</x:v>
      </x:c>
      <x:c r="E227" s="40" t="n">
        <x:f>'调前玩家曲线'!E227</x:f>
        <x:v>1</x:v>
      </x:c>
      <x:c r="F227" s="40" t="n">
        <x:f>'调前玩家曲线'!F227</x:f>
        <x:v>5</x:v>
      </x:c>
      <x:c r="G227" s="63" t="n">
        <x:f>IF(B227&lt;$G$8,0,(INDEX('主线调参'!$C$11:$C$62,$AV227)+(INDEX('主线调参'!$C$11:$C$62,$AV227+1)-INDEX('主线调参'!$C$11:$C$62,$AV227))*$AW227)*'参数说明'!$C$27)</x:f>
        <x:v>0.8244625584322243</x:v>
      </x:c>
      <x:c r="H227" s="63" t="n">
        <x:f>IF(B227&lt;$H$8,0,(INDEX('主线调参'!$D$11:$D$62,$AV227)+(INDEX('主线调参'!$D$11:$D$62,$AV227+1)-INDEX('主线调参'!$D$11:$D$62,$AV227))*$AW227)*'参数说明'!$D$27)</x:f>
        <x:v>0.6418626063520307</x:v>
      </x:c>
      <x:c r="I227" s="63" t="n">
        <x:f>IF(B227&lt;$I$8,0,(INDEX('主线调参'!$E$11:$E$62,$AV227)+(INDEX('主线调参'!$E$11:$E$62,$AV227+1)-INDEX('主线调参'!$E$11:$E$62,$AV227))*$AW227)*'参数说明'!$E$27)</x:f>
        <x:v>0.5725833447204023</x:v>
      </x:c>
      <x:c r="J227" s="63" t="n">
        <x:f>IF(B227&lt;$J$8,0,(INDEX('主线调参'!$F$11:$F$62,$AV227)+(INDEX('主线调参'!$F$11:$F$62,$AV227+1)-INDEX('主线调参'!$F$11:$F$62,$AV227))*$AW227)*'参数说明'!$F$27)</x:f>
        <x:v>0.5370462195169339</x:v>
      </x:c>
      <x:c r="K227" s="63" t="n">
        <x:f>IF(B227&lt;$K$8,0,(INDEX('主线调参'!$G$11:$G$62,$AV227)+(INDEX('主线调参'!$G$11:$G$62,$AV227+1)-INDEX('主线调参'!$G$11:$G$62,$AV227))*$AW227)*'参数说明'!$G$27)</x:f>
        <x:v>0.5503567618469984</x:v>
      </x:c>
      <x:c r="L227" s="63" t="n">
        <x:f>IF(B227&lt;$L$8,0,(INDEX('主线调参'!$H$11:$H$62,$AV227)+(INDEX('主线调参'!$H$11:$H$62,$AV227+1)-INDEX('主线调参'!$H$11:$H$62,$AV227))*$AW227)*'参数说明'!$H$27)</x:f>
        <x:v>0.6392802926776446</x:v>
      </x:c>
      <x:c r="M227" s="59" t="n">
        <x:f>E227*'模块规划'!$F$10+G227*'模块规划'!$F$11+H227*'模块规划'!$F$13</x:f>
        <x:v>4957.4202804746765</x:v>
      </x:c>
      <x:c r="N227" s="59" t="n">
        <x:f>I227*'模块规划'!$F$15+J227*'模块规划'!$F$17+K227*'模块规划'!$F$16+L227*'模块规划'!$F$18</x:f>
        <x:v>16449.67098740277</x:v>
      </x:c>
      <x:c r="O227" s="59" t="n">
        <x:f>1+O$9*SUMPRODUCT($H$10:$L$10,H227:L227)/SUM($H$10:$L$10)</x:f>
        <x:v>3.155265516204892</x:v>
      </x:c>
      <x:c r="P227" s="59" t="n">
        <x:f>M227*O227+N227</x:f>
        <x:v>32091.6482477193</x:v>
      </x:c>
      <x:c r="Q227" s="59" t="n">
        <x:f>P227/(P227+'_曲线基线'!$L$2)</x:f>
        <x:v>0.5721288150776378</x:v>
      </x:c>
      <x:c r="R227" s="59" t="n">
        <x:f>E227*'模块规划'!$E$10+G227*'模块规划'!$E$11+H227*'模块规划'!$E$13</x:f>
        <x:v>7436.130420712015</x:v>
      </x:c>
      <x:c r="S227" s="59" t="n">
        <x:f>I227*'模块规划'!$E$15+J227*'模块规划'!$E$17+K227*'模块规划'!$E$16+L227*'模块规划'!$E$18</x:f>
        <x:v>24674.506481104156</x:v>
      </x:c>
      <x:c r="T227" s="59" t="n">
        <x:f>1+T$9*SUMPRODUCT($H$10:$L$10,H227:L227)/SUM($H$10:$L$10)</x:f>
        <x:v>3.155265516204892</x:v>
      </x:c>
      <x:c r="U227" s="59" t="n">
        <x:f>R227*T227+S227</x:f>
        <x:v>48137.47237157895</x:v>
      </x:c>
      <x:c r="V227" s="59" t="n">
        <x:f>V$8+(V$9-V$8)*H227</x:f>
        <x:v>0.8925587819056092</x:v>
      </x:c>
      <x:c r="W227" s="59" t="n">
        <x:f>IF(B227&lt;$H$8,0,W$8+(W$9-W$8)*H227)</x:f>
        <x:v>0.2567450425408123</x:v>
      </x:c>
      <x:c r="X227" s="59" t="n">
        <x:f>X$8+(X$9-X$8)*H227</x:f>
        <x:v>0.4515122167468085</x:v>
      </x:c>
      <x:c r="Y227" s="59" t="n">
        <x:f>Y$8+(Y$9-Y$8)*G227</x:f>
        <x:v>1</x:v>
      </x:c>
      <x:c r="Z227" s="59" t="n">
        <x:f>Z$8+(Z$9-Z$8)*H227</x:f>
        <x:v>1</x:v>
      </x:c>
      <x:c r="AA227" s="59" t="n">
        <x:f>AA$8+(AA$9-AA$8)*I227</x:f>
        <x:v>1</x:v>
      </x:c>
      <x:c r="AB227" s="59" t="n">
        <x:f>AB$8+(AB$9-AB$8)*J227</x:f>
        <x:v>1</x:v>
      </x:c>
      <x:c r="AC227" s="59" t="n">
        <x:f>AC$8+(AC$9-AC$8)*MAX(K227,L227)</x:f>
        <x:v>1</x:v>
      </x:c>
      <x:c r="AD227" s="59" t="n">
        <x:f>(V227*AE227+W227*AF227+X227*AG227)*PRODUCT(Y227:AC227)</x:f>
        <x:v>1.801866237862873</x:v>
      </x:c>
      <x:c r="AE227" s="59" t="n">
        <x:f>1+AE$9*($H$10*H227+$I$10*I227+$J$10*J227+$K$10*K227+$L$10*L227)</x:f>
        <x:v>1</x:v>
      </x:c>
      <x:c r="AF227" s="59" t="n">
        <x:f>1+AF$9*($H$10*H227+$I$10*I227+$J$10*J227+$K$10*K227+$L$10*L227)</x:f>
        <x:v>1.1902218147905534</x:v>
      </x:c>
      <x:c r="AG227" s="59" t="n">
        <x:f>1+AG$9*($H$10*H227+$I$10*I227+$J$10*J227+$K$10*K227+$L$10*L227)</x:f>
        <x:v>1.3371153273232612</x:v>
      </x:c>
      <x:c r="AH227" s="59" t="n">
        <x:f>MIN(1,'_曲线基线'!$L$3+AH$9*($H$10*H227+$I$10*I227+$J$10*J227+$K$10*K227+$L$10*L227))</x:f>
        <x:v>0.4827546286485085</x:v>
      </x:c>
      <x:c r="AI227" s="59" t="n">
        <x:f>'_曲线基线'!$L$4+AI$9*($H$10*H227+$I$10*I227+$J$10*J227+$K$10*K227+$L$10*L227)</x:f>
        <x:v>3.205530751235131</x:v>
      </x:c>
      <x:c r="AJ227" s="59" t="n">
        <x:f>1+AJ$9*($H$10*H227+$I$10*I227+$J$10*J227+$K$10*K227+$L$10*L227)</x:f>
        <x:v>1.9891534369108768</x:v>
      </x:c>
      <x:c r="AK227" s="59" t="n">
        <x:f>(1+AH227*(AI227-1))*AJ227</x:f>
        <x:v>4.107065131424551</x:v>
      </x:c>
      <x:c r="AL227" s="59" t="n">
        <x:f>U227*AD227*AK227*F227</x:f>
        <x:v>1781178.4196028588</x:v>
      </x:c>
      <x:c r="AM227" s="59" t="n">
        <x:f>IF($B227&lt;AM$8,0,AM$3+(AM$4-AM$3)*(POWER(AM$5,$B227-AM$8)-1)/(POWER(AM$5,$C$5-AM$8)-1))</x:f>
        <x:v>45.059981611248176</x:v>
      </x:c>
      <x:c r="AN227" s="59" t="n">
        <x:f>(((E227*'模块规划'!$D$10+G227*'模块规划'!$D$11+H227*'模块规划'!$D$13)*(1+'模块规划'!$G$14*H227)+(I227*'模块规划'!$D$15+J227*'模块规划'!$D$17+K227*'模块规划'!$D$16+L227*'模块规划'!$D$18))*(1+'模块规划'!$J$17*J227))*F227/(1-Q227)</x:f>
        <x:v>2332032.1368208</x:v>
      </x:c>
      <x:c r="AO227" s="59" t="n">
        <x:f>AL227*AM227</x:f>
        <x:v>80259866.8336569</x:v>
      </x:c>
      <x:c r="AP227" s="61" t="n">
        <x:f>IF(AO227="","",INDEX('_曲线基线'!$A$3:$A$502,MIN(ROWS('_曲线基线'!$A$3:$A$502),COUNTIF('_曲线基线'!$E$3:$E$502,"&lt;"&amp;AO227)+1)))</x:f>
        <x:v>276</x:v>
      </x:c>
      <x:c r="AQ227" s="61" t="n">
        <x:f>IF(B227&lt;=2,1,IF(B227&lt;=6,2,IF(B227&lt;=9,3,IF(B227&lt;=19,4,5))))</x:f>
        <x:v>5</x:v>
      </x:c>
      <x:c r="AR227" s="59" t="n">
        <x:f>AN227*(1-Q227)/F227*$AS$3+U227*$AS$4+P227*$AS$5</x:f>
        <x:v>15614.350596267053</x:v>
      </x:c>
      <x:c r="AS227" s="59" t="n">
        <x:f>1+AH227*$AS$6+AI227*$AS$7+(AJ227-1)*$AS$8+($H$10*H227+$I$10*I227+$J$10*J227+$K$10*K227+$L$10*L227)*$AU$3*$AS$9+($H$10*H227+$I$10*I227+$J$10*J227+$K$10*K227+$L$10*L227)*$AU$4*$AS$10</x:f>
        <x:v>16.34754957327261</x:v>
      </x:c>
      <x:c r="AT227" s="60" t="n">
        <x:f>ROUND(AR227*AS227,0)</x:f>
        <x:v>255256</x:v>
      </x:c>
      <x:c r="AU227" s="60" t="n">
        <x:f>ROUND(AT227*F227,0)</x:f>
        <x:v>1276280</x:v>
      </x:c>
      <x:c r="AV227" s="60" t="n">
        <x:f>MIN(MATCH(B227,'主线调参'!$M$11:$M$62,1),ROWS('主线调参'!$M$11:$M$62)-1)</x:f>
        <x:v>43</x:v>
      </x:c>
      <x:c r="AW227" s="62" t="n">
        <x:f>(B227-INDEX('主线调参'!$M$11:$M$62,AV227))/(INDEX('主线调参'!$M$11:$M$62,AV227+1)-INDEX('主线调参'!$M$11:$M$62,AV227))</x:f>
        <x:v>0.7857142857142857</x:v>
      </x:c>
      <x:c r="AX227" s="60" t="n">
        <x:f>IF(AU227=0,0,ROUND(AU227,2-INT(LOG10(ABS(AU227)))))</x:f>
        <x:v>1280000</x:v>
      </x:c>
      <x:c r="AY227" s="62" t="n">
        <x:f>AU227/AU226-1</x:f>
        <x:v>0.004494045979363648</x:v>
      </x:c>
    </x:row>
    <x:row r="228" ht="25" customHeight="1">
      <x:c r="A228" s="40" t="str">
        <x:f>'调前玩家曲线'!A228</x:f>
      </x:c>
      <x:c r="B228" s="40" t="n">
        <x:f>'调前玩家曲线'!B228</x:f>
        <x:v>217</x:v>
      </x:c>
      <x:c r="C228" s="40" t="n">
        <x:f>'调前玩家曲线'!C228</x:f>
        <x:v>15</x:v>
      </x:c>
      <x:c r="D228" s="40" t="n">
        <x:f>'调前玩家曲线'!D228</x:f>
        <x:v>13</x:v>
      </x:c>
      <x:c r="E228" s="40" t="n">
        <x:f>'调前玩家曲线'!E228</x:f>
        <x:v>1</x:v>
      </x:c>
      <x:c r="F228" s="40" t="n">
        <x:f>'调前玩家曲线'!F228</x:f>
        <x:v>5</x:v>
      </x:c>
      <x:c r="G228" s="63" t="n">
        <x:f>IF(B228&lt;$G$8,0,(INDEX('主线调参'!$C$11:$C$62,$AV228)+(INDEX('主线调参'!$C$11:$C$62,$AV228+1)-INDEX('主线调参'!$C$11:$C$62,$AV228))*$AW228)*'参数说明'!$C$27)</x:f>
        <x:v>0.8258278954712892</x:v>
      </x:c>
      <x:c r="H228" s="63" t="n">
        <x:f>IF(B228&lt;$H$8,0,(INDEX('主线调参'!$D$11:$D$62,$AV228)+(INDEX('主线调参'!$D$11:$D$62,$AV228+1)-INDEX('主线调参'!$D$11:$D$62,$AV228))*$AW228)*'参数说明'!$D$27)</x:f>
        <x:v>0.642883699066521</x:v>
      </x:c>
      <x:c r="I228" s="63" t="n">
        <x:f>IF(B228&lt;$I$8,0,(INDEX('主线调参'!$E$11:$E$62,$AV228)+(INDEX('主线调参'!$E$11:$E$62,$AV228+1)-INDEX('主线调参'!$E$11:$E$62,$AV228))*$AW228)*'参数说明'!$E$27)</x:f>
        <x:v>0.5740648671454256</x:v>
      </x:c>
      <x:c r="J228" s="63" t="n">
        <x:f>IF(B228&lt;$J$8,0,(INDEX('主线调参'!$F$11:$F$62,$AV228)+(INDEX('主线调参'!$F$11:$F$62,$AV228+1)-INDEX('主线调参'!$F$11:$F$62,$AV228))*$AW228)*'参数说明'!$F$27)</x:f>
        <x:v>0.5381724354860727</x:v>
      </x:c>
      <x:c r="K228" s="63" t="n">
        <x:f>IF(B228&lt;$K$8,0,(INDEX('主线调参'!$G$11:$G$62,$AV228)+(INDEX('主线调参'!$G$11:$G$62,$AV228+1)-INDEX('主线调参'!$G$11:$G$62,$AV228))*$AW228)*'参数说明'!$G$27)</x:f>
        <x:v>0.5524687959894745</x:v>
      </x:c>
      <x:c r="L228" s="63" t="n">
        <x:f>IF(B228&lt;$L$8,0,(INDEX('主线调参'!$H$11:$H$62,$AV228)+(INDEX('主线调参'!$H$11:$H$62,$AV228+1)-INDEX('主线调参'!$H$11:$H$62,$AV228))*$AW228)*'参数说明'!$H$27)</x:f>
        <x:v>0.6403617581720227</x:v>
      </x:c>
      <x:c r="M228" s="59" t="n">
        <x:f>E228*'模块规划'!$F$10+G228*'模块规划'!$F$11+H228*'模块规划'!$F$13</x:f>
        <x:v>4963.973898262188</x:v>
      </x:c>
      <x:c r="N228" s="59" t="n">
        <x:f>I228*'模块规划'!$F$15+J228*'模块规划'!$F$17+K228*'模块规划'!$F$16+L228*'模块规划'!$F$18</x:f>
        <x:v>16490.864858821093</x:v>
      </x:c>
      <x:c r="O228" s="59" t="n">
        <x:f>1+O$9*SUMPRODUCT($H$10:$L$10,H228:L228)/SUM($H$10:$L$10)</x:f>
        <x:v>3.160273805511043</x:v>
      </x:c>
      <x:c r="P228" s="59" t="n">
        <x:f>M228*O228+N228</x:f>
        <x:v>32178.381540739625</x:v>
      </x:c>
      <x:c r="Q228" s="59" t="n">
        <x:f>P228/(P228+'_曲线基线'!$L$2)</x:f>
        <x:v>0.5727894015138973</x:v>
      </x:c>
      <x:c r="R228" s="59" t="n">
        <x:f>E228*'模块规划'!$E$10+G228*'模块规划'!$E$11+H228*'模块规划'!$E$13</x:f>
        <x:v>7445.960847393282</x:v>
      </x:c>
      <x:c r="S228" s="59" t="n">
        <x:f>I228*'模块规划'!$E$15+J228*'模块规划'!$E$17+K228*'模块规划'!$E$16+L228*'模块规划'!$E$18</x:f>
        <x:v>24736.29728823164</x:v>
      </x:c>
      <x:c r="T228" s="59" t="n">
        <x:f>1+T$9*SUMPRODUCT($H$10:$L$10,H228:L228)/SUM($H$10:$L$10)</x:f>
        <x:v>3.160273805511043</x:v>
      </x:c>
      <x:c r="U228" s="59" t="n">
        <x:f>R228*T228+S228</x:f>
        <x:v>48267.57231110944</x:v>
      </x:c>
      <x:c r="V228" s="59" t="n">
        <x:f>V$8+(V$9-V$8)*H228</x:f>
        <x:v>0.8928651097199563</x:v>
      </x:c>
      <x:c r="W228" s="59" t="n">
        <x:f>IF(B228&lt;$H$8,0,W$8+(W$9-W$8)*H228)</x:f>
        <x:v>0.2571534796266084</x:v>
      </x:c>
      <x:c r="X228" s="59" t="n">
        <x:f>X$8+(X$9-X$8)*H228</x:f>
        <x:v>0.45179301724329335</x:v>
      </x:c>
      <x:c r="Y228" s="59" t="n">
        <x:f>Y$8+(Y$9-Y$8)*G228</x:f>
        <x:v>1</x:v>
      </x:c>
      <x:c r="Z228" s="59" t="n">
        <x:f>Z$8+(Z$9-Z$8)*H228</x:f>
        <x:v>1</x:v>
      </x:c>
      <x:c r="AA228" s="59" t="n">
        <x:f>AA$8+(AA$9-AA$8)*I228</x:f>
        <x:v>1</x:v>
      </x:c>
      <x:c r="AB228" s="59" t="n">
        <x:f>AB$8+(AB$9-AB$8)*J228</x:f>
        <x:v>1</x:v>
      </x:c>
      <x:c r="AC228" s="59" t="n">
        <x:f>AC$8+(AC$9-AC$8)*MAX(K228,L228)</x:f>
        <x:v>1</x:v>
      </x:c>
      <x:c r="AD228" s="59" t="n">
        <x:f>(V228*AE228+W228*AF228+X228*AG228)*PRODUCT(Y228:AC228)</x:f>
        <x:v>1.8035017491263639</x:v>
      </x:c>
      <x:c r="AE228" s="59" t="n">
        <x:f>1+AE$9*($H$10*H228+$I$10*I228+$J$10*J228+$K$10*K228+$L$10*L228)</x:f>
        <x:v>1</x:v>
      </x:c>
      <x:c r="AF228" s="59" t="n">
        <x:f>1+AF$9*($H$10*H228+$I$10*I228+$J$10*J228+$K$10*K228+$L$10*L228)</x:f>
        <x:v>1.1906638419438897</x:v>
      </x:c>
      <x:c r="AG228" s="59" t="n">
        <x:f>1+AG$9*($H$10*H228+$I$10*I228+$J$10*J228+$K$10*K228+$L$10*L228)</x:f>
        <x:v>1.3378986976672294</x:v>
      </x:c>
      <x:c r="AH228" s="59" t="n">
        <x:f>MIN(1,'_曲线基线'!$L$3+AH$9*($H$10*H228+$I$10*I228+$J$10*J228+$K$10*K228+$L$10*L228))</x:f>
        <x:v>0.4837602404223487</x:v>
      </x:c>
      <x:c r="AI228" s="59" t="n">
        <x:f>'_曲线基线'!$L$4+AI$9*($H$10*H228+$I$10*I228+$J$10*J228+$K$10*K228+$L$10*L228)</x:f>
        <x:v>3.2083320983194</x:v>
      </x:c>
      <x:c r="AJ228" s="59" t="n">
        <x:f>1+AJ$9*($H$10*H228+$I$10*I228+$J$10*J228+$K$10*K228+$L$10*L228)</x:f>
        <x:v>1.9914519781082256</x:v>
      </x:c>
      <x:c r="AK228" s="59" t="n">
        <x:f>(1+AH228*(AI228-1))*AJ228</x:f>
        <x:v>4.1189266320271996</x:v>
      </x:c>
      <x:c r="AL228" s="59" t="n">
        <x:f>U228*AD228*AK228*F228</x:f>
        <x:v>1792776.2255324312</x:v>
      </x:c>
      <x:c r="AM228" s="59" t="n">
        <x:f>IF($B228&lt;AM$8,0,AM$3+(AM$4-AM$3)*(POWER(AM$5,$B228-AM$8)-1)/(POWER(AM$5,$C$5-AM$8)-1))</x:f>
        <x:v>45.174006067282534</x:v>
      </x:c>
      <x:c r="AN228" s="59" t="n">
        <x:f>(((E228*'模块规划'!$D$10+G228*'模块规划'!$D$11+H228*'模块规划'!$D$13)*(1+'模块规划'!$G$14*H228)+(I228*'模块规划'!$D$15+J228*'模块规划'!$D$17+K228*'模块规划'!$D$16+L228*'模块规划'!$D$18))*(1+'模块规划'!$J$17*J228))*F228/(1-Q228)</x:f>
        <x:v>2342960.193581974</x:v>
      </x:c>
      <x:c r="AO228" s="59" t="n">
        <x:f>AL228*AM228</x:f>
        <x:v>80986884.08948192</x:v>
      </x:c>
      <x:c r="AP228" s="61" t="n">
        <x:f>IF(AO228="","",INDEX('_曲线基线'!$A$3:$A$502,MIN(ROWS('_曲线基线'!$A$3:$A$502),COUNTIF('_曲线基线'!$E$3:$E$502,"&lt;"&amp;AO228)+1)))</x:f>
        <x:v>277</x:v>
      </x:c>
      <x:c r="AQ228" s="61" t="n">
        <x:f>IF(B228&lt;=2,1,IF(B228&lt;=6,2,IF(B228&lt;=9,3,IF(B228&lt;=19,4,5))))</x:f>
        <x:v>5</x:v>
      </x:c>
      <x:c r="AR228" s="59" t="n">
        <x:f>AN228*(1-Q228)/F228*$AS$3+U228*$AS$4+P228*$AS$5</x:f>
        <x:v>15659.139021397508</x:v>
      </x:c>
      <x:c r="AS228" s="59" t="n">
        <x:f>1+AH228*$AS$6+AI228*$AS$7+(AJ228-1)*$AS$8+($H$10*H228+$I$10*I228+$J$10*J228+$K$10*K228+$L$10*L228)*$AU$3*$AS$9+($H$10*H228+$I$10*I228+$J$10*J228+$K$10*K228+$L$10*L228)*$AU$4*$AS$10</x:f>
        <x:v>16.37396119793781</x:v>
      </x:c>
      <x:c r="AT228" s="60" t="n">
        <x:f>ROUND(AR228*AS228,0)</x:f>
        <x:v>256402</x:v>
      </x:c>
      <x:c r="AU228" s="60" t="n">
        <x:f>ROUND(AT228*F228,0)</x:f>
        <x:v>1282010</x:v>
      </x:c>
      <x:c r="AV228" s="60" t="n">
        <x:f>MIN(MATCH(B228,'主线调参'!$M$11:$M$62,1),ROWS('主线调参'!$M$11:$M$62)-1)</x:f>
        <x:v>43</x:v>
      </x:c>
      <x:c r="AW228" s="62" t="n">
        <x:f>(B228-INDEX('主线调参'!$M$11:$M$62,AV228))/(INDEX('主线调参'!$M$11:$M$62,AV228+1)-INDEX('主线调参'!$M$11:$M$62,AV228))</x:f>
        <x:v>0.8571428571428571</x:v>
      </x:c>
      <x:c r="AX228" s="60" t="n">
        <x:f>IF(AU228=0,0,ROUND(AU228,2-INT(LOG10(ABS(AU228)))))</x:f>
        <x:v>1280000</x:v>
      </x:c>
      <x:c r="AY228" s="62" t="n">
        <x:f>AU228/AU227-1</x:f>
        <x:v>0.004489610430313151</x:v>
      </x:c>
    </x:row>
    <x:row r="229" ht="25" customHeight="1">
      <x:c r="A229" s="40" t="str">
        <x:f>'调前玩家曲线'!A229</x:f>
      </x:c>
      <x:c r="B229" s="40" t="n">
        <x:f>'调前玩家曲线'!B229</x:f>
        <x:v>218</x:v>
      </x:c>
      <x:c r="C229" s="40" t="n">
        <x:f>'调前玩家曲线'!C229</x:f>
        <x:v>15</x:v>
      </x:c>
      <x:c r="D229" s="40" t="n">
        <x:f>'调前玩家曲线'!D229</x:f>
        <x:v>14</x:v>
      </x:c>
      <x:c r="E229" s="40" t="n">
        <x:f>'调前玩家曲线'!E229</x:f>
        <x:v>1</x:v>
      </x:c>
      <x:c r="F229" s="40" t="n">
        <x:f>'调前玩家曲线'!F229</x:f>
        <x:v>5</x:v>
      </x:c>
      <x:c r="G229" s="63" t="n">
        <x:f>IF(B229&lt;$G$8,0,(INDEX('主线调参'!$C$11:$C$62,$AV229)+(INDEX('主线调参'!$C$11:$C$62,$AV229+1)-INDEX('主线调参'!$C$11:$C$62,$AV229))*$AW229)*'参数说明'!$C$27)</x:f>
        <x:v>0.8271932325103543</x:v>
      </x:c>
      <x:c r="H229" s="63" t="n">
        <x:f>IF(B229&lt;$H$8,0,(INDEX('主线调参'!$D$11:$D$62,$AV229)+(INDEX('主线调参'!$D$11:$D$62,$AV229+1)-INDEX('主线调参'!$D$11:$D$62,$AV229))*$AW229)*'参数说明'!$D$27)</x:f>
        <x:v>0.6439047917810113</x:v>
      </x:c>
      <x:c r="I229" s="63" t="n">
        <x:f>IF(B229&lt;$I$8,0,(INDEX('主线调参'!$E$11:$E$62,$AV229)+(INDEX('主线调参'!$E$11:$E$62,$AV229+1)-INDEX('主线调参'!$E$11:$E$62,$AV229))*$AW229)*'参数说明'!$E$27)</x:f>
        <x:v>0.575546389570449</x:v>
      </x:c>
      <x:c r="J229" s="63" t="n">
        <x:f>IF(B229&lt;$J$8,0,(INDEX('主线调参'!$F$11:$F$62,$AV229)+(INDEX('主线调参'!$F$11:$F$62,$AV229+1)-INDEX('主线调参'!$F$11:$F$62,$AV229))*$AW229)*'参数说明'!$F$27)</x:f>
        <x:v>0.5392986514552116</x:v>
      </x:c>
      <x:c r="K229" s="63" t="n">
        <x:f>IF(B229&lt;$K$8,0,(INDEX('主线调参'!$G$11:$G$62,$AV229)+(INDEX('主线调参'!$G$11:$G$62,$AV229+1)-INDEX('主线调参'!$G$11:$G$62,$AV229))*$AW229)*'参数说明'!$G$27)</x:f>
        <x:v>0.5545808301319506</x:v>
      </x:c>
      <x:c r="L229" s="63" t="n">
        <x:f>IF(B229&lt;$L$8,0,(INDEX('主线调参'!$H$11:$H$62,$AV229)+(INDEX('主线调参'!$H$11:$H$62,$AV229+1)-INDEX('主线调参'!$H$11:$H$62,$AV229))*$AW229)*'参数说明'!$H$27)</x:f>
        <x:v>0.6414432236664007</x:v>
      </x:c>
      <x:c r="M229" s="59" t="n">
        <x:f>E229*'模块规划'!$F$10+G229*'模块规划'!$F$11+H229*'模块规划'!$F$13</x:f>
        <x:v>4970.5275160497</x:v>
      </x:c>
      <x:c r="N229" s="59" t="n">
        <x:f>I229*'模块规划'!$F$15+J229*'模块规划'!$F$17+K229*'模块规划'!$F$16+L229*'模块规划'!$F$18</x:f>
        <x:v>16532.058730239416</x:v>
      </x:c>
      <x:c r="O229" s="59" t="n">
        <x:f>1+O$9*SUMPRODUCT($H$10:$L$10,H229:L229)/SUM($H$10:$L$10)</x:f>
        <x:v>3.165282094817194</x:v>
      </x:c>
      <x:c r="P229" s="59" t="n">
        <x:f>M229*O229+N229</x:f>
        <x:v>32265.180478587718</x:v>
      </x:c>
      <x:c r="Q229" s="59" t="n">
        <x:f>P229/(P229+'_曲线基线'!$L$2)</x:f>
        <x:v>0.5734484490077582</x:v>
      </x:c>
      <x:c r="R229" s="59" t="n">
        <x:f>E229*'模块规划'!$E$10+G229*'模块规划'!$E$11+H229*'模块规划'!$E$13</x:f>
        <x:v>7455.7912740745505</x:v>
      </x:c>
      <x:c r="S229" s="59" t="n">
        <x:f>I229*'模块规划'!$E$15+J229*'模块规划'!$E$17+K229*'模块规划'!$E$16+L229*'模块规划'!$E$18</x:f>
        <x:v>24798.088095359122</x:v>
      </x:c>
      <x:c r="T229" s="59" t="n">
        <x:f>1+T$9*SUMPRODUCT($H$10:$L$10,H229:L229)/SUM($H$10:$L$10)</x:f>
        <x:v>3.165282094817194</x:v>
      </x:c>
      <x:c r="U229" s="59" t="n">
        <x:f>R229*T229+S229</x:f>
        <x:v>48397.770717881576</x:v>
      </x:c>
      <x:c r="V229" s="59" t="n">
        <x:f>V$8+(V$9-V$8)*H229</x:f>
        <x:v>0.8931714375343034</x:v>
      </x:c>
      <x:c r="W229" s="59" t="n">
        <x:f>IF(B229&lt;$H$8,0,W$8+(W$9-W$8)*H229)</x:f>
        <x:v>0.2575619167124045</x:v>
      </x:c>
      <x:c r="X229" s="59" t="n">
        <x:f>X$8+(X$9-X$8)*H229</x:f>
        <x:v>0.45207381773977817</x:v>
      </x:c>
      <x:c r="Y229" s="59" t="n">
        <x:f>Y$8+(Y$9-Y$8)*G229</x:f>
        <x:v>1</x:v>
      </x:c>
      <x:c r="Z229" s="59" t="n">
        <x:f>Z$8+(Z$9-Z$8)*H229</x:f>
        <x:v>1</x:v>
      </x:c>
      <x:c r="AA229" s="59" t="n">
        <x:f>AA$8+(AA$9-AA$8)*I229</x:f>
        <x:v>1</x:v>
      </x:c>
      <x:c r="AB229" s="59" t="n">
        <x:f>AB$8+(AB$9-AB$8)*J229</x:f>
        <x:v>1</x:v>
      </x:c>
      <x:c r="AC229" s="59" t="n">
        <x:f>AC$8+(AC$9-AC$8)*MAX(K229,L229)</x:f>
        <x:v>1</x:v>
      </x:c>
      <x:c r="AD229" s="59" t="n">
        <x:f>(V229*AE229+W229*AF229+X229*AG229)*PRODUCT(Y229:AC229)</x:f>
        <x:v>1.805138061411983</x:v>
      </x:c>
      <x:c r="AE229" s="59" t="n">
        <x:f>1+AE$9*($H$10*H229+$I$10*I229+$J$10*J229+$K$10*K229+$L$10*L229)</x:f>
        <x:v>1</x:v>
      </x:c>
      <x:c r="AF229" s="59" t="n">
        <x:f>1+AF$9*($H$10*H229+$I$10*I229+$J$10*J229+$K$10*K229+$L$10*L229)</x:f>
        <x:v>1.1911058690972263</x:v>
      </x:c>
      <x:c r="AG229" s="59" t="n">
        <x:f>1+AG$9*($H$10*H229+$I$10*I229+$J$10*J229+$K$10*K229+$L$10*L229)</x:f>
        <x:v>1.338682068011198</x:v>
      </x:c>
      <x:c r="AH229" s="59" t="n">
        <x:f>MIN(1,'_曲线基线'!$L$3+AH$9*($H$10*H229+$I$10*I229+$J$10*J229+$K$10*K229+$L$10*L229))</x:f>
        <x:v>0.4847658521961891</x:v>
      </x:c>
      <x:c r="AI229" s="59" t="n">
        <x:f>'_曲线基线'!$L$4+AI$9*($H$10*H229+$I$10*I229+$J$10*J229+$K$10*K229+$L$10*L229)</x:f>
        <x:v>3.2111334454036697</x:v>
      </x:c>
      <x:c r="AJ229" s="59" t="n">
        <x:f>1+AJ$9*($H$10*H229+$I$10*I229+$J$10*J229+$K$10*K229+$L$10*L229)</x:f>
        <x:v>1.9937505193055753</x:v>
      </x:c>
      <x:c r="AK229" s="59" t="n">
        <x:f>(1+AH229*(AI229-1))*AJ229</x:f>
        <x:v>4.130815791469951</x:v>
      </x:c>
      <x:c r="AL229" s="59" t="n">
        <x:f>U229*AD229*AK229*F229</x:f>
        <x:v>1804436.5446273878</x:v>
      </x:c>
      <x:c r="AM229" s="59" t="n">
        <x:f>IF($B229&lt;AM$8,0,AM$3+(AM$4-AM$3)*(POWER(AM$5,$B229-AM$8)-1)/(POWER(AM$5,$C$5-AM$8)-1))</x:f>
        <x:v>45.28917076787722</x:v>
      </x:c>
      <x:c r="AN229" s="59" t="n">
        <x:f>(((E229*'模块规划'!$D$10+G229*'模块规划'!$D$11+H229*'模块规划'!$D$13)*(1+'模块规划'!$G$14*H229)+(I229*'模块规划'!$D$15+J229*'模块规划'!$D$17+K229*'模块规划'!$D$16+L229*'模块规划'!$D$18))*(1+'模块规划'!$J$17*J229))*F229/(1-Q229)</x:f>
        <x:v>2353923.6549371365</x:v>
      </x:c>
      <x:c r="AO229" s="59" t="n">
        <x:f>AL229*AM229</x:f>
        <x:v>81721434.80942808</x:v>
      </x:c>
      <x:c r="AP229" s="61" t="n">
        <x:f>IF(AO229="","",INDEX('_曲线基线'!$A$3:$A$502,MIN(ROWS('_曲线基线'!$A$3:$A$502),COUNTIF('_曲线基线'!$E$3:$E$502,"&lt;"&amp;AO229)+1)))</x:f>
        <x:v>278</x:v>
      </x:c>
      <x:c r="AQ229" s="61" t="n">
        <x:f>IF(B229&lt;=2,1,IF(B229&lt;=6,2,IF(B229&lt;=9,3,IF(B229&lt;=19,4,5))))</x:f>
        <x:v>5</x:v>
      </x:c>
      <x:c r="AR229" s="59" t="n">
        <x:f>AN229*(1-Q229)/F229*$AS$3+U229*$AS$4+P229*$AS$5</x:f>
        <x:v>15703.97285916089</x:v>
      </x:c>
      <x:c r="AS229" s="59" t="n">
        <x:f>1+AH229*$AS$6+AI229*$AS$7+(AJ229-1)*$AS$8+($H$10*H229+$I$10*I229+$J$10*J229+$K$10*K229+$L$10*L229)*$AU$3*$AS$9+($H$10*H229+$I$10*I229+$J$10*J229+$K$10*K229+$L$10*L229)*$AU$4*$AS$10</x:f>
        <x:v>16.400372822603018</x:v>
      </x:c>
      <x:c r="AT229" s="60" t="n">
        <x:f>ROUND(AR229*AS229,0)</x:f>
        <x:v>257551</x:v>
      </x:c>
      <x:c r="AU229" s="60" t="n">
        <x:f>ROUND(AT229*F229,0)</x:f>
        <x:v>1287755</x:v>
      </x:c>
      <x:c r="AV229" s="60" t="n">
        <x:f>MIN(MATCH(B229,'主线调参'!$M$11:$M$62,1),ROWS('主线调参'!$M$11:$M$62)-1)</x:f>
        <x:v>43</x:v>
      </x:c>
      <x:c r="AW229" s="62" t="n">
        <x:f>(B229-INDEX('主线调参'!$M$11:$M$62,AV229))/(INDEX('主线调参'!$M$11:$M$62,AV229+1)-INDEX('主线调参'!$M$11:$M$62,AV229))</x:f>
        <x:v>0.9285714285714286</x:v>
      </x:c>
      <x:c r="AX229" s="60" t="n">
        <x:f>IF(AU229=0,0,ROUND(AU229,2-INT(LOG10(ABS(AU229)))))</x:f>
        <x:v>1290000</x:v>
      </x:c>
      <x:c r="AY229" s="62" t="n">
        <x:f>AU229/AU228-1</x:f>
        <x:v>0.004481244296066222</x:v>
      </x:c>
    </x:row>
    <x:row r="230" ht="25" customHeight="1">
      <x:c r="A230" s="40" t="str">
        <x:f>'调前玩家曲线'!A230</x:f>
      </x:c>
      <x:c r="B230" s="40" t="n">
        <x:f>'调前玩家曲线'!B230</x:f>
        <x:v>219</x:v>
      </x:c>
      <x:c r="C230" s="40" t="n">
        <x:f>'调前玩家曲线'!C230</x:f>
        <x:v>15</x:v>
      </x:c>
      <x:c r="D230" s="40" t="n">
        <x:f>'调前玩家曲线'!D230</x:f>
        <x:v>15</x:v>
      </x:c>
      <x:c r="E230" s="40" t="n">
        <x:f>'调前玩家曲线'!E230</x:f>
        <x:v>1</x:v>
      </x:c>
      <x:c r="F230" s="40" t="n">
        <x:f>'调前玩家曲线'!F230</x:f>
        <x:v>5</x:v>
      </x:c>
      <x:c r="G230" s="63" t="n">
        <x:f>IF(B230&lt;$G$8,0,(INDEX('主线调参'!$C$11:$C$62,$AV230)+(INDEX('主线调参'!$C$11:$C$62,$AV230+1)-INDEX('主线调参'!$C$11:$C$62,$AV230))*$AW230)*'参数说明'!$C$27)</x:f>
        <x:v>0.8285585695494192</x:v>
      </x:c>
      <x:c r="H230" s="63" t="n">
        <x:f>IF(B230&lt;$H$8,0,(INDEX('主线调参'!$D$11:$D$62,$AV230)+(INDEX('主线调参'!$D$11:$D$62,$AV230+1)-INDEX('主线调参'!$D$11:$D$62,$AV230))*$AW230)*'参数说明'!$D$27)</x:f>
        <x:v>0.6449258844955015</x:v>
      </x:c>
      <x:c r="I230" s="63" t="n">
        <x:f>IF(B230&lt;$I$8,0,(INDEX('主线调参'!$E$11:$E$62,$AV230)+(INDEX('主线调参'!$E$11:$E$62,$AV230+1)-INDEX('主线调参'!$E$11:$E$62,$AV230))*$AW230)*'参数说明'!$E$27)</x:f>
        <x:v>0.5770279119954724</x:v>
      </x:c>
      <x:c r="J230" s="63" t="n">
        <x:f>IF(B230&lt;$J$8,0,(INDEX('主线调参'!$F$11:$F$62,$AV230)+(INDEX('主线调参'!$F$11:$F$62,$AV230+1)-INDEX('主线调参'!$F$11:$F$62,$AV230))*$AW230)*'参数说明'!$F$27)</x:f>
        <x:v>0.5404248674243504</x:v>
      </x:c>
      <x:c r="K230" s="63" t="n">
        <x:f>IF(B230&lt;$K$8,0,(INDEX('主线调参'!$G$11:$G$62,$AV230)+(INDEX('主线调参'!$G$11:$G$62,$AV230+1)-INDEX('主线调参'!$G$11:$G$62,$AV230))*$AW230)*'参数说明'!$G$27)</x:f>
        <x:v>0.5566928642744265</x:v>
      </x:c>
      <x:c r="L230" s="63" t="n">
        <x:f>IF(B230&lt;$L$8,0,(INDEX('主线调参'!$H$11:$H$62,$AV230)+(INDEX('主线调参'!$H$11:$H$62,$AV230+1)-INDEX('主线调参'!$H$11:$H$62,$AV230))*$AW230)*'参数说明'!$H$27)</x:f>
        <x:v>0.6425246891607788</x:v>
      </x:c>
      <x:c r="M230" s="59" t="n">
        <x:f>E230*'模块规划'!$F$10+G230*'模块规划'!$F$11+H230*'模块规划'!$F$13</x:f>
        <x:v>4977.081133837212</x:v>
      </x:c>
      <x:c r="N230" s="59" t="n">
        <x:f>I230*'模块规划'!$F$15+J230*'模块规划'!$F$17+K230*'模块规划'!$F$16+L230*'模块规划'!$F$18</x:f>
        <x:v>16573.252601657736</x:v>
      </x:c>
      <x:c r="O230" s="59" t="n">
        <x:f>1+O$9*SUMPRODUCT($H$10:$L$10,H230:L230)/SUM($H$10:$L$10)</x:f>
        <x:v>3.1702903841233447</x:v>
      </x:c>
      <x:c r="P230" s="59" t="n">
        <x:f>M230*O230+N230</x:f>
        <x:v>32352.04506126356</x:v>
      </x:c>
      <x:c r="Q230" s="59" t="n">
        <x:f>P230/(P230+'_曲线基线'!$L$2)</x:f>
        <x:v>0.5741059623673247</x:v>
      </x:c>
      <x:c r="R230" s="59" t="n">
        <x:f>E230*'模块规划'!$E$10+G230*'模块规划'!$E$11+H230*'模块规划'!$E$13</x:f>
        <x:v>7465.621700755818</x:v>
      </x:c>
      <x:c r="S230" s="59" t="n">
        <x:f>I230*'模块规划'!$E$15+J230*'模块规划'!$E$17+K230*'模块规划'!$E$16+L230*'模块规划'!$E$18</x:f>
        <x:v>24859.878902486606</x:v>
      </x:c>
      <x:c r="T230" s="59" t="n">
        <x:f>1+T$9*SUMPRODUCT($H$10:$L$10,H230:L230)/SUM($H$10:$L$10)</x:f>
        <x:v>3.1702903841233447</x:v>
      </x:c>
      <x:c r="U230" s="59" t="n">
        <x:f>R230*T230+S230</x:f>
        <x:v>48528.06759189535</x:v>
      </x:c>
      <x:c r="V230" s="59" t="n">
        <x:f>V$8+(V$9-V$8)*H230</x:f>
        <x:v>0.8934777653486504</x:v>
      </x:c>
      <x:c r="W230" s="59" t="n">
        <x:f>IF(B230&lt;$H$8,0,W$8+(W$9-W$8)*H230)</x:f>
        <x:v>0.2579703537982006</x:v>
      </x:c>
      <x:c r="X230" s="59" t="n">
        <x:f>X$8+(X$9-X$8)*H230</x:f>
        <x:v>0.45235461823626294</x:v>
      </x:c>
      <x:c r="Y230" s="59" t="n">
        <x:f>Y$8+(Y$9-Y$8)*G230</x:f>
        <x:v>1</x:v>
      </x:c>
      <x:c r="Z230" s="59" t="n">
        <x:f>Z$8+(Z$9-Z$8)*H230</x:f>
        <x:v>1</x:v>
      </x:c>
      <x:c r="AA230" s="59" t="n">
        <x:f>AA$8+(AA$9-AA$8)*I230</x:f>
        <x:v>1</x:v>
      </x:c>
      <x:c r="AB230" s="59" t="n">
        <x:f>AB$8+(AB$9-AB$8)*J230</x:f>
        <x:v>1</x:v>
      </x:c>
      <x:c r="AC230" s="59" t="n">
        <x:f>AC$8+(AC$9-AC$8)*MAX(K230,L230)</x:f>
        <x:v>1</x:v>
      </x:c>
      <x:c r="AD230" s="59" t="n">
        <x:f>(V230*AE230+W230*AF230+X230*AG230)*PRODUCT(Y230:AC230)</x:f>
        <x:v>1.8067751747197294</x:v>
      </x:c>
      <x:c r="AE230" s="59" t="n">
        <x:f>1+AE$9*($H$10*H230+$I$10*I230+$J$10*J230+$K$10*K230+$L$10*L230)</x:f>
        <x:v>1</x:v>
      </x:c>
      <x:c r="AF230" s="59" t="n">
        <x:f>1+AF$9*($H$10*H230+$I$10*I230+$J$10*J230+$K$10*K230+$L$10*L230)</x:f>
        <x:v>1.1915478962505626</x:v>
      </x:c>
      <x:c r="AG230" s="59" t="n">
        <x:f>1+AG$9*($H$10*H230+$I$10*I230+$J$10*J230+$K$10*K230+$L$10*L230)</x:f>
        <x:v>1.3394654383551663</x:v>
      </x:c>
      <x:c r="AH230" s="59" t="n">
        <x:f>MIN(1,'_曲线基线'!$L$3+AH$9*($H$10*H230+$I$10*I230+$J$10*J230+$K$10*K230+$L$10*L230))</x:f>
        <x:v>0.48577146397002935</x:v>
      </x:c>
      <x:c r="AI230" s="59" t="n">
        <x:f>'_曲线基线'!$L$4+AI$9*($H$10*H230+$I$10*I230+$J$10*J230+$K$10*K230+$L$10*L230)</x:f>
        <x:v>3.213934792487939</x:v>
      </x:c>
      <x:c r="AJ230" s="59" t="n">
        <x:f>1+AJ$9*($H$10*H230+$I$10*I230+$J$10*J230+$K$10*K230+$L$10*L230)</x:f>
        <x:v>1.9960490605029242</x:v>
      </x:c>
      <x:c r="AK230" s="59" t="n">
        <x:f>(1+AH230*(AI230-1))*AJ230</x:f>
        <x:v>4.142732648603676</x:v>
      </x:c>
      <x:c r="AL230" s="59" t="n">
        <x:f>U230*AD230*AK230*F230</x:f>
        <x:v>1816159.6551948457</x:v>
      </x:c>
      <x:c r="AM230" s="59" t="n">
        <x:f>IF($B230&lt;AM$8,0,AM$3+(AM$4-AM$3)*(POWER(AM$5,$B230-AM$8)-1)/(POWER(AM$5,$C$5-AM$8)-1))</x:f>
        <x:v>45.40548711547787</x:v>
      </x:c>
      <x:c r="AN230" s="59" t="n">
        <x:f>(((E230*'模块规划'!$D$10+G230*'模块规划'!$D$11+H230*'模块规划'!$D$13)*(1+'模块规划'!$G$14*H230)+(I230*'模块规划'!$D$15+J230*'模块规划'!$D$17+K230*'模块规划'!$D$16+L230*'模块规划'!$D$18))*(1+'模块规划'!$J$17*J230))*F230/(1-Q230)</x:f>
        <x:v>2364922.5959641715</x:v>
      </x:c>
      <x:c r="AO230" s="59" t="n">
        <x:f>AL230*AM230</x:f>
        <x:v>82463613.82360029</x:v>
      </x:c>
      <x:c r="AP230" s="61" t="n">
        <x:f>IF(AO230="","",INDEX('_曲线基线'!$A$3:$A$502,MIN(ROWS('_曲线基线'!$A$3:$A$502),COUNTIF('_曲线基线'!$E$3:$E$502,"&lt;"&amp;AO230)+1)))</x:f>
        <x:v>278</x:v>
      </x:c>
      <x:c r="AQ230" s="61" t="n">
        <x:f>IF(B230&lt;=2,1,IF(B230&lt;=6,2,IF(B230&lt;=9,3,IF(B230&lt;=19,4,5))))</x:f>
        <x:v>5</x:v>
      </x:c>
      <x:c r="AR230" s="59" t="n">
        <x:f>AN230*(1-Q230)/F230*$AS$3+U230*$AS$4+P230*$AS$5</x:f>
        <x:v>15748.852116882643</x:v>
      </x:c>
      <x:c r="AS230" s="59" t="n">
        <x:f>1+AH230*$AS$6+AI230*$AS$7+(AJ230-1)*$AS$8+($H$10*H230+$I$10*I230+$J$10*J230+$K$10*K230+$L$10*L230)*$AU$3*$AS$9+($H$10*H230+$I$10*I230+$J$10*J230+$K$10*K230+$L$10*L230)*$AU$4*$AS$10</x:f>
        <x:v>16.426784447268215</x:v>
      </x:c>
      <x:c r="AT230" s="60" t="n">
        <x:f>ROUND(AR230*AS230,0)</x:f>
        <x:v>258703</x:v>
      </x:c>
      <x:c r="AU230" s="60" t="n">
        <x:f>ROUND(AT230*F230,0)</x:f>
        <x:v>1293515</x:v>
      </x:c>
      <x:c r="AV230" s="60" t="n">
        <x:f>MIN(MATCH(B230,'主线调参'!$M$11:$M$62,1),ROWS('主线调参'!$M$11:$M$62)-1)</x:f>
        <x:v>44</x:v>
      </x:c>
      <x:c r="AW230" s="62" t="n">
        <x:f>(B230-INDEX('主线调参'!$M$11:$M$62,AV230))/(INDEX('主线调参'!$M$11:$M$62,AV230+1)-INDEX('主线调参'!$M$11:$M$62,AV230))</x:f>
        <x:v>0</x:v>
      </x:c>
      <x:c r="AX230" s="60" t="n">
        <x:f>IF(AU230=0,0,ROUND(AU230,2-INT(LOG10(ABS(AU230)))))</x:f>
        <x:v>1290000</x:v>
      </x:c>
      <x:c r="AY230" s="62" t="n">
        <x:f>AU230/AU229-1</x:f>
        <x:v>0.004472900512908051</x:v>
      </x:c>
    </x:row>
    <x:row r="231" ht="25" customHeight="1">
      <x:c r="A231" s="40" t="str">
        <x:f>'调前玩家曲线'!A231</x:f>
      </x:c>
      <x:c r="B231" s="40" t="n">
        <x:f>'调前玩家曲线'!B231</x:f>
        <x:v>220</x:v>
      </x:c>
      <x:c r="C231" s="40" t="n">
        <x:f>'调前玩家曲线'!C231</x:f>
        <x:v>16</x:v>
      </x:c>
      <x:c r="D231" s="40" t="n">
        <x:f>'调前玩家曲线'!D231</x:f>
        <x:v>1</x:v>
      </x:c>
      <x:c r="E231" s="40" t="n">
        <x:f>'调前玩家曲线'!E231</x:f>
        <x:v>1</x:v>
      </x:c>
      <x:c r="F231" s="40" t="n">
        <x:f>'调前玩家曲线'!F231</x:f>
        <x:v>5</x:v>
      </x:c>
      <x:c r="G231" s="63" t="n">
        <x:f>IF(B231&lt;$G$8,0,(INDEX('主线调参'!$C$11:$C$62,$AV231)+(INDEX('主线调参'!$C$11:$C$62,$AV231+1)-INDEX('主线调参'!$C$11:$C$62,$AV231))*$AW231)*'参数说明'!$C$27)</x:f>
        <x:v>0.8298789175928152</x:v>
      </x:c>
      <x:c r="H231" s="63" t="n">
        <x:f>IF(B231&lt;$H$8,0,(INDEX('主线调参'!$D$11:$D$62,$AV231)+(INDEX('主线调参'!$D$11:$D$62,$AV231+1)-INDEX('主线调参'!$D$11:$D$62,$AV231))*$AW231)*'参数说明'!$D$27)</x:f>
        <x:v>0.6459180824636033</x:v>
      </x:c>
      <x:c r="I231" s="63" t="n">
        <x:f>IF(B231&lt;$I$8,0,(INDEX('主线调参'!$E$11:$E$62,$AV231)+(INDEX('主线调参'!$E$11:$E$62,$AV231+1)-INDEX('主线调参'!$E$11:$E$62,$AV231))*$AW231)*'参数说明'!$E$27)</x:f>
        <x:v>0.5784351411444708</x:v>
      </x:c>
      <x:c r="J231" s="63" t="n">
        <x:f>IF(B231&lt;$J$8,0,(INDEX('主线调参'!$F$11:$F$62,$AV231)+(INDEX('主线调参'!$F$11:$F$62,$AV231+1)-INDEX('主线调参'!$F$11:$F$62,$AV231))*$AW231)*'参数说明'!$F$27)</x:f>
        <x:v>0.5415137584954545</x:v>
      </x:c>
      <x:c r="K231" s="63" t="n">
        <x:f>IF(B231&lt;$K$8,0,(INDEX('主线调参'!$G$11:$G$62,$AV231)+(INDEX('主线调参'!$G$11:$G$62,$AV231+1)-INDEX('主线调参'!$G$11:$G$62,$AV231))*$AW231)*'参数说明'!$G$27)</x:f>
        <x:v>0.5586489550042036</x:v>
      </x:c>
      <x:c r="L231" s="63" t="n">
        <x:f>IF(B231&lt;$L$8,0,(INDEX('主线调参'!$H$11:$H$62,$AV231)+(INDEX('主线调参'!$H$11:$H$62,$AV231+1)-INDEX('主线调参'!$H$11:$H$62,$AV231))*$AW231)*'参数说明'!$H$27)</x:f>
        <x:v>0.6435715608472211</x:v>
      </x:c>
      <x:c r="M231" s="59" t="n">
        <x:f>E231*'模块规划'!$F$10+G231*'模块规划'!$F$11+H231*'模块规划'!$F$13</x:f>
        <x:v>4983.418804445513</x:v>
      </x:c>
      <x:c r="N231" s="59" t="n">
        <x:f>I231*'模块规划'!$F$15+J231*'模块规划'!$F$17+K231*'模块规划'!$F$16+L231*'模块规划'!$F$18</x:f>
        <x:v>16612.370248371637</x:v>
      </x:c>
      <x:c r="O231" s="59" t="n">
        <x:f>1+O$9*SUMPRODUCT($H$10:$L$10,H231:L231)/SUM($H$10:$L$10)</x:f>
        <x:v>3.175067219097352</x:v>
      </x:c>
      <x:c r="P231" s="59" t="n">
        <x:f>M231*O231+N231</x:f>
        <x:v>32435.059933399905</x:v>
      </x:c>
      <x:c r="Q231" s="59" t="n">
        <x:f>P231/(P231+'_曲线基线'!$L$2)</x:f>
        <x:v>0.5747324441876582</x:v>
      </x:c>
      <x:c r="R231" s="59" t="n">
        <x:f>E231*'模块规划'!$E$10+G231*'模块规划'!$E$11+H231*'模块规划'!$E$13</x:f>
        <x:v>7475.12820666827</x:v>
      </x:c>
      <x:c r="S231" s="59" t="n">
        <x:f>I231*'模块规划'!$E$15+J231*'模块规划'!$E$17+K231*'模块规划'!$E$16+L231*'模块规划'!$E$18</x:f>
        <x:v>24918.555372557457</x:v>
      </x:c>
      <x:c r="T231" s="59" t="n">
        <x:f>1+T$9*SUMPRODUCT($H$10:$L$10,H231:L231)/SUM($H$10:$L$10)</x:f>
        <x:v>3.175067219097352</x:v>
      </x:c>
      <x:c r="U231" s="59" t="n">
        <x:f>R231*T231+S231</x:f>
        <x:v>48652.58990009986</x:v>
      </x:c>
      <x:c r="V231" s="59" t="n">
        <x:f>V$8+(V$9-V$8)*H231</x:f>
        <x:v>0.893775424739081</x:v>
      </x:c>
      <x:c r="W231" s="59" t="n">
        <x:f>IF(B231&lt;$H$8,0,W$8+(W$9-W$8)*H231)</x:f>
        <x:v>0.25836723298544134</x:v>
      </x:c>
      <x:c r="X231" s="59" t="n">
        <x:f>X$8+(X$9-X$8)*H231</x:f>
        <x:v>0.4526274726774909</x:v>
      </x:c>
      <x:c r="Y231" s="59" t="n">
        <x:f>Y$8+(Y$9-Y$8)*G231</x:f>
        <x:v>1</x:v>
      </x:c>
      <x:c r="Z231" s="59" t="n">
        <x:f>Z$8+(Z$9-Z$8)*H231</x:f>
        <x:v>1</x:v>
      </x:c>
      <x:c r="AA231" s="59" t="n">
        <x:f>AA$8+(AA$9-AA$8)*I231</x:f>
        <x:v>1</x:v>
      </x:c>
      <x:c r="AB231" s="59" t="n">
        <x:f>AB$8+(AB$9-AB$8)*J231</x:f>
        <x:v>1</x:v>
      </x:c>
      <x:c r="AC231" s="59" t="n">
        <x:f>AC$8+(AC$9-AC$8)*MAX(K231,L231)</x:f>
        <x:v>1</x:v>
      </x:c>
      <x:c r="AD231" s="59" t="n">
        <x:f>(V231*AE231+W231*AF231+X231*AG231)*PRODUCT(Y231:AC231)</x:f>
        <x:v>1.808358329707501</x:v>
      </x:c>
      <x:c r="AE231" s="59" t="n">
        <x:f>1+AE$9*($H$10*H231+$I$10*I231+$J$10*J231+$K$10*K231+$L$10*L231)</x:f>
        <x:v>1</x:v>
      </x:c>
      <x:c r="AF231" s="59" t="n">
        <x:f>1+AF$9*($H$10*H231+$I$10*I231+$J$10*J231+$K$10*K231+$L$10*L231)</x:f>
        <x:v>1.1919694954506976</x:v>
      </x:c>
      <x:c r="AG231" s="59" t="n">
        <x:f>1+AG$9*($H$10*H231+$I$10*I231+$J$10*J231+$K$10*K231+$L$10*L231)</x:f>
        <x:v>1.3402126058265167</x:v>
      </x:c>
      <x:c r="AH231" s="59" t="n">
        <x:f>MIN(1,'_曲线基线'!$L$3+AH$9*($H$10*H231+$I$10*I231+$J$10*J231+$K$10*K231+$L$10*L231))</x:f>
        <x:v>0.48673060215033664</x:v>
      </x:c>
      <x:c r="AI231" s="59" t="n">
        <x:f>'_曲线基线'!$L$4+AI$9*($H$10*H231+$I$10*I231+$J$10*J231+$K$10*K231+$L$10*L231)</x:f>
        <x:v>3.216606677418795</x:v>
      </x:c>
      <x:c r="AJ231" s="59" t="n">
        <x:f>1+AJ$9*($H$10*H231+$I$10*I231+$J$10*J231+$K$10*K231+$L$10*L231)</x:f>
        <x:v>1.9982413763436266</x:v>
      </x:c>
      <x:c r="AK231" s="59" t="n">
        <x:f>(1+AH231*(AI231-1))*AJ231</x:f>
        <x:v>4.154124619995451</x:v>
      </x:c>
      <x:c r="AL231" s="59" t="n">
        <x:f>U231*AD231*AK231*F231</x:f>
        <x:v>1827426.7587898206</x:v>
      </x:c>
      <x:c r="AM231" s="59" t="n">
        <x:f>IF($B231&lt;AM$8,0,AM$3+(AM$4-AM$3)*(POWER(AM$5,$B231-AM$8)-1)/(POWER(AM$5,$C$5-AM$8)-1))</x:f>
        <x:v>45.52296662655451</x:v>
      </x:c>
      <x:c r="AN231" s="59" t="n">
        <x:f>(((E231*'模块规划'!$D$10+G231*'模块规划'!$D$11+H231*'模块规划'!$D$13)*(1+'模块规划'!$G$14*H231)+(I231*'模块规划'!$D$15+J231*'模块规划'!$D$17+K231*'模块规划'!$D$16+L231*'模块规划'!$D$18))*(1+'模块规划'!$J$17*J231))*F231/(1-Q231)</x:f>
        <x:v>2375480.7110151974</x:v>
      </x:c>
      <x:c r="AO231" s="59" t="n">
        <x:f>AL231*AM231</x:f>
        <x:v>83189887.35286169</x:v>
      </x:c>
      <x:c r="AP231" s="61" t="n">
        <x:f>IF(AO231="","",INDEX('_曲线基线'!$A$3:$A$502,MIN(ROWS('_曲线基线'!$A$3:$A$502),COUNTIF('_曲线基线'!$E$3:$E$502,"&lt;"&amp;AO231)+1)))</x:f>
        <x:v>279</x:v>
      </x:c>
      <x:c r="AQ231" s="61" t="n">
        <x:f>IF(B231&lt;=2,1,IF(B231&lt;=6,2,IF(B231&lt;=9,3,IF(B231&lt;=19,4,5))))</x:f>
        <x:v>5</x:v>
      </x:c>
      <x:c r="AR231" s="59" t="n">
        <x:f>AN231*(1-Q231)/F231*$AS$3+U231*$AS$4+P231*$AS$5</x:f>
        <x:v>15791.807235136752</x:v>
      </x:c>
      <x:c r="AS231" s="59" t="n">
        <x:f>1+AH231*$AS$6+AI231*$AS$7+(AJ231-1)*$AS$8+($H$10*H231+$I$10*I231+$J$10*J231+$K$10*K231+$L$10*L231)*$AU$3*$AS$9+($H$10*H231+$I$10*I231+$J$10*J231+$K$10*K231+$L$10*L231)*$AU$4*$AS$10</x:f>
        <x:v>16.451975478518378</x:v>
      </x:c>
      <x:c r="AT231" s="60" t="n">
        <x:f>ROUND(AR231*AS231,0)</x:f>
        <x:v>259806</x:v>
      </x:c>
      <x:c r="AU231" s="60" t="n">
        <x:f>ROUND(AT231*F231,0)</x:f>
        <x:v>1299030</x:v>
      </x:c>
      <x:c r="AV231" s="60" t="n">
        <x:f>MIN(MATCH(B231,'主线调参'!$M$11:$M$62,1),ROWS('主线调参'!$M$11:$M$62)-1)</x:f>
        <x:v>45</x:v>
      </x:c>
      <x:c r="AW231" s="62" t="n">
        <x:f>(B231-INDEX('主线调参'!$M$11:$M$62,AV231))/(INDEX('主线调参'!$M$11:$M$62,AV231+1)-INDEX('主线调参'!$M$11:$M$62,AV231))</x:f>
        <x:v>0</x:v>
      </x:c>
      <x:c r="AX231" s="60" t="n">
        <x:f>IF(AU231=0,0,ROUND(AU231,2-INT(LOG10(ABS(AU231)))))</x:f>
        <x:v>1300000</x:v>
      </x:c>
      <x:c r="AY231" s="62" t="n">
        <x:f>AU231/AU230-1</x:f>
        <x:v>0.0042635763790910275</x:v>
      </x:c>
    </x:row>
    <x:row r="232" ht="25" customHeight="1">
      <x:c r="A232" s="40" t="str">
        <x:f>'调前玩家曲线'!A232</x:f>
      </x:c>
      <x:c r="B232" s="40" t="n">
        <x:f>'调前玩家曲线'!B232</x:f>
        <x:v>221</x:v>
      </x:c>
      <x:c r="C232" s="40" t="n">
        <x:f>'调前玩家曲线'!C232</x:f>
        <x:v>16</x:v>
      </x:c>
      <x:c r="D232" s="40" t="n">
        <x:f>'调前玩家曲线'!D232</x:f>
        <x:v>2</x:v>
      </x:c>
      <x:c r="E232" s="40" t="n">
        <x:f>'调前玩家曲线'!E232</x:f>
        <x:v>1</x:v>
      </x:c>
      <x:c r="F232" s="40" t="n">
        <x:f>'调前玩家曲线'!F232</x:f>
        <x:v>5</x:v>
      </x:c>
      <x:c r="G232" s="63" t="n">
        <x:f>IF(B232&lt;$G$8,0,(INDEX('主线调参'!$C$11:$C$62,$AV232)+(INDEX('主线调参'!$C$11:$C$62,$AV232+1)-INDEX('主线调参'!$C$11:$C$62,$AV232))*$AW232)*'参数说明'!$C$27)</x:f>
        <x:v>0.8311596686861633</x:v>
      </x:c>
      <x:c r="H232" s="63" t="n">
        <x:f>IF(B232&lt;$H$8,0,(INDEX('主线调参'!$D$11:$D$62,$AV232)+(INDEX('主线调参'!$D$11:$D$62,$AV232+1)-INDEX('主线调参'!$D$11:$D$62,$AV232))*$AW232)*'参数说明'!$D$27)</x:f>
        <x:v>0.6468860969710186</x:v>
      </x:c>
      <x:c r="I232" s="63" t="n">
        <x:f>IF(B232&lt;$I$8,0,(INDEX('主线调参'!$E$11:$E$62,$AV232)+(INDEX('主线调参'!$E$11:$E$62,$AV232+1)-INDEX('主线调参'!$E$11:$E$62,$AV232))*$AW232)*'参数说明'!$E$27)</x:f>
        <x:v>0.5797801905291702</x:v>
      </x:c>
      <x:c r="J232" s="63" t="n">
        <x:f>IF(B232&lt;$J$8,0,(INDEX('主线调参'!$F$11:$F$62,$AV232)+(INDEX('主线调参'!$F$11:$F$62,$AV232+1)-INDEX('主线调参'!$F$11:$F$62,$AV232))*$AW232)*'参数说明'!$F$27)</x:f>
        <x:v>0.5425714104896654</x:v>
      </x:c>
      <x:c r="K232" s="63" t="n">
        <x:f>IF(B232&lt;$K$8,0,(INDEX('主线调参'!$G$11:$G$62,$AV232)+(INDEX('主线调参'!$G$11:$G$62,$AV232+1)-INDEX('主线调参'!$G$11:$G$62,$AV232))*$AW232)*'参数说明'!$G$27)</x:f>
        <x:v>0.5604745288801747</x:v>
      </x:c>
      <x:c r="L232" s="63" t="n">
        <x:f>IF(B232&lt;$L$8,0,(INDEX('主线调参'!$H$11:$H$62,$AV232)+(INDEX('主线调参'!$H$11:$H$62,$AV232+1)-INDEX('主线调参'!$H$11:$H$62,$AV232))*$AW232)*'参数说明'!$H$27)</x:f>
        <x:v>0.6445894792428856</x:v>
      </x:c>
      <x:c r="M232" s="59" t="n">
        <x:f>E232*'模块规划'!$F$10+G232*'模块规划'!$F$11+H232*'模块规划'!$F$13</x:f>
        <x:v>4989.566409693583</x:v>
      </x:c>
      <x:c r="N232" s="59" t="n">
        <x:f>I232*'模块规划'!$F$15+J232*'模块规划'!$F$17+K232*'模块规划'!$F$16+L232*'模块规划'!$F$18</x:f>
        <x:v>16649.750198625494</x:v>
      </x:c>
      <x:c r="O232" s="59" t="n">
        <x:f>1+O$9*SUMPRODUCT($H$10:$L$10,H232:L232)/SUM($H$10:$L$10)</x:f>
        <x:v>3.1796503383464776</x:v>
      </x:c>
      <x:c r="P232" s="59" t="n">
        <x:f>M232*O232+N232</x:f>
        <x:v>32514.826721409918</x:v>
      </x:c>
      <x:c r="Q232" s="59" t="n">
        <x:f>P232/(P232+'_曲线基线'!$L$2)</x:f>
        <x:v>0.5753326800715837</x:v>
      </x:c>
      <x:c r="R232" s="59" t="n">
        <x:f>E232*'模块规划'!$E$10+G232*'模块规划'!$E$11+H232*'模块规划'!$E$13</x:f>
        <x:v>7484.349614540376</x:v>
      </x:c>
      <x:c r="S232" s="59" t="n">
        <x:f>I232*'模块规划'!$E$15+J232*'模块规划'!$E$17+K232*'模块规划'!$E$16+L232*'模块规划'!$E$18</x:f>
        <x:v>24974.625297938237</x:v>
      </x:c>
      <x:c r="T232" s="59" t="n">
        <x:f>1+T$9*SUMPRODUCT($H$10:$L$10,H232:L232)/SUM($H$10:$L$10)</x:f>
        <x:v>3.1796503383464776</x:v>
      </x:c>
      <x:c r="U232" s="59" t="n">
        <x:f>R232*T232+S232</x:f>
        <x:v>48772.24008211488</x:v>
      </x:c>
      <x:c r="V232" s="59" t="n">
        <x:f>V$8+(V$9-V$8)*H232</x:f>
        <x:v>0.8940658290913056</x:v>
      </x:c>
      <x:c r="W232" s="59" t="n">
        <x:f>IF(B232&lt;$H$8,0,W$8+(W$9-W$8)*H232)</x:f>
        <x:v>0.2587544387884075</x:v>
      </x:c>
      <x:c r="X232" s="59" t="n">
        <x:f>X$8+(X$9-X$8)*H232</x:f>
        <x:v>0.4528936766670302</x:v>
      </x:c>
      <x:c r="Y232" s="59" t="n">
        <x:f>Y$8+(Y$9-Y$8)*G232</x:f>
        <x:v>1</x:v>
      </x:c>
      <x:c r="Z232" s="59" t="n">
        <x:f>Z$8+(Z$9-Z$8)*H232</x:f>
        <x:v>1</x:v>
      </x:c>
      <x:c r="AA232" s="59" t="n">
        <x:f>AA$8+(AA$9-AA$8)*I232</x:f>
        <x:v>1</x:v>
      </x:c>
      <x:c r="AB232" s="59" t="n">
        <x:f>AB$8+(AB$9-AB$8)*J232</x:f>
        <x:v>1</x:v>
      </x:c>
      <x:c r="AC232" s="59" t="n">
        <x:f>AC$8+(AC$9-AC$8)*MAX(K232,L232)</x:f>
        <x:v>1</x:v>
      </x:c>
      <x:c r="AD232" s="59" t="n">
        <x:f>(V232*AE232+W232*AF232+X232*AG232)*PRODUCT(Y232:AC232)</x:f>
        <x:v>1.8098963729475852</x:v>
      </x:c>
      <x:c r="AE232" s="59" t="n">
        <x:f>1+AE$9*($H$10*H232+$I$10*I232+$J$10*J232+$K$10*K232+$L$10*L232)</x:f>
        <x:v>1</x:v>
      </x:c>
      <x:c r="AF232" s="59" t="n">
        <x:f>1+AF$9*($H$10*H232+$I$10*I232+$J$10*J232+$K$10*K232+$L$10*L232)</x:f>
        <x:v>1.1923739974734948</x:v>
      </x:c>
      <x:c r="AG232" s="59" t="n">
        <x:f>1+AG$9*($H$10*H232+$I$10*I232+$J$10*J232+$K$10*K232+$L$10*L232)</x:f>
        <x:v>1.340929473300252</x:v>
      </x:c>
      <x:c r="AH232" s="59" t="n">
        <x:f>MIN(1,'_曲线基线'!$L$3+AH$9*($H$10*H232+$I$10*I232+$J$10*J232+$K$10*K232+$L$10*L232))</x:f>
        <x:v>0.4876508442522005</x:v>
      </x:c>
      <x:c r="AI232" s="59" t="n">
        <x:f>'_曲线基线'!$L$4+AI$9*($H$10*H232+$I$10*I232+$J$10*J232+$K$10*K232+$L$10*L232)</x:f>
        <x:v>3.219170208988273</x:v>
      </x:c>
      <x:c r="AJ232" s="59" t="n">
        <x:f>1+AJ$9*($H$10*H232+$I$10*I232+$J$10*J232+$K$10*K232+$L$10*L232)</x:f>
        <x:v>2.000344786862173</x:v>
      </x:c>
      <x:c r="AK232" s="59" t="n">
        <x:f>(1+AH232*(AI232-1))*AJ232</x:f>
        <x:v>4.165078360291512</x:v>
      </x:c>
      <x:c r="AL232" s="59" t="n">
        <x:f>U232*AD232*AK232*F232</x:f>
        <x:v>1838313.5717264076</x:v>
      </x:c>
      <x:c r="AM232" s="59" t="n">
        <x:f>IF($B232&lt;AM$8,0,AM$3+(AM$4-AM$3)*(POWER(AM$5,$B232-AM$8)-1)/(POWER(AM$5,$C$5-AM$8)-1))</x:f>
        <x:v>45.64162093274193</x:v>
      </x:c>
      <x:c r="AN232" s="59" t="n">
        <x:f>(((E232*'模块规划'!$D$10+G232*'模块规划'!$D$11+H232*'模块规划'!$D$13)*(1+'模块规划'!$G$14*H232)+(I232*'模块规划'!$D$15+J232*'模块规划'!$D$17+K232*'模块规划'!$D$16+L232*'模块规划'!$D$18))*(1+'模块规划'!$J$17*J232))*F232/(1-Q232)</x:f>
        <x:v>2385668.998037777</x:v>
      </x:c>
      <x:c r="AO232" s="59" t="n">
        <x:f>AL232*AM232</x:f>
        <x:v>83903611.19625159</x:v>
      </x:c>
      <x:c r="AP232" s="61" t="n">
        <x:f>IF(AO232="","",INDEX('_曲线基线'!$A$3:$A$502,MIN(ROWS('_曲线基线'!$A$3:$A$502),COUNTIF('_曲线基线'!$E$3:$E$502,"&lt;"&amp;AO232)+1)))</x:f>
        <x:v>280</x:v>
      </x:c>
      <x:c r="AQ232" s="61" t="n">
        <x:f>IF(B232&lt;=2,1,IF(B232&lt;=6,2,IF(B232&lt;=9,3,IF(B232&lt;=19,4,5))))</x:f>
        <x:v>5</x:v>
      </x:c>
      <x:c r="AR232" s="59" t="n">
        <x:f>AN232*(1-Q232)/F232*$AS$3+U232*$AS$4+P232*$AS$5</x:f>
        <x:v>15833.141974221053</x:v>
      </x:c>
      <x:c r="AS232" s="59" t="n">
        <x:f>1+AH232*$AS$6+AI232*$AS$7+(AJ232-1)*$AS$8+($H$10*H232+$I$10*I232+$J$10*J232+$K$10*K232+$L$10*L232)*$AU$3*$AS$9+($H$10*H232+$I$10*I232+$J$10*J232+$K$10*K232+$L$10*L232)*$AU$4*$AS$10</x:f>
        <x:v>16.47614493399594</x:v>
      </x:c>
      <x:c r="AT232" s="60" t="n">
        <x:f>ROUND(AR232*AS232,0)</x:f>
        <x:v>260869</x:v>
      </x:c>
      <x:c r="AU232" s="60" t="n">
        <x:f>ROUND(AT232*F232,0)</x:f>
        <x:v>1304345</x:v>
      </x:c>
      <x:c r="AV232" s="60" t="n">
        <x:f>MIN(MATCH(B232,'主线调参'!$M$11:$M$62,1),ROWS('主线调参'!$M$11:$M$62)-1)</x:f>
        <x:v>45</x:v>
      </x:c>
      <x:c r="AW232" s="62" t="n">
        <x:f>(B232-INDEX('主线调参'!$M$11:$M$62,AV232))/(INDEX('主线调参'!$M$11:$M$62,AV232+1)-INDEX('主线调参'!$M$11:$M$62,AV232))</x:f>
        <x:v>0.07142857142857142</x:v>
      </x:c>
      <x:c r="AX232" s="60" t="n">
        <x:f>IF(AU232=0,0,ROUND(AU232,2-INT(LOG10(ABS(AU232)))))</x:f>
        <x:v>1300000</x:v>
      </x:c>
      <x:c r="AY232" s="62" t="n">
        <x:f>AU232/AU231-1</x:f>
        <x:v>0.004091514437695842</x:v>
      </x:c>
    </x:row>
    <x:row r="233" ht="25" customHeight="1">
      <x:c r="A233" s="40" t="str">
        <x:f>'调前玩家曲线'!A233</x:f>
      </x:c>
      <x:c r="B233" s="40" t="n">
        <x:f>'调前玩家曲线'!B233</x:f>
        <x:v>222</x:v>
      </x:c>
      <x:c r="C233" s="40" t="n">
        <x:f>'调前玩家曲线'!C233</x:f>
        <x:v>16</x:v>
      </x:c>
      <x:c r="D233" s="40" t="n">
        <x:f>'调前玩家曲线'!D233</x:f>
        <x:v>3</x:v>
      </x:c>
      <x:c r="E233" s="40" t="n">
        <x:f>'调前玩家曲线'!E233</x:f>
        <x:v>1</x:v>
      </x:c>
      <x:c r="F233" s="40" t="n">
        <x:f>'调前玩家曲线'!F233</x:f>
        <x:v>5</x:v>
      </x:c>
      <x:c r="G233" s="63" t="n">
        <x:f>IF(B233&lt;$G$8,0,(INDEX('主线调参'!$C$11:$C$62,$AV233)+(INDEX('主线调参'!$C$11:$C$62,$AV233+1)-INDEX('主线调参'!$C$11:$C$62,$AV233))*$AW233)*'参数说明'!$C$27)</x:f>
        <x:v>0.8324404197795113</x:v>
      </x:c>
      <x:c r="H233" s="63" t="n">
        <x:f>IF(B233&lt;$H$8,0,(INDEX('主线调参'!$D$11:$D$62,$AV233)+(INDEX('主线调参'!$D$11:$D$62,$AV233+1)-INDEX('主线调参'!$D$11:$D$62,$AV233))*$AW233)*'参数说明'!$D$27)</x:f>
        <x:v>0.6478541114784341</x:v>
      </x:c>
      <x:c r="I233" s="63" t="n">
        <x:f>IF(B233&lt;$I$8,0,(INDEX('主线调参'!$E$11:$E$62,$AV233)+(INDEX('主线调参'!$E$11:$E$62,$AV233+1)-INDEX('主线调参'!$E$11:$E$62,$AV233))*$AW233)*'参数说明'!$E$27)</x:f>
        <x:v>0.5811252399138696</x:v>
      </x:c>
      <x:c r="J233" s="63" t="n">
        <x:f>IF(B233&lt;$J$8,0,(INDEX('主线调参'!$F$11:$F$62,$AV233)+(INDEX('主线调参'!$F$11:$F$62,$AV233+1)-INDEX('主线调参'!$F$11:$F$62,$AV233))*$AW233)*'参数说明'!$F$27)</x:f>
        <x:v>0.5436290624838764</x:v>
      </x:c>
      <x:c r="K233" s="63" t="n">
        <x:f>IF(B233&lt;$K$8,0,(INDEX('主线调参'!$G$11:$G$62,$AV233)+(INDEX('主线调参'!$G$11:$G$62,$AV233+1)-INDEX('主线调参'!$G$11:$G$62,$AV233))*$AW233)*'参数说明'!$G$27)</x:f>
        <x:v>0.5623001027561458</x:v>
      </x:c>
      <x:c r="L233" s="63" t="n">
        <x:f>IF(B233&lt;$L$8,0,(INDEX('主线调参'!$H$11:$H$62,$AV233)+(INDEX('主线调参'!$H$11:$H$62,$AV233+1)-INDEX('主线调参'!$H$11:$H$62,$AV233))*$AW233)*'参数说明'!$H$27)</x:f>
        <x:v>0.64560739763855</x:v>
      </x:c>
      <x:c r="M233" s="59" t="n">
        <x:f>E233*'模块规划'!$F$10+G233*'模块规划'!$F$11+H233*'模块规划'!$F$13</x:f>
        <x:v>4995.714014941655</x:v>
      </x:c>
      <x:c r="N233" s="59" t="n">
        <x:f>I233*'模块规划'!$F$15+J233*'模块规划'!$F$17+K233*'模块规划'!$F$16+L233*'模块规划'!$F$18</x:f>
        <x:v>16687.130148879347</x:v>
      </x:c>
      <x:c r="O233" s="59" t="n">
        <x:f>1+O$9*SUMPRODUCT($H$10:$L$10,H233:L233)/SUM($H$10:$L$10)</x:f>
        <x:v>3.1842334575956044</x:v>
      </x:c>
      <x:c r="P233" s="59" t="n">
        <x:f>M233*O233+N233</x:f>
        <x:v>32594.64985983583</x:v>
      </x:c>
      <x:c r="Q233" s="59" t="n">
        <x:f>P233/(P233+'_曲线基线'!$L$2)</x:f>
        <x:v>0.5759316461990809</x:v>
      </x:c>
      <x:c r="R233" s="59" t="n">
        <x:f>E233*'模块规划'!$E$10+G233*'模块规划'!$E$11+H233*'模块规划'!$E$13</x:f>
        <x:v>7493.571022412481</x:v>
      </x:c>
      <x:c r="S233" s="59" t="n">
        <x:f>I233*'模块规划'!$E$15+J233*'模块规划'!$E$17+K233*'模块规划'!$E$16+L233*'模块规划'!$E$18</x:f>
        <x:v>25030.69522331902</x:v>
      </x:c>
      <x:c r="T233" s="59" t="n">
        <x:f>1+T$9*SUMPRODUCT($H$10:$L$10,H233:L233)/SUM($H$10:$L$10)</x:f>
        <x:v>3.1842334575956044</x:v>
      </x:c>
      <x:c r="U233" s="59" t="n">
        <x:f>R233*T233+S233</x:f>
        <x:v>48891.974789753745</x:v>
      </x:c>
      <x:c r="V233" s="59" t="n">
        <x:f>V$8+(V$9-V$8)*H233</x:f>
        <x:v>0.8943562334435302</x:v>
      </x:c>
      <x:c r="W233" s="59" t="n">
        <x:f>IF(B233&lt;$H$8,0,W$8+(W$9-W$8)*H233)</x:f>
        <x:v>0.2591416445913736</x:v>
      </x:c>
      <x:c r="X233" s="59" t="n">
        <x:f>X$8+(X$9-X$8)*H233</x:f>
        <x:v>0.4531598806565694</x:v>
      </x:c>
      <x:c r="Y233" s="59" t="n">
        <x:f>Y$8+(Y$9-Y$8)*G233</x:f>
        <x:v>1</x:v>
      </x:c>
      <x:c r="Z233" s="59" t="n">
        <x:f>Z$8+(Z$9-Z$8)*H233</x:f>
        <x:v>1</x:v>
      </x:c>
      <x:c r="AA233" s="59" t="n">
        <x:f>AA$8+(AA$9-AA$8)*I233</x:f>
        <x:v>1</x:v>
      </x:c>
      <x:c r="AB233" s="59" t="n">
        <x:f>AB$8+(AB$9-AB$8)*J233</x:f>
        <x:v>1</x:v>
      </x:c>
      <x:c r="AC233" s="59" t="n">
        <x:f>AC$8+(AC$9-AC$8)*MAX(K233,L233)</x:f>
        <x:v>1</x:v>
      </x:c>
      <x:c r="AD233" s="59" t="n">
        <x:f>(V233*AE233+W233*AF233+X233*AG233)*PRODUCT(Y233:AC233)</x:f>
        <x:v>1.8114351111046936</x:v>
      </x:c>
      <x:c r="AE233" s="59" t="n">
        <x:f>1+AE$9*($H$10*H233+$I$10*I233+$J$10*J233+$K$10*K233+$L$10*L233)</x:f>
        <x:v>1</x:v>
      </x:c>
      <x:c r="AF233" s="59" t="n">
        <x:f>1+AF$9*($H$10*H233+$I$10*I233+$J$10*J233+$K$10*K233+$L$10*L233)</x:f>
        <x:v>1.1927784994962924</x:v>
      </x:c>
      <x:c r="AG233" s="59" t="n">
        <x:f>1+AG$9*($H$10*H233+$I$10*I233+$J$10*J233+$K$10*K233+$L$10*L233)</x:f>
        <x:v>1.3416463407739874</x:v>
      </x:c>
      <x:c r="AH233" s="59" t="n">
        <x:f>MIN(1,'_曲线基线'!$L$3+AH$9*($H$10*H233+$I$10*I233+$J$10*J233+$K$10*K233+$L$10*L233))</x:f>
        <x:v>0.48857108635406465</x:v>
      </x:c>
      <x:c r="AI233" s="59" t="n">
        <x:f>'_曲线基线'!$L$4+AI$9*($H$10*H233+$I$10*I233+$J$10*J233+$K$10*K233+$L$10*L233)</x:f>
        <x:v>3.2217337405577515</x:v>
      </x:c>
      <x:c r="AJ233" s="59" t="n">
        <x:f>1+AJ$9*($H$10*H233+$I$10*I233+$J$10*J233+$K$10*K233+$L$10*L233)</x:f>
        <x:v>2.002448197380719</x:v>
      </x:c>
      <x:c r="AK233" s="59" t="n">
        <x:f>(1+AH233*(AI233-1))*AJ233</x:f>
        <x:v>4.176055388535029</x:v>
      </x:c>
      <x:c r="AL233" s="59" t="n">
        <x:f>U233*AD233*AK233*F233</x:f>
        <x:v>1849254.2060475312</x:v>
      </x:c>
      <x:c r="AM233" s="59" t="n">
        <x:f>IF($B233&lt;AM$8,0,AM$3+(AM$4-AM$3)*(POWER(AM$5,$B233-AM$8)-1)/(POWER(AM$5,$C$5-AM$8)-1))</x:f>
        <x:v>45.761461781991216</x:v>
      </x:c>
      <x:c r="AN233" s="59" t="n">
        <x:f>(((E233*'模块规划'!$D$10+G233*'模块规划'!$D$11+H233*'模块规划'!$D$13)*(1+'模块规划'!$G$14*H233)+(I233*'模块规划'!$D$15+J233*'模块规划'!$D$17+K233*'模块规划'!$D$16+L233*'模块规划'!$D$18))*(1+'模块规划'!$J$17*J233))*F233/(1-Q233)</x:f>
        <x:v>2395887.695133125</x:v>
      </x:c>
      <x:c r="AO233" s="59" t="n">
        <x:f>AL233*AM233</x:f>
        <x:v>84624575.6752306</x:v>
      </x:c>
      <x:c r="AP233" s="61" t="n">
        <x:f>IF(AO233="","",INDEX('_曲线基线'!$A$3:$A$502,MIN(ROWS('_曲线基线'!$A$3:$A$502),COUNTIF('_曲线基线'!$E$3:$E$502,"&lt;"&amp;AO233)+1)))</x:f>
        <x:v>280</x:v>
      </x:c>
      <x:c r="AQ233" s="61" t="n">
        <x:f>IF(B233&lt;=2,1,IF(B233&lt;=6,2,IF(B233&lt;=9,3,IF(B233&lt;=19,4,5))))</x:f>
        <x:v>5</x:v>
      </x:c>
      <x:c r="AR233" s="59" t="n">
        <x:f>AN233*(1-Q233)/F233*$AS$3+U233*$AS$4+P233*$AS$5</x:f>
        <x:v>15874.515862552646</x:v>
      </x:c>
      <x:c r="AS233" s="59" t="n">
        <x:f>1+AH233*$AS$6+AI233*$AS$7+(AJ233-1)*$AS$8+($H$10*H233+$I$10*I233+$J$10*J233+$K$10*K233+$L$10*L233)*$AU$3*$AS$9+($H$10*H233+$I$10*I233+$J$10*J233+$K$10*K233+$L$10*L233)*$AU$4*$AS$10</x:f>
        <x:v>16.500314389473512</x:v>
      </x:c>
      <x:c r="AT233" s="60" t="n">
        <x:f>ROUND(AR233*AS233,0)</x:f>
        <x:v>261935</x:v>
      </x:c>
      <x:c r="AU233" s="60" t="n">
        <x:f>ROUND(AT233*F233,0)</x:f>
        <x:v>1309675</x:v>
      </x:c>
      <x:c r="AV233" s="60" t="n">
        <x:f>MIN(MATCH(B233,'主线调参'!$M$11:$M$62,1),ROWS('主线调参'!$M$11:$M$62)-1)</x:f>
        <x:v>45</x:v>
      </x:c>
      <x:c r="AW233" s="62" t="n">
        <x:f>(B233-INDEX('主线调参'!$M$11:$M$62,AV233))/(INDEX('主线调参'!$M$11:$M$62,AV233+1)-INDEX('主线调参'!$M$11:$M$62,AV233))</x:f>
        <x:v>0.14285714285714285</x:v>
      </x:c>
      <x:c r="AX233" s="60" t="n">
        <x:f>IF(AU233=0,0,ROUND(AU233,2-INT(LOG10(ABS(AU233)))))</x:f>
        <x:v>1310000</x:v>
      </x:c>
      <x:c r="AY233" s="62" t="n">
        <x:f>AU233/AU232-1</x:f>
        <x:v>0.00408634218707471</x:v>
      </x:c>
    </x:row>
    <x:row r="234" ht="25" customHeight="1">
      <x:c r="A234" s="40" t="str">
        <x:f>'调前玩家曲线'!A234</x:f>
      </x:c>
      <x:c r="B234" s="40" t="n">
        <x:f>'调前玩家曲线'!B234</x:f>
        <x:v>223</x:v>
      </x:c>
      <x:c r="C234" s="40" t="n">
        <x:f>'调前玩家曲线'!C234</x:f>
        <x:v>16</x:v>
      </x:c>
      <x:c r="D234" s="40" t="n">
        <x:f>'调前玩家曲线'!D234</x:f>
        <x:v>4</x:v>
      </x:c>
      <x:c r="E234" s="40" t="n">
        <x:f>'调前玩家曲线'!E234</x:f>
        <x:v>1</x:v>
      </x:c>
      <x:c r="F234" s="40" t="n">
        <x:f>'调前玩家曲线'!F234</x:f>
        <x:v>5</x:v>
      </x:c>
      <x:c r="G234" s="63" t="n">
        <x:f>IF(B234&lt;$G$8,0,(INDEX('主线调参'!$C$11:$C$62,$AV234)+(INDEX('主线调参'!$C$11:$C$62,$AV234+1)-INDEX('主线调参'!$C$11:$C$62,$AV234))*$AW234)*'参数说明'!$C$27)</x:f>
        <x:v>0.8337211708728595</x:v>
      </x:c>
      <x:c r="H234" s="63" t="n">
        <x:f>IF(B234&lt;$H$8,0,(INDEX('主线调参'!$D$11:$D$62,$AV234)+(INDEX('主线调参'!$D$11:$D$62,$AV234+1)-INDEX('主线调参'!$D$11:$D$62,$AV234))*$AW234)*'参数说明'!$D$27)</x:f>
        <x:v>0.6488221259858495</x:v>
      </x:c>
      <x:c r="I234" s="63" t="n">
        <x:f>IF(B234&lt;$I$8,0,(INDEX('主线调参'!$E$11:$E$62,$AV234)+(INDEX('主线调参'!$E$11:$E$62,$AV234+1)-INDEX('主线调参'!$E$11:$E$62,$AV234))*$AW234)*'参数说明'!$E$27)</x:f>
        <x:v>0.5824702892985689</x:v>
      </x:c>
      <x:c r="J234" s="63" t="n">
        <x:f>IF(B234&lt;$J$8,0,(INDEX('主线调参'!$F$11:$F$62,$AV234)+(INDEX('主线调参'!$F$11:$F$62,$AV234+1)-INDEX('主线调参'!$F$11:$F$62,$AV234))*$AW234)*'参数说明'!$F$27)</x:f>
        <x:v>0.5446867144780874</x:v>
      </x:c>
      <x:c r="K234" s="63" t="n">
        <x:f>IF(B234&lt;$K$8,0,(INDEX('主线调参'!$G$11:$G$62,$AV234)+(INDEX('主线调参'!$G$11:$G$62,$AV234+1)-INDEX('主线调参'!$G$11:$G$62,$AV234))*$AW234)*'参数说明'!$G$27)</x:f>
        <x:v>0.5641256766321169</x:v>
      </x:c>
      <x:c r="L234" s="63" t="n">
        <x:f>IF(B234&lt;$L$8,0,(INDEX('主线调参'!$H$11:$H$62,$AV234)+(INDEX('主线调参'!$H$11:$H$62,$AV234+1)-INDEX('主线调参'!$H$11:$H$62,$AV234))*$AW234)*'参数说明'!$H$27)</x:f>
        <x:v>0.6466253160342145</x:v>
      </x:c>
      <x:c r="M234" s="59" t="n">
        <x:f>E234*'模块规划'!$F$10+G234*'模块规划'!$F$11+H234*'模块规划'!$F$13</x:f>
        <x:v>5001.861620189726</x:v>
      </x:c>
      <x:c r="N234" s="59" t="n">
        <x:f>I234*'模块规划'!$F$15+J234*'模块规划'!$F$17+K234*'模块规划'!$F$16+L234*'模块规划'!$F$18</x:f>
        <x:v>16724.5100991332</x:v>
      </x:c>
      <x:c r="O234" s="59" t="n">
        <x:f>1+O$9*SUMPRODUCT($H$10:$L$10,H234:L234)/SUM($H$10:$L$10)</x:f>
        <x:v>3.1888165768447303</x:v>
      </x:c>
      <x:c r="P234" s="59" t="n">
        <x:f>M234*O234+N234</x:f>
        <x:v>32674.529348677635</x:v>
      </x:c>
      <x:c r="Q234" s="59" t="n">
        <x:f>P234/(P234+'_曲线基线'!$L$2)</x:f>
        <x:v>0.576529346148686</x:v>
      </x:c>
      <x:c r="R234" s="59" t="n">
        <x:f>E234*'模块规划'!$E$10+G234*'模块规划'!$E$11+H234*'模块规划'!$E$13</x:f>
        <x:v>7502.792430284588</x:v>
      </x:c>
      <x:c r="S234" s="59" t="n">
        <x:f>I234*'模块规划'!$E$15+J234*'模块规划'!$E$17+K234*'模块规划'!$E$16+L234*'模块规划'!$E$18</x:f>
        <x:v>25086.7651486998</x:v>
      </x:c>
      <x:c r="T234" s="59" t="n">
        <x:f>1+T$9*SUMPRODUCT($H$10:$L$10,H234:L234)/SUM($H$10:$L$10)</x:f>
        <x:v>3.1888165768447303</x:v>
      </x:c>
      <x:c r="U234" s="59" t="n">
        <x:f>R234*T234+S234</x:f>
        <x:v>49011.79402301645</x:v>
      </x:c>
      <x:c r="V234" s="59" t="n">
        <x:f>V$8+(V$9-V$8)*H234</x:f>
        <x:v>0.8946466377957548</x:v>
      </x:c>
      <x:c r="W234" s="59" t="n">
        <x:f>IF(B234&lt;$H$8,0,W$8+(W$9-W$8)*H234)</x:f>
        <x:v>0.2595288503943398</x:v>
      </x:c>
      <x:c r="X234" s="59" t="n">
        <x:f>X$8+(X$9-X$8)*H234</x:f>
        <x:v>0.4534260846461087</x:v>
      </x:c>
      <x:c r="Y234" s="59" t="n">
        <x:f>Y$8+(Y$9-Y$8)*G234</x:f>
        <x:v>1</x:v>
      </x:c>
      <x:c r="Z234" s="59" t="n">
        <x:f>Z$8+(Z$9-Z$8)*H234</x:f>
        <x:v>1</x:v>
      </x:c>
      <x:c r="AA234" s="59" t="n">
        <x:f>AA$8+(AA$9-AA$8)*I234</x:f>
        <x:v>1</x:v>
      </x:c>
      <x:c r="AB234" s="59" t="n">
        <x:f>AB$8+(AB$9-AB$8)*J234</x:f>
        <x:v>1</x:v>
      </x:c>
      <x:c r="AC234" s="59" t="n">
        <x:f>AC$8+(AC$9-AC$8)*MAX(K234,L234)</x:f>
        <x:v>1</x:v>
      </x:c>
      <x:c r="AD234" s="59" t="n">
        <x:f>(V234*AE234+W234*AF234+X234*AG234)*PRODUCT(Y234:AC234)</x:f>
        <x:v>1.8129745441788259</x:v>
      </x:c>
      <x:c r="AE234" s="59" t="n">
        <x:f>1+AE$9*($H$10*H234+$I$10*I234+$J$10*J234+$K$10*K234+$L$10*L234)</x:f>
        <x:v>1</x:v>
      </x:c>
      <x:c r="AF234" s="59" t="n">
        <x:f>1+AF$9*($H$10*H234+$I$10*I234+$J$10*J234+$K$10*K234+$L$10*L234)</x:f>
        <x:v>1.1931830015190896</x:v>
      </x:c>
      <x:c r="AG234" s="59" t="n">
        <x:f>1+AG$9*($H$10*H234+$I$10*I234+$J$10*J234+$K$10*K234+$L$10*L234)</x:f>
        <x:v>1.3423632082477226</x:v>
      </x:c>
      <x:c r="AH234" s="59" t="n">
        <x:f>MIN(1,'_曲线基线'!$L$3+AH$9*($H$10*H234+$I$10*I234+$J$10*J234+$K$10*K234+$L$10*L234))</x:f>
        <x:v>0.4894913284559285</x:v>
      </x:c>
      <x:c r="AI234" s="59" t="n">
        <x:f>'_曲线基线'!$L$4+AI$9*($H$10*H234+$I$10*I234+$J$10*J234+$K$10*K234+$L$10*L234)</x:f>
        <x:v>3.2242972721272296</x:v>
      </x:c>
      <x:c r="AJ234" s="59" t="n">
        <x:f>1+AJ$9*($H$10*H234+$I$10*I234+$J$10*J234+$K$10*K234+$L$10*L234)</x:f>
        <x:v>2.0045516078992653</x:v>
      </x:c>
      <x:c r="AK234" s="59" t="n">
        <x:f>(1+AH234*(AI234-1))*AJ234</x:f>
        <x:v>4.187055734498552</x:v>
      </x:c>
      <x:c r="AL234" s="59" t="n">
        <x:f>U234*AD234*AK234*F234</x:f>
        <x:v>1860248.8817625125</x:v>
      </x:c>
      <x:c r="AM234" s="59" t="n">
        <x:f>IF($B234&lt;AM$8,0,AM$3+(AM$4-AM$3)*(POWER(AM$5,$B234-AM$8)-1)/(POWER(AM$5,$C$5-AM$8)-1))</x:f>
        <x:v>45.882501039733</x:v>
      </x:c>
      <x:c r="AN234" s="59" t="n">
        <x:f>(((E234*'模块规划'!$D$10+G234*'模块规划'!$D$11+H234*'模块规划'!$D$13)*(1+'模块规划'!$G$14*H234)+(I234*'模块规划'!$D$15+J234*'模块规划'!$D$17+K234*'模块规划'!$D$16+L234*'模块规划'!$D$18))*(1+'模块规划'!$J$17*J234))*F234/(1-Q234)</x:f>
        <x:v>2406136.862159288</x:v>
      </x:c>
      <x:c r="AO234" s="59" t="n">
        <x:f>AL234*AM234</x:f>
        <x:v>85352871.25163063</x:v>
      </x:c>
      <x:c r="AP234" s="61" t="n">
        <x:f>IF(AO234="","",INDEX('_曲线基线'!$A$3:$A$502,MIN(ROWS('_曲线基线'!$A$3:$A$502),COUNTIF('_曲线基线'!$E$3:$E$502,"&lt;"&amp;AO234)+1)))</x:f>
        <x:v>281</x:v>
      </x:c>
      <x:c r="AQ234" s="61" t="n">
        <x:f>IF(B234&lt;=2,1,IF(B234&lt;=6,2,IF(B234&lt;=9,3,IF(B234&lt;=19,4,5))))</x:f>
        <x:v>5</x:v>
      </x:c>
      <x:c r="AR234" s="59" t="n">
        <x:f>AN234*(1-Q234)/F234*$AS$3+U234*$AS$4+P234*$AS$5</x:f>
        <x:v>15915.928906249348</x:v>
      </x:c>
      <x:c r="AS234" s="59" t="n">
        <x:f>1+AH234*$AS$6+AI234*$AS$7+(AJ234-1)*$AS$8+($H$10*H234+$I$10*I234+$J$10*J234+$K$10*K234+$L$10*L234)*$AU$3*$AS$9+($H$10*H234+$I$10*I234+$J$10*J234+$K$10*K234+$L$10*L234)*$AU$4*$AS$10</x:f>
        <x:v>16.524483844951074</x:v>
      </x:c>
      <x:c r="AT234" s="60" t="n">
        <x:f>ROUND(AR234*AS234,0)</x:f>
        <x:v>263003</x:v>
      </x:c>
      <x:c r="AU234" s="60" t="n">
        <x:f>ROUND(AT234*F234,0)</x:f>
        <x:v>1315015</x:v>
      </x:c>
      <x:c r="AV234" s="60" t="n">
        <x:f>MIN(MATCH(B234,'主线调参'!$M$11:$M$62,1),ROWS('主线调参'!$M$11:$M$62)-1)</x:f>
        <x:v>45</x:v>
      </x:c>
      <x:c r="AW234" s="62" t="n">
        <x:f>(B234-INDEX('主线调参'!$M$11:$M$62,AV234))/(INDEX('主线调参'!$M$11:$M$62,AV234+1)-INDEX('主线调参'!$M$11:$M$62,AV234))</x:f>
        <x:v>0.21428571428571427</x:v>
      </x:c>
      <x:c r="AX234" s="60" t="n">
        <x:f>IF(AU234=0,0,ROUND(AU234,2-INT(LOG10(ABS(AU234)))))</x:f>
        <x:v>1320000</x:v>
      </x:c>
      <x:c r="AY234" s="62" t="n">
        <x:f>AU234/AU233-1</x:f>
        <x:v>0.004077347433523615</x:v>
      </x:c>
    </x:row>
    <x:row r="235" ht="25" customHeight="1">
      <x:c r="A235" s="40" t="str">
        <x:f>'调前玩家曲线'!A235</x:f>
      </x:c>
      <x:c r="B235" s="40" t="n">
        <x:f>'调前玩家曲线'!B235</x:f>
        <x:v>224</x:v>
      </x:c>
      <x:c r="C235" s="40" t="n">
        <x:f>'调前玩家曲线'!C235</x:f>
        <x:v>16</x:v>
      </x:c>
      <x:c r="D235" s="40" t="n">
        <x:f>'调前玩家曲线'!D235</x:f>
        <x:v>5</x:v>
      </x:c>
      <x:c r="E235" s="40" t="n">
        <x:f>'调前玩家曲线'!E235</x:f>
        <x:v>1</x:v>
      </x:c>
      <x:c r="F235" s="40" t="n">
        <x:f>'调前玩家曲线'!F235</x:f>
        <x:v>5</x:v>
      </x:c>
      <x:c r="G235" s="63" t="n">
        <x:f>IF(B235&lt;$G$8,0,(INDEX('主线调参'!$C$11:$C$62,$AV235)+(INDEX('主线调参'!$C$11:$C$62,$AV235+1)-INDEX('主线调参'!$C$11:$C$62,$AV235))*$AW235)*'参数说明'!$C$27)</x:f>
        <x:v>0.8350019219662075</x:v>
      </x:c>
      <x:c r="H235" s="63" t="n">
        <x:f>IF(B235&lt;$H$8,0,(INDEX('主线调参'!$D$11:$D$62,$AV235)+(INDEX('主线调参'!$D$11:$D$62,$AV235+1)-INDEX('主线调参'!$D$11:$D$62,$AV235))*$AW235)*'参数说明'!$D$27)</x:f>
        <x:v>0.6497901404932649</x:v>
      </x:c>
      <x:c r="I235" s="63" t="n">
        <x:f>IF(B235&lt;$I$8,0,(INDEX('主线调参'!$E$11:$E$62,$AV235)+(INDEX('主线调参'!$E$11:$E$62,$AV235+1)-INDEX('主线调参'!$E$11:$E$62,$AV235))*$AW235)*'参数说明'!$E$27)</x:f>
        <x:v>0.5838153386832683</x:v>
      </x:c>
      <x:c r="J235" s="63" t="n">
        <x:f>IF(B235&lt;$J$8,0,(INDEX('主线调参'!$F$11:$F$62,$AV235)+(INDEX('主线调参'!$F$11:$F$62,$AV235+1)-INDEX('主线调参'!$F$11:$F$62,$AV235))*$AW235)*'参数说明'!$F$27)</x:f>
        <x:v>0.5457443664722984</x:v>
      </x:c>
      <x:c r="K235" s="63" t="n">
        <x:f>IF(B235&lt;$K$8,0,(INDEX('主线调参'!$G$11:$G$62,$AV235)+(INDEX('主线调参'!$G$11:$G$62,$AV235+1)-INDEX('主线调参'!$G$11:$G$62,$AV235))*$AW235)*'参数说明'!$G$27)</x:f>
        <x:v>0.5659512505080879</x:v>
      </x:c>
      <x:c r="L235" s="63" t="n">
        <x:f>IF(B235&lt;$L$8,0,(INDEX('主线调参'!$H$11:$H$62,$AV235)+(INDEX('主线调参'!$H$11:$H$62,$AV235+1)-INDEX('主线调参'!$H$11:$H$62,$AV235))*$AW235)*'参数说明'!$H$27)</x:f>
        <x:v>0.6476432344298788</x:v>
      </x:c>
      <x:c r="M235" s="59" t="n">
        <x:f>E235*'模块规划'!$F$10+G235*'模块规划'!$F$11+H235*'模块规划'!$F$13</x:f>
        <x:v>5008.009225437796</x:v>
      </x:c>
      <x:c r="N235" s="59" t="n">
        <x:f>I235*'模块规划'!$F$15+J235*'模块规划'!$F$17+K235*'模块规划'!$F$16+L235*'模块规划'!$F$18</x:f>
        <x:v>16761.890049387053</x:v>
      </x:c>
      <x:c r="O235" s="59" t="n">
        <x:f>1+O$9*SUMPRODUCT($H$10:$L$10,H235:L235)/SUM($H$10:$L$10)</x:f>
        <x:v>3.1933996960938558</x:v>
      </x:c>
      <x:c r="P235" s="59" t="n">
        <x:f>M235*O235+N235</x:f>
        <x:v>32754.465187935337</x:v>
      </x:c>
      <x:c r="Q235" s="59" t="n">
        <x:f>P235/(P235+'_曲线基线'!$L$2)</x:f>
        <x:v>0.5771257834863391</x:v>
      </x:c>
      <x:c r="R235" s="59" t="n">
        <x:f>E235*'模块规划'!$E$10+G235*'模块规划'!$E$11+H235*'模块规划'!$E$13</x:f>
        <x:v>7512.013838156694</x:v>
      </x:c>
      <x:c r="S235" s="59" t="n">
        <x:f>I235*'模块规划'!$E$15+J235*'模块规划'!$E$17+K235*'模块规划'!$E$16+L235*'模块规划'!$E$18</x:f>
        <x:v>25142.835074080576</x:v>
      </x:c>
      <x:c r="T235" s="59" t="n">
        <x:f>1+T$9*SUMPRODUCT($H$10:$L$10,H235:L235)/SUM($H$10:$L$10)</x:f>
        <x:v>3.1933996960938558</x:v>
      </x:c>
      <x:c r="U235" s="59" t="n">
        <x:f>R235*T235+S235</x:f>
        <x:v>49131.697781903</x:v>
      </x:c>
      <x:c r="V235" s="59" t="n">
        <x:f>V$8+(V$9-V$8)*H235</x:f>
        <x:v>0.8949370421479794</x:v>
      </x:c>
      <x:c r="W235" s="59" t="n">
        <x:f>IF(B235&lt;$H$8,0,W$8+(W$9-W$8)*H235)</x:f>
        <x:v>0.25991605619730596</x:v>
      </x:c>
      <x:c r="X235" s="59" t="n">
        <x:f>X$8+(X$9-X$8)*H235</x:f>
        <x:v>0.4536922886356479</x:v>
      </x:c>
      <x:c r="Y235" s="59" t="n">
        <x:f>Y$8+(Y$9-Y$8)*G235</x:f>
        <x:v>1</x:v>
      </x:c>
      <x:c r="Z235" s="59" t="n">
        <x:f>Z$8+(Z$9-Z$8)*H235</x:f>
        <x:v>1</x:v>
      </x:c>
      <x:c r="AA235" s="59" t="n">
        <x:f>AA$8+(AA$9-AA$8)*I235</x:f>
        <x:v>1</x:v>
      </x:c>
      <x:c r="AB235" s="59" t="n">
        <x:f>AB$8+(AB$9-AB$8)*J235</x:f>
        <x:v>1</x:v>
      </x:c>
      <x:c r="AC235" s="59" t="n">
        <x:f>AC$8+(AC$9-AC$8)*MAX(K235,L235)</x:f>
        <x:v>1</x:v>
      </x:c>
      <x:c r="AD235" s="59" t="n">
        <x:f>(V235*AE235+W235*AF235+X235*AG235)*PRODUCT(Y235:AC235)</x:f>
        <x:v>1.8145146721699823</x:v>
      </x:c>
      <x:c r="AE235" s="59" t="n">
        <x:f>1+AE$9*($H$10*H235+$I$10*I235+$J$10*J235+$K$10*K235+$L$10*L235)</x:f>
        <x:v>1</x:v>
      </x:c>
      <x:c r="AF235" s="59" t="n">
        <x:f>1+AF$9*($H$10*H235+$I$10*I235+$J$10*J235+$K$10*K235+$L$10*L235)</x:f>
        <x:v>1.193587503541887</x:v>
      </x:c>
      <x:c r="AG235" s="59" t="n">
        <x:f>1+AG$9*($H$10*H235+$I$10*I235+$J$10*J235+$K$10*K235+$L$10*L235)</x:f>
        <x:v>1.343080075721458</x:v>
      </x:c>
      <x:c r="AH235" s="59" t="n">
        <x:f>MIN(1,'_曲线基线'!$L$3+AH$9*($H$10*H235+$I$10*I235+$J$10*J235+$K$10*K235+$L$10*L235))</x:f>
        <x:v>0.4904115705577925</x:v>
      </x:c>
      <x:c r="AI235" s="59" t="n">
        <x:f>'_曲线基线'!$L$4+AI$9*($H$10*H235+$I$10*I235+$J$10*J235+$K$10*K235+$L$10*L235)</x:f>
        <x:v>3.2268608036967077</x:v>
      </x:c>
      <x:c r="AJ235" s="59" t="n">
        <x:f>1+AJ$9*($H$10*H235+$I$10*I235+$J$10*J235+$K$10*K235+$L$10*L235)</x:f>
        <x:v>2.0066550184178116</x:v>
      </x:c>
      <x:c r="AK235" s="59" t="n">
        <x:f>(1+AH235*(AI235-1))*AJ235</x:f>
        <x:v>4.1980794279546325</x:v>
      </x:c>
      <x:c r="AL235" s="59" t="n">
        <x:f>U235*AD235*AK235*F235</x:f>
        <x:v>1871297.8195914743</x:v>
      </x:c>
      <x:c r="AM235" s="59" t="n">
        <x:f>IF($B235&lt;AM$8,0,AM$3+(AM$4-AM$3)*(POWER(AM$5,$B235-AM$8)-1)/(POWER(AM$5,$C$5-AM$8)-1))</x:f>
        <x:v>46.00475069005219</x:v>
      </x:c>
      <x:c r="AN235" s="59" t="n">
        <x:f>(((E235*'模块规划'!$D$10+G235*'模块规划'!$D$11+H235*'模块规划'!$D$13)*(1+'模块规划'!$G$14*H235)+(I235*'模块规划'!$D$15+J235*'模块规划'!$D$17+K235*'模块规划'!$D$16+L235*'模块规划'!$D$18))*(1+'模块规划'!$J$17*J235))*F235/(1-Q235)</x:f>
        <x:v>2416416.5590401283</x:v>
      </x:c>
      <x:c r="AO235" s="59" t="n">
        <x:f>AL235*AM235</x:f>
        <x:v>86088589.65714404</x:v>
      </x:c>
      <x:c r="AP235" s="61" t="n">
        <x:f>IF(AO235="","",INDEX('_曲线基线'!$A$3:$A$502,MIN(ROWS('_曲线基线'!$A$3:$A$502),COUNTIF('_曲线基线'!$E$3:$E$502,"&lt;"&amp;AO235)+1)))</x:f>
        <x:v>281</x:v>
      </x:c>
      <x:c r="AQ235" s="61" t="n">
        <x:f>IF(B235&lt;=2,1,IF(B235&lt;=6,2,IF(B235&lt;=9,3,IF(B235&lt;=19,4,5))))</x:f>
        <x:v>5</x:v>
      </x:c>
      <x:c r="AR235" s="59" t="n">
        <x:f>AN235*(1-Q235)/F235*$AS$3+U235*$AS$4+P235*$AS$5</x:f>
        <x:v>15957.381111428984</x:v>
      </x:c>
      <x:c r="AS235" s="59" t="n">
        <x:f>1+AH235*$AS$6+AI235*$AS$7+(AJ235-1)*$AS$8+($H$10*H235+$I$10*I235+$J$10*J235+$K$10*K235+$L$10*L235)*$AU$3*$AS$9+($H$10*H235+$I$10*I235+$J$10*J235+$K$10*K235+$L$10*L235)*$AU$4*$AS$10</x:f>
        <x:v>16.548653300428636</x:v>
      </x:c>
      <x:c r="AT235" s="60" t="n">
        <x:f>ROUND(AR235*AS235,0)</x:f>
        <x:v>264073</x:v>
      </x:c>
      <x:c r="AU235" s="60" t="n">
        <x:f>ROUND(AT235*F235,0)</x:f>
        <x:v>1320365</x:v>
      </x:c>
      <x:c r="AV235" s="60" t="n">
        <x:f>MIN(MATCH(B235,'主线调参'!$M$11:$M$62,1),ROWS('主线调参'!$M$11:$M$62)-1)</x:f>
        <x:v>45</x:v>
      </x:c>
      <x:c r="AW235" s="62" t="n">
        <x:f>(B235-INDEX('主线调参'!$M$11:$M$62,AV235))/(INDEX('主线调参'!$M$11:$M$62,AV235+1)-INDEX('主线调参'!$M$11:$M$62,AV235))</x:f>
        <x:v>0.2857142857142857</x:v>
      </x:c>
      <x:c r="AX235" s="60" t="n">
        <x:f>IF(AU235=0,0,ROUND(AU235,2-INT(LOG10(ABS(AU235)))))</x:f>
        <x:v>1320000</x:v>
      </x:c>
      <x:c r="AY235" s="62" t="n">
        <x:f>AU235/AU234-1</x:f>
        <x:v>0.004068394657095187</x:v>
      </x:c>
    </x:row>
    <x:row r="236" ht="25" customHeight="1">
      <x:c r="A236" s="40" t="str">
        <x:f>'调前玩家曲线'!A236</x:f>
      </x:c>
      <x:c r="B236" s="40" t="n">
        <x:f>'调前玩家曲线'!B236</x:f>
        <x:v>225</x:v>
      </x:c>
      <x:c r="C236" s="40" t="n">
        <x:f>'调前玩家曲线'!C236</x:f>
        <x:v>16</x:v>
      </x:c>
      <x:c r="D236" s="40" t="n">
        <x:f>'调前玩家曲线'!D236</x:f>
        <x:v>6</x:v>
      </x:c>
      <x:c r="E236" s="40" t="n">
        <x:f>'调前玩家曲线'!E236</x:f>
        <x:v>1</x:v>
      </x:c>
      <x:c r="F236" s="40" t="n">
        <x:f>'调前玩家曲线'!F236</x:f>
        <x:v>5</x:v>
      </x:c>
      <x:c r="G236" s="63" t="n">
        <x:f>IF(B236&lt;$G$8,0,(INDEX('主线调参'!$C$11:$C$62,$AV236)+(INDEX('主线调参'!$C$11:$C$62,$AV236+1)-INDEX('主线调参'!$C$11:$C$62,$AV236))*$AW236)*'参数说明'!$C$27)</x:f>
        <x:v>0.8362826730595555</x:v>
      </x:c>
      <x:c r="H236" s="63" t="n">
        <x:f>IF(B236&lt;$H$8,0,(INDEX('主线调参'!$D$11:$D$62,$AV236)+(INDEX('主线调参'!$D$11:$D$62,$AV236+1)-INDEX('主线调参'!$D$11:$D$62,$AV236))*$AW236)*'参数说明'!$D$27)</x:f>
        <x:v>0.6507581550006802</x:v>
      </x:c>
      <x:c r="I236" s="63" t="n">
        <x:f>IF(B236&lt;$I$8,0,(INDEX('主线调参'!$E$11:$E$62,$AV236)+(INDEX('主线调参'!$E$11:$E$62,$AV236+1)-INDEX('主线调参'!$E$11:$E$62,$AV236))*$AW236)*'参数说明'!$E$27)</x:f>
        <x:v>0.5851603880679676</x:v>
      </x:c>
      <x:c r="J236" s="63" t="n">
        <x:f>IF(B236&lt;$J$8,0,(INDEX('主线调参'!$F$11:$F$62,$AV236)+(INDEX('主线调参'!$F$11:$F$62,$AV236+1)-INDEX('主线调参'!$F$11:$F$62,$AV236))*$AW236)*'参数说明'!$F$27)</x:f>
        <x:v>0.5468020184665093</x:v>
      </x:c>
      <x:c r="K236" s="63" t="n">
        <x:f>IF(B236&lt;$K$8,0,(INDEX('主线调参'!$G$11:$G$62,$AV236)+(INDEX('主线调参'!$G$11:$G$62,$AV236+1)-INDEX('主线调参'!$G$11:$G$62,$AV236))*$AW236)*'参数说明'!$G$27)</x:f>
        <x:v>0.567776824384059</x:v>
      </x:c>
      <x:c r="L236" s="63" t="n">
        <x:f>IF(B236&lt;$L$8,0,(INDEX('主线调参'!$H$11:$H$62,$AV236)+(INDEX('主线调参'!$H$11:$H$62,$AV236+1)-INDEX('主线调参'!$H$11:$H$62,$AV236))*$AW236)*'参数说明'!$H$27)</x:f>
        <x:v>0.6486611528255433</x:v>
      </x:c>
      <x:c r="M236" s="59" t="n">
        <x:f>E236*'模块规划'!$F$10+G236*'模块规划'!$F$11+H236*'模块规划'!$F$13</x:f>
        <x:v>5014.156830685866</x:v>
      </x:c>
      <x:c r="N236" s="59" t="n">
        <x:f>I236*'模块规划'!$F$15+J236*'模块规划'!$F$17+K236*'模块规划'!$F$16+L236*'模块规划'!$F$18</x:f>
        <x:v>16799.269999640903</x:v>
      </x:c>
      <x:c r="O236" s="59" t="n">
        <x:f>1+O$9*SUMPRODUCT($H$10:$L$10,H236:L236)/SUM($H$10:$L$10)</x:f>
        <x:v>3.197982815342982</x:v>
      </x:c>
      <x:c r="P236" s="59" t="n">
        <x:f>M236*O236+N236</x:f>
        <x:v>32834.45737760894</x:v>
      </x:c>
      <x:c r="Q236" s="59" t="n">
        <x:f>P236/(P236+'_曲线基线'!$L$2)</x:f>
        <x:v>0.5777209617654364</x:v>
      </x:c>
      <x:c r="R236" s="59" t="n">
        <x:f>E236*'模块规划'!$E$10+G236*'模块规划'!$E$11+H236*'模块规划'!$E$13</x:f>
        <x:v>7521.235246028799</x:v>
      </x:c>
      <x:c r="S236" s="59" t="n">
        <x:f>I236*'模块规划'!$E$15+J236*'模块规划'!$E$17+K236*'模块规划'!$E$16+L236*'模块规划'!$E$18</x:f>
        <x:v>25198.904999461356</x:v>
      </x:c>
      <x:c r="T236" s="59" t="n">
        <x:f>1+T$9*SUMPRODUCT($H$10:$L$10,H236:L236)/SUM($H$10:$L$10)</x:f>
        <x:v>3.197982815342982</x:v>
      </x:c>
      <x:c r="U236" s="59" t="n">
        <x:f>R236*T236+S236</x:f>
        <x:v>49251.6860664134</x:v>
      </x:c>
      <x:c r="V236" s="59" t="n">
        <x:f>V$8+(V$9-V$8)*H236</x:f>
        <x:v>0.895227446500204</x:v>
      </x:c>
      <x:c r="W236" s="59" t="n">
        <x:f>IF(B236&lt;$H$8,0,W$8+(W$9-W$8)*H236)</x:f>
        <x:v>0.2603032620002721</x:v>
      </x:c>
      <x:c r="X236" s="59" t="n">
        <x:f>X$8+(X$9-X$8)*H236</x:f>
        <x:v>0.4539584926251871</x:v>
      </x:c>
      <x:c r="Y236" s="59" t="n">
        <x:f>Y$8+(Y$9-Y$8)*G236</x:f>
        <x:v>1</x:v>
      </x:c>
      <x:c r="Z236" s="59" t="n">
        <x:f>Z$8+(Z$9-Z$8)*H236</x:f>
        <x:v>1</x:v>
      </x:c>
      <x:c r="AA236" s="59" t="n">
        <x:f>AA$8+(AA$9-AA$8)*I236</x:f>
        <x:v>1</x:v>
      </x:c>
      <x:c r="AB236" s="59" t="n">
        <x:f>AB$8+(AB$9-AB$8)*J236</x:f>
        <x:v>1</x:v>
      </x:c>
      <x:c r="AC236" s="59" t="n">
        <x:f>AC$8+(AC$9-AC$8)*MAX(K236,L236)</x:f>
        <x:v>1</x:v>
      </x:c>
      <x:c r="AD236" s="59" t="n">
        <x:f>(V236*AE236+W236*AF236+X236*AG236)*PRODUCT(Y236:AC236)</x:f>
        <x:v>1.8160554950781624</x:v>
      </x:c>
      <x:c r="AE236" s="59" t="n">
        <x:f>1+AE$9*($H$10*H236+$I$10*I236+$J$10*J236+$K$10*K236+$L$10*L236)</x:f>
        <x:v>1</x:v>
      </x:c>
      <x:c r="AF236" s="59" t="n">
        <x:f>1+AF$9*($H$10*H236+$I$10*I236+$J$10*J236+$K$10*K236+$L$10*L236)</x:f>
        <x:v>1.1939920055646844</x:v>
      </x:c>
      <x:c r="AG236" s="59" t="n">
        <x:f>1+AG$9*($H$10*H236+$I$10*I236+$J$10*J236+$K$10*K236+$L$10*L236)</x:f>
        <x:v>1.3437969431951933</x:v>
      </x:c>
      <x:c r="AH236" s="59" t="n">
        <x:f>MIN(1,'_曲线基线'!$L$3+AH$9*($H$10*H236+$I$10*I236+$J$10*J236+$K$10*K236+$L$10*L236))</x:f>
        <x:v>0.4913318126596566</x:v>
      </x:c>
      <x:c r="AI236" s="59" t="n">
        <x:f>'_曲线基线'!$L$4+AI$9*($H$10*H236+$I$10*I236+$J$10*J236+$K$10*K236+$L$10*L236)</x:f>
        <x:v>3.229424335266186</x:v>
      </x:c>
      <x:c r="AJ236" s="59" t="n">
        <x:f>1+AJ$9*($H$10*H236+$I$10*I236+$J$10*J236+$K$10*K236+$L$10*L236)</x:f>
        <x:v>2.008758428936358</x:v>
      </x:c>
      <x:c r="AK236" s="59" t="n">
        <x:f>(1+AH236*(AI236-1))*AJ236</x:f>
        <x:v>4.209126498675826</x:v>
      </x:c>
      <x:c r="AL236" s="59" t="n">
        <x:f>U236*AD236*AK236*F236</x:f>
        <x:v>1882401.2409670115</x:v>
      </x:c>
      <x:c r="AM236" s="59" t="n">
        <x:f>IF($B236&lt;AM$8,0,AM$3+(AM$4-AM$3)*(POWER(AM$5,$B236-AM$8)-1)/(POWER(AM$5,$C$5-AM$8)-1))</x:f>
        <x:v>46.128222836874585</x:v>
      </x:c>
      <x:c r="AN236" s="59" t="n">
        <x:f>(((E236*'模块规划'!$D$10+G236*'模块规划'!$D$11+H236*'模块规划'!$D$13)*(1+'模块规划'!$G$14*H236)+(I236*'模块规划'!$D$15+J236*'模块规划'!$D$17+K236*'模块规划'!$D$16+L236*'模块规划'!$D$18))*(1+'模块规划'!$J$17*J236))*F236/(1-Q236)</x:f>
        <x:v>2426726.845765339</x:v>
      </x:c>
      <x:c r="AO236" s="59" t="n">
        <x:f>AL236*AM236</x:f>
        <x:v>86831823.91173556</x:v>
      </x:c>
      <x:c r="AP236" s="61" t="n">
        <x:f>IF(AO236="","",INDEX('_曲线基线'!$A$3:$A$502,MIN(ROWS('_曲线基线'!$A$3:$A$502),COUNTIF('_曲线基线'!$E$3:$E$502,"&lt;"&amp;AO236)+1)))</x:f>
        <x:v>282</x:v>
      </x:c>
      <x:c r="AQ236" s="61" t="n">
        <x:f>IF(B236&lt;=2,1,IF(B236&lt;=6,2,IF(B236&lt;=9,3,IF(B236&lt;=19,4,5))))</x:f>
        <x:v>5</x:v>
      </x:c>
      <x:c r="AR236" s="59" t="n">
        <x:f>AN236*(1-Q236)/F236*$AS$3+U236*$AS$4+P236*$AS$5</x:f>
        <x:v>15998.872484209382</x:v>
      </x:c>
      <x:c r="AS236" s="59" t="n">
        <x:f>1+AH236*$AS$6+AI236*$AS$7+(AJ236-1)*$AS$8+($H$10*H236+$I$10*I236+$J$10*J236+$K$10*K236+$L$10*L236)*$AU$3*$AS$9+($H$10*H236+$I$10*I236+$J$10*J236+$K$10*K236+$L$10*L236)*$AU$4*$AS$10</x:f>
        <x:v>16.572822755906206</x:v>
      </x:c>
      <x:c r="AT236" s="60" t="n">
        <x:f>ROUND(AR236*AS236,0)</x:f>
        <x:v>265146</x:v>
      </x:c>
      <x:c r="AU236" s="60" t="n">
        <x:f>ROUND(AT236*F236,0)</x:f>
        <x:v>1325730</x:v>
      </x:c>
      <x:c r="AV236" s="60" t="n">
        <x:f>MIN(MATCH(B236,'主线调参'!$M$11:$M$62,1),ROWS('主线调参'!$M$11:$M$62)-1)</x:f>
        <x:v>45</x:v>
      </x:c>
      <x:c r="AW236" s="62" t="n">
        <x:f>(B236-INDEX('主线调参'!$M$11:$M$62,AV236))/(INDEX('主线调参'!$M$11:$M$62,AV236+1)-INDEX('主线调参'!$M$11:$M$62,AV236))</x:f>
        <x:v>0.35714285714285715</x:v>
      </x:c>
      <x:c r="AX236" s="60" t="n">
        <x:f>IF(AU236=0,0,ROUND(AU236,2-INT(LOG10(ABS(AU236)))))</x:f>
        <x:v>1330000</x:v>
      </x:c>
      <x:c r="AY236" s="62" t="n">
        <x:f>AU236/AU235-1</x:f>
        <x:v>0.004063270383568129</x:v>
      </x:c>
    </x:row>
    <x:row r="237" ht="25" customHeight="1">
      <x:c r="A237" s="40" t="str">
        <x:f>'调前玩家曲线'!A237</x:f>
      </x:c>
      <x:c r="B237" s="40" t="n">
        <x:f>'调前玩家曲线'!B237</x:f>
        <x:v>226</x:v>
      </x:c>
      <x:c r="C237" s="40" t="n">
        <x:f>'调前玩家曲线'!C237</x:f>
        <x:v>16</x:v>
      </x:c>
      <x:c r="D237" s="40" t="n">
        <x:f>'调前玩家曲线'!D237</x:f>
        <x:v>7</x:v>
      </x:c>
      <x:c r="E237" s="40" t="n">
        <x:f>'调前玩家曲线'!E237</x:f>
        <x:v>1</x:v>
      </x:c>
      <x:c r="F237" s="40" t="n">
        <x:f>'调前玩家曲线'!F237</x:f>
        <x:v>5</x:v>
      </x:c>
      <x:c r="G237" s="63" t="n">
        <x:f>IF(B237&lt;$G$8,0,(INDEX('主线调参'!$C$11:$C$62,$AV237)+(INDEX('主线调参'!$C$11:$C$62,$AV237+1)-INDEX('主线调参'!$C$11:$C$62,$AV237))*$AW237)*'参数说明'!$C$27)</x:f>
        <x:v>0.8375634241529035</x:v>
      </x:c>
      <x:c r="H237" s="63" t="n">
        <x:f>IF(B237&lt;$H$8,0,(INDEX('主线调参'!$D$11:$D$62,$AV237)+(INDEX('主线调参'!$D$11:$D$62,$AV237+1)-INDEX('主线调参'!$D$11:$D$62,$AV237))*$AW237)*'参数说明'!$D$27)</x:f>
        <x:v>0.6517261695080957</x:v>
      </x:c>
      <x:c r="I237" s="63" t="n">
        <x:f>IF(B237&lt;$I$8,0,(INDEX('主线调参'!$E$11:$E$62,$AV237)+(INDEX('主线调参'!$E$11:$E$62,$AV237+1)-INDEX('主线调参'!$E$11:$E$62,$AV237))*$AW237)*'参数说明'!$E$27)</x:f>
        <x:v>0.5865054374526669</x:v>
      </x:c>
      <x:c r="J237" s="63" t="n">
        <x:f>IF(B237&lt;$J$8,0,(INDEX('主线调参'!$F$11:$F$62,$AV237)+(INDEX('主线调参'!$F$11:$F$62,$AV237+1)-INDEX('主线调参'!$F$11:$F$62,$AV237))*$AW237)*'参数说明'!$F$27)</x:f>
        <x:v>0.5478596704607203</x:v>
      </x:c>
      <x:c r="K237" s="63" t="n">
        <x:f>IF(B237&lt;$K$8,0,(INDEX('主线调参'!$G$11:$G$62,$AV237)+(INDEX('主线调参'!$G$11:$G$62,$AV237+1)-INDEX('主线调参'!$G$11:$G$62,$AV237))*$AW237)*'参数说明'!$G$27)</x:f>
        <x:v>0.56960239826003</x:v>
      </x:c>
      <x:c r="L237" s="63" t="n">
        <x:f>IF(B237&lt;$L$8,0,(INDEX('主线调参'!$H$11:$H$62,$AV237)+(INDEX('主线调参'!$H$11:$H$62,$AV237+1)-INDEX('主线调参'!$H$11:$H$62,$AV237))*$AW237)*'参数说明'!$H$27)</x:f>
        <x:v>0.6496790712212077</x:v>
      </x:c>
      <x:c r="M237" s="59" t="n">
        <x:f>E237*'模块规划'!$F$10+G237*'模块规划'!$F$11+H237*'模块规划'!$F$13</x:f>
        <x:v>5020.3044359339365</x:v>
      </x:c>
      <x:c r="N237" s="59" t="n">
        <x:f>I237*'模块规划'!$F$15+J237*'模块规划'!$F$17+K237*'模块规划'!$F$16+L237*'模块规划'!$F$18</x:f>
        <x:v>16836.649949894756</x:v>
      </x:c>
      <x:c r="O237" s="59" t="n">
        <x:f>1+O$9*SUMPRODUCT($H$10:$L$10,H237:L237)/SUM($H$10:$L$10)</x:f>
        <x:v>3.202565934592108</x:v>
      </x:c>
      <x:c r="P237" s="59" t="n">
        <x:f>M237*O237+N237</x:f>
        <x:v>32914.50591769843</x:v>
      </x:c>
      <x:c r="Q237" s="59" t="n">
        <x:f>P237/(P237+'_曲线基线'!$L$2)</x:f>
        <x:v>0.5783148845268841</x:v>
      </x:c>
      <x:c r="R237" s="59" t="n">
        <x:f>E237*'模块规划'!$E$10+G237*'模块规划'!$E$11+H237*'模块规划'!$E$13</x:f>
        <x:v>7530.456653900906</x:v>
      </x:c>
      <x:c r="S237" s="59" t="n">
        <x:f>I237*'模块规划'!$E$15+J237*'模块规划'!$E$17+K237*'模块规划'!$E$16+L237*'模块规划'!$E$18</x:f>
        <x:v>25254.974924842136</x:v>
      </x:c>
      <x:c r="T237" s="59" t="n">
        <x:f>1+T$9*SUMPRODUCT($H$10:$L$10,H237:L237)/SUM($H$10:$L$10)</x:f>
        <x:v>3.202565934592108</x:v>
      </x:c>
      <x:c r="U237" s="59" t="n">
        <x:f>R237*T237+S237</x:f>
        <x:v>49371.75887654765</x:v>
      </x:c>
      <x:c r="V237" s="59" t="n">
        <x:f>V$8+(V$9-V$8)*H237</x:f>
        <x:v>0.8955178508524286</x:v>
      </x:c>
      <x:c r="W237" s="59" t="n">
        <x:f>IF(B237&lt;$H$8,0,W$8+(W$9-W$8)*H237)</x:f>
        <x:v>0.2606904678032383</x:v>
      </x:c>
      <x:c r="X237" s="59" t="n">
        <x:f>X$8+(X$9-X$8)*H237</x:f>
        <x:v>0.45422469661472636</x:v>
      </x:c>
      <x:c r="Y237" s="59" t="n">
        <x:f>Y$8+(Y$9-Y$8)*G237</x:f>
        <x:v>1</x:v>
      </x:c>
      <x:c r="Z237" s="59" t="n">
        <x:f>Z$8+(Z$9-Z$8)*H237</x:f>
        <x:v>1</x:v>
      </x:c>
      <x:c r="AA237" s="59" t="n">
        <x:f>AA$8+(AA$9-AA$8)*I237</x:f>
        <x:v>1</x:v>
      </x:c>
      <x:c r="AB237" s="59" t="n">
        <x:f>AB$8+(AB$9-AB$8)*J237</x:f>
        <x:v>1</x:v>
      </x:c>
      <x:c r="AC237" s="59" t="n">
        <x:f>AC$8+(AC$9-AC$8)*MAX(K237,L237)</x:f>
        <x:v>1</x:v>
      </x:c>
      <x:c r="AD237" s="59" t="n">
        <x:f>(V237*AE237+W237*AF237+X237*AG237)*PRODUCT(Y237:AC237)</x:f>
        <x:v>1.817597012903367</x:v>
      </x:c>
      <x:c r="AE237" s="59" t="n">
        <x:f>1+AE$9*($H$10*H237+$I$10*I237+$J$10*J237+$K$10*K237+$L$10*L237)</x:f>
        <x:v>1</x:v>
      </x:c>
      <x:c r="AF237" s="59" t="n">
        <x:f>1+AF$9*($H$10*H237+$I$10*I237+$J$10*J237+$K$10*K237+$L$10*L237)</x:f>
        <x:v>1.1943965075874818</x:v>
      </x:c>
      <x:c r="AG237" s="59" t="n">
        <x:f>1+AG$9*($H$10*H237+$I$10*I237+$J$10*J237+$K$10*K237+$L$10*L237)</x:f>
        <x:v>1.3445138106689287</x:v>
      </x:c>
      <x:c r="AH237" s="59" t="n">
        <x:f>MIN(1,'_曲线基线'!$L$3+AH$9*($H$10*H237+$I$10*I237+$J$10*J237+$K$10*K237+$L$10*L237))</x:f>
        <x:v>0.49225205476152056</x:v>
      </x:c>
      <x:c r="AI237" s="59" t="n">
        <x:f>'_曲线基线'!$L$4+AI$9*($H$10*H237+$I$10*I237+$J$10*J237+$K$10*K237+$L$10*L237)</x:f>
        <x:v>3.2319878668356647</x:v>
      </x:c>
      <x:c r="AJ237" s="59" t="n">
        <x:f>1+AJ$9*($H$10*H237+$I$10*I237+$J$10*J237+$K$10*K237+$L$10*L237)</x:f>
        <x:v>2.010861839454904</x:v>
      </x:c>
      <x:c r="AK237" s="59" t="n">
        <x:f>(1+AH237*(AI237-1))*AJ237</x:f>
        <x:v>4.220196976434681</x:v>
      </x:c>
      <x:c r="AL237" s="59" t="n">
        <x:f>U237*AD237*AK237*F237</x:f>
        <x:v>1893559.3680358597</x:v>
      </x:c>
      <x:c r="AM237" s="59" t="n">
        <x:f>IF($B237&lt;AM$8,0,AM$3+(AM$4-AM$3)*(POWER(AM$5,$B237-AM$8)-1)/(POWER(AM$5,$C$5-AM$8)-1))</x:f>
        <x:v>46.2529297051652</x:v>
      </x:c>
      <x:c r="AN237" s="59" t="n">
        <x:f>(((E237*'模块规划'!$D$10+G237*'模块规划'!$D$11+H237*'模块规划'!$D$13)*(1+'模块规划'!$G$14*H237)+(I237*'模块规划'!$D$15+J237*'模块规划'!$D$17+K237*'模块规划'!$D$16+L237*'模块规划'!$D$18))*(1+'模块规划'!$J$17*J237))*F237/(1-Q237)</x:f>
        <x:v>2437067.7823904753</x:v>
      </x:c>
      <x:c r="AO237" s="59" t="n">
        <x:f>AL237*AM237</x:f>
        <x:v>87582668.34231965</x:v>
      </x:c>
      <x:c r="AP237" s="61" t="n">
        <x:f>IF(AO237="","",INDEX('_曲线基线'!$A$3:$A$502,MIN(ROWS('_曲线基线'!$A$3:$A$502),COUNTIF('_曲线基线'!$E$3:$E$502,"&lt;"&amp;AO237)+1)))</x:f>
        <x:v>283</x:v>
      </x:c>
      <x:c r="AQ237" s="61" t="n">
        <x:f>IF(B237&lt;=2,1,IF(B237&lt;=6,2,IF(B237&lt;=9,3,IF(B237&lt;=19,4,5))))</x:f>
        <x:v>5</x:v>
      </x:c>
      <x:c r="AR237" s="59" t="n">
        <x:f>AN237*(1-Q237)/F237*$AS$3+U237*$AS$4+P237*$AS$5</x:f>
        <x:v>16040.403030708356</x:v>
      </x:c>
      <x:c r="AS237" s="59" t="n">
        <x:f>1+AH237*$AS$6+AI237*$AS$7+(AJ237-1)*$AS$8+($H$10*H237+$I$10*I237+$J$10*J237+$K$10*K237+$L$10*L237)*$AU$3*$AS$9+($H$10*H237+$I$10*I237+$J$10*J237+$K$10*K237+$L$10*L237)*$AU$4*$AS$10</x:f>
        <x:v>16.59699221138377</x:v>
      </x:c>
      <x:c r="AT237" s="60" t="n">
        <x:f>ROUND(AR237*AS237,0)</x:f>
        <x:v>266222</x:v>
      </x:c>
      <x:c r="AU237" s="60" t="n">
        <x:f>ROUND(AT237*F237,0)</x:f>
        <x:v>1331110</x:v>
      </x:c>
      <x:c r="AV237" s="60" t="n">
        <x:f>MIN(MATCH(B237,'主线调参'!$M$11:$M$62,1),ROWS('主线调参'!$M$11:$M$62)-1)</x:f>
        <x:v>45</x:v>
      </x:c>
      <x:c r="AW237" s="62" t="n">
        <x:f>(B237-INDEX('主线调参'!$M$11:$M$62,AV237))/(INDEX('主线调参'!$M$11:$M$62,AV237+1)-INDEX('主线调参'!$M$11:$M$62,AV237))</x:f>
        <x:v>0.42857142857142855</x:v>
      </x:c>
      <x:c r="AX237" s="60" t="n">
        <x:f>IF(AU237=0,0,ROUND(AU237,2-INT(LOG10(ABS(AU237)))))</x:f>
        <x:v>1330000</x:v>
      </x:c>
      <x:c r="AY237" s="62" t="n">
        <x:f>AU237/AU236-1</x:f>
        <x:v>0.004058141552201411</x:v>
      </x:c>
    </x:row>
    <x:row r="238" ht="25" customHeight="1">
      <x:c r="A238" s="40" t="str">
        <x:f>'调前玩家曲线'!A238</x:f>
      </x:c>
      <x:c r="B238" s="40" t="n">
        <x:f>'调前玩家曲线'!B238</x:f>
        <x:v>227</x:v>
      </x:c>
      <x:c r="C238" s="40" t="n">
        <x:f>'调前玩家曲线'!C238</x:f>
        <x:v>16</x:v>
      </x:c>
      <x:c r="D238" s="40" t="n">
        <x:f>'调前玩家曲线'!D238</x:f>
        <x:v>8</x:v>
      </x:c>
      <x:c r="E238" s="40" t="n">
        <x:f>'调前玩家曲线'!E238</x:f>
        <x:v>1</x:v>
      </x:c>
      <x:c r="F238" s="40" t="n">
        <x:f>'调前玩家曲线'!F238</x:f>
        <x:v>5</x:v>
      </x:c>
      <x:c r="G238" s="63" t="n">
        <x:f>IF(B238&lt;$G$8,0,(INDEX('主线调参'!$C$11:$C$62,$AV238)+(INDEX('主线调参'!$C$11:$C$62,$AV238+1)-INDEX('主线调参'!$C$11:$C$62,$AV238))*$AW238)*'参数说明'!$C$27)</x:f>
        <x:v>0.8388441752462517</x:v>
      </x:c>
      <x:c r="H238" s="63" t="n">
        <x:f>IF(B238&lt;$H$8,0,(INDEX('主线调参'!$D$11:$D$62,$AV238)+(INDEX('主线调参'!$D$11:$D$62,$AV238+1)-INDEX('主线调参'!$D$11:$D$62,$AV238))*$AW238)*'参数说明'!$D$27)</x:f>
        <x:v>0.6526941840155112</x:v>
      </x:c>
      <x:c r="I238" s="63" t="n">
        <x:f>IF(B238&lt;$I$8,0,(INDEX('主线调参'!$E$11:$E$62,$AV238)+(INDEX('主线调参'!$E$11:$E$62,$AV238+1)-INDEX('主线调参'!$E$11:$E$62,$AV238))*$AW238)*'参数说明'!$E$27)</x:f>
        <x:v>0.5878504868373663</x:v>
      </x:c>
      <x:c r="J238" s="63" t="n">
        <x:f>IF(B238&lt;$J$8,0,(INDEX('主线调参'!$F$11:$F$62,$AV238)+(INDEX('主线调参'!$F$11:$F$62,$AV238+1)-INDEX('主线调参'!$F$11:$F$62,$AV238))*$AW238)*'参数说明'!$F$27)</x:f>
        <x:v>0.5489173224549312</x:v>
      </x:c>
      <x:c r="K238" s="63" t="n">
        <x:f>IF(B238&lt;$K$8,0,(INDEX('主线调参'!$G$11:$G$62,$AV238)+(INDEX('主线调参'!$G$11:$G$62,$AV238+1)-INDEX('主线调参'!$G$11:$G$62,$AV238))*$AW238)*'参数说明'!$G$27)</x:f>
        <x:v>0.5714279721360009</x:v>
      </x:c>
      <x:c r="L238" s="63" t="n">
        <x:f>IF(B238&lt;$L$8,0,(INDEX('主线调参'!$H$11:$H$62,$AV238)+(INDEX('主线调参'!$H$11:$H$62,$AV238+1)-INDEX('主线调参'!$H$11:$H$62,$AV238))*$AW238)*'参数说明'!$H$27)</x:f>
        <x:v>0.6506969896168722</x:v>
      </x:c>
      <x:c r="M238" s="59" t="n">
        <x:f>E238*'模块规划'!$F$10+G238*'模块规划'!$F$11+H238*'模块规划'!$F$13</x:f>
        <x:v>5026.4520411820085</x:v>
      </x:c>
      <x:c r="N238" s="59" t="n">
        <x:f>I238*'模块规划'!$F$15+J238*'模块规划'!$F$17+K238*'模块规划'!$F$16+L238*'模块规划'!$F$18</x:f>
        <x:v>16874.02990014861</x:v>
      </x:c>
      <x:c r="O238" s="59" t="n">
        <x:f>1+O$9*SUMPRODUCT($H$10:$L$10,H238:L238)/SUM($H$10:$L$10)</x:f>
        <x:v>3.2071490538412344</x:v>
      </x:c>
      <x:c r="P238" s="59" t="n">
        <x:f>M238*O238+N238</x:f>
        <x:v>32994.610808203826</x:v>
      </x:c>
      <x:c r="Q238" s="59" t="n">
        <x:f>P238/(P238+'_曲线基线'!$L$2)</x:f>
        <x:v>0.5789075552991506</x:v>
      </x:c>
      <x:c r="R238" s="59" t="n">
        <x:f>E238*'模块规划'!$E$10+G238*'模块规划'!$E$11+H238*'模块规划'!$E$13</x:f>
        <x:v>7539.678061773012</x:v>
      </x:c>
      <x:c r="S238" s="59" t="n">
        <x:f>I238*'模块规划'!$E$15+J238*'模块规划'!$E$17+K238*'模块规划'!$E$16+L238*'模块规划'!$E$18</x:f>
        <x:v>25311.044850222912</x:v>
      </x:c>
      <x:c r="T238" s="59" t="n">
        <x:f>1+T$9*SUMPRODUCT($H$10:$L$10,H238:L238)/SUM($H$10:$L$10)</x:f>
        <x:v>3.2071490538412344</x:v>
      </x:c>
      <x:c r="U238" s="59" t="n">
        <x:f>R238*T238+S238</x:f>
        <x:v>49491.91621230574</x:v>
      </x:c>
      <x:c r="V238" s="59" t="n">
        <x:f>V$8+(V$9-V$8)*H238</x:f>
        <x:v>0.8958082552046533</x:v>
      </x:c>
      <x:c r="W238" s="59" t="n">
        <x:f>IF(B238&lt;$H$8,0,W$8+(W$9-W$8)*H238)</x:f>
        <x:v>0.2610776736062045</x:v>
      </x:c>
      <x:c r="X238" s="59" t="n">
        <x:f>X$8+(X$9-X$8)*H238</x:f>
        <x:v>0.4544909006042656</x:v>
      </x:c>
      <x:c r="Y238" s="59" t="n">
        <x:f>Y$8+(Y$9-Y$8)*G238</x:f>
        <x:v>1</x:v>
      </x:c>
      <x:c r="Z238" s="59" t="n">
        <x:f>Z$8+(Z$9-Z$8)*H238</x:f>
        <x:v>1</x:v>
      </x:c>
      <x:c r="AA238" s="59" t="n">
        <x:f>AA$8+(AA$9-AA$8)*I238</x:f>
        <x:v>1</x:v>
      </x:c>
      <x:c r="AB238" s="59" t="n">
        <x:f>AB$8+(AB$9-AB$8)*J238</x:f>
        <x:v>1</x:v>
      </x:c>
      <x:c r="AC238" s="59" t="n">
        <x:f>AC$8+(AC$9-AC$8)*MAX(K238,L238)</x:f>
        <x:v>1</x:v>
      </x:c>
      <x:c r="AD238" s="59" t="n">
        <x:f>(V238*AE238+W238*AF238+X238*AG238)*PRODUCT(Y238:AC238)</x:f>
        <x:v>1.8191392256455956</x:v>
      </x:c>
      <x:c r="AE238" s="59" t="n">
        <x:f>1+AE$9*($H$10*H238+$I$10*I238+$J$10*J238+$K$10*K238+$L$10*L238)</x:f>
        <x:v>1</x:v>
      </x:c>
      <x:c r="AF238" s="59" t="n">
        <x:f>1+AF$9*($H$10*H238+$I$10*I238+$J$10*J238+$K$10*K238+$L$10*L238)</x:f>
        <x:v>1.1948010096102792</x:v>
      </x:c>
      <x:c r="AG238" s="59" t="n">
        <x:f>1+AG$9*($H$10*H238+$I$10*I238+$J$10*J238+$K$10*K238+$L$10*L238)</x:f>
        <x:v>1.345230678142664</x:v>
      </x:c>
      <x:c r="AH238" s="59" t="n">
        <x:f>MIN(1,'_曲线基线'!$L$3+AH$9*($H$10*H238+$I$10*I238+$J$10*J238+$K$10*K238+$L$10*L238))</x:f>
        <x:v>0.49317229686338454</x:v>
      </x:c>
      <x:c r="AI238" s="59" t="n">
        <x:f>'_曲线基线'!$L$4+AI$9*($H$10*H238+$I$10*I238+$J$10*J238+$K$10*K238+$L$10*L238)</x:f>
        <x:v>3.2345513984051424</x:v>
      </x:c>
      <x:c r="AJ238" s="59" t="n">
        <x:f>1+AJ$9*($H$10*H238+$I$10*I238+$J$10*J238+$K$10*K238+$L$10*L238)</x:f>
        <x:v>2.0129652499734503</x:v>
      </x:c>
      <x:c r="AK238" s="59" t="n">
        <x:f>(1+AH238*(AI238-1))*AJ238</x:f>
        <x:v>4.231290891003751</x:v>
      </x:c>
      <x:c r="AL238" s="59" t="n">
        <x:f>U238*AD238*AK238*F238</x:f>
        <x:v>1904772.4236605782</x:v>
      </x:c>
      <x:c r="AM238" s="59" t="n">
        <x:f>IF($B238&lt;AM$8,0,AM$3+(AM$4-AM$3)*(POWER(AM$5,$B238-AM$8)-1)/(POWER(AM$5,$C$5-AM$8)-1))</x:f>
        <x:v>46.37888364213872</x:v>
      </x:c>
      <x:c r="AN238" s="59" t="n">
        <x:f>(((E238*'模块规划'!$D$10+G238*'模块规划'!$D$11+H238*'模块规划'!$D$13)*(1+'模块规划'!$G$14*H238)+(I238*'模块规划'!$D$15+J238*'模块规划'!$D$17+K238*'模块规划'!$D$16+L238*'模块规划'!$D$18))*(1+'模块规划'!$J$17*J238))*F238/(1-Q238)</x:f>
        <x:v>2447439.4290369786</x:v>
      </x:c>
      <x:c r="AO238" s="59" t="n">
        <x:f>AL238*AM238</x:f>
        <x:v>88341218.60170852</x:v>
      </x:c>
      <x:c r="AP238" s="61" t="n">
        <x:f>IF(AO238="","",INDEX('_曲线基线'!$A$3:$A$502,MIN(ROWS('_曲线基线'!$A$3:$A$502),COUNTIF('_曲线基线'!$E$3:$E$502,"&lt;"&amp;AO238)+1)))</x:f>
        <x:v>283</x:v>
      </x:c>
      <x:c r="AQ238" s="61" t="n">
        <x:f>IF(B238&lt;=2,1,IF(B238&lt;=6,2,IF(B238&lt;=9,3,IF(B238&lt;=19,4,5))))</x:f>
        <x:v>5</x:v>
      </x:c>
      <x:c r="AR238" s="59" t="n">
        <x:f>AN238*(1-Q238)/F238*$AS$3+U238*$AS$4+P238*$AS$5</x:f>
        <x:v>16081.972757043743</x:v>
      </x:c>
      <x:c r="AS238" s="59" t="n">
        <x:f>1+AH238*$AS$6+AI238*$AS$7+(AJ238-1)*$AS$8+($H$10*H238+$I$10*I238+$J$10*J238+$K$10*K238+$L$10*L238)*$AU$3*$AS$9+($H$10*H238+$I$10*I238+$J$10*J238+$K$10*K238+$L$10*L238)*$AU$4*$AS$10</x:f>
        <x:v>16.621161666861337</x:v>
      </x:c>
      <x:c r="AT238" s="60" t="n">
        <x:f>ROUND(AR238*AS238,0)</x:f>
        <x:v>267301</x:v>
      </x:c>
      <x:c r="AU238" s="60" t="n">
        <x:f>ROUND(AT238*F238,0)</x:f>
        <x:v>1336505</x:v>
      </x:c>
      <x:c r="AV238" s="60" t="n">
        <x:f>MIN(MATCH(B238,'主线调参'!$M$11:$M$62,1),ROWS('主线调参'!$M$11:$M$62)-1)</x:f>
        <x:v>45</x:v>
      </x:c>
      <x:c r="AW238" s="62" t="n">
        <x:f>(B238-INDEX('主线调参'!$M$11:$M$62,AV238))/(INDEX('主线调参'!$M$11:$M$62,AV238+1)-INDEX('主线调参'!$M$11:$M$62,AV238))</x:f>
        <x:v>0.5</x:v>
      </x:c>
      <x:c r="AX238" s="60" t="n">
        <x:f>IF(AU238=0,0,ROUND(AU238,2-INT(LOG10(ABS(AU238)))))</x:f>
        <x:v>1340000</x:v>
      </x:c>
      <x:c r="AY238" s="62" t="n">
        <x:f>AU238/AU237-1</x:f>
        <x:v>0.004053008391492918</x:v>
      </x:c>
    </x:row>
    <x:row r="239" ht="25" customHeight="1">
      <x:c r="A239" s="40" t="str">
        <x:f>'调前玩家曲线'!A239</x:f>
      </x:c>
      <x:c r="B239" s="40" t="n">
        <x:f>'调前玩家曲线'!B239</x:f>
        <x:v>228</x:v>
      </x:c>
      <x:c r="C239" s="40" t="n">
        <x:f>'调前玩家曲线'!C239</x:f>
        <x:v>16</x:v>
      </x:c>
      <x:c r="D239" s="40" t="n">
        <x:f>'调前玩家曲线'!D239</x:f>
        <x:v>9</x:v>
      </x:c>
      <x:c r="E239" s="40" t="n">
        <x:f>'调前玩家曲线'!E239</x:f>
        <x:v>1</x:v>
      </x:c>
      <x:c r="F239" s="40" t="n">
        <x:f>'调前玩家曲线'!F239</x:f>
        <x:v>5</x:v>
      </x:c>
      <x:c r="G239" s="63" t="n">
        <x:f>IF(B239&lt;$G$8,0,(INDEX('主线调参'!$C$11:$C$62,$AV239)+(INDEX('主线调参'!$C$11:$C$62,$AV239+1)-INDEX('主线调参'!$C$11:$C$62,$AV239))*$AW239)*'参数说明'!$C$27)</x:f>
        <x:v>0.8401249263395998</x:v>
      </x:c>
      <x:c r="H239" s="63" t="n">
        <x:f>IF(B239&lt;$H$8,0,(INDEX('主线调参'!$D$11:$D$62,$AV239)+(INDEX('主线调参'!$D$11:$D$62,$AV239+1)-INDEX('主线调参'!$D$11:$D$62,$AV239))*$AW239)*'参数说明'!$D$27)</x:f>
        <x:v>0.6536621985229265</x:v>
      </x:c>
      <x:c r="I239" s="63" t="n">
        <x:f>IF(B239&lt;$I$8,0,(INDEX('主线调参'!$E$11:$E$62,$AV239)+(INDEX('主线调参'!$E$11:$E$62,$AV239+1)-INDEX('主线调参'!$E$11:$E$62,$AV239))*$AW239)*'参数说明'!$E$27)</x:f>
        <x:v>0.5891955362220657</x:v>
      </x:c>
      <x:c r="J239" s="63" t="n">
        <x:f>IF(B239&lt;$J$8,0,(INDEX('主线调参'!$F$11:$F$62,$AV239)+(INDEX('主线调参'!$F$11:$F$62,$AV239+1)-INDEX('主线调参'!$F$11:$F$62,$AV239))*$AW239)*'参数说明'!$F$27)</x:f>
        <x:v>0.5499749744491421</x:v>
      </x:c>
      <x:c r="K239" s="63" t="n">
        <x:f>IF(B239&lt;$K$8,0,(INDEX('主线调参'!$G$11:$G$62,$AV239)+(INDEX('主线调参'!$G$11:$G$62,$AV239+1)-INDEX('主线调参'!$G$11:$G$62,$AV239))*$AW239)*'参数说明'!$G$27)</x:f>
        <x:v>0.573253546011972</x:v>
      </x:c>
      <x:c r="L239" s="63" t="n">
        <x:f>IF(B239&lt;$L$8,0,(INDEX('主线调参'!$H$11:$H$62,$AV239)+(INDEX('主线调参'!$H$11:$H$62,$AV239+1)-INDEX('主线调参'!$H$11:$H$62,$AV239))*$AW239)*'参数说明'!$H$27)</x:f>
        <x:v>0.6517149080125366</x:v>
      </x:c>
      <x:c r="M239" s="59" t="n">
        <x:f>E239*'模块规划'!$F$10+G239*'模块规划'!$F$11+H239*'模块规划'!$F$13</x:f>
        <x:v>5032.599646430079</x:v>
      </x:c>
      <x:c r="N239" s="59" t="n">
        <x:f>I239*'模块规划'!$F$15+J239*'模块规划'!$F$17+K239*'模块规划'!$F$16+L239*'模块规划'!$F$18</x:f>
        <x:v>16911.409850402462</x:v>
      </x:c>
      <x:c r="O239" s="59" t="n">
        <x:f>1+O$9*SUMPRODUCT($H$10:$L$10,H239:L239)/SUM($H$10:$L$10)</x:f>
        <x:v>3.2117321730903603</x:v>
      </x:c>
      <x:c r="P239" s="59" t="n">
        <x:f>M239*O239+N239</x:f>
        <x:v>33074.77204912512</x:v>
      </x:c>
      <x:c r="Q239" s="59" t="n">
        <x:f>P239/(P239+'_曲线基线'!$L$2)</x:f>
        <x:v>0.5794989775983189</x:v>
      </x:c>
      <x:c r="R239" s="59" t="n">
        <x:f>E239*'模块规划'!$E$10+G239*'模块规划'!$E$11+H239*'模块规划'!$E$13</x:f>
        <x:v>7548.899469645118</x:v>
      </x:c>
      <x:c r="S239" s="59" t="n">
        <x:f>I239*'模块规划'!$E$15+J239*'模块规划'!$E$17+K239*'模块规划'!$E$16+L239*'模块规划'!$E$18</x:f>
        <x:v>25367.114775603695</x:v>
      </x:c>
      <x:c r="T239" s="59" t="n">
        <x:f>1+T$9*SUMPRODUCT($H$10:$L$10,H239:L239)/SUM($H$10:$L$10)</x:f>
        <x:v>3.2117321730903603</x:v>
      </x:c>
      <x:c r="U239" s="59" t="n">
        <x:f>R239*T239+S239</x:f>
        <x:v>49612.15807368768</x:v>
      </x:c>
      <x:c r="V239" s="59" t="n">
        <x:f>V$8+(V$9-V$8)*H239</x:f>
        <x:v>0.896098659556878</x:v>
      </x:c>
      <x:c r="W239" s="59" t="n">
        <x:f>IF(B239&lt;$H$8,0,W$8+(W$9-W$8)*H239)</x:f>
        <x:v>0.2614648794091706</x:v>
      </x:c>
      <x:c r="X239" s="59" t="n">
        <x:f>X$8+(X$9-X$8)*H239</x:f>
        <x:v>0.4547571045938048</x:v>
      </x:c>
      <x:c r="Y239" s="59" t="n">
        <x:f>Y$8+(Y$9-Y$8)*G239</x:f>
        <x:v>1</x:v>
      </x:c>
      <x:c r="Z239" s="59" t="n">
        <x:f>Z$8+(Z$9-Z$8)*H239</x:f>
        <x:v>1</x:v>
      </x:c>
      <x:c r="AA239" s="59" t="n">
        <x:f>AA$8+(AA$9-AA$8)*I239</x:f>
        <x:v>1</x:v>
      </x:c>
      <x:c r="AB239" s="59" t="n">
        <x:f>AB$8+(AB$9-AB$8)*J239</x:f>
        <x:v>1</x:v>
      </x:c>
      <x:c r="AC239" s="59" t="n">
        <x:f>AC$8+(AC$9-AC$8)*MAX(K239,L239)</x:f>
        <x:v>1</x:v>
      </x:c>
      <x:c r="AD239" s="59" t="n">
        <x:f>(V239*AE239+W239*AF239+X239*AG239)*PRODUCT(Y239:AC239)</x:f>
        <x:v>1.8206821333048482</x:v>
      </x:c>
      <x:c r="AE239" s="59" t="n">
        <x:f>1+AE$9*($H$10*H239+$I$10*I239+$J$10*J239+$K$10*K239+$L$10*L239)</x:f>
        <x:v>1</x:v>
      </x:c>
      <x:c r="AF239" s="59" t="n">
        <x:f>1+AF$9*($H$10*H239+$I$10*I239+$J$10*J239+$K$10*K239+$L$10*L239)</x:f>
        <x:v>1.1952055116330764</x:v>
      </x:c>
      <x:c r="AG239" s="59" t="n">
        <x:f>1+AG$9*($H$10*H239+$I$10*I239+$J$10*J239+$K$10*K239+$L$10*L239)</x:f>
        <x:v>1.3459475456163994</x:v>
      </x:c>
      <x:c r="AH239" s="59" t="n">
        <x:f>MIN(1,'_曲线基线'!$L$3+AH$9*($H$10*H239+$I$10*I239+$J$10*J239+$K$10*K239+$L$10*L239))</x:f>
        <x:v>0.4940925389652485</x:v>
      </x:c>
      <x:c r="AI239" s="59" t="n">
        <x:f>'_曲线基线'!$L$4+AI$9*($H$10*H239+$I$10*I239+$J$10*J239+$K$10*K239+$L$10*L239)</x:f>
        <x:v>3.237114929974621</x:v>
      </x:c>
      <x:c r="AJ239" s="59" t="n">
        <x:f>1+AJ$9*($H$10*H239+$I$10*I239+$J$10*J239+$K$10*K239+$L$10*L239)</x:f>
        <x:v>2.0150686604919965</x:v>
      </x:c>
      <x:c r="AK239" s="59" t="n">
        <x:f>(1+AH239*(AI239-1))*AJ239</x:f>
        <x:v>4.242408272155587</x:v>
      </x:c>
      <x:c r="AL239" s="59" t="n">
        <x:f>U239*AD239*AK239*F239</x:f>
        <x:v>1916040.631421225</x:v>
      </x:c>
      <x:c r="AM239" s="59" t="n">
        <x:f>IF($B239&lt;AM$8,0,AM$3+(AM$4-AM$3)*(POWER(AM$5,$B239-AM$8)-1)/(POWER(AM$5,$C$5-AM$8)-1))</x:f>
        <x:v>46.506097118481975</x:v>
      </x:c>
      <x:c r="AN239" s="59" t="n">
        <x:f>(((E239*'模块规划'!$D$10+G239*'模块规划'!$D$11+H239*'模块规划'!$D$13)*(1+'模块规划'!$G$14*H239)+(I239*'模块规划'!$D$15+J239*'模块规划'!$D$17+K239*'模块规划'!$D$16+L239*'模块规划'!$D$18))*(1+'模块规划'!$J$17*J239))*F239/(1-Q239)</x:f>
        <x:v>2457841.845892193</x:v>
      </x:c>
      <x:c r="AO239" s="59" t="n">
        <x:f>AL239*AM239</x:f>
        <x:v>89107571.68783301</x:v>
      </x:c>
      <x:c r="AP239" s="61" t="n">
        <x:f>IF(AO239="","",INDEX('_曲线基线'!$A$3:$A$502,MIN(ROWS('_曲线基线'!$A$3:$A$502),COUNTIF('_曲线基线'!$E$3:$E$502,"&lt;"&amp;AO239)+1)))</x:f>
        <x:v>284</x:v>
      </x:c>
      <x:c r="AQ239" s="61" t="n">
        <x:f>IF(B239&lt;=2,1,IF(B239&lt;=6,2,IF(B239&lt;=9,3,IF(B239&lt;=19,4,5))))</x:f>
        <x:v>5</x:v>
      </x:c>
      <x:c r="AR239" s="59" t="n">
        <x:f>AN239*(1-Q239)/F239*$AS$3+U239*$AS$4+P239*$AS$5</x:f>
        <x:v>16123.581669333347</x:v>
      </x:c>
      <x:c r="AS239" s="59" t="n">
        <x:f>1+AH239*$AS$6+AI239*$AS$7+(AJ239-1)*$AS$8+($H$10*H239+$I$10*I239+$J$10*J239+$K$10*K239+$L$10*L239)*$AU$3*$AS$9+($H$10*H239+$I$10*I239+$J$10*J239+$K$10*K239+$L$10*L239)*$AU$4*$AS$10</x:f>
        <x:v>16.645331122338902</x:v>
      </x:c>
      <x:c r="AT239" s="60" t="n">
        <x:f>ROUND(AR239*AS239,0)</x:f>
        <x:v>268382</x:v>
      </x:c>
      <x:c r="AU239" s="60" t="n">
        <x:f>ROUND(AT239*F239,0)</x:f>
        <x:v>1341910</x:v>
      </x:c>
      <x:c r="AV239" s="60" t="n">
        <x:f>MIN(MATCH(B239,'主线调参'!$M$11:$M$62,1),ROWS('主线调参'!$M$11:$M$62)-1)</x:f>
        <x:v>45</x:v>
      </x:c>
      <x:c r="AW239" s="62" t="n">
        <x:f>(B239-INDEX('主线调参'!$M$11:$M$62,AV239))/(INDEX('主线调参'!$M$11:$M$62,AV239+1)-INDEX('主线调参'!$M$11:$M$62,AV239))</x:f>
        <x:v>0.5714285714285714</x:v>
      </x:c>
      <x:c r="AX239" s="60" t="n">
        <x:f>IF(AU239=0,0,ROUND(AU239,2-INT(LOG10(ABS(AU239)))))</x:f>
        <x:v>1340000</x:v>
      </x:c>
      <x:c r="AY239" s="62" t="n">
        <x:f>AU239/AU238-1</x:f>
        <x:v>0.004044130025701254</x:v>
      </x:c>
    </x:row>
    <x:row r="240" ht="25" customHeight="1">
      <x:c r="A240" s="40" t="str">
        <x:f>'调前玩家曲线'!A240</x:f>
      </x:c>
      <x:c r="B240" s="40" t="n">
        <x:f>'调前玩家曲线'!B240</x:f>
        <x:v>229</x:v>
      </x:c>
      <x:c r="C240" s="40" t="n">
        <x:f>'调前玩家曲线'!C240</x:f>
        <x:v>16</x:v>
      </x:c>
      <x:c r="D240" s="40" t="n">
        <x:f>'调前玩家曲线'!D240</x:f>
        <x:v>10</x:v>
      </x:c>
      <x:c r="E240" s="40" t="n">
        <x:f>'调前玩家曲线'!E240</x:f>
        <x:v>1</x:v>
      </x:c>
      <x:c r="F240" s="40" t="n">
        <x:f>'调前玩家曲线'!F240</x:f>
        <x:v>5</x:v>
      </x:c>
      <x:c r="G240" s="63" t="n">
        <x:f>IF(B240&lt;$G$8,0,(INDEX('主线调参'!$C$11:$C$62,$AV240)+(INDEX('主线调参'!$C$11:$C$62,$AV240+1)-INDEX('主线调参'!$C$11:$C$62,$AV240))*$AW240)*'参数说明'!$C$27)</x:f>
        <x:v>0.8414056774329478</x:v>
      </x:c>
      <x:c r="H240" s="63" t="n">
        <x:f>IF(B240&lt;$H$8,0,(INDEX('主线调参'!$D$11:$D$62,$AV240)+(INDEX('主线调参'!$D$11:$D$62,$AV240+1)-INDEX('主线调参'!$D$11:$D$62,$AV240))*$AW240)*'参数说明'!$D$27)</x:f>
        <x:v>0.654630213030342</x:v>
      </x:c>
      <x:c r="I240" s="63" t="n">
        <x:f>IF(B240&lt;$I$8,0,(INDEX('主线调参'!$E$11:$E$62,$AV240)+(INDEX('主线调参'!$E$11:$E$62,$AV240+1)-INDEX('主线调参'!$E$11:$E$62,$AV240))*$AW240)*'参数说明'!$E$27)</x:f>
        <x:v>0.5905405856067649</x:v>
      </x:c>
      <x:c r="J240" s="63" t="n">
        <x:f>IF(B240&lt;$J$8,0,(INDEX('主线调参'!$F$11:$F$62,$AV240)+(INDEX('主线调参'!$F$11:$F$62,$AV240+1)-INDEX('主线调参'!$F$11:$F$62,$AV240))*$AW240)*'参数说明'!$F$27)</x:f>
        <x:v>0.5510326264433532</x:v>
      </x:c>
      <x:c r="K240" s="63" t="n">
        <x:f>IF(B240&lt;$K$8,0,(INDEX('主线调参'!$G$11:$G$62,$AV240)+(INDEX('主线调参'!$G$11:$G$62,$AV240+1)-INDEX('主线调参'!$G$11:$G$62,$AV240))*$AW240)*'参数说明'!$G$27)</x:f>
        <x:v>0.5750791198879431</x:v>
      </x:c>
      <x:c r="L240" s="63" t="n">
        <x:f>IF(B240&lt;$L$8,0,(INDEX('主线调参'!$H$11:$H$62,$AV240)+(INDEX('主线调参'!$H$11:$H$62,$AV240+1)-INDEX('主线调参'!$H$11:$H$62,$AV240))*$AW240)*'参数说明'!$H$27)</x:f>
        <x:v>0.652732826408201</x:v>
      </x:c>
      <x:c r="M240" s="59" t="n">
        <x:f>E240*'模块规划'!$F$10+G240*'模块规划'!$F$11+H240*'模块规划'!$F$13</x:f>
        <x:v>5038.747251678149</x:v>
      </x:c>
      <x:c r="N240" s="59" t="n">
        <x:f>I240*'模块规划'!$F$15+J240*'模块规划'!$F$17+K240*'模块规划'!$F$16+L240*'模块规划'!$F$18</x:f>
        <x:v>16948.789800656315</x:v>
      </x:c>
      <x:c r="O240" s="59" t="n">
        <x:f>1+O$9*SUMPRODUCT($H$10:$L$10,H240:L240)/SUM($H$10:$L$10)</x:f>
        <x:v>3.216315292339486</x:v>
      </x:c>
      <x:c r="P240" s="59" t="n">
        <x:f>M240*O240+N240</x:f>
        <x:v>33154.9896404623</x:v>
      </x:c>
      <x:c r="Q240" s="59" t="n">
        <x:f>P240/(P240+'_曲线基线'!$L$2)</x:f>
        <x:v>0.5800891549281387</x:v>
      </x:c>
      <x:c r="R240" s="59" t="n">
        <x:f>E240*'模块规划'!$E$10+G240*'模块规划'!$E$11+H240*'模块规划'!$E$13</x:f>
        <x:v>7558.1208775172245</x:v>
      </x:c>
      <x:c r="S240" s="59" t="n">
        <x:f>I240*'模块规划'!$E$15+J240*'模块规划'!$E$17+K240*'模块规划'!$E$16+L240*'模块规划'!$E$18</x:f>
        <x:v>25423.18470098447</x:v>
      </x:c>
      <x:c r="T240" s="59" t="n">
        <x:f>1+T$9*SUMPRODUCT($H$10:$L$10,H240:L240)/SUM($H$10:$L$10)</x:f>
        <x:v>3.216315292339486</x:v>
      </x:c>
      <x:c r="U240" s="59" t="n">
        <x:f>R240*T240+S240</x:f>
        <x:v>49732.48446069346</x:v>
      </x:c>
      <x:c r="V240" s="59" t="n">
        <x:f>V$8+(V$9-V$8)*H240</x:f>
        <x:v>0.8963890639091026</x:v>
      </x:c>
      <x:c r="W240" s="59" t="n">
        <x:f>IF(B240&lt;$H$8,0,W$8+(W$9-W$8)*H240)</x:f>
        <x:v>0.2618520852121368</x:v>
      </x:c>
      <x:c r="X240" s="59" t="n">
        <x:f>X$8+(X$9-X$8)*H240</x:f>
        <x:v>0.45502330858334405</x:v>
      </x:c>
      <x:c r="Y240" s="59" t="n">
        <x:f>Y$8+(Y$9-Y$8)*G240</x:f>
        <x:v>1</x:v>
      </x:c>
      <x:c r="Z240" s="59" t="n">
        <x:f>Z$8+(Z$9-Z$8)*H240</x:f>
        <x:v>1</x:v>
      </x:c>
      <x:c r="AA240" s="59" t="n">
        <x:f>AA$8+(AA$9-AA$8)*I240</x:f>
        <x:v>1</x:v>
      </x:c>
      <x:c r="AB240" s="59" t="n">
        <x:f>AB$8+(AB$9-AB$8)*J240</x:f>
        <x:v>1</x:v>
      </x:c>
      <x:c r="AC240" s="59" t="n">
        <x:f>AC$8+(AC$9-AC$8)*MAX(K240,L240)</x:f>
        <x:v>1</x:v>
      </x:c>
      <x:c r="AD240" s="59" t="n">
        <x:f>(V240*AE240+W240*AF240+X240*AG240)*PRODUCT(Y240:AC240)</x:f>
        <x:v>1.822225735881125</x:v>
      </x:c>
      <x:c r="AE240" s="59" t="n">
        <x:f>1+AE$9*($H$10*H240+$I$10*I240+$J$10*J240+$K$10*K240+$L$10*L240)</x:f>
        <x:v>1</x:v>
      </x:c>
      <x:c r="AF240" s="59" t="n">
        <x:f>1+AF$9*($H$10*H240+$I$10*I240+$J$10*J240+$K$10*K240+$L$10*L240)</x:f>
        <x:v>1.1956100136558738</x:v>
      </x:c>
      <x:c r="AG240" s="59" t="n">
        <x:f>1+AG$9*($H$10*H240+$I$10*I240+$J$10*J240+$K$10*K240+$L$10*L240)</x:f>
        <x:v>1.3466644130901346</x:v>
      </x:c>
      <x:c r="AH240" s="59" t="n">
        <x:f>MIN(1,'_曲线基线'!$L$3+AH$9*($H$10*H240+$I$10*I240+$J$10*J240+$K$10*K240+$L$10*L240))</x:f>
        <x:v>0.4950127810671125</x:v>
      </x:c>
      <x:c r="AI240" s="59" t="n">
        <x:f>'_曲线基线'!$L$4+AI$9*($H$10*H240+$I$10*I240+$J$10*J240+$K$10*K240+$L$10*L240)</x:f>
        <x:v>3.2396784615440994</x:v>
      </x:c>
      <x:c r="AJ240" s="59" t="n">
        <x:f>1+AJ$9*($H$10*H240+$I$10*I240+$J$10*J240+$K$10*K240+$L$10*L240)</x:f>
        <x:v>2.0171720710105427</x:v>
      </x:c>
      <x:c r="AK240" s="59" t="n">
        <x:f>(1+AH240*(AI240-1))*AJ240</x:f>
        <x:v>4.2535491496627404</x:v>
      </x:c>
      <x:c r="AL240" s="59" t="n">
        <x:f>U240*AD240*AK240*F240</x:f>
        <x:v>1927364.2156170413</x:v>
      </x:c>
      <x:c r="AM240" s="59" t="n">
        <x:f>IF($B240&lt;AM$8,0,AM$3+(AM$4-AM$3)*(POWER(AM$5,$B240-AM$8)-1)/(POWER(AM$5,$C$5-AM$8)-1))</x:f>
        <x:v>46.634582729588665</x:v>
      </x:c>
      <x:c r="AN240" s="59" t="n">
        <x:f>(((E240*'模块规划'!$D$10+G240*'模块规划'!$D$11+H240*'模块规划'!$D$13)*(1+'模块规划'!$G$14*H240)+(I240*'模块规划'!$D$15+J240*'模块规划'!$D$17+K240*'模块规划'!$D$16+L240*'模块规划'!$D$18))*(1+'模块规划'!$J$17*J240))*F240/(1-Q240)</x:f>
        <x:v>2468275.0932093994</x:v>
      </x:c>
      <x:c r="AO240" s="59" t="n">
        <x:f>AL240*AM240</x:f>
        <x:v>89881825.96324168</x:v>
      </x:c>
      <x:c r="AP240" s="61" t="n">
        <x:f>IF(AO240="","",INDEX('_曲线基线'!$A$3:$A$502,MIN(ROWS('_曲线基线'!$A$3:$A$502),COUNTIF('_曲线基线'!$E$3:$E$502,"&lt;"&amp;AO240)+1)))</x:f>
        <x:v>285</x:v>
      </x:c>
      <x:c r="AQ240" s="61" t="n">
        <x:f>IF(B240&lt;=2,1,IF(B240&lt;=6,2,IF(B240&lt;=9,3,IF(B240&lt;=19,4,5))))</x:f>
        <x:v>5</x:v>
      </x:c>
      <x:c r="AR240" s="59" t="n">
        <x:f>AN240*(1-Q240)/F240*$AS$3+U240*$AS$4+P240*$AS$5</x:f>
        <x:v>16165.229773695006</x:v>
      </x:c>
      <x:c r="AS240" s="59" t="n">
        <x:f>1+AH240*$AS$6+AI240*$AS$7+(AJ240-1)*$AS$8+($H$10*H240+$I$10*I240+$J$10*J240+$K$10*K240+$L$10*L240)*$AU$3*$AS$9+($H$10*H240+$I$10*I240+$J$10*J240+$K$10*K240+$L$10*L240)*$AU$4*$AS$10</x:f>
        <x:v>16.669500577816464</x:v>
      </x:c>
      <x:c r="AT240" s="60" t="n">
        <x:f>ROUND(AR240*AS240,0)</x:f>
        <x:v>269466</x:v>
      </x:c>
      <x:c r="AU240" s="60" t="n">
        <x:f>ROUND(AT240*F240,0)</x:f>
        <x:v>1347330</x:v>
      </x:c>
      <x:c r="AV240" s="60" t="n">
        <x:f>MIN(MATCH(B240,'主线调参'!$M$11:$M$62,1),ROWS('主线调参'!$M$11:$M$62)-1)</x:f>
        <x:v>45</x:v>
      </x:c>
      <x:c r="AW240" s="62" t="n">
        <x:f>(B240-INDEX('主线调参'!$M$11:$M$62,AV240))/(INDEX('主线调参'!$M$11:$M$62,AV240+1)-INDEX('主线调参'!$M$11:$M$62,AV240))</x:f>
        <x:v>0.6428571428571429</x:v>
      </x:c>
      <x:c r="AX240" s="60" t="n">
        <x:f>IF(AU240=0,0,ROUND(AU240,2-INT(LOG10(ABS(AU240)))))</x:f>
        <x:v>1350000</x:v>
      </x:c>
      <x:c r="AY240" s="62" t="n">
        <x:f>AU240/AU239-1</x:f>
        <x:v>0.00403901901021686</x:v>
      </x:c>
    </x:row>
    <x:row r="241" ht="25" customHeight="1">
      <x:c r="A241" s="40" t="str">
        <x:f>'调前玩家曲线'!A241</x:f>
      </x:c>
      <x:c r="B241" s="40" t="n">
        <x:f>'调前玩家曲线'!B241</x:f>
        <x:v>230</x:v>
      </x:c>
      <x:c r="C241" s="40" t="n">
        <x:f>'调前玩家曲线'!C241</x:f>
        <x:v>16</x:v>
      </x:c>
      <x:c r="D241" s="40" t="n">
        <x:f>'调前玩家曲线'!D241</x:f>
        <x:v>11</x:v>
      </x:c>
      <x:c r="E241" s="40" t="n">
        <x:f>'调前玩家曲线'!E241</x:f>
        <x:v>1</x:v>
      </x:c>
      <x:c r="F241" s="40" t="n">
        <x:f>'调前玩家曲线'!F241</x:f>
        <x:v>5</x:v>
      </x:c>
      <x:c r="G241" s="63" t="n">
        <x:f>IF(B241&lt;$G$8,0,(INDEX('主线调参'!$C$11:$C$62,$AV241)+(INDEX('主线调参'!$C$11:$C$62,$AV241+1)-INDEX('主线调参'!$C$11:$C$62,$AV241))*$AW241)*'参数说明'!$C$27)</x:f>
        <x:v>0.8426864285262959</x:v>
      </x:c>
      <x:c r="H241" s="63" t="n">
        <x:f>IF(B241&lt;$H$8,0,(INDEX('主线调参'!$D$11:$D$62,$AV241)+(INDEX('主线调参'!$D$11:$D$62,$AV241+1)-INDEX('主线调参'!$D$11:$D$62,$AV241))*$AW241)*'参数说明'!$D$27)</x:f>
        <x:v>0.6555982275377574</x:v>
      </x:c>
      <x:c r="I241" s="63" t="n">
        <x:f>IF(B241&lt;$I$8,0,(INDEX('主线调参'!$E$11:$E$62,$AV241)+(INDEX('主线调参'!$E$11:$E$62,$AV241+1)-INDEX('主线调参'!$E$11:$E$62,$AV241))*$AW241)*'参数说明'!$E$27)</x:f>
        <x:v>0.5918856349914643</x:v>
      </x:c>
      <x:c r="J241" s="63" t="n">
        <x:f>IF(B241&lt;$J$8,0,(INDEX('主线调参'!$F$11:$F$62,$AV241)+(INDEX('主线调参'!$F$11:$F$62,$AV241+1)-INDEX('主线调参'!$F$11:$F$62,$AV241))*$AW241)*'参数说明'!$F$27)</x:f>
        <x:v>0.5520902784375641</x:v>
      </x:c>
      <x:c r="K241" s="63" t="n">
        <x:f>IF(B241&lt;$K$8,0,(INDEX('主线调参'!$G$11:$G$62,$AV241)+(INDEX('主线调参'!$G$11:$G$62,$AV241+1)-INDEX('主线调参'!$G$11:$G$62,$AV241))*$AW241)*'参数说明'!$G$27)</x:f>
        <x:v>0.5769046937639142</x:v>
      </x:c>
      <x:c r="L241" s="63" t="n">
        <x:f>IF(B241&lt;$L$8,0,(INDEX('主线调参'!$H$11:$H$62,$AV241)+(INDEX('主线调参'!$H$11:$H$62,$AV241+1)-INDEX('主线调参'!$H$11:$H$62,$AV241))*$AW241)*'参数说明'!$H$27)</x:f>
        <x:v>0.6537507448038654</x:v>
      </x:c>
      <x:c r="M241" s="59" t="n">
        <x:f>E241*'模块规划'!$F$10+G241*'模块规划'!$F$11+H241*'模块规划'!$F$13</x:f>
        <x:v>5044.894856926221</x:v>
      </x:c>
      <x:c r="N241" s="59" t="n">
        <x:f>I241*'模块规划'!$F$15+J241*'模块规划'!$F$17+K241*'模块规划'!$F$16+L241*'模块规划'!$F$18</x:f>
        <x:v>16986.169750910165</x:v>
      </x:c>
      <x:c r="O241" s="59" t="n">
        <x:f>1+O$9*SUMPRODUCT($H$10:$L$10,H241:L241)/SUM($H$10:$L$10)</x:f>
        <x:v>3.2208984115886126</x:v>
      </x:c>
      <x:c r="P241" s="59" t="n">
        <x:f>M241*O241+N241</x:f>
        <x:v>33235.26358221539</x:v>
      </x:c>
      <x:c r="Q241" s="59" t="n">
        <x:f>P241/(P241+'_曲线基线'!$L$2)</x:f>
        <x:v>0.5806780907800785</x:v>
      </x:c>
      <x:c r="R241" s="59" t="n">
        <x:f>E241*'模块规划'!$E$10+G241*'模块规划'!$E$11+H241*'模块规划'!$E$13</x:f>
        <x:v>7567.342285389331</x:v>
      </x:c>
      <x:c r="S241" s="59" t="n">
        <x:f>I241*'模块规划'!$E$15+J241*'模块规划'!$E$17+K241*'模块规划'!$E$16+L241*'模块规划'!$E$18</x:f>
        <x:v>25479.25462636525</x:v>
      </x:c>
      <x:c r="T241" s="59" t="n">
        <x:f>1+T$9*SUMPRODUCT($H$10:$L$10,H241:L241)/SUM($H$10:$L$10)</x:f>
        <x:v>3.2208984115886126</x:v>
      </x:c>
      <x:c r="U241" s="59" t="n">
        <x:f>R241*T241+S241</x:f>
        <x:v>49852.89537332309</x:v>
      </x:c>
      <x:c r="V241" s="59" t="n">
        <x:f>V$8+(V$9-V$8)*H241</x:f>
        <x:v>0.8966794682613273</x:v>
      </x:c>
      <x:c r="W241" s="59" t="n">
        <x:f>IF(B241&lt;$H$8,0,W$8+(W$9-W$8)*H241)</x:f>
        <x:v>0.26223929101510296</x:v>
      </x:c>
      <x:c r="X241" s="59" t="n">
        <x:f>X$8+(X$9-X$8)*H241</x:f>
        <x:v>0.4552895125728833</x:v>
      </x:c>
      <x:c r="Y241" s="59" t="n">
        <x:f>Y$8+(Y$9-Y$8)*G241</x:f>
        <x:v>1</x:v>
      </x:c>
      <x:c r="Z241" s="59" t="n">
        <x:f>Z$8+(Z$9-Z$8)*H241</x:f>
        <x:v>1</x:v>
      </x:c>
      <x:c r="AA241" s="59" t="n">
        <x:f>AA$8+(AA$9-AA$8)*I241</x:f>
        <x:v>1</x:v>
      </x:c>
      <x:c r="AB241" s="59" t="n">
        <x:f>AB$8+(AB$9-AB$8)*J241</x:f>
        <x:v>1</x:v>
      </x:c>
      <x:c r="AC241" s="59" t="n">
        <x:f>AC$8+(AC$9-AC$8)*MAX(K241,L241)</x:f>
        <x:v>1</x:v>
      </x:c>
      <x:c r="AD241" s="59" t="n">
        <x:f>(V241*AE241+W241*AF241+X241*AG241)*PRODUCT(Y241:AC241)</x:f>
        <x:v>1.8237700333744256</x:v>
      </x:c>
      <x:c r="AE241" s="59" t="n">
        <x:f>1+AE$9*($H$10*H241+$I$10*I241+$J$10*J241+$K$10*K241+$L$10*L241)</x:f>
        <x:v>1</x:v>
      </x:c>
      <x:c r="AF241" s="59" t="n">
        <x:f>1+AF$9*($H$10*H241+$I$10*I241+$J$10*J241+$K$10*K241+$L$10*L241)</x:f>
        <x:v>1.1960145156786712</x:v>
      </x:c>
      <x:c r="AG241" s="59" t="n">
        <x:f>1+AG$9*($H$10*H241+$I$10*I241+$J$10*J241+$K$10*K241+$L$10*L241)</x:f>
        <x:v>1.34738128056387</x:v>
      </x:c>
      <x:c r="AH241" s="59" t="n">
        <x:f>MIN(1,'_曲线基线'!$L$3+AH$9*($H$10*H241+$I$10*I241+$J$10*J241+$K$10*K241+$L$10*L241))</x:f>
        <x:v>0.49593302316897653</x:v>
      </x:c>
      <x:c r="AI241" s="59" t="n">
        <x:f>'_曲线基线'!$L$4+AI$9*($H$10*H241+$I$10*I241+$J$10*J241+$K$10*K241+$L$10*L241)</x:f>
        <x:v>3.2422419931135775</x:v>
      </x:c>
      <x:c r="AJ241" s="59" t="n">
        <x:f>1+AJ$9*($H$10*H241+$I$10*I241+$J$10*J241+$K$10*K241+$L$10*L241)</x:f>
        <x:v>2.0192754815290894</x:v>
      </x:c>
      <x:c r="AK241" s="59" t="n">
        <x:f>(1+AH241*(AI241-1))*AJ241</x:f>
        <x:v>4.264713553297765</x:v>
      </x:c>
      <x:c r="AL241" s="59" t="n">
        <x:f>U241*AD241*AK241*F241</x:f>
        <x:v>1938743.4012681348</x:v>
      </x:c>
      <x:c r="AM241" s="59" t="n">
        <x:f>IF($B241&lt;AM$8,0,AM$3+(AM$4-AM$3)*(POWER(AM$5,$B241-AM$8)-1)/(POWER(AM$5,$C$5-AM$8)-1))</x:f>
        <x:v>46.76435319680642</x:v>
      </x:c>
      <x:c r="AN241" s="59" t="n">
        <x:f>(((E241*'模块规划'!$D$10+G241*'模块规划'!$D$11+H241*'模块规划'!$D$13)*(1+'模块规划'!$G$14*H241)+(I241*'模块规划'!$D$15+J241*'模块规划'!$D$17+K241*'模块规划'!$D$16+L241*'模块规划'!$D$18))*(1+'模块规划'!$J$17*J241))*F241/(1-Q241)</x:f>
        <x:v>2478739.2313078307</x:v>
      </x:c>
      <x:c r="AO241" s="59" t="n">
        <x:f>AL241*AM241</x:f>
        <x:v>90664081.17488085</x:v>
      </x:c>
      <x:c r="AP241" s="61" t="n">
        <x:f>IF(AO241="","",INDEX('_曲线基线'!$A$3:$A$502,MIN(ROWS('_曲线基线'!$A$3:$A$502),COUNTIF('_曲线基线'!$E$3:$E$502,"&lt;"&amp;AO241)+1)))</x:f>
        <x:v>285</x:v>
      </x:c>
      <x:c r="AQ241" s="61" t="n">
        <x:f>IF(B241&lt;=2,1,IF(B241&lt;=6,2,IF(B241&lt;=9,3,IF(B241&lt;=19,4,5))))</x:f>
        <x:v>5</x:v>
      </x:c>
      <x:c r="AR241" s="59" t="n">
        <x:f>AN241*(1-Q241)/F241*$AS$3+U241*$AS$4+P241*$AS$5</x:f>
        <x:v>16206.917076246538</x:v>
      </x:c>
      <x:c r="AS241" s="59" t="n">
        <x:f>1+AH241*$AS$6+AI241*$AS$7+(AJ241-1)*$AS$8+($H$10*H241+$I$10*I241+$J$10*J241+$K$10*K241+$L$10*L241)*$AU$3*$AS$9+($H$10*H241+$I$10*I241+$J$10*J241+$K$10*K241+$L$10*L241)*$AU$4*$AS$10</x:f>
        <x:v>16.693670033294033</x:v>
      </x:c>
      <x:c r="AT241" s="60" t="n">
        <x:f>ROUND(AR241*AS241,0)</x:f>
        <x:v>270553</x:v>
      </x:c>
      <x:c r="AU241" s="60" t="n">
        <x:f>ROUND(AT241*F241,0)</x:f>
        <x:v>1352765</x:v>
      </x:c>
      <x:c r="AV241" s="60" t="n">
        <x:f>MIN(MATCH(B241,'主线调参'!$M$11:$M$62,1),ROWS('主线调参'!$M$11:$M$62)-1)</x:f>
        <x:v>45</x:v>
      </x:c>
      <x:c r="AW241" s="62" t="n">
        <x:f>(B241-INDEX('主线调参'!$M$11:$M$62,AV241))/(INDEX('主线调参'!$M$11:$M$62,AV241+1)-INDEX('主线调参'!$M$11:$M$62,AV241))</x:f>
        <x:v>0.7142857142857143</x:v>
      </x:c>
      <x:c r="AX241" s="60" t="n">
        <x:f>IF(AU241=0,0,ROUND(AU241,2-INT(LOG10(ABS(AU241)))))</x:f>
        <x:v>1350000</x:v>
      </x:c>
      <x:c r="AY241" s="62" t="n">
        <x:f>AU241/AU240-1</x:f>
        <x:v>0.00403390409179627</x:v>
      </x:c>
    </x:row>
    <x:row r="242" ht="25" customHeight="1">
      <x:c r="A242" s="40" t="str">
        <x:f>'调前玩家曲线'!A242</x:f>
      </x:c>
      <x:c r="B242" s="40" t="n">
        <x:f>'调前玩家曲线'!B242</x:f>
        <x:v>231</x:v>
      </x:c>
      <x:c r="C242" s="40" t="n">
        <x:f>'调前玩家曲线'!C242</x:f>
        <x:v>16</x:v>
      </x:c>
      <x:c r="D242" s="40" t="n">
        <x:f>'调前玩家曲线'!D242</x:f>
        <x:v>12</x:v>
      </x:c>
      <x:c r="E242" s="40" t="n">
        <x:f>'调前玩家曲线'!E242</x:f>
        <x:v>1</x:v>
      </x:c>
      <x:c r="F242" s="40" t="n">
        <x:f>'调前玩家曲线'!F242</x:f>
        <x:v>5</x:v>
      </x:c>
      <x:c r="G242" s="63" t="n">
        <x:f>IF(B242&lt;$G$8,0,(INDEX('主线调参'!$C$11:$C$62,$AV242)+(INDEX('主线调参'!$C$11:$C$62,$AV242+1)-INDEX('主线调参'!$C$11:$C$62,$AV242))*$AW242)*'参数说明'!$C$27)</x:f>
        <x:v>0.8439671796196438</x:v>
      </x:c>
      <x:c r="H242" s="63" t="n">
        <x:f>IF(B242&lt;$H$8,0,(INDEX('主线调参'!$D$11:$D$62,$AV242)+(INDEX('主线调参'!$D$11:$D$62,$AV242+1)-INDEX('主线调参'!$D$11:$D$62,$AV242))*$AW242)*'参数说明'!$D$27)</x:f>
        <x:v>0.6565662420451728</x:v>
      </x:c>
      <x:c r="I242" s="63" t="n">
        <x:f>IF(B242&lt;$I$8,0,(INDEX('主线调参'!$E$11:$E$62,$AV242)+(INDEX('主线调参'!$E$11:$E$62,$AV242+1)-INDEX('主线调参'!$E$11:$E$62,$AV242))*$AW242)*'参数说明'!$E$27)</x:f>
        <x:v>0.5932306843761637</x:v>
      </x:c>
      <x:c r="J242" s="63" t="n">
        <x:f>IF(B242&lt;$J$8,0,(INDEX('主线调参'!$F$11:$F$62,$AV242)+(INDEX('主线调参'!$F$11:$F$62,$AV242+1)-INDEX('主线调参'!$F$11:$F$62,$AV242))*$AW242)*'参数说明'!$F$27)</x:f>
        <x:v>0.5531479304317751</x:v>
      </x:c>
      <x:c r="K242" s="63" t="n">
        <x:f>IF(B242&lt;$K$8,0,(INDEX('主线调参'!$G$11:$G$62,$AV242)+(INDEX('主线调参'!$G$11:$G$62,$AV242+1)-INDEX('主线调参'!$G$11:$G$62,$AV242))*$AW242)*'参数说明'!$G$27)</x:f>
        <x:v>0.5787302676398852</x:v>
      </x:c>
      <x:c r="L242" s="63" t="n">
        <x:f>IF(B242&lt;$L$8,0,(INDEX('主线调参'!$H$11:$H$62,$AV242)+(INDEX('主线调参'!$H$11:$H$62,$AV242+1)-INDEX('主线调参'!$H$11:$H$62,$AV242))*$AW242)*'参数说明'!$H$27)</x:f>
        <x:v>0.6547686631995299</x:v>
      </x:c>
      <x:c r="M242" s="59" t="n">
        <x:f>E242*'模块规划'!$F$10+G242*'模块规划'!$F$11+H242*'模块规划'!$F$13</x:f>
        <x:v>5051.04246217429</x:v>
      </x:c>
      <x:c r="N242" s="59" t="n">
        <x:f>I242*'模块规划'!$F$15+J242*'模块规划'!$F$17+K242*'模块规划'!$F$16+L242*'模块规划'!$F$18</x:f>
        <x:v>17023.549701164022</x:v>
      </x:c>
      <x:c r="O242" s="59" t="n">
        <x:f>1+O$9*SUMPRODUCT($H$10:$L$10,H242:L242)/SUM($H$10:$L$10)</x:f>
        <x:v>3.2254815308377385</x:v>
      </x:c>
      <x:c r="P242" s="59" t="n">
        <x:f>M242*O242+N242</x:f>
        <x:v>33315.59387438437</x:v>
      </x:c>
      <x:c r="Q242" s="59" t="n">
        <x:f>P242/(P242+'_曲线基线'!$L$2)</x:f>
        <x:v>0.5812657886333767</x:v>
      </x:c>
      <x:c r="R242" s="59" t="n">
        <x:f>E242*'模块规划'!$E$10+G242*'模块规划'!$E$11+H242*'模块规划'!$E$13</x:f>
        <x:v>7576.563693261436</x:v>
      </x:c>
      <x:c r="S242" s="59" t="n">
        <x:f>I242*'模块规划'!$E$15+J242*'模块规划'!$E$17+K242*'模块规划'!$E$16+L242*'模块规划'!$E$18</x:f>
        <x:v>25535.32455174603</x:v>
      </x:c>
      <x:c r="T242" s="59" t="n">
        <x:f>1+T$9*SUMPRODUCT($H$10:$L$10,H242:L242)/SUM($H$10:$L$10)</x:f>
        <x:v>3.2254815308377385</x:v>
      </x:c>
      <x:c r="U242" s="59" t="n">
        <x:f>R242*T242+S242</x:f>
        <x:v>49973.39081157656</x:v>
      </x:c>
      <x:c r="V242" s="59" t="n">
        <x:f>V$8+(V$9-V$8)*H242</x:f>
        <x:v>0.8969698726135518</x:v>
      </x:c>
      <x:c r="W242" s="59" t="n">
        <x:f>IF(B242&lt;$H$8,0,W$8+(W$9-W$8)*H242)</x:f>
        <x:v>0.2626264968180691</x:v>
      </x:c>
      <x:c r="X242" s="59" t="n">
        <x:f>X$8+(X$9-X$8)*H242</x:f>
        <x:v>0.45555571656242255</x:v>
      </x:c>
      <x:c r="Y242" s="59" t="n">
        <x:f>Y$8+(Y$9-Y$8)*G242</x:f>
        <x:v>1</x:v>
      </x:c>
      <x:c r="Z242" s="59" t="n">
        <x:f>Z$8+(Z$9-Z$8)*H242</x:f>
        <x:v>1</x:v>
      </x:c>
      <x:c r="AA242" s="59" t="n">
        <x:f>AA$8+(AA$9-AA$8)*I242</x:f>
        <x:v>1</x:v>
      </x:c>
      <x:c r="AB242" s="59" t="n">
        <x:f>AB$8+(AB$9-AB$8)*J242</x:f>
        <x:v>1</x:v>
      </x:c>
      <x:c r="AC242" s="59" t="n">
        <x:f>AC$8+(AC$9-AC$8)*MAX(K242,L242)</x:f>
        <x:v>1</x:v>
      </x:c>
      <x:c r="AD242" s="59" t="n">
        <x:f>(V242*AE242+W242*AF242+X242*AG242)*PRODUCT(Y242:AC242)</x:f>
        <x:v>1.82531502578475</x:v>
      </x:c>
      <x:c r="AE242" s="59" t="n">
        <x:f>1+AE$9*($H$10*H242+$I$10*I242+$J$10*J242+$K$10*K242+$L$10*L242)</x:f>
        <x:v>1</x:v>
      </x:c>
      <x:c r="AF242" s="59" t="n">
        <x:f>1+AF$9*($H$10*H242+$I$10*I242+$J$10*J242+$K$10*K242+$L$10*L242)</x:f>
        <x:v>1.1964190177014686</x:v>
      </x:c>
      <x:c r="AG242" s="59" t="n">
        <x:f>1+AG$9*($H$10*H242+$I$10*I242+$J$10*J242+$K$10*K242+$L$10*L242)</x:f>
        <x:v>1.3480981480376053</x:v>
      </x:c>
      <x:c r="AH242" s="59" t="n">
        <x:f>MIN(1,'_曲线基线'!$L$3+AH$9*($H$10*H242+$I$10*I242+$J$10*J242+$K$10*K242+$L$10*L242))</x:f>
        <x:v>0.4968532652708405</x:v>
      </x:c>
      <x:c r="AI242" s="59" t="n">
        <x:f>'_曲线基线'!$L$4+AI$9*($H$10*H242+$I$10*I242+$J$10*J242+$K$10*K242+$L$10*L242)</x:f>
        <x:v>3.2448055246830556</x:v>
      </x:c>
      <x:c r="AJ242" s="59" t="n">
        <x:f>1+AJ$9*($H$10*H242+$I$10*I242+$J$10*J242+$K$10*K242+$L$10*L242)</x:f>
        <x:v>2.0213788920476357</x:v>
      </x:c>
      <x:c r="AK242" s="59" t="n">
        <x:f>(1+AH242*(AI242-1))*AJ242</x:f>
        <x:v>4.275901512833212</x:v>
      </x:c>
      <x:c r="AL242" s="59" t="n">
        <x:f>U242*AD242*AK242*F242</x:f>
        <x:v>1950178.414117164</x:v>
      </x:c>
      <x:c r="AM242" s="59" t="n">
        <x:f>IF($B242&lt;AM$8,0,AM$3+(AM$4-AM$3)*(POWER(AM$5,$B242-AM$8)-1)/(POWER(AM$5,$C$5-AM$8)-1))</x:f>
        <x:v>46.895421368696354</x:v>
      </x:c>
      <x:c r="AN242" s="59" t="n">
        <x:f>(((E242*'模块规划'!$D$10+G242*'模块规划'!$D$11+H242*'模块规划'!$D$13)*(1+'模块规划'!$G$14*H242)+(I242*'模块规划'!$D$15+J242*'模块规划'!$D$17+K242*'模块规划'!$D$16+L242*'模块规划'!$D$18))*(1+'模块规划'!$J$17*J242))*F242/(1-Q242)</x:f>
        <x:v>2489234.3205727013</x:v>
      </x:c>
      <x:c r="AO242" s="59" t="n">
        <x:f>AL242*AM242</x:f>
        <x:v>91454438.47416042</x:v>
      </x:c>
      <x:c r="AP242" s="61" t="n">
        <x:f>IF(AO242="","",INDEX('_曲线基线'!$A$3:$A$502,MIN(ROWS('_曲线基线'!$A$3:$A$502),COUNTIF('_曲线基线'!$E$3:$E$502,"&lt;"&amp;AO242)+1)))</x:f>
        <x:v>286</x:v>
      </x:c>
      <x:c r="AQ242" s="61" t="n">
        <x:f>IF(B242&lt;=2,1,IF(B242&lt;=6,2,IF(B242&lt;=9,3,IF(B242&lt;=19,4,5))))</x:f>
        <x:v>5</x:v>
      </x:c>
      <x:c r="AR242" s="59" t="n">
        <x:f>AN242*(1-Q242)/F242*$AS$3+U242*$AS$4+P242*$AS$5</x:f>
        <x:v>16248.643583105766</x:v>
      </x:c>
      <x:c r="AS242" s="59" t="n">
        <x:f>1+AH242*$AS$6+AI242*$AS$7+(AJ242-1)*$AS$8+($H$10*H242+$I$10*I242+$J$10*J242+$K$10*K242+$L$10*L242)*$AU$3*$AS$9+($H$10*H242+$I$10*I242+$J$10*J242+$K$10*K242+$L$10*L242)*$AU$4*$AS$10</x:f>
        <x:v>16.7178394887716</x:v>
      </x:c>
      <x:c r="AT242" s="60" t="n">
        <x:f>ROUND(AR242*AS242,0)</x:f>
        <x:v>271642</x:v>
      </x:c>
      <x:c r="AU242" s="60" t="n">
        <x:f>ROUND(AT242*F242,0)</x:f>
        <x:v>1358210</x:v>
      </x:c>
      <x:c r="AV242" s="60" t="n">
        <x:f>MIN(MATCH(B242,'主线调参'!$M$11:$M$62,1),ROWS('主线调参'!$M$11:$M$62)-1)</x:f>
        <x:v>45</x:v>
      </x:c>
      <x:c r="AW242" s="62" t="n">
        <x:f>(B242-INDEX('主线调参'!$M$11:$M$62,AV242))/(INDEX('主线调参'!$M$11:$M$62,AV242+1)-INDEX('主线调参'!$M$11:$M$62,AV242))</x:f>
        <x:v>0.7857142857142857</x:v>
      </x:c>
      <x:c r="AX242" s="60" t="n">
        <x:f>IF(AU242=0,0,ROUND(AU242,2-INT(LOG10(ABS(AU242)))))</x:f>
        <x:v>1360000</x:v>
      </x:c>
      <x:c r="AY242" s="62" t="n">
        <x:f>AU242/AU241-1</x:f>
        <x:v>0.00402508935402679</x:v>
      </x:c>
    </x:row>
    <x:row r="243" ht="25" customHeight="1">
      <x:c r="A243" s="40" t="str">
        <x:f>'调前玩家曲线'!A243</x:f>
      </x:c>
      <x:c r="B243" s="40" t="n">
        <x:f>'调前玩家曲线'!B243</x:f>
        <x:v>232</x:v>
      </x:c>
      <x:c r="C243" s="40" t="n">
        <x:f>'调前玩家曲线'!C243</x:f>
        <x:v>16</x:v>
      </x:c>
      <x:c r="D243" s="40" t="n">
        <x:f>'调前玩家曲线'!D243</x:f>
        <x:v>13</x:v>
      </x:c>
      <x:c r="E243" s="40" t="n">
        <x:f>'调前玩家曲线'!E243</x:f>
        <x:v>1</x:v>
      </x:c>
      <x:c r="F243" s="40" t="n">
        <x:f>'调前玩家曲线'!F243</x:f>
        <x:v>5</x:v>
      </x:c>
      <x:c r="G243" s="63" t="n">
        <x:f>IF(B243&lt;$G$8,0,(INDEX('主线调参'!$C$11:$C$62,$AV243)+(INDEX('主线调参'!$C$11:$C$62,$AV243+1)-INDEX('主线调参'!$C$11:$C$62,$AV243))*$AW243)*'参数说明'!$C$27)</x:f>
        <x:v>0.845247930712992</x:v>
      </x:c>
      <x:c r="H243" s="63" t="n">
        <x:f>IF(B243&lt;$H$8,0,(INDEX('主线调参'!$D$11:$D$62,$AV243)+(INDEX('主线调参'!$D$11:$D$62,$AV243+1)-INDEX('主线调参'!$D$11:$D$62,$AV243))*$AW243)*'参数说明'!$D$27)</x:f>
        <x:v>0.6575342565525882</x:v>
      </x:c>
      <x:c r="I243" s="63" t="n">
        <x:f>IF(B243&lt;$I$8,0,(INDEX('主线调参'!$E$11:$E$62,$AV243)+(INDEX('主线调参'!$E$11:$E$62,$AV243+1)-INDEX('主线调参'!$E$11:$E$62,$AV243))*$AW243)*'参数说明'!$E$27)</x:f>
        <x:v>0.594575733760863</x:v>
      </x:c>
      <x:c r="J243" s="63" t="n">
        <x:f>IF(B243&lt;$J$8,0,(INDEX('主线调参'!$F$11:$F$62,$AV243)+(INDEX('主线调参'!$F$11:$F$62,$AV243+1)-INDEX('主线调参'!$F$11:$F$62,$AV243))*$AW243)*'参数说明'!$F$27)</x:f>
        <x:v>0.554205582425986</x:v>
      </x:c>
      <x:c r="K243" s="63" t="n">
        <x:f>IF(B243&lt;$K$8,0,(INDEX('主线调参'!$G$11:$G$62,$AV243)+(INDEX('主线调参'!$G$11:$G$62,$AV243+1)-INDEX('主线调参'!$G$11:$G$62,$AV243))*$AW243)*'参数说明'!$G$27)</x:f>
        <x:v>0.5805558415158563</x:v>
      </x:c>
      <x:c r="L243" s="63" t="n">
        <x:f>IF(B243&lt;$L$8,0,(INDEX('主线调参'!$H$11:$H$62,$AV243)+(INDEX('主线调参'!$H$11:$H$62,$AV243+1)-INDEX('主线调参'!$H$11:$H$62,$AV243))*$AW243)*'参数说明'!$H$27)</x:f>
        <x:v>0.6557865815951943</x:v>
      </x:c>
      <x:c r="M243" s="59" t="n">
        <x:f>E243*'模块规划'!$F$10+G243*'模块规划'!$F$11+H243*'模块规划'!$F$13</x:f>
        <x:v>5057.190067422362</x:v>
      </x:c>
      <x:c r="N243" s="59" t="n">
        <x:f>I243*'模块规划'!$F$15+J243*'模块规划'!$F$17+K243*'模块规划'!$F$16+L243*'模块规划'!$F$18</x:f>
        <x:v>17060.929651417875</x:v>
      </x:c>
      <x:c r="O243" s="59" t="n">
        <x:f>1+O$9*SUMPRODUCT($H$10:$L$10,H243:L243)/SUM($H$10:$L$10)</x:f>
        <x:v>3.2300646500868644</x:v>
      </x:c>
      <x:c r="P243" s="59" t="n">
        <x:f>M243*O243+N243</x:f>
        <x:v>33395.980516969255</x:v>
      </x:c>
      <x:c r="Q243" s="59" t="n">
        <x:f>P243/(P243+'_曲线基线'!$L$2)</x:f>
        <x:v>0.5818522519550939</x:v>
      </x:c>
      <x:c r="R243" s="59" t="n">
        <x:f>E243*'模块规划'!$E$10+G243*'模块规划'!$E$11+H243*'模块规划'!$E$13</x:f>
        <x:v>7585.785101133542</x:v>
      </x:c>
      <x:c r="S243" s="59" t="n">
        <x:f>I243*'模块规划'!$E$15+J243*'模块规划'!$E$17+K243*'模块规划'!$E$16+L243*'模块规划'!$E$18</x:f>
        <x:v>25591.39447712681</x:v>
      </x:c>
      <x:c r="T243" s="59" t="n">
        <x:f>1+T$9*SUMPRODUCT($H$10:$L$10,H243:L243)/SUM($H$10:$L$10)</x:f>
        <x:v>3.2300646500868644</x:v>
      </x:c>
      <x:c r="U243" s="59" t="n">
        <x:f>R243*T243+S243</x:f>
        <x:v>50093.970775453876</x:v>
      </x:c>
      <x:c r="V243" s="59" t="n">
        <x:f>V$8+(V$9-V$8)*H243</x:f>
        <x:v>0.8972602769657765</x:v>
      </x:c>
      <x:c r="W243" s="59" t="n">
        <x:f>IF(B243&lt;$H$8,0,W$8+(W$9-W$8)*H243)</x:f>
        <x:v>0.2630137026210353</x:v>
      </x:c>
      <x:c r="X243" s="59" t="n">
        <x:f>X$8+(X$9-X$8)*H243</x:f>
        <x:v>0.4558219205519618</x:v>
      </x:c>
      <x:c r="Y243" s="59" t="n">
        <x:f>Y$8+(Y$9-Y$8)*G243</x:f>
        <x:v>1</x:v>
      </x:c>
      <x:c r="Z243" s="59" t="n">
        <x:f>Z$8+(Z$9-Z$8)*H243</x:f>
        <x:v>1</x:v>
      </x:c>
      <x:c r="AA243" s="59" t="n">
        <x:f>AA$8+(AA$9-AA$8)*I243</x:f>
        <x:v>1</x:v>
      </x:c>
      <x:c r="AB243" s="59" t="n">
        <x:f>AB$8+(AB$9-AB$8)*J243</x:f>
        <x:v>1</x:v>
      </x:c>
      <x:c r="AC243" s="59" t="n">
        <x:f>AC$8+(AC$9-AC$8)*MAX(K243,L243)</x:f>
        <x:v>1</x:v>
      </x:c>
      <x:c r="AD243" s="59" t="n">
        <x:f>(V243*AE243+W243*AF243+X243*AG243)*PRODUCT(Y243:AC243)</x:f>
        <x:v>1.8268607131120986</x:v>
      </x:c>
      <x:c r="AE243" s="59" t="n">
        <x:f>1+AE$9*($H$10*H243+$I$10*I243+$J$10*J243+$K$10*K243+$L$10*L243)</x:f>
        <x:v>1</x:v>
      </x:c>
      <x:c r="AF243" s="59" t="n">
        <x:f>1+AF$9*($H$10*H243+$I$10*I243+$J$10*J243+$K$10*K243+$L$10*L243)</x:f>
        <x:v>1.196823519724266</x:v>
      </x:c>
      <x:c r="AG243" s="59" t="n">
        <x:f>1+AG$9*($H$10*H243+$I$10*I243+$J$10*J243+$K$10*K243+$L$10*L243)</x:f>
        <x:v>1.3488150155113408</x:v>
      </x:c>
      <x:c r="AH243" s="59" t="n">
        <x:f>MIN(1,'_曲线基线'!$L$3+AH$9*($H$10*H243+$I$10*I243+$J$10*J243+$K$10*K243+$L$10*L243))</x:f>
        <x:v>0.4977735073727045</x:v>
      </x:c>
      <x:c r="AI243" s="59" t="n">
        <x:f>'_曲线基线'!$L$4+AI$9*($H$10*H243+$I$10*I243+$J$10*J243+$K$10*K243+$L$10*L243)</x:f>
        <x:v>3.247369056252534</x:v>
      </x:c>
      <x:c r="AJ243" s="59" t="n">
        <x:f>1+AJ$9*($H$10*H243+$I$10*I243+$J$10*J243+$K$10*K243+$L$10*L243)</x:f>
        <x:v>2.023482302566182</x:v>
      </x:c>
      <x:c r="AK243" s="59" t="n">
        <x:f>(1+AH243*(AI243-1))*AJ243</x:f>
        <x:v>4.287113058041631</x:v>
      </x:c>
      <x:c r="AL243" s="59" t="n">
        <x:f>U243*AD243*AK243*F243</x:f>
        <x:v>1961669.4806310316</x:v>
      </x:c>
      <x:c r="AM243" s="59" t="n">
        <x:f>IF($B243&lt;AM$8,0,AM$3+(AM$4-AM$3)*(POWER(AM$5,$B243-AM$8)-1)/(POWER(AM$5,$C$5-AM$8)-1))</x:f>
        <x:v>47.02780022230518</x:v>
      </x:c>
      <x:c r="AN243" s="59" t="n">
        <x:f>(((E243*'模块规划'!$D$10+G243*'模块规划'!$D$11+H243*'模块规划'!$D$13)*(1+'模块规划'!$G$14*H243)+(I243*'模块规划'!$D$15+J243*'模块规划'!$D$17+K243*'模块规划'!$D$16+L243*'模块规划'!$D$18))*(1+'模块规划'!$J$17*J243))*F243/(1-Q243)</x:f>
        <x:v>2499760.4214552296</x:v>
      </x:c>
      <x:c r="AO243" s="59" t="n">
        <x:f>AL243*AM243</x:f>
        <x:v>92253000.43730931</x:v>
      </x:c>
      <x:c r="AP243" s="61" t="n">
        <x:f>IF(AO243="","",INDEX('_曲线基线'!$A$3:$A$502,MIN(ROWS('_曲线基线'!$A$3:$A$502),COUNTIF('_曲线基线'!$E$3:$E$502,"&lt;"&amp;AO243)+1)))</x:f>
        <x:v>287</x:v>
      </x:c>
      <x:c r="AQ243" s="61" t="n">
        <x:f>IF(B243&lt;=2,1,IF(B243&lt;=6,2,IF(B243&lt;=9,3,IF(B243&lt;=19,4,5))))</x:f>
        <x:v>5</x:v>
      </x:c>
      <x:c r="AR243" s="59" t="n">
        <x:f>AN243*(1-Q243)/F243*$AS$3+U243*$AS$4+P243*$AS$5</x:f>
        <x:v>16290.409300390515</x:v>
      </x:c>
      <x:c r="AS243" s="59" t="n">
        <x:f>1+AH243*$AS$6+AI243*$AS$7+(AJ243-1)*$AS$8+($H$10*H243+$I$10*I243+$J$10*J243+$K$10*K243+$L$10*L243)*$AU$3*$AS$9+($H$10*H243+$I$10*I243+$J$10*J243+$K$10*K243+$L$10*L243)*$AU$4*$AS$10</x:f>
        <x:v>16.742008944249164</x:v>
      </x:c>
      <x:c r="AT243" s="60" t="n">
        <x:f>ROUND(AR243*AS243,0)</x:f>
        <x:v>272734</x:v>
      </x:c>
      <x:c r="AU243" s="60" t="n">
        <x:f>ROUND(AT243*F243,0)</x:f>
        <x:v>1363670</x:v>
      </x:c>
      <x:c r="AV243" s="60" t="n">
        <x:f>MIN(MATCH(B243,'主线调参'!$M$11:$M$62,1),ROWS('主线调参'!$M$11:$M$62)-1)</x:f>
        <x:v>45</x:v>
      </x:c>
      <x:c r="AW243" s="62" t="n">
        <x:f>(B243-INDEX('主线调参'!$M$11:$M$62,AV243))/(INDEX('主线调参'!$M$11:$M$62,AV243+1)-INDEX('主线调参'!$M$11:$M$62,AV243))</x:f>
        <x:v>0.8571428571428571</x:v>
      </x:c>
      <x:c r="AX243" s="60" t="n">
        <x:f>IF(AU243=0,0,ROUND(AU243,2-INT(LOG10(ABS(AU243)))))</x:f>
        <x:v>1360000</x:v>
      </x:c>
      <x:c r="AY243" s="62" t="n">
        <x:f>AU243/AU242-1</x:f>
        <x:v>0.004019996907694612</x:v>
      </x:c>
    </x:row>
    <x:row r="244" ht="25" customHeight="1">
      <x:c r="A244" s="40" t="str">
        <x:f>'调前玩家曲线'!A244</x:f>
      </x:c>
      <x:c r="B244" s="40" t="n">
        <x:f>'调前玩家曲线'!B244</x:f>
        <x:v>233</x:v>
      </x:c>
      <x:c r="C244" s="40" t="n">
        <x:f>'调前玩家曲线'!C244</x:f>
        <x:v>16</x:v>
      </x:c>
      <x:c r="D244" s="40" t="n">
        <x:f>'调前玩家曲线'!D244</x:f>
        <x:v>14</x:v>
      </x:c>
      <x:c r="E244" s="40" t="n">
        <x:f>'调前玩家曲线'!E244</x:f>
        <x:v>1</x:v>
      </x:c>
      <x:c r="F244" s="40" t="n">
        <x:f>'调前玩家曲线'!F244</x:f>
        <x:v>5</x:v>
      </x:c>
      <x:c r="G244" s="63" t="n">
        <x:f>IF(B244&lt;$G$8,0,(INDEX('主线调参'!$C$11:$C$62,$AV244)+(INDEX('主线调参'!$C$11:$C$62,$AV244+1)-INDEX('主线调参'!$C$11:$C$62,$AV244))*$AW244)*'参数说明'!$C$27)</x:f>
        <x:v>0.84652868180634</x:v>
      </x:c>
      <x:c r="H244" s="63" t="n">
        <x:f>IF(B244&lt;$H$8,0,(INDEX('主线调参'!$D$11:$D$62,$AV244)+(INDEX('主线调参'!$D$11:$D$62,$AV244+1)-INDEX('主线调参'!$D$11:$D$62,$AV244))*$AW244)*'参数说明'!$D$27)</x:f>
        <x:v>0.6585022710600037</x:v>
      </x:c>
      <x:c r="I244" s="63" t="n">
        <x:f>IF(B244&lt;$I$8,0,(INDEX('主线调参'!$E$11:$E$62,$AV244)+(INDEX('主线调参'!$E$11:$E$62,$AV244+1)-INDEX('主线调参'!$E$11:$E$62,$AV244))*$AW244)*'参数说明'!$E$27)</x:f>
        <x:v>0.5959207831455624</x:v>
      </x:c>
      <x:c r="J244" s="63" t="n">
        <x:f>IF(B244&lt;$J$8,0,(INDEX('主线调参'!$F$11:$F$62,$AV244)+(INDEX('主线调参'!$F$11:$F$62,$AV244+1)-INDEX('主线调参'!$F$11:$F$62,$AV244))*$AW244)*'参数说明'!$F$27)</x:f>
        <x:v>0.555263234420197</x:v>
      </x:c>
      <x:c r="K244" s="63" t="n">
        <x:f>IF(B244&lt;$K$8,0,(INDEX('主线调参'!$G$11:$G$62,$AV244)+(INDEX('主线调参'!$G$11:$G$62,$AV244+1)-INDEX('主线调参'!$G$11:$G$62,$AV244))*$AW244)*'参数说明'!$G$27)</x:f>
        <x:v>0.5823814153918273</x:v>
      </x:c>
      <x:c r="L244" s="63" t="n">
        <x:f>IF(B244&lt;$L$8,0,(INDEX('主线调参'!$H$11:$H$62,$AV244)+(INDEX('主线调参'!$H$11:$H$62,$AV244+1)-INDEX('主线调参'!$H$11:$H$62,$AV244))*$AW244)*'参数说明'!$H$27)</x:f>
        <x:v>0.6568044999908587</x:v>
      </x:c>
      <x:c r="M244" s="59" t="n">
        <x:f>E244*'模块规划'!$F$10+G244*'模块规划'!$F$11+H244*'模块规划'!$F$13</x:f>
        <x:v>5063.337672670432</x:v>
      </x:c>
      <x:c r="N244" s="59" t="n">
        <x:f>I244*'模块规划'!$F$15+J244*'模块规划'!$F$17+K244*'模块规划'!$F$16+L244*'模块规划'!$F$18</x:f>
        <x:v>17098.309601671725</x:v>
      </x:c>
      <x:c r="O244" s="59" t="n">
        <x:f>1+O$9*SUMPRODUCT($H$10:$L$10,H244:L244)/SUM($H$10:$L$10)</x:f>
        <x:v>3.2346477693359907</x:v>
      </x:c>
      <x:c r="P244" s="59" t="n">
        <x:f>M244*O244+N244</x:f>
        <x:v>33476.42350997002</x:v>
      </x:c>
      <x:c r="Q244" s="59" t="n">
        <x:f>P244/(P244+'_曲线基线'!$L$2)</x:f>
        <x:v>0.5824374842001626</x:v>
      </x:c>
      <x:c r="R244" s="59" t="n">
        <x:f>E244*'模块规划'!$E$10+G244*'模块规划'!$E$11+H244*'模块规划'!$E$13</x:f>
        <x:v>7595.006509005648</x:v>
      </x:c>
      <x:c r="S244" s="59" t="n">
        <x:f>I244*'模块规划'!$E$15+J244*'模块规划'!$E$17+K244*'模块规划'!$E$16+L244*'模块规划'!$E$18</x:f>
        <x:v>25647.46440250759</x:v>
      </x:c>
      <x:c r="T244" s="59" t="n">
        <x:f>1+T$9*SUMPRODUCT($H$10:$L$10,H244:L244)/SUM($H$10:$L$10)</x:f>
        <x:v>3.2346477693359907</x:v>
      </x:c>
      <x:c r="U244" s="59" t="n">
        <x:f>R244*T244+S244</x:f>
        <x:v>50214.63526495504</x:v>
      </x:c>
      <x:c r="V244" s="59" t="n">
        <x:f>V$8+(V$9-V$8)*H244</x:f>
        <x:v>0.8975506813180011</x:v>
      </x:c>
      <x:c r="W244" s="59" t="n">
        <x:f>IF(B244&lt;$H$8,0,W$8+(W$9-W$8)*H244)</x:f>
        <x:v>0.2634009084240015</x:v>
      </x:c>
      <x:c r="X244" s="59" t="n">
        <x:f>X$8+(X$9-X$8)*H244</x:f>
        <x:v>0.45608812454150105</x:v>
      </x:c>
      <x:c r="Y244" s="59" t="n">
        <x:f>Y$8+(Y$9-Y$8)*G244</x:f>
        <x:v>1</x:v>
      </x:c>
      <x:c r="Z244" s="59" t="n">
        <x:f>Z$8+(Z$9-Z$8)*H244</x:f>
        <x:v>1</x:v>
      </x:c>
      <x:c r="AA244" s="59" t="n">
        <x:f>AA$8+(AA$9-AA$8)*I244</x:f>
        <x:v>1</x:v>
      </x:c>
      <x:c r="AB244" s="59" t="n">
        <x:f>AB$8+(AB$9-AB$8)*J244</x:f>
        <x:v>1</x:v>
      </x:c>
      <x:c r="AC244" s="59" t="n">
        <x:f>AC$8+(AC$9-AC$8)*MAX(K244,L244)</x:f>
        <x:v>1</x:v>
      </x:c>
      <x:c r="AD244" s="59" t="n">
        <x:f>(V244*AE244+W244*AF244+X244*AG244)*PRODUCT(Y244:AC244)</x:f>
        <x:v>1.8284070953564715</x:v>
      </x:c>
      <x:c r="AE244" s="59" t="n">
        <x:f>1+AE$9*($H$10*H244+$I$10*I244+$J$10*J244+$K$10*K244+$L$10*L244)</x:f>
        <x:v>1</x:v>
      </x:c>
      <x:c r="AF244" s="59" t="n">
        <x:f>1+AF$9*($H$10*H244+$I$10*I244+$J$10*J244+$K$10*K244+$L$10*L244)</x:f>
        <x:v>1.1972280217470632</x:v>
      </x:c>
      <x:c r="AG244" s="59" t="n">
        <x:f>1+AG$9*($H$10*H244+$I$10*I244+$J$10*J244+$K$10*K244+$L$10*L244)</x:f>
        <x:v>1.349531882985076</x:v>
      </x:c>
      <x:c r="AH244" s="59" t="n">
        <x:f>MIN(1,'_曲线基线'!$L$3+AH$9*($H$10*H244+$I$10*I244+$J$10*J244+$K$10*K244+$L$10*L244))</x:f>
        <x:v>0.49869374947456857</x:v>
      </x:c>
      <x:c r="AI244" s="59" t="n">
        <x:f>'_曲线基线'!$L$4+AI$9*($H$10*H244+$I$10*I244+$J$10*J244+$K$10*K244+$L$10*L244)</x:f>
        <x:v>3.2499325878220127</x:v>
      </x:c>
      <x:c r="AJ244" s="59" t="n">
        <x:f>1+AJ$9*($H$10*H244+$I$10*I244+$J$10*J244+$K$10*K244+$L$10*L244)</x:f>
        <x:v>2.0255857130847286</x:v>
      </x:c>
      <x:c r="AK244" s="59" t="n">
        <x:f>(1+AH244*(AI244-1))*AJ244</x:f>
        <x:v>4.298348218695578</x:v>
      </x:c>
      <x:c r="AL244" s="59" t="n">
        <x:f>U244*AD244*AK244*F244</x:f>
        <x:v>1973216.8280025753</x:v>
      </x:c>
      <x:c r="AM244" s="59" t="n">
        <x:f>IF($B244&lt;AM$8,0,AM$3+(AM$4-AM$3)*(POWER(AM$5,$B244-AM$8)-1)/(POWER(AM$5,$C$5-AM$8)-1))</x:f>
        <x:v>47.16150286445011</x:v>
      </x:c>
      <x:c r="AN244" s="59" t="n">
        <x:f>(((E244*'模块规划'!$D$10+G244*'模块规划'!$D$11+H244*'模块规划'!$D$13)*(1+'模块规划'!$G$14*H244)+(I244*'模块规划'!$D$15+J244*'模块规划'!$D$17+K244*'模块规划'!$D$16+L244*'模块规划'!$D$18))*(1+'模块规划'!$J$17*J244))*F244/(1-Q244)</x:f>
        <x:v>2510317.5944726556</x:v>
      </x:c>
      <x:c r="AO244" s="59" t="n">
        <x:f>AL244*AM244</x:f>
        <x:v>93059871.08602461</x:v>
      </x:c>
      <x:c r="AP244" s="61" t="n">
        <x:f>IF(AO244="","",INDEX('_曲线基线'!$A$3:$A$502,MIN(ROWS('_曲线基线'!$A$3:$A$502),COUNTIF('_曲线基线'!$E$3:$E$502,"&lt;"&amp;AO244)+1)))</x:f>
        <x:v>288</x:v>
      </x:c>
      <x:c r="AQ244" s="61" t="n">
        <x:f>IF(B244&lt;=2,1,IF(B244&lt;=6,2,IF(B244&lt;=9,3,IF(B244&lt;=19,4,5))))</x:f>
        <x:v>5</x:v>
      </x:c>
      <x:c r="AR244" s="59" t="n">
        <x:f>AN244*(1-Q244)/F244*$AS$3+U244*$AS$4+P244*$AS$5</x:f>
        <x:v>16332.214234218594</x:v>
      </x:c>
      <x:c r="AS244" s="59" t="n">
        <x:f>1+AH244*$AS$6+AI244*$AS$7+(AJ244-1)*$AS$8+($H$10*H244+$I$10*I244+$J$10*J244+$K$10*K244+$L$10*L244)*$AU$3*$AS$9+($H$10*H244+$I$10*I244+$J$10*J244+$K$10*K244+$L$10*L244)*$AU$4*$AS$10</x:f>
        <x:v>16.76617839972673</x:v>
      </x:c>
      <x:c r="AT244" s="60" t="n">
        <x:f>ROUND(AR244*AS244,0)</x:f>
        <x:v>273829</x:v>
      </x:c>
      <x:c r="AU244" s="60" t="n">
        <x:f>ROUND(AT244*F244,0)</x:f>
        <x:v>1369145</x:v>
      </x:c>
      <x:c r="AV244" s="60" t="n">
        <x:f>MIN(MATCH(B244,'主线调参'!$M$11:$M$62,1),ROWS('主线调参'!$M$11:$M$62)-1)</x:f>
        <x:v>45</x:v>
      </x:c>
      <x:c r="AW244" s="62" t="n">
        <x:f>(B244-INDEX('主线调参'!$M$11:$M$62,AV244))/(INDEX('主线调参'!$M$11:$M$62,AV244+1)-INDEX('主线调参'!$M$11:$M$62,AV244))</x:f>
        <x:v>0.9285714285714286</x:v>
      </x:c>
      <x:c r="AX244" s="60" t="n">
        <x:f>IF(AU244=0,0,ROUND(AU244,2-INT(LOG10(ABS(AU244)))))</x:f>
        <x:v>1370000</x:v>
      </x:c>
      <x:c r="AY244" s="62" t="n">
        <x:f>AU244/AU243-1</x:f>
        <x:v>0.004014900965776169</x:v>
      </x:c>
    </x:row>
    <x:row r="245" ht="25" customHeight="1">
      <x:c r="A245" s="40" t="str">
        <x:f>'调前玩家曲线'!A245</x:f>
      </x:c>
      <x:c r="B245" s="40" t="n">
        <x:f>'调前玩家曲线'!B245</x:f>
        <x:v>234</x:v>
      </x:c>
      <x:c r="C245" s="40" t="n">
        <x:f>'调前玩家曲线'!C245</x:f>
        <x:v>16</x:v>
      </x:c>
      <x:c r="D245" s="40" t="n">
        <x:f>'调前玩家曲线'!D245</x:f>
        <x:v>15</x:v>
      </x:c>
      <x:c r="E245" s="40" t="n">
        <x:f>'调前玩家曲线'!E245</x:f>
        <x:v>1</x:v>
      </x:c>
      <x:c r="F245" s="40" t="n">
        <x:f>'调前玩家曲线'!F245</x:f>
        <x:v>5</x:v>
      </x:c>
      <x:c r="G245" s="63" t="n">
        <x:f>IF(B245&lt;$G$8,0,(INDEX('主线调参'!$C$11:$C$62,$AV245)+(INDEX('主线调参'!$C$11:$C$62,$AV245+1)-INDEX('主线调参'!$C$11:$C$62,$AV245))*$AW245)*'参数说明'!$C$27)</x:f>
        <x:v>0.8478094328996881</x:v>
      </x:c>
      <x:c r="H245" s="63" t="n">
        <x:f>IF(B245&lt;$H$8,0,(INDEX('主线调参'!$D$11:$D$62,$AV245)+(INDEX('主线调参'!$D$11:$D$62,$AV245+1)-INDEX('主线调参'!$D$11:$D$62,$AV245))*$AW245)*'参数说明'!$D$27)</x:f>
        <x:v>0.659470285567419</x:v>
      </x:c>
      <x:c r="I245" s="63" t="n">
        <x:f>IF(B245&lt;$I$8,0,(INDEX('主线调参'!$E$11:$E$62,$AV245)+(INDEX('主线调参'!$E$11:$E$62,$AV245+1)-INDEX('主线调参'!$E$11:$E$62,$AV245))*$AW245)*'参数说明'!$E$27)</x:f>
        <x:v>0.5972658325302617</x:v>
      </x:c>
      <x:c r="J245" s="63" t="n">
        <x:f>IF(B245&lt;$J$8,0,(INDEX('主线调参'!$F$11:$F$62,$AV245)+(INDEX('主线调参'!$F$11:$F$62,$AV245+1)-INDEX('主线调参'!$F$11:$F$62,$AV245))*$AW245)*'参数说明'!$F$27)</x:f>
        <x:v>0.5563208864144079</x:v>
      </x:c>
      <x:c r="K245" s="63" t="n">
        <x:f>IF(B245&lt;$K$8,0,(INDEX('主线调参'!$G$11:$G$62,$AV245)+(INDEX('主线调参'!$G$11:$G$62,$AV245+1)-INDEX('主线调参'!$G$11:$G$62,$AV245))*$AW245)*'参数说明'!$G$27)</x:f>
        <x:v>0.5842069892677983</x:v>
      </x:c>
      <x:c r="L245" s="63" t="n">
        <x:f>IF(B245&lt;$L$8,0,(INDEX('主线调参'!$H$11:$H$62,$AV245)+(INDEX('主线调参'!$H$11:$H$62,$AV245+1)-INDEX('主线调参'!$H$11:$H$62,$AV245))*$AW245)*'参数说明'!$H$27)</x:f>
        <x:v>0.6578224183865231</x:v>
      </x:c>
      <x:c r="M245" s="59" t="n">
        <x:f>E245*'模块规划'!$F$10+G245*'模块规划'!$F$11+H245*'模块规划'!$F$13</x:f>
        <x:v>5069.485277918503</x:v>
      </x:c>
      <x:c r="N245" s="59" t="n">
        <x:f>I245*'模块规划'!$F$15+J245*'模块规划'!$F$17+K245*'模块规划'!$F$16+L245*'模块规划'!$F$18</x:f>
        <x:v>17135.68955192558</x:v>
      </x:c>
      <x:c r="O245" s="59" t="n">
        <x:f>1+O$9*SUMPRODUCT($H$10:$L$10,H245:L245)/SUM($H$10:$L$10)</x:f>
        <x:v>3.239230888585116</x:v>
      </x:c>
      <x:c r="P245" s="59" t="n">
        <x:f>M245*O245+N245</x:f>
        <x:v>33556.9228533867</x:v>
      </x:c>
      <x:c r="Q245" s="59" t="n">
        <x:f>P245/(P245+'_曲线基线'!$L$2)</x:f>
        <x:v>0.5830214888114398</x:v>
      </x:c>
      <x:c r="R245" s="59" t="n">
        <x:f>E245*'模块规划'!$E$10+G245*'模块规划'!$E$11+H245*'模块规划'!$E$13</x:f>
        <x:v>7604.227916877755</x:v>
      </x:c>
      <x:c r="S245" s="59" t="n">
        <x:f>I245*'模块规划'!$E$15+J245*'模块规划'!$E$17+K245*'模块规划'!$E$16+L245*'模块规划'!$E$18</x:f>
        <x:v>25703.534327888367</x:v>
      </x:c>
      <x:c r="T245" s="59" t="n">
        <x:f>1+T$9*SUMPRODUCT($H$10:$L$10,H245:L245)/SUM($H$10:$L$10)</x:f>
        <x:v>3.239230888585116</x:v>
      </x:c>
      <x:c r="U245" s="59" t="n">
        <x:f>R245*T245+S245</x:f>
        <x:v>50335.38428008005</x:v>
      </x:c>
      <x:c r="V245" s="59" t="n">
        <x:f>V$8+(V$9-V$8)*H245</x:f>
        <x:v>0.8978410856702257</x:v>
      </x:c>
      <x:c r="W245" s="59" t="n">
        <x:f>IF(B245&lt;$H$8,0,W$8+(W$9-W$8)*H245)</x:f>
        <x:v>0.26378811422696763</x:v>
      </x:c>
      <x:c r="X245" s="59" t="n">
        <x:f>X$8+(X$9-X$8)*H245</x:f>
        <x:v>0.4563543285310403</x:v>
      </x:c>
      <x:c r="Y245" s="59" t="n">
        <x:f>Y$8+(Y$9-Y$8)*G245</x:f>
        <x:v>1</x:v>
      </x:c>
      <x:c r="Z245" s="59" t="n">
        <x:f>Z$8+(Z$9-Z$8)*H245</x:f>
        <x:v>1</x:v>
      </x:c>
      <x:c r="AA245" s="59" t="n">
        <x:f>AA$8+(AA$9-AA$8)*I245</x:f>
        <x:v>1</x:v>
      </x:c>
      <x:c r="AB245" s="59" t="n">
        <x:f>AB$8+(AB$9-AB$8)*J245</x:f>
        <x:v>1</x:v>
      </x:c>
      <x:c r="AC245" s="59" t="n">
        <x:f>AC$8+(AC$9-AC$8)*MAX(K245,L245)</x:f>
        <x:v>1</x:v>
      </x:c>
      <x:c r="AD245" s="59" t="n">
        <x:f>(V245*AE245+W245*AF245+X245*AG245)*PRODUCT(Y245:AC245)</x:f>
        <x:v>1.8299541725178683</x:v>
      </x:c>
      <x:c r="AE245" s="59" t="n">
        <x:f>1+AE$9*($H$10*H245+$I$10*I245+$J$10*J245+$K$10*K245+$L$10*L245)</x:f>
        <x:v>1</x:v>
      </x:c>
      <x:c r="AF245" s="59" t="n">
        <x:f>1+AF$9*($H$10*H245+$I$10*I245+$J$10*J245+$K$10*K245+$L$10*L245)</x:f>
        <x:v>1.1976325237698606</x:v>
      </x:c>
      <x:c r="AG245" s="59" t="n">
        <x:f>1+AG$9*($H$10*H245+$I$10*I245+$J$10*J245+$K$10*K245+$L$10*L245)</x:f>
        <x:v>1.3502487504588112</x:v>
      </x:c>
      <x:c r="AH245" s="59" t="n">
        <x:f>MIN(1,'_曲线基线'!$L$3+AH$9*($H$10*H245+$I$10*I245+$J$10*J245+$K$10*K245+$L$10*L245))</x:f>
        <x:v>0.49961399157643244</x:v>
      </x:c>
      <x:c r="AI245" s="59" t="n">
        <x:f>'_曲线基线'!$L$4+AI$9*($H$10*H245+$I$10*I245+$J$10*J245+$K$10*K245+$L$10*L245)</x:f>
        <x:v>3.2524961193914903</x:v>
      </x:c>
      <x:c r="AJ245" s="59" t="n">
        <x:f>1+AJ$9*($H$10*H245+$I$10*I245+$J$10*J245+$K$10*K245+$L$10*L245)</x:f>
        <x:v>2.0276891236032744</x:v>
      </x:c>
      <x:c r="AK245" s="59" t="n">
        <x:f>(1+AH245*(AI245-1))*AJ245</x:f>
        <x:v>4.309607024567598</x:v>
      </x:c>
      <x:c r="AL245" s="59" t="n">
        <x:f>U245*AD245*AK245*F245</x:f>
        <x:v>1984820.6841522562</x:v>
      </x:c>
      <x:c r="AM245" s="59" t="n">
        <x:f>IF($B245&lt;AM$8,0,AM$3+(AM$4-AM$3)*(POWER(AM$5,$B245-AM$8)-1)/(POWER(AM$5,$C$5-AM$8)-1))</x:f>
        <x:v>47.29654253301648</x:v>
      </x:c>
      <x:c r="AN245" s="59" t="n">
        <x:f>(((E245*'模块规划'!$D$10+G245*'模块规划'!$D$11+H245*'模块规划'!$D$13)*(1+'模块规划'!$G$14*H245)+(I245*'模块规划'!$D$15+J245*'模块规划'!$D$17+K245*'模块规划'!$D$16+L245*'模块规划'!$D$18))*(1+'模块规划'!$J$17*J245))*F245/(1-Q245)</x:f>
        <x:v>2520905.900208281</x:v>
      </x:c>
      <x:c r="AO245" s="59" t="n">
        <x:f>AL245*AM245</x:f>
        <x:v>93875155.90841804</x:v>
      </x:c>
      <x:c r="AP245" s="61" t="n">
        <x:f>IF(AO245="","",INDEX('_曲线基线'!$A$3:$A$502,MIN(ROWS('_曲线基线'!$A$3:$A$502),COUNTIF('_曲线基线'!$E$3:$E$502,"&lt;"&amp;AO245)+1)))</x:f>
        <x:v>288</x:v>
      </x:c>
      <x:c r="AQ245" s="61" t="n">
        <x:f>IF(B245&lt;=2,1,IF(B245&lt;=6,2,IF(B245&lt;=9,3,IF(B245&lt;=19,4,5))))</x:f>
        <x:v>5</x:v>
      </x:c>
      <x:c r="AR245" s="59" t="n">
        <x:f>AN245*(1-Q245)/F245*$AS$3+U245*$AS$4+P245*$AS$5</x:f>
        <x:v>16374.058390707847</x:v>
      </x:c>
      <x:c r="AS245" s="59" t="n">
        <x:f>1+AH245*$AS$6+AI245*$AS$7+(AJ245-1)*$AS$8+($H$10*H245+$I$10*I245+$J$10*J245+$K$10*K245+$L$10*L245)*$AU$3*$AS$9+($H$10*H245+$I$10*I245+$J$10*J245+$K$10*K245+$L$10*L245)*$AU$4*$AS$10</x:f>
        <x:v>16.790347855204296</x:v>
      </x:c>
      <x:c r="AT245" s="60" t="n">
        <x:f>ROUND(AR245*AS245,0)</x:f>
        <x:v>274926</x:v>
      </x:c>
      <x:c r="AU245" s="60" t="n">
        <x:f>ROUND(AT245*F245,0)</x:f>
        <x:v>1374630</x:v>
      </x:c>
      <x:c r="AV245" s="60" t="n">
        <x:f>MIN(MATCH(B245,'主线调参'!$M$11:$M$62,1),ROWS('主线调参'!$M$11:$M$62)-1)</x:f>
        <x:v>46</x:v>
      </x:c>
      <x:c r="AW245" s="62" t="n">
        <x:f>(B245-INDEX('主线调参'!$M$11:$M$62,AV245))/(INDEX('主线调参'!$M$11:$M$62,AV245+1)-INDEX('主线调参'!$M$11:$M$62,AV245))</x:f>
        <x:v>0</x:v>
      </x:c>
      <x:c r="AX245" s="60" t="n">
        <x:f>IF(AU245=0,0,ROUND(AU245,2-INT(LOG10(ABS(AU245)))))</x:f>
        <x:v>1370000</x:v>
      </x:c>
      <x:c r="AY245" s="62" t="n">
        <x:f>AU245/AU244-1</x:f>
        <x:v>0.004006149823430061</x:v>
      </x:c>
    </x:row>
    <x:row r="246" ht="25" customHeight="1">
      <x:c r="A246" s="40" t="str">
        <x:f>'调前玩家曲线'!A246</x:f>
      </x:c>
      <x:c r="B246" s="40" t="n">
        <x:f>'调前玩家曲线'!B246</x:f>
        <x:v>235</x:v>
      </x:c>
      <x:c r="C246" s="40" t="n">
        <x:f>'调前玩家曲线'!C246</x:f>
        <x:v>17</x:v>
      </x:c>
      <x:c r="D246" s="40" t="n">
        <x:f>'调前玩家曲线'!D246</x:f>
        <x:v>1</x:v>
      </x:c>
      <x:c r="E246" s="40" t="n">
        <x:f>'调前玩家曲线'!E246</x:f>
        <x:v>1</x:v>
      </x:c>
      <x:c r="F246" s="40" t="n">
        <x:f>'调前玩家曲线'!F246</x:f>
        <x:v>5</x:v>
      </x:c>
      <x:c r="G246" s="63" t="n">
        <x:f>IF(B246&lt;$G$8,0,(INDEX('主线调参'!$C$11:$C$62,$AV246)+(INDEX('主线调参'!$C$11:$C$62,$AV246+1)-INDEX('主线调参'!$C$11:$C$62,$AV246))*$AW246)*'参数说明'!$C$27)</x:f>
        <x:v>0.8490532845352392</x:v>
      </x:c>
      <x:c r="H246" s="63" t="n">
        <x:f>IF(B246&lt;$H$8,0,(INDEX('主线调参'!$D$11:$D$62,$AV246)+(INDEX('主线调参'!$D$11:$D$62,$AV246+1)-INDEX('主线调参'!$D$11:$D$62,$AV246))*$AW246)*'参数说明'!$D$27)</x:f>
        <x:v>0.6604163798458846</x:v>
      </x:c>
      <x:c r="I246" s="63" t="n">
        <x:f>IF(B246&lt;$I$8,0,(INDEX('主线调参'!$E$11:$E$62,$AV246)+(INDEX('主线调参'!$E$11:$E$62,$AV246+1)-INDEX('主线调参'!$E$11:$E$62,$AV246))*$AW246)*'参数说明'!$E$27)</x:f>
        <x:v>0.5985545213019299</x:v>
      </x:c>
      <x:c r="J246" s="63" t="n">
        <x:f>IF(B246&lt;$J$8,0,(INDEX('主线调参'!$F$11:$F$62,$AV246)+(INDEX('主线调参'!$F$11:$F$62,$AV246+1)-INDEX('主线调参'!$F$11:$F$62,$AV246))*$AW246)*'参数说明'!$F$27)</x:f>
        <x:v>0.5573502228698907</x:v>
      </x:c>
      <x:c r="K246" s="63" t="n">
        <x:f>IF(B246&lt;$K$8,0,(INDEX('主线调参'!$G$11:$G$62,$AV246)+(INDEX('主线调参'!$G$11:$G$62,$AV246+1)-INDEX('主线调参'!$G$11:$G$62,$AV246))*$AW246)*'参数说明'!$G$27)</x:f>
        <x:v>0.5859142608315256</x:v>
      </x:c>
      <x:c r="L246" s="63" t="n">
        <x:f>IF(B246&lt;$L$8,0,(INDEX('主线调参'!$H$11:$H$62,$AV246)+(INDEX('主线调参'!$H$11:$H$62,$AV246+1)-INDEX('主线调参'!$H$11:$H$62,$AV246))*$AW246)*'参数说明'!$H$27)</x:f>
        <x:v>0.6588140931121469</x:v>
      </x:c>
      <x:c r="M246" s="59" t="n">
        <x:f>E246*'模块规划'!$F$10+G246*'模块规划'!$F$11+H246*'模块规划'!$F$13</x:f>
        <x:v>5075.455765769148</x:v>
      </x:c>
      <x:c r="N246" s="59" t="n">
        <x:f>I246*'模块规划'!$F$15+J246*'模块规划'!$F$17+K246*'模块规划'!$F$16+L246*'模块规划'!$F$18</x:f>
        <x:v>17171.494429664235</x:v>
      </x:c>
      <x:c r="O246" s="59" t="n">
        <x:f>1+O$9*SUMPRODUCT($H$10:$L$10,H246:L246)/SUM($H$10:$L$10)</x:f>
        <x:v>3.243638421176254</x:v>
      </x:c>
      <x:c r="P246" s="59" t="n">
        <x:f>M246*O246+N246</x:f>
        <x:v>33634.437756493586</x:v>
      </x:c>
      <x:c r="Q246" s="59" t="n">
        <x:f>P246/(P246+'_曲线基线'!$L$2)</x:f>
        <x:v>0.5835823001969693</x:v>
      </x:c>
      <x:c r="R246" s="59" t="n">
        <x:f>E246*'模块规划'!$E$10+G246*'模块规划'!$E$11+H246*'模块规划'!$E$13</x:f>
        <x:v>7613.183648653722</x:v>
      </x:c>
      <x:c r="S246" s="59" t="n">
        <x:f>I246*'模块规划'!$E$15+J246*'模块规划'!$E$17+K246*'模块规划'!$E$16+L246*'模块规划'!$E$18</x:f>
        <x:v>25757.241644496353</x:v>
      </x:c>
      <x:c r="T246" s="59" t="n">
        <x:f>1+T$9*SUMPRODUCT($H$10:$L$10,H246:L246)/SUM($H$10:$L$10)</x:f>
        <x:v>3.243638421176254</x:v>
      </x:c>
      <x:c r="U246" s="59" t="n">
        <x:f>R246*T246+S246</x:f>
        <x:v>50451.656634740386</x:v>
      </x:c>
      <x:c r="V246" s="59" t="n">
        <x:f>V$8+(V$9-V$8)*H246</x:f>
        <x:v>0.8981249139537654</x:v>
      </x:c>
      <x:c r="W246" s="59" t="n">
        <x:f>IF(B246&lt;$H$8,0,W$8+(W$9-W$8)*H246)</x:f>
        <x:v>0.26416655193835387</x:v>
      </x:c>
      <x:c r="X246" s="59" t="n">
        <x:f>X$8+(X$9-X$8)*H246</x:f>
        <x:v>0.4566145044576183</x:v>
      </x:c>
      <x:c r="Y246" s="59" t="n">
        <x:f>Y$8+(Y$9-Y$8)*G246</x:f>
        <x:v>1</x:v>
      </x:c>
      <x:c r="Z246" s="59" t="n">
        <x:f>Z$8+(Z$9-Z$8)*H246</x:f>
        <x:v>1</x:v>
      </x:c>
      <x:c r="AA246" s="59" t="n">
        <x:f>AA$8+(AA$9-AA$8)*I246</x:f>
        <x:v>1</x:v>
      </x:c>
      <x:c r="AB246" s="59" t="n">
        <x:f>AB$8+(AB$9-AB$8)*J246</x:f>
        <x:v>1</x:v>
      </x:c>
      <x:c r="AC246" s="59" t="n">
        <x:f>AC$8+(AC$9-AC$8)*MAX(K246,L246)</x:f>
        <x:v>1</x:v>
      </x:c>
      <x:c r="AD246" s="59" t="n">
        <x:f>(V246*AE246+W246*AF246+X246*AG246)*PRODUCT(Y246:AC246)</x:f>
        <x:v>1.8314600858842938</x:v>
      </x:c>
      <x:c r="AE246" s="59" t="n">
        <x:f>1+AE$9*($H$10*H246+$I$10*I246+$J$10*J246+$K$10*K246+$L$10*L246)</x:f>
        <x:v>1</x:v>
      </x:c>
      <x:c r="AF246" s="59" t="n">
        <x:f>1+AF$9*($H$10*H246+$I$10*I246+$J$10*J246+$K$10*K246+$L$10*L246)</x:f>
        <x:v>1.1980215286706168</x:v>
      </x:c>
      <x:c r="AG246" s="59" t="n">
        <x:f>1+AG$9*($H$10*H246+$I$10*I246+$J$10*J246+$K$10*K246+$L$10*L246)</x:f>
        <x:v>1.3509381535884848</x:v>
      </x:c>
      <x:c r="AH246" s="59" t="n">
        <x:f>MIN(1,'_曲线基线'!$L$3+AH$9*($H$10*H246+$I$10*I246+$J$10*J246+$K$10*K246+$L$10*L246))</x:f>
        <x:v>0.500498977725653</x:v>
      </x:c>
      <x:c r="AI246" s="59" t="n">
        <x:f>'_曲线基线'!$L$4+AI$9*($H$10*H246+$I$10*I246+$J$10*J246+$K$10*K246+$L$10*L246)</x:f>
        <x:v>3.2549614379500333</x:v>
      </x:c>
      <x:c r="AJ246" s="59" t="n">
        <x:f>1+AJ$9*($H$10*H246+$I$10*I246+$J$10*J246+$K$10*K246+$L$10*L246)</x:f>
        <x:v>2.029711949087207</x:v>
      </x:c>
      <x:c r="AK246" s="59" t="n">
        <x:f>(1+AH246*(AI246-1))*AJ246</x:f>
        <x:v>4.320456818973774</x:v>
      </x:c>
      <x:c r="AL246" s="59" t="n">
        <x:f>U246*AD246*AK246*F246</x:f>
        <x:v>1996055.2713067373</x:v>
      </x:c>
      <x:c r="AM246" s="59" t="n">
        <x:f>IF($B246&lt;AM$8,0,AM$3+(AM$4-AM$3)*(POWER(AM$5,$B246-AM$8)-1)/(POWER(AM$5,$C$5-AM$8)-1))</x:f>
        <x:v>47.43293259826851</x:v>
      </x:c>
      <x:c r="AN246" s="59" t="n">
        <x:f>(((E246*'模块规划'!$D$10+G246*'模块规划'!$D$11+H246*'模块规划'!$D$13)*(1+'模块规划'!$G$14*H246)+(I246*'模块规划'!$D$15+J246*'模块规划'!$D$17+K246*'模块规划'!$D$16+L246*'模块规划'!$D$18))*(1+'模块规划'!$J$17*J246))*F246/(1-Q246)</x:f>
        <x:v>2531144.1730032023</x:v>
      </x:c>
      <x:c r="AO246" s="59" t="n">
        <x:f>AL246*AM246</x:f>
        <x:v>94678755.14631103</x:v>
      </x:c>
      <x:c r="AP246" s="61" t="n">
        <x:f>IF(AO246="","",INDEX('_曲线基线'!$A$3:$A$502,MIN(ROWS('_曲线基线'!$A$3:$A$502),COUNTIF('_曲线基线'!$E$3:$E$502,"&lt;"&amp;AO246)+1)))</x:f>
        <x:v>289</x:v>
      </x:c>
      <x:c r="AQ246" s="61" t="n">
        <x:f>IF(B246&lt;=2,1,IF(B246&lt;=6,2,IF(B246&lt;=9,3,IF(B246&lt;=19,4,5))))</x:f>
        <x:v>5</x:v>
      </x:c>
      <x:c r="AR246" s="59" t="n">
        <x:f>AN246*(1-Q246)/F246*$AS$3+U246*$AS$4+P246*$AS$5</x:f>
        <x:v>16414.410733299104</x:v>
      </x:c>
      <x:c r="AS246" s="59" t="n">
        <x:f>1+AH246*$AS$6+AI246*$AS$7+(AJ246-1)*$AS$8+($H$10*H246+$I$10*I246+$J$10*J246+$K$10*K246+$L$10*L246)*$AU$3*$AS$9+($H$10*H246+$I$10*I246+$J$10*J246+$K$10*K246+$L$10*L246)*$AU$4*$AS$10</x:f>
        <x:v>16.8135913400313</x:v>
      </x:c>
      <x:c r="AT246" s="60" t="n">
        <x:f>ROUND(AR246*AS246,0)</x:f>
        <x:v>275985</x:v>
      </x:c>
      <x:c r="AU246" s="60" t="n">
        <x:f>ROUND(AT246*F246,0)</x:f>
        <x:v>1379925</x:v>
      </x:c>
      <x:c r="AV246" s="60" t="n">
        <x:f>MIN(MATCH(B246,'主线调参'!$M$11:$M$62,1),ROWS('主线调参'!$M$11:$M$62)-1)</x:f>
        <x:v>47</x:v>
      </x:c>
      <x:c r="AW246" s="62" t="n">
        <x:f>(B246-INDEX('主线调参'!$M$11:$M$62,AV246))/(INDEX('主线调参'!$M$11:$M$62,AV246+1)-INDEX('主线调参'!$M$11:$M$62,AV246))</x:f>
        <x:v>0</x:v>
      </x:c>
      <x:c r="AX246" s="60" t="n">
        <x:f>IF(AU246=0,0,ROUND(AU246,2-INT(LOG10(ABS(AU246)))))</x:f>
        <x:v>1380000</x:v>
      </x:c>
      <x:c r="AY246" s="62" t="n">
        <x:f>AU246/AU245-1</x:f>
        <x:v>0.0038519456144563424</x:v>
      </x:c>
    </x:row>
    <x:row r="247" ht="25" customHeight="1">
      <x:c r="A247" s="40" t="str">
        <x:f>'调前玩家曲线'!A247</x:f>
      </x:c>
      <x:c r="B247" s="40" t="n">
        <x:f>'调前玩家曲线'!B247</x:f>
        <x:v>236</x:v>
      </x:c>
      <x:c r="C247" s="40" t="n">
        <x:f>'调前玩家曲线'!C247</x:f>
        <x:v>17</x:v>
      </x:c>
      <x:c r="D247" s="40" t="n">
        <x:f>'调前玩家曲线'!D247</x:f>
        <x:v>2</x:v>
      </x:c>
      <x:c r="E247" s="40" t="n">
        <x:f>'调前玩家曲线'!E247</x:f>
        <x:v>1</x:v>
      </x:c>
      <x:c r="F247" s="40" t="n">
        <x:f>'调前玩家曲线'!F247</x:f>
        <x:v>5</x:v>
      </x:c>
      <x:c r="G247" s="63" t="n">
        <x:f>IF(B247&lt;$G$8,0,(INDEX('主线调参'!$C$11:$C$62,$AV247)+(INDEX('主线调参'!$C$11:$C$62,$AV247+1)-INDEX('主线调参'!$C$11:$C$62,$AV247))*$AW247)*'参数说明'!$C$27)</x:f>
        <x:v>0.850264675886671</x:v>
      </x:c>
      <x:c r="H247" s="63" t="n">
        <x:f>IF(B247&lt;$H$8,0,(INDEX('主线调参'!$D$11:$D$62,$AV247)+(INDEX('主线调参'!$D$11:$D$62,$AV247+1)-INDEX('主线调参'!$D$11:$D$62,$AV247))*$AW247)*'参数说明'!$D$27)</x:f>
        <x:v>0.6613441363348889</x:v>
      </x:c>
      <x:c r="I247" s="63" t="n">
        <x:f>IF(B247&lt;$I$8,0,(INDEX('主线调参'!$E$11:$E$62,$AV247)+(INDEX('主线调参'!$E$11:$E$62,$AV247+1)-INDEX('主线调参'!$E$11:$E$62,$AV247))*$AW247)*'参数说明'!$E$27)</x:f>
        <x:v>0.5997960605179031</x:v>
      </x:c>
      <x:c r="J247" s="63" t="n">
        <x:f>IF(B247&lt;$J$8,0,(INDEX('主线调参'!$F$11:$F$62,$AV247)+(INDEX('主线调参'!$F$11:$F$62,$AV247+1)-INDEX('主线调参'!$F$11:$F$62,$AV247))*$AW247)*'参数说明'!$F$27)</x:f>
        <x:v>0.5583558714164136</x:v>
      </x:c>
      <x:c r="K247" s="63" t="n">
        <x:f>IF(B247&lt;$K$8,0,(INDEX('主线调参'!$G$11:$G$62,$AV247)+(INDEX('主线调参'!$G$11:$G$62,$AV247+1)-INDEX('主线调参'!$G$11:$G$62,$AV247))*$AW247)*'参数说明'!$G$27)</x:f>
        <x:v>0.5875225643187896</x:v>
      </x:c>
      <x:c r="L247" s="63" t="n">
        <x:f>IF(B247&lt;$L$8,0,(INDEX('主线调参'!$H$11:$H$62,$AV247)+(INDEX('主线调参'!$H$11:$H$62,$AV247+1)-INDEX('主线调参'!$H$11:$H$62,$AV247))*$AW247)*'参数说明'!$H$27)</x:f>
        <x:v>0.659783813190442</x:v>
      </x:c>
      <x:c r="M247" s="59" t="n">
        <x:f>E247*'模块规划'!$F$10+G247*'模块规划'!$F$11+H247*'模块规划'!$F$13</x:f>
        <x:v>5081.270444256021</x:v>
      </x:c>
      <x:c r="N247" s="59" t="n">
        <x:f>I247*'模块规划'!$F$15+J247*'模块规划'!$F$17+K247*'模块规划'!$F$16+L247*'模块规划'!$F$18</x:f>
        <x:v>17205.98165017231</x:v>
      </x:c>
      <x:c r="O247" s="59" t="n">
        <x:f>1+O$9*SUMPRODUCT($H$10:$L$10,H247:L247)/SUM($H$10:$L$10)</x:f>
        <x:v>3.247899063368846</x:v>
      </x:c>
      <x:c r="P247" s="59" t="n">
        <x:f>M247*O247+N247</x:f>
        <x:v>33709.43516679524</x:v>
      </x:c>
      <x:c r="Q247" s="59" t="n">
        <x:f>P247/(P247+'_曲线基线'!$L$2)</x:f>
        <x:v>0.5841234638558882</x:v>
      </x:c>
      <x:c r="R247" s="59" t="n">
        <x:f>E247*'模块规划'!$E$10+G247*'模块规划'!$E$11+H247*'模块规划'!$E$13</x:f>
        <x:v>7621.905666384031</x:v>
      </x:c>
      <x:c r="S247" s="59" t="n">
        <x:f>I247*'模块规划'!$E$15+J247*'模块规划'!$E$17+K247*'模块规划'!$E$16+L247*'模块规划'!$E$18</x:f>
        <x:v>25808.97247525846</x:v>
      </x:c>
      <x:c r="T247" s="59" t="n">
        <x:f>1+T$9*SUMPRODUCT($H$10:$L$10,H247:L247)/SUM($H$10:$L$10)</x:f>
        <x:v>3.247899063368846</x:v>
      </x:c>
      <x:c r="U247" s="59" t="n">
        <x:f>R247*T247+S247</x:f>
        <x:v>50564.15275019285</x:v>
      </x:c>
      <x:c r="V247" s="59" t="n">
        <x:f>V$8+(V$9-V$8)*H247</x:f>
        <x:v>0.8984032409004666</x:v>
      </x:c>
      <x:c r="W247" s="59" t="n">
        <x:f>IF(B247&lt;$H$8,0,W$8+(W$9-W$8)*H247)</x:f>
        <x:v>0.26453765453395556</x:v>
      </x:c>
      <x:c r="X247" s="59" t="n">
        <x:f>X$8+(X$9-X$8)*H247</x:f>
        <x:v>0.45686963749209447</x:v>
      </x:c>
      <x:c r="Y247" s="59" t="n">
        <x:f>Y$8+(Y$9-Y$8)*G247</x:f>
        <x:v>1</x:v>
      </x:c>
      <x:c r="Z247" s="59" t="n">
        <x:f>Z$8+(Z$9-Z$8)*H247</x:f>
        <x:v>1</x:v>
      </x:c>
      <x:c r="AA247" s="59" t="n">
        <x:f>AA$8+(AA$9-AA$8)*I247</x:f>
        <x:v>1</x:v>
      </x:c>
      <x:c r="AB247" s="59" t="n">
        <x:f>AB$8+(AB$9-AB$8)*J247</x:f>
        <x:v>1</x:v>
      </x:c>
      <x:c r="AC247" s="59" t="n">
        <x:f>AC$8+(AC$9-AC$8)*MAX(K247,L247)</x:f>
        <x:v>1</x:v>
      </x:c>
      <x:c r="AD247" s="59" t="n">
        <x:f>(V247*AE247+W247*AF247+X247*AG247)*PRODUCT(Y247:AC247)</x:f>
        <x:v>1.8329316179490935</x:v>
      </x:c>
      <x:c r="AE247" s="59" t="n">
        <x:f>1+AE$9*($H$10*H247+$I$10*I247+$J$10*J247+$K$10*K247+$L$10*L247)</x:f>
        <x:v>1</x:v>
      </x:c>
      <x:c r="AF247" s="59" t="n">
        <x:f>1+AF$9*($H$10*H247+$I$10*I247+$J$10*J247+$K$10*K247+$L$10*L247)</x:f>
        <x:v>1.198397569155631</x:v>
      </x:c>
      <x:c r="AG247" s="59" t="n">
        <x:f>1+AG$9*($H$10*H247+$I$10*I247+$J$10*J247+$K$10*K247+$L$10*L247)</x:f>
        <x:v>1.3516045808924821</x:v>
      </x:c>
      <x:c r="AH247" s="59" t="n">
        <x:f>MIN(1,'_曲线基线'!$L$3+AH$9*($H$10*H247+$I$10*I247+$J$10*J247+$K$10*K247+$L$10*L247))</x:f>
        <x:v>0.5013544698290603</x:v>
      </x:c>
      <x:c r="AI247" s="59" t="n">
        <x:f>'_曲线基线'!$L$4+AI$9*($H$10*H247+$I$10*I247+$J$10*J247+$K$10*K247+$L$10*L247)</x:f>
        <x:v>3.257344594523811</x:v>
      </x:c>
      <x:c r="AJ247" s="59" t="n">
        <x:f>1+AJ$9*($H$10*H247+$I$10*I247+$J$10*J247+$K$10*K247+$L$10*L247)</x:f>
        <x:v>2.0316673596092807</x:v>
      </x:c>
      <x:c r="AK247" s="59" t="n">
        <x:f>(1+AH247*(AI247-1))*AJ247</x:f>
        <x:v>4.330965859060666</x:v>
      </x:c>
      <x:c r="AL247" s="59" t="n">
        <x:f>U247*AD247*AK247*F247</x:f>
        <x:v>2006983.3149772575</x:v>
      </x:c>
      <x:c r="AM247" s="59" t="n">
        <x:f>IF($B247&lt;AM$8,0,AM$3+(AM$4-AM$3)*(POWER(AM$5,$B247-AM$8)-1)/(POWER(AM$5,$C$5-AM$8)-1))</x:f>
        <x:v>47.57068656417306</x:v>
      </x:c>
      <x:c r="AN247" s="59" t="n">
        <x:f>(((E247*'模块规划'!$D$10+G247*'模块规划'!$D$11+H247*'模块规划'!$D$13)*(1+'模块规划'!$G$14*H247)+(I247*'模块规划'!$D$15+J247*'模块规划'!$D$17+K247*'模块规划'!$D$16+L247*'模块规划'!$D$18))*(1+'模块规划'!$J$17*J247))*F247/(1-Q247)</x:f>
        <x:v>2541089.477357117</x:v>
      </x:c>
      <x:c r="AO247" s="59" t="n">
        <x:f>AL247*AM247</x:f>
        <x:v>95473574.21630813</x:v>
      </x:c>
      <x:c r="AP247" s="61" t="n">
        <x:f>IF(AO247="","",INDEX('_曲线基线'!$A$3:$A$502,MIN(ROWS('_曲线基线'!$A$3:$A$502),COUNTIF('_曲线基线'!$E$3:$E$502,"&lt;"&amp;AO247)+1)))</x:f>
        <x:v>290</x:v>
      </x:c>
      <x:c r="AQ247" s="61" t="n">
        <x:f>IF(B247&lt;=2,1,IF(B247&lt;=6,2,IF(B247&lt;=9,3,IF(B247&lt;=19,4,5))))</x:f>
        <x:v>5</x:v>
      </x:c>
      <x:c r="AR247" s="59" t="n">
        <x:f>AN247*(1-Q247)/F247*$AS$3+U247*$AS$4+P247*$AS$5</x:f>
        <x:v>16453.507489291747</x:v>
      </x:c>
      <x:c r="AS247" s="59" t="n">
        <x:f>1+AH247*$AS$6+AI247*$AS$7+(AJ247-1)*$AS$8+($H$10*H247+$I$10*I247+$J$10*J247+$K$10*K247+$L$10*L247)*$AU$3*$AS$9+($H$10*H247+$I$10*I247+$J$10*J247+$K$10*K247+$L$10*L247)*$AU$4*$AS$10</x:f>
        <x:v>16.836060186286897</x:v>
      </x:c>
      <x:c r="AT247" s="60" t="n">
        <x:f>ROUND(AR247*AS247,0)</x:f>
        <x:v>277012</x:v>
      </x:c>
      <x:c r="AU247" s="60" t="n">
        <x:f>ROUND(AT247*F247,0)</x:f>
        <x:v>1385060</x:v>
      </x:c>
      <x:c r="AV247" s="60" t="n">
        <x:f>MIN(MATCH(B247,'主线调参'!$M$11:$M$62,1),ROWS('主线调参'!$M$11:$M$62)-1)</x:f>
        <x:v>47</x:v>
      </x:c>
      <x:c r="AW247" s="62" t="n">
        <x:f>(B247-INDEX('主线调参'!$M$11:$M$62,AV247))/(INDEX('主线调参'!$M$11:$M$62,AV247+1)-INDEX('主线调参'!$M$11:$M$62,AV247))</x:f>
        <x:v>0.07142857142857142</x:v>
      </x:c>
      <x:c r="AX247" s="60" t="n">
        <x:f>IF(AU247=0,0,ROUND(AU247,2-INT(LOG10(ABS(AU247)))))</x:f>
        <x:v>1390000</x:v>
      </x:c>
      <x:c r="AY247" s="62" t="n">
        <x:f>AU247/AU246-1</x:f>
        <x:v>0.003721216732793353</x:v>
      </x:c>
    </x:row>
    <x:row r="248" ht="25" customHeight="1">
      <x:c r="A248" s="40" t="str">
        <x:f>'调前玩家曲线'!A248</x:f>
      </x:c>
      <x:c r="B248" s="40" t="n">
        <x:f>'调前玩家曲线'!B248</x:f>
        <x:v>237</x:v>
      </x:c>
      <x:c r="C248" s="40" t="n">
        <x:f>'调前玩家曲线'!C248</x:f>
        <x:v>17</x:v>
      </x:c>
      <x:c r="D248" s="40" t="n">
        <x:f>'调前玩家曲线'!D248</x:f>
        <x:v>3</x:v>
      </x:c>
      <x:c r="E248" s="40" t="n">
        <x:f>'调前玩家曲线'!E248</x:f>
        <x:v>1</x:v>
      </x:c>
      <x:c r="F248" s="40" t="n">
        <x:f>'调前玩家曲线'!F248</x:f>
        <x:v>5</x:v>
      </x:c>
      <x:c r="G248" s="63" t="n">
        <x:f>IF(B248&lt;$G$8,0,(INDEX('主线调参'!$C$11:$C$62,$AV248)+(INDEX('主线调参'!$C$11:$C$62,$AV248+1)-INDEX('主线调参'!$C$11:$C$62,$AV248))*$AW248)*'参数说明'!$C$27)</x:f>
        <x:v>0.8514760672381028</x:v>
      </x:c>
      <x:c r="H248" s="63" t="n">
        <x:f>IF(B248&lt;$H$8,0,(INDEX('主线调参'!$D$11:$D$62,$AV248)+(INDEX('主线调参'!$D$11:$D$62,$AV248+1)-INDEX('主线调参'!$D$11:$D$62,$AV248))*$AW248)*'参数说明'!$D$27)</x:f>
        <x:v>0.6622718928238933</x:v>
      </x:c>
      <x:c r="I248" s="63" t="n">
        <x:f>IF(B248&lt;$I$8,0,(INDEX('主线调参'!$E$11:$E$62,$AV248)+(INDEX('主线调参'!$E$11:$E$62,$AV248+1)-INDEX('主线调参'!$E$11:$E$62,$AV248))*$AW248)*'参数说明'!$E$27)</x:f>
        <x:v>0.6010375997338764</x:v>
      </x:c>
      <x:c r="J248" s="63" t="n">
        <x:f>IF(B248&lt;$J$8,0,(INDEX('主线调参'!$F$11:$F$62,$AV248)+(INDEX('主线调参'!$F$11:$F$62,$AV248+1)-INDEX('主线调参'!$F$11:$F$62,$AV248))*$AW248)*'参数说明'!$F$27)</x:f>
        <x:v>0.5593615199629366</x:v>
      </x:c>
      <x:c r="K248" s="63" t="n">
        <x:f>IF(B248&lt;$K$8,0,(INDEX('主线调参'!$G$11:$G$62,$AV248)+(INDEX('主线调参'!$G$11:$G$62,$AV248+1)-INDEX('主线调参'!$G$11:$G$62,$AV248))*$AW248)*'参数说明'!$G$27)</x:f>
        <x:v>0.5891308678060536</x:v>
      </x:c>
      <x:c r="L248" s="63" t="n">
        <x:f>IF(B248&lt;$L$8,0,(INDEX('主线调参'!$H$11:$H$62,$AV248)+(INDEX('主线调参'!$H$11:$H$62,$AV248+1)-INDEX('主线调参'!$H$11:$H$62,$AV248))*$AW248)*'参数说明'!$H$27)</x:f>
        <x:v>0.6607535332687371</x:v>
      </x:c>
      <x:c r="M248" s="59" t="n">
        <x:f>E248*'模块规划'!$F$10+G248*'模块规划'!$F$11+H248*'模块规划'!$F$13</x:f>
        <x:v>5087.085122742894</x:v>
      </x:c>
      <x:c r="N248" s="59" t="n">
        <x:f>I248*'模块规划'!$F$15+J248*'模块规划'!$F$17+K248*'模块规划'!$F$16+L248*'模块规划'!$F$18</x:f>
        <x:v>17240.468870680386</x:v>
      </x:c>
      <x:c r="O248" s="59" t="n">
        <x:f>1+O$9*SUMPRODUCT($H$10:$L$10,H248:L248)/SUM($H$10:$L$10)</x:f>
        <x:v>3.252159705561439</x:v>
      </x:c>
      <x:c r="P248" s="59" t="n">
        <x:f>M248*O248+N248</x:f>
        <x:v>33784.48212562589</x:v>
      </x:c>
      <x:c r="Q248" s="59" t="n">
        <x:f>P248/(P248+'_曲线基线'!$L$2)</x:f>
        <x:v>0.5846635789203234</x:v>
      </x:c>
      <x:c r="R248" s="59" t="n">
        <x:f>E248*'模块规划'!$E$10+G248*'模块规划'!$E$11+H248*'模块规划'!$E$13</x:f>
        <x:v>7630.62768411434</x:v>
      </x:c>
      <x:c r="S248" s="59" t="n">
        <x:f>I248*'模块规划'!$E$15+J248*'模块规划'!$E$17+K248*'模块规划'!$E$16+L248*'模块规划'!$E$18</x:f>
        <x:v>25860.703306020572</x:v>
      </x:c>
      <x:c r="T248" s="59" t="n">
        <x:f>1+T$9*SUMPRODUCT($H$10:$L$10,H248:L248)/SUM($H$10:$L$10)</x:f>
        <x:v>3.252159705561439</x:v>
      </x:c>
      <x:c r="U248" s="59" t="n">
        <x:f>R248*T248+S248</x:f>
        <x:v>50676.72318843883</x:v>
      </x:c>
      <x:c r="V248" s="59" t="n">
        <x:f>V$8+(V$9-V$8)*H248</x:f>
        <x:v>0.898681567847168</x:v>
      </x:c>
      <x:c r="W248" s="59" t="n">
        <x:f>IF(B248&lt;$H$8,0,W$8+(W$9-W$8)*H248)</x:f>
        <x:v>0.26490875712955736</x:v>
      </x:c>
      <x:c r="X248" s="59" t="n">
        <x:f>X$8+(X$9-X$8)*H248</x:f>
        <x:v>0.4571247705265707</x:v>
      </x:c>
      <x:c r="Y248" s="59" t="n">
        <x:f>Y$8+(Y$9-Y$8)*G248</x:f>
        <x:v>1</x:v>
      </x:c>
      <x:c r="Z248" s="59" t="n">
        <x:f>Z$8+(Z$9-Z$8)*H248</x:f>
        <x:v>1</x:v>
      </x:c>
      <x:c r="AA248" s="59" t="n">
        <x:f>AA$8+(AA$9-AA$8)*I248</x:f>
        <x:v>1</x:v>
      </x:c>
      <x:c r="AB248" s="59" t="n">
        <x:f>AB$8+(AB$9-AB$8)*J248</x:f>
        <x:v>1</x:v>
      </x:c>
      <x:c r="AC248" s="59" t="n">
        <x:f>AC$8+(AC$9-AC$8)*MAX(K248,L248)</x:f>
        <x:v>1</x:v>
      </x:c>
      <x:c r="AD248" s="59" t="n">
        <x:f>(V248*AE248+W248*AF248+X248*AG248)*PRODUCT(Y248:AC248)</x:f>
        <x:v>1.8344037691683348</x:v>
      </x:c>
      <x:c r="AE248" s="59" t="n">
        <x:f>1+AE$9*($H$10*H248+$I$10*I248+$J$10*J248+$K$10*K248+$L$10*L248)</x:f>
        <x:v>1</x:v>
      </x:c>
      <x:c r="AF248" s="59" t="n">
        <x:f>1+AF$9*($H$10*H248+$I$10*I248+$J$10*J248+$K$10*K248+$L$10*L248)</x:f>
        <x:v>1.1987736096406454</x:v>
      </x:c>
      <x:c r="AG248" s="59" t="n">
        <x:f>1+AG$9*($H$10*H248+$I$10*I248+$J$10*J248+$K$10*K248+$L$10*L248)</x:f>
        <x:v>1.3522710081964797</x:v>
      </x:c>
      <x:c r="AH248" s="59" t="n">
        <x:f>MIN(1,'_曲线基线'!$L$3+AH$9*($H$10*H248+$I$10*I248+$J$10*J248+$K$10*K248+$L$10*L248))</x:f>
        <x:v>0.5022099619324677</x:v>
      </x:c>
      <x:c r="AI248" s="59" t="n">
        <x:f>'_曲线基线'!$L$4+AI$9*($H$10*H248+$I$10*I248+$J$10*J248+$K$10*K248+$L$10*L248)</x:f>
        <x:v>3.2597277510975884</x:v>
      </x:c>
      <x:c r="AJ248" s="59" t="n">
        <x:f>1+AJ$9*($H$10*H248+$I$10*I248+$J$10*J248+$K$10*K248+$L$10*L248)</x:f>
        <x:v>2.033622770131355</x:v>
      </x:c>
      <x:c r="AK248" s="59" t="n">
        <x:f>(1+AH248*(AI248-1))*AJ248</x:f>
        <x:v>4.341495408377152</x:v>
      </x:c>
      <x:c r="AL248" s="59" t="n">
        <x:f>U248*AD248*AK248*F248</x:f>
        <x:v>2017961.1905314084</x:v>
      </x:c>
      <x:c r="AM248" s="59" t="n">
        <x:f>IF($B248&lt;AM$8,0,AM$3+(AM$4-AM$3)*(POWER(AM$5,$B248-AM$8)-1)/(POWER(AM$5,$C$5-AM$8)-1))</x:f>
        <x:v>47.70981806973666</x:v>
      </x:c>
      <x:c r="AN248" s="59" t="n">
        <x:f>(((E248*'模块规划'!$D$10+G248*'模块规划'!$D$11+H248*'模块规划'!$D$13)*(1+'模块规划'!$G$14*H248)+(I248*'模块规划'!$D$15+J248*'模块规划'!$D$17+K248*'模块规划'!$D$16+L248*'模块规划'!$D$18))*(1+'模块规划'!$J$17*J248))*F248/(1-Q248)</x:f>
        <x:v>2551062.2078909846</x:v>
      </x:c>
      <x:c r="AO248" s="59" t="n">
        <x:f>AL248*AM248</x:f>
        <x:v>96276561.27204269</x:v>
      </x:c>
      <x:c r="AP248" s="61" t="n">
        <x:f>IF(AO248="","",INDEX('_曲线基线'!$A$3:$A$502,MIN(ROWS('_曲线基线'!$A$3:$A$502),COUNTIF('_曲线基线'!$E$3:$E$502,"&lt;"&amp;AO248)+1)))</x:f>
        <x:v>290</x:v>
      </x:c>
      <x:c r="AQ248" s="61" t="n">
        <x:f>IF(B248&lt;=2,1,IF(B248&lt;=6,2,IF(B248&lt;=9,3,IF(B248&lt;=19,4,5))))</x:f>
        <x:v>5</x:v>
      </x:c>
      <x:c r="AR248" s="59" t="n">
        <x:f>AN248*(1-Q248)/F248*$AS$3+U248*$AS$4+P248*$AS$5</x:f>
        <x:v>16492.63892195012</x:v>
      </x:c>
      <x:c r="AS248" s="59" t="n">
        <x:f>1+AH248*$AS$6+AI248*$AS$7+(AJ248-1)*$AS$8+($H$10*H248+$I$10*I248+$J$10*J248+$K$10*K248+$L$10*L248)*$AU$3*$AS$9+($H$10*H248+$I$10*I248+$J$10*J248+$K$10*K248+$L$10*L248)*$AU$4*$AS$10</x:f>
        <x:v>16.858529032542503</x:v>
      </x:c>
      <x:c r="AT248" s="60" t="n">
        <x:f>ROUND(AR248*AS248,0)</x:f>
        <x:v>278042</x:v>
      </x:c>
      <x:c r="AU248" s="60" t="n">
        <x:f>ROUND(AT248*F248,0)</x:f>
        <x:v>1390210</x:v>
      </x:c>
      <x:c r="AV248" s="60" t="n">
        <x:f>MIN(MATCH(B248,'主线调参'!$M$11:$M$62,1),ROWS('主线调参'!$M$11:$M$62)-1)</x:f>
        <x:v>47</x:v>
      </x:c>
      <x:c r="AW248" s="62" t="n">
        <x:f>(B248-INDEX('主线调参'!$M$11:$M$62,AV248))/(INDEX('主线调参'!$M$11:$M$62,AV248+1)-INDEX('主线调参'!$M$11:$M$62,AV248))</x:f>
        <x:v>0.14285714285714285</x:v>
      </x:c>
      <x:c r="AX248" s="60" t="n">
        <x:f>IF(AU248=0,0,ROUND(AU248,2-INT(LOG10(ABS(AU248)))))</x:f>
        <x:v>1390000</x:v>
      </x:c>
      <x:c r="AY248" s="62" t="n">
        <x:f>AU248/AU247-1</x:f>
        <x:v>0.003718250472903639</x:v>
      </x:c>
    </x:row>
    <x:row r="249" ht="25" customHeight="1">
      <x:c r="A249" s="40" t="str">
        <x:f>'调前玩家曲线'!A249</x:f>
      </x:c>
      <x:c r="B249" s="40" t="n">
        <x:f>'调前玩家曲线'!B249</x:f>
        <x:v>238</x:v>
      </x:c>
      <x:c r="C249" s="40" t="n">
        <x:f>'调前玩家曲线'!C249</x:f>
        <x:v>17</x:v>
      </x:c>
      <x:c r="D249" s="40" t="n">
        <x:f>'调前玩家曲线'!D249</x:f>
        <x:v>4</x:v>
      </x:c>
      <x:c r="E249" s="40" t="n">
        <x:f>'调前玩家曲线'!E249</x:f>
        <x:v>1</x:v>
      </x:c>
      <x:c r="F249" s="40" t="n">
        <x:f>'调前玩家曲线'!F249</x:f>
        <x:v>5</x:v>
      </x:c>
      <x:c r="G249" s="63" t="n">
        <x:f>IF(B249&lt;$G$8,0,(INDEX('主线调参'!$C$11:$C$62,$AV249)+(INDEX('主线调参'!$C$11:$C$62,$AV249+1)-INDEX('主线调参'!$C$11:$C$62,$AV249))*$AW249)*'参数说明'!$C$27)</x:f>
        <x:v>0.8526874585895345</x:v>
      </x:c>
      <x:c r="H249" s="63" t="n">
        <x:f>IF(B249&lt;$H$8,0,(INDEX('主线调参'!$D$11:$D$62,$AV249)+(INDEX('主线调参'!$D$11:$D$62,$AV249+1)-INDEX('主线调参'!$D$11:$D$62,$AV249))*$AW249)*'参数说明'!$D$27)</x:f>
        <x:v>0.6631996493128975</x:v>
      </x:c>
      <x:c r="I249" s="63" t="n">
        <x:f>IF(B249&lt;$I$8,0,(INDEX('主线调参'!$E$11:$E$62,$AV249)+(INDEX('主线调参'!$E$11:$E$62,$AV249+1)-INDEX('主线调参'!$E$11:$E$62,$AV249))*$AW249)*'参数说明'!$E$27)</x:f>
        <x:v>0.6022791389498496</x:v>
      </x:c>
      <x:c r="J249" s="63" t="n">
        <x:f>IF(B249&lt;$J$8,0,(INDEX('主线调参'!$F$11:$F$62,$AV249)+(INDEX('主线调参'!$F$11:$F$62,$AV249+1)-INDEX('主线调参'!$F$11:$F$62,$AV249))*$AW249)*'参数说明'!$F$27)</x:f>
        <x:v>0.5603671685094597</x:v>
      </x:c>
      <x:c r="K249" s="63" t="n">
        <x:f>IF(B249&lt;$K$8,0,(INDEX('主线调参'!$G$11:$G$62,$AV249)+(INDEX('主线调参'!$G$11:$G$62,$AV249+1)-INDEX('主线调参'!$G$11:$G$62,$AV249))*$AW249)*'参数说明'!$G$27)</x:f>
        <x:v>0.5907391712933175</x:v>
      </x:c>
      <x:c r="L249" s="63" t="n">
        <x:f>IF(B249&lt;$L$8,0,(INDEX('主线调参'!$H$11:$H$62,$AV249)+(INDEX('主线调参'!$H$11:$H$62,$AV249+1)-INDEX('主线调参'!$H$11:$H$62,$AV249))*$AW249)*'参数说明'!$H$27)</x:f>
        <x:v>0.6617232533470323</x:v>
      </x:c>
      <x:c r="M249" s="59" t="n">
        <x:f>E249*'模块规划'!$F$10+G249*'模块规划'!$F$11+H249*'模块规划'!$F$13</x:f>
        <x:v>5092.899801229765</x:v>
      </x:c>
      <x:c r="N249" s="59" t="n">
        <x:f>I249*'模块规划'!$F$15+J249*'模块规划'!$F$17+K249*'模块规划'!$F$16+L249*'模块规划'!$F$18</x:f>
        <x:v>17274.95609118846</x:v>
      </x:c>
      <x:c r="O249" s="59" t="n">
        <x:f>1+O$9*SUMPRODUCT($H$10:$L$10,H249:L249)/SUM($H$10:$L$10)</x:f>
        <x:v>3.256420347754031</x:v>
      </x:c>
      <x:c r="P249" s="59" t="n">
        <x:f>M249*O249+N249</x:f>
        <x:v>33859.578632985525</x:v>
      </x:c>
      <x:c r="Q249" s="59" t="n">
        <x:f>P249/(P249+'_曲线基线'!$L$2)</x:f>
        <x:v>0.585202648082928</x:v>
      </x:c>
      <x:c r="R249" s="59" t="n">
        <x:f>E249*'模块规划'!$E$10+G249*'模块规划'!$E$11+H249*'模块规划'!$E$13</x:f>
        <x:v>7639.349701844649</x:v>
      </x:c>
      <x:c r="S249" s="59" t="n">
        <x:f>I249*'模块规划'!$E$15+J249*'模块规划'!$E$17+K249*'模块规划'!$E$16+L249*'模块规划'!$E$18</x:f>
        <x:v>25912.434136782693</x:v>
      </x:c>
      <x:c r="T249" s="59" t="n">
        <x:f>1+T$9*SUMPRODUCT($H$10:$L$10,H249:L249)/SUM($H$10:$L$10)</x:f>
        <x:v>3.256420347754031</x:v>
      </x:c>
      <x:c r="U249" s="59" t="n">
        <x:f>R249*T249+S249</x:f>
        <x:v>50789.3679494783</x:v>
      </x:c>
      <x:c r="V249" s="59" t="n">
        <x:f>V$8+(V$9-V$8)*H249</x:f>
        <x:v>0.8989598947938693</x:v>
      </x:c>
      <x:c r="W249" s="59" t="n">
        <x:f>IF(B249&lt;$H$8,0,W$8+(W$9-W$8)*H249)</x:f>
        <x:v>0.26527985972515905</x:v>
      </x:c>
      <x:c r="X249" s="59" t="n">
        <x:f>X$8+(X$9-X$8)*H249</x:f>
        <x:v>0.45737990356104685</x:v>
      </x:c>
      <x:c r="Y249" s="59" t="n">
        <x:f>Y$8+(Y$9-Y$8)*G249</x:f>
        <x:v>1</x:v>
      </x:c>
      <x:c r="Z249" s="59" t="n">
        <x:f>Z$8+(Z$9-Z$8)*H249</x:f>
        <x:v>1</x:v>
      </x:c>
      <x:c r="AA249" s="59" t="n">
        <x:f>AA$8+(AA$9-AA$8)*I249</x:f>
        <x:v>1</x:v>
      </x:c>
      <x:c r="AB249" s="59" t="n">
        <x:f>AB$8+(AB$9-AB$8)*J249</x:f>
        <x:v>1</x:v>
      </x:c>
      <x:c r="AC249" s="59" t="n">
        <x:f>AC$8+(AC$9-AC$8)*MAX(K249,L249)</x:f>
        <x:v>1</x:v>
      </x:c>
      <x:c r="AD249" s="59" t="n">
        <x:f>(V249*AE249+W249*AF249+X249*AG249)*PRODUCT(Y249:AC249)</x:f>
        <x:v>1.835876539542016</x:v>
      </x:c>
      <x:c r="AE249" s="59" t="n">
        <x:f>1+AE$9*($H$10*H249+$I$10*I249+$J$10*J249+$K$10*K249+$L$10*L249)</x:f>
        <x:v>1</x:v>
      </x:c>
      <x:c r="AF249" s="59" t="n">
        <x:f>1+AF$9*($H$10*H249+$I$10*I249+$J$10*J249+$K$10*K249+$L$10*L249)</x:f>
        <x:v>1.1991496501256595</x:v>
      </x:c>
      <x:c r="AG249" s="59" t="n">
        <x:f>1+AG$9*($H$10*H249+$I$10*I249+$J$10*J249+$K$10*K249+$L$10*L249)</x:f>
        <x:v>1.3529374355004773</x:v>
      </x:c>
      <x:c r="AH249" s="59" t="n">
        <x:f>MIN(1,'_曲线基线'!$L$3+AH$9*($H$10*H249+$I$10*I249+$J$10*J249+$K$10*K249+$L$10*L249))</x:f>
        <x:v>0.5030654540358751</x:v>
      </x:c>
      <x:c r="AI249" s="59" t="n">
        <x:f>'_曲线基线'!$L$4+AI$9*($H$10*H249+$I$10*I249+$J$10*J249+$K$10*K249+$L$10*L249)</x:f>
        <x:v>3.2621109076713664</x:v>
      </x:c>
      <x:c r="AJ249" s="59" t="n">
        <x:f>1+AJ$9*($H$10*H249+$I$10*I249+$J$10*J249+$K$10*K249+$L$10*L249)</x:f>
        <x:v>2.035578180653429</x:v>
      </x:c>
      <x:c r="AK249" s="59" t="n">
        <x:f>(1+AH249*(AI249-1))*AJ249</x:f>
        <x:v>4.352045490843043</x:v>
      </x:c>
      <x:c r="AL249" s="59" t="n">
        <x:f>U249*AD249*AK249*F249</x:f>
        <x:v>2028989.086022583</x:v>
      </x:c>
      <x:c r="AM249" s="59" t="n">
        <x:f>IF($B249&lt;AM$8,0,AM$3+(AM$4-AM$3)*(POWER(AM$5,$B249-AM$8)-1)/(POWER(AM$5,$C$5-AM$8)-1))</x:f>
        <x:v>47.850340890355895</x:v>
      </x:c>
      <x:c r="AN249" s="59" t="n">
        <x:f>(((E249*'模块规划'!$D$10+G249*'模块规划'!$D$11+H249*'模块规划'!$D$13)*(1+'模块规划'!$G$14*H249)+(I249*'模块规划'!$D$15+J249*'模块规划'!$D$17+K249*'模块规划'!$D$16+L249*'模块规划'!$D$18))*(1+'模块规划'!$J$17*J249))*F249/(1-Q249)</x:f>
        <x:v>2561062.414852819</x:v>
      </x:c>
      <x:c r="AO249" s="59" t="n">
        <x:f>AL249*AM249</x:f>
        <x:v>97087819.42899224</x:v>
      </x:c>
      <x:c r="AP249" s="61" t="n">
        <x:f>IF(AO249="","",INDEX('_曲线基线'!$A$3:$A$502,MIN(ROWS('_曲线基线'!$A$3:$A$502),COUNTIF('_曲线基线'!$E$3:$E$502,"&lt;"&amp;AO249)+1)))</x:f>
        <x:v>291</x:v>
      </x:c>
      <x:c r="AQ249" s="61" t="n">
        <x:f>IF(B249&lt;=2,1,IF(B249&lt;=6,2,IF(B249&lt;=9,3,IF(B249&lt;=19,4,5))))</x:f>
        <x:v>5</x:v>
      </x:c>
      <x:c r="AR249" s="59" t="n">
        <x:f>AN249*(1-Q249)/F249*$AS$3+U249*$AS$4+P249*$AS$5</x:f>
        <x:v>16531.805036547405</x:v>
      </x:c>
      <x:c r="AS249" s="59" t="n">
        <x:f>1+AH249*$AS$6+AI249*$AS$7+(AJ249-1)*$AS$8+($H$10*H249+$I$10*I249+$J$10*J249+$K$10*K249+$L$10*L249)*$AU$3*$AS$9+($H$10*H249+$I$10*I249+$J$10*J249+$K$10*K249+$L$10*L249)*$AU$4*$AS$10</x:f>
        <x:v>16.880997878798105</x:v>
      </x:c>
      <x:c r="AT249" s="60" t="n">
        <x:f>ROUND(AR249*AS249,0)</x:f>
        <x:v>279073</x:v>
      </x:c>
      <x:c r="AU249" s="60" t="n">
        <x:f>ROUND(AT249*F249,0)</x:f>
        <x:v>1395365</x:v>
      </x:c>
      <x:c r="AV249" s="60" t="n">
        <x:f>MIN(MATCH(B249,'主线调参'!$M$11:$M$62,1),ROWS('主线调参'!$M$11:$M$62)-1)</x:f>
        <x:v>47</x:v>
      </x:c>
      <x:c r="AW249" s="62" t="n">
        <x:f>(B249-INDEX('主线调参'!$M$11:$M$62,AV249))/(INDEX('主线调参'!$M$11:$M$62,AV249+1)-INDEX('主线调参'!$M$11:$M$62,AV249))</x:f>
        <x:v>0.21428571428571427</x:v>
      </x:c>
      <x:c r="AX249" s="60" t="n">
        <x:f>IF(AU249=0,0,ROUND(AU249,2-INT(LOG10(ABS(AU249)))))</x:f>
        <x:v>1400000</x:v>
      </x:c>
      <x:c r="AY249" s="62" t="n">
        <x:f>AU249/AU248-1</x:f>
        <x:v>0.0037080728810754415</x:v>
      </x:c>
    </x:row>
    <x:row r="250" ht="25" customHeight="1">
      <x:c r="A250" s="40" t="str">
        <x:f>'调前玩家曲线'!A250</x:f>
      </x:c>
      <x:c r="B250" s="40" t="n">
        <x:f>'调前玩家曲线'!B250</x:f>
        <x:v>239</x:v>
      </x:c>
      <x:c r="C250" s="40" t="n">
        <x:f>'调前玩家曲线'!C250</x:f>
        <x:v>17</x:v>
      </x:c>
      <x:c r="D250" s="40" t="n">
        <x:f>'调前玩家曲线'!D250</x:f>
        <x:v>5</x:v>
      </x:c>
      <x:c r="E250" s="40" t="n">
        <x:f>'调前玩家曲线'!E250</x:f>
        <x:v>1</x:v>
      </x:c>
      <x:c r="F250" s="40" t="n">
        <x:f>'调前玩家曲线'!F250</x:f>
        <x:v>5</x:v>
      </x:c>
      <x:c r="G250" s="63" t="n">
        <x:f>IF(B250&lt;$G$8,0,(INDEX('主线调参'!$C$11:$C$62,$AV250)+(INDEX('主线调参'!$C$11:$C$62,$AV250+1)-INDEX('主线调参'!$C$11:$C$62,$AV250))*$AW250)*'参数说明'!$C$27)</x:f>
        <x:v>0.8538988499409664</x:v>
      </x:c>
      <x:c r="H250" s="63" t="n">
        <x:f>IF(B250&lt;$H$8,0,(INDEX('主线调参'!$D$11:$D$62,$AV250)+(INDEX('主线调参'!$D$11:$D$62,$AV250+1)-INDEX('主线调参'!$D$11:$D$62,$AV250))*$AW250)*'参数说明'!$D$27)</x:f>
        <x:v>0.664127405801902</x:v>
      </x:c>
      <x:c r="I250" s="63" t="n">
        <x:f>IF(B250&lt;$I$8,0,(INDEX('主线调参'!$E$11:$E$62,$AV250)+(INDEX('主线调参'!$E$11:$E$62,$AV250+1)-INDEX('主线调参'!$E$11:$E$62,$AV250))*$AW250)*'参数说明'!$E$27)</x:f>
        <x:v>0.6035206781658229</x:v>
      </x:c>
      <x:c r="J250" s="63" t="n">
        <x:f>IF(B250&lt;$J$8,0,(INDEX('主线调参'!$F$11:$F$62,$AV250)+(INDEX('主线调参'!$F$11:$F$62,$AV250+1)-INDEX('主线调参'!$F$11:$F$62,$AV250))*$AW250)*'参数说明'!$F$27)</x:f>
        <x:v>0.5613728170559827</x:v>
      </x:c>
      <x:c r="K250" s="63" t="n">
        <x:f>IF(B250&lt;$K$8,0,(INDEX('主线调参'!$G$11:$G$62,$AV250)+(INDEX('主线调参'!$G$11:$G$62,$AV250+1)-INDEX('主线调参'!$G$11:$G$62,$AV250))*$AW250)*'参数说明'!$G$27)</x:f>
        <x:v>0.5923474747805816</x:v>
      </x:c>
      <x:c r="L250" s="63" t="n">
        <x:f>IF(B250&lt;$L$8,0,(INDEX('主线调参'!$H$11:$H$62,$AV250)+(INDEX('主线调参'!$H$11:$H$62,$AV250+1)-INDEX('主线调参'!$H$11:$H$62,$AV250))*$AW250)*'参数说明'!$H$27)</x:f>
        <x:v>0.6626929734253273</x:v>
      </x:c>
      <x:c r="M250" s="59" t="n">
        <x:f>E250*'模块规划'!$F$10+G250*'模块规划'!$F$11+H250*'模块规划'!$F$13</x:f>
        <x:v>5098.714479716639</x:v>
      </x:c>
      <x:c r="N250" s="59" t="n">
        <x:f>I250*'模块规划'!$F$15+J250*'模块规划'!$F$17+K250*'模块规划'!$F$16+L250*'模块规划'!$F$18</x:f>
        <x:v>17309.443311696534</x:v>
      </x:c>
      <x:c r="O250" s="59" t="n">
        <x:f>1+O$9*SUMPRODUCT($H$10:$L$10,H250:L250)/SUM($H$10:$L$10)</x:f>
        <x:v>3.2606809899466236</x:v>
      </x:c>
      <x:c r="P250" s="59" t="n">
        <x:f>M250*O250+N250</x:f>
        <x:v>33934.724688874165</x:v>
      </x:c>
      <x:c r="Q250" s="59" t="n">
        <x:f>P250/(P250+'_曲线基线'!$L$2)</x:f>
        <x:v>0.5857406740277652</x:v>
      </x:c>
      <x:c r="R250" s="59" t="n">
        <x:f>E250*'模块规划'!$E$10+G250*'模块规划'!$E$11+H250*'模块规划'!$E$13</x:f>
        <x:v>7648.0717195749585</x:v>
      </x:c>
      <x:c r="S250" s="59" t="n">
        <x:f>I250*'模块规划'!$E$15+J250*'模块规划'!$E$17+K250*'模块规划'!$E$16+L250*'模块规划'!$E$18</x:f>
        <x:v>25964.164967544802</x:v>
      </x:c>
      <x:c r="T250" s="59" t="n">
        <x:f>1+T$9*SUMPRODUCT($H$10:$L$10,H250:L250)/SUM($H$10:$L$10)</x:f>
        <x:v>3.2606809899466236</x:v>
      </x:c>
      <x:c r="U250" s="59" t="n">
        <x:f>R250*T250+S250</x:f>
        <x:v>50902.087033311254</x:v>
      </x:c>
      <x:c r="V250" s="59" t="n">
        <x:f>V$8+(V$9-V$8)*H250</x:f>
        <x:v>0.8992382217405706</x:v>
      </x:c>
      <x:c r="W250" s="59" t="n">
        <x:f>IF(B250&lt;$H$8,0,W$8+(W$9-W$8)*H250)</x:f>
        <x:v>0.2656509623207608</x:v>
      </x:c>
      <x:c r="X250" s="59" t="n">
        <x:f>X$8+(X$9-X$8)*H250</x:f>
        <x:v>0.45763503659552307</x:v>
      </x:c>
      <x:c r="Y250" s="59" t="n">
        <x:f>Y$8+(Y$9-Y$8)*G250</x:f>
        <x:v>1</x:v>
      </x:c>
      <x:c r="Z250" s="59" t="n">
        <x:f>Z$8+(Z$9-Z$8)*H250</x:f>
        <x:v>1</x:v>
      </x:c>
      <x:c r="AA250" s="59" t="n">
        <x:f>AA$8+(AA$9-AA$8)*I250</x:f>
        <x:v>1</x:v>
      </x:c>
      <x:c r="AB250" s="59" t="n">
        <x:f>AB$8+(AB$9-AB$8)*J250</x:f>
        <x:v>1</x:v>
      </x:c>
      <x:c r="AC250" s="59" t="n">
        <x:f>AC$8+(AC$9-AC$8)*MAX(K250,L250)</x:f>
        <x:v>1</x:v>
      </x:c>
      <x:c r="AD250" s="59" t="n">
        <x:f>(V250*AE250+W250*AF250+X250*AG250)*PRODUCT(Y250:AC250)</x:f>
        <x:v>1.8373499290701383</x:v>
      </x:c>
      <x:c r="AE250" s="59" t="n">
        <x:f>1+AE$9*($H$10*H250+$I$10*I250+$J$10*J250+$K$10*K250+$L$10*L250)</x:f>
        <x:v>1</x:v>
      </x:c>
      <x:c r="AF250" s="59" t="n">
        <x:f>1+AF$9*($H$10*H250+$I$10*I250+$J$10*J250+$K$10*K250+$L$10*L250)</x:f>
        <x:v>1.199525690610674</x:v>
      </x:c>
      <x:c r="AG250" s="59" t="n">
        <x:f>1+AG$9*($H$10*H250+$I$10*I250+$J$10*J250+$K$10*K250+$L$10*L250)</x:f>
        <x:v>1.3536038628044746</x:v>
      </x:c>
      <x:c r="AH250" s="59" t="n">
        <x:f>MIN(1,'_曲线基线'!$L$3+AH$9*($H$10*H250+$I$10*I250+$J$10*J250+$K$10*K250+$L$10*L250))</x:f>
        <x:v>0.5039209461392825</x:v>
      </x:c>
      <x:c r="AI250" s="59" t="n">
        <x:f>'_曲线基线'!$L$4+AI$9*($H$10*H250+$I$10*I250+$J$10*J250+$K$10*K250+$L$10*L250)</x:f>
        <x:v>3.2644940642451443</x:v>
      </x:c>
      <x:c r="AJ250" s="59" t="n">
        <x:f>1+AJ$9*($H$10*H250+$I$10*I250+$J$10*J250+$K$10*K250+$L$10*L250)</x:f>
        <x:v>2.037533591175503</x:v>
      </x:c>
      <x:c r="AK250" s="59" t="n">
        <x:f>(1+AH250*(AI250-1))*AJ250</x:f>
        <x:v>4.362616130378151</x:v>
      </x:c>
      <x:c r="AL250" s="59" t="n">
        <x:f>U250*AD250*AK250*F250</x:f>
        <x:v>2040067.1900655762</x:v>
      </x:c>
      <x:c r="AM250" s="59" t="n">
        <x:f>IF($B250&lt;AM$8,0,AM$3+(AM$4-AM$3)*(POWER(AM$5,$B250-AM$8)-1)/(POWER(AM$5,$C$5-AM$8)-1))</x:f>
        <x:v>47.99226893918132</x:v>
      </x:c>
      <x:c r="AN250" s="59" t="n">
        <x:f>(((E250*'模块规划'!$D$10+G250*'模块规划'!$D$11+H250*'模块规划'!$D$13)*(1+'模块规划'!$G$14*H250)+(I250*'模块规划'!$D$15+J250*'模块规划'!$D$17+K250*'模块规划'!$D$16+L250*'模块规划'!$D$18))*(1+'模块规划'!$J$17*J250))*F250/(1-Q250)</x:f>
        <x:v>2571090.1485425425</x:v>
      </x:c>
      <x:c r="AO250" s="59" t="n">
        <x:f>AL250*AM250</x:f>
        <x:v>97907453.23962708</x:v>
      </x:c>
      <x:c r="AP250" s="61" t="n">
        <x:f>IF(AO250="","",INDEX('_曲线基线'!$A$3:$A$502,MIN(ROWS('_曲线基线'!$A$3:$A$502),COUNTIF('_曲线基线'!$E$3:$E$502,"&lt;"&amp;AO250)+1)))</x:f>
        <x:v>291</x:v>
      </x:c>
      <x:c r="AQ250" s="61" t="n">
        <x:f>IF(B250&lt;=2,1,IF(B250&lt;=6,2,IF(B250&lt;=9,3,IF(B250&lt;=19,4,5))))</x:f>
        <x:v>5</x:v>
      </x:c>
      <x:c r="AR250" s="59" t="n">
        <x:f>AN250*(1-Q250)/F250*$AS$3+U250*$AS$4+P250*$AS$5</x:f>
        <x:v>16571.00583835677</x:v>
      </x:c>
      <x:c r="AS250" s="59" t="n">
        <x:f>1+AH250*$AS$6+AI250*$AS$7+(AJ250-1)*$AS$8+($H$10*H250+$I$10*I250+$J$10*J250+$K$10*K250+$L$10*L250)*$AU$3*$AS$9+($H$10*H250+$I$10*I250+$J$10*J250+$K$10*K250+$L$10*L250)*$AU$4*$AS$10</x:f>
        <x:v>16.903466725053708</x:v>
      </x:c>
      <x:c r="AT250" s="60" t="n">
        <x:f>ROUND(AR250*AS250,0)</x:f>
        <x:v>280107</x:v>
      </x:c>
      <x:c r="AU250" s="60" t="n">
        <x:f>ROUND(AT250*F250,0)</x:f>
        <x:v>1400535</x:v>
      </x:c>
      <x:c r="AV250" s="60" t="n">
        <x:f>MIN(MATCH(B250,'主线调参'!$M$11:$M$62,1),ROWS('主线调参'!$M$11:$M$62)-1)</x:f>
        <x:v>47</x:v>
      </x:c>
      <x:c r="AW250" s="62" t="n">
        <x:f>(B250-INDEX('主线调参'!$M$11:$M$62,AV250))/(INDEX('主线调参'!$M$11:$M$62,AV250+1)-INDEX('主线调参'!$M$11:$M$62,AV250))</x:f>
        <x:v>0.2857142857142857</x:v>
      </x:c>
      <x:c r="AX250" s="60" t="n">
        <x:f>IF(AU250=0,0,ROUND(AU250,2-INT(LOG10(ABS(AU250)))))</x:f>
        <x:v>1400000</x:v>
      </x:c>
      <x:c r="AY250" s="62" t="n">
        <x:f>AU250/AU249-1</x:f>
        <x:v>0.00370512374898313</x:v>
      </x:c>
    </x:row>
    <x:row r="251" ht="25" customHeight="1">
      <x:c r="A251" s="40" t="str">
        <x:f>'调前玩家曲线'!A251</x:f>
      </x:c>
      <x:c r="B251" s="40" t="n">
        <x:f>'调前玩家曲线'!B251</x:f>
        <x:v>240</x:v>
      </x:c>
      <x:c r="C251" s="40" t="n">
        <x:f>'调前玩家曲线'!C251</x:f>
        <x:v>17</x:v>
      </x:c>
      <x:c r="D251" s="40" t="n">
        <x:f>'调前玩家曲线'!D251</x:f>
        <x:v>6</x:v>
      </x:c>
      <x:c r="E251" s="40" t="n">
        <x:f>'调前玩家曲线'!E251</x:f>
        <x:v>1</x:v>
      </x:c>
      <x:c r="F251" s="40" t="n">
        <x:f>'调前玩家曲线'!F251</x:f>
        <x:v>5</x:v>
      </x:c>
      <x:c r="G251" s="63" t="n">
        <x:f>IF(B251&lt;$G$8,0,(INDEX('主线调参'!$C$11:$C$62,$AV251)+(INDEX('主线调参'!$C$11:$C$62,$AV251+1)-INDEX('主线调参'!$C$11:$C$62,$AV251))*$AW251)*'参数说明'!$C$27)</x:f>
        <x:v>0.8551102412923982</x:v>
      </x:c>
      <x:c r="H251" s="63" t="n">
        <x:f>IF(B251&lt;$H$8,0,(INDEX('主线调参'!$D$11:$D$62,$AV251)+(INDEX('主线调参'!$D$11:$D$62,$AV251+1)-INDEX('主线调参'!$D$11:$D$62,$AV251))*$AW251)*'参数说明'!$D$27)</x:f>
        <x:v>0.6650551622909063</x:v>
      </x:c>
      <x:c r="I251" s="63" t="n">
        <x:f>IF(B251&lt;$I$8,0,(INDEX('主线调参'!$E$11:$E$62,$AV251)+(INDEX('主线调参'!$E$11:$E$62,$AV251+1)-INDEX('主线调参'!$E$11:$E$62,$AV251))*$AW251)*'参数说明'!$E$27)</x:f>
        <x:v>0.6047622173817961</x:v>
      </x:c>
      <x:c r="J251" s="63" t="n">
        <x:f>IF(B251&lt;$J$8,0,(INDEX('主线调参'!$F$11:$F$62,$AV251)+(INDEX('主线调参'!$F$11:$F$62,$AV251+1)-INDEX('主线调参'!$F$11:$F$62,$AV251))*$AW251)*'参数说明'!$F$27)</x:f>
        <x:v>0.5623784656025057</x:v>
      </x:c>
      <x:c r="K251" s="63" t="n">
        <x:f>IF(B251&lt;$K$8,0,(INDEX('主线调参'!$G$11:$G$62,$AV251)+(INDEX('主线调参'!$G$11:$G$62,$AV251+1)-INDEX('主线调参'!$G$11:$G$62,$AV251))*$AW251)*'参数说明'!$G$27)</x:f>
        <x:v>0.5939557782678455</x:v>
      </x:c>
      <x:c r="L251" s="63" t="n">
        <x:f>IF(B251&lt;$L$8,0,(INDEX('主线调参'!$H$11:$H$62,$AV251)+(INDEX('主线调参'!$H$11:$H$62,$AV251+1)-INDEX('主线调参'!$H$11:$H$62,$AV251))*$AW251)*'参数说明'!$H$27)</x:f>
        <x:v>0.6636626935036225</x:v>
      </x:c>
      <x:c r="M251" s="59" t="n">
        <x:f>E251*'模块规划'!$F$10+G251*'模块规划'!$F$11+H251*'模块规划'!$F$13</x:f>
        <x:v>5104.5291582035115</x:v>
      </x:c>
      <x:c r="N251" s="59" t="n">
        <x:f>I251*'模块规划'!$F$15+J251*'模块规划'!$F$17+K251*'模块规划'!$F$16+L251*'模块规划'!$F$18</x:f>
        <x:v>17343.930532204613</x:v>
      </x:c>
      <x:c r="O251" s="59" t="n">
        <x:f>1+O$9*SUMPRODUCT($H$10:$L$10,H251:L251)/SUM($H$10:$L$10)</x:f>
        <x:v>3.2649416321392164</x:v>
      </x:c>
      <x:c r="P251" s="59" t="n">
        <x:f>M251*O251+N251</x:f>
        <x:v>34009.920293291805</x:v>
      </x:c>
      <x:c r="Q251" s="59" t="n">
        <x:f>P251/(P251+'_曲线基线'!$L$2)</x:f>
        <x:v>0.5862776594303418</x:v>
      </x:c>
      <x:c r="R251" s="59" t="n">
        <x:f>E251*'模块规划'!$E$10+G251*'模块规划'!$E$11+H251*'模块规划'!$E$13</x:f>
        <x:v>7656.793737305267</x:v>
      </x:c>
      <x:c r="S251" s="59" t="n">
        <x:f>I251*'模块规划'!$E$15+J251*'模块规划'!$E$17+K251*'模块规划'!$E$16+L251*'模块规划'!$E$18</x:f>
        <x:v>26015.89579830692</x:v>
      </x:c>
      <x:c r="T251" s="59" t="n">
        <x:f>1+T$9*SUMPRODUCT($H$10:$L$10,H251:L251)/SUM($H$10:$L$10)</x:f>
        <x:v>3.2649416321392164</x:v>
      </x:c>
      <x:c r="U251" s="59" t="n">
        <x:f>R251*T251+S251</x:f>
        <x:v>51014.88043993771</x:v>
      </x:c>
      <x:c r="V251" s="59" t="n">
        <x:f>V$8+(V$9-V$8)*H251</x:f>
        <x:v>0.8995165486872718</x:v>
      </x:c>
      <x:c r="W251" s="59" t="n">
        <x:f>IF(B251&lt;$H$8,0,W$8+(W$9-W$8)*H251)</x:f>
        <x:v>0.26602206491636254</x:v>
      </x:c>
      <x:c r="X251" s="59" t="n">
        <x:f>X$8+(X$9-X$8)*H251</x:f>
        <x:v>0.4578901696299993</x:v>
      </x:c>
      <x:c r="Y251" s="59" t="n">
        <x:f>Y$8+(Y$9-Y$8)*G251</x:f>
        <x:v>1</x:v>
      </x:c>
      <x:c r="Z251" s="59" t="n">
        <x:f>Z$8+(Z$9-Z$8)*H251</x:f>
        <x:v>1</x:v>
      </x:c>
      <x:c r="AA251" s="59" t="n">
        <x:f>AA$8+(AA$9-AA$8)*I251</x:f>
        <x:v>1</x:v>
      </x:c>
      <x:c r="AB251" s="59" t="n">
        <x:f>AB$8+(AB$9-AB$8)*J251</x:f>
        <x:v>1</x:v>
      </x:c>
      <x:c r="AC251" s="59" t="n">
        <x:f>AC$8+(AC$9-AC$8)*MAX(K251,L251)</x:f>
        <x:v>1</x:v>
      </x:c>
      <x:c r="AD251" s="59" t="n">
        <x:f>(V251*AE251+W251*AF251+X251*AG251)*PRODUCT(Y251:AC251)</x:f>
        <x:v>1.8388239377527014</x:v>
      </x:c>
      <x:c r="AE251" s="59" t="n">
        <x:f>1+AE$9*($H$10*H251+$I$10*I251+$J$10*J251+$K$10*K251+$L$10*L251)</x:f>
        <x:v>1</x:v>
      </x:c>
      <x:c r="AF251" s="59" t="n">
        <x:f>1+AF$9*($H$10*H251+$I$10*I251+$J$10*J251+$K$10*K251+$L$10*L251)</x:f>
        <x:v>1.199901731095688</x:v>
      </x:c>
      <x:c r="AG251" s="59" t="n">
        <x:f>1+AG$9*($H$10*H251+$I$10*I251+$J$10*J251+$K$10*K251+$L$10*L251)</x:f>
        <x:v>1.3542702901084722</x:v>
      </x:c>
      <x:c r="AH251" s="59" t="n">
        <x:f>MIN(1,'_曲线基线'!$L$3+AH$9*($H$10*H251+$I$10*I251+$J$10*J251+$K$10*K251+$L$10*L251))</x:f>
        <x:v>0.5047764382426899</x:v>
      </x:c>
      <x:c r="AI251" s="59" t="n">
        <x:f>'_曲线基线'!$L$4+AI$9*($H$10*H251+$I$10*I251+$J$10*J251+$K$10*K251+$L$10*L251)</x:f>
        <x:v>3.2668772208189223</x:v>
      </x:c>
      <x:c r="AJ251" s="59" t="n">
        <x:f>1+AJ$9*($H$10*H251+$I$10*I251+$J$10*J251+$K$10*K251+$L$10*L251)</x:f>
        <x:v>2.039489001697577</x:v>
      </x:c>
      <x:c r="AK251" s="59" t="n">
        <x:f>(1+AH251*(AI251-1))*AJ251</x:f>
        <x:v>4.373207350902288</x:v>
      </x:c>
      <x:c r="AL251" s="59" t="n">
        <x:f>U251*AD251*AK251*F251</x:f>
        <x:v>2051195.691837804</x:v>
      </x:c>
      <x:c r="AM251" s="59" t="n">
        <x:f>IF($B251&lt;AM$8,0,AM$3+(AM$4-AM$3)*(POWER(AM$5,$B251-AM$8)-1)/(POWER(AM$5,$C$5-AM$8)-1))</x:f>
        <x:v>48.135616268495</x:v>
      </x:c>
      <x:c r="AN251" s="59" t="n">
        <x:f>(((E251*'模块规划'!$D$10+G251*'模块规划'!$D$11+H251*'模块规划'!$D$13)*(1+'模块规划'!$G$14*H251)+(I251*'模块规划'!$D$15+J251*'模块规划'!$D$17+K251*'模块规划'!$D$16+L251*'模块规划'!$D$18))*(1+'模块规划'!$J$17*J251))*F251/(1-Q251)</x:f>
        <x:v>2581145.4593120045</x:v>
      </x:c>
      <x:c r="AO251" s="59" t="n">
        <x:f>AL251*AM251</x:f>
        <x:v>98735568.71389465</x:v>
      </x:c>
      <x:c r="AP251" s="61" t="n">
        <x:f>IF(AO251="","",INDEX('_曲线基线'!$A$3:$A$502,MIN(ROWS('_曲线基线'!$A$3:$A$502),COUNTIF('_曲线基线'!$E$3:$E$502,"&lt;"&amp;AO251)+1)))</x:f>
        <x:v>292</x:v>
      </x:c>
      <x:c r="AQ251" s="61" t="n">
        <x:f>IF(B251&lt;=2,1,IF(B251&lt;=6,2,IF(B251&lt;=9,3,IF(B251&lt;=19,4,5))))</x:f>
        <x:v>5</x:v>
      </x:c>
      <x:c r="AR251" s="59" t="n">
        <x:f>AN251*(1-Q251)/F251*$AS$3+U251*$AS$4+P251*$AS$5</x:f>
        <x:v>16610.24133265139</x:v>
      </x:c>
      <x:c r="AS251" s="59" t="n">
        <x:f>1+AH251*$AS$6+AI251*$AS$7+(AJ251-1)*$AS$8+($H$10*H251+$I$10*I251+$J$10*J251+$K$10*K251+$L$10*L251)*$AU$3*$AS$9+($H$10*H251+$I$10*I251+$J$10*J251+$K$10*K251+$L$10*L251)*$AU$4*$AS$10</x:f>
        <x:v>16.92593557130931</x:v>
      </x:c>
      <x:c r="AT251" s="60" t="n">
        <x:f>ROUND(AR251*AS251,0)</x:f>
        <x:v>281144</x:v>
      </x:c>
      <x:c r="AU251" s="60" t="n">
        <x:f>ROUND(AT251*F251,0)</x:f>
        <x:v>1405720</x:v>
      </x:c>
      <x:c r="AV251" s="60" t="n">
        <x:f>MIN(MATCH(B251,'主线调参'!$M$11:$M$62,1),ROWS('主线调参'!$M$11:$M$62)-1)</x:f>
        <x:v>47</x:v>
      </x:c>
      <x:c r="AW251" s="62" t="n">
        <x:f>(B251-INDEX('主线调参'!$M$11:$M$62,AV251))/(INDEX('主线调参'!$M$11:$M$62,AV251+1)-INDEX('主线调参'!$M$11:$M$62,AV251))</x:f>
        <x:v>0.35714285714285715</x:v>
      </x:c>
      <x:c r="AX251" s="60" t="n">
        <x:f>IF(AU251=0,0,ROUND(AU251,2-INT(LOG10(ABS(AU251)))))</x:f>
        <x:v>1410000</x:v>
      </x:c>
      <x:c r="AY251" s="62" t="n">
        <x:f>AU251/AU250-1</x:f>
        <x:v>0.003702156675841728</x:v>
      </x:c>
    </x:row>
    <x:row r="252" ht="25" customHeight="1">
      <x:c r="A252" s="40" t="str">
        <x:f>'调前玩家曲线'!A252</x:f>
      </x:c>
      <x:c r="B252" s="40" t="n">
        <x:f>'调前玩家曲线'!B252</x:f>
        <x:v>241</x:v>
      </x:c>
      <x:c r="C252" s="40" t="n">
        <x:f>'调前玩家曲线'!C252</x:f>
        <x:v>17</x:v>
      </x:c>
      <x:c r="D252" s="40" t="n">
        <x:f>'调前玩家曲线'!D252</x:f>
        <x:v>7</x:v>
      </x:c>
      <x:c r="E252" s="40" t="n">
        <x:f>'调前玩家曲线'!E252</x:f>
        <x:v>1</x:v>
      </x:c>
      <x:c r="F252" s="40" t="n">
        <x:f>'调前玩家曲线'!F252</x:f>
        <x:v>5</x:v>
      </x:c>
      <x:c r="G252" s="63" t="n">
        <x:f>IF(B252&lt;$G$8,0,(INDEX('主线调参'!$C$11:$C$62,$AV252)+(INDEX('主线调参'!$C$11:$C$62,$AV252+1)-INDEX('主线调参'!$C$11:$C$62,$AV252))*$AW252)*'参数说明'!$C$27)</x:f>
        <x:v>0.8563216326438301</x:v>
      </x:c>
      <x:c r="H252" s="63" t="n">
        <x:f>IF(B252&lt;$H$8,0,(INDEX('主线调参'!$D$11:$D$62,$AV252)+(INDEX('主线调参'!$D$11:$D$62,$AV252+1)-INDEX('主线调参'!$D$11:$D$62,$AV252))*$AW252)*'参数说明'!$D$27)</x:f>
        <x:v>0.6659829187799107</x:v>
      </x:c>
      <x:c r="I252" s="63" t="n">
        <x:f>IF(B252&lt;$I$8,0,(INDEX('主线调参'!$E$11:$E$62,$AV252)+(INDEX('主线调参'!$E$11:$E$62,$AV252+1)-INDEX('主线调参'!$E$11:$E$62,$AV252))*$AW252)*'参数说明'!$E$27)</x:f>
        <x:v>0.6060037565977694</x:v>
      </x:c>
      <x:c r="J252" s="63" t="n">
        <x:f>IF(B252&lt;$J$8,0,(INDEX('主线调参'!$F$11:$F$62,$AV252)+(INDEX('主线调参'!$F$11:$F$62,$AV252+1)-INDEX('主线调参'!$F$11:$F$62,$AV252))*$AW252)*'参数说明'!$F$27)</x:f>
        <x:v>0.5633841141490288</x:v>
      </x:c>
      <x:c r="K252" s="63" t="n">
        <x:f>IF(B252&lt;$K$8,0,(INDEX('主线调参'!$G$11:$G$62,$AV252)+(INDEX('主线调参'!$G$11:$G$62,$AV252+1)-INDEX('主线调参'!$G$11:$G$62,$AV252))*$AW252)*'参数说明'!$G$27)</x:f>
        <x:v>0.5955640817551096</x:v>
      </x:c>
      <x:c r="L252" s="63" t="n">
        <x:f>IF(B252&lt;$L$8,0,(INDEX('主线调参'!$H$11:$H$62,$AV252)+(INDEX('主线调参'!$H$11:$H$62,$AV252+1)-INDEX('主线调参'!$H$11:$H$62,$AV252))*$AW252)*'参数说明'!$H$27)</x:f>
        <x:v>0.6646324135819176</x:v>
      </x:c>
      <x:c r="M252" s="59" t="n">
        <x:f>E252*'模块规划'!$F$10+G252*'模块规划'!$F$11+H252*'模块规划'!$F$13</x:f>
        <x:v>5110.343836690385</x:v>
      </x:c>
      <x:c r="N252" s="59" t="n">
        <x:f>I252*'模块规划'!$F$15+J252*'模块规划'!$F$17+K252*'模块规划'!$F$16+L252*'模块规划'!$F$18</x:f>
        <x:v>17378.41775271269</x:v>
      </x:c>
      <x:c r="O252" s="59" t="n">
        <x:f>1+O$9*SUMPRODUCT($H$10:$L$10,H252:L252)/SUM($H$10:$L$10)</x:f>
        <x:v>3.269202274331809</x:v>
      </x:c>
      <x:c r="P252" s="59" t="n">
        <x:f>M252*O252+N252</x:f>
        <x:v>34085.16544623844</x:v>
      </x:c>
      <x:c r="Q252" s="59" t="n">
        <x:f>P252/(P252+'_曲线基线'!$L$2)</x:f>
        <x:v>0.5868136069576397</x:v>
      </x:c>
      <x:c r="R252" s="59" t="n">
        <x:f>E252*'模块规划'!$E$10+G252*'模块规划'!$E$11+H252*'模块规划'!$E$13</x:f>
        <x:v>7665.515755035577</x:v>
      </x:c>
      <x:c r="S252" s="59" t="n">
        <x:f>I252*'模块规划'!$E$15+J252*'模块规划'!$E$17+K252*'模块规划'!$E$16+L252*'模块规划'!$E$18</x:f>
        <x:v>26067.626629069033</x:v>
      </x:c>
      <x:c r="T252" s="59" t="n">
        <x:f>1+T$9*SUMPRODUCT($H$10:$L$10,H252:L252)/SUM($H$10:$L$10)</x:f>
        <x:v>3.269202274331809</x:v>
      </x:c>
      <x:c r="U252" s="59" t="n">
        <x:f>R252*T252+S252</x:f>
        <x:v>51127.748169357656</x:v>
      </x:c>
      <x:c r="V252" s="59" t="n">
        <x:f>V$8+(V$9-V$8)*H252</x:f>
        <x:v>0.8997948756339732</x:v>
      </x:c>
      <x:c r="W252" s="59" t="n">
        <x:f>IF(B252&lt;$H$8,0,W$8+(W$9-W$8)*H252)</x:f>
        <x:v>0.2663931675119643</x:v>
      </x:c>
      <x:c r="X252" s="59" t="n">
        <x:f>X$8+(X$9-X$8)*H252</x:f>
        <x:v>0.4581453026644755</x:v>
      </x:c>
      <x:c r="Y252" s="59" t="n">
        <x:f>Y$8+(Y$9-Y$8)*G252</x:f>
        <x:v>1</x:v>
      </x:c>
      <x:c r="Z252" s="59" t="n">
        <x:f>Z$8+(Z$9-Z$8)*H252</x:f>
        <x:v>1</x:v>
      </x:c>
      <x:c r="AA252" s="59" t="n">
        <x:f>AA$8+(AA$9-AA$8)*I252</x:f>
        <x:v>1</x:v>
      </x:c>
      <x:c r="AB252" s="59" t="n">
        <x:f>AB$8+(AB$9-AB$8)*J252</x:f>
        <x:v>1</x:v>
      </x:c>
      <x:c r="AC252" s="59" t="n">
        <x:f>AC$8+(AC$9-AC$8)*MAX(K252,L252)</x:f>
        <x:v>1</x:v>
      </x:c>
      <x:c r="AD252" s="59" t="n">
        <x:f>(V252*AE252+W252*AF252+X252*AG252)*PRODUCT(Y252:AC252)</x:f>
        <x:v>1.8402985655897053</x:v>
      </x:c>
      <x:c r="AE252" s="59" t="n">
        <x:f>1+AE$9*($H$10*H252+$I$10*I252+$J$10*J252+$K$10*K252+$L$10*L252)</x:f>
        <x:v>1</x:v>
      </x:c>
      <x:c r="AF252" s="59" t="n">
        <x:f>1+AF$9*($H$10*H252+$I$10*I252+$J$10*J252+$K$10*K252+$L$10*L252)</x:f>
        <x:v>1.2002777715807023</x:v>
      </x:c>
      <x:c r="AG252" s="59" t="n">
        <x:f>1+AG$9*($H$10*H252+$I$10*I252+$J$10*J252+$K$10*K252+$L$10*L252)</x:f>
        <x:v>1.3549367174124698</x:v>
      </x:c>
      <x:c r="AH252" s="59" t="n">
        <x:f>MIN(1,'_曲线基线'!$L$3+AH$9*($H$10*H252+$I$10*I252+$J$10*J252+$K$10*K252+$L$10*L252))</x:f>
        <x:v>0.5056319303460974</x:v>
      </x:c>
      <x:c r="AI252" s="59" t="n">
        <x:f>'_曲线基线'!$L$4+AI$9*($H$10*H252+$I$10*I252+$J$10*J252+$K$10*K252+$L$10*L252)</x:f>
        <x:v>3.2692603773927</x:v>
      </x:c>
      <x:c r="AJ252" s="59" t="n">
        <x:f>1+AJ$9*($H$10*H252+$I$10*I252+$J$10*J252+$K$10*K252+$L$10*L252)</x:f>
        <x:v>2.0414444122196516</x:v>
      </x:c>
      <x:c r="AK252" s="59" t="n">
        <x:f>(1+AH252*(AI252-1))*AJ252</x:f>
        <x:v>4.3838191763352725</x:v>
      </x:c>
      <x:c r="AL252" s="59" t="n">
        <x:f>U252*AD252*AK252*F252</x:f>
        <x:v>2062374.7810805289</x:v>
      </x:c>
      <x:c r="AM252" s="59" t="n">
        <x:f>IF($B252&lt;AM$8,0,AM$3+(AM$4-AM$3)*(POWER(AM$5,$B252-AM$8)-1)/(POWER(AM$5,$C$5-AM$8)-1))</x:f>
        <x:v>48.280397071101824</x:v>
      </x:c>
      <x:c r="AN252" s="59" t="n">
        <x:f>(((E252*'模块规划'!$D$10+G252*'模块规划'!$D$11+H252*'模块规划'!$D$13)*(1+'模块规划'!$G$14*H252)+(I252*'模块规划'!$D$15+J252*'模块规划'!$D$17+K252*'模块规划'!$D$16+L252*'模块规划'!$D$18))*(1+'模块规划'!$J$17*J252))*F252/(1-Q252)</x:f>
        <x:v>2591228.3975650026</x:v>
      </x:c>
      <x:c r="AO252" s="59" t="n">
        <x:f>AL252*AM252</x:f>
        <x:v>99572273.33999462</x:v>
      </x:c>
      <x:c r="AP252" s="61" t="n">
        <x:f>IF(AO252="","",INDEX('_曲线基线'!$A$3:$A$502,MIN(ROWS('_曲线基线'!$A$3:$A$502),COUNTIF('_曲线基线'!$E$3:$E$502,"&lt;"&amp;AO252)+1)))</x:f>
        <x:v>293</x:v>
      </x:c>
      <x:c r="AQ252" s="61" t="n">
        <x:f>IF(B252&lt;=2,1,IF(B252&lt;=6,2,IF(B252&lt;=9,3,IF(B252&lt;=19,4,5))))</x:f>
        <x:v>5</x:v>
      </x:c>
      <x:c r="AR252" s="59" t="n">
        <x:f>AN252*(1-Q252)/F252*$AS$3+U252*$AS$4+P252*$AS$5</x:f>
        <x:v>16649.51152470444</x:v>
      </x:c>
      <x:c r="AS252" s="59" t="n">
        <x:f>1+AH252*$AS$6+AI252*$AS$7+(AJ252-1)*$AS$8+($H$10*H252+$I$10*I252+$J$10*J252+$K$10*K252+$L$10*L252)*$AU$3*$AS$9+($H$10*H252+$I$10*I252+$J$10*J252+$K$10*K252+$L$10*L252)*$AU$4*$AS$10</x:f>
        <x:v>16.948404417564916</x:v>
      </x:c>
      <x:c r="AT252" s="60" t="n">
        <x:f>ROUND(AR252*AS252,0)</x:f>
        <x:v>282183</x:v>
      </x:c>
      <x:c r="AU252" s="60" t="n">
        <x:f>ROUND(AT252*F252,0)</x:f>
        <x:v>1410915</x:v>
      </x:c>
      <x:c r="AV252" s="60" t="n">
        <x:f>MIN(MATCH(B252,'主线调参'!$M$11:$M$62,1),ROWS('主线调参'!$M$11:$M$62)-1)</x:f>
        <x:v>47</x:v>
      </x:c>
      <x:c r="AW252" s="62" t="n">
        <x:f>(B252-INDEX('主线调参'!$M$11:$M$62,AV252))/(INDEX('主线调参'!$M$11:$M$62,AV252+1)-INDEX('主线调参'!$M$11:$M$62,AV252))</x:f>
        <x:v>0.42857142857142855</x:v>
      </x:c>
      <x:c r="AX252" s="60" t="n">
        <x:f>IF(AU252=0,0,ROUND(AU252,2-INT(LOG10(ABS(AU252)))))</x:f>
        <x:v>1410000</x:v>
      </x:c>
      <x:c r="AY252" s="62" t="n">
        <x:f>AU252/AU251-1</x:f>
        <x:v>0.0036956150584752656</x:v>
      </x:c>
    </x:row>
    <x:row r="253" ht="25" customHeight="1">
      <x:c r="A253" s="40" t="str">
        <x:f>'调前玩家曲线'!A253</x:f>
      </x:c>
      <x:c r="B253" s="40" t="n">
        <x:f>'调前玩家曲线'!B253</x:f>
        <x:v>242</x:v>
      </x:c>
      <x:c r="C253" s="40" t="n">
        <x:f>'调前玩家曲线'!C253</x:f>
        <x:v>17</x:v>
      </x:c>
      <x:c r="D253" s="40" t="n">
        <x:f>'调前玩家曲线'!D253</x:f>
        <x:v>8</x:v>
      </x:c>
      <x:c r="E253" s="40" t="n">
        <x:f>'调前玩家曲线'!E253</x:f>
        <x:v>1</x:v>
      </x:c>
      <x:c r="F253" s="40" t="n">
        <x:f>'调前玩家曲线'!F253</x:f>
        <x:v>5</x:v>
      </x:c>
      <x:c r="G253" s="63" t="n">
        <x:f>IF(B253&lt;$G$8,0,(INDEX('主线调参'!$C$11:$C$62,$AV253)+(INDEX('主线调参'!$C$11:$C$62,$AV253+1)-INDEX('主线调参'!$C$11:$C$62,$AV253))*$AW253)*'参数说明'!$C$27)</x:f>
        <x:v>0.8575330239952619</x:v>
      </x:c>
      <x:c r="H253" s="63" t="n">
        <x:f>IF(B253&lt;$H$8,0,(INDEX('主线调参'!$D$11:$D$62,$AV253)+(INDEX('主线调参'!$D$11:$D$62,$AV253+1)-INDEX('主线调参'!$D$11:$D$62,$AV253))*$AW253)*'参数说明'!$D$27)</x:f>
        <x:v>0.666910675268915</x:v>
      </x:c>
      <x:c r="I253" s="63" t="n">
        <x:f>IF(B253&lt;$I$8,0,(INDEX('主线调参'!$E$11:$E$62,$AV253)+(INDEX('主线调参'!$E$11:$E$62,$AV253+1)-INDEX('主线调参'!$E$11:$E$62,$AV253))*$AW253)*'参数说明'!$E$27)</x:f>
        <x:v>0.6072452958137426</x:v>
      </x:c>
      <x:c r="J253" s="63" t="n">
        <x:f>IF(B253&lt;$J$8,0,(INDEX('主线调参'!$F$11:$F$62,$AV253)+(INDEX('主线调参'!$F$11:$F$62,$AV253+1)-INDEX('主线调参'!$F$11:$F$62,$AV253))*$AW253)*'参数说明'!$F$27)</x:f>
        <x:v>0.5643897626955517</x:v>
      </x:c>
      <x:c r="K253" s="63" t="n">
        <x:f>IF(B253&lt;$K$8,0,(INDEX('主线调参'!$G$11:$G$62,$AV253)+(INDEX('主线调参'!$G$11:$G$62,$AV253+1)-INDEX('主线调参'!$G$11:$G$62,$AV253))*$AW253)*'参数说明'!$G$27)</x:f>
        <x:v>0.5971723852423735</x:v>
      </x:c>
      <x:c r="L253" s="63" t="n">
        <x:f>IF(B253&lt;$L$8,0,(INDEX('主线调参'!$H$11:$H$62,$AV253)+(INDEX('主线调参'!$H$11:$H$62,$AV253+1)-INDEX('主线调参'!$H$11:$H$62,$AV253))*$AW253)*'参数说明'!$H$27)</x:f>
        <x:v>0.6656021336602127</x:v>
      </x:c>
      <x:c r="M253" s="59" t="n">
        <x:f>E253*'模块规划'!$F$10+G253*'模块规划'!$F$11+H253*'模块规划'!$F$13</x:f>
        <x:v>5116.158515177257</x:v>
      </x:c>
      <x:c r="N253" s="59" t="n">
        <x:f>I253*'模块规划'!$F$15+J253*'模块规划'!$F$17+K253*'模块规划'!$F$16+L253*'模块规划'!$F$18</x:f>
        <x:v>17412.904973220764</x:v>
      </x:c>
      <x:c r="O253" s="59" t="n">
        <x:f>1+O$9*SUMPRODUCT($H$10:$L$10,H253:L253)/SUM($H$10:$L$10)</x:f>
        <x:v>3.273462916524401</x:v>
      </x:c>
      <x:c r="P253" s="59" t="n">
        <x:f>M253*O253+N253</x:f>
        <x:v>34160.46014771405</x:v>
      </x:c>
      <x:c r="Q253" s="59" t="n">
        <x:f>P253/(P253+'_曲线基线'!$L$2)</x:f>
        <x:v>0.5873485192681492</x:v>
      </x:c>
      <x:c r="R253" s="59" t="n">
        <x:f>E253*'模块规划'!$E$10+G253*'模块规划'!$E$11+H253*'模块规划'!$E$13</x:f>
        <x:v>7674.237772765886</x:v>
      </x:c>
      <x:c r="S253" s="59" t="n">
        <x:f>I253*'模块规划'!$E$15+J253*'模块规划'!$E$17+K253*'模块规划'!$E$16+L253*'模块规划'!$E$18</x:f>
        <x:v>26119.357459831146</x:v>
      </x:c>
      <x:c r="T253" s="59" t="n">
        <x:f>1+T$9*SUMPRODUCT($H$10:$L$10,H253:L253)/SUM($H$10:$L$10)</x:f>
        <x:v>3.273462916524401</x:v>
      </x:c>
      <x:c r="U253" s="59" t="n">
        <x:f>R253*T253+S253</x:f>
        <x:v>51240.69022157109</x:v>
      </x:c>
      <x:c r="V253" s="59" t="n">
        <x:f>V$8+(V$9-V$8)*H253</x:f>
        <x:v>0.9000732025806745</x:v>
      </x:c>
      <x:c r="W253" s="59" t="n">
        <x:f>IF(B253&lt;$H$8,0,W$8+(W$9-W$8)*H253)</x:f>
        <x:v>0.26676427010756604</x:v>
      </x:c>
      <x:c r="X253" s="59" t="n">
        <x:f>X$8+(X$9-X$8)*H253</x:f>
        <x:v>0.45840043569895167</x:v>
      </x:c>
      <x:c r="Y253" s="59" t="n">
        <x:f>Y$8+(Y$9-Y$8)*G253</x:f>
        <x:v>1</x:v>
      </x:c>
      <x:c r="Z253" s="59" t="n">
        <x:f>Z$8+(Z$9-Z$8)*H253</x:f>
        <x:v>1</x:v>
      </x:c>
      <x:c r="AA253" s="59" t="n">
        <x:f>AA$8+(AA$9-AA$8)*I253</x:f>
        <x:v>1</x:v>
      </x:c>
      <x:c r="AB253" s="59" t="n">
        <x:f>AB$8+(AB$9-AB$8)*J253</x:f>
        <x:v>1</x:v>
      </x:c>
      <x:c r="AC253" s="59" t="n">
        <x:f>AC$8+(AC$9-AC$8)*MAX(K253,L253)</x:f>
        <x:v>1</x:v>
      </x:c>
      <x:c r="AD253" s="59" t="n">
        <x:f>(V253*AE253+W253*AF253+X253*AG253)*PRODUCT(Y253:AC253)</x:f>
        <x:v>1.8417738125811494</x:v>
      </x:c>
      <x:c r="AE253" s="59" t="n">
        <x:f>1+AE$9*($H$10*H253+$I$10*I253+$J$10*J253+$K$10*K253+$L$10*L253)</x:f>
        <x:v>1</x:v>
      </x:c>
      <x:c r="AF253" s="59" t="n">
        <x:f>1+AF$9*($H$10*H253+$I$10*I253+$J$10*J253+$K$10*K253+$L$10*L253)</x:f>
        <x:v>1.2006538120657164</x:v>
      </x:c>
      <x:c r="AG253" s="59" t="n">
        <x:f>1+AG$9*($H$10*H253+$I$10*I253+$J$10*J253+$K$10*K253+$L$10*L253)</x:f>
        <x:v>1.355603144716467</x:v>
      </x:c>
      <x:c r="AH253" s="59" t="n">
        <x:f>MIN(1,'_曲线基线'!$L$3+AH$9*($H$10*H253+$I$10*I253+$J$10*J253+$K$10*K253+$L$10*L253))</x:f>
        <x:v>0.5064874224495046</x:v>
      </x:c>
      <x:c r="AI253" s="59" t="n">
        <x:f>'_曲线基线'!$L$4+AI$9*($H$10*H253+$I$10*I253+$J$10*J253+$K$10*K253+$L$10*L253)</x:f>
        <x:v>3.2716435339664773</x:v>
      </x:c>
      <x:c r="AJ253" s="59" t="n">
        <x:f>1+AJ$9*($H$10*H253+$I$10*I253+$J$10*J253+$K$10*K253+$L$10*L253)</x:f>
        <x:v>2.043399822741725</x:v>
      </x:c>
      <x:c r="AK253" s="59" t="n">
        <x:f>(1+AH253*(AI253-1))*AJ253</x:f>
        <x:v>4.394451630596909</x:v>
      </x:c>
      <x:c r="AL253" s="59" t="n">
        <x:f>U253*AD253*AK253*F253</x:f>
        <x:v>2073604.6481000797</x:v>
      </x:c>
      <x:c r="AM253" s="59" t="n">
        <x:f>IF($B253&lt;AM$8,0,AM$3+(AM$4-AM$3)*(POWER(AM$5,$B253-AM$8)-1)/(POWER(AM$5,$C$5-AM$8)-1))</x:f>
        <x:v>48.42662568173471</x:v>
      </x:c>
      <x:c r="AN253" s="59" t="n">
        <x:f>(((E253*'模块规划'!$D$10+G253*'模块规划'!$D$11+H253*'模块规划'!$D$13)*(1+'模块规划'!$G$14*H253)+(I253*'模块规划'!$D$15+J253*'模块规划'!$D$17+K253*'模块规划'!$D$16+L253*'模块规划'!$D$18))*(1+'模块规划'!$J$17*J253))*F253/(1-Q253)</x:f>
        <x:v>2601339.0137572954</x:v>
      </x:c>
      <x:c r="AO253" s="59" t="n">
        <x:f>AL253*AM253</x:f>
        <x:v>100417676.1054478</x:v>
      </x:c>
      <x:c r="AP253" s="61" t="n">
        <x:f>IF(AO253="","",INDEX('_曲线基线'!$A$3:$A$502,MIN(ROWS('_曲线基线'!$A$3:$A$502),COUNTIF('_曲线基线'!$E$3:$E$502,"&lt;"&amp;AO253)+1)))</x:f>
        <x:v>293</x:v>
      </x:c>
      <x:c r="AQ253" s="61" t="n">
        <x:f>IF(B253&lt;=2,1,IF(B253&lt;=6,2,IF(B253&lt;=9,3,IF(B253&lt;=19,4,5))))</x:f>
        <x:v>5</x:v>
      </x:c>
      <x:c r="AR253" s="59" t="n">
        <x:f>AN253*(1-Q253)/F253*$AS$3+U253*$AS$4+P253*$AS$5</x:f>
        <x:v>16688.816419789102</x:v>
      </x:c>
      <x:c r="AS253" s="59" t="n">
        <x:f>1+AH253*$AS$6+AI253*$AS$7+(AJ253-1)*$AS$8+($H$10*H253+$I$10*I253+$J$10*J253+$K$10*K253+$L$10*L253)*$AU$3*$AS$9+($H$10*H253+$I$10*I253+$J$10*J253+$K$10*K253+$L$10*L253)*$AU$4*$AS$10</x:f>
        <x:v>16.97087326382051</x:v>
      </x:c>
      <x:c r="AT253" s="60" t="n">
        <x:f>ROUND(AR253*AS253,0)</x:f>
        <x:v>283224</x:v>
      </x:c>
      <x:c r="AU253" s="60" t="n">
        <x:f>ROUND(AT253*F253,0)</x:f>
        <x:v>1416120</x:v>
      </x:c>
      <x:c r="AV253" s="60" t="n">
        <x:f>MIN(MATCH(B253,'主线调参'!$M$11:$M$62,1),ROWS('主线调参'!$M$11:$M$62)-1)</x:f>
        <x:v>47</x:v>
      </x:c>
      <x:c r="AW253" s="62" t="n">
        <x:f>(B253-INDEX('主线调参'!$M$11:$M$62,AV253))/(INDEX('主线调参'!$M$11:$M$62,AV253+1)-INDEX('主线调参'!$M$11:$M$62,AV253))</x:f>
        <x:v>0.5</x:v>
      </x:c>
      <x:c r="AX253" s="60" t="n">
        <x:f>IF(AU253=0,0,ROUND(AU253,2-INT(LOG10(ABS(AU253)))))</x:f>
        <x:v>1420000</x:v>
      </x:c>
      <x:c r="AY253" s="62" t="n">
        <x:f>AU253/AU252-1</x:f>
        <x:v>0.003689095374278306</x:v>
      </x:c>
    </x:row>
    <x:row r="254" ht="25" customHeight="1">
      <x:c r="A254" s="40" t="str">
        <x:f>'调前玩家曲线'!A254</x:f>
      </x:c>
      <x:c r="B254" s="40" t="n">
        <x:f>'调前玩家曲线'!B254</x:f>
        <x:v>243</x:v>
      </x:c>
      <x:c r="C254" s="40" t="n">
        <x:f>'调前玩家曲线'!C254</x:f>
        <x:v>17</x:v>
      </x:c>
      <x:c r="D254" s="40" t="n">
        <x:f>'调前玩家曲线'!D254</x:f>
        <x:v>9</x:v>
      </x:c>
      <x:c r="E254" s="40" t="n">
        <x:f>'调前玩家曲线'!E254</x:f>
        <x:v>1</x:v>
      </x:c>
      <x:c r="F254" s="40" t="n">
        <x:f>'调前玩家曲线'!F254</x:f>
        <x:v>5</x:v>
      </x:c>
      <x:c r="G254" s="63" t="n">
        <x:f>IF(B254&lt;$G$8,0,(INDEX('主线调参'!$C$11:$C$62,$AV254)+(INDEX('主线调参'!$C$11:$C$62,$AV254+1)-INDEX('主线调参'!$C$11:$C$62,$AV254))*$AW254)*'参数说明'!$C$27)</x:f>
        <x:v>0.8587444153466937</x:v>
      </x:c>
      <x:c r="H254" s="63" t="n">
        <x:f>IF(B254&lt;$H$8,0,(INDEX('主线调参'!$D$11:$D$62,$AV254)+(INDEX('主线调参'!$D$11:$D$62,$AV254+1)-INDEX('主线调参'!$D$11:$D$62,$AV254))*$AW254)*'参数说明'!$D$27)</x:f>
        <x:v>0.6678384317579192</x:v>
      </x:c>
      <x:c r="I254" s="63" t="n">
        <x:f>IF(B254&lt;$I$8,0,(INDEX('主线调参'!$E$11:$E$62,$AV254)+(INDEX('主线调参'!$E$11:$E$62,$AV254+1)-INDEX('主线调参'!$E$11:$E$62,$AV254))*$AW254)*'参数说明'!$E$27)</x:f>
        <x:v>0.6084868350297159</x:v>
      </x:c>
      <x:c r="J254" s="63" t="n">
        <x:f>IF(B254&lt;$J$8,0,(INDEX('主线调参'!$F$11:$F$62,$AV254)+(INDEX('主线调参'!$F$11:$F$62,$AV254+1)-INDEX('主线调参'!$F$11:$F$62,$AV254))*$AW254)*'参数说明'!$F$27)</x:f>
        <x:v>0.5653954112420748</x:v>
      </x:c>
      <x:c r="K254" s="63" t="n">
        <x:f>IF(B254&lt;$K$8,0,(INDEX('主线调参'!$G$11:$G$62,$AV254)+(INDEX('主线调参'!$G$11:$G$62,$AV254+1)-INDEX('主线调参'!$G$11:$G$62,$AV254))*$AW254)*'参数说明'!$G$27)</x:f>
        <x:v>0.5987806887296374</x:v>
      </x:c>
      <x:c r="L254" s="63" t="n">
        <x:f>IF(B254&lt;$L$8,0,(INDEX('主线调参'!$H$11:$H$62,$AV254)+(INDEX('主线调参'!$H$11:$H$62,$AV254+1)-INDEX('主线调参'!$H$11:$H$62,$AV254))*$AW254)*'参数说明'!$H$27)</x:f>
        <x:v>0.6665718537385079</x:v>
      </x:c>
      <x:c r="M254" s="59" t="n">
        <x:f>E254*'模块规划'!$F$10+G254*'模块规划'!$F$11+H254*'模块规划'!$F$13</x:f>
        <x:v>5121.973193664129</x:v>
      </x:c>
      <x:c r="N254" s="59" t="n">
        <x:f>I254*'模块规划'!$F$15+J254*'模块规划'!$F$17+K254*'模块规划'!$F$16+L254*'模块规划'!$F$18</x:f>
        <x:v>17447.39219372884</x:v>
      </x:c>
      <x:c r="O254" s="59" t="n">
        <x:f>1+O$9*SUMPRODUCT($H$10:$L$10,H254:L254)/SUM($H$10:$L$10)</x:f>
        <x:v>3.2777235587169944</x:v>
      </x:c>
      <x:c r="P254" s="59" t="n">
        <x:f>M254*O254+N254</x:f>
        <x:v>34235.804397718675</x:v>
      </x:c>
      <x:c r="Q254" s="59" t="n">
        <x:f>P254/(P254+'_曲线基线'!$L$2)</x:f>
        <x:v>0.5878823990119011</x:v>
      </x:c>
      <x:c r="R254" s="59" t="n">
        <x:f>E254*'模块规划'!$E$10+G254*'模块规划'!$E$11+H254*'模块规划'!$E$13</x:f>
        <x:v>7682.959790496195</x:v>
      </x:c>
      <x:c r="S254" s="59" t="n">
        <x:f>I254*'模块规划'!$E$15+J254*'模块规划'!$E$17+K254*'模块规划'!$E$16+L254*'模块规划'!$E$18</x:f>
        <x:v>26171.08829059326</x:v>
      </x:c>
      <x:c r="T254" s="59" t="n">
        <x:f>1+T$9*SUMPRODUCT($H$10:$L$10,H254:L254)/SUM($H$10:$L$10)</x:f>
        <x:v>3.2777235587169944</x:v>
      </x:c>
      <x:c r="U254" s="59" t="n">
        <x:f>R254*T254+S254</x:f>
        <x:v>51353.70659657802</x:v>
      </x:c>
      <x:c r="V254" s="59" t="n">
        <x:f>V$8+(V$9-V$8)*H254</x:f>
        <x:v>0.9003515295273757</x:v>
      </x:c>
      <x:c r="W254" s="59" t="n">
        <x:f>IF(B254&lt;$H$8,0,W$8+(W$9-W$8)*H254)</x:f>
        <x:v>0.26713537270316773</x:v>
      </x:c>
      <x:c r="X254" s="59" t="n">
        <x:f>X$8+(X$9-X$8)*H254</x:f>
        <x:v>0.45865556873342783</x:v>
      </x:c>
      <x:c r="Y254" s="59" t="n">
        <x:f>Y$8+(Y$9-Y$8)*G254</x:f>
        <x:v>1</x:v>
      </x:c>
      <x:c r="Z254" s="59" t="n">
        <x:f>Z$8+(Z$9-Z$8)*H254</x:f>
        <x:v>1</x:v>
      </x:c>
      <x:c r="AA254" s="59" t="n">
        <x:f>AA$8+(AA$9-AA$8)*I254</x:f>
        <x:v>1</x:v>
      </x:c>
      <x:c r="AB254" s="59" t="n">
        <x:f>AB$8+(AB$9-AB$8)*J254</x:f>
        <x:v>1</x:v>
      </x:c>
      <x:c r="AC254" s="59" t="n">
        <x:f>AC$8+(AC$9-AC$8)*MAX(K254,L254)</x:f>
        <x:v>1</x:v>
      </x:c>
      <x:c r="AD254" s="59" t="n">
        <x:f>(V254*AE254+W254*AF254+X254*AG254)*PRODUCT(Y254:AC254)</x:f>
        <x:v>1.8432496787270347</x:v>
      </x:c>
      <x:c r="AE254" s="59" t="n">
        <x:f>1+AE$9*($H$10*H254+$I$10*I254+$J$10*J254+$K$10*K254+$L$10*L254)</x:f>
        <x:v>1</x:v>
      </x:c>
      <x:c r="AF254" s="59" t="n">
        <x:f>1+AF$9*($H$10*H254+$I$10*I254+$J$10*J254+$K$10*K254+$L$10*L254)</x:f>
        <x:v>1.2010298525507308</x:v>
      </x:c>
      <x:c r="AG254" s="59" t="n">
        <x:f>1+AG$9*($H$10*H254+$I$10*I254+$J$10*J254+$K$10*K254+$L$10*L254)</x:f>
        <x:v>1.3562695720204645</x:v>
      </x:c>
      <x:c r="AH254" s="59" t="n">
        <x:f>MIN(1,'_曲线基线'!$L$3+AH$9*($H$10*H254+$I$10*I254+$J$10*J254+$K$10*K254+$L$10*L254))</x:f>
        <x:v>0.5073429145529122</x:v>
      </x:c>
      <x:c r="AI254" s="59" t="n">
        <x:f>'_曲线基线'!$L$4+AI$9*($H$10*H254+$I$10*I254+$J$10*J254+$K$10*K254+$L$10*L254)</x:f>
        <x:v>3.2740266905402553</x:v>
      </x:c>
      <x:c r="AJ254" s="59" t="n">
        <x:f>1+AJ$9*($H$10*H254+$I$10*I254+$J$10*J254+$K$10*K254+$L$10*L254)</x:f>
        <x:v>2.045355233263799</x:v>
      </x:c>
      <x:c r="AK254" s="59" t="n">
        <x:f>(1+AH254*(AI254-1))*AJ254</x:f>
        <x:v>4.405104737607019</x:v>
      </x:c>
      <x:c r="AL254" s="59" t="n">
        <x:f>U254*AD254*AK254*F254</x:f>
        <x:v>2084885.4837690936</x:v>
      </x:c>
      <x:c r="AM254" s="59" t="n">
        <x:f>IF($B254&lt;AM$8,0,AM$3+(AM$4-AM$3)*(POWER(AM$5,$B254-AM$8)-1)/(POWER(AM$5,$C$5-AM$8)-1))</x:f>
        <x:v>48.574316578473926</x:v>
      </x:c>
      <x:c r="AN254" s="59" t="n">
        <x:f>(((E254*'模块规划'!$D$10+G254*'模块规划'!$D$11+H254*'模块规划'!$D$13)*(1+'模块规划'!$G$14*H254)+(I254*'模块规划'!$D$15+J254*'模块规划'!$D$17+K254*'模块规划'!$D$16+L254*'模块规划'!$D$18))*(1+'模块规划'!$J$17*J254))*F254/(1-Q254)</x:f>
        <x:v>2611477.3583966265</x:v>
      </x:c>
      <x:c r="AO254" s="59" t="n">
        <x:f>AL254*AM254</x:f>
        <x:v>101271887.51846471</x:v>
      </x:c>
      <x:c r="AP254" s="61" t="n">
        <x:f>IF(AO254="","",INDEX('_曲线基线'!$A$3:$A$502,MIN(ROWS('_曲线基线'!$A$3:$A$502),COUNTIF('_曲线基线'!$E$3:$E$502,"&lt;"&amp;AO254)+1)))</x:f>
        <x:v>294</x:v>
      </x:c>
      <x:c r="AQ254" s="61" t="n">
        <x:f>IF(B254&lt;=2,1,IF(B254&lt;=6,2,IF(B254&lt;=9,3,IF(B254&lt;=19,4,5))))</x:f>
        <x:v>5</x:v>
      </x:c>
      <x:c r="AR254" s="59" t="n">
        <x:f>AN254*(1-Q254)/F254*$AS$3+U254*$AS$4+P254*$AS$5</x:f>
        <x:v>16728.156023178537</x:v>
      </x:c>
      <x:c r="AS254" s="59" t="n">
        <x:f>1+AH254*$AS$6+AI254*$AS$7+(AJ254-1)*$AS$8+($H$10*H254+$I$10*I254+$J$10*J254+$K$10*K254+$L$10*L254)*$AU$3*$AS$9+($H$10*H254+$I$10*I254+$J$10*J254+$K$10*K254+$L$10*L254)*$AU$4*$AS$10</x:f>
        <x:v>16.993342110076117</x:v>
      </x:c>
      <x:c r="AT254" s="60" t="n">
        <x:f>ROUND(AR254*AS254,0)</x:f>
        <x:v>284267</x:v>
      </x:c>
      <x:c r="AU254" s="60" t="n">
        <x:f>ROUND(AT254*F254,0)</x:f>
        <x:v>1421335</x:v>
      </x:c>
      <x:c r="AV254" s="60" t="n">
        <x:f>MIN(MATCH(B254,'主线调参'!$M$11:$M$62,1),ROWS('主线调参'!$M$11:$M$62)-1)</x:f>
        <x:v>47</x:v>
      </x:c>
      <x:c r="AW254" s="62" t="n">
        <x:f>(B254-INDEX('主线调参'!$M$11:$M$62,AV254))/(INDEX('主线调参'!$M$11:$M$62,AV254+1)-INDEX('主线调参'!$M$11:$M$62,AV254))</x:f>
        <x:v>0.5714285714285714</x:v>
      </x:c>
      <x:c r="AX254" s="60" t="n">
        <x:f>IF(AU254=0,0,ROUND(AU254,2-INT(LOG10(ABS(AU254)))))</x:f>
        <x:v>1420000</x:v>
      </x:c>
      <x:c r="AY254" s="62" t="n">
        <x:f>AU254/AU253-1</x:f>
        <x:v>0.003682597519984121</x:v>
      </x:c>
    </x:row>
    <x:row r="255" ht="25" customHeight="1">
      <x:c r="A255" s="40" t="str">
        <x:f>'调前玩家曲线'!A255</x:f>
      </x:c>
      <x:c r="B255" s="40" t="n">
        <x:f>'调前玩家曲线'!B255</x:f>
        <x:v>244</x:v>
      </x:c>
      <x:c r="C255" s="40" t="n">
        <x:f>'调前玩家曲线'!C255</x:f>
        <x:v>17</x:v>
      </x:c>
      <x:c r="D255" s="40" t="n">
        <x:f>'调前玩家曲线'!D255</x:f>
        <x:v>10</x:v>
      </x:c>
      <x:c r="E255" s="40" t="n">
        <x:f>'调前玩家曲线'!E255</x:f>
        <x:v>1</x:v>
      </x:c>
      <x:c r="F255" s="40" t="n">
        <x:f>'调前玩家曲线'!F255</x:f>
        <x:v>5</x:v>
      </x:c>
      <x:c r="G255" s="63" t="n">
        <x:f>IF(B255&lt;$G$8,0,(INDEX('主线调参'!$C$11:$C$62,$AV255)+(INDEX('主线调参'!$C$11:$C$62,$AV255+1)-INDEX('主线调参'!$C$11:$C$62,$AV255))*$AW255)*'参数说明'!$C$27)</x:f>
        <x:v>0.8599558066981254</x:v>
      </x:c>
      <x:c r="H255" s="63" t="n">
        <x:f>IF(B255&lt;$H$8,0,(INDEX('主线调参'!$D$11:$D$62,$AV255)+(INDEX('主线调参'!$D$11:$D$62,$AV255+1)-INDEX('主线调参'!$D$11:$D$62,$AV255))*$AW255)*'参数说明'!$D$27)</x:f>
        <x:v>0.6687661882469237</x:v>
      </x:c>
      <x:c r="I255" s="63" t="n">
        <x:f>IF(B255&lt;$I$8,0,(INDEX('主线调参'!$E$11:$E$62,$AV255)+(INDEX('主线调参'!$E$11:$E$62,$AV255+1)-INDEX('主线调参'!$E$11:$E$62,$AV255))*$AW255)*'参数说明'!$E$27)</x:f>
        <x:v>0.6097283742456893</x:v>
      </x:c>
      <x:c r="J255" s="63" t="n">
        <x:f>IF(B255&lt;$J$8,0,(INDEX('主线调参'!$F$11:$F$62,$AV255)+(INDEX('主线调参'!$F$11:$F$62,$AV255+1)-INDEX('主线调参'!$F$11:$F$62,$AV255))*$AW255)*'参数说明'!$F$27)</x:f>
        <x:v>0.5664010597885978</x:v>
      </x:c>
      <x:c r="K255" s="63" t="n">
        <x:f>IF(B255&lt;$K$8,0,(INDEX('主线调参'!$G$11:$G$62,$AV255)+(INDEX('主线调参'!$G$11:$G$62,$AV255+1)-INDEX('主线调参'!$G$11:$G$62,$AV255))*$AW255)*'参数说明'!$G$27)</x:f>
        <x:v>0.6003889922169015</x:v>
      </x:c>
      <x:c r="L255" s="63" t="n">
        <x:f>IF(B255&lt;$L$8,0,(INDEX('主线调参'!$H$11:$H$62,$AV255)+(INDEX('主线调参'!$H$11:$H$62,$AV255+1)-INDEX('主线调参'!$H$11:$H$62,$AV255))*$AW255)*'参数说明'!$H$27)</x:f>
        <x:v>0.667541573816803</x:v>
      </x:c>
      <x:c r="M255" s="59" t="n">
        <x:f>E255*'模块规划'!$F$10+G255*'模块规划'!$F$11+H255*'模块规划'!$F$13</x:f>
        <x:v>5127.787872151002</x:v>
      </x:c>
      <x:c r="N255" s="59" t="n">
        <x:f>I255*'模块规划'!$F$15+J255*'模块规划'!$F$17+K255*'模块规划'!$F$16+L255*'模块规划'!$F$18</x:f>
        <x:v>17481.87941423691</x:v>
      </x:c>
      <x:c r="O255" s="59" t="n">
        <x:f>1+O$9*SUMPRODUCT($H$10:$L$10,H255:L255)/SUM($H$10:$L$10)</x:f>
        <x:v>3.2819842009095868</x:v>
      </x:c>
      <x:c r="P255" s="59" t="n">
        <x:f>M255*O255+N255</x:f>
        <x:v>34311.198196252284</x:v>
      </x:c>
      <x:c r="Q255" s="59" t="n">
        <x:f>P255/(P255+'_曲线基线'!$L$2)</x:f>
        <x:v>0.5884152488304982</x:v>
      </x:c>
      <x:c r="R255" s="59" t="n">
        <x:f>E255*'模块规划'!$E$10+G255*'模块规划'!$E$11+H255*'模块规划'!$E$13</x:f>
        <x:v>7691.681808226504</x:v>
      </x:c>
      <x:c r="S255" s="59" t="n">
        <x:f>I255*'模块规划'!$E$15+J255*'模块规划'!$E$17+K255*'模块规划'!$E$16+L255*'模块规划'!$E$18</x:f>
        <x:v>26222.819121355376</x:v>
      </x:c>
      <x:c r="T255" s="59" t="n">
        <x:f>1+T$9*SUMPRODUCT($H$10:$L$10,H255:L255)/SUM($H$10:$L$10)</x:f>
        <x:v>3.2819842009095868</x:v>
      </x:c>
      <x:c r="U255" s="59" t="n">
        <x:f>R255*T255+S255</x:f>
        <x:v>51466.79729437844</x:v>
      </x:c>
      <x:c r="V255" s="59" t="n">
        <x:f>V$8+(V$9-V$8)*H255</x:f>
        <x:v>0.9006298564740771</x:v>
      </x:c>
      <x:c r="W255" s="59" t="n">
        <x:f>IF(B255&lt;$H$8,0,W$8+(W$9-W$8)*H255)</x:f>
        <x:v>0.2675064752987695</x:v>
      </x:c>
      <x:c r="X255" s="59" t="n">
        <x:f>X$8+(X$9-X$8)*H255</x:f>
        <x:v>0.45891070176790405</x:v>
      </x:c>
      <x:c r="Y255" s="59" t="n">
        <x:f>Y$8+(Y$9-Y$8)*G255</x:f>
        <x:v>1</x:v>
      </x:c>
      <x:c r="Z255" s="59" t="n">
        <x:f>Z$8+(Z$9-Z$8)*H255</x:f>
        <x:v>1</x:v>
      </x:c>
      <x:c r="AA255" s="59" t="n">
        <x:f>AA$8+(AA$9-AA$8)*I255</x:f>
        <x:v>1</x:v>
      </x:c>
      <x:c r="AB255" s="59" t="n">
        <x:f>AB$8+(AB$9-AB$8)*J255</x:f>
        <x:v>1</x:v>
      </x:c>
      <x:c r="AC255" s="59" t="n">
        <x:f>AC$8+(AC$9-AC$8)*MAX(K255,L255)</x:f>
        <x:v>1</x:v>
      </x:c>
      <x:c r="AD255" s="59" t="n">
        <x:f>(V255*AE255+W255*AF255+X255*AG255)*PRODUCT(Y255:AC255)</x:f>
        <x:v>1.8447261640273607</x:v>
      </x:c>
      <x:c r="AE255" s="59" t="n">
        <x:f>1+AE$9*($H$10*H255+$I$10*I255+$J$10*J255+$K$10*K255+$L$10*L255)</x:f>
        <x:v>1</x:v>
      </x:c>
      <x:c r="AF255" s="59" t="n">
        <x:f>1+AF$9*($H$10*H255+$I$10*I255+$J$10*J255+$K$10*K255+$L$10*L255)</x:f>
        <x:v>1.201405893035745</x:v>
      </x:c>
      <x:c r="AG255" s="59" t="n">
        <x:f>1+AG$9*($H$10*H255+$I$10*I255+$J$10*J255+$K$10*K255+$L$10*L255)</x:f>
        <x:v>1.356935999324462</x:v>
      </x:c>
      <x:c r="AH255" s="59" t="n">
        <x:f>MIN(1,'_曲线基线'!$L$3+AH$9*($H$10*H255+$I$10*I255+$J$10*J255+$K$10*K255+$L$10*L255))</x:f>
        <x:v>0.5081984066563195</x:v>
      </x:c>
      <x:c r="AI255" s="59" t="n">
        <x:f>'_曲线基线'!$L$4+AI$9*($H$10*H255+$I$10*I255+$J$10*J255+$K$10*K255+$L$10*L255)</x:f>
        <x:v>3.276409847114033</x:v>
      </x:c>
      <x:c r="AJ255" s="59" t="n">
        <x:f>1+AJ$9*($H$10*H255+$I$10*I255+$J$10*J255+$K$10*K255+$L$10*L255)</x:f>
        <x:v>2.047310643785873</x:v>
      </x:c>
      <x:c r="AK255" s="59" t="n">
        <x:f>(1+AH255*(AI255-1))*AJ255</x:f>
        <x:v>4.415778521285408</x:v>
      </x:c>
      <x:c r="AL255" s="59" t="n">
        <x:f>U255*AD255*AK255*F255</x:f>
        <x:v>2096217.479527728</x:v>
      </x:c>
      <x:c r="AM255" s="59" t="n">
        <x:f>IF($B255&lt;AM$8,0,AM$3+(AM$4-AM$3)*(POWER(AM$5,$B255-AM$8)-1)/(POWER(AM$5,$C$5-AM$8)-1))</x:f>
        <x:v>48.72348438418054</x:v>
      </x:c>
      <x:c r="AN255" s="59" t="n">
        <x:f>(((E255*'模块规划'!$D$10+G255*'模块规划'!$D$11+H255*'模块规划'!$D$13)*(1+'模块规划'!$G$14*H255)+(I255*'模块规划'!$D$15+J255*'模块规划'!$D$17+K255*'模块规划'!$D$16+L255*'模块规划'!$D$18))*(1+'模块规划'!$J$17*J255))*F255/(1-Q255)</x:f>
        <x:v>2621643.4820427406</x:v>
      </x:c>
      <x:c r="AO255" s="59" t="n">
        <x:f>AL255*AM255</x:f>
        <x:v>102135019.62961553</x:v>
      </x:c>
      <x:c r="AP255" s="61" t="n">
        <x:f>IF(AO255="","",INDEX('_曲线基线'!$A$3:$A$502,MIN(ROWS('_曲线基线'!$A$3:$A$502),COUNTIF('_曲线基线'!$E$3:$E$502,"&lt;"&amp;AO255)+1)))</x:f>
        <x:v>295</x:v>
      </x:c>
      <x:c r="AQ255" s="61" t="n">
        <x:f>IF(B255&lt;=2,1,IF(B255&lt;=6,2,IF(B255&lt;=9,3,IF(B255&lt;=19,4,5))))</x:f>
        <x:v>5</x:v>
      </x:c>
      <x:c r="AR255" s="59" t="n">
        <x:f>AN255*(1-Q255)/F255*$AS$3+U255*$AS$4+P255*$AS$5</x:f>
        <x:v>16767.53034014593</x:v>
      </x:c>
      <x:c r="AS255" s="59" t="n">
        <x:f>1+AH255*$AS$6+AI255*$AS$7+(AJ255-1)*$AS$8+($H$10*H255+$I$10*I255+$J$10*J255+$K$10*K255+$L$10*L255)*$AU$3*$AS$9+($H$10*H255+$I$10*I255+$J$10*J255+$K$10*K255+$L$10*L255)*$AU$4*$AS$10</x:f>
        <x:v>17.015810956331716</x:v>
      </x:c>
      <x:c r="AT255" s="60" t="n">
        <x:f>ROUND(AR255*AS255,0)</x:f>
        <x:v>285313</x:v>
      </x:c>
      <x:c r="AU255" s="60" t="n">
        <x:f>ROUND(AT255*F255,0)</x:f>
        <x:v>1426565</x:v>
      </x:c>
      <x:c r="AV255" s="60" t="n">
        <x:f>MIN(MATCH(B255,'主线调参'!$M$11:$M$62,1),ROWS('主线调参'!$M$11:$M$62)-1)</x:f>
        <x:v>47</x:v>
      </x:c>
      <x:c r="AW255" s="62" t="n">
        <x:f>(B255-INDEX('主线调参'!$M$11:$M$62,AV255))/(INDEX('主线调参'!$M$11:$M$62,AV255+1)-INDEX('主线调参'!$M$11:$M$62,AV255))</x:f>
        <x:v>0.6428571428571429</x:v>
      </x:c>
      <x:c r="AX255" s="60" t="n">
        <x:f>IF(AU255=0,0,ROUND(AU255,2-INT(LOG10(ABS(AU255)))))</x:f>
        <x:v>1430000</x:v>
      </x:c>
      <x:c r="AY255" s="62" t="n">
        <x:f>AU255/AU254-1</x:f>
        <x:v>0.00367963921243053</x:v>
      </x:c>
    </x:row>
    <x:row r="256" ht="25" customHeight="1">
      <x:c r="A256" s="40" t="str">
        <x:f>'调前玩家曲线'!A256</x:f>
      </x:c>
      <x:c r="B256" s="40" t="n">
        <x:f>'调前玩家曲线'!B256</x:f>
        <x:v>245</x:v>
      </x:c>
      <x:c r="C256" s="40" t="n">
        <x:f>'调前玩家曲线'!C256</x:f>
        <x:v>17</x:v>
      </x:c>
      <x:c r="D256" s="40" t="n">
        <x:f>'调前玩家曲线'!D256</x:f>
        <x:v>11</x:v>
      </x:c>
      <x:c r="E256" s="40" t="n">
        <x:f>'调前玩家曲线'!E256</x:f>
        <x:v>1</x:v>
      </x:c>
      <x:c r="F256" s="40" t="n">
        <x:f>'调前玩家曲线'!F256</x:f>
        <x:v>5</x:v>
      </x:c>
      <x:c r="G256" s="63" t="n">
        <x:f>IF(B256&lt;$G$8,0,(INDEX('主线调参'!$C$11:$C$62,$AV256)+(INDEX('主线调参'!$C$11:$C$62,$AV256+1)-INDEX('主线调参'!$C$11:$C$62,$AV256))*$AW256)*'参数说明'!$C$27)</x:f>
        <x:v>0.8611671980495572</x:v>
      </x:c>
      <x:c r="H256" s="63" t="n">
        <x:f>IF(B256&lt;$H$8,0,(INDEX('主线调参'!$D$11:$D$62,$AV256)+(INDEX('主线调参'!$D$11:$D$62,$AV256+1)-INDEX('主线调参'!$D$11:$D$62,$AV256))*$AW256)*'参数说明'!$D$27)</x:f>
        <x:v>0.6696939447359279</x:v>
      </x:c>
      <x:c r="I256" s="63" t="n">
        <x:f>IF(B256&lt;$I$8,0,(INDEX('主线调参'!$E$11:$E$62,$AV256)+(INDEX('主线调参'!$E$11:$E$62,$AV256+1)-INDEX('主线调参'!$E$11:$E$62,$AV256))*$AW256)*'参数说明'!$E$27)</x:f>
        <x:v>0.6109699134616624</x:v>
      </x:c>
      <x:c r="J256" s="63" t="n">
        <x:f>IF(B256&lt;$J$8,0,(INDEX('主线调参'!$F$11:$F$62,$AV256)+(INDEX('主线调参'!$F$11:$F$62,$AV256+1)-INDEX('主线调参'!$F$11:$F$62,$AV256))*$AW256)*'参数说明'!$F$27)</x:f>
        <x:v>0.5674067083351209</x:v>
      </x:c>
      <x:c r="K256" s="63" t="n">
        <x:f>IF(B256&lt;$K$8,0,(INDEX('主线调参'!$G$11:$G$62,$AV256)+(INDEX('主线调参'!$G$11:$G$62,$AV256+1)-INDEX('主线调参'!$G$11:$G$62,$AV256))*$AW256)*'参数说明'!$G$27)</x:f>
        <x:v>0.6019972957041654</x:v>
      </x:c>
      <x:c r="L256" s="63" t="n">
        <x:f>IF(B256&lt;$L$8,0,(INDEX('主线调参'!$H$11:$H$62,$AV256)+(INDEX('主线调参'!$H$11:$H$62,$AV256+1)-INDEX('主线调参'!$H$11:$H$62,$AV256))*$AW256)*'参数说明'!$H$27)</x:f>
        <x:v>0.6685112938950981</x:v>
      </x:c>
      <x:c r="M256" s="59" t="n">
        <x:f>E256*'模块规划'!$F$10+G256*'模块规划'!$F$11+H256*'模块规划'!$F$13</x:f>
        <x:v>5133.602550637875</x:v>
      </x:c>
      <x:c r="N256" s="59" t="n">
        <x:f>I256*'模块规划'!$F$15+J256*'模块规划'!$F$17+K256*'模块规划'!$F$16+L256*'模块规划'!$F$18</x:f>
        <x:v>17516.36663474499</x:v>
      </x:c>
      <x:c r="O256" s="59" t="n">
        <x:f>1+O$9*SUMPRODUCT($H$10:$L$10,H256:L256)/SUM($H$10:$L$10)</x:f>
        <x:v>3.2862448431021796</x:v>
      </x:c>
      <x:c r="P256" s="59" t="n">
        <x:f>M256*O256+N256</x:f>
        <x:v>34386.6415433149</x:v>
      </x:c>
      <x:c r="Q256" s="59" t="n">
        <x:f>P256/(P256+'_曲线基线'!$L$2)</x:f>
        <x:v>0.588947071357148</x:v>
      </x:c>
      <x:c r="R256" s="59" t="n">
        <x:f>E256*'模块规划'!$E$10+G256*'模块规划'!$E$11+H256*'模块规划'!$E$13</x:f>
        <x:v>7700.4038259568115</x:v>
      </x:c>
      <x:c r="S256" s="59" t="n">
        <x:f>I256*'模块规划'!$E$15+J256*'模块规划'!$E$17+K256*'模块规划'!$E$16+L256*'模块规划'!$E$18</x:f>
        <x:v>26274.549952117486</x:v>
      </x:c>
      <x:c r="T256" s="59" t="n">
        <x:f>1+T$9*SUMPRODUCT($H$10:$L$10,H256:L256)/SUM($H$10:$L$10)</x:f>
        <x:v>3.2862448431021796</x:v>
      </x:c>
      <x:c r="U256" s="59" t="n">
        <x:f>R256*T256+S256</x:f>
        <x:v>51579.96231497235</x:v>
      </x:c>
      <x:c r="V256" s="59" t="n">
        <x:f>V$8+(V$9-V$8)*H256</x:f>
        <x:v>0.9009081834207784</x:v>
      </x:c>
      <x:c r="W256" s="59" t="n">
        <x:f>IF(B256&lt;$H$8,0,W$8+(W$9-W$8)*H256)</x:f>
        <x:v>0.26787757789437117</x:v>
      </x:c>
      <x:c r="X256" s="59" t="n">
        <x:f>X$8+(X$9-X$8)*H256</x:f>
        <x:v>0.4591658348023802</x:v>
      </x:c>
      <x:c r="Y256" s="59" t="n">
        <x:f>Y$8+(Y$9-Y$8)*G256</x:f>
        <x:v>1</x:v>
      </x:c>
      <x:c r="Z256" s="59" t="n">
        <x:f>Z$8+(Z$9-Z$8)*H256</x:f>
        <x:v>1</x:v>
      </x:c>
      <x:c r="AA256" s="59" t="n">
        <x:f>AA$8+(AA$9-AA$8)*I256</x:f>
        <x:v>1</x:v>
      </x:c>
      <x:c r="AB256" s="59" t="n">
        <x:f>AB$8+(AB$9-AB$8)*J256</x:f>
        <x:v>1</x:v>
      </x:c>
      <x:c r="AC256" s="59" t="n">
        <x:f>AC$8+(AC$9-AC$8)*MAX(K256,L256)</x:f>
        <x:v>1</x:v>
      </x:c>
      <x:c r="AD256" s="59" t="n">
        <x:f>(V256*AE256+W256*AF256+X256*AG256)*PRODUCT(Y256:AC256)</x:f>
        <x:v>1.8462032684821272</x:v>
      </x:c>
      <x:c r="AE256" s="59" t="n">
        <x:f>1+AE$9*($H$10*H256+$I$10*I256+$J$10*J256+$K$10*K256+$L$10*L256)</x:f>
        <x:v>1</x:v>
      </x:c>
      <x:c r="AF256" s="59" t="n">
        <x:f>1+AF$9*($H$10*H256+$I$10*I256+$J$10*J256+$K$10*K256+$L$10*L256)</x:f>
        <x:v>1.2017819335207593</x:v>
      </x:c>
      <x:c r="AG256" s="59" t="n">
        <x:f>1+AG$9*($H$10*H256+$I$10*I256+$J$10*J256+$K$10*K256+$L$10*L256)</x:f>
        <x:v>1.3576024266284596</x:v>
      </x:c>
      <x:c r="AH256" s="59" t="n">
        <x:f>MIN(1,'_曲线基线'!$L$3+AH$9*($H$10*H256+$I$10*I256+$J$10*J256+$K$10*K256+$L$10*L256))</x:f>
        <x:v>0.509053898759727</x:v>
      </x:c>
      <x:c r="AI256" s="59" t="n">
        <x:f>'_曲线基线'!$L$4+AI$9*($H$10*H256+$I$10*I256+$J$10*J256+$K$10*K256+$L$10*L256)</x:f>
        <x:v>3.278793003687811</x:v>
      </x:c>
      <x:c r="AJ256" s="59" t="n">
        <x:f>1+AJ$9*($H$10*H256+$I$10*I256+$J$10*J256+$K$10*K256+$L$10*L256)</x:f>
        <x:v>2.0492660543079477</x:v>
      </x:c>
      <x:c r="AK256" s="59" t="n">
        <x:f>(1+AH256*(AI256-1))*AJ256</x:f>
        <x:v>4.426473005551896</x:v>
      </x:c>
      <x:c r="AL256" s="59" t="n">
        <x:f>U256*AD256*AK256*F256</x:f>
        <x:v>2107600.827384906</x:v>
      </x:c>
      <x:c r="AM256" s="59" t="n">
        <x:f>IF($B256&lt;AM$8,0,AM$3+(AM$4-AM$3)*(POWER(AM$5,$B256-AM$8)-1)/(POWER(AM$5,$C$5-AM$8)-1))</x:f>
        <x:v>48.87414386794421</x:v>
      </x:c>
      <x:c r="AN256" s="59" t="n">
        <x:f>(((E256*'模块规划'!$D$10+G256*'模块规划'!$D$11+H256*'模块规划'!$D$13)*(1+'模块规划'!$G$14*H256)+(I256*'模块规划'!$D$15+J256*'模块规划'!$D$17+K256*'模块规划'!$D$16+L256*'模块规划'!$D$18))*(1+'模块规划'!$J$17*J256))*F256/(1-Q256)</x:f>
        <x:v>2631837.4353073975</x:v>
      </x:c>
      <x:c r="AO256" s="59" t="n">
        <x:f>AL256*AM256</x:f>
        <x:v>103007186.05380815</x:v>
      </x:c>
      <x:c r="AP256" s="61" t="n">
        <x:f>IF(AO256="","",INDEX('_曲线基线'!$A$3:$A$502,MIN(ROWS('_曲线基线'!$A$3:$A$502),COUNTIF('_曲线基线'!$E$3:$E$502,"&lt;"&amp;AO256)+1)))</x:f>
        <x:v>295</x:v>
      </x:c>
      <x:c r="AQ256" s="61" t="n">
        <x:f>IF(B256&lt;=2,1,IF(B256&lt;=6,2,IF(B256&lt;=9,3,IF(B256&lt;=19,4,5))))</x:f>
        <x:v>5</x:v>
      </x:c>
      <x:c r="AR256" s="59" t="n">
        <x:f>AN256*(1-Q256)/F256*$AS$3+U256*$AS$4+P256*$AS$5</x:f>
        <x:v>16806.93937596446</x:v>
      </x:c>
      <x:c r="AS256" s="59" t="n">
        <x:f>1+AH256*$AS$6+AI256*$AS$7+(AJ256-1)*$AS$8+($H$10*H256+$I$10*I256+$J$10*J256+$K$10*K256+$L$10*L256)*$AU$3*$AS$9+($H$10*H256+$I$10*I256+$J$10*J256+$K$10*K256+$L$10*L256)*$AU$4*$AS$10</x:f>
        <x:v>17.038279802587322</x:v>
      </x:c>
      <x:c r="AT256" s="60" t="n">
        <x:f>ROUND(AR256*AS256,0)</x:f>
        <x:v>286361</x:v>
      </x:c>
      <x:c r="AU256" s="60" t="n">
        <x:f>ROUND(AT256*F256,0)</x:f>
        <x:v>1431805</x:v>
      </x:c>
      <x:c r="AV256" s="60" t="n">
        <x:f>MIN(MATCH(B256,'主线调参'!$M$11:$M$62,1),ROWS('主线调参'!$M$11:$M$62)-1)</x:f>
        <x:v>47</x:v>
      </x:c>
      <x:c r="AW256" s="62" t="n">
        <x:f>(B256-INDEX('主线调参'!$M$11:$M$62,AV256))/(INDEX('主线调参'!$M$11:$M$62,AV256+1)-INDEX('主线调参'!$M$11:$M$62,AV256))</x:f>
        <x:v>0.7142857142857143</x:v>
      </x:c>
      <x:c r="AX256" s="60" t="n">
        <x:f>IF(AU256=0,0,ROUND(AU256,2-INT(LOG10(ABS(AU256)))))</x:f>
        <x:v>1430000</x:v>
      </x:c>
      <x:c r="AY256" s="62" t="n">
        <x:f>AU256/AU255-1</x:f>
        <x:v>0.0036731589517478014</x:v>
      </x:c>
    </x:row>
    <x:row r="257" ht="25" customHeight="1">
      <x:c r="A257" s="40" t="str">
        <x:f>'调前玩家曲线'!A257</x:f>
      </x:c>
      <x:c r="B257" s="40" t="n">
        <x:f>'调前玩家曲线'!B257</x:f>
        <x:v>246</x:v>
      </x:c>
      <x:c r="C257" s="40" t="n">
        <x:f>'调前玩家曲线'!C257</x:f>
        <x:v>17</x:v>
      </x:c>
      <x:c r="D257" s="40" t="n">
        <x:f>'调前玩家曲线'!D257</x:f>
        <x:v>12</x:v>
      </x:c>
      <x:c r="E257" s="40" t="n">
        <x:f>'调前玩家曲线'!E257</x:f>
        <x:v>1</x:v>
      </x:c>
      <x:c r="F257" s="40" t="n">
        <x:f>'调前玩家曲线'!F257</x:f>
        <x:v>5</x:v>
      </x:c>
      <x:c r="G257" s="63" t="n">
        <x:f>IF(B257&lt;$G$8,0,(INDEX('主线调参'!$C$11:$C$62,$AV257)+(INDEX('主线调参'!$C$11:$C$62,$AV257+1)-INDEX('主线调参'!$C$11:$C$62,$AV257))*$AW257)*'参数说明'!$C$27)</x:f>
        <x:v>0.8623785894009892</x:v>
      </x:c>
      <x:c r="H257" s="63" t="n">
        <x:f>IF(B257&lt;$H$8,0,(INDEX('主线调参'!$D$11:$D$62,$AV257)+(INDEX('主线调参'!$D$11:$D$62,$AV257+1)-INDEX('主线调参'!$D$11:$D$62,$AV257))*$AW257)*'参数说明'!$D$27)</x:f>
        <x:v>0.6706217012249324</x:v>
      </x:c>
      <x:c r="I257" s="63" t="n">
        <x:f>IF(B257&lt;$I$8,0,(INDEX('主线调参'!$E$11:$E$62,$AV257)+(INDEX('主线调参'!$E$11:$E$62,$AV257+1)-INDEX('主线调参'!$E$11:$E$62,$AV257))*$AW257)*'参数说明'!$E$27)</x:f>
        <x:v>0.6122114526776358</x:v>
      </x:c>
      <x:c r="J257" s="63" t="n">
        <x:f>IF(B257&lt;$J$8,0,(INDEX('主线调参'!$F$11:$F$62,$AV257)+(INDEX('主线调参'!$F$11:$F$62,$AV257+1)-INDEX('主线调参'!$F$11:$F$62,$AV257))*$AW257)*'参数说明'!$F$27)</x:f>
        <x:v>0.5684123568816438</x:v>
      </x:c>
      <x:c r="K257" s="63" t="n">
        <x:f>IF(B257&lt;$K$8,0,(INDEX('主线调参'!$G$11:$G$62,$AV257)+(INDEX('主线调参'!$G$11:$G$62,$AV257+1)-INDEX('主线调参'!$G$11:$G$62,$AV257))*$AW257)*'参数说明'!$G$27)</x:f>
        <x:v>0.6036055991914294</x:v>
      </x:c>
      <x:c r="L257" s="63" t="n">
        <x:f>IF(B257&lt;$L$8,0,(INDEX('主线调参'!$H$11:$H$62,$AV257)+(INDEX('主线调参'!$H$11:$H$62,$AV257+1)-INDEX('主线调参'!$H$11:$H$62,$AV257))*$AW257)*'参数说明'!$H$27)</x:f>
        <x:v>0.6694810139733932</x:v>
      </x:c>
      <x:c r="M257" s="59" t="n">
        <x:f>E257*'模块规划'!$F$10+G257*'模块规划'!$F$11+H257*'模块规划'!$F$13</x:f>
        <x:v>5139.417229124748</x:v>
      </x:c>
      <x:c r="N257" s="59" t="n">
        <x:f>I257*'模块规划'!$F$15+J257*'模块规划'!$F$17+K257*'模块规划'!$F$16+L257*'模块规划'!$F$18</x:f>
        <x:v>17550.853855253066</x:v>
      </x:c>
      <x:c r="O257" s="59" t="n">
        <x:f>1+O$9*SUMPRODUCT($H$10:$L$10,H257:L257)/SUM($H$10:$L$10)</x:f>
        <x:v>3.2905054852947715</x:v>
      </x:c>
      <x:c r="P257" s="59" t="n">
        <x:f>M257*O257+N257</x:f>
        <x:v>34462.134438906505</x:v>
      </x:c>
      <x:c r="Q257" s="59" t="n">
        <x:f>P257/(P257+'_曲线基线'!$L$2)</x:f>
        <x:v>0.5894778692166939</x:v>
      </x:c>
      <x:c r="R257" s="59" t="n">
        <x:f>E257*'模块规划'!$E$10+G257*'模块规划'!$E$11+H257*'模块规划'!$E$13</x:f>
        <x:v>7709.125843687122</x:v>
      </x:c>
      <x:c r="S257" s="59" t="n">
        <x:f>I257*'模块规划'!$E$15+J257*'模块规划'!$E$17+K257*'模块规划'!$E$16+L257*'模块规划'!$E$18</x:f>
        <x:v>26326.2807828796</x:v>
      </x:c>
      <x:c r="T257" s="59" t="n">
        <x:f>1+T$9*SUMPRODUCT($H$10:$L$10,H257:L257)/SUM($H$10:$L$10)</x:f>
        <x:v>3.2905054852947715</x:v>
      </x:c>
      <x:c r="U257" s="59" t="n">
        <x:f>R257*T257+S257</x:f>
        <x:v>51693.20165835976</x:v>
      </x:c>
      <x:c r="V257" s="59" t="n">
        <x:f>V$8+(V$9-V$8)*H257</x:f>
        <x:v>0.9011865103674797</x:v>
      </x:c>
      <x:c r="W257" s="59" t="n">
        <x:f>IF(B257&lt;$H$8,0,W$8+(W$9-W$8)*H257)</x:f>
        <x:v>0.26824868048997297</x:v>
      </x:c>
      <x:c r="X257" s="59" t="n">
        <x:f>X$8+(X$9-X$8)*H257</x:f>
        <x:v>0.45942096783685643</x:v>
      </x:c>
      <x:c r="Y257" s="59" t="n">
        <x:f>Y$8+(Y$9-Y$8)*G257</x:f>
        <x:v>1</x:v>
      </x:c>
      <x:c r="Z257" s="59" t="n">
        <x:f>Z$8+(Z$9-Z$8)*H257</x:f>
        <x:v>1</x:v>
      </x:c>
      <x:c r="AA257" s="59" t="n">
        <x:f>AA$8+(AA$9-AA$8)*I257</x:f>
        <x:v>1</x:v>
      </x:c>
      <x:c r="AB257" s="59" t="n">
        <x:f>AB$8+(AB$9-AB$8)*J257</x:f>
        <x:v>1</x:v>
      </x:c>
      <x:c r="AC257" s="59" t="n">
        <x:f>AC$8+(AC$9-AC$8)*MAX(K257,L257)</x:f>
        <x:v>1</x:v>
      </x:c>
      <x:c r="AD257" s="59" t="n">
        <x:f>(V257*AE257+W257*AF257+X257*AG257)*PRODUCT(Y257:AC257)</x:f>
        <x:v>1.8476809920913349</x:v>
      </x:c>
      <x:c r="AE257" s="59" t="n">
        <x:f>1+AE$9*($H$10*H257+$I$10*I257+$J$10*J257+$K$10*K257+$L$10*L257)</x:f>
        <x:v>1</x:v>
      </x:c>
      <x:c r="AF257" s="59" t="n">
        <x:f>1+AF$9*($H$10*H257+$I$10*I257+$J$10*J257+$K$10*K257+$L$10*L257)</x:f>
        <x:v>1.2021579740057735</x:v>
      </x:c>
      <x:c r="AG257" s="59" t="n">
        <x:f>1+AG$9*($H$10*H257+$I$10*I257+$J$10*J257+$K$10*K257+$L$10*L257)</x:f>
        <x:v>1.358268853932457</x:v>
      </x:c>
      <x:c r="AH257" s="59" t="n">
        <x:f>MIN(1,'_曲线基线'!$L$3+AH$9*($H$10*H257+$I$10*I257+$J$10*J257+$K$10*K257+$L$10*L257))</x:f>
        <x:v>0.5099093908631344</x:v>
      </x:c>
      <x:c r="AI257" s="59" t="n">
        <x:f>'_曲线基线'!$L$4+AI$9*($H$10*H257+$I$10*I257+$J$10*J257+$K$10*K257+$L$10*L257)</x:f>
        <x:v>3.2811761602615883</x:v>
      </x:c>
      <x:c r="AJ257" s="59" t="n">
        <x:f>1+AJ$9*($H$10*H257+$I$10*I257+$J$10*J257+$K$10*K257+$L$10*L257)</x:f>
        <x:v>2.0512214648300215</x:v>
      </x:c>
      <x:c r="AK257" s="59" t="n">
        <x:f>(1+AH257*(AI257-1))*AJ257</x:f>
        <x:v>4.437188214326292</x:v>
      </x:c>
      <x:c r="AL257" s="59" t="n">
        <x:f>U257*AD257*AK257*F257</x:f>
        <x:v>2119035.719919541</x:v>
      </x:c>
      <x:c r="AM257" s="59" t="n">
        <x:f>IF($B257&lt;AM$8,0,AM$3+(AM$4-AM$3)*(POWER(AM$5,$B257-AM$8)-1)/(POWER(AM$5,$C$5-AM$8)-1))</x:f>
        <x:v>49.02630994654552</x:v>
      </x:c>
      <x:c r="AN257" s="59" t="n">
        <x:f>(((E257*'模块规划'!$D$10+G257*'模块规划'!$D$11+H257*'模块规划'!$D$13)*(1+'模块规划'!$G$14*H257)+(I257*'模块规划'!$D$15+J257*'模块规划'!$D$17+K257*'模块规划'!$D$16+L257*'模块规划'!$D$18))*(1+'模块规划'!$J$17*J257))*F257/(1-Q257)</x:f>
        <x:v>2642059.2688543964</x:v>
      </x:c>
      <x:c r="AO257" s="59" t="n">
        <x:f>AL257*AM257</x:f>
        <x:v>103888501.99257663</x:v>
      </x:c>
      <x:c r="AP257" s="61" t="n">
        <x:f>IF(AO257="","",INDEX('_曲线基线'!$A$3:$A$502,MIN(ROWS('_曲线基线'!$A$3:$A$502),COUNTIF('_曲线基线'!$E$3:$E$502,"&lt;"&amp;AO257)+1)))</x:f>
        <x:v>296</x:v>
      </x:c>
      <x:c r="AQ257" s="61" t="n">
        <x:f>IF(B257&lt;=2,1,IF(B257&lt;=6,2,IF(B257&lt;=9,3,IF(B257&lt;=19,4,5))))</x:f>
        <x:v>5</x:v>
      </x:c>
      <x:c r="AR257" s="59" t="n">
        <x:f>AN257*(1-Q257)/F257*$AS$3+U257*$AS$4+P257*$AS$5</x:f>
        <x:v>16846.383135907294</x:v>
      </x:c>
      <x:c r="AS257" s="59" t="n">
        <x:f>1+AH257*$AS$6+AI257*$AS$7+(AJ257-1)*$AS$8+($H$10*H257+$I$10*I257+$J$10*J257+$K$10*K257+$L$10*L257)*$AU$3*$AS$9+($H$10*H257+$I$10*I257+$J$10*J257+$K$10*K257+$L$10*L257)*$AU$4*$AS$10</x:f>
        <x:v>17.06074864884292</x:v>
      </x:c>
      <x:c r="AT257" s="60" t="n">
        <x:f>ROUND(AR257*AS257,0)</x:f>
        <x:v>287412</x:v>
      </x:c>
      <x:c r="AU257" s="60" t="n">
        <x:f>ROUND(AT257*F257,0)</x:f>
        <x:v>1437060</x:v>
      </x:c>
      <x:c r="AV257" s="60" t="n">
        <x:f>MIN(MATCH(B257,'主线调参'!$M$11:$M$62,1),ROWS('主线调参'!$M$11:$M$62)-1)</x:f>
        <x:v>47</x:v>
      </x:c>
      <x:c r="AW257" s="62" t="n">
        <x:f>(B257-INDEX('主线调参'!$M$11:$M$62,AV257))/(INDEX('主线调参'!$M$11:$M$62,AV257+1)-INDEX('主线调参'!$M$11:$M$62,AV257))</x:f>
        <x:v>0.7857142857142857</x:v>
      </x:c>
      <x:c r="AX257" s="60" t="n">
        <x:f>IF(AU257=0,0,ROUND(AU257,2-INT(LOG10(ABS(AU257)))))</x:f>
        <x:v>1440000</x:v>
      </x:c>
      <x:c r="AY257" s="62" t="n">
        <x:f>AU257/AU256-1</x:f>
        <x:v>0.003670192519232618</x:v>
      </x:c>
    </x:row>
    <x:row r="258" ht="25" customHeight="1">
      <x:c r="A258" s="40" t="str">
        <x:f>'调前玩家曲线'!A258</x:f>
      </x:c>
      <x:c r="B258" s="40" t="n">
        <x:f>'调前玩家曲线'!B258</x:f>
        <x:v>247</x:v>
      </x:c>
      <x:c r="C258" s="40" t="n">
        <x:f>'调前玩家曲线'!C258</x:f>
        <x:v>17</x:v>
      </x:c>
      <x:c r="D258" s="40" t="n">
        <x:f>'调前玩家曲线'!D258</x:f>
        <x:v>13</x:v>
      </x:c>
      <x:c r="E258" s="40" t="n">
        <x:f>'调前玩家曲线'!E258</x:f>
        <x:v>1</x:v>
      </x:c>
      <x:c r="F258" s="40" t="n">
        <x:f>'调前玩家曲线'!F258</x:f>
        <x:v>5</x:v>
      </x:c>
      <x:c r="G258" s="63" t="n">
        <x:f>IF(B258&lt;$G$8,0,(INDEX('主线调参'!$C$11:$C$62,$AV258)+(INDEX('主线调参'!$C$11:$C$62,$AV258+1)-INDEX('主线调参'!$C$11:$C$62,$AV258))*$AW258)*'参数说明'!$C$27)</x:f>
        <x:v>0.863589980752421</x:v>
      </x:c>
      <x:c r="H258" s="63" t="n">
        <x:f>IF(B258&lt;$H$8,0,(INDEX('主线调参'!$D$11:$D$62,$AV258)+(INDEX('主线调参'!$D$11:$D$62,$AV258+1)-INDEX('主线调参'!$D$11:$D$62,$AV258))*$AW258)*'参数说明'!$D$27)</x:f>
        <x:v>0.6715494577139367</x:v>
      </x:c>
      <x:c r="I258" s="63" t="n">
        <x:f>IF(B258&lt;$I$8,0,(INDEX('主线调参'!$E$11:$E$62,$AV258)+(INDEX('主线调参'!$E$11:$E$62,$AV258+1)-INDEX('主线调参'!$E$11:$E$62,$AV258))*$AW258)*'参数说明'!$E$27)</x:f>
        <x:v>0.613452991893609</x:v>
      </x:c>
      <x:c r="J258" s="63" t="n">
        <x:f>IF(B258&lt;$J$8,0,(INDEX('主线调参'!$F$11:$F$62,$AV258)+(INDEX('主线调参'!$F$11:$F$62,$AV258+1)-INDEX('主线调参'!$F$11:$F$62,$AV258))*$AW258)*'参数说明'!$F$27)</x:f>
        <x:v>0.5694180054281669</x:v>
      </x:c>
      <x:c r="K258" s="63" t="n">
        <x:f>IF(B258&lt;$K$8,0,(INDEX('主线调参'!$G$11:$G$62,$AV258)+(INDEX('主线调参'!$G$11:$G$62,$AV258+1)-INDEX('主线调参'!$G$11:$G$62,$AV258))*$AW258)*'参数说明'!$G$27)</x:f>
        <x:v>0.6052139026786933</x:v>
      </x:c>
      <x:c r="L258" s="63" t="n">
        <x:f>IF(B258&lt;$L$8,0,(INDEX('主线调参'!$H$11:$H$62,$AV258)+(INDEX('主线调参'!$H$11:$H$62,$AV258+1)-INDEX('主线调参'!$H$11:$H$62,$AV258))*$AW258)*'参数说明'!$H$27)</x:f>
        <x:v>0.6704507340516883</x:v>
      </x:c>
      <x:c r="M258" s="59" t="n">
        <x:f>E258*'模块规划'!$F$10+G258*'模块规划'!$F$11+H258*'模块规划'!$F$13</x:f>
        <x:v>5145.231907611621</x:v>
      </x:c>
      <x:c r="N258" s="59" t="n">
        <x:f>I258*'模块规划'!$F$15+J258*'模块规划'!$F$17+K258*'模块规划'!$F$16+L258*'模块规划'!$F$18</x:f>
        <x:v>17585.341075761142</x:v>
      </x:c>
      <x:c r="O258" s="59" t="n">
        <x:f>1+O$9*SUMPRODUCT($H$10:$L$10,H258:L258)/SUM($H$10:$L$10)</x:f>
        <x:v>3.2947661274873643</x:v>
      </x:c>
      <x:c r="P258" s="59" t="n">
        <x:f>M258*O258+N258</x:f>
        <x:v>34537.6768830271</x:v>
      </x:c>
      <x:c r="Q258" s="59" t="n">
        <x:f>P258/(P258+'_曲线基线'!$L$2)</x:f>
        <x:v>0.5900076450256474</x:v>
      </x:c>
      <x:c r="R258" s="59" t="n">
        <x:f>E258*'模块规划'!$E$10+G258*'模块规划'!$E$11+H258*'模块规划'!$E$13</x:f>
        <x:v>7717.847861417431</x:v>
      </x:c>
      <x:c r="S258" s="59" t="n">
        <x:f>I258*'模块规划'!$E$15+J258*'模块规划'!$E$17+K258*'模块规划'!$E$16+L258*'模块规划'!$E$18</x:f>
        <x:v>26378.011613641713</x:v>
      </x:c>
      <x:c r="T258" s="59" t="n">
        <x:f>1+T$9*SUMPRODUCT($H$10:$L$10,H258:L258)/SUM($H$10:$L$10)</x:f>
        <x:v>3.2947661274873643</x:v>
      </x:c>
      <x:c r="U258" s="59" t="n">
        <x:f>R258*T258+S258</x:f>
        <x:v>51806.515324540655</x:v>
      </x:c>
      <x:c r="V258" s="59" t="n">
        <x:f>V$8+(V$9-V$8)*H258</x:f>
        <x:v>0.901464837314181</x:v>
      </x:c>
      <x:c r="W258" s="59" t="n">
        <x:f>IF(B258&lt;$H$8,0,W$8+(W$9-W$8)*H258)</x:f>
        <x:v>0.2686197830855747</x:v>
      </x:c>
      <x:c r="X258" s="59" t="n">
        <x:f>X$8+(X$9-X$8)*H258</x:f>
        <x:v>0.4596761008713326</x:v>
      </x:c>
      <x:c r="Y258" s="59" t="n">
        <x:f>Y$8+(Y$9-Y$8)*G258</x:f>
        <x:v>1</x:v>
      </x:c>
      <x:c r="Z258" s="59" t="n">
        <x:f>Z$8+(Z$9-Z$8)*H258</x:f>
        <x:v>1</x:v>
      </x:c>
      <x:c r="AA258" s="59" t="n">
        <x:f>AA$8+(AA$9-AA$8)*I258</x:f>
        <x:v>1</x:v>
      </x:c>
      <x:c r="AB258" s="59" t="n">
        <x:f>AB$8+(AB$9-AB$8)*J258</x:f>
        <x:v>1</x:v>
      </x:c>
      <x:c r="AC258" s="59" t="n">
        <x:f>AC$8+(AC$9-AC$8)*MAX(K258,L258)</x:f>
        <x:v>1</x:v>
      </x:c>
      <x:c r="AD258" s="59" t="n">
        <x:f>(V258*AE258+W258*AF258+X258*AG258)*PRODUCT(Y258:AC258)</x:f>
        <x:v>1.8491593348549829</x:v>
      </x:c>
      <x:c r="AE258" s="59" t="n">
        <x:f>1+AE$9*($H$10*H258+$I$10*I258+$J$10*J258+$K$10*K258+$L$10*L258)</x:f>
        <x:v>1</x:v>
      </x:c>
      <x:c r="AF258" s="59" t="n">
        <x:f>1+AF$9*($H$10*H258+$I$10*I258+$J$10*J258+$K$10*K258+$L$10*L258)</x:f>
        <x:v>1.2025340144907877</x:v>
      </x:c>
      <x:c r="AG258" s="59" t="n">
        <x:f>1+AG$9*($H$10*H258+$I$10*I258+$J$10*J258+$K$10*K258+$L$10*L258)</x:f>
        <x:v>1.3589352812364544</x:v>
      </x:c>
      <x:c r="AH258" s="59" t="n">
        <x:f>MIN(1,'_曲线基线'!$L$3+AH$9*($H$10*H258+$I$10*I258+$J$10*J258+$K$10*K258+$L$10*L258))</x:f>
        <x:v>0.5107648829665417</x:v>
      </x:c>
      <x:c r="AI258" s="59" t="n">
        <x:f>'_曲线基线'!$L$4+AI$9*($H$10*H258+$I$10*I258+$J$10*J258+$K$10*K258+$L$10*L258)</x:f>
        <x:v>3.2835593168353663</x:v>
      </x:c>
      <x:c r="AJ258" s="59" t="n">
        <x:f>1+AJ$9*($H$10*H258+$I$10*I258+$J$10*J258+$K$10*K258+$L$10*L258)</x:f>
        <x:v>2.0531768753520954</x:v>
      </x:c>
      <x:c r="AK258" s="59" t="n">
        <x:f>(1+AH258*(AI258-1))*AJ258</x:f>
        <x:v>4.447924171528408</x:v>
      </x:c>
      <x:c r="AL258" s="59" t="n">
        <x:f>U258*AD258*AK258*F258</x:f>
        <x:v>2130522.350281772</x:v>
      </x:c>
      <x:c r="AM258" s="59" t="n">
        <x:f>IF($B258&lt;AM$8,0,AM$3+(AM$4-AM$3)*(POWER(AM$5,$B258-AM$8)-1)/(POWER(AM$5,$C$5-AM$8)-1))</x:f>
        <x:v>49.17999768593285</x:v>
      </x:c>
      <x:c r="AN258" s="59" t="n">
        <x:f>(((E258*'模块规划'!$D$10+G258*'模块规划'!$D$11+H258*'模块规划'!$D$13)*(1+'模块规划'!$G$14*H258)+(I258*'模块规划'!$D$15+J258*'模块规划'!$D$17+K258*'模块规划'!$D$16+L258*'模块规划'!$D$18))*(1+'模块规划'!$J$17*J258))*F258/(1-Q258)</x:f>
        <x:v>2652309.033399591</x:v>
      </x:c>
      <x:c r="AO258" s="59" t="n">
        <x:f>AL258*AM258</x:f>
        <x:v>104779084.25668576</x:v>
      </x:c>
      <x:c r="AP258" s="61" t="n">
        <x:f>IF(AO258="","",INDEX('_曲线基线'!$A$3:$A$502,MIN(ROWS('_曲线基线'!$A$3:$A$502),COUNTIF('_曲线基线'!$E$3:$E$502,"&lt;"&amp;AO258)+1)))</x:f>
        <x:v>297</x:v>
      </x:c>
      <x:c r="AQ258" s="61" t="n">
        <x:f>IF(B258&lt;=2,1,IF(B258&lt;=6,2,IF(B258&lt;=9,3,IF(B258&lt;=19,4,5))))</x:f>
        <x:v>5</x:v>
      </x:c>
      <x:c r="AR258" s="59" t="n">
        <x:f>AN258*(1-Q258)/F258*$AS$3+U258*$AS$4+P258*$AS$5</x:f>
        <x:v>16885.861625247613</x:v>
      </x:c>
      <x:c r="AS258" s="59" t="n">
        <x:f>1+AH258*$AS$6+AI258*$AS$7+(AJ258-1)*$AS$8+($H$10*H258+$I$10*I258+$J$10*J258+$K$10*K258+$L$10*L258)*$AU$3*$AS$9+($H$10*H258+$I$10*I258+$J$10*J258+$K$10*K258+$L$10*L258)*$AU$4*$AS$10</x:f>
        <x:v>17.083217495098523</x:v>
      </x:c>
      <x:c r="AT258" s="60" t="n">
        <x:f>ROUND(AR258*AS258,0)</x:f>
        <x:v>288465</x:v>
      </x:c>
      <x:c r="AU258" s="60" t="n">
        <x:f>ROUND(AT258*F258,0)</x:f>
        <x:v>1442325</x:v>
      </x:c>
      <x:c r="AV258" s="60" t="n">
        <x:f>MIN(MATCH(B258,'主线调参'!$M$11:$M$62,1),ROWS('主线调参'!$M$11:$M$62)-1)</x:f>
        <x:v>47</x:v>
      </x:c>
      <x:c r="AW258" s="62" t="n">
        <x:f>(B258-INDEX('主线调参'!$M$11:$M$62,AV258))/(INDEX('主线调参'!$M$11:$M$62,AV258+1)-INDEX('主线调参'!$M$11:$M$62,AV258))</x:f>
        <x:v>0.8571428571428571</x:v>
      </x:c>
      <x:c r="AX258" s="60" t="n">
        <x:f>IF(AU258=0,0,ROUND(AU258,2-INT(LOG10(ABS(AU258)))))</x:f>
        <x:v>1440000</x:v>
      </x:c>
      <x:c r="AY258" s="62" t="n">
        <x:f>AU258/AU257-1</x:f>
        <x:v>0.003663730115652797</x:v>
      </x:c>
    </x:row>
    <x:row r="259" ht="25" customHeight="1">
      <x:c r="A259" s="40" t="str">
        <x:f>'调前玩家曲线'!A259</x:f>
      </x:c>
      <x:c r="B259" s="40" t="n">
        <x:f>'调前玩家曲线'!B259</x:f>
        <x:v>248</x:v>
      </x:c>
      <x:c r="C259" s="40" t="n">
        <x:f>'调前玩家曲线'!C259</x:f>
        <x:v>17</x:v>
      </x:c>
      <x:c r="D259" s="40" t="n">
        <x:f>'调前玩家曲线'!D259</x:f>
        <x:v>14</x:v>
      </x:c>
      <x:c r="E259" s="40" t="n">
        <x:f>'调前玩家曲线'!E259</x:f>
        <x:v>1</x:v>
      </x:c>
      <x:c r="F259" s="40" t="n">
        <x:f>'调前玩家曲线'!F259</x:f>
        <x:v>5</x:v>
      </x:c>
      <x:c r="G259" s="63" t="n">
        <x:f>IF(B259&lt;$G$8,0,(INDEX('主线调参'!$C$11:$C$62,$AV259)+(INDEX('主线调参'!$C$11:$C$62,$AV259+1)-INDEX('主线调参'!$C$11:$C$62,$AV259))*$AW259)*'参数说明'!$C$27)</x:f>
        <x:v>0.8648013721038528</x:v>
      </x:c>
      <x:c r="H259" s="63" t="n">
        <x:f>IF(B259&lt;$H$8,0,(INDEX('主线调参'!$D$11:$D$62,$AV259)+(INDEX('主线调参'!$D$11:$D$62,$AV259+1)-INDEX('主线调参'!$D$11:$D$62,$AV259))*$AW259)*'参数说明'!$D$27)</x:f>
        <x:v>0.672477214202941</x:v>
      </x:c>
      <x:c r="I259" s="63" t="n">
        <x:f>IF(B259&lt;$I$8,0,(INDEX('主线调参'!$E$11:$E$62,$AV259)+(INDEX('主线调参'!$E$11:$E$62,$AV259+1)-INDEX('主线调参'!$E$11:$E$62,$AV259))*$AW259)*'参数说明'!$E$27)</x:f>
        <x:v>0.6146945311095822</x:v>
      </x:c>
      <x:c r="J259" s="63" t="n">
        <x:f>IF(B259&lt;$J$8,0,(INDEX('主线调参'!$F$11:$F$62,$AV259)+(INDEX('主线调参'!$F$11:$F$62,$AV259+1)-INDEX('主线调参'!$F$11:$F$62,$AV259))*$AW259)*'参数说明'!$F$27)</x:f>
        <x:v>0.57042365397469</x:v>
      </x:c>
      <x:c r="K259" s="63" t="n">
        <x:f>IF(B259&lt;$K$8,0,(INDEX('主线调参'!$G$11:$G$62,$AV259)+(INDEX('主线调参'!$G$11:$G$62,$AV259+1)-INDEX('主线调参'!$G$11:$G$62,$AV259))*$AW259)*'参数说明'!$G$27)</x:f>
        <x:v>0.6068222061659574</x:v>
      </x:c>
      <x:c r="L259" s="63" t="n">
        <x:f>IF(B259&lt;$L$8,0,(INDEX('主线调参'!$H$11:$H$62,$AV259)+(INDEX('主线调参'!$H$11:$H$62,$AV259+1)-INDEX('主线调参'!$H$11:$H$62,$AV259))*$AW259)*'参数说明'!$H$27)</x:f>
        <x:v>0.6714204541299834</x:v>
      </x:c>
      <x:c r="M259" s="59" t="n">
        <x:f>E259*'模块规划'!$F$10+G259*'模块规划'!$F$11+H259*'模块规划'!$F$13</x:f>
        <x:v>5151.046586098493</x:v>
      </x:c>
      <x:c r="N259" s="59" t="n">
        <x:f>I259*'模块规划'!$F$15+J259*'模块规划'!$F$17+K259*'模块规划'!$F$16+L259*'模块规划'!$F$18</x:f>
        <x:v>17619.828296269217</x:v>
      </x:c>
      <x:c r="O259" s="59" t="n">
        <x:f>1+O$9*SUMPRODUCT($H$10:$L$10,H259:L259)/SUM($H$10:$L$10)</x:f>
        <x:v>3.299026769679957</x:v>
      </x:c>
      <x:c r="P259" s="59" t="n">
        <x:f>M259*O259+N259</x:f>
        <x:v>34613.2688756767</x:v>
      </x:c>
      <x:c r="Q259" s="59" t="n">
        <x:f>P259/(P259+'_曲线基线'!$L$2)</x:f>
        <x:v>0.5905364013922195</x:v>
      </x:c>
      <x:c r="R259" s="59" t="n">
        <x:f>E259*'模块规划'!$E$10+G259*'模块规划'!$E$11+H259*'模块规划'!$E$13</x:f>
        <x:v>7726.56987914774</x:v>
      </x:c>
      <x:c r="S259" s="59" t="n">
        <x:f>I259*'模块规划'!$E$15+J259*'模块规划'!$E$17+K259*'模块规划'!$E$16+L259*'模块规划'!$E$18</x:f>
        <x:v>26429.742444403826</x:v>
      </x:c>
      <x:c r="T259" s="59" t="n">
        <x:f>1+T$9*SUMPRODUCT($H$10:$L$10,H259:L259)/SUM($H$10:$L$10)</x:f>
        <x:v>3.299026769679957</x:v>
      </x:c>
      <x:c r="U259" s="59" t="n">
        <x:f>R259*T259+S259</x:f>
        <x:v>51919.90331351505</x:v>
      </x:c>
      <x:c r="V259" s="59" t="n">
        <x:f>V$8+(V$9-V$8)*H259</x:f>
        <x:v>0.9017431642608823</x:v>
      </x:c>
      <x:c r="W259" s="59" t="n">
        <x:f>IF(B259&lt;$H$8,0,W$8+(W$9-W$8)*H259)</x:f>
        <x:v>0.2689908856811764</x:v>
      </x:c>
      <x:c r="X259" s="59" t="n">
        <x:f>X$8+(X$9-X$8)*H259</x:f>
        <x:v>0.4599312339058088</x:v>
      </x:c>
      <x:c r="Y259" s="59" t="n">
        <x:f>Y$8+(Y$9-Y$8)*G259</x:f>
        <x:v>1</x:v>
      </x:c>
      <x:c r="Z259" s="59" t="n">
        <x:f>Z$8+(Z$9-Z$8)*H259</x:f>
        <x:v>1</x:v>
      </x:c>
      <x:c r="AA259" s="59" t="n">
        <x:f>AA$8+(AA$9-AA$8)*I259</x:f>
        <x:v>1</x:v>
      </x:c>
      <x:c r="AB259" s="59" t="n">
        <x:f>AB$8+(AB$9-AB$8)*J259</x:f>
        <x:v>1</x:v>
      </x:c>
      <x:c r="AC259" s="59" t="n">
        <x:f>AC$8+(AC$9-AC$8)*MAX(K259,L259)</x:f>
        <x:v>1</x:v>
      </x:c>
      <x:c r="AD259" s="59" t="n">
        <x:f>(V259*AE259+W259*AF259+X259*AG259)*PRODUCT(Y259:AC259)</x:f>
        <x:v>1.850638296773072</x:v>
      </x:c>
      <x:c r="AE259" s="59" t="n">
        <x:f>1+AE$9*($H$10*H259+$I$10*I259+$J$10*J259+$K$10*K259+$L$10*L259)</x:f>
        <x:v>1</x:v>
      </x:c>
      <x:c r="AF259" s="59" t="n">
        <x:f>1+AF$9*($H$10*H259+$I$10*I259+$J$10*J259+$K$10*K259+$L$10*L259)</x:f>
        <x:v>1.202910054975802</x:v>
      </x:c>
      <x:c r="AG259" s="59" t="n">
        <x:f>1+AG$9*($H$10*H259+$I$10*I259+$J$10*J259+$K$10*K259+$L$10*L259)</x:f>
        <x:v>1.359601708540452</x:v>
      </x:c>
      <x:c r="AH259" s="59" t="n">
        <x:f>MIN(1,'_曲线基线'!$L$3+AH$9*($H$10*H259+$I$10*I259+$J$10*J259+$K$10*K259+$L$10*L259))</x:f>
        <x:v>0.5116203750699492</x:v>
      </x:c>
      <x:c r="AI259" s="59" t="n">
        <x:f>'_曲线基线'!$L$4+AI$9*($H$10*H259+$I$10*I259+$J$10*J259+$K$10*K259+$L$10*L259)</x:f>
        <x:v>3.2859424734091442</x:v>
      </x:c>
      <x:c r="AJ259" s="59" t="n">
        <x:f>1+AJ$9*($H$10*H259+$I$10*I259+$J$10*J259+$K$10*K259+$L$10*L259)</x:f>
        <x:v>2.0551322858741696</x:v>
      </x:c>
      <x:c r="AK259" s="59" t="n">
        <x:f>(1+AH259*(AI259-1))*AJ259</x:f>
        <x:v>4.45868090107806</x:v>
      </x:c>
      <x:c r="AL259" s="59" t="n">
        <x:f>U259*AD259*AK259*F259</x:f>
        <x:v>2142060.9121942082</x:v>
      </x:c>
      <x:c r="AM259" s="59" t="n">
        <x:f>IF($B259&lt;AM$8,0,AM$3+(AM$4-AM$3)*(POWER(AM$5,$B259-AM$8)-1)/(POWER(AM$5,$C$5-AM$8)-1))</x:f>
        <x:v>49.335222302714044</x:v>
      </x:c>
      <x:c r="AN259" s="59" t="n">
        <x:f>(((E259*'模块规划'!$D$10+G259*'模块规划'!$D$11+H259*'模块规划'!$D$13)*(1+'模块规划'!$G$14*H259)+(I259*'模块规划'!$D$15+J259*'模块规划'!$D$17+K259*'模块规划'!$D$16+L259*'模块规划'!$D$18))*(1+'模块规划'!$J$17*J259))*F259/(1-Q259)</x:f>
        <x:v>2662586.7797109084</x:v>
      </x:c>
      <x:c r="AO259" s="59" t="n">
        <x:f>AL259*AM259</x:f>
        <x:v>105679051.28905569</x:v>
      </x:c>
      <x:c r="AP259" s="61" t="n">
        <x:f>IF(AO259="","",INDEX('_曲线基线'!$A$3:$A$502,MIN(ROWS('_曲线基线'!$A$3:$A$502),COUNTIF('_曲线基线'!$E$3:$E$502,"&lt;"&amp;AO259)+1)))</x:f>
        <x:v>298</x:v>
      </x:c>
      <x:c r="AQ259" s="61" t="n">
        <x:f>IF(B259&lt;=2,1,IF(B259&lt;=6,2,IF(B259&lt;=9,3,IF(B259&lt;=19,4,5))))</x:f>
        <x:v>5</x:v>
      </x:c>
      <x:c r="AR259" s="59" t="n">
        <x:f>AN259*(1-Q259)/F259*$AS$3+U259*$AS$4+P259*$AS$5</x:f>
        <x:v>16925.37484925859</x:v>
      </x:c>
      <x:c r="AS259" s="59" t="n">
        <x:f>1+AH259*$AS$6+AI259*$AS$7+(AJ259-1)*$AS$8+($H$10*H259+$I$10*I259+$J$10*J259+$K$10*K259+$L$10*L259)*$AU$3*$AS$9+($H$10*H259+$I$10*I259+$J$10*J259+$K$10*K259+$L$10*L259)*$AU$4*$AS$10</x:f>
        <x:v>17.105686341354126</x:v>
      </x:c>
      <x:c r="AT259" s="60" t="n">
        <x:f>ROUND(AR259*AS259,0)</x:f>
        <x:v>289520</x:v>
      </x:c>
      <x:c r="AU259" s="60" t="n">
        <x:f>ROUND(AT259*F259,0)</x:f>
        <x:v>1447600</x:v>
      </x:c>
      <x:c r="AV259" s="60" t="n">
        <x:f>MIN(MATCH(B259,'主线调参'!$M$11:$M$62,1),ROWS('主线调参'!$M$11:$M$62)-1)</x:f>
        <x:v>47</x:v>
      </x:c>
      <x:c r="AW259" s="62" t="n">
        <x:f>(B259-INDEX('主线调参'!$M$11:$M$62,AV259))/(INDEX('主线调参'!$M$11:$M$62,AV259+1)-INDEX('主线调参'!$M$11:$M$62,AV259))</x:f>
        <x:v>0.9285714285714286</x:v>
      </x:c>
      <x:c r="AX259" s="60" t="n">
        <x:f>IF(AU259=0,0,ROUND(AU259,2-INT(LOG10(ABS(AU259)))))</x:f>
        <x:v>1450000</x:v>
      </x:c>
      <x:c r="AY259" s="62" t="n">
        <x:f>AU259/AU258-1</x:f>
        <x:v>0.003657289445859968</x:v>
      </x:c>
    </x:row>
    <x:row r="260" ht="25" customHeight="1">
      <x:c r="A260" s="40" t="str">
        <x:f>'调前玩家曲线'!A260</x:f>
      </x:c>
      <x:c r="B260" s="40" t="n">
        <x:f>'调前玩家曲线'!B260</x:f>
        <x:v>249</x:v>
      </x:c>
      <x:c r="C260" s="40" t="n">
        <x:f>'调前玩家曲线'!C260</x:f>
        <x:v>17</x:v>
      </x:c>
      <x:c r="D260" s="40" t="n">
        <x:f>'调前玩家曲线'!D260</x:f>
        <x:v>15</x:v>
      </x:c>
      <x:c r="E260" s="40" t="n">
        <x:f>'调前玩家曲线'!E260</x:f>
        <x:v>1</x:v>
      </x:c>
      <x:c r="F260" s="40" t="n">
        <x:f>'调前玩家曲线'!F260</x:f>
        <x:v>5</x:v>
      </x:c>
      <x:c r="G260" s="63" t="n">
        <x:f>IF(B260&lt;$G$8,0,(INDEX('主线调参'!$C$11:$C$62,$AV260)+(INDEX('主线调参'!$C$11:$C$62,$AV260+1)-INDEX('主线调参'!$C$11:$C$62,$AV260))*$AW260)*'参数说明'!$C$27)</x:f>
        <x:v>0.8660127634552846</x:v>
      </x:c>
      <x:c r="H260" s="63" t="n">
        <x:f>IF(B260&lt;$H$8,0,(INDEX('主线调参'!$D$11:$D$62,$AV260)+(INDEX('主线调参'!$D$11:$D$62,$AV260+1)-INDEX('主线调参'!$D$11:$D$62,$AV260))*$AW260)*'参数说明'!$D$27)</x:f>
        <x:v>0.6734049706919454</x:v>
      </x:c>
      <x:c r="I260" s="63" t="n">
        <x:f>IF(B260&lt;$I$8,0,(INDEX('主线调参'!$E$11:$E$62,$AV260)+(INDEX('主线调参'!$E$11:$E$62,$AV260+1)-INDEX('主线调参'!$E$11:$E$62,$AV260))*$AW260)*'参数说明'!$E$27)</x:f>
        <x:v>0.6159360703255555</x:v>
      </x:c>
      <x:c r="J260" s="63" t="n">
        <x:f>IF(B260&lt;$J$8,0,(INDEX('主线调参'!$F$11:$F$62,$AV260)+(INDEX('主线调参'!$F$11:$F$62,$AV260+1)-INDEX('主线调参'!$F$11:$F$62,$AV260))*$AW260)*'参数说明'!$F$27)</x:f>
        <x:v>0.5714293025212129</x:v>
      </x:c>
      <x:c r="K260" s="63" t="n">
        <x:f>IF(B260&lt;$K$8,0,(INDEX('主线调参'!$G$11:$G$62,$AV260)+(INDEX('主线调参'!$G$11:$G$62,$AV260+1)-INDEX('主线调参'!$G$11:$G$62,$AV260))*$AW260)*'参数说明'!$G$27)</x:f>
        <x:v>0.6084305096532213</x:v>
      </x:c>
      <x:c r="L260" s="63" t="n">
        <x:f>IF(B260&lt;$L$8,0,(INDEX('主线调参'!$H$11:$H$62,$AV260)+(INDEX('主线调参'!$H$11:$H$62,$AV260+1)-INDEX('主线调参'!$H$11:$H$62,$AV260))*$AW260)*'参数说明'!$H$27)</x:f>
        <x:v>0.6723901742082786</x:v>
      </x:c>
      <x:c r="M260" s="59" t="n">
        <x:f>E260*'模块规划'!$F$10+G260*'模块规划'!$F$11+H260*'模块规划'!$F$13</x:f>
        <x:v>5156.8612645853655</x:v>
      </x:c>
      <x:c r="N260" s="59" t="n">
        <x:f>I260*'模块规划'!$F$15+J260*'模块规划'!$F$17+K260*'模块规划'!$F$16+L260*'模块规划'!$F$18</x:f>
        <x:v>17654.315516777297</x:v>
      </x:c>
      <x:c r="O260" s="59" t="n">
        <x:f>1+O$9*SUMPRODUCT($H$10:$L$10,H260:L260)/SUM($H$10:$L$10)</x:f>
        <x:v>3.3032874118725495</x:v>
      </x:c>
      <x:c r="P260" s="59" t="n">
        <x:f>M260*O260+N260</x:f>
        <x:v>34688.91041685529</x:v>
      </x:c>
      <x:c r="Q260" s="59" t="n">
        <x:f>P260/(P260+'_曲线基线'!$L$2)</x:f>
        <x:v>0.5910641409163516</x:v>
      </x:c>
      <x:c r="R260" s="59" t="n">
        <x:f>E260*'模块规划'!$E$10+G260*'模块规划'!$E$11+H260*'模块规划'!$E$13</x:f>
        <x:v>7735.291896878049</x:v>
      </x:c>
      <x:c r="S260" s="59" t="n">
        <x:f>I260*'模块规划'!$E$15+J260*'模块规划'!$E$17+K260*'模块规划'!$E$16+L260*'模块规划'!$E$18</x:f>
        <x:v>26481.473275165943</x:v>
      </x:c>
      <x:c r="T260" s="59" t="n">
        <x:f>1+T$9*SUMPRODUCT($H$10:$L$10,H260:L260)/SUM($H$10:$L$10)</x:f>
        <x:v>3.3032874118725495</x:v>
      </x:c>
      <x:c r="U260" s="59" t="n">
        <x:f>R260*T260+S260</x:f>
        <x:v>52033.36562528294</x:v>
      </x:c>
      <x:c r="V260" s="59" t="n">
        <x:f>V$8+(V$9-V$8)*H260</x:f>
        <x:v>0.9020214912075836</x:v>
      </x:c>
      <x:c r="W260" s="59" t="n">
        <x:f>IF(B260&lt;$H$8,0,W$8+(W$9-W$8)*H260)</x:f>
        <x:v>0.26936198827677815</x:v>
      </x:c>
      <x:c r="X260" s="59" t="n">
        <x:f>X$8+(X$9-X$8)*H260</x:f>
        <x:v>0.46018636694028503</x:v>
      </x:c>
      <x:c r="Y260" s="59" t="n">
        <x:f>Y$8+(Y$9-Y$8)*G260</x:f>
        <x:v>1</x:v>
      </x:c>
      <x:c r="Z260" s="59" t="n">
        <x:f>Z$8+(Z$9-Z$8)*H260</x:f>
        <x:v>1</x:v>
      </x:c>
      <x:c r="AA260" s="59" t="n">
        <x:f>AA$8+(AA$9-AA$8)*I260</x:f>
        <x:v>1</x:v>
      </x:c>
      <x:c r="AB260" s="59" t="n">
        <x:f>AB$8+(AB$9-AB$8)*J260</x:f>
        <x:v>1</x:v>
      </x:c>
      <x:c r="AC260" s="59" t="n">
        <x:f>AC$8+(AC$9-AC$8)*MAX(K260,L260)</x:f>
        <x:v>1</x:v>
      </x:c>
      <x:c r="AD260" s="59" t="n">
        <x:f>(V260*AE260+W260*AF260+X260*AG260)*PRODUCT(Y260:AC260)</x:f>
        <x:v>1.8521178778456013</x:v>
      </x:c>
      <x:c r="AE260" s="59" t="n">
        <x:f>1+AE$9*($H$10*H260+$I$10*I260+$J$10*J260+$K$10*K260+$L$10*L260)</x:f>
        <x:v>1</x:v>
      </x:c>
      <x:c r="AF260" s="59" t="n">
        <x:f>1+AF$9*($H$10*H260+$I$10*I260+$J$10*J260+$K$10*K260+$L$10*L260)</x:f>
        <x:v>1.2032860954608162</x:v>
      </x:c>
      <x:c r="AG260" s="59" t="n">
        <x:f>1+AG$9*($H$10*H260+$I$10*I260+$J$10*J260+$K$10*K260+$L$10*L260)</x:f>
        <x:v>1.3602681358444495</x:v>
      </x:c>
      <x:c r="AH260" s="59" t="n">
        <x:f>MIN(1,'_曲线基线'!$L$3+AH$9*($H$10*H260+$I$10*I260+$J$10*J260+$K$10*K260+$L$10*L260))</x:f>
        <x:v>0.5124758671733566</x:v>
      </x:c>
      <x:c r="AI260" s="59" t="n">
        <x:f>'_曲线基线'!$L$4+AI$9*($H$10*H260+$I$10*I260+$J$10*J260+$K$10*K260+$L$10*L260)</x:f>
        <x:v>3.2883256299829218</x:v>
      </x:c>
      <x:c r="AJ260" s="59" t="n">
        <x:f>1+AJ$9*($H$10*H260+$I$10*I260+$J$10*J260+$K$10*K260+$L$10*L260)</x:f>
        <x:v>2.057087696396244</x:v>
      </x:c>
      <x:c r="AK260" s="59" t="n">
        <x:f>(1+AH260*(AI260-1))*AJ260</x:f>
        <x:v>4.469458426895059</x:v>
      </x:c>
      <x:c r="AL260" s="59" t="n">
        <x:f>U260*AD260*AK260*F260</x:f>
        <x:v>2153651.5999531527</x:v>
      </x:c>
      <x:c r="AM260" s="59" t="n">
        <x:f>IF($B260&lt;AM$8,0,AM$3+(AM$4-AM$3)*(POWER(AM$5,$B260-AM$8)-1)/(POWER(AM$5,$C$5-AM$8)-1))</x:f>
        <x:v>49.491999165663046</x:v>
      </x:c>
      <x:c r="AN260" s="59" t="n">
        <x:f>(((E260*'模块规划'!$D$10+G260*'模块规划'!$D$11+H260*'模块规划'!$D$13)*(1+'模块规划'!$G$14*H260)+(I260*'模块规划'!$D$15+J260*'模块规划'!$D$17+K260*'模块规划'!$D$16+L260*'模块规划'!$D$18))*(1+'模块规划'!$J$17*J260))*F260/(1-Q260)</x:f>
        <x:v>2672892.558608364</x:v>
      </x:c>
      <x:c r="AO260" s="59" t="n">
        <x:f>AL260*AM260</x:f>
        <x:v>106588523.18801032</x:v>
      </x:c>
      <x:c r="AP260" s="61" t="n">
        <x:f>IF(AO260="","",INDEX('_曲线基线'!$A$3:$A$502,MIN(ROWS('_曲线基线'!$A$3:$A$502),COUNTIF('_曲线基线'!$E$3:$E$502,"&lt;"&amp;AO260)+1)))</x:f>
        <x:v>298</x:v>
      </x:c>
      <x:c r="AQ260" s="61" t="n">
        <x:f>IF(B260&lt;=2,1,IF(B260&lt;=6,2,IF(B260&lt;=9,3,IF(B260&lt;=19,4,5))))</x:f>
        <x:v>5</x:v>
      </x:c>
      <x:c r="AR260" s="59" t="n">
        <x:f>AN260*(1-Q260)/F260*$AS$3+U260*$AS$4+P260*$AS$5</x:f>
        <x:v>16964.9228132134</x:v>
      </x:c>
      <x:c r="AS260" s="59" t="n">
        <x:f>1+AH260*$AS$6+AI260*$AS$7+(AJ260-1)*$AS$8+($H$10*H260+$I$10*I260+$J$10*J260+$K$10*K260+$L$10*L260)*$AU$3*$AS$9+($H$10*H260+$I$10*I260+$J$10*J260+$K$10*K260+$L$10*L260)*$AU$4*$AS$10</x:f>
        <x:v>17.128155187609728</x:v>
      </x:c>
      <x:c r="AT260" s="60" t="n">
        <x:f>ROUND(AR260*AS260,0)</x:f>
        <x:v>290578</x:v>
      </x:c>
      <x:c r="AU260" s="60" t="n">
        <x:f>ROUND(AT260*F260,0)</x:f>
        <x:v>1452890</x:v>
      </x:c>
      <x:c r="AV260" s="60" t="n">
        <x:f>MIN(MATCH(B260,'主线调参'!$M$11:$M$62,1),ROWS('主线调参'!$M$11:$M$62)-1)</x:f>
        <x:v>48</x:v>
      </x:c>
      <x:c r="AW260" s="62" t="n">
        <x:f>(B260-INDEX('主线调参'!$M$11:$M$62,AV260))/(INDEX('主线调参'!$M$11:$M$62,AV260+1)-INDEX('主线调参'!$M$11:$M$62,AV260))</x:f>
        <x:v>0</x:v>
      </x:c>
      <x:c r="AX260" s="60" t="n">
        <x:f>IF(AU260=0,0,ROUND(AU260,2-INT(LOG10(ABS(AU260)))))</x:f>
        <x:v>1450000</x:v>
      </x:c>
      <x:c r="AY260" s="62" t="n">
        <x:f>AU260/AU259-1</x:f>
        <x:v>0.00365432439900526</x:v>
      </x:c>
    </x:row>
    <x:row r="261" ht="25" customHeight="1">
      <x:c r="A261" s="40" t="str">
        <x:f>'调前玩家曲线'!A261</x:f>
      </x:c>
      <x:c r="B261" s="40" t="n">
        <x:f>'调前玩家曲线'!B261</x:f>
        <x:v>250</x:v>
      </x:c>
      <x:c r="C261" s="40" t="n">
        <x:f>'调前玩家曲线'!C261</x:f>
        <x:v>18</x:v>
      </x:c>
      <x:c r="D261" s="40" t="n">
        <x:f>'调前玩家曲线'!D261</x:f>
        <x:v>1</x:v>
      </x:c>
      <x:c r="E261" s="40" t="n">
        <x:f>'调前玩家曲线'!E261</x:f>
        <x:v>1</x:v>
      </x:c>
      <x:c r="F261" s="40" t="n">
        <x:f>'调前玩家曲线'!F261</x:f>
        <x:v>5</x:v>
      </x:c>
      <x:c r="G261" s="63" t="n">
        <x:f>IF(B261&lt;$G$8,0,(INDEX('主线调参'!$C$11:$C$62,$AV261)+(INDEX('主线调参'!$C$11:$C$62,$AV261+1)-INDEX('主线调参'!$C$11:$C$62,$AV261))*$AW261)*'参数说明'!$C$27)</x:f>
        <x:v>0.8671939141610198</x:v>
      </x:c>
      <x:c r="H261" s="63" t="n">
        <x:f>IF(B261&lt;$H$8,0,(INDEX('主线调参'!$D$11:$D$62,$AV261)+(INDEX('主线调参'!$D$11:$D$62,$AV261+1)-INDEX('主线调参'!$D$11:$D$62,$AV261))*$AW261)*'参数说明'!$D$27)</x:f>
        <x:v>0.6743161096043667</x:v>
      </x:c>
      <x:c r="I261" s="63" t="n">
        <x:f>IF(B261&lt;$I$8,0,(INDEX('主线调参'!$E$11:$E$62,$AV261)+(INDEX('主线调参'!$E$11:$E$62,$AV261+1)-INDEX('主线调参'!$E$11:$E$62,$AV261))*$AW261)*'参数说明'!$E$27)</x:f>
        <x:v>0.6171348829438539</x:v>
      </x:c>
      <x:c r="J261" s="63" t="n">
        <x:f>IF(B261&lt;$J$8,0,(INDEX('主线调参'!$F$11:$F$62,$AV261)+(INDEX('主线调参'!$F$11:$F$62,$AV261+1)-INDEX('主线调参'!$F$11:$F$62,$AV261))*$AW261)*'参数说明'!$F$27)</x:f>
        <x:v>0.5724134852502768</x:v>
      </x:c>
      <x:c r="K261" s="63" t="n">
        <x:f>IF(B261&lt;$K$8,0,(INDEX('主线调参'!$G$11:$G$62,$AV261)+(INDEX('主线调参'!$G$11:$G$62,$AV261+1)-INDEX('主线调参'!$G$11:$G$62,$AV261))*$AW261)*'参数说明'!$G$27)</x:f>
        <x:v>0.6099491289616344</x:v>
      </x:c>
      <x:c r="L261" s="63" t="n">
        <x:f>IF(B261&lt;$L$8,0,(INDEX('主线调参'!$H$11:$H$62,$AV261)+(INDEX('主线调参'!$H$11:$H$62,$AV261+1)-INDEX('主线调参'!$H$11:$H$62,$AV261))*$AW261)*'参数说明'!$H$27)</x:f>
        <x:v>0.6733399991386839</x:v>
      </x:c>
      <x:c r="M261" s="59" t="n">
        <x:f>E261*'模块规划'!$F$10+G261*'模块规划'!$F$11+H261*'模块规划'!$F$13</x:f>
        <x:v>5162.530787972895</x:v>
      </x:c>
      <x:c r="N261" s="59" t="n">
        <x:f>I261*'模块规划'!$F$15+J261*'模块规划'!$F$17+K261*'模块规划'!$F$16+L261*'模块规划'!$F$18</x:f>
        <x:v>17687.608685516825</x:v>
      </x:c>
      <x:c r="O261" s="59" t="n">
        <x:f>1+O$9*SUMPRODUCT($H$10:$L$10,H261:L261)/SUM($H$10:$L$10)</x:f>
        <x:v>3.307414943013122</x:v>
      </x:c>
      <x:c r="P261" s="59" t="n">
        <x:f>M261*O261+N261</x:f>
        <x:v>34762.24015742369</x:v>
      </x:c>
      <x:c r="Q261" s="59" t="n">
        <x:f>P261/(P261+'_曲线基线'!$L$2)</x:f>
        <x:v>0.5915744543485043</x:v>
      </x:c>
      <x:c r="R261" s="59" t="n">
        <x:f>E261*'模块规划'!$E$10+G261*'模块规划'!$E$11+H261*'模块规划'!$E$13</x:f>
        <x:v>7743.796181959342</x:v>
      </x:c>
      <x:c r="S261" s="59" t="n">
        <x:f>I261*'模块规划'!$E$15+J261*'模块规划'!$E$17+K261*'模块规划'!$E$16+L261*'模块规划'!$E$18</x:f>
        <x:v>26531.413028275238</x:v>
      </x:c>
      <x:c r="T261" s="59" t="n">
        <x:f>1+T$9*SUMPRODUCT($H$10:$L$10,H261:L261)/SUM($H$10:$L$10)</x:f>
        <x:v>3.307414943013122</x:v>
      </x:c>
      <x:c r="U261" s="59" t="n">
        <x:f>R261*T261+S261</x:f>
        <x:v>52143.36023613553</x:v>
      </x:c>
      <x:c r="V261" s="59" t="n">
        <x:f>V$8+(V$9-V$8)*H261</x:f>
        <x:v>0.90229483288131</x:v>
      </x:c>
      <x:c r="W261" s="59" t="n">
        <x:f>IF(B261&lt;$H$8,0,W$8+(W$9-W$8)*H261)</x:f>
        <x:v>0.2697264438417467</x:v>
      </x:c>
      <x:c r="X261" s="59" t="n">
        <x:f>X$8+(X$9-X$8)*H261</x:f>
        <x:v>0.4604369301412009</x:v>
      </x:c>
      <x:c r="Y261" s="59" t="n">
        <x:f>Y$8+(Y$9-Y$8)*G261</x:f>
        <x:v>1</x:v>
      </x:c>
      <x:c r="Z261" s="59" t="n">
        <x:f>Z$8+(Z$9-Z$8)*H261</x:f>
        <x:v>1</x:v>
      </x:c>
      <x:c r="AA261" s="59" t="n">
        <x:f>AA$8+(AA$9-AA$8)*I261</x:f>
        <x:v>1</x:v>
      </x:c>
      <x:c r="AB261" s="59" t="n">
        <x:f>AB$8+(AB$9-AB$8)*J261</x:f>
        <x:v>1</x:v>
      </x:c>
      <x:c r="AC261" s="59" t="n">
        <x:f>AC$8+(AC$9-AC$8)*MAX(K261,L261)</x:f>
        <x:v>1</x:v>
      </x:c>
      <x:c r="AD261" s="59" t="n">
        <x:f>(V261*AE261+W261*AF261+X261*AG261)*PRODUCT(Y261:AC261)</x:f>
        <x:v>1.8535661174167968</x:v>
      </x:c>
      <x:c r="AE261" s="59" t="n">
        <x:f>1+AE$9*($H$10*H261+$I$10*I261+$J$10*J261+$K$10*K261+$L$10*L261)</x:f>
        <x:v>1</x:v>
      </x:c>
      <x:c r="AF261" s="59" t="n">
        <x:f>1+AF$9*($H$10*H261+$I$10*I261+$J$10*J261+$K$10*K261+$L$10*L261)</x:f>
        <x:v>1.2036503876829396</x:v>
      </x:c>
      <x:c r="AG261" s="59" t="n">
        <x:f>1+AG$9*($H$10*H261+$I$10*I261+$J$10*J261+$K$10*K261+$L$10*L261)</x:f>
        <x:v>1.360913742615879</x:v>
      </x:c>
      <x:c r="AH261" s="59" t="n">
        <x:f>MIN(1,'_曲线基线'!$L$3+AH$9*($H$10*H261+$I$10*I261+$J$10*J261+$K$10*K261+$L$10*L261))</x:f>
        <x:v>0.5133046319786873</x:v>
      </x:c>
      <x:c r="AI261" s="59" t="n">
        <x:f>'_曲线基线'!$L$4+AI$9*($H$10*H261+$I$10*I261+$J$10*J261+$K$10*K261+$L$10*L261)</x:f>
        <x:v>3.2906343319406286</x:v>
      </x:c>
      <x:c r="AJ261" s="59" t="n">
        <x:f>1+AJ$9*($H$10*H261+$I$10*I261+$J$10*J261+$K$10*K261+$L$10*L261)</x:f>
        <x:v>2.058982015951285</x:v>
      </x:c>
      <x:c r="AK261" s="59" t="n">
        <x:f>(1+AH261*(AI261-1))*AJ261</x:f>
        <x:v>4.479919095490446</x:v>
      </x:c>
      <x:c r="AL261" s="59" t="n">
        <x:f>U261*AD261*AK261*F261</x:f>
        <x:v>2164947.0159400576</x:v>
      </x:c>
      <x:c r="AM261" s="59" t="n">
        <x:f>IF($B261&lt;AM$8,0,AM$3+(AM$4-AM$3)*(POWER(AM$5,$B261-AM$8)-1)/(POWER(AM$5,$C$5-AM$8)-1))</x:f>
        <x:v>49.65034379724155</x:v>
      </x:c>
      <x:c r="AN261" s="59" t="n">
        <x:f>(((E261*'模块规划'!$D$10+G261*'模块规划'!$D$11+H261*'模块规划'!$D$13)*(1+'模块规划'!$G$14*H261)+(I261*'模块规划'!$D$15+J261*'模块规划'!$D$17+K261*'模块规划'!$D$16+L261*'模块规划'!$D$18))*(1+'模块规划'!$J$17*J261))*F261/(1-Q261)</x:f>
        <x:v>2682922.279772044</x:v>
      </x:c>
      <x:c r="AO261" s="59" t="n">
        <x:f>AL261*AM261</x:f>
        <x:v>107490363.64423603</x:v>
      </x:c>
      <x:c r="AP261" s="61" t="n">
        <x:f>IF(AO261="","",INDEX('_曲线基线'!$A$3:$A$502,MIN(ROWS('_曲线基线'!$A$3:$A$502),COUNTIF('_曲线基线'!$E$3:$E$502,"&lt;"&amp;AO261)+1)))</x:f>
        <x:v>299</x:v>
      </x:c>
      <x:c r="AQ261" s="61" t="n">
        <x:f>IF(B261&lt;=2,1,IF(B261&lt;=6,2,IF(B261&lt;=9,3,IF(B261&lt;=19,4,5))))</x:f>
        <x:v>5</x:v>
      </x:c>
      <x:c r="AR261" s="59" t="n">
        <x:f>AN261*(1-Q261)/F261*$AS$3+U261*$AS$4+P261*$AS$5</x:f>
        <x:v>17003.316023565818</x:v>
      </x:c>
      <x:c r="AS261" s="59" t="n">
        <x:f>1+AH261*$AS$6+AI261*$AS$7+(AJ261-1)*$AS$8+($H$10*H261+$I$10*I261+$J$10*J261+$K$10*K261+$L$10*L261)*$AU$3*$AS$9+($H$10*H261+$I$10*I261+$J$10*J261+$K$10*K261+$L$10*L261)*$AU$4*$AS$10</x:f>
        <x:v>17.14992206180864</x:v>
      </x:c>
      <x:c r="AT261" s="60" t="n">
        <x:f>ROUND(AR261*AS261,0)</x:f>
        <x:v>291606</x:v>
      </x:c>
      <x:c r="AU261" s="60" t="n">
        <x:f>ROUND(AT261*F261,0)</x:f>
        <x:v>1458030</x:v>
      </x:c>
      <x:c r="AV261" s="60" t="n">
        <x:f>MIN(MATCH(B261,'主线调参'!$M$11:$M$62,1),ROWS('主线调参'!$M$11:$M$62)-1)</x:f>
        <x:v>49</x:v>
      </x:c>
      <x:c r="AW261" s="62" t="n">
        <x:f>(B261-INDEX('主线调参'!$M$11:$M$62,AV261))/(INDEX('主线调参'!$M$11:$M$62,AV261+1)-INDEX('主线调参'!$M$11:$M$62,AV261))</x:f>
        <x:v>0</x:v>
      </x:c>
      <x:c r="AX261" s="60" t="n">
        <x:f>IF(AU261=0,0,ROUND(AU261,2-INT(LOG10(ABS(AU261)))))</x:f>
        <x:v>1460000</x:v>
      </x:c>
      <x:c r="AY261" s="62" t="n">
        <x:f>AU261/AU260-1</x:f>
        <x:v>0.0035377764318014204</x:v>
      </x:c>
    </x:row>
    <x:row r="262" ht="25" customHeight="1">
      <x:c r="A262" s="40" t="str">
        <x:f>'调前玩家曲线'!A262</x:f>
      </x:c>
      <x:c r="B262" s="40" t="n">
        <x:f>'调前玩家曲线'!B262</x:f>
        <x:v>251</x:v>
      </x:c>
      <x:c r="C262" s="40" t="n">
        <x:f>'调前玩家曲线'!C262</x:f>
        <x:v>18</x:v>
      </x:c>
      <x:c r="D262" s="40" t="n">
        <x:f>'调前玩家曲线'!D262</x:f>
        <x:v>2</x:v>
      </x:c>
      <x:c r="E262" s="40" t="n">
        <x:f>'调前玩家曲线'!E262</x:f>
        <x:v>1</x:v>
      </x:c>
      <x:c r="F262" s="40" t="n">
        <x:f>'调前玩家曲线'!F262</x:f>
        <x:v>5</x:v>
      </x:c>
      <x:c r="G262" s="63" t="n">
        <x:f>IF(B262&lt;$G$8,0,(INDEX('主线调参'!$C$11:$C$62,$AV262)+(INDEX('主线调参'!$C$11:$C$62,$AV262+1)-INDEX('主线调参'!$C$11:$C$62,$AV262))*$AW262)*'参数说明'!$C$27)</x:f>
        <x:v>0.8683484752321489</x:v>
      </x:c>
      <x:c r="H262" s="63" t="n">
        <x:f>IF(B262&lt;$H$8,0,(INDEX('主线调参'!$D$11:$D$62,$AV262)+(INDEX('主线调参'!$D$11:$D$62,$AV262+1)-INDEX('主线调参'!$D$11:$D$62,$AV262))*$AW262)*'参数说明'!$D$27)</x:f>
        <x:v>0.675213352765967</x:v>
      </x:c>
      <x:c r="I262" s="63" t="n">
        <x:f>IF(B262&lt;$I$8,0,(INDEX('主线调参'!$E$11:$E$62,$AV262)+(INDEX('主线调参'!$E$11:$E$62,$AV262+1)-INDEX('主线调参'!$E$11:$E$62,$AV262))*$AW262)*'参数说明'!$E$27)</x:f>
        <x:v>0.6182979672384811</x:v>
      </x:c>
      <x:c r="J262" s="63" t="n">
        <x:f>IF(B262&lt;$J$8,0,(INDEX('主线调参'!$F$11:$F$62,$AV262)+(INDEX('主线调参'!$F$11:$F$62,$AV262+1)-INDEX('主线调参'!$F$11:$F$62,$AV262))*$AW262)*'参数说明'!$F$27)</x:f>
        <x:v>0.5733797180906108</x:v>
      </x:c>
      <x:c r="K262" s="63" t="n">
        <x:f>IF(B262&lt;$K$8,0,(INDEX('主线调参'!$G$11:$G$62,$AV262)+(INDEX('主线调参'!$G$11:$G$62,$AV262+1)-INDEX('主线调参'!$G$11:$G$62,$AV262))*$AW262)*'参数说明'!$G$27)</x:f>
        <x:v>0.6113927536403655</x:v>
      </x:c>
      <x:c r="L262" s="63" t="n">
        <x:f>IF(B262&lt;$L$8,0,(INDEX('主线调参'!$H$11:$H$62,$AV262)+(INDEX('主线调参'!$H$11:$H$62,$AV262+1)-INDEX('主线调参'!$H$11:$H$62,$AV262))*$AW262)*'参数说明'!$H$27)</x:f>
        <x:v>0.6742731875868526</x:v>
      </x:c>
      <x:c r="M262" s="59" t="n">
        <x:f>E262*'模块规划'!$F$10+G262*'模块规划'!$F$11+H262*'模块规划'!$F$13</x:f>
        <x:v>5168.072681114315</x:v>
      </x:c>
      <x:c r="N262" s="59" t="n">
        <x:f>I262*'模块规划'!$F$15+J262*'模块规划'!$F$17+K262*'模块规划'!$F$16+L262*'模块规划'!$F$18</x:f>
        <x:v>17719.903378590414</x:v>
      </x:c>
      <x:c r="O262" s="59" t="n">
        <x:f>1+O$9*SUMPRODUCT($H$10:$L$10,H262:L262)/SUM($H$10:$L$10)</x:f>
        <x:v>3.311431165624357</x:v>
      </x:c>
      <x:c r="P262" s="59" t="n">
        <x:f>M262*O262+N262</x:f>
        <x:v>34833.62032104419</x:v>
      </x:c>
      <x:c r="Q262" s="59" t="n">
        <x:f>P262/(P262+'_曲线基线'!$L$2)</x:f>
        <x:v>0.5920699785422614</x:v>
      </x:c>
      <x:c r="R262" s="59" t="n">
        <x:f>E262*'模块规划'!$E$10+G262*'模块规划'!$E$11+H262*'模块规划'!$E$13</x:f>
        <x:v>7752.109021671472</x:v>
      </x:c>
      <x:c r="S262" s="59" t="n">
        <x:f>I262*'模块规划'!$E$15+J262*'模块规划'!$E$17+K262*'模块规划'!$E$16+L262*'模块规划'!$E$18</x:f>
        <x:v>26579.85506788562</x:v>
      </x:c>
      <x:c r="T262" s="59" t="n">
        <x:f>1+T$9*SUMPRODUCT($H$10:$L$10,H262:L262)/SUM($H$10:$L$10)</x:f>
        <x:v>3.311431165624357</x:v>
      </x:c>
      <x:c r="U262" s="59" t="n">
        <x:f>R262*T262+S262</x:f>
        <x:v>52250.430481566276</x:v>
      </x:c>
      <x:c r="V262" s="59" t="n">
        <x:f>V$8+(V$9-V$8)*H262</x:f>
        <x:v>0.9025640058297901</x:v>
      </x:c>
      <x:c r="W262" s="59" t="n">
        <x:f>IF(B262&lt;$H$8,0,W$8+(W$9-W$8)*H262)</x:f>
        <x:v>0.27008534110638677</x:v>
      </x:c>
      <x:c r="X262" s="59" t="n">
        <x:f>X$8+(X$9-X$8)*H262</x:f>
        <x:v>0.460683672010641</x:v>
      </x:c>
      <x:c r="Y262" s="59" t="n">
        <x:f>Y$8+(Y$9-Y$8)*G262</x:f>
        <x:v>1</x:v>
      </x:c>
      <x:c r="Z262" s="59" t="n">
        <x:f>Z$8+(Z$9-Z$8)*H262</x:f>
        <x:v>1</x:v>
      </x:c>
      <x:c r="AA262" s="59" t="n">
        <x:f>AA$8+(AA$9-AA$8)*I262</x:f>
        <x:v>1</x:v>
      </x:c>
      <x:c r="AB262" s="59" t="n">
        <x:f>AB$8+(AB$9-AB$8)*J262</x:f>
        <x:v>1</x:v>
      </x:c>
      <x:c r="AC262" s="59" t="n">
        <x:f>AC$8+(AC$9-AC$8)*MAX(K262,L262)</x:f>
        <x:v>1</x:v>
      </x:c>
      <x:c r="AD262" s="59" t="n">
        <x:f>(V262*AE262+W262*AF262+X262*AG262)*PRODUCT(Y262:AC262)</x:f>
        <x:v>1.8549882081298303</x:v>
      </x:c>
      <x:c r="AE262" s="59" t="n">
        <x:f>1+AE$9*($H$10*H262+$I$10*I262+$J$10*J262+$K$10*K262+$L$10*L262)</x:f>
        <x:v>1</x:v>
      </x:c>
      <x:c r="AF262" s="59" t="n">
        <x:f>1+AF$9*($H$10*H262+$I$10*I262+$J$10*J262+$K$10*K262+$L$10*L262)</x:f>
        <x:v>1.204004855913405</x:v>
      </x:c>
      <x:c r="AG262" s="59" t="n">
        <x:f>1+AG$9*($H$10*H262+$I$10*I262+$J$10*J262+$K$10*K262+$L$10*L262)</x:f>
        <x:v>1.3615419390909818</x:v>
      </x:c>
      <x:c r="AH262" s="59" t="n">
        <x:f>MIN(1,'_曲线基线'!$L$3+AH$9*($H$10*H262+$I$10*I262+$J$10*J262+$K$10*K262+$L$10*L262))</x:f>
        <x:v>0.5141110472029958</x:v>
      </x:c>
      <x:c r="AI262" s="59" t="n">
        <x:f>'_曲线基线'!$L$4+AI$9*($H$10*H262+$I$10*I262+$J$10*J262+$K$10*K262+$L$10*L262)</x:f>
        <x:v>3.292880774351203</x:v>
      </x:c>
      <x:c r="AJ262" s="59" t="n">
        <x:f>1+AJ$9*($H$10*H262+$I$10*I262+$J$10*J262+$K$10*K262+$L$10*L262)</x:f>
        <x:v>2.060825250749705</x:v>
      </x:c>
      <x:c r="AK262" s="59" t="n">
        <x:f>(1+AH262*(AI262-1))*AJ262</x:f>
        <x:v>4.490116444671924</x:v>
      </x:c>
      <x:c r="AL262" s="59" t="n">
        <x:f>U262*AD262*AK262*F262</x:f>
        <x:v>2175998.7140496965</x:v>
      </x:c>
      <x:c r="AM262" s="59" t="n">
        <x:f>IF($B262&lt;AM$8,0,AM$3+(AM$4-AM$3)*(POWER(AM$5,$B262-AM$8)-1)/(POWER(AM$5,$C$5-AM$8)-1))</x:f>
        <x:v>49.81027187513583</x:v>
      </x:c>
      <x:c r="AN262" s="59" t="n">
        <x:f>(((E262*'模块规划'!$D$10+G262*'模块规划'!$D$11+H262*'模块规划'!$D$13)*(1+'模块规划'!$G$14*H262)+(I262*'模块规划'!$D$15+J262*'模块规划'!$D$17+K262*'模块规划'!$D$16+L262*'模块规划'!$D$18))*(1+'模块规划'!$J$17*J262))*F262/(1-Q262)</x:f>
        <x:v>2692721.6059280722</x:v>
      </x:c>
      <x:c r="AO262" s="59" t="n">
        <x:f>AL262*AM262</x:f>
        <x:v>108387087.54676133</x:v>
      </x:c>
      <x:c r="AP262" s="61" t="n">
        <x:f>IF(AO262="","",INDEX('_曲线基线'!$A$3:$A$502,MIN(ROWS('_曲线基线'!$A$3:$A$502),COUNTIF('_曲线基线'!$E$3:$E$502,"&lt;"&amp;AO262)+1)))</x:f>
        <x:v>300</x:v>
      </x:c>
      <x:c r="AQ262" s="61" t="n">
        <x:f>IF(B262&lt;=2,1,IF(B262&lt;=6,2,IF(B262&lt;=9,3,IF(B262&lt;=19,4,5))))</x:f>
        <x:v>5</x:v>
      </x:c>
      <x:c r="AR262" s="59" t="n">
        <x:f>AN262*(1-Q262)/F262*$AS$3+U262*$AS$4+P262*$AS$5</x:f>
        <x:v>17040.737991228987</x:v>
      </x:c>
      <x:c r="AS262" s="59" t="n">
        <x:f>1+AH262*$AS$6+AI262*$AS$7+(AJ262-1)*$AS$8+($H$10*H262+$I$10*I262+$J$10*J262+$K$10*K262+$L$10*L262)*$AU$3*$AS$9+($H$10*H262+$I$10*I262+$J$10*J262+$K$10*K262+$L$10*L262)*$AU$4*$AS$10</x:f>
        <x:v>17.17110194134347</x:v>
      </x:c>
      <x:c r="AT262" s="60" t="n">
        <x:f>ROUND(AR262*AS262,0)</x:f>
        <x:v>292608</x:v>
      </x:c>
      <x:c r="AU262" s="60" t="n">
        <x:f>ROUND(AT262*F262,0)</x:f>
        <x:v>1463040</x:v>
      </x:c>
      <x:c r="AV262" s="60" t="n">
        <x:f>MIN(MATCH(B262,'主线调参'!$M$11:$M$62,1),ROWS('主线调参'!$M$11:$M$62)-1)</x:f>
        <x:v>49</x:v>
      </x:c>
      <x:c r="AW262" s="62" t="n">
        <x:f>(B262-INDEX('主线调参'!$M$11:$M$62,AV262))/(INDEX('主线调参'!$M$11:$M$62,AV262+1)-INDEX('主线调参'!$M$11:$M$62,AV262))</x:f>
        <x:v>0.07142857142857142</x:v>
      </x:c>
      <x:c r="AX262" s="60" t="n">
        <x:f>IF(AU262=0,0,ROUND(AU262,2-INT(LOG10(ABS(AU262)))))</x:f>
        <x:v>1460000</x:v>
      </x:c>
      <x:c r="AY262" s="62" t="n">
        <x:f>AU262/AU261-1</x:f>
        <x:v>0.003436143289232696</x:v>
      </x:c>
    </x:row>
    <x:row r="263" ht="25" customHeight="1">
      <x:c r="A263" s="40" t="str">
        <x:f>'调前玩家曲线'!A263</x:f>
      </x:c>
      <x:c r="B263" s="40" t="n">
        <x:f>'调前玩家曲线'!B263</x:f>
        <x:v>252</x:v>
      </x:c>
      <x:c r="C263" s="40" t="n">
        <x:f>'调前玩家曲线'!C263</x:f>
        <x:v>18</x:v>
      </x:c>
      <x:c r="D263" s="40" t="n">
        <x:f>'调前玩家曲线'!D263</x:f>
        <x:v>3</x:v>
      </x:c>
      <x:c r="E263" s="40" t="n">
        <x:f>'调前玩家曲线'!E263</x:f>
        <x:v>1</x:v>
      </x:c>
      <x:c r="F263" s="40" t="n">
        <x:f>'调前玩家曲线'!F263</x:f>
        <x:v>5</x:v>
      </x:c>
      <x:c r="G263" s="63" t="n">
        <x:f>IF(B263&lt;$G$8,0,(INDEX('主线调参'!$C$11:$C$62,$AV263)+(INDEX('主线调参'!$C$11:$C$62,$AV263+1)-INDEX('主线调参'!$C$11:$C$62,$AV263))*$AW263)*'参数说明'!$C$27)</x:f>
        <x:v>0.8695030363032779</x:v>
      </x:c>
      <x:c r="H263" s="63" t="n">
        <x:f>IF(B263&lt;$H$8,0,(INDEX('主线调参'!$D$11:$D$62,$AV263)+(INDEX('主线调参'!$D$11:$D$62,$AV263+1)-INDEX('主线调参'!$D$11:$D$62,$AV263))*$AW263)*'参数说明'!$D$27)</x:f>
        <x:v>0.6761105959275671</x:v>
      </x:c>
      <x:c r="I263" s="63" t="n">
        <x:f>IF(B263&lt;$I$8,0,(INDEX('主线调参'!$E$11:$E$62,$AV263)+(INDEX('主线调参'!$E$11:$E$62,$AV263+1)-INDEX('主线调参'!$E$11:$E$62,$AV263))*$AW263)*'参数说明'!$E$27)</x:f>
        <x:v>0.6194610515331082</x:v>
      </x:c>
      <x:c r="J263" s="63" t="n">
        <x:f>IF(B263&lt;$J$8,0,(INDEX('主线调参'!$F$11:$F$62,$AV263)+(INDEX('主线调参'!$F$11:$F$62,$AV263+1)-INDEX('主线调参'!$F$11:$F$62,$AV263))*$AW263)*'参数说明'!$F$27)</x:f>
        <x:v>0.5743459509309449</x:v>
      </x:c>
      <x:c r="K263" s="63" t="n">
        <x:f>IF(B263&lt;$K$8,0,(INDEX('主线调参'!$G$11:$G$62,$AV263)+(INDEX('主线调参'!$G$11:$G$62,$AV263+1)-INDEX('主线调参'!$G$11:$G$62,$AV263))*$AW263)*'参数说明'!$G$27)</x:f>
        <x:v>0.6128363783190964</x:v>
      </x:c>
      <x:c r="L263" s="63" t="n">
        <x:f>IF(B263&lt;$L$8,0,(INDEX('主线调参'!$H$11:$H$62,$AV263)+(INDEX('主线调参'!$H$11:$H$62,$AV263+1)-INDEX('主线调参'!$H$11:$H$62,$AV263))*$AW263)*'参数说明'!$H$27)</x:f>
        <x:v>0.6752063760350213</x:v>
      </x:c>
      <x:c r="M263" s="59" t="n">
        <x:f>E263*'模块规划'!$F$10+G263*'模块规划'!$F$11+H263*'模块规划'!$F$13</x:f>
        <x:v>5173.614574255734</x:v>
      </x:c>
      <x:c r="N263" s="59" t="n">
        <x:f>I263*'模块规划'!$F$15+J263*'模块规划'!$F$17+K263*'模块规划'!$F$16+L263*'模块规划'!$F$18</x:f>
        <x:v>17752.198071664</x:v>
      </x:c>
      <x:c r="O263" s="59" t="n">
        <x:f>1+O$9*SUMPRODUCT($H$10:$L$10,H263:L263)/SUM($H$10:$L$10)</x:f>
        <x:v>3.315447388235593</x:v>
      </x:c>
      <x:c r="P263" s="59" t="n">
        <x:f>M263*O263+N263</x:f>
        <x:v>34905.04499961777</x:v>
      </x:c>
      <x:c r="Q263" s="59" t="n">
        <x:f>P263/(P263+'_曲线基线'!$L$2)</x:f>
        <x:v>0.5925646097009902</x:v>
      </x:c>
      <x:c r="R263" s="59" t="n">
        <x:f>E263*'模块规划'!$E$10+G263*'模块规划'!$E$11+H263*'模块规划'!$E$13</x:f>
        <x:v>7760.4218613836</x:v>
      </x:c>
      <x:c r="S263" s="59" t="n">
        <x:f>I263*'模块规划'!$E$15+J263*'模块规划'!$E$17+K263*'模块规划'!$E$16+L263*'模块规划'!$E$18</x:f>
        <x:v>26628.297107496</x:v>
      </x:c>
      <x:c r="T263" s="59" t="n">
        <x:f>1+T$9*SUMPRODUCT($H$10:$L$10,H263:L263)/SUM($H$10:$L$10)</x:f>
        <x:v>3.315447388235593</x:v>
      </x:c>
      <x:c r="U263" s="59" t="n">
        <x:f>R263*T263+S263</x:f>
        <x:v>52357.56749942666</x:v>
      </x:c>
      <x:c r="V263" s="59" t="n">
        <x:f>V$8+(V$9-V$8)*H263</x:f>
        <x:v>0.9028331787782701</x:v>
      </x:c>
      <x:c r="W263" s="59" t="n">
        <x:f>IF(B263&lt;$H$8,0,W$8+(W$9-W$8)*H263)</x:f>
        <x:v>0.2704442383710268</x:v>
      </x:c>
      <x:c r="X263" s="59" t="n">
        <x:f>X$8+(X$9-X$8)*H263</x:f>
        <x:v>0.460930413880081</x:v>
      </x:c>
      <x:c r="Y263" s="59" t="n">
        <x:f>Y$8+(Y$9-Y$8)*G263</x:f>
        <x:v>1</x:v>
      </x:c>
      <x:c r="Z263" s="59" t="n">
        <x:f>Z$8+(Z$9-Z$8)*H263</x:f>
        <x:v>1</x:v>
      </x:c>
      <x:c r="AA263" s="59" t="n">
        <x:f>AA$8+(AA$9-AA$8)*I263</x:f>
        <x:v>1</x:v>
      </x:c>
      <x:c r="AB263" s="59" t="n">
        <x:f>AB$8+(AB$9-AB$8)*J263</x:f>
        <x:v>1</x:v>
      </x:c>
      <x:c r="AC263" s="59" t="n">
        <x:f>AC$8+(AC$9-AC$8)*MAX(K263,L263)</x:f>
        <x:v>1</x:v>
      </x:c>
      <x:c r="AD263" s="59" t="n">
        <x:f>(V263*AE263+W263*AF263+X263*AG263)*PRODUCT(Y263:AC263)</x:f>
        <x:v>1.8564108632829648</x:v>
      </x:c>
      <x:c r="AE263" s="59" t="n">
        <x:f>1+AE$9*($H$10*H263+$I$10*I263+$J$10*J263+$K$10*K263+$L$10*L263)</x:f>
        <x:v>1</x:v>
      </x:c>
      <x:c r="AF263" s="59" t="n">
        <x:f>1+AF$9*($H$10*H263+$I$10*I263+$J$10*J263+$K$10*K263+$L$10*L263)</x:f>
        <x:v>1.2043593241438704</x:v>
      </x:c>
      <x:c r="AG263" s="59" t="n">
        <x:f>1+AG$9*($H$10*H263+$I$10*I263+$J$10*J263+$K$10*K263+$L$10*L263)</x:f>
        <x:v>1.362170135566084</x:v>
      </x:c>
      <x:c r="AH263" s="59" t="n">
        <x:f>MIN(1,'_曲线基线'!$L$3+AH$9*($H$10*H263+$I$10*I263+$J$10*J263+$K$10*K263+$L$10*L263))</x:f>
        <x:v>0.5149174624273044</x:v>
      </x:c>
      <x:c r="AI263" s="59" t="n">
        <x:f>'_曲线基线'!$L$4+AI$9*($H$10*H263+$I$10*I263+$J$10*J263+$K$10*K263+$L$10*L263)</x:f>
        <x:v>3.2951272167617764</x:v>
      </x:c>
      <x:c r="AJ263" s="59" t="n">
        <x:f>1+AJ$9*($H$10*H263+$I$10*I263+$J$10*J263+$K$10*K263+$L$10*L263)</x:f>
        <x:v>2.0626684855481248</x:v>
      </x:c>
      <x:c r="AK263" s="59" t="n">
        <x:f>(1+AH263*(AI263-1))*AJ263</x:f>
        <x:v>4.500332334407076</x:v>
      </x:c>
      <x:c r="AL263" s="59" t="n">
        <x:f>U263*AD263*AK263*F263</x:f>
        <x:v>2187097.5441204915</x:v>
      </x:c>
      <x:c r="AM263" s="59" t="n">
        <x:f>IF($B263&lt;AM$8,0,AM$3+(AM$4-AM$3)*(POWER(AM$5,$B263-AM$8)-1)/(POWER(AM$5,$C$5-AM$8)-1))</x:f>
        <x:v>49.971799233809065</x:v>
      </x:c>
      <x:c r="AN263" s="59" t="n">
        <x:f>(((E263*'模块规划'!$D$10+G263*'模块规划'!$D$11+H263*'模块规划'!$D$13)*(1+'模块规划'!$G$14*H263)+(I263*'模块规划'!$D$15+J263*'模块规划'!$D$17+K263*'模块规划'!$D$16+L263*'模块规划'!$D$18))*(1+'模块规划'!$J$17*J263))*F263/(1-Q263)</x:f>
        <x:v>2702546.2283695573</x:v>
      </x:c>
      <x:c r="AO263" s="59" t="n">
        <x:f>AL263*AM263</x:f>
        <x:v>109293199.37954606</x:v>
      </x:c>
      <x:c r="AP263" s="61" t="n">
        <x:f>IF(AO263="","",INDEX('_曲线基线'!$A$3:$A$502,MIN(ROWS('_曲线基线'!$A$3:$A$502),COUNTIF('_曲线基线'!$E$3:$E$502,"&lt;"&amp;AO263)+1)))</x:f>
        <x:v>300</x:v>
      </x:c>
      <x:c r="AQ263" s="61" t="n">
        <x:f>IF(B263&lt;=2,1,IF(B263&lt;=6,2,IF(B263&lt;=9,3,IF(B263&lt;=19,4,5))))</x:f>
        <x:v>5</x:v>
      </x:c>
      <x:c r="AR263" s="59" t="n">
        <x:f>AN263*(1-Q263)/F263*$AS$3+U263*$AS$4+P263*$AS$5</x:f>
        <x:v>17078.191364026534</x:v>
      </x:c>
      <x:c r="AS263" s="59" t="n">
        <x:f>1+AH263*$AS$6+AI263*$AS$7+(AJ263-1)*$AS$8+($H$10*H263+$I$10*I263+$J$10*J263+$K$10*K263+$L$10*L263)*$AU$3*$AS$9+($H$10*H263+$I$10*I263+$J$10*J263+$K$10*K263+$L$10*L263)*$AU$4*$AS$10</x:f>
        <x:v>17.192281820878296</x:v>
      </x:c>
      <x:c r="AT263" s="60" t="n">
        <x:f>ROUND(AR263*AS263,0)</x:f>
        <x:v>293613</x:v>
      </x:c>
      <x:c r="AU263" s="60" t="n">
        <x:f>ROUND(AT263*F263,0)</x:f>
        <x:v>1468065</x:v>
      </x:c>
      <x:c r="AV263" s="60" t="n">
        <x:f>MIN(MATCH(B263,'主线调参'!$M$11:$M$62,1),ROWS('主线调参'!$M$11:$M$62)-1)</x:f>
        <x:v>49</x:v>
      </x:c>
      <x:c r="AW263" s="62" t="n">
        <x:f>(B263-INDEX('主线调参'!$M$11:$M$62,AV263))/(INDEX('主线调参'!$M$11:$M$62,AV263+1)-INDEX('主线调参'!$M$11:$M$62,AV263))</x:f>
        <x:v>0.14285714285714285</x:v>
      </x:c>
      <x:c r="AX263" s="60" t="n">
        <x:f>IF(AU263=0,0,ROUND(AU263,2-INT(LOG10(ABS(AU263)))))</x:f>
        <x:v>1470000</x:v>
      </x:c>
      <x:c r="AY263" s="62" t="n">
        <x:f>AU263/AU262-1</x:f>
        <x:v>0.0034346292650919708</x:v>
      </x:c>
    </x:row>
    <x:row r="264" ht="25" customHeight="1">
      <x:c r="A264" s="40" t="str">
        <x:f>'调前玩家曲线'!A264</x:f>
      </x:c>
      <x:c r="B264" s="40" t="n">
        <x:f>'调前玩家曲线'!B264</x:f>
        <x:v>253</x:v>
      </x:c>
      <x:c r="C264" s="40" t="n">
        <x:f>'调前玩家曲线'!C264</x:f>
        <x:v>18</x:v>
      </x:c>
      <x:c r="D264" s="40" t="n">
        <x:f>'调前玩家曲线'!D264</x:f>
        <x:v>4</x:v>
      </x:c>
      <x:c r="E264" s="40" t="n">
        <x:f>'调前玩家曲线'!E264</x:f>
        <x:v>1</x:v>
      </x:c>
      <x:c r="F264" s="40" t="n">
        <x:f>'调前玩家曲线'!F264</x:f>
        <x:v>5</x:v>
      </x:c>
      <x:c r="G264" s="63" t="n">
        <x:f>IF(B264&lt;$G$8,0,(INDEX('主线调参'!$C$11:$C$62,$AV264)+(INDEX('主线调参'!$C$11:$C$62,$AV264+1)-INDEX('主线调参'!$C$11:$C$62,$AV264))*$AW264)*'参数说明'!$C$27)</x:f>
        <x:v>0.8706575973744068</x:v>
      </x:c>
      <x:c r="H264" s="63" t="n">
        <x:f>IF(B264&lt;$H$8,0,(INDEX('主线调参'!$D$11:$D$62,$AV264)+(INDEX('主线调参'!$D$11:$D$62,$AV264+1)-INDEX('主线调参'!$D$11:$D$62,$AV264))*$AW264)*'参数说明'!$D$27)</x:f>
        <x:v>0.6770078390891672</x:v>
      </x:c>
      <x:c r="I264" s="63" t="n">
        <x:f>IF(B264&lt;$I$8,0,(INDEX('主线调参'!$E$11:$E$62,$AV264)+(INDEX('主线调参'!$E$11:$E$62,$AV264+1)-INDEX('主线调参'!$E$11:$E$62,$AV264))*$AW264)*'参数说明'!$E$27)</x:f>
        <x:v>0.6206241358277353</x:v>
      </x:c>
      <x:c r="J264" s="63" t="n">
        <x:f>IF(B264&lt;$J$8,0,(INDEX('主线调参'!$F$11:$F$62,$AV264)+(INDEX('主线调参'!$F$11:$F$62,$AV264+1)-INDEX('主线调参'!$F$11:$F$62,$AV264))*$AW264)*'参数说明'!$F$27)</x:f>
        <x:v>0.5753121837712788</x:v>
      </x:c>
      <x:c r="K264" s="63" t="n">
        <x:f>IF(B264&lt;$K$8,0,(INDEX('主线调参'!$G$11:$G$62,$AV264)+(INDEX('主线调参'!$G$11:$G$62,$AV264+1)-INDEX('主线调参'!$G$11:$G$62,$AV264))*$AW264)*'参数说明'!$G$27)</x:f>
        <x:v>0.6142800029978275</x:v>
      </x:c>
      <x:c r="L264" s="63" t="n">
        <x:f>IF(B264&lt;$L$8,0,(INDEX('主线调参'!$H$11:$H$62,$AV264)+(INDEX('主线调参'!$H$11:$H$62,$AV264+1)-INDEX('主线调参'!$H$11:$H$62,$AV264))*$AW264)*'参数说明'!$H$27)</x:f>
        <x:v>0.67613956448319</x:v>
      </x:c>
      <x:c r="M264" s="59" t="n">
        <x:f>E264*'模块规划'!$F$10+G264*'模块规划'!$F$11+H264*'模块规划'!$F$13</x:f>
        <x:v>5179.1564673971525</x:v>
      </x:c>
      <x:c r="N264" s="59" t="n">
        <x:f>I264*'模块规划'!$F$15+J264*'模块规划'!$F$17+K264*'模块规划'!$F$16+L264*'模块规划'!$F$18</x:f>
        <x:v>17784.492764737584</x:v>
      </x:c>
      <x:c r="O264" s="59" t="n">
        <x:f>1+O$9*SUMPRODUCT($H$10:$L$10,H264:L264)/SUM($H$10:$L$10)</x:f>
        <x:v>3.3194636108468276</x:v>
      </x:c>
      <x:c r="P264" s="59" t="n">
        <x:f>M264*O264+N264</x:f>
        <x:v>34976.51419314444</x:v>
      </x:c>
      <x:c r="Q264" s="59" t="n">
        <x:f>P264/(P264+'_曲线基线'!$L$2)</x:f>
        <x:v>0.5930583499492444</x:v>
      </x:c>
      <x:c r="R264" s="59" t="n">
        <x:f>E264*'模块规划'!$E$10+G264*'模块规划'!$E$11+H264*'模块规划'!$E$13</x:f>
        <x:v>7768.734701095729</x:v>
      </x:c>
      <x:c r="S264" s="59" t="n">
        <x:f>I264*'模块规划'!$E$15+J264*'模块规划'!$E$17+K264*'模块规划'!$E$16+L264*'模块规划'!$E$18</x:f>
        <x:v>26676.739147106382</x:v>
      </x:c>
      <x:c r="T264" s="59" t="n">
        <x:f>1+T$9*SUMPRODUCT($H$10:$L$10,H264:L264)/SUM($H$10:$L$10)</x:f>
        <x:v>3.3194636108468276</x:v>
      </x:c>
      <x:c r="U264" s="59" t="n">
        <x:f>R264*T264+S264</x:f>
        <x:v>52464.771289716664</x:v>
      </x:c>
      <x:c r="V264" s="59" t="n">
        <x:f>V$8+(V$9-V$8)*H264</x:f>
        <x:v>0.9031023517267501</x:v>
      </x:c>
      <x:c r="W264" s="59" t="n">
        <x:f>IF(B264&lt;$H$8,0,W$8+(W$9-W$8)*H264)</x:f>
        <x:v>0.2708031356356669</x:v>
      </x:c>
      <x:c r="X264" s="59" t="n">
        <x:f>X$8+(X$9-X$8)*H264</x:f>
        <x:v>0.461177155749521</x:v>
      </x:c>
      <x:c r="Y264" s="59" t="n">
        <x:f>Y$8+(Y$9-Y$8)*G264</x:f>
        <x:v>1</x:v>
      </x:c>
      <x:c r="Z264" s="59" t="n">
        <x:f>Z$8+(Z$9-Z$8)*H264</x:f>
        <x:v>1</x:v>
      </x:c>
      <x:c r="AA264" s="59" t="n">
        <x:f>AA$8+(AA$9-AA$8)*I264</x:f>
        <x:v>1</x:v>
      </x:c>
      <x:c r="AB264" s="59" t="n">
        <x:f>AB$8+(AB$9-AB$8)*J264</x:f>
        <x:v>1</x:v>
      </x:c>
      <x:c r="AC264" s="59" t="n">
        <x:f>AC$8+(AC$9-AC$8)*MAX(K264,L264)</x:f>
        <x:v>1</x:v>
      </x:c>
      <x:c r="AD264" s="59" t="n">
        <x:f>(V264*AE264+W264*AF264+X264*AG264)*PRODUCT(Y264:AC264)</x:f>
        <x:v>1.8578340828762014</x:v>
      </x:c>
      <x:c r="AE264" s="59" t="n">
        <x:f>1+AE$9*($H$10*H264+$I$10*I264+$J$10*J264+$K$10*K264+$L$10*L264)</x:f>
        <x:v>1</x:v>
      </x:c>
      <x:c r="AF264" s="59" t="n">
        <x:f>1+AF$9*($H$10*H264+$I$10*I264+$J$10*J264+$K$10*K264+$L$10*L264)</x:f>
        <x:v>1.2047137923743356</x:v>
      </x:c>
      <x:c r="AG264" s="59" t="n">
        <x:f>1+AG$9*($H$10*H264+$I$10*I264+$J$10*J264+$K$10*K264+$L$10*L264)</x:f>
        <x:v>1.3627983320411863</x:v>
      </x:c>
      <x:c r="AH264" s="59" t="n">
        <x:f>MIN(1,'_曲线基线'!$L$3+AH$9*($H$10*H264+$I$10*I264+$J$10*J264+$K$10*K264+$L$10*L264))</x:f>
        <x:v>0.5157238776516129</x:v>
      </x:c>
      <x:c r="AI264" s="59" t="n">
        <x:f>'_曲线基线'!$L$4+AI$9*($H$10*H264+$I$10*I264+$J$10*J264+$K$10*K264+$L$10*L264)</x:f>
        <x:v>3.29737365917235</x:v>
      </x:c>
      <x:c r="AJ264" s="59" t="n">
        <x:f>1+AJ$9*($H$10*H264+$I$10*I264+$J$10*J264+$K$10*K264+$L$10*L264)</x:f>
        <x:v>2.0645117203465437</x:v>
      </x:c>
      <x:c r="AK264" s="59" t="n">
        <x:f>(1+AH264*(AI264-1))*AJ264</x:f>
        <x:v>4.510566784730743</x:v>
      </x:c>
      <x:c r="AL264" s="59" t="n">
        <x:f>U264*AD264*AK264*F264</x:f>
        <x:v>2198243.672610015</x:v>
      </x:c>
      <x:c r="AM264" s="59" t="n">
        <x:f>IF($B264&lt;AM$8,0,AM$3+(AM$4-AM$3)*(POWER(AM$5,$B264-AM$8)-1)/(POWER(AM$5,$C$5-AM$8)-1))</x:f>
        <x:v>50.13494186606902</x:v>
      </x:c>
      <x:c r="AN264" s="59" t="n">
        <x:f>(((E264*'模块规划'!$D$10+G264*'模块规划'!$D$11+H264*'模块规划'!$D$13)*(1+'模块规划'!$G$14*H264)+(I264*'模块规划'!$D$15+J264*'模块规划'!$D$17+K264*'模块规划'!$D$16+L264*'模块规划'!$D$18))*(1+'模块规划'!$J$17*J264))*F264/(1-Q264)</x:f>
        <x:v>2712396.190731158</x:v>
      </x:c>
      <x:c r="AO264" s="59" t="n">
        <x:f>AL264*AM264</x:f>
        <x:v>110208818.73375717</x:v>
      </x:c>
      <x:c r="AP264" s="61" t="n">
        <x:f>IF(AO264="","",INDEX('_曲线基线'!$A$3:$A$502,MIN(ROWS('_曲线基线'!$A$3:$A$502),COUNTIF('_曲线基线'!$E$3:$E$502,"&lt;"&amp;AO264)+1)))</x:f>
        <x:v>301</x:v>
      </x:c>
      <x:c r="AQ264" s="61" t="n">
        <x:f>IF(B264&lt;=2,1,IF(B264&lt;=6,2,IF(B264&lt;=9,3,IF(B264&lt;=19,4,5))))</x:f>
        <x:v>5</x:v>
      </x:c>
      <x:c r="AR264" s="59" t="n">
        <x:f>AN264*(1-Q264)/F264*$AS$3+U264*$AS$4+P264*$AS$5</x:f>
        <x:v>17115.67614662846</x:v>
      </x:c>
      <x:c r="AS264" s="59" t="n">
        <x:f>1+AH264*$AS$6+AI264*$AS$7+(AJ264-1)*$AS$8+($H$10*H264+$I$10*I264+$J$10*J264+$K$10*K264+$L$10*L264)*$AU$3*$AS$9+($H$10*H264+$I$10*I264+$J$10*J264+$K$10*K264+$L$10*L264)*$AU$4*$AS$10</x:f>
        <x:v>17.21346170041312</x:v>
      </x:c>
      <x:c r="AT264" s="60" t="n">
        <x:f>ROUND(AR264*AS264,0)</x:f>
        <x:v>294620</x:v>
      </x:c>
      <x:c r="AU264" s="60" t="n">
        <x:f>ROUND(AT264*F264,0)</x:f>
        <x:v>1473100</x:v>
      </x:c>
      <x:c r="AV264" s="60" t="n">
        <x:f>MIN(MATCH(B264,'主线调参'!$M$11:$M$62,1),ROWS('主线调参'!$M$11:$M$62)-1)</x:f>
        <x:v>49</x:v>
      </x:c>
      <x:c r="AW264" s="62" t="n">
        <x:f>(B264-INDEX('主线调参'!$M$11:$M$62,AV264))/(INDEX('主线调参'!$M$11:$M$62,AV264+1)-INDEX('主线调参'!$M$11:$M$62,AV264))</x:f>
        <x:v>0.21428571428571427</x:v>
      </x:c>
      <x:c r="AX264" s="60" t="n">
        <x:f>IF(AU264=0,0,ROUND(AU264,2-INT(LOG10(ABS(AU264)))))</x:f>
        <x:v>1470000</x:v>
      </x:c>
      <x:c r="AY264" s="62" t="n">
        <x:f>AU264/AU263-1</x:f>
        <x:v>0.0034296846529275893</x:v>
      </x:c>
    </x:row>
    <x:row r="265" ht="25" customHeight="1">
      <x:c r="A265" s="40" t="str">
        <x:f>'调前玩家曲线'!A265</x:f>
      </x:c>
      <x:c r="B265" s="40" t="n">
        <x:f>'调前玩家曲线'!B265</x:f>
        <x:v>254</x:v>
      </x:c>
      <x:c r="C265" s="40" t="n">
        <x:f>'调前玩家曲线'!C265</x:f>
        <x:v>18</x:v>
      </x:c>
      <x:c r="D265" s="40" t="n">
        <x:f>'调前玩家曲线'!D265</x:f>
        <x:v>5</x:v>
      </x:c>
      <x:c r="E265" s="40" t="n">
        <x:f>'调前玩家曲线'!E265</x:f>
        <x:v>1</x:v>
      </x:c>
      <x:c r="F265" s="40" t="n">
        <x:f>'调前玩家曲线'!F265</x:f>
        <x:v>5</x:v>
      </x:c>
      <x:c r="G265" s="63" t="n">
        <x:f>IF(B265&lt;$G$8,0,(INDEX('主线调参'!$C$11:$C$62,$AV265)+(INDEX('主线调参'!$C$11:$C$62,$AV265+1)-INDEX('主线调参'!$C$11:$C$62,$AV265))*$AW265)*'参数说明'!$C$27)</x:f>
        <x:v>0.871812158445536</x:v>
      </x:c>
      <x:c r="H265" s="63" t="n">
        <x:f>IF(B265&lt;$H$8,0,(INDEX('主线调参'!$D$11:$D$62,$AV265)+(INDEX('主线调参'!$D$11:$D$62,$AV265+1)-INDEX('主线调参'!$D$11:$D$62,$AV265))*$AW265)*'参数说明'!$D$27)</x:f>
        <x:v>0.6779050822507674</x:v>
      </x:c>
      <x:c r="I265" s="63" t="n">
        <x:f>IF(B265&lt;$I$8,0,(INDEX('主线调参'!$E$11:$E$62,$AV265)+(INDEX('主线调参'!$E$11:$E$62,$AV265+1)-INDEX('主线调参'!$E$11:$E$62,$AV265))*$AW265)*'参数说明'!$E$27)</x:f>
        <x:v>0.6217872201223625</x:v>
      </x:c>
      <x:c r="J265" s="63" t="n">
        <x:f>IF(B265&lt;$J$8,0,(INDEX('主线调参'!$F$11:$F$62,$AV265)+(INDEX('主线调参'!$F$11:$F$62,$AV265+1)-INDEX('主线调参'!$F$11:$F$62,$AV265))*$AW265)*'参数说明'!$F$27)</x:f>
        <x:v>0.5762784166116129</x:v>
      </x:c>
      <x:c r="K265" s="63" t="n">
        <x:f>IF(B265&lt;$K$8,0,(INDEX('主线调参'!$G$11:$G$62,$AV265)+(INDEX('主线调参'!$G$11:$G$62,$AV265+1)-INDEX('主线调参'!$G$11:$G$62,$AV265))*$AW265)*'参数说明'!$G$27)</x:f>
        <x:v>0.6157236276765585</x:v>
      </x:c>
      <x:c r="L265" s="63" t="n">
        <x:f>IF(B265&lt;$L$8,0,(INDEX('主线调参'!$H$11:$H$62,$AV265)+(INDEX('主线调参'!$H$11:$H$62,$AV265+1)-INDEX('主线调参'!$H$11:$H$62,$AV265))*$AW265)*'参数说明'!$H$27)</x:f>
        <x:v>0.6770727529313587</x:v>
      </x:c>
      <x:c r="M265" s="59" t="n">
        <x:f>E265*'模块规划'!$F$10+G265*'模块规划'!$F$11+H265*'模块规划'!$F$13</x:f>
        <x:v>5184.698360538572</x:v>
      </x:c>
      <x:c r="N265" s="59" t="n">
        <x:f>I265*'模块规划'!$F$15+J265*'模块规划'!$F$17+K265*'模块规划'!$F$16+L265*'模块规划'!$F$18</x:f>
        <x:v>17816.787457811177</x:v>
      </x:c>
      <x:c r="O265" s="59" t="n">
        <x:f>1+O$9*SUMPRODUCT($H$10:$L$10,H265:L265)/SUM($H$10:$L$10)</x:f>
        <x:v>3.3234798334580624</x:v>
      </x:c>
      <x:c r="P265" s="59" t="n">
        <x:f>M265*O265+N265</x:f>
        <x:v>35048.0279016242</x:v>
      </x:c>
      <x:c r="Q265" s="59" t="n">
        <x:f>P265/(P265+'_曲线基线'!$L$2)</x:f>
        <x:v>0.593551201405325</x:v>
      </x:c>
      <x:c r="R265" s="59" t="n">
        <x:f>E265*'模块规划'!$E$10+G265*'模块规划'!$E$11+H265*'模块规划'!$E$13</x:f>
        <x:v>7777.047540807859</x:v>
      </x:c>
      <x:c r="S265" s="59" t="n">
        <x:f>I265*'模块规划'!$E$15+J265*'模块规划'!$E$17+K265*'模块规划'!$E$16+L265*'模块规划'!$E$18</x:f>
        <x:v>26725.181186716763</x:v>
      </x:c>
      <x:c r="T265" s="59" t="n">
        <x:f>1+T$9*SUMPRODUCT($H$10:$L$10,H265:L265)/SUM($H$10:$L$10)</x:f>
        <x:v>3.3234798334580624</x:v>
      </x:c>
      <x:c r="U265" s="59" t="n">
        <x:f>R265*T265+S265</x:f>
        <x:v>52572.041852436305</x:v>
      </x:c>
      <x:c r="V265" s="59" t="n">
        <x:f>V$8+(V$9-V$8)*H265</x:f>
        <x:v>0.9033715246752302</x:v>
      </x:c>
      <x:c r="W265" s="59" t="n">
        <x:f>IF(B265&lt;$H$8,0,W$8+(W$9-W$8)*H265)</x:f>
        <x:v>0.271162032900307</x:v>
      </x:c>
      <x:c r="X265" s="59" t="n">
        <x:f>X$8+(X$9-X$8)*H265</x:f>
        <x:v>0.4614238976189611</x:v>
      </x:c>
      <x:c r="Y265" s="59" t="n">
        <x:f>Y$8+(Y$9-Y$8)*G265</x:f>
        <x:v>1</x:v>
      </x:c>
      <x:c r="Z265" s="59" t="n">
        <x:f>Z$8+(Z$9-Z$8)*H265</x:f>
        <x:v>1</x:v>
      </x:c>
      <x:c r="AA265" s="59" t="n">
        <x:f>AA$8+(AA$9-AA$8)*I265</x:f>
        <x:v>1</x:v>
      </x:c>
      <x:c r="AB265" s="59" t="n">
        <x:f>AB$8+(AB$9-AB$8)*J265</x:f>
        <x:v>1</x:v>
      </x:c>
      <x:c r="AC265" s="59" t="n">
        <x:f>AC$8+(AC$9-AC$8)*MAX(K265,L265)</x:f>
        <x:v>1</x:v>
      </x:c>
      <x:c r="AD265" s="59" t="n">
        <x:f>(V265*AE265+W265*AF265+X265*AG265)*PRODUCT(Y265:AC265)</x:f>
        <x:v>1.8592578669095405</x:v>
      </x:c>
      <x:c r="AE265" s="59" t="n">
        <x:f>1+AE$9*($H$10*H265+$I$10*I265+$J$10*J265+$K$10*K265+$L$10*L265)</x:f>
        <x:v>1</x:v>
      </x:c>
      <x:c r="AF265" s="59" t="n">
        <x:f>1+AF$9*($H$10*H265+$I$10*I265+$J$10*J265+$K$10*K265+$L$10*L265)</x:f>
        <x:v>1.2050682606048009</x:v>
      </x:c>
      <x:c r="AG265" s="59" t="n">
        <x:f>1+AG$9*($H$10*H265+$I$10*I265+$J$10*J265+$K$10*K265+$L$10*L265)</x:f>
        <x:v>1.3634265285162888</x:v>
      </x:c>
      <x:c r="AH265" s="59" t="n">
        <x:f>MIN(1,'_曲线基线'!$L$3+AH$9*($H$10*H265+$I$10*I265+$J$10*J265+$K$10*K265+$L$10*L265))</x:f>
        <x:v>0.5165302928759214</x:v>
      </x:c>
      <x:c r="AI265" s="59" t="n">
        <x:f>'_曲线基线'!$L$4+AI$9*($H$10*H265+$I$10*I265+$J$10*J265+$K$10*K265+$L$10*L265)</x:f>
        <x:v>3.299620101582924</x:v>
      </x:c>
      <x:c r="AJ265" s="59" t="n">
        <x:f>1+AJ$9*($H$10*H265+$I$10*I265+$J$10*J265+$K$10*K265+$L$10*L265)</x:f>
        <x:v>2.0663549551449636</x:v>
      </x:c>
      <x:c r="AK265" s="59" t="n">
        <x:f>(1+AH265*(AI265-1))*AJ265</x:f>
        <x:v>4.520819815677774</x:v>
      </x:c>
      <x:c r="AL265" s="59" t="n">
        <x:f>U265*AD265*AK265*F265</x:f>
        <x:v>2209437.26644121</x:v>
      </x:c>
      <x:c r="AM265" s="59" t="n">
        <x:f>IF($B265&lt;AM$8,0,AM$3+(AM$4-AM$3)*(POWER(AM$5,$B265-AM$8)-1)/(POWER(AM$5,$C$5-AM$8)-1))</x:f>
        <x:v>50.29971592465158</x:v>
      </x:c>
      <x:c r="AN265" s="59" t="n">
        <x:f>(((E265*'模块规划'!$D$10+G265*'模块规划'!$D$11+H265*'模块规划'!$D$13)*(1+'模块规划'!$G$14*H265)+(I265*'模块规划'!$D$15+J265*'模块规划'!$D$17+K265*'模块规划'!$D$16+L265*'模块规划'!$D$18))*(1+'模块规划'!$J$17*J265))*F265/(1-Q265)</x:f>
        <x:v>2722271.536690296</x:v>
      </x:c>
      <x:c r="AO265" s="59" t="n">
        <x:f>AL265*AM265</x:f>
        <x:v>111134066.8553316</x:v>
      </x:c>
      <x:c r="AP265" s="61" t="n">
        <x:f>IF(AO265="","",INDEX('_曲线基线'!$A$3:$A$502,MIN(ROWS('_曲线基线'!$A$3:$A$502),COUNTIF('_曲线基线'!$E$3:$E$502,"&lt;"&amp;AO265)+1)))</x:f>
        <x:v>302</x:v>
      </x:c>
      <x:c r="AQ265" s="61" t="n">
        <x:f>IF(B265&lt;=2,1,IF(B265&lt;=6,2,IF(B265&lt;=9,3,IF(B265&lt;=19,4,5))))</x:f>
        <x:v>5</x:v>
      </x:c>
      <x:c r="AR265" s="59" t="n">
        <x:f>AN265*(1-Q265)/F265*$AS$3+U265*$AS$4+P265*$AS$5</x:f>
        <x:v>17153.192343704763</x:v>
      </x:c>
      <x:c r="AS265" s="59" t="n">
        <x:f>1+AH265*$AS$6+AI265*$AS$7+(AJ265-1)*$AS$8+($H$10*H265+$I$10*I265+$J$10*J265+$K$10*K265+$L$10*L265)*$AU$3*$AS$9+($H$10*H265+$I$10*I265+$J$10*J265+$K$10*K265+$L$10*L265)*$AU$4*$AS$10</x:f>
        <x:v>17.234641579947954</x:v>
      </x:c>
      <x:c r="AT265" s="60" t="n">
        <x:f>ROUND(AR265*AS265,0)</x:f>
        <x:v>295629</x:v>
      </x:c>
      <x:c r="AU265" s="60" t="n">
        <x:f>ROUND(AT265*F265,0)</x:f>
        <x:v>1478145</x:v>
      </x:c>
      <x:c r="AV265" s="60" t="n">
        <x:f>MIN(MATCH(B265,'主线调参'!$M$11:$M$62,1),ROWS('主线调参'!$M$11:$M$62)-1)</x:f>
        <x:v>49</x:v>
      </x:c>
      <x:c r="AW265" s="62" t="n">
        <x:f>(B265-INDEX('主线调参'!$M$11:$M$62,AV265))/(INDEX('主线调参'!$M$11:$M$62,AV265+1)-INDEX('主线调参'!$M$11:$M$62,AV265))</x:f>
        <x:v>0.2857142857142857</x:v>
      </x:c>
      <x:c r="AX265" s="60" t="n">
        <x:f>IF(AU265=0,0,ROUND(AU265,2-INT(LOG10(ABS(AU265)))))</x:f>
        <x:v>1480000</x:v>
      </x:c>
      <x:c r="AY265" s="62" t="n">
        <x:f>AU265/AU264-1</x:f>
        <x:v>0.003424750526101361</x:v>
      </x:c>
    </x:row>
    <x:row r="266" ht="25" customHeight="1">
      <x:c r="A266" s="40" t="str">
        <x:f>'调前玩家曲线'!A266</x:f>
      </x:c>
      <x:c r="B266" s="40" t="n">
        <x:f>'调前玩家曲线'!B266</x:f>
        <x:v>255</x:v>
      </x:c>
      <x:c r="C266" s="40" t="n">
        <x:f>'调前玩家曲线'!C266</x:f>
        <x:v>18</x:v>
      </x:c>
      <x:c r="D266" s="40" t="n">
        <x:f>'调前玩家曲线'!D266</x:f>
        <x:v>6</x:v>
      </x:c>
      <x:c r="E266" s="40" t="n">
        <x:f>'调前玩家曲线'!E266</x:f>
        <x:v>1</x:v>
      </x:c>
      <x:c r="F266" s="40" t="n">
        <x:f>'调前玩家曲线'!F266</x:f>
        <x:v>5</x:v>
      </x:c>
      <x:c r="G266" s="63" t="n">
        <x:f>IF(B266&lt;$G$8,0,(INDEX('主线调参'!$C$11:$C$62,$AV266)+(INDEX('主线调参'!$C$11:$C$62,$AV266+1)-INDEX('主线调参'!$C$11:$C$62,$AV266))*$AW266)*'参数说明'!$C$27)</x:f>
        <x:v>0.872966719516665</x:v>
      </x:c>
      <x:c r="H266" s="63" t="n">
        <x:f>IF(B266&lt;$H$8,0,(INDEX('主线调参'!$D$11:$D$62,$AV266)+(INDEX('主线调参'!$D$11:$D$62,$AV266+1)-INDEX('主线调参'!$D$11:$D$62,$AV266))*$AW266)*'参数说明'!$D$27)</x:f>
        <x:v>0.6788023254123675</x:v>
      </x:c>
      <x:c r="I266" s="63" t="n">
        <x:f>IF(B266&lt;$I$8,0,(INDEX('主线调参'!$E$11:$E$62,$AV266)+(INDEX('主线调参'!$E$11:$E$62,$AV266+1)-INDEX('主线调参'!$E$11:$E$62,$AV266))*$AW266)*'参数说明'!$E$27)</x:f>
        <x:v>0.6229503044169897</x:v>
      </x:c>
      <x:c r="J266" s="63" t="n">
        <x:f>IF(B266&lt;$J$8,0,(INDEX('主线调参'!$F$11:$F$62,$AV266)+(INDEX('主线调参'!$F$11:$F$62,$AV266+1)-INDEX('主线调参'!$F$11:$F$62,$AV266))*$AW266)*'参数说明'!$F$27)</x:f>
        <x:v>0.577244649451947</x:v>
      </x:c>
      <x:c r="K266" s="63" t="n">
        <x:f>IF(B266&lt;$K$8,0,(INDEX('主线调参'!$G$11:$G$62,$AV266)+(INDEX('主线调参'!$G$11:$G$62,$AV266+1)-INDEX('主线调参'!$G$11:$G$62,$AV266))*$AW266)*'参数说明'!$G$27)</x:f>
        <x:v>0.6171672523552896</x:v>
      </x:c>
      <x:c r="L266" s="63" t="n">
        <x:f>IF(B266&lt;$L$8,0,(INDEX('主线调参'!$H$11:$H$62,$AV266)+(INDEX('主线调参'!$H$11:$H$62,$AV266+1)-INDEX('主线调参'!$H$11:$H$62,$AV266))*$AW266)*'参数说明'!$H$27)</x:f>
        <x:v>0.6780059413795275</x:v>
      </x:c>
      <x:c r="M266" s="59" t="n">
        <x:f>E266*'模块规划'!$F$10+G266*'模块规划'!$F$11+H266*'模块规划'!$F$13</x:f>
        <x:v>5190.240253679992</x:v>
      </x:c>
      <x:c r="N266" s="59" t="n">
        <x:f>I266*'模块规划'!$F$15+J266*'模块规划'!$F$17+K266*'模块规划'!$F$16+L266*'模块规划'!$F$18</x:f>
        <x:v>17849.082150884762</x:v>
      </x:c>
      <x:c r="O266" s="59" t="n">
        <x:f>1+O$9*SUMPRODUCT($H$10:$L$10,H266:L266)/SUM($H$10:$L$10)</x:f>
        <x:v>3.327496056069298</x:v>
      </x:c>
      <x:c r="P266" s="59" t="n">
        <x:f>M266*O266+N266</x:f>
        <x:v>35119.586125057045</x:v>
      </x:c>
      <x:c r="Q266" s="59" t="n">
        <x:f>P266/(P266+'_曲线基线'!$L$2)</x:f>
        <x:v>0.5940431661813018</x:v>
      </x:c>
      <x:c r="R266" s="59" t="n">
        <x:f>E266*'模块规划'!$E$10+G266*'模块规划'!$E$11+H266*'模块规划'!$E$13</x:f>
        <x:v>7785.360380519988</x:v>
      </x:c>
      <x:c r="S266" s="59" t="n">
        <x:f>I266*'模块规划'!$E$15+J266*'模块规划'!$E$17+K266*'模块规划'!$E$16+L266*'模块规划'!$E$18</x:f>
        <x:v>26773.623226327145</x:v>
      </x:c>
      <x:c r="T266" s="59" t="n">
        <x:f>1+T$9*SUMPRODUCT($H$10:$L$10,H266:L266)/SUM($H$10:$L$10)</x:f>
        <x:v>3.327496056069298</x:v>
      </x:c>
      <x:c r="U266" s="59" t="n">
        <x:f>R266*T266+S266</x:f>
        <x:v>52679.379187585575</x:v>
      </x:c>
      <x:c r="V266" s="59" t="n">
        <x:f>V$8+(V$9-V$8)*H266</x:f>
        <x:v>0.9036406976237102</x:v>
      </x:c>
      <x:c r="W266" s="59" t="n">
        <x:f>IF(B266&lt;$H$8,0,W$8+(W$9-W$8)*H266)</x:f>
        <x:v>0.271520930164947</x:v>
      </x:c>
      <x:c r="X266" s="59" t="n">
        <x:f>X$8+(X$9-X$8)*H266</x:f>
        <x:v>0.4616706394884011</x:v>
      </x:c>
      <x:c r="Y266" s="59" t="n">
        <x:f>Y$8+(Y$9-Y$8)*G266</x:f>
        <x:v>1</x:v>
      </x:c>
      <x:c r="Z266" s="59" t="n">
        <x:f>Z$8+(Z$9-Z$8)*H266</x:f>
        <x:v>1</x:v>
      </x:c>
      <x:c r="AA266" s="59" t="n">
        <x:f>AA$8+(AA$9-AA$8)*I266</x:f>
        <x:v>1</x:v>
      </x:c>
      <x:c r="AB266" s="59" t="n">
        <x:f>AB$8+(AB$9-AB$8)*J266</x:f>
        <x:v>1</x:v>
      </x:c>
      <x:c r="AC266" s="59" t="n">
        <x:f>AC$8+(AC$9-AC$8)*MAX(K266,L266)</x:f>
        <x:v>1</x:v>
      </x:c>
      <x:c r="AD266" s="59" t="n">
        <x:f>(V266*AE266+W266*AF266+X266*AG266)*PRODUCT(Y266:AC266)</x:f>
        <x:v>1.860682215382981</x:v>
      </x:c>
      <x:c r="AE266" s="59" t="n">
        <x:f>1+AE$9*($H$10*H266+$I$10*I266+$J$10*J266+$K$10*K266+$L$10*L266)</x:f>
        <x:v>1</x:v>
      </x:c>
      <x:c r="AF266" s="59" t="n">
        <x:f>1+AF$9*($H$10*H266+$I$10*I266+$J$10*J266+$K$10*K266+$L$10*L266)</x:f>
        <x:v>1.2054227288352661</x:v>
      </x:c>
      <x:c r="AG266" s="59" t="n">
        <x:f>1+AG$9*($H$10*H266+$I$10*I266+$J$10*J266+$K$10*K266+$L$10*L266)</x:f>
        <x:v>1.3640547249913912</x:v>
      </x:c>
      <x:c r="AH266" s="59" t="n">
        <x:f>MIN(1,'_曲线基线'!$L$3+AH$9*($H$10*H266+$I$10*I266+$J$10*J266+$K$10*K266+$L$10*L266))</x:f>
        <x:v>0.51733670810023</x:v>
      </x:c>
      <x:c r="AI266" s="59" t="n">
        <x:f>'_曲线基线'!$L$4+AI$9*($H$10*H266+$I$10*I266+$J$10*J266+$K$10*K266+$L$10*L266)</x:f>
        <x:v>3.3018665439934978</x:v>
      </x:c>
      <x:c r="AJ266" s="59" t="n">
        <x:f>1+AJ$9*($H$10*H266+$I$10*I266+$J$10*J266+$K$10*K266+$L$10*L266)</x:f>
        <x:v>2.068198189943383</x:v>
      </x:c>
      <x:c r="AK266" s="59" t="n">
        <x:f>(1+AH266*(AI266-1))*AJ266</x:f>
        <x:v>4.531091447283006</x:v>
      </x:c>
      <x:c r="AL266" s="59" t="n">
        <x:f>U266*AD266*AK266*F266</x:f>
        <x:v>2220678.493003329</x:v>
      </x:c>
      <x:c r="AM266" s="59" t="n">
        <x:f>IF($B266&lt;AM$8,0,AM$3+(AM$4-AM$3)*(POWER(AM$5,$B266-AM$8)-1)/(POWER(AM$5,$C$5-AM$8)-1))</x:f>
        <x:v>50.46613772381996</x:v>
      </x:c>
      <x:c r="AN266" s="59" t="n">
        <x:f>(((E266*'模块规划'!$D$10+G266*'模块规划'!$D$11+H266*'模块规划'!$D$13)*(1+'模块规划'!$G$14*H266)+(I266*'模块规划'!$D$15+J266*'模块规划'!$D$17+K266*'模块规划'!$D$16+L266*'模块规划'!$D$18))*(1+'模块规划'!$J$17*J266))*F266/(1-Q266)</x:f>
        <x:v>2732172.309967157</x:v>
      </x:c>
      <x:c r="AO266" s="59" t="n">
        <x:f>AL266*AM266</x:f>
        <x:v>112069066.66823095</x:v>
      </x:c>
      <x:c r="AP266" s="61" t="n">
        <x:f>IF(AO266="","",INDEX('_曲线基线'!$A$3:$A$502,MIN(ROWS('_曲线基线'!$A$3:$A$502),COUNTIF('_曲线基线'!$E$3:$E$502,"&lt;"&amp;AO266)+1)))</x:f>
        <x:v>302</x:v>
      </x:c>
      <x:c r="AQ266" s="61" t="n">
        <x:f>IF(B266&lt;=2,1,IF(B266&lt;=6,2,IF(B266&lt;=9,3,IF(B266&lt;=19,4,5))))</x:f>
        <x:v>5</x:v>
      </x:c>
      <x:c r="AR266" s="59" t="n">
        <x:f>AN266*(1-Q266)/F266*$AS$3+U266*$AS$4+P266*$AS$5</x:f>
        <x:v>17190.739959925428</x:v>
      </x:c>
      <x:c r="AS266" s="59" t="n">
        <x:f>1+AH266*$AS$6+AI266*$AS$7+(AJ266-1)*$AS$8+($H$10*H266+$I$10*I266+$J$10*J266+$K$10*K266+$L$10*L266)*$AU$3*$AS$9+($H$10*H266+$I$10*I266+$J$10*J266+$K$10*K266+$L$10*L266)*$AU$4*$AS$10</x:f>
        <x:v>17.255821459482778</x:v>
      </x:c>
      <x:c r="AT266" s="60" t="n">
        <x:f>ROUND(AR266*AS266,0)</x:f>
        <x:v>296640</x:v>
      </x:c>
      <x:c r="AU266" s="60" t="n">
        <x:f>ROUND(AT266*F266,0)</x:f>
        <x:v>1483200</x:v>
      </x:c>
      <x:c r="AV266" s="60" t="n">
        <x:f>MIN(MATCH(B266,'主线调参'!$M$11:$M$62,1),ROWS('主线调参'!$M$11:$M$62)-1)</x:f>
        <x:v>49</x:v>
      </x:c>
      <x:c r="AW266" s="62" t="n">
        <x:f>(B266-INDEX('主线调参'!$M$11:$M$62,AV266))/(INDEX('主线调参'!$M$11:$M$62,AV266+1)-INDEX('主线调参'!$M$11:$M$62,AV266))</x:f>
        <x:v>0.35714285714285715</x:v>
      </x:c>
      <x:c r="AX266" s="60" t="n">
        <x:f>IF(AU266=0,0,ROUND(AU266,2-INT(LOG10(ABS(AU266)))))</x:f>
        <x:v>1480000</x:v>
      </x:c>
      <x:c r="AY266" s="62" t="n">
        <x:f>AU266/AU265-1</x:f>
        <x:v>0.0034198268776066687</x:v>
      </x:c>
    </x:row>
    <x:row r="267" ht="25" customHeight="1">
      <x:c r="A267" s="40" t="str">
        <x:f>'调前玩家曲线'!A267</x:f>
      </x:c>
      <x:c r="B267" s="40" t="n">
        <x:f>'调前玩家曲线'!B267</x:f>
        <x:v>256</x:v>
      </x:c>
      <x:c r="C267" s="40" t="n">
        <x:f>'调前玩家曲线'!C267</x:f>
        <x:v>18</x:v>
      </x:c>
      <x:c r="D267" s="40" t="n">
        <x:f>'调前玩家曲线'!D267</x:f>
        <x:v>7</x:v>
      </x:c>
      <x:c r="E267" s="40" t="n">
        <x:f>'调前玩家曲线'!E267</x:f>
        <x:v>1</x:v>
      </x:c>
      <x:c r="F267" s="40" t="n">
        <x:f>'调前玩家曲线'!F267</x:f>
        <x:v>5</x:v>
      </x:c>
      <x:c r="G267" s="63" t="n">
        <x:f>IF(B267&lt;$G$8,0,(INDEX('主线调参'!$C$11:$C$62,$AV267)+(INDEX('主线调参'!$C$11:$C$62,$AV267+1)-INDEX('主线调参'!$C$11:$C$62,$AV267))*$AW267)*'参数说明'!$C$27)</x:f>
        <x:v>0.874121280587794</x:v>
      </x:c>
      <x:c r="H267" s="63" t="n">
        <x:f>IF(B267&lt;$H$8,0,(INDEX('主线调参'!$D$11:$D$62,$AV267)+(INDEX('主线调参'!$D$11:$D$62,$AV267+1)-INDEX('主线调参'!$D$11:$D$62,$AV267))*$AW267)*'参数说明'!$D$27)</x:f>
        <x:v>0.6796995685739676</x:v>
      </x:c>
      <x:c r="I267" s="63" t="n">
        <x:f>IF(B267&lt;$I$8,0,(INDEX('主线调参'!$E$11:$E$62,$AV267)+(INDEX('主线调参'!$E$11:$E$62,$AV267+1)-INDEX('主线调参'!$E$11:$E$62,$AV267))*$AW267)*'参数说明'!$E$27)</x:f>
        <x:v>0.6241133887116169</x:v>
      </x:c>
      <x:c r="J267" s="63" t="n">
        <x:f>IF(B267&lt;$J$8,0,(INDEX('主线调参'!$F$11:$F$62,$AV267)+(INDEX('主线调参'!$F$11:$F$62,$AV267+1)-INDEX('主线调参'!$F$11:$F$62,$AV267))*$AW267)*'参数说明'!$F$27)</x:f>
        <x:v>0.5782108822922809</x:v>
      </x:c>
      <x:c r="K267" s="63" t="n">
        <x:f>IF(B267&lt;$K$8,0,(INDEX('主线调参'!$G$11:$G$62,$AV267)+(INDEX('主线调参'!$G$11:$G$62,$AV267+1)-INDEX('主线调参'!$G$11:$G$62,$AV267))*$AW267)*'参数说明'!$G$27)</x:f>
        <x:v>0.6186108770340205</x:v>
      </x:c>
      <x:c r="L267" s="63" t="n">
        <x:f>IF(B267&lt;$L$8,0,(INDEX('主线调参'!$H$11:$H$62,$AV267)+(INDEX('主线调参'!$H$11:$H$62,$AV267+1)-INDEX('主线调参'!$H$11:$H$62,$AV267))*$AW267)*'参数说明'!$H$27)</x:f>
        <x:v>0.6789391298276961</x:v>
      </x:c>
      <x:c r="M267" s="59" t="n">
        <x:f>E267*'模块规划'!$F$10+G267*'模块规划'!$F$11+H267*'模块规划'!$F$13</x:f>
        <x:v>5195.7821468214115</x:v>
      </x:c>
      <x:c r="N267" s="59" t="n">
        <x:f>I267*'模块规划'!$F$15+J267*'模块规划'!$F$17+K267*'模块规划'!$F$16+L267*'模块规划'!$F$18</x:f>
        <x:v>17881.376843958347</x:v>
      </x:c>
      <x:c r="O267" s="59" t="n">
        <x:f>1+O$9*SUMPRODUCT($H$10:$L$10,H267:L267)/SUM($H$10:$L$10)</x:f>
        <x:v>3.331512278680533</x:v>
      </x:c>
      <x:c r="P267" s="59" t="n">
        <x:f>M267*O267+N267</x:f>
        <x:v>35191.18886344298</x:v>
      </x:c>
      <x:c r="Q267" s="59" t="n">
        <x:f>P267/(P267+'_曲线基线'!$L$2)</x:f>
        <x:v>0.5945342463830352</x:v>
      </x:c>
      <x:c r="R267" s="59" t="n">
        <x:f>E267*'模块规划'!$E$10+G267*'模块规划'!$E$11+H267*'模块规划'!$E$13</x:f>
        <x:v>7793.673220232117</x:v>
      </x:c>
      <x:c r="S267" s="59" t="n">
        <x:f>I267*'模块规划'!$E$15+J267*'模块规划'!$E$17+K267*'模块规划'!$E$16+L267*'模块规划'!$E$18</x:f>
        <x:v>26822.065265937526</x:v>
      </x:c>
      <x:c r="T267" s="59" t="n">
        <x:f>1+T$9*SUMPRODUCT($H$10:$L$10,H267:L267)/SUM($H$10:$L$10)</x:f>
        <x:v>3.331512278680533</x:v>
      </x:c>
      <x:c r="U267" s="59" t="n">
        <x:f>R267*T267+S267</x:f>
        <x:v>52786.783295164474</x:v>
      </x:c>
      <x:c r="V267" s="59" t="n">
        <x:f>V$8+(V$9-V$8)*H267</x:f>
        <x:v>0.9039098705721903</x:v>
      </x:c>
      <x:c r="W267" s="59" t="n">
        <x:f>IF(B267&lt;$H$8,0,W$8+(W$9-W$8)*H267)</x:f>
        <x:v>0.27187982742958705</x:v>
      </x:c>
      <x:c r="X267" s="59" t="n">
        <x:f>X$8+(X$9-X$8)*H267</x:f>
        <x:v>0.4619173813578411</x:v>
      </x:c>
      <x:c r="Y267" s="59" t="n">
        <x:f>Y$8+(Y$9-Y$8)*G267</x:f>
        <x:v>1</x:v>
      </x:c>
      <x:c r="Z267" s="59" t="n">
        <x:f>Z$8+(Z$9-Z$8)*H267</x:f>
        <x:v>1</x:v>
      </x:c>
      <x:c r="AA267" s="59" t="n">
        <x:f>AA$8+(AA$9-AA$8)*I267</x:f>
        <x:v>1</x:v>
      </x:c>
      <x:c r="AB267" s="59" t="n">
        <x:f>AB$8+(AB$9-AB$8)*J267</x:f>
        <x:v>1</x:v>
      </x:c>
      <x:c r="AC267" s="59" t="n">
        <x:f>AC$8+(AC$9-AC$8)*MAX(K267,L267)</x:f>
        <x:v>1</x:v>
      </x:c>
      <x:c r="AD267" s="59" t="n">
        <x:f>(V267*AE267+W267*AF267+X267*AG267)*PRODUCT(Y267:AC267)</x:f>
        <x:v>1.8621071282965236</x:v>
      </x:c>
      <x:c r="AE267" s="59" t="n">
        <x:f>1+AE$9*($H$10*H267+$I$10*I267+$J$10*J267+$K$10*K267+$L$10*L267)</x:f>
        <x:v>1</x:v>
      </x:c>
      <x:c r="AF267" s="59" t="n">
        <x:f>1+AF$9*($H$10*H267+$I$10*I267+$J$10*J267+$K$10*K267+$L$10*L267)</x:f>
        <x:v>1.2057771970657314</x:v>
      </x:c>
      <x:c r="AG267" s="59" t="n">
        <x:f>1+AG$9*($H$10*H267+$I$10*I267+$J$10*J267+$K$10*K267+$L$10*L267)</x:f>
        <x:v>1.3646829214664935</x:v>
      </x:c>
      <x:c r="AH267" s="59" t="n">
        <x:f>MIN(1,'_曲线基线'!$L$3+AH$9*($H$10*H267+$I$10*I267+$J$10*J267+$K$10*K267+$L$10*L267))</x:f>
        <x:v>0.5181431233245384</x:v>
      </x:c>
      <x:c r="AI267" s="59" t="n">
        <x:f>'_曲线基线'!$L$4+AI$9*($H$10*H267+$I$10*I267+$J$10*J267+$K$10*K267+$L$10*L267)</x:f>
        <x:v>3.3041129864040713</x:v>
      </x:c>
      <x:c r="AJ267" s="59" t="n">
        <x:f>1+AJ$9*($H$10*H267+$I$10*I267+$J$10*J267+$K$10*K267+$L$10*L267)</x:f>
        <x:v>2.0700414247418024</x:v>
      </x:c>
      <x:c r="AK267" s="59" t="n">
        <x:f>(1+AH267*(AI267-1))*AJ267</x:f>
        <x:v>4.54138169958128</x:v>
      </x:c>
      <x:c r="AL267" s="59" t="n">
        <x:f>U267*AD267*AK267*F267</x:f>
        <x:v>2231967.5201528985</x:v>
      </x:c>
      <x:c r="AM267" s="59" t="n">
        <x:f>IF($B267&lt;AM$8,0,AM$3+(AM$4-AM$3)*(POWER(AM$5,$B267-AM$8)-1)/(POWER(AM$5,$C$5-AM$8)-1))</x:f>
        <x:v>50.63422374098003</x:v>
      </x:c>
      <x:c r="AN267" s="59" t="n">
        <x:f>(((E267*'模块规划'!$D$10+G267*'模块规划'!$D$11+H267*'模块规划'!$D$13)*(1+'模块规划'!$G$14*H267)+(I267*'模块规划'!$D$15+J267*'模块规划'!$D$17+K267*'模块规划'!$D$16+L267*'模块规划'!$D$18))*(1+'模块规划'!$J$17*J267))*F267/(1-Q267)</x:f>
        <x:v>2742098.554324715</x:v>
      </x:c>
      <x:c r="AO267" s="59" t="n">
        <x:f>AL267*AM267</x:f>
        <x:v>113013942.79802223</x:v>
      </x:c>
      <x:c r="AP267" s="61" t="n">
        <x:f>IF(AO267="","",INDEX('_曲线基线'!$A$3:$A$502,MIN(ROWS('_曲线基线'!$A$3:$A$502),COUNTIF('_曲线基线'!$E$3:$E$502,"&lt;"&amp;AO267)+1)))</x:f>
        <x:v>303</x:v>
      </x:c>
      <x:c r="AQ267" s="61" t="n">
        <x:f>IF(B267&lt;=2,1,IF(B267&lt;=6,2,IF(B267&lt;=9,3,IF(B267&lt;=19,4,5))))</x:f>
        <x:v>5</x:v>
      </x:c>
      <x:c r="AR267" s="59" t="n">
        <x:f>AN267*(1-Q267)/F267*$AS$3+U267*$AS$4+P267*$AS$5</x:f>
        <x:v>17228.318999960455</x:v>
      </x:c>
      <x:c r="AS267" s="59" t="n">
        <x:f>1+AH267*$AS$6+AI267*$AS$7+(AJ267-1)*$AS$8+($H$10*H267+$I$10*I267+$J$10*J267+$K$10*K267+$L$10*L267)*$AU$3*$AS$9+($H$10*H267+$I$10*I267+$J$10*J267+$K$10*K267+$L$10*L267)*$AU$4*$AS$10</x:f>
        <x:v>17.277001339017605</x:v>
      </x:c>
      <x:c r="AT267" s="60" t="n">
        <x:f>ROUND(AR267*AS267,0)</x:f>
        <x:v>297654</x:v>
      </x:c>
      <x:c r="AU267" s="60" t="n">
        <x:f>ROUND(AT267*F267,0)</x:f>
        <x:v>1488270</x:v>
      </x:c>
      <x:c r="AV267" s="60" t="n">
        <x:f>MIN(MATCH(B267,'主线调参'!$M$11:$M$62,1),ROWS('主线调参'!$M$11:$M$62)-1)</x:f>
        <x:v>49</x:v>
      </x:c>
      <x:c r="AW267" s="62" t="n">
        <x:f>(B267-INDEX('主线调参'!$M$11:$M$62,AV267))/(INDEX('主线调参'!$M$11:$M$62,AV267+1)-INDEX('主线调参'!$M$11:$M$62,AV267))</x:f>
        <x:v>0.42857142857142855</x:v>
      </x:c>
      <x:c r="AX267" s="60" t="n">
        <x:f>IF(AU267=0,0,ROUND(AU267,2-INT(LOG10(ABS(AU267)))))</x:f>
        <x:v>1490000</x:v>
      </x:c>
      <x:c r="AY267" s="62" t="n">
        <x:f>AU267/AU266-1</x:f>
        <x:v>0.0034182847896440105</x:v>
      </x:c>
    </x:row>
    <x:row r="268" ht="25" customHeight="1">
      <x:c r="A268" s="40" t="str">
        <x:f>'调前玩家曲线'!A268</x:f>
      </x:c>
      <x:c r="B268" s="40" t="n">
        <x:f>'调前玩家曲线'!B268</x:f>
        <x:v>257</x:v>
      </x:c>
      <x:c r="C268" s="40" t="n">
        <x:f>'调前玩家曲线'!C268</x:f>
        <x:v>18</x:v>
      </x:c>
      <x:c r="D268" s="40" t="n">
        <x:f>'调前玩家曲线'!D268</x:f>
        <x:v>8</x:v>
      </x:c>
      <x:c r="E268" s="40" t="n">
        <x:f>'调前玩家曲线'!E268</x:f>
        <x:v>1</x:v>
      </x:c>
      <x:c r="F268" s="40" t="n">
        <x:f>'调前玩家曲线'!F268</x:f>
        <x:v>5</x:v>
      </x:c>
      <x:c r="G268" s="63" t="n">
        <x:f>IF(B268&lt;$G$8,0,(INDEX('主线调参'!$C$11:$C$62,$AV268)+(INDEX('主线调参'!$C$11:$C$62,$AV268+1)-INDEX('主线调参'!$C$11:$C$62,$AV268))*$AW268)*'参数说明'!$C$27)</x:f>
        <x:v>0.875275841658923</x:v>
      </x:c>
      <x:c r="H268" s="63" t="n">
        <x:f>IF(B268&lt;$H$8,0,(INDEX('主线调参'!$D$11:$D$62,$AV268)+(INDEX('主线调参'!$D$11:$D$62,$AV268+1)-INDEX('主线调参'!$D$11:$D$62,$AV268))*$AW268)*'参数说明'!$D$27)</x:f>
        <x:v>0.6805968117355679</x:v>
      </x:c>
      <x:c r="I268" s="63" t="n">
        <x:f>IF(B268&lt;$I$8,0,(INDEX('主线调参'!$E$11:$E$62,$AV268)+(INDEX('主线调参'!$E$11:$E$62,$AV268+1)-INDEX('主线调参'!$E$11:$E$62,$AV268))*$AW268)*'参数说明'!$E$27)</x:f>
        <x:v>0.625276473006244</x:v>
      </x:c>
      <x:c r="J268" s="63" t="n">
        <x:f>IF(B268&lt;$J$8,0,(INDEX('主线调参'!$F$11:$F$62,$AV268)+(INDEX('主线调参'!$F$11:$F$62,$AV268+1)-INDEX('主线调参'!$F$11:$F$62,$AV268))*$AW268)*'参数说明'!$F$27)</x:f>
        <x:v>0.5791771151326149</x:v>
      </x:c>
      <x:c r="K268" s="63" t="n">
        <x:f>IF(B268&lt;$K$8,0,(INDEX('主线调参'!$G$11:$G$62,$AV268)+(INDEX('主线调参'!$G$11:$G$62,$AV268+1)-INDEX('主线调参'!$G$11:$G$62,$AV268))*$AW268)*'参数说明'!$G$27)</x:f>
        <x:v>0.6200545017127516</x:v>
      </x:c>
      <x:c r="L268" s="63" t="n">
        <x:f>IF(B268&lt;$L$8,0,(INDEX('主线调参'!$H$11:$H$62,$AV268)+(INDEX('主线调参'!$H$11:$H$62,$AV268+1)-INDEX('主线调参'!$H$11:$H$62,$AV268))*$AW268)*'参数说明'!$H$27)</x:f>
        <x:v>0.6798723182758649</x:v>
      </x:c>
      <x:c r="M268" s="59" t="n">
        <x:f>E268*'模块规划'!$F$10+G268*'模块规划'!$F$11+H268*'模块规划'!$F$13</x:f>
        <x:v>5201.32403996283</x:v>
      </x:c>
      <x:c r="N268" s="59" t="n">
        <x:f>I268*'模块规划'!$F$15+J268*'模块规划'!$F$17+K268*'模块规划'!$F$16+L268*'模块规划'!$F$18</x:f>
        <x:v>17913.671537031936</x:v>
      </x:c>
      <x:c r="O268" s="59" t="n">
        <x:f>1+O$9*SUMPRODUCT($H$10:$L$10,H268:L268)/SUM($H$10:$L$10)</x:f>
        <x:v>3.335528501291768</x:v>
      </x:c>
      <x:c r="P268" s="59" t="n">
        <x:f>M268*O268+N268</x:f>
        <x:v>35262.836116782</x:v>
      </x:c>
      <x:c r="Q268" s="59" t="n">
        <x:f>P268/(P268+'_曲线基线'!$L$2)</x:f>
        <x:v>0.5950244441101984</x:v>
      </x:c>
      <x:c r="R268" s="59" t="n">
        <x:f>E268*'模块规划'!$E$10+G268*'模块规划'!$E$11+H268*'模块规划'!$E$13</x:f>
        <x:v>7801.986059944245</x:v>
      </x:c>
      <x:c r="S268" s="59" t="n">
        <x:f>I268*'模块规划'!$E$15+J268*'模块规划'!$E$17+K268*'模块规划'!$E$16+L268*'模块规划'!$E$18</x:f>
        <x:v>26870.5073055479</x:v>
      </x:c>
      <x:c r="T268" s="59" t="n">
        <x:f>1+T$9*SUMPRODUCT($H$10:$L$10,H268:L268)/SUM($H$10:$L$10)</x:f>
        <x:v>3.335528501291768</x:v>
      </x:c>
      <x:c r="U268" s="59" t="n">
        <x:f>R268*T268+S268</x:f>
        <x:v>52894.254175172995</x:v>
      </x:c>
      <x:c r="V268" s="59" t="n">
        <x:f>V$8+(V$9-V$8)*H268</x:f>
        <x:v>0.9041790435206704</x:v>
      </x:c>
      <x:c r="W268" s="59" t="n">
        <x:f>IF(B268&lt;$H$8,0,W$8+(W$9-W$8)*H268)</x:f>
        <x:v>0.27223872469422716</x:v>
      </x:c>
      <x:c r="X268" s="59" t="n">
        <x:f>X$8+(X$9-X$8)*H268</x:f>
        <x:v>0.4621641232272812</x:v>
      </x:c>
      <x:c r="Y268" s="59" t="n">
        <x:f>Y$8+(Y$9-Y$8)*G268</x:f>
        <x:v>1</x:v>
      </x:c>
      <x:c r="Z268" s="59" t="n">
        <x:f>Z$8+(Z$9-Z$8)*H268</x:f>
        <x:v>1</x:v>
      </x:c>
      <x:c r="AA268" s="59" t="n">
        <x:f>AA$8+(AA$9-AA$8)*I268</x:f>
        <x:v>1</x:v>
      </x:c>
      <x:c r="AB268" s="59" t="n">
        <x:f>AB$8+(AB$9-AB$8)*J268</x:f>
        <x:v>1</x:v>
      </x:c>
      <x:c r="AC268" s="59" t="n">
        <x:f>AC$8+(AC$9-AC$8)*MAX(K268,L268)</x:f>
        <x:v>1</x:v>
      </x:c>
      <x:c r="AD268" s="59" t="n">
        <x:f>(V268*AE268+W268*AF268+X268*AG268)*PRODUCT(Y268:AC268)</x:f>
        <x:v>1.863532605650168</x:v>
      </x:c>
      <x:c r="AE268" s="59" t="n">
        <x:f>1+AE$9*($H$10*H268+$I$10*I268+$J$10*J268+$K$10*K268+$L$10*L268)</x:f>
        <x:v>1</x:v>
      </x:c>
      <x:c r="AF268" s="59" t="n">
        <x:f>1+AF$9*($H$10*H268+$I$10*I268+$J$10*J268+$K$10*K268+$L$10*L268)</x:f>
        <x:v>1.2061316652961966</x:v>
      </x:c>
      <x:c r="AG268" s="59" t="n">
        <x:f>1+AG$9*($H$10*H268+$I$10*I268+$J$10*J268+$K$10*K268+$L$10*L268)</x:f>
        <x:v>1.3653111179415958</x:v>
      </x:c>
      <x:c r="AH268" s="59" t="n">
        <x:f>MIN(1,'_曲线基线'!$L$3+AH$9*($H$10*H268+$I$10*I268+$J$10*J268+$K$10*K268+$L$10*L268))</x:f>
        <x:v>0.518949538548847</x:v>
      </x:c>
      <x:c r="AI268" s="59" t="n">
        <x:f>'_曲线基线'!$L$4+AI$9*($H$10*H268+$I$10*I268+$J$10*J268+$K$10*K268+$L$10*L268)</x:f>
        <x:v>3.306359428814645</x:v>
      </x:c>
      <x:c r="AJ268" s="59" t="n">
        <x:f>1+AJ$9*($H$10*H268+$I$10*I268+$J$10*J268+$K$10*K268+$L$10*L268)</x:f>
        <x:v>2.071884659540222</x:v>
      </x:c>
      <x:c r="AK268" s="59" t="n">
        <x:f>(1+AH268*(AI268-1))*AJ268</x:f>
        <x:v>4.551690592607441</x:v>
      </x:c>
      <x:c r="AL268" s="59" t="n">
        <x:f>U268*AD268*AK268*F268</x:f>
        <x:v>2243304.516214667</x:v>
      </x:c>
      <x:c r="AM268" s="59" t="n">
        <x:f>IF($B268&lt;AM$8,0,AM$3+(AM$4-AM$3)*(POWER(AM$5,$B268-AM$8)-1)/(POWER(AM$5,$C$5-AM$8)-1))</x:f>
        <x:v>50.8039906183117</x:v>
      </x:c>
      <x:c r="AN268" s="59" t="n">
        <x:f>(((E268*'模块规划'!$D$10+G268*'模块规划'!$D$11+H268*'模块规划'!$D$13)*(1+'模块规划'!$G$14*H268)+(I268*'模块规划'!$D$15+J268*'模块规划'!$D$17+K268*'模块规划'!$D$16+L268*'模块规划'!$D$18))*(1+'模块规划'!$J$17*J268))*F268/(1-Q268)</x:f>
        <x:v>2752050.313568747</x:v>
      </x:c>
      <x:c r="AO268" s="59" t="n">
        <x:f>AL268*AM268</x:f>
        <x:v>113968821.5957862</x:v>
      </x:c>
      <x:c r="AP268" s="61" t="n">
        <x:f>IF(AO268="","",INDEX('_曲线基线'!$A$3:$A$502,MIN(ROWS('_曲线基线'!$A$3:$A$502),COUNTIF('_曲线基线'!$E$3:$E$502,"&lt;"&amp;AO268)+1)))</x:f>
        <x:v>304</x:v>
      </x:c>
      <x:c r="AQ268" s="61" t="n">
        <x:f>IF(B268&lt;=2,1,IF(B268&lt;=6,2,IF(B268&lt;=9,3,IF(B268&lt;=19,4,5))))</x:f>
        <x:v>5</x:v>
      </x:c>
      <x:c r="AR268" s="59" t="n">
        <x:f>AN268*(1-Q268)/F268*$AS$3+U268*$AS$4+P268*$AS$5</x:f>
        <x:v>17265.929468479837</x:v>
      </x:c>
      <x:c r="AS268" s="59" t="n">
        <x:f>1+AH268*$AS$6+AI268*$AS$7+(AJ268-1)*$AS$8+($H$10*H268+$I$10*I268+$J$10*J268+$K$10*K268+$L$10*L268)*$AU$3*$AS$9+($H$10*H268+$I$10*I268+$J$10*J268+$K$10*K268+$L$10*L268)*$AU$4*$AS$10</x:f>
        <x:v>17.298181218552433</x:v>
      </x:c>
      <x:c r="AT268" s="60" t="n">
        <x:f>ROUND(AR268*AS268,0)</x:f>
        <x:v>298669</x:v>
      </x:c>
      <x:c r="AU268" s="60" t="n">
        <x:f>ROUND(AT268*F268,0)</x:f>
        <x:v>1493345</x:v>
      </x:c>
      <x:c r="AV268" s="60" t="n">
        <x:f>MIN(MATCH(B268,'主线调参'!$M$11:$M$62,1),ROWS('主线调参'!$M$11:$M$62)-1)</x:f>
        <x:v>49</x:v>
      </x:c>
      <x:c r="AW268" s="62" t="n">
        <x:f>(B268-INDEX('主线调参'!$M$11:$M$62,AV268))/(INDEX('主线调参'!$M$11:$M$62,AV268+1)-INDEX('主线调参'!$M$11:$M$62,AV268))</x:f>
        <x:v>0.5</x:v>
      </x:c>
      <x:c r="AX268" s="60" t="n">
        <x:f>IF(AU268=0,0,ROUND(AU268,2-INT(LOG10(ABS(AU268)))))</x:f>
        <x:v>1490000</x:v>
      </x:c>
      <x:c r="AY268" s="62" t="n">
        <x:f>AU268/AU267-1</x:f>
        <x:v>0.003409999529655261</x:v>
      </x:c>
    </x:row>
    <x:row r="269" ht="25" customHeight="1">
      <x:c r="A269" s="40" t="str">
        <x:f>'调前玩家曲线'!A269</x:f>
      </x:c>
      <x:c r="B269" s="40" t="n">
        <x:f>'调前玩家曲线'!B269</x:f>
        <x:v>258</x:v>
      </x:c>
      <x:c r="C269" s="40" t="n">
        <x:f>'调前玩家曲线'!C269</x:f>
        <x:v>18</x:v>
      </x:c>
      <x:c r="D269" s="40" t="n">
        <x:f>'调前玩家曲线'!D269</x:f>
        <x:v>9</x:v>
      </x:c>
      <x:c r="E269" s="40" t="n">
        <x:f>'调前玩家曲线'!E269</x:f>
        <x:v>1</x:v>
      </x:c>
      <x:c r="F269" s="40" t="n">
        <x:f>'调前玩家曲线'!F269</x:f>
        <x:v>5</x:v>
      </x:c>
      <x:c r="G269" s="63" t="n">
        <x:f>IF(B269&lt;$G$8,0,(INDEX('主线调参'!$C$11:$C$62,$AV269)+(INDEX('主线调参'!$C$11:$C$62,$AV269+1)-INDEX('主线调参'!$C$11:$C$62,$AV269))*$AW269)*'参数说明'!$C$27)</x:f>
        <x:v>0.8764304027300521</x:v>
      </x:c>
      <x:c r="H269" s="63" t="n">
        <x:f>IF(B269&lt;$H$8,0,(INDEX('主线调参'!$D$11:$D$62,$AV269)+(INDEX('主线调参'!$D$11:$D$62,$AV269+1)-INDEX('主线调参'!$D$11:$D$62,$AV269))*$AW269)*'参数说明'!$D$27)</x:f>
        <x:v>0.681494054897168</x:v>
      </x:c>
      <x:c r="I269" s="63" t="n">
        <x:f>IF(B269&lt;$I$8,0,(INDEX('主线调参'!$E$11:$E$62,$AV269)+(INDEX('主线调参'!$E$11:$E$62,$AV269+1)-INDEX('主线调参'!$E$11:$E$62,$AV269))*$AW269)*'参数说明'!$E$27)</x:f>
        <x:v>0.6264395573008712</x:v>
      </x:c>
      <x:c r="J269" s="63" t="n">
        <x:f>IF(B269&lt;$J$8,0,(INDEX('主线调参'!$F$11:$F$62,$AV269)+(INDEX('主线调参'!$F$11:$F$62,$AV269+1)-INDEX('主线调参'!$F$11:$F$62,$AV269))*$AW269)*'参数说明'!$F$27)</x:f>
        <x:v>0.580143347972949</x:v>
      </x:c>
      <x:c r="K269" s="63" t="n">
        <x:f>IF(B269&lt;$K$8,0,(INDEX('主线调参'!$G$11:$G$62,$AV269)+(INDEX('主线调参'!$G$11:$G$62,$AV269+1)-INDEX('主线调参'!$G$11:$G$62,$AV269))*$AW269)*'参数说明'!$G$27)</x:f>
        <x:v>0.6214981263914826</x:v>
      </x:c>
      <x:c r="L269" s="63" t="n">
        <x:f>IF(B269&lt;$L$8,0,(INDEX('主线调参'!$H$11:$H$62,$AV269)+(INDEX('主线调参'!$H$11:$H$62,$AV269+1)-INDEX('主线调参'!$H$11:$H$62,$AV269))*$AW269)*'参数说明'!$H$27)</x:f>
        <x:v>0.6808055067240336</x:v>
      </x:c>
      <x:c r="M269" s="59" t="n">
        <x:f>E269*'模块规划'!$F$10+G269*'模块规划'!$F$11+H269*'模块规划'!$F$13</x:f>
        <x:v>5206.86593310425</x:v>
      </x:c>
      <x:c r="N269" s="59" t="n">
        <x:f>I269*'模块规划'!$F$15+J269*'模块规划'!$F$17+K269*'模块规划'!$F$16+L269*'模块规划'!$F$18</x:f>
        <x:v>17945.96623010552</x:v>
      </x:c>
      <x:c r="O269" s="59" t="n">
        <x:f>1+O$9*SUMPRODUCT($H$10:$L$10,H269:L269)/SUM($H$10:$L$10)</x:f>
        <x:v>3.3395447239030034</x:v>
      </x:c>
      <x:c r="P269" s="59" t="n">
        <x:f>M269*O269+N269</x:f>
        <x:v>35334.52788507411</x:v>
      </x:c>
      <x:c r="Q269" s="59" t="n">
        <x:f>P269/(P269+'_曲线基线'!$L$2)</x:f>
        <x:v>0.5955137614562984</x:v>
      </x:c>
      <x:c r="R269" s="59" t="n">
        <x:f>E269*'模块规划'!$E$10+G269*'模块规划'!$E$11+H269*'模块规划'!$E$13</x:f>
        <x:v>7810.298899656375</x:v>
      </x:c>
      <x:c r="S269" s="59" t="n">
        <x:f>I269*'模块规划'!$E$15+J269*'模块规划'!$E$17+K269*'模块规划'!$E$16+L269*'模块规划'!$E$18</x:f>
        <x:v>26918.949345158282</x:v>
      </x:c>
      <x:c r="T269" s="59" t="n">
        <x:f>1+T$9*SUMPRODUCT($H$10:$L$10,H269:L269)/SUM($H$10:$L$10)</x:f>
        <x:v>3.3395447239030034</x:v>
      </x:c>
      <x:c r="U269" s="59" t="n">
        <x:f>R269*T269+S269</x:f>
        <x:v>53001.79182761116</x:v>
      </x:c>
      <x:c r="V269" s="59" t="n">
        <x:f>V$8+(V$9-V$8)*H269</x:f>
        <x:v>0.9044482164691504</x:v>
      </x:c>
      <x:c r="W269" s="59" t="n">
        <x:f>IF(B269&lt;$H$8,0,W$8+(W$9-W$8)*H269)</x:f>
        <x:v>0.2725976219588672</x:v>
      </x:c>
      <x:c r="X269" s="59" t="n">
        <x:f>X$8+(X$9-X$8)*H269</x:f>
        <x:v>0.46241086509672125</x:v>
      </x:c>
      <x:c r="Y269" s="59" t="n">
        <x:f>Y$8+(Y$9-Y$8)*G269</x:f>
        <x:v>1</x:v>
      </x:c>
      <x:c r="Z269" s="59" t="n">
        <x:f>Z$8+(Z$9-Z$8)*H269</x:f>
        <x:v>1</x:v>
      </x:c>
      <x:c r="AA269" s="59" t="n">
        <x:f>AA$8+(AA$9-AA$8)*I269</x:f>
        <x:v>1</x:v>
      </x:c>
      <x:c r="AB269" s="59" t="n">
        <x:f>AB$8+(AB$9-AB$8)*J269</x:f>
        <x:v>1</x:v>
      </x:c>
      <x:c r="AC269" s="59" t="n">
        <x:f>AC$8+(AC$9-AC$8)*MAX(K269,L269)</x:f>
        <x:v>1</x:v>
      </x:c>
      <x:c r="AD269" s="59" t="n">
        <x:f>(V269*AE269+W269*AF269+X269*AG269)*PRODUCT(Y269:AC269)</x:f>
        <x:v>1.8649586474439146</x:v>
      </x:c>
      <x:c r="AE269" s="59" t="n">
        <x:f>1+AE$9*($H$10*H269+$I$10*I269+$J$10*J269+$K$10*K269+$L$10*L269)</x:f>
        <x:v>1</x:v>
      </x:c>
      <x:c r="AF269" s="59" t="n">
        <x:f>1+AF$9*($H$10*H269+$I$10*I269+$J$10*J269+$K$10*K269+$L$10*L269)</x:f>
        <x:v>1.206486133526662</x:v>
      </x:c>
      <x:c r="AG269" s="59" t="n">
        <x:f>1+AG$9*($H$10*H269+$I$10*I269+$J$10*J269+$K$10*K269+$L$10*L269)</x:f>
        <x:v>1.3659393144166982</x:v>
      </x:c>
      <x:c r="AH269" s="59" t="n">
        <x:f>MIN(1,'_曲线基线'!$L$3+AH$9*($H$10*H269+$I$10*I269+$J$10*J269+$K$10*K269+$L$10*L269))</x:f>
        <x:v>0.5197559537731555</x:v>
      </x:c>
      <x:c r="AI269" s="59" t="n">
        <x:f>'_曲线基线'!$L$4+AI$9*($H$10*H269+$I$10*I269+$J$10*J269+$K$10*K269+$L$10*L269)</x:f>
        <x:v>3.308605871225219</x:v>
      </x:c>
      <x:c r="AJ269" s="59" t="n">
        <x:f>1+AJ$9*($H$10*H269+$I$10*I269+$J$10*J269+$K$10*K269+$L$10*L269)</x:f>
        <x:v>2.0737278943386412</x:v>
      </x:c>
      <x:c r="AK269" s="59" t="n">
        <x:f>(1+AH269*(AI269-1))*AJ269</x:f>
        <x:v>4.562018146396332</x:v>
      </x:c>
      <x:c r="AL269" s="59" t="n">
        <x:f>U269*AD269*AK269*F269</x:f>
        <x:v>2254689.6499825623</x:v>
      </x:c>
      <x:c r="AM269" s="59" t="n">
        <x:f>IF($B269&lt;AM$8,0,AM$3+(AM$4-AM$3)*(POWER(AM$5,$B269-AM$8)-1)/(POWER(AM$5,$C$5-AM$8)-1))</x:f>
        <x:v>50.97545516441669</x:v>
      </x:c>
      <x:c r="AN269" s="59" t="n">
        <x:f>(((E269*'模块规划'!$D$10+G269*'模块规划'!$D$11+H269*'模块规划'!$D$13)*(1+'模块规划'!$G$14*H269)+(I269*'模块规划'!$D$15+J269*'模块规划'!$D$17+K269*'模块规划'!$D$16+L269*'模块规划'!$D$18))*(1+'模块规划'!$J$17*J269))*F269/(1-Q269)</x:f>
        <x:v>2762027.6315478445</x:v>
      </x:c>
      <x:c r="AO269" s="59" t="n">
        <x:f>AL269*AM269</x:f>
        <x:v>114933831.16236046</x:v>
      </x:c>
      <x:c r="AP269" s="61" t="n">
        <x:f>IF(AO269="","",INDEX('_曲线基线'!$A$3:$A$502,MIN(ROWS('_曲线基线'!$A$3:$A$502),COUNTIF('_曲线基线'!$E$3:$E$502,"&lt;"&amp;AO269)+1)))</x:f>
        <x:v>304</x:v>
      </x:c>
      <x:c r="AQ269" s="61" t="n">
        <x:f>IF(B269&lt;=2,1,IF(B269&lt;=6,2,IF(B269&lt;=9,3,IF(B269&lt;=19,4,5))))</x:f>
        <x:v>5</x:v>
      </x:c>
      <x:c r="AR269" s="59" t="n">
        <x:f>AN269*(1-Q269)/F269*$AS$3+U269*$AS$4+P269*$AS$5</x:f>
        <x:v>17303.57137015357</x:v>
      </x:c>
      <x:c r="AS269" s="59" t="n">
        <x:f>1+AH269*$AS$6+AI269*$AS$7+(AJ269-1)*$AS$8+($H$10*H269+$I$10*I269+$J$10*J269+$K$10*K269+$L$10*L269)*$AU$3*$AS$9+($H$10*H269+$I$10*I269+$J$10*J269+$K$10*K269+$L$10*L269)*$AU$4*$AS$10</x:f>
        <x:v>17.31936109808726</x:v>
      </x:c>
      <x:c r="AT269" s="60" t="n">
        <x:f>ROUND(AR269*AS269,0)</x:f>
        <x:v>299687</x:v>
      </x:c>
      <x:c r="AU269" s="60" t="n">
        <x:f>ROUND(AT269*F269,0)</x:f>
        <x:v>1498435</x:v>
      </x:c>
      <x:c r="AV269" s="60" t="n">
        <x:f>MIN(MATCH(B269,'主线调参'!$M$11:$M$62,1),ROWS('主线调参'!$M$11:$M$62)-1)</x:f>
        <x:v>49</x:v>
      </x:c>
      <x:c r="AW269" s="62" t="n">
        <x:f>(B269-INDEX('主线调参'!$M$11:$M$62,AV269))/(INDEX('主线调参'!$M$11:$M$62,AV269+1)-INDEX('主线调参'!$M$11:$M$62,AV269))</x:f>
        <x:v>0.5714285714285714</x:v>
      </x:c>
      <x:c r="AX269" s="60" t="n">
        <x:f>IF(AU269=0,0,ROUND(AU269,2-INT(LOG10(ABS(AU269)))))</x:f>
        <x:v>1500000</x:v>
      </x:c>
      <x:c r="AY269" s="62" t="n">
        <x:f>AU269/AU268-1</x:f>
        <x:v>0.0034084555142983586</x:v>
      </x:c>
    </x:row>
    <x:row r="270" ht="25" customHeight="1">
      <x:c r="A270" s="40" t="str">
        <x:f>'调前玩家曲线'!A270</x:f>
      </x:c>
      <x:c r="B270" s="40" t="n">
        <x:f>'调前玩家曲线'!B270</x:f>
        <x:v>259</x:v>
      </x:c>
      <x:c r="C270" s="40" t="n">
        <x:f>'调前玩家曲线'!C270</x:f>
        <x:v>18</x:v>
      </x:c>
      <x:c r="D270" s="40" t="n">
        <x:f>'调前玩家曲线'!D270</x:f>
        <x:v>10</x:v>
      </x:c>
      <x:c r="E270" s="40" t="n">
        <x:f>'调前玩家曲线'!E270</x:f>
        <x:v>1</x:v>
      </x:c>
      <x:c r="F270" s="40" t="n">
        <x:f>'调前玩家曲线'!F270</x:f>
        <x:v>5</x:v>
      </x:c>
      <x:c r="G270" s="63" t="n">
        <x:f>IF(B270&lt;$G$8,0,(INDEX('主线调参'!$C$11:$C$62,$AV270)+(INDEX('主线调参'!$C$11:$C$62,$AV270+1)-INDEX('主线调参'!$C$11:$C$62,$AV270))*$AW270)*'参数说明'!$C$27)</x:f>
        <x:v>0.8775849638011811</x:v>
      </x:c>
      <x:c r="H270" s="63" t="n">
        <x:f>IF(B270&lt;$H$8,0,(INDEX('主线调参'!$D$11:$D$62,$AV270)+(INDEX('主线调参'!$D$11:$D$62,$AV270+1)-INDEX('主线调参'!$D$11:$D$62,$AV270))*$AW270)*'参数说明'!$D$27)</x:f>
        <x:v>0.6823912980587681</x:v>
      </x:c>
      <x:c r="I270" s="63" t="n">
        <x:f>IF(B270&lt;$I$8,0,(INDEX('主线调参'!$E$11:$E$62,$AV270)+(INDEX('主线调参'!$E$11:$E$62,$AV270+1)-INDEX('主线调参'!$E$11:$E$62,$AV270))*$AW270)*'参数说明'!$E$27)</x:f>
        <x:v>0.6276026415954984</x:v>
      </x:c>
      <x:c r="J270" s="63" t="n">
        <x:f>IF(B270&lt;$J$8,0,(INDEX('主线调参'!$F$11:$F$62,$AV270)+(INDEX('主线调参'!$F$11:$F$62,$AV270+1)-INDEX('主线调参'!$F$11:$F$62,$AV270))*$AW270)*'参数说明'!$F$27)</x:f>
        <x:v>0.581109580813283</x:v>
      </x:c>
      <x:c r="K270" s="63" t="n">
        <x:f>IF(B270&lt;$K$8,0,(INDEX('主线调参'!$G$11:$G$62,$AV270)+(INDEX('主线调参'!$G$11:$G$62,$AV270+1)-INDEX('主线调参'!$G$11:$G$62,$AV270))*$AW270)*'参数说明'!$G$27)</x:f>
        <x:v>0.6229417510702135</x:v>
      </x:c>
      <x:c r="L270" s="63" t="n">
        <x:f>IF(B270&lt;$L$8,0,(INDEX('主线调参'!$H$11:$H$62,$AV270)+(INDEX('主线调参'!$H$11:$H$62,$AV270+1)-INDEX('主线调参'!$H$11:$H$62,$AV270))*$AW270)*'参数说明'!$H$27)</x:f>
        <x:v>0.6817386951722022</x:v>
      </x:c>
      <x:c r="M270" s="59" t="n">
        <x:f>E270*'模块规划'!$F$10+G270*'模块规划'!$F$11+H270*'模块规划'!$F$13</x:f>
        <x:v>5212.40782624567</x:v>
      </x:c>
      <x:c r="N270" s="59" t="n">
        <x:f>I270*'模块规划'!$F$15+J270*'模块规划'!$F$17+K270*'模块规划'!$F$16+L270*'模块规划'!$F$18</x:f>
        <x:v>17978.26092317911</x:v>
      </x:c>
      <x:c r="O270" s="59" t="n">
        <x:f>1+O$9*SUMPRODUCT($H$10:$L$10,H270:L270)/SUM($H$10:$L$10)</x:f>
        <x:v>3.343560946514238</x:v>
      </x:c>
      <x:c r="P270" s="59" t="n">
        <x:f>M270*O270+N270</x:f>
        <x:v>35406.26416831931</x:v>
      </x:c>
      <x:c r="Q270" s="59" t="n">
        <x:f>P270/(P270+'_曲线基线'!$L$2)</x:f>
        <x:v>0.5960022005086977</x:v>
      </x:c>
      <x:c r="R270" s="59" t="n">
        <x:f>E270*'模块规划'!$E$10+G270*'模块规划'!$E$11+H270*'模块规划'!$E$13</x:f>
        <x:v>7818.6117393685045</x:v>
      </x:c>
      <x:c r="S270" s="59" t="n">
        <x:f>I270*'模块规划'!$E$15+J270*'模块规划'!$E$17+K270*'模块规划'!$E$16+L270*'模块规划'!$E$18</x:f>
        <x:v>26967.391384768664</x:v>
      </x:c>
      <x:c r="T270" s="59" t="n">
        <x:f>1+T$9*SUMPRODUCT($H$10:$L$10,H270:L270)/SUM($H$10:$L$10)</x:f>
        <x:v>3.343560946514238</x:v>
      </x:c>
      <x:c r="U270" s="59" t="n">
        <x:f>R270*T270+S270</x:f>
        <x:v>53109.39625247895</x:v>
      </x:c>
      <x:c r="V270" s="59" t="n">
        <x:f>V$8+(V$9-V$8)*H270</x:f>
        <x:v>0.9047173894176304</x:v>
      </x:c>
      <x:c r="W270" s="59" t="n">
        <x:f>IF(B270&lt;$H$8,0,W$8+(W$9-W$8)*H270)</x:f>
        <x:v>0.2729565192235072</x:v>
      </x:c>
      <x:c r="X270" s="59" t="n">
        <x:f>X$8+(X$9-X$8)*H270</x:f>
        <x:v>0.46265760696616126</x:v>
      </x:c>
      <x:c r="Y270" s="59" t="n">
        <x:f>Y$8+(Y$9-Y$8)*G270</x:f>
        <x:v>1</x:v>
      </x:c>
      <x:c r="Z270" s="59" t="n">
        <x:f>Z$8+(Z$9-Z$8)*H270</x:f>
        <x:v>1</x:v>
      </x:c>
      <x:c r="AA270" s="59" t="n">
        <x:f>AA$8+(AA$9-AA$8)*I270</x:f>
        <x:v>1</x:v>
      </x:c>
      <x:c r="AB270" s="59" t="n">
        <x:f>AB$8+(AB$9-AB$8)*J270</x:f>
        <x:v>1</x:v>
      </x:c>
      <x:c r="AC270" s="59" t="n">
        <x:f>AC$8+(AC$9-AC$8)*MAX(K270,L270)</x:f>
        <x:v>1</x:v>
      </x:c>
      <x:c r="AD270" s="59" t="n">
        <x:f>(V270*AE270+W270*AF270+X270*AG270)*PRODUCT(Y270:AC270)</x:f>
        <x:v>1.8663852536777628</x:v>
      </x:c>
      <x:c r="AE270" s="59" t="n">
        <x:f>1+AE$9*($H$10*H270+$I$10*I270+$J$10*J270+$K$10*K270+$L$10*L270)</x:f>
        <x:v>1</x:v>
      </x:c>
      <x:c r="AF270" s="59" t="n">
        <x:f>1+AF$9*($H$10*H270+$I$10*I270+$J$10*J270+$K$10*K270+$L$10*L270)</x:f>
        <x:v>1.2068406017571274</x:v>
      </x:c>
      <x:c r="AG270" s="59" t="n">
        <x:f>1+AG$9*($H$10*H270+$I$10*I270+$J$10*J270+$K$10*K270+$L$10*L270)</x:f>
        <x:v>1.3665675108918005</x:v>
      </x:c>
      <x:c r="AH270" s="59" t="n">
        <x:f>MIN(1,'_曲线基线'!$L$3+AH$9*($H$10*H270+$I$10*I270+$J$10*J270+$K$10*K270+$L$10*L270))</x:f>
        <x:v>0.5205623689974641</x:v>
      </x:c>
      <x:c r="AI270" s="59" t="n">
        <x:f>'_曲线基线'!$L$4+AI$9*($H$10*H270+$I$10*I270+$J$10*J270+$K$10*K270+$L$10*L270)</x:f>
        <x:v>3.3108523136357926</x:v>
      </x:c>
      <x:c r="AJ270" s="59" t="n">
        <x:f>1+AJ$9*($H$10*H270+$I$10*I270+$J$10*J270+$K$10*K270+$L$10*L270)</x:f>
        <x:v>2.075571129137061</x:v>
      </x:c>
      <x:c r="AK270" s="59" t="n">
        <x:f>(1+AH270*(AI270-1))*AJ270</x:f>
        <x:v>4.57236438098279</x:v>
      </x:c>
      <x:c r="AL270" s="59" t="n">
        <x:f>U270*AD270*AK270*F270</x:f>
        <x:v>2266123.0907206396</x:v>
      </x:c>
      <x:c r="AM270" s="59" t="n">
        <x:f>IF($B270&lt;AM$8,0,AM$3+(AM$4-AM$3)*(POWER(AM$5,$B270-AM$8)-1)/(POWER(AM$5,$C$5-AM$8)-1))</x:f>
        <x:v>51.14863435598272</x:v>
      </x:c>
      <x:c r="AN270" s="59" t="n">
        <x:f>(((E270*'模块规划'!$D$10+G270*'模块规划'!$D$11+H270*'模块规划'!$D$13)*(1+'模块规划'!$G$14*H270)+(I270*'模块规划'!$D$15+J270*'模块规划'!$D$17+K270*'模块规划'!$D$16+L270*'模块规划'!$D$18))*(1+'模块规划'!$J$17*J270))*F270/(1-Q270)</x:f>
        <x:v>2772030.552153424</x:v>
      </x:c>
      <x:c r="AO270" s="59" t="n">
        <x:f>AL270*AM270</x:f>
        <x:v>115909101.37291946</x:v>
      </x:c>
      <x:c r="AP270" s="61" t="n">
        <x:f>IF(AO270="","",INDEX('_曲线基线'!$A$3:$A$502,MIN(ROWS('_曲线基线'!$A$3:$A$502),COUNTIF('_曲线基线'!$E$3:$E$502,"&lt;"&amp;AO270)+1)))</x:f>
        <x:v>305</x:v>
      </x:c>
      <x:c r="AQ270" s="61" t="n">
        <x:f>IF(B270&lt;=2,1,IF(B270&lt;=6,2,IF(B270&lt;=9,3,IF(B270&lt;=19,4,5))))</x:f>
        <x:v>5</x:v>
      </x:c>
      <x:c r="AR270" s="59" t="n">
        <x:f>AN270*(1-Q270)/F270*$AS$3+U270*$AS$4+P270*$AS$5</x:f>
        <x:v>17341.244709651648</x:v>
      </x:c>
      <x:c r="AS270" s="59" t="n">
        <x:f>1+AH270*$AS$6+AI270*$AS$7+(AJ270-1)*$AS$8+($H$10*H270+$I$10*I270+$J$10*J270+$K$10*K270+$L$10*L270)*$AU$3*$AS$9+($H$10*H270+$I$10*I270+$J$10*J270+$K$10*K270+$L$10*L270)*$AU$4*$AS$10</x:f>
        <x:v>17.34054097762209</x:v>
      </x:c>
      <x:c r="AT270" s="60" t="n">
        <x:f>ROUND(AR270*AS270,0)</x:f>
        <x:v>300707</x:v>
      </x:c>
      <x:c r="AU270" s="60" t="n">
        <x:f>ROUND(AT270*F270,0)</x:f>
        <x:v>1503535</x:v>
      </x:c>
      <x:c r="AV270" s="60" t="n">
        <x:f>MIN(MATCH(B270,'主线调参'!$M$11:$M$62,1),ROWS('主线调参'!$M$11:$M$62)-1)</x:f>
        <x:v>49</x:v>
      </x:c>
      <x:c r="AW270" s="62" t="n">
        <x:f>(B270-INDEX('主线调参'!$M$11:$M$62,AV270))/(INDEX('主线调参'!$M$11:$M$62,AV270+1)-INDEX('主线调参'!$M$11:$M$62,AV270))</x:f>
        <x:v>0.6428571428571429</x:v>
      </x:c>
      <x:c r="AX270" s="60" t="n">
        <x:f>IF(AU270=0,0,ROUND(AU270,2-INT(LOG10(ABS(AU270)))))</x:f>
        <x:v>1500000</x:v>
      </x:c>
      <x:c r="AY270" s="62" t="n">
        <x:f>AU270/AU269-1</x:f>
        <x:v>0.0034035510382499634</x:v>
      </x:c>
    </x:row>
    <x:row r="271" ht="25" customHeight="1">
      <x:c r="A271" s="40" t="str">
        <x:f>'调前玩家曲线'!A271</x:f>
      </x:c>
      <x:c r="B271" s="40" t="n">
        <x:f>'调前玩家曲线'!B271</x:f>
        <x:v>260</x:v>
      </x:c>
      <x:c r="C271" s="40" t="n">
        <x:f>'调前玩家曲线'!C271</x:f>
        <x:v>18</x:v>
      </x:c>
      <x:c r="D271" s="40" t="n">
        <x:f>'调前玩家曲线'!D271</x:f>
        <x:v>11</x:v>
      </x:c>
      <x:c r="E271" s="40" t="n">
        <x:f>'调前玩家曲线'!E271</x:f>
        <x:v>1</x:v>
      </x:c>
      <x:c r="F271" s="40" t="n">
        <x:f>'调前玩家曲线'!F271</x:f>
        <x:v>5</x:v>
      </x:c>
      <x:c r="G271" s="63" t="n">
        <x:f>IF(B271&lt;$G$8,0,(INDEX('主线调参'!$C$11:$C$62,$AV271)+(INDEX('主线调参'!$C$11:$C$62,$AV271+1)-INDEX('主线调参'!$C$11:$C$62,$AV271))*$AW271)*'参数说明'!$C$27)</x:f>
        <x:v>0.8787395248723101</x:v>
      </x:c>
      <x:c r="H271" s="63" t="n">
        <x:f>IF(B271&lt;$H$8,0,(INDEX('主线调参'!$D$11:$D$62,$AV271)+(INDEX('主线调参'!$D$11:$D$62,$AV271+1)-INDEX('主线调参'!$D$11:$D$62,$AV271))*$AW271)*'参数说明'!$D$27)</x:f>
        <x:v>0.6832885412203683</x:v>
      </x:c>
      <x:c r="I271" s="63" t="n">
        <x:f>IF(B271&lt;$I$8,0,(INDEX('主线调参'!$E$11:$E$62,$AV271)+(INDEX('主线调参'!$E$11:$E$62,$AV271+1)-INDEX('主线调参'!$E$11:$E$62,$AV271))*$AW271)*'参数说明'!$E$27)</x:f>
        <x:v>0.6287657258901255</x:v>
      </x:c>
      <x:c r="J271" s="63" t="n">
        <x:f>IF(B271&lt;$J$8,0,(INDEX('主线调参'!$F$11:$F$62,$AV271)+(INDEX('主线调参'!$F$11:$F$62,$AV271+1)-INDEX('主线调参'!$F$11:$F$62,$AV271))*$AW271)*'参数说明'!$F$27)</x:f>
        <x:v>0.582075813653617</x:v>
      </x:c>
      <x:c r="K271" s="63" t="n">
        <x:f>IF(B271&lt;$K$8,0,(INDEX('主线调参'!$G$11:$G$62,$AV271)+(INDEX('主线调参'!$G$11:$G$62,$AV271+1)-INDEX('主线调参'!$G$11:$G$62,$AV271))*$AW271)*'参数说明'!$G$27)</x:f>
        <x:v>0.6243853757489446</x:v>
      </x:c>
      <x:c r="L271" s="63" t="n">
        <x:f>IF(B271&lt;$L$8,0,(INDEX('主线调参'!$H$11:$H$62,$AV271)+(INDEX('主线调参'!$H$11:$H$62,$AV271+1)-INDEX('主线调参'!$H$11:$H$62,$AV271))*$AW271)*'参数说明'!$H$27)</x:f>
        <x:v>0.682671883620371</x:v>
      </x:c>
      <x:c r="M271" s="59" t="n">
        <x:f>E271*'模块规划'!$F$10+G271*'模块规划'!$F$11+H271*'模块规划'!$F$13</x:f>
        <x:v>5217.949719387088</x:v>
      </x:c>
      <x:c r="N271" s="59" t="n">
        <x:f>I271*'模块规划'!$F$15+J271*'模块规划'!$F$17+K271*'模块规划'!$F$16+L271*'模块规划'!$F$18</x:f>
        <x:v>18010.5556162527</x:v>
      </x:c>
      <x:c r="O271" s="59" t="n">
        <x:f>1+O$9*SUMPRODUCT($H$10:$L$10,H271:L271)/SUM($H$10:$L$10)</x:f>
        <x:v>3.3475771691254734</x:v>
      </x:c>
      <x:c r="P271" s="59" t="n">
        <x:f>M271*O271+N271</x:f>
        <x:v>35478.044966517584</x:v>
      </x:c>
      <x:c r="Q271" s="59" t="n">
        <x:f>P271/(P271+'_曲线基线'!$L$2)</x:f>
        <x:v>0.5964897633486357</x:v>
      </x:c>
      <x:c r="R271" s="59" t="n">
        <x:f>E271*'模块规划'!$E$10+G271*'模块规划'!$E$11+H271*'模块规划'!$E$13</x:f>
        <x:v>7826.924579080633</x:v>
      </x:c>
      <x:c r="S271" s="59" t="n">
        <x:f>I271*'模块规划'!$E$15+J271*'模块规划'!$E$17+K271*'模块规划'!$E$16+L271*'模块规划'!$E$18</x:f>
        <x:v>27015.833424379045</x:v>
      </x:c>
      <x:c r="T271" s="59" t="n">
        <x:f>1+T$9*SUMPRODUCT($H$10:$L$10,H271:L271)/SUM($H$10:$L$10)</x:f>
        <x:v>3.3475771691254734</x:v>
      </x:c>
      <x:c r="U271" s="59" t="n">
        <x:f>R271*T271+S271</x:f>
        <x:v>53217.067449776376</x:v>
      </x:c>
      <x:c r="V271" s="59" t="n">
        <x:f>V$8+(V$9-V$8)*H271</x:f>
        <x:v>0.9049865623661104</x:v>
      </x:c>
      <x:c r="W271" s="59" t="n">
        <x:f>IF(B271&lt;$H$8,0,W$8+(W$9-W$8)*H271)</x:f>
        <x:v>0.27331541648814733</x:v>
      </x:c>
      <x:c r="X271" s="59" t="n">
        <x:f>X$8+(X$9-X$8)*H271</x:f>
        <x:v>0.46290434883560133</x:v>
      </x:c>
      <x:c r="Y271" s="59" t="n">
        <x:f>Y$8+(Y$9-Y$8)*G271</x:f>
        <x:v>1</x:v>
      </x:c>
      <x:c r="Z271" s="59" t="n">
        <x:f>Z$8+(Z$9-Z$8)*H271</x:f>
        <x:v>1</x:v>
      </x:c>
      <x:c r="AA271" s="59" t="n">
        <x:f>AA$8+(AA$9-AA$8)*I271</x:f>
        <x:v>1</x:v>
      </x:c>
      <x:c r="AB271" s="59" t="n">
        <x:f>AB$8+(AB$9-AB$8)*J271</x:f>
        <x:v>1</x:v>
      </x:c>
      <x:c r="AC271" s="59" t="n">
        <x:f>AC$8+(AC$9-AC$8)*MAX(K271,L271)</x:f>
        <x:v>1</x:v>
      </x:c>
      <x:c r="AD271" s="59" t="n">
        <x:f>(V271*AE271+W271*AF271+X271*AG271)*PRODUCT(Y271:AC271)</x:f>
        <x:v>1.8678124243517131</x:v>
      </x:c>
      <x:c r="AE271" s="59" t="n">
        <x:f>1+AE$9*($H$10*H271+$I$10*I271+$J$10*J271+$K$10*K271+$L$10*L271)</x:f>
        <x:v>1</x:v>
      </x:c>
      <x:c r="AF271" s="59" t="n">
        <x:f>1+AF$9*($H$10*H271+$I$10*I271+$J$10*J271+$K$10*K271+$L$10*L271)</x:f>
        <x:v>1.2071950699875926</x:v>
      </x:c>
      <x:c r="AG271" s="59" t="n">
        <x:f>1+AG$9*($H$10*H271+$I$10*I271+$J$10*J271+$K$10*K271+$L$10*L271)</x:f>
        <x:v>1.367195707366903</x:v>
      </x:c>
      <x:c r="AH271" s="59" t="n">
        <x:f>MIN(1,'_曲线基线'!$L$3+AH$9*($H$10*H271+$I$10*I271+$J$10*J271+$K$10*K271+$L$10*L271))</x:f>
        <x:v>0.5213687842217726</x:v>
      </x:c>
      <x:c r="AI271" s="59" t="n">
        <x:f>'_曲线基线'!$L$4+AI$9*($H$10*H271+$I$10*I271+$J$10*J271+$K$10*K271+$L$10*L271)</x:f>
        <x:v>3.3130987560463665</x:v>
      </x:c>
      <x:c r="AJ271" s="59" t="n">
        <x:f>1+AJ$9*($H$10*H271+$I$10*I271+$J$10*J271+$K$10*K271+$L$10*L271)</x:f>
        <x:v>2.07741436393548</x:v>
      </x:c>
      <x:c r="AK271" s="59" t="n">
        <x:f>(1+AH271*(AI271-1))*AJ271</x:f>
        <x:v>4.582729316401657</x:v>
      </x:c>
      <x:c r="AL271" s="59" t="n">
        <x:f>U271*AD271*AK271*F271</x:f>
        <x:v>2277605.0081640473</x:v>
      </x:c>
      <x:c r="AM271" s="59" t="n">
        <x:f>IF($B271&lt;AM$8,0,AM$3+(AM$4-AM$3)*(POWER(AM$5,$B271-AM$8)-1)/(POWER(AM$5,$C$5-AM$8)-1))</x:f>
        <x:v>51.32354533946442</x:v>
      </x:c>
      <x:c r="AN271" s="59" t="n">
        <x:f>(((E271*'模块规划'!$D$10+G271*'模块规划'!$D$11+H271*'模块规划'!$D$13)*(1+'模块规划'!$G$14*H271)+(I271*'模块规划'!$D$15+J271*'模块规划'!$D$17+K271*'模块规划'!$D$16+L271*'模块规划'!$D$18))*(1+'模块规划'!$J$17*J271))*F271/(1-Q271)</x:f>
        <x:v>2782059.1193197495</x:v>
      </x:c>
      <x:c r="AO271" s="59" t="n">
        <x:f>AL271*AM271</x:f>
        <x:v>116894763.9018987</x:v>
      </x:c>
      <x:c r="AP271" s="61" t="n">
        <x:f>IF(AO271="","",INDEX('_曲线基线'!$A$3:$A$502,MIN(ROWS('_曲线基线'!$A$3:$A$502),COUNTIF('_曲线基线'!$E$3:$E$502,"&lt;"&amp;AO271)+1)))</x:f>
        <x:v>306</x:v>
      </x:c>
      <x:c r="AQ271" s="61" t="n">
        <x:f>IF(B271&lt;=2,1,IF(B271&lt;=6,2,IF(B271&lt;=9,3,IF(B271&lt;=19,4,5))))</x:f>
        <x:v>5</x:v>
      </x:c>
      <x:c r="AR271" s="59" t="n">
        <x:f>AN271*(1-Q271)/F271*$AS$3+U271*$AS$4+P271*$AS$5</x:f>
        <x:v>17378.949491644064</x:v>
      </x:c>
      <x:c r="AS271" s="59" t="n">
        <x:f>1+AH271*$AS$6+AI271*$AS$7+(AJ271-1)*$AS$8+($H$10*H271+$I$10*I271+$J$10*J271+$K$10*K271+$L$10*L271)*$AU$3*$AS$9+($H$10*H271+$I$10*I271+$J$10*J271+$K$10*K271+$L$10*L271)*$AU$4*$AS$10</x:f>
        <x:v>17.361720857156914</x:v>
      </x:c>
      <x:c r="AT271" s="60" t="n">
        <x:f>ROUND(AR271*AS271,0)</x:f>
        <x:v>301728</x:v>
      </x:c>
      <x:c r="AU271" s="60" t="n">
        <x:f>ROUND(AT271*F271,0)</x:f>
        <x:v>1508640</x:v>
      </x:c>
      <x:c r="AV271" s="60" t="n">
        <x:f>MIN(MATCH(B271,'主线调参'!$M$11:$M$62,1),ROWS('主线调参'!$M$11:$M$62)-1)</x:f>
        <x:v>49</x:v>
      </x:c>
      <x:c r="AW271" s="62" t="n">
        <x:f>(B271-INDEX('主线调参'!$M$11:$M$62,AV271))/(INDEX('主线调参'!$M$11:$M$62,AV271+1)-INDEX('主线调参'!$M$11:$M$62,AV271))</x:f>
        <x:v>0.7142857142857143</x:v>
      </x:c>
      <x:c r="AX271" s="60" t="n">
        <x:f>IF(AU271=0,0,ROUND(AU271,2-INT(LOG10(ABS(AU271)))))</x:f>
        <x:v>1510000</x:v>
      </x:c>
      <x:c r="AY271" s="62" t="n">
        <x:f>AU271/AU270-1</x:f>
        <x:v>0.00339533166836814</x:v>
      </x:c>
    </x:row>
    <x:row r="272" ht="25" customHeight="1">
      <x:c r="A272" s="40" t="str">
        <x:f>'调前玩家曲线'!A272</x:f>
      </x:c>
      <x:c r="B272" s="40" t="n">
        <x:f>'调前玩家曲线'!B272</x:f>
        <x:v>261</x:v>
      </x:c>
      <x:c r="C272" s="40" t="n">
        <x:f>'调前玩家曲线'!C272</x:f>
        <x:v>18</x:v>
      </x:c>
      <x:c r="D272" s="40" t="n">
        <x:f>'调前玩家曲线'!D272</x:f>
        <x:v>12</x:v>
      </x:c>
      <x:c r="E272" s="40" t="n">
        <x:f>'调前玩家曲线'!E272</x:f>
        <x:v>1</x:v>
      </x:c>
      <x:c r="F272" s="40" t="n">
        <x:f>'调前玩家曲线'!F272</x:f>
        <x:v>5</x:v>
      </x:c>
      <x:c r="G272" s="63" t="n">
        <x:f>IF(B272&lt;$G$8,0,(INDEX('主线调参'!$C$11:$C$62,$AV272)+(INDEX('主线调参'!$C$11:$C$62,$AV272+1)-INDEX('主线调参'!$C$11:$C$62,$AV272))*$AW272)*'参数说明'!$C$27)</x:f>
        <x:v>0.8798940859434392</x:v>
      </x:c>
      <x:c r="H272" s="63" t="n">
        <x:f>IF(B272&lt;$H$8,0,(INDEX('主线调参'!$D$11:$D$62,$AV272)+(INDEX('主线调参'!$D$11:$D$62,$AV272+1)-INDEX('主线调参'!$D$11:$D$62,$AV272))*$AW272)*'参数说明'!$D$27)</x:f>
        <x:v>0.6841857843819685</x:v>
      </x:c>
      <x:c r="I272" s="63" t="n">
        <x:f>IF(B272&lt;$I$8,0,(INDEX('主线调参'!$E$11:$E$62,$AV272)+(INDEX('主线调参'!$E$11:$E$62,$AV272+1)-INDEX('主线调参'!$E$11:$E$62,$AV272))*$AW272)*'参数说明'!$E$27)</x:f>
        <x:v>0.6299288101847527</x:v>
      </x:c>
      <x:c r="J272" s="63" t="n">
        <x:f>IF(B272&lt;$J$8,0,(INDEX('主线调参'!$F$11:$F$62,$AV272)+(INDEX('主线调参'!$F$11:$F$62,$AV272+1)-INDEX('主线调参'!$F$11:$F$62,$AV272))*$AW272)*'参数说明'!$F$27)</x:f>
        <x:v>0.5830420464939511</x:v>
      </x:c>
      <x:c r="K272" s="63" t="n">
        <x:f>IF(B272&lt;$K$8,0,(INDEX('主线调参'!$G$11:$G$62,$AV272)+(INDEX('主线调参'!$G$11:$G$62,$AV272+1)-INDEX('主线调参'!$G$11:$G$62,$AV272))*$AW272)*'参数说明'!$G$27)</x:f>
        <x:v>0.6258290004276756</x:v>
      </x:c>
      <x:c r="L272" s="63" t="n">
        <x:f>IF(B272&lt;$L$8,0,(INDEX('主线调参'!$H$11:$H$62,$AV272)+(INDEX('主线调参'!$H$11:$H$62,$AV272+1)-INDEX('主线调参'!$H$11:$H$62,$AV272))*$AW272)*'参数说明'!$H$27)</x:f>
        <x:v>0.6836050720685397</x:v>
      </x:c>
      <x:c r="M272" s="59" t="n">
        <x:f>E272*'模块规划'!$F$10+G272*'模块规划'!$F$11+H272*'模块规划'!$F$13</x:f>
        <x:v>5223.491612528508</x:v>
      </x:c>
      <x:c r="N272" s="59" t="n">
        <x:f>I272*'模块规划'!$F$15+J272*'模块规划'!$F$17+K272*'模块规划'!$F$16+L272*'模块规划'!$F$18</x:f>
        <x:v>18042.850309326284</x:v>
      </x:c>
      <x:c r="O272" s="59" t="n">
        <x:f>1+O$9*SUMPRODUCT($H$10:$L$10,H272:L272)/SUM($H$10:$L$10)</x:f>
        <x:v>3.3515933917367087</x:v>
      </x:c>
      <x:c r="P272" s="59" t="n">
        <x:f>M272*O272+N272</x:f>
        <x:v>35549.87027966896</x:v>
      </x:c>
      <x:c r="Q272" s="59" t="n">
        <x:f>P272/(P272+'_曲线基线'!$L$2)</x:f>
        <x:v>0.59697645205125</x:v>
      </x:c>
      <x:c r="R272" s="59" t="n">
        <x:f>E272*'模块规划'!$E$10+G272*'模块规划'!$E$11+H272*'模块规划'!$E$13</x:f>
        <x:v>7835.237418792763</x:v>
      </x:c>
      <x:c r="S272" s="59" t="n">
        <x:f>I272*'模块规划'!$E$15+J272*'模块规划'!$E$17+K272*'模块规划'!$E$16+L272*'模块规划'!$E$18</x:f>
        <x:v>27064.275463989426</x:v>
      </x:c>
      <x:c r="T272" s="59" t="n">
        <x:f>1+T$9*SUMPRODUCT($H$10:$L$10,H272:L272)/SUM($H$10:$L$10)</x:f>
        <x:v>3.3515933917367087</x:v>
      </x:c>
      <x:c r="U272" s="59" t="n">
        <x:f>R272*T272+S272</x:f>
        <x:v>53324.805419503435</x:v>
      </x:c>
      <x:c r="V272" s="59" t="n">
        <x:f>V$8+(V$9-V$8)*H272</x:f>
        <x:v>0.9052557353145906</x:v>
      </x:c>
      <x:c r="W272" s="59" t="n">
        <x:f>IF(B272&lt;$H$8,0,W$8+(W$9-W$8)*H272)</x:f>
        <x:v>0.27367431375278745</x:v>
      </x:c>
      <x:c r="X272" s="59" t="n">
        <x:f>X$8+(X$9-X$8)*H272</x:f>
        <x:v>0.46315109070504135</x:v>
      </x:c>
      <x:c r="Y272" s="59" t="n">
        <x:f>Y$8+(Y$9-Y$8)*G272</x:f>
        <x:v>1</x:v>
      </x:c>
      <x:c r="Z272" s="59" t="n">
        <x:f>Z$8+(Z$9-Z$8)*H272</x:f>
        <x:v>1</x:v>
      </x:c>
      <x:c r="AA272" s="59" t="n">
        <x:f>AA$8+(AA$9-AA$8)*I272</x:f>
        <x:v>1</x:v>
      </x:c>
      <x:c r="AB272" s="59" t="n">
        <x:f>AB$8+(AB$9-AB$8)*J272</x:f>
        <x:v>1</x:v>
      </x:c>
      <x:c r="AC272" s="59" t="n">
        <x:f>AC$8+(AC$9-AC$8)*MAX(K272,L272)</x:f>
        <x:v>1</x:v>
      </x:c>
      <x:c r="AD272" s="59" t="n">
        <x:f>(V272*AE272+W272*AF272+X272*AG272)*PRODUCT(Y272:AC272)</x:f>
        <x:v>1.8692401594657653</x:v>
      </x:c>
      <x:c r="AE272" s="59" t="n">
        <x:f>1+AE$9*($H$10*H272+$I$10*I272+$J$10*J272+$K$10*K272+$L$10*L272)</x:f>
        <x:v>1</x:v>
      </x:c>
      <x:c r="AF272" s="59" t="n">
        <x:f>1+AF$9*($H$10*H272+$I$10*I272+$J$10*J272+$K$10*K272+$L$10*L272)</x:f>
        <x:v>1.2075495382180579</x:v>
      </x:c>
      <x:c r="AG272" s="59" t="n">
        <x:f>1+AG$9*($H$10*H272+$I$10*I272+$J$10*J272+$K$10*K272+$L$10*L272)</x:f>
        <x:v>1.3678239038420053</x:v>
      </x:c>
      <x:c r="AH272" s="59" t="n">
        <x:f>MIN(1,'_曲线基线'!$L$3+AH$9*($H$10*H272+$I$10*I272+$J$10*J272+$K$10*K272+$L$10*L272))</x:f>
        <x:v>0.5221751994460812</x:v>
      </x:c>
      <x:c r="AI272" s="59" t="n">
        <x:f>'_曲线基线'!$L$4+AI$9*($H$10*H272+$I$10*I272+$J$10*J272+$K$10*K272+$L$10*L272)</x:f>
        <x:v>3.3153451984569404</x:v>
      </x:c>
      <x:c r="AJ272" s="59" t="n">
        <x:f>1+AJ$9*($H$10*H272+$I$10*I272+$J$10*J272+$K$10*K272+$L$10*L272)</x:f>
        <x:v>2.0792575987339</x:v>
      </x:c>
      <x:c r="AK272" s="59" t="n">
        <x:f>(1+AH272*(AI272-1))*AJ272</x:f>
        <x:v>4.593112972687782</x:v>
      </x:c>
      <x:c r="AL272" s="59" t="n">
        <x:f>U272*AD272*AK272*F272</x:f>
        <x:v>2289135.5725199836</x:v>
      </x:c>
      <x:c r="AM272" s="59" t="n">
        <x:f>IF($B272&lt;AM$8,0,AM$3+(AM$4-AM$3)*(POWER(AM$5,$B272-AM$8)-1)/(POWER(AM$5,$C$5-AM$8)-1))</x:f>
        <x:v>51.50020543278093</x:v>
      </x:c>
      <x:c r="AN272" s="59" t="n">
        <x:f>(((E272*'模块规划'!$D$10+G272*'模块规划'!$D$11+H272*'模块规划'!$D$13)*(1+'模块规划'!$G$14*H272)+(I272*'模块规划'!$D$15+J272*'模块规划'!$D$17+K272*'模块规划'!$D$16+L272*'模块规划'!$D$18))*(1+'模块规划'!$J$17*J272))*F272/(1-Q272)</x:f>
        <x:v>2792113.3770239423</x:v>
      </x:c>
      <x:c r="AO272" s="59" t="n">
        <x:f>AL272*AM272</x:f>
        <x:v>117890952.24826574</x:v>
      </x:c>
      <x:c r="AP272" s="61" t="n">
        <x:f>IF(AO272="","",INDEX('_曲线基线'!$A$3:$A$502,MIN(ROWS('_曲线基线'!$A$3:$A$502),COUNTIF('_曲线基线'!$E$3:$E$502,"&lt;"&amp;AO272)+1)))</x:f>
        <x:v>306</x:v>
      </x:c>
      <x:c r="AQ272" s="61" t="n">
        <x:f>IF(B272&lt;=2,1,IF(B272&lt;=6,2,IF(B272&lt;=9,3,IF(B272&lt;=19,4,5))))</x:f>
        <x:v>5</x:v>
      </x:c>
      <x:c r="AR272" s="59" t="n">
        <x:f>AN272*(1-Q272)/F272*$AS$3+U272*$AS$4+P272*$AS$5</x:f>
        <x:v>17416.685720800815</x:v>
      </x:c>
      <x:c r="AS272" s="59" t="n">
        <x:f>1+AH272*$AS$6+AI272*$AS$7+(AJ272-1)*$AS$8+($H$10*H272+$I$10*I272+$J$10*J272+$K$10*K272+$L$10*L272)*$AU$3*$AS$9+($H$10*H272+$I$10*I272+$J$10*J272+$K$10*K272+$L$10*L272)*$AU$4*$AS$10</x:f>
        <x:v>17.382900736691745</x:v>
      </x:c>
      <x:c r="AT272" s="60" t="n">
        <x:f>ROUND(AR272*AS272,0)</x:f>
        <x:v>302753</x:v>
      </x:c>
      <x:c r="AU272" s="60" t="n">
        <x:f>ROUND(AT272*F272,0)</x:f>
        <x:v>1513765</x:v>
      </x:c>
      <x:c r="AV272" s="60" t="n">
        <x:f>MIN(MATCH(B272,'主线调参'!$M$11:$M$62,1),ROWS('主线调参'!$M$11:$M$62)-1)</x:f>
        <x:v>49</x:v>
      </x:c>
      <x:c r="AW272" s="62" t="n">
        <x:f>(B272-INDEX('主线调参'!$M$11:$M$62,AV272))/(INDEX('主线调参'!$M$11:$M$62,AV272+1)-INDEX('主线调参'!$M$11:$M$62,AV272))</x:f>
        <x:v>0.7857142857142857</x:v>
      </x:c>
      <x:c r="AX272" s="60" t="n">
        <x:f>IF(AU272=0,0,ROUND(AU272,2-INT(LOG10(ABS(AU272)))))</x:f>
        <x:v>1510000</x:v>
      </x:c>
      <x:c r="AY272" s="62" t="n">
        <x:f>AU272/AU271-1</x:f>
        <x:v>0.0033970993742709066</x:v>
      </x:c>
    </x:row>
    <x:row r="273" ht="25" customHeight="1">
      <x:c r="A273" s="40" t="str">
        <x:f>'调前玩家曲线'!A273</x:f>
      </x:c>
      <x:c r="B273" s="40" t="n">
        <x:f>'调前玩家曲线'!B273</x:f>
        <x:v>262</x:v>
      </x:c>
      <x:c r="C273" s="40" t="n">
        <x:f>'调前玩家曲线'!C273</x:f>
        <x:v>18</x:v>
      </x:c>
      <x:c r="D273" s="40" t="n">
        <x:f>'调前玩家曲线'!D273</x:f>
        <x:v>13</x:v>
      </x:c>
      <x:c r="E273" s="40" t="n">
        <x:f>'调前玩家曲线'!E273</x:f>
        <x:v>1</x:v>
      </x:c>
      <x:c r="F273" s="40" t="n">
        <x:f>'调前玩家曲线'!F273</x:f>
        <x:v>5</x:v>
      </x:c>
      <x:c r="G273" s="63" t="n">
        <x:f>IF(B273&lt;$G$8,0,(INDEX('主线调参'!$C$11:$C$62,$AV273)+(INDEX('主线调参'!$C$11:$C$62,$AV273+1)-INDEX('主线调参'!$C$11:$C$62,$AV273))*$AW273)*'参数说明'!$C$27)</x:f>
        <x:v>0.8810486470145683</x:v>
      </x:c>
      <x:c r="H273" s="63" t="n">
        <x:f>IF(B273&lt;$H$8,0,(INDEX('主线调参'!$D$11:$D$62,$AV273)+(INDEX('主线调参'!$D$11:$D$62,$AV273+1)-INDEX('主线调参'!$D$11:$D$62,$AV273))*$AW273)*'参数说明'!$D$27)</x:f>
        <x:v>0.6850830275435686</x:v>
      </x:c>
      <x:c r="I273" s="63" t="n">
        <x:f>IF(B273&lt;$I$8,0,(INDEX('主线调参'!$E$11:$E$62,$AV273)+(INDEX('主线调参'!$E$11:$E$62,$AV273+1)-INDEX('主线调参'!$E$11:$E$62,$AV273))*$AW273)*'参数说明'!$E$27)</x:f>
        <x:v>0.6310918944793799</x:v>
      </x:c>
      <x:c r="J273" s="63" t="n">
        <x:f>IF(B273&lt;$J$8,0,(INDEX('主线调参'!$F$11:$F$62,$AV273)+(INDEX('主线调参'!$F$11:$F$62,$AV273+1)-INDEX('主线调参'!$F$11:$F$62,$AV273))*$AW273)*'参数说明'!$F$27)</x:f>
        <x:v>0.5840082793342851</x:v>
      </x:c>
      <x:c r="K273" s="63" t="n">
        <x:f>IF(B273&lt;$K$8,0,(INDEX('主线调参'!$G$11:$G$62,$AV273)+(INDEX('主线调参'!$G$11:$G$62,$AV273+1)-INDEX('主线调参'!$G$11:$G$62,$AV273))*$AW273)*'参数说明'!$G$27)</x:f>
        <x:v>0.6272726251064067</x:v>
      </x:c>
      <x:c r="L273" s="63" t="n">
        <x:f>IF(B273&lt;$L$8,0,(INDEX('主线调参'!$H$11:$H$62,$AV273)+(INDEX('主线调参'!$H$11:$H$62,$AV273+1)-INDEX('主线调参'!$H$11:$H$62,$AV273))*$AW273)*'参数说明'!$H$27)</x:f>
        <x:v>0.6845382605167084</x:v>
      </x:c>
      <x:c r="M273" s="59" t="n">
        <x:f>E273*'模块规划'!$F$10+G273*'模块规划'!$F$11+H273*'模块规划'!$F$13</x:f>
        <x:v>5229.033505669928</x:v>
      </x:c>
      <x:c r="N273" s="59" t="n">
        <x:f>I273*'模块规划'!$F$15+J273*'模块规划'!$F$17+K273*'模块规划'!$F$16+L273*'模块规划'!$F$18</x:f>
        <x:v>18075.145002399873</x:v>
      </x:c>
      <x:c r="O273" s="59" t="n">
        <x:f>1+O$9*SUMPRODUCT($H$10:$L$10,H273:L273)/SUM($H$10:$L$10)</x:f>
        <x:v>3.355609614347944</x:v>
      </x:c>
      <x:c r="P273" s="59" t="n">
        <x:f>M273*O273+N273</x:f>
        <x:v>35621.74010777342</x:v>
      </x:c>
      <x:c r="Q273" s="59" t="n">
        <x:f>P273/(P273+'_曲线基线'!$L$2)</x:f>
        <x:v>0.597462268685598</x:v>
      </x:c>
      <x:c r="R273" s="59" t="n">
        <x:f>E273*'模块规划'!$E$10+G273*'模块规划'!$E$11+H273*'模块规划'!$E$13</x:f>
        <x:v>7843.550258504892</x:v>
      </x:c>
      <x:c r="S273" s="59" t="n">
        <x:f>I273*'模块规划'!$E$15+J273*'模块规划'!$E$17+K273*'模块规划'!$E$16+L273*'模块规划'!$E$18</x:f>
        <x:v>27112.717503599808</x:v>
      </x:c>
      <x:c r="T273" s="59" t="n">
        <x:f>1+T$9*SUMPRODUCT($H$10:$L$10,H273:L273)/SUM($H$10:$L$10)</x:f>
        <x:v>3.355609614347944</x:v>
      </x:c>
      <x:c r="U273" s="59" t="n">
        <x:f>R273*T273+S273</x:f>
        <x:v>53432.61016166012</x:v>
      </x:c>
      <x:c r="V273" s="59" t="n">
        <x:f>V$8+(V$9-V$8)*H273</x:f>
        <x:v>0.9055249082630705</x:v>
      </x:c>
      <x:c r="W273" s="59" t="n">
        <x:f>IF(B273&lt;$H$8,0,W$8+(W$9-W$8)*H273)</x:f>
        <x:v>0.27403321101742745</x:v>
      </x:c>
      <x:c r="X273" s="59" t="n">
        <x:f>X$8+(X$9-X$8)*H273</x:f>
        <x:v>0.4633978325744814</x:v>
      </x:c>
      <x:c r="Y273" s="59" t="n">
        <x:f>Y$8+(Y$9-Y$8)*G273</x:f>
        <x:v>1</x:v>
      </x:c>
      <x:c r="Z273" s="59" t="n">
        <x:f>Z$8+(Z$9-Z$8)*H273</x:f>
        <x:v>1</x:v>
      </x:c>
      <x:c r="AA273" s="59" t="n">
        <x:f>AA$8+(AA$9-AA$8)*I273</x:f>
        <x:v>1</x:v>
      </x:c>
      <x:c r="AB273" s="59" t="n">
        <x:f>AB$8+(AB$9-AB$8)*J273</x:f>
        <x:v>1</x:v>
      </x:c>
      <x:c r="AC273" s="59" t="n">
        <x:f>AC$8+(AC$9-AC$8)*MAX(K273,L273)</x:f>
        <x:v>1</x:v>
      </x:c>
      <x:c r="AD273" s="59" t="n">
        <x:f>(V273*AE273+W273*AF273+X273*AG273)*PRODUCT(Y273:AC273)</x:f>
        <x:v>1.8706684590199192</x:v>
      </x:c>
      <x:c r="AE273" s="59" t="n">
        <x:f>1+AE$9*($H$10*H273+$I$10*I273+$J$10*J273+$K$10*K273+$L$10*L273)</x:f>
        <x:v>1</x:v>
      </x:c>
      <x:c r="AF273" s="59" t="n">
        <x:f>1+AF$9*($H$10*H273+$I$10*I273+$J$10*J273+$K$10*K273+$L$10*L273)</x:f>
        <x:v>1.2079040064485231</x:v>
      </x:c>
      <x:c r="AG273" s="59" t="n">
        <x:f>1+AG$9*($H$10*H273+$I$10*I273+$J$10*J273+$K$10*K273+$L$10*L273)</x:f>
        <x:v>1.3684521003171077</x:v>
      </x:c>
      <x:c r="AH273" s="59" t="n">
        <x:f>MIN(1,'_曲线基线'!$L$3+AH$9*($H$10*H273+$I$10*I273+$J$10*J273+$K$10*K273+$L$10*L273))</x:f>
        <x:v>0.5229816146703896</x:v>
      </x:c>
      <x:c r="AI273" s="59" t="n">
        <x:f>'_曲线基线'!$L$4+AI$9*($H$10*H273+$I$10*I273+$J$10*J273+$K$10*K273+$L$10*L273)</x:f>
        <x:v>3.317591640867514</x:v>
      </x:c>
      <x:c r="AJ273" s="59" t="n">
        <x:f>1+AJ$9*($H$10*H273+$I$10*I273+$J$10*J273+$K$10*K273+$L$10*L273)</x:f>
        <x:v>2.0811008335323193</x:v>
      </x:c>
      <x:c r="AK273" s="59" t="n">
        <x:f>(1+AH273*(AI273-1))*AJ273</x:f>
        <x:v>4.603515369875999</x:v>
      </x:c>
      <x:c r="AL273" s="59" t="n">
        <x:f>U273*AD273*AK273*F273</x:f>
        <x:v>2300714.9544686484</x:v>
      </x:c>
      <x:c r="AM273" s="59" t="n">
        <x:f>IF($B273&lt;AM$8,0,AM$3+(AM$4-AM$3)*(POWER(AM$5,$B273-AM$8)-1)/(POWER(AM$5,$C$5-AM$8)-1))</x:f>
        <x:v>51.67863212703061</x:v>
      </x:c>
      <x:c r="AN273" s="59" t="n">
        <x:f>(((E273*'模块规划'!$D$10+G273*'模块规划'!$D$11+H273*'模块规划'!$D$13)*(1+'模块规划'!$G$14*H273)+(I273*'模块规划'!$D$15+J273*'模块规划'!$D$17+K273*'模块规划'!$D$16+L273*'模块规划'!$D$18))*(1+'模块规划'!$J$17*J273))*F273/(1-Q273)</x:f>
        <x:v>2802193.369285995</x:v>
      </x:c>
      <x:c r="AO273" s="59" t="n">
        <x:f>AL273*AM273</x:f>
        <x:v>118897801.76114327</x:v>
      </x:c>
      <x:c r="AP273" s="61" t="n">
        <x:f>IF(AO273="","",INDEX('_曲线基线'!$A$3:$A$502,MIN(ROWS('_曲线基线'!$A$3:$A$502),COUNTIF('_曲线基线'!$E$3:$E$502,"&lt;"&amp;AO273)+1)))</x:f>
        <x:v>307</x:v>
      </x:c>
      <x:c r="AQ273" s="61" t="n">
        <x:f>IF(B273&lt;=2,1,IF(B273&lt;=6,2,IF(B273&lt;=9,3,IF(B273&lt;=19,4,5))))</x:f>
        <x:v>5</x:v>
      </x:c>
      <x:c r="AR273" s="59" t="n">
        <x:f>AN273*(1-Q273)/F273*$AS$3+U273*$AS$4+P273*$AS$5</x:f>
        <x:v>17454.453401791892</x:v>
      </x:c>
      <x:c r="AS273" s="59" t="n">
        <x:f>1+AH273*$AS$6+AI273*$AS$7+(AJ273-1)*$AS$8+($H$10*H273+$I$10*I273+$J$10*J273+$K$10*K273+$L$10*L273)*$AU$3*$AS$9+($H$10*H273+$I$10*I273+$J$10*J273+$K$10*K273+$L$10*L273)*$AU$4*$AS$10</x:f>
        <x:v>17.404080616226572</x:v>
      </x:c>
      <x:c r="AT273" s="60" t="n">
        <x:f>ROUND(AR273*AS273,0)</x:f>
        <x:v>303779</x:v>
      </x:c>
      <x:c r="AU273" s="60" t="n">
        <x:f>ROUND(AT273*F273,0)</x:f>
        <x:v>1518895</x:v>
      </x:c>
      <x:c r="AV273" s="60" t="n">
        <x:f>MIN(MATCH(B273,'主线调参'!$M$11:$M$62,1),ROWS('主线调参'!$M$11:$M$62)-1)</x:f>
        <x:v>49</x:v>
      </x:c>
      <x:c r="AW273" s="62" t="n">
        <x:f>(B273-INDEX('主线调参'!$M$11:$M$62,AV273))/(INDEX('主线调参'!$M$11:$M$62,AV273+1)-INDEX('主线调参'!$M$11:$M$62,AV273))</x:f>
        <x:v>0.8571428571428571</x:v>
      </x:c>
      <x:c r="AX273" s="60" t="n">
        <x:f>IF(AU273=0,0,ROUND(AU273,2-INT(LOG10(ABS(AU273)))))</x:f>
        <x:v>1520000</x:v>
      </x:c>
      <x:c r="AY273" s="62" t="n">
        <x:f>AU273/AU272-1</x:f>
        <x:v>0.0033889011834729033</x:v>
      </x:c>
    </x:row>
    <x:row r="274" ht="25" customHeight="1">
      <x:c r="A274" s="40" t="str">
        <x:f>'调前玩家曲线'!A274</x:f>
      </x:c>
      <x:c r="B274" s="40" t="n">
        <x:f>'调前玩家曲线'!B274</x:f>
        <x:v>263</x:v>
      </x:c>
      <x:c r="C274" s="40" t="n">
        <x:f>'调前玩家曲线'!C274</x:f>
        <x:v>18</x:v>
      </x:c>
      <x:c r="D274" s="40" t="n">
        <x:f>'调前玩家曲线'!D274</x:f>
        <x:v>14</x:v>
      </x:c>
      <x:c r="E274" s="40" t="n">
        <x:f>'调前玩家曲线'!E274</x:f>
        <x:v>1</x:v>
      </x:c>
      <x:c r="F274" s="40" t="n">
        <x:f>'调前玩家曲线'!F274</x:f>
        <x:v>5</x:v>
      </x:c>
      <x:c r="G274" s="63" t="n">
        <x:f>IF(B274&lt;$G$8,0,(INDEX('主线调参'!$C$11:$C$62,$AV274)+(INDEX('主线调参'!$C$11:$C$62,$AV274+1)-INDEX('主线调参'!$C$11:$C$62,$AV274))*$AW274)*'参数说明'!$C$27)</x:f>
        <x:v>0.8822032080856973</x:v>
      </x:c>
      <x:c r="H274" s="63" t="n">
        <x:f>IF(B274&lt;$H$8,0,(INDEX('主线调参'!$D$11:$D$62,$AV274)+(INDEX('主线调参'!$D$11:$D$62,$AV274+1)-INDEX('主线调参'!$D$11:$D$62,$AV274))*$AW274)*'参数说明'!$D$27)</x:f>
        <x:v>0.6859802707051688</x:v>
      </x:c>
      <x:c r="I274" s="63" t="n">
        <x:f>IF(B274&lt;$I$8,0,(INDEX('主线调参'!$E$11:$E$62,$AV274)+(INDEX('主线调参'!$E$11:$E$62,$AV274+1)-INDEX('主线调参'!$E$11:$E$62,$AV274))*$AW274)*'参数说明'!$E$27)</x:f>
        <x:v>0.632254978774007</x:v>
      </x:c>
      <x:c r="J274" s="63" t="n">
        <x:f>IF(B274&lt;$J$8,0,(INDEX('主线调参'!$F$11:$F$62,$AV274)+(INDEX('主线调参'!$F$11:$F$62,$AV274+1)-INDEX('主线调参'!$F$11:$F$62,$AV274))*$AW274)*'参数说明'!$F$27)</x:f>
        <x:v>0.5849745121746192</x:v>
      </x:c>
      <x:c r="K274" s="63" t="n">
        <x:f>IF(B274&lt;$K$8,0,(INDEX('主线调参'!$G$11:$G$62,$AV274)+(INDEX('主线调参'!$G$11:$G$62,$AV274+1)-INDEX('主线调参'!$G$11:$G$62,$AV274))*$AW274)*'参数说明'!$G$27)</x:f>
        <x:v>0.6287162497851377</x:v>
      </x:c>
      <x:c r="L274" s="63" t="n">
        <x:f>IF(B274&lt;$L$8,0,(INDEX('主线调参'!$H$11:$H$62,$AV274)+(INDEX('主线调参'!$H$11:$H$62,$AV274+1)-INDEX('主线调参'!$H$11:$H$62,$AV274))*$AW274)*'参数说明'!$H$27)</x:f>
        <x:v>0.6854714489648771</x:v>
      </x:c>
      <x:c r="M274" s="59" t="n">
        <x:f>E274*'模块规划'!$F$10+G274*'模块规划'!$F$11+H274*'模块规划'!$F$13</x:f>
        <x:v>5234.575398811347</x:v>
      </x:c>
      <x:c r="N274" s="59" t="n">
        <x:f>I274*'模块规划'!$F$15+J274*'模块规划'!$F$17+K274*'模块规划'!$F$16+L274*'模块规划'!$F$18</x:f>
        <x:v>18107.43969547346</x:v>
      </x:c>
      <x:c r="O274" s="59" t="n">
        <x:f>1+O$9*SUMPRODUCT($H$10:$L$10,H274:L274)/SUM($H$10:$L$10)</x:f>
        <x:v>3.359625836959179</x:v>
      </x:c>
      <x:c r="P274" s="59" t="n">
        <x:f>M274*O274+N274</x:f>
        <x:v>35693.65445083096</x:v>
      </x:c>
      <x:c r="Q274" s="59" t="n">
        <x:f>P274/(P274+'_曲线基线'!$L$2)</x:f>
        <x:v>0.5979472153146772</x:v>
      </x:c>
      <x:c r="R274" s="59" t="n">
        <x:f>E274*'模块规划'!$E$10+G274*'模块规划'!$E$11+H274*'模块规划'!$E$13</x:f>
        <x:v>7851.863098217021</x:v>
      </x:c>
      <x:c r="S274" s="59" t="n">
        <x:f>I274*'模块规划'!$E$15+J274*'模块规划'!$E$17+K274*'模块规划'!$E$16+L274*'模块规划'!$E$18</x:f>
        <x:v>27161.15954321019</x:v>
      </x:c>
      <x:c r="T274" s="59" t="n">
        <x:f>1+T$9*SUMPRODUCT($H$10:$L$10,H274:L274)/SUM($H$10:$L$10)</x:f>
        <x:v>3.359625836959179</x:v>
      </x:c>
      <x:c r="U274" s="59" t="n">
        <x:f>R274*T274+S274</x:f>
        <x:v>53540.48167624644</x:v>
      </x:c>
      <x:c r="V274" s="59" t="n">
        <x:f>V$8+(V$9-V$8)*H274</x:f>
        <x:v>0.9057940812115506</x:v>
      </x:c>
      <x:c r="W274" s="59" t="n">
        <x:f>IF(B274&lt;$H$8,0,W$8+(W$9-W$8)*H274)</x:f>
        <x:v>0.2743921082820675</x:v>
      </x:c>
      <x:c r="X274" s="59" t="n">
        <x:f>X$8+(X$9-X$8)*H274</x:f>
        <x:v>0.4636445744439215</x:v>
      </x:c>
      <x:c r="Y274" s="59" t="n">
        <x:f>Y$8+(Y$9-Y$8)*G274</x:f>
        <x:v>1</x:v>
      </x:c>
      <x:c r="Z274" s="59" t="n">
        <x:f>Z$8+(Z$9-Z$8)*H274</x:f>
        <x:v>1</x:v>
      </x:c>
      <x:c r="AA274" s="59" t="n">
        <x:f>AA$8+(AA$9-AA$8)*I274</x:f>
        <x:v>1</x:v>
      </x:c>
      <x:c r="AB274" s="59" t="n">
        <x:f>AB$8+(AB$9-AB$8)*J274</x:f>
        <x:v>1</x:v>
      </x:c>
      <x:c r="AC274" s="59" t="n">
        <x:f>AC$8+(AC$9-AC$8)*MAX(K274,L274)</x:f>
        <x:v>1</x:v>
      </x:c>
      <x:c r="AD274" s="59" t="n">
        <x:f>(V274*AE274+W274*AF274+X274*AG274)*PRODUCT(Y274:AC274)</x:f>
        <x:v>1.8720973230141755</x:v>
      </x:c>
      <x:c r="AE274" s="59" t="n">
        <x:f>1+AE$9*($H$10*H274+$I$10*I274+$J$10*J274+$K$10*K274+$L$10*L274)</x:f>
        <x:v>1</x:v>
      </x:c>
      <x:c r="AF274" s="59" t="n">
        <x:f>1+AF$9*($H$10*H274+$I$10*I274+$J$10*J274+$K$10*K274+$L$10*L274)</x:f>
        <x:v>1.2082584746789884</x:v>
      </x:c>
      <x:c r="AG274" s="59" t="n">
        <x:f>1+AG$9*($H$10*H274+$I$10*I274+$J$10*J274+$K$10*K274+$L$10*L274)</x:f>
        <x:v>1.3690802967922102</x:v>
      </x:c>
      <x:c r="AH274" s="59" t="n">
        <x:f>MIN(1,'_曲线基线'!$L$3+AH$9*($H$10*H274+$I$10*I274+$J$10*J274+$K$10*K274+$L$10*L274))</x:f>
        <x:v>0.5237880298946982</x:v>
      </x:c>
      <x:c r="AI274" s="59" t="n">
        <x:f>'_曲线基线'!$L$4+AI$9*($H$10*H274+$I$10*I274+$J$10*J274+$K$10*K274+$L$10*L274)</x:f>
        <x:v>3.319838083278088</x:v>
      </x:c>
      <x:c r="AJ274" s="59" t="n">
        <x:f>1+AJ$9*($H$10*H274+$I$10*I274+$J$10*J274+$K$10*K274+$L$10*L274)</x:f>
        <x:v>2.0829440683307388</x:v>
      </x:c>
      <x:c r="AK274" s="59" t="n">
        <x:f>(1+AH274*(AI274-1))*AJ274</x:f>
        <x:v>4.613936528001155</x:v>
      </x:c>
      <x:c r="AL274" s="59" t="n">
        <x:f>U274*AD274*AK274*F274</x:f>
        <x:v>2312343.3251642147</x:v>
      </x:c>
      <x:c r="AM274" s="59" t="n">
        <x:f>IF($B274&lt;AM$8,0,AM$3+(AM$4-AM$3)*(POWER(AM$5,$B274-AM$8)-1)/(POWER(AM$5,$C$5-AM$8)-1))</x:f>
        <x:v>51.858843088222784</x:v>
      </x:c>
      <x:c r="AN274" s="59" t="n">
        <x:f>(((E274*'模块规划'!$D$10+G274*'模块规划'!$D$11+H274*'模块规划'!$D$13)*(1+'模块规划'!$G$14*H274)+(I274*'模块规划'!$D$15+J274*'模块规划'!$D$17+K274*'模块规划'!$D$16+L274*'模块规划'!$D$18))*(1+'模块规划'!$J$17*J274))*F274/(1-Q274)</x:f>
        <x:v>2812299.14016879</x:v>
      </x:c>
      <x:c r="AO274" s="59" t="n">
        <x:f>AL274*AM274</x:f>
        <x:v>119915449.66579032</x:v>
      </x:c>
      <x:c r="AP274" s="61" t="n">
        <x:f>IF(AO274="","",INDEX('_曲线基线'!$A$3:$A$502,MIN(ROWS('_曲线基线'!$A$3:$A$502),COUNTIF('_曲线基线'!$E$3:$E$502,"&lt;"&amp;AO274)+1)))</x:f>
        <x:v>308</x:v>
      </x:c>
      <x:c r="AQ274" s="61" t="n">
        <x:f>IF(B274&lt;=2,1,IF(B274&lt;=6,2,IF(B274&lt;=9,3,IF(B274&lt;=19,4,5))))</x:f>
        <x:v>5</x:v>
      </x:c>
      <x:c r="AR274" s="59" t="n">
        <x:f>AN274*(1-Q274)/F274*$AS$3+U274*$AS$4+P274*$AS$5</x:f>
        <x:v>17492.252539287292</x:v>
      </x:c>
      <x:c r="AS274" s="59" t="n">
        <x:f>1+AH274*$AS$6+AI274*$AS$7+(AJ274-1)*$AS$8+($H$10*H274+$I$10*I274+$J$10*J274+$K$10*K274+$L$10*L274)*$AU$3*$AS$9+($H$10*H274+$I$10*I274+$J$10*J274+$K$10*K274+$L$10*L274)*$AU$4*$AS$10</x:f>
        <x:v>17.4252604957614</x:v>
      </x:c>
      <x:c r="AT274" s="60" t="n">
        <x:f>ROUND(AR274*AS274,0)</x:f>
        <x:v>304807</x:v>
      </x:c>
      <x:c r="AU274" s="60" t="n">
        <x:f>ROUND(AT274*F274,0)</x:f>
        <x:v>1524035</x:v>
      </x:c>
      <x:c r="AV274" s="60" t="n">
        <x:f>MIN(MATCH(B274,'主线调参'!$M$11:$M$62,1),ROWS('主线调参'!$M$11:$M$62)-1)</x:f>
        <x:v>49</x:v>
      </x:c>
      <x:c r="AW274" s="62" t="n">
        <x:f>(B274-INDEX('主线调参'!$M$11:$M$62,AV274))/(INDEX('主线调参'!$M$11:$M$62,AV274+1)-INDEX('主线调参'!$M$11:$M$62,AV274))</x:f>
        <x:v>0.9285714285714286</x:v>
      </x:c>
      <x:c r="AX274" s="60" t="n">
        <x:f>IF(AU274=0,0,ROUND(AU274,2-INT(LOG10(ABS(AU274)))))</x:f>
        <x:v>1520000</x:v>
      </x:c>
      <x:c r="AY274" s="62" t="n">
        <x:f>AU274/AU273-1</x:f>
        <x:v>0.0033840390547075216</x:v>
      </x:c>
    </x:row>
    <x:row r="275" ht="25" customHeight="1">
      <x:c r="A275" s="40" t="str">
        <x:f>'调前玩家曲线'!A275</x:f>
      </x:c>
      <x:c r="B275" s="40" t="n">
        <x:f>'调前玩家曲线'!B275</x:f>
        <x:v>264</x:v>
      </x:c>
      <x:c r="C275" s="40" t="n">
        <x:f>'调前玩家曲线'!C275</x:f>
        <x:v>18</x:v>
      </x:c>
      <x:c r="D275" s="40" t="n">
        <x:f>'调前玩家曲线'!D275</x:f>
        <x:v>15</x:v>
      </x:c>
      <x:c r="E275" s="40" t="n">
        <x:f>'调前玩家曲线'!E275</x:f>
        <x:v>1</x:v>
      </x:c>
      <x:c r="F275" s="40" t="n">
        <x:f>'调前玩家曲线'!F275</x:f>
        <x:v>5</x:v>
      </x:c>
      <x:c r="G275" s="63" t="n">
        <x:f>IF(B275&lt;$G$8,0,(INDEX('主线调参'!$C$11:$C$62,$AV275)+(INDEX('主线调参'!$C$11:$C$62,$AV275+1)-INDEX('主线调参'!$C$11:$C$62,$AV275))*$AW275)*'参数说明'!$C$27)</x:f>
        <x:v>0.8833577691568263</x:v>
      </x:c>
      <x:c r="H275" s="63" t="n">
        <x:f>IF(B275&lt;$H$8,0,(INDEX('主线调参'!$D$11:$D$62,$AV275)+(INDEX('主线调参'!$D$11:$D$62,$AV275+1)-INDEX('主线调参'!$D$11:$D$62,$AV275))*$AW275)*'参数说明'!$D$27)</x:f>
        <x:v>0.686877513866769</x:v>
      </x:c>
      <x:c r="I275" s="63" t="n">
        <x:f>IF(B275&lt;$I$8,0,(INDEX('主线调参'!$E$11:$E$62,$AV275)+(INDEX('主线调参'!$E$11:$E$62,$AV275+1)-INDEX('主线调参'!$E$11:$E$62,$AV275))*$AW275)*'参数说明'!$E$27)</x:f>
        <x:v>0.6334180630686342</x:v>
      </x:c>
      <x:c r="J275" s="63" t="n">
        <x:f>IF(B275&lt;$J$8,0,(INDEX('主线调参'!$F$11:$F$62,$AV275)+(INDEX('主线调参'!$F$11:$F$62,$AV275+1)-INDEX('主线调参'!$F$11:$F$62,$AV275))*$AW275)*'参数说明'!$F$27)</x:f>
        <x:v>0.5859407450149531</x:v>
      </x:c>
      <x:c r="K275" s="63" t="n">
        <x:f>IF(B275&lt;$K$8,0,(INDEX('主线调参'!$G$11:$G$62,$AV275)+(INDEX('主线调参'!$G$11:$G$62,$AV275+1)-INDEX('主线调参'!$G$11:$G$62,$AV275))*$AW275)*'参数说明'!$G$27)</x:f>
        <x:v>0.6301598744638687</x:v>
      </x:c>
      <x:c r="L275" s="63" t="n">
        <x:f>IF(B275&lt;$L$8,0,(INDEX('主线调参'!$H$11:$H$62,$AV275)+(INDEX('主线调参'!$H$11:$H$62,$AV275+1)-INDEX('主线调参'!$H$11:$H$62,$AV275))*$AW275)*'参数说明'!$H$27)</x:f>
        <x:v>0.6864046374130458</x:v>
      </x:c>
      <x:c r="M275" s="59" t="n">
        <x:f>E275*'模块规划'!$F$10+G275*'模块规划'!$F$11+H275*'模块规划'!$F$13</x:f>
        <x:v>5240.117291952766</x:v>
      </x:c>
      <x:c r="N275" s="59" t="n">
        <x:f>I275*'模块规划'!$F$15+J275*'模块规划'!$F$17+K275*'模块规划'!$F$16+L275*'模块规划'!$F$18</x:f>
        <x:v>18139.734388547044</x:v>
      </x:c>
      <x:c r="O275" s="59" t="n">
        <x:f>1+O$9*SUMPRODUCT($H$10:$L$10,H275:L275)/SUM($H$10:$L$10)</x:f>
        <x:v>3.3636420595704135</x:v>
      </x:c>
      <x:c r="P275" s="59" t="n">
        <x:f>M275*O275+N275</x:f>
        <x:v>35765.61330884158</x:v>
      </x:c>
      <x:c r="Q275" s="59" t="n">
        <x:f>P275/(P275+'_曲线基线'!$L$2)</x:f>
        <x:v>0.598431293995447</x:v>
      </x:c>
      <x:c r="R275" s="59" t="n">
        <x:f>E275*'模块规划'!$E$10+G275*'模块规划'!$E$11+H275*'模块规划'!$E$13</x:f>
        <x:v>7860.175937929149</x:v>
      </x:c>
      <x:c r="S275" s="59" t="n">
        <x:f>I275*'模块规划'!$E$15+J275*'模块规划'!$E$17+K275*'模块规划'!$E$16+L275*'模块规划'!$E$18</x:f>
        <x:v>27209.60158282057</x:v>
      </x:c>
      <x:c r="T275" s="59" t="n">
        <x:f>1+T$9*SUMPRODUCT($H$10:$L$10,H275:L275)/SUM($H$10:$L$10)</x:f>
        <x:v>3.3636420595704135</x:v>
      </x:c>
      <x:c r="U275" s="59" t="n">
        <x:f>R275*T275+S275</x:f>
        <x:v>53648.41996326238</x:v>
      </x:c>
      <x:c r="V275" s="59" t="n">
        <x:f>V$8+(V$9-V$8)*H275</x:f>
        <x:v>0.9060632541600306</x:v>
      </x:c>
      <x:c r="W275" s="59" t="n">
        <x:f>IF(B275&lt;$H$8,0,W$8+(W$9-W$8)*H275)</x:f>
        <x:v>0.2747510055467076</x:v>
      </x:c>
      <x:c r="X275" s="59" t="n">
        <x:f>X$8+(X$9-X$8)*H275</x:f>
        <x:v>0.4638913163133615</x:v>
      </x:c>
      <x:c r="Y275" s="59" t="n">
        <x:f>Y$8+(Y$9-Y$8)*G275</x:f>
        <x:v>1</x:v>
      </x:c>
      <x:c r="Z275" s="59" t="n">
        <x:f>Z$8+(Z$9-Z$8)*H275</x:f>
        <x:v>1</x:v>
      </x:c>
      <x:c r="AA275" s="59" t="n">
        <x:f>AA$8+(AA$9-AA$8)*I275</x:f>
        <x:v>1</x:v>
      </x:c>
      <x:c r="AB275" s="59" t="n">
        <x:f>AB$8+(AB$9-AB$8)*J275</x:f>
        <x:v>1</x:v>
      </x:c>
      <x:c r="AC275" s="59" t="n">
        <x:f>AC$8+(AC$9-AC$8)*MAX(K275,L275)</x:f>
        <x:v>1</x:v>
      </x:c>
      <x:c r="AD275" s="59" t="n">
        <x:f>(V275*AE275+W275*AF275+X275*AG275)*PRODUCT(Y275:AC275)</x:f>
        <x:v>1.8735267514485332</x:v>
      </x:c>
      <x:c r="AE275" s="59" t="n">
        <x:f>1+AE$9*($H$10*H275+$I$10*I275+$J$10*J275+$K$10*K275+$L$10*L275)</x:f>
        <x:v>1</x:v>
      </x:c>
      <x:c r="AF275" s="59" t="n">
        <x:f>1+AF$9*($H$10*H275+$I$10*I275+$J$10*J275+$K$10*K275+$L$10*L275)</x:f>
        <x:v>1.2086129429094536</x:v>
      </x:c>
      <x:c r="AG275" s="59" t="n">
        <x:f>1+AG$9*($H$10*H275+$I$10*I275+$J$10*J275+$K$10*K275+$L$10*L275)</x:f>
        <x:v>1.3697084932673125</x:v>
      </x:c>
      <x:c r="AH275" s="59" t="n">
        <x:f>MIN(1,'_曲线基线'!$L$3+AH$9*($H$10*H275+$I$10*I275+$J$10*J275+$K$10*K275+$L$10*L275))</x:f>
        <x:v>0.5245944451190067</x:v>
      </x:c>
      <x:c r="AI275" s="59" t="n">
        <x:f>'_曲线基线'!$L$4+AI$9*($H$10*H275+$I$10*I275+$J$10*J275+$K$10*K275+$L$10*L275)</x:f>
        <x:v>3.3220845256886613</x:v>
      </x:c>
      <x:c r="AJ275" s="59" t="n">
        <x:f>1+AJ$9*($H$10*H275+$I$10*I275+$J$10*J275+$K$10*K275+$L$10*L275)</x:f>
        <x:v>2.084787303129158</x:v>
      </x:c>
      <x:c r="AK275" s="59" t="n">
        <x:f>(1+AH275*(AI275-1))*AJ275</x:f>
        <x:v>4.624376467098087</x:v>
      </x:c>
      <x:c r="AL275" s="59" t="n">
        <x:f>U275*AD275*AK275*F275</x:f>
        <x:v>2324020.856235781</x:v>
      </x:c>
      <x:c r="AM275" s="59" t="n">
        <x:f>IF($B275&lt;AM$8,0,AM$3+(AM$4-AM$3)*(POWER(AM$5,$B275-AM$8)-1)/(POWER(AM$5,$C$5-AM$8)-1))</x:f>
        <x:v>52.04085615902688</x:v>
      </x:c>
      <x:c r="AN275" s="59" t="n">
        <x:f>(((E275*'模块规划'!$D$10+G275*'模块规划'!$D$11+H275*'模块规划'!$D$13)*(1+'模块规划'!$G$14*H275)+(I275*'模块规划'!$D$15+J275*'模块规划'!$D$17+K275*'模块规划'!$D$16+L275*'模块规划'!$D$18))*(1+'模块规划'!$J$17*J275))*F275/(1-Q275)</x:f>
        <x:v>2822430.7337781065</x:v>
      </x:c>
      <x:c r="AO275" s="59" t="n">
        <x:f>AL275*AM275</x:f>
        <x:v>120944035.08994478</x:v>
      </x:c>
      <x:c r="AP275" s="61" t="n">
        <x:f>IF(AO275="","",INDEX('_曲线基线'!$A$3:$A$502,MIN(ROWS('_曲线基线'!$A$3:$A$502),COUNTIF('_曲线基线'!$E$3:$E$502,"&lt;"&amp;AO275)+1)))</x:f>
        <x:v>308</x:v>
      </x:c>
      <x:c r="AQ275" s="61" t="n">
        <x:f>IF(B275&lt;=2,1,IF(B275&lt;=6,2,IF(B275&lt;=9,3,IF(B275&lt;=19,4,5))))</x:f>
        <x:v>5</x:v>
      </x:c>
      <x:c r="AR275" s="59" t="n">
        <x:f>AN275*(1-Q275)/F275*$AS$3+U275*$AS$4+P275*$AS$5</x:f>
        <x:v>17530.083137957008</x:v>
      </x:c>
      <x:c r="AS275" s="59" t="n">
        <x:f>1+AH275*$AS$6+AI275*$AS$7+(AJ275-1)*$AS$8+($H$10*H275+$I$10*I275+$J$10*J275+$K$10*K275+$L$10*L275)*$AU$3*$AS$9+($H$10*H275+$I$10*I275+$J$10*J275+$K$10*K275+$L$10*L275)*$AU$4*$AS$10</x:f>
        <x:v>17.446440375296227</x:v>
      </x:c>
      <x:c r="AT275" s="60" t="n">
        <x:f>ROUND(AR275*AS275,0)</x:f>
        <x:v>305838</x:v>
      </x:c>
      <x:c r="AU275" s="60" t="n">
        <x:f>ROUND(AT275*F275,0)</x:f>
        <x:v>1529190</x:v>
      </x:c>
      <x:c r="AV275" s="60" t="n">
        <x:f>MIN(MATCH(B275,'主线调参'!$M$11:$M$62,1),ROWS('主线调参'!$M$11:$M$62)-1)</x:f>
        <x:v>50</x:v>
      </x:c>
      <x:c r="AW275" s="62" t="n">
        <x:f>(B275-INDEX('主线调参'!$M$11:$M$62,AV275))/(INDEX('主线调参'!$M$11:$M$62,AV275+1)-INDEX('主线调参'!$M$11:$M$62,AV275))</x:f>
        <x:v>0</x:v>
      </x:c>
      <x:c r="AX275" s="60" t="n">
        <x:f>IF(AU275=0,0,ROUND(AU275,2-INT(LOG10(ABS(AU275)))))</x:f>
        <x:v>1530000</x:v>
      </x:c>
      <x:c r="AY275" s="62" t="n">
        <x:f>AU275/AU274-1</x:f>
        <x:v>0.003382468250401116</x:v>
      </x:c>
    </x:row>
    <x:row r="276" ht="25" customHeight="1">
      <x:c r="A276" s="40" t="str">
        <x:f>'调前玩家曲线'!A276</x:f>
      </x:c>
      <x:c r="B276" s="40" t="n">
        <x:f>'调前玩家曲线'!B276</x:f>
        <x:v>265</x:v>
      </x:c>
      <x:c r="C276" s="40" t="n">
        <x:f>'调前玩家曲线'!C276</x:f>
        <x:v>19</x:v>
      </x:c>
      <x:c r="D276" s="40" t="n">
        <x:f>'调前玩家曲线'!D276</x:f>
        <x:v>1</x:v>
      </x:c>
      <x:c r="E276" s="40" t="n">
        <x:f>'调前玩家曲线'!E276</x:f>
        <x:v>1</x:v>
      </x:c>
      <x:c r="F276" s="40" t="n">
        <x:f>'调前玩家曲线'!F276</x:f>
        <x:v>5</x:v>
      </x:c>
      <x:c r="G276" s="63" t="n">
        <x:f>IF(B276&lt;$G$8,0,(INDEX('主线调参'!$C$11:$C$62,$AV276)+(INDEX('主线调参'!$C$11:$C$62,$AV276+1)-INDEX('主线调参'!$C$11:$C$62,$AV276))*$AW276)*'参数说明'!$C$27)</x:f>
        <x:v>0.8844875652473666</x:v>
      </x:c>
      <x:c r="H276" s="63" t="n">
        <x:f>IF(B276&lt;$H$8,0,(INDEX('主线调参'!$D$11:$D$62,$AV276)+(INDEX('主线调参'!$D$11:$D$62,$AV276+1)-INDEX('主线调参'!$D$11:$D$62,$AV276))*$AW276)*'参数说明'!$D$27)</x:f>
        <x:v>0.6877621677122893</x:v>
      </x:c>
      <x:c r="I276" s="63" t="n">
        <x:f>IF(B276&lt;$I$8,0,(INDEX('主线调参'!$E$11:$E$62,$AV276)+(INDEX('主线调参'!$E$11:$E$62,$AV276+1)-INDEX('主线调参'!$E$11:$E$62,$AV276))*$AW276)*'参数说明'!$E$27)</x:f>
        <x:v>0.6345487781040932</x:v>
      </x:c>
      <x:c r="J276" s="63" t="n">
        <x:f>IF(B276&lt;$J$8,0,(INDEX('主线调参'!$F$11:$F$62,$AV276)+(INDEX('主线调参'!$F$11:$F$62,$AV276+1)-INDEX('主线调参'!$F$11:$F$62,$AV276))*$AW276)*'参数说明'!$F$27)</x:f>
        <x:v>0.5868907155585822</x:v>
      </x:c>
      <x:c r="K276" s="63" t="n">
        <x:f>IF(B276&lt;$K$8,0,(INDEX('主线调参'!$G$11:$G$62,$AV276)+(INDEX('主线调参'!$G$11:$G$62,$AV276+1)-INDEX('主线调参'!$G$11:$G$62,$AV276))*$AW276)*'参数说明'!$G$27)</x:f>
        <x:v>0.6315355552718845</x:v>
      </x:c>
      <x:c r="L276" s="63" t="n">
        <x:f>IF(B276&lt;$L$8,0,(INDEX('主线调参'!$H$11:$H$62,$AV276)+(INDEX('主线调参'!$H$11:$H$62,$AV276+1)-INDEX('主线调参'!$H$11:$H$62,$AV276))*$AW276)*'参数说明'!$H$27)</x:f>
        <x:v>0.6873227534886586</x:v>
      </x:c>
      <x:c r="M276" s="59" t="n">
        <x:f>E276*'模块规划'!$F$10+G276*'模块规划'!$F$11+H276*'模块规划'!$F$13</x:f>
        <x:v>5245.54031318736</x:v>
      </x:c>
      <x:c r="N276" s="59" t="n">
        <x:f>I276*'模块规划'!$F$15+J276*'模块规划'!$F$17+K276*'模块规划'!$F$16+L276*'模块规划'!$F$18</x:f>
        <x:v>18171.124479493166</x:v>
      </x:c>
      <x:c r="O276" s="59" t="n">
        <x:f>1+O$9*SUMPRODUCT($H$10:$L$10,H276:L276)/SUM($H$10:$L$10)</x:f>
        <x:v>3.367557438529792</x:v>
      </x:c>
      <x:c r="P276" s="59" t="n">
        <x:f>M276*O276+N276</x:f>
        <x:v>35835.782780275156</x:v>
      </x:c>
      <x:c r="Q276" s="59" t="n">
        <x:f>P276/(P276+'_曲线基线'!$L$2)</x:f>
        <x:v>0.5989022139456059</x:v>
      </x:c>
      <x:c r="R276" s="59" t="n">
        <x:f>E276*'模块规划'!$E$10+G276*'模块规划'!$E$11+H276*'模块规划'!$E$13</x:f>
        <x:v>7868.3104697810395</x:v>
      </x:c>
      <x:c r="S276" s="59" t="n">
        <x:f>I276*'模块规划'!$E$15+J276*'模块规划'!$E$17+K276*'模块规划'!$E$16+L276*'模块规划'!$E$18</x:f>
        <x:v>27256.68671923975</x:v>
      </x:c>
      <x:c r="T276" s="59" t="n">
        <x:f>1+T$9*SUMPRODUCT($H$10:$L$10,H276:L276)/SUM($H$10:$L$10)</x:f>
        <x:v>3.367557438529792</x:v>
      </x:c>
      <x:c r="U276" s="59" t="n">
        <x:f>R276*T276+S276</x:f>
        <x:v>53753.674170412734</x:v>
      </x:c>
      <x:c r="V276" s="59" t="n">
        <x:f>V$8+(V$9-V$8)*H276</x:f>
        <x:v>0.9063286503136867</x:v>
      </x:c>
      <x:c r="W276" s="59" t="n">
        <x:f>IF(B276&lt;$H$8,0,W$8+(W$9-W$8)*H276)</x:f>
        <x:v>0.2751048670849157</x:v>
      </x:c>
      <x:c r="X276" s="59" t="n">
        <x:f>X$8+(X$9-X$8)*H276</x:f>
        <x:v>0.4641345961208796</x:v>
      </x:c>
      <x:c r="Y276" s="59" t="n">
        <x:f>Y$8+(Y$9-Y$8)*G276</x:f>
        <x:v>1</x:v>
      </x:c>
      <x:c r="Z276" s="59" t="n">
        <x:f>Z$8+(Z$9-Z$8)*H276</x:f>
        <x:v>1</x:v>
      </x:c>
      <x:c r="AA276" s="59" t="n">
        <x:f>AA$8+(AA$9-AA$8)*I276</x:f>
        <x:v>1</x:v>
      </x:c>
      <x:c r="AB276" s="59" t="n">
        <x:f>AB$8+(AB$9-AB$8)*J276</x:f>
        <x:v>1</x:v>
      </x:c>
      <x:c r="AC276" s="59" t="n">
        <x:f>AC$8+(AC$9-AC$8)*MAX(K276,L276)</x:f>
        <x:v>1</x:v>
      </x:c>
      <x:c r="AD276" s="59" t="n">
        <x:f>(V276*AE276+W276*AF276+X276*AG276)*PRODUCT(Y276:AC276)</x:f>
        <x:v>1.8749323657762749</x:v>
      </x:c>
      <x:c r="AE276" s="59" t="n">
        <x:f>1+AE$9*($H$10*H276+$I$10*I276+$J$10*J276+$K$10*K276+$L$10*L276)</x:f>
        <x:v>1</x:v>
      </x:c>
      <x:c r="AF276" s="59" t="n">
        <x:f>1+AF$9*($H$10*H276+$I$10*I276+$J$10*J276+$K$10*K276+$L$10*L276)</x:f>
        <x:v>1.2089585107690264</x:v>
      </x:c>
      <x:c r="AG276" s="59" t="n">
        <x:f>1+AG$9*($H$10*H276+$I$10*I276+$J$10*J276+$K$10*K276+$L$10*L276)</x:f>
        <x:v>1.3703209163073329</x:v>
      </x:c>
      <x:c r="AH276" s="59" t="n">
        <x:f>MIN(1,'_曲线基线'!$L$3+AH$9*($H$10*H276+$I$10*I276+$J$10*J276+$K$10*K276+$L$10*L276))</x:f>
        <x:v>0.5253806119995345</x:v>
      </x:c>
      <x:c r="AI276" s="59" t="n">
        <x:f>'_曲线基线'!$L$4+AI$9*($H$10*H276+$I$10*I276+$J$10*J276+$K$10*K276+$L$10*L276)</x:f>
        <x:v>3.3242745619987035</x:v>
      </x:c>
      <x:c r="AJ276" s="59" t="n">
        <x:f>1+AJ$9*($H$10*H276+$I$10*I276+$J$10*J276+$K$10*K276+$L$10*L276)</x:f>
        <x:v>2.086584255998936</x:v>
      </x:c>
      <x:c r="AK276" s="59" t="n">
        <x:f>(1+AH276*(AI276-1))*AJ276</x:f>
        <x:v>4.6345723675947506</x:v>
      </x:c>
      <x:c r="AL276" s="59" t="n">
        <x:f>U276*AD276*AK276*F276</x:f>
        <x:v>2335465.374585561</x:v>
      </x:c>
      <x:c r="AM276" s="59" t="n">
        <x:f>IF($B276&lt;AM$8,0,AM$3+(AM$4-AM$3)*(POWER(AM$5,$B276-AM$8)-1)/(POWER(AM$5,$C$5-AM$8)-1))</x:f>
        <x:v>52.22468936053902</x:v>
      </x:c>
      <x:c r="AN276" s="59" t="n">
        <x:f>(((E276*'模块规划'!$D$10+G276*'模块规划'!$D$11+H276*'模块规划'!$D$13)*(1+'模块规划'!$G$14*H276)+(I276*'模块规划'!$D$15+J276*'模块规划'!$D$17+K276*'模块规划'!$D$16+L276*'模块规划'!$D$18))*(1+'模块规划'!$J$17*J276))*F276/(1-Q276)</x:f>
        <x:v>2832346.099552016</x:v>
      </x:c>
      <x:c r="AO276" s="59" t="n">
        <x:f>AL276*AM276</x:f>
        <x:v>121968953.70002581</x:v>
      </x:c>
      <x:c r="AP276" s="61" t="n">
        <x:f>IF(AO276="","",INDEX('_曲线基线'!$A$3:$A$502,MIN(ROWS('_曲线基线'!$A$3:$A$502),COUNTIF('_曲线基线'!$E$3:$E$502,"&lt;"&amp;AO276)+1)))</x:f>
        <x:v>309</x:v>
      </x:c>
      <x:c r="AQ276" s="61" t="n">
        <x:f>IF(B276&lt;=2,1,IF(B276&lt;=6,2,IF(B276&lt;=9,3,IF(B276&lt;=19,4,5))))</x:f>
        <x:v>5</x:v>
      </x:c>
      <x:c r="AR276" s="59" t="n">
        <x:f>AN276*(1-Q276)/F276*$AS$3+U276*$AS$4+P276*$AS$5</x:f>
        <x:v>17567.02133330322</x:v>
      </x:c>
      <x:c r="AS276" s="59" t="n">
        <x:f>1+AH276*$AS$6+AI276*$AS$7+(AJ276-1)*$AS$8+($H$10*H276+$I$10*I276+$J$10*J276+$K$10*K276+$L$10*L276)*$AU$3*$AS$9+($H$10*H276+$I$10*I276+$J$10*J276+$K$10*K276+$L$10*L276)*$AU$4*$AS$10</x:f>
        <x:v>17.467088447557174</x:v>
      </x:c>
      <x:c r="AT276" s="60" t="n">
        <x:f>ROUND(AR276*AS276,0)</x:f>
        <x:v>306845</x:v>
      </x:c>
      <x:c r="AU276" s="60" t="n">
        <x:f>ROUND(AT276*F276,0)</x:f>
        <x:v>1534225</x:v>
      </x:c>
      <x:c r="AV276" s="60" t="n">
        <x:f>MIN(MATCH(B276,'主线调参'!$M$11:$M$62,1),ROWS('主线调参'!$M$11:$M$62)-1)</x:f>
        <x:v>51</x:v>
      </x:c>
      <x:c r="AW276" s="62" t="n">
        <x:f>(B276-INDEX('主线调参'!$M$11:$M$62,AV276))/(INDEX('主线调参'!$M$11:$M$62,AV276+1)-INDEX('主线调参'!$M$11:$M$62,AV276))</x:f>
        <x:v>0</x:v>
      </x:c>
      <x:c r="AX276" s="60" t="n">
        <x:f>IF(AU276=0,0,ROUND(AU276,2-INT(LOG10(ABS(AU276)))))</x:f>
        <x:v>1530000</x:v>
      </x:c>
      <x:c r="AY276" s="62" t="n">
        <x:f>AU276/AU275-1</x:f>
        <x:v>0.003292592810572925</x:v>
      </x:c>
    </x:row>
    <x:row r="277" ht="25" customHeight="1">
      <x:c r="A277" s="40" t="str">
        <x:f>'调前玩家曲线'!A277</x:f>
      </x:c>
      <x:c r="B277" s="40" t="n">
        <x:f>'调前玩家曲线'!B277</x:f>
        <x:v>266</x:v>
      </x:c>
      <x:c r="C277" s="40" t="n">
        <x:f>'调前玩家曲线'!C277</x:f>
        <x:v>19</x:v>
      </x:c>
      <x:c r="D277" s="40" t="n">
        <x:f>'调前玩家曲线'!D277</x:f>
        <x:v>2</x:v>
      </x:c>
      <x:c r="E277" s="40" t="n">
        <x:f>'调前玩家曲线'!E277</x:f>
        <x:v>1</x:v>
      </x:c>
      <x:c r="F277" s="40" t="n">
        <x:f>'调前玩家曲线'!F277</x:f>
        <x:v>5</x:v>
      </x:c>
      <x:c r="G277" s="63" t="n">
        <x:f>IF(B277&lt;$G$8,0,(INDEX('主线调参'!$C$11:$C$62,$AV277)+(INDEX('主线调参'!$C$11:$C$62,$AV277+1)-INDEX('主线调参'!$C$11:$C$62,$AV277))*$AW277)*'参数说明'!$C$27)</x:f>
        <x:v>0.8855955963011262</x:v>
      </x:c>
      <x:c r="H277" s="63" t="n">
        <x:f>IF(B277&lt;$H$8,0,(INDEX('主线调参'!$D$11:$D$62,$AV277)+(INDEX('主线调参'!$D$11:$D$62,$AV277+1)-INDEX('主线调参'!$D$11:$D$62,$AV277))*$AW277)*'参数说明'!$D$27)</x:f>
        <x:v>0.6886362985899828</x:v>
      </x:c>
      <x:c r="I277" s="63" t="n">
        <x:f>IF(B277&lt;$I$8,0,(INDEX('主线调参'!$E$11:$E$62,$AV277)+(INDEX('主线调参'!$E$11:$E$62,$AV277+1)-INDEX('主线调参'!$E$11:$E$62,$AV277))*$AW277)*'参数说明'!$E$27)</x:f>
        <x:v>0.6356524368109436</x:v>
      </x:c>
      <x:c r="J277" s="63" t="n">
        <x:f>IF(B277&lt;$J$8,0,(INDEX('主线调参'!$F$11:$F$62,$AV277)+(INDEX('主线调参'!$F$11:$F$62,$AV277+1)-INDEX('主线调参'!$F$11:$F$62,$AV277))*$AW277)*'参数说明'!$F$27)</x:f>
        <x:v>0.5878270930186834</x:v>
      </x:c>
      <x:c r="K277" s="63" t="n">
        <x:f>IF(B277&lt;$K$8,0,(INDEX('主线调参'!$G$11:$G$62,$AV277)+(INDEX('主线调参'!$G$11:$G$62,$AV277+1)-INDEX('主线调参'!$G$11:$G$62,$AV277))*$AW277)*'参数说明'!$G$27)</x:f>
        <x:v>0.6328544441810358</x:v>
      </x:c>
      <x:c r="L277" s="63" t="n">
        <x:f>IF(B277&lt;$L$8,0,(INDEX('主线调参'!$H$11:$H$62,$AV277)+(INDEX('主线调参'!$H$11:$H$62,$AV277+1)-INDEX('主线调参'!$H$11:$H$62,$AV277))*$AW277)*'参数说明'!$H$27)</x:f>
        <x:v>0.6882282710966116</x:v>
      </x:c>
      <x:c r="M277" s="59" t="n">
        <x:f>E277*'模块规划'!$F$10+G277*'模块规划'!$F$11+H277*'模块规划'!$F$13</x:f>
        <x:v>5250.858862245405</x:v>
      </x:c>
      <x:c r="N277" s="59" t="n">
        <x:f>I277*'模块规划'!$F$15+J277*'模块规划'!$F$17+K277*'模块规划'!$F$16+L277*'模块规划'!$F$18</x:f>
        <x:v>18201.758445243657</x:v>
      </x:c>
      <x:c r="O277" s="59" t="n">
        <x:f>1+O$9*SUMPRODUCT($H$10:$L$10,H277:L277)/SUM($H$10:$L$10)</x:f>
        <x:v>3.3713885258169825</x:v>
      </x:c>
      <x:c r="P277" s="59" t="n">
        <x:f>M277*O277+N277</x:f>
        <x:v>35904.44376410223</x:v>
      </x:c>
      <x:c r="Q277" s="59" t="n">
        <x:f>P277/(P277+'_曲线基线'!$L$2)</x:f>
        <x:v>0.5993619422540735</x:v>
      </x:c>
      <x:c r="R277" s="59" t="n">
        <x:f>E277*'模块规划'!$E$10+G277*'模块规划'!$E$11+H277*'模块规划'!$E$13</x:f>
        <x:v>7876.2882933681085</x:v>
      </x:c>
      <x:c r="S277" s="59" t="n">
        <x:f>I277*'模块规划'!$E$15+J277*'模块规划'!$E$17+K277*'模块规划'!$E$16+L277*'模块规划'!$E$18</x:f>
        <x:v>27302.63766786548</x:v>
      </x:c>
      <x:c r="T277" s="59" t="n">
        <x:f>1+T$9*SUMPRODUCT($H$10:$L$10,H277:L277)/SUM($H$10:$L$10)</x:f>
        <x:v>3.3713885258169825</x:v>
      </x:c>
      <x:c r="U277" s="59" t="n">
        <x:f>R277*T277+S277</x:f>
        <x:v>53856.66564615334</x:v>
      </x:c>
      <x:c r="V277" s="59" t="n">
        <x:f>V$8+(V$9-V$8)*H277</x:f>
        <x:v>0.9065908895769949</x:v>
      </x:c>
      <x:c r="W277" s="59" t="n">
        <x:f>IF(B277&lt;$H$8,0,W$8+(W$9-W$8)*H277)</x:f>
        <x:v>0.27545451943599314</x:v>
      </x:c>
      <x:c r="X277" s="59" t="n">
        <x:f>X$8+(X$9-X$8)*H277</x:f>
        <x:v>0.46437498211224526</x:v>
      </x:c>
      <x:c r="Y277" s="59" t="n">
        <x:f>Y$8+(Y$9-Y$8)*G277</x:f>
        <x:v>1</x:v>
      </x:c>
      <x:c r="Z277" s="59" t="n">
        <x:f>Z$8+(Z$9-Z$8)*H277</x:f>
        <x:v>1</x:v>
      </x:c>
      <x:c r="AA277" s="59" t="n">
        <x:f>AA$8+(AA$9-AA$8)*I277</x:f>
        <x:v>1</x:v>
      </x:c>
      <x:c r="AB277" s="59" t="n">
        <x:f>AB$8+(AB$9-AB$8)*J277</x:f>
        <x:v>1</x:v>
      </x:c>
      <x:c r="AC277" s="59" t="n">
        <x:f>AC$8+(AC$9-AC$8)*MAX(K277,L277)</x:f>
        <x:v>1</x:v>
      </x:c>
      <x:c r="AD277" s="59" t="n">
        <x:f>(V277*AE277+W277*AF277+X277*AG277)*PRODUCT(Y277:AC277)</x:f>
        <x:v>1.8763181365641015</x:v>
      </x:c>
      <x:c r="AE277" s="59" t="n">
        <x:f>1+AE$9*($H$10*H277+$I$10*I277+$J$10*J277+$K$10*K277+$L$10*L277)</x:f>
        <x:v>1</x:v>
      </x:c>
      <x:c r="AF277" s="59" t="n">
        <x:f>1+AF$9*($H$10*H277+$I$10*I277+$J$10*J277+$K$10*K277+$L$10*L277)</x:f>
        <x:v>1.2092966391206894</x:v>
      </x:c>
      <x:c r="AG277" s="59" t="n">
        <x:f>1+AG$9*($H$10*H277+$I$10*I277+$J$10*J277+$K$10*K277+$L$10*L277)</x:f>
        <x:v>1.3709201548861134</x:v>
      </x:c>
      <x:c r="AH277" s="59" t="n">
        <x:f>MIN(1,'_曲线基线'!$L$3+AH$9*($H$10*H277+$I$10*I277+$J$10*J277+$K$10*K277+$L$10*L277))</x:f>
        <x:v>0.5261498539995677</x:v>
      </x:c>
      <x:c r="AI277" s="59" t="n">
        <x:f>'_曲线基线'!$L$4+AI$9*($H$10*H277+$I$10*I277+$J$10*J277+$K$10*K277+$L$10*L277)</x:f>
        <x:v>3.326417450427367</x:v>
      </x:c>
      <x:c r="AJ277" s="59" t="n">
        <x:f>1+AJ$9*($H$10*H277+$I$10*I277+$J$10*J277+$K$10*K277+$L$10*L277)</x:f>
        <x:v>2.0883425234275834</x:v>
      </x:c>
      <x:c r="AK277" s="59" t="n">
        <x:f>(1+AH277*(AI277-1))*AJ277</x:f>
        <x:v>4.644566080777766</x:v>
      </x:c>
      <x:c r="AL277" s="59" t="n">
        <x:f>U277*AD277*AK277*F277</x:f>
        <x:v>2346718.99723995</x:v>
      </x:c>
      <x:c r="AM277" s="59" t="n">
        <x:f>IF($B277&lt;AM$8,0,AM$3+(AM$4-AM$3)*(POWER(AM$5,$B277-AM$8)-1)/(POWER(AM$5,$C$5-AM$8)-1))</x:f>
        <x:v>52.41036089406627</x:v>
      </x:c>
      <x:c r="AN277" s="59" t="n">
        <x:f>(((E277*'模块规划'!$D$10+G277*'模块规划'!$D$11+H277*'模块规划'!$D$13)*(1+'模块规划'!$G$14*H277)+(I277*'模块规划'!$D$15+J277*'模块规划'!$D$17+K277*'模块规划'!$D$16+L277*'模块规划'!$D$18))*(1+'模块规划'!$J$17*J277))*F277/(1-Q277)</x:f>
        <x:v>2842081.655170126</x:v>
      </x:c>
      <x:c r="AO277" s="59" t="n">
        <x:f>AL277*AM277</x:f>
        <x:v>122992389.5623071</x:v>
      </x:c>
      <x:c r="AP277" s="61" t="n">
        <x:f>IF(AO277="","",INDEX('_曲线基线'!$A$3:$A$502,MIN(ROWS('_曲线基线'!$A$3:$A$502),COUNTIF('_曲线基线'!$E$3:$E$502,"&lt;"&amp;AO277)+1)))</x:f>
        <x:v>310</x:v>
      </x:c>
      <x:c r="AQ277" s="61" t="n">
        <x:f>IF(B277&lt;=2,1,IF(B277&lt;=6,2,IF(B277&lt;=9,3,IF(B277&lt;=19,4,5))))</x:f>
        <x:v>5</x:v>
      </x:c>
      <x:c r="AR277" s="59" t="n">
        <x:f>AN277*(1-Q277)/F277*$AS$3+U277*$AS$4+P277*$AS$5</x:f>
        <x:v>17603.20957492679</x:v>
      </x:c>
      <x:c r="AS277" s="59" t="n">
        <x:f>1+AH277*$AS$6+AI277*$AS$7+(AJ277-1)*$AS$8+($H$10*H277+$I$10*I277+$J$10*J277+$K$10*K277+$L$10*L277)*$AU$3*$AS$9+($H$10*H277+$I$10*I277+$J$10*J277+$K$10*K277+$L$10*L277)*$AU$4*$AS$10</x:f>
        <x:v>17.487292000767376</x:v>
      </x:c>
      <x:c r="AT277" s="60" t="n">
        <x:f>ROUND(AR277*AS277,0)</x:f>
        <x:v>307832</x:v>
      </x:c>
      <x:c r="AU277" s="60" t="n">
        <x:f>ROUND(AT277*F277,0)</x:f>
        <x:v>1539160</x:v>
      </x:c>
      <x:c r="AV277" s="60" t="n">
        <x:f>MIN(MATCH(B277,'主线调参'!$M$11:$M$62,1),ROWS('主线调参'!$M$11:$M$62)-1)</x:f>
        <x:v>51</x:v>
      </x:c>
      <x:c r="AW277" s="62" t="n">
        <x:f>(B277-INDEX('主线调参'!$M$11:$M$62,AV277))/(INDEX('主线调参'!$M$11:$M$62,AV277+1)-INDEX('主线调参'!$M$11:$M$62,AV277))</x:f>
        <x:v>0.07142857142857142</x:v>
      </x:c>
      <x:c r="AX277" s="60" t="n">
        <x:f>IF(AU277=0,0,ROUND(AU277,2-INT(LOG10(ABS(AU277)))))</x:f>
        <x:v>1540000</x:v>
      </x:c>
      <x:c r="AY277" s="62" t="n">
        <x:f>AU277/AU276-1</x:f>
        <x:v>0.0032166077335462617</x:v>
      </x:c>
    </x:row>
    <x:row r="278" ht="25" customHeight="1">
      <x:c r="A278" s="40" t="str">
        <x:f>'调前玩家曲线'!A278</x:f>
      </x:c>
      <x:c r="B278" s="40" t="n">
        <x:f>'调前玩家曲线'!B278</x:f>
        <x:v>267</x:v>
      </x:c>
      <x:c r="C278" s="40" t="n">
        <x:f>'调前玩家曲线'!C278</x:f>
        <x:v>19</x:v>
      </x:c>
      <x:c r="D278" s="40" t="n">
        <x:f>'调前玩家曲线'!D278</x:f>
        <x:v>3</x:v>
      </x:c>
      <x:c r="E278" s="40" t="n">
        <x:f>'调前玩家曲线'!E278</x:f>
        <x:v>1</x:v>
      </x:c>
      <x:c r="F278" s="40" t="n">
        <x:f>'调前玩家曲线'!F278</x:f>
        <x:v>5</x:v>
      </x:c>
      <x:c r="G278" s="63" t="n">
        <x:f>IF(B278&lt;$G$8,0,(INDEX('主线调参'!$C$11:$C$62,$AV278)+(INDEX('主线调参'!$C$11:$C$62,$AV278+1)-INDEX('主线调参'!$C$11:$C$62,$AV278))*$AW278)*'参数说明'!$C$27)</x:f>
        <x:v>0.8867036273548857</x:v>
      </x:c>
      <x:c r="H278" s="63" t="n">
        <x:f>IF(B278&lt;$H$8,0,(INDEX('主线调参'!$D$11:$D$62,$AV278)+(INDEX('主线调参'!$D$11:$D$62,$AV278+1)-INDEX('主线调参'!$D$11:$D$62,$AV278))*$AW278)*'参数说明'!$D$27)</x:f>
        <x:v>0.6895104294676765</x:v>
      </x:c>
      <x:c r="I278" s="63" t="n">
        <x:f>IF(B278&lt;$I$8,0,(INDEX('主线调参'!$E$11:$E$62,$AV278)+(INDEX('主线调参'!$E$11:$E$62,$AV278+1)-INDEX('主线调参'!$E$11:$E$62,$AV278))*$AW278)*'参数说明'!$E$27)</x:f>
        <x:v>0.6367560955177941</x:v>
      </x:c>
      <x:c r="J278" s="63" t="n">
        <x:f>IF(B278&lt;$J$8,0,(INDEX('主线调参'!$F$11:$F$62,$AV278)+(INDEX('主线调参'!$F$11:$F$62,$AV278+1)-INDEX('主线调参'!$F$11:$F$62,$AV278))*$AW278)*'参数说明'!$F$27)</x:f>
        <x:v>0.5887634704787847</x:v>
      </x:c>
      <x:c r="K278" s="63" t="n">
        <x:f>IF(B278&lt;$K$8,0,(INDEX('主线调参'!$G$11:$G$62,$AV278)+(INDEX('主线调参'!$G$11:$G$62,$AV278+1)-INDEX('主线调参'!$G$11:$G$62,$AV278))*$AW278)*'参数说明'!$G$27)</x:f>
        <x:v>0.6341733330901868</x:v>
      </x:c>
      <x:c r="L278" s="63" t="n">
        <x:f>IF(B278&lt;$L$8,0,(INDEX('主线调参'!$H$11:$H$62,$AV278)+(INDEX('主线调参'!$H$11:$H$62,$AV278+1)-INDEX('主线调参'!$H$11:$H$62,$AV278))*$AW278)*'参数说明'!$H$27)</x:f>
        <x:v>0.6891337887045645</x:v>
      </x:c>
      <x:c r="M278" s="59" t="n">
        <x:f>E278*'模块规划'!$F$10+G278*'模块规划'!$F$11+H278*'模块规划'!$F$13</x:f>
        <x:v>5256.177411303452</x:v>
      </x:c>
      <x:c r="N278" s="59" t="n">
        <x:f>I278*'模块规划'!$F$15+J278*'模块规划'!$F$17+K278*'模块规划'!$F$16+L278*'模块规划'!$F$18</x:f>
        <x:v>18232.392410994144</x:v>
      </x:c>
      <x:c r="O278" s="59" t="n">
        <x:f>1+O$9*SUMPRODUCT($H$10:$L$10,H278:L278)/SUM($H$10:$L$10)</x:f>
        <x:v>3.3752196131041736</x:v>
      </x:c>
      <x:c r="P278" s="59" t="n">
        <x:f>M278*O278+N278</x:f>
        <x:v>35973.14549958068</x:v>
      </x:c>
      <x:c r="Q278" s="59" t="n">
        <x:f>P278/(P278+'_曲线基线'!$L$2)</x:f>
        <x:v>0.5998208898319698</x:v>
      </x:c>
      <x:c r="R278" s="59" t="n">
        <x:f>E278*'模块规划'!$E$10+G278*'模块规划'!$E$11+H278*'模块规划'!$E$13</x:f>
        <x:v>7884.2661169551775</x:v>
      </x:c>
      <x:c r="S278" s="59" t="n">
        <x:f>I278*'模块规划'!$E$15+J278*'模块规划'!$E$17+K278*'模块规划'!$E$16+L278*'模块规划'!$E$18</x:f>
        <x:v>27348.588616491215</x:v>
      </x:c>
      <x:c r="T278" s="59" t="n">
        <x:f>1+T$9*SUMPRODUCT($H$10:$L$10,H278:L278)/SUM($H$10:$L$10)</x:f>
        <x:v>3.3752196131041736</x:v>
      </x:c>
      <x:c r="U278" s="59" t="n">
        <x:f>R278*T278+S278</x:f>
        <x:v>53959.71824937101</x:v>
      </x:c>
      <x:c r="V278" s="59" t="n">
        <x:f>V$8+(V$9-V$8)*H278</x:f>
        <x:v>0.906853128840303</x:v>
      </x:c>
      <x:c r="W278" s="59" t="n">
        <x:f>IF(B278&lt;$H$8,0,W$8+(W$9-W$8)*H278)</x:f>
        <x:v>0.2758041717870706</x:v>
      </x:c>
      <x:c r="X278" s="59" t="n">
        <x:f>X$8+(X$9-X$8)*H278</x:f>
        <x:v>0.46461536810361104</x:v>
      </x:c>
      <x:c r="Y278" s="59" t="n">
        <x:f>Y$8+(Y$9-Y$8)*G278</x:f>
        <x:v>1</x:v>
      </x:c>
      <x:c r="Z278" s="59" t="n">
        <x:f>Z$8+(Z$9-Z$8)*H278</x:f>
        <x:v>1</x:v>
      </x:c>
      <x:c r="AA278" s="59" t="n">
        <x:f>AA$8+(AA$9-AA$8)*I278</x:f>
        <x:v>1</x:v>
      </x:c>
      <x:c r="AB278" s="59" t="n">
        <x:f>AB$8+(AB$9-AB$8)*J278</x:f>
        <x:v>1</x:v>
      </x:c>
      <x:c r="AC278" s="59" t="n">
        <x:f>AC$8+(AC$9-AC$8)*MAX(K278,L278)</x:f>
        <x:v>1</x:v>
      </x:c>
      <x:c r="AD278" s="59" t="n">
        <x:f>(V278*AE278+W278*AF278+X278*AG278)*PRODUCT(Y278:AC278)</x:f>
        <x:v>1.877704431903794</x:v>
      </x:c>
      <x:c r="AE278" s="59" t="n">
        <x:f>1+AE$9*($H$10*H278+$I$10*I278+$J$10*J278+$K$10*K278+$L$10*L278)</x:f>
        <x:v>1</x:v>
      </x:c>
      <x:c r="AF278" s="59" t="n">
        <x:f>1+AF$9*($H$10*H278+$I$10*I278+$J$10*J278+$K$10*K278+$L$10*L278)</x:f>
        <x:v>1.2096347674723522</x:v>
      </x:c>
      <x:c r="AG278" s="59" t="n">
        <x:f>1+AG$9*($H$10*H278+$I$10*I278+$J$10*J278+$K$10*K278+$L$10*L278)</x:f>
        <x:v>1.371519393464894</x:v>
      </x:c>
      <x:c r="AH278" s="59" t="n">
        <x:f>MIN(1,'_曲线基线'!$L$3+AH$9*($H$10*H278+$I$10*I278+$J$10*J278+$K$10*K278+$L$10*L278))</x:f>
        <x:v>0.5269190959996011</x:v>
      </x:c>
      <x:c r="AI278" s="59" t="n">
        <x:f>'_曲线基线'!$L$4+AI$9*($H$10*H278+$I$10*I278+$J$10*J278+$K$10*K278+$L$10*L278)</x:f>
        <x:v>3.3285603388560316</x:v>
      </x:c>
      <x:c r="AJ278" s="59" t="n">
        <x:f>1+AJ$9*($H$10*H278+$I$10*I278+$J$10*J278+$K$10*K278+$L$10*L278)</x:f>
        <x:v>2.090100790856231</x:v>
      </x:c>
      <x:c r="AK278" s="59" t="n">
        <x:f>(1+AH278*(AI278-1))*AJ278</x:f>
        <x:v>4.654576936745204</x:v>
      </x:c>
      <x:c r="AL278" s="59" t="n">
        <x:f>U278*AD278*AK278*F278</x:f>
        <x:v>2358018.03420821</x:v>
      </x:c>
      <x:c r="AM278" s="59" t="n">
        <x:f>IF($B278&lt;AM$8,0,AM$3+(AM$4-AM$3)*(POWER(AM$5,$B278-AM$8)-1)/(POWER(AM$5,$C$5-AM$8)-1))</x:f>
        <x:v>52.59788914292881</x:v>
      </x:c>
      <x:c r="AN278" s="59" t="n">
        <x:f>(((E278*'模块规划'!$D$10+G278*'模块规划'!$D$11+H278*'模块规划'!$D$13)*(1+'模块规划'!$G$14*H278)+(I278*'模块规划'!$D$15+J278*'模块规划'!$D$17+K278*'模块规划'!$D$16+L278*'模块规划'!$D$18))*(1+'模块规划'!$J$17*J278))*F278/(1-Q278)</x:f>
        <x:v>2851840.997372935</x:v>
      </x:c>
      <x:c r="AO278" s="59" t="n">
        <x:f>AL278*AM278</x:f>
        <x:v>124026771.16031034</x:v>
      </x:c>
      <x:c r="AP278" s="61" t="n">
        <x:f>IF(AO278="","",INDEX('_曲线基线'!$A$3:$A$502,MIN(ROWS('_曲线基线'!$A$3:$A$502),COUNTIF('_曲线基线'!$E$3:$E$502,"&lt;"&amp;AO278)+1)))</x:f>
        <x:v>310</x:v>
      </x:c>
      <x:c r="AQ278" s="61" t="n">
        <x:f>IF(B278&lt;=2,1,IF(B278&lt;=6,2,IF(B278&lt;=9,3,IF(B278&lt;=19,4,5))))</x:f>
        <x:v>5</x:v>
      </x:c>
      <x:c r="AR278" s="59" t="n">
        <x:f>AN278*(1-Q278)/F278*$AS$3+U278*$AS$4+P278*$AS$5</x:f>
        <x:v>17639.426805890656</x:v>
      </x:c>
      <x:c r="AS278" s="59" t="n">
        <x:f>1+AH278*$AS$6+AI278*$AS$7+(AJ278-1)*$AS$8+($H$10*H278+$I$10*I278+$J$10*J278+$K$10*K278+$L$10*L278)*$AU$3*$AS$9+($H$10*H278+$I$10*I278+$J$10*J278+$K$10*K278+$L$10*L278)*$AU$4*$AS$10</x:f>
        <x:v>17.507495553977577</x:v>
      </x:c>
      <x:c r="AT278" s="60" t="n">
        <x:f>ROUND(AR278*AS278,0)</x:f>
        <x:v>308822</x:v>
      </x:c>
      <x:c r="AU278" s="60" t="n">
        <x:f>ROUND(AT278*F278,0)</x:f>
        <x:v>1544110</x:v>
      </x:c>
      <x:c r="AV278" s="60" t="n">
        <x:f>MIN(MATCH(B278,'主线调参'!$M$11:$M$62,1),ROWS('主线调参'!$M$11:$M$62)-1)</x:f>
        <x:v>51</x:v>
      </x:c>
      <x:c r="AW278" s="62" t="n">
        <x:f>(B278-INDEX('主线调参'!$M$11:$M$62,AV278))/(INDEX('主线调参'!$M$11:$M$62,AV278+1)-INDEX('主线调参'!$M$11:$M$62,AV278))</x:f>
        <x:v>0.14285714285714285</x:v>
      </x:c>
      <x:c r="AX278" s="60" t="n">
        <x:f>IF(AU278=0,0,ROUND(AU278,2-INT(LOG10(ABS(AU278)))))</x:f>
        <x:v>1540000</x:v>
      </x:c>
      <x:c r="AY278" s="62" t="n">
        <x:f>AU278/AU277-1</x:f>
        <x:v>0.0032160399178773336</x:v>
      </x:c>
    </x:row>
    <x:row r="279" ht="25" customHeight="1">
      <x:c r="A279" s="40" t="str">
        <x:f>'调前玩家曲线'!A279</x:f>
      </x:c>
      <x:c r="B279" s="40" t="n">
        <x:f>'调前玩家曲线'!B279</x:f>
        <x:v>268</x:v>
      </x:c>
      <x:c r="C279" s="40" t="n">
        <x:f>'调前玩家曲线'!C279</x:f>
        <x:v>19</x:v>
      </x:c>
      <x:c r="D279" s="40" t="n">
        <x:f>'调前玩家曲线'!D279</x:f>
        <x:v>4</x:v>
      </x:c>
      <x:c r="E279" s="40" t="n">
        <x:f>'调前玩家曲线'!E279</x:f>
        <x:v>1</x:v>
      </x:c>
      <x:c r="F279" s="40" t="n">
        <x:f>'调前玩家曲线'!F279</x:f>
        <x:v>5</x:v>
      </x:c>
      <x:c r="G279" s="63" t="n">
        <x:f>IF(B279&lt;$G$8,0,(INDEX('主线调参'!$C$11:$C$62,$AV279)+(INDEX('主线调参'!$C$11:$C$62,$AV279+1)-INDEX('主线调参'!$C$11:$C$62,$AV279))*$AW279)*'参数说明'!$C$27)</x:f>
        <x:v>0.8878116584086452</x:v>
      </x:c>
      <x:c r="H279" s="63" t="n">
        <x:f>IF(B279&lt;$H$8,0,(INDEX('主线调参'!$D$11:$D$62,$AV279)+(INDEX('主线调参'!$D$11:$D$62,$AV279+1)-INDEX('主线调参'!$D$11:$D$62,$AV279))*$AW279)*'参数说明'!$D$27)</x:f>
        <x:v>0.6903845603453701</x:v>
      </x:c>
      <x:c r="I279" s="63" t="n">
        <x:f>IF(B279&lt;$I$8,0,(INDEX('主线调参'!$E$11:$E$62,$AV279)+(INDEX('主线调参'!$E$11:$E$62,$AV279+1)-INDEX('主线调参'!$E$11:$E$62,$AV279))*$AW279)*'参数说明'!$E$27)</x:f>
        <x:v>0.6378597542246446</x:v>
      </x:c>
      <x:c r="J279" s="63" t="n">
        <x:f>IF(B279&lt;$J$8,0,(INDEX('主线调参'!$F$11:$F$62,$AV279)+(INDEX('主线调参'!$F$11:$F$62,$AV279+1)-INDEX('主线调参'!$F$11:$F$62,$AV279))*$AW279)*'参数说明'!$F$27)</x:f>
        <x:v>0.589699847938886</x:v>
      </x:c>
      <x:c r="K279" s="63" t="n">
        <x:f>IF(B279&lt;$K$8,0,(INDEX('主线调参'!$G$11:$G$62,$AV279)+(INDEX('主线调参'!$G$11:$G$62,$AV279+1)-INDEX('主线调参'!$G$11:$G$62,$AV279))*$AW279)*'参数说明'!$G$27)</x:f>
        <x:v>0.6354922219993379</x:v>
      </x:c>
      <x:c r="L279" s="63" t="n">
        <x:f>IF(B279&lt;$L$8,0,(INDEX('主线调参'!$H$11:$H$62,$AV279)+(INDEX('主线调参'!$H$11:$H$62,$AV279+1)-INDEX('主线调参'!$H$11:$H$62,$AV279))*$AW279)*'参数说明'!$H$27)</x:f>
        <x:v>0.6900393063125174</x:v>
      </x:c>
      <x:c r="M279" s="59" t="n">
        <x:f>E279*'模块规划'!$F$10+G279*'模块规划'!$F$11+H279*'模块规划'!$F$13</x:f>
        <x:v>5261.495960361497</x:v>
      </x:c>
      <x:c r="N279" s="59" t="n">
        <x:f>I279*'模块规划'!$F$15+J279*'模块规划'!$F$17+K279*'模块规划'!$F$16+L279*'模块规划'!$F$18</x:f>
        <x:v>18263.02637674463</x:v>
      </x:c>
      <x:c r="O279" s="59" t="n">
        <x:f>1+O$9*SUMPRODUCT($H$10:$L$10,H279:L279)/SUM($H$10:$L$10)</x:f>
        <x:v>3.379050700391364</x:v>
      </x:c>
      <x:c r="P279" s="59" t="n">
        <x:f>M279*O279+N279</x:f>
        <x:v>36041.887986710484</x:v>
      </x:c>
      <x:c r="Q279" s="59" t="n">
        <x:f>P279/(P279+'_曲线基线'!$L$2)</x:f>
        <x:v>0.6002790584248101</x:v>
      </x:c>
      <x:c r="R279" s="59" t="n">
        <x:f>E279*'模块规划'!$E$10+G279*'模块规划'!$E$11+H279*'模块规划'!$E$13</x:f>
        <x:v>7892.243940542246</x:v>
      </x:c>
      <x:c r="S279" s="59" t="n">
        <x:f>I279*'模块规划'!$E$15+J279*'模块规划'!$E$17+K279*'模块规划'!$E$16+L279*'模块规划'!$E$18</x:f>
        <x:v>27394.539565116946</x:v>
      </x:c>
      <x:c r="T279" s="59" t="n">
        <x:f>1+T$9*SUMPRODUCT($H$10:$L$10,H279:L279)/SUM($H$10:$L$10)</x:f>
        <x:v>3.379050700391364</x:v>
      </x:c>
      <x:c r="U279" s="59" t="n">
        <x:f>R279*T279+S279</x:f>
        <x:v>54062.83198006572</x:v>
      </x:c>
      <x:c r="V279" s="59" t="n">
        <x:f>V$8+(V$9-V$8)*H279</x:f>
        <x:v>0.907115368103611</x:v>
      </x:c>
      <x:c r="W279" s="59" t="n">
        <x:f>IF(B279&lt;$H$8,0,W$8+(W$9-W$8)*H279)</x:f>
        <x:v>0.27615382413814804</x:v>
      </x:c>
      <x:c r="X279" s="59" t="n">
        <x:f>X$8+(X$9-X$8)*H279</x:f>
        <x:v>0.4648557540949768</x:v>
      </x:c>
      <x:c r="Y279" s="59" t="n">
        <x:f>Y$8+(Y$9-Y$8)*G279</x:f>
        <x:v>1</x:v>
      </x:c>
      <x:c r="Z279" s="59" t="n">
        <x:f>Z$8+(Z$9-Z$8)*H279</x:f>
        <x:v>1</x:v>
      </x:c>
      <x:c r="AA279" s="59" t="n">
        <x:f>AA$8+(AA$9-AA$8)*I279</x:f>
        <x:v>1</x:v>
      </x:c>
      <x:c r="AB279" s="59" t="n">
        <x:f>AB$8+(AB$9-AB$8)*J279</x:f>
        <x:v>1</x:v>
      </x:c>
      <x:c r="AC279" s="59" t="n">
        <x:f>AC$8+(AC$9-AC$8)*MAX(K279,L279)</x:f>
        <x:v>1</x:v>
      </x:c>
      <x:c r="AD279" s="59" t="n">
        <x:f>(V279*AE279+W279*AF279+X279*AG279)*PRODUCT(Y279:AC279)</x:f>
        <x:v>1.879091251795352</x:v>
      </x:c>
      <x:c r="AE279" s="59" t="n">
        <x:f>1+AE$9*($H$10*H279+$I$10*I279+$J$10*J279+$K$10*K279+$L$10*L279)</x:f>
        <x:v>1</x:v>
      </x:c>
      <x:c r="AF279" s="59" t="n">
        <x:f>1+AF$9*($H$10*H279+$I$10*I279+$J$10*J279+$K$10*K279+$L$10*L279)</x:f>
        <x:v>1.2099728958240152</x:v>
      </x:c>
      <x:c r="AG279" s="59" t="n">
        <x:f>1+AG$9*($H$10*H279+$I$10*I279+$J$10*J279+$K$10*K279+$L$10*L279)</x:f>
        <x:v>1.3721186320436745</x:v>
      </x:c>
      <x:c r="AH279" s="59" t="n">
        <x:f>MIN(1,'_曲线基线'!$L$3+AH$9*($H$10*H279+$I$10*I279+$J$10*J279+$K$10*K279+$L$10*L279))</x:f>
        <x:v>0.5276883379996343</x:v>
      </x:c>
      <x:c r="AI279" s="59" t="n">
        <x:f>'_曲线基线'!$L$4+AI$9*($H$10*H279+$I$10*I279+$J$10*J279+$K$10*K279+$L$10*L279)</x:f>
        <x:v>3.3307032272846957</x:v>
      </x:c>
      <x:c r="AJ279" s="59" t="n">
        <x:f>1+AJ$9*($H$10*H279+$I$10*I279+$J$10*J279+$K$10*K279+$L$10*L279)</x:f>
        <x:v>2.0918590582848786</x:v>
      </x:c>
      <x:c r="AK279" s="59" t="n">
        <x:f>(1+AH279*(AI279-1))*AJ279</x:f>
        <x:v>4.664604952887031</x:v>
      </x:c>
      <x:c r="AL279" s="59" t="n">
        <x:f>U279*AD279*AK279*F279</x:f>
        <x:v>2369362.6373402</x:v>
      </x:c>
      <x:c r="AM279" s="59" t="n">
        <x:f>IF($B279&lt;AM$8,0,AM$3+(AM$4-AM$3)*(POWER(AM$5,$B279-AM$8)-1)/(POWER(AM$5,$C$5-AM$8)-1))</x:f>
        <x:v>52.78729267427997</x:v>
      </x:c>
      <x:c r="AN279" s="59" t="n">
        <x:f>(((E279*'模块规划'!$D$10+G279*'模块规划'!$D$11+H279*'模块规划'!$D$13)*(1+'模块规划'!$G$14*H279)+(I279*'模块规划'!$D$15+J279*'模块规划'!$D$17+K279*'模块规划'!$D$16+L279*'模块规划'!$D$18))*(1+'模块规划'!$J$17*J279))*F279/(1-Q279)</x:f>
        <x:v>2861624.1651686104</x:v>
      </x:c>
      <x:c r="AO279" s="59" t="n">
        <x:f>AL279*AM279</x:f>
        <x:v>125072238.988781</x:v>
      </x:c>
      <x:c r="AP279" s="61" t="n">
        <x:f>IF(AO279="","",INDEX('_曲线基线'!$A$3:$A$502,MIN(ROWS('_曲线基线'!$A$3:$A$502),COUNTIF('_曲线基线'!$E$3:$E$502,"&lt;"&amp;AO279)+1)))</x:f>
        <x:v>311</x:v>
      </x:c>
      <x:c r="AQ279" s="61" t="n">
        <x:f>IF(B279&lt;=2,1,IF(B279&lt;=6,2,IF(B279&lt;=9,3,IF(B279&lt;=19,4,5))))</x:f>
        <x:v>5</x:v>
      </x:c>
      <x:c r="AR279" s="59" t="n">
        <x:f>AN279*(1-Q279)/F279*$AS$3+U279*$AS$4+P279*$AS$5</x:f>
        <x:v>17675.673030426224</x:v>
      </x:c>
      <x:c r="AS279" s="59" t="n">
        <x:f>1+AH279*$AS$6+AI279*$AS$7+(AJ279-1)*$AS$8+($H$10*H279+$I$10*I279+$J$10*J279+$K$10*K279+$L$10*L279)*$AU$3*$AS$9+($H$10*H279+$I$10*I279+$J$10*J279+$K$10*K279+$L$10*L279)*$AU$4*$AS$10</x:f>
        <x:v>17.527699107187782</x:v>
      </x:c>
      <x:c r="AT279" s="60" t="n">
        <x:f>ROUND(AR279*AS279,0)</x:f>
        <x:v>309814</x:v>
      </x:c>
      <x:c r="AU279" s="60" t="n">
        <x:f>ROUND(AT279*F279,0)</x:f>
        <x:v>1549070</x:v>
      </x:c>
      <x:c r="AV279" s="60" t="n">
        <x:f>MIN(MATCH(B279,'主线调参'!$M$11:$M$62,1),ROWS('主线调参'!$M$11:$M$62)-1)</x:f>
        <x:v>51</x:v>
      </x:c>
      <x:c r="AW279" s="62" t="n">
        <x:f>(B279-INDEX('主线调参'!$M$11:$M$62,AV279))/(INDEX('主线调参'!$M$11:$M$62,AV279+1)-INDEX('主线调参'!$M$11:$M$62,AV279))</x:f>
        <x:v>0.21428571428571427</x:v>
      </x:c>
      <x:c r="AX279" s="60" t="n">
        <x:f>IF(AU279=0,0,ROUND(AU279,2-INT(LOG10(ABS(AU279)))))</x:f>
        <x:v>1550000</x:v>
      </x:c>
      <x:c r="AY279" s="62" t="n">
        <x:f>AU279/AU278-1</x:f>
        <x:v>0.003212206384260119</x:v>
      </x:c>
    </x:row>
    <x:row r="280" ht="25" customHeight="1">
      <x:c r="A280" s="40" t="str">
        <x:f>'调前玩家曲线'!A280</x:f>
      </x:c>
      <x:c r="B280" s="40" t="n">
        <x:f>'调前玩家曲线'!B280</x:f>
        <x:v>269</x:v>
      </x:c>
      <x:c r="C280" s="40" t="n">
        <x:f>'调前玩家曲线'!C280</x:f>
        <x:v>19</x:v>
      </x:c>
      <x:c r="D280" s="40" t="n">
        <x:f>'调前玩家曲线'!D280</x:f>
        <x:v>5</x:v>
      </x:c>
      <x:c r="E280" s="40" t="n">
        <x:f>'调前玩家曲线'!E280</x:f>
        <x:v>1</x:v>
      </x:c>
      <x:c r="F280" s="40" t="n">
        <x:f>'调前玩家曲线'!F280</x:f>
        <x:v>5</x:v>
      </x:c>
      <x:c r="G280" s="63" t="n">
        <x:f>IF(B280&lt;$G$8,0,(INDEX('主线调参'!$C$11:$C$62,$AV280)+(INDEX('主线调参'!$C$11:$C$62,$AV280+1)-INDEX('主线调参'!$C$11:$C$62,$AV280))*$AW280)*'参数说明'!$C$27)</x:f>
        <x:v>0.8889196894624047</x:v>
      </x:c>
      <x:c r="H280" s="63" t="n">
        <x:f>IF(B280&lt;$H$8,0,(INDEX('主线调参'!$D$11:$D$62,$AV280)+(INDEX('主线调参'!$D$11:$D$62,$AV280+1)-INDEX('主线调参'!$D$11:$D$62,$AV280))*$AW280)*'参数说明'!$D$27)</x:f>
        <x:v>0.6912586912230637</x:v>
      </x:c>
      <x:c r="I280" s="63" t="n">
        <x:f>IF(B280&lt;$I$8,0,(INDEX('主线调参'!$E$11:$E$62,$AV280)+(INDEX('主线调参'!$E$11:$E$62,$AV280+1)-INDEX('主线调参'!$E$11:$E$62,$AV280))*$AW280)*'参数说明'!$E$27)</x:f>
        <x:v>0.6389634129314952</x:v>
      </x:c>
      <x:c r="J280" s="63" t="n">
        <x:f>IF(B280&lt;$J$8,0,(INDEX('主线调参'!$F$11:$F$62,$AV280)+(INDEX('主线调参'!$F$11:$F$62,$AV280+1)-INDEX('主线调参'!$F$11:$F$62,$AV280))*$AW280)*'参数说明'!$F$27)</x:f>
        <x:v>0.5906362253989873</x:v>
      </x:c>
      <x:c r="K280" s="63" t="n">
        <x:f>IF(B280&lt;$K$8,0,(INDEX('主线调参'!$G$11:$G$62,$AV280)+(INDEX('主线调参'!$G$11:$G$62,$AV280+1)-INDEX('主线调参'!$G$11:$G$62,$AV280))*$AW280)*'参数说明'!$G$27)</x:f>
        <x:v>0.636811110908489</x:v>
      </x:c>
      <x:c r="L280" s="63" t="n">
        <x:f>IF(B280&lt;$L$8,0,(INDEX('主线调参'!$H$11:$H$62,$AV280)+(INDEX('主线调参'!$H$11:$H$62,$AV280+1)-INDEX('主线调参'!$H$11:$H$62,$AV280))*$AW280)*'参数说明'!$H$27)</x:f>
        <x:v>0.6909448239204704</x:v>
      </x:c>
      <x:c r="M280" s="59" t="n">
        <x:f>E280*'模块规划'!$F$10+G280*'模块规划'!$F$11+H280*'模块规划'!$F$13</x:f>
        <x:v>5266.814509419542</x:v>
      </x:c>
      <x:c r="N280" s="59" t="n">
        <x:f>I280*'模块规划'!$F$15+J280*'模块规划'!$F$17+K280*'模块规划'!$F$16+L280*'模块规划'!$F$18</x:f>
        <x:v>18293.66034249512</x:v>
      </x:c>
      <x:c r="O280" s="59" t="n">
        <x:f>1+O$9*SUMPRODUCT($H$10:$L$10,H280:L280)/SUM($H$10:$L$10)</x:f>
        <x:v>3.3828817876785546</x:v>
      </x:c>
      <x:c r="P280" s="59" t="n">
        <x:f>M280*O280+N280</x:f>
        <x:v>36110.67122549165</x:v>
      </x:c>
      <x:c r="Q280" s="59" t="n">
        <x:f>P280/(P280+'_曲线基线'!$L$2)</x:f>
        <x:v>0.6007364497732957</x:v>
      </x:c>
      <x:c r="R280" s="59" t="n">
        <x:f>E280*'模块规划'!$E$10+G280*'模块规划'!$E$11+H280*'模块规划'!$E$13</x:f>
        <x:v>7900.221764129314</x:v>
      </x:c>
      <x:c r="S280" s="59" t="n">
        <x:f>I280*'模块规划'!$E$15+J280*'模块规划'!$E$17+K280*'模块规划'!$E$16+L280*'模块规划'!$E$18</x:f>
        <x:v>27440.490513742683</x:v>
      </x:c>
      <x:c r="T280" s="59" t="n">
        <x:f>1+T$9*SUMPRODUCT($H$10:$L$10,H280:L280)/SUM($H$10:$L$10)</x:f>
        <x:v>3.3828817876785546</x:v>
      </x:c>
      <x:c r="U280" s="59" t="n">
        <x:f>R280*T280+S280</x:f>
        <x:v>54166.00683823748</x:v>
      </x:c>
      <x:c r="V280" s="59" t="n">
        <x:f>V$8+(V$9-V$8)*H280</x:f>
        <x:v>0.9073776073669191</x:v>
      </x:c>
      <x:c r="W280" s="59" t="n">
        <x:f>IF(B280&lt;$H$8,0,W$8+(W$9-W$8)*H280)</x:f>
        <x:v>0.2765034764892255</x:v>
      </x:c>
      <x:c r="X280" s="59" t="n">
        <x:f>X$8+(X$9-X$8)*H280</x:f>
        <x:v>0.4650961400863426</x:v>
      </x:c>
      <x:c r="Y280" s="59" t="n">
        <x:f>Y$8+(Y$9-Y$8)*G280</x:f>
        <x:v>1</x:v>
      </x:c>
      <x:c r="Z280" s="59" t="n">
        <x:f>Z$8+(Z$9-Z$8)*H280</x:f>
        <x:v>1</x:v>
      </x:c>
      <x:c r="AA280" s="59" t="n">
        <x:f>AA$8+(AA$9-AA$8)*I280</x:f>
        <x:v>1</x:v>
      </x:c>
      <x:c r="AB280" s="59" t="n">
        <x:f>AB$8+(AB$9-AB$8)*J280</x:f>
        <x:v>1</x:v>
      </x:c>
      <x:c r="AC280" s="59" t="n">
        <x:f>AC$8+(AC$9-AC$8)*MAX(K280,L280)</x:f>
        <x:v>1</x:v>
      </x:c>
      <x:c r="AD280" s="59" t="n">
        <x:f>(V280*AE280+W280*AF280+X280*AG280)*PRODUCT(Y280:AC280)</x:f>
        <x:v>1.8804785962387762</x:v>
      </x:c>
      <x:c r="AE280" s="59" t="n">
        <x:f>1+AE$9*($H$10*H280+$I$10*I280+$J$10*J280+$K$10*K280+$L$10*L280)</x:f>
        <x:v>1</x:v>
      </x:c>
      <x:c r="AF280" s="59" t="n">
        <x:f>1+AF$9*($H$10*H280+$I$10*I280+$J$10*J280+$K$10*K280+$L$10*L280)</x:f>
        <x:v>1.2103110241756783</x:v>
      </x:c>
      <x:c r="AG280" s="59" t="n">
        <x:f>1+AG$9*($H$10*H280+$I$10*I280+$J$10*J280+$K$10*K280+$L$10*L280)</x:f>
        <x:v>1.3727178706224548</x:v>
      </x:c>
      <x:c r="AH280" s="59" t="n">
        <x:f>MIN(1,'_曲线基线'!$L$3+AH$9*($H$10*H280+$I$10*I280+$J$10*J280+$K$10*K280+$L$10*L280))</x:f>
        <x:v>0.5284575799996676</x:v>
      </x:c>
      <x:c r="AI280" s="59" t="n">
        <x:f>'_曲线基线'!$L$4+AI$9*($H$10*H280+$I$10*I280+$J$10*J280+$K$10*K280+$L$10*L280)</x:f>
        <x:v>3.3328461157133598</x:v>
      </x:c>
      <x:c r="AJ280" s="59" t="n">
        <x:f>1+AJ$9*($H$10*H280+$I$10*I280+$J$10*J280+$K$10*K280+$L$10*L280)</x:f>
        <x:v>2.093617325713526</x:v>
      </x:c>
      <x:c r="AK280" s="59" t="n">
        <x:f>(1+AH280*(AI280-1))*AJ280</x:f>
        <x:v>4.674650146593212</x:v>
      </x:c>
      <x:c r="AL280" s="59" t="n">
        <x:f>U280*AD280*AK280*F280</x:f>
        <x:v>2380752.9588878863</x:v>
      </x:c>
      <x:c r="AM280" s="59" t="n">
        <x:f>IF($B280&lt;AM$8,0,AM$3+(AM$4-AM$3)*(POWER(AM$5,$B280-AM$8)-1)/(POWER(AM$5,$C$5-AM$8)-1))</x:f>
        <x:v>52.978590240944634</x:v>
      </x:c>
      <x:c r="AN280" s="59" t="n">
        <x:f>(((E280*'模块规划'!$D$10+G280*'模块规划'!$D$11+H280*'模块规划'!$D$13)*(1+'模块规划'!$G$14*H280)+(I280*'模块规划'!$D$15+J280*'模块规划'!$D$17+K280*'模块规划'!$D$16+L280*'模块规划'!$D$18))*(1+'模块规划'!$J$17*J280))*F280/(1-Q280)</x:f>
        <x:v>2871431.19760187</x:v>
      </x:c>
      <x:c r="AO280" s="59" t="n">
        <x:f>AL280*AM280</x:f>
        <x:v>126128935.47383784</x:v>
      </x:c>
      <x:c r="AP280" s="61" t="n">
        <x:f>IF(AO280="","",INDEX('_曲线基线'!$A$3:$A$502,MIN(ROWS('_曲线基线'!$A$3:$A$502),COUNTIF('_曲线基线'!$E$3:$E$502,"&lt;"&amp;AO280)+1)))</x:f>
        <x:v>312</x:v>
      </x:c>
      <x:c r="AQ280" s="61" t="n">
        <x:f>IF(B280&lt;=2,1,IF(B280&lt;=6,2,IF(B280&lt;=9,3,IF(B280&lt;=19,4,5))))</x:f>
        <x:v>5</x:v>
      </x:c>
      <x:c r="AR280" s="59" t="n">
        <x:f>AN280*(1-Q280)/F280*$AS$3+U280*$AS$4+P280*$AS$5</x:f>
        <x:v>17711.948252764938</x:v>
      </x:c>
      <x:c r="AS280" s="59" t="n">
        <x:f>1+AH280*$AS$6+AI280*$AS$7+(AJ280-1)*$AS$8+($H$10*H280+$I$10*I280+$J$10*J280+$K$10*K280+$L$10*L280)*$AU$3*$AS$9+($H$10*H280+$I$10*I280+$J$10*J280+$K$10*K280+$L$10*L280)*$AU$4*$AS$10</x:f>
        <x:v>17.547902660397984</x:v>
      </x:c>
      <x:c r="AT280" s="60" t="n">
        <x:f>ROUND(AR280*AS280,0)</x:f>
        <x:v>310808</x:v>
      </x:c>
      <x:c r="AU280" s="60" t="n">
        <x:f>ROUND(AT280*F280,0)</x:f>
        <x:v>1554040</x:v>
      </x:c>
      <x:c r="AV280" s="60" t="n">
        <x:f>MIN(MATCH(B280,'主线调参'!$M$11:$M$62,1),ROWS('主线调参'!$M$11:$M$62)-1)</x:f>
        <x:v>51</x:v>
      </x:c>
      <x:c r="AW280" s="62" t="n">
        <x:f>(B280-INDEX('主线调参'!$M$11:$M$62,AV280))/(INDEX('主线调参'!$M$11:$M$62,AV280+1)-INDEX('主线调参'!$M$11:$M$62,AV280))</x:f>
        <x:v>0.2857142857142857</x:v>
      </x:c>
      <x:c r="AX280" s="60" t="n">
        <x:f>IF(AU280=0,0,ROUND(AU280,2-INT(LOG10(ABS(AU280)))))</x:f>
        <x:v>1550000</x:v>
      </x:c>
      <x:c r="AY280" s="62" t="n">
        <x:f>AU280/AU279-1</x:f>
        <x:v>0.003208376638886623</x:v>
      </x:c>
    </x:row>
    <x:row r="281" ht="25" customHeight="1">
      <x:c r="A281" s="40" t="str">
        <x:f>'调前玩家曲线'!A281</x:f>
      </x:c>
      <x:c r="B281" s="40" t="n">
        <x:f>'调前玩家曲线'!B281</x:f>
        <x:v>270</x:v>
      </x:c>
      <x:c r="C281" s="40" t="n">
        <x:f>'调前玩家曲线'!C281</x:f>
        <x:v>19</x:v>
      </x:c>
      <x:c r="D281" s="40" t="n">
        <x:f>'调前玩家曲线'!D281</x:f>
        <x:v>6</x:v>
      </x:c>
      <x:c r="E281" s="40" t="n">
        <x:f>'调前玩家曲线'!E281</x:f>
        <x:v>1</x:v>
      </x:c>
      <x:c r="F281" s="40" t="n">
        <x:f>'调前玩家曲线'!F281</x:f>
        <x:v>5</x:v>
      </x:c>
      <x:c r="G281" s="63" t="n">
        <x:f>IF(B281&lt;$G$8,0,(INDEX('主线调参'!$C$11:$C$62,$AV281)+(INDEX('主线调参'!$C$11:$C$62,$AV281+1)-INDEX('主线调参'!$C$11:$C$62,$AV281))*$AW281)*'参数说明'!$C$27)</x:f>
        <x:v>0.8900277205161643</x:v>
      </x:c>
      <x:c r="H281" s="63" t="n">
        <x:f>IF(B281&lt;$H$8,0,(INDEX('主线调参'!$D$11:$D$62,$AV281)+(INDEX('主线调参'!$D$11:$D$62,$AV281+1)-INDEX('主线调参'!$D$11:$D$62,$AV281))*$AW281)*'参数说明'!$D$27)</x:f>
        <x:v>0.6921328221007573</x:v>
      </x:c>
      <x:c r="I281" s="63" t="n">
        <x:f>IF(B281&lt;$I$8,0,(INDEX('主线调参'!$E$11:$E$62,$AV281)+(INDEX('主线调参'!$E$11:$E$62,$AV281+1)-INDEX('主线调参'!$E$11:$E$62,$AV281))*$AW281)*'参数说明'!$E$27)</x:f>
        <x:v>0.6400670716383455</x:v>
      </x:c>
      <x:c r="J281" s="63" t="n">
        <x:f>IF(B281&lt;$J$8,0,(INDEX('主线调参'!$F$11:$F$62,$AV281)+(INDEX('主线调参'!$F$11:$F$62,$AV281+1)-INDEX('主线调参'!$F$11:$F$62,$AV281))*$AW281)*'参数说明'!$F$27)</x:f>
        <x:v>0.5915726028590885</x:v>
      </x:c>
      <x:c r="K281" s="63" t="n">
        <x:f>IF(B281&lt;$K$8,0,(INDEX('主线调参'!$G$11:$G$62,$AV281)+(INDEX('主线调参'!$G$11:$G$62,$AV281+1)-INDEX('主线调参'!$G$11:$G$62,$AV281))*$AW281)*'参数说明'!$G$27)</x:f>
        <x:v>0.6381299998176402</x:v>
      </x:c>
      <x:c r="L281" s="63" t="n">
        <x:f>IF(B281&lt;$L$8,0,(INDEX('主线调参'!$H$11:$H$62,$AV281)+(INDEX('主线调参'!$H$11:$H$62,$AV281+1)-INDEX('主线调参'!$H$11:$H$62,$AV281))*$AW281)*'参数说明'!$H$27)</x:f>
        <x:v>0.6918503415284234</x:v>
      </x:c>
      <x:c r="M281" s="59" t="n">
        <x:f>E281*'模块规划'!$F$10+G281*'模块规划'!$F$11+H281*'模块规划'!$F$13</x:f>
        <x:v>5272.133058477589</x:v>
      </x:c>
      <x:c r="N281" s="59" t="n">
        <x:f>I281*'模块规划'!$F$15+J281*'模块规划'!$F$17+K281*'模块规划'!$F$16+L281*'模块规划'!$F$18</x:f>
        <x:v>18324.294308245608</x:v>
      </x:c>
      <x:c r="O281" s="59" t="n">
        <x:f>1+O$9*SUMPRODUCT($H$10:$L$10,H281:L281)/SUM($H$10:$L$10)</x:f>
        <x:v>3.386712874965745</x:v>
      </x:c>
      <x:c r="P281" s="59" t="n">
        <x:f>M281*O281+N281</x:f>
        <x:v>36179.49521592419</x:v>
      </x:c>
      <x:c r="Q281" s="59" t="n">
        <x:f>P281/(P281+'_曲线基线'!$L$2)</x:f>
        <x:v>0.60119306561333</x:v>
      </x:c>
      <x:c r="R281" s="59" t="n">
        <x:f>E281*'模块规划'!$E$10+G281*'模块规划'!$E$11+H281*'模块规划'!$E$13</x:f>
        <x:v>7908.199587716383</x:v>
      </x:c>
      <x:c r="S281" s="59" t="n">
        <x:f>I281*'模块规划'!$E$15+J281*'模块规划'!$E$17+K281*'模块规划'!$E$16+L281*'模块规划'!$E$18</x:f>
        <x:v>27486.441462368413</x:v>
      </x:c>
      <x:c r="T281" s="59" t="n">
        <x:f>1+T$9*SUMPRODUCT($H$10:$L$10,H281:L281)/SUM($H$10:$L$10)</x:f>
        <x:v>3.386712874965745</x:v>
      </x:c>
      <x:c r="U281" s="59" t="n">
        <x:f>R281*T281+S281</x:f>
        <x:v>54269.24282388628</x:v>
      </x:c>
      <x:c r="V281" s="59" t="n">
        <x:f>V$8+(V$9-V$8)*H281</x:f>
        <x:v>0.9076398466302271</x:v>
      </x:c>
      <x:c r="W281" s="59" t="n">
        <x:f>IF(B281&lt;$H$8,0,W$8+(W$9-W$8)*H281)</x:f>
        <x:v>0.27685312884030294</x:v>
      </x:c>
      <x:c r="X281" s="59" t="n">
        <x:f>X$8+(X$9-X$8)*H281</x:f>
        <x:v>0.4653365260777083</x:v>
      </x:c>
      <x:c r="Y281" s="59" t="n">
        <x:f>Y$8+(Y$9-Y$8)*G281</x:f>
        <x:v>1</x:v>
      </x:c>
      <x:c r="Z281" s="59" t="n">
        <x:f>Z$8+(Z$9-Z$8)*H281</x:f>
        <x:v>1</x:v>
      </x:c>
      <x:c r="AA281" s="59" t="n">
        <x:f>AA$8+(AA$9-AA$8)*I281</x:f>
        <x:v>1</x:v>
      </x:c>
      <x:c r="AB281" s="59" t="n">
        <x:f>AB$8+(AB$9-AB$8)*J281</x:f>
        <x:v>1</x:v>
      </x:c>
      <x:c r="AC281" s="59" t="n">
        <x:f>AC$8+(AC$9-AC$8)*MAX(K281,L281)</x:f>
        <x:v>1</x:v>
      </x:c>
      <x:c r="AD281" s="59" t="n">
        <x:f>(V281*AE281+W281*AF281+X281*AG281)*PRODUCT(Y281:AC281)</x:f>
        <x:v>1.8818664652340664</x:v>
      </x:c>
      <x:c r="AE281" s="59" t="n">
        <x:f>1+AE$9*($H$10*H281+$I$10*I281+$J$10*J281+$K$10*K281+$L$10*L281)</x:f>
        <x:v>1</x:v>
      </x:c>
      <x:c r="AF281" s="59" t="n">
        <x:f>1+AF$9*($H$10*H281+$I$10*I281+$J$10*J281+$K$10*K281+$L$10*L281)</x:f>
        <x:v>1.2106491525273413</x:v>
      </x:c>
      <x:c r="AG281" s="59" t="n">
        <x:f>1+AG$9*($H$10*H281+$I$10*I281+$J$10*J281+$K$10*K281+$L$10*L281)</x:f>
        <x:v>1.3733171092012353</x:v>
      </x:c>
      <x:c r="AH281" s="59" t="n">
        <x:f>MIN(1,'_曲线基线'!$L$3+AH$9*($H$10*H281+$I$10*I281+$J$10*J281+$K$10*K281+$L$10*L281))</x:f>
        <x:v>0.5292268219997007</x:v>
      </x:c>
      <x:c r="AI281" s="59" t="n">
        <x:f>'_曲线基线'!$L$4+AI$9*($H$10*H281+$I$10*I281+$J$10*J281+$K$10*K281+$L$10*L281)</x:f>
        <x:v>3.334989004142024</x:v>
      </x:c>
      <x:c r="AJ281" s="59" t="n">
        <x:f>1+AJ$9*($H$10*H281+$I$10*I281+$J$10*J281+$K$10*K281+$L$10*L281)</x:f>
        <x:v>2.0953755931421734</x:v>
      </x:c>
      <x:c r="AK281" s="59" t="n">
        <x:f>(1+AH281*(AI281-1))*AJ281</x:f>
        <x:v>4.684712535253711</x:v>
      </x:c>
      <x:c r="AL281" s="59" t="n">
        <x:f>U281*AD281*AK281*F281</x:f>
        <x:v>2392189.15150611</x:v>
      </x:c>
      <x:c r="AM281" s="59" t="n">
        <x:f>IF($B281&lt;AM$8,0,AM$3+(AM$4-AM$3)*(POWER(AM$5,$B281-AM$8)-1)/(POWER(AM$5,$C$5-AM$8)-1))</x:f>
        <x:v>53.17180078327594</x:v>
      </x:c>
      <x:c r="AN281" s="59" t="n">
        <x:f>(((E281*'模块规划'!$D$10+G281*'模块规划'!$D$11+H281*'模块规划'!$D$13)*(1+'模块规划'!$G$14*H281)+(I281*'模块规划'!$D$15+J281*'模块规划'!$D$17+K281*'模块规划'!$D$16+L281*'模块规划'!$D$18))*(1+'模块规划'!$J$17*J281))*F281/(1-Q281)</x:f>
        <x:v>2881262.133753993</x:v>
      </x:c>
      <x:c r="AO281" s="59" t="n">
        <x:f>AL281*AM281</x:f>
        <x:v>127197004.9997968</x:v>
      </x:c>
      <x:c r="AP281" s="61" t="n">
        <x:f>IF(AO281="","",INDEX('_曲线基线'!$A$3:$A$502,MIN(ROWS('_曲线基线'!$A$3:$A$502),COUNTIF('_曲线基线'!$E$3:$E$502,"&lt;"&amp;AO281)+1)))</x:f>
        <x:v>312</x:v>
      </x:c>
      <x:c r="AQ281" s="61" t="n">
        <x:f>IF(B281&lt;=2,1,IF(B281&lt;=6,2,IF(B281&lt;=9,3,IF(B281&lt;=19,4,5))))</x:f>
        <x:v>5</x:v>
      </x:c>
      <x:c r="AR281" s="59" t="n">
        <x:f>AN281*(1-Q281)/F281*$AS$3+U281*$AS$4+P281*$AS$5</x:f>
        <x:v>17748.25247713821</x:v>
      </x:c>
      <x:c r="AS281" s="59" t="n">
        <x:f>1+AH281*$AS$6+AI281*$AS$7+(AJ281-1)*$AS$8+($H$10*H281+$I$10*I281+$J$10*J281+$K$10*K281+$L$10*L281)*$AU$3*$AS$9+($H$10*H281+$I$10*I281+$J$10*J281+$K$10*K281+$L$10*L281)*$AU$4*$AS$10</x:f>
        <x:v>17.568106213608186</x:v>
      </x:c>
      <x:c r="AT281" s="60" t="n">
        <x:f>ROUND(AR281*AS281,0)</x:f>
        <x:v>311803</x:v>
      </x:c>
      <x:c r="AU281" s="60" t="n">
        <x:f>ROUND(AT281*F281,0)</x:f>
        <x:v>1559015</x:v>
      </x:c>
      <x:c r="AV281" s="60" t="n">
        <x:f>MIN(MATCH(B281,'主线调参'!$M$11:$M$62,1),ROWS('主线调参'!$M$11:$M$62)-1)</x:f>
        <x:v>51</x:v>
      </x:c>
      <x:c r="AW281" s="62" t="n">
        <x:f>(B281-INDEX('主线调参'!$M$11:$M$62,AV281))/(INDEX('主线调参'!$M$11:$M$62,AV281+1)-INDEX('主线调参'!$M$11:$M$62,AV281))</x:f>
        <x:v>0.35714285714285715</x:v>
      </x:c>
      <x:c r="AX281" s="60" t="n">
        <x:f>IF(AU281=0,0,ROUND(AU281,2-INT(LOG10(ABS(AU281)))))</x:f>
        <x:v>1560000</x:v>
      </x:c>
      <x:c r="AY281" s="62" t="n">
        <x:f>AU281/AU280-1</x:f>
        <x:v>0.003201333299014175</x:v>
      </x:c>
    </x:row>
    <x:row r="282" ht="25" customHeight="1">
      <x:c r="A282" s="40" t="str">
        <x:f>'调前玩家曲线'!A282</x:f>
      </x:c>
      <x:c r="B282" s="40" t="n">
        <x:f>'调前玩家曲线'!B282</x:f>
        <x:v>271</x:v>
      </x:c>
      <x:c r="C282" s="40" t="n">
        <x:f>'调前玩家曲线'!C282</x:f>
        <x:v>19</x:v>
      </x:c>
      <x:c r="D282" s="40" t="n">
        <x:f>'调前玩家曲线'!D282</x:f>
        <x:v>7</x:v>
      </x:c>
      <x:c r="E282" s="40" t="n">
        <x:f>'调前玩家曲线'!E282</x:f>
        <x:v>1</x:v>
      </x:c>
      <x:c r="F282" s="40" t="n">
        <x:f>'调前玩家曲线'!F282</x:f>
        <x:v>5</x:v>
      </x:c>
      <x:c r="G282" s="63" t="n">
        <x:f>IF(B282&lt;$G$8,0,(INDEX('主线调参'!$C$11:$C$62,$AV282)+(INDEX('主线调参'!$C$11:$C$62,$AV282+1)-INDEX('主线调参'!$C$11:$C$62,$AV282))*$AW282)*'参数说明'!$C$27)</x:f>
        <x:v>0.8911357515699238</x:v>
      </x:c>
      <x:c r="H282" s="63" t="n">
        <x:f>IF(B282&lt;$H$8,0,(INDEX('主线调参'!$D$11:$D$62,$AV282)+(INDEX('主线调参'!$D$11:$D$62,$AV282+1)-INDEX('主线调参'!$D$11:$D$62,$AV282))*$AW282)*'参数说明'!$D$27)</x:f>
        <x:v>0.693006952978451</x:v>
      </x:c>
      <x:c r="I282" s="63" t="n">
        <x:f>IF(B282&lt;$I$8,0,(INDEX('主线调参'!$E$11:$E$62,$AV282)+(INDEX('主线调参'!$E$11:$E$62,$AV282+1)-INDEX('主线调参'!$E$11:$E$62,$AV282))*$AW282)*'参数说明'!$E$27)</x:f>
        <x:v>0.6411707303451961</x:v>
      </x:c>
      <x:c r="J282" s="63" t="n">
        <x:f>IF(B282&lt;$J$8,0,(INDEX('主线调参'!$F$11:$F$62,$AV282)+(INDEX('主线调参'!$F$11:$F$62,$AV282+1)-INDEX('主线调参'!$F$11:$F$62,$AV282))*$AW282)*'参数说明'!$F$27)</x:f>
        <x:v>0.5925089803191897</x:v>
      </x:c>
      <x:c r="K282" s="63" t="n">
        <x:f>IF(B282&lt;$K$8,0,(INDEX('主线调参'!$G$11:$G$62,$AV282)+(INDEX('主线调参'!$G$11:$G$62,$AV282+1)-INDEX('主线调参'!$G$11:$G$62,$AV282))*$AW282)*'参数说明'!$G$27)</x:f>
        <x:v>0.6394488887267912</x:v>
      </x:c>
      <x:c r="L282" s="63" t="n">
        <x:f>IF(B282&lt;$L$8,0,(INDEX('主线调参'!$H$11:$H$62,$AV282)+(INDEX('主线调参'!$H$11:$H$62,$AV282+1)-INDEX('主线调参'!$H$11:$H$62,$AV282))*$AW282)*'参数说明'!$H$27)</x:f>
        <x:v>0.6927558591363763</x:v>
      </x:c>
      <x:c r="M282" s="59" t="n">
        <x:f>E282*'模块规划'!$F$10+G282*'模块规划'!$F$11+H282*'模块规划'!$F$13</x:f>
        <x:v>5277.451607535634</x:v>
      </x:c>
      <x:c r="N282" s="59" t="n">
        <x:f>I282*'模块规划'!$F$15+J282*'模块规划'!$F$17+K282*'模块规划'!$F$16+L282*'模块规划'!$F$18</x:f>
        <x:v>18354.928273996095</x:v>
      </x:c>
      <x:c r="O282" s="59" t="n">
        <x:f>1+O$9*SUMPRODUCT($H$10:$L$10,H282:L282)/SUM($H$10:$L$10)</x:f>
        <x:v>3.390543962252936</x:v>
      </x:c>
      <x:c r="P282" s="59" t="n">
        <x:f>M282*O282+N282</x:f>
        <x:v>36248.35995800809</x:v>
      </x:c>
      <x:c r="Q282" s="59" t="n">
        <x:f>P282/(P282+'_曲线基线'!$L$2)</x:f>
        <x:v>0.6016489076760343</x:v>
      </x:c>
      <x:c r="R282" s="59" t="n">
        <x:f>E282*'模块规划'!$E$10+G282*'模块规划'!$E$11+H282*'模块规划'!$E$13</x:f>
        <x:v>7916.177411303451</x:v>
      </x:c>
      <x:c r="S282" s="59" t="n">
        <x:f>I282*'模块规划'!$E$15+J282*'模块规划'!$E$17+K282*'模块规划'!$E$16+L282*'模块规划'!$E$18</x:f>
        <x:v>27532.39241099414</x:v>
      </x:c>
      <x:c r="T282" s="59" t="n">
        <x:f>1+T$9*SUMPRODUCT($H$10:$L$10,H282:L282)/SUM($H$10:$L$10)</x:f>
        <x:v>3.390543962252936</x:v>
      </x:c>
      <x:c r="U282" s="59" t="n">
        <x:f>R282*T282+S282</x:f>
        <x:v>54372.53993701213</x:v>
      </x:c>
      <x:c r="V282" s="59" t="n">
        <x:f>V$8+(V$9-V$8)*H282</x:f>
        <x:v>0.9079020858935353</x:v>
      </x:c>
      <x:c r="W282" s="59" t="n">
        <x:f>IF(B282&lt;$H$8,0,W$8+(W$9-W$8)*H282)</x:f>
        <x:v>0.2772027811913804</x:v>
      </x:c>
      <x:c r="X282" s="59" t="n">
        <x:f>X$8+(X$9-X$8)*H282</x:f>
        <x:v>0.4655769120690741</x:v>
      </x:c>
      <x:c r="Y282" s="59" t="n">
        <x:f>Y$8+(Y$9-Y$8)*G282</x:f>
        <x:v>1</x:v>
      </x:c>
      <x:c r="Z282" s="59" t="n">
        <x:f>Z$8+(Z$9-Z$8)*H282</x:f>
        <x:v>1</x:v>
      </x:c>
      <x:c r="AA282" s="59" t="n">
        <x:f>AA$8+(AA$9-AA$8)*I282</x:f>
        <x:v>1</x:v>
      </x:c>
      <x:c r="AB282" s="59" t="n">
        <x:f>AB$8+(AB$9-AB$8)*J282</x:f>
        <x:v>1</x:v>
      </x:c>
      <x:c r="AC282" s="59" t="n">
        <x:f>AC$8+(AC$9-AC$8)*MAX(K282,L282)</x:f>
        <x:v>1</x:v>
      </x:c>
      <x:c r="AD282" s="59" t="n">
        <x:f>(V282*AE282+W282*AF282+X282*AG282)*PRODUCT(Y282:AC282)</x:f>
        <x:v>1.8832548587812226</x:v>
      </x:c>
      <x:c r="AE282" s="59" t="n">
        <x:f>1+AE$9*($H$10*H282+$I$10*I282+$J$10*J282+$K$10*K282+$L$10*L282)</x:f>
        <x:v>1</x:v>
      </x:c>
      <x:c r="AF282" s="59" t="n">
        <x:f>1+AF$9*($H$10*H282+$I$10*I282+$J$10*J282+$K$10*K282+$L$10*L282)</x:f>
        <x:v>1.2109872808790043</x:v>
      </x:c>
      <x:c r="AG282" s="59" t="n">
        <x:f>1+AG$9*($H$10*H282+$I$10*I282+$J$10*J282+$K$10*K282+$L$10*L282)</x:f>
        <x:v>1.3739163477800158</x:v>
      </x:c>
      <x:c r="AH282" s="59" t="n">
        <x:f>MIN(1,'_曲线基线'!$L$3+AH$9*($H$10*H282+$I$10*I282+$J$10*J282+$K$10*K282+$L$10*L282))</x:f>
        <x:v>0.5299960639997341</x:v>
      </x:c>
      <x:c r="AI282" s="59" t="n">
        <x:f>'_曲线基线'!$L$4+AI$9*($H$10*H282+$I$10*I282+$J$10*J282+$K$10*K282+$L$10*L282)</x:f>
        <x:v>3.337131892570688</x:v>
      </x:c>
      <x:c r="AJ282" s="59" t="n">
        <x:f>1+AJ$9*($H$10*H282+$I$10*I282+$J$10*J282+$K$10*K282+$L$10*L282)</x:f>
        <x:v>2.097133860570821</x:v>
      </x:c>
      <x:c r="AK282" s="59" t="n">
        <x:f>(1+AH282*(AI282-1))*AJ282</x:f>
        <x:v>4.694792136258499</x:v>
      </x:c>
      <x:c r="AL282" s="59" t="n">
        <x:f>U282*AD282*AK282*F282</x:f>
        <x:v>2403671.368253381</x:v>
      </x:c>
      <x:c r="AM282" s="59" t="n">
        <x:f>IF($B282&lt;AM$8,0,AM$3+(AM$4-AM$3)*(POWER(AM$5,$B282-AM$8)-1)/(POWER(AM$5,$C$5-AM$8)-1))</x:f>
        <x:v>53.36694343103058</x:v>
      </x:c>
      <x:c r="AN282" s="59" t="n">
        <x:f>(((E282*'模块规划'!$D$10+G282*'模块规划'!$D$11+H282*'模块规划'!$D$13)*(1+'模块规划'!$G$14*H282)+(I282*'模块规划'!$D$15+J282*'模块规划'!$D$17+K282*'模块规划'!$D$16+L282*'模块规划'!$D$18))*(1+'模块规划'!$J$17*J282))*F282/(1-Q282)</x:f>
        <x:v>2891117.012742833</x:v>
      </x:c>
      <x:c r="AO282" s="59" t="n">
        <x:f>AL282*AM282</x:f>
        <x:v>128276593.93636605</x:v>
      </x:c>
      <x:c r="AP282" s="61" t="n">
        <x:f>IF(AO282="","",INDEX('_曲线基线'!$A$3:$A$502,MIN(ROWS('_曲线基线'!$A$3:$A$502),COUNTIF('_曲线基线'!$E$3:$E$502,"&lt;"&amp;AO282)+1)))</x:f>
        <x:v>313</x:v>
      </x:c>
      <x:c r="AQ282" s="61" t="n">
        <x:f>IF(B282&lt;=2,1,IF(B282&lt;=6,2,IF(B282&lt;=9,3,IF(B282&lt;=19,4,5))))</x:f>
        <x:v>5</x:v>
      </x:c>
      <x:c r="AR282" s="59" t="n">
        <x:f>AN282*(1-Q282)/F282*$AS$3+U282*$AS$4+P282*$AS$5</x:f>
        <x:v>17784.585707777478</x:v>
      </x:c>
      <x:c r="AS282" s="59" t="n">
        <x:f>1+AH282*$AS$6+AI282*$AS$7+(AJ282-1)*$AS$8+($H$10*H282+$I$10*I282+$J$10*J282+$K$10*K282+$L$10*L282)*$AU$3*$AS$9+($H$10*H282+$I$10*I282+$J$10*J282+$K$10*K282+$L$10*L282)*$AU$4*$AS$10</x:f>
        <x:v>17.588309766818387</x:v>
      </x:c>
      <x:c r="AT282" s="60" t="n">
        <x:f>ROUND(AR282*AS282,0)</x:f>
        <x:v>312801</x:v>
      </x:c>
      <x:c r="AU282" s="60" t="n">
        <x:f>ROUND(AT282*F282,0)</x:f>
        <x:v>1564005</x:v>
      </x:c>
      <x:c r="AV282" s="60" t="n">
        <x:f>MIN(MATCH(B282,'主线调参'!$M$11:$M$62,1),ROWS('主线调参'!$M$11:$M$62)-1)</x:f>
        <x:v>51</x:v>
      </x:c>
      <x:c r="AW282" s="62" t="n">
        <x:f>(B282-INDEX('主线调参'!$M$11:$M$62,AV282))/(INDEX('主线调参'!$M$11:$M$62,AV282+1)-INDEX('主线调参'!$M$11:$M$62,AV282))</x:f>
        <x:v>0.42857142857142855</x:v>
      </x:c>
      <x:c r="AX282" s="60" t="n">
        <x:f>IF(AU282=0,0,ROUND(AU282,2-INT(LOG10(ABS(AU282)))))</x:f>
        <x:v>1560000</x:v>
      </x:c>
      <x:c r="AY282" s="62" t="n">
        <x:f>AU282/AU281-1</x:f>
        <x:v>0.00320073892810524</x:v>
      </x:c>
    </x:row>
    <x:row r="283" ht="25" customHeight="1">
      <x:c r="A283" s="40" t="str">
        <x:f>'调前玩家曲线'!A283</x:f>
      </x:c>
      <x:c r="B283" s="40" t="n">
        <x:f>'调前玩家曲线'!B283</x:f>
        <x:v>272</x:v>
      </x:c>
      <x:c r="C283" s="40" t="n">
        <x:f>'调前玩家曲线'!C283</x:f>
        <x:v>19</x:v>
      </x:c>
      <x:c r="D283" s="40" t="n">
        <x:f>'调前玩家曲线'!D283</x:f>
        <x:v>8</x:v>
      </x:c>
      <x:c r="E283" s="40" t="n">
        <x:f>'调前玩家曲线'!E283</x:f>
        <x:v>1</x:v>
      </x:c>
      <x:c r="F283" s="40" t="n">
        <x:f>'调前玩家曲线'!F283</x:f>
        <x:v>5</x:v>
      </x:c>
      <x:c r="G283" s="63" t="n">
        <x:f>IF(B283&lt;$G$8,0,(INDEX('主线调参'!$C$11:$C$62,$AV283)+(INDEX('主线调参'!$C$11:$C$62,$AV283+1)-INDEX('主线调参'!$C$11:$C$62,$AV283))*$AW283)*'参数说明'!$C$27)</x:f>
        <x:v>0.8922437826236833</x:v>
      </x:c>
      <x:c r="H283" s="63" t="n">
        <x:f>IF(B283&lt;$H$8,0,(INDEX('主线调参'!$D$11:$D$62,$AV283)+(INDEX('主线调参'!$D$11:$D$62,$AV283+1)-INDEX('主线调参'!$D$11:$D$62,$AV283))*$AW283)*'参数说明'!$D$27)</x:f>
        <x:v>0.6938810838561446</x:v>
      </x:c>
      <x:c r="I283" s="63" t="n">
        <x:f>IF(B283&lt;$I$8,0,(INDEX('主线调参'!$E$11:$E$62,$AV283)+(INDEX('主线调参'!$E$11:$E$62,$AV283+1)-INDEX('主线调参'!$E$11:$E$62,$AV283))*$AW283)*'参数说明'!$E$27)</x:f>
        <x:v>0.6422743890520465</x:v>
      </x:c>
      <x:c r="J283" s="63" t="n">
        <x:f>IF(B283&lt;$J$8,0,(INDEX('主线调参'!$F$11:$F$62,$AV283)+(INDEX('主线调参'!$F$11:$F$62,$AV283+1)-INDEX('主线调参'!$F$11:$F$62,$AV283))*$AW283)*'参数说明'!$F$27)</x:f>
        <x:v>0.5934453577792911</x:v>
      </x:c>
      <x:c r="K283" s="63" t="n">
        <x:f>IF(B283&lt;$K$8,0,(INDEX('主线调参'!$G$11:$G$62,$AV283)+(INDEX('主线调参'!$G$11:$G$62,$AV283+1)-INDEX('主线调参'!$G$11:$G$62,$AV283))*$AW283)*'参数说明'!$G$27)</x:f>
        <x:v>0.6407677776359423</x:v>
      </x:c>
      <x:c r="L283" s="63" t="n">
        <x:f>IF(B283&lt;$L$8,0,(INDEX('主线调参'!$H$11:$H$62,$AV283)+(INDEX('主线调参'!$H$11:$H$62,$AV283+1)-INDEX('主线调参'!$H$11:$H$62,$AV283))*$AW283)*'参数说明'!$H$27)</x:f>
        <x:v>0.6936613767443293</x:v>
      </x:c>
      <x:c r="M283" s="59" t="n">
        <x:f>E283*'模块规划'!$F$10+G283*'模块规划'!$F$11+H283*'模块规划'!$F$13</x:f>
        <x:v>5282.7701565936795</x:v>
      </x:c>
      <x:c r="N283" s="59" t="n">
        <x:f>I283*'模块规划'!$F$15+J283*'模块规划'!$F$17+K283*'模块规划'!$F$16+L283*'模块规划'!$F$18</x:f>
        <x:v>18385.56223974658</x:v>
      </x:c>
      <x:c r="O283" s="59" t="n">
        <x:f>1+O$9*SUMPRODUCT($H$10:$L$10,H283:L283)/SUM($H$10:$L$10)</x:f>
        <x:v>3.394375049540126</x:v>
      </x:c>
      <x:c r="P283" s="59" t="n">
        <x:f>M283*O283+N283</x:f>
        <x:v>36317.265451743355</x:v>
      </x:c>
      <x:c r="Q283" s="59" t="n">
        <x:f>P283/(P283+'_曲线基线'!$L$2)</x:f>
        <x:v>0.6021039776877629</x:v>
      </x:c>
      <x:c r="R283" s="59" t="n">
        <x:f>E283*'模块规划'!$E$10+G283*'模块规划'!$E$11+H283*'模块规划'!$E$13</x:f>
        <x:v>7924.15523489052</x:v>
      </x:c>
      <x:c r="S283" s="59" t="n">
        <x:f>I283*'模块规划'!$E$15+J283*'模块规划'!$E$17+K283*'模块规划'!$E$16+L283*'模块规划'!$E$18</x:f>
        <x:v>27578.343359619874</x:v>
      </x:c>
      <x:c r="T283" s="59" t="n">
        <x:f>1+T$9*SUMPRODUCT($H$10:$L$10,H283:L283)/SUM($H$10:$L$10)</x:f>
        <x:v>3.394375049540126</x:v>
      </x:c>
      <x:c r="U283" s="59" t="n">
        <x:f>R283*T283+S283</x:f>
        <x:v>54475.89817761503</x:v>
      </x:c>
      <x:c r="V283" s="59" t="n">
        <x:f>V$8+(V$9-V$8)*H283</x:f>
        <x:v>0.9081643251568434</x:v>
      </x:c>
      <x:c r="W283" s="59" t="n">
        <x:f>IF(B283&lt;$H$8,0,W$8+(W$9-W$8)*H283)</x:f>
        <x:v>0.27755243354245784</x:v>
      </x:c>
      <x:c r="X283" s="59" t="n">
        <x:f>X$8+(X$9-X$8)*H283</x:f>
        <x:v>0.4658172980604398</x:v>
      </x:c>
      <x:c r="Y283" s="59" t="n">
        <x:f>Y$8+(Y$9-Y$8)*G283</x:f>
        <x:v>1</x:v>
      </x:c>
      <x:c r="Z283" s="59" t="n">
        <x:f>Z$8+(Z$9-Z$8)*H283</x:f>
        <x:v>1</x:v>
      </x:c>
      <x:c r="AA283" s="59" t="n">
        <x:f>AA$8+(AA$9-AA$8)*I283</x:f>
        <x:v>1</x:v>
      </x:c>
      <x:c r="AB283" s="59" t="n">
        <x:f>AB$8+(AB$9-AB$8)*J283</x:f>
        <x:v>1</x:v>
      </x:c>
      <x:c r="AC283" s="59" t="n">
        <x:f>AC$8+(AC$9-AC$8)*MAX(K283,L283)</x:f>
        <x:v>1</x:v>
      </x:c>
      <x:c r="AD283" s="59" t="n">
        <x:f>(V283*AE283+W283*AF283+X283*AG283)*PRODUCT(Y283:AC283)</x:f>
        <x:v>1.8846437768802442</x:v>
      </x:c>
      <x:c r="AE283" s="59" t="n">
        <x:f>1+AE$9*($H$10*H283+$I$10*I283+$J$10*J283+$K$10*K283+$L$10*L283)</x:f>
        <x:v>1</x:v>
      </x:c>
      <x:c r="AF283" s="59" t="n">
        <x:f>1+AF$9*($H$10*H283+$I$10*I283+$J$10*J283+$K$10*K283+$L$10*L283)</x:f>
        <x:v>1.2113254092306671</x:v>
      </x:c>
      <x:c r="AG283" s="59" t="n">
        <x:f>1+AG$9*($H$10*H283+$I$10*I283+$J$10*J283+$K$10*K283+$L$10*L283)</x:f>
        <x:v>1.3745155863587963</x:v>
      </x:c>
      <x:c r="AH283" s="59" t="n">
        <x:f>MIN(1,'_曲线基线'!$L$3+AH$9*($H$10*H283+$I$10*I283+$J$10*J283+$K$10*K283+$L$10*L283))</x:f>
        <x:v>0.5307653059997672</x:v>
      </x:c>
      <x:c r="AI283" s="59" t="n">
        <x:f>'_曲线基线'!$L$4+AI$9*($H$10*H283+$I$10*I283+$J$10*J283+$K$10*K283+$L$10*L283)</x:f>
        <x:v>3.339274780999352</x:v>
      </x:c>
      <x:c r="AJ283" s="59" t="n">
        <x:f>1+AJ$9*($H$10*H283+$I$10*I283+$J$10*J283+$K$10*K283+$L$10*L283)</x:f>
        <x:v>2.098892127999468</x:v>
      </x:c>
      <x:c r="AK283" s="59" t="n">
        <x:f>(1+AH283*(AI283-1))*AJ283</x:f>
        <x:v>4.704888966997538</x:v>
      </x:c>
      <x:c r="AL283" s="59" t="n">
        <x:f>U283*AD283*AK283*F283</x:f>
        <x:v>2415199.7625926435</x:v>
      </x:c>
      <x:c r="AM283" s="59" t="n">
        <x:f>IF($B283&lt;AM$8,0,AM$3+(AM$4-AM$3)*(POWER(AM$5,$B283-AM$8)-1)/(POWER(AM$5,$C$5-AM$8)-1))</x:f>
        <x:v>53.564037505262746</x:v>
      </x:c>
      <x:c r="AN283" s="59" t="n">
        <x:f>(((E283*'模块规划'!$D$10+G283*'模块规划'!$D$11+H283*'模块规划'!$D$13)*(1+'模块规划'!$G$14*H283)+(I283*'模块规划'!$D$15+J283*'模块规划'!$D$17+K283*'模块规划'!$D$16+L283*'模块规划'!$D$18))*(1+'模块规划'!$J$17*J283))*F283/(1-Q283)</x:f>
        <x:v>2900995.8737228266</x:v>
      </x:c>
      <x:c r="AO283" s="59" t="n">
        <x:f>AL283*AM283</x:f>
        <x:v>129367850.66621403</x:v>
      </x:c>
      <x:c r="AP283" s="61" t="n">
        <x:f>IF(AO283="","",INDEX('_曲线基线'!$A$3:$A$502,MIN(ROWS('_曲线基线'!$A$3:$A$502),COUNTIF('_曲线基线'!$E$3:$E$502,"&lt;"&amp;AO283)+1)))</x:f>
        <x:v>314</x:v>
      </x:c>
      <x:c r="AQ283" s="61" t="n">
        <x:f>IF(B283&lt;=2,1,IF(B283&lt;=6,2,IF(B283&lt;=9,3,IF(B283&lt;=19,4,5))))</x:f>
        <x:v>5</x:v>
      </x:c>
      <x:c r="AR283" s="59" t="n">
        <x:f>AN283*(1-Q283)/F283*$AS$3+U283*$AS$4+P283*$AS$5</x:f>
        <x:v>17820.94794891416</x:v>
      </x:c>
      <x:c r="AS283" s="59" t="n">
        <x:f>1+AH283*$AS$6+AI283*$AS$7+(AJ283-1)*$AS$8+($H$10*H283+$I$10*I283+$J$10*J283+$K$10*K283+$L$10*L283)*$AU$3*$AS$9+($H$10*H283+$I$10*I283+$J$10*J283+$K$10*K283+$L$10*L283)*$AU$4*$AS$10</x:f>
        <x:v>17.60851332002859</x:v>
      </x:c>
      <x:c r="AT283" s="60" t="n">
        <x:f>ROUND(AR283*AS283,0)</x:f>
        <x:v>313800</x:v>
      </x:c>
      <x:c r="AU283" s="60" t="n">
        <x:f>ROUND(AT283*F283,0)</x:f>
        <x:v>1569000</x:v>
      </x:c>
      <x:c r="AV283" s="60" t="n">
        <x:f>MIN(MATCH(B283,'主线调参'!$M$11:$M$62,1),ROWS('主线调参'!$M$11:$M$62)-1)</x:f>
        <x:v>51</x:v>
      </x:c>
      <x:c r="AW283" s="62" t="n">
        <x:f>(B283-INDEX('主线调参'!$M$11:$M$62,AV283))/(INDEX('主线调参'!$M$11:$M$62,AV283+1)-INDEX('主线调参'!$M$11:$M$62,AV283))</x:f>
        <x:v>0.5</x:v>
      </x:c>
      <x:c r="AX283" s="60" t="n">
        <x:f>IF(AU283=0,0,ROUND(AU283,2-INT(LOG10(ABS(AU283)))))</x:f>
        <x:v>1570000</x:v>
      </x:c>
      <x:c r="AY283" s="62" t="n">
        <x:f>AU283/AU282-1</x:f>
        <x:v>0.0031937238052308636</x:v>
      </x:c>
    </x:row>
    <x:row r="284" ht="25" customHeight="1">
      <x:c r="A284" s="40" t="str">
        <x:f>'调前玩家曲线'!A284</x:f>
      </x:c>
      <x:c r="B284" s="40" t="n">
        <x:f>'调前玩家曲线'!B284</x:f>
        <x:v>273</x:v>
      </x:c>
      <x:c r="C284" s="40" t="n">
        <x:f>'调前玩家曲线'!C284</x:f>
        <x:v>19</x:v>
      </x:c>
      <x:c r="D284" s="40" t="n">
        <x:f>'调前玩家曲线'!D284</x:f>
        <x:v>9</x:v>
      </x:c>
      <x:c r="E284" s="40" t="n">
        <x:f>'调前玩家曲线'!E284</x:f>
        <x:v>1</x:v>
      </x:c>
      <x:c r="F284" s="40" t="n">
        <x:f>'调前玩家曲线'!F284</x:f>
        <x:v>5</x:v>
      </x:c>
      <x:c r="G284" s="63" t="n">
        <x:f>IF(B284&lt;$G$8,0,(INDEX('主线调参'!$C$11:$C$62,$AV284)+(INDEX('主线调参'!$C$11:$C$62,$AV284+1)-INDEX('主线调参'!$C$11:$C$62,$AV284))*$AW284)*'参数说明'!$C$27)</x:f>
        <x:v>0.8933518136774429</x:v>
      </x:c>
      <x:c r="H284" s="63" t="n">
        <x:f>IF(B284&lt;$H$8,0,(INDEX('主线调参'!$D$11:$D$62,$AV284)+(INDEX('主线调参'!$D$11:$D$62,$AV284+1)-INDEX('主线调参'!$D$11:$D$62,$AV284))*$AW284)*'参数说明'!$D$27)</x:f>
        <x:v>0.6947552147338382</x:v>
      </x:c>
      <x:c r="I284" s="63" t="n">
        <x:f>IF(B284&lt;$I$8,0,(INDEX('主线调参'!$E$11:$E$62,$AV284)+(INDEX('主线调参'!$E$11:$E$62,$AV284+1)-INDEX('主线调参'!$E$11:$E$62,$AV284))*$AW284)*'参数说明'!$E$27)</x:f>
        <x:v>0.6433780477588971</x:v>
      </x:c>
      <x:c r="J284" s="63" t="n">
        <x:f>IF(B284&lt;$J$8,0,(INDEX('主线调参'!$F$11:$F$62,$AV284)+(INDEX('主线调参'!$F$11:$F$62,$AV284+1)-INDEX('主线调参'!$F$11:$F$62,$AV284))*$AW284)*'参数说明'!$F$27)</x:f>
        <x:v>0.5943817352393923</x:v>
      </x:c>
      <x:c r="K284" s="63" t="n">
        <x:f>IF(B284&lt;$K$8,0,(INDEX('主线调参'!$G$11:$G$62,$AV284)+(INDEX('主线调参'!$G$11:$G$62,$AV284+1)-INDEX('主线调参'!$G$11:$G$62,$AV284))*$AW284)*'参数说明'!$G$27)</x:f>
        <x:v>0.6420866665450934</x:v>
      </x:c>
      <x:c r="L284" s="63" t="n">
        <x:f>IF(B284&lt;$L$8,0,(INDEX('主线调参'!$H$11:$H$62,$AV284)+(INDEX('主线调参'!$H$11:$H$62,$AV284+1)-INDEX('主线调参'!$H$11:$H$62,$AV284))*$AW284)*'参数说明'!$H$27)</x:f>
        <x:v>0.6945668943522822</x:v>
      </x:c>
      <x:c r="M284" s="59" t="n">
        <x:f>E284*'模块规划'!$F$10+G284*'模块规划'!$F$11+H284*'模块规划'!$F$13</x:f>
        <x:v>5288.088705651726</x:v>
      </x:c>
      <x:c r="N284" s="59" t="n">
        <x:f>I284*'模块规划'!$F$15+J284*'模块规划'!$F$17+K284*'模块规划'!$F$16+L284*'模块规划'!$F$18</x:f>
        <x:v>18416.19620549707</x:v>
      </x:c>
      <x:c r="O284" s="59" t="n">
        <x:f>1+O$9*SUMPRODUCT($H$10:$L$10,H284:L284)/SUM($H$10:$L$10)</x:f>
        <x:v>3.398206136827316</x:v>
      </x:c>
      <x:c r="P284" s="59" t="n">
        <x:f>M284*O284+N284</x:f>
        <x:v>36386.211697129984</x:v>
      </x:c>
      <x:c r="Q284" s="59" t="n">
        <x:f>P284/(P284+'_曲线基线'!$L$2)</x:f>
        <x:v>0.6025582773701191</x:v>
      </x:c>
      <x:c r="R284" s="59" t="n">
        <x:f>E284*'模块规划'!$E$10+G284*'模块规划'!$E$11+H284*'模块规划'!$E$13</x:f>
        <x:v>7932.133058477589</x:v>
      </x:c>
      <x:c r="S284" s="59" t="n">
        <x:f>I284*'模块规划'!$E$15+J284*'模块规划'!$E$17+K284*'模块规划'!$E$16+L284*'模块规划'!$E$18</x:f>
        <x:v>27624.294308245608</x:v>
      </x:c>
      <x:c r="T284" s="59" t="n">
        <x:f>1+T$9*SUMPRODUCT($H$10:$L$10,H284:L284)/SUM($H$10:$L$10)</x:f>
        <x:v>3.398206136827316</x:v>
      </x:c>
      <x:c r="U284" s="59" t="n">
        <x:f>R284*T284+S284</x:f>
        <x:v>54579.31754569498</x:v>
      </x:c>
      <x:c r="V284" s="59" t="n">
        <x:f>V$8+(V$9-V$8)*H284</x:f>
        <x:v>0.9084265644201515</x:v>
      </x:c>
      <x:c r="W284" s="59" t="n">
        <x:f>IF(B284&lt;$H$8,0,W$8+(W$9-W$8)*H284)</x:f>
        <x:v>0.27790208589353527</x:v>
      </x:c>
      <x:c r="X284" s="59" t="n">
        <x:f>X$8+(X$9-X$8)*H284</x:f>
        <x:v>0.46605768405180553</x:v>
      </x:c>
      <x:c r="Y284" s="59" t="n">
        <x:f>Y$8+(Y$9-Y$8)*G284</x:f>
        <x:v>1</x:v>
      </x:c>
      <x:c r="Z284" s="59" t="n">
        <x:f>Z$8+(Z$9-Z$8)*H284</x:f>
        <x:v>1</x:v>
      </x:c>
      <x:c r="AA284" s="59" t="n">
        <x:f>AA$8+(AA$9-AA$8)*I284</x:f>
        <x:v>1</x:v>
      </x:c>
      <x:c r="AB284" s="59" t="n">
        <x:f>AB$8+(AB$9-AB$8)*J284</x:f>
        <x:v>1</x:v>
      </x:c>
      <x:c r="AC284" s="59" t="n">
        <x:f>AC$8+(AC$9-AC$8)*MAX(K284,L284)</x:f>
        <x:v>1</x:v>
      </x:c>
      <x:c r="AD284" s="59" t="n">
        <x:f>(V284*AE284+W284*AF284+X284*AG284)*PRODUCT(Y284:AC284)</x:f>
        <x:v>1.886033219531132</x:v>
      </x:c>
      <x:c r="AE284" s="59" t="n">
        <x:f>1+AE$9*($H$10*H284+$I$10*I284+$J$10*J284+$K$10*K284+$L$10*L284)</x:f>
        <x:v>1</x:v>
      </x:c>
      <x:c r="AF284" s="59" t="n">
        <x:f>1+AF$9*($H$10*H284+$I$10*I284+$J$10*J284+$K$10*K284+$L$10*L284)</x:f>
        <x:v>1.2116635375823301</x:v>
      </x:c>
      <x:c r="AG284" s="59" t="n">
        <x:f>1+AG$9*($H$10*H284+$I$10*I284+$J$10*J284+$K$10*K284+$L$10*L284)</x:f>
        <x:v>1.3751148249375769</x:v>
      </x:c>
      <x:c r="AH284" s="59" t="n">
        <x:f>MIN(1,'_曲线基线'!$L$3+AH$9*($H$10*H284+$I$10*I284+$J$10*J284+$K$10*K284+$L$10*L284))</x:f>
        <x:v>0.5315345479998005</x:v>
      </x:c>
      <x:c r="AI284" s="59" t="n">
        <x:f>'_曲线基线'!$L$4+AI$9*($H$10*H284+$I$10*I284+$J$10*J284+$K$10*K284+$L$10*L284)</x:f>
        <x:v>3.3414176694280155</x:v>
      </x:c>
      <x:c r="AJ284" s="59" t="n">
        <x:f>1+AJ$9*($H$10*H284+$I$10*I284+$J$10*J284+$K$10*K284+$L$10*L284)</x:f>
        <x:v>2.1006503954281155</x:v>
      </x:c>
      <x:c r="AK284" s="59" t="n">
        <x:f>(1+AH284*(AI284-1))*AJ284</x:f>
        <x:v>4.7150030448607945</x:v>
      </x:c>
      <x:c r="AL284" s="59" t="n">
        <x:f>U284*AD284*AK284*F284</x:f>
        <x:v>2426774.4883920713</x:v>
      </x:c>
      <x:c r="AM284" s="59" t="n">
        <x:f>IF($B284&lt;AM$8,0,AM$3+(AM$4-AM$3)*(POWER(AM$5,$B284-AM$8)-1)/(POWER(AM$5,$C$5-AM$8)-1))</x:f>
        <x:v>53.76310252023725</x:v>
      </x:c>
      <x:c r="AN284" s="59" t="n">
        <x:f>(((E284*'模块规划'!$D$10+G284*'模块规划'!$D$11+H284*'模块规划'!$D$13)*(1+'模块规划'!$G$14*H284)+(I284*'模块规划'!$D$15+J284*'模块规划'!$D$17+K284*'模块规划'!$D$16+L284*'模块规划'!$D$18))*(1+'模块规划'!$J$17*J284))*F284/(1-Q284)</x:f>
        <x:v>2910898.75588501</x:v>
      </x:c>
      <x:c r="AO284" s="59" t="n">
        <x:f>AL284*AM284</x:f>
        <x:v>130470925.61291923</x:v>
      </x:c>
      <x:c r="AP284" s="61" t="n">
        <x:f>IF(AO284="","",INDEX('_曲线基线'!$A$3:$A$502,MIN(ROWS('_曲线基线'!$A$3:$A$502),COUNTIF('_曲线基线'!$E$3:$E$502,"&lt;"&amp;AO284)+1)))</x:f>
        <x:v>314</x:v>
      </x:c>
      <x:c r="AQ284" s="61" t="n">
        <x:f>IF(B284&lt;=2,1,IF(B284&lt;=6,2,IF(B284&lt;=9,3,IF(B284&lt;=19,4,5))))</x:f>
        <x:v>5</x:v>
      </x:c>
      <x:c r="AR284" s="59" t="n">
        <x:f>AN284*(1-Q284)/F284*$AS$3+U284*$AS$4+P284*$AS$5</x:f>
        <x:v>17857.339204779688</x:v>
      </x:c>
      <x:c r="AS284" s="59" t="n">
        <x:f>1+AH284*$AS$6+AI284*$AS$7+(AJ284-1)*$AS$8+($H$10*H284+$I$10*I284+$J$10*J284+$K$10*K284+$L$10*L284)*$AU$3*$AS$9+($H$10*H284+$I$10*I284+$J$10*J284+$K$10*K284+$L$10*L284)*$AU$4*$AS$10</x:f>
        <x:v>17.62871687323879</x:v>
      </x:c>
      <x:c r="AT284" s="60" t="n">
        <x:f>ROUND(AR284*AS284,0)</x:f>
        <x:v>314802</x:v>
      </x:c>
      <x:c r="AU284" s="60" t="n">
        <x:f>ROUND(AT284*F284,0)</x:f>
        <x:v>1574010</x:v>
      </x:c>
      <x:c r="AV284" s="60" t="n">
        <x:f>MIN(MATCH(B284,'主线调参'!$M$11:$M$62,1),ROWS('主线调参'!$M$11:$M$62)-1)</x:f>
        <x:v>51</x:v>
      </x:c>
      <x:c r="AW284" s="62" t="n">
        <x:f>(B284-INDEX('主线调参'!$M$11:$M$62,AV284))/(INDEX('主线调参'!$M$11:$M$62,AV284+1)-INDEX('主线调参'!$M$11:$M$62,AV284))</x:f>
        <x:v>0.5714285714285714</x:v>
      </x:c>
      <x:c r="AX284" s="60" t="n">
        <x:f>IF(AU284=0,0,ROUND(AU284,2-INT(LOG10(ABS(AU284)))))</x:f>
        <x:v>1570000</x:v>
      </x:c>
      <x:c r="AY284" s="62" t="n">
        <x:f>AU284/AU283-1</x:f>
        <x:v>0.0031931166347991535</x:v>
      </x:c>
    </x:row>
    <x:row r="285" ht="25" customHeight="1">
      <x:c r="A285" s="40" t="str">
        <x:f>'调前玩家曲线'!A285</x:f>
      </x:c>
      <x:c r="B285" s="40" t="n">
        <x:f>'调前玩家曲线'!B285</x:f>
        <x:v>274</x:v>
      </x:c>
      <x:c r="C285" s="40" t="n">
        <x:f>'调前玩家曲线'!C285</x:f>
        <x:v>19</x:v>
      </x:c>
      <x:c r="D285" s="40" t="n">
        <x:f>'调前玩家曲线'!D285</x:f>
        <x:v>10</x:v>
      </x:c>
      <x:c r="E285" s="40" t="n">
        <x:f>'调前玩家曲线'!E285</x:f>
        <x:v>1</x:v>
      </x:c>
      <x:c r="F285" s="40" t="n">
        <x:f>'调前玩家曲线'!F285</x:f>
        <x:v>5</x:v>
      </x:c>
      <x:c r="G285" s="63" t="n">
        <x:f>IF(B285&lt;$G$8,0,(INDEX('主线调参'!$C$11:$C$62,$AV285)+(INDEX('主线调参'!$C$11:$C$62,$AV285+1)-INDEX('主线调参'!$C$11:$C$62,$AV285))*$AW285)*'参数说明'!$C$27)</x:f>
        <x:v>0.8944598447312023</x:v>
      </x:c>
      <x:c r="H285" s="63" t="n">
        <x:f>IF(B285&lt;$H$8,0,(INDEX('主线调参'!$D$11:$D$62,$AV285)+(INDEX('主线调参'!$D$11:$D$62,$AV285+1)-INDEX('主线调参'!$D$11:$D$62,$AV285))*$AW285)*'参数说明'!$D$27)</x:f>
        <x:v>0.6956293456115319</x:v>
      </x:c>
      <x:c r="I285" s="63" t="n">
        <x:f>IF(B285&lt;$I$8,0,(INDEX('主线调参'!$E$11:$E$62,$AV285)+(INDEX('主线调参'!$E$11:$E$62,$AV285+1)-INDEX('主线调参'!$E$11:$E$62,$AV285))*$AW285)*'参数说明'!$E$27)</x:f>
        <x:v>0.6444817064657475</x:v>
      </x:c>
      <x:c r="J285" s="63" t="n">
        <x:f>IF(B285&lt;$J$8,0,(INDEX('主线调参'!$F$11:$F$62,$AV285)+(INDEX('主线调参'!$F$11:$F$62,$AV285+1)-INDEX('主线调参'!$F$11:$F$62,$AV285))*$AW285)*'参数说明'!$F$27)</x:f>
        <x:v>0.5953181126994935</x:v>
      </x:c>
      <x:c r="K285" s="63" t="n">
        <x:f>IF(B285&lt;$K$8,0,(INDEX('主线调参'!$G$11:$G$62,$AV285)+(INDEX('主线调参'!$G$11:$G$62,$AV285+1)-INDEX('主线调参'!$G$11:$G$62,$AV285))*$AW285)*'参数说明'!$G$27)</x:f>
        <x:v>0.6434055554542445</x:v>
      </x:c>
      <x:c r="L285" s="63" t="n">
        <x:f>IF(B285&lt;$L$8,0,(INDEX('主线调参'!$H$11:$H$62,$AV285)+(INDEX('主线调参'!$H$11:$H$62,$AV285+1)-INDEX('主线调参'!$H$11:$H$62,$AV285))*$AW285)*'参数说明'!$H$27)</x:f>
        <x:v>0.6954724119602352</x:v>
      </x:c>
      <x:c r="M285" s="59" t="n">
        <x:f>E285*'模块规划'!$F$10+G285*'模块规划'!$F$11+H285*'模块规划'!$F$13</x:f>
        <x:v>5293.407254709771</x:v>
      </x:c>
      <x:c r="N285" s="59" t="n">
        <x:f>I285*'模块规划'!$F$15+J285*'模块规划'!$F$17+K285*'模块规划'!$F$16+L285*'模块规划'!$F$18</x:f>
        <x:v>18446.83017124756</x:v>
      </x:c>
      <x:c r="O285" s="59" t="n">
        <x:f>1+O$9*SUMPRODUCT($H$10:$L$10,H285:L285)/SUM($H$10:$L$10)</x:f>
        <x:v>3.402037224114507</x:v>
      </x:c>
      <x:c r="P285" s="59" t="n">
        <x:f>M285*O285+N285</x:f>
        <x:v>36455.19869416798</x:v>
      </x:c>
      <x:c r="Q285" s="59" t="n">
        <x:f>P285/(P285+'_曲线基线'!$L$2)</x:f>
        <x:v>0.6030118084399706</x:v>
      </x:c>
      <x:c r="R285" s="59" t="n">
        <x:f>E285*'模块规划'!$E$10+G285*'模块规划'!$E$11+H285*'模块规划'!$E$13</x:f>
        <x:v>7940.110882064657</x:v>
      </x:c>
      <x:c r="S285" s="59" t="n">
        <x:f>I285*'模块规划'!$E$15+J285*'模块规划'!$E$17+K285*'模块规划'!$E$16+L285*'模块规划'!$E$18</x:f>
        <x:v>27670.24525687134</x:v>
      </x:c>
      <x:c r="T285" s="59" t="n">
        <x:f>1+T$9*SUMPRODUCT($H$10:$L$10,H285:L285)/SUM($H$10:$L$10)</x:f>
        <x:v>3.402037224114507</x:v>
      </x:c>
      <x:c r="U285" s="59" t="n">
        <x:f>R285*T285+S285</x:f>
        <x:v>54682.798041251976</x:v>
      </x:c>
      <x:c r="V285" s="59" t="n">
        <x:f>V$8+(V$9-V$8)*H285</x:f>
        <x:v>0.9086888036834595</x:v>
      </x:c>
      <x:c r="W285" s="59" t="n">
        <x:f>IF(B285&lt;$H$8,0,W$8+(W$9-W$8)*H285)</x:f>
        <x:v>0.27825173824461275</x:v>
      </x:c>
      <x:c r="X285" s="59" t="n">
        <x:f>X$8+(X$9-X$8)*H285</x:f>
        <x:v>0.4662980700431713</x:v>
      </x:c>
      <x:c r="Y285" s="59" t="n">
        <x:f>Y$8+(Y$9-Y$8)*G285</x:f>
        <x:v>1</x:v>
      </x:c>
      <x:c r="Z285" s="59" t="n">
        <x:f>Z$8+(Z$9-Z$8)*H285</x:f>
        <x:v>1</x:v>
      </x:c>
      <x:c r="AA285" s="59" t="n">
        <x:f>AA$8+(AA$9-AA$8)*I285</x:f>
        <x:v>1</x:v>
      </x:c>
      <x:c r="AB285" s="59" t="n">
        <x:f>AB$8+(AB$9-AB$8)*J285</x:f>
        <x:v>1</x:v>
      </x:c>
      <x:c r="AC285" s="59" t="n">
        <x:f>AC$8+(AC$9-AC$8)*MAX(K285,L285)</x:f>
        <x:v>1</x:v>
      </x:c>
      <x:c r="AD285" s="59" t="n">
        <x:f>(V285*AE285+W285*AF285+X285*AG285)*PRODUCT(Y285:AC285)</x:f>
        <x:v>1.8874231867338858</x:v>
      </x:c>
      <x:c r="AE285" s="59" t="n">
        <x:f>1+AE$9*($H$10*H285+$I$10*I285+$J$10*J285+$K$10*K285+$L$10*L285)</x:f>
        <x:v>1</x:v>
      </x:c>
      <x:c r="AF285" s="59" t="n">
        <x:f>1+AF$9*($H$10*H285+$I$10*I285+$J$10*J285+$K$10*K285+$L$10*L285)</x:f>
        <x:v>1.2120016659339932</x:v>
      </x:c>
      <x:c r="AG285" s="59" t="n">
        <x:f>1+AG$9*($H$10*H285+$I$10*I285+$J$10*J285+$K$10*K285+$L$10*L285)</x:f>
        <x:v>1.3757140635163574</x:v>
      </x:c>
      <x:c r="AH285" s="59" t="n">
        <x:f>MIN(1,'_曲线基线'!$L$3+AH$9*($H$10*H285+$I$10*I285+$J$10*J285+$K$10*K285+$L$10*L285))</x:f>
        <x:v>0.5323037899998337</x:v>
      </x:c>
      <x:c r="AI285" s="59" t="n">
        <x:f>'_曲线基线'!$L$4+AI$9*($H$10*H285+$I$10*I285+$J$10*J285+$K$10*K285+$L$10*L285)</x:f>
        <x:v>3.3435605578566796</x:v>
      </x:c>
      <x:c r="AJ285" s="59" t="n">
        <x:f>1+AJ$9*($H$10*H285+$I$10*I285+$J$10*J285+$K$10*K285+$L$10*L285)</x:f>
        <x:v>2.102408662856763</x:v>
      </x:c>
      <x:c r="AK285" s="59" t="n">
        <x:f>(1+AH285*(AI285-1))*AJ285</x:f>
        <x:v>4.725134387238235</x:v>
      </x:c>
      <x:c r="AL285" s="59" t="n">
        <x:f>U285*AD285*AK285*F285</x:f>
        <x:v>2438395.6999258413</x:v>
      </x:c>
      <x:c r="AM285" s="59" t="n">
        <x:f>IF($B285&lt;AM$8,0,AM$3+(AM$4-AM$3)*(POWER(AM$5,$B285-AM$8)-1)/(POWER(AM$5,$C$5-AM$8)-1))</x:f>
        <x:v>53.964158185361484</x:v>
      </x:c>
      <x:c r="AN285" s="59" t="n">
        <x:f>(((E285*'模块规划'!$D$10+G285*'模块规划'!$D$11+H285*'模块规划'!$D$13)*(1+'模块规划'!$G$14*H285)+(I285*'模块规划'!$D$15+J285*'模块规划'!$D$17+K285*'模块规划'!$D$16+L285*'模块规划'!$D$18))*(1+'模块规划'!$J$17*J285))*F285/(1-Q285)</x:f>
        <x:v>2920825.6984570296</x:v>
      </x:c>
      <x:c r="AO285" s="59" t="n">
        <x:f>AL285*AM285</x:f>
        <x:v>131585971.26930334</x:v>
      </x:c>
      <x:c r="AP285" s="61" t="n">
        <x:f>IF(AO285="","",INDEX('_曲线基线'!$A$3:$A$502,MIN(ROWS('_曲线基线'!$A$3:$A$502),COUNTIF('_曲线基线'!$E$3:$E$502,"&lt;"&amp;AO285)+1)))</x:f>
        <x:v>315</x:v>
      </x:c>
      <x:c r="AQ285" s="61" t="n">
        <x:f>IF(B285&lt;=2,1,IF(B285&lt;=6,2,IF(B285&lt;=9,3,IF(B285&lt;=19,4,5))))</x:f>
        <x:v>5</x:v>
      </x:c>
      <x:c r="AR285" s="59" t="n">
        <x:f>AN285*(1-Q285)/F285*$AS$3+U285*$AS$4+P285*$AS$5</x:f>
        <x:v>17893.75947960549</x:v>
      </x:c>
      <x:c r="AS285" s="59" t="n">
        <x:f>1+AH285*$AS$6+AI285*$AS$7+(AJ285-1)*$AS$8+($H$10*H285+$I$10*I285+$J$10*J285+$K$10*K285+$L$10*L285)*$AU$3*$AS$9+($H$10*H285+$I$10*I285+$J$10*J285+$K$10*K285+$L$10*L285)*$AU$4*$AS$10</x:f>
        <x:v>17.648920426448992</x:v>
      </x:c>
      <x:c r="AT285" s="60" t="n">
        <x:f>ROUND(AR285*AS285,0)</x:f>
        <x:v>315806</x:v>
      </x:c>
      <x:c r="AU285" s="60" t="n">
        <x:f>ROUND(AT285*F285,0)</x:f>
        <x:v>1579030</x:v>
      </x:c>
      <x:c r="AV285" s="60" t="n">
        <x:f>MIN(MATCH(B285,'主线调参'!$M$11:$M$62,1),ROWS('主线调参'!$M$11:$M$62)-1)</x:f>
        <x:v>51</x:v>
      </x:c>
      <x:c r="AW285" s="62" t="n">
        <x:f>(B285-INDEX('主线调参'!$M$11:$M$62,AV285))/(INDEX('主线调参'!$M$11:$M$62,AV285+1)-INDEX('主线调参'!$M$11:$M$62,AV285))</x:f>
        <x:v>0.6428571428571429</x:v>
      </x:c>
      <x:c r="AX285" s="60" t="n">
        <x:f>IF(AU285=0,0,ROUND(AU285,2-INT(LOG10(ABS(AU285)))))</x:f>
        <x:v>1580000</x:v>
      </x:c>
      <x:c r="AY285" s="62" t="n">
        <x:f>AU285/AU284-1</x:f>
        <x:v>0.0031893062941150685</x:v>
      </x:c>
    </x:row>
    <x:row r="286" ht="25" customHeight="1">
      <x:c r="A286" s="40" t="str">
        <x:f>'调前玩家曲线'!A286</x:f>
      </x:c>
      <x:c r="B286" s="40" t="n">
        <x:f>'调前玩家曲线'!B286</x:f>
        <x:v>275</x:v>
      </x:c>
      <x:c r="C286" s="40" t="n">
        <x:f>'调前玩家曲线'!C286</x:f>
        <x:v>19</x:v>
      </x:c>
      <x:c r="D286" s="40" t="n">
        <x:f>'调前玩家曲线'!D286</x:f>
        <x:v>11</x:v>
      </x:c>
      <x:c r="E286" s="40" t="n">
        <x:f>'调前玩家曲线'!E286</x:f>
        <x:v>1</x:v>
      </x:c>
      <x:c r="F286" s="40" t="n">
        <x:f>'调前玩家曲线'!F286</x:f>
        <x:v>5</x:v>
      </x:c>
      <x:c r="G286" s="63" t="n">
        <x:f>IF(B286&lt;$G$8,0,(INDEX('主线调参'!$C$11:$C$62,$AV286)+(INDEX('主线调参'!$C$11:$C$62,$AV286+1)-INDEX('主线调参'!$C$11:$C$62,$AV286))*$AW286)*'参数说明'!$C$27)</x:f>
        <x:v>0.8955678757849619</x:v>
      </x:c>
      <x:c r="H286" s="63" t="n">
        <x:f>IF(B286&lt;$H$8,0,(INDEX('主线调参'!$D$11:$D$62,$AV286)+(INDEX('主线调参'!$D$11:$D$62,$AV286+1)-INDEX('主线调参'!$D$11:$D$62,$AV286))*$AW286)*'参数说明'!$D$27)</x:f>
        <x:v>0.6965034764892254</x:v>
      </x:c>
      <x:c r="I286" s="63" t="n">
        <x:f>IF(B286&lt;$I$8,0,(INDEX('主线调参'!$E$11:$E$62,$AV286)+(INDEX('主线调参'!$E$11:$E$62,$AV286+1)-INDEX('主线调参'!$E$11:$E$62,$AV286))*$AW286)*'参数说明'!$E$27)</x:f>
        <x:v>0.645585365172598</x:v>
      </x:c>
      <x:c r="J286" s="63" t="n">
        <x:f>IF(B286&lt;$J$8,0,(INDEX('主线调参'!$F$11:$F$62,$AV286)+(INDEX('主线调参'!$F$11:$F$62,$AV286+1)-INDEX('主线调参'!$F$11:$F$62,$AV286))*$AW286)*'参数说明'!$F$27)</x:f>
        <x:v>0.5962544901595948</x:v>
      </x:c>
      <x:c r="K286" s="63" t="n">
        <x:f>IF(B286&lt;$K$8,0,(INDEX('主线调参'!$G$11:$G$62,$AV286)+(INDEX('主线调参'!$G$11:$G$62,$AV286+1)-INDEX('主线调参'!$G$11:$G$62,$AV286))*$AW286)*'参数说明'!$G$27)</x:f>
        <x:v>0.6447244443633956</x:v>
      </x:c>
      <x:c r="L286" s="63" t="n">
        <x:f>IF(B286&lt;$L$8,0,(INDEX('主线调参'!$H$11:$H$62,$AV286)+(INDEX('主线调参'!$H$11:$H$62,$AV286+1)-INDEX('主线调参'!$H$11:$H$62,$AV286))*$AW286)*'参数说明'!$H$27)</x:f>
        <x:v>0.6963779295681881</x:v>
      </x:c>
      <x:c r="M286" s="59" t="n">
        <x:f>E286*'模块规划'!$F$10+G286*'模块规划'!$F$11+H286*'模块规划'!$F$13</x:f>
        <x:v>5298.725803767817</x:v>
      </x:c>
      <x:c r="N286" s="59" t="n">
        <x:f>I286*'模块规划'!$F$15+J286*'模块规划'!$F$17+K286*'模块规划'!$F$16+L286*'模块规划'!$F$18</x:f>
        <x:v>18477.464136998045</x:v>
      </x:c>
      <x:c r="O286" s="59" t="n">
        <x:f>1+O$9*SUMPRODUCT($H$10:$L$10,H286:L286)/SUM($H$10:$L$10)</x:f>
        <x:v>3.4058683114016968</x:v>
      </x:c>
      <x:c r="P286" s="59" t="n">
        <x:f>M286*O286+N286</x:f>
        <x:v>36524.22644285734</x:v>
      </x:c>
      <x:c r="Q286" s="59" t="n">
        <x:f>P286/(P286+'_曲线基线'!$L$2)</x:f>
        <x:v>0.6034645726094643</x:v>
      </x:c>
      <x:c r="R286" s="59" t="n">
        <x:f>E286*'模块规划'!$E$10+G286*'模块规划'!$E$11+H286*'模块规划'!$E$13</x:f>
        <x:v>7948.088705651726</x:v>
      </x:c>
      <x:c r="S286" s="59" t="n">
        <x:f>I286*'模块规划'!$E$15+J286*'模块规划'!$E$17+K286*'模块规划'!$E$16+L286*'模块规划'!$E$18</x:f>
        <x:v>27716.19620549707</x:v>
      </x:c>
      <x:c r="T286" s="59" t="n">
        <x:f>1+T$9*SUMPRODUCT($H$10:$L$10,H286:L286)/SUM($H$10:$L$10)</x:f>
        <x:v>3.4058683114016968</x:v>
      </x:c>
      <x:c r="U286" s="59" t="n">
        <x:f>R286*T286+S286</x:f>
        <x:v>54786.33966428602</x:v>
      </x:c>
      <x:c r="V286" s="59" t="n">
        <x:f>V$8+(V$9-V$8)*H286</x:f>
        <x:v>0.9089510429467675</x:v>
      </x:c>
      <x:c r="W286" s="59" t="n">
        <x:f>IF(B286&lt;$H$8,0,W$8+(W$9-W$8)*H286)</x:f>
        <x:v>0.27860139059569017</x:v>
      </x:c>
      <x:c r="X286" s="59" t="n">
        <x:f>X$8+(X$9-X$8)*H286</x:f>
        <x:v>0.46653845603453703</x:v>
      </x:c>
      <x:c r="Y286" s="59" t="n">
        <x:f>Y$8+(Y$9-Y$8)*G286</x:f>
        <x:v>1</x:v>
      </x:c>
      <x:c r="Z286" s="59" t="n">
        <x:f>Z$8+(Z$9-Z$8)*H286</x:f>
        <x:v>1</x:v>
      </x:c>
      <x:c r="AA286" s="59" t="n">
        <x:f>AA$8+(AA$9-AA$8)*I286</x:f>
        <x:v>1</x:v>
      </x:c>
      <x:c r="AB286" s="59" t="n">
        <x:f>AB$8+(AB$9-AB$8)*J286</x:f>
        <x:v>1</x:v>
      </x:c>
      <x:c r="AC286" s="59" t="n">
        <x:f>AC$8+(AC$9-AC$8)*MAX(K286,L286)</x:f>
        <x:v>1</x:v>
      </x:c>
      <x:c r="AD286" s="59" t="n">
        <x:f>(V286*AE286+W286*AF286+X286*AG286)*PRODUCT(Y286:AC286)</x:f>
        <x:v>1.8888136784885052</x:v>
      </x:c>
      <x:c r="AE286" s="59" t="n">
        <x:f>1+AE$9*($H$10*H286+$I$10*I286+$J$10*J286+$K$10*K286+$L$10*L286)</x:f>
        <x:v>1</x:v>
      </x:c>
      <x:c r="AF286" s="59" t="n">
        <x:f>1+AF$9*($H$10*H286+$I$10*I286+$J$10*J286+$K$10*K286+$L$10*L286)</x:f>
        <x:v>1.212339794285656</x:v>
      </x:c>
      <x:c r="AG286" s="59" t="n">
        <x:f>1+AG$9*($H$10*H286+$I$10*I286+$J$10*J286+$K$10*K286+$L$10*L286)</x:f>
        <x:v>1.3763133020951377</x:v>
      </x:c>
      <x:c r="AH286" s="59" t="n">
        <x:f>MIN(1,'_曲线基线'!$L$3+AH$9*($H$10*H286+$I$10*I286+$J$10*J286+$K$10*K286+$L$10*L286))</x:f>
        <x:v>0.5330730319998669</x:v>
      </x:c>
      <x:c r="AI286" s="59" t="n">
        <x:f>'_曲线基线'!$L$4+AI$9*($H$10*H286+$I$10*I286+$J$10*J286+$K$10*K286+$L$10*L286)</x:f>
        <x:v>3.3457034462853437</x:v>
      </x:c>
      <x:c r="AJ286" s="59" t="n">
        <x:f>1+AJ$9*($H$10*H286+$I$10*I286+$J$10*J286+$K$10*K286+$L$10*L286)</x:f>
        <x:v>2.1041669302854102</x:v>
      </x:c>
      <x:c r="AK286" s="59" t="n">
        <x:f>(1+AH286*(AI286-1))*AJ286</x:f>
        <x:v>4.735283011519825</x:v>
      </x:c>
      <x:c r="AL286" s="59" t="n">
        <x:f>U286*AD286*AK286*F286</x:f>
        <x:v>2450063.5518749217</x:v>
      </x:c>
      <x:c r="AM286" s="59" t="n">
        <x:f>IF($B286&lt;AM$8,0,AM$3+(AM$4-AM$3)*(POWER(AM$5,$B286-AM$8)-1)/(POWER(AM$5,$C$5-AM$8)-1))</x:f>
        <x:v>54.16722440713697</x:v>
      </x:c>
      <x:c r="AN286" s="59" t="n">
        <x:f>(((E286*'模块规划'!$D$10+G286*'模块规划'!$D$11+H286*'模块规划'!$D$13)*(1+'模块规划'!$G$14*H286)+(I286*'模块规划'!$D$15+J286*'模块规划'!$D$17+K286*'模块规划'!$D$16+L286*'模块规划'!$D$18))*(1+'模块规划'!$J$17*J286))*F286/(1-Q286)</x:f>
        <x:v>2930776.7407031497</x:v>
      </x:c>
      <x:c r="AO286" s="59" t="n">
        <x:f>AL286*AM286</x:f>
        <x:v>132713142.22615595</x:v>
      </x:c>
      <x:c r="AP286" s="61" t="n">
        <x:f>IF(AO286="","",INDEX('_曲线基线'!$A$3:$A$502,MIN(ROWS('_曲线基线'!$A$3:$A$502),COUNTIF('_曲线基线'!$E$3:$E$502,"&lt;"&amp;AO286)+1)))</x:f>
        <x:v>316</x:v>
      </x:c>
      <x:c r="AQ286" s="61" t="n">
        <x:f>IF(B286&lt;=2,1,IF(B286&lt;=6,2,IF(B286&lt;=9,3,IF(B286&lt;=19,4,5))))</x:f>
        <x:v>5</x:v>
      </x:c>
      <x:c r="AR286" s="59" t="n">
        <x:f>AN286*(1-Q286)/F286*$AS$3+U286*$AS$4+P286*$AS$5</x:f>
        <x:v>17930.20877762299</x:v>
      </x:c>
      <x:c r="AS286" s="59" t="n">
        <x:f>1+AH286*$AS$6+AI286*$AS$7+(AJ286-1)*$AS$8+($H$10*H286+$I$10*I286+$J$10*J286+$K$10*K286+$L$10*L286)*$AU$3*$AS$9+($H$10*H286+$I$10*I286+$J$10*J286+$K$10*K286+$L$10*L286)*$AU$4*$AS$10</x:f>
        <x:v>17.66912397965919</x:v>
      </x:c>
      <x:c r="AT286" s="60" t="n">
        <x:f>ROUND(AR286*AS286,0)</x:f>
        <x:v>316811</x:v>
      </x:c>
      <x:c r="AU286" s="60" t="n">
        <x:f>ROUND(AT286*F286,0)</x:f>
        <x:v>1584055</x:v>
      </x:c>
      <x:c r="AV286" s="60" t="n">
        <x:f>MIN(MATCH(B286,'主线调参'!$M$11:$M$62,1),ROWS('主线调参'!$M$11:$M$62)-1)</x:f>
        <x:v>51</x:v>
      </x:c>
      <x:c r="AW286" s="62" t="n">
        <x:f>(B286-INDEX('主线调参'!$M$11:$M$62,AV286))/(INDEX('主线调参'!$M$11:$M$62,AV286+1)-INDEX('主线调参'!$M$11:$M$62,AV286))</x:f>
        <x:v>0.7142857142857143</x:v>
      </x:c>
      <x:c r="AX286" s="60" t="n">
        <x:f>IF(AU286=0,0,ROUND(AU286,2-INT(LOG10(ABS(AU286)))))</x:f>
        <x:v>1580000</x:v>
      </x:c>
      <x:c r="AY286" s="62" t="n">
        <x:f>AU286/AU285-1</x:f>
        <x:v>0.003182333457882436</x:v>
      </x:c>
    </x:row>
    <x:row r="287" ht="25" customHeight="1">
      <x:c r="A287" s="40" t="str">
        <x:f>'调前玩家曲线'!A287</x:f>
      </x:c>
      <x:c r="B287" s="40" t="n">
        <x:f>'调前玩家曲线'!B287</x:f>
        <x:v>276</x:v>
      </x:c>
      <x:c r="C287" s="40" t="n">
        <x:f>'调前玩家曲线'!C287</x:f>
        <x:v>19</x:v>
      </x:c>
      <x:c r="D287" s="40" t="n">
        <x:f>'调前玩家曲线'!D287</x:f>
        <x:v>12</x:v>
      </x:c>
      <x:c r="E287" s="40" t="n">
        <x:f>'调前玩家曲线'!E287</x:f>
        <x:v>1</x:v>
      </x:c>
      <x:c r="F287" s="40" t="n">
        <x:f>'调前玩家曲线'!F287</x:f>
        <x:v>5</x:v>
      </x:c>
      <x:c r="G287" s="63" t="n">
        <x:f>IF(B287&lt;$G$8,0,(INDEX('主线调参'!$C$11:$C$62,$AV287)+(INDEX('主线调参'!$C$11:$C$62,$AV287+1)-INDEX('主线调参'!$C$11:$C$62,$AV287))*$AW287)*'参数说明'!$C$27)</x:f>
        <x:v>0.8966759068387214</x:v>
      </x:c>
      <x:c r="H287" s="63" t="n">
        <x:f>IF(B287&lt;$H$8,0,(INDEX('主线调参'!$D$11:$D$62,$AV287)+(INDEX('主线调参'!$D$11:$D$62,$AV287+1)-INDEX('主线调参'!$D$11:$D$62,$AV287))*$AW287)*'参数说明'!$D$27)</x:f>
        <x:v>0.6973776073669191</x:v>
      </x:c>
      <x:c r="I287" s="63" t="n">
        <x:f>IF(B287&lt;$I$8,0,(INDEX('主线调参'!$E$11:$E$62,$AV287)+(INDEX('主线调参'!$E$11:$E$62,$AV287+1)-INDEX('主线调参'!$E$11:$E$62,$AV287))*$AW287)*'参数说明'!$E$27)</x:f>
        <x:v>0.6466890238794485</x:v>
      </x:c>
      <x:c r="J287" s="63" t="n">
        <x:f>IF(B287&lt;$J$8,0,(INDEX('主线调参'!$F$11:$F$62,$AV287)+(INDEX('主线调参'!$F$11:$F$62,$AV287+1)-INDEX('主线调参'!$F$11:$F$62,$AV287))*$AW287)*'参数说明'!$F$27)</x:f>
        <x:v>0.5971908676196961</x:v>
      </x:c>
      <x:c r="K287" s="63" t="n">
        <x:f>IF(B287&lt;$K$8,0,(INDEX('主线调参'!$G$11:$G$62,$AV287)+(INDEX('主线调参'!$G$11:$G$62,$AV287+1)-INDEX('主线调参'!$G$11:$G$62,$AV287))*$AW287)*'参数说明'!$G$27)</x:f>
        <x:v>0.6460433332725467</x:v>
      </x:c>
      <x:c r="L287" s="63" t="n">
        <x:f>IF(B287&lt;$L$8,0,(INDEX('主线调参'!$H$11:$H$62,$AV287)+(INDEX('主线调参'!$H$11:$H$62,$AV287+1)-INDEX('主线调参'!$H$11:$H$62,$AV287))*$AW287)*'参数说明'!$H$27)</x:f>
        <x:v>0.6972834471761411</x:v>
      </x:c>
      <x:c r="M287" s="59" t="n">
        <x:f>E287*'模块规划'!$F$10+G287*'模块规划'!$F$11+H287*'模块规划'!$F$13</x:f>
        <x:v>5304.044352825863</x:v>
      </x:c>
      <x:c r="N287" s="59" t="n">
        <x:f>I287*'模块规划'!$F$15+J287*'模块规划'!$F$17+K287*'模块规划'!$F$16+L287*'模块规划'!$F$18</x:f>
        <x:v>18508.098102748536</x:v>
      </x:c>
      <x:c r="O287" s="59" t="n">
        <x:f>1+O$9*SUMPRODUCT($H$10:$L$10,H287:L287)/SUM($H$10:$L$10)</x:f>
        <x:v>3.409699398688888</x:v>
      </x:c>
      <x:c r="P287" s="59" t="n">
        <x:f>M287*O287+N287</x:f>
        <x:v>36593.294943198074</x:v>
      </x:c>
      <x:c r="Q287" s="59" t="n">
        <x:f>P287/(P287+'_曲线基线'!$L$2)</x:f>
        <x:v>0.6039165715860426</x:v>
      </x:c>
      <x:c r="R287" s="59" t="n">
        <x:f>E287*'模块规划'!$E$10+G287*'模块规划'!$E$11+H287*'模块规划'!$E$13</x:f>
        <x:v>7956.066529238795</x:v>
      </x:c>
      <x:c r="S287" s="59" t="n">
        <x:f>I287*'模块规划'!$E$15+J287*'模块规划'!$E$17+K287*'模块规划'!$E$16+L287*'模块规划'!$E$18</x:f>
        <x:v>27762.147154122802</x:v>
      </x:c>
      <x:c r="T287" s="59" t="n">
        <x:f>1+T$9*SUMPRODUCT($H$10:$L$10,H287:L287)/SUM($H$10:$L$10)</x:f>
        <x:v>3.409699398688888</x:v>
      </x:c>
      <x:c r="U287" s="59" t="n">
        <x:f>R287*T287+S287</x:f>
        <x:v>54889.94241479711</x:v>
      </x:c>
      <x:c r="V287" s="59" t="n">
        <x:f>V$8+(V$9-V$8)*H287</x:f>
        <x:v>0.9092132822100757</x:v>
      </x:c>
      <x:c r="W287" s="59" t="n">
        <x:f>IF(B287&lt;$H$8,0,W$8+(W$9-W$8)*H287)</x:f>
        <x:v>0.27895104294676765</x:v>
      </x:c>
      <x:c r="X287" s="59" t="n">
        <x:f>X$8+(X$9-X$8)*H287</x:f>
        <x:v>0.4667788420259028</x:v>
      </x:c>
      <x:c r="Y287" s="59" t="n">
        <x:f>Y$8+(Y$9-Y$8)*G287</x:f>
        <x:v>1</x:v>
      </x:c>
      <x:c r="Z287" s="59" t="n">
        <x:f>Z$8+(Z$9-Z$8)*H287</x:f>
        <x:v>1</x:v>
      </x:c>
      <x:c r="AA287" s="59" t="n">
        <x:f>AA$8+(AA$9-AA$8)*I287</x:f>
        <x:v>1</x:v>
      </x:c>
      <x:c r="AB287" s="59" t="n">
        <x:f>AB$8+(AB$9-AB$8)*J287</x:f>
        <x:v>1</x:v>
      </x:c>
      <x:c r="AC287" s="59" t="n">
        <x:f>AC$8+(AC$9-AC$8)*MAX(K287,L287)</x:f>
        <x:v>1</x:v>
      </x:c>
      <x:c r="AD287" s="59" t="n">
        <x:f>(V287*AE287+W287*AF287+X287*AG287)*PRODUCT(Y287:AC287)</x:f>
        <x:v>1.8902046947949909</x:v>
      </x:c>
      <x:c r="AE287" s="59" t="n">
        <x:f>1+AE$9*($H$10*H287+$I$10*I287+$J$10*J287+$K$10*K287+$L$10*L287)</x:f>
        <x:v>1</x:v>
      </x:c>
      <x:c r="AF287" s="59" t="n">
        <x:f>1+AF$9*($H$10*H287+$I$10*I287+$J$10*J287+$K$10*K287+$L$10*L287)</x:f>
        <x:v>1.212677922637319</x:v>
      </x:c>
      <x:c r="AG287" s="59" t="n">
        <x:f>1+AG$9*($H$10*H287+$I$10*I287+$J$10*J287+$K$10*K287+$L$10*L287)</x:f>
        <x:v>1.3769125406739182</x:v>
      </x:c>
      <x:c r="AH287" s="59" t="n">
        <x:f>MIN(1,'_曲线基线'!$L$3+AH$9*($H$10*H287+$I$10*I287+$J$10*J287+$K$10*K287+$L$10*L287))</x:f>
        <x:v>0.5338422739999003</x:v>
      </x:c>
      <x:c r="AI287" s="59" t="n">
        <x:f>'_曲线基线'!$L$4+AI$9*($H$10*H287+$I$10*I287+$J$10*J287+$K$10*K287+$L$10*L287)</x:f>
        <x:v>3.347846334714008</x:v>
      </x:c>
      <x:c r="AJ287" s="59" t="n">
        <x:f>1+AJ$9*($H$10*H287+$I$10*I287+$J$10*J287+$K$10*K287+$L$10*L287)</x:f>
        <x:v>2.1059251977140576</x:v>
      </x:c>
      <x:c r="AK287" s="59" t="n">
        <x:f>(1+AH287*(AI287-1))*AJ287</x:f>
        <x:v>4.745448935095531</x:v>
      </x:c>
      <x:c r="AL287" s="59" t="n">
        <x:f>U287*AD287*AK287*F287</x:f>
        <x:v>2461778.1993278596</x:v>
      </x:c>
      <x:c r="AM287" s="59" t="n">
        <x:f>IF($B287&lt;AM$8,0,AM$3+(AM$4-AM$3)*(POWER(AM$5,$B287-AM$8)-1)/(POWER(AM$5,$C$5-AM$8)-1))</x:f>
        <x:v>54.372321291130206</x:v>
      </x:c>
      <x:c r="AN287" s="59" t="n">
        <x:f>(((E287*'模块规划'!$D$10+G287*'模块规划'!$D$11+H287*'模块规划'!$D$13)*(1+'模块规划'!$G$14*H287)+(I287*'模块规划'!$D$15+J287*'模块规划'!$D$17+K287*'模块规划'!$D$16+L287*'模块规划'!$D$18))*(1+'模块规划'!$J$17*J287))*F287/(1-Q287)</x:f>
        <x:v>2940751.921924271</x:v>
      </x:c>
      <x:c r="AO287" s="59" t="n">
        <x:f>AL287*AM287</x:f>
        <x:v>133852595.20135435</x:v>
      </x:c>
      <x:c r="AP287" s="61" t="n">
        <x:f>IF(AO287="","",INDEX('_曲线基线'!$A$3:$A$502,MIN(ROWS('_曲线基线'!$A$3:$A$502),COUNTIF('_曲线基线'!$E$3:$E$502,"&lt;"&amp;AO287)+1)))</x:f>
        <x:v>317</x:v>
      </x:c>
      <x:c r="AQ287" s="61" t="n">
        <x:f>IF(B287&lt;=2,1,IF(B287&lt;=6,2,IF(B287&lt;=9,3,IF(B287&lt;=19,4,5))))</x:f>
        <x:v>5</x:v>
      </x:c>
      <x:c r="AR287" s="59" t="n">
        <x:f>AN287*(1-Q287)/F287*$AS$3+U287*$AS$4+P287*$AS$5</x:f>
        <x:v>17966.68710306362</x:v>
      </x:c>
      <x:c r="AS287" s="59" t="n">
        <x:f>1+AH287*$AS$6+AI287*$AS$7+(AJ287-1)*$AS$8+($H$10*H287+$I$10*I287+$J$10*J287+$K$10*K287+$L$10*L287)*$AU$3*$AS$9+($H$10*H287+$I$10*I287+$J$10*J287+$K$10*K287+$L$10*L287)*$AU$4*$AS$10</x:f>
        <x:v>17.689327532869395</x:v>
      </x:c>
      <x:c r="AT287" s="60" t="n">
        <x:f>ROUND(AR287*AS287,0)</x:f>
        <x:v>317819</x:v>
      </x:c>
      <x:c r="AU287" s="60" t="n">
        <x:f>ROUND(AT287*F287,0)</x:f>
        <x:v>1589095</x:v>
      </x:c>
      <x:c r="AV287" s="60" t="n">
        <x:f>MIN(MATCH(B287,'主线调参'!$M$11:$M$62,1),ROWS('主线调参'!$M$11:$M$62)-1)</x:f>
        <x:v>51</x:v>
      </x:c>
      <x:c r="AW287" s="62" t="n">
        <x:f>(B287-INDEX('主线调参'!$M$11:$M$62,AV287))/(INDEX('主线调参'!$M$11:$M$62,AV287+1)-INDEX('主线调参'!$M$11:$M$62,AV287))</x:f>
        <x:v>0.7857142857142857</x:v>
      </x:c>
      <x:c r="AX287" s="60" t="n">
        <x:f>IF(AU287=0,0,ROUND(AU287,2-INT(LOG10(ABS(AU287)))))</x:f>
        <x:v>1590000</x:v>
      </x:c>
      <x:c r="AY287" s="62" t="n">
        <x:f>AU287/AU286-1</x:f>
        <x:v>0.0031817077058562404</x:v>
      </x:c>
    </x:row>
    <x:row r="288" ht="25" customHeight="1">
      <x:c r="A288" s="40" t="str">
        <x:f>'调前玩家曲线'!A288</x:f>
      </x:c>
      <x:c r="B288" s="40" t="n">
        <x:f>'调前玩家曲线'!B288</x:f>
        <x:v>277</x:v>
      </x:c>
      <x:c r="C288" s="40" t="n">
        <x:f>'调前玩家曲线'!C288</x:f>
        <x:v>19</x:v>
      </x:c>
      <x:c r="D288" s="40" t="n">
        <x:f>'调前玩家曲线'!D288</x:f>
        <x:v>13</x:v>
      </x:c>
      <x:c r="E288" s="40" t="n">
        <x:f>'调前玩家曲线'!E288</x:f>
        <x:v>1</x:v>
      </x:c>
      <x:c r="F288" s="40" t="n">
        <x:f>'调前玩家曲线'!F288</x:f>
        <x:v>5</x:v>
      </x:c>
      <x:c r="G288" s="63" t="n">
        <x:f>IF(B288&lt;$G$8,0,(INDEX('主线调参'!$C$11:$C$62,$AV288)+(INDEX('主线调参'!$C$11:$C$62,$AV288+1)-INDEX('主线调参'!$C$11:$C$62,$AV288))*$AW288)*'参数说明'!$C$27)</x:f>
        <x:v>0.897783937892481</x:v>
      </x:c>
      <x:c r="H288" s="63" t="n">
        <x:f>IF(B288&lt;$H$8,0,(INDEX('主线调参'!$D$11:$D$62,$AV288)+(INDEX('主线调参'!$D$11:$D$62,$AV288+1)-INDEX('主线调参'!$D$11:$D$62,$AV288))*$AW288)*'参数说明'!$D$27)</x:f>
        <x:v>0.6982517382446127</x:v>
      </x:c>
      <x:c r="I288" s="63" t="n">
        <x:f>IF(B288&lt;$I$8,0,(INDEX('主线调参'!$E$11:$E$62,$AV288)+(INDEX('主线调参'!$E$11:$E$62,$AV288+1)-INDEX('主线调参'!$E$11:$E$62,$AV288))*$AW288)*'参数说明'!$E$27)</x:f>
        <x:v>0.6477926825862991</x:v>
      </x:c>
      <x:c r="J288" s="63" t="n">
        <x:f>IF(B288&lt;$J$8,0,(INDEX('主线调参'!$F$11:$F$62,$AV288)+(INDEX('主线调参'!$F$11:$F$62,$AV288+1)-INDEX('主线调参'!$F$11:$F$62,$AV288))*$AW288)*'参数说明'!$F$27)</x:f>
        <x:v>0.5981272450797973</x:v>
      </x:c>
      <x:c r="K288" s="63" t="n">
        <x:f>IF(B288&lt;$K$8,0,(INDEX('主线调参'!$G$11:$G$62,$AV288)+(INDEX('主线调参'!$G$11:$G$62,$AV288+1)-INDEX('主线调参'!$G$11:$G$62,$AV288))*$AW288)*'参数说明'!$G$27)</x:f>
        <x:v>0.6473622221816978</x:v>
      </x:c>
      <x:c r="L288" s="63" t="n">
        <x:f>IF(B288&lt;$L$8,0,(INDEX('主线调参'!$H$11:$H$62,$AV288)+(INDEX('主线调参'!$H$11:$H$62,$AV288+1)-INDEX('主线调参'!$H$11:$H$62,$AV288))*$AW288)*'参数说明'!$H$27)</x:f>
        <x:v>0.6981889647840941</x:v>
      </x:c>
      <x:c r="M288" s="59" t="n">
        <x:f>E288*'模块规划'!$F$10+G288*'模块规划'!$F$11+H288*'模块规划'!$F$13</x:f>
        <x:v>5309.362901883909</x:v>
      </x:c>
      <x:c r="N288" s="59" t="n">
        <x:f>I288*'模块规划'!$F$15+J288*'模块规划'!$F$17+K288*'模块规划'!$F$16+L288*'模块规划'!$F$18</x:f>
        <x:v>18538.732068499026</x:v>
      </x:c>
      <x:c r="O288" s="59" t="n">
        <x:f>1+O$9*SUMPRODUCT($H$10:$L$10,H288:L288)/SUM($H$10:$L$10)</x:f>
        <x:v>3.4135304859760787</x:v>
      </x:c>
      <x:c r="P288" s="59" t="n">
        <x:f>M288*O288+N288</x:f>
        <x:v>36662.404195190175</x:v>
      </x:c>
      <x:c r="Q288" s="59" t="n">
        <x:f>P288/(P288+'_曲线基线'!$L$2)</x:f>
        <x:v>0.6043678070724582</x:v>
      </x:c>
      <x:c r="R288" s="59" t="n">
        <x:f>E288*'模块规划'!$E$10+G288*'模块规划'!$E$11+H288*'模块规划'!$E$13</x:f>
        <x:v>7964.044352825863</x:v>
      </x:c>
      <x:c r="S288" s="59" t="n">
        <x:f>I288*'模块规划'!$E$15+J288*'模块规划'!$E$17+K288*'模块规划'!$E$16+L288*'模块规划'!$E$18</x:f>
        <x:v>27808.098102748532</x:v>
      </x:c>
      <x:c r="T288" s="59" t="n">
        <x:f>1+T$9*SUMPRODUCT($H$10:$L$10,H288:L288)/SUM($H$10:$L$10)</x:f>
        <x:v>3.4135304859760787</x:v>
      </x:c>
      <x:c r="U288" s="59" t="n">
        <x:f>R288*T288+S288</x:f>
        <x:v>54993.60629278525</x:v>
      </x:c>
      <x:c r="V288" s="59" t="n">
        <x:f>V$8+(V$9-V$8)*H288</x:f>
        <x:v>0.9094755214733838</x:v>
      </x:c>
      <x:c r="W288" s="59" t="n">
        <x:f>IF(B288&lt;$H$8,0,W$8+(W$9-W$8)*H288)</x:f>
        <x:v>0.2793006952978451</x:v>
      </x:c>
      <x:c r="X288" s="59" t="n">
        <x:f>X$8+(X$9-X$8)*H288</x:f>
        <x:v>0.46701922801726853</x:v>
      </x:c>
      <x:c r="Y288" s="59" t="n">
        <x:f>Y$8+(Y$9-Y$8)*G288</x:f>
        <x:v>1</x:v>
      </x:c>
      <x:c r="Z288" s="59" t="n">
        <x:f>Z$8+(Z$9-Z$8)*H288</x:f>
        <x:v>1</x:v>
      </x:c>
      <x:c r="AA288" s="59" t="n">
        <x:f>AA$8+(AA$9-AA$8)*I288</x:f>
        <x:v>1</x:v>
      </x:c>
      <x:c r="AB288" s="59" t="n">
        <x:f>AB$8+(AB$9-AB$8)*J288</x:f>
        <x:v>1</x:v>
      </x:c>
      <x:c r="AC288" s="59" t="n">
        <x:f>AC$8+(AC$9-AC$8)*MAX(K288,L288)</x:f>
        <x:v>1</x:v>
      </x:c>
      <x:c r="AD288" s="59" t="n">
        <x:f>(V288*AE288+W288*AF288+X288*AG288)*PRODUCT(Y288:AC288)</x:f>
        <x:v>1.8915962356533422</x:v>
      </x:c>
      <x:c r="AE288" s="59" t="n">
        <x:f>1+AE$9*($H$10*H288+$I$10*I288+$J$10*J288+$K$10*K288+$L$10*L288)</x:f>
        <x:v>1</x:v>
      </x:c>
      <x:c r="AF288" s="59" t="n">
        <x:f>1+AF$9*($H$10*H288+$I$10*I288+$J$10*J288+$K$10*K288+$L$10*L288)</x:f>
        <x:v>1.213016050988982</x:v>
      </x:c>
      <x:c r="AG288" s="59" t="n">
        <x:f>1+AG$9*($H$10*H288+$I$10*I288+$J$10*J288+$K$10*K288+$L$10*L288)</x:f>
        <x:v>1.3775117792526987</x:v>
      </x:c>
      <x:c r="AH288" s="59" t="n">
        <x:f>MIN(1,'_曲线基线'!$L$3+AH$9*($H$10*H288+$I$10*I288+$J$10*J288+$K$10*K288+$L$10*L288))</x:f>
        <x:v>0.5346115159999335</x:v>
      </x:c>
      <x:c r="AI288" s="59" t="n">
        <x:f>'_曲线基线'!$L$4+AI$9*($H$10*H288+$I$10*I288+$J$10*J288+$K$10*K288+$L$10*L288)</x:f>
        <x:v>3.3499892231426722</x:v>
      </x:c>
      <x:c r="AJ288" s="59" t="n">
        <x:f>1+AJ$9*($H$10*H288+$I$10*I288+$J$10*J288+$K$10*K288+$L$10*L288)</x:f>
        <x:v>2.1076834651427054</x:v>
      </x:c>
      <x:c r="AK288" s="59" t="n">
        <x:f>(1+AH288*(AI288-1))*AJ288</x:f>
        <x:v>4.755632175355319</x:v>
      </x:c>
      <x:c r="AL288" s="59" t="n">
        <x:f>U288*AD288*AK288*F288</x:f>
        <x:v>2473539.797781558</x:v>
      </x:c>
      <x:c r="AM288" s="59" t="n">
        <x:f>IF($B288&lt;AM$8,0,AM$3+(AM$4-AM$3)*(POWER(AM$5,$B288-AM$8)-1)/(POWER(AM$5,$C$5-AM$8)-1))</x:f>
        <x:v>54.57946914396338</x:v>
      </x:c>
      <x:c r="AN288" s="59" t="n">
        <x:f>(((E288*'模块规划'!$D$10+G288*'模块规划'!$D$11+H288*'模块规划'!$D$13)*(1+'模块规划'!$G$14*H288)+(I288*'模块规划'!$D$15+J288*'模块规划'!$D$17+K288*'模块规划'!$D$16+L288*'模块规划'!$D$18))*(1+'模块规划'!$J$17*J288))*F288/(1-Q288)</x:f>
        <x:v>2950751.281457939</x:v>
      </x:c>
      <x:c r="AO288" s="59" t="n">
        <x:f>AL288*AM288</x:f>
        <x:v>135004489.06938395</x:v>
      </x:c>
      <x:c r="AP288" s="61" t="n">
        <x:f>IF(AO288="","",INDEX('_曲线基线'!$A$3:$A$502,MIN(ROWS('_曲线基线'!$A$3:$A$502),COUNTIF('_曲线基线'!$E$3:$E$502,"&lt;"&amp;AO288)+1)))</x:f>
        <x:v>317</x:v>
      </x:c>
      <x:c r="AQ288" s="61" t="n">
        <x:f>IF(B288&lt;=2,1,IF(B288&lt;=6,2,IF(B288&lt;=9,3,IF(B288&lt;=19,4,5))))</x:f>
        <x:v>5</x:v>
      </x:c>
      <x:c r="AR288" s="59" t="n">
        <x:f>AN288*(1-Q288)/F288*$AS$3+U288*$AS$4+P288*$AS$5</x:f>
        <x:v>18003.194460158804</x:v>
      </x:c>
      <x:c r="AS288" s="59" t="n">
        <x:f>1+AH288*$AS$6+AI288*$AS$7+(AJ288-1)*$AS$8+($H$10*H288+$I$10*I288+$J$10*J288+$K$10*K288+$L$10*L288)*$AU$3*$AS$9+($H$10*H288+$I$10*I288+$J$10*J288+$K$10*K288+$L$10*L288)*$AU$4*$AS$10</x:f>
        <x:v>17.7095310860796</x:v>
      </x:c>
      <x:c r="AT288" s="60" t="n">
        <x:f>ROUND(AR288*AS288,0)</x:f>
        <x:v>318828</x:v>
      </x:c>
      <x:c r="AU288" s="60" t="n">
        <x:f>ROUND(AT288*F288,0)</x:f>
        <x:v>1594140</x:v>
      </x:c>
      <x:c r="AV288" s="60" t="n">
        <x:f>MIN(MATCH(B288,'主线调参'!$M$11:$M$62,1),ROWS('主线调参'!$M$11:$M$62)-1)</x:f>
        <x:v>51</x:v>
      </x:c>
      <x:c r="AW288" s="62" t="n">
        <x:f>(B288-INDEX('主线调参'!$M$11:$M$62,AV288))/(INDEX('主线调参'!$M$11:$M$62,AV288+1)-INDEX('主线调参'!$M$11:$M$62,AV288))</x:f>
        <x:v>0.8571428571428571</x:v>
      </x:c>
      <x:c r="AX288" s="60" t="n">
        <x:f>IF(AU288=0,0,ROUND(AU288,2-INT(LOG10(ABS(AU288)))))</x:f>
        <x:v>1590000</x:v>
      </x:c>
      <x:c r="AY288" s="62" t="n">
        <x:f>AU288/AU287-1</x:f>
        <x:v>0.0031747629940312994</x:v>
      </x:c>
    </x:row>
    <x:row r="289" ht="25" customHeight="1">
      <x:c r="A289" s="40" t="str">
        <x:f>'调前玩家曲线'!A289</x:f>
      </x:c>
      <x:c r="B289" s="40" t="n">
        <x:f>'调前玩家曲线'!B289</x:f>
        <x:v>278</x:v>
      </x:c>
      <x:c r="C289" s="40" t="n">
        <x:f>'调前玩家曲线'!C289</x:f>
        <x:v>19</x:v>
      </x:c>
      <x:c r="D289" s="40" t="n">
        <x:f>'调前玩家曲线'!D289</x:f>
        <x:v>14</x:v>
      </x:c>
      <x:c r="E289" s="40" t="n">
        <x:f>'调前玩家曲线'!E289</x:f>
        <x:v>1</x:v>
      </x:c>
      <x:c r="F289" s="40" t="n">
        <x:f>'调前玩家曲线'!F289</x:f>
        <x:v>5</x:v>
      </x:c>
      <x:c r="G289" s="63" t="n">
        <x:f>IF(B289&lt;$G$8,0,(INDEX('主线调参'!$C$11:$C$62,$AV289)+(INDEX('主线调参'!$C$11:$C$62,$AV289+1)-INDEX('主线调参'!$C$11:$C$62,$AV289))*$AW289)*'参数说明'!$C$27)</x:f>
        <x:v>0.8988919689462405</x:v>
      </x:c>
      <x:c r="H289" s="63" t="n">
        <x:f>IF(B289&lt;$H$8,0,(INDEX('主线调参'!$D$11:$D$62,$AV289)+(INDEX('主线调参'!$D$11:$D$62,$AV289+1)-INDEX('主线调参'!$D$11:$D$62,$AV289))*$AW289)*'参数说明'!$D$27)</x:f>
        <x:v>0.6991258691223063</x:v>
      </x:c>
      <x:c r="I289" s="63" t="n">
        <x:f>IF(B289&lt;$I$8,0,(INDEX('主线调参'!$E$11:$E$62,$AV289)+(INDEX('主线调参'!$E$11:$E$62,$AV289+1)-INDEX('主线调参'!$E$11:$E$62,$AV289))*$AW289)*'参数说明'!$E$27)</x:f>
        <x:v>0.6488963412931495</x:v>
      </x:c>
      <x:c r="J289" s="63" t="n">
        <x:f>IF(B289&lt;$J$8,0,(INDEX('主线调参'!$F$11:$F$62,$AV289)+(INDEX('主线调参'!$F$11:$F$62,$AV289+1)-INDEX('主线调参'!$F$11:$F$62,$AV289))*$AW289)*'参数说明'!$F$27)</x:f>
        <x:v>0.5990636225398986</x:v>
      </x:c>
      <x:c r="K289" s="63" t="n">
        <x:f>IF(B289&lt;$K$8,0,(INDEX('主线调参'!$G$11:$G$62,$AV289)+(INDEX('主线调参'!$G$11:$G$62,$AV289+1)-INDEX('主线调参'!$G$11:$G$62,$AV289))*$AW289)*'参数说明'!$G$27)</x:f>
        <x:v>0.6486811110908489</x:v>
      </x:c>
      <x:c r="L289" s="63" t="n">
        <x:f>IF(B289&lt;$L$8,0,(INDEX('主线调参'!$H$11:$H$62,$AV289)+(INDEX('主线调参'!$H$11:$H$62,$AV289+1)-INDEX('主线调参'!$H$11:$H$62,$AV289))*$AW289)*'参数说明'!$H$27)</x:f>
        <x:v>0.699094482392047</x:v>
      </x:c>
      <x:c r="M289" s="59" t="n">
        <x:f>E289*'模块规划'!$F$10+G289*'模块规划'!$F$11+H289*'模块规划'!$F$13</x:f>
        <x:v>5314.681450941955</x:v>
      </x:c>
      <x:c r="N289" s="59" t="n">
        <x:f>I289*'模块规划'!$F$15+J289*'模块规划'!$F$17+K289*'模块规划'!$F$16+L289*'模块规划'!$F$18</x:f>
        <x:v>18569.366034249513</x:v>
      </x:c>
      <x:c r="O289" s="59" t="n">
        <x:f>1+O$9*SUMPRODUCT($H$10:$L$10,H289:L289)/SUM($H$10:$L$10)</x:f>
        <x:v>3.4173615732632685</x:v>
      </x:c>
      <x:c r="P289" s="59" t="n">
        <x:f>M289*O289+N289</x:f>
        <x:v>36731.55419883362</x:v>
      </x:c>
      <x:c r="Q289" s="59" t="n">
        <x:f>P289/(P289+'_曲线基线'!$L$2)</x:f>
        <x:v>0.6048182807667891</x:v>
      </x:c>
      <x:c r="R289" s="59" t="n">
        <x:f>E289*'模块规划'!$E$10+G289*'模块规划'!$E$11+H289*'模块规划'!$E$13</x:f>
        <x:v>7972.022176412931</x:v>
      </x:c>
      <x:c r="S289" s="59" t="n">
        <x:f>I289*'模块规划'!$E$15+J289*'模块规划'!$E$17+K289*'模块规划'!$E$16+L289*'模块规划'!$E$18</x:f>
        <x:v>27854.049051374266</x:v>
      </x:c>
      <x:c r="T289" s="59" t="n">
        <x:f>1+T$9*SUMPRODUCT($H$10:$L$10,H289:L289)/SUM($H$10:$L$10)</x:f>
        <x:v>3.4173615732632685</x:v>
      </x:c>
      <x:c r="U289" s="59" t="n">
        <x:f>R289*T289+S289</x:f>
        <x:v>55097.33129825043</x:v>
      </x:c>
      <x:c r="V289" s="59" t="n">
        <x:f>V$8+(V$9-V$8)*H289</x:f>
        <x:v>0.9097377607366919</x:v>
      </x:c>
      <x:c r="W289" s="59" t="n">
        <x:f>IF(B289&lt;$H$8,0,W$8+(W$9-W$8)*H289)</x:f>
        <x:v>0.27965034764892255</x:v>
      </x:c>
      <x:c r="X289" s="59" t="n">
        <x:f>X$8+(X$9-X$8)*H289</x:f>
        <x:v>0.46725961400863425</x:v>
      </x:c>
      <x:c r="Y289" s="59" t="n">
        <x:f>Y$8+(Y$9-Y$8)*G289</x:f>
        <x:v>1</x:v>
      </x:c>
      <x:c r="Z289" s="59" t="n">
        <x:f>Z$8+(Z$9-Z$8)*H289</x:f>
        <x:v>1</x:v>
      </x:c>
      <x:c r="AA289" s="59" t="n">
        <x:f>AA$8+(AA$9-AA$8)*I289</x:f>
        <x:v>1</x:v>
      </x:c>
      <x:c r="AB289" s="59" t="n">
        <x:f>AB$8+(AB$9-AB$8)*J289</x:f>
        <x:v>1</x:v>
      </x:c>
      <x:c r="AC289" s="59" t="n">
        <x:f>AC$8+(AC$9-AC$8)*MAX(K289,L289)</x:f>
        <x:v>1</x:v>
      </x:c>
      <x:c r="AD289" s="59" t="n">
        <x:f>(V289*AE289+W289*AF289+X289*AG289)*PRODUCT(Y289:AC289)</x:f>
        <x:v>1.8929883010635593</x:v>
      </x:c>
      <x:c r="AE289" s="59" t="n">
        <x:f>1+AE$9*($H$10*H289+$I$10*I289+$J$10*J289+$K$10*K289+$L$10*L289)</x:f>
        <x:v>1</x:v>
      </x:c>
      <x:c r="AF289" s="59" t="n">
        <x:f>1+AF$9*($H$10*H289+$I$10*I289+$J$10*J289+$K$10*K289+$L$10*L289)</x:f>
        <x:v>1.2133541793406448</x:v>
      </x:c>
      <x:c r="AG289" s="59" t="n">
        <x:f>1+AG$9*($H$10*H289+$I$10*I289+$J$10*J289+$K$10*K289+$L$10*L289)</x:f>
        <x:v>1.3781110178314793</x:v>
      </x:c>
      <x:c r="AH289" s="59" t="n">
        <x:f>MIN(1,'_曲线基线'!$L$3+AH$9*($H$10*H289+$I$10*I289+$J$10*J289+$K$10*K289+$L$10*L289))</x:f>
        <x:v>0.5353807579999668</x:v>
      </x:c>
      <x:c r="AI289" s="59" t="n">
        <x:f>'_曲线基线'!$L$4+AI$9*($H$10*H289+$I$10*I289+$J$10*J289+$K$10*K289+$L$10*L289)</x:f>
        <x:v>3.352132111571336</x:v>
      </x:c>
      <x:c r="AJ289" s="59" t="n">
        <x:f>1+AJ$9*($H$10*H289+$I$10*I289+$J$10*J289+$K$10*K289+$L$10*L289)</x:f>
        <x:v>2.1094417325713524</x:v>
      </x:c>
      <x:c r="AK289" s="59" t="n">
        <x:f>(1+AH289*(AI289-1))*AJ289</x:f>
        <x:v>4.765832749689152</x:v>
      </x:c>
      <x:c r="AL289" s="59" t="n">
        <x:f>U289*AD289*AK289*F289</x:f>
        <x:v>2485348.5031420696</x:v>
      </x:c>
      <x:c r="AM289" s="59" t="n">
        <x:f>IF($B289&lt;AM$8,0,AM$3+(AM$4-AM$3)*(POWER(AM$5,$B289-AM$8)-1)/(POWER(AM$5,$C$5-AM$8)-1))</x:f>
        <x:v>54.78868847532488</x:v>
      </x:c>
      <x:c r="AN289" s="59" t="n">
        <x:f>(((E289*'模块规划'!$D$10+G289*'模块规划'!$D$11+H289*'模块规划'!$D$13)*(1+'模块规划'!$G$14*H289)+(I289*'模块规划'!$D$15+J289*'模块规划'!$D$17+K289*'模块规划'!$D$16+L289*'模块规划'!$D$18))*(1+'模块规划'!$J$17*J289))*F289/(1-Q289)</x:f>
        <x:v>2960774.8586783553</x:v>
      </x:c>
      <x:c r="AO289" s="59" t="n">
        <x:f>AL289*AM289</x:f>
        <x:v>136168984.89126584</x:v>
      </x:c>
      <x:c r="AP289" s="61" t="n">
        <x:f>IF(AO289="","",INDEX('_曲线基线'!$A$3:$A$502,MIN(ROWS('_曲线基线'!$A$3:$A$502),COUNTIF('_曲线基线'!$E$3:$E$502,"&lt;"&amp;AO289)+1)))</x:f>
        <x:v>318</x:v>
      </x:c>
      <x:c r="AQ289" s="61" t="n">
        <x:f>IF(B289&lt;=2,1,IF(B289&lt;=6,2,IF(B289&lt;=9,3,IF(B289&lt;=19,4,5))))</x:f>
        <x:v>5</x:v>
      </x:c>
      <x:c r="AR289" s="59" t="n">
        <x:f>AN289*(1-Q289)/F289*$AS$3+U289*$AS$4+P289*$AS$5</x:f>
        <x:v>18039.73085313996</x:v>
      </x:c>
      <x:c r="AS289" s="59" t="n">
        <x:f>1+AH289*$AS$6+AI289*$AS$7+(AJ289-1)*$AS$8+($H$10*H289+$I$10*I289+$J$10*J289+$K$10*K289+$L$10*L289)*$AU$3*$AS$9+($H$10*H289+$I$10*I289+$J$10*J289+$K$10*K289+$L$10*L289)*$AU$4*$AS$10</x:f>
        <x:v>17.7297346392898</x:v>
      </x:c>
      <x:c r="AT289" s="60" t="n">
        <x:f>ROUND(AR289*AS289,0)</x:f>
        <x:v>319840</x:v>
      </x:c>
      <x:c r="AU289" s="60" t="n">
        <x:f>ROUND(AT289*F289,0)</x:f>
        <x:v>1599200</x:v>
      </x:c>
      <x:c r="AV289" s="60" t="n">
        <x:f>MIN(MATCH(B289,'主线调参'!$M$11:$M$62,1),ROWS('主线调参'!$M$11:$M$62)-1)</x:f>
        <x:v>51</x:v>
      </x:c>
      <x:c r="AW289" s="62" t="n">
        <x:f>(B289-INDEX('主线调参'!$M$11:$M$62,AV289))/(INDEX('主线调参'!$M$11:$M$62,AV289+1)-INDEX('主线调参'!$M$11:$M$62,AV289))</x:f>
        <x:v>0.9285714285714286</x:v>
      </x:c>
      <x:c r="AX289" s="60" t="n">
        <x:f>IF(AU289=0,0,ROUND(AU289,2-INT(LOG10(ABS(AU289)))))</x:f>
        <x:v>1600000</x:v>
      </x:c>
      <x:c r="AY289" s="62" t="n">
        <x:f>AU289/AU288-1</x:f>
        <x:v>0.0031741252336683345</x:v>
      </x:c>
    </x:row>
    <x:row r="290" ht="25" customHeight="1">
      <x:c r="A290" s="40" t="n">
        <x:f>'调前玩家曲线'!A290</x:f>
        <x:v>0</x:v>
      </x:c>
      <x:c r="B290" s="40" t="n">
        <x:f>'调前玩家曲线'!B290</x:f>
        <x:v>279</x:v>
      </x:c>
      <x:c r="C290" s="40" t="n">
        <x:f>'调前玩家曲线'!C290</x:f>
        <x:v>19</x:v>
      </x:c>
      <x:c r="D290" s="40" t="n">
        <x:f>'调前玩家曲线'!D290</x:f>
        <x:v>15</x:v>
      </x:c>
      <x:c r="E290" s="40" t="n">
        <x:f>'调前玩家曲线'!E290</x:f>
        <x:v>1</x:v>
      </x:c>
      <x:c r="F290" s="40" t="n">
        <x:f>'调前玩家曲线'!F290</x:f>
        <x:v>5</x:v>
      </x:c>
      <x:c r="G290" s="63" t="n">
        <x:f>IF(B290&lt;$G$8,0,(INDEX('主线调参'!$C$11:$C$62,$AV290)+(INDEX('主线调参'!$C$11:$C$62,$AV290+1)-INDEX('主线调参'!$C$11:$C$62,$AV290))*$AW290)*'参数说明'!$C$27)</x:f>
        <x:v>0.9</x:v>
      </x:c>
      <x:c r="H290" s="63" t="n">
        <x:f>IF(B290&lt;$H$8,0,(INDEX('主线调参'!$D$11:$D$62,$AV290)+(INDEX('主线调参'!$D$11:$D$62,$AV290+1)-INDEX('主线调参'!$D$11:$D$62,$AV290))*$AW290)*'参数说明'!$D$27)</x:f>
        <x:v>0.7</x:v>
      </x:c>
      <x:c r="I290" s="63" t="n">
        <x:f>IF(B290&lt;$I$8,0,(INDEX('主线调参'!$E$11:$E$62,$AV290)+(INDEX('主线调参'!$E$11:$E$62,$AV290+1)-INDEX('主线调参'!$E$11:$E$62,$AV290))*$AW290)*'参数说明'!$E$27)</x:f>
        <x:v>0.65</x:v>
      </x:c>
      <x:c r="J290" s="63" t="n">
        <x:f>IF(B290&lt;$J$8,0,(INDEX('主线调参'!$F$11:$F$62,$AV290)+(INDEX('主线调参'!$F$11:$F$62,$AV290+1)-INDEX('主线调参'!$F$11:$F$62,$AV290))*$AW290)*'参数说明'!$F$27)</x:f>
        <x:v>0.5999999999999999</x:v>
      </x:c>
      <x:c r="K290" s="63" t="n">
        <x:f>IF(B290&lt;$K$8,0,(INDEX('主线调参'!$G$11:$G$62,$AV290)+(INDEX('主线调参'!$G$11:$G$62,$AV290+1)-INDEX('主线调参'!$G$11:$G$62,$AV290))*$AW290)*'参数说明'!$G$27)</x:f>
        <x:v>0.65</x:v>
      </x:c>
      <x:c r="L290" s="63" t="n">
        <x:f>IF(B290&lt;$L$8,0,(INDEX('主线调参'!$H$11:$H$62,$AV290)+(INDEX('主线调参'!$H$11:$H$62,$AV290+1)-INDEX('主线调参'!$H$11:$H$62,$AV290))*$AW290)*'参数说明'!$H$27)</x:f>
        <x:v>0.7</x:v>
      </x:c>
      <x:c r="M290" s="59" t="n">
        <x:f>E290*'模块规划'!$F$10+G290*'模块规划'!$F$11+H290*'模块规划'!$F$13</x:f>
        <x:v>5320</x:v>
      </x:c>
      <x:c r="N290" s="59" t="n">
        <x:f>I290*'模块规划'!$F$15+J290*'模块规划'!$F$17+K290*'模块规划'!$F$16+L290*'模块规划'!$F$18</x:f>
        <x:v>18600</x:v>
      </x:c>
      <x:c r="O290" s="59" t="n">
        <x:f>1+O$9*SUMPRODUCT($H$10:$L$10,H290:L290)/SUM($H$10:$L$10)</x:f>
        <x:v>3.4211926605504592</x:v>
      </x:c>
      <x:c r="P290" s="59" t="n">
        <x:f>M290*O290+N290</x:f>
        <x:v>36800.744954128444</x:v>
      </x:c>
      <x:c r="Q290" s="59" t="n">
        <x:f>P290/(P290+'_曲线基线'!$L$2)</x:f>
        <x:v>0.6052679943624544</x:v>
      </x:c>
      <x:c r="R290" s="59" t="n">
        <x:f>E290*'模块规划'!$E$10+G290*'模块规划'!$E$11+H290*'模块规划'!$E$13</x:f>
        <x:v>7980</x:v>
      </x:c>
      <x:c r="S290" s="59" t="n">
        <x:f>I290*'模块规划'!$E$15+J290*'模块规划'!$E$17+K290*'模块规划'!$E$16+L290*'模块规划'!$E$18</x:f>
        <x:v>27900</x:v>
      </x:c>
      <x:c r="T290" s="59" t="n">
        <x:f>1+T$9*SUMPRODUCT($H$10:$L$10,H290:L290)/SUM($H$10:$L$10)</x:f>
        <x:v>3.4211926605504592</x:v>
      </x:c>
      <x:c r="U290" s="59" t="n">
        <x:f>R290*T290+S290</x:f>
        <x:v>55201.117431192666</x:v>
      </x:c>
      <x:c r="V290" s="59" t="n">
        <x:f>V$8+(V$9-V$8)*H290</x:f>
        <x:v>0.9099999999999999</x:v>
      </x:c>
      <x:c r="W290" s="59" t="n">
        <x:f>IF(B290&lt;$H$8,0,W$8+(W$9-W$8)*H290)</x:f>
        <x:v>0.27999999999999997</x:v>
      </x:c>
      <x:c r="X290" s="59" t="n">
        <x:f>X$8+(X$9-X$8)*H290</x:f>
        <x:v>0.4675</x:v>
      </x:c>
      <x:c r="Y290" s="59" t="n">
        <x:f>Y$8+(Y$9-Y$8)*G290</x:f>
        <x:v>1</x:v>
      </x:c>
      <x:c r="Z290" s="59" t="n">
        <x:f>Z$8+(Z$9-Z$8)*H290</x:f>
        <x:v>1</x:v>
      </x:c>
      <x:c r="AA290" s="59" t="n">
        <x:f>AA$8+(AA$9-AA$8)*I290</x:f>
        <x:v>1</x:v>
      </x:c>
      <x:c r="AB290" s="59" t="n">
        <x:f>AB$8+(AB$9-AB$8)*J290</x:f>
        <x:v>1</x:v>
      </x:c>
      <x:c r="AC290" s="59" t="n">
        <x:f>AC$8+(AC$9-AC$8)*MAX(K290,L290)</x:f>
        <x:v>1</x:v>
      </x:c>
      <x:c r="AD290" s="59" t="n">
        <x:f>(V290*AE290+W290*AF290+X290*AG290)*PRODUCT(Y290:AC290)</x:f>
        <x:v>1.8943808910256426</x:v>
      </x:c>
      <x:c r="AE290" s="59" t="n">
        <x:f>1+AE$9*($H$10*H290+$I$10*I290+$J$10*J290+$K$10*K290+$L$10*L290)</x:f>
        <x:v>1</x:v>
      </x:c>
      <x:c r="AF290" s="59" t="n">
        <x:f>1+AF$9*($H$10*H290+$I$10*I290+$J$10*J290+$K$10*K290+$L$10*L290)</x:f>
        <x:v>1.2136923076923078</x:v>
      </x:c>
      <x:c r="AG290" s="59" t="n">
        <x:f>1+AG$9*($H$10*H290+$I$10*I290+$J$10*J290+$K$10*K290+$L$10*L290)</x:f>
        <x:v>1.3787102564102596</x:v>
      </x:c>
      <x:c r="AH290" s="59" t="n">
        <x:f>MIN(1,'_曲线基线'!$L$3+AH$9*($H$10*H290+$I$10*I290+$J$10*J290+$K$10*K290+$L$10*L290))</x:f>
        <x:v>0.5361499999999999</x:v>
      </x:c>
      <x:c r="AI290" s="59" t="n">
        <x:f>'_曲线基线'!$L$4+AI$9*($H$10*H290+$I$10*I290+$J$10*J290+$K$10*K290+$L$10*L290)</x:f>
        <x:v>3.3542749999999995</x:v>
      </x:c>
      <x:c r="AJ290" s="59" t="n">
        <x:f>1+AJ$9*($H$10*H290+$I$10*I290+$J$10*J290+$K$10*K290+$L$10*L290)</x:f>
        <x:v>2.1112</x:v>
      </x:c>
      <x:c r="AK290" s="59" t="n">
        <x:f>(1+AH290*(AI290-1))*AJ290</x:f>
        <x:v>4.776050675486999</x:v>
      </x:c>
      <x:c r="AL290" s="59" t="n">
        <x:f>U290*AD290*AK290*F290</x:f>
        <x:v>2497204.4717253866</x:v>
      </x:c>
      <x:c r="AM290" s="59" t="n">
        <x:f>IF($B290&lt;AM$8,0,AM$3+(AM$4-AM$3)*(POWER(AM$5,$B290-AM$8)-1)/(POWER(AM$5,$C$5-AM$8)-1))</x:f>
        <x:v>55</x:v>
      </x:c>
      <x:c r="AN290" s="59" t="n">
        <x:f>(((E290*'模块规划'!$D$10+G290*'模块规划'!$D$11+H290*'模块规划'!$D$13)*(1+'模块规划'!$G$14*H290)+(I290*'模块规划'!$D$15+J290*'模块规划'!$D$17+K290*'模块规划'!$D$16+L290*'模块规划'!$D$18))*(1+'模块规划'!$J$17*J290))*F290/(1-Q290)</x:f>
        <x:v>2970822.6929963906</x:v>
      </x:c>
      <x:c r="AO290" s="59" t="n">
        <x:f>AL290*AM290</x:f>
        <x:v>137346245.94489625</x:v>
      </x:c>
      <x:c r="AP290" s="61" t="n">
        <x:f>IF(AO290="","",INDEX('_曲线基线'!$A$3:$A$502,MIN(ROWS('_曲线基线'!$A$3:$A$502),COUNTIF('_曲线基线'!$E$3:$E$502,"&lt;"&amp;AO290)+1)))</x:f>
        <x:v>319</x:v>
      </x:c>
      <x:c r="AQ290" s="61" t="n">
        <x:f>IF(B290&lt;=2,1,IF(B290&lt;=6,2,IF(B290&lt;=9,3,IF(B290&lt;=19,4,5))))</x:f>
        <x:v>5</x:v>
      </x:c>
      <x:c r="AR290" s="59" t="n">
        <x:f>AN290*(1-Q290)/F290*$AS$3+U290*$AS$4+P290*$AS$5</x:f>
        <x:v>18076.296286238532</x:v>
      </x:c>
      <x:c r="AS290" s="59" t="n">
        <x:f>1+AH290*$AS$6+AI290*$AS$7+(AJ290-1)*$AS$8+($H$10*H290+$I$10*I290+$J$10*J290+$K$10*K290+$L$10*L290)*$AU$3*$AS$9+($H$10*H290+$I$10*I290+$J$10*J290+$K$10*K290+$L$10*L290)*$AU$4*$AS$10</x:f>
        <x:v>17.749938192499997</x:v>
      </x:c>
      <x:c r="AT290" s="60" t="n">
        <x:f>ROUND(AR290*AS290,0)</x:f>
        <x:v>320853</x:v>
      </x:c>
      <x:c r="AU290" s="60" t="n">
        <x:f>ROUND(AT290*F290,0)</x:f>
        <x:v>1604265</x:v>
      </x:c>
      <x:c r="AV290" s="60" t="n">
        <x:f>MIN(MATCH(B290,'主线调参'!$M$11:$M$62,1),ROWS('主线调参'!$M$11:$M$62)-1)</x:f>
        <x:v>51</x:v>
      </x:c>
      <x:c r="AW290" s="62" t="n">
        <x:f>(B290-INDEX('主线调参'!$M$11:$M$62,AV290))/(INDEX('主线调参'!$M$11:$M$62,AV290+1)-INDEX('主线调参'!$M$11:$M$62,AV290))</x:f>
        <x:v>1</x:v>
      </x:c>
      <x:c r="AX290" s="60" t="n">
        <x:f>IF(AU290=0,0,ROUND(AU290,2-INT(LOG10(ABS(AU290)))))</x:f>
        <x:v>1600000</x:v>
      </x:c>
      <x:c r="AY290" s="62" t="n">
        <x:f>AU290/AU289-1</x:f>
        <x:v>0.0031672086043021963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2" customHeight="1">
      <x:c r="A1" s="68" t="str">
        <x:v>本轮调整对比｜前两章不变，第3～7章放缓</x:v>
      </x:c>
      <x:c r="B1" s="68"/>
      <x:c r="C1" s="68"/>
      <x:c r="D1" s="68"/>
      <x:c r="E1" s="68"/>
      <x:c r="F1" s="68"/>
      <x:c r="G1" s="68"/>
      <x:c r="H1" s="68"/>
      <x:c r="I1" s="68"/>
      <x:c r="J1" s="68"/>
    </x:row>
    <x:row r="2" ht="26" customHeight="1">
      <x:c r="A2" s="70" t="str">
        <x:v>对比的是“上一版全程节点表”与“本轮试调”，不是最初源模型。第3～7章六模块新增进度保留75%，第8章起逐步回补，终点预算不变。</x:v>
      </x:c>
      <x:c r="B2" s="70"/>
      <x:c r="C2" s="70"/>
      <x:c r="D2" s="70"/>
      <x:c r="E2" s="70"/>
      <x:c r="F2" s="70"/>
      <x:c r="G2" s="70"/>
      <x:c r="H2" s="70"/>
      <x:c r="I2" s="70"/>
      <x:c r="J2" s="70"/>
    </x:row>
    <x:row r="3" ht="26" customHeight="1">
      <x:c r="A3" s="70"/>
      <x:c r="B3" s="70"/>
      <x:c r="C3" s="70"/>
      <x:c r="D3" s="70"/>
      <x:c r="E3" s="70"/>
      <x:c r="F3" s="70"/>
      <x:c r="G3" s="70"/>
      <x:c r="H3" s="70"/>
      <x:c r="I3" s="70"/>
      <x:c r="J3" s="70"/>
    </x:row>
    <x:row r="4" ht="26" customHeight="1">
      <x:c r="A4" s="40"/>
      <x:c r="B4" s="40"/>
      <x:c r="C4" s="40"/>
      <x:c r="D4" s="40"/>
      <x:c r="E4" s="40"/>
      <x:c r="F4" s="40"/>
      <x:c r="G4" s="40"/>
      <x:c r="H4" s="40"/>
      <x:c r="I4" s="40"/>
      <x:c r="J4" s="40"/>
    </x:row>
    <x:row r="5" ht="26" customHeight="1">
      <x:c r="A5" s="72" t="str">
        <x:v>新增进度保留比例（本轮依据）</x:v>
      </x:c>
      <x:c r="B5" s="72"/>
      <x:c r="C5" s="72"/>
      <x:c r="D5" s="73" t="n">
        <x:v>0.75</x:v>
      </x:c>
      <x:c r="E5" s="40"/>
      <x:c r="F5" s="72" t="str">
        <x:v>不变区间结束序号：2-12</x:v>
      </x:c>
      <x:c r="G5" s="72"/>
      <x:c r="H5" s="72"/>
      <x:c r="I5" s="72"/>
      <x:c r="J5" s="40" t="n">
        <x:v>24</x:v>
      </x:c>
    </x:row>
    <x:row r="6" ht="26" customHeight="1">
      <x:c r="A6" s="72" t="str">
        <x:v>比例仅用于生成本轮初始节点，不是第二调参入口。</x:v>
      </x:c>
      <x:c r="B6" s="72"/>
      <x:c r="C6" s="72"/>
      <x:c r="D6" s="72"/>
      <x:c r="E6" s="40"/>
      <x:c r="F6" s="72" t="str">
        <x:v>保持75%至序号：8-1</x:v>
      </x:c>
      <x:c r="G6" s="72"/>
      <x:c r="H6" s="72"/>
      <x:c r="I6" s="72"/>
      <x:c r="J6" s="40" t="n">
        <x:v>100</x:v>
      </x:c>
    </x:row>
    <x:row r="7" ht="26" customHeight="1">
      <x:c r="A7" s="40"/>
      <x:c r="B7" s="40"/>
      <x:c r="C7" s="40"/>
      <x:c r="D7" s="40"/>
      <x:c r="E7" s="40"/>
      <x:c r="F7" s="72" t="str">
        <x:v>逐步回到100%的序号：19-15</x:v>
      </x:c>
      <x:c r="G7" s="72"/>
      <x:c r="H7" s="72"/>
      <x:c r="I7" s="72"/>
      <x:c r="J7" s="40" t="n">
        <x:v>279</x:v>
      </x:c>
    </x:row>
    <x:row r="8" ht="26" customHeight="1">
      <x:c r="A8" s="72" t="str">
        <x:f>IF(AND(MAX(N52:N75)=0,COUNTIF('主线调参'!L11:L62,"通过")=52),"校验：序章及前两章不变；全部节点通过。","校验：存在差异或节点错误，请检查。")</x:f>
        <x:v>校验：序章及前两章不变；全部节点通过。</x:v>
      </x:c>
      <x:c r="B8" s="72"/>
      <x:c r="C8" s="72"/>
      <x:c r="D8" s="72"/>
      <x:c r="E8" s="72"/>
      <x:c r="F8" s="72"/>
      <x:c r="G8" s="72"/>
      <x:c r="H8" s="72"/>
      <x:c r="I8" s="72"/>
      <x:c r="J8" s="72"/>
    </x:row>
    <x:row r="9" ht="26" customHeight="1">
      <x:c r="A9" s="72"/>
      <x:c r="B9" s="72"/>
      <x:c r="C9" s="72"/>
      <x:c r="D9" s="72"/>
      <x:c r="E9" s="72"/>
      <x:c r="F9" s="72"/>
      <x:c r="G9" s="72"/>
      <x:c r="H9" s="72"/>
      <x:c r="I9" s="72"/>
      <x:c r="J9" s="72"/>
    </x:row>
    <x:row r="10" ht="26" customHeight="1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</x:row>
    <x:row r="11" ht="42" customHeight="1">
      <x:c r="A11" s="74" t="str">
        <x:v>章节末</x:v>
      </x:c>
      <x:c r="B11" s="74" t="str">
        <x:v>改前战力</x:v>
      </x:c>
      <x:c r="C11" s="74" t="str">
        <x:v>改后战力</x:v>
      </x:c>
      <x:c r="D11" s="74" t="str">
        <x:v>战力变化</x:v>
      </x:c>
      <x:c r="E11" s="74" t="str">
        <x:v>改前章内
增长倍数</x:v>
      </x:c>
      <x:c r="F11" s="74" t="str">
        <x:v>改后章内
增长倍数</x:v>
      </x:c>
      <x:c r="G11" s="74" t="str">
        <x:v>改前跨章
涨幅</x:v>
      </x:c>
      <x:c r="H11" s="74" t="str">
        <x:v>改后跨章
涨幅</x:v>
      </x:c>
      <x:c r="I11" s="74" t="str">
        <x:v>调整范围</x:v>
      </x:c>
      <x:c r="J11" s="74" t="str">
        <x:v>增长检查</x:v>
      </x:c>
    </x:row>
    <x:row r="12" ht="26" customHeight="1">
      <x:c r="A12" s="40" t="str">
        <x:v>2-12</x:v>
      </x:c>
      <x:c r="B12" s="60" t="n">
        <x:f>IF(D75=0,0,ROUND(D75,2-INT(LOG10(ABS(D75)))))</x:f>
        <x:v>35500</x:v>
      </x:c>
      <x:c r="C12" s="91" t="n">
        <x:f>IF(L75=0,0,ROUND(L75,2-INT(LOG10(ABS(L75)))))</x:f>
        <x:v>35500</x:v>
      </x:c>
      <x:c r="D12" s="62" t="n">
        <x:f>L75/D75-1</x:f>
        <x:v>0</x:v>
      </x:c>
      <x:c r="E12" s="65" t="n">
        <x:f>D75/D64</x:f>
        <x:v>2.4117846948484436</x:v>
      </x:c>
      <x:c r="F12" s="65" t="n">
        <x:f>L75/L64</x:f>
        <x:v>2.4117846948484436</x:v>
      </x:c>
      <x:c r="G12" s="62" t="n">
        <x:f>D64/D63-1</x:f>
        <x:v>0.09049136589342632</x:v>
      </x:c>
      <x:c r="H12" s="62" t="n">
        <x:f>L64/L63-1</x:f>
        <x:v>0.09049136589342632</x:v>
      </x:c>
      <x:c r="I12" s="40" t="str">
        <x:v>不变</x:v>
      </x:c>
      <x:c r="J12" s="90" t="str">
        <x:f>IF(AND(B12=C12,E12=F12),"保持不变","请检查")</x:f>
        <x:v>保持不变</x:v>
      </x:c>
    </x:row>
    <x:row r="13" ht="26" customHeight="1">
      <x:c r="A13" s="40" t="str">
        <x:v>3-15</x:v>
      </x:c>
      <x:c r="B13" s="60" t="n">
        <x:f>IF(D90=0,0,ROUND(D90,2-INT(LOG10(ABS(D90)))))</x:f>
        <x:v>84200</x:v>
      </x:c>
      <x:c r="C13" s="91" t="n">
        <x:f>IF(L90=0,0,ROUND(L90,2-INT(LOG10(ABS(L90)))))</x:f>
        <x:v>71400</x:v>
      </x:c>
      <x:c r="D13" s="62" t="n">
        <x:f>L90/D90-1</x:f>
        <x:v>-0.15261282660332542</x:v>
      </x:c>
      <x:c r="E13" s="65" t="n">
        <x:f>D90/D76</x:f>
        <x:v>2.2308772487613595</x:v>
      </x:c>
      <x:c r="F13" s="65" t="n">
        <x:f>L90/L76</x:f>
        <x:v>1.909030100334448</x:v>
      </x:c>
      <x:c r="G13" s="62" t="n">
        <x:f>D76/D75-1</x:f>
        <x:v>0.06357257587285492</x:v>
      </x:c>
      <x:c r="H13" s="62" t="n">
        <x:f>L76/L75-1</x:f>
        <x:v>0.053202581226928114</x:v>
      </x:c>
      <x:c r="I13" s="40" t="str">
        <x:v>放缓</x:v>
      </x:c>
      <x:c r="J13" s="90" t="str">
        <x:f>IF(AND(C13&lt;B13,F13&lt;E13),"已放缓","请检查")</x:f>
        <x:v>已放缓</x:v>
      </x:c>
    </x:row>
    <x:row r="14" ht="26" customHeight="1">
      <x:c r="A14" s="40" t="str">
        <x:v>4-15</x:v>
      </x:c>
      <x:c r="B14" s="60" t="n">
        <x:f>IF(D105=0,0,ROUND(D105,2-INT(LOG10(ABS(D105)))))</x:f>
        <x:v>192000</x:v>
      </x:c>
      <x:c r="C14" s="91" t="n">
        <x:f>IF(L105=0,0,ROUND(L105,2-INT(LOG10(ABS(L105)))))</x:f>
        <x:v>142000</x:v>
      </x:c>
      <x:c r="D14" s="62" t="n">
        <x:f>L105/D105-1</x:f>
        <x:v>-0.2616817566864398</x:v>
      </x:c>
      <x:c r="E14" s="65" t="n">
        <x:f>D105/D91</x:f>
        <x:v>2.1632147681224674</x:v>
      </x:c>
      <x:c r="F14" s="65" t="n">
        <x:f>L105/L91</x:f>
        <x:v>1.9039248574303924</x:v>
      </x:c>
      <x:c r="G14" s="62" t="n">
        <x:f>D91/D90-1</x:f>
        <x:v>0.05510688836104505</x:v>
      </x:c>
      <x:c r="H14" s="62" t="n">
        <x:f>L91/L90-1</x:f>
        <x:v>0.04449894884372818</x:v>
      </x:c>
      <x:c r="I14" s="40" t="str">
        <x:v>放缓</x:v>
      </x:c>
      <x:c r="J14" s="90" t="str">
        <x:f>IF(AND(C14&lt;B14,F14&lt;E14),"已放缓","请检查")</x:f>
        <x:v>已放缓</x:v>
      </x:c>
    </x:row>
    <x:row r="15" ht="26" customHeight="1">
      <x:c r="A15" s="40" t="str">
        <x:v>5-15</x:v>
      </x:c>
      <x:c r="B15" s="60" t="n">
        <x:f>IF(D120=0,0,ROUND(D120,2-INT(LOG10(ABS(D120)))))</x:f>
        <x:v>326000</x:v>
      </x:c>
      <x:c r="C15" s="91" t="n">
        <x:f>IF(L120=0,0,ROUND(L120,2-INT(LOG10(ABS(L120)))))</x:f>
        <x:v>225000</x:v>
      </x:c>
      <x:c r="D15" s="62" t="n">
        <x:f>L120/D120-1</x:f>
        <x:v>-0.3116196373557316</x:v>
      </x:c>
      <x:c r="E15" s="65" t="n">
        <x:f>D120/D106</x:f>
        <x:v>1.6309526785491089</x:v>
      </x:c>
      <x:c r="F15" s="65" t="n">
        <x:f>L120/L106</x:f>
        <x:v>1.5295960765615422</x:v>
      </x:c>
      <x:c r="G15" s="62" t="n">
        <x:f>D106/D105-1</x:f>
        <x:v>0.04076907066292024</x:v>
      </x:c>
      <x:c r="H15" s="62" t="n">
        <x:f>L106/L105-1</x:f>
        <x:v>0.03467474804425974</x:v>
      </x:c>
      <x:c r="I15" s="40" t="str">
        <x:v>放缓</x:v>
      </x:c>
      <x:c r="J15" s="90" t="str">
        <x:f>IF(AND(C15&lt;B15,F15&lt;E15),"已放缓","请检查")</x:f>
        <x:v>已放缓</x:v>
      </x:c>
    </x:row>
    <x:row r="16" ht="26" customHeight="1">
      <x:c r="A16" s="40" t="str">
        <x:v>6-15</x:v>
      </x:c>
      <x:c r="B16" s="60" t="n">
        <x:f>IF(D135=0,0,ROUND(D135,2-INT(LOG10(ABS(D135)))))</x:f>
        <x:v>486000</x:v>
      </x:c>
      <x:c r="C16" s="91" t="n">
        <x:f>IF(L135=0,0,ROUND(L135,2-INT(LOG10(ABS(L135)))))</x:f>
        <x:v>320000</x:v>
      </x:c>
      <x:c r="D16" s="62" t="n">
        <x:f>L135/D135-1</x:f>
        <x:v>-0.34081557073491897</x:v>
      </x:c>
      <x:c r="E16" s="65" t="n">
        <x:f>D135/D121</x:f>
        <x:v>1.441357017882032</x:v>
      </x:c>
      <x:c r="F16" s="65" t="n">
        <x:f>L135/L121</x:f>
        <x:v>1.3854702702702704</x:v>
      </x:c>
      <x:c r="G16" s="62" t="n">
        <x:f>D121/D120-1</x:f>
        <x:v>0.03370476526217381</x:v>
      </x:c>
      <x:c r="H16" s="62" t="n">
        <x:f>L121/L120-1</x:f>
        <x:v>0.029791592447452775</x:v>
      </x:c>
      <x:c r="I16" s="40" t="str">
        <x:v>放缓</x:v>
      </x:c>
      <x:c r="J16" s="90" t="str">
        <x:f>IF(AND(C16&lt;B16,F16&lt;E16),"已放缓","请检查")</x:f>
        <x:v>已放缓</x:v>
      </x:c>
    </x:row>
    <x:row r="17" ht="26" customHeight="1">
      <x:c r="A17" s="40" t="str">
        <x:v>7-15</x:v>
      </x:c>
      <x:c r="B17" s="60" t="n">
        <x:f>IF(D150=0,0,ROUND(D150,2-INT(LOG10(ABS(D150)))))</x:f>
        <x:v>628000</x:v>
      </x:c>
      <x:c r="C17" s="91" t="n">
        <x:f>IF(L150=0,0,ROUND(L150,2-INT(LOG10(ABS(L150)))))</x:f>
        <x:v>403000</x:v>
      </x:c>
      <x:c r="D17" s="62" t="n">
        <x:f>L150/D150-1</x:f>
        <x:v>-0.35759833775166583</x:v>
      </x:c>
      <x:c r="E17" s="65" t="n">
        <x:f>D150/D136</x:f>
        <x:v>1.2658644979895395</x:v>
      </x:c>
      <x:c r="F17" s="65" t="n">
        <x:f>L150/L136</x:f>
        <x:v>1.2362538875185758</x:v>
      </x:c>
      <x:c r="G17" s="62" t="n">
        <x:f>D136/D135-1</x:f>
        <x:v>0.020811044358489017</x:v>
      </x:c>
      <x:c r="H17" s="62" t="n">
        <x:f>L136/L135-1</x:f>
        <x:v>0.018649146352882395</x:v>
      </x:c>
      <x:c r="I17" s="40" t="str">
        <x:v>放缓</x:v>
      </x:c>
      <x:c r="J17" s="90" t="str">
        <x:f>IF(AND(C17&lt;B17,F17&lt;E17),"已放缓","请检查")</x:f>
        <x:v>已放缓</x:v>
      </x:c>
    </x:row>
    <x:row r="18" ht="26" customHeight="1">
      <x:c r="A18" s="40" t="str">
        <x:v>8-15</x:v>
      </x:c>
      <x:c r="B18" s="60" t="n">
        <x:f>IF(D165=0,0,ROUND(D165,2-INT(LOG10(ABS(D165)))))</x:f>
        <x:v>832000</x:v>
      </x:c>
      <x:c r="C18" s="91" t="n">
        <x:f>IF(L165=0,0,ROUND(L165,2-INT(LOG10(ABS(L165)))))</x:f>
        <x:v>542000</x:v>
      </x:c>
      <x:c r="D18" s="62" t="n">
        <x:f>L165/D165-1</x:f>
        <x:v>-0.3480479974991283</x:v>
      </x:c>
      <x:c r="E18" s="65" t="n">
        <x:f>D165/D151</x:f>
        <x:v>1.3061900760901146</x:v>
      </x:c>
      <x:c r="F18" s="65" t="n">
        <x:f>L165/L151</x:f>
        <x:v>1.3273806609547123</x:v>
      </x:c>
      <x:c r="G18" s="62" t="n">
        <x:f>D151/D150-1</x:f>
        <x:v>0.013820225613590864</x:v>
      </x:c>
      <x:c r="H18" s="62" t="n">
        <x:f>L151/L150-1</x:f>
        <x:v>0.012466850075594227</x:v>
      </x:c>
      <x:c r="I18" s="40" t="str">
        <x:v>衔接</x:v>
      </x:c>
      <x:c r="J18" s="90" t="str">
        <x:f>"后段回补"</x:f>
        <x:v>后段回补</x:v>
      </x:c>
    </x:row>
    <x:row r="19" ht="26" customHeight="1">
      <x:c r="A19" s="40" t="str">
        <x:v>9-15</x:v>
      </x:c>
      <x:c r="B19" s="60" t="n">
        <x:f>IF(D180=0,0,ROUND(D180,2-INT(LOG10(ABS(D180)))))</x:f>
        <x:v>1010000</x:v>
      </x:c>
      <x:c r="C19" s="91" t="n">
        <x:f>IF(L180=0,0,ROUND(L180,2-INT(LOG10(ABS(L180)))))</x:f>
        <x:v>677000</x:v>
      </x:c>
      <x:c r="D19" s="62" t="n">
        <x:f>L180/D180-1</x:f>
        <x:v>-0.32903794534523234</x:v>
      </x:c>
      <x:c r="E19" s="65" t="n">
        <x:f>D180/D166</x:f>
        <x:v>1.1953564366985947</x:v>
      </x:c>
      <x:c r="F19" s="65" t="n">
        <x:f>L180/L166</x:f>
        <x:v>1.2282044076185987</x:v>
      </x:c>
      <x:c r="G19" s="62" t="n">
        <x:f>D166/D165-1</x:f>
        <x:v>0.015510213896670733</x:v>
      </x:c>
      <x:c r="H19" s="62" t="n">
        <x:f>L166/L165-1</x:f>
        <x:v>0.017169677353914725</x:v>
      </x:c>
      <x:c r="I19" s="40" t="str">
        <x:v>衔接</x:v>
      </x:c>
      <x:c r="J19" s="90" t="str">
        <x:f>"后段回补"</x:f>
        <x:v>后段回补</x:v>
      </x:c>
    </x:row>
    <x:row r="20" ht="26" customHeight="1">
      <x:c r="A20" s="40" t="str">
        <x:v>10-15</x:v>
      </x:c>
      <x:c r="B20" s="60" t="n">
        <x:f>IF(D195=0,0,ROUND(D195,2-INT(LOG10(ABS(D195)))))</x:f>
        <x:v>1150000</x:v>
      </x:c>
      <x:c r="C20" s="91" t="n">
        <x:f>IF(L195=0,0,ROUND(L195,2-INT(LOG10(ABS(L195)))))</x:f>
        <x:v>802000</x:v>
      </x:c>
      <x:c r="D20" s="62" t="n">
        <x:f>L195/D195-1</x:f>
        <x:v>-0.30515976474868123</x:v>
      </x:c>
      <x:c r="E20" s="65" t="n">
        <x:f>D195/D181</x:f>
        <x:v>1.1315619241776766</x:v>
      </x:c>
      <x:c r="F20" s="65" t="n">
        <x:f>L195/L181</x:f>
        <x:v>1.169276963553016</x:v>
      </x:c>
      <x:c r="G20" s="62" t="n">
        <x:f>D181/D180-1</x:f>
        <x:v>0.010568437317379997</x:v>
      </x:c>
      <x:c r="H20" s="62" t="n">
        <x:f>L181/L180-1</x:f>
        <x:v>0.012776605010259567</x:v>
      </x:c>
      <x:c r="I20" s="40" t="str">
        <x:v>衔接</x:v>
      </x:c>
      <x:c r="J20" s="90" t="str">
        <x:f>"后段回补"</x:f>
        <x:v>后段回补</x:v>
      </x:c>
    </x:row>
    <x:row r="21" ht="26" customHeight="1">
      <x:c r="A21" s="40" t="str">
        <x:v>11-15</x:v>
      </x:c>
      <x:c r="B21" s="60" t="n">
        <x:f>IF(D210=0,0,ROUND(D210,2-INT(LOG10(ABS(D210)))))</x:f>
        <x:v>1270000</x:v>
      </x:c>
      <x:c r="C21" s="91" t="n">
        <x:f>IF(L210=0,0,ROUND(L210,2-INT(LOG10(ABS(L210)))))</x:f>
        <x:v>917000</x:v>
      </x:c>
      <x:c r="D21" s="62" t="n">
        <x:f>L210/D210-1</x:f>
        <x:v>-0.27801431289066036</x:v>
      </x:c>
      <x:c r="E21" s="65" t="n">
        <x:f>D210/D196</x:f>
        <x:v>1.0915043076023594</x:v>
      </x:c>
      <x:c r="F21" s="65" t="n">
        <x:f>L210/L196</x:f>
        <x:v>1.1313476683042436</x:v>
      </x:c>
      <x:c r="G21" s="62" t="n">
        <x:f>D196/D195-1</x:f>
        <x:v>0.0074057392313622294</x:v>
      </x:c>
      <x:c r="H21" s="62" t="n">
        <x:f>L196/L195-1</x:f>
        <x:v>0.009897781101969594</x:v>
      </x:c>
      <x:c r="I21" s="40" t="str">
        <x:v>衔接</x:v>
      </x:c>
      <x:c r="J21" s="90" t="str">
        <x:f>"后段回补"</x:f>
        <x:v>后段回补</x:v>
      </x:c>
    </x:row>
    <x:row r="22" ht="26" customHeight="1">
      <x:c r="A22" s="40" t="str">
        <x:v>12-15</x:v>
      </x:c>
      <x:c r="B22" s="60" t="n">
        <x:f>IF(D225=0,0,ROUND(D225,2-INT(LOG10(ABS(D225)))))</x:f>
        <x:v>1360000</x:v>
      </x:c>
      <x:c r="C22" s="91" t="n">
        <x:f>IF(L225=0,0,ROUND(L225,2-INT(LOG10(ABS(L225)))))</x:f>
        <x:v>1020000</x:v>
      </x:c>
      <x:c r="D22" s="62" t="n">
        <x:f>L225/D225-1</x:f>
        <x:v>-0.24846685575752225</x:v>
      </x:c>
      <x:c r="E22" s="65" t="n">
        <x:f>D225/D211</x:f>
        <x:v>1.0649858956276446</x:v>
      </x:c>
      <x:c r="F22" s="65" t="n">
        <x:f>L225/L211</x:f>
        <x:v>1.1056585392255027</x:v>
      </x:c>
      <x:c r="G22" s="62" t="n">
        <x:f>D211/D210-1</x:f>
        <x:v>0.005289546548403523</x:v>
      </x:c>
      <x:c r="H22" s="62" t="n">
        <x:f>L211/L210-1</x:f>
        <x:v>0.007937373847580531</x:v>
      </x:c>
      <x:c r="I22" s="40" t="str">
        <x:v>衔接</x:v>
      </x:c>
      <x:c r="J22" s="90" t="str">
        <x:f>"后段回补"</x:f>
        <x:v>后段回补</x:v>
      </x:c>
    </x:row>
    <x:row r="23" ht="26" customHeight="1">
      <x:c r="A23" s="40" t="str">
        <x:v>13-15</x:v>
      </x:c>
      <x:c r="B23" s="60" t="n">
        <x:f>IF(D240=0,0,ROUND(D240,2-INT(LOG10(ABS(D240)))))</x:f>
        <x:v>1430000</x:v>
      </x:c>
      <x:c r="C23" s="91" t="n">
        <x:f>IF(L240=0,0,ROUND(L240,2-INT(LOG10(ABS(L240)))))</x:f>
        <x:v>1120000</x:v>
      </x:c>
      <x:c r="D23" s="62" t="n">
        <x:f>L240/D240-1</x:f>
        <x:v>-0.21702218534583861</x:v>
      </x:c>
      <x:c r="E23" s="65" t="n">
        <x:f>D240/D226</x:f>
        <x:v>1.046810522380949</x:v>
      </x:c>
      <x:c r="F23" s="65" t="n">
        <x:f>L240/L226</x:f>
        <x:v>1.0876600007781192</x:v>
      </x:c>
      <x:c r="G23" s="62" t="n">
        <x:f>D226/D225-1</x:f>
        <x:v>0.003822284026237188</x:v>
      </x:c>
      <x:c r="H23" s="62" t="n">
        <x:f>L226/L225-1</x:f>
        <x:v>0.006544714054247169</x:v>
      </x:c>
      <x:c r="I23" s="40" t="str">
        <x:v>衔接</x:v>
      </x:c>
      <x:c r="J23" s="90" t="str">
        <x:f>"后段回补"</x:f>
        <x:v>后段回补</x:v>
      </x:c>
    </x:row>
    <x:row r="24" ht="26" customHeight="1">
      <x:c r="A24" s="40" t="str">
        <x:v>14-15</x:v>
      </x:c>
      <x:c r="B24" s="60" t="n">
        <x:f>IF(D255=0,0,ROUND(D255,2-INT(LOG10(ABS(D255)))))</x:f>
        <x:v>1480000</x:v>
      </x:c>
      <x:c r="C24" s="91" t="n">
        <x:f>IF(L255=0,0,ROUND(L255,2-INT(LOG10(ABS(L255)))))</x:f>
        <x:v>1210000</x:v>
      </x:c>
      <x:c r="D24" s="62" t="n">
        <x:f>L255/D255-1</x:f>
        <x:v>-0.1839872513834072</x:v>
      </x:c>
      <x:c r="E24" s="65" t="n">
        <x:f>D255/D241</x:f>
        <x:v>1.0340531010525948</x:v>
      </x:c>
      <x:c r="F24" s="65" t="n">
        <x:f>L255/L241</x:f>
        <x:v>1.0747209746987416</x:v>
      </x:c>
      <x:c r="G24" s="62" t="n">
        <x:f>D241/D240-1</x:f>
        <x:v>0.002786734304489169</x:v>
      </x:c>
      <x:c r="H24" s="62" t="n">
        <x:f>L241/L240-1</x:f>
        <x:v>0.005548873457963177</x:v>
      </x:c>
      <x:c r="I24" s="40" t="str">
        <x:v>衔接</x:v>
      </x:c>
      <x:c r="J24" s="90" t="str">
        <x:f>"后段回补"</x:f>
        <x:v>后段回补</x:v>
      </x:c>
    </x:row>
    <x:row r="25" ht="26" customHeight="1">
      <x:c r="A25" s="40" t="str">
        <x:v>15-15</x:v>
      </x:c>
      <x:c r="B25" s="60" t="n">
        <x:f>IF(D270=0,0,ROUND(D270,2-INT(LOG10(ABS(D270)))))</x:f>
        <x:v>1520000</x:v>
      </x:c>
      <x:c r="C25" s="91" t="n">
        <x:f>IF(L270=0,0,ROUND(L270,2-INT(LOG10(ABS(L270)))))</x:f>
        <x:v>1290000</x:v>
      </x:c>
      <x:c r="D25" s="62" t="n">
        <x:f>L270/D270-1</x:f>
        <x:v>-0.14956278763971076</x:v>
      </x:c>
      <x:c r="E25" s="65" t="n">
        <x:f>D270/D256</x:f>
        <x:v>1.0249498812311528</x:v>
      </x:c>
      <x:c r="F25" s="65" t="n">
        <x:f>L270/L256</x:f>
        <x:v>1.0652482736754552</x:v>
      </x:c>
      <x:c r="G25" s="62" t="n">
        <x:f>D256/D255-1</x:f>
        <x:v>0.0020459909044563407</x:v>
      </x:c>
      <x:c r="H25" s="62" t="n">
        <x:f>L256/L255-1</x:f>
        <x:v>0.004811869554064208</x:v>
      </x:c>
      <x:c r="I25" s="40" t="str">
        <x:v>衔接</x:v>
      </x:c>
      <x:c r="J25" s="90" t="str">
        <x:f>"后段回补"</x:f>
        <x:v>后段回补</x:v>
      </x:c>
    </x:row>
    <x:row r="26" ht="26" customHeight="1">
      <x:c r="A26" s="40" t="str">
        <x:v>16-15</x:v>
      </x:c>
      <x:c r="B26" s="60" t="n">
        <x:f>IF(D285=0,0,ROUND(D285,2-INT(LOG10(ABS(D285)))))</x:f>
        <x:v>1550000</x:v>
      </x:c>
      <x:c r="C26" s="91" t="n">
        <x:f>IF(L285=0,0,ROUND(L285,2-INT(LOG10(ABS(L285)))))</x:f>
        <x:v>1370000</x:v>
      </x:c>
      <x:c r="D26" s="62" t="n">
        <x:f>L285/D285-1</x:f>
        <x:v>-0.1138822725529316</x:v>
      </x:c>
      <x:c r="E26" s="65" t="n">
        <x:f>D285/D271</x:f>
        <x:v>1.0183812065292672</x:v>
      </x:c>
      <x:c r="F26" s="65" t="n">
        <x:f>L285/L271</x:f>
        <x:v>1.0581972702708944</x:v>
      </x:c>
      <x:c r="G26" s="62" t="n">
        <x:f>D271/D270-1</x:f>
        <x:v>0.001508875739644866</x:v>
      </x:c>
      <x:c r="H26" s="62" t="n">
        <x:f>L271/L270-1</x:f>
        <x:v>0.0042635763790910275</x:v>
      </x:c>
      <x:c r="I26" s="40" t="str">
        <x:v>衔接</x:v>
      </x:c>
      <x:c r="J26" s="90" t="str">
        <x:f>"后段回补"</x:f>
        <x:v>后段回补</x:v>
      </x:c>
    </x:row>
    <x:row r="27" ht="26" customHeight="1">
      <x:c r="A27" s="40" t="str">
        <x:v>17-15</x:v>
      </x:c>
      <x:c r="B27" s="60" t="n">
        <x:f>IF(D300=0,0,ROUND(D300,2-INT(LOG10(ABS(D300)))))</x:f>
        <x:v>1570000</x:v>
      </x:c>
      <x:c r="C27" s="91" t="n">
        <x:f>IF(L300=0,0,ROUND(L300,2-INT(LOG10(ABS(L300)))))</x:f>
        <x:v>1450000</x:v>
      </x:c>
      <x:c r="D27" s="62" t="n">
        <x:f>L300/D300-1</x:f>
        <x:v>-0.07702618572680953</x:v>
      </x:c>
      <x:c r="E27" s="65" t="n">
        <x:f>D300/D286</x:f>
        <x:v>1.0135960464255245</x:v>
      </x:c>
      <x:c r="F27" s="65" t="n">
        <x:f>L300/L286</x:f>
        <x:v>1.0528760621048245</x:v>
      </x:c>
      <x:c r="G27" s="62" t="n">
        <x:f>D286/D285-1</x:f>
        <x:v>0.0011151973028984408</x:v>
      </x:c>
      <x:c r="H27" s="62" t="n">
        <x:f>L286/L285-1</x:f>
        <x:v>0.0038519456144563424</x:v>
      </x:c>
      <x:c r="I27" s="40" t="str">
        <x:v>衔接</x:v>
      </x:c>
      <x:c r="J27" s="90" t="str">
        <x:f>"后段回补"</x:f>
        <x:v>后段回补</x:v>
      </x:c>
    </x:row>
    <x:row r="28" ht="26" customHeight="1">
      <x:c r="A28" s="40" t="str">
        <x:v>18-15</x:v>
      </x:c>
      <x:c r="B28" s="60" t="n">
        <x:f>IF(D315=0,0,ROUND(D315,2-INT(LOG10(ABS(D315)))))</x:f>
        <x:v>1590000</x:v>
      </x:c>
      <x:c r="C28" s="91" t="n">
        <x:f>IF(L315=0,0,ROUND(L315,2-INT(LOG10(ABS(L315)))))</x:f>
        <x:v>1530000</x:v>
      </x:c>
      <x:c r="D28" s="62" t="n">
        <x:f>L315/D315-1</x:f>
        <x:v>-0.03905211661906516</x:v>
      </x:c>
      <x:c r="E28" s="65" t="n">
        <x:f>D315/D301</x:f>
        <x:v>1.01008603918258</x:v>
      </x:c>
      <x:c r="F28" s="65" t="n">
        <x:f>L315/L301</x:f>
        <x:v>1.0488055801320961</x:v>
      </x:c>
      <x:c r="G28" s="62" t="n">
        <x:f>D301/D300-1</x:f>
        <x:v>0.000829024102049436</x:v>
      </x:c>
      <x:c r="H28" s="62" t="n">
        <x:f>L301/L300-1</x:f>
        <x:v>0.0035377764318014204</x:v>
      </x:c>
      <x:c r="I28" s="40" t="str">
        <x:v>衔接</x:v>
      </x:c>
      <x:c r="J28" s="90" t="str">
        <x:f>"后段回补"</x:f>
        <x:v>后段回补</x:v>
      </x:c>
    </x:row>
    <x:row r="29" ht="26" customHeight="1">
      <x:c r="A29" s="40" t="str">
        <x:v>19-15</x:v>
      </x:c>
      <x:c r="B29" s="60" t="n">
        <x:f>IF(D330=0,0,ROUND(D330,2-INT(LOG10(ABS(D330)))))</x:f>
        <x:v>1600000</x:v>
      </x:c>
      <x:c r="C29" s="91" t="n">
        <x:f>IF(L330=0,0,ROUND(L330,2-INT(LOG10(ABS(L330)))))</x:f>
        <x:v>1600000</x:v>
      </x:c>
      <x:c r="D29" s="62" t="n">
        <x:f>L330/D330-1</x:f>
        <x:v>0</x:v>
      </x:c>
      <x:c r="E29" s="65" t="n">
        <x:f>D330/D316</x:f>
        <x:v>1.0075016328376205</x:v>
      </x:c>
      <x:c r="F29" s="65" t="n">
        <x:f>L330/L316</x:f>
        <x:v>1.0456517134057912</x:v>
      </x:c>
      <x:c r="G29" s="62" t="n">
        <x:f>D316/D315-1</x:f>
        <x:v>0.0006189771481177608</x:v>
      </x:c>
      <x:c r="H29" s="62" t="n">
        <x:f>L316/L315-1</x:f>
        <x:v>0.003292592810572925</x:v>
      </x:c>
      <x:c r="I29" s="40" t="str">
        <x:v>衔接</x:v>
      </x:c>
      <x:c r="J29" s="90" t="str">
        <x:f>"后段回补"</x:f>
        <x:v>后段回补</x:v>
      </x:c>
    </x:row>
    <x:row r="30" ht="26" customHeight="1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</x:row>
    <x:row r="31" ht="26" customHeight="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</x:row>
    <x:row r="32" ht="26" customHeight="1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</x:row>
    <x:row r="33" ht="26" customHeight="1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</x:row>
    <x:row r="34" ht="26" customHeight="1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</x:row>
    <x:row r="35" ht="26" customHeight="1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</x:row>
    <x:row r="36" ht="26" customHeight="1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</x:row>
    <x:row r="37" ht="26" customHeight="1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</x:row>
    <x:row r="38" ht="26" customHeight="1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</x:row>
    <x:row r="39" ht="26" customHeight="1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</x:row>
    <x:row r="40" ht="26" customHeight="1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</x:row>
    <x:row r="41" ht="26" customHeight="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</x:row>
    <x:row r="42" ht="26" customHeight="1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</x:row>
    <x:row r="43" ht="26" customHeight="1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</x:row>
    <x:row r="44" ht="26" customHeight="1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</x:row>
    <x:row r="45" ht="26" customHeight="1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</x:row>
    <x:row r="49" ht="32" customHeight="1">
      <x:c r="A49" s="77" t="str">
        <x:v>改前逐关快照及实时校验｜来源：上一版主线全程节点调参，不随新节点变化</x:v>
      </x:c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</x:row>
    <x:row r="51" ht="42" customHeight="1">
      <x:c r="A51" s="79" t="str">
        <x:v>关卡序号</x:v>
      </x:c>
      <x:c r="B51" s="79" t="str">
        <x:v>章节</x:v>
      </x:c>
      <x:c r="C51" s="79" t="str">
        <x:v>章内关卡</x:v>
      </x:c>
      <x:c r="D51" s="79" t="str">
        <x:v>改前精确战力</x:v>
      </x:c>
      <x:c r="E51" s="79" t="str">
        <x:v>角色旧进度</x:v>
      </x:c>
      <x:c r="F51" s="79" t="str">
        <x:v>星盘旧进度</x:v>
      </x:c>
      <x:c r="G51" s="79" t="str">
        <x:v>收容物旧进度</x:v>
      </x:c>
      <x:c r="H51" s="79" t="str">
        <x:v>映射旧进度</x:v>
      </x:c>
      <x:c r="I51" s="79" t="str">
        <x:v>旅券旧进度</x:v>
      </x:c>
      <x:c r="J51" s="79" t="str">
        <x:v>房车旧进度</x:v>
      </x:c>
      <x:c r="K51" s="79" t="str">
        <x:v>改前人数系数</x:v>
      </x:c>
      <x:c r="L51" s="79" t="str">
        <x:v>改后精确战力</x:v>
      </x:c>
      <x:c r="M51" s="79" t="str">
        <x:v>改后逐关涨幅</x:v>
      </x:c>
      <x:c r="N51" s="79" t="str">
        <x:v>前两章差异值</x:v>
      </x:c>
    </x:row>
    <x:row r="52">
      <x:c r="A52" s="39" t="n">
        <x:v>1</x:v>
      </x:c>
      <x:c r="B52" s="39" t="n">
        <x:v>0</x:v>
      </x:c>
      <x:c r="C52" s="39" t="n">
        <x:v>1</x:v>
      </x:c>
      <x:c r="D52" s="80" t="n">
        <x:v>2242</x:v>
      </x:c>
      <x:c r="E52" s="81" t="n">
        <x:v>0</x:v>
      </x:c>
      <x:c r="F52" s="81" t="n">
        <x:v>0</x:v>
      </x:c>
      <x:c r="G52" s="81" t="n">
        <x:v>0</x:v>
      </x:c>
      <x:c r="H52" s="81" t="n">
        <x:v>0</x:v>
      </x:c>
      <x:c r="I52" s="81" t="n">
        <x:v>0</x:v>
      </x:c>
      <x:c r="J52" s="81" t="n">
        <x:v>0</x:v>
      </x:c>
      <x:c r="K52" s="83" t="n">
        <x:v>1</x:v>
      </x:c>
      <x:c r="L52" s="80" t="n">
        <x:f>'玩家战力_节点'!AU12</x:f>
        <x:v>2242</x:v>
      </x:c>
      <x:c r="M52" s="82"/>
      <x:c r="N52" s="39" t="n">
        <x:f>IF(A52&lt;=$J$5,ABS(L52-D52),0)</x:f>
        <x:v>0</x:v>
      </x:c>
    </x:row>
    <x:row r="53">
      <x:c r="A53" s="39" t="n">
        <x:v>2</x:v>
      </x:c>
      <x:c r="B53" s="39" t="n">
        <x:v>0</x:v>
      </x:c>
      <x:c r="C53" s="39" t="n">
        <x:v>2</x:v>
      </x:c>
      <x:c r="D53" s="80" t="n">
        <x:v>2388</x:v>
      </x:c>
      <x:c r="E53" s="81" t="n">
        <x:v>0.0136024015260871</x:v>
      </x:c>
      <x:c r="F53" s="81" t="n">
        <x:v>0</x:v>
      </x:c>
      <x:c r="G53" s="81" t="n">
        <x:v>0</x:v>
      </x:c>
      <x:c r="H53" s="81" t="n">
        <x:v>0</x:v>
      </x:c>
      <x:c r="I53" s="81" t="n">
        <x:v>0</x:v>
      </x:c>
      <x:c r="J53" s="81" t="n">
        <x:v>0</x:v>
      </x:c>
      <x:c r="K53" s="83" t="n">
        <x:v>1</x:v>
      </x:c>
      <x:c r="L53" s="80" t="n">
        <x:f>'玩家战力_节点'!AU13</x:f>
        <x:v>2388</x:v>
      </x:c>
      <x:c r="M53" s="82" t="n">
        <x:f>L53/L52-1</x:f>
        <x:v>0.0651204281891169</x:v>
      </x:c>
      <x:c r="N53" s="39" t="n">
        <x:f>IF(A53&lt;=$J$5,ABS(L53-D53),0)</x:f>
        <x:v>0</x:v>
      </x:c>
    </x:row>
    <x:row r="54">
      <x:c r="A54" s="39" t="n">
        <x:v>3</x:v>
      </x:c>
      <x:c r="B54" s="39" t="n">
        <x:v>0</x:v>
      </x:c>
      <x:c r="C54" s="39" t="n">
        <x:v>3</x:v>
      </x:c>
      <x:c r="D54" s="80" t="n">
        <x:v>3168</x:v>
      </x:c>
      <x:c r="E54" s="81" t="n">
        <x:v>0.0272048030521742</x:v>
      </x:c>
      <x:c r="F54" s="81" t="n">
        <x:v>0</x:v>
      </x:c>
      <x:c r="G54" s="81" t="n">
        <x:v>0</x:v>
      </x:c>
      <x:c r="H54" s="81" t="n">
        <x:v>0</x:v>
      </x:c>
      <x:c r="I54" s="81" t="n">
        <x:v>0</x:v>
      </x:c>
      <x:c r="J54" s="81" t="n">
        <x:v>0</x:v>
      </x:c>
      <x:c r="K54" s="83" t="n">
        <x:v>1.25</x:v>
      </x:c>
      <x:c r="L54" s="80" t="n">
        <x:f>'玩家战力_节点'!AU14</x:f>
        <x:v>3168</x:v>
      </x:c>
      <x:c r="M54" s="82" t="n">
        <x:f>L54/L53-1</x:f>
        <x:v>0.3266331658291457</x:v>
      </x:c>
      <x:c r="N54" s="39" t="n">
        <x:f>IF(A54&lt;=$J$5,ABS(L54-D54),0)</x:f>
        <x:v>0</x:v>
      </x:c>
    </x:row>
    <x:row r="55">
      <x:c r="A55" s="39" t="n">
        <x:v>4</x:v>
      </x:c>
      <x:c r="B55" s="39" t="n">
        <x:v>0</x:v>
      </x:c>
      <x:c r="C55" s="39" t="n">
        <x:v>4</x:v>
      </x:c>
      <x:c r="D55" s="80" t="n">
        <x:v>4017</x:v>
      </x:c>
      <x:c r="E55" s="81" t="n">
        <x:v>0.0405019214608875</x:v>
      </x:c>
      <x:c r="F55" s="81" t="n">
        <x:v>0</x:v>
      </x:c>
      <x:c r="G55" s="81" t="n">
        <x:v>0</x:v>
      </x:c>
      <x:c r="H55" s="81" t="n">
        <x:v>0</x:v>
      </x:c>
      <x:c r="I55" s="81" t="n">
        <x:v>0</x:v>
      </x:c>
      <x:c r="J55" s="81" t="n">
        <x:v>0</x:v>
      </x:c>
      <x:c r="K55" s="83" t="n">
        <x:v>1.5</x:v>
      </x:c>
      <x:c r="L55" s="80" t="n">
        <x:f>'玩家战力_节点'!AU15</x:f>
        <x:v>4017</x:v>
      </x:c>
      <x:c r="M55" s="82" t="n">
        <x:f>L55/L54-1</x:f>
        <x:v>0.2679924242424243</x:v>
      </x:c>
      <x:c r="N55" s="39" t="n">
        <x:f>IF(A55&lt;=$J$5,ABS(L55-D55),0)</x:f>
        <x:v>0</x:v>
      </x:c>
    </x:row>
    <x:row r="56">
      <x:c r="A56" s="39" t="n">
        <x:v>5</x:v>
      </x:c>
      <x:c r="B56" s="39" t="n">
        <x:v>1</x:v>
      </x:c>
      <x:c r="C56" s="39" t="n">
        <x:v>1</x:v>
      </x:c>
      <x:c r="D56" s="80" t="n">
        <x:v>4932</x:v>
      </x:c>
      <x:c r="E56" s="81" t="n">
        <x:v>0.05359958309347</x:v>
      </x:c>
      <x:c r="F56" s="81" t="n">
        <x:v>0</x:v>
      </x:c>
      <x:c r="G56" s="81" t="n">
        <x:v>0</x:v>
      </x:c>
      <x:c r="H56" s="81" t="n">
        <x:v>0</x:v>
      </x:c>
      <x:c r="I56" s="81" t="n">
        <x:v>0</x:v>
      </x:c>
      <x:c r="J56" s="81" t="n">
        <x:v>0</x:v>
      </x:c>
      <x:c r="K56" s="83" t="n">
        <x:v>1.75</x:v>
      </x:c>
      <x:c r="L56" s="80" t="n">
        <x:f>'玩家战力_节点'!AU16</x:f>
        <x:v>4932</x:v>
      </x:c>
      <x:c r="M56" s="82" t="n">
        <x:f>L56/L55-1</x:f>
        <x:v>0.22778192681105303</x:v>
      </x:c>
      <x:c r="N56" s="39" t="n">
        <x:f>IF(A56&lt;=$J$5,ABS(L56-D56),0)</x:f>
        <x:v>0</x:v>
      </x:c>
    </x:row>
    <x:row r="57">
      <x:c r="A57" s="39" t="n">
        <x:v>6</x:v>
      </x:c>
      <x:c r="B57" s="39" t="n">
        <x:v>1</x:v>
      </x:c>
      <x:c r="C57" s="39" t="n">
        <x:v>2</x:v>
      </x:c>
      <x:c r="D57" s="80" t="n">
        <x:v>5914</x:v>
      </x:c>
      <x:c r="E57" s="81" t="n">
        <x:v>0.0665007798015639</x:v>
      </x:c>
      <x:c r="F57" s="81" t="n">
        <x:v>0</x:v>
      </x:c>
      <x:c r="G57" s="81" t="n">
        <x:v>0</x:v>
      </x:c>
      <x:c r="H57" s="81" t="n">
        <x:v>0</x:v>
      </x:c>
      <x:c r="I57" s="81" t="n">
        <x:v>0</x:v>
      </x:c>
      <x:c r="J57" s="81" t="n">
        <x:v>0</x:v>
      </x:c>
      <x:c r="K57" s="83" t="n">
        <x:v>2</x:v>
      </x:c>
      <x:c r="L57" s="80" t="n">
        <x:f>'玩家战力_节点'!AU17</x:f>
        <x:v>5914</x:v>
      </x:c>
      <x:c r="M57" s="82" t="n">
        <x:f>L57/L56-1</x:f>
        <x:v>0.19910786699107863</x:v>
      </x:c>
      <x:c r="N57" s="39" t="n">
        <x:f>IF(A57&lt;=$J$5,ABS(L57-D57),0)</x:f>
        <x:v>0</x:v>
      </x:c>
    </x:row>
    <x:row r="58">
      <x:c r="A58" s="39" t="n">
        <x:v>7</x:v>
      </x:c>
      <x:c r="B58" s="39" t="n">
        <x:v>1</x:v>
      </x:c>
      <x:c r="C58" s="39" t="n">
        <x:v>3</x:v>
      </x:c>
      <x:c r="D58" s="80" t="n">
        <x:v>7219</x:v>
      </x:c>
      <x:c r="E58" s="81" t="n">
        <x:v>0.0792084585590362</x:v>
      </x:c>
      <x:c r="F58" s="81" t="n">
        <x:v>0</x:v>
      </x:c>
      <x:c r="G58" s="81" t="n">
        <x:v>0</x:v>
      </x:c>
      <x:c r="H58" s="81" t="n">
        <x:v>0</x:v>
      </x:c>
      <x:c r="I58" s="81" t="n">
        <x:v>0</x:v>
      </x:c>
      <x:c r="J58" s="81" t="n">
        <x:v>0</x:v>
      </x:c>
      <x:c r="K58" s="83" t="n">
        <x:v>2.3333333333333335</x:v>
      </x:c>
      <x:c r="L58" s="80" t="n">
        <x:f>'玩家战力_节点'!AU18</x:f>
        <x:v>7219</x:v>
      </x:c>
      <x:c r="M58" s="82" t="n">
        <x:f>L58/L57-1</x:f>
        <x:v>0.22066283395333097</x:v>
      </x:c>
      <x:c r="N58" s="39" t="n">
        <x:f>IF(A58&lt;=$J$5,ABS(L58-D58),0)</x:f>
        <x:v>0</x:v>
      </x:c>
    </x:row>
    <x:row r="59">
      <x:c r="A59" s="39" t="n">
        <x:v>8</x:v>
      </x:c>
      <x:c r="B59" s="39" t="n">
        <x:v>1</x:v>
      </x:c>
      <x:c r="C59" s="39" t="n">
        <x:v>4</x:v>
      </x:c>
      <x:c r="D59" s="80" t="n">
        <x:v>8608</x:v>
      </x:c>
      <x:c r="E59" s="81" t="n">
        <x:v>0.0916316441583256</x:v>
      </x:c>
      <x:c r="F59" s="81" t="n">
        <x:v>0</x:v>
      </x:c>
      <x:c r="G59" s="81" t="n">
        <x:v>0</x:v>
      </x:c>
      <x:c r="H59" s="81" t="n">
        <x:v>0</x:v>
      </x:c>
      <x:c r="I59" s="81" t="n">
        <x:v>0</x:v>
      </x:c>
      <x:c r="J59" s="81" t="n">
        <x:v>0</x:v>
      </x:c>
      <x:c r="K59" s="83" t="n">
        <x:v>2.6666666666666665</x:v>
      </x:c>
      <x:c r="L59" s="80" t="n">
        <x:f>'玩家战力_节点'!AU19</x:f>
        <x:v>8608</x:v>
      </x:c>
      <x:c r="M59" s="82" t="n">
        <x:f>L59/L58-1</x:f>
        <x:v>0.19240892090317208</x:v>
      </x:c>
      <x:c r="N59" s="39" t="n">
        <x:f>IF(A59&lt;=$J$5,ABS(L59-D59),0)</x:f>
        <x:v>0</x:v>
      </x:c>
    </x:row>
    <x:row r="60">
      <x:c r="A60" s="39" t="n">
        <x:v>9</x:v>
      </x:c>
      <x:c r="B60" s="39" t="n">
        <x:v>1</x:v>
      </x:c>
      <x:c r="C60" s="39" t="n">
        <x:v>5</x:v>
      </x:c>
      <x:c r="D60" s="80" t="n">
        <x:v>10083</x:v>
      </x:c>
      <x:c r="E60" s="81" t="n">
        <x:v>0.104054829757615</x:v>
      </x:c>
      <x:c r="F60" s="81" t="n">
        <x:v>0</x:v>
      </x:c>
      <x:c r="G60" s="81" t="n">
        <x:v>0</x:v>
      </x:c>
      <x:c r="H60" s="81" t="n">
        <x:v>0</x:v>
      </x:c>
      <x:c r="I60" s="81" t="n">
        <x:v>0</x:v>
      </x:c>
      <x:c r="J60" s="81" t="n">
        <x:v>0</x:v>
      </x:c>
      <x:c r="K60" s="83" t="n">
        <x:v>3</x:v>
      </x:c>
      <x:c r="L60" s="80" t="n">
        <x:f>'玩家战力_节点'!AU20</x:f>
        <x:v>10083</x:v>
      </x:c>
      <x:c r="M60" s="82" t="n">
        <x:f>L60/L59-1</x:f>
        <x:v>0.1713522304832713</x:v>
      </x:c>
      <x:c r="N60" s="39" t="n">
        <x:f>IF(A60&lt;=$J$5,ABS(L60-D60),0)</x:f>
        <x:v>0</x:v>
      </x:c>
    </x:row>
    <x:row r="61">
      <x:c r="A61" s="39" t="n">
        <x:v>10</x:v>
      </x:c>
      <x:c r="B61" s="39" t="n">
        <x:v>1</x:v>
      </x:c>
      <x:c r="C61" s="39" t="n">
        <x:v>6</x:v>
      </x:c>
      <x:c r="D61" s="80" t="n">
        <x:v>11174</x:v>
      </x:c>
      <x:c r="E61" s="81" t="n">
        <x:v>0.11619919776574701</x:v>
      </x:c>
      <x:c r="F61" s="81" t="n">
        <x:v>0</x:v>
      </x:c>
      <x:c r="G61" s="81" t="n">
        <x:v>0</x:v>
      </x:c>
      <x:c r="H61" s="81" t="n">
        <x:v>0</x:v>
      </x:c>
      <x:c r="I61" s="81" t="n">
        <x:v>0</x:v>
      </x:c>
      <x:c r="J61" s="81" t="n">
        <x:v>0</x:v>
      </x:c>
      <x:c r="K61" s="83" t="n">
        <x:v>3.2</x:v>
      </x:c>
      <x:c r="L61" s="80" t="n">
        <x:f>'玩家战力_节点'!AU21</x:f>
        <x:v>11174</x:v>
      </x:c>
      <x:c r="M61" s="82" t="n">
        <x:f>L61/L60-1</x:f>
        <x:v>0.10820192403054651</x:v>
      </x:c>
      <x:c r="N61" s="39" t="n">
        <x:f>IF(A61&lt;=$J$5,ABS(L61-D61),0)</x:f>
        <x:v>0</x:v>
      </x:c>
    </x:row>
    <x:row r="62">
      <x:c r="A62" s="39" t="n">
        <x:v>11</x:v>
      </x:c>
      <x:c r="B62" s="39" t="n">
        <x:v>1</x:v>
      </x:c>
      <x:c r="C62" s="39" t="n">
        <x:v>7</x:v>
      </x:c>
      <x:c r="D62" s="80" t="n">
        <x:v>12308</x:v>
      </x:c>
      <x:c r="E62" s="81" t="n">
        <x:v>0.1280716837350965</x:v>
      </x:c>
      <x:c r="F62" s="81" t="n">
        <x:v>0</x:v>
      </x:c>
      <x:c r="G62" s="81" t="n">
        <x:v>0</x:v>
      </x:c>
      <x:c r="H62" s="81" t="n">
        <x:v>0</x:v>
      </x:c>
      <x:c r="I62" s="81" t="n">
        <x:v>0</x:v>
      </x:c>
      <x:c r="J62" s="81" t="n">
        <x:v>0</x:v>
      </x:c>
      <x:c r="K62" s="83" t="n">
        <x:v>3.4</x:v>
      </x:c>
      <x:c r="L62" s="80" t="n">
        <x:f>'玩家战力_节点'!AU22</x:f>
        <x:v>12308</x:v>
      </x:c>
      <x:c r="M62" s="82" t="n">
        <x:f>L62/L61-1</x:f>
        <x:v>0.10148559155181669</x:v>
      </x:c>
      <x:c r="N62" s="39" t="n">
        <x:f>IF(A62&lt;=$J$5,ABS(L62-D62),0)</x:f>
        <x:v>0</x:v>
      </x:c>
    </x:row>
    <x:row r="63">
      <x:c r="A63" s="39" t="n">
        <x:v>12</x:v>
      </x:c>
      <x:c r="B63" s="39" t="n">
        <x:v>1</x:v>
      </x:c>
      <x:c r="C63" s="39" t="n">
        <x:v>8</x:v>
      </x:c>
      <x:c r="D63" s="80" t="n">
        <x:v>13493</x:v>
      </x:c>
      <x:c r="E63" s="81" t="n">
        <x:v>0.139944169704446</x:v>
      </x:c>
      <x:c r="F63" s="81" t="n">
        <x:v>0</x:v>
      </x:c>
      <x:c r="G63" s="81" t="n">
        <x:v>0</x:v>
      </x:c>
      <x:c r="H63" s="81" t="n">
        <x:v>0</x:v>
      </x:c>
      <x:c r="I63" s="81" t="n">
        <x:v>0</x:v>
      </x:c>
      <x:c r="J63" s="81" t="n">
        <x:v>0</x:v>
      </x:c>
      <x:c r="K63" s="83" t="n">
        <x:v>3.6</x:v>
      </x:c>
      <x:c r="L63" s="80" t="n">
        <x:f>'玩家战力_节点'!AU23</x:f>
        <x:v>13493</x:v>
      </x:c>
      <x:c r="M63" s="82" t="n">
        <x:f>L63/L62-1</x:f>
        <x:v>0.09627884302892431</x:v>
      </x:c>
      <x:c r="N63" s="39" t="n">
        <x:f>IF(A63&lt;=$J$5,ABS(L63-D63),0)</x:f>
        <x:v>0</x:v>
      </x:c>
    </x:row>
    <x:row r="64">
      <x:c r="A64" s="39" t="n">
        <x:v>13</x:v>
      </x:c>
      <x:c r="B64" s="39" t="n">
        <x:v>2</x:v>
      </x:c>
      <x:c r="C64" s="39" t="n">
        <x:v>1</x:v>
      </x:c>
      <x:c r="D64" s="80" t="n">
        <x:v>14714</x:v>
      </x:c>
      <x:c r="E64" s="81" t="n">
        <x:v>0.151550197613375</x:v>
      </x:c>
      <x:c r="F64" s="81" t="n">
        <x:v>0</x:v>
      </x:c>
      <x:c r="G64" s="81" t="n">
        <x:v>0</x:v>
      </x:c>
      <x:c r="H64" s="81" t="n">
        <x:v>0</x:v>
      </x:c>
      <x:c r="I64" s="81" t="n">
        <x:v>0</x:v>
      </x:c>
      <x:c r="J64" s="81" t="n">
        <x:v>0</x:v>
      </x:c>
      <x:c r="K64" s="83" t="n">
        <x:v>3.8</x:v>
      </x:c>
      <x:c r="L64" s="80" t="n">
        <x:f>'玩家战力_节点'!AU24</x:f>
        <x:v>14714</x:v>
      </x:c>
      <x:c r="M64" s="82" t="n">
        <x:f>L64/L63-1</x:f>
        <x:v>0.09049136589342632</x:v>
      </x:c>
      <x:c r="N64" s="39" t="n">
        <x:f>IF(A64&lt;=$J$5,ABS(L64-D64),0)</x:f>
        <x:v>0</x:v>
      </x:c>
    </x:row>
    <x:row r="65">
      <x:c r="A65" s="39" t="n">
        <x:v>14</x:v>
      </x:c>
      <x:c r="B65" s="39" t="n">
        <x:v>2</x:v>
      </x:c>
      <x:c r="C65" s="39" t="n">
        <x:v>2</x:v>
      </x:c>
      <x:c r="D65" s="80" t="n">
        <x:v>15980</x:v>
      </x:c>
      <x:c r="E65" s="81" t="n">
        <x:v>0.16298213510367</x:v>
      </x:c>
      <x:c r="F65" s="81" t="n">
        <x:v>0</x:v>
      </x:c>
      <x:c r="G65" s="81" t="n">
        <x:v>0</x:v>
      </x:c>
      <x:c r="H65" s="81" t="n">
        <x:v>0</x:v>
      </x:c>
      <x:c r="I65" s="81" t="n">
        <x:v>0</x:v>
      </x:c>
      <x:c r="J65" s="81" t="n">
        <x:v>0</x:v>
      </x:c>
      <x:c r="K65" s="83" t="n">
        <x:v>4</x:v>
      </x:c>
      <x:c r="L65" s="80" t="n">
        <x:f>'玩家战力_节点'!AU25</x:f>
        <x:v>15980</x:v>
      </x:c>
      <x:c r="M65" s="82" t="n">
        <x:f>L65/L64-1</x:f>
        <x:v>0.08604050564088617</x:v>
      </x:c>
      <x:c r="N65" s="39" t="n">
        <x:f>IF(A65&lt;=$J$5,ABS(L65-D65),0)</x:f>
        <x:v>0</x:v>
      </x:c>
    </x:row>
    <x:row r="66">
      <x:c r="A66" s="39" t="n">
        <x:v>15</x:v>
      </x:c>
      <x:c r="B66" s="39" t="n">
        <x:v>2</x:v>
      </x:c>
      <x:c r="C66" s="39" t="n">
        <x:v>3</x:v>
      </x:c>
      <x:c r="D66" s="80" t="n">
        <x:v>16704</x:v>
      </x:c>
      <x:c r="E66" s="81" t="n">
        <x:v>0.174242593531611</x:v>
      </x:c>
      <x:c r="F66" s="81" t="n">
        <x:v>0.014066542239511398</x:v>
      </x:c>
      <x:c r="G66" s="81" t="n">
        <x:v>0</x:v>
      </x:c>
      <x:c r="H66" s="81" t="n">
        <x:v>0</x:v>
      </x:c>
      <x:c r="I66" s="81" t="n">
        <x:v>0</x:v>
      </x:c>
      <x:c r="J66" s="81" t="n">
        <x:v>0</x:v>
      </x:c>
      <x:c r="K66" s="83" t="n">
        <x:v>4</x:v>
      </x:c>
      <x:c r="L66" s="80" t="n">
        <x:f>'玩家战力_节点'!AU26</x:f>
        <x:v>16704</x:v>
      </x:c>
      <x:c r="M66" s="82" t="n">
        <x:f>L66/L65-1</x:f>
        <x:v>0.04530663329161455</x:v>
      </x:c>
      <x:c r="N66" s="39" t="n">
        <x:f>IF(A66&lt;=$J$5,ABS(L66-D66),0)</x:f>
        <x:v>0</x:v>
      </x:c>
    </x:row>
    <x:row r="67">
      <x:c r="A67" s="39" t="n">
        <x:v>16</x:v>
      </x:c>
      <x:c r="B67" s="39" t="n">
        <x:v>2</x:v>
      </x:c>
      <x:c r="C67" s="39" t="n">
        <x:v>4</x:v>
      </x:c>
      <x:c r="D67" s="80" t="n">
        <x:v>18232</x:v>
      </x:c>
      <x:c r="E67" s="81" t="n">
        <x:v>0.1850063524131008</x:v>
      </x:c>
      <x:c r="F67" s="81" t="n">
        <x:v>0.027311263506995063</x:v>
      </x:c>
      <x:c r="G67" s="81" t="n">
        <x:v>0</x:v>
      </x:c>
      <x:c r="H67" s="81" t="n">
        <x:v>0</x:v>
      </x:c>
      <x:c r="I67" s="81" t="n">
        <x:v>0</x:v>
      </x:c>
      <x:c r="J67" s="81" t="n">
        <x:v>0.013516332790513761</x:v>
      </x:c>
      <x:c r="K67" s="83" t="n">
        <x:v>4</x:v>
      </x:c>
      <x:c r="L67" s="80" t="n">
        <x:f>'玩家战力_节点'!AU27</x:f>
        <x:v>18232</x:v>
      </x:c>
      <x:c r="M67" s="82" t="n">
        <x:f>L67/L66-1</x:f>
        <x:v>0.09147509578544066</x:v>
      </x:c>
      <x:c r="N67" s="39" t="n">
        <x:f>IF(A67&lt;=$J$5,ABS(L67-D67),0)</x:f>
        <x:v>0</x:v>
      </x:c>
    </x:row>
    <x:row r="68">
      <x:c r="A68" s="39" t="n">
        <x:v>17</x:v>
      </x:c>
      <x:c r="B68" s="39" t="n">
        <x:v>2</x:v>
      </x:c>
      <x:c r="C68" s="39" t="n">
        <x:v>5</x:v>
      </x:c>
      <x:c r="D68" s="80" t="n">
        <x:v>19808</x:v>
      </x:c>
      <x:c r="E68" s="81" t="n">
        <x:v>0.1957701112945906</x:v>
      </x:c>
      <x:c r="F68" s="81" t="n">
        <x:v>0.04055598477447872</x:v>
      </x:c>
      <x:c r="G68" s="81" t="n">
        <x:v>0</x:v>
      </x:c>
      <x:c r="H68" s="81" t="n">
        <x:v>0</x:v>
      </x:c>
      <x:c r="I68" s="81" t="n">
        <x:v>0</x:v>
      </x:c>
      <x:c r="J68" s="81" t="n">
        <x:v>0.027032665581027522</x:v>
      </x:c>
      <x:c r="K68" s="83" t="n">
        <x:v>4</x:v>
      </x:c>
      <x:c r="L68" s="80" t="n">
        <x:f>'玩家战力_节点'!AU28</x:f>
        <x:v>19808</x:v>
      </x:c>
      <x:c r="M68" s="82" t="n">
        <x:f>L68/L67-1</x:f>
        <x:v>0.08644142167617375</x:v>
      </x:c>
      <x:c r="N68" s="39" t="n">
        <x:f>IF(A68&lt;=$J$5,ABS(L68-D68),0)</x:f>
        <x:v>0</x:v>
      </x:c>
    </x:row>
    <x:row r="69">
      <x:c r="A69" s="39" t="n">
        <x:v>18</x:v>
      </x:c>
      <x:c r="B69" s="39" t="n">
        <x:v>2</x:v>
      </x:c>
      <x:c r="C69" s="39" t="n">
        <x:v>6</x:v>
      </x:c>
      <x:c r="D69" s="80" t="n">
        <x:v>21432</x:v>
      </x:c>
      <x:c r="E69" s="81" t="n">
        <x:v>0.20653387017608038</x:v>
      </x:c>
      <x:c r="F69" s="81" t="n">
        <x:v>0.053800706041962375</x:v>
      </x:c>
      <x:c r="G69" s="81" t="n">
        <x:v>0</x:v>
      </x:c>
      <x:c r="H69" s="81" t="n">
        <x:v>0</x:v>
      </x:c>
      <x:c r="I69" s="81" t="n">
        <x:v>0</x:v>
      </x:c>
      <x:c r="J69" s="81" t="n">
        <x:v>0.04054899837154128</x:v>
      </x:c>
      <x:c r="K69" s="83" t="n">
        <x:v>4</x:v>
      </x:c>
      <x:c r="L69" s="80" t="n">
        <x:f>'玩家战力_节点'!AU29</x:f>
        <x:v>21432</x:v>
      </x:c>
      <x:c r="M69" s="82" t="n">
        <x:f>L69/L68-1</x:f>
        <x:v>0.08198707592891763</x:v>
      </x:c>
      <x:c r="N69" s="39" t="n">
        <x:f>IF(A69&lt;=$J$5,ABS(L69-D69),0)</x:f>
        <x:v>0</x:v>
      </x:c>
    </x:row>
    <x:row r="70">
      <x:c r="A70" s="39" t="n">
        <x:v>19</x:v>
      </x:c>
      <x:c r="B70" s="39" t="n">
        <x:v>2</x:v>
      </x:c>
      <x:c r="C70" s="39" t="n">
        <x:v>7</x:v>
      </x:c>
      <x:c r="D70" s="80" t="n">
        <x:v>23100</x:v>
      </x:c>
      <x:c r="E70" s="81" t="n">
        <x:v>0.21729762905757022</x:v>
      </x:c>
      <x:c r="F70" s="81" t="n">
        <x:v>0.06704542730944604</x:v>
      </x:c>
      <x:c r="G70" s="81" t="n">
        <x:v>0</x:v>
      </x:c>
      <x:c r="H70" s="81" t="n">
        <x:v>0</x:v>
      </x:c>
      <x:c r="I70" s="81" t="n">
        <x:v>0</x:v>
      </x:c>
      <x:c r="J70" s="81" t="n">
        <x:v>0.054065331162055044</x:v>
      </x:c>
      <x:c r="K70" s="83" t="n">
        <x:v>4</x:v>
      </x:c>
      <x:c r="L70" s="80" t="n">
        <x:f>'玩家战力_节点'!AU30</x:f>
        <x:v>23100</x:v>
      </x:c>
      <x:c r="M70" s="82" t="n">
        <x:f>L70/L69-1</x:f>
        <x:v>0.0778275475923853</x:v>
      </x:c>
      <x:c r="N70" s="39" t="n">
        <x:f>IF(A70&lt;=$J$5,ABS(L70-D70),0)</x:f>
        <x:v>0</x:v>
      </x:c>
    </x:row>
    <x:row r="71">
      <x:c r="A71" s="39" t="n">
        <x:v>20</x:v>
      </x:c>
      <x:c r="B71" s="39" t="n">
        <x:v>2</x:v>
      </x:c>
      <x:c r="C71" s="39" t="n">
        <x:v>8</x:v>
      </x:c>
      <x:c r="D71" s="80" t="n">
        <x:v>25436</x:v>
      </x:c>
      <x:c r="E71" s="81" t="n">
        <x:v>0.22806138793906</x:v>
      </x:c>
      <x:c r="F71" s="81" t="n">
        <x:v>0.0802901485769297</x:v>
      </x:c>
      <x:c r="G71" s="81" t="n">
        <x:v>0</x:v>
      </x:c>
      <x:c r="H71" s="81" t="n">
        <x:v>0</x:v>
      </x:c>
      <x:c r="I71" s="81" t="n">
        <x:v>0</x:v>
      </x:c>
      <x:c r="J71" s="81" t="n">
        <x:v>0.0675816639525688</x:v>
      </x:c>
      <x:c r="K71" s="83" t="n">
        <x:v>4.1</x:v>
      </x:c>
      <x:c r="L71" s="80" t="n">
        <x:f>'玩家战力_节点'!AU31</x:f>
        <x:v>25436</x:v>
      </x:c>
      <x:c r="M71" s="82" t="n">
        <x:f>L71/L70-1</x:f>
        <x:v>0.10112554112554117</x:v>
      </x:c>
      <x:c r="N71" s="39" t="n">
        <x:f>IF(A71&lt;=$J$5,ABS(L71-D71),0)</x:f>
        <x:v>0</x:v>
      </x:c>
    </x:row>
    <x:row r="72">
      <x:c r="A72" s="39" t="n">
        <x:v>21</x:v>
      </x:c>
      <x:c r="B72" s="39" t="n">
        <x:v>2</x:v>
      </x:c>
      <x:c r="C72" s="39" t="n">
        <x:v>9</x:v>
      </x:c>
      <x:c r="D72" s="80" t="n">
        <x:v>27758</x:v>
      </x:c>
      <x:c r="E72" s="81" t="n">
        <x:v>0.23811656679098858</x:v>
      </x:c>
      <x:c r="F72" s="81" t="n">
        <x:v>0.09238202504109197</x:v>
      </x:c>
      <x:c r="G72" s="81" t="n">
        <x:v>0</x:v>
      </x:c>
      <x:c r="H72" s="81" t="n">
        <x:v>0</x:v>
      </x:c>
      <x:c r="I72" s="81" t="n">
        <x:v>0</x:v>
      </x:c>
      <x:c r="J72" s="81" t="n">
        <x:v>0.07992151037520692</x:v>
      </x:c>
      <x:c r="K72" s="83" t="n">
        <x:v>4.2</x:v>
      </x:c>
      <x:c r="L72" s="80" t="n">
        <x:f>'玩家战力_节点'!AU32</x:f>
        <x:v>27758</x:v>
      </x:c>
      <x:c r="M72" s="82" t="n">
        <x:f>L72/L71-1</x:f>
        <x:v>0.0912879383550873</x:v>
      </x:c>
      <x:c r="N72" s="39" t="n">
        <x:f>IF(A72&lt;=$J$5,ABS(L72-D72),0)</x:f>
        <x:v>0</x:v>
      </x:c>
    </x:row>
    <x:row r="73">
      <x:c r="A73" s="39" t="n">
        <x:v>22</x:v>
      </x:c>
      <x:c r="B73" s="39" t="n">
        <x:v>2</x:v>
      </x:c>
      <x:c r="C73" s="39" t="n">
        <x:v>10</x:v>
      </x:c>
      <x:c r="D73" s="80" t="n">
        <x:v>30203</x:v>
      </x:c>
      <x:c r="E73" s="81" t="n">
        <x:v>0.2481717456429172</x:v>
      </x:c>
      <x:c r="F73" s="81" t="n">
        <x:v>0.10447390150525424</x:v>
      </x:c>
      <x:c r="G73" s="81" t="n">
        <x:v>0</x:v>
      </x:c>
      <x:c r="H73" s="81" t="n">
        <x:v>0</x:v>
      </x:c>
      <x:c r="I73" s="81" t="n">
        <x:v>0</x:v>
      </x:c>
      <x:c r="J73" s="81" t="n">
        <x:v>0.09226135679784503</x:v>
      </x:c>
      <x:c r="K73" s="83" t="n">
        <x:v>4.3</x:v>
      </x:c>
      <x:c r="L73" s="80" t="n">
        <x:f>'玩家战力_节点'!AU33</x:f>
        <x:v>30203</x:v>
      </x:c>
      <x:c r="M73" s="82" t="n">
        <x:f>L73/L72-1</x:f>
        <x:v>0.0880827148930039</x:v>
      </x:c>
      <x:c r="N73" s="39" t="n">
        <x:f>IF(A73&lt;=$J$5,ABS(L73-D73),0)</x:f>
        <x:v>0</x:v>
      </x:c>
    </x:row>
    <x:row r="74">
      <x:c r="A74" s="39" t="n">
        <x:v>23</x:v>
      </x:c>
      <x:c r="B74" s="39" t="n">
        <x:v>2</x:v>
      </x:c>
      <x:c r="C74" s="39" t="n">
        <x:v>11</x:v>
      </x:c>
      <x:c r="D74" s="80" t="n">
        <x:v>32780</x:v>
      </x:c>
      <x:c r="E74" s="81" t="n">
        <x:v>0.2582269244948458</x:v>
      </x:c>
      <x:c r="F74" s="81" t="n">
        <x:v>0.1165657779694165</x:v>
      </x:c>
      <x:c r="G74" s="81" t="n">
        <x:v>0</x:v>
      </x:c>
      <x:c r="H74" s="81" t="n">
        <x:v>0</x:v>
      </x:c>
      <x:c r="I74" s="81" t="n">
        <x:v>0</x:v>
      </x:c>
      <x:c r="J74" s="81" t="n">
        <x:v>0.10460120322048315</x:v>
      </x:c>
      <x:c r="K74" s="83" t="n">
        <x:v>4.4</x:v>
      </x:c>
      <x:c r="L74" s="80" t="n">
        <x:f>'玩家战力_节点'!AU34</x:f>
        <x:v>32780</x:v>
      </x:c>
      <x:c r="M74" s="82" t="n">
        <x:f>L74/L73-1</x:f>
        <x:v>0.0853226500678741</x:v>
      </x:c>
      <x:c r="N74" s="39" t="n">
        <x:f>IF(A74&lt;=$J$5,ABS(L74-D74),0)</x:f>
        <x:v>0</x:v>
      </x:c>
    </x:row>
    <x:row r="75">
      <x:c r="A75" s="39" t="n">
        <x:v>24</x:v>
      </x:c>
      <x:c r="B75" s="39" t="n">
        <x:v>2</x:v>
      </x:c>
      <x:c r="C75" s="39" t="n">
        <x:v>12</x:v>
      </x:c>
      <x:c r="D75" s="80" t="n">
        <x:v>35487</x:v>
      </x:c>
      <x:c r="E75" s="81" t="n">
        <x:v>0.2682821033467744</x:v>
      </x:c>
      <x:c r="F75" s="81" t="n">
        <x:v>0.12865765443357877</x:v>
      </x:c>
      <x:c r="G75" s="81" t="n">
        <x:v>0</x:v>
      </x:c>
      <x:c r="H75" s="81" t="n">
        <x:v>0</x:v>
      </x:c>
      <x:c r="I75" s="81" t="n">
        <x:v>0</x:v>
      </x:c>
      <x:c r="J75" s="81" t="n">
        <x:v>0.11694104964312126</x:v>
      </x:c>
      <x:c r="K75" s="83" t="n">
        <x:v>4.5</x:v>
      </x:c>
      <x:c r="L75" s="80" t="n">
        <x:f>'玩家战力_节点'!AU35</x:f>
        <x:v>35487</x:v>
      </x:c>
      <x:c r="M75" s="82" t="n">
        <x:f>L75/L74-1</x:f>
        <x:v>0.08258084197681503</x:v>
      </x:c>
      <x:c r="N75" s="39" t="n">
        <x:f>IF(A75&lt;=$J$5,ABS(L75-D75),0)</x:f>
        <x:v>0</x:v>
      </x:c>
    </x:row>
    <x:row r="76">
      <x:c r="A76" s="39" t="n">
        <x:v>25</x:v>
      </x:c>
      <x:c r="B76" s="39" t="n">
        <x:v>3</x:v>
      </x:c>
      <x:c r="C76" s="39" t="n">
        <x:v>1</x:v>
      </x:c>
      <x:c r="D76" s="80" t="n">
        <x:v>37743</x:v>
      </x:c>
      <x:c r="E76" s="81" t="n">
        <x:v>0.2779630622510686</x:v>
      </x:c>
      <x:c r="F76" s="81" t="n">
        <x:v>0.14015104358441846</x:v>
      </x:c>
      <x:c r="G76" s="81" t="n">
        <x:v>0</x:v>
      </x:c>
      <x:c r="H76" s="81" t="n">
        <x:v>0</x:v>
      </x:c>
      <x:c r="I76" s="81" t="n">
        <x:v>0</x:v>
      </x:c>
      <x:c r="J76" s="81" t="n">
        <x:v>0.12299999999999998</x:v>
      </x:c>
      <x:c r="K76" s="83" t="n">
        <x:v>4.6</x:v>
      </x:c>
      <x:c r="L76" s="80" t="n">
        <x:f>'玩家战力_节点'!AU36</x:f>
        <x:v>37375</x:v>
      </x:c>
      <x:c r="M76" s="82" t="n">
        <x:f>L76/L75-1</x:f>
        <x:v>0.053202581226928114</x:v>
      </x:c>
      <x:c r="N76" s="39" t="n">
        <x:f>IF(A76&lt;=$J$5,ABS(L76-D76),0)</x:f>
        <x:v>0</x:v>
      </x:c>
    </x:row>
    <x:row r="77">
      <x:c r="A77" s="39" t="n">
        <x:v>26</x:v>
      </x:c>
      <x:c r="B77" s="39" t="n">
        <x:v>3</x:v>
      </x:c>
      <x:c r="C77" s="39" t="n">
        <x:v>2</x:v>
      </x:c>
      <x:c r="D77" s="80" t="n">
        <x:v>40049</x:v>
      </x:c>
      <x:c r="E77" s="81" t="n">
        <x:v>0.2872863900168147</x:v>
      </x:c>
      <x:c r="F77" s="81" t="n">
        <x:v>0.15108114219271115</x:v>
      </x:c>
      <x:c r="G77" s="81" t="n">
        <x:v>0</x:v>
      </x:c>
      <x:c r="H77" s="81" t="n">
        <x:v>0</x:v>
      </x:c>
      <x:c r="I77" s="81" t="n">
        <x:v>0</x:v>
      </x:c>
      <x:c r="J77" s="81" t="n">
        <x:v>0.12899999999999998</x:v>
      </x:c>
      <x:c r="K77" s="83" t="n">
        <x:v>4.7</x:v>
      </x:c>
      <x:c r="L77" s="80" t="n">
        <x:f>'玩家战力_节点'!AU37</x:f>
        <x:v>39292</x:v>
      </x:c>
      <x:c r="M77" s="82" t="n">
        <x:f>L77/L76-1</x:f>
        <x:v>0.05129096989966553</x:v>
      </x:c>
      <x:c r="N77" s="39" t="n">
        <x:f>IF(A77&lt;=$J$5,ABS(L77-D77),0)</x:f>
        <x:v>0</x:v>
      </x:c>
    </x:row>
    <x:row r="78">
      <x:c r="A78" s="39" t="n">
        <x:v>27</x:v>
      </x:c>
      <x:c r="B78" s="39" t="n">
        <x:v>3</x:v>
      </x:c>
      <x:c r="C78" s="39" t="n">
        <x:v>3</x:v>
      </x:c>
      <x:c r="D78" s="80" t="n">
        <x:v>42437</x:v>
      </x:c>
      <x:c r="E78" s="81" t="n">
        <x:v>0.29660971778256084</x:v>
      </x:c>
      <x:c r="F78" s="81" t="n">
        <x:v>0.16201124080100388</x:v>
      </x:c>
      <x:c r="G78" s="81" t="n">
        <x:v>0</x:v>
      </x:c>
      <x:c r="H78" s="81" t="n">
        <x:v>0</x:v>
      </x:c>
      <x:c r="I78" s="81" t="n">
        <x:v>0</x:v>
      </x:c>
      <x:c r="J78" s="81" t="n">
        <x:v>0.13499999999999998</x:v>
      </x:c>
      <x:c r="K78" s="83" t="n">
        <x:v>4.8</x:v>
      </x:c>
      <x:c r="L78" s="80" t="n">
        <x:f>'玩家战力_节点'!AU38</x:f>
        <x:v>41270</x:v>
      </x:c>
      <x:c r="M78" s="82" t="n">
        <x:f>L78/L77-1</x:f>
        <x:v>0.05034103634327591</x:v>
      </x:c>
      <x:c r="N78" s="39" t="n">
        <x:f>IF(A78&lt;=$J$5,ABS(L78-D78),0)</x:f>
        <x:v>0</x:v>
      </x:c>
    </x:row>
    <x:row r="79">
      <x:c r="A79" s="39" t="n">
        <x:v>28</x:v>
      </x:c>
      <x:c r="B79" s="39" t="n">
        <x:v>3</x:v>
      </x:c>
      <x:c r="C79" s="39" t="n">
        <x:v>4</x:v>
      </x:c>
      <x:c r="D79" s="80" t="n">
        <x:v>44923</x:v>
      </x:c>
      <x:c r="E79" s="81" t="n">
        <x:v>0.30593304554830697</x:v>
      </x:c>
      <x:c r="F79" s="81" t="n">
        <x:v>0.17294133940929657</x:v>
      </x:c>
      <x:c r="G79" s="81" t="n">
        <x:v>0</x:v>
      </x:c>
      <x:c r="H79" s="81" t="n">
        <x:v>0</x:v>
      </x:c>
      <x:c r="I79" s="81" t="n">
        <x:v>0</x:v>
      </x:c>
      <x:c r="J79" s="81" t="n">
        <x:v>0.141</x:v>
      </x:c>
      <x:c r="K79" s="83" t="n">
        <x:v>4.9</x:v>
      </x:c>
      <x:c r="L79" s="80" t="n">
        <x:f>'玩家战力_节点'!AU39</x:f>
        <x:v>43311</x:v>
      </x:c>
      <x:c r="M79" s="82" t="n">
        <x:f>L79/L78-1</x:f>
        <x:v>0.049454809789193144</x:v>
      </x:c>
      <x:c r="N79" s="39" t="n">
        <x:f>IF(A79&lt;=$J$5,ABS(L79-D79),0)</x:f>
        <x:v>0</x:v>
      </x:c>
    </x:row>
    <x:row r="80">
      <x:c r="A80" s="39" t="n">
        <x:v>29</x:v>
      </x:c>
      <x:c r="B80" s="39" t="n">
        <x:v>3</x:v>
      </x:c>
      <x:c r="C80" s="39" t="n">
        <x:v>5</x:v>
      </x:c>
      <x:c r="D80" s="80" t="n">
        <x:v>47500</x:v>
      </x:c>
      <x:c r="E80" s="81" t="n">
        <x:v>0.3152563733140531</x:v>
      </x:c>
      <x:c r="F80" s="81" t="n">
        <x:v>0.18387143801758926</x:v>
      </x:c>
      <x:c r="G80" s="81" t="n">
        <x:v>0</x:v>
      </x:c>
      <x:c r="H80" s="81" t="n">
        <x:v>0</x:v>
      </x:c>
      <x:c r="I80" s="81" t="n">
        <x:v>0</x:v>
      </x:c>
      <x:c r="J80" s="81" t="n">
        <x:v>0.147</x:v>
      </x:c>
      <x:c r="K80" s="83" t="n">
        <x:v>5</x:v>
      </x:c>
      <x:c r="L80" s="80" t="n">
        <x:f>'玩家战力_节点'!AU40</x:f>
        <x:v>45415</x:v>
      </x:c>
      <x:c r="M80" s="82" t="n">
        <x:f>L80/L79-1</x:f>
        <x:v>0.04857888296275781</x:v>
      </x:c>
      <x:c r="N80" s="39" t="n">
        <x:f>IF(A80&lt;=$J$5,ABS(L80-D80),0)</x:f>
        <x:v>0</x:v>
      </x:c>
    </x:row>
    <x:row r="81">
      <x:c r="A81" s="39" t="n">
        <x:v>30</x:v>
      </x:c>
      <x:c r="B81" s="39" t="n">
        <x:v>3</x:v>
      </x:c>
      <x:c r="C81" s="39" t="n">
        <x:v>6</x:v>
      </x:c>
      <x:c r="D81" s="80" t="n">
        <x:v>49145</x:v>
      </x:c>
      <x:c r="E81" s="81" t="n">
        <x:v>0.3242327181688382</x:v>
      </x:c>
      <x:c r="F81" s="81" t="n">
        <x:v>0.19426055149674892</x:v>
      </x:c>
      <x:c r="G81" s="81" t="n">
        <x:v>0</x:v>
      </x:c>
      <x:c r="H81" s="81" t="n">
        <x:v>0</x:v>
      </x:c>
      <x:c r="I81" s="81" t="n">
        <x:v>0</x:v>
      </x:c>
      <x:c r="J81" s="81" t="n">
        <x:v>0.153</x:v>
      </x:c>
      <x:c r="K81" s="83" t="n">
        <x:v>5</x:v>
      </x:c>
      <x:c r="L81" s="80" t="n">
        <x:f>'玩家战力_节点'!AU41</x:f>
        <x:v>46620</x:v>
      </x:c>
      <x:c r="M81" s="82" t="n">
        <x:f>L81/L80-1</x:f>
        <x:v>0.02653308378289121</x:v>
      </x:c>
      <x:c r="N81" s="39" t="n">
        <x:f>IF(A81&lt;=$J$5,ABS(L81-D81),0)</x:f>
        <x:v>0</x:v>
      </x:c>
    </x:row>
    <x:row r="82">
      <x:c r="A82" s="39" t="n">
        <x:v>31</x:v>
      </x:c>
      <x:c r="B82" s="39" t="n">
        <x:v>3</x:v>
      </x:c>
      <x:c r="C82" s="39" t="n">
        <x:v>7</x:v>
      </x:c>
      <x:c r="D82" s="80" t="n">
        <x:v>52485</x:v>
      </x:c>
      <x:c r="E82" s="81" t="n">
        <x:v>0.33287746153020165</x:v>
      </x:c>
      <x:c r="F82" s="81" t="n">
        <x:v>0.20414049493985942</x:v>
      </x:c>
      <x:c r="G82" s="81" t="n">
        <x:v>0</x:v>
      </x:c>
      <x:c r="H82" s="81" t="n">
        <x:v>0.00625</x:v>
      </x:c>
      <x:c r="I82" s="81" t="n">
        <x:v>0</x:v>
      </x:c>
      <x:c r="J82" s="81" t="n">
        <x:v>0.15825</x:v>
      </x:c>
      <x:c r="K82" s="83" t="n">
        <x:v>5</x:v>
      </x:c>
      <x:c r="L82" s="80" t="n">
        <x:f>'玩家战力_节点'!AU42</x:f>
        <x:v>49050</x:v>
      </x:c>
      <x:c r="M82" s="82" t="n">
        <x:f>L82/L81-1</x:f>
        <x:v>0.05212355212355213</x:v>
      </x:c>
      <x:c r="N82" s="39" t="n">
        <x:f>IF(A82&lt;=$J$5,ABS(L82-D82),0)</x:f>
        <x:v>0</x:v>
      </x:c>
    </x:row>
    <x:row r="83">
      <x:c r="A83" s="39" t="n">
        <x:v>32</x:v>
      </x:c>
      <x:c r="B83" s="39" t="n">
        <x:v>3</x:v>
      </x:c>
      <x:c r="C83" s="39" t="n">
        <x:v>8</x:v>
      </x:c>
      <x:c r="D83" s="80" t="n">
        <x:v>55935</x:v>
      </x:c>
      <x:c r="E83" s="81" t="n">
        <x:v>0.3415222048915651</x:v>
      </x:c>
      <x:c r="F83" s="81" t="n">
        <x:v>0.2140204383829699</x:v>
      </x:c>
      <x:c r="G83" s="81" t="n">
        <x:v>0</x:v>
      </x:c>
      <x:c r="H83" s="81" t="n">
        <x:v>0.0125</x:v>
      </x:c>
      <x:c r="I83" s="81" t="n">
        <x:v>0</x:v>
      </x:c>
      <x:c r="J83" s="81" t="n">
        <x:v>0.1635</x:v>
      </x:c>
      <x:c r="K83" s="83" t="n">
        <x:v>5</x:v>
      </x:c>
      <x:c r="L83" s="80" t="n">
        <x:f>'玩家战力_节点'!AU43</x:f>
        <x:v>51540</x:v>
      </x:c>
      <x:c r="M83" s="82" t="n">
        <x:f>L83/L82-1</x:f>
        <x:v>0.05076452599388381</x:v>
      </x:c>
      <x:c r="N83" s="39" t="n">
        <x:f>IF(A83&lt;=$J$5,ABS(L83-D83),0)</x:f>
        <x:v>0</x:v>
      </x:c>
    </x:row>
    <x:row r="84">
      <x:c r="A84" s="39" t="n">
        <x:v>33</x:v>
      </x:c>
      <x:c r="B84" s="39" t="n">
        <x:v>3</x:v>
      </x:c>
      <x:c r="C84" s="39" t="n">
        <x:v>9</x:v>
      </x:c>
      <x:c r="D84" s="80" t="n">
        <x:v>59495</x:v>
      </x:c>
      <x:c r="E84" s="81" t="n">
        <x:v>0.3501669482529285</x:v>
      </x:c>
      <x:c r="F84" s="81" t="n">
        <x:v>0.22390038182608038</x:v>
      </x:c>
      <x:c r="G84" s="81" t="n">
        <x:v>0</x:v>
      </x:c>
      <x:c r="H84" s="81" t="n">
        <x:v>0.01875</x:v>
      </x:c>
      <x:c r="I84" s="81" t="n">
        <x:v>0</x:v>
      </x:c>
      <x:c r="J84" s="81" t="n">
        <x:v>0.16874999999999998</x:v>
      </x:c>
      <x:c r="K84" s="83" t="n">
        <x:v>5</x:v>
      </x:c>
      <x:c r="L84" s="80" t="n">
        <x:f>'玩家战力_节点'!AU44</x:f>
        <x:v>54095</x:v>
      </x:c>
      <x:c r="M84" s="82" t="n">
        <x:f>L84/L83-1</x:f>
        <x:v>0.049573147070236745</x:v>
      </x:c>
      <x:c r="N84" s="39" t="n">
        <x:f>IF(A84&lt;=$J$5,ABS(L84-D84),0)</x:f>
        <x:v>0</x:v>
      </x:c>
    </x:row>
    <x:row r="85">
      <x:c r="A85" s="39" t="n">
        <x:v>34</x:v>
      </x:c>
      <x:c r="B85" s="39" t="n">
        <x:v>3</x:v>
      </x:c>
      <x:c r="C85" s="39" t="n">
        <x:v>10</x:v>
      </x:c>
      <x:c r="D85" s="80" t="n">
        <x:v>63175</x:v>
      </x:c>
      <x:c r="E85" s="81" t="n">
        <x:v>0.35881169161429194</x:v>
      </x:c>
      <x:c r="F85" s="81" t="n">
        <x:v>0.23378032526919088</x:v>
      </x:c>
      <x:c r="G85" s="81" t="n">
        <x:v>0</x:v>
      </x:c>
      <x:c r="H85" s="81" t="n">
        <x:v>0.025</x:v>
      </x:c>
      <x:c r="I85" s="81" t="n">
        <x:v>0</x:v>
      </x:c>
      <x:c r="J85" s="81" t="n">
        <x:v>0.174</x:v>
      </x:c>
      <x:c r="K85" s="83" t="n">
        <x:v>5</x:v>
      </x:c>
      <x:c r="L85" s="80" t="n">
        <x:f>'玩家战力_节点'!AU45</x:f>
        <x:v>56710</x:v>
      </x:c>
      <x:c r="M85" s="82" t="n">
        <x:f>L85/L84-1</x:f>
        <x:v>0.048340881782050094</x:v>
      </x:c>
      <x:c r="N85" s="39" t="n">
        <x:f>IF(A85&lt;=$J$5,ABS(L85-D85),0)</x:f>
        <x:v>0</x:v>
      </x:c>
    </x:row>
    <x:row r="86">
      <x:c r="A86" s="39" t="n">
        <x:v>35</x:v>
      </x:c>
      <x:c r="B86" s="39" t="n">
        <x:v>3</x:v>
      </x:c>
      <x:c r="C86" s="39" t="n">
        <x:v>11</x:v>
      </x:c>
      <x:c r="D86" s="80" t="n">
        <x:v>67125</x:v>
      </x:c>
      <x:c r="E86" s="81" t="n">
        <x:v>0.3668887335930457</x:v>
      </x:c>
      <x:c r="F86" s="81" t="n">
        <x:v>0.24280306149556471</x:v>
      </x:c>
      <x:c r="G86" s="81" t="n">
        <x:v>0</x:v>
      </x:c>
      <x:c r="H86" s="81" t="n">
        <x:v>0.032</x:v>
      </x:c>
      <x:c r="I86" s="81" t="n">
        <x:v>0</x:v>
      </x:c>
      <x:c r="J86" s="81" t="n">
        <x:v>0.1792</x:v>
      </x:c>
      <x:c r="K86" s="83" t="n">
        <x:v>5</x:v>
      </x:c>
      <x:c r="L86" s="80" t="n">
        <x:f>'玩家战力_节点'!AU46</x:f>
        <x:v>59500</x:v>
      </x:c>
      <x:c r="M86" s="82" t="n">
        <x:f>L86/L85-1</x:f>
        <x:v>0.04919767236818906</x:v>
      </x:c>
      <x:c r="N86" s="39" t="n">
        <x:f>IF(A86&lt;=$J$5,ABS(L86-D86),0)</x:f>
        <x:v>0</x:v>
      </x:c>
    </x:row>
    <x:row r="87">
      <x:c r="A87" s="39" t="n">
        <x:v>36</x:v>
      </x:c>
      <x:c r="B87" s="39" t="n">
        <x:v>3</x:v>
      </x:c>
      <x:c r="C87" s="39" t="n">
        <x:v>12</x:v>
      </x:c>
      <x:c r="D87" s="80" t="n">
        <x:v>71200</x:v>
      </x:c>
      <x:c r="E87" s="81" t="n">
        <x:v>0.3749657755717995</x:v>
      </x:c>
      <x:c r="F87" s="81" t="n">
        <x:v>0.2518257977219385</x:v>
      </x:c>
      <x:c r="G87" s="81" t="n">
        <x:v>0</x:v>
      </x:c>
      <x:c r="H87" s="81" t="n">
        <x:v>0.039</x:v>
      </x:c>
      <x:c r="I87" s="81" t="n">
        <x:v>0</x:v>
      </x:c>
      <x:c r="J87" s="81" t="n">
        <x:v>0.1844</x:v>
      </x:c>
      <x:c r="K87" s="83" t="n">
        <x:v>5</x:v>
      </x:c>
      <x:c r="L87" s="80" t="n">
        <x:f>'玩家战力_节点'!AU47</x:f>
        <x:v>62355</x:v>
      </x:c>
      <x:c r="M87" s="82" t="n">
        <x:f>L87/L86-1</x:f>
        <x:v>0.04798319327731093</x:v>
      </x:c>
      <x:c r="N87" s="39" t="n">
        <x:f>IF(A87&lt;=$J$5,ABS(L87-D87),0)</x:f>
        <x:v>0</x:v>
      </x:c>
    </x:row>
    <x:row r="88">
      <x:c r="A88" s="39" t="n">
        <x:v>37</x:v>
      </x:c>
      <x:c r="B88" s="39" t="n">
        <x:v>3</x:v>
      </x:c>
      <x:c r="C88" s="39" t="n">
        <x:v>13</x:v>
      </x:c>
      <x:c r="D88" s="80" t="n">
        <x:v>75400</x:v>
      </x:c>
      <x:c r="E88" s="81" t="n">
        <x:v>0.3830428175505533</x:v>
      </x:c>
      <x:c r="F88" s="81" t="n">
        <x:v>0.26084853394831237</x:v>
      </x:c>
      <x:c r="G88" s="81" t="n">
        <x:v>0</x:v>
      </x:c>
      <x:c r="H88" s="81" t="n">
        <x:v>0.04599999999999999</x:v>
      </x:c>
      <x:c r="I88" s="81" t="n">
        <x:v>0</x:v>
      </x:c>
      <x:c r="J88" s="81" t="n">
        <x:v>0.18960000000000002</x:v>
      </x:c>
      <x:c r="K88" s="83" t="n">
        <x:v>5</x:v>
      </x:c>
      <x:c r="L88" s="80" t="n">
        <x:f>'玩家战力_节点'!AU48</x:f>
        <x:v>65285</x:v>
      </x:c>
      <x:c r="M88" s="82" t="n">
        <x:f>L88/L87-1</x:f>
        <x:v>0.04698901451367177</x:v>
      </x:c>
      <x:c r="N88" s="39" t="n">
        <x:f>IF(A88&lt;=$J$5,ABS(L88-D88),0)</x:f>
        <x:v>0</x:v>
      </x:c>
    </x:row>
    <x:row r="89">
      <x:c r="A89" s="39" t="n">
        <x:v>38</x:v>
      </x:c>
      <x:c r="B89" s="39" t="n">
        <x:v>3</x:v>
      </x:c>
      <x:c r="C89" s="39" t="n">
        <x:v>14</x:v>
      </x:c>
      <x:c r="D89" s="80" t="n">
        <x:v>79735</x:v>
      </x:c>
      <x:c r="E89" s="81" t="n">
        <x:v>0.3911198595293071</x:v>
      </x:c>
      <x:c r="F89" s="81" t="n">
        <x:v>0.26987127017468615</x:v>
      </x:c>
      <x:c r="G89" s="81" t="n">
        <x:v>0</x:v>
      </x:c>
      <x:c r="H89" s="81" t="n">
        <x:v>0.053000000000000005</x:v>
      </x:c>
      <x:c r="I89" s="81" t="n">
        <x:v>0</x:v>
      </x:c>
      <x:c r="J89" s="81" t="n">
        <x:v>0.1948</x:v>
      </x:c>
      <x:c r="K89" s="83" t="n">
        <x:v>5</x:v>
      </x:c>
      <x:c r="L89" s="80" t="n">
        <x:f>'玩家战力_节点'!AU49</x:f>
        <x:v>68280</x:v>
      </x:c>
      <x:c r="M89" s="82" t="n">
        <x:f>L89/L88-1</x:f>
        <x:v>0.04587577544612076</x:v>
      </x:c>
      <x:c r="N89" s="39" t="n">
        <x:f>IF(A89&lt;=$J$5,ABS(L89-D89),0)</x:f>
        <x:v>0</x:v>
      </x:c>
    </x:row>
    <x:row r="90">
      <x:c r="A90" s="39" t="n">
        <x:v>39</x:v>
      </x:c>
      <x:c r="B90" s="39" t="n">
        <x:v>3</x:v>
      </x:c>
      <x:c r="C90" s="39" t="n">
        <x:v>15</x:v>
      </x:c>
      <x:c r="D90" s="80" t="n">
        <x:v>84200</x:v>
      </x:c>
      <x:c r="E90" s="81" t="n">
        <x:v>0.39919690150806086</x:v>
      </x:c>
      <x:c r="F90" s="81" t="n">
        <x:v>0.27889400640106</x:v>
      </x:c>
      <x:c r="G90" s="81" t="n">
        <x:v>0</x:v>
      </x:c>
      <x:c r="H90" s="81" t="n">
        <x:v>0.06</x:v>
      </x:c>
      <x:c r="I90" s="81" t="n">
        <x:v>0</x:v>
      </x:c>
      <x:c r="J90" s="81" t="n">
        <x:v>0.2</x:v>
      </x:c>
      <x:c r="K90" s="83" t="n">
        <x:v>5</x:v>
      </x:c>
      <x:c r="L90" s="80" t="n">
        <x:f>'玩家战力_节点'!AU50</x:f>
        <x:v>71350</x:v>
      </x:c>
      <x:c r="M90" s="82" t="n">
        <x:f>L90/L89-1</x:f>
        <x:v>0.044961921499707014</x:v>
      </x:c>
      <x:c r="N90" s="39" t="n">
        <x:f>IF(A90&lt;=$J$5,ABS(L90-D90),0)</x:f>
        <x:v>0</x:v>
      </x:c>
    </x:row>
    <x:row r="91">
      <x:c r="A91" s="39" t="n">
        <x:v>40</x:v>
      </x:c>
      <x:c r="B91" s="39" t="n">
        <x:v>4</x:v>
      </x:c>
      <x:c r="C91" s="39" t="n">
        <x:v>1</x:v>
      </x:c>
      <x:c r="D91" s="80" t="n">
        <x:v>88840</x:v>
      </x:c>
      <x:c r="E91" s="81" t="n">
        <x:v>0.40691413843993574</x:v>
      </x:c>
      <x:c r="F91" s="81" t="n">
        <x:v>0.28738266851255007</x:v>
      </x:c>
      <x:c r="G91" s="81" t="n">
        <x:v>0</x:v>
      </x:c>
      <x:c r="H91" s="81" t="n">
        <x:v>0.067</x:v>
      </x:c>
      <x:c r="I91" s="81" t="n">
        <x:v>0</x:v>
      </x:c>
      <x:c r="J91" s="81" t="n">
        <x:v>0.20599999999999996</x:v>
      </x:c>
      <x:c r="K91" s="83" t="n">
        <x:v>5</x:v>
      </x:c>
      <x:c r="L91" s="80" t="n">
        <x:f>'玩家战力_节点'!AU51</x:f>
        <x:v>74525</x:v>
      </x:c>
      <x:c r="M91" s="82" t="n">
        <x:f>L91/L90-1</x:f>
        <x:v>0.04449894884372818</x:v>
      </x:c>
      <x:c r="N91" s="39" t="n">
        <x:f>IF(A91&lt;=$J$5,ABS(L91-D91),0)</x:f>
        <x:v>0</x:v>
      </x:c>
    </x:row>
    <x:row r="92">
      <x:c r="A92" s="39" t="n">
        <x:v>41</x:v>
      </x:c>
      <x:c r="B92" s="39" t="n">
        <x:v>4</x:v>
      </x:c>
      <x:c r="C92" s="39" t="n">
        <x:v>2</x:v>
      </x:c>
      <x:c r="D92" s="80" t="n">
        <x:v>94795</x:v>
      </x:c>
      <x:c r="E92" s="81" t="n">
        <x:v>0.4138171608054758</x:v>
      </x:c>
      <x:c r="F92" s="81" t="n">
        <x:v>0.29470204462296806</x:v>
      </x:c>
      <x:c r="G92" s="81" t="n">
        <x:v>0</x:v>
      </x:c>
      <x:c r="H92" s="81" t="n">
        <x:v>0.07645483179969487</x:v>
      </x:c>
      <x:c r="I92" s="81" t="n">
        <x:v>0</x:v>
      </x:c>
      <x:c r="J92" s="81" t="n">
        <x:v>0.21476301483874147</x:v>
      </x:c>
      <x:c r="K92" s="83" t="n">
        <x:v>5</x:v>
      </x:c>
      <x:c r="L92" s="80" t="n">
        <x:f>'玩家战力_节点'!AU52</x:f>
        <x:v>78575</x:v>
      </x:c>
      <x:c r="M92" s="82" t="n">
        <x:f>L92/L91-1</x:f>
        <x:v>0.05434417980543449</x:v>
      </x:c>
      <x:c r="N92" s="39" t="n">
        <x:f>IF(A92&lt;=$J$5,ABS(L92-D92),0)</x:f>
        <x:v>0</x:v>
      </x:c>
    </x:row>
    <x:row r="93">
      <x:c r="A93" s="39" t="n">
        <x:v>42</x:v>
      </x:c>
      <x:c r="B93" s="39" t="n">
        <x:v>4</x:v>
      </x:c>
      <x:c r="C93" s="39" t="n">
        <x:v>3</x:v>
      </x:c>
      <x:c r="D93" s="80" t="n">
        <x:v>100965</x:v>
      </x:c>
      <x:c r="E93" s="81" t="n">
        <x:v>0.4207201831710159</x:v>
      </x:c>
      <x:c r="F93" s="81" t="n">
        <x:v>0.30202142073338606</x:v>
      </x:c>
      <x:c r="G93" s="81" t="n">
        <x:v>0</x:v>
      </x:c>
      <x:c r="H93" s="81" t="n">
        <x:v>0.08590966359938973</x:v>
      </x:c>
      <x:c r="I93" s="81" t="n">
        <x:v>0</x:v>
      </x:c>
      <x:c r="J93" s="81" t="n">
        <x:v>0.22352602967748297</x:v>
      </x:c>
      <x:c r="K93" s="83" t="n">
        <x:v>5</x:v>
      </x:c>
      <x:c r="L93" s="80" t="n">
        <x:f>'玩家战力_节点'!AU53</x:f>
        <x:v>82740</x:v>
      </x:c>
      <x:c r="M93" s="82" t="n">
        <x:f>L93/L92-1</x:f>
        <x:v>0.05300668151447652</x:v>
      </x:c>
      <x:c r="N93" s="39" t="n">
        <x:f>IF(A93&lt;=$J$5,ABS(L93-D93),0)</x:f>
        <x:v>0</x:v>
      </x:c>
    </x:row>
    <x:row r="94">
      <x:c r="A94" s="39" t="n">
        <x:v>43</x:v>
      </x:c>
      <x:c r="B94" s="39" t="n">
        <x:v>4</x:v>
      </x:c>
      <x:c r="C94" s="39" t="n">
        <x:v>4</x:v>
      </x:c>
      <x:c r="D94" s="80" t="n">
        <x:v>107340</x:v>
      </x:c>
      <x:c r="E94" s="81" t="n">
        <x:v>0.427623205536556</x:v>
      </x:c>
      <x:c r="F94" s="81" t="n">
        <x:v>0.30934079684380406</x:v>
      </x:c>
      <x:c r="G94" s="81" t="n">
        <x:v>0</x:v>
      </x:c>
      <x:c r="H94" s="81" t="n">
        <x:v>0.0953644953990846</x:v>
      </x:c>
      <x:c r="I94" s="81" t="n">
        <x:v>0</x:v>
      </x:c>
      <x:c r="J94" s="81" t="n">
        <x:v>0.2322890445162245</x:v>
      </x:c>
      <x:c r="K94" s="83" t="n">
        <x:v>5</x:v>
      </x:c>
      <x:c r="L94" s="80" t="n">
        <x:f>'玩家战力_节点'!AU54</x:f>
        <x:v>87015</x:v>
      </x:c>
      <x:c r="M94" s="82" t="n">
        <x:f>L94/L93-1</x:f>
        <x:v>0.05166787527193617</x:v>
      </x:c>
      <x:c r="N94" s="39" t="n">
        <x:f>IF(A94&lt;=$J$5,ABS(L94-D94),0)</x:f>
        <x:v>0</x:v>
      </x:c>
    </x:row>
    <x:row r="95">
      <x:c r="A95" s="39" t="n">
        <x:v>44</x:v>
      </x:c>
      <x:c r="B95" s="39" t="n">
        <x:v>4</x:v>
      </x:c>
      <x:c r="C95" s="39" t="n">
        <x:v>5</x:v>
      </x:c>
      <x:c r="D95" s="80" t="n">
        <x:v>113935</x:v>
      </x:c>
      <x:c r="E95" s="81" t="n">
        <x:v>0.434526227902096</x:v>
      </x:c>
      <x:c r="F95" s="81" t="n">
        <x:v>0.31666017295422205</x:v>
      </x:c>
      <x:c r="G95" s="81" t="n">
        <x:v>0</x:v>
      </x:c>
      <x:c r="H95" s="81" t="n">
        <x:v>0.10481932719877946</x:v>
      </x:c>
      <x:c r="I95" s="81" t="n">
        <x:v>0</x:v>
      </x:c>
      <x:c r="J95" s="81" t="n">
        <x:v>0.24105205935496601</x:v>
      </x:c>
      <x:c r="K95" s="83" t="n">
        <x:v>5</x:v>
      </x:c>
      <x:c r="L95" s="80" t="n">
        <x:f>'玩家战力_节点'!AU55</x:f>
        <x:v>91410</x:v>
      </x:c>
      <x:c r="M95" s="82" t="n">
        <x:f>L95/L94-1</x:f>
        <x:v>0.05050853301154978</x:v>
      </x:c>
      <x:c r="N95" s="39" t="n">
        <x:f>IF(A95&lt;=$J$5,ABS(L95-D95),0)</x:f>
        <x:v>0</x:v>
      </x:c>
    </x:row>
    <x:row r="96">
      <x:c r="A96" s="39" t="n">
        <x:v>45</x:v>
      </x:c>
      <x:c r="B96" s="39" t="n">
        <x:v>4</x:v>
      </x:c>
      <x:c r="C96" s="39" t="n">
        <x:v>6</x:v>
      </x:c>
      <x:c r="D96" s="80" t="n">
        <x:v>120740</x:v>
      </x:c>
      <x:c r="E96" s="81" t="n">
        <x:v>0.4414292502676361</x:v>
      </x:c>
      <x:c r="F96" s="81" t="n">
        <x:v>0.32397954906464005</x:v>
      </x:c>
      <x:c r="G96" s="81" t="n">
        <x:v>0</x:v>
      </x:c>
      <x:c r="H96" s="81" t="n">
        <x:v>0.11427415899847432</x:v>
      </x:c>
      <x:c r="I96" s="81" t="n">
        <x:v>0</x:v>
      </x:c>
      <x:c r="J96" s="81" t="n">
        <x:v>0.24981507419370752</x:v>
      </x:c>
      <x:c r="K96" s="83" t="n">
        <x:v>5</x:v>
      </x:c>
      <x:c r="L96" s="80" t="n">
        <x:f>'玩家战力_节点'!AU56</x:f>
        <x:v>95915</x:v>
      </x:c>
      <x:c r="M96" s="82" t="n">
        <x:f>L96/L95-1</x:f>
        <x:v>0.049283448200415636</x:v>
      </x:c>
      <x:c r="N96" s="39" t="n">
        <x:f>IF(A96&lt;=$J$5,ABS(L96-D96),0)</x:f>
        <x:v>0</x:v>
      </x:c>
    </x:row>
    <x:row r="97">
      <x:c r="A97" s="39" t="n">
        <x:v>46</x:v>
      </x:c>
      <x:c r="B97" s="39" t="n">
        <x:v>4</x:v>
      </x:c>
      <x:c r="C97" s="39" t="n">
        <x:v>7</x:v>
      </x:c>
      <x:c r="D97" s="80" t="n">
        <x:v>127765</x:v>
      </x:c>
      <x:c r="E97" s="81" t="n">
        <x:v>0.44833227263317615</x:v>
      </x:c>
      <x:c r="F97" s="81" t="n">
        <x:v>0.33129892517505805</x:v>
      </x:c>
      <x:c r="G97" s="81" t="n">
        <x:v>0</x:v>
      </x:c>
      <x:c r="H97" s="81" t="n">
        <x:v>0.12372899079816918</x:v>
      </x:c>
      <x:c r="I97" s="81" t="n">
        <x:v>0</x:v>
      </x:c>
      <x:c r="J97" s="81" t="n">
        <x:v>0.258578089032449</x:v>
      </x:c>
      <x:c r="K97" s="83" t="n">
        <x:v>5</x:v>
      </x:c>
      <x:c r="L97" s="80" t="n">
        <x:f>'玩家战力_节点'!AU57</x:f>
        <x:v>100540</x:v>
      </x:c>
      <x:c r="M97" s="82" t="n">
        <x:f>L97/L96-1</x:f>
        <x:v>0.048219777928374175</x:v>
      </x:c>
      <x:c r="N97" s="39" t="n">
        <x:f>IF(A97&lt;=$J$5,ABS(L97-D97),0)</x:f>
        <x:v>0</x:v>
      </x:c>
    </x:row>
    <x:row r="98">
      <x:c r="A98" s="39" t="n">
        <x:v>47</x:v>
      </x:c>
      <x:c r="B98" s="39" t="n">
        <x:v>4</x:v>
      </x:c>
      <x:c r="C98" s="39" t="n">
        <x:v>8</x:v>
      </x:c>
      <x:c r="D98" s="80" t="n">
        <x:v>135015</x:v>
      </x:c>
      <x:c r="E98" s="81" t="n">
        <x:v>0.4552352949987162</x:v>
      </x:c>
      <x:c r="F98" s="81" t="n">
        <x:v>0.3386183012854761</x:v>
      </x:c>
      <x:c r="G98" s="81" t="n">
        <x:v>0</x:v>
      </x:c>
      <x:c r="H98" s="81" t="n">
        <x:v>0.13318382259786407</x:v>
      </x:c>
      <x:c r="I98" s="81" t="n">
        <x:v>0</x:v>
      </x:c>
      <x:c r="J98" s="81" t="n">
        <x:v>0.26734110387119053</x:v>
      </x:c>
      <x:c r="K98" s="83" t="n">
        <x:v>5</x:v>
      </x:c>
      <x:c r="L98" s="80" t="n">
        <x:f>'玩家战力_节点'!AU58</x:f>
        <x:v>105285</x:v>
      </x:c>
      <x:c r="M98" s="82" t="n">
        <x:f>L98/L97-1</x:f>
        <x:v>0.04719514621046339</x:v>
      </x:c>
      <x:c r="N98" s="39" t="n">
        <x:f>IF(A98&lt;=$J$5,ABS(L98-D98),0)</x:f>
        <x:v>0</x:v>
      </x:c>
    </x:row>
    <x:row r="99">
      <x:c r="A99" s="39" t="n">
        <x:v>48</x:v>
      </x:c>
      <x:c r="B99" s="39" t="n">
        <x:v>4</x:v>
      </x:c>
      <x:c r="C99" s="39" t="n">
        <x:v>9</x:v>
      </x:c>
      <x:c r="D99" s="80" t="n">
        <x:v>142485</x:v>
      </x:c>
      <x:c r="E99" s="81" t="n">
        <x:v>0.46213831736425626</x:v>
      </x:c>
      <x:c r="F99" s="81" t="n">
        <x:v>0.3459376773958941</x:v>
      </x:c>
      <x:c r="G99" s="81" t="n">
        <x:v>0</x:v>
      </x:c>
      <x:c r="H99" s="81" t="n">
        <x:v>0.1426386543975589</x:v>
      </x:c>
      <x:c r="I99" s="81" t="n">
        <x:v>0</x:v>
      </x:c>
      <x:c r="J99" s="81" t="n">
        <x:v>0.27610411870993207</x:v>
      </x:c>
      <x:c r="K99" s="83" t="n">
        <x:v>5</x:v>
      </x:c>
      <x:c r="L99" s="80" t="n">
        <x:f>'玩家战力_节点'!AU59</x:f>
        <x:v>110150</x:v>
      </x:c>
      <x:c r="M99" s="82" t="n">
        <x:f>L99/L98-1</x:f>
        <x:v>0.04620791185828943</x:v>
      </x:c>
      <x:c r="N99" s="39" t="n">
        <x:f>IF(A99&lt;=$J$5,ABS(L99-D99),0)</x:f>
        <x:v>0</x:v>
      </x:c>
    </x:row>
    <x:row r="100">
      <x:c r="A100" s="39" t="n">
        <x:v>49</x:v>
      </x:c>
      <x:c r="B100" s="39" t="n">
        <x:v>4</x:v>
      </x:c>
      <x:c r="C100" s="39" t="n">
        <x:v>10</x:v>
      </x:c>
      <x:c r="D100" s="80" t="n">
        <x:v>150185</x:v>
      </x:c>
      <x:c r="E100" s="81" t="n">
        <x:v>0.46904133972979634</x:v>
      </x:c>
      <x:c r="F100" s="81" t="n">
        <x:v>0.35325705350631204</x:v>
      </x:c>
      <x:c r="G100" s="81" t="n">
        <x:v>0</x:v>
      </x:c>
      <x:c r="H100" s="81" t="n">
        <x:v>0.15209348619725377</x:v>
      </x:c>
      <x:c r="I100" s="81" t="n">
        <x:v>0</x:v>
      </x:c>
      <x:c r="J100" s="81" t="n">
        <x:v>0.28486713354867355</x:v>
      </x:c>
      <x:c r="K100" s="83" t="n">
        <x:v>5</x:v>
      </x:c>
      <x:c r="L100" s="80" t="n">
        <x:f>'玩家战力_节点'!AU60</x:f>
        <x:v>115130</x:v>
      </x:c>
      <x:c r="M100" s="82" t="n">
        <x:f>L100/L99-1</x:f>
        <x:v>0.04521107580571937</x:v>
      </x:c>
      <x:c r="N100" s="39" t="n">
        <x:f>IF(A100&lt;=$J$5,ABS(L100-D100),0)</x:f>
        <x:v>0</x:v>
      </x:c>
    </x:row>
    <x:row r="101">
      <x:c r="A101" s="39" t="n">
        <x:v>50</x:v>
      </x:c>
      <x:c r="B101" s="39" t="n">
        <x:v>4</x:v>
      </x:c>
      <x:c r="C101" s="39" t="n">
        <x:v>11</x:v>
      </x:c>
      <x:c r="D101" s="80" t="n">
        <x:v>158115</x:v>
      </x:c>
      <x:c r="E101" s="81" t="n">
        <x:v>0.4759443620953364</x:v>
      </x:c>
      <x:c r="F101" s="81" t="n">
        <x:v>0.3605764296167301</x:v>
      </x:c>
      <x:c r="G101" s="81" t="n">
        <x:v>0</x:v>
      </x:c>
      <x:c r="H101" s="81" t="n">
        <x:v>0.16154831799694866</x:v>
      </x:c>
      <x:c r="I101" s="81" t="n">
        <x:v>0</x:v>
      </x:c>
      <x:c r="J101" s="81" t="n">
        <x:v>0.293630148387415</x:v>
      </x:c>
      <x:c r="K101" s="83" t="n">
        <x:v>5</x:v>
      </x:c>
      <x:c r="L101" s="80" t="n">
        <x:f>'玩家战力_节点'!AU61</x:f>
        <x:v>120235</x:v>
      </x:c>
      <x:c r="M101" s="82" t="n">
        <x:f>L101/L100-1</x:f>
        <x:v>0.044341179536176556</x:v>
      </x:c>
      <x:c r="N101" s="39" t="n">
        <x:f>IF(A101&lt;=$J$5,ABS(L101-D101),0)</x:f>
        <x:v>0</x:v>
      </x:c>
    </x:row>
    <x:row r="102">
      <x:c r="A102" s="39" t="n">
        <x:v>51</x:v>
      </x:c>
      <x:c r="B102" s="39" t="n">
        <x:v>4</x:v>
      </x:c>
      <x:c r="C102" s="39" t="n">
        <x:v>12</x:v>
      </x:c>
      <x:c r="D102" s="80" t="n">
        <x:v>166275</x:v>
      </x:c>
      <x:c r="E102" s="81" t="n">
        <x:v>0.4828473844608765</x:v>
      </x:c>
      <x:c r="F102" s="81" t="n">
        <x:v>0.36789580572714803</x:v>
      </x:c>
      <x:c r="G102" s="81" t="n">
        <x:v>0</x:v>
      </x:c>
      <x:c r="H102" s="81" t="n">
        <x:v>0.17100314979664352</x:v>
      </x:c>
      <x:c r="I102" s="81" t="n">
        <x:v>0</x:v>
      </x:c>
      <x:c r="J102" s="81" t="n">
        <x:v>0.30239316322615656</x:v>
      </x:c>
      <x:c r="K102" s="83" t="n">
        <x:v>5</x:v>
      </x:c>
      <x:c r="L102" s="80" t="n">
        <x:f>'玩家战力_节点'!AU62</x:f>
        <x:v>125460</x:v>
      </x:c>
      <x:c r="M102" s="82" t="n">
        <x:f>L102/L101-1</x:f>
        <x:v>0.043456564228386174</x:v>
      </x:c>
      <x:c r="N102" s="39" t="n">
        <x:f>IF(A102&lt;=$J$5,ABS(L102-D102),0)</x:f>
        <x:v>0</x:v>
      </x:c>
    </x:row>
    <x:row r="103">
      <x:c r="A103" s="39" t="n">
        <x:v>52</x:v>
      </x:c>
      <x:c r="B103" s="39" t="n">
        <x:v>4</x:v>
      </x:c>
      <x:c r="C103" s="39" t="n">
        <x:v>13</x:v>
      </x:c>
      <x:c r="D103" s="80" t="n">
        <x:v>174670</x:v>
      </x:c>
      <x:c r="E103" s="81" t="n">
        <x:v>0.4897504068264166</x:v>
      </x:c>
      <x:c r="F103" s="81" t="n">
        <x:v>0.3752151818375661</x:v>
      </x:c>
      <x:c r="G103" s="81" t="n">
        <x:v>0</x:v>
      </x:c>
      <x:c r="H103" s="81" t="n">
        <x:v>0.18045798159633836</x:v>
      </x:c>
      <x:c r="I103" s="81" t="n">
        <x:v>0</x:v>
      </x:c>
      <x:c r="J103" s="81" t="n">
        <x:v>0.31115617806489804</x:v>
      </x:c>
      <x:c r="K103" s="83" t="n">
        <x:v>5</x:v>
      </x:c>
      <x:c r="L103" s="80" t="n">
        <x:f>'玩家战力_节点'!AU63</x:f>
        <x:v>130810</x:v>
      </x:c>
      <x:c r="M103" s="82" t="n">
        <x:f>L103/L102-1</x:f>
        <x:v>0.042643073489558425</x:v>
      </x:c>
      <x:c r="N103" s="39" t="n">
        <x:f>IF(A103&lt;=$J$5,ABS(L103-D103),0)</x:f>
        <x:v>0</x:v>
      </x:c>
    </x:row>
    <x:row r="104">
      <x:c r="A104" s="39" t="n">
        <x:v>53</x:v>
      </x:c>
      <x:c r="B104" s="39" t="n">
        <x:v>4</x:v>
      </x:c>
      <x:c r="C104" s="39" t="n">
        <x:v>14</x:v>
      </x:c>
      <x:c r="D104" s="80" t="n">
        <x:v>183305</x:v>
      </x:c>
      <x:c r="E104" s="81" t="n">
        <x:v>0.49665342919195665</x:v>
      </x:c>
      <x:c r="F104" s="81" t="n">
        <x:v>0.3825345579479841</x:v>
      </x:c>
      <x:c r="G104" s="81" t="n">
        <x:v>0</x:v>
      </x:c>
      <x:c r="H104" s="81" t="n">
        <x:v>0.18991281339603325</x:v>
      </x:c>
      <x:c r="I104" s="81" t="n">
        <x:v>0</x:v>
      </x:c>
      <x:c r="J104" s="81" t="n">
        <x:v>0.31991919290363957</x:v>
      </x:c>
      <x:c r="K104" s="83" t="n">
        <x:v>5</x:v>
      </x:c>
      <x:c r="L104" s="80" t="n">
        <x:f>'玩家战力_节点'!AU64</x:f>
        <x:v>136285</x:v>
      </x:c>
      <x:c r="M104" s="82" t="n">
        <x:f>L104/L103-1</x:f>
        <x:v>0.04185459827230331</x:v>
      </x:c>
      <x:c r="N104" s="39" t="n">
        <x:f>IF(A104&lt;=$J$5,ABS(L104-D104),0)</x:f>
        <x:v>0</x:v>
      </x:c>
    </x:row>
    <x:row r="105">
      <x:c r="A105" s="39" t="n">
        <x:v>54</x:v>
      </x:c>
      <x:c r="B105" s="39" t="n">
        <x:v>4</x:v>
      </x:c>
      <x:c r="C105" s="39" t="n">
        <x:v>15</x:v>
      </x:c>
      <x:c r="D105" s="80" t="n">
        <x:v>192180</x:v>
      </x:c>
      <x:c r="E105" s="81" t="n">
        <x:v>0.5035564515574967</x:v>
      </x:c>
      <x:c r="F105" s="81" t="n">
        <x:v>0.3898539340584021</x:v>
      </x:c>
      <x:c r="G105" s="81" t="n">
        <x:v>0</x:v>
      </x:c>
      <x:c r="H105" s="81" t="n">
        <x:v>0.1993676451957281</x:v>
      </x:c>
      <x:c r="I105" s="81" t="n">
        <x:v>0</x:v>
      </x:c>
      <x:c r="J105" s="81" t="n">
        <x:v>0.3286822077423811</x:v>
      </x:c>
      <x:c r="K105" s="83" t="n">
        <x:v>5</x:v>
      </x:c>
      <x:c r="L105" s="80" t="n">
        <x:f>'玩家战力_节点'!AU65</x:f>
        <x:v>141890</x:v>
      </x:c>
      <x:c r="M105" s="82" t="n">
        <x:f>L105/L104-1</x:f>
        <x:v>0.04112704993212746</x:v>
      </x:c>
      <x:c r="N105" s="39" t="n">
        <x:f>IF(A105&lt;=$J$5,ABS(L105-D105),0)</x:f>
        <x:v>0</x:v>
      </x:c>
    </x:row>
    <x:row r="106">
      <x:c r="A106" s="39" t="n">
        <x:v>55</x:v>
      </x:c>
      <x:c r="B106" s="39" t="n">
        <x:v>5</x:v>
      </x:c>
      <x:c r="C106" s="39" t="n">
        <x:v>1</x:v>
      </x:c>
      <x:c r="D106" s="80" t="n">
        <x:v>200015</x:v>
      </x:c>
      <x:c r="E106" s="81" t="n">
        <x:v>0.5097082952386308</x:v>
      </x:c>
      <x:c r="F106" s="81" t="n">
        <x:v>0.396123397616745</x:v>
      </x:c>
      <x:c r="G106" s="81" t="n">
        <x:v>0</x:v>
      </x:c>
      <x:c r="H106" s="81" t="n">
        <x:v>0.20746624848161196</x:v>
      </x:c>
      <x:c r="I106" s="81" t="n">
        <x:v>0</x:v>
      </x:c>
      <x:c r="J106" s="81" t="n">
        <x:v>0.336188230300031</x:v>
      </x:c>
      <x:c r="K106" s="83" t="n">
        <x:v>5</x:v>
      </x:c>
      <x:c r="L106" s="80" t="n">
        <x:f>'玩家战力_节点'!AU66</x:f>
        <x:v>146810</x:v>
      </x:c>
      <x:c r="M106" s="82" t="n">
        <x:f>L106/L105-1</x:f>
        <x:v>0.03467474804425974</x:v>
      </x:c>
      <x:c r="N106" s="39" t="n">
        <x:f>IF(A106&lt;=$J$5,ABS(L106-D106),0)</x:f>
        <x:v>0</x:v>
      </x:c>
    </x:row>
    <x:row r="107">
      <x:c r="A107" s="39" t="n">
        <x:v>56</x:v>
      </x:c>
      <x:c r="B107" s="39" t="n">
        <x:v>5</x:v>
      </x:c>
      <x:c r="C107" s="39" t="n">
        <x:v>2</x:v>
      </x:c>
      <x:c r="D107" s="80" t="n">
        <x:v>207285</x:v>
      </x:c>
      <x:c r="E107" s="81" t="n">
        <x:v>0.5154167303291971</x:v>
      </x:c>
      <x:c r="F107" s="81" t="n">
        <x:v>0.40179820928275434</x:v>
      </x:c>
      <x:c r="G107" s="81" t="n">
        <x:v>0</x:v>
      </x:c>
      <x:c r="H107" s="81" t="n">
        <x:v>0.21479670793439193</x:v>
      </x:c>
      <x:c r="I107" s="81" t="n">
        <x:v>0</x:v>
      </x:c>
      <x:c r="J107" s="81" t="n">
        <x:v>0.3429823146709001</x:v>
      </x:c>
      <x:c r="K107" s="83" t="n">
        <x:v>5</x:v>
      </x:c>
      <x:c r="L107" s="80" t="n">
        <x:f>'玩家战力_节点'!AU67</x:f>
        <x:v>151365</x:v>
      </x:c>
      <x:c r="M107" s="82" t="n">
        <x:f>L107/L106-1</x:f>
        <x:v>0.031026496832640804</x:v>
      </x:c>
      <x:c r="N107" s="39" t="n">
        <x:f>IF(A107&lt;=$J$5,ABS(L107-D107),0)</x:f>
        <x:v>0</x:v>
      </x:c>
    </x:row>
    <x:row r="108">
      <x:c r="A108" s="39" t="n">
        <x:v>57</x:v>
      </x:c>
      <x:c r="B108" s="39" t="n">
        <x:v>5</x:v>
      </x:c>
      <x:c r="C108" s="39" t="n">
        <x:v>3</x:v>
      </x:c>
      <x:c r="D108" s="80" t="n">
        <x:v>214710</x:v>
      </x:c>
      <x:c r="E108" s="81" t="n">
        <x:v>0.5211251654197634</x:v>
      </x:c>
      <x:c r="F108" s="81" t="n">
        <x:v>0.4074730209487637</x:v>
      </x:c>
      <x:c r="G108" s="81" t="n">
        <x:v>0</x:v>
      </x:c>
      <x:c r="H108" s="81" t="n">
        <x:v>0.2221271673871719</x:v>
      </x:c>
      <x:c r="I108" s="81" t="n">
        <x:v>0</x:v>
      </x:c>
      <x:c r="J108" s="81" t="n">
        <x:v>0.34977639904176927</x:v>
      </x:c>
      <x:c r="K108" s="83" t="n">
        <x:v>5</x:v>
      </x:c>
      <x:c r="L108" s="80" t="n">
        <x:f>'玩家战力_节点'!AU68</x:f>
        <x:v>155995</x:v>
      </x:c>
      <x:c r="M108" s="82" t="n">
        <x:f>L108/L107-1</x:f>
        <x:v>0.030588313018200974</x:v>
      </x:c>
      <x:c r="N108" s="39" t="n">
        <x:f>IF(A108&lt;=$J$5,ABS(L108-D108),0)</x:f>
        <x:v>0</x:v>
      </x:c>
    </x:row>
    <x:row r="109">
      <x:c r="A109" s="39" t="n">
        <x:v>58</x:v>
      </x:c>
      <x:c r="B109" s="39" t="n">
        <x:v>5</x:v>
      </x:c>
      <x:c r="C109" s="39" t="n">
        <x:v>4</x:v>
      </x:c>
      <x:c r="D109" s="80" t="n">
        <x:v>222285</x:v>
      </x:c>
      <x:c r="E109" s="81" t="n">
        <x:v>0.5268336005103298</x:v>
      </x:c>
      <x:c r="F109" s="81" t="n">
        <x:v>0.413147832614773</x:v>
      </x:c>
      <x:c r="G109" s="81" t="n">
        <x:v>0</x:v>
      </x:c>
      <x:c r="H109" s="81" t="n">
        <x:v>0.22945762683995186</x:v>
      </x:c>
      <x:c r="I109" s="81" t="n">
        <x:v>0</x:v>
      </x:c>
      <x:c r="J109" s="81" t="n">
        <x:v>0.3565704834126385</x:v>
      </x:c>
      <x:c r="K109" s="83" t="n">
        <x:v>5</x:v>
      </x:c>
      <x:c r="L109" s="80" t="n">
        <x:f>'玩家战力_节点'!AU69</x:f>
        <x:v>160710</x:v>
      </x:c>
      <x:c r="M109" s="82" t="n">
        <x:f>L109/L108-1</x:f>
        <x:v>0.030225327734863194</x:v>
      </x:c>
      <x:c r="N109" s="39" t="n">
        <x:f>IF(A109&lt;=$J$5,ABS(L109-D109),0)</x:f>
        <x:v>0</x:v>
      </x:c>
    </x:row>
    <x:row r="110">
      <x:c r="A110" s="39" t="n">
        <x:v>59</x:v>
      </x:c>
      <x:c r="B110" s="39" t="n">
        <x:v>5</x:v>
      </x:c>
      <x:c r="C110" s="39" t="n">
        <x:v>5</x:v>
      </x:c>
      <x:c r="D110" s="80" t="n">
        <x:v>230020</x:v>
      </x:c>
      <x:c r="E110" s="81" t="n">
        <x:v>0.5325420356008961</x:v>
      </x:c>
      <x:c r="F110" s="81" t="n">
        <x:v>0.41882264428078236</x:v>
      </x:c>
      <x:c r="G110" s="81" t="n">
        <x:v>0</x:v>
      </x:c>
      <x:c r="H110" s="81" t="n">
        <x:v>0.23678808629273185</x:v>
      </x:c>
      <x:c r="I110" s="81" t="n">
        <x:v>0</x:v>
      </x:c>
      <x:c r="J110" s="81" t="n">
        <x:v>0.36336456778350756</x:v>
      </x:c>
      <x:c r="K110" s="83" t="n">
        <x:v>5</x:v>
      </x:c>
      <x:c r="L110" s="80" t="n">
        <x:f>'玩家战力_节点'!AU70</x:f>
        <x:v>165500</x:v>
      </x:c>
      <x:c r="M110" s="82" t="n">
        <x:f>L110/L109-1</x:f>
        <x:v>0.029805239250824567</x:v>
      </x:c>
      <x:c r="N110" s="39" t="n">
        <x:f>IF(A110&lt;=$J$5,ABS(L110-D110),0)</x:f>
        <x:v>0</x:v>
      </x:c>
    </x:row>
    <x:row r="111">
      <x:c r="A111" s="39" t="n">
        <x:v>60</x:v>
      </x:c>
      <x:c r="B111" s="39" t="n">
        <x:v>5</x:v>
      </x:c>
      <x:c r="C111" s="39" t="n">
        <x:v>6</x:v>
      </x:c>
      <x:c r="D111" s="80" t="n">
        <x:v>237905</x:v>
      </x:c>
      <x:c r="E111" s="81" t="n">
        <x:v>0.5382504706914625</x:v>
      </x:c>
      <x:c r="F111" s="81" t="n">
        <x:v>0.42449745594679167</x:v>
      </x:c>
      <x:c r="G111" s="81" t="n">
        <x:v>0</x:v>
      </x:c>
      <x:c r="H111" s="81" t="n">
        <x:v>0.2441185457455118</x:v>
      </x:c>
      <x:c r="I111" s="81" t="n">
        <x:v>0</x:v>
      </x:c>
      <x:c r="J111" s="81" t="n">
        <x:v>0.3701586521543768</x:v>
      </x:c>
      <x:c r="K111" s="83" t="n">
        <x:v>5</x:v>
      </x:c>
      <x:c r="L111" s="80" t="n">
        <x:f>'玩家战力_节点'!AU71</x:f>
        <x:v>170370</x:v>
      </x:c>
      <x:c r="M111" s="82" t="n">
        <x:f>L111/L110-1</x:f>
        <x:v>0.02942598187311174</x:v>
      </x:c>
      <x:c r="N111" s="39" t="n">
        <x:f>IF(A111&lt;=$J$5,ABS(L111-D111),0)</x:f>
        <x:v>0</x:v>
      </x:c>
    </x:row>
    <x:row r="112">
      <x:c r="A112" s="39" t="n">
        <x:v>61</x:v>
      </x:c>
      <x:c r="B112" s="39" t="n">
        <x:v>5</x:v>
      </x:c>
      <x:c r="C112" s="39" t="n">
        <x:v>7</x:v>
      </x:c>
      <x:c r="D112" s="80" t="n">
        <x:v>245950</x:v>
      </x:c>
      <x:c r="E112" s="81" t="n">
        <x:v>0.5439589057820288</x:v>
      </x:c>
      <x:c r="F112" s="81" t="n">
        <x:v>0.43017226761280103</x:v>
      </x:c>
      <x:c r="G112" s="81" t="n">
        <x:v>0</x:v>
      </x:c>
      <x:c r="H112" s="81" t="n">
        <x:v>0.2514490051982918</x:v>
      </x:c>
      <x:c r="I112" s="81" t="n">
        <x:v>0</x:v>
      </x:c>
      <x:c r="J112" s="81" t="n">
        <x:v>0.3769527365252459</x:v>
      </x:c>
      <x:c r="K112" s="83" t="n">
        <x:v>5</x:v>
      </x:c>
      <x:c r="L112" s="80" t="n">
        <x:f>'玩家战力_节点'!AU72</x:f>
        <x:v>175325</x:v>
      </x:c>
      <x:c r="M112" s="82" t="n">
        <x:f>L112/L111-1</x:f>
        <x:v>0.02908375887773662</x:v>
      </x:c>
      <x:c r="N112" s="39" t="n">
        <x:f>IF(A112&lt;=$J$5,ABS(L112-D112),0)</x:f>
        <x:v>0</x:v>
      </x:c>
    </x:row>
    <x:row r="113">
      <x:c r="A113" s="39" t="n">
        <x:v>62</x:v>
      </x:c>
      <x:c r="B113" s="39" t="n">
        <x:v>5</x:v>
      </x:c>
      <x:c r="C113" s="39" t="n">
        <x:v>8</x:v>
      </x:c>
      <x:c r="D113" s="80" t="n">
        <x:v>254150</x:v>
      </x:c>
      <x:c r="E113" s="81" t="n">
        <x:v>0.5496673408725952</x:v>
      </x:c>
      <x:c r="F113" s="81" t="n">
        <x:v>0.4358470792788104</x:v>
      </x:c>
      <x:c r="G113" s="81" t="n">
        <x:v>0</x:v>
      </x:c>
      <x:c r="H113" s="81" t="n">
        <x:v>0.25877946465107177</x:v>
      </x:c>
      <x:c r="I113" s="81" t="n">
        <x:v>0</x:v>
      </x:c>
      <x:c r="J113" s="81" t="n">
        <x:v>0.38374682089611506</x:v>
      </x:c>
      <x:c r="K113" s="83" t="n">
        <x:v>5</x:v>
      </x:c>
      <x:c r="L113" s="80" t="n">
        <x:f>'玩家战力_节点'!AU73</x:f>
        <x:v>180360</x:v>
      </x:c>
      <x:c r="M113" s="82" t="n">
        <x:f>L113/L112-1</x:f>
        <x:v>0.028718094966490693</x:v>
      </x:c>
      <x:c r="N113" s="39" t="n">
        <x:f>IF(A113&lt;=$J$5,ABS(L113-D113),0)</x:f>
        <x:v>0</x:v>
      </x:c>
    </x:row>
    <x:row r="114">
      <x:c r="A114" s="39" t="n">
        <x:v>63</x:v>
      </x:c>
      <x:c r="B114" s="39" t="n">
        <x:v>5</x:v>
      </x:c>
      <x:c r="C114" s="39" t="n">
        <x:v>9</x:v>
      </x:c>
      <x:c r="D114" s="80" t="n">
        <x:v>262515</x:v>
      </x:c>
      <x:c r="E114" s="81" t="n">
        <x:v>0.5553757759631615</x:v>
      </x:c>
      <x:c r="F114" s="81" t="n">
        <x:v>0.4415218909448197</x:v>
      </x:c>
      <x:c r="G114" s="81" t="n">
        <x:v>0</x:v>
      </x:c>
      <x:c r="H114" s="81" t="n">
        <x:v>0.2661099241038517</x:v>
      </x:c>
      <x:c r="I114" s="81" t="n">
        <x:v>0</x:v>
      </x:c>
      <x:c r="J114" s="81" t="n">
        <x:v>0.39054090526698426</x:v>
      </x:c>
      <x:c r="K114" s="83" t="n">
        <x:v>5</x:v>
      </x:c>
      <x:c r="L114" s="80" t="n">
        <x:f>'玩家战力_节点'!AU74</x:f>
        <x:v>185475</x:v>
      </x:c>
      <x:c r="M114" s="82" t="n">
        <x:f>L114/L113-1</x:f>
        <x:v>0.02835994677312037</x:v>
      </x:c>
      <x:c r="N114" s="39" t="n">
        <x:f>IF(A114&lt;=$J$5,ABS(L114-D114),0)</x:f>
        <x:v>0</x:v>
      </x:c>
    </x:row>
    <x:row r="115">
      <x:c r="A115" s="39" t="n">
        <x:v>64</x:v>
      </x:c>
      <x:c r="B115" s="39" t="n">
        <x:v>5</x:v>
      </x:c>
      <x:c r="C115" s="39" t="n">
        <x:v>10</x:v>
      </x:c>
      <x:c r="D115" s="80" t="n">
        <x:v>271035</x:v>
      </x:c>
      <x:c r="E115" s="81" t="n">
        <x:v>0.5610842110537277</x:v>
      </x:c>
      <x:c r="F115" s="81" t="n">
        <x:v>0.44719670261082906</x:v>
      </x:c>
      <x:c r="G115" s="81" t="n">
        <x:v>0</x:v>
      </x:c>
      <x:c r="H115" s="81" t="n">
        <x:v>0.2734403835566317</x:v>
      </x:c>
      <x:c r="I115" s="81" t="n">
        <x:v>0</x:v>
      </x:c>
      <x:c r="J115" s="81" t="n">
        <x:v>0.3973349896378534</x:v>
      </x:c>
      <x:c r="K115" s="83" t="n">
        <x:v>5</x:v>
      </x:c>
      <x:c r="L115" s="80" t="n">
        <x:f>'玩家战力_节点'!AU75</x:f>
        <x:v>190675</x:v>
      </x:c>
      <x:c r="M115" s="82" t="n">
        <x:f>L115/L114-1</x:f>
        <x:v>0.028036123466774532</x:v>
      </x:c>
      <x:c r="N115" s="39" t="n">
        <x:f>IF(A115&lt;=$J$5,ABS(L115-D115),0)</x:f>
        <x:v>0</x:v>
      </x:c>
    </x:row>
    <x:row r="116">
      <x:c r="A116" s="39" t="n">
        <x:v>65</x:v>
      </x:c>
      <x:c r="B116" s="39" t="n">
        <x:v>5</x:v>
      </x:c>
      <x:c r="C116" s="39" t="n">
        <x:v>11</x:v>
      </x:c>
      <x:c r="D116" s="80" t="n">
        <x:v>281650</x:v>
      </x:c>
      <x:c r="E116" s="81" t="n">
        <x:v>0.5662168327444578</x:v>
      </x:c>
      <x:c r="F116" s="81" t="n">
        <x:v>0.45211846374023984</x:v>
      </x:c>
      <x:c r="G116" s="81" t="n">
        <x:v>0.0126546796151641</x:v>
      </x:c>
      <x:c r="H116" s="81" t="n">
        <x:v>0.27979808712792664</x:v>
      </x:c>
      <x:c r="I116" s="81" t="n">
        <x:v>0</x:v>
      </x:c>
      <x:c r="J116" s="81" t="n">
        <x:v>0.4032274953868584</x:v>
      </x:c>
      <x:c r="K116" s="83" t="n">
        <x:v>5</x:v>
      </x:c>
      <x:c r="L116" s="80" t="n">
        <x:f>'玩家战力_节点'!AU76</x:f>
        <x:v>197235</x:v>
      </x:c>
      <x:c r="M116" s="82" t="n">
        <x:f>L116/L115-1</x:f>
        <x:v>0.03440409073030026</x:v>
      </x:c>
      <x:c r="N116" s="39" t="n">
        <x:f>IF(A116&lt;=$J$5,ABS(L116-D116),0)</x:f>
        <x:v>0</x:v>
      </x:c>
    </x:row>
    <x:row r="117">
      <x:c r="A117" s="39" t="n">
        <x:v>66</x:v>
      </x:c>
      <x:c r="B117" s="39" t="n">
        <x:v>5</x:v>
      </x:c>
      <x:c r="C117" s="39" t="n">
        <x:v>12</x:v>
      </x:c>
      <x:c r="D117" s="80" t="n">
        <x:v>292475</x:v>
      </x:c>
      <x:c r="E117" s="81" t="n">
        <x:v>0.5713494544351878</x:v>
      </x:c>
      <x:c r="F117" s="81" t="n">
        <x:v>0.4570402248696506</x:v>
      </x:c>
      <x:c r="G117" s="81" t="n">
        <x:v>0.0253093592303282</x:v>
      </x:c>
      <x:c r="H117" s="81" t="n">
        <x:v>0.2861557906992216</x:v>
      </x:c>
      <x:c r="I117" s="81" t="n">
        <x:v>0</x:v>
      </x:c>
      <x:c r="J117" s="81" t="n">
        <x:v>0.4091200011358634</x:v>
      </x:c>
      <x:c r="K117" s="83" t="n">
        <x:v>5</x:v>
      </x:c>
      <x:c r="L117" s="80" t="n">
        <x:f>'玩家战力_节点'!AU77</x:f>
        <x:v>203900</x:v>
      </x:c>
      <x:c r="M117" s="82" t="n">
        <x:f>L117/L116-1</x:f>
        <x:v>0.03379217684488056</x:v>
      </x:c>
      <x:c r="N117" s="39" t="n">
        <x:f>IF(A117&lt;=$J$5,ABS(L117-D117),0)</x:f>
        <x:v>0</x:v>
      </x:c>
    </x:row>
    <x:row r="118">
      <x:c r="A118" s="39" t="n">
        <x:v>67</x:v>
      </x:c>
      <x:c r="B118" s="39" t="n">
        <x:v>5</x:v>
      </x:c>
      <x:c r="C118" s="39" t="n">
        <x:v>13</x:v>
      </x:c>
      <x:c r="D118" s="80" t="n">
        <x:v>303510</x:v>
      </x:c>
      <x:c r="E118" s="81" t="n">
        <x:v>0.5764820761259177</x:v>
      </x:c>
      <x:c r="F118" s="81" t="n">
        <x:v>0.46196198599906146</x:v>
      </x:c>
      <x:c r="G118" s="81" t="n">
        <x:v>0.0379640388454923</x:v>
      </x:c>
      <x:c r="H118" s="81" t="n">
        <x:v>0.2925134942705165</x:v>
      </x:c>
      <x:c r="I118" s="81" t="n">
        <x:v>0</x:v>
      </x:c>
      <x:c r="J118" s="81" t="n">
        <x:v>0.4150125068848684</x:v>
      </x:c>
      <x:c r="K118" s="83" t="n">
        <x:v>5</x:v>
      </x:c>
      <x:c r="L118" s="80" t="n">
        <x:f>'玩家战力_节点'!AU78</x:f>
        <x:v>210675</x:v>
      </x:c>
      <x:c r="M118" s="82" t="n">
        <x:f>L118/L117-1</x:f>
        <x:v>0.03322707209416387</x:v>
      </x:c>
      <x:c r="N118" s="39" t="n">
        <x:f>IF(A118&lt;=$J$5,ABS(L118-D118),0)</x:f>
        <x:v>0</x:v>
      </x:c>
    </x:row>
    <x:row r="119">
      <x:c r="A119" s="39" t="n">
        <x:v>68</x:v>
      </x:c>
      <x:c r="B119" s="39" t="n">
        <x:v>5</x:v>
      </x:c>
      <x:c r="C119" s="39" t="n">
        <x:v>14</x:v>
      </x:c>
      <x:c r="D119" s="80" t="n">
        <x:v>314755</x:v>
      </x:c>
      <x:c r="E119" s="81" t="n">
        <x:v>0.5816146978166478</x:v>
      </x:c>
      <x:c r="F119" s="81" t="n">
        <x:v>0.46688374712847225</x:v>
      </x:c>
      <x:c r="G119" s="81" t="n">
        <x:v>0.0506187184606564</x:v>
      </x:c>
      <x:c r="H119" s="81" t="n">
        <x:v>0.29887119784181143</x:v>
      </x:c>
      <x:c r="I119" s="81" t="n">
        <x:v>0</x:v>
      </x:c>
      <x:c r="J119" s="81" t="n">
        <x:v>0.4209050126338734</x:v>
      </x:c>
      <x:c r="K119" s="83" t="n">
        <x:v>5</x:v>
      </x:c>
      <x:c r="L119" s="80" t="n">
        <x:f>'玩家战力_节点'!AU79</x:f>
        <x:v>217560</x:v>
      </x:c>
      <x:c r="M119" s="82" t="n">
        <x:f>L119/L118-1</x:f>
        <x:v>0.03268066927732294</x:v>
      </x:c>
      <x:c r="N119" s="39" t="n">
        <x:f>IF(A119&lt;=$J$5,ABS(L119-D119),0)</x:f>
        <x:v>0</x:v>
      </x:c>
    </x:row>
    <x:row r="120">
      <x:c r="A120" s="39" t="n">
        <x:v>69</x:v>
      </x:c>
      <x:c r="B120" s="39" t="n">
        <x:v>5</x:v>
      </x:c>
      <x:c r="C120" s="39" t="n">
        <x:v>15</x:v>
      </x:c>
      <x:c r="D120" s="80" t="n">
        <x:v>326215</x:v>
      </x:c>
      <x:c r="E120" s="81" t="n">
        <x:v>0.5867473195073778</x:v>
      </x:c>
      <x:c r="F120" s="81" t="n">
        <x:v>0.4718055082578831</x:v>
      </x:c>
      <x:c r="G120" s="81" t="n">
        <x:v>0.0632733980758205</x:v>
      </x:c>
      <x:c r="H120" s="81" t="n">
        <x:v>0.3052289014131064</x:v>
      </x:c>
      <x:c r="I120" s="81" t="n">
        <x:v>0</x:v>
      </x:c>
      <x:c r="J120" s="81" t="n">
        <x:v>0.4267975183828784</x:v>
      </x:c>
      <x:c r="K120" s="83" t="n">
        <x:v>5</x:v>
      </x:c>
      <x:c r="L120" s="80" t="n">
        <x:f>'玩家战力_节点'!AU80</x:f>
        <x:v>224560</x:v>
      </x:c>
      <x:c r="M120" s="82" t="n">
        <x:f>L120/L119-1</x:f>
        <x:v>0.03217503217503226</x:v>
      </x:c>
      <x:c r="N120" s="39" t="n">
        <x:f>IF(A120&lt;=$J$5,ABS(L120-D120),0)</x:f>
        <x:v>0</x:v>
      </x:c>
    </x:row>
    <x:row r="121">
      <x:c r="A121" s="39" t="n">
        <x:v>70</x:v>
      </x:c>
      <x:c r="B121" s="39" t="n">
        <x:v>6</x:v>
      </x:c>
      <x:c r="C121" s="39" t="n">
        <x:v>1</x:v>
      </x:c>
      <x:c r="D121" s="80" t="n">
        <x:v>337210</x:v>
      </x:c>
      <x:c r="E121" s="81" t="n">
        <x:v>0.5916513001692629</x:v>
      </x:c>
      <x:c r="F121" s="81" t="n">
        <x:v>0.476435940332237</x:v>
      </x:c>
      <x:c r="G121" s="81" t="n">
        <x:v>0.0751790214573723</x:v>
      </x:c>
      <x:c r="H121" s="81" t="n">
        <x:v>0.3112102795746425</x:v>
      </x:c>
      <x:c r="I121" s="81" t="n">
        <x:v>0</x:v>
      </x:c>
      <x:c r="J121" s="81" t="n">
        <x:v>0.4323412347277173</x:v>
      </x:c>
      <x:c r="K121" s="83" t="n">
        <x:v>5</x:v>
      </x:c>
      <x:c r="L121" s="80" t="n">
        <x:f>'玩家战力_节点'!AU81</x:f>
        <x:v>231250</x:v>
      </x:c>
      <x:c r="M121" s="82" t="n">
        <x:f>L121/L120-1</x:f>
        <x:v>0.029791592447452775</x:v>
      </x:c>
      <x:c r="N121" s="39" t="n">
        <x:f>IF(A121&lt;=$J$5,ABS(L121-D121),0)</x:f>
        <x:v>0</x:v>
      </x:c>
    </x:row>
    <x:row r="122">
      <x:c r="A122" s="39" t="n">
        <x:v>71</x:v>
      </x:c>
      <x:c r="B122" s="39" t="n">
        <x:v>6</x:v>
      </x:c>
      <x:c r="C122" s="39" t="n">
        <x:v>2</x:v>
      </x:c>
      <x:c r="D122" s="80" t="n">
        <x:v>346880</x:v>
      </x:c>
      <x:c r="E122" s="81" t="n">
        <x:v>0.5960378815957509</x:v>
      </x:c>
      <x:c r="F122" s="81" t="n">
        <x:v>0.48042854522813244</x:v>
      </x:c>
      <x:c r="G122" s="81" t="n">
        <x:v>0.08544468337370771</x:v>
      </x:c>
      <x:c r="H122" s="81" t="n">
        <x:v>0.31636774206377444</x:v>
      </x:c>
      <x:c r="I122" s="81" t="n">
        <x:v>0</x:v>
      </x:c>
      <x:c r="J122" s="81" t="n">
        <x:v>0.4371213219127664</x:v>
      </x:c>
      <x:c r="K122" s="83" t="n">
        <x:v>5</x:v>
      </x:c>
      <x:c r="L122" s="80" t="n">
        <x:f>'玩家战力_节点'!AU82</x:f>
        <x:v>237125</x:v>
      </x:c>
      <x:c r="M122" s="82" t="n">
        <x:f>L122/L121-1</x:f>
        <x:v>0.025405405405405368</x:v>
      </x:c>
      <x:c r="N122" s="39" t="n">
        <x:f>IF(A122&lt;=$J$5,ABS(L122-D122),0)</x:f>
        <x:v>0</x:v>
      </x:c>
    </x:row>
    <x:row r="123">
      <x:c r="A123" s="39" t="n">
        <x:v>72</x:v>
      </x:c>
      <x:c r="B123" s="39" t="n">
        <x:v>6</x:v>
      </x:c>
      <x:c r="C123" s="39" t="n">
        <x:v>3</x:v>
      </x:c>
      <x:c r="D123" s="80" t="n">
        <x:v>356695</x:v>
      </x:c>
      <x:c r="E123" s="81" t="n">
        <x:v>0.600424463022239</x:v>
      </x:c>
      <x:c r="F123" s="81" t="n">
        <x:v>0.4844211501240278</x:v>
      </x:c>
      <x:c r="G123" s="81" t="n">
        <x:v>0.09571034529004312</x:v>
      </x:c>
      <x:c r="H123" s="81" t="n">
        <x:v>0.3215252045529064</x:v>
      </x:c>
      <x:c r="I123" s="81" t="n">
        <x:v>0</x:v>
      </x:c>
      <x:c r="J123" s="81" t="n">
        <x:v>0.44190140909781567</x:v>
      </x:c>
      <x:c r="K123" s="83" t="n">
        <x:v>5</x:v>
      </x:c>
      <x:c r="L123" s="80" t="n">
        <x:f>'玩家战力_节点'!AU83</x:f>
        <x:v>243070</x:v>
      </x:c>
      <x:c r="M123" s="82" t="n">
        <x:f>L123/L122-1</x:f>
        <x:v>0.02507116499736428</x:v>
      </x:c>
      <x:c r="N123" s="39" t="n">
        <x:f>IF(A123&lt;=$J$5,ABS(L123-D123),0)</x:f>
        <x:v>0</x:v>
      </x:c>
    </x:row>
    <x:row r="124">
      <x:c r="A124" s="39" t="n">
        <x:v>73</x:v>
      </x:c>
      <x:c r="B124" s="39" t="n">
        <x:v>6</x:v>
      </x:c>
      <x:c r="C124" s="39" t="n">
        <x:v>4</x:v>
      </x:c>
      <x:c r="D124" s="80" t="n">
        <x:v>366655</x:v>
      </x:c>
      <x:c r="E124" s="81" t="n">
        <x:v>0.6048110444487269</x:v>
      </x:c>
      <x:c r="F124" s="81" t="n">
        <x:v>0.48841375501992323</x:v>
      </x:c>
      <x:c r="G124" s="81" t="n">
        <x:v>0.10597600720637852</x:v>
      </x:c>
      <x:c r="H124" s="81" t="n">
        <x:v>0.3266826670420384</x:v>
      </x:c>
      <x:c r="I124" s="81" t="n">
        <x:v>0</x:v>
      </x:c>
      <x:c r="J124" s="81" t="n">
        <x:v>0.44668149628286485</x:v>
      </x:c>
      <x:c r="K124" s="83" t="n">
        <x:v>5</x:v>
      </x:c>
      <x:c r="L124" s="80" t="n">
        <x:f>'玩家战力_节点'!AU84</x:f>
        <x:v>249095</x:v>
      </x:c>
      <x:c r="M124" s="82" t="n">
        <x:f>L124/L123-1</x:f>
        <x:v>0.024787098366725546</x:v>
      </x:c>
      <x:c r="N124" s="39" t="n">
        <x:f>IF(A124&lt;=$J$5,ABS(L124-D124),0)</x:f>
        <x:v>0</x:v>
      </x:c>
    </x:row>
    <x:row r="125">
      <x:c r="A125" s="39" t="n">
        <x:v>74</x:v>
      </x:c>
      <x:c r="B125" s="39" t="n">
        <x:v>6</x:v>
      </x:c>
      <x:c r="C125" s="39" t="n">
        <x:v>5</x:v>
      </x:c>
      <x:c r="D125" s="80" t="n">
        <x:v>376760</x:v>
      </x:c>
      <x:c r="E125" s="81" t="n">
        <x:v>0.6091976258752149</x:v>
      </x:c>
      <x:c r="F125" s="81" t="n">
        <x:v>0.4924063599158187</x:v>
      </x:c>
      <x:c r="G125" s="81" t="n">
        <x:v>0.11624166912271393</x:v>
      </x:c>
      <x:c r="H125" s="81" t="n">
        <x:v>0.3318401295311703</x:v>
      </x:c>
      <x:c r="I125" s="81" t="n">
        <x:v>0</x:v>
      </x:c>
      <x:c r="J125" s="81" t="n">
        <x:v>0.451461583467914</x:v>
      </x:c>
      <x:c r="K125" s="83" t="n">
        <x:v>5</x:v>
      </x:c>
      <x:c r="L125" s="80" t="n">
        <x:f>'玩家战力_节点'!AU85</x:f>
        <x:v>255195</x:v>
      </x:c>
      <x:c r="M125" s="82" t="n">
        <x:f>L125/L124-1</x:f>
        <x:v>0.02448864890905078</x:v>
      </x:c>
      <x:c r="N125" s="39" t="n">
        <x:f>IF(A125&lt;=$J$5,ABS(L125-D125),0)</x:f>
        <x:v>0</x:v>
      </x:c>
    </x:row>
    <x:row r="126">
      <x:c r="A126" s="39" t="n">
        <x:v>75</x:v>
      </x:c>
      <x:c r="B126" s="39" t="n">
        <x:v>6</x:v>
      </x:c>
      <x:c r="C126" s="39" t="n">
        <x:v>6</x:v>
      </x:c>
      <x:c r="D126" s="80" t="n">
        <x:v>387015</x:v>
      </x:c>
      <x:c r="E126" s="81" t="n">
        <x:v>0.6135842073017028</x:v>
      </x:c>
      <x:c r="F126" s="81" t="n">
        <x:v>0.49639896481171414</x:v>
      </x:c>
      <x:c r="G126" s="81" t="n">
        <x:v>0.12650733103904935</x:v>
      </x:c>
      <x:c r="H126" s="81" t="n">
        <x:v>0.33699759202030233</x:v>
      </x:c>
      <x:c r="I126" s="81" t="n">
        <x:v>0</x:v>
      </x:c>
      <x:c r="J126" s="81" t="n">
        <x:v>0.45624167065296317</x:v>
      </x:c>
      <x:c r="K126" s="83" t="n">
        <x:v>5</x:v>
      </x:c>
      <x:c r="L126" s="80" t="n">
        <x:f>'玩家战力_节点'!AU86</x:f>
        <x:v>261365</x:v>
      </x:c>
      <x:c r="M126" s="82" t="n">
        <x:f>L126/L125-1</x:f>
        <x:v>0.024177589686318335</x:v>
      </x:c>
      <x:c r="N126" s="39" t="n">
        <x:f>IF(A126&lt;=$J$5,ABS(L126-D126),0)</x:f>
        <x:v>0</x:v>
      </x:c>
    </x:row>
    <x:row r="127">
      <x:c r="A127" s="39" t="n">
        <x:v>76</x:v>
      </x:c>
      <x:c r="B127" s="39" t="n">
        <x:v>6</x:v>
      </x:c>
      <x:c r="C127" s="39" t="n">
        <x:v>7</x:v>
      </x:c>
      <x:c r="D127" s="80" t="n">
        <x:v>397415</x:v>
      </x:c>
      <x:c r="E127" s="81" t="n">
        <x:v>0.6179707887281909</x:v>
      </x:c>
      <x:c r="F127" s="81" t="n">
        <x:v>0.5003915697076096</x:v>
      </x:c>
      <x:c r="G127" s="81" t="n">
        <x:v>0.13677299295538475</x:v>
      </x:c>
      <x:c r="H127" s="81" t="n">
        <x:v>0.3421550545094343</x:v>
      </x:c>
      <x:c r="I127" s="81" t="n">
        <x:v>0</x:v>
      </x:c>
      <x:c r="J127" s="81" t="n">
        <x:v>0.4610217578380124</x:v>
      </x:c>
      <x:c r="K127" s="83" t="n">
        <x:v>5</x:v>
      </x:c>
      <x:c r="L127" s="80" t="n">
        <x:f>'玩家战力_节点'!AU87</x:f>
        <x:v>267615</x:v>
      </x:c>
      <x:c r="M127" s="82" t="n">
        <x:f>L127/L126-1</x:f>
        <x:v>0.023912918715206732</x:v>
      </x:c>
      <x:c r="N127" s="39" t="n">
        <x:f>IF(A127&lt;=$J$5,ABS(L127-D127),0)</x:f>
        <x:v>0</x:v>
      </x:c>
    </x:row>
    <x:row r="128">
      <x:c r="A128" s="39" t="n">
        <x:v>77</x:v>
      </x:c>
      <x:c r="B128" s="39" t="n">
        <x:v>6</x:v>
      </x:c>
      <x:c r="C128" s="39" t="n">
        <x:v>8</x:v>
      </x:c>
      <x:c r="D128" s="80" t="n">
        <x:v>407965</x:v>
      </x:c>
      <x:c r="E128" s="81" t="n">
        <x:v>0.6223573701546788</x:v>
      </x:c>
      <x:c r="F128" s="81" t="n">
        <x:v>0.5043841746035049</x:v>
      </x:c>
      <x:c r="G128" s="81" t="n">
        <x:v>0.14703865487172016</x:v>
      </x:c>
      <x:c r="H128" s="81" t="n">
        <x:v>0.3473125169985663</x:v>
      </x:c>
      <x:c r="I128" s="81" t="n">
        <x:v>0</x:v>
      </x:c>
      <x:c r="J128" s="81" t="n">
        <x:v>0.46580184502306154</x:v>
      </x:c>
      <x:c r="K128" s="83" t="n">
        <x:v>5</x:v>
      </x:c>
      <x:c r="L128" s="80" t="n">
        <x:f>'玩家战力_节点'!AU88</x:f>
        <x:v>273940</x:v>
      </x:c>
      <x:c r="M128" s="82" t="n">
        <x:f>L128/L127-1</x:f>
        <x:v>0.02363469910132099</x:v>
      </x:c>
      <x:c r="N128" s="39" t="n">
        <x:f>IF(A128&lt;=$J$5,ABS(L128-D128),0)</x:f>
        <x:v>0</x:v>
      </x:c>
    </x:row>
    <x:row r="129">
      <x:c r="A129" s="39" t="n">
        <x:v>78</x:v>
      </x:c>
      <x:c r="B129" s="39" t="n">
        <x:v>6</x:v>
      </x:c>
      <x:c r="C129" s="39" t="n">
        <x:v>9</x:v>
      </x:c>
      <x:c r="D129" s="80" t="n">
        <x:v>418665</x:v>
      </x:c>
      <x:c r="E129" s="81" t="n">
        <x:v>0.6267439515811669</x:v>
      </x:c>
      <x:c r="F129" s="81" t="n">
        <x:v>0.5083767794994004</x:v>
      </x:c>
      <x:c r="G129" s="81" t="n">
        <x:v>0.15730431678805556</x:v>
      </x:c>
      <x:c r="H129" s="81" t="n">
        <x:v>0.35246997948769826</x:v>
      </x:c>
      <x:c r="I129" s="81" t="n">
        <x:v>0</x:v>
      </x:c>
      <x:c r="J129" s="81" t="n">
        <x:v>0.47058193220811073</x:v>
      </x:c>
      <x:c r="K129" s="83" t="n">
        <x:v>5</x:v>
      </x:c>
      <x:c r="L129" s="80" t="n">
        <x:f>'玩家战力_节点'!AU89</x:f>
        <x:v>280345</x:v>
      </x:c>
      <x:c r="M129" s="82" t="n">
        <x:f>L129/L128-1</x:f>
        <x:v>0.023381032342848718</x:v>
      </x:c>
      <x:c r="N129" s="39" t="n">
        <x:f>IF(A129&lt;=$J$5,ABS(L129-D129),0)</x:f>
        <x:v>0</x:v>
      </x:c>
    </x:row>
    <x:row r="130">
      <x:c r="A130" s="39" t="n">
        <x:v>79</x:v>
      </x:c>
      <x:c r="B130" s="39" t="n">
        <x:v>6</x:v>
      </x:c>
      <x:c r="C130" s="39" t="n">
        <x:v>10</x:v>
      </x:c>
      <x:c r="D130" s="80" t="n">
        <x:v>429515</x:v>
      </x:c>
      <x:c r="E130" s="81" t="n">
        <x:v>0.6311305330076549</x:v>
      </x:c>
      <x:c r="F130" s="81" t="n">
        <x:v>0.5123693843952958</x:v>
      </x:c>
      <x:c r="G130" s="81" t="n">
        <x:v>0.16756997870439097</x:v>
      </x:c>
      <x:c r="H130" s="81" t="n">
        <x:v>0.3576274419768302</x:v>
      </x:c>
      <x:c r="I130" s="81" t="n">
        <x:v>0</x:v>
      </x:c>
      <x:c r="J130" s="81" t="n">
        <x:v>0.47536201939316</x:v>
      </x:c>
      <x:c r="K130" s="83" t="n">
        <x:v>5</x:v>
      </x:c>
      <x:c r="L130" s="80" t="n">
        <x:f>'玩家战力_节点'!AU90</x:f>
        <x:v>286825</x:v>
      </x:c>
      <x:c r="M130" s="82" t="n">
        <x:f>L130/L129-1</x:f>
        <x:v>0.023114376928427438</x:v>
      </x:c>
      <x:c r="N130" s="39" t="n">
        <x:f>IF(A130&lt;=$J$5,ABS(L130-D130),0)</x:f>
        <x:v>0</x:v>
      </x:c>
    </x:row>
    <x:row r="131">
      <x:c r="A131" s="39" t="n">
        <x:v>80</x:v>
      </x:c>
      <x:c r="B131" s="39" t="n">
        <x:v>6</x:v>
      </x:c>
      <x:c r="C131" s="39" t="n">
        <x:v>11</x:v>
      </x:c>
      <x:c r="D131" s="80" t="n">
        <x:v>440515</x:v>
      </x:c>
      <x:c r="E131" s="81" t="n">
        <x:v>0.6355171144341429</x:v>
      </x:c>
      <x:c r="F131" s="81" t="n">
        <x:v>0.5163619892911913</x:v>
      </x:c>
      <x:c r="G131" s="81" t="n">
        <x:v>0.17783564062072638</x:v>
      </x:c>
      <x:c r="H131" s="81" t="n">
        <x:v>0.36278490446596223</x:v>
      </x:c>
      <x:c r="I131" s="81" t="n">
        <x:v>0</x:v>
      </x:c>
      <x:c r="J131" s="81" t="n">
        <x:v>0.48014210657820916</x:v>
      </x:c>
      <x:c r="K131" s="83" t="n">
        <x:v>5</x:v>
      </x:c>
      <x:c r="L131" s="80" t="n">
        <x:f>'玩家战力_节点'!AU91</x:f>
        <x:v>293380</x:v>
      </x:c>
      <x:c r="M131" s="82" t="n">
        <x:f>L131/L130-1</x:f>
        <x:v>0.02285365641070336</x:v>
      </x:c>
      <x:c r="N131" s="39" t="n">
        <x:f>IF(A131&lt;=$J$5,ABS(L131-D131),0)</x:f>
        <x:v>0</x:v>
      </x:c>
    </x:row>
    <x:row r="132">
      <x:c r="A132" s="39" t="n">
        <x:v>81</x:v>
      </x:c>
      <x:c r="B132" s="39" t="n">
        <x:v>6</x:v>
      </x:c>
      <x:c r="C132" s="39" t="n">
        <x:v>12</x:v>
      </x:c>
      <x:c r="D132" s="80" t="n">
        <x:v>451665</x:v>
      </x:c>
      <x:c r="E132" s="81" t="n">
        <x:v>0.6399036958606308</x:v>
      </x:c>
      <x:c r="F132" s="81" t="n">
        <x:v>0.5203545941870866</x:v>
      </x:c>
      <x:c r="G132" s="81" t="n">
        <x:v>0.18810130253706178</x:v>
      </x:c>
      <x:c r="H132" s="81" t="n">
        <x:v>0.36794236695509414</x:v>
      </x:c>
      <x:c r="I132" s="81" t="n">
        <x:v>0</x:v>
      </x:c>
      <x:c r="J132" s="81" t="n">
        <x:v>0.4849221937632583</x:v>
      </x:c>
      <x:c r="K132" s="83" t="n">
        <x:v>5</x:v>
      </x:c>
      <x:c r="L132" s="80" t="n">
        <x:f>'玩家战力_节点'!AU92</x:f>
        <x:v>300015</x:v>
      </x:c>
      <x:c r="M132" s="82" t="n">
        <x:f>L132/L131-1</x:f>
        <x:v>0.02261572022632774</x:v>
      </x:c>
      <x:c r="N132" s="39" t="n">
        <x:f>IF(A132&lt;=$J$5,ABS(L132-D132),0)</x:f>
        <x:v>0</x:v>
      </x:c>
    </x:row>
    <x:row r="133">
      <x:c r="A133" s="39" t="n">
        <x:v>82</x:v>
      </x:c>
      <x:c r="B133" s="39" t="n">
        <x:v>6</x:v>
      </x:c>
      <x:c r="C133" s="39" t="n">
        <x:v>13</x:v>
      </x:c>
      <x:c r="D133" s="80" t="n">
        <x:v>462970</x:v>
      </x:c>
      <x:c r="E133" s="81" t="n">
        <x:v>0.6442902772871189</x:v>
      </x:c>
      <x:c r="F133" s="81" t="n">
        <x:v>0.5243471990829821</x:v>
      </x:c>
      <x:c r="G133" s="81" t="n">
        <x:v>0.19836696445339716</x:v>
      </x:c>
      <x:c r="H133" s="81" t="n">
        <x:v>0.37309982944422615</x:v>
      </x:c>
      <x:c r="I133" s="81" t="n">
        <x:v>0</x:v>
      </x:c>
      <x:c r="J133" s="81" t="n">
        <x:v>0.4897022809483075</x:v>
      </x:c>
      <x:c r="K133" s="83" t="n">
        <x:v>5</x:v>
      </x:c>
      <x:c r="L133" s="80" t="n">
        <x:f>'玩家战力_节点'!AU93</x:f>
        <x:v>306730</x:v>
      </x:c>
      <x:c r="M133" s="82" t="n">
        <x:f>L133/L132-1</x:f>
        <x:v>0.02238221422262221</x:v>
      </x:c>
      <x:c r="N133" s="39" t="n">
        <x:f>IF(A133&lt;=$J$5,ABS(L133-D133),0)</x:f>
        <x:v>0</x:v>
      </x:c>
    </x:row>
    <x:row r="134">
      <x:c r="A134" s="39" t="n">
        <x:v>83</x:v>
      </x:c>
      <x:c r="B134" s="39" t="n">
        <x:v>6</x:v>
      </x:c>
      <x:c r="C134" s="39" t="n">
        <x:v>14</x:v>
      </x:c>
      <x:c r="D134" s="80" t="n">
        <x:v>474430</x:v>
      </x:c>
      <x:c r="E134" s="81" t="n">
        <x:v>0.6486768587136068</x:v>
      </x:c>
      <x:c r="F134" s="81" t="n">
        <x:v>0.5283398039788775</x:v>
      </x:c>
      <x:c r="G134" s="81" t="n">
        <x:v>0.2086326263697326</x:v>
      </x:c>
      <x:c r="H134" s="81" t="n">
        <x:v>0.37825729193335816</x:v>
      </x:c>
      <x:c r="I134" s="81" t="n">
        <x:v>0</x:v>
      </x:c>
      <x:c r="J134" s="81" t="n">
        <x:v>0.4944823681333567</x:v>
      </x:c>
      <x:c r="K134" s="83" t="n">
        <x:v>5</x:v>
      </x:c>
      <x:c r="L134" s="80" t="n">
        <x:f>'玩家战力_节点'!AU94</x:f>
        <x:v>313520</x:v>
      </x:c>
      <x:c r="M134" s="82" t="n">
        <x:f>L134/L133-1</x:f>
        <x:v>0.022136732631304445</x:v>
      </x:c>
      <x:c r="N134" s="39" t="n">
        <x:f>IF(A134&lt;=$J$5,ABS(L134-D134),0)</x:f>
        <x:v>0</x:v>
      </x:c>
    </x:row>
    <x:row r="135">
      <x:c r="A135" s="39" t="n">
        <x:v>84</x:v>
      </x:c>
      <x:c r="B135" s="39" t="n">
        <x:v>6</x:v>
      </x:c>
      <x:c r="C135" s="39" t="n">
        <x:v>15</x:v>
      </x:c>
      <x:c r="D135" s="80" t="n">
        <x:v>486040</x:v>
      </x:c>
      <x:c r="E135" s="81" t="n">
        <x:v>0.6530634401400949</x:v>
      </x:c>
      <x:c r="F135" s="81" t="n">
        <x:v>0.532332408874773</x:v>
      </x:c>
      <x:c r="G135" s="81" t="n">
        <x:v>0.218898288286068</x:v>
      </x:c>
      <x:c r="H135" s="81" t="n">
        <x:v>0.3834147544224901</x:v>
      </x:c>
      <x:c r="I135" s="81" t="n">
        <x:v>0</x:v>
      </x:c>
      <x:c r="J135" s="81" t="n">
        <x:v>0.49926245531840585</x:v>
      </x:c>
      <x:c r="K135" s="83" t="n">
        <x:v>5</x:v>
      </x:c>
      <x:c r="L135" s="80" t="n">
        <x:f>'玩家战力_节点'!AU95</x:f>
        <x:v>320390</x:v>
      </x:c>
      <x:c r="M135" s="82" t="n">
        <x:f>L135/L134-1</x:f>
        <x:v>0.02191247767287563</x:v>
      </x:c>
      <x:c r="N135" s="39" t="n">
        <x:f>IF(A135&lt;=$J$5,ABS(L135-D135),0)</x:f>
        <x:v>0</x:v>
      </x:c>
    </x:row>
    <x:row r="136">
      <x:c r="A136" s="39" t="n">
        <x:v>85</x:v>
      </x:c>
      <x:c r="B136" s="39" t="n">
        <x:v>7</x:v>
      </x:c>
      <x:c r="C136" s="39" t="n">
        <x:v>1</x:v>
      </x:c>
      <x:c r="D136" s="80" t="n">
        <x:v>496155</x:v>
      </x:c>
      <x:c r="E136" s="81" t="n">
        <x:v>0.6569726789924889</x:v>
      </x:c>
      <x:c r="F136" s="81" t="n">
        <x:v>0.535752302936789</x:v>
      </x:c>
      <x:c r="G136" s="81" t="n">
        <x:v>0.227691413863415</x:v>
      </x:c>
      <x:c r="H136" s="81" t="n">
        <x:v>0.3878324155238395</x:v>
      </x:c>
      <x:c r="I136" s="81" t="n">
        <x:v>0</x:v>
      </x:c>
      <x:c r="J136" s="81" t="n">
        <x:v>0.5033568729245338</x:v>
      </x:c>
      <x:c r="K136" s="83" t="n">
        <x:v>5</x:v>
      </x:c>
      <x:c r="L136" s="80" t="n">
        <x:f>'玩家战力_节点'!AU96</x:f>
        <x:v>326365</x:v>
      </x:c>
      <x:c r="M136" s="82" t="n">
        <x:f>L136/L135-1</x:f>
        <x:v>0.018649146352882395</x:v>
      </x:c>
      <x:c r="N136" s="39" t="n">
        <x:f>IF(A136&lt;=$J$5,ABS(L136-D136),0)</x:f>
        <x:v>0</x:v>
      </x:c>
    </x:row>
    <x:row r="137">
      <x:c r="A137" s="39" t="n">
        <x:v>86</x:v>
      </x:c>
      <x:c r="B137" s="39" t="n">
        <x:v>7</x:v>
      </x:c>
      <x:c r="C137" s="39" t="n">
        <x:v>2</x:v>
      </x:c>
      <x:c r="D137" s="80" t="n">
        <x:v>505005</x:v>
      </x:c>
      <x:c r="E137" s="81" t="n">
        <x:v>0.6604694698087533</x:v>
      </x:c>
      <x:c r="F137" s="81" t="n">
        <x:v>0.5387011175519681</x:v>
      </x:c>
      <x:c r="G137" s="81" t="n">
        <x:v>0.2352733145730239</x:v>
      </x:c>
      <x:c r="H137" s="81" t="n">
        <x:v>0.391641557966365</x:v>
      </x:c>
      <x:c r="I137" s="81" t="n">
        <x:v>0</x:v>
      </x:c>
      <x:c r="J137" s="81" t="n">
        <x:v>0.5068872976273623</x:v>
      </x:c>
      <x:c r="K137" s="83" t="n">
        <x:v>5</x:v>
      </x:c>
      <x:c r="L137" s="80" t="n">
        <x:f>'玩家战力_节点'!AU97</x:f>
        <x:v>331580</x:v>
      </x:c>
      <x:c r="M137" s="82" t="n">
        <x:f>L137/L136-1</x:f>
        <x:v>0.015979041870298527</x:v>
      </x:c>
      <x:c r="N137" s="39" t="n">
        <x:f>IF(A137&lt;=$J$5,ABS(L137-D137),0)</x:f>
        <x:v>0</x:v>
      </x:c>
    </x:row>
    <x:row r="138">
      <x:c r="A138" s="39" t="n">
        <x:v>87</x:v>
      </x:c>
      <x:c r="B138" s="39" t="n">
        <x:v>7</x:v>
      </x:c>
      <x:c r="C138" s="39" t="n">
        <x:v>3</x:v>
      </x:c>
      <x:c r="D138" s="80" t="n">
        <x:v>513940</x:v>
      </x:c>
      <x:c r="E138" s="81" t="n">
        <x:v>0.6639662606250178</x:v>
      </x:c>
      <x:c r="F138" s="81" t="n">
        <x:v>0.5416499321671472</x:v>
      </x:c>
      <x:c r="G138" s="81" t="n">
        <x:v>0.24285521528263282</x:v>
      </x:c>
      <x:c r="H138" s="81" t="n">
        <x:v>0.39545070040889047</x:v>
      </x:c>
      <x:c r="I138" s="81" t="n">
        <x:v>0</x:v>
      </x:c>
      <x:c r="J138" s="81" t="n">
        <x:v>0.5104177223301907</x:v>
      </x:c>
      <x:c r="K138" s="83" t="n">
        <x:v>5</x:v>
      </x:c>
      <x:c r="L138" s="80" t="n">
        <x:f>'玩家战力_节点'!AU98</x:f>
        <x:v>336840</x:v>
      </x:c>
      <x:c r="M138" s="82" t="n">
        <x:f>L138/L137-1</x:f>
        <x:v>0.015863441703359626</x:v>
      </x:c>
      <x:c r="N138" s="39" t="n">
        <x:f>IF(A138&lt;=$J$5,ABS(L138-D138),0)</x:f>
        <x:v>0</x:v>
      </x:c>
    </x:row>
    <x:row r="139">
      <x:c r="A139" s="39" t="n">
        <x:v>88</x:v>
      </x:c>
      <x:c r="B139" s="39" t="n">
        <x:v>7</x:v>
      </x:c>
      <x:c r="C139" s="39" t="n">
        <x:v>4</x:v>
      </x:c>
      <x:c r="D139" s="80" t="n">
        <x:v>522960</x:v>
      </x:c>
      <x:c r="E139" s="81" t="n">
        <x:v>0.6674630514412823</x:v>
      </x:c>
      <x:c r="F139" s="81" t="n">
        <x:v>0.5445987467823262</x:v>
      </x:c>
      <x:c r="G139" s="81" t="n">
        <x:v>0.2504371159922418</x:v>
      </x:c>
      <x:c r="H139" s="81" t="n">
        <x:v>0.39925984285141597</x:v>
      </x:c>
      <x:c r="I139" s="81" t="n">
        <x:v>0</x:v>
      </x:c>
      <x:c r="J139" s="81" t="n">
        <x:v>0.5139481470330193</x:v>
      </x:c>
      <x:c r="K139" s="83" t="n">
        <x:v>5</x:v>
      </x:c>
      <x:c r="L139" s="80" t="n">
        <x:f>'玩家战力_节点'!AU99</x:f>
        <x:v>342145</x:v>
      </x:c>
      <x:c r="M139" s="82" t="n">
        <x:f>L139/L138-1</x:f>
        <x:v>0.01574931718323236</x:v>
      </x:c>
      <x:c r="N139" s="39" t="n">
        <x:f>IF(A139&lt;=$J$5,ABS(L139-D139),0)</x:f>
        <x:v>0</x:v>
      </x:c>
    </x:row>
    <x:row r="140">
      <x:c r="A140" s="39" t="n">
        <x:v>89</x:v>
      </x:c>
      <x:c r="B140" s="39" t="n">
        <x:v>7</x:v>
      </x:c>
      <x:c r="C140" s="39" t="n">
        <x:v>5</x:v>
      </x:c>
      <x:c r="D140" s="80" t="n">
        <x:v>532070</x:v>
      </x:c>
      <x:c r="E140" s="81" t="n">
        <x:v>0.6709598422575467</x:v>
      </x:c>
      <x:c r="F140" s="81" t="n">
        <x:v>0.5475475613975053</x:v>
      </x:c>
      <x:c r="G140" s="81" t="n">
        <x:v>0.2580190167018507</x:v>
      </x:c>
      <x:c r="H140" s="81" t="n">
        <x:v>0.40306898529394153</x:v>
      </x:c>
      <x:c r="I140" s="81" t="n">
        <x:v>0</x:v>
      </x:c>
      <x:c r="J140" s="81" t="n">
        <x:v>0.5174785717358478</x:v>
      </x:c>
      <x:c r="K140" s="83" t="n">
        <x:v>5</x:v>
      </x:c>
      <x:c r="L140" s="80" t="n">
        <x:f>'玩家战力_节点'!AU100</x:f>
        <x:v>347495</x:v>
      </x:c>
      <x:c r="M140" s="82" t="n">
        <x:f>L140/L139-1</x:f>
        <x:v>0.015636645281971173</x:v>
      </x:c>
      <x:c r="N140" s="39" t="n">
        <x:f>IF(A140&lt;=$J$5,ABS(L140-D140),0)</x:f>
        <x:v>0</x:v>
      </x:c>
    </x:row>
    <x:row r="141">
      <x:c r="A141" s="39" t="n">
        <x:v>90</x:v>
      </x:c>
      <x:c r="B141" s="39" t="n">
        <x:v>7</x:v>
      </x:c>
      <x:c r="C141" s="39" t="n">
        <x:v>6</x:v>
      </x:c>
      <x:c r="D141" s="80" t="n">
        <x:v>541270</x:v>
      </x:c>
      <x:c r="E141" s="81" t="n">
        <x:v>0.674456633073811</x:v>
      </x:c>
      <x:c r="F141" s="81" t="n">
        <x:v>0.5504963760126844</x:v>
      </x:c>
      <x:c r="G141" s="81" t="n">
        <x:v>0.26560091741145964</x:v>
      </x:c>
      <x:c r="H141" s="81" t="n">
        <x:v>0.406878127736467</x:v>
      </x:c>
      <x:c r="I141" s="81" t="n">
        <x:v>0</x:v>
      </x:c>
      <x:c r="J141" s="81" t="n">
        <x:v>0.5210089964386762</x:v>
      </x:c>
      <x:c r="K141" s="83" t="n">
        <x:v>5</x:v>
      </x:c>
      <x:c r="L141" s="80" t="n">
        <x:f>'玩家战力_节点'!AU101</x:f>
        <x:v>352890</x:v>
      </x:c>
      <x:c r="M141" s="82" t="n">
        <x:f>L141/L140-1</x:f>
        <x:v>0.015525403243212166</x:v>
      </x:c>
      <x:c r="N141" s="39" t="n">
        <x:f>IF(A141&lt;=$J$5,ABS(L141-D141),0)</x:f>
        <x:v>0</x:v>
      </x:c>
    </x:row>
    <x:row r="142">
      <x:c r="A142" s="39" t="n">
        <x:v>91</x:v>
      </x:c>
      <x:c r="B142" s="39" t="n">
        <x:v>7</x:v>
      </x:c>
      <x:c r="C142" s="39" t="n">
        <x:v>7</x:v>
      </x:c>
      <x:c r="D142" s="80" t="n">
        <x:v>550555</x:v>
      </x:c>
      <x:c r="E142" s="81" t="n">
        <x:v>0.6779534238900755</x:v>
      </x:c>
      <x:c r="F142" s="81" t="n">
        <x:v>0.5534451906278635</x:v>
      </x:c>
      <x:c r="G142" s="81" t="n">
        <x:v>0.27318281812106854</x:v>
      </x:c>
      <x:c r="H142" s="81" t="n">
        <x:v>0.4106872701789925</x:v>
      </x:c>
      <x:c r="I142" s="81" t="n">
        <x:v>0</x:v>
      </x:c>
      <x:c r="J142" s="81" t="n">
        <x:v>0.5245394211415048</x:v>
      </x:c>
      <x:c r="K142" s="83" t="n">
        <x:v>5</x:v>
      </x:c>
      <x:c r="L142" s="80" t="n">
        <x:f>'玩家战力_节点'!AU102</x:f>
        <x:v>358330</x:v>
      </x:c>
      <x:c r="M142" s="82" t="n">
        <x:f>L142/L141-1</x:f>
        <x:v>0.015415568590779083</x:v>
      </x:c>
      <x:c r="N142" s="39" t="n">
        <x:f>IF(A142&lt;=$J$5,ABS(L142-D142),0)</x:f>
        <x:v>0</x:v>
      </x:c>
    </x:row>
    <x:row r="143">
      <x:c r="A143" s="39" t="n">
        <x:v>92</x:v>
      </x:c>
      <x:c r="B143" s="39" t="n">
        <x:v>7</x:v>
      </x:c>
      <x:c r="C143" s="39" t="n">
        <x:v>8</x:v>
      </x:c>
      <x:c r="D143" s="80" t="n">
        <x:v>559930</x:v>
      </x:c>
      <x:c r="E143" s="81" t="n">
        <x:v>0.6814502147063399</x:v>
      </x:c>
      <x:c r="F143" s="81" t="n">
        <x:v>0.5563940052430425</x:v>
      </x:c>
      <x:c r="G143" s="81" t="n">
        <x:v>0.2807647188306775</x:v>
      </x:c>
      <x:c r="H143" s="81" t="n">
        <x:v>0.414496412621518</x:v>
      </x:c>
      <x:c r="I143" s="81" t="n">
        <x:v>0</x:v>
      </x:c>
      <x:c r="J143" s="81" t="n">
        <x:v>0.5280698458443333</x:v>
      </x:c>
      <x:c r="K143" s="83" t="n">
        <x:v>5</x:v>
      </x:c>
      <x:c r="L143" s="80" t="n">
        <x:f>'玩家战力_节点'!AU103</x:f>
        <x:v>363815</x:v>
      </x:c>
      <x:c r="M143" s="82" t="n">
        <x:f>L143/L142-1</x:f>
        <x:v>0.01530711913599192</x:v>
      </x:c>
      <x:c r="N143" s="39" t="n">
        <x:f>IF(A143&lt;=$J$5,ABS(L143-D143),0)</x:f>
        <x:v>0</x:v>
      </x:c>
    </x:row>
    <x:row r="144">
      <x:c r="A144" s="39" t="n">
        <x:v>93</x:v>
      </x:c>
      <x:c r="B144" s="39" t="n">
        <x:v>7</x:v>
      </x:c>
      <x:c r="C144" s="39" t="n">
        <x:v>9</x:v>
      </x:c>
      <x:c r="D144" s="80" t="n">
        <x:v>569395</x:v>
      </x:c>
      <x:c r="E144" s="81" t="n">
        <x:v>0.6849470055226043</x:v>
      </x:c>
      <x:c r="F144" s="81" t="n">
        <x:v>0.5593428198582215</x:v>
      </x:c>
      <x:c r="G144" s="81" t="n">
        <x:v>0.2883466195402864</x:v>
      </x:c>
      <x:c r="H144" s="81" t="n">
        <x:v>0.41830555506404343</x:v>
      </x:c>
      <x:c r="I144" s="81" t="n">
        <x:v>0</x:v>
      </x:c>
      <x:c r="J144" s="81" t="n">
        <x:v>0.5316002705471616</x:v>
      </x:c>
      <x:c r="K144" s="83" t="n">
        <x:v>5</x:v>
      </x:c>
      <x:c r="L144" s="80" t="n">
        <x:f>'玩家战力_节点'!AU104</x:f>
        <x:v>369345</x:v>
      </x:c>
      <x:c r="M144" s="82" t="n">
        <x:f>L144/L143-1</x:f>
        <x:v>0.015200032983796685</x:v>
      </x:c>
      <x:c r="N144" s="39" t="n">
        <x:f>IF(A144&lt;=$J$5,ABS(L144-D144),0)</x:f>
        <x:v>0</x:v>
      </x:c>
    </x:row>
    <x:row r="145">
      <x:c r="A145" s="39" t="n">
        <x:v>94</x:v>
      </x:c>
      <x:c r="B145" s="39" t="n">
        <x:v>7</x:v>
      </x:c>
      <x:c r="C145" s="39" t="n">
        <x:v>10</x:v>
      </x:c>
      <x:c r="D145" s="80" t="n">
        <x:v>578950</x:v>
      </x:c>
      <x:c r="E145" s="81" t="n">
        <x:v>0.6884437963388688</x:v>
      </x:c>
      <x:c r="F145" s="81" t="n">
        <x:v>0.5622916344734006</x:v>
      </x:c>
      <x:c r="G145" s="81" t="n">
        <x:v>0.29592852024989535</x:v>
      </x:c>
      <x:c r="H145" s="81" t="n">
        <x:v>0.42211469750656894</x:v>
      </x:c>
      <x:c r="I145" s="81" t="n">
        <x:v>0</x:v>
      </x:c>
      <x:c r="J145" s="81" t="n">
        <x:v>0.5351306952499901</x:v>
      </x:c>
      <x:c r="K145" s="83" t="n">
        <x:v>5</x:v>
      </x:c>
      <x:c r="L145" s="80" t="n">
        <x:f>'玩家战力_节点'!AU105</x:f>
        <x:v>374920</x:v>
      </x:c>
      <x:c r="M145" s="82" t="n">
        <x:f>L145/L144-1</x:f>
        <x:v>0.015094288537816913</x:v>
      </x:c>
      <x:c r="N145" s="39" t="n">
        <x:f>IF(A145&lt;=$J$5,ABS(L145-D145),0)</x:f>
        <x:v>0</x:v>
      </x:c>
    </x:row>
    <x:row r="146">
      <x:c r="A146" s="39" t="n">
        <x:v>95</x:v>
      </x:c>
      <x:c r="B146" s="39" t="n">
        <x:v>7</x:v>
      </x:c>
      <x:c r="C146" s="39" t="n">
        <x:v>11</x:v>
      </x:c>
      <x:c r="D146" s="80" t="n">
        <x:v>588590</x:v>
      </x:c>
      <x:c r="E146" s="81" t="n">
        <x:v>0.6919405871551332</x:v>
      </x:c>
      <x:c r="F146" s="81" t="n">
        <x:v>0.5652404490885797</x:v>
      </x:c>
      <x:c r="G146" s="81" t="n">
        <x:v>0.30351042095950426</x:v>
      </x:c>
      <x:c r="H146" s="81" t="n">
        <x:v>0.4259238399490944</x:v>
      </x:c>
      <x:c r="I146" s="81" t="n">
        <x:v>0</x:v>
      </x:c>
      <x:c r="J146" s="81" t="n">
        <x:v>0.5386611199528186</x:v>
      </x:c>
      <x:c r="K146" s="83" t="n">
        <x:v>5</x:v>
      </x:c>
      <x:c r="L146" s="80" t="n">
        <x:f>'玩家战力_节点'!AU106</x:f>
        <x:v>380540</x:v>
      </x:c>
      <x:c r="M146" s="82" t="n">
        <x:f>L146/L145-1</x:f>
        <x:v>0.01498986450442752</x:v>
      </x:c>
      <x:c r="N146" s="39" t="n">
        <x:f>IF(A146&lt;=$J$5,ABS(L146-D146),0)</x:f>
        <x:v>0</x:v>
      </x:c>
    </x:row>
    <x:row r="147">
      <x:c r="A147" s="39" t="n">
        <x:v>96</x:v>
      </x:c>
      <x:c r="B147" s="39" t="n">
        <x:v>7</x:v>
      </x:c>
      <x:c r="C147" s="39" t="n">
        <x:v>12</x:v>
      </x:c>
      <x:c r="D147" s="80" t="n">
        <x:v>598325</x:v>
      </x:c>
      <x:c r="E147" s="81" t="n">
        <x:v>0.6954373779713976</x:v>
      </x:c>
      <x:c r="F147" s="81" t="n">
        <x:v>0.5681892637037588</x:v>
      </x:c>
      <x:c r="G147" s="81" t="n">
        <x:v>0.3110923216691132</x:v>
      </x:c>
      <x:c r="H147" s="81" t="n">
        <x:v>0.42973298239161994</x:v>
      </x:c>
      <x:c r="I147" s="81" t="n">
        <x:v>0</x:v>
      </x:c>
      <x:c r="J147" s="81" t="n">
        <x:v>0.5421915446556471</x:v>
      </x:c>
      <x:c r="K147" s="83" t="n">
        <x:v>5</x:v>
      </x:c>
      <x:c r="L147" s="80" t="n">
        <x:f>'玩家战力_节点'!AU107</x:f>
        <x:v>386205</x:v>
      </x:c>
      <x:c r="M147" s="82" t="n">
        <x:f>L147/L146-1</x:f>
        <x:v>0.014886739895937362</x:v>
      </x:c>
      <x:c r="N147" s="39" t="n">
        <x:f>IF(A147&lt;=$J$5,ABS(L147-D147),0)</x:f>
        <x:v>0</x:v>
      </x:c>
    </x:row>
    <x:row r="148">
      <x:c r="A148" s="39" t="n">
        <x:v>97</x:v>
      </x:c>
      <x:c r="B148" s="39" t="n">
        <x:v>7</x:v>
      </x:c>
      <x:c r="C148" s="39" t="n">
        <x:v>13</x:v>
      </x:c>
      <x:c r="D148" s="80" t="n">
        <x:v>608145</x:v>
      </x:c>
      <x:c r="E148" s="81" t="n">
        <x:v>0.698934168787662</x:v>
      </x:c>
      <x:c r="F148" s="81" t="n">
        <x:v>0.5711380783189378</x:v>
      </x:c>
      <x:c r="G148" s="81" t="n">
        <x:v>0.31867422237872217</x:v>
      </x:c>
      <x:c r="H148" s="81" t="n">
        <x:v>0.43354212483414545</x:v>
      </x:c>
      <x:c r="I148" s="81" t="n">
        <x:v>0</x:v>
      </x:c>
      <x:c r="J148" s="81" t="n">
        <x:v>0.5457219693584756</x:v>
      </x:c>
      <x:c r="K148" s="83" t="n">
        <x:v>5</x:v>
      </x:c>
      <x:c r="L148" s="80" t="n">
        <x:f>'玩家战力_节点'!AU108</x:f>
        <x:v>391915</x:v>
      </x:c>
      <x:c r="M148" s="82" t="n">
        <x:f>L148/L147-1</x:f>
        <x:v>0.014784894032961793</x:v>
      </x:c>
      <x:c r="N148" s="39" t="n">
        <x:f>IF(A148&lt;=$J$5,ABS(L148-D148),0)</x:f>
        <x:v>0</x:v>
      </x:c>
    </x:row>
    <x:row r="149">
      <x:c r="A149" s="39" t="n">
        <x:v>98</x:v>
      </x:c>
      <x:c r="B149" s="39" t="n">
        <x:v>7</x:v>
      </x:c>
      <x:c r="C149" s="39" t="n">
        <x:v>14</x:v>
      </x:c>
      <x:c r="D149" s="80" t="n">
        <x:v>618060</x:v>
      </x:c>
      <x:c r="E149" s="81" t="n">
        <x:v>0.7024309596039264</x:v>
      </x:c>
      <x:c r="F149" s="81" t="n">
        <x:v>0.5740868929341169</x:v>
      </x:c>
      <x:c r="G149" s="81" t="n">
        <x:v>0.32625612308833113</x:v>
      </x:c>
      <x:c r="H149" s="81" t="n">
        <x:v>0.4373512672766709</x:v>
      </x:c>
      <x:c r="I149" s="81" t="n">
        <x:v>0</x:v>
      </x:c>
      <x:c r="J149" s="81" t="n">
        <x:v>0.5492523940613041</x:v>
      </x:c>
      <x:c r="K149" s="83" t="n">
        <x:v>5</x:v>
      </x:c>
      <x:c r="L149" s="80" t="n">
        <x:f>'玩家战力_节点'!AU109</x:f>
        <x:v>397670</x:v>
      </x:c>
      <x:c r="M149" s="82" t="n">
        <x:f>L149/L148-1</x:f>
        <x:v>0.014684306546062231</x:v>
      </x:c>
      <x:c r="N149" s="39" t="n">
        <x:f>IF(A149&lt;=$J$5,ABS(L149-D149),0)</x:f>
        <x:v>0</x:v>
      </x:c>
    </x:row>
    <x:row r="150">
      <x:c r="A150" s="39" t="n">
        <x:v>99</x:v>
      </x:c>
      <x:c r="B150" s="39" t="n">
        <x:v>7</x:v>
      </x:c>
      <x:c r="C150" s="39" t="n">
        <x:v>15</x:v>
      </x:c>
      <x:c r="D150" s="80" t="n">
        <x:v>628065</x:v>
      </x:c>
      <x:c r="E150" s="81" t="n">
        <x:v>0.7059277504201908</x:v>
      </x:c>
      <x:c r="F150" s="81" t="n">
        <x:v>0.577035707549296</x:v>
      </x:c>
      <x:c r="G150" s="81" t="n">
        <x:v>0.33383802379794</x:v>
      </x:c>
      <x:c r="H150" s="81" t="n">
        <x:v>0.4411604097191964</x:v>
      </x:c>
      <x:c r="I150" s="81" t="n">
        <x:v>0</x:v>
      </x:c>
      <x:c r="J150" s="81" t="n">
        <x:v>0.5527828187641326</x:v>
      </x:c>
      <x:c r="K150" s="83" t="n">
        <x:v>5</x:v>
      </x:c>
      <x:c r="L150" s="80" t="n">
        <x:f>'玩家战力_节点'!AU110</x:f>
        <x:v>403470</x:v>
      </x:c>
      <x:c r="M150" s="82" t="n">
        <x:f>L150/L149-1</x:f>
        <x:v>0.014584957376719387</x:v>
      </x:c>
      <x:c r="N150" s="39" t="n">
        <x:f>IF(A150&lt;=$J$5,ABS(L150-D150),0)</x:f>
        <x:v>0</x:v>
      </x:c>
    </x:row>
    <x:row r="151">
      <x:c r="A151" s="39" t="n">
        <x:v>100</x:v>
      </x:c>
      <x:c r="B151" s="39" t="n">
        <x:v>8</x:v>
      </x:c>
      <x:c r="C151" s="39" t="n">
        <x:v>1</x:v>
      </x:c>
      <x:c r="D151" s="80" t="n">
        <x:v>636745</x:v>
      </x:c>
      <x:c r="E151" s="81" t="n">
        <x:v>0.7090440246183839</x:v>
      </x:c>
      <x:c r="F151" s="81" t="n">
        <x:v>0.5795615356378221</x:v>
      </x:c>
      <x:c r="G151" s="81" t="n">
        <x:v>0.340332354665049</x:v>
      </x:c>
      <x:c r="H151" s="81" t="n">
        <x:v>0.444423157714611</x:v>
      </x:c>
      <x:c r="I151" s="81" t="n">
        <x:v>0</x:v>
      </x:c>
      <x:c r="J151" s="81" t="n">
        <x:v>0.5558068291013472</x:v>
      </x:c>
      <x:c r="K151" s="83" t="n">
        <x:v>5</x:v>
      </x:c>
      <x:c r="L151" s="80" t="n">
        <x:f>'玩家战力_节点'!AU111</x:f>
        <x:v>408500</x:v>
      </x:c>
      <x:c r="M151" s="82" t="n">
        <x:f>L151/L150-1</x:f>
        <x:v>0.012466850075594227</x:v>
      </x:c>
      <x:c r="N151" s="39" t="n">
        <x:f>IF(A151&lt;=$J$5,ABS(L151-D151),0)</x:f>
        <x:v>0</x:v>
      </x:c>
    </x:row>
    <x:row r="152">
      <x:c r="A152" s="39" t="n">
        <x:v>101</x:v>
      </x:c>
      <x:c r="B152" s="39" t="n">
        <x:v>8</x:v>
      </x:c>
      <x:c r="C152" s="39" t="n">
        <x:v>2</x:v>
      </x:c>
      <x:c r="D152" s="80" t="n">
        <x:v>649735</x:v>
      </x:c>
      <x:c r="E152" s="81" t="n">
        <x:v>0.7118315132852707</x:v>
      </x:c>
      <x:c r="F152" s="81" t="n">
        <x:v>0.5817394390020226</x:v>
      </x:c>
      <x:c r="G152" s="81" t="n">
        <x:v>0.3459321122684914</x:v>
      </x:c>
      <x:c r="H152" s="81" t="n">
        <x:v>0.44723647263023564</x:v>
      </x:c>
      <x:c r="I152" s="81" t="n">
        <x:v>0.011754028866336856</x:v>
      </x:c>
      <x:c r="J152" s="81" t="n">
        <x:v>0.5584142917060724</x:v>
      </x:c>
      <x:c r="K152" s="83" t="n">
        <x:v>5</x:v>
      </x:c>
      <x:c r="L152" s="80" t="n">
        <x:f>'玩家战力_节点'!AU112</x:f>
        <x:v>417380</x:v>
      </x:c>
      <x:c r="M152" s="82" t="n">
        <x:f>L152/L151-1</x:f>
        <x:v>0.02173806609547113</x:v>
      </x:c>
      <x:c r="N152" s="39" t="n">
        <x:f>IF(A152&lt;=$J$5,ABS(L152-D152),0)</x:f>
        <x:v>0</x:v>
      </x:c>
    </x:row>
    <x:row r="153">
      <x:c r="A153" s="39" t="n">
        <x:v>102</x:v>
      </x:c>
      <x:c r="B153" s="39" t="n">
        <x:v>8</x:v>
      </x:c>
      <x:c r="C153" s="39" t="n">
        <x:v>3</x:v>
      </x:c>
      <x:c r="D153" s="80" t="n">
        <x:v>662865</x:v>
      </x:c>
      <x:c r="E153" s="81" t="n">
        <x:v>0.7146190019521577</x:v>
      </x:c>
      <x:c r="F153" s="81" t="n">
        <x:v>0.5839173423662231</x:v>
      </x:c>
      <x:c r="G153" s="81" t="n">
        <x:v>0.3515318698719339</x:v>
      </x:c>
      <x:c r="H153" s="81" t="n">
        <x:v>0.4500497875458602</x:v>
      </x:c>
      <x:c r="I153" s="81" t="n">
        <x:v>0.023508057732673712</x:v>
      </x:c>
      <x:c r="J153" s="81" t="n">
        <x:v>0.5610217543107975</x:v>
      </x:c>
      <x:c r="K153" s="83" t="n">
        <x:v>5</x:v>
      </x:c>
      <x:c r="L153" s="80" t="n">
        <x:f>'玩家战力_节点'!AU113</x:f>
        <x:v>426360</x:v>
      </x:c>
      <x:c r="M153" s="82" t="n">
        <x:f>L153/L152-1</x:f>
        <x:v>0.02151516603574688</x:v>
      </x:c>
      <x:c r="N153" s="39" t="n">
        <x:f>IF(A153&lt;=$J$5,ABS(L153-D153),0)</x:f>
        <x:v>0</x:v>
      </x:c>
    </x:row>
    <x:row r="154">
      <x:c r="A154" s="39" t="n">
        <x:v>103</x:v>
      </x:c>
      <x:c r="B154" s="39" t="n">
        <x:v>8</x:v>
      </x:c>
      <x:c r="C154" s="39" t="n">
        <x:v>4</x:v>
      </x:c>
      <x:c r="D154" s="80" t="n">
        <x:v>676135</x:v>
      </x:c>
      <x:c r="E154" s="81" t="n">
        <x:v>0.7174064906190445</x:v>
      </x:c>
      <x:c r="F154" s="81" t="n">
        <x:v>0.5860952457304236</x:v>
      </x:c>
      <x:c r="G154" s="81" t="n">
        <x:v>0.3571316274753763</x:v>
      </x:c>
      <x:c r="H154" s="81" t="n">
        <x:v>0.45286310246148487</x:v>
      </x:c>
      <x:c r="I154" s="81" t="n">
        <x:v>0.03526208659901057</x:v>
      </x:c>
      <x:c r="J154" s="81" t="n">
        <x:v>0.5636292169155228</x:v>
      </x:c>
      <x:c r="K154" s="83" t="n">
        <x:v>5</x:v>
      </x:c>
      <x:c r="L154" s="80" t="n">
        <x:f>'玩家战力_节点'!AU114</x:f>
        <x:v>435440</x:v>
      </x:c>
      <x:c r="M154" s="82" t="n">
        <x:f>L154/L153-1</x:f>
        <x:v>0.0212965569002721</x:v>
      </x:c>
      <x:c r="N154" s="39" t="n">
        <x:f>IF(A154&lt;=$J$5,ABS(L154-D154),0)</x:f>
        <x:v>0</x:v>
      </x:c>
    </x:row>
    <x:row r="155">
      <x:c r="A155" s="39" t="n">
        <x:v>104</x:v>
      </x:c>
      <x:c r="B155" s="39" t="n">
        <x:v>8</x:v>
      </x:c>
      <x:c r="C155" s="39" t="n">
        <x:v>5</x:v>
      </x:c>
      <x:c r="D155" s="80" t="n">
        <x:v>689555</x:v>
      </x:c>
      <x:c r="E155" s="81" t="n">
        <x:v>0.7201939792859313</x:v>
      </x:c>
      <x:c r="F155" s="81" t="n">
        <x:v>0.588273149094624</x:v>
      </x:c>
      <x:c r="G155" s="81" t="n">
        <x:v>0.3627313850788187</x:v>
      </x:c>
      <x:c r="H155" s="81" t="n">
        <x:v>0.4556764173771094</x:v>
      </x:c>
      <x:c r="I155" s="81" t="n">
        <x:v>0.047016115465347424</x:v>
      </x:c>
      <x:c r="J155" s="81" t="n">
        <x:v>0.5662366795202479</x:v>
      </x:c>
      <x:c r="K155" s="83" t="n">
        <x:v>5</x:v>
      </x:c>
      <x:c r="L155" s="80" t="n">
        <x:f>'玩家战力_节点'!AU115</x:f>
        <x:v>444630</x:v>
      </x:c>
      <x:c r="M155" s="82" t="n">
        <x:f>L155/L154-1</x:f>
        <x:v>0.021105089105272867</x:v>
      </x:c>
      <x:c r="N155" s="39" t="n">
        <x:f>IF(A155&lt;=$J$5,ABS(L155-D155),0)</x:f>
        <x:v>0</x:v>
      </x:c>
    </x:row>
    <x:row r="156">
      <x:c r="A156" s="39" t="n">
        <x:v>105</x:v>
      </x:c>
      <x:c r="B156" s="39" t="n">
        <x:v>8</x:v>
      </x:c>
      <x:c r="C156" s="39" t="n">
        <x:v>6</x:v>
      </x:c>
      <x:c r="D156" s="80" t="n">
        <x:v>703115</x:v>
      </x:c>
      <x:c r="E156" s="81" t="n">
        <x:v>0.7229814679528181</x:v>
      </x:c>
      <x:c r="F156" s="81" t="n">
        <x:v>0.5904510524588246</x:v>
      </x:c>
      <x:c r="G156" s="81" t="n">
        <x:v>0.36833114268226114</x:v>
      </x:c>
      <x:c r="H156" s="81" t="n">
        <x:v>0.45848973229273404</x:v>
      </x:c>
      <x:c r="I156" s="81" t="n">
        <x:v>0.05877014433168428</x:v>
      </x:c>
      <x:c r="J156" s="81" t="n">
        <x:v>0.5688441421249731</x:v>
      </x:c>
      <x:c r="K156" s="83" t="n">
        <x:v>5</x:v>
      </x:c>
      <x:c r="L156" s="80" t="n">
        <x:f>'玩家战力_节点'!AU116</x:f>
        <x:v>453920</x:v>
      </x:c>
      <x:c r="M156" s="82" t="n">
        <x:f>L156/L155-1</x:f>
        <x:v>0.020893776848165846</x:v>
      </x:c>
      <x:c r="N156" s="39" t="n">
        <x:f>IF(A156&lt;=$J$5,ABS(L156-D156),0)</x:f>
        <x:v>0</x:v>
      </x:c>
    </x:row>
    <x:row r="157">
      <x:c r="A157" s="39" t="n">
        <x:v>106</x:v>
      </x:c>
      <x:c r="B157" s="39" t="n">
        <x:v>8</x:v>
      </x:c>
      <x:c r="C157" s="39" t="n">
        <x:v>7</x:v>
      </x:c>
      <x:c r="D157" s="80" t="n">
        <x:v>716820</x:v>
      </x:c>
      <x:c r="E157" s="81" t="n">
        <x:v>0.725768956619705</x:v>
      </x:c>
      <x:c r="F157" s="81" t="n">
        <x:v>0.592628955823025</x:v>
      </x:c>
      <x:c r="G157" s="81" t="n">
        <x:v>0.3739309002857036</x:v>
      </x:c>
      <x:c r="H157" s="81" t="n">
        <x:v>0.46130304720835863</x:v>
      </x:c>
      <x:c r="I157" s="81" t="n">
        <x:v>0.07052417319802114</x:v>
      </x:c>
      <x:c r="J157" s="81" t="n">
        <x:v>0.5714516047296982</x:v>
      </x:c>
      <x:c r="K157" s="83" t="n">
        <x:v>5</x:v>
      </x:c>
      <x:c r="L157" s="80" t="n">
        <x:f>'玩家战力_节点'!AU117</x:f>
        <x:v>463310</x:v>
      </x:c>
      <x:c r="M157" s="82" t="n">
        <x:f>L157/L156-1</x:f>
        <x:v>0.02068646457525558</x:v>
      </x:c>
      <x:c r="N157" s="39" t="n">
        <x:f>IF(A157&lt;=$J$5,ABS(L157-D157),0)</x:f>
        <x:v>0</x:v>
      </x:c>
    </x:row>
    <x:row r="158">
      <x:c r="A158" s="39" t="n">
        <x:v>107</x:v>
      </x:c>
      <x:c r="B158" s="39" t="n">
        <x:v>8</x:v>
      </x:c>
      <x:c r="C158" s="39" t="n">
        <x:v>8</x:v>
      </x:c>
      <x:c r="D158" s="80" t="n">
        <x:v>730670</x:v>
      </x:c>
      <x:c r="E158" s="81" t="n">
        <x:v>0.7285564452865919</x:v>
      </x:c>
      <x:c r="F158" s="81" t="n">
        <x:v>0.5948068591872255</x:v>
      </x:c>
      <x:c r="G158" s="81" t="n">
        <x:v>0.379530657889146</x:v>
      </x:c>
      <x:c r="H158" s="81" t="n">
        <x:v>0.4641163621239833</x:v>
      </x:c>
      <x:c r="I158" s="81" t="n">
        <x:v>0.082278202064358</x:v>
      </x:c>
      <x:c r="J158" s="81" t="n">
        <x:v>0.5740590673344236</x:v>
      </x:c>
      <x:c r="K158" s="83" t="n">
        <x:v>5</x:v>
      </x:c>
      <x:c r="L158" s="80" t="n">
        <x:f>'玩家战力_节点'!AU118</x:f>
        <x:v>472810</x:v>
      </x:c>
      <x:c r="M158" s="82" t="n">
        <x:f>L158/L157-1</x:f>
        <x:v>0.020504629729554802</x:v>
      </x:c>
      <x:c r="N158" s="39" t="n">
        <x:f>IF(A158&lt;=$J$5,ABS(L158-D158),0)</x:f>
        <x:v>0</x:v>
      </x:c>
    </x:row>
    <x:row r="159">
      <x:c r="A159" s="39" t="n">
        <x:v>108</x:v>
      </x:c>
      <x:c r="B159" s="39" t="n">
        <x:v>8</x:v>
      </x:c>
      <x:c r="C159" s="39" t="n">
        <x:v>9</x:v>
      </x:c>
      <x:c r="D159" s="80" t="n">
        <x:v>744665</x:v>
      </x:c>
      <x:c r="E159" s="81" t="n">
        <x:v>0.7313439339534787</x:v>
      </x:c>
      <x:c r="F159" s="81" t="n">
        <x:v>0.5969847625514261</x:v>
      </x:c>
      <x:c r="G159" s="81" t="n">
        <x:v>0.3851304154925884</x:v>
      </x:c>
      <x:c r="H159" s="81" t="n">
        <x:v>0.46692967703960786</x:v>
      </x:c>
      <x:c r="I159" s="81" t="n">
        <x:v>0.09403223093069485</x:v>
      </x:c>
      <x:c r="J159" s="81" t="n">
        <x:v>0.5766665299391488</x:v>
      </x:c>
      <x:c r="K159" s="83" t="n">
        <x:v>5</x:v>
      </x:c>
      <x:c r="L159" s="80" t="n">
        <x:f>'玩家战力_节点'!AU119</x:f>
        <x:v>482410</x:v>
      </x:c>
      <x:c r="M159" s="82" t="n">
        <x:f>L159/L158-1</x:f>
        <x:v>0.020304139083352712</x:v>
      </x:c>
      <x:c r="N159" s="39" t="n">
        <x:f>IF(A159&lt;=$J$5,ABS(L159-D159),0)</x:f>
        <x:v>0</x:v>
      </x:c>
    </x:row>
    <x:row r="160">
      <x:c r="A160" s="39" t="n">
        <x:v>109</x:v>
      </x:c>
      <x:c r="B160" s="39" t="n">
        <x:v>8</x:v>
      </x:c>
      <x:c r="C160" s="39" t="n">
        <x:v>10</x:v>
      </x:c>
      <x:c r="D160" s="80" t="n">
        <x:v>758805</x:v>
      </x:c>
      <x:c r="E160" s="81" t="n">
        <x:v>0.7341314226203656</x:v>
      </x:c>
      <x:c r="F160" s="81" t="n">
        <x:v>0.5991626659156265</x:v>
      </x:c>
      <x:c r="G160" s="81" t="n">
        <x:v>0.39073017309603086</x:v>
      </x:c>
      <x:c r="H160" s="81" t="n">
        <x:v>0.4697429919552325</x:v>
      </x:c>
      <x:c r="I160" s="81" t="n">
        <x:v>0.10578625979703173</x:v>
      </x:c>
      <x:c r="J160" s="81" t="n">
        <x:v>0.5792739925438739</x:v>
      </x:c>
      <x:c r="K160" s="83" t="n">
        <x:v>5</x:v>
      </x:c>
      <x:c r="L160" s="80" t="n">
        <x:f>'玩家战力_节点'!AU120</x:f>
        <x:v>492115</x:v>
      </x:c>
      <x:c r="M160" s="82" t="n">
        <x:f>L160/L159-1</x:f>
        <x:v>0.020117742169523778</x:v>
      </x:c>
      <x:c r="N160" s="39" t="n">
        <x:f>IF(A160&lt;=$J$5,ABS(L160-D160),0)</x:f>
        <x:v>0</x:v>
      </x:c>
    </x:row>
    <x:row r="161">
      <x:c r="A161" s="39" t="n">
        <x:v>110</x:v>
      </x:c>
      <x:c r="B161" s="39" t="n">
        <x:v>8</x:v>
      </x:c>
      <x:c r="C161" s="39" t="n">
        <x:v>11</x:v>
      </x:c>
      <x:c r="D161" s="80" t="n">
        <x:v>773090</x:v>
      </x:c>
      <x:c r="E161" s="81" t="n">
        <x:v>0.7369189112872525</x:v>
      </x:c>
      <x:c r="F161" s="81" t="n">
        <x:v>0.601340569279827</x:v>
      </x:c>
      <x:c r="G161" s="81" t="n">
        <x:v>0.3963299306994733</x:v>
      </x:c>
      <x:c r="H161" s="81" t="n">
        <x:v>0.47255630687085715</x:v>
      </x:c>
      <x:c r="I161" s="81" t="n">
        <x:v>0.11754028866336856</x:v>
      </x:c>
      <x:c r="J161" s="81" t="n">
        <x:v>0.5818814551485991</x:v>
      </x:c>
      <x:c r="K161" s="83" t="n">
        <x:v>5</x:v>
      </x:c>
      <x:c r="L161" s="80" t="n">
        <x:f>'玩家战力_节点'!AU121</x:f>
        <x:v>501930</x:v>
      </x:c>
      <x:c r="M161" s="82" t="n">
        <x:f>L161/L160-1</x:f>
        <x:v>0.019944525161801563</x:v>
      </x:c>
      <x:c r="N161" s="39" t="n">
        <x:f>IF(A161&lt;=$J$5,ABS(L161-D161),0)</x:f>
        <x:v>0</x:v>
      </x:c>
    </x:row>
    <x:row r="162">
      <x:c r="A162" s="39" t="n">
        <x:v>111</x:v>
      </x:c>
      <x:c r="B162" s="39" t="n">
        <x:v>8</x:v>
      </x:c>
      <x:c r="C162" s="39" t="n">
        <x:v>12</x:v>
      </x:c>
      <x:c r="D162" s="80" t="n">
        <x:v>787525</x:v>
      </x:c>
      <x:c r="E162" s="81" t="n">
        <x:v>0.7397063999541393</x:v>
      </x:c>
      <x:c r="F162" s="81" t="n">
        <x:v>0.6035184726440275</x:v>
      </x:c>
      <x:c r="G162" s="81" t="n">
        <x:v>0.4019296883029157</x:v>
      </x:c>
      <x:c r="H162" s="81" t="n">
        <x:v>0.4753696217864817</x:v>
      </x:c>
      <x:c r="I162" s="81" t="n">
        <x:v>0.12929431752970544</x:v>
      </x:c>
      <x:c r="J162" s="81" t="n">
        <x:v>0.5844889177533243</x:v>
      </x:c>
      <x:c r="K162" s="83" t="n">
        <x:v>5</x:v>
      </x:c>
      <x:c r="L162" s="80" t="n">
        <x:f>'玩家战力_节点'!AU122</x:f>
        <x:v>511845</x:v>
      </x:c>
      <x:c r="M162" s="82" t="n">
        <x:f>L162/L161-1</x:f>
        <x:v>0.019753750522981228</x:v>
      </x:c>
      <x:c r="N162" s="39" t="n">
        <x:f>IF(A162&lt;=$J$5,ABS(L162-D162),0)</x:f>
        <x:v>0</x:v>
      </x:c>
    </x:row>
    <x:row r="163">
      <x:c r="A163" s="39" t="n">
        <x:v>112</x:v>
      </x:c>
      <x:c r="B163" s="39" t="n">
        <x:v>8</x:v>
      </x:c>
      <x:c r="C163" s="39" t="n">
        <x:v>13</x:v>
      </x:c>
      <x:c r="D163" s="80" t="n">
        <x:v>802105</x:v>
      </x:c>
      <x:c r="E163" s="81" t="n">
        <x:v>0.7424938886210262</x:v>
      </x:c>
      <x:c r="F163" s="81" t="n">
        <x:v>0.605696376008228</x:v>
      </x:c>
      <x:c r="G163" s="81" t="n">
        <x:v>0.4075294459063581</x:v>
      </x:c>
      <x:c r="H163" s="81" t="n">
        <x:v>0.4781829367021063</x:v>
      </x:c>
      <x:c r="I163" s="81" t="n">
        <x:v>0.14104834639604227</x:v>
      </x:c>
      <x:c r="J163" s="81" t="n">
        <x:v>0.5870963803580496</x:v>
      </x:c>
      <x:c r="K163" s="83" t="n">
        <x:v>5</x:v>
      </x:c>
      <x:c r="L163" s="80" t="n">
        <x:f>'玩家战力_节点'!AU123</x:f>
        <x:v>521870</x:v>
      </x:c>
      <x:c r="M163" s="82" t="n">
        <x:f>L163/L162-1</x:f>
        <x:v>0.01958600748273409</x:v>
      </x:c>
      <x:c r="N163" s="39" t="n">
        <x:f>IF(A163&lt;=$J$5,ABS(L163-D163),0)</x:f>
        <x:v>0</x:v>
      </x:c>
    </x:row>
    <x:row r="164">
      <x:c r="A164" s="39" t="n">
        <x:v>113</x:v>
      </x:c>
      <x:c r="B164" s="39" t="n">
        <x:v>8</x:v>
      </x:c>
      <x:c r="C164" s="39" t="n">
        <x:v>14</x:v>
      </x:c>
      <x:c r="D164" s="80" t="n">
        <x:v>816835</x:v>
      </x:c>
      <x:c r="E164" s="81" t="n">
        <x:v>0.7452813772879131</x:v>
      </x:c>
      <x:c r="F164" s="81" t="n">
        <x:v>0.6078742793724284</x:v>
      </x:c>
      <x:c r="G164" s="81" t="n">
        <x:v>0.4131292035098006</x:v>
      </x:c>
      <x:c r="H164" s="81" t="n">
        <x:v>0.4809962516177309</x:v>
      </x:c>
      <x:c r="I164" s="81" t="n">
        <x:v>0.15280237526237916</x:v>
      </x:c>
      <x:c r="J164" s="81" t="n">
        <x:v>0.5897038429627747</x:v>
      </x:c>
      <x:c r="K164" s="83" t="n">
        <x:v>5</x:v>
      </x:c>
      <x:c r="L164" s="80" t="n">
        <x:f>'玩家战力_节点'!AU124</x:f>
        <x:v>532000</x:v>
      </x:c>
      <x:c r="M164" s="82" t="n">
        <x:f>L164/L163-1</x:f>
        <x:v>0.019410964416425536</x:v>
      </x:c>
      <x:c r="N164" s="39" t="n">
        <x:f>IF(A164&lt;=$J$5,ABS(L164-D164),0)</x:f>
        <x:v>0</x:v>
      </x:c>
    </x:row>
    <x:row r="165">
      <x:c r="A165" s="39" t="n">
        <x:v>114</x:v>
      </x:c>
      <x:c r="B165" s="39" t="n">
        <x:v>8</x:v>
      </x:c>
      <x:c r="C165" s="39" t="n">
        <x:v>15</x:v>
      </x:c>
      <x:c r="D165" s="80" t="n">
        <x:v>831710</x:v>
      </x:c>
      <x:c r="E165" s="81" t="n">
        <x:v>0.7480688659547999</x:v>
      </x:c>
      <x:c r="F165" s="81" t="n">
        <x:v>0.610052182736629</x:v>
      </x:c>
      <x:c r="G165" s="81" t="n">
        <x:v>0.418728961113243</x:v>
      </x:c>
      <x:c r="H165" s="81" t="n">
        <x:v>0.48380956653335555</x:v>
      </x:c>
      <x:c r="I165" s="81" t="n">
        <x:v>0.164556404128716</x:v>
      </x:c>
      <x:c r="J165" s="81" t="n">
        <x:v>0.5923113055674999</x:v>
      </x:c>
      <x:c r="K165" s="83" t="n">
        <x:v>5</x:v>
      </x:c>
      <x:c r="L165" s="80" t="n">
        <x:f>'玩家战力_节点'!AU125</x:f>
        <x:v>542235</x:v>
      </x:c>
      <x:c r="M165" s="82" t="n">
        <x:f>L165/L164-1</x:f>
        <x:v>0.01923872180451136</x:v>
      </x:c>
      <x:c r="N165" s="39" t="n">
        <x:f>IF(A165&lt;=$J$5,ABS(L165-D165),0)</x:f>
        <x:v>0</x:v>
      </x:c>
    </x:row>
    <x:row r="166">
      <x:c r="A166" s="39" t="n">
        <x:v>115</x:v>
      </x:c>
      <x:c r="B166" s="39" t="n">
        <x:v>9</x:v>
      </x:c>
      <x:c r="C166" s="39" t="n">
        <x:v>1</x:v>
      </x:c>
      <x:c r="D166" s="80" t="n">
        <x:v>844610</x:v>
      </x:c>
      <x:c r="E166" s="81" t="n">
        <x:v>0.7505530234199739</x:v>
      </x:c>
      <x:c r="F166" s="81" t="n">
        <x:v>0.611917681321407</x:v>
      </x:c>
      <x:c r="G166" s="81" t="n">
        <x:v>0.42352547323404605</x:v>
      </x:c>
      <x:c r="H166" s="81" t="n">
        <x:v>0.48621933139248674</x:v>
      </x:c>
      <x:c r="I166" s="81" t="n">
        <x:v>0.174624400981115</x:v>
      </x:c>
      <x:c r="J166" s="81" t="n">
        <x:v>0.5945447461686464</x:v>
      </x:c>
      <x:c r="K166" s="83" t="n">
        <x:v>5</x:v>
      </x:c>
      <x:c r="L166" s="80" t="n">
        <x:f>'玩家战力_节点'!AU126</x:f>
        <x:v>551545</x:v>
      </x:c>
      <x:c r="M166" s="82" t="n">
        <x:f>L166/L165-1</x:f>
        <x:v>0.017169677353914725</x:v>
      </x:c>
      <x:c r="N166" s="39" t="n">
        <x:f>IF(A166&lt;=$J$5,ABS(L166-D166),0)</x:f>
        <x:v>0</x:v>
      </x:c>
    </x:row>
    <x:row r="167">
      <x:c r="A167" s="39" t="n">
        <x:v>116</x:v>
      </x:c>
      <x:c r="B167" s="39" t="n">
        <x:v>9</x:v>
      </x:c>
      <x:c r="C167" s="39" t="n">
        <x:v>2</x:v>
      </x:c>
      <x:c r="D167" s="80" t="n">
        <x:v>855855</x:v>
      </x:c>
      <x:c r="E167" s="81" t="n">
        <x:v>0.7527750874427577</x:v>
      </x:c>
      <x:c r="F167" s="81" t="n">
        <x:v>0.613526213454753</x:v>
      </x:c>
      <x:c r="G167" s="81" t="n">
        <x:v>0.4276612811822522</x:v>
      </x:c>
      <x:c r="H167" s="81" t="n">
        <x:v>0.4882971588651786</x:v>
      </x:c>
      <x:c r="I167" s="81" t="n">
        <x:v>0.18330556353339358</x:v>
      </x:c>
      <x:c r="J167" s="81" t="n">
        <x:v>0.5964705374847997</x:v>
      </x:c>
      <x:c r="K167" s="83" t="n">
        <x:v>5</x:v>
      </x:c>
      <x:c r="L167" s="80" t="n">
        <x:f>'玩家战力_节点'!AU127</x:f>
        <x:v>560060</x:v>
      </x:c>
      <x:c r="M167" s="82" t="n">
        <x:f>L167/L166-1</x:f>
        <x:v>0.01543845017179013</x:v>
      </x:c>
      <x:c r="N167" s="39" t="n">
        <x:f>IF(A167&lt;=$J$5,ABS(L167-D167),0)</x:f>
        <x:v>0</x:v>
      </x:c>
    </x:row>
    <x:row r="168">
      <x:c r="A168" s="39" t="n">
        <x:v>117</x:v>
      </x:c>
      <x:c r="B168" s="39" t="n">
        <x:v>9</x:v>
      </x:c>
      <x:c r="C168" s="39" t="n">
        <x:v>3</x:v>
      </x:c>
      <x:c r="D168" s="80" t="n">
        <x:v>867180</x:v>
      </x:c>
      <x:c r="E168" s="81" t="n">
        <x:v>0.7549971514655416</x:v>
      </x:c>
      <x:c r="F168" s="81" t="n">
        <x:v>0.615134745588099</x:v>
      </x:c>
      <x:c r="G168" s="81" t="n">
        <x:v>0.43179708913045844</x:v>
      </x:c>
      <x:c r="H168" s="81" t="n">
        <x:v>0.49037498633787047</x:v>
      </x:c>
      <x:c r="I168" s="81" t="n">
        <x:v>0.19198672608567216</x:v>
      </x:c>
      <x:c r="J168" s="81" t="n">
        <x:v>0.5983963288009531</x:v>
      </x:c>
      <x:c r="K168" s="83" t="n">
        <x:v>5</x:v>
      </x:c>
      <x:c r="L168" s="80" t="n">
        <x:f>'玩家战力_节点'!AU128</x:f>
        <x:v>568650</x:v>
      </x:c>
      <x:c r="M168" s="82" t="n">
        <x:f>L168/L167-1</x:f>
        <x:v>0.015337642395457651</x:v>
      </x:c>
      <x:c r="N168" s="39" t="n">
        <x:f>IF(A168&lt;=$J$5,ABS(L168-D168),0)</x:f>
        <x:v>0</x:v>
      </x:c>
    </x:row>
    <x:row r="169">
      <x:c r="A169" s="39" t="n">
        <x:v>118</x:v>
      </x:c>
      <x:c r="B169" s="39" t="n">
        <x:v>9</x:v>
      </x:c>
      <x:c r="C169" s="39" t="n">
        <x:v>4</x:v>
      </x:c>
      <x:c r="D169" s="80" t="n">
        <x:v>878590</x:v>
      </x:c>
      <x:c r="E169" s="81" t="n">
        <x:v>0.7572192154883255</x:v>
      </x:c>
      <x:c r="F169" s="81" t="n">
        <x:v>0.616743277721445</x:v>
      </x:c>
      <x:c r="G169" s="81" t="n">
        <x:v>0.4359328970786646</x:v>
      </x:c>
      <x:c r="H169" s="81" t="n">
        <x:v>0.49245281381056233</x:v>
      </x:c>
      <x:c r="I169" s="81" t="n">
        <x:v>0.20066788863795074</x:v>
      </x:c>
      <x:c r="J169" s="81" t="n">
        <x:v>0.6003221201171064</x:v>
      </x:c>
      <x:c r="K169" s="83" t="n">
        <x:v>5</x:v>
      </x:c>
      <x:c r="L169" s="80" t="n">
        <x:f>'玩家战力_节点'!AU129</x:f>
        <x:v>577310</x:v>
      </x:c>
      <x:c r="M169" s="82" t="n">
        <x:f>L169/L168-1</x:f>
        <x:v>0.015229051261760329</x:v>
      </x:c>
      <x:c r="N169" s="39" t="n">
        <x:f>IF(A169&lt;=$J$5,ABS(L169-D169),0)</x:f>
        <x:v>0</x:v>
      </x:c>
    </x:row>
    <x:row r="170">
      <x:c r="A170" s="39" t="n">
        <x:v>119</x:v>
      </x:c>
      <x:c r="B170" s="39" t="n">
        <x:v>9</x:v>
      </x:c>
      <x:c r="C170" s="39" t="n">
        <x:v>5</x:v>
      </x:c>
      <x:c r="D170" s="80" t="n">
        <x:v>890080</x:v>
      </x:c>
      <x:c r="E170" s="81" t="n">
        <x:v>0.7594412795111093</x:v>
      </x:c>
      <x:c r="F170" s="81" t="n">
        <x:v>0.618351809854791</x:v>
      </x:c>
      <x:c r="G170" s="81" t="n">
        <x:v>0.4400687050268709</x:v>
      </x:c>
      <x:c r="H170" s="81" t="n">
        <x:v>0.4945306412832542</x:v>
      </x:c>
      <x:c r="I170" s="81" t="n">
        <x:v>0.2093490511902293</x:v>
      </x:c>
      <x:c r="J170" s="81" t="n">
        <x:v>0.6022479114332597</x:v>
      </x:c>
      <x:c r="K170" s="83" t="n">
        <x:v>5</x:v>
      </x:c>
      <x:c r="L170" s="80" t="n">
        <x:f>'玩家战力_节点'!AU130</x:f>
        <x:v>586045</x:v>
      </x:c>
      <x:c r="M170" s="82" t="n">
        <x:f>L170/L169-1</x:f>
        <x:v>0.015130519131835607</x:v>
      </x:c>
      <x:c r="N170" s="39" t="n">
        <x:f>IF(A170&lt;=$J$5,ABS(L170-D170),0)</x:f>
        <x:v>0</x:v>
      </x:c>
    </x:row>
    <x:row r="171">
      <x:c r="A171" s="39" t="n">
        <x:v>120</x:v>
      </x:c>
      <x:c r="B171" s="39" t="n">
        <x:v>9</x:v>
      </x:c>
      <x:c r="C171" s="39" t="n">
        <x:v>6</x:v>
      </x:c>
      <x:c r="D171" s="80" t="n">
        <x:v>901655</x:v>
      </x:c>
      <x:c r="E171" s="81" t="n">
        <x:v>0.7616633435338932</x:v>
      </x:c>
      <x:c r="F171" s="81" t="n">
        <x:v>0.619960341988137</x:v>
      </x:c>
      <x:c r="G171" s="81" t="n">
        <x:v>0.4442045129750771</x:v>
      </x:c>
      <x:c r="H171" s="81" t="n">
        <x:v>0.496608468755946</x:v>
      </x:c>
      <x:c r="I171" s="81" t="n">
        <x:v>0.2180302137425079</x:v>
      </x:c>
      <x:c r="J171" s="81" t="n">
        <x:v>0.6041737027494132</x:v>
      </x:c>
      <x:c r="K171" s="83" t="n">
        <x:v>5</x:v>
      </x:c>
      <x:c r="L171" s="80" t="n">
        <x:f>'玩家战力_节点'!AU131</x:f>
        <x:v>594850</x:v>
      </x:c>
      <x:c r="M171" s="82" t="n">
        <x:f>L171/L170-1</x:f>
        <x:v>0.015024443515429642</x:v>
      </x:c>
      <x:c r="N171" s="39" t="n">
        <x:f>IF(A171&lt;=$J$5,ABS(L171-D171),0)</x:f>
        <x:v>0</x:v>
      </x:c>
    </x:row>
    <x:row r="172">
      <x:c r="A172" s="39" t="n">
        <x:v>121</x:v>
      </x:c>
      <x:c r="B172" s="39" t="n">
        <x:v>9</x:v>
      </x:c>
      <x:c r="C172" s="39" t="n">
        <x:v>7</x:v>
      </x:c>
      <x:c r="D172" s="80" t="n">
        <x:v>913315</x:v>
      </x:c>
      <x:c r="E172" s="81" t="n">
        <x:v>0.7638854075566771</x:v>
      </x:c>
      <x:c r="F172" s="81" t="n">
        <x:v>0.6215688741214831</x:v>
      </x:c>
      <x:c r="G172" s="81" t="n">
        <x:v>0.4483403209232833</x:v>
      </x:c>
      <x:c r="H172" s="81" t="n">
        <x:v>0.49868629622863786</x:v>
      </x:c>
      <x:c r="I172" s="81" t="n">
        <x:v>0.2267113762947864</x:v>
      </x:c>
      <x:c r="J172" s="81" t="n">
        <x:v>0.6060994940655665</x:v>
      </x:c>
      <x:c r="K172" s="83" t="n">
        <x:v>5</x:v>
      </x:c>
      <x:c r="L172" s="80" t="n">
        <x:f>'玩家战力_节点'!AU132</x:f>
        <x:v>603730</x:v>
      </x:c>
      <x:c r="M172" s="82" t="n">
        <x:f>L172/L171-1</x:f>
        <x:v>0.014928133142809052</x:v>
      </x:c>
      <x:c r="N172" s="39" t="n">
        <x:f>IF(A172&lt;=$J$5,ABS(L172-D172),0)</x:f>
        <x:v>0</x:v>
      </x:c>
    </x:row>
    <x:row r="173">
      <x:c r="A173" s="39" t="n">
        <x:v>122</x:v>
      </x:c>
      <x:c r="B173" s="39" t="n">
        <x:v>9</x:v>
      </x:c>
      <x:c r="C173" s="39" t="n">
        <x:v>8</x:v>
      </x:c>
      <x:c r="D173" s="80" t="n">
        <x:v>925055</x:v>
      </x:c>
      <x:c r="E173" s="81" t="n">
        <x:v>0.7661074715794609</x:v>
      </x:c>
      <x:c r="F173" s="81" t="n">
        <x:v>0.623177406254829</x:v>
      </x:c>
      <x:c r="G173" s="81" t="n">
        <x:v>0.4524761288714895</x:v>
      </x:c>
      <x:c r="H173" s="81" t="n">
        <x:v>0.5007641237013297</x:v>
      </x:c>
      <x:c r="I173" s="81" t="n">
        <x:v>0.235392538847065</x:v>
      </x:c>
      <x:c r="J173" s="81" t="n">
        <x:v>0.6080252853817198</x:v>
      </x:c>
      <x:c r="K173" s="83" t="n">
        <x:v>5</x:v>
      </x:c>
      <x:c r="L173" s="80" t="n">
        <x:f>'玩家战力_节点'!AU133</x:f>
        <x:v>612680</x:v>
      </x:c>
      <x:c r="M173" s="82" t="n">
        <x:f>L173/L172-1</x:f>
        <x:v>0.014824507644145557</x:v>
      </x:c>
      <x:c r="N173" s="39" t="n">
        <x:f>IF(A173&lt;=$J$5,ABS(L173-D173),0)</x:f>
        <x:v>0</x:v>
      </x:c>
    </x:row>
    <x:row r="174">
      <x:c r="A174" s="39" t="n">
        <x:v>123</x:v>
      </x:c>
      <x:c r="B174" s="39" t="n">
        <x:v>9</x:v>
      </x:c>
      <x:c r="C174" s="39" t="n">
        <x:v>9</x:v>
      </x:c>
      <x:c r="D174" s="80" t="n">
        <x:v>936885</x:v>
      </x:c>
      <x:c r="E174" s="81" t="n">
        <x:v>0.7683295356022448</x:v>
      </x:c>
      <x:c r="F174" s="81" t="n">
        <x:v>0.624785938388175</x:v>
      </x:c>
      <x:c r="G174" s="81" t="n">
        <x:v>0.45661193681969575</x:v>
      </x:c>
      <x:c r="H174" s="81" t="n">
        <x:v>0.5028419511740215</x:v>
      </x:c>
      <x:c r="I174" s="81" t="n">
        <x:v>0.24407370139934356</x:v>
      </x:c>
      <x:c r="J174" s="81" t="n">
        <x:v>0.6099510766978732</x:v>
      </x:c>
      <x:c r="K174" s="83" t="n">
        <x:v>5</x:v>
      </x:c>
      <x:c r="L174" s="80" t="n">
        <x:f>'玩家战力_节点'!AU134</x:f>
        <x:v>621705</x:v>
      </x:c>
      <x:c r="M174" s="82" t="n">
        <x:f>L174/L173-1</x:f>
        <x:v>0.01473036495397273</x:v>
      </x:c>
      <x:c r="N174" s="39" t="n">
        <x:f>IF(A174&lt;=$J$5,ABS(L174-D174),0)</x:f>
        <x:v>0</x:v>
      </x:c>
    </x:row>
    <x:row r="175">
      <x:c r="A175" s="39" t="n">
        <x:v>124</x:v>
      </x:c>
      <x:c r="B175" s="39" t="n">
        <x:v>9</x:v>
      </x:c>
      <x:c r="C175" s="39" t="n">
        <x:v>10</x:v>
      </x:c>
      <x:c r="D175" s="80" t="n">
        <x:v>948795</x:v>
      </x:c>
      <x:c r="E175" s="81" t="n">
        <x:v>0.7705515996250287</x:v>
      </x:c>
      <x:c r="F175" s="81" t="n">
        <x:v>0.6263944705215211</x:v>
      </x:c>
      <x:c r="G175" s="81" t="n">
        <x:v>0.4607477447679019</x:v>
      </x:c>
      <x:c r="H175" s="81" t="n">
        <x:v>0.5049197786467133</x:v>
      </x:c>
      <x:c r="I175" s="81" t="n">
        <x:v>0.25275486395162217</x:v>
      </x:c>
      <x:c r="J175" s="81" t="n">
        <x:v>0.6118768680140265</x:v>
      </x:c>
      <x:c r="K175" s="83" t="n">
        <x:v>5</x:v>
      </x:c>
      <x:c r="L175" s="80" t="n">
        <x:f>'玩家战力_节点'!AU135</x:f>
        <x:v>630805</x:v>
      </x:c>
      <x:c r="M175" s="82" t="n">
        <x:f>L175/L174-1</x:f>
        <x:v>0.014637167145189478</x:v>
      </x:c>
      <x:c r="N175" s="39" t="n">
        <x:f>IF(A175&lt;=$J$5,ABS(L175-D175),0)</x:f>
        <x:v>0</x:v>
      </x:c>
    </x:row>
    <x:row r="176">
      <x:c r="A176" s="39" t="n">
        <x:v>125</x:v>
      </x:c>
      <x:c r="B176" s="39" t="n">
        <x:v>9</x:v>
      </x:c>
      <x:c r="C176" s="39" t="n">
        <x:v>11</x:v>
      </x:c>
      <x:c r="D176" s="80" t="n">
        <x:v>960790</x:v>
      </x:c>
      <x:c r="E176" s="81" t="n">
        <x:v>0.7727736636478125</x:v>
      </x:c>
      <x:c r="F176" s="81" t="n">
        <x:v>0.6280030026548671</x:v>
      </x:c>
      <x:c r="G176" s="81" t="n">
        <x:v>0.46488355271610815</x:v>
      </x:c>
      <x:c r="H176" s="81" t="n">
        <x:v>0.5069976061194053</x:v>
      </x:c>
      <x:c r="I176" s="81" t="n">
        <x:v>0.2614360265039007</x:v>
      </x:c>
      <x:c r="J176" s="81" t="n">
        <x:v>0.6138026593301799</x:v>
      </x:c>
      <x:c r="K176" s="83" t="n">
        <x:v>5</x:v>
      </x:c>
      <x:c r="L176" s="80" t="n">
        <x:f>'玩家战力_节点'!AU136</x:f>
        <x:v>639980</x:v>
      </x:c>
      <x:c r="M176" s="82" t="n">
        <x:f>L176/L175-1</x:f>
        <x:v>0.014544906904669475</x:v>
      </x:c>
      <x:c r="N176" s="39" t="n">
        <x:f>IF(A176&lt;=$J$5,ABS(L176-D176),0)</x:f>
        <x:v>0</x:v>
      </x:c>
    </x:row>
    <x:row r="177">
      <x:c r="A177" s="39" t="n">
        <x:v>126</x:v>
      </x:c>
      <x:c r="B177" s="39" t="n">
        <x:v>9</x:v>
      </x:c>
      <x:c r="C177" s="39" t="n">
        <x:v>12</x:v>
      </x:c>
      <x:c r="D177" s="80" t="n">
        <x:v>972865</x:v>
      </x:c>
      <x:c r="E177" s="81" t="n">
        <x:v>0.7749957276705964</x:v>
      </x:c>
      <x:c r="F177" s="81" t="n">
        <x:v>0.6296115347882131</x:v>
      </x:c>
      <x:c r="G177" s="81" t="n">
        <x:v>0.4690193606643143</x:v>
      </x:c>
      <x:c r="H177" s="81" t="n">
        <x:v>0.5090754335920971</x:v>
      </x:c>
      <x:c r="I177" s="81" t="n">
        <x:v>0.27011718905617926</x:v>
      </x:c>
      <x:c r="J177" s="81" t="n">
        <x:v>0.6157284506463332</x:v>
      </x:c>
      <x:c r="K177" s="83" t="n">
        <x:v>5</x:v>
      </x:c>
      <x:c r="L177" s="80" t="n">
        <x:f>'玩家战力_节点'!AU137</x:f>
        <x:v>649225</x:v>
      </x:c>
      <x:c r="M177" s="82" t="n">
        <x:f>L177/L176-1</x:f>
        <x:v>0.014445763930122757</x:v>
      </x:c>
      <x:c r="N177" s="39" t="n">
        <x:f>IF(A177&lt;=$J$5,ABS(L177-D177),0)</x:f>
        <x:v>0</x:v>
      </x:c>
    </x:row>
    <x:row r="178">
      <x:c r="A178" s="39" t="n">
        <x:v>127</x:v>
      </x:c>
      <x:c r="B178" s="39" t="n">
        <x:v>9</x:v>
      </x:c>
      <x:c r="C178" s="39" t="n">
        <x:v>13</x:v>
      </x:c>
      <x:c r="D178" s="80" t="n">
        <x:v>985030</x:v>
      </x:c>
      <x:c r="E178" s="81" t="n">
        <x:v>0.7772177916933802</x:v>
      </x:c>
      <x:c r="F178" s="81" t="n">
        <x:v>0.6312200669215591</x:v>
      </x:c>
      <x:c r="G178" s="81" t="n">
        <x:v>0.4731551686125206</x:v>
      </x:c>
      <x:c r="H178" s="81" t="n">
        <x:v>0.5111532610647889</x:v>
      </x:c>
      <x:c r="I178" s="81" t="n">
        <x:v>0.27879835160845784</x:v>
      </x:c>
      <x:c r="J178" s="81" t="n">
        <x:v>0.6176542419624865</x:v>
      </x:c>
      <x:c r="K178" s="83" t="n">
        <x:v>5</x:v>
      </x:c>
      <x:c r="L178" s="80" t="n">
        <x:f>'玩家战力_节点'!AU138</x:f>
        <x:v>658545</x:v>
      </x:c>
      <x:c r="M178" s="82" t="n">
        <x:f>L178/L177-1</x:f>
        <x:v>0.014355577804305186</x:v>
      </x:c>
      <x:c r="N178" s="39" t="n">
        <x:f>IF(A178&lt;=$J$5,ABS(L178-D178),0)</x:f>
        <x:v>0</x:v>
      </x:c>
    </x:row>
    <x:row r="179">
      <x:c r="A179" s="39" t="n">
        <x:v>128</x:v>
      </x:c>
      <x:c r="B179" s="39" t="n">
        <x:v>9</x:v>
      </x:c>
      <x:c r="C179" s="39" t="n">
        <x:v>14</x:v>
      </x:c>
      <x:c r="D179" s="80" t="n">
        <x:v>997280</x:v>
      </x:c>
      <x:c r="E179" s="81" t="n">
        <x:v>0.7794398557161641</x:v>
      </x:c>
      <x:c r="F179" s="81" t="n">
        <x:v>0.6328285990549051</x:v>
      </x:c>
      <x:c r="G179" s="81" t="n">
        <x:v>0.47729097656072683</x:v>
      </x:c>
      <x:c r="H179" s="81" t="n">
        <x:v>0.5132310885374808</x:v>
      </x:c>
      <x:c r="I179" s="81" t="n">
        <x:v>0.2874795141607364</x:v>
      </x:c>
      <x:c r="J179" s="81" t="n">
        <x:v>0.61958003327864</x:v>
      </x:c>
      <x:c r="K179" s="83" t="n">
        <x:v>5</x:v>
      </x:c>
      <x:c r="L179" s="80" t="n">
        <x:f>'玩家战力_节点'!AU139</x:f>
        <x:v>667940</x:v>
      </x:c>
      <x:c r="M179" s="82" t="n">
        <x:f>L179/L178-1</x:f>
        <x:v>0.01426629918988076</x:v>
      </x:c>
      <x:c r="N179" s="39" t="n">
        <x:f>IF(A179&lt;=$J$5,ABS(L179-D179),0)</x:f>
        <x:v>0</x:v>
      </x:c>
    </x:row>
    <x:row r="180">
      <x:c r="A180" s="39" t="n">
        <x:v>129</x:v>
      </x:c>
      <x:c r="B180" s="39" t="n">
        <x:v>9</x:v>
      </x:c>
      <x:c r="C180" s="39" t="n">
        <x:v>15</x:v>
      </x:c>
      <x:c r="D180" s="80" t="n">
        <x:v>1009610</x:v>
      </x:c>
      <x:c r="E180" s="81" t="n">
        <x:v>0.781661919738948</x:v>
      </x:c>
      <x:c r="F180" s="81" t="n">
        <x:v>0.6344371311882511</x:v>
      </x:c>
      <x:c r="G180" s="81" t="n">
        <x:v>0.48142678450893306</x:v>
      </x:c>
      <x:c r="H180" s="81" t="n">
        <x:v>0.5153089160101726</x:v>
      </x:c>
      <x:c r="I180" s="81" t="n">
        <x:v>0.296160676713015</x:v>
      </x:c>
      <x:c r="J180" s="81" t="n">
        <x:v>0.6215058245947933</x:v>
      </x:c>
      <x:c r="K180" s="83" t="n">
        <x:v>5</x:v>
      </x:c>
      <x:c r="L180" s="80" t="n">
        <x:f>'玩家战力_节点'!AU140</x:f>
        <x:v>677410</x:v>
      </x:c>
      <x:c r="M180" s="82" t="n">
        <x:f>L180/L179-1</x:f>
        <x:v>0.014177920172470548</x:v>
      </x:c>
      <x:c r="N180" s="39" t="n">
        <x:f>IF(A180&lt;=$J$5,ABS(L180-D180),0)</x:f>
        <x:v>0</x:v>
      </x:c>
    </x:row>
    <x:row r="181">
      <x:c r="A181" s="39" t="n">
        <x:v>130</x:v>
      </x:c>
      <x:c r="B181" s="39" t="n">
        <x:v>10</x:v>
      </x:c>
      <x:c r="C181" s="39" t="n">
        <x:v>1</x:v>
      </x:c>
      <x:c r="D181" s="80" t="n">
        <x:v>1020280</x:v>
      </x:c>
      <x:c r="E181" s="81" t="n">
        <x:v>0.78364218139736</x:v>
      </x:c>
      <x:c r="F181" s="81" t="n">
        <x:v>0.635814930803997</x:v>
      </x:c>
      <x:c r="G181" s="81" t="n">
        <x:v>0.484969340161823</x:v>
      </x:c>
      <x:c r="H181" s="81" t="n">
        <x:v>0.5170886938797674</x:v>
      </x:c>
      <x:c r="I181" s="81" t="n">
        <x:v>0.303596588113728</x:v>
      </x:c>
      <x:c r="J181" s="81" t="n">
        <x:v>0.6231553748153943</x:v>
      </x:c>
      <x:c r="K181" s="83" t="n">
        <x:v>5</x:v>
      </x:c>
      <x:c r="L181" s="80" t="n">
        <x:f>'玩家战力_节点'!AU141</x:f>
        <x:v>686065</x:v>
      </x:c>
      <x:c r="M181" s="82" t="n">
        <x:f>L181/L180-1</x:f>
        <x:v>0.012776605010259567</x:v>
      </x:c>
      <x:c r="N181" s="39" t="n">
        <x:f>IF(A181&lt;=$J$5,ABS(L181-D181),0)</x:f>
        <x:v>0</x:v>
      </x:c>
    </x:row>
    <x:row r="182">
      <x:c r="A182" s="39" t="n">
        <x:v>131</x:v>
      </x:c>
      <x:c r="B182" s="39" t="n">
        <x:v>10</x:v>
      </x:c>
      <x:c r="C182" s="39" t="n">
        <x:v>2</x:v>
      </x:c>
      <x:c r="D182" s="80" t="n">
        <x:v>1029555</x:v>
      </x:c>
      <x:c r="E182" s="81" t="n">
        <x:v>0.78541351362913</x:v>
      </x:c>
      <x:c r="F182" s="81" t="n">
        <x:v>0.6370029429382986</x:v>
      </x:c>
      <x:c r="G182" s="81" t="n">
        <x:v>0.4880239201268434</x:v>
      </x:c>
      <x:c r="H182" s="81" t="n">
        <x:v>0.5186233130517253</x:v>
      </x:c>
      <x:c r="I182" s="81" t="n">
        <x:v>0.31000822654988325</x:v>
      </x:c>
      <x:c r="J182" s="81" t="n">
        <x:v>0.624577704779648</x:v>
      </x:c>
      <x:c r="K182" s="83" t="n">
        <x:v>5</x:v>
      </x:c>
      <x:c r="L182" s="80" t="n">
        <x:f>'玩家战力_节点'!AU142</x:f>
        <x:v>694020</x:v>
      </x:c>
      <x:c r="M182" s="82" t="n">
        <x:f>L182/L181-1</x:f>
        <x:v>0.01159511125039181</x:v>
      </x:c>
      <x:c r="N182" s="39" t="n">
        <x:f>IF(A182&lt;=$J$5,ABS(L182-D182),0)</x:f>
        <x:v>0</x:v>
      </x:c>
    </x:row>
    <x:row r="183">
      <x:c r="A183" s="39" t="n">
        <x:v>132</x:v>
      </x:c>
      <x:c r="B183" s="39" t="n">
        <x:v>10</x:v>
      </x:c>
      <x:c r="C183" s="39" t="n">
        <x:v>3</x:v>
      </x:c>
      <x:c r="D183" s="80" t="n">
        <x:v>1038880</x:v>
      </x:c>
      <x:c r="E183" s="81" t="n">
        <x:v>0.7871848458609003</x:v>
      </x:c>
      <x:c r="F183" s="81" t="n">
        <x:v>0.6381909550726003</x:v>
      </x:c>
      <x:c r="G183" s="81" t="n">
        <x:v>0.4910785000918638</x:v>
      </x:c>
      <x:c r="H183" s="81" t="n">
        <x:v>0.5201579322236832</x:v>
      </x:c>
      <x:c r="I183" s="81" t="n">
        <x:v>0.31641986498603847</x:v>
      </x:c>
      <x:c r="J183" s="81" t="n">
        <x:v>0.6260000347439016</x:v>
      </x:c>
      <x:c r="K183" s="83" t="n">
        <x:v>5</x:v>
      </x:c>
      <x:c r="L183" s="80" t="n">
        <x:f>'玩家战力_节点'!AU143</x:f>
        <x:v>702025</x:v>
      </x:c>
      <x:c r="M183" s="82" t="n">
        <x:f>L183/L182-1</x:f>
        <x:v>0.011534249733436974</x:v>
      </x:c>
      <x:c r="N183" s="39" t="n">
        <x:f>IF(A183&lt;=$J$5,ABS(L183-D183),0)</x:f>
        <x:v>0</x:v>
      </x:c>
    </x:row>
    <x:row r="184">
      <x:c r="A184" s="39" t="n">
        <x:v>133</x:v>
      </x:c>
      <x:c r="B184" s="39" t="n">
        <x:v>10</x:v>
      </x:c>
      <x:c r="C184" s="39" t="n">
        <x:v>4</x:v>
      </x:c>
      <x:c r="D184" s="80" t="n">
        <x:v>1048255</x:v>
      </x:c>
      <x:c r="E184" s="81" t="n">
        <x:v>0.7889561780926704</x:v>
      </x:c>
      <x:c r="F184" s="81" t="n">
        <x:v>0.6393789672069019</x:v>
      </x:c>
      <x:c r="G184" s="81" t="n">
        <x:v>0.49413308005688433</x:v>
      </x:c>
      <x:c r="H184" s="81" t="n">
        <x:v>0.5216925513956412</x:v>
      </x:c>
      <x:c r="I184" s="81" t="n">
        <x:v>0.32283150342219363</x:v>
      </x:c>
      <x:c r="J184" s="81" t="n">
        <x:v>0.6274223647081553</x:v>
      </x:c>
      <x:c r="K184" s="83" t="n">
        <x:v>5</x:v>
      </x:c>
      <x:c r="L184" s="80" t="n">
        <x:f>'玩家战力_节点'!AU144</x:f>
        <x:v>710085</x:v>
      </x:c>
      <x:c r="M184" s="82" t="n">
        <x:f>L184/L183-1</x:f>
        <x:v>0.011481072611374321</x:v>
      </x:c>
      <x:c r="N184" s="39" t="n">
        <x:f>IF(A184&lt;=$J$5,ABS(L184-D184),0)</x:f>
        <x:v>0</x:v>
      </x:c>
    </x:row>
    <x:row r="185">
      <x:c r="A185" s="39" t="n">
        <x:v>134</x:v>
      </x:c>
      <x:c r="B185" s="39" t="n">
        <x:v>10</x:v>
      </x:c>
      <x:c r="C185" s="39" t="n">
        <x:v>5</x:v>
      </x:c>
      <x:c r="D185" s="80" t="n">
        <x:v>1057675</x:v>
      </x:c>
      <x:c r="E185" s="81" t="n">
        <x:v>0.7907275103244404</x:v>
      </x:c>
      <x:c r="F185" s="81" t="n">
        <x:v>0.6405669793412035</x:v>
      </x:c>
      <x:c r="G185" s="81" t="n">
        <x:v>0.49718766002190473</x:v>
      </x:c>
      <x:c r="H185" s="81" t="n">
        <x:v>0.5232271705675992</x:v>
      </x:c>
      <x:c r="I185" s="81" t="n">
        <x:v>0.3292431418583489</x:v>
      </x:c>
      <x:c r="J185" s="81" t="n">
        <x:v>0.628844694672409</x:v>
      </x:c>
      <x:c r="K185" s="83" t="n">
        <x:v>5</x:v>
      </x:c>
      <x:c r="L185" s="80" t="n">
        <x:f>'玩家战力_节点'!AU145</x:f>
        <x:v>718195</x:v>
      </x:c>
      <x:c r="M185" s="82" t="n">
        <x:f>L185/L184-1</x:f>
        <x:v>0.011421167888351347</x:v>
      </x:c>
      <x:c r="N185" s="39" t="n">
        <x:f>IF(A185&lt;=$J$5,ABS(L185-D185),0)</x:f>
        <x:v>0</x:v>
      </x:c>
    </x:row>
    <x:row r="186">
      <x:c r="A186" s="39" t="n">
        <x:v>135</x:v>
      </x:c>
      <x:c r="B186" s="39" t="n">
        <x:v>10</x:v>
      </x:c>
      <x:c r="C186" s="39" t="n">
        <x:v>6</x:v>
      </x:c>
      <x:c r="D186" s="80" t="n">
        <x:v>1067140</x:v>
      </x:c>
      <x:c r="E186" s="81" t="n">
        <x:v>0.7924988425562107</x:v>
      </x:c>
      <x:c r="F186" s="81" t="n">
        <x:v>0.6417549914755052</x:v>
      </x:c>
      <x:c r="G186" s="81" t="n">
        <x:v>0.5002422399869252</x:v>
      </x:c>
      <x:c r="H186" s="81" t="n">
        <x:v>0.524761789739557</x:v>
      </x:c>
      <x:c r="I186" s="81" t="n">
        <x:v>0.33565478029450413</x:v>
      </x:c>
      <x:c r="J186" s="81" t="n">
        <x:v>0.6302670246366625</x:v>
      </x:c>
      <x:c r="K186" s="83" t="n">
        <x:v>5</x:v>
      </x:c>
      <x:c r="L186" s="80" t="n">
        <x:f>'玩家战力_节点'!AU146</x:f>
        <x:v>726360</x:v>
      </x:c>
      <x:c r="M186" s="82" t="n">
        <x:f>L186/L185-1</x:f>
        <x:v>0.011368778674315516</x:v>
      </x:c>
      <x:c r="N186" s="39" t="n">
        <x:f>IF(A186&lt;=$J$5,ABS(L186-D186),0)</x:f>
        <x:v>0</x:v>
      </x:c>
    </x:row>
    <x:row r="187">
      <x:c r="A187" s="39" t="n">
        <x:v>136</x:v>
      </x:c>
      <x:c r="B187" s="39" t="n">
        <x:v>10</x:v>
      </x:c>
      <x:c r="C187" s="39" t="n">
        <x:v>7</x:v>
      </x:c>
      <x:c r="D187" s="80" t="n">
        <x:v>1076655</x:v>
      </x:c>
      <x:c r="E187" s="81" t="n">
        <x:v>0.7942701747879808</x:v>
      </x:c>
      <x:c r="F187" s="81" t="n">
        <x:v>0.6429430036098068</x:v>
      </x:c>
      <x:c r="G187" s="81" t="n">
        <x:v>0.5032968199519455</x:v>
      </x:c>
      <x:c r="H187" s="81" t="n">
        <x:v>0.526296408911515</x:v>
      </x:c>
      <x:c r="I187" s="81" t="n">
        <x:v>0.3420664187306593</x:v>
      </x:c>
      <x:c r="J187" s="81" t="n">
        <x:v>0.6316893546009162</x:v>
      </x:c>
      <x:c r="K187" s="83" t="n">
        <x:v>5</x:v>
      </x:c>
      <x:c r="L187" s="80" t="n">
        <x:f>'玩家战力_节点'!AU147</x:f>
        <x:v>734575</x:v>
      </x:c>
      <x:c r="M187" s="82" t="n">
        <x:f>L187/L186-1</x:f>
        <x:v>0.011309818822622386</x:v>
      </x:c>
      <x:c r="N187" s="39" t="n">
        <x:f>IF(A187&lt;=$J$5,ABS(L187-D187),0)</x:f>
        <x:v>0</x:v>
      </x:c>
    </x:row>
    <x:row r="188">
      <x:c r="A188" s="39" t="n">
        <x:v>137</x:v>
      </x:c>
      <x:c r="B188" s="39" t="n">
        <x:v>10</x:v>
      </x:c>
      <x:c r="C188" s="39" t="n">
        <x:v>8</x:v>
      </x:c>
      <x:c r="D188" s="80" t="n">
        <x:v>1086220</x:v>
      </x:c>
      <x:c r="E188" s="81" t="n">
        <x:v>0.796041507019751</x:v>
      </x:c>
      <x:c r="F188" s="81" t="n">
        <x:v>0.6441310157441085</x:v>
      </x:c>
      <x:c r="G188" s="81" t="n">
        <x:v>0.5063513999169661</x:v>
      </x:c>
      <x:c r="H188" s="81" t="n">
        <x:v>0.5278310280834729</x:v>
      </x:c>
      <x:c r="I188" s="81" t="n">
        <x:v>0.3484780571668145</x:v>
      </x:c>
      <x:c r="J188" s="81" t="n">
        <x:v>0.6331116845651699</x:v>
      </x:c>
      <x:c r="K188" s="83" t="n">
        <x:v>5</x:v>
      </x:c>
      <x:c r="L188" s="80" t="n">
        <x:f>'玩家战力_节点'!AU148</x:f>
        <x:v>742845</x:v>
      </x:c>
      <x:c r="M188" s="82" t="n">
        <x:f>L188/L187-1</x:f>
        <x:v>0.011258210529898172</x:v>
      </x:c>
      <x:c r="N188" s="39" t="n">
        <x:f>IF(A188&lt;=$J$5,ABS(L188-D188),0)</x:f>
        <x:v>0</x:v>
      </x:c>
    </x:row>
    <x:row r="189">
      <x:c r="A189" s="39" t="n">
        <x:v>138</x:v>
      </x:c>
      <x:c r="B189" s="39" t="n">
        <x:v>10</x:v>
      </x:c>
      <x:c r="C189" s="39" t="n">
        <x:v>9</x:v>
      </x:c>
      <x:c r="D189" s="80" t="n">
        <x:v>1095830</x:v>
      </x:c>
      <x:c r="E189" s="81" t="n">
        <x:v>0.7978128392515211</x:v>
      </x:c>
      <x:c r="F189" s="81" t="n">
        <x:v>0.6453190278784101</x:v>
      </x:c>
      <x:c r="G189" s="81" t="n">
        <x:v>0.5094059798819864</x:v>
      </x:c>
      <x:c r="H189" s="81" t="n">
        <x:v>0.5293656472554308</x:v>
      </x:c>
      <x:c r="I189" s="81" t="n">
        <x:v>0.35488969560296973</x:v>
      </x:c>
      <x:c r="J189" s="81" t="n">
        <x:v>0.6345340145294235</x:v>
      </x:c>
      <x:c r="K189" s="83" t="n">
        <x:v>5</x:v>
      </x:c>
      <x:c r="L189" s="80" t="n">
        <x:f>'玩家战力_节点'!AU149</x:f>
        <x:v>751165</x:v>
      </x:c>
      <x:c r="M189" s="82" t="n">
        <x:f>L189/L188-1</x:f>
        <x:v>0.011200183079915771</x:v>
      </x:c>
      <x:c r="N189" s="39" t="n">
        <x:f>IF(A189&lt;=$J$5,ABS(L189-D189),0)</x:f>
        <x:v>0</x:v>
      </x:c>
    </x:row>
    <x:row r="190">
      <x:c r="A190" s="39" t="n">
        <x:v>139</x:v>
      </x:c>
      <x:c r="B190" s="39" t="n">
        <x:v>10</x:v>
      </x:c>
      <x:c r="C190" s="39" t="n">
        <x:v>10</x:v>
      </x:c>
      <x:c r="D190" s="80" t="n">
        <x:v>1105490</x:v>
      </x:c>
      <x:c r="E190" s="81" t="n">
        <x:v>0.7995841714832912</x:v>
      </x:c>
      <x:c r="F190" s="81" t="n">
        <x:v>0.6465070400127118</x:v>
      </x:c>
      <x:c r="G190" s="81" t="n">
        <x:v>0.5124605598470069</x:v>
      </x:c>
      <x:c r="H190" s="81" t="n">
        <x:v>0.5309002664273887</x:v>
      </x:c>
      <x:c r="I190" s="81" t="n">
        <x:v>0.36130133403912496</x:v>
      </x:c>
      <x:c r="J190" s="81" t="n">
        <x:v>0.6359563444936772</x:v>
      </x:c>
      <x:c r="K190" s="83" t="n">
        <x:v>5</x:v>
      </x:c>
      <x:c r="L190" s="80" t="n">
        <x:f>'玩家战力_节点'!AU150</x:f>
        <x:v>759540</x:v>
      </x:c>
      <x:c r="M190" s="82" t="n">
        <x:f>L190/L189-1</x:f>
        <x:v>0.01114934801275358</x:v>
      </x:c>
      <x:c r="N190" s="39" t="n">
        <x:f>IF(A190&lt;=$J$5,ABS(L190-D190),0)</x:f>
        <x:v>0</x:v>
      </x:c>
    </x:row>
    <x:row r="191">
      <x:c r="A191" s="39" t="n">
        <x:v>140</x:v>
      </x:c>
      <x:c r="B191" s="39" t="n">
        <x:v>10</x:v>
      </x:c>
      <x:c r="C191" s="39" t="n">
        <x:v>11</x:v>
      </x:c>
      <x:c r="D191" s="80" t="n">
        <x:v>1115195</x:v>
      </x:c>
      <x:c r="E191" s="81" t="n">
        <x:v>0.8013555037150614</x:v>
      </x:c>
      <x:c r="F191" s="81" t="n">
        <x:v>0.6476950521470134</x:v>
      </x:c>
      <x:c r="G191" s="81" t="n">
        <x:v>0.5155151398120273</x:v>
      </x:c>
      <x:c r="H191" s="81" t="n">
        <x:v>0.5324348855993466</x:v>
      </x:c>
      <x:c r="I191" s="81" t="n">
        <x:v>0.3677129724752801</x:v>
      </x:c>
      <x:c r="J191" s="81" t="n">
        <x:v>0.6373786744579307</x:v>
      </x:c>
      <x:c r="K191" s="83" t="n">
        <x:v>5</x:v>
      </x:c>
      <x:c r="L191" s="80" t="n">
        <x:f>'玩家战力_节点'!AU151</x:f>
        <x:v>767965</x:v>
      </x:c>
      <x:c r="M191" s="82" t="n">
        <x:f>L191/L190-1</x:f>
        <x:v>0.011092240040024182</x:v>
      </x:c>
      <x:c r="N191" s="39" t="n">
        <x:f>IF(A191&lt;=$J$5,ABS(L191-D191),0)</x:f>
        <x:v>0</x:v>
      </x:c>
    </x:row>
    <x:row r="192">
      <x:c r="A192" s="39" t="n">
        <x:v>141</x:v>
      </x:c>
      <x:c r="B192" s="39" t="n">
        <x:v>10</x:v>
      </x:c>
      <x:c r="C192" s="39" t="n">
        <x:v>12</x:v>
      </x:c>
      <x:c r="D192" s="80" t="n">
        <x:v>1124955</x:v>
      </x:c>
      <x:c r="E192" s="81" t="n">
        <x:v>0.8031268359468315</x:v>
      </x:c>
      <x:c r="F192" s="81" t="n">
        <x:v>0.648883064281315</x:v>
      </x:c>
      <x:c r="G192" s="81" t="n">
        <x:v>0.5185697197770477</x:v>
      </x:c>
      <x:c r="H192" s="81" t="n">
        <x:v>0.5339695047713046</x:v>
      </x:c>
      <x:c r="I192" s="81" t="n">
        <x:v>0.3741246109114354</x:v>
      </x:c>
      <x:c r="J192" s="81" t="n">
        <x:v>0.6388010044221845</x:v>
      </x:c>
      <x:c r="K192" s="83" t="n">
        <x:v>5</x:v>
      </x:c>
      <x:c r="L192" s="80" t="n">
        <x:f>'玩家战力_节点'!AU152</x:f>
        <x:v>776445</x:v>
      </x:c>
      <x:c r="M192" s="82" t="n">
        <x:f>L192/L191-1</x:f>
        <x:v>0.011042169890554954</x:v>
      </x:c>
      <x:c r="N192" s="39" t="n">
        <x:f>IF(A192&lt;=$J$5,ABS(L192-D192),0)</x:f>
        <x:v>0</x:v>
      </x:c>
    </x:row>
    <x:row r="193">
      <x:c r="A193" s="39" t="n">
        <x:v>142</x:v>
      </x:c>
      <x:c r="B193" s="39" t="n">
        <x:v>10</x:v>
      </x:c>
      <x:c r="C193" s="39" t="n">
        <x:v>13</x:v>
      </x:c>
      <x:c r="D193" s="80" t="n">
        <x:v>1134755</x:v>
      </x:c>
      <x:c r="E193" s="81" t="n">
        <x:v>0.8048981681786016</x:v>
      </x:c>
      <x:c r="F193" s="81" t="n">
        <x:v>0.6500710764156167</x:v>
      </x:c>
      <x:c r="G193" s="81" t="n">
        <x:v>0.5216242997420683</x:v>
      </x:c>
      <x:c r="H193" s="81" t="n">
        <x:v>0.5355041239432625</x:v>
      </x:c>
      <x:c r="I193" s="81" t="n">
        <x:v>0.3805362493475905</x:v>
      </x:c>
      <x:c r="J193" s="81" t="n">
        <x:v>0.6402233343864381</x:v>
      </x:c>
      <x:c r="K193" s="83" t="n">
        <x:v>5</x:v>
      </x:c>
      <x:c r="L193" s="80" t="n">
        <x:f>'玩家战力_节点'!AU153</x:f>
        <x:v>784975</x:v>
      </x:c>
      <x:c r="M193" s="82" t="n">
        <x:f>L193/L192-1</x:f>
        <x:v>0.01098596809819119</x:v>
      </x:c>
      <x:c r="N193" s="39" t="n">
        <x:f>IF(A193&lt;=$J$5,ABS(L193-D193),0)</x:f>
        <x:v>0</x:v>
      </x:c>
    </x:row>
    <x:row r="194">
      <x:c r="A194" s="39" t="n">
        <x:v>143</x:v>
      </x:c>
      <x:c r="B194" s="39" t="n">
        <x:v>10</x:v>
      </x:c>
      <x:c r="C194" s="39" t="n">
        <x:v>14</x:v>
      </x:c>
      <x:c r="D194" s="80" t="n">
        <x:v>1144610</x:v>
      </x:c>
      <x:c r="E194" s="81" t="n">
        <x:v>0.8066695004103719</x:v>
      </x:c>
      <x:c r="F194" s="81" t="n">
        <x:v>0.6512590885499183</x:v>
      </x:c>
      <x:c r="G194" s="81" t="n">
        <x:v>0.5246788797070886</x:v>
      </x:c>
      <x:c r="H194" s="81" t="n">
        <x:v>0.5370387431152205</x:v>
      </x:c>
      <x:c r="I194" s="81" t="n">
        <x:v>0.3869478877837458</x:v>
      </x:c>
      <x:c r="J194" s="81" t="n">
        <x:v>0.6416456643506917</x:v>
      </x:c>
      <x:c r="K194" s="83" t="n">
        <x:v>5</x:v>
      </x:c>
      <x:c r="L194" s="80" t="n">
        <x:f>'玩家战力_节点'!AU154</x:f>
        <x:v>793560</x:v>
      </x:c>
      <x:c r="M194" s="82" t="n">
        <x:f>L194/L193-1</x:f>
        <x:v>0.010936654033568027</x:v>
      </x:c>
      <x:c r="N194" s="39" t="n">
        <x:f>IF(A194&lt;=$J$5,ABS(L194-D194),0)</x:f>
        <x:v>0</x:v>
      </x:c>
    </x:row>
    <x:row r="195">
      <x:c r="A195" s="39" t="n">
        <x:v>144</x:v>
      </x:c>
      <x:c r="B195" s="39" t="n">
        <x:v>10</x:v>
      </x:c>
      <x:c r="C195" s="39" t="n">
        <x:v>15</x:v>
      </x:c>
      <x:c r="D195" s="80" t="n">
        <x:v>1154510</x:v>
      </x:c>
      <x:c r="E195" s="81" t="n">
        <x:v>0.808440832642142</x:v>
      </x:c>
      <x:c r="F195" s="81" t="n">
        <x:v>0.65244710068422</x:v>
      </x:c>
      <x:c r="G195" s="81" t="n">
        <x:v>0.527733459672109</x:v>
      </x:c>
      <x:c r="H195" s="81" t="n">
        <x:v>0.5385733622871783</x:v>
      </x:c>
      <x:c r="I195" s="81" t="n">
        <x:v>0.393359526219901</x:v>
      </x:c>
      <x:c r="J195" s="81" t="n">
        <x:v>0.6430679943149454</x:v>
      </x:c>
      <x:c r="K195" s="83" t="n">
        <x:v>5</x:v>
      </x:c>
      <x:c r="L195" s="80" t="n">
        <x:f>'玩家战力_节点'!AU155</x:f>
        <x:v>802200</x:v>
      </x:c>
      <x:c r="M195" s="82" t="n">
        <x:f>L195/L194-1</x:f>
        <x:v>0.010887645546650448</x:v>
      </x:c>
      <x:c r="N195" s="39" t="n">
        <x:f>IF(A195&lt;=$J$5,ABS(L195-D195),0)</x:f>
        <x:v>0</x:v>
      </x:c>
    </x:row>
    <x:row r="196">
      <x:c r="A196" s="39" t="n">
        <x:v>145</x:v>
      </x:c>
      <x:c r="B196" s="39" t="n">
        <x:v>11</x:v>
      </x:c>
      <x:c r="C196" s="39" t="n">
        <x:v>1</x:v>
      </x:c>
      <x:c r="D196" s="80" t="n">
        <x:v>1163060</x:v>
      </x:c>
      <x:c r="E196" s="81" t="n">
        <x:v>0.8100194106070049</x:v>
      </x:c>
      <x:c r="F196" s="81" t="n">
        <x:v>0.653464700910047</x:v>
      </x:c>
      <x:c r="G196" s="81" t="n">
        <x:v>0.530349881821735</x:v>
      </x:c>
      <x:c r="H196" s="81" t="n">
        <x:v>0.539887851231234</x:v>
      </x:c>
      <x:c r="I196" s="81" t="n">
        <x:v>0.398851460630477</x:v>
      </x:c>
      <x:c r="J196" s="81" t="n">
        <x:v>0.6442863011411439</x:v>
      </x:c>
      <x:c r="K196" s="83" t="n">
        <x:v>5</x:v>
      </x:c>
      <x:c r="L196" s="80" t="n">
        <x:f>'玩家战力_节点'!AU156</x:f>
        <x:v>810140</x:v>
      </x:c>
      <x:c r="M196" s="82" t="n">
        <x:f>L196/L195-1</x:f>
        <x:v>0.009897781101969594</x:v>
      </x:c>
      <x:c r="N196" s="39" t="n">
        <x:f>IF(A196&lt;=$J$5,ABS(L196-D196),0)</x:f>
        <x:v>0</x:v>
      </x:c>
    </x:row>
    <x:row r="197">
      <x:c r="A197" s="39" t="n">
        <x:v>146</x:v>
      </x:c>
      <x:c r="B197" s="39" t="n">
        <x:v>11</x:v>
      </x:c>
      <x:c r="C197" s="39" t="n">
        <x:v>2</x:v>
      </x:c>
      <x:c r="D197" s="80" t="n">
        <x:v>1170485</x:v>
      </x:c>
      <x:c r="E197" s="81" t="n">
        <x:v>0.8114314391728501</x:v>
      </x:c>
      <x:c r="F197" s="81" t="n">
        <x:v>0.65434212996601</x:v>
      </x:c>
      <x:c r="G197" s="81" t="n">
        <x:v>0.5326059002054587</x:v>
      </x:c>
      <x:c r="H197" s="81" t="n">
        <x:v>0.5410212735359694</x:v>
      </x:c>
      <x:c r="I197" s="81" t="n">
        <x:v>0.403586898676755</x:v>
      </x:c>
      <x:c r="J197" s="81" t="n">
        <x:v>0.6453367901065084</x:v>
      </x:c>
      <x:c r="K197" s="83" t="n">
        <x:v>5</x:v>
      </x:c>
      <x:c r="L197" s="80" t="n">
        <x:f>'玩家战力_节点'!AU157</x:f>
        <x:v>817490</x:v>
      </x:c>
      <x:c r="M197" s="82" t="n">
        <x:f>L197/L196-1</x:f>
        <x:v>0.009072505986619683</x:v>
      </x:c>
      <x:c r="N197" s="39" t="n">
        <x:f>IF(A197&lt;=$J$5,ABS(L197-D197),0)</x:f>
        <x:v>0</x:v>
      </x:c>
    </x:row>
    <x:row r="198">
      <x:c r="A198" s="39" t="n">
        <x:v>147</x:v>
      </x:c>
      <x:c r="B198" s="39" t="n">
        <x:v>11</x:v>
      </x:c>
      <x:c r="C198" s="39" t="n">
        <x:v>3</x:v>
      </x:c>
      <x:c r="D198" s="80" t="n">
        <x:v>1177935</x:v>
      </x:c>
      <x:c r="E198" s="81" t="n">
        <x:v>0.8128434677386953</x:v>
      </x:c>
      <x:c r="F198" s="81" t="n">
        <x:v>0.655219559021973</x:v>
      </x:c>
      <x:c r="G198" s="81" t="n">
        <x:v>0.5348619185891824</x:v>
      </x:c>
      <x:c r="H198" s="81" t="n">
        <x:v>0.5421546958407047</x:v>
      </x:c>
      <x:c r="I198" s="81" t="n">
        <x:v>0.408322336723033</x:v>
      </x:c>
      <x:c r="J198" s="81" t="n">
        <x:v>0.6463872790718729</x:v>
      </x:c>
      <x:c r="K198" s="83" t="n">
        <x:v>5</x:v>
      </x:c>
      <x:c r="L198" s="80" t="n">
        <x:f>'玩家战力_节点'!AU158</x:f>
        <x:v>824880</x:v>
      </x:c>
      <x:c r="M198" s="82" t="n">
        <x:f>L198/L197-1</x:f>
        <x:v>0.009039865931081748</x:v>
      </x:c>
      <x:c r="N198" s="39" t="n">
        <x:f>IF(A198&lt;=$J$5,ABS(L198-D198),0)</x:f>
        <x:v>0</x:v>
      </x:c>
    </x:row>
    <x:row r="199">
      <x:c r="A199" s="39" t="n">
        <x:v>148</x:v>
      </x:c>
      <x:c r="B199" s="39" t="n">
        <x:v>11</x:v>
      </x:c>
      <x:c r="C199" s="39" t="n">
        <x:v>4</x:v>
      </x:c>
      <x:c r="D199" s="80" t="n">
        <x:v>1185415</x:v>
      </x:c>
      <x:c r="E199" s="81" t="n">
        <x:v>0.8142554963045405</x:v>
      </x:c>
      <x:c r="F199" s="81" t="n">
        <x:v>0.656096988077936</x:v>
      </x:c>
      <x:c r="G199" s="81" t="n">
        <x:v>0.5371179369729061</x:v>
      </x:c>
      <x:c r="H199" s="81" t="n">
        <x:v>0.5432881181454402</x:v>
      </x:c>
      <x:c r="I199" s="81" t="n">
        <x:v>0.413057774769311</x:v>
      </x:c>
      <x:c r="J199" s="81" t="n">
        <x:v>0.6474377680372373</x:v>
      </x:c>
      <x:c r="K199" s="83" t="n">
        <x:v>5</x:v>
      </x:c>
      <x:c r="L199" s="80" t="n">
        <x:f>'玩家战力_节点'!AU159</x:f>
        <x:v>832305</x:v>
      </x:c>
      <x:c r="M199" s="82" t="n">
        <x:f>L199/L198-1</x:f>
        <x:v>0.009001309281350123</x:v>
      </x:c>
      <x:c r="N199" s="39" t="n">
        <x:f>IF(A199&lt;=$J$5,ABS(L199-D199),0)</x:f>
        <x:v>0</x:v>
      </x:c>
    </x:row>
    <x:row r="200">
      <x:c r="A200" s="39" t="n">
        <x:v>149</x:v>
      </x:c>
      <x:c r="B200" s="39" t="n">
        <x:v>11</x:v>
      </x:c>
      <x:c r="C200" s="39" t="n">
        <x:v>5</x:v>
      </x:c>
      <x:c r="D200" s="80" t="n">
        <x:v>1192925</x:v>
      </x:c>
      <x:c r="E200" s="81" t="n">
        <x:v>0.8156675248703857</x:v>
      </x:c>
      <x:c r="F200" s="81" t="n">
        <x:v>0.656974417133899</x:v>
      </x:c>
      <x:c r="G200" s="81" t="n">
        <x:v>0.5393739553566299</x:v>
      </x:c>
      <x:c r="H200" s="81" t="n">
        <x:v>0.5444215404501757</x:v>
      </x:c>
      <x:c r="I200" s="81" t="n">
        <x:v>0.417793212815589</x:v>
      </x:c>
      <x:c r="J200" s="81" t="n">
        <x:v>0.6484882570026018</x:v>
      </x:c>
      <x:c r="K200" s="83" t="n">
        <x:v>5</x:v>
      </x:c>
      <x:c r="L200" s="80" t="n">
        <x:f>'玩家战力_节点'!AU160</x:f>
        <x:v>839770</x:v>
      </x:c>
      <x:c r="M200" s="82" t="n">
        <x:f>L200/L199-1</x:f>
        <x:v>0.00896906782970186</x:v>
      </x:c>
      <x:c r="N200" s="39" t="n">
        <x:f>IF(A200&lt;=$J$5,ABS(L200-D200),0)</x:f>
        <x:v>0</x:v>
      </x:c>
    </x:row>
    <x:row r="201">
      <x:c r="A201" s="39" t="n">
        <x:v>150</x:v>
      </x:c>
      <x:c r="B201" s="39" t="n">
        <x:v>11</x:v>
      </x:c>
      <x:c r="C201" s="39" t="n">
        <x:v>6</x:v>
      </x:c>
      <x:c r="D201" s="80" t="n">
        <x:v>1200455</x:v>
      </x:c>
      <x:c r="E201" s="81" t="n">
        <x:v>0.817079553436231</x:v>
      </x:c>
      <x:c r="F201" s="81" t="n">
        <x:v>0.657851846189862</x:v>
      </x:c>
      <x:c r="G201" s="81" t="n">
        <x:v>0.5416299737403536</x:v>
      </x:c>
      <x:c r="H201" s="81" t="n">
        <x:v>0.5455549627549111</x:v>
      </x:c>
      <x:c r="I201" s="81" t="n">
        <x:v>0.422528650861867</x:v>
      </x:c>
      <x:c r="J201" s="81" t="n">
        <x:v>0.6495387459679663</x:v>
      </x:c>
      <x:c r="K201" s="83" t="n">
        <x:v>5</x:v>
      </x:c>
      <x:c r="L201" s="80" t="n">
        <x:f>'玩家战力_节点'!AU161</x:f>
        <x:v>847275</x:v>
      </x:c>
      <x:c r="M201" s="82" t="n">
        <x:f>L201/L200-1</x:f>
        <x:v>0.008936970837253089</x:v>
      </x:c>
      <x:c r="N201" s="39" t="n">
        <x:f>IF(A201&lt;=$J$5,ABS(L201-D201),0)</x:f>
        <x:v>0</x:v>
      </x:c>
    </x:row>
    <x:row r="202">
      <x:c r="A202" s="39" t="n">
        <x:v>151</x:v>
      </x:c>
      <x:c r="B202" s="39" t="n">
        <x:v>11</x:v>
      </x:c>
      <x:c r="C202" s="39" t="n">
        <x:v>7</x:v>
      </x:c>
      <x:c r="D202" s="80" t="n">
        <x:v>1208020</x:v>
      </x:c>
      <x:c r="E202" s="81" t="n">
        <x:v>0.8184915820020763</x:v>
      </x:c>
      <x:c r="F202" s="81" t="n">
        <x:v>0.658729275245825</x:v>
      </x:c>
      <x:c r="G202" s="81" t="n">
        <x:v>0.5438859921240773</x:v>
      </x:c>
      <x:c r="H202" s="81" t="n">
        <x:v>0.5466883850596465</x:v>
      </x:c>
      <x:c r="I202" s="81" t="n">
        <x:v>0.427264088908145</x:v>
      </x:c>
      <x:c r="J202" s="81" t="n">
        <x:v>0.6505892349333308</x:v>
      </x:c>
      <x:c r="K202" s="83" t="n">
        <x:v>5</x:v>
      </x:c>
      <x:c r="L202" s="80" t="n">
        <x:f>'玩家战力_节点'!AU162</x:f>
        <x:v>854815</x:v>
      </x:c>
      <x:c r="M202" s="82" t="n">
        <x:f>L202/L201-1</x:f>
        <x:v>0.008899117759877173</x:v>
      </x:c>
      <x:c r="N202" s="39" t="n">
        <x:f>IF(A202&lt;=$J$5,ABS(L202-D202),0)</x:f>
        <x:v>0</x:v>
      </x:c>
    </x:row>
    <x:row r="203">
      <x:c r="A203" s="39" t="n">
        <x:v>152</x:v>
      </x:c>
      <x:c r="B203" s="39" t="n">
        <x:v>11</x:v>
      </x:c>
      <x:c r="C203" s="39" t="n">
        <x:v>8</x:v>
      </x:c>
      <x:c r="D203" s="80" t="n">
        <x:v>1215605</x:v>
      </x:c>
      <x:c r="E203" s="81" t="n">
        <x:v>0.8199036105679215</x:v>
      </x:c>
      <x:c r="F203" s="81" t="n">
        <x:v>0.659606704301788</x:v>
      </x:c>
      <x:c r="G203" s="81" t="n">
        <x:v>0.546142010507801</x:v>
      </x:c>
      <x:c r="H203" s="81" t="n">
        <x:v>0.5478218073643819</x:v>
      </x:c>
      <x:c r="I203" s="81" t="n">
        <x:v>0.43199952695442306</x:v>
      </x:c>
      <x:c r="J203" s="81" t="n">
        <x:v>0.6516397238986952</x:v>
      </x:c>
      <x:c r="K203" s="83" t="n">
        <x:v>5</x:v>
      </x:c>
      <x:c r="L203" s="80" t="n">
        <x:f>'玩家战力_节点'!AU163</x:f>
        <x:v>862400</x:v>
      </x:c>
      <x:c r="M203" s="82" t="n">
        <x:f>L203/L202-1</x:f>
        <x:v>0.008873264975462591</x:v>
      </x:c>
      <x:c r="N203" s="39" t="n">
        <x:f>IF(A203&lt;=$J$5,ABS(L203-D203),0)</x:f>
        <x:v>0</x:v>
      </x:c>
    </x:row>
    <x:row r="204">
      <x:c r="A204" s="39" t="n">
        <x:v>153</x:v>
      </x:c>
      <x:c r="B204" s="39" t="n">
        <x:v>11</x:v>
      </x:c>
      <x:c r="C204" s="39" t="n">
        <x:v>9</x:v>
      </x:c>
      <x:c r="D204" s="80" t="n">
        <x:v>1223220</x:v>
      </x:c>
      <x:c r="E204" s="81" t="n">
        <x:v>0.8213156391337666</x:v>
      </x:c>
      <x:c r="F204" s="81" t="n">
        <x:v>0.660484133357751</x:v>
      </x:c>
      <x:c r="G204" s="81" t="n">
        <x:v>0.5483980288915247</x:v>
      </x:c>
      <x:c r="H204" s="81" t="n">
        <x:v>0.5489552296691174</x:v>
      </x:c>
      <x:c r="I204" s="81" t="n">
        <x:v>0.436734965000701</x:v>
      </x:c>
      <x:c r="J204" s="81" t="n">
        <x:v>0.6526902128640597</x:v>
      </x:c>
      <x:c r="K204" s="83" t="n">
        <x:v>5</x:v>
      </x:c>
      <x:c r="L204" s="80" t="n">
        <x:f>'玩家战力_节点'!AU164</x:f>
        <x:v>870015</x:v>
      </x:c>
      <x:c r="M204" s="82" t="n">
        <x:f>L204/L203-1</x:f>
        <x:v>0.008830009276437956</x:v>
      </x:c>
      <x:c r="N204" s="39" t="n">
        <x:f>IF(A204&lt;=$J$5,ABS(L204-D204),0)</x:f>
        <x:v>0</x:v>
      </x:c>
    </x:row>
    <x:row r="205">
      <x:c r="A205" s="39" t="n">
        <x:v>154</x:v>
      </x:c>
      <x:c r="B205" s="39" t="n">
        <x:v>11</x:v>
      </x:c>
      <x:c r="C205" s="39" t="n">
        <x:v>10</x:v>
      </x:c>
      <x:c r="D205" s="80" t="n">
        <x:v>1230865</x:v>
      </x:c>
      <x:c r="E205" s="81" t="n">
        <x:v>0.8227276676996119</x:v>
      </x:c>
      <x:c r="F205" s="81" t="n">
        <x:v>0.661361562413714</x:v>
      </x:c>
      <x:c r="G205" s="81" t="n">
        <x:v>0.5506540472752485</x:v>
      </x:c>
      <x:c r="H205" s="81" t="n">
        <x:v>0.5500886519738528</x:v>
      </x:c>
      <x:c r="I205" s="81" t="n">
        <x:v>0.44147040304697904</x:v>
      </x:c>
      <x:c r="J205" s="81" t="n">
        <x:v>0.6537407018294241</x:v>
      </x:c>
      <x:c r="K205" s="83" t="n">
        <x:v>5</x:v>
      </x:c>
      <x:c r="L205" s="80" t="n">
        <x:f>'玩家战力_节点'!AU165</x:f>
        <x:v>877675</x:v>
      </x:c>
      <x:c r="M205" s="82" t="n">
        <x:f>L205/L204-1</x:f>
        <x:v>0.008804445900358004</x:v>
      </x:c>
      <x:c r="N205" s="39" t="n">
        <x:f>IF(A205&lt;=$J$5,ABS(L205-D205),0)</x:f>
        <x:v>0</x:v>
      </x:c>
    </x:row>
    <x:row r="206">
      <x:c r="A206" s="39" t="n">
        <x:v>155</x:v>
      </x:c>
      <x:c r="B206" s="39" t="n">
        <x:v>11</x:v>
      </x:c>
      <x:c r="C206" s="39" t="n">
        <x:v>11</x:v>
      </x:c>
      <x:c r="D206" s="80" t="n">
        <x:v>1238535</x:v>
      </x:c>
      <x:c r="E206" s="81" t="n">
        <x:v>0.8241396962654571</x:v>
      </x:c>
      <x:c r="F206" s="81" t="n">
        <x:v>0.662238991469677</x:v>
      </x:c>
      <x:c r="G206" s="81" t="n">
        <x:v>0.5529100656589722</x:v>
      </x:c>
      <x:c r="H206" s="81" t="n">
        <x:v>0.5512220742785882</x:v>
      </x:c>
      <x:c r="I206" s="81" t="n">
        <x:v>0.446205841093257</x:v>
      </x:c>
      <x:c r="J206" s="81" t="n">
        <x:v>0.6547911907947886</x:v>
      </x:c>
      <x:c r="K206" s="83" t="n">
        <x:v>5</x:v>
      </x:c>
      <x:c r="L206" s="80" t="n">
        <x:f>'玩家战力_节点'!AU166</x:f>
        <x:v>885370</x:v>
      </x:c>
      <x:c r="M206" s="82" t="n">
        <x:f>L206/L205-1</x:f>
        <x:v>0.008767482268493554</x:v>
      </x:c>
      <x:c r="N206" s="39" t="n">
        <x:f>IF(A206&lt;=$J$5,ABS(L206-D206),0)</x:f>
        <x:v>0</x:v>
      </x:c>
    </x:row>
    <x:row r="207">
      <x:c r="A207" s="39" t="n">
        <x:v>156</x:v>
      </x:c>
      <x:c r="B207" s="39" t="n">
        <x:v>11</x:v>
      </x:c>
      <x:c r="C207" s="39" t="n">
        <x:v>12</x:v>
      </x:c>
      <x:c r="D207" s="80" t="n">
        <x:v>1246230</x:v>
      </x:c>
      <x:c r="E207" s="81" t="n">
        <x:v>0.8255517248313023</x:v>
      </x:c>
      <x:c r="F207" s="81" t="n">
        <x:v>0.66311642052564</x:v>
      </x:c>
      <x:c r="G207" s="81" t="n">
        <x:v>0.555166084042696</x:v>
      </x:c>
      <x:c r="H207" s="81" t="n">
        <x:v>0.5523554965833236</x:v>
      </x:c>
      <x:c r="I207" s="81" t="n">
        <x:v>0.450941279139535</x:v>
      </x:c>
      <x:c r="J207" s="81" t="n">
        <x:v>0.6558416797601532</x:v>
      </x:c>
      <x:c r="K207" s="83" t="n">
        <x:v>5</x:v>
      </x:c>
      <x:c r="L207" s="80" t="n">
        <x:f>'玩家战力_节点'!AU167</x:f>
        <x:v>893110</x:v>
      </x:c>
      <x:c r="M207" s="82" t="n">
        <x:f>L207/L206-1</x:f>
        <x:v>0.008742107819329714</x:v>
      </x:c>
      <x:c r="N207" s="39" t="n">
        <x:f>IF(A207&lt;=$J$5,ABS(L207-D207),0)</x:f>
        <x:v>0</x:v>
      </x:c>
    </x:row>
    <x:row r="208">
      <x:c r="A208" s="39" t="n">
        <x:v>157</x:v>
      </x:c>
      <x:c r="B208" s="39" t="n">
        <x:v>11</x:v>
      </x:c>
      <x:c r="C208" s="39" t="n">
        <x:v>13</x:v>
      </x:c>
      <x:c r="D208" s="80" t="n">
        <x:v>1253955</x:v>
      </x:c>
      <x:c r="E208" s="81" t="n">
        <x:v>0.8269637533971476</x:v>
      </x:c>
      <x:c r="F208" s="81" t="n">
        <x:v>0.663993849581603</x:v>
      </x:c>
      <x:c r="G208" s="81" t="n">
        <x:v>0.5574221024264195</x:v>
      </x:c>
      <x:c r="H208" s="81" t="n">
        <x:v>0.5534889188880591</x:v>
      </x:c>
      <x:c r="I208" s="81" t="n">
        <x:v>0.45567671718581304</x:v>
      </x:c>
      <x:c r="J208" s="81" t="n">
        <x:v>0.6568921687255176</x:v>
      </x:c>
      <x:c r="K208" s="83" t="n">
        <x:v>5</x:v>
      </x:c>
      <x:c r="L208" s="80" t="n">
        <x:f>'玩家战力_节点'!AU168</x:f>
        <x:v>900885</x:v>
      </x:c>
      <x:c r="M208" s="82" t="n">
        <x:f>L208/L207-1</x:f>
        <x:v>0.008705534592603481</x:v>
      </x:c>
      <x:c r="N208" s="39" t="n">
        <x:f>IF(A208&lt;=$J$5,ABS(L208-D208),0)</x:f>
        <x:v>0</x:v>
      </x:c>
    </x:row>
    <x:row r="209">
      <x:c r="A209" s="39" t="n">
        <x:v>158</x:v>
      </x:c>
      <x:c r="B209" s="39" t="n">
        <x:v>11</x:v>
      </x:c>
      <x:c r="C209" s="39" t="n">
        <x:v>14</x:v>
      </x:c>
      <x:c r="D209" s="80" t="n">
        <x:v>1261710</x:v>
      </x:c>
      <x:c r="E209" s="81" t="n">
        <x:v>0.8283757819629928</x:v>
      </x:c>
      <x:c r="F209" s="81" t="n">
        <x:v>0.664871278637566</x:v>
      </x:c>
      <x:c r="G209" s="81" t="n">
        <x:v>0.5596781208101433</x:v>
      </x:c>
      <x:c r="H209" s="81" t="n">
        <x:v>0.5546223411927945</x:v>
      </x:c>
      <x:c r="I209" s="81" t="n">
        <x:v>0.460412155232091</x:v>
      </x:c>
      <x:c r="J209" s="81" t="n">
        <x:v>0.6579426576908821</x:v>
      </x:c>
      <x:c r="K209" s="83" t="n">
        <x:v>5</x:v>
      </x:c>
      <x:c r="L209" s="80" t="n">
        <x:f>'玩家战力_节点'!AU169</x:f>
        <x:v>908695</x:v>
      </x:c>
      <x:c r="M209" s="82" t="n">
        <x:f>L209/L208-1</x:f>
        <x:v>0.008669253012315581</x:v>
      </x:c>
      <x:c r="N209" s="39" t="n">
        <x:f>IF(A209&lt;=$J$5,ABS(L209-D209),0)</x:f>
        <x:v>0</x:v>
      </x:c>
    </x:row>
    <x:row r="210">
      <x:c r="A210" s="39" t="n">
        <x:v>159</x:v>
      </x:c>
      <x:c r="B210" s="39" t="n">
        <x:v>11</x:v>
      </x:c>
      <x:c r="C210" s="39" t="n">
        <x:v>15</x:v>
      </x:c>
      <x:c r="D210" s="80" t="n">
        <x:v>1269485</x:v>
      </x:c>
      <x:c r="E210" s="81" t="n">
        <x:v>0.829787810528838</x:v>
      </x:c>
      <x:c r="F210" s="81" t="n">
        <x:v>0.665748707693529</x:v>
      </x:c>
      <x:c r="G210" s="81" t="n">
        <x:v>0.561934139193867</x:v>
      </x:c>
      <x:c r="H210" s="81" t="n">
        <x:v>0.5557557634975299</x:v>
      </x:c>
      <x:c r="I210" s="81" t="n">
        <x:v>0.465147593278369</x:v>
      </x:c>
      <x:c r="J210" s="81" t="n">
        <x:v>0.6589931466562465</x:v>
      </x:c>
      <x:c r="K210" s="83" t="n">
        <x:v>5</x:v>
      </x:c>
      <x:c r="L210" s="80" t="n">
        <x:f>'玩家战力_节点'!AU170</x:f>
        <x:v>916550</x:v>
      </x:c>
      <x:c r="M210" s="82" t="n">
        <x:f>L210/L209-1</x:f>
        <x:v>0.008644264577223337</x:v>
      </x:c>
      <x:c r="N210" s="39" t="n">
        <x:f>IF(A210&lt;=$J$5,ABS(L210-D210),0)</x:f>
        <x:v>0</x:v>
      </x:c>
    </x:row>
    <x:row r="211">
      <x:c r="A211" s="39" t="n">
        <x:v>160</x:v>
      </x:c>
      <x:c r="B211" s="39" t="n">
        <x:v>12</x:v>
      </x:c>
      <x:c r="C211" s="39" t="n">
        <x:v>1</x:v>
      </x:c>
      <x:c r="D211" s="80" t="n">
        <x:v>1276200</x:v>
      </x:c>
      <x:c r="E211" s="81" t="n">
        <x:v>0.831046183825402</x:v>
      </x:c>
      <x:c r="F211" s="81" t="n">
        <x:v>0.66650027577917</x:v>
      </x:c>
      <x:c r="G211" s="81" t="n">
        <x:v>0.563866547753058</x:v>
      </x:c>
      <x:c r="H211" s="81" t="n">
        <x:v>0.5567266044173779</x:v>
      </x:c>
      <x:c r="I211" s="81" t="n">
        <x:v>0.469203766347775</x:v>
      </x:c>
      <x:c r="J211" s="81" t="n">
        <x:v>0.6598929504356177</x:v>
      </x:c>
      <x:c r="K211" s="83" t="n">
        <x:v>5</x:v>
      </x:c>
      <x:c r="L211" s="80" t="n">
        <x:f>'玩家战力_节点'!AU171</x:f>
        <x:v>923825</x:v>
      </x:c>
      <x:c r="M211" s="82" t="n">
        <x:f>L211/L210-1</x:f>
        <x:v>0.007937373847580531</x:v>
      </x:c>
      <x:c r="N211" s="39" t="n">
        <x:f>IF(A211&lt;=$J$5,ABS(L211-D211),0)</x:f>
        <x:v>0</x:v>
      </x:c>
    </x:row>
    <x:row r="212">
      <x:c r="A212" s="39" t="n">
        <x:v>161</x:v>
      </x:c>
      <x:c r="B212" s="39" t="n">
        <x:v>12</x:v>
      </x:c>
      <x:c r="C212" s="39" t="n">
        <x:v>2</x:v>
      </x:c>
      <x:c r="D212" s="80" t="n">
        <x:v>1282025</x:v>
      </x:c>
      <x:c r="E212" s="81" t="n">
        <x:v>0.8321717912269961</x:v>
      </x:c>
      <x:c r="F212" s="81" t="n">
        <x:v>0.6671483177696677</x:v>
      </x:c>
      <x:c r="G212" s="81" t="n">
        <x:v>0.5655327732262764</x:v>
      </x:c>
      <x:c r="H212" s="81" t="n">
        <x:v>0.5575637151119046</x:v>
      </x:c>
      <x:c r="I212" s="81" t="n">
        <x:v>0.47270121457624736</x:v>
      </x:c>
      <x:c r="J212" s="81" t="n">
        <x:v>0.6606688091281059</x:v>
      </x:c>
      <x:c r="K212" s="83" t="n">
        <x:v>5</x:v>
      </x:c>
      <x:c r="L212" s="80" t="n">
        <x:f>'玩家战力_节点'!AU172</x:f>
        <x:v>930605</x:v>
      </x:c>
      <x:c r="M212" s="82" t="n">
        <x:f>L212/L211-1</x:f>
        <x:v>0.007339052309690786</x:v>
      </x:c>
      <x:c r="N212" s="39" t="n">
        <x:f>IF(A212&lt;=$J$5,ABS(L212-D212),0)</x:f>
        <x:v>0</x:v>
      </x:c>
    </x:row>
    <x:row r="213">
      <x:c r="A213" s="39" t="n">
        <x:v>162</x:v>
      </x:c>
      <x:c r="B213" s="39" t="n">
        <x:v>12</x:v>
      </x:c>
      <x:c r="C213" s="39" t="n">
        <x:v>3</x:v>
      </x:c>
      <x:c r="D213" s="80" t="n">
        <x:v>1287865</x:v>
      </x:c>
      <x:c r="E213" s="81" t="n">
        <x:v>0.8332973986285903</x:v>
      </x:c>
      <x:c r="F213" s="81" t="n">
        <x:v>0.6677963597601652</x:v>
      </x:c>
      <x:c r="G213" s="81" t="n">
        <x:v>0.5671989986994949</x:v>
      </x:c>
      <x:c r="H213" s="81" t="n">
        <x:v>0.5584008258064314</x:v>
      </x:c>
      <x:c r="I213" s="81" t="n">
        <x:v>0.47619866280471984</x:v>
      </x:c>
      <x:c r="J213" s="81" t="n">
        <x:v>0.6614446678205941</x:v>
      </x:c>
      <x:c r="K213" s="83" t="n">
        <x:v>5</x:v>
      </x:c>
      <x:c r="L213" s="80" t="n">
        <x:f>'玩家战力_节点'!AU173</x:f>
        <x:v>937415</x:v>
      </x:c>
      <x:c r="M213" s="82" t="n">
        <x:f>L213/L212-1</x:f>
        <x:v>0.0073178201277663835</x:v>
      </x:c>
      <x:c r="N213" s="39" t="n">
        <x:f>IF(A213&lt;=$J$5,ABS(L213-D213),0)</x:f>
        <x:v>0</x:v>
      </x:c>
    </x:row>
    <x:row r="214">
      <x:c r="A214" s="39" t="n">
        <x:v>163</x:v>
      </x:c>
      <x:c r="B214" s="39" t="n">
        <x:v>12</x:v>
      </x:c>
      <x:c r="C214" s="39" t="n">
        <x:v>4</x:v>
      </x:c>
      <x:c r="D214" s="80" t="n">
        <x:v>1293720</x:v>
      </x:c>
      <x:c r="E214" s="81" t="n">
        <x:v>0.8344230060301845</x:v>
      </x:c>
      <x:c r="F214" s="81" t="n">
        <x:v>0.6684444017506628</x:v>
      </x:c>
      <x:c r="G214" s="81" t="n">
        <x:v>0.5688652241727133</x:v>
      </x:c>
      <x:c r="H214" s="81" t="n">
        <x:v>0.559237936500958</x:v>
      </x:c>
      <x:c r="I214" s="81" t="n">
        <x:v>0.47969611103319226</x:v>
      </x:c>
      <x:c r="J214" s="81" t="n">
        <x:v>0.6622205265130823</x:v>
      </x:c>
      <x:c r="K214" s="83" t="n">
        <x:v>5</x:v>
      </x:c>
      <x:c r="L214" s="80" t="n">
        <x:f>'玩家战力_节点'!AU174</x:f>
        <x:v>944255</x:v>
      </x:c>
      <x:c r="M214" s="82" t="n">
        <x:f>L214/L213-1</x:f>
        <x:v>0.007296661563981788</x:v>
      </x:c>
      <x:c r="N214" s="39" t="n">
        <x:f>IF(A214&lt;=$J$5,ABS(L214-D214),0)</x:f>
        <x:v>0</x:v>
      </x:c>
    </x:row>
    <x:row r="215">
      <x:c r="A215" s="39" t="n">
        <x:v>164</x:v>
      </x:c>
      <x:c r="B215" s="39" t="n">
        <x:v>12</x:v>
      </x:c>
      <x:c r="C215" s="39" t="n">
        <x:v>5</x:v>
      </x:c>
      <x:c r="D215" s="80" t="n">
        <x:v>1299590</x:v>
      </x:c>
      <x:c r="E215" s="81" t="n">
        <x:v>0.8355486134317788</x:v>
      </x:c>
      <x:c r="F215" s="81" t="n">
        <x:v>0.6690924437411604</x:v>
      </x:c>
      <x:c r="G215" s="81" t="n">
        <x:v>0.5705314496459316</x:v>
      </x:c>
      <x:c r="H215" s="81" t="n">
        <x:v>0.5600750471954847</x:v>
      </x:c>
      <x:c r="I215" s="81" t="n">
        <x:v>0.48319355926166463</x:v>
      </x:c>
      <x:c r="J215" s="81" t="n">
        <x:v>0.6629963852055705</x:v>
      </x:c>
      <x:c r="K215" s="83" t="n">
        <x:v>5</x:v>
      </x:c>
      <x:c r="L215" s="80" t="n">
        <x:f>'玩家战力_节点'!AU175</x:f>
        <x:v>951125</x:v>
      </x:c>
      <x:c r="M215" s="82" t="n">
        <x:f>L215/L214-1</x:f>
        <x:v>0.007275577042218373</x:v>
      </x:c>
      <x:c r="N215" s="39" t="n">
        <x:f>IF(A215&lt;=$J$5,ABS(L215-D215),0)</x:f>
        <x:v>0</x:v>
      </x:c>
    </x:row>
    <x:row r="216">
      <x:c r="A216" s="39" t="n">
        <x:v>165</x:v>
      </x:c>
      <x:c r="B216" s="39" t="n">
        <x:v>12</x:v>
      </x:c>
      <x:c r="C216" s="39" t="n">
        <x:v>6</x:v>
      </x:c>
      <x:c r="D216" s="80" t="n">
        <x:v>1305475</x:v>
      </x:c>
      <x:c r="E216" s="81" t="n">
        <x:v>0.8366742208333731</x:v>
      </x:c>
      <x:c r="F216" s="81" t="n">
        <x:v>0.6697404857316579</x:v>
      </x:c>
      <x:c r="G216" s="81" t="n">
        <x:v>0.5721976751191501</x:v>
      </x:c>
      <x:c r="H216" s="81" t="n">
        <x:v>0.5609121578900115</x:v>
      </x:c>
      <x:c r="I216" s="81" t="n">
        <x:v>0.4866910074901371</x:v>
      </x:c>
      <x:c r="J216" s="81" t="n">
        <x:v>0.6637722438980587</x:v>
      </x:c>
      <x:c r="K216" s="83" t="n">
        <x:v>5</x:v>
      </x:c>
      <x:c r="L216" s="80" t="n">
        <x:f>'玩家战力_节点'!AU176</x:f>
        <x:v>958025</x:v>
      </x:c>
      <x:c r="M216" s="82" t="n">
        <x:f>L216/L215-1</x:f>
        <x:v>0.007254566960178677</x:v>
      </x:c>
      <x:c r="N216" s="39" t="n">
        <x:f>IF(A216&lt;=$J$5,ABS(L216-D216),0)</x:f>
        <x:v>0</x:v>
      </x:c>
    </x:row>
    <x:row r="217">
      <x:c r="A217" s="39" t="n">
        <x:v>166</x:v>
      </x:c>
      <x:c r="B217" s="39" t="n">
        <x:v>12</x:v>
      </x:c>
      <x:c r="C217" s="39" t="n">
        <x:v>7</x:v>
      </x:c>
      <x:c r="D217" s="80" t="n">
        <x:v>1311375</x:v>
      </x:c>
      <x:c r="E217" s="81" t="n">
        <x:v>0.8377998282349672</x:v>
      </x:c>
      <x:c r="F217" s="81" t="n">
        <x:v>0.6703885277221554</x:v>
      </x:c>
      <x:c r="G217" s="81" t="n">
        <x:v>0.5738639005923686</x:v>
      </x:c>
      <x:c r="H217" s="81" t="n">
        <x:v>0.5617492685845382</x:v>
      </x:c>
      <x:c r="I217" s="81" t="n">
        <x:v>0.49018845571860953</x:v>
      </x:c>
      <x:c r="J217" s="81" t="n">
        <x:v>0.664548102590547</x:v>
      </x:c>
      <x:c r="K217" s="83" t="n">
        <x:v>5</x:v>
      </x:c>
      <x:c r="L217" s="80" t="n">
        <x:f>'玩家战力_节点'!AU177</x:f>
        <x:v>964955</x:v>
      </x:c>
      <x:c r="M217" s="82" t="n">
        <x:f>L217/L216-1</x:f>
        <x:v>0.007233631690195974</x:v>
      </x:c>
      <x:c r="N217" s="39" t="n">
        <x:f>IF(A217&lt;=$J$5,ABS(L217-D217),0)</x:f>
        <x:v>0</x:v>
      </x:c>
    </x:row>
    <x:row r="218">
      <x:c r="A218" s="39" t="n">
        <x:v>167</x:v>
      </x:c>
      <x:c r="B218" s="39" t="n">
        <x:v>12</x:v>
      </x:c>
      <x:c r="C218" s="39" t="n">
        <x:v>8</x:v>
      </x:c>
      <x:c r="D218" s="80" t="n">
        <x:v>1317290</x:v>
      </x:c>
      <x:c r="E218" s="81" t="n">
        <x:v>0.8389254356365614</x:v>
      </x:c>
      <x:c r="F218" s="81" t="n">
        <x:v>0.671036569712653</x:v>
      </x:c>
      <x:c r="G218" s="81" t="n">
        <x:v>0.575530126065587</x:v>
      </x:c>
      <x:c r="H218" s="81" t="n">
        <x:v>0.5625863792790649</x:v>
      </x:c>
      <x:c r="I218" s="81" t="n">
        <x:v>0.493685903947082</x:v>
      </x:c>
      <x:c r="J218" s="81" t="n">
        <x:v>0.6653239612830351</x:v>
      </x:c>
      <x:c r="K218" s="83" t="n">
        <x:v>5</x:v>
      </x:c>
      <x:c r="L218" s="80" t="n">
        <x:f>'玩家战力_节点'!AU178</x:f>
        <x:v>971910</x:v>
      </x:c>
      <x:c r="M218" s="82" t="n">
        <x:f>L218/L217-1</x:f>
        <x:v>0.007207589991243157</x:v>
      </x:c>
      <x:c r="N218" s="39" t="n">
        <x:f>IF(A218&lt;=$J$5,ABS(L218-D218),0)</x:f>
        <x:v>0</x:v>
      </x:c>
    </x:row>
    <x:row r="219">
      <x:c r="A219" s="39" t="n">
        <x:v>168</x:v>
      </x:c>
      <x:c r="B219" s="39" t="n">
        <x:v>12</x:v>
      </x:c>
      <x:c r="C219" s="39" t="n">
        <x:v>9</x:v>
      </x:c>
      <x:c r="D219" s="80" t="n">
        <x:v>1323225</x:v>
      </x:c>
      <x:c r="E219" s="81" t="n">
        <x:v>0.8400510430381556</x:v>
      </x:c>
      <x:c r="F219" s="81" t="n">
        <x:v>0.6716846117031506</x:v>
      </x:c>
      <x:c r="G219" s="81" t="n">
        <x:v>0.5771963515388054</x:v>
      </x:c>
      <x:c r="H219" s="81" t="n">
        <x:v>0.5634234899735916</x:v>
      </x:c>
      <x:c r="I219" s="81" t="n">
        <x:v>0.4971833521755544</x:v>
      </x:c>
      <x:c r="J219" s="81" t="n">
        <x:v>0.6660998199755233</x:v>
      </x:c>
      <x:c r="K219" s="83" t="n">
        <x:v>5</x:v>
      </x:c>
      <x:c r="L219" s="80" t="n">
        <x:f>'玩家战力_节点'!AU179</x:f>
        <x:v>978895</x:v>
      </x:c>
      <x:c r="M219" s="82" t="n">
        <x:f>L219/L218-1</x:f>
        <x:v>0.007186879443569882</x:v>
      </x:c>
      <x:c r="N219" s="39" t="n">
        <x:f>IF(A219&lt;=$J$5,ABS(L219-D219),0)</x:f>
        <x:v>0</x:v>
      </x:c>
    </x:row>
    <x:row r="220">
      <x:c r="A220" s="39" t="n">
        <x:v>169</x:v>
      </x:c>
      <x:c r="B220" s="39" t="n">
        <x:v>12</x:v>
      </x:c>
      <x:c r="C220" s="39" t="n">
        <x:v>10</x:v>
      </x:c>
      <x:c r="D220" s="80" t="n">
        <x:v>1329170</x:v>
      </x:c>
      <x:c r="E220" s="81" t="n">
        <x:v>0.8411766504397498</x:v>
      </x:c>
      <x:c r="F220" s="81" t="n">
        <x:v>0.6723326536936481</x:v>
      </x:c>
      <x:c r="G220" s="81" t="n">
        <x:v>0.5788625770120238</x:v>
      </x:c>
      <x:c r="H220" s="81" t="n">
        <x:v>0.5642606006681183</x:v>
      </x:c>
      <x:c r="I220" s="81" t="n">
        <x:v>0.5006808004040268</x:v>
      </x:c>
      <x:c r="J220" s="81" t="n">
        <x:v>0.6668756786680115</x:v>
      </x:c>
      <x:c r="K220" s="83" t="n">
        <x:v>5</x:v>
      </x:c>
      <x:c r="L220" s="80" t="n">
        <x:f>'玩家战力_节点'!AU180</x:f>
        <x:v>985910</x:v>
      </x:c>
      <x:c r="M220" s="82" t="n">
        <x:f>L220/L219-1</x:f>
        <x:v>0.0071662435705566185</x:v>
      </x:c>
      <x:c r="N220" s="39" t="n">
        <x:f>IF(A220&lt;=$J$5,ABS(L220-D220),0)</x:f>
        <x:v>0</x:v>
      </x:c>
    </x:row>
    <x:row r="221">
      <x:c r="A221" s="39" t="n">
        <x:v>170</x:v>
      </x:c>
      <x:c r="B221" s="39" t="n">
        <x:v>12</x:v>
      </x:c>
      <x:c r="C221" s="39" t="n">
        <x:v>11</x:v>
      </x:c>
      <x:c r="D221" s="80" t="n">
        <x:v>1335130</x:v>
      </x:c>
      <x:c r="E221" s="81" t="n">
        <x:v>0.842302257841344</x:v>
      </x:c>
      <x:c r="F221" s="81" t="n">
        <x:v>0.6729806956841458</x:v>
      </x:c>
      <x:c r="G221" s="81" t="n">
        <x:v>0.5805288024852423</x:v>
      </x:c>
      <x:c r="H221" s="81" t="n">
        <x:v>0.5650977113626451</x:v>
      </x:c>
      <x:c r="I221" s="81" t="n">
        <x:v>0.5041782486324993</x:v>
      </x:c>
      <x:c r="J221" s="81" t="n">
        <x:v>0.6676515373604996</x:v>
      </x:c>
      <x:c r="K221" s="83" t="n">
        <x:v>5</x:v>
      </x:c>
      <x:c r="L221" s="80" t="n">
        <x:f>'玩家战力_节点'!AU181</x:f>
        <x:v>992960</x:v>
      </x:c>
      <x:c r="M221" s="82" t="n">
        <x:f>L221/L220-1</x:f>
        <x:v>0.007150754125630154</x:v>
      </x:c>
      <x:c r="N221" s="39" t="n">
        <x:f>IF(A221&lt;=$J$5,ABS(L221-D221),0)</x:f>
        <x:v>0</x:v>
      </x:c>
    </x:row>
    <x:row r="222">
      <x:c r="A222" s="39" t="n">
        <x:v>171</x:v>
      </x:c>
      <x:c r="B222" s="39" t="n">
        <x:v>12</x:v>
      </x:c>
      <x:c r="C222" s="39" t="n">
        <x:v>12</x:v>
      </x:c>
      <x:c r="D222" s="80" t="n">
        <x:v>1341110</x:v>
      </x:c>
      <x:c r="E222" s="81" t="n">
        <x:v>0.8434278652429383</x:v>
      </x:c>
      <x:c r="F222" s="81" t="n">
        <x:v>0.6736287376746433</x:v>
      </x:c>
      <x:c r="G222" s="81" t="n">
        <x:v>0.5821950279584607</x:v>
      </x:c>
      <x:c r="H222" s="81" t="n">
        <x:v>0.5659348220571717</x:v>
      </x:c>
      <x:c r="I222" s="81" t="n">
        <x:v>0.5076756968609717</x:v>
      </x:c>
      <x:c r="J222" s="81" t="n">
        <x:v>0.6684273960529878</x:v>
      </x:c>
      <x:c r="K222" s="83" t="n">
        <x:v>5</x:v>
      </x:c>
      <x:c r="L222" s="80" t="n">
        <x:f>'玩家战力_节点'!AU182</x:f>
        <x:v>1000030</x:v>
      </x:c>
      <x:c r="M222" s="82" t="n">
        <x:f>L222/L221-1</x:f>
        <x:v>0.007120125684821232</x:v>
      </x:c>
      <x:c r="N222" s="39" t="n">
        <x:f>IF(A222&lt;=$J$5,ABS(L222-D222),0)</x:f>
        <x:v>0</x:v>
      </x:c>
    </x:row>
    <x:row r="223">
      <x:c r="A223" s="39" t="n">
        <x:v>172</x:v>
      </x:c>
      <x:c r="B223" s="39" t="n">
        <x:v>12</x:v>
      </x:c>
      <x:c r="C223" s="39" t="n">
        <x:v>13</x:v>
      </x:c>
      <x:c r="D223" s="80" t="n">
        <x:v>1347105</x:v>
      </x:c>
      <x:c r="E223" s="81" t="n">
        <x:v>0.8445534726445325</x:v>
      </x:c>
      <x:c r="F223" s="81" t="n">
        <x:v>0.6742767796651409</x:v>
      </x:c>
      <x:c r="G223" s="81" t="n">
        <x:v>0.5838612534316792</x:v>
      </x:c>
      <x:c r="H223" s="81" t="n">
        <x:v>0.5667719327516985</x:v>
      </x:c>
      <x:c r="I223" s="81" t="n">
        <x:v>0.5111731450894441</x:v>
      </x:c>
      <x:c r="J223" s="81" t="n">
        <x:v>0.669203254745476</x:v>
      </x:c>
      <x:c r="K223" s="83" t="n">
        <x:v>5</x:v>
      </x:c>
      <x:c r="L223" s="80" t="n">
        <x:f>'玩家战力_节点'!AU183</x:f>
        <x:v>1007135</x:v>
      </x:c>
      <x:c r="M223" s="82" t="n">
        <x:f>L223/L222-1</x:f>
        <x:v>0.007104786856394263</x:v>
      </x:c>
      <x:c r="N223" s="39" t="n">
        <x:f>IF(A223&lt;=$J$5,ABS(L223-D223),0)</x:f>
        <x:v>0</x:v>
      </x:c>
    </x:row>
    <x:row r="224">
      <x:c r="A224" s="39" t="n">
        <x:v>173</x:v>
      </x:c>
      <x:c r="B224" s="39" t="n">
        <x:v>12</x:v>
      </x:c>
      <x:c r="C224" s="39" t="n">
        <x:v>14</x:v>
      </x:c>
      <x:c r="D224" s="80" t="n">
        <x:v>1353110</x:v>
      </x:c>
      <x:c r="E224" s="81" t="n">
        <x:v>0.8456790800461267</x:v>
      </x:c>
      <x:c r="F224" s="81" t="n">
        <x:v>0.6749248216556385</x:v>
      </x:c>
      <x:c r="G224" s="81" t="n">
        <x:v>0.5855274789048975</x:v>
      </x:c>
      <x:c r="H224" s="81" t="n">
        <x:v>0.5676090434462252</x:v>
      </x:c>
      <x:c r="I224" s="81" t="n">
        <x:v>0.5146705933179165</x:v>
      </x:c>
      <x:c r="J224" s="81" t="n">
        <x:v>0.6699791134379643</x:v>
      </x:c>
      <x:c r="K224" s="83" t="n">
        <x:v>5</x:v>
      </x:c>
      <x:c r="L224" s="80" t="n">
        <x:f>'玩家战力_节点'!AU184</x:f>
        <x:v>1014270</x:v>
      </x:c>
      <x:c r="M224" s="82" t="n">
        <x:f>L224/L223-1</x:f>
        <x:v>0.00708445243189848</x:v>
      </x:c>
      <x:c r="N224" s="39" t="n">
        <x:f>IF(A224&lt;=$J$5,ABS(L224-D224),0)</x:f>
        <x:v>0</x:v>
      </x:c>
    </x:row>
    <x:row r="225">
      <x:c r="A225" s="39" t="n">
        <x:v>174</x:v>
      </x:c>
      <x:c r="B225" s="39" t="n">
        <x:v>12</x:v>
      </x:c>
      <x:c r="C225" s="39" t="n">
        <x:v>15</x:v>
      </x:c>
      <x:c r="D225" s="80" t="n">
        <x:v>1359135</x:v>
      </x:c>
      <x:c r="E225" s="81" t="n">
        <x:v>0.8468046874477209</x:v>
      </x:c>
      <x:c r="F225" s="81" t="n">
        <x:v>0.675572863646136</x:v>
      </x:c>
      <x:c r="G225" s="81" t="n">
        <x:v>0.587193704378116</x:v>
      </x:c>
      <x:c r="H225" s="81" t="n">
        <x:v>0.568446154140752</x:v>
      </x:c>
      <x:c r="I225" s="81" t="n">
        <x:v>0.518168041546389</x:v>
      </x:c>
      <x:c r="J225" s="81" t="n">
        <x:v>0.6707549721304524</x:v>
      </x:c>
      <x:c r="K225" s="83" t="n">
        <x:v>5</x:v>
      </x:c>
      <x:c r="L225" s="80" t="n">
        <x:f>'玩家战力_节点'!AU185</x:f>
        <x:v>1021435</x:v>
      </x:c>
      <x:c r="M225" s="82" t="n">
        <x:f>L225/L224-1</x:f>
        <x:v>0.007064193952300624</x:v>
      </x:c>
      <x:c r="N225" s="39" t="n">
        <x:f>IF(A225&lt;=$J$5,ABS(L225-D225),0)</x:f>
        <x:v>0</x:v>
      </x:c>
    </x:row>
    <x:row r="226">
      <x:c r="A226" s="39" t="n">
        <x:v>175</x:v>
      </x:c>
      <x:c r="B226" s="39" t="n">
        <x:v>13</x:v>
      </x:c>
      <x:c r="C226" s="39" t="n">
        <x:v>1</x:v>
      </x:c>
      <x:c r="D226" s="80" t="n">
        <x:v>1364330</x:v>
      </x:c>
      <x:c r="E226" s="81" t="n">
        <x:v>0.847807807590501</x:v>
      </x:c>
      <x:c r="F226" s="81" t="n">
        <x:v>0.676127948612725</x:v>
      </x:c>
      <x:c r="G226" s="81" t="n">
        <x:v>0.588620921633621</x:v>
      </x:c>
      <x:c r="H226" s="81" t="n">
        <x:v>0.5691631872477356</x:v>
      </x:c>
      <x:c r="I226" s="81" t="n">
        <x:v>0.521163805650434</x:v>
      </x:c>
      <x:c r="J226" s="81" t="n">
        <x:v>0.6714195394003397</x:v>
      </x:c>
      <x:c r="K226" s="83" t="n">
        <x:v>5</x:v>
      </x:c>
      <x:c r="L226" s="80" t="n">
        <x:f>'玩家战力_节点'!AU186</x:f>
        <x:v>1028120</x:v>
      </x:c>
      <x:c r="M226" s="82" t="n">
        <x:f>L226/L225-1</x:f>
        <x:v>0.006544714054247169</x:v>
      </x:c>
      <x:c r="N226" s="39" t="n">
        <x:f>IF(A226&lt;=$J$5,ABS(L226-D226),0)</x:f>
        <x:v>0</x:v>
      </x:c>
    </x:row>
    <x:row r="227">
      <x:c r="A227" s="39" t="n">
        <x:v>176</x:v>
      </x:c>
      <x:c r="B227" s="39" t="n">
        <x:v>13</x:v>
      </x:c>
      <x:c r="C227" s="39" t="n">
        <x:v>2</x:v>
      </x:c>
      <x:c r="D227" s="80" t="n">
        <x:v>1368835</x:v>
      </x:c>
      <x:c r="E227" s="81" t="n">
        <x:v>0.8487050925698351</x:v>
      </x:c>
      <x:c r="F227" s="81" t="n">
        <x:v>0.6766065724041234</x:v>
      </x:c>
      <x:c r="G227" s="81" t="n">
        <x:v>0.5898515442861808</x:v>
      </x:c>
      <x:c r="H227" s="81" t="n">
        <x:v>0.569781451342207</x:v>
      </x:c>
      <x:c r="I227" s="81" t="n">
        <x:v>0.5237469128500856</x:v>
      </x:c>
      <x:c r="J227" s="81" t="n">
        <x:v>0.6719925646586303</x:v>
      </x:c>
      <x:c r="K227" s="83" t="n">
        <x:v>5</x:v>
      </x:c>
      <x:c r="L227" s="80" t="n">
        <x:f>'玩家战力_节点'!AU187</x:f>
        <x:v>1034410</x:v>
      </x:c>
      <x:c r="M227" s="82" t="n">
        <x:f>L227/L226-1</x:f>
        <x:v>0.006117962883710026</x:v>
      </x:c>
      <x:c r="N227" s="39" t="n">
        <x:f>IF(A227&lt;=$J$5,ABS(L227-D227),0)</x:f>
        <x:v>0</x:v>
      </x:c>
    </x:row>
    <x:row r="228">
      <x:c r="A228" s="39" t="n">
        <x:v>177</x:v>
      </x:c>
      <x:c r="B228" s="39" t="n">
        <x:v>13</x:v>
      </x:c>
      <x:c r="C228" s="39" t="n">
        <x:v>3</x:v>
      </x:c>
      <x:c r="D228" s="80" t="n">
        <x:v>1373350</x:v>
      </x:c>
      <x:c r="E228" s="81" t="n">
        <x:v>0.8496023775491693</x:v>
      </x:c>
      <x:c r="F228" s="81" t="n">
        <x:v>0.6770851961955217</x:v>
      </x:c>
      <x:c r="G228" s="81" t="n">
        <x:v>0.5910821669387407</x:v>
      </x:c>
      <x:c r="H228" s="81" t="n">
        <x:v>0.5703997154366784</x:v>
      </x:c>
      <x:c r="I228" s="81" t="n">
        <x:v>0.5263300200497372</x:v>
      </x:c>
      <x:c r="J228" s="81" t="n">
        <x:v>0.672565589916921</x:v>
      </x:c>
      <x:c r="K228" s="83" t="n">
        <x:v>5</x:v>
      </x:c>
      <x:c r="L228" s="80" t="n">
        <x:f>'玩家战力_节点'!AU188</x:f>
        <x:v>1040720</x:v>
      </x:c>
      <x:c r="M228" s="82" t="n">
        <x:f>L228/L227-1</x:f>
        <x:v>0.006100095706731423</x:v>
      </x:c>
      <x:c r="N228" s="39" t="n">
        <x:f>IF(A228&lt;=$J$5,ABS(L228-D228),0)</x:f>
        <x:v>0</x:v>
      </x:c>
    </x:row>
    <x:row r="229">
      <x:c r="A229" s="39" t="n">
        <x:v>178</x:v>
      </x:c>
      <x:c r="B229" s="39" t="n">
        <x:v>13</x:v>
      </x:c>
      <x:c r="C229" s="39" t="n">
        <x:v>4</x:v>
      </x:c>
      <x:c r="D229" s="80" t="n">
        <x:v>1377875</x:v>
      </x:c>
      <x:c r="E229" s="81" t="n">
        <x:v>0.8504996625285034</x:v>
      </x:c>
      <x:c r="F229" s="81" t="n">
        <x:v>0.6775638199869201</x:v>
      </x:c>
      <x:c r="G229" s="81" t="n">
        <x:v>0.5923127895913006</x:v>
      </x:c>
      <x:c r="H229" s="81" t="n">
        <x:v>0.5710179795311499</x:v>
      </x:c>
      <x:c r="I229" s="81" t="n">
        <x:v>0.5289131272493889</x:v>
      </x:c>
      <x:c r="J229" s="81" t="n">
        <x:v>0.6731386151752116</x:v>
      </x:c>
      <x:c r="K229" s="83" t="n">
        <x:v>5</x:v>
      </x:c>
      <x:c r="L229" s="80" t="n">
        <x:f>'玩家战力_节点'!AU189</x:f>
        <x:v>1047055</x:v>
      </x:c>
      <x:c r="M229" s="82" t="n">
        <x:f>L229/L228-1</x:f>
        <x:v>0.006087131985548444</x:v>
      </x:c>
      <x:c r="N229" s="39" t="n">
        <x:f>IF(A229&lt;=$J$5,ABS(L229-D229),0)</x:f>
        <x:v>0</x:v>
      </x:c>
    </x:row>
    <x:row r="230">
      <x:c r="A230" s="39" t="n">
        <x:v>179</x:v>
      </x:c>
      <x:c r="B230" s="39" t="n">
        <x:v>13</x:v>
      </x:c>
      <x:c r="C230" s="39" t="n">
        <x:v>5</x:v>
      </x:c>
      <x:c r="D230" s="80" t="n">
        <x:v>1382405</x:v>
      </x:c>
      <x:c r="E230" s="81" t="n">
        <x:v>0.8513969475078376</x:v>
      </x:c>
      <x:c r="F230" s="81" t="n">
        <x:v>0.6780424437783185</x:v>
      </x:c>
      <x:c r="G230" s="81" t="n">
        <x:v>0.5935434122438604</x:v>
      </x:c>
      <x:c r="H230" s="81" t="n">
        <x:v>0.5716362436256213</x:v>
      </x:c>
      <x:c r="I230" s="81" t="n">
        <x:v>0.5314962344490405</x:v>
      </x:c>
      <x:c r="J230" s="81" t="n">
        <x:v>0.6737116404335022</x:v>
      </x:c>
      <x:c r="K230" s="83" t="n">
        <x:v>5</x:v>
      </x:c>
      <x:c r="L230" s="80" t="n">
        <x:f>'玩家战力_节点'!AU190</x:f>
        <x:v>1053415</x:v>
      </x:c>
      <x:c r="M230" s="82" t="n">
        <x:f>L230/L229-1</x:f>
        <x:v>0.006074179484363285</x:v>
      </x:c>
      <x:c r="N230" s="39" t="n">
        <x:f>IF(A230&lt;=$J$5,ABS(L230-D230),0)</x:f>
        <x:v>0</x:v>
      </x:c>
    </x:row>
    <x:row r="231">
      <x:c r="A231" s="39" t="n">
        <x:v>180</x:v>
      </x:c>
      <x:c r="B231" s="39" t="n">
        <x:v>13</x:v>
      </x:c>
      <x:c r="C231" s="39" t="n">
        <x:v>6</x:v>
      </x:c>
      <x:c r="D231" s="80" t="n">
        <x:v>1386945</x:v>
      </x:c>
      <x:c r="E231" s="81" t="n">
        <x:v>0.8522942324871717</x:v>
      </x:c>
      <x:c r="F231" s="81" t="n">
        <x:v>0.6785210675697168</x:v>
      </x:c>
      <x:c r="G231" s="81" t="n">
        <x:v>0.5947740348964202</x:v>
      </x:c>
      <x:c r="H231" s="81" t="n">
        <x:v>0.5722545077200927</x:v>
      </x:c>
      <x:c r="I231" s="81" t="n">
        <x:v>0.5340793416486922</x:v>
      </x:c>
      <x:c r="J231" s="81" t="n">
        <x:v>0.6742846656917928</x:v>
      </x:c>
      <x:c r="K231" s="83" t="n">
        <x:v>5</x:v>
      </x:c>
      <x:c r="L231" s="80" t="n">
        <x:f>'玩家战力_节点'!AU191</x:f>
        <x:v>1059795</x:v>
      </x:c>
      <x:c r="M231" s="82" t="n">
        <x:f>L231/L230-1</x:f>
        <x:v>0.0060564924554900035</x:v>
      </x:c>
      <x:c r="N231" s="39" t="n">
        <x:f>IF(A231&lt;=$J$5,ABS(L231-D231),0)</x:f>
        <x:v>0</x:v>
      </x:c>
    </x:row>
    <x:row r="232">
      <x:c r="A232" s="39" t="n">
        <x:v>181</x:v>
      </x:c>
      <x:c r="B232" s="39" t="n">
        <x:v>13</x:v>
      </x:c>
      <x:c r="C232" s="39" t="n">
        <x:v>7</x:v>
      </x:c>
      <x:c r="D232" s="80" t="n">
        <x:v>1391495</x:v>
      </x:c>
      <x:c r="E232" s="81" t="n">
        <x:v>0.8531915174665059</x:v>
      </x:c>
      <x:c r="F232" s="81" t="n">
        <x:v>0.6789996913611152</x:v>
      </x:c>
      <x:c r="G232" s="81" t="n">
        <x:v>0.5960046575489801</x:v>
      </x:c>
      <x:c r="H232" s="81" t="n">
        <x:v>0.5728727718145641</x:v>
      </x:c>
      <x:c r="I232" s="81" t="n">
        <x:v>0.5366624488483438</x:v>
      </x:c>
      <x:c r="J232" s="81" t="n">
        <x:v>0.6748576909500834</x:v>
      </x:c>
      <x:c r="K232" s="83" t="n">
        <x:v>5</x:v>
      </x:c>
      <x:c r="L232" s="80" t="n">
        <x:f>'玩家战力_节点'!AU192</x:f>
        <x:v>1066195</x:v>
      </x:c>
      <x:c r="M232" s="82" t="n">
        <x:f>L232/L231-1</x:f>
        <x:v>0.00603890375025351</x:v>
      </x:c>
      <x:c r="N232" s="39" t="n">
        <x:f>IF(A232&lt;=$J$5,ABS(L232-D232),0)</x:f>
        <x:v>0</x:v>
      </x:c>
    </x:row>
    <x:row r="233">
      <x:c r="A233" s="39" t="n">
        <x:v>182</x:v>
      </x:c>
      <x:c r="B233" s="39" t="n">
        <x:v>13</x:v>
      </x:c>
      <x:c r="C233" s="39" t="n">
        <x:v>8</x:v>
      </x:c>
      <x:c r="D233" s="80" t="n">
        <x:v>1396050</x:v>
      </x:c>
      <x:c r="E233" s="81" t="n">
        <x:v>0.85408880244584</x:v>
      </x:c>
      <x:c r="F233" s="81" t="n">
        <x:v>0.6794783151525136</x:v>
      </x:c>
      <x:c r="G233" s="81" t="n">
        <x:v>0.59723528020154</x:v>
      </x:c>
      <x:c r="H233" s="81" t="n">
        <x:v>0.5734910359090355</x:v>
      </x:c>
      <x:c r="I233" s="81" t="n">
        <x:v>0.5392455560479954</x:v>
      </x:c>
      <x:c r="J233" s="81" t="n">
        <x:v>0.675430716208374</x:v>
      </x:c>
      <x:c r="K233" s="83" t="n">
        <x:v>5</x:v>
      </x:c>
      <x:c r="L233" s="80" t="n">
        <x:f>'玩家战力_节点'!AU193</x:f>
        <x:v>1072620</x:v>
      </x:c>
      <x:c r="M233" s="82" t="n">
        <x:f>L233/L232-1</x:f>
        <x:v>0.0060261021670520165</x:v>
      </x:c>
      <x:c r="N233" s="39" t="n">
        <x:f>IF(A233&lt;=$J$5,ABS(L233-D233),0)</x:f>
        <x:v>0</x:v>
      </x:c>
    </x:row>
    <x:row r="234">
      <x:c r="A234" s="39" t="n">
        <x:v>183</x:v>
      </x:c>
      <x:c r="B234" s="39" t="n">
        <x:v>13</x:v>
      </x:c>
      <x:c r="C234" s="39" t="n">
        <x:v>9</x:v>
      </x:c>
      <x:c r="D234" s="80" t="n">
        <x:v>1400615</x:v>
      </x:c>
      <x:c r="E234" s="81" t="n">
        <x:v>0.8549860874251742</x:v>
      </x:c>
      <x:c r="F234" s="81" t="n">
        <x:v>0.679956938943912</x:v>
      </x:c>
      <x:c r="G234" s="81" t="n">
        <x:v>0.5984659028540998</x:v>
      </x:c>
      <x:c r="H234" s="81" t="n">
        <x:v>0.5741093000035069</x:v>
      </x:c>
      <x:c r="I234" s="81" t="n">
        <x:v>0.5418286632476471</x:v>
      </x:c>
      <x:c r="J234" s="81" t="n">
        <x:v>0.6760037414666646</x:v>
      </x:c>
      <x:c r="K234" s="83" t="n">
        <x:v>5</x:v>
      </x:c>
      <x:c r="L234" s="80" t="n">
        <x:f>'玩家战力_节点'!AU194</x:f>
        <x:v>1079070</x:v>
      </x:c>
      <x:c r="M234" s="82" t="n">
        <x:f>L234/L233-1</x:f>
        <x:v>0.006013313195726289</x:v>
      </x:c>
      <x:c r="N234" s="39" t="n">
        <x:f>IF(A234&lt;=$J$5,ABS(L234-D234),0)</x:f>
        <x:v>0</x:v>
      </x:c>
    </x:row>
    <x:row r="235">
      <x:c r="A235" s="39" t="n">
        <x:v>184</x:v>
      </x:c>
      <x:c r="B235" s="39" t="n">
        <x:v>13</x:v>
      </x:c>
      <x:c r="C235" s="39" t="n">
        <x:v>10</x:v>
      </x:c>
      <x:c r="D235" s="80" t="n">
        <x:v>1405190</x:v>
      </x:c>
      <x:c r="E235" s="81" t="n">
        <x:v>0.8558833724045083</x:v>
      </x:c>
      <x:c r="F235" s="81" t="n">
        <x:v>0.6804355627353103</x:v>
      </x:c>
      <x:c r="G235" s="81" t="n">
        <x:v>0.5996965255066596</x:v>
      </x:c>
      <x:c r="H235" s="81" t="n">
        <x:v>0.5747275640979783</x:v>
      </x:c>
      <x:c r="I235" s="81" t="n">
        <x:v>0.5444117704472987</x:v>
      </x:c>
      <x:c r="J235" s="81" t="n">
        <x:v>0.6765767667249553</x:v>
      </x:c>
      <x:c r="K235" s="83" t="n">
        <x:v>5</x:v>
      </x:c>
      <x:c r="L235" s="80" t="n">
        <x:f>'玩家战力_节点'!AU195</x:f>
        <x:v>1085540</x:v>
      </x:c>
      <x:c r="M235" s="82" t="n">
        <x:f>L235/L234-1</x:f>
        <x:v>0.00599590388019311</x:v>
      </x:c>
      <x:c r="N235" s="39" t="n">
        <x:f>IF(A235&lt;=$J$5,ABS(L235-D235),0)</x:f>
        <x:v>0</x:v>
      </x:c>
    </x:row>
    <x:row r="236">
      <x:c r="A236" s="39" t="n">
        <x:v>185</x:v>
      </x:c>
      <x:c r="B236" s="39" t="n">
        <x:v>13</x:v>
      </x:c>
      <x:c r="C236" s="39" t="n">
        <x:v>11</x:v>
      </x:c>
      <x:c r="D236" s="80" t="n">
        <x:v>1409775</x:v>
      </x:c>
      <x:c r="E236" s="81" t="n">
        <x:v>0.8567806573838425</x:v>
      </x:c>
      <x:c r="F236" s="81" t="n">
        <x:v>0.6809141865267087</x:v>
      </x:c>
      <x:c r="G236" s="81" t="n">
        <x:v>0.6009271481592195</x:v>
      </x:c>
      <x:c r="H236" s="81" t="n">
        <x:v>0.5753458281924497</x:v>
      </x:c>
      <x:c r="I236" s="81" t="n">
        <x:v>0.5469948776469503</x:v>
      </x:c>
      <x:c r="J236" s="81" t="n">
        <x:v>0.6771497919832459</x:v>
      </x:c>
      <x:c r="K236" s="83" t="n">
        <x:v>5</x:v>
      </x:c>
      <x:c r="L236" s="80" t="n">
        <x:f>'玩家战力_节点'!AU196</x:f>
        <x:v>1092035</x:v>
      </x:c>
      <x:c r="M236" s="82" t="n">
        <x:f>L236/L235-1</x:f>
        <x:v>0.005983197302724896</x:v>
      </x:c>
      <x:c r="N236" s="39" t="n">
        <x:f>IF(A236&lt;=$J$5,ABS(L236-D236),0)</x:f>
        <x:v>0</x:v>
      </x:c>
    </x:row>
    <x:row r="237">
      <x:c r="A237" s="39" t="n">
        <x:v>186</x:v>
      </x:c>
      <x:c r="B237" s="39" t="n">
        <x:v>13</x:v>
      </x:c>
      <x:c r="C237" s="39" t="n">
        <x:v>12</x:v>
      </x:c>
      <x:c r="D237" s="80" t="n">
        <x:v>1414365</x:v>
      </x:c>
      <x:c r="E237" s="81" t="n">
        <x:v>0.8576779423631766</x:v>
      </x:c>
      <x:c r="F237" s="81" t="n">
        <x:v>0.681392810318107</x:v>
      </x:c>
      <x:c r="G237" s="81" t="n">
        <x:v>0.6021577708117795</x:v>
      </x:c>
      <x:c r="H237" s="81" t="n">
        <x:v>0.5759640922869211</x:v>
      </x:c>
      <x:c r="I237" s="81" t="n">
        <x:v>0.549577984846602</x:v>
      </x:c>
      <x:c r="J237" s="81" t="n">
        <x:v>0.6777228172415365</x:v>
      </x:c>
      <x:c r="K237" s="83" t="n">
        <x:v>5</x:v>
      </x:c>
      <x:c r="L237" s="80" t="n">
        <x:f>'玩家战力_节点'!AU197</x:f>
        <x:v>1098555</x:v>
      </x:c>
      <x:c r="M237" s="82" t="n">
        <x:f>L237/L236-1</x:f>
        <x:v>0.005970504608368676</x:v>
      </x:c>
      <x:c r="N237" s="39" t="n">
        <x:f>IF(A237&lt;=$J$5,ABS(L237-D237),0)</x:f>
        <x:v>0</x:v>
      </x:c>
    </x:row>
    <x:row r="238">
      <x:c r="A238" s="39" t="n">
        <x:v>187</x:v>
      </x:c>
      <x:c r="B238" s="39" t="n">
        <x:v>13</x:v>
      </x:c>
      <x:c r="C238" s="39" t="n">
        <x:v>13</x:v>
      </x:c>
      <x:c r="D238" s="80" t="n">
        <x:v>1418970</x:v>
      </x:c>
      <x:c r="E238" s="81" t="n">
        <x:v>0.8585752273425107</x:v>
      </x:c>
      <x:c r="F238" s="81" t="n">
        <x:v>0.6818714341095053</x:v>
      </x:c>
      <x:c r="G238" s="81" t="n">
        <x:v>0.6033883934643393</x:v>
      </x:c>
      <x:c r="H238" s="81" t="n">
        <x:v>0.5765823563813925</x:v>
      </x:c>
      <x:c r="I238" s="81" t="n">
        <x:v>0.5521610920462536</x:v>
      </x:c>
      <x:c r="J238" s="81" t="n">
        <x:v>0.6782958424998271</x:v>
      </x:c>
      <x:c r="K238" s="83" t="n">
        <x:v>5</x:v>
      </x:c>
      <x:c r="L238" s="80" t="n">
        <x:f>'玩家战力_节点'!AU198</x:f>
        <x:v>1105095</x:v>
      </x:c>
      <x:c r="M238" s="82" t="n">
        <x:f>L238/L237-1</x:f>
        <x:v>0.005953274983956147</x:v>
      </x:c>
      <x:c r="N238" s="39" t="n">
        <x:f>IF(A238&lt;=$J$5,ABS(L238-D238),0)</x:f>
        <x:v>0</x:v>
      </x:c>
    </x:row>
    <x:row r="239">
      <x:c r="A239" s="39" t="n">
        <x:v>188</x:v>
      </x:c>
      <x:c r="B239" s="39" t="n">
        <x:v>13</x:v>
      </x:c>
      <x:c r="C239" s="39" t="n">
        <x:v>14</x:v>
      </x:c>
      <x:c r="D239" s="80" t="n">
        <x:v>1423575</x:v>
      </x:c>
      <x:c r="E239" s="81" t="n">
        <x:v>0.859472512321845</x:v>
      </x:c>
      <x:c r="F239" s="81" t="n">
        <x:v>0.6823500579009038</x:v>
      </x:c>
      <x:c r="G239" s="81" t="n">
        <x:v>0.604619016116899</x:v>
      </x:c>
      <x:c r="H239" s="81" t="n">
        <x:v>0.577200620475864</x:v>
      </x:c>
      <x:c r="I239" s="81" t="n">
        <x:v>0.5547441992459052</x:v>
      </x:c>
      <x:c r="J239" s="81" t="n">
        <x:v>0.6788688677581177</x:v>
      </x:c>
      <x:c r="K239" s="83" t="n">
        <x:v>5</x:v>
      </x:c>
      <x:c r="L239" s="80" t="n">
        <x:f>'玩家战力_节点'!AU199</x:f>
        <x:v>1111660</x:v>
      </x:c>
      <x:c r="M239" s="82" t="n">
        <x:f>L239/L238-1</x:f>
        <x:v>0.005940665734620154</x:v>
      </x:c>
      <x:c r="N239" s="39" t="n">
        <x:f>IF(A239&lt;=$J$5,ABS(L239-D239),0)</x:f>
        <x:v>0</x:v>
      </x:c>
    </x:row>
    <x:row r="240">
      <x:c r="A240" s="39" t="n">
        <x:v>189</x:v>
      </x:c>
      <x:c r="B240" s="39" t="n">
        <x:v>13</x:v>
      </x:c>
      <x:c r="C240" s="39" t="n">
        <x:v>15</x:v>
      </x:c>
      <x:c r="D240" s="80" t="n">
        <x:v>1428195</x:v>
      </x:c>
      <x:c r="E240" s="81" t="n">
        <x:v>0.860369797301179</x:v>
      </x:c>
      <x:c r="F240" s="81" t="n">
        <x:v>0.682828681692302</x:v>
      </x:c>
      <x:c r="G240" s="81" t="n">
        <x:v>0.605849638769459</x:v>
      </x:c>
      <x:c r="H240" s="81" t="n">
        <x:v>0.5778188845703354</x:v>
      </x:c>
      <x:c r="I240" s="81" t="n">
        <x:v>0.557327306445557</x:v>
      </x:c>
      <x:c r="J240" s="81" t="n">
        <x:v>0.6794418930164083</x:v>
      </x:c>
      <x:c r="K240" s="83" t="n">
        <x:v>5</x:v>
      </x:c>
      <x:c r="L240" s="80" t="n">
        <x:f>'玩家战力_节点'!AU200</x:f>
        <x:v>1118245</x:v>
      </x:c>
      <x:c r="M240" s="82" t="n">
        <x:f>L240/L239-1</x:f>
        <x:v>0.005923573754565314</x:v>
      </x:c>
      <x:c r="N240" s="39" t="n">
        <x:f>IF(A240&lt;=$J$5,ABS(L240-D240),0)</x:f>
        <x:v>0</x:v>
      </x:c>
    </x:row>
    <x:row r="241">
      <x:c r="A241" s="39" t="n">
        <x:v>190</x:v>
      </x:c>
      <x:c r="B241" s="39" t="n">
        <x:v>14</x:v>
      </x:c>
      <x:c r="C241" s="39" t="n">
        <x:v>1</x:v>
      </x:c>
      <x:c r="D241" s="80" t="n">
        <x:v>1432175</x:v>
      </x:c>
      <x:c r="E241" s="81" t="n">
        <x:v>0.861169440796157</x:v>
      </x:c>
      <x:c r="F241" s="81" t="n">
        <x:v>0.683238650297967</x:v>
      </x:c>
      <x:c r="G241" s="81" t="n">
        <x:v>0.606903737337138</x:v>
      </x:c>
      <x:c r="H241" s="81" t="n">
        <x:v>0.5783484630687279</x:v>
      </x:c>
      <x:c r="I241" s="81" t="n">
        <x:v>0.55953988525162</x:v>
      </x:c>
      <x:c r="J241" s="81" t="n">
        <x:v>0.6799327218685774</x:v>
      </x:c>
      <x:c r="K241" s="83" t="n">
        <x:v>5</x:v>
      </x:c>
      <x:c r="L241" s="80" t="n">
        <x:f>'玩家战力_节点'!AU201</x:f>
        <x:v>1124450</x:v>
      </x:c>
      <x:c r="M241" s="82" t="n">
        <x:f>L241/L240-1</x:f>
        <x:v>0.005548873457963177</x:v>
      </x:c>
      <x:c r="N241" s="39" t="n">
        <x:f>IF(A241&lt;=$J$5,ABS(L241-D241),0)</x:f>
        <x:v>0</x:v>
      </x:c>
    </x:row>
    <x:row r="242">
      <x:c r="A242" s="39" t="n">
        <x:v>191</x:v>
      </x:c>
      <x:c r="B242" s="39" t="n">
        <x:v>14</x:v>
      </x:c>
      <x:c r="C242" s="39" t="n">
        <x:v>2</x:v>
      </x:c>
      <x:c r="D242" s="80" t="n">
        <x:v>1435630</x:v>
      </x:c>
      <x:c r="E242" s="81" t="n">
        <x:v>0.8618847171287384</x:v>
      </x:c>
      <x:c r="F242" s="81" t="n">
        <x:v>0.6835921470420849</x:v>
      </x:c>
      <x:c r="G242" s="81" t="n">
        <x:v>0.6078126372053342</x:v>
      </x:c>
      <x:c r="H242" s="81" t="n">
        <x:v>0.5788050938261796</x:v>
      </x:c>
      <x:c r="I242" s="81" t="n">
        <x:v>0.5614476884181036</x:v>
      </x:c>
      <x:c r="J242" s="81" t="n">
        <x:v>0.6803559406193862</x:v>
      </x:c>
      <x:c r="K242" s="83" t="n">
        <x:v>5</x:v>
      </x:c>
      <x:c r="L242" s="80" t="n">
        <x:f>'玩家战力_节点'!AU202</x:f>
        <x:v>1130330</x:v>
      </x:c>
      <x:c r="M242" s="82" t="n">
        <x:f>L242/L241-1</x:f>
        <x:v>0.0052292231757749</x:v>
      </x:c>
      <x:c r="N242" s="39" t="n">
        <x:f>IF(A242&lt;=$J$5,ABS(L242-D242),0)</x:f>
        <x:v>0</x:v>
      </x:c>
    </x:row>
    <x:row r="243">
      <x:c r="A243" s="39" t="n">
        <x:v>192</x:v>
      </x:c>
      <x:c r="B243" s="39" t="n">
        <x:v>14</x:v>
      </x:c>
      <x:c r="C243" s="39" t="n">
        <x:v>3</x:v>
      </x:c>
      <x:c r="D243" s="80" t="n">
        <x:v>1439085</x:v>
      </x:c>
      <x:c r="E243" s="81" t="n">
        <x:v>0.8625999934613197</x:v>
      </x:c>
      <x:c r="F243" s="81" t="n">
        <x:v>0.6839456437862027</x:v>
      </x:c>
      <x:c r="G243" s="81" t="n">
        <x:v>0.6087215370735304</x:v>
      </x:c>
      <x:c r="H243" s="81" t="n">
        <x:v>0.5792617245836312</x:v>
      </x:c>
      <x:c r="I243" s="81" t="n">
        <x:v>0.5633554915845872</x:v>
      </x:c>
      <x:c r="J243" s="81" t="n">
        <x:v>0.6807791593701951</x:v>
      </x:c>
      <x:c r="K243" s="83" t="n">
        <x:v>5</x:v>
      </x:c>
      <x:c r="L243" s="80" t="n">
        <x:f>'玩家战力_节点'!AU203</x:f>
        <x:v>1136230</x:v>
      </x:c>
      <x:c r="M243" s="82" t="n">
        <x:f>L243/L242-1</x:f>
        <x:v>0.0052197145966221825</x:v>
      </x:c>
      <x:c r="N243" s="39" t="n">
        <x:f>IF(A243&lt;=$J$5,ABS(L243-D243),0)</x:f>
        <x:v>0</x:v>
      </x:c>
    </x:row>
    <x:row r="244">
      <x:c r="A244" s="39" t="n">
        <x:v>193</x:v>
      </x:c>
      <x:c r="B244" s="39" t="n">
        <x:v>14</x:v>
      </x:c>
      <x:c r="C244" s="39" t="n">
        <x:v>4</x:v>
      </x:c>
      <x:c r="D244" s="80" t="n">
        <x:v>1442545</x:v>
      </x:c>
      <x:c r="E244" s="81" t="n">
        <x:v>0.8633152697939012</x:v>
      </x:c>
      <x:c r="F244" s="81" t="n">
        <x:v>0.6842991405303206</x:v>
      </x:c>
      <x:c r="G244" s="81" t="n">
        <x:v>0.6096304369417266</x:v>
      </x:c>
      <x:c r="H244" s="81" t="n">
        <x:v>0.5797183553410828</x:v>
      </x:c>
      <x:c r="I244" s="81" t="n">
        <x:v>0.5652632947510707</x:v>
      </x:c>
      <x:c r="J244" s="81" t="n">
        <x:v>0.6812023781210038</x:v>
      </x:c>
      <x:c r="K244" s="83" t="n">
        <x:v>5</x:v>
      </x:c>
      <x:c r="L244" s="80" t="n">
        <x:f>'玩家战力_节点'!AU204</x:f>
        <x:v>1142150</x:v>
      </x:c>
      <x:c r="M244" s="82" t="n">
        <x:f>L244/L243-1</x:f>
        <x:v>0.005210212721016072</x:v>
      </x:c>
      <x:c r="N244" s="39" t="n">
        <x:f>IF(A244&lt;=$J$5,ABS(L244-D244),0)</x:f>
        <x:v>0</x:v>
      </x:c>
    </x:row>
    <x:row r="245">
      <x:c r="A245" s="39" t="n">
        <x:v>194</x:v>
      </x:c>
      <x:c r="B245" s="39" t="n">
        <x:v>14</x:v>
      </x:c>
      <x:c r="C245" s="39" t="n">
        <x:v>5</x:v>
      </x:c>
      <x:c r="D245" s="80" t="n">
        <x:v>1446015</x:v>
      </x:c>
      <x:c r="E245" s="81" t="n">
        <x:v>0.8640305461264824</x:v>
      </x:c>
      <x:c r="F245" s="81" t="n">
        <x:v>0.6846526372744385</x:v>
      </x:c>
      <x:c r="G245" s="81" t="n">
        <x:v>0.6105393368099229</x:v>
      </x:c>
      <x:c r="H245" s="81" t="n">
        <x:v>0.5801749860985346</x:v>
      </x:c>
      <x:c r="I245" s="81" t="n">
        <x:v>0.5671710979175543</x:v>
      </x:c>
      <x:c r="J245" s="81" t="n">
        <x:v>0.6816255968718126</x:v>
      </x:c>
      <x:c r="K245" s="83" t="n">
        <x:v>5</x:v>
      </x:c>
      <x:c r="L245" s="80" t="n">
        <x:f>'玩家战力_节点'!AU205</x:f>
        <x:v>1148085</x:v>
      </x:c>
      <x:c r="M245" s="82" t="n">
        <x:f>L245/L244-1</x:f>
        <x:v>0.0051963402355206245</x:v>
      </x:c>
      <x:c r="N245" s="39" t="n">
        <x:f>IF(A245&lt;=$J$5,ABS(L245-D245),0)</x:f>
        <x:v>0</x:v>
      </x:c>
    </x:row>
    <x:row r="246">
      <x:c r="A246" s="39" t="n">
        <x:v>195</x:v>
      </x:c>
      <x:c r="B246" s="39" t="n">
        <x:v>14</x:v>
      </x:c>
      <x:c r="C246" s="39" t="n">
        <x:v>6</x:v>
      </x:c>
      <x:c r="D246" s="80" t="n">
        <x:v>1449485</x:v>
      </x:c>
      <x:c r="E246" s="81" t="n">
        <x:v>0.8647458224590638</x:v>
      </x:c>
      <x:c r="F246" s="81" t="n">
        <x:v>0.6850061340185564</x:v>
      </x:c>
      <x:c r="G246" s="81" t="n">
        <x:v>0.6114482366781191</x:v>
      </x:c>
      <x:c r="H246" s="81" t="n">
        <x:v>0.5806316168559862</x:v>
      </x:c>
      <x:c r="I246" s="81" t="n">
        <x:v>0.5690789010840378</x:v>
      </x:c>
      <x:c r="J246" s="81" t="n">
        <x:v>0.6820488156226214</x:v>
      </x:c>
      <x:c r="K246" s="83" t="n">
        <x:v>5</x:v>
      </x:c>
      <x:c r="L246" s="80" t="n">
        <x:f>'玩家战力_节点'!AU206</x:f>
        <x:v>1154040</x:v>
      </x:c>
      <x:c r="M246" s="82" t="n">
        <x:f>L246/L245-1</x:f>
        <x:v>0.005186898182625743</x:v>
      </x:c>
      <x:c r="N246" s="39" t="n">
        <x:f>IF(A246&lt;=$J$5,ABS(L246-D246),0)</x:f>
        <x:v>0</x:v>
      </x:c>
    </x:row>
    <x:row r="247">
      <x:c r="A247" s="39" t="n">
        <x:v>196</x:v>
      </x:c>
      <x:c r="B247" s="39" t="n">
        <x:v>14</x:v>
      </x:c>
      <x:c r="C247" s="39" t="n">
        <x:v>7</x:v>
      </x:c>
      <x:c r="D247" s="80" t="n">
        <x:v>1452960</x:v>
      </x:c>
      <x:c r="E247" s="81" t="n">
        <x:v>0.8654610987916451</x:v>
      </x:c>
      <x:c r="F247" s="81" t="n">
        <x:v>0.6853596307626741</x:v>
      </x:c>
      <x:c r="G247" s="81" t="n">
        <x:v>0.6123571365463153</x:v>
      </x:c>
      <x:c r="H247" s="81" t="n">
        <x:v>0.5810882476134379</x:v>
      </x:c>
      <x:c r="I247" s="81" t="n">
        <x:v>0.5709867042505214</x:v>
      </x:c>
      <x:c r="J247" s="81" t="n">
        <x:v>0.6824720343734302</x:v>
      </x:c>
      <x:c r="K247" s="83" t="n">
        <x:v>5</x:v>
      </x:c>
      <x:c r="L247" s="80" t="n">
        <x:f>'玩家战力_节点'!AU207</x:f>
        <x:v>1160015</x:v>
      </x:c>
      <x:c r="M247" s="82" t="n">
        <x:f>L247/L246-1</x:f>
        <x:v>0.005177463519462133</x:v>
      </x:c>
      <x:c r="N247" s="39" t="n">
        <x:f>IF(A247&lt;=$J$5,ABS(L247-D247),0)</x:f>
        <x:v>0</x:v>
      </x:c>
    </x:row>
    <x:row r="248">
      <x:c r="A248" s="39" t="n">
        <x:v>197</x:v>
      </x:c>
      <x:c r="B248" s="39" t="n">
        <x:v>14</x:v>
      </x:c>
      <x:c r="C248" s="39" t="n">
        <x:v>8</x:v>
      </x:c>
      <x:c r="D248" s="80" t="n">
        <x:v>1456440</x:v>
      </x:c>
      <x:c r="E248" s="81" t="n">
        <x:v>0.8661763751242265</x:v>
      </x:c>
      <x:c r="F248" s="81" t="n">
        <x:v>0.685713127506792</x:v>
      </x:c>
      <x:c r="G248" s="81" t="n">
        <x:v>0.6132660364145115</x:v>
      </x:c>
      <x:c r="H248" s="81" t="n">
        <x:v>0.5815448783708895</x:v>
      </x:c>
      <x:c r="I248" s="81" t="n">
        <x:v>0.572894507417005</x:v>
      </x:c>
      <x:c r="J248" s="81" t="n">
        <x:v>0.6828952531242389</x:v>
      </x:c>
      <x:c r="K248" s="83" t="n">
        <x:v>5</x:v>
      </x:c>
      <x:c r="L248" s="80" t="n">
        <x:f>'玩家战力_节点'!AU208</x:f>
        <x:v>1166005</x:v>
      </x:c>
      <x:c r="M248" s="82" t="n">
        <x:f>L248/L247-1</x:f>
        <x:v>0.005163726331125051</x:v>
      </x:c>
      <x:c r="N248" s="39" t="n">
        <x:f>IF(A248&lt;=$J$5,ABS(L248-D248),0)</x:f>
        <x:v>0</x:v>
      </x:c>
    </x:row>
    <x:row r="249">
      <x:c r="A249" s="39" t="n">
        <x:v>198</x:v>
      </x:c>
      <x:c r="B249" s="39" t="n">
        <x:v>14</x:v>
      </x:c>
      <x:c r="C249" s="39" t="n">
        <x:v>9</x:v>
      </x:c>
      <x:c r="D249" s="80" t="n">
        <x:v>1459930</x:v>
      </x:c>
      <x:c r="E249" s="81" t="n">
        <x:v>0.8668916514568079</x:v>
      </x:c>
      <x:c r="F249" s="81" t="n">
        <x:v>0.6860666242509099</x:v>
      </x:c>
      <x:c r="G249" s="81" t="n">
        <x:v>0.6141749362827077</x:v>
      </x:c>
      <x:c r="H249" s="81" t="n">
        <x:v>0.5820015091283411</x:v>
      </x:c>
      <x:c r="I249" s="81" t="n">
        <x:v>0.5748023105834885</x:v>
      </x:c>
      <x:c r="J249" s="81" t="n">
        <x:v>0.6833184718750478</x:v>
      </x:c>
      <x:c r="K249" s="83" t="n">
        <x:v>5</x:v>
      </x:c>
      <x:c r="L249" s="80" t="n">
        <x:f>'玩家战力_节点'!AU209</x:f>
        <x:v>1172015</x:v>
      </x:c>
      <x:c r="M249" s="82" t="n">
        <x:f>L249/L248-1</x:f>
        <x:v>0.005154351825249481</x:v>
      </x:c>
      <x:c r="N249" s="39" t="n">
        <x:f>IF(A249&lt;=$J$5,ABS(L249-D249),0)</x:f>
        <x:v>0</x:v>
      </x:c>
    </x:row>
    <x:row r="250">
      <x:c r="A250" s="39" t="n">
        <x:v>199</x:v>
      </x:c>
      <x:c r="B250" s="39" t="n">
        <x:v>14</x:v>
      </x:c>
      <x:c r="C250" s="39" t="n">
        <x:v>10</x:v>
      </x:c>
      <x:c r="D250" s="80" t="n">
        <x:v>1463420</x:v>
      </x:c>
      <x:c r="E250" s="81" t="n">
        <x:v>0.8676069277893892</x:v>
      </x:c>
      <x:c r="F250" s="81" t="n">
        <x:v>0.6864201209950277</x:v>
      </x:c>
      <x:c r="G250" s="81" t="n">
        <x:v>0.6150838361509039</x:v>
      </x:c>
      <x:c r="H250" s="81" t="n">
        <x:v>0.5824581398857929</x:v>
      </x:c>
      <x:c r="I250" s="81" t="n">
        <x:v>0.576710113749972</x:v>
      </x:c>
      <x:c r="J250" s="81" t="n">
        <x:v>0.6837416906258565</x:v>
      </x:c>
      <x:c r="K250" s="83" t="n">
        <x:v>5</x:v>
      </x:c>
      <x:c r="L250" s="80" t="n">
        <x:f>'玩家战力_节点'!AU210</x:f>
        <x:v>1178045</x:v>
      </x:c>
      <x:c r="M250" s="82" t="n">
        <x:f>L250/L249-1</x:f>
        <x:v>0.005144985345750586</x:v>
      </x:c>
      <x:c r="N250" s="39" t="n">
        <x:f>IF(A250&lt;=$J$5,ABS(L250-D250),0)</x:f>
        <x:v>0</x:v>
      </x:c>
    </x:row>
    <x:row r="251">
      <x:c r="A251" s="39" t="n">
        <x:v>200</x:v>
      </x:c>
      <x:c r="B251" s="39" t="n">
        <x:v>14</x:v>
      </x:c>
      <x:c r="C251" s="39" t="n">
        <x:v>11</x:v>
      </x:c>
      <x:c r="D251" s="80" t="n">
        <x:v>1466915</x:v>
      </x:c>
      <x:c r="E251" s="81" t="n">
        <x:v>0.8683222041219707</x:v>
      </x:c>
      <x:c r="F251" s="81" t="n">
        <x:v>0.6867736177391456</x:v>
      </x:c>
      <x:c r="G251" s="81" t="n">
        <x:v>0.6159927360191001</x:v>
      </x:c>
      <x:c r="H251" s="81" t="n">
        <x:v>0.5829147706432445</x:v>
      </x:c>
      <x:c r="I251" s="81" t="n">
        <x:v>0.5786179169164557</x:v>
      </x:c>
      <x:c r="J251" s="81" t="n">
        <x:v>0.6841649093766653</x:v>
      </x:c>
      <x:c r="K251" s="83" t="n">
        <x:v>5</x:v>
      </x:c>
      <x:c r="L251" s="80" t="n">
        <x:f>'玩家战力_节点'!AU211</x:f>
        <x:v>1184095</x:v>
      </x:c>
      <x:c r="M251" s="82" t="n">
        <x:f>L251/L250-1</x:f>
        <x:v>0.005135627246837027</x:v>
      </x:c>
      <x:c r="N251" s="39" t="n">
        <x:f>IF(A251&lt;=$J$5,ABS(L251-D251),0)</x:f>
        <x:v>0</x:v>
      </x:c>
    </x:row>
    <x:row r="252">
      <x:c r="A252" s="39" t="n">
        <x:v>201</x:v>
      </x:c>
      <x:c r="B252" s="39" t="n">
        <x:v>14</x:v>
      </x:c>
      <x:c r="C252" s="39" t="n">
        <x:v>12</x:v>
      </x:c>
      <x:c r="D252" s="80" t="n">
        <x:v>1470415</x:v>
      </x:c>
      <x:c r="E252" s="81" t="n">
        <x:v>0.869037480454552</x:v>
      </x:c>
      <x:c r="F252" s="81" t="n">
        <x:v>0.6871271144832635</x:v>
      </x:c>
      <x:c r="G252" s="81" t="n">
        <x:v>0.6169016358872964</x:v>
      </x:c>
      <x:c r="H252" s="81" t="n">
        <x:v>0.5833714014006962</x:v>
      </x:c>
      <x:c r="I252" s="81" t="n">
        <x:v>0.5805257200829392</x:v>
      </x:c>
      <x:c r="J252" s="81" t="n">
        <x:v>0.684588128127474</x:v>
      </x:c>
      <x:c r="K252" s="83" t="n">
        <x:v>5</x:v>
      </x:c>
      <x:c r="L252" s="80" t="n">
        <x:f>'玩家战力_节点'!AU212</x:f>
        <x:v>1190160</x:v>
      </x:c>
      <x:c r="M252" s="82" t="n">
        <x:f>L252/L251-1</x:f>
        <x:v>0.005122055240500023</x:v>
      </x:c>
      <x:c r="N252" s="39" t="n">
        <x:f>IF(A252&lt;=$J$5,ABS(L252-D252),0)</x:f>
        <x:v>0</x:v>
      </x:c>
    </x:row>
    <x:row r="253">
      <x:c r="A253" s="39" t="n">
        <x:v>202</x:v>
      </x:c>
      <x:c r="B253" s="39" t="n">
        <x:v>14</x:v>
      </x:c>
      <x:c r="C253" s="39" t="n">
        <x:v>13</x:v>
      </x:c>
      <x:c r="D253" s="80" t="n">
        <x:v>1473920</x:v>
      </x:c>
      <x:c r="E253" s="81" t="n">
        <x:v>0.8697527567871334</x:v>
      </x:c>
      <x:c r="F253" s="81" t="n">
        <x:v>0.6874806112273814</x:v>
      </x:c>
      <x:c r="G253" s="81" t="n">
        <x:v>0.6178105357554926</x:v>
      </x:c>
      <x:c r="H253" s="81" t="n">
        <x:v>0.5838280321581478</x:v>
      </x:c>
      <x:c r="I253" s="81" t="n">
        <x:v>0.5824335232494228</x:v>
      </x:c>
      <x:c r="J253" s="81" t="n">
        <x:v>0.6850113468782829</x:v>
      </x:c>
      <x:c r="K253" s="83" t="n">
        <x:v>5</x:v>
      </x:c>
      <x:c r="L253" s="80" t="n">
        <x:f>'玩家战力_节点'!AU213</x:f>
        <x:v>1196245</x:v>
      </x:c>
      <x:c r="M253" s="82" t="n">
        <x:f>L253/L252-1</x:f>
        <x:v>0.005112757948511071</x:v>
      </x:c>
      <x:c r="N253" s="39" t="n">
        <x:f>IF(A253&lt;=$J$5,ABS(L253-D253),0)</x:f>
        <x:v>0</x:v>
      </x:c>
    </x:row>
    <x:row r="254">
      <x:c r="A254" s="39" t="n">
        <x:v>203</x:v>
      </x:c>
      <x:c r="B254" s="39" t="n">
        <x:v>14</x:v>
      </x:c>
      <x:c r="C254" s="39" t="n">
        <x:v>14</x:v>
      </x:c>
      <x:c r="D254" s="80" t="n">
        <x:v>1477430</x:v>
      </x:c>
      <x:c r="E254" s="81" t="n">
        <x:v>0.8704680331197147</x:v>
      </x:c>
      <x:c r="F254" s="81" t="n">
        <x:v>0.6878341079714991</x:v>
      </x:c>
      <x:c r="G254" s="81" t="n">
        <x:v>0.6187194356236888</x:v>
      </x:c>
      <x:c r="H254" s="81" t="n">
        <x:v>0.5842846629155994</x:v>
      </x:c>
      <x:c r="I254" s="81" t="n">
        <x:v>0.5843413264159063</x:v>
      </x:c>
      <x:c r="J254" s="81" t="n">
        <x:v>0.6854345656290917</x:v>
      </x:c>
      <x:c r="K254" s="83" t="n">
        <x:v>5</x:v>
      </x:c>
      <x:c r="L254" s="80" t="n">
        <x:f>'玩家战力_节点'!AU214</x:f>
        <x:v>1202350</x:v>
      </x:c>
      <x:c r="M254" s="82" t="n">
        <x:f>L254/L253-1</x:f>
        <x:v>0.005103469606978495</x:v>
      </x:c>
      <x:c r="N254" s="39" t="n">
        <x:f>IF(A254&lt;=$J$5,ABS(L254-D254),0)</x:f>
        <x:v>0</x:v>
      </x:c>
    </x:row>
    <x:row r="255">
      <x:c r="A255" s="39" t="n">
        <x:v>204</x:v>
      </x:c>
      <x:c r="B255" s="39" t="n">
        <x:v>14</x:v>
      </x:c>
      <x:c r="C255" s="39" t="n">
        <x:v>15</x:v>
      </x:c>
      <x:c r="D255" s="80" t="n">
        <x:v>1480945</x:v>
      </x:c>
      <x:c r="E255" s="81" t="n">
        <x:v>0.871183309452296</x:v>
      </x:c>
      <x:c r="F255" s="81" t="n">
        <x:v>0.688187604715617</x:v>
      </x:c>
      <x:c r="G255" s="81" t="n">
        <x:v>0.619628335491885</x:v>
      </x:c>
      <x:c r="H255" s="81" t="n">
        <x:v>0.5847412936730512</x:v>
      </x:c>
      <x:c r="I255" s="81" t="n">
        <x:v>0.58624912958239</x:v>
      </x:c>
      <x:c r="J255" s="81" t="n">
        <x:v>0.6858577843799004</x:v>
      </x:c>
      <x:c r="K255" s="83" t="n">
        <x:v>5</x:v>
      </x:c>
      <x:c r="L255" s="80" t="n">
        <x:f>'玩家战力_节点'!AU215</x:f>
        <x:v>1208470</x:v>
      </x:c>
      <x:c r="M255" s="82" t="n">
        <x:f>L255/L254-1</x:f>
        <x:v>0.0050900320206261895</x:v>
      </x:c>
      <x:c r="N255" s="39" t="n">
        <x:f>IF(A255&lt;=$J$5,ABS(L255-D255),0)</x:f>
        <x:v>0</x:v>
      </x:c>
    </x:row>
    <x:row r="256">
      <x:c r="A256" s="39" t="n">
        <x:v>205</x:v>
      </x:c>
      <x:c r="B256" s="39" t="n">
        <x:v>15</x:v>
      </x:c>
      <x:c r="C256" s="39" t="n">
        <x:v>1</x:v>
      </x:c>
      <x:c r="D256" s="80" t="n">
        <x:v>1483975</x:v>
      </x:c>
      <x:c r="E256" s="81" t="n">
        <x:v>0.871820750265008</x:v>
      </x:c>
      <x:c r="F256" s="81" t="n">
        <x:v>0.688490394860816</x:v>
      </x:c>
      <x:c r="G256" s="81" t="n">
        <x:v>0.620406860125115</x:v>
      </x:c>
      <x:c r="H256" s="81" t="n">
        <x:v>0.5851324239893883</x:v>
      </x:c>
      <x:c r="I256" s="81" t="n">
        <x:v>0.587883271925716</x:v>
      </x:c>
      <x:c r="J256" s="81" t="n">
        <x:v>0.6862202954047992</x:v>
      </x:c>
      <x:c r="K256" s="83" t="n">
        <x:v>5</x:v>
      </x:c>
      <x:c r="L256" s="80" t="n">
        <x:f>'玩家战力_节点'!AU216</x:f>
        <x:v>1214285</x:v>
      </x:c>
      <x:c r="M256" s="82" t="n">
        <x:f>L256/L255-1</x:f>
        <x:v>0.004811869554064208</x:v>
      </x:c>
      <x:c r="N256" s="39" t="n">
        <x:f>IF(A256&lt;=$J$5,ABS(L256-D256),0)</x:f>
        <x:v>0</x:v>
      </x:c>
    </x:row>
    <x:row r="257">
      <x:c r="A257" s="39" t="n">
        <x:v>206</x:v>
      </x:c>
      <x:c r="B257" s="39" t="n">
        <x:v>15</x:v>
      </x:c>
      <x:c r="C257" s="39" t="n">
        <x:v>2</x:v>
      </x:c>
      <x:c r="D257" s="80" t="n">
        <x:v>1486600</x:v>
      </x:c>
      <x:c r="E257" s="81" t="n">
        <x:v>0.8723909372666122</x:v>
      </x:c>
      <x:c r="F257" s="81" t="n">
        <x:v>0.6887514766339071</x:v>
      </x:c>
      <x:c r="G257" s="81" t="n">
        <x:v>0.6210781454851633</x:v>
      </x:c>
      <x:c r="H257" s="81" t="n">
        <x:v>0.5854696773581596</x:v>
      </x:c>
      <x:c r="I257" s="81" t="n">
        <x:v>0.5892923163984097</x:v>
      </x:c>
      <x:c r="J257" s="81" t="n">
        <x:v>0.6865328716978069</x:v>
      </x:c>
      <x:c r="K257" s="83" t="n">
        <x:v>5</x:v>
      </x:c>
      <x:c r="L257" s="80" t="n">
        <x:f>'玩家战力_节点'!AU217</x:f>
        <x:v>1219845</x:v>
      </x:c>
      <x:c r="M257" s="82" t="n">
        <x:f>L257/L256-1</x:f>
        <x:v>0.004578826222839005</x:v>
      </x:c>
      <x:c r="N257" s="39" t="n">
        <x:f>IF(A257&lt;=$J$5,ABS(L257-D257),0)</x:f>
        <x:v>0</x:v>
      </x:c>
    </x:row>
    <x:row r="258">
      <x:c r="A258" s="39" t="n">
        <x:v>207</x:v>
      </x:c>
      <x:c r="B258" s="39" t="n">
        <x:v>15</x:v>
      </x:c>
      <x:c r="C258" s="39" t="n">
        <x:v>3</x:v>
      </x:c>
      <x:c r="D258" s="80" t="n">
        <x:v>1489230</x:v>
      </x:c>
      <x:c r="E258" s="81" t="n">
        <x:v>0.8729611242682164</x:v>
      </x:c>
      <x:c r="F258" s="81" t="n">
        <x:v>0.6890125584069983</x:v>
      </x:c>
      <x:c r="G258" s="81" t="n">
        <x:v>0.6217494308452115</x:v>
      </x:c>
      <x:c r="H258" s="81" t="n">
        <x:v>0.585806930726931</x:v>
      </x:c>
      <x:c r="I258" s="81" t="n">
        <x:v>0.5907013608711035</x:v>
      </x:c>
      <x:c r="J258" s="81" t="n">
        <x:v>0.6868454479908145</x:v>
      </x:c>
      <x:c r="K258" s="83" t="n">
        <x:v>5</x:v>
      </x:c>
      <x:c r="L258" s="80" t="n">
        <x:f>'玩家战力_节点'!AU218</x:f>
        <x:v>1225420</x:v>
      </x:c>
      <x:c r="M258" s="82" t="n">
        <x:f>L258/L257-1</x:f>
        <x:v>0.0045702527780169255</x:v>
      </x:c>
      <x:c r="N258" s="39" t="n">
        <x:f>IF(A258&lt;=$J$5,ABS(L258-D258),0)</x:f>
        <x:v>0</x:v>
      </x:c>
    </x:row>
    <x:row r="259">
      <x:c r="A259" s="39" t="n">
        <x:v>208</x:v>
      </x:c>
      <x:c r="B259" s="39" t="n">
        <x:v>15</x:v>
      </x:c>
      <x:c r="C259" s="39" t="n">
        <x:v>4</x:v>
      </x:c>
      <x:c r="D259" s="80" t="n">
        <x:v>1491865</x:v>
      </x:c>
      <x:c r="E259" s="81" t="n">
        <x:v>0.8735313112698205</x:v>
      </x:c>
      <x:c r="F259" s="81" t="n">
        <x:v>0.6892736401800894</x:v>
      </x:c>
      <x:c r="G259" s="81" t="n">
        <x:v>0.6224207162052596</x:v>
      </x:c>
      <x:c r="H259" s="81" t="n">
        <x:v>0.5861441840957023</x:v>
      </x:c>
      <x:c r="I259" s="81" t="n">
        <x:v>0.5921104053437973</x:v>
      </x:c>
      <x:c r="J259" s="81" t="n">
        <x:v>0.6871580242838221</x:v>
      </x:c>
      <x:c r="K259" s="83" t="n">
        <x:v>5</x:v>
      </x:c>
      <x:c r="L259" s="80" t="n">
        <x:f>'玩家战力_节点'!AU219</x:f>
        <x:v>1231010</x:v>
      </x:c>
      <x:c r="M259" s="82" t="n">
        <x:f>L259/L258-1</x:f>
        <x:v>0.004561701294250042</x:v>
      </x:c>
      <x:c r="N259" s="39" t="n">
        <x:f>IF(A259&lt;=$J$5,ABS(L259-D259),0)</x:f>
        <x:v>0</x:v>
      </x:c>
    </x:row>
    <x:row r="260">
      <x:c r="A260" s="39" t="n">
        <x:v>209</x:v>
      </x:c>
      <x:c r="B260" s="39" t="n">
        <x:v>15</x:v>
      </x:c>
      <x:c r="C260" s="39" t="n">
        <x:v>5</x:v>
      </x:c>
      <x:c r="D260" s="80" t="n">
        <x:v>1494500</x:v>
      </x:c>
      <x:c r="E260" s="81" t="n">
        <x:v>0.8741014982714246</x:v>
      </x:c>
      <x:c r="F260" s="81" t="n">
        <x:v>0.6895347219531806</x:v>
      </x:c>
      <x:c r="G260" s="81" t="n">
        <x:v>0.6230920015653079</x:v>
      </x:c>
      <x:c r="H260" s="81" t="n">
        <x:v>0.5864814374644737</x:v>
      </x:c>
      <x:c r="I260" s="81" t="n">
        <x:v>0.5935194498164912</x:v>
      </x:c>
      <x:c r="J260" s="81" t="n">
        <x:v>0.6874706005768297</x:v>
      </x:c>
      <x:c r="K260" s="83" t="n">
        <x:v>5</x:v>
      </x:c>
      <x:c r="L260" s="80" t="n">
        <x:f>'玩家战力_节点'!AU220</x:f>
        <x:v>1236615</x:v>
      </x:c>
      <x:c r="M260" s="82" t="n">
        <x:f>L260/L259-1</x:f>
        <x:v>0.0045531717857694165</x:v>
      </x:c>
      <x:c r="N260" s="39" t="n">
        <x:f>IF(A260&lt;=$J$5,ABS(L260-D260),0)</x:f>
        <x:v>0</x:v>
      </x:c>
    </x:row>
    <x:row r="261">
      <x:c r="A261" s="39" t="n">
        <x:v>210</x:v>
      </x:c>
      <x:c r="B261" s="39" t="n">
        <x:v>15</x:v>
      </x:c>
      <x:c r="C261" s="39" t="n">
        <x:v>6</x:v>
      </x:c>
      <x:c r="D261" s="80" t="n">
        <x:v>1497140</x:v>
      </x:c>
      <x:c r="E261" s="81" t="n">
        <x:v>0.8746716852730287</x:v>
      </x:c>
      <x:c r="F261" s="81" t="n">
        <x:v>0.6897958037262717</x:v>
      </x:c>
      <x:c r="G261" s="81" t="n">
        <x:v>0.6237632869253561</x:v>
      </x:c>
      <x:c r="H261" s="81" t="n">
        <x:v>0.586818690833245</x:v>
      </x:c>
      <x:c r="I261" s="81" t="n">
        <x:v>0.5949284942891849</x:v>
      </x:c>
      <x:c r="J261" s="81" t="n">
        <x:v>0.6877831768698374</x:v>
      </x:c>
      <x:c r="K261" s="83" t="n">
        <x:v>5</x:v>
      </x:c>
      <x:c r="L261" s="80" t="n">
        <x:f>'玩家战力_节点'!AU221</x:f>
        <x:v>1242235</x:v>
      </x:c>
      <x:c r="M261" s="82" t="n">
        <x:f>L261/L260-1</x:f>
        <x:v>0.00454466426494915</x:v>
      </x:c>
      <x:c r="N261" s="39" t="n">
        <x:f>IF(A261&lt;=$J$5,ABS(L261-D261),0)</x:f>
        <x:v>0</x:v>
      </x:c>
    </x:row>
    <x:row r="262">
      <x:c r="A262" s="39" t="n">
        <x:v>211</x:v>
      </x:c>
      <x:c r="B262" s="39" t="n">
        <x:v>15</x:v>
      </x:c>
      <x:c r="C262" s="39" t="n">
        <x:v>7</x:v>
      </x:c>
      <x:c r="D262" s="80" t="n">
        <x:v>1499780</x:v>
      </x:c>
      <x:c r="E262" s="81" t="n">
        <x:v>0.8752418722746329</x:v>
      </x:c>
      <x:c r="F262" s="81" t="n">
        <x:v>0.6900568854993628</x:v>
      </x:c>
      <x:c r="G262" s="81" t="n">
        <x:v>0.6244345722854043</x:v>
      </x:c>
      <x:c r="H262" s="81" t="n">
        <x:v>0.5871559442020164</x:v>
      </x:c>
      <x:c r="I262" s="81" t="n">
        <x:v>0.5963375387618787</x:v>
      </x:c>
      <x:c r="J262" s="81" t="n">
        <x:v>0.688095753162845</x:v>
      </x:c>
      <x:c r="K262" s="83" t="n">
        <x:v>5</x:v>
      </x:c>
      <x:c r="L262" s="80" t="n">
        <x:f>'玩家战力_节点'!AU222</x:f>
        <x:v>1247870</x:v>
      </x:c>
      <x:c r="M262" s="82" t="n">
        <x:f>L262/L261-1</x:f>
        <x:v>0.004536178742347463</x:v>
      </x:c>
      <x:c r="N262" s="39" t="n">
        <x:f>IF(A262&lt;=$J$5,ABS(L262-D262),0)</x:f>
        <x:v>0</x:v>
      </x:c>
    </x:row>
    <x:row r="263">
      <x:c r="A263" s="39" t="n">
        <x:v>212</x:v>
      </x:c>
      <x:c r="B263" s="39" t="n">
        <x:v>15</x:v>
      </x:c>
      <x:c r="C263" s="39" t="n">
        <x:v>8</x:v>
      </x:c>
      <x:c r="D263" s="80" t="n">
        <x:v>1502420</x:v>
      </x:c>
      <x:c r="E263" s="81" t="n">
        <x:v>0.875812059276237</x:v>
      </x:c>
      <x:c r="F263" s="81" t="n">
        <x:v>0.690317967272454</x:v>
      </x:c>
      <x:c r="G263" s="81" t="n">
        <x:v>0.6251058576454525</x:v>
      </x:c>
      <x:c r="H263" s="81" t="n">
        <x:v>0.5874931975707878</x:v>
      </x:c>
      <x:c r="I263" s="81" t="n">
        <x:v>0.5977465832345724</x:v>
      </x:c>
      <x:c r="J263" s="81" t="n">
        <x:v>0.6884083294558526</x:v>
      </x:c>
      <x:c r="K263" s="83" t="n">
        <x:v>5</x:v>
      </x:c>
      <x:c r="L263" s="80" t="n">
        <x:f>'玩家战力_节点'!AU223</x:f>
        <x:v>1253520</x:v>
      </x:c>
      <x:c r="M263" s="82" t="n">
        <x:f>L263/L262-1</x:f>
        <x:v>0.004527715226746443</x:v>
      </x:c>
      <x:c r="N263" s="39" t="n">
        <x:f>IF(A263&lt;=$J$5,ABS(L263-D263),0)</x:f>
        <x:v>0</x:v>
      </x:c>
    </x:row>
    <x:row r="264">
      <x:c r="A264" s="39" t="n">
        <x:v>213</x:v>
      </x:c>
      <x:c r="B264" s="39" t="n">
        <x:v>15</x:v>
      </x:c>
      <x:c r="C264" s="39" t="n">
        <x:v>9</x:v>
      </x:c>
      <x:c r="D264" s="80" t="n">
        <x:v>1505070</x:v>
      </x:c>
      <x:c r="E264" s="81" t="n">
        <x:v>0.8763822462778411</x:v>
      </x:c>
      <x:c r="F264" s="81" t="n">
        <x:v>0.6905790490455451</x:v>
      </x:c>
      <x:c r="G264" s="81" t="n">
        <x:v>0.6257771430055007</x:v>
      </x:c>
      <x:c r="H264" s="81" t="n">
        <x:v>0.5878304509395591</x:v>
      </x:c>
      <x:c r="I264" s="81" t="n">
        <x:v>0.5991556277072663</x:v>
      </x:c>
      <x:c r="J264" s="81" t="n">
        <x:v>0.6887209057488602</x:v>
      </x:c>
      <x:c r="K264" s="83" t="n">
        <x:v>5</x:v>
      </x:c>
      <x:c r="L264" s="80" t="n">
        <x:f>'玩家战力_节点'!AU224</x:f>
        <x:v>1259190</x:v>
      </x:c>
      <x:c r="M264" s="82" t="n">
        <x:f>L264/L263-1</x:f>
        <x:v>0.004523262492820201</x:v>
      </x:c>
      <x:c r="N264" s="39" t="n">
        <x:f>IF(A264&lt;=$J$5,ABS(L264-D264),0)</x:f>
        <x:v>0</x:v>
      </x:c>
    </x:row>
    <x:row r="265">
      <x:c r="A265" s="39" t="n">
        <x:v>214</x:v>
      </x:c>
      <x:c r="B265" s="39" t="n">
        <x:v>15</x:v>
      </x:c>
      <x:c r="C265" s="39" t="n">
        <x:v>10</x:v>
      </x:c>
      <x:c r="D265" s="80" t="n">
        <x:v>1507715</x:v>
      </x:c>
      <x:c r="E265" s="81" t="n">
        <x:v>0.8769524332794453</x:v>
      </x:c>
      <x:c r="F265" s="81" t="n">
        <x:v>0.6908401308186363</x:v>
      </x:c>
      <x:c r="G265" s="81" t="n">
        <x:v>0.6264484283655489</x:v>
      </x:c>
      <x:c r="H265" s="81" t="n">
        <x:v>0.5881677043083305</x:v>
      </x:c>
      <x:c r="I265" s="81" t="n">
        <x:v>0.60056467217996</x:v>
      </x:c>
      <x:c r="J265" s="81" t="n">
        <x:v>0.6890334820418678</x:v>
      </x:c>
      <x:c r="K265" s="83" t="n">
        <x:v>5</x:v>
      </x:c>
      <x:c r="L265" s="80" t="n">
        <x:f>'玩家战力_节点'!AU225</x:f>
        <x:v>1264870</x:v>
      </x:c>
      <x:c r="M265" s="82" t="n">
        <x:f>L265/L264-1</x:f>
        <x:v>0.004510836331292234</x:v>
      </x:c>
      <x:c r="N265" s="39" t="n">
        <x:f>IF(A265&lt;=$J$5,ABS(L265-D265),0)</x:f>
        <x:v>0</x:v>
      </x:c>
    </x:row>
    <x:row r="266">
      <x:c r="A266" s="39" t="n">
        <x:v>215</x:v>
      </x:c>
      <x:c r="B266" s="39" t="n">
        <x:v>15</x:v>
      </x:c>
      <x:c r="C266" s="39" t="n">
        <x:v>11</x:v>
      </x:c>
      <x:c r="D266" s="80" t="n">
        <x:v>1510370</x:v>
      </x:c>
      <x:c r="E266" s="81" t="n">
        <x:v>0.8775226202810493</x:v>
      </x:c>
      <x:c r="F266" s="81" t="n">
        <x:v>0.6911012125917274</x:v>
      </x:c>
      <x:c r="G266" s="81" t="n">
        <x:v>0.6271197137255972</x:v>
      </x:c>
      <x:c r="H266" s="81" t="n">
        <x:v>0.5885049576771019</x:v>
      </x:c>
      <x:c r="I266" s="81" t="n">
        <x:v>0.6019737166526538</x:v>
      </x:c>
      <x:c r="J266" s="81" t="n">
        <x:v>0.6893460583348755</x:v>
      </x:c>
      <x:c r="K266" s="83" t="n">
        <x:v>5</x:v>
      </x:c>
      <x:c r="L266" s="80" t="n">
        <x:f>'玩家战力_节点'!AU226</x:f>
        <x:v>1270570</x:v>
      </x:c>
      <x:c r="M266" s="82" t="n">
        <x:f>L266/L265-1</x:f>
        <x:v>0.00450639196122915</x:v>
      </x:c>
      <x:c r="N266" s="39" t="n">
        <x:f>IF(A266&lt;=$J$5,ABS(L266-D266),0)</x:f>
        <x:v>0</x:v>
      </x:c>
    </x:row>
    <x:row r="267">
      <x:c r="A267" s="39" t="n">
        <x:v>216</x:v>
      </x:c>
      <x:c r="B267" s="39" t="n">
        <x:v>15</x:v>
      </x:c>
      <x:c r="C267" s="39" t="n">
        <x:v>12</x:v>
      </x:c>
      <x:c r="D267" s="80" t="n">
        <x:v>1513025</x:v>
      </x:c>
      <x:c r="E267" s="81" t="n">
        <x:v>0.8780928072826535</x:v>
      </x:c>
      <x:c r="F267" s="81" t="n">
        <x:v>0.6913622943648186</x:v>
      </x:c>
      <x:c r="G267" s="81" t="n">
        <x:v>0.6277909990856454</x:v>
      </x:c>
      <x:c r="H267" s="81" t="n">
        <x:v>0.5888422110458732</x:v>
      </x:c>
      <x:c r="I267" s="81" t="n">
        <x:v>0.6033827611253476</x:v>
      </x:c>
      <x:c r="J267" s="81" t="n">
        <x:v>0.6896586346278831</x:v>
      </x:c>
      <x:c r="K267" s="83" t="n">
        <x:v>5</x:v>
      </x:c>
      <x:c r="L267" s="80" t="n">
        <x:f>'玩家战力_节点'!AU227</x:f>
        <x:v>1276280</x:v>
      </x:c>
      <x:c r="M267" s="82" t="n">
        <x:f>L267/L266-1</x:f>
        <x:v>0.004494045979363648</x:v>
      </x:c>
      <x:c r="N267" s="39" t="n">
        <x:f>IF(A267&lt;=$J$5,ABS(L267-D267),0)</x:f>
        <x:v>0</x:v>
      </x:c>
    </x:row>
    <x:row r="268">
      <x:c r="A268" s="39" t="n">
        <x:v>217</x:v>
      </x:c>
      <x:c r="B268" s="39" t="n">
        <x:v>15</x:v>
      </x:c>
      <x:c r="C268" s="39" t="n">
        <x:v>13</x:v>
      </x:c>
      <x:c r="D268" s="80" t="n">
        <x:v>1515680</x:v>
      </x:c>
      <x:c r="E268" s="81" t="n">
        <x:v>0.8786629942842576</x:v>
      </x:c>
      <x:c r="F268" s="81" t="n">
        <x:v>0.6916233761379097</x:v>
      </x:c>
      <x:c r="G268" s="81" t="n">
        <x:v>0.6284622844456935</x:v>
      </x:c>
      <x:c r="H268" s="81" t="n">
        <x:v>0.5891794644146445</x:v>
      </x:c>
      <x:c r="I268" s="81" t="n">
        <x:v>0.6047918055980414</x:v>
      </x:c>
      <x:c r="J268" s="81" t="n">
        <x:v>0.6899712109208906</x:v>
      </x:c>
      <x:c r="K268" s="83" t="n">
        <x:v>5</x:v>
      </x:c>
      <x:c r="L268" s="80" t="n">
        <x:f>'玩家战力_节点'!AU228</x:f>
        <x:v>1282010</x:v>
      </x:c>
      <x:c r="M268" s="82" t="n">
        <x:f>L268/L267-1</x:f>
        <x:v>0.004489610430313151</x:v>
      </x:c>
      <x:c r="N268" s="39" t="n">
        <x:f>IF(A268&lt;=$J$5,ABS(L268-D268),0)</x:f>
        <x:v>0</x:v>
      </x:c>
    </x:row>
    <x:row r="269">
      <x:c r="A269" s="39" t="n">
        <x:v>218</x:v>
      </x:c>
      <x:c r="B269" s="39" t="n">
        <x:v>15</x:v>
      </x:c>
      <x:c r="C269" s="39" t="n">
        <x:v>14</x:v>
      </x:c>
      <x:c r="D269" s="80" t="n">
        <x:v>1518340</x:v>
      </x:c>
      <x:c r="E269" s="81" t="n">
        <x:v>0.8792331812858618</x:v>
      </x:c>
      <x:c r="F269" s="81" t="n">
        <x:v>0.6918844579110008</x:v>
      </x:c>
      <x:c r="G269" s="81" t="n">
        <x:v>0.6291335698057418</x:v>
      </x:c>
      <x:c r="H269" s="81" t="n">
        <x:v>0.589516717783416</x:v>
      </x:c>
      <x:c r="I269" s="81" t="n">
        <x:v>0.6062008500707351</x:v>
      </x:c>
      <x:c r="J269" s="81" t="n">
        <x:v>0.6902837872138984</x:v>
      </x:c>
      <x:c r="K269" s="83" t="n">
        <x:v>5</x:v>
      </x:c>
      <x:c r="L269" s="80" t="n">
        <x:f>'玩家战力_节点'!AU229</x:f>
        <x:v>1287755</x:v>
      </x:c>
      <x:c r="M269" s="82" t="n">
        <x:f>L269/L268-1</x:f>
        <x:v>0.004481244296066222</x:v>
      </x:c>
      <x:c r="N269" s="39" t="n">
        <x:f>IF(A269&lt;=$J$5,ABS(L269-D269),0)</x:f>
        <x:v>0</x:v>
      </x:c>
    </x:row>
    <x:row r="270">
      <x:c r="A270" s="39" t="n">
        <x:v>219</x:v>
      </x:c>
      <x:c r="B270" s="39" t="n">
        <x:v>15</x:v>
      </x:c>
      <x:c r="C270" s="39" t="n">
        <x:v>15</x:v>
      </x:c>
      <x:c r="D270" s="80" t="n">
        <x:v>1521000</x:v>
      </x:c>
      <x:c r="E270" s="81" t="n">
        <x:v>0.879803368287466</x:v>
      </x:c>
      <x:c r="F270" s="81" t="n">
        <x:v>0.692145539684092</x:v>
      </x:c>
      <x:c r="G270" s="81" t="n">
        <x:v>0.62980485516579</x:v>
      </x:c>
      <x:c r="H270" s="81" t="n">
        <x:v>0.5898539711521873</x:v>
      </x:c>
      <x:c r="I270" s="81" t="n">
        <x:v>0.607609894543429</x:v>
      </x:c>
      <x:c r="J270" s="81" t="n">
        <x:v>0.6905963635069059</x:v>
      </x:c>
      <x:c r="K270" s="83" t="n">
        <x:v>5</x:v>
      </x:c>
      <x:c r="L270" s="80" t="n">
        <x:f>'玩家战力_节点'!AU230</x:f>
        <x:v>1293515</x:v>
      </x:c>
      <x:c r="M270" s="82" t="n">
        <x:f>L270/L269-1</x:f>
        <x:v>0.004472900512908051</x:v>
      </x:c>
      <x:c r="N270" s="39" t="n">
        <x:f>IF(A270&lt;=$J$5,ABS(L270-D270),0)</x:f>
        <x:v>0</x:v>
      </x:c>
    </x:row>
    <x:row r="271">
      <x:c r="A271" s="39" t="n">
        <x:v>220</x:v>
      </x:c>
      <x:c r="B271" s="39" t="n">
        <x:v>16</x:v>
      </x:c>
      <x:c r="C271" s="39" t="n">
        <x:v>1</x:v>
      </x:c>
      <x:c r="D271" s="80" t="n">
        <x:v>1523295</x:v>
      </x:c>
      <x:c r="E271" s="81" t="n">
        <x:v>0.88031150821765</x:v>
      </x:c>
      <x:c r="F271" s="81" t="n">
        <x:v>0.692369171129922</x:v>
      </x:c>
      <x:c r="G271" s="81" t="n">
        <x:v>0.630379849405542</x:v>
      </x:c>
      <x:c r="H271" s="81" t="n">
        <x:v>0.5901428479189428</x:v>
      </x:c>
      <x:c r="I271" s="81" t="n">
        <x:v>0.608816821587534</x:v>
      </x:c>
      <x:c r="J271" s="81" t="n">
        <x:v>0.6908641029492635</x:v>
      </x:c>
      <x:c r="K271" s="83" t="n">
        <x:v>5</x:v>
      </x:c>
      <x:c r="L271" s="80" t="n">
        <x:f>'玩家战力_节点'!AU231</x:f>
        <x:v>1299030</x:v>
      </x:c>
      <x:c r="M271" s="82" t="n">
        <x:f>L271/L270-1</x:f>
        <x:v>0.0042635763790910275</x:v>
      </x:c>
      <x:c r="N271" s="39" t="n">
        <x:f>IF(A271&lt;=$J$5,ABS(L271-D271),0)</x:f>
        <x:v>0</x:v>
      </x:c>
    </x:row>
    <x:row r="272">
      <x:c r="A272" s="39" t="n">
        <x:v>221</x:v>
      </x:c>
      <x:c r="B272" s="39" t="n">
        <x:v>16</x:v>
      </x:c>
      <x:c r="C272" s="39" t="n">
        <x:v>2</x:v>
      </x:c>
      <x:c r="D272" s="80" t="n">
        <x:v>1525285</x:v>
      </x:c>
      <x:c r="E272" s="81" t="n">
        <x:v>0.8807660363517279</x:v>
      </x:c>
      <x:c r="F272" s="81" t="n">
        <x:v>0.692561998060791</x:v>
      </x:c>
      <x:c r="G272" s="81" t="n">
        <x:v>0.630875640031532</x:v>
      </x:c>
      <x:c r="H272" s="81" t="n">
        <x:v>0.5903919328368804</x:v>
      </x:c>
      <x:c r="I272" s="81" t="n">
        <x:v>0.6098574982993191</x:v>
      </x:c>
      <x:c r="J272" s="81" t="n">
        <x:v>0.6910949621414983</x:v>
      </x:c>
      <x:c r="K272" s="83" t="n">
        <x:v>5</x:v>
      </x:c>
      <x:c r="L272" s="80" t="n">
        <x:f>'玩家战力_节点'!AU232</x:f>
        <x:v>1304345</x:v>
      </x:c>
      <x:c r="M272" s="82" t="n">
        <x:f>L272/L271-1</x:f>
        <x:v>0.004091514437695842</x:v>
      </x:c>
      <x:c r="N272" s="39" t="n">
        <x:f>IF(A272&lt;=$J$5,ABS(L272-D272),0)</x:f>
        <x:v>0</x:v>
      </x:c>
    </x:row>
    <x:row r="273">
      <x:c r="A273" s="39" t="n">
        <x:v>222</x:v>
      </x:c>
      <x:c r="B273" s="39" t="n">
        <x:v>16</x:v>
      </x:c>
      <x:c r="C273" s="39" t="n">
        <x:v>3</x:v>
      </x:c>
      <x:c r="D273" s="80" t="n">
        <x:v>1527280</x:v>
      </x:c>
      <x:c r="E273" s="81" t="n">
        <x:v>0.881220564485806</x:v>
      </x:c>
      <x:c r="F273" s="81" t="n">
        <x:v>0.6927548249916601</x:v>
      </x:c>
      <x:c r="G273" s="81" t="n">
        <x:v>0.6313714306575218</x:v>
      </x:c>
      <x:c r="H273" s="81" t="n">
        <x:v>0.5906410177548179</x:v>
      </x:c>
      <x:c r="I273" s="81" t="n">
        <x:v>0.610898175011104</x:v>
      </x:c>
      <x:c r="J273" s="81" t="n">
        <x:v>0.6913258213337332</x:v>
      </x:c>
      <x:c r="K273" s="83" t="n">
        <x:v>5</x:v>
      </x:c>
      <x:c r="L273" s="80" t="n">
        <x:f>'玩家战力_节点'!AU233</x:f>
        <x:v>1309675</x:v>
      </x:c>
      <x:c r="M273" s="82" t="n">
        <x:f>L273/L272-1</x:f>
        <x:v>0.00408634218707471</x:v>
      </x:c>
      <x:c r="N273" s="39" t="n">
        <x:f>IF(A273&lt;=$J$5,ABS(L273-D273),0)</x:f>
        <x:v>0</x:v>
      </x:c>
    </x:row>
    <x:row r="274">
      <x:c r="A274" s="39" t="n">
        <x:v>223</x:v>
      </x:c>
      <x:c r="B274" s="39" t="n">
        <x:v>16</x:v>
      </x:c>
      <x:c r="C274" s="39" t="n">
        <x:v>4</x:v>
      </x:c>
      <x:c r="D274" s="80" t="n">
        <x:v>1529270</x:v>
      </x:c>
      <x:c r="E274" s="81" t="n">
        <x:v>0.8816750926198841</x:v>
      </x:c>
      <x:c r="F274" s="81" t="n">
        <x:v>0.692947651922529</x:v>
      </x:c>
      <x:c r="G274" s="81" t="n">
        <x:v>0.6318672212835117</x:v>
      </x:c>
      <x:c r="H274" s="81" t="n">
        <x:v>0.5908901026727554</x:v>
      </x:c>
      <x:c r="I274" s="81" t="n">
        <x:v>0.6119388517228891</x:v>
      </x:c>
      <x:c r="J274" s="81" t="n">
        <x:v>0.6915566805259681</x:v>
      </x:c>
      <x:c r="K274" s="83" t="n">
        <x:v>5</x:v>
      </x:c>
      <x:c r="L274" s="80" t="n">
        <x:f>'玩家战力_节点'!AU234</x:f>
        <x:v>1315015</x:v>
      </x:c>
      <x:c r="M274" s="82" t="n">
        <x:f>L274/L273-1</x:f>
        <x:v>0.004077347433523615</x:v>
      </x:c>
      <x:c r="N274" s="39" t="n">
        <x:f>IF(A274&lt;=$J$5,ABS(L274-D274),0)</x:f>
        <x:v>0</x:v>
      </x:c>
    </x:row>
    <x:row r="275">
      <x:c r="A275" s="39" t="n">
        <x:v>224</x:v>
      </x:c>
      <x:c r="B275" s="39" t="n">
        <x:v>16</x:v>
      </x:c>
      <x:c r="C275" s="39" t="n">
        <x:v>5</x:v>
      </x:c>
      <x:c r="D275" s="80" t="n">
        <x:v>1531265</x:v>
      </x:c>
      <x:c r="E275" s="81" t="n">
        <x:v>0.882129620753962</x:v>
      </x:c>
      <x:c r="F275" s="81" t="n">
        <x:v>0.693140478853398</x:v>
      </x:c>
      <x:c r="G275" s="81" t="n">
        <x:v>0.6323630119095014</x:v>
      </x:c>
      <x:c r="H275" s="81" t="n">
        <x:v>0.5911391875906931</x:v>
      </x:c>
      <x:c r="I275" s="81" t="n">
        <x:v>0.6129795284346741</x:v>
      </x:c>
      <x:c r="J275" s="81" t="n">
        <x:v>0.691787539718203</x:v>
      </x:c>
      <x:c r="K275" s="83" t="n">
        <x:v>5</x:v>
      </x:c>
      <x:c r="L275" s="80" t="n">
        <x:f>'玩家战力_节点'!AU235</x:f>
        <x:v>1320365</x:v>
      </x:c>
      <x:c r="M275" s="82" t="n">
        <x:f>L275/L274-1</x:f>
        <x:v>0.004068394657095187</x:v>
      </x:c>
      <x:c r="N275" s="39" t="n">
        <x:f>IF(A275&lt;=$J$5,ABS(L275-D275),0)</x:f>
        <x:v>0</x:v>
      </x:c>
    </x:row>
    <x:row r="276">
      <x:c r="A276" s="39" t="n">
        <x:v>225</x:v>
      </x:c>
      <x:c r="B276" s="39" t="n">
        <x:v>16</x:v>
      </x:c>
      <x:c r="C276" s="39" t="n">
        <x:v>6</x:v>
      </x:c>
      <x:c r="D276" s="80" t="n">
        <x:v>1533260</x:v>
      </x:c>
      <x:c r="E276" s="81" t="n">
        <x:v>0.8825841488880399</x:v>
      </x:c>
      <x:c r="F276" s="81" t="n">
        <x:v>0.693333305784267</x:v>
      </x:c>
      <x:c r="G276" s="81" t="n">
        <x:v>0.6328588025354913</x:v>
      </x:c>
      <x:c r="H276" s="81" t="n">
        <x:v>0.5913882725086307</x:v>
      </x:c>
      <x:c r="I276" s="81" t="n">
        <x:v>0.614020205146459</x:v>
      </x:c>
      <x:c r="J276" s="81" t="n">
        <x:v>0.6920183989104378</x:v>
      </x:c>
      <x:c r="K276" s="83" t="n">
        <x:v>5</x:v>
      </x:c>
      <x:c r="L276" s="80" t="n">
        <x:f>'玩家战力_节点'!AU236</x:f>
        <x:v>1325730</x:v>
      </x:c>
      <x:c r="M276" s="82" t="n">
        <x:f>L276/L275-1</x:f>
        <x:v>0.004063270383568129</x:v>
      </x:c>
      <x:c r="N276" s="39" t="n">
        <x:f>IF(A276&lt;=$J$5,ABS(L276-D276),0)</x:f>
        <x:v>0</x:v>
      </x:c>
    </x:row>
    <x:row r="277">
      <x:c r="A277" s="39" t="n">
        <x:v>226</x:v>
      </x:c>
      <x:c r="B277" s="39" t="n">
        <x:v>16</x:v>
      </x:c>
      <x:c r="C277" s="39" t="n">
        <x:v>7</x:v>
      </x:c>
      <x:c r="D277" s="80" t="n">
        <x:v>1535260</x:v>
      </x:c>
      <x:c r="E277" s="81" t="n">
        <x:v>0.883038677022118</x:v>
      </x:c>
      <x:c r="F277" s="81" t="n">
        <x:v>0.6935261327151361</x:v>
      </x:c>
      <x:c r="G277" s="81" t="n">
        <x:v>0.6333545931614811</x:v>
      </x:c>
      <x:c r="H277" s="81" t="n">
        <x:v>0.5916373574265682</x:v>
      </x:c>
      <x:c r="I277" s="81" t="n">
        <x:v>0.615060881858244</x:v>
      </x:c>
      <x:c r="J277" s="81" t="n">
        <x:v>0.6922492581026727</x:v>
      </x:c>
      <x:c r="K277" s="83" t="n">
        <x:v>5</x:v>
      </x:c>
      <x:c r="L277" s="80" t="n">
        <x:f>'玩家战力_节点'!AU237</x:f>
        <x:v>1331110</x:v>
      </x:c>
      <x:c r="M277" s="82" t="n">
        <x:f>L277/L276-1</x:f>
        <x:v>0.004058141552201411</x:v>
      </x:c>
      <x:c r="N277" s="39" t="n">
        <x:f>IF(A277&lt;=$J$5,ABS(L277-D277),0)</x:f>
        <x:v>0</x:v>
      </x:c>
    </x:row>
    <x:row r="278">
      <x:c r="A278" s="39" t="n">
        <x:v>227</x:v>
      </x:c>
      <x:c r="B278" s="39" t="n">
        <x:v>16</x:v>
      </x:c>
      <x:c r="C278" s="39" t="n">
        <x:v>8</x:v>
      </x:c>
      <x:c r="D278" s="80" t="n">
        <x:v>1537260</x:v>
      </x:c>
      <x:c r="E278" s="81" t="n">
        <x:v>0.883493205156196</x:v>
      </x:c>
      <x:c r="F278" s="81" t="n">
        <x:v>0.693718959646005</x:v>
      </x:c>
      <x:c r="G278" s="81" t="n">
        <x:v>0.633850383787471</x:v>
      </x:c>
      <x:c r="H278" s="81" t="n">
        <x:v>0.5918864423445057</x:v>
      </x:c>
      <x:c r="I278" s="81" t="n">
        <x:v>0.616101558570029</x:v>
      </x:c>
      <x:c r="J278" s="81" t="n">
        <x:v>0.6924801172949075</x:v>
      </x:c>
      <x:c r="K278" s="83" t="n">
        <x:v>5</x:v>
      </x:c>
      <x:c r="L278" s="80" t="n">
        <x:f>'玩家战力_节点'!AU238</x:f>
        <x:v>1336505</x:v>
      </x:c>
      <x:c r="M278" s="82" t="n">
        <x:f>L278/L277-1</x:f>
        <x:v>0.004053008391492918</x:v>
      </x:c>
      <x:c r="N278" s="39" t="n">
        <x:f>IF(A278&lt;=$J$5,ABS(L278-D278),0)</x:f>
        <x:v>0</x:v>
      </x:c>
    </x:row>
    <x:row r="279">
      <x:c r="A279" s="39" t="n">
        <x:v>228</x:v>
      </x:c>
      <x:c r="B279" s="39" t="n">
        <x:v>16</x:v>
      </x:c>
      <x:c r="C279" s="39" t="n">
        <x:v>9</x:v>
      </x:c>
      <x:c r="D279" s="80" t="n">
        <x:v>1539260</x:v>
      </x:c>
      <x:c r="E279" s="81" t="n">
        <x:v>0.883947733290274</x:v>
      </x:c>
      <x:c r="F279" s="81" t="n">
        <x:v>0.693911786576874</x:v>
      </x:c>
      <x:c r="G279" s="81" t="n">
        <x:v>0.6343461744134609</x:v>
      </x:c>
      <x:c r="H279" s="81" t="n">
        <x:v>0.5921355272624433</x:v>
      </x:c>
      <x:c r="I279" s="81" t="n">
        <x:v>0.617142235281814</x:v>
      </x:c>
      <x:c r="J279" s="81" t="n">
        <x:v>0.6927109764871423</x:v>
      </x:c>
      <x:c r="K279" s="83" t="n">
        <x:v>5</x:v>
      </x:c>
      <x:c r="L279" s="80" t="n">
        <x:f>'玩家战力_节点'!AU239</x:f>
        <x:v>1341910</x:v>
      </x:c>
      <x:c r="M279" s="82" t="n">
        <x:f>L279/L278-1</x:f>
        <x:v>0.004044130025701254</x:v>
      </x:c>
      <x:c r="N279" s="39" t="n">
        <x:f>IF(A279&lt;=$J$5,ABS(L279-D279),0)</x:f>
        <x:v>0</x:v>
      </x:c>
    </x:row>
    <x:row r="280">
      <x:c r="A280" s="39" t="n">
        <x:v>229</x:v>
      </x:c>
      <x:c r="B280" s="39" t="n">
        <x:v>16</x:v>
      </x:c>
      <x:c r="C280" s="39" t="n">
        <x:v>10</x:v>
      </x:c>
      <x:c r="D280" s="80" t="n">
        <x:v>1541260</x:v>
      </x:c>
      <x:c r="E280" s="81" t="n">
        <x:v>0.884402261424352</x:v>
      </x:c>
      <x:c r="F280" s="81" t="n">
        <x:v>0.694104613507743</x:v>
      </x:c>
      <x:c r="G280" s="81" t="n">
        <x:v>0.6348419650394508</x:v>
      </x:c>
      <x:c r="H280" s="81" t="n">
        <x:v>0.5923846121803809</x:v>
      </x:c>
      <x:c r="I280" s="81" t="n">
        <x:v>0.618182911993599</x:v>
      </x:c>
      <x:c r="J280" s="81" t="n">
        <x:v>0.6929418356793772</x:v>
      </x:c>
      <x:c r="K280" s="83" t="n">
        <x:v>5</x:v>
      </x:c>
      <x:c r="L280" s="80" t="n">
        <x:f>'玩家战力_节点'!AU240</x:f>
        <x:v>1347330</x:v>
      </x:c>
      <x:c r="M280" s="82" t="n">
        <x:f>L280/L279-1</x:f>
        <x:v>0.00403901901021686</x:v>
      </x:c>
      <x:c r="N280" s="39" t="n">
        <x:f>IF(A280&lt;=$J$5,ABS(L280-D280),0)</x:f>
        <x:v>0</x:v>
      </x:c>
    </x:row>
    <x:row r="281">
      <x:c r="A281" s="39" t="n">
        <x:v>230</x:v>
      </x:c>
      <x:c r="B281" s="39" t="n">
        <x:v>16</x:v>
      </x:c>
      <x:c r="C281" s="39" t="n">
        <x:v>11</x:v>
      </x:c>
      <x:c r="D281" s="80" t="n">
        <x:v>1543265</x:v>
      </x:c>
      <x:c r="E281" s="81" t="n">
        <x:v>0.88485678955843</x:v>
      </x:c>
      <x:c r="F281" s="81" t="n">
        <x:v>0.694297440438612</x:v>
      </x:c>
      <x:c r="G281" s="81" t="n">
        <x:v>0.6353377556654406</x:v>
      </x:c>
      <x:c r="H281" s="81" t="n">
        <x:v>0.5926336970983184</x:v>
      </x:c>
      <x:c r="I281" s="81" t="n">
        <x:v>0.619223588705384</x:v>
      </x:c>
      <x:c r="J281" s="81" t="n">
        <x:v>0.693172694871612</x:v>
      </x:c>
      <x:c r="K281" s="83" t="n">
        <x:v>5</x:v>
      </x:c>
      <x:c r="L281" s="80" t="n">
        <x:f>'玩家战力_节点'!AU241</x:f>
        <x:v>1352765</x:v>
      </x:c>
      <x:c r="M281" s="82" t="n">
        <x:f>L281/L280-1</x:f>
        <x:v>0.00403390409179627</x:v>
      </x:c>
      <x:c r="N281" s="39" t="n">
        <x:f>IF(A281&lt;=$J$5,ABS(L281-D281),0)</x:f>
        <x:v>0</x:v>
      </x:c>
    </x:row>
    <x:row r="282">
      <x:c r="A282" s="39" t="n">
        <x:v>231</x:v>
      </x:c>
      <x:c r="B282" s="39" t="n">
        <x:v>16</x:v>
      </x:c>
      <x:c r="C282" s="39" t="n">
        <x:v>12</x:v>
      </x:c>
      <x:c r="D282" s="80" t="n">
        <x:v>1545270</x:v>
      </x:c>
      <x:c r="E282" s="81" t="n">
        <x:v>0.885311317692508</x:v>
      </x:c>
      <x:c r="F282" s="81" t="n">
        <x:v>0.6944902673694809</x:v>
      </x:c>
      <x:c r="G282" s="81" t="n">
        <x:v>0.6358335462914304</x:v>
      </x:c>
      <x:c r="H282" s="81" t="n">
        <x:v>0.592882782016256</x:v>
      </x:c>
      <x:c r="I282" s="81" t="n">
        <x:v>0.620264265417169</x:v>
      </x:c>
      <x:c r="J282" s="81" t="n">
        <x:v>0.693403554063847</x:v>
      </x:c>
      <x:c r="K282" s="83" t="n">
        <x:v>5</x:v>
      </x:c>
      <x:c r="L282" s="80" t="n">
        <x:f>'玩家战力_节点'!AU242</x:f>
        <x:v>1358210</x:v>
      </x:c>
      <x:c r="M282" s="82" t="n">
        <x:f>L282/L281-1</x:f>
        <x:v>0.00402508935402679</x:v>
      </x:c>
      <x:c r="N282" s="39" t="n">
        <x:f>IF(A282&lt;=$J$5,ABS(L282-D282),0)</x:f>
        <x:v>0</x:v>
      </x:c>
    </x:row>
    <x:row r="283">
      <x:c r="A283" s="39" t="n">
        <x:v>232</x:v>
      </x:c>
      <x:c r="B283" s="39" t="n">
        <x:v>16</x:v>
      </x:c>
      <x:c r="C283" s="39" t="n">
        <x:v>13</x:v>
      </x:c>
      <x:c r="D283" s="80" t="n">
        <x:v>1547275</x:v>
      </x:c>
      <x:c r="E283" s="81" t="n">
        <x:v>0.8857658458265859</x:v>
      </x:c>
      <x:c r="F283" s="81" t="n">
        <x:v>0.6946830943003499</x:v>
      </x:c>
      <x:c r="G283" s="81" t="n">
        <x:v>0.6363293369174202</x:v>
      </x:c>
      <x:c r="H283" s="81" t="n">
        <x:v>0.5931318669341936</x:v>
      </x:c>
      <x:c r="I283" s="81" t="n">
        <x:v>0.621304942128954</x:v>
      </x:c>
      <x:c r="J283" s="81" t="n">
        <x:v>0.6936344132560818</x:v>
      </x:c>
      <x:c r="K283" s="83" t="n">
        <x:v>5</x:v>
      </x:c>
      <x:c r="L283" s="80" t="n">
        <x:f>'玩家战力_节点'!AU243</x:f>
        <x:v>1363670</x:v>
      </x:c>
      <x:c r="M283" s="82" t="n">
        <x:f>L283/L282-1</x:f>
        <x:v>0.004019996907694612</x:v>
      </x:c>
      <x:c r="N283" s="39" t="n">
        <x:f>IF(A283&lt;=$J$5,ABS(L283-D283),0)</x:f>
        <x:v>0</x:v>
      </x:c>
    </x:row>
    <x:row r="284">
      <x:c r="A284" s="39" t="n">
        <x:v>233</x:v>
      </x:c>
      <x:c r="B284" s="39" t="n">
        <x:v>16</x:v>
      </x:c>
      <x:c r="C284" s="39" t="n">
        <x:v>14</x:v>
      </x:c>
      <x:c r="D284" s="80" t="n">
        <x:v>1549285</x:v>
      </x:c>
      <x:c r="E284" s="81" t="n">
        <x:v>0.8862203739606639</x:v>
      </x:c>
      <x:c r="F284" s="81" t="n">
        <x:v>0.694875921231219</x:v>
      </x:c>
      <x:c r="G284" s="81" t="n">
        <x:v>0.6368251275434101</x:v>
      </x:c>
      <x:c r="H284" s="81" t="n">
        <x:v>0.5933809518521311</x:v>
      </x:c>
      <x:c r="I284" s="81" t="n">
        <x:v>0.622345618840739</x:v>
      </x:c>
      <x:c r="J284" s="81" t="n">
        <x:v>0.6938652724483166</x:v>
      </x:c>
      <x:c r="K284" s="83" t="n">
        <x:v>5</x:v>
      </x:c>
      <x:c r="L284" s="80" t="n">
        <x:f>'玩家战力_节点'!AU244</x:f>
        <x:v>1369145</x:v>
      </x:c>
      <x:c r="M284" s="82" t="n">
        <x:f>L284/L283-1</x:f>
        <x:v>0.004014900965776169</x:v>
      </x:c>
      <x:c r="N284" s="39" t="n">
        <x:f>IF(A284&lt;=$J$5,ABS(L284-D284),0)</x:f>
        <x:v>0</x:v>
      </x:c>
    </x:row>
    <x:row r="285">
      <x:c r="A285" s="39" t="n">
        <x:v>234</x:v>
      </x:c>
      <x:c r="B285" s="39" t="n">
        <x:v>16</x:v>
      </x:c>
      <x:c r="C285" s="39" t="n">
        <x:v>15</x:v>
      </x:c>
      <x:c r="D285" s="80" t="n">
        <x:v>1551295</x:v>
      </x:c>
      <x:c r="E285" s="81" t="n">
        <x:v>0.886674902094742</x:v>
      </x:c>
      <x:c r="F285" s="81" t="n">
        <x:v>0.695068748162088</x:v>
      </x:c>
      <x:c r="G285" s="81" t="n">
        <x:v>0.6373209181694</x:v>
      </x:c>
      <x:c r="H285" s="81" t="n">
        <x:v>0.5936300367700686</x:v>
      </x:c>
      <x:c r="I285" s="81" t="n">
        <x:v>0.623386295552524</x:v>
      </x:c>
      <x:c r="J285" s="81" t="n">
        <x:v>0.6940961316405515</x:v>
      </x:c>
      <x:c r="K285" s="83" t="n">
        <x:v>5</x:v>
      </x:c>
      <x:c r="L285" s="80" t="n">
        <x:f>'玩家战力_节点'!AU245</x:f>
        <x:v>1374630</x:v>
      </x:c>
      <x:c r="M285" s="82" t="n">
        <x:f>L285/L284-1</x:f>
        <x:v>0.004006149823430061</x:v>
      </x:c>
      <x:c r="N285" s="39" t="n">
        <x:f>IF(A285&lt;=$J$5,ABS(L285-D285),0)</x:f>
        <x:v>0</x:v>
      </x:c>
    </x:row>
    <x:row r="286">
      <x:c r="A286" s="39" t="n">
        <x:v>235</x:v>
      </x:c>
      <x:c r="B286" s="39" t="n">
        <x:v>17</x:v>
      </x:c>
      <x:c r="C286" s="39" t="n">
        <x:v>1</x:v>
      </x:c>
      <x:c r="D286" s="80" t="n">
        <x:v>1553025</x:v>
      </x:c>
      <x:c r="E286" s="81" t="n">
        <x:v>0.887079969017817</x:v>
      </x:c>
      <x:c r="F286" s="81" t="n">
        <x:v>0.695233915438357</x:v>
      </x:c>
      <x:c r="G286" s="81" t="n">
        <x:v>0.63774559114908</x:v>
      </x:c>
      <x:c r="H286" s="81" t="n">
        <x:v>0.5938433922244668</x:v>
      </x:c>
      <x:c r="I286" s="81" t="n">
        <x:v>0.624277694576447</x:v>
      </x:c>
      <x:c r="J286" s="81" t="n">
        <x:v>0.6942938757202378</x:v>
      </x:c>
      <x:c r="K286" s="83" t="n">
        <x:v>5</x:v>
      </x:c>
      <x:c r="L286" s="80" t="n">
        <x:f>'玩家战力_节点'!AU246</x:f>
        <x:v>1379925</x:v>
      </x:c>
      <x:c r="M286" s="82" t="n">
        <x:f>L286/L285-1</x:f>
        <x:v>0.0038519456144563424</x:v>
      </x:c>
      <x:c r="N286" s="39" t="n">
        <x:f>IF(A286&lt;=$J$5,ABS(L286-D286),0)</x:f>
        <x:v>0</x:v>
      </x:c>
    </x:row>
    <x:row r="287">
      <x:c r="A287" s="39" t="n">
        <x:v>236</x:v>
      </x:c>
      <x:c r="B287" s="39" t="n">
        <x:v>17</x:v>
      </x:c>
      <x:c r="C287" s="39" t="n">
        <x:v>2</x:v>
      </x:c>
      <x:c r="D287" s="80" t="n">
        <x:v>1554530</x:v>
      </x:c>
      <x:c r="E287" s="81" t="n">
        <x:v>0.8874422989623566</x:v>
      </x:c>
      <x:c r="F287" s="81" t="n">
        <x:v>0.6953763314516549</x:v>
      </x:c>
      <x:c r="G287" s="81" t="n">
        <x:v>0.6381117667868172</x:v>
      </x:c>
      <x:c r="H287" s="81" t="n">
        <x:v>0.5940273586487904</x:v>
      </x:c>
      <x:c r="I287" s="81" t="n">
        <x:v>0.625046306241614</x:v>
      </x:c>
      <x:c r="J287" s="81" t="n">
        <x:v>0.6944643811866842</x:v>
      </x:c>
      <x:c r="K287" s="83" t="n">
        <x:v>5</x:v>
      </x:c>
      <x:c r="L287" s="80" t="n">
        <x:f>'玩家战力_节点'!AU247</x:f>
        <x:v>1385060</x:v>
      </x:c>
      <x:c r="M287" s="82" t="n">
        <x:f>L287/L286-1</x:f>
        <x:v>0.003721216732793353</x:v>
      </x:c>
      <x:c r="N287" s="39" t="n">
        <x:f>IF(A287&lt;=$J$5,ABS(L287-D287),0)</x:f>
        <x:v>0</x:v>
      </x:c>
    </x:row>
    <x:row r="288">
      <x:c r="A288" s="39" t="n">
        <x:v>237</x:v>
      </x:c>
      <x:c r="B288" s="39" t="n">
        <x:v>17</x:v>
      </x:c>
      <x:c r="C288" s="39" t="n">
        <x:v>3</x:v>
      </x:c>
      <x:c r="D288" s="80" t="n">
        <x:v>1556035</x:v>
      </x:c>
      <x:c r="E288" s="81" t="n">
        <x:v>0.8878046289068963</x:v>
      </x:c>
      <x:c r="F288" s="81" t="n">
        <x:v>0.6955187474649528</x:v>
      </x:c>
      <x:c r="G288" s="81" t="n">
        <x:v>0.6384779424245546</x:v>
      </x:c>
      <x:c r="H288" s="81" t="n">
        <x:v>0.594211325073114</x:v>
      </x:c>
      <x:c r="I288" s="81" t="n">
        <x:v>0.625814917906781</x:v>
      </x:c>
      <x:c r="J288" s="81" t="n">
        <x:v>0.6946348866531306</x:v>
      </x:c>
      <x:c r="K288" s="83" t="n">
        <x:v>5</x:v>
      </x:c>
      <x:c r="L288" s="80" t="n">
        <x:f>'玩家战力_节点'!AU248</x:f>
        <x:v>1390210</x:v>
      </x:c>
      <x:c r="M288" s="82" t="n">
        <x:f>L288/L287-1</x:f>
        <x:v>0.003718250472903639</x:v>
      </x:c>
      <x:c r="N288" s="39" t="n">
        <x:f>IF(A288&lt;=$J$5,ABS(L288-D288),0)</x:f>
        <x:v>0</x:v>
      </x:c>
    </x:row>
    <x:row r="289">
      <x:c r="A289" s="39" t="n">
        <x:v>238</x:v>
      </x:c>
      <x:c r="B289" s="39" t="n">
        <x:v>17</x:v>
      </x:c>
      <x:c r="C289" s="39" t="n">
        <x:v>4</x:v>
      </x:c>
      <x:c r="D289" s="80" t="n">
        <x:v>1557535</x:v>
      </x:c>
      <x:c r="E289" s="81" t="n">
        <x:v>0.8881669588514358</x:v>
      </x:c>
      <x:c r="F289" s="81" t="n">
        <x:v>0.6956611634782506</x:v>
      </x:c>
      <x:c r="G289" s="81" t="n">
        <x:v>0.6388441180622919</x:v>
      </x:c>
      <x:c r="H289" s="81" t="n">
        <x:v>0.5943952914974376</x:v>
      </x:c>
      <x:c r="I289" s="81" t="n">
        <x:v>0.626583529571948</x:v>
      </x:c>
      <x:c r="J289" s="81" t="n">
        <x:v>0.6948053921195768</x:v>
      </x:c>
      <x:c r="K289" s="83" t="n">
        <x:v>5</x:v>
      </x:c>
      <x:c r="L289" s="80" t="n">
        <x:f>'玩家战力_节点'!AU249</x:f>
        <x:v>1395365</x:v>
      </x:c>
      <x:c r="M289" s="82" t="n">
        <x:f>L289/L288-1</x:f>
        <x:v>0.0037080728810754415</x:v>
      </x:c>
      <x:c r="N289" s="39" t="n">
        <x:f>IF(A289&lt;=$J$5,ABS(L289-D289),0)</x:f>
        <x:v>0</x:v>
      </x:c>
    </x:row>
    <x:row r="290">
      <x:c r="A290" s="39" t="n">
        <x:v>239</x:v>
      </x:c>
      <x:c r="B290" s="39" t="n">
        <x:v>17</x:v>
      </x:c>
      <x:c r="C290" s="39" t="n">
        <x:v>5</x:v>
      </x:c>
      <x:c r="D290" s="80" t="n">
        <x:v>1559040</x:v>
      </x:c>
      <x:c r="E290" s="81" t="n">
        <x:v>0.8885292887959754</x:v>
      </x:c>
      <x:c r="F290" s="81" t="n">
        <x:v>0.6958035794915485</x:v>
      </x:c>
      <x:c r="G290" s="81" t="n">
        <x:v>0.6392102937000291</x:v>
      </x:c>
      <x:c r="H290" s="81" t="n">
        <x:v>0.5945792579217614</x:v>
      </x:c>
      <x:c r="I290" s="81" t="n">
        <x:v>0.6273521412371149</x:v>
      </x:c>
      <x:c r="J290" s="81" t="n">
        <x:v>0.6949758975860232</x:v>
      </x:c>
      <x:c r="K290" s="83" t="n">
        <x:v>5</x:v>
      </x:c>
      <x:c r="L290" s="80" t="n">
        <x:f>'玩家战力_节点'!AU250</x:f>
        <x:v>1400535</x:v>
      </x:c>
      <x:c r="M290" s="82" t="n">
        <x:f>L290/L289-1</x:f>
        <x:v>0.00370512374898313</x:v>
      </x:c>
      <x:c r="N290" s="39" t="n">
        <x:f>IF(A290&lt;=$J$5,ABS(L290-D290),0)</x:f>
        <x:v>0</x:v>
      </x:c>
    </x:row>
    <x:row r="291">
      <x:c r="A291" s="39" t="n">
        <x:v>240</x:v>
      </x:c>
      <x:c r="B291" s="39" t="n">
        <x:v>17</x:v>
      </x:c>
      <x:c r="C291" s="39" t="n">
        <x:v>6</x:v>
      </x:c>
      <x:c r="D291" s="80" t="n">
        <x:v>1560550</x:v>
      </x:c>
      <x:c r="E291" s="81" t="n">
        <x:v>0.8888916187405149</x:v>
      </x:c>
      <x:c r="F291" s="81" t="n">
        <x:v>0.6959459955048463</x:v>
      </x:c>
      <x:c r="G291" s="81" t="n">
        <x:v>0.6395764693377664</x:v>
      </x:c>
      <x:c r="H291" s="81" t="n">
        <x:v>0.594763224346085</x:v>
      </x:c>
      <x:c r="I291" s="81" t="n">
        <x:v>0.628120752902282</x:v>
      </x:c>
      <x:c r="J291" s="81" t="n">
        <x:v>0.6951464030524696</x:v>
      </x:c>
      <x:c r="K291" s="83" t="n">
        <x:v>5</x:v>
      </x:c>
      <x:c r="L291" s="80" t="n">
        <x:f>'玩家战力_节点'!AU251</x:f>
        <x:v>1405720</x:v>
      </x:c>
      <x:c r="M291" s="82" t="n">
        <x:f>L291/L290-1</x:f>
        <x:v>0.003702156675841728</x:v>
      </x:c>
      <x:c r="N291" s="39" t="n">
        <x:f>IF(A291&lt;=$J$5,ABS(L291-D291),0)</x:f>
        <x:v>0</x:v>
      </x:c>
    </x:row>
    <x:row r="292">
      <x:c r="A292" s="39" t="n">
        <x:v>241</x:v>
      </x:c>
      <x:c r="B292" s="39" t="n">
        <x:v>17</x:v>
      </x:c>
      <x:c r="C292" s="39" t="n">
        <x:v>7</x:v>
      </x:c>
      <x:c r="D292" s="80" t="n">
        <x:v>1562055</x:v>
      </x:c>
      <x:c r="E292" s="81" t="n">
        <x:v>0.8892539486850545</x:v>
      </x:c>
      <x:c r="F292" s="81" t="n">
        <x:v>0.6960884115181442</x:v>
      </x:c>
      <x:c r="G292" s="81" t="n">
        <x:v>0.6399426449755037</x:v>
      </x:c>
      <x:c r="H292" s="81" t="n">
        <x:v>0.5949471907704087</x:v>
      </x:c>
      <x:c r="I292" s="81" t="n">
        <x:v>0.6288893645674489</x:v>
      </x:c>
      <x:c r="J292" s="81" t="n">
        <x:v>0.6953169085189159</x:v>
      </x:c>
      <x:c r="K292" s="83" t="n">
        <x:v>5</x:v>
      </x:c>
      <x:c r="L292" s="80" t="n">
        <x:f>'玩家战力_节点'!AU252</x:f>
        <x:v>1410915</x:v>
      </x:c>
      <x:c r="M292" s="82" t="n">
        <x:f>L292/L291-1</x:f>
        <x:v>0.0036956150584752656</x:v>
      </x:c>
      <x:c r="N292" s="39" t="n">
        <x:f>IF(A292&lt;=$J$5,ABS(L292-D292),0)</x:f>
        <x:v>0</x:v>
      </x:c>
    </x:row>
    <x:row r="293">
      <x:c r="A293" s="39" t="n">
        <x:v>242</x:v>
      </x:c>
      <x:c r="B293" s="39" t="n">
        <x:v>17</x:v>
      </x:c>
      <x:c r="C293" s="39" t="n">
        <x:v>8</x:v>
      </x:c>
      <x:c r="D293" s="80" t="n">
        <x:v>1563565</x:v>
      </x:c>
      <x:c r="E293" s="81" t="n">
        <x:v>0.889616278629594</x:v>
      </x:c>
      <x:c r="F293" s="81" t="n">
        <x:v>0.6962308275314419</x:v>
      </x:c>
      <x:c r="G293" s="81" t="n">
        <x:v>0.640308820613241</x:v>
      </x:c>
      <x:c r="H293" s="81" t="n">
        <x:v>0.5951311571947323</x:v>
      </x:c>
      <x:c r="I293" s="81" t="n">
        <x:v>0.6296579762326159</x:v>
      </x:c>
      <x:c r="J293" s="81" t="n">
        <x:v>0.6954874139853622</x:v>
      </x:c>
      <x:c r="K293" s="83" t="n">
        <x:v>5</x:v>
      </x:c>
      <x:c r="L293" s="80" t="n">
        <x:f>'玩家战力_节点'!AU253</x:f>
        <x:v>1416120</x:v>
      </x:c>
      <x:c r="M293" s="82" t="n">
        <x:f>L293/L292-1</x:f>
        <x:v>0.003689095374278306</x:v>
      </x:c>
      <x:c r="N293" s="39" t="n">
        <x:f>IF(A293&lt;=$J$5,ABS(L293-D293),0)</x:f>
        <x:v>0</x:v>
      </x:c>
    </x:row>
    <x:row r="294">
      <x:c r="A294" s="39" t="n">
        <x:v>243</x:v>
      </x:c>
      <x:c r="B294" s="39" t="n">
        <x:v>17</x:v>
      </x:c>
      <x:c r="C294" s="39" t="n">
        <x:v>9</x:v>
      </x:c>
      <x:c r="D294" s="80" t="n">
        <x:v>1565070</x:v>
      </x:c>
      <x:c r="E294" s="81" t="n">
        <x:v>0.8899786085741336</x:v>
      </x:c>
      <x:c r="F294" s="81" t="n">
        <x:v>0.6963732435447398</x:v>
      </x:c>
      <x:c r="G294" s="81" t="n">
        <x:v>0.6406749962509782</x:v>
      </x:c>
      <x:c r="H294" s="81" t="n">
        <x:v>0.5953151236190559</x:v>
      </x:c>
      <x:c r="I294" s="81" t="n">
        <x:v>0.6304265878977829</x:v>
      </x:c>
      <x:c r="J294" s="81" t="n">
        <x:v>0.6956579194518085</x:v>
      </x:c>
      <x:c r="K294" s="83" t="n">
        <x:v>5</x:v>
      </x:c>
      <x:c r="L294" s="80" t="n">
        <x:f>'玩家战力_节点'!AU254</x:f>
        <x:v>1421335</x:v>
      </x:c>
      <x:c r="M294" s="82" t="n">
        <x:f>L294/L293-1</x:f>
        <x:v>0.003682597519984121</x:v>
      </x:c>
      <x:c r="N294" s="39" t="n">
        <x:f>IF(A294&lt;=$J$5,ABS(L294-D294),0)</x:f>
        <x:v>0</x:v>
      </x:c>
    </x:row>
    <x:row r="295">
      <x:c r="A295" s="39" t="n">
        <x:v>244</x:v>
      </x:c>
      <x:c r="B295" s="39" t="n">
        <x:v>17</x:v>
      </x:c>
      <x:c r="C295" s="39" t="n">
        <x:v>10</x:v>
      </x:c>
      <x:c r="D295" s="80" t="n">
        <x:v>1566580</x:v>
      </x:c>
      <x:c r="E295" s="81" t="n">
        <x:v>0.8903409385186731</x:v>
      </x:c>
      <x:c r="F295" s="81" t="n">
        <x:v>0.6965156595580377</x:v>
      </x:c>
      <x:c r="G295" s="81" t="n">
        <x:v>0.6410411718887156</x:v>
      </x:c>
      <x:c r="H295" s="81" t="n">
        <x:v>0.5954990900433795</x:v>
      </x:c>
      <x:c r="I295" s="81" t="n">
        <x:v>0.6311951995629499</x:v>
      </x:c>
      <x:c r="J295" s="81" t="n">
        <x:v>0.6958284249182549</x:v>
      </x:c>
      <x:c r="K295" s="83" t="n">
        <x:v>5</x:v>
      </x:c>
      <x:c r="L295" s="80" t="n">
        <x:f>'玩家战力_节点'!AU255</x:f>
        <x:v>1426565</x:v>
      </x:c>
      <x:c r="M295" s="82" t="n">
        <x:f>L295/L294-1</x:f>
        <x:v>0.00367963921243053</x:v>
      </x:c>
      <x:c r="N295" s="39" t="n">
        <x:f>IF(A295&lt;=$J$5,ABS(L295-D295),0)</x:f>
        <x:v>0</x:v>
      </x:c>
    </x:row>
    <x:row r="296">
      <x:c r="A296" s="39" t="n">
        <x:v>245</x:v>
      </x:c>
      <x:c r="B296" s="39" t="n">
        <x:v>17</x:v>
      </x:c>
      <x:c r="C296" s="39" t="n">
        <x:v>11</x:v>
      </x:c>
      <x:c r="D296" s="80" t="n">
        <x:v>1568090</x:v>
      </x:c>
      <x:c r="E296" s="81" t="n">
        <x:v>0.8907032684632127</x:v>
      </x:c>
      <x:c r="F296" s="81" t="n">
        <x:v>0.6966580755713356</x:v>
      </x:c>
      <x:c r="G296" s="81" t="n">
        <x:v>0.6414073475264529</x:v>
      </x:c>
      <x:c r="H296" s="81" t="n">
        <x:v>0.5956830564677031</x:v>
      </x:c>
      <x:c r="I296" s="81" t="n">
        <x:v>0.631963811228117</x:v>
      </x:c>
      <x:c r="J296" s="81" t="n">
        <x:v>0.6959989303847012</x:v>
      </x:c>
      <x:c r="K296" s="83" t="n">
        <x:v>5</x:v>
      </x:c>
      <x:c r="L296" s="80" t="n">
        <x:f>'玩家战力_节点'!AU256</x:f>
        <x:v>1431805</x:v>
      </x:c>
      <x:c r="M296" s="82" t="n">
        <x:f>L296/L295-1</x:f>
        <x:v>0.0036731589517478014</x:v>
      </x:c>
      <x:c r="N296" s="39" t="n">
        <x:f>IF(A296&lt;=$J$5,ABS(L296-D296),0)</x:f>
        <x:v>0</x:v>
      </x:c>
    </x:row>
    <x:row r="297">
      <x:c r="A297" s="39" t="n">
        <x:v>246</x:v>
      </x:c>
      <x:c r="B297" s="39" t="n">
        <x:v>17</x:v>
      </x:c>
      <x:c r="C297" s="39" t="n">
        <x:v>12</x:v>
      </x:c>
      <x:c r="D297" s="80" t="n">
        <x:v>1569600</x:v>
      </x:c>
      <x:c r="E297" s="81" t="n">
        <x:v>0.8910655984077522</x:v>
      </x:c>
      <x:c r="F297" s="81" t="n">
        <x:v>0.6968004915846334</x:v>
      </x:c>
      <x:c r="G297" s="81" t="n">
        <x:v>0.6417735231641901</x:v>
      </x:c>
      <x:c r="H297" s="81" t="n">
        <x:v>0.5958670228920269</x:v>
      </x:c>
      <x:c r="I297" s="81" t="n">
        <x:v>0.6327324228932839</x:v>
      </x:c>
      <x:c r="J297" s="81" t="n">
        <x:v>0.6961694358511475</x:v>
      </x:c>
      <x:c r="K297" s="83" t="n">
        <x:v>5</x:v>
      </x:c>
      <x:c r="L297" s="80" t="n">
        <x:f>'玩家战力_节点'!AU257</x:f>
        <x:v>1437060</x:v>
      </x:c>
      <x:c r="M297" s="82" t="n">
        <x:f>L297/L296-1</x:f>
        <x:v>0.003670192519232618</x:v>
      </x:c>
      <x:c r="N297" s="39" t="n">
        <x:f>IF(A297&lt;=$J$5,ABS(L297-D297),0)</x:f>
        <x:v>0</x:v>
      </x:c>
    </x:row>
    <x:row r="298">
      <x:c r="A298" s="39" t="n">
        <x:v>247</x:v>
      </x:c>
      <x:c r="B298" s="39" t="n">
        <x:v>17</x:v>
      </x:c>
      <x:c r="C298" s="39" t="n">
        <x:v>13</x:v>
      </x:c>
      <x:c r="D298" s="80" t="n">
        <x:v>1571115</x:v>
      </x:c>
      <x:c r="E298" s="81" t="n">
        <x:v>0.8914279283522919</x:v>
      </x:c>
      <x:c r="F298" s="81" t="n">
        <x:v>0.6969429075979313</x:v>
      </x:c>
      <x:c r="G298" s="81" t="n">
        <x:v>0.6421396988019273</x:v>
      </x:c>
      <x:c r="H298" s="81" t="n">
        <x:v>0.5960509893163505</x:v>
      </x:c>
      <x:c r="I298" s="81" t="n">
        <x:v>0.633501034558451</x:v>
      </x:c>
      <x:c r="J298" s="81" t="n">
        <x:v>0.6963399413175939</x:v>
      </x:c>
      <x:c r="K298" s="83" t="n">
        <x:v>5</x:v>
      </x:c>
      <x:c r="L298" s="80" t="n">
        <x:f>'玩家战力_节点'!AU258</x:f>
        <x:v>1442325</x:v>
      </x:c>
      <x:c r="M298" s="82" t="n">
        <x:f>L298/L297-1</x:f>
        <x:v>0.003663730115652797</x:v>
      </x:c>
      <x:c r="N298" s="39" t="n">
        <x:f>IF(A298&lt;=$J$5,ABS(L298-D298),0)</x:f>
        <x:v>0</x:v>
      </x:c>
    </x:row>
    <x:row r="299">
      <x:c r="A299" s="39" t="n">
        <x:v>248</x:v>
      </x:c>
      <x:c r="B299" s="39" t="n">
        <x:v>17</x:v>
      </x:c>
      <x:c r="C299" s="39" t="n">
        <x:v>14</x:v>
      </x:c>
      <x:c r="D299" s="80" t="n">
        <x:v>1572625</x:v>
      </x:c>
      <x:c r="E299" s="81" t="n">
        <x:v>0.8917902582968315</x:v>
      </x:c>
      <x:c r="F299" s="81" t="n">
        <x:v>0.6970853236112291</x:v>
      </x:c>
      <x:c r="G299" s="81" t="n">
        <x:v>0.6425058744396647</x:v>
      </x:c>
      <x:c r="H299" s="81" t="n">
        <x:v>0.5962349557406742</x:v>
      </x:c>
      <x:c r="I299" s="81" t="n">
        <x:v>0.634269646223618</x:v>
      </x:c>
      <x:c r="J299" s="81" t="n">
        <x:v>0.6965104467840402</x:v>
      </x:c>
      <x:c r="K299" s="83" t="n">
        <x:v>5</x:v>
      </x:c>
      <x:c r="L299" s="80" t="n">
        <x:f>'玩家战力_节点'!AU259</x:f>
        <x:v>1447600</x:v>
      </x:c>
      <x:c r="M299" s="82" t="n">
        <x:f>L299/L298-1</x:f>
        <x:v>0.003657289445859968</x:v>
      </x:c>
      <x:c r="N299" s="39" t="n">
        <x:f>IF(A299&lt;=$J$5,ABS(L299-D299),0)</x:f>
        <x:v>0</x:v>
      </x:c>
    </x:row>
    <x:row r="300">
      <x:c r="A300" s="39" t="n">
        <x:v>249</x:v>
      </x:c>
      <x:c r="B300" s="39" t="n">
        <x:v>17</x:v>
      </x:c>
      <x:c r="C300" s="39" t="n">
        <x:v>15</x:v>
      </x:c>
      <x:c r="D300" s="80" t="n">
        <x:v>1574140</x:v>
      </x:c>
      <x:c r="E300" s="81" t="n">
        <x:v>0.892152588241371</x:v>
      </x:c>
      <x:c r="F300" s="81" t="n">
        <x:v>0.697227739624527</x:v>
      </x:c>
      <x:c r="G300" s="81" t="n">
        <x:v>0.642872050077402</x:v>
      </x:c>
      <x:c r="H300" s="81" t="n">
        <x:v>0.5964189221649978</x:v>
      </x:c>
      <x:c r="I300" s="81" t="n">
        <x:v>0.635038257888785</x:v>
      </x:c>
      <x:c r="J300" s="81" t="n">
        <x:v>0.6966809522504865</x:v>
      </x:c>
      <x:c r="K300" s="83" t="n">
        <x:v>5</x:v>
      </x:c>
      <x:c r="L300" s="80" t="n">
        <x:f>'玩家战力_节点'!AU260</x:f>
        <x:v>1452890</x:v>
      </x:c>
      <x:c r="M300" s="82" t="n">
        <x:f>L300/L299-1</x:f>
        <x:v>0.00365432439900526</x:v>
      </x:c>
      <x:c r="N300" s="39" t="n">
        <x:f>IF(A300&lt;=$J$5,ABS(L300-D300),0)</x:f>
        <x:v>0</x:v>
      </x:c>
    </x:row>
    <x:row r="301">
      <x:c r="A301" s="39" t="n">
        <x:v>250</x:v>
      </x:c>
      <x:c r="B301" s="39" t="n">
        <x:v>18</x:v>
      </x:c>
      <x:c r="C301" s="39" t="n">
        <x:v>1</x:v>
      </x:c>
      <x:c r="D301" s="80" t="n">
        <x:v>1575445</x:v>
      </x:c>
      <x:c r="E301" s="81" t="n">
        <x:v>0.892475489872247</x:v>
      </x:c>
      <x:c r="F301" s="81" t="n">
        <x:v>0.697349727071547</x:v>
      </x:c>
      <x:c r="G301" s="81" t="n">
        <x:v>0.643185700418922</x:v>
      </x:c>
      <x:c r="H301" s="81" t="n">
        <x:v>0.5965764999114966</x:v>
      </x:c>
      <x:c r="I301" s="81" t="n">
        <x:v>0.635696617665983</x:v>
      </x:c>
      <x:c r="J301" s="81" t="n">
        <x:v>0.6968269999179727</x:v>
      </x:c>
      <x:c r="K301" s="83" t="n">
        <x:v>5</x:v>
      </x:c>
      <x:c r="L301" s="80" t="n">
        <x:f>'玩家战力_节点'!AU261</x:f>
        <x:v>1458030</x:v>
      </x:c>
      <x:c r="M301" s="82" t="n">
        <x:f>L301/L300-1</x:f>
        <x:v>0.0035377764318014204</x:v>
      </x:c>
      <x:c r="N301" s="39" t="n">
        <x:f>IF(A301&lt;=$J$5,ABS(L301-D301),0)</x:f>
        <x:v>0</x:v>
      </x:c>
    </x:row>
    <x:row r="302">
      <x:c r="A302" s="39" t="n">
        <x:v>251</x:v>
      </x:c>
      <x:c r="B302" s="39" t="n">
        <x:v>18</x:v>
      </x:c>
      <x:c r="C302" s="39" t="n">
        <x:v>2</x:v>
      </x:c>
      <x:c r="D302" s="80" t="n">
        <x:v>1576575</x:v>
      </x:c>
      <x:c r="E302" s="81" t="n">
        <x:v>0.892764323453421</x:v>
      </x:c>
      <x:c r="F302" s="81" t="n">
        <x:v>0.6974549111386907</x:v>
      </x:c>
      <x:c r="G302" s="81" t="n">
        <x:v>0.6434561464310962</x:v>
      </x:c>
      <x:c r="H302" s="81" t="n">
        <x:v>0.5967123718284263</x:v>
      </x:c>
      <x:c r="I302" s="81" t="n">
        <x:v>0.6362642904938081</x:v>
      </x:c>
      <x:c r="J302" s="81" t="n">
        <x:v>0.6969529299873221</x:v>
      </x:c>
      <x:c r="K302" s="83" t="n">
        <x:v>5</x:v>
      </x:c>
      <x:c r="L302" s="80" t="n">
        <x:f>'玩家战力_节点'!AU262</x:f>
        <x:v>1463040</x:v>
      </x:c>
      <x:c r="M302" s="82" t="n">
        <x:f>L302/L301-1</x:f>
        <x:v>0.003436143289232696</x:v>
      </x:c>
      <x:c r="N302" s="39" t="n">
        <x:f>IF(A302&lt;=$J$5,ABS(L302-D302),0)</x:f>
        <x:v>0</x:v>
      </x:c>
    </x:row>
    <x:row r="303">
      <x:c r="A303" s="39" t="n">
        <x:v>252</x:v>
      </x:c>
      <x:c r="B303" s="39" t="n">
        <x:v>18</x:v>
      </x:c>
      <x:c r="C303" s="39" t="n">
        <x:v>3</x:v>
      </x:c>
      <x:c r="D303" s="80" t="n">
        <x:v>1577710</x:v>
      </x:c>
      <x:c r="E303" s="81" t="n">
        <x:v>0.8930531570345949</x:v>
      </x:c>
      <x:c r="F303" s="81" t="n">
        <x:v>0.6975600952058345</x:v>
      </x:c>
      <x:c r="G303" s="81" t="n">
        <x:v>0.6437265924432705</x:v>
      </x:c>
      <x:c r="H303" s="81" t="n">
        <x:v>0.5968482437453558</x:v>
      </x:c>
      <x:c r="I303" s="81" t="n">
        <x:v>0.6368319633216332</x:v>
      </x:c>
      <x:c r="J303" s="81" t="n">
        <x:v>0.6970788600566715</x:v>
      </x:c>
      <x:c r="K303" s="83" t="n">
        <x:v>5</x:v>
      </x:c>
      <x:c r="L303" s="80" t="n">
        <x:f>'玩家战力_节点'!AU263</x:f>
        <x:v>1468065</x:v>
      </x:c>
      <x:c r="M303" s="82" t="n">
        <x:f>L303/L302-1</x:f>
        <x:v>0.0034346292650919708</x:v>
      </x:c>
      <x:c r="N303" s="39" t="n">
        <x:f>IF(A303&lt;=$J$5,ABS(L303-D303),0)</x:f>
        <x:v>0</x:v>
      </x:c>
    </x:row>
    <x:row r="304">
      <x:c r="A304" s="39" t="n">
        <x:v>253</x:v>
      </x:c>
      <x:c r="B304" s="39" t="n">
        <x:v>18</x:v>
      </x:c>
      <x:c r="C304" s="39" t="n">
        <x:v>4</x:v>
      </x:c>
      <x:c r="D304" s="80" t="n">
        <x:v>1578840</x:v>
      </x:c>
      <x:c r="E304" s="81" t="n">
        <x:v>0.8933419906157688</x:v>
      </x:c>
      <x:c r="F304" s="81" t="n">
        <x:v>0.6976652792729782</x:v>
      </x:c>
      <x:c r="G304" s="81" t="n">
        <x:v>0.6439970384554446</x:v>
      </x:c>
      <x:c r="H304" s="81" t="n">
        <x:v>0.5969841156622855</x:v>
      </x:c>
      <x:c r="I304" s="81" t="n">
        <x:v>0.6373996361494584</x:v>
      </x:c>
      <x:c r="J304" s="81" t="n">
        <x:v>0.6972047901260209</x:v>
      </x:c>
      <x:c r="K304" s="83" t="n">
        <x:v>5</x:v>
      </x:c>
      <x:c r="L304" s="80" t="n">
        <x:f>'玩家战力_节点'!AU264</x:f>
        <x:v>1473100</x:v>
      </x:c>
      <x:c r="M304" s="82" t="n">
        <x:f>L304/L303-1</x:f>
        <x:v>0.0034296846529275893</x:v>
      </x:c>
      <x:c r="N304" s="39" t="n">
        <x:f>IF(A304&lt;=$J$5,ABS(L304-D304),0)</x:f>
        <x:v>0</x:v>
      </x:c>
    </x:row>
    <x:row r="305">
      <x:c r="A305" s="39" t="n">
        <x:v>254</x:v>
      </x:c>
      <x:c r="B305" s="39" t="n">
        <x:v>18</x:v>
      </x:c>
      <x:c r="C305" s="39" t="n">
        <x:v>5</x:v>
      </x:c>
      <x:c r="D305" s="80" t="n">
        <x:v>1579975</x:v>
      </x:c>
      <x:c r="E305" s="81" t="n">
        <x:v>0.8936308241969427</x:v>
      </x:c>
      <x:c r="F305" s="81" t="n">
        <x:v>0.6977704633401218</x:v>
      </x:c>
      <x:c r="G305" s="81" t="n">
        <x:v>0.6442674844676188</x:v>
      </x:c>
      <x:c r="H305" s="81" t="n">
        <x:v>0.5971199875792151</x:v>
      </x:c>
      <x:c r="I305" s="81" t="n">
        <x:v>0.6379673089772835</x:v>
      </x:c>
      <x:c r="J305" s="81" t="n">
        <x:v>0.6973307201953703</x:v>
      </x:c>
      <x:c r="K305" s="83" t="n">
        <x:v>5</x:v>
      </x:c>
      <x:c r="L305" s="80" t="n">
        <x:f>'玩家战力_节点'!AU265</x:f>
        <x:v>1478145</x:v>
      </x:c>
      <x:c r="M305" s="82" t="n">
        <x:f>L305/L304-1</x:f>
        <x:v>0.003424750526101361</x:v>
      </x:c>
      <x:c r="N305" s="39" t="n">
        <x:f>IF(A305&lt;=$J$5,ABS(L305-D305),0)</x:f>
        <x:v>0</x:v>
      </x:c>
    </x:row>
    <x:row r="306">
      <x:c r="A306" s="39" t="n">
        <x:v>255</x:v>
      </x:c>
      <x:c r="B306" s="39" t="n">
        <x:v>18</x:v>
      </x:c>
      <x:c r="C306" s="39" t="n">
        <x:v>6</x:v>
      </x:c>
      <x:c r="D306" s="80" t="n">
        <x:v>1581110</x:v>
      </x:c>
      <x:c r="E306" s="81" t="n">
        <x:v>0.8939196577781168</x:v>
      </x:c>
      <x:c r="F306" s="81" t="n">
        <x:v>0.6978756474072656</x:v>
      </x:c>
      <x:c r="G306" s="81" t="n">
        <x:v>0.644537930479793</x:v>
      </x:c>
      <x:c r="H306" s="81" t="n">
        <x:v>0.5972558594961448</x:v>
      </x:c>
      <x:c r="I306" s="81" t="n">
        <x:v>0.6385349818051087</x:v>
      </x:c>
      <x:c r="J306" s="81" t="n">
        <x:v>0.6974566502647197</x:v>
      </x:c>
      <x:c r="K306" s="83" t="n">
        <x:v>5</x:v>
      </x:c>
      <x:c r="L306" s="80" t="n">
        <x:f>'玩家战力_节点'!AU266</x:f>
        <x:v>1483200</x:v>
      </x:c>
      <x:c r="M306" s="82" t="n">
        <x:f>L306/L305-1</x:f>
        <x:v>0.0034198268776066687</x:v>
      </x:c>
      <x:c r="N306" s="39" t="n">
        <x:f>IF(A306&lt;=$J$5,ABS(L306-D306),0)</x:f>
        <x:v>0</x:v>
      </x:c>
    </x:row>
    <x:row r="307">
      <x:c r="A307" s="39" t="n">
        <x:v>256</x:v>
      </x:c>
      <x:c r="B307" s="39" t="n">
        <x:v>18</x:v>
      </x:c>
      <x:c r="C307" s="39" t="n">
        <x:v>7</x:v>
      </x:c>
      <x:c r="D307" s="80" t="n">
        <x:v>1582245</x:v>
      </x:c>
      <x:c r="E307" s="81" t="n">
        <x:v>0.8942084913592906</x:v>
      </x:c>
      <x:c r="F307" s="81" t="n">
        <x:v>0.6979808314744094</x:v>
      </x:c>
      <x:c r="G307" s="81" t="n">
        <x:v>0.6448083764919673</x:v>
      </x:c>
      <x:c r="H307" s="81" t="n">
        <x:v>0.5973917314130743</x:v>
      </x:c>
      <x:c r="I307" s="81" t="n">
        <x:v>0.6391026546329338</x:v>
      </x:c>
      <x:c r="J307" s="81" t="n">
        <x:v>0.6975825803340692</x:v>
      </x:c>
      <x:c r="K307" s="83" t="n">
        <x:v>5</x:v>
      </x:c>
      <x:c r="L307" s="80" t="n">
        <x:f>'玩家战力_节点'!AU267</x:f>
        <x:v>1488270</x:v>
      </x:c>
      <x:c r="M307" s="82" t="n">
        <x:f>L307/L306-1</x:f>
        <x:v>0.0034182847896440105</x:v>
      </x:c>
      <x:c r="N307" s="39" t="n">
        <x:f>IF(A307&lt;=$J$5,ABS(L307-D307),0)</x:f>
        <x:v>0</x:v>
      </x:c>
    </x:row>
    <x:row r="308">
      <x:c r="A308" s="39" t="n">
        <x:v>257</x:v>
      </x:c>
      <x:c r="B308" s="39" t="n">
        <x:v>18</x:v>
      </x:c>
      <x:c r="C308" s="39" t="n">
        <x:v>8</x:v>
      </x:c>
      <x:c r="D308" s="80" t="n">
        <x:v>1583380</x:v>
      </x:c>
      <x:c r="E308" s="81" t="n">
        <x:v>0.8944973249404645</x:v>
      </x:c>
      <x:c r="F308" s="81" t="n">
        <x:v>0.698086015541553</x:v>
      </x:c>
      <x:c r="G308" s="81" t="n">
        <x:v>0.6450788225041415</x:v>
      </x:c>
      <x:c r="H308" s="81" t="n">
        <x:v>0.597527603330004</x:v>
      </x:c>
      <x:c r="I308" s="81" t="n">
        <x:v>0.6396703274607589</x:v>
      </x:c>
      <x:c r="J308" s="81" t="n">
        <x:v>0.6977085104034186</x:v>
      </x:c>
      <x:c r="K308" s="83" t="n">
        <x:v>5</x:v>
      </x:c>
      <x:c r="L308" s="80" t="n">
        <x:f>'玩家战力_节点'!AU268</x:f>
        <x:v>1493345</x:v>
      </x:c>
      <x:c r="M308" s="82" t="n">
        <x:f>L308/L307-1</x:f>
        <x:v>0.003409999529655261</x:v>
      </x:c>
      <x:c r="N308" s="39" t="n">
        <x:f>IF(A308&lt;=$J$5,ABS(L308-D308),0)</x:f>
        <x:v>0</x:v>
      </x:c>
    </x:row>
    <x:row r="309">
      <x:c r="A309" s="39" t="n">
        <x:v>258</x:v>
      </x:c>
      <x:c r="B309" s="39" t="n">
        <x:v>18</x:v>
      </x:c>
      <x:c r="C309" s="39" t="n">
        <x:v>9</x:v>
      </x:c>
      <x:c r="D309" s="80" t="n">
        <x:v>1584515</x:v>
      </x:c>
      <x:c r="E309" s="81" t="n">
        <x:v>0.8947861585216385</x:v>
      </x:c>
      <x:c r="F309" s="81" t="n">
        <x:v>0.6981911996086967</x:v>
      </x:c>
      <x:c r="G309" s="81" t="n">
        <x:v>0.6453492685163158</x:v>
      </x:c>
      <x:c r="H309" s="81" t="n">
        <x:v>0.5976634752469336</x:v>
      </x:c>
      <x:c r="I309" s="81" t="n">
        <x:v>0.6402380002885841</x:v>
      </x:c>
      <x:c r="J309" s="81" t="n">
        <x:v>0.697834440472768</x:v>
      </x:c>
      <x:c r="K309" s="83" t="n">
        <x:v>5</x:v>
      </x:c>
      <x:c r="L309" s="80" t="n">
        <x:f>'玩家战力_节点'!AU269</x:f>
        <x:v>1498435</x:v>
      </x:c>
      <x:c r="M309" s="82" t="n">
        <x:f>L309/L308-1</x:f>
        <x:v>0.0034084555142983586</x:v>
      </x:c>
      <x:c r="N309" s="39" t="n">
        <x:f>IF(A309&lt;=$J$5,ABS(L309-D309),0)</x:f>
        <x:v>0</x:v>
      </x:c>
    </x:row>
    <x:row r="310">
      <x:c r="A310" s="39" t="n">
        <x:v>259</x:v>
      </x:c>
      <x:c r="B310" s="39" t="n">
        <x:v>18</x:v>
      </x:c>
      <x:c r="C310" s="39" t="n">
        <x:v>10</x:v>
      </x:c>
      <x:c r="D310" s="80" t="n">
        <x:v>1585650</x:v>
      </x:c>
      <x:c r="E310" s="81" t="n">
        <x:v>0.8950749921028124</x:v>
      </x:c>
      <x:c r="F310" s="81" t="n">
        <x:v>0.6982963836758405</x:v>
      </x:c>
      <x:c r="G310" s="81" t="n">
        <x:v>0.64561971452849</x:v>
      </x:c>
      <x:c r="H310" s="81" t="n">
        <x:v>0.5977993471638632</x:v>
      </x:c>
      <x:c r="I310" s="81" t="n">
        <x:v>0.6408056731164092</x:v>
      </x:c>
      <x:c r="J310" s="81" t="n">
        <x:v>0.6979603705421175</x:v>
      </x:c>
      <x:c r="K310" s="83" t="n">
        <x:v>5</x:v>
      </x:c>
      <x:c r="L310" s="80" t="n">
        <x:f>'玩家战力_节点'!AU270</x:f>
        <x:v>1503535</x:v>
      </x:c>
      <x:c r="M310" s="82" t="n">
        <x:f>L310/L309-1</x:f>
        <x:v>0.0034035510382499634</x:v>
      </x:c>
      <x:c r="N310" s="39" t="n">
        <x:f>IF(A310&lt;=$J$5,ABS(L310-D310),0)</x:f>
        <x:v>0</x:v>
      </x:c>
    </x:row>
    <x:row r="311">
      <x:c r="A311" s="39" t="n">
        <x:v>260</x:v>
      </x:c>
      <x:c r="B311" s="39" t="n">
        <x:v>18</x:v>
      </x:c>
      <x:c r="C311" s="39" t="n">
        <x:v>11</x:v>
      </x:c>
      <x:c r="D311" s="80" t="n">
        <x:v>1586785</x:v>
      </x:c>
      <x:c r="E311" s="81" t="n">
        <x:v>0.8953638256839863</x:v>
      </x:c>
      <x:c r="F311" s="81" t="n">
        <x:v>0.6984015677429841</x:v>
      </x:c>
      <x:c r="G311" s="81" t="n">
        <x:v>0.6458901605406642</x:v>
      </x:c>
      <x:c r="H311" s="81" t="n">
        <x:v>0.5979352190807928</x:v>
      </x:c>
      <x:c r="I311" s="81" t="n">
        <x:v>0.6413733459442343</x:v>
      </x:c>
      <x:c r="J311" s="81" t="n">
        <x:v>0.6980863006114668</x:v>
      </x:c>
      <x:c r="K311" s="83" t="n">
        <x:v>5</x:v>
      </x:c>
      <x:c r="L311" s="80" t="n">
        <x:f>'玩家战力_节点'!AU271</x:f>
        <x:v>1508640</x:v>
      </x:c>
      <x:c r="M311" s="82" t="n">
        <x:f>L311/L310-1</x:f>
        <x:v>0.00339533166836814</x:v>
      </x:c>
      <x:c r="N311" s="39" t="n">
        <x:f>IF(A311&lt;=$J$5,ABS(L311-D311),0)</x:f>
        <x:v>0</x:v>
      </x:c>
    </x:row>
    <x:row r="312">
      <x:c r="A312" s="39" t="n">
        <x:v>261</x:v>
      </x:c>
      <x:c r="B312" s="39" t="n">
        <x:v>18</x:v>
      </x:c>
      <x:c r="C312" s="39" t="n">
        <x:v>12</x:v>
      </x:c>
      <x:c r="D312" s="80" t="n">
        <x:v>1587925</x:v>
      </x:c>
      <x:c r="E312" s="81" t="n">
        <x:v>0.8956526592651601</x:v>
      </x:c>
      <x:c r="F312" s="81" t="n">
        <x:v>0.6985067518101279</x:v>
      </x:c>
      <x:c r="G312" s="81" t="n">
        <x:v>0.6461606065528384</x:v>
      </x:c>
      <x:c r="H312" s="81" t="n">
        <x:v>0.5980710909977225</x:v>
      </x:c>
      <x:c r="I312" s="81" t="n">
        <x:v>0.6419410187720594</x:v>
      </x:c>
      <x:c r="J312" s="81" t="n">
        <x:v>0.6982122306808163</x:v>
      </x:c>
      <x:c r="K312" s="83" t="n">
        <x:v>5</x:v>
      </x:c>
      <x:c r="L312" s="80" t="n">
        <x:f>'玩家战力_节点'!AU272</x:f>
        <x:v>1513765</x:v>
      </x:c>
      <x:c r="M312" s="82" t="n">
        <x:f>L312/L311-1</x:f>
        <x:v>0.0033970993742709066</x:v>
      </x:c>
      <x:c r="N312" s="39" t="n">
        <x:f>IF(A312&lt;=$J$5,ABS(L312-D312),0)</x:f>
        <x:v>0</x:v>
      </x:c>
    </x:row>
    <x:row r="313">
      <x:c r="A313" s="39" t="n">
        <x:v>262</x:v>
      </x:c>
      <x:c r="B313" s="39" t="n">
        <x:v>18</x:v>
      </x:c>
      <x:c r="C313" s="39" t="n">
        <x:v>13</x:v>
      </x:c>
      <x:c r="D313" s="80" t="n">
        <x:v>1589060</x:v>
      </x:c>
      <x:c r="E313" s="81" t="n">
        <x:v>0.8959414928463342</x:v>
      </x:c>
      <x:c r="F313" s="81" t="n">
        <x:v>0.6986119358772716</x:v>
      </x:c>
      <x:c r="G313" s="81" t="n">
        <x:v>0.6464310525650125</x:v>
      </x:c>
      <x:c r="H313" s="81" t="n">
        <x:v>0.5982069629146521</x:v>
      </x:c>
      <x:c r="I313" s="81" t="n">
        <x:v>0.6425086915998847</x:v>
      </x:c>
      <x:c r="J313" s="81" t="n">
        <x:v>0.6983381607501656</x:v>
      </x:c>
      <x:c r="K313" s="83" t="n">
        <x:v>5</x:v>
      </x:c>
      <x:c r="L313" s="80" t="n">
        <x:f>'玩家战力_节点'!AU273</x:f>
        <x:v>1518895</x:v>
      </x:c>
      <x:c r="M313" s="82" t="n">
        <x:f>L313/L312-1</x:f>
        <x:v>0.0033889011834729033</x:v>
      </x:c>
      <x:c r="N313" s="39" t="n">
        <x:f>IF(A313&lt;=$J$5,ABS(L313-D313),0)</x:f>
        <x:v>0</x:v>
      </x:c>
    </x:row>
    <x:row r="314">
      <x:c r="A314" s="39" t="n">
        <x:v>263</x:v>
      </x:c>
      <x:c r="B314" s="39" t="n">
        <x:v>18</x:v>
      </x:c>
      <x:c r="C314" s="39" t="n">
        <x:v>14</x:v>
      </x:c>
      <x:c r="D314" s="80" t="n">
        <x:v>1590200</x:v>
      </x:c>
      <x:c r="E314" s="81" t="n">
        <x:v>0.8962303264275081</x:v>
      </x:c>
      <x:c r="F314" s="81" t="n">
        <x:v>0.6987171199444153</x:v>
      </x:c>
      <x:c r="G314" s="81" t="n">
        <x:v>0.6467014985771868</x:v>
      </x:c>
      <x:c r="H314" s="81" t="n">
        <x:v>0.5983428348315817</x:v>
      </x:c>
      <x:c r="I314" s="81" t="n">
        <x:v>0.6430763644277098</x:v>
      </x:c>
      <x:c r="J314" s="81" t="n">
        <x:v>0.6984640908195151</x:v>
      </x:c>
      <x:c r="K314" s="83" t="n">
        <x:v>5</x:v>
      </x:c>
      <x:c r="L314" s="80" t="n">
        <x:f>'玩家战力_节点'!AU274</x:f>
        <x:v>1524035</x:v>
      </x:c>
      <x:c r="M314" s="82" t="n">
        <x:f>L314/L313-1</x:f>
        <x:v>0.0033840390547075216</x:v>
      </x:c>
      <x:c r="N314" s="39" t="n">
        <x:f>IF(A314&lt;=$J$5,ABS(L314-D314),0)</x:f>
        <x:v>0</x:v>
      </x:c>
    </x:row>
    <x:row r="315">
      <x:c r="A315" s="39" t="n">
        <x:v>264</x:v>
      </x:c>
      <x:c r="B315" s="39" t="n">
        <x:v>18</x:v>
      </x:c>
      <x:c r="C315" s="39" t="n">
        <x:v>15</x:v>
      </x:c>
      <x:c r="D315" s="80" t="n">
        <x:v>1591335</x:v>
      </x:c>
      <x:c r="E315" s="81" t="n">
        <x:v>0.896519160008682</x:v>
      </x:c>
      <x:c r="F315" s="81" t="n">
        <x:v>0.698822304011559</x:v>
      </x:c>
      <x:c r="G315" s="81" t="n">
        <x:v>0.646971944589361</x:v>
      </x:c>
      <x:c r="H315" s="81" t="n">
        <x:v>0.5984787067485113</x:v>
      </x:c>
      <x:c r="I315" s="81" t="n">
        <x:v>0.643644037255535</x:v>
      </x:c>
      <x:c r="J315" s="81" t="n">
        <x:v>0.6985900208888645</x:v>
      </x:c>
      <x:c r="K315" s="83" t="n">
        <x:v>5</x:v>
      </x:c>
      <x:c r="L315" s="80" t="n">
        <x:f>'玩家战力_节点'!AU275</x:f>
        <x:v>1529190</x:v>
      </x:c>
      <x:c r="M315" s="82" t="n">
        <x:f>L315/L314-1</x:f>
        <x:v>0.003382468250401116</x:v>
      </x:c>
      <x:c r="N315" s="39" t="n">
        <x:f>IF(A315&lt;=$J$5,ABS(L315-D315),0)</x:f>
        <x:v>0</x:v>
      </x:c>
    </x:row>
    <x:row r="316">
      <x:c r="A316" s="39" t="n">
        <x:v>265</x:v>
      </x:c>
      <x:c r="B316" s="39" t="n">
        <x:v>19</x:v>
      </x:c>
      <x:c r="C316" s="39" t="n">
        <x:v>1</x:v>
      </x:c>
      <x:c r="D316" s="80" t="n">
        <x:v>1592320</x:v>
      </x:c>
      <x:c r="E316" s="81" t="n">
        <x:v>0.896776563063048</x:v>
      </x:c>
      <x:c r="F316" s="81" t="n">
        <x:v>0.698912400170839</x:v>
      </x:c>
      <x:c r="G316" s="81" t="n">
        <x:v>0.647203597040642</x:v>
      </x:c>
      <x:c r="H316" s="81" t="n">
        <x:v>0.5985950888033402</x:v>
      </x:c>
      <x:c r="I316" s="81" t="n">
        <x:v>0.644130281445398</x:v>
      </x:c>
      <x:c r="J316" s="81" t="n">
        <x:v>0.6986978871835838</x:v>
      </x:c>
      <x:c r="K316" s="83" t="n">
        <x:v>5</x:v>
      </x:c>
      <x:c r="L316" s="80" t="n">
        <x:f>'玩家战力_节点'!AU276</x:f>
        <x:v>1534225</x:v>
      </x:c>
      <x:c r="M316" s="82" t="n">
        <x:f>L316/L315-1</x:f>
        <x:v>0.003292592810572925</x:v>
      </x:c>
      <x:c r="N316" s="39" t="n">
        <x:f>IF(A316&lt;=$J$5,ABS(L316-D316),0)</x:f>
        <x:v>0</x:v>
      </x:c>
    </x:row>
    <x:row r="317">
      <x:c r="A317" s="39" t="n">
        <x:v>266</x:v>
      </x:c>
      <x:c r="B317" s="39" t="n">
        <x:v>19</x:v>
      </x:c>
      <x:c r="C317" s="39" t="n">
        <x:v>2</x:v>
      </x:c>
      <x:c r="D317" s="80" t="n">
        <x:v>1593170</x:v>
      </x:c>
      <x:c r="E317" s="81" t="n">
        <x:v>0.8970068085585445</x:v>
      </x:c>
      <x:c r="F317" s="81" t="n">
        <x:v>0.698990085872922</x:v>
      </x:c>
      <x:c r="G317" s="81" t="n">
        <x:v>0.6474033401091676</x:v>
      </x:c>
      <x:c r="H317" s="81" t="n">
        <x:v>0.5986954396031017</x:v>
      </x:c>
      <x:c r="I317" s="81" t="n">
        <x:v>0.644549547056441</x:v>
      </x:c>
      <x:c r="J317" s="81" t="n">
        <x:v>0.6987908952418993</x:v>
      </x:c>
      <x:c r="K317" s="83" t="n">
        <x:v>5</x:v>
      </x:c>
      <x:c r="L317" s="80" t="n">
        <x:f>'玩家战力_节点'!AU277</x:f>
        <x:v>1539160</x:v>
      </x:c>
      <x:c r="M317" s="82" t="n">
        <x:f>L317/L316-1</x:f>
        <x:v>0.0032166077335462617</x:v>
      </x:c>
      <x:c r="N317" s="39" t="n">
        <x:f>IF(A317&lt;=$J$5,ABS(L317-D317),0)</x:f>
        <x:v>0</x:v>
      </x:c>
    </x:row>
    <x:row r="318">
      <x:c r="A318" s="39" t="n">
        <x:v>267</x:v>
      </x:c>
      <x:c r="B318" s="39" t="n">
        <x:v>19</x:v>
      </x:c>
      <x:c r="C318" s="39" t="n">
        <x:v>3</x:v>
      </x:c>
      <x:c r="D318" s="80" t="n">
        <x:v>1594020</x:v>
      </x:c>
      <x:c r="E318" s="81" t="n">
        <x:v>0.8972370540540412</x:v>
      </x:c>
      <x:c r="F318" s="81" t="n">
        <x:v>0.6990677715750049</x:v>
      </x:c>
      <x:c r="G318" s="81" t="n">
        <x:v>0.6476030831776931</x:v>
      </x:c>
      <x:c r="H318" s="81" t="n">
        <x:v>0.598795790402863</x:v>
      </x:c>
      <x:c r="I318" s="81" t="n">
        <x:v>0.644968812667484</x:v>
      </x:c>
      <x:c r="J318" s="81" t="n">
        <x:v>0.6988839033002148</x:v>
      </x:c>
      <x:c r="K318" s="83" t="n">
        <x:v>5</x:v>
      </x:c>
      <x:c r="L318" s="80" t="n">
        <x:f>'玩家战力_节点'!AU278</x:f>
        <x:v>1544110</x:v>
      </x:c>
      <x:c r="M318" s="82" t="n">
        <x:f>L318/L317-1</x:f>
        <x:v>0.0032160399178773336</x:v>
      </x:c>
      <x:c r="N318" s="39" t="n">
        <x:f>IF(A318&lt;=$J$5,ABS(L318-D318),0)</x:f>
        <x:v>0</x:v>
      </x:c>
    </x:row>
    <x:row r="319">
      <x:c r="A319" s="39" t="n">
        <x:v>268</x:v>
      </x:c>
      <x:c r="B319" s="39" t="n">
        <x:v>19</x:v>
      </x:c>
      <x:c r="C319" s="39" t="n">
        <x:v>4</x:v>
      </x:c>
      <x:c r="D319" s="80" t="n">
        <x:v>1594875</x:v>
      </x:c>
      <x:c r="E319" s="81" t="n">
        <x:v>0.8974672995495376</x:v>
      </x:c>
      <x:c r="F319" s="81" t="n">
        <x:v>0.6991454572770878</x:v>
      </x:c>
      <x:c r="G319" s="81" t="n">
        <x:v>0.6478028262462187</x:v>
      </x:c>
      <x:c r="H319" s="81" t="n">
        <x:v>0.5988961412026245</x:v>
      </x:c>
      <x:c r="I319" s="81" t="n">
        <x:v>0.645388078278527</x:v>
      </x:c>
      <x:c r="J319" s="81" t="n">
        <x:v>0.6989769113585302</x:v>
      </x:c>
      <x:c r="K319" s="83" t="n">
        <x:v>5</x:v>
      </x:c>
      <x:c r="L319" s="80" t="n">
        <x:f>'玩家战力_节点'!AU279</x:f>
        <x:v>1549070</x:v>
      </x:c>
      <x:c r="M319" s="82" t="n">
        <x:f>L319/L318-1</x:f>
        <x:v>0.003212206384260119</x:v>
      </x:c>
      <x:c r="N319" s="39" t="n">
        <x:f>IF(A319&lt;=$J$5,ABS(L319-D319),0)</x:f>
        <x:v>0</x:v>
      </x:c>
    </x:row>
    <x:row r="320">
      <x:c r="A320" s="39" t="n">
        <x:v>269</x:v>
      </x:c>
      <x:c r="B320" s="39" t="n">
        <x:v>19</x:v>
      </x:c>
      <x:c r="C320" s="39" t="n">
        <x:v>5</x:v>
      </x:c>
      <x:c r="D320" s="80" t="n">
        <x:v>1595725</x:v>
      </x:c>
      <x:c r="E320" s="81" t="n">
        <x:v>0.8976975450450342</x:v>
      </x:c>
      <x:c r="F320" s="81" t="n">
        <x:v>0.6992231429791707</x:v>
      </x:c>
      <x:c r="G320" s="81" t="n">
        <x:v>0.6480025693147443</x:v>
      </x:c>
      <x:c r="H320" s="81" t="n">
        <x:v>0.5989964920023858</x:v>
      </x:c>
      <x:c r="I320" s="81" t="n">
        <x:v>0.64580734388957</x:v>
      </x:c>
      <x:c r="J320" s="81" t="n">
        <x:v>0.6990699194168456</x:v>
      </x:c>
      <x:c r="K320" s="83" t="n">
        <x:v>5</x:v>
      </x:c>
      <x:c r="L320" s="80" t="n">
        <x:f>'玩家战力_节点'!AU280</x:f>
        <x:v>1554040</x:v>
      </x:c>
      <x:c r="M320" s="82" t="n">
        <x:f>L320/L319-1</x:f>
        <x:v>0.003208376638886623</x:v>
      </x:c>
      <x:c r="N320" s="39" t="n">
        <x:f>IF(A320&lt;=$J$5,ABS(L320-D320),0)</x:f>
        <x:v>0</x:v>
      </x:c>
    </x:row>
    <x:row r="321">
      <x:c r="A321" s="39" t="n">
        <x:v>270</x:v>
      </x:c>
      <x:c r="B321" s="39" t="n">
        <x:v>19</x:v>
      </x:c>
      <x:c r="C321" s="39" t="n">
        <x:v>6</x:v>
      </x:c>
      <x:c r="D321" s="80" t="n">
        <x:v>1596580</x:v>
      </x:c>
      <x:c r="E321" s="81" t="n">
        <x:v>0.8979277905405308</x:v>
      </x:c>
      <x:c r="F321" s="81" t="n">
        <x:v>0.6993008286812537</x:v>
      </x:c>
      <x:c r="G321" s="81" t="n">
        <x:v>0.6482023123832699</x:v>
      </x:c>
      <x:c r="H321" s="81" t="n">
        <x:v>0.5990968428021473</x:v>
      </x:c>
      <x:c r="I321" s="81" t="n">
        <x:v>0.646226609500613</x:v>
      </x:c>
      <x:c r="J321" s="81" t="n">
        <x:v>0.6991629274751611</x:v>
      </x:c>
      <x:c r="K321" s="83" t="n">
        <x:v>5</x:v>
      </x:c>
      <x:c r="L321" s="80" t="n">
        <x:f>'玩家战力_节点'!AU281</x:f>
        <x:v>1559015</x:v>
      </x:c>
      <x:c r="M321" s="82" t="n">
        <x:f>L321/L320-1</x:f>
        <x:v>0.003201333299014175</x:v>
      </x:c>
      <x:c r="N321" s="39" t="n">
        <x:f>IF(A321&lt;=$J$5,ABS(L321-D321),0)</x:f>
        <x:v>0</x:v>
      </x:c>
    </x:row>
    <x:row r="322">
      <x:c r="A322" s="39" t="n">
        <x:v>271</x:v>
      </x:c>
      <x:c r="B322" s="39" t="n">
        <x:v>19</x:v>
      </x:c>
      <x:c r="C322" s="39" t="n">
        <x:v>7</x:v>
      </x:c>
      <x:c r="D322" s="80" t="n">
        <x:v>1597430</x:v>
      </x:c>
      <x:c r="E322" s="81" t="n">
        <x:v>0.8981580360360274</x:v>
      </x:c>
      <x:c r="F322" s="81" t="n">
        <x:v>0.6993785143833365</x:v>
      </x:c>
      <x:c r="G322" s="81" t="n">
        <x:v>0.6484020554517954</x:v>
      </x:c>
      <x:c r="H322" s="81" t="n">
        <x:v>0.5991971936019086</x:v>
      </x:c>
      <x:c r="I322" s="81" t="n">
        <x:v>0.6466458751116559</x:v>
      </x:c>
      <x:c r="J322" s="81" t="n">
        <x:v>0.6992559355334764</x:v>
      </x:c>
      <x:c r="K322" s="83" t="n">
        <x:v>5</x:v>
      </x:c>
      <x:c r="L322" s="80" t="n">
        <x:f>'玩家战力_节点'!AU282</x:f>
        <x:v>1564005</x:v>
      </x:c>
      <x:c r="M322" s="82" t="n">
        <x:f>L322/L321-1</x:f>
        <x:v>0.00320073892810524</x:v>
      </x:c>
      <x:c r="N322" s="39" t="n">
        <x:f>IF(A322&lt;=$J$5,ABS(L322-D322),0)</x:f>
        <x:v>0</x:v>
      </x:c>
    </x:row>
    <x:row r="323">
      <x:c r="A323" s="39" t="n">
        <x:v>272</x:v>
      </x:c>
      <x:c r="B323" s="39" t="n">
        <x:v>19</x:v>
      </x:c>
      <x:c r="C323" s="39" t="n">
        <x:v>8</x:v>
      </x:c>
      <x:c r="D323" s="80" t="n">
        <x:v>1598285</x:v>
      </x:c>
      <x:c r="E323" s="81" t="n">
        <x:v>0.898388281531524</x:v>
      </x:c>
      <x:c r="F323" s="81" t="n">
        <x:v>0.6994562000854194</x:v>
      </x:c>
      <x:c r="G323" s="81" t="n">
        <x:v>0.648601798520321</x:v>
      </x:c>
      <x:c r="H323" s="81" t="n">
        <x:v>0.59929754440167</x:v>
      </x:c>
      <x:c r="I323" s="81" t="n">
        <x:v>0.647065140722699</x:v>
      </x:c>
      <x:c r="J323" s="81" t="n">
        <x:v>0.6993489435917919</x:v>
      </x:c>
      <x:c r="K323" s="83" t="n">
        <x:v>5</x:v>
      </x:c>
      <x:c r="L323" s="80" t="n">
        <x:f>'玩家战力_节点'!AU283</x:f>
        <x:v>1569000</x:v>
      </x:c>
      <x:c r="M323" s="82" t="n">
        <x:f>L323/L322-1</x:f>
        <x:v>0.0031937238052308636</x:v>
      </x:c>
      <x:c r="N323" s="39" t="n">
        <x:f>IF(A323&lt;=$J$5,ABS(L323-D323),0)</x:f>
        <x:v>0</x:v>
      </x:c>
    </x:row>
    <x:row r="324">
      <x:c r="A324" s="39" t="n">
        <x:v>273</x:v>
      </x:c>
      <x:c r="B324" s="39" t="n">
        <x:v>19</x:v>
      </x:c>
      <x:c r="C324" s="39" t="n">
        <x:v>9</x:v>
      </x:c>
      <x:c r="D324" s="80" t="n">
        <x:v>1599140</x:v>
      </x:c>
      <x:c r="E324" s="81" t="n">
        <x:v>0.8986185270270206</x:v>
      </x:c>
      <x:c r="F324" s="81" t="n">
        <x:v>0.6995338857875024</x:v>
      </x:c>
      <x:c r="G324" s="81" t="n">
        <x:v>0.6488015415888465</x:v>
      </x:c>
      <x:c r="H324" s="81" t="n">
        <x:v>0.5993978952014315</x:v>
      </x:c>
      <x:c r="I324" s="81" t="n">
        <x:v>0.647484406333742</x:v>
      </x:c>
      <x:c r="J324" s="81" t="n">
        <x:v>0.6994419516501074</x:v>
      </x:c>
      <x:c r="K324" s="83" t="n">
        <x:v>5</x:v>
      </x:c>
      <x:c r="L324" s="80" t="n">
        <x:f>'玩家战力_节点'!AU284</x:f>
        <x:v>1574010</x:v>
      </x:c>
      <x:c r="M324" s="82" t="n">
        <x:f>L324/L323-1</x:f>
        <x:v>0.0031931166347991535</x:v>
      </x:c>
      <x:c r="N324" s="39" t="n">
        <x:f>IF(A324&lt;=$J$5,ABS(L324-D324),0)</x:f>
        <x:v>0</x:v>
      </x:c>
    </x:row>
    <x:row r="325">
      <x:c r="A325" s="39" t="n">
        <x:v>274</x:v>
      </x:c>
      <x:c r="B325" s="39" t="n">
        <x:v>19</x:v>
      </x:c>
      <x:c r="C325" s="39" t="n">
        <x:v>10</x:v>
      </x:c>
      <x:c r="D325" s="80" t="n">
        <x:v>1599990</x:v>
      </x:c>
      <x:c r="E325" s="81" t="n">
        <x:v>0.8988487725225172</x:v>
      </x:c>
      <x:c r="F325" s="81" t="n">
        <x:v>0.6996115714895853</x:v>
      </x:c>
      <x:c r="G325" s="81" t="n">
        <x:v>0.6490012846573722</x:v>
      </x:c>
      <x:c r="H325" s="81" t="n">
        <x:v>0.5994982460011928</x:v>
      </x:c>
      <x:c r="I325" s="81" t="n">
        <x:v>0.6479036719447849</x:v>
      </x:c>
      <x:c r="J325" s="81" t="n">
        <x:v>0.6995349597084227</x:v>
      </x:c>
      <x:c r="K325" s="83" t="n">
        <x:v>5</x:v>
      </x:c>
      <x:c r="L325" s="80" t="n">
        <x:f>'玩家战力_节点'!AU285</x:f>
        <x:v>1579030</x:v>
      </x:c>
      <x:c r="M325" s="82" t="n">
        <x:f>L325/L324-1</x:f>
        <x:v>0.0031893062941150685</x:v>
      </x:c>
      <x:c r="N325" s="39" t="n">
        <x:f>IF(A325&lt;=$J$5,ABS(L325-D325),0)</x:f>
        <x:v>0</x:v>
      </x:c>
    </x:row>
    <x:row r="326">
      <x:c r="A326" s="39" t="n">
        <x:v>275</x:v>
      </x:c>
      <x:c r="B326" s="39" t="n">
        <x:v>19</x:v>
      </x:c>
      <x:c r="C326" s="39" t="n">
        <x:v>11</x:v>
      </x:c>
      <x:c r="D326" s="80" t="n">
        <x:v>1600845</x:v>
      </x:c>
      <x:c r="E326" s="81" t="n">
        <x:v>0.8990790180180137</x:v>
      </x:c>
      <x:c r="F326" s="81" t="n">
        <x:v>0.6996892571916683</x:v>
      </x:c>
      <x:c r="G326" s="81" t="n">
        <x:v>0.6492010277258977</x:v>
      </x:c>
      <x:c r="H326" s="81" t="n">
        <x:v>0.5995985968009543</x:v>
      </x:c>
      <x:c r="I326" s="81" t="n">
        <x:v>0.648322937555828</x:v>
      </x:c>
      <x:c r="J326" s="81" t="n">
        <x:v>0.6996279677667382</x:v>
      </x:c>
      <x:c r="K326" s="83" t="n">
        <x:v>5</x:v>
      </x:c>
      <x:c r="L326" s="80" t="n">
        <x:f>'玩家战力_节点'!AU286</x:f>
        <x:v>1584055</x:v>
      </x:c>
      <x:c r="M326" s="82" t="n">
        <x:f>L326/L325-1</x:f>
        <x:v>0.003182333457882436</x:v>
      </x:c>
      <x:c r="N326" s="39" t="n">
        <x:f>IF(A326&lt;=$J$5,ABS(L326-D326),0)</x:f>
        <x:v>0</x:v>
      </x:c>
    </x:row>
    <x:row r="327">
      <x:c r="A327" s="39" t="n">
        <x:v>276</x:v>
      </x:c>
      <x:c r="B327" s="39" t="n">
        <x:v>19</x:v>
      </x:c>
      <x:c r="C327" s="39" t="n">
        <x:v>12</x:v>
      </x:c>
      <x:c r="D327" s="80" t="n">
        <x:v>1601700</x:v>
      </x:c>
      <x:c r="E327" s="81" t="n">
        <x:v>0.8993092635135103</x:v>
      </x:c>
      <x:c r="F327" s="81" t="n">
        <x:v>0.6997669428937512</x:v>
      </x:c>
      <x:c r="G327" s="81" t="n">
        <x:v>0.6494007707944233</x:v>
      </x:c>
      <x:c r="H327" s="81" t="n">
        <x:v>0.5996989476007156</x:v>
      </x:c>
      <x:c r="I327" s="81" t="n">
        <x:v>0.648742203166871</x:v>
      </x:c>
      <x:c r="J327" s="81" t="n">
        <x:v>0.6997209758250537</x:v>
      </x:c>
      <x:c r="K327" s="83" t="n">
        <x:v>5</x:v>
      </x:c>
      <x:c r="L327" s="80" t="n">
        <x:f>'玩家战力_节点'!AU287</x:f>
        <x:v>1589095</x:v>
      </x:c>
      <x:c r="M327" s="82" t="n">
        <x:f>L327/L326-1</x:f>
        <x:v>0.0031817077058562404</x:v>
      </x:c>
      <x:c r="N327" s="39" t="n">
        <x:f>IF(A327&lt;=$J$5,ABS(L327-D327),0)</x:f>
        <x:v>0</x:v>
      </x:c>
    </x:row>
    <x:row r="328">
      <x:c r="A328" s="39" t="n">
        <x:v>277</x:v>
      </x:c>
      <x:c r="B328" s="39" t="n">
        <x:v>19</x:v>
      </x:c>
      <x:c r="C328" s="39" t="n">
        <x:v>13</x:v>
      </x:c>
      <x:c r="D328" s="80" t="n">
        <x:v>1602555</x:v>
      </x:c>
      <x:c r="E328" s="81" t="n">
        <x:v>0.8995395090090068</x:v>
      </x:c>
      <x:c r="F328" s="81" t="n">
        <x:v>0.6998446285958341</x:v>
      </x:c>
      <x:c r="G328" s="81" t="n">
        <x:v>0.6496005138629488</x:v>
      </x:c>
      <x:c r="H328" s="81" t="n">
        <x:v>0.5997992984004771</x:v>
      </x:c>
      <x:c r="I328" s="81" t="n">
        <x:v>0.649161468777914</x:v>
      </x:c>
      <x:c r="J328" s="81" t="n">
        <x:v>0.6998139838833691</x:v>
      </x:c>
      <x:c r="K328" s="83" t="n">
        <x:v>5</x:v>
      </x:c>
      <x:c r="L328" s="80" t="n">
        <x:f>'玩家战力_节点'!AU288</x:f>
        <x:v>1594140</x:v>
      </x:c>
      <x:c r="M328" s="82" t="n">
        <x:f>L328/L327-1</x:f>
        <x:v>0.0031747629940312994</x:v>
      </x:c>
      <x:c r="N328" s="39" t="n">
        <x:f>IF(A328&lt;=$J$5,ABS(L328-D328),0)</x:f>
        <x:v>0</x:v>
      </x:c>
    </x:row>
    <x:row r="329">
      <x:c r="A329" s="39" t="n">
        <x:v>278</x:v>
      </x:c>
      <x:c r="B329" s="39" t="n">
        <x:v>19</x:v>
      </x:c>
      <x:c r="C329" s="39" t="n">
        <x:v>14</x:v>
      </x:c>
      <x:c r="D329" s="80" t="n">
        <x:v>1603410</x:v>
      </x:c>
      <x:c r="E329" s="81" t="n">
        <x:v>0.8997697545045035</x:v>
      </x:c>
      <x:c r="F329" s="81" t="n">
        <x:v>0.6999223142979171</x:v>
      </x:c>
      <x:c r="G329" s="81" t="n">
        <x:v>0.6498002569314745</x:v>
      </x:c>
      <x:c r="H329" s="81" t="n">
        <x:v>0.5998996492002384</x:v>
      </x:c>
      <x:c r="I329" s="81" t="n">
        <x:v>0.649580734388957</x:v>
      </x:c>
      <x:c r="J329" s="81" t="n">
        <x:v>0.6999069919416845</x:v>
      </x:c>
      <x:c r="K329" s="83" t="n">
        <x:v>5</x:v>
      </x:c>
      <x:c r="L329" s="80" t="n">
        <x:f>'玩家战力_节点'!AU289</x:f>
        <x:v>1599200</x:v>
      </x:c>
      <x:c r="M329" s="82" t="n">
        <x:f>L329/L328-1</x:f>
        <x:v>0.0031741252336683345</x:v>
      </x:c>
      <x:c r="N329" s="39" t="n">
        <x:f>IF(A329&lt;=$J$5,ABS(L329-D329),0)</x:f>
        <x:v>0</x:v>
      </x:c>
    </x:row>
    <x:row r="330">
      <x:c r="A330" s="39" t="n">
        <x:v>279</x:v>
      </x:c>
      <x:c r="B330" s="39" t="n">
        <x:v>19</x:v>
      </x:c>
      <x:c r="C330" s="39" t="n">
        <x:v>15</x:v>
      </x:c>
      <x:c r="D330" s="80" t="n">
        <x:v>1604265</x:v>
      </x:c>
      <x:c r="E330" s="81" t="n">
        <x:v>0.9</x:v>
      </x:c>
      <x:c r="F330" s="81" t="n">
        <x:v>0.7</x:v>
      </x:c>
      <x:c r="G330" s="81" t="n">
        <x:v>0.65</x:v>
      </x:c>
      <x:c r="H330" s="81" t="n">
        <x:v>0.5999999999999999</x:v>
      </x:c>
      <x:c r="I330" s="81" t="n">
        <x:v>0.65</x:v>
      </x:c>
      <x:c r="J330" s="81" t="n">
        <x:v>0.7</x:v>
      </x:c>
      <x:c r="K330" s="83" t="n">
        <x:v>5</x:v>
      </x:c>
      <x:c r="L330" s="80" t="n">
        <x:f>'玩家战力_节点'!AU290</x:f>
        <x:v>1604265</x:v>
      </x:c>
      <x:c r="M330" s="82" t="n">
        <x:f>L330/L329-1</x:f>
        <x:v>0.0031672086043021963</x:v>
      </x:c>
      <x:c r="N330" s="39" t="n">
        <x:f>IF(A330&lt;=$J$5,ABS(L330-D330),0)</x:f>
        <x:v>0</x:v>
      </x:c>
    </x:row>
    <x:row r="333" ht="26" customHeight="1">
      <x:c r="A333" s="84" t="str">
        <x:v>节点依据与恢复｜C:H为改前节点；J:O为本轮初始方案；主线调参仍是唯一编辑入口</x:v>
      </x:c>
      <x:c r="B333" s="84"/>
      <x:c r="C333" s="84"/>
      <x:c r="D333" s="84"/>
      <x:c r="E333" s="84"/>
      <x:c r="F333" s="84"/>
      <x:c r="G333" s="84"/>
      <x:c r="H333" s="84"/>
      <x:c r="I333" s="84"/>
      <x:c r="J333" s="84"/>
      <x:c r="K333" s="84"/>
      <x:c r="L333" s="84"/>
      <x:c r="M333" s="84"/>
      <x:c r="N333" s="84"/>
      <x:c r="O333" s="84"/>
      <x:c r="P333" s="84"/>
    </x:row>
    <x:row r="334" ht="26" customHeight="1">
      <x:c r="A334" s="85"/>
      <x:c r="B334" s="85"/>
      <x:c r="C334" s="85"/>
      <x:c r="D334" s="85"/>
      <x:c r="E334" s="85"/>
      <x:c r="F334" s="85"/>
      <x:c r="G334" s="85"/>
      <x:c r="H334" s="85"/>
      <x:c r="I334" s="85"/>
      <x:c r="J334" s="85"/>
      <x:c r="K334" s="85"/>
      <x:c r="L334" s="85"/>
      <x:c r="M334" s="85"/>
      <x:c r="N334" s="85"/>
      <x:c r="O334" s="85"/>
      <x:c r="P334" s="85"/>
    </x:row>
    <x:row r="335" ht="40" customHeight="1">
      <x:c r="A335" s="87" t="str">
        <x:v>节点</x:v>
      </x:c>
      <x:c r="B335" s="87" t="str">
        <x:v>序号</x:v>
      </x:c>
      <x:c r="C335" s="87" t="str">
        <x:v>改前角色</x:v>
      </x:c>
      <x:c r="D335" s="87" t="str">
        <x:v>改前星盘</x:v>
      </x:c>
      <x:c r="E335" s="87" t="str">
        <x:v>改前收容物</x:v>
      </x:c>
      <x:c r="F335" s="87" t="str">
        <x:v>改前映射</x:v>
      </x:c>
      <x:c r="G335" s="87" t="str">
        <x:v>改前旅券</x:v>
      </x:c>
      <x:c r="H335" s="87" t="str">
        <x:v>改前房车</x:v>
      </x:c>
      <x:c r="I335" s="87" t="str">
        <x:v>保留比例</x:v>
      </x:c>
      <x:c r="J335" s="87" t="str">
        <x:v>初始角色</x:v>
      </x:c>
      <x:c r="K335" s="87" t="str">
        <x:v>初始星盘</x:v>
      </x:c>
      <x:c r="L335" s="87" t="str">
        <x:v>初始收容物</x:v>
      </x:c>
      <x:c r="M335" s="87" t="str">
        <x:v>初始映射</x:v>
      </x:c>
      <x:c r="N335" s="87" t="str">
        <x:v>初始旅券</x:v>
      </x:c>
      <x:c r="O335" s="87" t="str">
        <x:v>初始房车</x:v>
      </x:c>
      <x:c r="P335" s="87" t="str">
        <x:v>范围</x:v>
      </x:c>
    </x:row>
    <x:row r="336" ht="26" customHeight="1">
      <x:c r="A336" s="85" t="str">
        <x:v>序章-1</x:v>
      </x:c>
      <x:c r="B336" s="85" t="n">
        <x:v>1</x:v>
      </x:c>
      <x:c r="C336" s="88" t="n">
        <x:v>0</x:v>
      </x:c>
      <x:c r="D336" s="88" t="n">
        <x:v>0</x:v>
      </x:c>
      <x:c r="E336" s="88" t="n">
        <x:v>0</x:v>
      </x:c>
      <x:c r="F336" s="88" t="n">
        <x:v>0</x:v>
      </x:c>
      <x:c r="G336" s="88" t="n">
        <x:v>0</x:v>
      </x:c>
      <x:c r="H336" s="88" t="n">
        <x:v>0</x:v>
      </x:c>
      <x:c r="I336" s="88" t="n">
        <x:f>IF(B336&lt;=$J$5,1,IF(B336&lt;=$J$6,$D$5,$D$5+(1-$D$5)*(B336-$J$6)/($J$7-$J$6)))</x:f>
        <x:v>1</x:v>
      </x:c>
      <x:c r="J336" s="89" t="n">
        <x:f>IF($B336&lt;=$J$5,C336,C$349+$I336*(C336-C$349))</x:f>
        <x:v>0</x:v>
      </x:c>
      <x:c r="K336" s="89" t="n">
        <x:f>IF($B336&lt;=$J$5,D336,D$349+$I336*(D336-D$349))</x:f>
        <x:v>0</x:v>
      </x:c>
      <x:c r="L336" s="89" t="n">
        <x:f>IF($B336&lt;=$J$5,E336,E$349+$I336*(E336-E$349))</x:f>
        <x:v>0</x:v>
      </x:c>
      <x:c r="M336" s="89" t="n">
        <x:f>IF($B336&lt;=$J$5,F336,F$349+$I336*(F336-F$349))</x:f>
        <x:v>0</x:v>
      </x:c>
      <x:c r="N336" s="89" t="n">
        <x:f>IF($B336&lt;=$J$5,G336,G$349+$I336*(G336-G$349))</x:f>
        <x:v>0</x:v>
      </x:c>
      <x:c r="O336" s="89" t="n">
        <x:f>IF($B336&lt;=$J$5,H336,H$349+$I336*(H336-H$349))</x:f>
        <x:v>0</x:v>
      </x:c>
      <x:c r="P336" s="85" t="str">
        <x:v>保持不变</x:v>
      </x:c>
    </x:row>
    <x:row r="337" ht="26" customHeight="1">
      <x:c r="A337" s="85" t="str">
        <x:v>序章-3</x:v>
      </x:c>
      <x:c r="B337" s="85" t="n">
        <x:v>3</x:v>
      </x:c>
      <x:c r="C337" s="88" t="n">
        <x:v>0.03022755894686022</x:v>
      </x:c>
      <x:c r="D337" s="88" t="n">
        <x:v>0</x:v>
      </x:c>
      <x:c r="E337" s="88" t="n">
        <x:v>0</x:v>
      </x:c>
      <x:c r="F337" s="88" t="n">
        <x:v>0</x:v>
      </x:c>
      <x:c r="G337" s="88" t="n">
        <x:v>0</x:v>
      </x:c>
      <x:c r="H337" s="88" t="n">
        <x:v>0</x:v>
      </x:c>
      <x:c r="I337" s="88" t="n">
        <x:f>IF(B337&lt;=$J$5,1,IF(B337&lt;=$J$6,$D$5,$D$5+(1-$D$5)*(B337-$J$6)/($J$7-$J$6)))</x:f>
        <x:v>1</x:v>
      </x:c>
      <x:c r="J337" s="89" t="n">
        <x:f>IF($B337&lt;=$J$5,C337,C$349+$I337*(C337-C$349))</x:f>
        <x:v>0.03022755894686022</x:v>
      </x:c>
      <x:c r="K337" s="89" t="n">
        <x:f>IF($B337&lt;=$J$5,D337,D$349+$I337*(D337-D$349))</x:f>
        <x:v>0</x:v>
      </x:c>
      <x:c r="L337" s="89" t="n">
        <x:f>IF($B337&lt;=$J$5,E337,E$349+$I337*(E337-E$349))</x:f>
        <x:v>0</x:v>
      </x:c>
      <x:c r="M337" s="89" t="n">
        <x:f>IF($B337&lt;=$J$5,F337,F$349+$I337*(F337-F$349))</x:f>
        <x:v>0</x:v>
      </x:c>
      <x:c r="N337" s="89" t="n">
        <x:f>IF($B337&lt;=$J$5,G337,G$349+$I337*(G337-G$349))</x:f>
        <x:v>0</x:v>
      </x:c>
      <x:c r="O337" s="89" t="n">
        <x:f>IF($B337&lt;=$J$5,H337,H$349+$I337*(H337-H$349))</x:f>
        <x:v>0</x:v>
      </x:c>
      <x:c r="P337" s="85" t="str">
        <x:v>保持不变</x:v>
      </x:c>
    </x:row>
    <x:row r="338" ht="26" customHeight="1">
      <x:c r="A338" s="85" t="str">
        <x:v>序章-4</x:v>
      </x:c>
      <x:c r="B338" s="85" t="n">
        <x:v>4</x:v>
      </x:c>
      <x:c r="C338" s="88" t="n">
        <x:v>0.045002134956541665</x:v>
      </x:c>
      <x:c r="D338" s="88" t="n">
        <x:v>0</x:v>
      </x:c>
      <x:c r="E338" s="88" t="n">
        <x:v>0</x:v>
      </x:c>
      <x:c r="F338" s="88" t="n">
        <x:v>0</x:v>
      </x:c>
      <x:c r="G338" s="88" t="n">
        <x:v>0</x:v>
      </x:c>
      <x:c r="H338" s="88" t="n">
        <x:v>0</x:v>
      </x:c>
      <x:c r="I338" s="88" t="n">
        <x:f>IF(B338&lt;=$J$5,1,IF(B338&lt;=$J$6,$D$5,$D$5+(1-$D$5)*(B338-$J$6)/($J$7-$J$6)))</x:f>
        <x:v>1</x:v>
      </x:c>
      <x:c r="J338" s="89" t="n">
        <x:f>IF($B338&lt;=$J$5,C338,C$349+$I338*(C338-C$349))</x:f>
        <x:v>0.045002134956541665</x:v>
      </x:c>
      <x:c r="K338" s="89" t="n">
        <x:f>IF($B338&lt;=$J$5,D338,D$349+$I338*(D338-D$349))</x:f>
        <x:v>0</x:v>
      </x:c>
      <x:c r="L338" s="89" t="n">
        <x:f>IF($B338&lt;=$J$5,E338,E$349+$I338*(E338-E$349))</x:f>
        <x:v>0</x:v>
      </x:c>
      <x:c r="M338" s="89" t="n">
        <x:f>IF($B338&lt;=$J$5,F338,F$349+$I338*(F338-F$349))</x:f>
        <x:v>0</x:v>
      </x:c>
      <x:c r="N338" s="89" t="n">
        <x:f>IF($B338&lt;=$J$5,G338,G$349+$I338*(G338-G$349))</x:f>
        <x:v>0</x:v>
      </x:c>
      <x:c r="O338" s="89" t="n">
        <x:f>IF($B338&lt;=$J$5,H338,H$349+$I338*(H338-H$349))</x:f>
        <x:v>0</x:v>
      </x:c>
      <x:c r="P338" s="85" t="str">
        <x:v>保持不变</x:v>
      </x:c>
    </x:row>
    <x:row r="339" ht="26" customHeight="1">
      <x:c r="A339" s="85" t="str">
        <x:v>1-1</x:v>
      </x:c>
      <x:c r="B339" s="85" t="n">
        <x:v>5</x:v>
      </x:c>
      <x:c r="C339" s="88" t="n">
        <x:v>0.05955509232607778</x:v>
      </x:c>
      <x:c r="D339" s="88" t="n">
        <x:v>0</x:v>
      </x:c>
      <x:c r="E339" s="88" t="n">
        <x:v>0</x:v>
      </x:c>
      <x:c r="F339" s="88" t="n">
        <x:v>0</x:v>
      </x:c>
      <x:c r="G339" s="88" t="n">
        <x:v>0</x:v>
      </x:c>
      <x:c r="H339" s="88" t="n">
        <x:v>0</x:v>
      </x:c>
      <x:c r="I339" s="88" t="n">
        <x:f>IF(B339&lt;=$J$5,1,IF(B339&lt;=$J$6,$D$5,$D$5+(1-$D$5)*(B339-$J$6)/($J$7-$J$6)))</x:f>
        <x:v>1</x:v>
      </x:c>
      <x:c r="J339" s="89" t="n">
        <x:f>IF($B339&lt;=$J$5,C339,C$349+$I339*(C339-C$349))</x:f>
        <x:v>0.05955509232607778</x:v>
      </x:c>
      <x:c r="K339" s="89" t="n">
        <x:f>IF($B339&lt;=$J$5,D339,D$349+$I339*(D339-D$349))</x:f>
        <x:v>0</x:v>
      </x:c>
      <x:c r="L339" s="89" t="n">
        <x:f>IF($B339&lt;=$J$5,E339,E$349+$I339*(E339-E$349))</x:f>
        <x:v>0</x:v>
      </x:c>
      <x:c r="M339" s="89" t="n">
        <x:f>IF($B339&lt;=$J$5,F339,F$349+$I339*(F339-F$349))</x:f>
        <x:v>0</x:v>
      </x:c>
      <x:c r="N339" s="89" t="n">
        <x:f>IF($B339&lt;=$J$5,G339,G$349+$I339*(G339-G$349))</x:f>
        <x:v>0</x:v>
      </x:c>
      <x:c r="O339" s="89" t="n">
        <x:f>IF($B339&lt;=$J$5,H339,H$349+$I339*(H339-H$349))</x:f>
        <x:v>0</x:v>
      </x:c>
      <x:c r="P339" s="85" t="str">
        <x:v>保持不变</x:v>
      </x:c>
    </x:row>
    <x:row r="340" ht="26" customHeight="1">
      <x:c r="A340" s="85" t="str">
        <x:v>1-2</x:v>
      </x:c>
      <x:c r="B340" s="85" t="n">
        <x:v>6</x:v>
      </x:c>
      <x:c r="C340" s="88" t="n">
        <x:v>0.07388975533507099</x:v>
      </x:c>
      <x:c r="D340" s="88" t="n">
        <x:v>0</x:v>
      </x:c>
      <x:c r="E340" s="88" t="n">
        <x:v>0</x:v>
      </x:c>
      <x:c r="F340" s="88" t="n">
        <x:v>0</x:v>
      </x:c>
      <x:c r="G340" s="88" t="n">
        <x:v>0</x:v>
      </x:c>
      <x:c r="H340" s="88" t="n">
        <x:v>0</x:v>
      </x:c>
      <x:c r="I340" s="88" t="n">
        <x:f>IF(B340&lt;=$J$5,1,IF(B340&lt;=$J$6,$D$5,$D$5+(1-$D$5)*(B340-$J$6)/($J$7-$J$6)))</x:f>
        <x:v>1</x:v>
      </x:c>
      <x:c r="J340" s="89" t="n">
        <x:f>IF($B340&lt;=$J$5,C340,C$349+$I340*(C340-C$349))</x:f>
        <x:v>0.07388975533507099</x:v>
      </x:c>
      <x:c r="K340" s="89" t="n">
        <x:f>IF($B340&lt;=$J$5,D340,D$349+$I340*(D340-D$349))</x:f>
        <x:v>0</x:v>
      </x:c>
      <x:c r="L340" s="89" t="n">
        <x:f>IF($B340&lt;=$J$5,E340,E$349+$I340*(E340-E$349))</x:f>
        <x:v>0</x:v>
      </x:c>
      <x:c r="M340" s="89" t="n">
        <x:f>IF($B340&lt;=$J$5,F340,F$349+$I340*(F340-F$349))</x:f>
        <x:v>0</x:v>
      </x:c>
      <x:c r="N340" s="89" t="n">
        <x:f>IF($B340&lt;=$J$5,G340,G$349+$I340*(G340-G$349))</x:f>
        <x:v>0</x:v>
      </x:c>
      <x:c r="O340" s="89" t="n">
        <x:f>IF($B340&lt;=$J$5,H340,H$349+$I340*(H340-H$349))</x:f>
        <x:v>0</x:v>
      </x:c>
      <x:c r="P340" s="85" t="str">
        <x:v>保持不变</x:v>
      </x:c>
    </x:row>
    <x:row r="341" ht="26" customHeight="1">
      <x:c r="A341" s="85" t="str">
        <x:v>1-3</x:v>
      </x:c>
      <x:c r="B341" s="85" t="n">
        <x:v>7</x:v>
      </x:c>
      <x:c r="C341" s="88" t="n">
        <x:v>0.08800939839892911</x:v>
      </x:c>
      <x:c r="D341" s="88" t="n">
        <x:v>0</x:v>
      </x:c>
      <x:c r="E341" s="88" t="n">
        <x:v>0</x:v>
      </x:c>
      <x:c r="F341" s="88" t="n">
        <x:v>0</x:v>
      </x:c>
      <x:c r="G341" s="88" t="n">
        <x:v>0</x:v>
      </x:c>
      <x:c r="H341" s="88" t="n">
        <x:v>0</x:v>
      </x:c>
      <x:c r="I341" s="88" t="n">
        <x:f>IF(B341&lt;=$J$5,1,IF(B341&lt;=$J$6,$D$5,$D$5+(1-$D$5)*(B341-$J$6)/($J$7-$J$6)))</x:f>
        <x:v>1</x:v>
      </x:c>
      <x:c r="J341" s="89" t="n">
        <x:f>IF($B341&lt;=$J$5,C341,C$349+$I341*(C341-C$349))</x:f>
        <x:v>0.08800939839892911</x:v>
      </x:c>
      <x:c r="K341" s="89" t="n">
        <x:f>IF($B341&lt;=$J$5,D341,D$349+$I341*(D341-D$349))</x:f>
        <x:v>0</x:v>
      </x:c>
      <x:c r="L341" s="89" t="n">
        <x:f>IF($B341&lt;=$J$5,E341,E$349+$I341*(E341-E$349))</x:f>
        <x:v>0</x:v>
      </x:c>
      <x:c r="M341" s="89" t="n">
        <x:f>IF($B341&lt;=$J$5,F341,F$349+$I341*(F341-F$349))</x:f>
        <x:v>0</x:v>
      </x:c>
      <x:c r="N341" s="89" t="n">
        <x:f>IF($B341&lt;=$J$5,G341,G$349+$I341*(G341-G$349))</x:f>
        <x:v>0</x:v>
      </x:c>
      <x:c r="O341" s="89" t="n">
        <x:f>IF($B341&lt;=$J$5,H341,H$349+$I341*(H341-H$349))</x:f>
        <x:v>0</x:v>
      </x:c>
      <x:c r="P341" s="85" t="str">
        <x:v>保持不变</x:v>
      </x:c>
    </x:row>
    <x:row r="342" ht="26" customHeight="1">
      <x:c r="A342" s="85" t="str">
        <x:v>1-5</x:v>
      </x:c>
      <x:c r="B342" s="85" t="n">
        <x:v>9</x:v>
      </x:c>
      <x:c r="C342" s="88" t="n">
        <x:v>0.1156164775084611</x:v>
      </x:c>
      <x:c r="D342" s="88" t="n">
        <x:v>0</x:v>
      </x:c>
      <x:c r="E342" s="88" t="n">
        <x:v>0</x:v>
      </x:c>
      <x:c r="F342" s="88" t="n">
        <x:v>0</x:v>
      </x:c>
      <x:c r="G342" s="88" t="n">
        <x:v>0</x:v>
      </x:c>
      <x:c r="H342" s="88" t="n">
        <x:v>0</x:v>
      </x:c>
      <x:c r="I342" s="88" t="n">
        <x:f>IF(B342&lt;=$J$5,1,IF(B342&lt;=$J$6,$D$5,$D$5+(1-$D$5)*(B342-$J$6)/($J$7-$J$6)))</x:f>
        <x:v>1</x:v>
      </x:c>
      <x:c r="J342" s="89" t="n">
        <x:f>IF($B342&lt;=$J$5,C342,C$349+$I342*(C342-C$349))</x:f>
        <x:v>0.1156164775084611</x:v>
      </x:c>
      <x:c r="K342" s="89" t="n">
        <x:f>IF($B342&lt;=$J$5,D342,D$349+$I342*(D342-D$349))</x:f>
        <x:v>0</x:v>
      </x:c>
      <x:c r="L342" s="89" t="n">
        <x:f>IF($B342&lt;=$J$5,E342,E$349+$I342*(E342-E$349))</x:f>
        <x:v>0</x:v>
      </x:c>
      <x:c r="M342" s="89" t="n">
        <x:f>IF($B342&lt;=$J$5,F342,F$349+$I342*(F342-F$349))</x:f>
        <x:v>0</x:v>
      </x:c>
      <x:c r="N342" s="89" t="n">
        <x:f>IF($B342&lt;=$J$5,G342,G$349+$I342*(G342-G$349))</x:f>
        <x:v>0</x:v>
      </x:c>
      <x:c r="O342" s="89" t="n">
        <x:f>IF($B342&lt;=$J$5,H342,H$349+$I342*(H342-H$349))</x:f>
        <x:v>0</x:v>
      </x:c>
      <x:c r="P342" s="85" t="str">
        <x:v>保持不变</x:v>
      </x:c>
    </x:row>
    <x:row r="343" ht="26" customHeight="1">
      <x:c r="A343" s="85" t="str">
        <x:v>1-6</x:v>
      </x:c>
      <x:c r="B343" s="85" t="n">
        <x:v>10</x:v>
      </x:c>
      <x:c r="C343" s="88" t="n">
        <x:v>0.1291102197397189</x:v>
      </x:c>
      <x:c r="D343" s="88" t="n">
        <x:v>0</x:v>
      </x:c>
      <x:c r="E343" s="88" t="n">
        <x:v>0</x:v>
      </x:c>
      <x:c r="F343" s="88" t="n">
        <x:v>0</x:v>
      </x:c>
      <x:c r="G343" s="88" t="n">
        <x:v>0</x:v>
      </x:c>
      <x:c r="H343" s="88" t="n">
        <x:v>0</x:v>
      </x:c>
      <x:c r="I343" s="88" t="n">
        <x:f>IF(B343&lt;=$J$5,1,IF(B343&lt;=$J$6,$D$5,$D$5+(1-$D$5)*(B343-$J$6)/($J$7-$J$6)))</x:f>
        <x:v>1</x:v>
      </x:c>
      <x:c r="J343" s="89" t="n">
        <x:f>IF($B343&lt;=$J$5,C343,C$349+$I343*(C343-C$349))</x:f>
        <x:v>0.1291102197397189</x:v>
      </x:c>
      <x:c r="K343" s="89" t="n">
        <x:f>IF($B343&lt;=$J$5,D343,D$349+$I343*(D343-D$349))</x:f>
        <x:v>0</x:v>
      </x:c>
      <x:c r="L343" s="89" t="n">
        <x:f>IF($B343&lt;=$J$5,E343,E$349+$I343*(E343-E$349))</x:f>
        <x:v>0</x:v>
      </x:c>
      <x:c r="M343" s="89" t="n">
        <x:f>IF($B343&lt;=$J$5,F343,F$349+$I343*(F343-F$349))</x:f>
        <x:v>0</x:v>
      </x:c>
      <x:c r="N343" s="89" t="n">
        <x:f>IF($B343&lt;=$J$5,G343,G$349+$I343*(G343-G$349))</x:f>
        <x:v>0</x:v>
      </x:c>
      <x:c r="O343" s="89" t="n">
        <x:f>IF($B343&lt;=$J$5,H343,H$349+$I343*(H343-H$349))</x:f>
        <x:v>0</x:v>
      </x:c>
      <x:c r="P343" s="85" t="str">
        <x:v>保持不变</x:v>
      </x:c>
    </x:row>
    <x:row r="344" ht="26" customHeight="1">
      <x:c r="A344" s="85" t="str">
        <x:v>1-8</x:v>
      </x:c>
      <x:c r="B344" s="85" t="n">
        <x:v>12</x:v>
      </x:c>
      <x:c r="C344" s="88" t="n">
        <x:v>0.1554935218938289</x:v>
      </x:c>
      <x:c r="D344" s="88" t="n">
        <x:v>0</x:v>
      </x:c>
      <x:c r="E344" s="88" t="n">
        <x:v>0</x:v>
      </x:c>
      <x:c r="F344" s="88" t="n">
        <x:v>0</x:v>
      </x:c>
      <x:c r="G344" s="88" t="n">
        <x:v>0</x:v>
      </x:c>
      <x:c r="H344" s="88" t="n">
        <x:v>0</x:v>
      </x:c>
      <x:c r="I344" s="88" t="n">
        <x:f>IF(B344&lt;=$J$5,1,IF(B344&lt;=$J$6,$D$5,$D$5+(1-$D$5)*(B344-$J$6)/($J$7-$J$6)))</x:f>
        <x:v>1</x:v>
      </x:c>
      <x:c r="J344" s="89" t="n">
        <x:f>IF($B344&lt;=$J$5,C344,C$349+$I344*(C344-C$349))</x:f>
        <x:v>0.1554935218938289</x:v>
      </x:c>
      <x:c r="K344" s="89" t="n">
        <x:f>IF($B344&lt;=$J$5,D344,D$349+$I344*(D344-D$349))</x:f>
        <x:v>0</x:v>
      </x:c>
      <x:c r="L344" s="89" t="n">
        <x:f>IF($B344&lt;=$J$5,E344,E$349+$I344*(E344-E$349))</x:f>
        <x:v>0</x:v>
      </x:c>
      <x:c r="M344" s="89" t="n">
        <x:f>IF($B344&lt;=$J$5,F344,F$349+$I344*(F344-F$349))</x:f>
        <x:v>0</x:v>
      </x:c>
      <x:c r="N344" s="89" t="n">
        <x:f>IF($B344&lt;=$J$5,G344,G$349+$I344*(G344-G$349))</x:f>
        <x:v>0</x:v>
      </x:c>
      <x:c r="O344" s="89" t="n">
        <x:f>IF($B344&lt;=$J$5,H344,H$349+$I344*(H344-H$349))</x:f>
        <x:v>0</x:v>
      </x:c>
      <x:c r="P344" s="85" t="str">
        <x:v>保持不变</x:v>
      </x:c>
    </x:row>
    <x:row r="345" ht="26" customHeight="1">
      <x:c r="A345" s="85" t="str">
        <x:v>2-1</x:v>
      </x:c>
      <x:c r="B345" s="85" t="n">
        <x:v>13</x:v>
      </x:c>
      <x:c r="C345" s="88" t="n">
        <x:v>0.16838910845930555</x:v>
      </x:c>
      <x:c r="D345" s="88" t="n">
        <x:v>0</x:v>
      </x:c>
      <x:c r="E345" s="88" t="n">
        <x:v>0</x:v>
      </x:c>
      <x:c r="F345" s="88" t="n">
        <x:v>0</x:v>
      </x:c>
      <x:c r="G345" s="88" t="n">
        <x:v>0</x:v>
      </x:c>
      <x:c r="H345" s="88" t="n">
        <x:v>0</x:v>
      </x:c>
      <x:c r="I345" s="88" t="n">
        <x:f>IF(B345&lt;=$J$5,1,IF(B345&lt;=$J$6,$D$5,$D$5+(1-$D$5)*(B345-$J$6)/($J$7-$J$6)))</x:f>
        <x:v>1</x:v>
      </x:c>
      <x:c r="J345" s="89" t="n">
        <x:f>IF($B345&lt;=$J$5,C345,C$349+$I345*(C345-C$349))</x:f>
        <x:v>0.16838910845930555</x:v>
      </x:c>
      <x:c r="K345" s="89" t="n">
        <x:f>IF($B345&lt;=$J$5,D345,D$349+$I345*(D345-D$349))</x:f>
        <x:v>0</x:v>
      </x:c>
      <x:c r="L345" s="89" t="n">
        <x:f>IF($B345&lt;=$J$5,E345,E$349+$I345*(E345-E$349))</x:f>
        <x:v>0</x:v>
      </x:c>
      <x:c r="M345" s="89" t="n">
        <x:f>IF($B345&lt;=$J$5,F345,F$349+$I345*(F345-F$349))</x:f>
        <x:v>0</x:v>
      </x:c>
      <x:c r="N345" s="89" t="n">
        <x:f>IF($B345&lt;=$J$5,G345,G$349+$I345*(G345-G$349))</x:f>
        <x:v>0</x:v>
      </x:c>
      <x:c r="O345" s="89" t="n">
        <x:f>IF($B345&lt;=$J$5,H345,H$349+$I345*(H345-H$349))</x:f>
        <x:v>0</x:v>
      </x:c>
      <x:c r="P345" s="85" t="str">
        <x:v>保持不变</x:v>
      </x:c>
    </x:row>
    <x:row r="346" ht="26" customHeight="1">
      <x:c r="A346" s="85" t="str">
        <x:v>2-2</x:v>
      </x:c>
      <x:c r="B346" s="85" t="n">
        <x:v>14</x:v>
      </x:c>
      <x:c r="C346" s="88" t="n">
        <x:v>0.18109126122629998</x:v>
      </x:c>
      <x:c r="D346" s="88" t="n">
        <x:v>0</x:v>
      </x:c>
      <x:c r="E346" s="88" t="n">
        <x:v>0</x:v>
      </x:c>
      <x:c r="F346" s="88" t="n">
        <x:v>0</x:v>
      </x:c>
      <x:c r="G346" s="88" t="n">
        <x:v>0</x:v>
      </x:c>
      <x:c r="H346" s="88" t="n">
        <x:v>0</x:v>
      </x:c>
      <x:c r="I346" s="88" t="n">
        <x:f>IF(B346&lt;=$J$5,1,IF(B346&lt;=$J$6,$D$5,$D$5+(1-$D$5)*(B346-$J$6)/($J$7-$J$6)))</x:f>
        <x:v>1</x:v>
      </x:c>
      <x:c r="J346" s="89" t="n">
        <x:f>IF($B346&lt;=$J$5,C346,C$349+$I346*(C346-C$349))</x:f>
        <x:v>0.18109126122629998</x:v>
      </x:c>
      <x:c r="K346" s="89" t="n">
        <x:f>IF($B346&lt;=$J$5,D346,D$349+$I346*(D346-D$349))</x:f>
        <x:v>0</x:v>
      </x:c>
      <x:c r="L346" s="89" t="n">
        <x:f>IF($B346&lt;=$J$5,E346,E$349+$I346*(E346-E$349))</x:f>
        <x:v>0</x:v>
      </x:c>
      <x:c r="M346" s="89" t="n">
        <x:f>IF($B346&lt;=$J$5,F346,F$349+$I346*(F346-F$349))</x:f>
        <x:v>0</x:v>
      </x:c>
      <x:c r="N346" s="89" t="n">
        <x:f>IF($B346&lt;=$J$5,G346,G$349+$I346*(G346-G$349))</x:f>
        <x:v>0</x:v>
      </x:c>
      <x:c r="O346" s="89" t="n">
        <x:f>IF($B346&lt;=$J$5,H346,H$349+$I346*(H346-H$349))</x:f>
        <x:v>0</x:v>
      </x:c>
      <x:c r="P346" s="85" t="str">
        <x:v>保持不变</x:v>
      </x:c>
    </x:row>
    <x:row r="347" ht="26" customHeight="1">
      <x:c r="A347" s="85" t="str">
        <x:v>2-3</x:v>
      </x:c>
      <x:c r="B347" s="85" t="n">
        <x:v>15</x:v>
      </x:c>
      <x:c r="C347" s="88" t="n">
        <x:v>0.19360288170179</x:v>
      </x:c>
      <x:c r="D347" s="88" t="n">
        <x:v>0.020095060342159143</x:v>
      </x:c>
      <x:c r="E347" s="88" t="n">
        <x:v>0</x:v>
      </x:c>
      <x:c r="F347" s="88" t="n">
        <x:v>0</x:v>
      </x:c>
      <x:c r="G347" s="88" t="n">
        <x:v>0</x:v>
      </x:c>
      <x:c r="H347" s="88" t="n">
        <x:v>0</x:v>
      </x:c>
      <x:c r="I347" s="88" t="n">
        <x:f>IF(B347&lt;=$J$5,1,IF(B347&lt;=$J$6,$D$5,$D$5+(1-$D$5)*(B347-$J$6)/($J$7-$J$6)))</x:f>
        <x:v>1</x:v>
      </x:c>
      <x:c r="J347" s="89" t="n">
        <x:f>IF($B347&lt;=$J$5,C347,C$349+$I347*(C347-C$349))</x:f>
        <x:v>0.19360288170179</x:v>
      </x:c>
      <x:c r="K347" s="89" t="n">
        <x:f>IF($B347&lt;=$J$5,D347,D$349+$I347*(D347-D$349))</x:f>
        <x:v>0.020095060342159143</x:v>
      </x:c>
      <x:c r="L347" s="89" t="n">
        <x:f>IF($B347&lt;=$J$5,E347,E$349+$I347*(E347-E$349))</x:f>
        <x:v>0</x:v>
      </x:c>
      <x:c r="M347" s="89" t="n">
        <x:f>IF($B347&lt;=$J$5,F347,F$349+$I347*(F347-F$349))</x:f>
        <x:v>0</x:v>
      </x:c>
      <x:c r="N347" s="89" t="n">
        <x:f>IF($B347&lt;=$J$5,G347,G$349+$I347*(G347-G$349))</x:f>
        <x:v>0</x:v>
      </x:c>
      <x:c r="O347" s="89" t="n">
        <x:f>IF($B347&lt;=$J$5,H347,H$349+$I347*(H347-H$349))</x:f>
        <x:v>0</x:v>
      </x:c>
      <x:c r="P347" s="85" t="str">
        <x:v>保持不变</x:v>
      </x:c>
    </x:row>
    <x:row r="348" ht="26" customHeight="1">
      <x:c r="A348" s="85" t="str">
        <x:v>2-8</x:v>
      </x:c>
      <x:c r="B348" s="85" t="n">
        <x:v>20</x:v>
      </x:c>
      <x:c r="C348" s="88" t="n">
        <x:v>0.2534015421545111</x:v>
      </x:c>
      <x:c r="D348" s="88" t="n">
        <x:v>0.11470021225275673</x:v>
      </x:c>
      <x:c r="E348" s="88" t="n">
        <x:v>0</x:v>
      </x:c>
      <x:c r="F348" s="88" t="n">
        <x:v>0</x:v>
      </x:c>
      <x:c r="G348" s="88" t="n">
        <x:v>0</x:v>
      </x:c>
      <x:c r="H348" s="88" t="n">
        <x:v>0.09654523421795544</x:v>
      </x:c>
      <x:c r="I348" s="88" t="n">
        <x:f>IF(B348&lt;=$J$5,1,IF(B348&lt;=$J$6,$D$5,$D$5+(1-$D$5)*(B348-$J$6)/($J$7-$J$6)))</x:f>
        <x:v>1</x:v>
      </x:c>
      <x:c r="J348" s="89" t="n">
        <x:f>IF($B348&lt;=$J$5,C348,C$349+$I348*(C348-C$349))</x:f>
        <x:v>0.2534015421545111</x:v>
      </x:c>
      <x:c r="K348" s="89" t="n">
        <x:f>IF($B348&lt;=$J$5,D348,D$349+$I348*(D348-D$349))</x:f>
        <x:v>0.11470021225275673</x:v>
      </x:c>
      <x:c r="L348" s="89" t="n">
        <x:f>IF($B348&lt;=$J$5,E348,E$349+$I348*(E348-E$349))</x:f>
        <x:v>0</x:v>
      </x:c>
      <x:c r="M348" s="89" t="n">
        <x:f>IF($B348&lt;=$J$5,F348,F$349+$I348*(F348-F$349))</x:f>
        <x:v>0</x:v>
      </x:c>
      <x:c r="N348" s="89" t="n">
        <x:f>IF($B348&lt;=$J$5,G348,G$349+$I348*(G348-G$349))</x:f>
        <x:v>0</x:v>
      </x:c>
      <x:c r="O348" s="89" t="n">
        <x:f>IF($B348&lt;=$J$5,H348,H$349+$I348*(H348-H$349))</x:f>
        <x:v>0.09654523421795544</x:v>
      </x:c>
      <x:c r="P348" s="85" t="str">
        <x:v>保持不变</x:v>
      </x:c>
    </x:row>
    <x:row r="349" ht="26" customHeight="1">
      <x:c r="A349" s="85" t="str">
        <x:v>2-12</x:v>
      </x:c>
      <x:c r="B349" s="85" t="n">
        <x:v>24</x:v>
      </x:c>
      <x:c r="C349" s="88" t="n">
        <x:v>0.2980912259408604</x:v>
      </x:c>
      <x:c r="D349" s="88" t="n">
        <x:v>0.18379664919082683</x:v>
      </x:c>
      <x:c r="E349" s="88" t="n">
        <x:v>0</x:v>
      </x:c>
      <x:c r="F349" s="88" t="n">
        <x:v>0</x:v>
      </x:c>
      <x:c r="G349" s="88" t="n">
        <x:v>0</x:v>
      </x:c>
      <x:c r="H349" s="88" t="n">
        <x:v>0.1670586423473161</x:v>
      </x:c>
      <x:c r="I349" s="88" t="n">
        <x:f>IF(B349&lt;=$J$5,1,IF(B349&lt;=$J$6,$D$5,$D$5+(1-$D$5)*(B349-$J$6)/($J$7-$J$6)))</x:f>
        <x:v>1</x:v>
      </x:c>
      <x:c r="J349" s="89" t="n">
        <x:f>IF($B349&lt;=$J$5,C349,C$349+$I349*(C349-C$349))</x:f>
        <x:v>0.2980912259408604</x:v>
      </x:c>
      <x:c r="K349" s="89" t="n">
        <x:f>IF($B349&lt;=$J$5,D349,D$349+$I349*(D349-D$349))</x:f>
        <x:v>0.18379664919082683</x:v>
      </x:c>
      <x:c r="L349" s="89" t="n">
        <x:f>IF($B349&lt;=$J$5,E349,E$349+$I349*(E349-E$349))</x:f>
        <x:v>0</x:v>
      </x:c>
      <x:c r="M349" s="89" t="n">
        <x:f>IF($B349&lt;=$J$5,F349,F$349+$I349*(F349-F$349))</x:f>
        <x:v>0</x:v>
      </x:c>
      <x:c r="N349" s="89" t="n">
        <x:f>IF($B349&lt;=$J$5,G349,G$349+$I349*(G349-G$349))</x:f>
        <x:v>0</x:v>
      </x:c>
      <x:c r="O349" s="89" t="n">
        <x:f>IF($B349&lt;=$J$5,H349,H$349+$I349*(H349-H$349))</x:f>
        <x:v>0.1670586423473161</x:v>
      </x:c>
      <x:c r="P349" s="85" t="str">
        <x:v>保持不变</x:v>
      </x:c>
    </x:row>
    <x:row r="350" ht="26" customHeight="1">
      <x:c r="A350" s="85" t="str">
        <x:v>3-1</x:v>
      </x:c>
      <x:c r="B350" s="85" t="n">
        <x:v>25</x:v>
      </x:c>
      <x:c r="C350" s="88" t="n">
        <x:v>0.3088478469456318</x:v>
      </x:c>
      <x:c r="D350" s="88" t="n">
        <x:v>0.20021577654916925</x:v>
      </x:c>
      <x:c r="E350" s="88" t="n">
        <x:v>0</x:v>
      </x:c>
      <x:c r="F350" s="88" t="n">
        <x:v>0</x:v>
      </x:c>
      <x:c r="G350" s="88" t="n">
        <x:v>0</x:v>
      </x:c>
      <x:c r="H350" s="88" t="n">
        <x:v>0.1757142857142857</x:v>
      </x:c>
      <x:c r="I350" s="88" t="n">
        <x:f>IF(B350&lt;=$J$5,1,IF(B350&lt;=$J$6,$D$5,$D$5+(1-$D$5)*(B350-$J$6)/($J$7-$J$6)))</x:f>
        <x:v>0.75</x:v>
      </x:c>
      <x:c r="J350" s="89" t="n">
        <x:f>IF($B350&lt;=$J$5,C350,C$349+$I350*(C350-C$349))</x:f>
        <x:v>0.30615869169443893</x:v>
      </x:c>
      <x:c r="K350" s="89" t="n">
        <x:f>IF($B350&lt;=$J$5,D350,D$349+$I350*(D350-D$349))</x:f>
        <x:v>0.19611099470958365</x:v>
      </x:c>
      <x:c r="L350" s="89" t="n">
        <x:f>IF($B350&lt;=$J$5,E350,E$349+$I350*(E350-E$349))</x:f>
        <x:v>0</x:v>
      </x:c>
      <x:c r="M350" s="89" t="n">
        <x:f>IF($B350&lt;=$J$5,F350,F$349+$I350*(F350-F$349))</x:f>
        <x:v>0</x:v>
      </x:c>
      <x:c r="N350" s="89" t="n">
        <x:f>IF($B350&lt;=$J$5,G350,G$349+$I350*(G350-G$349))</x:f>
        <x:v>0</x:v>
      </x:c>
      <x:c r="O350" s="89" t="n">
        <x:f>IF($B350&lt;=$J$5,H350,H$349+$I350*(H350-H$349))</x:f>
        <x:v>0.17355037487254332</x:v>
      </x:c>
      <x:c r="P350" s="85" t="str">
        <x:v>3～7章放缓</x:v>
      </x:c>
    </x:row>
    <x:row r="351" ht="26" customHeight="1">
      <x:c r="A351" s="85" t="str">
        <x:v>3-5</x:v>
      </x:c>
      <x:c r="B351" s="85" t="n">
        <x:v>29</x:v>
      </x:c>
      <x:c r="C351" s="88" t="n">
        <x:v>0.35028485923783675</x:v>
      </x:c>
      <x:c r="D351" s="88" t="n">
        <x:v>0.2626734828822704</x:v>
      </x:c>
      <x:c r="E351" s="88" t="n">
        <x:v>0</x:v>
      </x:c>
      <x:c r="F351" s="88" t="n">
        <x:v>0</x:v>
      </x:c>
      <x:c r="G351" s="88" t="n">
        <x:v>0</x:v>
      </x:c>
      <x:c r="H351" s="88" t="n">
        <x:v>0.21</x:v>
      </x:c>
      <x:c r="I351" s="88" t="n">
        <x:f>IF(B351&lt;=$J$5,1,IF(B351&lt;=$J$6,$D$5,$D$5+(1-$D$5)*(B351-$J$6)/($J$7-$J$6)))</x:f>
        <x:v>0.75</x:v>
      </x:c>
      <x:c r="J351" s="89" t="n">
        <x:f>IF($B351&lt;=$J$5,C351,C$349+$I351*(C351-C$349))</x:f>
        <x:v>0.33723645091359267</x:v>
      </x:c>
      <x:c r="K351" s="89" t="n">
        <x:f>IF($B351&lt;=$J$5,D351,D$349+$I351*(D351-D$349))</x:f>
        <x:v>0.24295427445940948</x:v>
      </x:c>
      <x:c r="L351" s="89" t="n">
        <x:f>IF($B351&lt;=$J$5,E351,E$349+$I351*(E351-E$349))</x:f>
        <x:v>0</x:v>
      </x:c>
      <x:c r="M351" s="89" t="n">
        <x:f>IF($B351&lt;=$J$5,F351,F$349+$I351*(F351-F$349))</x:f>
        <x:v>0</x:v>
      </x:c>
      <x:c r="N351" s="89" t="n">
        <x:f>IF($B351&lt;=$J$5,G351,G$349+$I351*(G351-G$349))</x:f>
        <x:v>0</x:v>
      </x:c>
      <x:c r="O351" s="89" t="n">
        <x:f>IF($B351&lt;=$J$5,H351,H$349+$I351*(H351-H$349))</x:f>
        <x:v>0.199264660586829</x:v>
      </x:c>
      <x:c r="P351" s="85" t="str">
        <x:v>3～7章放缓</x:v>
      </x:c>
    </x:row>
    <x:row r="352" ht="26" customHeight="1">
      <x:c r="A352" s="85" t="str">
        <x:v>3-6</x:v>
      </x:c>
      <x:c r="B352" s="85" t="n">
        <x:v>30</x:v>
      </x:c>
      <x:c r="C352" s="88" t="n">
        <x:v>0.36025857574315356</x:v>
      </x:c>
      <x:c r="D352" s="88" t="n">
        <x:v>0.2775150735667842</x:v>
      </x:c>
      <x:c r="E352" s="88" t="n">
        <x:v>0</x:v>
      </x:c>
      <x:c r="F352" s="88" t="n">
        <x:v>0</x:v>
      </x:c>
      <x:c r="G352" s="88" t="n">
        <x:v>0</x:v>
      </x:c>
      <x:c r="H352" s="88" t="n">
        <x:v>0.21857142857142858</x:v>
      </x:c>
      <x:c r="I352" s="88" t="n">
        <x:f>IF(B352&lt;=$J$5,1,IF(B352&lt;=$J$6,$D$5,$D$5+(1-$D$5)*(B352-$J$6)/($J$7-$J$6)))</x:f>
        <x:v>0.75</x:v>
      </x:c>
      <x:c r="J352" s="89" t="n">
        <x:f>IF($B352&lt;=$J$5,C352,C$349+$I352*(C352-C$349))</x:f>
        <x:v>0.34471673829258026</x:v>
      </x:c>
      <x:c r="K352" s="89" t="n">
        <x:f>IF($B352&lt;=$J$5,D352,D$349+$I352*(D352-D$349))</x:f>
        <x:v>0.2540854674727948</x:v>
      </x:c>
      <x:c r="L352" s="89" t="n">
        <x:f>IF($B352&lt;=$J$5,E352,E$349+$I352*(E352-E$349))</x:f>
        <x:v>0</x:v>
      </x:c>
      <x:c r="M352" s="89" t="n">
        <x:f>IF($B352&lt;=$J$5,F352,F$349+$I352*(F352-F$349))</x:f>
        <x:v>0</x:v>
      </x:c>
      <x:c r="N352" s="89" t="n">
        <x:f>IF($B352&lt;=$J$5,G352,G$349+$I352*(G352-G$349))</x:f>
        <x:v>0</x:v>
      </x:c>
      <x:c r="O352" s="89" t="n">
        <x:f>IF($B352&lt;=$J$5,H352,H$349+$I352*(H352-H$349))</x:f>
        <x:v>0.20569323201540046</x:v>
      </x:c>
      <x:c r="P352" s="85" t="str">
        <x:v>3～7章放缓</x:v>
      </x:c>
    </x:row>
    <x:row r="353" ht="26" customHeight="1">
      <x:c r="A353" s="85" t="str">
        <x:v>3-10</x:v>
      </x:c>
      <x:c r="B353" s="85" t="n">
        <x:v>34</x:v>
      </x:c>
      <x:c r="C353" s="88" t="n">
        <x:v>0.39867965734921323</x:v>
      </x:c>
      <x:c r="D353" s="88" t="n">
        <x:v>0.3339718932417013</x:v>
      </x:c>
      <x:c r="E353" s="88" t="n">
        <x:v>0</x:v>
      </x:c>
      <x:c r="F353" s="88" t="n">
        <x:v>0.04166666666666667</x:v>
      </x:c>
      <x:c r="G353" s="88" t="n">
        <x:v>0</x:v>
      </x:c>
      <x:c r="H353" s="88" t="n">
        <x:v>0.24857142857142858</x:v>
      </x:c>
      <x:c r="I353" s="88" t="n">
        <x:f>IF(B353&lt;=$J$5,1,IF(B353&lt;=$J$6,$D$5,$D$5+(1-$D$5)*(B353-$J$6)/($J$7-$J$6)))</x:f>
        <x:v>0.75</x:v>
      </x:c>
      <x:c r="J353" s="89" t="n">
        <x:f>IF($B353&lt;=$J$5,C353,C$349+$I353*(C353-C$349))</x:f>
        <x:v>0.373532549497125</x:v>
      </x:c>
      <x:c r="K353" s="89" t="n">
        <x:f>IF($B353&lt;=$J$5,D353,D$349+$I353*(D353-D$349))</x:f>
        <x:v>0.29642808222898265</x:v>
      </x:c>
      <x:c r="L353" s="89" t="n">
        <x:f>IF($B353&lt;=$J$5,E353,E$349+$I353*(E353-E$349))</x:f>
        <x:v>0</x:v>
      </x:c>
      <x:c r="M353" s="89" t="n">
        <x:f>IF($B353&lt;=$J$5,F353,F$349+$I353*(F353-F$349))</x:f>
        <x:v>0.03125</x:v>
      </x:c>
      <x:c r="N353" s="89" t="n">
        <x:f>IF($B353&lt;=$J$5,G353,G$349+$I353*(G353-G$349))</x:f>
        <x:v>0</x:v>
      </x:c>
      <x:c r="O353" s="89" t="n">
        <x:f>IF($B353&lt;=$J$5,H353,H$349+$I353*(H353-H$349))</x:f>
        <x:v>0.22819323201540045</x:v>
      </x:c>
      <x:c r="P353" s="85" t="str">
        <x:v>3～7章放缓</x:v>
      </x:c>
    </x:row>
    <x:row r="354" ht="26" customHeight="1">
      <x:c r="A354" s="85" t="str">
        <x:v>3-15</x:v>
      </x:c>
      <x:c r="B354" s="85" t="n">
        <x:v>39</x:v>
      </x:c>
      <x:c r="C354" s="88" t="n">
        <x:v>0.4435521127867343</x:v>
      </x:c>
      <x:c r="D354" s="88" t="n">
        <x:v>0.3984200091443714</x:v>
      </x:c>
      <x:c r="E354" s="88" t="n">
        <x:v>0</x:v>
      </x:c>
      <x:c r="F354" s="88" t="n">
        <x:v>0.1</x:v>
      </x:c>
      <x:c r="G354" s="88" t="n">
        <x:v>0</x:v>
      </x:c>
      <x:c r="H354" s="88" t="n">
        <x:v>0.28571428571428575</x:v>
      </x:c>
      <x:c r="I354" s="88" t="n">
        <x:f>IF(B354&lt;=$J$5,1,IF(B354&lt;=$J$6,$D$5,$D$5+(1-$D$5)*(B354-$J$6)/($J$7-$J$6)))</x:f>
        <x:v>0.75</x:v>
      </x:c>
      <x:c r="J354" s="89" t="n">
        <x:f>IF($B354&lt;=$J$5,C354,C$349+$I354*(C354-C$349))</x:f>
        <x:v>0.40718689107526584</x:v>
      </x:c>
      <x:c r="K354" s="89" t="n">
        <x:f>IF($B354&lt;=$J$5,D354,D$349+$I354*(D354-D$349))</x:f>
        <x:v>0.3447641691559853</x:v>
      </x:c>
      <x:c r="L354" s="89" t="n">
        <x:f>IF($B354&lt;=$J$5,E354,E$349+$I354*(E354-E$349))</x:f>
        <x:v>0</x:v>
      </x:c>
      <x:c r="M354" s="89" t="n">
        <x:f>IF($B354&lt;=$J$5,F354,F$349+$I354*(F354-F$349))</x:f>
        <x:v>0.07500000000000001</x:v>
      </x:c>
      <x:c r="N354" s="89" t="n">
        <x:f>IF($B354&lt;=$J$5,G354,G$349+$I354*(G354-G$349))</x:f>
        <x:v>0</x:v>
      </x:c>
      <x:c r="O354" s="89" t="n">
        <x:f>IF($B354&lt;=$J$5,H354,H$349+$I354*(H354-H$349))</x:f>
        <x:v>0.25605037487254334</x:v>
      </x:c>
      <x:c r="P354" s="85" t="str">
        <x:v>3～7章放缓</x:v>
      </x:c>
    </x:row>
    <x:row r="355" ht="26" customHeight="1">
      <x:c r="A355" s="85" t="str">
        <x:v>4-1</x:v>
      </x:c>
      <x:c r="B355" s="85" t="n">
        <x:v>40</x:v>
      </x:c>
      <x:c r="C355" s="88" t="n">
        <x:v>0.45212682048881747</x:v>
      </x:c>
      <x:c r="D355" s="88" t="n">
        <x:v>0.410546669303643</x:v>
      </x:c>
      <x:c r="E355" s="88" t="n">
        <x:v>0</x:v>
      </x:c>
      <x:c r="F355" s="88" t="n">
        <x:v>0.11166666666666668</x:v>
      </x:c>
      <x:c r="G355" s="88" t="n">
        <x:v>0</x:v>
      </x:c>
      <x:c r="H355" s="88" t="n">
        <x:v>0.29428571428571426</x:v>
      </x:c>
      <x:c r="I355" s="88" t="n">
        <x:f>IF(B355&lt;=$J$5,1,IF(B355&lt;=$J$6,$D$5,$D$5+(1-$D$5)*(B355-$J$6)/($J$7-$J$6)))</x:f>
        <x:v>0.75</x:v>
      </x:c>
      <x:c r="J355" s="89" t="n">
        <x:f>IF($B355&lt;=$J$5,C355,C$349+$I355*(C355-C$349))</x:f>
        <x:v>0.4136179218518282</x:v>
      </x:c>
      <x:c r="K355" s="89" t="n">
        <x:f>IF($B355&lt;=$J$5,D355,D$349+$I355*(D355-D$349))</x:f>
        <x:v>0.35385916427543895</x:v>
      </x:c>
      <x:c r="L355" s="89" t="n">
        <x:f>IF($B355&lt;=$J$5,E355,E$349+$I355*(E355-E$349))</x:f>
        <x:v>0</x:v>
      </x:c>
      <x:c r="M355" s="89" t="n">
        <x:f>IF($B355&lt;=$J$5,F355,F$349+$I355*(F355-F$349))</x:f>
        <x:v>0.08375</x:v>
      </x:c>
      <x:c r="N355" s="89" t="n">
        <x:f>IF($B355&lt;=$J$5,G355,G$349+$I355*(G355-G$349))</x:f>
        <x:v>0</x:v>
      </x:c>
      <x:c r="O355" s="89" t="n">
        <x:f>IF($B355&lt;=$J$5,H355,H$349+$I355*(H355-H$349))</x:f>
        <x:v>0.26247894630111474</x:v>
      </x:c>
      <x:c r="P355" s="85" t="str">
        <x:v>3～7章放缓</x:v>
      </x:c>
    </x:row>
    <x:row r="356" ht="26" customHeight="1">
      <x:c r="A356" s="85" t="str">
        <x:v>4-15</x:v>
      </x:c>
      <x:c r="B356" s="85" t="n">
        <x:v>54</x:v>
      </x:c>
      <x:c r="C356" s="88" t="n">
        <x:v>0.5595071683972186</x:v>
      </x:c>
      <x:c r="D356" s="88" t="n">
        <x:v>0.556934191512003</x:v>
      </x:c>
      <x:c r="E356" s="88" t="n">
        <x:v>0</x:v>
      </x:c>
      <x:c r="F356" s="88" t="n">
        <x:v>0.33227940865954686</x:v>
      </x:c>
      <x:c r="G356" s="88" t="n">
        <x:v>0</x:v>
      </x:c>
      <x:c r="H356" s="88" t="n">
        <x:v>0.46954601106054444</x:v>
      </x:c>
      <x:c r="I356" s="88" t="n">
        <x:f>IF(B356&lt;=$J$5,1,IF(B356&lt;=$J$6,$D$5,$D$5+(1-$D$5)*(B356-$J$6)/($J$7-$J$6)))</x:f>
        <x:v>0.75</x:v>
      </x:c>
      <x:c r="J356" s="89" t="n">
        <x:f>IF($B356&lt;=$J$5,C356,C$349+$I356*(C356-C$349))</x:f>
        <x:v>0.49415318278312903</x:v>
      </x:c>
      <x:c r="K356" s="89" t="n">
        <x:f>IF($B356&lt;=$J$5,D356,D$349+$I356*(D356-D$349))</x:f>
        <x:v>0.4636498059317089</x:v>
      </x:c>
      <x:c r="L356" s="89" t="n">
        <x:f>IF($B356&lt;=$J$5,E356,E$349+$I356*(E356-E$349))</x:f>
        <x:v>0</x:v>
      </x:c>
      <x:c r="M356" s="89" t="n">
        <x:f>IF($B356&lt;=$J$5,F356,F$349+$I356*(F356-F$349))</x:f>
        <x:v>0.24920955649466014</x:v>
      </x:c>
      <x:c r="N356" s="89" t="n">
        <x:f>IF($B356&lt;=$J$5,G356,G$349+$I356*(G356-G$349))</x:f>
        <x:v>0</x:v>
      </x:c>
      <x:c r="O356" s="89" t="n">
        <x:f>IF($B356&lt;=$J$5,H356,H$349+$I356*(H356-H$349))</x:f>
        <x:v>0.39392416888223736</x:v>
      </x:c>
      <x:c r="P356" s="85" t="str">
        <x:v>3～7章放缓</x:v>
      </x:c>
    </x:row>
    <x:row r="357" ht="26" customHeight="1">
      <x:c r="A357" s="85" t="str">
        <x:v>5-1</x:v>
      </x:c>
      <x:c r="B357" s="85" t="n">
        <x:v>55</x:v>
      </x:c>
      <x:c r="C357" s="88" t="n">
        <x:v>0.5663425502651454</x:v>
      </x:c>
      <x:c r="D357" s="88" t="n">
        <x:v>0.5658905680239215</x:v>
      </x:c>
      <x:c r="E357" s="88" t="n">
        <x:v>0</x:v>
      </x:c>
      <x:c r="F357" s="88" t="n">
        <x:v>0.3457770808026866</x:v>
      </x:c>
      <x:c r="G357" s="88" t="n">
        <x:v>0</x:v>
      </x:c>
      <x:c r="H357" s="88" t="n">
        <x:v>0.4802689004286157</x:v>
      </x:c>
      <x:c r="I357" s="88" t="n">
        <x:f>IF(B357&lt;=$J$5,1,IF(B357&lt;=$J$6,$D$5,$D$5+(1-$D$5)*(B357-$J$6)/($J$7-$J$6)))</x:f>
        <x:v>0.75</x:v>
      </x:c>
      <x:c r="J357" s="89" t="n">
        <x:f>IF($B357&lt;=$J$5,C357,C$349+$I357*(C357-C$349))</x:f>
        <x:v>0.4992797191840741</x:v>
      </x:c>
      <x:c r="K357" s="89" t="n">
        <x:f>IF($B357&lt;=$J$5,D357,D$349+$I357*(D357-D$349))</x:f>
        <x:v>0.4703670883156478</x:v>
      </x:c>
      <x:c r="L357" s="89" t="n">
        <x:f>IF($B357&lt;=$J$5,E357,E$349+$I357*(E357-E$349))</x:f>
        <x:v>0</x:v>
      </x:c>
      <x:c r="M357" s="89" t="n">
        <x:f>IF($B357&lt;=$J$5,F357,F$349+$I357*(F357-F$349))</x:f>
        <x:v>0.25933281060201496</x:v>
      </x:c>
      <x:c r="N357" s="89" t="n">
        <x:f>IF($B357&lt;=$J$5,G357,G$349+$I357*(G357-G$349))</x:f>
        <x:v>0</x:v>
      </x:c>
      <x:c r="O357" s="89" t="n">
        <x:f>IF($B357&lt;=$J$5,H357,H$349+$I357*(H357-H$349))</x:f>
        <x:v>0.4019663359082908</x:v>
      </x:c>
      <x:c r="P357" s="85" t="str">
        <x:v>3～7章放缓</x:v>
      </x:c>
    </x:row>
    <x:row r="358" ht="26" customHeight="1">
      <x:c r="A358" s="85" t="str">
        <x:v>5-10</x:v>
      </x:c>
      <x:c r="B358" s="85" t="n">
        <x:v>64</x:v>
      </x:c>
      <x:c r="C358" s="88" t="n">
        <x:v>0.6234269011708086</x:v>
      </x:c>
      <x:c r="D358" s="88" t="n">
        <x:v>0.6388524323011844</x:v>
      </x:c>
      <x:c r="E358" s="88" t="n">
        <x:v>0</x:v>
      </x:c>
      <x:c r="F358" s="88" t="n">
        <x:v>0.4557339725943862</x:v>
      </x:c>
      <x:c r="G358" s="88" t="n">
        <x:v>0</x:v>
      </x:c>
      <x:c r="H358" s="88" t="n">
        <x:v>0.5676214137683621</x:v>
      </x:c>
      <x:c r="I358" s="88" t="n">
        <x:f>IF(B358&lt;=$J$5,1,IF(B358&lt;=$J$6,$D$5,$D$5+(1-$D$5)*(B358-$J$6)/($J$7-$J$6)))</x:f>
        <x:v>0.75</x:v>
      </x:c>
      <x:c r="J358" s="89" t="n">
        <x:f>IF($B358&lt;=$J$5,C358,C$349+$I358*(C358-C$349))</x:f>
        <x:v>0.5420929823633216</x:v>
      </x:c>
      <x:c r="K358" s="89" t="n">
        <x:f>IF($B358&lt;=$J$5,D358,D$349+$I358*(D358-D$349))</x:f>
        <x:v>0.525088486523595</x:v>
      </x:c>
      <x:c r="L358" s="89" t="n">
        <x:f>IF($B358&lt;=$J$5,E358,E$349+$I358*(E358-E$349))</x:f>
        <x:v>0</x:v>
      </x:c>
      <x:c r="M358" s="89" t="n">
        <x:f>IF($B358&lt;=$J$5,F358,F$349+$I358*(F358-F$349))</x:f>
        <x:v>0.3418004794457896</x:v>
      </x:c>
      <x:c r="N358" s="89" t="n">
        <x:f>IF($B358&lt;=$J$5,G358,G$349+$I358*(G358-G$349))</x:f>
        <x:v>0</x:v>
      </x:c>
      <x:c r="O358" s="89" t="n">
        <x:f>IF($B358&lt;=$J$5,H358,H$349+$I358*(H358-H$349))</x:f>
        <x:v>0.46748072091310056</x:v>
      </x:c>
      <x:c r="P358" s="85" t="str">
        <x:v>3～7章放缓</x:v>
      </x:c>
    </x:row>
    <x:row r="359" ht="26" customHeight="1">
      <x:c r="A359" s="85" t="str">
        <x:v>5-15</x:v>
      </x:c>
      <x:c r="B359" s="85" t="n">
        <x:v>69</x:v>
      </x:c>
      <x:c r="C359" s="88" t="n">
        <x:v>0.6519414661193087</x:v>
      </x:c>
      <x:c r="D359" s="88" t="n">
        <x:v>0.674007868939833</x:v>
      </x:c>
      <x:c r="E359" s="88" t="n">
        <x:v>0.09734368934741615</x:v>
      </x:c>
      <x:c r="F359" s="88" t="n">
        <x:v>0.5087148356885106</x:v>
      </x:c>
      <x:c r="G359" s="88" t="n">
        <x:v>0</x:v>
      </x:c>
      <x:c r="H359" s="88" t="n">
        <x:v>0.6097107405469692</x:v>
      </x:c>
      <x:c r="I359" s="88" t="n">
        <x:f>IF(B359&lt;=$J$5,1,IF(B359&lt;=$J$6,$D$5,$D$5+(1-$D$5)*(B359-$J$6)/($J$7-$J$6)))</x:f>
        <x:v>0.75</x:v>
      </x:c>
      <x:c r="J359" s="89" t="n">
        <x:f>IF($B359&lt;=$J$5,C359,C$349+$I359*(C359-C$349))</x:f>
        <x:v>0.5634789060746966</x:v>
      </x:c>
      <x:c r="K359" s="89" t="n">
        <x:f>IF($B359&lt;=$J$5,D359,D$349+$I359*(D359-D$349))</x:f>
        <x:v>0.5514550640025815</x:v>
      </x:c>
      <x:c r="L359" s="89" t="n">
        <x:f>IF($B359&lt;=$J$5,E359,E$349+$I359*(E359-E$349))</x:f>
        <x:v>0.07300776701056211</x:v>
      </x:c>
      <x:c r="M359" s="89" t="n">
        <x:f>IF($B359&lt;=$J$5,F359,F$349+$I359*(F359-F$349))</x:f>
        <x:v>0.38153612676638293</x:v>
      </x:c>
      <x:c r="N359" s="89" t="n">
        <x:f>IF($B359&lt;=$J$5,G359,G$349+$I359*(G359-G$349))</x:f>
        <x:v>0</x:v>
      </x:c>
      <x:c r="O359" s="89" t="n">
        <x:f>IF($B359&lt;=$J$5,H359,H$349+$I359*(H359-H$349))</x:f>
        <x:v>0.4990477159970559</x:v>
      </x:c>
      <x:c r="P359" s="85" t="str">
        <x:v>3～7章放缓</x:v>
      </x:c>
    </x:row>
    <x:row r="360" ht="26" customHeight="1">
      <x:c r="A360" s="85" t="str">
        <x:v>6-1</x:v>
      </x:c>
      <x:c r="B360" s="85" t="n">
        <x:v>70</x:v>
      </x:c>
      <x:c r="C360" s="88" t="n">
        <x:v>0.6573903335214032</x:v>
      </x:c>
      <x:c r="D360" s="88" t="n">
        <x:v>0.6806227719031958</x:v>
      </x:c>
      <x:c r="E360" s="88" t="n">
        <x:v>0.115660033011342</x:v>
      </x:c>
      <x:c r="F360" s="88" t="n">
        <x:v>0.5186837992910708</x:v>
      </x:c>
      <x:c r="G360" s="88" t="n">
        <x:v>0</x:v>
      </x:c>
      <x:c r="H360" s="88" t="n">
        <x:v>0.6176303353253104</x:v>
      </x:c>
      <x:c r="I360" s="88" t="n">
        <x:f>IF(B360&lt;=$J$5,1,IF(B360&lt;=$J$6,$D$5,$D$5+(1-$D$5)*(B360-$J$6)/($J$7-$J$6)))</x:f>
        <x:v>0.75</x:v>
      </x:c>
      <x:c r="J360" s="89" t="n">
        <x:f>IF($B360&lt;=$J$5,C360,C$349+$I360*(C360-C$349))</x:f>
        <x:v>0.5675655566262675</x:v>
      </x:c>
      <x:c r="K360" s="89" t="n">
        <x:f>IF($B360&lt;=$J$5,D360,D$349+$I360*(D360-D$349))</x:f>
        <x:v>0.5564162412251035</x:v>
      </x:c>
      <x:c r="L360" s="89" t="n">
        <x:f>IF($B360&lt;=$J$5,E360,E$349+$I360*(E360-E$349))</x:f>
        <x:v>0.08674502475850651</x:v>
      </x:c>
      <x:c r="M360" s="89" t="n">
        <x:f>IF($B360&lt;=$J$5,F360,F$349+$I360*(F360-F$349))</x:f>
        <x:v>0.38901284946830306</x:v>
      </x:c>
      <x:c r="N360" s="89" t="n">
        <x:f>IF($B360&lt;=$J$5,G360,G$349+$I360*(G360-G$349))</x:f>
        <x:v>0</x:v>
      </x:c>
      <x:c r="O360" s="89" t="n">
        <x:f>IF($B360&lt;=$J$5,H360,H$349+$I360*(H360-H$349))</x:f>
        <x:v>0.5049874120808118</x:v>
      </x:c>
      <x:c r="P360" s="85" t="str">
        <x:v>3～7章放缓</x:v>
      </x:c>
    </x:row>
    <x:row r="361" ht="26" customHeight="1">
      <x:c r="A361" s="85" t="str">
        <x:v>6-15</x:v>
      </x:c>
      <x:c r="B361" s="85" t="n">
        <x:v>84</x:v>
      </x:c>
      <x:c r="C361" s="88" t="n">
        <x:v>0.7256260446001054</x:v>
      </x:c>
      <x:c r="D361" s="88" t="n">
        <x:v>0.7604748698211042</x:v>
      </x:c>
      <x:c r="E361" s="88" t="n">
        <x:v>0.33676659736318154</x:v>
      </x:c>
      <x:c r="F361" s="88" t="n">
        <x:v>0.6390245907041502</x:v>
      </x:c>
      <x:c r="G361" s="88" t="n">
        <x:v>0</x:v>
      </x:c>
      <x:c r="H361" s="88" t="n">
        <x:v>0.7132320790262942</x:v>
      </x:c>
      <x:c r="I361" s="88" t="n">
        <x:f>IF(B361&lt;=$J$5,1,IF(B361&lt;=$J$6,$D$5,$D$5+(1-$D$5)*(B361-$J$6)/($J$7-$J$6)))</x:f>
        <x:v>0.75</x:v>
      </x:c>
      <x:c r="J361" s="89" t="n">
        <x:f>IF($B361&lt;=$J$5,C361,C$349+$I361*(C361-C$349))</x:f>
        <x:v>0.6187423399352941</x:v>
      </x:c>
      <x:c r="K361" s="89" t="n">
        <x:f>IF($B361&lt;=$J$5,D361,D$349+$I361*(D361-D$349))</x:f>
        <x:v>0.6163053146635349</x:v>
      </x:c>
      <x:c r="L361" s="89" t="n">
        <x:f>IF($B361&lt;=$J$5,E361,E$349+$I361*(E361-E$349))</x:f>
        <x:v>0.25257494802238617</x:v>
      </x:c>
      <x:c r="M361" s="89" t="n">
        <x:f>IF($B361&lt;=$J$5,F361,F$349+$I361*(F361-F$349))</x:f>
        <x:v>0.47926844302811267</x:v>
      </x:c>
      <x:c r="N361" s="89" t="n">
        <x:f>IF($B361&lt;=$J$5,G361,G$349+$I361*(G361-G$349))</x:f>
        <x:v>0</x:v>
      </x:c>
      <x:c r="O361" s="89" t="n">
        <x:f>IF($B361&lt;=$J$5,H361,H$349+$I361*(H361-H$349))</x:f>
        <x:v>0.5766887198565497</x:v>
      </x:c>
      <x:c r="P361" s="85" t="str">
        <x:v>3～7章放缓</x:v>
      </x:c>
    </x:row>
    <x:row r="362" ht="26" customHeight="1">
      <x:c r="A362" s="85" t="str">
        <x:v>7-1</x:v>
      </x:c>
      <x:c r="B362" s="85" t="n">
        <x:v>85</x:v>
      </x:c>
      <x:c r="C362" s="88" t="n">
        <x:v>0.7299696433249877</x:v>
      </x:c>
      <x:c r="D362" s="88" t="n">
        <x:v>0.7653604327668415</x:v>
      </x:c>
      <x:c r="E362" s="88" t="n">
        <x:v>0.35029448286679227</x:v>
      </x:c>
      <x:c r="F362" s="88" t="n">
        <x:v>0.6463873592063992</x:v>
      </x:c>
      <x:c r="G362" s="88" t="n">
        <x:v>0</x:v>
      </x:c>
      <x:c r="H362" s="88" t="n">
        <x:v>0.7190812470350483</x:v>
      </x:c>
      <x:c r="I362" s="88" t="n">
        <x:f>IF(B362&lt;=$J$5,1,IF(B362&lt;=$J$6,$D$5,$D$5+(1-$D$5)*(B362-$J$6)/($J$7-$J$6)))</x:f>
        <x:v>0.75</x:v>
      </x:c>
      <x:c r="J362" s="89" t="n">
        <x:f>IF($B362&lt;=$J$5,C362,C$349+$I362*(C362-C$349))</x:f>
        <x:v>0.622000038978956</x:v>
      </x:c>
      <x:c r="K362" s="89" t="n">
        <x:f>IF($B362&lt;=$J$5,D362,D$349+$I362*(D362-D$349))</x:f>
        <x:v>0.6199694868728378</x:v>
      </x:c>
      <x:c r="L362" s="89" t="n">
        <x:f>IF($B362&lt;=$J$5,E362,E$349+$I362*(E362-E$349))</x:f>
        <x:v>0.2627208621500942</x:v>
      </x:c>
      <x:c r="M362" s="89" t="n">
        <x:f>IF($B362&lt;=$J$5,F362,F$349+$I362*(F362-F$349))</x:f>
        <x:v>0.48479051940479945</x:v>
      </x:c>
      <x:c r="N362" s="89" t="n">
        <x:f>IF($B362&lt;=$J$5,G362,G$349+$I362*(G362-G$349))</x:f>
        <x:v>0</x:v>
      </x:c>
      <x:c r="O362" s="89" t="n">
        <x:f>IF($B362&lt;=$J$5,H362,H$349+$I362*(H362-H$349))</x:f>
        <x:v>0.5810755958631152</x:v>
      </x:c>
      <x:c r="P362" s="85" t="str">
        <x:v>3～7章放缓</x:v>
      </x:c>
    </x:row>
    <x:row r="363" ht="26" customHeight="1">
      <x:c r="A363" s="85" t="str">
        <x:v>7-15</x:v>
      </x:c>
      <x:c r="B363" s="85" t="n">
        <x:v>99</x:v>
      </x:c>
      <x:c r="C363" s="88" t="n">
        <x:v>0.7843641671335454</x:v>
      </x:c>
      <x:c r="D363" s="88" t="n">
        <x:v>0.8243367250704229</x:v>
      </x:c>
      <x:c r="E363" s="88" t="n">
        <x:v>0.5135969596891384</x:v>
      </x:c>
      <x:c r="F363" s="88" t="n">
        <x:v>0.735267349531994</x:v>
      </x:c>
      <x:c r="G363" s="88" t="n">
        <x:v>0</x:v>
      </x:c>
      <x:c r="H363" s="88" t="n">
        <x:v>0.789689741091618</x:v>
      </x:c>
      <x:c r="I363" s="88" t="n">
        <x:f>IF(B363&lt;=$J$5,1,IF(B363&lt;=$J$6,$D$5,$D$5+(1-$D$5)*(B363-$J$6)/($J$7-$J$6)))</x:f>
        <x:v>0.75</x:v>
      </x:c>
      <x:c r="J363" s="89" t="n">
        <x:f>IF($B363&lt;=$J$5,C363,C$349+$I363*(C363-C$349))</x:f>
        <x:v>0.6627959318353742</x:v>
      </x:c>
      <x:c r="K363" s="89" t="n">
        <x:f>IF($B363&lt;=$J$5,D363,D$349+$I363*(D363-D$349))</x:f>
        <x:v>0.6642017061005239</x:v>
      </x:c>
      <x:c r="L363" s="89" t="n">
        <x:f>IF($B363&lt;=$J$5,E363,E$349+$I363*(E363-E$349))</x:f>
        <x:v>0.3851977197668538</x:v>
      </x:c>
      <x:c r="M363" s="89" t="n">
        <x:f>IF($B363&lt;=$J$5,F363,F$349+$I363*(F363-F$349))</x:f>
        <x:v>0.5514505121489955</x:v>
      </x:c>
      <x:c r="N363" s="89" t="n">
        <x:f>IF($B363&lt;=$J$5,G363,G$349+$I363*(G363-G$349))</x:f>
        <x:v>0</x:v>
      </x:c>
      <x:c r="O363" s="89" t="n">
        <x:f>IF($B363&lt;=$J$5,H363,H$349+$I363*(H363-H$349))</x:f>
        <x:v>0.6340319664055426</x:v>
      </x:c>
      <x:c r="P363" s="85" t="str">
        <x:v>3～7章放缓</x:v>
      </x:c>
    </x:row>
    <x:row r="364" ht="26" customHeight="1">
      <x:c r="A364" s="85" t="str">
        <x:v>8-1</x:v>
      </x:c>
      <x:c r="B364" s="85" t="n">
        <x:v>100</x:v>
      </x:c>
      <x:c r="C364" s="88" t="n">
        <x:v>0.7878266940204265</x:v>
      </x:c>
      <x:c r="D364" s="88" t="n">
        <x:v>0.8279450509111744</x:v>
      </x:c>
      <x:c r="E364" s="88" t="n">
        <x:v>0.5235882379462292</x:v>
      </x:c>
      <x:c r="F364" s="88" t="n">
        <x:v>0.740705262857685</x:v>
      </x:c>
      <x:c r="G364" s="88" t="n">
        <x:v>0</x:v>
      </x:c>
      <x:c r="H364" s="88" t="n">
        <x:v>0.7940097558590674</x:v>
      </x:c>
      <x:c r="I364" s="88" t="n">
        <x:f>IF(B364&lt;=$J$5,1,IF(B364&lt;=$J$6,$D$5,$D$5+(1-$D$5)*(B364-$J$6)/($J$7-$J$6)))</x:f>
        <x:v>0.75</x:v>
      </x:c>
      <x:c r="J364" s="89" t="n">
        <x:f>IF($B364&lt;=$J$5,C364,C$349+$I364*(C364-C$349))</x:f>
        <x:v>0.6653928270005349</x:v>
      </x:c>
      <x:c r="K364" s="89" t="n">
        <x:f>IF($B364&lt;=$J$5,D364,D$349+$I364*(D364-D$349))</x:f>
        <x:v>0.6669079504810875</x:v>
      </x:c>
      <x:c r="L364" s="89" t="n">
        <x:f>IF($B364&lt;=$J$5,E364,E$349+$I364*(E364-E$349))</x:f>
        <x:v>0.39269117845967194</x:v>
      </x:c>
      <x:c r="M364" s="89" t="n">
        <x:f>IF($B364&lt;=$J$5,F364,F$349+$I364*(F364-F$349))</x:f>
        <x:v>0.5555289471432637</x:v>
      </x:c>
      <x:c r="N364" s="89" t="n">
        <x:f>IF($B364&lt;=$J$5,G364,G$349+$I364*(G364-G$349))</x:f>
        <x:v>0</x:v>
      </x:c>
      <x:c r="O364" s="89" t="n">
        <x:f>IF($B364&lt;=$J$5,H364,H$349+$I364*(H364-H$349))</x:f>
        <x:v>0.6372719774811296</x:v>
      </x:c>
      <x:c r="P364" s="85" t="str">
        <x:v>后段衔接</x:v>
      </x:c>
    </x:row>
    <x:row r="365" ht="26" customHeight="1">
      <x:c r="A365" s="85" t="str">
        <x:v>8-15</x:v>
      </x:c>
      <x:c r="B365" s="85" t="n">
        <x:v>114</x:v>
      </x:c>
      <x:c r="C365" s="88" t="n">
        <x:v>0.8311876288386666</x:v>
      </x:c>
      <x:c r="D365" s="88" t="n">
        <x:v>0.8715031181951843</x:v>
      </x:c>
      <x:c r="E365" s="88" t="n">
        <x:v>0.6441984017126815</x:v>
      </x:c>
      <x:c r="F365" s="88" t="n">
        <x:v>0.8063492775555926</x:v>
      </x:c>
      <x:c r="G365" s="88" t="n">
        <x:v>0.25316369865956306</x:v>
      </x:c>
      <x:c r="H365" s="88" t="n">
        <x:v>0.8461590079535714</x:v>
      </x:c>
      <x:c r="I365" s="88" t="n">
        <x:f>IF(B365&lt;=$J$5,1,IF(B365&lt;=$J$6,$D$5,$D$5+(1-$D$5)*(B365-$J$6)/($J$7-$J$6)))</x:f>
        <x:v>0.7695530726256983</x:v>
      </x:c>
      <x:c r="J365" s="89" t="n">
        <x:f>IF($B365&lt;=$J$5,C365,C$349+$I365*(C365-C$349))</x:f>
        <x:v>0.7083372007965745</x:v>
      </x:c>
      <x:c r="K365" s="89" t="n">
        <x:f>IF($B365&lt;=$J$5,D365,D$349+$I365*(D365-D$349))</x:f>
        <x:v>0.7130232754776997</x:v>
      </x:c>
      <x:c r="L365" s="89" t="n">
        <x:f>IF($B365&lt;=$J$5,E365,E$349+$I365*(E365-E$349))</x:f>
        <x:v>0.49574485941855795</x:v>
      </x:c>
      <x:c r="M365" s="89" t="n">
        <x:f>IF($B365&lt;=$J$5,F365,F$349+$I365*(F365-F$349))</x:f>
        <x:v>0.6205285641524183</x:v>
      </x:c>
      <x:c r="N365" s="89" t="n">
        <x:f>IF($B365&lt;=$J$5,G365,G$349+$I365*(G365-G$349))</x:f>
        <x:v>0.19482290218075313</x:v>
      </x:c>
      <x:c r="O365" s="89" t="n">
        <x:f>IF($B365&lt;=$J$5,H365,H$349+$I365*(H365-H$349))</x:f>
        <x:v>0.689662415320845</x:v>
      </x:c>
      <x:c r="P365" s="85" t="str">
        <x:v>后段衔接</x:v>
      </x:c>
    </x:row>
    <x:row r="366" ht="26" customHeight="1">
      <x:c r="A366" s="85" t="str">
        <x:v>9-1</x:v>
      </x:c>
      <x:c r="B366" s="85" t="n">
        <x:v>115</x:v>
      </x:c>
      <x:c r="C366" s="88" t="n">
        <x:v>0.8339478037999709</x:v>
      </x:c>
      <x:c r="D366" s="88" t="n">
        <x:v>0.8741681161734386</x:v>
      </x:c>
      <x:c r="E366" s="88" t="n">
        <x:v>0.6515776511293015</x:v>
      </x:c>
      <x:c r="F366" s="88" t="n">
        <x:v>0.8103655523208113</x:v>
      </x:c>
      <x:c r="G366" s="88" t="n">
        <x:v>0.2686529245863308</x:v>
      </x:c>
      <x:c r="H366" s="88" t="n">
        <x:v>0.8493496373837806</x:v>
      </x:c>
      <x:c r="I366" s="88" t="n">
        <x:f>IF(B366&lt;=$J$5,1,IF(B366&lt;=$J$6,$D$5,$D$5+(1-$D$5)*(B366-$J$6)/($J$7-$J$6)))</x:f>
        <x:v>0.770949720670391</x:v>
      </x:c>
      <x:c r="J366" s="89" t="n">
        <x:f>IF($B366&lt;=$J$5,C366,C$349+$I366*(C366-C$349))</x:f>
        <x:v>0.7112097049607333</x:v>
      </x:c>
      <x:c r="K366" s="89" t="n">
        <x:f>IF($B366&lt;=$J$5,D366,D$349+$I366*(D366-D$349))</x:f>
        <x:v>0.7160383388198794</x:v>
      </x:c>
      <x:c r="L366" s="89" t="n">
        <x:f>IF($B366&lt;=$J$5,E366,E$349+$I366*(E366-E$349))</x:f>
        <x:v>0.5023336081332045</x:v>
      </x:c>
      <x:c r="M366" s="89" t="n">
        <x:f>IF($B366&lt;=$J$5,F366,F$349+$I366*(F366-F$349))</x:f>
        <x:v>0.6247510962026366</x:v>
      </x:c>
      <x:c r="N366" s="89" t="n">
        <x:f>IF($B366&lt;=$J$5,G366,G$349+$I366*(G366-G$349))</x:f>
        <x:v>0.20711789716711534</x:v>
      </x:c>
      <x:c r="O366" s="89" t="n">
        <x:f>IF($B366&lt;=$J$5,H366,H$349+$I366*(H366-H$349))</x:f>
        <x:v>0.6930706943866014</x:v>
      </x:c>
      <x:c r="P366" s="85" t="str">
        <x:v>后段衔接</x:v>
      </x:c>
    </x:row>
    <x:row r="367" ht="26" customHeight="1">
      <x:c r="A367" s="85" t="str">
        <x:v>9-15</x:v>
      </x:c>
      <x:c r="B367" s="85" t="n">
        <x:v>129</x:v>
      </x:c>
      <x:c r="C367" s="88" t="n">
        <x:v>0.8685132441543867</x:v>
      </x:c>
      <x:c r="D367" s="88" t="n">
        <x:v>0.9063387588403587</x:v>
      </x:c>
      <x:c r="E367" s="88" t="n">
        <x:v>0.7406565915522046</x:v>
      </x:c>
      <x:c r="F367" s="88" t="n">
        <x:v>0.8588481933502877</x:v>
      </x:c>
      <x:c r="G367" s="88" t="n">
        <x:v>0.4556318103277154</x:v>
      </x:c>
      <x:c r="H367" s="88" t="n">
        <x:v>0.8878654637068476</x:v>
      </x:c>
      <x:c r="I367" s="88" t="n">
        <x:f>IF(B367&lt;=$J$5,1,IF(B367&lt;=$J$6,$D$5,$D$5+(1-$D$5)*(B367-$J$6)/($J$7-$J$6)))</x:f>
        <x:v>0.7905027932960894</x:v>
      </x:c>
      <x:c r="J367" s="89" t="n">
        <x:f>IF($B367&lt;=$J$5,C367,C$349+$I367*(C367-C$349))</x:f>
        <x:v>0.7490114246962456</x:v>
      </x:c>
      <x:c r="K367" s="89" t="n">
        <x:f>IF($B367&lt;=$J$5,D367,D$349+$I367*(D367-D$349))</x:f>
        <x:v>0.7549682051428311</x:v>
      </x:c>
      <x:c r="L367" s="89" t="n">
        <x:f>IF($B367&lt;=$J$5,E367,E$349+$I367*(E367-E$349))</x:f>
        <x:v>0.5854911044951786</x:v>
      </x:c>
      <x:c r="M367" s="89" t="n">
        <x:f>IF($B367&lt;=$J$5,F367,F$349+$I367*(F367-F$349))</x:f>
        <x:v>0.6789218958607023</x:v>
      </x:c>
      <x:c r="N367" s="89" t="n">
        <x:f>IF($B367&lt;=$J$5,G367,G$349+$I367*(G367-G$349))</x:f>
        <x:v>0.360178218778613</x:v>
      </x:c>
      <x:c r="O367" s="89" t="n">
        <x:f>IF($B367&lt;=$J$5,H367,H$349+$I367*(H367-H$349))</x:f>
        <x:v>0.7368584480589011</x:v>
      </x:c>
      <x:c r="P367" s="85" t="str">
        <x:v>后段衔接</x:v>
      </x:c>
    </x:row>
    <x:row r="368" ht="26" customHeight="1">
      <x:c r="A368" s="85" t="str">
        <x:v>10-1</x:v>
      </x:c>
      <x:c r="B368" s="85" t="n">
        <x:v>130</x:v>
      </x:c>
      <x:c r="C368" s="88" t="n">
        <x:v>0.8707135348859555</x:v>
      </x:c>
      <x:c r="D368" s="88" t="n">
        <x:v>0.90830704400571</x:v>
      </x:c>
      <x:c r="E368" s="88" t="n">
        <x:v>0.7461066771720354</x:v>
      </x:c>
      <x:c r="F368" s="88" t="n">
        <x:v>0.8618144897996124</x:v>
      </x:c>
      <x:c r="G368" s="88" t="n">
        <x:v>0.46707167402112004</x:v>
      </x:c>
      <x:c r="H368" s="88" t="n">
        <x:v>0.8902219640219919</x:v>
      </x:c>
      <x:c r="I368" s="88" t="n">
        <x:f>IF(B368&lt;=$J$5,1,IF(B368&lt;=$J$6,$D$5,$D$5+(1-$D$5)*(B368-$J$6)/($J$7-$J$6)))</x:f>
        <x:v>0.7918994413407822</x:v>
      </x:c>
      <x:c r="J368" s="89" t="n">
        <x:f>IF($B368&lt;=$J$5,C368,C$349+$I368*(C368-C$349))</x:f>
        <x:v>0.7515505124937499</x:v>
      </x:c>
      <x:c r="K368" s="89" t="n">
        <x:f>IF($B368&lt;=$J$5,D368,D$349+$I368*(D368-D$349))</x:f>
        <x:v>0.7575360260903223</x:v>
      </x:c>
      <x:c r="L368" s="89" t="n">
        <x:f>IF($B368&lt;=$J$5,E368,E$349+$I368*(E368-E$349))</x:f>
        <x:v>0.5908414608331621</x:v>
      </x:c>
      <x:c r="M368" s="89" t="n">
        <x:f>IF($B368&lt;=$J$5,F368,F$349+$I368*(F368-F$349))</x:f>
        <x:v>0.6824704130117043</x:v>
      </x:c>
      <x:c r="N368" s="89" t="n">
        <x:f>IF($B368&lt;=$J$5,G368,G$349+$I368*(G368-G$349))</x:f>
        <x:v>0.3698737977234289</x:v>
      </x:c>
      <x:c r="O368" s="89" t="n">
        <x:f>IF($B368&lt;=$J$5,H368,H$349+$I368*(H368-H$349))</x:f>
        <x:v>0.7397312727796361</x:v>
      </x:c>
      <x:c r="P368" s="85" t="str">
        <x:v>后段衔接</x:v>
      </x:c>
    </x:row>
    <x:row r="369" ht="26" customHeight="1">
      <x:c r="A369" s="85" t="str">
        <x:v>10-15</x:v>
      </x:c>
      <x:c r="B369" s="85" t="n">
        <x:v>144</x:v>
      </x:c>
      <x:c r="C369" s="88" t="n">
        <x:v>0.8982675918246021</x:v>
      </x:c>
      <x:c r="D369" s="88" t="n">
        <x:v>0.9320672866917429</x:v>
      </x:c>
      <x:c r="E369" s="88" t="n">
        <x:v>0.8118976302647831</x:v>
      </x:c>
      <x:c r="F369" s="88" t="n">
        <x:v>0.8976222704786306</x:v>
      </x:c>
      <x:c r="G369" s="88" t="n">
        <x:v>0.6051685018767707</x:v>
      </x:c>
      <x:c r="H369" s="88" t="n">
        <x:v>0.9186685633070649</x:v>
      </x:c>
      <x:c r="I369" s="88" t="n">
        <x:f>IF(B369&lt;=$J$5,1,IF(B369&lt;=$J$6,$D$5,$D$5+(1-$D$5)*(B369-$J$6)/($J$7-$J$6)))</x:f>
        <x:v>0.8114525139664804</x:v>
      </x:c>
      <x:c r="J369" s="89" t="n">
        <x:f>IF($B369&lt;=$J$5,C369,C$349+$I369*(C369-C$349))</x:f>
        <x:v>0.7851058468604888</x:v>
      </x:c>
      <x:c r="K369" s="89" t="n">
        <x:f>IF($B369&lt;=$J$5,D369,D$349+$I369*(D369-D$349))</x:f>
        <x:v>0.7909827391182461</x:v>
      </x:c>
      <x:c r="L369" s="89" t="n">
        <x:f>IF($B369&lt;=$J$5,E369,E$349+$I369*(E369-E$349))</x:f>
        <x:v>0.6588163731617863</x:v>
      </x:c>
      <x:c r="M369" s="89" t="n">
        <x:f>IF($B369&lt;=$J$5,F369,F$349+$I369*(F369-F$349))</x:f>
        <x:v>0.7283778479721849</x:v>
      </x:c>
      <x:c r="N369" s="89" t="n">
        <x:f>IF($B369&lt;=$J$5,G369,G$349+$I369*(G369-G$349))</x:f>
        <x:v>0.49106550222123435</x:v>
      </x:c>
      <x:c r="O369" s="89" t="n">
        <x:f>IF($B369&lt;=$J$5,H369,H$349+$I369*(H369-H$349))</x:f>
        <x:v>0.7769544022322521</x:v>
      </x:c>
      <x:c r="P369" s="85" t="str">
        <x:v>后段衔接</x:v>
      </x:c>
    </x:row>
    <x:row r="370" ht="26" customHeight="1">
      <x:c r="A370" s="85" t="str">
        <x:v>11-1</x:v>
      </x:c>
      <x:c r="B370" s="85" t="n">
        <x:v>145</x:v>
      </x:c>
      <x:c r="C370" s="88" t="n">
        <x:v>0.9000215673411165</x:v>
      </x:c>
      <x:c r="D370" s="88" t="n">
        <x:v>0.9335210013000673</x:v>
      </x:c>
      <x:c r="E370" s="88" t="n">
        <x:v>0.8159228951103615</x:v>
      </x:c>
      <x:c r="F370" s="88" t="n">
        <x:v>0.89981308538539</x:v>
      </x:c>
      <x:c r="G370" s="88" t="n">
        <x:v>0.6136176317391954</x:v>
      </x:c>
      <x:c r="H370" s="88" t="n">
        <x:v>0.9204090016302057</x:v>
      </x:c>
      <x:c r="I370" s="88" t="n">
        <x:f>IF(B370&lt;=$J$5,1,IF(B370&lt;=$J$6,$D$5,$D$5+(1-$D$5)*(B370-$J$6)/($J$7-$J$6)))</x:f>
        <x:v>0.8128491620111732</x:v>
      </x:c>
      <x:c r="J370" s="89" t="n">
        <x:f>IF($B370&lt;=$J$5,C370,C$349+$I370*(C370-C$349))</x:f>
        <x:v>0.787369799537158</x:v>
      </x:c>
      <x:c r="K370" s="89" t="n">
        <x:f>IF($B370&lt;=$J$5,D370,D$349+$I370*(D370-D$349))</x:f>
        <x:v>0.7932094605421927</x:v>
      </x:c>
      <x:c r="L370" s="89" t="n">
        <x:f>IF($B370&lt;=$J$5,E370,E$349+$I370*(E370-E$349))</x:f>
        <x:v>0.6632222415561877</x:v>
      </x:c>
      <x:c r="M370" s="89" t="n">
        <x:f>IF($B370&lt;=$J$5,F370,F$349+$I370*(F370-F$349))</x:f>
        <x:v>0.7314123124222025</x:v>
      </x:c>
      <x:c r="N370" s="89" t="n">
        <x:f>IF($B370&lt;=$J$5,G370,G$349+$I370*(G370-G$349))</x:f>
        <x:v>0.49877857775448564</x:v>
      </x:c>
      <x:c r="O370" s="89" t="n">
        <x:f>IF($B370&lt;=$J$5,H370,H$349+$I370*(H370-H$349))</x:f>
        <x:v>0.7794188505912292</x:v>
      </x:c>
      <x:c r="P370" s="85" t="str">
        <x:v>后段衔接</x:v>
      </x:c>
    </x:row>
    <x:row r="371" ht="26" customHeight="1">
      <x:c r="A371" s="85" t="str">
        <x:v>11-15</x:v>
      </x:c>
      <x:c r="B371" s="85" t="n">
        <x:v>159</x:v>
      </x:c>
      <x:c r="C371" s="88" t="n">
        <x:v>0.9219864561431533</x:v>
      </x:c>
      <x:c r="D371" s="88" t="n">
        <x:v>0.9510695824193273</x:v>
      </x:c>
      <x:c r="E371" s="88" t="n">
        <x:v>0.864514060298257</x:v>
      </x:c>
      <x:c r="F371" s="88" t="n">
        <x:v>0.9262596058292165</x:v>
      </x:c>
      <x:c r="G371" s="88" t="n">
        <x:v>0.7156116819667215</x:v>
      </x:c>
      <x:c r="H371" s="88" t="n">
        <x:v>0.9414187809374951</x:v>
      </x:c>
      <x:c r="I371" s="88" t="n">
        <x:f>IF(B371&lt;=$J$5,1,IF(B371&lt;=$J$6,$D$5,$D$5+(1-$D$5)*(B371-$J$6)/($J$7-$J$6)))</x:f>
        <x:v>0.8324022346368715</x:v>
      </x:c>
      <x:c r="J371" s="89" t="n">
        <x:f>IF($B371&lt;=$J$5,C371,C$349+$I371*(C371-C$349))</x:f>
        <x:v>0.8174230097405344</x:v>
      </x:c>
      <x:c r="K371" s="89" t="n">
        <x:f>IF($B371&lt;=$J$5,D371,D$349+$I371*(D371-D$349))</x:f>
        <x:v>0.8224763533866176</x:v>
      </x:c>
      <x:c r="L371" s="89" t="n">
        <x:f>IF($B371&lt;=$J$5,E371,E$349+$I371*(E371-E$349))</x:f>
        <x:v>0.7196234356672642</x:v>
      </x:c>
      <x:c r="M371" s="89" t="n">
        <x:f>IF($B371&lt;=$J$5,F371,F$349+$I371*(F371-F$349))</x:f>
        <x:v>0.7710205657461076</x:v>
      </x:c>
      <x:c r="N371" s="89" t="n">
        <x:f>IF($B371&lt;=$J$5,G371,G$349+$I371*(G371-G$349))</x:f>
        <x:v>0.5956767632013492</x:v>
      </x:c>
      <x:c r="O371" s="89" t="n">
        <x:f>IF($B371&lt;=$J$5,H371,H$349+$I371*(H371-H$349))</x:f>
        <x:v>0.8116377521234985</x:v>
      </x:c>
      <x:c r="P371" s="85" t="str">
        <x:v>后段衔接</x:v>
      </x:c>
    </x:row>
    <x:row r="372" ht="26" customHeight="1">
      <x:c r="A372" s="85" t="str">
        <x:v>12-1</x:v>
      </x:c>
      <x:c r="B372" s="85" t="n">
        <x:v>160</x:v>
      </x:c>
      <x:c r="C372" s="88" t="n">
        <x:v>0.923384648694891</x:v>
      </x:c>
      <x:c r="D372" s="88" t="n">
        <x:v>0.9521432511131002</x:v>
      </x:c>
      <x:c r="E372" s="88" t="n">
        <x:v>0.8674869965431661</x:v>
      </x:c>
      <x:c r="F372" s="88" t="n">
        <x:v>0.9278776740289632</x:v>
      </x:c>
      <x:c r="G372" s="88" t="n">
        <x:v>0.7218519482273461</x:v>
      </x:c>
      <x:c r="H372" s="88" t="n">
        <x:v>0.9427042149080254</x:v>
      </x:c>
      <x:c r="I372" s="88" t="n">
        <x:f>IF(B372&lt;=$J$5,1,IF(B372&lt;=$J$6,$D$5,$D$5+(1-$D$5)*(B372-$J$6)/($J$7-$J$6)))</x:f>
        <x:v>0.8337988826815642</x:v>
      </x:c>
      <x:c r="J372" s="89" t="n">
        <x:f>IF($B372&lt;=$J$5,C372,C$349+$I372*(C372-C$349))</x:f>
        <x:v>0.819460183181302</x:v>
      </x:c>
      <x:c r="K372" s="89" t="n">
        <x:f>IF($B372&lt;=$J$5,D372,D$349+$I372*(D372-D$349))</x:f>
        <x:v>0.8244431873857949</x:v>
      </x:c>
      <x:c r="L372" s="89" t="n">
        <x:f>IF($B372&lt;=$J$5,E372,E$349+$I372*(E372-E$349))</x:f>
        <x:v>0.7233096884584779</x:v>
      </x:c>
      <x:c r="M372" s="89" t="n">
        <x:f>IF($B372&lt;=$J$5,F372,F$349+$I372*(F372-F$349))</x:f>
        <x:v>0.7736633678705181</x:v>
      </x:c>
      <x:c r="N372" s="89" t="n">
        <x:f>IF($B372&lt;=$J$5,G372,G$349+$I372*(G372-G$349))</x:f>
        <x:v>0.6018793478934715</x:v>
      </x:c>
      <x:c r="O372" s="89" t="n">
        <x:f>IF($B372&lt;=$J$5,H372,H$349+$I372*(H372-H$349))</x:f>
        <x:v>0.8137910541053375</x:v>
      </x:c>
      <x:c r="P372" s="85" t="str">
        <x:v>后段衔接</x:v>
      </x:c>
    </x:row>
    <x:row r="373" ht="26" customHeight="1">
      <x:c r="A373" s="85" t="str">
        <x:v>12-15</x:v>
      </x:c>
      <x:c r="B373" s="85" t="n">
        <x:v>174</x:v>
      </x:c>
      <x:c r="C373" s="88" t="n">
        <x:v>0.9408940971641343</x:v>
      </x:c>
      <x:c r="D373" s="88" t="n">
        <x:v>0.9651040909230515</x:v>
      </x:c>
      <x:c r="E373" s="88" t="n">
        <x:v>0.9033749298124861</x:v>
      </x:c>
      <x:c r="F373" s="88" t="n">
        <x:v>0.9474102569012532</x:v>
      </x:c>
      <x:c r="G373" s="88" t="n">
        <x:v>0.7971816023790599</x:v>
      </x:c>
      <x:c r="H373" s="88" t="n">
        <x:v>0.9582213887577893</x:v>
      </x:c>
      <x:c r="I373" s="88" t="n">
        <x:f>IF(B373&lt;=$J$5,1,IF(B373&lt;=$J$6,$D$5,$D$5+(1-$D$5)*(B373-$J$6)/($J$7-$J$6)))</x:f>
        <x:v>0.8533519553072626</x:v>
      </x:c>
      <x:c r="J373" s="89" t="n">
        <x:f>IF($B373&lt;=$J$5,C373,C$349+$I373*(C373-C$349))</x:f>
        <x:v>0.8466283129763637</x:v>
      </x:c>
      <x:c r="K373" s="89" t="n">
        <x:f>IF($B373&lt;=$J$5,D373,D$349+$I373*(D373-D$349))</x:f>
        <x:v>0.8505268822891359</x:v>
      </x:c>
      <x:c r="L373" s="89" t="n">
        <x:f>IF($B373&lt;=$J$5,E373,E$349+$I373*(E373-E$349))</x:f>
        <x:v>0.7708967627310461</x:v>
      </x:c>
      <x:c r="M373" s="89" t="n">
        <x:f>IF($B373&lt;=$J$5,F373,F$349+$I373*(F373-F$349))</x:f>
        <x:v>0.8084743952048404</x:v>
      </x:c>
      <x:c r="N373" s="89" t="n">
        <x:f>IF($B373&lt;=$J$5,G373,G$349+$I373*(G373-G$349))</x:f>
        <x:v>0.6802764791251475</x:v>
      </x:c>
      <x:c r="O373" s="89" t="n">
        <x:f>IF($B373&lt;=$J$5,H373,H$349+$I373*(H373-H$349))</x:f>
        <x:v>0.8421989189629573</x:v>
      </x:c>
      <x:c r="P373" s="85" t="str">
        <x:v>后段衔接</x:v>
      </x:c>
    </x:row>
    <x:row r="374" ht="26" customHeight="1">
      <x:c r="A374" s="85" t="str">
        <x:v>13-1</x:v>
      </x:c>
      <x:c r="B374" s="85" t="n">
        <x:v>175</x:v>
      </x:c>
      <x:c r="C374" s="88" t="n">
        <x:v>0.9420086751005566</x:v>
      </x:c>
      <x:c r="D374" s="88" t="n">
        <x:v>0.96589706944675</x:v>
      </x:c>
      <x:c r="E374" s="88" t="n">
        <x:v>0.9055706486671092</x:v>
      </x:c>
      <x:c r="F374" s="88" t="n">
        <x:v>0.9486053120795594</x:v>
      </x:c>
      <x:c r="G374" s="88" t="n">
        <x:v>0.8017904702314368</x:v>
      </x:c>
      <x:c r="H374" s="88" t="n">
        <x:v>0.9591707705719139</x:v>
      </x:c>
      <x:c r="I374" s="88" t="n">
        <x:f>IF(B374&lt;=$J$5,1,IF(B374&lt;=$J$6,$D$5,$D$5+(1-$D$5)*(B374-$J$6)/($J$7-$J$6)))</x:f>
        <x:v>0.8547486033519553</x:v>
      </x:c>
      <x:c r="J374" s="89" t="n">
        <x:f>IF($B374&lt;=$J$5,C374,C$349+$I374*(C374-C$349))</x:f>
        <x:v>0.8484787662840645</x:v>
      </x:c>
      <x:c r="K374" s="89" t="n">
        <x:f>IF($B374&lt;=$J$5,D374,D$349+$I374*(D374-D$349))</x:f>
        <x:v>0.8522958910855545</x:v>
      </x:c>
      <x:c r="L374" s="89" t="n">
        <x:f>IF($B374&lt;=$J$5,E374,E$349+$I374*(E374-E$349))</x:f>
        <x:v>0.7740352471847358</x:v>
      </x:c>
      <x:c r="M374" s="89" t="n">
        <x:f>IF($B374&lt;=$J$5,F374,F$349+$I374*(F374-F$349))</x:f>
        <x:v>0.8108190656322491</x:v>
      </x:c>
      <x:c r="N374" s="89" t="n">
        <x:f>IF($B374&lt;=$J$5,G374,G$349+$I374*(G374-G$349))</x:f>
        <x:v>0.6853292846112281</x:v>
      </x:c>
      <x:c r="O374" s="89" t="n">
        <x:f>IF($B374&lt;=$J$5,H374,H$349+$I374*(H374-H$349))</x:f>
        <x:v>0.844115377645436</x:v>
      </x:c>
      <x:c r="P374" s="85" t="str">
        <x:v>后段衔接</x:v>
      </x:c>
    </x:row>
    <x:row r="375" ht="26" customHeight="1">
      <x:c r="A375" s="85" t="str">
        <x:v>13-15</x:v>
      </x:c>
      <x:c r="B375" s="85" t="n">
        <x:v>189</x:v>
      </x:c>
      <x:c r="C375" s="88" t="n">
        <x:v>0.9559664414457545</x:v>
      </x:c>
      <x:c r="D375" s="88" t="n">
        <x:v>0.9754695452747173</x:v>
      </x:c>
      <x:c r="E375" s="88" t="n">
        <x:v>0.9320763673376291</x:v>
      </x:c>
      <x:c r="F375" s="88" t="n">
        <x:v>0.9630314742838924</x:v>
      </x:c>
      <x:c r="G375" s="88" t="n">
        <x:v>0.8574266253008568</x:v>
      </x:c>
      <x:c r="H375" s="88" t="n">
        <x:v>0.9706312757377262</x:v>
      </x:c>
      <x:c r="I375" s="88" t="n">
        <x:f>IF(B375&lt;=$J$5,1,IF(B375&lt;=$J$6,$D$5,$D$5+(1-$D$5)*(B375-$J$6)/($J$7-$J$6)))</x:f>
        <x:v>0.8743016759776536</x:v>
      </x:c>
      <x:c r="J375" s="89" t="n">
        <x:f>IF($B375&lt;=$J$5,C375,C$349+$I375*(C375-C$349))</x:f>
        <x:v>0.8732726294409494</x:v>
      </x:c>
      <x:c r="K375" s="89" t="n">
        <x:f>IF($B375&lt;=$J$5,D375,D$349+$I375*(D375-D$349))</x:f>
        <x:v>0.8759575890630551</x:v>
      </x:c>
      <x:c r="L375" s="89" t="n">
        <x:f>IF($B375&lt;=$J$5,E375,E$349+$I375*(E375-E$349))</x:f>
        <x:v>0.8149159301024522</x:v>
      </x:c>
      <x:c r="M375" s="89" t="n">
        <x:f>IF($B375&lt;=$J$5,F375,F$349+$I375*(F375-F$349))</x:f>
        <x:v>0.8419800319856378</x:v>
      </x:c>
      <x:c r="N375" s="89" t="n">
        <x:f>IF($B375&lt;=$J$5,G375,G$349+$I375*(G375-G$349))</x:f>
        <x:v>0.7496495355284027</x:v>
      </x:c>
      <x:c r="O375" s="89" t="n">
        <x:f>IF($B375&lt;=$J$5,H375,H$349+$I375*(H375-H$349))</x:f>
        <x:v>0.8696235424903282</x:v>
      </x:c>
      <x:c r="P375" s="85" t="str">
        <x:v>后段衔接</x:v>
      </x:c>
    </x:row>
    <x:row r="376" ht="26" customHeight="1">
      <x:c r="A376" s="85" t="str">
        <x:v>14-1</x:v>
      </x:c>
      <x:c r="B376" s="85" t="n">
        <x:v>190</x:v>
      </x:c>
      <x:c r="C376" s="88" t="n">
        <x:v>0.9568549342179522</x:v>
      </x:c>
      <x:c r="D376" s="88" t="n">
        <x:v>0.9760552147113816</x:v>
      </x:c>
      <x:c r="E376" s="88" t="n">
        <x:v>0.9336980574417507</x:v>
      </x:c>
      <x:c r="F376" s="88" t="n">
        <x:v>0.9639141051145466</x:v>
      </x:c>
      <x:c r="G376" s="88" t="n">
        <x:v>0.8608305926948</x:v>
      </x:c>
      <x:c r="H376" s="88" t="n">
        <x:v>0.9713324598122536</x:v>
      </x:c>
      <x:c r="I376" s="88" t="n">
        <x:f>IF(B376&lt;=$J$5,1,IF(B376&lt;=$J$6,$D$5,$D$5+(1-$D$5)*(B376-$J$6)/($J$7-$J$6)))</x:f>
        <x:v>0.8756983240223464</x:v>
      </x:c>
      <x:c r="J376" s="89" t="n">
        <x:f>IF($B376&lt;=$J$5,C376,C$349+$I376*(C376-C$349))</x:f>
        <x:v>0.8749695012058556</x:v>
      </x:c>
      <x:c r="K376" s="89" t="n">
        <x:f>IF($B376&lt;=$J$5,D376,D$349+$I376*(D376-D$349))</x:f>
        <x:v>0.8775761472095249</x:v>
      </x:c>
      <x:c r="L376" s="89" t="n">
        <x:f>IF($B376&lt;=$J$5,E376,E$349+$I376*(E376-E$349))</x:f>
        <x:v>0.8176378240446616</x:v>
      </x:c>
      <x:c r="M376" s="89" t="n">
        <x:f>IF($B376&lt;=$J$5,F376,F$349+$I376*(F376-F$349))</x:f>
        <x:v>0.8440979663503082</x:v>
      </x:c>
      <x:c r="N376" s="89" t="n">
        <x:f>IF($B376&lt;=$J$5,G376,G$349+$I376*(G376-G$349))</x:f>
        <x:v>0.7538279072899995</x:v>
      </x:c>
      <x:c r="O376" s="89" t="n">
        <x:f>IF($B376&lt;=$J$5,H376,H$349+$I376*(H376-H$349))</x:f>
        <x:v>0.8713598763564165</x:v>
      </x:c>
      <x:c r="P376" s="85" t="str">
        <x:v>后段衔接</x:v>
      </x:c>
    </x:row>
    <x:row r="377" ht="26" customHeight="1">
      <x:c r="A377" s="85" t="str">
        <x:v>14-15</x:v>
      </x:c>
      <x:c r="B377" s="85" t="n">
        <x:v>204</x:v>
      </x:c>
      <x:c r="C377" s="88" t="n">
        <x:v>0.9679814549469956</x:v>
      </x:c>
      <x:c r="D377" s="88" t="n">
        <x:v>0.9831251495937386</x:v>
      </x:c>
      <x:c r="E377" s="88" t="n">
        <x:v>0.9532743622952077</x:v>
      </x:c>
      <x:c r="F377" s="88" t="n">
        <x:v>0.9745688227884186</x:v>
      </x:c>
      <x:c r="G377" s="88" t="n">
        <x:v>0.9019217378190614</x:v>
      </x:c>
      <x:c r="H377" s="88" t="n">
        <x:v>0.9797968348284293</x:v>
      </x:c>
      <x:c r="I377" s="88" t="n">
        <x:f>IF(B377&lt;=$J$5,1,IF(B377&lt;=$J$6,$D$5,$D$5+(1-$D$5)*(B377-$J$6)/($J$7-$J$6)))</x:f>
        <x:v>0.8952513966480447</x:v>
      </x:c>
      <x:c r="J377" s="89" t="n">
        <x:f>IF($B377&lt;=$J$5,C377,C$349+$I377*(C377-C$349))</x:f>
        <x:v>0.8978113890594814</x:v>
      </x:c>
      <x:c r="K377" s="89" t="n">
        <x:f>IF($B377&lt;=$J$5,D377,D$349+$I377*(D377-D$349))</x:f>
        <x:v>0.8993966055571208</x:v>
      </x:c>
      <x:c r="L377" s="89" t="n">
        <x:f>IF($B377&lt;=$J$5,E377,E$349+$I377*(E377-E$349))</x:f>
        <x:v>0.8534202042335588</x:v>
      </x:c>
      <x:c r="M377" s="89" t="n">
        <x:f>IF($B377&lt;=$J$5,F377,F$349+$I377*(F377-F$349))</x:f>
        <x:v>0.8724840997309725</x:v>
      </x:c>
      <x:c r="N377" s="89" t="n">
        <x:f>IF($B377&lt;=$J$5,G377,G$349+$I377*(G377-G$349))</x:f>
        <x:v>0.8074466954497462</x:v>
      </x:c>
      <x:c r="O377" s="89" t="n">
        <x:f>IF($B377&lt;=$J$5,H377,H$349+$I377*(H377-H$349))</x:f>
        <x:v>0.89466364427524</x:v>
      </x:c>
      <x:c r="P377" s="85" t="str">
        <x:v>后段衔接</x:v>
      </x:c>
    </x:row>
    <x:row r="378" ht="26" customHeight="1">
      <x:c r="A378" s="85" t="str">
        <x:v>15-1</x:v>
      </x:c>
      <x:c r="B378" s="85" t="n">
        <x:v>205</x:v>
      </x:c>
      <x:c r="C378" s="88" t="n">
        <x:v>0.9686897225166756</x:v>
      </x:c>
      <x:c r="D378" s="88" t="n">
        <x:v>0.9835577069440229</x:v>
      </x:c>
      <x:c r="E378" s="88" t="n">
        <x:v>0.954472092500177</x:v>
      </x:c>
      <x:c r="F378" s="88" t="n">
        <x:v>0.9752207066489804</x:v>
      </x:c>
      <x:c r="G378" s="88" t="n">
        <x:v>0.9044358029626399</x:v>
      </x:c>
      <x:c r="H378" s="88" t="n">
        <x:v>0.9803147077211418</x:v>
      </x:c>
      <x:c r="I378" s="88" t="n">
        <x:f>IF(B378&lt;=$J$5,1,IF(B378&lt;=$J$6,$D$5,$D$5+(1-$D$5)*(B378-$J$6)/($J$7-$J$6)))</x:f>
        <x:v>0.8966480446927374</x:v>
      </x:c>
      <x:c r="J378" s="89" t="n">
        <x:f>IF($B378&lt;=$J$5,C378,C$349+$I378*(C378-C$349))</x:f>
        <x:v>0.8993820566694544</x:v>
      </x:c>
      <x:c r="K378" s="89" t="n">
        <x:f>IF($B378&lt;=$J$5,D378,D$349+$I378*(D378-D$349))</x:f>
        <x:v>0.9009008378466256</x:v>
      </x:c>
      <x:c r="L378" s="89" t="n">
        <x:f>IF($B378&lt;=$J$5,E378,E$349+$I378*(E378-E$349))</x:f>
        <x:v>0.8558255354540693</x:v>
      </x:c>
      <x:c r="M378" s="89" t="n">
        <x:f>IF($B378&lt;=$J$5,F378,F$349+$I378*(F378-F$349))</x:f>
        <x:v>0.874429739760678</x:v>
      </x:c>
      <x:c r="N378" s="89" t="n">
        <x:f>IF($B378&lt;=$J$5,G378,G$349+$I378*(G378-G$349))</x:f>
        <x:v>0.810960594276557</x:v>
      </x:c>
      <x:c r="O378" s="89" t="n">
        <x:f>IF($B378&lt;=$J$5,H378,H$349+$I378*(H378-H$349))</x:f>
        <x:v>0.8962631031992658</x:v>
      </x:c>
      <x:c r="P378" s="85" t="str">
        <x:v>后段衔接</x:v>
      </x:c>
    </x:row>
    <x:row r="379" ht="26" customHeight="1">
      <x:c r="A379" s="85" t="str">
        <x:v>15-15</x:v>
      </x:c>
      <x:c r="B379" s="85" t="n">
        <x:v>219</x:v>
      </x:c>
      <x:c r="C379" s="88" t="n">
        <x:v>0.9775592980971843</x:v>
      </x:c>
      <x:c r="D379" s="88" t="n">
        <x:v>0.9887793424058458</x:v>
      </x:c>
      <x:c r="E379" s="88" t="n">
        <x:v>0.9689305464089076</x:v>
      </x:c>
      <x:c r="F379" s="88" t="n">
        <x:v>0.9830899519203122</x:v>
      </x:c>
      <x:c r="G379" s="88" t="n">
        <x:v>0.9347844531437368</x:v>
      </x:c>
      <x:c r="H379" s="88" t="n">
        <x:v>0.9865662335812942</x:v>
      </x:c>
      <x:c r="I379" s="88" t="n">
        <x:f>IF(B379&lt;=$J$5,1,IF(B379&lt;=$J$6,$D$5,$D$5+(1-$D$5)*(B379-$J$6)/($J$7-$J$6)))</x:f>
        <x:v>0.9162011173184358</x:v>
      </x:c>
      <x:c r="J379" s="89" t="n">
        <x:f>IF($B379&lt;=$J$5,C379,C$349+$I379*(C379-C$349))</x:f>
        <x:v>0.920620632832688</x:v>
      </x:c>
      <x:c r="K379" s="89" t="n">
        <x:f>IF($B379&lt;=$J$5,D379,D$349+$I379*(D379-D$349))</x:f>
        <x:v>0.9213226921364308</x:v>
      </x:c>
      <x:c r="L379" s="89" t="n">
        <x:f>IF($B379&lt;=$J$5,E379,E$349+$I379*(E379-E$349))</x:f>
        <x:v>0.8877352492238036</x:v>
      </x:c>
      <x:c r="M379" s="89" t="n">
        <x:f>IF($B379&lt;=$J$5,F379,F$349+$I379*(F379-F$349))</x:f>
        <x:v>0.9007081123739173</x:v>
      </x:c>
      <x:c r="N379" s="89" t="n">
        <x:f>IF($B379&lt;=$J$5,G379,G$349+$I379*(G379-G$349))</x:f>
        <x:v>0.8564505604221947</x:v>
      </x:c>
      <x:c r="O379" s="89" t="n">
        <x:f>IF($B379&lt;=$J$5,H379,H$349+$I379*(H379-H$349))</x:f>
        <x:v>0.9178924130868269</x:v>
      </x:c>
      <x:c r="P379" s="85" t="str">
        <x:v>后段衔接</x:v>
      </x:c>
    </x:row>
    <x:row r="380" ht="26" customHeight="1">
      <x:c r="A380" s="85" t="str">
        <x:v>16-1</x:v>
      </x:c>
      <x:c r="B380" s="85" t="n">
        <x:v>220</x:v>
      </x:c>
      <x:c r="C380" s="88" t="n">
        <x:v>0.9781238980196111</x:v>
      </x:c>
      <x:c r="D380" s="88" t="n">
        <x:v>0.9890988158998887</x:v>
      </x:c>
      <x:c r="E380" s="88" t="n">
        <x:v>0.9698151529316031</x:v>
      </x:c>
      <x:c r="F380" s="88" t="n">
        <x:v>0.983571413198238</x:v>
      </x:c>
      <x:c r="G380" s="88" t="n">
        <x:v>0.9366412639808216</x:v>
      </x:c>
      <x:c r="H380" s="88" t="n">
        <x:v>0.9869487184989479</x:v>
      </x:c>
      <x:c r="I380" s="88" t="n">
        <x:f>IF(B380&lt;=$J$5,1,IF(B380&lt;=$J$6,$D$5,$D$5+(1-$D$5)*(B380-$J$6)/($J$7-$J$6)))</x:f>
        <x:v>0.9175977653631284</x:v>
      </x:c>
      <x:c r="J380" s="89" t="n">
        <x:f>IF($B380&lt;=$J$5,C380,C$349+$I380*(C380-C$349))</x:f>
        <x:v>0.9220876862142391</x:v>
      </x:c>
      <x:c r="K380" s="89" t="n">
        <x:f>IF($B380&lt;=$J$5,D380,D$349+$I380*(D380-D$349))</x:f>
        <x:v>0.9227401178051475</x:v>
      </x:c>
      <x:c r="L380" s="89" t="n">
        <x:f>IF($B380&lt;=$J$5,E380,E$349+$I380*(E380-E$349))</x:f>
        <x:v>0.8899002171453397</x:v>
      </x:c>
      <x:c r="M380" s="89" t="n">
        <x:f>IF($B380&lt;=$J$5,F380,F$349+$I380*(F380-F$349))</x:f>
        <x:v>0.9025229308257575</x:v>
      </x:c>
      <x:c r="N380" s="89" t="n">
        <x:f>IF($B380&lt;=$J$5,G380,G$349+$I380*(G380-G$349))</x:f>
        <x:v>0.8594599307756979</x:v>
      </x:c>
      <x:c r="O380" s="89" t="n">
        <x:f>IF($B380&lt;=$J$5,H380,H$349+$I380*(H380-H$349))</x:f>
        <x:v>0.9193879440674588</x:v>
      </x:c>
      <x:c r="P380" s="85" t="str">
        <x:v>后段衔接</x:v>
      </x:c>
    </x:row>
    <x:row r="381" ht="26" customHeight="1">
      <x:c r="A381" s="85" t="str">
        <x:v>16-15</x:v>
      </x:c>
      <x:c r="B381" s="85" t="n">
        <x:v>234</x:v>
      </x:c>
      <x:c r="C381" s="88" t="n">
        <x:v>0.9851943356608244</x:v>
      </x:c>
      <x:c r="D381" s="88" t="n">
        <x:v>0.9929553545172686</x:v>
      </x:c>
      <x:c r="E381" s="88" t="n">
        <x:v>0.9804937202606153</x:v>
      </x:c>
      <x:c r="F381" s="88" t="n">
        <x:v>0.9893833946167812</x:v>
      </x:c>
      <x:c r="G381" s="88" t="n">
        <x:v>0.9590558393115753</x:v>
      </x:c>
      <x:c r="H381" s="88" t="n">
        <x:v>0.9915659023436451</x:v>
      </x:c>
      <x:c r="I381" s="88" t="n">
        <x:f>IF(B381&lt;=$J$5,1,IF(B381&lt;=$J$6,$D$5,$D$5+(1-$D$5)*(B381-$J$6)/($J$7-$J$6)))</x:f>
        <x:v>0.9371508379888268</x:v>
      </x:c>
      <x:c r="J381" s="89" t="n">
        <x:f>IF($B381&lt;=$J$5,C381,C$349+$I381*(C381-C$349))</x:f>
        <x:v>0.9420104809996535</x:v>
      </x:c>
      <x:c r="K381" s="89" t="n">
        <x:f>IF($B381&lt;=$J$5,D381,D$349+$I381*(D381-D$349))</x:f>
        <x:v>0.9421004079534558</x:v>
      </x:c>
      <x:c r="L381" s="89" t="n">
        <x:f>IF($B381&lt;=$J$5,E381,E$349+$I381*(E381-E$349))</x:f>
        <x:v>0.918870511585018</x:v>
      </x:c>
      <x:c r="M381" s="89" t="n">
        <x:f>IF($B381&lt;=$J$5,F381,F$349+$I381*(F381-F$349))</x:f>
        <x:v>0.9272014773573466</x:v>
      </x:c>
      <x:c r="N381" s="89" t="n">
        <x:f>IF($B381&lt;=$J$5,G381,G$349+$I381*(G381-G$349))</x:f>
        <x:v>0.8987799834889205</x:v>
      </x:c>
      <x:c r="O381" s="89" t="n">
        <x:f>IF($B381&lt;=$J$5,H381,H$349+$I381*(H381-H$349))</x:f>
        <x:v>0.9397463119807474</x:v>
      </x:c>
      <x:c r="P381" s="85" t="str">
        <x:v>后段衔接</x:v>
      </x:c>
    </x:row>
    <x:row r="382" ht="26" customHeight="1">
      <x:c r="A382" s="85" t="str">
        <x:v>17-1</x:v>
      </x:c>
      <x:c r="B382" s="85" t="n">
        <x:v>235</x:v>
      </x:c>
      <x:c r="C382" s="88" t="n">
        <x:v>0.9856444100197967</x:v>
      </x:c>
      <x:c r="D382" s="88" t="n">
        <x:v>0.9931913077690815</x:v>
      </x:c>
      <x:c r="E382" s="88" t="n">
        <x:v>0.9811470633062769</x:v>
      </x:c>
      <x:c r="F382" s="88" t="n">
        <x:v>0.989738987040778</x:v>
      </x:c>
      <x:c r="G382" s="88" t="n">
        <x:v>0.960427222425303</x:v>
      </x:c>
      <x:c r="H382" s="88" t="n">
        <x:v>0.9918483938860541</x:v>
      </x:c>
      <x:c r="I382" s="88" t="n">
        <x:f>IF(B382&lt;=$J$5,1,IF(B382&lt;=$J$6,$D$5,$D$5+(1-$D$5)*(B382-$J$6)/($J$7-$J$6)))</x:f>
        <x:v>0.9385474860335196</x:v>
      </x:c>
      <x:c r="J382" s="89" t="n">
        <x:f>IF($B382&lt;=$J$5,C382,C$349+$I382*(C382-C$349))</x:f>
        <x:v>0.9433925383724879</x:v>
      </x:c>
      <x:c r="K382" s="89" t="n">
        <x:f>IF($B382&lt;=$J$5,D382,D$349+$I382*(D382-D$349))</x:f>
        <x:v>0.9434519712084066</x:v>
      </x:c>
      <x:c r="L382" s="89" t="n">
        <x:f>IF($B382&lt;=$J$5,E382,E$349+$I382*(E382-E$349))</x:f>
        <x:v>0.9208531096952767</x:v>
      </x:c>
      <x:c r="M382" s="89" t="n">
        <x:f>IF($B382&lt;=$J$5,F382,F$349+$I382*(F382-F$349))</x:f>
        <x:v>0.9289170381164844</x:v>
      </x:c>
      <x:c r="N382" s="89" t="n">
        <x:f>IF($B382&lt;=$J$5,G382,G$349+$I382*(G382-G$349))</x:f>
        <x:v>0.901406555125424</x:v>
      </x:c>
      <x:c r="O382" s="89" t="n">
        <x:f>IF($B382&lt;=$J$5,H382,H$349+$I382*(H382-H$349))</x:f>
        <x:v>0.9411629901602099</x:v>
      </x:c>
      <x:c r="P382" s="85" t="str">
        <x:v>后段衔接</x:v>
      </x:c>
    </x:row>
    <x:row r="383" ht="26" customHeight="1">
      <x:c r="A383" s="85" t="str">
        <x:v>17-15</x:v>
      </x:c>
      <x:c r="B383" s="85" t="n">
        <x:v>249</x:v>
      </x:c>
      <x:c r="C383" s="88" t="n">
        <x:v>0.9912806536015233</x:v>
      </x:c>
      <x:c r="D383" s="88" t="n">
        <x:v>0.9960396280350386</x:v>
      </x:c>
      <x:c r="E383" s="88" t="n">
        <x:v>0.989033923196003</x:v>
      </x:c>
      <x:c r="F383" s="88" t="n">
        <x:v>0.994031536941663</x:v>
      </x:c>
      <x:c r="G383" s="88" t="n">
        <x:v>0.9769819352135153</x:v>
      </x:c>
      <x:c r="H383" s="88" t="n">
        <x:v>0.9952585032149809</x:v>
      </x:c>
      <x:c r="I383" s="88" t="n">
        <x:f>IF(B383&lt;=$J$5,1,IF(B383&lt;=$J$6,$D$5,$D$5+(1-$D$5)*(B383-$J$6)/($J$7-$J$6)))</x:f>
        <x:v>0.9581005586592178</x:v>
      </x:c>
      <x:c r="J383" s="89" t="n">
        <x:f>IF($B383&lt;=$J$5,C383,C$349+$I383*(C383-C$349))</x:f>
        <x:v>0.9622364038392051</x:v>
      </x:c>
      <x:c r="K383" s="89" t="n">
        <x:f>IF($B383&lt;=$J$5,D383,D$349+$I383*(D383-D$349))</x:f>
        <x:v>0.9620071009884934</x:v>
      </x:c>
      <x:c r="L383" s="89" t="n">
        <x:f>IF($B383&lt;=$J$5,E383,E$349+$I383*(E383-E$349))</x:f>
        <x:v>0.9475939543470084</x:v>
      </x:c>
      <x:c r="M383" s="89" t="n">
        <x:f>IF($B383&lt;=$J$5,F383,F$349+$I383*(F383-F$349))</x:f>
        <x:v>0.9523821708686883</x:v>
      </x:c>
      <x:c r="N383" s="89" t="n">
        <x:f>IF($B383&lt;=$J$5,G383,G$349+$I383*(G383-G$349))</x:f>
        <x:v>0.9360469379280327</x:v>
      </x:c>
      <x:c r="O383" s="89" t="n">
        <x:f>IF($B383&lt;=$J$5,H383,H$349+$I383*(H383-H$349))</x:f>
        <x:v>0.9605573917261123</x:v>
      </x:c>
      <x:c r="P383" s="85" t="str">
        <x:v>后段衔接</x:v>
      </x:c>
    </x:row>
    <x:row r="384" ht="26" customHeight="1">
      <x:c r="A384" s="85" t="str">
        <x:v>18-1</x:v>
      </x:c>
      <x:c r="B384" s="85" t="n">
        <x:v>250</x:v>
      </x:c>
      <x:c r="C384" s="88" t="n">
        <x:v>0.9916394331913856</x:v>
      </x:c>
      <x:c r="D384" s="88" t="n">
        <x:v>0.9962138958164958</x:v>
      </x:c>
      <x:c r="E384" s="88" t="n">
        <x:v>0.9895164621829569</x:v>
      </x:c>
      <x:c r="F384" s="88" t="n">
        <x:v>0.9942941665191611</x:v>
      </x:c>
      <x:c r="G384" s="88" t="n">
        <x:v>0.9779947964092045</x:v>
      </x:c>
      <x:c r="H384" s="88" t="n">
        <x:v>0.9954671427399611</x:v>
      </x:c>
      <x:c r="I384" s="88" t="n">
        <x:f>IF(B384&lt;=$J$5,1,IF(B384&lt;=$J$6,$D$5,$D$5+(1-$D$5)*(B384-$J$6)/($J$7-$J$6)))</x:f>
        <x:v>0.9594972067039106</x:v>
      </x:c>
      <x:c r="J384" s="89" t="n">
        <x:f>IF($B384&lt;=$J$5,C384,C$349+$I384*(C384-C$349))</x:f>
        <x:v>0.9635487935122442</x:v>
      </x:c>
      <x:c r="K384" s="89" t="n">
        <x:f>IF($B384&lt;=$J$5,D384,D$349+$I384*(D384-D$349))</x:f>
        <x:v>0.9633087280062382</x:v>
      </x:c>
      <x:c r="L384" s="89" t="n">
        <x:f>IF($B384&lt;=$J$5,E384,E$349+$I384*(E384-E$349))</x:f>
        <x:v>0.9494382814520829</x:v>
      </x:c>
      <x:c r="M384" s="89" t="n">
        <x:f>IF($B384&lt;=$J$5,F384,F$349+$I384*(F384-F$349))</x:f>
        <x:v>0.954022475417128</x:v>
      </x:c>
      <x:c r="N384" s="89" t="n">
        <x:f>IF($B384&lt;=$J$5,G384,G$349+$I384*(G384-G$349))</x:f>
        <x:v>0.9383832753255914</x:v>
      </x:c>
      <x:c r="O384" s="89" t="n">
        <x:f>IF($B384&lt;=$J$5,H384,H$349+$I384*(H384-H$349))</x:f>
        <x:v>0.9619142844838342</x:v>
      </x:c>
      <x:c r="P384" s="85" t="str">
        <x:v>后段衔接</x:v>
      </x:c>
    </x:row>
    <x:row r="385" ht="26" customHeight="1">
      <x:c r="A385" s="85" t="str">
        <x:v>18-15</x:v>
      </x:c>
      <x:c r="B385" s="85" t="n">
        <x:v>264</x:v>
      </x:c>
      <x:c r="C385" s="88" t="n">
        <x:v>0.9961324000096466</x:v>
      </x:c>
      <x:c r="D385" s="88" t="n">
        <x:v>0.9983175771593701</x:v>
      </x:c>
      <x:c r="E385" s="88" t="n">
        <x:v>0.9953414532144016</x:v>
      </x:c>
      <x:c r="F385" s="88" t="n">
        <x:v>0.9974645112475189</x:v>
      </x:c>
      <x:c r="G385" s="88" t="n">
        <x:v>0.990221595777746</x:v>
      </x:c>
      <x:c r="H385" s="88" t="n">
        <x:v>0.9979857441269493</x:v>
      </x:c>
      <x:c r="I385" s="88" t="n">
        <x:f>IF(B385&lt;=$J$5,1,IF(B385&lt;=$J$6,$D$5,$D$5+(1-$D$5)*(B385-$J$6)/($J$7-$J$6)))</x:f>
        <x:v>0.979050279329609</x:v>
      </x:c>
      <x:c r="J385" s="89" t="n">
        <x:f>IF($B385&lt;=$J$5,C385,C$349+$I385*(C385-C$349))</x:f>
        <x:v>0.9815086323964737</x:v>
      </x:c>
      <x:c r="K385" s="89" t="n">
        <x:f>IF($B385&lt;=$J$5,D385,D$349+$I385*(D385-D$349))</x:f>
        <x:v>0.9812535912382414</x:v>
      </x:c>
      <x:c r="L385" s="89" t="n">
        <x:f>IF($B385&lt;=$J$5,E385,E$349+$I385*(E385-E$349))</x:f>
        <x:v>0.9744893277978988</x:v>
      </x:c>
      <x:c r="M385" s="89" t="n">
        <x:f>IF($B385&lt;=$J$5,F385,F$349+$I385*(F385-F$349))</x:f>
        <x:v>0.9765679083582552</x:v>
      </x:c>
      <x:c r="N385" s="89" t="n">
        <x:f>IF($B385&lt;=$J$5,G385,G$349+$I385*(G385-G$349))</x:f>
        <x:v>0.9694767299444134</x:v>
      </x:c>
      <x:c r="O385" s="89" t="n">
        <x:f>IF($B385&lt;=$J$5,H385,H$349+$I385*(H385-H$349))</x:f>
        <x:v>0.9805780534472084</x:v>
      </x:c>
      <x:c r="P385" s="85" t="str">
        <x:v>后段衔接</x:v>
      </x:c>
    </x:row>
    <x:row r="386" ht="26" customHeight="1">
      <x:c r="A386" s="85" t="str">
        <x:v>19-1</x:v>
      </x:c>
      <x:c r="B386" s="85" t="n">
        <x:v>265</x:v>
      </x:c>
      <x:c r="C386" s="88" t="n">
        <x:v>0.9964184034033866</x:v>
      </x:c>
      <x:c r="D386" s="88" t="n">
        <x:v>0.9984462859583415</x:v>
      </x:c>
      <x:c r="E386" s="88" t="n">
        <x:v>0.9956978416009876</x:v>
      </x:c>
      <x:c r="F386" s="88" t="n">
        <x:v>0.9976584813389004</x:v>
      </x:c>
      <x:c r="G386" s="88" t="n">
        <x:v>0.9909696637621507</x:v>
      </x:c>
      <x:c r="H386" s="88" t="n">
        <x:v>0.9981398388336913</x:v>
      </x:c>
      <x:c r="I386" s="88" t="n">
        <x:f>IF(B386&lt;=$J$5,1,IF(B386&lt;=$J$6,$D$5,$D$5+(1-$D$5)*(B386-$J$6)/($J$7-$J$6)))</x:f>
        <x:v>0.9804469273743017</x:v>
      </x:c>
      <x:c r="J386" s="89" t="n">
        <x:f>IF($B386&lt;=$J$5,C386,C$349+$I386*(C386-C$349))</x:f>
        <x:v>0.9827639613859629</x:v>
      </x:c>
      <x:c r="K386" s="89" t="n">
        <x:f>IF($B386&lt;=$J$5,D386,D$349+$I386*(D386-D$349))</x:f>
        <x:v>0.9825173824461275</x:v>
      </x:c>
      <x:c r="L386" s="89" t="n">
        <x:f>IF($B386&lt;=$J$5,E386,E$349+$I386*(E386-E$349))</x:f>
        <x:v>0.9762288893909125</x:v>
      </x:c>
      <x:c r="M386" s="89" t="n">
        <x:f>IF($B386&lt;=$J$5,F386,F$349+$I386*(F386-F$349))</x:f>
        <x:v>0.978151192597637</x:v>
      </x:c>
      <x:c r="N386" s="89" t="n">
        <x:f>IF($B386&lt;=$J$5,G386,G$349+$I386*(G386-G$349))</x:f>
        <x:v>0.9715931619567455</x:v>
      </x:c>
      <x:c r="O386" s="89" t="n">
        <x:f>IF($B386&lt;=$J$5,H386,H$349+$I386*(H386-H$349))</x:f>
        <x:v>0.9818896478409409</x:v>
      </x:c>
      <x:c r="P386" s="85" t="str">
        <x:v>后段衔接</x:v>
      </x:c>
    </x:row>
    <x:row r="387" ht="26" customHeight="1">
      <x:c r="A387" s="85" t="str">
        <x:v>19-15</x:v>
      </x:c>
      <x:c r="B387" s="85" t="n">
        <x:v>279</x:v>
      </x:c>
      <x:c r="C387" s="88" t="n">
        <x:v>1</x:v>
      </x:c>
      <x:c r="D387" s="88" t="n">
        <x:v>1</x:v>
      </x:c>
      <x:c r="E387" s="88" t="n">
        <x:v>1</x:v>
      </x:c>
      <x:c r="F387" s="88" t="n">
        <x:v>0.9999999999999998</x:v>
      </x:c>
      <x:c r="G387" s="88" t="n">
        <x:v>1</x:v>
      </x:c>
      <x:c r="H387" s="88" t="n">
        <x:v>1</x:v>
      </x:c>
      <x:c r="I387" s="88" t="n">
        <x:f>IF(B387&lt;=$J$5,1,IF(B387&lt;=$J$6,$D$5,$D$5+(1-$D$5)*(B387-$J$6)/($J$7-$J$6)))</x:f>
        <x:v>1</x:v>
      </x:c>
      <x:c r="J387" s="89" t="n">
        <x:f>IF($B387&lt;=$J$5,C387,C$349+$I387*(C387-C$349))</x:f>
        <x:v>1</x:v>
      </x:c>
      <x:c r="K387" s="89" t="n">
        <x:f>IF($B387&lt;=$J$5,D387,D$349+$I387*(D387-D$349))</x:f>
        <x:v>1</x:v>
      </x:c>
      <x:c r="L387" s="89" t="n">
        <x:f>IF($B387&lt;=$J$5,E387,E$349+$I387*(E387-E$349))</x:f>
        <x:v>1</x:v>
      </x:c>
      <x:c r="M387" s="89" t="n">
        <x:f>IF($B387&lt;=$J$5,F387,F$349+$I387*(F387-F$349))</x:f>
        <x:v>0.9999999999999998</x:v>
      </x:c>
      <x:c r="N387" s="89" t="n">
        <x:f>IF($B387&lt;=$J$5,G387,G$349+$I387*(G387-G$349))</x:f>
        <x:v>1</x:v>
      </x:c>
      <x:c r="O387" s="89" t="n">
        <x:f>IF($B387&lt;=$J$5,H387,H$349+$I387*(H387-H$349))</x:f>
        <x:v>1</x:v>
      </x:c>
      <x:c r="P387" s="85" t="str">
        <x:v>后段衔接</x:v>
      </x:c>
    </x:row>
  </x:sheetData>
  <x:mergeCells>
    <x:mergeCell ref="A1:J1"/>
    <x:mergeCell ref="A2:J3"/>
    <x:mergeCell ref="A5:C5"/>
    <x:mergeCell ref="F5:I5"/>
    <x:mergeCell ref="A6:D6"/>
    <x:mergeCell ref="F6:I6"/>
    <x:mergeCell ref="F7:I7"/>
    <x:mergeCell ref="A8:J9"/>
    <x:mergeCell ref="A49:N49"/>
    <x:mergeCell ref="A333:P333"/>
  </x:mergeCells>
  <x:conditionalFormatting sqref="A8:J9">
    <x:cfRule type="expression" dxfId="23" priority="1">
      <x:formula>NOT(ISNUMBER(SEARCH("全部节点通过",$A$8)))</x:formula>
    </x:cfRule>
  </x:conditionalFormatting>
  <x:pageMargins left="0.7" right="0.7" top="0.75" bottom="0.75" header="0.3" footer="0.3"/>
  <x:drawing xmlns:r="http://schemas.openxmlformats.org/officeDocument/2006/relationships" r:id="R082c1ffd9f454b8f"/>
  <x:legacyDrawing xmlns:r="http://schemas.openxmlformats.org/officeDocument/2006/relationships" r:id="Re0a5decb5f4b49b6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</x:row>
    <x:row r="2">
      <x:c r="A2" t="str">
        <x:v>以关卡进度做玩家战力预估</x:v>
      </x:c>
      <x:c r="B2"/>
      <x:c r="C2"/>
      <x:c r="D2"/>
      <x:c r="E2" t="str">
        <x:v>基础进度</x:v>
      </x:c>
      <x:c r="F2"/>
      <x:c r="G2" t="str">
        <x:v>角色等级进度</x:v>
      </x:c>
      <x:c r="H2" t="str">
        <x:v>星盘/升星进度</x:v>
      </x:c>
      <x:c r="I2" t="str">
        <x:v>收容物进度</x:v>
      </x:c>
      <x:c r="J2" t="str">
        <x:v>映射装备进度</x:v>
      </x:c>
      <x:c r="K2" t="str">
        <x:v>旅券进度</x:v>
      </x:c>
      <x:c r="L2" t="str">
        <x:v>房车进度</x:v>
      </x:c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 t="str">
        <x:v>预计bossTTK</x:v>
      </x:c>
      <x:c r="AN2"/>
      <x:c r="AO2"/>
      <x:c r="AP2"/>
      <x:c r="AQ2"/>
      <x:c r="AR2" t="str">
        <x:v>战力计算参数（当前配置）</x:v>
      </x:c>
      <x:c r="AS2"/>
      <x:c r="AT2"/>
      <x:c r="AU2"/>
    </x:row>
    <x:row r="3">
      <x:c r="A3" t="str">
        <x:v>以主线作为标准</x:v>
      </x:c>
      <x:c r="B3"/>
      <x:c r="C3"/>
      <x:c r="D3" t="str">
        <x:v>起始进度</x:v>
      </x:c>
      <x:c r="E3" t="n">
        <x:v>1</x:v>
      </x:c>
      <x:c r="F3"/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 t="n">
        <x:v>35</x:v>
      </x:c>
      <x:c r="AN3"/>
      <x:c r="AO3"/>
      <x:c r="AP3"/>
      <x:c r="AQ3"/>
      <x:c r="AR3" t="str">
        <x:v>生命战力系数</x:v>
      </x:c>
      <x:c r="AS3" t="n">
        <x:v>0.03</x:v>
      </x:c>
      <x:c r="AT3" t="str">
        <x:v>满投放能量回复</x:v>
      </x:c>
      <x:c r="AU3" t="n">
        <x:v>1.2</x:v>
      </x:c>
    </x:row>
    <x:row r="4">
      <x:c r="A4" t="str">
        <x:v>预计达到上限的章节</x:v>
      </x:c>
      <x:c r="B4"/>
      <x:c r="C4" t="n">
        <x:v>20</x:v>
      </x:c>
      <x:c r="D4" t="str">
        <x:v>结束进度</x:v>
      </x:c>
      <x:c r="E4" t="n">
        <x:v>1</x:v>
      </x:c>
      <x:c r="F4"/>
      <x:c r="G4" t="n">
        <x:v>0.9</x:v>
      </x:c>
      <x:c r="H4" t="n">
        <x:v>0.7</x:v>
      </x:c>
      <x:c r="I4" t="n">
        <x:v>0.65</x:v>
      </x:c>
      <x:c r="J4" t="n">
        <x:v>0.6</x:v>
      </x:c>
      <x:c r="K4" t="n">
        <x:v>0.65</x:v>
      </x:c>
      <x:c r="L4" t="n">
        <x:v>0.7</x:v>
      </x:c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 t="n">
        <x:v>55</x:v>
      </x:c>
      <x:c r="AN4"/>
      <x:c r="AO4"/>
      <x:c r="AP4"/>
      <x:c r="AQ4"/>
      <x:c r="AR4" t="str">
        <x:v>攻击战力系数</x:v>
      </x:c>
      <x:c r="AS4" t="n">
        <x:v>0.1</x:v>
      </x:c>
      <x:c r="AT4" t="str">
        <x:v>满投放冷却缩减</x:v>
      </x:c>
      <x:c r="AU4" t="n">
        <x:v>0.6</x:v>
      </x:c>
    </x:row>
    <x:row r="5">
      <x:c r="A5" t="str">
        <x:v>预计达到上限的关卡</x:v>
      </x:c>
      <x:c r="B5"/>
      <x:c r="C5" t="n">
        <x:f>4+8+12+15*(C4-3)</x:f>
        <x:v>279</x:v>
      </x:c>
      <x:c r="D5" t="str">
        <x:v>函数参数1</x:v>
      </x:c>
      <x:c r="E5" t="n">
        <x:v>0.999999</x:v>
      </x:c>
      <x:c r="F5"/>
      <x:c r="G5" t="n">
        <x:v>0.985</x:v>
      </x:c>
      <x:c r="H5" t="n">
        <x:v>0.98</x:v>
      </x:c>
      <x:c r="I5" t="n">
        <x:v>0.98</x:v>
      </x:c>
      <x:c r="J5" t="n">
        <x:v>0.98</x:v>
      </x:c>
      <x:c r="K5" t="n">
        <x:v>0.98</x:v>
      </x:c>
      <x:c r="L5" t="n">
        <x:v>0.98</x:v>
      </x:c>
      <x:c r="M5"/>
      <x:c r="N5"/>
      <x:c r="O5"/>
      <x:c r="P5"/>
      <x:c r="Q5"/>
      <x:c r="R5"/>
      <x:c r="S5"/>
      <x:c r="T5"/>
      <x:c r="U5"/>
      <x:c r="V5"/>
      <x:c r="W5"/>
      <x:c r="X5"/>
      <x:c r="Y5"/>
      <x:c r="Z5" t="n">
        <x:v>1.2</x:v>
      </x:c>
      <x:c r="AA5" t="n">
        <x:v>1</x:v>
      </x:c>
      <x:c r="AB5" t="n">
        <x:v>1</x:v>
      </x:c>
      <x:c r="AC5" t="n">
        <x:v>1</x:v>
      </x:c>
      <x:c r="AD5"/>
      <x:c r="AE5"/>
      <x:c r="AF5"/>
      <x:c r="AG5"/>
      <x:c r="AH5"/>
      <x:c r="AI5"/>
      <x:c r="AJ5"/>
      <x:c r="AK5"/>
      <x:c r="AL5" t="str">
        <x:v>单位时间伤害上限</x:v>
      </x:c>
      <x:c r="AM5" t="n">
        <x:v>1.01</x:v>
      </x:c>
      <x:c r="AN5"/>
      <x:c r="AO5"/>
      <x:c r="AP5"/>
      <x:c r="AQ5"/>
      <x:c r="AR5" t="str">
        <x:v>防御战力系数</x:v>
      </x:c>
      <x:c r="AS5" t="n">
        <x:v>0.15</x:v>
      </x:c>
      <x:c r="AT5"/>
      <x:c r="AU5"/>
    </x:row>
    <x:row r="6">
      <x:c r="A6"/>
      <x:c r="B6"/>
      <x:c r="C6"/>
      <x:c r="D6" t="str">
        <x:v>函数参数2</x:v>
      </x:c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 t="n">
        <x:f>MAX(AL12:AL290)</x:f>
        <x:v>2497204.4717253875</x:v>
      </x:c>
      <x:c r="AM6"/>
      <x:c r="AN6"/>
      <x:c r="AO6"/>
      <x:c r="AP6"/>
      <x:c r="AQ6"/>
      <x:c r="AR6" t="str">
        <x:v>暴击战力系数</x:v>
      </x:c>
      <x:c r="AS6" t="n">
        <x:v>5.5556</x:v>
      </x:c>
      <x:c r="AT6"/>
      <x:c r="AU6"/>
    </x:row>
    <x:row r="7">
      <x:c r="A7"/>
      <x:c r="B7"/>
      <x:c r="C7"/>
      <x:c r="D7" t="str">
        <x:v>函数参数3</x:v>
      </x:c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 t="str">
        <x:v>暴伤战力系数</x:v>
      </x:c>
      <x:c r="AS7" t="n">
        <x:v>1.8519</x:v>
      </x:c>
      <x:c r="AT7"/>
      <x:c r="AU7"/>
    </x:row>
    <x:row r="8">
      <x:c r="A8"/>
      <x:c r="B8"/>
      <x:c r="C8"/>
      <x:c r="D8" t="str">
        <x:v>起始关卡</x:v>
      </x:c>
      <x:c r="E8" t="n">
        <x:v>1</x:v>
      </x:c>
      <x:c r="F8"/>
      <x:c r="G8" t="n">
        <x:v>1</x:v>
      </x:c>
      <x:c r="H8" t="n">
        <x:v>14</x:v>
      </x:c>
      <x:c r="I8" t="n">
        <x:v>64</x:v>
      </x:c>
      <x:c r="J8" t="n">
        <x:v>30</x:v>
      </x:c>
      <x:c r="K8" t="n">
        <x:v>100</x:v>
      </x:c>
      <x:c r="L8" t="n">
        <x:v>15</x:v>
      </x:c>
      <x:c r="M8"/>
      <x:c r="N8"/>
      <x:c r="O8"/>
      <x:c r="P8"/>
      <x:c r="Q8"/>
      <x:c r="R8"/>
      <x:c r="S8"/>
      <x:c r="T8"/>
      <x:c r="U8"/>
      <x:c r="V8" t="n">
        <x:v>0.7</x:v>
      </x:c>
      <x:c r="W8" t="n">
        <x:v>0</x:v>
      </x:c>
      <x:c r="X8" t="n">
        <x:v>0.275</x:v>
      </x:c>
      <x:c r="Y8" t="n">
        <x:v>1</x:v>
      </x:c>
      <x:c r="Z8" t="n">
        <x:v>1</x:v>
      </x:c>
      <x:c r="AA8" t="n">
        <x:v>1</x:v>
      </x:c>
      <x:c r="AB8" t="n">
        <x:v>1</x:v>
      </x:c>
      <x:c r="AC8" t="n">
        <x:v>1</x:v>
      </x:c>
      <x:c r="AD8"/>
      <x:c r="AE8"/>
      <x:c r="AF8"/>
      <x:c r="AG8"/>
      <x:c r="AH8"/>
      <x:c r="AI8"/>
      <x:c r="AJ8"/>
      <x:c r="AK8"/>
      <x:c r="AL8"/>
      <x:c r="AM8" t="n">
        <x:v>1</x:v>
      </x:c>
      <x:c r="AN8"/>
      <x:c r="AO8"/>
      <x:c r="AP8"/>
      <x:c r="AQ8"/>
      <x:c r="AR8" t="str">
        <x:v>增伤战力系数</x:v>
      </x:c>
      <x:c r="AS8" t="n">
        <x:v>3.0303</x:v>
      </x:c>
      <x:c r="AT8"/>
      <x:c r="AU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 t="n">
        <x:f>'模块规划'!$M$25</x:f>
        <x:v>3.8000000000000003</x:v>
      </x:c>
      <x:c r="P9"/>
      <x:c r="Q9"/>
      <x:c r="R9"/>
      <x:c r="S9"/>
      <x:c r="T9" t="n">
        <x:f>'模块规划'!$M$25</x:f>
        <x:v>3.8000000000000003</x:v>
      </x:c>
      <x:c r="U9"/>
      <x:c r="V9" t="n">
        <x:v>1</x:v>
      </x:c>
      <x:c r="W9" t="n">
        <x:v>0.4</x:v>
      </x:c>
      <x:c r="X9" t="n">
        <x:v>0.55</x:v>
      </x:c>
      <x:c r="Y9" t="n">
        <x:v>1</x:v>
      </x:c>
      <x:c r="Z9" t="n">
        <x:v>1</x:v>
      </x:c>
      <x:c r="AA9" t="n">
        <x:v>1</x:v>
      </x:c>
      <x:c r="AB9" t="n">
        <x:v>1</x:v>
      </x:c>
      <x:c r="AC9" t="n">
        <x:v>1</x:v>
      </x:c>
      <x:c r="AD9"/>
      <x:c r="AE9" t="n">
        <x:v>0</x:v>
      </x:c>
      <x:c r="AF9" t="n">
        <x:v>0.307692307692308</x:v>
      </x:c>
      <x:c r="AG9" t="n">
        <x:v>0.54529914529915</x:v>
      </x:c>
      <x:c r="AH9" t="n">
        <x:v>0.7</x:v>
      </x:c>
      <x:c r="AI9" t="n">
        <x:v>1.95</x:v>
      </x:c>
      <x:c r="AJ9" t="n">
        <x:v>1.6</x:v>
      </x:c>
      <x:c r="AK9"/>
      <x:c r="AL9"/>
      <x:c r="AM9"/>
      <x:c r="AN9"/>
      <x:c r="AO9"/>
      <x:c r="AP9"/>
      <x:c r="AQ9"/>
      <x:c r="AR9" t="str">
        <x:v>能量回复战力系数</x:v>
      </x:c>
      <x:c r="AS9" t="n">
        <x:v>3.0303</x:v>
      </x:c>
      <x:c r="AT9"/>
      <x:c r="AU9"/>
    </x:row>
    <x:row r="10">
      <x:c r="A10"/>
      <x:c r="B10"/>
      <x:c r="C10"/>
      <x:c r="D10"/>
      <x:c r="E10"/>
      <x:c r="F10"/>
      <x:c r="G10"/>
      <x:c r="H10" t="n">
        <x:f>'模块规划'!V13+'模块规划'!V14</x:f>
        <x:v>0.12</x:v>
      </x:c>
      <x:c r="I10" t="n">
        <x:f>'模块规划'!V15</x:f>
        <x:v>0.06</x:v>
      </x:c>
      <x:c r="J10" t="n">
        <x:f>'模块规划'!V17</x:f>
        <x:v>0.55</x:v>
      </x:c>
      <x:c r="K10" t="n">
        <x:f>'模块规划'!V16</x:f>
        <x:v>0.21000000000000002</x:v>
      </x:c>
      <x:c r="L10" t="n">
        <x:f>'模块规划'!V18+'模块规划'!V19</x:f>
        <x:v>0.15</x:v>
      </x:c>
      <x:c r="M10" t="str">
        <x:v>裸体基础属性</x:v>
      </x:c>
      <x:c r="N10" t="str">
        <x:v>额外基础属性</x:v>
      </x:c>
      <x:c r="O10" t="str">
        <x:v>基础属性百分比</x:v>
      </x:c>
      <x:c r="P10" t="str">
        <x:v>算百分比后基础</x:v>
      </x:c>
      <x:c r="Q10"/>
      <x:c r="R10" t="str">
        <x:v>裸体基础属性</x:v>
      </x:c>
      <x:c r="S10" t="str">
        <x:v>额外基础属性</x:v>
      </x:c>
      <x:c r="T10" t="str">
        <x:v>基础属性百分比</x:v>
      </x:c>
      <x:c r="U10" t="str">
        <x:v>算百分比后基础</x:v>
      </x:c>
      <x:c r="V10"/>
      <x:c r="W10"/>
      <x:c r="X10"/>
      <x:c r="Y10" t="str">
        <x:v>战斗内效果</x:v>
      </x:c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 t="str">
        <x:v>冷却缩减战力系数</x:v>
      </x:c>
      <x:c r="AS10" t="n">
        <x:v>4</x:v>
      </x:c>
      <x:c r="AT10"/>
      <x:c r="AU10"/>
    </x:row>
    <x:row r="11">
      <x:c r="A11" t="str">
        <x:v>玩家等级</x:v>
      </x:c>
      <x:c r="B11" t="str">
        <x:v>关卡id</x:v>
      </x:c>
      <x:c r="C11" t="str">
        <x:v>章节</x:v>
      </x:c>
      <x:c r="D11" t="str">
        <x:v>关卡</x:v>
      </x:c>
      <x:c r="E11" t="str">
        <x:v>基础进度</x:v>
      </x:c>
      <x:c r="F11" t="str">
        <x:v>有效人数系数</x:v>
      </x:c>
      <x:c r="G11" t="str">
        <x:v>角色等级进度</x:v>
      </x:c>
      <x:c r="H11" t="str">
        <x:v>星盘/升星进度</x:v>
      </x:c>
      <x:c r="I11" t="str">
        <x:v>收容物进度</x:v>
      </x:c>
      <x:c r="J11" t="str">
        <x:v>映射装备进度</x:v>
      </x:c>
      <x:c r="K11" t="str">
        <x:v>旅券进度</x:v>
      </x:c>
      <x:c r="L11" t="str">
        <x:v>房车进度</x:v>
      </x:c>
      <x:c r="M11" t="str">
        <x:v>防御</x:v>
      </x:c>
      <x:c r="N11" t="str">
        <x:v>防御</x:v>
      </x:c>
      <x:c r="O11" t="str">
        <x:v>防御%</x:v>
      </x:c>
      <x:c r="P11" t="str">
        <x:v>防御</x:v>
      </x:c>
      <x:c r="Q11" t="str">
        <x:v>减伤率</x:v>
      </x:c>
      <x:c r="R11" t="str">
        <x:v>攻击</x:v>
      </x:c>
      <x:c r="S11" t="str">
        <x:v>攻击</x:v>
      </x:c>
      <x:c r="T11" t="str">
        <x:v>攻击%</x:v>
      </x:c>
      <x:c r="U11" t="str">
        <x:v>攻击</x:v>
      </x:c>
      <x:c r="V11" t="str">
        <x:v>普攻系数倍率</x:v>
      </x:c>
      <x:c r="W11" t="str">
        <x:v>技能系数倍率</x:v>
      </x:c>
      <x:c r="X11" t="str">
        <x:v>必杀系数倍率</x:v>
      </x:c>
      <x:c r="Y11" t="str">
        <x:v>角色天赋倍率</x:v>
      </x:c>
      <x:c r="Z11" t="str">
        <x:v>星盘/升星天赋倍率</x:v>
      </x:c>
      <x:c r="AA11" t="str">
        <x:v>收容物天赋倍率</x:v>
      </x:c>
      <x:c r="AB11" t="str">
        <x:v>映射装备天赋倍率</x:v>
      </x:c>
      <x:c r="AC11" t="str">
        <x:v>旅券/房车天赋倍率</x:v>
      </x:c>
      <x:c r="AD11" t="str">
        <x:v>战斗内总倍率</x:v>
      </x:c>
      <x:c r="AE11" t="str">
        <x:v>攻速倍率</x:v>
      </x:c>
      <x:c r="AF11" t="str">
        <x:v>技能倍率</x:v>
      </x:c>
      <x:c r="AG11" t="str">
        <x:v>必杀倍率</x:v>
      </x:c>
      <x:c r="AH11" t="str">
        <x:v>暴击</x:v>
      </x:c>
      <x:c r="AI11" t="str">
        <x:v>暴击伤害</x:v>
      </x:c>
      <x:c r="AJ11" t="str">
        <x:v>增伤倍率</x:v>
      </x:c>
      <x:c r="AK11" t="str">
        <x:v>养成总倍率</x:v>
      </x:c>
      <x:c r="AL11" t="str">
        <x:v>标准玩家DPS</x:v>
      </x:c>
      <x:c r="AM11" t="str">
        <x:v>预计bossTTK</x:v>
      </x:c>
      <x:c r="AN11" t="str">
        <x:v>玩家队伍EHP</x:v>
      </x:c>
      <x:c r="AO11" t="str">
        <x:v>Boss目标EHP</x:v>
      </x:c>
      <x:c r="AP11" t="str">
        <x:v>怪物等级</x:v>
      </x:c>
      <x:c r="AQ11" t="str">
        <x:v>实际上阵人数</x:v>
      </x:c>
      <x:c r="AR11" t="str">
        <x:v>单人基础战力</x:v>
      </x:c>
      <x:c r="AS11" t="str">
        <x:v>二级属性倍率</x:v>
      </x:c>
      <x:c r="AT11" t="str">
        <x:v>单人战力</x:v>
      </x:c>
      <x:c r="AU11" t="str">
        <x:v>预估队伍战力</x:v>
      </x:c>
    </x:row>
    <x:row r="12">
      <x:c r="A12" t="n">
        <x:f>IFERROR(XLOOKUP(B12,'_曲线基线'!$G$3:$G$107,'_曲线基线'!$J$3:$J$107,""),"")</x:f>
        <x:v>1</x:v>
      </x:c>
      <x:c r="B12" t="n" cm="1">
        <x:f t="array" ref="B12:B290">SEQUENCE(C5,1,1,1)</x:f>
        <x:v>1</x:v>
      </x:c>
      <x:c r="C12" t="n">
        <x:v>0</x:v>
      </x:c>
      <x:c r="D12" t="n">
        <x:v>1</x:v>
      </x:c>
      <x:c r="E12" t="n">
        <x:f>IF($B12&lt;E$8,0,E$3+(E$4-E$3)*(POWER(E$5,$B12-E$8)-1)/(POWER(E$5,$C$5-E$8)-1))</x:f>
        <x:v>1</x:v>
      </x:c>
      <x:c r="F12" t="n">
        <x:f>1+IF(B12&lt;3,0,MIN(1,(B12-2)/4))+IF(B12&lt;7,0,MIN(1,(B12-6)/3))+IF(B12&lt;10,0,MIN(1,(B12-9)/5))+IF(B12&lt;20,0,MIN(1,(B12-19)/10))</x:f>
        <x:v>1</x:v>
      </x:c>
      <x:c r="G12" t="n">
        <x:f>IF($B12&lt;G$8,0,G$3+(G$4-G$3)*(POWER(G$5,$B12-G$8)-1)/(POWER(G$5,$C$5-G$8)-1))</x:f>
        <x:v>0</x:v>
      </x:c>
      <x:c r="H12" t="n">
        <x:f>IF($B12&lt;H$8,0,H$3+(H$4-H$3)*(POWER(H$5,$B12-H$8)-1)/(POWER(H$5,$C$5-H$8)-1))</x:f>
        <x:v>0</x:v>
      </x:c>
      <x:c r="I12" t="n">
        <x:f>IF($B12&lt;I$8,0,I$3+(I$4-I$3)*(POWER(I$5,$B12-I$8)-1)/(POWER(I$5,$C$5-I$8)-1))</x:f>
        <x:v>0</x:v>
      </x:c>
      <x:c r="J12" t="n">
        <x:f>IF($B12&lt;J$8,0,J$3+(J$4-J$3)*(POWER(J$5,$B12-J$8)-1)/(POWER(J$5,$C$5-J$8)-1))</x:f>
        <x:v>0</x:v>
      </x:c>
      <x:c r="K12" t="n">
        <x:f>IF($B12&lt;K$8,0,K$3+(K$4-K$3)*(POWER(K$5,$B12-K$8)-1)/(POWER(K$5,$C$5-K$8)-1))</x:f>
        <x:v>0</x:v>
      </x:c>
      <x:c r="L12" t="n">
        <x:f>IF($B12&lt;L$8,0,L$3+(L$4-L$3)*(POWER(L$5,$B12-L$8)-1)/(POWER(L$5,$C$5-L$8)-1))</x:f>
        <x:v>0</x:v>
      </x:c>
      <x:c r="M12" t="n">
        <x:f>E12*'模块规划'!$F$10+G12*'模块规划'!$F$11+H12*'模块规划'!$F$13</x:f>
        <x:v>1000</x:v>
      </x:c>
      <x:c r="N12" t="n">
        <x:f>I12*'模块规划'!$F$15+J12*'模块规划'!$F$17+K12*'模块规划'!$F$16+L12*'模块规划'!$F$18</x:f>
        <x:v>0</x:v>
      </x:c>
      <x:c r="O12" t="n">
        <x:f>1+O$9*SUMPRODUCT($H$10:$L$10,H12:L12)/SUM($H$10:$L$10)</x:f>
        <x:v>1</x:v>
      </x:c>
      <x:c r="P12" t="n">
        <x:f>M12*O12+N12</x:f>
        <x:v>1000</x:v>
      </x:c>
      <x:c r="Q12" t="n">
        <x:f>P12/(P12+'_曲线基线'!$L$2)</x:f>
        <x:v>0.04</x:v>
      </x:c>
      <x:c r="R12" t="n">
        <x:f>E12*'模块规划'!$E$10+G12*'模块规划'!$E$11+H12*'模块规划'!$E$13</x:f>
        <x:v>1500</x:v>
      </x:c>
      <x:c r="S12" t="n">
        <x:f>I12*'模块规划'!$E$15+J12*'模块规划'!$E$17+K12*'模块规划'!$E$16+L12*'模块规划'!$E$18</x:f>
        <x:v>0</x:v>
      </x:c>
      <x:c r="T12" t="n">
        <x:f>1+T$9*SUMPRODUCT($H$10:$L$10,H12:L12)/SUM($H$10:$L$10)</x:f>
        <x:v>1</x:v>
      </x:c>
      <x:c r="U12" t="n">
        <x:f>R12*T12+S12</x:f>
        <x:v>1500</x:v>
      </x:c>
      <x:c r="V12" t="n">
        <x:f>V$8+(V$9-V$8)*H12</x:f>
        <x:v>0.7</x:v>
      </x:c>
      <x:c r="W12" t="n">
        <x:f>IF(B12&lt;$H$8,0,W$8+(W$9-W$8)*H12)</x:f>
        <x:v>0</x:v>
      </x:c>
      <x:c r="X12" t="n">
        <x:f>X$8+(X$9-X$8)*H12</x:f>
        <x:v>0.275</x:v>
      </x:c>
      <x:c r="Y12" t="n">
        <x:f>Y$8+(Y$9-Y$8)*G12</x:f>
        <x:v>1</x:v>
      </x:c>
      <x:c r="Z12" t="n">
        <x:f>Z$8+(Z$9-Z$8)*H12</x:f>
        <x:v>1</x:v>
      </x:c>
      <x:c r="AA12" t="n">
        <x:f>AA$8+(AA$9-AA$8)*I12</x:f>
        <x:v>1</x:v>
      </x:c>
      <x:c r="AB12" t="n">
        <x:f>AB$8+(AB$9-AB$8)*J12</x:f>
        <x:v>1</x:v>
      </x:c>
      <x:c r="AC12" t="n">
        <x:f>AC$8+(AC$9-AC$8)*MAX(K12,L12)</x:f>
        <x:v>1</x:v>
      </x:c>
      <x:c r="AD12" t="n">
        <x:f>(V12*AE12+W12*AF12+X12*AG12)*PRODUCT(Y12:AC12)</x:f>
        <x:v>0.975</x:v>
      </x:c>
      <x:c r="AE12" t="n">
        <x:f>1+AE$9*($H$10*H12+$I$10*I12+$J$10*J12+$K$10*K12+$L$10*L12)</x:f>
        <x:v>1</x:v>
      </x:c>
      <x:c r="AF12" t="n">
        <x:f>1+AF$9*($H$10*H12+$I$10*I12+$J$10*J12+$K$10*K12+$L$10*L12)</x:f>
        <x:v>1</x:v>
      </x:c>
      <x:c r="AG12" t="n">
        <x:f>1+AG$9*($H$10*H12+$I$10*I12+$J$10*J12+$K$10*K12+$L$10*L12)</x:f>
        <x:v>1</x:v>
      </x:c>
      <x:c r="AH12" t="n">
        <x:f>MIN(1,'_曲线基线'!$L$3+AH$9*($H$10*H12+$I$10*I12+$J$10*J12+$K$10*K12+$L$10*L12))</x:f>
        <x:v>0.05</x:v>
      </x:c>
      <x:c r="AI12" t="n">
        <x:f>'_曲线基线'!$L$4+AI$9*($H$10*H12+$I$10*I12+$J$10*J12+$K$10*K12+$L$10*L12)</x:f>
        <x:v>2</x:v>
      </x:c>
      <x:c r="AJ12" t="n">
        <x:f>1+AJ$9*($H$10*H12+$I$10*I12+$J$10*J12+$K$10*K12+$L$10*L12)</x:f>
        <x:v>1</x:v>
      </x:c>
      <x:c r="AK12" t="n">
        <x:f>(1+AH12*(AI12-1))*AJ12</x:f>
        <x:v>1.05</x:v>
      </x:c>
      <x:c r="AL12" t="n">
        <x:f>U12*AD12*AK12*F12</x:f>
        <x:v>1535.625</x:v>
      </x:c>
      <x:c r="AM12" t="n">
        <x:f>IF($B12&lt;AM$8,0,AM$3+(AM$4-AM$3)*(POWER(AM$5,$B12-AM$8)-1)/(POWER(AM$5,$C$5-AM$8)-1))</x:f>
        <x:v>35</x:v>
      </x:c>
      <x:c r="AN12" t="n">
        <x:f>(((E12*'模块规划'!$D$10+G12*'模块规划'!$D$11+H12*'模块规划'!$D$13)*(1+'模块规划'!$G$14*H12)+(I12*'模块规划'!$D$15+J12*'模块规划'!$D$17+K12*'模块规划'!$D$16+L12*'模块规划'!$D$18))*(1+'模块规划'!$J$17*J12))*F12/(1-Q12)</x:f>
        <x:v>5208.333333333334</x:v>
      </x:c>
      <x:c r="AO12" t="n">
        <x:f>AL12*AM12</x:f>
        <x:v>53746.875</x:v>
      </x:c>
      <x:c r="AP12" t="n">
        <x:f>IF(AO12="","",INDEX('_曲线基线'!$A$3:$A$502,MIN(ROWS('_曲线基线'!$A$3:$A$502),COUNTIF('_曲线基线'!$E$3:$E$502,"&lt;"&amp;AO12)+1)))</x:f>
        <x:v>5</x:v>
      </x:c>
      <x:c r="AQ12" t="n">
        <x:f>IF(B12&lt;=2,1,IF(B12&lt;=6,2,IF(B12&lt;=9,3,IF(B12&lt;=19,4,5))))</x:f>
        <x:v>1</x:v>
      </x:c>
      <x:c r="AR12" t="n">
        <x:f>AN12*(1-Q12)/F12*$AS$3+U12*$AS$4+P12*$AS$5</x:f>
        <x:v>450</x:v>
      </x:c>
      <x:c r="AS12" t="n">
        <x:f>1+AH12*$AS$6+AI12*$AS$7+(AJ12-1)*$AS$8+($H$10*H12+$I$10*I12+$J$10*J12+$K$10*K12+$L$10*L12)*$AU$3*$AS$9+($H$10*H12+$I$10*I12+$J$10*J12+$K$10*K12+$L$10*L12)*$AU$4*$AS$10</x:f>
        <x:v>4.98158</x:v>
      </x:c>
      <x:c r="AT12" t="n">
        <x:f>ROUND(AR12*AS12,0)</x:f>
        <x:v>2242</x:v>
      </x:c>
      <x:c r="AU12" t="n">
        <x:f>ROUND(AT12*F12,0)</x:f>
        <x:v>2242</x:v>
      </x:c>
    </x:row>
    <x:row r="13">
      <x:c r="A13" t="n">
        <x:f>IFERROR(XLOOKUP(B13,'_曲线基线'!$G$3:$G$107,'_曲线基线'!$J$3:$J$107,""),"")</x:f>
        <x:v>2</x:v>
      </x:c>
      <x:c r="B13" t="n">
        <x:v>2</x:v>
      </x:c>
      <x:c r="C13" t="n">
        <x:v>0</x:v>
      </x:c>
      <x:c r="D13" t="n">
        <x:v>2</x:v>
      </x:c>
      <x:c r="E13" t="n">
        <x:f>IF($B13&lt;E$8,0,E$3+(E$4-E$3)*(POWER(E$5,$B13-E$8)-1)/(POWER(E$5,$C$5-E$8)-1))</x:f>
        <x:v>1</x:v>
      </x:c>
      <x:c r="F13" t="n">
        <x:f>1+IF(B13&lt;3,0,MIN(1,(B13-2)/4))+IF(B13&lt;7,0,MIN(1,(B13-6)/3))+IF(B13&lt;10,0,MIN(1,(B13-9)/5))+IF(B13&lt;20,0,MIN(1,(B13-19)/10))</x:f>
        <x:v>1</x:v>
      </x:c>
      <x:c r="G13" t="n">
        <x:f>IF($B13&lt;G$8,0,G$3+(G$4-G$3)*(POWER(G$5,$B13-G$8)-1)/(POWER(G$5,$C$5-G$8)-1))</x:f>
        <x:v>0.013705190454495851</x:v>
      </x:c>
      <x:c r="H13" t="n">
        <x:f>IF($B13&lt;H$8,0,H$3+(H$4-H$3)*(POWER(H$5,$B13-H$8)-1)/(POWER(H$5,$C$5-H$8)-1))</x:f>
        <x:v>0</x:v>
      </x:c>
      <x:c r="I13" t="n">
        <x:f>IF($B13&lt;I$8,0,I$3+(I$4-I$3)*(POWER(I$5,$B13-I$8)-1)/(POWER(I$5,$C$5-I$8)-1))</x:f>
        <x:v>0</x:v>
      </x:c>
      <x:c r="J13" t="n">
        <x:f>IF($B13&lt;J$8,0,J$3+(J$4-J$3)*(POWER(J$5,$B13-J$8)-1)/(POWER(J$5,$C$5-J$8)-1))</x:f>
        <x:v>0</x:v>
      </x:c>
      <x:c r="K13" t="n">
        <x:f>IF($B13&lt;K$8,0,K$3+(K$4-K$3)*(POWER(K$5,$B13-K$8)-1)/(POWER(K$5,$C$5-K$8)-1))</x:f>
        <x:v>0</x:v>
      </x:c>
      <x:c r="L13" t="n">
        <x:f>IF($B13&lt;L$8,0,L$3+(L$4-L$3)*(POWER(L$5,$B13-L$8)-1)/(POWER(L$5,$C$5-L$8)-1))</x:f>
        <x:v>0</x:v>
      </x:c>
      <x:c r="M13" t="n">
        <x:f>E13*'模块规划'!$F$10+G13*'模块规划'!$F$11+H13*'模块规划'!$F$13</x:f>
        <x:v>1065.78491418158</x:v>
      </x:c>
      <x:c r="N13" t="n">
        <x:f>I13*'模块规划'!$F$15+J13*'模块规划'!$F$17+K13*'模块规划'!$F$16+L13*'模块规划'!$F$18</x:f>
        <x:v>0</x:v>
      </x:c>
      <x:c r="O13" t="n">
        <x:f>1+O$9*SUMPRODUCT($H$10:$L$10,H13:L13)/SUM($H$10:$L$10)</x:f>
        <x:v>1</x:v>
      </x:c>
      <x:c r="P13" t="n">
        <x:f>M13*O13+N13</x:f>
        <x:v>1065.78491418158</x:v>
      </x:c>
      <x:c r="Q13" t="n">
        <x:f>P13/(P13+'_曲线基线'!$L$2)</x:f>
        <x:v>0.04251951087231209</x:v>
      </x:c>
      <x:c r="R13" t="n">
        <x:f>E13*'模块规划'!$E$10+G13*'模块规划'!$E$11+H13*'模块规划'!$E$13</x:f>
        <x:v>1598.6773712723702</x:v>
      </x:c>
      <x:c r="S13" t="n">
        <x:f>I13*'模块规划'!$E$15+J13*'模块规划'!$E$17+K13*'模块规划'!$E$16+L13*'模块规划'!$E$18</x:f>
        <x:v>0</x:v>
      </x:c>
      <x:c r="T13" t="n">
        <x:f>1+T$9*SUMPRODUCT($H$10:$L$10,H13:L13)/SUM($H$10:$L$10)</x:f>
        <x:v>1</x:v>
      </x:c>
      <x:c r="U13" t="n">
        <x:f>R13*T13+S13</x:f>
        <x:v>1598.6773712723702</x:v>
      </x:c>
      <x:c r="V13" t="n">
        <x:f>V$8+(V$9-V$8)*H13</x:f>
        <x:v>0.7</x:v>
      </x:c>
      <x:c r="W13" t="n">
        <x:f>IF(B13&lt;$H$8,0,W$8+(W$9-W$8)*H13)</x:f>
        <x:v>0</x:v>
      </x:c>
      <x:c r="X13" t="n">
        <x:f>X$8+(X$9-X$8)*H13</x:f>
        <x:v>0.275</x:v>
      </x:c>
      <x:c r="Y13" t="n">
        <x:f>Y$8+(Y$9-Y$8)*G13</x:f>
        <x:v>1</x:v>
      </x:c>
      <x:c r="Z13" t="n">
        <x:f>Z$8+(Z$9-Z$8)*H13</x:f>
        <x:v>1</x:v>
      </x:c>
      <x:c r="AA13" t="n">
        <x:f>AA$8+(AA$9-AA$8)*I13</x:f>
        <x:v>1</x:v>
      </x:c>
      <x:c r="AB13" t="n">
        <x:f>AB$8+(AB$9-AB$8)*J13</x:f>
        <x:v>1</x:v>
      </x:c>
      <x:c r="AC13" t="n">
        <x:f>AC$8+(AC$9-AC$8)*MAX(K13,L13)</x:f>
        <x:v>1</x:v>
      </x:c>
      <x:c r="AD13" t="n">
        <x:f>(V13*AE13+W13*AF13+X13*AG13)*PRODUCT(Y13:AC13)</x:f>
        <x:v>0.975</x:v>
      </x:c>
      <x:c r="AE13" t="n">
        <x:f>1+AE$9*($H$10*H13+$I$10*I13+$J$10*J13+$K$10*K13+$L$10*L13)</x:f>
        <x:v>1</x:v>
      </x:c>
      <x:c r="AF13" t="n">
        <x:f>1+AF$9*($H$10*H13+$I$10*I13+$J$10*J13+$K$10*K13+$L$10*L13)</x:f>
        <x:v>1</x:v>
      </x:c>
      <x:c r="AG13" t="n">
        <x:f>1+AG$9*($H$10*H13+$I$10*I13+$J$10*J13+$K$10*K13+$L$10*L13)</x:f>
        <x:v>1</x:v>
      </x:c>
      <x:c r="AH13" t="n">
        <x:f>MIN(1,'_曲线基线'!$L$3+AH$9*($H$10*H13+$I$10*I13+$J$10*J13+$K$10*K13+$L$10*L13))</x:f>
        <x:v>0.05</x:v>
      </x:c>
      <x:c r="AI13" t="n">
        <x:f>'_曲线基线'!$L$4+AI$9*($H$10*H13+$I$10*I13+$J$10*J13+$K$10*K13+$L$10*L13)</x:f>
        <x:v>2</x:v>
      </x:c>
      <x:c r="AJ13" t="n">
        <x:f>1+AJ$9*($H$10*H13+$I$10*I13+$J$10*J13+$K$10*K13+$L$10*L13)</x:f>
        <x:v>1</x:v>
      </x:c>
      <x:c r="AK13" t="n">
        <x:f>(1+AH13*(AI13-1))*AJ13</x:f>
        <x:v>1.05</x:v>
      </x:c>
      <x:c r="AL13" t="n">
        <x:f>U13*AD13*AK13*F13</x:f>
        <x:v>1636.6459588400892</x:v>
      </x:c>
      <x:c r="AM13" t="n">
        <x:f>IF($B13&lt;AM$8,0,AM$3+(AM$4-AM$3)*(POWER(AM$5,$B13-AM$8)-1)/(POWER(AM$5,$C$5-AM$8)-1))</x:f>
        <x:v>35.013424639921865</x:v>
      </x:c>
      <x:c r="AN13" t="n">
        <x:f>(((E13*'模块规划'!$D$10+G13*'模块规划'!$D$11+H13*'模块规划'!$D$13)*(1+'模块规划'!$G$14*H13)+(I13*'模块规划'!$D$15+J13*'模块规划'!$D$17+K13*'模块规划'!$D$16+L13*'模块规划'!$D$18))*(1+'模块规划'!$J$17*J13))*F13/(1-Q13)</x:f>
        <x:v>5565.569879928117</x:v>
      </x:c>
      <x:c r="AO13" t="n">
        <x:f>AL13*AM13</x:f>
        <x:v>57304.57994208013</x:v>
      </x:c>
      <x:c r="AP13" t="n">
        <x:f>IF(AO13="","",INDEX('_曲线基线'!$A$3:$A$502,MIN(ROWS('_曲线基线'!$A$3:$A$502),COUNTIF('_曲线基线'!$E$3:$E$502,"&lt;"&amp;AO13)+1)))</x:f>
        <x:v>5</x:v>
      </x:c>
      <x:c r="AQ13" t="n">
        <x:f>IF(B13&lt;=2,1,IF(B13&lt;=6,2,IF(B13&lt;=9,3,IF(B13&lt;=19,4,5))))</x:f>
        <x:v>1</x:v>
      </x:c>
      <x:c r="AR13" t="n">
        <x:f>AN13*(1-Q13)/F13*$AS$3+U13*$AS$4+P13*$AS$5</x:f>
        <x:v>479.60321138171105</x:v>
      </x:c>
      <x:c r="AS13" t="n">
        <x:f>1+AH13*$AS$6+AI13*$AS$7+(AJ13-1)*$AS$8+($H$10*H13+$I$10*I13+$J$10*J13+$K$10*K13+$L$10*L13)*$AU$3*$AS$9+($H$10*H13+$I$10*I13+$J$10*J13+$K$10*K13+$L$10*L13)*$AU$4*$AS$10</x:f>
        <x:v>4.98158</x:v>
      </x:c>
      <x:c r="AT13" t="n">
        <x:f>ROUND(AR13*AS13,0)</x:f>
        <x:v>2389</x:v>
      </x:c>
      <x:c r="AU13" t="n">
        <x:f>ROUND(AT13*F13,0)</x:f>
        <x:v>2389</x:v>
      </x:c>
    </x:row>
    <x:row r="14">
      <x:c r="A14" t="n">
        <x:f>IFERROR(XLOOKUP(B14,'_曲线基线'!$G$3:$G$107,'_曲线基线'!$J$3:$J$107,""),"")</x:f>
        <x:v>3</x:v>
      </x:c>
      <x:c r="B14" t="n">
        <x:v>3</x:v>
      </x:c>
      <x:c r="C14" t="n">
        <x:v>0</x:v>
      </x:c>
      <x:c r="D14" t="n">
        <x:v>3</x:v>
      </x:c>
      <x:c r="E14" t="n">
        <x:f>IF($B14&lt;E$8,0,E$3+(E$4-E$3)*(POWER(E$5,$B14-E$8)-1)/(POWER(E$5,$C$5-E$8)-1))</x:f>
        <x:v>1</x:v>
      </x:c>
      <x:c r="F14" t="n">
        <x:f>1+IF(B14&lt;3,0,MIN(1,(B14-2)/4))+IF(B14&lt;7,0,MIN(1,(B14-6)/3))+IF(B14&lt;10,0,MIN(1,(B14-9)/5))+IF(B14&lt;20,0,MIN(1,(B14-19)/10))</x:f>
        <x:v>1.25</x:v>
      </x:c>
      <x:c r="G14" t="n">
        <x:f>IF($B14&lt;G$8,0,G$3+(G$4-G$3)*(POWER(G$5,$B14-G$8)-1)/(POWER(G$5,$C$5-G$8)-1))</x:f>
        <x:v>0.02720480305217424</x:v>
      </x:c>
      <x:c r="H14" t="n">
        <x:f>IF($B14&lt;H$8,0,H$3+(H$4-H$3)*(POWER(H$5,$B14-H$8)-1)/(POWER(H$5,$C$5-H$8)-1))</x:f>
        <x:v>0</x:v>
      </x:c>
      <x:c r="I14" t="n">
        <x:f>IF($B14&lt;I$8,0,I$3+(I$4-I$3)*(POWER(I$5,$B14-I$8)-1)/(POWER(I$5,$C$5-I$8)-1))</x:f>
        <x:v>0</x:v>
      </x:c>
      <x:c r="J14" t="n">
        <x:f>IF($B14&lt;J$8,0,J$3+(J$4-J$3)*(POWER(J$5,$B14-J$8)-1)/(POWER(J$5,$C$5-J$8)-1))</x:f>
        <x:v>0</x:v>
      </x:c>
      <x:c r="K14" t="n">
        <x:f>IF($B14&lt;K$8,0,K$3+(K$4-K$3)*(POWER(K$5,$B14-K$8)-1)/(POWER(K$5,$C$5-K$8)-1))</x:f>
        <x:v>0</x:v>
      </x:c>
      <x:c r="L14" t="n">
        <x:f>IF($B14&lt;L$8,0,L$3+(L$4-L$3)*(POWER(L$5,$B14-L$8)-1)/(POWER(L$5,$C$5-L$8)-1))</x:f>
        <x:v>0</x:v>
      </x:c>
      <x:c r="M14" t="n">
        <x:f>E14*'模块规划'!$F$10+G14*'模块规划'!$F$11+H14*'模块规划'!$F$13</x:f>
        <x:v>1130.5830546504365</x:v>
      </x:c>
      <x:c r="N14" t="n">
        <x:f>I14*'模块规划'!$F$15+J14*'模块规划'!$F$17+K14*'模块规划'!$F$16+L14*'模块规划'!$F$18</x:f>
        <x:v>0</x:v>
      </x:c>
      <x:c r="O14" t="n">
        <x:f>1+O$9*SUMPRODUCT($H$10:$L$10,H14:L14)/SUM($H$10:$L$10)</x:f>
        <x:v>1</x:v>
      </x:c>
      <x:c r="P14" t="n">
        <x:f>M14*O14+N14</x:f>
        <x:v>1130.5830546504365</x:v>
      </x:c>
      <x:c r="Q14" t="n">
        <x:f>P14/(P14+'_曲线基线'!$L$2)</x:f>
        <x:v>0.04498833362488265</x:v>
      </x:c>
      <x:c r="R14" t="n">
        <x:f>E14*'模块规划'!$E$10+G14*'模块规划'!$E$11+H14*'模块规划'!$E$13</x:f>
        <x:v>1695.8745819756546</x:v>
      </x:c>
      <x:c r="S14" t="n">
        <x:f>I14*'模块规划'!$E$15+J14*'模块规划'!$E$17+K14*'模块规划'!$E$16+L14*'模块规划'!$E$18</x:f>
        <x:v>0</x:v>
      </x:c>
      <x:c r="T14" t="n">
        <x:f>1+T$9*SUMPRODUCT($H$10:$L$10,H14:L14)/SUM($H$10:$L$10)</x:f>
        <x:v>1</x:v>
      </x:c>
      <x:c r="U14" t="n">
        <x:f>R14*T14+S14</x:f>
        <x:v>1695.8745819756546</x:v>
      </x:c>
      <x:c r="V14" t="n">
        <x:f>V$8+(V$9-V$8)*H14</x:f>
        <x:v>0.7</x:v>
      </x:c>
      <x:c r="W14" t="n">
        <x:f>IF(B14&lt;$H$8,0,W$8+(W$9-W$8)*H14)</x:f>
        <x:v>0</x:v>
      </x:c>
      <x:c r="X14" t="n">
        <x:f>X$8+(X$9-X$8)*H14</x:f>
        <x:v>0.275</x:v>
      </x:c>
      <x:c r="Y14" t="n">
        <x:f>Y$8+(Y$9-Y$8)*G14</x:f>
        <x:v>1</x:v>
      </x:c>
      <x:c r="Z14" t="n">
        <x:f>Z$8+(Z$9-Z$8)*H14</x:f>
        <x:v>1</x:v>
      </x:c>
      <x:c r="AA14" t="n">
        <x:f>AA$8+(AA$9-AA$8)*I14</x:f>
        <x:v>1</x:v>
      </x:c>
      <x:c r="AB14" t="n">
        <x:f>AB$8+(AB$9-AB$8)*J14</x:f>
        <x:v>1</x:v>
      </x:c>
      <x:c r="AC14" t="n">
        <x:f>AC$8+(AC$9-AC$8)*MAX(K14,L14)</x:f>
        <x:v>1</x:v>
      </x:c>
      <x:c r="AD14" t="n">
        <x:f>(V14*AE14+W14*AF14+X14*AG14)*PRODUCT(Y14:AC14)</x:f>
        <x:v>0.975</x:v>
      </x:c>
      <x:c r="AE14" t="n">
        <x:f>1+AE$9*($H$10*H14+$I$10*I14+$J$10*J14+$K$10*K14+$L$10*L14)</x:f>
        <x:v>1</x:v>
      </x:c>
      <x:c r="AF14" t="n">
        <x:f>1+AF$9*($H$10*H14+$I$10*I14+$J$10*J14+$K$10*K14+$L$10*L14)</x:f>
        <x:v>1</x:v>
      </x:c>
      <x:c r="AG14" t="n">
        <x:f>1+AG$9*($H$10*H14+$I$10*I14+$J$10*J14+$K$10*K14+$L$10*L14)</x:f>
        <x:v>1</x:v>
      </x:c>
      <x:c r="AH14" t="n">
        <x:f>MIN(1,'_曲线基线'!$L$3+AH$9*($H$10*H14+$I$10*I14+$J$10*J14+$K$10*K14+$L$10*L14))</x:f>
        <x:v>0.05</x:v>
      </x:c>
      <x:c r="AI14" t="n">
        <x:f>'_曲线基线'!$L$4+AI$9*($H$10*H14+$I$10*I14+$J$10*J14+$K$10*K14+$L$10*L14)</x:f>
        <x:v>2</x:v>
      </x:c>
      <x:c r="AJ14" t="n">
        <x:f>1+AJ$9*($H$10*H14+$I$10*I14+$J$10*J14+$K$10*K14+$L$10*L14)</x:f>
        <x:v>1</x:v>
      </x:c>
      <x:c r="AK14" t="n">
        <x:f>(1+AH14*(AI14-1))*AJ14</x:f>
        <x:v>1.05</x:v>
      </x:c>
      <x:c r="AL14" t="n">
        <x:f>U14*AD14*AK14*F14</x:f>
        <x:v>2170.1895041219705</x:v>
      </x:c>
      <x:c r="AM14" t="n">
        <x:f>IF($B14&lt;AM$8,0,AM$3+(AM$4-AM$3)*(POWER(AM$5,$B14-AM$8)-1)/(POWER(AM$5,$C$5-AM$8)-1))</x:f>
        <x:v>35.02698352624296</x:v>
      </x:c>
      <x:c r="AN14" t="n">
        <x:f>(((E14*'模块规划'!$D$10+G14*'模块规划'!$D$11+H14*'模块规划'!$D$13)*(1+'模块规划'!$G$14*H14)+(I14*'模块规划'!$D$15+J14*'模块规划'!$D$17+K14*'模块规划'!$D$16+L14*'模块规划'!$D$18))*(1+'模块规划'!$J$17*J14))*F14/(1-Q14)</x:f>
        <x:v>7399.013373716975</x:v>
      </x:c>
      <x:c r="AO14" t="n">
        <x:f>AL14*AM14</x:f>
        <x:v>76015.19200970563</x:v>
      </x:c>
      <x:c r="AP14" t="n">
        <x:f>IF(AO14="","",INDEX('_曲线基线'!$A$3:$A$502,MIN(ROWS('_曲线基线'!$A$3:$A$502),COUNTIF('_曲线基线'!$E$3:$E$502,"&lt;"&amp;AO14)+1)))</x:f>
        <x:v>7</x:v>
      </x:c>
      <x:c r="AQ14" t="n">
        <x:f>IF(B14&lt;=2,1,IF(B14&lt;=6,2,IF(B14&lt;=9,3,IF(B14&lt;=19,4,5))))</x:f>
        <x:v>2</x:v>
      </x:c>
      <x:c r="AR14" t="n">
        <x:f>AN14*(1-Q14)/F14*$AS$3+U14*$AS$4+P14*$AS$5</x:f>
        <x:v>508.7623745926964</x:v>
      </x:c>
      <x:c r="AS14" t="n">
        <x:f>1+AH14*$AS$6+AI14*$AS$7+(AJ14-1)*$AS$8+($H$10*H14+$I$10*I14+$J$10*J14+$K$10*K14+$L$10*L14)*$AU$3*$AS$9+($H$10*H14+$I$10*I14+$J$10*J14+$K$10*K14+$L$10*L14)*$AU$4*$AS$10</x:f>
        <x:v>4.98158</x:v>
      </x:c>
      <x:c r="AT14" t="n">
        <x:f>ROUND(AR14*AS14,0)</x:f>
        <x:v>2534</x:v>
      </x:c>
      <x:c r="AU14" t="n">
        <x:f>ROUND(AT14*F14,0)</x:f>
        <x:v>3168</x:v>
      </x:c>
    </x:row>
    <x:row r="15">
      <x:c r="A15" t="n">
        <x:f>IFERROR(XLOOKUP(B15,'_曲线基线'!$G$3:$G$107,'_曲线基线'!$J$3:$J$107,""),"")</x:f>
        <x:v>4</x:v>
      </x:c>
      <x:c r="B15" t="n">
        <x:v>4</x:v>
      </x:c>
      <x:c r="C15" t="n">
        <x:v>0</x:v>
      </x:c>
      <x:c r="D15" t="n">
        <x:v>4</x:v>
      </x:c>
      <x:c r="E15" t="n">
        <x:f>IF($B15&lt;E$8,0,E$3+(E$4-E$3)*(POWER(E$5,$B15-E$8)-1)/(POWER(E$5,$C$5-E$8)-1))</x:f>
        <x:v>1</x:v>
      </x:c>
      <x:c r="F15" t="n">
        <x:f>1+IF(B15&lt;3,0,MIN(1,(B15-2)/4))+IF(B15&lt;7,0,MIN(1,(B15-6)/3))+IF(B15&lt;10,0,MIN(1,(B15-9)/5))+IF(B15&lt;20,0,MIN(1,(B15-19)/10))</x:f>
        <x:v>1.5</x:v>
      </x:c>
      <x:c r="G15" t="n">
        <x:f>IF($B15&lt;G$8,0,G$3+(G$4-G$3)*(POWER(G$5,$B15-G$8)-1)/(POWER(G$5,$C$5-G$8)-1))</x:f>
        <x:v>0.04050192146088755</x:v>
      </x:c>
      <x:c r="H15" t="n">
        <x:f>IF($B15&lt;H$8,0,H$3+(H$4-H$3)*(POWER(H$5,$B15-H$8)-1)/(POWER(H$5,$C$5-H$8)-1))</x:f>
        <x:v>0</x:v>
      </x:c>
      <x:c r="I15" t="n">
        <x:f>IF($B15&lt;I$8,0,I$3+(I$4-I$3)*(POWER(I$5,$B15-I$8)-1)/(POWER(I$5,$C$5-I$8)-1))</x:f>
        <x:v>0</x:v>
      </x:c>
      <x:c r="J15" t="n">
        <x:f>IF($B15&lt;J$8,0,J$3+(J$4-J$3)*(POWER(J$5,$B15-J$8)-1)/(POWER(J$5,$C$5-J$8)-1))</x:f>
        <x:v>0</x:v>
      </x:c>
      <x:c r="K15" t="n">
        <x:f>IF($B15&lt;K$8,0,K$3+(K$4-K$3)*(POWER(K$5,$B15-K$8)-1)/(POWER(K$5,$C$5-K$8)-1))</x:f>
        <x:v>0</x:v>
      </x:c>
      <x:c r="L15" t="n">
        <x:f>IF($B15&lt;L$8,0,L$3+(L$4-L$3)*(POWER(L$5,$B15-L$8)-1)/(POWER(L$5,$C$5-L$8)-1))</x:f>
        <x:v>0</x:v>
      </x:c>
      <x:c r="M15" t="n">
        <x:f>E15*'模块规划'!$F$10+G15*'模块规划'!$F$11+H15*'模块规划'!$F$13</x:f>
        <x:v>1194.40922301226</x:v>
      </x:c>
      <x:c r="N15" t="n">
        <x:f>I15*'模块规划'!$F$15+J15*'模块规划'!$F$17+K15*'模块规划'!$F$16+L15*'模块规划'!$F$18</x:f>
        <x:v>0</x:v>
      </x:c>
      <x:c r="O15" t="n">
        <x:f>1+O$9*SUMPRODUCT($H$10:$L$10,H15:L15)/SUM($H$10:$L$10)</x:f>
        <x:v>1</x:v>
      </x:c>
      <x:c r="P15" t="n">
        <x:f>M15*O15+N15</x:f>
        <x:v>1194.40922301226</x:v>
      </x:c>
      <x:c r="Q15" t="n">
        <x:f>P15/(P15+'_曲线基线'!$L$2)</x:f>
        <x:v>0.04740770908497039</x:v>
      </x:c>
      <x:c r="R15" t="n">
        <x:f>E15*'模块规划'!$E$10+G15*'模块规划'!$E$11+H15*'模块规划'!$E$13</x:f>
        <x:v>1791.6138345183904</x:v>
      </x:c>
      <x:c r="S15" t="n">
        <x:f>I15*'模块规划'!$E$15+J15*'模块规划'!$E$17+K15*'模块规划'!$E$16+L15*'模块规划'!$E$18</x:f>
        <x:v>0</x:v>
      </x:c>
      <x:c r="T15" t="n">
        <x:f>1+T$9*SUMPRODUCT($H$10:$L$10,H15:L15)/SUM($H$10:$L$10)</x:f>
        <x:v>1</x:v>
      </x:c>
      <x:c r="U15" t="n">
        <x:f>R15*T15+S15</x:f>
        <x:v>1791.6138345183904</x:v>
      </x:c>
      <x:c r="V15" t="n">
        <x:f>V$8+(V$9-V$8)*H15</x:f>
        <x:v>0.7</x:v>
      </x:c>
      <x:c r="W15" t="n">
        <x:f>IF(B15&lt;$H$8,0,W$8+(W$9-W$8)*H15)</x:f>
        <x:v>0</x:v>
      </x:c>
      <x:c r="X15" t="n">
        <x:f>X$8+(X$9-X$8)*H15</x:f>
        <x:v>0.275</x:v>
      </x:c>
      <x:c r="Y15" t="n">
        <x:f>Y$8+(Y$9-Y$8)*G15</x:f>
        <x:v>1</x:v>
      </x:c>
      <x:c r="Z15" t="n">
        <x:f>Z$8+(Z$9-Z$8)*H15</x:f>
        <x:v>1</x:v>
      </x:c>
      <x:c r="AA15" t="n">
        <x:f>AA$8+(AA$9-AA$8)*I15</x:f>
        <x:v>1</x:v>
      </x:c>
      <x:c r="AB15" t="n">
        <x:f>AB$8+(AB$9-AB$8)*J15</x:f>
        <x:v>1</x:v>
      </x:c>
      <x:c r="AC15" t="n">
        <x:f>AC$8+(AC$9-AC$8)*MAX(K15,L15)</x:f>
        <x:v>1</x:v>
      </x:c>
      <x:c r="AD15" t="n">
        <x:f>(V15*AE15+W15*AF15+X15*AG15)*PRODUCT(Y15:AC15)</x:f>
        <x:v>0.975</x:v>
      </x:c>
      <x:c r="AE15" t="n">
        <x:f>1+AE$9*($H$10*H15+$I$10*I15+$J$10*J15+$K$10*K15+$L$10*L15)</x:f>
        <x:v>1</x:v>
      </x:c>
      <x:c r="AF15" t="n">
        <x:f>1+AF$9*($H$10*H15+$I$10*I15+$J$10*J15+$K$10*K15+$L$10*L15)</x:f>
        <x:v>1</x:v>
      </x:c>
      <x:c r="AG15" t="n">
        <x:f>1+AG$9*($H$10*H15+$I$10*I15+$J$10*J15+$K$10*K15+$L$10*L15)</x:f>
        <x:v>1</x:v>
      </x:c>
      <x:c r="AH15" t="n">
        <x:f>MIN(1,'_曲线基线'!$L$3+AH$9*($H$10*H15+$I$10*I15+$J$10*J15+$K$10*K15+$L$10*L15))</x:f>
        <x:v>0.05</x:v>
      </x:c>
      <x:c r="AI15" t="n">
        <x:f>'_曲线基线'!$L$4+AI$9*($H$10*H15+$I$10*I15+$J$10*J15+$K$10*K15+$L$10*L15)</x:f>
        <x:v>2</x:v>
      </x:c>
      <x:c r="AJ15" t="n">
        <x:f>1+AJ$9*($H$10*H15+$I$10*I15+$J$10*J15+$K$10*K15+$L$10*L15)</x:f>
        <x:v>1</x:v>
      </x:c>
      <x:c r="AK15" t="n">
        <x:f>(1+AH15*(AI15-1))*AJ15</x:f>
        <x:v>1.05</x:v>
      </x:c>
      <x:c r="AL15" t="n">
        <x:f>U15*AD15*AK15*F15</x:f>
        <x:v>2751.246994632303</x:v>
      </x:c>
      <x:c r="AM15" t="n">
        <x:f>IF($B15&lt;AM$8,0,AM$3+(AM$4-AM$3)*(POWER(AM$5,$B15-AM$8)-1)/(POWER(AM$5,$C$5-AM$8)-1))</x:f>
        <x:v>35.04067800142725</x:v>
      </x:c>
      <x:c r="AN15" t="n">
        <x:f>(((E15*'模块规划'!$D$10+G15*'模块规划'!$D$11+H15*'模块规划'!$D$13)*(1+'模块规划'!$G$14*H15)+(I15*'模块规划'!$D$15+J15*'模块规划'!$D$17+K15*'模块规划'!$D$16+L15*'模块规划'!$D$18))*(1+'模块规划'!$J$17*J15))*F15/(1-Q15)</x:f>
        <x:v>9403.885857597186</x:v>
      </x:c>
      <x:c r="AO15" t="n">
        <x:f>AL15*AM15</x:f>
        <x:v>96405.56004130498</x:v>
      </x:c>
      <x:c r="AP15" t="n">
        <x:f>IF(AO15="","",INDEX('_曲线基线'!$A$3:$A$502,MIN(ROWS('_曲线基线'!$A$3:$A$502),COUNTIF('_曲线基线'!$E$3:$E$502,"&lt;"&amp;AO15)+1)))</x:f>
        <x:v>9</x:v>
      </x:c>
      <x:c r="AQ15" t="n">
        <x:f>IF(B15&lt;=2,1,IF(B15&lt;=6,2,IF(B15&lt;=9,3,IF(B15&lt;=19,4,5))))</x:f>
        <x:v>2</x:v>
      </x:c>
      <x:c r="AR15" t="n">
        <x:f>AN15*(1-Q15)/F15*$AS$3+U15*$AS$4+P15*$AS$5</x:f>
        <x:v>537.484150355517</x:v>
      </x:c>
      <x:c r="AS15" t="n">
        <x:f>1+AH15*$AS$6+AI15*$AS$7+(AJ15-1)*$AS$8+($H$10*H15+$I$10*I15+$J$10*J15+$K$10*K15+$L$10*L15)*$AU$3*$AS$9+($H$10*H15+$I$10*I15+$J$10*J15+$K$10*K15+$L$10*L15)*$AU$4*$AS$10</x:f>
        <x:v>4.98158</x:v>
      </x:c>
      <x:c r="AT15" t="n">
        <x:f>ROUND(AR15*AS15,0)</x:f>
        <x:v>2678</x:v>
      </x:c>
      <x:c r="AU15" t="n">
        <x:f>ROUND(AT15*F15,0)</x:f>
        <x:v>4017</x:v>
      </x:c>
    </x:row>
    <x:row r="16">
      <x:c r="A16" t="n">
        <x:f>IFERROR(XLOOKUP(B16,'_曲线基线'!$G$3:$G$107,'_曲线基线'!$J$3:$J$107,""),"")</x:f>
        <x:v>5</x:v>
      </x:c>
      <x:c r="B16" t="n">
        <x:v>5</x:v>
      </x:c>
      <x:c r="C16" t="n">
        <x:v>1</x:v>
      </x:c>
      <x:c r="D16" t="n">
        <x:v>1</x:v>
      </x:c>
      <x:c r="E16" t="n">
        <x:f>IF($B16&lt;E$8,0,E$3+(E$4-E$3)*(POWER(E$5,$B16-E$8)-1)/(POWER(E$5,$C$5-E$8)-1))</x:f>
        <x:v>1</x:v>
      </x:c>
      <x:c r="F16" t="n">
        <x:f>1+IF(B16&lt;3,0,MIN(1,(B16-2)/4))+IF(B16&lt;7,0,MIN(1,(B16-6)/3))+IF(B16&lt;10,0,MIN(1,(B16-9)/5))+IF(B16&lt;20,0,MIN(1,(B16-19)/10))</x:f>
        <x:v>1.75</x:v>
      </x:c>
      <x:c r="G16" t="n">
        <x:f>IF($B16&lt;G$8,0,G$3+(G$4-G$3)*(POWER(G$5,$B16-G$8)-1)/(POWER(G$5,$C$5-G$8)-1))</x:f>
        <x:v>0.05359958309347001</x:v>
      </x:c>
      <x:c r="H16" t="n">
        <x:f>IF($B16&lt;H$8,0,H$3+(H$4-H$3)*(POWER(H$5,$B16-H$8)-1)/(POWER(H$5,$C$5-H$8)-1))</x:f>
        <x:v>0</x:v>
      </x:c>
      <x:c r="I16" t="n">
        <x:f>IF($B16&lt;I$8,0,I$3+(I$4-I$3)*(POWER(I$5,$B16-I$8)-1)/(POWER(I$5,$C$5-I$8)-1))</x:f>
        <x:v>0</x:v>
      </x:c>
      <x:c r="J16" t="n">
        <x:f>IF($B16&lt;J$8,0,J$3+(J$4-J$3)*(POWER(J$5,$B16-J$8)-1)/(POWER(J$5,$C$5-J$8)-1))</x:f>
        <x:v>0</x:v>
      </x:c>
      <x:c r="K16" t="n">
        <x:f>IF($B16&lt;K$8,0,K$3+(K$4-K$3)*(POWER(K$5,$B16-K$8)-1)/(POWER(K$5,$C$5-K$8)-1))</x:f>
        <x:v>0</x:v>
      </x:c>
      <x:c r="L16" t="n">
        <x:f>IF($B16&lt;L$8,0,L$3+(L$4-L$3)*(POWER(L$5,$B16-L$8)-1)/(POWER(L$5,$C$5-L$8)-1))</x:f>
        <x:v>0</x:v>
      </x:c>
      <x:c r="M16" t="n">
        <x:f>E16*'模块规划'!$F$10+G16*'模块规划'!$F$11+H16*'模块规划'!$F$13</x:f>
        <x:v>1257.2779988486561</x:v>
      </x:c>
      <x:c r="N16" t="n">
        <x:f>I16*'模块规划'!$F$15+J16*'模块规划'!$F$17+K16*'模块规划'!$F$16+L16*'模块规划'!$F$18</x:f>
        <x:v>0</x:v>
      </x:c>
      <x:c r="O16" t="n">
        <x:f>1+O$9*SUMPRODUCT($H$10:$L$10,H16:L16)/SUM($H$10:$L$10)</x:f>
        <x:v>1</x:v>
      </x:c>
      <x:c r="P16" t="n">
        <x:f>M16*O16+N16</x:f>
        <x:v>1257.2779988486561</x:v>
      </x:c>
      <x:c r="Q16" t="n">
        <x:f>P16/(P16+'_曲线基线'!$L$2)</x:f>
        <x:v>0.04977883994094569</x:v>
      </x:c>
      <x:c r="R16" t="n">
        <x:f>E16*'模块规划'!$E$10+G16*'模块规划'!$E$11+H16*'模块规划'!$E$13</x:f>
        <x:v>1885.916998272984</x:v>
      </x:c>
      <x:c r="S16" t="n">
        <x:f>I16*'模块规划'!$E$15+J16*'模块规划'!$E$17+K16*'模块规划'!$E$16+L16*'模块规划'!$E$18</x:f>
        <x:v>0</x:v>
      </x:c>
      <x:c r="T16" t="n">
        <x:f>1+T$9*SUMPRODUCT($H$10:$L$10,H16:L16)/SUM($H$10:$L$10)</x:f>
        <x:v>1</x:v>
      </x:c>
      <x:c r="U16" t="n">
        <x:f>R16*T16+S16</x:f>
        <x:v>1885.916998272984</x:v>
      </x:c>
      <x:c r="V16" t="n">
        <x:f>V$8+(V$9-V$8)*H16</x:f>
        <x:v>0.7</x:v>
      </x:c>
      <x:c r="W16" t="n">
        <x:f>IF(B16&lt;$H$8,0,W$8+(W$9-W$8)*H16)</x:f>
        <x:v>0</x:v>
      </x:c>
      <x:c r="X16" t="n">
        <x:f>X$8+(X$9-X$8)*H16</x:f>
        <x:v>0.275</x:v>
      </x:c>
      <x:c r="Y16" t="n">
        <x:f>Y$8+(Y$9-Y$8)*G16</x:f>
        <x:v>1</x:v>
      </x:c>
      <x:c r="Z16" t="n">
        <x:f>Z$8+(Z$9-Z$8)*H16</x:f>
        <x:v>1</x:v>
      </x:c>
      <x:c r="AA16" t="n">
        <x:f>AA$8+(AA$9-AA$8)*I16</x:f>
        <x:v>1</x:v>
      </x:c>
      <x:c r="AB16" t="n">
        <x:f>AB$8+(AB$9-AB$8)*J16</x:f>
        <x:v>1</x:v>
      </x:c>
      <x:c r="AC16" t="n">
        <x:f>AC$8+(AC$9-AC$8)*MAX(K16,L16)</x:f>
        <x:v>1</x:v>
      </x:c>
      <x:c r="AD16" t="n">
        <x:f>(V16*AE16+W16*AF16+X16*AG16)*PRODUCT(Y16:AC16)</x:f>
        <x:v>0.975</x:v>
      </x:c>
      <x:c r="AE16" t="n">
        <x:f>1+AE$9*($H$10*H16+$I$10*I16+$J$10*J16+$K$10*K16+$L$10*L16)</x:f>
        <x:v>1</x:v>
      </x:c>
      <x:c r="AF16" t="n">
        <x:f>1+AF$9*($H$10*H16+$I$10*I16+$J$10*J16+$K$10*K16+$L$10*L16)</x:f>
        <x:v>1</x:v>
      </x:c>
      <x:c r="AG16" t="n">
        <x:f>1+AG$9*($H$10*H16+$I$10*I16+$J$10*J16+$K$10*K16+$L$10*L16)</x:f>
        <x:v>1</x:v>
      </x:c>
      <x:c r="AH16" t="n">
        <x:f>MIN(1,'_曲线基线'!$L$3+AH$9*($H$10*H16+$I$10*I16+$J$10*J16+$K$10*K16+$L$10*L16))</x:f>
        <x:v>0.05</x:v>
      </x:c>
      <x:c r="AI16" t="n">
        <x:f>'_曲线基线'!$L$4+AI$9*($H$10*H16+$I$10*I16+$J$10*J16+$K$10*K16+$L$10*L16)</x:f>
        <x:v>2</x:v>
      </x:c>
      <x:c r="AJ16" t="n">
        <x:f>1+AJ$9*($H$10*H16+$I$10*I16+$J$10*J16+$K$10*K16+$L$10*L16)</x:f>
        <x:v>1</x:v>
      </x:c>
      <x:c r="AK16" t="n">
        <x:f>(1+AH16*(AI16-1))*AJ16</x:f>
        <x:v>1.05</x:v>
      </x:c>
      <x:c r="AL16" t="n">
        <x:f>U16*AD16*AK16*F16</x:f>
        <x:v>3378.738172218443</x:v>
      </x:c>
      <x:c r="AM16" t="n">
        <x:f>IF($B16&lt;AM$8,0,AM$3+(AM$4-AM$3)*(POWER(AM$5,$B16-AM$8)-1)/(POWER(AM$5,$C$5-AM$8)-1))</x:f>
        <x:v>35.05450942136339</x:v>
      </x:c>
      <x:c r="AN16" t="n">
        <x:f>(((E16*'模块规划'!$D$10+G16*'模块规划'!$D$11+H16*'模块规划'!$D$13)*(1+'模块规划'!$G$14*H16)+(I16*'模块规划'!$D$15+J16*'模块规划'!$D$17+K16*'模块规划'!$D$16+L16*'模块规划'!$D$18))*(1+'模块规划'!$J$17*J16))*F16/(1-Q16)</x:f>
        <x:v>11577.496852671688</x:v>
      </x:c>
      <x:c r="AO16" t="n">
        <x:f>AL16*AM16</x:f>
        <x:v>118440.00909035154</x:v>
      </x:c>
      <x:c r="AP16" t="n">
        <x:f>IF(AO16="","",INDEX('_曲线基线'!$A$3:$A$502,MIN(ROWS('_曲线基线'!$A$3:$A$502),COUNTIF('_曲线基线'!$E$3:$E$502,"&lt;"&amp;AO16)+1)))</x:f>
        <x:v>10</x:v>
      </x:c>
      <x:c r="AQ16" t="n">
        <x:f>IF(B16&lt;=2,1,IF(B16&lt;=6,2,IF(B16&lt;=9,3,IF(B16&lt;=19,4,5))))</x:f>
        <x:v>2</x:v>
      </x:c>
      <x:c r="AR16" t="n">
        <x:f>AN16*(1-Q16)/F16*$AS$3+U16*$AS$4+P16*$AS$5</x:f>
        <x:v>565.7750994818953</x:v>
      </x:c>
      <x:c r="AS16" t="n">
        <x:f>1+AH16*$AS$6+AI16*$AS$7+(AJ16-1)*$AS$8+($H$10*H16+$I$10*I16+$J$10*J16+$K$10*K16+$L$10*L16)*$AU$3*$AS$9+($H$10*H16+$I$10*I16+$J$10*J16+$K$10*K16+$L$10*L16)*$AU$4*$AS$10</x:f>
        <x:v>4.98158</x:v>
      </x:c>
      <x:c r="AT16" t="n">
        <x:f>ROUND(AR16*AS16,0)</x:f>
        <x:v>2818</x:v>
      </x:c>
      <x:c r="AU16" t="n">
        <x:f>ROUND(AT16*F16,0)</x:f>
        <x:v>4932</x:v>
      </x:c>
    </x:row>
    <x:row r="17">
      <x:c r="A17" t="n">
        <x:f>IFERROR(XLOOKUP(B17,'_曲线基线'!$G$3:$G$107,'_曲线基线'!$J$3:$J$107,""),"")</x:f>
        <x:v>6</x:v>
      </x:c>
      <x:c r="B17" t="n">
        <x:v>6</x:v>
      </x:c>
      <x:c r="C17" t="n">
        <x:v>1</x:v>
      </x:c>
      <x:c r="D17" t="n">
        <x:v>2</x:v>
      </x:c>
      <x:c r="E17" t="n">
        <x:f>IF($B17&lt;E$8,0,E$3+(E$4-E$3)*(POWER(E$5,$B17-E$8)-1)/(POWER(E$5,$C$5-E$8)-1))</x:f>
        <x:v>1</x:v>
      </x:c>
      <x:c r="F17" t="n">
        <x:f>1+IF(B17&lt;3,0,MIN(1,(B17-2)/4))+IF(B17&lt;7,0,MIN(1,(B17-6)/3))+IF(B17&lt;10,0,MIN(1,(B17-9)/5))+IF(B17&lt;20,0,MIN(1,(B17-19)/10))</x:f>
        <x:v>2</x:v>
      </x:c>
      <x:c r="G17" t="n">
        <x:f>IF($B17&lt;G$8,0,G$3+(G$4-G$3)*(POWER(G$5,$B17-G$8)-1)/(POWER(G$5,$C$5-G$8)-1))</x:f>
        <x:v>0.06650077980156387</x:v>
      </x:c>
      <x:c r="H17" t="n">
        <x:f>IF($B17&lt;H$8,0,H$3+(H$4-H$3)*(POWER(H$5,$B17-H$8)-1)/(POWER(H$5,$C$5-H$8)-1))</x:f>
        <x:v>0</x:v>
      </x:c>
      <x:c r="I17" t="n">
        <x:f>IF($B17&lt;I$8,0,I$3+(I$4-I$3)*(POWER(I$5,$B17-I$8)-1)/(POWER(I$5,$C$5-I$8)-1))</x:f>
        <x:v>0</x:v>
      </x:c>
      <x:c r="J17" t="n">
        <x:f>IF($B17&lt;J$8,0,J$3+(J$4-J$3)*(POWER(J$5,$B17-J$8)-1)/(POWER(J$5,$C$5-J$8)-1))</x:f>
        <x:v>0</x:v>
      </x:c>
      <x:c r="K17" t="n">
        <x:f>IF($B17&lt;K$8,0,K$3+(K$4-K$3)*(POWER(K$5,$B17-K$8)-1)/(POWER(K$5,$C$5-K$8)-1))</x:f>
        <x:v>0</x:v>
      </x:c>
      <x:c r="L17" t="n">
        <x:f>IF($B17&lt;L$8,0,L$3+(L$4-L$3)*(POWER(L$5,$B17-L$8)-1)/(POWER(L$5,$C$5-L$8)-1))</x:f>
        <x:v>0</x:v>
      </x:c>
      <x:c r="M17" t="n">
        <x:f>E17*'模块规划'!$F$10+G17*'模块规划'!$F$11+H17*'模块规划'!$F$13</x:f>
        <x:v>1319.2037430475066</x:v>
      </x:c>
      <x:c r="N17" t="n">
        <x:f>I17*'模块规划'!$F$15+J17*'模块规划'!$F$17+K17*'模块规划'!$F$16+L17*'模块规划'!$F$18</x:f>
        <x:v>0</x:v>
      </x:c>
      <x:c r="O17" t="n">
        <x:f>1+O$9*SUMPRODUCT($H$10:$L$10,H17:L17)/SUM($H$10:$L$10)</x:f>
        <x:v>1</x:v>
      </x:c>
      <x:c r="P17" t="n">
        <x:f>M17*O17+N17</x:f>
        <x:v>1319.2037430475066</x:v>
      </x:c>
      <x:c r="Q17" t="n">
        <x:f>P17/(P17+'_曲线基线'!$L$2)</x:f>
        <x:v>0.05210289219343051</x:v>
      </x:c>
      <x:c r="R17" t="n">
        <x:f>E17*'模块规划'!$E$10+G17*'模块规划'!$E$11+H17*'模块规划'!$E$13</x:f>
        <x:v>1978.8056145712599</x:v>
      </x:c>
      <x:c r="S17" t="n">
        <x:f>I17*'模块规划'!$E$15+J17*'模块规划'!$E$17+K17*'模块规划'!$E$16+L17*'模块规划'!$E$18</x:f>
        <x:v>0</x:v>
      </x:c>
      <x:c r="T17" t="n">
        <x:f>1+T$9*SUMPRODUCT($H$10:$L$10,H17:L17)/SUM($H$10:$L$10)</x:f>
        <x:v>1</x:v>
      </x:c>
      <x:c r="U17" t="n">
        <x:f>R17*T17+S17</x:f>
        <x:v>1978.8056145712599</x:v>
      </x:c>
      <x:c r="V17" t="n">
        <x:f>V$8+(V$9-V$8)*H17</x:f>
        <x:v>0.7</x:v>
      </x:c>
      <x:c r="W17" t="n">
        <x:f>IF(B17&lt;$H$8,0,W$8+(W$9-W$8)*H17)</x:f>
        <x:v>0</x:v>
      </x:c>
      <x:c r="X17" t="n">
        <x:f>X$8+(X$9-X$8)*H17</x:f>
        <x:v>0.275</x:v>
      </x:c>
      <x:c r="Y17" t="n">
        <x:f>Y$8+(Y$9-Y$8)*G17</x:f>
        <x:v>1</x:v>
      </x:c>
      <x:c r="Z17" t="n">
        <x:f>Z$8+(Z$9-Z$8)*H17</x:f>
        <x:v>1</x:v>
      </x:c>
      <x:c r="AA17" t="n">
        <x:f>AA$8+(AA$9-AA$8)*I17</x:f>
        <x:v>1</x:v>
      </x:c>
      <x:c r="AB17" t="n">
        <x:f>AB$8+(AB$9-AB$8)*J17</x:f>
        <x:v>1</x:v>
      </x:c>
      <x:c r="AC17" t="n">
        <x:f>AC$8+(AC$9-AC$8)*MAX(K17,L17)</x:f>
        <x:v>1</x:v>
      </x:c>
      <x:c r="AD17" t="n">
        <x:f>(V17*AE17+W17*AF17+X17*AG17)*PRODUCT(Y17:AC17)</x:f>
        <x:v>0.975</x:v>
      </x:c>
      <x:c r="AE17" t="n">
        <x:f>1+AE$9*($H$10*H17+$I$10*I17+$J$10*J17+$K$10*K17+$L$10*L17)</x:f>
        <x:v>1</x:v>
      </x:c>
      <x:c r="AF17" t="n">
        <x:f>1+AF$9*($H$10*H17+$I$10*I17+$J$10*J17+$K$10*K17+$L$10*L17)</x:f>
        <x:v>1</x:v>
      </x:c>
      <x:c r="AG17" t="n">
        <x:f>1+AG$9*($H$10*H17+$I$10*I17+$J$10*J17+$K$10*K17+$L$10*L17)</x:f>
        <x:v>1</x:v>
      </x:c>
      <x:c r="AH17" t="n">
        <x:f>MIN(1,'_曲线基线'!$L$3+AH$9*($H$10*H17+$I$10*I17+$J$10*J17+$K$10*K17+$L$10*L17))</x:f>
        <x:v>0.05</x:v>
      </x:c>
      <x:c r="AI17" t="n">
        <x:f>'_曲线基线'!$L$4+AI$9*($H$10*H17+$I$10*I17+$J$10*J17+$K$10*K17+$L$10*L17)</x:f>
        <x:v>2</x:v>
      </x:c>
      <x:c r="AJ17" t="n">
        <x:f>1+AJ$9*($H$10*H17+$I$10*I17+$J$10*J17+$K$10*K17+$L$10*L17)</x:f>
        <x:v>1</x:v>
      </x:c>
      <x:c r="AK17" t="n">
        <x:f>(1+AH17*(AI17-1))*AJ17</x:f>
        <x:v>1.05</x:v>
      </x:c>
      <x:c r="AL17" t="n">
        <x:f>U17*AD17*AK17*F17</x:f>
        <x:v>4051.6044958346542</x:v>
      </x:c>
      <x:c r="AM17" t="n">
        <x:f>IF($B17&lt;AM$8,0,AM$3+(AM$4-AM$3)*(POWER(AM$5,$B17-AM$8)-1)/(POWER(AM$5,$C$5-AM$8)-1))</x:f>
        <x:v>35.0684791554989</x:v>
      </x:c>
      <x:c r="AN17" t="n">
        <x:f>(((E17*'模块规划'!$D$10+G17*'模块规划'!$D$11+H17*'模块规划'!$D$13)*(1+'模块规划'!$G$14*H17)+(I17*'模块规划'!$D$15+J17*'模块规划'!$D$17+K17*'模块规划'!$D$16+L17*'模块规划'!$D$18))*(1+'模块规划'!$J$17*J17))*F17/(1-Q17)</x:f>
        <x:v>13917.161812004462</x:v>
      </x:c>
      <x:c r="AO17" t="n">
        <x:f>AL17*AM17</x:f>
        <x:v>142083.6078085032</x:v>
      </x:c>
      <x:c r="AP17" t="n">
        <x:f>IF(AO17="","",INDEX('_曲线基线'!$A$3:$A$502,MIN(ROWS('_曲线基线'!$A$3:$A$502),COUNTIF('_曲线基线'!$E$3:$E$502,"&lt;"&amp;AO17)+1)))</x:f>
        <x:v>12</x:v>
      </x:c>
      <x:c r="AQ17" t="n">
        <x:f>IF(B17&lt;=2,1,IF(B17&lt;=6,2,IF(B17&lt;=9,3,IF(B17&lt;=19,4,5))))</x:f>
        <x:v>2</x:v>
      </x:c>
      <x:c r="AR17" t="n">
        <x:f>AN17*(1-Q17)/F17*$AS$3+U17*$AS$4+P17*$AS$5</x:f>
        <x:v>593.641684371378</x:v>
      </x:c>
      <x:c r="AS17" t="n">
        <x:f>1+AH17*$AS$6+AI17*$AS$7+(AJ17-1)*$AS$8+($H$10*H17+$I$10*I17+$J$10*J17+$K$10*K17+$L$10*L17)*$AU$3*$AS$9+($H$10*H17+$I$10*I17+$J$10*J17+$K$10*K17+$L$10*L17)*$AU$4*$AS$10</x:f>
        <x:v>4.98158</x:v>
      </x:c>
      <x:c r="AT17" t="n">
        <x:f>ROUND(AR17*AS17,0)</x:f>
        <x:v>2957</x:v>
      </x:c>
      <x:c r="AU17" t="n">
        <x:f>ROUND(AT17*F17,0)</x:f>
        <x:v>5914</x:v>
      </x:c>
    </x:row>
    <x:row r="18">
      <x:c r="A18" t="n">
        <x:f>IFERROR(XLOOKUP(B18,'_曲线基线'!$G$3:$G$107,'_曲线基线'!$J$3:$J$107,""),"")</x:f>
        <x:v>6</x:v>
      </x:c>
      <x:c r="B18" t="n">
        <x:v>7</x:v>
      </x:c>
      <x:c r="C18" t="n">
        <x:v>1</x:v>
      </x:c>
      <x:c r="D18" t="n">
        <x:v>3</x:v>
      </x:c>
      <x:c r="E18" t="n">
        <x:f>IF($B18&lt;E$8,0,E$3+(E$4-E$3)*(POWER(E$5,$B18-E$8)-1)/(POWER(E$5,$C$5-E$8)-1))</x:f>
        <x:v>1</x:v>
      </x:c>
      <x:c r="F18" t="n">
        <x:f>1+IF(B18&lt;3,0,MIN(1,(B18-2)/4))+IF(B18&lt;7,0,MIN(1,(B18-6)/3))+IF(B18&lt;10,0,MIN(1,(B18-9)/5))+IF(B18&lt;20,0,MIN(1,(B18-19)/10))</x:f>
        <x:v>2.3333333333333335</x:v>
      </x:c>
      <x:c r="G18" t="n">
        <x:f>IF($B18&lt;G$8,0,G$3+(G$4-G$3)*(POWER(G$5,$B18-G$8)-1)/(POWER(G$5,$C$5-G$8)-1))</x:f>
        <x:v>0.07920845855903624</x:v>
      </x:c>
      <x:c r="H18" t="n">
        <x:f>IF($B18&lt;H$8,0,H$3+(H$4-H$3)*(POWER(H$5,$B18-H$8)-1)/(POWER(H$5,$C$5-H$8)-1))</x:f>
        <x:v>0</x:v>
      </x:c>
      <x:c r="I18" t="n">
        <x:f>IF($B18&lt;I$8,0,I$3+(I$4-I$3)*(POWER(I$5,$B18-I$8)-1)/(POWER(I$5,$C$5-I$8)-1))</x:f>
        <x:v>0</x:v>
      </x:c>
      <x:c r="J18" t="n">
        <x:f>IF($B18&lt;J$8,0,J$3+(J$4-J$3)*(POWER(J$5,$B18-J$8)-1)/(POWER(J$5,$C$5-J$8)-1))</x:f>
        <x:v>0</x:v>
      </x:c>
      <x:c r="K18" t="n">
        <x:f>IF($B18&lt;K$8,0,K$3+(K$4-K$3)*(POWER(K$5,$B18-K$8)-1)/(POWER(K$5,$C$5-K$8)-1))</x:f>
        <x:v>0</x:v>
      </x:c>
      <x:c r="L18" t="n">
        <x:f>IF($B18&lt;L$8,0,L$3+(L$4-L$3)*(POWER(L$5,$B18-L$8)-1)/(POWER(L$5,$C$5-L$8)-1))</x:f>
        <x:v>0</x:v>
      </x:c>
      <x:c r="M18" t="n">
        <x:f>E18*'模块规划'!$F$10+G18*'模块规划'!$F$11+H18*'模块规划'!$F$13</x:f>
        <x:v>1380.2006010833738</x:v>
      </x:c>
      <x:c r="N18" t="n">
        <x:f>I18*'模块规划'!$F$15+J18*'模块规划'!$F$17+K18*'模块规划'!$F$16+L18*'模块规划'!$F$18</x:f>
        <x:v>0</x:v>
      </x:c>
      <x:c r="O18" t="n">
        <x:f>1+O$9*SUMPRODUCT($H$10:$L$10,H18:L18)/SUM($H$10:$L$10)</x:f>
        <x:v>1</x:v>
      </x:c>
      <x:c r="P18" t="n">
        <x:f>M18*O18+N18</x:f>
        <x:v>1380.2006010833738</x:v>
      </x:c>
      <x:c r="Q18" t="n">
        <x:f>P18/(P18+'_曲线基线'!$L$2)</x:f>
        <x:v>0.05438099654044732</x:v>
      </x:c>
      <x:c r="R18" t="n">
        <x:f>E18*'模块规划'!$E$10+G18*'模块规划'!$E$11+H18*'模块规划'!$E$13</x:f>
        <x:v>2070.3009016250608</x:v>
      </x:c>
      <x:c r="S18" t="n">
        <x:f>I18*'模块规划'!$E$15+J18*'模块规划'!$E$17+K18*'模块规划'!$E$16+L18*'模块规划'!$E$18</x:f>
        <x:v>0</x:v>
      </x:c>
      <x:c r="T18" t="n">
        <x:f>1+T$9*SUMPRODUCT($H$10:$L$10,H18:L18)/SUM($H$10:$L$10)</x:f>
        <x:v>1</x:v>
      </x:c>
      <x:c r="U18" t="n">
        <x:f>R18*T18+S18</x:f>
        <x:v>2070.3009016250608</x:v>
      </x:c>
      <x:c r="V18" t="n">
        <x:f>V$8+(V$9-V$8)*H18</x:f>
        <x:v>0.7</x:v>
      </x:c>
      <x:c r="W18" t="n">
        <x:f>IF(B18&lt;$H$8,0,W$8+(W$9-W$8)*H18)</x:f>
        <x:v>0</x:v>
      </x:c>
      <x:c r="X18" t="n">
        <x:f>X$8+(X$9-X$8)*H18</x:f>
        <x:v>0.275</x:v>
      </x:c>
      <x:c r="Y18" t="n">
        <x:f>Y$8+(Y$9-Y$8)*G18</x:f>
        <x:v>1</x:v>
      </x:c>
      <x:c r="Z18" t="n">
        <x:f>Z$8+(Z$9-Z$8)*H18</x:f>
        <x:v>1</x:v>
      </x:c>
      <x:c r="AA18" t="n">
        <x:f>AA$8+(AA$9-AA$8)*I18</x:f>
        <x:v>1</x:v>
      </x:c>
      <x:c r="AB18" t="n">
        <x:f>AB$8+(AB$9-AB$8)*J18</x:f>
        <x:v>1</x:v>
      </x:c>
      <x:c r="AC18" t="n">
        <x:f>AC$8+(AC$9-AC$8)*MAX(K18,L18)</x:f>
        <x:v>1</x:v>
      </x:c>
      <x:c r="AD18" t="n">
        <x:f>(V18*AE18+W18*AF18+X18*AG18)*PRODUCT(Y18:AC18)</x:f>
        <x:v>0.975</x:v>
      </x:c>
      <x:c r="AE18" t="n">
        <x:f>1+AE$9*($H$10*H18+$I$10*I18+$J$10*J18+$K$10*K18+$L$10*L18)</x:f>
        <x:v>1</x:v>
      </x:c>
      <x:c r="AF18" t="n">
        <x:f>1+AF$9*($H$10*H18+$I$10*I18+$J$10*J18+$K$10*K18+$L$10*L18)</x:f>
        <x:v>1</x:v>
      </x:c>
      <x:c r="AG18" t="n">
        <x:f>1+AG$9*($H$10*H18+$I$10*I18+$J$10*J18+$K$10*K18+$L$10*L18)</x:f>
        <x:v>1</x:v>
      </x:c>
      <x:c r="AH18" t="n">
        <x:f>MIN(1,'_曲线基线'!$L$3+AH$9*($H$10*H18+$I$10*I18+$J$10*J18+$K$10*K18+$L$10*L18))</x:f>
        <x:v>0.05</x:v>
      </x:c>
      <x:c r="AI18" t="n">
        <x:f>'_曲线基线'!$L$4+AI$9*($H$10*H18+$I$10*I18+$J$10*J18+$K$10*K18+$L$10*L18)</x:f>
        <x:v>2</x:v>
      </x:c>
      <x:c r="AJ18" t="n">
        <x:f>1+AJ$9*($H$10*H18+$I$10*I18+$J$10*J18+$K$10*K18+$L$10*L18)</x:f>
        <x:v>1</x:v>
      </x:c>
      <x:c r="AK18" t="n">
        <x:f>(1+AH18*(AI18-1))*AJ18</x:f>
        <x:v>1.05</x:v>
      </x:c>
      <x:c r="AL18" t="n">
        <x:f>U18*AD18*AK18*F18</x:f>
        <x:v>4945.431278756864</x:v>
      </x:c>
      <x:c r="AM18" t="n">
        <x:f>IF($B18&lt;AM$8,0,AM$3+(AM$4-AM$3)*(POWER(AM$5,$B18-AM$8)-1)/(POWER(AM$5,$C$5-AM$8)-1))</x:f>
        <x:v>35.08258858697575</x:v>
      </x:c>
      <x:c r="AN18" t="n">
        <x:f>(((E18*'模块规划'!$D$10+G18*'模块规划'!$D$11+H18*'模块规划'!$D$13)*(1+'模块规划'!$G$14*H18)+(I18*'模块规划'!$D$15+J18*'模块规划'!$D$17+K18*'模块规划'!$D$16+L18*'模块规划'!$D$18))*(1+'模块规划'!$J$17*J18))*F18/(1-Q18)</x:f>
        <x:v>17028.359505321056</x:v>
      </x:c>
      <x:c r="AO18" t="n">
        <x:f>AL18*AM18</x:f>
        <x:v>173498.53093778846</x:v>
      </x:c>
      <x:c r="AP18" t="n">
        <x:f>IF(AO18="","",INDEX('_曲线基线'!$A$3:$A$502,MIN(ROWS('_曲线基线'!$A$3:$A$502),COUNTIF('_曲线基线'!$E$3:$E$502,"&lt;"&amp;AO18)+1)))</x:f>
        <x:v>14</x:v>
      </x:c>
      <x:c r="AQ18" t="n">
        <x:f>IF(B18&lt;=2,1,IF(B18&lt;=6,2,IF(B18&lt;=9,3,IF(B18&lt;=19,4,5))))</x:f>
        <x:v>3</x:v>
      </x:c>
      <x:c r="AR18" t="n">
        <x:f>AN18*(1-Q18)/F18*$AS$3+U18*$AS$4+P18*$AS$5</x:f>
        <x:v>621.0902704875183</x:v>
      </x:c>
      <x:c r="AS18" t="n">
        <x:f>1+AH18*$AS$6+AI18*$AS$7+(AJ18-1)*$AS$8+($H$10*H18+$I$10*I18+$J$10*J18+$K$10*K18+$L$10*L18)*$AU$3*$AS$9+($H$10*H18+$I$10*I18+$J$10*J18+$K$10*K18+$L$10*L18)*$AU$4*$AS$10</x:f>
        <x:v>4.98158</x:v>
      </x:c>
      <x:c r="AT18" t="n">
        <x:f>ROUND(AR18*AS18,0)</x:f>
        <x:v>3094</x:v>
      </x:c>
      <x:c r="AU18" t="n">
        <x:f>ROUND(AT18*F18,0)</x:f>
        <x:v>7219</x:v>
      </x:c>
    </x:row>
    <x:row r="19">
      <x:c r="A19" t="n">
        <x:f>IFERROR(XLOOKUP(B19,'_曲线基线'!$G$3:$G$107,'_曲线基线'!$J$3:$J$107,""),"")</x:f>
        <x:v>7</x:v>
      </x:c>
      <x:c r="B19" t="n">
        <x:v>8</x:v>
      </x:c>
      <x:c r="C19" t="n">
        <x:v>1</x:v>
      </x:c>
      <x:c r="D19" t="n">
        <x:v>4</x:v>
      </x:c>
      <x:c r="E19" t="n">
        <x:f>IF($B19&lt;E$8,0,E$3+(E$4-E$3)*(POWER(E$5,$B19-E$8)-1)/(POWER(E$5,$C$5-E$8)-1))</x:f>
        <x:v>1</x:v>
      </x:c>
      <x:c r="F19" t="n">
        <x:f>1+IF(B19&lt;3,0,MIN(1,(B19-2)/4))+IF(B19&lt;7,0,MIN(1,(B19-6)/3))+IF(B19&lt;10,0,MIN(1,(B19-9)/5))+IF(B19&lt;20,0,MIN(1,(B19-19)/10))</x:f>
        <x:v>2.6666666666666665</x:v>
      </x:c>
      <x:c r="G19" t="n">
        <x:f>IF($B19&lt;G$8,0,G$3+(G$4-G$3)*(POWER(G$5,$B19-G$8)-1)/(POWER(G$5,$C$5-G$8)-1))</x:f>
        <x:v>0.09172552213514658</x:v>
      </x:c>
      <x:c r="H19" t="n">
        <x:f>IF($B19&lt;H$8,0,H$3+(H$4-H$3)*(POWER(H$5,$B19-H$8)-1)/(POWER(H$5,$C$5-H$8)-1))</x:f>
        <x:v>0</x:v>
      </x:c>
      <x:c r="I19" t="n">
        <x:f>IF($B19&lt;I$8,0,I$3+(I$4-I$3)*(POWER(I$5,$B19-I$8)-1)/(POWER(I$5,$C$5-I$8)-1))</x:f>
        <x:v>0</x:v>
      </x:c>
      <x:c r="J19" t="n">
        <x:f>IF($B19&lt;J$8,0,J$3+(J$4-J$3)*(POWER(J$5,$B19-J$8)-1)/(POWER(J$5,$C$5-J$8)-1))</x:f>
        <x:v>0</x:v>
      </x:c>
      <x:c r="K19" t="n">
        <x:f>IF($B19&lt;K$8,0,K$3+(K$4-K$3)*(POWER(K$5,$B19-K$8)-1)/(POWER(K$5,$C$5-K$8)-1))</x:f>
        <x:v>0</x:v>
      </x:c>
      <x:c r="L19" t="n">
        <x:f>IF($B19&lt;L$8,0,L$3+(L$4-L$3)*(POWER(L$5,$B19-L$8)-1)/(POWER(L$5,$C$5-L$8)-1))</x:f>
        <x:v>0</x:v>
      </x:c>
      <x:c r="M19" t="n">
        <x:f>E19*'模块规划'!$F$10+G19*'模块规划'!$F$11+H19*'模块规划'!$F$13</x:f>
        <x:v>1440.2825062487036</x:v>
      </x:c>
      <x:c r="N19" t="n">
        <x:f>I19*'模块规划'!$F$15+J19*'模块规划'!$F$17+K19*'模块规划'!$F$16+L19*'模块规划'!$F$18</x:f>
        <x:v>0</x:v>
      </x:c>
      <x:c r="O19" t="n">
        <x:f>1+O$9*SUMPRODUCT($H$10:$L$10,H19:L19)/SUM($H$10:$L$10)</x:f>
        <x:v>1</x:v>
      </x:c>
      <x:c r="P19" t="n">
        <x:f>M19*O19+N19</x:f>
        <x:v>1440.2825062487036</x:v>
      </x:c>
      <x:c r="Q19" t="n">
        <x:f>P19/(P19+'_曲线基线'!$L$2)</x:f>
        <x:v>0.05661424970005494</x:v>
      </x:c>
      <x:c r="R19" t="n">
        <x:f>E19*'模块规划'!$E$10+G19*'模块规划'!$E$11+H19*'模块规划'!$E$13</x:f>
        <x:v>2160.4237593730554</x:v>
      </x:c>
      <x:c r="S19" t="n">
        <x:f>I19*'模块规划'!$E$15+J19*'模块规划'!$E$17+K19*'模块规划'!$E$16+L19*'模块规划'!$E$18</x:f>
        <x:v>0</x:v>
      </x:c>
      <x:c r="T19" t="n">
        <x:f>1+T$9*SUMPRODUCT($H$10:$L$10,H19:L19)/SUM($H$10:$L$10)</x:f>
        <x:v>1</x:v>
      </x:c>
      <x:c r="U19" t="n">
        <x:f>R19*T19+S19</x:f>
        <x:v>2160.4237593730554</x:v>
      </x:c>
      <x:c r="V19" t="n">
        <x:f>V$8+(V$9-V$8)*H19</x:f>
        <x:v>0.7</x:v>
      </x:c>
      <x:c r="W19" t="n">
        <x:f>IF(B19&lt;$H$8,0,W$8+(W$9-W$8)*H19)</x:f>
        <x:v>0</x:v>
      </x:c>
      <x:c r="X19" t="n">
        <x:f>X$8+(X$9-X$8)*H19</x:f>
        <x:v>0.275</x:v>
      </x:c>
      <x:c r="Y19" t="n">
        <x:f>Y$8+(Y$9-Y$8)*G19</x:f>
        <x:v>1</x:v>
      </x:c>
      <x:c r="Z19" t="n">
        <x:f>Z$8+(Z$9-Z$8)*H19</x:f>
        <x:v>1</x:v>
      </x:c>
      <x:c r="AA19" t="n">
        <x:f>AA$8+(AA$9-AA$8)*I19</x:f>
        <x:v>1</x:v>
      </x:c>
      <x:c r="AB19" t="n">
        <x:f>AB$8+(AB$9-AB$8)*J19</x:f>
        <x:v>1</x:v>
      </x:c>
      <x:c r="AC19" t="n">
        <x:f>AC$8+(AC$9-AC$8)*MAX(K19,L19)</x:f>
        <x:v>1</x:v>
      </x:c>
      <x:c r="AD19" t="n">
        <x:f>(V19*AE19+W19*AF19+X19*AG19)*PRODUCT(Y19:AC19)</x:f>
        <x:v>0.975</x:v>
      </x:c>
      <x:c r="AE19" t="n">
        <x:f>1+AE$9*($H$10*H19+$I$10*I19+$J$10*J19+$K$10*K19+$L$10*L19)</x:f>
        <x:v>1</x:v>
      </x:c>
      <x:c r="AF19" t="n">
        <x:f>1+AF$9*($H$10*H19+$I$10*I19+$J$10*J19+$K$10*K19+$L$10*L19)</x:f>
        <x:v>1</x:v>
      </x:c>
      <x:c r="AG19" t="n">
        <x:f>1+AG$9*($H$10*H19+$I$10*I19+$J$10*J19+$K$10*K19+$L$10*L19)</x:f>
        <x:v>1</x:v>
      </x:c>
      <x:c r="AH19" t="n">
        <x:f>MIN(1,'_曲线基线'!$L$3+AH$9*($H$10*H19+$I$10*I19+$J$10*J19+$K$10*K19+$L$10*L19))</x:f>
        <x:v>0.05</x:v>
      </x:c>
      <x:c r="AI19" t="n">
        <x:f>'_曲线基线'!$L$4+AI$9*($H$10*H19+$I$10*I19+$J$10*J19+$K$10*K19+$L$10*L19)</x:f>
        <x:v>2</x:v>
      </x:c>
      <x:c r="AJ19" t="n">
        <x:f>1+AJ$9*($H$10*H19+$I$10*I19+$J$10*J19+$K$10*K19+$L$10*L19)</x:f>
        <x:v>1</x:v>
      </x:c>
      <x:c r="AK19" t="n">
        <x:f>(1+AH19*(AI19-1))*AJ19</x:f>
        <x:v>1.05</x:v>
      </x:c>
      <x:c r="AL19" t="n">
        <x:f>U19*AD19*AK19*F19</x:f>
        <x:v>5897.9568630884405</x:v>
      </x:c>
      <x:c r="AM19" t="n">
        <x:f>IF($B19&lt;AM$8,0,AM$3+(AM$4-AM$3)*(POWER(AM$5,$B19-AM$8)-1)/(POWER(AM$5,$C$5-AM$8)-1))</x:f>
        <x:v>35.096839112767384</x:v>
      </x:c>
      <x:c r="AN19" t="n">
        <x:f>(((E19*'模块规划'!$D$10+G19*'模块规划'!$D$11+H19*'模块规划'!$D$13)*(1+'模块规划'!$G$14*H19)+(I19*'模块规划'!$D$15+J19*'模块规划'!$D$17+K19*'模块规划'!$D$16+L19*'模块规划'!$D$18))*(1+'模块规划'!$J$17*J19))*F19/(1-Q19)</x:f>
        <x:v>20356.218804319407</x:v>
      </x:c>
      <x:c r="AO19" t="n">
        <x:f>AL19*AM19</x:f>
        <x:v>206999.6431178572</x:v>
      </x:c>
      <x:c r="AP19" t="n">
        <x:f>IF(AO19="","",INDEX('_曲线基线'!$A$3:$A$502,MIN(ROWS('_曲线基线'!$A$3:$A$502),COUNTIF('_曲线基线'!$E$3:$E$502,"&lt;"&amp;AO19)+1)))</x:f>
        <x:v>17</x:v>
      </x:c>
      <x:c r="AQ19" t="n">
        <x:f>IF(B19&lt;=2,1,IF(B19&lt;=6,2,IF(B19&lt;=9,3,IF(B19&lt;=19,4,5))))</x:f>
        <x:v>3</x:v>
      </x:c>
      <x:c r="AR19" t="n">
        <x:f>AN19*(1-Q19)/F19*$AS$3+U19*$AS$4+P19*$AS$5</x:f>
        <x:v>648.1271278119167</x:v>
      </x:c>
      <x:c r="AS19" t="n">
        <x:f>1+AH19*$AS$6+AI19*$AS$7+(AJ19-1)*$AS$8+($H$10*H19+$I$10*I19+$J$10*J19+$K$10*K19+$L$10*L19)*$AU$3*$AS$9+($H$10*H19+$I$10*I19+$J$10*J19+$K$10*K19+$L$10*L19)*$AU$4*$AS$10</x:f>
        <x:v>4.98158</x:v>
      </x:c>
      <x:c r="AT19" t="n">
        <x:f>ROUND(AR19*AS19,0)</x:f>
        <x:v>3229</x:v>
      </x:c>
      <x:c r="AU19" t="n">
        <x:f>ROUND(AT19*F19,0)</x:f>
        <x:v>8611</x:v>
      </x:c>
    </x:row>
    <x:row r="20">
      <x:c r="A20" t="n">
        <x:f>IFERROR(XLOOKUP(B20,'_曲线基线'!$G$3:$G$107,'_曲线基线'!$J$3:$J$107,""),"")</x:f>
        <x:v>8</x:v>
      </x:c>
      <x:c r="B20" t="n">
        <x:v>9</x:v>
      </x:c>
      <x:c r="C20" t="n">
        <x:v>1</x:v>
      </x:c>
      <x:c r="D20" t="n">
        <x:v>5</x:v>
      </x:c>
      <x:c r="E20" t="n">
        <x:f>IF($B20&lt;E$8,0,E$3+(E$4-E$3)*(POWER(E$5,$B20-E$8)-1)/(POWER(E$5,$C$5-E$8)-1))</x:f>
        <x:v>1</x:v>
      </x:c>
      <x:c r="F20" t="n">
        <x:f>1+IF(B20&lt;3,0,MIN(1,(B20-2)/4))+IF(B20&lt;7,0,MIN(1,(B20-6)/3))+IF(B20&lt;10,0,MIN(1,(B20-9)/5))+IF(B20&lt;20,0,MIN(1,(B20-19)/10))</x:f>
        <x:v>3</x:v>
      </x:c>
      <x:c r="G20" t="n">
        <x:f>IF($B20&lt;G$8,0,G$3+(G$4-G$3)*(POWER(G$5,$B20-G$8)-1)/(POWER(G$5,$C$5-G$8)-1))</x:f>
        <x:v>0.10405482975761521</x:v>
      </x:c>
      <x:c r="H20" t="n">
        <x:f>IF($B20&lt;H$8,0,H$3+(H$4-H$3)*(POWER(H$5,$B20-H$8)-1)/(POWER(H$5,$C$5-H$8)-1))</x:f>
        <x:v>0</x:v>
      </x:c>
      <x:c r="I20" t="n">
        <x:f>IF($B20&lt;I$8,0,I$3+(I$4-I$3)*(POWER(I$5,$B20-I$8)-1)/(POWER(I$5,$C$5-I$8)-1))</x:f>
        <x:v>0</x:v>
      </x:c>
      <x:c r="J20" t="n">
        <x:f>IF($B20&lt;J$8,0,J$3+(J$4-J$3)*(POWER(J$5,$B20-J$8)-1)/(POWER(J$5,$C$5-J$8)-1))</x:f>
        <x:v>0</x:v>
      </x:c>
      <x:c r="K20" t="n">
        <x:f>IF($B20&lt;K$8,0,K$3+(K$4-K$3)*(POWER(K$5,$B20-K$8)-1)/(POWER(K$5,$C$5-K$8)-1))</x:f>
        <x:v>0</x:v>
      </x:c>
      <x:c r="L20" t="n">
        <x:f>IF($B20&lt;L$8,0,L$3+(L$4-L$3)*(POWER(L$5,$B20-L$8)-1)/(POWER(L$5,$C$5-L$8)-1))</x:f>
        <x:v>0</x:v>
      </x:c>
      <x:c r="M20" t="n">
        <x:f>E20*'模块规划'!$F$10+G20*'模块规划'!$F$11+H20*'模块规划'!$F$13</x:f>
        <x:v>1499.463182836553</x:v>
      </x:c>
      <x:c r="N20" t="n">
        <x:f>I20*'模块规划'!$F$15+J20*'模块规划'!$F$17+K20*'模块规划'!$F$16+L20*'模块规划'!$F$18</x:f>
        <x:v>0</x:v>
      </x:c>
      <x:c r="O20" t="n">
        <x:f>1+O$9*SUMPRODUCT($H$10:$L$10,H20:L20)/SUM($H$10:$L$10)</x:f>
        <x:v>1</x:v>
      </x:c>
      <x:c r="P20" t="n">
        <x:f>M20*O20+N20</x:f>
        <x:v>1499.463182836553</x:v>
      </x:c>
      <x:c r="Q20" t="n">
        <x:f>P20/(P20+'_曲线基线'!$L$2)</x:f>
        <x:v>0.05880371567374122</x:v>
      </x:c>
      <x:c r="R20" t="n">
        <x:f>E20*'模块规划'!$E$10+G20*'模块规划'!$E$11+H20*'模块规划'!$E$13</x:f>
        <x:v>2249.1947742548296</x:v>
      </x:c>
      <x:c r="S20" t="n">
        <x:f>I20*'模块规划'!$E$15+J20*'模块规划'!$E$17+K20*'模块规划'!$E$16+L20*'模块规划'!$E$18</x:f>
        <x:v>0</x:v>
      </x:c>
      <x:c r="T20" t="n">
        <x:f>1+T$9*SUMPRODUCT($H$10:$L$10,H20:L20)/SUM($H$10:$L$10)</x:f>
        <x:v>1</x:v>
      </x:c>
      <x:c r="U20" t="n">
        <x:f>R20*T20+S20</x:f>
        <x:v>2249.1947742548296</x:v>
      </x:c>
      <x:c r="V20" t="n">
        <x:f>V$8+(V$9-V$8)*H20</x:f>
        <x:v>0.7</x:v>
      </x:c>
      <x:c r="W20" t="n">
        <x:f>IF(B20&lt;$H$8,0,W$8+(W$9-W$8)*H20)</x:f>
        <x:v>0</x:v>
      </x:c>
      <x:c r="X20" t="n">
        <x:f>X$8+(X$9-X$8)*H20</x:f>
        <x:v>0.275</x:v>
      </x:c>
      <x:c r="Y20" t="n">
        <x:f>Y$8+(Y$9-Y$8)*G20</x:f>
        <x:v>1</x:v>
      </x:c>
      <x:c r="Z20" t="n">
        <x:f>Z$8+(Z$9-Z$8)*H20</x:f>
        <x:v>1</x:v>
      </x:c>
      <x:c r="AA20" t="n">
        <x:f>AA$8+(AA$9-AA$8)*I20</x:f>
        <x:v>1</x:v>
      </x:c>
      <x:c r="AB20" t="n">
        <x:f>AB$8+(AB$9-AB$8)*J20</x:f>
        <x:v>1</x:v>
      </x:c>
      <x:c r="AC20" t="n">
        <x:f>AC$8+(AC$9-AC$8)*MAX(K20,L20)</x:f>
        <x:v>1</x:v>
      </x:c>
      <x:c r="AD20" t="n">
        <x:f>(V20*AE20+W20*AF20+X20*AG20)*PRODUCT(Y20:AC20)</x:f>
        <x:v>0.975</x:v>
      </x:c>
      <x:c r="AE20" t="n">
        <x:f>1+AE$9*($H$10*H20+$I$10*I20+$J$10*J20+$K$10*K20+$L$10*L20)</x:f>
        <x:v>1</x:v>
      </x:c>
      <x:c r="AF20" t="n">
        <x:f>1+AF$9*($H$10*H20+$I$10*I20+$J$10*J20+$K$10*K20+$L$10*L20)</x:f>
        <x:v>1</x:v>
      </x:c>
      <x:c r="AG20" t="n">
        <x:f>1+AG$9*($H$10*H20+$I$10*I20+$J$10*J20+$K$10*K20+$L$10*L20)</x:f>
        <x:v>1</x:v>
      </x:c>
      <x:c r="AH20" t="n">
        <x:f>MIN(1,'_曲线基线'!$L$3+AH$9*($H$10*H20+$I$10*I20+$J$10*J20+$K$10*K20+$L$10*L20))</x:f>
        <x:v>0.05</x:v>
      </x:c>
      <x:c r="AI20" t="n">
        <x:f>'_曲线基线'!$L$4+AI$9*($H$10*H20+$I$10*I20+$J$10*J20+$K$10*K20+$L$10*L20)</x:f>
        <x:v>2</x:v>
      </x:c>
      <x:c r="AJ20" t="n">
        <x:f>1+AJ$9*($H$10*H20+$I$10*I20+$J$10*J20+$K$10*K20+$L$10*L20)</x:f>
        <x:v>1</x:v>
      </x:c>
      <x:c r="AK20" t="n">
        <x:f>(1+AH20*(AI20-1))*AJ20</x:f>
        <x:v>1.05</x:v>
      </x:c>
      <x:c r="AL20" t="n">
        <x:f>U20*AD20*AK20*F20</x:f>
        <x:v>6907.839450430146</x:v>
      </x:c>
      <x:c r="AM20" t="n">
        <x:f>IF($B20&lt;AM$8,0,AM$3+(AM$4-AM$3)*(POWER(AM$5,$B20-AM$8)-1)/(POWER(AM$5,$C$5-AM$8)-1))</x:f>
        <x:v>35.11123214381692</x:v>
      </x:c>
      <x:c r="AN20" t="n">
        <x:f>(((E20*'模块规划'!$D$10+G20*'模块规划'!$D$11+H20*'模块规划'!$D$13)*(1+'模块规划'!$G$14*H20)+(I20*'模块规划'!$D$15+J20*'模块规划'!$D$17+K20*'模块规划'!$D$16+L20*'模块规划'!$D$18))*(1+'模块规划'!$J$17*J20))*F20/(1-Q20)</x:f>
        <x:v>23897.191390474753</x:v>
      </x:c>
      <x:c r="AO20" t="n">
        <x:f>AL20*AM20</x:f>
        <x:v>242542.75455626956</x:v>
      </x:c>
      <x:c r="AP20" t="n">
        <x:f>IF(AO20="","",INDEX('_曲线基线'!$A$3:$A$502,MIN(ROWS('_曲线基线'!$A$3:$A$502),COUNTIF('_曲线基线'!$E$3:$E$502,"&lt;"&amp;AO20)+1)))</x:f>
        <x:v>19</x:v>
      </x:c>
      <x:c r="AQ20" t="n">
        <x:f>IF(B20&lt;=2,1,IF(B20&lt;=6,2,IF(B20&lt;=9,3,IF(B20&lt;=19,4,5))))</x:f>
        <x:v>3</x:v>
      </x:c>
      <x:c r="AR20" t="n">
        <x:f>AN20*(1-Q20)/F20*$AS$3+U20*$AS$4+P20*$AS$5</x:f>
        <x:v>674.7584322764488</x:v>
      </x:c>
      <x:c r="AS20" t="n">
        <x:f>1+AH20*$AS$6+AI20*$AS$7+(AJ20-1)*$AS$8+($H$10*H20+$I$10*I20+$J$10*J20+$K$10*K20+$L$10*L20)*$AU$3*$AS$9+($H$10*H20+$I$10*I20+$J$10*J20+$K$10*K20+$L$10*L20)*$AU$4*$AS$10</x:f>
        <x:v>4.98158</x:v>
      </x:c>
      <x:c r="AT20" t="n">
        <x:f>ROUND(AR20*AS20,0)</x:f>
        <x:v>3361</x:v>
      </x:c>
      <x:c r="AU20" t="n">
        <x:f>ROUND(AT20*F20,0)</x:f>
        <x:v>10083</x:v>
      </x:c>
    </x:row>
    <x:row r="21">
      <x:c r="A21" t="n">
        <x:f>IFERROR(XLOOKUP(B21,'_曲线基线'!$G$3:$G$107,'_曲线基线'!$J$3:$J$107,""),"")</x:f>
        <x:v>9</x:v>
      </x:c>
      <x:c r="B21" t="n">
        <x:v>10</x:v>
      </x:c>
      <x:c r="C21" t="n">
        <x:v>1</x:v>
      </x:c>
      <x:c r="D21" t="n">
        <x:v>6</x:v>
      </x:c>
      <x:c r="E21" t="n">
        <x:f>IF($B21&lt;E$8,0,E$3+(E$4-E$3)*(POWER(E$5,$B21-E$8)-1)/(POWER(E$5,$C$5-E$8)-1))</x:f>
        <x:v>1</x:v>
      </x:c>
      <x:c r="F21" t="n">
        <x:f>1+IF(B21&lt;3,0,MIN(1,(B21-2)/4))+IF(B21&lt;7,0,MIN(1,(B21-6)/3))+IF(B21&lt;10,0,MIN(1,(B21-9)/5))+IF(B21&lt;20,0,MIN(1,(B21-19)/10))</x:f>
        <x:v>3.2</x:v>
      </x:c>
      <x:c r="G21" t="n">
        <x:f>IF($B21&lt;G$8,0,G$3+(G$4-G$3)*(POWER(G$5,$B21-G$8)-1)/(POWER(G$5,$C$5-G$8)-1))</x:f>
        <x:v>0.11619919776574683</x:v>
      </x:c>
      <x:c r="H21" t="n">
        <x:f>IF($B21&lt;H$8,0,H$3+(H$4-H$3)*(POWER(H$5,$B21-H$8)-1)/(POWER(H$5,$C$5-H$8)-1))</x:f>
        <x:v>0</x:v>
      </x:c>
      <x:c r="I21" t="n">
        <x:f>IF($B21&lt;I$8,0,I$3+(I$4-I$3)*(POWER(I$5,$B21-I$8)-1)/(POWER(I$5,$C$5-I$8)-1))</x:f>
        <x:v>0</x:v>
      </x:c>
      <x:c r="J21" t="n">
        <x:f>IF($B21&lt;J$8,0,J$3+(J$4-J$3)*(POWER(J$5,$B21-J$8)-1)/(POWER(J$5,$C$5-J$8)-1))</x:f>
        <x:v>0</x:v>
      </x:c>
      <x:c r="K21" t="n">
        <x:f>IF($B21&lt;K$8,0,K$3+(K$4-K$3)*(POWER(K$5,$B21-K$8)-1)/(POWER(K$5,$C$5-K$8)-1))</x:f>
        <x:v>0</x:v>
      </x:c>
      <x:c r="L21" t="n">
        <x:f>IF($B21&lt;L$8,0,L$3+(L$4-L$3)*(POWER(L$5,$B21-L$8)-1)/(POWER(L$5,$C$5-L$8)-1))</x:f>
        <x:v>0</x:v>
      </x:c>
      <x:c r="M21" t="n">
        <x:f>E21*'模块规划'!$F$10+G21*'模块规划'!$F$11+H21*'模块规划'!$F$13</x:f>
        <x:v>1557.756149275585</x:v>
      </x:c>
      <x:c r="N21" t="n">
        <x:f>I21*'模块规划'!$F$15+J21*'模块规划'!$F$17+K21*'模块规划'!$F$16+L21*'模块规划'!$F$18</x:f>
        <x:v>0</x:v>
      </x:c>
      <x:c r="O21" t="n">
        <x:f>1+O$9*SUMPRODUCT($H$10:$L$10,H21:L21)/SUM($H$10:$L$10)</x:f>
        <x:v>1</x:v>
      </x:c>
      <x:c r="P21" t="n">
        <x:f>M21*O21+N21</x:f>
        <x:v>1557.756149275585</x:v>
      </x:c>
      <x:c r="Q21" t="n">
        <x:f>P21/(P21+'_曲线基线'!$L$2)</x:f>
        <x:v>0.0609504269536486</x:v>
      </x:c>
      <x:c r="R21" t="n">
        <x:f>E21*'模块规划'!$E$10+G21*'模块规划'!$E$11+H21*'模块规划'!$E$13</x:f>
        <x:v>2336.6342239133774</x:v>
      </x:c>
      <x:c r="S21" t="n">
        <x:f>I21*'模块规划'!$E$15+J21*'模块规划'!$E$17+K21*'模块规划'!$E$16+L21*'模块规划'!$E$18</x:f>
        <x:v>0</x:v>
      </x:c>
      <x:c r="T21" t="n">
        <x:f>1+T$9*SUMPRODUCT($H$10:$L$10,H21:L21)/SUM($H$10:$L$10)</x:f>
        <x:v>1</x:v>
      </x:c>
      <x:c r="U21" t="n">
        <x:f>R21*T21+S21</x:f>
        <x:v>2336.6342239133774</x:v>
      </x:c>
      <x:c r="V21" t="n">
        <x:f>V$8+(V$9-V$8)*H21</x:f>
        <x:v>0.7</x:v>
      </x:c>
      <x:c r="W21" t="n">
        <x:f>IF(B21&lt;$H$8,0,W$8+(W$9-W$8)*H21)</x:f>
        <x:v>0</x:v>
      </x:c>
      <x:c r="X21" t="n">
        <x:f>X$8+(X$9-X$8)*H21</x:f>
        <x:v>0.275</x:v>
      </x:c>
      <x:c r="Y21" t="n">
        <x:f>Y$8+(Y$9-Y$8)*G21</x:f>
        <x:v>1</x:v>
      </x:c>
      <x:c r="Z21" t="n">
        <x:f>Z$8+(Z$9-Z$8)*H21</x:f>
        <x:v>1</x:v>
      </x:c>
      <x:c r="AA21" t="n">
        <x:f>AA$8+(AA$9-AA$8)*I21</x:f>
        <x:v>1</x:v>
      </x:c>
      <x:c r="AB21" t="n">
        <x:f>AB$8+(AB$9-AB$8)*J21</x:f>
        <x:v>1</x:v>
      </x:c>
      <x:c r="AC21" t="n">
        <x:f>AC$8+(AC$9-AC$8)*MAX(K21,L21)</x:f>
        <x:v>1</x:v>
      </x:c>
      <x:c r="AD21" t="n">
        <x:f>(V21*AE21+W21*AF21+X21*AG21)*PRODUCT(Y21:AC21)</x:f>
        <x:v>0.975</x:v>
      </x:c>
      <x:c r="AE21" t="n">
        <x:f>1+AE$9*($H$10*H21+$I$10*I21+$J$10*J21+$K$10*K21+$L$10*L21)</x:f>
        <x:v>1</x:v>
      </x:c>
      <x:c r="AF21" t="n">
        <x:f>1+AF$9*($H$10*H21+$I$10*I21+$J$10*J21+$K$10*K21+$L$10*L21)</x:f>
        <x:v>1</x:v>
      </x:c>
      <x:c r="AG21" t="n">
        <x:f>1+AG$9*($H$10*H21+$I$10*I21+$J$10*J21+$K$10*K21+$L$10*L21)</x:f>
        <x:v>1</x:v>
      </x:c>
      <x:c r="AH21" t="n">
        <x:f>MIN(1,'_曲线基线'!$L$3+AH$9*($H$10*H21+$I$10*I21+$J$10*J21+$K$10*K21+$L$10*L21))</x:f>
        <x:v>0.05</x:v>
      </x:c>
      <x:c r="AI21" t="n">
        <x:f>'_曲线基线'!$L$4+AI$9*($H$10*H21+$I$10*I21+$J$10*J21+$K$10*K21+$L$10*L21)</x:f>
        <x:v>2</x:v>
      </x:c>
      <x:c r="AJ21" t="n">
        <x:f>1+AJ$9*($H$10*H21+$I$10*I21+$J$10*J21+$K$10*K21+$L$10*L21)</x:f>
        <x:v>1</x:v>
      </x:c>
      <x:c r="AK21" t="n">
        <x:f>(1+AH21*(AI21-1))*AJ21</x:f>
        <x:v>1.05</x:v>
      </x:c>
      <x:c r="AL21" t="n">
        <x:f>U21*AD21*AK21*F21</x:f>
        <x:v>7654.813717540224</x:v>
      </x:c>
      <x:c r="AM21" t="n">
        <x:f>IF($B21&lt;AM$8,0,AM$3+(AM$4-AM$3)*(POWER(AM$5,$B21-AM$8)-1)/(POWER(AM$5,$C$5-AM$8)-1))</x:f>
        <x:v>35.125769105176964</x:v>
      </x:c>
      <x:c r="AN21" t="n">
        <x:f>(((E21*'模块规划'!$D$10+G21*'模块规划'!$D$11+H21*'模块规划'!$D$13)*(1+'模块规划'!$G$14*H21)+(I21*'模块规划'!$D$15+J21*'模块规划'!$D$17+K21*'模块规划'!$D$16+L21*'模块规划'!$D$18))*(1+'模块规划'!$J$17*J21))*F21/(1-Q21)</x:f>
        <x:v>26541.834535479957</x:v>
      </x:c>
      <x:c r="AO21" t="n">
        <x:f>AL21*AM21</x:f>
        <x:v>268881.21918545925</x:v>
      </x:c>
      <x:c r="AP21" t="n">
        <x:f>IF(AO21="","",INDEX('_曲线基线'!$A$3:$A$502,MIN(ROWS('_曲线基线'!$A$3:$A$502),COUNTIF('_曲线基线'!$E$3:$E$502,"&lt;"&amp;AO21)+1)))</x:f>
        <x:v>21</x:v>
      </x:c>
      <x:c r="AQ21" t="n">
        <x:f>IF(B21&lt;=2,1,IF(B21&lt;=6,2,IF(B21&lt;=9,3,IF(B21&lt;=19,4,5))))</x:f>
        <x:v>4</x:v>
      </x:c>
      <x:c r="AR21" t="n">
        <x:f>AN21*(1-Q21)/F21*$AS$3+U21*$AS$4+P21*$AS$5</x:f>
        <x:v>700.9902671740132</x:v>
      </x:c>
      <x:c r="AS21" t="n">
        <x:f>1+AH21*$AS$6+AI21*$AS$7+(AJ21-1)*$AS$8+($H$10*H21+$I$10*I21+$J$10*J21+$K$10*K21+$L$10*L21)*$AU$3*$AS$9+($H$10*H21+$I$10*I21+$J$10*J21+$K$10*K21+$L$10*L21)*$AU$4*$AS$10</x:f>
        <x:v>4.98158</x:v>
      </x:c>
      <x:c r="AT21" t="n">
        <x:f>ROUND(AR21*AS21,0)</x:f>
        <x:v>3492</x:v>
      </x:c>
      <x:c r="AU21" t="n">
        <x:f>ROUND(AT21*F21,0)</x:f>
        <x:v>11174</x:v>
      </x:c>
    </x:row>
    <x:row r="22">
      <x:c r="A22" t="n">
        <x:f>IFERROR(XLOOKUP(B22,'_曲线基线'!$G$3:$G$107,'_曲线基线'!$J$3:$J$107,""),"")</x:f>
        <x:v>10</x:v>
      </x:c>
      <x:c r="B22" t="n">
        <x:v>11</x:v>
      </x:c>
      <x:c r="C22" t="n">
        <x:v>1</x:v>
      </x:c>
      <x:c r="D22" t="n">
        <x:v>7</x:v>
      </x:c>
      <x:c r="E22" t="n">
        <x:f>IF($B22&lt;E$8,0,E$3+(E$4-E$3)*(POWER(E$5,$B22-E$8)-1)/(POWER(E$5,$C$5-E$8)-1))</x:f>
        <x:v>1</x:v>
      </x:c>
      <x:c r="F22" t="n">
        <x:f>1+IF(B22&lt;3,0,MIN(1,(B22-2)/4))+IF(B22&lt;7,0,MIN(1,(B22-6)/3))+IF(B22&lt;10,0,MIN(1,(B22-9)/5))+IF(B22&lt;20,0,MIN(1,(B22-19)/10))</x:f>
        <x:v>3.4</x:v>
      </x:c>
      <x:c r="G22" t="n">
        <x:f>IF($B22&lt;G$8,0,G$3+(G$4-G$3)*(POWER(G$5,$B22-G$8)-1)/(POWER(G$5,$C$5-G$8)-1))</x:f>
        <x:v>0.12816140025375647</x:v>
      </x:c>
      <x:c r="H22" t="n">
        <x:f>IF($B22&lt;H$8,0,H$3+(H$4-H$3)*(POWER(H$5,$B22-H$8)-1)/(POWER(H$5,$C$5-H$8)-1))</x:f>
        <x:v>0</x:v>
      </x:c>
      <x:c r="I22" t="n">
        <x:f>IF($B22&lt;I$8,0,I$3+(I$4-I$3)*(POWER(I$5,$B22-I$8)-1)/(POWER(I$5,$C$5-I$8)-1))</x:f>
        <x:v>0</x:v>
      </x:c>
      <x:c r="J22" t="n">
        <x:f>IF($B22&lt;J$8,0,J$3+(J$4-J$3)*(POWER(J$5,$B22-J$8)-1)/(POWER(J$5,$C$5-J$8)-1))</x:f>
        <x:v>0</x:v>
      </x:c>
      <x:c r="K22" t="n">
        <x:f>IF($B22&lt;K$8,0,K$3+(K$4-K$3)*(POWER(K$5,$B22-K$8)-1)/(POWER(K$5,$C$5-K$8)-1))</x:f>
        <x:v>0</x:v>
      </x:c>
      <x:c r="L22" t="n">
        <x:f>IF($B22&lt;L$8,0,L$3+(L$4-L$3)*(POWER(L$5,$B22-L$8)-1)/(POWER(L$5,$C$5-L$8)-1))</x:f>
        <x:v>0</x:v>
      </x:c>
      <x:c r="M22" t="n">
        <x:f>E22*'模块规划'!$F$10+G22*'模块规划'!$F$11+H22*'模块规划'!$F$13</x:f>
        <x:v>1615.1747212180312</x:v>
      </x:c>
      <x:c r="N22" t="n">
        <x:f>I22*'模块规划'!$F$15+J22*'模块规划'!$F$17+K22*'模块规划'!$F$16+L22*'模块规划'!$F$18</x:f>
        <x:v>0</x:v>
      </x:c>
      <x:c r="O22" t="n">
        <x:f>1+O$9*SUMPRODUCT($H$10:$L$10,H22:L22)/SUM($H$10:$L$10)</x:f>
        <x:v>1</x:v>
      </x:c>
      <x:c r="P22" t="n">
        <x:f>M22*O22+N22</x:f>
        <x:v>1615.1747212180312</x:v>
      </x:c>
      <x:c r="Q22" t="n">
        <x:f>P22/(P22+'_曲线基线'!$L$2)</x:f>
        <x:v>0.06305538567652713</x:v>
      </x:c>
      <x:c r="R22" t="n">
        <x:f>E22*'模块规划'!$E$10+G22*'模块规划'!$E$11+H22*'模块规划'!$E$13</x:f>
        <x:v>2422.7620818270466</x:v>
      </x:c>
      <x:c r="S22" t="n">
        <x:f>I22*'模块规划'!$E$15+J22*'模块规划'!$E$17+K22*'模块规划'!$E$16+L22*'模块规划'!$E$18</x:f>
        <x:v>0</x:v>
      </x:c>
      <x:c r="T22" t="n">
        <x:f>1+T$9*SUMPRODUCT($H$10:$L$10,H22:L22)/SUM($H$10:$L$10)</x:f>
        <x:v>1</x:v>
      </x:c>
      <x:c r="U22" t="n">
        <x:f>R22*T22+S22</x:f>
        <x:v>2422.7620818270466</x:v>
      </x:c>
      <x:c r="V22" t="n">
        <x:f>V$8+(V$9-V$8)*H22</x:f>
        <x:v>0.7</x:v>
      </x:c>
      <x:c r="W22" t="n">
        <x:f>IF(B22&lt;$H$8,0,W$8+(W$9-W$8)*H22)</x:f>
        <x:v>0</x:v>
      </x:c>
      <x:c r="X22" t="n">
        <x:f>X$8+(X$9-X$8)*H22</x:f>
        <x:v>0.275</x:v>
      </x:c>
      <x:c r="Y22" t="n">
        <x:f>Y$8+(Y$9-Y$8)*G22</x:f>
        <x:v>1</x:v>
      </x:c>
      <x:c r="Z22" t="n">
        <x:f>Z$8+(Z$9-Z$8)*H22</x:f>
        <x:v>1</x:v>
      </x:c>
      <x:c r="AA22" t="n">
        <x:f>AA$8+(AA$9-AA$8)*I22</x:f>
        <x:v>1</x:v>
      </x:c>
      <x:c r="AB22" t="n">
        <x:f>AB$8+(AB$9-AB$8)*J22</x:f>
        <x:v>1</x:v>
      </x:c>
      <x:c r="AC22" t="n">
        <x:f>AC$8+(AC$9-AC$8)*MAX(K22,L22)</x:f>
        <x:v>1</x:v>
      </x:c>
      <x:c r="AD22" t="n">
        <x:f>(V22*AE22+W22*AF22+X22*AG22)*PRODUCT(Y22:AC22)</x:f>
        <x:v>0.975</x:v>
      </x:c>
      <x:c r="AE22" t="n">
        <x:f>1+AE$9*($H$10*H22+$I$10*I22+$J$10*J22+$K$10*K22+$L$10*L22)</x:f>
        <x:v>1</x:v>
      </x:c>
      <x:c r="AF22" t="n">
        <x:f>1+AF$9*($H$10*H22+$I$10*I22+$J$10*J22+$K$10*K22+$L$10*L22)</x:f>
        <x:v>1</x:v>
      </x:c>
      <x:c r="AG22" t="n">
        <x:f>1+AG$9*($H$10*H22+$I$10*I22+$J$10*J22+$K$10*K22+$L$10*L22)</x:f>
        <x:v>1</x:v>
      </x:c>
      <x:c r="AH22" t="n">
        <x:f>MIN(1,'_曲线基线'!$L$3+AH$9*($H$10*H22+$I$10*I22+$J$10*J22+$K$10*K22+$L$10*L22))</x:f>
        <x:v>0.05</x:v>
      </x:c>
      <x:c r="AI22" t="n">
        <x:f>'_曲线基线'!$L$4+AI$9*($H$10*H22+$I$10*I22+$J$10*J22+$K$10*K22+$L$10*L22)</x:f>
        <x:v>2</x:v>
      </x:c>
      <x:c r="AJ22" t="n">
        <x:f>1+AJ$9*($H$10*H22+$I$10*I22+$J$10*J22+$K$10*K22+$L$10*L22)</x:f>
        <x:v>1</x:v>
      </x:c>
      <x:c r="AK22" t="n">
        <x:f>(1+AH22*(AI22-1))*AJ22</x:f>
        <x:v>1.05</x:v>
      </x:c>
      <x:c r="AL22" t="n">
        <x:f>U22*AD22*AK22*F22</x:f>
        <x:v>8433.029116319492</x:v>
      </x:c>
      <x:c r="AM22" t="n">
        <x:f>IF($B22&lt;AM$8,0,AM$3+(AM$4-AM$3)*(POWER(AM$5,$B22-AM$8)-1)/(POWER(AM$5,$C$5-AM$8)-1))</x:f>
        <x:v>35.1404514361506</x:v>
      </x:c>
      <x:c r="AN22" t="n">
        <x:f>(((E22*'模块规划'!$D$10+G22*'模块规划'!$D$11+H22*'模块规划'!$D$13)*(1+'模块规划'!$G$14*H22)+(I22*'模块规划'!$D$15+J22*'模块规划'!$D$17+K22*'模块规划'!$D$16+L22*'模块规划'!$D$18))*(1+'模块规划'!$J$17*J22))*F22/(1-Q22)</x:f>
        <x:v>29305.862738250267</x:v>
      </x:c>
      <x:c r="AO22" t="n">
        <x:f>AL22*AM22</x:f>
        <x:v>296340.4501216691</x:v>
      </x:c>
      <x:c r="AP22" t="n">
        <x:f>IF(AO22="","",INDEX('_曲线基线'!$A$3:$A$502,MIN(ROWS('_曲线基线'!$A$3:$A$502),COUNTIF('_曲线基线'!$E$3:$E$502,"&lt;"&amp;AO22)+1)))</x:f>
        <x:v>23</x:v>
      </x:c>
      <x:c r="AQ22" t="n">
        <x:f>IF(B22&lt;=2,1,IF(B22&lt;=6,2,IF(B22&lt;=9,3,IF(B22&lt;=19,4,5))))</x:f>
        <x:v>4</x:v>
      </x:c>
      <x:c r="AR22" t="n">
        <x:f>AN22*(1-Q22)/F22*$AS$3+U22*$AS$4+P22*$AS$5</x:f>
        <x:v>726.828624548114</x:v>
      </x:c>
      <x:c r="AS22" t="n">
        <x:f>1+AH22*$AS$6+AI22*$AS$7+(AJ22-1)*$AS$8+($H$10*H22+$I$10*I22+$J$10*J22+$K$10*K22+$L$10*L22)*$AU$3*$AS$9+($H$10*H22+$I$10*I22+$J$10*J22+$K$10*K22+$L$10*L22)*$AU$4*$AS$10</x:f>
        <x:v>4.98158</x:v>
      </x:c>
      <x:c r="AT22" t="n">
        <x:f>ROUND(AR22*AS22,0)</x:f>
        <x:v>3621</x:v>
      </x:c>
      <x:c r="AU22" t="n">
        <x:f>ROUND(AT22*F22,0)</x:f>
        <x:v>12311</x:v>
      </x:c>
    </x:row>
    <x:row r="23">
      <x:c r="A23" t="n">
        <x:f>IFERROR(XLOOKUP(B23,'_曲线基线'!$G$3:$G$107,'_曲线基线'!$J$3:$J$107,""),"")</x:f>
        <x:v>10</x:v>
      </x:c>
      <x:c r="B23" t="n">
        <x:v>12</x:v>
      </x:c>
      <x:c r="C23" t="n">
        <x:v>1</x:v>
      </x:c>
      <x:c r="D23" t="n">
        <x:v>8</x:v>
      </x:c>
      <x:c r="E23" t="n">
        <x:f>IF($B23&lt;E$8,0,E$3+(E$4-E$3)*(POWER(E$5,$B23-E$8)-1)/(POWER(E$5,$C$5-E$8)-1))</x:f>
        <x:v>1</x:v>
      </x:c>
      <x:c r="F23" t="n">
        <x:f>1+IF(B23&lt;3,0,MIN(1,(B23-2)/4))+IF(B23&lt;7,0,MIN(1,(B23-6)/3))+IF(B23&lt;10,0,MIN(1,(B23-9)/5))+IF(B23&lt;20,0,MIN(1,(B23-19)/10))</x:f>
        <x:v>3.6</x:v>
      </x:c>
      <x:c r="G23" t="n">
        <x:f>IF($B23&lt;G$8,0,G$3+(G$4-G$3)*(POWER(G$5,$B23-G$8)-1)/(POWER(G$5,$C$5-G$8)-1))</x:f>
        <x:v>0.139944169704446</x:v>
      </x:c>
      <x:c r="H23" t="n">
        <x:f>IF($B23&lt;H$8,0,H$3+(H$4-H$3)*(POWER(H$5,$B23-H$8)-1)/(POWER(H$5,$C$5-H$8)-1))</x:f>
        <x:v>0</x:v>
      </x:c>
      <x:c r="I23" t="n">
        <x:f>IF($B23&lt;I$8,0,I$3+(I$4-I$3)*(POWER(I$5,$B23-I$8)-1)/(POWER(I$5,$C$5-I$8)-1))</x:f>
        <x:v>0</x:v>
      </x:c>
      <x:c r="J23" t="n">
        <x:f>IF($B23&lt;J$8,0,J$3+(J$4-J$3)*(POWER(J$5,$B23-J$8)-1)/(POWER(J$5,$C$5-J$8)-1))</x:f>
        <x:v>0</x:v>
      </x:c>
      <x:c r="K23" t="n">
        <x:f>IF($B23&lt;K$8,0,K$3+(K$4-K$3)*(POWER(K$5,$B23-K$8)-1)/(POWER(K$5,$C$5-K$8)-1))</x:f>
        <x:v>0</x:v>
      </x:c>
      <x:c r="L23" t="n">
        <x:f>IF($B23&lt;L$8,0,L$3+(L$4-L$3)*(POWER(L$5,$B23-L$8)-1)/(POWER(L$5,$C$5-L$8)-1))</x:f>
        <x:v>0</x:v>
      </x:c>
      <x:c r="M23" t="n">
        <x:f>E23*'模块规划'!$F$10+G23*'模块规划'!$F$11+H23*'模块规划'!$F$13</x:f>
        <x:v>1671.732014581341</x:v>
      </x:c>
      <x:c r="N23" t="n">
        <x:f>I23*'模块规划'!$F$15+J23*'模块规划'!$F$17+K23*'模块规划'!$F$16+L23*'模块规划'!$F$18</x:f>
        <x:v>0</x:v>
      </x:c>
      <x:c r="O23" t="n">
        <x:f>1+O$9*SUMPRODUCT($H$10:$L$10,H23:L23)/SUM($H$10:$L$10)</x:f>
        <x:v>1</x:v>
      </x:c>
      <x:c r="P23" t="n">
        <x:f>M23*O23+N23</x:f>
        <x:v>1671.732014581341</x:v>
      </x:c>
      <x:c r="Q23" t="n">
        <x:f>P23/(P23+'_曲线基线'!$L$2)</x:f>
        <x:v>0.06511956472714074</x:v>
      </x:c>
      <x:c r="R23" t="n">
        <x:f>E23*'模块规划'!$E$10+G23*'模块规划'!$E$11+H23*'模块规划'!$E$13</x:f>
        <x:v>2507.5980218720115</x:v>
      </x:c>
      <x:c r="S23" t="n">
        <x:f>I23*'模块规划'!$E$15+J23*'模块规划'!$E$17+K23*'模块规划'!$E$16+L23*'模块规划'!$E$18</x:f>
        <x:v>0</x:v>
      </x:c>
      <x:c r="T23" t="n">
        <x:f>1+T$9*SUMPRODUCT($H$10:$L$10,H23:L23)/SUM($H$10:$L$10)</x:f>
        <x:v>1</x:v>
      </x:c>
      <x:c r="U23" t="n">
        <x:f>R23*T23+S23</x:f>
        <x:v>2507.5980218720115</x:v>
      </x:c>
      <x:c r="V23" t="n">
        <x:f>V$8+(V$9-V$8)*H23</x:f>
        <x:v>0.7</x:v>
      </x:c>
      <x:c r="W23" t="n">
        <x:f>IF(B23&lt;$H$8,0,W$8+(W$9-W$8)*H23)</x:f>
        <x:v>0</x:v>
      </x:c>
      <x:c r="X23" t="n">
        <x:f>X$8+(X$9-X$8)*H23</x:f>
        <x:v>0.275</x:v>
      </x:c>
      <x:c r="Y23" t="n">
        <x:f>Y$8+(Y$9-Y$8)*G23</x:f>
        <x:v>1</x:v>
      </x:c>
      <x:c r="Z23" t="n">
        <x:f>Z$8+(Z$9-Z$8)*H23</x:f>
        <x:v>1</x:v>
      </x:c>
      <x:c r="AA23" t="n">
        <x:f>AA$8+(AA$9-AA$8)*I23</x:f>
        <x:v>1</x:v>
      </x:c>
      <x:c r="AB23" t="n">
        <x:f>AB$8+(AB$9-AB$8)*J23</x:f>
        <x:v>1</x:v>
      </x:c>
      <x:c r="AC23" t="n">
        <x:f>AC$8+(AC$9-AC$8)*MAX(K23,L23)</x:f>
        <x:v>1</x:v>
      </x:c>
      <x:c r="AD23" t="n">
        <x:f>(V23*AE23+W23*AF23+X23*AG23)*PRODUCT(Y23:AC23)</x:f>
        <x:v>0.975</x:v>
      </x:c>
      <x:c r="AE23" t="n">
        <x:f>1+AE$9*($H$10*H23+$I$10*I23+$J$10*J23+$K$10*K23+$L$10*L23)</x:f>
        <x:v>1</x:v>
      </x:c>
      <x:c r="AF23" t="n">
        <x:f>1+AF$9*($H$10*H23+$I$10*I23+$J$10*J23+$K$10*K23+$L$10*L23)</x:f>
        <x:v>1</x:v>
      </x:c>
      <x:c r="AG23" t="n">
        <x:f>1+AG$9*($H$10*H23+$I$10*I23+$J$10*J23+$K$10*K23+$L$10*L23)</x:f>
        <x:v>1</x:v>
      </x:c>
      <x:c r="AH23" t="n">
        <x:f>MIN(1,'_曲线基线'!$L$3+AH$9*($H$10*H23+$I$10*I23+$J$10*J23+$K$10*K23+$L$10*L23))</x:f>
        <x:v>0.05</x:v>
      </x:c>
      <x:c r="AI23" t="n">
        <x:f>'_曲线基线'!$L$4+AI$9*($H$10*H23+$I$10*I23+$J$10*J23+$K$10*K23+$L$10*L23)</x:f>
        <x:v>2</x:v>
      </x:c>
      <x:c r="AJ23" t="n">
        <x:f>1+AJ$9*($H$10*H23+$I$10*I23+$J$10*J23+$K$10*K23+$L$10*L23)</x:f>
        <x:v>1</x:v>
      </x:c>
      <x:c r="AK23" t="n">
        <x:f>(1+AH23*(AI23-1))*AJ23</x:f>
        <x:v>1.05</x:v>
      </x:c>
      <x:c r="AL23" t="n">
        <x:f>U23*AD23*AK23*F23</x:f>
        <x:v>9241.7525096093</x:v>
      </x:c>
      <x:c r="AM23" t="n">
        <x:f>IF($B23&lt;AM$8,0,AM$3+(AM$4-AM$3)*(POWER(AM$5,$B23-AM$8)-1)/(POWER(AM$5,$C$5-AM$8)-1))</x:f>
        <x:v>35.155280590433975</x:v>
      </x:c>
      <x:c r="AN23" t="n">
        <x:f>(((E23*'模块规划'!$D$10+G23*'模块规划'!$D$11+H23*'模块规划'!$D$13)*(1+'模块规划'!$G$14*H23)+(I23*'模块规划'!$D$15+J23*'模块规划'!$D$17+K23*'模块规划'!$D$16+L23*'模块规划'!$D$18))*(1+'模块规划'!$J$17*J23))*F23/(1-Q23)</x:f>
        <x:v>32187.19220889627</x:v>
      </x:c>
      <x:c r="AO23" t="n">
        <x:f>AL23*AM23</x:f>
        <x:v>324896.4026226623</x:v>
      </x:c>
      <x:c r="AP23" t="n">
        <x:f>IF(AO23="","",INDEX('_曲线基线'!$A$3:$A$502,MIN(ROWS('_曲线基线'!$A$3:$A$502),COUNTIF('_曲线基线'!$E$3:$E$502,"&lt;"&amp;AO23)+1)))</x:f>
        <x:v>24</x:v>
      </x:c>
      <x:c r="AQ23" t="n">
        <x:f>IF(B23&lt;=2,1,IF(B23&lt;=6,2,IF(B23&lt;=9,3,IF(B23&lt;=19,4,5))))</x:f>
        <x:v>4</x:v>
      </x:c>
      <x:c r="AR23" t="n">
        <x:f>AN23*(1-Q23)/F23*$AS$3+U23*$AS$4+P23*$AS$5</x:f>
        <x:v>752.2794065616033</x:v>
      </x:c>
      <x:c r="AS23" t="n">
        <x:f>1+AH23*$AS$6+AI23*$AS$7+(AJ23-1)*$AS$8+($H$10*H23+$I$10*I23+$J$10*J23+$K$10*K23+$L$10*L23)*$AU$3*$AS$9+($H$10*H23+$I$10*I23+$J$10*J23+$K$10*K23+$L$10*L23)*$AU$4*$AS$10</x:f>
        <x:v>4.98158</x:v>
      </x:c>
      <x:c r="AT23" t="n">
        <x:f>ROUND(AR23*AS23,0)</x:f>
        <x:v>3748</x:v>
      </x:c>
      <x:c r="AU23" t="n">
        <x:f>ROUND(AT23*F23,0)</x:f>
        <x:v>13493</x:v>
      </x:c>
    </x:row>
    <x:row r="24">
      <x:c r="A24" t="n">
        <x:f>IFERROR(XLOOKUP(B24,'_曲线基线'!$G$3:$G$107,'_曲线基线'!$J$3:$J$107,""),"")</x:f>
        <x:v>11</x:v>
      </x:c>
      <x:c r="B24" t="n">
        <x:v>13</x:v>
      </x:c>
      <x:c r="C24" t="n">
        <x:v>2</x:v>
      </x:c>
      <x:c r="D24" t="n">
        <x:v>1</x:v>
      </x:c>
      <x:c r="E24" t="n">
        <x:f>IF($B24&lt;E$8,0,E$3+(E$4-E$3)*(POWER(E$5,$B24-E$8)-1)/(POWER(E$5,$C$5-E$8)-1))</x:f>
        <x:v>1</x:v>
      </x:c>
      <x:c r="F24" t="n">
        <x:f>1+IF(B24&lt;3,0,MIN(1,(B24-2)/4))+IF(B24&lt;7,0,MIN(1,(B24-6)/3))+IF(B24&lt;10,0,MIN(1,(B24-9)/5))+IF(B24&lt;20,0,MIN(1,(B24-19)/10))</x:f>
        <x:v>3.8</x:v>
      </x:c>
      <x:c r="G24" t="n">
        <x:f>IF($B24&lt;G$8,0,G$3+(G$4-G$3)*(POWER(G$5,$B24-G$8)-1)/(POWER(G$5,$C$5-G$8)-1))</x:f>
        <x:v>0.1515501976133751</x:v>
      </x:c>
      <x:c r="H24" t="n">
        <x:f>IF($B24&lt;H$8,0,H$3+(H$4-H$3)*(POWER(H$5,$B24-H$8)-1)/(POWER(H$5,$C$5-H$8)-1))</x:f>
        <x:v>0</x:v>
      </x:c>
      <x:c r="I24" t="n">
        <x:f>IF($B24&lt;I$8,0,I$3+(I$4-I$3)*(POWER(I$5,$B24-I$8)-1)/(POWER(I$5,$C$5-I$8)-1))</x:f>
        <x:v>0</x:v>
      </x:c>
      <x:c r="J24" t="n">
        <x:f>IF($B24&lt;J$8,0,J$3+(J$4-J$3)*(POWER(J$5,$B24-J$8)-1)/(POWER(J$5,$C$5-J$8)-1))</x:f>
        <x:v>0</x:v>
      </x:c>
      <x:c r="K24" t="n">
        <x:f>IF($B24&lt;K$8,0,K$3+(K$4-K$3)*(POWER(K$5,$B24-K$8)-1)/(POWER(K$5,$C$5-K$8)-1))</x:f>
        <x:v>0</x:v>
      </x:c>
      <x:c r="L24" t="n">
        <x:f>IF($B24&lt;L$8,0,L$3+(L$4-L$3)*(POWER(L$5,$B24-L$8)-1)/(POWER(L$5,$C$5-L$8)-1))</x:f>
        <x:v>0</x:v>
      </x:c>
      <x:c r="M24" t="n">
        <x:f>E24*'模块规划'!$F$10+G24*'模块规划'!$F$11+H24*'模块规划'!$F$13</x:f>
        <x:v>1727.4409485442006</x:v>
      </x:c>
      <x:c r="N24" t="n">
        <x:f>I24*'模块规划'!$F$15+J24*'模块规划'!$F$17+K24*'模块规划'!$F$16+L24*'模块规划'!$F$18</x:f>
        <x:v>0</x:v>
      </x:c>
      <x:c r="O24" t="n">
        <x:f>1+O$9*SUMPRODUCT($H$10:$L$10,H24:L24)/SUM($H$10:$L$10)</x:f>
        <x:v>1</x:v>
      </x:c>
      <x:c r="P24" t="n">
        <x:f>M24*O24+N24</x:f>
        <x:v>1727.4409485442006</x:v>
      </x:c>
      <x:c r="Q24" t="n">
        <x:f>P24/(P24+'_曲线基线'!$L$2)</x:f>
        <x:v>0.06714390879369402</x:v>
      </x:c>
      <x:c r="R24" t="n">
        <x:f>E24*'模块规划'!$E$10+G24*'模块规划'!$E$11+H24*'模块规划'!$E$13</x:f>
        <x:v>2591.1614228163007</x:v>
      </x:c>
      <x:c r="S24" t="n">
        <x:f>I24*'模块规划'!$E$15+J24*'模块规划'!$E$17+K24*'模块规划'!$E$16+L24*'模块规划'!$E$18</x:f>
        <x:v>0</x:v>
      </x:c>
      <x:c r="T24" t="n">
        <x:f>1+T$9*SUMPRODUCT($H$10:$L$10,H24:L24)/SUM($H$10:$L$10)</x:f>
        <x:v>1</x:v>
      </x:c>
      <x:c r="U24" t="n">
        <x:f>R24*T24+S24</x:f>
        <x:v>2591.1614228163007</x:v>
      </x:c>
      <x:c r="V24" t="n">
        <x:f>V$8+(V$9-V$8)*H24</x:f>
        <x:v>0.7</x:v>
      </x:c>
      <x:c r="W24" t="n">
        <x:f>IF(B24&lt;$H$8,0,W$8+(W$9-W$8)*H24)</x:f>
        <x:v>0</x:v>
      </x:c>
      <x:c r="X24" t="n">
        <x:f>X$8+(X$9-X$8)*H24</x:f>
        <x:v>0.275</x:v>
      </x:c>
      <x:c r="Y24" t="n">
        <x:f>Y$8+(Y$9-Y$8)*G24</x:f>
        <x:v>1</x:v>
      </x:c>
      <x:c r="Z24" t="n">
        <x:f>Z$8+(Z$9-Z$8)*H24</x:f>
        <x:v>1</x:v>
      </x:c>
      <x:c r="AA24" t="n">
        <x:f>AA$8+(AA$9-AA$8)*I24</x:f>
        <x:v>1</x:v>
      </x:c>
      <x:c r="AB24" t="n">
        <x:f>AB$8+(AB$9-AB$8)*J24</x:f>
        <x:v>1</x:v>
      </x:c>
      <x:c r="AC24" t="n">
        <x:f>AC$8+(AC$9-AC$8)*MAX(K24,L24)</x:f>
        <x:v>1</x:v>
      </x:c>
      <x:c r="AD24" t="n">
        <x:f>(V24*AE24+W24*AF24+X24*AG24)*PRODUCT(Y24:AC24)</x:f>
        <x:v>0.975</x:v>
      </x:c>
      <x:c r="AE24" t="n">
        <x:f>1+AE$9*($H$10*H24+$I$10*I24+$J$10*J24+$K$10*K24+$L$10*L24)</x:f>
        <x:v>1</x:v>
      </x:c>
      <x:c r="AF24" t="n">
        <x:f>1+AF$9*($H$10*H24+$I$10*I24+$J$10*J24+$K$10*K24+$L$10*L24)</x:f>
        <x:v>1</x:v>
      </x:c>
      <x:c r="AG24" t="n">
        <x:f>1+AG$9*($H$10*H24+$I$10*I24+$J$10*J24+$K$10*K24+$L$10*L24)</x:f>
        <x:v>1</x:v>
      </x:c>
      <x:c r="AH24" t="n">
        <x:f>MIN(1,'_曲线基线'!$L$3+AH$9*($H$10*H24+$I$10*I24+$J$10*J24+$K$10*K24+$L$10*L24))</x:f>
        <x:v>0.05</x:v>
      </x:c>
      <x:c r="AI24" t="n">
        <x:f>'_曲线基线'!$L$4+AI$9*($H$10*H24+$I$10*I24+$J$10*J24+$K$10*K24+$L$10*L24)</x:f>
        <x:v>2</x:v>
      </x:c>
      <x:c r="AJ24" t="n">
        <x:f>1+AJ$9*($H$10*H24+$I$10*I24+$J$10*J24+$K$10*K24+$L$10*L24)</x:f>
        <x:v>1</x:v>
      </x:c>
      <x:c r="AK24" t="n">
        <x:f>(1+AH24*(AI24-1))*AJ24</x:f>
        <x:v>1.05</x:v>
      </x:c>
      <x:c r="AL24" t="n">
        <x:f>U24*AD24*AK24*F24</x:f>
        <x:v>10080.265725111114</x:v>
      </x:c>
      <x:c r="AM24" t="n">
        <x:f>IF($B24&lt;AM$8,0,AM$3+(AM$4-AM$3)*(POWER(AM$5,$B24-AM$8)-1)/(POWER(AM$5,$C$5-AM$8)-1))</x:f>
        <x:v>35.17025803626018</x:v>
      </x:c>
      <x:c r="AN24" t="n">
        <x:f>(((E24*'模块规划'!$D$10+G24*'模块规划'!$D$11+H24*'模块规划'!$D$13)*(1+'模块规划'!$G$14*H24)+(I24*'模块规划'!$D$15+J24*'模块规划'!$D$17+K24*'模块规划'!$D$16+L24*'模块规划'!$D$18))*(1+'模块规划'!$J$17*J24))*F24/(1-Q24)</x:f>
        <x:v>35183.752704983075</x:v>
      </x:c>
      <x:c r="AO24" t="n">
        <x:f>AL24*AM24</x:f>
        <x:v>354525.5466262272</x:v>
      </x:c>
      <x:c r="AP24" t="n">
        <x:f>IF(AO24="","",INDEX('_曲线基线'!$A$3:$A$502,MIN(ROWS('_曲线基线'!$A$3:$A$502),COUNTIF('_曲线基线'!$E$3:$E$502,"&lt;"&amp;AO24)+1)))</x:f>
        <x:v>26</x:v>
      </x:c>
      <x:c r="AQ24" t="n">
        <x:f>IF(B24&lt;=2,1,IF(B24&lt;=6,2,IF(B24&lt;=9,3,IF(B24&lt;=19,4,5))))</x:f>
        <x:v>4</x:v>
      </x:c>
      <x:c r="AR24" t="n">
        <x:f>AN24*(1-Q24)/F24*$AS$3+U24*$AS$4+P24*$AS$5</x:f>
        <x:v>777.3484268448901</x:v>
      </x:c>
      <x:c r="AS24" t="n">
        <x:f>1+AH24*$AS$6+AI24*$AS$7+(AJ24-1)*$AS$8+($H$10*H24+$I$10*I24+$J$10*J24+$K$10*K24+$L$10*L24)*$AU$3*$AS$9+($H$10*H24+$I$10*I24+$J$10*J24+$K$10*K24+$L$10*L24)*$AU$4*$AS$10</x:f>
        <x:v>4.98158</x:v>
      </x:c>
      <x:c r="AT24" t="n">
        <x:f>ROUND(AR24*AS24,0)</x:f>
        <x:v>3872</x:v>
      </x:c>
      <x:c r="AU24" t="n">
        <x:f>ROUND(AT24*F24,0)</x:f>
        <x:v>14714</x:v>
      </x:c>
    </x:row>
    <x:row r="25">
      <x:c r="A25" t="n">
        <x:f>IFERROR(XLOOKUP(B25,'_曲线基线'!$G$3:$G$107,'_曲线基线'!$J$3:$J$107,""),"")</x:f>
        <x:v>12</x:v>
      </x:c>
      <x:c r="B25" t="n">
        <x:v>14</x:v>
      </x:c>
      <x:c r="C25" t="n">
        <x:v>2</x:v>
      </x:c>
      <x:c r="D25" t="n">
        <x:v>2</x:v>
      </x:c>
      <x:c r="E25" t="n">
        <x:f>IF($B25&lt;E$8,0,E$3+(E$4-E$3)*(POWER(E$5,$B25-E$8)-1)/(POWER(E$5,$C$5-E$8)-1))</x:f>
        <x:v>1</x:v>
      </x:c>
      <x:c r="F25" t="n">
        <x:f>1+IF(B25&lt;3,0,MIN(1,(B25-2)/4))+IF(B25&lt;7,0,MIN(1,(B25-6)/3))+IF(B25&lt;10,0,MIN(1,(B25-9)/5))+IF(B25&lt;20,0,MIN(1,(B25-19)/10))</x:f>
        <x:v>4</x:v>
      </x:c>
      <x:c r="G25" t="n">
        <x:f>IF($B25&lt;G$8,0,G$3+(G$4-G$3)*(POWER(G$5,$B25-G$8)-1)/(POWER(G$5,$C$5-G$8)-1))</x:f>
        <x:v>0.16298213510367032</x:v>
      </x:c>
      <x:c r="H25" t="n">
        <x:f>IF($B25&lt;H$8,0,H$3+(H$4-H$3)*(POWER(H$5,$B25-H$8)-1)/(POWER(H$5,$C$5-H$8)-1))</x:f>
        <x:v>0</x:v>
      </x:c>
      <x:c r="I25" t="n">
        <x:f>IF($B25&lt;I$8,0,I$3+(I$4-I$3)*(POWER(I$5,$B25-I$8)-1)/(POWER(I$5,$C$5-I$8)-1))</x:f>
        <x:v>0</x:v>
      </x:c>
      <x:c r="J25" t="n">
        <x:f>IF($B25&lt;J$8,0,J$3+(J$4-J$3)*(POWER(J$5,$B25-J$8)-1)/(POWER(J$5,$C$5-J$8)-1))</x:f>
        <x:v>0</x:v>
      </x:c>
      <x:c r="K25" t="n">
        <x:f>IF($B25&lt;K$8,0,K$3+(K$4-K$3)*(POWER(K$5,$B25-K$8)-1)/(POWER(K$5,$C$5-K$8)-1))</x:f>
        <x:v>0</x:v>
      </x:c>
      <x:c r="L25" t="n">
        <x:f>IF($B25&lt;L$8,0,L$3+(L$4-L$3)*(POWER(L$5,$B25-L$8)-1)/(POWER(L$5,$C$5-L$8)-1))</x:f>
        <x:v>0</x:v>
      </x:c>
      <x:c r="M25" t="n">
        <x:f>E25*'模块规划'!$F$10+G25*'模块规划'!$F$11+H25*'模块规划'!$F$13</x:f>
        <x:v>1782.3142484976174</x:v>
      </x:c>
      <x:c r="N25" t="n">
        <x:f>I25*'模块规划'!$F$15+J25*'模块规划'!$F$17+K25*'模块规划'!$F$16+L25*'模块规划'!$F$18</x:f>
        <x:v>0</x:v>
      </x:c>
      <x:c r="O25" t="n">
        <x:f>1+O$9*SUMPRODUCT($H$10:$L$10,H25:L25)/SUM($H$10:$L$10)</x:f>
        <x:v>1</x:v>
      </x:c>
      <x:c r="P25" t="n">
        <x:f>M25*O25+N25</x:f>
        <x:v>1782.3142484976174</x:v>
      </x:c>
      <x:c r="Q25" t="n">
        <x:f>P25/(P25+'_曲线基线'!$L$2)</x:f>
        <x:v>0.06912933537769893</x:v>
      </x:c>
      <x:c r="R25" t="n">
        <x:f>E25*'模块规划'!$E$10+G25*'模块规划'!$E$11+H25*'模块规划'!$E$13</x:f>
        <x:v>2673.4713727464264</x:v>
      </x:c>
      <x:c r="S25" t="n">
        <x:f>I25*'模块规划'!$E$15+J25*'模块规划'!$E$17+K25*'模块规划'!$E$16+L25*'模块规划'!$E$18</x:f>
        <x:v>0</x:v>
      </x:c>
      <x:c r="T25" t="n">
        <x:f>1+T$9*SUMPRODUCT($H$10:$L$10,H25:L25)/SUM($H$10:$L$10)</x:f>
        <x:v>1</x:v>
      </x:c>
      <x:c r="U25" t="n">
        <x:f>R25*T25+S25</x:f>
        <x:v>2673.4713727464264</x:v>
      </x:c>
      <x:c r="V25" t="n">
        <x:f>V$8+(V$9-V$8)*H25</x:f>
        <x:v>0.7</x:v>
      </x:c>
      <x:c r="W25" t="n">
        <x:f>IF(B25&lt;$H$8,0,W$8+(W$9-W$8)*H25)</x:f>
        <x:v>0</x:v>
      </x:c>
      <x:c r="X25" t="n">
        <x:f>X$8+(X$9-X$8)*H25</x:f>
        <x:v>0.275</x:v>
      </x:c>
      <x:c r="Y25" t="n">
        <x:f>Y$8+(Y$9-Y$8)*G25</x:f>
        <x:v>1</x:v>
      </x:c>
      <x:c r="Z25" t="n">
        <x:f>Z$8+(Z$9-Z$8)*H25</x:f>
        <x:v>1</x:v>
      </x:c>
      <x:c r="AA25" t="n">
        <x:f>AA$8+(AA$9-AA$8)*I25</x:f>
        <x:v>1</x:v>
      </x:c>
      <x:c r="AB25" t="n">
        <x:f>AB$8+(AB$9-AB$8)*J25</x:f>
        <x:v>1</x:v>
      </x:c>
      <x:c r="AC25" t="n">
        <x:f>AC$8+(AC$9-AC$8)*MAX(K25,L25)</x:f>
        <x:v>1</x:v>
      </x:c>
      <x:c r="AD25" t="n">
        <x:f>(V25*AE25+W25*AF25+X25*AG25)*PRODUCT(Y25:AC25)</x:f>
        <x:v>0.975</x:v>
      </x:c>
      <x:c r="AE25" t="n">
        <x:f>1+AE$9*($H$10*H25+$I$10*I25+$J$10*J25+$K$10*K25+$L$10*L25)</x:f>
        <x:v>1</x:v>
      </x:c>
      <x:c r="AF25" t="n">
        <x:f>1+AF$9*($H$10*H25+$I$10*I25+$J$10*J25+$K$10*K25+$L$10*L25)</x:f>
        <x:v>1</x:v>
      </x:c>
      <x:c r="AG25" t="n">
        <x:f>1+AG$9*($H$10*H25+$I$10*I25+$J$10*J25+$K$10*K25+$L$10*L25)</x:f>
        <x:v>1</x:v>
      </x:c>
      <x:c r="AH25" t="n">
        <x:f>MIN(1,'_曲线基线'!$L$3+AH$9*($H$10*H25+$I$10*I25+$J$10*J25+$K$10*K25+$L$10*L25))</x:f>
        <x:v>0.05</x:v>
      </x:c>
      <x:c r="AI25" t="n">
        <x:f>'_曲线基线'!$L$4+AI$9*($H$10*H25+$I$10*I25+$J$10*J25+$K$10*K25+$L$10*L25)</x:f>
        <x:v>2</x:v>
      </x:c>
      <x:c r="AJ25" t="n">
        <x:f>1+AJ$9*($H$10*H25+$I$10*I25+$J$10*J25+$K$10*K25+$L$10*L25)</x:f>
        <x:v>1</x:v>
      </x:c>
      <x:c r="AK25" t="n">
        <x:f>(1+AH25*(AI25-1))*AJ25</x:f>
        <x:v>1.05</x:v>
      </x:c>
      <x:c r="AL25" t="n">
        <x:f>U25*AD25*AK25*F25</x:f>
        <x:v>10947.865271396617</x:v>
      </x:c>
      <x:c r="AM25" t="n">
        <x:f>IF($B25&lt;AM$8,0,AM$3+(AM$4-AM$3)*(POWER(AM$5,$B25-AM$8)-1)/(POWER(AM$5,$C$5-AM$8)-1))</x:f>
        <x:v>35.185385256544656</x:v>
      </x:c>
      <x:c r="AN25" t="n">
        <x:f>(((E25*'模块规划'!$D$10+G25*'模块规划'!$D$11+H25*'模块规划'!$D$13)*(1+'模块规划'!$G$14*H25)+(I25*'模块规划'!$D$15+J25*'模块规划'!$D$17+K25*'模块规划'!$D$16+L25*'模块规划'!$D$18))*(1+'模块规划'!$J$17*J25))*F25/(1-Q25)</x:f>
        <x:v>38293.4883702837</x:v>
      </x:c>
      <x:c r="AO25" t="n">
        <x:f>AL25*AM25</x:f>
        <x:v>385204.8573108358</x:v>
      </x:c>
      <x:c r="AP25" t="n">
        <x:f>IF(AO25="","",INDEX('_曲线基线'!$A$3:$A$502,MIN(ROWS('_曲线基线'!$A$3:$A$502),COUNTIF('_曲线基线'!$E$3:$E$502,"&lt;"&amp;AO25)+1)))</x:f>
        <x:v>28</x:v>
      </x:c>
      <x:c r="AQ25" t="n">
        <x:f>IF(B25&lt;=2,1,IF(B25&lt;=6,2,IF(B25&lt;=9,3,IF(B25&lt;=19,4,5))))</x:f>
        <x:v>4</x:v>
      </x:c>
      <x:c r="AR25" t="n">
        <x:f>AN25*(1-Q25)/F25*$AS$3+U25*$AS$4+P25*$AS$5</x:f>
        <x:v>802.0414118239278</x:v>
      </x:c>
      <x:c r="AS25" t="n">
        <x:f>1+AH25*$AS$6+AI25*$AS$7+(AJ25-1)*$AS$8+($H$10*H25+$I$10*I25+$J$10*J25+$K$10*K25+$L$10*L25)*$AU$3*$AS$9+($H$10*H25+$I$10*I25+$J$10*J25+$K$10*K25+$L$10*L25)*$AU$4*$AS$10</x:f>
        <x:v>4.98158</x:v>
      </x:c>
      <x:c r="AT25" t="n">
        <x:f>ROUND(AR25*AS25,0)</x:f>
        <x:v>3995</x:v>
      </x:c>
      <x:c r="AU25" t="n">
        <x:f>ROUND(AT25*F25,0)</x:f>
        <x:v>15980</x:v>
      </x:c>
    </x:row>
    <x:row r="26">
      <x:c r="A26" t="n">
        <x:f>IFERROR(XLOOKUP(B26,'_曲线基线'!$G$3:$G$107,'_曲线基线'!$J$3:$J$107,""),"")</x:f>
        <x:v>13</x:v>
      </x:c>
      <x:c r="B26" t="n">
        <x:v>15</x:v>
      </x:c>
      <x:c r="C26" t="n">
        <x:v>2</x:v>
      </x:c>
      <x:c r="D26" t="n">
        <x:v>3</x:v>
      </x:c>
      <x:c r="E26" t="n">
        <x:f>IF($B26&lt;E$8,0,E$3+(E$4-E$3)*(POWER(E$5,$B26-E$8)-1)/(POWER(E$5,$C$5-E$8)-1))</x:f>
        <x:v>1</x:v>
      </x:c>
      <x:c r="F26" t="n">
        <x:f>1+IF(B26&lt;3,0,MIN(1,(B26-2)/4))+IF(B26&lt;7,0,MIN(1,(B26-6)/3))+IF(B26&lt;10,0,MIN(1,(B26-9)/5))+IF(B26&lt;20,0,MIN(1,(B26-19)/10))</x:f>
        <x:v>4</x:v>
      </x:c>
      <x:c r="G26" t="n">
        <x:f>IF($B26&lt;G$8,0,G$3+(G$4-G$3)*(POWER(G$5,$B26-G$8)-1)/(POWER(G$5,$C$5-G$8)-1))</x:f>
        <x:v>0.17424259353161115</x:v>
      </x:c>
      <x:c r="H26" t="n">
        <x:f>IF($B26&lt;H$8,0,H$3+(H$4-H$3)*(POWER(H$5,$B26-H$8)-1)/(POWER(H$5,$C$5-H$8)-1))</x:f>
        <x:v>0.014066542239511365</x:v>
      </x:c>
      <x:c r="I26" t="n">
        <x:f>IF($B26&lt;I$8,0,I$3+(I$4-I$3)*(POWER(I$5,$B26-I$8)-1)/(POWER(I$5,$C$5-I$8)-1))</x:f>
        <x:v>0</x:v>
      </x:c>
      <x:c r="J26" t="n">
        <x:f>IF($B26&lt;J$8,0,J$3+(J$4-J$3)*(POWER(J$5,$B26-J$8)-1)/(POWER(J$5,$C$5-J$8)-1))</x:f>
        <x:v>0</x:v>
      </x:c>
      <x:c r="K26" t="n">
        <x:f>IF($B26&lt;K$8,0,K$3+(K$4-K$3)*(POWER(K$5,$B26-K$8)-1)/(POWER(K$5,$C$5-K$8)-1))</x:f>
        <x:v>0</x:v>
      </x:c>
      <x:c r="L26" t="n">
        <x:f>IF($B26&lt;L$8,0,L$3+(L$4-L$3)*(POWER(L$5,$B26-L$8)-1)/(POWER(L$5,$C$5-L$8)-1))</x:f>
        <x:v>0</x:v>
      </x:c>
      <x:c r="M26" t="n">
        <x:f>E26*'模块规划'!$F$10+G26*'模块规划'!$F$11+H26*'模块规划'!$F$13</x:f>
        <x:v>1836.3644489517335</x:v>
      </x:c>
      <x:c r="N26" t="n">
        <x:f>I26*'模块规划'!$F$15+J26*'模块规划'!$F$17+K26*'模块规划'!$F$16+L26*'模块规划'!$F$18</x:f>
        <x:v>0</x:v>
      </x:c>
      <x:c r="O26" t="n">
        <x:f>1+O$9*SUMPRODUCT($H$10:$L$10,H26:L26)/SUM($H$10:$L$10)</x:f>
        <x:v>1.0058847185882727</x:v>
      </x:c>
      <x:c r="P26" t="n">
        <x:f>M26*O26+N26</x:f>
        <x:v>1847.170936959323</x:v>
      </x:c>
      <x:c r="Q26" t="n">
        <x:f>P26/(P26+'_曲线基线'!$L$2)</x:f>
        <x:v>0.07146511088058852</x:v>
      </x:c>
      <x:c r="R26" t="n">
        <x:f>E26*'模块规划'!$E$10+G26*'模块规划'!$E$11+H26*'模块规划'!$E$13</x:f>
        <x:v>2754.5466734276006</x:v>
      </x:c>
      <x:c r="S26" t="n">
        <x:f>I26*'模块规划'!$E$15+J26*'模块规划'!$E$17+K26*'模块规划'!$E$16+L26*'模块规划'!$E$18</x:f>
        <x:v>0</x:v>
      </x:c>
      <x:c r="T26" t="n">
        <x:f>1+T$9*SUMPRODUCT($H$10:$L$10,H26:L26)/SUM($H$10:$L$10)</x:f>
        <x:v>1.0058847185882727</x:v>
      </x:c>
      <x:c r="U26" t="n">
        <x:f>R26*T26+S26</x:f>
        <x:v>2770.7564054389845</x:v>
      </x:c>
      <x:c r="V26" t="n">
        <x:f>V$8+(V$9-V$8)*H26</x:f>
        <x:v>0.7042199626718534</x:v>
      </x:c>
      <x:c r="W26" t="n">
        <x:f>IF(B26&lt;$H$8,0,W$8+(W$9-W$8)*H26)</x:f>
        <x:v>0.005626616895804546</x:v>
      </x:c>
      <x:c r="X26" t="n">
        <x:f>X$8+(X$9-X$8)*H26</x:f>
        <x:v>0.27886829911586564</x:v>
      </x:c>
      <x:c r="Y26" t="n">
        <x:f>Y$8+(Y$9-Y$8)*G26</x:f>
        <x:v>1</x:v>
      </x:c>
      <x:c r="Z26" t="n">
        <x:f>Z$8+(Z$9-Z$8)*H26</x:f>
        <x:v>1</x:v>
      </x:c>
      <x:c r="AA26" t="n">
        <x:f>AA$8+(AA$9-AA$8)*I26</x:f>
        <x:v>1</x:v>
      </x:c>
      <x:c r="AB26" t="n">
        <x:f>AB$8+(AB$9-AB$8)*J26</x:f>
        <x:v>1</x:v>
      </x:c>
      <x:c r="AC26" t="n">
        <x:f>AC$8+(AC$9-AC$8)*MAX(K26,L26)</x:f>
        <x:v>1</x:v>
      </x:c>
      <x:c r="AD26" t="n">
        <x:f>(V26*AE26+W26*AF26+X26*AG26)*PRODUCT(Y26:AC26)</x:f>
        <x:v>0.9889744872624077</x:v>
      </x:c>
      <x:c r="AE26" t="n">
        <x:f>1+AE$9*($H$10*H26+$I$10*I26+$J$10*J26+$K$10*K26+$L$10*L26)</x:f>
        <x:v>1</x:v>
      </x:c>
      <x:c r="AF26" t="n">
        <x:f>1+AF$9*($H$10*H26+$I$10*I26+$J$10*J26+$K$10*K26+$L$10*L26)</x:f>
        <x:v>1.0005193800211512</x:v>
      </x:c>
      <x:c r="AG26" t="n">
        <x:f>1+AG$9*($H$10*H26+$I$10*I26+$J$10*J26+$K$10*K26+$L$10*L26)</x:f>
        <x:v>1.0009204568152623</x:v>
      </x:c>
      <x:c r="AH26" t="n">
        <x:f>MIN(1,'_曲线基线'!$L$3+AH$9*($H$10*H26+$I$10*I26+$J$10*J26+$K$10*K26+$L$10*L26))</x:f>
        <x:v>0.05118158954811896</x:v>
      </x:c>
      <x:c r="AI26" t="n">
        <x:f>'_曲线基线'!$L$4+AI$9*($H$10*H26+$I$10*I26+$J$10*J26+$K$10*K26+$L$10*L26)</x:f>
        <x:v>2.0032915708840457</x:v>
      </x:c>
      <x:c r="AJ26" t="n">
        <x:f>1+AJ$9*($H$10*H26+$I$10*I26+$J$10*J26+$K$10*K26+$L$10*L26)</x:f>
        <x:v>1.0027007761099862</x:v>
      </x:c>
      <x:c r="AK26" t="n">
        <x:f>(1+AH26*(AI26-1))*AJ26</x:f>
        <x:v>1.0541895184962742</x:v>
      </x:c>
      <x:c r="AL26" t="n">
        <x:f>U26*AD26*AK26*F26</x:f>
        <x:v>11554.791658938406</x:v>
      </x:c>
      <x:c r="AM26" t="n">
        <x:f>IF($B26&lt;AM$8,0,AM$3+(AM$4-AM$3)*(POWER(AM$5,$B26-AM$8)-1)/(POWER(AM$5,$C$5-AM$8)-1))</x:f>
        <x:v>35.20066374903197</x:v>
      </x:c>
      <x:c r="AN26" t="n">
        <x:f>(((E26*'模块规划'!$D$10+G26*'模块规划'!$D$11+H26*'模块规划'!$D$13)*(1+'模块规划'!$G$14*H26)+(I26*'模块规划'!$D$15+J26*'模块规划'!$D$17+K26*'模块规划'!$D$16+L26*'模块规划'!$D$18))*(1+'模块规划'!$J$17*J26))*F26/(1-Q26)</x:f>
        <x:v>40054.77099508467</x:v>
      </x:c>
      <x:c r="AO26" t="n">
        <x:f>AL26*AM26</x:f>
        <x:v>406736.33587641007</x:v>
      </x:c>
      <x:c r="AP26" t="n">
        <x:f>IF(AO26="","",INDEX('_曲线基线'!$A$3:$A$502,MIN(ROWS('_曲线基线'!$A$3:$A$502),COUNTIF('_曲线基线'!$E$3:$E$502,"&lt;"&amp;AO26)+1)))</x:f>
        <x:v>29</x:v>
      </x:c>
      <x:c r="AQ26" t="n">
        <x:f>IF(B26&lt;=2,1,IF(B26&lt;=6,2,IF(B26&lt;=9,3,IF(B26&lt;=19,4,5))))</x:f>
        <x:v>4</x:v>
      </x:c>
      <x:c r="AR26" t="n">
        <x:f>AN26*(1-Q26)/F26*$AS$3+U26*$AS$4+P26*$AS$5</x:f>
        <x:v>833.0931736724796</x:v>
      </x:c>
      <x:c r="AS26" t="n">
        <x:f>1+AH26*$AS$6+AI26*$AS$7+(AJ26-1)*$AS$8+($H$10*H26+$I$10*I26+$J$10*J26+$K$10*K26+$L$10*L26)*$AU$3*$AS$9+($H$10*H26+$I$10*I26+$J$10*J26+$K$10*K26+$L$10*L26)*$AU$4*$AS$10</x:f>
        <x:v>5.012613546409333</x:v>
      </x:c>
      <x:c r="AT26" t="n">
        <x:f>ROUND(AR26*AS26,0)</x:f>
        <x:v>4176</x:v>
      </x:c>
      <x:c r="AU26" t="n">
        <x:f>ROUND(AT26*F26,0)</x:f>
        <x:v>16704</x:v>
      </x:c>
    </x:row>
    <x:row r="27">
      <x:c r="A27" t="n">
        <x:f>IFERROR(XLOOKUP(B27,'_曲线基线'!$G$3:$G$107,'_曲线基线'!$J$3:$J$107,""),"")</x:f>
        <x:v>13</x:v>
      </x:c>
      <x:c r="B27" t="n">
        <x:v>16</x:v>
      </x:c>
      <x:c r="C27" t="n">
        <x:v>2</x:v>
      </x:c>
      <x:c r="D27" t="n">
        <x:v>4</x:v>
      </x:c>
      <x:c r="E27" t="n">
        <x:f>IF($B27&lt;E$8,0,E$3+(E$4-E$3)*(POWER(E$5,$B27-E$8)-1)/(POWER(E$5,$C$5-E$8)-1))</x:f>
        <x:v>1</x:v>
      </x:c>
      <x:c r="F27" t="n">
        <x:f>1+IF(B27&lt;3,0,MIN(1,(B27-2)/4))+IF(B27&lt;7,0,MIN(1,(B27-6)/3))+IF(B27&lt;10,0,MIN(1,(B27-9)/5))+IF(B27&lt;20,0,MIN(1,(B27-19)/10))</x:f>
        <x:v>4</x:v>
      </x:c>
      <x:c r="G27" t="n">
        <x:f>IF($B27&lt;G$8,0,G$3+(G$4-G$3)*(POWER(G$5,$B27-G$8)-1)/(POWER(G$5,$C$5-G$8)-1))</x:f>
        <x:v>0.18533414508313284</x:v>
      </x:c>
      <x:c r="H27" t="n">
        <x:f>IF($B27&lt;H$8,0,H$3+(H$4-H$3)*(POWER(H$5,$B27-H$8)-1)/(POWER(H$5,$C$5-H$8)-1))</x:f>
        <x:v>0.027851753634232538</x:v>
      </x:c>
      <x:c r="I27" t="n">
        <x:f>IF($B27&lt;I$8,0,I$3+(I$4-I$3)*(POWER(I$5,$B27-I$8)-1)/(POWER(I$5,$C$5-I$8)-1))</x:f>
        <x:v>0</x:v>
      </x:c>
      <x:c r="J27" t="n">
        <x:f>IF($B27&lt;J$8,0,J$3+(J$4-J$3)*(POWER(J$5,$B27-J$8)-1)/(POWER(J$5,$C$5-J$8)-1))</x:f>
        <x:v>0</x:v>
      </x:c>
      <x:c r="K27" t="n">
        <x:f>IF($B27&lt;K$8,0,K$3+(K$4-K$3)*(POWER(K$5,$B27-K$8)-1)/(POWER(K$5,$C$5-K$8)-1))</x:f>
        <x:v>0</x:v>
      </x:c>
      <x:c r="L27" t="n">
        <x:f>IF($B27&lt;L$8,0,L$3+(L$4-L$3)*(POWER(L$5,$B27-L$8)-1)/(POWER(L$5,$C$5-L$8)-1))</x:f>
        <x:v>0.014067906831385705</x:v>
      </x:c>
      <x:c r="M27" t="n">
        <x:f>E27*'模块规划'!$F$10+G27*'模块规划'!$F$11+H27*'模块规划'!$F$13</x:f>
        <x:v>1889.6038963990377</x:v>
      </x:c>
      <x:c r="N27" t="n">
        <x:f>I27*'模块规划'!$F$15+J27*'模块规划'!$F$17+K27*'模块规划'!$F$16+L27*'模块规划'!$F$18</x:f>
        <x:v>70.33953415692852</x:v>
      </x:c>
      <x:c r="O27" t="n">
        <x:f>1+O$9*SUMPRODUCT($H$10:$L$10,H27:L27)/SUM($H$10:$L$10)</x:f>
        <x:v>1.0190083546340365</x:v>
      </x:c>
      <x:c r="P27" t="n">
        <x:f>M27*O27+N27</x:f>
        <x:v>1995.8616915365762</x:v>
      </x:c>
      <x:c r="Q27" t="n">
        <x:f>P27/(P27+'_曲线基线'!$L$2)</x:f>
        <x:v>0.07677613134041121</x:v>
      </x:c>
      <x:c r="R27" t="n">
        <x:f>E27*'模块规划'!$E$10+G27*'模块规划'!$E$11+H27*'模块规划'!$E$13</x:f>
        <x:v>2834.4058445985565</x:v>
      </x:c>
      <x:c r="S27" t="n">
        <x:f>I27*'模块规划'!$E$15+J27*'模块规划'!$E$17+K27*'模块规划'!$E$16+L27*'模块规划'!$E$18</x:f>
        <x:v>105.50930123539278</x:v>
      </x:c>
      <x:c r="T27" t="n">
        <x:f>1+T$9*SUMPRODUCT($H$10:$L$10,H27:L27)/SUM($H$10:$L$10)</x:f>
        <x:v>1.0190083546340365</x:v>
      </x:c>
      <x:c r="U27" t="n">
        <x:f>R27*T27+S27</x:f>
        <x:v>2993.7925373048643</x:v>
      </x:c>
      <x:c r="V27" t="n">
        <x:f>V$8+(V$9-V$8)*H27</x:f>
        <x:v>0.7083555260902697</x:v>
      </x:c>
      <x:c r="W27" t="n">
        <x:f>IF(B27&lt;$H$8,0,W$8+(W$9-W$8)*H27)</x:f>
        <x:v>0.011140701453693017</x:v>
      </x:c>
      <x:c r="X27" t="n">
        <x:f>X$8+(X$9-X$8)*H27</x:f>
        <x:v>0.28265923224941397</x:v>
      </x:c>
      <x:c r="Y27" t="n">
        <x:f>Y$8+(Y$9-Y$8)*G27</x:f>
        <x:v>1</x:v>
      </x:c>
      <x:c r="Z27" t="n">
        <x:f>Z$8+(Z$9-Z$8)*H27</x:f>
        <x:v>1</x:v>
      </x:c>
      <x:c r="AA27" t="n">
        <x:f>AA$8+(AA$9-AA$8)*I27</x:f>
        <x:v>1</x:v>
      </x:c>
      <x:c r="AB27" t="n">
        <x:f>AB$8+(AB$9-AB$8)*J27</x:f>
        <x:v>1</x:v>
      </x:c>
      <x:c r="AC27" t="n">
        <x:f>AC$8+(AC$9-AC$8)*MAX(K27,L27)</x:f>
        <x:v>1</x:v>
      </x:c>
      <x:c r="AD27" t="n">
        <x:f>(V27*AE27+W27*AF27+X27*AG27)*PRODUCT(Y27:AC27)</x:f>
        <x:v>1.0030145488990607</x:v>
      </x:c>
      <x:c r="AE27" t="n">
        <x:f>1+AE$9*($H$10*H27+$I$10*I27+$J$10*J27+$K$10*K27+$L$10*L27)</x:f>
        <x:v>1</x:v>
      </x:c>
      <x:c r="AF27" t="n">
        <x:f>1+AF$9*($H$10*H27+$I$10*I27+$J$10*J27+$K$10*K27+$L$10*L27)</x:f>
        <x:v>1.0016776604494817</x:v>
      </x:c>
      <x:c r="AG27" t="n">
        <x:f>1+AG$9*($H$10*H27+$I$10*I27+$J$10*J27+$K$10*K27+$L$10*L27)</x:f>
        <x:v>1.002973187129915</x:v>
      </x:c>
      <x:c r="AH27" t="n">
        <x:f>MIN(1,'_曲线基线'!$L$3+AH$9*($H$10*H27+$I$10*I27+$J$10*J27+$K$10*K27+$L$10*L27))</x:f>
        <x:v>0.053816677522571035</x:v>
      </x:c>
      <x:c r="AI27" t="n">
        <x:f>'_曲线基线'!$L$4+AI$9*($H$10*H27+$I$10*I27+$J$10*J27+$K$10*K27+$L$10*L27)</x:f>
        <x:v>2.0106321730985908</x:v>
      </x:c>
      <x:c r="AJ27" t="n">
        <x:f>1+AJ$9*($H$10*H27+$I$10*I27+$J$10*J27+$K$10*K27+$L$10*L27)</x:f>
        <x:v>1.0087238343373053</x:v>
      </x:c>
      <x:c r="AK27" t="n">
        <x:f>(1+AH27*(AI27-1))*AJ27</x:f>
        <x:v>1.0635871795455154</x:v>
      </x:c>
      <x:c r="AL27" t="n">
        <x:f>U27*AD27*AK27*F27</x:f>
        <x:v>12775.032659969267</x:v>
      </x:c>
      <x:c r="AM27" t="n">
        <x:f>IF($B27&lt;AM$8,0,AM$3+(AM$4-AM$3)*(POWER(AM$5,$B27-AM$8)-1)/(POWER(AM$5,$C$5-AM$8)-1))</x:f>
        <x:v>35.21609502644416</x:v>
      </x:c>
      <x:c r="AN27" t="n">
        <x:f>(((E27*'模块规划'!$D$10+G27*'模块规划'!$D$11+H27*'模块规划'!$D$13)*(1+'模块规划'!$G$14*H27)+(I27*'模块规划'!$D$15+J27*'模块规划'!$D$17+K27*'模块规划'!$D$16+L27*'模块规划'!$D$18))*(1+'模块规划'!$J$17*J27))*F27/(1-Q27)</x:f>
        <x:v>43484.779860387556</x:v>
      </x:c>
      <x:c r="AO27" t="n">
        <x:f>AL27*AM27</x:f>
        <x:v>449886.7641194054</x:v>
      </x:c>
      <x:c r="AP27" t="n">
        <x:f>IF(AO27="","",INDEX('_曲线基线'!$A$3:$A$502,MIN(ROWS('_曲线基线'!$A$3:$A$502),COUNTIF('_曲线基线'!$E$3:$E$502,"&lt;"&amp;AO27)+1)))</x:f>
        <x:v>31</x:v>
      </x:c>
      <x:c r="AQ27" t="n">
        <x:f>IF(B27&lt;=2,1,IF(B27&lt;=6,2,IF(B27&lt;=9,3,IF(B27&lt;=19,4,5))))</x:f>
        <x:v>4</x:v>
      </x:c>
      <x:c r="AR27" t="n">
        <x:f>AN27*(1-Q27)/F27*$AS$3+U27*$AS$4+P27*$AS$5</x:f>
        <x:v>899.8549076398547</x:v>
      </x:c>
      <x:c r="AS27" t="n">
        <x:f>1+AH27*$AS$6+AI27*$AS$7+(AJ27-1)*$AS$8+($H$10*H27+$I$10*I27+$J$10*J27+$K$10*K27+$L$10*L27)*$AU$3*$AS$9+($H$10*H27+$I$10*I27+$J$10*J27+$K$10*K27+$L$10*L27)*$AU$4*$AS$10</x:f>
        <x:v>5.081822118098223</x:v>
      </x:c>
      <x:c r="AT27" t="n">
        <x:f>ROUND(AR27*AS27,0)</x:f>
        <x:v>4573</x:v>
      </x:c>
      <x:c r="AU27" t="n">
        <x:f>ROUND(AT27*F27,0)</x:f>
        <x:v>18292</x:v>
      </x:c>
    </x:row>
    <x:row r="28">
      <x:c r="A28" t="n">
        <x:f>IFERROR(XLOOKUP(B28,'_曲线基线'!$G$3:$G$107,'_曲线基线'!$J$3:$J$107,""),"")</x:f>
        <x:v>13</x:v>
      </x:c>
      <x:c r="B28" t="n">
        <x:v>17</x:v>
      </x:c>
      <x:c r="C28" t="n">
        <x:v>2</x:v>
      </x:c>
      <x:c r="D28" t="n">
        <x:v>5</x:v>
      </x:c>
      <x:c r="E28" t="n">
        <x:f>IF($B28&lt;E$8,0,E$3+(E$4-E$3)*(POWER(E$5,$B28-E$8)-1)/(POWER(E$5,$C$5-E$8)-1))</x:f>
        <x:v>1</x:v>
      </x:c>
      <x:c r="F28" t="n">
        <x:f>1+IF(B28&lt;3,0,MIN(1,(B28-2)/4))+IF(B28&lt;7,0,MIN(1,(B28-6)/3))+IF(B28&lt;10,0,MIN(1,(B28-9)/5))+IF(B28&lt;20,0,MIN(1,(B28-19)/10))</x:f>
        <x:v>4</x:v>
      </x:c>
      <x:c r="G28" t="n">
        <x:f>IF($B28&lt;G$8,0,G$3+(G$4-G$3)*(POWER(G$5,$B28-G$8)-1)/(POWER(G$5,$C$5-G$8)-1))</x:f>
        <x:v>0.19625932336138174</x:v>
      </x:c>
      <x:c r="H28" t="n">
        <x:f>IF($B28&lt;H$8,0,H$3+(H$4-H$3)*(POWER(H$5,$B28-H$8)-1)/(POWER(H$5,$C$5-H$8)-1))</x:f>
        <x:v>0.04136126080105924</x:v>
      </x:c>
      <x:c r="I28" t="n">
        <x:f>IF($B28&lt;I$8,0,I$3+(I$4-I$3)*(POWER(I$5,$B28-I$8)-1)/(POWER(I$5,$C$5-I$8)-1))</x:f>
        <x:v>0</x:v>
      </x:c>
      <x:c r="J28" t="n">
        <x:f>IF($B28&lt;J$8,0,J$3+(J$4-J$3)*(POWER(J$5,$B28-J$8)-1)/(POWER(J$5,$C$5-J$8)-1))</x:f>
        <x:v>0</x:v>
      </x:c>
      <x:c r="K28" t="n">
        <x:f>IF($B28&lt;K$8,0,K$3+(K$4-K$3)*(POWER(K$5,$B28-K$8)-1)/(POWER(K$5,$C$5-K$8)-1))</x:f>
        <x:v>0</x:v>
      </x:c>
      <x:c r="L28" t="n">
        <x:f>IF($B28&lt;L$8,0,L$3+(L$4-L$3)*(POWER(L$5,$B28-L$8)-1)/(POWER(L$5,$C$5-L$8)-1))</x:f>
        <x:v>0.02785445552614373</x:v>
      </x:c>
      <x:c r="M28" t="n">
        <x:f>E28*'模块规划'!$F$10+G28*'模块规划'!$F$11+H28*'模块规划'!$F$13</x:f>
        <x:v>1942.0447521346323</x:v>
      </x:c>
      <x:c r="N28" t="n">
        <x:f>I28*'模块规划'!$F$15+J28*'模块规划'!$F$17+K28*'模块规划'!$F$16+L28*'模块规划'!$F$18</x:f>
        <x:v>139.27227763071863</x:v>
      </x:c>
      <x:c r="O28" t="n">
        <x:f>1+O$9*SUMPRODUCT($H$10:$L$10,H28:L28)/SUM($H$10:$L$10)</x:f>
        <x:v>1.0318695179588853</x:v>
      </x:c>
      <x:c r="P28" t="n">
        <x:f>M28*O28+N28</x:f>
        <x:v>2143.2090598704644</x:v>
      </x:c>
      <x:c r="Q28" t="n">
        <x:f>P28/(P28+'_曲线基线'!$L$2)</x:f>
        <x:v>0.0819795708691427</x:v>
      </x:c>
      <x:c r="R28" t="n">
        <x:f>E28*'模块规划'!$E$10+G28*'模块规划'!$E$11+H28*'模块规划'!$E$13</x:f>
        <x:v>2913.0671282019484</x:v>
      </x:c>
      <x:c r="S28" t="n">
        <x:f>I28*'模块规划'!$E$15+J28*'模块规划'!$E$17+K28*'模块规划'!$E$16+L28*'模块规划'!$E$18</x:f>
        <x:v>208.90841644607798</x:v>
      </x:c>
      <x:c r="T28" t="n">
        <x:f>1+T$9*SUMPRODUCT($H$10:$L$10,H28:L28)/SUM($H$10:$L$10)</x:f>
        <x:v>1.0318695179588853</x:v>
      </x:c>
      <x:c r="U28" t="n">
        <x:f>R28*T28+S28</x:f>
        <x:v>3214.8135898056967</x:v>
      </x:c>
      <x:c r="V28" t="n">
        <x:f>V$8+(V$9-V$8)*H28</x:f>
        <x:v>0.7124083782403178</x:v>
      </x:c>
      <x:c r="W28" t="n">
        <x:f>IF(B28&lt;$H$8,0,W$8+(W$9-W$8)*H28)</x:f>
        <x:v>0.016544504320423696</x:v>
      </x:c>
      <x:c r="X28" t="n">
        <x:f>X$8+(X$9-X$8)*H28</x:f>
        <x:v>0.28637434672029133</x:v>
      </x:c>
      <x:c r="Y28" t="n">
        <x:f>Y$8+(Y$9-Y$8)*G28</x:f>
        <x:v>1</x:v>
      </x:c>
      <x:c r="Z28" t="n">
        <x:f>Z$8+(Z$9-Z$8)*H28</x:f>
        <x:v>1</x:v>
      </x:c>
      <x:c r="AA28" t="n">
        <x:f>AA$8+(AA$9-AA$8)*I28</x:f>
        <x:v>1</x:v>
      </x:c>
      <x:c r="AB28" t="n">
        <x:f>AB$8+(AB$9-AB$8)*J28</x:f>
        <x:v>1</x:v>
      </x:c>
      <x:c r="AC28" t="n">
        <x:f>AC$8+(AC$9-AC$8)*MAX(K28,L28)</x:f>
        <x:v>1</x:v>
      </x:c>
      <x:c r="AD28" t="n">
        <x:f>(V28*AE28+W28*AF28+X28*AG28)*PRODUCT(Y28:AC28)</x:f>
        <x:v>1.0168013020924285</x:v>
      </x:c>
      <x:c r="AE28" t="n">
        <x:f>1+AE$9*($H$10*H28+$I$10*I28+$J$10*J28+$K$10*K28+$L$10*L28)</x:f>
        <x:v>1</x:v>
      </x:c>
      <x:c r="AF28" t="n">
        <x:f>1+AF$9*($H$10*H28+$I$10*I28+$J$10*J28+$K$10*K28+$L$10*L28)</x:f>
        <x:v>1.0028127752692457</x:v>
      </x:c>
      <x:c r="AG28" t="n">
        <x:f>1+AG$9*($H$10*H28+$I$10*I28+$J$10*J28+$K$10*K28+$L$10*L28)</x:f>
        <x:v>1.0049848628382745</x:v>
      </x:c>
      <x:c r="AH28" t="n">
        <x:f>MIN(1,'_曲线基线'!$L$3+AH$9*($H$10*H28+$I$10*I28+$J$10*J28+$K$10*K28+$L$10*L28))</x:f>
        <x:v>0.05639906373753407</x:v>
      </x:c>
      <x:c r="AI28" t="n">
        <x:f>'_曲线基线'!$L$4+AI$9*($H$10*H28+$I$10*I28+$J$10*J28+$K$10*K28+$L$10*L28)</x:f>
        <x:v>2.017825963268845</x:v>
      </x:c>
      <x:c r="AJ28" t="n">
        <x:f>1+AJ$9*($H$10*H28+$I$10*I28+$J$10*J28+$K$10*K28+$L$10*L28)</x:f>
        <x:v>1.014626431400078</x:v>
      </x:c>
      <x:c r="AK28" t="n">
        <x:f>(1+AH28*(AI28-1))*AJ28</x:f>
        <x:v>1.0728704847537778</x:v>
      </x:c>
      <x:c r="AL28" t="n">
        <x:f>U28*AD28*AK28*F28</x:f>
        <x:v>14028.110504921662</x:v>
      </x:c>
      <x:c r="AM28" t="n">
        <x:f>IF($B28&lt;AM$8,0,AM$3+(AM$4-AM$3)*(POWER(AM$5,$B28-AM$8)-1)/(POWER(AM$5,$C$5-AM$8)-1))</x:f>
        <x:v>35.23168061663046</x:v>
      </x:c>
      <x:c r="AN28" t="n">
        <x:f>(((E28*'模块规划'!$D$10+G28*'模块规划'!$D$11+H28*'模块规划'!$D$13)*(1+'模块规划'!$G$14*H28)+(I28*'模块规划'!$D$15+J28*'模块规划'!$D$17+K28*'模块规划'!$D$16+L28*'模块规划'!$D$18))*(1+'模块规划'!$J$17*J28))*F28/(1-Q28)</x:f>
        <x:v>46918.561699909646</x:v>
      </x:c>
      <x:c r="AO28" t="n">
        <x:f>AL28*AM28</x:f>
        <x:v>494233.9089641987</x:v>
      </x:c>
      <x:c r="AP28" t="n">
        <x:f>IF(AO28="","",INDEX('_曲线基线'!$A$3:$A$502,MIN(ROWS('_曲线基线'!$A$3:$A$502),COUNTIF('_曲线基线'!$E$3:$E$502,"&lt;"&amp;AO28)+1)))</x:f>
        <x:v>33</x:v>
      </x:c>
      <x:c r="AQ28" t="n">
        <x:f>IF(B28&lt;=2,1,IF(B28&lt;=6,2,IF(B28&lt;=9,3,IF(B28&lt;=19,4,5))))</x:f>
        <x:v>4</x:v>
      </x:c>
      <x:c r="AR28" t="n">
        <x:f>AN28*(1-Q28)/F28*$AS$3+U28*$AS$4+P28*$AS$5</x:f>
        <x:v>966.0042040557918</x:v>
      </x:c>
      <x:c r="AS28" t="n">
        <x:f>1+AH28*$AS$6+AI28*$AS$7+(AJ28-1)*$AS$8+($H$10*H28+$I$10*I28+$J$10*J28+$K$10*K28+$L$10*L28)*$AU$3*$AS$9+($H$10*H28+$I$10*I28+$J$10*J28+$K$10*K28+$L$10*L28)*$AU$4*$AS$10</x:f>
        <x:v>5.149646518353333</x:v>
      </x:c>
      <x:c r="AT28" t="n">
        <x:f>ROUND(AR28*AS28,0)</x:f>
        <x:v>4975</x:v>
      </x:c>
      <x:c r="AU28" t="n">
        <x:f>ROUND(AT28*F28,0)</x:f>
        <x:v>19900</x:v>
      </x:c>
    </x:row>
    <x:row r="29">
      <x:c r="A29" t="n">
        <x:f>IFERROR(XLOOKUP(B29,'_曲线基线'!$G$3:$G$107,'_曲线基线'!$J$3:$J$107,""),"")</x:f>
        <x:v>14</x:v>
      </x:c>
      <x:c r="B29" t="n">
        <x:v>18</x:v>
      </x:c>
      <x:c r="C29" t="n">
        <x:v>2</x:v>
      </x:c>
      <x:c r="D29" t="n">
        <x:v>6</x:v>
      </x:c>
      <x:c r="E29" t="n">
        <x:f>IF($B29&lt;E$8,0,E$3+(E$4-E$3)*(POWER(E$5,$B29-E$8)-1)/(POWER(E$5,$C$5-E$8)-1))</x:f>
        <x:v>1</x:v>
      </x:c>
      <x:c r="F29" t="n">
        <x:f>1+IF(B29&lt;3,0,MIN(1,(B29-2)/4))+IF(B29&lt;7,0,MIN(1,(B29-6)/3))+IF(B29&lt;10,0,MIN(1,(B29-9)/5))+IF(B29&lt;20,0,MIN(1,(B29-19)/10))</x:f>
        <x:v>4</x:v>
      </x:c>
      <x:c r="G29" t="n">
        <x:f>IF($B29&lt;G$8,0,G$3+(G$4-G$3)*(POWER(G$5,$B29-G$8)-1)/(POWER(G$5,$C$5-G$8)-1))</x:f>
        <x:v>0.2070206239654568</x:v>
      </x:c>
      <x:c r="H29" t="n">
        <x:f>IF($B29&lt;H$8,0,H$3+(H$4-H$3)*(POWER(H$5,$B29-H$8)-1)/(POWER(H$5,$C$5-H$8)-1))</x:f>
        <x:v>0.05460057782454944</x:v>
      </x:c>
      <x:c r="I29" t="n">
        <x:f>IF($B29&lt;I$8,0,I$3+(I$4-I$3)*(POWER(I$5,$B29-I$8)-1)/(POWER(I$5,$C$5-I$8)-1))</x:f>
        <x:v>0</x:v>
      </x:c>
      <x:c r="J29" t="n">
        <x:f>IF($B29&lt;J$8,0,J$3+(J$4-J$3)*(POWER(J$5,$B29-J$8)-1)/(POWER(J$5,$C$5-J$8)-1))</x:f>
        <x:v>0</x:v>
      </x:c>
      <x:c r="K29" t="n">
        <x:f>IF($B29&lt;K$8,0,K$3+(K$4-K$3)*(POWER(K$5,$B29-K$8)-1)/(POWER(K$5,$C$5-K$8)-1))</x:f>
        <x:v>0</x:v>
      </x:c>
      <x:c r="L29" t="n">
        <x:f>IF($B29&lt;L$8,0,L$3+(L$4-L$3)*(POWER(L$5,$B29-L$8)-1)/(POWER(L$5,$C$5-L$8)-1))</x:f>
        <x:v>0.04136527324700655</x:v>
      </x:c>
      <x:c r="M29" t="n">
        <x:f>E29*'模块规划'!$F$10+G29*'模块规划'!$F$11+H29*'模块规划'!$F$13</x:f>
        <x:v>1993.6989950341926</x:v>
      </x:c>
      <x:c r="N29" t="n">
        <x:f>I29*'模块规划'!$F$15+J29*'模块规划'!$F$17+K29*'模块规划'!$F$16+L29*'模块规划'!$F$18</x:f>
        <x:v>206.82636623503274</x:v>
      </x:c>
      <x:c r="O29" t="n">
        <x:f>1+O$9*SUMPRODUCT($H$10:$L$10,H29:L29)/SUM($H$10:$L$10)</x:f>
        <x:v>1.044473458017237</x:v>
      </x:c>
      <x:c r="P29" t="n">
        <x:f>M29*O29+N29</x:f>
        <x:v>2289.192049823886</x:v>
      </x:c>
      <x:c r="Q29" t="n">
        <x:f>P29/(P29+'_曲线基线'!$L$2)</x:f>
        <x:v>0.0870773071110499</x:v>
      </x:c>
      <x:c r="R29" t="n">
        <x:f>E29*'模块规划'!$E$10+G29*'模块规划'!$E$11+H29*'模块规划'!$E$13</x:f>
        <x:v>2990.548492551289</x:v>
      </x:c>
      <x:c r="S29" t="n">
        <x:f>I29*'模块规划'!$E$15+J29*'模块规划'!$E$17+K29*'模块规划'!$E$16+L29*'模块规划'!$E$18</x:f>
        <x:v>310.2395493525491</x:v>
      </x:c>
      <x:c r="T29" t="n">
        <x:f>1+T$9*SUMPRODUCT($H$10:$L$10,H29:L29)/SUM($H$10:$L$10)</x:f>
        <x:v>1.044473458017237</x:v>
      </x:c>
      <x:c r="U29" t="n">
        <x:f>R29*T29+S29</x:f>
        <x:v>3433.7880747358295</x:v>
      </x:c>
      <x:c r="V29" t="n">
        <x:f>V$8+(V$9-V$8)*H29</x:f>
        <x:v>0.7163801733473648</x:v>
      </x:c>
      <x:c r="W29" t="n">
        <x:f>IF(B29&lt;$H$8,0,W$8+(W$9-W$8)*H29)</x:f>
        <x:v>0.021840231129819778</x:v>
      </x:c>
      <x:c r="X29" t="n">
        <x:f>X$8+(X$9-X$8)*H29</x:f>
        <x:v>0.2900151589017511</x:v>
      </x:c>
      <x:c r="Y29" t="n">
        <x:f>Y$8+(Y$9-Y$8)*G29</x:f>
        <x:v>1</x:v>
      </x:c>
      <x:c r="Z29" t="n">
        <x:f>Z$8+(Z$9-Z$8)*H29</x:f>
        <x:v>1</x:v>
      </x:c>
      <x:c r="AA29" t="n">
        <x:f>AA$8+(AA$9-AA$8)*I29</x:f>
        <x:v>1</x:v>
      </x:c>
      <x:c r="AB29" t="n">
        <x:f>AB$8+(AB$9-AB$8)*J29</x:f>
        <x:v>1</x:v>
      </x:c>
      <x:c r="AC29" t="n">
        <x:f>AC$8+(AC$9-AC$8)*MAX(K29,L29)</x:f>
        <x:v>1</x:v>
      </x:c>
      <x:c r="AD29" t="n">
        <x:f>(V29*AE29+W29*AF29+X29*AG29)*PRODUCT(Y29:AC29)</x:f>
        <x:v>1.0303387242969144</x:v>
      </x:c>
      <x:c r="AE29" t="n">
        <x:f>1+AE$9*($H$10*H29+$I$10*I29+$J$10*J29+$K$10*K29+$L$10*L29)</x:f>
        <x:v>1</x:v>
      </x:c>
      <x:c r="AF29" t="n">
        <x:f>1+AF$9*($H$10*H29+$I$10*I29+$J$10*J29+$K$10*K29+$L$10*L29)</x:f>
        <x:v>1.0039251877926145</x:v>
      </x:c>
      <x:c r="AG29" t="n">
        <x:f>1+AG$9*($H$10*H29+$I$10*I29+$J$10*J29+$K$10*K29+$L$10*L29)</x:f>
        <x:v>1.0069563050324668</x:v>
      </x:c>
      <x:c r="AH29" t="n">
        <x:f>MIN(1,'_曲线基线'!$L$3+AH$9*($H$10*H29+$I$10*I29+$J$10*J29+$K$10*K29+$L$10*L29))</x:f>
        <x:v>0.05892980222819784</x:v>
      </x:c>
      <x:c r="AI29" t="n">
        <x:f>'_曲线基线'!$L$4+AI$9*($H$10*H29+$I$10*I29+$J$10*J29+$K$10*K29+$L$10*L29)</x:f>
        <x:v>2.024875877635694</x:v>
      </x:c>
      <x:c r="AJ29" t="n">
        <x:f>1+AJ$9*($H$10*H29+$I$10*I29+$J$10*J29+$K$10*K29+$L$10*L29)</x:f>
        <x:v>1.020410976521595</x:v>
      </x:c>
      <x:c r="AK29" t="n">
        <x:f>(1+AH29*(AI29-1))*AJ29</x:f>
        <x:v>1.0820394451828437</x:v>
      </x:c>
      <x:c r="AL29" t="n">
        <x:f>U29*AD29*AK29*F29</x:f>
        <x:v>15312.869982807468</x:v>
      </x:c>
      <x:c r="AM29" t="n">
        <x:f>IF($B29&lt;AM$8,0,AM$3+(AM$4-AM$3)*(POWER(AM$5,$B29-AM$8)-1)/(POWER(AM$5,$C$5-AM$8)-1))</x:f>
        <x:v>35.24742206271864</x:v>
      </x:c>
      <x:c r="AN29" t="n">
        <x:f>(((E29*'模块规划'!$D$10+G29*'模块规划'!$D$11+H29*'模块规划'!$D$13)*(1+'模块规划'!$G$14*H29)+(I29*'模块规划'!$D$15+J29*'模块规划'!$D$17+K29*'模块规划'!$D$16+L29*'模块规划'!$D$18))*(1+'模块规划'!$J$17*J29))*F29/(1-Q29)</x:f>
        <x:v>50354.685771234326</x:v>
      </x:c>
      <x:c r="AO29" t="n">
        <x:f>AL29*AM29</x:f>
        <x:v>539739.1912755499</x:v>
      </x:c>
      <x:c r="AP29" t="n">
        <x:f>IF(AO29="","",INDEX('_曲线基线'!$A$3:$A$502,MIN(ROWS('_曲线基线'!$A$3:$A$502),COUNTIF('_曲线基线'!$E$3:$E$502,"&lt;"&amp;AO29)+1)))</x:f>
        <x:v>35</x:v>
      </x:c>
      <x:c r="AQ29" t="n">
        <x:f>IF(B29&lt;=2,1,IF(B29&lt;=6,2,IF(B29&lt;=9,3,IF(B29&lt;=19,4,5))))</x:f>
        <x:v>4</x:v>
      </x:c>
      <x:c r="AR29" t="n">
        <x:f>AN29*(1-Q29)/F29*$AS$3+U29*$AS$4+P29*$AS$5</x:f>
        <x:v>1031.532129951057</x:v>
      </x:c>
      <x:c r="AS29" t="n">
        <x:f>1+AH29*$AS$6+AI29*$AS$7+(AJ29-1)*$AS$8+($H$10*H29+$I$10*I29+$J$10*J29+$K$10*K29+$L$10*L29)*$AU$3*$AS$9+($H$10*H29+$I$10*I29+$J$10*J29+$K$10*K29+$L$10*L29)*$AU$4*$AS$10</x:f>
        <x:v>5.216114430603342</x:v>
      </x:c>
      <x:c r="AT29" t="n">
        <x:f>ROUND(AR29*AS29,0)</x:f>
        <x:v>5381</x:v>
      </x:c>
      <x:c r="AU29" t="n">
        <x:f>ROUND(AT29*F29,0)</x:f>
        <x:v>21524</x:v>
      </x:c>
    </x:row>
    <x:row r="30">
      <x:c r="A30" t="n">
        <x:f>IFERROR(XLOOKUP(B30,'_曲线基线'!$G$3:$G$107,'_曲线基线'!$J$3:$J$107,""),"")</x:f>
        <x:v>14</x:v>
      </x:c>
      <x:c r="B30" t="n">
        <x:v>19</x:v>
      </x:c>
      <x:c r="C30" t="n">
        <x:v>2</x:v>
      </x:c>
      <x:c r="D30" t="n">
        <x:v>7</x:v>
      </x:c>
      <x:c r="E30" t="n">
        <x:f>IF($B30&lt;E$8,0,E$3+(E$4-E$3)*(POWER(E$5,$B30-E$8)-1)/(POWER(E$5,$C$5-E$8)-1))</x:f>
        <x:v>1</x:v>
      </x:c>
      <x:c r="F30" t="n">
        <x:f>1+IF(B30&lt;3,0,MIN(1,(B30-2)/4))+IF(B30&lt;7,0,MIN(1,(B30-6)/3))+IF(B30&lt;10,0,MIN(1,(B30-9)/5))+IF(B30&lt;20,0,MIN(1,(B30-19)/10))</x:f>
        <x:v>4</x:v>
      </x:c>
      <x:c r="G30" t="n">
        <x:f>IF($B30&lt;G$8,0,G$3+(G$4-G$3)*(POWER(G$5,$B30-G$8)-1)/(POWER(G$5,$C$5-G$8)-1))</x:f>
        <x:v>0.2176205050604708</x:v>
      </x:c>
      <x:c r="H30" t="n">
        <x:f>IF($B30&lt;H$8,0,H$3+(H$4-H$3)*(POWER(H$5,$B30-H$8)-1)/(POWER(H$5,$C$5-H$8)-1))</x:f>
        <x:v>0.06757510850756977</x:v>
      </x:c>
      <x:c r="I30" t="n">
        <x:f>IF($B30&lt;I$8,0,I$3+(I$4-I$3)*(POWER(I$5,$B30-I$8)-1)/(POWER(I$5,$C$5-I$8)-1))</x:f>
        <x:v>0</x:v>
      </x:c>
      <x:c r="J30" t="n">
        <x:f>IF($B30&lt;J$8,0,J$3+(J$4-J$3)*(POWER(J$5,$B30-J$8)-1)/(POWER(J$5,$C$5-J$8)-1))</x:f>
        <x:v>0</x:v>
      </x:c>
      <x:c r="K30" t="n">
        <x:f>IF($B30&lt;K$8,0,K$3+(K$4-K$3)*(POWER(K$5,$B30-K$8)-1)/(POWER(K$5,$C$5-K$8)-1))</x:f>
        <x:v>0</x:v>
      </x:c>
      <x:c r="L30" t="n">
        <x:f>IF($B30&lt;L$8,0,L$3+(L$4-L$3)*(POWER(L$5,$B30-L$8)-1)/(POWER(L$5,$C$5-L$8)-1))</x:f>
        <x:v>0.05460587461345214</x:v>
      </x:c>
      <x:c r="M30" t="n">
        <x:f>E30*'模块规划'!$F$10+G30*'模块规划'!$F$11+H30*'模块规划'!$F$13</x:f>
        <x:v>2044.5784242902598</x:v>
      </x:c>
      <x:c r="N30" t="n">
        <x:f>I30*'模块规划'!$F$15+J30*'模块规划'!$F$17+K30*'模块规划'!$F$16+L30*'模块规划'!$F$18</x:f>
        <x:v>273.02937306726074</x:v>
      </x:c>
      <x:c r="O30" t="n">
        <x:f>1+O$9*SUMPRODUCT($H$10:$L$10,H30:L30)/SUM($H$10:$L$10)</x:f>
        <x:v>1.0568253192744217</x:v>
      </x:c>
      <x:c r="P30" t="n">
        <x:f>M30*O30+N30</x:f>
        <x:v>2433.7916190994083</x:v>
      </x:c>
      <x:c r="Q30" t="n">
        <x:f>P30/(P30+'_曲线基线'!$L$2)</x:f>
        <x:v>0.09207122663934834</x:v>
      </x:c>
      <x:c r="R30" t="n">
        <x:f>E30*'模块规划'!$E$10+G30*'模块规划'!$E$11+H30*'模块规划'!$E$13</x:f>
        <x:v>3066.8676364353896</x:v>
      </x:c>
      <x:c r="S30" t="n">
        <x:f>I30*'模块规划'!$E$15+J30*'模块规划'!$E$17+K30*'模块规划'!$E$16+L30*'模块规划'!$E$18</x:f>
        <x:v>409.54405960089105</x:v>
      </x:c>
      <x:c r="T30" t="n">
        <x:f>1+T$9*SUMPRODUCT($H$10:$L$10,H30:L30)/SUM($H$10:$L$10)</x:f>
        <x:v>1.0568253192744217</x:v>
      </x:c>
      <x:c r="U30" t="n">
        <x:f>R30*T30+S30</x:f>
        <x:v>3650.687428649113</x:v>
      </x:c>
      <x:c r="V30" t="n">
        <x:f>V$8+(V$9-V$8)*H30</x:f>
        <x:v>0.7202725325522709</x:v>
      </x:c>
      <x:c r="W30" t="n">
        <x:f>IF(B30&lt;$H$8,0,W$8+(W$9-W$8)*H30)</x:f>
        <x:v>0.02703004340302791</x:v>
      </x:c>
      <x:c r="X30" t="n">
        <x:f>X$8+(X$9-X$8)*H30</x:f>
        <x:v>0.2935831548395817</x:v>
      </x:c>
      <x:c r="Y30" t="n">
        <x:f>Y$8+(Y$9-Y$8)*G30</x:f>
        <x:v>1</x:v>
      </x:c>
      <x:c r="Z30" t="n">
        <x:f>Z$8+(Z$9-Z$8)*H30</x:f>
        <x:v>1</x:v>
      </x:c>
      <x:c r="AA30" t="n">
        <x:f>AA$8+(AA$9-AA$8)*I30</x:f>
        <x:v>1</x:v>
      </x:c>
      <x:c r="AB30" t="n">
        <x:f>AB$8+(AB$9-AB$8)*J30</x:f>
        <x:v>1</x:v>
      </x:c>
      <x:c r="AC30" t="n">
        <x:f>AC$8+(AC$9-AC$8)*MAX(K30,L30)</x:f>
        <x:v>1</x:v>
      </x:c>
      <x:c r="AD30" t="n">
        <x:f>(V30*AE30+W30*AF30+X30*AG30)*PRODUCT(Y30:AC30)</x:f>
        <x:v>1.0436307565309266</x:v>
      </x:c>
      <x:c r="AE30" t="n">
        <x:f>1+AE$9*($H$10*H30+$I$10*I30+$J$10*J30+$K$10*K30+$L$10*L30)</x:f>
        <x:v>1</x:v>
      </x:c>
      <x:c r="AF30" t="n">
        <x:f>1+AF$9*($H$10*H30+$I$10*I30+$J$10*J30+$K$10*K30+$L$10*L30)</x:f>
        <x:v>1.0050153520655158</x:v>
      </x:c>
      <x:c r="AG30" t="n">
        <x:f>1+AG$9*($H$10*H30+$I$10*I30+$J$10*J30+$K$10*K30+$L$10*L30)</x:f>
        <x:v>1.0088883183827753</x:v>
      </x:c>
      <x:c r="AH30" t="n">
        <x:f>MIN(1,'_曲线基线'!$L$3+AH$9*($H$10*H30+$I$10*I30+$J$10*J30+$K$10*K30+$L$10*L30))</x:f>
        <x:v>0.06140992594904834</x:v>
      </x:c>
      <x:c r="AI30" t="n">
        <x:f>'_曲线基线'!$L$4+AI$9*($H$10*H30+$I$10*I30+$J$10*J30+$K$10*K30+$L$10*L30)</x:f>
        <x:v>2.031784793715206</x:v>
      </x:c>
      <x:c r="AJ30" t="n">
        <x:f>1+AJ$9*($H$10*H30+$I$10*I30+$J$10*J30+$K$10*K30+$L$10*L30)</x:f>
        <x:v>1.026079830740682</x:v>
      </x:c>
      <x:c r="AK30" t="n">
        <x:f>(1+AH30*(AI30-1))*AJ30</x:f>
        <x:v>1.0910941242619419</x:v>
      </x:c>
      <x:c r="AL30" t="n">
        <x:f>U30*AD30*AK30*F30</x:f>
        <x:v>16628.14213903273</x:v>
      </x:c>
      <x:c r="AM30" t="n">
        <x:f>IF($B30&lt;AM$8,0,AM$3+(AM$4-AM$3)*(POWER(AM$5,$B30-AM$8)-1)/(POWER(AM$5,$C$5-AM$8)-1))</x:f>
        <x:v>35.26332092326769</x:v>
      </x:c>
      <x:c r="AN30" t="n">
        <x:f>(((E30*'模块规划'!$D$10+G30*'模块规划'!$D$11+H30*'模块规划'!$D$13)*(1+'模块规划'!$G$14*H30)+(I30*'模块规划'!$D$15+J30*'模块规划'!$D$17+K30*'模块规划'!$D$16+L30*'模块规划'!$D$18))*(1+'模块规划'!$J$17*J30))*F30/(1-Q30)</x:f>
        <x:v>53791.75585117847</x:v>
      </x:c>
      <x:c r="AO30" t="n">
        <x:f>AL30*AM30</x:f>
        <x:v>586363.5126064221</x:v>
      </x:c>
      <x:c r="AP30" t="n">
        <x:f>IF(AO30="","",INDEX('_曲线基线'!$A$3:$A$502,MIN(ROWS('_曲线基线'!$A$3:$A$502),COUNTIF('_曲线基线'!$E$3:$E$502,"&lt;"&amp;AO30)+1)))</x:f>
        <x:v>38</x:v>
      </x:c>
      <x:c r="AQ30" t="n">
        <x:f>IF(B30&lt;=2,1,IF(B30&lt;=6,2,IF(B30&lt;=9,3,IF(B30&lt;=19,4,5))))</x:f>
        <x:v>4</x:v>
      </x:c>
      <x:c r="AR30" t="n">
        <x:f>AN30*(1-Q30)/F30*$AS$3+U30*$AS$4+P30*$AS$5</x:f>
        <x:v>1096.4306075313934</x:v>
      </x:c>
      <x:c r="AS30" t="n">
        <x:f>1+AH30*$AS$6+AI30*$AS$7+(AJ30-1)*$AS$8+($H$10*H30+$I$10*I30+$J$10*J30+$K$10*K30+$L$10*L30)*$AU$3*$AS$9+($H$10*H30+$I$10*I30+$J$10*J30+$K$10*K30+$L$10*L30)*$AU$4*$AS$10</x:f>
        <x:v>5.281252984608352</x:v>
      </x:c>
      <x:c r="AT30" t="n">
        <x:f>ROUND(AR30*AS30,0)</x:f>
        <x:v>5791</x:v>
      </x:c>
      <x:c r="AU30" t="n">
        <x:f>ROUND(AT30*F30,0)</x:f>
        <x:v>23164</x:v>
      </x:c>
    </x:row>
    <x:row r="31">
      <x:c r="A31" t="n">
        <x:f>IFERROR(XLOOKUP(B31,'_曲线基线'!$G$3:$G$107,'_曲线基线'!$J$3:$J$107,""),"")</x:f>
        <x:v>15</x:v>
      </x:c>
      <x:c r="B31" t="n">
        <x:v>20</x:v>
      </x:c>
      <x:c r="C31" t="n">
        <x:v>2</x:v>
      </x:c>
      <x:c r="D31" t="n">
        <x:v>8</x:v>
      </x:c>
      <x:c r="E31" t="n">
        <x:f>IF($B31&lt;E$8,0,E$3+(E$4-E$3)*(POWER(E$5,$B31-E$8)-1)/(POWER(E$5,$C$5-E$8)-1))</x:f>
        <x:v>1</x:v>
      </x:c>
      <x:c r="F31" t="n">
        <x:f>1+IF(B31&lt;3,0,MIN(1,(B31-2)/4))+IF(B31&lt;7,0,MIN(1,(B31-6)/3))+IF(B31&lt;10,0,MIN(1,(B31-9)/5))+IF(B31&lt;20,0,MIN(1,(B31-19)/10))</x:f>
        <x:v>4.1</x:v>
      </x:c>
      <x:c r="G31" t="n">
        <x:f>IF($B31&lt;G$8,0,G$3+(G$4-G$3)*(POWER(G$5,$B31-G$8)-1)/(POWER(G$5,$C$5-G$8)-1))</x:f>
        <x:v>0.22806138793905956</x:v>
      </x:c>
      <x:c r="H31" t="n">
        <x:f>IF($B31&lt;H$8,0,H$3+(H$4-H$3)*(POWER(H$5,$B31-H$8)-1)/(POWER(H$5,$C$5-H$8)-1))</x:f>
        <x:v>0.08029014857692975</x:v>
      </x:c>
      <x:c r="I31" t="n">
        <x:f>IF($B31&lt;I$8,0,I$3+(I$4-I$3)*(POWER(I$5,$B31-I$8)-1)/(POWER(I$5,$C$5-I$8)-1))</x:f>
        <x:v>0</x:v>
      </x:c>
      <x:c r="J31" t="n">
        <x:f>IF($B31&lt;J$8,0,J$3+(J$4-J$3)*(POWER(J$5,$B31-J$8)-1)/(POWER(J$5,$C$5-J$8)-1))</x:f>
        <x:v>0</x:v>
      </x:c>
      <x:c r="K31" t="n">
        <x:f>IF($B31&lt;K$8,0,K$3+(K$4-K$3)*(POWER(K$5,$B31-K$8)-1)/(POWER(K$5,$C$5-K$8)-1))</x:f>
        <x:v>0</x:v>
      </x:c>
      <x:c r="L31" t="n">
        <x:f>IF($B31&lt;L$8,0,L$3+(L$4-L$3)*(POWER(L$5,$B31-L$8)-1)/(POWER(L$5,$C$5-L$8)-1))</x:f>
        <x:v>0.06758166395256876</x:v>
      </x:c>
      <x:c r="M31" t="n">
        <x:f>E31*'模块规划'!$F$10+G31*'模块规划'!$F$11+H31*'模块规划'!$F$13</x:f>
        <x:v>2094.694662107486</x:v>
      </x:c>
      <x:c r="N31" t="n">
        <x:f>I31*'模块规划'!$F$15+J31*'模块规划'!$F$17+K31*'模块规划'!$F$16+L31*'模块规划'!$F$18</x:f>
        <x:v>337.9083197628438</x:v>
      </x:c>
      <x:c r="O31" t="n">
        <x:f>1+O$9*SUMPRODUCT($H$10:$L$10,H31:L31)/SUM($H$10:$L$10)</x:f>
        <x:v>1.0689301433064626</x:v>
      </x:c>
      <x:c r="P31" t="n">
        <x:f>M31*O31+N31</x:f>
        <x:v>2576.990585112681</x:v>
      </x:c>
      <x:c r="Q31" t="n">
        <x:f>P31/(P31+'_曲线基线'!$L$2)</x:f>
        <x:v>0.09696322000265159</x:v>
      </x:c>
      <x:c r="R31" t="n">
        <x:f>E31*'模块规划'!$E$10+G31*'模块规划'!$E$11+H31*'模块规划'!$E$13</x:f>
        <x:v>3142.0419931612287</x:v>
      </x:c>
      <x:c r="S31" t="n">
        <x:f>I31*'模块规划'!$E$15+J31*'模块规划'!$E$17+K31*'模块规划'!$E$16+L31*'模块规划'!$E$18</x:f>
        <x:v>506.8624796442657</x:v>
      </x:c>
      <x:c r="T31" t="n">
        <x:f>1+T$9*SUMPRODUCT($H$10:$L$10,H31:L31)/SUM($H$10:$L$10)</x:f>
        <x:v>1.0689301433064626</x:v>
      </x:c>
      <x:c r="U31" t="n">
        <x:f>R31*T31+S31</x:f>
        <x:v>3865.4858776690216</x:v>
      </x:c>
      <x:c r="V31" t="n">
        <x:f>V$8+(V$9-V$8)*H31</x:f>
        <x:v>0.7240870445730789</x:v>
      </x:c>
      <x:c r="W31" t="n">
        <x:f>IF(B31&lt;$H$8,0,W$8+(W$9-W$8)*H31)</x:f>
        <x:v>0.0321160594307719</x:v>
      </x:c>
      <x:c r="X31" t="n">
        <x:f>X$8+(X$9-X$8)*H31</x:f>
        <x:v>0.2970797908586557</x:v>
      </x:c>
      <x:c r="Y31" t="n">
        <x:f>Y$8+(Y$9-Y$8)*G31</x:f>
        <x:v>1</x:v>
      </x:c>
      <x:c r="Z31" t="n">
        <x:f>Z$8+(Z$9-Z$8)*H31</x:f>
        <x:v>1</x:v>
      </x:c>
      <x:c r="AA31" t="n">
        <x:f>AA$8+(AA$9-AA$8)*I31</x:f>
        <x:v>1</x:v>
      </x:c>
      <x:c r="AB31" t="n">
        <x:f>AB$8+(AB$9-AB$8)*J31</x:f>
        <x:v>1</x:v>
      </x:c>
      <x:c r="AC31" t="n">
        <x:f>AC$8+(AC$9-AC$8)*MAX(K31,L31)</x:f>
        <x:v>1</x:v>
      </x:c>
      <x:c r="AD31" t="n">
        <x:f>(V31*AE31+W31*AF31+X31*AG31)*PRODUCT(Y31:AC31)</x:f>
        <x:v>1.05668130239832</x:v>
      </x:c>
      <x:c r="AE31" t="n">
        <x:f>1+AE$9*($H$10*H31+$I$10*I31+$J$10*J31+$K$10*K31+$L$10*L31)</x:f>
        <x:v>1</x:v>
      </x:c>
      <x:c r="AF31" t="n">
        <x:f>1+AF$9*($H$10*H31+$I$10*I31+$J$10*J31+$K$10*K31+$L$10*L31)</x:f>
        <x:v>1.006083713052959</x:v>
      </x:c>
      <x:c r="AG31" t="n">
        <x:f>1+AG$9*($H$10*H31+$I$10*I31+$J$10*J31+$K$10*K31+$L$10*L31)</x:f>
        <x:v>1.0107816914660774</x:v>
      </x:c>
      <x:c r="AH31" t="n">
        <x:f>MIN(1,'_曲线基线'!$L$3+AH$9*($H$10*H31+$I$10*I31+$J$10*J31+$K$10*K31+$L$10*L31))</x:f>
        <x:v>0.06384044719548182</x:v>
      </x:c>
      <x:c r="AI31" t="n">
        <x:f>'_曲线基线'!$L$4+AI$9*($H$10*H31+$I$10*I31+$J$10*J31+$K$10*K31+$L$10*L31)</x:f>
        <x:v>2.038555531473128</x:v>
      </x:c>
      <x:c r="AJ31" t="n">
        <x:f>1+AJ$9*($H$10*H31+$I$10*I31+$J$10*J31+$K$10*K31+$L$10*L31)</x:f>
        <x:v>1.031635307875387</x:v>
      </x:c>
      <x:c r="AK31" t="n">
        <x:f>(1+AH31*(AI31-1))*AJ31</x:f>
        <x:v>1.1000346368657192</x:v>
      </x:c>
      <x:c r="AL31" t="n">
        <x:f>U31*AD31*AK31*F31</x:f>
        <x:v>18422.065855640863</x:v>
      </x:c>
      <x:c r="AM31" t="n">
        <x:f>IF($B31&lt;AM$8,0,AM$3+(AM$4-AM$3)*(POWER(AM$5,$B31-AM$8)-1)/(POWER(AM$5,$C$5-AM$8)-1))</x:f>
        <x:v>35.27937877242224</x:v>
      </x:c>
      <x:c r="AN31" t="n">
        <x:f>(((E31*'模块规划'!$D$10+G31*'模块规划'!$D$11+H31*'模块规划'!$D$13)*(1+'模块规划'!$G$14*H31)+(I31*'模块规划'!$D$15+J31*'模块规划'!$D$17+K31*'模块规划'!$D$16+L31*'模块规划'!$D$18))*(1+'模块规划'!$J$17*J31))*F31/(1-Q31)</x:f>
        <x:v>58659.12112198515</x:v>
      </x:c>
      <x:c r="AO31" t="n">
        <x:f>AL31*AM31</x:f>
        <x:v>649919.0390916609</x:v>
      </x:c>
      <x:c r="AP31" t="n">
        <x:f>IF(AO31="","",INDEX('_曲线基线'!$A$3:$A$502,MIN(ROWS('_曲线基线'!$A$3:$A$502),COUNTIF('_曲线基线'!$E$3:$E$502,"&lt;"&amp;AO31)+1)))</x:f>
        <x:v>40</x:v>
      </x:c>
      <x:c r="AQ31" t="n">
        <x:f>IF(B31&lt;=2,1,IF(B31&lt;=6,2,IF(B31&lt;=9,3,IF(B31&lt;=19,4,5))))</x:f>
        <x:v>5</x:v>
      </x:c>
      <x:c r="AR31" t="n">
        <x:f>AN31*(1-Q31)/F31*$AS$3+U31*$AS$4+P31*$AS$5</x:f>
        <x:v>1160.6923744762817</x:v>
      </x:c>
      <x:c r="AS31" t="n">
        <x:f>1+AH31*$AS$6+AI31*$AS$7+(AJ31-1)*$AS$8+($H$10*H31+$I$10*I31+$J$10*J31+$K$10*K31+$L$10*L31)*$AU$3*$AS$9+($H$10*H31+$I$10*I31+$J$10*J31+$K$10*K31+$L$10*L31)*$AU$4*$AS$10</x:f>
        <x:v>5.34508876753326</x:v>
      </x:c>
      <x:c r="AT31" t="n">
        <x:f>ROUND(AR31*AS31,0)</x:f>
        <x:v>6204</x:v>
      </x:c>
      <x:c r="AU31" t="n">
        <x:f>ROUND(AT31*F31,0)</x:f>
        <x:v>25436</x:v>
      </x:c>
    </x:row>
    <x:row r="32">
      <x:c r="A32" t="n">
        <x:f>IFERROR(XLOOKUP(B32,'_曲线基线'!$G$3:$G$107,'_曲线基线'!$J$3:$J$107,""),"")</x:f>
        <x:v>15</x:v>
      </x:c>
      <x:c r="B32" t="n">
        <x:v>21</x:v>
      </x:c>
      <x:c r="C32" t="n">
        <x:v>2</x:v>
      </x:c>
      <x:c r="D32" t="n">
        <x:v>9</x:v>
      </x:c>
      <x:c r="E32" t="n">
        <x:f>IF($B32&lt;E$8,0,E$3+(E$4-E$3)*(POWER(E$5,$B32-E$8)-1)/(POWER(E$5,$C$5-E$8)-1))</x:f>
        <x:v>1</x:v>
      </x:c>
      <x:c r="F32" t="n">
        <x:f>1+IF(B32&lt;3,0,MIN(1,(B32-2)/4))+IF(B32&lt;7,0,MIN(1,(B32-6)/3))+IF(B32&lt;10,0,MIN(1,(B32-9)/5))+IF(B32&lt;20,0,MIN(1,(B32-19)/10))</x:f>
        <x:v>4.2</x:v>
      </x:c>
      <x:c r="G32" t="n">
        <x:f>IF($B32&lt;G$8,0,G$3+(G$4-G$3)*(POWER(G$5,$B32-G$8)-1)/(POWER(G$5,$C$5-G$8)-1))</x:f>
        <x:v>0.23834565757446957</x:v>
      </x:c>
      <x:c r="H32" t="n">
        <x:f>IF($B32&lt;H$8,0,H$3+(H$4-H$3)*(POWER(H$5,$B32-H$8)-1)/(POWER(H$5,$C$5-H$8)-1))</x:f>
        <x:v>0.0927508878449025</x:v>
      </x:c>
      <x:c r="I32" t="n">
        <x:f>IF($B32&lt;I$8,0,I$3+(I$4-I$3)*(POWER(I$5,$B32-I$8)-1)/(POWER(I$5,$C$5-I$8)-1))</x:f>
        <x:v>0</x:v>
      </x:c>
      <x:c r="J32" t="n">
        <x:f>IF($B32&lt;J$8,0,J$3+(J$4-J$3)*(POWER(J$5,$B32-J$8)-1)/(POWER(J$5,$C$5-J$8)-1))</x:f>
        <x:v>0</x:v>
      </x:c>
      <x:c r="K32" t="n">
        <x:f>IF($B32&lt;K$8,0,K$3+(K$4-K$3)*(POWER(K$5,$B32-K$8)-1)/(POWER(K$5,$C$5-K$8)-1))</x:f>
        <x:v>0</x:v>
      </x:c>
      <x:c r="L32" t="n">
        <x:f>IF($B32&lt;L$8,0,L$3+(L$4-L$3)*(POWER(L$5,$B32-L$8)-1)/(POWER(L$5,$C$5-L$8)-1))</x:f>
        <x:v>0.08029793750490309</x:v>
      </x:c>
      <x:c r="M32" t="n">
        <x:f>E32*'模块规划'!$F$10+G32*'模块规划'!$F$11+H32*'模块规划'!$F$13</x:f>
        <x:v>2144.059156357454</x:v>
      </x:c>
      <x:c r="N32" t="n">
        <x:f>I32*'模块规划'!$F$15+J32*'模块规划'!$F$17+K32*'模块规划'!$F$16+L32*'模块规划'!$F$18</x:f>
        <x:v>401.48968752451543</x:v>
      </x:c>
      <x:c r="O32" t="n">
        <x:f>1+O$9*SUMPRODUCT($H$10:$L$10,H32:L32)/SUM($H$10:$L$10)</x:f>
        <x:v>1.0807928708578627</x:v>
      </x:c>
      <x:c r="P32" t="n">
        <x:f>M32*O32+N32</x:f>
        <x:v>2718.773538413175</x:v>
      </x:c>
      <x:c r="Q32" t="n">
        <x:f>P32/(P32+'_曲线基线'!$L$2)</x:f>
        <x:v>0.10175517729151885</x:v>
      </x:c>
      <x:c r="R32" t="n">
        <x:f>E32*'模块规划'!$E$10+G32*'模块规划'!$E$11+H32*'模块规划'!$E$13</x:f>
        <x:v>3216.0887345361807</x:v>
      </x:c>
      <x:c r="S32" t="n">
        <x:f>I32*'模块规划'!$E$15+J32*'模块规划'!$E$17+K32*'模块规划'!$E$16+L32*'模块规划'!$E$18</x:f>
        <x:v>602.2345312867732</x:v>
      </x:c>
      <x:c r="T32" t="n">
        <x:f>1+T$9*SUMPRODUCT($H$10:$L$10,H32:L32)/SUM($H$10:$L$10)</x:f>
        <x:v>1.0807928708578627</x:v>
      </x:c>
      <x:c r="U32" t="n">
        <x:f>R32*T32+S32</x:f>
        <x:v>4078.1603076197625</x:v>
      </x:c>
      <x:c r="V32" t="n">
        <x:f>V$8+(V$9-V$8)*H32</x:f>
        <x:v>0.7278252663534707</x:v>
      </x:c>
      <x:c r="W32" t="n">
        <x:f>IF(B32&lt;$H$8,0,W$8+(W$9-W$8)*H32)</x:f>
        <x:v>0.037100355137961</x:v>
      </x:c>
      <x:c r="X32" t="n">
        <x:f>X$8+(X$9-X$8)*H32</x:f>
        <x:v>0.3005064941573482</x:v>
      </x:c>
      <x:c r="Y32" t="n">
        <x:f>Y$8+(Y$9-Y$8)*G32</x:f>
        <x:v>1</x:v>
      </x:c>
      <x:c r="Z32" t="n">
        <x:f>Z$8+(Z$9-Z$8)*H32</x:f>
        <x:v>1</x:v>
      </x:c>
      <x:c r="AA32" t="n">
        <x:f>AA$8+(AA$9-AA$8)*I32</x:f>
        <x:v>1</x:v>
      </x:c>
      <x:c r="AB32" t="n">
        <x:f>AB$8+(AB$9-AB$8)*J32</x:f>
        <x:v>1</x:v>
      </x:c>
      <x:c r="AC32" t="n">
        <x:f>AC$8+(AC$9-AC$8)*MAX(K32,L32)</x:f>
        <x:v>1</x:v>
      </x:c>
      <x:c r="AD32" t="n">
        <x:f>(V32*AE32+W32*AF32+X32*AG32)*PRODUCT(Y32:AC32)</x:f>
        <x:v>1.0694942271970151</x:v>
      </x:c>
      <x:c r="AE32" t="n">
        <x:f>1+AE$9*($H$10*H32+$I$10*I32+$J$10*J32+$K$10*K32+$L$10*L32)</x:f>
        <x:v>1</x:v>
      </x:c>
      <x:c r="AF32" t="n">
        <x:f>1+AF$9*($H$10*H32+$I$10*I32+$J$10*J32+$K$10*K32+$L$10*L32)</x:f>
        <x:v>1.0071307068206534</x:v>
      </x:c>
      <x:c r="AG32" t="n">
        <x:f>1+AG$9*($H$10*H32+$I$10*I32+$J$10*J32+$K$10*K32+$L$10*L32)</x:f>
        <x:v>1.0126371970877137</x:v>
      </x:c>
      <x:c r="AH32" t="n">
        <x:f>MIN(1,'_曲线基线'!$L$3+AH$9*($H$10*H32+$I$10*I32+$J$10*J32+$K$10*K32+$L$10*L32))</x:f>
        <x:v>0.06622235801698664</x:v>
      </x:c>
      <x:c r="AI32" t="n">
        <x:f>'_曲线基线'!$L$4+AI$9*($H$10*H32+$I$10*I32+$J$10*J32+$K$10*K32+$L$10*L32)</x:f>
        <x:v>2.045190854475891</x:v>
      </x:c>
      <x:c r="AJ32" t="n">
        <x:f>1+AJ$9*($H$10*H32+$I$10*I32+$J$10*J32+$K$10*K32+$L$10*L32)</x:f>
        <x:v>1.037079675467398</x:v>
      </x:c>
      <x:c r="AK32" t="n">
        <x:f>(1+AH32*(AI32-1))*AJ32</x:f>
        <x:v>1.1088611482758564</x:v>
      </x:c>
      <x:c r="AL32" t="n">
        <x:f>U32*AD32*AK32*F32</x:f>
        <x:v>20312.772085360746</x:v>
      </x:c>
      <x:c r="AM32" t="n">
        <x:f>IF($B32&lt;AM$8,0,AM$3+(AM$4-AM$3)*(POWER(AM$5,$B32-AM$8)-1)/(POWER(AM$5,$C$5-AM$8)-1))</x:f>
        <x:v>35.29559720006833</x:v>
      </x:c>
      <x:c r="AN32" t="n">
        <x:f>(((E32*'模块规划'!$D$10+G32*'模块规划'!$D$11+H32*'模块规划'!$D$13)*(1+'模块规划'!$G$14*H32)+(I32*'模块规划'!$D$15+J32*'模块规划'!$D$17+K32*'模块规划'!$D$16+L32*'模块规划'!$D$18))*(1+'模块规划'!$J$17*J32))*F32/(1-Q32)</x:f>
        <x:v>63696.49159402332</x:v>
      </x:c>
      <x:c r="AO32" t="n">
        <x:f>AL32*AM32</x:f>
        <x:v>716951.4215416849</x:v>
      </x:c>
      <x:c r="AP32" t="n">
        <x:f>IF(AO32="","",INDEX('_曲线基线'!$A$3:$A$502,MIN(ROWS('_曲线基线'!$A$3:$A$502),COUNTIF('_曲线基线'!$E$3:$E$502,"&lt;"&amp;AO32)+1)))</x:f>
        <x:v>43</x:v>
      </x:c>
      <x:c r="AQ32" t="n">
        <x:f>IF(B32&lt;=2,1,IF(B32&lt;=6,2,IF(B32&lt;=9,3,IF(B32&lt;=19,4,5))))</x:f>
        <x:v>5</x:v>
      </x:c>
      <x:c r="AR32" t="n">
        <x:f>AN32*(1-Q32)/F32*$AS$3+U32*$AS$4+P32*$AS$5</x:f>
        <x:v>1224.3109458027077</x:v>
      </x:c>
      <x:c r="AS32" t="n">
        <x:f>1+AH32*$AS$6+AI32*$AS$7+(AJ32-1)*$AS$8+($H$10*H32+$I$10*I32+$J$10*J32+$K$10*K32+$L$10*L32)*$AU$3*$AS$9+($H$10*H32+$I$10*I32+$J$10*J32+$K$10*K32+$L$10*L32)*$AU$4*$AS$10</x:f>
        <x:v>5.40764783479967</x:v>
      </x:c>
      <x:c r="AT32" t="n">
        <x:f>ROUND(AR32*AS32,0)</x:f>
        <x:v>6621</x:v>
      </x:c>
      <x:c r="AU32" t="n">
        <x:f>ROUND(AT32*F32,0)</x:f>
        <x:v>27808</x:v>
      </x:c>
    </x:row>
    <x:row r="33">
      <x:c r="A33" t="n">
        <x:f>IFERROR(XLOOKUP(B33,'_曲线基线'!$G$3:$G$107,'_曲线基线'!$J$3:$J$107,""),"")</x:f>
        <x:v>15</x:v>
      </x:c>
      <x:c r="B33" t="n">
        <x:v>22</x:v>
      </x:c>
      <x:c r="C33" t="n">
        <x:v>2</x:v>
      </x:c>
      <x:c r="D33" t="n">
        <x:v>10</x:v>
      </x:c>
      <x:c r="E33" t="n">
        <x:f>IF($B33&lt;E$8,0,E$3+(E$4-E$3)*(POWER(E$5,$B33-E$8)-1)/(POWER(E$5,$C$5-E$8)-1))</x:f>
        <x:v>1</x:v>
      </x:c>
      <x:c r="F33" t="n">
        <x:f>1+IF(B33&lt;3,0,MIN(1,(B33-2)/4))+IF(B33&lt;7,0,MIN(1,(B33-6)/3))+IF(B33&lt;10,0,MIN(1,(B33-9)/5))+IF(B33&lt;20,0,MIN(1,(B33-19)/10))</x:f>
        <x:v>4.3</x:v>
      </x:c>
      <x:c r="G33" t="n">
        <x:f>IF($B33&lt;G$8,0,G$3+(G$4-G$3)*(POWER(G$5,$B33-G$8)-1)/(POWER(G$5,$C$5-G$8)-1))</x:f>
        <x:v>0.24847566316534836</x:v>
      </x:c>
      <x:c r="H33" t="n">
        <x:f>IF($B33&lt;H$8,0,H$3+(H$4-H$3)*(POWER(H$5,$B33-H$8)-1)/(POWER(H$5,$C$5-H$8)-1))</x:f>
        <x:v>0.10496241232751582</x:v>
      </x:c>
      <x:c r="I33" t="n">
        <x:f>IF($B33&lt;I$8,0,I$3+(I$4-I$3)*(POWER(I$5,$B33-I$8)-1)/(POWER(I$5,$C$5-I$8)-1))</x:f>
        <x:v>0</x:v>
      </x:c>
      <x:c r="J33" t="n">
        <x:f>IF($B33&lt;J$8,0,J$3+(J$4-J$3)*(POWER(J$5,$B33-J$8)-1)/(POWER(J$5,$C$5-J$8)-1))</x:f>
        <x:v>0</x:v>
      </x:c>
      <x:c r="K33" t="n">
        <x:f>IF($B33&lt;K$8,0,K$3+(K$4-K$3)*(POWER(K$5,$B33-K$8)-1)/(POWER(K$5,$C$5-K$8)-1))</x:f>
        <x:v>0</x:v>
      </x:c>
      <x:c r="L33" t="n">
        <x:f>IF($B33&lt;L$8,0,L$3+(L$4-L$3)*(POWER(L$5,$B33-L$8)-1)/(POWER(L$5,$C$5-L$8)-1))</x:f>
        <x:v>0.09275988558619072</x:v>
      </x:c>
      <x:c r="M33" t="n">
        <x:f>E33*'模块规划'!$F$10+G33*'模块规划'!$F$11+H33*'模块规划'!$F$13</x:f>
        <x:v>2192.6831831936724</x:v>
      </x:c>
      <x:c r="N33" t="n">
        <x:f>I33*'模块规划'!$F$15+J33*'模块规划'!$F$17+K33*'模块规划'!$F$16+L33*'模块规划'!$F$18</x:f>
        <x:v>463.7994279309536</x:v>
      </x:c>
      <x:c r="O33" t="n">
        <x:f>1+O$9*SUMPRODUCT($H$10:$L$10,H33:L33)/SUM($H$10:$L$10)</x:f>
        <x:v>1.0924183438582349</x:v>
      </x:c>
      <x:c r="P33" t="n">
        <x:f>M33*O33+N33</x:f>
        <x:v>2859.126759521188</x:v>
      </x:c>
      <x:c r="Q33" t="n">
        <x:f>P33/(P33+'_曲线基线'!$L$2)</x:f>
        <x:v>0.10644898418030911</x:v>
      </x:c>
      <x:c r="R33" t="n">
        <x:f>E33*'模块规划'!$E$10+G33*'模块规划'!$E$11+H33*'模块规划'!$E$13</x:f>
        <x:v>3289.024774790508</x:v>
      </x:c>
      <x:c r="S33" t="n">
        <x:f>I33*'模块规划'!$E$15+J33*'模块规划'!$E$17+K33*'模块规划'!$E$16+L33*'模块规划'!$E$18</x:f>
        <x:v>695.6991418964304</x:v>
      </x:c>
      <x:c r="T33" t="n">
        <x:f>1+T$9*SUMPRODUCT($H$10:$L$10,H33:L33)/SUM($H$10:$L$10)</x:f>
        <x:v>1.0924183438582349</x:v>
      </x:c>
      <x:c r="U33" t="n">
        <x:f>R33*T33+S33</x:f>
        <x:v>4288.690139281782</x:v>
      </x:c>
      <x:c r="V33" t="n">
        <x:f>V$8+(V$9-V$8)*H33</x:f>
        <x:v>0.7314887236982547</x:v>
      </x:c>
      <x:c r="W33" t="n">
        <x:f>IF(B33&lt;$H$8,0,W$8+(W$9-W$8)*H33)</x:f>
        <x:v>0.041984964931006334</x:v>
      </x:c>
      <x:c r="X33" t="n">
        <x:f>X$8+(X$9-X$8)*H33</x:f>
        <x:v>0.3038646633900669</x:v>
      </x:c>
      <x:c r="Y33" t="n">
        <x:f>Y$8+(Y$9-Y$8)*G33</x:f>
        <x:v>1</x:v>
      </x:c>
      <x:c r="Z33" t="n">
        <x:f>Z$8+(Z$9-Z$8)*H33</x:f>
        <x:v>1</x:v>
      </x:c>
      <x:c r="AA33" t="n">
        <x:f>AA$8+(AA$9-AA$8)*I33</x:f>
        <x:v>1</x:v>
      </x:c>
      <x:c r="AB33" t="n">
        <x:f>AB$8+(AB$9-AB$8)*J33</x:f>
        <x:v>1</x:v>
      </x:c>
      <x:c r="AC33" t="n">
        <x:f>AC$8+(AC$9-AC$8)*MAX(K33,L33)</x:f>
        <x:v>1</x:v>
      </x:c>
      <x:c r="AD33" t="n">
        <x:f>(V33*AE33+W33*AF33+X33*AG33)*PRODUCT(Y33:AC33)</x:f>
        <x:v>1.0820733571103798</x:v>
      </x:c>
      <x:c r="AE33" t="n">
        <x:f>1+AE$9*($H$10*H33+$I$10*I33+$J$10*J33+$K$10*K33+$L$10*L33)</x:f>
        <x:v>1</x:v>
      </x:c>
      <x:c r="AF33" t="n">
        <x:f>1+AF$9*($H$10*H33+$I$10*I33+$J$10*J33+$K$10*K33+$L$10*L33)</x:f>
        <x:v>1.008156760712994</x:v>
      </x:c>
      <x:c r="AG33" t="n">
        <x:f>1+AG$9*($H$10*H33+$I$10*I33+$J$10*J33+$K$10*K33+$L$10*L33)</x:f>
        <x:v>1.0144555925969172</x:v>
      </x:c>
      <x:c r="AH33" t="n">
        <x:f>MIN(1,'_曲线基线'!$L$3+AH$9*($H$10*H33+$I$10*I33+$J$10*J33+$K$10*K33+$L$10*L33))</x:f>
        <x:v>0.06855663062206135</x:v>
      </x:c>
      <x:c r="AI33" t="n">
        <x:f>'_曲线基线'!$L$4+AI$9*($H$10*H33+$I$10*I33+$J$10*J33+$K$10*K33+$L$10*L33)</x:f>
        <x:v>2.0516934710185994</x:v>
      </x:c>
      <x:c r="AJ33" t="n">
        <x:f>1+AJ$9*($H$10*H33+$I$10*I33+$J$10*J33+$K$10*K33+$L$10*L33)</x:f>
        <x:v>1.0424151557075687</x:v>
      </x:c>
      <x:c r="AK33" t="n">
        <x:f>(1+AH33*(AI33-1))*AJ33</x:f>
        <x:v>1.1175738730416185</x:v>
      </x:c>
      <x:c r="AL33" t="n">
        <x:f>U33*AD33*AK33*F33</x:f>
        <x:v>22301.088901872696</x:v>
      </x:c>
      <x:c r="AM33" t="n">
        <x:f>IF($B33&lt;AM$8,0,AM$3+(AM$4-AM$3)*(POWER(AM$5,$B33-AM$8)-1)/(POWER(AM$5,$C$5-AM$8)-1))</x:f>
        <x:v>35.311977811990886</x:v>
      </x:c>
      <x:c r="AN33" t="n">
        <x:f>(((E33*'模块规划'!$D$10+G33*'模块规划'!$D$11+H33*'模块规划'!$D$13)*(1+'模块规划'!$G$14*H33)+(I33*'模块规划'!$D$15+J33*'模块规划'!$D$17+K33*'模块规划'!$D$16+L33*'模块规划'!$D$18))*(1+'模块规划'!$J$17*J33))*F33/(1-Q33)</x:f>
        <x:v>68902.35064487596</x:v>
      </x:c>
      <x:c r="AO33" t="n">
        <x:f>AL33*AM33</x:f>
        <x:v>787495.5564861648</x:v>
      </x:c>
      <x:c r="AP33" t="n">
        <x:f>IF(AO33="","",INDEX('_曲线基线'!$A$3:$A$502,MIN(ROWS('_曲线基线'!$A$3:$A$502),COUNTIF('_曲线基线'!$E$3:$E$502,"&lt;"&amp;AO33)+1)))</x:f>
        <x:v>45</x:v>
      </x:c>
      <x:c r="AQ33" t="n">
        <x:f>IF(B33&lt;=2,1,IF(B33&lt;=6,2,IF(B33&lt;=9,3,IF(B33&lt;=19,4,5))))</x:f>
        <x:v>5</x:v>
      </x:c>
      <x:c r="AR33" t="n">
        <x:f>AN33*(1-Q33)/F33*$AS$3+U33*$AS$4+P33*$AS$5</x:f>
        <x:v>1287.2805772360782</x:v>
      </x:c>
      <x:c r="AS33" t="n">
        <x:f>1+AH33*$AS$6+AI33*$AS$7+(AJ33-1)*$AS$8+($H$10*H33+$I$10*I33+$J$10*J33+$K$10*K33+$L$10*L33)*$AU$3*$AS$9+($H$10*H33+$I$10*I33+$J$10*J33+$K$10*K33+$L$10*L33)*$AU$4*$AS$10</x:f>
        <x:v>5.468955720720752</x:v>
      </x:c>
      <x:c r="AT33" t="n">
        <x:f>ROUND(AR33*AS33,0)</x:f>
        <x:v>7040</x:v>
      </x:c>
      <x:c r="AU33" t="n">
        <x:f>ROUND(AT33*F33,0)</x:f>
        <x:v>30272</x:v>
      </x:c>
    </x:row>
    <x:row r="34">
      <x:c r="A34" t="n">
        <x:f>IFERROR(XLOOKUP(B34,'_曲线基线'!$G$3:$G$107,'_曲线基线'!$J$3:$J$107,""),"")</x:f>
        <x:v>16</x:v>
      </x:c>
      <x:c r="B34" t="n">
        <x:v>23</x:v>
      </x:c>
      <x:c r="C34" t="n">
        <x:v>2</x:v>
      </x:c>
      <x:c r="D34" t="n">
        <x:v>11</x:v>
      </x:c>
      <x:c r="E34" t="n">
        <x:f>IF($B34&lt;E$8,0,E$3+(E$4-E$3)*(POWER(E$5,$B34-E$8)-1)/(POWER(E$5,$C$5-E$8)-1))</x:f>
        <x:v>1</x:v>
      </x:c>
      <x:c r="F34" t="n">
        <x:f>1+IF(B34&lt;3,0,MIN(1,(B34-2)/4))+IF(B34&lt;7,0,MIN(1,(B34-6)/3))+IF(B34&lt;10,0,MIN(1,(B34-9)/5))+IF(B34&lt;20,0,MIN(1,(B34-19)/10))</x:f>
        <x:v>4.4</x:v>
      </x:c>
      <x:c r="G34" t="n">
        <x:f>IF($B34&lt;G$8,0,G$3+(G$4-G$3)*(POWER(G$5,$B34-G$8)-1)/(POWER(G$5,$C$5-G$8)-1))</x:f>
        <x:v>0.258453718672364</x:v>
      </x:c>
      <x:c r="H34" t="n">
        <x:f>IF($B34&lt;H$8,0,H$3+(H$4-H$3)*(POWER(H$5,$B34-H$8)-1)/(POWER(H$5,$C$5-H$8)-1))</x:f>
        <x:v>0.11692970632047686</x:v>
      </x:c>
      <x:c r="I34" t="n">
        <x:f>IF($B34&lt;I$8,0,I$3+(I$4-I$3)*(POWER(I$5,$B34-I$8)-1)/(POWER(I$5,$C$5-I$8)-1))</x:f>
        <x:v>0</x:v>
      </x:c>
      <x:c r="J34" t="n">
        <x:f>IF($B34&lt;J$8,0,J$3+(J$4-J$3)*(POWER(J$5,$B34-J$8)-1)/(POWER(J$5,$C$5-J$8)-1))</x:f>
        <x:v>0</x:v>
      </x:c>
      <x:c r="K34" t="n">
        <x:f>IF($B34&lt;K$8,0,K$3+(K$4-K$3)*(POWER(K$5,$B34-K$8)-1)/(POWER(K$5,$C$5-K$8)-1))</x:f>
        <x:v>0</x:v>
      </x:c>
      <x:c r="L34" t="n">
        <x:f>IF($B34&lt;L$8,0,L$3+(L$4-L$3)*(POWER(L$5,$B34-L$8)-1)/(POWER(L$5,$C$5-L$8)-1))</x:f>
        <x:v>0.10497259470585263</x:v>
      </x:c>
      <x:c r="M34" t="n">
        <x:f>E34*'模块规划'!$F$10+G34*'模块规划'!$F$11+H34*'模块规划'!$F$13</x:f>
        <x:v>2240.577849627347</x:v>
      </x:c>
      <x:c r="N34" t="n">
        <x:f>I34*'模块规划'!$F$15+J34*'模块规划'!$F$17+K34*'模块规划'!$F$16+L34*'模块规划'!$F$18</x:f>
        <x:v>524.8629735292632</x:v>
      </x:c>
      <x:c r="O34" t="n">
        <x:f>1+O$9*SUMPRODUCT($H$10:$L$10,H34:L34)/SUM($H$10:$L$10)</x:f>
        <x:v>1.1038113073985996</x:v>
      </x:c>
      <x:c r="P34" t="n">
        <x:f>M34*O34+N34</x:f>
        <x:v>2998.038139054768</x:v>
      </x:c>
      <x:c r="Q34" t="n">
        <x:f>P34/(P34+'_曲线基线'!$L$2)</x:f>
        <x:v>0.11104651840304915</x:v>
      </x:c>
      <x:c r="R34" t="n">
        <x:f>E34*'模块规划'!$E$10+G34*'模块规划'!$E$11+H34*'模块规划'!$E$13</x:f>
        <x:v>3360.866774441021</x:v>
      </x:c>
      <x:c r="S34" t="n">
        <x:f>I34*'模块规划'!$E$15+J34*'模块规划'!$E$17+K34*'模块规划'!$E$16+L34*'模块规划'!$E$18</x:f>
        <x:v>787.2944602938948</x:v>
      </x:c>
      <x:c r="T34" t="n">
        <x:f>1+T$9*SUMPRODUCT($H$10:$L$10,H34:L34)/SUM($H$10:$L$10)</x:f>
        <x:v>1.1038113073985996</x:v>
      </x:c>
      <x:c r="U34" t="n">
        <x:f>R34*T34+S34</x:f>
        <x:v>4497.057208582152</x:v>
      </x:c>
      <x:c r="V34" t="n">
        <x:f>V$8+(V$9-V$8)*H34</x:f>
        <x:v>0.735078911896143</x:v>
      </x:c>
      <x:c r="W34" t="n">
        <x:f>IF(B34&lt;$H$8,0,W$8+(W$9-W$8)*H34)</x:f>
        <x:v>0.04677188252819075</x:v>
      </x:c>
      <x:c r="X34" t="n">
        <x:f>X$8+(X$9-X$8)*H34</x:f>
        <x:v>0.30715566923813115</x:v>
      </x:c>
      <x:c r="Y34" t="n">
        <x:f>Y$8+(Y$9-Y$8)*G34</x:f>
        <x:v>1</x:v>
      </x:c>
      <x:c r="Z34" t="n">
        <x:f>Z$8+(Z$9-Z$8)*H34</x:f>
        <x:v>1</x:v>
      </x:c>
      <x:c r="AA34" t="n">
        <x:f>AA$8+(AA$9-AA$8)*I34</x:f>
        <x:v>1</x:v>
      </x:c>
      <x:c r="AB34" t="n">
        <x:f>AB$8+(AB$9-AB$8)*J34</x:f>
        <x:v>1</x:v>
      </x:c>
      <x:c r="AC34" t="n">
        <x:f>AC$8+(AC$9-AC$8)*MAX(K34,L34)</x:f>
        <x:v>1</x:v>
      </x:c>
      <x:c r="AD34" t="n">
        <x:f>(V34*AE34+W34*AF34+X34*AG34)*PRODUCT(Y34:AC34)</x:f>
        <x:v>1.094422478477139</x:v>
      </x:c>
      <x:c r="AE34" t="n">
        <x:f>1+AE$9*($H$10*H34+$I$10*I34+$J$10*J34+$K$10*K34+$L$10*L34)</x:f>
        <x:v>1</x:v>
      </x:c>
      <x:c r="AF34" t="n">
        <x:f>1+AF$9*($H$10*H34+$I$10*I34+$J$10*J34+$K$10*K34+$L$10*L34)</x:f>
        <x:v>1.0091622935274878</x:v>
      </x:c>
      <x:c r="AG34" t="n">
        <x:f>1+AG$9*($H$10*H34+$I$10*I34+$J$10*J34+$K$10*K34+$L$10*L34)</x:f>
        <x:v>1.0162376201959367</x:v>
      </x:c>
      <x:c r="AH34" t="n">
        <x:f>MIN(1,'_曲线基线'!$L$3+AH$9*($H$10*H34+$I$10*I34+$J$10*J34+$K$10*K34+$L$10*L34))</x:f>
        <x:v>0.07084421777503458</x:v>
      </x:c>
      <x:c r="AI34" t="n">
        <x:f>'_曲线基线'!$L$4+AI$9*($H$10*H34+$I$10*I34+$J$10*J34+$K$10*K34+$L$10*L34)</x:f>
        <x:v>2.0580660352304534</x:v>
      </x:c>
      <x:c r="AJ34" t="n">
        <x:f>1+AJ$9*($H$10*H34+$I$10*I34+$J$10*J34+$K$10*K34+$L$10*L34)</x:f>
        <x:v>1.0476439263429362</x:v>
      </x:c>
      <x:c r="AK34" t="n">
        <x:f>(1+AH34*(AI34-1))*AJ34</x:f>
        <x:v>1.1261730737533844</x:v>
      </x:c>
      <x:c r="AL34" t="n">
        <x:f>U34*AD34*AK34*F34</x:f>
        <x:v>24387.721830081253</x:v>
      </x:c>
      <x:c r="AM34" t="n">
        <x:f>IF($B34&lt;AM$8,0,AM$3+(AM$4-AM$3)*(POWER(AM$5,$B34-AM$8)-1)/(POWER(AM$5,$C$5-AM$8)-1))</x:f>
        <x:v>35.32852223003266</x:v>
      </x:c>
      <x:c r="AN34" t="n">
        <x:f>(((E34*'模块规划'!$D$10+G34*'模块规划'!$D$11+H34*'模块规划'!$D$13)*(1+'模块规划'!$G$14*H34)+(I34*'模块规划'!$D$15+J34*'模块规划'!$D$17+K34*'模块规划'!$D$16+L34*'模块规划'!$D$18))*(1+'模块规划'!$J$17*J34))*F34/(1-Q34)</x:f>
        <x:v>74275.09273909875</x:v>
      </x:c>
      <x:c r="AO34" t="n">
        <x:f>AL34*AM34</x:f>
        <x:v>861582.1728138784</x:v>
      </x:c>
      <x:c r="AP34" t="n">
        <x:f>IF(AO34="","",INDEX('_曲线基线'!$A$3:$A$502,MIN(ROWS('_曲线基线'!$A$3:$A$502),COUNTIF('_曲线基线'!$E$3:$E$502,"&lt;"&amp;AO34)+1)))</x:f>
        <x:v>48</x:v>
      </x:c>
      <x:c r="AQ34" t="n">
        <x:f>IF(B34&lt;=2,1,IF(B34&lt;=6,2,IF(B34&lt;=9,3,IF(B34&lt;=19,4,5))))</x:f>
        <x:v>5</x:v>
      </x:c>
      <x:c r="AR34" t="n">
        <x:f>AN34*(1-Q34)/F34*$AS$3+U34*$AS$4+P34*$AS$5</x:f>
        <x:v>1349.5962300325093</x:v>
      </x:c>
      <x:c r="AS34" t="n">
        <x:f>1+AH34*$AS$6+AI34*$AS$7+(AJ34-1)*$AS$8+($H$10*H34+$I$10*I34+$J$10*J34+$K$10*K34+$L$10*L34)*$AU$3*$AS$9+($H$10*H34+$I$10*I34+$J$10*J34+$K$10*K34+$L$10*L34)*$AU$4*$AS$10</x:f>
        <x:v>5.529037448923412</x:v>
      </x:c>
      <x:c r="AT34" t="n">
        <x:f>ROUND(AR34*AS34,0)</x:f>
        <x:v>7462</x:v>
      </x:c>
      <x:c r="AU34" t="n">
        <x:f>ROUND(AT34*F34,0)</x:f>
        <x:v>32833</x:v>
      </x:c>
    </x:row>
    <x:row r="35">
      <x:c r="A35" t="n">
        <x:f>IFERROR(XLOOKUP(B35,'_曲线基线'!$G$3:$G$107,'_曲线基线'!$J$3:$J$107,""),"")</x:f>
        <x:v>16</x:v>
      </x:c>
      <x:c r="B35" t="n">
        <x:v>24</x:v>
      </x:c>
      <x:c r="C35" t="n">
        <x:v>2</x:v>
      </x:c>
      <x:c r="D35" t="n">
        <x:v>12</x:v>
      </x:c>
      <x:c r="E35" t="n">
        <x:f>IF($B35&lt;E$8,0,E$3+(E$4-E$3)*(POWER(E$5,$B35-E$8)-1)/(POWER(E$5,$C$5-E$8)-1))</x:f>
        <x:v>1</x:v>
      </x:c>
      <x:c r="F35" t="n">
        <x:f>1+IF(B35&lt;3,0,MIN(1,(B35-2)/4))+IF(B35&lt;7,0,MIN(1,(B35-6)/3))+IF(B35&lt;10,0,MIN(1,(B35-9)/5))+IF(B35&lt;20,0,MIN(1,(B35-19)/10))</x:f>
        <x:v>4.5</x:v>
      </x:c>
      <x:c r="G35" t="n">
        <x:f>IF($B35&lt;G$8,0,G$3+(G$4-G$3)*(POWER(G$5,$B35-G$8)-1)/(POWER(G$5,$C$5-G$8)-1))</x:f>
        <x:v>0.2682821033467744</x:v>
      </x:c>
      <x:c r="H35" t="n">
        <x:f>IF($B35&lt;H$8,0,H$3+(H$4-H$3)*(POWER(H$5,$B35-H$8)-1)/(POWER(H$5,$C$5-H$8)-1))</x:f>
        <x:v>0.12865765443357877</x:v>
      </x:c>
      <x:c r="I35" t="n">
        <x:f>IF($B35&lt;I$8,0,I$3+(I$4-I$3)*(POWER(I$5,$B35-I$8)-1)/(POWER(I$5,$C$5-I$8)-1))</x:f>
        <x:v>0</x:v>
      </x:c>
      <x:c r="J35" t="n">
        <x:f>IF($B35&lt;J$8,0,J$3+(J$4-J$3)*(POWER(J$5,$B35-J$8)-1)/(POWER(J$5,$C$5-J$8)-1))</x:f>
        <x:v>0</x:v>
      </x:c>
      <x:c r="K35" t="n">
        <x:f>IF($B35&lt;K$8,0,K$3+(K$4-K$3)*(POWER(K$5,$B35-K$8)-1)/(POWER(K$5,$C$5-K$8)-1))</x:f>
        <x:v>0</x:v>
      </x:c>
      <x:c r="L35" t="n">
        <x:f>IF($B35&lt;L$8,0,L$3+(L$4-L$3)*(POWER(L$5,$B35-L$8)-1)/(POWER(L$5,$C$5-L$8)-1))</x:f>
        <x:v>0.11694104964312126</x:v>
      </x:c>
      <x:c r="M35" t="n">
        <x:f>E35*'模块规划'!$F$10+G35*'模块规划'!$F$11+H35*'模块规划'!$F$13</x:f>
        <x:v>2287.754096064517</x:v>
      </x:c>
      <x:c r="N35" t="n">
        <x:f>I35*'模块规划'!$F$15+J35*'模块规划'!$F$17+K35*'模块规划'!$F$16+L35*'模块规划'!$F$18</x:f>
        <x:v>584.7052482156063</x:v>
      </x:c>
      <x:c r="O35" t="n">
        <x:f>1+O$9*SUMPRODUCT($H$10:$L$10,H35:L35)/SUM($H$10:$L$10)</x:f>
        <x:v>1.1149764116681569</x:v>
      </x:c>
      <x:c r="P35" t="n">
        <x:f>M35*O35+N35</x:f>
        <x:v>3135.497101024749</x:v>
      </x:c>
      <x:c r="Q35" t="n">
        <x:f>P35/(P35+'_曲线基线'!$L$2)</x:f>
        <x:v>0.11554964662528108</x:v>
      </x:c>
      <x:c r="R35" t="n">
        <x:f>E35*'模块规划'!$E$10+G35*'模块规划'!$E$11+H35*'模块规划'!$E$13</x:f>
        <x:v>3431.6311440967756</x:v>
      </x:c>
      <x:c r="S35" t="n">
        <x:f>I35*'模块规划'!$E$15+J35*'模块规划'!$E$17+K35*'模块规划'!$E$16+L35*'模块规划'!$E$18</x:f>
        <x:v>877.0578723234095</x:v>
      </x:c>
      <x:c r="T35" t="n">
        <x:f>1+T$9*SUMPRODUCT($H$10:$L$10,H35:L35)/SUM($H$10:$L$10)</x:f>
        <x:v>1.1149764116681569</x:v>
      </x:c>
      <x:c r="U35" t="n">
        <x:f>R35*T35+S35</x:f>
        <x:v>4703.245651537124</x:v>
      </x:c>
      <x:c r="V35" t="n">
        <x:f>V$8+(V$9-V$8)*H35</x:f>
        <x:v>0.7385972963300735</x:v>
      </x:c>
      <x:c r="W35" t="n">
        <x:f>IF(B35&lt;$H$8,0,W$8+(W$9-W$8)*H35)</x:f>
        <x:v>0.05146306177343151</x:v>
      </x:c>
      <x:c r="X35" t="n">
        <x:f>X$8+(X$9-X$8)*H35</x:f>
        <x:v>0.3103808549692342</x:v>
      </x:c>
      <x:c r="Y35" t="n">
        <x:f>Y$8+(Y$9-Y$8)*G35</x:f>
        <x:v>1</x:v>
      </x:c>
      <x:c r="Z35" t="n">
        <x:f>Z$8+(Z$9-Z$8)*H35</x:f>
        <x:v>1</x:v>
      </x:c>
      <x:c r="AA35" t="n">
        <x:f>AA$8+(AA$9-AA$8)*I35</x:f>
        <x:v>1</x:v>
      </x:c>
      <x:c r="AB35" t="n">
        <x:f>AB$8+(AB$9-AB$8)*J35</x:f>
        <x:v>1</x:v>
      </x:c>
      <x:c r="AC35" t="n">
        <x:f>AC$8+(AC$9-AC$8)*MAX(K35,L35)</x:f>
        <x:v>1</x:v>
      </x:c>
      <x:c r="AD35" t="n">
        <x:f>(V35*AE35+W35*AF35+X35*AG35)*PRODUCT(Y35:AC35)</x:f>
        <x:v>1.106545337135779</x:v>
      </x:c>
      <x:c r="AE35" t="n">
        <x:f>1+AE$9*($H$10*H35+$I$10*I35+$J$10*J35+$K$10*K35+$L$10*L35)</x:f>
        <x:v>1</x:v>
      </x:c>
      <x:c r="AF35" t="n">
        <x:f>1+AF$9*($H$10*H35+$I$10*I35+$J$10*J35+$K$10*K35+$L$10*L35)</x:f>
        <x:v>1.0101477156856915</x:v>
      </x:c>
      <x:c r="AG35" t="n">
        <x:f>1+AG$9*($H$10*H35+$I$10*I35+$J$10*J35+$K$10*K35+$L$10*L35)</x:f>
        <x:v>1.0179840072429758</x:v>
      </x:c>
      <x:c r="AH35" t="n">
        <x:f>MIN(1,'_曲线基线'!$L$3+AH$9*($H$10*H35+$I$10*I35+$J$10*J35+$K$10*K35+$L$10*L35))</x:f>
        <x:v>0.07308605318494835</x:v>
      </x:c>
      <x:c r="AI35" t="n">
        <x:f>'_曲线基线'!$L$4+AI$9*($H$10*H35+$I$10*I35+$J$10*J35+$K$10*K35+$L$10*L35)</x:f>
        <x:v>2.0643111481580703</x:v>
      </x:c>
      <x:c r="AJ35" t="n">
        <x:f>1+AJ$9*($H$10*H35+$I$10*I35+$J$10*J35+$K$10*K35+$L$10*L35)</x:f>
        <x:v>1.0527681215655962</x:v>
      </x:c>
      <x:c r="AK35" t="n">
        <x:f>(1+AH35*(AI35-1))*AJ35</x:f>
        <x:v>1.1346590597419943</x:v>
      </x:c>
      <x:c r="AL35" t="n">
        <x:f>U35*AD35*AK35*F35</x:f>
        <x:v>26573.25615624613</x:v>
      </x:c>
      <x:c r="AM35" t="n">
        <x:f>IF($B35&lt;AM$8,0,AM$3+(AM$4-AM$3)*(POWER(AM$5,$B35-AM$8)-1)/(POWER(AM$5,$C$5-AM$8)-1))</x:f>
        <x:v>35.345232092254854</x:v>
      </x:c>
      <x:c r="AN35" t="n">
        <x:f>(((E35*'模块规划'!$D$10+G35*'模块规划'!$D$11+H35*'模块规划'!$D$13)*(1+'模块规划'!$G$14*H35)+(I35*'模块规划'!$D$15+J35*'模块规划'!$D$17+K35*'模块规划'!$D$16+L35*'模块规划'!$D$18))*(1+'模块规划'!$J$17*J35))*F35/(1-Q35)</x:f>
        <x:v>79813.02824329917</x:v>
      </x:c>
      <x:c r="AO35" t="n">
        <x:f>AL35*AM35</x:f>
        <x:v>939237.9062894596</x:v>
      </x:c>
      <x:c r="AP35" t="n">
        <x:f>IF(AO35="","",INDEX('_曲线基线'!$A$3:$A$502,MIN(ROWS('_曲线基线'!$A$3:$A$502),COUNTIF('_曲线基线'!$E$3:$E$502,"&lt;"&amp;AO35)+1)))</x:f>
        <x:v>50</x:v>
      </x:c>
      <x:c r="AQ35" t="n">
        <x:f>IF(B35&lt;=2,1,IF(B35&lt;=6,2,IF(B35&lt;=9,3,IF(B35&lt;=19,4,5))))</x:f>
        <x:v>5</x:v>
      </x:c>
      <x:c r="AR35" t="n">
        <x:f>AN35*(1-Q35)/F35*$AS$3+U35*$AS$4+P35*$AS$5</x:f>
        <x:v>1411.2535371987074</x:v>
      </x:c>
      <x:c r="AS35" t="n">
        <x:f>1+AH35*$AS$6+AI35*$AS$7+(AJ35-1)*$AS$8+($H$10*H35+$I$10*I35+$J$10*J35+$K$10*K35+$L$10*L35)*$AU$3*$AS$9+($H$10*H35+$I$10*I35+$J$10*J35+$K$10*K35+$L$10*L35)*$AU$4*$AS$10</x:f>
        <x:v>5.587917542562019</x:v>
      </x:c>
      <x:c r="AT35" t="n">
        <x:f>ROUND(AR35*AS35,0)</x:f>
        <x:v>7886</x:v>
      </x:c>
      <x:c r="AU35" t="n">
        <x:f>ROUND(AT35*F35,0)</x:f>
        <x:v>35487</x:v>
      </x:c>
    </x:row>
    <x:row r="36">
      <x:c r="A36" t="n">
        <x:f>IFERROR(XLOOKUP(B36,'_曲线基线'!$G$3:$G$107,'_曲线基线'!$J$3:$J$107,""),"")</x:f>
        <x:v>17</x:v>
      </x:c>
      <x:c r="B36" t="n">
        <x:v>25</x:v>
      </x:c>
      <x:c r="C36" t="n">
        <x:v>3</x:v>
      </x:c>
      <x:c r="D36" t="n">
        <x:v>1</x:v>
      </x:c>
      <x:c r="E36" t="n">
        <x:f>IF($B36&lt;E$8,0,E$3+(E$4-E$3)*(POWER(E$5,$B36-E$8)-1)/(POWER(E$5,$C$5-E$8)-1))</x:f>
        <x:v>1</x:v>
      </x:c>
      <x:c r="F36" t="n">
        <x:f>1+IF(B36&lt;3,0,MIN(1,(B36-2)/4))+IF(B36&lt;7,0,MIN(1,(B36-6)/3))+IF(B36&lt;10,0,MIN(1,(B36-9)/5))+IF(B36&lt;20,0,MIN(1,(B36-19)/10))</x:f>
        <x:v>4.6</x:v>
      </x:c>
      <x:c r="G36" t="n">
        <x:f>IF($B36&lt;G$8,0,G$3+(G$4-G$3)*(POWER(G$5,$B36-G$8)-1)/(POWER(G$5,$C$5-G$8)-1))</x:f>
        <x:v>0.2779630622510686</x:v>
      </x:c>
      <x:c r="H36" t="n">
        <x:f>IF($B36&lt;H$8,0,H$3+(H$4-H$3)*(POWER(H$5,$B36-H$8)-1)/(POWER(H$5,$C$5-H$8)-1))</x:f>
        <x:v>0.14015104358441846</x:v>
      </x:c>
      <x:c r="I36" t="n">
        <x:f>IF($B36&lt;I$8,0,I$3+(I$4-I$3)*(POWER(I$5,$B36-I$8)-1)/(POWER(I$5,$C$5-I$8)-1))</x:f>
        <x:v>0</x:v>
      </x:c>
      <x:c r="J36" t="n">
        <x:f>IF($B36&lt;J$8,0,J$3+(J$4-J$3)*(POWER(J$5,$B36-J$8)-1)/(POWER(J$5,$C$5-J$8)-1))</x:f>
        <x:v>0</x:v>
      </x:c>
      <x:c r="K36" t="n">
        <x:f>IF($B36&lt;K$8,0,K$3+(K$4-K$3)*(POWER(K$5,$B36-K$8)-1)/(POWER(K$5,$C$5-K$8)-1))</x:f>
        <x:v>0</x:v>
      </x:c>
      <x:c r="L36" t="n">
        <x:f>IF($B36&lt;L$8,0,L$3+(L$4-L$3)*(POWER(L$5,$B36-L$8)-1)/(POWER(L$5,$C$5-L$8)-1))</x:f>
        <x:v>0.1286701354816446</x:v>
      </x:c>
      <x:c r="M36" t="n">
        <x:f>E36*'模块规划'!$F$10+G36*'模块规划'!$F$11+H36*'模块规划'!$F$13</x:f>
        <x:v>2334.2226988051293</x:v>
      </x:c>
      <x:c r="N36" t="n">
        <x:f>I36*'模块规划'!$F$15+J36*'模块规划'!$F$17+K36*'模块规划'!$F$16+L36*'模块规划'!$F$18</x:f>
        <x:v>643.350677408223</x:v>
      </x:c>
      <x:c r="O36" t="n">
        <x:f>1+O$9*SUMPRODUCT($H$10:$L$10,H36:L36)/SUM($H$10:$L$10)</x:f>
        <x:v>1.1259182138523232</x:v>
      </x:c>
      <x:c r="P36" t="n">
        <x:f>M36*O36+N36</x:f>
        <x:v>3271.4945291804434</x:v>
      </x:c>
      <x:c r="Q36" t="n">
        <x:f>P36/(P36+'_曲线基线'!$L$2)</x:f>
        <x:v>0.11996022167688503</x:v>
      </x:c>
      <x:c r="R36" t="n">
        <x:f>E36*'模块规划'!$E$10+G36*'模块规划'!$E$11+H36*'模块规划'!$E$13</x:f>
        <x:v>3501.3340482076937</x:v>
      </x:c>
      <x:c r="S36" t="n">
        <x:f>I36*'模块规划'!$E$15+J36*'模块规划'!$E$17+K36*'模块规划'!$E$16+L36*'模块规划'!$E$18</x:f>
        <x:v>965.0260161123346</x:v>
      </x:c>
      <x:c r="T36" t="n">
        <x:f>1+T$9*SUMPRODUCT($H$10:$L$10,H36:L36)/SUM($H$10:$L$10)</x:f>
        <x:v>1.1259182138523232</x:v>
      </x:c>
      <x:c r="U36" t="n">
        <x:f>R36*T36+S36</x:f>
        <x:v>4907.241793770665</x:v>
      </x:c>
      <x:c r="V36" t="n">
        <x:f>V$8+(V$9-V$8)*H36</x:f>
        <x:v>0.7420453130753255</x:v>
      </x:c>
      <x:c r="W36" t="n">
        <x:f>IF(B36&lt;$H$8,0,W$8+(W$9-W$8)*H36)</x:f>
        <x:v>0.056060417433767384</x:v>
      </x:c>
      <x:c r="X36" t="n">
        <x:f>X$8+(X$9-X$8)*H36</x:f>
        <x:v>0.3135415369857151</x:v>
      </x:c>
      <x:c r="Y36" t="n">
        <x:f>Y$8+(Y$9-Y$8)*G36</x:f>
        <x:v>1</x:v>
      </x:c>
      <x:c r="Z36" t="n">
        <x:f>Z$8+(Z$9-Z$8)*H36</x:f>
        <x:v>1</x:v>
      </x:c>
      <x:c r="AA36" t="n">
        <x:f>AA$8+(AA$9-AA$8)*I36</x:f>
        <x:v>1</x:v>
      </x:c>
      <x:c r="AB36" t="n">
        <x:f>AB$8+(AB$9-AB$8)*J36</x:f>
        <x:v>1</x:v>
      </x:c>
      <x:c r="AC36" t="n">
        <x:f>AC$8+(AC$9-AC$8)*MAX(K36,L36)</x:f>
        <x:v>1</x:v>
      </x:c>
      <x:c r="AD36" t="n">
        <x:f>(V36*AE36+W36*AF36+X36*AG36)*PRODUCT(Y36:AC36)</x:f>
        <x:v>1.118445637839581</x:v>
      </x:c>
      <x:c r="AE36" t="n">
        <x:f>1+AE$9*($H$10*H36+$I$10*I36+$J$10*J36+$K$10*K36+$L$10*L36)</x:f>
        <x:v>1</x:v>
      </x:c>
      <x:c r="AF36" t="n">
        <x:f>1+AF$9*($H$10*H36+$I$10*I36+$J$10*J36+$K$10*K36+$L$10*L36)</x:f>
        <x:v>1.0111134294007313</x:v>
      </x:c>
      <x:c r="AG36" t="n">
        <x:f>1+AG$9*($H$10*H36+$I$10*I36+$J$10*J36+$K$10*K36+$L$10*L36)</x:f>
        <x:v>1.019695466549074</x:v>
      </x:c>
      <x:c r="AH36" t="n">
        <x:f>MIN(1,'_曲线基线'!$L$3+AH$9*($H$10*H36+$I$10*I36+$J$10*J36+$K$10*K36+$L$10*L36))</x:f>
        <x:v>0.07528305188666383</x:v>
      </x:c>
      <x:c r="AI36" t="n">
        <x:f>'_曲线基线'!$L$4+AI$9*($H$10*H36+$I$10*I36+$J$10*J36+$K$10*K36+$L$10*L36)</x:f>
        <x:v>2.070431358827135</x:v>
      </x:c>
      <x:c r="AJ36" t="n">
        <x:f>1+AJ$9*($H$10*H36+$I$10*I36+$J$10*J36+$K$10*K36+$L$10*L36)</x:f>
        <x:v>1.0577898328838031</x:v>
      </x:c>
      <x:c r="AK36" t="n">
        <x:f>(1+AH36*(AI36-1))*AJ36</x:f>
        <x:v>1.1430321857156884</x:v>
      </x:c>
      <x:c r="AL36" t="n">
        <x:f>U36*AD36*AK36*F36</x:f>
        <x:v>28858.159447132042</x:v>
      </x:c>
      <x:c r="AM36" t="n">
        <x:f>IF($B36&lt;AM$8,0,AM$3+(AM$4-AM$3)*(POWER(AM$5,$B36-AM$8)-1)/(POWER(AM$5,$C$5-AM$8)-1))</x:f>
        <x:v>35.362109053099275</x:v>
      </x:c>
      <x:c r="AN36" t="n">
        <x:f>(((E36*'模块规划'!$D$10+G36*'模块规划'!$D$11+H36*'模块规划'!$D$13)*(1+'模块规划'!$G$14*H36)+(I36*'模块规划'!$D$15+J36*'模块规划'!$D$17+K36*'模块规划'!$D$16+L36*'模块规划'!$D$18))*(1+'模块规划'!$J$17*J36))*F36/(1-Q36)</x:f>
        <x:v>85514.38818284056</x:v>
      </x:c>
      <x:c r="AO36" t="n">
        <x:f>AL36*AM36</x:f>
        <x:v>1020485.3814412104</x:v>
      </x:c>
      <x:c r="AP36" t="n">
        <x:f>IF(AO36="","",INDEX('_曲线基线'!$A$3:$A$502,MIN(ROWS('_曲线基线'!$A$3:$A$502),COUNTIF('_曲线基线'!$E$3:$E$502,"&lt;"&amp;AO36)+1)))</x:f>
        <x:v>53</x:v>
      </x:c>
      <x:c r="AQ36" t="n">
        <x:f>IF(B36&lt;=2,1,IF(B36&lt;=6,2,IF(B36&lt;=9,3,IF(B36&lt;=19,4,5))))</x:f>
        <x:v>5</x:v>
      </x:c>
      <x:c r="AR36" t="n">
        <x:f>AN36*(1-Q36)/F36*$AS$3+U36*$AS$4+P36*$AS$5</x:f>
        <x:v>1472.2487710575926</x:v>
      </x:c>
      <x:c r="AS36" t="n">
        <x:f>1+AH36*$AS$6+AI36*$AS$7+(AJ36-1)*$AS$8+($H$10*H36+$I$10*I36+$J$10*J36+$K$10*K36+$L$10*L36)*$AU$3*$AS$9+($H$10*H36+$I$10*I36+$J$10*J36+$K$10*K36+$L$10*L36)*$AU$4*$AS$10</x:f>
        <x:v>5.645620034327854</x:v>
      </x:c>
      <x:c r="AT36" t="n">
        <x:f>ROUND(AR36*AS36,0)</x:f>
        <x:v>8312</x:v>
      </x:c>
      <x:c r="AU36" t="n">
        <x:f>ROUND(AT36*F36,0)</x:f>
        <x:v>38235</x:v>
      </x:c>
    </x:row>
    <x:row r="37">
      <x:c r="A37" t="n">
        <x:f>IFERROR(XLOOKUP(B37,'_曲线基线'!$G$3:$G$107,'_曲线基线'!$J$3:$J$107,""),"")</x:f>
        <x:v>17</x:v>
      </x:c>
      <x:c r="B37" t="n">
        <x:v>26</x:v>
      </x:c>
      <x:c r="C37" t="n">
        <x:v>3</x:v>
      </x:c>
      <x:c r="D37" t="n">
        <x:v>2</x:v>
      </x:c>
      <x:c r="E37" t="n">
        <x:f>IF($B37&lt;E$8,0,E$3+(E$4-E$3)*(POWER(E$5,$B37-E$8)-1)/(POWER(E$5,$C$5-E$8)-1))</x:f>
        <x:v>1</x:v>
      </x:c>
      <x:c r="F37" t="n">
        <x:f>1+IF(B37&lt;3,0,MIN(1,(B37-2)/4))+IF(B37&lt;7,0,MIN(1,(B37-6)/3))+IF(B37&lt;10,0,MIN(1,(B37-9)/5))+IF(B37&lt;20,0,MIN(1,(B37-19)/10))</x:f>
        <x:v>4.7</x:v>
      </x:c>
      <x:c r="G37" t="n">
        <x:f>IF($B37&lt;G$8,0,G$3+(G$4-G$3)*(POWER(G$5,$B37-G$8)-1)/(POWER(G$5,$C$5-G$8)-1))</x:f>
        <x:v>0.28749880677179845</x:v>
      </x:c>
      <x:c r="H37" t="n">
        <x:f>IF($B37&lt;H$8,0,H$3+(H$4-H$3)*(POWER(H$5,$B37-H$8)-1)/(POWER(H$5,$C$5-H$8)-1))</x:f>
        <x:v>0.1514145649522415</x:v>
      </x:c>
      <x:c r="I37" t="n">
        <x:f>IF($B37&lt;I$8,0,I$3+(I$4-I$3)*(POWER(I$5,$B37-I$8)-1)/(POWER(I$5,$C$5-I$8)-1))</x:f>
        <x:v>0</x:v>
      </x:c>
      <x:c r="J37" t="n">
        <x:f>IF($B37&lt;J$8,0,J$3+(J$4-J$3)*(POWER(J$5,$B37-J$8)-1)/(POWER(J$5,$C$5-J$8)-1))</x:f>
        <x:v>0</x:v>
      </x:c>
      <x:c r="K37" t="n">
        <x:f>IF($B37&lt;K$8,0,K$3+(K$4-K$3)*(POWER(K$5,$B37-K$8)-1)/(POWER(K$5,$C$5-K$8)-1))</x:f>
        <x:v>0</x:v>
      </x:c>
      <x:c r="L37" t="n">
        <x:f>IF($B37&lt;L$8,0,L$3+(L$4-L$3)*(POWER(L$5,$B37-L$8)-1)/(POWER(L$5,$C$5-L$8)-1))</x:f>
        <x:v>0.14016463960339734</x:v>
      </x:c>
      <x:c r="M37" t="n">
        <x:f>E37*'模块规划'!$F$10+G37*'模块规划'!$F$11+H37*'模块规划'!$F$13</x:f>
        <x:v>2379.9942725046326</x:v>
      </x:c>
      <x:c r="N37" t="n">
        <x:f>I37*'模块规划'!$F$15+J37*'模块规划'!$F$17+K37*'模块规划'!$F$16+L37*'模块规划'!$F$18</x:f>
        <x:v>700.8231980169867</x:v>
      </x:c>
      <x:c r="O37" t="n">
        <x:f>1+O$9*SUMPRODUCT($H$10:$L$10,H37:L37)/SUM($H$10:$L$10)</x:f>
        <x:v>1.136641179992806</x:v>
      </x:c>
      <x:c r="P37" t="n">
        <x:f>M37*O37+N37</x:f>
        <x:v>3406.0226962927723</x:v>
      </x:c>
      <x:c r="Q37" t="n">
        <x:f>P37/(P37+'_曲线基线'!$L$2)</x:f>
        <x:v>0.12428008011368635</x:v>
      </x:c>
      <x:c r="R37" t="n">
        <x:f>E37*'模块规划'!$E$10+G37*'模块规划'!$E$11+H37*'模块规划'!$E$13</x:f>
        <x:v>3569.9914087569487</x:v>
      </x:c>
      <x:c r="S37" t="n">
        <x:f>I37*'模块规划'!$E$15+J37*'模块规划'!$E$17+K37*'模块规划'!$E$16+L37*'模块规划'!$E$18</x:f>
        <x:v>1051.23479702548</x:v>
      </x:c>
      <x:c r="T37" t="n">
        <x:f>1+T$9*SUMPRODUCT($H$10:$L$10,H37:L37)/SUM($H$10:$L$10)</x:f>
        <x:v>1.136641179992806</x:v>
      </x:c>
      <x:c r="U37" t="n">
        <x:f>R37*T37+S37</x:f>
        <x:v>5109.034044439159</x:v>
      </x:c>
      <x:c r="V37" t="n">
        <x:f>V$8+(V$9-V$8)*H37</x:f>
        <x:v>0.7454243694856724</x:v>
      </x:c>
      <x:c r="W37" t="n">
        <x:f>IF(B37&lt;$H$8,0,W$8+(W$9-W$8)*H37)</x:f>
        <x:v>0.060565825980896604</x:v>
      </x:c>
      <x:c r="X37" t="n">
        <x:f>X$8+(X$9-X$8)*H37</x:f>
        <x:v>0.31663900536186645</x:v>
      </x:c>
      <x:c r="Y37" t="n">
        <x:f>Y$8+(Y$9-Y$8)*G37</x:f>
        <x:v>1</x:v>
      </x:c>
      <x:c r="Z37" t="n">
        <x:f>Z$8+(Z$9-Z$8)*H37</x:f>
        <x:v>1</x:v>
      </x:c>
      <x:c r="AA37" t="n">
        <x:f>AA$8+(AA$9-AA$8)*I37</x:f>
        <x:v>1</x:v>
      </x:c>
      <x:c r="AB37" t="n">
        <x:f>AB$8+(AB$9-AB$8)*J37</x:f>
        <x:v>1</x:v>
      </x:c>
      <x:c r="AC37" t="n">
        <x:f>AC$8+(AC$9-AC$8)*MAX(K37,L37)</x:f>
        <x:v>1</x:v>
      </x:c>
      <x:c r="AD37" t="n">
        <x:f>(V37*AE37+W37*AF37+X37*AG37)*PRODUCT(Y37:AC37)</x:f>
        <x:v>1.1301270437385962</x:v>
      </x:c>
      <x:c r="AE37" t="n">
        <x:f>1+AE$9*($H$10*H37+$I$10*I37+$J$10*J37+$K$10*K37+$L$10*L37)</x:f>
        <x:v>1</x:v>
      </x:c>
      <x:c r="AF37" t="n">
        <x:f>1+AF$9*($H$10*H37+$I$10*I37+$J$10*J37+$K$10*K37+$L$10*L37)</x:f>
        <x:v>1.0120598288414704</x:v>
      </x:c>
      <x:c r="AG37" t="n">
        <x:f>1+AG$9*($H$10*H37+$I$10*I37+$J$10*J37+$K$10*K37+$L$10*L37)</x:f>
        <x:v>1.0213726966690504</x:v>
      </x:c>
      <x:c r="AH37" t="n">
        <x:f>MIN(1,'_曲线基线'!$L$3+AH$9*($H$10*H37+$I$10*I37+$J$10*J37+$K$10*K37+$L$10*L37))</x:f>
        <x:v>0.07743611061434501</x:v>
      </x:c>
      <x:c r="AI37" t="n">
        <x:f>'_曲线基线'!$L$4+AI$9*($H$10*H37+$I$10*I37+$J$10*J37+$K$10*K37+$L$10*L37)</x:f>
        <x:v>2.076429165282818</x:v>
      </x:c>
      <x:c r="AJ37" t="n">
        <x:f>1+AJ$9*($H$10*H37+$I$10*I37+$J$10*J37+$K$10*K37+$L$10*L37)</x:f>
        <x:v>1.0627111099756457</x:v>
      </x:c>
      <x:c r="AK37" t="n">
        <x:f>(1+AH37*(AI37-1))*AJ37</x:f>
        <x:v>1.1512928503453652</x:v>
      </x:c>
      <x:c r="AL37" t="n">
        <x:f>U37*AD37*AK37*F37</x:f>
        <x:v>31242.784257580188</x:v>
      </x:c>
      <x:c r="AM37" t="n">
        <x:f>IF($B37&lt;AM$8,0,AM$3+(AM$4-AM$3)*(POWER(AM$5,$B37-AM$8)-1)/(POWER(AM$5,$C$5-AM$8)-1))</x:f>
        <x:v>35.37915478355213</x:v>
      </x:c>
      <x:c r="AN37" t="n">
        <x:f>(((E37*'模块规划'!$D$10+G37*'模块规划'!$D$11+H37*'模块规划'!$D$13)*(1+'模块规划'!$G$14*H37)+(I37*'模块规划'!$D$15+J37*'模块规划'!$D$17+K37*'模块规划'!$D$16+L37*'模块规划'!$D$18))*(1+'模块规划'!$J$17*J37))*F37/(1-Q37)</x:f>
        <x:v>91377.32893162103</x:v>
      </x:c>
      <x:c r="AO37" t="n">
        <x:f>AL37*AM37</x:f>
        <x:v>1105343.3001180554</x:v>
      </x:c>
      <x:c r="AP37" t="n">
        <x:f>IF(AO37="","",INDEX('_曲线基线'!$A$3:$A$502,MIN(ROWS('_曲线基线'!$A$3:$A$502),COUNTIF('_曲线基线'!$E$3:$E$502,"&lt;"&amp;AO37)+1)))</x:f>
        <x:v>55</x:v>
      </x:c>
      <x:c r="AQ37" t="n">
        <x:f>IF(B37&lt;=2,1,IF(B37&lt;=6,2,IF(B37&lt;=9,3,IF(B37&lt;=19,4,5))))</x:f>
        <x:v>5</x:v>
      </x:c>
      <x:c r="AR37" t="n">
        <x:f>AN37*(1-Q37)/F37*$AS$3+U37*$AS$4+P37*$AS$5</x:f>
        <x:v>1532.5788121096903</x:v>
      </x:c>
      <x:c r="AS37" t="n">
        <x:f>1+AH37*$AS$6+AI37*$AS$7+(AJ37-1)*$AS$8+($H$10*H37+$I$10*I37+$J$10*J37+$K$10*K37+$L$10*L37)*$AU$3*$AS$9+($H$10*H37+$I$10*I37+$J$10*J37+$K$10*K37+$L$10*L37)*$AU$4*$AS$10</x:f>
        <x:v>5.7021684762583735</x:v>
      </x:c>
      <x:c r="AT37" t="n">
        <x:f>ROUND(AR37*AS37,0)</x:f>
        <x:v>8739</x:v>
      </x:c>
      <x:c r="AU37" t="n">
        <x:f>ROUND(AT37*F37,0)</x:f>
        <x:v>41073</x:v>
      </x:c>
    </x:row>
    <x:row r="38">
      <x:c r="A38" t="n">
        <x:f>IFERROR(XLOOKUP(B38,'_曲线基线'!$G$3:$G$107,'_曲线基线'!$J$3:$J$107,""),"")</x:f>
        <x:v>17</x:v>
      </x:c>
      <x:c r="B38" t="n">
        <x:v>27</x:v>
      </x:c>
      <x:c r="C38" t="n">
        <x:v>3</x:v>
      </x:c>
      <x:c r="D38" t="n">
        <x:v>3</x:v>
      </x:c>
      <x:c r="E38" t="n">
        <x:f>IF($B38&lt;E$8,0,E$3+(E$4-E$3)*(POWER(E$5,$B38-E$8)-1)/(POWER(E$5,$C$5-E$8)-1))</x:f>
        <x:v>1</x:v>
      </x:c>
      <x:c r="F38" t="n">
        <x:f>1+IF(B38&lt;3,0,MIN(1,(B38-2)/4))+IF(B38&lt;7,0,MIN(1,(B38-6)/3))+IF(B38&lt;10,0,MIN(1,(B38-9)/5))+IF(B38&lt;20,0,MIN(1,(B38-19)/10))</x:f>
        <x:v>4.8</x:v>
      </x:c>
      <x:c r="G38" t="n">
        <x:f>IF($B38&lt;G$8,0,G$3+(G$4-G$3)*(POWER(G$5,$B38-G$8)-1)/(POWER(G$5,$C$5-G$8)-1))</x:f>
        <x:v>0.2968915151247173</x:v>
      </x:c>
      <x:c r="H38" t="n">
        <x:f>IF($B38&lt;H$8,0,H$3+(H$4-H$3)*(POWER(H$5,$B38-H$8)-1)/(POWER(H$5,$C$5-H$8)-1))</x:f>
        <x:v>0.16245281589270807</x:v>
      </x:c>
      <x:c r="I38" t="n">
        <x:f>IF($B38&lt;I$8,0,I$3+(I$4-I$3)*(POWER(I$5,$B38-I$8)-1)/(POWER(I$5,$C$5-I$8)-1))</x:f>
        <x:v>0</x:v>
      </x:c>
      <x:c r="J38" t="n">
        <x:f>IF($B38&lt;J$8,0,J$3+(J$4-J$3)*(POWER(J$5,$B38-J$8)-1)/(POWER(J$5,$C$5-J$8)-1))</x:f>
        <x:v>0</x:v>
      </x:c>
      <x:c r="K38" t="n">
        <x:f>IF($B38&lt;K$8,0,K$3+(K$4-K$3)*(POWER(K$5,$B38-K$8)-1)/(POWER(K$5,$C$5-K$8)-1))</x:f>
        <x:v>0</x:v>
      </x:c>
      <x:c r="L38" t="n">
        <x:f>IF($B38&lt;L$8,0,L$3+(L$4-L$3)*(POWER(L$5,$B38-L$8)-1)/(POWER(L$5,$C$5-L$8)-1))</x:f>
        <x:v>0.15142925364271514</x:v>
      </x:c>
      <x:c r="M38" t="n">
        <x:f>E38*'模块规划'!$F$10+G38*'模块规划'!$F$11+H38*'模块规划'!$F$13</x:f>
        <x:v>2425.079272598643</x:v>
      </x:c>
      <x:c r="N38" t="n">
        <x:f>I38*'模块规划'!$F$15+J38*'模块规划'!$F$17+K38*'模块规划'!$F$16+L38*'模块规划'!$F$18</x:f>
        <x:v>757.1462682135757</x:v>
      </x:c>
      <x:c r="O38" t="n">
        <x:f>1+O$9*SUMPRODUCT($H$10:$L$10,H38:L38)/SUM($H$10:$L$10)</x:f>
        <x:v>1.1471496868104794</x:v>
      </x:c>
      <x:c r="P38" t="n">
        <x:f>M38*O38+N38</x:f>
        <x:v>3539.075196265694</x:v>
      </x:c>
      <x:c r="Q38" t="n">
        <x:f>P38/(P38+'_曲线基线'!$L$2)</x:f>
        <x:v>0.12851104007826644</x:v>
      </x:c>
      <x:c r="R38" t="n">
        <x:f>E38*'模块规划'!$E$10+G38*'模块规划'!$E$11+H38*'模块规划'!$E$13</x:f>
        <x:v>3637.6189088979645</x:v>
      </x:c>
      <x:c r="S38" t="n">
        <x:f>I38*'模块规划'!$E$15+J38*'模块规划'!$E$17+K38*'模块规划'!$E$16+L38*'模块规划'!$E$18</x:f>
        <x:v>1135.7194023203635</x:v>
      </x:c>
      <x:c r="T38" t="n">
        <x:f>1+T$9*SUMPRODUCT($H$10:$L$10,H38:L38)/SUM($H$10:$L$10)</x:f>
        <x:v>1.1471496868104794</x:v>
      </x:c>
      <x:c r="U38" t="n">
        <x:f>R38*T38+S38</x:f>
        <x:v>5308.612794398541</x:v>
      </x:c>
      <x:c r="V38" t="n">
        <x:f>V$8+(V$9-V$8)*H38</x:f>
        <x:v>0.7487358447678124</x:v>
      </x:c>
      <x:c r="W38" t="n">
        <x:f>IF(B38&lt;$H$8,0,W$8+(W$9-W$8)*H38)</x:f>
        <x:v>0.06498112635708324</x:v>
      </x:c>
      <x:c r="X38" t="n">
        <x:f>X$8+(X$9-X$8)*H38</x:f>
        <x:v>0.31967452437049476</x:v>
      </x:c>
      <x:c r="Y38" t="n">
        <x:f>Y$8+(Y$9-Y$8)*G38</x:f>
        <x:v>1</x:v>
      </x:c>
      <x:c r="Z38" t="n">
        <x:f>Z$8+(Z$9-Z$8)*H38</x:f>
        <x:v>1</x:v>
      </x:c>
      <x:c r="AA38" t="n">
        <x:f>AA$8+(AA$9-AA$8)*I38</x:f>
        <x:v>1</x:v>
      </x:c>
      <x:c r="AB38" t="n">
        <x:f>AB$8+(AB$9-AB$8)*J38</x:f>
        <x:v>1</x:v>
      </x:c>
      <x:c r="AC38" t="n">
        <x:f>AC$8+(AC$9-AC$8)*MAX(K38,L38)</x:f>
        <x:v>1</x:v>
      </x:c>
      <x:c r="AD38" t="n">
        <x:f>(V38*AE38+W38*AF38+X38*AG38)*PRODUCT(Y38:AC38)</x:f>
        <x:v>1.1415931759250324</x:v>
      </x:c>
      <x:c r="AE38" t="n">
        <x:f>1+AE$9*($H$10*H38+$I$10*I38+$J$10*J38+$K$10*K38+$L$10*L38)</x:f>
        <x:v>1</x:v>
      </x:c>
      <x:c r="AF38" t="n">
        <x:f>1+AF$9*($H$10*H38+$I$10*I38+$J$10*J38+$K$10*K38+$L$10*L38)</x:f>
        <x:v>1.0129873002933945</x:v>
      </x:c>
      <x:c r="AG38" t="n">
        <x:f>1+AG$9*($H$10*H38+$I$10*I38+$J$10*J38+$K$10*K38+$L$10*L38)</x:f>
        <x:v>1.0230163821866272</x:v>
      </x:c>
      <x:c r="AH38" t="n">
        <x:f>MIN(1,'_曲线基线'!$L$3+AH$9*($H$10*H38+$I$10*I38+$J$10*J38+$K$10*K38+$L$10*L38))</x:f>
        <x:v>0.07954610816747257</x:v>
      </x:c>
      <x:c r="AI38" t="n">
        <x:f>'_曲线基线'!$L$4+AI$9*($H$10*H38+$I$10*I38+$J$10*J38+$K$10*K38+$L$10*L38)</x:f>
        <x:v>2.0823070156093877</x:v>
      </x:c>
      <x:c r="AJ38" t="n">
        <x:f>1+AJ$9*($H$10*H38+$I$10*I38+$J$10*J38+$K$10*K38+$L$10*L38)</x:f>
        <x:v>1.0675339615256516</x:v>
      </x:c>
      <x:c r="AK38" t="n">
        <x:f>(1+AH38*(AI38-1))*AJ38</x:f>
        <x:v>1.1594414948079683</x:v>
      </x:c>
      <x:c r="AL38" t="n">
        <x:f>U38*AD38*AK38*F38</x:f>
        <x:v>33727.371006617796</x:v>
      </x:c>
      <x:c r="AM38" t="n">
        <x:f>IF($B38&lt;AM$8,0,AM$3+(AM$4-AM$3)*(POWER(AM$5,$B38-AM$8)-1)/(POWER(AM$5,$C$5-AM$8)-1))</x:f>
        <x:v>35.39637097130952</x:v>
      </x:c>
      <x:c r="AN38" t="n">
        <x:f>(((E38*'模块规划'!$D$10+G38*'模块规划'!$D$11+H38*'模块规划'!$D$13)*(1+'模块规划'!$G$14*H38)+(I38*'模块规划'!$D$15+J38*'模块规划'!$D$17+K38*'模块规划'!$D$16+L38*'模块规划'!$D$18))*(1+'模块规划'!$J$17*J38))*F38/(1-Q38)</x:f>
        <x:v>97399.93682720306</x:v>
      </x:c>
      <x:c r="AO38" t="n">
        <x:f>AL38*AM38</x:f>
        <x:v>1193826.5360372325</x:v>
      </x:c>
      <x:c r="AP38" t="n">
        <x:f>IF(AO38="","",INDEX('_曲线基线'!$A$3:$A$502,MIN(ROWS('_曲线基线'!$A$3:$A$502),COUNTIF('_曲线基线'!$E$3:$E$502,"&lt;"&amp;AO38)+1)))</x:f>
        <x:v>58</x:v>
      </x:c>
      <x:c r="AQ38" t="n">
        <x:f>IF(B38&lt;=2,1,IF(B38&lt;=6,2,IF(B38&lt;=9,3,IF(B38&lt;=19,4,5))))</x:f>
        <x:v>5</x:v>
      </x:c>
      <x:c r="AR38" t="n">
        <x:f>AN38*(1-Q38)/F38*$AS$3+U38*$AS$4+P38*$AS$5</x:f>
        <x:v>1592.2411191420942</x:v>
      </x:c>
      <x:c r="AS38" t="n">
        <x:f>1+AH38*$AS$6+AI38*$AS$7+(AJ38-1)*$AS$8+($H$10*H38+$I$10*I38+$J$10*J38+$K$10*K38+$L$10*L38)*$AU$3*$AS$9+($H$10*H38+$I$10*I38+$J$10*J38+$K$10*K38+$L$10*L38)*$AU$4*$AS$10</x:f>
        <x:v>5.757585949350283</x:v>
      </x:c>
      <x:c r="AT38" t="n">
        <x:f>ROUND(AR38*AS38,0)</x:f>
        <x:v>9167</x:v>
      </x:c>
      <x:c r="AU38" t="n">
        <x:f>ROUND(AT38*F38,0)</x:f>
        <x:v>44002</x:v>
      </x:c>
    </x:row>
    <x:row r="39">
      <x:c r="A39" t="n">
        <x:f>IFERROR(XLOOKUP(B39,'_曲线基线'!$G$3:$G$107,'_曲线基线'!$J$3:$J$107,""),"")</x:f>
        <x:v>18</x:v>
      </x:c>
      <x:c r="B39" t="n">
        <x:v>28</x:v>
      </x:c>
      <x:c r="C39" t="n">
        <x:v>3</x:v>
      </x:c>
      <x:c r="D39" t="n">
        <x:v>4</x:v>
      </x:c>
      <x:c r="E39" t="n">
        <x:f>IF($B39&lt;E$8,0,E$3+(E$4-E$3)*(POWER(E$5,$B39-E$8)-1)/(POWER(E$5,$C$5-E$8)-1))</x:f>
        <x:v>1</x:v>
      </x:c>
      <x:c r="F39" t="n">
        <x:f>1+IF(B39&lt;3,0,MIN(1,(B39-2)/4))+IF(B39&lt;7,0,MIN(1,(B39-6)/3))+IF(B39&lt;10,0,MIN(1,(B39-9)/5))+IF(B39&lt;20,0,MIN(1,(B39-19)/10))</x:f>
        <x:v>4.9</x:v>
      </x:c>
      <x:c r="G39" t="n">
        <x:f>IF($B39&lt;G$8,0,G$3+(G$4-G$3)*(POWER(G$5,$B39-G$8)-1)/(POWER(G$5,$C$5-G$8)-1))</x:f>
        <x:v>0.30614333285234235</x:v>
      </x:c>
      <x:c r="H39" t="n">
        <x:f>IF($B39&lt;H$8,0,H$3+(H$4-H$3)*(POWER(H$5,$B39-H$8)-1)/(POWER(H$5,$C$5-H$8)-1))</x:f>
        <x:v>0.17327030181436526</x:v>
      </x:c>
      <x:c r="I39" t="n">
        <x:f>IF($B39&lt;I$8,0,I$3+(I$4-I$3)*(POWER(I$5,$B39-I$8)-1)/(POWER(I$5,$C$5-I$8)-1))</x:f>
        <x:v>0</x:v>
      </x:c>
      <x:c r="J39" t="n">
        <x:f>IF($B39&lt;J$8,0,J$3+(J$4-J$3)*(POWER(J$5,$B39-J$8)-1)/(POWER(J$5,$C$5-J$8)-1))</x:f>
        <x:v>0</x:v>
      </x:c>
      <x:c r="K39" t="n">
        <x:f>IF($B39&lt;K$8,0,K$3+(K$4-K$3)*(POWER(K$5,$B39-K$8)-1)/(POWER(K$5,$C$5-K$8)-1))</x:f>
        <x:v>0</x:v>
      </x:c>
      <x:c r="L39" t="n">
        <x:f>IF($B39&lt;L$8,0,L$3+(L$4-L$3)*(POWER(L$5,$B39-L$8)-1)/(POWER(L$5,$C$5-L$8)-1))</x:f>
        <x:v>0.16246857540124657</x:v>
      </x:c>
      <x:c r="M39" t="n">
        <x:f>E39*'模块规划'!$F$10+G39*'模块规划'!$F$11+H39*'模块规划'!$F$13</x:f>
        <x:v>2469.4879976912434</x:v>
      </x:c>
      <x:c r="N39" t="n">
        <x:f>I39*'模块规划'!$F$15+J39*'模块规划'!$F$17+K39*'模块规划'!$F$16+L39*'模块规划'!$F$18</x:f>
        <x:v>812.3428770062328</x:v>
      </x:c>
      <x:c r="O39" t="n">
        <x:f>1+O$9*SUMPRODUCT($H$10:$L$10,H39:L39)/SUM($H$10:$L$10)</x:f>
        <x:v>1.1574480234917992</x:v>
      </x:c>
      <x:c r="P39" t="n">
        <x:f>M39*O39+N39</x:f>
        <x:v>3670.6468789706832</x:v>
      </x:c>
      <x:c r="Q39" t="n">
        <x:f>P39/(P39+'_曲线基线'!$L$2)</x:f>
        <x:v>0.13265489943281106</x:v>
      </x:c>
      <x:c r="R39" t="n">
        <x:f>E39*'模块规划'!$E$10+G39*'模块规划'!$E$11+H39*'模块规划'!$E$13</x:f>
        <x:v>3704.231996536865</x:v>
      </x:c>
      <x:c r="S39" t="n">
        <x:f>I39*'模块规划'!$E$15+J39*'模块规划'!$E$17+K39*'模块规划'!$E$16+L39*'模块规划'!$E$18</x:f>
        <x:v>1218.5143155093492</x:v>
      </x:c>
      <x:c r="T39" t="n">
        <x:f>1+T$9*SUMPRODUCT($H$10:$L$10,H39:L39)/SUM($H$10:$L$10)</x:f>
        <x:v>1.1574480234917992</x:v>
      </x:c>
      <x:c r="U39" t="n">
        <x:f>R39*T39+S39</x:f>
        <x:v>5505.970318456025</x:v>
      </x:c>
      <x:c r="V39" t="n">
        <x:f>V$8+(V$9-V$8)*H39</x:f>
        <x:v>0.7519810905443095</x:v>
      </x:c>
      <x:c r="W39" t="n">
        <x:f>IF(B39&lt;$H$8,0,W$8+(W$9-W$8)*H39)</x:f>
        <x:v>0.0693081207257461</x:v>
      </x:c>
      <x:c r="X39" t="n">
        <x:f>X$8+(X$9-X$8)*H39</x:f>
        <x:v>0.3226493329989505</x:v>
      </x:c>
      <x:c r="Y39" t="n">
        <x:f>Y$8+(Y$9-Y$8)*G39</x:f>
        <x:v>1</x:v>
      </x:c>
      <x:c r="Z39" t="n">
        <x:f>Z$8+(Z$9-Z$8)*H39</x:f>
        <x:v>1</x:v>
      </x:c>
      <x:c r="AA39" t="n">
        <x:f>AA$8+(AA$9-AA$8)*I39</x:f>
        <x:v>1</x:v>
      </x:c>
      <x:c r="AB39" t="n">
        <x:f>AB$8+(AB$9-AB$8)*J39</x:f>
        <x:v>1</x:v>
      </x:c>
      <x:c r="AC39" t="n">
        <x:f>AC$8+(AC$9-AC$8)*MAX(K39,L39)</x:f>
        <x:v>1</x:v>
      </x:c>
      <x:c r="AD39" t="n">
        <x:f>(V39*AE39+W39*AF39+X39*AG39)*PRODUCT(Y39:AC39)</x:f>
        <x:v>1.1528476130386869</x:v>
      </x:c>
      <x:c r="AE39" t="n">
        <x:f>1+AE$9*($H$10*H39+$I$10*I39+$J$10*J39+$K$10*K39+$L$10*L39)</x:f>
        <x:v>1</x:v>
      </x:c>
      <x:c r="AF39" t="n">
        <x:f>1+AF$9*($H$10*H39+$I$10*I39+$J$10*J39+$K$10*K39+$L$10*L39)</x:f>
        <x:v>1.0138962223162802</x:v>
      </x:c>
      <x:c r="AG39" t="n">
        <x:f>1+AG$9*($H$10*H39+$I$10*I39+$J$10*J39+$K$10*K39+$L$10*L39)</x:f>
        <x:v>1.0246271939938525</x:v>
      </x:c>
      <x:c r="AH39" t="n">
        <x:f>MIN(1,'_曲线基线'!$L$3+AH$9*($H$10*H39+$I$10*I39+$J$10*J39+$K$10*K39+$L$10*L39))</x:f>
        <x:v>0.08161390576953757</x:v>
      </x:c>
      <x:c r="AI39" t="n">
        <x:f>'_曲线基线'!$L$4+AI$9*($H$10*H39+$I$10*I39+$J$10*J39+$K$10*K39+$L$10*L39)</x:f>
        <x:v>2.088067308929426</x:v>
      </x:c>
      <x:c r="AJ39" t="n">
        <x:f>1+AJ$9*($H$10*H39+$I$10*I39+$J$10*J39+$K$10*K39+$L$10*L39)</x:f>
        <x:v>1.0722603560446573</x:v>
      </x:c>
      <x:c r="AK39" t="n">
        <x:f>(1+AH39*(AI39-1))*AJ39</x:f>
        <x:v>1.1674786012969192</x:v>
      </x:c>
      <x:c r="AL39" t="n">
        <x:f>U39*AD39*AK39*F39</x:f>
        <x:v>36312.05100296805</x:v>
      </x:c>
      <x:c r="AM39" t="n">
        <x:f>IF($B39&lt;AM$8,0,AM$3+(AM$4-AM$3)*(POWER(AM$5,$B39-AM$8)-1)/(POWER(AM$5,$C$5-AM$8)-1))</x:f>
        <x:v>35.413759320944486</x:v>
      </x:c>
      <x:c r="AN39" t="n">
        <x:f>(((E39*'模块规划'!$D$10+G39*'模块规划'!$D$11+H39*'模块规划'!$D$13)*(1+'模块规划'!$G$14*H39)+(I39*'模块规划'!$D$15+J39*'模块规划'!$D$17+K39*'模块规划'!$D$16+L39*'模块规划'!$D$18))*(1+'模块规划'!$J$17*J39))*F39/(1-Q39)</x:f>
        <x:v>103580.23270435845</x:v>
      </x:c>
      <x:c r="AO39" t="n">
        <x:f>AL39*AM39</x:f>
        <x:v>1285946.2346689715</x:v>
      </x:c>
      <x:c r="AP39" t="n">
        <x:f>IF(AO39="","",INDEX('_曲线基线'!$A$3:$A$502,MIN(ROWS('_曲线基线'!$A$3:$A$502),COUNTIF('_曲线基线'!$E$3:$E$502,"&lt;"&amp;AO39)+1)))</x:f>
        <x:v>60</x:v>
      </x:c>
      <x:c r="AQ39" t="n">
        <x:f>IF(B39&lt;=2,1,IF(B39&lt;=6,2,IF(B39&lt;=9,3,IF(B39&lt;=19,4,5))))</x:f>
        <x:v>5</x:v>
      </x:c>
      <x:c r="AR39" t="n">
        <x:f>AN39*(1-Q39)/F39*$AS$3+U39*$AS$4+P39*$AS$5</x:f>
        <x:v>1651.2337005385598</x:v>
      </x:c>
      <x:c r="AS39" t="n">
        <x:f>1+AH39*$AS$6+AI39*$AS$7+(AJ39-1)*$AS$8+($H$10*H39+$I$10*I39+$J$10*J39+$K$10*K39+$L$10*L39)*$AU$3*$AS$9+($H$10*H39+$I$10*I39+$J$10*J39+$K$10*K39+$L$10*L39)*$AU$4*$AS$10</x:f>
        <x:v>5.811895072980353</x:v>
      </x:c>
      <x:c r="AT39" t="n">
        <x:f>ROUND(AR39*AS39,0)</x:f>
        <x:v>9597</x:v>
      </x:c>
      <x:c r="AU39" t="n">
        <x:f>ROUND(AT39*F39,0)</x:f>
        <x:v>47025</x:v>
      </x:c>
    </x:row>
    <x:row r="40">
      <x:c r="A40" t="n">
        <x:f>IFERROR(XLOOKUP(B40,'_曲线基线'!$G$3:$G$107,'_曲线基线'!$J$3:$J$107,""),"")</x:f>
        <x:v>18</x:v>
      </x:c>
      <x:c r="B40" t="n">
        <x:v>29</x:v>
      </x:c>
      <x:c r="C40" t="n">
        <x:v>3</x:v>
      </x:c>
      <x:c r="D40" t="n">
        <x:v>5</x:v>
      </x:c>
      <x:c r="E40" t="n">
        <x:f>IF($B40&lt;E$8,0,E$3+(E$4-E$3)*(POWER(E$5,$B40-E$8)-1)/(POWER(E$5,$C$5-E$8)-1))</x:f>
        <x:v>1</x:v>
      </x:c>
      <x:c r="F40" t="n">
        <x:f>1+IF(B40&lt;3,0,MIN(1,(B40-2)/4))+IF(B40&lt;7,0,MIN(1,(B40-6)/3))+IF(B40&lt;10,0,MIN(1,(B40-9)/5))+IF(B40&lt;20,0,MIN(1,(B40-19)/10))</x:f>
        <x:v>5</x:v>
      </x:c>
      <x:c r="G40" t="n">
        <x:f>IF($B40&lt;G$8,0,G$3+(G$4-G$3)*(POWER(G$5,$B40-G$8)-1)/(POWER(G$5,$C$5-G$8)-1))</x:f>
        <x:v>0.3152563733140531</x:v>
      </x:c>
      <x:c r="H40" t="n">
        <x:f>IF($B40&lt;H$8,0,H$3+(H$4-H$3)*(POWER(H$5,$B40-H$8)-1)/(POWER(H$5,$C$5-H$8)-1))</x:f>
        <x:v>0.18387143801758926</x:v>
      </x:c>
      <x:c r="I40" t="n">
        <x:f>IF($B40&lt;I$8,0,I$3+(I$4-I$3)*(POWER(I$5,$B40-I$8)-1)/(POWER(I$5,$C$5-I$8)-1))</x:f>
        <x:v>0</x:v>
      </x:c>
      <x:c r="J40" t="n">
        <x:f>IF($B40&lt;J$8,0,J$3+(J$4-J$3)*(POWER(J$5,$B40-J$8)-1)/(POWER(J$5,$C$5-J$8)-1))</x:f>
        <x:v>0</x:v>
      </x:c>
      <x:c r="K40" t="n">
        <x:f>IF($B40&lt;K$8,0,K$3+(K$4-K$3)*(POWER(K$5,$B40-K$8)-1)/(POWER(K$5,$C$5-K$8)-1))</x:f>
        <x:v>0</x:v>
      </x:c>
      <x:c r="L40" t="n">
        <x:f>IF($B40&lt;L$8,0,L$3+(L$4-L$3)*(POWER(L$5,$B40-L$8)-1)/(POWER(L$5,$C$5-L$8)-1))</x:f>
        <x:v>0.17328711072460734</x:v>
      </x:c>
      <x:c r="M40" t="n">
        <x:f>E40*'模块规划'!$F$10+G40*'模块规划'!$F$11+H40*'模块规划'!$F$13</x:f>
        <x:v>2513.230591907455</x:v>
      </x:c>
      <x:c r="N40" t="n">
        <x:f>I40*'模块规划'!$F$15+J40*'模块规划'!$F$17+K40*'模块规划'!$F$16+L40*'模块规划'!$F$18</x:f>
        <x:v>866.4355536230368</x:v>
      </x:c>
      <x:c r="O40" t="n">
        <x:f>1+O$9*SUMPRODUCT($H$10:$L$10,H40:L40)/SUM($H$10:$L$10)</x:f>
        <x:v>1.1675403934394926</x:v>
      </x:c>
      <x:c r="P40" t="n">
        <x:f>M40*O40+N40</x:f>
        <x:v>3800.733787702836</x:v>
      </x:c>
      <x:c r="Q40" t="n">
        <x:f>P40/(P40+'_曲线基线'!$L$2)</x:f>
        <x:v>0.13671343413906661</x:v>
      </x:c>
      <x:c r="R40" t="n">
        <x:f>E40*'模块规划'!$E$10+G40*'模块规划'!$E$11+H40*'模块规划'!$E$13</x:f>
        <x:v>3769.8458878611823</x:v>
      </x:c>
      <x:c r="S40" t="n">
        <x:f>I40*'模块规划'!$E$15+J40*'模块规划'!$E$17+K40*'模块规划'!$E$16+L40*'模块规划'!$E$18</x:f>
        <x:v>1299.653330434555</x:v>
      </x:c>
      <x:c r="T40" t="n">
        <x:f>1+T$9*SUMPRODUCT($H$10:$L$10,H40:L40)/SUM($H$10:$L$10)</x:f>
        <x:v>1.1675403934394926</x:v>
      </x:c>
      <x:c r="U40" t="n">
        <x:f>R40*T40+S40</x:f>
        <x:v>5701.100681554252</x:v>
      </x:c>
      <x:c r="V40" t="n">
        <x:f>V$8+(V$9-V$8)*H40</x:f>
        <x:v>0.7551614314052767</x:v>
      </x:c>
      <x:c r="W40" t="n">
        <x:f>IF(B40&lt;$H$8,0,W$8+(W$9-W$8)*H40)</x:f>
        <x:v>0.07354857520703571</x:v>
      </x:c>
      <x:c r="X40" t="n">
        <x:f>X$8+(X$9-X$8)*H40</x:f>
        <x:v>0.3255646454548371</x:v>
      </x:c>
      <x:c r="Y40" t="n">
        <x:f>Y$8+(Y$9-Y$8)*G40</x:f>
        <x:v>1</x:v>
      </x:c>
      <x:c r="Z40" t="n">
        <x:f>Z$8+(Z$9-Z$8)*H40</x:f>
        <x:v>1</x:v>
      </x:c>
      <x:c r="AA40" t="n">
        <x:f>AA$8+(AA$9-AA$8)*I40</x:f>
        <x:v>1</x:v>
      </x:c>
      <x:c r="AB40" t="n">
        <x:f>AB$8+(AB$9-AB$8)*J40</x:f>
        <x:v>1</x:v>
      </x:c>
      <x:c r="AC40" t="n">
        <x:f>AC$8+(AC$9-AC$8)*MAX(K40,L40)</x:f>
        <x:v>1</x:v>
      </x:c>
      <x:c r="AD40" t="n">
        <x:f>(V40*AE40+W40*AF40+X40*AG40)*PRODUCT(Y40:AC40)</x:f>
        <x:v>1.163893890929206</x:v>
      </x:c>
      <x:c r="AE40" t="n">
        <x:f>1+AE$9*($H$10*H40+$I$10*I40+$J$10*J40+$K$10*K40+$L$10*L40)</x:f>
        <x:v>1</x:v>
      </x:c>
      <x:c r="AF40" t="n">
        <x:f>1+AF$9*($H$10*H40+$I$10*I40+$J$10*J40+$K$10*K40+$L$10*L40)</x:f>
        <x:v>1.0147869658987083</x:v>
      </x:c>
      <x:c r="AG40" t="n">
        <x:f>1+AG$9*($H$10*H40+$I$10*I40+$J$10*J40+$K$10*K40+$L$10*L40)</x:f>
        <x:v>1.0262057895649332</x:v>
      </x:c>
      <x:c r="AH40" t="n">
        <x:f>MIN(1,'_曲线基线'!$L$3+AH$9*($H$10*H40+$I$10*I40+$J$10*J40+$K$10*K40+$L$10*L40))</x:f>
        <x:v>0.08364034741956126</x:v>
      </x:c>
      <x:c r="AI40" t="n">
        <x:f>'_曲线基线'!$L$4+AI$9*($H$10*H40+$I$10*I40+$J$10*J40+$K$10*K40+$L$10*L40)</x:f>
        <x:v>2.0937123963830637</x:v>
      </x:c>
      <x:c r="AJ40" t="n">
        <x:f>1+AJ$9*($H$10*H40+$I$10*I40+$J$10*J40+$K$10*K40+$L$10*L40)</x:f>
        <x:v>1.0768922226732829</x:v>
      </x:c>
      <x:c r="AK40" t="n">
        <x:f>(1+AH40*(AI40-1))*AJ40</x:f>
        <x:v>1.1754046915077114</x:v>
      </x:c>
      <x:c r="AL40" t="n">
        <x:f>U40*AD40*AK40*F40</x:f>
        <x:v>38996.84960159556</x:v>
      </x:c>
      <x:c r="AM40" t="n">
        <x:f>IF($B40&lt;AM$8,0,AM$3+(AM$4-AM$3)*(POWER(AM$5,$B40-AM$8)-1)/(POWER(AM$5,$C$5-AM$8)-1))</x:f>
        <x:v>35.4313215540758</x:v>
      </x:c>
      <x:c r="AN40" t="n">
        <x:f>(((E40*'模块规划'!$D$10+G40*'模块规划'!$D$11+H40*'模块规划'!$D$13)*(1+'模块规划'!$G$14*H40)+(I40*'模块规划'!$D$15+J40*'模块规划'!$D$17+K40*'模块规划'!$D$16+L40*'模块规划'!$D$18))*(1+'模块规划'!$J$17*J40))*F40/(1-Q40)</x:f>
        <x:v>109916.17634083967</x:v>
      </x:c>
      <x:c r="AO40" t="n">
        <x:f>AL40*AM40</x:f>
        <x:v>1381709.9178300651</x:v>
      </x:c>
      <x:c r="AP40" t="n">
        <x:f>IF(AO40="","",INDEX('_曲线基线'!$A$3:$A$502,MIN(ROWS('_曲线基线'!$A$3:$A$502),COUNTIF('_曲线基线'!$E$3:$E$502,"&lt;"&amp;AO40)+1)))</x:f>
        <x:v>62</x:v>
      </x:c>
      <x:c r="AQ40" t="n">
        <x:f>IF(B40&lt;=2,1,IF(B40&lt;=6,2,IF(B40&lt;=9,3,IF(B40&lt;=19,4,5))))</x:f>
        <x:v>5</x:v>
      </x:c>
      <x:c r="AR40" t="n">
        <x:f>AN40*(1-Q40)/F40*$AS$3+U40*$AS$4+P40*$AS$5</x:f>
        <x:v>1709.5550867459401</x:v>
      </x:c>
      <x:c r="AS40" t="n">
        <x:f>1+AH40*$AS$6+AI40*$AS$7+(AJ40-1)*$AS$8+($H$10*H40+$I$10*I40+$J$10*J40+$K$10*K40+$L$10*L40)*$AU$3*$AS$9+($H$10*H40+$I$10*I40+$J$10*J40+$K$10*K40+$L$10*L40)*$AU$4*$AS$10</x:f>
        <x:v>5.8651180141378205</x:v>
      </x:c>
      <x:c r="AT40" t="n">
        <x:f>ROUND(AR40*AS40,0)</x:f>
        <x:v>10027</x:v>
      </x:c>
      <x:c r="AU40" t="n">
        <x:f>ROUND(AT40*F40,0)</x:f>
        <x:v>50135</x:v>
      </x:c>
    </x:row>
    <x:row r="41">
      <x:c r="A41" t="n">
        <x:f>IFERROR(XLOOKUP(B41,'_曲线基线'!$G$3:$G$107,'_曲线基线'!$J$3:$J$107,""),"")</x:f>
        <x:v>19</x:v>
      </x:c>
      <x:c r="B41" t="n">
        <x:v>30</x:v>
      </x:c>
      <x:c r="C41" t="n">
        <x:v>3</x:v>
      </x:c>
      <x:c r="D41" t="n">
        <x:v>6</x:v>
      </x:c>
      <x:c r="E41" t="n">
        <x:f>IF($B41&lt;E$8,0,E$3+(E$4-E$3)*(POWER(E$5,$B41-E$8)-1)/(POWER(E$5,$C$5-E$8)-1))</x:f>
        <x:v>1</x:v>
      </x:c>
      <x:c r="F41" t="n">
        <x:f>1+IF(B41&lt;3,0,MIN(1,(B41-2)/4))+IF(B41&lt;7,0,MIN(1,(B41-6)/3))+IF(B41&lt;10,0,MIN(1,(B41-9)/5))+IF(B41&lt;20,0,MIN(1,(B41-19)/10))</x:f>
        <x:v>5</x:v>
      </x:c>
      <x:c r="G41" t="n">
        <x:f>IF($B41&lt;G$8,0,G$3+(G$4-G$3)*(POWER(G$5,$B41-G$8)-1)/(POWER(G$5,$C$5-G$8)-1))</x:f>
        <x:v>0.3242327181688382</x:v>
      </x:c>
      <x:c r="H41" t="n">
        <x:f>IF($B41&lt;H$8,0,H$3+(H$4-H$3)*(POWER(H$5,$B41-H$8)-1)/(POWER(H$5,$C$5-H$8)-1))</x:f>
        <x:v>0.1942605514967489</x:v>
      </x:c>
      <x:c r="I41" t="n">
        <x:f>IF($B41&lt;I$8,0,I$3+(I$4-I$3)*(POWER(I$5,$B41-I$8)-1)/(POWER(I$5,$C$5-I$8)-1))</x:f>
        <x:v>0</x:v>
      </x:c>
      <x:c r="J41" t="n">
        <x:f>IF($B41&lt;J$8,0,J$3+(J$4-J$3)*(POWER(J$5,$B41-J$8)-1)/(POWER(J$5,$C$5-J$8)-1))</x:f>
        <x:v>0</x:v>
      </x:c>
      <x:c r="K41" t="n">
        <x:f>IF($B41&lt;K$8,0,K$3+(K$4-K$3)*(POWER(K$5,$B41-K$8)-1)/(POWER(K$5,$C$5-K$8)-1))</x:f>
        <x:v>0</x:v>
      </x:c>
      <x:c r="L41" t="n">
        <x:f>IF($B41&lt;L$8,0,L$3+(L$4-L$3)*(POWER(L$5,$B41-L$8)-1)/(POWER(L$5,$C$5-L$8)-1))</x:f>
        <x:v>0.18388927534150082</x:v>
      </x:c>
      <x:c r="M41" t="n">
        <x:f>E41*'模块规划'!$F$10+G41*'模块规划'!$F$11+H41*'模块规划'!$F$13</x:f>
        <x:v>2556.3170472104234</x:v>
      </x:c>
      <x:c r="N41" t="n">
        <x:f>I41*'模块规划'!$F$15+J41*'模块规划'!$F$17+K41*'模块规划'!$F$16+L41*'模块规划'!$F$18</x:f>
        <x:v>919.4463767075041</x:v>
      </x:c>
      <x:c r="O41" t="n">
        <x:f>1+O$9*SUMPRODUCT($H$10:$L$10,H41:L41)/SUM($H$10:$L$10)</x:f>
        <x:v>1.1774309159882321</x:v>
      </x:c>
      <x:c r="P41" t="n">
        <x:f>M41*O41+N41</x:f>
        <x:v>3929.333099160806</x:v>
      </x:c>
      <x:c r="Q41" t="n">
        <x:f>P41/(P41+'_曲线基线'!$L$2)</x:f>
        <x:v>0.14068839686253987</x:v>
      </x:c>
      <x:c r="R41" t="n">
        <x:f>E41*'模块规划'!$E$10+G41*'模块规划'!$E$11+H41*'模块规划'!$E$13</x:f>
        <x:v>3834.475570815635</x:v>
      </x:c>
      <x:c r="S41" t="n">
        <x:f>I41*'模块规划'!$E$15+J41*'模块规划'!$E$17+K41*'模块规划'!$E$16+L41*'模块规划'!$E$18</x:f>
        <x:v>1379.1695650612562</x:v>
      </x:c>
      <x:c r="T41" t="n">
        <x:f>1+T$9*SUMPRODUCT($H$10:$L$10,H41:L41)/SUM($H$10:$L$10)</x:f>
        <x:v>1.1774309159882321</x:v>
      </x:c>
      <x:c r="U41" t="n">
        <x:f>R41*T41+S41</x:f>
        <x:v>5893.999648741209</x:v>
      </x:c>
      <x:c r="V41" t="n">
        <x:f>V$8+(V$9-V$8)*H41</x:f>
        <x:v>0.7582781654490246</x:v>
      </x:c>
      <x:c r="W41" t="n">
        <x:f>IF(B41&lt;$H$8,0,W$8+(W$9-W$8)*H41)</x:f>
        <x:v>0.07770422059869957</x:v>
      </x:c>
      <x:c r="X41" t="n">
        <x:f>X$8+(X$9-X$8)*H41</x:f>
        <x:v>0.328421651661606</x:v>
      </x:c>
      <x:c r="Y41" t="n">
        <x:f>Y$8+(Y$9-Y$8)*G41</x:f>
        <x:v>1</x:v>
      </x:c>
      <x:c r="Z41" t="n">
        <x:f>Z$8+(Z$9-Z$8)*H41</x:f>
        <x:v>1</x:v>
      </x:c>
      <x:c r="AA41" t="n">
        <x:f>AA$8+(AA$9-AA$8)*I41</x:f>
        <x:v>1</x:v>
      </x:c>
      <x:c r="AB41" t="n">
        <x:f>AB$8+(AB$9-AB$8)*J41</x:f>
        <x:v>1</x:v>
      </x:c>
      <x:c r="AC41" t="n">
        <x:f>AC$8+(AC$9-AC$8)*MAX(K41,L41)</x:f>
        <x:v>1</x:v>
      </x:c>
      <x:c r="AD41" t="n">
        <x:f>(V41*AE41+W41*AF41+X41*AG41)*PRODUCT(Y41:AC41)</x:f>
        <x:v>1.174735502372095</x:v>
      </x:c>
      <x:c r="AE41" t="n">
        <x:f>1+AE$9*($H$10*H41+$I$10*I41+$J$10*J41+$K$10*K41+$L$10*L41)</x:f>
        <x:v>1</x:v>
      </x:c>
      <x:c r="AF41" t="n">
        <x:f>1+AF$9*($H$10*H41+$I$10*I41+$J$10*J41+$K$10*K41+$L$10*L41)</x:f>
        <x:v>1.0156598946094877</x:v>
      </x:c>
      <x:c r="AG41" t="n">
        <x:f>1+AG$9*($H$10*H41+$I$10*I41+$J$10*J41+$K$10*K41+$L$10*L41)</x:f>
        <x:v>1.0277528132245923</x:v>
      </x:c>
      <x:c r="AH41" t="n">
        <x:f>MIN(1,'_曲线基线'!$L$3+AH$9*($H$10*H41+$I$10*I41+$J$10*J41+$K$10*K41+$L$10*L41))</x:f>
        <x:v>0.0856262602365845</x:v>
      </x:c>
      <x:c r="AI41" t="n">
        <x:f>'_曲线基线'!$L$4+AI$9*($H$10*H41+$I$10*I41+$J$10*J41+$K$10*K41+$L$10*L41)</x:f>
        <x:v>2.0992445820876284</x:v>
      </x:c>
      <x:c r="AJ41" t="n">
        <x:f>1+AJ$9*($H$10*H41+$I$10*I41+$J$10*J41+$K$10*K41+$L$10*L41)</x:f>
        <x:v>1.081431451969336</x:v>
      </x:c>
      <x:c r="AK41" t="n">
        <x:f>(1+AH41*(AI41-1))*AJ41</x:f>
        <x:v>1.183220325106031</x:v>
      </x:c>
      <x:c r="AL41" t="n">
        <x:f>U41*AD41*AK41*F41</x:f>
        <x:v>40962.44066050561</x:v>
      </x:c>
      <x:c r="AM41" t="n">
        <x:f>IF($B41&lt;AM$8,0,AM$3+(AM$4-AM$3)*(POWER(AM$5,$B41-AM$8)-1)/(POWER(AM$5,$C$5-AM$8)-1))</x:f>
        <x:v>35.44905940953843</x:v>
      </x:c>
      <x:c r="AN41" t="n">
        <x:f>(((E41*'模块规划'!$D$10+G41*'模块规划'!$D$11+H41*'模块规划'!$D$13)*(1+'模块规划'!$G$14*H41)+(I41*'模块规划'!$D$15+J41*'模块规划'!$D$17+K41*'模块规划'!$D$16+L41*'模块规划'!$D$18))*(1+'模块规划'!$J$17*J41))*F41/(1-Q41)</x:f>
        <x:v>114123.20667637099</x:v>
      </x:c>
      <x:c r="AO41" t="n">
        <x:f>AL41*AM41</x:f>
        <x:v>1452079.9925339557</x:v>
      </x:c>
      <x:c r="AP41" t="n">
        <x:f>IF(AO41="","",INDEX('_曲线基线'!$A$3:$A$502,MIN(ROWS('_曲线基线'!$A$3:$A$502),COUNTIF('_曲线基线'!$E$3:$E$502,"&lt;"&amp;AO41)+1)))</x:f>
        <x:v>64</x:v>
      </x:c>
      <x:c r="AQ41" t="n">
        <x:f>IF(B41&lt;=2,1,IF(B41&lt;=6,2,IF(B41&lt;=9,3,IF(B41&lt;=19,4,5))))</x:f>
        <x:v>5</x:v>
      </x:c>
      <x:c r="AR41" t="n">
        <x:f>AN41*(1-Q41)/F41*$AS$3+U41*$AS$4+P41*$AS$5</x:f>
        <x:v>1767.2043038538022</x:v>
      </x:c>
      <x:c r="AS41" t="n">
        <x:f>1+AH41*$AS$6+AI41*$AS$7+(AJ41-1)*$AS$8+($H$10*H41+$I$10*I41+$J$10*J41+$K$10*K41+$L$10*L41)*$AU$3*$AS$9+($H$10*H41+$I$10*I41+$J$10*J41+$K$10*K41+$L$10*L41)*$AU$4*$AS$10</x:f>
        <x:v>5.917276496472139</x:v>
      </x:c>
      <x:c r="AT41" t="n">
        <x:f>ROUND(AR41*AS41,0)</x:f>
        <x:v>10457</x:v>
      </x:c>
      <x:c r="AU41" t="n">
        <x:f>ROUND(AT41*F41,0)</x:f>
        <x:v>52285</x:v>
      </x:c>
    </x:row>
    <x:row r="42">
      <x:c r="A42" t="n">
        <x:f>IFERROR(XLOOKUP(B42,'_曲线基线'!$G$3:$G$107,'_曲线基线'!$J$3:$J$107,""),"")</x:f>
        <x:v>19</x:v>
      </x:c>
      <x:c r="B42" t="n">
        <x:v>31</x:v>
      </x:c>
      <x:c r="C42" t="n">
        <x:v>3</x:v>
      </x:c>
      <x:c r="D42" t="n">
        <x:v>7</x:v>
      </x:c>
      <x:c r="E42" t="n">
        <x:f>IF($B42&lt;E$8,0,E$3+(E$4-E$3)*(POWER(E$5,$B42-E$8)-1)/(POWER(E$5,$C$5-E$8)-1))</x:f>
        <x:v>1</x:v>
      </x:c>
      <x:c r="F42" t="n">
        <x:f>1+IF(B42&lt;3,0,MIN(1,(B42-2)/4))+IF(B42&lt;7,0,MIN(1,(B42-6)/3))+IF(B42&lt;10,0,MIN(1,(B42-9)/5))+IF(B42&lt;20,0,MIN(1,(B42-19)/10))</x:f>
        <x:v>5</x:v>
      </x:c>
      <x:c r="G42" t="n">
        <x:f>IF($B42&lt;G$8,0,G$3+(G$4-G$3)*(POWER(G$5,$B42-G$8)-1)/(POWER(G$5,$C$5-G$8)-1))</x:f>
        <x:v>0.3330744178508015</x:v>
      </x:c>
      <x:c r="H42" t="n">
        <x:f>IF($B42&lt;H$8,0,H$3+(H$4-H$3)*(POWER(H$5,$B42-H$8)-1)/(POWER(H$5,$C$5-H$8)-1))</x:f>
        <x:v>0.20444188270632524</x:v>
      </x:c>
      <x:c r="I42" t="n">
        <x:f>IF($B42&lt;I$8,0,I$3+(I$4-I$3)*(POWER(I$5,$B42-I$8)-1)/(POWER(I$5,$C$5-I$8)-1))</x:f>
        <x:v>0</x:v>
      </x:c>
      <x:c r="J42" t="n">
        <x:f>IF($B42&lt;J$8,0,J$3+(J$4-J$3)*(POWER(J$5,$B42-J$8)-1)/(POWER(J$5,$C$5-J$8)-1))</x:f>
        <x:v>0.012078944491723906</x:v>
      </x:c>
      <x:c r="K42" t="n">
        <x:f>IF($B42&lt;K$8,0,K$3+(K$4-K$3)*(POWER(K$5,$B42-K$8)-1)/(POWER(K$5,$C$5-K$8)-1))</x:f>
        <x:v>0</x:v>
      </x:c>
      <x:c r="L42" t="n">
        <x:f>IF($B42&lt;L$8,0,L$3+(L$4-L$3)*(POWER(L$5,$B42-L$8)-1)/(POWER(L$5,$C$5-L$8)-1))</x:f>
        <x:v>0.19427939666605656</x:v>
      </x:c>
      <x:c r="M42" t="n">
        <x:f>E42*'模块规划'!$F$10+G42*'模块规划'!$F$11+H42*'模块规划'!$F$13</x:f>
        <x:v>2598.757205683847</x:v>
      </x:c>
      <x:c r="N42" t="n">
        <x:f>I42*'模块规划'!$F$15+J42*'模块规划'!$F$17+K42*'模块规划'!$F$16+L42*'模块规划'!$F$18</x:f>
        <x:v>1092.186428247522</x:v>
      </x:c>
      <x:c r="O42" t="n">
        <x:f>1+O$9*SUMPRODUCT($H$10:$L$10,H42:L42)/SUM($H$10:$L$10)</x:f>
        <x:v>1.2102841730288436</x:v>
      </x:c>
      <x:c r="P42" t="n">
        <x:f>M42*O42+N42</x:f>
        <x:v>4237.421143831345</x:v>
      </x:c>
      <x:c r="Q42" t="n">
        <x:f>P42/(P42+'_曲线基线'!$L$2)</x:f>
        <x:v>0.15006402752742307</x:v>
      </x:c>
      <x:c r="R42" t="n">
        <x:f>E42*'模块规划'!$E$10+G42*'模块规划'!$E$11+H42*'模块规划'!$E$13</x:f>
        <x:v>3898.1358085257707</x:v>
      </x:c>
      <x:c r="S42" t="n">
        <x:f>I42*'模块规划'!$E$15+J42*'模块规划'!$E$17+K42*'模块规划'!$E$16+L42*'模块规划'!$E$18</x:f>
        <x:v>1638.2796423712828</x:v>
      </x:c>
      <x:c r="T42" t="n">
        <x:f>1+T$9*SUMPRODUCT($H$10:$L$10,H42:L42)/SUM($H$10:$L$10)</x:f>
        <x:v>1.2102841730288436</x:v>
      </x:c>
      <x:c r="U42" t="n">
        <x:f>R42*T42+S42</x:f>
        <x:v>6356.131715747018</x:v>
      </x:c>
      <x:c r="V42" t="n">
        <x:f>V$8+(V$9-V$8)*H42</x:f>
        <x:v>0.7613325648118976</x:v>
      </x:c>
      <x:c r="W42" t="n">
        <x:f>IF(B42&lt;$H$8,0,W$8+(W$9-W$8)*H42)</x:f>
        <x:v>0.0817767530825301</x:v>
      </x:c>
      <x:c r="X42" t="n">
        <x:f>X$8+(X$9-X$8)*H42</x:f>
        <x:v>0.33122151774423947</x:v>
      </x:c>
      <x:c r="Y42" t="n">
        <x:f>Y$8+(Y$9-Y$8)*G42</x:f>
        <x:v>1</x:v>
      </x:c>
      <x:c r="Z42" t="n">
        <x:f>Z$8+(Z$9-Z$8)*H42</x:f>
        <x:v>1</x:v>
      </x:c>
      <x:c r="AA42" t="n">
        <x:f>AA$8+(AA$9-AA$8)*I42</x:f>
        <x:v>1</x:v>
      </x:c>
      <x:c r="AB42" t="n">
        <x:f>AB$8+(AB$9-AB$8)*J42</x:f>
        <x:v>1</x:v>
      </x:c>
      <x:c r="AC42" t="n">
        <x:f>AC$8+(AC$9-AC$8)*MAX(K42,L42)</x:f>
        <x:v>1</x:v>
      </x:c>
      <x:c r="AD42" t="n">
        <x:f>(V42*AE42+W42*AF42+X42*AG42)*PRODUCT(Y42:AC42)</x:f>
        <x:v>1.1867429590225218</x:v>
      </x:c>
      <x:c r="AE42" t="n">
        <x:f>1+AE$9*($H$10*H42+$I$10*I42+$J$10*J42+$K$10*K42+$L$10*L42)</x:f>
        <x:v>1</x:v>
      </x:c>
      <x:c r="AF42" t="n">
        <x:f>1+AF$9*($H$10*H42+$I$10*I42+$J$10*J42+$K$10*K42+$L$10*L42)</x:f>
        <x:v>1.0185594938138818</x:v>
      </x:c>
      <x:c r="AG42" t="n">
        <x:f>1+AG$9*($H$10*H42+$I$10*I42+$J$10*J42+$K$10*K42+$L$10*L42)</x:f>
        <x:v>1.0328915473701574</x:v>
      </x:c>
      <x:c r="AH42" t="n">
        <x:f>MIN(1,'_曲线基线'!$L$3+AH$9*($H$10*H42+$I$10*I42+$J$10*J42+$K$10*K42+$L$10*L42))</x:f>
        <x:v>0.09222284842658096</x:v>
      </x:c>
      <x:c r="AI42" t="n">
        <x:f>'_曲线基线'!$L$4+AI$9*($H$10*H42+$I$10*I42+$J$10*J42+$K$10*K42+$L$10*L42)</x:f>
        <x:v>2.1176207920454755</x:v>
      </x:c>
      <x:c r="AJ42" t="n">
        <x:f>1+AJ$9*($H$10*H42+$I$10*I42+$J$10*J42+$K$10*K42+$L$10*L42)</x:f>
        <x:v>1.0965093678321851</x:v>
      </x:c>
      <x:c r="AK42" t="n">
        <x:f>(1+AH42*(AI42-1))*AJ42</x:f>
        <x:v>1.2095267779646328</x:v>
      </x:c>
      <x:c r="AL42" t="n">
        <x:f>U42*AD42*AK42*F42</x:f>
        <x:v>45617.87429690529</x:v>
      </x:c>
      <x:c r="AM42" t="n">
        <x:f>IF($B42&lt;AM$8,0,AM$3+(AM$4-AM$3)*(POWER(AM$5,$B42-AM$8)-1)/(POWER(AM$5,$C$5-AM$8)-1))</x:f>
        <x:v>35.46697464355568</x:v>
      </x:c>
      <x:c r="AN42" t="n">
        <x:f>(((E42*'模块规划'!$D$10+G42*'模块规划'!$D$11+H42*'模块规划'!$D$13)*(1+'模块规划'!$G$14*H42)+(I42*'模块规划'!$D$15+J42*'模块规划'!$D$17+K42*'模块规划'!$D$16+L42*'模块规划'!$D$18))*(1+'模块规划'!$J$17*J42))*F42/(1-Q42)</x:f>
        <x:v>124407.57975094565</x:v>
      </x:c>
      <x:c r="AO42" t="n">
        <x:f>AL42*AM42</x:f>
        <x:v>1617927.9909812503</x:v>
      </x:c>
      <x:c r="AP42" t="n">
        <x:f>IF(AO42="","",INDEX('_曲线基线'!$A$3:$A$502,MIN(ROWS('_曲线基线'!$A$3:$A$502),COUNTIF('_曲线基线'!$E$3:$E$502,"&lt;"&amp;AO42)+1)))</x:f>
        <x:v>67</x:v>
      </x:c>
      <x:c r="AQ42" t="n">
        <x:f>IF(B42&lt;=2,1,IF(B42&lt;=6,2,IF(B42&lt;=9,3,IF(B42&lt;=19,4,5))))</x:f>
        <x:v>5</x:v>
      </x:c>
      <x:c r="AR42" t="n">
        <x:f>AN42*(1-Q42)/F42*$AS$3+U42*$AS$4+P42*$AS$5</x:f>
        <x:v>1905.6572068208814</x:v>
      </x:c>
      <x:c r="AS42" t="n">
        <x:f>1+AH42*$AS$6+AI42*$AS$7+(AJ42-1)*$AS$8+($H$10*H42+$I$10*I42+$J$10*J42+$K$10*K42+$L$10*L42)*$AU$3*$AS$9+($H$10*H42+$I$10*I42+$J$10*J42+$K$10*K42+$L$10*L42)*$AU$4*$AS$10</x:f>
        <x:v>6.090530843604282</x:v>
      </x:c>
      <x:c r="AT42" t="n">
        <x:f>ROUND(AR42*AS42,0)</x:f>
        <x:v>11606</x:v>
      </x:c>
      <x:c r="AU42" t="n">
        <x:f>ROUND(AT42*F42,0)</x:f>
        <x:v>58030</x:v>
      </x:c>
    </x:row>
    <x:row r="43">
      <x:c r="A43" t="n">
        <x:f>IFERROR(XLOOKUP(B43,'_曲线基线'!$G$3:$G$107,'_曲线基线'!$J$3:$J$107,""),"")</x:f>
        <x:v>19</x:v>
      </x:c>
      <x:c r="B43" t="n">
        <x:v>32</x:v>
      </x:c>
      <x:c r="C43" t="n">
        <x:v>3</x:v>
      </x:c>
      <x:c r="D43" t="n">
        <x:v>8</x:v>
      </x:c>
      <x:c r="E43" t="n">
        <x:f>IF($B43&lt;E$8,0,E$3+(E$4-E$3)*(POWER(E$5,$B43-E$8)-1)/(POWER(E$5,$C$5-E$8)-1))</x:f>
        <x:v>1</x:v>
      </x:c>
      <x:c r="F43" t="n">
        <x:f>1+IF(B43&lt;3,0,MIN(1,(B43-2)/4))+IF(B43&lt;7,0,MIN(1,(B43-6)/3))+IF(B43&lt;10,0,MIN(1,(B43-9)/5))+IF(B43&lt;20,0,MIN(1,(B43-19)/10))</x:f>
        <x:v>5</x:v>
      </x:c>
      <x:c r="G43" t="n">
        <x:f>IF($B43&lt;G$8,0,G$3+(G$4-G$3)*(POWER(G$5,$B43-G$8)-1)/(POWER(G$5,$C$5-G$8)-1))</x:f>
        <x:v>0.3417834920375353</x:v>
      </x:c>
      <x:c r="H43" t="n">
        <x:f>IF($B43&lt;H$8,0,H$3+(H$4-H$3)*(POWER(H$5,$B43-H$8)-1)/(POWER(H$5,$C$5-H$8)-1))</x:f>
        <x:v>0.21441958729171015</x:v>
      </x:c>
      <x:c r="I43" t="n">
        <x:f>IF($B43&lt;I$8,0,I$3+(I$4-I$3)*(POWER(I$5,$B43-I$8)-1)/(POWER(I$5,$C$5-I$8)-1))</x:f>
        <x:v>0</x:v>
      </x:c>
      <x:c r="J43" t="n">
        <x:f>IF($B43&lt;J$8,0,J$3+(J$4-J$3)*(POWER(J$5,$B43-J$8)-1)/(POWER(J$5,$C$5-J$8)-1))</x:f>
        <x:v>0.02391631009361336</x:v>
      </x:c>
      <x:c r="K43" t="n">
        <x:f>IF($B43&lt;K$8,0,K$3+(K$4-K$3)*(POWER(K$5,$B43-K$8)-1)/(POWER(K$5,$C$5-K$8)-1))</x:f>
        <x:v>0</x:v>
      </x:c>
      <x:c r="L43" t="n">
        <x:f>IF($B43&lt;L$8,0,L$3+(L$4-L$3)*(POWER(L$5,$B43-L$8)-1)/(POWER(L$5,$C$5-L$8)-1))</x:f>
        <x:v>0.2044617155641211</x:v>
      </x:c>
      <x:c r="M43" t="n">
        <x:f>E43*'模块规划'!$F$10+G43*'模块规划'!$F$11+H43*'模块规划'!$F$13</x:f>
        <x:v>2640.5607617801693</x:v>
      </x:c>
      <x:c r="N43" t="n">
        <x:f>I43*'模块规划'!$F$15+J43*'模块规划'!$F$17+K43*'模块规划'!$F$16+L43*'模块规划'!$F$18</x:f>
        <x:v>1261.471678756739</x:v>
      </x:c>
      <x:c r="O43" t="n">
        <x:f>1+O$9*SUMPRODUCT($H$10:$L$10,H43:L43)/SUM($H$10:$L$10)</x:f>
        <x:v>1.2424803649286429</x:v>
      </x:c>
      <x:c r="P43" t="n">
        <x:f>M43*O43+N43</x:f>
        <x:v>4542.316577669619</x:v>
      </x:c>
      <x:c r="Q43" t="n">
        <x:f>P43/(P43+'_曲线基线'!$L$2)</x:f>
        <x:v>0.159143234408077</x:v>
      </x:c>
      <x:c r="R43" t="n">
        <x:f>E43*'模块规划'!$E$10+G43*'模块规划'!$E$11+H43*'模块规划'!$E$13</x:f>
        <x:v>3960.841142670254</x:v>
      </x:c>
      <x:c r="S43" t="n">
        <x:f>I43*'模块规划'!$E$15+J43*'模块规划'!$E$17+K43*'模块规划'!$E$16+L43*'模块规划'!$E$18</x:f>
        <x:v>1892.2075181351086</x:v>
      </x:c>
      <x:c r="T43" t="n">
        <x:f>1+T$9*SUMPRODUCT($H$10:$L$10,H43:L43)/SUM($H$10:$L$10)</x:f>
        <x:v>1.2424803649286429</x:v>
      </x:c>
      <x:c r="U43" t="n">
        <x:f>R43*T43+S43</x:f>
        <x:v>6813.474866504429</x:v>
      </x:c>
      <x:c r="V43" t="n">
        <x:f>V$8+(V$9-V$8)*H43</x:f>
        <x:v>0.764325876187513</x:v>
      </x:c>
      <x:c r="W43" t="n">
        <x:f>IF(B43&lt;$H$8,0,W$8+(W$9-W$8)*H43)</x:f>
        <x:v>0.08576783491668406</x:v>
      </x:c>
      <x:c r="X43" t="n">
        <x:f>X$8+(X$9-X$8)*H43</x:f>
        <x:v>0.33396538650522034</x:v>
      </x:c>
      <x:c r="Y43" t="n">
        <x:f>Y$8+(Y$9-Y$8)*G43</x:f>
        <x:v>1</x:v>
      </x:c>
      <x:c r="Z43" t="n">
        <x:f>Z$8+(Z$9-Z$8)*H43</x:f>
        <x:v>1</x:v>
      </x:c>
      <x:c r="AA43" t="n">
        <x:f>AA$8+(AA$9-AA$8)*I43</x:f>
        <x:v>1</x:v>
      </x:c>
      <x:c r="AB43" t="n">
        <x:f>AB$8+(AB$9-AB$8)*J43</x:f>
        <x:v>1</x:v>
      </x:c>
      <x:c r="AC43" t="n">
        <x:f>AC$8+(AC$9-AC$8)*MAX(K43,L43)</x:f>
        <x:v>1</x:v>
      </x:c>
      <x:c r="AD43" t="n">
        <x:f>(V43*AE43+W43*AF43+X43*AG43)*PRODUCT(Y43:AC43)</x:f>
        <x:v>1.1985610981885522</x:v>
      </x:c>
      <x:c r="AE43" t="n">
        <x:f>1+AE$9*($H$10*H43+$I$10*I43+$J$10*J43+$K$10*K43+$L$10*L43)</x:f>
        <x:v>1</x:v>
      </x:c>
      <x:c r="AF43" t="n">
        <x:f>1+AF$9*($H$10*H43+$I$10*I43+$J$10*J43+$K$10*K43+$L$10*L43)</x:f>
        <x:v>1.021401101034188</x:v>
      </x:c>
      <x:c r="AG43" t="n">
        <x:f>1+AG$9*($H$10*H43+$I$10*I43+$J$10*J43+$K$10*K43+$L$10*L43)</x:f>
        <x:v>1.037927506832811</x:v>
      </x:c>
      <x:c r="AH43" t="n">
        <x:f>MIN(1,'_曲线基线'!$L$3+AH$9*($H$10*H43+$I$10*I43+$J$10*J43+$K$10*K43+$L$10*L43))</x:f>
        <x:v>0.09868750485277751</x:v>
      </x:c>
      <x:c r="AI43" t="n">
        <x:f>'_曲线基线'!$L$4+AI$9*($H$10*H43+$I$10*I43+$J$10*J43+$K$10*K43+$L$10*L43)</x:f>
        <x:v>2.135629477804166</x:v>
      </x:c>
      <x:c r="AJ43" t="n">
        <x:f>1+AJ$9*($H$10*H43+$I$10*I43+$J$10*J43+$K$10*K43+$L$10*L43)</x:f>
        <x:v>1.1112857253777773</x:v>
      </x:c>
      <x:c r="AK43" t="n">
        <x:f>(1+AH43*(AI43-1))*AJ43</x:f>
        <x:v>1.2358302277154716</x:v>
      </x:c>
      <x:c r="AL43" t="n">
        <x:f>U43*AD43*AK43*F43</x:f>
        <x:v>50461.20926320048</x:v>
      </x:c>
      <x:c r="AM43" t="n">
        <x:f>IF($B43&lt;AM$8,0,AM$3+(AM$4-AM$3)*(POWER(AM$5,$B43-AM$8)-1)/(POWER(AM$5,$C$5-AM$8)-1))</x:f>
        <x:v>35.485069029913106</x:v>
      </x:c>
      <x:c r="AN43" t="n">
        <x:f>(((E43*'模块规划'!$D$10+G43*'模块规划'!$D$11+H43*'模块规划'!$D$13)*(1+'模块规划'!$G$14*H43)+(I43*'模块规划'!$D$15+J43*'模块规划'!$D$17+K43*'模块规划'!$D$16+L43*'模块规划'!$D$18))*(1+'模块规划'!$J$17*J43))*F43/(1-Q43)</x:f>
        <x:v>134928.23207873642</x:v>
      </x:c>
      <x:c r="AO43" t="n">
        <x:f>AL43*AM43</x:f>
        <x:v>1790619.4940375597</x:v>
      </x:c>
      <x:c r="AP43" t="n">
        <x:f>IF(AO43="","",INDEX('_曲线基线'!$A$3:$A$502,MIN(ROWS('_曲线基线'!$A$3:$A$502),COUNTIF('_曲线基线'!$E$3:$E$502,"&lt;"&amp;AO43)+1)))</x:f>
        <x:v>71</x:v>
      </x:c>
      <x:c r="AQ43" t="n">
        <x:f>IF(B43&lt;=2,1,IF(B43&lt;=6,2,IF(B43&lt;=9,3,IF(B43&lt;=19,4,5))))</x:f>
        <x:v>5</x:v>
      </x:c>
      <x:c r="AR43" t="n">
        <x:f>AN43*(1-Q43)/F43*$AS$3+U43*$AS$4+P43*$AS$5</x:f>
        <x:v>2043.4268741774615</x:v>
      </x:c>
      <x:c r="AS43" t="n">
        <x:f>1+AH43*$AS$6+AI43*$AS$7+(AJ43-1)*$AS$8+($H$10*H43+$I$10*I43+$J$10*J43+$K$10*K43+$L$10*L43)*$AU$3*$AS$9+($H$10*H43+$I$10*I43+$J$10*J43+$K$10*K43+$L$10*L43)*$AU$4*$AS$10</x:f>
        <x:v>6.260320103793778</x:v>
      </x:c>
      <x:c r="AT43" t="n">
        <x:f>ROUND(AR43*AS43,0)</x:f>
        <x:v>12793</x:v>
      </x:c>
      <x:c r="AU43" t="n">
        <x:f>ROUND(AT43*F43,0)</x:f>
        <x:v>63965</x:v>
      </x:c>
    </x:row>
    <x:row r="44">
      <x:c r="A44" t="n">
        <x:f>IFERROR(XLOOKUP(B44,'_曲线基线'!$G$3:$G$107,'_曲线基线'!$J$3:$J$107,""),"")</x:f>
        <x:v>20</x:v>
      </x:c>
      <x:c r="B44" t="n">
        <x:v>33</x:v>
      </x:c>
      <x:c r="C44" t="n">
        <x:v>3</x:v>
      </x:c>
      <x:c r="D44" t="n">
        <x:v>9</x:v>
      </x:c>
      <x:c r="E44" t="n">
        <x:f>IF($B44&lt;E$8,0,E$3+(E$4-E$3)*(POWER(E$5,$B44-E$8)-1)/(POWER(E$5,$C$5-E$8)-1))</x:f>
        <x:v>1</x:v>
      </x:c>
      <x:c r="F44" t="n">
        <x:f>1+IF(B44&lt;3,0,MIN(1,(B44-2)/4))+IF(B44&lt;7,0,MIN(1,(B44-6)/3))+IF(B44&lt;10,0,MIN(1,(B44-9)/5))+IF(B44&lt;20,0,MIN(1,(B44-19)/10))</x:f>
        <x:v>5</x:v>
      </x:c>
      <x:c r="G44" t="n">
        <x:f>IF($B44&lt;G$8,0,G$3+(G$4-G$3)*(POWER(G$5,$B44-G$8)-1)/(POWER(G$5,$C$5-G$8)-1))</x:f>
        <x:v>0.3503619301114681</x:v>
      </x:c>
      <x:c r="H44" t="n">
        <x:f>IF($B44&lt;H$8,0,H$3+(H$4-H$3)*(POWER(H$5,$B44-H$8)-1)/(POWER(H$5,$C$5-H$8)-1))</x:f>
        <x:v>0.2241977377853873</x:v>
      </x:c>
      <x:c r="I44" t="n">
        <x:f>IF($B44&lt;I$8,0,I$3+(I$4-I$3)*(POWER(I$5,$B44-I$8)-1)/(POWER(I$5,$C$5-I$8)-1))</x:f>
        <x:v>0</x:v>
      </x:c>
      <x:c r="J44" t="n">
        <x:f>IF($B44&lt;J$8,0,J$3+(J$4-J$3)*(POWER(J$5,$B44-J$8)-1)/(POWER(J$5,$C$5-J$8)-1))</x:f>
        <x:v>0.035516928383464985</x:v>
      </x:c>
      <x:c r="K44" t="n">
        <x:f>IF($B44&lt;K$8,0,K$3+(K$4-K$3)*(POWER(K$5,$B44-K$8)-1)/(POWER(K$5,$C$5-K$8)-1))</x:f>
        <x:v>0</x:v>
      </x:c>
      <x:c r="L44" t="n">
        <x:f>IF($B44&lt;L$8,0,L$3+(L$4-L$3)*(POWER(L$5,$B44-L$8)-1)/(POWER(L$5,$C$5-L$8)-1))</x:f>
        <x:v>0.21444038808422444</x:v>
      </x:c>
      <x:c r="M44" t="n">
        <x:f>E44*'模块规划'!$F$10+G44*'模块规划'!$F$11+H44*'模块规划'!$F$13</x:f>
        <x:v>2681.737264535047</x:v>
      </x:c>
      <x:c r="N44" t="n">
        <x:f>I44*'模块规划'!$F$15+J44*'模块规划'!$F$17+K44*'模块规划'!$F$16+L44*'模块规划'!$F$18</x:f>
        <x:v>1427.371224255772</x:v>
      </x:c>
      <x:c r="O44" t="n">
        <x:f>1+O$9*SUMPRODUCT($H$10:$L$10,H44:L44)/SUM($H$10:$L$10)</x:f>
        <x:v>1.2740326329904463</x:v>
      </x:c>
      <x:c r="P44" t="n">
        <x:f>M44*O44+N44</x:f>
        <x:v>4843.992012379955</x:v>
      </x:c>
      <x:c r="Q44" t="n">
        <x:f>P44/(P44+'_曲线基线'!$L$2)</x:f>
        <x:v>0.16793764227576038</x:v>
      </x:c>
      <x:c r="R44" t="n">
        <x:f>E44*'模块规划'!$E$10+G44*'模块规划'!$E$11+H44*'模块规划'!$E$13</x:f>
        <x:v>4022.6058968025704</x:v>
      </x:c>
      <x:c r="S44" t="n">
        <x:f>I44*'模块规划'!$E$15+J44*'模块规划'!$E$17+K44*'模块规划'!$E$16+L44*'模块规划'!$E$18</x:f>
        <x:v>2141.0568363836583</x:v>
      </x:c>
      <x:c r="T44" t="n">
        <x:f>1+T$9*SUMPRODUCT($H$10:$L$10,H44:L44)/SUM($H$10:$L$10)</x:f>
        <x:v>1.2740326329904463</x:v>
      </x:c>
      <x:c r="U44" t="n">
        <x:f>R44*T44+S44</x:f>
        <x:v>7265.988018569933</x:v>
      </x:c>
      <x:c r="V44" t="n">
        <x:f>V$8+(V$9-V$8)*H44</x:f>
        <x:v>0.7672593213356161</x:v>
      </x:c>
      <x:c r="W44" t="n">
        <x:f>IF(B44&lt;$H$8,0,W$8+(W$9-W$8)*H44)</x:f>
        <x:v>0.08967909511415492</x:v>
      </x:c>
      <x:c r="X44" t="n">
        <x:f>X$8+(X$9-X$8)*H44</x:f>
        <x:v>0.3366543778909815</x:v>
      </x:c>
      <x:c r="Y44" t="n">
        <x:f>Y$8+(Y$9-Y$8)*G44</x:f>
        <x:v>1</x:v>
      </x:c>
      <x:c r="Z44" t="n">
        <x:f>Z$8+(Z$9-Z$8)*H44</x:f>
        <x:v>1</x:v>
      </x:c>
      <x:c r="AA44" t="n">
        <x:f>AA$8+(AA$9-AA$8)*I44</x:f>
        <x:v>1</x:v>
      </x:c>
      <x:c r="AB44" t="n">
        <x:f>AB$8+(AB$9-AB$8)*J44</x:f>
        <x:v>1</x:v>
      </x:c>
      <x:c r="AC44" t="n">
        <x:f>AC$8+(AC$9-AC$8)*MAX(K44,L44)</x:f>
        <x:v>1</x:v>
      </x:c>
      <x:c r="AD44" t="n">
        <x:f>(V44*AE44+W44*AF44+X44*AG44)*PRODUCT(Y44:AC44)</x:f>
        <x:v>1.2101916932865886</x:v>
      </x:c>
      <x:c r="AE44" t="n">
        <x:f>1+AE$9*($H$10*H44+$I$10*I44+$J$10*J44+$K$10*K44+$L$10*L44)</x:f>
        <x:v>1</x:v>
      </x:c>
      <x:c r="AF44" t="n">
        <x:f>1+AF$9*($H$10*H44+$I$10*I44+$J$10*J44+$K$10*K44+$L$10*L44)</x:f>
        <x:v>1.024185876110088</x:v>
      </x:c>
      <x:c r="AG44" t="n">
        <x:f>1+AG$9*($H$10*H44+$I$10*I44+$J$10*J44+$K$10*K44+$L$10*L44)</x:f>
        <x:v>1.0428627471062117</x:v>
      </x:c>
      <x:c r="AH44" t="n">
        <x:f>MIN(1,'_曲线基线'!$L$3+AH$9*($H$10*H44+$I$10*I44+$J$10*J44+$K$10*K44+$L$10*L44))</x:f>
        <x:v>0.10502286815045012</x:v>
      </x:c>
      <x:c r="AI44" t="n">
        <x:f>'_曲线基线'!$L$4+AI$9*($H$10*H44+$I$10*I44+$J$10*J44+$K$10*K44+$L$10*L44)</x:f>
        <x:v>2.1532779898476826</x:v>
      </x:c>
      <x:c r="AJ44" t="n">
        <x:f>1+AJ$9*($H$10*H44+$I$10*I44+$J$10*J44+$K$10*K44+$L$10*L44)</x:f>
        <x:v>1.1257665557724574</x:v>
      </x:c>
      <x:c r="AK44" t="n">
        <x:f>(1+AH44*(AI44-1))*AJ44</x:f>
        <x:v>1.2621200339907908</x:v>
      </x:c>
      <x:c r="AL44" t="n">
        <x:f>U44*AD44*AK44*F44</x:f>
        <x:v>55490.61138552494</x:v>
      </x:c>
      <x:c r="AM44" t="n">
        <x:f>IF($B44&lt;AM$8,0,AM$3+(AM$4-AM$3)*(POWER(AM$5,$B44-AM$8)-1)/(POWER(AM$5,$C$5-AM$8)-1))</x:f>
        <x:v>35.50334436013411</x:v>
      </x:c>
      <x:c r="AN44" t="n">
        <x:f>(((E44*'模块规划'!$D$10+G44*'模块规划'!$D$11+H44*'模块规划'!$D$13)*(1+'模块规划'!$G$14*H44)+(I44*'模块规划'!$D$15+J44*'模块规划'!$D$17+K44*'模块规划'!$D$16+L44*'模块规划'!$D$18))*(1+'模块规划'!$J$17*J44))*F44/(1-Q44)</x:f>
        <x:v>145674.71822406616</x:v>
      </x:c>
      <x:c r="AO44" t="n">
        <x:f>AL44*AM44</x:f>
        <x:v>1970102.2847746704</x:v>
      </x:c>
      <x:c r="AP44" t="n">
        <x:f>IF(AO44="","",INDEX('_曲线基线'!$A$3:$A$502,MIN(ROWS('_曲线基线'!$A$3:$A$502),COUNTIF('_曲线基线'!$E$3:$E$502,"&lt;"&amp;AO44)+1)))</x:f>
        <x:v>74</x:v>
      </x:c>
      <x:c r="AQ44" t="n">
        <x:f>IF(B44&lt;=2,1,IF(B44&lt;=6,2,IF(B44&lt;=9,3,IF(B44&lt;=19,4,5))))</x:f>
        <x:v>5</x:v>
      </x:c>
      <x:c r="AR44" t="n">
        <x:f>AN44*(1-Q44)/F44*$AS$3+U44*$AS$4+P44*$AS$5</x:f>
        <x:v>2180.460300751971</x:v>
      </x:c>
      <x:c r="AS44" t="n">
        <x:f>1+AH44*$AS$6+AI44*$AS$7+(AJ44-1)*$AS$8+($H$10*H44+$I$10*I44+$J$10*J44+$K$10*K44+$L$10*L44)*$AU$3*$AS$9+($H$10*H44+$I$10*I44+$J$10*J44+$K$10*K44+$L$10*L44)*$AU$4*$AS$10</x:f>
        <x:v>6.426713578779487</x:v>
      </x:c>
      <x:c r="AT44" t="n">
        <x:f>ROUND(AR44*AS44,0)</x:f>
        <x:v>14013</x:v>
      </x:c>
      <x:c r="AU44" t="n">
        <x:f>ROUND(AT44*F44,0)</x:f>
        <x:v>70065</x:v>
      </x:c>
    </x:row>
    <x:row r="45">
      <x:c r="A45" t="n">
        <x:f>IFERROR(XLOOKUP(B45,'_曲线基线'!$G$3:$G$107,'_曲线基线'!$J$3:$J$107,""),"")</x:f>
        <x:v>20</x:v>
      </x:c>
      <x:c r="B45" t="n">
        <x:v>34</x:v>
      </x:c>
      <x:c r="C45" t="n">
        <x:v>3</x:v>
      </x:c>
      <x:c r="D45" t="n">
        <x:v>10</x:v>
      </x:c>
      <x:c r="E45" t="n">
        <x:f>IF($B45&lt;E$8,0,E$3+(E$4-E$3)*(POWER(E$5,$B45-E$8)-1)/(POWER(E$5,$C$5-E$8)-1))</x:f>
        <x:v>1</x:v>
      </x:c>
      <x:c r="F45" t="n">
        <x:f>1+IF(B45&lt;3,0,MIN(1,(B45-2)/4))+IF(B45&lt;7,0,MIN(1,(B45-6)/3))+IF(B45&lt;10,0,MIN(1,(B45-9)/5))+IF(B45&lt;20,0,MIN(1,(B45-19)/10))</x:f>
        <x:v>5</x:v>
      </x:c>
      <x:c r="G45" t="n">
        <x:f>IF($B45&lt;G$8,0,G$3+(G$4-G$3)*(POWER(G$5,$B45-G$8)-1)/(POWER(G$5,$C$5-G$8)-1))</x:f>
        <x:v>0.35881169161429194</x:v>
      </x:c>
      <x:c r="H45" t="n">
        <x:f>IF($B45&lt;H$8,0,H$3+(H$4-H$3)*(POWER(H$5,$B45-H$8)-1)/(POWER(H$5,$C$5-H$8)-1))</x:f>
        <x:v>0.2337803252691909</x:v>
      </x:c>
      <x:c r="I45" t="n">
        <x:f>IF($B45&lt;I$8,0,I$3+(I$4-I$3)*(POWER(I$5,$B45-I$8)-1)/(POWER(I$5,$C$5-I$8)-1))</x:f>
        <x:v>0</x:v>
      </x:c>
      <x:c r="J45" t="n">
        <x:f>IF($B45&lt;J$8,0,J$3+(J$4-J$3)*(POWER(J$5,$B45-J$8)-1)/(POWER(J$5,$C$5-J$8)-1))</x:f>
        <x:v>0.04688553430751961</x:v>
      </x:c>
      <x:c r="K45" t="n">
        <x:f>IF($B45&lt;K$8,0,K$3+(K$4-K$3)*(POWER(K$5,$B45-K$8)-1)/(POWER(K$5,$C$5-K$8)-1))</x:f>
        <x:v>0</x:v>
      </x:c>
      <x:c r="L45" t="n">
        <x:f>IF($B45&lt;L$8,0,L$3+(L$4-L$3)*(POWER(L$5,$B45-L$8)-1)/(POWER(L$5,$C$5-L$8)-1))</x:f>
        <x:v>0.22421948715392562</x:v>
      </x:c>
      <x:c r="M45" t="n">
        <x:f>E45*'模块规划'!$F$10+G45*'模块规划'!$F$11+H45*'模块规划'!$F$13</x:f>
        <x:v>2722.296119748601</x:v>
      </x:c>
      <x:c r="N45" t="n">
        <x:f>I45*'模块规划'!$F$15+J45*'模块规划'!$F$17+K45*'模块规划'!$F$16+L45*'模块规划'!$F$18</x:f>
        <x:v>1589.9527788448243</x:v>
      </x:c>
      <x:c r="O45" t="n">
        <x:f>1+O$9*SUMPRODUCT($H$10:$L$10,H45:L45)/SUM($H$10:$L$10)</x:f>
        <x:v>1.3049538556910134</x:v>
      </x:c>
      <x:c r="P45" t="n">
        <x:f>M45*O45+N45</x:f>
        <x:v>5142.423596643446</x:v>
      </x:c>
      <x:c r="Q45" t="n">
        <x:f>P45/(P45+'_曲线基线'!$L$2)</x:f>
        <x:v>0.17645833674711042</x:v>
      </x:c>
      <x:c r="R45" t="n">
        <x:f>E45*'模块规划'!$E$10+G45*'模块规划'!$E$11+H45*'模块规划'!$E$13</x:f>
        <x:v>4083.444179622902</x:v>
      </x:c>
      <x:c r="S45" t="n">
        <x:f>I45*'模块规划'!$E$15+J45*'模块规划'!$E$17+K45*'模块规划'!$E$16+L45*'模块规划'!$E$18</x:f>
        <x:v>2384.929168267236</x:v>
      </x:c>
      <x:c r="T45" t="n">
        <x:f>1+T$9*SUMPRODUCT($H$10:$L$10,H45:L45)/SUM($H$10:$L$10)</x:f>
        <x:v>1.3049538556910134</x:v>
      </x:c>
      <x:c r="U45" t="n">
        <x:f>R45*T45+S45</x:f>
        <x:v>7713.635394965169</x:v>
      </x:c>
      <x:c r="V45" t="n">
        <x:f>V$8+(V$9-V$8)*H45</x:f>
        <x:v>0.7701340975807572</x:v>
      </x:c>
      <x:c r="W45" t="n">
        <x:f>IF(B45&lt;$H$8,0,W$8+(W$9-W$8)*H45)</x:f>
        <x:v>0.09351213010767637</x:v>
      </x:c>
      <x:c r="X45" t="n">
        <x:f>X$8+(X$9-X$8)*H45</x:f>
        <x:v>0.33928958944902754</x:v>
      </x:c>
      <x:c r="Y45" t="n">
        <x:f>Y$8+(Y$9-Y$8)*G45</x:f>
        <x:v>1</x:v>
      </x:c>
      <x:c r="Z45" t="n">
        <x:f>Z$8+(Z$9-Z$8)*H45</x:f>
        <x:v>1</x:v>
      </x:c>
      <x:c r="AA45" t="n">
        <x:f>AA$8+(AA$9-AA$8)*I45</x:f>
        <x:v>1</x:v>
      </x:c>
      <x:c r="AB45" t="n">
        <x:f>AB$8+(AB$9-AB$8)*J45</x:f>
        <x:v>1</x:v>
      </x:c>
      <x:c r="AC45" t="n">
        <x:f>AC$8+(AC$9-AC$8)*MAX(K45,L45)</x:f>
        <x:v>1</x:v>
      </x:c>
      <x:c r="AD45" t="n">
        <x:f>(V45*AE45+W45*AF45+X45*AG45)*PRODUCT(Y45:AC45)</x:f>
        <x:v>1.2216365619768643</x:v>
      </x:c>
      <x:c r="AE45" t="n">
        <x:f>1+AE$9*($H$10*H45+$I$10*I45+$J$10*J45+$K$10*K45+$L$10*L45)</x:f>
        <x:v>1</x:v>
      </x:c>
      <x:c r="AF45" t="n">
        <x:f>1+AF$9*($H$10*H45+$I$10*I45+$J$10*J45+$K$10*K45+$L$10*L45)</x:f>
        <x:v>1.02691495568447</x:v>
      </x:c>
      <x:c r="AG45" t="n">
        <x:f>1+AG$9*($H$10*H45+$I$10*I45+$J$10*J45+$K$10*K45+$L$10*L45)</x:f>
        <x:v>1.0476992825741445</x:v>
      </x:c>
      <x:c r="AH45" t="n">
        <x:f>MIN(1,'_曲线基线'!$L$3+AH$9*($H$10*H45+$I$10*I45+$J$10*J45+$K$10*K45+$L$10*L45))</x:f>
        <x:v>0.11123152418216928</x:v>
      </x:c>
      <x:c r="AI45" t="n">
        <x:f>'_曲线基线'!$L$4+AI$9*($H$10*H45+$I$10*I45+$J$10*J45+$K$10*K45+$L$10*L45)</x:f>
        <x:v>2.1705735316503287</x:v>
      </x:c>
      <x:c r="AJ45" t="n">
        <x:f>1+AJ$9*($H$10*H45+$I$10*I45+$J$10*J45+$K$10*K45+$L$10*L45)</x:f>
        <x:v>1.139957769559244</x:v>
      </x:c>
      <x:c r="AK45" t="n">
        <x:f>(1+AH45*(AI45-1))*AJ45</x:f>
        <x:v>1.2883856039840584</x:v>
      </x:c>
      <x:c r="AL45" t="n">
        <x:f>U45*AD45*AK45*F45</x:f>
        <x:v>60703.95634727189</x:v>
      </x:c>
      <x:c r="AM45" t="n">
        <x:f>IF($B45&lt;AM$8,0,AM$3+(AM$4-AM$3)*(POWER(AM$5,$B45-AM$8)-1)/(POWER(AM$5,$C$5-AM$8)-1))</x:f>
        <x:v>35.521802443657315</x:v>
      </x:c>
      <x:c r="AN45" t="n">
        <x:f>(((E45*'模块规划'!$D$10+G45*'模块规划'!$D$11+H45*'模块规划'!$D$13)*(1+'模块规划'!$G$14*H45)+(I45*'模块规划'!$D$15+J45*'模块规划'!$D$17+K45*'模块规划'!$D$16+L45*'模块规划'!$D$18))*(1+'模块规划'!$J$17*J45))*F45/(1-Q45)</x:f>
        <x:v>156636.60239065153</x:v>
      </x:c>
      <x:c r="AO45" t="n">
        <x:f>AL45*AM45</x:f>
        <x:v>2156313.9449161896</x:v>
      </x:c>
      <x:c r="AP45" t="n">
        <x:f>IF(AO45="","",INDEX('_曲线基线'!$A$3:$A$502,MIN(ROWS('_曲线基线'!$A$3:$A$502),COUNTIF('_曲线基线'!$E$3:$E$502,"&lt;"&amp;AO45)+1)))</x:f>
        <x:v>77</x:v>
      </x:c>
      <x:c r="AQ45" t="n">
        <x:f>IF(B45&lt;=2,1,IF(B45&lt;=6,2,IF(B45&lt;=9,3,IF(B45&lt;=19,4,5))))</x:f>
        <x:v>5</x:v>
      </x:c>
      <x:c r="AR45" t="n">
        <x:f>AN45*(1-Q45)/F45*$AS$3+U45*$AS$4+P45*$AS$5</x:f>
        <x:v>2316.707687347506</x:v>
      </x:c>
      <x:c r="AS45" t="n">
        <x:f>1+AH45*$AS$6+AI45*$AS$7+(AJ45-1)*$AS$8+($H$10*H45+$I$10*I45+$J$10*J45+$K$10*K45+$L$10*L45)*$AU$3*$AS$9+($H$10*H45+$I$10*I45+$J$10*J45+$K$10*K45+$L$10*L45)*$AU$4*$AS$10</x:f>
        <x:v>6.5897791842654785</x:v>
      </x:c>
      <x:c r="AT45" t="n">
        <x:f>ROUND(AR45*AS45,0)</x:f>
        <x:v>15267</x:v>
      </x:c>
      <x:c r="AU45" t="n">
        <x:f>ROUND(AT45*F45,0)</x:f>
        <x:v>76335</x:v>
      </x:c>
    </x:row>
    <x:row r="46">
      <x:c r="A46" t="n">
        <x:f>IFERROR(XLOOKUP(B46,'_曲线基线'!$G$3:$G$107,'_曲线基线'!$J$3:$J$107,""),"")</x:f>
        <x:v>20</x:v>
      </x:c>
      <x:c r="B46" t="n">
        <x:v>35</x:v>
      </x:c>
      <x:c r="C46" t="n">
        <x:v>3</x:v>
      </x:c>
      <x:c r="D46" t="n">
        <x:v>11</x:v>
      </x:c>
      <x:c r="E46" t="n">
        <x:f>IF($B46&lt;E$8,0,E$3+(E$4-E$3)*(POWER(E$5,$B46-E$8)-1)/(POWER(E$5,$C$5-E$8)-1))</x:f>
        <x:v>1</x:v>
      </x:c>
      <x:c r="F46" t="n">
        <x:f>1+IF(B46&lt;3,0,MIN(1,(B46-2)/4))+IF(B46&lt;7,0,MIN(1,(B46-6)/3))+IF(B46&lt;10,0,MIN(1,(B46-9)/5))+IF(B46&lt;20,0,MIN(1,(B46-19)/10))</x:f>
        <x:v>5</x:v>
      </x:c>
      <x:c r="G46" t="n">
        <x:f>IF($B46&lt;G$8,0,G$3+(G$4-G$3)*(POWER(G$5,$B46-G$8)-1)/(POWER(G$5,$C$5-G$8)-1))</x:f>
        <x:v>0.36713470669457343</x:v>
      </x:c>
      <x:c r="H46" t="n">
        <x:f>IF($B46&lt;H$8,0,H$3+(H$4-H$3)*(POWER(H$5,$B46-H$8)-1)/(POWER(H$5,$C$5-H$8)-1))</x:f>
        <x:v>0.24317126100331846</x:v>
      </x:c>
      <x:c r="I46" t="n">
        <x:f>IF($B46&lt;I$8,0,I$3+(I$4-I$3)*(POWER(I$5,$B46-I$8)-1)/(POWER(I$5,$C$5-I$8)-1))</x:f>
        <x:v>0</x:v>
      </x:c>
      <x:c r="J46" t="n">
        <x:f>IF($B46&lt;J$8,0,J$3+(J$4-J$3)*(POWER(J$5,$B46-J$8)-1)/(POWER(J$5,$C$5-J$8)-1))</x:f>
        <x:v>0.05802676811309308</x:v>
      </x:c>
      <x:c r="K46" t="n">
        <x:f>IF($B46&lt;K$8,0,K$3+(K$4-K$3)*(POWER(K$5,$B46-K$8)-1)/(POWER(K$5,$C$5-K$8)-1))</x:f>
        <x:v>0</x:v>
      </x:c>
      <x:c r="L46" t="n">
        <x:f>IF($B46&lt;L$8,0,L$3+(L$4-L$3)*(POWER(L$5,$B46-L$8)-1)/(POWER(L$5,$C$5-L$8)-1))</x:f>
        <x:v>0.2338030042422328</x:v>
      </x:c>
      <x:c r="M46" t="n">
        <x:f>E46*'模块规划'!$F$10+G46*'模块规划'!$F$11+H46*'模块规划'!$F$13</x:f>
        <x:v>2762.2465921339526</x:v>
      </x:c>
      <x:c r="N46" t="n">
        <x:f>I46*'模块规划'!$F$15+J46*'模块规划'!$F$17+K46*'模块规划'!$F$16+L46*'模块规划'!$F$18</x:f>
        <x:v>1749.2827023420946</x:v>
      </x:c>
      <x:c r="O46" t="n">
        <x:f>1+O$9*SUMPRODUCT($H$10:$L$10,H46:L46)/SUM($H$10:$L$10)</x:f>
        <x:v>1.3352566539375692</x:v>
      </x:c>
      <x:c r="P46" t="n">
        <x:f>M46*O46+N46</x:f>
        <x:v>5437.5908443053295</x:v>
      </x:c>
      <x:c r="Q46" t="n">
        <x:f>P46/(P46+'_曲线基线'!$L$2)</x:f>
        <x:v>0.18471589176793066</x:v>
      </x:c>
      <x:c r="R46" t="n">
        <x:f>E46*'模块规划'!$E$10+G46*'模块规划'!$E$11+H46*'模块规划'!$E$13</x:f>
        <x:v>4143.3698882009285</x:v>
      </x:c>
      <x:c r="S46" t="n">
        <x:f>I46*'模块规划'!$E$15+J46*'模块规划'!$E$17+K46*'模块规划'!$E$16+L46*'模块规划'!$E$18</x:f>
        <x:v>2623.924053513142</x:v>
      </x:c>
      <x:c r="T46" t="n">
        <x:f>1+T$9*SUMPRODUCT($H$10:$L$10,H46:L46)/SUM($H$10:$L$10)</x:f>
        <x:v>1.3352566539375692</x:v>
      </x:c>
      <x:c r="U46" t="n">
        <x:f>R46*T46+S46</x:f>
        <x:v>8156.386266457994</x:v>
      </x:c>
      <x:c r="V46" t="n">
        <x:f>V$8+(V$9-V$8)*H46</x:f>
        <x:v>0.7729513783009955</x:v>
      </x:c>
      <x:c r="W46" t="n">
        <x:f>IF(B46&lt;$H$8,0,W$8+(W$9-W$8)*H46)</x:f>
        <x:v>0.0972685044013274</x:v>
      </x:c>
      <x:c r="X46" t="n">
        <x:f>X$8+(X$9-X$8)*H46</x:f>
        <x:v>0.34187209677591257</x:v>
      </x:c>
      <x:c r="Y46" t="n">
        <x:f>Y$8+(Y$9-Y$8)*G46</x:f>
        <x:v>1</x:v>
      </x:c>
      <x:c r="Z46" t="n">
        <x:f>Z$8+(Z$9-Z$8)*H46</x:f>
        <x:v>1</x:v>
      </x:c>
      <x:c r="AA46" t="n">
        <x:f>AA$8+(AA$9-AA$8)*I46</x:f>
        <x:v>1</x:v>
      </x:c>
      <x:c r="AB46" t="n">
        <x:f>AB$8+(AB$9-AB$8)*J46</x:f>
        <x:v>1</x:v>
      </x:c>
      <x:c r="AC46" t="n">
        <x:f>AC$8+(AC$9-AC$8)*MAX(K46,L46)</x:f>
        <x:v>1</x:v>
      </x:c>
      <x:c r="AD46" t="n">
        <x:f>(V46*AE46+W46*AF46+X46*AG46)*PRODUCT(Y46:AC46)</x:f>
        <x:v>1.232897562121964</x:v>
      </x:c>
      <x:c r="AE46" t="n">
        <x:f>1+AE$9*($H$10*H46+$I$10*I46+$J$10*J46+$K$10*K46+$L$10*L46)</x:f>
        <x:v>1</x:v>
      </x:c>
      <x:c r="AF46" t="n">
        <x:f>1+AF$9*($H$10*H46+$I$10*I46+$J$10*J46+$K$10*K46+$L$10*L46)</x:f>
        <x:v>1.0295894536673644</x:v>
      </x:c>
      <x:c r="AG46" t="n">
        <x:f>1+AG$9*($H$10*H46+$I$10*I46+$J$10*J46+$K$10*K46+$L$10*L46)</x:f>
        <x:v>1.0524390873327185</x:v>
      </x:c>
      <x:c r="AH46" t="n">
        <x:f>MIN(1,'_曲线基线'!$L$3+AH$9*($H$10*H46+$I$10*I46+$J$10*J46+$K$10*K46+$L$10*L46))</x:f>
        <x:v>0.11731600709325403</x:v>
      </x:c>
      <x:c r="AI46" t="n">
        <x:f>'_曲线基线'!$L$4+AI$9*($H$10*H46+$I$10*I46+$J$10*J46+$K$10*K46+$L$10*L46)</x:f>
        <x:v>2.187523162616922</x:v>
      </x:c>
      <x:c r="AJ46" t="n">
        <x:f>1+AJ$9*($H$10*H46+$I$10*I46+$J$10*J46+$K$10*K46+$L$10*L46)</x:f>
        <x:v>1.1538651590702949</x:v>
      </x:c>
      <x:c r="AK46" t="n">
        <x:f>(1+AH46*(AI46-1))*AJ46</x:f>
        <x:v>1.3146164326794116</x:v>
      </x:c>
      <x:c r="AL46" t="n">
        <x:f>U46*AD46*AK46*F46</x:f>
        <x:v>66098.84024614909</x:v>
      </x:c>
      <x:c r="AM46" t="n">
        <x:f>IF($B46&lt;AM$8,0,AM$3+(AM$4-AM$3)*(POWER(AM$5,$B46-AM$8)-1)/(POWER(AM$5,$C$5-AM$8)-1))</x:f>
        <x:v>35.54044510801575</x:v>
      </x:c>
      <x:c r="AN46" t="n">
        <x:f>(((E46*'模块规划'!$D$10+G46*'模块规划'!$D$11+H46*'模块规划'!$D$13)*(1+'模块规划'!$G$14*H46)+(I46*'模块规划'!$D$15+J46*'模块规划'!$D$17+K46*'模块规划'!$D$16+L46*'模块规划'!$D$18))*(1+'模块规划'!$J$17*J46))*F46/(1-Q46)</x:f>
        <x:v>167803.47880109007</x:v>
      </x:c>
      <x:c r="AO46" t="n">
        <x:f>AL46*AM46</x:f>
        <x:v>2349182.2034717645</x:v>
      </x:c>
      <x:c r="AP46" t="n">
        <x:f>IF(AO46="","",INDEX('_曲线基线'!$A$3:$A$502,MIN(ROWS('_曲线基线'!$A$3:$A$502),COUNTIF('_曲线基线'!$E$3:$E$502,"&lt;"&amp;AO46)+1)))</x:f>
        <x:v>80</x:v>
      </x:c>
      <x:c r="AQ46" t="n">
        <x:f>IF(B46&lt;=2,1,IF(B46&lt;=6,2,IF(B46&lt;=9,3,IF(B46&lt;=19,4,5))))</x:f>
        <x:v>5</x:v>
      </x:c>
      <x:c r="AR46" t="n">
        <x:f>AN46*(1-Q46)/F46*$AS$3+U46*$AS$4+P46*$AS$5</x:f>
        <x:v>2452.1223107271126</x:v>
      </x:c>
      <x:c r="AS46" t="n">
        <x:f>1+AH46*$AS$6+AI46*$AS$7+(AJ46-1)*$AS$8+($H$10*H46+$I$10*I46+$J$10*J46+$K$10*K46+$L$10*L46)*$AU$3*$AS$9+($H$10*H46+$I$10*I46+$J$10*J46+$K$10*K46+$L$10*L46)*$AU$4*$AS$10</x:f>
        <x:v>6.749583477641752</x:v>
      </x:c>
      <x:c r="AT46" t="n">
        <x:f>ROUND(AR46*AS46,0)</x:f>
        <x:v>16551</x:v>
      </x:c>
      <x:c r="AU46" t="n">
        <x:f>ROUND(AT46*F46,0)</x:f>
        <x:v>82755</x:v>
      </x:c>
    </x:row>
    <x:row r="47">
      <x:c r="A47" t="n">
        <x:f>IFERROR(XLOOKUP(B47,'_曲线基线'!$G$3:$G$107,'_曲线基线'!$J$3:$J$107,""),"")</x:f>
        <x:v>21</x:v>
      </x:c>
      <x:c r="B47" t="n">
        <x:v>36</x:v>
      </x:c>
      <x:c r="C47" t="n">
        <x:v>3</x:v>
      </x:c>
      <x:c r="D47" t="n">
        <x:v>12</x:v>
      </x:c>
      <x:c r="E47" t="n">
        <x:f>IF($B47&lt;E$8,0,E$3+(E$4-E$3)*(POWER(E$5,$B47-E$8)-1)/(POWER(E$5,$C$5-E$8)-1))</x:f>
        <x:v>1</x:v>
      </x:c>
      <x:c r="F47" t="n">
        <x:f>1+IF(B47&lt;3,0,MIN(1,(B47-2)/4))+IF(B47&lt;7,0,MIN(1,(B47-6)/3))+IF(B47&lt;10,0,MIN(1,(B47-9)/5))+IF(B47&lt;20,0,MIN(1,(B47-19)/10))</x:f>
        <x:v>5</x:v>
      </x:c>
      <x:c r="G47" t="n">
        <x:f>IF($B47&lt;G$8,0,G$3+(G$4-G$3)*(POWER(G$5,$B47-G$8)-1)/(POWER(G$5,$C$5-G$8)-1))</x:f>
        <x:v>0.37533287654865066</x:v>
      </x:c>
      <x:c r="H47" t="n">
        <x:f>IF($B47&lt;H$8,0,H$3+(H$4-H$3)*(POWER(H$5,$B47-H$8)-1)/(POWER(H$5,$C$5-H$8)-1))</x:f>
        <x:v>0.25237437802276347</x:v>
      </x:c>
      <x:c r="I47" t="n">
        <x:f>IF($B47&lt;I$8,0,I$3+(I$4-I$3)*(POWER(I$5,$B47-I$8)-1)/(POWER(I$5,$C$5-I$8)-1))</x:f>
        <x:v>0</x:v>
      </x:c>
      <x:c r="J47" t="n">
        <x:f>IF($B47&lt;J$8,0,J$3+(J$4-J$3)*(POWER(J$5,$B47-J$8)-1)/(POWER(J$5,$C$5-J$8)-1))</x:f>
        <x:v>0.06894517724255513</x:v>
      </x:c>
      <x:c r="K47" t="n">
        <x:f>IF($B47&lt;K$8,0,K$3+(K$4-K$3)*(POWER(K$5,$B47-K$8)-1)/(POWER(K$5,$C$5-K$8)-1))</x:f>
        <x:v>0</x:v>
      </x:c>
      <x:c r="L47" t="n">
        <x:f>IF($B47&lt;L$8,0,L$3+(L$4-L$3)*(POWER(L$5,$B47-L$8)-1)/(POWER(L$5,$C$5-L$8)-1))</x:f>
        <x:v>0.24319485098877386</x:v>
      </x:c>
      <x:c r="M47" t="n">
        <x:f>E47*'模块规划'!$F$10+G47*'模块规划'!$F$11+H47*'模块规划'!$F$13</x:f>
        <x:v>2801.5978074335235</x:v>
      </x:c>
      <x:c r="N47" t="n">
        <x:f>I47*'模块规划'!$F$15+J47*'模块规划'!$F$17+K47*'模块规划'!$F$16+L47*'模块规划'!$F$18</x:f>
        <x:v>1905.4260273694204</x:v>
      </x:c>
      <x:c r="O47" t="n">
        <x:f>1+O$9*SUMPRODUCT($H$10:$L$10,H47:L47)/SUM($H$10:$L$10)</x:f>
        <x:v>1.364953396219194</x:v>
      </x:c>
      <x:c r="P47" t="n">
        <x:f>M47*O47+N47</x:f>
        <x:v>5729.476469466055</x:v>
      </x:c>
      <x:c r="Q47" t="n">
        <x:f>P47/(P47+'_曲线基线'!$L$2)</x:f>
        <x:v>0.19272039571065333</x:v>
      </x:c>
      <x:c r="R47" t="n">
        <x:f>E47*'模块规划'!$E$10+G47*'模块规划'!$E$11+H47*'模块规划'!$E$13</x:f>
        <x:v>4202.396711150284</x:v>
      </x:c>
      <x:c r="S47" t="n">
        <x:f>I47*'模块规划'!$E$15+J47*'模块规划'!$E$17+K47*'模块规划'!$E$16+L47*'模块规划'!$E$18</x:f>
        <x:v>2858.1390410541308</x:v>
      </x:c>
      <x:c r="T47" t="n">
        <x:f>1+T$9*SUMPRODUCT($H$10:$L$10,H47:L47)/SUM($H$10:$L$10)</x:f>
        <x:v>1.364953396219194</x:v>
      </x:c>
      <x:c r="U47" t="n">
        <x:f>R47*T47+S47</x:f>
        <x:v>8594.214704199083</x:v>
      </x:c>
      <x:c r="V47" t="n">
        <x:f>V$8+(V$9-V$8)*H47</x:f>
        <x:v>0.775712313406829</x:v>
      </x:c>
      <x:c r="W47" t="n">
        <x:f>IF(B47&lt;$H$8,0,W$8+(W$9-W$8)*H47)</x:f>
        <x:v>0.10094975120910539</x:v>
      </x:c>
      <x:c r="X47" t="n">
        <x:f>X$8+(X$9-X$8)*H47</x:f>
        <x:v>0.34440295395625997</x:v>
      </x:c>
      <x:c r="Y47" t="n">
        <x:f>Y$8+(Y$9-Y$8)*G47</x:f>
        <x:v>1</x:v>
      </x:c>
      <x:c r="Z47" t="n">
        <x:f>Z$8+(Z$9-Z$8)*H47</x:f>
        <x:v>1</x:v>
      </x:c>
      <x:c r="AA47" t="n">
        <x:f>AA$8+(AA$9-AA$8)*I47</x:f>
        <x:v>1</x:v>
      </x:c>
      <x:c r="AB47" t="n">
        <x:f>AB$8+(AB$9-AB$8)*J47</x:f>
        <x:v>1</x:v>
      </x:c>
      <x:c r="AC47" t="n">
        <x:f>AC$8+(AC$9-AC$8)*MAX(K47,L47)</x:f>
        <x:v>1</x:v>
      </x:c>
      <x:c r="AD47" t="n">
        <x:f>(V47*AE47+W47*AF47+X47*AG47)*PRODUCT(Y47:AC47)</x:f>
        <x:v>1.2439765879511777</x:v>
      </x:c>
      <x:c r="AE47" t="n">
        <x:f>1+AE$9*($H$10*H47+$I$10*I47+$J$10*J47+$K$10*K47+$L$10*L47)</x:f>
        <x:v>1</x:v>
      </x:c>
      <x:c r="AF47" t="n">
        <x:f>1+AF$9*($H$10*H47+$I$10*I47+$J$10*J47+$K$10*K47+$L$10*L47)</x:f>
        <x:v>1.032210461690601</x:v>
      </x:c>
      <x:c r="AG47" t="n">
        <x:f>1+AG$9*($H$10*H47+$I$10*I47+$J$10*J47+$K$10*K47+$L$10*L47)</x:f>
        <x:v>1.057084095996121</x:v>
      </x:c>
      <x:c r="AH47" t="n">
        <x:f>MIN(1,'_曲线基线'!$L$3+AH$9*($H$10*H47+$I$10*I47+$J$10*J47+$K$10*K47+$L$10*L47))</x:f>
        <x:v>0.1232788003461171</x:v>
      </x:c>
      <x:c r="AI47" t="n">
        <x:f>'_曲线基线'!$L$4+AI$9*($H$10*H47+$I$10*I47+$J$10*J47+$K$10*K47+$L$10*L47)</x:f>
        <x:v>2.2041338009641835</x:v>
      </x:c>
      <x:c r="AJ47" t="n">
        <x:f>1+AJ$9*($H$10*H47+$I$10*I47+$J$10*J47+$K$10*K47+$L$10*L47)</x:f>
        <x:v>1.1674944007911248</x:v>
      </x:c>
      <x:c r="AK47" t="n">
        <x:f>(1+AH47*(AI47-1))*AJ47</x:f>
        <x:v>1.3408021386088278</x:v>
      </x:c>
      <x:c r="AL47" t="n">
        <x:f>U47*AD47*AK47*F47</x:f>
        <x:v>71672.59094868152</x:v>
      </x:c>
      <x:c r="AM47" t="n">
        <x:f>IF($B47&lt;AM$8,0,AM$3+(AM$4-AM$3)*(POWER(AM$5,$B47-AM$8)-1)/(POWER(AM$5,$C$5-AM$8)-1))</x:f>
        <x:v>35.55927419901778</x:v>
      </x:c>
      <x:c r="AN47" t="n">
        <x:f>(((E47*'模块规划'!$D$10+G47*'模块规划'!$D$11+H47*'模块规划'!$D$13)*(1+'模块规划'!$G$14*H47)+(I47*'模块规划'!$D$15+J47*'模块规划'!$D$17+K47*'模块规划'!$D$16+L47*'模块规划'!$D$18))*(1+'模块规划'!$J$17*J47))*F47/(1-Q47)</x:f>
        <x:v>179164.99077380466</x:v>
      </x:c>
      <x:c r="AO47" t="n">
        <x:f>AL47*AM47</x:f>
        <x:v>2548625.314098206</x:v>
      </x:c>
      <x:c r="AP47" t="n">
        <x:f>IF(AO47="","",INDEX('_曲线基线'!$A$3:$A$502,MIN(ROWS('_曲线基线'!$A$3:$A$502),COUNTIF('_曲线基线'!$E$3:$E$502,"&lt;"&amp;AO47)+1)))</x:f>
        <x:v>83</x:v>
      </x:c>
      <x:c r="AQ47" t="n">
        <x:f>IF(B47&lt;=2,1,IF(B47&lt;=6,2,IF(B47&lt;=9,3,IF(B47&lt;=19,4,5))))</x:f>
        <x:v>5</x:v>
      </x:c>
      <x:c r="AR47" t="n">
        <x:f>AN47*(1-Q47)/F47*$AS$3+U47*$AS$4+P47*$AS$5</x:f>
        <x:v>2586.6603979661054</x:v>
      </x:c>
      <x:c r="AS47" t="n">
        <x:f>1+AH47*$AS$6+AI47*$AS$7+(AJ47-1)*$AS$8+($H$10*H47+$I$10*I47+$J$10*J47+$K$10*K47+$L$10*L47)*$AU$3*$AS$9+($H$10*H47+$I$10*I47+$J$10*J47+$K$10*K47+$L$10*L47)*$AU$4*$AS$10</x:f>
        <x:v>6.906191685150501</x:v>
      </x:c>
      <x:c r="AT47" t="n">
        <x:f>ROUND(AR47*AS47,0)</x:f>
        <x:v>17864</x:v>
      </x:c>
      <x:c r="AU47" t="n">
        <x:f>ROUND(AT47*F47,0)</x:f>
        <x:v>89320</x:v>
      </x:c>
    </x:row>
    <x:row r="48">
      <x:c r="A48" t="n">
        <x:f>IFERROR(XLOOKUP(B48,'_曲线基线'!$G$3:$G$107,'_曲线基线'!$J$3:$J$107,""),"")</x:f>
        <x:v>21</x:v>
      </x:c>
      <x:c r="B48" t="n">
        <x:v>37</x:v>
      </x:c>
      <x:c r="C48" t="n">
        <x:v>3</x:v>
      </x:c>
      <x:c r="D48" t="n">
        <x:v>13</x:v>
      </x:c>
      <x:c r="E48" t="n">
        <x:f>IF($B48&lt;E$8,0,E$3+(E$4-E$3)*(POWER(E$5,$B48-E$8)-1)/(POWER(E$5,$C$5-E$8)-1))</x:f>
        <x:v>1</x:v>
      </x:c>
      <x:c r="F48" t="n">
        <x:f>1+IF(B48&lt;3,0,MIN(1,(B48-2)/4))+IF(B48&lt;7,0,MIN(1,(B48-6)/3))+IF(B48&lt;10,0,MIN(1,(B48-9)/5))+IF(B48&lt;20,0,MIN(1,(B48-19)/10))</x:f>
        <x:v>5</x:v>
      </x:c>
      <x:c r="G48" t="n">
        <x:f>IF($B48&lt;G$8,0,G$3+(G$4-G$3)*(POWER(G$5,$B48-G$8)-1)/(POWER(G$5,$C$5-G$8)-1))</x:f>
        <x:v>0.3834080738549167</x:v>
      </x:c>
      <x:c r="H48" t="n">
        <x:f>IF($B48&lt;H$8,0,H$3+(H$4-H$3)*(POWER(H$5,$B48-H$8)-1)/(POWER(H$5,$C$5-H$8)-1))</x:f>
        <x:v>0.26139343270181953</x:v>
      </x:c>
      <x:c r="I48" t="n">
        <x:f>IF($B48&lt;I$8,0,I$3+(I$4-I$3)*(POWER(I$5,$B48-I$8)-1)/(POWER(I$5,$C$5-I$8)-1))</x:f>
        <x:v>0</x:v>
      </x:c>
      <x:c r="J48" t="n">
        <x:f>IF($B48&lt;J$8,0,J$3+(J$4-J$3)*(POWER(J$5,$B48-J$8)-1)/(POWER(J$5,$C$5-J$8)-1))</x:f>
        <x:v>0.07964521818942791</x:v>
      </x:c>
      <x:c r="K48" t="n">
        <x:f>IF($B48&lt;K$8,0,K$3+(K$4-K$3)*(POWER(K$5,$B48-K$8)-1)/(POWER(K$5,$C$5-K$8)-1))</x:f>
        <x:v>0</x:v>
      </x:c>
      <x:c r="L48" t="n">
        <x:f>IF($B48&lt;L$8,0,L$3+(L$4-L$3)*(POWER(L$5,$B48-L$8)-1)/(POWER(L$5,$C$5-L$8)-1))</x:f>
        <x:v>0.25239886080038415</x:v>
      </x:c>
      <x:c r="M48" t="n">
        <x:f>E48*'模块规划'!$F$10+G48*'模块规划'!$F$11+H48*'模块规划'!$F$13</x:f>
        <x:v>2840.3587545036003</x:v>
      </x:c>
      <x:c r="N48" t="n">
        <x:f>I48*'模块规划'!$F$15+J48*'模块规划'!$F$17+K48*'模块规划'!$F$16+L48*'模块规划'!$F$18</x:f>
        <x:v>2058.4464858961996</x:v>
      </x:c>
      <x:c r="O48" t="n">
        <x:f>1+O$9*SUMPRODUCT($H$10:$L$10,H48:L48)/SUM($H$10:$L$10)</x:f>
        <x:v>1.3940562036551862</x:v>
      </x:c>
      <x:c r="P48" t="n">
        <x:f>M48*O48+N48</x:f>
        <x:v>6018.066228218262</x:v>
      </x:c>
      <x:c r="Q48" t="n">
        <x:f>P48/(P48+'_曲线基线'!$L$2)</x:f>
        <x:v>0.20048147613722778</x:v>
      </x:c>
      <x:c r="R48" t="n">
        <x:f>E48*'模块规划'!$E$10+G48*'模块规划'!$E$11+H48*'模块规划'!$E$13</x:f>
        <x:v>4260.5381317554</x:v>
      </x:c>
      <x:c r="S48" t="n">
        <x:f>I48*'模块规划'!$E$15+J48*'模块规划'!$E$17+K48*'模块规划'!$E$16+L48*'模块规划'!$E$18</x:f>
        <x:v>3087.6697288442997</x:v>
      </x:c>
      <x:c r="T48" t="n">
        <x:f>1+T$9*SUMPRODUCT($H$10:$L$10,H48:L48)/SUM($H$10:$L$10)</x:f>
        <x:v>1.3940562036551862</x:v>
      </x:c>
      <x:c r="U48" t="n">
        <x:f>R48*T48+S48</x:f>
        <x:v>9027.099342327392</x:v>
      </x:c>
      <x:c r="V48" t="n">
        <x:f>V$8+(V$9-V$8)*H48</x:f>
        <x:v>0.7784180298105459</x:v>
      </x:c>
      <x:c r="W48" t="n">
        <x:f>IF(B48&lt;$H$8,0,W$8+(W$9-W$8)*H48)</x:f>
        <x:v>0.10455737308072782</x:v>
      </x:c>
      <x:c r="X48" t="n">
        <x:f>X$8+(X$9-X$8)*H48</x:f>
        <x:v>0.3468831939930004</x:v>
      </x:c>
      <x:c r="Y48" t="n">
        <x:f>Y$8+(Y$9-Y$8)*G48</x:f>
        <x:v>1</x:v>
      </x:c>
      <x:c r="Z48" t="n">
        <x:f>Z$8+(Z$9-Z$8)*H48</x:f>
        <x:v>1</x:v>
      </x:c>
      <x:c r="AA48" t="n">
        <x:f>AA$8+(AA$9-AA$8)*I48</x:f>
        <x:v>1</x:v>
      </x:c>
      <x:c r="AB48" t="n">
        <x:f>AB$8+(AB$9-AB$8)*J48</x:f>
        <x:v>1</x:v>
      </x:c>
      <x:c r="AC48" t="n">
        <x:f>AC$8+(AC$9-AC$8)*MAX(K48,L48)</x:f>
        <x:v>1</x:v>
      </x:c>
      <x:c r="AD48" t="n">
        <x:f>(V48*AE48+W48*AF48+X48*AG48)*PRODUCT(Y48:AC48)</x:f>
        <x:v>1.2548755664216171</x:v>
      </x:c>
      <x:c r="AE48" t="n">
        <x:f>1+AE$9*($H$10*H48+$I$10*I48+$J$10*J48+$K$10*K48+$L$10*L48)</x:f>
        <x:v>1</x:v>
      </x:c>
      <x:c r="AF48" t="n">
        <x:f>1+AF$9*($H$10*H48+$I$10*I48+$J$10*J48+$K$10*K48+$L$10*L48)</x:f>
        <x:v>1.0347790495533729</x:v>
      </x:c>
      <x:c r="AG48" t="n">
        <x:f>1+AG$9*($H$10*H48+$I$10*I48+$J$10*J48+$K$10*K48+$L$10*L48)</x:f>
        <x:v>1.0616362044862555</x:v>
      </x:c>
      <x:c r="AH48" t="n">
        <x:f>MIN(1,'_曲线基线'!$L$3+AH$9*($H$10*H48+$I$10*I48+$J$10*J48+$K$10*K48+$L$10*L48))</x:f>
        <x:v>0.1291223377339229</x:v>
      </x:c>
      <x:c r="AI48" t="n">
        <x:f>'_曲线基线'!$L$4+AI$9*($H$10*H48+$I$10*I48+$J$10*J48+$K$10*K48+$L$10*L48)</x:f>
        <x:v>2.2204122265444997</x:v>
      </x:c>
      <x:c r="AJ48" t="n">
        <x:f>1+AJ$9*($H$10*H48+$I$10*I48+$J$10*J48+$K$10*K48+$L$10*L48)</x:f>
        <x:v>1.1808510576775382</x:v>
      </x:c>
      <x:c r="AK48" t="n">
        <x:f>(1+AH48*(AI48-1))*AJ48</x:f>
        <x:v>1.3669324954914996</x:v>
      </x:c>
      <x:c r="AL48" t="n">
        <x:f>U48*AD48*AK48*F48</x:f>
        <x:v>77422.28012935474</x:v>
      </x:c>
      <x:c r="AM48" t="n">
        <x:f>IF($B48&lt;AM$8,0,AM$3+(AM$4-AM$3)*(POWER(AM$5,$B48-AM$8)-1)/(POWER(AM$5,$C$5-AM$8)-1))</x:f>
        <x:v>35.57829158092983</x:v>
      </x:c>
      <x:c r="AN48" t="n">
        <x:f>(((E48*'模块规划'!$D$10+G48*'模块规划'!$D$11+H48*'模块规划'!$D$13)*(1+'模块规划'!$G$14*H48)+(I48*'模块规划'!$D$15+J48*'模块规划'!$D$17+K48*'模块规划'!$D$16+L48*'模块规划'!$D$18))*(1+'模块规划'!$J$17*J48))*F48/(1-Q48)</x:f>
        <x:v>190710.84852600668</x:v>
      </x:c>
      <x:c r="AO48" t="n">
        <x:f>AL48*AM48</x:f>
        <x:v>2754552.4573026123</x:v>
      </x:c>
      <x:c r="AP48" t="n">
        <x:f>IF(AO48="","",INDEX('_曲线基线'!$A$3:$A$502,MIN(ROWS('_曲线基线'!$A$3:$A$502),COUNTIF('_曲线基线'!$E$3:$E$502,"&lt;"&amp;AO48)+1)))</x:f>
        <x:v>86</x:v>
      </x:c>
      <x:c r="AQ48" t="n">
        <x:f>IF(B48&lt;=2,1,IF(B48&lt;=6,2,IF(B48&lt;=9,3,IF(B48&lt;=19,4,5))))</x:f>
        <x:v>5</x:v>
      </x:c>
      <x:c r="AR48" t="n">
        <x:f>AN48*(1-Q48)/F48*$AS$3+U48*$AS$4+P48*$AS$5</x:f>
        <x:v>2720.281005054256</x:v>
      </x:c>
      <x:c r="AS48" t="n">
        <x:f>1+AH48*$AS$6+AI48*$AS$7+(AJ48-1)*$AS$8+($H$10*H48+$I$10*I48+$J$10*J48+$K$10*K48+$L$10*L48)*$AU$3*$AS$9+($H$10*H48+$I$10*I48+$J$10*J48+$K$10*K48+$L$10*L48)*$AU$4*$AS$10</x:f>
        <x:v>7.0596677285090745</x:v>
      </x:c>
      <x:c r="AT48" t="n">
        <x:f>ROUND(AR48*AS48,0)</x:f>
        <x:v>19204</x:v>
      </x:c>
      <x:c r="AU48" t="n">
        <x:f>ROUND(AT48*F48,0)</x:f>
        <x:v>96020</x:v>
      </x:c>
    </x:row>
    <x:row r="49">
      <x:c r="A49" t="n">
        <x:f>IFERROR(XLOOKUP(B49,'_曲线基线'!$G$3:$G$107,'_曲线基线'!$J$3:$J$107,""),"")</x:f>
        <x:v>21</x:v>
      </x:c>
      <x:c r="B49" t="n">
        <x:v>38</x:v>
      </x:c>
      <x:c r="C49" t="n">
        <x:v>3</x:v>
      </x:c>
      <x:c r="D49" t="n">
        <x:v>14</x:v>
      </x:c>
      <x:c r="E49" t="n">
        <x:f>IF($B49&lt;E$8,0,E$3+(E$4-E$3)*(POWER(E$5,$B49-E$8)-1)/(POWER(E$5,$C$5-E$8)-1))</x:f>
        <x:v>1</x:v>
      </x:c>
      <x:c r="F49" t="n">
        <x:f>1+IF(B49&lt;3,0,MIN(1,(B49-2)/4))+IF(B49&lt;7,0,MIN(1,(B49-6)/3))+IF(B49&lt;10,0,MIN(1,(B49-9)/5))+IF(B49&lt;20,0,MIN(1,(B49-19)/10))</x:f>
        <x:v>5</x:v>
      </x:c>
      <x:c r="G49" t="n">
        <x:f>IF($B49&lt;G$8,0,G$3+(G$4-G$3)*(POWER(G$5,$B49-G$8)-1)/(POWER(G$5,$C$5-G$8)-1))</x:f>
        <x:v>0.3913621432015888</x:v>
      </x:c>
      <x:c r="H49" t="n">
        <x:f>IF($B49&lt;H$8,0,H$3+(H$4-H$3)*(POWER(H$5,$B49-H$8)-1)/(POWER(H$5,$C$5-H$8)-1))</x:f>
        <x:v>0.2702321062872945</x:v>
      </x:c>
      <x:c r="I49" t="n">
        <x:f>IF($B49&lt;I$8,0,I$3+(I$4-I$3)*(POWER(I$5,$B49-I$8)-1)/(POWER(I$5,$C$5-I$8)-1))</x:f>
        <x:v>0</x:v>
      </x:c>
      <x:c r="J49" t="n">
        <x:f>IF($B49&lt;J$8,0,J$3+(J$4-J$3)*(POWER(J$5,$B49-J$8)-1)/(POWER(J$5,$C$5-J$8)-1))</x:f>
        <x:v>0.09013125831736328</x:v>
      </x:c>
      <x:c r="K49" t="n">
        <x:f>IF($B49&lt;K$8,0,K$3+(K$4-K$3)*(POWER(K$5,$B49-K$8)-1)/(POWER(K$5,$C$5-K$8)-1))</x:f>
        <x:v>0</x:v>
      </x:c>
      <x:c r="L49" t="n">
        <x:f>IF($B49&lt;L$8,0,L$3+(L$4-L$3)*(POWER(L$5,$B49-L$8)-1)/(POWER(L$5,$C$5-L$8)-1))</x:f>
        <x:v>0.2614187904157621</x:v>
      </x:c>
      <x:c r="M49" t="n">
        <x:f>E49*'模块规划'!$F$10+G49*'模块规划'!$F$11+H49*'模块规划'!$F$13</x:f>
        <x:v>2878.5382873676263</x:v>
      </x:c>
      <x:c r="N49" t="n">
        <x:f>I49*'模块规划'!$F$15+J49*'模块规划'!$F$17+K49*'模块规划'!$F$16+L49*'模块规划'!$F$18</x:f>
        <x:v>2208.4065352524435</x:v>
      </x:c>
      <x:c r="O49" t="n">
        <x:f>1+O$9*SUMPRODUCT($H$10:$L$10,H49:L49)/SUM($H$10:$L$10)</x:f>
        <x:v>1.4225769549424587</x:v>
      </x:c>
      <x:c r="P49" t="n">
        <x:f>M49*O49+N49</x:f>
        <x:v>6303.348766781161</x:v>
      </x:c>
      <x:c r="Q49" t="n">
        <x:f>P49/(P49+'_曲线基线'!$L$2)</x:f>
        <x:v>0.20800832328112054</x:v>
      </x:c>
      <x:c r="R49" t="n">
        <x:f>E49*'模块规划'!$E$10+G49*'模块规划'!$E$11+H49*'模块规划'!$E$13</x:f>
        <x:v>4317.807431051439</x:v>
      </x:c>
      <x:c r="S49" t="n">
        <x:f>I49*'模块规划'!$E$15+J49*'模块规划'!$E$17+K49*'模块规划'!$E$16+L49*'模块规划'!$E$18</x:f>
        <x:v>3312.6098028786646</x:v>
      </x:c>
      <x:c r="T49" t="n">
        <x:f>1+T$9*SUMPRODUCT($H$10:$L$10,H49:L49)/SUM($H$10:$L$10)</x:f>
        <x:v>1.4225769549424587</x:v>
      </x:c>
      <x:c r="U49" t="n">
        <x:f>R49*T49+S49</x:f>
        <x:v>9455.023150171743</x:v>
      </x:c>
      <x:c r="V49" t="n">
        <x:f>V$8+(V$9-V$8)*H49</x:f>
        <x:v>0.7810696318861883</x:v>
      </x:c>
      <x:c r="W49" t="n">
        <x:f>IF(B49&lt;$H$8,0,W$8+(W$9-W$8)*H49)</x:f>
        <x:v>0.1080928425149178</x:v>
      </x:c>
      <x:c r="X49" t="n">
        <x:f>X$8+(X$9-X$8)*H49</x:f>
        <x:v>0.349313829229006</x:v>
      </x:c>
      <x:c r="Y49" t="n">
        <x:f>Y$8+(Y$9-Y$8)*G49</x:f>
        <x:v>1</x:v>
      </x:c>
      <x:c r="Z49" t="n">
        <x:f>Z$8+(Z$9-Z$8)*H49</x:f>
        <x:v>1</x:v>
      </x:c>
      <x:c r="AA49" t="n">
        <x:f>AA$8+(AA$9-AA$8)*I49</x:f>
        <x:v>1</x:v>
      </x:c>
      <x:c r="AB49" t="n">
        <x:f>AB$8+(AB$9-AB$8)*J49</x:f>
        <x:v>1</x:v>
      </x:c>
      <x:c r="AC49" t="n">
        <x:f>AC$8+(AC$9-AC$8)*MAX(K49,L49)</x:f>
        <x:v>1</x:v>
      </x:c>
      <x:c r="AD49" t="n">
        <x:f>(V49*AE49+W49*AF49+X49*AG49)*PRODUCT(Y49:AC49)</x:f>
        <x:v>1.2655964537674085</x:v>
      </x:c>
      <x:c r="AE49" t="n">
        <x:f>1+AE$9*($H$10*H49+$I$10*I49+$J$10*J49+$K$10*K49+$L$10*L49)</x:f>
        <x:v>1</x:v>
      </x:c>
      <x:c r="AF49" t="n">
        <x:f>1+AF$9*($H$10*H49+$I$10*I49+$J$10*J49+$K$10*K49+$L$10*L49)</x:f>
        <x:v>1.037296265658889</x:v>
      </x:c>
      <x:c r="AG49" t="n">
        <x:f>1+AG$9*($H$10*H49+$I$10*I49+$J$10*J49+$K$10*K49+$L$10*L49)</x:f>
        <x:v>1.0660972708065872</x:v>
      </x:c>
      <x:c r="AH49" t="n">
        <x:f>MIN(1,'_曲线基线'!$L$3+AH$9*($H$10*H49+$I$10*I49+$J$10*J49+$K$10*K49+$L$10*L49))</x:f>
        <x:v>0.13484900437397263</x:v>
      </x:c>
      <x:c r="AI49" t="n">
        <x:f>'_曲线基线'!$L$4+AI$9*($H$10*H49+$I$10*I49+$J$10*J49+$K$10*K49+$L$10*L49)</x:f>
        <x:v>2.2363650836132094</x:v>
      </x:c>
      <x:c r="AJ49" t="n">
        <x:f>1+AJ$9*($H$10*H49+$I$10*I49+$J$10*J49+$K$10*K49+$L$10*L49)</x:f>
        <x:v>1.1939405814262232</x:v>
      </x:c>
      <x:c r="AK49" t="n">
        <x:f>(1+AH49*(AI49-1))*AJ49</x:f>
        <x:v>1.3929974600852548</x:v>
      </x:c>
      <x:c r="AL49" t="n">
        <x:f>U49*AD49*AK49*F49</x:f>
        <x:v>83344.73588590769</x:v>
      </x:c>
      <x:c r="AM49" t="n">
        <x:f>IF($B49&lt;AM$8,0,AM$3+(AM$4-AM$3)*(POWER(AM$5,$B49-AM$8)-1)/(POWER(AM$5,$C$5-AM$8)-1))</x:f>
        <x:v>35.59749913666099</x:v>
      </x:c>
      <x:c r="AN49" t="n">
        <x:f>(((E49*'模块规划'!$D$10+G49*'模块规划'!$D$11+H49*'模块规划'!$D$13)*(1+'模块规划'!$G$14*H49)+(I49*'模块规划'!$D$15+J49*'模块规划'!$D$17+K49*'模块规划'!$D$16+L49*'模块规划'!$D$18))*(1+'模块规划'!$J$17*J49))*F49/(1-Q49)</x:f>
        <x:v>202430.84573461604</x:v>
      </x:c>
      <x:c r="AO49" t="n">
        <x:f>AL49*AM49</x:f>
        <x:v>2966864.1637438377</x:v>
      </x:c>
      <x:c r="AP49" t="n">
        <x:f>IF(AO49="","",INDEX('_曲线基线'!$A$3:$A$502,MIN(ROWS('_曲线基线'!$A$3:$A$502),COUNTIF('_曲线基线'!$E$3:$E$502,"&lt;"&amp;AO49)+1)))</x:f>
        <x:v>89</x:v>
      </x:c>
      <x:c r="AQ49" t="n">
        <x:f>IF(B49&lt;=2,1,IF(B49&lt;=6,2,IF(B49&lt;=9,3,IF(B49&lt;=19,4,5))))</x:f>
        <x:v>5</x:v>
      </x:c>
      <x:c r="AR49" t="n">
        <x:f>AN49*(1-Q49)/F49*$AS$3+U49*$AS$4+P49*$AS$5</x:f>
        <x:v>2852.9458996322246</x:v>
      </x:c>
      <x:c r="AS49" t="n">
        <x:f>1+AH49*$AS$6+AI49*$AS$7+(AJ49-1)*$AS$8+($H$10*H49+$I$10*I49+$J$10*J49+$K$10*K49+$L$10*L49)*$AU$3*$AS$9+($H$10*H49+$I$10*I49+$J$10*J49+$K$10*K49+$L$10*L49)*$AU$4*$AS$10</x:f>
        <x:v>7.210074251000477</x:v>
      </x:c>
      <x:c r="AT49" t="n">
        <x:f>ROUND(AR49*AS49,0)</x:f>
        <x:v>20570</x:v>
      </x:c>
      <x:c r="AU49" t="n">
        <x:f>ROUND(AT49*F49,0)</x:f>
        <x:v>102850</x:v>
      </x:c>
    </x:row>
    <x:row r="50">
      <x:c r="A50" t="n">
        <x:f>IFERROR(XLOOKUP(B50,'_曲线基线'!$G$3:$G$107,'_曲线基线'!$J$3:$J$107,""),"")</x:f>
        <x:v>22</x:v>
      </x:c>
      <x:c r="B50" t="n">
        <x:v>39</x:v>
      </x:c>
      <x:c r="C50" t="n">
        <x:v>3</x:v>
      </x:c>
      <x:c r="D50" t="n">
        <x:v>15</x:v>
      </x:c>
      <x:c r="E50" t="n">
        <x:f>IF($B50&lt;E$8,0,E$3+(E$4-E$3)*(POWER(E$5,$B50-E$8)-1)/(POWER(E$5,$C$5-E$8)-1))</x:f>
        <x:v>1</x:v>
      </x:c>
      <x:c r="F50" t="n">
        <x:f>1+IF(B50&lt;3,0,MIN(1,(B50-2)/4))+IF(B50&lt;7,0,MIN(1,(B50-6)/3))+IF(B50&lt;10,0,MIN(1,(B50-9)/5))+IF(B50&lt;20,0,MIN(1,(B50-19)/10))</x:f>
        <x:v>5</x:v>
      </x:c>
      <x:c r="G50" t="n">
        <x:f>IF($B50&lt;G$8,0,G$3+(G$4-G$3)*(POWER(G$5,$B50-G$8)-1)/(POWER(G$5,$C$5-G$8)-1))</x:f>
        <x:v>0.39919690150806086</x:v>
      </x:c>
      <x:c r="H50" t="n">
        <x:f>IF($B50&lt;H$8,0,H$3+(H$4-H$3)*(POWER(H$5,$B50-H$8)-1)/(POWER(H$5,$C$5-H$8)-1))</x:f>
        <x:v>0.27889400640106</x:v>
      </x:c>
      <x:c r="I50" t="n">
        <x:f>IF($B50&lt;I$8,0,I$3+(I$4-I$3)*(POWER(I$5,$B50-I$8)-1)/(POWER(I$5,$C$5-I$8)-1))</x:f>
        <x:v>0</x:v>
      </x:c>
      <x:c r="J50" t="n">
        <x:f>IF($B50&lt;J$8,0,J$3+(J$4-J$3)*(POWER(J$5,$B50-J$8)-1)/(POWER(J$5,$C$5-J$8)-1))</x:f>
        <x:v>0.10040757764273989</x:v>
      </x:c>
      <x:c r="K50" t="n">
        <x:f>IF($B50&lt;K$8,0,K$3+(K$4-K$3)*(POWER(K$5,$B50-K$8)-1)/(POWER(K$5,$C$5-K$8)-1))</x:f>
        <x:v>0</x:v>
      </x:c>
      <x:c r="L50" t="n">
        <x:f>IF($B50&lt;L$8,0,L$3+(L$4-L$3)*(POWER(L$5,$B50-L$8)-1)/(POWER(L$5,$C$5-L$8)-1))</x:f>
        <x:v>0.27025832143883255</x:v>
      </x:c>
      <x:c r="M50" t="n">
        <x:f>E50*'模块规划'!$F$10+G50*'模块规划'!$F$11+H50*'模块规划'!$F$13</x:f>
        <x:v>2916.145127238692</x:v>
      </x:c>
      <x:c r="N50" t="n">
        <x:f>I50*'模块规划'!$F$15+J50*'模块规划'!$F$17+K50*'模块规划'!$F$16+L50*'模块规划'!$F$18</x:f>
        <x:v>2355.3673836215617</x:v>
      </x:c>
      <x:c r="O50" t="n">
        <x:f>1+O$9*SUMPRODUCT($H$10:$L$10,H50:L50)/SUM($H$10:$L$10)</x:f>
        <x:v>1.4505272912039857</x:v>
      </x:c>
      <x:c r="P50" t="n">
        <x:f>M50*O50+N50</x:f>
        <x:v>6585.315475792804</x:v>
      </x:c>
      <x:c r="Q50" t="n">
        <x:f>P50/(P50+'_曲线基线'!$L$2)</x:f>
        <x:v>0.2153097123031099</x:v>
      </x:c>
      <x:c r="R50" t="n">
        <x:f>E50*'模块规划'!$E$10+G50*'模块规划'!$E$11+H50*'模块规划'!$E$13</x:f>
        <x:v>4374.217690858039</x:v>
      </x:c>
      <x:c r="S50" t="n">
        <x:f>I50*'模块规划'!$E$15+J50*'模块规划'!$E$17+K50*'模块规划'!$E$16+L50*'模块规划'!$E$18</x:f>
        <x:v>3533.0510754323423</x:v>
      </x:c>
      <x:c r="T50" t="n">
        <x:f>1+T$9*SUMPRODUCT($H$10:$L$10,H50:L50)/SUM($H$10:$L$10)</x:f>
        <x:v>1.4505272912039857</x:v>
      </x:c>
      <x:c r="U50" t="n">
        <x:f>R50*T50+S50</x:f>
        <x:v>9877.973213689205</x:v>
      </x:c>
      <x:c r="V50" t="n">
        <x:f>V$8+(V$9-V$8)*H50</x:f>
        <x:v>0.7836682019203179</x:v>
      </x:c>
      <x:c r="W50" t="n">
        <x:f>IF(B50&lt;$H$8,0,W$8+(W$9-W$8)*H50)</x:f>
        <x:v>0.111557602560424</x:v>
      </x:c>
      <x:c r="X50" t="n">
        <x:f>X$8+(X$9-X$8)*H50</x:f>
        <x:v>0.3516958517602915</x:v>
      </x:c>
      <x:c r="Y50" t="n">
        <x:f>Y$8+(Y$9-Y$8)*G50</x:f>
        <x:v>1</x:v>
      </x:c>
      <x:c r="Z50" t="n">
        <x:f>Z$8+(Z$9-Z$8)*H50</x:f>
        <x:v>1</x:v>
      </x:c>
      <x:c r="AA50" t="n">
        <x:f>AA$8+(AA$9-AA$8)*I50</x:f>
        <x:v>1</x:v>
      </x:c>
      <x:c r="AB50" t="n">
        <x:f>AB$8+(AB$9-AB$8)*J50</x:f>
        <x:v>1</x:v>
      </x:c>
      <x:c r="AC50" t="n">
        <x:f>AC$8+(AC$9-AC$8)*MAX(K50,L50)</x:f>
        <x:v>1</x:v>
      </x:c>
      <x:c r="AD50" t="n">
        <x:f>(V50*AE50+W50*AF50+X50*AG50)*PRODUCT(Y50:AC50)</x:f>
        <x:v>1.2761412322286323</x:v>
      </x:c>
      <x:c r="AE50" t="n">
        <x:f>1+AE$9*($H$10*H50+$I$10*I50+$J$10*J50+$K$10*K50+$L$10*L50)</x:f>
        <x:v>1</x:v>
      </x:c>
      <x:c r="AF50" t="n">
        <x:f>1+AF$9*($H$10*H50+$I$10*I50+$J$10*J50+$K$10*K50+$L$10*L50)</x:f>
        <x:v>1.039763137442295</x:v>
      </x:c>
      <x:c r="AG50" t="n">
        <x:f>1+AG$9*($H$10*H50+$I$10*I50+$J$10*J50+$K$10*K50+$L$10*L50)</x:f>
        <x:v>1.0704691158005124</x:v>
      </x:c>
      <x:c r="AH50" t="n">
        <x:f>MIN(1,'_曲线基线'!$L$3+AH$9*($H$10*H50+$I$10*I50+$J$10*J50+$K$10*K50+$L$10*L50))</x:f>
        <x:v>0.14046113768122132</x:v>
      </x:c>
      <x:c r="AI50" t="n">
        <x:f>'_曲线基线'!$L$4+AI$9*($H$10*H50+$I$10*I50+$J$10*J50+$K$10*K50+$L$10*L50)</x:f>
        <x:v>2.251998883540545</x:v>
      </x:c>
      <x:c r="AJ50" t="n">
        <x:f>1+AJ$9*($H$10*H50+$I$10*I50+$J$10*J50+$K$10*K50+$L$10*L50)</x:f>
        <x:v>1.2067683146999344</x:v>
      </x:c>
      <x:c r="AK50" t="n">
        <x:f>(1+AH50*(AI50-1))*AJ50</x:f>
        <x:v>1.4189871965568392</x:v>
      </x:c>
      <x:c r="AL50" t="n">
        <x:f>U50*AD50*AK50*F50</x:f>
        <x:v>89436.5558271038</x:v>
      </x:c>
      <x:c r="AM50" t="n">
        <x:f>IF($B50&lt;AM$8,0,AM$3+(AM$4-AM$3)*(POWER(AM$5,$B50-AM$8)-1)/(POWER(AM$5,$C$5-AM$8)-1))</x:f>
        <x:v>35.61689876794947</x:v>
      </x:c>
      <x:c r="AN50" t="n">
        <x:f>(((E50*'模块规划'!$D$10+G50*'模块规划'!$D$11+H50*'模块规划'!$D$13)*(1+'模块规划'!$G$14*H50)+(I50*'模块规划'!$D$15+J50*'模块规划'!$D$17+K50*'模块规划'!$D$16+L50*'模块规划'!$D$18))*(1+'模块规划'!$J$17*J50))*F50/(1-Q50)</x:f>
        <x:v>214314.87488987812</x:v>
      </x:c>
      <x:c r="AO50" t="n">
        <x:f>AL50*AM50</x:f>
        <x:v>3185452.7550480175</x:v>
      </x:c>
      <x:c r="AP50" t="n">
        <x:f>IF(AO50="","",INDEX('_曲线基线'!$A$3:$A$502,MIN(ROWS('_曲线基线'!$A$3:$A$502),COUNTIF('_曲线基线'!$E$3:$E$502,"&lt;"&amp;AO50)+1)))</x:f>
        <x:v>92</x:v>
      </x:c>
      <x:c r="AQ50" t="n">
        <x:f>IF(B50&lt;=2,1,IF(B50&lt;=6,2,IF(B50&lt;=9,3,IF(B50&lt;=19,4,5))))</x:f>
        <x:v>5</x:v>
      </x:c>
      <x:c r="AR50" t="n">
        <x:f>AN50*(1-Q50)/F50*$AS$3+U50*$AS$4+P50*$AS$5</x:f>
        <x:v>2984.61944774821</x:v>
      </x:c>
      <x:c r="AS50" t="n">
        <x:f>1+AH50*$AS$6+AI50*$AS$7+(AJ50-1)*$AS$8+($H$10*H50+$I$10*I50+$J$10*J50+$K$10*K50+$L$10*L50)*$AU$3*$AS$9+($H$10*H50+$I$10*I50+$J$10*J50+$K$10*K50+$L$10*L50)*$AU$4*$AS$10</x:f>
        <x:v>7.35747264304205</x:v>
      </x:c>
      <x:c r="AT50" t="n">
        <x:f>ROUND(AR50*AS50,0)</x:f>
        <x:v>21959</x:v>
      </x:c>
      <x:c r="AU50" t="n">
        <x:f>ROUND(AT50*F50,0)</x:f>
        <x:v>109795</x:v>
      </x:c>
    </x:row>
    <x:row r="51">
      <x:c r="A51" t="n">
        <x:f>IFERROR(XLOOKUP(B51,'_曲线基线'!$G$3:$G$107,'_曲线基线'!$J$3:$J$107,""),"")</x:f>
        <x:v>22</x:v>
      </x:c>
      <x:c r="B51" t="n">
        <x:v>40</x:v>
      </x:c>
      <x:c r="C51" t="n">
        <x:f>C36+1</x:f>
        <x:v>4</x:v>
      </x:c>
      <x:c r="D51" t="n">
        <x:f>D36</x:f>
        <x:v>1</x:v>
      </x:c>
      <x:c r="E51" t="n">
        <x:f>IF($B51&lt;E$8,0,E$3+(E$4-E$3)*(POWER(E$5,$B51-E$8)-1)/(POWER(E$5,$C$5-E$8)-1))</x:f>
        <x:v>1</x:v>
      </x:c>
      <x:c r="F51" t="n">
        <x:f>1+IF(B51&lt;3,0,MIN(1,(B51-2)/4))+IF(B51&lt;7,0,MIN(1,(B51-6)/3))+IF(B51&lt;10,0,MIN(1,(B51-9)/5))+IF(B51&lt;20,0,MIN(1,(B51-19)/10))</x:f>
        <x:v>5</x:v>
      </x:c>
      <x:c r="G51" t="n">
        <x:f>IF($B51&lt;G$8,0,G$3+(G$4-G$3)*(POWER(G$5,$B51-G$8)-1)/(POWER(G$5,$C$5-G$8)-1))</x:f>
        <x:v>0.40691413843993574</x:v>
      </x:c>
      <x:c r="H51" t="n">
        <x:f>IF($B51&lt;H$8,0,H$3+(H$4-H$3)*(POWER(H$5,$B51-H$8)-1)/(POWER(H$5,$C$5-H$8)-1))</x:f>
        <x:v>0.28738266851255007</x:v>
      </x:c>
      <x:c r="I51" t="n">
        <x:f>IF($B51&lt;I$8,0,I$3+(I$4-I$3)*(POWER(I$5,$B51-I$8)-1)/(POWER(I$5,$C$5-I$8)-1))</x:f>
        <x:v>0</x:v>
      </x:c>
      <x:c r="J51" t="n">
        <x:f>IF($B51&lt;J$8,0,J$3+(J$4-J$3)*(POWER(J$5,$B51-J$8)-1)/(POWER(J$5,$C$5-J$8)-1))</x:f>
        <x:v>0.11047837058160906</x:v>
      </x:c>
      <x:c r="K51" t="n">
        <x:f>IF($B51&lt;K$8,0,K$3+(K$4-K$3)*(POWER(K$5,$B51-K$8)-1)/(POWER(K$5,$C$5-K$8)-1))</x:f>
        <x:v>0</x:v>
      </x:c>
      <x:c r="L51" t="n">
        <x:f>IF($B51&lt;L$8,0,L$3+(L$4-L$3)*(POWER(L$5,$B51-L$8)-1)/(POWER(L$5,$C$5-L$8)-1))</x:f>
        <x:v>0.2789210618414416</x:v>
      </x:c>
      <x:c r="M51" t="n">
        <x:f>E51*'模块规划'!$F$10+G51*'模块规划'!$F$11+H51*'模块规划'!$F$13</x:f>
        <x:v>2953.1878645116913</x:v>
      </x:c>
      <x:c r="N51" t="n">
        <x:f>I51*'模块规划'!$F$15+J51*'模块规划'!$F$17+K51*'模块规划'!$F$16+L51*'模块规划'!$F$18</x:f>
        <x:v>2499.3890150232983</x:v>
      </x:c>
      <x:c r="O51" t="n">
        <x:f>1+O$9*SUMPRODUCT($H$10:$L$10,H51:L51)/SUM($H$10:$L$10)</x:f>
        <x:v>1.4779186207402821</x:v>
      </x:c>
      <x:c r="P51" t="n">
        <x:f>M51*O51+N51</x:f>
        <x:v>6863.960350529356</x:v>
      </x:c>
      <x:c r="Q51" t="n">
        <x:f>P51/(P51+'_曲线基线'!$L$2)</x:f>
        <x:v>0.2223940243758002</x:v>
      </x:c>
      <x:c r="R51" t="n">
        <x:f>E51*'模块规划'!$E$10+G51*'模块规划'!$E$11+H51*'模块规划'!$E$13</x:f>
        <x:v>4429.781796767537</x:v>
      </x:c>
      <x:c r="S51" t="n">
        <x:f>I51*'模块规划'!$E$15+J51*'模块规划'!$E$17+K51*'模块规划'!$E$16+L51*'模块规划'!$E$18</x:f>
        <x:v>3749.083522534948</x:v>
      </x:c>
      <x:c r="T51" t="n">
        <x:f>1+T$9*SUMPRODUCT($H$10:$L$10,H51:L51)/SUM($H$10:$L$10)</x:f>
        <x:v>1.4779186207402821</x:v>
      </x:c>
      <x:c r="U51" t="n">
        <x:f>R51*T51+S51</x:f>
        <x:v>10295.940525794036</x:v>
      </x:c>
      <x:c r="V51" t="n">
        <x:f>V$8+(V$9-V$8)*H51</x:f>
        <x:v>0.786214800553765</x:v>
      </x:c>
      <x:c r="W51" t="n">
        <x:f>IF(B51&lt;$H$8,0,W$8+(W$9-W$8)*H51)</x:f>
        <x:v>0.11495306740502004</x:v>
      </x:c>
      <x:c r="X51" t="n">
        <x:f>X$8+(X$9-X$8)*H51</x:f>
        <x:v>0.3540302338409513</x:v>
      </x:c>
      <x:c r="Y51" t="n">
        <x:f>Y$8+(Y$9-Y$8)*G51</x:f>
        <x:v>1</x:v>
      </x:c>
      <x:c r="Z51" t="n">
        <x:f>Z$8+(Z$9-Z$8)*H51</x:f>
        <x:v>1</x:v>
      </x:c>
      <x:c r="AA51" t="n">
        <x:f>AA$8+(AA$9-AA$8)*I51</x:f>
        <x:v>1</x:v>
      </x:c>
      <x:c r="AB51" t="n">
        <x:f>AB$8+(AB$9-AB$8)*J51</x:f>
        <x:v>1</x:v>
      </x:c>
      <x:c r="AC51" t="n">
        <x:f>AC$8+(AC$9-AC$8)*MAX(K51,L51)</x:f>
        <x:v>1</x:v>
      </x:c>
      <x:c r="AD51" t="n">
        <x:f>(V51*AE51+W51*AF51+X51*AG51)*PRODUCT(Y51:AC51)</x:f>
        <x:v>1.286511906952031</x:v>
      </x:c>
      <x:c r="AE51" t="n">
        <x:f>1+AE$9*($H$10*H51+$I$10*I51+$J$10*J51+$K$10*K51+$L$10*L51)</x:f>
        <x:v>1</x:v>
      </x:c>
      <x:c r="AF51" t="n">
        <x:f>1+AF$9*($H$10*H51+$I$10*I51+$J$10*J51+$K$10*K51+$L$10*L51)</x:f>
        <x:v>1.042180671790033</x:v>
      </x:c>
      <x:c r="AG51" t="n">
        <x:f>1+AG$9*($H$10*H51+$I$10*I51+$J$10*J51+$K$10*K51+$L$10*L51)</x:f>
        <x:v>1.0747535238945591</x:v>
      </x:c>
      <x:c r="AH51" t="n">
        <x:f>MIN(1,'_曲线基线'!$L$3+AH$9*($H$10*H51+$I$10*I51+$J$10*J51+$K$10*K51+$L$10*L51))</x:f>
        <x:v>0.14596102832232505</x:v>
      </x:c>
      <x:c r="AI51" t="n">
        <x:f>'_曲线基线'!$L$4+AI$9*($H$10*H51+$I$10*I51+$J$10*J51+$K$10*K51+$L$10*L51)</x:f>
        <x:v>2.2673200074693343</x:v>
      </x:c>
      <x:c r="AJ51" t="n">
        <x:f>1+AJ$9*($H$10*H51+$I$10*I51+$J$10*J51+$K$10*K51+$L$10*L51)</x:f>
        <x:v>1.2193394933081716</x:v>
      </x:c>
      <x:c r="AK51" t="n">
        <x:f>(1+AH51*(AI51-1))*AJ51</x:f>
        <x:v>1.444892097656354</x:v>
      </x:c>
      <x:c r="AL51" t="n">
        <x:f>U51*AD51*AK51*F51</x:f>
        <x:v>95694.12053452534</x:v>
      </x:c>
      <x:c r="AM51" t="n">
        <x:f>IF($B51&lt;AM$8,0,AM$3+(AM$4-AM$3)*(POWER(AM$5,$B51-AM$8)-1)/(POWER(AM$5,$C$5-AM$8)-1))</x:f>
        <x:v>35.63649239555084</x:v>
      </x:c>
      <x:c r="AN51" t="n">
        <x:f>(((E51*'模块规划'!$D$10+G51*'模块规划'!$D$11+H51*'模块规划'!$D$13)*(1+'模块规划'!$G$14*H51)+(I51*'模块规划'!$D$15+J51*'模块规划'!$D$17+K51*'模块规划'!$D$16+L51*'模块规划'!$D$18))*(1+'模块规划'!$J$17*J51))*F51/(1-Q51)</x:f>
        <x:v>226352.9414787054</x:v>
      </x:c>
      <x:c r="AO51" t="n">
        <x:f>AL51*AM51</x:f>
        <x:v>3410202.7987275375</x:v>
      </x:c>
      <x:c r="AP51" t="n">
        <x:f>IF(AO51="","",INDEX('_曲线基线'!$A$3:$A$502,MIN(ROWS('_曲线基线'!$A$3:$A$502),COUNTIF('_曲线基线'!$E$3:$E$502,"&lt;"&amp;AO51)+1)))</x:f>
        <x:v>95</x:v>
      </x:c>
      <x:c r="AQ51" t="n">
        <x:f>IF(B51&lt;=2,1,IF(B51&lt;=6,2,IF(B51&lt;=9,3,IF(B51&lt;=19,4,5))))</x:f>
        <x:v>5</x:v>
      </x:c>
      <x:c r="AR51" t="n">
        <x:f>AN51*(1-Q51)/F51*$AS$3+U51*$AS$4+P51*$AS$5</x:f>
        <x:v>3115.2685045225435</x:v>
      </x:c>
      <x:c r="AS51" t="n">
        <x:f>1+AH51*$AS$6+AI51*$AS$7+(AJ51-1)*$AS$8+($H$10*H51+$I$10*I51+$J$10*J51+$K$10*K51+$L$10*L51)*$AU$3*$AS$9+($H$10*H51+$I$10*I51+$J$10*J51+$K$10*K51+$L$10*L51)*$AU$4*$AS$10</x:f>
        <x:v>7.501923067242793</x:v>
      </x:c>
      <x:c r="AT51" t="n">
        <x:f>ROUND(AR51*AS51,0)</x:f>
        <x:v>23371</x:v>
      </x:c>
      <x:c r="AU51" t="n">
        <x:f>ROUND(AT51*F51,0)</x:f>
        <x:v>116855</x:v>
      </x:c>
    </x:row>
    <x:row r="52">
      <x:c r="A52" t="n">
        <x:f>IFERROR(XLOOKUP(B52,'_曲线基线'!$G$3:$G$107,'_曲线基线'!$J$3:$J$107,""),"")</x:f>
        <x:v>22</x:v>
      </x:c>
      <x:c r="B52" t="n">
        <x:v>41</x:v>
      </x:c>
      <x:c r="C52" t="n">
        <x:f>C37+1</x:f>
        <x:v>4</x:v>
      </x:c>
      <x:c r="D52" t="n">
        <x:f>D37</x:f>
        <x:v>2</x:v>
      </x:c>
      <x:c r="E52" t="n">
        <x:f>IF($B52&lt;E$8,0,E$3+(E$4-E$3)*(POWER(E$5,$B52-E$8)-1)/(POWER(E$5,$C$5-E$8)-1))</x:f>
        <x:v>1</x:v>
      </x:c>
      <x:c r="F52" t="n">
        <x:f>1+IF(B52&lt;3,0,MIN(1,(B52-2)/4))+IF(B52&lt;7,0,MIN(1,(B52-6)/3))+IF(B52&lt;10,0,MIN(1,(B52-9)/5))+IF(B52&lt;20,0,MIN(1,(B52-19)/10))</x:f>
        <x:v>5</x:v>
      </x:c>
      <x:c r="G52" t="n">
        <x:f>IF($B52&lt;G$8,0,G$3+(G$4-G$3)*(POWER(G$5,$B52-G$8)-1)/(POWER(G$5,$C$5-G$8)-1))</x:f>
        <x:v>0.4145156168178326</x:v>
      </x:c>
      <x:c r="H52" t="n">
        <x:f>IF($B52&lt;H$8,0,H$3+(H$4-H$3)*(POWER(H$5,$B52-H$8)-1)/(POWER(H$5,$C$5-H$8)-1))</x:f>
        <x:v>0.29570155738181053</x:v>
      </x:c>
      <x:c r="I52" t="n">
        <x:f>IF($B52&lt;I$8,0,I$3+(I$4-I$3)*(POWER(I$5,$B52-I$8)-1)/(POWER(I$5,$C$5-I$8)-1))</x:f>
        <x:v>0</x:v>
      </x:c>
      <x:c r="J52" t="n">
        <x:f>IF($B52&lt;J$8,0,J$3+(J$4-J$3)*(POWER(J$5,$B52-J$8)-1)/(POWER(J$5,$C$5-J$8)-1))</x:f>
        <x:v>0.12034774766170071</x:v>
      </x:c>
      <x:c r="K52" t="n">
        <x:f>IF($B52&lt;K$8,0,K$3+(K$4-K$3)*(POWER(K$5,$B52-K$8)-1)/(POWER(K$5,$C$5-K$8)-1))</x:f>
        <x:v>0</x:v>
      </x:c>
      <x:c r="L52" t="n">
        <x:f>IF($B52&lt;L$8,0,L$3+(L$4-L$3)*(POWER(L$5,$B52-L$8)-1)/(POWER(L$5,$C$5-L$8)-1))</x:f>
        <x:v>0.2874105474359984</x:v>
      </x:c>
      <x:c r="M52" t="n">
        <x:f>E52*'模块规划'!$F$10+G52*'模块规划'!$F$11+H52*'模块规划'!$F$13</x:f>
        <x:v>2989.6749607255965</x:v>
      </x:c>
      <x:c r="N52" t="n">
        <x:f>I52*'模块规划'!$F$15+J52*'模块规划'!$F$17+K52*'模块规划'!$F$16+L52*'模块规划'!$F$18</x:f>
        <x:v>2640.5302137969993</x:v>
      </x:c>
      <x:c r="O52" t="n">
        <x:f>1+O$9*SUMPRODUCT($H$10:$L$10,H52:L52)/SUM($H$10:$L$10)</x:f>
        <x:v>1.5047621236858526</x:v>
      </x:c>
      <x:c r="P52" t="n">
        <x:f>M52*O52+N52</x:f>
        <x:v>7139.279856828866</x:v>
      </x:c>
      <x:c r="Q52" t="n">
        <x:f>P52/(P52+'_曲线基线'!$L$2)</x:f>
        <x:v>0.2292692666514321</x:v>
      </x:c>
      <x:c r="R52" t="n">
        <x:f>E52*'模块规划'!$E$10+G52*'模块规划'!$E$11+H52*'模块规划'!$E$13</x:f>
        <x:v>4484.512441088395</x:v>
      </x:c>
      <x:c r="S52" t="n">
        <x:f>I52*'模块规划'!$E$15+J52*'模块规划'!$E$17+K52*'模块规划'!$E$16+L52*'模块规划'!$E$18</x:f>
        <x:v>3960.795320695499</x:v>
      </x:c>
      <x:c r="T52" t="n">
        <x:f>1+T$9*SUMPRODUCT($H$10:$L$10,H52:L52)/SUM($H$10:$L$10)</x:f>
        <x:v>1.5047621236858526</x:v>
      </x:c>
      <x:c r="U52" t="n">
        <x:f>R52*T52+S52</x:f>
        <x:v>10708.919785243299</x:v>
      </x:c>
      <x:c r="V52" t="n">
        <x:f>V$8+(V$9-V$8)*H52</x:f>
        <x:v>0.7887104672145431</x:v>
      </x:c>
      <x:c r="W52" t="n">
        <x:f>IF(B52&lt;$H$8,0,W$8+(W$9-W$8)*H52)</x:f>
        <x:v>0.11828062295272422</x:v>
      </x:c>
      <x:c r="X52" t="n">
        <x:f>X$8+(X$9-X$8)*H52</x:f>
        <x:v>0.3563179282799979</x:v>
      </x:c>
      <x:c r="Y52" t="n">
        <x:f>Y$8+(Y$9-Y$8)*G52</x:f>
        <x:v>1</x:v>
      </x:c>
      <x:c r="Z52" t="n">
        <x:f>Z$8+(Z$9-Z$8)*H52</x:f>
        <x:v>1</x:v>
      </x:c>
      <x:c r="AA52" t="n">
        <x:f>AA$8+(AA$9-AA$8)*I52</x:f>
        <x:v>1</x:v>
      </x:c>
      <x:c r="AB52" t="n">
        <x:f>AB$8+(AB$9-AB$8)*J52</x:f>
        <x:v>1</x:v>
      </x:c>
      <x:c r="AC52" t="n">
        <x:f>AC$8+(AC$9-AC$8)*MAX(K52,L52)</x:f>
        <x:v>1</x:v>
      </x:c>
      <x:c r="AD52" t="n">
        <x:f>(V52*AE52+W52*AF52+X52*AG52)*PRODUCT(Y52:AC52)</x:f>
        <x:v>1.2967105030558375</x:v>
      </x:c>
      <x:c r="AE52" t="n">
        <x:f>1+AE$9*($H$10*H52+$I$10*I52+$J$10*J52+$K$10*K52+$L$10*L52)</x:f>
        <x:v>1</x:v>
      </x:c>
      <x:c r="AF52" t="n">
        <x:f>1+AF$9*($H$10*H52+$I$10*I52+$J$10*J52+$K$10*K52+$L$10*L52)</x:f>
        <x:v>1.0445498554508161</x:v>
      </x:c>
      <x:c r="AG52" t="n">
        <x:f>1+AG$9*($H$10*H52+$I$10*I52+$J$10*J52+$K$10*K52+$L$10*L52)</x:f>
        <x:v>1.0789522438267247</x:v>
      </x:c>
      <x:c r="AH52" t="n">
        <x:f>MIN(1,'_曲线基线'!$L$3+AH$9*($H$10*H52+$I$10*I52+$J$10*J52+$K$10*K52+$L$10*L52))</x:f>
        <x:v>0.15135092115060667</x:v>
      </x:c>
      <x:c r="AI52" t="n">
        <x:f>'_曲线基线'!$L$4+AI$9*($H$10*H52+$I$10*I52+$J$10*J52+$K$10*K52+$L$10*L52)</x:f>
        <x:v>2.282334708919547</x:v>
      </x:c>
      <x:c r="AJ52" t="n">
        <x:f>1+AJ$9*($H$10*H52+$I$10*I52+$J$10*J52+$K$10*K52+$L$10*L52)</x:f>
        <x:v>1.231659248344244</x:v>
      </x:c>
      <x:c r="AK52" t="n">
        <x:f>(1+AH52*(AI52-1))*AJ52</x:f>
        <x:v>1.4707028029610136</x:v>
      </x:c>
      <x:c r="AL52" t="n">
        <x:f>U52*AD52*AK52*F52</x:f>
        <x:v>102113.60730543773</x:v>
      </x:c>
      <x:c r="AM52" t="n">
        <x:f>IF($B52&lt;AM$8,0,AM$3+(AM$4-AM$3)*(POWER(AM$5,$B52-AM$8)-1)/(POWER(AM$5,$C$5-AM$8)-1))</x:f>
        <x:v>35.65628195942821</x:v>
      </x:c>
      <x:c r="AN52" t="n">
        <x:f>(((E52*'模块规划'!$D$10+G52*'模块规划'!$D$11+H52*'模块规划'!$D$13)*(1+'模块规划'!$G$14*H52)+(I52*'模块规划'!$D$15+J52*'模块规划'!$D$17+K52*'模块规划'!$D$16+L52*'模块规划'!$D$18))*(1+'模块规划'!$J$17*J52))*F52/(1-Q52)</x:f>
        <x:v>238535.17703659623</x:v>
      </x:c>
      <x:c r="AO52" t="n">
        <x:f>AL52*AM52</x:f>
        <x:v>3640991.5739770164</x:v>
      </x:c>
      <x:c r="AP52" t="n">
        <x:f>IF(AO52="","",INDEX('_曲线基线'!$A$3:$A$502,MIN(ROWS('_曲线基线'!$A$3:$A$502),COUNTIF('_曲线基线'!$E$3:$E$502,"&lt;"&amp;AO52)+1)))</x:f>
        <x:v>97</x:v>
      </x:c>
      <x:c r="AQ52" t="n">
        <x:f>IF(B52&lt;=2,1,IF(B52&lt;=6,2,IF(B52&lt;=9,3,IF(B52&lt;=19,4,5))))</x:f>
        <x:v>5</x:v>
      </x:c>
      <x:c r="AR52" t="n">
        <x:f>AN52*(1-Q52)/F52*$AS$3+U52*$AS$4+P52*$AS$5</x:f>
        <x:v>3244.8623086097377</x:v>
      </x:c>
      <x:c r="AS52" t="n">
        <x:f>1+AH52*$AS$6+AI52*$AS$7+(AJ52-1)*$AS$8+($H$10*H52+$I$10*I52+$J$10*J52+$K$10*K52+$L$10*L52)*$AU$3*$AS$9+($H$10*H52+$I$10*I52+$J$10*J52+$K$10*K52+$L$10*L52)*$AU$4*$AS$10</x:f>
        <x:v>7.64348448295952</x:v>
      </x:c>
      <x:c r="AT52" t="n">
        <x:f>ROUND(AR52*AS52,0)</x:f>
        <x:v>24802</x:v>
      </x:c>
      <x:c r="AU52" t="n">
        <x:f>ROUND(AT52*F52,0)</x:f>
        <x:v>124010</x:v>
      </x:c>
    </x:row>
    <x:row r="53">
      <x:c r="A53" t="n">
        <x:f>IFERROR(XLOOKUP(B53,'_曲线基线'!$G$3:$G$107,'_曲线基线'!$J$3:$J$107,""),"")</x:f>
        <x:v>23</x:v>
      </x:c>
      <x:c r="B53" t="n">
        <x:v>42</x:v>
      </x:c>
      <x:c r="C53" t="n">
        <x:f>C38+1</x:f>
        <x:v>4</x:v>
      </x:c>
      <x:c r="D53" t="n">
        <x:f>D38</x:f>
        <x:v>3</x:v>
      </x:c>
      <x:c r="E53" t="n">
        <x:f>IF($B53&lt;E$8,0,E$3+(E$4-E$3)*(POWER(E$5,$B53-E$8)-1)/(POWER(E$5,$C$5-E$8)-1))</x:f>
        <x:v>1</x:v>
      </x:c>
      <x:c r="F53" t="n">
        <x:f>1+IF(B53&lt;3,0,MIN(1,(B53-2)/4))+IF(B53&lt;7,0,MIN(1,(B53-6)/3))+IF(B53&lt;10,0,MIN(1,(B53-9)/5))+IF(B53&lt;20,0,MIN(1,(B53-19)/10))</x:f>
        <x:v>5</x:v>
      </x:c>
      <x:c r="G53" t="n">
        <x:f>IF($B53&lt;G$8,0,G$3+(G$4-G$3)*(POWER(G$5,$B53-G$8)-1)/(POWER(G$5,$C$5-G$8)-1))</x:f>
        <x:v>0.4220030730200609</x:v>
      </x:c>
      <x:c r="H53" t="n">
        <x:f>IF($B53&lt;H$8,0,H$3+(H$4-H$3)*(POWER(H$5,$B53-H$8)-1)/(POWER(H$5,$C$5-H$8)-1))</x:f>
        <x:v>0.3038540684736857</x:v>
      </x:c>
      <x:c r="I53" t="n">
        <x:f>IF($B53&lt;I$8,0,I$3+(I$4-I$3)*(POWER(I$5,$B53-I$8)-1)/(POWER(I$5,$C$5-I$8)-1))</x:f>
        <x:v>0</x:v>
      </x:c>
      <x:c r="J53" t="n">
        <x:f>IF($B53&lt;J$8,0,J$3+(J$4-J$3)*(POWER(J$5,$B53-J$8)-1)/(POWER(J$5,$C$5-J$8)-1))</x:f>
        <x:v>0.13001973720019067</x:v>
      </x:c>
      <x:c r="K53" t="n">
        <x:f>IF($B53&lt;K$8,0,K$3+(K$4-K$3)*(POWER(K$5,$B53-K$8)-1)/(POWER(K$5,$C$5-K$8)-1))</x:f>
        <x:v>0</x:v>
      </x:c>
      <x:c r="L53" t="n">
        <x:f>IF($B53&lt;L$8,0,L$3+(L$4-L$3)*(POWER(L$5,$B53-L$8)-1)/(POWER(L$5,$C$5-L$8)-1))</x:f>
        <x:v>0.2957302433186642</x:v>
      </x:c>
      <x:c r="M53" t="n">
        <x:f>E53*'模块规划'!$F$10+G53*'模块规划'!$F$11+H53*'模块规划'!$F$13</x:f>
        <x:v>3025.6147504962923</x:v>
      </x:c>
      <x:c r="N53" t="n">
        <x:f>I53*'模块规划'!$F$15+J53*'模块规划'!$F$17+K53*'模块规划'!$F$16+L53*'模块规划'!$F$18</x:f>
        <x:v>2778.8485885952277</x:v>
      </x:c>
      <x:c r="O53" t="n">
        <x:f>1+O$9*SUMPRODUCT($H$10:$L$10,H53:L53)/SUM($H$10:$L$10)</x:f>
        <x:v>1.5310687565725118</x:v>
      </x:c>
      <x:c r="P53" t="n">
        <x:f>M53*O53+N53</x:f>
        <x:v>7411.272802505036</x:v>
      </x:c>
      <x:c r="Q53" t="n">
        <x:f>P53/(P53+'_曲线基线'!$L$2)</x:f>
        <x:v>0.23594309116674794</x:v>
      </x:c>
      <x:c r="R53" t="n">
        <x:f>E53*'模块规划'!$E$10+G53*'模块规划'!$E$11+H53*'模块规划'!$E$13</x:f>
        <x:v>4538.422125744439</x:v>
      </x:c>
      <x:c r="S53" t="n">
        <x:f>I53*'模块规划'!$E$15+J53*'模块规划'!$E$17+K53*'模块规划'!$E$16+L53*'模块规划'!$E$18</x:f>
        <x:v>4168.272882892842</x:v>
      </x:c>
      <x:c r="T53" t="n">
        <x:f>1+T$9*SUMPRODUCT($H$10:$L$10,H53:L53)/SUM($H$10:$L$10)</x:f>
        <x:v>1.5310687565725118</x:v>
      </x:c>
      <x:c r="U53" t="n">
        <x:f>R53*T53+S53</x:f>
        <x:v>11116.909203757556</x:v>
      </x:c>
      <x:c r="V53" t="n">
        <x:f>V$8+(V$9-V$8)*H53</x:f>
        <x:v>0.7911562205421057</x:v>
      </x:c>
      <x:c r="W53" t="n">
        <x:f>IF(B53&lt;$H$8,0,W$8+(W$9-W$8)*H53)</x:f>
        <x:v>0.12154162738947427</x:v>
      </x:c>
      <x:c r="X53" t="n">
        <x:f>X$8+(X$9-X$8)*H53</x:f>
        <x:v>0.3585598688302636</x:v>
      </x:c>
      <x:c r="Y53" t="n">
        <x:f>Y$8+(Y$9-Y$8)*G53</x:f>
        <x:v>1</x:v>
      </x:c>
      <x:c r="Z53" t="n">
        <x:f>Z$8+(Z$9-Z$8)*H53</x:f>
        <x:v>1</x:v>
      </x:c>
      <x:c r="AA53" t="n">
        <x:f>AA$8+(AA$9-AA$8)*I53</x:f>
        <x:v>1</x:v>
      </x:c>
      <x:c r="AB53" t="n">
        <x:f>AB$8+(AB$9-AB$8)*J53</x:f>
        <x:v>1</x:v>
      </x:c>
      <x:c r="AC53" t="n">
        <x:f>AC$8+(AC$9-AC$8)*MAX(K53,L53)</x:f>
        <x:v>1</x:v>
      </x:c>
      <x:c r="AD53" t="n">
        <x:f>(V53*AE53+W53*AF53+X53*AG53)*PRODUCT(Y53:AC53)</x:f>
        <x:v>1.3067390628513986</x:v>
      </x:c>
      <x:c r="AE53" t="n">
        <x:f>1+AE$9*($H$10*H53+$I$10*I53+$J$10*J53+$K$10*K53+$L$10*L53)</x:f>
        <x:v>1</x:v>
      </x:c>
      <x:c r="AF53" t="n">
        <x:f>1+AF$9*($H$10*H53+$I$10*I53+$J$10*J53+$K$10*K53+$L$10*L53)</x:f>
        <x:v>1.0468716554383837</x:v>
      </x:c>
      <x:c r="AG53" t="n">
        <x:f>1+AG$9*($H$10*H53+$I$10*I53+$J$10*J53+$K$10*K53+$L$10*L53)</x:f>
        <x:v>1.0830669893602471</x:v>
      </x:c>
      <x:c r="AH53" t="n">
        <x:f>MIN(1,'_曲线基线'!$L$3+AH$9*($H$10*H53+$I$10*I53+$J$10*J53+$K$10*K53+$L$10*L53))</x:f>
        <x:v>0.15663301612232272</x:v>
      </x:c>
      <x:c r="AI53" t="n">
        <x:f>'_曲线基线'!$L$4+AI$9*($H$10*H53+$I$10*I53+$J$10*J53+$K$10*K53+$L$10*L53)</x:f>
        <x:v>2.297049116340756</x:v>
      </x:c>
      <x:c r="AJ53" t="n">
        <x:f>1+AJ$9*($H$10*H53+$I$10*I53+$J$10*J53+$K$10*K53+$L$10*L53)</x:f>
        <x:v>1.2437326082795948</x:v>
      </x:c>
      <x:c r="AK53" t="n">
        <x:f>(1+AH53*(AI53-1))*AJ53</x:f>
        <x:v>1.4964102144346016</x:v>
      </x:c>
      <x:c r="AL53" t="n">
        <x:f>U53*AD53*AK53*F53</x:f>
        <x:v>108691.00408947706</x:v>
      </x:c>
      <x:c r="AM53" t="n">
        <x:f>IF($B53&lt;AM$8,0,AM$3+(AM$4-AM$3)*(POWER(AM$5,$B53-AM$8)-1)/(POWER(AM$5,$C$5-AM$8)-1))</x:f>
        <x:v>35.676269418944365</x:v>
      </x:c>
      <x:c r="AN53" t="n">
        <x:f>(((E53*'模块规划'!$D$10+G53*'模块规划'!$D$11+H53*'模块规划'!$D$13)*(1+'模块规划'!$G$14*H53)+(I53*'模块规划'!$D$15+J53*'模块规划'!$D$17+K53*'模块规划'!$D$16+L53*'模块规划'!$D$18))*(1+'模块规划'!$J$17*J53))*F53/(1-Q53)</x:f>
        <x:v>250851.85110839002</x:v>
      </x:c>
      <x:c r="AO53" t="n">
        <x:f>AL53*AM53</x:f>
        <x:v>3877689.5453117676</x:v>
      </x:c>
      <x:c r="AP53" t="n">
        <x:f>IF(AO53="","",INDEX('_曲线基线'!$A$3:$A$502,MIN(ROWS('_曲线基线'!$A$3:$A$502),COUNTIF('_曲线基线'!$E$3:$E$502,"&lt;"&amp;AO53)+1)))</x:f>
        <x:v>100</x:v>
      </x:c>
      <x:c r="AQ53" t="n">
        <x:f>IF(B53&lt;=2,1,IF(B53&lt;=6,2,IF(B53&lt;=9,3,IF(B53&lt;=19,4,5))))</x:f>
        <x:v>5</x:v>
      </x:c>
      <x:c r="AR53" t="n">
        <x:f>AN53*(1-Q53)/F53*$AS$3+U53*$AS$4+P53*$AS$5</x:f>
        <x:v>3373.3723803493654</x:v>
      </x:c>
      <x:c r="AS53" t="n">
        <x:f>1+AH53*$AS$6+AI53*$AS$7+(AJ53-1)*$AS$8+($H$10*H53+$I$10*I53+$J$10*J53+$K$10*K53+$L$10*L53)*$AU$3*$AS$9+($H$10*H53+$I$10*I53+$J$10*J53+$K$10*K53+$L$10*L53)*$AU$4*$AS$10</x:f>
        <x:v>7.782214670361912</x:v>
      </x:c>
      <x:c r="AT53" t="n">
        <x:f>ROUND(AR53*AS53,0)</x:f>
        <x:v>26252</x:v>
      </x:c>
      <x:c r="AU53" t="n">
        <x:f>ROUND(AT53*F53,0)</x:f>
        <x:v>131260</x:v>
      </x:c>
    </x:row>
    <x:row r="54">
      <x:c r="A54" t="n">
        <x:f>IFERROR(XLOOKUP(B54,'_曲线基线'!$G$3:$G$107,'_曲线基线'!$J$3:$J$107,""),"")</x:f>
        <x:v>23</x:v>
      </x:c>
      <x:c r="B54" t="n">
        <x:v>43</x:v>
      </x:c>
      <x:c r="C54" t="n">
        <x:f>C39+1</x:f>
        <x:v>4</x:v>
      </x:c>
      <x:c r="D54" t="n">
        <x:f>D39</x:f>
        <x:v>4</x:v>
      </x:c>
      <x:c r="E54" t="n">
        <x:f>IF($B54&lt;E$8,0,E$3+(E$4-E$3)*(POWER(E$5,$B54-E$8)-1)/(POWER(E$5,$C$5-E$8)-1))</x:f>
        <x:v>1</x:v>
      </x:c>
      <x:c r="F54" t="n">
        <x:f>1+IF(B54&lt;3,0,MIN(1,(B54-2)/4))+IF(B54&lt;7,0,MIN(1,(B54-6)/3))+IF(B54&lt;10,0,MIN(1,(B54-9)/5))+IF(B54&lt;20,0,MIN(1,(B54-19)/10))</x:f>
        <x:v>5</x:v>
      </x:c>
      <x:c r="G54" t="n">
        <x:f>IF($B54&lt;G$8,0,G$3+(G$4-G$3)*(POWER(G$5,$B54-G$8)-1)/(POWER(G$5,$C$5-G$8)-1))</x:f>
        <x:v>0.42937821737925586</x:v>
      </x:c>
      <x:c r="H54" t="n">
        <x:f>IF($B54&lt;H$8,0,H$3+(H$4-H$3)*(POWER(H$5,$B54-H$8)-1)/(POWER(H$5,$C$5-H$8)-1))</x:f>
        <x:v>0.3118435293437233</x:v>
      </x:c>
      <x:c r="I54" t="n">
        <x:f>IF($B54&lt;I$8,0,I$3+(I$4-I$3)*(POWER(I$5,$B54-I$8)-1)/(POWER(I$5,$C$5-I$8)-1))</x:f>
        <x:v>0</x:v>
      </x:c>
      <x:c r="J54" t="n">
        <x:f>IF($B54&lt;J$8,0,J$3+(J$4-J$3)*(POWER(J$5,$B54-J$8)-1)/(POWER(J$5,$C$5-J$8)-1))</x:f>
        <x:v>0.13949828694791075</x:v>
      </x:c>
      <x:c r="K54" t="n">
        <x:f>IF($B54&lt;K$8,0,K$3+(K$4-K$3)*(POWER(K$5,$B54-K$8)-1)/(POWER(K$5,$C$5-K$8)-1))</x:f>
        <x:v>0</x:v>
      </x:c>
      <x:c r="L54" t="n">
        <x:f>IF($B54&lt;L$8,0,L$3+(L$4-L$3)*(POWER(L$5,$B54-L$8)-1)/(POWER(L$5,$C$5-L$8)-1))</x:f>
        <x:v>0.30388354528367667</x:v>
      </x:c>
      <x:c r="M54" t="n">
        <x:f>E54*'模块规划'!$F$10+G54*'模块规划'!$F$11+H54*'模块规划'!$F$13</x:f>
        <x:v>3061.0154434204283</x:v>
      </x:c>
      <x:c r="N54" t="n">
        <x:f>I54*'模块规划'!$F$15+J54*'模块规划'!$F$17+K54*'模块规划'!$F$16+L54*'模块规划'!$F$18</x:f>
        <x:v>2914.400595897491</x:v>
      </x:c>
      <x:c r="O54" t="n">
        <x:f>1+O$9*SUMPRODUCT($H$10:$L$10,H54:L54)/SUM($H$10:$L$10)</x:f>
        <x:v>1.5568492568014376</x:v>
      </x:c>
      <x:c r="P54" t="n">
        <x:f>M54*O54+N54</x:f>
        <x:v>7679.940214044307</x:v>
      </x:c>
      <x:c r="Q54" t="n">
        <x:f>P54/(P54+'_曲线基线'!$L$2)</x:f>
        <x:v>0.24242281273749522</x:v>
      </x:c>
      <x:c r="R54" t="n">
        <x:f>E54*'模块规划'!$E$10+G54*'模块规划'!$E$11+H54*'模块规划'!$E$13</x:f>
        <x:v>4591.523165130642</x:v>
      </x:c>
      <x:c r="S54" t="n">
        <x:f>I54*'模块规划'!$E$15+J54*'模块规划'!$E$17+K54*'模块规划'!$E$16+L54*'模块规划'!$E$18</x:f>
        <x:v>4371.600893846236</x:v>
      </x:c>
      <x:c r="T54" t="n">
        <x:f>1+T$9*SUMPRODUCT($H$10:$L$10,H54:L54)/SUM($H$10:$L$10)</x:f>
        <x:v>1.5568492568014376</x:v>
      </x:c>
      <x:c r="U54" t="n">
        <x:f>R54*T54+S54</x:f>
        <x:v>11519.910321066462</x:v>
      </x:c>
      <x:c r="V54" t="n">
        <x:f>V$8+(V$9-V$8)*H54</x:f>
        <x:v>0.793553058803117</x:v>
      </x:c>
      <x:c r="W54" t="n">
        <x:f>IF(B54&lt;$H$8,0,W$8+(W$9-W$8)*H54)</x:f>
        <x:v>0.12473741173748931</x:v>
      </x:c>
      <x:c r="X54" t="n">
        <x:f>X$8+(X$9-X$8)*H54</x:f>
        <x:v>0.36075697056952394</x:v>
      </x:c>
      <x:c r="Y54" t="n">
        <x:f>Y$8+(Y$9-Y$8)*G54</x:f>
        <x:v>1</x:v>
      </x:c>
      <x:c r="Z54" t="n">
        <x:f>Z$8+(Z$9-Z$8)*H54</x:f>
        <x:v>1</x:v>
      </x:c>
      <x:c r="AA54" t="n">
        <x:f>AA$8+(AA$9-AA$8)*I54</x:f>
        <x:v>1</x:v>
      </x:c>
      <x:c r="AB54" t="n">
        <x:f>AB$8+(AB$9-AB$8)*J54</x:f>
        <x:v>1</x:v>
      </x:c>
      <x:c r="AC54" t="n">
        <x:f>AC$8+(AC$9-AC$8)*MAX(K54,L54)</x:f>
        <x:v>1</x:v>
      </x:c>
      <x:c r="AD54" t="n">
        <x:f>(V54*AE54+W54*AF54+X54*AG54)*PRODUCT(Y54:AC54)</x:f>
        <x:v>1.3165996432145715</x:v>
      </x:c>
      <x:c r="AE54" t="n">
        <x:f>1+AE$9*($H$10*H54+$I$10*I54+$J$10*J54+$K$10*K54+$L$10*L54)</x:f>
        <x:v>1</x:v>
      </x:c>
      <x:c r="AF54" t="n">
        <x:f>1+AF$9*($H$10*H54+$I$10*I54+$J$10*J54+$K$10*K54+$L$10*L54)</x:f>
        <x:v>1.0491470194261998</x:v>
      </x:c>
      <x:c r="AG54" t="n">
        <x:f>1+AG$9*($H$10*H54+$I$10*I54+$J$10*J54+$K$10*K54+$L$10*L54)</x:f>
        <x:v>1.087099439983099</x:v>
      </x:c>
      <x:c r="AH54" t="n">
        <x:f>MIN(1,'_曲线基线'!$L$3+AH$9*($H$10*H54+$I$10*I54+$J$10*J54+$K$10*K54+$L$10*L54))</x:f>
        <x:v>0.16180946919460445</x:v>
      </x:c>
      <x:c r="AI54" t="n">
        <x:f>'_曲线基线'!$L$4+AI$9*($H$10*H54+$I$10*I54+$J$10*J54+$K$10*K54+$L$10*L54)</x:f>
        <x:v>2.311469235613541</x:v>
      </x:c>
      <x:c r="AJ54" t="n">
        <x:f>1+AJ$9*($H$10*H54+$I$10*I54+$J$10*J54+$K$10*K54+$L$10*L54)</x:f>
        <x:v>1.2555645010162388</x:v>
      </x:c>
      <x:c r="AK54" t="n">
        <x:f>(1+AH54*(AI54-1))*AJ54</x:f>
        <x:v>1.5220055095314189</x:v>
      </x:c>
      <x:c r="AL54" t="n">
        <x:f>U54*AD54*AK54*F54</x:f>
        <x:v>115422.12353773392</x:v>
      </x:c>
      <x:c r="AM54" t="n">
        <x:f>IF($B54&lt;AM$8,0,AM$3+(AM$4-AM$3)*(POWER(AM$5,$B54-AM$8)-1)/(POWER(AM$5,$C$5-AM$8)-1))</x:f>
        <x:v>35.69645675305568</x:v>
      </x:c>
      <x:c r="AN54" t="n">
        <x:f>(((E54*'模块规划'!$D$10+G54*'模块规划'!$D$11+H54*'模块规划'!$D$13)*(1+'模块规划'!$G$14*H54)+(I54*'模块规划'!$D$15+J54*'模块规划'!$D$17+K54*'模块规划'!$D$16+L54*'模块规划'!$D$18))*(1+'模块规划'!$J$17*J54))*F54/(1-Q54)</x:f>
        <x:v>263293.382159158</x:v>
      </x:c>
      <x:c r="AO54" t="n">
        <x:f>AL54*AM54</x:f>
        <x:v>4120160.841210569</x:v>
      </x:c>
      <x:c r="AP54" t="n">
        <x:f>IF(AO54="","",INDEX('_曲线基线'!$A$3:$A$502,MIN(ROWS('_曲线基线'!$A$3:$A$502),COUNTIF('_曲线基线'!$E$3:$E$502,"&lt;"&amp;AO54)+1)))</x:f>
        <x:v>102</x:v>
      </x:c>
      <x:c r="AQ54" t="n">
        <x:f>IF(B54&lt;=2,1,IF(B54&lt;=6,2,IF(B54&lt;=9,3,IF(B54&lt;=19,4,5))))</x:f>
        <x:v>5</x:v>
      </x:c>
      <x:c r="AR54" t="n">
        <x:f>AN54*(1-Q54)/F54*$AS$3+U54*$AS$4+P54*$AS$5</x:f>
        <x:v>3500.772423499092</x:v>
      </x:c>
      <x:c r="AS54" t="n">
        <x:f>1+AH54*$AS$6+AI54*$AS$7+(AJ54-1)*$AS$8+($H$10*H54+$I$10*I54+$J$10*J54+$K$10*K54+$L$10*L54)*$AU$3*$AS$9+($H$10*H54+$I$10*I54+$J$10*J54+$K$10*K54+$L$10*L54)*$AU$4*$AS$10</x:f>
        <x:v>7.918170254016259</x:v>
      </x:c>
      <x:c r="AT54" t="n">
        <x:f>ROUND(AR54*AS54,0)</x:f>
        <x:v>27720</x:v>
      </x:c>
      <x:c r="AU54" t="n">
        <x:f>ROUND(AT54*F54,0)</x:f>
        <x:v>138600</x:v>
      </x:c>
    </x:row>
    <x:row r="55">
      <x:c r="A55" t="n">
        <x:f>IFERROR(XLOOKUP(B55,'_曲线基线'!$G$3:$G$107,'_曲线基线'!$J$3:$J$107,""),"")</x:f>
        <x:v>23</x:v>
      </x:c>
      <x:c r="B55" t="n">
        <x:v>44</x:v>
      </x:c>
      <x:c r="C55" t="n">
        <x:f>C40+1</x:f>
        <x:v>4</x:v>
      </x:c>
      <x:c r="D55" t="n">
        <x:f>D40</x:f>
        <x:v>5</x:v>
      </x:c>
      <x:c r="E55" t="n">
        <x:f>IF($B55&lt;E$8,0,E$3+(E$4-E$3)*(POWER(E$5,$B55-E$8)-1)/(POWER(E$5,$C$5-E$8)-1))</x:f>
        <x:v>1</x:v>
      </x:c>
      <x:c r="F55" t="n">
        <x:f>1+IF(B55&lt;3,0,MIN(1,(B55-2)/4))+IF(B55&lt;7,0,MIN(1,(B55-6)/3))+IF(B55&lt;10,0,MIN(1,(B55-9)/5))+IF(B55&lt;20,0,MIN(1,(B55-19)/10))</x:f>
        <x:v>5</x:v>
      </x:c>
      <x:c r="G55" t="n">
        <x:f>IF($B55&lt;G$8,0,G$3+(G$4-G$3)*(POWER(G$5,$B55-G$8)-1)/(POWER(G$5,$C$5-G$8)-1))</x:f>
        <x:v>0.4366427345730629</x:v>
      </x:c>
      <x:c r="H55" t="n">
        <x:f>IF($B55&lt;H$8,0,H$3+(H$4-H$3)*(POWER(H$5,$B55-H$8)-1)/(POWER(H$5,$C$5-H$8)-1))</x:f>
        <x:v>0.31967320099636015</x:v>
      </x:c>
      <x:c r="I55" t="n">
        <x:f>IF($B55&lt;I$8,0,I$3+(I$4-I$3)*(POWER(I$5,$B55-I$8)-1)/(POWER(I$5,$C$5-I$8)-1))</x:f>
        <x:v>0</x:v>
      </x:c>
      <x:c r="J55" t="n">
        <x:f>IF($B55&lt;J$8,0,J$3+(J$4-J$3)*(POWER(J$5,$B55-J$8)-1)/(POWER(J$5,$C$5-J$8)-1))</x:f>
        <x:v>0.14878726570067644</x:v>
      </x:c>
      <x:c r="K55" t="n">
        <x:f>IF($B55&lt;K$8,0,K$3+(K$4-K$3)*(POWER(K$5,$B55-K$8)-1)/(POWER(K$5,$C$5-K$8)-1))</x:f>
        <x:v>0</x:v>
      </x:c>
      <x:c r="L55" t="n">
        <x:f>IF($B55&lt;L$8,0,L$3+(L$4-L$3)*(POWER(L$5,$B55-L$8)-1)/(POWER(L$5,$C$5-L$8)-1))</x:f>
        <x:v>0.3118737812093888</x:v>
      </x:c>
      <x:c r="M55" t="n">
        <x:f>E55*'模块规划'!$F$10+G55*'模块规划'!$F$11+H55*'模块规划'!$F$13</x:f>
        <x:v>3095.885125950702</x:v>
      </x:c>
      <x:c r="N55" t="n">
        <x:f>I55*'模块规划'!$F$15+J55*'模块规划'!$F$17+K55*'模块规划'!$F$16+L55*'模块规划'!$F$18</x:f>
        <x:v>3047.241563053708</x:v>
      </x:c>
      <x:c r="O55" t="n">
        <x:f>1+O$9*SUMPRODUCT($H$10:$L$10,H55:L55)/SUM($H$10:$L$10)</x:f>
        <x:v>1.5821141470257851</x:v>
      </x:c>
      <x:c r="P55" t="n">
        <x:f>M55*O55+N55</x:f>
        <x:v>7945.285218387018</x:v>
      </x:c>
      <x:c r="Q55" t="n">
        <x:f>P55/(P55+'_曲线基线'!$L$2)</x:f>
        <x:v>0.24871542589370535</x:v>
      </x:c>
      <x:c r="R55" t="n">
        <x:f>E55*'模块规划'!$E$10+G55*'模块规划'!$E$11+H55*'模块规划'!$E$13</x:f>
        <x:v>4643.827688926052</x:v>
      </x:c>
      <x:c r="S55" t="n">
        <x:f>I55*'模块规划'!$E$15+J55*'模块规划'!$E$17+K55*'模块规划'!$E$16+L55*'模块规划'!$E$18</x:f>
        <x:v>4570.862344580562</x:v>
      </x:c>
      <x:c r="T55" t="n">
        <x:f>1+T$9*SUMPRODUCT($H$10:$L$10,H55:L55)/SUM($H$10:$L$10)</x:f>
        <x:v>1.5821141470257851</x:v>
      </x:c>
      <x:c r="U55" t="n">
        <x:f>R55*T55+S55</x:f>
        <x:v>11917.927827580526</x:v>
      </x:c>
      <x:c r="V55" t="n">
        <x:f>V$8+(V$9-V$8)*H55</x:f>
        <x:v>0.795901960298908</x:v>
      </x:c>
      <x:c r="W55" t="n">
        <x:f>IF(B55&lt;$H$8,0,W$8+(W$9-W$8)*H55)</x:f>
        <x:v>0.12786928039854406</x:v>
      </x:c>
      <x:c r="X55" t="n">
        <x:f>X$8+(X$9-X$8)*H55</x:f>
        <x:v>0.3629101302739991</x:v>
      </x:c>
      <x:c r="Y55" t="n">
        <x:f>Y$8+(Y$9-Y$8)*G55</x:f>
        <x:v>1</x:v>
      </x:c>
      <x:c r="Z55" t="n">
        <x:f>Z$8+(Z$9-Z$8)*H55</x:f>
        <x:v>1</x:v>
      </x:c>
      <x:c r="AA55" t="n">
        <x:f>AA$8+(AA$9-AA$8)*I55</x:f>
        <x:v>1</x:v>
      </x:c>
      <x:c r="AB55" t="n">
        <x:f>AB$8+(AB$9-AB$8)*J55</x:f>
        <x:v>1</x:v>
      </x:c>
      <x:c r="AC55" t="n">
        <x:f>AC$8+(AC$9-AC$8)*MAX(K55,L55)</x:f>
        <x:v>1</x:v>
      </x:c>
      <x:c r="AD55" t="n">
        <x:f>(V55*AE55+W55*AF55+X55*AG55)*PRODUCT(Y55:AC55)</x:f>
        <x:v>1.3262943131001683</x:v>
      </x:c>
      <x:c r="AE55" t="n">
        <x:f>1+AE$9*($H$10*H55+$I$10*I55+$J$10*J55+$K$10*K55+$L$10*L55)</x:f>
        <x:v>1</x:v>
      </x:c>
      <x:c r="AF55" t="n">
        <x:f>1+AF$9*($H$10*H55+$I$10*I55+$J$10*J55+$K$10*K55+$L$10*L55)</x:f>
        <x:v>1.0513768761342597</x:v>
      </x:c>
      <x:c r="AG55" t="n">
        <x:f>1+AG$9*($H$10*H55+$I$10*I55+$J$10*J55+$K$10*K55+$L$10*L55)</x:f>
        <x:v>1.091051241593494</x:v>
      </x:c>
      <x:c r="AH55" t="n">
        <x:f>MIN(1,'_曲线基线'!$L$3+AH$9*($H$10*H55+$I$10*I55+$J$10*J55+$K$10*K55+$L$10*L55))</x:f>
        <x:v>0.16688239320544052</x:v>
      </x:c>
      <x:c r="AI55" t="n">
        <x:f>'_曲线基线'!$L$4+AI$9*($H$10*H55+$I$10*I55+$J$10*J55+$K$10*K55+$L$10*L55)</x:f>
        <x:v>2.32560095250087</x:v>
      </x:c>
      <x:c r="AJ55" t="n">
        <x:f>1+AJ$9*($H$10*H55+$I$10*I55+$J$10*J55+$K$10*K55+$L$10*L55)</x:f>
        <x:v>1.2671597558981498</x:v>
      </x:c>
      <x:c r="AK55" t="n">
        <x:f>(1+AH55*(AI55-1))*AJ55</x:f>
        <x:v>1.5474801520571273</x:v>
      </x:c>
      <x:c r="AL55" t="n">
        <x:f>U55*AD55*AK55*F55</x:f>
        <x:v>122302.61708868259</x:v>
      </x:c>
      <x:c r="AM55" t="n">
        <x:f>IF($B55&lt;AM$8,0,AM$3+(AM$4-AM$3)*(POWER(AM$5,$B55-AM$8)-1)/(POWER(AM$5,$C$5-AM$8)-1))</x:f>
        <x:v>35.7168459605081</x:v>
      </x:c>
      <x:c r="AN55" t="n">
        <x:f>(((E55*'模块规划'!$D$10+G55*'模块规划'!$D$11+H55*'模块规划'!$D$13)*(1+'模块规划'!$G$14*H55)+(I55*'模块规划'!$D$15+J55*'模块规划'!$D$17+K55*'模块规划'!$D$16+L55*'模块规划'!$D$18))*(1+'模块规划'!$J$17*J55))*F55/(1-Q55)</x:f>
        <x:v>275850.34747723455</x:v>
      </x:c>
      <x:c r="AO55" t="n">
        <x:f>AL55*AM55</x:f>
        <x:v>4368263.735123482</x:v>
      </x:c>
      <x:c r="AP55" t="n">
        <x:f>IF(AO55="","",INDEX('_曲线基线'!$A$3:$A$502,MIN(ROWS('_曲线基线'!$A$3:$A$502),COUNTIF('_曲线基线'!$E$3:$E$502,"&lt;"&amp;AO55)+1)))</x:f>
        <x:v>105</x:v>
      </x:c>
      <x:c r="AQ55" t="n">
        <x:f>IF(B55&lt;=2,1,IF(B55&lt;=6,2,IF(B55&lt;=9,3,IF(B55&lt;=19,4,5))))</x:f>
        <x:v>5</x:v>
      </x:c>
      <x:c r="AR55" t="n">
        <x:f>AN55*(1-Q55)/F55*$AS$3+U55*$AS$4+P55*$AS$5</x:f>
        <x:v>3627.0382304451505</x:v>
      </x:c>
      <x:c r="AS55" t="n">
        <x:f>1+AH55*$AS$6+AI55*$AS$7+(AJ55-1)*$AS$8+($H$10*H55+$I$10*I55+$J$10*J55+$K$10*K55+$L$10*L55)*$AU$3*$AS$9+($H$10*H55+$I$10*I55+$J$10*J55+$K$10*K55+$L$10*L55)*$AU$4*$AS$10</x:f>
        <x:v>8.051406725997516</x:v>
      </x:c>
      <x:c r="AT55" t="n">
        <x:f>ROUND(AR55*AS55,0)</x:f>
        <x:v>29203</x:v>
      </x:c>
      <x:c r="AU55" t="n">
        <x:f>ROUND(AT55*F55,0)</x:f>
        <x:v>146015</x:v>
      </x:c>
    </x:row>
    <x:row r="56">
      <x:c r="A56" t="n">
        <x:f>IFERROR(XLOOKUP(B56,'_曲线基线'!$G$3:$G$107,'_曲线基线'!$J$3:$J$107,""),"")</x:f>
        <x:v>24</x:v>
      </x:c>
      <x:c r="B56" t="n">
        <x:v>45</x:v>
      </x:c>
      <x:c r="C56" t="n">
        <x:f>C41+1</x:f>
        <x:v>4</x:v>
      </x:c>
      <x:c r="D56" t="n">
        <x:f>D41</x:f>
        <x:v>6</x:v>
      </x:c>
      <x:c r="E56" t="n">
        <x:f>IF($B56&lt;E$8,0,E$3+(E$4-E$3)*(POWER(E$5,$B56-E$8)-1)/(POWER(E$5,$C$5-E$8)-1))</x:f>
        <x:v>1</x:v>
      </x:c>
      <x:c r="F56" t="n">
        <x:f>1+IF(B56&lt;3,0,MIN(1,(B56-2)/4))+IF(B56&lt;7,0,MIN(1,(B56-6)/3))+IF(B56&lt;10,0,MIN(1,(B56-9)/5))+IF(B56&lt;20,0,MIN(1,(B56-19)/10))</x:f>
        <x:v>5</x:v>
      </x:c>
      <x:c r="G56" t="n">
        <x:f>IF($B56&lt;G$8,0,G$3+(G$4-G$3)*(POWER(G$5,$B56-G$8)-1)/(POWER(G$5,$C$5-G$8)-1))</x:f>
        <x:v>0.44379828400896276</x:v>
      </x:c>
      <x:c r="H56" t="n">
        <x:f>IF($B56&lt;H$8,0,H$3+(H$4-H$3)*(POWER(H$5,$B56-H$8)-1)/(POWER(H$5,$C$5-H$8)-1))</x:f>
        <x:v>0.32734627921594434</x:v>
      </x:c>
      <x:c r="I56" t="n">
        <x:f>IF($B56&lt;I$8,0,I$3+(I$4-I$3)*(POWER(I$5,$B56-I$8)-1)/(POWER(I$5,$C$5-I$8)-1))</x:f>
        <x:v>0</x:v>
      </x:c>
      <x:c r="J56" t="n">
        <x:f>IF($B56&lt;J$8,0,J$3+(J$4-J$3)*(POWER(J$5,$B56-J$8)-1)/(POWER(J$5,$C$5-J$8)-1))</x:f>
        <x:v>0.15789046487838676</x:v>
      </x:c>
      <x:c r="K56" t="n">
        <x:f>IF($B56&lt;K$8,0,K$3+(K$4-K$3)*(POWER(K$5,$B56-K$8)-1)/(POWER(K$5,$C$5-K$8)-1))</x:f>
        <x:v>0</x:v>
      </x:c>
      <x:c r="L56" t="n">
        <x:f>IF($B56&lt;L$8,0,L$3+(L$4-L$3)*(POWER(L$5,$B56-L$8)-1)/(POWER(L$5,$C$5-L$8)-1))</x:f>
        <x:v>0.3197042124165867</x:v>
      </x:c>
      <x:c r="M56" t="n">
        <x:f>E56*'模块规划'!$F$10+G56*'模块规划'!$F$11+H56*'模块规划'!$F$13</x:f>
        <x:v>3130.2317632430213</x:v>
      </x:c>
      <x:c r="N56" t="n">
        <x:f>I56*'模块规划'!$F$15+J56*'模块规划'!$F$17+K56*'模块规划'!$F$16+L56*'模块规划'!$F$18</x:f>
        <x:v>3177.4257108668007</x:v>
      </x:c>
      <x:c r="O56" t="n">
        <x:f>1+O$9*SUMPRODUCT($H$10:$L$10,H56:L56)/SUM($H$10:$L$10)</x:f>
        <x:v>1.6068737394456454</x:v>
      </x:c>
      <x:c r="P56" t="n">
        <x:f>M56*O56+N56</x:f>
        <x:v>8207.31292960065</x:v>
      </x:c>
      <x:c r="Q56" t="n">
        <x:f>P56/(P56+'_曲线基线'!$L$2)</x:f>
        <x:v>0.25482762090523814</x:v>
      </x:c>
      <x:c r="R56" t="n">
        <x:f>E56*'模块规划'!$E$10+G56*'模块规划'!$E$11+H56*'模块规划'!$E$13</x:f>
        <x:v>4695.347644864532</x:v>
      </x:c>
      <x:c r="S56" t="n">
        <x:f>I56*'模块规划'!$E$15+J56*'模块规划'!$E$17+K56*'模块规划'!$E$16+L56*'模块规划'!$E$18</x:f>
        <x:v>4766.138566300202</x:v>
      </x:c>
      <x:c r="T56" t="n">
        <x:f>1+T$9*SUMPRODUCT($H$10:$L$10,H56:L56)/SUM($H$10:$L$10)</x:f>
        <x:v>1.6068737394456454</x:v>
      </x:c>
      <x:c r="U56" t="n">
        <x:f>R56*T56+S56</x:f>
        <x:v>12310.969394400978</x:v>
      </x:c>
      <x:c r="V56" t="n">
        <x:f>V$8+(V$9-V$8)*H56</x:f>
        <x:v>0.7982038837647832</x:v>
      </x:c>
      <x:c r="W56" t="n">
        <x:f>IF(B56&lt;$H$8,0,W$8+(W$9-W$8)*H56)</x:f>
        <x:v>0.13093851168637774</x:v>
      </x:c>
      <x:c r="X56" t="n">
        <x:f>X$8+(X$9-X$8)*H56</x:f>
        <x:v>0.3650202267843847</x:v>
      </x:c>
      <x:c r="Y56" t="n">
        <x:f>Y$8+(Y$9-Y$8)*G56</x:f>
        <x:v>1</x:v>
      </x:c>
      <x:c r="Z56" t="n">
        <x:f>Z$8+(Z$9-Z$8)*H56</x:f>
        <x:v>1</x:v>
      </x:c>
      <x:c r="AA56" t="n">
        <x:f>AA$8+(AA$9-AA$8)*I56</x:f>
        <x:v>1</x:v>
      </x:c>
      <x:c r="AB56" t="n">
        <x:f>AB$8+(AB$9-AB$8)*J56</x:f>
        <x:v>1</x:v>
      </x:c>
      <x:c r="AC56" t="n">
        <x:f>AC$8+(AC$9-AC$8)*MAX(K56,L56)</x:f>
        <x:v>1</x:v>
      </x:c>
      <x:c r="AD56" t="n">
        <x:f>(V56*AE56+W56*AF56+X56*AG56)*PRODUCT(Y56:AC56)</x:f>
        <x:v>1.3358251511930053</x:v>
      </x:c>
      <x:c r="AE56" t="n">
        <x:f>1+AE$9*($H$10*H56+$I$10*I56+$J$10*J56+$K$10*K56+$L$10*L56)</x:f>
        <x:v>1</x:v>
      </x:c>
      <x:c r="AF56" t="n">
        <x:f>1+AF$9*($H$10*H56+$I$10*I56+$J$10*J56+$K$10*K56+$L$10*L56)</x:f>
        <x:v>1.0535621357081582</x:v>
      </x:c>
      <x:c r="AG56" t="n">
        <x:f>1+AG$9*($H$10*H56+$I$10*I56+$J$10*J56+$K$10*K56+$L$10*L56)</x:f>
        <x:v>1.094924007171681</x:v>
      </x:c>
      <x:c r="AH56" t="n">
        <x:f>MIN(1,'_曲线基线'!$L$3+AH$9*($H$10*H56+$I$10*I56+$J$10*J56+$K$10*K56+$L$10*L56))</x:f>
        <x:v>0.1718538587360598</x:v>
      </x:c>
      <x:c r="AI56" t="n">
        <x:f>'_曲线基线'!$L$4+AI$9*($H$10*H56+$I$10*I56+$J$10*J56+$K$10*K56+$L$10*L56)</x:f>
        <x:v>2.3394500350504526</x:v>
      </x:c>
      <x:c r="AJ56" t="n">
        <x:f>1+AJ$9*($H$10*H56+$I$10*I56+$J$10*J56+$K$10*K56+$L$10*L56)</x:f>
        <x:v>1.2785231056824224</x:v>
      </x:c>
      <x:c r="AK56" t="n">
        <x:f>(1+AH56*(AI56-1))*AJ56</x:f>
        <x:v>1.5728259009835657</x:v>
      </x:c>
      <x:c r="AL56" t="n">
        <x:f>U56*AD56*AK56*F56</x:f>
        <x:v>129327.9890212662</x:v>
      </x:c>
      <x:c r="AM56" t="n">
        <x:f>IF($B56&lt;AM$8,0,AM$3+(AM$4-AM$3)*(POWER(AM$5,$B56-AM$8)-1)/(POWER(AM$5,$C$5-AM$8)-1))</x:f>
        <x:v>35.73743906003505</x:v>
      </x:c>
      <x:c r="AN56" t="n">
        <x:f>(((E56*'模块规划'!$D$10+G56*'模块规划'!$D$11+H56*'模块规划'!$D$13)*(1+'模块规划'!$G$14*H56)+(I56*'模块规划'!$D$15+J56*'模块规划'!$D$17+K56*'模块规划'!$D$16+L56*'模块规划'!$D$18))*(1+'模块规划'!$J$17*J56))*F56/(1-Q56)</x:f>
        <x:v>288513.49211180594</x:v>
      </x:c>
      <x:c r="AO56" t="n">
        <x:f>AL56*AM56</x:f>
        <x:v>4621851.126404383</x:v>
      </x:c>
      <x:c r="AP56" t="n">
        <x:f>IF(AO56="","",INDEX('_曲线基线'!$A$3:$A$502,MIN(ROWS('_曲线基线'!$A$3:$A$502),COUNTIF('_曲线基线'!$E$3:$E$502,"&lt;"&amp;AO56)+1)))</x:f>
        <x:v>107</x:v>
      </x:c>
      <x:c r="AQ56" t="n">
        <x:f>IF(B56&lt;=2,1,IF(B56&lt;=6,2,IF(B56&lt;=9,3,IF(B56&lt;=19,4,5))))</x:f>
        <x:v>5</x:v>
      </x:c>
      <x:c r="AR56" t="n">
        <x:f>AN56*(1-Q56)/F56*$AS$3+U56*$AS$4+P56*$AS$5</x:f>
        <x:v>3752.1475907875483</x:v>
      </x:c>
      <x:c r="AS56" t="n">
        <x:f>1+AH56*$AS$6+AI56*$AS$7+(AJ56-1)*$AS$8+($H$10*H56+$I$10*I56+$J$10*J56+$K$10*K56+$L$10*L56)*$AU$3*$AS$9+($H$10*H56+$I$10*I56+$J$10*J56+$K$10*K56+$L$10*L56)*$AU$4*$AS$10</x:f>
        <x:v>8.181978468539148</x:v>
      </x:c>
      <x:c r="AT56" t="n">
        <x:f>ROUND(AR56*AS56,0)</x:f>
        <x:v>30700</x:v>
      </x:c>
      <x:c r="AU56" t="n">
        <x:f>ROUND(AT56*F56,0)</x:f>
        <x:v>153500</x:v>
      </x:c>
    </x:row>
    <x:row r="57">
      <x:c r="A57" t="n">
        <x:f>IFERROR(XLOOKUP(B57,'_曲线基线'!$G$3:$G$107,'_曲线基线'!$J$3:$J$107,""),"")</x:f>
        <x:v>24</x:v>
      </x:c>
      <x:c r="B57" t="n">
        <x:v>46</x:v>
      </x:c>
      <x:c r="C57" t="n">
        <x:f>C42+1</x:f>
        <x:v>4</x:v>
      </x:c>
      <x:c r="D57" t="n">
        <x:f>D42</x:f>
        <x:v>7</x:v>
      </x:c>
      <x:c r="E57" t="n">
        <x:f>IF($B57&lt;E$8,0,E$3+(E$4-E$3)*(POWER(E$5,$B57-E$8)-1)/(POWER(E$5,$C$5-E$8)-1))</x:f>
        <x:v>1</x:v>
      </x:c>
      <x:c r="F57" t="n">
        <x:f>1+IF(B57&lt;3,0,MIN(1,(B57-2)/4))+IF(B57&lt;7,0,MIN(1,(B57-6)/3))+IF(B57&lt;10,0,MIN(1,(B57-9)/5))+IF(B57&lt;20,0,MIN(1,(B57-19)/10))</x:f>
        <x:v>5</x:v>
      </x:c>
      <x:c r="G57" t="n">
        <x:f>IF($B57&lt;G$8,0,G$3+(G$4-G$3)*(POWER(G$5,$B57-G$8)-1)/(POWER(G$5,$C$5-G$8)-1))</x:f>
        <x:v>0.4508465002033241</x:v>
      </x:c>
      <x:c r="H57" t="n">
        <x:f>IF($B57&lt;H$8,0,H$3+(H$4-H$3)*(POWER(H$5,$B57-H$8)-1)/(POWER(H$5,$C$5-H$8)-1))</x:f>
        <x:v>0.3348658958711368</x:v>
      </x:c>
      <x:c r="I57" t="n">
        <x:f>IF($B57&lt;I$8,0,I$3+(I$4-I$3)*(POWER(I$5,$B57-I$8)-1)/(POWER(I$5,$C$5-I$8)-1))</x:f>
        <x:v>0</x:v>
      </x:c>
      <x:c r="J57" t="n">
        <x:f>IF($B57&lt;J$8,0,J$3+(J$4-J$3)*(POWER(J$5,$B57-J$8)-1)/(POWER(J$5,$C$5-J$8)-1))</x:f>
        <x:v>0.16681160007254298</x:v>
      </x:c>
      <x:c r="K57" t="n">
        <x:f>IF($B57&lt;K$8,0,K$3+(K$4-K$3)*(POWER(K$5,$B57-K$8)-1)/(POWER(K$5,$C$5-K$8)-1))</x:f>
        <x:v>0</x:v>
      </x:c>
      <x:c r="L57" t="n">
        <x:f>IF($B57&lt;L$8,0,L$3+(L$4-L$3)*(POWER(L$5,$B57-L$8)-1)/(POWER(L$5,$C$5-L$8)-1))</x:f>
        <x:v>0.32737803499964063</x:v>
      </x:c>
      <x:c r="M57" t="n">
        <x:f>E57*'模块规划'!$F$10+G57*'模块规划'!$F$11+H57*'模块规划'!$F$13</x:f>
        <x:v>3164.0632009759556</x:v>
      </x:c>
      <x:c r="N57" t="n">
        <x:f>I57*'模块规划'!$F$15+J57*'模块规划'!$F$17+K57*'模块规划'!$F$16+L57*'模块规划'!$F$18</x:f>
        <x:v>3305.0061757236326</x:v>
      </x:c>
      <x:c r="O57" t="n">
        <x:f>1+O$9*SUMPRODUCT($H$10:$L$10,H57:L57)/SUM($H$10:$L$10)</x:f>
        <x:v>1.6311381400171086</x:v>
      </x:c>
      <x:c r="P57" t="n">
        <x:f>M57*O57+N57</x:f>
        <x:v>8466.030340260131</x:v>
      </x:c>
      <x:c r="Q57" t="n">
        <x:f>P57/(P57+'_曲线基线'!$L$2)</x:f>
        <x:v>0.26076579894529534</x:v>
      </x:c>
      <x:c r="R57" t="n">
        <x:f>E57*'模块规划'!$E$10+G57*'模块规划'!$E$11+H57*'模块规划'!$E$13</x:f>
        <x:v>4746.094801463933</x:v>
      </x:c>
      <x:c r="S57" t="n">
        <x:f>I57*'模块规划'!$E$15+J57*'模块规划'!$E$17+K57*'模块规划'!$E$16+L57*'模块规划'!$E$18</x:f>
        <x:v>4957.509263585449</x:v>
      </x:c>
      <x:c r="T57" t="n">
        <x:f>1+T$9*SUMPRODUCT($H$10:$L$10,H57:L57)/SUM($H$10:$L$10)</x:f>
        <x:v>1.6311381400171086</x:v>
      </x:c>
      <x:c r="U57" t="n">
        <x:f>R57*T57+S57</x:f>
        <x:v>12699.045510390199</x:v>
      </x:c>
      <x:c r="V57" t="n">
        <x:f>V$8+(V$9-V$8)*H57</x:f>
        <x:v>0.8004597687613411</x:v>
      </x:c>
      <x:c r="W57" t="n">
        <x:f>IF(B57&lt;$H$8,0,W$8+(W$9-W$8)*H57)</x:f>
        <x:v>0.13394635834845472</x:v>
      </x:c>
      <x:c r="X57" t="n">
        <x:f>X$8+(X$9-X$8)*H57</x:f>
        <x:v>0.36708812136456265</x:v>
      </x:c>
      <x:c r="Y57" t="n">
        <x:f>Y$8+(Y$9-Y$8)*G57</x:f>
        <x:v>1</x:v>
      </x:c>
      <x:c r="Z57" t="n">
        <x:f>Z$8+(Z$9-Z$8)*H57</x:f>
        <x:v>1</x:v>
      </x:c>
      <x:c r="AA57" t="n">
        <x:f>AA$8+(AA$9-AA$8)*I57</x:f>
        <x:v>1</x:v>
      </x:c>
      <x:c r="AB57" t="n">
        <x:f>AB$8+(AB$9-AB$8)*J57</x:f>
        <x:v>1</x:v>
      </x:c>
      <x:c r="AC57" t="n">
        <x:f>AC$8+(AC$9-AC$8)*MAX(K57,L57)</x:f>
        <x:v>1</x:v>
      </x:c>
      <x:c r="AD57" t="n">
        <x:f>(V57*AE57+W57*AF57+X57*AG57)*PRODUCT(Y57:AC57)</x:f>
        <x:v>1.3451942436893813</x:v>
      </x:c>
      <x:c r="AE57" t="n">
        <x:f>1+AE$9*($H$10*H57+$I$10*I57+$J$10*J57+$K$10*K57+$L$10*L57)</x:f>
        <x:v>1</x:v>
      </x:c>
      <x:c r="AF57" t="n">
        <x:f>1+AF$9*($H$10*H57+$I$10*I57+$J$10*J57+$K$10*K57+$L$10*L57)</x:f>
        <x:v>1.055703690090579</x:v>
      </x:c>
      <x:c r="AG57" t="n">
        <x:f>1+AG$9*($H$10*H57+$I$10*I57+$J$10*J57+$K$10*K57+$L$10*L57)</x:f>
        <x:v>1.0987193174383045</x:v>
      </x:c>
      <x:c r="AH57" t="n">
        <x:f>MIN(1,'_曲线基线'!$L$3+AH$9*($H$10*H57+$I$10*I57+$J$10*J57+$K$10*K57+$L$10*L57))</x:f>
        <x:v>0.17672589495606678</x:v>
      </x:c>
      <x:c r="AI57" t="n">
        <x:f>'_曲线基线'!$L$4+AI$9*($H$10*H57+$I$10*I57+$J$10*J57+$K$10*K57+$L$10*L57)</x:f>
        <x:v>2.3530221359490433</x:v>
      </x:c>
      <x:c r="AJ57" t="n">
        <x:f>1+AJ$9*($H$10*H57+$I$10*I57+$J$10*J57+$K$10*K57+$L$10*L57)</x:f>
        <x:v>1.2896591884710098</x:v>
      </x:c>
      <x:c r="AK57" t="n">
        <x:f>(1+AH57*(AI57-1))*AJ57</x:f>
        <x:v>1.598034817400295</x:v>
      </x:c>
      <x:c r="AL57" t="n">
        <x:f>U57*AD57*AK57*F57</x:f>
        <x:v>136493.6104112486</x:v>
      </x:c>
      <x:c r="AM57" t="n">
        <x:f>IF($B57&lt;AM$8,0,AM$3+(AM$4-AM$3)*(POWER(AM$5,$B57-AM$8)-1)/(POWER(AM$5,$C$5-AM$8)-1))</x:f>
        <x:v>35.75823809055727</x:v>
      </x:c>
      <x:c r="AN57" t="n">
        <x:f>(((E57*'模块规划'!$D$10+G57*'模块规划'!$D$11+H57*'模块规划'!$D$13)*(1+'模块规划'!$G$14*H57)+(I57*'模块规划'!$D$15+J57*'模块规划'!$D$17+K57*'模块规划'!$D$16+L57*'模块规划'!$D$18))*(1+'模块规划'!$J$17*J57))*F57/(1-Q57)</x:f>
        <x:v>301273.73688763176</x:v>
      </x:c>
      <x:c r="AO57" t="n">
        <x:f>AL57*AM57</x:f>
        <x:v>4880771.018925195</x:v>
      </x:c>
      <x:c r="AP57" t="n">
        <x:f>IF(AO57="","",INDEX('_曲线基线'!$A$3:$A$502,MIN(ROWS('_曲线基线'!$A$3:$A$502),COUNTIF('_曲线基线'!$E$3:$E$502,"&lt;"&amp;AO57)+1)))</x:f>
        <x:v>110</x:v>
      </x:c>
      <x:c r="AQ57" t="n">
        <x:f>IF(B57&lt;=2,1,IF(B57&lt;=6,2,IF(B57&lt;=9,3,IF(B57&lt;=19,4,5))))</x:f>
        <x:v>5</x:v>
      </x:c>
      <x:c r="AR57" t="n">
        <x:f>AN57*(1-Q57)/F57*$AS$3+U57*$AS$4+P57*$AS$5</x:f>
        <x:v>3876.080203199402</x:v>
      </x:c>
      <x:c r="AS57" t="n">
        <x:f>1+AH57*$AS$6+AI57*$AS$7+(AJ57-1)*$AS$8+($H$10*H57+$I$10*I57+$J$10*J57+$K$10*K57+$L$10*L57)*$AU$3*$AS$9+($H$10*H57+$I$10*I57+$J$10*J57+$K$10*K57+$L$10*L57)*$AU$4*$AS$10</x:f>
        <x:v>8.309938776229949</x:v>
      </x:c>
      <x:c r="AT57" t="n">
        <x:f>ROUND(AR57*AS57,0)</x:f>
        <x:v>32210</x:v>
      </x:c>
      <x:c r="AU57" t="n">
        <x:f>ROUND(AT57*F57,0)</x:f>
        <x:v>161050</x:v>
      </x:c>
    </x:row>
    <x:row r="58">
      <x:c r="A58" t="n">
        <x:f>IFERROR(XLOOKUP(B58,'_曲线基线'!$G$3:$G$107,'_曲线基线'!$J$3:$J$107,""),"")</x:f>
        <x:v>24</x:v>
      </x:c>
      <x:c r="B58" t="n">
        <x:v>47</x:v>
      </x:c>
      <x:c r="C58" t="n">
        <x:f>C43+1</x:f>
        <x:v>4</x:v>
      </x:c>
      <x:c r="D58" t="n">
        <x:f>D43</x:f>
        <x:v>8</x:v>
      </x:c>
      <x:c r="E58" t="n">
        <x:f>IF($B58&lt;E$8,0,E$3+(E$4-E$3)*(POWER(E$5,$B58-E$8)-1)/(POWER(E$5,$C$5-E$8)-1))</x:f>
        <x:v>1</x:v>
      </x:c>
      <x:c r="F58" t="n">
        <x:f>1+IF(B58&lt;3,0,MIN(1,(B58-2)/4))+IF(B58&lt;7,0,MIN(1,(B58-6)/3))+IF(B58&lt;10,0,MIN(1,(B58-9)/5))+IF(B58&lt;20,0,MIN(1,(B58-19)/10))</x:f>
        <x:v>5</x:v>
      </x:c>
      <x:c r="G58" t="n">
        <x:f>IF($B58&lt;G$8,0,G$3+(G$4-G$3)*(POWER(G$5,$B58-G$8)-1)/(POWER(G$5,$C$5-G$8)-1))</x:f>
        <x:v>0.4577889931547702</x:v>
      </x:c>
      <x:c r="H58" t="n">
        <x:f>IF($B58&lt;H$8,0,H$3+(H$4-H$3)*(POWER(H$5,$B58-H$8)-1)/(POWER(H$5,$C$5-H$8)-1))</x:f>
        <x:v>0.34223512019322544</x:v>
      </x:c>
      <x:c r="I58" t="n">
        <x:f>IF($B58&lt;I$8,0,I$3+(I$4-I$3)*(POWER(I$5,$B58-I$8)-1)/(POWER(I$5,$C$5-I$8)-1))</x:f>
        <x:v>0</x:v>
      </x:c>
      <x:c r="J58" t="n">
        <x:f>IF($B58&lt;J$8,0,J$3+(J$4-J$3)*(POWER(J$5,$B58-J$8)-1)/(POWER(J$5,$C$5-J$8)-1))</x:f>
        <x:v>0.175554312562816</x:v>
      </x:c>
      <x:c r="K58" t="n">
        <x:f>IF($B58&lt;K$8,0,K$3+(K$4-K$3)*(POWER(K$5,$B58-K$8)-1)/(POWER(K$5,$C$5-K$8)-1))</x:f>
        <x:v>0</x:v>
      </x:c>
      <x:c r="L58" t="n">
        <x:f>IF($B58&lt;L$8,0,L$3+(L$4-L$3)*(POWER(L$5,$B58-L$8)-1)/(POWER(L$5,$C$5-L$8)-1))</x:f>
        <x:v>0.33489838113103354</x:v>
      </x:c>
      <x:c r="M58" t="n">
        <x:f>E58*'模块规划'!$F$10+G58*'模块规划'!$F$11+H58*'模块规划'!$F$13</x:f>
        <x:v>3197.387167142897</x:v>
      </x:c>
      <x:c r="N58" t="n">
        <x:f>I58*'模块规划'!$F$15+J58*'模块规划'!$F$17+K58*'模块规划'!$F$16+L58*'模块规划'!$F$18</x:f>
        <x:v>3430.035031283328</x:v>
      </x:c>
      <x:c r="O58" t="n">
        <x:f>1+O$9*SUMPRODUCT($H$10:$L$10,H58:L58)/SUM($H$10:$L$10)</x:f>
        <x:v>1.6549172525771427</x:v>
      </x:c>
      <x:c r="P58" t="n">
        <x:f>M58*O58+N58</x:f>
        <x:v>8721.446217356865</x:v>
      </x:c>
      <x:c r="Q58" t="n">
        <x:f>P58/(P58+'_曲线基线'!$L$2)</x:f>
        <x:v>0.266536086437727</x:v>
      </x:c>
      <x:c r="R58" t="n">
        <x:f>E58*'模块规划'!$E$10+G58*'模块规划'!$E$11+H58*'模块规划'!$E$13</x:f>
        <x:v>4796.080750714345</x:v>
      </x:c>
      <x:c r="S58" t="n">
        <x:f>I58*'模块规划'!$E$15+J58*'模块规划'!$E$17+K58*'模块规划'!$E$16+L58*'模块规划'!$E$18</x:f>
        <x:v>5145.0525469249915</x:v>
      </x:c>
      <x:c r="T58" t="n">
        <x:f>1+T$9*SUMPRODUCT($H$10:$L$10,H58:L58)/SUM($H$10:$L$10)</x:f>
        <x:v>1.6549172525771427</x:v>
      </x:c>
      <x:c r="U58" t="n">
        <x:f>R58*T58+S58</x:f>
        <x:v>13082.169326035295</x:v>
      </x:c>
      <x:c r="V58" t="n">
        <x:f>V$8+(V$9-V$8)*H58</x:f>
        <x:v>0.8026705360579676</x:v>
      </x:c>
      <x:c r="W58" t="n">
        <x:f>IF(B58&lt;$H$8,0,W$8+(W$9-W$8)*H58)</x:f>
        <x:v>0.1368940480772902</x:v>
      </x:c>
      <x:c r="X58" t="n">
        <x:f>X$8+(X$9-X$8)*H58</x:f>
        <x:v>0.36911465805313703</x:v>
      </x:c>
      <x:c r="Y58" t="n">
        <x:f>Y$8+(Y$9-Y$8)*G58</x:f>
        <x:v>1</x:v>
      </x:c>
      <x:c r="Z58" t="n">
        <x:f>Z$8+(Z$9-Z$8)*H58</x:f>
        <x:v>1</x:v>
      </x:c>
      <x:c r="AA58" t="n">
        <x:f>AA$8+(AA$9-AA$8)*I58</x:f>
        <x:v>1</x:v>
      </x:c>
      <x:c r="AB58" t="n">
        <x:f>AB$8+(AB$9-AB$8)*J58</x:f>
        <x:v>1</x:v>
      </x:c>
      <x:c r="AC58" t="n">
        <x:f>AC$8+(AC$9-AC$8)*MAX(K58,L58)</x:f>
        <x:v>1</x:v>
      </x:c>
      <x:c r="AD58" t="n">
        <x:f>(V58*AE58+W58*AF58+X58*AG58)*PRODUCT(Y58:AC58)</x:f>
        <x:v>1.354403682203076</x:v>
      </x:c>
      <x:c r="AE58" t="n">
        <x:f>1+AE$9*($H$10*H58+$I$10*I58+$J$10*J58+$K$10*K58+$L$10*L58)</x:f>
        <x:v>1</x:v>
      </x:c>
      <x:c r="AF58" t="n">
        <x:f>1+AF$9*($H$10*H58+$I$10*I58+$J$10*J58+$K$10*K58+$L$10*L58)</x:f>
        <x:v>1.0578024133853512</x:v>
      </x:c>
      <x:c r="AG58" t="n">
        <x:f>1+AG$9*($H$10*H58+$I$10*I58+$J$10*J58+$K$10*K58+$L$10*L58)</x:f>
        <x:v>1.1024387214995952</x:v>
      </x:c>
      <x:c r="AH58" t="n">
        <x:f>MIN(1,'_曲线基线'!$L$3+AH$9*($H$10*H58+$I$10*I58+$J$10*J58+$K$10*K58+$L$10*L58))</x:f>
        <x:v>0.1815004904516736</x:v>
      </x:c>
      <x:c r="AI58" t="n">
        <x:f>'_曲线基线'!$L$4+AI$9*($H$10*H58+$I$10*I58+$J$10*J58+$K$10*K58+$L$10*L58)</x:f>
        <x:v>2.3663227948296623</x:v>
      </x:c>
      <x:c r="AJ58" t="n">
        <x:f>1+AJ$9*($H$10*H58+$I$10*I58+$J$10*J58+$K$10*K58+$L$10*L58)</x:f>
        <x:v>1.3005725496038254</x:v>
      </x:c>
      <x:c r="AK58" t="n">
        <x:f>(1+AH58*(AI58-1))*AJ58</x:f>
        <x:v>1.6230992697722904</x:v>
      </x:c>
      <x:c r="AL58" t="n">
        <x:f>U58*AD58*AK58*F58</x:f>
        <x:v>143794.7329326401</x:v>
      </x:c>
      <x:c r="AM58" t="n">
        <x:f>IF($B58&lt;AM$8,0,AM$3+(AM$4-AM$3)*(POWER(AM$5,$B58-AM$8)-1)/(POWER(AM$5,$C$5-AM$8)-1))</x:f>
        <x:v>35.77924511138471</x:v>
      </x:c>
      <x:c r="AN58" t="n">
        <x:f>(((E58*'模块规划'!$D$10+G58*'模块规划'!$D$11+H58*'模块规划'!$D$13)*(1+'模块规划'!$G$14*H58)+(I58*'模块规划'!$D$15+J58*'模块规划'!$D$17+K58*'模块规划'!$D$16+L58*'模块规划'!$D$18))*(1+'模块规划'!$J$17*J58))*F58/(1-Q58)</x:f>
        <x:v>314122.18553939083</x:v>
      </x:c>
      <x:c r="AO58" t="n">
        <x:f>AL58*AM58</x:f>
        <x:v>5144866.995323033</x:v>
      </x:c>
      <x:c r="AP58" t="n">
        <x:f>IF(AO58="","",INDEX('_曲线基线'!$A$3:$A$502,MIN(ROWS('_曲线基线'!$A$3:$A$502),COUNTIF('_曲线基线'!$E$3:$E$502,"&lt;"&amp;AO58)+1)))</x:f>
        <x:v>112</x:v>
      </x:c>
      <x:c r="AQ58" t="n">
        <x:f>IF(B58&lt;=2,1,IF(B58&lt;=6,2,IF(B58&lt;=9,3,IF(B58&lt;=19,4,5))))</x:f>
        <x:v>5</x:v>
      </x:c>
      <x:c r="AR58" t="n">
        <x:f>AN58*(1-Q58)/F58*$AS$3+U58*$AS$4+P58*$AS$5</x:f>
        <x:v>3998.817590461795</x:v>
      </x:c>
      <x:c r="AS58" t="n">
        <x:f>1+AH58*$AS$6+AI58*$AS$7+(AJ58-1)*$AS$8+($H$10*H58+$I$10*I58+$J$10*J58+$K$10*K58+$L$10*L58)*$AU$3*$AS$9+($H$10*H58+$I$10*I58+$J$10*J58+$K$10*K58+$L$10*L58)*$AU$4*$AS$10</x:f>
        <x:v>8.435339877766934</x:v>
      </x:c>
      <x:c r="AT58" t="n">
        <x:f>ROUND(AR58*AS58,0)</x:f>
        <x:v>33731</x:v>
      </x:c>
      <x:c r="AU58" t="n">
        <x:f>ROUND(AT58*F58,0)</x:f>
        <x:v>168655</x:v>
      </x:c>
    </x:row>
    <x:row r="59">
      <x:c r="A59" t="n">
        <x:f>IFERROR(XLOOKUP(B59,'_曲线基线'!$G$3:$G$107,'_曲线基线'!$J$3:$J$107,""),"")</x:f>
        <x:v>25</x:v>
      </x:c>
      <x:c r="B59" t="n">
        <x:v>48</x:v>
      </x:c>
      <x:c r="C59" t="n">
        <x:f>C44+1</x:f>
        <x:v>4</x:v>
      </x:c>
      <x:c r="D59" t="n">
        <x:f>D44</x:f>
        <x:v>9</x:v>
      </x:c>
      <x:c r="E59" t="n">
        <x:f>IF($B59&lt;E$8,0,E$3+(E$4-E$3)*(POWER(E$5,$B59-E$8)-1)/(POWER(E$5,$C$5-E$8)-1))</x:f>
        <x:v>1</x:v>
      </x:c>
      <x:c r="F59" t="n">
        <x:f>1+IF(B59&lt;3,0,MIN(1,(B59-2)/4))+IF(B59&lt;7,0,MIN(1,(B59-6)/3))+IF(B59&lt;10,0,MIN(1,(B59-9)/5))+IF(B59&lt;20,0,MIN(1,(B59-19)/10))</x:f>
        <x:v>5</x:v>
      </x:c>
      <x:c r="G59" t="n">
        <x:f>IF($B59&lt;G$8,0,G$3+(G$4-G$3)*(POWER(G$5,$B59-G$8)-1)/(POWER(G$5,$C$5-G$8)-1))</x:f>
        <x:v>0.46462734871194444</x:v>
      </x:c>
      <x:c r="H59" t="n">
        <x:f>IF($B59&lt;H$8,0,H$3+(H$4-H$3)*(POWER(H$5,$B59-H$8)-1)/(POWER(H$5,$C$5-H$8)-1))</x:f>
        <x:v>0.3494569600288723</x:v>
      </x:c>
      <x:c r="I59" t="n">
        <x:f>IF($B59&lt;I$8,0,I$3+(I$4-I$3)*(POWER(I$5,$B59-I$8)-1)/(POWER(I$5,$C$5-I$8)-1))</x:f>
        <x:v>0</x:v>
      </x:c>
      <x:c r="J59" t="n">
        <x:f>IF($B59&lt;J$8,0,J$3+(J$4-J$3)*(POWER(J$5,$B59-J$8)-1)/(POWER(J$5,$C$5-J$8)-1))</x:f>
        <x:v>0.1841221708032836</x:v>
      </x:c>
      <x:c r="K59" t="n">
        <x:f>IF($B59&lt;K$8,0,K$3+(K$4-K$3)*(POWER(K$5,$B59-K$8)-1)/(POWER(K$5,$C$5-K$8)-1))</x:f>
        <x:v>0</x:v>
      </x:c>
      <x:c r="L59" t="n">
        <x:f>IF($B59&lt;L$8,0,L$3+(L$4-L$3)*(POWER(L$5,$B59-L$8)-1)/(POWER(L$5,$C$5-L$8)-1))</x:f>
        <x:v>0.3422683203397986</x:v>
      </x:c>
      <x:c r="M59" t="n">
        <x:f>E59*'模块规划'!$F$10+G59*'模块规划'!$F$11+H59*'模块规划'!$F$13</x:f>
        <x:v>3230.211273817333</x:v>
      </x:c>
      <x:c r="N59" t="n">
        <x:f>I59*'模块规划'!$F$15+J59*'模块规划'!$F$17+K59*'模块规划'!$F$16+L59*'模块规划'!$F$18</x:f>
        <x:v>3552.5633097318287</x:v>
      </x:c>
      <x:c r="O59" t="n">
        <x:f>1+O$9*SUMPRODUCT($H$10:$L$10,H59:L59)/SUM($H$10:$L$10)</x:f>
        <x:v>1.678220782885976</x:v>
      </x:c>
      <x:c r="P59" t="n">
        <x:f>M59*O59+N59</x:f>
        <x:v>8973.571002564659</x:v>
      </x:c>
      <x:c r="Q59" t="n">
        <x:f>P59/(P59+'_曲线基线'!$L$2)</x:f>
        <x:v>0.27214434863202114</x:v>
      </x:c>
      <x:c r="R59" t="n">
        <x:f>E59*'模块规划'!$E$10+G59*'模块规划'!$E$11+H59*'模块规划'!$E$13</x:f>
        <x:v>4845.316910726</x:v>
      </x:c>
      <x:c r="S59" t="n">
        <x:f>I59*'模块规划'!$E$15+J59*'模块规划'!$E$17+K59*'模块规划'!$E$16+L59*'模块规划'!$E$18</x:f>
        <x:v>5328.8449645977435</x:v>
      </x:c>
      <x:c r="T59" t="n">
        <x:f>1+T$9*SUMPRODUCT($H$10:$L$10,H59:L59)/SUM($H$10:$L$10)</x:f>
        <x:v>1.678220782885976</x:v>
      </x:c>
      <x:c r="U59" t="n">
        <x:f>R59*T59+S59</x:f>
        <x:v>13460.35650384699</x:v>
      </x:c>
      <x:c r="V59" t="n">
        <x:f>V$8+(V$9-V$8)*H59</x:f>
        <x:v>0.8048370880086617</x:v>
      </x:c>
      <x:c r="W59" t="n">
        <x:f>IF(B59&lt;$H$8,0,W$8+(W$9-W$8)*H59)</x:f>
        <x:v>0.13978278401154892</x:v>
      </x:c>
      <x:c r="X59" t="n">
        <x:f>X$8+(X$9-X$8)*H59</x:f>
        <x:v>0.3711006640079399</x:v>
      </x:c>
      <x:c r="Y59" t="n">
        <x:f>Y$8+(Y$9-Y$8)*G59</x:f>
        <x:v>1</x:v>
      </x:c>
      <x:c r="Z59" t="n">
        <x:f>Z$8+(Z$9-Z$8)*H59</x:f>
        <x:v>1</x:v>
      </x:c>
      <x:c r="AA59" t="n">
        <x:f>AA$8+(AA$9-AA$8)*I59</x:f>
        <x:v>1</x:v>
      </x:c>
      <x:c r="AB59" t="n">
        <x:f>AB$8+(AB$9-AB$8)*J59</x:f>
        <x:v>1</x:v>
      </x:c>
      <x:c r="AC59" t="n">
        <x:f>AC$8+(AC$9-AC$8)*MAX(K59,L59)</x:f>
        <x:v>1</x:v>
      </x:c>
      <x:c r="AD59" t="n">
        <x:f>(V59*AE59+W59*AF59+X59*AG59)*PRODUCT(Y59:AC59)</x:f>
        <x:v>1.3634555617902002</x:v>
      </x:c>
      <x:c r="AE59" t="n">
        <x:f>1+AE$9*($H$10*H59+$I$10*I59+$J$10*J59+$K$10*K59+$L$10*L59)</x:f>
        <x:v>1</x:v>
      </x:c>
      <x:c r="AF59" t="n">
        <x:f>1+AF$9*($H$10*H59+$I$10*I59+$J$10*J59+$K$10*K59+$L$10*L59)</x:f>
        <x:v>1.059859162214228</x:v>
      </x:c>
      <x:c r="AG59" t="n">
        <x:f>1+AG$9*($H$10*H59+$I$10*I59+$J$10*J59+$K$10*K59+$L$10*L59)</x:f>
        <x:v>1.1060837374796602</x:v>
      </x:c>
      <x:c r="AH59" t="n">
        <x:f>MIN(1,'_曲线基线'!$L$3+AH$9*($H$10*H59+$I$10*I59+$J$10*J59+$K$10*K59+$L$10*L59))</x:f>
        <x:v>0.18617959403736833</x:v>
      </x:c>
      <x:c r="AI59" t="n">
        <x:f>'_曲线基线'!$L$4+AI$9*($H$10*H59+$I$10*I59+$J$10*J59+$K$10*K59+$L$10*L59)</x:f>
        <x:v>2.3793574405326687</x:v>
      </x:c>
      <x:c r="AJ59" t="n">
        <x:f>1+AJ$9*($H$10*H59+$I$10*I59+$J$10*J59+$K$10*K59+$L$10*L59)</x:f>
        <x:v>1.3112676435139847</x:v>
      </x:c>
      <x:c r="AK59" t="n">
        <x:f>(1+AH59*(AI59-1))*AJ59</x:f>
        <x:v>1.6480119376607303</x:v>
      </x:c>
      <x:c r="AL59" t="n">
        <x:f>U59*AD59*AK59*F59</x:f>
        <x:v>151226.50245155493</x:v>
      </x:c>
      <x:c r="AM59" t="n">
        <x:f>IF($B59&lt;AM$8,0,AM$3+(AM$4-AM$3)*(POWER(AM$5,$B59-AM$8)-1)/(POWER(AM$5,$C$5-AM$8)-1))</x:f>
        <x:v>35.80046220242043</x:v>
      </x:c>
      <x:c r="AN59" t="n">
        <x:f>(((E59*'模块规划'!$D$10+G59*'模块规划'!$D$11+H59*'模块规划'!$D$13)*(1+'模块规划'!$G$14*H59)+(I59*'模块规划'!$D$15+J59*'模块规划'!$D$17+K59*'模块规划'!$D$16+L59*'模块规划'!$D$18))*(1+'模块规划'!$J$17*J59))*F59/(1-Q59)</x:f>
        <x:v>327050.1310078776</x:v>
      </x:c>
      <x:c r="AO59" t="n">
        <x:f>AL59*AM59</x:f>
        <x:v>5413978.685021132</x:v>
      </x:c>
      <x:c r="AP59" t="n">
        <x:f>IF(AO59="","",INDEX('_曲线基线'!$A$3:$A$502,MIN(ROWS('_曲线基线'!$A$3:$A$502),COUNTIF('_曲线基线'!$E$3:$E$502,"&lt;"&amp;AO59)+1)))</x:f>
        <x:v>114</x:v>
      </x:c>
      <x:c r="AQ59" t="n">
        <x:f>IF(B59&lt;=2,1,IF(B59&lt;=6,2,IF(B59&lt;=9,3,IF(B59&lt;=19,4,5))))</x:f>
        <x:v>5</x:v>
      </x:c>
      <x:c r="AR59" t="n">
        <x:f>AN59*(1-Q59)/F59*$AS$3+U59*$AS$4+P59*$AS$5</x:f>
        <x:v>4120.343017577727</x:v>
      </x:c>
      <x:c r="AS59" t="n">
        <x:f>1+AH59*$AS$6+AI59*$AS$7+(AJ59-1)*$AS$8+($H$10*H59+$I$10*I59+$J$10*J59+$K$10*K59+$L$10*L59)*$AU$3*$AS$9+($H$10*H59+$I$10*I59+$J$10*J59+$K$10*K59+$L$10*L59)*$AU$4*$AS$10</x:f>
        <x:v>8.55823295727318</x:v>
      </x:c>
      <x:c r="AT59" t="n">
        <x:f>ROUND(AR59*AS59,0)</x:f>
        <x:v>35263</x:v>
      </x:c>
      <x:c r="AU59" t="n">
        <x:f>ROUND(AT59*F59,0)</x:f>
        <x:v>176315</x:v>
      </x:c>
    </x:row>
    <x:row r="60">
      <x:c r="A60" t="n">
        <x:f>IFERROR(XLOOKUP(B60,'_曲线基线'!$G$3:$G$107,'_曲线基线'!$J$3:$J$107,""),"")</x:f>
        <x:v>25</x:v>
      </x:c>
      <x:c r="B60" t="n">
        <x:v>49</x:v>
      </x:c>
      <x:c r="C60" t="n">
        <x:f>C45+1</x:f>
        <x:v>4</x:v>
      </x:c>
      <x:c r="D60" t="n">
        <x:f>D45</x:f>
        <x:v>10</x:v>
      </x:c>
      <x:c r="E60" t="n">
        <x:f>IF($B60&lt;E$8,0,E$3+(E$4-E$3)*(POWER(E$5,$B60-E$8)-1)/(POWER(E$5,$C$5-E$8)-1))</x:f>
        <x:v>1</x:v>
      </x:c>
      <x:c r="F60" t="n">
        <x:f>1+IF(B60&lt;3,0,MIN(1,(B60-2)/4))+IF(B60&lt;7,0,MIN(1,(B60-6)/3))+IF(B60&lt;10,0,MIN(1,(B60-9)/5))+IF(B60&lt;20,0,MIN(1,(B60-19)/10))</x:f>
        <x:v>5</x:v>
      </x:c>
      <x:c r="G60" t="n">
        <x:f>IF($B60&lt;G$8,0,G$3+(G$4-G$3)*(POWER(G$5,$B60-G$8)-1)/(POWER(G$5,$C$5-G$8)-1))</x:f>
        <x:v>0.47136312893576116</x:v>
      </x:c>
      <x:c r="H60" t="n">
        <x:f>IF($B60&lt;H$8,0,H$3+(H$4-H$3)*(POWER(H$5,$B60-H$8)-1)/(POWER(H$5,$C$5-H$8)-1))</x:f>
        <x:v>0.3565343630678061</x:v>
      </x:c>
      <x:c r="I60" t="n">
        <x:f>IF($B60&lt;I$8,0,I$3+(I$4-I$3)*(POWER(I$5,$B60-I$8)-1)/(POWER(I$5,$C$5-I$8)-1))</x:f>
        <x:v>0</x:v>
      </x:c>
      <x:c r="J60" t="n">
        <x:f>IF($B60&lt;J$8,0,J$3+(J$4-J$3)*(POWER(J$5,$B60-J$8)-1)/(POWER(J$5,$C$5-J$8)-1))</x:f>
        <x:v>0.19251867187894184</x:v>
      </x:c>
      <x:c r="K60" t="n">
        <x:f>IF($B60&lt;K$8,0,K$3+(K$4-K$3)*(POWER(K$5,$B60-K$8)-1)/(POWER(K$5,$C$5-K$8)-1))</x:f>
        <x:v>0</x:v>
      </x:c>
      <x:c r="L60" t="n">
        <x:f>IF($B60&lt;L$8,0,L$3+(L$4-L$3)*(POWER(L$5,$B60-L$8)-1)/(POWER(L$5,$C$5-L$8)-1))</x:f>
        <x:v>0.3494908607643883</x:v>
      </x:c>
      <x:c r="M60" t="n">
        <x:f>E60*'模块规划'!$F$10+G60*'模块规划'!$F$11+H60*'模块规划'!$F$13</x:f>
        <x:v>3262.5430188916534</x:v>
      </x:c>
      <x:c r="N60" t="n">
        <x:f>I60*'模块规划'!$F$15+J60*'模块规划'!$F$17+K60*'模块规划'!$F$16+L60*'模块规划'!$F$18</x:f>
        <x:v>3672.64102261136</x:v>
      </x:c>
      <x:c r="O60" t="n">
        <x:f>1+O$9*SUMPRODUCT($H$10:$L$10,H60:L60)/SUM($H$10:$L$10)</x:f>
        <x:v>1.7010582425886325</x:v>
      </x:c>
      <x:c r="P60" t="n">
        <x:f>M60*O60+N60</x:f>
        <x:v>9222.416716697007</x:v>
      </x:c>
      <x:c r="Q60" t="n">
        <x:f>P60/(P60+'_曲线基线'!$L$2)</x:f>
        <x:v>0.27759620244790867</x:v>
      </x:c>
      <x:c r="R60" t="n">
        <x:f>E60*'模块规划'!$E$10+G60*'模块规划'!$E$11+H60*'模块规划'!$E$13</x:f>
        <x:v>4893.81452833748</x:v>
      </x:c>
      <x:c r="S60" t="n">
        <x:f>I60*'模块规划'!$E$15+J60*'模块规划'!$E$17+K60*'模块规划'!$E$16+L60*'模块规划'!$E$18</x:f>
        <x:v>5508.96153391704</x:v>
      </x:c>
      <x:c r="T60" t="n">
        <x:f>1+T$9*SUMPRODUCT($H$10:$L$10,H60:L60)/SUM($H$10:$L$10)</x:f>
        <x:v>1.7010582425886325</x:v>
      </x:c>
      <x:c r="U60" t="n">
        <x:f>R60*T60+S60</x:f>
        <x:v>13833.625075045511</x:v>
      </x:c>
      <x:c r="V60" t="n">
        <x:f>V$8+(V$9-V$8)*H60</x:f>
        <x:v>0.8069603089203418</x:v>
      </x:c>
      <x:c r="W60" t="n">
        <x:f>IF(B60&lt;$H$8,0,W$8+(W$9-W$8)*H60)</x:f>
        <x:v>0.14261374522712245</x:v>
      </x:c>
      <x:c r="X60" t="n">
        <x:f>X$8+(X$9-X$8)*H60</x:f>
        <x:v>0.3730469498436467</x:v>
      </x:c>
      <x:c r="Y60" t="n">
        <x:f>Y$8+(Y$9-Y$8)*G60</x:f>
        <x:v>1</x:v>
      </x:c>
      <x:c r="Z60" t="n">
        <x:f>Z$8+(Z$9-Z$8)*H60</x:f>
        <x:v>1</x:v>
      </x:c>
      <x:c r="AA60" t="n">
        <x:f>AA$8+(AA$9-AA$8)*I60</x:f>
        <x:v>1</x:v>
      </x:c>
      <x:c r="AB60" t="n">
        <x:f>AB$8+(AB$9-AB$8)*J60</x:f>
        <x:v>1</x:v>
      </x:c>
      <x:c r="AC60" t="n">
        <x:f>AC$8+(AC$9-AC$8)*MAX(K60,L60)</x:f>
        <x:v>1</x:v>
      </x:c>
      <x:c r="AD60" t="n">
        <x:f>(V60*AE60+W60*AF60+X60*AG60)*PRODUCT(Y60:AC60)</x:f>
        <x:v>1.3723519790874739</x:v>
      </x:c>
      <x:c r="AE60" t="n">
        <x:f>1+AE$9*($H$10*H60+$I$10*I60+$J$10*J60+$K$10*K60+$L$10*L60)</x:f>
        <x:v>1</x:v>
      </x:c>
      <x:c r="AF60" t="n">
        <x:f>1+AF$9*($H$10*H60+$I$10*I60+$J$10*J60+$K$10*K60+$L$10*L60)</x:f>
        <x:v>1.061874776066527</x:v>
      </x:c>
      <x:c r="AG60" t="n">
        <x:f>1+AG$9*($H$10*H60+$I$10*I60+$J$10*J60+$K$10*K60+$L$10*L60)</x:f>
        <x:v>1.109655853140124</x:v>
      </x:c>
      <x:c r="AH60" t="n">
        <x:f>MIN(1,'_曲线基线'!$L$3+AH$9*($H$10*H60+$I$10*I60+$J$10*J60+$K$10*K60+$L$10*L60))</x:f>
        <x:v>0.19076511555134912</x:v>
      </x:c>
      <x:c r="AI60" t="n">
        <x:f>'_曲线基线'!$L$4+AI$9*($H$10*H60+$I$10*I60+$J$10*J60+$K$10*K60+$L$10*L60)</x:f>
        <x:v>2.3921313933216153</x:v>
      </x:c>
      <x:c r="AJ60" t="n">
        <x:f>1+AJ$9*($H$10*H60+$I$10*I60+$J$10*J60+$K$10*K60+$L$10*L60)</x:f>
        <x:v>1.3217488355459408</x:v>
      </x:c>
      <x:c r="AK60" t="n">
        <x:f>(1+AH60*(AI60-1))*AJ60</x:f>
        <x:v>1.6727658140521942</x:v>
      </x:c>
      <x:c r="AL60" t="n">
        <x:f>U60*AD60*AK60*F60</x:f>
        <x:v>158783.9723652371</x:v>
      </x:c>
      <x:c r="AM60" t="n">
        <x:f>IF($B60&lt;AM$8,0,AM$3+(AM$4-AM$3)*(POWER(AM$5,$B60-AM$8)-1)/(POWER(AM$5,$C$5-AM$8)-1))</x:f>
        <x:v>35.8218914643665</x:v>
      </x:c>
      <x:c r="AN60" t="n">
        <x:f>(((E60*'模块规划'!$D$10+G60*'模块规划'!$D$11+H60*'模块规划'!$D$13)*(1+'模块规划'!$G$14*H60)+(I60*'模块规划'!$D$15+J60*'模块规划'!$D$17+K60*'模块规划'!$D$16+L60*'模块规划'!$D$18))*(1+'模块规划'!$J$17*J60))*F60/(1-Q60)</x:f>
        <x:v>340049.06093981763</x:v>
      </x:c>
      <x:c r="AO60" t="n">
        <x:f>AL60*AM60</x:f>
        <x:v>5687942.224348494</x:v>
      </x:c>
      <x:c r="AP60" t="n">
        <x:f>IF(AO60="","",INDEX('_曲线基线'!$A$3:$A$502,MIN(ROWS('_曲线基线'!$A$3:$A$502),COUNTIF('_曲线基线'!$E$3:$E$502,"&lt;"&amp;AO60)+1)))</x:f>
        <x:v>116</x:v>
      </x:c>
      <x:c r="AQ60" t="n">
        <x:f>IF(B60&lt;=2,1,IF(B60&lt;=6,2,IF(B60&lt;=9,3,IF(B60&lt;=19,4,5))))</x:f>
        <x:v>5</x:v>
      </x:c>
      <x:c r="AR60" t="n">
        <x:f>AN60*(1-Q60)/F60*$AS$3+U60*$AS$4+P60*$AS$5</x:f>
        <x:v>4240.641412870783</x:v>
      </x:c>
      <x:c r="AS60" t="n">
        <x:f>1+AH60*$AS$6+AI60*$AS$7+(AJ60-1)*$AS$8+($H$10*H60+$I$10*I60+$J$10*J60+$K$10*K60+$L$10*L60)*$AU$3*$AS$9+($H$10*H60+$I$10*I60+$J$10*J60+$K$10*K60+$L$10*L60)*$AU$4*$AS$10</x:f>
        <x:v>8.678668175189298</x:v>
      </x:c>
      <x:c r="AT60" t="n">
        <x:f>ROUND(AR60*AS60,0)</x:f>
        <x:v>36803</x:v>
      </x:c>
      <x:c r="AU60" t="n">
        <x:f>ROUND(AT60*F60,0)</x:f>
        <x:v>184015</x:v>
      </x:c>
    </x:row>
    <x:row r="61">
      <x:c r="A61" t="n">
        <x:f>IFERROR(XLOOKUP(B61,'_曲线基线'!$G$3:$G$107,'_曲线基线'!$J$3:$J$107,""),"")</x:f>
        <x:v>25</x:v>
      </x:c>
      <x:c r="B61" t="n">
        <x:v>50</x:v>
      </x:c>
      <x:c r="C61" t="n">
        <x:f>C46+1</x:f>
        <x:v>4</x:v>
      </x:c>
      <x:c r="D61" t="n">
        <x:f>D46</x:f>
        <x:v>11</x:v>
      </x:c>
      <x:c r="E61" t="n">
        <x:f>IF($B61&lt;E$8,0,E$3+(E$4-E$3)*(POWER(E$5,$B61-E$8)-1)/(POWER(E$5,$C$5-E$8)-1))</x:f>
        <x:v>1</x:v>
      </x:c>
      <x:c r="F61" t="n">
        <x:f>1+IF(B61&lt;3,0,MIN(1,(B61-2)/4))+IF(B61&lt;7,0,MIN(1,(B61-6)/3))+IF(B61&lt;10,0,MIN(1,(B61-9)/5))+IF(B61&lt;20,0,MIN(1,(B61-19)/10))</x:f>
        <x:v>5</x:v>
      </x:c>
      <x:c r="G61" t="n">
        <x:f>IF($B61&lt;G$8,0,G$3+(G$4-G$3)*(POWER(G$5,$B61-G$8)-1)/(POWER(G$5,$C$5-G$8)-1))</x:f>
        <x:v>0.47799787245622055</x:v>
      </x:c>
      <x:c r="H61" t="n">
        <x:f>IF($B61&lt;H$8,0,H$3+(H$4-H$3)*(POWER(H$5,$B61-H$8)-1)/(POWER(H$5,$C$5-H$8)-1))</x:f>
        <x:v>0.36347021804596147</x:v>
      </x:c>
      <x:c r="I61" t="n">
        <x:f>IF($B61&lt;I$8,0,I$3+(I$4-I$3)*(POWER(I$5,$B61-I$8)-1)/(POWER(I$5,$C$5-I$8)-1))</x:f>
        <x:v>0</x:v>
      </x:c>
      <x:c r="J61" t="n">
        <x:f>IF($B61&lt;J$8,0,J$3+(J$4-J$3)*(POWER(J$5,$B61-J$8)-1)/(POWER(J$5,$C$5-J$8)-1))</x:f>
        <x:v>0.2007472429330869</x:v>
      </x:c>
      <x:c r="K61" t="n">
        <x:f>IF($B61&lt;K$8,0,K$3+(K$4-K$3)*(POWER(K$5,$B61-K$8)-1)/(POWER(K$5,$C$5-K$8)-1))</x:f>
        <x:v>0</x:v>
      </x:c>
      <x:c r="L61" t="n">
        <x:f>IF($B61&lt;L$8,0,L$3+(L$4-L$3)*(POWER(L$5,$B61-L$8)-1)/(POWER(L$5,$C$5-L$8)-1))</x:f>
        <x:v>0.3565689503804862</x:v>
      </x:c>
      <x:c r="M61" t="n">
        <x:f>E61*'模块规划'!$F$10+G61*'模块规划'!$F$11+H61*'模块规划'!$F$13</x:f>
        <x:v>3294.3897877898585</x:v>
      </x:c>
      <x:c r="N61" t="n">
        <x:f>I61*'模块规划'!$F$15+J61*'模块规划'!$F$17+K61*'模块规划'!$F$16+L61*'模块规划'!$F$18</x:f>
        <x:v>3790.3171812333003</x:v>
      </x:c>
      <x:c r="O61" t="n">
        <x:f>1+O$9*SUMPRODUCT($H$10:$L$10,H61:L61)/SUM($H$10:$L$10)</x:f>
        <x:v>1.723438953097236</x:v>
      </x:c>
      <x:c r="P61" t="n">
        <x:f>M61*O61+N61</x:f>
        <x:v>9467.99686819608</x:v>
      </x:c>
      <x:c r="Q61" t="n">
        <x:f>P61/(P61+'_曲线基线'!$L$2)</x:f>
        <x:v>0.2828970286295597</x:v>
      </x:c>
      <x:c r="R61" t="n">
        <x:f>E61*'模块规划'!$E$10+G61*'模块规划'!$E$11+H61*'模块规划'!$E$13</x:f>
        <x:v>4941.584681684788</x:v>
      </x:c>
      <x:c r="S61" t="n">
        <x:f>I61*'模块规划'!$E$15+J61*'模块规划'!$E$17+K61*'模块规划'!$E$16+L61*'模块规划'!$E$18</x:f>
        <x:v>5685.4757718499495</x:v>
      </x:c>
      <x:c r="T61" t="n">
        <x:f>1+T$9*SUMPRODUCT($H$10:$L$10,H61:L61)/SUM($H$10:$L$10)</x:f>
        <x:v>1.723438953097236</x:v>
      </x:c>
      <x:c r="U61" t="n">
        <x:f>R61*T61+S61</x:f>
        <x:v>14201.995302294119</x:v>
      </x:c>
      <x:c r="V61" t="n">
        <x:f>V$8+(V$9-V$8)*H61</x:f>
        <x:v>0.8090410654137884</x:v>
      </x:c>
      <x:c r="W61" t="n">
        <x:f>IF(B61&lt;$H$8,0,W$8+(W$9-W$8)*H61)</x:f>
        <x:v>0.1453880872183846</x:v>
      </x:c>
      <x:c r="X61" t="n">
        <x:f>X$8+(X$9-X$8)*H61</x:f>
        <x:v>0.37495430996263945</x:v>
      </x:c>
      <x:c r="Y61" t="n">
        <x:f>Y$8+(Y$9-Y$8)*G61</x:f>
        <x:v>1</x:v>
      </x:c>
      <x:c r="Z61" t="n">
        <x:f>Z$8+(Z$9-Z$8)*H61</x:f>
        <x:v>1</x:v>
      </x:c>
      <x:c r="AA61" t="n">
        <x:f>AA$8+(AA$9-AA$8)*I61</x:f>
        <x:v>1</x:v>
      </x:c>
      <x:c r="AB61" t="n">
        <x:f>AB$8+(AB$9-AB$8)*J61</x:f>
        <x:v>1</x:v>
      </x:c>
      <x:c r="AC61" t="n">
        <x:f>AC$8+(AC$9-AC$8)*MAX(K61,L61)</x:f>
        <x:v>1</x:v>
      </x:c>
      <x:c r="AD61" t="n">
        <x:f>(V61*AE61+W61*AF61+X61*AG61)*PRODUCT(Y61:AC61)</x:f>
        <x:v>1.3810950305587402</x:v>
      </x:c>
      <x:c r="AE61" t="n">
        <x:f>1+AE$9*($H$10*H61+$I$10*I61+$J$10*J61+$K$10*K61+$L$10*L61)</x:f>
        <x:v>1</x:v>
      </x:c>
      <x:c r="AF61" t="n">
        <x:f>1+AF$9*($H$10*H61+$I$10*I61+$J$10*J61+$K$10*K61+$L$10*L61)</x:f>
        <x:v>1.0638500776417803</x:v>
      </x:c>
      <x:c r="AG61" t="n">
        <x:f>1+AG$9*($H$10*H61+$I$10*I61+$J$10*J61+$K$10*K61+$L$10*L61)</x:f>
        <x:v>1.1131565264873784</x:v>
      </x:c>
      <x:c r="AH61" t="n">
        <x:f>MIN(1,'_曲线基线'!$L$3+AH$9*($H$10*H61+$I$10*I61+$J$10*J61+$K$10*K61+$L$10*L61))</x:f>
        <x:v>0.1952589266350503</x:v>
      </x:c>
      <x:c r="AI61" t="n">
        <x:f>'_曲线基线'!$L$4+AI$9*($H$10*H61+$I$10*I61+$J$10*J61+$K$10*K61+$L$10*L61)</x:f>
        <x:v>2.4046498670547827</x:v>
      </x:c>
      <x:c r="AJ61" t="n">
        <x:f>1+AJ$9*($H$10*H61+$I$10*I61+$J$10*J61+$K$10*K61+$L$10*L61)</x:f>
        <x:v>1.3320204037372578</x:v>
      </x:c>
      <x:c r="AK61" t="n">
        <x:f>(1+AH61*(AI61-1))*AJ61</x:f>
        <x:v>1.6973542064307459</x:v>
      </x:c>
      <x:c r="AL61" t="n">
        <x:f>U61*AD61*AK61*F61</x:f>
        <x:v>166462.11664417305</x:v>
      </x:c>
      <x:c r="AM61" t="n">
        <x:f>IF($B61&lt;AM$8,0,AM$3+(AM$4-AM$3)*(POWER(AM$5,$B61-AM$8)-1)/(POWER(AM$5,$C$5-AM$8)-1))</x:f>
        <x:v>35.84353501893204</x:v>
      </x:c>
      <x:c r="AN61" t="n">
        <x:f>(((E61*'模块规划'!$D$10+G61*'模块规划'!$D$11+H61*'模块规划'!$D$13)*(1+'模块规划'!$G$14*H61)+(I61*'模块规划'!$D$15+J61*'模块规划'!$D$17+K61*'模块规划'!$D$16+L61*'模块规划'!$D$18))*(1+'模块规划'!$J$17*J61))*F61/(1-Q61)</x:f>
        <x:v>353110.6624324718</x:v>
      </x:c>
      <x:c r="AO61" t="n">
        <x:f>AL61*AM61</x:f>
        <x:v>5966590.707260966</x:v>
      </x:c>
      <x:c r="AP61" t="n">
        <x:f>IF(AO61="","",INDEX('_曲线基线'!$A$3:$A$502,MIN(ROWS('_曲线基线'!$A$3:$A$502),COUNTIF('_曲线基线'!$E$3:$E$502,"&lt;"&amp;AO61)+1)))</x:f>
        <x:v>119</x:v>
      </x:c>
      <x:c r="AQ61" t="n">
        <x:f>IF(B61&lt;=2,1,IF(B61&lt;=6,2,IF(B61&lt;=9,3,IF(B61&lt;=19,4,5))))</x:f>
        <x:v>5</x:v>
      </x:c>
      <x:c r="AR61" t="n">
        <x:f>AN61*(1-Q61)/F61*$AS$3+U61*$AS$4+P61*$AS$5</x:f>
        <x:v>4359.699291976284</x:v>
      </x:c>
      <x:c r="AS61" t="n">
        <x:f>1+AH61*$AS$6+AI61*$AS$7+(AJ61-1)*$AS$8+($H$10*H61+$I$10*I61+$J$10*J61+$K$10*K61+$L$10*L61)*$AU$3*$AS$9+($H$10*H61+$I$10*I61+$J$10*J61+$K$10*K61+$L$10*L61)*$AU$4*$AS$10</x:f>
        <x:v>8.796694688747097</x:v>
      </x:c>
      <x:c r="AT61" t="n">
        <x:f>ROUND(AR61*AS61,0)</x:f>
        <x:v>38351</x:v>
      </x:c>
      <x:c r="AU61" t="n">
        <x:f>ROUND(AT61*F61,0)</x:f>
        <x:v>191755</x:v>
      </x:c>
    </x:row>
    <x:row r="62">
      <x:c r="A62" t="n">
        <x:f>IFERROR(XLOOKUP(B62,'_曲线基线'!$G$3:$G$107,'_曲线基线'!$J$3:$J$107,""),"")</x:f>
        <x:v>26</x:v>
      </x:c>
      <x:c r="B62" t="n">
        <x:v>51</x:v>
      </x:c>
      <x:c r="C62" t="n">
        <x:f>C47+1</x:f>
        <x:v>4</x:v>
      </x:c>
      <x:c r="D62" t="n">
        <x:f>D47</x:f>
        <x:v>12</x:v>
      </x:c>
      <x:c r="E62" t="n">
        <x:f>IF($B62&lt;E$8,0,E$3+(E$4-E$3)*(POWER(E$5,$B62-E$8)-1)/(POWER(E$5,$C$5-E$8)-1))</x:f>
        <x:v>1</x:v>
      </x:c>
      <x:c r="F62" t="n">
        <x:f>1+IF(B62&lt;3,0,MIN(1,(B62-2)/4))+IF(B62&lt;7,0,MIN(1,(B62-6)/3))+IF(B62&lt;10,0,MIN(1,(B62-9)/5))+IF(B62&lt;20,0,MIN(1,(B62-19)/10))</x:f>
        <x:v>5</x:v>
      </x:c>
      <x:c r="G62" t="n">
        <x:f>IF($B62&lt;G$8,0,G$3+(G$4-G$3)*(POWER(G$5,$B62-G$8)-1)/(POWER(G$5,$C$5-G$8)-1))</x:f>
        <x:v>0.4845330948238731</x:v>
      </x:c>
      <x:c r="H62" t="n">
        <x:f>IF($B62&lt;H$8,0,H$3+(H$4-H$3)*(POWER(H$5,$B62-H$8)-1)/(POWER(H$5,$C$5-H$8)-1))</x:f>
        <x:v>0.37026735592455357</x:v>
      </x:c>
      <x:c r="I62" t="n">
        <x:f>IF($B62&lt;I$8,0,I$3+(I$4-I$3)*(POWER(I$5,$B62-I$8)-1)/(POWER(I$5,$C$5-I$8)-1))</x:f>
        <x:v>0</x:v>
      </x:c>
      <x:c r="J62" t="n">
        <x:f>IF($B62&lt;J$8,0,J$3+(J$4-J$3)*(POWER(J$5,$B62-J$8)-1)/(POWER(J$5,$C$5-J$8)-1))</x:f>
        <x:v>0.20881124256614908</x:v>
      </x:c>
      <x:c r="K62" t="n">
        <x:f>IF($B62&lt;K$8,0,K$3+(K$4-K$3)*(POWER(K$5,$B62-K$8)-1)/(POWER(K$5,$C$5-K$8)-1))</x:f>
        <x:v>0</x:v>
      </x:c>
      <x:c r="L62" t="n">
        <x:f>IF($B62&lt;L$8,0,L$3+(L$4-L$3)*(POWER(L$5,$B62-L$8)-1)/(POWER(L$5,$C$5-L$8)-1))</x:f>
        <x:v>0.36350547820426227</x:v>
      </x:c>
      <x:c r="M62" t="n">
        <x:f>E62*'模块规划'!$F$10+G62*'模块规划'!$F$11+H62*'模块规划'!$F$13</x:f>
        <x:v>3325.758855154591</x:v>
      </x:c>
      <x:c r="N62" t="n">
        <x:f>I62*'模块规划'!$F$15+J62*'模块规划'!$F$17+K62*'模块规划'!$F$16+L62*'模块规划'!$F$18</x:f>
        <x:v>3905.639816682802</x:v>
      </x:c>
      <x:c r="O62" t="n">
        <x:f>1+O$9*SUMPRODUCT($H$10:$L$10,H62:L62)/SUM($H$10:$L$10)</x:f>
        <x:v>1.7453720493956677</x:v>
      </x:c>
      <x:c r="P62" t="n">
        <x:f>M62*O62+N62</x:f>
        <x:v>9710.32636549976</x:v>
      </x:c>
      <x:c r="Q62" t="n">
        <x:f>P62/(P62+'_曲线基线'!$L$2)</x:f>
        <x:v>0.288051983247413</x:v>
      </x:c>
      <x:c r="R62" t="n">
        <x:f>E62*'模块规划'!$E$10+G62*'模块规划'!$E$11+H62*'模块规划'!$E$13</x:f>
        <x:v>4988.638282731887</x:v>
      </x:c>
      <x:c r="S62" t="n">
        <x:f>I62*'模块规划'!$E$15+J62*'模块规划'!$E$17+K62*'模块规划'!$E$16+L62*'模块规划'!$E$18</x:f>
        <x:v>5858.459725024203</x:v>
      </x:c>
      <x:c r="T62" t="n">
        <x:f>1+T$9*SUMPRODUCT($H$10:$L$10,H62:L62)/SUM($H$10:$L$10)</x:f>
        <x:v>1.7453720493956677</x:v>
      </x:c>
      <x:c r="U62" t="n">
        <x:f>R62*T62+S62</x:f>
        <x:v>14565.48954824964</x:v>
      </x:c>
      <x:c r="V62" t="n">
        <x:f>V$8+(V$9-V$8)*H62</x:f>
        <x:v>0.811080206777366</x:v>
      </x:c>
      <x:c r="W62" t="n">
        <x:f>IF(B62&lt;$H$8,0,W$8+(W$9-W$8)*H62)</x:f>
        <x:v>0.14810694236982144</x:v>
      </x:c>
      <x:c r="X62" t="n">
        <x:f>X$8+(X$9-X$8)*H62</x:f>
        <x:v>0.37682352287925225</x:v>
      </x:c>
      <x:c r="Y62" t="n">
        <x:f>Y$8+(Y$9-Y$8)*G62</x:f>
        <x:v>1</x:v>
      </x:c>
      <x:c r="Z62" t="n">
        <x:f>Z$8+(Z$9-Z$8)*H62</x:f>
        <x:v>1</x:v>
      </x:c>
      <x:c r="AA62" t="n">
        <x:f>AA$8+(AA$9-AA$8)*I62</x:f>
        <x:v>1</x:v>
      </x:c>
      <x:c r="AB62" t="n">
        <x:f>AB$8+(AB$9-AB$8)*J62</x:f>
        <x:v>1</x:v>
      </x:c>
      <x:c r="AC62" t="n">
        <x:f>AC$8+(AC$9-AC$8)*MAX(K62,L62)</x:f>
        <x:v>1</x:v>
      </x:c>
      <x:c r="AD62" t="n">
        <x:f>(V62*AE62+W62*AF62+X62*AG62)*PRODUCT(Y62:AC62)</x:f>
        <x:v>1.3896868108447293</x:v>
      </x:c>
      <x:c r="AE62" t="n">
        <x:f>1+AE$9*($H$10*H62+$I$10*I62+$J$10*J62+$K$10*K62+$L$10*L62)</x:f>
        <x:v>1</x:v>
      </x:c>
      <x:c r="AF62" t="n">
        <x:f>1+AF$9*($H$10*H62+$I$10*I62+$J$10*J62+$K$10*K62+$L$10*L62)</x:f>
        <x:v>1.0657858731855285</x:v>
      </x:c>
      <x:c r="AG62" t="n">
        <x:f>1+AG$9*($H$10*H62+$I$10*I62+$J$10*J62+$K$10*K62+$L$10*L62)</x:f>
        <x:v>1.1165871863676877</x:v>
      </x:c>
      <x:c r="AH62" t="n">
        <x:f>MIN(1,'_曲线基线'!$L$3+AH$9*($H$10*H62+$I$10*I62+$J$10*J62+$K$10*K62+$L$10*L62))</x:f>
        <x:v>0.1996628614970774</x:v>
      </x:c>
      <x:c r="AI62" t="n">
        <x:f>'_曲线基线'!$L$4+AI$9*($H$10*H62+$I$10*I62+$J$10*J62+$K$10*K62+$L$10*L62)</x:f>
        <x:v>2.4169179713132873</x:v>
      </x:c>
      <x:c r="AJ62" t="n">
        <x:f>1+AJ$9*($H$10*H62+$I$10*I62+$J$10*J62+$K$10*K62+$L$10*L62)</x:f>
        <x:v>1.3420865405647484</x:v>
      </x:c>
      <x:c r="AK62" t="n">
        <x:f>(1+AH62*(AI62-1))*AJ62</x:f>
        <x:v>1.721770736717254</x:v>
      </x:c>
      <x:c r="AL62" t="n">
        <x:f>U62*AD62*AK62*F62</x:f>
        <x:v>174255.84254017053</x:v>
      </x:c>
      <x:c r="AM62" t="n">
        <x:f>IF($B62&lt;AM$8,0,AM$3+(AM$4-AM$3)*(POWER(AM$5,$B62-AM$8)-1)/(POWER(AM$5,$C$5-AM$8)-1))</x:f>
        <x:v>35.865395009043226</x:v>
      </x:c>
      <x:c r="AN62" t="n">
        <x:f>(((E62*'模块规划'!$D$10+G62*'模块规划'!$D$11+H62*'模块规划'!$D$13)*(1+'模块规划'!$G$14*H62)+(I62*'模块规划'!$D$15+J62*'模块规划'!$D$17+K62*'模块规划'!$D$16+L62*'模块规划'!$D$18))*(1+'模块规划'!$J$17*J62))*F62/(1-Q62)</x:f>
        <x:v>366226.82606346573</x:v>
      </x:c>
      <x:c r="AO62" t="n">
        <x:f>AL62*AM62</x:f>
        <x:v>6249754.625336855</x:v>
      </x:c>
      <x:c r="AP62" t="n">
        <x:f>IF(AO62="","",INDEX('_曲线基线'!$A$3:$A$502,MIN(ROWS('_曲线基线'!$A$3:$A$502),COUNTIF('_曲线基线'!$E$3:$E$502,"&lt;"&amp;AO62)+1)))</x:f>
        <x:v>121</x:v>
      </x:c>
      <x:c r="AQ62" t="n">
        <x:f>IF(B62&lt;=2,1,IF(B62&lt;=6,2,IF(B62&lt;=9,3,IF(B62&lt;=19,4,5))))</x:f>
        <x:v>5</x:v>
      </x:c>
      <x:c r="AR62" t="n">
        <x:f>AN62*(1-Q62)/F62*$AS$3+U62*$AS$4+P62*$AS$5</x:f>
        <x:v>4477.504684634802</x:v>
      </x:c>
      <x:c r="AS62" t="n">
        <x:f>1+AH62*$AS$6+AI62*$AS$7+(AJ62-1)*$AS$8+($H$10*H62+$I$10*I62+$J$10*J62+$K$10*K62+$L$10*L62)*$AU$3*$AS$9+($H$10*H62+$I$10*I62+$J$10*J62+$K$10*K62+$L$10*L62)*$AU$4*$AS$10</x:f>
        <x:v>8.912360672033737</x:v>
      </x:c>
      <x:c r="AT62" t="n">
        <x:f>ROUND(AR62*AS62,0)</x:f>
        <x:v>39905</x:v>
      </x:c>
      <x:c r="AU62" t="n">
        <x:f>ROUND(AT62*F62,0)</x:f>
        <x:v>199525</x:v>
      </x:c>
    </x:row>
    <x:row r="63">
      <x:c r="A63" t="n">
        <x:f>IFERROR(XLOOKUP(B63,'_曲线基线'!$G$3:$G$107,'_曲线基线'!$J$3:$J$107,""),"")</x:f>
        <x:v>26</x:v>
      </x:c>
      <x:c r="B63" t="n">
        <x:v>52</x:v>
      </x:c>
      <x:c r="C63" t="n">
        <x:f>C48+1</x:f>
        <x:v>4</x:v>
      </x:c>
      <x:c r="D63" t="n">
        <x:f>D48</x:f>
        <x:v>13</x:v>
      </x:c>
      <x:c r="E63" t="n">
        <x:f>IF($B63&lt;E$8,0,E$3+(E$4-E$3)*(POWER(E$5,$B63-E$8)-1)/(POWER(E$5,$C$5-E$8)-1))</x:f>
        <x:v>1</x:v>
      </x:c>
      <x:c r="F63" t="n">
        <x:f>1+IF(B63&lt;3,0,MIN(1,(B63-2)/4))+IF(B63&lt;7,0,MIN(1,(B63-6)/3))+IF(B63&lt;10,0,MIN(1,(B63-9)/5))+IF(B63&lt;20,0,MIN(1,(B63-19)/10))</x:f>
        <x:v>5</x:v>
      </x:c>
      <x:c r="G63" t="n">
        <x:f>IF($B63&lt;G$8,0,G$3+(G$4-G$3)*(POWER(G$5,$B63-G$8)-1)/(POWER(G$5,$C$5-G$8)-1))</x:f>
        <x:v>0.49097028885601085</x:v>
      </x:c>
      <x:c r="H63" t="n">
        <x:f>IF($B63&lt;H$8,0,H$3+(H$4-H$3)*(POWER(H$5,$B63-H$8)-1)/(POWER(H$5,$C$5-H$8)-1))</x:f>
        <x:v>0.3769285510455739</x:v>
      </x:c>
      <x:c r="I63" t="n">
        <x:f>IF($B63&lt;I$8,0,I$3+(I$4-I$3)*(POWER(I$5,$B63-I$8)-1)/(POWER(I$5,$C$5-I$8)-1))</x:f>
        <x:v>0</x:v>
      </x:c>
      <x:c r="J63" t="n">
        <x:f>IF($B63&lt;J$8,0,J$3+(J$4-J$3)*(POWER(J$5,$B63-J$8)-1)/(POWER(J$5,$C$5-J$8)-1))</x:f>
        <x:v>0.21671396220655</x:v>
      </x:c>
      <x:c r="K63" t="n">
        <x:f>IF($B63&lt;K$8,0,K$3+(K$4-K$3)*(POWER(K$5,$B63-K$8)-1)/(POWER(K$5,$C$5-K$8)-1))</x:f>
        <x:v>0</x:v>
      </x:c>
      <x:c r="L63" t="n">
        <x:f>IF($B63&lt;L$8,0,L$3+(L$4-L$3)*(POWER(L$5,$B63-L$8)-1)/(POWER(L$5,$C$5-L$8)-1))</x:f>
        <x:v>0.37030327547156267</x:v>
      </x:c>
      <x:c r="M63" t="n">
        <x:f>E63*'模块规划'!$F$10+G63*'模块规划'!$F$11+H63*'模块规划'!$F$13</x:f>
        <x:v>3356.657386508852</x:v>
      </x:c>
      <x:c r="N63" t="n">
        <x:f>I63*'模块规划'!$F$15+J63*'模块规划'!$F$17+K63*'模块规划'!$F$16+L63*'模块规划'!$F$18</x:f>
        <x:v>4018.6559994233135</x:v>
      </x:c>
      <x:c r="O63" t="n">
        <x:f>1+O$9*SUMPRODUCT($H$10:$L$10,H63:L63)/SUM($H$10:$L$10)</x:f>
        <x:v>1.7668664837681303</x:v>
      </x:c>
      <x:c r="P63" t="n">
        <x:f>M63*O63+N63</x:f>
        <x:v>9949.42143313853</x:v>
      </x:c>
      <x:c r="Q63" t="n">
        <x:f>P63/(P63+'_曲线基线'!$L$2)</x:f>
        <x:v>0.2930660085837797</x:v>
      </x:c>
      <x:c r="R63" t="n">
        <x:f>E63*'模块规划'!$E$10+G63*'模块规划'!$E$11+H63*'模块规划'!$E$13</x:f>
        <x:v>5034.986079763278</x:v>
      </x:c>
      <x:c r="S63" t="n">
        <x:f>I63*'模块规划'!$E$15+J63*'模块规划'!$E$17+K63*'模块规划'!$E$16+L63*'模块规划'!$E$18</x:f>
        <x:v>6027.98399913497</x:v>
      </x:c>
      <x:c r="T63" t="n">
        <x:f>1+T$9*SUMPRODUCT($H$10:$L$10,H63:L63)/SUM($H$10:$L$10)</x:f>
        <x:v>1.7668664837681303</x:v>
      </x:c>
      <x:c r="U63" t="n">
        <x:f>R63*T63+S63</x:f>
        <x:v>14924.132149707795</x:v>
      </x:c>
      <x:c r="V63" t="n">
        <x:f>V$8+(V$9-V$8)*H63</x:f>
        <x:v>0.8130785653136722</x:v>
      </x:c>
      <x:c r="W63" t="n">
        <x:f>IF(B63&lt;$H$8,0,W$8+(W$9-W$8)*H63)</x:f>
        <x:v>0.15077142041822955</x:v>
      </x:c>
      <x:c r="X63" t="n">
        <x:f>X$8+(X$9-X$8)*H63</x:f>
        <x:v>0.3786553515375328</x:v>
      </x:c>
      <x:c r="Y63" t="n">
        <x:f>Y$8+(Y$9-Y$8)*G63</x:f>
        <x:v>1</x:v>
      </x:c>
      <x:c r="Z63" t="n">
        <x:f>Z$8+(Z$9-Z$8)*H63</x:f>
        <x:v>1</x:v>
      </x:c>
      <x:c r="AA63" t="n">
        <x:f>AA$8+(AA$9-AA$8)*I63</x:f>
        <x:v>1</x:v>
      </x:c>
      <x:c r="AB63" t="n">
        <x:f>AB$8+(AB$9-AB$8)*J63</x:f>
        <x:v>1</x:v>
      </x:c>
      <x:c r="AC63" t="n">
        <x:f>AC$8+(AC$9-AC$8)*MAX(K63,L63)</x:f>
        <x:v>1</x:v>
      </x:c>
      <x:c r="AD63" t="n">
        <x:f>(V63*AE63+W63*AF63+X63*AG63)*PRODUCT(Y63:AC63)</x:f>
        <x:v>1.398129411211318</x:v>
      </x:c>
      <x:c r="AE63" t="n">
        <x:f>1+AE$9*($H$10*H63+$I$10*I63+$J$10*J63+$K$10*K63+$L$10*L63)</x:f>
        <x:v>1</x:v>
      </x:c>
      <x:c r="AF63" t="n">
        <x:f>1+AF$9*($H$10*H63+$I$10*I63+$J$10*J63+$K$10*K63+$L$10*L63)</x:f>
        <x:v>1.0676829528184018</x:v>
      </x:c>
      <x:c r="AG63" t="n">
        <x:f>1+AG$9*($H$10*H63+$I$10*I63+$J$10*J63+$K$10*K63+$L$10*L63)</x:f>
        <x:v>1.1199492330503908</x:v>
      </x:c>
      <x:c r="AH63" t="n">
        <x:f>MIN(1,'_曲线基线'!$L$3+AH$9*($H$10*H63+$I$10*I63+$J$10*J63+$K$10*K63+$L$10*L63))</x:f>
        <x:v>0.20397871766186404</x:v>
      </x:c>
      <x:c r="AI63" t="n">
        <x:f>'_曲线基线'!$L$4+AI$9*($H$10*H63+$I$10*I63+$J$10*J63+$K$10*K63+$L$10*L63)</x:f>
        <x:v>2.428940713486621</x:v>
      </x:c>
      <x:c r="AJ63" t="n">
        <x:f>1+AJ$9*($H$10*H63+$I$10*I63+$J$10*J63+$K$10*K63+$L$10*L63)</x:f>
        <x:v>1.3519513546556892</x:v>
      </x:c>
      <x:c r="AK63" t="n">
        <x:f>(1+AH63*(AI63-1))*AJ63</x:f>
        <x:v>1.7460093401908732</x:v>
      </x:c>
      <x:c r="AL63" t="n">
        <x:f>U63*AD63*AK63*F63</x:f>
        <x:v>182160.00292801758</x:v>
      </x:c>
      <x:c r="AM63" t="n">
        <x:f>IF($B63&lt;AM$8,0,AM$3+(AM$4-AM$3)*(POWER(AM$5,$B63-AM$8)-1)/(POWER(AM$5,$C$5-AM$8)-1))</x:f>
        <x:v>35.887473599055525</x:v>
      </x:c>
      <x:c r="AN63" t="n">
        <x:f>(((E63*'模块规划'!$D$10+G63*'模块规划'!$D$11+H63*'模块规划'!$D$13)*(1+'模块规划'!$G$14*H63)+(I63*'模块规划'!$D$15+J63*'模块规划'!$D$17+K63*'模块规划'!$D$16+L63*'模块规划'!$D$18))*(1+'模块规划'!$J$17*J63))*F63/(1-Q63)</x:f>
        <x:v>379389.64924544207</x:v>
      </x:c>
      <x:c r="AO63" t="n">
        <x:f>AL63*AM63</x:f>
        <x:v>6537262.295883108</x:v>
      </x:c>
      <x:c r="AP63" t="n">
        <x:f>IF(AO63="","",INDEX('_曲线基线'!$A$3:$A$502,MIN(ROWS('_曲线基线'!$A$3:$A$502),COUNTIF('_曲线基线'!$E$3:$E$502,"&lt;"&amp;AO63)+1)))</x:f>
        <x:v>123</x:v>
      </x:c>
      <x:c r="AQ63" t="n">
        <x:f>IF(B63&lt;=2,1,IF(B63&lt;=6,2,IF(B63&lt;=9,3,IF(B63&lt;=19,4,5))))</x:f>
        <x:v>5</x:v>
      </x:c>
      <x:c r="AR63" t="n">
        <x:f>AN63*(1-Q63)/F63*$AS$3+U63*$AS$4+P63*$AS$5</x:f>
        <x:v>4594.04706420004</x:v>
      </x:c>
      <x:c r="AS63" t="n">
        <x:f>1+AH63*$AS$6+AI63*$AS$7+(AJ63-1)*$AS$8+($H$10*H63+$I$10*I63+$J$10*J63+$K$10*K63+$L$10*L63)*$AU$3*$AS$9+($H$10*H63+$I$10*I63+$J$10*J63+$K$10*K63+$L$10*L63)*$AU$4*$AS$10</x:f>
        <x:v>9.025713335654645</x:v>
      </x:c>
      <x:c r="AT63" t="n">
        <x:f>ROUND(AR63*AS63,0)</x:f>
        <x:v>41465</x:v>
      </x:c>
      <x:c r="AU63" t="n">
        <x:f>ROUND(AT63*F63,0)</x:f>
        <x:v>207325</x:v>
      </x:c>
    </x:row>
    <x:row r="64">
      <x:c r="A64" t="n">
        <x:f>IFERROR(XLOOKUP(B64,'_曲线基线'!$G$3:$G$107,'_曲线基线'!$J$3:$J$107,""),"")</x:f>
        <x:v>26</x:v>
      </x:c>
      <x:c r="B64" t="n">
        <x:v>53</x:v>
      </x:c>
      <x:c r="C64" t="n">
        <x:f>C49+1</x:f>
        <x:v>4</x:v>
      </x:c>
      <x:c r="D64" t="n">
        <x:f>D49</x:f>
        <x:v>14</x:v>
      </x:c>
      <x:c r="E64" t="n">
        <x:f>IF($B64&lt;E$8,0,E$3+(E$4-E$3)*(POWER(E$5,$B64-E$8)-1)/(POWER(E$5,$C$5-E$8)-1))</x:f>
        <x:v>1</x:v>
      </x:c>
      <x:c r="F64" t="n">
        <x:f>1+IF(B64&lt;3,0,MIN(1,(B64-2)/4))+IF(B64&lt;7,0,MIN(1,(B64-6)/3))+IF(B64&lt;10,0,MIN(1,(B64-9)/5))+IF(B64&lt;20,0,MIN(1,(B64-19)/10))</x:f>
        <x:v>5</x:v>
      </x:c>
      <x:c r="G64" t="n">
        <x:f>IF($B64&lt;G$8,0,G$3+(G$4-G$3)*(POWER(G$5,$B64-G$8)-1)/(POWER(G$5,$C$5-G$8)-1))</x:f>
        <x:v>0.49731092497766655</x:v>
      </x:c>
      <x:c r="H64" t="n">
        <x:f>IF($B64&lt;H$8,0,H$3+(H$4-H$3)*(POWER(H$5,$B64-H$8)-1)/(POWER(H$5,$C$5-H$8)-1))</x:f>
        <x:v>0.38345652226417365</x:v>
      </x:c>
      <x:c r="I64" t="n">
        <x:f>IF($B64&lt;I$8,0,I$3+(I$4-I$3)*(POWER(I$5,$B64-I$8)-1)/(POWER(I$5,$C$5-I$8)-1))</x:f>
        <x:v>0</x:v>
      </x:c>
      <x:c r="J64" t="n">
        <x:f>IF($B64&lt;J$8,0,J$3+(J$4-J$3)*(POWER(J$5,$B64-J$8)-1)/(POWER(J$5,$C$5-J$8)-1))</x:f>
        <x:v>0.22445862745414286</x:v>
      </x:c>
      <x:c r="K64" t="n">
        <x:f>IF($B64&lt;K$8,0,K$3+(K$4-K$3)*(POWER(K$5,$B64-K$8)-1)/(POWER(K$5,$C$5-K$8)-1))</x:f>
        <x:v>0</x:v>
      </x:c>
      <x:c r="L64" t="n">
        <x:f>IF($B64&lt;L$8,0,L$3+(L$4-L$3)*(POWER(L$5,$B64-L$8)-1)/(POWER(L$5,$C$5-L$8)-1))</x:f>
        <x:v>0.3769651167935172</x:v>
      </x:c>
      <x:c r="M64" t="n">
        <x:f>E64*'模块规划'!$F$10+G64*'模块规划'!$F$11+H64*'模块规划'!$F$13</x:f>
        <x:v>3387.0924398927996</x:v>
      </x:c>
      <x:c r="N64" t="n">
        <x:f>I64*'模块规划'!$F$15+J64*'模块规划'!$F$17+K64*'模块规划'!$F$16+L64*'模块规划'!$F$18</x:f>
        <x:v>4129.411858509015</x:v>
      </x:c>
      <x:c r="O64" t="n">
        <x:f>1+O$9*SUMPRODUCT($H$10:$L$10,H64:L64)/SUM($H$10:$L$10)</x:f>
        <x:v>1.7879310294531439</x:v>
      </x:c>
      <x:c r="P64" t="n">
        <x:f>M64*O64+N64</x:f>
        <x:v>10185.299531419509</x:v>
      </x:c>
      <x:c r="Q64" t="n">
        <x:f>P64/(P64+'_曲线基线'!$L$2)</x:f>
        <x:v>0.29794384343651165</x:v>
      </x:c>
      <x:c r="R64" t="n">
        <x:f>E64*'模块规划'!$E$10+G64*'模块规划'!$E$11+H64*'模块规划'!$E$13</x:f>
        <x:v>5080.638659839199</x:v>
      </x:c>
      <x:c r="S64" t="n">
        <x:f>I64*'模块规划'!$E$15+J64*'模块规划'!$E$17+K64*'模块规划'!$E$16+L64*'模块规划'!$E$18</x:f>
        <x:v>6194.117787763522</x:v>
      </x:c>
      <x:c r="T64" t="n">
        <x:f>1+T$9*SUMPRODUCT($H$10:$L$10,H64:L64)/SUM($H$10:$L$10)</x:f>
        <x:v>1.7879310294531439</x:v>
      </x:c>
      <x:c r="U64" t="n">
        <x:f>R64*T64+S64</x:f>
        <x:v>15277.949297129262</x:v>
      </x:c>
      <x:c r="V64" t="n">
        <x:f>V$8+(V$9-V$8)*H64</x:f>
        <x:v>0.815036956679252</x:v>
      </x:c>
      <x:c r="W64" t="n">
        <x:f>IF(B64&lt;$H$8,0,W$8+(W$9-W$8)*H64)</x:f>
        <x:v>0.15338260890566946</x:v>
      </x:c>
      <x:c r="X64" t="n">
        <x:f>X$8+(X$9-X$8)*H64</x:f>
        <x:v>0.3804505436226478</x:v>
      </x:c>
      <x:c r="Y64" t="n">
        <x:f>Y$8+(Y$9-Y$8)*G64</x:f>
        <x:v>1</x:v>
      </x:c>
      <x:c r="Z64" t="n">
        <x:f>Z$8+(Z$9-Z$8)*H64</x:f>
        <x:v>1</x:v>
      </x:c>
      <x:c r="AA64" t="n">
        <x:f>AA$8+(AA$9-AA$8)*I64</x:f>
        <x:v>1</x:v>
      </x:c>
      <x:c r="AB64" t="n">
        <x:f>AB$8+(AB$9-AB$8)*J64</x:f>
        <x:v>1</x:v>
      </x:c>
      <x:c r="AC64" t="n">
        <x:f>AC$8+(AC$9-AC$8)*MAX(K64,L64)</x:f>
        <x:v>1</x:v>
      </x:c>
      <x:c r="AD64" t="n">
        <x:f>(V64*AE64+W64*AF64+X64*AG64)*PRODUCT(Y64:AC64)</x:f>
        <x:v>1.4064249180917168</x:v>
      </x:c>
      <x:c r="AE64" t="n">
        <x:f>1+AE$9*($H$10*H64+$I$10*I64+$J$10*J64+$K$10*K64+$L$10*L64)</x:f>
        <x:v>1</x:v>
      </x:c>
      <x:c r="AF64" t="n">
        <x:f>1+AF$9*($H$10*H64+$I$10*I64+$J$10*J64+$K$10*K64+$L$10*L64)</x:f>
        <x:v>1.0695420908586175</x:v>
      </x:c>
      <x:c r="AG64" t="n">
        <x:f>1+AG$9*($H$10*H64+$I$10*I64+$J$10*J64+$K$10*K64+$L$10*L64)</x:f>
        <x:v>1.12324403879944</x:v>
      </x:c>
      <x:c r="AH64" t="n">
        <x:f>MIN(1,'_曲线基线'!$L$3+AH$9*($H$10*H64+$I$10*I64+$J$10*J64+$K$10*K64+$L$10*L64))</x:f>
        <x:v>0.2082082567033549</x:v>
      </x:c>
      <x:c r="AI64" t="n">
        <x:f>'_曲线基线'!$L$4+AI$9*($H$10*H64+$I$10*I64+$J$10*J64+$K$10*K64+$L$10*L64)</x:f>
        <x:v>2.4407230008164884</x:v>
      </x:c>
      <x:c r="AJ64" t="n">
        <x:f>1+AJ$9*($H$10*H64+$I$10*I64+$J$10*J64+$K$10*K64+$L$10*L64)</x:f>
        <x:v>1.3616188724648113</x:v>
      </x:c>
      <x:c r="AK64" t="n">
        <x:f>(1+AH64*(AI64-1))*AJ64</x:f>
        <x:v>1.770064263498819</x:v>
      </x:c>
      <x:c r="AL64" t="n">
        <x:f>U64*AD64*AK64*F64</x:f>
        <x:v>190169.40825282043</x:v>
      </x:c>
      <x:c r="AM64" t="n">
        <x:f>IF($B64&lt;AM$8,0,AM$3+(AM$4-AM$3)*(POWER(AM$5,$B64-AM$8)-1)/(POWER(AM$5,$C$5-AM$8)-1))</x:f>
        <x:v>35.90977297496795</x:v>
      </x:c>
      <x:c r="AN64" t="n">
        <x:f>(((E64*'模块规划'!$D$10+G64*'模块规划'!$D$11+H64*'模块规划'!$D$13)*(1+'模块规划'!$G$14*H64)+(I64*'模块规划'!$D$15+J64*'模块规划'!$D$17+K64*'模块规划'!$D$16+L64*'模块规划'!$D$18))*(1+'模块规划'!$J$17*J64))*F64/(1-Q64)</x:f>
        <x:v>392591.43894419074</x:v>
      </x:c>
      <x:c r="AO64" t="n">
        <x:f>AL64*AM64</x:f>
        <x:v>6828940.277142778</x:v>
      </x:c>
      <x:c r="AP64" t="n">
        <x:f>IF(AO64="","",INDEX('_曲线基线'!$A$3:$A$502,MIN(ROWS('_曲线基线'!$A$3:$A$502),COUNTIF('_曲线基线'!$E$3:$E$502,"&lt;"&amp;AO64)+1)))</x:f>
        <x:v>125</x:v>
      </x:c>
      <x:c r="AQ64" t="n">
        <x:f>IF(B64&lt;=2,1,IF(B64&lt;=6,2,IF(B64&lt;=9,3,IF(B64&lt;=19,4,5))))</x:f>
        <x:v>5</x:v>
      </x:c>
      <x:c r="AR64" t="n">
        <x:f>AN64*(1-Q64)/F64*$AS$3+U64*$AS$4+P64*$AS$5</x:f>
        <x:v>4709.31727977518</x:v>
      </x:c>
      <x:c r="AS64" t="n">
        <x:f>1+AH64*$AS$6+AI64*$AS$7+(AJ64-1)*$AS$8+($H$10*H64+$I$10*I64+$J$10*J64+$K$10*K64+$L$10*L64)*$AU$3*$AS$9+($H$10*H64+$I$10*I64+$J$10*J64+$K$10*K64+$L$10*L64)*$AU$4*$AS$10</x:f>
        <x:v>9.136798946003136</x:v>
      </x:c>
      <x:c r="AT64" t="n">
        <x:f>ROUND(AR64*AS64,0)</x:f>
        <x:v>43028</x:v>
      </x:c>
      <x:c r="AU64" t="n">
        <x:f>ROUND(AT64*F64,0)</x:f>
        <x:v>215140</x:v>
      </x:c>
    </x:row>
    <x:row r="65">
      <x:c r="A65" t="n">
        <x:f>IFERROR(XLOOKUP(B65,'_曲线基线'!$G$3:$G$107,'_曲线基线'!$J$3:$J$107,""),"")</x:f>
        <x:v>27</x:v>
      </x:c>
      <x:c r="B65" t="n">
        <x:v>54</x:v>
      </x:c>
      <x:c r="C65" t="n">
        <x:f>C50+1</x:f>
        <x:v>4</x:v>
      </x:c>
      <x:c r="D65" t="n">
        <x:f>D50</x:f>
        <x:v>15</x:v>
      </x:c>
      <x:c r="E65" t="n">
        <x:f>IF($B65&lt;E$8,0,E$3+(E$4-E$3)*(POWER(E$5,$B65-E$8)-1)/(POWER(E$5,$C$5-E$8)-1))</x:f>
        <x:v>1</x:v>
      </x:c>
      <x:c r="F65" t="n">
        <x:f>1+IF(B65&lt;3,0,MIN(1,(B65-2)/4))+IF(B65&lt;7,0,MIN(1,(B65-6)/3))+IF(B65&lt;10,0,MIN(1,(B65-9)/5))+IF(B65&lt;20,0,MIN(1,(B65-19)/10))</x:f>
        <x:v>5</x:v>
      </x:c>
      <x:c r="G65" t="n">
        <x:f>IF($B65&lt;G$8,0,G$3+(G$4-G$3)*(POWER(G$5,$B65-G$8)-1)/(POWER(G$5,$C$5-G$8)-1))</x:f>
        <x:v>0.5035564515574974</x:v>
      </x:c>
      <x:c r="H65" t="n">
        <x:f>IF($B65&lt;H$8,0,H$3+(H$4-H$3)*(POWER(H$5,$B65-H$8)-1)/(POWER(H$5,$C$5-H$8)-1))</x:f>
        <x:v>0.3898539340584017</x:v>
      </x:c>
      <x:c r="I65" t="n">
        <x:f>IF($B65&lt;I$8,0,I$3+(I$4-I$3)*(POWER(I$5,$B65-I$8)-1)/(POWER(I$5,$C$5-I$8)-1))</x:f>
        <x:v>0</x:v>
      </x:c>
      <x:c r="J65" t="n">
        <x:f>IF($B65&lt;J$8,0,J$3+(J$4-J$3)*(POWER(J$5,$B65-J$8)-1)/(POWER(J$5,$C$5-J$8)-1))</x:f>
        <x:v>0.23204839939678387</x:v>
      </x:c>
      <x:c r="K65" t="n">
        <x:f>IF($B65&lt;K$8,0,K$3+(K$4-K$3)*(POWER(K$5,$B65-K$8)-1)/(POWER(K$5,$C$5-K$8)-1))</x:f>
        <x:v>0</x:v>
      </x:c>
      <x:c r="L65" t="n">
        <x:f>IF($B65&lt;L$8,0,L$3+(L$4-L$3)*(POWER(L$5,$B65-L$8)-1)/(POWER(L$5,$C$5-L$8)-1))</x:f>
        <x:v>0.3834937212890324</x:v>
      </x:c>
      <x:c r="M65" t="n">
        <x:f>E65*'模块规划'!$F$10+G65*'模块规划'!$F$11+H65*'模块规划'!$F$13</x:f>
        <x:v>3417.0709674759873</x:v>
      </x:c>
      <x:c r="N65" t="n">
        <x:f>I65*'模块规划'!$F$15+J65*'模块规划'!$F$17+K65*'模块规划'!$F$16+L65*'模块规划'!$F$18</x:f>
        <x:v>4237.952600413</x:v>
      </x:c>
      <x:c r="O65" t="n">
        <x:f>1+O$9*SUMPRODUCT($H$10:$L$10,H65:L65)/SUM($H$10:$L$10)</x:f>
        <x:v>1.808574284224457</x:v>
      </x:c>
      <x:c r="P65" t="n">
        <x:f>M65*O65+N65</x:f>
        <x:v>10417.979279560057</x:v>
      </x:c>
      <x:c r="Q65" t="n">
        <x:f>P65/(P65+'_曲线基线'!$L$2)</x:f>
        <x:v>0.3026900328732263</x:v>
      </x:c>
      <x:c r="R65" t="n">
        <x:f>E65*'模块规划'!$E$10+G65*'模块规划'!$E$11+H65*'模块规划'!$E$13</x:f>
        <x:v>5125.606451213982</x:v>
      </x:c>
      <x:c r="S65" t="n">
        <x:f>I65*'模块规划'!$E$15+J65*'模块规划'!$E$17+K65*'模块规划'!$E$16+L65*'模块规划'!$E$18</x:f>
        <x:v>6356.928900619501</x:v>
      </x:c>
      <x:c r="T65" t="n">
        <x:f>1+T$9*SUMPRODUCT($H$10:$L$10,H65:L65)/SUM($H$10:$L$10)</x:f>
        <x:v>1.808574284224457</x:v>
      </x:c>
      <x:c r="U65" t="n">
        <x:f>R65*T65+S65</x:f>
        <x:v>15626.968919340088</x:v>
      </x:c>
      <x:c r="V65" t="n">
        <x:f>V$8+(V$9-V$8)*H65</x:f>
        <x:v>0.8169561802175205</x:v>
      </x:c>
      <x:c r="W65" t="n">
        <x:f>IF(B65&lt;$H$8,0,W$8+(W$9-W$8)*H65)</x:f>
        <x:v>0.1559415736233607</x:v>
      </x:c>
      <x:c r="X65" t="n">
        <x:f>X$8+(X$9-X$8)*H65</x:f>
        <x:v>0.3822098318660605</x:v>
      </x:c>
      <x:c r="Y65" t="n">
        <x:f>Y$8+(Y$9-Y$8)*G65</x:f>
        <x:v>1</x:v>
      </x:c>
      <x:c r="Z65" t="n">
        <x:f>Z$8+(Z$9-Z$8)*H65</x:f>
        <x:v>1</x:v>
      </x:c>
      <x:c r="AA65" t="n">
        <x:f>AA$8+(AA$9-AA$8)*I65</x:f>
        <x:v>1</x:v>
      </x:c>
      <x:c r="AB65" t="n">
        <x:f>AB$8+(AB$9-AB$8)*J65</x:f>
        <x:v>1</x:v>
      </x:c>
      <x:c r="AC65" t="n">
        <x:f>AC$8+(AC$9-AC$8)*MAX(K65,L65)</x:f>
        <x:v>1</x:v>
      </x:c>
      <x:c r="AD65" t="n">
        <x:f>(V65*AE65+W65*AF65+X65*AG65)*PRODUCT(Y65:AC65)</x:f>
        <x:v>1.414575411718212</x:v>
      </x:c>
      <x:c r="AE65" t="n">
        <x:f>1+AE$9*($H$10*H65+$I$10*I65+$J$10*J65+$K$10*K65+$L$10*L65)</x:f>
        <x:v>1</x:v>
      </x:c>
      <x:c r="AF65" t="n">
        <x:f>1+AF$9*($H$10*H65+$I$10*I65+$J$10*J65+$K$10*K65+$L$10*L65)</x:f>
        <x:v>1.0713640461380292</x:v>
      </x:c>
      <x:c r="AG65" t="n">
        <x:f>1+AG$9*($H$10*H65+$I$10*I65+$J$10*J65+$K$10*K65+$L$10*L65)</x:f>
        <x:v>1.126472948433508</x:v>
      </x:c>
      <x:c r="AH65" t="n">
        <x:f>MIN(1,'_曲线基线'!$L$3+AH$9*($H$10*H65+$I$10*I65+$J$10*J65+$K$10*K65+$L$10*L65))</x:f>
        <x:v>0.21235320496401594</x:v>
      </x:c>
      <x:c r="AI65" t="n">
        <x:f>'_曲线基线'!$L$4+AI$9*($H$10*H65+$I$10*I65+$J$10*J65+$K$10*K65+$L$10*L65)</x:f>
        <x:v>2.4522696423997585</x:v>
      </x:c>
      <x:c r="AJ65" t="n">
        <x:f>1+AJ$9*($H$10*H65+$I$10*I65+$J$10*J65+$K$10*K65+$L$10*L65)</x:f>
        <x:v>1.3710930399177508</x:v>
      </x:c>
      <x:c r="AK65" t="n">
        <x:f>(1+AH65*(AI65-1))*AJ65</x:f>
        <x:v>1.7939300618523797</x:v>
      </x:c>
      <x:c r="AL65" t="n">
        <x:f>U65*AD65*AK65*F65</x:f>
        <x:v>198278.8380593588</x:v>
      </x:c>
      <x:c r="AM65" t="n">
        <x:f>IF($B65&lt;AM$8,0,AM$3+(AM$4-AM$3)*(POWER(AM$5,$B65-AM$8)-1)/(POWER(AM$5,$C$5-AM$8)-1))</x:f>
        <x:v>35.93229534463949</x:v>
      </x:c>
      <x:c r="AN65" t="n">
        <x:f>(((E65*'模块规划'!$D$10+G65*'模块规划'!$D$11+H65*'模块规划'!$D$13)*(1+'模块规划'!$G$14*H65)+(I65*'模块规划'!$D$15+J65*'模块规划'!$D$17+K65*'模块规划'!$D$16+L65*'模块规划'!$D$18))*(1+'模块规划'!$J$17*J65))*F65/(1-Q65)</x:f>
        <x:v>405824.71379790746</x:v>
      </x:c>
      <x:c r="AO65" t="n">
        <x:f>AL65*AM65</x:f>
        <x:v>7124613.7697408255</x:v>
      </x:c>
      <x:c r="AP65" t="n">
        <x:f>IF(AO65="","",INDEX('_曲线基线'!$A$3:$A$502,MIN(ROWS('_曲线基线'!$A$3:$A$502),COUNTIF('_曲线基线'!$E$3:$E$502,"&lt;"&amp;AO65)+1)))</x:f>
        <x:v>127</x:v>
      </x:c>
      <x:c r="AQ65" t="n">
        <x:f>IF(B65&lt;=2,1,IF(B65&lt;=6,2,IF(B65&lt;=9,3,IF(B65&lt;=19,4,5))))</x:f>
        <x:v>5</x:v>
      </x:c>
      <x:c r="AR65" t="n">
        <x:f>AN65*(1-Q65)/F65*$AS$3+U65*$AS$4+P65*$AS$5</x:f>
        <x:v>4823.307490893925</x:v>
      </x:c>
      <x:c r="AS65" t="n">
        <x:f>1+AH65*$AS$6+AI65*$AS$7+(AJ65-1)*$AS$8+($H$10*H65+$I$10*I65+$J$10*J65+$K$10*K65+$L$10*L65)*$AU$3*$AS$9+($H$10*H65+$I$10*I65+$J$10*J65+$K$10*K65+$L$10*L65)*$AU$4*$AS$10</x:f>
        <x:v>9.245662844144656</x:v>
      </x:c>
      <x:c r="AT65" t="n">
        <x:f>ROUND(AR65*AS65,0)</x:f>
        <x:v>44595</x:v>
      </x:c>
      <x:c r="AU65" t="n">
        <x:f>ROUND(AT65*F65,0)</x:f>
        <x:v>222975</x:v>
      </x:c>
    </x:row>
    <x:row r="66">
      <x:c r="A66" t="n">
        <x:f>IFERROR(XLOOKUP(B66,'_曲线基线'!$G$3:$G$107,'_曲线基线'!$J$3:$J$107,""),"")</x:f>
        <x:v>27</x:v>
      </x:c>
      <x:c r="B66" t="n">
        <x:v>55</x:v>
      </x:c>
      <x:c r="C66" t="n">
        <x:f>C51+1</x:f>
        <x:v>5</x:v>
      </x:c>
      <x:c r="D66" t="n">
        <x:f>D51</x:f>
        <x:v>1</x:v>
      </x:c>
      <x:c r="E66" t="n">
        <x:f>IF($B66&lt;E$8,0,E$3+(E$4-E$3)*(POWER(E$5,$B66-E$8)-1)/(POWER(E$5,$C$5-E$8)-1))</x:f>
        <x:v>1</x:v>
      </x:c>
      <x:c r="F66" t="n">
        <x:f>1+IF(B66&lt;3,0,MIN(1,(B66-2)/4))+IF(B66&lt;7,0,MIN(1,(B66-6)/3))+IF(B66&lt;10,0,MIN(1,(B66-9)/5))+IF(B66&lt;20,0,MIN(1,(B66-19)/10))</x:f>
        <x:v>5</x:v>
      </x:c>
      <x:c r="G66" t="n">
        <x:f>IF($B66&lt;G$8,0,G$3+(G$4-G$3)*(POWER(G$5,$B66-G$8)-1)/(POWER(G$5,$C$5-G$8)-1))</x:f>
        <x:v>0.5097082952386309</x:v>
      </x:c>
      <x:c r="H66" t="n">
        <x:f>IF($B66&lt;H$8,0,H$3+(H$4-H$3)*(POWER(H$5,$B66-H$8)-1)/(POWER(H$5,$C$5-H$8)-1))</x:f>
        <x:v>0.396123397616745</x:v>
      </x:c>
      <x:c r="I66" t="n">
        <x:f>IF($B66&lt;I$8,0,I$3+(I$4-I$3)*(POWER(I$5,$B66-I$8)-1)/(POWER(I$5,$C$5-I$8)-1))</x:f>
        <x:v>0</x:v>
      </x:c>
      <x:c r="J66" t="n">
        <x:f>IF($B66&lt;J$8,0,J$3+(J$4-J$3)*(POWER(J$5,$B66-J$8)-1)/(POWER(J$5,$C$5-J$8)-1))</x:f>
        <x:v>0.23948637590057212</x:v>
      </x:c>
      <x:c r="K66" t="n">
        <x:f>IF($B66&lt;K$8,0,K$3+(K$4-K$3)*(POWER(K$5,$B66-K$8)-1)/(POWER(K$5,$C$5-K$8)-1))</x:f>
        <x:v>0</x:v>
      </x:c>
      <x:c r="L66" t="n">
        <x:f>IF($B66&lt;L$8,0,L$3+(L$4-L$3)*(POWER(L$5,$B66-L$8)-1)/(POWER(L$5,$C$5-L$8)-1))</x:f>
        <x:v>0.3898917536946376</x:v>
      </x:c>
      <x:c r="M66" t="n">
        <x:f>E66*'模块规划'!$F$10+G66*'模块规划'!$F$11+H66*'模块规划'!$F$13</x:f>
        <x:v>3446.5998171454285</x:v>
      </x:c>
      <x:c r="N66" t="n">
        <x:f>I66*'模块规划'!$F$15+J66*'模块规划'!$F$17+K66*'模块规划'!$F$16+L66*'模块规划'!$F$18</x:f>
        <x:v>4344.322527478909</x:v>
      </x:c>
      <x:c r="O66" t="n">
        <x:f>1+O$9*SUMPRODUCT($H$10:$L$10,H66:L66)/SUM($H$10:$L$10)</x:f>
        <x:v>1.828804673900344</x:v>
      </x:c>
      <x:c r="P66" t="n">
        <x:f>M66*O66+N66</x:f>
        <x:v>10647.48038213854</x:v>
      </x:c>
      <x:c r="Q66" t="n">
        <x:f>P66/(P66+'_曲线基线'!$L$2)</x:f>
        <x:v>0.3073089374668504</x:v>
      </x:c>
      <x:c r="R66" t="n">
        <x:f>E66*'模块规划'!$E$10+G66*'模块规划'!$E$11+H66*'模块规划'!$E$13</x:f>
        <x:v>5169.899725718143</x:v>
      </x:c>
      <x:c r="S66" t="n">
        <x:f>I66*'模块规划'!$E$15+J66*'模块规划'!$E$17+K66*'模块规划'!$E$16+L66*'模块规划'!$E$18</x:f>
        <x:v>6516.483791218363</x:v>
      </x:c>
      <x:c r="T66" t="n">
        <x:f>1+T$9*SUMPRODUCT($H$10:$L$10,H66:L66)/SUM($H$10:$L$10)</x:f>
        <x:v>1.828804673900344</x:v>
      </x:c>
      <x:c r="U66" t="n">
        <x:f>R66*T66+S66</x:f>
        <x:v>15971.22057320781</x:v>
      </x:c>
      <x:c r="V66" t="n">
        <x:f>V$8+(V$9-V$8)*H66</x:f>
        <x:v>0.8188370192850235</x:v>
      </x:c>
      <x:c r="W66" t="n">
        <x:f>IF(B66&lt;$H$8,0,W$8+(W$9-W$8)*H66)</x:f>
        <x:v>0.158449359046698</x:v>
      </x:c>
      <x:c r="X66" t="n">
        <x:f>X$8+(X$9-X$8)*H66</x:f>
        <x:v>0.3839339343446049</x:v>
      </x:c>
      <x:c r="Y66" t="n">
        <x:f>Y$8+(Y$9-Y$8)*G66</x:f>
        <x:v>1</x:v>
      </x:c>
      <x:c r="Z66" t="n">
        <x:f>Z$8+(Z$9-Z$8)*H66</x:f>
        <x:v>1</x:v>
      </x:c>
      <x:c r="AA66" t="n">
        <x:f>AA$8+(AA$9-AA$8)*I66</x:f>
        <x:v>1</x:v>
      </x:c>
      <x:c r="AB66" t="n">
        <x:f>AB$8+(AB$9-AB$8)*J66</x:f>
        <x:v>1</x:v>
      </x:c>
      <x:c r="AC66" t="n">
        <x:f>AC$8+(AC$9-AC$8)*MAX(K66,L66)</x:f>
        <x:v>1</x:v>
      </x:c>
      <x:c r="AD66" t="n">
        <x:f>(V66*AE66+W66*AF66+X66*AG66)*PRODUCT(Y66:AC66)</x:f>
        <x:v>1.422582964839287</x:v>
      </x:c>
      <x:c r="AE66" t="n">
        <x:f>1+AE$9*($H$10*H66+$I$10*I66+$J$10*J66+$K$10*K66+$L$10*L66)</x:f>
        <x:v>1</x:v>
      </x:c>
      <x:c r="AF66" t="n">
        <x:f>1+AF$9*($H$10*H66+$I$10*I66+$J$10*J66+$K$10*K66+$L$10*L66)</x:f>
        <x:v>1.0731495623118523</x:v>
      </x:c>
      <x:c r="AG66" t="n">
        <x:f>1+AG$9*($H$10*H66+$I$10*I66+$J$10*J66+$K$10*K66+$L$10*L66)</x:f>
        <x:v>1.1296372798748948</x:v>
      </x:c>
      <x:c r="AH66" t="n">
        <x:f>MIN(1,'_曲线基线'!$L$3+AH$9*($H$10*H66+$I$10*I66+$J$10*J66+$K$10*K66+$L$10*L66))</x:f>
        <x:v>0.21641525425946379</x:v>
      </x:c>
      <x:c r="AI66" t="n">
        <x:f>'_曲线基线'!$L$4+AI$9*($H$10*H66+$I$10*I66+$J$10*J66+$K$10*K66+$L$10*L66)</x:f>
        <x:v>2.4635853511513632</x:v>
      </x:c>
      <x:c r="AJ66" t="n">
        <x:f>1+AJ$9*($H$10*H66+$I$10*I66+$J$10*J66+$K$10*K66+$L$10*L66)</x:f>
        <x:v>1.3803777240216315</x:v>
      </x:c>
      <x:c r="AK66" t="n">
        <x:f>(1+AH66*(AI66-1))*AJ66</x:f>
        <x:v>1.8176015954994786</x:v>
      </x:c>
      <x:c r="AL66" t="n">
        <x:f>U66*AD66*AK66*F66</x:f>
        <x:v>206483.0520837802</x:v>
      </x:c>
      <x:c r="AM66" t="n">
        <x:f>IF($B66&lt;AM$8,0,AM$3+(AM$4-AM$3)*(POWER(AM$5,$B66-AM$8)-1)/(POWER(AM$5,$C$5-AM$8)-1))</x:f>
        <x:v>35.95504293800776</x:v>
      </x:c>
      <x:c r="AN66" t="n">
        <x:f>(((E66*'模块规划'!$D$10+G66*'模块规划'!$D$11+H66*'模块规划'!$D$13)*(1+'模块规划'!$G$14*H66)+(I66*'模块规划'!$D$15+J66*'模块规划'!$D$17+K66*'模块规划'!$D$16+L66*'模块规划'!$D$18))*(1+'模块规划'!$J$17*J66))*F66/(1-Q66)</x:f>
        <x:v>419082.2056741435</x:v>
      </x:c>
      <x:c r="AO66" t="n">
        <x:f>AL66*AM66</x:f>
        <x:v>7424107.003643209</x:v>
      </x:c>
      <x:c r="AP66" t="n">
        <x:f>IF(AO66="","",INDEX('_曲线基线'!$A$3:$A$502,MIN(ROWS('_曲线基线'!$A$3:$A$502),COUNTIF('_曲线基线'!$E$3:$E$502,"&lt;"&amp;AO66)+1)))</x:f>
        <x:v>129</x:v>
      </x:c>
      <x:c r="AQ66" t="n">
        <x:f>IF(B66&lt;=2,1,IF(B66&lt;=6,2,IF(B66&lt;=9,3,IF(B66&lt;=19,4,5))))</x:f>
        <x:v>5</x:v>
      </x:c>
      <x:c r="AR66" t="n">
        <x:f>AN66*(1-Q66)/F66*$AS$3+U66*$AS$4+P66*$AS$5</x:f>
        <x:v>4936.0111046645125</x:v>
      </x:c>
      <x:c r="AS66" t="n">
        <x:f>1+AH66*$AS$6+AI66*$AS$7+(AJ66-1)*$AS$8+($H$10*H66+$I$10*I66+$J$10*J66+$K$10*K66+$L$10*L66)*$AU$3*$AS$9+($H$10*H66+$I$10*I66+$J$10*J66+$K$10*K66+$L$10*L66)*$AU$4*$AS$10</x:f>
        <x:v>9.352349464323346</x:v>
      </x:c>
      <x:c r="AT66" t="n">
        <x:f>ROUND(AR66*AS66,0)</x:f>
        <x:v>46163</x:v>
      </x:c>
      <x:c r="AU66" t="n">
        <x:f>ROUND(AT66*F66,0)</x:f>
        <x:v>230815</x:v>
      </x:c>
    </x:row>
    <x:row r="67">
      <x:c r="A67" t="n">
        <x:f>IFERROR(XLOOKUP(B67,'_曲线基线'!$G$3:$G$107,'_曲线基线'!$J$3:$J$107,""),"")</x:f>
        <x:v>27</x:v>
      </x:c>
      <x:c r="B67" t="n">
        <x:v>56</x:v>
      </x:c>
      <x:c r="C67" t="n">
        <x:f>C52+1</x:f>
        <x:v>5</x:v>
      </x:c>
      <x:c r="D67" t="n">
        <x:f>D52</x:f>
        <x:v>2</x:v>
      </x:c>
      <x:c r="E67" t="n">
        <x:f>IF($B67&lt;E$8,0,E$3+(E$4-E$3)*(POWER(E$5,$B67-E$8)-1)/(POWER(E$5,$C$5-E$8)-1))</x:f>
        <x:v>1</x:v>
      </x:c>
      <x:c r="F67" t="n">
        <x:f>1+IF(B67&lt;3,0,MIN(1,(B67-2)/4))+IF(B67&lt;7,0,MIN(1,(B67-6)/3))+IF(B67&lt;10,0,MIN(1,(B67-9)/5))+IF(B67&lt;20,0,MIN(1,(B67-19)/10))</x:f>
        <x:v>5</x:v>
      </x:c>
      <x:c r="G67" t="n">
        <x:f>IF($B67&lt;G$8,0,G$3+(G$4-G$3)*(POWER(G$5,$B67-G$8)-1)/(POWER(G$5,$C$5-G$8)-1))</x:f>
        <x:v>0.5157678612645471</x:v>
      </x:c>
      <x:c r="H67" t="n">
        <x:f>IF($B67&lt;H$8,0,H$3+(H$4-H$3)*(POWER(H$5,$B67-H$8)-1)/(POWER(H$5,$C$5-H$8)-1))</x:f>
        <x:v>0.4022674719039214</x:v>
      </x:c>
      <x:c r="I67" t="n">
        <x:f>IF($B67&lt;I$8,0,I$3+(I$4-I$3)*(POWER(I$5,$B67-I$8)-1)/(POWER(I$5,$C$5-I$8)-1))</x:f>
        <x:v>0</x:v>
      </x:c>
      <x:c r="J67" t="n">
        <x:f>IF($B67&lt;J$8,0,J$3+(J$4-J$3)*(POWER(J$5,$B67-J$8)-1)/(POWER(J$5,$C$5-J$8)-1))</x:f>
        <x:v>0.24677559287428455</x:v>
      </x:c>
      <x:c r="K67" t="n">
        <x:f>IF($B67&lt;K$8,0,K$3+(K$4-K$3)*(POWER(K$5,$B67-K$8)-1)/(POWER(K$5,$C$5-K$8)-1))</x:f>
        <x:v>0</x:v>
      </x:c>
      <x:c r="L67" t="n">
        <x:f>IF($B67&lt;L$8,0,L$3+(L$4-L$3)*(POWER(L$5,$B67-L$8)-1)/(POWER(L$5,$C$5-L$8)-1))</x:f>
        <x:v>0.3961618254521305</x:v>
      </x:c>
      <x:c r="M67" t="n">
        <x:f>E67*'模块规划'!$F$10+G67*'模块规划'!$F$11+H67*'模块规划'!$F$13</x:f>
        <x:v>3475.685734069826</x:v>
      </x:c>
      <x:c r="N67" t="n">
        <x:f>I67*'模块规划'!$F$15+J67*'模块规划'!$F$17+K67*'模块规划'!$F$16+L67*'模块规划'!$F$18</x:f>
        <x:v>4448.565056003497</x:v>
      </x:c>
      <x:c r="O67" t="n">
        <x:f>1+O$9*SUMPRODUCT($H$10:$L$10,H67:L67)/SUM($H$10:$L$10)</x:f>
        <x:v>1.8486304557827131</x:v>
      </x:c>
      <x:c r="P67" t="n">
        <x:f>M67*O67+N67</x:f>
        <x:v>10873.823558734475</x:v>
      </x:c>
      <x:c r="Q67" t="n">
        <x:f>P67/(P67+'_曲线基线'!$L$2)</x:f>
        <x:v>0.3118047420415713</x:v>
      </x:c>
      <x:c r="R67" t="n">
        <x:f>E67*'模块规划'!$E$10+G67*'模块规划'!$E$11+H67*'模块规划'!$E$13</x:f>
        <x:v>5213.528601104739</x:v>
      </x:c>
      <x:c r="S67" t="n">
        <x:f>I67*'模块规划'!$E$15+J67*'模块规划'!$E$17+K67*'模块规划'!$E$16+L67*'模块规划'!$E$18</x:f>
        <x:v>6672.847584005247</x:v>
      </x:c>
      <x:c r="T67" t="n">
        <x:f>1+T$9*SUMPRODUCT($H$10:$L$10,H67:L67)/SUM($H$10:$L$10)</x:f>
        <x:v>1.8486304557827131</x:v>
      </x:c>
      <x:c r="U67" t="n">
        <x:f>R67*T67+S67</x:f>
        <x:v>16310.735338101711</x:v>
      </x:c>
      <x:c r="V67" t="n">
        <x:f>V$8+(V$9-V$8)*H67</x:f>
        <x:v>0.8206802415711764</x:v>
      </x:c>
      <x:c r="W67" t="n">
        <x:f>IF(B67&lt;$H$8,0,W$8+(W$9-W$8)*H67)</x:f>
        <x:v>0.1609069887615686</x:v>
      </x:c>
      <x:c r="X67" t="n">
        <x:f>X$8+(X$9-X$8)*H67</x:f>
        <x:v>0.3856235547735784</x:v>
      </x:c>
      <x:c r="Y67" t="n">
        <x:f>Y$8+(Y$9-Y$8)*G67</x:f>
        <x:v>1</x:v>
      </x:c>
      <x:c r="Z67" t="n">
        <x:f>Z$8+(Z$9-Z$8)*H67</x:f>
        <x:v>1</x:v>
      </x:c>
      <x:c r="AA67" t="n">
        <x:f>AA$8+(AA$9-AA$8)*I67</x:f>
        <x:v>1</x:v>
      </x:c>
      <x:c r="AB67" t="n">
        <x:f>AB$8+(AB$9-AB$8)*J67</x:f>
        <x:v>1</x:v>
      </x:c>
      <x:c r="AC67" t="n">
        <x:f>AC$8+(AC$9-AC$8)*MAX(K67,L67)</x:f>
        <x:v>1</x:v>
      </x:c>
      <x:c r="AD67" t="n">
        <x:f>(V67*AE67+W67*AF67+X67*AG67)*PRODUCT(Y67:AC67)</x:f>
        <x:v>1.4304496415181123</x:v>
      </x:c>
      <x:c r="AE67" t="n">
        <x:f>1+AE$9*($H$10*H67+$I$10*I67+$J$10*J67+$K$10*K67+$L$10*L67)</x:f>
        <x:v>1</x:v>
      </x:c>
      <x:c r="AF67" t="n">
        <x:f>1+AF$9*($H$10*H67+$I$10*I67+$J$10*J67+$K$10*K67+$L$10*L67)</x:f>
        <x:v>1.074899368162199</x:v>
      </x:c>
      <x:c r="AG67" t="n">
        <x:f>1+AG$9*($H$10*H67+$I$10*I67+$J$10*J67+$K$10*K67+$L$10*L67)</x:f>
        <x:v>1.1327383246874538</x:v>
      </x:c>
      <x:c r="AH67" t="n">
        <x:f>MIN(1,'_曲线基线'!$L$3+AH$9*($H$10*H67+$I$10*I67+$J$10*J67+$K$10*K67+$L$10*L67))</x:f>
        <x:v>0.22039606256900263</x:v>
      </x:c>
      <x:c r="AI67" t="n">
        <x:f>'_曲线基线'!$L$4+AI$9*($H$10*H67+$I$10*I67+$J$10*J67+$K$10*K67+$L$10*L67)</x:f>
        <x:v>2.474674745727936</x:v>
      </x:c>
      <x:c r="AJ67" t="n">
        <x:f>1+AJ$9*($H$10*H67+$I$10*I67+$J$10*J67+$K$10*K67+$L$10*L67)</x:f>
        <x:v>1.3894767144434346</x:v>
      </x:c>
      <x:c r="AK67" t="n">
        <x:f>(1+AH67*(AI67-1))*AJ67</x:f>
        <x:v>1.8410740255569933</x:v>
      </x:c>
      <x:c r="AL67" t="n">
        <x:f>U67*AD67*AK67*F67</x:f>
        <x:v>214776.8008916829</x:v>
      </x:c>
      <x:c r="AM67" t="n">
        <x:f>IF($B67&lt;AM$8,0,AM$3+(AM$4-AM$3)*(POWER(AM$5,$B67-AM$8)-1)/(POWER(AM$5,$C$5-AM$8)-1))</x:f>
        <x:v>35.97801800730971</x:v>
      </x:c>
      <x:c r="AN67" t="n">
        <x:f>(((E67*'模块规划'!$D$10+G67*'模块规划'!$D$11+H67*'模块规划'!$D$13)*(1+'模块规划'!$G$14*H67)+(I67*'模块规划'!$D$15+J67*'模块规划'!$D$17+K67*'模块规划'!$D$16+L67*'模块规划'!$D$18))*(1+'模块规划'!$J$17*J67))*F67/(1-Q67)</x:f>
        <x:v>432356.8606998894</x:v>
      </x:c>
      <x:c r="AO67" t="n">
        <x:f>AL67*AM67</x:f>
        <x:v>7727243.61003334</x:v>
      </x:c>
      <x:c r="AP67" t="n">
        <x:f>IF(AO67="","",INDEX('_曲线基线'!$A$3:$A$502,MIN(ROWS('_曲线基线'!$A$3:$A$502),COUNTIF('_曲线基线'!$E$3:$E$502,"&lt;"&amp;AO67)+1)))</x:f>
        <x:v>131</x:v>
      </x:c>
      <x:c r="AQ67" t="n">
        <x:f>IF(B67&lt;=2,1,IF(B67&lt;=6,2,IF(B67&lt;=9,3,IF(B67&lt;=19,4,5))))</x:f>
        <x:v>5</x:v>
      </x:c>
      <x:c r="AR67" t="n">
        <x:f>AN67*(1-Q67)/F67*$AS$3+U67*$AS$4+P67*$AS$5</x:f>
        <x:v>5047.422715297083</x:v>
      </x:c>
      <x:c r="AS67" t="n">
        <x:f>1+AH67*$AS$6+AI67*$AS$7+(AJ67-1)*$AS$8+($H$10*H67+$I$10*I67+$J$10*J67+$K$10*K67+$L$10*L67)*$AU$3*$AS$9+($H$10*H67+$I$10*I67+$J$10*J67+$K$10*K67+$L$10*L67)*$AU$4*$AS$10</x:f>
        <x:v>9.456902352098464</x:v>
      </x:c>
      <x:c r="AT67" t="n">
        <x:f>ROUND(AR67*AS67,0)</x:f>
        <x:v>47733</x:v>
      </x:c>
      <x:c r="AU67" t="n">
        <x:f>ROUND(AT67*F67,0)</x:f>
        <x:v>238665</x:v>
      </x:c>
    </x:row>
    <x:row r="68">
      <x:c r="A68" t="n">
        <x:f>IFERROR(XLOOKUP(B68,'_曲线基线'!$G$3:$G$107,'_曲线基线'!$J$3:$J$107,""),"")</x:f>
        <x:v>28</x:v>
      </x:c>
      <x:c r="B68" t="n">
        <x:v>57</x:v>
      </x:c>
      <x:c r="C68" t="n">
        <x:f>C53+1</x:f>
        <x:v>5</x:v>
      </x:c>
      <x:c r="D68" t="n">
        <x:f>D53</x:f>
        <x:v>3</x:v>
      </x:c>
      <x:c r="E68" t="n">
        <x:f>IF($B68&lt;E$8,0,E$3+(E$4-E$3)*(POWER(E$5,$B68-E$8)-1)/(POWER(E$5,$C$5-E$8)-1))</x:f>
        <x:v>1</x:v>
      </x:c>
      <x:c r="F68" t="n">
        <x:f>1+IF(B68&lt;3,0,MIN(1,(B68-2)/4))+IF(B68&lt;7,0,MIN(1,(B68-6)/3))+IF(B68&lt;10,0,MIN(1,(B68-9)/5))+IF(B68&lt;20,0,MIN(1,(B68-19)/10))</x:f>
        <x:v>5</x:v>
      </x:c>
      <x:c r="G68" t="n">
        <x:f>IF($B68&lt;G$8,0,G$3+(G$4-G$3)*(POWER(G$5,$B68-G$8)-1)/(POWER(G$5,$C$5-G$8)-1))</x:f>
        <x:v>0.5217365338000747</x:v>
      </x:c>
      <x:c r="H68" t="n">
        <x:f>IF($B68&lt;H$8,0,H$3+(H$4-H$3)*(POWER(H$5,$B68-H$8)-1)/(POWER(H$5,$C$5-H$8)-1))</x:f>
        <x:v>0.40828866470535435</x:v>
      </x:c>
      <x:c r="I68" t="n">
        <x:f>IF($B68&lt;I$8,0,I$3+(I$4-I$3)*(POWER(I$5,$B68-I$8)-1)/(POWER(I$5,$C$5-I$8)-1))</x:f>
        <x:v>0</x:v>
      </x:c>
      <x:c r="J68" t="n">
        <x:f>IF($B68&lt;J$8,0,J$3+(J$4-J$3)*(POWER(J$5,$B68-J$8)-1)/(POWER(J$5,$C$5-J$8)-1))</x:f>
        <x:v>0.2539190255085228</x:v>
      </x:c>
      <x:c r="K68" t="n">
        <x:f>IF($B68&lt;K$8,0,K$3+(K$4-K$3)*(POWER(K$5,$B68-K$8)-1)/(POWER(K$5,$C$5-K$8)-1))</x:f>
        <x:v>0</x:v>
      </x:c>
      <x:c r="L68" t="n">
        <x:f>IF($B68&lt;L$8,0,L$3+(L$4-L$3)*(POWER(L$5,$B68-L$8)-1)/(POWER(L$5,$C$5-L$8)-1))</x:f>
        <x:v>0.4023064957744736</x:v>
      </x:c>
      <x:c r="M68" t="n">
        <x:f>E68*'模块规划'!$F$10+G68*'模块规划'!$F$11+H68*'模块规划'!$F$13</x:f>
        <x:v>3504.3353622403583</x:v>
      </x:c>
      <x:c r="N68" t="n">
        <x:f>I68*'模块规划'!$F$15+J68*'模块规划'!$F$17+K68*'模块规划'!$F$16+L68*'模块规划'!$F$18</x:f>
        <x:v>4550.722733957596</x:v>
      </x:c>
      <x:c r="O68" t="n">
        <x:f>1+O$9*SUMPRODUCT($H$10:$L$10,H68:L68)/SUM($H$10:$L$10)</x:f>
        <x:v>1.8680597220274353</x:v>
      </x:c>
      <x:c r="P68" t="n">
        <x:f>M68*O68+N68</x:f>
        <x:v>11097.030476635231</x:v>
      </x:c>
      <x:c r="Q68" t="n">
        <x:f>P68/(P68+'_曲线基线'!$L$2)</x:f>
        <x:v>0.3161814639566939</x:v>
      </x:c>
      <x:c r="R68" t="n">
        <x:f>E68*'模块规划'!$E$10+G68*'模块规划'!$E$11+H68*'模块规划'!$E$13</x:f>
        <x:v>5256.503043360537</x:v>
      </x:c>
      <x:c r="S68" t="n">
        <x:f>I68*'模块规划'!$E$15+J68*'模块规划'!$E$17+K68*'模块规划'!$E$16+L68*'模块规划'!$E$18</x:f>
        <x:v>6826.084100936394</x:v>
      </x:c>
      <x:c r="T68" t="n">
        <x:f>1+T$9*SUMPRODUCT($H$10:$L$10,H68:L68)/SUM($H$10:$L$10)</x:f>
        <x:v>1.8680597220274353</x:v>
      </x:c>
      <x:c r="U68" t="n">
        <x:f>R68*T68+S68</x:f>
        <x:v>16645.545714952845</x:v>
      </x:c>
      <x:c r="V68" t="n">
        <x:f>V$8+(V$9-V$8)*H68</x:f>
        <x:v>0.8224865994116063</x:v>
      </x:c>
      <x:c r="W68" t="n">
        <x:f>IF(B68&lt;$H$8,0,W$8+(W$9-W$8)*H68)</x:f>
        <x:v>0.16331546588214174</x:v>
      </x:c>
      <x:c r="X68" t="n">
        <x:f>X$8+(X$9-X$8)*H68</x:f>
        <x:v>0.38727938279397245</x:v>
      </x:c>
      <x:c r="Y68" t="n">
        <x:f>Y$8+(Y$9-Y$8)*G68</x:f>
        <x:v>1</x:v>
      </x:c>
      <x:c r="Z68" t="n">
        <x:f>Z$8+(Z$9-Z$8)*H68</x:f>
        <x:v>1</x:v>
      </x:c>
      <x:c r="AA68" t="n">
        <x:f>AA$8+(AA$9-AA$8)*I68</x:f>
        <x:v>1</x:v>
      </x:c>
      <x:c r="AB68" t="n">
        <x:f>AB$8+(AB$9-AB$8)*J68</x:f>
        <x:v>1</x:v>
      </x:c>
      <x:c r="AC68" t="n">
        <x:f>AC$8+(AC$9-AC$8)*MAX(K68,L68)</x:f>
        <x:v>1</x:v>
      </x:c>
      <x:c r="AD68" t="n">
        <x:f>(V68*AE68+W68*AF68+X68*AG68)*PRODUCT(Y68:AC68)</x:f>
        <x:v>1.4381774960085745</x:v>
      </x:c>
      <x:c r="AE68" t="n">
        <x:f>1+AE$9*($H$10*H68+$I$10*I68+$J$10*J68+$K$10*K68+$L$10*L68)</x:f>
        <x:v>1</x:v>
      </x:c>
      <x:c r="AF68" t="n">
        <x:f>1+AF$9*($H$10*H68+$I$10*I68+$J$10*J68+$K$10*K68+$L$10*L68)</x:f>
        <x:v>1.076614177895539</x:v>
      </x:c>
      <x:c r="AG68" t="n">
        <x:f>1+AG$9*($H$10*H68+$I$10*I68+$J$10*J68+$K$10*K68+$L$10*L68)</x:f>
        <x:v>1.1357773486037617</x:v>
      </x:c>
      <x:c r="AH68" t="n">
        <x:f>MIN(1,'_曲线基线'!$L$3+AH$9*($H$10*H68+$I$10*I68+$J$10*J68+$K$10*K68+$L$10*L68))</x:f>
        <x:v>0.2242972547123508</x:v>
      </x:c>
      <x:c r="AI68" t="n">
        <x:f>'_曲线基线'!$L$4+AI$9*($H$10*H68+$I$10*I68+$J$10*J68+$K$10*K68+$L$10*L68)</x:f>
        <x:v>2.485542352412977</x:v>
      </x:c>
      <x:c r="AJ68" t="n">
        <x:f>1+AJ$9*($H$10*H68+$I$10*I68+$J$10*J68+$K$10*K68+$L$10*L68)</x:f>
        <x:v>1.3983937250568017</x:v>
      </x:c>
      <x:c r="AK68" t="n">
        <x:f>(1+AH68*(AI68-1))*AJ68</x:f>
        <x:v>1.8643428092794285</x:v>
      </x:c>
      <x:c r="AL68" t="n">
        <x:f>U68*AD68*AK68*F68</x:f>
        <x:v>223154.83605011052</x:v>
      </x:c>
      <x:c r="AM68" t="n">
        <x:f>IF($B68&lt;AM$8,0,AM$3+(AM$4-AM$3)*(POWER(AM$5,$B68-AM$8)-1)/(POWER(AM$5,$C$5-AM$8)-1))</x:f>
        <x:v>36.00122282730467</x:v>
      </x:c>
      <x:c r="AN68" t="n">
        <x:f>(((E68*'模块规划'!$D$10+G68*'模块规划'!$D$11+H68*'模块规划'!$D$13)*(1+'模块规划'!$G$14*H68)+(I68*'模块规划'!$D$15+J68*'模块规划'!$D$17+K68*'模块规划'!$D$16+L68*'模块规划'!$D$18))*(1+'模块规划'!$J$17*J68))*F68/(1-Q68)</x:f>
        <x:v>445641.8397990689</x:v>
      </x:c>
      <x:c r="AO68" t="n">
        <x:f>AL68*AM68</x:f>
        <x:v>8033846.97763067</x:v>
      </x:c>
      <x:c r="AP68" t="n">
        <x:f>IF(AO68="","",INDEX('_曲线基线'!$A$3:$A$502,MIN(ROWS('_曲线基线'!$A$3:$A$502),COUNTIF('_曲线基线'!$E$3:$E$502,"&lt;"&amp;AO68)+1)))</x:f>
        <x:v>133</x:v>
      </x:c>
      <x:c r="AQ68" t="n">
        <x:f>IF(B68&lt;=2,1,IF(B68&lt;=6,2,IF(B68&lt;=9,3,IF(B68&lt;=19,4,5))))</x:f>
        <x:v>5</x:v>
      </x:c>
      <x:c r="AR68" t="n">
        <x:f>AN68*(1-Q68)/F68*$AS$3+U68*$AS$4+P68*$AS$5</x:f>
        <x:v>5157.538045936839</x:v>
      </x:c>
      <x:c r="AS68" t="n">
        <x:f>1+AH68*$AS$6+AI68*$AS$7+(AJ68-1)*$AS$8+($H$10*H68+$I$10*I68+$J$10*J68+$K$10*K68+$L$10*L68)*$AU$3*$AS$9+($H$10*H68+$I$10*I68+$J$10*J68+$K$10*K68+$L$10*L68)*$AU$4*$AS$10</x:f>
        <x:v>9.559364182118077</x:v>
      </x:c>
      <x:c r="AT68" t="n">
        <x:f>ROUND(AR68*AS68,0)</x:f>
        <x:v>49303</x:v>
      </x:c>
      <x:c r="AU68" t="n">
        <x:f>ROUND(AT68*F68,0)</x:f>
        <x:v>246515</x:v>
      </x:c>
    </x:row>
    <x:row r="69">
      <x:c r="A69" t="n">
        <x:f>IFERROR(XLOOKUP(B69,'_曲线基线'!$G$3:$G$107,'_曲线基线'!$J$3:$J$107,""),"")</x:f>
        <x:v>28</x:v>
      </x:c>
      <x:c r="B69" t="n">
        <x:v>58</x:v>
      </x:c>
      <x:c r="C69" t="n">
        <x:f>C54+1</x:f>
        <x:v>5</x:v>
      </x:c>
      <x:c r="D69" t="n">
        <x:f>D54</x:f>
        <x:v>4</x:v>
      </x:c>
      <x:c r="E69" t="n">
        <x:f>IF($B69&lt;E$8,0,E$3+(E$4-E$3)*(POWER(E$5,$B69-E$8)-1)/(POWER(E$5,$C$5-E$8)-1))</x:f>
        <x:v>1</x:v>
      </x:c>
      <x:c r="F69" t="n">
        <x:f>1+IF(B69&lt;3,0,MIN(1,(B69-2)/4))+IF(B69&lt;7,0,MIN(1,(B69-6)/3))+IF(B69&lt;10,0,MIN(1,(B69-9)/5))+IF(B69&lt;20,0,MIN(1,(B69-19)/10))</x:f>
        <x:v>5</x:v>
      </x:c>
      <x:c r="G69" t="n">
        <x:f>IF($B69&lt;G$8,0,G$3+(G$4-G$3)*(POWER(G$5,$B69-G$8)-1)/(POWER(G$5,$C$5-G$8)-1))</x:f>
        <x:v>0.5276156762475696</x:v>
      </x:c>
      <x:c r="H69" t="n">
        <x:f>IF($B69&lt;H$8,0,H$3+(H$4-H$3)*(POWER(H$5,$B69-H$8)-1)/(POWER(H$5,$C$5-H$8)-1))</x:f>
        <x:v>0.4141894336507586</x:v>
      </x:c>
      <x:c r="I69" t="n">
        <x:f>IF($B69&lt;I$8,0,I$3+(I$4-I$3)*(POWER(I$5,$B69-I$8)-1)/(POWER(I$5,$C$5-I$8)-1))</x:f>
        <x:v>0</x:v>
      </x:c>
      <x:c r="J69" t="n">
        <x:f>IF($B69&lt;J$8,0,J$3+(J$4-J$3)*(POWER(J$5,$B69-J$8)-1)/(POWER(J$5,$C$5-J$8)-1))</x:f>
        <x:v>0.26091958949007626</x:v>
      </x:c>
      <x:c r="K69" t="n">
        <x:f>IF($B69&lt;K$8,0,K$3+(K$4-K$3)*(POWER(K$5,$B69-K$8)-1)/(POWER(K$5,$C$5-K$8)-1))</x:f>
        <x:v>0</x:v>
      </x:c>
      <x:c r="L69" t="n">
        <x:f>IF($B69&lt;L$8,0,L$3+(L$4-L$3)*(POWER(L$5,$B69-L$8)-1)/(POWER(L$5,$C$5-L$8)-1))</x:f>
        <x:v>0.4083282726903698</x:v>
      </x:c>
      <x:c r="M69" t="n">
        <x:f>E69*'模块规划'!$F$10+G69*'模块规划'!$F$11+H69*'模块规划'!$F$13</x:f>
        <x:v>3532.555245988334</x:v>
      </x:c>
      <x:c r="N69" t="n">
        <x:f>I69*'模块规划'!$F$15+J69*'模块规划'!$F$17+K69*'模块规划'!$F$16+L69*'模块规划'!$F$18</x:f>
        <x:v>4650.837258352612</x:v>
      </x:c>
      <x:c r="O69" t="n">
        <x:f>1+O$9*SUMPRODUCT($H$10:$L$10,H69:L69)/SUM($H$10:$L$10)</x:f>
        <x:v>1.8871004029472627</x:v>
      </x:c>
      <x:c r="P69" t="n">
        <x:f>M69*O69+N69</x:f>
        <x:v>11317.123686490664</x:v>
      </x:c>
      <x:c r="Q69" t="n">
        <x:f>P69/(P69+'_曲线基线'!$L$2)</x:f>
        <x:v>0.3204429609543666</x:v>
      </x:c>
      <x:c r="R69" t="n">
        <x:f>E69*'模块规划'!$E$10+G69*'模块规划'!$E$11+H69*'模块规划'!$E$13</x:f>
        <x:v>5298.832868982501</x:v>
      </x:c>
      <x:c r="S69" t="n">
        <x:f>I69*'模块规划'!$E$15+J69*'模块规划'!$E$17+K69*'模块规划'!$E$16+L69*'模块规划'!$E$18</x:f>
        <x:v>6976.255887528918</x:v>
      </x:c>
      <x:c r="T69" t="n">
        <x:f>1+T$9*SUMPRODUCT($H$10:$L$10,H69:L69)/SUM($H$10:$L$10)</x:f>
        <x:v>1.8871004029472627</x:v>
      </x:c>
      <x:c r="U69" t="n">
        <x:f>R69*T69+S69</x:f>
        <x:v>16975.685529735994</x:v>
      </x:c>
      <x:c r="V69" t="n">
        <x:f>V$8+(V$9-V$8)*H69</x:f>
        <x:v>0.8242568300952275</x:v>
      </x:c>
      <x:c r="W69" t="n">
        <x:f>IF(B69&lt;$H$8,0,W$8+(W$9-W$8)*H69)</x:f>
        <x:v>0.16567577346030346</x:v>
      </x:c>
      <x:c r="X69" t="n">
        <x:f>X$8+(X$9-X$8)*H69</x:f>
        <x:v>0.38890209425395866</x:v>
      </x:c>
      <x:c r="Y69" t="n">
        <x:f>Y$8+(Y$9-Y$8)*G69</x:f>
        <x:v>1</x:v>
      </x:c>
      <x:c r="Z69" t="n">
        <x:f>Z$8+(Z$9-Z$8)*H69</x:f>
        <x:v>1</x:v>
      </x:c>
      <x:c r="AA69" t="n">
        <x:f>AA$8+(AA$9-AA$8)*I69</x:f>
        <x:v>1</x:v>
      </x:c>
      <x:c r="AB69" t="n">
        <x:f>AB$8+(AB$9-AB$8)*J69</x:f>
        <x:v>1</x:v>
      </x:c>
      <x:c r="AC69" t="n">
        <x:f>AC$8+(AC$9-AC$8)*MAX(K69,L69)</x:f>
        <x:v>1</x:v>
      </x:c>
      <x:c r="AD69" t="n">
        <x:f>(V69*AE69+W69*AF69+X69*AG69)*PRODUCT(Y69:AC69)</x:f>
        <x:v>1.4457685717051705</x:v>
      </x:c>
      <x:c r="AE69" t="n">
        <x:f>1+AE$9*($H$10*H69+$I$10*I69+$J$10*J69+$K$10*K69+$L$10*L69)</x:f>
        <x:v>1</x:v>
      </x:c>
      <x:c r="AF69" t="n">
        <x:f>1+AF$9*($H$10*H69+$I$10*I69+$J$10*J69+$K$10*K69+$L$10*L69)</x:f>
        <x:v>1.078294691434212</x:v>
      </x:c>
      <x:c r="AG69" t="n">
        <x:f>1+AG$9*($H$10*H69+$I$10*I69+$J$10*J69+$K$10*K69+$L$10*L69)</x:f>
        <x:v>1.1387555920417434</x:v>
      </x:c>
      <x:c r="AH69" t="n">
        <x:f>MIN(1,'_曲线基线'!$L$3+AH$9*($H$10*H69+$I$10*I69+$J$10*J69+$K$10*K69+$L$10*L69))</x:f>
        <x:v>0.22812042301283192</x:v>
      </x:c>
      <x:c r="AI69" t="n">
        <x:f>'_曲线基线'!$L$4+AI$9*($H$10*H69+$I$10*I69+$J$10*J69+$K$10*K69+$L$10*L69)</x:f>
        <x:v>2.4961926069643177</x:v>
      </x:c>
      <x:c r="AJ69" t="n">
        <x:f>1+AJ$9*($H$10*H69+$I$10*I69+$J$10*J69+$K$10*K69+$L$10*L69)</x:f>
        <x:v>1.4071323954579016</x:v>
      </x:c>
      <x:c r="AK69" t="n">
        <x:f>(1+AH69*(AI69-1))*AJ69</x:f>
        <x:v>1.8874036948343849</x:v>
      </x:c>
      <x:c r="AL69" t="n">
        <x:f>U69*AD69*AK69*F69</x:f>
        <x:v>231611.91982420275</x:v>
      </x:c>
      <x:c r="AM69" t="n">
        <x:f>IF($B69&lt;AM$8,0,AM$3+(AM$4-AM$3)*(POWER(AM$5,$B69-AM$8)-1)/(POWER(AM$5,$C$5-AM$8)-1))</x:f>
        <x:v>36.02465969549959</x:v>
      </x:c>
      <x:c r="AN69" t="n">
        <x:f>(((E69*'模块规划'!$D$10+G69*'模块规划'!$D$11+H69*'模块规划'!$D$13)*(1+'模块规划'!$G$14*H69)+(I69*'模块规划'!$D$15+J69*'模块规划'!$D$17+K69*'模块规划'!$D$16+L69*'模块规划'!$D$18))*(1+'模块规划'!$J$17*J69))*F69/(1-Q69)</x:f>
        <x:v>458930.5187705133</x:v>
      </x:c>
      <x:c r="AO69" t="n">
        <x:f>AL69*AM69</x:f>
        <x:v>8343740.5930882385</x:v>
      </x:c>
      <x:c r="AP69" t="n">
        <x:f>IF(AO69="","",INDEX('_曲线基线'!$A$3:$A$502,MIN(ROWS('_曲线基线'!$A$3:$A$502),COUNTIF('_曲线基线'!$E$3:$E$502,"&lt;"&amp;AO69)+1)))</x:f>
        <x:v>135</x:v>
      </x:c>
      <x:c r="AQ69" t="n">
        <x:f>IF(B69&lt;=2,1,IF(B69&lt;=6,2,IF(B69&lt;=9,3,IF(B69&lt;=19,4,5))))</x:f>
        <x:v>5</x:v>
      </x:c>
      <x:c r="AR69" t="n">
        <x:f>AN69*(1-Q69)/F69*$AS$3+U69*$AS$4+P69*$AS$5</x:f>
        <x:v>5266.353892727398</x:v>
      </x:c>
      <x:c r="AS69" t="n">
        <x:f>1+AH69*$AS$6+AI69*$AS$7+(AJ69-1)*$AS$8+($H$10*H69+$I$10*I69+$J$10*J69+$K$10*K69+$L$10*L69)*$AU$3*$AS$9+($H$10*H69+$I$10*I69+$J$10*J69+$K$10*K69+$L$10*L69)*$AU$4*$AS$10</x:f>
        <x:v>9.6597767755373</x:v>
      </x:c>
      <x:c r="AT69" t="n">
        <x:f>ROUND(AR69*AS69,0)</x:f>
        <x:v>50872</x:v>
      </x:c>
      <x:c r="AU69" t="n">
        <x:f>ROUND(AT69*F69,0)</x:f>
        <x:v>254360</x:v>
      </x:c>
    </x:row>
    <x:row r="70">
      <x:c r="A70" t="n">
        <x:f>IFERROR(XLOOKUP(B70,'_曲线基线'!$G$3:$G$107,'_曲线基线'!$J$3:$J$107,""),"")</x:f>
        <x:v>28</x:v>
      </x:c>
      <x:c r="B70" t="n">
        <x:v>59</x:v>
      </x:c>
      <x:c r="C70" t="n">
        <x:f>C55+1</x:f>
        <x:v>5</x:v>
      </x:c>
      <x:c r="D70" t="n">
        <x:f>D55</x:f>
        <x:v>5</x:v>
      </x:c>
      <x:c r="E70" t="n">
        <x:f>IF($B70&lt;E$8,0,E$3+(E$4-E$3)*(POWER(E$5,$B70-E$8)-1)/(POWER(E$5,$C$5-E$8)-1))</x:f>
        <x:v>1</x:v>
      </x:c>
      <x:c r="F70" t="n">
        <x:f>1+IF(B70&lt;3,0,MIN(1,(B70-2)/4))+IF(B70&lt;7,0,MIN(1,(B70-6)/3))+IF(B70&lt;10,0,MIN(1,(B70-9)/5))+IF(B70&lt;20,0,MIN(1,(B70-19)/10))</x:f>
        <x:v>5</x:v>
      </x:c>
      <x:c r="G70" t="n">
        <x:f>IF($B70&lt;G$8,0,G$3+(G$4-G$3)*(POWER(G$5,$B70-G$8)-1)/(POWER(G$5,$C$5-G$8)-1))</x:f>
        <x:v>0.5334066315583519</x:v>
      </x:c>
      <x:c r="H70" t="n">
        <x:f>IF($B70&lt;H$8,0,H$3+(H$4-H$3)*(POWER(H$5,$B70-H$8)-1)/(POWER(H$5,$C$5-H$8)-1))</x:f>
        <x:v>0.4199721872172548</x:v>
      </x:c>
      <x:c r="I70" t="n">
        <x:f>IF($B70&lt;I$8,0,I$3+(I$4-I$3)*(POWER(I$5,$B70-I$8)-1)/(POWER(I$5,$C$5-I$8)-1))</x:f>
        <x:v>0</x:v>
      </x:c>
      <x:c r="J70" t="n">
        <x:f>IF($B70&lt;J$8,0,J$3+(J$4-J$3)*(POWER(J$5,$B70-J$8)-1)/(POWER(J$5,$C$5-J$8)-1))</x:f>
        <x:v>0.26778014219199864</x:v>
      </x:c>
      <x:c r="K70" t="n">
        <x:f>IF($B70&lt;K$8,0,K$3+(K$4-K$3)*(POWER(K$5,$B70-K$8)-1)/(POWER(K$5,$C$5-K$8)-1))</x:f>
        <x:v>0</x:v>
      </x:c>
      <x:c r="L70" t="n">
        <x:f>IF($B70&lt;L$8,0,L$3+(L$4-L$3)*(POWER(L$5,$B70-L$8)-1)/(POWER(L$5,$C$5-L$8)-1))</x:f>
        <x:v>0.4142296140679481</x:v>
      </x:c>
      <x:c r="M70" t="n">
        <x:f>E70*'模块规划'!$F$10+G70*'模块规划'!$F$11+H70*'模块规划'!$F$13</x:f>
        <x:v>3560.351831480089</x:v>
      </x:c>
      <x:c r="N70" t="n">
        <x:f>I70*'模块规划'!$F$15+J70*'模块规划'!$F$17+K70*'模块规划'!$F$16+L70*'模块规划'!$F$18</x:f>
        <x:v>4748.949492259727</x:v>
      </x:c>
      <x:c r="O70" t="n">
        <x:f>1+O$9*SUMPRODUCT($H$10:$L$10,H70:L70)/SUM($H$10:$L$10)</x:f>
        <x:v>1.9057602702486935</x:v>
      </x:c>
      <x:c r="P70" t="n">
        <x:f>M70*O70+N70</x:f>
        <x:v>11534.126560801651</x:v>
      </x:c>
      <x:c r="Q70" t="n">
        <x:f>P70/(P70+'_曲线基线'!$L$2)</x:f>
        <x:v>0.3245929385956867</x:v>
      </x:c>
      <x:c r="R70" t="n">
        <x:f>E70*'模块规划'!$E$10+G70*'模块规划'!$E$11+H70*'模块规划'!$E$13</x:f>
        <x:v>5340.527747220134</x:v>
      </x:c>
      <x:c r="S70" t="n">
        <x:f>I70*'模块规划'!$E$15+J70*'模块规划'!$E$17+K70*'模块规划'!$E$16+L70*'模块规划'!$E$18</x:f>
        <x:v>7123.424238389591</x:v>
      </x:c>
      <x:c r="T70" t="n">
        <x:f>1+T$9*SUMPRODUCT($H$10:$L$10,H70:L70)/SUM($H$10:$L$10)</x:f>
        <x:v>1.9057602702486935</x:v>
      </x:c>
      <x:c r="U70" t="n">
        <x:f>R70*T70+S70</x:f>
        <x:v>17301.189841202482</x:v>
      </x:c>
      <x:c r="V70" t="n">
        <x:f>V$8+(V$9-V$8)*H70</x:f>
        <x:v>0.8259916561651764</x:v>
      </x:c>
      <x:c r="W70" t="n">
        <x:f>IF(B70&lt;$H$8,0,W$8+(W$9-W$8)*H70)</x:f>
        <x:v>0.16798887488690195</x:v>
      </x:c>
      <x:c r="X70" t="n">
        <x:f>X$8+(X$9-X$8)*H70</x:f>
        <x:v>0.3904923514847451</x:v>
      </x:c>
      <x:c r="Y70" t="n">
        <x:f>Y$8+(Y$9-Y$8)*G70</x:f>
        <x:v>1</x:v>
      </x:c>
      <x:c r="Z70" t="n">
        <x:f>Z$8+(Z$9-Z$8)*H70</x:f>
        <x:v>1</x:v>
      </x:c>
      <x:c r="AA70" t="n">
        <x:f>AA$8+(AA$9-AA$8)*I70</x:f>
        <x:v>1</x:v>
      </x:c>
      <x:c r="AB70" t="n">
        <x:f>AB$8+(AB$9-AB$8)*J70</x:f>
        <x:v>1</x:v>
      </x:c>
      <x:c r="AC70" t="n">
        <x:f>AC$8+(AC$9-AC$8)*MAX(K70,L70)</x:f>
        <x:v>1</x:v>
      </x:c>
      <x:c r="AD70" t="n">
        <x:f>(V70*AE70+W70*AF70+X70*AG70)*PRODUCT(Y70:AC70)</x:f>
        <x:v>1.4532249001632578</x:v>
      </x:c>
      <x:c r="AE70" t="n">
        <x:f>1+AE$9*($H$10*H70+$I$10*I70+$J$10*J70+$K$10*K70+$L$10*L70)</x:f>
        <x:v>1</x:v>
      </x:c>
      <x:c r="AF70" t="n">
        <x:f>1+AF$9*($H$10*H70+$I$10*I70+$J$10*J70+$K$10*K70+$L$10*L70)</x:f>
        <x:v>1.0799415947021114</x:v>
      </x:c>
      <x:c r="AG70" t="n">
        <x:f>1+AG$9*($H$10*H70+$I$10*I70+$J$10*J70+$K$10*K70+$L$10*L70)</x:f>
        <x:v>1.1416742706109653</x:v>
      </x:c>
      <x:c r="AH70" t="n">
        <x:f>MIN(1,'_曲线基线'!$L$3+AH$9*($H$10*H70+$I$10*I70+$J$10*J70+$K$10*K70+$L$10*L70))</x:f>
        <x:v>0.23186712794730346</x:v>
      </x:c>
      <x:c r="AI70" t="n">
        <x:f>'_曲线基线'!$L$4+AI$9*($H$10*H70+$I$10*I70+$J$10*J70+$K$10*K70+$L$10*L70)</x:f>
        <x:v>2.506629856424631</x:v>
      </x:c>
      <x:c r="AJ70" t="n">
        <x:f>1+AJ$9*($H$10*H70+$I$10*I70+$J$10*J70+$K$10*K70+$L$10*L70)</x:f>
        <x:v>1.4156962924509793</x:v>
      </x:c>
      <x:c r="AK70" t="n">
        <x:f>(1+AH70*(AI70-1))*AJ70</x:f>
        <x:v>1.9102527156495377</x:v>
      </x:c>
      <x:c r="AL70" t="n">
        <x:f>U70*AD70*AK70*F70</x:f>
        <x:v>240142.83439222333</x:v>
      </x:c>
      <x:c r="AM70" t="n">
        <x:f>IF($B70&lt;AM$8,0,AM$3+(AM$4-AM$3)*(POWER(AM$5,$B70-AM$8)-1)/(POWER(AM$5,$C$5-AM$8)-1))</x:f>
        <x:v>36.04833093237645</x:v>
      </x:c>
      <x:c r="AN70" t="n">
        <x:f>(((E70*'模块规划'!$D$10+G70*'模块规划'!$D$11+H70*'模块规划'!$D$13)*(1+'模块规划'!$G$14*H70)+(I70*'模块规划'!$D$15+J70*'模块规划'!$D$17+K70*'模块规划'!$D$16+L70*'模块规划'!$D$18))*(1+'模块规划'!$J$17*J70))*F70/(1-Q70)</x:f>
        <x:v>472216.4879382815</x:v>
      </x:c>
      <x:c r="AO70" t="n">
        <x:f>AL70*AM70</x:f>
        <x:v>8656748.36520974</x:v>
      </x:c>
      <x:c r="AP70" t="n">
        <x:f>IF(AO70="","",INDEX('_曲线基线'!$A$3:$A$502,MIN(ROWS('_曲线基线'!$A$3:$A$502),COUNTIF('_曲线基线'!$E$3:$E$502,"&lt;"&amp;AO70)+1)))</x:f>
        <x:v>136</x:v>
      </x:c>
      <x:c r="AQ70" t="n">
        <x:f>IF(B70&lt;=2,1,IF(B70&lt;=6,2,IF(B70&lt;=9,3,IF(B70&lt;=19,4,5))))</x:f>
        <x:v>5</x:v>
      </x:c>
      <x:c r="AR70" t="n">
        <x:f>AN70*(1-Q70)/F70*$AS$3+U70*$AS$4+P70*$AS$5</x:f>
        <x:v>5373.868071030856</x:v>
      </x:c>
      <x:c r="AS70" t="n">
        <x:f>1+AH70*$AS$6+AI70*$AS$7+(AJ70-1)*$AS$8+($H$10*H70+$I$10*I70+$J$10*J70+$K$10*K70+$L$10*L70)*$AU$3*$AS$9+($H$10*H70+$I$10*I70+$J$10*J70+$K$10*K70+$L$10*L70)*$AU$4*$AS$10</x:f>
        <x:v>9.758181117088135</x:v>
      </x:c>
      <x:c r="AT70" t="n">
        <x:f>ROUND(AR70*AS70,0)</x:f>
        <x:v>52439</x:v>
      </x:c>
      <x:c r="AU70" t="n">
        <x:f>ROUND(AT70*F70,0)</x:f>
        <x:v>262195</x:v>
      </x:c>
    </x:row>
    <x:row r="71">
      <x:c r="A71" t="n">
        <x:f>IFERROR(XLOOKUP(B71,'_曲线基线'!$G$3:$G$107,'_曲线基线'!$J$3:$J$107,""),"")</x:f>
        <x:v>29</x:v>
      </x:c>
      <x:c r="B71" t="n">
        <x:v>60</x:v>
      </x:c>
      <x:c r="C71" t="n">
        <x:f>C56+1</x:f>
        <x:v>5</x:v>
      </x:c>
      <x:c r="D71" t="n">
        <x:f>D56</x:f>
        <x:v>6</x:v>
      </x:c>
      <x:c r="E71" t="n">
        <x:f>IF($B71&lt;E$8,0,E$3+(E$4-E$3)*(POWER(E$5,$B71-E$8)-1)/(POWER(E$5,$C$5-E$8)-1))</x:f>
        <x:v>1</x:v>
      </x:c>
      <x:c r="F71" t="n">
        <x:f>1+IF(B71&lt;3,0,MIN(1,(B71-2)/4))+IF(B71&lt;7,0,MIN(1,(B71-6)/3))+IF(B71&lt;10,0,MIN(1,(B71-9)/5))+IF(B71&lt;20,0,MIN(1,(B71-19)/10))</x:f>
        <x:v>5</x:v>
      </x:c>
      <x:c r="G71" t="n">
        <x:f>IF($B71&lt;G$8,0,G$3+(G$4-G$3)*(POWER(G$5,$B71-G$8)-1)/(POWER(G$5,$C$5-G$8)-1))</x:f>
        <x:v>0.5391107225394723</x:v>
      </x:c>
      <x:c r="H71" t="n">
        <x:f>IF($B71&lt;H$8,0,H$3+(H$4-H$3)*(POWER(H$5,$B71-H$8)-1)/(POWER(H$5,$C$5-H$8)-1))</x:f>
        <x:v>0.4256392857124211</x:v>
      </x:c>
      <x:c r="I71" t="n">
        <x:f>IF($B71&lt;I$8,0,I$3+(I$4-I$3)*(POWER(I$5,$B71-I$8)-1)/(POWER(I$5,$C$5-I$8)-1))</x:f>
        <x:v>0</x:v>
      </x:c>
      <x:c r="J71" t="n">
        <x:f>IF($B71&lt;J$8,0,J$3+(J$4-J$3)*(POWER(J$5,$B71-J$8)-1)/(POWER(J$5,$C$5-J$8)-1))</x:f>
        <x:v>0.27450348383988254</x:v>
      </x:c>
      <x:c r="K71" t="n">
        <x:f>IF($B71&lt;K$8,0,K$3+(K$4-K$3)*(POWER(K$5,$B71-K$8)-1)/(POWER(K$5,$C$5-K$8)-1))</x:f>
        <x:v>0</x:v>
      </x:c>
      <x:c r="L71" t="n">
        <x:f>IF($B71&lt;L$8,0,L$3+(L$4-L$3)*(POWER(L$5,$B71-L$8)-1)/(POWER(L$5,$C$5-L$8)-1))</x:f>
        <x:v>0.42001292861797485</x:v>
      </x:c>
      <x:c r="M71" t="n">
        <x:f>E71*'模块规划'!$F$10+G71*'模块规划'!$F$11+H71*'模块规划'!$F$13</x:f>
        <x:v>3587.7314681894673</x:v>
      </x:c>
      <x:c r="N71" t="n">
        <x:f>I71*'模块规划'!$F$15+J71*'模块规划'!$F$17+K71*'模块规划'!$F$16+L71*'模块规划'!$F$18</x:f>
        <x:v>4845.0994814887</x:v>
      </x:c>
      <x:c r="O71" t="n">
        <x:f>1+O$9*SUMPRODUCT($H$10:$L$10,H71:L71)/SUM($H$10:$L$10)</x:f>
        <x:v>1.924046940204096</x:v>
      </x:c>
      <x:c r="P71" t="n">
        <x:f>M71*O71+N71</x:f>
        <x:v>11748.063235132595</x:v>
      </x:c>
      <x:c r="Q71" t="n">
        <x:f>P71/(P71+'_曲线基线'!$L$2)</x:f>
        <x:v>0.3286349573083108</x:v>
      </x:c>
      <x:c r="R71" t="n">
        <x:f>E71*'模块规划'!$E$10+G71*'模块规划'!$E$11+H71*'模块规划'!$E$13</x:f>
        <x:v>5381.597202284201</x:v>
      </x:c>
      <x:c r="S71" t="n">
        <x:f>I71*'模块规划'!$E$15+J71*'模块规划'!$E$17+K71*'模块规划'!$E$16+L71*'模块规划'!$E$18</x:f>
        <x:v>7267.64922223305</x:v>
      </x:c>
      <x:c r="T71" t="n">
        <x:f>1+T$9*SUMPRODUCT($H$10:$L$10,H71:L71)/SUM($H$10:$L$10)</x:f>
        <x:v>1.924046940204096</x:v>
      </x:c>
      <x:c r="U71" t="n">
        <x:f>R71*T71+S71</x:f>
        <x:v>17622.09485269889</x:v>
      </x:c>
      <x:c r="V71" t="n">
        <x:f>V$8+(V$9-V$8)*H71</x:f>
        <x:v>0.8276917857137263</x:v>
      </x:c>
      <x:c r="W71" t="n">
        <x:f>IF(B71&lt;$H$8,0,W$8+(W$9-W$8)*H71)</x:f>
        <x:v>0.17025571428496844</x:v>
      </x:c>
      <x:c r="X71" t="n">
        <x:f>X$8+(X$9-X$8)*H71</x:f>
        <x:v>0.3920508035709158</x:v>
      </x:c>
      <x:c r="Y71" t="n">
        <x:f>Y$8+(Y$9-Y$8)*G71</x:f>
        <x:v>1</x:v>
      </x:c>
      <x:c r="Z71" t="n">
        <x:f>Z$8+(Z$9-Z$8)*H71</x:f>
        <x:v>1</x:v>
      </x:c>
      <x:c r="AA71" t="n">
        <x:f>AA$8+(AA$9-AA$8)*I71</x:f>
        <x:v>1</x:v>
      </x:c>
      <x:c r="AB71" t="n">
        <x:f>AB$8+(AB$9-AB$8)*J71</x:f>
        <x:v>1</x:v>
      </x:c>
      <x:c r="AC71" t="n">
        <x:f>AC$8+(AC$9-AC$8)*MAX(K71,L71)</x:f>
        <x:v>1</x:v>
      </x:c>
      <x:c r="AD71" t="n">
        <x:f>(V71*AE71+W71*AF71+X71*AG71)*PRODUCT(Y71:AC71)</x:f>
        <x:v>1.4605485001863001</x:v>
      </x:c>
      <x:c r="AE71" t="n">
        <x:f>1+AE$9*($H$10*H71+$I$10*I71+$J$10*J71+$K$10*K71+$L$10*L71)</x:f>
        <x:v>1</x:v>
      </x:c>
      <x:c r="AF71" t="n">
        <x:f>1+AF$9*($H$10*H71+$I$10*I71+$J$10*J71+$K$10*K71+$L$10*L71)</x:f>
        <x:v>1.0815555599046531</x:v>
      </x:c>
      <x:c r="AG71" t="n">
        <x:f>1+AG$9*($H$10*H71+$I$10*I71+$J$10*J71+$K$10*K71+$L$10*L71)</x:f>
        <x:v>1.144534575608803</x:v>
      </x:c>
      <x:c r="AH71" t="n">
        <x:f>MIN(1,'_曲线基线'!$L$3+AH$9*($H$10*H71+$I$10*I71+$J$10*J71+$K$10*K71+$L$10*L71))</x:f>
        <x:v>0.23553889878308554</x:v>
      </x:c>
      <x:c r="AI71" t="n">
        <x:f>'_曲线基线'!$L$4+AI$9*($H$10*H71+$I$10*I71+$J$10*J71+$K$10*K71+$L$10*L71)</x:f>
        <x:v>2.5168583608957382</x:v>
      </x:c>
      <x:c r="AJ71" t="n">
        <x:f>1+AJ$9*($H$10*H71+$I$10*I71+$J$10*J71+$K$10*K71+$L$10*L71)</x:f>
        <x:v>1.4240889115041955</x:v>
      </x:c>
      <x:c r="AK71" t="n">
        <x:f>(1+AH71*(AI71-1))*AJ71</x:f>
        <x:v>1.932886184390521</x:v>
      </x:c>
      <x:c r="AL71" t="n">
        <x:f>U71*AD71*AK71*F71</x:f>
        <x:v>248742.39057542017</x:v>
      </x:c>
      <x:c r="AM71" t="n">
        <x:f>IF($B71&lt;AM$8,0,AM$3+(AM$4-AM$3)*(POWER(AM$5,$B71-AM$8)-1)/(POWER(AM$5,$C$5-AM$8)-1))</x:f>
        <x:v>36.072238881622084</x:v>
      </x:c>
      <x:c r="AN71" t="n">
        <x:f>(((E71*'模块规划'!$D$10+G71*'模块规划'!$D$11+H71*'模块规划'!$D$13)*(1+'模块规划'!$G$14*H71)+(I71*'模块规划'!$D$15+J71*'模块规划'!$D$17+K71*'模块规划'!$D$16+L71*'模块规划'!$D$18))*(1+'模块规划'!$J$17*J71))*F71/(1-Q71)</x:f>
        <x:v>485493.5514049579</x:v>
      </x:c>
      <x:c r="AO71" t="n">
        <x:f>AL71*AM71</x:f>
        <x:v>8972694.932822298</x:v>
      </x:c>
      <x:c r="AP71" t="n">
        <x:f>IF(AO71="","",INDEX('_曲线基线'!$A$3:$A$502,MIN(ROWS('_曲线基线'!$A$3:$A$502),COUNTIF('_曲线基线'!$E$3:$E$502,"&lt;"&amp;AO71)+1)))</x:f>
        <x:v>138</x:v>
      </x:c>
      <x:c r="AQ71" t="n">
        <x:f>IF(B71&lt;=2,1,IF(B71&lt;=6,2,IF(B71&lt;=9,3,IF(B71&lt;=19,4,5))))</x:f>
        <x:v>5</x:v>
      </x:c>
      <x:c r="AR71" t="n">
        <x:f>AN71*(1-Q71)/F71*$AS$3+U71*$AS$4+P71*$AS$5</x:f>
        <x:v>5480.079363732954</x:v>
      </x:c>
      <x:c r="AS71" t="n">
        <x:f>1+AH71*$AS$6+AI71*$AS$7+(AJ71-1)*$AS$8+($H$10*H71+$I$10*I71+$J$10*J71+$K$10*K71+$L$10*L71)*$AU$3*$AS$9+($H$10*H71+$I$10*I71+$J$10*J71+$K$10*K71+$L$10*L71)*$AU$4*$AS$10</x:f>
        <x:v>9.854617371807958</x:v>
      </x:c>
      <x:c r="AT71" t="n">
        <x:f>ROUND(AR71*AS71,0)</x:f>
        <x:v>54004</x:v>
      </x:c>
      <x:c r="AU71" t="n">
        <x:f>ROUND(AT71*F71,0)</x:f>
        <x:v>270020</x:v>
      </x:c>
    </x:row>
    <x:row r="72">
      <x:c r="A72" t="n">
        <x:f>IFERROR(XLOOKUP(B72,'_曲线基线'!$G$3:$G$107,'_曲线基线'!$J$3:$J$107,""),"")</x:f>
        <x:v>29</x:v>
      </x:c>
      <x:c r="B72" t="n">
        <x:v>61</x:v>
      </x:c>
      <x:c r="C72" t="n">
        <x:f>C57+1</x:f>
        <x:v>5</x:v>
      </x:c>
      <x:c r="D72" t="n">
        <x:f>D57</x:f>
        <x:v>7</x:v>
      </x:c>
      <x:c r="E72" t="n">
        <x:f>IF($B72&lt;E$8,0,E$3+(E$4-E$3)*(POWER(E$5,$B72-E$8)-1)/(POWER(E$5,$C$5-E$8)-1))</x:f>
        <x:v>1</x:v>
      </x:c>
      <x:c r="F72" t="n">
        <x:f>1+IF(B72&lt;3,0,MIN(1,(B72-2)/4))+IF(B72&lt;7,0,MIN(1,(B72-6)/3))+IF(B72&lt;10,0,MIN(1,(B72-9)/5))+IF(B72&lt;20,0,MIN(1,(B72-19)/10))</x:f>
        <x:v>5</x:v>
      </x:c>
      <x:c r="G72" t="n">
        <x:f>IF($B72&lt;G$8,0,G$3+(G$4-G$3)*(POWER(G$5,$B72-G$8)-1)/(POWER(G$5,$C$5-G$8)-1))</x:f>
        <x:v>0.5447292521558762</x:v>
      </x:c>
      <x:c r="H72" t="n">
        <x:f>IF($B72&lt;H$8,0,H$3+(H$4-H$3)*(POWER(H$5,$B72-H$8)-1)/(POWER(H$5,$C$5-H$8)-1))</x:f>
        <x:v>0.43119304223768407</x:v>
      </x:c>
      <x:c r="I72" t="n">
        <x:f>IF($B72&lt;I$8,0,I$3+(I$4-I$3)*(POWER(I$5,$B72-I$8)-1)/(POWER(I$5,$C$5-I$8)-1))</x:f>
        <x:v>0</x:v>
      </x:c>
      <x:c r="J72" t="n">
        <x:f>IF($B72&lt;J$8,0,J$3+(J$4-J$3)*(POWER(J$5,$B72-J$8)-1)/(POWER(J$5,$C$5-J$8)-1))</x:f>
        <x:v>0.2810923586548088</x:v>
      </x:c>
      <x:c r="K72" t="n">
        <x:f>IF($B72&lt;K$8,0,K$3+(K$4-K$3)*(POWER(K$5,$B72-K$8)-1)/(POWER(K$5,$C$5-K$8)-1))</x:f>
        <x:v>0</x:v>
      </x:c>
      <x:c r="L72" t="n">
        <x:f>IF($B72&lt;L$8,0,L$3+(L$4-L$3)*(POWER(L$5,$B72-L$8)-1)/(POWER(L$5,$C$5-L$8)-1))</x:f>
        <x:v>0.42568057687700106</x:v>
      </x:c>
      <x:c r="M72" t="n">
        <x:f>E72*'模块规划'!$F$10+G72*'模块规划'!$F$11+H72*'模块规划'!$F$13</x:f>
        <x:v>3614.700410348206</x:v>
      </x:c>
      <x:c r="N72" t="n">
        <x:f>I72*'模块规划'!$F$15+J72*'模块规划'!$F$17+K72*'模块规划'!$F$16+L72*'模块规划'!$F$18</x:f>
        <x:v>4939.326470933093</x:v>
      </x:c>
      <x:c r="O72" t="n">
        <x:f>1+O$9*SUMPRODUCT($H$10:$L$10,H72:L72)/SUM($H$10:$L$10)</x:f>
        <x:v>1.94196787676039</x:v>
      </x:c>
      <x:c r="P72" t="n">
        <x:f>M72*O72+N72</x:f>
        <x:v>11958.958551941909</x:v>
      </x:c>
      <x:c r="Q72" t="n">
        <x:f>P72/(P72+'_曲线基线'!$L$2)</x:f>
        <x:v>0.3325724390673735</x:v>
      </x:c>
      <x:c r="R72" t="n">
        <x:f>E72*'模块规划'!$E$10+G72*'模块规划'!$E$11+H72*'模块规划'!$E$13</x:f>
        <x:v>5422.050615522308</x:v>
      </x:c>
      <x:c r="S72" t="n">
        <x:f>I72*'模块规划'!$E$15+J72*'模块规划'!$E$17+K72*'模块规划'!$E$16+L72*'模块规划'!$E$18</x:f>
        <x:v>7408.9897063996395</x:v>
      </x:c>
      <x:c r="T72" t="n">
        <x:f>1+T$9*SUMPRODUCT($H$10:$L$10,H72:L72)/SUM($H$10:$L$10)</x:f>
        <x:v>1.94196787676039</x:v>
      </x:c>
      <x:c r="U72" t="n">
        <x:f>R72*T72+S72</x:f>
        <x:v>17938.437827912865</x:v>
      </x:c>
      <x:c r="V72" t="n">
        <x:f>V$8+(V$9-V$8)*H72</x:f>
        <x:v>0.8293579126713052</x:v>
      </x:c>
      <x:c r="W72" t="n">
        <x:f>IF(B72&lt;$H$8,0,W$8+(W$9-W$8)*H72)</x:f>
        <x:v>0.17247721689507364</x:v>
      </x:c>
      <x:c r="X72" t="n">
        <x:f>X$8+(X$9-X$8)*H72</x:f>
        <x:v>0.39357808661536314</x:v>
      </x:c>
      <x:c r="Y72" t="n">
        <x:f>Y$8+(Y$9-Y$8)*G72</x:f>
        <x:v>1</x:v>
      </x:c>
      <x:c r="Z72" t="n">
        <x:f>Z$8+(Z$9-Z$8)*H72</x:f>
        <x:v>1</x:v>
      </x:c>
      <x:c r="AA72" t="n">
        <x:f>AA$8+(AA$9-AA$8)*I72</x:f>
        <x:v>1</x:v>
      </x:c>
      <x:c r="AB72" t="n">
        <x:f>AB$8+(AB$9-AB$8)*J72</x:f>
        <x:v>1</x:v>
      </x:c>
      <x:c r="AC72" t="n">
        <x:f>AC$8+(AC$9-AC$8)*MAX(K72,L72)</x:f>
        <x:v>1</x:v>
      </x:c>
      <x:c r="AD72" t="n">
        <x:f>(V72*AE72+W72*AF72+X72*AG72)*PRODUCT(Y72:AC72)</x:f>
        <x:v>1.4677413769768877</x:v>
      </x:c>
      <x:c r="AE72" t="n">
        <x:f>1+AE$9*($H$10*H72+$I$10*I72+$J$10*J72+$K$10*K72+$L$10*L72)</x:f>
        <x:v>1</x:v>
      </x:c>
      <x:c r="AF72" t="n">
        <x:f>1+AF$9*($H$10*H72+$I$10*I72+$J$10*J72+$K$10*K72+$L$10*L72)</x:f>
        <x:v>1.0831372458031439</x:v>
      </x:c>
      <x:c r="AG72" t="n">
        <x:f>1+AG$9*($H$10*H72+$I$10*I72+$J$10*J72+$K$10*K72+$L$10*L72)</x:f>
        <x:v>1.1473376745066837</x:v>
      </x:c>
      <x:c r="AH72" t="n">
        <x:f>MIN(1,'_曲线基线'!$L$3+AH$9*($H$10*H72+$I$10*I72+$J$10*J72+$K$10*K72+$L$10*L72))</x:f>
        <x:v>0.23913723420215194</x:v>
      </x:c>
      <x:c r="AI72" t="n">
        <x:f>'_曲线基线'!$L$4+AI$9*($H$10*H72+$I$10*I72+$J$10*J72+$K$10*K72+$L$10*L72)</x:f>
        <x:v>2.5268822952774235</x:v>
      </x:c>
      <x:c r="AJ72" t="n">
        <x:f>1+AJ$9*($H$10*H72+$I$10*I72+$J$10*J72+$K$10*K72+$L$10*L72)</x:f>
        <x:v>1.4323136781763472</x:v>
      </x:c>
      <x:c r="AK72" t="n">
        <x:f>(1+AH72*(AI72-1))*AJ72</x:f>
        <x:v>1.9553006866241611</x:v>
      </x:c>
      <x:c r="AL72" t="n">
        <x:f>U72*AD72*AK72*F72</x:f>
        <x:v>257405.43608167337</x:v>
      </x:c>
      <x:c r="AM72" t="n">
        <x:f>IF($B72&lt;AM$8,0,AM$3+(AM$4-AM$3)*(POWER(AM$5,$B72-AM$8)-1)/(POWER(AM$5,$C$5-AM$8)-1))</x:f>
        <x:v>36.096385910360176</x:v>
      </x:c>
      <x:c r="AN72" t="n">
        <x:f>(((E72*'模块规划'!$D$10+G72*'模块规划'!$D$11+H72*'模块规划'!$D$13)*(1+'模块规划'!$G$14*H72)+(I72*'模块规划'!$D$15+J72*'模块规划'!$D$17+K72*'模块规划'!$D$16+L72*'模块规划'!$D$18))*(1+'模块规划'!$J$17*J72))*F72/(1-Q72)</x:f>
        <x:v>498755.7259373241</x:v>
      </x:c>
      <x:c r="AO72" t="n">
        <x:f>AL72*AM72</x:f>
        <x:v>9291405.95622863</x:v>
      </x:c>
      <x:c r="AP72" t="n">
        <x:f>IF(AO72="","",INDEX('_曲线基线'!$A$3:$A$502,MIN(ROWS('_曲线基线'!$A$3:$A$502),COUNTIF('_曲线基线'!$E$3:$E$502,"&lt;"&amp;AO72)+1)))</x:f>
        <x:v>140</x:v>
      </x:c>
      <x:c r="AQ72" t="n">
        <x:f>IF(B72&lt;=2,1,IF(B72&lt;=6,2,IF(B72&lt;=9,3,IF(B72&lt;=19,4,5))))</x:f>
        <x:v>5</x:v>
      </x:c>
      <x:c r="AR72" t="n">
        <x:f>AN72*(1-Q72)/F72*$AS$3+U72*$AS$4+P72*$AS$5</x:f>
        <x:v>5584.987471563751</x:v>
      </x:c>
      <x:c r="AS72" t="n">
        <x:f>1+AH72*$AS$6+AI72*$AS$7+(AJ72-1)*$AS$8+($H$10*H72+$I$10*I72+$J$10*J72+$K$10*K72+$L$10*L72)*$AU$3*$AS$9+($H$10*H72+$I$10*I72+$J$10*J72+$K$10*K72+$L$10*L72)*$AU$4*$AS$10</x:f>
        <x:v>9.94912490143338</x:v>
      </x:c>
      <x:c r="AT72" t="n">
        <x:f>ROUND(AR72*AS72,0)</x:f>
        <x:v>55566</x:v>
      </x:c>
      <x:c r="AU72" t="n">
        <x:f>ROUND(AT72*F72,0)</x:f>
        <x:v>277830</x:v>
      </x:c>
    </x:row>
    <x:row r="73">
      <x:c r="A73" t="n">
        <x:f>IFERROR(XLOOKUP(B73,'_曲线基线'!$G$3:$G$107,'_曲线基线'!$J$3:$J$107,""),"")</x:f>
        <x:v>29</x:v>
      </x:c>
      <x:c r="B73" t="n">
        <x:v>62</x:v>
      </x:c>
      <x:c r="C73" t="n">
        <x:f>C58+1</x:f>
        <x:v>5</x:v>
      </x:c>
      <x:c r="D73" t="n">
        <x:f>D58</x:f>
        <x:v>8</x:v>
      </x:c>
      <x:c r="E73" t="n">
        <x:f>IF($B73&lt;E$8,0,E$3+(E$4-E$3)*(POWER(E$5,$B73-E$8)-1)/(POWER(E$5,$C$5-E$8)-1))</x:f>
        <x:v>1</x:v>
      </x:c>
      <x:c r="F73" t="n">
        <x:f>1+IF(B73&lt;3,0,MIN(1,(B73-2)/4))+IF(B73&lt;7,0,MIN(1,(B73-6)/3))+IF(B73&lt;10,0,MIN(1,(B73-9)/5))+IF(B73&lt;20,0,MIN(1,(B73-19)/10))</x:f>
        <x:v>5</x:v>
      </x:c>
      <x:c r="G73" t="n">
        <x:f>IF($B73&lt;G$8,0,G$3+(G$4-G$3)*(POWER(G$5,$B73-G$8)-1)/(POWER(G$5,$C$5-G$8)-1))</x:f>
        <x:v>0.5502635038280338</x:v>
      </x:c>
      <x:c r="H73" t="n">
        <x:f>IF($B73&lt;H$8,0,H$3+(H$4-H$3)*(POWER(H$5,$B73-H$8)-1)/(POWER(H$5,$C$5-H$8)-1))</x:f>
        <x:v>0.4366357236324417</x:v>
      </x:c>
      <x:c r="I73" t="n">
        <x:f>IF($B73&lt;I$8,0,I$3+(I$4-I$3)*(POWER(I$5,$B73-I$8)-1)/(POWER(I$5,$C$5-I$8)-1))</x:f>
        <x:v>0</x:v>
      </x:c>
      <x:c r="J73" t="n">
        <x:f>IF($B73&lt;J$8,0,J$3+(J$4-J$3)*(POWER(J$5,$B73-J$8)-1)/(POWER(J$5,$C$5-J$8)-1))</x:f>
        <x:v>0.28754945597343656</x:v>
      </x:c>
      <x:c r="K73" t="n">
        <x:f>IF($B73&lt;K$8,0,K$3+(K$4-K$3)*(POWER(K$5,$B73-K$8)-1)/(POWER(K$5,$C$5-K$8)-1))</x:f>
        <x:v>0</x:v>
      </x:c>
      <x:c r="L73" t="n">
        <x:f>IF($B73&lt;L$8,0,L$3+(L$4-L$3)*(POWER(L$5,$B73-L$8)-1)/(POWER(L$5,$C$5-L$8)-1))</x:f>
        <x:v>0.4312348721708468</x:v>
      </x:c>
      <x:c r="M73" t="n">
        <x:f>E73*'模块规划'!$F$10+G73*'模块规划'!$F$11+H73*'模块规划'!$F$13</x:f>
        <x:v>3641.2648183745623</x:v>
      </x:c>
      <x:c r="N73" t="n">
        <x:f>I73*'模块规划'!$F$15+J73*'模块规划'!$F$17+K73*'模块规划'!$F$16+L73*'模块规划'!$F$18</x:f>
        <x:v>5031.6689205886</x:v>
      </x:c>
      <x:c r="O73" t="n">
        <x:f>1+O$9*SUMPRODUCT($H$10:$L$10,H73:L73)/SUM($H$10:$L$10)</x:f>
        <x:v>1.9595303945855584</x:v>
      </x:c>
      <x:c r="P73" t="n">
        <x:f>M73*O73+N73</x:f>
        <x:v>12166.838006928618</x:v>
      </x:c>
      <x:c r="Q73" t="n">
        <x:f>P73/(P73+'_曲线基线'!$L$2)</x:f>
        <x:v>0.3364086737302766</x:v>
      </x:c>
      <x:c r="R73" t="n">
        <x:f>E73*'模块规划'!$E$10+G73*'模块规划'!$E$11+H73*'模块规划'!$E$13</x:f>
        <x:v>5461.8972275618435</x:v>
      </x:c>
      <x:c r="S73" t="n">
        <x:f>I73*'模块规划'!$E$15+J73*'模块规划'!$E$17+K73*'模块规划'!$E$16+L73*'模块规划'!$E$18</x:f>
        <x:v>7547.503380882899</x:v>
      </x:c>
      <x:c r="T73" t="n">
        <x:f>1+T$9*SUMPRODUCT($H$10:$L$10,H73:L73)/SUM($H$10:$L$10)</x:f>
        <x:v>1.9595303945855584</x:v>
      </x:c>
      <x:c r="U73" t="n">
        <x:f>R73*T73+S73</x:f>
        <x:v>18250.257010392925</x:v>
      </x:c>
      <x:c r="V73" t="n">
        <x:f>V$8+(V$9-V$8)*H73</x:f>
        <x:v>0.8309907170897325</x:v>
      </x:c>
      <x:c r="W73" t="n">
        <x:f>IF(B73&lt;$H$8,0,W$8+(W$9-W$8)*H73)</x:f>
        <x:v>0.17465428945297667</x:v>
      </x:c>
      <x:c r="X73" t="n">
        <x:f>X$8+(X$9-X$8)*H73</x:f>
        <x:v>0.39507482399892146</x:v>
      </x:c>
      <x:c r="Y73" t="n">
        <x:f>Y$8+(Y$9-Y$8)*G73</x:f>
        <x:v>1</x:v>
      </x:c>
      <x:c r="Z73" t="n">
        <x:f>Z$8+(Z$9-Z$8)*H73</x:f>
        <x:v>1</x:v>
      </x:c>
      <x:c r="AA73" t="n">
        <x:f>AA$8+(AA$9-AA$8)*I73</x:f>
        <x:v>1</x:v>
      </x:c>
      <x:c r="AB73" t="n">
        <x:f>AB$8+(AB$9-AB$8)*J73</x:f>
        <x:v>1</x:v>
      </x:c>
      <x:c r="AC73" t="n">
        <x:f>AC$8+(AC$9-AC$8)*MAX(K73,L73)</x:f>
        <x:v>1</x:v>
      </x:c>
      <x:c r="AD73" t="n">
        <x:f>(V73*AE73+W73*AF73+X73*AG73)*PRODUCT(Y73:AC73)</x:f>
        <x:v>1.4748055213484559</x:v>
      </x:c>
      <x:c r="AE73" t="n">
        <x:f>1+AE$9*($H$10*H73+$I$10*I73+$J$10*J73+$K$10*K73+$L$10*L73)</x:f>
        <x:v>1</x:v>
      </x:c>
      <x:c r="AF73" t="n">
        <x:f>1+AF$9*($H$10*H73+$I$10*I73+$J$10*J73+$K$10*K73+$L$10*L73)</x:f>
        <x:v>1.0846872979836648</x:v>
      </x:c>
      <x:c r="AG73" t="n">
        <x:f>1+AG$9*($H$10*H73+$I$10*I73+$J$10*J73+$K$10*K73+$L$10*L73)</x:f>
        <x:v>1.150084711426607</x:v>
      </x:c>
      <x:c r="AH73" t="n">
        <x:f>MIN(1,'_曲线基线'!$L$3+AH$9*($H$10*H73+$I$10*I73+$J$10*J73+$K$10*K73+$L$10*L73))</x:f>
        <x:v>0.24266360291283706</x:v>
      </x:c>
      <x:c r="AI73" t="n">
        <x:f>'_曲线基线'!$L$4+AI$9*($H$10*H73+$I$10*I73+$J$10*J73+$K$10*K73+$L$10*L73)</x:f>
        <x:v>2.5367057509714748</x:v>
      </x:c>
      <x:c r="AJ73" t="n">
        <x:f>1+AJ$9*($H$10*H73+$I$10*I73+$J$10*J73+$K$10*K73+$L$10*L73)</x:f>
        <x:v>1.4403739495150563</x:v>
      </x:c>
      <x:c r="AK73" t="n">
        <x:f>(1+AH73*(AI73-1))*AJ73</x:f>
        <x:v>1.9774930742169086</x:v>
      </x:c>
      <x:c r="AL73" t="n">
        <x:f>U73*AD73*AK73*F73</x:f>
        <x:v>266126.86326416343</x:v>
      </x:c>
      <x:c r="AM73" t="n">
        <x:f>IF($B73&lt;AM$8,0,AM$3+(AM$4-AM$3)*(POWER(AM$5,$B73-AM$8)-1)/(POWER(AM$5,$C$5-AM$8)-1))</x:f>
        <x:v>36.120774409385646</x:v>
      </x:c>
      <x:c r="AN73" t="n">
        <x:f>(((E73*'模块规划'!$D$10+G73*'模块规划'!$D$11+H73*'模块规划'!$D$13)*(1+'模块规划'!$G$14*H73)+(I73*'模块规划'!$D$15+J73*'模块规划'!$D$17+K73*'模块规划'!$D$16+L73*'模块规划'!$D$18))*(1+'模块规划'!$J$17*J73))*F73/(1-Q73)</x:f>
        <x:v>511997.2395125759</x:v>
      </x:c>
      <x:c r="AO73" t="n">
        <x:f>AL73*AM73</x:f>
        <x:v>9612708.392242268</x:v>
      </x:c>
      <x:c r="AP73" t="n">
        <x:f>IF(AO73="","",INDEX('_曲线基线'!$A$3:$A$502,MIN(ROWS('_曲线基线'!$A$3:$A$502),COUNTIF('_曲线基线'!$E$3:$E$502,"&lt;"&amp;AO73)+1)))</x:f>
        <x:v>142</x:v>
      </x:c>
      <x:c r="AQ73" t="n">
        <x:f>IF(B73&lt;=2,1,IF(B73&lt;=6,2,IF(B73&lt;=9,3,IF(B73&lt;=19,4,5))))</x:f>
        <x:v>5</x:v>
      </x:c>
      <x:c r="AR73" t="n">
        <x:f>AN73*(1-Q73)/F73*$AS$3+U73*$AS$4+P73*$AS$5</x:f>
        <x:v>5688.59296536611</x:v>
      </x:c>
      <x:c r="AS73" t="n">
        <x:f>1+AH73*$AS$6+AI73*$AS$7+(AJ73-1)*$AS$8+($H$10*H73+$I$10*I73+$J$10*J73+$K$10*K73+$L$10*L73)*$AU$3*$AS$9+($H$10*H73+$I$10*I73+$J$10*J73+$K$10*K73+$L$10*L73)*$AU$4*$AS$10</x:f>
        <x:v>10.041742280466297</x:v>
      </x:c>
      <x:c r="AT73" t="n">
        <x:f>ROUND(AR73*AS73,0)</x:f>
        <x:v>57123</x:v>
      </x:c>
      <x:c r="AU73" t="n">
        <x:f>ROUND(AT73*F73,0)</x:f>
        <x:v>285615</x:v>
      </x:c>
    </x:row>
    <x:row r="74">
      <x:c r="A74" t="n">
        <x:f>IFERROR(XLOOKUP(B74,'_曲线基线'!$G$3:$G$107,'_曲线基线'!$J$3:$J$107,""),"")</x:f>
        <x:v>29</x:v>
      </x:c>
      <x:c r="B74" t="n">
        <x:v>63</x:v>
      </x:c>
      <x:c r="C74" t="n">
        <x:f>C59+1</x:f>
        <x:v>5</x:v>
      </x:c>
      <x:c r="D74" t="n">
        <x:f>D59</x:f>
        <x:v>9</x:v>
      </x:c>
      <x:c r="E74" t="n">
        <x:f>IF($B74&lt;E$8,0,E$3+(E$4-E$3)*(POWER(E$5,$B74-E$8)-1)/(POWER(E$5,$C$5-E$8)-1))</x:f>
        <x:v>1</x:v>
      </x:c>
      <x:c r="F74" t="n">
        <x:f>1+IF(B74&lt;3,0,MIN(1,(B74-2)/4))+IF(B74&lt;7,0,MIN(1,(B74-6)/3))+IF(B74&lt;10,0,MIN(1,(B74-9)/5))+IF(B74&lt;20,0,MIN(1,(B74-19)/10))</x:f>
        <x:v>5</x:v>
      </x:c>
      <x:c r="G74" t="n">
        <x:f>IF($B74&lt;G$8,0,G$3+(G$4-G$3)*(POWER(G$5,$B74-G$8)-1)/(POWER(G$5,$C$5-G$8)-1))</x:f>
        <x:v>0.5557147417251092</x:v>
      </x:c>
      <x:c r="H74" t="n">
        <x:f>IF($B74&lt;H$8,0,H$3+(H$4-H$3)*(POWER(H$5,$B74-H$8)-1)/(POWER(H$5,$C$5-H$8)-1))</x:f>
        <x:v>0.4419695513993042</x:v>
      </x:c>
      <x:c r="I74" t="n">
        <x:f>IF($B74&lt;I$8,0,I$3+(I$4-I$3)*(POWER(I$5,$B74-I$8)-1)/(POWER(I$5,$C$5-I$8)-1))</x:f>
        <x:v>0</x:v>
      </x:c>
      <x:c r="J74" t="n">
        <x:f>IF($B74&lt;J$8,0,J$3+(J$4-J$3)*(POWER(J$5,$B74-J$8)-1)/(POWER(J$5,$C$5-J$8)-1))</x:f>
        <x:v>0.2938774113456917</x:v>
      </x:c>
      <x:c r="K74" t="n">
        <x:f>IF($B74&lt;K$8,0,K$3+(K$4-K$3)*(POWER(K$5,$B74-K$8)-1)/(POWER(K$5,$C$5-K$8)-1))</x:f>
        <x:v>0</x:v>
      </x:c>
      <x:c r="L74" t="n">
        <x:f>IF($B74&lt;L$8,0,L$3+(L$4-L$3)*(POWER(L$5,$B74-L$8)-1)/(POWER(L$5,$C$5-L$8)-1))</x:f>
        <x:v>0.4366780815588155</x:v>
      </x:c>
      <x:c r="M74" t="n">
        <x:f>E74*'模块规划'!$F$10+G74*'模块规划'!$F$11+H74*'模块规划'!$F$13</x:f>
        <x:v>3667.430760280524</x:v>
      </x:c>
      <x:c r="N74" t="n">
        <x:f>I74*'模块规划'!$F$15+J74*'模块规划'!$F$17+K74*'模块规划'!$F$16+L74*'模块规划'!$F$18</x:f>
        <x:v>5122.164521250994</x:v>
      </x:c>
      <x:c r="O74" t="n">
        <x:f>1+O$9*SUMPRODUCT($H$10:$L$10,H74:L74)/SUM($H$10:$L$10)</x:f>
        <x:v>1.9767416620542233</x:v>
      </x:c>
      <x:c r="P74" t="n">
        <x:f>M74*O74+N74</x:f>
        <x:v>12371.727697796701</x:v>
      </x:c>
      <x:c r="Q74" t="n">
        <x:f>P74/(P74+'_曲线基线'!$L$2)</x:f>
        <x:v>0.34014682504472143</x:v>
      </x:c>
      <x:c r="R74" t="n">
        <x:f>E74*'模块规划'!$E$10+G74*'模块规划'!$E$11+H74*'模块规划'!$E$13</x:f>
        <x:v>5501.146140420786</x:v>
      </x:c>
      <x:c r="S74" t="n">
        <x:f>I74*'模块规划'!$E$15+J74*'模块规划'!$E$17+K74*'模块规划'!$E$16+L74*'模块规划'!$E$18</x:f>
        <x:v>7683.246781876492</x:v>
      </x:c>
      <x:c r="T74" t="n">
        <x:f>1+T$9*SUMPRODUCT($H$10:$L$10,H74:L74)/SUM($H$10:$L$10)</x:f>
        <x:v>1.9767416620542233</x:v>
      </x:c>
      <x:c r="U74" t="n">
        <x:f>R74*T74+S74</x:f>
        <x:v>18557.59154669505</x:v>
      </x:c>
      <x:c r="V74" t="n">
        <x:f>V$8+(V$9-V$8)*H74</x:f>
        <x:v>0.8325908654197912</x:v>
      </x:c>
      <x:c r="W74" t="n">
        <x:f>IF(B74&lt;$H$8,0,W$8+(W$9-W$8)*H74)</x:f>
        <x:v>0.1767878205597217</x:v>
      </x:c>
      <x:c r="X74" t="n">
        <x:f>X$8+(X$9-X$8)*H74</x:f>
        <x:v>0.3965416266348087</x:v>
      </x:c>
      <x:c r="Y74" t="n">
        <x:f>Y$8+(Y$9-Y$8)*G74</x:f>
        <x:v>1</x:v>
      </x:c>
      <x:c r="Z74" t="n">
        <x:f>Z$8+(Z$9-Z$8)*H74</x:f>
        <x:v>1</x:v>
      </x:c>
      <x:c r="AA74" t="n">
        <x:f>AA$8+(AA$9-AA$8)*I74</x:f>
        <x:v>1</x:v>
      </x:c>
      <x:c r="AB74" t="n">
        <x:f>AB$8+(AB$9-AB$8)*J74</x:f>
        <x:v>1</x:v>
      </x:c>
      <x:c r="AC74" t="n">
        <x:f>AC$8+(AC$9-AC$8)*MAX(K74,L74)</x:f>
        <x:v>1</x:v>
      </x:c>
      <x:c r="AD74" t="n">
        <x:f>(V74*AE74+W74*AF74+X74*AG74)*PRODUCT(Y74:AC74)</x:f>
        <x:v>1.4817429089947602</x:v>
      </x:c>
      <x:c r="AE74" t="n">
        <x:f>1+AE$9*($H$10*H74+$I$10*I74+$J$10*J74+$K$10*K74+$L$10*L74)</x:f>
        <x:v>1</x:v>
      </x:c>
      <x:c r="AF74" t="n">
        <x:f>1+AF$9*($H$10*H74+$I$10*I74+$J$10*J74+$K$10*K74+$L$10*L74)</x:f>
        <x:v>1.0862063491205753</x:v>
      </x:c>
      <x:c r="AG74" t="n">
        <x:f>1+AG$9*($H$10*H74+$I$10*I74+$J$10*J74+$K$10*K74+$L$10*L74)</x:f>
        <x:v>1.1527768076081317</x:v>
      </x:c>
      <x:c r="AH74" t="n">
        <x:f>MIN(1,'_曲线基线'!$L$3+AH$9*($H$10*H74+$I$10*I74+$J$10*J74+$K$10*K74+$L$10*L74))</x:f>
        <x:v>0.24611944424930848</x:v>
      </x:c>
      <x:c r="AI74" t="n">
        <x:f>'_曲线基线'!$L$4+AI$9*($H$10*H74+$I$10*I74+$J$10*J74+$K$10*K74+$L$10*L74)</x:f>
        <x:v>2.546332737551645</x:v>
      </x:c>
      <x:c r="AJ74" t="n">
        <x:f>1+AJ$9*($H$10*H74+$I$10*I74+$J$10*J74+$K$10*K74+$L$10*L74)</x:f>
        <x:v>1.4482730154269907</x:v>
      </x:c>
      <x:c r="AK74" t="n">
        <x:f>(1+AH74*(AI74-1))*AJ74</x:f>
        <x:v>1.99946045851404</x:v>
      </x:c>
      <x:c r="AL74" t="n">
        <x:f>U74*AD74*AK74*F74</x:f>
        <x:v>274901.6163983544</x:v>
      </x:c>
      <x:c r="AM74" t="n">
        <x:f>IF($B74&lt;AM$8,0,AM$3+(AM$4-AM$3)*(POWER(AM$5,$B74-AM$8)-1)/(POWER(AM$5,$C$5-AM$8)-1))</x:f>
        <x:v>36.14540679340137</x:v>
      </x:c>
      <x:c r="AN74" t="n">
        <x:f>(((E74*'模块规划'!$D$10+G74*'模块规划'!$D$11+H74*'模块规划'!$D$13)*(1+'模块规划'!$G$14*H74)+(I74*'模块规划'!$D$15+J74*'模块规划'!$D$17+K74*'模块规划'!$D$16+L74*'模块规划'!$D$18))*(1+'模块规划'!$J$17*J74))*F74/(1-Q74)</x:f>
        <x:v>525212.5295520264</x:v>
      </x:c>
      <x:c r="AO74" t="n">
        <x:f>AL74*AM74</x:f>
        <x:v>9936430.752882097</x:v>
      </x:c>
      <x:c r="AP74" t="n">
        <x:f>IF(AO74="","",INDEX('_曲线基线'!$A$3:$A$502,MIN(ROWS('_曲线基线'!$A$3:$A$502),COUNTIF('_曲线基线'!$E$3:$E$502,"&lt;"&amp;AO74)+1)))</x:f>
        <x:v>143</x:v>
      </x:c>
      <x:c r="AQ74" t="n">
        <x:f>IF(B74&lt;=2,1,IF(B74&lt;=6,2,IF(B74&lt;=9,3,IF(B74&lt;=19,4,5))))</x:f>
        <x:v>5</x:v>
      </x:c>
      <x:c r="AR74" t="n">
        <x:f>AN74*(1-Q74)/F74*$AS$3+U74*$AS$4+P74*$AS$5</x:f>
        <x:v>5790.897240246196</x:v>
      </x:c>
      <x:c r="AS74" t="n">
        <x:f>1+AH74*$AS$6+AI74*$AS$7+(AJ74-1)*$AS$8+($H$10*H74+$I$10*I74+$J$10*J74+$K$10*K74+$L$10*L74)*$AU$3*$AS$9+($H$10*H74+$I$10*I74+$J$10*J74+$K$10*K74+$L$10*L74)*$AU$4*$AS$10</x:f>
        <x:v>10.132507311918554</x:v>
      </x:c>
      <x:c r="AT74" t="n">
        <x:f>ROUND(AR74*AS74,0)</x:f>
        <x:v>58676</x:v>
      </x:c>
      <x:c r="AU74" t="n">
        <x:f>ROUND(AT74*F74,0)</x:f>
        <x:v>293380</x:v>
      </x:c>
    </x:row>
    <x:row r="75">
      <x:c r="A75" t="n">
        <x:f>IFERROR(XLOOKUP(B75,'_曲线基线'!$G$3:$G$107,'_曲线基线'!$J$3:$J$107,""),"")</x:f>
        <x:v>30</x:v>
      </x:c>
      <x:c r="B75" t="n">
        <x:v>64</x:v>
      </x:c>
      <x:c r="C75" t="n">
        <x:f>C60+1</x:f>
        <x:v>5</x:v>
      </x:c>
      <x:c r="D75" t="n">
        <x:f>D60</x:f>
        <x:v>10</x:v>
      </x:c>
      <x:c r="E75" t="n">
        <x:f>IF($B75&lt;E$8,0,E$3+(E$4-E$3)*(POWER(E$5,$B75-E$8)-1)/(POWER(E$5,$C$5-E$8)-1))</x:f>
        <x:v>1</x:v>
      </x:c>
      <x:c r="F75" t="n">
        <x:f>1+IF(B75&lt;3,0,MIN(1,(B75-2)/4))+IF(B75&lt;7,0,MIN(1,(B75-6)/3))+IF(B75&lt;10,0,MIN(1,(B75-9)/5))+IF(B75&lt;20,0,MIN(1,(B75-19)/10))</x:f>
        <x:v>5</x:v>
      </x:c>
      <x:c r="G75" t="n">
        <x:f>IF($B75&lt;G$8,0,G$3+(G$4-G$3)*(POWER(G$5,$B75-G$8)-1)/(POWER(G$5,$C$5-G$8)-1))</x:f>
        <x:v>0.5610842110537284</x:v>
      </x:c>
      <x:c r="H75" t="n">
        <x:f>IF($B75&lt;H$8,0,H$3+(H$4-H$3)*(POWER(H$5,$B75-H$8)-1)/(POWER(H$5,$C$5-H$8)-1))</x:f>
        <x:v>0.44719670261082944</x:v>
      </x:c>
      <x:c r="I75" t="n">
        <x:f>IF($B75&lt;I$8,0,I$3+(I$4-I$3)*(POWER(I$5,$B75-I$8)-1)/(POWER(I$5,$C$5-I$8)-1))</x:f>
        <x:v>0</x:v>
      </x:c>
      <x:c r="J75" t="n">
        <x:f>IF($B75&lt;J$8,0,J$3+(J$4-J$3)*(POWER(J$5,$B75-J$8)-1)/(POWER(J$5,$C$5-J$8)-1))</x:f>
        <x:v>0.3000788076105017</x:v>
      </x:c>
      <x:c r="K75" t="n">
        <x:f>IF($B75&lt;K$8,0,K$3+(K$4-K$3)*(POWER(K$5,$B75-K$8)-1)/(POWER(K$5,$C$5-K$8)-1))</x:f>
        <x:v>0</x:v>
      </x:c>
      <x:c r="L75" t="n">
        <x:f>IF($B75&lt;L$8,0,L$3+(L$4-L$3)*(POWER(L$5,$B75-L$8)-1)/(POWER(L$5,$C$5-L$8)-1))</x:f>
        <x:v>0.44201242675902486</x:v>
      </x:c>
      <x:c r="M75" t="n">
        <x:f>E75*'模块规划'!$F$10+G75*'模块规划'!$F$11+H75*'模块规划'!$F$13</x:f>
        <x:v>3693.2042130578966</x:v>
      </x:c>
      <x:c r="N75" t="n">
        <x:f>I75*'模块规划'!$F$15+J75*'模块规划'!$F$17+K75*'模块规划'!$F$16+L75*'模块规划'!$F$18</x:f>
        <x:v>5210.850209900142</x:v>
      </x:c>
      <x:c r="O75" t="n">
        <x:f>1+O$9*SUMPRODUCT($H$10:$L$10,H75:L75)/SUM($H$10:$L$10)</x:f>
        <x:v>1.9936087041735147</x:v>
      </x:c>
      <x:c r="P75" t="n">
        <x:f>M75*O75+N75</x:f>
        <x:v>12573.65427534266</x:v>
      </x:c>
      <x:c r="Q75" t="n">
        <x:f>P75/(P75+'_曲线基线'!$L$2)</x:f>
        <x:v>0.34378993634824195</x:v>
      </x:c>
      <x:c r="R75" t="n">
        <x:f>E75*'模块规划'!$E$10+G75*'模块规划'!$E$11+H75*'模块规划'!$E$13</x:f>
        <x:v>5539.806319586844</x:v>
      </x:c>
      <x:c r="S75" t="n">
        <x:f>I75*'模块规划'!$E$15+J75*'模块规划'!$E$17+K75*'模块规划'!$E$16+L75*'模块规划'!$E$18</x:f>
        <x:v>7816.275314850212</x:v>
      </x:c>
      <x:c r="T75" t="n">
        <x:f>1+T$9*SUMPRODUCT($H$10:$L$10,H75:L75)/SUM($H$10:$L$10)</x:f>
        <x:v>1.9936087041735147</x:v>
      </x:c>
      <x:c r="U75" t="n">
        <x:f>R75*T75+S75</x:f>
        <x:v>18860.48141301399</x:v>
      </x:c>
      <x:c r="V75" t="n">
        <x:f>V$8+(V$9-V$8)*H75</x:f>
        <x:v>0.8341590107832488</x:v>
      </x:c>
      <x:c r="W75" t="n">
        <x:f>IF(B75&lt;$H$8,0,W$8+(W$9-W$8)*H75)</x:f>
        <x:v>0.1788786810443318</x:v>
      </x:c>
      <x:c r="X75" t="n">
        <x:f>X$8+(X$9-X$8)*H75</x:f>
        <x:v>0.39797909321797814</x:v>
      </x:c>
      <x:c r="Y75" t="n">
        <x:f>Y$8+(Y$9-Y$8)*G75</x:f>
        <x:v>1</x:v>
      </x:c>
      <x:c r="Z75" t="n">
        <x:f>Z$8+(Z$9-Z$8)*H75</x:f>
        <x:v>1</x:v>
      </x:c>
      <x:c r="AA75" t="n">
        <x:f>AA$8+(AA$9-AA$8)*I75</x:f>
        <x:v>1</x:v>
      </x:c>
      <x:c r="AB75" t="n">
        <x:f>AB$8+(AB$9-AB$8)*J75</x:f>
        <x:v>1</x:v>
      </x:c>
      <x:c r="AC75" t="n">
        <x:f>AC$8+(AC$9-AC$8)*MAX(K75,L75)</x:f>
        <x:v>1</x:v>
      </x:c>
      <x:c r="AD75" t="n">
        <x:f>(V75*AE75+W75*AF75+X75*AG75)*PRODUCT(Y75:AC75)</x:f>
        <x:v>1.4885554998142847</x:v>
      </x:c>
      <x:c r="AE75" t="n">
        <x:f>1+AE$9*($H$10*H75+$I$10*I75+$J$10*J75+$K$10*K75+$L$10*L75)</x:f>
        <x:v>1</x:v>
      </x:c>
      <x:c r="AF75" t="n">
        <x:f>1+AF$9*($H$10*H75+$I$10*I75+$J$10*J75+$K$10*K75+$L$10*L75)</x:f>
        <x:v>1.0876950192347474</x:v>
      </x:c>
      <x:c r="AG75" t="n">
        <x:f>1+AG$9*($H$10*H75+$I$10*I75+$J$10*J75+$K$10*K75+$L$10*L75)</x:f>
        <x:v>1.155415061866026</x:v>
      </x:c>
      <x:c r="AH75" t="n">
        <x:f>MIN(1,'_曲线基线'!$L$3+AH$9*($H$10*H75+$I$10*I75+$J$10*J75+$K$10*K75+$L$10*L75))</x:f>
        <x:v>0.2495061687590504</x:v>
      </x:c>
      <x:c r="AI75" t="n">
        <x:f>'_曲线基线'!$L$4+AI$9*($H$10*H75+$I$10*I75+$J$10*J75+$K$10*K75+$L$10*L75)</x:f>
        <x:v>2.555767184400212</x:v>
      </x:c>
      <x:c r="AJ75" t="n">
        <x:f>1+AJ$9*($H$10*H75+$I$10*I75+$J$10*J75+$K$10*K75+$L$10*L75)</x:f>
        <x:v>1.4560141000206868</x:v>
      </x:c>
      <x:c r="AK75" t="n">
        <x:f>(1+AH75*(AI75-1))*AJ75</x:f>
        <x:v>2.021200203341258</x:v>
      </x:c>
      <x:c r="AL75" t="n">
        <x:f>U75*AD75*AK75*F75</x:f>
        <x:v>283724.6984824386</x:v>
      </x:c>
      <x:c r="AM75" t="n">
        <x:f>IF($B75&lt;AM$8,0,AM$3+(AM$4-AM$3)*(POWER(AM$5,$B75-AM$8)-1)/(POWER(AM$5,$C$5-AM$8)-1))</x:f>
        <x:v>36.170285501257254</x:v>
      </x:c>
      <x:c r="AN75" t="n">
        <x:f>(((E75*'模块规划'!$D$10+G75*'模块规划'!$D$11+H75*'模块规划'!$D$13)*(1+'模块规划'!$G$14*H75)+(I75*'模块规划'!$D$15+J75*'模块规划'!$D$17+K75*'模块规划'!$D$16+L75*'模块规划'!$D$18))*(1+'模块规划'!$J$17*J75))*F75/(1-Q75)</x:f>
        <x:v>538396.2408680277</x:v>
      </x:c>
      <x:c r="AO75" t="n">
        <x:f>AL75*AM75</x:f>
        <x:v>10262403.347867934</x:v>
      </x:c>
      <x:c r="AP75" t="n">
        <x:f>IF(AO75="","",INDEX('_曲线基线'!$A$3:$A$502,MIN(ROWS('_曲线基线'!$A$3:$A$502),COUNTIF('_曲线基线'!$E$3:$E$502,"&lt;"&amp;AO75)+1)))</x:f>
        <x:v>145</x:v>
      </x:c>
      <x:c r="AQ75" t="n">
        <x:f>IF(B75&lt;=2,1,IF(B75&lt;=6,2,IF(B75&lt;=9,3,IF(B75&lt;=19,4,5))))</x:f>
        <x:v>5</x:v>
      </x:c>
      <x:c r="AR75" t="n">
        <x:f>AN75*(1-Q75)/F75*$AS$3+U75*$AS$4+P75*$AS$5</x:f>
        <x:v>5891.902471542052</x:v>
      </x:c>
      <x:c r="AS75" t="n">
        <x:f>1+AH75*$AS$6+AI75*$AS$7+(AJ75-1)*$AS$8+($H$10*H75+$I$10*I75+$J$10*J75+$K$10*K75+$L$10*L75)*$AU$3*$AS$9+($H$10*H75+$I$10*I75+$J$10*J75+$K$10*K75+$L$10*L75)*$AU$4*$AS$10</x:f>
        <x:v>10.221457042741767</x:v>
      </x:c>
      <x:c r="AT75" t="n">
        <x:f>ROUND(AR75*AS75,0)</x:f>
        <x:v>60224</x:v>
      </x:c>
      <x:c r="AU75" t="n">
        <x:f>ROUND(AT75*F75,0)</x:f>
        <x:v>301120</x:v>
      </x:c>
    </x:row>
    <x:row r="76">
      <x:c r="A76" t="n">
        <x:f>IFERROR(XLOOKUP(B76,'_曲线基线'!$G$3:$G$107,'_曲线基线'!$J$3:$J$107,""),"")</x:f>
        <x:v>30</x:v>
      </x:c>
      <x:c r="B76" t="n">
        <x:v>65</x:v>
      </x:c>
      <x:c r="C76" t="n">
        <x:f>C61+1</x:f>
        <x:v>5</x:v>
      </x:c>
      <x:c r="D76" t="n">
        <x:f>D61</x:f>
        <x:v>11</x:v>
      </x:c>
      <x:c r="E76" t="n">
        <x:f>IF($B76&lt;E$8,0,E$3+(E$4-E$3)*(POWER(E$5,$B76-E$8)-1)/(POWER(E$5,$C$5-E$8)-1))</x:f>
        <x:v>1</x:v>
      </x:c>
      <x:c r="F76" t="n">
        <x:f>1+IF(B76&lt;3,0,MIN(1,(B76-2)/4))+IF(B76&lt;7,0,MIN(1,(B76-6)/3))+IF(B76&lt;10,0,MIN(1,(B76-9)/5))+IF(B76&lt;20,0,MIN(1,(B76-19)/10))</x:f>
        <x:v>5</x:v>
      </x:c>
      <x:c r="G76" t="n">
        <x:f>IF($B76&lt;G$8,0,G$3+(G$4-G$3)*(POWER(G$5,$B76-G$8)-1)/(POWER(G$5,$C$5-G$8)-1))</x:f>
        <x:v>0.5663731383424183</x:v>
      </x:c>
      <x:c r="H76" t="n">
        <x:f>IF($B76&lt;H$8,0,H$3+(H$4-H$3)*(POWER(H$5,$B76-H$8)-1)/(POWER(H$5,$C$5-H$8)-1))</x:f>
        <x:v>0.4523193107981243</x:v>
      </x:c>
      <x:c r="I76" t="n">
        <x:f>IF($B76&lt;I$8,0,I$3+(I$4-I$3)*(POWER(I$5,$B76-I$8)-1)/(POWER(I$5,$C$5-I$8)-1))</x:f>
        <x:v>0.013171091343068202</x:v>
      </x:c>
      <x:c r="J76" t="n">
        <x:f>IF($B76&lt;J$8,0,J$3+(J$4-J$3)*(POWER(J$5,$B76-J$8)-1)/(POWER(J$5,$C$5-J$8)-1))</x:f>
        <x:v>0.3061561759500156</x:v>
      </x:c>
      <x:c r="K76" t="n">
        <x:f>IF($B76&lt;K$8,0,K$3+(K$4-K$3)*(POWER(K$5,$B76-K$8)-1)/(POWER(K$5,$C$5-K$8)-1))</x:f>
        <x:v>0</x:v>
      </x:c>
      <x:c r="L76" t="n">
        <x:f>IF($B76&lt;L$8,0,L$3+(L$4-L$3)*(POWER(L$5,$B76-L$8)-1)/(POWER(L$5,$C$5-L$8)-1))</x:f>
        <x:v>0.44724008505523005</x:v>
      </x:c>
      <x:c r="M76" t="n">
        <x:f>E76*'模块规划'!$F$10+G76*'模块规划'!$F$11+H76*'模块规划'!$F$13</x:f>
        <x:v>3718.5910640436077</x:v>
      </x:c>
      <x:c r="N76" t="n">
        <x:f>I76*'模块规划'!$F$15+J76*'模块规划'!$F$17+K76*'模块规划'!$F$16+L76*'模块规划'!$F$18</x:f>
        <x:v>5403.130915520852</x:v>
      </x:c>
      <x:c r="O76" t="n">
        <x:f>1+O$9*SUMPRODUCT($H$10:$L$10,H76:L76)/SUM($H$10:$L$10)</x:f>
        <x:v>2.0128934594194297</x:v>
      </x:c>
      <x:c r="P76" t="n">
        <x:f>M76*O76+N76</x:f>
        <x:v>12888.258546589768</x:v>
      </x:c>
      <x:c r="Q76" t="n">
        <x:f>P76/(P76+'_曲线基线'!$L$2)</x:f>
        <x:v>0.3493864729426555</x:v>
      </x:c>
      <x:c r="R76" t="n">
        <x:f>E76*'模块规划'!$E$10+G76*'模块规划'!$E$11+H76*'模块规划'!$E$13</x:f>
        <x:v>5577.886596065412</x:v>
      </x:c>
      <x:c r="S76" t="n">
        <x:f>I76*'模块规划'!$E$15+J76*'模块规划'!$E$17+K76*'模块规划'!$E$16+L76*'模块规划'!$E$18</x:f>
        <x:v>8104.696373281278</x:v>
      </x:c>
      <x:c r="T76" t="n">
        <x:f>1+T$9*SUMPRODUCT($H$10:$L$10,H76:L76)/SUM($H$10:$L$10)</x:f>
        <x:v>2.0128934594194297</x:v>
      </x:c>
      <x:c r="U76" t="n">
        <x:f>R76*T76+S76</x:f>
        <x:v>19332.38781988465</x:v>
      </x:c>
      <x:c r="V76" t="n">
        <x:f>V$8+(V$9-V$8)*H76</x:f>
        <x:v>0.8356957932394373</x:v>
      </x:c>
      <x:c r="W76" t="n">
        <x:f>IF(B76&lt;$H$8,0,W$8+(W$9-W$8)*H76)</x:f>
        <x:v>0.18092772431924975</x:v>
      </x:c>
      <x:c r="X76" t="n">
        <x:f>X$8+(X$9-X$8)*H76</x:f>
        <x:v>0.39938781046948424</x:v>
      </x:c>
      <x:c r="Y76" t="n">
        <x:f>Y$8+(Y$9-Y$8)*G76</x:f>
        <x:v>1</x:v>
      </x:c>
      <x:c r="Z76" t="n">
        <x:f>Z$8+(Z$9-Z$8)*H76</x:f>
        <x:v>1</x:v>
      </x:c>
      <x:c r="AA76" t="n">
        <x:f>AA$8+(AA$9-AA$8)*I76</x:f>
        <x:v>1</x:v>
      </x:c>
      <x:c r="AB76" t="n">
        <x:f>AB$8+(AB$9-AB$8)*J76</x:f>
        <x:v>1</x:v>
      </x:c>
      <x:c r="AC76" t="n">
        <x:f>AC$8+(AC$9-AC$8)*MAX(K76,L76)</x:f>
        <x:v>1</x:v>
      </x:c>
      <x:c r="AD76" t="n">
        <x:f>(V76*AE76+W76*AF76+X76*AG76)*PRODUCT(Y76:AC76)</x:f>
        <x:v>1.4954613400456849</x:v>
      </x:c>
      <x:c r="AE76" t="n">
        <x:f>1+AE$9*($H$10*H76+$I$10*I76+$J$10*J76+$K$10*K76+$L$10*L76)</x:f>
        <x:v>1</x:v>
      </x:c>
      <x:c r="AF76" t="n">
        <x:f>1+AF$9*($H$10*H76+$I$10*I76+$J$10*J76+$K$10*K76+$L$10*L76)</x:f>
        <x:v>1.0893970745560468</x:v>
      </x:c>
      <x:c r="AG76" t="n">
        <x:f>1+AG$9*($H$10*H76+$I$10*I76+$J$10*J76+$K$10*K76+$L$10*L76)</x:f>
        <x:v>1.1584314821298842</x:v>
      </x:c>
      <x:c r="AH76" t="n">
        <x:f>MIN(1,'_曲线基线'!$L$3+AH$9*($H$10*H76+$I$10*I76+$J$10*J76+$K$10*K76+$L$10*L76))</x:f>
        <x:v>0.25337834461500647</x:v>
      </x:c>
      <x:c r="AI76" t="n">
        <x:f>'_曲线基线'!$L$4+AI$9*($H$10*H76+$I$10*I76+$J$10*J76+$K$10*K76+$L$10*L76)</x:f>
        <x:v>2.566553959998947</x:v>
      </x:c>
      <x:c r="AJ76" t="n">
        <x:f>1+AJ$9*($H$10*H76+$I$10*I76+$J$10*J76+$K$10*K76+$L$10*L76)</x:f>
        <x:v>1.4648647876914433</x:v>
      </x:c>
      <x:c r="AK76" t="n">
        <x:f>(1+AH76*(AI76-1))*AJ76</x:f>
        <x:v>2.0463148117372074</x:v>
      </x:c>
      <x:c r="AL76" t="n">
        <x:f>U76*AD76*AK76*F76</x:f>
        <x:v>295803.38618763123</x:v>
      </x:c>
      <x:c r="AM76" t="n">
        <x:f>IF($B76&lt;AM$8,0,AM$3+(AM$4-AM$3)*(POWER(AM$5,$B76-AM$8)-1)/(POWER(AM$5,$C$5-AM$8)-1))</x:f>
        <x:v>36.19541299619169</x:v>
      </x:c>
      <x:c r="AN76" t="n">
        <x:f>(((E76*'模块规划'!$D$10+G76*'模块规划'!$D$11+H76*'模块规划'!$D$13)*(1+'模块规划'!$G$14*H76)+(I76*'模块规划'!$D$15+J76*'模块规划'!$D$17+K76*'模块规划'!$D$16+L76*'模块规划'!$D$18))*(1+'模块规划'!$J$17*J76))*F76/(1-Q76)</x:f>
        <x:v>558813.5900929654</x:v>
      </x:c>
      <x:c r="AO76" t="n">
        <x:f>AL76*AM76</x:f>
        <x:v>10706725.728733297</x:v>
      </x:c>
      <x:c r="AP76" t="n">
        <x:f>IF(AO76="","",INDEX('_曲线基线'!$A$3:$A$502,MIN(ROWS('_曲线基线'!$A$3:$A$502),COUNTIF('_曲线基线'!$E$3:$E$502,"&lt;"&amp;AO76)+1)))</x:f>
        <x:v>147</x:v>
      </x:c>
      <x:c r="AQ76" t="n">
        <x:f>IF(B76&lt;=2,1,IF(B76&lt;=6,2,IF(B76&lt;=9,3,IF(B76&lt;=19,4,5))))</x:f>
        <x:v>5</x:v>
      </x:c>
      <x:c r="AR76" t="n">
        <x:f>AN76*(1-Q76)/F76*$AS$3+U76*$AS$4+P76*$AS$5</x:f>
        <x:v>6047.907648884699</x:v>
      </x:c>
      <x:c r="AS76" t="n">
        <x:f>1+AH76*$AS$6+AI76*$AS$7+(AJ76-1)*$AS$8+($H$10*H76+$I$10*I76+$J$10*J76+$K$10*K76+$L$10*L76)*$AU$3*$AS$9+($H$10*H76+$I$10*I76+$J$10*J76+$K$10*K76+$L$10*L76)*$AU$4*$AS$10</x:f>
        <x:v>10.323156782149761</x:v>
      </x:c>
      <x:c r="AT76" t="n">
        <x:f>ROUND(AR76*AS76,0)</x:f>
        <x:v>62433</x:v>
      </x:c>
      <x:c r="AU76" t="n">
        <x:f>ROUND(AT76*F76,0)</x:f>
        <x:v>312165</x:v>
      </x:c>
    </x:row>
    <x:row r="77">
      <x:c r="A77" t="n">
        <x:f>IFERROR(XLOOKUP(B77,'_曲线基线'!$G$3:$G$107,'_曲线基线'!$J$3:$J$107,""),"")</x:f>
        <x:v>30</x:v>
      </x:c>
      <x:c r="B77" t="n">
        <x:v>66</x:v>
      </x:c>
      <x:c r="C77" t="n">
        <x:f>C62+1</x:f>
        <x:v>5</x:v>
      </x:c>
      <x:c r="D77" t="n">
        <x:f>D62</x:f>
        <x:v>12</x:v>
      </x:c>
      <x:c r="E77" t="n">
        <x:f>IF($B77&lt;E$8,0,E$3+(E$4-E$3)*(POWER(E$5,$B77-E$8)-1)/(POWER(E$5,$C$5-E$8)-1))</x:f>
        <x:v>1</x:v>
      </x:c>
      <x:c r="F77" t="n">
        <x:f>1+IF(B77&lt;3,0,MIN(1,(B77-2)/4))+IF(B77&lt;7,0,MIN(1,(B77-6)/3))+IF(B77&lt;10,0,MIN(1,(B77-9)/5))+IF(B77&lt;20,0,MIN(1,(B77-19)/10))</x:f>
        <x:v>5</x:v>
      </x:c>
      <x:c r="G77" t="n">
        <x:f>IF($B77&lt;G$8,0,G$3+(G$4-G$3)*(POWER(G$5,$B77-G$8)-1)/(POWER(G$5,$C$5-G$8)-1))</x:f>
        <x:v>0.5715827317217779</x:v>
      </x:c>
      <x:c r="H77" t="n">
        <x:f>IF($B77&lt;H$8,0,H$3+(H$4-H$3)*(POWER(H$5,$B77-H$8)-1)/(POWER(H$5,$C$5-H$8)-1))</x:f>
        <x:v>0.4573394668216731</x:v>
      </x:c>
      <x:c r="I77" t="n">
        <x:f>IF($B77&lt;I$8,0,I$3+(I$4-I$3)*(POWER(I$5,$B77-I$8)-1)/(POWER(I$5,$C$5-I$8)-1))</x:f>
        <x:v>0.026078760859275067</x:v>
      </x:c>
      <x:c r="J77" t="n">
        <x:f>IF($B77&lt;J$8,0,J$3+(J$4-J$3)*(POWER(J$5,$B77-J$8)-1)/(POWER(J$5,$C$5-J$8)-1))</x:f>
        <x:v>0.3121119969227392</x:v>
      </x:c>
      <x:c r="K77" t="n">
        <x:f>IF($B77&lt;K$8,0,K$3+(K$4-K$3)*(POWER(K$5,$B77-K$8)-1)/(POWER(K$5,$C$5-K$8)-1))</x:f>
        <x:v>0</x:v>
      </x:c>
      <x:c r="L77" t="n">
        <x:f>IF($B77&lt;L$8,0,L$3+(L$4-L$3)*(POWER(L$5,$B77-L$8)-1)/(POWER(L$5,$C$5-L$8)-1))</x:f>
        <x:v>0.4523631901855112</x:v>
      </x:c>
      <x:c r="M77" t="n">
        <x:f>E77*'模块规划'!$F$10+G77*'模块规划'!$F$11+H77*'模块规划'!$F$13</x:f>
        <x:v>3743.5971122645337</x:v>
      </x:c>
      <x:c r="N77" t="n">
        <x:f>I77*'模块规划'!$F$15+J77*'模块规划'!$F$17+K77*'模块规划'!$F$16+L77*'模块规划'!$F$18</x:f>
        <x:v>5591.566007029149</x:v>
      </x:c>
      <x:c r="O77" t="n">
        <x:f>1+O$9*SUMPRODUCT($H$10:$L$10,H77:L77)/SUM($H$10:$L$10)</x:f>
        <x:v>2.031792519560426</x:v>
      </x:c>
      <x:c r="P77" t="n">
        <x:f>M77*O77+N77</x:f>
        <x:v>13197.77861597624</x:v>
      </x:c>
      <x:c r="Q77" t="n">
        <x:f>P77/(P77+'_曲线基线'!$L$2)</x:f>
        <x:v>0.35480018181268136</x:v>
      </x:c>
      <x:c r="R77" t="n">
        <x:f>E77*'模块规划'!$E$10+G77*'模块规划'!$E$11+H77*'模块规划'!$E$13</x:f>
        <x:v>5615.395668396801</x:v>
      </x:c>
      <x:c r="S77" t="n">
        <x:f>I77*'模块规划'!$E$15+J77*'模块规划'!$E$17+K77*'模块规划'!$E$16+L77*'模块规划'!$E$18</x:f>
        <x:v>8387.349010543723</x:v>
      </x:c>
      <x:c r="T77" t="n">
        <x:f>1+T$9*SUMPRODUCT($H$10:$L$10,H77:L77)/SUM($H$10:$L$10)</x:f>
        <x:v>2.031792519560426</x:v>
      </x:c>
      <x:c r="U77" t="n">
        <x:f>R77*T77+S77</x:f>
        <x:v>19796.667923964364</x:v>
      </x:c>
      <x:c r="V77" t="n">
        <x:f>V$8+(V$9-V$8)*H77</x:f>
        <x:v>0.8372018400465019</x:v>
      </x:c>
      <x:c r="W77" t="n">
        <x:f>IF(B77&lt;$H$8,0,W$8+(W$9-W$8)*H77)</x:f>
        <x:v>0.18293578672866925</x:v>
      </x:c>
      <x:c r="X77" t="n">
        <x:f>X$8+(X$9-X$8)*H77</x:f>
        <x:v>0.4007683533759602</x:v>
      </x:c>
      <x:c r="Y77" t="n">
        <x:f>Y$8+(Y$9-Y$8)*G77</x:f>
        <x:v>1</x:v>
      </x:c>
      <x:c r="Z77" t="n">
        <x:f>Z$8+(Z$9-Z$8)*H77</x:f>
        <x:v>1</x:v>
      </x:c>
      <x:c r="AA77" t="n">
        <x:f>AA$8+(AA$9-AA$8)*I77</x:f>
        <x:v>1</x:v>
      </x:c>
      <x:c r="AB77" t="n">
        <x:f>AB$8+(AB$9-AB$8)*J77</x:f>
        <x:v>1</x:v>
      </x:c>
      <x:c r="AC77" t="n">
        <x:f>AC$8+(AC$9-AC$8)*MAX(K77,L77)</x:f>
        <x:v>1</x:v>
      </x:c>
      <x:c r="AD77" t="n">
        <x:f>(V77*AE77+W77*AF77+X77*AG77)*PRODUCT(Y77:AC77)</x:f>
        <x:v>1.502244076091654</x:v>
      </x:c>
      <x:c r="AE77" t="n">
        <x:f>1+AE$9*($H$10*H77+$I$10*I77+$J$10*J77+$K$10*K77+$L$10*L77)</x:f>
        <x:v>1</x:v>
      </x:c>
      <x:c r="AF77" t="n">
        <x:f>1+AF$9*($H$10*H77+$I$10*I77+$J$10*J77+$K$10*K77+$L$10*L77)</x:f>
        <x:v>1.0910650887709203</x:v>
      </x:c>
      <x:c r="AG77" t="n">
        <x:f>1+AG$9*($H$10*H77+$I$10*I77+$J$10*J77+$K$10*K77+$L$10*L77)</x:f>
        <x:v>1.1613875739884654</x:v>
      </x:c>
      <x:c r="AH77" t="n">
        <x:f>MIN(1,'_曲线基线'!$L$3+AH$9*($H$10*H77+$I$10*I77+$J$10*J77+$K$10*K77+$L$10*L77))</x:f>
        <x:v>0.25717307695384334</x:v>
      </x:c>
      <x:c r="AI77" t="n">
        <x:f>'_曲线基线'!$L$4+AI$9*($H$10*H77+$I$10*I77+$J$10*J77+$K$10*K77+$L$10*L77)</x:f>
        <x:v>2.577125000085706</x:v>
      </x:c>
      <x:c r="AJ77" t="n">
        <x:f>1+AJ$9*($H$10*H77+$I$10*I77+$J$10*J77+$K$10*K77+$L$10*L77)</x:f>
        <x:v>1.4735384616087848</x:v>
      </x:c>
      <x:c r="AK77" t="n">
        <x:f>(1+AH77*(AI77-1))*AJ77</x:f>
        <x:v>2.071196951570428</x:v>
      </x:c>
      <x:c r="AL77" t="n">
        <x:f>U77*AD77*AK77*F77</x:f>
        <x:v>307981.05391153187</x:v>
      </x:c>
      <x:c r="AM77" t="n">
        <x:f>IF($B77&lt;AM$8,0,AM$3+(AM$4-AM$3)*(POWER(AM$5,$B77-AM$8)-1)/(POWER(AM$5,$C$5-AM$8)-1))</x:f>
        <x:v>36.22079176607548</x:v>
      </x:c>
      <x:c r="AN77" t="n">
        <x:f>(((E77*'模块规划'!$D$10+G77*'模块规划'!$D$11+H77*'模块规划'!$D$13)*(1+'模块规划'!$G$14*H77)+(I77*'模块规划'!$D$15+J77*'模块规划'!$D$17+K77*'模块规划'!$D$16+L77*'模块规划'!$D$18))*(1+'模块规划'!$J$17*J77))*F77/(1-Q77)</x:f>
        <x:v>579258.6319637743</x:v>
      </x:c>
      <x:c r="AO77" t="n">
        <x:f>AL77*AM77</x:f>
        <x:v>11155317.621626062</x:v>
      </x:c>
      <x:c r="AP77" t="n">
        <x:f>IF(AO77="","",INDEX('_曲线基线'!$A$3:$A$502,MIN(ROWS('_曲线基线'!$A$3:$A$502),COUNTIF('_曲线基线'!$E$3:$E$502,"&lt;"&amp;AO77)+1)))</x:f>
        <x:v>149</x:v>
      </x:c>
      <x:c r="AQ77" t="n">
        <x:f>IF(B77&lt;=2,1,IF(B77&lt;=6,2,IF(B77&lt;=9,3,IF(B77&lt;=19,4,5))))</x:f>
        <x:v>5</x:v>
      </x:c>
      <x:c r="AR77" t="n">
        <x:f>AN77*(1-Q77)/F77*$AS$3+U77*$AS$4+P77*$AS$5</x:f>
        <x:v>6201.758968951645</x:v>
      </x:c>
      <x:c r="AS77" t="n">
        <x:f>1+AH77*$AS$6+AI77*$AS$7+(AJ77-1)*$AS$8+($H$10*H77+$I$10*I77+$J$10*J77+$K$10*K77+$L$10*L77)*$AU$3*$AS$9+($H$10*H77+$I$10*I77+$J$10*J77+$K$10*K77+$L$10*L77)*$AU$4*$AS$10</x:f>
        <x:v>10.422822526769595</x:v>
      </x:c>
      <x:c r="AT77" t="n">
        <x:f>ROUND(AR77*AS77,0)</x:f>
        <x:v>64640</x:v>
      </x:c>
      <x:c r="AU77" t="n">
        <x:f>ROUND(AT77*F77,0)</x:f>
        <x:v>323200</x:v>
      </x:c>
    </x:row>
    <x:row r="78">
      <x:c r="A78" t="n">
        <x:f>IFERROR(XLOOKUP(B78,'_曲线基线'!$G$3:$G$107,'_曲线基线'!$J$3:$J$107,""),"")</x:f>
        <x:v>30</x:v>
      </x:c>
      <x:c r="B78" t="n">
        <x:v>67</x:v>
      </x:c>
      <x:c r="C78" t="n">
        <x:f>C63+1</x:f>
        <x:v>5</x:v>
      </x:c>
      <x:c r="D78" t="n">
        <x:f>D63</x:f>
        <x:v>13</x:v>
      </x:c>
      <x:c r="E78" t="n">
        <x:f>IF($B78&lt;E$8,0,E$3+(E$4-E$3)*(POWER(E$5,$B78-E$8)-1)/(POWER(E$5,$C$5-E$8)-1))</x:f>
        <x:v>1</x:v>
      </x:c>
      <x:c r="F78" t="n">
        <x:f>1+IF(B78&lt;3,0,MIN(1,(B78-2)/4))+IF(B78&lt;7,0,MIN(1,(B78-6)/3))+IF(B78&lt;10,0,MIN(1,(B78-9)/5))+IF(B78&lt;20,0,MIN(1,(B78-19)/10))</x:f>
        <x:v>5</x:v>
      </x:c>
      <x:c r="G78" t="n">
        <x:f>IF($B78&lt;G$8,0,G$3+(G$4-G$3)*(POWER(G$5,$B78-G$8)-1)/(POWER(G$5,$C$5-G$8)-1))</x:f>
        <x:v>0.5767141812004472</x:v>
      </x:c>
      <x:c r="H78" t="n">
        <x:f>IF($B78&lt;H$8,0,H$3+(H$4-H$3)*(POWER(H$5,$B78-H$8)-1)/(POWER(H$5,$C$5-H$8)-1))</x:f>
        <x:v>0.46225921972475104</x:v>
      </x:c>
      <x:c r="I78" t="n">
        <x:f>IF($B78&lt;I$8,0,I$3+(I$4-I$3)*(POWER(I$5,$B78-I$8)-1)/(POWER(I$5,$C$5-I$8)-1))</x:f>
        <x:v>0.03872827698515776</x:v>
      </x:c>
      <x:c r="J78" t="n">
        <x:f>IF($B78&lt;J$8,0,J$3+(J$4-J$3)*(POWER(J$5,$B78-J$8)-1)/(POWER(J$5,$C$5-J$8)-1))</x:f>
        <x:v>0.31794870147600834</x:v>
      </x:c>
      <x:c r="K78" t="n">
        <x:f>IF($B78&lt;K$8,0,K$3+(K$4-K$3)*(POWER(K$5,$B78-K$8)-1)/(POWER(K$5,$C$5-K$8)-1))</x:f>
        <x:v>0</x:v>
      </x:c>
      <x:c r="L78" t="n">
        <x:f>IF($B78&lt;L$8,0,L$3+(L$4-L$3)*(POWER(L$5,$B78-L$8)-1)/(POWER(L$5,$C$5-L$8)-1))</x:f>
        <x:v>0.4573838332131866</x:v>
      </x:c>
      <x:c r="M78" t="n">
        <x:f>E78*'模块规划'!$F$10+G78*'模块规划'!$F$11+H78*'模块规划'!$F$13</x:f>
        <x:v>3768.2280697621463</x:v>
      </x:c>
      <x:c r="N78" t="n">
        <x:f>I78*'模块规划'!$F$15+J78*'模块规划'!$F$17+K78*'模块规划'!$F$16+L78*'模块规划'!$F$18</x:f>
        <x:v>5776.232396707279</x:v>
      </x:c>
      <x:c r="O78" t="n">
        <x:f>1+O$9*SUMPRODUCT($H$10:$L$10,H78:L78)/SUM($H$10:$L$10)</x:f>
        <x:v>2.050313598498602</x:v>
      </x:c>
      <x:c r="P78" t="n">
        <x:f>M78*O78+N78</x:f>
        <x:v>13502.281650384746</x:v>
      </x:c>
      <x:c r="Q78" t="n">
        <x:f>P78/(P78+'_曲线基线'!$L$2)</x:f>
        <x:v>0.3600389377974346</x:v>
      </x:c>
      <x:c r="R78" t="n">
        <x:f>E78*'模块规划'!$E$10+G78*'模块规划'!$E$11+H78*'模块规划'!$E$13</x:f>
        <x:v>5652.3421046432195</x:v>
      </x:c>
      <x:c r="S78" t="n">
        <x:f>I78*'模块规划'!$E$15+J78*'模块规划'!$E$17+K78*'模块规划'!$E$16+L78*'模块规划'!$E$18</x:f>
        <x:v>8664.348595060917</x:v>
      </x:c>
      <x:c r="T78" t="n">
        <x:f>1+T$9*SUMPRODUCT($H$10:$L$10,H78:L78)/SUM($H$10:$L$10)</x:f>
        <x:v>2.050313598498602</x:v>
      </x:c>
      <x:c r="U78" t="n">
        <x:f>R78*T78+S78</x:f>
        <x:v>20253.422475577117</x:v>
      </x:c>
      <x:c r="V78" t="n">
        <x:f>V$8+(V$9-V$8)*H78</x:f>
        <x:v>0.8386777659174253</x:v>
      </x:c>
      <x:c r="W78" t="n">
        <x:f>IF(B78&lt;$H$8,0,W$8+(W$9-W$8)*H78)</x:f>
        <x:v>0.18490368788990041</x:v>
      </x:c>
      <x:c r="X78" t="n">
        <x:f>X$8+(X$9-X$8)*H78</x:f>
        <x:v>0.4021212854243066</x:v>
      </x:c>
      <x:c r="Y78" t="n">
        <x:f>Y$8+(Y$9-Y$8)*G78</x:f>
        <x:v>1</x:v>
      </x:c>
      <x:c r="Z78" t="n">
        <x:f>Z$8+(Z$9-Z$8)*H78</x:f>
        <x:v>1</x:v>
      </x:c>
      <x:c r="AA78" t="n">
        <x:f>AA$8+(AA$9-AA$8)*I78</x:f>
        <x:v>1</x:v>
      </x:c>
      <x:c r="AB78" t="n">
        <x:f>AB$8+(AB$9-AB$8)*J78</x:f>
        <x:v>1</x:v>
      </x:c>
      <x:c r="AC78" t="n">
        <x:f>AC$8+(AC$9-AC$8)*MAX(K78,L78)</x:f>
        <x:v>1</x:v>
      </x:c>
      <x:c r="AD78" t="n">
        <x:f>(V78*AE78+W78*AF78+X78*AG78)*PRODUCT(Y78:AC78)</x:f>
        <x:v>1.5089055755361807</x:v>
      </x:c>
      <x:c r="AE78" t="n">
        <x:f>1+AE$9*($H$10*H78+$I$10*I78+$J$10*J78+$K$10*K78+$L$10*L78)</x:f>
        <x:v>1</x:v>
      </x:c>
      <x:c r="AF78" t="n">
        <x:f>1+AF$9*($H$10*H78+$I$10*I78+$J$10*J78+$K$10*K78+$L$10*L78)</x:f>
        <x:v>1.0926997427014962</x:v>
      </x:c>
      <x:c r="AG78" t="n">
        <x:f>1+AG$9*($H$10*H78+$I$10*I78+$J$10*J78+$K$10*K78+$L$10*L78)</x:f>
        <x:v>1.164284544009875</x:v>
      </x:c>
      <x:c r="AH78" t="n">
        <x:f>MIN(1,'_曲线基线'!$L$3+AH$9*($H$10*H78+$I$10*I78+$J$10*J78+$K$10*K78+$L$10*L78))</x:f>
        <x:v>0.2608919146459035</x:v>
      </x:c>
      <x:c r="AI78" t="n">
        <x:f>'_曲线基线'!$L$4+AI$9*($H$10*H78+$I$10*I78+$J$10*J78+$K$10*K78+$L$10*L78)</x:f>
        <x:v>2.587484619370731</x:v>
      </x:c>
      <x:c r="AJ78" t="n">
        <x:f>1+AJ$9*($H$10*H78+$I$10*I78+$J$10*J78+$K$10*K78+$L$10*L78)</x:f>
        <x:v>1.4820386620477795</x:v>
      </x:c>
      <x:c r="AK78" t="n">
        <x:f>(1+AH78*(AI78-1))*AJ78</x:f>
        <x:v>2.095842612890112</x:v>
      </x:c>
      <x:c r="AL78" t="n">
        <x:f>U78*AD78*AK78*F78</x:f>
        <x:v>320250.0128319745</x:v>
      </x:c>
      <x:c r="AM78" t="n">
        <x:f>IF($B78&lt;AM$8,0,AM$3+(AM$4-AM$3)*(POWER(AM$5,$B78-AM$8)-1)/(POWER(AM$5,$C$5-AM$8)-1))</x:f>
        <x:v>36.2464243236581</x:v>
      </x:c>
      <x:c r="AN78" t="n">
        <x:f>(((E78*'模块规划'!$D$10+G78*'模块规划'!$D$11+H78*'模块规划'!$D$13)*(1+'模块规划'!$G$14*H78)+(I78*'模块规划'!$D$15+J78*'模块规划'!$D$17+K78*'模块规划'!$D$16+L78*'模块规划'!$D$18))*(1+'模块规划'!$J$17*J78))*F78/(1-Q78)</x:f>
        <x:v>599719.6274458101</x:v>
      </x:c>
      <x:c r="AO78" t="n">
        <x:f>AL78*AM78</x:f>
        <x:v>11607917.854764698</x:v>
      </x:c>
      <x:c r="AP78" t="n">
        <x:f>IF(AO78="","",INDEX('_曲线基线'!$A$3:$A$502,MIN(ROWS('_曲线基线'!$A$3:$A$502),COUNTIF('_曲线基线'!$E$3:$E$502,"&lt;"&amp;AO78)+1)))</x:f>
        <x:v>152</x:v>
      </x:c>
      <x:c r="AQ78" t="n">
        <x:f>IF(B78&lt;=2,1,IF(B78&lt;=6,2,IF(B78&lt;=9,3,IF(B78&lt;=19,4,5))))</x:f>
        <x:v>5</x:v>
      </x:c>
      <x:c r="AR78" t="n">
        <x:f>AN78*(1-Q78)/F78*$AS$3+U78*$AS$4+P78*$AS$5</x:f>
        <x:v>6353.467753939108</x:v>
      </x:c>
      <x:c r="AS78" t="n">
        <x:f>1+AH78*$AS$6+AI78*$AS$7+(AJ78-1)*$AS$8+($H$10*H78+$I$10*I78+$J$10*J78+$K$10*K78+$L$10*L78)*$AU$3*$AS$9+($H$10*H78+$I$10*I78+$J$10*J78+$K$10*K78+$L$10*L78)*$AU$4*$AS$10</x:f>
        <x:v>10.520494956497032</x:v>
      </x:c>
      <x:c r="AT78" t="n">
        <x:f>ROUND(AR78*AS78,0)</x:f>
        <x:v>66842</x:v>
      </x:c>
      <x:c r="AU78" t="n">
        <x:f>ROUND(AT78*F78,0)</x:f>
        <x:v>334210</x:v>
      </x:c>
    </x:row>
    <x:row r="79">
      <x:c r="A79" t="n">
        <x:f>IFERROR(XLOOKUP(B79,'_曲线基线'!$G$3:$G$107,'_曲线基线'!$J$3:$J$107,""),"")</x:f>
        <x:v>31</x:v>
      </x:c>
      <x:c r="B79" t="n">
        <x:v>68</x:v>
      </x:c>
      <x:c r="C79" t="n">
        <x:f>C64+1</x:f>
        <x:v>5</x:v>
      </x:c>
      <x:c r="D79" t="n">
        <x:f>D64</x:f>
        <x:v>14</x:v>
      </x:c>
      <x:c r="E79" t="n">
        <x:f>IF($B79&lt;E$8,0,E$3+(E$4-E$3)*(POWER(E$5,$B79-E$8)-1)/(POWER(E$5,$C$5-E$8)-1))</x:f>
        <x:v>1</x:v>
      </x:c>
      <x:c r="F79" t="n">
        <x:f>1+IF(B79&lt;3,0,MIN(1,(B79-2)/4))+IF(B79&lt;7,0,MIN(1,(B79-6)/3))+IF(B79&lt;10,0,MIN(1,(B79-9)/5))+IF(B79&lt;20,0,MIN(1,(B79-19)/10))</x:f>
        <x:v>5</x:v>
      </x:c>
      <x:c r="G79" t="n">
        <x:f>IF($B79&lt;G$8,0,G$3+(G$4-G$3)*(POWER(G$5,$B79-G$8)-1)/(POWER(G$5,$C$5-G$8)-1))</x:f>
        <x:v>0.5817686589369362</x:v>
      </x:c>
      <x:c r="H79" t="n">
        <x:f>IF($B79&lt;H$8,0,H$3+(H$4-H$3)*(POWER(H$5,$B79-H$8)-1)/(POWER(H$5,$C$5-H$8)-1))</x:f>
        <x:v>0.4670805775697674</x:v>
      </x:c>
      <x:c r="I79" t="n">
        <x:f>IF($B79&lt;I$8,0,I$3+(I$4-I$3)*(POWER(I$5,$B79-I$8)-1)/(POWER(I$5,$C$5-I$8)-1))</x:f>
        <x:v>0.05112480278852282</x:v>
      </x:c>
      <x:c r="J79" t="n">
        <x:f>IF($B79&lt;J$8,0,J$3+(J$4-J$3)*(POWER(J$5,$B79-J$8)-1)/(POWER(J$5,$C$5-J$8)-1))</x:f>
        <x:v>0.3236686719382121</x:v>
      </x:c>
      <x:c r="K79" t="n">
        <x:f>IF($B79&lt;K$8,0,K$3+(K$4-K$3)*(POWER(K$5,$B79-K$8)-1)/(POWER(K$5,$C$5-K$8)-1))</x:f>
        <x:v>0</x:v>
      </x:c>
      <x:c r="L79" t="n">
        <x:f>IF($B79&lt;L$8,0,L$3+(L$4-L$3)*(POWER(L$5,$B79-L$8)-1)/(POWER(L$5,$C$5-L$8)-1))</x:f>
        <x:v>0.4623040633803086</x:v>
      </x:c>
      <x:c r="M79" t="n">
        <x:f>E79*'模块规划'!$F$10+G79*'模块规划'!$F$11+H79*'模块规划'!$F$13</x:f>
        <x:v>3792.4895628972936</x:v>
      </x:c>
      <x:c r="N79" t="n">
        <x:f>I79*'模块规划'!$F$15+J79*'模块规划'!$F$17+K79*'模块规划'!$F$16+L79*'模块规划'!$F$18</x:f>
        <x:v>5957.205458591847</x:v>
      </x:c>
      <x:c r="O79" t="n">
        <x:f>1+O$9*SUMPRODUCT($H$10:$L$10,H79:L79)/SUM($H$10:$L$10)</x:f>
        <x:v>2.0684642558580153</x:v>
      </x:c>
      <x:c r="P79" t="n">
        <x:f>M79*O79+N79</x:f>
        <x:v>13801.834560159487</x:v>
      </x:c>
      <x:c r="Q79" t="n">
        <x:f>P79/(P79+'_曲线基线'!$L$2)</x:f>
        <x:v>0.36511017840138543</x:v>
      </x:c>
      <x:c r="R79" t="n">
        <x:f>E79*'模块规划'!$E$10+G79*'模块规划'!$E$11+H79*'模块规划'!$E$13</x:f>
        <x:v>5688.73434434594</x:v>
      </x:c>
      <x:c r="S79" t="n">
        <x:f>I79*'模块规划'!$E$15+J79*'模块规划'!$E$17+K79*'模块规划'!$E$16+L79*'模块规划'!$E$18</x:f>
        <x:v>8935.80818788777</x:v>
      </x:c>
      <x:c r="T79" t="n">
        <x:f>1+T$9*SUMPRODUCT($H$10:$L$10,H79:L79)/SUM($H$10:$L$10)</x:f>
        <x:v>2.0684642558580153</x:v>
      </x:c>
      <x:c r="U79" t="n">
        <x:f>R79*T79+S79</x:f>
        <x:v>20702.75184023923</x:v>
      </x:c>
      <x:c r="V79" t="n">
        <x:f>V$8+(V$9-V$8)*H79</x:f>
        <x:v>0.8401241732709301</x:v>
      </x:c>
      <x:c r="W79" t="n">
        <x:f>IF(B79&lt;$H$8,0,W$8+(W$9-W$8)*H79)</x:f>
        <x:v>0.18683223102790697</x:v>
      </x:c>
      <x:c r="X79" t="n">
        <x:f>X$8+(X$9-X$8)*H79</x:f>
        <x:v>0.403447158831686</x:v>
      </x:c>
      <x:c r="Y79" t="n">
        <x:f>Y$8+(Y$9-Y$8)*G79</x:f>
        <x:v>1</x:v>
      </x:c>
      <x:c r="Z79" t="n">
        <x:f>Z$8+(Z$9-Z$8)*H79</x:f>
        <x:v>1</x:v>
      </x:c>
      <x:c r="AA79" t="n">
        <x:f>AA$8+(AA$9-AA$8)*I79</x:f>
        <x:v>1</x:v>
      </x:c>
      <x:c r="AB79" t="n">
        <x:f>AB$8+(AB$9-AB$8)*J79</x:f>
        <x:v>1</x:v>
      </x:c>
      <x:c r="AC79" t="n">
        <x:f>AC$8+(AC$9-AC$8)*MAX(K79,L79)</x:f>
        <x:v>1</x:v>
      </x:c>
      <x:c r="AD79" t="n">
        <x:f>(V79*AE79+W79*AF79+X79*AG79)*PRODUCT(Y79:AC79)</x:f>
        <x:v>1.5154476921537627</x:v>
      </x:c>
      <x:c r="AE79" t="n">
        <x:f>1+AE$9*($H$10*H79+$I$10*I79+$J$10*J79+$K$10*K79+$L$10*L79)</x:f>
        <x:v>1</x:v>
      </x:c>
      <x:c r="AF79" t="n">
        <x:f>1+AF$9*($H$10*H79+$I$10*I79+$J$10*J79+$K$10*K79+$L$10*L79)</x:f>
        <x:v>1.0943017035534606</x:v>
      </x:c>
      <x:c r="AG79" t="n">
        <x:f>1+AG$9*($H$10*H79+$I$10*I79+$J$10*J79+$K$10*K79+$L$10*L79)</x:f>
        <x:v>1.1671235746308564</x:v>
      </x:c>
      <x:c r="AH79" t="n">
        <x:f>MIN(1,'_曲线基线'!$L$3+AH$9*($H$10*H79+$I$10*I79+$J$10*J79+$K$10*K79+$L$10*L79))</x:f>
        <x:v>0.26453637558412246</x:v>
      </x:c>
      <x:c r="AI79" t="n">
        <x:f>'_曲线基线'!$L$4+AI$9*($H$10*H79+$I$10*I79+$J$10*J79+$K$10*K79+$L$10*L79)</x:f>
        <x:v>2.5976370462700555</x:v>
      </x:c>
      <x:c r="AJ79" t="n">
        <x:f>1+AJ$9*($H$10*H79+$I$10*I79+$J$10*J79+$K$10*K79+$L$10*L79)</x:f>
        <x:v>1.4903688584779942</x:v>
      </x:c>
      <x:c r="AK79" t="n">
        <x:f>(1+AH79*(AI79-1))*AJ79</x:f>
        <x:v>2.1202480897266835</x:v>
      </x:c>
      <x:c r="AL79" t="n">
        <x:f>U79*AD79*AK79*F79</x:f>
        <x:v>332602.65523163334</x:v>
      </x:c>
      <x:c r="AM79" t="n">
        <x:f>IF($B79&lt;AM$8,0,AM$3+(AM$4-AM$3)*(POWER(AM$5,$B79-AM$8)-1)/(POWER(AM$5,$C$5-AM$8)-1))</x:f>
        <x:v>36.27231320681655</x:v>
      </x:c>
      <x:c r="AN79" t="n">
        <x:f>(((E79*'模块规划'!$D$10+G79*'模块规划'!$D$11+H79*'模块规划'!$D$13)*(1+'模块规划'!$G$14*H79)+(I79*'模块规划'!$D$15+J79*'模块规划'!$D$17+K79*'模块规划'!$D$16+L79*'模块规划'!$D$18))*(1+'模块规划'!$J$17*J79))*F79/(1-Q79)</x:f>
        <x:v>620185.2543305607</x:v>
      </x:c>
      <x:c r="AO79" t="n">
        <x:f>AL79*AM79</x:f>
        <x:v>12064267.683980625</x:v>
      </x:c>
      <x:c r="AP79" t="n">
        <x:f>IF(AO79="","",INDEX('_曲线基线'!$A$3:$A$502,MIN(ROWS('_曲线基线'!$A$3:$A$502),COUNTIF('_曲线基线'!$E$3:$E$502,"&lt;"&amp;AO79)+1)))</x:f>
        <x:v>154</x:v>
      </x:c>
      <x:c r="AQ79" t="n">
        <x:f>IF(B79&lt;=2,1,IF(B79&lt;=6,2,IF(B79&lt;=9,3,IF(B79&lt;=19,4,5))))</x:f>
        <x:v>5</x:v>
      </x:c>
      <x:c r="AR79" t="n">
        <x:f>AN79*(1-Q79)/F79*$AS$3+U79*$AS$4+P79*$AS$5</x:f>
        <x:v>6503.046200927973</x:v>
      </x:c>
      <x:c r="AS79" t="n">
        <x:f>1+AH79*$AS$6+AI79*$AS$7+(AJ79-1)*$AS$8+($H$10*H79+$I$10*I79+$J$10*J79+$K$10*K79+$L$10*L79)*$AU$3*$AS$9+($H$10*H79+$I$10*I79+$J$10*J79+$K$10*K79+$L$10*L79)*$AU$4*$AS$10</x:f>
        <x:v>10.616213937629924</x:v>
      </x:c>
      <x:c r="AT79" t="n">
        <x:f>ROUND(AR79*AS79,0)</x:f>
        <x:v>69038</x:v>
      </x:c>
      <x:c r="AU79" t="n">
        <x:f>ROUND(AT79*F79,0)</x:f>
        <x:v>345190</x:v>
      </x:c>
    </x:row>
    <x:row r="80">
      <x:c r="A80" t="n">
        <x:f>IFERROR(XLOOKUP(B80,'_曲线基线'!$G$3:$G$107,'_曲线基线'!$J$3:$J$107,""),"")</x:f>
        <x:v>31</x:v>
      </x:c>
      <x:c r="B80" t="n">
        <x:v>69</x:v>
      </x:c>
      <x:c r="C80" t="n">
        <x:f>C65+1</x:f>
        <x:v>5</x:v>
      </x:c>
      <x:c r="D80" t="n">
        <x:f>D65</x:f>
        <x:v>15</x:v>
      </x:c>
      <x:c r="E80" t="n">
        <x:f>IF($B80&lt;E$8,0,E$3+(E$4-E$3)*(POWER(E$5,$B80-E$8)-1)/(POWER(E$5,$C$5-E$8)-1))</x:f>
        <x:v>1</x:v>
      </x:c>
      <x:c r="F80" t="n">
        <x:f>1+IF(B80&lt;3,0,MIN(1,(B80-2)/4))+IF(B80&lt;7,0,MIN(1,(B80-6)/3))+IF(B80&lt;10,0,MIN(1,(B80-9)/5))+IF(B80&lt;20,0,MIN(1,(B80-19)/10))</x:f>
        <x:v>5</x:v>
      </x:c>
      <x:c r="G80" t="n">
        <x:f>IF($B80&lt;G$8,0,G$3+(G$4-G$3)*(POWER(G$5,$B80-G$8)-1)/(POWER(G$5,$C$5-G$8)-1))</x:f>
        <x:v>0.586747319507378</x:v>
      </x:c>
      <x:c r="H80" t="n">
        <x:f>IF($B80&lt;H$8,0,H$3+(H$4-H$3)*(POWER(H$5,$B80-H$8)-1)/(POWER(H$5,$C$5-H$8)-1))</x:f>
        <x:v>0.47180550825788337</x:v>
      </x:c>
      <x:c r="I80" t="n">
        <x:f>IF($B80&lt;I$8,0,I$3+(I$4-I$3)*(POWER(I$5,$B80-I$8)-1)/(POWER(I$5,$C$5-I$8)-1))</x:f>
        <x:v>0.06327339807582052</x:v>
      </x:c>
      <x:c r="J80" t="n">
        <x:f>IF($B80&lt;J$8,0,J$3+(J$4-J$3)*(POWER(J$5,$B80-J$8)-1)/(POWER(J$5,$C$5-J$8)-1))</x:f>
        <x:v>0.3292742429911717</x:v>
      </x:c>
      <x:c r="K80" t="n">
        <x:f>IF($B80&lt;K$8,0,K$3+(K$4-K$3)*(POWER(K$5,$B80-K$8)-1)/(POWER(K$5,$C$5-K$8)-1))</x:f>
        <x:v>0</x:v>
      </x:c>
      <x:c r="L80" t="n">
        <x:f>IF($B80&lt;L$8,0,L$3+(L$4-L$3)*(POWER(L$5,$B80-L$8)-1)/(POWER(L$5,$C$5-L$8)-1))</x:f>
        <x:v>0.4671258889440882</x:v>
      </x:c>
      <x:c r="M80" t="n">
        <x:f>E80*'模块规划'!$F$10+G80*'模块规划'!$F$11+H80*'模块规划'!$F$13</x:f>
        <x:v>3816.3871336354146</x:v>
      </x:c>
      <x:c r="N80" t="n">
        <x:f>I80*'模块规划'!$F$15+J80*'模块规划'!$F$17+K80*'模块规划'!$F$16+L80*'模块规划'!$F$18</x:f>
        <x:v>6134.559059238722</x:v>
      </x:c>
      <x:c r="O80" t="n">
        <x:f>1+O$9*SUMPRODUCT($H$10:$L$10,H80:L80)/SUM($H$10:$L$10)</x:f>
        <x:v>2.0862519000702395</x:v>
      </x:c>
      <x:c r="P80" t="n">
        <x:f>M80*O80+N80</x:f>
        <x:v>14096.50396818922</x:v>
      </x:c>
      <x:c r="Q80" t="n">
        <x:f>P80/(P80+'_曲线基线'!$L$2)</x:f>
        <x:v>0.3700209336783205</x:v>
      </x:c>
      <x:c r="R80" t="n">
        <x:f>E80*'模块规划'!$E$10+G80*'模块规划'!$E$11+H80*'模块规划'!$E$13</x:f>
        <x:v>5724.580700453122</x:v>
      </x:c>
      <x:c r="S80" t="n">
        <x:f>I80*'模块规划'!$E$15+J80*'模块规划'!$E$17+K80*'模块规划'!$E$16+L80*'模块规划'!$E$18</x:f>
        <x:v>9201.838588858083</x:v>
      </x:c>
      <x:c r="T80" t="n">
        <x:f>1+T$9*SUMPRODUCT($H$10:$L$10,H80:L80)/SUM($H$10:$L$10)</x:f>
        <x:v>2.0862519000702395</x:v>
      </x:c>
      <x:c r="U80" t="n">
        <x:f>R80*T80+S80</x:f>
        <x:v>21144.75595228383</x:v>
      </x:c>
      <x:c r="V80" t="n">
        <x:f>V$8+(V$9-V$8)*H80</x:f>
        <x:v>0.841541652477365</x:v>
      </x:c>
      <x:c r="W80" t="n">
        <x:f>IF(B80&lt;$H$8,0,W$8+(W$9-W$8)*H80)</x:f>
        <x:v>0.18872220330315337</x:v>
      </x:c>
      <x:c r="X80" t="n">
        <x:f>X$8+(X$9-X$8)*H80</x:f>
        <x:v>0.40474651477091794</x:v>
      </x:c>
      <x:c r="Y80" t="n">
        <x:f>Y$8+(Y$9-Y$8)*G80</x:f>
        <x:v>1</x:v>
      </x:c>
      <x:c r="Z80" t="n">
        <x:f>Z$8+(Z$9-Z$8)*H80</x:f>
        <x:v>1</x:v>
      </x:c>
      <x:c r="AA80" t="n">
        <x:f>AA$8+(AA$9-AA$8)*I80</x:f>
        <x:v>1</x:v>
      </x:c>
      <x:c r="AB80" t="n">
        <x:f>AB$8+(AB$9-AB$8)*J80</x:f>
        <x:v>1</x:v>
      </x:c>
      <x:c r="AC80" t="n">
        <x:f>AC$8+(AC$9-AC$8)*MAX(K80,L80)</x:f>
        <x:v>1</x:v>
      </x:c>
      <x:c r="AD80" t="n">
        <x:f>(V80*AE80+W80*AF80+X80*AG80)*PRODUCT(Y80:AC80)</x:f>
        <x:v>1.5218722652533259</x:v>
      </x:c>
      <x:c r="AE80" t="n">
        <x:f>1+AE$9*($H$10*H80+$I$10*I80+$J$10*J80+$K$10*K80+$L$10*L80)</x:f>
        <x:v>1</x:v>
      </x:c>
      <x:c r="AF80" t="n">
        <x:f>1+AF$9*($H$10*H80+$I$10*I80+$J$10*J80+$K$10*K80+$L$10*L80)</x:f>
        <x:v>1.0958716251883855</x:v>
      </x:c>
      <x:c r="AG80" t="n">
        <x:f>1+AG$9*($H$10*H80+$I$10*I80+$J$10*J80+$K$10*K80+$L$10*L80)</x:f>
        <x:v>1.169905824639418</x:v>
      </x:c>
      <x:c r="AH80" t="n">
        <x:f>MIN(1,'_曲线基线'!$L$3+AH$9*($H$10*H80+$I$10*I80+$J$10*J80+$K$10*K80+$L$10*L80))</x:f>
        <x:v>0.268107947303577</x:v>
      </x:c>
      <x:c r="AI80" t="n">
        <x:f>'_曲线基线'!$L$4+AI$9*($H$10*H80+$I$10*I80+$J$10*J80+$K$10*K80+$L$10*L80)</x:f>
        <x:v>2.607586424631393</x:v>
      </x:c>
      <x:c r="AJ80" t="n">
        <x:f>1+AJ$9*($H$10*H80+$I$10*I80+$J$10*J80+$K$10*K80+$L$10*L80)</x:f>
        <x:v>1.4985324509796047</x:v>
      </x:c>
      <x:c r="AK80" t="n">
        <x:f>(1+AH80*(AI80-1))*AJ80</x:f>
        <x:v>2.144409972156017</x:v>
      </x:c>
      <x:c r="AL80" t="n">
        <x:f>U80*AD80*AK80*F80</x:f>
        <x:v>345031.46482974465</x:v>
      </x:c>
      <x:c r="AM80" t="n">
        <x:f>IF($B80&lt;AM$8,0,AM$3+(AM$4-AM$3)*(POWER(AM$5,$B80-AM$8)-1)/(POWER(AM$5,$C$5-AM$8)-1))</x:f>
        <x:v>36.29846097880658</x:v>
      </x:c>
      <x:c r="AN80" t="n">
        <x:f>(((E80*'模块规划'!$D$10+G80*'模块规划'!$D$11+H80*'模块规划'!$D$13)*(1+'模块规划'!$G$14*H80)+(I80*'模块规划'!$D$15+J80*'模块规划'!$D$17+K80*'模块规划'!$D$16+L80*'模块规划'!$D$18))*(1+'模块规划'!$J$17*J80))*F80/(1-Q80)</x:f>
        <x:v>640644.6035460447</x:v>
      </x:c>
      <x:c r="AO80" t="n">
        <x:f>AL80*AM80</x:f>
        <x:v>12524111.162582962</x:v>
      </x:c>
      <x:c r="AP80" t="n">
        <x:f>IF(AO80="","",INDEX('_曲线基线'!$A$3:$A$502,MIN(ROWS('_曲线基线'!$A$3:$A$502),COUNTIF('_曲线基线'!$E$3:$E$502,"&lt;"&amp;AO80)+1)))</x:f>
        <x:v>156</x:v>
      </x:c>
      <x:c r="AQ80" t="n">
        <x:f>IF(B80&lt;=2,1,IF(B80&lt;=6,2,IF(B80&lt;=9,3,IF(B80&lt;=19,4,5))))</x:f>
        <x:v>5</x:v>
      </x:c>
      <x:c r="AR80" t="n">
        <x:f>AN80*(1-Q80)/F80*$AS$3+U80*$AS$4+P80*$AS$5</x:f>
        <x:v>6650.507325572524</x:v>
      </x:c>
      <x:c r="AS80" t="n">
        <x:f>1+AH80*$AS$6+AI80*$AS$7+(AJ80-1)*$AS$8+($H$10*H80+$I$10*I80+$J$10*J80+$K$10*K80+$L$10*L80)*$AU$3*$AS$9+($H$10*H80+$I$10*I80+$J$10*J80+$K$10*K80+$L$10*L80)*$AU$4*$AS$10</x:f>
        <x:v>10.710018539140155</x:v>
      </x:c>
      <x:c r="AT80" t="n">
        <x:f>ROUND(AR80*AS80,0)</x:f>
        <x:v>71227</x:v>
      </x:c>
      <x:c r="AU80" t="n">
        <x:f>ROUND(AT80*F80,0)</x:f>
        <x:v>356135</x:v>
      </x:c>
    </x:row>
    <x:row r="81">
      <x:c r="A81" t="n">
        <x:f>IFERROR(XLOOKUP(B81,'_曲线基线'!$G$3:$G$107,'_曲线基线'!$J$3:$J$107,""),"")</x:f>
        <x:v>31</x:v>
      </x:c>
      <x:c r="B81" t="n">
        <x:v>70</x:v>
      </x:c>
      <x:c r="C81" t="n">
        <x:f>C66+1</x:f>
        <x:v>6</x:v>
      </x:c>
      <x:c r="D81" t="n">
        <x:f>D66</x:f>
        <x:v>1</x:v>
      </x:c>
      <x:c r="E81" t="n">
        <x:f>IF($B81&lt;E$8,0,E$3+(E$4-E$3)*(POWER(E$5,$B81-E$8)-1)/(POWER(E$5,$C$5-E$8)-1))</x:f>
        <x:v>1</x:v>
      </x:c>
      <x:c r="F81" t="n">
        <x:f>1+IF(B81&lt;3,0,MIN(1,(B81-2)/4))+IF(B81&lt;7,0,MIN(1,(B81-6)/3))+IF(B81&lt;10,0,MIN(1,(B81-9)/5))+IF(B81&lt;20,0,MIN(1,(B81-19)/10))</x:f>
        <x:v>5</x:v>
      </x:c>
      <x:c r="G81" t="n">
        <x:f>IF($B81&lt;G$8,0,G$3+(G$4-G$3)*(POWER(G$5,$B81-G$8)-1)/(POWER(G$5,$C$5-G$8)-1))</x:f>
        <x:v>0.5916513001692633</x:v>
      </x:c>
      <x:c r="H81" t="n">
        <x:f>IF($B81&lt;H$8,0,H$3+(H$4-H$3)*(POWER(H$5,$B81-H$8)-1)/(POWER(H$5,$C$5-H$8)-1))</x:f>
        <x:v>0.4764359403322371</x:v>
      </x:c>
      <x:c r="I81" t="n">
        <x:f>IF($B81&lt;I$8,0,I$3+(I$4-I$3)*(POWER(I$5,$B81-I$8)-1)/(POWER(I$5,$C$5-I$8)-1))</x:f>
        <x:v>0.07517902145737232</x:v>
      </x:c>
      <x:c r="J81" t="n">
        <x:f>IF($B81&lt;J$8,0,J$3+(J$4-J$3)*(POWER(J$5,$B81-J$8)-1)/(POWER(J$5,$C$5-J$8)-1))</x:f>
        <x:v>0.3347677026230722</x:v>
      </x:c>
      <x:c r="K81" t="n">
        <x:f>IF($B81&lt;K$8,0,K$3+(K$4-K$3)*(POWER(K$5,$B81-K$8)-1)/(POWER(K$5,$C$5-K$8)-1))</x:f>
        <x:v>0</x:v>
      </x:c>
      <x:c r="L81" t="n">
        <x:f>IF($B81&lt;L$8,0,L$3+(L$4-L$3)*(POWER(L$5,$B81-L$8)-1)/(POWER(L$5,$C$5-L$8)-1))</x:f>
        <x:v>0.4718512779965921</x:v>
      </x:c>
      <x:c r="M81" t="n">
        <x:f>E81*'模块规划'!$F$10+G81*'模块规划'!$F$11+H81*'模块规划'!$F$13</x:f>
        <x:v>3839.9262408124637</x:v>
      </x:c>
      <x:c r="N81" t="n">
        <x:f>I81*'模块规划'!$F$15+J81*'模块规划'!$F$17+K81*'模块规划'!$F$16+L81*'模块规划'!$F$18</x:f>
        <x:v>6308.365587872661</x:v>
      </x:c>
      <x:c r="O81" t="n">
        <x:f>1+O$9*SUMPRODUCT($H$10:$L$10,H81:L81)/SUM($H$10:$L$10)</x:f>
        <x:v>2.10368379139822</x:v>
      </x:c>
      <x:c r="P81" t="n">
        <x:f>M81*O81+N81</x:f>
        <x:v>14386.35618083454</x:v>
      </x:c>
      <x:c r="Q81" t="n">
        <x:f>P81/(P81+'_曲线基线'!$L$2)</x:f>
        <x:v>0.3747778537004596</x:v>
      </x:c>
      <x:c r="R81" t="n">
        <x:f>E81*'模块规划'!$E$10+G81*'模块规划'!$E$11+H81*'模块规划'!$E$13</x:f>
        <x:v>5759.889361218696</x:v>
      </x:c>
      <x:c r="S81" t="n">
        <x:f>I81*'模块规划'!$E$15+J81*'模块规划'!$E$17+K81*'模块规划'!$E$16+L81*'模块规划'!$E$18</x:f>
        <x:v>9462.54838180899</x:v>
      </x:c>
      <x:c r="T81" t="n">
        <x:f>1+T$9*SUMPRODUCT($H$10:$L$10,H81:L81)/SUM($H$10:$L$10)</x:f>
        <x:v>2.10368379139822</x:v>
      </x:c>
      <x:c r="U81" t="n">
        <x:f>R81*T81+S81</x:f>
        <x:v>21579.53427125181</x:v>
      </x:c>
      <x:c r="V81" t="n">
        <x:f>V$8+(V$9-V$8)*H81</x:f>
        <x:v>0.8429307820996711</x:v>
      </x:c>
      <x:c r="W81" t="n">
        <x:f>IF(B81&lt;$H$8,0,W$8+(W$9-W$8)*H81)</x:f>
        <x:v>0.19057437613289485</x:v>
      </x:c>
      <x:c r="X81" t="n">
        <x:f>X$8+(X$9-X$8)*H81</x:f>
        <x:v>0.4060198835913652</x:v>
      </x:c>
      <x:c r="Y81" t="n">
        <x:f>Y$8+(Y$9-Y$8)*G81</x:f>
        <x:v>1</x:v>
      </x:c>
      <x:c r="Z81" t="n">
        <x:f>Z$8+(Z$9-Z$8)*H81</x:f>
        <x:v>1</x:v>
      </x:c>
      <x:c r="AA81" t="n">
        <x:f>AA$8+(AA$9-AA$8)*I81</x:f>
        <x:v>1</x:v>
      </x:c>
      <x:c r="AB81" t="n">
        <x:f>AB$8+(AB$9-AB$8)*J81</x:f>
        <x:v>1</x:v>
      </x:c>
      <x:c r="AC81" t="n">
        <x:f>AC$8+(AC$9-AC$8)*MAX(K81,L81)</x:f>
        <x:v>1</x:v>
      </x:c>
      <x:c r="AD81" t="n">
        <x:f>(V81*AE81+W81*AF81+X81*AG81)*PRODUCT(Y81:AC81)</x:f>
        <x:v>1.5281811190721826</x:v>
      </x:c>
      <x:c r="AE81" t="n">
        <x:f>1+AE$9*($H$10*H81+$I$10*I81+$J$10*J81+$K$10*K81+$L$10*L81)</x:f>
        <x:v>1</x:v>
      </x:c>
      <x:c r="AF81" t="n">
        <x:f>1+AF$9*($H$10*H81+$I$10*I81+$J$10*J81+$K$10*K81+$L$10*L81)</x:f>
        <x:v>1.0974101483906122</x:v>
      </x:c>
      <x:c r="AG81" t="n">
        <x:f>1+AG$9*($H$10*H81+$I$10*I81+$J$10*J81+$K$10*K81+$L$10*L81)</x:f>
        <x:v>1.1726324296478086</x:v>
      </x:c>
      <x:c r="AH81" t="n">
        <x:f>MIN(1,'_曲线基线'!$L$3+AH$9*($H$10*H81+$I$10*I81+$J$10*J81+$K$10*K81+$L$10*L81))</x:f>
        <x:v>0.2716080875886425</x:v>
      </x:c>
      <x:c r="AI81" t="n">
        <x:f>'_曲线基线'!$L$4+AI$9*($H$10*H81+$I$10*I81+$J$10*J81+$K$10*K81+$L$10*L81)</x:f>
        <x:v>2.6173368154255043</x:v>
      </x:c>
      <x:c r="AJ81" t="n">
        <x:f>1+AJ$9*($H$10*H81+$I$10*I81+$J$10*J81+$K$10*K81+$L$10*L81)</x:f>
        <x:v>1.506532771631183</x:v>
      </x:c>
      <x:c r="AK81" t="n">
        <x:f>(1+AH81*(AI81-1))*AJ81</x:f>
        <x:v>2.168325138183887</x:v>
      </x:c>
      <x:c r="AL81" t="n">
        <x:f>U81*AD81*AK81*F81</x:f>
        <x:v>357529.02637521096</x:v>
      </x:c>
      <x:c r="AM81" t="n">
        <x:f>IF($B81&lt;AM$8,0,AM$3+(AM$4-AM$3)*(POWER(AM$5,$B81-AM$8)-1)/(POWER(AM$5,$C$5-AM$8)-1))</x:f>
        <x:v>36.32487022851652</x:v>
      </x:c>
      <x:c r="AN81" t="n">
        <x:f>(((E81*'模块规划'!$D$10+G81*'模块规划'!$D$11+H81*'模块规划'!$D$13)*(1+'模块规划'!$G$14*H81)+(I81*'模块规划'!$D$15+J81*'模块规划'!$D$17+K81*'模块规划'!$D$16+L81*'模块规划'!$D$18))*(1+'模块规划'!$J$17*J81))*F81/(1-Q81)</x:f>
        <x:v>661087.1748278746</x:v>
      </x:c>
      <x:c r="AO81" t="n">
        <x:f>AL81*AM81</x:f>
        <x:v>12987195.486007396</x:v>
      </x:c>
      <x:c r="AP81" t="n">
        <x:f>IF(AO81="","",INDEX('_曲线基线'!$A$3:$A$502,MIN(ROWS('_曲线基线'!$A$3:$A$502),COUNTIF('_曲线基线'!$E$3:$E$502,"&lt;"&amp;AO81)+1)))</x:f>
        <x:v>158</x:v>
      </x:c>
      <x:c r="AQ81" t="n">
        <x:f>IF(B81&lt;=2,1,IF(B81&lt;=6,2,IF(B81&lt;=9,3,IF(B81&lt;=19,4,5))))</x:f>
        <x:v>5</x:v>
      </x:c>
      <x:c r="AR81" t="n">
        <x:f>AN81*(1-Q81)/F81*$AS$3+U81*$AS$4+P81*$AS$5</x:f>
        <x:v>6795.864908272262</x:v>
      </x:c>
      <x:c r="AS81" t="n">
        <x:f>1+AH81*$AS$6+AI81*$AS$7+(AJ81-1)*$AS$8+($H$10*H81+$I$10*I81+$J$10*J81+$K$10*K81+$L$10*L81)*$AU$3*$AS$9+($H$10*H81+$I$10*I81+$J$10*J81+$K$10*K81+$L$10*L81)*$AU$4*$AS$10</x:f>
        <x:v>10.801947048620184</x:v>
      </x:c>
      <x:c r="AT81" t="n">
        <x:f>ROUND(AR81*AS81,0)</x:f>
        <x:v>73409</x:v>
      </x:c>
      <x:c r="AU81" t="n">
        <x:f>ROUND(AT81*F81,0)</x:f>
        <x:v>367045</x:v>
      </x:c>
    </x:row>
    <x:row r="82">
      <x:c r="A82" t="n">
        <x:f>IFERROR(XLOOKUP(B82,'_曲线基线'!$G$3:$G$107,'_曲线基线'!$J$3:$J$107,""),"")</x:f>
        <x:v>32</x:v>
      </x:c>
      <x:c r="B82" t="n">
        <x:v>71</x:v>
      </x:c>
      <x:c r="C82" t="n">
        <x:f>C67+1</x:f>
        <x:v>6</x:v>
      </x:c>
      <x:c r="D82" t="n">
        <x:f>D67</x:f>
        <x:v>2</x:v>
      </x:c>
      <x:c r="E82" t="n">
        <x:f>IF($B82&lt;E$8,0,E$3+(E$4-E$3)*(POWER(E$5,$B82-E$8)-1)/(POWER(E$5,$C$5-E$8)-1))</x:f>
        <x:v>1</x:v>
      </x:c>
      <x:c r="F82" t="n">
        <x:f>1+IF(B82&lt;3,0,MIN(1,(B82-2)/4))+IF(B82&lt;7,0,MIN(1,(B82-6)/3))+IF(B82&lt;10,0,MIN(1,(B82-9)/5))+IF(B82&lt;20,0,MIN(1,(B82-19)/10))</x:f>
        <x:v>5</x:v>
      </x:c>
      <x:c r="G82" t="n">
        <x:f>IF($B82&lt;G$8,0,G$3+(G$4-G$3)*(POWER(G$5,$B82-G$8)-1)/(POWER(G$5,$C$5-G$8)-1))</x:f>
        <x:v>0.59648172112122</x:v>
      </x:c>
      <x:c r="H82" t="n">
        <x:f>IF($B82&lt;H$8,0,H$3+(H$4-H$3)*(POWER(H$5,$B82-H$8)-1)/(POWER(H$5,$C$5-H$8)-1))</x:f>
        <x:v>0.48097376376510365</x:v>
      </x:c>
      <x:c r="I82" t="n">
        <x:f>IF($B82&lt;I$8,0,I$3+(I$4-I$3)*(POWER(I$5,$B82-I$8)-1)/(POWER(I$5,$C$5-I$8)-1))</x:f>
        <x:v>0.08684653237129306</x:v>
      </x:c>
      <x:c r="J82" t="n">
        <x:f>IF($B82&lt;J$8,0,J$3+(J$4-J$3)*(POWER(J$5,$B82-J$8)-1)/(POWER(J$5,$C$5-J$8)-1))</x:f>
        <x:v>0.34015129306233466</x:v>
      </x:c>
      <x:c r="K82" t="n">
        <x:f>IF($B82&lt;K$8,0,K$3+(K$4-K$3)*(POWER(K$5,$B82-K$8)-1)/(POWER(K$5,$C$5-K$8)-1))</x:f>
        <x:v>0</x:v>
      </x:c>
      <x:c r="L82" t="n">
        <x:f>IF($B82&lt;L$8,0,L$3+(L$4-L$3)*(POWER(L$5,$B82-L$8)-1)/(POWER(L$5,$C$5-L$8)-1))</x:f>
        <x:v>0.47648215926804594</x:v>
      </x:c>
      <x:c r="M82" t="n">
        <x:f>E82*'模块规划'!$F$10+G82*'模块规划'!$F$11+H82*'模块规划'!$F$13</x:f>
        <x:v>3863.112261381856</x:v>
      </x:c>
      <x:c r="N82" t="n">
        <x:f>I82*'模块规划'!$F$15+J82*'模块规划'!$F$17+K82*'模块规划'!$F$16+L82*'模块规划'!$F$18</x:f>
        <x:v>6478.69598593392</x:v>
      </x:c>
      <x:c r="O82" t="n">
        <x:f>1+O$9*SUMPRODUCT($H$10:$L$10,H82:L82)/SUM($H$10:$L$10)</x:f>
        <x:v>2.1207670448996403</x:v>
      </x:c>
      <x:c r="P82" t="n">
        <x:f>M82*O82+N82</x:f>
        <x:v>14671.457160620286</x:v>
      </x:c>
      <x:c r="Q82" t="n">
        <x:f>P82/(P82+'_曲线基线'!$L$2)</x:f>
        <x:v>0.3793872338371683</x:v>
      </x:c>
      <x:c r="R82" t="n">
        <x:f>E82*'模块规划'!$E$10+G82*'模块规划'!$E$11+H82*'模块规划'!$E$13</x:f>
        <x:v>5794.668392072784</x:v>
      </x:c>
      <x:c r="S82" t="n">
        <x:f>I82*'模块规划'!$E$15+J82*'模块规划'!$E$17+K82*'模块规划'!$E$16+L82*'模块规划'!$E$18</x:f>
        <x:v>9718.043978900881</x:v>
      </x:c>
      <x:c r="T82" t="n">
        <x:f>1+T$9*SUMPRODUCT($H$10:$L$10,H82:L82)/SUM($H$10:$L$10)</x:f>
        <x:v>2.1207670448996403</x:v>
      </x:c>
      <x:c r="U82" t="n">
        <x:f>R82*T82+S82</x:f>
        <x:v>22007.18574093043</x:v>
      </x:c>
      <x:c r="V82" t="n">
        <x:f>V$8+(V$9-V$8)*H82</x:f>
        <x:v>0.8442921291295311</x:v>
      </x:c>
      <x:c r="W82" t="n">
        <x:f>IF(B82&lt;$H$8,0,W$8+(W$9-W$8)*H82)</x:f>
        <x:v>0.19238950550604147</x:v>
      </x:c>
      <x:c r="X82" t="n">
        <x:f>X$8+(X$9-X$8)*H82</x:f>
        <x:v>0.4072677850354035</x:v>
      </x:c>
      <x:c r="Y82" t="n">
        <x:f>Y$8+(Y$9-Y$8)*G82</x:f>
        <x:v>1</x:v>
      </x:c>
      <x:c r="Z82" t="n">
        <x:f>Z$8+(Z$9-Z$8)*H82</x:f>
        <x:v>1</x:v>
      </x:c>
      <x:c r="AA82" t="n">
        <x:f>AA$8+(AA$9-AA$8)*I82</x:f>
        <x:v>1</x:v>
      </x:c>
      <x:c r="AB82" t="n">
        <x:f>AB$8+(AB$9-AB$8)*J82</x:f>
        <x:v>1</x:v>
      </x:c>
      <x:c r="AC82" t="n">
        <x:f>AC$8+(AC$9-AC$8)*MAX(K82,L82)</x:f>
        <x:v>1</x:v>
      </x:c>
      <x:c r="AD82" t="n">
        <x:f>(V82*AE82+W82*AF82+X82*AG82)*PRODUCT(Y82:AC82)</x:f>
        <x:v>1.5343760622175684</x:v>
      </x:c>
      <x:c r="AE82" t="n">
        <x:f>1+AE$9*($H$10*H82+$I$10*I82+$J$10*J82+$K$10*K82+$L$10*L82)</x:f>
        <x:v>1</x:v>
      </x:c>
      <x:c r="AF82" t="n">
        <x:f>1+AF$9*($H$10*H82+$I$10*I82+$J$10*J82+$K$10*K82+$L$10*L82)</x:f>
        <x:v>1.0989179011287942</x:v>
      </x:c>
      <x:c r="AG82" t="n">
        <x:f>1+AG$9*($H$10*H82+$I$10*I82+$J$10*J82+$K$10*K82+$L$10*L82)</x:f>
        <x:v>1.1753045025560311</x:v>
      </x:c>
      <x:c r="AH82" t="n">
        <x:f>MIN(1,'_曲线基线'!$L$3+AH$9*($H$10*H82+$I$10*I82+$J$10*J82+$K$10*K82+$L$10*L82))</x:f>
        <x:v>0.2750382250680067</x:v>
      </x:c>
      <x:c r="AI82" t="n">
        <x:f>'_曲线基线'!$L$4+AI$9*($H$10*H82+$I$10*I82+$J$10*J82+$K$10*K82+$L$10*L82)</x:f>
        <x:v>2.626892198403733</x:v>
      </x:c>
      <x:c r="AJ82" t="n">
        <x:f>1+AJ$9*($H$10*H82+$I$10*I82+$J$10*J82+$K$10*K82+$L$10*L82)</x:f>
        <x:v>1.5143730858697295</x:v>
      </x:c>
      <x:c r="AK82" t="n">
        <x:f>(1+AH82*(AI82-1))*AJ82</x:f>
        <x:v>2.1919907454918754</x:v>
      </x:c>
      <x:c r="AL82" t="n">
        <x:f>U82*AD82*AK82*F82</x:f>
        <x:v>370088.034515633</x:v>
      </x:c>
      <x:c r="AM82" t="n">
        <x:f>IF($B82&lt;AM$8,0,AM$3+(AM$4-AM$3)*(POWER(AM$5,$B82-AM$8)-1)/(POWER(AM$5,$C$5-AM$8)-1))</x:f>
        <x:v>36.35154357072355</x:v>
      </x:c>
      <x:c r="AN82" t="n">
        <x:f>(((E82*'模块规划'!$D$10+G82*'模块规划'!$D$11+H82*'模块规划'!$D$13)*(1+'模块规划'!$G$14*H82)+(I82*'模块规划'!$D$15+J82*'模块规划'!$D$17+K82*'模块规划'!$D$16+L82*'模块规划'!$D$18))*(1+'模块规划'!$J$17*J82))*F82/(1-Q82)</x:f>
        <x:v>681502.8718136093</x:v>
      </x:c>
      <x:c r="AO82" t="n">
        <x:f>AL82*AM82</x:f>
        <x:v>13453271.311698474</x:v>
      </x:c>
      <x:c r="AP82" t="n">
        <x:f>IF(AO82="","",INDEX('_曲线基线'!$A$3:$A$502,MIN(ROWS('_曲线基线'!$A$3:$A$502),COUNTIF('_曲线基线'!$E$3:$E$502,"&lt;"&amp;AO82)+1)))</x:f>
        <x:v>159</x:v>
      </x:c>
      <x:c r="AQ82" t="n">
        <x:f>IF(B82&lt;=2,1,IF(B82&lt;=6,2,IF(B82&lt;=9,3,IF(B82&lt;=19,4,5))))</x:f>
        <x:v>5</x:v>
      </x:c>
      <x:c r="AR82" t="n">
        <x:f>AN82*(1-Q82)/F82*$AS$3+U82*$AS$4+P82*$AS$5</x:f>
        <x:v>6939.133442731032</x:v>
      </x:c>
      <x:c r="AS82" t="n">
        <x:f>1+AH82*$AS$6+AI82*$AS$7+(AJ82-1)*$AS$8+($H$10*H82+$I$10*I82+$J$10*J82+$K$10*K82+$L$10*L82)*$AU$3*$AS$9+($H$10*H82+$I$10*I82+$J$10*J82+$K$10*K82+$L$10*L82)*$AU$4*$AS$10</x:f>
        <x:v>10.892036987910608</x:v>
      </x:c>
      <x:c r="AT82" t="n">
        <x:f>ROUND(AR82*AS82,0)</x:f>
        <x:v>75581</x:v>
      </x:c>
      <x:c r="AU82" t="n">
        <x:f>ROUND(AT82*F82,0)</x:f>
        <x:v>377905</x:v>
      </x:c>
    </x:row>
    <x:row r="83">
      <x:c r="A83" t="n">
        <x:f>IFERROR(XLOOKUP(B83,'_曲线基线'!$G$3:$G$107,'_曲线基线'!$J$3:$J$107,""),"")</x:f>
        <x:v>32</x:v>
      </x:c>
      <x:c r="B83" t="n">
        <x:v>72</x:v>
      </x:c>
      <x:c r="C83" t="n">
        <x:f>C68+1</x:f>
        <x:v>6</x:v>
      </x:c>
      <x:c r="D83" t="n">
        <x:f>D68</x:f>
        <x:v>3</x:v>
      </x:c>
      <x:c r="E83" t="n">
        <x:f>IF($B83&lt;E$8,0,E$3+(E$4-E$3)*(POWER(E$5,$B83-E$8)-1)/(POWER(E$5,$C$5-E$8)-1))</x:f>
        <x:v>1</x:v>
      </x:c>
      <x:c r="F83" t="n">
        <x:f>1+IF(B83&lt;3,0,MIN(1,(B83-2)/4))+IF(B83&lt;7,0,MIN(1,(B83-6)/3))+IF(B83&lt;10,0,MIN(1,(B83-9)/5))+IF(B83&lt;20,0,MIN(1,(B83-19)/10))</x:f>
        <x:v>5</x:v>
      </x:c>
      <x:c r="G83" t="n">
        <x:f>IF($B83&lt;G$8,0,G$3+(G$4-G$3)*(POWER(G$5,$B83-G$8)-1)/(POWER(G$5,$C$5-G$8)-1))</x:f>
        <x:v>0.6012396857588975</x:v>
      </x:c>
      <x:c r="H83" t="n">
        <x:f>IF($B83&lt;H$8,0,H$3+(H$4-H$3)*(POWER(H$5,$B83-H$8)-1)/(POWER(H$5,$C$5-H$8)-1))</x:f>
        <x:v>0.48542083072931297</x:v>
      </x:c>
      <x:c r="I83" t="n">
        <x:f>IF($B83&lt;I$8,0,I$3+(I$4-I$3)*(POWER(I$5,$B83-I$8)-1)/(POWER(I$5,$C$5-I$8)-1))</x:f>
        <x:v>0.0982806930669354</x:v>
      </x:c>
      <x:c r="J83" t="n">
        <x:f>IF($B83&lt;J$8,0,J$3+(J$4-J$3)*(POWER(J$5,$B83-J$8)-1)/(POWER(J$5,$C$5-J$8)-1))</x:f>
        <x:v>0.3454272116928118</x:v>
      </x:c>
      <x:c r="K83" t="n">
        <x:f>IF($B83&lt;K$8,0,K$3+(K$4-K$3)*(POWER(K$5,$B83-K$8)-1)/(POWER(K$5,$C$5-K$8)-1))</x:f>
        <x:v>0</x:v>
      </x:c>
      <x:c r="L83" t="n">
        <x:f>IF($B83&lt;L$8,0,L$3+(L$4-L$3)*(POWER(L$5,$B83-L$8)-1)/(POWER(L$5,$C$5-L$8)-1))</x:f>
        <x:v>0.48102042291407066</x:v>
      </x:c>
      <x:c r="M83" t="n">
        <x:f>E83*'模块规划'!$F$10+G83*'模块规划'!$F$11+H83*'模块规划'!$F$13</x:f>
        <x:v>3885.950491642708</x:v>
      </x:c>
      <x:c r="N83" t="n">
        <x:f>I83*'模块规划'!$F$15+J83*'模块规划'!$F$17+K83*'模块规划'!$F$16+L83*'模块规划'!$F$18</x:f>
        <x:v>6645.619776033955</x:v>
      </x:c>
      <x:c r="O83" t="n">
        <x:f>1+O$9*SUMPRODUCT($H$10:$L$10,H83:L83)/SUM($H$10:$L$10)</x:f>
        <x:v>2.1375086333310325</x:v>
      </x:c>
      <x:c r="P83" t="n">
        <x:f>M83*O83+N83</x:f>
        <x:v>14951.872500617214</x:v>
      </x:c>
      <x:c r="Q83" t="n">
        <x:f>P83/(P83+'_曲线基线'!$L$2)</x:f>
        <x:v>0.38385503804419907</x:v>
      </x:c>
      <x:c r="R83" t="n">
        <x:f>E83*'模块规划'!$E$10+G83*'模块规划'!$E$11+H83*'模块规划'!$E$13</x:f>
        <x:v>5828.925737464062</x:v>
      </x:c>
      <x:c r="S83" t="n">
        <x:f>I83*'模块规划'!$E$15+J83*'模块规划'!$E$17+K83*'模块规划'!$E$16+L83*'模块规划'!$E$18</x:f>
        <x:v>9968.429664050931</x:v>
      </x:c>
      <x:c r="T83" t="n">
        <x:f>1+T$9*SUMPRODUCT($H$10:$L$10,H83:L83)/SUM($H$10:$L$10)</x:f>
        <x:v>2.1375086333310325</x:v>
      </x:c>
      <x:c r="U83" t="n">
        <x:f>R83*T83+S83</x:f>
        <x:v>22427.80875092582</x:v>
      </x:c>
      <x:c r="V83" t="n">
        <x:f>V$8+(V$9-V$8)*H83</x:f>
        <x:v>0.8456262492187938</x:v>
      </x:c>
      <x:c r="W83" t="n">
        <x:f>IF(B83&lt;$H$8,0,W$8+(W$9-W$8)*H83)</x:f>
        <x:v>0.1941683322917252</x:v>
      </x:c>
      <x:c r="X83" t="n">
        <x:f>X$8+(X$9-X$8)*H83</x:f>
        <x:v>0.4084907284505611</x:v>
      </x:c>
      <x:c r="Y83" t="n">
        <x:f>Y$8+(Y$9-Y$8)*G83</x:f>
        <x:v>1</x:v>
      </x:c>
      <x:c r="Z83" t="n">
        <x:f>Z$8+(Z$9-Z$8)*H83</x:f>
        <x:v>1</x:v>
      </x:c>
      <x:c r="AA83" t="n">
        <x:f>AA$8+(AA$9-AA$8)*I83</x:f>
        <x:v>1</x:v>
      </x:c>
      <x:c r="AB83" t="n">
        <x:f>AB$8+(AB$9-AB$8)*J83</x:f>
        <x:v>1</x:v>
      </x:c>
      <x:c r="AC83" t="n">
        <x:f>AC$8+(AC$9-AC$8)*MAX(K83,L83)</x:f>
        <x:v>1</x:v>
      </x:c>
      <x:c r="AD83" t="n">
        <x:f>(V83*AE83+W83*AF83+X83*AG83)*PRODUCT(Y83:AC83)</x:f>
        <x:v>1.5404588871533975</x:v>
      </x:c>
      <x:c r="AE83" t="n">
        <x:f>1+AE$9*($H$10*H83+$I$10*I83+$J$10*J83+$K$10*K83+$L$10*L83)</x:f>
        <x:v>1</x:v>
      </x:c>
      <x:c r="AF83" t="n">
        <x:f>1+AF$9*($H$10*H83+$I$10*I83+$J$10*J83+$K$10*K83+$L$10*L83)</x:f>
        <x:v>1.1003954988122127</x:v>
      </x:c>
      <x:c r="AG83" t="n">
        <x:f>1+AG$9*($H$10*H83+$I$10*I83+$J$10*J83+$K$10*K83+$L$10*L83)</x:f>
        <x:v>1.1779231340060894</x:v>
      </x:c>
      <x:c r="AH83" t="n">
        <x:f>MIN(1,'_曲线基线'!$L$3+AH$9*($H$10*H83+$I$10*I83+$J$10*J83+$K$10*K83+$L$10*L83))</x:f>
        <x:v>0.27839975979778353</x:v>
      </x:c>
      <x:c r="AI83" t="n">
        <x:f>'_曲线基线'!$L$4+AI$9*($H$10*H83+$I$10*I83+$J$10*J83+$K$10*K83+$L$10*L83)</x:f>
        <x:v>2.636256473722397</x:v>
      </x:c>
      <x:c r="AJ83" t="n">
        <x:f>1+AJ$9*($H$10*H83+$I$10*I83+$J$10*J83+$K$10*K83+$L$10*L83)</x:f>
        <x:v>1.5220565938235053</x:v>
      </x:c>
      <x:c r="AK83" t="n">
        <x:f>(1+AH83*(AI83-1))*AJ83</x:f>
        <x:v>2.2154042230822357</x:v>
      </x:c>
      <x:c r="AL83" t="n">
        <x:f>U83*AD83*AK83*F83</x:f>
        <x:v>382701.30195881246</x:v>
      </x:c>
      <x:c r="AM83" t="n">
        <x:f>IF($B83&lt;AM$8,0,AM$3+(AM$4-AM$3)*(POWER(AM$5,$B83-AM$8)-1)/(POWER(AM$5,$C$5-AM$8)-1))</x:f>
        <x:v>36.378483646352656</x:v>
      </x:c>
      <x:c r="AN83" t="n">
        <x:f>(((E83*'模块规划'!$D$10+G83*'模块规划'!$D$11+H83*'模块规划'!$D$13)*(1+'模块规划'!$G$14*H83)+(I83*'模块规划'!$D$15+J83*'模块规划'!$D$17+K83*'模块规划'!$D$16+L83*'模块规划'!$D$18))*(1+'模块规划'!$J$17*J83))*F83/(1-Q83)</x:f>
        <x:v>701881.9966191193</x:v>
      </x:c>
      <x:c r="AO83" t="n">
        <x:f>AL83*AM83</x:f>
        <x:v>13922093.05474653</x:v>
      </x:c>
      <x:c r="AP83" t="n">
        <x:f>IF(AO83="","",INDEX('_曲线基线'!$A$3:$A$502,MIN(ROWS('_曲线基线'!$A$3:$A$502),COUNTIF('_曲线基线'!$E$3:$E$502,"&lt;"&amp;AO83)+1)))</x:f>
        <x:v>161</x:v>
      </x:c>
      <x:c r="AQ83" t="n">
        <x:f>IF(B83&lt;=2,1,IF(B83&lt;=6,2,IF(B83&lt;=9,3,IF(B83&lt;=19,4,5))))</x:f>
        <x:v>5</x:v>
      </x:c>
      <x:c r="AR83" t="n">
        <x:f>AN83*(1-Q83)/F83*$AS$3+U83*$AS$4+P83*$AS$5</x:f>
        <x:v>7080.328086811256</x:v>
      </x:c>
      <x:c r="AS83" t="n">
        <x:f>1+AH83*$AS$6+AI83*$AS$7+(AJ83-1)*$AS$8+($H$10*H83+$I$10*I83+$J$10*J83+$K$10*K83+$L$10*L83)*$AU$3*$AS$9+($H$10*H83+$I$10*I83+$J$10*J83+$K$10*K83+$L$10*L83)*$AU$4*$AS$10</x:f>
        <x:v>10.980325128415227</x:v>
      </x:c>
      <x:c r="AT83" t="n">
        <x:f>ROUND(AR83*AS83,0)</x:f>
        <x:v>77744</x:v>
      </x:c>
      <x:c r="AU83" t="n">
        <x:f>ROUND(AT83*F83,0)</x:f>
        <x:v>388720</x:v>
      </x:c>
    </x:row>
    <x:row r="84">
      <x:c r="A84" t="n">
        <x:f>IFERROR(XLOOKUP(B84,'_曲线基线'!$G$3:$G$107,'_曲线基线'!$J$3:$J$107,""),"")</x:f>
        <x:v>32</x:v>
      </x:c>
      <x:c r="B84" t="n">
        <x:v>73</x:v>
      </x:c>
      <x:c r="C84" t="n">
        <x:f>C69+1</x:f>
        <x:v>6</x:v>
      </x:c>
      <x:c r="D84" t="n">
        <x:f>D69</x:f>
        <x:v>4</x:v>
      </x:c>
      <x:c r="E84" t="n">
        <x:f>IF($B84&lt;E$8,0,E$3+(E$4-E$3)*(POWER(E$5,$B84-E$8)-1)/(POWER(E$5,$C$5-E$8)-1))</x:f>
        <x:v>1</x:v>
      </x:c>
      <x:c r="F84" t="n">
        <x:f>1+IF(B84&lt;3,0,MIN(1,(B84-2)/4))+IF(B84&lt;7,0,MIN(1,(B84-6)/3))+IF(B84&lt;10,0,MIN(1,(B84-9)/5))+IF(B84&lt;20,0,MIN(1,(B84-19)/10))</x:f>
        <x:v>5</x:v>
      </x:c>
      <x:c r="G84" t="n">
        <x:f>IF($B84&lt;G$8,0,G$3+(G$4-G$3)*(POWER(G$5,$B84-G$8)-1)/(POWER(G$5,$C$5-G$8)-1))</x:f>
        <x:v>0.60592628092701</x:v>
      </x:c>
      <x:c r="H84" t="n">
        <x:f>IF($B84&lt;H$8,0,H$3+(H$4-H$3)*(POWER(H$5,$B84-H$8)-1)/(POWER(H$5,$C$5-H$8)-1))</x:f>
        <x:v>0.489778956354238</x:v>
      </x:c>
      <x:c r="I84" t="n">
        <x:f>IF($B84&lt;I$8,0,I$3+(I$4-I$3)*(POWER(I$5,$B84-I$8)-1)/(POWER(I$5,$C$5-I$8)-1))</x:f>
        <x:v>0.1094861705486649</x:v>
      </x:c>
      <x:c r="J84" t="n">
        <x:f>IF($B84&lt;J$8,0,J$3+(J$4-J$3)*(POWER(J$5,$B84-J$8)-1)/(POWER(J$5,$C$5-J$8)-1))</x:f>
        <x:v>0.3505976119506795</x:v>
      </x:c>
      <x:c r="K84" t="n">
        <x:f>IF($B84&lt;K$8,0,K$3+(K$4-K$3)*(POWER(K$5,$B84-K$8)-1)/(POWER(K$5,$C$5-K$8)-1))</x:f>
        <x:v>0</x:v>
      </x:c>
      <x:c r="L84" t="n">
        <x:f>IF($B84&lt;L$8,0,L$3+(L$4-L$3)*(POWER(L$5,$B84-L$8)-1)/(POWER(L$5,$C$5-L$8)-1))</x:f>
        <x:v>0.485467921287175</x:v>
      </x:c>
      <x:c r="M84" t="n">
        <x:f>E84*'模块规划'!$F$10+G84*'模块规划'!$F$11+H84*'模块规划'!$F$13</x:f>
        <x:v>3908.446148449648</x:v>
      </x:c>
      <x:c r="N84" t="n">
        <x:f>I84*'模块规划'!$F$15+J84*'模块规划'!$F$17+K84*'模块规划'!$F$16+L84*'模块规划'!$F$18</x:f>
        <x:v>6809.205090331989</x:v>
      </x:c>
      <x:c r="O84" t="n">
        <x:f>1+O$9*SUMPRODUCT($H$10:$L$10,H84:L84)/SUM($H$10:$L$10)</x:f>
        <x:v>2.153915389993797</x:v>
      </x:c>
      <x:c r="P84" t="n">
        <x:f>M84*O84+N84</x:f>
        <x:v>15227.667400439665</x:v>
      </x:c>
      <x:c r="Q84" t="n">
        <x:f>P84/(P84+'_曲线基线'!$L$2)</x:f>
        <x:v>0.388186920343599</x:v>
      </x:c>
      <x:c r="R84" t="n">
        <x:f>E84*'模块规划'!$E$10+G84*'模块规划'!$E$11+H84*'模块规划'!$E$13</x:f>
        <x:v>5862.669222674472</x:v>
      </x:c>
      <x:c r="S84" t="n">
        <x:f>I84*'模块规划'!$E$15+J84*'模块规划'!$E$17+K84*'模块规划'!$E$16+L84*'模块规划'!$E$18</x:f>
        <x:v>10213.807635497984</x:v>
      </x:c>
      <x:c r="T84" t="n">
        <x:f>1+T$9*SUMPRODUCT($H$10:$L$10,H84:L84)/SUM($H$10:$L$10)</x:f>
        <x:v>2.153915389993797</x:v>
      </x:c>
      <x:c r="U84" t="n">
        <x:f>R84*T84+S84</x:f>
        <x:v>22841.501100659498</x:v>
      </x:c>
      <x:c r="V84" t="n">
        <x:f>V$8+(V$9-V$8)*H84</x:f>
        <x:v>0.8469336869062714</x:v>
      </x:c>
      <x:c r="W84" t="n">
        <x:f>IF(B84&lt;$H$8,0,W$8+(W$9-W$8)*H84)</x:f>
        <x:v>0.19591158254169522</x:v>
      </x:c>
      <x:c r="X84" t="n">
        <x:f>X$8+(X$9-X$8)*H84</x:f>
        <x:v>0.40968921299741545</x:v>
      </x:c>
      <x:c r="Y84" t="n">
        <x:f>Y$8+(Y$9-Y$8)*G84</x:f>
        <x:v>1</x:v>
      </x:c>
      <x:c r="Z84" t="n">
        <x:f>Z$8+(Z$9-Z$8)*H84</x:f>
        <x:v>1</x:v>
      </x:c>
      <x:c r="AA84" t="n">
        <x:f>AA$8+(AA$9-AA$8)*I84</x:f>
        <x:v>1</x:v>
      </x:c>
      <x:c r="AB84" t="n">
        <x:f>AB$8+(AB$9-AB$8)*J84</x:f>
        <x:v>1</x:v>
      </x:c>
      <x:c r="AC84" t="n">
        <x:f>AC$8+(AC$9-AC$8)*MAX(K84,L84)</x:f>
        <x:v>1</x:v>
      </x:c>
      <x:c r="AD84" t="n">
        <x:f>(V84*AE84+W84*AF84+X84*AG84)*PRODUCT(Y84:AC84)</x:f>
        <x:v>1.5464313697299885</x:v>
      </x:c>
      <x:c r="AE84" t="n">
        <x:f>1+AE$9*($H$10*H84+$I$10*I84+$J$10*J84+$K$10*K84+$L$10*L84)</x:f>
        <x:v>1</x:v>
      </x:c>
      <x:c r="AF84" t="n">
        <x:f>1+AF$9*($H$10*H84+$I$10*I84+$J$10*J84+$K$10*K84+$L$10*L84)</x:f>
        <x:v>1.1018435445419628</x:v>
      </x:c>
      <x:c r="AG84" t="n">
        <x:f>1+AG$9*($H$10*H84+$I$10*I84+$J$10*J84+$K$10*K84+$L$10*L84)</x:f>
        <x:v>1.1804893928271465</x:v>
      </x:c>
      <x:c r="AH84" t="n">
        <x:f>MIN(1,'_曲线基线'!$L$3+AH$9*($H$10*H84+$I$10*I84+$J$10*J84+$K$10*K84+$L$10*L84))</x:f>
        <x:v>0.28169406383296486</x:v>
      </x:c>
      <x:c r="AI84" t="n">
        <x:f>'_曲线基线'!$L$4+AI$9*($H$10*H84+$I$10*I84+$J$10*J84+$K$10*K84+$L$10*L84)</x:f>
        <x:v>2.6454334635346877</x:v>
      </x:c>
      <x:c r="AJ84" t="n">
        <x:f>1+AJ$9*($H$10*H84+$I$10*I84+$J$10*J84+$K$10*K84+$L$10*L84)</x:f>
        <x:v>1.5295864316182055</x:v>
      </x:c>
      <x:c r="AK84" t="n">
        <x:f>(1+AH84*(AI84-1))*AJ84</x:f>
        <x:v>2.2385632628557177</x:v>
      </x:c>
      <x:c r="AL84" t="n">
        <x:f>U84*AD84*AK84*F84</x:f>
        <x:v>395361.7669449796</x:v>
      </x:c>
      <x:c r="AM84" t="n">
        <x:f>IF($B84&lt;AM$8,0,AM$3+(AM$4-AM$3)*(POWER(AM$5,$B84-AM$8)-1)/(POWER(AM$5,$C$5-AM$8)-1))</x:f>
        <x:v>36.40569312273805</x:v>
      </x:c>
      <x:c r="AN84" t="n">
        <x:f>(((E84*'模块规划'!$D$10+G84*'模块规划'!$D$11+H84*'模块规划'!$D$13)*(1+'模块规划'!$G$14*H84)+(I84*'模块规划'!$D$15+J84*'模块规划'!$D$17+K84*'模块规划'!$D$16+L84*'模块规划'!$D$18))*(1+'模块规划'!$J$17*J84))*F84/(1-Q84)</x:f>
        <x:v>722215.2439519439</x:v>
      </x:c>
      <x:c r="AO84" t="n">
        <x:f>AL84*AM84</x:f>
        <x:v>14393419.159862408</x:v>
      </x:c>
      <x:c r="AP84" t="n">
        <x:f>IF(AO84="","",INDEX('_曲线基线'!$A$3:$A$502,MIN(ROWS('_曲线基线'!$A$3:$A$502),COUNTIF('_曲线基线'!$E$3:$E$502,"&lt;"&amp;AO84)+1)))</x:f>
        <x:v>163</x:v>
      </x:c>
      <x:c r="AQ84" t="n">
        <x:f>IF(B84&lt;=2,1,IF(B84&lt;=6,2,IF(B84&lt;=9,3,IF(B84&lt;=19,4,5))))</x:f>
        <x:v>5</x:v>
      </x:c>
      <x:c r="AR84" t="n">
        <x:f>AN84*(1-Q84)/F84*$AS$3+U84*$AS$4+P84*$AS$5</x:f>
        <x:v>7219.464615594126</x:v>
      </x:c>
      <x:c r="AS84" t="n">
        <x:f>1+AH84*$AS$6+AI84*$AS$7+(AJ84-1)*$AS$8+($H$10*H84+$I$10*I84+$J$10*J84+$K$10*K84+$L$10*L84)*$AU$3*$AS$9+($H$10*H84+$I$10*I84+$J$10*J84+$K$10*K84+$L$10*L84)*$AU$4*$AS$10</x:f>
        <x:v>11.066847506109749</x:v>
      </x:c>
      <x:c r="AT84" t="n">
        <x:f>ROUND(AR84*AS84,0)</x:f>
        <x:v>79897</x:v>
      </x:c>
      <x:c r="AU84" t="n">
        <x:f>ROUND(AT84*F84,0)</x:f>
        <x:v>399485</x:v>
      </x:c>
    </x:row>
    <x:row r="85">
      <x:c r="A85" t="n">
        <x:f>IFERROR(XLOOKUP(B85,'_曲线基线'!$G$3:$G$107,'_曲线基线'!$J$3:$J$107,""),"")</x:f>
        <x:v>32</x:v>
      </x:c>
      <x:c r="B85" t="n">
        <x:v>74</x:v>
      </x:c>
      <x:c r="C85" t="n">
        <x:f>C70+1</x:f>
        <x:v>6</x:v>
      </x:c>
      <x:c r="D85" t="n">
        <x:f>D70</x:f>
        <x:v>5</x:v>
      </x:c>
      <x:c r="E85" t="n">
        <x:f>IF($B85&lt;E$8,0,E$3+(E$4-E$3)*(POWER(E$5,$B85-E$8)-1)/(POWER(E$5,$C$5-E$8)-1))</x:f>
        <x:v>1</x:v>
      </x:c>
      <x:c r="F85" t="n">
        <x:f>1+IF(B85&lt;3,0,MIN(1,(B85-2)/4))+IF(B85&lt;7,0,MIN(1,(B85-6)/3))+IF(B85&lt;10,0,MIN(1,(B85-9)/5))+IF(B85&lt;20,0,MIN(1,(B85-19)/10))</x:f>
        <x:v>5</x:v>
      </x:c>
      <x:c r="G85" t="n">
        <x:f>IF($B85&lt;G$8,0,G$3+(G$4-G$3)*(POWER(G$5,$B85-G$8)-1)/(POWER(G$5,$C$5-G$8)-1))</x:f>
        <x:v>0.6105425771676007</x:v>
      </x:c>
      <x:c r="H85" t="n">
        <x:f>IF($B85&lt;H$8,0,H$3+(H$4-H$3)*(POWER(H$5,$B85-H$8)-1)/(POWER(H$5,$C$5-H$8)-1))</x:f>
        <x:v>0.4940499194666646</x:v>
      </x:c>
      <x:c r="I85" t="n">
        <x:f>IF($B85&lt;I$8,0,I$3+(I$4-I$3)*(POWER(I$5,$B85-I$8)-1)/(POWER(I$5,$C$5-I$8)-1))</x:f>
        <x:v>0.12046753848075983</x:v>
      </x:c>
      <x:c r="J85" t="n">
        <x:f>IF($B85&lt;J$8,0,J$3+(J$4-J$3)*(POWER(J$5,$B85-J$8)-1)/(POWER(J$5,$C$5-J$8)-1))</x:f>
        <x:v>0.35566460420338986</x:v>
      </x:c>
      <x:c r="K85" t="n">
        <x:f>IF($B85&lt;K$8,0,K$3+(K$4-K$3)*(POWER(K$5,$B85-K$8)-1)/(POWER(K$5,$C$5-K$8)-1))</x:f>
        <x:v>0</x:v>
      </x:c>
      <x:c r="L85" t="n">
        <x:f>IF($B85&lt;L$8,0,L$3+(L$4-L$3)*(POWER(L$5,$B85-L$8)-1)/(POWER(L$5,$C$5-L$8)-1))</x:f>
        <x:v>0.4898264696928172</x:v>
      </x:c>
      <x:c r="M85" t="n">
        <x:f>E85*'模块规划'!$F$10+G85*'模块规划'!$F$11+H85*'模块规划'!$F$13</x:f>
        <x:v>3930.6043704044837</x:v>
      </x:c>
      <x:c r="N85" t="n">
        <x:f>I85*'模块规划'!$F$15+J85*'模块规划'!$F$17+K85*'模块规划'!$F$16+L85*'模块规划'!$F$18</x:f>
        <x:v>6969.5186983440635</x:v>
      </x:c>
      <x:c r="O85" t="n">
        <x:f>1+O$9*SUMPRODUCT($H$10:$L$10,H85:L85)/SUM($H$10:$L$10)</x:f>
        <x:v>2.1699940115233054</x:v>
      </x:c>
      <x:c r="P85" t="n">
        <x:f>M85*O85+N85</x:f>
        <x:v>15498.906643789125</x:v>
      </x:c>
      <x:c r="Q85" t="n">
        <x:f>P85/(P85+'_曲线基线'!$L$2)</x:f>
        <x:v>0.39238824465603783</x:v>
      </x:c>
      <x:c r="R85" t="n">
        <x:f>E85*'模块规划'!$E$10+G85*'模块规划'!$E$11+H85*'模块规划'!$E$13</x:f>
        <x:v>5895.906555606725</x:v>
      </x:c>
      <x:c r="S85" t="n">
        <x:f>I85*'模块规划'!$E$15+J85*'模块规划'!$E$17+K85*'模块规划'!$E$16+L85*'模块规划'!$E$18</x:f>
        <x:v>10454.278047516094</x:v>
      </x:c>
      <x:c r="T85" t="n">
        <x:f>1+T$9*SUMPRODUCT($H$10:$L$10,H85:L85)/SUM($H$10:$L$10)</x:f>
        <x:v>2.1699940115233054</x:v>
      </x:c>
      <x:c r="U85" t="n">
        <x:f>R85*T85+S85</x:f>
        <x:v>23248.35996568369</x:v>
      </x:c>
      <x:c r="V85" t="n">
        <x:f>V$8+(V$9-V$8)*H85</x:f>
        <x:v>0.8482149758399994</x:v>
      </x:c>
      <x:c r="W85" t="n">
        <x:f>IF(B85&lt;$H$8,0,W$8+(W$9-W$8)*H85)</x:f>
        <x:v>0.19761996778666585</x:v>
      </x:c>
      <x:c r="X85" t="n">
        <x:f>X$8+(X$9-X$8)*H85</x:f>
        <x:v>0.4108637278533328</x:v>
      </x:c>
      <x:c r="Y85" t="n">
        <x:f>Y$8+(Y$9-Y$8)*G85</x:f>
        <x:v>1</x:v>
      </x:c>
      <x:c r="Z85" t="n">
        <x:f>Z$8+(Z$9-Z$8)*H85</x:f>
        <x:v>1</x:v>
      </x:c>
      <x:c r="AA85" t="n">
        <x:f>AA$8+(AA$9-AA$8)*I85</x:f>
        <x:v>1</x:v>
      </x:c>
      <x:c r="AB85" t="n">
        <x:f>AB$8+(AB$9-AB$8)*J85</x:f>
        <x:v>1</x:v>
      </x:c>
      <x:c r="AC85" t="n">
        <x:f>AC$8+(AC$9-AC$8)*MAX(K85,L85)</x:f>
        <x:v>1</x:v>
      </x:c>
      <x:c r="AD85" t="n">
        <x:f>(V85*AE85+W85*AF85+X85*AG85)*PRODUCT(Y85:AC85)</x:f>
        <x:v>1.5522952687546028</x:v>
      </x:c>
      <x:c r="AE85" t="n">
        <x:f>1+AE$9*($H$10*H85+$I$10*I85+$J$10*J85+$K$10*K85+$L$10*L85)</x:f>
        <x:v>1</x:v>
      </x:c>
      <x:c r="AF85" t="n">
        <x:f>1+AF$9*($H$10*H85+$I$10*I85+$J$10*J85+$K$10*K85+$L$10*L85)</x:f>
        <x:v>1.1032626293571177</x:v>
      </x:c>
      <x:c r="AG85" t="n">
        <x:f>1+AG$9*($H$10*H85+$I$10*I85+$J$10*J85+$K$10*K85+$L$10*L85)</x:f>
        <x:v>1.1830043264717822</x:v>
      </x:c>
      <x:c r="AH85" t="n">
        <x:f>MIN(1,'_曲线基线'!$L$3+AH$9*($H$10*H85+$I$10*I85+$J$10*J85+$K$10*K85+$L$10*L85))</x:f>
        <x:v>0.2849224817874426</x:v>
      </x:c>
      <x:c r="AI85" t="n">
        <x:f>'_曲线基线'!$L$4+AI$9*($H$10*H85+$I$10*I85+$J$10*J85+$K$10*K85+$L$10*L85)</x:f>
        <x:v>2.654426913550733</x:v>
      </x:c>
      <x:c r="AJ85" t="n">
        <x:f>1+AJ$9*($H$10*H85+$I$10*I85+$J$10*J85+$K$10*K85+$L$10*L85)</x:f>
        <x:v>1.5369656726570118</x:v>
      </x:c>
      <x:c r="AK85" t="n">
        <x:f>(1+AH85*(AI85-1))*AJ85</x:f>
        <x:v>2.2614658111531796</x:v>
      </x:c>
      <x:c r="AL85" t="n">
        <x:f>U85*AD85*AK85*F85</x:f>
        <x:v>408062.50004946755</x:v>
      </x:c>
      <x:c r="AM85" t="n">
        <x:f>IF($B85&lt;AM$8,0,AM$3+(AM$4-AM$3)*(POWER(AM$5,$B85-AM$8)-1)/(POWER(AM$5,$C$5-AM$8)-1))</x:f>
        <x:v>36.4331746938873</x:v>
      </x:c>
      <x:c r="AN85" t="n">
        <x:f>(((E85*'模块规划'!$D$10+G85*'模块规划'!$D$11+H85*'模块规划'!$D$13)*(1+'模块规划'!$G$14*H85)+(I85*'模块规划'!$D$15+J85*'模块规划'!$D$17+K85*'模块规划'!$D$16+L85*'模块规划'!$D$18))*(1+'模块规划'!$J$17*J85))*F85/(1-Q85)</x:f>
        <x:v>742493.6948130825</x:v>
      </x:c>
      <x:c r="AO85" t="n">
        <x:f>AL85*AM85</x:f>
        <x:v>14867012.350326648</x:v>
      </x:c>
      <x:c r="AP85" t="n">
        <x:f>IF(AO85="","",INDEX('_曲线基线'!$A$3:$A$502,MIN(ROWS('_曲线基线'!$A$3:$A$502),COUNTIF('_曲线基线'!$E$3:$E$502,"&lt;"&amp;AO85)+1)))</x:f>
        <x:v>165</x:v>
      </x:c>
      <x:c r="AQ85" t="n">
        <x:f>IF(B85&lt;=2,1,IF(B85&lt;=6,2,IF(B85&lt;=9,3,IF(B85&lt;=19,4,5))))</x:f>
        <x:v>5</x:v>
      </x:c>
      <x:c r="AR85" t="n">
        <x:f>AN85*(1-Q85)/F85*$AS$3+U85*$AS$4+P85*$AS$5</x:f>
        <x:v>7356.559376559944</x:v>
      </x:c>
      <x:c r="AS85" t="n">
        <x:f>1+AH85*$AS$6+AI85*$AS$7+(AJ85-1)*$AS$8+($H$10*H85+$I$10*I85+$J$10*J85+$K$10*K85+$L$10*L85)*$AU$3*$AS$9+($H$10*H85+$I$10*I85+$J$10*J85+$K$10*K85+$L$10*L85)*$AU$4*$AS$10</x:f>
        <x:v>11.151639436250386</x:v>
      </x:c>
      <x:c r="AT85" t="n">
        <x:f>ROUND(AR85*AS85,0)</x:f>
        <x:v>82038</x:v>
      </x:c>
      <x:c r="AU85" t="n">
        <x:f>ROUND(AT85*F85,0)</x:f>
        <x:v>410190</x:v>
      </x:c>
    </x:row>
    <x:row r="86">
      <x:c r="A86" t="n">
        <x:f>IFERROR(XLOOKUP(B86,'_曲线基线'!$G$3:$G$107,'_曲线基线'!$J$3:$J$107,""),"")</x:f>
        <x:v>33</x:v>
      </x:c>
      <x:c r="B86" t="n">
        <x:v>75</x:v>
      </x:c>
      <x:c r="C86" t="n">
        <x:f>C71+1</x:f>
        <x:v>6</x:v>
      </x:c>
      <x:c r="D86" t="n">
        <x:f>D71</x:f>
        <x:v>6</x:v>
      </x:c>
      <x:c r="E86" t="n">
        <x:f>IF($B86&lt;E$8,0,E$3+(E$4-E$3)*(POWER(E$5,$B86-E$8)-1)/(POWER(E$5,$C$5-E$8)-1))</x:f>
        <x:v>1</x:v>
      </x:c>
      <x:c r="F86" t="n">
        <x:f>1+IF(B86&lt;3,0,MIN(1,(B86-2)/4))+IF(B86&lt;7,0,MIN(1,(B86-6)/3))+IF(B86&lt;10,0,MIN(1,(B86-9)/5))+IF(B86&lt;20,0,MIN(1,(B86-19)/10))</x:f>
        <x:v>5</x:v>
      </x:c>
      <x:c r="G86" t="n">
        <x:f>IF($B86&lt;G$8,0,G$3+(G$4-G$3)*(POWER(G$5,$B86-G$8)-1)/(POWER(G$5,$C$5-G$8)-1))</x:f>
        <x:v>0.6150896289645825</x:v>
      </x:c>
      <x:c r="H86" t="n">
        <x:f>IF($B86&lt;H$8,0,H$3+(H$4-H$3)*(POWER(H$5,$B86-H$8)-1)/(POWER(H$5,$C$5-H$8)-1))</x:f>
        <x:v>0.4982354633168427</x:v>
      </x:c>
      <x:c r="I86" t="n">
        <x:f>IF($B86&lt;I$8,0,I$3+(I$4-I$3)*(POWER(I$5,$B86-I$8)-1)/(POWER(I$5,$C$5-I$8)-1))</x:f>
        <x:v>0.13122927905421278</x:v>
      </x:c>
      <x:c r="J86" t="n">
        <x:f>IF($B86&lt;J$8,0,J$3+(J$4-J$3)*(POWER(J$5,$B86-J$8)-1)/(POWER(J$5,$C$5-J$8)-1))</x:f>
        <x:v>0.3606302566110459</x:v>
      </x:c>
      <x:c r="K86" t="n">
        <x:f>IF($B86&lt;K$8,0,K$3+(K$4-K$3)*(POWER(K$5,$B86-K$8)-1)/(POWER(K$5,$C$5-K$8)-1))</x:f>
        <x:v>0</x:v>
      </x:c>
      <x:c r="L86" t="n">
        <x:f>IF($B86&lt;L$8,0,L$3+(L$4-L$3)*(POWER(L$5,$B86-L$8)-1)/(POWER(L$5,$C$5-L$8)-1))</x:f>
        <x:v>0.4940978471303465</x:v>
      </x:c>
      <x:c r="M86" t="n">
        <x:f>E86*'模块规划'!$F$10+G86*'模块规划'!$F$11+H86*'模块规划'!$F$13</x:f>
        <x:v>3952.430219029996</x:v>
      </x:c>
      <x:c r="N86" t="n">
        <x:f>I86*'模块规划'!$F$15+J86*'模块规划'!$F$17+K86*'模块规划'!$F$16+L86*'模块规划'!$F$18</x:f>
        <x:v>7126.626034195893</x:v>
      </x:c>
      <x:c r="O86" t="n">
        <x:f>1+O$9*SUMPRODUCT($H$10:$L$10,H86:L86)/SUM($H$10:$L$10)</x:f>
        <x:v>2.1857510606222244</x:v>
      </x:c>
      <x:c r="P86" t="n">
        <x:f>M86*O86+N86</x:f>
        <x:v>15765.654577476038</x:v>
      </x:c>
      <x:c r="Q86" t="n">
        <x:f>P86/(P86+'_曲线基线'!$L$2)</x:f>
        <x:v>0.3964641031309964</x:v>
      </x:c>
      <x:c r="R86" t="n">
        <x:f>E86*'模块规划'!$E$10+G86*'模块规划'!$E$11+H86*'模块规划'!$E$13</x:f>
        <x:v>5928.645328544994</x:v>
      </x:c>
      <x:c r="S86" t="n">
        <x:f>I86*'模块规划'!$E$15+J86*'模块规划'!$E$17+K86*'模块规划'!$E$16+L86*'模块规划'!$E$18</x:f>
        <x:v>10689.93905129384</x:v>
      </x:c>
      <x:c r="T86" t="n">
        <x:f>1+T$9*SUMPRODUCT($H$10:$L$10,H86:L86)/SUM($H$10:$L$10)</x:f>
        <x:v>2.1857510606222244</x:v>
      </x:c>
      <x:c r="U86" t="n">
        <x:f>R86*T86+S86</x:f>
        <x:v>23648.481866214057</x:v>
      </x:c>
      <x:c r="V86" t="n">
        <x:f>V$8+(V$9-V$8)*H86</x:f>
        <x:v>0.8494706389950528</x:v>
      </x:c>
      <x:c r="W86" t="n">
        <x:f>IF(B86&lt;$H$8,0,W$8+(W$9-W$8)*H86)</x:f>
        <x:v>0.1992941853267371</x:v>
      </x:c>
      <x:c r="X86" t="n">
        <x:f>X$8+(X$9-X$8)*H86</x:f>
        <x:v>0.4120147524121318</x:v>
      </x:c>
      <x:c r="Y86" t="n">
        <x:f>Y$8+(Y$9-Y$8)*G86</x:f>
        <x:v>1</x:v>
      </x:c>
      <x:c r="Z86" t="n">
        <x:f>Z$8+(Z$9-Z$8)*H86</x:f>
        <x:v>1</x:v>
      </x:c>
      <x:c r="AA86" t="n">
        <x:f>AA$8+(AA$9-AA$8)*I86</x:f>
        <x:v>1</x:v>
      </x:c>
      <x:c r="AB86" t="n">
        <x:f>AB$8+(AB$9-AB$8)*J86</x:f>
        <x:v>1</x:v>
      </x:c>
      <x:c r="AC86" t="n">
        <x:f>AC$8+(AC$9-AC$8)*MAX(K86,L86)</x:f>
        <x:v>1</x:v>
      </x:c>
      <x:c r="AD86" t="n">
        <x:f>(V86*AE86+W86*AF86+X86*AG86)*PRODUCT(Y86:AC86)</x:f>
        <x:v>1.5580523256007377</x:v>
      </x:c>
      <x:c r="AE86" t="n">
        <x:f>1+AE$9*($H$10*H86+$I$10*I86+$J$10*J86+$K$10*K86+$L$10*L86)</x:f>
        <x:v>1</x:v>
      </x:c>
      <x:c r="AF86" t="n">
        <x:f>1+AF$9*($H$10*H86+$I$10*I86+$J$10*J86+$K$10*K86+$L$10*L86)</x:f>
        <x:v>1.1046533324759698</x:v>
      </x:c>
      <x:c r="AG86" t="n">
        <x:f>1+AG$9*($H$10*H86+$I$10*I86+$J$10*J86+$K$10*K86+$L$10*L86)</x:f>
        <x:v>1.1854689614435254</x:v>
      </x:c>
      <x:c r="AH86" t="n">
        <x:f>MIN(1,'_曲线基线'!$L$3+AH$9*($H$10*H86+$I$10*I86+$J$10*J86+$K$10*K86+$L$10*L86))</x:f>
        <x:v>0.2880863313828308</x:v>
      </x:c>
      <x:c r="AI86" t="n">
        <x:f>'_曲线基线'!$L$4+AI$9*($H$10*H86+$I$10*I86+$J$10*J86+$K$10*K86+$L$10*L86)</x:f>
        <x:v>2.663240494566457</x:v>
      </x:c>
      <x:c r="AJ86" t="n">
        <x:f>1+AJ$9*($H$10*H86+$I$10*I86+$J$10*J86+$K$10*K86+$L$10*L86)</x:f>
        <x:v>1.544197328875042</x:v>
      </x:c>
      <x:c r="AK86" t="n">
        <x:f>(1+AH86*(AI86-1))*AJ86</x:f>
        <x:v>2.2841100602888247</x:v>
      </x:c>
      <x:c r="AL86" t="n">
        <x:f>U86*AD86*AK86*F86</x:f>
        <x:v>420796.71033677674</x:v>
      </x:c>
      <x:c r="AM86" t="n">
        <x:f>IF($B86&lt;AM$8,0,AM$3+(AM$4-AM$3)*(POWER(AM$5,$B86-AM$8)-1)/(POWER(AM$5,$C$5-AM$8)-1))</x:f>
        <x:v>36.46093108074804</x:v>
      </x:c>
      <x:c r="AN86" t="n">
        <x:f>(((E86*'模块规划'!$D$10+G86*'模块规划'!$D$11+H86*'模块规划'!$D$13)*(1+'模块规划'!$G$14*H86)+(I86*'模块规划'!$D$15+J86*'模块规划'!$D$17+K86*'模块规划'!$D$16+L86*'模块规划'!$D$18))*(1+'模块规划'!$J$17*J86))*F86/(1-Q86)</x:f>
        <x:v>762708.8098352903</x:v>
      </x:c>
      <x:c r="AO86" t="n">
        <x:f>AL86*AM86</x:f>
        <x:v>15342639.854594713</x:v>
      </x:c>
      <x:c r="AP86" t="n">
        <x:f>IF(AO86="","",INDEX('_曲线基线'!$A$3:$A$502,MIN(ROWS('_曲线基线'!$A$3:$A$502),COUNTIF('_曲线基线'!$E$3:$E$502,"&lt;"&amp;AO86)+1)))</x:f>
        <x:v>167</x:v>
      </x:c>
      <x:c r="AQ86" t="n">
        <x:f>IF(B86&lt;=2,1,IF(B86&lt;=6,2,IF(B86&lt;=9,3,IF(B86&lt;=19,4,5))))</x:f>
        <x:v>5</x:v>
      </x:c>
      <x:c r="AR86" t="n">
        <x:f>AN86*(1-Q86)/F86*$AS$3+U86*$AS$4+P86*$AS$5</x:f>
        <x:v>7491.629246805805</x:v>
      </x:c>
      <x:c r="AS86" t="n">
        <x:f>1+AH86*$AS$6+AI86*$AS$7+(AJ86-1)*$AS$8+($H$10*H86+$I$10*I86+$J$10*J86+$K$10*K86+$L$10*L86)*$AU$3*$AS$9+($H$10*H86+$I$10*I86+$J$10*J86+$K$10*K86+$L$10*L86)*$AU$4*$AS$10</x:f>
        <x:v>11.23473552778821</x:v>
      </x:c>
      <x:c r="AT86" t="n">
        <x:f>ROUND(AR86*AS86,0)</x:f>
        <x:v>84166</x:v>
      </x:c>
      <x:c r="AU86" t="n">
        <x:f>ROUND(AT86*F86,0)</x:f>
        <x:v>420830</x:v>
      </x:c>
    </x:row>
    <x:row r="87">
      <x:c r="A87" t="n">
        <x:f>IFERROR(XLOOKUP(B87,'_曲线基线'!$G$3:$G$107,'_曲线基线'!$J$3:$J$107,""),"")</x:f>
        <x:v>33</x:v>
      </x:c>
      <x:c r="B87" t="n">
        <x:v>76</x:v>
      </x:c>
      <x:c r="C87" t="n">
        <x:f>C72+1</x:f>
        <x:v>6</x:v>
      </x:c>
      <x:c r="D87" t="n">
        <x:f>D72</x:f>
        <x:v>7</x:v>
      </x:c>
      <x:c r="E87" t="n">
        <x:f>IF($B87&lt;E$8,0,E$3+(E$4-E$3)*(POWER(E$5,$B87-E$8)-1)/(POWER(E$5,$C$5-E$8)-1))</x:f>
        <x:v>1</x:v>
      </x:c>
      <x:c r="F87" t="n">
        <x:f>1+IF(B87&lt;3,0,MIN(1,(B87-2)/4))+IF(B87&lt;7,0,MIN(1,(B87-6)/3))+IF(B87&lt;10,0,MIN(1,(B87-9)/5))+IF(B87&lt;20,0,MIN(1,(B87-19)/10))</x:f>
        <x:v>5</x:v>
      </x:c>
      <x:c r="G87" t="n">
        <x:f>IF($B87&lt;G$8,0,G$3+(G$4-G$3)*(POWER(G$5,$B87-G$8)-1)/(POWER(G$5,$C$5-G$8)-1))</x:f>
        <x:v>0.6195684749846097</x:v>
      </x:c>
      <x:c r="H87" t="n">
        <x:f>IF($B87&lt;H$8,0,H$3+(H$4-H$3)*(POWER(H$5,$B87-H$8)-1)/(POWER(H$5,$C$5-H$8)-1))</x:f>
        <x:v>0.5023372962900172</x:v>
      </x:c>
      <x:c r="I87" t="n">
        <x:f>IF($B87&lt;I$8,0,I$3+(I$4-I$3)*(POWER(I$5,$B87-I$8)-1)/(POWER(I$5,$C$5-I$8)-1))</x:f>
        <x:v>0.14177578481619676</x:v>
      </x:c>
      <x:c r="J87" t="n">
        <x:f>IF($B87&lt;J$8,0,J$3+(J$4-J$3)*(POWER(J$5,$B87-J$8)-1)/(POWER(J$5,$C$5-J$8)-1))</x:f>
        <x:v>0.36549659597054895</x:v>
      </x:c>
      <x:c r="K87" t="n">
        <x:f>IF($B87&lt;K$8,0,K$3+(K$4-K$3)*(POWER(K$5,$B87-K$8)-1)/(POWER(K$5,$C$5-K$8)-1))</x:f>
        <x:v>0</x:v>
      </x:c>
      <x:c r="L87" t="n">
        <x:f>IF($B87&lt;L$8,0,L$3+(L$4-L$3)*(POWER(L$5,$B87-L$8)-1)/(POWER(L$5,$C$5-L$8)-1))</x:f>
        <x:v>0.4982837970191253</x:v>
      </x:c>
      <x:c r="M87" t="n">
        <x:f>E87*'模块规划'!$F$10+G87*'模块规划'!$F$11+H87*'模块规划'!$F$13</x:f>
        <x:v>3973.9286799261263</x:v>
      </x:c>
      <x:c r="N87" t="n">
        <x:f>I87*'模块规划'!$F$15+J87*'模块规划'!$F$17+K87*'模块规划'!$F$16+L87*'模块规划'!$F$18</x:f>
        <x:v>7280.59122333069</x:v>
      </x:c>
      <x:c r="O87" t="n">
        <x:f>1+O$9*SUMPRODUCT($H$10:$L$10,H87:L87)/SUM($H$10:$L$10)</x:f>
        <x:v>2.201192968739165</x:v>
      </x:c>
      <x:c r="P87" t="n">
        <x:f>M87*O87+N87</x:f>
        <x:v>16027.97509185499</x:v>
      </x:c>
      <x:c r="Q87" t="n">
        <x:f>P87/(P87+'_曲线基线'!$L$2)</x:f>
        <x:v>0.40041933310577105</x:v>
      </x:c>
      <x:c r="R87" t="n">
        <x:f>E87*'模块规划'!$E$10+G87*'模块规划'!$E$11+H87*'模块规划'!$E$13</x:f>
        <x:v>5960.893019889189</x:v>
      </x:c>
      <x:c r="S87" t="n">
        <x:f>I87*'模块规划'!$E$15+J87*'模块规划'!$E$17+K87*'模块规划'!$E$16+L87*'模块规划'!$E$18</x:f>
        <x:v>10920.886834996036</x:v>
      </x:c>
      <x:c r="T87" t="n">
        <x:f>1+T$9*SUMPRODUCT($H$10:$L$10,H87:L87)/SUM($H$10:$L$10)</x:f>
        <x:v>2.201192968739165</x:v>
      </x:c>
      <x:c r="U87" t="n">
        <x:f>R87*T87+S87</x:f>
        <x:v>24041.96263778249</x:v>
      </x:c>
      <x:c r="V87" t="n">
        <x:f>V$8+(V$9-V$8)*H87</x:f>
        <x:v>0.8507011888870051</x:v>
      </x:c>
      <x:c r="W87" t="n">
        <x:f>IF(B87&lt;$H$8,0,W$8+(W$9-W$8)*H87)</x:f>
        <x:v>0.2009349185160069</x:v>
      </x:c>
      <x:c r="X87" t="n">
        <x:f>X$8+(X$9-X$8)*H87</x:f>
        <x:v>0.41314275647975474</x:v>
      </x:c>
      <x:c r="Y87" t="n">
        <x:f>Y$8+(Y$9-Y$8)*G87</x:f>
        <x:v>1</x:v>
      </x:c>
      <x:c r="Z87" t="n">
        <x:f>Z$8+(Z$9-Z$8)*H87</x:f>
        <x:v>1</x:v>
      </x:c>
      <x:c r="AA87" t="n">
        <x:f>AA$8+(AA$9-AA$8)*I87</x:f>
        <x:v>1</x:v>
      </x:c>
      <x:c r="AB87" t="n">
        <x:f>AB$8+(AB$9-AB$8)*J87</x:f>
        <x:v>1</x:v>
      </x:c>
      <x:c r="AC87" t="n">
        <x:f>AC$8+(AC$9-AC$8)*MAX(K87,L87)</x:f>
        <x:v>1</x:v>
      </x:c>
      <x:c r="AD87" t="n">
        <x:f>(V87*AE87+W87*AF87+X87*AG87)*PRODUCT(Y87:AC87)</x:f>
        <x:v>1.5637042638542022</x:v>
      </x:c>
      <x:c r="AE87" t="n">
        <x:f>1+AE$9*($H$10*H87+$I$10*I87+$J$10*J87+$K$10*K87+$L$10*L87)</x:f>
        <x:v>1</x:v>
      </x:c>
      <x:c r="AF87" t="n">
        <x:f>1+AF$9*($H$10*H87+$I$10*I87+$J$10*J87+$K$10*K87+$L$10*L87)</x:f>
        <x:v>1.1060162215324445</x:v>
      </x:c>
      <x:c r="AG87" t="n">
        <x:f>1+AG$9*($H$10*H87+$I$10*I87+$J$10*J87+$K$10*K87+$L$10*L87)</x:f>
        <x:v>1.1878843037158338</x:v>
      </x:c>
      <x:c r="AH87" t="n">
        <x:f>MIN(1,'_曲线基线'!$L$3+AH$9*($H$10*H87+$I$10*I87+$J$10*J87+$K$10*K87+$L$10*L87))</x:f>
        <x:v>0.2911869039863112</x:v>
      </x:c>
      <x:c r="AI87" t="n">
        <x:f>'_曲线基线'!$L$4+AI$9*($H$10*H87+$I$10*I87+$J$10*J87+$K$10*K87+$L$10*L87)</x:f>
        <x:v>2.671877803961867</x:v>
      </x:c>
      <x:c r="AJ87" t="n">
        <x:f>1+AJ$9*($H$10*H87+$I$10*I87+$J$10*J87+$K$10*K87+$L$10*L87)</x:f>
        <x:v>1.5512843519687114</x:v>
      </x:c>
      <x:c r="AK87" t="n">
        <x:f>(1+AH87*(AI87-1))*AJ87</x:f>
        <x:v>2.3064944401001553</x:v>
      </x:c>
      <x:c r="AL87" t="n">
        <x:f>U87*AD87*AK87*F87</x:f>
        <x:v>433557.7508879735</x:v>
      </x:c>
      <x:c r="AM87" t="n">
        <x:f>IF($B87&lt;AM$8,0,AM$3+(AM$4-AM$3)*(POWER(AM$5,$B87-AM$8)-1)/(POWER(AM$5,$C$5-AM$8)-1))</x:f>
        <x:v>36.48896503147739</x:v>
      </x:c>
      <x:c r="AN87" t="n">
        <x:f>(((E87*'模块规划'!$D$10+G87*'模块规划'!$D$11+H87*'模块规划'!$D$13)*(1+'模块规划'!$G$14*H87)+(I87*'模块规划'!$D$15+J87*'模块规划'!$D$17+K87*'模块规划'!$D$16+L87*'模块规划'!$D$18))*(1+'模块规划'!$J$17*J87))*F87/(1-Q87)</x:f>
        <x:v>782852.4223027405</x:v>
      </x:c>
      <x:c r="AO87" t="n">
        <x:f>AL87*AM87</x:f>
        <x:v>15820073.611277252</x:v>
      </x:c>
      <x:c r="AP87" t="n">
        <x:f>IF(AO87="","",INDEX('_曲线基线'!$A$3:$A$502,MIN(ROWS('_曲线基线'!$A$3:$A$502),COUNTIF('_曲线基线'!$E$3:$E$502,"&lt;"&amp;AO87)+1)))</x:f>
        <x:v>168</x:v>
      </x:c>
      <x:c r="AQ87" t="n">
        <x:f>IF(B87&lt;=2,1,IF(B87&lt;=6,2,IF(B87&lt;=9,3,IF(B87&lt;=19,4,5))))</x:f>
        <x:v>5</x:v>
      </x:c>
      <x:c r="AR87" t="n">
        <x:f>AN87*(1-Q87)/F87*$AS$3+U87*$AS$4+P87*$AS$5</x:f>
        <x:v>7624.691592220735</x:v>
      </x:c>
      <x:c r="AS87" t="n">
        <x:f>1+AH87*$AS$6+AI87*$AS$7+(AJ87-1)*$AS$8+($H$10*H87+$I$10*I87+$J$10*J87+$K$10*K87+$L$10*L87)*$AU$3*$AS$9+($H$10*H87+$I$10*I87+$J$10*J87+$K$10*K87+$L$10*L87)*$AU$4*$AS$10</x:f>
        <x:v>11.316169697495274</x:v>
      </x:c>
      <x:c r="AT87" t="n">
        <x:f>ROUND(AR87*AS87,0)</x:f>
        <x:v>86282</x:v>
      </x:c>
      <x:c r="AU87" t="n">
        <x:f>ROUND(AT87*F87,0)</x:f>
        <x:v>431410</x:v>
      </x:c>
    </x:row>
    <x:row r="88">
      <x:c r="A88" t="n">
        <x:f>IFERROR(XLOOKUP(B88,'_曲线基线'!$G$3:$G$107,'_曲线基线'!$J$3:$J$107,""),"")</x:f>
        <x:v>33</x:v>
      </x:c>
      <x:c r="B88" t="n">
        <x:v>77</x:v>
      </x:c>
      <x:c r="C88" t="n">
        <x:f>C73+1</x:f>
        <x:v>6</x:v>
      </x:c>
      <x:c r="D88" t="n">
        <x:f>D73</x:f>
        <x:v>8</x:v>
      </x:c>
      <x:c r="E88" t="n">
        <x:f>IF($B88&lt;E$8,0,E$3+(E$4-E$3)*(POWER(E$5,$B88-E$8)-1)/(POWER(E$5,$C$5-E$8)-1))</x:f>
        <x:v>1</x:v>
      </x:c>
      <x:c r="F88" t="n">
        <x:f>1+IF(B88&lt;3,0,MIN(1,(B88-2)/4))+IF(B88&lt;7,0,MIN(1,(B88-6)/3))+IF(B88&lt;10,0,MIN(1,(B88-9)/5))+IF(B88&lt;20,0,MIN(1,(B88-19)/10))</x:f>
        <x:v>5</x:v>
      </x:c>
      <x:c r="G88" t="n">
        <x:f>IF($B88&lt;G$8,0,G$3+(G$4-G$3)*(POWER(G$5,$B88-G$8)-1)/(POWER(G$5,$C$5-G$8)-1))</x:f>
        <x:v>0.6239801383143363</x:v>
      </x:c>
      <x:c r="H88" t="n">
        <x:f>IF($B88&lt;H$8,0,H$3+(H$4-H$3)*(POWER(H$5,$B88-H$8)-1)/(POWER(H$5,$C$5-H$8)-1))</x:f>
        <x:v>0.5063570926037283</x:v>
      </x:c>
      <x:c r="I88" t="n">
        <x:f>IF($B88&lt;I$8,0,I$3+(I$4-I$3)*(POWER(I$5,$B88-I$8)-1)/(POWER(I$5,$C$5-I$8)-1))</x:f>
        <x:v>0.15211136046294105</x:v>
      </x:c>
      <x:c r="J88" t="n">
        <x:f>IF($B88&lt;J$8,0,J$3+(J$4-J$3)*(POWER(J$5,$B88-J$8)-1)/(POWER(J$5,$C$5-J$8)-1))</x:f>
        <x:v>0.3702656085428619</x:v>
      </x:c>
      <x:c r="K88" t="n">
        <x:f>IF($B88&lt;K$8,0,K$3+(K$4-K$3)*(POWER(K$5,$B88-K$8)-1)/(POWER(K$5,$C$5-K$8)-1))</x:f>
        <x:v>0</x:v>
      </x:c>
      <x:c r="L88" t="n">
        <x:f>IF($B88&lt;L$8,0,L$3+(L$4-L$3)*(POWER(L$5,$B88-L$8)-1)/(POWER(L$5,$C$5-L$8)-1))</x:f>
        <x:v>0.5023860279101284</x:v>
      </x:c>
      <x:c r="M88" t="n">
        <x:f>E88*'模块规划'!$F$10+G88*'模块规划'!$F$11+H88*'模块规划'!$F$13</x:f>
        <x:v>3995.104663908814</x:v>
      </x:c>
      <x:c r="N88" t="n">
        <x:f>I88*'模块规划'!$F$15+J88*'模块规划'!$F$17+K88*'模块规划'!$F$16+L88*'模块规划'!$F$18</x:f>
        <x:v>7431.47710868279</x:v>
      </x:c>
      <x:c r="O88" t="n">
        <x:f>1+O$9*SUMPRODUCT($H$10:$L$10,H88:L88)/SUM($H$10:$L$10)</x:f>
        <x:v>2.216326038693767</x:v>
      </x:c>
      <x:c r="P88" t="n">
        <x:f>M88*O88+N88</x:f>
        <x:v>16285.931602610804</x:v>
      </x:c>
      <x:c r="Q88" t="n">
        <x:f>P88/(P88+'_曲线基线'!$L$2)</x:f>
        <x:v>0.40425853281137386</x:v>
      </x:c>
      <x:c r="R88" t="n">
        <x:f>E88*'模块规划'!$E$10+G88*'模块规划'!$E$11+H88*'模块规划'!$E$13</x:f>
        <x:v>5992.656995863222</x:v>
      </x:c>
      <x:c r="S88" t="n">
        <x:f>I88*'模块规划'!$E$15+J88*'模块规划'!$E$17+K88*'模块规划'!$E$16+L88*'模块规划'!$E$18</x:f>
        <x:v>11147.215663024184</x:v>
      </x:c>
      <x:c r="T88" t="n">
        <x:f>1+T$9*SUMPRODUCT($H$10:$L$10,H88:L88)/SUM($H$10:$L$10)</x:f>
        <x:v>2.216326038693767</x:v>
      </x:c>
      <x:c r="U88" t="n">
        <x:f>R88*T88+S88</x:f>
        <x:v>24428.897403916206</x:v>
      </x:c>
      <x:c r="V88" t="n">
        <x:f>V$8+(V$9-V$8)*H88</x:f>
        <x:v>0.8519071277811184</x:v>
      </x:c>
      <x:c r="W88" t="n">
        <x:f>IF(B88&lt;$H$8,0,W$8+(W$9-W$8)*H88)</x:f>
        <x:v>0.20254283704149134</x:v>
      </x:c>
      <x:c r="X88" t="n">
        <x:f>X$8+(X$9-X$8)*H88</x:f>
        <x:v>0.4142482004660253</x:v>
      </x:c>
      <x:c r="Y88" t="n">
        <x:f>Y$8+(Y$9-Y$8)*G88</x:f>
        <x:v>1</x:v>
      </x:c>
      <x:c r="Z88" t="n">
        <x:f>Z$8+(Z$9-Z$8)*H88</x:f>
        <x:v>1</x:v>
      </x:c>
      <x:c r="AA88" t="n">
        <x:f>AA$8+(AA$9-AA$8)*I88</x:f>
        <x:v>1</x:v>
      </x:c>
      <x:c r="AB88" t="n">
        <x:f>AB$8+(AB$9-AB$8)*J88</x:f>
        <x:v>1</x:v>
      </x:c>
      <x:c r="AC88" t="n">
        <x:f>AC$8+(AC$9-AC$8)*MAX(K88,L88)</x:f>
        <x:v>1</x:v>
      </x:c>
      <x:c r="AD88" t="n">
        <x:f>(V88*AE88+W88*AF88+X88*AG88)*PRODUCT(Y88:AC88)</x:f>
        <x:v>1.5692527889940988</x:v>
      </x:c>
      <x:c r="AE88" t="n">
        <x:f>1+AE$9*($H$10*H88+$I$10*I88+$J$10*J88+$K$10*K88+$L$10*L88)</x:f>
        <x:v>1</x:v>
      </x:c>
      <x:c r="AF88" t="n">
        <x:f>1+AF$9*($H$10*H88+$I$10*I88+$J$10*J88+$K$10*K88+$L$10*L88)</x:f>
        <x:v>1.10735185280779</x:v>
      </x:c>
      <x:c r="AG88" t="n">
        <x:f>1+AG$9*($H$10*H88+$I$10*I88+$J$10*J88+$K$10*K88+$L$10*L88)</x:f>
        <x:v>1.190251339142696</x:v>
      </x:c>
      <x:c r="AH88" t="n">
        <x:f>MIN(1,'_曲线基线'!$L$3+AH$9*($H$10*H88+$I$10*I88+$J$10*J88+$K$10*K88+$L$10*L88))</x:f>
        <x:v>0.294225465137722</x:v>
      </x:c>
      <x:c r="AI88" t="n">
        <x:f>'_曲线基线'!$L$4+AI$9*($H$10*H88+$I$10*I88+$J$10*J88+$K$10*K88+$L$10*L88)</x:f>
        <x:v>2.6803423671693687</x:v>
      </x:c>
      <x:c r="AJ88" t="n">
        <x:f>1+AJ$9*($H$10*H88+$I$10*I88+$J$10*J88+$K$10*K88+$L$10*L88)</x:f>
        <x:v>1.5582296346005076</x:v>
      </x:c>
      <x:c r="AK88" t="n">
        <x:f>(1+AH88*(AI88-1))*AJ88</x:f>
        <x:v>2.3286176095371895</x:v>
      </x:c>
      <x:c r="AL88" t="n">
        <x:f>U88*AD88*AK88*F88</x:f>
        <x:v>446339.1237241713</x:v>
      </x:c>
      <x:c r="AM88" t="n">
        <x:f>IF($B88&lt;AM$8,0,AM$3+(AM$4-AM$3)*(POWER(AM$5,$B88-AM$8)-1)/(POWER(AM$5,$C$5-AM$8)-1))</x:f>
        <x:v>36.517279321714035</x:v>
      </x:c>
      <x:c r="AN88" t="n">
        <x:f>(((E88*'模块规划'!$D$10+G88*'模块规划'!$D$11+H88*'模块规划'!$D$13)*(1+'模块规划'!$G$14*H88)+(I88*'模块规划'!$D$15+J88*'模块规划'!$D$17+K88*'模块规划'!$D$16+L88*'模块规划'!$D$18))*(1+'模块规划'!$J$17*J88))*F88/(1-Q88)</x:f>
        <x:v>802916.7308938826</x:v>
      </x:c>
      <x:c r="AO88" t="n">
        <x:f>AL88*AM88</x:f>
        <x:v>16299090.453244643</x:v>
      </x:c>
      <x:c r="AP88" t="n">
        <x:f>IF(AO88="","",INDEX('_曲线基线'!$A$3:$A$502,MIN(ROWS('_曲线基线'!$A$3:$A$502),COUNTIF('_曲线基线'!$E$3:$E$502,"&lt;"&amp;AO88)+1)))</x:f>
        <x:v>170</x:v>
      </x:c>
      <x:c r="AQ88" t="n">
        <x:f>IF(B88&lt;=2,1,IF(B88&lt;=6,2,IF(B88&lt;=9,3,IF(B88&lt;=19,4,5))))</x:f>
        <x:v>5</x:v>
      </x:c>
      <x:c r="AR88" t="n">
        <x:f>AN88*(1-Q88)/F88*$AS$3+U88*$AS$4+P88*$AS$5</x:f>
        <x:v>7755.764228541343</x:v>
      </x:c>
      <x:c r="AS88" t="n">
        <x:f>1+AH88*$AS$6+AI88*$AS$7+(AJ88-1)*$AS$8+($H$10*H88+$I$10*I88+$J$10*J88+$K$10*K88+$L$10*L88)*$AU$3*$AS$9+($H$10*H88+$I$10*I88+$J$10*J88+$K$10*K88+$L$10*L88)*$AU$4*$AS$10</x:f>
        <x:v>11.395975183808202</x:v>
      </x:c>
      <x:c r="AT88" t="n">
        <x:f>ROUND(AR88*AS88,0)</x:f>
        <x:v>88384</x:v>
      </x:c>
      <x:c r="AU88" t="n">
        <x:f>ROUND(AT88*F88,0)</x:f>
        <x:v>441920</x:v>
      </x:c>
    </x:row>
    <x:row r="89">
      <x:c r="A89" t="n">
        <x:f>IFERROR(XLOOKUP(B89,'_曲线基线'!$G$3:$G$107,'_曲线基线'!$J$3:$J$107,""),"")</x:f>
        <x:v>33</x:v>
      </x:c>
      <x:c r="B89" t="n">
        <x:v>78</x:v>
      </x:c>
      <x:c r="C89" t="n">
        <x:f>C74+1</x:f>
        <x:v>6</x:v>
      </x:c>
      <x:c r="D89" t="n">
        <x:f>D74</x:f>
        <x:v>9</x:v>
      </x:c>
      <x:c r="E89" t="n">
        <x:f>IF($B89&lt;E$8,0,E$3+(E$4-E$3)*(POWER(E$5,$B89-E$8)-1)/(POWER(E$5,$C$5-E$8)-1))</x:f>
        <x:v>1</x:v>
      </x:c>
      <x:c r="F89" t="n">
        <x:f>1+IF(B89&lt;3,0,MIN(1,(B89-2)/4))+IF(B89&lt;7,0,MIN(1,(B89-6)/3))+IF(B89&lt;10,0,MIN(1,(B89-9)/5))+IF(B89&lt;20,0,MIN(1,(B89-19)/10))</x:f>
        <x:v>5</x:v>
      </x:c>
      <x:c r="G89" t="n">
        <x:f>IF($B89&lt;G$8,0,G$3+(G$4-G$3)*(POWER(G$5,$B89-G$8)-1)/(POWER(G$5,$C$5-G$8)-1))</x:f>
        <x:v>0.6283256266941172</x:v>
      </x:c>
      <x:c r="H89" t="n">
        <x:f>IF($B89&lt;H$8,0,H$3+(H$4-H$3)*(POWER(H$5,$B89-H$8)-1)/(POWER(H$5,$C$5-H$8)-1))</x:f>
        <x:v>0.510296492991165</x:v>
      </x:c>
      <x:c r="I89" t="n">
        <x:f>IF($B89&lt;I$8,0,I$3+(I$4-I$3)*(POWER(I$5,$B89-I$8)-1)/(POWER(I$5,$C$5-I$8)-1))</x:f>
        <x:v>0.16224022459675044</x:v>
      </x:c>
      <x:c r="J89" t="n">
        <x:f>IF($B89&lt;J$8,0,J$3+(J$4-J$3)*(POWER(J$5,$B89-J$8)-1)/(POWER(J$5,$C$5-J$8)-1))</x:f>
        <x:v>0.3749392408637285</x:v>
      </x:c>
      <x:c r="K89" t="n">
        <x:f>IF($B89&lt;K$8,0,K$3+(K$4-K$3)*(POWER(K$5,$B89-K$8)-1)/(POWER(K$5,$C$5-K$8)-1))</x:f>
        <x:v>0</x:v>
      </x:c>
      <x:c r="L89" t="n">
        <x:f>IF($B89&lt;L$8,0,L$3+(L$4-L$3)*(POWER(L$5,$B89-L$8)-1)/(POWER(L$5,$C$5-L$8)-1))</x:f>
        <x:v>0.5064062141833117</x:v>
      </x:c>
      <x:c r="M89" t="n">
        <x:f>E89*'模块规划'!$F$10+G89*'模块规划'!$F$11+H89*'模块规划'!$F$13</x:f>
        <x:v>4015.9630081317623</x:v>
      </x:c>
      <x:c r="N89" t="n">
        <x:f>I89*'模块规划'!$F$15+J89*'模块规划'!$F$17+K89*'模块规划'!$F$16+L89*'模块规划'!$F$18</x:f>
        <x:v>7579.345276327847</x:v>
      </x:c>
      <x:c r="O89" t="n">
        <x:f>1+O$9*SUMPRODUCT($H$10:$L$10,H89:L89)/SUM($H$10:$L$10)</x:f>
        <x:v>2.231156447249276</x:v>
      </x:c>
      <x:c r="P89" t="n">
        <x:f>M89*O89+N89</x:f>
        <x:v>16539.587033835625</x:v>
      </x:c>
      <x:c r="Q89" t="n">
        <x:f>P89/(P89+'_曲线基线'!$L$2)</x:f>
        <x:v>0.4079860759319319</x:v>
      </x:c>
      <x:c r="R89" t="n">
        <x:f>E89*'模块规划'!$E$10+G89*'模块规划'!$E$11+H89*'模块规划'!$E$13</x:f>
        <x:v>6023.944512197643</x:v>
      </x:c>
      <x:c r="S89" t="n">
        <x:f>I89*'模块规划'!$E$15+J89*'模块规划'!$E$17+K89*'模块规划'!$E$16+L89*'模块规划'!$E$18</x:f>
        <x:v>11369.017914491771</x:v>
      </x:c>
      <x:c r="T89" t="n">
        <x:f>1+T$9*SUMPRODUCT($H$10:$L$10,H89:L89)/SUM($H$10:$L$10)</x:f>
        <x:v>2.231156447249276</x:v>
      </x:c>
      <x:c r="U89" t="n">
        <x:f>R89*T89+S89</x:f>
        <x:v>24809.380550753438</x:v>
      </x:c>
      <x:c r="V89" t="n">
        <x:f>V$8+(V$9-V$8)*H89</x:f>
        <x:v>0.8530889478973495</x:v>
      </x:c>
      <x:c r="W89" t="n">
        <x:f>IF(B89&lt;$H$8,0,W$8+(W$9-W$8)*H89)</x:f>
        <x:v>0.204118597196466</x:v>
      </x:c>
      <x:c r="X89" t="n">
        <x:f>X$8+(X$9-X$8)*H89</x:f>
        <x:v>0.4153315355725704</x:v>
      </x:c>
      <x:c r="Y89" t="n">
        <x:f>Y$8+(Y$9-Y$8)*G89</x:f>
        <x:v>1</x:v>
      </x:c>
      <x:c r="Z89" t="n">
        <x:f>Z$8+(Z$9-Z$8)*H89</x:f>
        <x:v>1</x:v>
      </x:c>
      <x:c r="AA89" t="n">
        <x:f>AA$8+(AA$9-AA$8)*I89</x:f>
        <x:v>1</x:v>
      </x:c>
      <x:c r="AB89" t="n">
        <x:f>AB$8+(AB$9-AB$8)*J89</x:f>
        <x:v>1</x:v>
      </x:c>
      <x:c r="AC89" t="n">
        <x:f>AC$8+(AC$9-AC$8)*MAX(K89,L89)</x:f>
        <x:v>1</x:v>
      </x:c>
      <x:c r="AD89" t="n">
        <x:f>(V89*AE89+W89*AF89+X89*AG89)*PRODUCT(Y89:AC89)</x:f>
        <x:v>1.574699588106898</x:v>
      </x:c>
      <x:c r="AE89" t="n">
        <x:f>1+AE$9*($H$10*H89+$I$10*I89+$J$10*J89+$K$10*K89+$L$10*L89)</x:f>
        <x:v>1</x:v>
      </x:c>
      <x:c r="AF89" t="n">
        <x:f>1+AF$9*($H$10*H89+$I$10*I89+$J$10*J89+$K$10*K89+$L$10*L89)</x:f>
        <x:v>1.1086607714576284</x:v>
      </x:c>
      <x:c r="AG89" t="n">
        <x:f>1+AG$9*($H$10*H89+$I$10*I89+$J$10*J89+$K$10*K89+$L$10*L89)</x:f>
        <x:v>1.192571033861021</x:v>
      </x:c>
      <x:c r="AH89" t="n">
        <x:f>MIN(1,'_曲线基线'!$L$3+AH$9*($H$10*H89+$I$10*I89+$J$10*J89+$K$10*K89+$L$10*L89))</x:f>
        <x:v>0.29720325506610457</x:v>
      </x:c>
      <x:c r="AI89" t="n">
        <x:f>'_曲线基线'!$L$4+AI$9*($H$10*H89+$I$10*I89+$J$10*J89+$K$10*K89+$L$10*L89)</x:f>
        <x:v>2.68863763911272</x:v>
      </x:c>
      <x:c r="AJ89" t="n">
        <x:f>1+AJ$9*($H$10*H89+$I$10*I89+$J$10*J89+$K$10*K89+$L$10*L89)</x:f>
        <x:v>1.5650360115796675</x:v>
      </x:c>
      <x:c r="AK89" t="n">
        <x:f>(1+AH89*(AI89-1))*AJ89</x:f>
        <x:v>2.3504784483111534</x:v>
      </x:c>
      <x:c r="AL89" t="n">
        <x:f>U89*AD89*AK89*F89</x:f>
        <x:v>459134.4841494587</x:v>
      </x:c>
      <x:c r="AM89" t="n">
        <x:f>IF($B89&lt;AM$8,0,AM$3+(AM$4-AM$3)*(POWER(AM$5,$B89-AM$8)-1)/(POWER(AM$5,$C$5-AM$8)-1))</x:f>
        <x:v>36.54587675485304</x:v>
      </x:c>
      <x:c r="AN89" t="n">
        <x:f>(((E89*'模块规划'!$D$10+G89*'模块规划'!$D$11+H89*'模块规划'!$D$13)*(1+'模块规划'!$G$14*H89)+(I89*'模块规划'!$D$15+J89*'模块规划'!$D$17+K89*'模块规划'!$D$16+L89*'模块规划'!$D$18))*(1+'模块规划'!$J$17*J89))*F89/(1-Q89)</x:f>
        <x:v>822894.292186448</x:v>
      </x:c>
      <x:c r="AO89" t="n">
        <x:f>AL89*AM89</x:f>
        <x:v>16779472.271629144</x:v>
      </x:c>
      <x:c r="AP89" t="n">
        <x:f>IF(AO89="","",INDEX('_曲线基线'!$A$3:$A$502,MIN(ROWS('_曲线基线'!$A$3:$A$502),COUNTIF('_曲线基线'!$E$3:$E$502,"&lt;"&amp;AO89)+1)))</x:f>
        <x:v>172</x:v>
      </x:c>
      <x:c r="AQ89" t="n">
        <x:f>IF(B89&lt;=2,1,IF(B89&lt;=6,2,IF(B89&lt;=9,3,IF(B89&lt;=19,4,5))))</x:f>
        <x:v>5</x:v>
      </x:c>
      <x:c r="AR89" t="n">
        <x:f>AN89*(1-Q89)/F89*$AS$3+U89*$AS$4+P89*$AS$5</x:f>
        <x:v>7884.865384213774</x:v>
      </x:c>
      <x:c r="AS89" t="n">
        <x:f>1+AH89*$AS$6+AI89*$AS$7+(AJ89-1)*$AS$8+($H$10*H89+$I$10*I89+$J$10*J89+$K$10*K89+$L$10*L89)*$AU$3*$AS$9+($H$10*H89+$I$10*I89+$J$10*J89+$K$10*K89+$L$10*L89)*$AU$4*$AS$10</x:f>
        <x:v>11.474184560394866</x:v>
      </x:c>
      <x:c r="AT89" t="n">
        <x:f>ROUND(AR89*AS89,0)</x:f>
        <x:v>90472</x:v>
      </x:c>
      <x:c r="AU89" t="n">
        <x:f>ROUND(AT89*F89,0)</x:f>
        <x:v>452360</x:v>
      </x:c>
    </x:row>
    <x:row r="90">
      <x:c r="A90" t="n">
        <x:f>IFERROR(XLOOKUP(B90,'_曲线基线'!$G$3:$G$107,'_曲线基线'!$J$3:$J$107,""),"")</x:f>
        <x:v>33</x:v>
      </x:c>
      <x:c r="B90" t="n">
        <x:v>79</x:v>
      </x:c>
      <x:c r="C90" t="n">
        <x:f>C75+1</x:f>
        <x:v>6</x:v>
      </x:c>
      <x:c r="D90" t="n">
        <x:f>D75</x:f>
        <x:v>10</x:v>
      </x:c>
      <x:c r="E90" t="n">
        <x:f>IF($B90&lt;E$8,0,E$3+(E$4-E$3)*(POWER(E$5,$B90-E$8)-1)/(POWER(E$5,$C$5-E$8)-1))</x:f>
        <x:v>1</x:v>
      </x:c>
      <x:c r="F90" t="n">
        <x:f>1+IF(B90&lt;3,0,MIN(1,(B90-2)/4))+IF(B90&lt;7,0,MIN(1,(B90-6)/3))+IF(B90&lt;10,0,MIN(1,(B90-9)/5))+IF(B90&lt;20,0,MIN(1,(B90-19)/10))</x:f>
        <x:v>5</x:v>
      </x:c>
      <x:c r="G90" t="n">
        <x:f>IF($B90&lt;G$8,0,G$3+(G$4-G$3)*(POWER(G$5,$B90-G$8)-1)/(POWER(G$5,$C$5-G$8)-1))</x:f>
        <x:v>0.6326059327482013</x:v>
      </x:c>
      <x:c r="H90" t="n">
        <x:f>IF($B90&lt;H$8,0,H$3+(H$4-H$3)*(POWER(H$5,$B90-H$8)-1)/(POWER(H$5,$C$5-H$8)-1))</x:f>
        <x:v>0.5141571053708531</x:v>
      </x:c>
      <x:c r="I90" t="n">
        <x:f>IF($B90&lt;I$8,0,I$3+(I$4-I$3)*(POWER(I$5,$B90-I$8)-1)/(POWER(I$5,$C$5-I$8)-1))</x:f>
        <x:v>0.17216651144788356</x:v>
      </x:c>
      <x:c r="J90" t="n">
        <x:f>IF($B90&lt;J$8,0,J$3+(J$4-J$3)*(POWER(J$5,$B90-J$8)-1)/(POWER(J$5,$C$5-J$8)-1))</x:f>
        <x:v>0.37951940053817784</x:v>
      </x:c>
      <x:c r="K90" t="n">
        <x:f>IF($B90&lt;K$8,0,K$3+(K$4-K$3)*(POWER(K$5,$B90-K$8)-1)/(POWER(K$5,$C$5-K$8)-1))</x:f>
        <x:v>0</x:v>
      </x:c>
      <x:c r="L90" t="n">
        <x:f>IF($B90&lt;L$8,0,L$3+(L$4-L$3)*(POWER(L$5,$B90-L$8)-1)/(POWER(L$5,$C$5-L$8)-1))</x:f>
        <x:v>0.5103459967310311</x:v>
      </x:c>
      <x:c r="M90" t="n">
        <x:f>E90*'模块规划'!$F$10+G90*'模块规划'!$F$11+H90*'模块规划'!$F$13</x:f>
        <x:v>4036.508477191366</x:v>
      </x:c>
      <x:c r="N90" t="n">
        <x:f>I90*'模块规划'!$F$15+J90*'模块规划'!$F$17+K90*'模块规划'!$F$16+L90*'模块规划'!$F$18</x:f>
        <x:v>7724.256080620003</x:v>
      </x:c>
      <x:c r="O90" t="n">
        <x:f>1+O$9*SUMPRODUCT($H$10:$L$10,H90:L90)/SUM($H$10:$L$10)</x:f>
        <x:v>2.245690247633675</x:v>
      </x:c>
      <x:c r="P90" t="n">
        <x:f>M90*O90+N90</x:f>
        <x:v>16789.00380233931</x:v>
      </x:c>
      <x:c r="Q90" t="n">
        <x:f>P90/(P90+'_曲线基线'!$L$2)</x:f>
        <x:v>0.41160612511395617</x:v>
      </x:c>
      <x:c r="R90" t="n">
        <x:f>E90*'模块规划'!$E$10+G90*'模块规划'!$E$11+H90*'模块规划'!$E$13</x:f>
        <x:v>6054.762715787049</x:v>
      </x:c>
      <x:c r="S90" t="n">
        <x:f>I90*'模块规划'!$E$15+J90*'模块规划'!$E$17+K90*'模块规划'!$E$16+L90*'模块规划'!$E$18</x:f>
        <x:v>11586.384120930004</x:v>
      </x:c>
      <x:c r="T90" t="n">
        <x:f>1+T$9*SUMPRODUCT($H$10:$L$10,H90:L90)/SUM($H$10:$L$10)</x:f>
        <x:v>2.245690247633675</x:v>
      </x:c>
      <x:c r="U90" t="n">
        <x:f>R90*T90+S90</x:f>
        <x:v>25183.505703508967</x:v>
      </x:c>
      <x:c r="V90" t="n">
        <x:f>V$8+(V$9-V$8)*H90</x:f>
        <x:v>0.8542471316112559</x:v>
      </x:c>
      <x:c r="W90" t="n">
        <x:f>IF(B90&lt;$H$8,0,W$8+(W$9-W$8)*H90)</x:f>
        <x:v>0.20566284214834127</x:v>
      </x:c>
      <x:c r="X90" t="n">
        <x:f>X$8+(X$9-X$8)*H90</x:f>
        <x:v>0.41639320397698465</x:v>
      </x:c>
      <x:c r="Y90" t="n">
        <x:f>Y$8+(Y$9-Y$8)*G90</x:f>
        <x:v>1</x:v>
      </x:c>
      <x:c r="Z90" t="n">
        <x:f>Z$8+(Z$9-Z$8)*H90</x:f>
        <x:v>1</x:v>
      </x:c>
      <x:c r="AA90" t="n">
        <x:f>AA$8+(AA$9-AA$8)*I90</x:f>
        <x:v>1</x:v>
      </x:c>
      <x:c r="AB90" t="n">
        <x:f>AB$8+(AB$9-AB$8)*J90</x:f>
        <x:v>1</x:v>
      </x:c>
      <x:c r="AC90" t="n">
        <x:f>AC$8+(AC$9-AC$8)*MAX(K90,L90)</x:f>
        <x:v>1</x:v>
      </x:c>
      <x:c r="AD90" t="n">
        <x:f>(V90*AE90+W90*AF90+X90*AG90)*PRODUCT(Y90:AC90)</x:f>
        <x:v>1.580046329631905</x:v>
      </x:c>
      <x:c r="AE90" t="n">
        <x:f>1+AE$9*($H$10*H90+$I$10*I90+$J$10*J90+$K$10*K90+$L$10*L90)</x:f>
        <x:v>1</x:v>
      </x:c>
      <x:c r="AF90" t="n">
        <x:f>1+AF$9*($H$10*H90+$I$10*I90+$J$10*J90+$K$10*K90+$L$10*L90)</x:f>
        <x:v>1.1099435117344703</x:v>
      </x:c>
      <x:c r="AG90" t="n">
        <x:f>1+AG$9*($H$10*H90+$I$10*I90+$J$10*J90+$K$10*K90+$L$10*L90)</x:f>
        <x:v>1.1948443346849793</x:v>
      </x:c>
      <x:c r="AH90" t="n">
        <x:f>MIN(1,'_曲线基线'!$L$3+AH$9*($H$10*H90+$I$10*I90+$J$10*J90+$K$10*K90+$L$10*L90))</x:f>
        <x:v>0.3001214891959195</x:v>
      </x:c>
      <x:c r="AI90" t="n">
        <x:f>'_曲线基线'!$L$4+AI$9*($H$10*H90+$I$10*I90+$J$10*J90+$K$10*K90+$L$10*L90)</x:f>
        <x:v>2.6967670056172044</x:v>
      </x:c>
      <x:c r="AJ90" t="n">
        <x:f>1+AJ$9*($H$10*H90+$I$10*I90+$J$10*J90+$K$10*K90+$L$10*L90)</x:f>
        <x:v>1.5717062610192447</x:v>
      </x:c>
      <x:c r="AK90" t="n">
        <x:f>(1+AH90*(AI90-1))*AJ90</x:f>
        <x:v>2.3720760486206807</x:v>
      </x:c>
      <x:c r="AL90" t="n">
        <x:f>U90*AD90*AK90*F90</x:f>
        <x:v>471937.64453708846</x:v>
      </x:c>
      <x:c r="AM90" t="n">
        <x:f>IF($B90&lt;AM$8,0,AM$3+(AM$4-AM$3)*(POWER(AM$5,$B90-AM$8)-1)/(POWER(AM$5,$C$5-AM$8)-1))</x:f>
        <x:v>36.57476016232344</x:v>
      </x:c>
      <x:c r="AN90" t="n">
        <x:f>(((E90*'模块规划'!$D$10+G90*'模块规划'!$D$11+H90*'模块规划'!$D$13)*(1+'模块规划'!$G$14*H90)+(I90*'模块规划'!$D$15+J90*'模块规划'!$D$17+K90*'模块规划'!$D$16+L90*'模块规划'!$D$18))*(1+'模块规划'!$J$17*J90))*F90/(1-Q90)</x:f>
        <x:v>842778.0129608165</x:v>
      </x:c>
      <x:c r="AO90" t="n">
        <x:f>AL90*AM90</x:f>
        <x:v>17261006.160515863</x:v>
      </x:c>
      <x:c r="AP90" t="n">
        <x:f>IF(AO90="","",INDEX('_曲线基线'!$A$3:$A$502,MIN(ROWS('_曲线基线'!$A$3:$A$502),COUNTIF('_曲线基线'!$E$3:$E$502,"&lt;"&amp;AO90)+1)))</x:f>
        <x:v>173</x:v>
      </x:c>
      <x:c r="AQ90" t="n">
        <x:f>IF(B90&lt;=2,1,IF(B90&lt;=6,2,IF(B90&lt;=9,3,IF(B90&lt;=19,4,5))))</x:f>
        <x:v>5</x:v>
      </x:c>
      <x:c r="AR90" t="n">
        <x:f>AN90*(1-Q90)/F90*$AS$3+U90*$AS$4+P90*$AS$5</x:f>
        <x:v>8012.013664990444</x:v>
      </x:c>
      <x:c r="AS90" t="n">
        <x:f>1+AH90*$AS$6+AI90*$AS$7+(AJ90-1)*$AS$8+($H$10*H90+$I$10*I90+$J$10*J90+$K$10*K90+$L$10*L90)*$AU$3*$AS$9+($H$10*H90+$I$10*I90+$J$10*J90+$K$10*K90+$L$10*L90)*$AU$4*$AS$10</x:f>
        <x:v>11.550829749449798</x:v>
      </x:c>
      <x:c r="AT90" t="n">
        <x:f>ROUND(AR90*AS90,0)</x:f>
        <x:v>92545</x:v>
      </x:c>
      <x:c r="AU90" t="n">
        <x:f>ROUND(AT90*F90,0)</x:f>
        <x:v>462725</x:v>
      </x:c>
    </x:row>
    <x:row r="91">
      <x:c r="A91" t="n">
        <x:f>IFERROR(XLOOKUP(B91,'_曲线基线'!$G$3:$G$107,'_曲线基线'!$J$3:$J$107,""),"")</x:f>
        <x:v>34</x:v>
      </x:c>
      <x:c r="B91" t="n">
        <x:v>80</x:v>
      </x:c>
      <x:c r="C91" t="n">
        <x:f>C76+1</x:f>
        <x:v>6</x:v>
      </x:c>
      <x:c r="D91" t="n">
        <x:f>D76</x:f>
        <x:v>11</x:v>
      </x:c>
      <x:c r="E91" t="n">
        <x:f>IF($B91&lt;E$8,0,E$3+(E$4-E$3)*(POWER(E$5,$B91-E$8)-1)/(POWER(E$5,$C$5-E$8)-1))</x:f>
        <x:v>1</x:v>
      </x:c>
      <x:c r="F91" t="n">
        <x:f>1+IF(B91&lt;3,0,MIN(1,(B91-2)/4))+IF(B91&lt;7,0,MIN(1,(B91-6)/3))+IF(B91&lt;10,0,MIN(1,(B91-9)/5))+IF(B91&lt;20,0,MIN(1,(B91-19)/10))</x:f>
        <x:v>5</x:v>
      </x:c>
      <x:c r="G91" t="n">
        <x:f>IF($B91&lt;G$8,0,G$3+(G$4-G$3)*(POWER(G$5,$B91-G$8)-1)/(POWER(G$5,$C$5-G$8)-1))</x:f>
        <x:v>0.6368220342114741</x:v>
      </x:c>
      <x:c r="H91" t="n">
        <x:f>IF($B91&lt;H$8,0,H$3+(H$4-H$3)*(POWER(H$5,$B91-H$8)-1)/(POWER(H$5,$C$5-H$8)-1))</x:f>
        <x:v>0.5179405055029473</x:v>
      </x:c>
      <x:c r="I91" t="n">
        <x:f>IF($B91&lt;I$8,0,I$3+(I$4-I$3)*(POWER(I$5,$B91-I$8)-1)/(POWER(I$5,$C$5-I$8)-1))</x:f>
        <x:v>0.18189427256199414</x:v>
      </x:c>
      <x:c r="J91" t="n">
        <x:f>IF($B91&lt;J$8,0,J$3+(J$4-J$3)*(POWER(J$5,$B91-J$8)-1)/(POWER(J$5,$C$5-J$8)-1))</x:f>
        <x:v>0.3840079570191381</x:v>
      </x:c>
      <x:c r="K91" t="n">
        <x:f>IF($B91&lt;K$8,0,K$3+(K$4-K$3)*(POWER(K$5,$B91-K$8)-1)/(POWER(K$5,$C$5-K$8)-1))</x:f>
        <x:v>0</x:v>
      </x:c>
      <x:c r="L91" t="n">
        <x:f>IF($B91&lt;L$8,0,L$3+(L$4-L$3)*(POWER(L$5,$B91-L$8)-1)/(POWER(L$5,$C$5-L$8)-1))</x:f>
        <x:v>0.5142069836277962</x:v>
      </x:c>
      <x:c r="M91" t="n">
        <x:f>E91*'模块规划'!$F$10+G91*'模块规划'!$F$11+H91*'模块规划'!$F$13</x:f>
        <x:v>4056.7457642150757</x:v>
      </x:c>
      <x:c r="N91" t="n">
        <x:f>I91*'模块规划'!$F$15+J91*'模块规划'!$F$17+K91*'模块规划'!$F$16+L91*'模块规划'!$F$18</x:f>
        <x:v>7866.268668826315</x:v>
      </x:c>
      <x:c r="O91" t="n">
        <x:f>1+O$9*SUMPRODUCT($H$10:$L$10,H91:L91)/SUM($H$10:$L$10)</x:f>
        <x:v>2.2599333720103867</x:v>
      </x:c>
      <x:c r="P91" t="n">
        <x:f>M91*O91+N91</x:f>
        <x:v>17034.243803137746</x:v>
      </x:c>
      <x:c r="Q91" t="n">
        <x:f>P91/(P91+'_曲线基线'!$L$2)</x:f>
        <x:v>0.4151226445127081</x:v>
      </x:c>
      <x:c r="R91" t="n">
        <x:f>E91*'模块规划'!$E$10+G91*'模块规划'!$E$11+H91*'模块规划'!$E$13</x:f>
        <x:v>6085.118646322613</x:v>
      </x:c>
      <x:c r="S91" t="n">
        <x:f>I91*'模块规划'!$E$15+J91*'模块规划'!$E$17+K91*'模块规划'!$E$16+L91*'模块规划'!$E$18</x:f>
        <x:v>11799.403003239473</x:v>
      </x:c>
      <x:c r="T91" t="n">
        <x:f>1+T$9*SUMPRODUCT($H$10:$L$10,H91:L91)/SUM($H$10:$L$10)</x:f>
        <x:v>2.2599333720103867</x:v>
      </x:c>
      <x:c r="U91" t="n">
        <x:f>R91*T91+S91</x:f>
        <x:v>25551.365704706615</x:v>
      </x:c>
      <x:c r="V91" t="n">
        <x:f>V$8+(V$9-V$8)*H91</x:f>
        <x:v>0.8553821516508842</x:v>
      </x:c>
      <x:c r="W91" t="n">
        <x:f>IF(B91&lt;$H$8,0,W$8+(W$9-W$8)*H91)</x:f>
        <x:v>0.20717620220117894</x:v>
      </x:c>
      <x:c r="X91" t="n">
        <x:f>X$8+(X$9-X$8)*H91</x:f>
        <x:v>0.41743363901331054</x:v>
      </x:c>
      <x:c r="Y91" t="n">
        <x:f>Y$8+(Y$9-Y$8)*G91</x:f>
        <x:v>1</x:v>
      </x:c>
      <x:c r="Z91" t="n">
        <x:f>Z$8+(Z$9-Z$8)*H91</x:f>
        <x:v>1</x:v>
      </x:c>
      <x:c r="AA91" t="n">
        <x:f>AA$8+(AA$9-AA$8)*I91</x:f>
        <x:v>1</x:v>
      </x:c>
      <x:c r="AB91" t="n">
        <x:f>AB$8+(AB$9-AB$8)*J91</x:f>
        <x:v>1</x:v>
      </x:c>
      <x:c r="AC91" t="n">
        <x:f>AC$8+(AC$9-AC$8)*MAX(K91,L91)</x:f>
        <x:v>1</x:v>
      </x:c>
      <x:c r="AD91" t="n">
        <x:f>(V91*AE91+W91*AF91+X91*AG91)*PRODUCT(Y91:AC91)</x:f>
        <x:v>1.585294663136454</x:v>
      </x:c>
      <x:c r="AE91" t="n">
        <x:f>1+AE$9*($H$10*H91+$I$10*I91+$J$10*J91+$K$10*K91+$L$10*L91)</x:f>
        <x:v>1</x:v>
      </x:c>
      <x:c r="AF91" t="n">
        <x:f>1+AF$9*($H$10*H91+$I$10*I91+$J$10*J91+$K$10*K91+$L$10*L91)</x:f>
        <x:v>1.111200597205775</x:v>
      </x:c>
      <x:c r="AG91" t="n">
        <x:f>1+AG$9*($H$10*H91+$I$10*I91+$J$10*J91+$K$10*K91+$L$10*L91)</x:f>
        <x:v>1.1970721694924584</x:v>
      </x:c>
      <x:c r="AH91" t="n">
        <x:f>MIN(1,'_曲线基线'!$L$3+AH$9*($H$10*H91+$I$10*I91+$J$10*J91+$K$10*K91+$L$10*L91))</x:f>
        <x:v>0.30298135864313813</x:v>
      </x:c>
      <x:c r="AI91" t="n">
        <x:f>'_曲线基线'!$L$4+AI$9*($H$10*H91+$I$10*I91+$J$10*J91+$K$10*K91+$L$10*L91)</x:f>
        <x:v>2.704733784791599</x:v>
      </x:c>
      <x:c r="AJ91" t="n">
        <x:f>1+AJ$9*($H$10*H91+$I$10*I91+$J$10*J91+$K$10*K91+$L$10*L91)</x:f>
        <x:v>1.57824310547003</x:v>
      </x:c>
      <x:c r="AK91" t="n">
        <x:f>(1+AH91*(AI91-1))*AJ91</x:f>
        <x:v>2.393409706971549</x:v>
      </x:c>
      <x:c r="AL91" t="n">
        <x:f>U91*AD91*AK91*F91</x:f>
        <x:v>484742.5775830246</x:v>
      </x:c>
      <x:c r="AM91" t="n">
        <x:f>IF($B91&lt;AM$8,0,AM$3+(AM$4-AM$3)*(POWER(AM$5,$B91-AM$8)-1)/(POWER(AM$5,$C$5-AM$8)-1))</x:f>
        <x:v>36.60393240386854</x:v>
      </x:c>
      <x:c r="AN91" t="n">
        <x:f>(((E91*'模块规划'!$D$10+G91*'模块规划'!$D$11+H91*'模块规划'!$D$13)*(1+'模块规划'!$G$14*H91)+(I91*'模块规划'!$D$15+J91*'模块规划'!$D$17+K91*'模块规划'!$D$16+L91*'模块规划'!$D$18))*(1+'模块规划'!$J$17*J91))*F91/(1-Q91)</x:f>
        <x:v>862561.1423353824</x:v>
      </x:c>
      <x:c r="AO91" t="n">
        <x:f>AL91*AM91</x:f>
        <x:v>17743484.543126035</x:v>
      </x:c>
      <x:c r="AP91" t="n">
        <x:f>IF(AO91="","",INDEX('_曲线基线'!$A$3:$A$502,MIN(ROWS('_曲线基线'!$A$3:$A$502),COUNTIF('_曲线基线'!$E$3:$E$502,"&lt;"&amp;AO91)+1)))</x:f>
        <x:v>175</x:v>
      </x:c>
      <x:c r="AQ91" t="n">
        <x:f>IF(B91&lt;=2,1,IF(B91&lt;=6,2,IF(B91&lt;=9,3,IF(B91&lt;=19,4,5))))</x:f>
        <x:v>5</x:v>
      </x:c>
      <x:c r="AR91" t="n">
        <x:f>AN91*(1-Q91)/F91*$AS$3+U91*$AS$4+P91*$AS$5</x:f>
        <x:v>8137.2280201926205</x:v>
      </x:c>
      <x:c r="AS91" t="n">
        <x:f>1+AH91*$AS$6+AI91*$AS$7+(AJ91-1)*$AS$8+($H$10*H91+$I$10*I91+$J$10*J91+$K$10*K91+$L$10*L91)*$AU$3*$AS$9+($H$10*H91+$I$10*I91+$J$10*J91+$K$10*K91+$L$10*L91)*$AU$4*$AS$10</x:f>
        <x:v>11.62594203472363</x:v>
      </x:c>
      <x:c r="AT91" t="n">
        <x:f>ROUND(AR91*AS91,0)</x:f>
        <x:v>94603</x:v>
      </x:c>
      <x:c r="AU91" t="n">
        <x:f>ROUND(AT91*F91,0)</x:f>
        <x:v>473015</x:v>
      </x:c>
    </x:row>
    <x:row r="92">
      <x:c r="A92" t="n">
        <x:f>IFERROR(XLOOKUP(B92,'_曲线基线'!$G$3:$G$107,'_曲线基线'!$J$3:$J$107,""),"")</x:f>
        <x:v>34</x:v>
      </x:c>
      <x:c r="B92" t="n">
        <x:v>81</x:v>
      </x:c>
      <x:c r="C92" t="n">
        <x:f>C77+1</x:f>
        <x:v>6</x:v>
      </x:c>
      <x:c r="D92" t="n">
        <x:f>D77</x:f>
        <x:v>12</x:v>
      </x:c>
      <x:c r="E92" t="n">
        <x:f>IF($B92&lt;E$8,0,E$3+(E$4-E$3)*(POWER(E$5,$B92-E$8)-1)/(POWER(E$5,$C$5-E$8)-1))</x:f>
        <x:v>1</x:v>
      </x:c>
      <x:c r="F92" t="n">
        <x:f>1+IF(B92&lt;3,0,MIN(1,(B92-2)/4))+IF(B92&lt;7,0,MIN(1,(B92-6)/3))+IF(B92&lt;10,0,MIN(1,(B92-9)/5))+IF(B92&lt;20,0,MIN(1,(B92-19)/10))</x:f>
        <x:v>5</x:v>
      </x:c>
      <x:c r="G92" t="n">
        <x:f>IF($B92&lt;G$8,0,G$3+(G$4-G$3)*(POWER(G$5,$B92-G$8)-1)/(POWER(G$5,$C$5-G$8)-1))</x:f>
        <x:v>0.6409748941527977</x:v>
      </x:c>
      <x:c r="H92" t="n">
        <x:f>IF($B92&lt;H$8,0,H$3+(H$4-H$3)*(POWER(H$5,$B92-H$8)-1)/(POWER(H$5,$C$5-H$8)-1))</x:f>
        <x:v>0.5216482376323999</x:v>
      </x:c>
      <x:c r="I92" t="n">
        <x:f>IF($B92&lt;I$8,0,I$3+(I$4-I$3)*(POWER(I$5,$B92-I$8)-1)/(POWER(I$5,$C$5-I$8)-1))</x:f>
        <x:v>0.19142747845382246</x:v>
      </x:c>
      <x:c r="J92" t="n">
        <x:f>IF($B92&lt;J$8,0,J$3+(J$4-J$3)*(POWER(J$5,$B92-J$8)-1)/(POWER(J$5,$C$5-J$8)-1))</x:f>
        <x:v>0.3884067423704793</x:v>
      </x:c>
      <x:c r="K92" t="n">
        <x:f>IF($B92&lt;K$8,0,K$3+(K$4-K$3)*(POWER(K$5,$B92-K$8)-1)/(POWER(K$5,$C$5-K$8)-1))</x:f>
        <x:v>0</x:v>
      </x:c>
      <x:c r="L92" t="n">
        <x:f>IF($B92&lt;L$8,0,L$3+(L$4-L$3)*(POWER(L$5,$B92-L$8)-1)/(POWER(L$5,$C$5-L$8)-1))</x:f>
        <x:v>0.5179907507866258</x:v>
      </x:c>
      <x:c r="M92" t="n">
        <x:f>E92*'模块规划'!$F$10+G92*'模块规划'!$F$11+H92*'模块规划'!$F$13</x:f>
        <x:v>4076.6794919334293</x:v>
      </x:c>
      <x:c r="N92" t="n">
        <x:f>I92*'模块规划'!$F$15+J92*'模块规划'!$F$17+K92*'模块规划'!$F$16+L92*'模块规划'!$F$18</x:f>
        <x:v>8005.441005268502</x:v>
      </x:c>
      <x:c r="O92" t="n">
        <x:f>1+O$9*SUMPRODUCT($H$10:$L$10,H92:L92)/SUM($H$10:$L$10)</x:f>
        <x:v>2.273891633899564</x:v>
      </x:c>
      <x:c r="P92" t="n">
        <x:f>M92*O92+N92</x:f>
        <x:v>17275.368396065853</x:v>
      </x:c>
      <x:c r="Q92" t="n">
        <x:f>P92/(P92+'_曲线基线'!$L$2)</x:f>
        <x:v>0.41853941145471274</x:v>
      </x:c>
      <x:c r="R92" t="n">
        <x:f>E92*'模块规划'!$E$10+G92*'模块规划'!$E$11+H92*'模块规划'!$E$13</x:f>
        <x:v>6115.019237900144</x:v>
      </x:c>
      <x:c r="S92" t="n">
        <x:f>I92*'模块规划'!$E$15+J92*'模块规划'!$E$17+K92*'模块规划'!$E$16+L92*'模块规划'!$E$18</x:f>
        <x:v>12008.161507902752</x:v>
      </x:c>
      <x:c r="T92" t="n">
        <x:f>1+T$9*SUMPRODUCT($H$10:$L$10,H92:L92)/SUM($H$10:$L$10)</x:f>
        <x:v>2.273891633899564</x:v>
      </x:c>
      <x:c r="U92" t="n">
        <x:f>R92*T92+S92</x:f>
        <x:v>25913.052594098775</x:v>
      </x:c>
      <x:c r="V92" t="n">
        <x:f>V$8+(V$9-V$8)*H92</x:f>
        <x:v>0.85649447128972</x:v>
      </x:c>
      <x:c r="W92" t="n">
        <x:f>IF(B92&lt;$H$8,0,W$8+(W$9-W$8)*H92)</x:f>
        <x:v>0.20865929505295996</x:v>
      </x:c>
      <x:c r="X92" t="n">
        <x:f>X$8+(X$9-X$8)*H92</x:f>
        <x:v>0.41845326534891003</x:v>
      </x:c>
      <x:c r="Y92" t="n">
        <x:f>Y$8+(Y$9-Y$8)*G92</x:f>
        <x:v>1</x:v>
      </x:c>
      <x:c r="Z92" t="n">
        <x:f>Z$8+(Z$9-Z$8)*H92</x:f>
        <x:v>1</x:v>
      </x:c>
      <x:c r="AA92" t="n">
        <x:f>AA$8+(AA$9-AA$8)*I92</x:f>
        <x:v>1</x:v>
      </x:c>
      <x:c r="AB92" t="n">
        <x:f>AB$8+(AB$9-AB$8)*J92</x:f>
        <x:v>1</x:v>
      </x:c>
      <x:c r="AC92" t="n">
        <x:f>AC$8+(AC$9-AC$8)*MAX(K92,L92)</x:f>
        <x:v>1</x:v>
      </x:c>
      <x:c r="AD92" t="n">
        <x:f>(V92*AE92+W92*AF92+X92*AG92)*PRODUCT(Y92:AC92)</x:f>
        <x:v>1.5904462191192776</x:v>
      </x:c>
      <x:c r="AE92" t="n">
        <x:f>1+AE$9*($H$10*H92+$I$10*I92+$J$10*J92+$K$10*K92+$L$10*L92)</x:f>
        <x:v>1</x:v>
      </x:c>
      <x:c r="AF92" t="n">
        <x:f>1+AF$9*($H$10*H92+$I$10*I92+$J$10*J92+$K$10*K92+$L$10*L92)</x:f>
        <x:v>1.1124325409676539</x:v>
      </x:c>
      <x:c r="AG92" t="n">
        <x:f>1+AG$9*($H$10*H92+$I$10*I92+$J$10*J92+$K$10*K92+$L$10*L92)</x:f>
        <x:v>1.1992554476037882</x:v>
      </x:c>
      <x:c r="AH92" t="n">
        <x:f>MIN(1,'_曲线基线'!$L$3+AH$9*($H$10*H92+$I$10*I92+$J$10*J92+$K$10*K92+$L$10*L92))</x:f>
        <x:v>0.30578403070141236</x:v>
      </x:c>
      <x:c r="AI92" t="n">
        <x:f>'_曲线基线'!$L$4+AI$9*($H$10*H92+$I$10*I92+$J$10*J92+$K$10*K92+$L$10*L92)</x:f>
        <x:v>2.7125412283825057</x:v>
      </x:c>
      <x:c r="AJ92" t="n">
        <x:f>1+AJ$9*($H$10*H92+$I$10*I92+$J$10*J92+$K$10*K92+$L$10*L92)</x:f>
        <x:v>1.5846492130317997</x:v>
      </x:c>
      <x:c r="AK92" t="n">
        <x:f>(1+AH92*(AI92-1))*AJ92</x:f>
        <x:v>2.414478916104164</x:v>
      </x:c>
      <x:c r="AL92" t="n">
        <x:f>U92*AD92*AK92*F92</x:f>
        <x:v>497543.41905111633</x:v>
      </x:c>
      <x:c r="AM92" t="n">
        <x:f>IF($B92&lt;AM$8,0,AM$3+(AM$4-AM$3)*(POWER(AM$5,$B92-AM$8)-1)/(POWER(AM$5,$C$5-AM$8)-1))</x:f>
        <x:v>36.6333963678291</x:v>
      </x:c>
      <x:c r="AN92" t="n">
        <x:f>(((E92*'模块规划'!$D$10+G92*'模块规划'!$D$11+H92*'模块规划'!$D$13)*(1+'模块规划'!$G$14*H92)+(I92*'模块规划'!$D$15+J92*'模块规划'!$D$17+K92*'模块规划'!$D$16+L92*'模块规划'!$D$18))*(1+'模块规划'!$J$17*J92))*F92/(1-Q92)</x:f>
        <x:v>882237.2637651089</x:v>
      </x:c>
      <x:c r="AO92" t="n">
        <x:f>AL92*AM92</x:f>
        <x:v>18226705.280304436</x:v>
      </x:c>
      <x:c r="AP92" t="n">
        <x:f>IF(AO92="","",INDEX('_曲线基线'!$A$3:$A$502,MIN(ROWS('_曲线基线'!$A$3:$A$502),COUNTIF('_曲线基线'!$E$3:$E$502,"&lt;"&amp;AO92)+1)))</x:f>
        <x:v>177</x:v>
      </x:c>
      <x:c r="AQ92" t="n">
        <x:f>IF(B92&lt;=2,1,IF(B92&lt;=6,2,IF(B92&lt;=9,3,IF(B92&lt;=19,4,5))))</x:f>
        <x:v>5</x:v>
      </x:c>
      <x:c r="AR92" t="n">
        <x:f>AN92*(1-Q92)/F92*$AS$3+U92*$AS$4+P92*$AS$5</x:f>
        <x:v>8260.52771057242</x:v>
      </x:c>
      <x:c r="AS92" t="n">
        <x:f>1+AH92*$AS$6+AI92*$AS$7+(AJ92-1)*$AS$8+($H$10*H92+$I$10*I92+$J$10*J92+$K$10*K92+$L$10*L92)*$AU$3*$AS$9+($H$10*H92+$I$10*I92+$J$10*J92+$K$10*K92+$L$10*L92)*$AU$4*$AS$10</x:f>
        <x:v>11.69955207429199</x:v>
      </x:c>
      <x:c r="AT92" t="n">
        <x:f>ROUND(AR92*AS92,0)</x:f>
        <x:v>96644</x:v>
      </x:c>
      <x:c r="AU92" t="n">
        <x:f>ROUND(AT92*F92,0)</x:f>
        <x:v>483220</x:v>
      </x:c>
    </x:row>
    <x:row r="93">
      <x:c r="A93" t="n">
        <x:f>IFERROR(XLOOKUP(B93,'_曲线基线'!$G$3:$G$107,'_曲线基线'!$J$3:$J$107,""),"")</x:f>
        <x:v>34</x:v>
      </x:c>
      <x:c r="B93" t="n">
        <x:v>82</x:v>
      </x:c>
      <x:c r="C93" t="n">
        <x:f>C78+1</x:f>
        <x:v>6</x:v>
      </x:c>
      <x:c r="D93" t="n">
        <x:f>D78</x:f>
        <x:v>13</x:v>
      </x:c>
      <x:c r="E93" t="n">
        <x:f>IF($B93&lt;E$8,0,E$3+(E$4-E$3)*(POWER(E$5,$B93-E$8)-1)/(POWER(E$5,$C$5-E$8)-1))</x:f>
        <x:v>1</x:v>
      </x:c>
      <x:c r="F93" t="n">
        <x:f>1+IF(B93&lt;3,0,MIN(1,(B93-2)/4))+IF(B93&lt;7,0,MIN(1,(B93-6)/3))+IF(B93&lt;10,0,MIN(1,(B93-9)/5))+IF(B93&lt;20,0,MIN(1,(B93-19)/10))</x:f>
        <x:v>5</x:v>
      </x:c>
      <x:c r="G93" t="n">
        <x:f>IF($B93&lt;G$8,0,G$3+(G$4-G$3)*(POWER(G$5,$B93-G$8)-1)/(POWER(G$5,$C$5-G$8)-1))</x:f>
        <x:v>0.6450654611950017</x:v>
      </x:c>
      <x:c r="H93" t="n">
        <x:f>IF($B93&lt;H$8,0,H$3+(H$4-H$3)*(POWER(H$5,$B93-H$8)-1)/(POWER(H$5,$C$5-H$8)-1))</x:f>
        <x:v>0.5252818151192632</x:v>
      </x:c>
      <x:c r="I93" t="n">
        <x:f>IF($B93&lt;I$8,0,I$3+(I$4-I$3)*(POWER(I$5,$B93-I$8)-1)/(POWER(I$5,$C$5-I$8)-1))</x:f>
        <x:v>0.20077002022781423</x:v>
      </x:c>
      <x:c r="J93" t="n">
        <x:f>IF($B93&lt;J$8,0,J$3+(J$4-J$3)*(POWER(J$5,$B93-J$8)-1)/(POWER(J$5,$C$5-J$8)-1))</x:f>
        <x:v>0.3927175520147936</x:v>
      </x:c>
      <x:c r="K93" t="n">
        <x:f>IF($B93&lt;K$8,0,K$3+(K$4-K$3)*(POWER(K$5,$B93-K$8)-1)/(POWER(K$5,$C$5-K$8)-1))</x:f>
        <x:v>0</x:v>
      </x:c>
      <x:c r="L93" t="n">
        <x:f>IF($B93&lt;L$8,0,L$3+(L$4-L$3)*(POWER(L$5,$B93-L$8)-1)/(POWER(L$5,$C$5-L$8)-1))</x:f>
        <x:v>0.5216988426022792</x:v>
      </x:c>
      <x:c r="M93" t="n">
        <x:f>E93*'模块规划'!$F$10+G93*'模块规划'!$F$11+H93*'模块规划'!$F$13</x:f>
        <x:v>4096.314213736008</x:v>
      </x:c>
      <x:c r="N93" t="n">
        <x:f>I93*'模块规划'!$F$15+J93*'模块规划'!$F$17+K93*'模块规划'!$F$16+L93*'模块规划'!$F$18</x:f>
        <x:v>8141.829894981845</x:v>
      </x:c>
      <x:c r="O93" t="n">
        <x:f>1+O$9*SUMPRODUCT($H$10:$L$10,H93:L93)/SUM($H$10:$L$10)</x:f>
        <x:v>2.287570730550957</x:v>
      </x:c>
      <x:c r="P93" t="n">
        <x:f>M93*O93+N93</x:f>
        <x:v>17512.438393464196</x:v>
      </x:c>
      <x:c r="Q93" t="n">
        <x:f>P93/(P93+'_曲线基线'!$L$2)</x:f>
        <x:v>0.4218600272881438</x:v>
      </x:c>
      <x:c r="R93" t="n">
        <x:f>E93*'模块规划'!$E$10+G93*'模块规划'!$E$11+H93*'模块规划'!$E$13</x:f>
        <x:v>6144.471320604012</x:v>
      </x:c>
      <x:c r="S93" t="n">
        <x:f>I93*'模块规划'!$E$15+J93*'模块规划'!$E$17+K93*'模块规划'!$E$16+L93*'模块规划'!$E$18</x:f>
        <x:v>12212.744842472768</x:v>
      </x:c>
      <x:c r="T93" t="n">
        <x:f>1+T$9*SUMPRODUCT($H$10:$L$10,H93:L93)/SUM($H$10:$L$10)</x:f>
        <x:v>2.287570730550957</x:v>
      </x:c>
      <x:c r="U93" t="n">
        <x:f>R93*T93+S93</x:f>
        <x:v>26268.657590196293</x:v>
      </x:c>
      <x:c r="V93" t="n">
        <x:f>V$8+(V$9-V$8)*H93</x:f>
        <x:v>0.8575845445357789</x:v>
      </x:c>
      <x:c r="W93" t="n">
        <x:f>IF(B93&lt;$H$8,0,W$8+(W$9-W$8)*H93)</x:f>
        <x:v>0.21011272604770528</x:v>
      </x:c>
      <x:c r="X93" t="n">
        <x:f>X$8+(X$9-X$8)*H93</x:f>
        <x:v>0.4194524991577974</x:v>
      </x:c>
      <x:c r="Y93" t="n">
        <x:f>Y$8+(Y$9-Y$8)*G93</x:f>
        <x:v>1</x:v>
      </x:c>
      <x:c r="Z93" t="n">
        <x:f>Z$8+(Z$9-Z$8)*H93</x:f>
        <x:v>1</x:v>
      </x:c>
      <x:c r="AA93" t="n">
        <x:f>AA$8+(AA$9-AA$8)*I93</x:f>
        <x:v>1</x:v>
      </x:c>
      <x:c r="AB93" t="n">
        <x:f>AB$8+(AB$9-AB$8)*J93</x:f>
        <x:v>1</x:v>
      </x:c>
      <x:c r="AC93" t="n">
        <x:f>AC$8+(AC$9-AC$8)*MAX(K93,L93)</x:f>
        <x:v>1</x:v>
      </x:c>
      <x:c r="AD93" t="n">
        <x:f>(V93*AE93+W93*AF93+X93*AG93)*PRODUCT(Y93:AC93)</x:f>
        <x:v>1.5955026088405337</x:v>
      </x:c>
      <x:c r="AE93" t="n">
        <x:f>1+AE$9*($H$10*H93+$I$10*I93+$J$10*J93+$K$10*K93+$L$10*L93)</x:f>
        <x:v>1</x:v>
      </x:c>
      <x:c r="AF93" t="n">
        <x:f>1+AF$9*($H$10*H93+$I$10*I93+$J$10*J93+$K$10*K93+$L$10*L93)</x:f>
        <x:v>1.113639845854295</x:v>
      </x:c>
      <x:c r="AG93" t="n">
        <x:f>1+AG$9*($H$10*H93+$I$10*I93+$J$10*J93+$K$10*K93+$L$10*L93)</x:f>
        <x:v>1.2013950601528913</x:v>
      </x:c>
      <x:c r="AH93" t="n">
        <x:f>MIN(1,'_曲线基线'!$L$3+AH$9*($H$10*H93+$I$10*I93+$J$10*J93+$K$10*K93+$L$10*L93))</x:f>
        <x:v>0.30853064931852114</x:v>
      </x:c>
      <x:c r="AI93" t="n">
        <x:f>'_曲线基线'!$L$4+AI$9*($H$10*H93+$I$10*I93+$J$10*J93+$K$10*K93+$L$10*L93)</x:f>
        <x:v>2.720192523101595</x:v>
      </x:c>
      <x:c r="AJ93" t="n">
        <x:f>1+AJ$9*($H$10*H93+$I$10*I93+$J$10*J93+$K$10*K93+$L$10*L93)</x:f>
        <x:v>1.590927198442334</x:v>
      </x:c>
      <x:c r="AK93" t="n">
        <x:f>(1+AH93*(AI93-1))*AJ93</x:f>
        <x:v>2.4352833570412704</x:v>
      </x:c>
      <x:c r="AL93" t="n">
        <x:f>U93*AD93*AK93*F93</x:f>
        <x:v>510334.4700341764</x:v>
      </x:c>
      <x:c r="AM93" t="n">
        <x:f>IF($B93&lt;AM$8,0,AM$3+(AM$4-AM$3)*(POWER(AM$5,$B93-AM$8)-1)/(POWER(AM$5,$C$5-AM$8)-1))</x:f>
        <x:v>36.66315497142926</x:v>
      </x:c>
      <x:c r="AN93" t="n">
        <x:f>(((E93*'模块规划'!$D$10+G93*'模块规划'!$D$11+H93*'模块规划'!$D$13)*(1+'模块规划'!$G$14*H93)+(I93*'模块规划'!$D$15+J93*'模块规划'!$D$17+K93*'模块规划'!$D$16+L93*'模块规划'!$D$18))*(1+'模块规划'!$J$17*J93))*F93/(1-Q93)</x:f>
        <x:v>901800.2869321548</x:v>
      </x:c>
      <x:c r="AO93" t="n">
        <x:f>AL93*AM93</x:f>
        <x:v>18710471.76212523</x:v>
      </x:c>
      <x:c r="AP93" t="n">
        <x:f>IF(AO93="","",INDEX('_曲线基线'!$A$3:$A$502,MIN(ROWS('_曲线基线'!$A$3:$A$502),COUNTIF('_曲线基线'!$E$3:$E$502,"&lt;"&amp;AO93)+1)))</x:f>
        <x:v>178</x:v>
      </x:c>
      <x:c r="AQ93" t="n">
        <x:f>IF(B93&lt;=2,1,IF(B93&lt;=6,2,IF(B93&lt;=9,3,IF(B93&lt;=19,4,5))))</x:f>
        <x:v>5</x:v>
      </x:c>
      <x:c r="AR93" t="n">
        <x:f>AN93*(1-Q93)/F93*$AS$3+U93*$AS$4+P93*$AS$5</x:f>
        <x:v>8381.932277710259</x:v>
      </x:c>
      <x:c r="AS93" t="n">
        <x:f>1+AH93*$AS$6+AI93*$AS$7+(AJ93-1)*$AS$8+($H$10*H93+$I$10*I93+$J$10*J93+$K$10*K93+$L$10*L93)*$AU$3*$AS$9+($H$10*H93+$I$10*I93+$J$10*J93+$K$10*K93+$L$10*L93)*$AU$4*$AS$10</x:f>
        <x:v>11.771689913068979</x:v>
      </x:c>
      <x:c r="AT93" t="n">
        <x:f>ROUND(AR93*AS93,0)</x:f>
        <x:v>98670</x:v>
      </x:c>
      <x:c r="AU93" t="n">
        <x:f>ROUND(AT93*F93,0)</x:f>
        <x:v>493350</x:v>
      </x:c>
    </x:row>
    <x:row r="94">
      <x:c r="A94" t="n">
        <x:f>IFERROR(XLOOKUP(B94,'_曲线基线'!$G$3:$G$107,'_曲线基线'!$J$3:$J$107,""),"")</x:f>
        <x:v>34</x:v>
      </x:c>
      <x:c r="B94" t="n">
        <x:v>83</x:v>
      </x:c>
      <x:c r="C94" t="n">
        <x:f>C79+1</x:f>
        <x:v>6</x:v>
      </x:c>
      <x:c r="D94" t="n">
        <x:f>D79</x:f>
        <x:v>14</x:v>
      </x:c>
      <x:c r="E94" t="n">
        <x:f>IF($B94&lt;E$8,0,E$3+(E$4-E$3)*(POWER(E$5,$B94-E$8)-1)/(POWER(E$5,$C$5-E$8)-1))</x:f>
        <x:v>1</x:v>
      </x:c>
      <x:c r="F94" t="n">
        <x:f>1+IF(B94&lt;3,0,MIN(1,(B94-2)/4))+IF(B94&lt;7,0,MIN(1,(B94-6)/3))+IF(B94&lt;10,0,MIN(1,(B94-9)/5))+IF(B94&lt;20,0,MIN(1,(B94-19)/10))</x:f>
        <x:v>5</x:v>
      </x:c>
      <x:c r="G94" t="n">
        <x:f>IF($B94&lt;G$8,0,G$3+(G$4-G$3)*(POWER(G$5,$B94-G$8)-1)/(POWER(G$5,$C$5-G$8)-1))</x:f>
        <x:v>0.6490946697315725</x:v>
      </x:c>
      <x:c r="H94" t="n">
        <x:f>IF($B94&lt;H$8,0,H$3+(H$4-H$3)*(POWER(H$5,$B94-H$8)-1)/(POWER(H$5,$C$5-H$8)-1))</x:f>
        <x:v>0.5288427210563893</x:v>
      </x:c>
      <x:c r="I94" t="n">
        <x:f>IF($B94&lt;I$8,0,I$3+(I$4-I$3)*(POWER(I$5,$B94-I$8)-1)/(POWER(I$5,$C$5-I$8)-1))</x:f>
        <x:v>0.20992571116632613</x:v>
      </x:c>
      <x:c r="J94" t="n">
        <x:f>IF($B94&lt;J$8,0,J$3+(J$4-J$3)*(POWER(J$5,$B94-J$8)-1)/(POWER(J$5,$C$5-J$8)-1))</x:f>
        <x:v>0.3969421454662216</x:v>
      </x:c>
      <x:c r="K94" t="n">
        <x:f>IF($B94&lt;K$8,0,K$3+(K$4-K$3)*(POWER(K$5,$B94-K$8)-1)/(POWER(K$5,$C$5-K$8)-1))</x:f>
        <x:v>0</x:v>
      </x:c>
      <x:c r="L94" t="n">
        <x:f>IF($B94&lt;L$8,0,L$3+(L$4-L$3)*(POWER(L$5,$B94-L$8)-1)/(POWER(L$5,$C$5-L$8)-1))</x:f>
        <x:v>0.5253327725816193</x:v>
      </x:c>
      <x:c r="M94" t="n">
        <x:f>E94*'模块规划'!$F$10+G94*'模块规划'!$F$11+H94*'模块规划'!$F$13</x:f>
        <x:v>4115.654414711547</x:v>
      </x:c>
      <x:c r="N94" t="n">
        <x:f>I94*'模块规划'!$F$15+J94*'模块规划'!$F$17+K94*'模块规划'!$F$16+L94*'模块规划'!$F$18</x:f>
        <x:v>8275.49100690092</x:v>
      </x:c>
      <x:c r="O94" t="n">
        <x:f>1+O$9*SUMPRODUCT($H$10:$L$10,H94:L94)/SUM($H$10:$L$10)</x:f>
        <x:v>2.3009762452693234</x:v>
      </x:c>
      <x:c r="P94" t="n">
        <x:f>M94*O94+N94</x:f>
        <x:v>17745.51404889001</x:v>
      </x:c>
      <x:c r="Q94" t="n">
        <x:f>P94/(P94+'_曲线基线'!$L$2)</x:f>
        <x:v>0.4250879274862314</x:v>
      </x:c>
      <x:c r="R94" t="n">
        <x:f>E94*'模块规划'!$E$10+G94*'模块规划'!$E$11+H94*'模块规划'!$E$13</x:f>
        <x:v>6173.481622067322</x:v>
      </x:c>
      <x:c r="S94" t="n">
        <x:f>I94*'模块规划'!$E$15+J94*'模块规划'!$E$17+K94*'模块规划'!$E$16+L94*'模块规划'!$E$18</x:f>
        <x:v>12413.236510351382</x:v>
      </x:c>
      <x:c r="T94" t="n">
        <x:f>1+T$9*SUMPRODUCT($H$10:$L$10,H94:L94)/SUM($H$10:$L$10)</x:f>
        <x:v>2.3009762452693234</x:v>
      </x:c>
      <x:c r="U94" t="n">
        <x:f>R94*T94+S94</x:f>
        <x:v>26618.27107333502</x:v>
      </x:c>
      <x:c r="V94" t="n">
        <x:f>V$8+(V$9-V$8)*H94</x:f>
        <x:v>0.8586528163169167</x:v>
      </x:c>
      <x:c r="W94" t="n">
        <x:f>IF(B94&lt;$H$8,0,W$8+(W$9-W$8)*H94)</x:f>
        <x:v>0.21153708842255572</x:v>
      </x:c>
      <x:c r="X94" t="n">
        <x:f>X$8+(X$9-X$8)*H94</x:f>
        <x:v>0.4204317482905071</x:v>
      </x:c>
      <x:c r="Y94" t="n">
        <x:f>Y$8+(Y$9-Y$8)*G94</x:f>
        <x:v>1</x:v>
      </x:c>
      <x:c r="Z94" t="n">
        <x:f>Z$8+(Z$9-Z$8)*H94</x:f>
        <x:v>1</x:v>
      </x:c>
      <x:c r="AA94" t="n">
        <x:f>AA$8+(AA$9-AA$8)*I94</x:f>
        <x:v>1</x:v>
      </x:c>
      <x:c r="AB94" t="n">
        <x:f>AB$8+(AB$9-AB$8)*J94</x:f>
        <x:v>1</x:v>
      </x:c>
      <x:c r="AC94" t="n">
        <x:f>AC$8+(AC$9-AC$8)*MAX(K94,L94)</x:f>
        <x:v>1</x:v>
      </x:c>
      <x:c r="AD94" t="n">
        <x:f>(V94*AE94+W94*AF94+X94*AG94)*PRODUCT(Y94:AC94)</x:f>
        <x:v>1.6004654241770744</x:v>
      </x:c>
      <x:c r="AE94" t="n">
        <x:f>1+AE$9*($H$10*H94+$I$10*I94+$J$10*J94+$K$10*K94+$L$10*L94)</x:f>
        <x:v>1</x:v>
      </x:c>
      <x:c r="AF94" t="n">
        <x:f>1+AF$9*($H$10*H94+$I$10*I94+$J$10*J94+$K$10*K94+$L$10*L94)</x:f>
        <x:v>1.1148230046432035</x:v>
      </x:c>
      <x:c r="AG94" t="n">
        <x:f>1+AG$9*($H$10*H94+$I$10*I94+$J$10*J94+$K$10*K94+$L$10*L94)</x:f>
        <x:v>1.2034918804510122</x:v>
      </x:c>
      <x:c r="AH94" t="n">
        <x:f>MIN(1,'_曲线基线'!$L$3+AH$9*($H$10*H94+$I$10*I94+$J$10*J94+$K$10*K94+$L$10*L94))</x:f>
        <x:v>0.3112223355632877</x:v>
      </x:c>
      <x:c r="AI94" t="n">
        <x:f>'_曲线基线'!$L$4+AI$9*($H$10*H94+$I$10*I94+$J$10*J94+$K$10*K94+$L$10*L94)</x:f>
        <x:v>2.7276907919263014</x:v>
      </x:c>
      <x:c r="AJ94" t="n">
        <x:f>1+AJ$9*($H$10*H94+$I$10*I94+$J$10*J94+$K$10*K94+$L$10*L94)</x:f>
        <x:v>1.5970796241446577</x:v>
      </x:c>
      <x:c r="AK94" t="n">
        <x:f>(1+AH94*(AI94-1))*AJ94</x:f>
        <x:v>2.455822891266829</x:v>
      </x:c>
      <x:c r="AL94" t="n">
        <x:f>U94*AD94*AK94*F94</x:f>
        <x:v>523110.1987551708</x:v>
      </x:c>
      <x:c r="AM94" t="n">
        <x:f>IF($B94&lt;AM$8,0,AM$3+(AM$4-AM$3)*(POWER(AM$5,$B94-AM$8)-1)/(POWER(AM$5,$C$5-AM$8)-1))</x:f>
        <x:v>36.69321116106542</x:v>
      </x:c>
      <x:c r="AN94" t="n">
        <x:f>(((E94*'模块规划'!$D$10+G94*'模块规划'!$D$11+H94*'模块规划'!$D$13)*(1+'模块规划'!$G$14*H94)+(I94*'模块规划'!$D$15+J94*'模块规划'!$D$17+K94*'模块规划'!$D$16+L94*'模块规划'!$D$18))*(1+'模块规划'!$J$17*J94))*F94/(1-Q94)</x:f>
        <x:v>921244.4395552729</x:v>
      </x:c>
      <x:c r="AO94" t="n">
        <x:f>AL94*AM94</x:f>
        <x:v>19194592.983430382</x:v>
      </x:c>
      <x:c r="AP94" t="n">
        <x:f>IF(AO94="","",INDEX('_曲线基线'!$A$3:$A$502,MIN(ROWS('_曲线基线'!$A$3:$A$502),COUNTIF('_曲线基线'!$E$3:$E$502,"&lt;"&amp;AO94)+1)))</x:f>
        <x:v>180</x:v>
      </x:c>
      <x:c r="AQ94" t="n">
        <x:f>IF(B94&lt;=2,1,IF(B94&lt;=6,2,IF(B94&lt;=9,3,IF(B94&lt;=19,4,5))))</x:f>
        <x:v>5</x:v>
      </x:c>
      <x:c r="AR94" t="n">
        <x:f>AN94*(1-Q94)/F94*$AS$3+U94*$AS$4+P94*$AS$5</x:f>
        <x:v>8501.461514886047</x:v>
      </x:c>
      <x:c r="AS94" t="n">
        <x:f>1+AH94*$AS$6+AI94*$AS$7+(AJ94-1)*$AS$8+($H$10*H94+$I$10*I94+$J$10*J94+$K$10*K94+$L$10*L94)*$AU$3*$AS$9+($H$10*H94+$I$10*I94+$J$10*J94+$K$10*K94+$L$10*L94)*$AU$4*$AS$10</x:f>
        <x:v>11.842384995070427</x:v>
      </x:c>
      <x:c r="AT94" t="n">
        <x:f>ROUND(AR94*AS94,0)</x:f>
        <x:v>100678</x:v>
      </x:c>
      <x:c r="AU94" t="n">
        <x:f>ROUND(AT94*F94,0)</x:f>
        <x:v>503390</x:v>
      </x:c>
    </x:row>
    <x:row r="95">
      <x:c r="A95" t="n">
        <x:f>IFERROR(XLOOKUP(B95,'_曲线基线'!$G$3:$G$107,'_曲线基线'!$J$3:$J$107,""),"")</x:f>
        <x:v>34</x:v>
      </x:c>
      <x:c r="B95" t="n">
        <x:v>84</x:v>
      </x:c>
      <x:c r="C95" t="n">
        <x:f>C80+1</x:f>
        <x:v>6</x:v>
      </x:c>
      <x:c r="D95" t="n">
        <x:f>D80</x:f>
        <x:v>15</x:v>
      </x:c>
      <x:c r="E95" t="n">
        <x:f>IF($B95&lt;E$8,0,E$3+(E$4-E$3)*(POWER(E$5,$B95-E$8)-1)/(POWER(E$5,$C$5-E$8)-1))</x:f>
        <x:v>1</x:v>
      </x:c>
      <x:c r="F95" t="n">
        <x:f>1+IF(B95&lt;3,0,MIN(1,(B95-2)/4))+IF(B95&lt;7,0,MIN(1,(B95-6)/3))+IF(B95&lt;10,0,MIN(1,(B95-9)/5))+IF(B95&lt;20,0,MIN(1,(B95-19)/10))</x:f>
        <x:v>5</x:v>
      </x:c>
      <x:c r="G95" t="n">
        <x:f>IF($B95&lt;G$8,0,G$3+(G$4-G$3)*(POWER(G$5,$B95-G$8)-1)/(POWER(G$5,$C$5-G$8)-1))</x:f>
        <x:v>0.6530634401400947</x:v>
      </x:c>
      <x:c r="H95" t="n">
        <x:f>IF($B95&lt;H$8,0,H$3+(H$4-H$3)*(POWER(H$5,$B95-H$8)-1)/(POWER(H$5,$C$5-H$8)-1))</x:f>
        <x:v>0.5323324088747728</x:v>
      </x:c>
      <x:c r="I95" t="n">
        <x:f>IF($B95&lt;I$8,0,I$3+(I$4-I$3)*(POWER(I$5,$B95-I$8)-1)/(POWER(I$5,$C$5-I$8)-1))</x:f>
        <x:v>0.21889828828606778</x:v>
      </x:c>
      <x:c r="J95" t="n">
        <x:f>IF($B95&lt;J$8,0,J$3+(J$4-J$3)*(POWER(J$5,$B95-J$8)-1)/(POWER(J$5,$C$5-J$8)-1))</x:f>
        <x:v>0.4010822470486211</x:v>
      </x:c>
      <x:c r="K95" t="n">
        <x:f>IF($B95&lt;K$8,0,K$3+(K$4-K$3)*(POWER(K$5,$B95-K$8)-1)/(POWER(K$5,$C$5-K$8)-1))</x:f>
        <x:v>0</x:v>
      </x:c>
      <x:c r="L95" t="n">
        <x:f>IF($B95&lt;L$8,0,L$3+(L$4-L$3)*(POWER(L$5,$B95-L$8)-1)/(POWER(L$5,$C$5-L$8)-1))</x:f>
        <x:v>0.5288940239613725</x:v>
      </x:c>
      <x:c r="M95" t="n">
        <x:f>E95*'模块规划'!$F$10+G95*'模块规划'!$F$11+H95*'模块规划'!$F$13</x:f>
        <x:v>4134.704512672454</x:v>
      </x:c>
      <x:c r="N95" t="n">
        <x:f>I95*'模块规划'!$F$15+J95*'模块规划'!$F$17+K95*'模块规划'!$F$16+L95*'模块规划'!$F$18</x:f>
        <x:v>8406.478896581617</x:v>
      </x:c>
      <x:c r="O95" t="n">
        <x:f>1+O$9*SUMPRODUCT($H$10:$L$10,H95:L95)/SUM($H$10:$L$10)</x:f>
        <x:v>2.3141136496933217</x:v>
      </x:c>
      <x:c r="P95" t="n">
        <x:f>M95*O95+N95</x:f>
        <x:v>17974.655046805517</x:v>
      </x:c>
      <x:c r="Q95" t="n">
        <x:f>P95/(P95+'_曲线基线'!$L$2)</x:f>
        <x:v>0.428226391062944</x:v>
      </x:c>
      <x:c r="R95" t="n">
        <x:f>E95*'模块规划'!$E$10+G95*'模块规划'!$E$11+H95*'模块规划'!$E$13</x:f>
        <x:v>6202.056769008682</x:v>
      </x:c>
      <x:c r="S95" t="n">
        <x:f>I95*'模块规划'!$E$15+J95*'模块规划'!$E$17+K95*'模块规划'!$E$16+L95*'模块规划'!$E$18</x:f>
        <x:v>12609.718344872424</x:v>
      </x:c>
      <x:c r="T95" t="n">
        <x:f>1+T$9*SUMPRODUCT($H$10:$L$10,H95:L95)/SUM($H$10:$L$10)</x:f>
        <x:v>2.3141136496933217</x:v>
      </x:c>
      <x:c r="U95" t="n">
        <x:f>R95*T95+S95</x:f>
        <x:v>26961.982570208274</x:v>
      </x:c>
      <x:c r="V95" t="n">
        <x:f>V$8+(V$9-V$8)*H95</x:f>
        <x:v>0.8596997226624319</x:v>
      </x:c>
      <x:c r="W95" t="n">
        <x:f>IF(B95&lt;$H$8,0,W$8+(W$9-W$8)*H95)</x:f>
        <x:v>0.21293296354990915</x:v>
      </x:c>
      <x:c r="X95" t="n">
        <x:f>X$8+(X$9-X$8)*H95</x:f>
        <x:v>0.42139141244056255</x:v>
      </x:c>
      <x:c r="Y95" t="n">
        <x:f>Y$8+(Y$9-Y$8)*G95</x:f>
        <x:v>1</x:v>
      </x:c>
      <x:c r="Z95" t="n">
        <x:f>Z$8+(Z$9-Z$8)*H95</x:f>
        <x:v>1</x:v>
      </x:c>
      <x:c r="AA95" t="n">
        <x:f>AA$8+(AA$9-AA$8)*I95</x:f>
        <x:v>1</x:v>
      </x:c>
      <x:c r="AB95" t="n">
        <x:f>AB$8+(AB$9-AB$8)*J95</x:f>
        <x:v>1</x:v>
      </x:c>
      <x:c r="AC95" t="n">
        <x:f>AC$8+(AC$9-AC$8)*MAX(K95,L95)</x:f>
        <x:v>1</x:v>
      </x:c>
      <x:c r="AD95" t="n">
        <x:f>(V95*AE95+W95*AF95+X95*AG95)*PRODUCT(Y95:AC95)</x:f>
        <x:v>1.605336237501569</x:v>
      </x:c>
      <x:c r="AE95" t="n">
        <x:f>1+AE$9*($H$10*H95+$I$10*I95+$J$10*J95+$K$10*K95+$L$10*L95)</x:f>
        <x:v>1</x:v>
      </x:c>
      <x:c r="AF95" t="n">
        <x:f>1+AF$9*($H$10*H95+$I$10*I95+$J$10*J95+$K$10*K95+$L$10*L95)</x:f>
        <x:v>1.1159825002563337</x:v>
      </x:c>
      <x:c r="AG95" t="n">
        <x:f>1+AG$9*($H$10*H95+$I$10*I95+$J$10*J95+$K$10*K95+$L$10*L95)</x:f>
        <x:v>1.2055467643431708</x:v>
      </x:c>
      <x:c r="AH95" t="n">
        <x:f>MIN(1,'_曲线基线'!$L$3+AH$9*($H$10*H95+$I$10*I95+$J$10*J95+$K$10*K95+$L$10*L95))</x:f>
        <x:v>0.31386018808315896</x:v>
      </x:c>
      <x:c r="AI95" t="n">
        <x:f>'_曲线基线'!$L$4+AI$9*($H$10*H95+$I$10*I95+$J$10*J95+$K$10*K95+$L$10*L95)</x:f>
        <x:v>2.7350390953745145</x:v>
      </x:c>
      <x:c r="AJ95" t="n">
        <x:f>1+AJ$9*($H$10*H95+$I$10*I95+$J$10*J95+$K$10*K95+$L$10*L95)</x:f>
        <x:v>1.603109001332935</x:v>
      </x:c>
      <x:c r="AK95" t="n">
        <x:f>(1+AH95*(AI95-1))*AJ95</x:f>
        <x:v>2.476097553045574</x:v>
      </x:c>
      <x:c r="AL95" t="n">
        <x:f>U95*AD95*AK95*F95</x:f>
        <x:v>535865.2419325341</x:v>
      </x:c>
      <x:c r="AM95" t="n">
        <x:f>IF($B95&lt;AM$8,0,AM$3+(AM$4-AM$3)*(POWER(AM$5,$B95-AM$8)-1)/(POWER(AM$5,$C$5-AM$8)-1))</x:f>
        <x:v>36.72356791259794</x:v>
      </x:c>
      <x:c r="AN95" t="n">
        <x:f>(((E95*'模块规划'!$D$10+G95*'模块规划'!$D$11+H95*'模块规划'!$D$13)*(1+'模块规划'!$G$14*H95)+(I95*'模块规划'!$D$15+J95*'模块规划'!$D$17+K95*'模块规划'!$D$16+L95*'模块规划'!$D$18))*(1+'模块规划'!$J$17*J95))*F95/(1-Q95)</x:f>
        <x:v>940564.2591426199</x:v>
      </x:c>
      <x:c r="AO95" t="n">
        <x:f>AL95*AM95</x:f>
        <x:v>19678883.604110144</x:v>
      </x:c>
      <x:c r="AP95" t="n">
        <x:f>IF(AO95="","",INDEX('_曲线基线'!$A$3:$A$502,MIN(ROWS('_曲线基线'!$A$3:$A$502),COUNTIF('_曲线基线'!$E$3:$E$502,"&lt;"&amp;AO95)+1)))</x:f>
        <x:v>181</x:v>
      </x:c>
      <x:c r="AQ95" t="n">
        <x:f>IF(B95&lt;=2,1,IF(B95&lt;=6,2,IF(B95&lt;=9,3,IF(B95&lt;=19,4,5))))</x:f>
        <x:v>5</x:v>
      </x:c>
      <x:c r="AR95" t="n">
        <x:f>AN95*(1-Q95)/F95*$AS$3+U95*$AS$4+P95*$AS$5</x:f>
        <x:v>8619.13543936476</x:v>
      </x:c>
      <x:c r="AS95" t="n">
        <x:f>1+AH95*$AS$6+AI95*$AS$7+(AJ95-1)*$AS$8+($H$10*H95+$I$10*I95+$J$10*J95+$K$10*K95+$L$10*L95)*$AU$3*$AS$9+($H$10*H95+$I$10*I95+$J$10*J95+$K$10*K95+$L$10*L95)*$AU$4*$AS$10</x:f>
        <x:v>11.91166617543185</x:v>
      </x:c>
      <x:c r="AT95" t="n">
        <x:f>ROUND(AR95*AS95,0)</x:f>
        <x:v>102668</x:v>
      </x:c>
      <x:c r="AU95" t="n">
        <x:f>ROUND(AT95*F95,0)</x:f>
        <x:v>513340</x:v>
      </x:c>
    </x:row>
    <x:row r="96">
      <x:c r="A96" t="n">
        <x:f>IFERROR(XLOOKUP(B96,'_曲线基线'!$G$3:$G$107,'_曲线基线'!$J$3:$J$107,""),"")</x:f>
        <x:v>35</x:v>
      </x:c>
      <x:c r="B96" t="n">
        <x:v>85</x:v>
      </x:c>
      <x:c r="C96" t="n">
        <x:f>C81+1</x:f>
        <x:v>7</x:v>
      </x:c>
      <x:c r="D96" t="n">
        <x:f>D81</x:f>
        <x:v>1</x:v>
      </x:c>
      <x:c r="E96" t="n">
        <x:f>IF($B96&lt;E$8,0,E$3+(E$4-E$3)*(POWER(E$5,$B96-E$8)-1)/(POWER(E$5,$C$5-E$8)-1))</x:f>
        <x:v>1</x:v>
      </x:c>
      <x:c r="F96" t="n">
        <x:f>1+IF(B96&lt;3,0,MIN(1,(B96-2)/4))+IF(B96&lt;7,0,MIN(1,(B96-6)/3))+IF(B96&lt;10,0,MIN(1,(B96-9)/5))+IF(B96&lt;20,0,MIN(1,(B96-19)/10))</x:f>
        <x:v>5</x:v>
      </x:c>
      <x:c r="G96" t="n">
        <x:f>IF($B96&lt;G$8,0,G$3+(G$4-G$3)*(POWER(G$5,$B96-G$8)-1)/(POWER(G$5,$C$5-G$8)-1))</x:f>
        <x:v>0.6569726789924891</x:v>
      </x:c>
      <x:c r="H96" t="n">
        <x:f>IF($B96&lt;H$8,0,H$3+(H$4-H$3)*(POWER(H$5,$B96-H$8)-1)/(POWER(H$5,$C$5-H$8)-1))</x:f>
        <x:v>0.5357523029367887</x:v>
      </x:c>
      <x:c r="I96" t="n">
        <x:f>IF($B96&lt;I$8,0,I$3+(I$4-I$3)*(POWER(I$5,$B96-I$8)-1)/(POWER(I$5,$C$5-I$8)-1))</x:f>
        <x:v>0.22769141386341465</x:v>
      </x:c>
      <x:c r="J96" t="n">
        <x:f>IF($B96&lt;J$8,0,J$3+(J$4-J$3)*(POWER(J$5,$B96-J$8)-1)/(POWER(J$5,$C$5-J$8)-1))</x:f>
        <x:v>0.4051395465993726</x:v>
      </x:c>
      <x:c r="K96" t="n">
        <x:f>IF($B96&lt;K$8,0,K$3+(K$4-K$3)*(POWER(K$5,$B96-K$8)-1)/(POWER(K$5,$C$5-K$8)-1))</x:f>
        <x:v>0</x:v>
      </x:c>
      <x:c r="L96" t="n">
        <x:f>IF($B96&lt;L$8,0,L$3+(L$4-L$3)*(POWER(L$5,$B96-L$8)-1)/(POWER(L$5,$C$5-L$8)-1))</x:f>
        <x:v>0.5323840503135308</x:v>
      </x:c>
      <x:c r="M96" t="n">
        <x:f>E96*'模块规划'!$F$10+G96*'模块规划'!$F$11+H96*'模块规划'!$F$13</x:f>
        <x:v>4153.468859163948</x:v>
      </x:c>
      <x:c r="N96" t="n">
        <x:f>I96*'模块规划'!$F$15+J96*'模块规划'!$F$17+K96*'模块规划'!$F$16+L96*'模块规划'!$F$18</x:f>
        <x:v>8534.847028468697</x:v>
      </x:c>
      <x:c r="O96" t="n">
        <x:f>1+O$9*SUMPRODUCT($H$10:$L$10,H96:L96)/SUM($H$10:$L$10)</x:f>
        <x:v>2.3269883060288405</x:v>
      </x:c>
      <x:c r="P96" t="n">
        <x:f>M96*O96+N96</x:f>
        <x:v>18199.92049319815</x:v>
      </x:c>
      <x:c r="Q96" t="n">
        <x:f>P96/(P96+'_曲线基线'!$L$2)</x:f>
        <x:v>0.431278549354889</x:v>
      </x:c>
      <x:c r="R96" t="n">
        <x:f>E96*'模块规划'!$E$10+G96*'模块规划'!$E$11+H96*'模块规划'!$E$13</x:f>
        <x:v>6230.203288745922</x:v>
      </x:c>
      <x:c r="S96" t="n">
        <x:f>I96*'模块规划'!$E$15+J96*'模块规划'!$E$17+K96*'模块规划'!$E$16+L96*'模块规划'!$E$18</x:f>
        <x:v>12802.270542703047</x:v>
      </x:c>
      <x:c r="T96" t="n">
        <x:f>1+T$9*SUMPRODUCT($H$10:$L$10,H96:L96)/SUM($H$10:$L$10)</x:f>
        <x:v>2.3269883060288405</x:v>
      </x:c>
      <x:c r="U96" t="n">
        <x:f>R96*T96+S96</x:f>
        <x:v>27299.88073979723</x:v>
      </x:c>
      <x:c r="V96" t="n">
        <x:f>V$8+(V$9-V$8)*H96</x:f>
        <x:v>0.8607256908810366</x:v>
      </x:c>
      <x:c r="W96" t="n">
        <x:f>IF(B96&lt;$H$8,0,W$8+(W$9-W$8)*H96)</x:f>
        <x:v>0.21430092117471547</x:v>
      </x:c>
      <x:c r="X96" t="n">
        <x:f>X$8+(X$9-X$8)*H96</x:f>
        <x:v>0.42233188330761695</x:v>
      </x:c>
      <x:c r="Y96" t="n">
        <x:f>Y$8+(Y$9-Y$8)*G96</x:f>
        <x:v>1</x:v>
      </x:c>
      <x:c r="Z96" t="n">
        <x:f>Z$8+(Z$9-Z$8)*H96</x:f>
        <x:v>1</x:v>
      </x:c>
      <x:c r="AA96" t="n">
        <x:f>AA$8+(AA$9-AA$8)*I96</x:f>
        <x:v>1</x:v>
      </x:c>
      <x:c r="AB96" t="n">
        <x:f>AB$8+(AB$9-AB$8)*J96</x:f>
        <x:v>1</x:v>
      </x:c>
      <x:c r="AC96" t="n">
        <x:f>AC$8+(AC$9-AC$8)*MAX(K96,L96)</x:f>
        <x:v>1</x:v>
      </x:c>
      <x:c r="AD96" t="n">
        <x:f>(V96*AE96+W96*AF96+X96*AG96)*PRODUCT(Y96:AC96)</x:f>
        <x:v>1.6101166015841892</x:v>
      </x:c>
      <x:c r="AE96" t="n">
        <x:f>1+AE$9*($H$10*H96+$I$10*I96+$J$10*J96+$K$10*K96+$L$10*L96)</x:f>
        <x:v>1</x:v>
      </x:c>
      <x:c r="AF96" t="n">
        <x:f>1+AF$9*($H$10*H96+$I$10*I96+$J$10*J96+$K$10*K96+$L$10*L96)</x:f>
        <x:v>1.1171188059572015</x:v>
      </x:c>
      <x:c r="AG96" t="n">
        <x:f>1+AG$9*($H$10*H96+$I$10*I96+$J$10*J96+$K$10*K96+$L$10*L96)</x:f>
        <x:v>1.2075605505574862</x:v>
      </x:c>
      <x:c r="AH96" t="n">
        <x:f>MIN(1,'_曲线基线'!$L$3+AH$9*($H$10*H96+$I$10*I96+$J$10*J96+$K$10*K96+$L$10*L96))</x:f>
        <x:v>0.31644528355263285</x:v>
      </x:c>
      <x:c r="AI96" t="n">
        <x:f>'_曲线基线'!$L$4+AI$9*($H$10*H96+$I$10*I96+$J$10*J96+$K$10*K96+$L$10*L96)</x:f>
        <x:v>2.7422404327537633</x:v>
      </x:c>
      <x:c r="AJ96" t="n">
        <x:f>1+AJ$9*($H$10*H96+$I$10*I96+$J$10*J96+$K$10*K96+$L$10*L96)</x:f>
        <x:v>1.6090177909774468</x:v>
      </x:c>
      <x:c r="AK96" t="n">
        <x:f>(1+AH96*(AI96-1))*AJ96</x:f>
        <x:v>2.496107541891404</x:v>
      </x:c>
      <x:c r="AL96" t="n">
        <x:f>U96*AD96*AK96*F96</x:f>
        <x:v>548594.4057333525</x:v>
      </x:c>
      <x:c r="AM96" t="n">
        <x:f>IF($B96&lt;AM$8,0,AM$3+(AM$4-AM$3)*(POWER(AM$5,$B96-AM$8)-1)/(POWER(AM$5,$C$5-AM$8)-1))</x:f>
        <x:v>36.75422823164579</x:v>
      </x:c>
      <x:c r="AN96" t="n">
        <x:f>(((E96*'模块规划'!$D$10+G96*'模块规划'!$D$11+H96*'模块规划'!$D$13)*(1+'模块规划'!$G$14*H96)+(I96*'模块规划'!$D$15+J96*'模块规划'!$D$17+K96*'模块规划'!$D$16+L96*'模块规划'!$D$18))*(1+'模块规划'!$J$17*J96))*F96/(1-Q96)</x:f>
        <x:v>959754.5847106815</x:v>
      </x:c>
      <x:c r="AO96" t="n">
        <x:f>AL96*AM96</x:f>
        <x:v>20163163.99492773</x:v>
      </x:c>
      <x:c r="AP96" t="n">
        <x:f>IF(AO96="","",INDEX('_曲线基线'!$A$3:$A$502,MIN(ROWS('_曲线基线'!$A$3:$A$502),COUNTIF('_曲线基线'!$E$3:$E$502,"&lt;"&amp;AO96)+1)))</x:f>
        <x:v>183</x:v>
      </x:c>
      <x:c r="AQ96" t="n">
        <x:f>IF(B96&lt;=2,1,IF(B96&lt;=6,2,IF(B96&lt;=9,3,IF(B96&lt;=19,4,5))))</x:f>
        <x:v>5</x:v>
      </x:c>
      <x:c r="AR96" t="n">
        <x:f>AN96*(1-Q96)/F96*$AS$3+U96*$AS$4+P96*$AS$5</x:f>
        <x:v>8734.974266039175</x:v>
      </x:c>
      <x:c r="AS96" t="n">
        <x:f>1+AH96*$AS$6+AI96*$AS$7+(AJ96-1)*$AS$8+($H$10*H96+$I$10*I96+$J$10*J96+$K$10*K96+$L$10*L96)*$AU$3*$AS$9+($H$10*H96+$I$10*I96+$J$10*J96+$K$10*K96+$L$10*L96)*$AU$4*$AS$10</x:f>
        <x:v>11.979561732186047</x:v>
      </x:c>
      <x:c r="AT96" t="n">
        <x:f>ROUND(AR96*AS96,0)</x:f>
        <x:v>104641</x:v>
      </x:c>
      <x:c r="AU96" t="n">
        <x:f>ROUND(AT96*F96,0)</x:f>
        <x:v>523205</x:v>
      </x:c>
    </x:row>
    <x:row r="97">
      <x:c r="A97" t="n">
        <x:f>IFERROR(XLOOKUP(B97,'_曲线基线'!$G$3:$G$107,'_曲线基线'!$J$3:$J$107,""),"")</x:f>
        <x:v>35</x:v>
      </x:c>
      <x:c r="B97" t="n">
        <x:v>86</x:v>
      </x:c>
      <x:c r="C97" t="n">
        <x:f>C82+1</x:f>
        <x:v>7</x:v>
      </x:c>
      <x:c r="D97" t="n">
        <x:f>D82</x:f>
        <x:v>2</x:v>
      </x:c>
      <x:c r="E97" t="n">
        <x:f>IF($B97&lt;E$8,0,E$3+(E$4-E$3)*(POWER(E$5,$B97-E$8)-1)/(POWER(E$5,$C$5-E$8)-1))</x:f>
        <x:v>1</x:v>
      </x:c>
      <x:c r="F97" t="n">
        <x:f>1+IF(B97&lt;3,0,MIN(1,(B97-2)/4))+IF(B97&lt;7,0,MIN(1,(B97-6)/3))+IF(B97&lt;10,0,MIN(1,(B97-9)/5))+IF(B97&lt;20,0,MIN(1,(B97-19)/10))</x:f>
        <x:v>5</x:v>
      </x:c>
      <x:c r="G97" t="n">
        <x:f>IF($B97&lt;G$8,0,G$3+(G$4-G$3)*(POWER(G$5,$B97-G$8)-1)/(POWER(G$5,$C$5-G$8)-1))</x:f>
        <x:v>0.6608232792620977</x:v>
      </x:c>
      <x:c r="H97" t="n">
        <x:f>IF($B97&lt;H$8,0,H$3+(H$4-H$3)*(POWER(H$5,$B97-H$8)-1)/(POWER(H$5,$C$5-H$8)-1))</x:f>
        <x:v>0.5391037991175643</x:v>
      </x:c>
      <x:c r="I97" t="n">
        <x:f>IF($B97&lt;I$8,0,I$3+(I$4-I$3)*(POWER(I$5,$B97-I$8)-1)/(POWER(I$5,$C$5-I$8)-1))</x:f>
        <x:v>0.23630867692921453</x:v>
      </x:c>
      <x:c r="J97" t="n">
        <x:f>IF($B97&lt;J$8,0,J$3+(J$4-J$3)*(POWER(J$5,$B97-J$8)-1)/(POWER(J$5,$C$5-J$8)-1))</x:f>
        <x:v>0.4091157001591091</x:v>
      </x:c>
      <x:c r="K97" t="n">
        <x:f>IF($B97&lt;K$8,0,K$3+(K$4-K$3)*(POWER(K$5,$B97-K$8)-1)/(POWER(K$5,$C$5-K$8)-1))</x:f>
        <x:v>0</x:v>
      </x:c>
      <x:c r="L97" t="n">
        <x:f>IF($B97&lt;L$8,0,L$3+(L$4-L$3)*(POWER(L$5,$B97-L$8)-1)/(POWER(L$5,$C$5-L$8)-1))</x:f>
        <x:v>0.5358042761386459</x:v>
      </x:c>
      <x:c r="M97" t="n">
        <x:f>E97*'模块规划'!$F$10+G97*'模块规划'!$F$11+H97*'模块规划'!$F$13</x:f>
        <x:v>4171.951740458069</x:v>
      </x:c>
      <x:c r="N97" t="n">
        <x:f>I97*'模块规划'!$F$15+J97*'模块规划'!$F$17+K97*'模块规划'!$F$16+L97*'模块规划'!$F$18</x:f>
        <x:v>8660.647797718037</x:v>
      </x:c>
      <x:c r="O97" t="n">
        <x:f>1+O$9*SUMPRODUCT($H$10:$L$10,H97:L97)/SUM($H$10:$L$10)</x:f>
        <x:v>2.3396054692376484</x:v>
      </x:c>
      <x:c r="P97" t="n">
        <x:f>M97*O97+N97</x:f>
        <x:v>18421.36890708926</x:v>
      </x:c>
      <x:c r="Q97" t="n">
        <x:f>P97/(P97+'_曲线基线'!$L$2)</x:f>
        <x:v>0.43424739421859554</x:v>
      </x:c>
      <x:c r="R97" t="n">
        <x:f>E97*'模块规划'!$E$10+G97*'模块规划'!$E$11+H97*'模块规划'!$E$13</x:f>
        <x:v>6257.927610687104</x:v>
      </x:c>
      <x:c r="S97" t="n">
        <x:f>I97*'模块规划'!$E$15+J97*'模块规划'!$E$17+K97*'模块规划'!$E$16+L97*'模块规划'!$E$18</x:f>
        <x:v>12990.971696577057</x:v>
      </x:c>
      <x:c r="T97" t="n">
        <x:f>1+T$9*SUMPRODUCT($H$10:$L$10,H97:L97)/SUM($H$10:$L$10)</x:f>
        <x:v>2.3396054692376484</x:v>
      </x:c>
      <x:c r="U97" t="n">
        <x:f>R97*T97+S97</x:f>
        <x:v>27632.053360633894</x:v>
      </x:c>
      <x:c r="V97" t="n">
        <x:f>V$8+(V$9-V$8)*H97</x:f>
        <x:v>0.8617311397352693</x:v>
      </x:c>
      <x:c r="W97" t="n">
        <x:f>IF(B97&lt;$H$8,0,W$8+(W$9-W$8)*H97)</x:f>
        <x:v>0.21564151964702574</x:v>
      </x:c>
      <x:c r="X97" t="n">
        <x:f>X$8+(X$9-X$8)*H97</x:f>
        <x:v>0.42325354475733024</x:v>
      </x:c>
      <x:c r="Y97" t="n">
        <x:f>Y$8+(Y$9-Y$8)*G97</x:f>
        <x:v>1</x:v>
      </x:c>
      <x:c r="Z97" t="n">
        <x:f>Z$8+(Z$9-Z$8)*H97</x:f>
        <x:v>1</x:v>
      </x:c>
      <x:c r="AA97" t="n">
        <x:f>AA$8+(AA$9-AA$8)*I97</x:f>
        <x:v>1</x:v>
      </x:c>
      <x:c r="AB97" t="n">
        <x:f>AB$8+(AB$9-AB$8)*J97</x:f>
        <x:v>1</x:v>
      </x:c>
      <x:c r="AC97" t="n">
        <x:f>AC$8+(AC$9-AC$8)*MAX(K97,L97)</x:f>
        <x:v>1</x:v>
      </x:c>
      <x:c r="AD97" t="n">
        <x:f>(V97*AE97+W97*AF97+X97*AG97)*PRODUCT(Y97:AC97)</x:f>
        <x:v>1.6148080495155974</x:v>
      </x:c>
      <x:c r="AE97" t="n">
        <x:f>1+AE$9*($H$10*H97+$I$10*I97+$J$10*J97+$K$10*K97+$L$10*L97)</x:f>
        <x:v>1</x:v>
      </x:c>
      <x:c r="AF97" t="n">
        <x:f>1+AF$9*($H$10*H97+$I$10*I97+$J$10*J97+$K$10*K97+$L$10*L97)</x:f>
        <x:v>1.1182323855440517</x:v>
      </x:c>
      <x:c r="AG97" t="n">
        <x:f>1+AG$9*($H$10*H97+$I$10*I97+$J$10*J97+$K$10*K97+$L$10*L97)</x:f>
        <x:v>1.2095340610475154</x:v>
      </x:c>
      <x:c r="AH97" t="n">
        <x:f>MIN(1,'_曲线基线'!$L$3+AH$9*($H$10*H97+$I$10*I97+$J$10*J97+$K$10*K97+$L$10*L97))</x:f>
        <x:v>0.31897867711271716</x:v>
      </x:c>
      <x:c r="AI97" t="n">
        <x:f>'_曲线基线'!$L$4+AI$9*($H$10*H97+$I$10*I97+$J$10*J97+$K$10*K97+$L$10*L97)</x:f>
        <x:v>2.7492977433854264</x:v>
      </x:c>
      <x:c r="AJ97" t="n">
        <x:f>1+AJ$9*($H$10*H97+$I$10*I97+$J$10*J97+$K$10*K97+$L$10*L97)</x:f>
        <x:v>1.614808404829068</x:v>
      </x:c>
      <x:c r="AK97" t="n">
        <x:f>(1+AH97*(AI97-1))*AJ97</x:f>
        <x:v>2.5158532151916053</x:v>
      </x:c>
      <x:c r="AL97" t="n">
        <x:f>U97*AD97*AK97*F97</x:f>
        <x:v>561292.666337797</x:v>
      </x:c>
      <x:c r="AM97" t="n">
        <x:f>IF($B97&lt;AM$8,0,AM$3+(AM$4-AM$3)*(POWER(AM$5,$B97-AM$8)-1)/(POWER(AM$5,$C$5-AM$8)-1))</x:f>
        <x:v>36.78519515388412</x:v>
      </x:c>
      <x:c r="AN97" t="n">
        <x:f>(((E97*'模块规划'!$D$10+G97*'模块规划'!$D$11+H97*'模块规划'!$D$13)*(1+'模块规划'!$G$14*H97)+(I97*'模块规划'!$D$15+J97*'模块规划'!$D$17+K97*'模块规划'!$D$16+L97*'模块规划'!$D$18))*(1+'模块规划'!$J$17*J97))*F97/(1-Q97)</x:f>
        <x:v>978810.5484901818</x:v>
      </x:c>
      <x:c r="AO97" t="n">
        <x:f>AL97*AM97</x:f>
        <x:v>20647260.269679822</x:v>
      </x:c>
      <x:c r="AP97" t="n">
        <x:f>IF(AO97="","",INDEX('_曲线基线'!$A$3:$A$502,MIN(ROWS('_曲线基线'!$A$3:$A$502),COUNTIF('_曲线基线'!$E$3:$E$502,"&lt;"&amp;AO97)+1)))</x:f>
        <x:v>184</x:v>
      </x:c>
      <x:c r="AQ97" t="n">
        <x:f>IF(B97&lt;=2,1,IF(B97&lt;=6,2,IF(B97&lt;=9,3,IF(B97&lt;=19,4,5))))</x:f>
        <x:v>5</x:v>
      </x:c>
      <x:c r="AR97" t="n">
        <x:f>AN97*(1-Q97)/F97*$AS$3+U97*$AS$4+P97*$AS$5</x:f>
        <x:v>8848.998382374655</x:v>
      </x:c>
      <x:c r="AS97" t="n">
        <x:f>1+AH97*$AS$6+AI97*$AS$7+(AJ97-1)*$AS$8+($H$10*H97+$I$10*I97+$J$10*J97+$K$10*K97+$L$10*L97)*$AU$3*$AS$9+($H$10*H97+$I$10*I97+$J$10*J97+$K$10*K97+$L$10*L97)*$AU$4*$AS$10</x:f>
        <x:v>12.046099377805152</x:v>
      </x:c>
      <x:c r="AT97" t="n">
        <x:f>ROUND(AR97*AS97,0)</x:f>
        <x:v>106596</x:v>
      </x:c>
      <x:c r="AU97" t="n">
        <x:f>ROUND(AT97*F97,0)</x:f>
        <x:v>532980</x:v>
      </x:c>
    </x:row>
    <x:row r="98">
      <x:c r="A98" t="n">
        <x:f>IFERROR(XLOOKUP(B98,'_曲线基线'!$G$3:$G$107,'_曲线基线'!$J$3:$J$107,""),"")</x:f>
        <x:v>35</x:v>
      </x:c>
      <x:c r="B98" t="n">
        <x:v>87</x:v>
      </x:c>
      <x:c r="C98" t="n">
        <x:f>C83+1</x:f>
        <x:v>7</x:v>
      </x:c>
      <x:c r="D98" t="n">
        <x:f>D83</x:f>
        <x:v>3</x:v>
      </x:c>
      <x:c r="E98" t="n">
        <x:f>IF($B98&lt;E$8,0,E$3+(E$4-E$3)*(POWER(E$5,$B98-E$8)-1)/(POWER(E$5,$C$5-E$8)-1))</x:f>
        <x:v>1</x:v>
      </x:c>
      <x:c r="F98" t="n">
        <x:f>1+IF(B98&lt;3,0,MIN(1,(B98-2)/4))+IF(B98&lt;7,0,MIN(1,(B98-6)/3))+IF(B98&lt;10,0,MIN(1,(B98-9)/5))+IF(B98&lt;20,0,MIN(1,(B98-19)/10))</x:f>
        <x:v>5</x:v>
      </x:c>
      <x:c r="G98" t="n">
        <x:f>IF($B98&lt;G$8,0,G$3+(G$4-G$3)*(POWER(G$5,$B98-G$8)-1)/(POWER(G$5,$C$5-G$8)-1))</x:f>
        <x:v>0.6646161205276621</x:v>
      </x:c>
      <x:c r="H98" t="n">
        <x:f>IF($B98&lt;H$8,0,H$3+(H$4-H$3)*(POWER(H$5,$B98-H$8)-1)/(POWER(H$5,$C$5-H$8)-1))</x:f>
        <x:v>0.5423882653747244</x:v>
      </x:c>
      <x:c r="I98" t="n">
        <x:f>IF($B98&lt;I$8,0,I$3+(I$4-I$3)*(POWER(I$5,$B98-I$8)-1)/(POWER(I$5,$C$5-I$8)-1))</x:f>
        <x:v>0.24475359473369843</x:v>
      </x:c>
      <x:c r="J98" t="n">
        <x:f>IF($B98&lt;J$8,0,J$3+(J$4-J$3)*(POWER(J$5,$B98-J$8)-1)/(POWER(J$5,$C$5-J$8)-1))</x:f>
        <x:v>0.41301233064765075</x:v>
      </x:c>
      <x:c r="K98" t="n">
        <x:f>IF($B98&lt;K$8,0,K$3+(K$4-K$3)*(POWER(K$5,$B98-K$8)-1)/(POWER(K$5,$C$5-K$8)-1))</x:f>
        <x:v>0</x:v>
      </x:c>
      <x:c r="L98" t="n">
        <x:f>IF($B98&lt;L$8,0,L$3+(L$4-L$3)*(POWER(L$5,$B98-L$8)-1)/(POWER(L$5,$C$5-L$8)-1))</x:f>
        <x:v>0.5391560974472587</x:v>
      </x:c>
      <x:c r="M98" t="n">
        <x:f>E98*'模块规划'!$F$10+G98*'模块规划'!$F$11+H98*'模块规划'!$F$13</x:f>
        <x:v>4190.157378532778</x:v>
      </x:c>
      <x:c r="N98" t="n">
        <x:f>I98*'模块规划'!$F$15+J98*'模块规划'!$F$17+K98*'模块规划'!$F$16+L98*'模块规划'!$F$18</x:f>
        <x:v>8783.93255158239</x:v>
      </x:c>
      <x:c r="O98" t="n">
        <x:f>1+O$9*SUMPRODUCT($H$10:$L$10,H98:L98)/SUM($H$10:$L$10)</x:f>
        <x:v>2.3519702891822805</x:v>
      </x:c>
      <x:c r="P98" t="n">
        <x:f>M98*O98+N98</x:f>
        <x:v>18639.058212889395</x:v>
      </x:c>
      <x:c r="Q98" t="n">
        <x:f>P98/(P98+'_曲线基线'!$L$2)</x:f>
        <x:v>0.437135785688038</x:v>
      </x:c>
      <x:c r="R98" t="n">
        <x:f>E98*'模块规划'!$E$10+G98*'模块规划'!$E$11+H98*'模块规划'!$E$13</x:f>
        <x:v>6285.236067799166</x:v>
      </x:c>
      <x:c r="S98" t="n">
        <x:f>I98*'模块规划'!$E$15+J98*'模块规划'!$E$17+K98*'模块规划'!$E$16+L98*'模块规划'!$E$18</x:f>
        <x:v>13175.898827373581</x:v>
      </x:c>
      <x:c r="T98" t="n">
        <x:f>1+T$9*SUMPRODUCT($H$10:$L$10,H98:L98)/SUM($H$10:$L$10)</x:f>
        <x:v>2.3519702891822805</x:v>
      </x:c>
      <x:c r="U98" t="n">
        <x:f>R98*T98+S98</x:f>
        <x:v>27958.58731933409</x:v>
      </x:c>
      <x:c r="V98" t="n">
        <x:f>V$8+(V$9-V$8)*H98</x:f>
        <x:v>0.8627164796124173</x:v>
      </x:c>
      <x:c r="W98" t="n">
        <x:f>IF(B98&lt;$H$8,0,W$8+(W$9-W$8)*H98)</x:f>
        <x:v>0.21695530614988978</x:v>
      </x:c>
      <x:c r="X98" t="n">
        <x:f>X$8+(X$9-X$8)*H98</x:f>
        <x:v>0.4241567729780492</x:v>
      </x:c>
      <x:c r="Y98" t="n">
        <x:f>Y$8+(Y$9-Y$8)*G98</x:f>
        <x:v>1</x:v>
      </x:c>
      <x:c r="Z98" t="n">
        <x:f>Z$8+(Z$9-Z$8)*H98</x:f>
        <x:v>1</x:v>
      </x:c>
      <x:c r="AA98" t="n">
        <x:f>AA$8+(AA$9-AA$8)*I98</x:f>
        <x:v>1</x:v>
      </x:c>
      <x:c r="AB98" t="n">
        <x:f>AB$8+(AB$9-AB$8)*J98</x:f>
        <x:v>1</x:v>
      </x:c>
      <x:c r="AC98" t="n">
        <x:f>AC$8+(AC$9-AC$8)*MAX(K98,L98)</x:f>
        <x:v>1</x:v>
      </x:c>
      <x:c r="AD98" t="n">
        <x:f>(V98*AE98+W98*AF98+X98*AG98)*PRODUCT(Y98:AC98)</x:f>
        <x:v>1.6194120946500523</x:v>
      </x:c>
      <x:c r="AE98" t="n">
        <x:f>1+AE$9*($H$10*H98+$I$10*I98+$J$10*J98+$K$10*K98+$L$10*L98)</x:f>
        <x:v>1</x:v>
      </x:c>
      <x:c r="AF98" t="n">
        <x:f>1+AF$9*($H$10*H98+$I$10*I98+$J$10*J98+$K$10*K98+$L$10*L98)</x:f>
        <x:v>1.1193236935391648</x:v>
      </x:c>
      <x:c r="AG98" t="n">
        <x:f>1+AG$9*($H$10*H98+$I$10*I98+$J$10*J98+$K$10*K98+$L$10*L98)</x:f>
        <x:v>1.211468101327744</x:v>
      </x:c>
      <x:c r="AH98" t="n">
        <x:f>MIN(1,'_曲线基线'!$L$3+AH$9*($H$10*H98+$I$10*I98+$J$10*J98+$K$10*K98+$L$10*L98))</x:f>
        <x:v>0.3214614028015999</x:v>
      </x:c>
      <x:c r="AI98" t="n">
        <x:f>'_曲线基线'!$L$4+AI$9*($H$10*H98+$I$10*I98+$J$10*J98+$K$10*K98+$L$10*L98)</x:f>
        <x:v>2.7562139078044567</x:v>
      </x:c>
      <x:c r="AJ98" t="n">
        <x:f>1+AJ$9*($H$10*H98+$I$10*I98+$J$10*J98+$K$10*K98+$L$10*L98)</x:f>
        <x:v>1.620483206403657</x:v>
      </x:c>
      <x:c r="AK98" t="n">
        <x:f>(1+AH98*(AI98-1))*AJ98</x:f>
        <x:v>2.5353350809927635</x:v>
      </x:c>
      <x:c r="AL98" t="n">
        <x:f>U98*AD98*AK98*F98</x:f>
        <x:v>573955.1701377803</x:v>
      </x:c>
      <x:c r="AM98" t="n">
        <x:f>IF($B98&lt;AM$8,0,AM$3+(AM$4-AM$3)*(POWER(AM$5,$B98-AM$8)-1)/(POWER(AM$5,$C$5-AM$8)-1))</x:f>
        <x:v>36.81647174534483</x:v>
      </x:c>
      <x:c r="AN98" t="n">
        <x:f>(((E98*'模块规划'!$D$10+G98*'模块规划'!$D$11+H98*'模块规划'!$D$13)*(1+'模块规划'!$G$14*H98)+(I98*'模块规划'!$D$15+J98*'模块规划'!$D$17+K98*'模块规划'!$D$16+L98*'模块规划'!$D$18))*(1+'模块规划'!$J$17*J98))*F98/(1-Q98)</x:f>
        <x:v>997727.5676381276</x:v>
      </x:c>
      <x:c r="AO98" t="n">
        <x:f>AL98*AM98</x:f>
        <x:v>21131004.30447217</x:v>
      </x:c>
      <x:c r="AP98" t="n">
        <x:f>IF(AO98="","",INDEX('_曲线基线'!$A$3:$A$502,MIN(ROWS('_曲线基线'!$A$3:$A$502),COUNTIF('_曲线基线'!$E$3:$E$502,"&lt;"&amp;AO98)+1)))</x:f>
        <x:v>185</x:v>
      </x:c>
      <x:c r="AQ98" t="n">
        <x:f>IF(B98&lt;=2,1,IF(B98&lt;=6,2,IF(B98&lt;=9,3,IF(B98&lt;=19,4,5))))</x:f>
        <x:v>5</x:v>
      </x:c>
      <x:c r="AR98" t="n">
        <x:f>AN98*(1-Q98)/F98*$AS$3+U98*$AS$4+P98*$AS$5</x:f>
        <x:v>8961.228324602936</x:v>
      </x:c>
      <x:c r="AS98" t="n">
        <x:f>1+AH98*$AS$6+AI98*$AS$7+(AJ98-1)*$AS$8+($H$10*H98+$I$10*I98+$J$10*J98+$K$10*K98+$L$10*L98)*$AU$3*$AS$9+($H$10*H98+$I$10*I98+$J$10*J98+$K$10*K98+$L$10*L98)*$AU$4*$AS$10</x:f>
        <x:v>12.111306270511882</x:v>
      </x:c>
      <x:c r="AT98" t="n">
        <x:f>ROUND(AR98*AS98,0)</x:f>
        <x:v>108532</x:v>
      </x:c>
      <x:c r="AU98" t="n">
        <x:f>ROUND(AT98*F98,0)</x:f>
        <x:v>542660</x:v>
      </x:c>
    </x:row>
    <x:row r="99">
      <x:c r="A99" t="n">
        <x:f>IFERROR(XLOOKUP(B99,'_曲线基线'!$G$3:$G$107,'_曲线基线'!$J$3:$J$107,""),"")</x:f>
        <x:v>35</x:v>
      </x:c>
      <x:c r="B99" t="n">
        <x:v>88</x:v>
      </x:c>
      <x:c r="C99" t="n">
        <x:f>C84+1</x:f>
        <x:v>7</x:v>
      </x:c>
      <x:c r="D99" t="n">
        <x:f>D84</x:f>
        <x:v>4</x:v>
      </x:c>
      <x:c r="E99" t="n">
        <x:f>IF($B99&lt;E$8,0,E$3+(E$4-E$3)*(POWER(E$5,$B99-E$8)-1)/(POWER(E$5,$C$5-E$8)-1))</x:f>
        <x:v>1</x:v>
      </x:c>
      <x:c r="F99" t="n">
        <x:f>1+IF(B99&lt;3,0,MIN(1,(B99-2)/4))+IF(B99&lt;7,0,MIN(1,(B99-6)/3))+IF(B99&lt;10,0,MIN(1,(B99-9)/5))+IF(B99&lt;20,0,MIN(1,(B99-19)/10))</x:f>
        <x:v>5</x:v>
      </x:c>
      <x:c r="G99" t="n">
        <x:f>IF($B99&lt;G$8,0,G$3+(G$4-G$3)*(POWER(G$5,$B99-G$8)-1)/(POWER(G$5,$C$5-G$8)-1))</x:f>
        <x:v>0.668352069174243</x:v>
      </x:c>
      <x:c r="H99" t="n">
        <x:f>IF($B99&lt;H$8,0,H$3+(H$4-H$3)*(POWER(H$5,$B99-H$8)-1)/(POWER(H$5,$C$5-H$8)-1))</x:f>
        <x:v>0.5456070423067413</x:v>
      </x:c>
      <x:c r="I99" t="n">
        <x:f>IF($B99&lt;I$8,0,I$3+(I$4-I$3)*(POWER(I$5,$B99-I$8)-1)/(POWER(I$5,$C$5-I$8)-1))</x:f>
        <x:v>0.25302961418209263</x:v>
      </x:c>
      <x:c r="J99" t="n">
        <x:f>IF($B99&lt;J$8,0,J$3+(J$4-J$3)*(POWER(J$5,$B99-J$8)-1)/(POWER(J$5,$C$5-J$8)-1))</x:f>
        <x:v>0.4168310285264216</x:v>
      </x:c>
      <x:c r="K99" t="n">
        <x:f>IF($B99&lt;K$8,0,K$3+(K$4-K$3)*(POWER(K$5,$B99-K$8)-1)/(POWER(K$5,$C$5-K$8)-1))</x:f>
        <x:v>0</x:v>
      </x:c>
      <x:c r="L99" t="n">
        <x:f>IF($B99&lt;L$8,0,L$3+(L$4-L$3)*(POWER(L$5,$B99-L$8)-1)/(POWER(L$5,$C$5-L$8)-1))</x:f>
        <x:v>0.5424408823296992</x:v>
      </x:c>
      <x:c r="M99" t="n">
        <x:f>E99*'模块规划'!$F$10+G99*'模块规划'!$F$11+H99*'模块规划'!$F$13</x:f>
        <x:v>4208.089932036366</x:v>
      </x:c>
      <x:c r="N99" t="n">
        <x:f>I99*'模块规划'!$F$15+J99*'模块规划'!$F$17+K99*'模块规划'!$F$16+L99*'模块规划'!$F$18</x:f>
        <x:v>8904.751610369452</x:v>
      </x:c>
      <x:c r="O99" t="n">
        <x:f>1+O$9*SUMPRODUCT($H$10:$L$10,H99:L99)/SUM($H$10:$L$10)</x:f>
        <x:v>2.3640878127280196</x:v>
      </x:c>
      <x:c r="P99" t="n">
        <x:f>M99*O99+N99</x:f>
        <x:v>18853.045733560106</x:v>
      </x:c>
      <x:c r="Q99" t="n">
        <x:f>P99/(P99+'_曲线基线'!$L$2)</x:f>
        <x:v>0.4399464591333692</x:v>
      </x:c>
      <x:c r="R99" t="n">
        <x:f>E99*'模块规划'!$E$10+G99*'模块规划'!$E$11+H99*'模块规划'!$E$13</x:f>
        <x:v>6312.134898054549</x:v>
      </x:c>
      <x:c r="S99" t="n">
        <x:f>I99*'模块规划'!$E$15+J99*'模块规划'!$E$17+K99*'模块规划'!$E$16+L99*'模块规划'!$E$18</x:f>
        <x:v>13357.127415554181</x:v>
      </x:c>
      <x:c r="T99" t="n">
        <x:f>1+T$9*SUMPRODUCT($H$10:$L$10,H99:L99)/SUM($H$10:$L$10)</x:f>
        <x:v>2.3640878127280196</x:v>
      </x:c>
      <x:c r="U99" t="n">
        <x:f>R99*T99+S99</x:f>
        <x:v>28279.56860034016</x:v>
      </x:c>
      <x:c r="V99" t="n">
        <x:f>V$8+(V$9-V$8)*H99</x:f>
        <x:v>0.8636821126920223</x:v>
      </x:c>
      <x:c r="W99" t="n">
        <x:f>IF(B99&lt;$H$8,0,W$8+(W$9-W$8)*H99)</x:f>
        <x:v>0.21824281692269654</x:v>
      </x:c>
      <x:c r="X99" t="n">
        <x:f>X$8+(X$9-X$8)*H99</x:f>
        <x:v>0.42504193663435386</x:v>
      </x:c>
      <x:c r="Y99" t="n">
        <x:f>Y$8+(Y$9-Y$8)*G99</x:f>
        <x:v>1</x:v>
      </x:c>
      <x:c r="Z99" t="n">
        <x:f>Z$8+(Z$9-Z$8)*H99</x:f>
        <x:v>1</x:v>
      </x:c>
      <x:c r="AA99" t="n">
        <x:f>AA$8+(AA$9-AA$8)*I99</x:f>
        <x:v>1</x:v>
      </x:c>
      <x:c r="AB99" t="n">
        <x:f>AB$8+(AB$9-AB$8)*J99</x:f>
        <x:v>1</x:v>
      </x:c>
      <x:c r="AC99" t="n">
        <x:f>AC$8+(AC$9-AC$8)*MAX(K99,L99)</x:f>
        <x:v>1</x:v>
      </x:c>
      <x:c r="AD99" t="n">
        <x:f>(V99*AE99+W99*AF99+X99*AG99)*PRODUCT(Y99:AC99)</x:f>
        <x:v>1.6239302305674912</x:v>
      </x:c>
      <x:c r="AE99" t="n">
        <x:f>1+AE$9*($H$10*H99+$I$10*I99+$J$10*J99+$K$10*K99+$L$10*L99)</x:f>
        <x:v>1</x:v>
      </x:c>
      <x:c r="AF99" t="n">
        <x:f>1+AF$9*($H$10*H99+$I$10*I99+$J$10*J99+$K$10*K99+$L$10*L99)</x:f>
        <x:v>1.1203931753743759</x:v>
      </x:c>
      <x:c r="AG99" t="n">
        <x:f>1+AG$9*($H$10*H99+$I$10*I99+$J$10*J99+$K$10*K99+$L$10*L99)</x:f>
        <x:v>1.2133634608023678</x:v>
      </x:c>
      <x:c r="AH99" t="n">
        <x:f>MIN(1,'_曲线基线'!$L$3+AH$9*($H$10*H99+$I$10*I99+$J$10*J99+$K$10*K99+$L$10*L99))</x:f>
        <x:v>0.32389447397670484</x:v>
      </x:c>
      <x:c r="AI99" t="n">
        <x:f>'_曲线基线'!$L$4+AI$9*($H$10*H99+$I$10*I99+$J$10*J99+$K$10*K99+$L$10*L99)</x:f>
        <x:v>2.7629917489351064</x:v>
      </x:c>
      <x:c r="AJ99" t="n">
        <x:f>1+AJ$9*($H$10*H99+$I$10*I99+$J$10*J99+$K$10*K99+$L$10*L99)</x:f>
        <x:v>1.6260445119467541</x:v>
      </x:c>
      <x:c r="AK99" t="n">
        <x:f>(1+AH99*(AI99-1))*AJ99</x:f>
        <x:v>2.554553790953201</x:v>
      </x:c>
      <x:c r="AL99" t="n">
        <x:f>U99*AD99*AK99*F99</x:f>
        <x:v>586577.2335923054</x:v>
      </x:c>
      <x:c r="AM99" t="n">
        <x:f>IF($B99&lt;AM$8,0,AM$3+(AM$4-AM$3)*(POWER(AM$5,$B99-AM$8)-1)/(POWER(AM$5,$C$5-AM$8)-1))</x:f>
        <x:v>36.848061102720145</x:v>
      </x:c>
      <x:c r="AN99" t="n">
        <x:f>(((E99*'模块规划'!$D$10+G99*'模块规划'!$D$11+H99*'模块规划'!$D$13)*(1+'模块规划'!$G$14*H99)+(I99*'模块规划'!$D$15+J99*'模块规划'!$D$17+K99*'模块规划'!$D$16+L99*'模块规划'!$D$18))*(1+'模块规划'!$J$17*J99))*F99/(1-Q99)</x:f>
        <x:v>1016501.335973519</x:v>
      </x:c>
      <x:c r="AO99" t="n">
        <x:f>AL99*AM99</x:f>
        <x:v>21614233.744873818</x:v>
      </x:c>
      <x:c r="AP99" t="n">
        <x:f>IF(AO99="","",INDEX('_曲线基线'!$A$3:$A$502,MIN(ROWS('_曲线基线'!$A$3:$A$502),COUNTIF('_曲线基线'!$E$3:$E$502,"&lt;"&amp;AO99)+1)))</x:f>
        <x:v>187</x:v>
      </x:c>
      <x:c r="AQ99" t="n">
        <x:f>IF(B99&lt;=2,1,IF(B99&lt;=6,2,IF(B99&lt;=9,3,IF(B99&lt;=19,4,5))))</x:f>
        <x:v>5</x:v>
      </x:c>
      <x:c r="AR99" t="n">
        <x:f>AN99*(1-Q99)/F99*$AS$3+U99*$AS$4+P99*$AS$5</x:f>
        <x:v>9071.68475511381</x:v>
      </x:c>
      <x:c r="AS99" t="n">
        <x:f>1+AH99*$AS$6+AI99*$AS$7+(AJ99-1)*$AS$8+($H$10*H99+$I$10*I99+$J$10*J99+$K$10*K99+$L$10*L99)*$AU$3*$AS$9+($H$10*H99+$I$10*I99+$J$10*J99+$K$10*K99+$L$10*L99)*$AU$4*$AS$10</x:f>
        <x:v>12.175209025364474</x:v>
      </x:c>
      <x:c r="AT99" t="n">
        <x:f>ROUND(AR99*AS99,0)</x:f>
        <x:v>110450</x:v>
      </x:c>
      <x:c r="AU99" t="n">
        <x:f>ROUND(AT99*F99,0)</x:f>
        <x:v>552250</x:v>
      </x:c>
    </x:row>
    <x:row r="100">
      <x:c r="A100" t="n">
        <x:f>IFERROR(XLOOKUP(B100,'_曲线基线'!$G$3:$G$107,'_曲线基线'!$J$3:$J$107,""),"")</x:f>
        <x:v>35</x:v>
      </x:c>
      <x:c r="B100" t="n">
        <x:v>89</x:v>
      </x:c>
      <x:c r="C100" t="n">
        <x:f>C85+1</x:f>
        <x:v>7</x:v>
      </x:c>
      <x:c r="D100" t="n">
        <x:f>D85</x:f>
        <x:v>5</x:v>
      </x:c>
      <x:c r="E100" t="n">
        <x:f>IF($B100&lt;E$8,0,E$3+(E$4-E$3)*(POWER(E$5,$B100-E$8)-1)/(POWER(E$5,$C$5-E$8)-1))</x:f>
        <x:v>1</x:v>
      </x:c>
      <x:c r="F100" t="n">
        <x:f>1+IF(B100&lt;3,0,MIN(1,(B100-2)/4))+IF(B100&lt;7,0,MIN(1,(B100-6)/3))+IF(B100&lt;10,0,MIN(1,(B100-9)/5))+IF(B100&lt;20,0,MIN(1,(B100-19)/10))</x:f>
        <x:v>5</x:v>
      </x:c>
      <x:c r="G100" t="n">
        <x:f>IF($B100&lt;G$8,0,G$3+(G$4-G$3)*(POWER(G$5,$B100-G$8)-1)/(POWER(G$5,$C$5-G$8)-1))</x:f>
        <x:v>0.6720319785911251</x:v>
      </x:c>
      <x:c r="H100" t="n">
        <x:f>IF($B100&lt;H$8,0,H$3+(H$4-H$3)*(POWER(H$5,$B100-H$8)-1)/(POWER(H$5,$C$5-H$8)-1))</x:f>
        <x:v>0.5487614437001177</x:v>
      </x:c>
      <x:c r="I100" t="n">
        <x:f>IF($B100&lt;I$8,0,I$3+(I$4-I$3)*(POWER(I$5,$B100-I$8)-1)/(POWER(I$5,$C$5-I$8)-1))</x:f>
        <x:v>0.261140113241519</x:v>
      </x:c>
      <x:c r="J100" t="n">
        <x:f>IF($B100&lt;J$8,0,J$3+(J$4-J$3)*(POWER(J$5,$B100-J$8)-1)/(POWER(J$5,$C$5-J$8)-1))</x:f>
        <x:v>0.42057335244761707</x:v>
      </x:c>
      <x:c r="K100" t="n">
        <x:f>IF($B100&lt;K$8,0,K$3+(K$4-K$3)*(POWER(K$5,$B100-K$8)-1)/(POWER(K$5,$C$5-K$8)-1))</x:f>
        <x:v>0</x:v>
      </x:c>
      <x:c r="L100" t="n">
        <x:f>IF($B100&lt;L$8,0,L$3+(L$4-L$3)*(POWER(L$5,$B100-L$8)-1)/(POWER(L$5,$C$5-L$8)-1))</x:f>
        <x:v>0.5456599715144909</x:v>
      </x:c>
      <x:c r="M100" t="n">
        <x:f>E100*'模块规划'!$F$10+G100*'模块规划'!$F$11+H100*'模块规划'!$F$13</x:f>
        <x:v>4225.753497237401</x:v>
      </x:c>
      <x:c r="N100" t="n">
        <x:f>I100*'模块规划'!$F$15+J100*'模块规划'!$F$17+K100*'模块规划'!$F$16+L100*'模块规划'!$F$18</x:f>
        <x:v>9023.154287980777</x:v>
      </x:c>
      <x:c r="O100" t="n">
        <x:f>1+O$9*SUMPRODUCT($H$10:$L$10,H100:L100)/SUM($H$10:$L$10)</x:f>
        <x:v>2.3759629858028437</x:v>
      </x:c>
      <x:c r="P100" t="n">
        <x:f>M100*O100+N100</x:f>
        <x:v>19063.388184543757</x:v>
      </x:c>
      <x:c r="Q100" t="n">
        <x:f>P100/(P100+'_曲线基线'!$L$2)</x:f>
        <x:v>0.4426820319583204</x:v>
      </x:c>
      <x:c r="R100" t="n">
        <x:f>E100*'模块规划'!$E$10+G100*'模块规划'!$E$11+H100*'模块规划'!$E$13</x:f>
        <x:v>6338.6302458561</x:v>
      </x:c>
      <x:c r="S100" t="n">
        <x:f>I100*'模块规划'!$E$15+J100*'模块规划'!$E$17+K100*'模块规划'!$E$16+L100*'模块规划'!$E$18</x:f>
        <x:v>13534.731431971166</x:v>
      </x:c>
      <x:c r="T100" t="n">
        <x:f>1+T$9*SUMPRODUCT($H$10:$L$10,H100:L100)/SUM($H$10:$L$10)</x:f>
        <x:v>2.3759629858028437</x:v>
      </x:c>
      <x:c r="U100" t="n">
        <x:f>R100*T100+S100</x:f>
        <x:v>28595.08227681564</x:v>
      </x:c>
      <x:c r="V100" t="n">
        <x:f>V$8+(V$9-V$8)*H100</x:f>
        <x:v>0.8646284331100353</x:v>
      </x:c>
      <x:c r="W100" t="n">
        <x:f>IF(B100&lt;$H$8,0,W$8+(W$9-W$8)*H100)</x:f>
        <x:v>0.2195045774800471</x:v>
      </x:c>
      <x:c r="X100" t="n">
        <x:f>X$8+(X$9-X$8)*H100</x:f>
        <x:v>0.4259093970175324</x:v>
      </x:c>
      <x:c r="Y100" t="n">
        <x:f>Y$8+(Y$9-Y$8)*G100</x:f>
        <x:v>1</x:v>
      </x:c>
      <x:c r="Z100" t="n">
        <x:f>Z$8+(Z$9-Z$8)*H100</x:f>
        <x:v>1</x:v>
      </x:c>
      <x:c r="AA100" t="n">
        <x:f>AA$8+(AA$9-AA$8)*I100</x:f>
        <x:v>1</x:v>
      </x:c>
      <x:c r="AB100" t="n">
        <x:f>AB$8+(AB$9-AB$8)*J100</x:f>
        <x:v>1</x:v>
      </x:c>
      <x:c r="AC100" t="n">
        <x:f>AC$8+(AC$9-AC$8)*MAX(K100,L100)</x:f>
        <x:v>1</x:v>
      </x:c>
      <x:c r="AD100" t="n">
        <x:f>(V100*AE100+W100*AF100+X100*AG100)*PRODUCT(Y100:AC100)</x:f>
        <x:v>1.6283639310535014</x:v>
      </x:c>
      <x:c r="AE100" t="n">
        <x:f>1+AE$9*($H$10*H100+$I$10*I100+$J$10*J100+$K$10*K100+$L$10*L100)</x:f>
        <x:v>1</x:v>
      </x:c>
      <x:c r="AF100" t="n">
        <x:f>1+AF$9*($H$10*H100+$I$10*I100+$J$10*J100+$K$10*K100+$L$10*L100)</x:f>
        <x:v>1.1214412675728826</x:v>
      </x:c>
      <x:c r="AG100" t="n">
        <x:f>1+AG$9*($H$10*H100+$I$10*I100+$J$10*J100+$K$10*K100+$L$10*L100)</x:f>
        <x:v>1.2152209130874994</x:v>
      </x:c>
      <x:c r="AH100" t="n">
        <x:f>MIN(1,'_曲线基线'!$L$3+AH$9*($H$10*H100+$I$10*I100+$J$10*J100+$K$10*K100+$L$10*L100))</x:f>
        <x:v>0.32627888372830777</x:v>
      </x:c>
      <x:c r="AI100" t="n">
        <x:f>'_曲线基线'!$L$4+AI$9*($H$10*H100+$I$10*I100+$J$10*J100+$K$10*K100+$L$10*L100)</x:f>
        <x:v>2.7696340332431433</x:v>
      </x:c>
      <x:c r="AJ100" t="n">
        <x:f>1+AJ$9*($H$10*H100+$I$10*I100+$J$10*J100+$K$10*K100+$L$10*L100)</x:f>
        <x:v>1.6314945913789893</x:v>
      </x:c>
      <x:c r="AK100" t="n">
        <x:f>(1+AH100*(AI100-1))*AJ100</x:f>
        <x:v>2.5735101334658967</x:v>
      </x:c>
      <x:c r="AL100" t="n">
        <x:f>U100*AD100*AK100*F100</x:f>
        <x:v>599154.3427614633</x:v>
      </x:c>
      <x:c r="AM100" t="n">
        <x:f>IF($B100&lt;AM$8,0,AM$3+(AM$4-AM$3)*(POWER(AM$5,$B100-AM$8)-1)/(POWER(AM$5,$C$5-AM$8)-1))</x:f>
        <x:v>36.87996635366921</x:v>
      </x:c>
      <x:c r="AN100" t="n">
        <x:f>(((E100*'模块规划'!$D$10+G100*'模块规划'!$D$11+H100*'模块规划'!$D$13)*(1+'模块规划'!$G$14*H100)+(I100*'模块规划'!$D$15+J100*'模块规划'!$D$17+K100*'模块规划'!$D$16+L100*'模块规划'!$D$18))*(1+'模块规划'!$J$17*J100))*F100/(1-Q100)</x:f>
        <x:v>1035127.8157527308</x:v>
      </x:c>
      <x:c r="AO100" t="n">
        <x:f>AL100*AM100</x:f>
        <x:v>22096792.001697555</x:v>
      </x:c>
      <x:c r="AP100" t="n">
        <x:f>IF(AO100="","",INDEX('_曲线基线'!$A$3:$A$502,MIN(ROWS('_曲线基线'!$A$3:$A$502),COUNTIF('_曲线基线'!$E$3:$E$502,"&lt;"&amp;AO100)+1)))</x:f>
        <x:v>188</x:v>
      </x:c>
      <x:c r="AQ100" t="n">
        <x:f>IF(B100&lt;=2,1,IF(B100&lt;=6,2,IF(B100&lt;=9,3,IF(B100&lt;=19,4,5))))</x:f>
        <x:v>5</x:v>
      </x:c>
      <x:c r="AR100" t="n">
        <x:f>AN100*(1-Q100)/F100*$AS$3+U100*$AS$4+P100*$AS$5</x:f>
        <x:v>9180.388440995532</x:v>
      </x:c>
      <x:c r="AS100" t="n">
        <x:f>1+AH100*$AS$6+AI100*$AS$7+(AJ100-1)*$AS$8+($H$10*H100+$I$10*I100+$J$10*J100+$K$10*K100+$L$10*L100)*$AU$3*$AS$9+($H$10*H100+$I$10*I100+$J$10*J100+$K$10*K100+$L$10*L100)*$AU$4*$AS$10</x:f>
        <x:v>12.237833725120012</x:v>
      </x:c>
      <x:c r="AT100" t="n">
        <x:f>ROUND(AR100*AS100,0)</x:f>
        <x:v>112348</x:v>
      </x:c>
      <x:c r="AU100" t="n">
        <x:f>ROUND(AT100*F100,0)</x:f>
        <x:v>561740</x:v>
      </x:c>
    </x:row>
    <x:row r="101">
      <x:c r="A101" t="n">
        <x:f>IFERROR(XLOOKUP(B101,'_曲线基线'!$G$3:$G$107,'_曲线基线'!$J$3:$J$107,""),"")</x:f>
        <x:v>36</x:v>
      </x:c>
      <x:c r="B101" t="n">
        <x:v>90</x:v>
      </x:c>
      <x:c r="C101" t="n">
        <x:f>C86+1</x:f>
        <x:v>7</x:v>
      </x:c>
      <x:c r="D101" t="n">
        <x:f>D86</x:f>
        <x:v>6</x:v>
      </x:c>
      <x:c r="E101" t="n">
        <x:f>IF($B101&lt;E$8,0,E$3+(E$4-E$3)*(POWER(E$5,$B101-E$8)-1)/(POWER(E$5,$C$5-E$8)-1))</x:f>
        <x:v>1</x:v>
      </x:c>
      <x:c r="F101" t="n">
        <x:f>1+IF(B101&lt;3,0,MIN(1,(B101-2)/4))+IF(B101&lt;7,0,MIN(1,(B101-6)/3))+IF(B101&lt;10,0,MIN(1,(B101-9)/5))+IF(B101&lt;20,0,MIN(1,(B101-19)/10))</x:f>
        <x:v>5</x:v>
      </x:c>
      <x:c r="G101" t="n">
        <x:f>IF($B101&lt;G$8,0,G$3+(G$4-G$3)*(POWER(G$5,$B101-G$8)-1)/(POWER(G$5,$C$5-G$8)-1))</x:f>
        <x:v>0.675656689366754</x:v>
      </x:c>
      <x:c r="H101" t="n">
        <x:f>IF($B101&lt;H$8,0,H$3+(H$4-H$3)*(POWER(H$5,$B101-H$8)-1)/(POWER(H$5,$C$5-H$8)-1))</x:f>
        <x:v>0.5518527570656268</x:v>
      </x:c>
      <x:c r="I101" t="n">
        <x:f>IF($B101&lt;I$8,0,I$3+(I$4-I$3)*(POWER(I$5,$B101-I$8)-1)/(POWER(I$5,$C$5-I$8)-1))</x:f>
        <x:v>0.26908840231975684</x:v>
      </x:c>
      <x:c r="J101" t="n">
        <x:f>IF($B101&lt;J$8,0,J$3+(J$4-J$3)*(POWER(J$5,$B101-J$8)-1)/(POWER(J$5,$C$5-J$8)-1))</x:f>
        <x:v>0.42424082989038864</x:v>
      </x:c>
      <x:c r="K101" t="n">
        <x:f>IF($B101&lt;K$8,0,K$3+(K$4-K$3)*(POWER(K$5,$B101-K$8)-1)/(POWER(K$5,$C$5-K$8)-1))</x:f>
        <x:v>0</x:v>
      </x:c>
      <x:c r="L101" t="n">
        <x:f>IF($B101&lt;L$8,0,L$3+(L$4-L$3)*(POWER(L$5,$B101-L$8)-1)/(POWER(L$5,$C$5-L$8)-1))</x:f>
        <x:v>0.5488146789155867</x:v>
      </x:c>
      <x:c r="M101" t="n">
        <x:f>E101*'模块规划'!$F$10+G101*'模块规划'!$F$11+H101*'模块规划'!$F$13</x:f>
        <x:v>4243.152108960419</x:v>
      </x:c>
      <x:c r="N101" t="n">
        <x:f>I101*'模块规划'!$F$15+J101*'模块规划'!$F$17+K101*'模块规划'!$F$16+L101*'模块规划'!$F$18</x:f>
        <x:v>9139.188912039874</x:v>
      </x:c>
      <x:c r="O101" t="n">
        <x:f>1+O$9*SUMPRODUCT($H$10:$L$10,H101:L101)/SUM($H$10:$L$10)</x:f>
        <x:v>2.387600655416172</x:v>
      </x:c>
      <x:c r="P101" t="n">
        <x:f>M101*O101+N101</x:f>
        <x:v>19270.141668424283</x:v>
      </x:c>
      <x:c r="Q101" t="n">
        <x:f>P101/(P101+'_曲线基线'!$L$2)</x:f>
        <x:v>0.44534500987054476</x:v>
      </x:c>
      <x:c r="R101" t="n">
        <x:f>E101*'模块规划'!$E$10+G101*'模块规划'!$E$11+H101*'模块规划'!$E$13</x:f>
        <x:v>6364.728163440629</x:v>
      </x:c>
      <x:c r="S101" t="n">
        <x:f>I101*'模块规划'!$E$15+J101*'模块规划'!$E$17+K101*'模块规划'!$E$16+L101*'模块规划'!$E$18</x:f>
        <x:v>13708.783368059812</x:v>
      </x:c>
      <x:c r="T101" t="n">
        <x:f>1+T$9*SUMPRODUCT($H$10:$L$10,H101:L101)/SUM($H$10:$L$10)</x:f>
        <x:v>2.387600655416172</x:v>
      </x:c>
      <x:c r="U101" t="n">
        <x:f>R101*T101+S101</x:f>
        <x:v>28905.212502636427</x:v>
      </x:c>
      <x:c r="V101" t="n">
        <x:f>V$8+(V$9-V$8)*H101</x:f>
        <x:v>0.865555827119688</x:v>
      </x:c>
      <x:c r="W101" t="n">
        <x:f>IF(B101&lt;$H$8,0,W$8+(W$9-W$8)*H101)</x:f>
        <x:v>0.2207411028262507</x:v>
      </x:c>
      <x:c r="X101" t="n">
        <x:f>X$8+(X$9-X$8)*H101</x:f>
        <x:v>0.4267595081930474</x:v>
      </x:c>
      <x:c r="Y101" t="n">
        <x:f>Y$8+(Y$9-Y$8)*G101</x:f>
        <x:v>1</x:v>
      </x:c>
      <x:c r="Z101" t="n">
        <x:f>Z$8+(Z$9-Z$8)*H101</x:f>
        <x:v>1</x:v>
      </x:c>
      <x:c r="AA101" t="n">
        <x:f>AA$8+(AA$9-AA$8)*I101</x:f>
        <x:v>1</x:v>
      </x:c>
      <x:c r="AB101" t="n">
        <x:f>AB$8+(AB$9-AB$8)*J101</x:f>
        <x:v>1</x:v>
      </x:c>
      <x:c r="AC101" t="n">
        <x:f>AC$8+(AC$9-AC$8)*MAX(K101,L101)</x:f>
        <x:v>1</x:v>
      </x:c>
      <x:c r="AD101" t="n">
        <x:f>(V101*AE101+W101*AF101+X101*AG101)*PRODUCT(Y101:AC101)</x:f>
        <x:v>1.6327146500961494</x:v>
      </x:c>
      <x:c r="AE101" t="n">
        <x:f>1+AE$9*($H$10*H101+$I$10*I101+$J$10*J101+$K$10*K101+$L$10*L101)</x:f>
        <x:v>1</x:v>
      </x:c>
      <x:c r="AF101" t="n">
        <x:f>1+AF$9*($H$10*H101+$I$10*I101+$J$10*J101+$K$10*K101+$L$10*L101)</x:f>
        <x:v>1.1224683979274193</x:v>
      </x:c>
      <x:c r="AG101" t="n">
        <x:f>1+AG$9*($H$10*H101+$I$10*I101+$J$10*J101+$K$10*K101+$L$10*L101)</x:f>
        <x:v>1.2170412163269282</x:v>
      </x:c>
      <x:c r="AH101" t="n">
        <x:f>MIN(1,'_曲线基线'!$L$3+AH$9*($H$10*H101+$I$10*I101+$J$10*J101+$K$10*K101+$L$10*L101))</x:f>
        <x:v>0.32861560528487865</x:v>
      </x:c>
      <x:c r="AI101" t="n">
        <x:f>'_曲线基线'!$L$4+AI$9*($H$10*H101+$I$10*I101+$J$10*J101+$K$10*K101+$L$10*L101)</x:f>
        <x:v>2.7761434718650193</x:v>
      </x:c>
      <x:c r="AJ101" t="n">
        <x:f>1+AJ$9*($H$10*H101+$I$10*I101+$J$10*J101+$K$10*K101+$L$10*L101)</x:f>
        <x:v>1.6368356692225798</x:v>
      </x:c>
      <x:c r="AK101" t="n">
        <x:f>(1+AH101*(AI101-1))*AJ101</x:f>
        <x:v>2.592205026954934</x:v>
      </x:c>
      <x:c r="AL101" t="n">
        <x:f>U101*AD101*AK101*F101</x:f>
        <x:v>611682.1525404375</x:v>
      </x:c>
      <x:c r="AM101" t="n">
        <x:f>IF($B101&lt;AM$8,0,AM$3+(AM$4-AM$3)*(POWER(AM$5,$B101-AM$8)-1)/(POWER(AM$5,$C$5-AM$8)-1))</x:f>
        <x:v>36.91219065712777</x:v>
      </x:c>
      <x:c r="AN101" t="n">
        <x:f>(((E101*'模块规划'!$D$10+G101*'模块规划'!$D$11+H101*'模块规划'!$D$13)*(1+'模块规划'!$G$14*H101)+(I101*'模块规划'!$D$15+J101*'模块规划'!$D$17+K101*'模块规划'!$D$16+L101*'模块规划'!$D$18))*(1+'模块规划'!$J$17*J101))*F101/(1-Q101)</x:f>
        <x:v>1053603.2294991477</x:v>
      </x:c>
      <x:c r="AO101" t="n">
        <x:f>AL101*AM101</x:f>
        <x:v>22578528.236134943</x:v>
      </x:c>
      <x:c r="AP101" t="n">
        <x:f>IF(AO101="","",INDEX('_曲线基线'!$A$3:$A$502,MIN(ROWS('_曲线基线'!$A$3:$A$502),COUNTIF('_曲线基线'!$E$3:$E$502,"&lt;"&amp;AO101)+1)))</x:f>
        <x:v>189</x:v>
      </x:c>
      <x:c r="AQ101" t="n">
        <x:f>IF(B101&lt;=2,1,IF(B101&lt;=6,2,IF(B101&lt;=9,3,IF(B101&lt;=19,4,5))))</x:f>
        <x:v>5</x:v>
      </x:c>
      <x:c r="AR101" t="n">
        <x:f>AN101*(1-Q101)/F101*$AS$3+U101*$AS$4+P101*$AS$5</x:f>
        <x:v>9287.360233676558</x:v>
      </x:c>
      <x:c r="AS101" t="n">
        <x:f>1+AH101*$AS$6+AI101*$AS$7+(AJ101-1)*$AS$8+($H$10*H101+$I$10*I101+$J$10*J101+$K$10*K101+$L$10*L101)*$AU$3*$AS$9+($H$10*H101+$I$10*I101+$J$10*J101+$K$10*K101+$L$10*L101)*$AU$4*$AS$10</x:f>
        <x:v>12.299205930880442</x:v>
      </x:c>
      <x:c r="AT101" t="n">
        <x:f>ROUND(AR101*AS101,0)</x:f>
        <x:v>114227</x:v>
      </x:c>
      <x:c r="AU101" t="n">
        <x:f>ROUND(AT101*F101,0)</x:f>
        <x:v>571135</x:v>
      </x:c>
    </x:row>
    <x:row r="102">
      <x:c r="A102" t="n">
        <x:f>IFERROR(XLOOKUP(B102,'_曲线基线'!$G$3:$G$107,'_曲线基线'!$J$3:$J$107,""),"")</x:f>
        <x:v>36</x:v>
      </x:c>
      <x:c r="B102" t="n">
        <x:v>91</x:v>
      </x:c>
      <x:c r="C102" t="n">
        <x:f>C87+1</x:f>
        <x:v>7</x:v>
      </x:c>
      <x:c r="D102" t="n">
        <x:f>D87</x:f>
        <x:v>7</x:v>
      </x:c>
      <x:c r="E102" t="n">
        <x:f>IF($B102&lt;E$8,0,E$3+(E$4-E$3)*(POWER(E$5,$B102-E$8)-1)/(POWER(E$5,$C$5-E$8)-1))</x:f>
        <x:v>1</x:v>
      </x:c>
      <x:c r="F102" t="n">
        <x:f>1+IF(B102&lt;3,0,MIN(1,(B102-2)/4))+IF(B102&lt;7,0,MIN(1,(B102-6)/3))+IF(B102&lt;10,0,MIN(1,(B102-9)/5))+IF(B102&lt;20,0,MIN(1,(B102-19)/10))</x:f>
        <x:v>5</x:v>
      </x:c>
      <x:c r="G102" t="n">
        <x:f>IF($B102&lt;G$8,0,G$3+(G$4-G$3)*(POWER(G$5,$B102-G$8)-1)/(POWER(G$5,$C$5-G$8)-1))</x:f>
        <x:v>0.6792270294807486</x:v>
      </x:c>
      <x:c r="H102" t="n">
        <x:f>IF($B102&lt;H$8,0,H$3+(H$4-H$3)*(POWER(H$5,$B102-H$8)-1)/(POWER(H$5,$C$5-H$8)-1))</x:f>
        <x:v>0.5548822441638256</x:v>
      </x:c>
      <x:c r="I102" t="n">
        <x:f>IF($B102&lt;I$8,0,I$3+(I$4-I$3)*(POWER(I$5,$B102-I$8)-1)/(POWER(I$5,$C$5-I$8)-1))</x:f>
        <x:v>0.2768777256164299</x:v>
      </x:c>
      <x:c r="J102" t="n">
        <x:f>IF($B102&lt;J$8,0,J$3+(J$4-J$3)*(POWER(J$5,$B102-J$8)-1)/(POWER(J$5,$C$5-J$8)-1))</x:f>
        <x:v>0.42783495778430475</x:v>
      </x:c>
      <x:c r="K102" t="n">
        <x:f>IF($B102&lt;K$8,0,K$3+(K$4-K$3)*(POWER(K$5,$B102-K$8)-1)/(POWER(K$5,$C$5-K$8)-1))</x:f>
        <x:v>0</x:v>
      </x:c>
      <x:c r="L102" t="n">
        <x:f>IF($B102&lt;L$8,0,L$3+(L$4-L$3)*(POWER(L$5,$B102-L$8)-1)/(POWER(L$5,$C$5-L$8)-1))</x:f>
        <x:v>0.5519062921686607</x:v>
      </x:c>
      <x:c r="M102" t="n">
        <x:f>E102*'模块规划'!$F$10+G102*'模块规划'!$F$11+H102*'模块规划'!$F$13</x:f>
        <x:v>4260.289741507593</x:v>
      </x:c>
      <x:c r="N102" t="n">
        <x:f>I102*'模块规划'!$F$15+J102*'模块规划'!$F$17+K102*'模块规划'!$F$16+L102*'模块规划'!$F$18</x:f>
        <x:v>9252.90284361779</x:v>
      </x:c>
      <x:c r="O102" t="n">
        <x:f>1+O$9*SUMPRODUCT($H$10:$L$10,H102:L102)/SUM($H$10:$L$10)</x:f>
        <x:v>2.3990055716372334</x:v>
      </x:c>
      <x:c r="P102" t="n">
        <x:f>M102*O102+N102</x:f>
        <x:v>19473.361670283455</x:v>
      </x:c>
      <x:c r="Q102" t="n">
        <x:f>P102/(P102+'_曲线基线'!$L$2)</x:f>
        <x:v>0.447937792756308</x:v>
      </x:c>
      <x:c r="R102" t="n">
        <x:f>E102*'模块规划'!$E$10+G102*'模块规划'!$E$11+H102*'模块规划'!$E$13</x:f>
        <x:v>6390.434612261391</x:v>
      </x:c>
      <x:c r="S102" t="n">
        <x:f>I102*'模块规划'!$E$15+J102*'模块规划'!$E$17+K102*'模块规划'!$E$16+L102*'模块规划'!$E$18</x:f>
        <x:v>13879.354265426686</x:v>
      </x:c>
      <x:c r="T102" t="n">
        <x:f>1+T$9*SUMPRODUCT($H$10:$L$10,H102:L102)/SUM($H$10:$L$10)</x:f>
        <x:v>2.3990055716372334</x:v>
      </x:c>
      <x:c r="U102" t="n">
        <x:f>R102*T102+S102</x:f>
        <x:v>29210.042505425183</x:v>
      </x:c>
      <x:c r="V102" t="n">
        <x:f>V$8+(V$9-V$8)*H102</x:f>
        <x:v>0.8664646732491477</x:v>
      </x:c>
      <x:c r="W102" t="n">
        <x:f>IF(B102&lt;$H$8,0,W$8+(W$9-W$8)*H102)</x:f>
        <x:v>0.22195289766553025</x:v>
      </x:c>
      <x:c r="X102" t="n">
        <x:f>X$8+(X$9-X$8)*H102</x:f>
        <x:v>0.42759261714505203</x:v>
      </x:c>
      <x:c r="Y102" t="n">
        <x:f>Y$8+(Y$9-Y$8)*G102</x:f>
        <x:v>1</x:v>
      </x:c>
      <x:c r="Z102" t="n">
        <x:f>Z$8+(Z$9-Z$8)*H102</x:f>
        <x:v>1</x:v>
      </x:c>
      <x:c r="AA102" t="n">
        <x:f>AA$8+(AA$9-AA$8)*I102</x:f>
        <x:v>1</x:v>
      </x:c>
      <x:c r="AB102" t="n">
        <x:f>AB$8+(AB$9-AB$8)*J102</x:f>
        <x:v>1</x:v>
      </x:c>
      <x:c r="AC102" t="n">
        <x:f>AC$8+(AC$9-AC$8)*MAX(K102,L102)</x:f>
        <x:v>1</x:v>
      </x:c>
      <x:c r="AD102" t="n">
        <x:f>(V102*AE102+W102*AF102+X102*AG102)*PRODUCT(Y102:AC102)</x:f>
        <x:v>1.6369838218986748</x:v>
      </x:c>
      <x:c r="AE102" t="n">
        <x:f>1+AE$9*($H$10*H102+$I$10*I102+$J$10*J102+$K$10*K102+$L$10*L102)</x:f>
        <x:v>1</x:v>
      </x:c>
      <x:c r="AF102" t="n">
        <x:f>1+AF$9*($H$10*H102+$I$10*I102+$J$10*J102+$K$10*K102+$L$10*L102)</x:f>
        <x:v>1.1234749856748651</x:v>
      </x:c>
      <x:c r="AG102" t="n">
        <x:f>1+AG$9*($H$10*H102+$I$10*I102+$J$10*J102+$K$10*K102+$L$10*L102)</x:f>
        <x:v>1.2188251135015684</x:v>
      </x:c>
      <x:c r="AH102" t="n">
        <x:f>MIN(1,'_曲线基线'!$L$3+AH$9*($H$10*H102+$I$10*I102+$J$10*J102+$K$10*K102+$L$10*L102))</x:f>
        <x:v>0.3309055924103181</x:v>
      </x:c>
      <x:c r="AI102" t="n">
        <x:f>'_曲线基线'!$L$4+AI$9*($H$10*H102+$I$10*I102+$J$10*J102+$K$10*K102+$L$10*L102)</x:f>
        <x:v>2.7825227217144577</x:v>
      </x:c>
      <x:c r="AJ102" t="n">
        <x:f>1+AJ$9*($H$10*H102+$I$10*I102+$J$10*J102+$K$10*K102+$L$10*L102)</x:f>
        <x:v>1.6420699255092988</x:v>
      </x:c>
      <x:c r="AK102" t="n">
        <x:f>(1+AH102*(AI102-1))*AJ102</x:f>
        <x:v>2.6106395133478255</x:v>
      </x:c>
      <x:c r="AL102" t="n">
        <x:f>U102*AD102*AK102*F102</x:f>
        <x:v>624156.485614279</x:v>
      </x:c>
      <x:c r="AM102" t="n">
        <x:f>IF($B102&lt;AM$8,0,AM$3+(AM$4-AM$3)*(POWER(AM$5,$B102-AM$8)-1)/(POWER(AM$5,$C$5-AM$8)-1))</x:f>
        <x:v>36.94473720362092</x:v>
      </x:c>
      <x:c r="AN102" t="n">
        <x:f>(((E102*'模块规划'!$D$10+G102*'模块规划'!$D$11+H102*'模块规划'!$D$13)*(1+'模块规划'!$G$14*H102)+(I102*'模块规划'!$D$15+J102*'模块规划'!$D$17+K102*'模块规划'!$D$16+L102*'模块规划'!$D$18))*(1+'模块规划'!$J$17*J102))*F102/(1-Q102)</x:f>
        <x:v>1071924.0519002855</x:v>
      </x:c>
      <x:c r="AO102" t="n">
        <x:f>AL102*AM102</x:f>
        <x:v>23059297.33495514</x:v>
      </x:c>
      <x:c r="AP102" t="n">
        <x:f>IF(AO102="","",INDEX('_曲线基线'!$A$3:$A$502,MIN(ROWS('_曲线基线'!$A$3:$A$502),COUNTIF('_曲线基线'!$E$3:$E$502,"&lt;"&amp;AO102)+1)))</x:f>
        <x:v>191</x:v>
      </x:c>
      <x:c r="AQ102" t="n">
        <x:f>IF(B102&lt;=2,1,IF(B102&lt;=6,2,IF(B102&lt;=9,3,IF(B102&lt;=19,4,5))))</x:f>
        <x:v>5</x:v>
      </x:c>
      <x:c r="AR102" t="n">
        <x:f>AN102*(1-Q102)/F102*$AS$3+U102*$AS$4+P102*$AS$5</x:f>
        <x:v>9392.621049623078</x:v>
      </x:c>
      <x:c r="AS102" t="n">
        <x:f>1+AH102*$AS$6+AI102*$AS$7+(AJ102-1)*$AS$8+($H$10*H102+$I$10*I102+$J$10*J102+$K$10*K102+$L$10*L102)*$AU$3*$AS$9+($H$10*H102+$I$10*I102+$J$10*J102+$K$10*K102+$L$10*L102)*$AU$4*$AS$10</x:f>
        <x:v>12.359350692525664</x:v>
      </x:c>
      <x:c r="AT102" t="n">
        <x:f>ROUND(AR102*AS102,0)</x:f>
        <x:v>116087</x:v>
      </x:c>
      <x:c r="AU102" t="n">
        <x:f>ROUND(AT102*F102,0)</x:f>
        <x:v>580435</x:v>
      </x:c>
    </x:row>
    <x:row r="103">
      <x:c r="A103" t="n">
        <x:f>IFERROR(XLOOKUP(B103,'_曲线基线'!$G$3:$G$107,'_曲线基线'!$J$3:$J$107,""),"")</x:f>
        <x:v>36</x:v>
      </x:c>
      <x:c r="B103" t="n">
        <x:v>92</x:v>
      </x:c>
      <x:c r="C103" t="n">
        <x:f>C88+1</x:f>
        <x:v>7</x:v>
      </x:c>
      <x:c r="D103" t="n">
        <x:f>D88</x:f>
        <x:v>8</x:v>
      </x:c>
      <x:c r="E103" t="n">
        <x:f>IF($B103&lt;E$8,0,E$3+(E$4-E$3)*(POWER(E$5,$B103-E$8)-1)/(POWER(E$5,$C$5-E$8)-1))</x:f>
        <x:v>1</x:v>
      </x:c>
      <x:c r="F103" t="n">
        <x:f>1+IF(B103&lt;3,0,MIN(1,(B103-2)/4))+IF(B103&lt;7,0,MIN(1,(B103-6)/3))+IF(B103&lt;10,0,MIN(1,(B103-9)/5))+IF(B103&lt;20,0,MIN(1,(B103-19)/10))</x:f>
        <x:v>5</x:v>
      </x:c>
      <x:c r="G103" t="n">
        <x:f>IF($B103&lt;G$8,0,G$3+(G$4-G$3)*(POWER(G$5,$B103-G$8)-1)/(POWER(G$5,$C$5-G$8)-1))</x:f>
        <x:v>0.6827438144930332</x:v>
      </x:c>
      <x:c r="H103" t="n">
        <x:f>IF($B103&lt;H$8,0,H$3+(H$4-H$3)*(POWER(H$5,$B103-H$8)-1)/(POWER(H$5,$C$5-H$8)-1))</x:f>
        <x:v>0.5578511415200604</x:v>
      </x:c>
      <x:c r="I103" t="n">
        <x:f>IF($B103&lt;I$8,0,I$3+(I$4-I$3)*(POWER(I$5,$B103-I$8)-1)/(POWER(I$5,$C$5-I$8)-1))</x:f>
        <x:v>0.2845112624471695</x:v>
      </x:c>
      <x:c r="J103" t="n">
        <x:f>IF($B103&lt;J$8,0,J$3+(J$4-J$3)*(POWER(J$5,$B103-J$8)-1)/(POWER(J$5,$C$5-J$8)-1))</x:f>
        <x:v>0.43135720312034254</x:v>
      </x:c>
      <x:c r="K103" t="n">
        <x:f>IF($B103&lt;K$8,0,K$3+(K$4-K$3)*(POWER(K$5,$B103-K$8)-1)/(POWER(K$5,$C$5-K$8)-1))</x:f>
        <x:v>0</x:v>
      </x:c>
      <x:c r="L103" t="n">
        <x:f>IF($B103&lt;L$8,0,L$3+(L$4-L$3)*(POWER(L$5,$B103-L$8)-1)/(POWER(L$5,$C$5-L$8)-1))</x:f>
        <x:v>0.5549360731566731</x:v>
      </x:c>
      <x:c r="M103" t="n">
        <x:f>E103*'模块规划'!$F$10+G103*'模块规划'!$F$11+H103*'模块规划'!$F$13</x:f>
        <x:v>4277.17030956656</x:v>
      </x:c>
      <x:c r="N103" t="n">
        <x:f>I103*'模块规划'!$F$15+J103*'模块规划'!$F$17+K103*'模块规划'!$F$16+L103*'模块规划'!$F$18</x:f>
        <x:v>9364.342496564148</x:v>
      </x:c>
      <x:c r="O103" t="n">
        <x:f>1+O$9*SUMPRODUCT($H$10:$L$10,H103:L103)/SUM($H$10:$L$10)</x:f>
        <x:v>2.4101823895338734</x:v>
      </x:c>
      <x:c r="P103" t="n">
        <x:f>M103*O103+N103</x:f>
        <x:v>19673.103053718616</x:v>
      </x:c>
      <x:c r="Q103" t="n">
        <x:f>P103/(P103+'_曲线基线'!$L$2)</x:f>
        <x:v>0.45046268018831603</x:v>
      </x:c>
      <x:c r="R103" t="n">
        <x:f>E103*'模块规划'!$E$10+G103*'模块规划'!$E$11+H103*'模块规划'!$E$13</x:f>
        <x:v>6415.755464349839</x:v>
      </x:c>
      <x:c r="S103" t="n">
        <x:f>I103*'模块规划'!$E$15+J103*'模块规划'!$E$17+K103*'模块规划'!$E$16+L103*'模块规划'!$E$18</x:f>
        <x:v>14046.51374484622</x:v>
      </x:c>
      <x:c r="T103" t="n">
        <x:f>1+T$9*SUMPRODUCT($H$10:$L$10,H103:L103)/SUM($H$10:$L$10)</x:f>
        <x:v>2.4101823895338734</x:v>
      </x:c>
      <x:c r="U103" t="n">
        <x:f>R103*T103+S103</x:f>
        <x:v>29509.654580577917</x:v>
      </x:c>
      <x:c r="V103" t="n">
        <x:f>V$8+(V$9-V$8)*H103</x:f>
        <x:v>0.8673553424560181</x:v>
      </x:c>
      <x:c r="W103" t="n">
        <x:f>IF(B103&lt;$H$8,0,W$8+(W$9-W$8)*H103)</x:f>
        <x:v>0.22314045660802417</x:v>
      </x:c>
      <x:c r="X103" t="n">
        <x:f>X$8+(X$9-X$8)*H103</x:f>
        <x:v>0.42840906391801664</x:v>
      </x:c>
      <x:c r="Y103" t="n">
        <x:f>Y$8+(Y$9-Y$8)*G103</x:f>
        <x:v>1</x:v>
      </x:c>
      <x:c r="Z103" t="n">
        <x:f>Z$8+(Z$9-Z$8)*H103</x:f>
        <x:v>1</x:v>
      </x:c>
      <x:c r="AA103" t="n">
        <x:f>AA$8+(AA$9-AA$8)*I103</x:f>
        <x:v>1</x:v>
      </x:c>
      <x:c r="AB103" t="n">
        <x:f>AB$8+(AB$9-AB$8)*J103</x:f>
        <x:v>1</x:v>
      </x:c>
      <x:c r="AC103" t="n">
        <x:f>AC$8+(AC$9-AC$8)*MAX(K103,L103)</x:f>
        <x:v>1</x:v>
      </x:c>
      <x:c r="AD103" t="n">
        <x:f>(V103*AE103+W103*AF103+X103*AG103)*PRODUCT(Y103:AC103)</x:f>
        <x:v>1.641172860907107</x:v>
      </x:c>
      <x:c r="AE103" t="n">
        <x:f>1+AE$9*($H$10*H103+$I$10*I103+$J$10*J103+$K$10*K103+$L$10*L103)</x:f>
        <x:v>1</x:v>
      </x:c>
      <x:c r="AF103" t="n">
        <x:f>1+AF$9*($H$10*H103+$I$10*I103+$J$10*J103+$K$10*K103+$L$10*L103)</x:f>
        <x:v>1.1244614416673622</x:v>
      </x:c>
      <x:c r="AG103" t="n">
        <x:f>1+AG$9*($H$10*H103+$I$10*I103+$J$10*J103+$K$10*K103+$L$10*L103)</x:f>
        <x:v>1.220573332732716</x:v>
      </x:c>
      <x:c r="AH103" t="n">
        <x:f>MIN(1,'_曲线基线'!$L$3+AH$9*($H$10*H103+$I$10*I103+$J$10*J103+$K$10*K103+$L$10*L103))</x:f>
        <x:v>0.3331497797932488</x:v>
      </x:c>
      <x:c r="AI103" t="n">
        <x:f>'_曲线基线'!$L$4+AI$9*($H$10*H103+$I$10*I103+$J$10*J103+$K$10*K103+$L$10*L103)</x:f>
        <x:v>2.7887743865669075</x:v>
      </x:c>
      <x:c r="AJ103" t="n">
        <x:f>1+AJ$9*($H$10*H103+$I$10*I103+$J$10*J103+$K$10*K103+$L$10*L103)</x:f>
        <x:v>1.647199496670283</x:v>
      </x:c>
      <x:c r="AK103" t="n">
        <x:f>(1+AH103*(AI103-1))*AJ103</x:f>
        <x:v>2.628814751725291</x:v>
      </x:c>
      <x:c r="AL103" t="n">
        <x:f>U103*AD103*AK103*F103</x:f>
        <x:v>636573.3311535475</x:v>
      </x:c>
      <x:c r="AM103" t="n">
        <x:f>IF($B103&lt;AM$8,0,AM$3+(AM$4-AM$3)*(POWER(AM$5,$B103-AM$8)-1)/(POWER(AM$5,$C$5-AM$8)-1))</x:f>
        <x:v>36.977609215578994</x:v>
      </x:c>
      <x:c r="AN103" t="n">
        <x:f>(((E103*'模块规划'!$D$10+G103*'模块规划'!$D$11+H103*'模块规划'!$D$13)*(1+'模块规划'!$G$14*H103)+(I103*'模块规划'!$D$15+J103*'模块规划'!$D$17+K103*'模块规划'!$D$16+L103*'模块规划'!$D$18))*(1+'模块规划'!$J$17*J103))*F103/(1-Q103)</x:f>
        <x:v>1090087.0017843803</x:v>
      </x:c>
      <x:c r="AO103" t="n">
        <x:f>AL103*AM103</x:f>
        <x:v>23538959.876455236</x:v>
      </x:c>
      <x:c r="AP103" t="n">
        <x:f>IF(AO103="","",INDEX('_曲线基线'!$A$3:$A$502,MIN(ROWS('_曲线基线'!$A$3:$A$502),COUNTIF('_曲线基线'!$E$3:$E$502,"&lt;"&amp;AO103)+1)))</x:f>
        <x:v>192</x:v>
      </x:c>
      <x:c r="AQ103" t="n">
        <x:f>IF(B103&lt;=2,1,IF(B103&lt;=6,2,IF(B103&lt;=9,3,IF(B103&lt;=19,4,5))))</x:f>
        <x:v>5</x:v>
      </x:c>
      <x:c r="AR103" t="n">
        <x:f>AN103*(1-Q103)/F103*$AS$3+U103*$AS$4+P103*$AS$5</x:f>
        <x:v>9496.19185204844</x:v>
      </x:c>
      <x:c r="AS103" t="n">
        <x:f>1+AH103*$AS$6+AI103*$AS$7+(AJ103-1)*$AS$8+($H$10*H103+$I$10*I103+$J$10*J103+$K$10*K103+$L$10*L103)*$AU$3*$AS$9+($H$10*H103+$I$10*I103+$J$10*J103+$K$10*K103+$L$10*L103)*$AU$4*$AS$10</x:f>
        <x:v>12.418292558937981</x:v>
      </x:c>
      <x:c r="AT103" t="n">
        <x:f>ROUND(AR103*AS103,0)</x:f>
        <x:v>117926</x:v>
      </x:c>
      <x:c r="AU103" t="n">
        <x:f>ROUND(AT103*F103,0)</x:f>
        <x:v>589630</x:v>
      </x:c>
    </x:row>
    <x:row r="104">
      <x:c r="A104" t="n">
        <x:f>IFERROR(XLOOKUP(B104,'_曲线基线'!$G$3:$G$107,'_曲线基线'!$J$3:$J$107,""),"")</x:f>
        <x:v>36</x:v>
      </x:c>
      <x:c r="B104" t="n">
        <x:v>93</x:v>
      </x:c>
      <x:c r="C104" t="n">
        <x:f>C89+1</x:f>
        <x:v>7</x:v>
      </x:c>
      <x:c r="D104" t="n">
        <x:f>D89</x:f>
        <x:v>9</x:v>
      </x:c>
      <x:c r="E104" t="n">
        <x:f>IF($B104&lt;E$8,0,E$3+(E$4-E$3)*(POWER(E$5,$B104-E$8)-1)/(POWER(E$5,$C$5-E$8)-1))</x:f>
        <x:v>1</x:v>
      </x:c>
      <x:c r="F104" t="n">
        <x:f>1+IF(B104&lt;3,0,MIN(1,(B104-2)/4))+IF(B104&lt;7,0,MIN(1,(B104-6)/3))+IF(B104&lt;10,0,MIN(1,(B104-9)/5))+IF(B104&lt;20,0,MIN(1,(B104-19)/10))</x:f>
        <x:v>5</x:v>
      </x:c>
      <x:c r="G104" t="n">
        <x:f>IF($B104&lt;G$8,0,G$3+(G$4-G$3)*(POWER(G$5,$B104-G$8)-1)/(POWER(G$5,$C$5-G$8)-1))</x:f>
        <x:v>0.6862078477301337</x:v>
      </x:c>
      <x:c r="H104" t="n">
        <x:f>IF($B104&lt;H$8,0,H$3+(H$4-H$3)*(POWER(H$5,$B104-H$8)-1)/(POWER(H$5,$C$5-H$8)-1))</x:f>
        <x:v>0.5607606609291707</x:v>
      </x:c>
      <x:c r="I104" t="n">
        <x:f>IF($B104&lt;I$8,0,I$3+(I$4-I$3)*(POWER(I$5,$B104-I$8)-1)/(POWER(I$5,$C$5-I$8)-1))</x:f>
        <x:v>0.29199212854129425</x:v>
      </x:c>
      <x:c r="J104" t="n">
        <x:f>IF($B104&lt;J$8,0,J$3+(J$4-J$3)*(POWER(J$5,$B104-J$8)-1)/(POWER(J$5,$C$5-J$8)-1))</x:f>
        <x:v>0.4348090035496596</x:v>
      </x:c>
      <x:c r="K104" t="n">
        <x:f>IF($B104&lt;K$8,0,K$3+(K$4-K$3)*(POWER(K$5,$B104-K$8)-1)/(POWER(K$5,$C$5-K$8)-1))</x:f>
        <x:v>0</x:v>
      </x:c>
      <x:c r="L104" t="n">
        <x:f>IF($B104&lt;L$8,0,L$3+(L$4-L$3)*(POWER(L$5,$B104-L$8)-1)/(POWER(L$5,$C$5-L$8)-1))</x:f>
        <x:v>0.5579052585249255</x:v>
      </x:c>
      <x:c r="M104" t="n">
        <x:f>E104*'模块规划'!$F$10+G104*'模块规划'!$F$11+H104*'模块规划'!$F$13</x:f>
        <x:v>4293.7976691046415</x:v>
      </x:c>
      <x:c r="N104" t="n">
        <x:f>I104*'模块规划'!$F$15+J104*'模块规划'!$F$17+K104*'模块规划'!$F$16+L104*'模块规划'!$F$18</x:f>
        <x:v>9473.553356451577</x:v>
      </x:c>
      <x:c r="O104" t="n">
        <x:f>1+O$9*SUMPRODUCT($H$10:$L$10,H104:L104)/SUM($H$10:$L$10)</x:f>
        <x:v>2.421135671072581</x:v>
      </x:c>
      <x:c r="P104" t="n">
        <x:f>M104*O104+N104</x:f>
        <x:v>19869.42005748913</x:v>
      </x:c>
      <x:c r="Q104" t="n">
        <x:f>P104/(P104+'_曲线基线'!$L$2)</x:f>
        <x:v>0.4529218765931039</x:v>
      </x:c>
      <x:c r="R104" t="n">
        <x:f>E104*'模块规划'!$E$10+G104*'模块规划'!$E$11+H104*'模块规划'!$E$13</x:f>
        <x:v>6440.696503656963</x:v>
      </x:c>
      <x:c r="S104" t="n">
        <x:f>I104*'模块规划'!$E$15+J104*'模块规划'!$E$17+K104*'模块规划'!$E$16+L104*'模块规划'!$E$18</x:f>
        <x:v>14210.330034677367</x:v>
      </x:c>
      <x:c r="T104" t="n">
        <x:f>1+T$9*SUMPRODUCT($H$10:$L$10,H104:L104)/SUM($H$10:$L$10)</x:f>
        <x:v>2.421135671072581</x:v>
      </x:c>
      <x:c r="U104" t="n">
        <x:f>R104*T104+S104</x:f>
        <x:v>29804.130086233694</x:v>
      </x:c>
      <x:c r="V104" t="n">
        <x:f>V$8+(V$9-V$8)*H104</x:f>
        <x:v>0.8682281982787512</x:v>
      </x:c>
      <x:c r="W104" t="n">
        <x:f>IF(B104&lt;$H$8,0,W$8+(W$9-W$8)*H104)</x:f>
        <x:v>0.22430426437166828</x:v>
      </x:c>
      <x:c r="X104" t="n">
        <x:f>X$8+(X$9-X$8)*H104</x:f>
        <x:v>0.429209181755522</x:v>
      </x:c>
      <x:c r="Y104" t="n">
        <x:f>Y$8+(Y$9-Y$8)*G104</x:f>
        <x:v>1</x:v>
      </x:c>
      <x:c r="Z104" t="n">
        <x:f>Z$8+(Z$9-Z$8)*H104</x:f>
        <x:v>1</x:v>
      </x:c>
      <x:c r="AA104" t="n">
        <x:f>AA$8+(AA$9-AA$8)*I104</x:f>
        <x:v>1</x:v>
      </x:c>
      <x:c r="AB104" t="n">
        <x:f>AB$8+(AB$9-AB$8)*J104</x:f>
        <x:v>1</x:v>
      </x:c>
      <x:c r="AC104" t="n">
        <x:f>AC$8+(AC$9-AC$8)*MAX(K104,L104)</x:f>
        <x:v>1</x:v>
      </x:c>
      <x:c r="AD104" t="n">
        <x:f>(V104*AE104+W104*AF104+X104*AG104)*PRODUCT(Y104:AC104)</x:f>
        <x:v>1.6452831618519068</x:v>
      </x:c>
      <x:c r="AE104" t="n">
        <x:f>1+AE$9*($H$10*H104+$I$10*I104+$J$10*J104+$K$10*K104+$L$10*L104)</x:f>
        <x:v>1</x:v>
      </x:c>
      <x:c r="AF104" t="n">
        <x:f>1+AF$9*($H$10*H104+$I$10*I104+$J$10*J104+$K$10*K104+$L$10*L104)</x:f>
        <x:v>1.1254281685400094</x:v>
      </x:c>
      <x:c r="AG104" t="n">
        <x:f>1+AG$9*($H$10*H104+$I$10*I104+$J$10*J104+$K$10*K104+$L$10*L104)</x:f>
        <x:v>1.2222865875792404</x:v>
      </x:c>
      <x:c r="AH104" t="n">
        <x:f>MIN(1,'_曲线基线'!$L$3+AH$9*($H$10*H104+$I$10*I104+$J$10*J104+$K$10*K104+$L$10*L104))</x:f>
        <x:v>0.3353490834285208</x:v>
      </x:c>
      <x:c r="AI104" t="n">
        <x:f>'_曲线基线'!$L$4+AI$9*($H$10*H104+$I$10*I104+$J$10*J104+$K$10*K104+$L$10*L104)</x:f>
        <x:v>2.794901018122308</x:v>
      </x:c>
      <x:c r="AJ104" t="n">
        <x:f>1+AJ$9*($H$10*H104+$I$10*I104+$J$10*J104+$K$10*K104+$L$10*L104)</x:f>
        <x:v>1.6522264764080477</x:v>
      </x:c>
      <x:c r="AK104" t="n">
        <x:f>(1+AH104*(AI104-1))*AJ104</x:f>
        <x:v>2.6467320121495024</x:v>
      </x:c>
      <x:c r="AL104" t="n">
        <x:f>U104*AD104*AK104*F104</x:f>
        <x:v>648928.8432702706</x:v>
      </x:c>
      <x:c r="AM104" t="n">
        <x:f>IF($B104&lt;AM$8,0,AM$3+(AM$4-AM$3)*(POWER(AM$5,$B104-AM$8)-1)/(POWER(AM$5,$C$5-AM$8)-1))</x:f>
        <x:v>37.010809947656654</x:v>
      </x:c>
      <x:c r="AN104" t="n">
        <x:f>(((E104*'模块规划'!$D$10+G104*'模块规划'!$D$11+H104*'模块规划'!$D$13)*(1+'模块规划'!$G$14*H104)+(I104*'模块规划'!$D$15+J104*'模块规划'!$D$17+K104*'模块规划'!$D$16+L104*'模块规划'!$D$18))*(1+'模块规划'!$J$17*J104))*F104/(1-Q104)</x:f>
        <x:v>1108089.0341872496</x:v>
      </x:c>
      <x:c r="AO104" t="n">
        <x:f>AL104*AM104</x:f>
        <x:v>24017382.08782866</x:v>
      </x:c>
      <x:c r="AP104" t="n">
        <x:f>IF(AO104="","",INDEX('_曲线基线'!$A$3:$A$502,MIN(ROWS('_曲线基线'!$A$3:$A$502),COUNTIF('_曲线基线'!$E$3:$E$502,"&lt;"&amp;AO104)+1)))</x:f>
        <x:v>193</x:v>
      </x:c>
      <x:c r="AQ104" t="n">
        <x:f>IF(B104&lt;=2,1,IF(B104&lt;=6,2,IF(B104&lt;=9,3,IF(B104&lt;=19,4,5))))</x:f>
        <x:v>5</x:v>
      </x:c>
      <x:c r="AR104" t="n">
        <x:f>AN104*(1-Q104)/F104*$AS$3+U104*$AS$4+P104*$AS$5</x:f>
        <x:v>9598.093633592262</x:v>
      </x:c>
      <x:c r="AS104" t="n">
        <x:f>1+AH104*$AS$6+AI104*$AS$7+(AJ104-1)*$AS$8+($H$10*H104+$I$10*I104+$J$10*J104+$K$10*K104+$L$10*L104)*$AU$3*$AS$9+($H$10*H104+$I$10*I104+$J$10*J104+$K$10*K104+$L$10*L104)*$AU$4*$AS$10</x:f>
        <x:v>12.476055588022051</x:v>
      </x:c>
      <x:c r="AT104" t="n">
        <x:f>ROUND(AR104*AS104,0)</x:f>
        <x:v>119746</x:v>
      </x:c>
      <x:c r="AU104" t="n">
        <x:f>ROUND(AT104*F104,0)</x:f>
        <x:v>598730</x:v>
      </x:c>
    </x:row>
    <x:row r="105">
      <x:c r="A105" t="n">
        <x:f>IFERROR(XLOOKUP(B105,'_曲线基线'!$G$3:$G$107,'_曲线基线'!$J$3:$J$107,""),"")</x:f>
        <x:v>36</x:v>
      </x:c>
      <x:c r="B105" t="n">
        <x:v>94</x:v>
      </x:c>
      <x:c r="C105" t="n">
        <x:f>C90+1</x:f>
        <x:v>7</x:v>
      </x:c>
      <x:c r="D105" t="n">
        <x:f>D90</x:f>
        <x:v>10</x:v>
      </x:c>
      <x:c r="E105" t="n">
        <x:f>IF($B105&lt;E$8,0,E$3+(E$4-E$3)*(POWER(E$5,$B105-E$8)-1)/(POWER(E$5,$C$5-E$8)-1))</x:f>
        <x:v>1</x:v>
      </x:c>
      <x:c r="F105" t="n">
        <x:f>1+IF(B105&lt;3,0,MIN(1,(B105-2)/4))+IF(B105&lt;7,0,MIN(1,(B105-6)/3))+IF(B105&lt;10,0,MIN(1,(B105-9)/5))+IF(B105&lt;20,0,MIN(1,(B105-19)/10))</x:f>
        <x:v>5</x:v>
      </x:c>
      <x:c r="G105" t="n">
        <x:f>IF($B105&lt;G$8,0,G$3+(G$4-G$3)*(POWER(G$5,$B105-G$8)-1)/(POWER(G$5,$C$5-G$8)-1))</x:f>
        <x:v>0.6896199204686775</x:v>
      </x:c>
      <x:c r="H105" t="n">
        <x:f>IF($B105&lt;H$8,0,H$3+(H$4-H$3)*(POWER(H$5,$B105-H$8)-1)/(POWER(H$5,$C$5-H$8)-1))</x:f>
        <x:v>0.5636119899500985</x:v>
      </x:c>
      <x:c r="I105" t="n">
        <x:f>IF($B105&lt;I$8,0,I$3+(I$4-I$3)*(POWER(I$5,$B105-I$8)-1)/(POWER(I$5,$C$5-I$8)-1))</x:f>
        <x:v>0.2993233773135366</x:v>
      </x:c>
      <x:c r="J105" t="n">
        <x:f>IF($B105&lt;J$8,0,J$3+(J$4-J$3)*(POWER(J$5,$B105-J$8)-1)/(POWER(J$5,$C$5-J$8)-1))</x:f>
        <x:v>0.4381917679703903</x:v>
      </x:c>
      <x:c r="K105" t="n">
        <x:f>IF($B105&lt;K$8,0,K$3+(K$4-K$3)*(POWER(K$5,$B105-K$8)-1)/(POWER(K$5,$C$5-K$8)-1))</x:f>
        <x:v>0</x:v>
      </x:c>
      <x:c r="L105" t="n">
        <x:f>IF($B105&lt;L$8,0,L$3+(L$4-L$3)*(POWER(L$5,$B105-L$8)-1)/(POWER(L$5,$C$5-L$8)-1))</x:f>
        <x:v>0.5608150601858126</x:v>
      </x:c>
      <x:c r="M105" t="n">
        <x:f>E105*'模块规划'!$F$10+G105*'模块规划'!$F$11+H105*'模块规划'!$F$13</x:f>
        <x:v>4310.175618249652</x:v>
      </x:c>
      <x:c r="N105" t="n">
        <x:f>I105*'模块规划'!$F$15+J105*'模块规划'!$F$17+K105*'模块规划'!$F$16+L105*'模块规划'!$F$18</x:f>
        <x:v>9580.579999141257</x:v>
      </x:c>
      <x:c r="O105" t="n">
        <x:f>1+O$9*SUMPRODUCT($H$10:$L$10,H105:L105)/SUM($H$10:$L$10)</x:f>
        <x:v>2.4318698869805147</x:v>
      </x:c>
      <x:c r="P105" t="n">
        <x:f>M105*O105+N105</x:f>
        <x:v>20062.366292760205</x:v>
      </x:c>
      <x:c r="Q105" t="n">
        <x:f>P105/(P105+'_曲线基线'!$L$2)</x:f>
        <x:v>0.4553174961022602</x:v>
      </x:c>
      <x:c r="R105" t="n">
        <x:f>E105*'模块规划'!$E$10+G105*'模块规划'!$E$11+H105*'模块规划'!$E$13</x:f>
        <x:v>6465.263427374478</x:v>
      </x:c>
      <x:c r="S105" t="n">
        <x:f>I105*'模块规划'!$E$15+J105*'模块规划'!$E$17+K105*'模块规划'!$E$16+L105*'模块规划'!$E$18</x:f>
        <x:v>14370.869998711889</x:v>
      </x:c>
      <x:c r="T105" t="n">
        <x:f>1+T$9*SUMPRODUCT($H$10:$L$10,H105:L105)/SUM($H$10:$L$10)</x:f>
        <x:v>2.4318698869805147</x:v>
      </x:c>
      <x:c r="U105" t="n">
        <x:f>R105*T105+S105</x:f>
        <x:v>30093.549439140315</x:v>
      </x:c>
      <x:c r="V105" t="n">
        <x:f>V$8+(V$9-V$8)*H105</x:f>
        <x:v>0.8690835969850296</x:v>
      </x:c>
      <x:c r="W105" t="n">
        <x:f>IF(B105&lt;$H$8,0,W$8+(W$9-W$8)*H105)</x:f>
        <x:v>0.22544479598003941</x:v>
      </x:c>
      <x:c r="X105" t="n">
        <x:f>X$8+(X$9-X$8)*H105</x:f>
        <x:v>0.4299932972362771</x:v>
      </x:c>
      <x:c r="Y105" t="n">
        <x:f>Y$8+(Y$9-Y$8)*G105</x:f>
        <x:v>1</x:v>
      </x:c>
      <x:c r="Z105" t="n">
        <x:f>Z$8+(Z$9-Z$8)*H105</x:f>
        <x:v>1</x:v>
      </x:c>
      <x:c r="AA105" t="n">
        <x:f>AA$8+(AA$9-AA$8)*I105</x:f>
        <x:v>1</x:v>
      </x:c>
      <x:c r="AB105" t="n">
        <x:f>AB$8+(AB$9-AB$8)*J105</x:f>
        <x:v>1</x:v>
      </x:c>
      <x:c r="AC105" t="n">
        <x:f>AC$8+(AC$9-AC$8)*MAX(K105,L105)</x:f>
        <x:v>1</x:v>
      </x:c>
      <x:c r="AD105" t="n">
        <x:f>(V105*AE105+W105*AF105+X105*AG105)*PRODUCT(Y105:AC105)</x:f>
        <x:v>1.6493160998027712</x:v>
      </x:c>
      <x:c r="AE105" t="n">
        <x:f>1+AE$9*($H$10*H105+$I$10*I105+$J$10*J105+$K$10*K105+$L$10*L105)</x:f>
        <x:v>1</x:v>
      </x:c>
      <x:c r="AF105" t="n">
        <x:f>1+AF$9*($H$10*H105+$I$10*I105+$J$10*J105+$K$10*K105+$L$10*L105)</x:f>
        <x:v>1.1263755608752033</x:v>
      </x:c>
      <x:c r="AG105" t="n">
        <x:f>1+AG$9*($H$10*H105+$I$10*I105+$J$10*J105+$K$10*K105+$L$10*L105)</x:f>
        <x:v>1.2239655773288343</x:v>
      </x:c>
      <x:c r="AH105" t="n">
        <x:f>MIN(1,'_曲线基线'!$L$3+AH$9*($H$10*H105+$I$10*I105+$J$10*J105+$K$10*K105+$L$10*L105))</x:f>
        <x:v>0.3375044009910874</x:v>
      </x:c>
      <x:c r="AI105" t="n">
        <x:f>'_曲线基线'!$L$4+AI$9*($H$10*H105+$I$10*I105+$J$10*J105+$K$10*K105+$L$10*L105)</x:f>
        <x:v>2.8009051170466006</x:v>
      </x:c>
      <x:c r="AJ105" t="n">
        <x:f>1+AJ$9*($H$10*H105+$I$10*I105+$J$10*J105+$K$10*K105+$L$10*L105)</x:f>
        <x:v>1.657152916551057</x:v>
      </x:c>
      <x:c r="AK105" t="n">
        <x:f>(1+AH105*(AI105-1))*AJ105</x:f>
        <x:v>2.6643926696711744</x:v>
      </x:c>
      <x:c r="AL105" t="n">
        <x:f>U105*AD105*AK105*F105</x:f>
        <x:v>661219.3392529619</x:v>
      </x:c>
      <x:c r="AM105" t="n">
        <x:f>IF($B105&lt;AM$8,0,AM$3+(AM$4-AM$3)*(POWER(AM$5,$B105-AM$8)-1)/(POWER(AM$5,$C$5-AM$8)-1))</x:f>
        <x:v>37.04434268705509</x:v>
      </x:c>
      <x:c r="AN105" t="n">
        <x:f>(((E105*'模块规划'!$D$10+G105*'模块规划'!$D$11+H105*'模块规划'!$D$13)*(1+'模块规划'!$G$14*H105)+(I105*'模块规划'!$D$15+J105*'模块规划'!$D$17+K105*'模块规划'!$D$16+L105*'模块规划'!$D$18))*(1+'模块规划'!$J$17*J105))*F105/(1-Q105)</x:f>
        <x:v>1125927.3325191168</x:v>
      </x:c>
      <x:c r="AO105" t="n">
        <x:f>AL105*AM105</x:f>
        <x:v>24494435.79459486</x:v>
      </x:c>
      <x:c r="AP105" t="n">
        <x:f>IF(AO105="","",INDEX('_曲线基线'!$A$3:$A$502,MIN(ROWS('_曲线基线'!$A$3:$A$502),COUNTIF('_曲线基线'!$E$3:$E$502,"&lt;"&amp;AO105)+1)))</x:f>
        <x:v>194</x:v>
      </x:c>
      <x:c r="AQ105" t="n">
        <x:f>IF(B105&lt;=2,1,IF(B105&lt;=6,2,IF(B105&lt;=9,3,IF(B105&lt;=19,4,5))))</x:f>
        <x:v>5</x:v>
      </x:c>
      <x:c r="AR105" t="n">
        <x:f>AN105*(1-Q105)/F105*$AS$3+U105*$AS$4+P105*$AS$5</x:f>
        <x:v>9698.347399928556</x:v>
      </x:c>
      <x:c r="AS105" t="n">
        <x:f>1+AH105*$AS$6+AI105*$AS$7+(AJ105-1)*$AS$8+($H$10*H105+$I$10*I105+$J$10*J105+$K$10*K105+$L$10*L105)*$AU$3*$AS$9+($H$10*H105+$I$10*I105+$J$10*J105+$K$10*K105+$L$10*L105)*$AU$4*$AS$10</x:f>
        <x:v>12.53266335652444</x:v>
      </x:c>
      <x:c r="AT105" t="n">
        <x:f>ROUND(AR105*AS105,0)</x:f>
        <x:v>121546</x:v>
      </x:c>
      <x:c r="AU105" t="n">
        <x:f>ROUND(AT105*F105,0)</x:f>
        <x:v>607730</x:v>
      </x:c>
    </x:row>
    <x:row r="106">
      <x:c r="A106" t="n">
        <x:f>IFERROR(XLOOKUP(B106,'_曲线基线'!$G$3:$G$107,'_曲线基线'!$J$3:$J$107,""),"")</x:f>
        <x:v>37</x:v>
      </x:c>
      <x:c r="B106" t="n">
        <x:v>95</x:v>
      </x:c>
      <x:c r="C106" t="n">
        <x:f>C91+1</x:f>
        <x:v>7</x:v>
      </x:c>
      <x:c r="D106" t="n">
        <x:f>D91</x:f>
        <x:v>11</x:v>
      </x:c>
      <x:c r="E106" t="n">
        <x:f>IF($B106&lt;E$8,0,E$3+(E$4-E$3)*(POWER(E$5,$B106-E$8)-1)/(POWER(E$5,$C$5-E$8)-1))</x:f>
        <x:v>1</x:v>
      </x:c>
      <x:c r="F106" t="n">
        <x:f>1+IF(B106&lt;3,0,MIN(1,(B106-2)/4))+IF(B106&lt;7,0,MIN(1,(B106-6)/3))+IF(B106&lt;10,0,MIN(1,(B106-9)/5))+IF(B106&lt;20,0,MIN(1,(B106-19)/10))</x:f>
        <x:v>5</x:v>
      </x:c>
      <x:c r="G106" t="n">
        <x:f>IF($B106&lt;G$8,0,G$3+(G$4-G$3)*(POWER(G$5,$B106-G$8)-1)/(POWER(G$5,$C$5-G$8)-1))</x:f>
        <x:v>0.692980812116143</x:v>
      </x:c>
      <x:c r="H106" t="n">
        <x:f>IF($B106&lt;H$8,0,H$3+(H$4-H$3)*(POWER(H$5,$B106-H$8)-1)/(POWER(H$5,$C$5-H$8)-1))</x:f>
        <x:v>0.5664062923906079</x:v>
      </x:c>
      <x:c r="I106" t="n">
        <x:f>IF($B106&lt;I$8,0,I$3+(I$4-I$3)*(POWER(I$5,$B106-I$8)-1)/(POWER(I$5,$C$5-I$8)-1))</x:f>
        <x:v>0.30650800111033405</x:v>
      </x:c>
      <x:c r="J106" t="n">
        <x:f>IF($B106&lt;J$8,0,J$3+(J$4-J$3)*(POWER(J$5,$B106-J$8)-1)/(POWER(J$5,$C$5-J$8)-1))</x:f>
        <x:v>0.4415068771027064</x:v>
      </x:c>
      <x:c r="K106" t="n">
        <x:f>IF($B106&lt;K$8,0,K$3+(K$4-K$3)*(POWER(K$5,$B106-K$8)-1)/(POWER(K$5,$C$5-K$8)-1))</x:f>
        <x:v>0</x:v>
      </x:c>
      <x:c r="L106" t="n">
        <x:f>IF($B106&lt;L$8,0,L$3+(L$4-L$3)*(POWER(L$5,$B106-L$8)-1)/(POWER(L$5,$C$5-L$8)-1))</x:f>
        <x:v>0.563666665813482</x:v>
      </x:c>
      <x:c r="M106" t="n">
        <x:f>E106*'模块规划'!$F$10+G106*'模块规划'!$F$11+H106*'模块规划'!$F$13</x:f>
        <x:v>4326.307898157487</x:v>
      </x:c>
      <x:c r="N106" t="n">
        <x:f>I106*'模块规划'!$F$15+J106*'模块规划'!$F$17+K106*'模块规划'!$F$16+L106*'模块规划'!$F$18</x:f>
        <x:v>9685.466108977147</x:v>
      </x:c>
      <x:c r="O106" t="n">
        <x:f>1+O$9*SUMPRODUCT($H$10:$L$10,H106:L106)/SUM($H$10:$L$10)</x:f>
        <x:v>2.442389418570289</x:v>
      </x:c>
      <x:c r="P106" t="n">
        <x:f>M106*O106+N106</x:f>
        <x:v>20251.994740914062</x:v>
      </x:c>
      <x:c r="Q106" t="n">
        <x:f>P106/(P106+'_曲线基线'!$L$2)</x:f>
        <x:v>0.4576515671098026</x:v>
      </x:c>
      <x:c r="R106" t="n">
        <x:f>E106*'模块规划'!$E$10+G106*'模块规划'!$E$11+H106*'模块规划'!$E$13</x:f>
        <x:v>6489.46184723623</x:v>
      </x:c>
      <x:c r="S106" t="n">
        <x:f>I106*'模块规划'!$E$15+J106*'模块规划'!$E$17+K106*'模块规划'!$E$16+L106*'模块规划'!$E$18</x:f>
        <x:v>14528.19916346572</x:v>
      </x:c>
      <x:c r="T106" t="n">
        <x:f>1+T$9*SUMPRODUCT($H$10:$L$10,H106:L106)/SUM($H$10:$L$10)</x:f>
        <x:v>2.442389418570289</x:v>
      </x:c>
      <x:c r="U106" t="n">
        <x:f>R106*T106+S106</x:f>
        <x:v>30377.992111371088</x:v>
      </x:c>
      <x:c r="V106" t="n">
        <x:f>V$8+(V$9-V$8)*H106</x:f>
        <x:v>0.8699218877171824</x:v>
      </x:c>
      <x:c r="W106" t="n">
        <x:f>IF(B106&lt;$H$8,0,W$8+(W$9-W$8)*H106)</x:f>
        <x:v>0.2265625169562432</x:v>
      </x:c>
      <x:c r="X106" t="n">
        <x:f>X$8+(X$9-X$8)*H106</x:f>
        <x:v>0.4307617304074172</x:v>
      </x:c>
      <x:c r="Y106" t="n">
        <x:f>Y$8+(Y$9-Y$8)*G106</x:f>
        <x:v>1</x:v>
      </x:c>
      <x:c r="Z106" t="n">
        <x:f>Z$8+(Z$9-Z$8)*H106</x:f>
        <x:v>1</x:v>
      </x:c>
      <x:c r="AA106" t="n">
        <x:f>AA$8+(AA$9-AA$8)*I106</x:f>
        <x:v>1</x:v>
      </x:c>
      <x:c r="AB106" t="n">
        <x:f>AB$8+(AB$9-AB$8)*J106</x:f>
        <x:v>1</x:v>
      </x:c>
      <x:c r="AC106" t="n">
        <x:f>AC$8+(AC$9-AC$8)*MAX(K106,L106)</x:f>
        <x:v>1</x:v>
      </x:c>
      <x:c r="AD106" t="n">
        <x:f>(V106*AE106+W106*AF106+X106*AG106)*PRODUCT(Y106:AC106)</x:f>
        <x:v>1.6532730302357912</x:v>
      </x:c>
      <x:c r="AE106" t="n">
        <x:f>1+AE$9*($H$10*H106+$I$10*I106+$J$10*J106+$K$10*K106+$L$10*L106)</x:f>
        <x:v>1</x:v>
      </x:c>
      <x:c r="AF106" t="n">
        <x:f>1+AF$9*($H$10*H106+$I$10*I106+$J$10*J106+$K$10*K106+$L$10*L106)</x:f>
        <x:v>1.1273040053636936</x:v>
      </x:c>
      <x:c r="AG106" t="n">
        <x:f>1+AG$9*($H$10*H106+$I$10*I106+$J$10*J106+$K$10*K106+$L$10*L106)</x:f>
        <x:v>1.2256109872834366</x:v>
      </x:c>
      <x:c r="AH106" t="n">
        <x:f>MIN(1,'_曲线基线'!$L$3+AH$9*($H$10*H106+$I$10*I106+$J$10*J106+$K$10*K106+$L$10*L106))</x:f>
        <x:v>0.3396166122024027</x:v>
      </x:c>
      <x:c r="AI106" t="n">
        <x:f>'_曲线基线'!$L$4+AI$9*($H$10*H106+$I$10*I106+$J$10*J106+$K$10*K106+$L$10*L106)</x:f>
        <x:v>2.8067891339924076</x:v>
      </x:c>
      <x:c r="AJ106" t="n">
        <x:f>1+AJ$9*($H$10*H106+$I$10*I106+$J$10*J106+$K$10*K106+$L$10*L106)</x:f>
        <x:v>1.6619808278912063</x:v>
      </x:c>
      <x:c r="AK106" t="n">
        <x:f>(1+AH106*(AI106-1))*AJ106</x:f>
        <x:v>2.6817981985153976</x:v>
      </x:c>
      <x:c r="AL106" t="n">
        <x:f>U106*AD106*AK106*F106</x:f>
        <x:v>673441.2975987605</x:v>
      </x:c>
      <x:c r="AM106" t="n">
        <x:f>IF($B106&lt;AM$8,0,AM$3+(AM$4-AM$3)*(POWER(AM$5,$B106-AM$8)-1)/(POWER(AM$5,$C$5-AM$8)-1))</x:f>
        <x:v>37.07821075384751</x:v>
      </x:c>
      <x:c r="AN106" t="n">
        <x:f>(((E106*'模块规划'!$D$10+G106*'模块规划'!$D$11+H106*'模块规划'!$D$13)*(1+'模块规划'!$G$14*H106)+(I106*'模块规划'!$D$15+J106*'模块规划'!$D$17+K106*'模块规划'!$D$16+L106*'模块规划'!$D$18))*(1+'模块规划'!$J$17*J106))*F106/(1-Q106)</x:f>
        <x:v>1143599.300840082</x:v>
      </x:c>
      <x:c r="AO106" t="n">
        <x:f>AL106*AM106</x:f>
        <x:v>24969998.36271138</x:v>
      </x:c>
      <x:c r="AP106" t="n">
        <x:f>IF(AO106="","",INDEX('_曲线基线'!$A$3:$A$502,MIN(ROWS('_曲线基线'!$A$3:$A$502),COUNTIF('_曲线基线'!$E$3:$E$502,"&lt;"&amp;AO106)+1)))</x:f>
        <x:v>196</x:v>
      </x:c>
      <x:c r="AQ106" t="n">
        <x:f>IF(B106&lt;=2,1,IF(B106&lt;=6,2,IF(B106&lt;=9,3,IF(B106&lt;=19,4,5))))</x:f>
        <x:v>5</x:v>
      </x:c>
      <x:c r="AR106" t="n">
        <x:f>AN106*(1-Q106)/F106*$AS$3+U106*$AS$4+P106*$AS$5</x:f>
        <x:v>9796.974154263882</x:v>
      </x:c>
      <x:c r="AS106" t="n">
        <x:f>1+AH106*$AS$6+AI106*$AS$7+(AJ106-1)*$AS$8+($H$10*H106+$I$10*I106+$J$10*J106+$K$10*K106+$L$10*L106)*$AU$3*$AS$9+($H$10*H106+$I$10*I106+$J$10*J106+$K$10*K106+$L$10*L106)*$AU$4*$AS$10</x:f>
        <x:v>12.58813896965678</x:v>
      </x:c>
      <x:c r="AT106" t="n">
        <x:f>ROUND(AR106*AS106,0)</x:f>
        <x:v>123326</x:v>
      </x:c>
      <x:c r="AU106" t="n">
        <x:f>ROUND(AT106*F106,0)</x:f>
        <x:v>616630</x:v>
      </x:c>
    </x:row>
    <x:row r="107">
      <x:c r="A107" t="n">
        <x:f>IFERROR(XLOOKUP(B107,'_曲线基线'!$G$3:$G$107,'_曲线基线'!$J$3:$J$107,""),"")</x:f>
        <x:v>37</x:v>
      </x:c>
      <x:c r="B107" t="n">
        <x:v>96</x:v>
      </x:c>
      <x:c r="C107" t="n">
        <x:f>C92+1</x:f>
        <x:v>7</x:v>
      </x:c>
      <x:c r="D107" t="n">
        <x:f>D92</x:f>
        <x:v>12</x:v>
      </x:c>
      <x:c r="E107" t="n">
        <x:f>IF($B107&lt;E$8,0,E$3+(E$4-E$3)*(POWER(E$5,$B107-E$8)-1)/(POWER(E$5,$C$5-E$8)-1))</x:f>
        <x:v>1</x:v>
      </x:c>
      <x:c r="F107" t="n">
        <x:f>1+IF(B107&lt;3,0,MIN(1,(B107-2)/4))+IF(B107&lt;7,0,MIN(1,(B107-6)/3))+IF(B107&lt;10,0,MIN(1,(B107-9)/5))+IF(B107&lt;20,0,MIN(1,(B107-19)/10))</x:f>
        <x:v>5</x:v>
      </x:c>
      <x:c r="G107" t="n">
        <x:f>IF($B107&lt;G$8,0,G$3+(G$4-G$3)*(POWER(G$5,$B107-G$8)-1)/(POWER(G$5,$C$5-G$8)-1))</x:f>
        <x:v>0.6962912903888968</x:v>
      </x:c>
      <x:c r="H107" t="n">
        <x:f>IF($B107&lt;H$8,0,H$3+(H$4-H$3)*(POWER(H$5,$B107-H$8)-1)/(POWER(H$5,$C$5-H$8)-1))</x:f>
        <x:v>0.569144708782307</x:v>
      </x:c>
      <x:c r="I107" t="n">
        <x:f>IF($B107&lt;I$8,0,I$3+(I$4-I$3)*(POWER(I$5,$B107-I$8)-1)/(POWER(I$5,$C$5-I$8)-1))</x:f>
        <x:v>0.3135489324311956</x:v>
      </x:c>
      <x:c r="J107" t="n">
        <x:f>IF($B107&lt;J$8,0,J$3+(J$4-J$3)*(POWER(J$5,$B107-J$8)-1)/(POWER(J$5,$C$5-J$8)-1))</x:f>
        <x:v>0.44475568405237614</x:v>
      </x:c>
      <x:c r="K107" t="n">
        <x:f>IF($B107&lt;K$8,0,K$3+(K$4-K$3)*(POWER(K$5,$B107-K$8)-1)/(POWER(K$5,$C$5-K$8)-1))</x:f>
        <x:v>0</x:v>
      </x:c>
      <x:c r="L107" t="n">
        <x:f>IF($B107&lt;L$8,0,L$3+(L$4-L$3)*(POWER(L$5,$B107-L$8)-1)/(POWER(L$5,$C$5-L$8)-1))</x:f>
        <x:v>0.5664612393285982</x:v>
      </x:c>
      <x:c r="M107" t="n">
        <x:f>E107*'模块规划'!$F$10+G107*'模块规划'!$F$11+H107*'模块规划'!$F$13</x:f>
        <x:v>4342.198193866705</x:v>
      </x:c>
      <x:c r="N107" t="n">
        <x:f>I107*'模块规划'!$F$15+J107*'模块规划'!$F$17+K107*'模块规划'!$F$16+L107*'模块规划'!$F$18</x:f>
        <x:v>9788.254496616317</x:v>
      </x:c>
      <x:c r="O107" t="n">
        <x:f>1+O$9*SUMPRODUCT($H$10:$L$10,H107:L107)/SUM($H$10:$L$10)</x:f>
        <x:v>2.452698559528268</x:v>
      </x:c>
      <x:c r="P107" t="n">
        <x:f>M107*O107+N107</x:f>
        <x:v>20438.35775189943</x:v>
      </x:c>
      <x:c r="Q107" t="n">
        <x:f>P107/(P107+'_曲线基线'!$L$2)</x:f>
        <x:v>0.4599260365562414</x:v>
      </x:c>
      <x:c r="R107" t="n">
        <x:f>E107*'模块规划'!$E$10+G107*'模块规划'!$E$11+H107*'模块规划'!$E$13</x:f>
        <x:v>6513.297290800057</x:v>
      </x:c>
      <x:c r="S107" t="n">
        <x:f>I107*'模块规划'!$E$15+J107*'模块规划'!$E$17+K107*'模块规划'!$E$16+L107*'模块规划'!$E$18</x:f>
        <x:v>14682.381744924474</x:v>
      </x:c>
      <x:c r="T107" t="n">
        <x:f>1+T$9*SUMPRODUCT($H$10:$L$10,H107:L107)/SUM($H$10:$L$10)</x:f>
        <x:v>2.452698559528268</x:v>
      </x:c>
      <x:c r="U107" t="n">
        <x:f>R107*T107+S107</x:f>
        <x:v>30657.536627849146</x:v>
      </x:c>
      <x:c r="V107" t="n">
        <x:f>V$8+(V$9-V$8)*H107</x:f>
        <x:v>0.8707434126346921</x:v>
      </x:c>
      <x:c r="W107" t="n">
        <x:f>IF(B107&lt;$H$8,0,W$8+(W$9-W$8)*H107)</x:f>
        <x:v>0.22765788351292282</x:v>
      </x:c>
      <x:c r="X107" t="n">
        <x:f>X$8+(X$9-X$8)*H107</x:f>
        <x:v>0.43151479491513445</x:v>
      </x:c>
      <x:c r="Y107" t="n">
        <x:f>Y$8+(Y$9-Y$8)*G107</x:f>
        <x:v>1</x:v>
      </x:c>
      <x:c r="Z107" t="n">
        <x:f>Z$8+(Z$9-Z$8)*H107</x:f>
        <x:v>1</x:v>
      </x:c>
      <x:c r="AA107" t="n">
        <x:f>AA$8+(AA$9-AA$8)*I107</x:f>
        <x:v>1</x:v>
      </x:c>
      <x:c r="AB107" t="n">
        <x:f>AB$8+(AB$9-AB$8)*J107</x:f>
        <x:v>1</x:v>
      </x:c>
      <x:c r="AC107" t="n">
        <x:f>AC$8+(AC$9-AC$8)*MAX(K107,L107)</x:f>
        <x:v>1</x:v>
      </x:c>
      <x:c r="AD107" t="n">
        <x:f>(V107*AE107+W107*AF107+X107*AG107)*PRODUCT(Y107:AC107)</x:f>
        <x:v>1.6571552891121728</x:v>
      </x:c>
      <x:c r="AE107" t="n">
        <x:f>1+AE$9*($H$10*H107+$I$10*I107+$J$10*J107+$K$10*K107+$L$10*L107)</x:f>
        <x:v>1</x:v>
      </x:c>
      <x:c r="AF107" t="n">
        <x:f>1+AF$9*($H$10*H107+$I$10*I107+$J$10*J107+$K$10*K107+$L$10*L107)</x:f>
        <x:v>1.128213880962414</x:v>
      </x:c>
      <x:c r="AG107" t="n">
        <x:f>1+AG$9*($H$10*H107+$I$10*I107+$J$10*J107+$K$10*K107+$L$10*L107)</x:f>
        <x:v>1.2272234890389466</x:v>
      </x:c>
      <x:c r="AH107" t="n">
        <x:f>MIN(1,'_曲线基线'!$L$3+AH$9*($H$10*H107+$I$10*I107+$J$10*J107+$K$10*K107+$L$10*L107))</x:f>
        <x:v>0.3416865791894916</x:v>
      </x:c>
      <x:c r="AI107" t="n">
        <x:f>'_曲线基线'!$L$4+AI$9*($H$10*H107+$I$10*I107+$J$10*J107+$K$10*K107+$L$10*L107)</x:f>
        <x:v>2.812555470599298</x:v>
      </x:c>
      <x:c r="AJ107" t="n">
        <x:f>1+AJ$9*($H$10*H107+$I$10*I107+$J$10*J107+$K$10*K107+$L$10*L107)</x:f>
        <x:v>1.6667121810045522</x:v>
      </x:c>
      <x:c r="AK107" t="n">
        <x:f>(1+AH107*(AI107-1))*AJ107</x:f>
        <x:v>2.6989501664456292</x:v>
      </x:c>
      <x:c r="AL107" t="n">
        <x:f>U107*AD107*AK107*F107</x:f>
        <x:v>685591.3558600242</x:v>
      </x:c>
      <x:c r="AM107" t="n">
        <x:f>IF($B107&lt;AM$8,0,AM$3+(AM$4-AM$3)*(POWER(AM$5,$B107-AM$8)-1)/(POWER(AM$5,$C$5-AM$8)-1))</x:f>
        <x:v>37.11241750130785</x:v>
      </x:c>
      <x:c r="AN107" t="n">
        <x:f>(((E107*'模块规划'!$D$10+G107*'模块规划'!$D$11+H107*'模块规划'!$D$13)*(1+'模块规划'!$G$14*H107)+(I107*'模块规划'!$D$15+J107*'模块规划'!$D$17+K107*'模块规划'!$D$16+L107*'模块规划'!$D$18))*(1+'模块规划'!$J$17*J107))*F107/(1-Q107)</x:f>
        <x:v>1161102.5562519266</x:v>
      </x:c>
      <x:c r="AO107" t="n">
        <x:f>AL107*AM107</x:f>
        <x:v>25443952.633964945</x:v>
      </x:c>
      <x:c r="AP107" t="n">
        <x:f>IF(AO107="","",INDEX('_曲线基线'!$A$3:$A$502,MIN(ROWS('_曲线基线'!$A$3:$A$502),COUNTIF('_曲线基线'!$E$3:$E$502,"&lt;"&amp;AO107)+1)))</x:f>
        <x:v>197</x:v>
      </x:c>
      <x:c r="AQ107" t="n">
        <x:f>IF(B107&lt;=2,1,IF(B107&lt;=6,2,IF(B107&lt;=9,3,IF(B107&lt;=19,4,5))))</x:f>
        <x:v>5</x:v>
      </x:c>
      <x:c r="AR107" t="n">
        <x:f>AN107*(1-Q107)/F107*$AS$3+U107*$AS$4+P107*$AS$5</x:f>
        <x:v>9893.994882687775</x:v>
      </x:c>
      <x:c r="AS107" t="n">
        <x:f>1+AH107*$AS$6+AI107*$AS$7+(AJ107-1)*$AS$8+($H$10*H107+$I$10*I107+$J$10*J107+$K$10*K107+$L$10*L107)*$AU$3*$AS$9+($H$10*H107+$I$10*I107+$J$10*J107+$K$10*K107+$L$10*L107)*$AU$4*$AS$10</x:f>
        <x:v>12.642505070526473</x:v>
      </x:c>
      <x:c r="AT107" t="n">
        <x:f>ROUND(AR107*AS107,0)</x:f>
        <x:v>125085</x:v>
      </x:c>
      <x:c r="AU107" t="n">
        <x:f>ROUND(AT107*F107,0)</x:f>
        <x:v>625425</x:v>
      </x:c>
    </x:row>
    <x:row r="108">
      <x:c r="A108" t="n">
        <x:f>IFERROR(XLOOKUP(B108,'_曲线基线'!$G$3:$G$107,'_曲线基线'!$J$3:$J$107,""),"")</x:f>
        <x:v>37</x:v>
      </x:c>
      <x:c r="B108" t="n">
        <x:v>97</x:v>
      </x:c>
      <x:c r="C108" t="n">
        <x:f>C93+1</x:f>
        <x:v>7</x:v>
      </x:c>
      <x:c r="D108" t="n">
        <x:f>D93</x:f>
        <x:v>13</x:v>
      </x:c>
      <x:c r="E108" t="n">
        <x:f>IF($B108&lt;E$8,0,E$3+(E$4-E$3)*(POWER(E$5,$B108-E$8)-1)/(POWER(E$5,$C$5-E$8)-1))</x:f>
        <x:v>1</x:v>
      </x:c>
      <x:c r="F108" t="n">
        <x:f>1+IF(B108&lt;3,0,MIN(1,(B108-2)/4))+IF(B108&lt;7,0,MIN(1,(B108-6)/3))+IF(B108&lt;10,0,MIN(1,(B108-9)/5))+IF(B108&lt;20,0,MIN(1,(B108-19)/10))</x:f>
        <x:v>5</x:v>
      </x:c>
      <x:c r="G108" t="n">
        <x:f>IF($B108&lt;G$8,0,G$3+(G$4-G$3)*(POWER(G$5,$B108-G$8)-1)/(POWER(G$5,$C$5-G$8)-1))</x:f>
        <x:v>0.6995521114875592</x:v>
      </x:c>
      <x:c r="H108" t="n">
        <x:f>IF($B108&lt;H$8,0,H$3+(H$4-H$3)*(POWER(H$5,$B108-H$8)-1)/(POWER(H$5,$C$5-H$8)-1))</x:f>
        <x:v>0.5718283568461724</x:v>
      </x:c>
      <x:c r="I108" t="n">
        <x:f>IF($B108&lt;I$8,0,I$3+(I$4-I$3)*(POWER(I$5,$B108-I$8)-1)/(POWER(I$5,$C$5-I$8)-1))</x:f>
        <x:v>0.3204490451256399</x:v>
      </x:c>
      <x:c r="J108" t="n">
        <x:f>IF($B108&lt;J$8,0,J$3+(J$4-J$3)*(POWER(J$5,$B108-J$8)-1)/(POWER(J$5,$C$5-J$8)-1))</x:f>
        <x:v>0.4479395148630526</x:v>
      </x:c>
      <x:c r="K108" t="n">
        <x:f>IF($B108&lt;K$8,0,K$3+(K$4-K$3)*(POWER(K$5,$B108-K$8)-1)/(POWER(K$5,$C$5-K$8)-1))</x:f>
        <x:v>0</x:v>
      </x:c>
      <x:c r="L108" t="n">
        <x:f>IF($B108&lt;L$8,0,L$3+(L$4-L$3)*(POWER(L$5,$B108-L$8)-1)/(POWER(L$5,$C$5-L$8)-1))</x:f>
        <x:v>0.5691999213734118</x:v>
      </x:c>
      <x:c r="M108" t="n">
        <x:f>E108*'模块规划'!$F$10+G108*'模块规划'!$F$11+H108*'模块规划'!$F$13</x:f>
        <x:v>4357.850135140285</x:v>
      </x:c>
      <x:c r="N108" t="n">
        <x:f>I108*'模块规划'!$F$15+J108*'模块规划'!$F$17+K108*'模块规划'!$F$16+L108*'模块规划'!$F$18</x:f>
        <x:v>9888.987116502703</x:v>
      </x:c>
      <x:c r="O108" t="n">
        <x:f>1+O$9*SUMPRODUCT($H$10:$L$10,H108:L108)/SUM($H$10:$L$10)</x:f>
        <x:v>2.4628015176670877</x:v>
      </x:c>
      <x:c r="P108" t="n">
        <x:f>M108*O108+N108</x:f>
        <x:v>20621.507043091922</x:v>
      </x:c>
      <x:c r="Q108" t="n">
        <x:f>P108/(P108+'_曲线基线'!$L$2)</x:f>
        <x:v>0.4621427739582462</x:v>
      </x:c>
      <x:c r="R108" t="n">
        <x:f>E108*'模块规划'!$E$10+G108*'模块规划'!$E$11+H108*'模块规划'!$E$13</x:f>
        <x:v>6536.775202710426</x:v>
      </x:c>
      <x:c r="S108" t="n">
        <x:f>I108*'模块规划'!$E$15+J108*'模块规划'!$E$17+K108*'模块规划'!$E$16+L108*'模块规划'!$E$18</x:f>
        <x:v>14833.480674754057</x:v>
      </x:c>
      <x:c r="T108" t="n">
        <x:f>1+T$9*SUMPRODUCT($H$10:$L$10,H108:L108)/SUM($H$10:$L$10)</x:f>
        <x:v>2.4628015176670877</x:v>
      </x:c>
      <x:c r="U108" t="n">
        <x:f>R108*T108+S108</x:f>
        <x:v>30932.26056463788</x:v>
      </x:c>
      <x:c r="V108" t="n">
        <x:f>V$8+(V$9-V$8)*H108</x:f>
        <x:v>0.8715485070538517</x:v>
      </x:c>
      <x:c r="W108" t="n">
        <x:f>IF(B108&lt;$H$8,0,W$8+(W$9-W$8)*H108)</x:f>
        <x:v>0.22873134273846896</x:v>
      </x:c>
      <x:c r="X108" t="n">
        <x:f>X$8+(X$9-X$8)*H108</x:f>
        <x:v>0.43225279813269746</x:v>
      </x:c>
      <x:c r="Y108" t="n">
        <x:f>Y$8+(Y$9-Y$8)*G108</x:f>
        <x:v>1</x:v>
      </x:c>
      <x:c r="Z108" t="n">
        <x:f>Z$8+(Z$9-Z$8)*H108</x:f>
        <x:v>1</x:v>
      </x:c>
      <x:c r="AA108" t="n">
        <x:f>AA$8+(AA$9-AA$8)*I108</x:f>
        <x:v>1</x:v>
      </x:c>
      <x:c r="AB108" t="n">
        <x:f>AB$8+(AB$9-AB$8)*J108</x:f>
        <x:v>1</x:v>
      </x:c>
      <x:c r="AC108" t="n">
        <x:f>AC$8+(AC$9-AC$8)*MAX(K108,L108)</x:f>
        <x:v>1</x:v>
      </x:c>
      <x:c r="AD108" t="n">
        <x:f>(V108*AE108+W108*AF108+X108*AG108)*PRODUCT(Y108:AC108)</x:f>
        <x:v>1.6609641929677892</x:v>
      </x:c>
      <x:c r="AE108" t="n">
        <x:f>1+AE$9*($H$10*H108+$I$10*I108+$J$10*J108+$K$10*K108+$L$10*L108)</x:f>
        <x:v>1</x:v>
      </x:c>
      <x:c r="AF108" t="n">
        <x:f>1+AF$9*($H$10*H108+$I$10*I108+$J$10*J108+$K$10*K108+$L$10*L108)</x:f>
        <x:v>1.12910555904916</x:v>
      </x:c>
      <x:c r="AG108" t="n">
        <x:f>1+AG$9*($H$10*H108+$I$10*I108+$J$10*J108+$K$10*K108+$L$10*L108)</x:f>
        <x:v>1.2288037407593466</x:v>
      </x:c>
      <x:c r="AH108" t="n">
        <x:f>MIN(1,'_曲线基线'!$L$3+AH$9*($H$10*H108+$I$10*I108+$J$10*J108+$K$10*K108+$L$10*L108))</x:f>
        <x:v>0.34371514683683885</x:v>
      </x:c>
      <x:c r="AI108" t="n">
        <x:f>'_曲线基线'!$L$4+AI$9*($H$10*H108+$I$10*I108+$J$10*J108+$K$10*K108+$L$10*L108)</x:f>
        <x:v>2.818206480474051</x:v>
      </x:c>
      <x:c r="AJ108" t="n">
        <x:f>1+AJ$9*($H$10*H108+$I$10*I108+$J$10*J108+$K$10*K108+$L$10*L108)</x:f>
        <x:v>1.6713489070556318</x:v>
      </x:c>
      <x:c r="AK108" t="n">
        <x:f>(1+AH108*(AI108-1))*AJ108</x:f>
        <x:v>2.715850229304844</x:v>
      </x:c>
      <x:c r="AL108" t="n">
        <x:f>U108*AD108*AK108*F108</x:f>
        <x:v>697666.3083220135</x:v>
      </x:c>
      <x:c r="AM108" t="n">
        <x:f>IF($B108&lt;AM$8,0,AM$3+(AM$4-AM$3)*(POWER(AM$5,$B108-AM$8)-1)/(POWER(AM$5,$C$5-AM$8)-1))</x:f>
        <x:v>37.1469663162428</x:v>
      </x:c>
      <x:c r="AN108" t="n">
        <x:f>(((E108*'模块规划'!$D$10+G108*'模块规划'!$D$11+H108*'模块规划'!$D$13)*(1+'模块规划'!$G$14*H108)+(I108*'模块规划'!$D$15+J108*'模块规划'!$D$17+K108*'模块规划'!$D$16+L108*'模块规划'!$D$18))*(1+'模块规划'!$J$17*J108))*F108/(1-Q108)</x:f>
        <x:v>1178434.9214130805</x:v>
      </x:c>
      <x:c r="AO108" t="n">
        <x:f>AL108*AM108</x:f>
        <x:v>25916186.8552153</x:v>
      </x:c>
      <x:c r="AP108" t="n">
        <x:f>IF(AO108="","",INDEX('_曲线基线'!$A$3:$A$502,MIN(ROWS('_曲线基线'!$A$3:$A$502),COUNTIF('_曲线基线'!$E$3:$E$502,"&lt;"&amp;AO108)+1)))</x:f>
        <x:v>198</x:v>
      </x:c>
      <x:c r="AQ108" t="n">
        <x:f>IF(B108&lt;=2,1,IF(B108&lt;=6,2,IF(B108&lt;=9,3,IF(B108&lt;=19,4,5))))</x:f>
        <x:v>5</x:v>
      </x:c>
      <x:c r="AR108" t="n">
        <x:f>AN108*(1-Q108)/F108*$AS$3+U108*$AS$4+P108*$AS$5</x:f>
        <x:v>9989.430540339406</x:v>
      </x:c>
      <x:c r="AS108" t="n">
        <x:f>1+AH108*$AS$6+AI108*$AS$7+(AJ108-1)*$AS$8+($H$10*H108+$I$10*I108+$J$10*J108+$K$10*K108+$L$10*L108)*$AU$3*$AS$9+($H$10*H108+$I$10*I108+$J$10*J108+$K$10*K108+$L$10*L108)*$AU$4*$AS$10</x:f>
        <x:v>12.695783849378776</x:v>
      </x:c>
      <x:c r="AT108" t="n">
        <x:f>ROUND(AR108*AS108,0)</x:f>
        <x:v>126824</x:v>
      </x:c>
      <x:c r="AU108" t="n">
        <x:f>ROUND(AT108*F108,0)</x:f>
        <x:v>634120</x:v>
      </x:c>
    </x:row>
    <x:row r="109">
      <x:c r="A109" t="n">
        <x:f>IFERROR(XLOOKUP(B109,'_曲线基线'!$G$3:$G$107,'_曲线基线'!$J$3:$J$107,""),"")</x:f>
        <x:v>37</x:v>
      </x:c>
      <x:c r="B109" t="n">
        <x:v>98</x:v>
      </x:c>
      <x:c r="C109" t="n">
        <x:f>C94+1</x:f>
        <x:v>7</x:v>
      </x:c>
      <x:c r="D109" t="n">
        <x:f>D94</x:f>
        <x:v>14</x:v>
      </x:c>
      <x:c r="E109" t="n">
        <x:f>IF($B109&lt;E$8,0,E$3+(E$4-E$3)*(POWER(E$5,$B109-E$8)-1)/(POWER(E$5,$C$5-E$8)-1))</x:f>
        <x:v>1</x:v>
      </x:c>
      <x:c r="F109" t="n">
        <x:f>1+IF(B109&lt;3,0,MIN(1,(B109-2)/4))+IF(B109&lt;7,0,MIN(1,(B109-6)/3))+IF(B109&lt;10,0,MIN(1,(B109-9)/5))+IF(B109&lt;20,0,MIN(1,(B109-19)/10))</x:f>
        <x:v>5</x:v>
      </x:c>
      <x:c r="G109" t="n">
        <x:f>IF($B109&lt;G$8,0,G$3+(G$4-G$3)*(POWER(G$5,$B109-G$8)-1)/(POWER(G$5,$C$5-G$8)-1))</x:f>
        <x:v>0.7027640202697416</x:v>
      </x:c>
      <x:c r="H109" t="n">
        <x:f>IF($B109&lt;H$8,0,H$3+(H$4-H$3)*(POWER(H$5,$B109-H$8)-1)/(POWER(H$5,$C$5-H$8)-1))</x:f>
        <x:v>0.5744583319487603</x:v>
      </x:c>
      <x:c r="I109" t="n">
        <x:f>IF($B109&lt;I$8,0,I$3+(I$4-I$3)*(POWER(I$5,$B109-I$8)-1)/(POWER(I$5,$C$5-I$8)-1))</x:f>
        <x:v>0.32721115556619523</x:v>
      </x:c>
      <x:c r="J109" t="n">
        <x:f>IF($B109&lt;J$8,0,J$3+(J$4-J$3)*(POWER(J$5,$B109-J$8)-1)/(POWER(J$5,$C$5-J$8)-1))</x:f>
        <x:v>0.4510596690575154</x:v>
      </x:c>
      <x:c r="K109" t="n">
        <x:f>IF($B109&lt;K$8,0,K$3+(K$4-K$3)*(POWER(K$5,$B109-K$8)-1)/(POWER(K$5,$C$5-K$8)-1))</x:f>
        <x:v>0</x:v>
      </x:c>
      <x:c r="L109" t="n">
        <x:f>IF($B109&lt;L$8,0,L$3+(L$4-L$3)*(POWER(L$5,$B109-L$8)-1)/(POWER(L$5,$C$5-L$8)-1))</x:f>
        <x:v>0.5718838297773293</x:v>
      </x:c>
      <x:c r="M109" t="n">
        <x:f>E109*'模块规划'!$F$10+G109*'模块规划'!$F$11+H109*'模块规划'!$F$13</x:f>
        <x:v>4373.26729729476</x:v>
      </x:c>
      <x:c r="N109" t="n">
        <x:f>I109*'模块规划'!$F$15+J109*'模块规划'!$F$17+K109*'模块规划'!$F$16+L109*'模块规划'!$F$18</x:f>
        <x:v>9987.705083991363</x:v>
      </x:c>
      <x:c r="O109" t="n">
        <x:f>1+O$9*SUMPRODUCT($H$10:$L$10,H109:L109)/SUM($H$10:$L$10)</x:f>
        <x:v>2.4727024166431306</x:v>
      </x:c>
      <x:c r="P109" t="n">
        <x:f>M109*O109+N109</x:f>
        <x:v>20801.49369863849</x:v>
      </x:c>
      <x:c r="Q109" t="n">
        <x:f>P109/(P109+'_曲线基线'!$L$2)</x:f>
        <x:v>0.46430357520134746</x:v>
      </x:c>
      <x:c r="R109" t="n">
        <x:f>E109*'模块规划'!$E$10+G109*'模块规划'!$E$11+H109*'模块规划'!$E$13</x:f>
        <x:v>6559.9009459421395</x:v>
      </x:c>
      <x:c r="S109" t="n">
        <x:f>I109*'模块规划'!$E$15+J109*'模块规划'!$E$17+K109*'模块规划'!$E$16+L109*'模块规划'!$E$18</x:f>
        <x:v>14981.557625987043</x:v>
      </x:c>
      <x:c r="T109" t="n">
        <x:f>1+T$9*SUMPRODUCT($H$10:$L$10,H109:L109)/SUM($H$10:$L$10)</x:f>
        <x:v>2.4727024166431306</x:v>
      </x:c>
      <x:c r="U109" t="n">
        <x:f>R109*T109+S109</x:f>
        <x:v>31202.24054795773</x:v>
      </x:c>
      <x:c r="V109" t="n">
        <x:f>V$8+(V$9-V$8)*H109</x:f>
        <x:v>0.872337499584628</x:v>
      </x:c>
      <x:c r="W109" t="n">
        <x:f>IF(B109&lt;$H$8,0,W$8+(W$9-W$8)*H109)</x:f>
        <x:v>0.22978333277950413</x:v>
      </x:c>
      <x:c r="X109" t="n">
        <x:f>X$8+(X$9-X$8)*H109</x:f>
        <x:v>0.4329760412859091</x:v>
      </x:c>
      <x:c r="Y109" t="n">
        <x:f>Y$8+(Y$9-Y$8)*G109</x:f>
        <x:v>1</x:v>
      </x:c>
      <x:c r="Z109" t="n">
        <x:f>Z$8+(Z$9-Z$8)*H109</x:f>
        <x:v>1</x:v>
      </x:c>
      <x:c r="AA109" t="n">
        <x:f>AA$8+(AA$9-AA$8)*I109</x:f>
        <x:v>1</x:v>
      </x:c>
      <x:c r="AB109" t="n">
        <x:f>AB$8+(AB$9-AB$8)*J109</x:f>
        <x:v>1</x:v>
      </x:c>
      <x:c r="AC109" t="n">
        <x:f>AC$8+(AC$9-AC$8)*MAX(K109,L109)</x:f>
        <x:v>1</x:v>
      </x:c>
      <x:c r="AD109" t="n">
        <x:f>(V109*AE109+W109*AF109+X109*AG109)*PRODUCT(Y109:AC109)</x:f>
        <x:v>1.664701039012847</x:v>
      </x:c>
      <x:c r="AE109" t="n">
        <x:f>1+AE$9*($H$10*H109+$I$10*I109+$J$10*J109+$K$10*K109+$L$10*L109)</x:f>
        <x:v>1</x:v>
      </x:c>
      <x:c r="AF109" t="n">
        <x:f>1+AF$9*($H$10*H109+$I$10*I109+$J$10*J109+$K$10*K109+$L$10*L109)</x:f>
        <x:v>1.129979403574171</x:v>
      </x:c>
      <x:c r="AG109" t="n">
        <x:f>1+AG$9*($H$10*H109+$I$10*I109+$J$10*J109+$K$10*K109+$L$10*L109)</x:f>
        <x:v>1.2303523874453384</x:v>
      </x:c>
      <x:c r="AH109" t="n">
        <x:f>MIN(1,'_曲线基线'!$L$3+AH$9*($H$10*H109+$I$10*I109+$J$10*J109+$K$10*K109+$L$10*L109))</x:f>
        <x:v>0.34570314313123907</x:v>
      </x:c>
      <x:c r="AI109" t="n">
        <x:f>'_曲线基线'!$L$4+AI$9*($H$10*H109+$I$10*I109+$J$10*J109+$K$10*K109+$L$10*L109)</x:f>
        <x:v>2.823744470151309</x:v>
      </x:c>
      <x:c r="AJ109" t="n">
        <x:f>1+AJ$9*($H$10*H109+$I$10*I109+$J$10*J109+$K$10*K109+$L$10*L109)</x:f>
        <x:v>1.6758928985856896</x:v>
      </x:c>
      <x:c r="AK109" t="n">
        <x:f>(1+AH109*(AI109-1))*AJ109</x:f>
        <x:v>2.7325001257324564</x:v>
      </x:c>
      <x:c r="AL109" t="n">
        <x:f>U109*AD109*AK109*F109</x:f>
        <x:v>709663.1035275718</x:v>
      </x:c>
      <x:c r="AM109" t="n">
        <x:f>IF($B109&lt;AM$8,0,AM$3+(AM$4-AM$3)*(POWER(AM$5,$B109-AM$8)-1)/(POWER(AM$5,$C$5-AM$8)-1))</x:f>
        <x:v>37.1818606193271</x:v>
      </x:c>
      <x:c r="AN109" t="n">
        <x:f>(((E109*'模块规划'!$D$10+G109*'模块规划'!$D$11+H109*'模块规划'!$D$13)*(1+'模块规划'!$G$14*H109)+(I109*'模块规划'!$D$15+J109*'模块规划'!$D$17+K109*'模块规划'!$D$16+L109*'模块规划'!$D$18))*(1+'模块规划'!$J$17*J109))*F109/(1-Q109)</x:f>
        <x:v>1195594.4171827137</x:v>
      </x:c>
      <x:c r="AO109" t="n">
        <x:f>AL109*AM109</x:f>
        <x:v>26386594.60204127</x:v>
      </x:c>
      <x:c r="AP109" t="n">
        <x:f>IF(AO109="","",INDEX('_曲线基线'!$A$3:$A$502,MIN(ROWS('_曲线基线'!$A$3:$A$502),COUNTIF('_曲线基线'!$E$3:$E$502,"&lt;"&amp;AO109)+1)))</x:f>
        <x:v>199</x:v>
      </x:c>
      <x:c r="AQ109" t="n">
        <x:f>IF(B109&lt;=2,1,IF(B109&lt;=6,2,IF(B109&lt;=9,3,IF(B109&lt;=19,4,5))))</x:f>
        <x:v>5</x:v>
      </x:c>
      <x:c r="AR109" t="n">
        <x:f>AN109*(1-Q109)/F109*$AS$3+U109*$AS$4+P109*$AS$5</x:f>
        <x:v>10083.302038355598</x:v>
      </x:c>
      <x:c r="AS109" t="n">
        <x:f>1+AH109*$AS$6+AI109*$AS$7+(AJ109-1)*$AS$8+($H$10*H109+$I$10*I109+$J$10*J109+$K$10*K109+$L$10*L109)*$AU$3*$AS$9+($H$10*H109+$I$10*I109+$J$10*J109+$K$10*K109+$L$10*L109)*$AU$4*$AS$10</x:f>
        <x:v>12.747997052654034</x:v>
      </x:c>
      <x:c r="AT109" t="n">
        <x:f>ROUND(AR109*AS109,0)</x:f>
        <x:v>128542</x:v>
      </x:c>
      <x:c r="AU109" t="n">
        <x:f>ROUND(AT109*F109,0)</x:f>
        <x:v>642710</x:v>
      </x:c>
    </x:row>
    <x:row r="110">
      <x:c r="A110" t="n">
        <x:f>IFERROR(XLOOKUP(B110,'_曲线基线'!$G$3:$G$107,'_曲线基线'!$J$3:$J$107,""),"")</x:f>
        <x:v>37</x:v>
      </x:c>
      <x:c r="B110" t="n">
        <x:v>99</x:v>
      </x:c>
      <x:c r="C110" t="n">
        <x:f>C95+1</x:f>
        <x:v>7</x:v>
      </x:c>
      <x:c r="D110" t="n">
        <x:f>D95</x:f>
        <x:v>15</x:v>
      </x:c>
      <x:c r="E110" t="n">
        <x:f>IF($B110&lt;E$8,0,E$3+(E$4-E$3)*(POWER(E$5,$B110-E$8)-1)/(POWER(E$5,$C$5-E$8)-1))</x:f>
        <x:v>1</x:v>
      </x:c>
      <x:c r="F110" t="n">
        <x:f>1+IF(B110&lt;3,0,MIN(1,(B110-2)/4))+IF(B110&lt;7,0,MIN(1,(B110-6)/3))+IF(B110&lt;10,0,MIN(1,(B110-9)/5))+IF(B110&lt;20,0,MIN(1,(B110-19)/10))</x:f>
        <x:v>5</x:v>
      </x:c>
      <x:c r="G110" t="n">
        <x:f>IF($B110&lt;G$8,0,G$3+(G$4-G$3)*(POWER(G$5,$B110-G$8)-1)/(POWER(G$5,$C$5-G$8)-1))</x:f>
        <x:v>0.7059277504201914</x:v>
      </x:c>
      <x:c r="H110" t="n">
        <x:f>IF($B110&lt;H$8,0,H$3+(H$4-H$3)*(POWER(H$5,$B110-H$8)-1)/(POWER(H$5,$C$5-H$8)-1))</x:f>
        <x:v>0.5770357075492963</x:v>
      </x:c>
      <x:c r="I110" t="n">
        <x:f>IF($B110&lt;I$8,0,I$3+(I$4-I$3)*(POWER(I$5,$B110-I$8)-1)/(POWER(I$5,$C$5-I$8)-1))</x:f>
        <x:v>0.33383802379793953</x:v>
      </x:c>
      <x:c r="J110" t="n">
        <x:f>IF($B110&lt;J$8,0,J$3+(J$4-J$3)*(POWER(J$5,$B110-J$8)-1)/(POWER(J$5,$C$5-J$8)-1))</x:f>
        <x:v>0.454117420168089</x:v>
      </x:c>
      <x:c r="K110" t="n">
        <x:f>IF($B110&lt;K$8,0,K$3+(K$4-K$3)*(POWER(K$5,$B110-K$8)-1)/(POWER(K$5,$C$5-K$8)-1))</x:f>
        <x:v>0</x:v>
      </x:c>
      <x:c r="L110" t="n">
        <x:f>IF($B110&lt;L$8,0,L$3+(L$4-L$3)*(POWER(L$5,$B110-L$8)-1)/(POWER(L$5,$C$5-L$8)-1))</x:f>
        <x:v>0.5745140600131684</x:v>
      </x:c>
      <x:c r="M110" t="n">
        <x:f>E110*'模块规划'!$F$10+G110*'模块规划'!$F$11+H110*'模块规划'!$F$13</x:f>
        <x:v>4388.453202016919</x:v>
      </x:c>
      <x:c r="N110" t="n">
        <x:f>I110*'模块规划'!$F$15+J110*'模块规划'!$F$17+K110*'模块规划'!$F$16+L110*'模块规划'!$F$18</x:f>
        <x:v>10084.448692130247</x:v>
      </x:c>
      <x:c r="O110" t="n">
        <x:f>1+O$9*SUMPRODUCT($H$10:$L$10,H110:L110)/SUM($H$10:$L$10)</x:f>
        <x:v>2.482405297639653</x:v>
      </x:c>
      <x:c r="P110" t="n">
        <x:f>M110*O110+N110</x:f>
        <x:v>20978.368169260742</x:v>
      </x:c>
      <x:c r="Q110" t="n">
        <x:f>P110/(P110+'_曲线基线'!$L$2)</x:f>
        <x:v>0.4664101661117587</x:v>
      </x:c>
      <x:c r="R110" t="n">
        <x:f>E110*'模块规划'!$E$10+G110*'模块规划'!$E$11+H110*'模块规划'!$E$13</x:f>
        <x:v>6582.6798030253785</x:v>
      </x:c>
      <x:c r="S110" t="n">
        <x:f>I110*'模块规划'!$E$15+J110*'模块规划'!$E$17+K110*'模块规划'!$E$16+L110*'模块规划'!$E$18</x:f>
        <x:v>15126.673038195371</x:v>
      </x:c>
      <x:c r="T110" t="n">
        <x:f>1+T$9*SUMPRODUCT($H$10:$L$10,H110:L110)/SUM($H$10:$L$10)</x:f>
        <x:v>2.482405297639653</x:v>
      </x:c>
      <x:c r="U110" t="n">
        <x:f>R110*T110+S110</x:f>
        <x:v>31467.552253891117</x:v>
      </x:c>
      <x:c r="V110" t="n">
        <x:f>V$8+(V$9-V$8)*H110</x:f>
        <x:v>0.8731107122647889</x:v>
      </x:c>
      <x:c r="W110" t="n">
        <x:f>IF(B110&lt;$H$8,0,W$8+(W$9-W$8)*H110)</x:f>
        <x:v>0.23081428301971854</x:v>
      </x:c>
      <x:c r="X110" t="n">
        <x:f>X$8+(X$9-X$8)*H110</x:f>
        <x:v>0.43368481957605653</x:v>
      </x:c>
      <x:c r="Y110" t="n">
        <x:f>Y$8+(Y$9-Y$8)*G110</x:f>
        <x:v>1</x:v>
      </x:c>
      <x:c r="Z110" t="n">
        <x:f>Z$8+(Z$9-Z$8)*H110</x:f>
        <x:v>1</x:v>
      </x:c>
      <x:c r="AA110" t="n">
        <x:f>AA$8+(AA$9-AA$8)*I110</x:f>
        <x:v>1</x:v>
      </x:c>
      <x:c r="AB110" t="n">
        <x:f>AB$8+(AB$9-AB$8)*J110</x:f>
        <x:v>1</x:v>
      </x:c>
      <x:c r="AC110" t="n">
        <x:f>AC$8+(AC$9-AC$8)*MAX(K110,L110)</x:f>
        <x:v>1</x:v>
      </x:c>
      <x:c r="AD110" t="n">
        <x:f>(V110*AE110+W110*AF110+X110*AG110)*PRODUCT(Y110:AC110)</x:f>
        <x:v>1.6683671052410025</x:v>
      </x:c>
      <x:c r="AE110" t="n">
        <x:f>1+AE$9*($H$10*H110+$I$10*I110+$J$10*J110+$K$10*K110+$L$10*L110)</x:f>
        <x:v>1</x:v>
      </x:c>
      <x:c r="AF110" t="n">
        <x:f>1+AF$9*($H$10*H110+$I$10*I110+$J$10*J110+$K$10*K110+$L$10*L110)</x:f>
        <x:v>1.130835771208682</x:v>
      </x:c>
      <x:c r="AG110" t="n">
        <x:f>1+AG$9*($H$10*H110+$I$10*I110+$J$10*J110+$K$10*K110+$L$10*L110)</x:f>
        <x:v>1.2318700611976106</x:v>
      </x:c>
      <x:c r="AH110" t="n">
        <x:f>MIN(1,'_曲线基线'!$L$3+AH$9*($H$10*H110+$I$10*I110+$J$10*J110+$K$10*K110+$L$10*L110))</x:f>
        <x:v>0.3476513794997513</x:v>
      </x:c>
      <x:c r="AI110" t="n">
        <x:f>'_曲线基线'!$L$4+AI$9*($H$10*H110+$I$10*I110+$J$10*J110+$K$10*K110+$L$10*L110)</x:f>
        <x:v>2.8291717000350216</x:v>
      </x:c>
      <x:c r="AJ110" t="n">
        <x:f>1+AJ$9*($H$10*H110+$I$10*I110+$J$10*J110+$K$10*K110+$L$10*L110)</x:f>
        <x:v>1.6803460102851457</x:v>
      </x:c>
      <x:c r="AK110" t="n">
        <x:f>(1+AH110*(AI110-1))*AJ110</x:f>
        <x:v>2.748901672055311</x:v>
      </x:c>
      <x:c r="AL110" t="n">
        <x:f>U110*AD110*AK110*F110</x:f>
        <x:v>721578.8416640095</x:v>
      </x:c>
      <x:c r="AM110" t="n">
        <x:f>IF($B110&lt;AM$8,0,AM$3+(AM$4-AM$3)*(POWER(AM$5,$B110-AM$8)-1)/(POWER(AM$5,$C$5-AM$8)-1))</x:f>
        <x:v>37.21710386544224</x:v>
      </x:c>
      <x:c r="AN110" t="n">
        <x:f>(((E110*'模块规划'!$D$10+G110*'模块规划'!$D$11+H110*'模块规划'!$D$13)*(1+'模块规划'!$G$14*H110)+(I110*'模块规划'!$D$15+J110*'模块规划'!$D$17+K110*'模块规划'!$D$16+L110*'模块规划'!$D$18))*(1+'模块规划'!$J$17*J110))*F110/(1-Q110)</x:f>
        <x:v>1212579.2553991457</x:v>
      </x:c>
      <x:c r="AO110" t="n">
        <x:f>AL110*AM110</x:f>
        <x:v>26855074.69731494</x:v>
      </x:c>
      <x:c r="AP110" t="n">
        <x:f>IF(AO110="","",INDEX('_曲线基线'!$A$3:$A$502,MIN(ROWS('_曲线基线'!$A$3:$A$502),COUNTIF('_曲线基线'!$E$3:$E$502,"&lt;"&amp;AO110)+1)))</x:f>
        <x:v>200</x:v>
      </x:c>
      <x:c r="AQ110" t="n">
        <x:f>IF(B110&lt;=2,1,IF(B110&lt;=6,2,IF(B110&lt;=9,3,IF(B110&lt;=19,4,5))))</x:f>
        <x:v>5</x:v>
      </x:c>
      <x:c r="AR110" t="n">
        <x:f>AN110*(1-Q110)/F110*$AS$3+U110*$AS$4+P110*$AS$5</x:f>
        <x:v>10175.630231566767</x:v>
      </x:c>
      <x:c r="AS110" t="n">
        <x:f>1+AH110*$AS$6+AI110*$AS$7+(AJ110-1)*$AS$8+($H$10*H110+$I$10*I110+$J$10*J110+$K$10*K110+$L$10*L110)*$AU$3*$AS$9+($H$10*H110+$I$10*I110+$J$10*J110+$K$10*K110+$L$10*L110)*$AU$4*$AS$10</x:f>
        <x:v>12.799165991863779</x:v>
      </x:c>
      <x:c r="AT110" t="n">
        <x:f>ROUND(AR110*AS110,0)</x:f>
        <x:v>130240</x:v>
      </x:c>
      <x:c r="AU110" t="n">
        <x:f>ROUND(AT110*F110,0)</x:f>
        <x:v>651200</x:v>
      </x:c>
    </x:row>
    <x:row r="111">
      <x:c r="A111" t="n">
        <x:f>IFERROR(XLOOKUP(B111,'_曲线基线'!$G$3:$G$107,'_曲线基线'!$J$3:$J$107,""),"")</x:f>
        <x:v>38</x:v>
      </x:c>
      <x:c r="B111" t="n">
        <x:v>100</x:v>
      </x:c>
      <x:c r="C111" t="n">
        <x:f>C96+1</x:f>
        <x:v>8</x:v>
      </x:c>
      <x:c r="D111" t="n">
        <x:f>D96</x:f>
        <x:v>1</x:v>
      </x:c>
      <x:c r="E111" t="n">
        <x:f>IF($B111&lt;E$8,0,E$3+(E$4-E$3)*(POWER(E$5,$B111-E$8)-1)/(POWER(E$5,$C$5-E$8)-1))</x:f>
        <x:v>1</x:v>
      </x:c>
      <x:c r="F111" t="n">
        <x:f>1+IF(B111&lt;3,0,MIN(1,(B111-2)/4))+IF(B111&lt;7,0,MIN(1,(B111-6)/3))+IF(B111&lt;10,0,MIN(1,(B111-9)/5))+IF(B111&lt;20,0,MIN(1,(B111-19)/10))</x:f>
        <x:v>5</x:v>
      </x:c>
      <x:c r="G111" t="n">
        <x:f>IF($B111&lt;G$8,0,G$3+(G$4-G$3)*(POWER(G$5,$B111-G$8)-1)/(POWER(G$5,$C$5-G$8)-1))</x:f>
        <x:v>0.7090440246183843</x:v>
      </x:c>
      <x:c r="H111" t="n">
        <x:f>IF($B111&lt;H$8,0,H$3+(H$4-H$3)*(POWER(H$5,$B111-H$8)-1)/(POWER(H$5,$C$5-H$8)-1))</x:f>
        <x:v>0.5795615356378219</x:v>
      </x:c>
      <x:c r="I111" t="n">
        <x:f>IF($B111&lt;I$8,0,I$3+(I$4-I$3)*(POWER(I$5,$B111-I$8)-1)/(POWER(I$5,$C$5-I$8)-1))</x:f>
        <x:v>0.34033235466504896</x:v>
      </x:c>
      <x:c r="J111" t="n">
        <x:f>IF($B111&lt;J$8,0,J$3+(J$4-J$3)*(POWER(J$5,$B111-J$8)-1)/(POWER(J$5,$C$5-J$8)-1))</x:f>
        <x:v>0.4571140162564511</x:v>
      </x:c>
      <x:c r="K111" t="n">
        <x:f>IF($B111&lt;K$8,0,K$3+(K$4-K$3)*(POWER(K$5,$B111-K$8)-1)/(POWER(K$5,$C$5-K$8)-1))</x:f>
        <x:v>0</x:v>
      </x:c>
      <x:c r="L111" t="n">
        <x:f>IF($B111&lt;L$8,0,L$3+(L$4-L$3)*(POWER(L$5,$B111-L$8)-1)/(POWER(L$5,$C$5-L$8)-1))</x:f>
        <x:v>0.5770916856442907</x:v>
      </x:c>
      <x:c r="M111" t="n">
        <x:f>E111*'模块规划'!$F$10+G111*'模块规划'!$F$11+H111*'模块规划'!$F$13</x:f>
        <x:v>4403.411318168244</x:v>
      </x:c>
      <x:c r="N111" t="n">
        <x:f>I111*'模块规划'!$F$15+J111*'模块规划'!$F$17+K111*'模块规划'!$F$16+L111*'模块规划'!$F$18</x:f>
        <x:v>10179.257428106357</x:v>
      </x:c>
      <x:c r="O111" t="n">
        <x:f>1+O$9*SUMPRODUCT($H$10:$L$10,H111:L111)/SUM($H$10:$L$10)</x:f>
        <x:v>2.4919141210162445</x:v>
      </x:c>
      <x:c r="P111" t="n">
        <x:f>M111*O111+N111</x:f>
        <x:v>21152.18027249256</x:v>
      </x:c>
      <x:c r="Q111" t="n">
        <x:f>P111/(P111+'_曲线基线'!$L$2)</x:f>
        <x:v>0.46846420582216736</x:v>
      </x:c>
      <x:c r="R111" t="n">
        <x:f>E111*'模块规划'!$E$10+G111*'模块规划'!$E$11+H111*'模块规划'!$E$13</x:f>
        <x:v>6605.116977252367</x:v>
      </x:c>
      <x:c r="S111" t="n">
        <x:f>I111*'模块规划'!$E$15+J111*'模块规划'!$E$17+K111*'模块规划'!$E$16+L111*'模块规划'!$E$18</x:f>
        <x:v>15268.886142159536</x:v>
      </x:c>
      <x:c r="T111" t="n">
        <x:f>1+T$9*SUMPRODUCT($H$10:$L$10,H111:L111)/SUM($H$10:$L$10)</x:f>
        <x:v>2.4919141210162445</x:v>
      </x:c>
      <x:c r="U111" t="n">
        <x:f>R111*T111+S111</x:f>
        <x:v>31728.27040873884</x:v>
      </x:c>
      <x:c r="V111" t="n">
        <x:f>V$8+(V$9-V$8)*H111</x:f>
        <x:v>0.8738684606913465</x:v>
      </x:c>
      <x:c r="W111" t="n">
        <x:f>IF(B111&lt;$H$8,0,W$8+(W$9-W$8)*H111)</x:f>
        <x:v>0.23182461425512876</x:v>
      </x:c>
      <x:c r="X111" t="n">
        <x:f>X$8+(X$9-X$8)*H111</x:f>
        <x:v>0.43437942230040105</x:v>
      </x:c>
      <x:c r="Y111" t="n">
        <x:f>Y$8+(Y$9-Y$8)*G111</x:f>
        <x:v>1</x:v>
      </x:c>
      <x:c r="Z111" t="n">
        <x:f>Z$8+(Z$9-Z$8)*H111</x:f>
        <x:v>1</x:v>
      </x:c>
      <x:c r="AA111" t="n">
        <x:f>AA$8+(AA$9-AA$8)*I111</x:f>
        <x:v>1</x:v>
      </x:c>
      <x:c r="AB111" t="n">
        <x:f>AB$8+(AB$9-AB$8)*J111</x:f>
        <x:v>1</x:v>
      </x:c>
      <x:c r="AC111" t="n">
        <x:f>AC$8+(AC$9-AC$8)*MAX(K111,L111)</x:f>
        <x:v>1</x:v>
      </x:c>
      <x:c r="AD111" t="n">
        <x:f>(V111*AE111+W111*AF111+X111*AG111)*PRODUCT(Y111:AC111)</x:f>
        <x:v>1.671963650547276</x:v>
      </x:c>
      <x:c r="AE111" t="n">
        <x:f>1+AE$9*($H$10*H111+$I$10*I111+$J$10*J111+$K$10*K111+$L$10*L111)</x:f>
        <x:v>1</x:v>
      </x:c>
      <x:c r="AF111" t="n">
        <x:f>1+AF$9*($H$10*H111+$I$10*I111+$J$10*J111+$K$10*K111+$L$10*L111)</x:f>
        <x:v>1.1316750114905028</x:v>
      </x:c>
      <x:c r="AG111" t="n">
        <x:f>1+AG$9*($H$10*H111+$I$10*I111+$J$10*J111+$K$10*K111+$L$10*L111)</x:f>
        <x:v>1.233357381474837</x:v>
      </x:c>
      <x:c r="AH111" t="n">
        <x:f>MIN(1,'_曲线基线'!$L$3+AH$9*($H$10*H111+$I$10*I111+$J$10*J111+$K$10*K111+$L$10*L111))</x:f>
        <x:v>0.34956065114089324</x:v>
      </x:c>
      <x:c r="AI111" t="n">
        <x:f>'_曲线基线'!$L$4+AI$9*($H$10*H111+$I$10*I111+$J$10*J111+$K$10*K111+$L$10*L111)</x:f>
        <x:v>2.8344903853210597</x:v>
      </x:c>
      <x:c r="AJ111" t="n">
        <x:f>1+AJ$9*($H$10*H111+$I$10*I111+$J$10*J111+$K$10*K111+$L$10*L111)</x:f>
        <x:v>1.6847100597506133</x:v>
      </x:c>
      <x:c r="AK111" t="n">
        <x:f>(1+AH111*(AI111-1))*AJ111</x:f>
        <x:v>2.76505675735073</x:v>
      </x:c>
      <x:c r="AL111" t="n">
        <x:f>U111*AD111*AK111*F111</x:f>
        <x:v>733410.7718266761</x:v>
      </x:c>
      <x:c r="AM111" t="n">
        <x:f>IF($B111&lt;AM$8,0,AM$3+(AM$4-AM$3)*(POWER(AM$5,$B111-AM$8)-1)/(POWER(AM$5,$C$5-AM$8)-1))</x:f>
        <x:v>37.252699544018526</x:v>
      </x:c>
      <x:c r="AN111" t="n">
        <x:f>(((E111*'模块规划'!$D$10+G111*'模块规划'!$D$11+H111*'模块规划'!$D$13)*(1+'模块规划'!$G$14*H111)+(I111*'模块规划'!$D$15+J111*'模块规划'!$D$17+K111*'模块规划'!$D$16+L111*'模块规划'!$D$18))*(1+'模块规划'!$J$17*J111))*F111/(1-Q111)</x:f>
        <x:v>1229387.8317970433</x:v>
      </x:c>
      <x:c r="AO111" t="n">
        <x:f>AL111*AM111</x:f>
        <x:v>27321531.125205893</x:v>
      </x:c>
      <x:c r="AP111" t="n">
        <x:f>IF(AO111="","",INDEX('_曲线基线'!$A$3:$A$502,MIN(ROWS('_曲线基线'!$A$3:$A$502),COUNTIF('_曲线基线'!$E$3:$E$502,"&lt;"&amp;AO111)+1)))</x:f>
        <x:v>201</x:v>
      </x:c>
      <x:c r="AQ111" t="n">
        <x:f>IF(B111&lt;=2,1,IF(B111&lt;=6,2,IF(B111&lt;=9,3,IF(B111&lt;=19,4,5))))</x:f>
        <x:v>5</x:v>
      </x:c>
      <x:c r="AR111" t="n">
        <x:f>AN111*(1-Q111)/F111*$AS$3+U111*$AS$4+P111*$AS$5</x:f>
        <x:v>10266.435906908599</x:v>
      </x:c>
      <x:c r="AS111" t="n">
        <x:f>1+AH111*$AS$6+AI111*$AS$7+(AJ111-1)*$AS$8+($H$10*H111+$I$10*I111+$J$10*J111+$K$10*K111+$L$10*L111)*$AU$3*$AS$9+($H$10*H111+$I$10*I111+$J$10*J111+$K$10*K111+$L$10*L111)*$AU$4*$AS$10</x:f>
        <x:v>12.849311552289333</x:v>
      </x:c>
      <x:c r="AT111" t="n">
        <x:f>ROUND(AR111*AS111,0)</x:f>
        <x:v>131917</x:v>
      </x:c>
      <x:c r="AU111" t="n">
        <x:f>ROUND(AT111*F111,0)</x:f>
        <x:v>659585</x:v>
      </x:c>
    </x:row>
    <x:row r="112">
      <x:c r="A112" t="n">
        <x:f>IFERROR(XLOOKUP(B112,'_曲线基线'!$G$3:$G$107,'_曲线基线'!$J$3:$J$107,""),"")</x:f>
        <x:v>38</x:v>
      </x:c>
      <x:c r="B112" t="n">
        <x:v>101</x:v>
      </x:c>
      <x:c r="C112" t="n">
        <x:f>C97+1</x:f>
        <x:v>8</x:v>
      </x:c>
      <x:c r="D112" t="n">
        <x:f>D97</x:f>
        <x:v>2</x:v>
      </x:c>
      <x:c r="E112" t="n">
        <x:f>IF($B112&lt;E$8,0,E$3+(E$4-E$3)*(POWER(E$5,$B112-E$8)-1)/(POWER(E$5,$C$5-E$8)-1))</x:f>
        <x:v>1</x:v>
      </x:c>
      <x:c r="F112" t="n">
        <x:f>1+IF(B112&lt;3,0,MIN(1,(B112-2)/4))+IF(B112&lt;7,0,MIN(1,(B112-6)/3))+IF(B112&lt;10,0,MIN(1,(B112-9)/5))+IF(B112&lt;20,0,MIN(1,(B112-19)/10))</x:f>
        <x:v>5</x:v>
      </x:c>
      <x:c r="G112" t="n">
        <x:f>IF($B112&lt;G$8,0,G$3+(G$4-G$3)*(POWER(G$5,$B112-G$8)-1)/(POWER(G$5,$C$5-G$8)-1))</x:f>
        <x:v>0.7121135547036045</x:v>
      </x:c>
      <x:c r="H112" t="n">
        <x:f>IF($B112&lt;H$8,0,H$3+(H$4-H$3)*(POWER(H$5,$B112-H$8)-1)/(POWER(H$5,$C$5-H$8)-1))</x:f>
        <x:v>0.5820368471645767</x:v>
      </x:c>
      <x:c r="I112" t="n">
        <x:f>IF($B112&lt;I$8,0,I$3+(I$4-I$3)*(POWER(I$5,$B112-I$8)-1)/(POWER(I$5,$C$5-I$8)-1))</x:f>
        <x:v>0.3466967989148162</x:v>
      </x:c>
      <x:c r="J112" t="n">
        <x:f>IF($B112&lt;J$8,0,J$3+(J$4-J$3)*(POWER(J$5,$B112-J$8)-1)/(POWER(J$5,$C$5-J$8)-1))</x:f>
        <x:v>0.460050680423046</x:v>
      </x:c>
      <x:c r="K112" t="n">
        <x:f>IF($B112&lt;K$8,0,K$3+(K$4-K$3)*(POWER(K$5,$B112-K$8)-1)/(POWER(K$5,$C$5-K$8)-1))</x:f>
        <x:v>0.01335912493497355</x:v>
      </x:c>
      <x:c r="L112" t="n">
        <x:f>IF($B112&lt;L$8,0,L$3+(L$4-L$3)*(POWER(L$5,$B112-L$8)-1)/(POWER(L$5,$C$5-L$8)-1))</x:f>
        <x:v>0.5796177587627906</x:v>
      </x:c>
      <x:c r="M112" t="n">
        <x:f>E112*'模块规划'!$F$10+G112*'模块规划'!$F$11+H112*'模块规划'!$F$13</x:f>
        <x:v>4418.145062577301</x:v>
      </x:c>
      <x:c r="N112" t="n">
        <x:f>I112*'模块规划'!$F$15+J112*'模块规划'!$F$17+K112*'模块规划'!$F$16+L112*'模块规划'!$F$18</x:f>
        <x:v>10352.324738972784</x:v>
      </x:c>
      <x:c r="O112" t="n">
        <x:f>1+O$9*SUMPRODUCT($H$10:$L$10,H112:L112)/SUM($H$10:$L$10)</x:f>
        <x:v>2.511013118107056</x:v>
      </x:c>
      <x:c r="P112" t="n">
        <x:f>M112*O112+N112</x:f>
        <x:v>21446.344948804304</x:v>
      </x:c>
      <x:c r="Q112" t="n">
        <x:f>P112/(P112+'_曲线基线'!$L$2)</x:f>
        <x:v>0.47190472573677367</x:v>
      </x:c>
      <x:c r="R112" t="n">
        <x:f>E112*'模块规划'!$E$10+G112*'模块规划'!$E$11+H112*'模块规划'!$E$13</x:f>
        <x:v>6627.217593865952</x:v>
      </x:c>
      <x:c r="S112" t="n">
        <x:f>I112*'模块规划'!$E$15+J112*'模块规划'!$E$17+K112*'模块规划'!$E$16+L112*'模块规划'!$E$18</x:f>
        <x:v>15528.487108459176</x:v>
      </x:c>
      <x:c r="T112" t="n">
        <x:f>1+T$9*SUMPRODUCT($H$10:$L$10,H112:L112)/SUM($H$10:$L$10)</x:f>
        <x:v>2.511013118107056</x:v>
      </x:c>
      <x:c r="U112" t="n">
        <x:f>R112*T112+S112</x:f>
        <x:v>32169.51742320646</x:v>
      </x:c>
      <x:c r="V112" t="n">
        <x:f>V$8+(V$9-V$8)*H112</x:f>
        <x:v>0.874611054149373</x:v>
      </x:c>
      <x:c r="W112" t="n">
        <x:f>IF(B112&lt;$H$8,0,W$8+(W$9-W$8)*H112)</x:f>
        <x:v>0.2328147388658307</x:v>
      </x:c>
      <x:c r="X112" t="n">
        <x:f>X$8+(X$9-X$8)*H112</x:f>
        <x:v>0.43506013297025864</x:v>
      </x:c>
      <x:c r="Y112" t="n">
        <x:f>Y$8+(Y$9-Y$8)*G112</x:f>
        <x:v>1</x:v>
      </x:c>
      <x:c r="Z112" t="n">
        <x:f>Z$8+(Z$9-Z$8)*H112</x:f>
        <x:v>1</x:v>
      </x:c>
      <x:c r="AA112" t="n">
        <x:f>AA$8+(AA$9-AA$8)*I112</x:f>
        <x:v>1</x:v>
      </x:c>
      <x:c r="AB112" t="n">
        <x:f>AB$8+(AB$9-AB$8)*J112</x:f>
        <x:v>1</x:v>
      </x:c>
      <x:c r="AC112" t="n">
        <x:f>AC$8+(AC$9-AC$8)*MAX(K112,L112)</x:f>
        <x:v>1</x:v>
      </x:c>
      <x:c r="AD112" t="n">
        <x:f>(V112*AE112+W112*AF112+X112*AG112)*PRODUCT(Y112:AC112)</x:f>
        <x:v>1.6763584328087342</x:v>
      </x:c>
      <x:c r="AE112" t="n">
        <x:f>1+AE$9*($H$10*H112+$I$10*I112+$J$10*J112+$K$10*K112+$L$10*L112)</x:f>
        <x:v>1</x:v>
      </x:c>
      <x:c r="AF112" t="n">
        <x:f>1+AF$9*($H$10*H112+$I$10*I112+$J$10*J112+$K$10*K112+$L$10*L112)</x:f>
        <x:v>1.1333606719624851</x:v>
      </x:c>
      <x:c r="AG112" t="n">
        <x:f>1+AG$9*($H$10*H112+$I$10*I112+$J$10*J112+$K$10*K112+$L$10*L112)</x:f>
        <x:v>1.2363447464224062</x:v>
      </x:c>
      <x:c r="AH112" t="n">
        <x:f>MIN(1,'_曲线基线'!$L$3+AH$9*($H$10*H112+$I$10*I112+$J$10*J112+$K$10*K112+$L$10*L112))</x:f>
        <x:v>0.3533955287146535</x:v>
      </x:c>
      <x:c r="AI112" t="n">
        <x:f>'_曲线基线'!$L$4+AI$9*($H$10*H112+$I$10*I112+$J$10*J112+$K$10*K112+$L$10*L112)</x:f>
        <x:v>2.8451732585622493</x:v>
      </x:c>
      <x:c r="AJ112" t="n">
        <x:f>1+AJ$9*($H$10*H112+$I$10*I112+$J$10*J112+$K$10*K112+$L$10*L112)</x:f>
        <x:v>1.6934754942049226</x:v>
      </x:c>
      <x:c r="AK112" t="n">
        <x:f>(1+AH112*(AI112-1))*AJ112</x:f>
        <x:v>2.7977501854748494</x:v>
      </x:c>
      <x:c r="AL112" t="n">
        <x:f>U112*AD112*AK112*F112</x:f>
        <x:v>754380.3494056389</x:v>
      </x:c>
      <x:c r="AM112" t="n">
        <x:f>IF($B112&lt;AM$8,0,AM$3+(AM$4-AM$3)*(POWER(AM$5,$B112-AM$8)-1)/(POWER(AM$5,$C$5-AM$8)-1))</x:f>
        <x:v>37.28865117938058</x:v>
      </x:c>
      <x:c r="AN112" t="n">
        <x:f>(((E112*'模块规划'!$D$10+G112*'模块规划'!$D$11+H112*'模块规划'!$D$13)*(1+'模块规划'!$G$14*H112)+(I112*'模块规划'!$D$15+J112*'模块规划'!$D$17+K112*'模块规划'!$D$16+L112*'模块规划'!$D$18))*(1+'模块规划'!$J$17*J112))*F112/(1-Q112)</x:f>
        <x:v>1255299.6164653876</x:v>
      </x:c>
      <x:c r="AO112" t="n">
        <x:f>AL112*AM112</x:f>
        <x:v>28129825.70556611</x:v>
      </x:c>
      <x:c r="AP112" t="n">
        <x:f>IF(AO112="","",INDEX('_曲线基线'!$A$3:$A$502,MIN(ROWS('_曲线基线'!$A$3:$A$502),COUNTIF('_曲线基线'!$E$3:$E$502,"&lt;"&amp;AO112)+1)))</x:f>
        <x:v>203</x:v>
      </x:c>
      <x:c r="AQ112" t="n">
        <x:f>IF(B112&lt;=2,1,IF(B112&lt;=6,2,IF(B112&lt;=9,3,IF(B112&lt;=19,4,5))))</x:f>
        <x:v>5</x:v>
      </x:c>
      <x:c r="AR112" t="n">
        <x:f>AN112*(1-Q112)/F112*$AS$3+U112*$AS$4+P112*$AS$5</x:f>
        <x:v>10411.410256080162</x:v>
      </x:c>
      <x:c r="AS112" t="n">
        <x:f>1+AH112*$AS$6+AI112*$AS$7+(AJ112-1)*$AS$8+($H$10*H112+$I$10*I112+$J$10*J112+$K$10*K112+$L$10*L112)*$AU$3*$AS$9+($H$10*H112+$I$10*I112+$J$10*J112+$K$10*K112+$L$10*L112)*$AU$4*$AS$10</x:f>
        <x:v>12.950031680822</x:v>
      </x:c>
      <x:c r="AT112" t="n">
        <x:f>ROUND(AR112*AS112,0)</x:f>
        <x:v>134828</x:v>
      </x:c>
      <x:c r="AU112" t="n">
        <x:f>ROUND(AT112*F112,0)</x:f>
        <x:v>674140</x:v>
      </x:c>
    </x:row>
    <x:row r="113">
      <x:c r="A113" t="n">
        <x:f>IFERROR(XLOOKUP(B113,'_曲线基线'!$G$3:$G$107,'_曲线基线'!$J$3:$J$107,""),"")</x:f>
        <x:v>38</x:v>
      </x:c>
      <x:c r="B113" t="n">
        <x:v>102</x:v>
      </x:c>
      <x:c r="C113" t="n">
        <x:f>C98+1</x:f>
        <x:v>8</x:v>
      </x:c>
      <x:c r="D113" t="n">
        <x:f>D98</x:f>
        <x:v>3</x:v>
      </x:c>
      <x:c r="E113" t="n">
        <x:f>IF($B113&lt;E$8,0,E$3+(E$4-E$3)*(POWER(E$5,$B113-E$8)-1)/(POWER(E$5,$C$5-E$8)-1))</x:f>
        <x:v>1</x:v>
      </x:c>
      <x:c r="F113" t="n">
        <x:f>1+IF(B113&lt;3,0,MIN(1,(B113-2)/4))+IF(B113&lt;7,0,MIN(1,(B113-6)/3))+IF(B113&lt;10,0,MIN(1,(B113-9)/5))+IF(B113&lt;20,0,MIN(1,(B113-19)/10))</x:f>
        <x:v>5</x:v>
      </x:c>
      <x:c r="G113" t="n">
        <x:f>IF($B113&lt;G$8,0,G$3+(G$4-G$3)*(POWER(G$5,$B113-G$8)-1)/(POWER(G$5,$C$5-G$8)-1))</x:f>
        <x:v>0.7151370418375462</x:v>
      </x:c>
      <x:c r="H113" t="n">
        <x:f>IF($B113&lt;H$8,0,H$3+(H$4-H$3)*(POWER(H$5,$B113-H$8)-1)/(POWER(H$5,$C$5-H$8)-1))</x:f>
        <x:v>0.5844626524607965</x:v>
      </x:c>
      <x:c r="I113" t="n">
        <x:f>IF($B113&lt;I$8,0,I$3+(I$4-I$3)*(POWER(I$5,$B113-I$8)-1)/(POWER(I$5,$C$5-I$8)-1))</x:f>
        <x:v>0.3529339542795881</x:v>
      </x:c>
      <x:c r="J113" t="n">
        <x:f>IF($B113&lt;J$8,0,J$3+(J$4-J$3)*(POWER(J$5,$B113-J$8)-1)/(POWER(J$5,$C$5-J$8)-1))</x:f>
        <x:v>0.46292861130630897</x:v>
      </x:c>
      <x:c r="K113" t="n">
        <x:f>IF($B113&lt;K$8,0,K$3+(K$4-K$3)*(POWER(K$5,$B113-K$8)-1)/(POWER(K$5,$C$5-K$8)-1))</x:f>
        <x:v>0.02645106737124766</x:v>
      </x:c>
      <x:c r="L113" t="n">
        <x:f>IF($B113&lt;L$8,0,L$3+(L$4-L$3)*(POWER(L$5,$B113-L$8)-1)/(POWER(L$5,$C$5-L$8)-1))</x:f>
        <x:v>0.5820933104189205</x:v>
      </x:c>
      <x:c r="M113" t="n">
        <x:f>E113*'模块规划'!$F$10+G113*'模块规划'!$F$11+H113*'模块规划'!$F$13</x:f>
        <x:v>4432.657800820221</x:v>
      </x:c>
      <x:c r="N113" t="n">
        <x:f>I113*'模块规划'!$F$15+J113*'模块规划'!$F$17+K113*'模块规划'!$F$16+L113*'模块规划'!$F$18</x:f>
        <x:v>10521.930703621883</x:v>
      </x:c>
      <x:c r="O113" t="n">
        <x:f>1+O$9*SUMPRODUCT($H$10:$L$10,H113:L113)/SUM($H$10:$L$10)</x:f>
        <x:v>2.5297301352560515</x:v>
      </x:c>
      <x:c r="P113" t="n">
        <x:f>M113*O113+N113</x:f>
        <x:v>21735.358721634613</x:v>
      </x:c>
      <x:c r="Q113" t="n">
        <x:f>P113/(P113+'_曲线基线'!$L$2)</x:f>
        <x:v>0.4752418988101855</x:v>
      </x:c>
      <x:c r="R113" t="n">
        <x:f>E113*'模块规划'!$E$10+G113*'模块规划'!$E$11+H113*'模块规划'!$E$13</x:f>
        <x:v>6648.986701230333</x:v>
      </x:c>
      <x:c r="S113" t="n">
        <x:f>I113*'模块规划'!$E$15+J113*'模块规划'!$E$17+K113*'模块规划'!$E$16+L113*'模块规划'!$E$18</x:f>
        <x:v>15782.896055432824</x:v>
      </x:c>
      <x:c r="T113" t="n">
        <x:f>1+T$9*SUMPRODUCT($H$10:$L$10,H113:L113)/SUM($H$10:$L$10)</x:f>
        <x:v>2.5297301352560515</x:v>
      </x:c>
      <x:c r="U113" t="n">
        <x:f>R113*T113+S113</x:f>
        <x:v>32603.038082451923</x:v>
      </x:c>
      <x:c r="V113" t="n">
        <x:f>V$8+(V$9-V$8)*H113</x:f>
        <x:v>0.8753387957382389</x:v>
      </x:c>
      <x:c r="W113" t="n">
        <x:f>IF(B113&lt;$H$8,0,W$8+(W$9-W$8)*H113)</x:f>
        <x:v>0.23378506098431862</x:v>
      </x:c>
      <x:c r="X113" t="n">
        <x:f>X$8+(X$9-X$8)*H113</x:f>
        <x:v>0.43572722942671904</x:v>
      </x:c>
      <x:c r="Y113" t="n">
        <x:f>Y$8+(Y$9-Y$8)*G113</x:f>
        <x:v>1</x:v>
      </x:c>
      <x:c r="Z113" t="n">
        <x:f>Z$8+(Z$9-Z$8)*H113</x:f>
        <x:v>1</x:v>
      </x:c>
      <x:c r="AA113" t="n">
        <x:f>AA$8+(AA$9-AA$8)*I113</x:f>
        <x:v>1</x:v>
      </x:c>
      <x:c r="AB113" t="n">
        <x:f>AB$8+(AB$9-AB$8)*J113</x:f>
        <x:v>1</x:v>
      </x:c>
      <x:c r="AC113" t="n">
        <x:f>AC$8+(AC$9-AC$8)*MAX(K113,L113)</x:f>
        <x:v>1</x:v>
      </x:c>
      <x:c r="AD113" t="n">
        <x:f>(V113*AE113+W113*AF113+X113*AG113)*PRODUCT(Y113:AC113)</x:f>
        <x:v>1.6806725038435009</x:v>
      </x:c>
      <x:c r="AE113" t="n">
        <x:f>1+AE$9*($H$10*H113+$I$10*I113+$J$10*J113+$K$10*K113+$L$10*L113)</x:f>
        <x:v>1</x:v>
      </x:c>
      <x:c r="AF113" t="n">
        <x:f>1+AF$9*($H$10*H113+$I$10*I113+$J$10*J113+$K$10*K113+$L$10*L113)</x:f>
        <x:v>1.135012619225028</x:v>
      </x:c>
      <x:c r="AG113" t="n">
        <x:f>1+AG$9*($H$10*H113+$I$10*I113+$J$10*J113+$K$10*K113+$L$10*L113)</x:f>
        <x:v>1.239272364071024</x:v>
      </x:c>
      <x:c r="AH113" t="n">
        <x:f>MIN(1,'_曲线基线'!$L$3+AH$9*($H$10*H113+$I$10*I113+$J$10*J113+$K$10*K113+$L$10*L113))</x:f>
        <x:v>0.3571537087369386</x:v>
      </x:c>
      <x:c r="AI113" t="n">
        <x:f>'_曲线基线'!$L$4+AI$9*($H$10*H113+$I$10*I113+$J$10*J113+$K$10*K113+$L$10*L113)</x:f>
        <x:v>2.8556424743386146</x:v>
      </x:c>
      <x:c r="AJ113" t="n">
        <x:f>1+AJ$9*($H$10*H113+$I$10*I113+$J$10*J113+$K$10*K113+$L$10*L113)</x:f>
        <x:v>1.7020656199701456</x:v>
      </x:c>
      <x:c r="AK113" t="n">
        <x:f>(1+AH113*(AI113-1))*AJ113</x:f>
        <x:v>2.8301089148218765</x:v>
      </x:c>
      <x:c r="AL113" t="n">
        <x:f>U113*AD113*AK113*F113</x:f>
        <x:v>775379.5094586624</x:v>
      </x:c>
      <x:c r="AM113" t="n">
        <x:f>IF($B113&lt;AM$8,0,AM$3+(AM$4-AM$3)*(POWER(AM$5,$B113-AM$8)-1)/(POWER(AM$5,$C$5-AM$8)-1))</x:f>
        <x:v>37.32496233109626</x:v>
      </x:c>
      <x:c r="AN113" t="n">
        <x:f>(((E113*'模块规划'!$D$10+G113*'模块规划'!$D$11+H113*'模块规划'!$D$13)*(1+'模块规划'!$G$14*H113)+(I113*'模块规划'!$D$15+J113*'模块规划'!$D$17+K113*'模块规划'!$D$16+L113*'模块规划'!$D$18))*(1+'模块规划'!$J$17*J113))*F113/(1-Q113)</x:f>
        <x:v>1281018.4685585885</x:v>
      </x:c>
      <x:c r="AO113" t="n">
        <x:f>AL113*AM113</x:f>
        <x:v>28941010.98284847</x:v>
      </x:c>
      <x:c r="AP113" t="n">
        <x:f>IF(AO113="","",INDEX('_曲线基线'!$A$3:$A$502,MIN(ROWS('_曲线基线'!$A$3:$A$502),COUNTIF('_曲线基线'!$E$3:$E$502,"&lt;"&amp;AO113)+1)))</x:f>
        <x:v>205</x:v>
      </x:c>
      <x:c r="AQ113" t="n">
        <x:f>IF(B113&lt;=2,1,IF(B113&lt;=6,2,IF(B113&lt;=9,3,IF(B113&lt;=19,4,5))))</x:f>
        <x:v>5</x:v>
      </x:c>
      <x:c r="AR113" t="n">
        <x:f>AN113*(1-Q113)/F113*$AS$3+U113*$AS$4+P113*$AS$5</x:f>
        <x:v>10553.956531389718</x:v>
      </x:c>
      <x:c r="AS113" t="n">
        <x:f>1+AH113*$AS$6+AI113*$AS$7+(AJ113-1)*$AS$8+($H$10*H113+$I$10*I113+$J$10*J113+$K$10*K113+$L$10*L113)*$AU$3*$AS$9+($H$10*H113+$I$10*I113+$J$10*J113+$K$10*K113+$L$10*L113)*$AU$4*$AS$10</x:f>
        <x:v>13.048737406784015</x:v>
      </x:c>
      <x:c r="AT113" t="n">
        <x:f>ROUND(AR113*AS113,0)</x:f>
        <x:v>137716</x:v>
      </x:c>
      <x:c r="AU113" t="n">
        <x:f>ROUND(AT113*F113,0)</x:f>
        <x:v>688580</x:v>
      </x:c>
    </x:row>
    <x:row r="114">
      <x:c r="A114" t="n">
        <x:f>IFERROR(XLOOKUP(B114,'_曲线基线'!$G$3:$G$107,'_曲线基线'!$J$3:$J$107,""),"")</x:f>
        <x:v>38</x:v>
      </x:c>
      <x:c r="B114" t="n">
        <x:v>103</x:v>
      </x:c>
      <x:c r="C114" t="n">
        <x:f>C99+1</x:f>
        <x:v>8</x:v>
      </x:c>
      <x:c r="D114" t="n">
        <x:f>D99</x:f>
        <x:v>4</x:v>
      </x:c>
      <x:c r="E114" t="n">
        <x:f>IF($B114&lt;E$8,0,E$3+(E$4-E$3)*(POWER(E$5,$B114-E$8)-1)/(POWER(E$5,$C$5-E$8)-1))</x:f>
        <x:v>1</x:v>
      </x:c>
      <x:c r="F114" t="n">
        <x:f>1+IF(B114&lt;3,0,MIN(1,(B114-2)/4))+IF(B114&lt;7,0,MIN(1,(B114-6)/3))+IF(B114&lt;10,0,MIN(1,(B114-9)/5))+IF(B114&lt;20,0,MIN(1,(B114-19)/10))</x:f>
        <x:v>5</x:v>
      </x:c>
      <x:c r="G114" t="n">
        <x:f>IF($B114&lt;G$8,0,G$3+(G$4-G$3)*(POWER(G$5,$B114-G$8)-1)/(POWER(G$5,$C$5-G$8)-1))</x:f>
        <x:v>0.7181151766644789</x:v>
      </x:c>
      <x:c r="H114" t="n">
        <x:f>IF($B114&lt;H$8,0,H$3+(H$4-H$3)*(POWER(H$5,$B114-H$8)-1)/(POWER(H$5,$C$5-H$8)-1))</x:f>
        <x:v>0.5868399416510919</x:v>
      </x:c>
      <x:c r="I114" t="n">
        <x:f>IF($B114&lt;I$8,0,I$3+(I$4-I$3)*(POWER(I$5,$B114-I$8)-1)/(POWER(I$5,$C$5-I$8)-1))</x:f>
        <x:v>0.3590463665370644</x:v>
      </x:c>
      <x:c r="J114" t="n">
        <x:f>IF($B114&lt;J$8,0,J$3+(J$4-J$3)*(POWER(J$5,$B114-J$8)-1)/(POWER(J$5,$C$5-J$8)-1))</x:f>
        <x:v>0.46574898357190664</x:v>
      </x:c>
      <x:c r="K114" t="n">
        <x:f>IF($B114&lt;K$8,0,K$3+(K$4-K$3)*(POWER(K$5,$B114-K$8)-1)/(POWER(K$5,$C$5-K$8)-1))</x:f>
        <x:v>0.03928117095879625</x:v>
      </x:c>
      <x:c r="L114" t="n">
        <x:f>IF($B114&lt;L$8,0,L$3+(L$4-L$3)*(POWER(L$5,$B114-L$8)-1)/(POWER(L$5,$C$5-L$8)-1))</x:f>
        <x:v>0.5845193510419279</x:v>
      </x:c>
      <x:c r="M114" t="n">
        <x:f>E114*'模块规划'!$F$10+G114*'模块规划'!$F$11+H114*'模块规划'!$F$13</x:f>
        <x:v>4446.952847989498</x:v>
      </x:c>
      <x:c r="N114" t="n">
        <x:f>I114*'模块规划'!$F$15+J114*'模块规划'!$F$17+K114*'模块规划'!$F$16+L114*'模块规划'!$F$18</x:f>
        <x:v>10688.144548977998</x:v>
      </x:c>
      <x:c r="O114" t="n">
        <x:f>1+O$9*SUMPRODUCT($H$10:$L$10,H114:L114)/SUM($H$10:$L$10)</x:f>
        <x:v>2.548072812062066</x:v>
      </x:c>
      <x:c r="P114" t="n">
        <x:f>M114*O114+N114</x:f>
        <x:v>22019.30419746201</x:v>
      </x:c>
      <x:c r="Q114" t="n">
        <x:f>P114/(P114+'_曲线基线'!$L$2)</x:f>
        <x:v>0.47847972891942125</x:v>
      </x:c>
      <x:c r="R114" t="n">
        <x:f>E114*'模块规划'!$E$10+G114*'模块规划'!$E$11+H114*'模块规划'!$E$13</x:f>
        <x:v>6670.429271984248</x:v>
      </x:c>
      <x:c r="S114" t="n">
        <x:f>I114*'模块规划'!$E$15+J114*'模块规划'!$E$17+K114*'模块规划'!$E$16+L114*'模块规划'!$E$18</x:f>
        <x:v>16032.216823466997</x:v>
      </x:c>
      <x:c r="T114" t="n">
        <x:f>1+T$9*SUMPRODUCT($H$10:$L$10,H114:L114)/SUM($H$10:$L$10)</x:f>
        <x:v>2.548072812062066</x:v>
      </x:c>
      <x:c r="U114" t="n">
        <x:f>R114*T114+S114</x:f>
        <x:v>33028.95629619302</x:v>
      </x:c>
      <x:c r="V114" t="n">
        <x:f>V$8+(V$9-V$8)*H114</x:f>
        <x:v>0.8760519824953276</x:v>
      </x:c>
      <x:c r="W114" t="n">
        <x:f>IF(B114&lt;$H$8,0,W$8+(W$9-W$8)*H114)</x:f>
        <x:v>0.23473597666043677</x:v>
      </x:c>
      <x:c r="X114" t="n">
        <x:f>X$8+(X$9-X$8)*H114</x:f>
        <x:v>0.43638098395405034</x:v>
      </x:c>
      <x:c r="Y114" t="n">
        <x:f>Y$8+(Y$9-Y$8)*G114</x:f>
        <x:v>1</x:v>
      </x:c>
      <x:c r="Z114" t="n">
        <x:f>Z$8+(Z$9-Z$8)*H114</x:f>
        <x:v>1</x:v>
      </x:c>
      <x:c r="AA114" t="n">
        <x:f>AA$8+(AA$9-AA$8)*I114</x:f>
        <x:v>1</x:v>
      </x:c>
      <x:c r="AB114" t="n">
        <x:f>AB$8+(AB$9-AB$8)*J114</x:f>
        <x:v>1</x:v>
      </x:c>
      <x:c r="AC114" t="n">
        <x:f>AC$8+(AC$9-AC$8)*MAX(K114,L114)</x:f>
        <x:v>1</x:v>
      </x:c>
      <x:c r="AD114" t="n">
        <x:f>(V114*AE114+W114*AF114+X114*AG114)*PRODUCT(Y114:AC114)</x:f>
        <x:v>1.6849071933731359</x:v>
      </x:c>
      <x:c r="AE114" t="n">
        <x:f>1+AE$9*($H$10*H114+$I$10*I114+$J$10*J114+$K$10*K114+$L$10*L114)</x:f>
        <x:v>1</x:v>
      </x:c>
      <x:c r="AF114" t="n">
        <x:f>1+AF$9*($H$10*H114+$I$10*I114+$J$10*J114+$K$10*K114+$L$10*L114)</x:f>
        <x:v>1.1366315275423202</x:v>
      </x:c>
      <x:c r="AG114" t="n">
        <x:f>1+AG$9*($H$10*H114+$I$10*I114+$J$10*J114+$K$10*K114+$L$10*L114)</x:f>
        <x:v>1.2421414293666693</x:v>
      </x:c>
      <x:c r="AH114" t="n">
        <x:f>MIN(1,'_曲线基线'!$L$3+AH$9*($H$10*H114+$I$10*I114+$J$10*J114+$K$10*K114+$L$10*L114))</x:f>
        <x:v>0.36083672515877796</x:v>
      </x:c>
      <x:c r="AI114" t="n">
        <x:f>'_曲线基线'!$L$4+AI$9*($H$10*H114+$I$10*I114+$J$10*J114+$K$10*K114+$L$10*L114)</x:f>
        <x:v>2.865902305799453</x:v>
      </x:c>
      <x:c r="AJ114" t="n">
        <x:f>1+AJ$9*($H$10*H114+$I$10*I114+$J$10*J114+$K$10*K114+$L$10*L114)</x:f>
        <x:v>1.710483943220064</x:v>
      </x:c>
      <x:c r="AK114" t="n">
        <x:f>(1+AH114*(AI114-1))*AJ114</x:f>
        <x:v>2.8621289679618465</x:v>
      </x:c>
      <x:c r="AL114" t="n">
        <x:f>U114*AD114*AK114*F114</x:f>
        <x:v>796397.7756228967</x:v>
      </x:c>
      <x:c r="AM114" t="n">
        <x:f>IF($B114&lt;AM$8,0,AM$3+(AM$4-AM$3)*(POWER(AM$5,$B114-AM$8)-1)/(POWER(AM$5,$C$5-AM$8)-1))</x:f>
        <x:v>37.361636594329084</x:v>
      </x:c>
      <x:c r="AN114" t="n">
        <x:f>(((E114*'模块规划'!$D$10+G114*'模块规划'!$D$11+H114*'模块规划'!$D$13)*(1+'模块规划'!$G$14*H114)+(I114*'模块规划'!$D$15+J114*'模块规划'!$D$17+K114*'模块规划'!$D$16+L114*'模块规划'!$D$18))*(1+'模块规划'!$J$17*J114))*F114/(1-Q114)</x:f>
        <x:v>1306538.208254655</x:v>
      </x:c>
      <x:c r="AO114" t="n">
        <x:f>AL114*AM114</x:f>
        <x:v>29754724.277354702</x:v>
      </x:c>
      <x:c r="AP114" t="n">
        <x:f>IF(AO114="","",INDEX('_曲线基线'!$A$3:$A$502,MIN(ROWS('_曲线基线'!$A$3:$A$502),COUNTIF('_曲线基线'!$E$3:$E$502,"&lt;"&amp;AO114)+1)))</x:f>
        <x:v>207</x:v>
      </x:c>
      <x:c r="AQ114" t="n">
        <x:f>IF(B114&lt;=2,1,IF(B114&lt;=6,2,IF(B114&lt;=9,3,IF(B114&lt;=19,4,5))))</x:f>
        <x:v>5</x:v>
      </x:c>
      <x:c r="AR114" t="n">
        <x:f>AN114*(1-Q114)/F114*$AS$3+U114*$AS$4+P114*$AS$5</x:f>
        <x:v>10694.108222515211</x:v>
      </x:c>
      <x:c r="AS114" t="n">
        <x:f>1+AH114*$AS$6+AI114*$AS$7+(AJ114-1)*$AS$8+($H$10*H114+$I$10*I114+$J$10*J114+$K$10*K114+$L$10*L114)*$AU$3*$AS$9+($H$10*H114+$I$10*I114+$J$10*J114+$K$10*K114+$L$10*L114)*$AU$4*$AS$10</x:f>
        <x:v>13.145469018226791</x:v>
      </x:c>
      <x:c r="AT114" t="n">
        <x:f>ROUND(AR114*AS114,0)</x:f>
        <x:v>140579</x:v>
      </x:c>
      <x:c r="AU114" t="n">
        <x:f>ROUND(AT114*F114,0)</x:f>
        <x:v>702895</x:v>
      </x:c>
    </x:row>
    <x:row r="115">
      <x:c r="A115" t="n">
        <x:f>IFERROR(XLOOKUP(B115,'_曲线基线'!$G$3:$G$107,'_曲线基线'!$J$3:$J$107,""),"")</x:f>
        <x:v>38</x:v>
      </x:c>
      <x:c r="B115" t="n">
        <x:v>104</x:v>
      </x:c>
      <x:c r="C115" t="n">
        <x:f>C100+1</x:f>
        <x:v>8</x:v>
      </x:c>
      <x:c r="D115" t="n">
        <x:f>D100</x:f>
        <x:v>5</x:v>
      </x:c>
      <x:c r="E115" t="n">
        <x:f>IF($B115&lt;E$8,0,E$3+(E$4-E$3)*(POWER(E$5,$B115-E$8)-1)/(POWER(E$5,$C$5-E$8)-1))</x:f>
        <x:v>1</x:v>
      </x:c>
      <x:c r="F115" t="n">
        <x:f>1+IF(B115&lt;3,0,MIN(1,(B115-2)/4))+IF(B115&lt;7,0,MIN(1,(B115-6)/3))+IF(B115&lt;10,0,MIN(1,(B115-9)/5))+IF(B115&lt;20,0,MIN(1,(B115-19)/10))</x:f>
        <x:v>5</x:v>
      </x:c>
      <x:c r="G115" t="n">
        <x:f>IF($B115&lt;G$8,0,G$3+(G$4-G$3)*(POWER(G$5,$B115-G$8)-1)/(POWER(G$5,$C$5-G$8)-1))</x:f>
        <x:v>0.7210486394690075</x:v>
      </x:c>
      <x:c r="H115" t="n">
        <x:f>IF($B115&lt;H$8,0,H$3+(H$4-H$3)*(POWER(H$5,$B115-H$8)-1)/(POWER(H$5,$C$5-H$8)-1))</x:f>
        <x:v>0.5891696850575815</x:v>
      </x:c>
      <x:c r="I115" t="n">
        <x:f>IF($B115&lt;I$8,0,I$3+(I$4-I$3)*(POWER(I$5,$B115-I$8)-1)/(POWER(I$5,$C$5-I$8)-1))</x:f>
        <x:v>0.3650365305493914</x:v>
      </x:c>
      <x:c r="J115" t="n">
        <x:f>IF($B115&lt;J$8,0,J$3+(J$4-J$3)*(POWER(J$5,$B115-J$8)-1)/(POWER(J$5,$C$5-J$8)-1))</x:f>
        <x:v>0.4685129483921925</x:v>
      </x:c>
      <x:c r="K115" t="n">
        <x:f>IF($B115&lt;K$8,0,K$3+(K$4-K$3)*(POWER(K$5,$B115-K$8)-1)/(POWER(K$5,$C$5-K$8)-1))</x:f>
        <x:v>0.05185467247459388</x:v>
      </x:c>
      <x:c r="L115" t="n">
        <x:f>IF($B115&lt;L$8,0,L$3+(L$4-L$3)*(POWER(L$5,$B115-L$8)-1)/(POWER(L$5,$C$5-L$8)-1))</x:f>
        <x:v>0.5868968708524749</x:v>
      </x:c>
      <x:c r="M115" t="n">
        <x:f>E115*'模块规划'!$F$10+G115*'模块规划'!$F$11+H115*'模块规划'!$F$13</x:f>
        <x:v>4461.033469451237</x:v>
      </x:c>
      <x:c r="N115" t="n">
        <x:f>I115*'模块规划'!$F$15+J115*'模块规划'!$F$17+K115*'模块规划'!$F$16+L115*'模块规划'!$F$18</x:f>
        <x:v>10851.034117426992</x:v>
      </x:c>
      <x:c r="O115" t="n">
        <x:f>1+O$9*SUMPRODUCT($H$10:$L$10,H115:L115)/SUM($H$10:$L$10)</x:f>
        <x:v>2.566048635331961</x:v>
      </x:c>
      <x:c r="P115" t="n">
        <x:f>M115*O115+N115</x:f>
        <x:v>22298.262963882542</x:v>
      </x:c>
      <x:c r="Q115" t="n">
        <x:f>P115/(P115+'_曲线基线'!$L$2)</x:f>
        <x:v>0.48162202070685683</x:v>
      </x:c>
      <x:c r="R115" t="n">
        <x:f>E115*'模块规划'!$E$10+G115*'模块规划'!$E$11+H115*'模块规划'!$E$13</x:f>
        <x:v>6691.550204176854</x:v>
      </x:c>
      <x:c r="S115" t="n">
        <x:f>I115*'模块规划'!$E$15+J115*'模块规划'!$E$17+K115*'模块规划'!$E$16+L115*'模块规划'!$E$18</x:f>
        <x:v>16276.551176140489</x:v>
      </x:c>
      <x:c r="T115" t="n">
        <x:f>1+T$9*SUMPRODUCT($H$10:$L$10,H115:L115)/SUM($H$10:$L$10)</x:f>
        <x:v>2.566048635331961</x:v>
      </x:c>
      <x:c r="U115" t="n">
        <x:f>R115*T115+S115</x:f>
        <x:v>33447.39444582381</x:v>
      </x:c>
      <x:c r="V115" t="n">
        <x:f>V$8+(V$9-V$8)*H115</x:f>
        <x:v>0.8767509055172744</x:v>
      </x:c>
      <x:c r="W115" t="n">
        <x:f>IF(B115&lt;$H$8,0,W$8+(W$9-W$8)*H115)</x:f>
        <x:v>0.2356678740230326</x:v>
      </x:c>
      <x:c r="X115" t="n">
        <x:f>X$8+(X$9-X$8)*H115</x:f>
        <x:v>0.4370216633908349</x:v>
      </x:c>
      <x:c r="Y115" t="n">
        <x:f>Y$8+(Y$9-Y$8)*G115</x:f>
        <x:v>1</x:v>
      </x:c>
      <x:c r="Z115" t="n">
        <x:f>Z$8+(Z$9-Z$8)*H115</x:f>
        <x:v>1</x:v>
      </x:c>
      <x:c r="AA115" t="n">
        <x:f>AA$8+(AA$9-AA$8)*I115</x:f>
        <x:v>1</x:v>
      </x:c>
      <x:c r="AB115" t="n">
        <x:f>AB$8+(AB$9-AB$8)*J115</x:f>
        <x:v>1</x:v>
      </x:c>
      <x:c r="AC115" t="n">
        <x:f>AC$8+(AC$9-AC$8)*MAX(K115,L115)</x:f>
        <x:v>1</x:v>
      </x:c>
      <x:c r="AD115" t="n">
        <x:f>(V115*AE115+W115*AF115+X115*AG115)*PRODUCT(Y115:AC115)</x:f>
        <x:v>1.6890638157910853</x:v>
      </x:c>
      <x:c r="AE115" t="n">
        <x:f>1+AE$9*($H$10*H115+$I$10*I115+$J$10*J115+$K$10*K115+$L$10*L115)</x:f>
        <x:v>1</x:v>
      </x:c>
      <x:c r="AF115" t="n">
        <x:f>1+AF$9*($H$10*H115+$I$10*I115+$J$10*J115+$K$10*K115+$L$10*L115)</x:f>
        <x:v>1.1382180576932663</x:v>
      </x:c>
      <x:c r="AG115" t="n">
        <x:f>1+AG$9*($H$10*H115+$I$10*I115+$J$10*J115+$K$10*K115+$L$10*L115)</x:f>
        <x:v>1.2449531133564016</x:v>
      </x:c>
      <x:c r="AH115" t="n">
        <x:f>MIN(1,'_曲线基线'!$L$3+AH$9*($H$10*H115+$I$10*I115+$J$10*J115+$K$10*K115+$L$10*L115))</x:f>
        <x:v>0.3644460812521805</x:v>
      </x:c>
      <x:c r="AI115" t="n">
        <x:f>'_曲线基线'!$L$4+AI$9*($H$10*H115+$I$10*I115+$J$10*J115+$K$10*K115+$L$10*L115)</x:f>
        <x:v>2.8759569406310743</x:v>
      </x:c>
      <x:c r="AJ115" t="n">
        <x:f>1+AJ$9*($H$10*H115+$I$10*I115+$J$10*J115+$K$10*K115+$L$10*L115)</x:f>
        <x:v>1.7187339000049842</x:v>
      </x:c>
      <x:c r="AK115" t="n">
        <x:f>(1+AH115*(AI115-1))*AJ115</x:f>
        <x:v>2.893806753883491</x:v>
      </x:c>
      <x:c r="AL115" t="n">
        <x:f>U115*AD115*AK115*F115</x:f>
        <x:v>817424.93302004</x:v>
      </x:c>
      <x:c r="AM115" t="n">
        <x:f>IF($B115&lt;AM$8,0,AM$3+(AM$4-AM$3)*(POWER(AM$5,$B115-AM$8)-1)/(POWER(AM$5,$C$5-AM$8)-1))</x:f>
        <x:v>37.39867760019425</x:v>
      </x:c>
      <x:c r="AN115" t="n">
        <x:f>(((E115*'模块规划'!$D$10+G115*'模块规划'!$D$11+H115*'模块规划'!$D$13)*(1+'模块规划'!$G$14*H115)+(I115*'模块规划'!$D$15+J115*'模块规划'!$D$17+K115*'模块规划'!$D$16+L115*'模块规划'!$D$18))*(1+'模块规划'!$J$17*J115))*F115/(1-Q115)</x:f>
        <x:v>1331853.0583945813</x:v>
      </x:c>
      <x:c r="AO115" t="n">
        <x:f>AL115*AM115</x:f>
        <x:v>30570611.532376856</x:v>
      </x:c>
      <x:c r="AP115" t="n">
        <x:f>IF(AO115="","",INDEX('_曲线基线'!$A$3:$A$502,MIN(ROWS('_曲线基线'!$A$3:$A$502),COUNTIF('_曲线基线'!$E$3:$E$502,"&lt;"&amp;AO115)+1)))</x:f>
        <x:v>208</x:v>
      </x:c>
      <x:c r="AQ115" t="n">
        <x:f>IF(B115&lt;=2,1,IF(B115&lt;=6,2,IF(B115&lt;=9,3,IF(B115&lt;=19,4,5))))</x:f>
        <x:v>5</x:v>
      </x:c>
      <x:c r="AR115" t="n">
        <x:f>AN115*(1-Q115)/F115*$AS$3+U115*$AS$4+P115*$AS$5</x:f>
        <x:v>10831.898671920615</x:v>
      </x:c>
      <x:c r="AS115" t="n">
        <x:f>1+AH115*$AS$6+AI115*$AS$7+(AJ115-1)*$AS$8+($H$10*H115+$I$10*I115+$J$10*J115+$K$10*K115+$L$10*L115)*$AU$3*$AS$9+($H$10*H115+$I$10*I115+$J$10*J115+$K$10*K115+$L$10*L115)*$AU$4*$AS$10</x:f>
        <x:v>13.240265997440709</x:v>
      </x:c>
      <x:c r="AT115" t="n">
        <x:f>ROUND(AR115*AS115,0)</x:f>
        <x:v>143417</x:v>
      </x:c>
      <x:c r="AU115" t="n">
        <x:f>ROUND(AT115*F115,0)</x:f>
        <x:v>717085</x:v>
      </x:c>
    </x:row>
    <x:row r="116">
      <x:c r="A116" t="n">
        <x:f>IFERROR(XLOOKUP(B116,'_曲线基线'!$G$3:$G$107,'_曲线基线'!$J$3:$J$107,""),"")</x:f>
        <x:v>39</x:v>
      </x:c>
      <x:c r="B116" t="n">
        <x:v>105</x:v>
      </x:c>
      <x:c r="C116" t="n">
        <x:f>C101+1</x:f>
        <x:v>8</x:v>
      </x:c>
      <x:c r="D116" t="n">
        <x:f>D101</x:f>
        <x:v>6</x:v>
      </x:c>
      <x:c r="E116" t="n">
        <x:f>IF($B116&lt;E$8,0,E$3+(E$4-E$3)*(POWER(E$5,$B116-E$8)-1)/(POWER(E$5,$C$5-E$8)-1))</x:f>
        <x:v>1</x:v>
      </x:c>
      <x:c r="F116" t="n">
        <x:f>1+IF(B116&lt;3,0,MIN(1,(B116-2)/4))+IF(B116&lt;7,0,MIN(1,(B116-6)/3))+IF(B116&lt;10,0,MIN(1,(B116-9)/5))+IF(B116&lt;20,0,MIN(1,(B116-19)/10))</x:f>
        <x:v>5</x:v>
      </x:c>
      <x:c r="G116" t="n">
        <x:f>IF($B116&lt;G$8,0,G$3+(G$4-G$3)*(POWER(G$5,$B116-G$8)-1)/(POWER(G$5,$C$5-G$8)-1))</x:f>
        <x:v>0.7239381003314682</x:v>
      </x:c>
      <x:c r="H116" t="n">
        <x:f>IF($B116&lt;H$8,0,H$3+(H$4-H$3)*(POWER(H$5,$B116-H$8)-1)/(POWER(H$5,$C$5-H$8)-1))</x:f>
        <x:v>0.5914528335959411</x:v>
      </x:c>
      <x:c r="I116" t="n">
        <x:f>IF($B116&lt;I$8,0,I$3+(I$4-I$3)*(POWER(I$5,$B116-I$8)-1)/(POWER(I$5,$C$5-I$8)-1))</x:f>
        <x:v>0.3709068912814718</x:v>
      </x:c>
      <x:c r="J116" t="n">
        <x:f>IF($B116&lt;J$8,0,J$3+(J$4-J$3)*(POWER(J$5,$B116-J$8)-1)/(POWER(J$5,$C$5-J$8)-1))</x:f>
        <x:v>0.47122163391607247</x:v>
      </x:c>
      <x:c r="K116" t="n">
        <x:f>IF($B116&lt;K$8,0,K$3+(K$4-K$3)*(POWER(K$5,$B116-K$8)-1)/(POWER(K$5,$C$5-K$8)-1))</x:f>
        <x:v>0.06417670396007552</x:v>
      </x:c>
      <x:c r="L116" t="n">
        <x:f>IF($B116&lt;L$8,0,L$3+(L$4-L$3)*(POWER(L$5,$B116-L$8)-1)/(POWER(L$5,$C$5-L$8)-1))</x:f>
        <x:v>0.5892268402668112</x:v>
      </x:c>
      <x:c r="M116" t="n">
        <x:f>E116*'模块规划'!$F$10+G116*'模块规划'!$F$11+H116*'模块规划'!$F$13</x:f>
        <x:v>4474.902881591048</x:v>
      </x:c>
      <x:c r="N116" t="n">
        <x:f>I116*'模块规划'!$F$15+J116*'模块规划'!$F$17+K116*'模块规划'!$F$16+L116*'模块规划'!$F$18</x:f>
        <x:v>11010.665894507008</x:v>
      </x:c>
      <x:c r="O116" t="n">
        <x:f>1+O$9*SUMPRODUCT($H$10:$L$10,H116:L116)/SUM($H$10:$L$10)</x:f>
        <x:v>2.5836649421364584</x:v>
      </x:c>
      <x:c r="P116" t="n">
        <x:f>M116*O116+N116</x:f>
        <x:v>22572.315589139216</x:v>
      </x:c>
      <x:c r="Q116" t="n">
        <x:f>P116/(P116+'_曲线基线'!$L$2)</x:f>
        <x:v>0.48467239181903893</x:v>
      </x:c>
      <x:c r="R116" t="n">
        <x:f>E116*'模块规划'!$E$10+G116*'模块规划'!$E$11+H116*'模块规划'!$E$13</x:f>
        <x:v>6712.354322386571</x:v>
      </x:c>
      <x:c r="S116" t="n">
        <x:f>I116*'模块规划'!$E$15+J116*'模块规划'!$E$17+K116*'模块规划'!$E$16+L116*'模块规划'!$E$18</x:f>
        <x:v>16515.998841760513</x:v>
      </x:c>
      <x:c r="T116" t="n">
        <x:f>1+T$9*SUMPRODUCT($H$10:$L$10,H116:L116)/SUM($H$10:$L$10)</x:f>
        <x:v>2.5836649421364584</x:v>
      </x:c>
      <x:c r="U116" t="n">
        <x:f>R116*T116+S116</x:f>
        <x:v>33858.47338370881</x:v>
      </x:c>
      <x:c r="V116" t="n">
        <x:f>V$8+(V$9-V$8)*H116</x:f>
        <x:v>0.8774358500787823</x:v>
      </x:c>
      <x:c r="W116" t="n">
        <x:f>IF(B116&lt;$H$8,0,W$8+(W$9-W$8)*H116)</x:f>
        <x:v>0.23658113343837647</x:v>
      </x:c>
      <x:c r="X116" t="n">
        <x:f>X$8+(X$9-X$8)*H116</x:f>
        <x:v>0.43764952923888384</x:v>
      </x:c>
      <x:c r="Y116" t="n">
        <x:f>Y$8+(Y$9-Y$8)*G116</x:f>
        <x:v>1</x:v>
      </x:c>
      <x:c r="Z116" t="n">
        <x:f>Z$8+(Z$9-Z$8)*H116</x:f>
        <x:v>1</x:v>
      </x:c>
      <x:c r="AA116" t="n">
        <x:f>AA$8+(AA$9-AA$8)*I116</x:f>
        <x:v>1</x:v>
      </x:c>
      <x:c r="AB116" t="n">
        <x:f>AB$8+(AB$9-AB$8)*J116</x:f>
        <x:v>1</x:v>
      </x:c>
      <x:c r="AC116" t="n">
        <x:f>AC$8+(AC$9-AC$8)*MAX(K116,L116)</x:f>
        <x:v>1</x:v>
      </x:c>
      <x:c r="AD116" t="n">
        <x:f>(V116*AE116+W116*AF116+X116*AG116)*PRODUCT(Y116:AC116)</x:f>
        <x:v>1.693143670023098</x:v>
      </x:c>
      <x:c r="AE116" t="n">
        <x:f>1+AE$9*($H$10*H116+$I$10*I116+$J$10*J116+$K$10*K116+$L$10*L116)</x:f>
        <x:v>1</x:v>
      </x:c>
      <x:c r="AF116" t="n">
        <x:f>1+AF$9*($H$10*H116+$I$10*I116+$J$10*J116+$K$10*K116+$L$10*L116)</x:f>
        <x:v>1.1397728572411936</x:v>
      </x:c>
      <x:c r="AG116" t="n">
        <x:f>1+AG$9*($H$10*H116+$I$10*I116+$J$10*J116+$K$10*K116+$L$10*L116)</x:f>
        <x:v>1.2477085636663394</x:v>
      </x:c>
      <x:c r="AH116" t="n">
        <x:f>MIN(1,'_曲线基线'!$L$3+AH$9*($H$10*H116+$I$10*I116+$J$10*J116+$K$10*K116+$L$10*L116))</x:f>
        <x:v>0.36798325022371503</x:v>
      </x:c>
      <x:c r="AI116" t="n">
        <x:f>'_曲线基线'!$L$4+AI$9*($H$10*H116+$I$10*I116+$J$10*J116+$K$10*K116+$L$10*L116)</x:f>
        <x:v>2.8858104827660633</x:v>
      </x:c>
      <x:c r="AJ116" t="n">
        <x:f>1+AJ$9*($H$10*H116+$I$10*I116+$J$10*J116+$K$10*K116+$L$10*L116)</x:f>
        <x:v>1.726818857654206</x:v>
      </x:c>
      <x:c r="AK116" t="n">
        <x:f>(1+AH116*(AI116-1))*AJ116</x:f>
        <x:v>2.9251390549189287</x:v>
      </x:c>
      <x:c r="AL116" t="n">
        <x:f>U116*AD116*AK116*F116</x:f>
        <x:v>838451.0340241092</x:v>
      </x:c>
      <x:c r="AM116" t="n">
        <x:f>IF($B116&lt;AM$8,0,AM$3+(AM$4-AM$3)*(POWER(AM$5,$B116-AM$8)-1)/(POWER(AM$5,$C$5-AM$8)-1))</x:f>
        <x:v>37.43608901611806</x:v>
      </x:c>
      <x:c r="AN116" t="n">
        <x:f>(((E116*'模块规划'!$D$10+G116*'模块规划'!$D$11+H116*'模块规划'!$D$13)*(1+'模块规划'!$G$14*H116)+(I116*'模块规划'!$D$15+J116*'模块规划'!$D$17+K116*'模块规划'!$D$16+L116*'模块规划'!$D$18))*(1+'模块规划'!$J$17*J116))*F116/(1-Q116)</x:f>
        <x:v>1356957.630975485</x:v>
      </x:c>
      <x:c r="AO116" t="n">
        <x:f>AL116*AM116</x:f>
        <x:v>31388327.545382787</x:v>
      </x:c>
      <x:c r="AP116" t="n">
        <x:f>IF(AO116="","",INDEX('_曲线基线'!$A$3:$A$502,MIN(ROWS('_曲线基线'!$A$3:$A$502),COUNTIF('_曲线基线'!$E$3:$E$502,"&lt;"&amp;AO116)+1)))</x:f>
        <x:v>210</x:v>
      </x:c>
      <x:c r="AQ116" t="n">
        <x:f>IF(B116&lt;=2,1,IF(B116&lt;=6,2,IF(B116&lt;=9,3,IF(B116&lt;=19,4,5))))</x:f>
        <x:v>5</x:v>
      </x:c>
      <x:c r="AR116" t="n">
        <x:f>AN116*(1-Q116)/F116*$AS$3+U116*$AS$4+P116*$AS$5</x:f>
        <x:v>10967.361058982762</x:v>
      </x:c>
      <x:c r="AS116" t="n">
        <x:f>1+AH116*$AS$6+AI116*$AS$7+(AJ116-1)*$AS$8+($H$10*H116+$I$10*I116+$J$10*J116+$K$10*K116+$L$10*L116)*$AU$3*$AS$9+($H$10*H116+$I$10*I116+$J$10*J116+$K$10*K116+$L$10*L116)*$AU$4*$AS$10</x:f>
        <x:v>13.33316703707035</x:v>
      </x:c>
      <x:c r="AT116" t="n">
        <x:f>ROUND(AR116*AS116,0)</x:f>
        <x:v>146230</x:v>
      </x:c>
      <x:c r="AU116" t="n">
        <x:f>ROUND(AT116*F116,0)</x:f>
        <x:v>731150</x:v>
      </x:c>
    </x:row>
    <x:row r="117">
      <x:c r="A117" t="str">
        <x:f>IFERROR(XLOOKUP(B117,'_曲线基线'!$G$3:$G$107,'_曲线基线'!$J$3:$J$107,""),"")</x:f>
      </x:c>
      <x:c r="B117" t="n">
        <x:v>106</x:v>
      </x:c>
      <x:c r="C117" t="n">
        <x:f>C102+1</x:f>
        <x:v>8</x:v>
      </x:c>
      <x:c r="D117" t="n">
        <x:f>D102</x:f>
        <x:v>7</x:v>
      </x:c>
      <x:c r="E117" t="n">
        <x:f>IF($B117&lt;E$8,0,E$3+(E$4-E$3)*(POWER(E$5,$B117-E$8)-1)/(POWER(E$5,$C$5-E$8)-1))</x:f>
        <x:v>1</x:v>
      </x:c>
      <x:c r="F117" t="n">
        <x:f>1+IF(B117&lt;3,0,MIN(1,(B117-2)/4))+IF(B117&lt;7,0,MIN(1,(B117-6)/3))+IF(B117&lt;10,0,MIN(1,(B117-9)/5))+IF(B117&lt;20,0,MIN(1,(B117-19)/10))</x:f>
        <x:v>5</x:v>
      </x:c>
      <x:c r="G117" t="n">
        <x:f>IF($B117&lt;G$8,0,G$3+(G$4-G$3)*(POWER(G$5,$B117-G$8)-1)/(POWER(G$5,$C$5-G$8)-1))</x:f>
        <x:v>0.7267842192809921</x:v>
      </x:c>
      <x:c r="H117" t="n">
        <x:f>IF($B117&lt;H$8,0,H$3+(H$4-H$3)*(POWER(H$5,$B117-H$8)-1)/(POWER(H$5,$C$5-H$8)-1))</x:f>
        <x:v>0.5936903191635338</x:v>
      </x:c>
      <x:c r="I117" t="n">
        <x:f>IF($B117&lt;I$8,0,I$3+(I$4-I$3)*(POWER(I$5,$B117-I$8)-1)/(POWER(I$5,$C$5-I$8)-1))</x:f>
        <x:v>0.3766598447989105</x:v>
      </x:c>
      <x:c r="J117" t="n">
        <x:f>IF($B117&lt;J$8,0,J$3+(J$4-J$3)*(POWER(J$5,$B117-J$8)-1)/(POWER(J$5,$C$5-J$8)-1))</x:f>
        <x:v>0.47387614572947495</x:v>
      </x:c>
      <x:c r="K117" t="n">
        <x:f>IF($B117&lt;K$8,0,K$3+(K$4-K$3)*(POWER(K$5,$B117-K$8)-1)/(POWER(K$5,$C$5-K$8)-1))</x:f>
        <x:v>0.07625229481584755</x:v>
      </x:c>
      <x:c r="L117" t="n">
        <x:f>IF($B117&lt;L$8,0,L$3+(L$4-L$3)*(POWER(L$5,$B117-L$8)-1)/(POWER(L$5,$C$5-L$8)-1))</x:f>
        <x:v>0.5915102102928605</x:v>
      </x:c>
      <x:c r="M117" t="n">
        <x:f>E117*'模块规划'!$F$10+G117*'模块规划'!$F$11+H117*'模块规划'!$F$13</x:f>
        <x:v>4488.564252548762</x:v>
      </x:c>
      <x:c r="N117" t="n">
        <x:f>I117*'模块规划'!$F$15+J117*'模块规划'!$F$17+K117*'模块规划'!$F$16+L117*'模块规划'!$F$18</x:f>
        <x:v>11167.105036045421</x:v>
      </x:c>
      <x:c r="O117" t="n">
        <x:f>1+O$9*SUMPRODUCT($H$10:$L$10,H117:L117)/SUM($H$10:$L$10)</x:f>
        <x:v>2.600928922804865</x:v>
      </x:c>
      <x:c r="P117" t="n">
        <x:f>M117*O117+N117</x:f>
        <x:v>22841.5416223675</x:v>
      </x:c>
      <x:c r="Q117" t="n">
        <x:f>P117/(P117+'_曲线基线'!$L$2)</x:f>
        <x:v>0.48763428425379446</x:v>
      </x:c>
      <x:c r="R117" t="n">
        <x:f>E117*'模块规划'!$E$10+G117*'模块规划'!$E$11+H117*'模块规划'!$E$13</x:f>
        <x:v>6732.846378823143</x:v>
      </x:c>
      <x:c r="S117" t="n">
        <x:f>I117*'模块规划'!$E$15+J117*'模块规划'!$E$17+K117*'模块规划'!$E$16+L117*'模块规划'!$E$18</x:f>
        <x:v>16750.657554068133</x:v>
      </x:c>
      <x:c r="T117" t="n">
        <x:f>1+T$9*SUMPRODUCT($H$10:$L$10,H117:L117)/SUM($H$10:$L$10)</x:f>
        <x:v>2.600928922804865</x:v>
      </x:c>
      <x:c r="U117" t="n">
        <x:f>R117*T117+S117</x:f>
        <x:v>34262.31243355125</x:v>
      </x:c>
      <x:c r="V117" t="n">
        <x:f>V$8+(V$9-V$8)*H117</x:f>
        <x:v>0.8781070957490601</x:v>
      </x:c>
      <x:c r="W117" t="n">
        <x:f>IF(B117&lt;$H$8,0,W$8+(W$9-W$8)*H117)</x:f>
        <x:v>0.2374761276654135</x:v>
      </x:c>
      <x:c r="X117" t="n">
        <x:f>X$8+(X$9-X$8)*H117</x:f>
        <x:v>0.4382648377699718</x:v>
      </x:c>
      <x:c r="Y117" t="n">
        <x:f>Y$8+(Y$9-Y$8)*G117</x:f>
        <x:v>1</x:v>
      </x:c>
      <x:c r="Z117" t="n">
        <x:f>Z$8+(Z$9-Z$8)*H117</x:f>
        <x:v>1</x:v>
      </x:c>
      <x:c r="AA117" t="n">
        <x:f>AA$8+(AA$9-AA$8)*I117</x:f>
        <x:v>1</x:v>
      </x:c>
      <x:c r="AB117" t="n">
        <x:f>AB$8+(AB$9-AB$8)*J117</x:f>
        <x:v>1</x:v>
      </x:c>
      <x:c r="AC117" t="n">
        <x:f>AC$8+(AC$9-AC$8)*MAX(K117,L117)</x:f>
        <x:v>1</x:v>
      </x:c>
      <x:c r="AD117" t="n">
        <x:f>(V117*AE117+W117*AF117+X117*AG117)*PRODUCT(Y117:AC117)</x:f>
        <x:v>1.6971480394081015</x:v>
      </x:c>
      <x:c r="AE117" t="n">
        <x:f>1+AE$9*($H$10*H117+$I$10*I117+$J$10*J117+$K$10*K117+$L$10*L117)</x:f>
        <x:v>1</x:v>
      </x:c>
      <x:c r="AF117" t="n">
        <x:f>1+AF$9*($H$10*H117+$I$10*I117+$J$10*J117+$K$10*K117+$L$10*L117)</x:f>
        <x:v>1.1412965607981622</x:v>
      </x:c>
      <x:c r="AG117" t="n">
        <x:f>1+AG$9*($H$10*H117+$I$10*I117+$J$10*J117+$K$10*K117+$L$10*L117)</x:f>
        <x:v>1.2504089049700784</x:v>
      </x:c>
      <x:c r="AH117" t="n">
        <x:f>MIN(1,'_曲线基线'!$L$3+AH$9*($H$10*H117+$I$10*I117+$J$10*J117+$K$10*K117+$L$10*L117))</x:f>
        <x:v>0.37144967581581884</x:v>
      </x:c>
      <x:c r="AI117" t="n">
        <x:f>'_曲线基线'!$L$4+AI$9*($H$10*H117+$I$10*I117+$J$10*J117+$K$10*K117+$L$10*L117)</x:f>
        <x:v>2.8954669540583526</x:v>
      </x:c>
      <x:c r="AJ117" t="n">
        <x:f>1+AJ$9*($H$10*H117+$I$10*I117+$J$10*J117+$K$10*K117+$L$10*L117)</x:f>
        <x:v>1.7347421161504433</x:v>
      </x:c>
      <x:c r="AK117" t="n">
        <x:f>(1+AH117*(AI117-1))*AJ117</x:f>
        <x:v>2.956123013741401</x:v>
      </x:c>
      <x:c r="AL117" t="n">
        <x:f>U117*AD117*AK117*F117</x:f>
        <x:v>859466.403129217</x:v>
      </x:c>
      <x:c r="AM117" t="n">
        <x:f>IF($B117&lt;AM$8,0,AM$3+(AM$4-AM$3)*(POWER(AM$5,$B117-AM$8)-1)/(POWER(AM$5,$C$5-AM$8)-1))</x:f>
        <x:v>37.47387454620111</x:v>
      </x:c>
      <x:c r="AN117" t="n">
        <x:f>(((E117*'模块规划'!$D$10+G117*'模块规划'!$D$11+H117*'模块规划'!$D$13)*(1+'模块规划'!$G$14*H117)+(I117*'模块规划'!$D$15+J117*'模块规划'!$D$17+K117*'模块规划'!$D$16+L117*'模块规划'!$D$18))*(1+'模块规划'!$J$17*J117))*F117/(1-Q117)</x:f>
        <x:v>1381846.9138546225</x:v>
      </x:c>
      <x:c r="AO117" t="n">
        <x:f>AL117*AM117</x:f>
        <x:v>32207536.167538986</x:v>
      </x:c>
      <x:c r="AP117" t="n">
        <x:f>IF(AO117="","",INDEX('_曲线基线'!$A$3:$A$502,MIN(ROWS('_曲线基线'!$A$3:$A$502),COUNTIF('_曲线基线'!$E$3:$E$502,"&lt;"&amp;AO117)+1)))</x:f>
        <x:v>212</x:v>
      </x:c>
      <x:c r="AQ117" t="n">
        <x:f>IF(B117&lt;=2,1,IF(B117&lt;=6,2,IF(B117&lt;=9,3,IF(B117&lt;=19,4,5))))</x:f>
        <x:v>5</x:v>
      </x:c>
      <x:c r="AR117" t="n">
        <x:f>AN117*(1-Q117)/F117*$AS$3+U117*$AS$4+P117*$AS$5</x:f>
        <x:v>11100.528385123103</x:v>
      </x:c>
      <x:c r="AS117" t="n">
        <x:f>1+AH117*$AS$6+AI117*$AS$7+(AJ117-1)*$AS$8+($H$10*H117+$I$10*I117+$J$10*J117+$K$10*K117+$L$10*L117)*$AU$3*$AS$9+($H$10*H117+$I$10*I117+$J$10*J117+$K$10*K117+$L$10*L117)*$AU$4*$AS$10</x:f>
        <x:v>13.424210055907395</x:v>
      </x:c>
      <x:c r="AT117" t="n">
        <x:f>ROUND(AR117*AS117,0)</x:f>
        <x:v>149016</x:v>
      </x:c>
      <x:c r="AU117" t="n">
        <x:f>ROUND(AT117*F117,0)</x:f>
        <x:v>745080</x:v>
      </x:c>
    </x:row>
    <x:row r="118">
      <x:c r="A118" t="str">
        <x:f>IFERROR(XLOOKUP(B118,'_曲线基线'!$G$3:$G$107,'_曲线基线'!$J$3:$J$107,""),"")</x:f>
      </x:c>
      <x:c r="B118" t="n">
        <x:v>107</x:v>
      </x:c>
      <x:c r="C118" t="n">
        <x:f>C103+1</x:f>
        <x:v>8</x:v>
      </x:c>
      <x:c r="D118" t="n">
        <x:f>D103</x:f>
        <x:v>8</x:v>
      </x:c>
      <x:c r="E118" t="n">
        <x:f>IF($B118&lt;E$8,0,E$3+(E$4-E$3)*(POWER(E$5,$B118-E$8)-1)/(POWER(E$5,$C$5-E$8)-1))</x:f>
        <x:v>1</x:v>
      </x:c>
      <x:c r="F118" t="n">
        <x:f>1+IF(B118&lt;3,0,MIN(1,(B118-2)/4))+IF(B118&lt;7,0,MIN(1,(B118-6)/3))+IF(B118&lt;10,0,MIN(1,(B118-9)/5))+IF(B118&lt;20,0,MIN(1,(B118-19)/10))</x:f>
        <x:v>5</x:v>
      </x:c>
      <x:c r="G118" t="n">
        <x:f>IF($B118&lt;G$8,0,G$3+(G$4-G$3)*(POWER(G$5,$B118-G$8)-1)/(POWER(G$5,$C$5-G$8)-1))</x:f>
        <x:v>0.729587646446273</x:v>
      </x:c>
      <x:c r="H118" t="n">
        <x:f>IF($B118&lt;H$8,0,H$3+(H$4-H$3)*(POWER(H$5,$B118-H$8)-1)/(POWER(H$5,$C$5-H$8)-1))</x:f>
        <x:v>0.5958830550197745</x:v>
      </x:c>
      <x:c r="I118" t="n">
        <x:f>IF($B118&lt;I$8,0,I$3+(I$4-I$3)*(POWER(I$5,$B118-I$8)-1)/(POWER(I$5,$C$5-I$8)-1))</x:f>
        <x:v>0.38229773924600047</x:v>
      </x:c>
      <x:c r="J118" t="n">
        <x:f>IF($B118&lt;J$8,0,J$3+(J$4-J$3)*(POWER(J$5,$B118-J$8)-1)/(POWER(J$5,$C$5-J$8)-1))</x:f>
        <x:v>0.47647756730660934</x:v>
      </x:c>
      <x:c r="K118" t="n">
        <x:f>IF($B118&lt;K$8,0,K$3+(K$4-K$3)*(POWER(K$5,$B118-K$8)-1)/(POWER(K$5,$C$5-K$8)-1))</x:f>
        <x:v>0.08808637385450414</x:v>
      </x:c>
      <x:c r="L118" t="n">
        <x:f>IF($B118&lt;L$8,0,L$3+(L$4-L$3)*(POWER(L$5,$B118-L$8)-1)/(POWER(L$5,$C$5-L$8)-1))</x:f>
        <x:v>0.5937479129183891</x:v>
      </x:c>
      <x:c r="M118" t="n">
        <x:f>E118*'模块规划'!$F$10+G118*'模块规划'!$F$11+H118*'模块规划'!$F$13</x:f>
        <x:v>4502.020702942111</x:v>
      </x:c>
      <x:c r="N118" t="n">
        <x:f>I118*'模块规划'!$F$15+J118*'模块规划'!$F$17+K118*'模块规划'!$F$16+L118*'模块规划'!$F$18</x:f>
        <x:v>11320.415394753067</x:v>
      </x:c>
      <x:c r="O118" t="n">
        <x:f>1+O$9*SUMPRODUCT($H$10:$L$10,H118:L118)/SUM($H$10:$L$10)</x:f>
        <x:v>2.617847623859904</x:v>
      </x:c>
      <x:c r="P118" t="n">
        <x:f>M118*O118+N118</x:f>
        <x:v>23106.019594518166</x:v>
      </x:c>
      <x:c r="Q118" t="n">
        <x:f>P118/(P118+'_曲线基线'!$L$2)</x:f>
        <x:v>0.49051097489050144</x:v>
      </x:c>
      <x:c r="R118" t="n">
        <x:f>E118*'模块规划'!$E$10+G118*'模块规划'!$E$11+H118*'模块规划'!$E$13</x:f>
        <x:v>6753.031054413166</x:v>
      </x:c>
      <x:c r="S118" t="n">
        <x:f>I118*'模块规划'!$E$15+J118*'模块规划'!$E$17+K118*'模块规划'!$E$16+L118*'模块规划'!$E$18</x:f>
        <x:v>16980.6230921296</x:v>
      </x:c>
      <x:c r="T118" t="n">
        <x:f>1+T$9*SUMPRODUCT($H$10:$L$10,H118:L118)/SUM($H$10:$L$10)</x:f>
        <x:v>2.617847623859904</x:v>
      </x:c>
      <x:c r="U118" t="n">
        <x:f>R118*T118+S118</x:f>
        <x:v>34659.02939177725</x:v>
      </x:c>
      <x:c r="V118" t="n">
        <x:f>V$8+(V$9-V$8)*H118</x:f>
        <x:v>0.8787649165059324</x:v>
      </x:c>
      <x:c r="W118" t="n">
        <x:f>IF(B118&lt;$H$8,0,W$8+(W$9-W$8)*H118)</x:f>
        <x:v>0.2383532220079098</x:v>
      </x:c>
      <x:c r="X118" t="n">
        <x:f>X$8+(X$9-X$8)*H118</x:f>
        <x:v>0.438867840130438</x:v>
      </x:c>
      <x:c r="Y118" t="n">
        <x:f>Y$8+(Y$9-Y$8)*G118</x:f>
        <x:v>1</x:v>
      </x:c>
      <x:c r="Z118" t="n">
        <x:f>Z$8+(Z$9-Z$8)*H118</x:f>
        <x:v>1</x:v>
      </x:c>
      <x:c r="AA118" t="n">
        <x:f>AA$8+(AA$9-AA$8)*I118</x:f>
        <x:v>1</x:v>
      </x:c>
      <x:c r="AB118" t="n">
        <x:f>AB$8+(AB$9-AB$8)*J118</x:f>
        <x:v>1</x:v>
      </x:c>
      <x:c r="AC118" t="n">
        <x:f>AC$8+(AC$9-AC$8)*MAX(K118,L118)</x:f>
        <x:v>1</x:v>
      </x:c>
      <x:c r="AD118" t="n">
        <x:f>(V118*AE118+W118*AF118+X118*AG118)*PRODUCT(Y118:AC118)</x:f>
        <x:v>1.701078191598425</x:v>
      </x:c>
      <x:c r="AE118" t="n">
        <x:f>1+AE$9*($H$10*H118+$I$10*I118+$J$10*J118+$K$10*K118+$L$10*L118)</x:f>
        <x:v>1</x:v>
      </x:c>
      <x:c r="AF118" t="n">
        <x:f>1+AF$9*($H$10*H118+$I$10*I118+$J$10*J118+$K$10*K118+$L$10*L118)</x:f>
        <x:v>1.1427897902839916</x:v>
      </x:c>
      <x:c r="AG118" t="n">
        <x:f>1+AG$9*($H$10*H118+$I$10*I118+$J$10*J118+$K$10*K118+$L$10*L118)</x:f>
        <x:v>1.2530552394477428</x:v>
      </x:c>
      <x:c r="AH118" t="n">
        <x:f>MIN(1,'_曲线基线'!$L$3+AH$9*($H$10*H118+$I$10*I118+$J$10*J118+$K$10*K118+$L$10*L118))</x:f>
        <x:v>0.3748467728960806</x:v>
      </x:c>
      <x:c r="AI118" t="n">
        <x:f>'_曲线基线'!$L$4+AI$9*($H$10*H118+$I$10*I118+$J$10*J118+$K$10*K118+$L$10*L118)</x:f>
        <x:v>2.904930295924796</x:v>
      </x:c>
      <x:c r="AJ118" t="n">
        <x:f>1+AJ$9*($H$10*H118+$I$10*I118+$J$10*J118+$K$10*K118+$L$10*L118)</x:f>
        <x:v>1.7425069094767558</x:v>
      </x:c>
      <x:c r="AK118" t="n">
        <x:f>(1+AH118*(AI118-1))*AJ118</x:f>
        <x:v>2.9867561204655995</x:v>
      </x:c>
      <x:c r="AL118" t="n">
        <x:f>U118*AD118*AK118*F118</x:f>
        <x:v>880461.6409618513</x:v>
      </x:c>
      <x:c r="AM118" t="n">
        <x:f>IF($B118&lt;AM$8,0,AM$3+(AM$4-AM$3)*(POWER(AM$5,$B118-AM$8)-1)/(POWER(AM$5,$C$5-AM$8)-1))</x:f>
        <x:v>37.512037931584985</x:v>
      </x:c>
      <x:c r="AN118" t="n">
        <x:f>(((E118*'模块规划'!$D$10+G118*'模块规划'!$D$11+H118*'模块规划'!$D$13)*(1+'模块规划'!$G$14*H118)+(I118*'模块规划'!$D$15+J118*'模块规划'!$D$17+K118*'模块规划'!$D$16+L118*'模块规划'!$D$18))*(1+'模块规划'!$J$17*J118))*F118/(1-Q118)</x:f>
        <x:v>1406516.2576758708</x:v>
      </x:c>
      <x:c r="AO118" t="n">
        <x:f>AL118*AM118</x:f>
        <x:v>33027910.473066527</x:v>
      </x:c>
      <x:c r="AP118" t="n">
        <x:f>IF(AO118="","",INDEX('_曲线基线'!$A$3:$A$502,MIN(ROWS('_曲线基线'!$A$3:$A$502),COUNTIF('_曲线基线'!$E$3:$E$502,"&lt;"&amp;AO118)+1)))</x:f>
        <x:v>213</x:v>
      </x:c>
      <x:c r="AQ118" t="n">
        <x:f>IF(B118&lt;=2,1,IF(B118&lt;=6,2,IF(B118&lt;=9,3,IF(B118&lt;=19,4,5))))</x:f>
        <x:v>5</x:v>
      </x:c>
      <x:c r="AR118" t="n">
        <x:f>AN118*(1-Q118)/F118*$AS$3+U118*$AS$4+P118*$AS$5</x:f>
        <x:v>11231.43345989909</x:v>
      </x:c>
      <x:c r="AS118" t="n">
        <x:f>1+AH118*$AS$6+AI118*$AS$7+(AJ118-1)*$AS$8+($H$10*H118+$I$10*I118+$J$10*J118+$K$10*K118+$L$10*L118)*$AU$3*$AS$9+($H$10*H118+$I$10*I118+$J$10*J118+$K$10*K118+$L$10*L118)*$AU$4*$AS$10</x:f>
        <x:v>13.513432214367702</x:v>
      </x:c>
      <x:c r="AT118" t="n">
        <x:f>ROUND(AR118*AS118,0)</x:f>
        <x:v>151775</x:v>
      </x:c>
      <x:c r="AU118" t="n">
        <x:f>ROUND(AT118*F118,0)</x:f>
        <x:v>758875</x:v>
      </x:c>
    </x:row>
    <x:row r="119">
      <x:c r="A119" t="str">
        <x:f>IFERROR(XLOOKUP(B119,'_曲线基线'!$G$3:$G$107,'_曲线基线'!$J$3:$J$107,""),"")</x:f>
      </x:c>
      <x:c r="B119" t="n">
        <x:v>108</x:v>
      </x:c>
      <x:c r="C119" t="n">
        <x:f>C104+1</x:f>
        <x:v>8</x:v>
      </x:c>
      <x:c r="D119" t="n">
        <x:f>D104</x:f>
        <x:v>9</x:v>
      </x:c>
      <x:c r="E119" t="n">
        <x:f>IF($B119&lt;E$8,0,E$3+(E$4-E$3)*(POWER(E$5,$B119-E$8)-1)/(POWER(E$5,$C$5-E$8)-1))</x:f>
        <x:v>1</x:v>
      </x:c>
      <x:c r="F119" t="n">
        <x:f>1+IF(B119&lt;3,0,MIN(1,(B119-2)/4))+IF(B119&lt;7,0,MIN(1,(B119-6)/3))+IF(B119&lt;10,0,MIN(1,(B119-9)/5))+IF(B119&lt;20,0,MIN(1,(B119-19)/10))</x:f>
        <x:v>5</x:v>
      </x:c>
      <x:c r="G119" t="n">
        <x:f>IF($B119&lt;G$8,0,G$3+(G$4-G$3)*(POWER(G$5,$B119-G$8)-1)/(POWER(G$5,$C$5-G$8)-1))</x:f>
        <x:v>0.7323490222040748</x:v>
      </x:c>
      <x:c r="H119" t="n">
        <x:f>IF($B119&lt;H$8,0,H$3+(H$4-H$3)*(POWER(H$5,$B119-H$8)-1)/(POWER(H$5,$C$5-H$8)-1))</x:f>
        <x:v>0.5980319361588904</x:v>
      </x:c>
      <x:c r="I119" t="n">
        <x:f>IF($B119&lt;I$8,0,I$3+(I$4-I$3)*(POWER(I$5,$B119-I$8)-1)/(POWER(I$5,$C$5-I$8)-1))</x:f>
        <x:v>0.3878228758041487</x:v>
      </x:c>
      <x:c r="J119" t="n">
        <x:f>IF($B119&lt;J$8,0,J$3+(J$4-J$3)*(POWER(J$5,$B119-J$8)-1)/(POWER(J$5,$C$5-J$8)-1))</x:f>
        <x:v>0.47902696045220106</x:v>
      </x:c>
      <x:c r="K119" t="n">
        <x:f>IF($B119&lt;K$8,0,K$3+(K$4-K$3)*(POWER(K$5,$B119-K$8)-1)/(POWER(K$5,$C$5-K$8)-1))</x:f>
        <x:v>0.09968377131238762</x:v>
      </x:c>
      <x:c r="L119" t="n">
        <x:f>IF($B119&lt;L$8,0,L$3+(L$4-L$3)*(POWER(L$5,$B119-L$8)-1)/(POWER(L$5,$C$5-L$8)-1))</x:f>
        <x:v>0.595940861491407</x:v>
      </x:c>
      <x:c r="M119" t="n">
        <x:f>E119*'模块规划'!$F$10+G119*'模块规划'!$F$11+H119*'模块规划'!$F$13</x:f>
        <x:v>4515.275306579559</x:v>
      </x:c>
      <x:c r="N119" t="n">
        <x:f>I119*'模块规划'!$F$15+J119*'模块规划'!$F$17+K119*'模块规划'!$F$16+L119*'模块规划'!$F$18</x:f>
        <x:v>11470.659546286563</x:v>
      </x:c>
      <x:c r="O119" t="n">
        <x:f>1+O$9*SUMPRODUCT($H$10:$L$10,H119:L119)/SUM($H$10:$L$10)</x:f>
        <x:v>2.634427950893842</x:v>
      </x:c>
      <x:c r="P119" t="n">
        <x:f>M119*O119+N119</x:f>
        <x:v>23365.827019920514</x:v>
      </x:c>
      <x:c r="Q119" t="n">
        <x:f>P119/(P119+'_曲线基线'!$L$2)</x:f>
        <x:v>0.4933055852712888</x:v>
      </x:c>
      <x:c r="R119" t="n">
        <x:f>E119*'模块规划'!$E$10+G119*'模块规划'!$E$11+H119*'模块规划'!$E$13</x:f>
        <x:v>6772.912959869339</x:v>
      </x:c>
      <x:c r="S119" t="n">
        <x:f>I119*'模块规划'!$E$15+J119*'模块规划'!$E$17+K119*'模块规划'!$E$16+L119*'模块规划'!$E$18</x:f>
        <x:v>17205.98931942984</x:v>
      </x:c>
      <x:c r="T119" t="n">
        <x:f>1+T$9*SUMPRODUCT($H$10:$L$10,H119:L119)/SUM($H$10:$L$10)</x:f>
        <x:v>2.634427950893842</x:v>
      </x:c>
      <x:c r="U119" t="n">
        <x:f>R119*T119+S119</x:f>
        <x:v>35048.74052988077</x:v>
      </x:c>
      <x:c r="V119" t="n">
        <x:f>V$8+(V$9-V$8)*H119</x:f>
        <x:v>0.8794095808476671</x:v>
      </x:c>
      <x:c r="W119" t="n">
        <x:f>IF(B119&lt;$H$8,0,W$8+(W$9-W$8)*H119)</x:f>
        <x:v>0.23921277446355615</x:v>
      </x:c>
      <x:c r="X119" t="n">
        <x:f>X$8+(X$9-X$8)*H119</x:f>
        <x:v>0.43945878244369485</x:v>
      </x:c>
      <x:c r="Y119" t="n">
        <x:f>Y$8+(Y$9-Y$8)*G119</x:f>
        <x:v>1</x:v>
      </x:c>
      <x:c r="Z119" t="n">
        <x:f>Z$8+(Z$9-Z$8)*H119</x:f>
        <x:v>1</x:v>
      </x:c>
      <x:c r="AA119" t="n">
        <x:f>AA$8+(AA$9-AA$8)*I119</x:f>
        <x:v>1</x:v>
      </x:c>
      <x:c r="AB119" t="n">
        <x:f>AB$8+(AB$9-AB$8)*J119</x:f>
        <x:v>1</x:v>
      </x:c>
      <x:c r="AC119" t="n">
        <x:f>AC$8+(AC$9-AC$8)*MAX(K119,L119)</x:f>
        <x:v>1</x:v>
      </x:c>
      <x:c r="AD119" t="n">
        <x:f>(V119*AE119+W119*AF119+X119*AG119)*PRODUCT(Y119:AC119)</x:f>
        <x:v>1.7049353784783186</x:v>
      </x:c>
      <x:c r="AE119" t="n">
        <x:f>1+AE$9*($H$10*H119+$I$10*I119+$J$10*J119+$K$10*K119+$L$10*L119)</x:f>
        <x:v>1</x:v>
      </x:c>
      <x:c r="AF119" t="n">
        <x:f>1+AF$9*($H$10*H119+$I$10*I119+$J$10*J119+$K$10*K119+$L$10*L119)</x:f>
        <x:v>1.1442531551801043</x:v>
      </x:c>
      <x:c r="AG119" t="n">
        <x:f>1+AG$9*($H$10*H119+$I$10*I119+$J$10*J119+$K$10*K119+$L$10*L119)</x:f>
        <x:v>1.2556486472358537</x:v>
      </x:c>
      <x:c r="AH119" t="n">
        <x:f>MIN(1,'_曲线基线'!$L$3+AH$9*($H$10*H119+$I$10*I119+$J$10*J119+$K$10*K119+$L$10*L119))</x:f>
        <x:v>0.37817592803473715</x:v>
      </x:c>
      <x:c r="AI119" t="n">
        <x:f>'_曲线基线'!$L$4+AI$9*($H$10*H119+$I$10*I119+$J$10*J119+$K$10*K119+$L$10*L119)</x:f>
        <x:v>2.914204370953911</x:v>
      </x:c>
      <x:c r="AJ119" t="n">
        <x:f>1+AJ$9*($H$10*H119+$I$10*I119+$J$10*J119+$K$10*K119+$L$10*L119)</x:f>
        <x:v>1.750116406936542</x:v>
      </x:c>
      <x:c r="AK119" t="n">
        <x:f>(1+AH119*(AI119-1))*AJ119</x:f>
        <x:v>3.017036199876906</x:v>
      </x:c>
      <x:c r="AL119" t="n">
        <x:f>U119*AD119*AK119*F119</x:f>
        <x:v>901427.6274818983</x:v>
      </x:c>
      <x:c r="AM119" t="n">
        <x:f>IF($B119&lt;AM$8,0,AM$3+(AM$4-AM$3)*(POWER(AM$5,$B119-AM$8)-1)/(POWER(AM$5,$C$5-AM$8)-1))</x:f>
        <x:v>37.55058295082271</x:v>
      </x:c>
      <x:c r="AN119" t="n">
        <x:f>(((E119*'模块规划'!$D$10+G119*'模块规划'!$D$11+H119*'模块规划'!$D$13)*(1+'模块规划'!$G$14*H119)+(I119*'模块规划'!$D$15+J119*'模块规划'!$D$17+K119*'模块规划'!$D$16+L119*'模块规划'!$D$18))*(1+'模块规划'!$J$17*J119))*F119/(1-Q119)</x:f>
        <x:v>1430961.363028788</x:v>
      </x:c>
      <x:c r="AO119" t="n">
        <x:f>AL119*AM119</x:f>
        <x:v>33849132.89992233</x:v>
      </x:c>
      <x:c r="AP119" t="n">
        <x:f>IF(AO119="","",INDEX('_曲线基线'!$A$3:$A$502,MIN(ROWS('_曲线基线'!$A$3:$A$502),COUNTIF('_曲线基线'!$E$3:$E$502,"&lt;"&amp;AO119)+1)))</x:f>
        <x:v>215</x:v>
      </x:c>
      <x:c r="AQ119" t="n">
        <x:f>IF(B119&lt;=2,1,IF(B119&lt;=6,2,IF(B119&lt;=9,3,IF(B119&lt;=19,4,5))))</x:f>
        <x:v>5</x:v>
      </x:c>
      <x:c r="AR119" t="n">
        <x:f>AN119*(1-Q119)/F119*$AS$3+U119*$AS$4+P119*$AS$5</x:f>
        <x:v>11360.108888011775</x:v>
      </x:c>
      <x:c r="AS119" t="n">
        <x:f>1+AH119*$AS$6+AI119*$AS$7+(AJ119-1)*$AS$8+($H$10*H119+$I$10*I119+$J$10*J119+$K$10*K119+$L$10*L119)*$AU$3*$AS$9+($H$10*H119+$I$10*I119+$J$10*J119+$K$10*K119+$L$10*L119)*$AU$4*$AS$10</x:f>
        <x:v>13.600869929658803</x:v>
      </x:c>
      <x:c r="AT119" t="n">
        <x:f>ROUND(AR119*AS119,0)</x:f>
        <x:v>154507</x:v>
      </x:c>
      <x:c r="AU119" t="n">
        <x:f>ROUND(AT119*F119,0)</x:f>
        <x:v>772535</x:v>
      </x:c>
    </x:row>
    <x:row r="120">
      <x:c r="A120" t="str">
        <x:f>IFERROR(XLOOKUP(B120,'_曲线基线'!$G$3:$G$107,'_曲线基线'!$J$3:$J$107,""),"")</x:f>
      </x:c>
      <x:c r="B120" t="n">
        <x:v>109</x:v>
      </x:c>
      <x:c r="C120" t="n">
        <x:f>C105+1</x:f>
        <x:v>8</x:v>
      </x:c>
      <x:c r="D120" t="n">
        <x:f>D105</x:f>
        <x:v>10</x:v>
      </x:c>
      <x:c r="E120" t="n">
        <x:f>IF($B120&lt;E$8,0,E$3+(E$4-E$3)*(POWER(E$5,$B120-E$8)-1)/(POWER(E$5,$C$5-E$8)-1))</x:f>
        <x:v>1</x:v>
      </x:c>
      <x:c r="F120" t="n">
        <x:f>1+IF(B120&lt;3,0,MIN(1,(B120-2)/4))+IF(B120&lt;7,0,MIN(1,(B120-6)/3))+IF(B120&lt;10,0,MIN(1,(B120-9)/5))+IF(B120&lt;20,0,MIN(1,(B120-19)/10))</x:f>
        <x:v>5</x:v>
      </x:c>
      <x:c r="G120" t="n">
        <x:f>IF($B120&lt;G$8,0,G$3+(G$4-G$3)*(POWER(G$5,$B120-G$8)-1)/(POWER(G$5,$C$5-G$8)-1))</x:f>
        <x:v>0.7350689773255095</x:v>
      </x:c>
      <x:c r="H120" t="n">
        <x:f>IF($B120&lt;H$8,0,H$3+(H$4-H$3)*(POWER(H$5,$B120-H$8)-1)/(POWER(H$5,$C$5-H$8)-1))</x:f>
        <x:v>0.6001378396752238</x:v>
      </x:c>
      <x:c r="I120" t="n">
        <x:f>IF($B120&lt;I$8,0,I$3+(I$4-I$3)*(POWER(I$5,$B120-I$8)-1)/(POWER(I$5,$C$5-I$8)-1))</x:f>
        <x:v>0.3932375096311339</x:v>
      </x:c>
      <x:c r="J120" t="n">
        <x:f>IF($B120&lt;J$8,0,J$3+(J$4-J$3)*(POWER(J$5,$B120-J$8)-1)/(POWER(J$5,$C$5-J$8)-1))</x:f>
        <x:v>0.481525365734881</x:v>
      </x:c>
      <x:c r="K120" t="n">
        <x:f>IF($B120&lt;K$8,0,K$3+(K$4-K$3)*(POWER(K$5,$B120-K$8)-1)/(POWER(K$5,$C$5-K$8)-1))</x:f>
        <x:v>0.11104922082111342</x:v>
      </x:c>
      <x:c r="L120" t="n">
        <x:f>IF($B120&lt;L$8,0,L$3+(L$4-L$3)*(POWER(L$5,$B120-L$8)-1)/(POWER(L$5,$C$5-L$8)-1))</x:f>
        <x:v>0.5980899510929646</x:v>
      </x:c>
      <x:c r="M120" t="n">
        <x:f>E120*'模块规划'!$F$10+G120*'模块规划'!$F$11+H120*'模块规划'!$F$13</x:f>
        <x:v>4528.331091162445</x:v>
      </x:c>
      <x:c r="N120" t="n">
        <x:f>I120*'模块规划'!$F$15+J120*'模块规划'!$F$17+K120*'模块规划'!$F$16+L120*'模块规划'!$F$18</x:f>
        <x:v>11617.898814789383</x:v>
      </x:c>
      <x:c r="O120" t="n">
        <x:f>1+O$9*SUMPRODUCT($H$10:$L$10,H120:L120)/SUM($H$10:$L$10)</x:f>
        <x:v>2.6506766713871013</x:v>
      </x:c>
      <x:c r="P120" t="n">
        <x:f>M120*O120+N120</x:f>
        <x:v>23621.040398450576</x:v>
      </x:c>
      <x:c r="Q120" t="n">
        <x:f>P120/(P120+'_曲线基线'!$L$2)</x:f>
        <x:v>0.4960210906945898</x:v>
      </x:c>
      <x:c r="R120" t="n">
        <x:f>E120*'模块规划'!$E$10+G120*'模块规划'!$E$11+H120*'模块规划'!$E$13</x:f>
        <x:v>6792.496636743668</x:v>
      </x:c>
      <x:c r="S120" t="n">
        <x:f>I120*'模块规划'!$E$15+J120*'模块规划'!$E$17+K120*'模块规划'!$E$16+L120*'模块规划'!$E$18</x:f>
        <x:v>17426.848222184075</x:v>
      </x:c>
      <x:c r="T120" t="n">
        <x:f>1+T$9*SUMPRODUCT($H$10:$L$10,H120:L120)/SUM($H$10:$L$10)</x:f>
        <x:v>2.6506766713871013</x:v>
      </x:c>
      <x:c r="U120" t="n">
        <x:f>R120*T120+S120</x:f>
        <x:v>35431.56059767587</x:v>
      </x:c>
      <x:c r="V120" t="n">
        <x:f>V$8+(V$9-V$8)*H120</x:f>
        <x:v>0.8800413519025672</x:v>
      </x:c>
      <x:c r="W120" t="n">
        <x:f>IF(B120&lt;$H$8,0,W$8+(W$9-W$8)*H120)</x:f>
        <x:v>0.24005513587008953</x:v>
      </x:c>
      <x:c r="X120" t="n">
        <x:f>X$8+(X$9-X$8)*H120</x:f>
        <x:v>0.4400379059106866</x:v>
      </x:c>
      <x:c r="Y120" t="n">
        <x:f>Y$8+(Y$9-Y$8)*G120</x:f>
        <x:v>1</x:v>
      </x:c>
      <x:c r="Z120" t="n">
        <x:f>Z$8+(Z$9-Z$8)*H120</x:f>
        <x:v>1</x:v>
      </x:c>
      <x:c r="AA120" t="n">
        <x:f>AA$8+(AA$9-AA$8)*I120</x:f>
        <x:v>1</x:v>
      </x:c>
      <x:c r="AB120" t="n">
        <x:f>AB$8+(AB$9-AB$8)*J120</x:f>
        <x:v>1</x:v>
      </x:c>
      <x:c r="AC120" t="n">
        <x:f>AC$8+(AC$9-AC$8)*MAX(K120,L120)</x:f>
        <x:v>1</x:v>
      </x:c>
      <x:c r="AD120" t="n">
        <x:f>(V120*AE120+W120*AF120+X120*AG120)*PRODUCT(Y120:AC120)</x:f>
        <x:v>1.7087208360997495</x:v>
      </x:c>
      <x:c r="AE120" t="n">
        <x:f>1+AE$9*($H$10*H120+$I$10*I120+$J$10*J120+$K$10*K120+$L$10*L120)</x:f>
        <x:v>1</x:v>
      </x:c>
      <x:c r="AF120" t="n">
        <x:f>1+AF$9*($H$10*H120+$I$10*I120+$J$10*J120+$K$10*K120+$L$10*L120)</x:f>
        <x:v>1.1456872527782949</x:v>
      </x:c>
      <x:c r="AG120" t="n">
        <x:f>1+AG$9*($H$10*H120+$I$10*I120+$J$10*J120+$K$10*K120+$L$10*L120)</x:f>
        <x:v>1.2581901868682024</x:v>
      </x:c>
      <x:c r="AH120" t="n">
        <x:f>MIN(1,'_曲线基线'!$L$3+AH$9*($H$10*H120+$I$10*I120+$J$10*J120+$K$10*K120+$L$10*L120))</x:f>
        <x:v>0.3814385000706205</x:v>
      </x:c>
      <x:c r="AI120" t="n">
        <x:f>'_曲线基线'!$L$4+AI$9*($H$10*H120+$I$10*I120+$J$10*J120+$K$10*K120+$L$10*L120)</x:f>
        <x:v>2.923292964482443</x:v>
      </x:c>
      <x:c r="AJ120" t="n">
        <x:f>1+AJ$9*($H$10*H120+$I$10*I120+$J$10*J120+$K$10*K120+$L$10*L120)</x:f>
        <x:v>1.7575737144471328</x:v>
      </x:c>
      <x:c r="AK120" t="n">
        <x:f>(1+AH120*(AI120-1))*AJ120</x:f>
        <x:v>3.0469613988129427</x:v>
      </x:c>
      <x:c r="AL120" t="n">
        <x:f>U120*AD120*AK120*F120</x:f>
        <x:v>922355.5244161712</x:v>
      </x:c>
      <x:c r="AM120" t="n">
        <x:f>IF($B120&lt;AM$8,0,AM$3+(AM$4-AM$3)*(POWER(AM$5,$B120-AM$8)-1)/(POWER(AM$5,$C$5-AM$8)-1))</x:f>
        <x:v>37.5895134202528</x:v>
      </x:c>
      <x:c r="AN120" t="n">
        <x:f>(((E120*'模块规划'!$D$10+G120*'模块规划'!$D$11+H120*'模块规划'!$D$13)*(1+'模块规划'!$G$14*H120)+(I120*'模块规划'!$D$15+J120*'模块规划'!$D$17+K120*'模块规划'!$D$16+L120*'模块规划'!$D$18))*(1+'模块规划'!$J$17*J120))*F120/(1-Q120)</x:f>
        <x:v>1455178.2678489694</x:v>
      </x:c>
      <x:c r="AO120" t="n">
        <x:f>AL120*AM120</x:f>
        <x:v>34670895.36328598</x:v>
      </x:c>
      <x:c r="AP120" t="n">
        <x:f>IF(AO120="","",INDEX('_曲线基线'!$A$3:$A$502,MIN(ROWS('_曲线基线'!$A$3:$A$502),COUNTIF('_曲线基线'!$E$3:$E$502,"&lt;"&amp;AO120)+1)))</x:f>
        <x:v>217</x:v>
      </x:c>
      <x:c r="AQ120" t="n">
        <x:f>IF(B120&lt;=2,1,IF(B120&lt;=6,2,IF(B120&lt;=9,3,IF(B120&lt;=19,4,5))))</x:f>
        <x:v>5</x:v>
      </x:c>
      <x:c r="AR120" t="n">
        <x:f>AN120*(1-Q120)/F120*$AS$3+U120*$AS$4+P120*$AS$5</x:f>
        <x:v>11486.587057187931</x:v>
      </x:c>
      <x:c r="AS120" t="n">
        <x:f>1+AH120*$AS$6+AI120*$AS$7+(AJ120-1)*$AS$8+($H$10*H120+$I$10*I120+$J$10*J120+$K$10*K120+$L$10*L120)*$AU$3*$AS$9+($H$10*H120+$I$10*I120+$J$10*J120+$K$10*K120+$L$10*L120)*$AU$4*$AS$10</x:f>
        <x:v>13.686558890644083</x:v>
      </x:c>
      <x:c r="AT120" t="n">
        <x:f>ROUND(AR120*AS120,0)</x:f>
        <x:v>157212</x:v>
      </x:c>
      <x:c r="AU120" t="n">
        <x:f>ROUND(AT120*F120,0)</x:f>
        <x:v>786060</x:v>
      </x:c>
    </x:row>
    <x:row r="121">
      <x:c r="A121" t="str">
        <x:f>IFERROR(XLOOKUP(B121,'_曲线基线'!$G$3:$G$107,'_曲线基线'!$J$3:$J$107,""),"")</x:f>
      </x:c>
      <x:c r="B121" t="n">
        <x:v>110</x:v>
      </x:c>
      <x:c r="C121" t="n">
        <x:f>C106+1</x:f>
        <x:v>8</x:v>
      </x:c>
      <x:c r="D121" t="n">
        <x:f>D106</x:f>
        <x:v>11</x:v>
      </x:c>
      <x:c r="E121" t="n">
        <x:f>IF($B121&lt;E$8,0,E$3+(E$4-E$3)*(POWER(E$5,$B121-E$8)-1)/(POWER(E$5,$C$5-E$8)-1))</x:f>
        <x:v>1</x:v>
      </x:c>
      <x:c r="F121" t="n">
        <x:f>1+IF(B121&lt;3,0,MIN(1,(B121-2)/4))+IF(B121&lt;7,0,MIN(1,(B121-6)/3))+IF(B121&lt;10,0,MIN(1,(B121-9)/5))+IF(B121&lt;20,0,MIN(1,(B121-19)/10))</x:f>
        <x:v>5</x:v>
      </x:c>
      <x:c r="G121" t="n">
        <x:f>IF($B121&lt;G$8,0,G$3+(G$4-G$3)*(POWER(G$5,$B121-G$8)-1)/(POWER(G$5,$C$5-G$8)-1))</x:f>
        <x:v>0.7377481331201227</x:v>
      </x:c>
      <x:c r="H121" t="n">
        <x:f>IF($B121&lt;H$8,0,H$3+(H$4-H$3)*(POWER(H$5,$B121-H$8)-1)/(POWER(H$5,$C$5-H$8)-1))</x:f>
        <x:v>0.6022016251212308</x:v>
      </x:c>
      <x:c r="I121" t="n">
        <x:f>IF($B121&lt;I$8,0,I$3+(I$4-I$3)*(POWER(I$5,$B121-I$8)-1)/(POWER(I$5,$C$5-I$8)-1))</x:f>
        <x:v>0.39854385078157945</x:v>
      </x:c>
      <x:c r="J121" t="n">
        <x:f>IF($B121&lt;J$8,0,J$3+(J$4-J$3)*(POWER(J$5,$B121-J$8)-1)/(POWER(J$5,$C$5-J$8)-1))</x:f>
        <x:v>0.48397380291190717</x:v>
      </x:c>
      <x:c r="K121" t="n">
        <x:f>IF($B121&lt;K$8,0,K$3+(K$4-K$3)*(POWER(K$5,$B121-K$8)-1)/(POWER(K$5,$C$5-K$8)-1))</x:f>
        <x:v>0.12218736133966474</x:v>
      </x:c>
      <x:c r="L121" t="n">
        <x:f>IF($B121&lt;L$8,0,L$3+(L$4-L$3)*(POWER(L$5,$B121-L$8)-1)/(POWER(L$5,$C$5-L$8)-1))</x:f>
        <x:v>0.600196058902491</x:v>
      </x:c>
      <x:c r="M121" t="n">
        <x:f>E121*'模块规划'!$F$10+G121*'模块规划'!$F$11+H121*'模块规划'!$F$13</x:f>
        <x:v>4541.191038976589</x:v>
      </x:c>
      <x:c r="N121" t="n">
        <x:f>I121*'模块规划'!$F$15+J121*'模块规划'!$F$17+K121*'模块规划'!$F$16+L121*'模块规划'!$F$18</x:f>
        <x:v>11762.19329792215</x:v>
      </x:c>
      <x:c r="O121" t="n">
        <x:f>1+O$9*SUMPRODUCT($H$10:$L$10,H121:L121)/SUM($H$10:$L$10)</x:f>
        <x:v>2.6666004174704954</x:v>
      </x:c>
      <x:c r="P121" t="n">
        <x:f>M121*O121+N121</x:f>
        <x:v>23871.735218270394</x:v>
      </x:c>
      <x:c r="Q121" t="n">
        <x:f>P121/(P121+'_曲线基线'!$L$2)</x:f>
        <x:v>0.49866032867677784</x:v>
      </x:c>
      <x:c r="R121" t="n">
        <x:f>E121*'模块规划'!$E$10+G121*'模块规划'!$E$11+H121*'模块规划'!$E$13</x:f>
        <x:v>6811.7865584648835</x:v>
      </x:c>
      <x:c r="S121" t="n">
        <x:f>I121*'模块规划'!$E$15+J121*'模块规划'!$E$17+K121*'模块规划'!$E$16+L121*'模块规划'!$E$18</x:f>
        <x:v>17643.289946883226</x:v>
      </x:c>
      <x:c r="T121" t="n">
        <x:f>1+T$9*SUMPRODUCT($H$10:$L$10,H121:L121)/SUM($H$10:$L$10)</x:f>
        <x:v>2.6666004174704954</x:v>
      </x:c>
      <x:c r="U121" t="n">
        <x:f>R121*T121+S121</x:f>
        <x:v>35807.60282740559</x:v>
      </x:c>
      <x:c r="V121" t="n">
        <x:f>V$8+(V$9-V$8)*H121</x:f>
        <x:v>0.8806604875363693</x:v>
      </x:c>
      <x:c r="W121" t="n">
        <x:f>IF(B121&lt;$H$8,0,W$8+(W$9-W$8)*H121)</x:f>
        <x:v>0.24088065004849232</x:v>
      </x:c>
      <x:c r="X121" t="n">
        <x:f>X$8+(X$9-X$8)*H121</x:f>
        <x:v>0.44060544690833847</x:v>
      </x:c>
      <x:c r="Y121" t="n">
        <x:f>Y$8+(Y$9-Y$8)*G121</x:f>
        <x:v>1</x:v>
      </x:c>
      <x:c r="Z121" t="n">
        <x:f>Z$8+(Z$9-Z$8)*H121</x:f>
        <x:v>1</x:v>
      </x:c>
      <x:c r="AA121" t="n">
        <x:f>AA$8+(AA$9-AA$8)*I121</x:f>
        <x:v>1</x:v>
      </x:c>
      <x:c r="AB121" t="n">
        <x:f>AB$8+(AB$9-AB$8)*J121</x:f>
        <x:v>1</x:v>
      </x:c>
      <x:c r="AC121" t="n">
        <x:f>AC$8+(AC$9-AC$8)*MAX(K121,L121)</x:f>
        <x:v>1</x:v>
      </x:c>
      <x:c r="AD121" t="n">
        <x:f>(V121*AE121+W121*AF121+X121*AG121)*PRODUCT(Y121:AC121)</x:f>
        <x:v>1.7124357846345133</x:v>
      </x:c>
      <x:c r="AE121" t="n">
        <x:f>1+AE$9*($H$10*H121+$I$10*I121+$J$10*J121+$K$10*K121+$L$10*L121)</x:f>
        <x:v>1</x:v>
      </x:c>
      <x:c r="AF121" t="n">
        <x:f>1+AF$9*($H$10*H121+$I$10*I121+$J$10*J121+$K$10*K121+$L$10*L121)</x:f>
        <x:v>1.1470926684245215</x:v>
      </x:c>
      <x:c r="AG121" t="n">
        <x:f>1+AG$9*($H$10*H121+$I$10*I121+$J$10*J121+$K$10*K121+$L$10*L121)</x:f>
        <x:v>1.260680895707904</x:v>
      </x:c>
      <x:c r="AH121" t="n">
        <x:f>MIN(1,'_曲线基线'!$L$3+AH$9*($H$10*H121+$I$10*I121+$J$10*J121+$K$10*K121+$L$10*L121))</x:f>
        <x:v>0.3846358206657863</x:v>
      </x:c>
      <x:c r="AI121" t="n">
        <x:f>'_曲线基线'!$L$4+AI$9*($H$10*H121+$I$10*I121+$J$10*J121+$K$10*K121+$L$10*L121)</x:f>
        <x:v>2.9321997861404046</x:v>
      </x:c>
      <x:c r="AJ121" t="n">
        <x:f>1+AJ$9*($H$10*H121+$I$10*I121+$J$10*J121+$K$10*K121+$L$10*L121)</x:f>
        <x:v>1.7648818758075115</x:v>
      </x:c>
      <x:c r="AK121" t="n">
        <x:f>(1+AH121*(AI121-1))*AJ121</x:f>
        <x:v>3.076530173718077</x:v>
      </x:c>
      <x:c r="AL121" t="n">
        <x:f>U121*AD121*AK121*F121</x:f>
        <x:v>943236.776967611</x:v>
      </x:c>
      <x:c r="AM121" t="n">
        <x:f>IF($B121&lt;AM$8,0,AM$3+(AM$4-AM$3)*(POWER(AM$5,$B121-AM$8)-1)/(POWER(AM$5,$C$5-AM$8)-1))</x:f>
        <x:v>37.628833194377194</x:v>
      </x:c>
      <x:c r="AN121" t="n">
        <x:f>(((E121*'模块规划'!$D$10+G121*'模块规划'!$D$11+H121*'模块规划'!$D$13)*(1+'模块规划'!$G$14*H121)+(I121*'模块规划'!$D$15+J121*'模块规划'!$D$17+K121*'模块规划'!$D$16+L121*'模块规划'!$D$18))*(1+'模块规划'!$J$17*J121))*F121/(1-Q121)</x:f>
        <x:v>1479163.3350671397</x:v>
      </x:c>
      <x:c r="AO121" t="n">
        <x:f>AL121*AM121</x:f>
        <x:v>35492899.3433162</x:v>
      </x:c>
      <x:c r="AP121" t="n">
        <x:f>IF(AO121="","",INDEX('_曲线基线'!$A$3:$A$502,MIN(ROWS('_曲线基线'!$A$3:$A$502),COUNTIF('_曲线基线'!$E$3:$E$502,"&lt;"&amp;AO121)+1)))</x:f>
        <x:v>218</x:v>
      </x:c>
      <x:c r="AQ121" t="n">
        <x:f>IF(B121&lt;=2,1,IF(B121&lt;=6,2,IF(B121&lt;=9,3,IF(B121&lt;=19,4,5))))</x:f>
        <x:v>5</x:v>
      </x:c>
      <x:c r="AR121" t="n">
        <x:f>AN121*(1-Q121)/F121*$AS$3+U121*$AS$4+P121*$AS$5</x:f>
        <x:v>11610.900126896644</x:v>
      </x:c>
      <x:c r="AS121" t="n">
        <x:f>1+AH121*$AS$6+AI121*$AS$7+(AJ121-1)*$AS$8+($H$10*H121+$I$10*I121+$J$10*J121+$K$10*K121+$L$10*L121)*$AU$3*$AS$9+($H$10*H121+$I$10*I121+$J$10*J121+$K$10*K121+$L$10*L121)*$AU$4*$AS$10</x:f>
        <x:v>13.770534072409653</x:v>
      </x:c>
      <x:c r="AT121" t="n">
        <x:f>ROUND(AR121*AS121,0)</x:f>
        <x:v>159888</x:v>
      </x:c>
      <x:c r="AU121" t="n">
        <x:f>ROUND(AT121*F121,0)</x:f>
        <x:v>799440</x:v>
      </x:c>
    </x:row>
    <x:row r="122">
      <x:c r="A122" t="str">
        <x:f>IFERROR(XLOOKUP(B122,'_曲线基线'!$G$3:$G$107,'_曲线基线'!$J$3:$J$107,""),"")</x:f>
      </x:c>
      <x:c r="B122" t="n">
        <x:v>111</x:v>
      </x:c>
      <x:c r="C122" t="n">
        <x:f>C107+1</x:f>
        <x:v>8</x:v>
      </x:c>
      <x:c r="D122" t="n">
        <x:f>D107</x:f>
        <x:v>12</x:v>
      </x:c>
      <x:c r="E122" t="n">
        <x:f>IF($B122&lt;E$8,0,E$3+(E$4-E$3)*(POWER(E$5,$B122-E$8)-1)/(POWER(E$5,$C$5-E$8)-1))</x:f>
        <x:v>1</x:v>
      </x:c>
      <x:c r="F122" t="n">
        <x:f>1+IF(B122&lt;3,0,MIN(1,(B122-2)/4))+IF(B122&lt;7,0,MIN(1,(B122-6)/3))+IF(B122&lt;10,0,MIN(1,(B122-9)/5))+IF(B122&lt;20,0,MIN(1,(B122-19)/10))</x:f>
        <x:v>5</x:v>
      </x:c>
      <x:c r="G122" t="n">
        <x:f>IF($B122&lt;G$8,0,G$3+(G$4-G$3)*(POWER(G$5,$B122-G$8)-1)/(POWER(G$5,$C$5-G$8)-1))</x:f>
        <x:v>0.7403871015778167</x:v>
      </x:c>
      <x:c r="H122" t="n">
        <x:f>IF($B122&lt;H$8,0,H$3+(H$4-H$3)*(POWER(H$5,$B122-H$8)-1)/(POWER(H$5,$C$5-H$8)-1))</x:f>
        <x:v>0.6042241348583175</x:v>
      </x:c>
      <x:c r="I122" t="n">
        <x:f>IF($B122&lt;I$8,0,I$3+(I$4-I$3)*(POWER(I$5,$B122-I$8)-1)/(POWER(I$5,$C$5-I$8)-1))</x:f>
        <x:v>0.40374406510901606</x:v>
      </x:c>
      <x:c r="J122" t="n">
        <x:f>IF($B122&lt;J$8,0,J$3+(J$4-J$3)*(POWER(J$5,$B122-J$8)-1)/(POWER(J$5,$C$5-J$8)-1))</x:f>
        <x:v>0.48637327134539293</x:v>
      </x:c>
      <x:c r="K122" t="n">
        <x:f>IF($B122&lt;K$8,0,K$3+(K$4-K$3)*(POWER(K$5,$B122-K$8)-1)/(POWER(K$5,$C$5-K$8)-1))</x:f>
        <x:v>0.13310273904784492</x:v>
      </x:c>
      <x:c r="L122" t="n">
        <x:f>IF($B122&lt;L$8,0,L$3+(L$4-L$3)*(POWER(L$5,$B122-L$8)-1)/(POWER(L$5,$C$5-L$8)-1))</x:f>
        <x:v>0.6022600445558268</x:v>
      </x:c>
      <x:c r="M122" t="n">
        <x:f>E122*'模块规划'!$F$10+G122*'模块规划'!$F$11+H122*'模块规划'!$F$13</x:f>
        <x:v>4553.858087573521</x:v>
      </x:c>
      <x:c r="N122" t="n">
        <x:f>I122*'模块规划'!$F$15+J122*'模块规划'!$F$17+K122*'模块规划'!$F$16+L122*'模块规划'!$F$18</x:f>
        <x:v>11903.60189139226</x:v>
      </x:c>
      <x:c r="O122" t="n">
        <x:f>1+O$9*SUMPRODUCT($H$10:$L$10,H122:L122)/SUM($H$10:$L$10)</x:f>
        <x:v>2.6822056886322216</x:v>
      </x:c>
      <x:c r="P122" t="n">
        <x:f>M122*O122+N122</x:f>
        <x:v>24117.985959105805</x:v>
      </x:c>
      <x:c r="Q122" t="n">
        <x:f>P122/(P122+'_曲线基线'!$L$2)</x:f>
        <x:v>0.5012260068325187</x:v>
      </x:c>
      <x:c r="R122" t="n">
        <x:f>E122*'模块规划'!$E$10+G122*'模块规划'!$E$11+H122*'模块规划'!$E$13</x:f>
        <x:v>6830.787131360281</x:v>
      </x:c>
      <x:c r="S122" t="n">
        <x:f>I122*'模块规划'!$E$15+J122*'模块规划'!$E$17+K122*'模块规划'!$E$16+L122*'模块规划'!$E$18</x:f>
        <x:v>17855.402837088393</x:v>
      </x:c>
      <x:c r="T122" t="n">
        <x:f>1+T$9*SUMPRODUCT($H$10:$L$10,H122:L122)/SUM($H$10:$L$10)</x:f>
        <x:v>2.6822056886322216</x:v>
      </x:c>
      <x:c r="U122" t="n">
        <x:f>R122*T122+S122</x:f>
        <x:v>36176.978938658714</x:v>
      </x:c>
      <x:c r="V122" t="n">
        <x:f>V$8+(V$9-V$8)*H122</x:f>
        <x:v>0.8812672404574953</x:v>
      </x:c>
      <x:c r="W122" t="n">
        <x:f>IF(B122&lt;$H$8,0,W$8+(W$9-W$8)*H122)</x:f>
        <x:v>0.241689653943327</x:v>
      </x:c>
      <x:c r="X122" t="n">
        <x:f>X$8+(X$9-X$8)*H122</x:f>
        <x:v>0.44116163708603734</x:v>
      </x:c>
      <x:c r="Y122" t="n">
        <x:f>Y$8+(Y$9-Y$8)*G122</x:f>
        <x:v>1</x:v>
      </x:c>
      <x:c r="Z122" t="n">
        <x:f>Z$8+(Z$9-Z$8)*H122</x:f>
        <x:v>1</x:v>
      </x:c>
      <x:c r="AA122" t="n">
        <x:f>AA$8+(AA$9-AA$8)*I122</x:f>
        <x:v>1</x:v>
      </x:c>
      <x:c r="AB122" t="n">
        <x:f>AB$8+(AB$9-AB$8)*J122</x:f>
        <x:v>1</x:v>
      </x:c>
      <x:c r="AC122" t="n">
        <x:f>AC$8+(AC$9-AC$8)*MAX(K122,L122)</x:f>
        <x:v>1</x:v>
      </x:c>
      <x:c r="AD122" t="n">
        <x:f>(V122*AE122+W122*AF122+X122*AG122)*PRODUCT(Y122:AC122)</x:f>
        <x:v>1.7160814283417387</x:v>
      </x:c>
      <x:c r="AE122" t="n">
        <x:f>1+AE$9*($H$10*H122+$I$10*I122+$J$10*J122+$K$10*K122+$L$10*L122)</x:f>
        <x:v>1</x:v>
      </x:c>
      <x:c r="AF122" t="n">
        <x:f>1+AF$9*($H$10*H122+$I$10*I122+$J$10*J122+$K$10*K122+$L$10*L122)</x:f>
        <x:v>1.1484699757578238</x:v>
      </x:c>
      <x:c r="AG122" t="n">
        <x:f>1+AG$9*($H$10*H122+$I$10*I122+$J$10*J122+$K$10*K122+$L$10*L122)</x:f>
        <x:v>1.2631217903708118</x:v>
      </x:c>
      <x:c r="AH122" t="n">
        <x:f>MIN(1,'_曲线基线'!$L$3+AH$9*($H$10*H122+$I$10*I122+$J$10*J122+$K$10*K122+$L$10*L122))</x:f>
        <x:v>0.3877691948490486</x:v>
      </x:c>
      <x:c r="AI122" t="n">
        <x:f>'_曲线基线'!$L$4+AI$9*($H$10*H122+$I$10*I122+$J$10*J122+$K$10*K122+$L$10*L122)</x:f>
        <x:v>2.940928471365207</x:v>
      </x:c>
      <x:c r="AJ122" t="n">
        <x:f>1+AJ$9*($H$10*H122+$I$10*I122+$J$10*J122+$K$10*K122+$L$10*L122)</x:f>
        <x:v>1.7720438739406825</x:v>
      </x:c>
      <x:c r="AK122" t="n">
        <x:f>(1+AH122*(AI122-1))*AJ122</x:f>
        <x:v>3.10574127838904</x:v>
      </x:c>
      <x:c r="AL122" t="n">
        <x:f>U122*AD122*AK122*F122</x:f>
        <x:v>964063.1148425585</x:v>
      </x:c>
      <x:c r="AM122" t="n">
        <x:f>IF($B122&lt;AM$8,0,AM$3+(AM$4-AM$3)*(POWER(AM$5,$B122-AM$8)-1)/(POWER(AM$5,$C$5-AM$8)-1))</x:f>
        <x:v>37.66854616624284</x:v>
      </x:c>
      <x:c r="AN122" t="n">
        <x:f>(((E122*'模块规划'!$D$10+G122*'模块规划'!$D$11+H122*'模块规划'!$D$13)*(1+'模块规划'!$G$14*H122)+(I122*'模块规划'!$D$15+J122*'模块规划'!$D$17+K122*'模块规划'!$D$16+L122*'模块规划'!$D$18))*(1+'模块规划'!$J$17*J122))*F122/(1-Q122)</x:f>
        <x:v>1502913.2405132158</x:v>
      </x:c>
      <x:c r="AO122" t="n">
        <x:f>AL122*AM122</x:f>
        <x:v>36314855.94861879</x:v>
      </x:c>
      <x:c r="AP122" t="n">
        <x:f>IF(AO122="","",INDEX('_曲线基线'!$A$3:$A$502,MIN(ROWS('_曲线基线'!$A$3:$A$502),COUNTIF('_曲线基线'!$E$3:$E$502,"&lt;"&amp;AO122)+1)))</x:f>
        <x:v>220</x:v>
      </x:c>
      <x:c r="AQ122" t="n">
        <x:f>IF(B122&lt;=2,1,IF(B122&lt;=6,2,IF(B122&lt;=9,3,IF(B122&lt;=19,4,5))))</x:f>
        <x:v>5</x:v>
      </x:c>
      <x:c r="AR122" t="n">
        <x:f>AN122*(1-Q122)/F122*$AS$3+U122*$AS$4+P122*$AS$5</x:f>
        <x:v>11733.080017862078</x:v>
      </x:c>
      <x:c r="AS122" t="n">
        <x:f>1+AH122*$AS$6+AI122*$AS$7+(AJ122-1)*$AS$8+($H$10*H122+$I$10*I122+$J$10*J122+$K$10*K122+$L$10*L122)*$AU$3*$AS$9+($H$10*H122+$I$10*I122+$J$10*J122+$K$10*K122+$L$10*L122)*$AU$4*$AS$10</x:f>
        <x:v>13.852829750539913</x:v>
      </x:c>
      <x:c r="AT122" t="n">
        <x:f>ROUND(AR122*AS122,0)</x:f>
        <x:v>162536</x:v>
      </x:c>
      <x:c r="AU122" t="n">
        <x:f>ROUND(AT122*F122,0)</x:f>
        <x:v>812680</x:v>
      </x:c>
    </x:row>
    <x:row r="123">
      <x:c r="A123" t="str">
        <x:f>IFERROR(XLOOKUP(B123,'_曲线基线'!$G$3:$G$107,'_曲线基线'!$J$3:$J$107,""),"")</x:f>
      </x:c>
      <x:c r="B123" t="n">
        <x:v>112</x:v>
      </x:c>
      <x:c r="C123" t="n">
        <x:f>C108+1</x:f>
        <x:v>8</x:v>
      </x:c>
      <x:c r="D123" t="n">
        <x:f>D108</x:f>
        <x:v>13</x:v>
      </x:c>
      <x:c r="E123" t="n">
        <x:f>IF($B123&lt;E$8,0,E$3+(E$4-E$3)*(POWER(E$5,$B123-E$8)-1)/(POWER(E$5,$C$5-E$8)-1))</x:f>
        <x:v>1</x:v>
      </x:c>
      <x:c r="F123" t="n">
        <x:f>1+IF(B123&lt;3,0,MIN(1,(B123-2)/4))+IF(B123&lt;7,0,MIN(1,(B123-6)/3))+IF(B123&lt;10,0,MIN(1,(B123-9)/5))+IF(B123&lt;20,0,MIN(1,(B123-19)/10))</x:f>
        <x:v>5</x:v>
      </x:c>
      <x:c r="G123" t="n">
        <x:f>IF($B123&lt;G$8,0,G$3+(G$4-G$3)*(POWER(G$5,$B123-G$8)-1)/(POWER(G$5,$C$5-G$8)-1))</x:f>
        <x:v>0.7429864855086452</x:v>
      </x:c>
      <x:c r="H123" t="n">
        <x:f>IF($B123&lt;H$8,0,H$3+(H$4-H$3)*(POWER(H$5,$B123-H$8)-1)/(POWER(H$5,$C$5-H$8)-1))</x:f>
        <x:v>0.6062061944006625</x:v>
      </x:c>
      <x:c r="I123" t="n">
        <x:f>IF($B123&lt;I$8,0,I$3+(I$4-I$3)*(POWER(I$5,$B123-I$8)-1)/(POWER(I$5,$C$5-I$8)-1))</x:f>
        <x:v>0.4088402751499039</x:v>
      </x:c>
      <x:c r="J123" t="n">
        <x:f>IF($B123&lt;J$8,0,J$3+(J$4-J$3)*(POWER(J$5,$B123-J$8)-1)/(POWER(J$5,$C$5-J$8)-1))</x:f>
        <x:v>0.48872475041020896</x:v>
      </x:c>
      <x:c r="K123" t="n">
        <x:f>IF($B123&lt;K$8,0,K$3+(K$4-K$3)*(POWER(K$5,$B123-K$8)-1)/(POWER(K$5,$C$5-K$8)-1))</x:f>
        <x:v>0.1437998092018616</x:v>
      </x:c>
      <x:c r="L123" t="n">
        <x:f>IF($B123&lt;L$8,0,L$3+(L$4-L$3)*(POWER(L$5,$B123-L$8)-1)/(POWER(L$5,$C$5-L$8)-1))</x:f>
        <x:v>0.604282750496096</x:v>
      </x:c>
      <x:c r="M123" t="n">
        <x:f>E123*'模块规划'!$F$10+G123*'模块规划'!$F$11+H123*'模块规划'!$F$13</x:f>
        <x:v>4566.335130441497</x:v>
      </x:c>
      <x:c r="N123" t="n">
        <x:f>I123*'模块规划'!$F$15+J123*'模块规划'!$F$17+K123*'模块规划'!$F$16+L123*'模块规划'!$F$18</x:f>
        <x:v>12042.182312992969</x:v>
      </x:c>
      <x:c r="O123" t="n">
        <x:f>1+O$9*SUMPRODUCT($H$10:$L$10,H123:L123)/SUM($H$10:$L$10)</x:f>
        <x:v>2.6974988543707132</x:v>
      </x:c>
      <x:c r="P123" t="n">
        <x:f>M123*O123+N123</x:f>
        <x:v>24359.86609603165</x:v>
      </x:c>
      <x:c r="Q123" t="n">
        <x:f>P123/(P123+'_曲线基线'!$L$2)</x:f>
        <x:v>0.5037207102198861</x:v>
      </x:c>
      <x:c r="R123" t="n">
        <x:f>E123*'模块规划'!$E$10+G123*'模块规划'!$E$11+H123*'模块规划'!$E$13</x:f>
        <x:v>6849.502695662246</x:v>
      </x:c>
      <x:c r="S123" t="n">
        <x:f>I123*'模块规划'!$E$15+J123*'模块规划'!$E$17+K123*'模块规划'!$E$16+L123*'模块规划'!$E$18</x:f>
        <x:v>18063.273469489457</x:v>
      </x:c>
      <x:c r="T123" t="n">
        <x:f>1+T$9*SUMPRODUCT($H$10:$L$10,H123:L123)/SUM($H$10:$L$10)</x:f>
        <x:v>2.6974988543707132</x:v>
      </x:c>
      <x:c r="U123" t="n">
        <x:f>R123*T123+S123</x:f>
        <x:v>36539.79914404747</x:v>
      </x:c>
      <x:c r="V123" t="n">
        <x:f>V$8+(V$9-V$8)*H123</x:f>
        <x:v>0.8818618583201987</x:v>
      </x:c>
      <x:c r="W123" t="n">
        <x:f>IF(B123&lt;$H$8,0,W$8+(W$9-W$8)*H123)</x:f>
        <x:v>0.242482477760265</x:v>
      </x:c>
      <x:c r="X123" t="n">
        <x:f>X$8+(X$9-X$8)*H123</x:f>
        <x:v>0.4417067034601822</x:v>
      </x:c>
      <x:c r="Y123" t="n">
        <x:f>Y$8+(Y$9-Y$8)*G123</x:f>
        <x:v>1</x:v>
      </x:c>
      <x:c r="Z123" t="n">
        <x:f>Z$8+(Z$9-Z$8)*H123</x:f>
        <x:v>1</x:v>
      </x:c>
      <x:c r="AA123" t="n">
        <x:f>AA$8+(AA$9-AA$8)*I123</x:f>
        <x:v>1</x:v>
      </x:c>
      <x:c r="AB123" t="n">
        <x:f>AB$8+(AB$9-AB$8)*J123</x:f>
        <x:v>1</x:v>
      </x:c>
      <x:c r="AC123" t="n">
        <x:f>AC$8+(AC$9-AC$8)*MAX(K123,L123)</x:f>
        <x:v>1</x:v>
      </x:c>
      <x:c r="AD123" t="n">
        <x:f>(V123*AE123+W123*AF123+X123*AG123)*PRODUCT(Y123:AC123)</x:f>
        <x:v>1.7196589555499076</x:v>
      </x:c>
      <x:c r="AE123" t="n">
        <x:f>1+AE$9*($H$10*H123+$I$10*I123+$J$10*J123+$K$10*K123+$L$10*L123)</x:f>
        <x:v>1</x:v>
      </x:c>
      <x:c r="AF123" t="n">
        <x:f>1+AF$9*($H$10*H123+$I$10*I123+$J$10*J123+$K$10*K123+$L$10*L123)</x:f>
        <x:v>1.1498197369444598</x:v>
      </x:c>
      <x:c r="AG123" t="n">
        <x:f>1+AG$9*($H$10*H123+$I$10*I123+$J$10*J123+$K$10*K123+$L$10*L123)</x:f>
        <x:v>1.2655138671404615</x:v>
      </x:c>
      <x:c r="AH123" t="n">
        <x:f>MIN(1,'_曲线基线'!$L$3+AH$9*($H$10*H123+$I$10*I123+$J$10*J123+$K$10*K123+$L$10*L123))</x:f>
        <x:v>0.3908399015486458</x:v>
      </x:c>
      <x:c r="AI123" t="n">
        <x:f>'_曲线基线'!$L$4+AI$9*($H$10*H123+$I$10*I123+$J$10*J123+$K$10*K123+$L$10*L123)</x:f>
        <x:v>2.9494825828855133</x:v>
      </x:c>
      <x:c r="AJ123" t="n">
        <x:f>1+AJ$9*($H$10*H123+$I$10*I123+$J$10*J123+$K$10*K123+$L$10*L123)</x:f>
        <x:v>1.7790626321111906</x:v>
      </x:c>
      <x:c r="AK123" t="n">
        <x:f>(1+AH123*(AI123-1))*AJ123</x:f>
        <x:v>3.134593751927517</x:v>
      </x:c>
      <x:c r="AL123" t="n">
        <x:f>U123*AD123*AK123*F123</x:f>
        <x:v>984826.5526376262</x:v>
      </x:c>
      <x:c r="AM123" t="n">
        <x:f>IF($B123&lt;AM$8,0,AM$3+(AM$4-AM$3)*(POWER(AM$5,$B123-AM$8)-1)/(POWER(AM$5,$C$5-AM$8)-1))</x:f>
        <x:v>37.70865626782714</x:v>
      </x:c>
      <x:c r="AN123" t="n">
        <x:f>(((E123*'模块规划'!$D$10+G123*'模块规划'!$D$11+H123*'模块规划'!$D$13)*(1+'模块规划'!$G$14*H123)+(I123*'模块规划'!$D$15+J123*'模块规划'!$D$17+K123*'模块规划'!$D$16+L123*'模块规划'!$D$18))*(1+'模块规划'!$J$17*J123))*F123/(1-Q123)</x:f>
        <x:v>1526424.9610804978</x:v>
      </x:c>
      <x:c r="AO123" t="n">
        <x:f>AL123*AM123</x:f>
        <x:v>37136485.95684142</x:v>
      </x:c>
      <x:c r="AP123" t="n">
        <x:f>IF(AO123="","",INDEX('_曲线基线'!$A$3:$A$502,MIN(ROWS('_曲线基线'!$A$3:$A$502),COUNTIF('_曲线基线'!$E$3:$E$502,"&lt;"&amp;AO123)+1)))</x:f>
        <x:v>221</x:v>
      </x:c>
      <x:c r="AQ123" t="n">
        <x:f>IF(B123&lt;=2,1,IF(B123&lt;=6,2,IF(B123&lt;=9,3,IF(B123&lt;=19,4,5))))</x:f>
        <x:v>5</x:v>
      </x:c>
      <x:c r="AR123" t="n">
        <x:f>AN123*(1-Q123)/F123*$AS$3+U123*$AS$4+P123*$AS$5</x:f>
        <x:v>11853.158402335499</x:v>
      </x:c>
      <x:c r="AS123" t="n">
        <x:f>1+AH123*$AS$6+AI123*$AS$7+(AJ123-1)*$AS$8+($H$10*H123+$I$10*I123+$J$10*J123+$K$10*K123+$L$10*L123)*$AU$3*$AS$9+($H$10*H123+$I$10*I123+$J$10*J123+$K$10*K123+$L$10*L123)*$AU$4*$AS$10</x:f>
        <x:v>13.933479515107571</x:v>
      </x:c>
      <x:c r="AT123" t="n">
        <x:f>ROUND(AR123*AS123,0)</x:f>
        <x:v>165156</x:v>
      </x:c>
      <x:c r="AU123" t="n">
        <x:f>ROUND(AT123*F123,0)</x:f>
        <x:v>825780</x:v>
      </x:c>
    </x:row>
    <x:row r="124">
      <x:c r="A124" t="str">
        <x:f>IFERROR(XLOOKUP(B124,'_曲线基线'!$G$3:$G$107,'_曲线基线'!$J$3:$J$107,""),"")</x:f>
      </x:c>
      <x:c r="B124" t="n">
        <x:v>113</x:v>
      </x:c>
      <x:c r="C124" t="n">
        <x:f>C109+1</x:f>
        <x:v>8</x:v>
      </x:c>
      <x:c r="D124" t="n">
        <x:f>D109</x:f>
        <x:v>14</x:v>
      </x:c>
      <x:c r="E124" t="n">
        <x:f>IF($B124&lt;E$8,0,E$3+(E$4-E$3)*(POWER(E$5,$B124-E$8)-1)/(POWER(E$5,$C$5-E$8)-1))</x:f>
        <x:v>1</x:v>
      </x:c>
      <x:c r="F124" t="n">
        <x:f>1+IF(B124&lt;3,0,MIN(1,(B124-2)/4))+IF(B124&lt;7,0,MIN(1,(B124-6)/3))+IF(B124&lt;10,0,MIN(1,(B124-9)/5))+IF(B124&lt;20,0,MIN(1,(B124-19)/10))</x:f>
        <x:v>5</x:v>
      </x:c>
      <x:c r="G124" t="n">
        <x:f>IF($B124&lt;G$8,0,G$3+(G$4-G$3)*(POWER(G$5,$B124-G$8)-1)/(POWER(G$5,$C$5-G$8)-1))</x:f>
        <x:v>0.7455468786805115</x:v>
      </x:c>
      <x:c r="H124" t="n">
        <x:f>IF($B124&lt;H$8,0,H$3+(H$4-H$3)*(POWER(H$5,$B124-H$8)-1)/(POWER(H$5,$C$5-H$8)-1))</x:f>
        <x:v>0.6081486127521606</x:v>
      </x:c>
      <x:c r="I124" t="n">
        <x:f>IF($B124&lt;I$8,0,I$3+(I$4-I$3)*(POWER(I$5,$B124-I$8)-1)/(POWER(I$5,$C$5-I$8)-1))</x:f>
        <x:v>0.41383456098997407</x:v>
      </x:c>
      <x:c r="J124" t="n">
        <x:f>IF($B124&lt;J$8,0,J$3+(J$4-J$3)*(POWER(J$5,$B124-J$8)-1)/(POWER(J$5,$C$5-J$8)-1))</x:f>
        <x:v>0.49102919989372873</x:v>
      </x:c>
      <x:c r="K124" t="n">
        <x:f>IF($B124&lt;K$8,0,K$3+(K$4-K$3)*(POWER(K$5,$B124-K$8)-1)/(POWER(K$5,$C$5-K$8)-1))</x:f>
        <x:v>0.15428293795279796</x:v>
      </x:c>
      <x:c r="L124" t="n">
        <x:f>IF($B124&lt;L$8,0,L$3+(L$4-L$3)*(POWER(L$5,$B124-L$8)-1)/(POWER(L$5,$C$5-L$8)-1))</x:f>
        <x:v>0.6062650023175598</x:v>
      </x:c>
      <x:c r="M124" t="n">
        <x:f>E124*'模块规划'!$F$10+G124*'模块规划'!$F$11+H124*'模块规划'!$F$13</x:f>
        <x:v>4578.625017666455</x:v>
      </x:c>
      <x:c r="N124" t="n">
        <x:f>I124*'模块规划'!$F$15+J124*'模块规划'!$F$17+K124*'模块规划'!$F$16+L124*'模块规划'!$F$18</x:f>
        <x:v>12177.991126161667</x:v>
      </x:c>
      <x:c r="O124" t="n">
        <x:f>1+O$9*SUMPRODUCT($H$10:$L$10,H124:L124)/SUM($H$10:$L$10)</x:f>
        <x:v>2.7124861567944354</x:v>
      </x:c>
      <x:c r="P124" t="n">
        <x:f>M124*O124+N124</x:f>
        <x:v>24597.448103734605</x:v>
      </x:c>
      <x:c r="Q124" t="n">
        <x:f>P124/(P124+'_曲线基线'!$L$2)</x:f>
        <x:v>0.5061469081921679</x:v>
      </x:c>
      <x:c r="R124" t="n">
        <x:f>E124*'模块规划'!$E$10+G124*'模块规划'!$E$11+H124*'模块规划'!$E$13</x:f>
        <x:v>6867.9375264996825</x:v>
      </x:c>
      <x:c r="S124" t="n">
        <x:f>I124*'模块规划'!$E$15+J124*'模块规划'!$E$17+K124*'模块规划'!$E$16+L124*'模块规划'!$E$18</x:f>
        <x:v>18266.986689242498</x:v>
      </x:c>
      <x:c r="T124" t="n">
        <x:f>1+T$9*SUMPRODUCT($H$10:$L$10,H124:L124)/SUM($H$10:$L$10)</x:f>
        <x:v>2.7124861567944354</x:v>
      </x:c>
      <x:c r="U124" t="n">
        <x:f>R124*T124+S124</x:f>
        <x:v>36896.172155601904</x:v>
      </x:c>
      <x:c r="V124" t="n">
        <x:f>V$8+(V$9-V$8)*H124</x:f>
        <x:v>0.8824445838256482</x:v>
      </x:c>
      <x:c r="W124" t="n">
        <x:f>IF(B124&lt;$H$8,0,W$8+(W$9-W$8)*H124)</x:f>
        <x:v>0.24325944510086425</x:v>
      </x:c>
      <x:c r="X124" t="n">
        <x:f>X$8+(X$9-X$8)*H124</x:f>
        <x:v>0.4422408685068442</x:v>
      </x:c>
      <x:c r="Y124" t="n">
        <x:f>Y$8+(Y$9-Y$8)*G124</x:f>
        <x:v>1</x:v>
      </x:c>
      <x:c r="Z124" t="n">
        <x:f>Z$8+(Z$9-Z$8)*H124</x:f>
        <x:v>1</x:v>
      </x:c>
      <x:c r="AA124" t="n">
        <x:f>AA$8+(AA$9-AA$8)*I124</x:f>
        <x:v>1</x:v>
      </x:c>
      <x:c r="AB124" t="n">
        <x:f>AB$8+(AB$9-AB$8)*J124</x:f>
        <x:v>1</x:v>
      </x:c>
      <x:c r="AC124" t="n">
        <x:f>AC$8+(AC$9-AC$8)*MAX(K124,L124)</x:f>
        <x:v>1</x:v>
      </x:c>
      <x:c r="AD124" t="n">
        <x:f>(V124*AE124+W124*AF124+X124*AG124)*PRODUCT(Y124:AC124)</x:f>
        <x:v>1.7231695386525478</x:v>
      </x:c>
      <x:c r="AE124" t="n">
        <x:f>1+AE$9*($H$10*H124+$I$10*I124+$J$10*J124+$K$10*K124+$L$10*L124)</x:f>
        <x:v>1</x:v>
      </x:c>
      <x:c r="AF124" t="n">
        <x:f>1+AF$9*($H$10*H124+$I$10*I124+$J$10*J124+$K$10*K124+$L$10*L124)</x:f>
        <x:v>1.1511425029073632</x:v>
      </x:c>
      <x:c r="AG124" t="n">
        <x:f>1+AG$9*($H$10*H124+$I$10*I124+$J$10*J124+$K$10*K124+$L$10*L124)</x:f>
        <x:v>1.267858102374718</x:v>
      </x:c>
      <x:c r="AH124" t="n">
        <x:f>MIN(1,'_曲线基线'!$L$3+AH$9*($H$10*H124+$I$10*I124+$J$10*J124+$K$10*K124+$L$10*L124))</x:f>
        <x:v>0.393849194114251</x:v>
      </x:c>
      <x:c r="AI124" t="n">
        <x:f>'_曲线基线'!$L$4+AI$9*($H$10*H124+$I$10*I124+$J$10*J124+$K$10*K124+$L$10*L124)</x:f>
        <x:v>2.9578656121754134</x:v>
      </x:c>
      <x:c r="AJ124" t="n">
        <x:f>1+AJ$9*($H$10*H124+$I$10*I124+$J$10*J124+$K$10*K124+$L$10*L124)</x:f>
        <x:v>1.7859410151182882</x:v>
      </x:c>
      <x:c r="AK124" t="n">
        <x:f>(1+AH124*(AI124-1))*AJ124</x:f>
        <x:v>3.163086906913413</x:v>
      </x:c>
      <x:c r="AL124" t="n">
        <x:f>U124*AD124*AK124*F124</x:f>
        <x:v>1005519.3896267209</x:v>
      </x:c>
      <x:c r="AM124" t="n">
        <x:f>IF($B124&lt;AM$8,0,AM$3+(AM$4-AM$3)*(POWER(AM$5,$B124-AM$8)-1)/(POWER(AM$5,$C$5-AM$8)-1))</x:f>
        <x:v>37.749167470427274</x:v>
      </x:c>
      <x:c r="AN124" t="n">
        <x:f>(((E124*'模块规划'!$D$10+G124*'模块规划'!$D$11+H124*'模块规划'!$D$13)*(1+'模块规划'!$G$14*H124)+(I124*'模块规划'!$D$15+J124*'模块规划'!$D$17+K124*'模块规划'!$D$16+L124*'模块规划'!$D$18))*(1+'模块规划'!$J$17*J124))*F124/(1-Q124)</x:f>
        <x:v>1549695.7631541092</x:v>
      </x:c>
      <x:c r="AO124" t="n">
        <x:f>AL124*AM124</x:f>
        <x:v>37957519.8337809</x:v>
      </x:c>
      <x:c r="AP124" t="n">
        <x:f>IF(AO124="","",INDEX('_曲线基线'!$A$3:$A$502,MIN(ROWS('_曲线基线'!$A$3:$A$502),COUNTIF('_曲线基线'!$E$3:$E$502,"&lt;"&amp;AO124)+1)))</x:f>
        <x:v>223</x:v>
      </x:c>
      <x:c r="AQ124" t="n">
        <x:f>IF(B124&lt;=2,1,IF(B124&lt;=6,2,IF(B124&lt;=9,3,IF(B124&lt;=19,4,5))))</x:f>
        <x:v>5</x:v>
      </x:c>
      <x:c r="AR124" t="n">
        <x:f>AN124*(1-Q124)/F124*$AS$3+U124*$AS$4+P124*$AS$5</x:f>
        <x:v>11971.166695091311</x:v>
      </x:c>
      <x:c r="AS124" t="n">
        <x:f>1+AH124*$AS$6+AI124*$AS$7+(AJ124-1)*$AS$8+($H$10*H124+$I$10*I124+$J$10*J124+$K$10*K124+$L$10*L124)*$AU$3*$AS$9+($H$10*H124+$I$10*I124+$J$10*J124+$K$10*K124+$L$10*L124)*$AU$4*$AS$10</x:f>
        <x:v>14.012516284383873</x:v>
      </x:c>
      <x:c r="AT124" t="n">
        <x:f>ROUND(AR124*AS124,0)</x:f>
        <x:v>167746</x:v>
      </x:c>
      <x:c r="AU124" t="n">
        <x:f>ROUND(AT124*F124,0)</x:f>
        <x:v>838730</x:v>
      </x:c>
    </x:row>
    <x:row r="125">
      <x:c r="A125" t="str">
        <x:f>IFERROR(XLOOKUP(B125,'_曲线基线'!$G$3:$G$107,'_曲线基线'!$J$3:$J$107,""),"")</x:f>
      </x:c>
      <x:c r="B125" t="n">
        <x:v>114</x:v>
      </x:c>
      <x:c r="C125" t="n">
        <x:f>C110+1</x:f>
        <x:v>8</x:v>
      </x:c>
      <x:c r="D125" t="n">
        <x:f>D110</x:f>
        <x:v>15</x:v>
      </x:c>
      <x:c r="E125" t="n">
        <x:f>IF($B125&lt;E$8,0,E$3+(E$4-E$3)*(POWER(E$5,$B125-E$8)-1)/(POWER(E$5,$C$5-E$8)-1))</x:f>
        <x:v>1</x:v>
      </x:c>
      <x:c r="F125" t="n">
        <x:f>1+IF(B125&lt;3,0,MIN(1,(B125-2)/4))+IF(B125&lt;7,0,MIN(1,(B125-6)/3))+IF(B125&lt;10,0,MIN(1,(B125-9)/5))+IF(B125&lt;20,0,MIN(1,(B125-19)/10))</x:f>
        <x:v>5</x:v>
      </x:c>
      <x:c r="G125" t="n">
        <x:f>IF($B125&lt;G$8,0,G$3+(G$4-G$3)*(POWER(G$5,$B125-G$8)-1)/(POWER(G$5,$C$5-G$8)-1))</x:f>
        <x:v>0.7480688659547996</x:v>
      </x:c>
      <x:c r="H125" t="n">
        <x:f>IF($B125&lt;H$8,0,H$3+(H$4-H$3)*(POWER(H$5,$B125-H$8)-1)/(POWER(H$5,$C$5-H$8)-1))</x:f>
        <x:v>0.6100521827366288</x:v>
      </x:c>
      <x:c r="I125" t="n">
        <x:f>IF($B125&lt;I$8,0,I$3+(I$4-I$3)*(POWER(I$5,$B125-I$8)-1)/(POWER(I$5,$C$5-I$8)-1))</x:f>
        <x:v>0.4187289611132427</x:v>
      </x:c>
      <x:c r="J125" t="n">
        <x:f>IF($B125&lt;J$8,0,J$3+(J$4-J$3)*(POWER(J$5,$B125-J$8)-1)/(POWER(J$5,$C$5-J$8)-1))</x:f>
        <x:v>0.49328756038757804</x:v>
      </x:c>
      <x:c r="K125" t="n">
        <x:f>IF($B125&lt;K$8,0,K$3+(K$4-K$3)*(POWER(K$5,$B125-K$8)-1)/(POWER(K$5,$C$5-K$8)-1))</x:f>
        <x:v>0.16455640412871556</x:v>
      </x:c>
      <x:c r="L125" t="n">
        <x:f>IF($B125&lt;L$8,0,L$3+(L$4-L$3)*(POWER(L$5,$B125-L$8)-1)/(POWER(L$5,$C$5-L$8)-1))</x:f>
        <x:v>0.6082076091025943</x:v>
      </x:c>
      <x:c r="M125" t="n">
        <x:f>E125*'模块规划'!$F$10+G125*'模块规划'!$F$11+H125*'模块规划'!$F$13</x:f>
        <x:v>4590.7305565830375</x:v>
      </x:c>
      <x:c r="N125" t="n">
        <x:f>I125*'模块规划'!$F$15+J125*'模块规划'!$F$17+K125*'模块规划'!$F$16+L125*'模块规划'!$F$18</x:f>
        <x:v>12311.083763066985</x:v>
      </x:c>
      <x:c r="O125" t="n">
        <x:f>1+O$9*SUMPRODUCT($H$10:$L$10,H125:L125)/SUM($H$10:$L$10)</x:f>
        <x:v>2.727173713169683</x:v>
      </x:c>
      <x:c r="P125" t="n">
        <x:f>M125*O125+N125</x:f>
        <x:v>24830.80346122507</x:v>
      </x:c>
      <x:c r="Q125" t="n">
        <x:f>P125/(P125+'_曲线基线'!$L$2)</x:f>
        <x:v>0.508506960794581</x:v>
      </x:c>
      <x:c r="R125" t="n">
        <x:f>E125*'模块规划'!$E$10+G125*'模块规划'!$E$11+H125*'模块规划'!$E$13</x:f>
        <x:v>6886.095834874557</x:v>
      </x:c>
      <x:c r="S125" t="n">
        <x:f>I125*'模块规划'!$E$15+J125*'模块规划'!$E$17+K125*'模块规划'!$E$16+L125*'模块规划'!$E$18</x:f>
        <x:v>18466.62564460048</x:v>
      </x:c>
      <x:c r="T125" t="n">
        <x:f>1+T$9*SUMPRODUCT($H$10:$L$10,H125:L125)/SUM($H$10:$L$10)</x:f>
        <x:v>2.727173713169683</x:v>
      </x:c>
      <x:c r="U125" t="n">
        <x:f>R125*T125+S125</x:f>
        <x:v>37246.20519183762</x:v>
      </x:c>
      <x:c r="V125" t="n">
        <x:f>V$8+(V$9-V$8)*H125</x:f>
        <x:v>0.8830156548209886</x:v>
      </x:c>
      <x:c r="W125" t="n">
        <x:f>IF(B125&lt;$H$8,0,W$8+(W$9-W$8)*H125)</x:f>
        <x:v>0.2440208730946515</x:v>
      </x:c>
      <x:c r="X125" t="n">
        <x:f>X$8+(X$9-X$8)*H125</x:f>
        <x:v>0.44276435025257294</x:v>
      </x:c>
      <x:c r="Y125" t="n">
        <x:f>Y$8+(Y$9-Y$8)*G125</x:f>
        <x:v>1</x:v>
      </x:c>
      <x:c r="Z125" t="n">
        <x:f>Z$8+(Z$9-Z$8)*H125</x:f>
        <x:v>1</x:v>
      </x:c>
      <x:c r="AA125" t="n">
        <x:f>AA$8+(AA$9-AA$8)*I125</x:f>
        <x:v>1</x:v>
      </x:c>
      <x:c r="AB125" t="n">
        <x:f>AB$8+(AB$9-AB$8)*J125</x:f>
        <x:v>1</x:v>
      </x:c>
      <x:c r="AC125" t="n">
        <x:f>AC$8+(AC$9-AC$8)*MAX(K125,L125)</x:f>
        <x:v>1</x:v>
      </x:c>
      <x:c r="AD125" t="n">
        <x:f>(V125*AE125+W125*AF125+X125*AG125)*PRODUCT(Y125:AC125)</x:f>
        <x:v>1.7266143341168</x:v>
      </x:c>
      <x:c r="AE125" t="n">
        <x:f>1+AE$9*($H$10*H125+$I$10*I125+$J$10*J125+$K$10*K125+$L$10*L125)</x:f>
        <x:v>1</x:v>
      </x:c>
      <x:c r="AF125" t="n">
        <x:f>1+AF$9*($H$10*H125+$I$10*I125+$J$10*J125+$K$10*K125+$L$10*L125)</x:f>
        <x:v>1.1524388135510086</x:v>
      </x:c>
      <x:c r="AG125" t="n">
        <x:f>1+AG$9*($H$10*H125+$I$10*I125+$J$10*J125+$K$10*K125+$L$10*L125)</x:f>
        <x:v>1.2701554529042896</x:v>
      </x:c>
      <x:c r="AH125" t="n">
        <x:f>MIN(1,'_曲线基线'!$L$3+AH$9*($H$10*H125+$I$10*I125+$J$10*J125+$K$10*K125+$L$10*L125))</x:f>
        <x:v>0.3967983008285441</x:v>
      </x:c>
      <x:c r="AI125" t="n">
        <x:f>'_曲线基线'!$L$4+AI$9*($H$10*H125+$I$10*I125+$J$10*J125+$K$10*K125+$L$10*L125)</x:f>
        <x:v>2.9660809808795157</x:v>
      </x:c>
      <x:c r="AJ125" t="n">
        <x:f>1+AJ$9*($H$10*H125+$I$10*I125+$J$10*J125+$K$10*K125+$L$10*L125)</x:f>
        <x:v>1.7926818304652437</x:v>
      </x:c>
      <x:c r="AK125" t="n">
        <x:f>(1+AH125*(AI125-1))*AJ125</x:f>
        <x:v>3.191220317810617</x:v>
      </x:c>
      <x:c r="AL125" t="n">
        <x:f>U125*AD125*AK125*F125</x:f>
        <x:v>1026134.2089877026</x:v>
      </x:c>
      <x:c r="AM125" t="n">
        <x:f>IF($B125&lt;AM$8,0,AM$3+(AM$4-AM$3)*(POWER(AM$5,$B125-AM$8)-1)/(POWER(AM$5,$C$5-AM$8)-1))</x:f>
        <x:v>37.79008378505342</x:v>
      </x:c>
      <x:c r="AN125" t="n">
        <x:f>(((E125*'模块规划'!$D$10+G125*'模块规划'!$D$11+H125*'模块规划'!$D$13)*(1+'模块规划'!$G$14*H125)+(I125*'模块规划'!$D$15+J125*'模块规划'!$D$17+K125*'模块规划'!$D$16+L125*'模块规划'!$D$18))*(1+'模块规划'!$J$17*J125))*F125/(1-Q125)</x:f>
        <x:v>1572723.1913068818</x:v>
      </x:c>
      <x:c r="AO125" t="n">
        <x:f>AL125*AM125</x:f>
        <x:v>38777697.7323548</x:v>
      </x:c>
      <x:c r="AP125" t="n">
        <x:f>IF(AO125="","",INDEX('_曲线基线'!$A$3:$A$502,MIN(ROWS('_曲线基线'!$A$3:$A$502),COUNTIF('_曲线基线'!$E$3:$E$502,"&lt;"&amp;AO125)+1)))</x:f>
        <x:v>224</x:v>
      </x:c>
      <x:c r="AQ125" t="n">
        <x:f>IF(B125&lt;=2,1,IF(B125&lt;=6,2,IF(B125&lt;=9,3,IF(B125&lt;=19,4,5))))</x:f>
        <x:v>5</x:v>
      </x:c>
      <x:c r="AR125" t="n">
        <x:f>AN125*(1-Q125)/F125*$AS$3+U125*$AS$4+P125*$AS$5</x:f>
        <x:v>12087.136045113111</x:v>
      </x:c>
      <x:c r="AS125" t="n">
        <x:f>1+AH125*$AS$6+AI125*$AS$7+(AJ125-1)*$AS$8+($H$10*H125+$I$10*I125+$J$10*J125+$K$10*K125+$L$10*L125)*$AU$3*$AS$9+($H$10*H125+$I$10*I125+$J$10*J125+$K$10*K125+$L$10*L125)*$AU$4*$AS$10</x:f>
        <x:v>14.089972318274649</x:v>
      </x:c>
      <x:c r="AT125" t="n">
        <x:f>ROUND(AR125*AS125,0)</x:f>
        <x:v>170307</x:v>
      </x:c>
      <x:c r="AU125" t="n">
        <x:f>ROUND(AT125*F125,0)</x:f>
        <x:v>851535</x:v>
      </x:c>
    </x:row>
    <x:row r="126">
      <x:c r="A126" t="str">
        <x:f>IFERROR(XLOOKUP(B126,'_曲线基线'!$G$3:$G$107,'_曲线基线'!$J$3:$J$107,""),"")</x:f>
      </x:c>
      <x:c r="B126" t="n">
        <x:v>115</x:v>
      </x:c>
      <x:c r="C126" t="n">
        <x:f>C111+1</x:f>
        <x:v>9</x:v>
      </x:c>
      <x:c r="D126" t="n">
        <x:f>D111</x:f>
        <x:v>1</x:v>
      </x:c>
      <x:c r="E126" t="n">
        <x:f>IF($B126&lt;E$8,0,E$3+(E$4-E$3)*(POWER(E$5,$B126-E$8)-1)/(POWER(E$5,$C$5-E$8)-1))</x:f>
        <x:v>1</x:v>
      </x:c>
      <x:c r="F126" t="n">
        <x:f>1+IF(B126&lt;3,0,MIN(1,(B126-2)/4))+IF(B126&lt;7,0,MIN(1,(B126-6)/3))+IF(B126&lt;10,0,MIN(1,(B126-9)/5))+IF(B126&lt;20,0,MIN(1,(B126-19)/10))</x:f>
        <x:v>5</x:v>
      </x:c>
      <x:c r="G126" t="n">
        <x:f>IF($B126&lt;G$8,0,G$3+(G$4-G$3)*(POWER(G$5,$B126-G$8)-1)/(POWER(G$5,$C$5-G$8)-1))</x:f>
        <x:v>0.7505530234199735</x:v>
      </x:c>
      <x:c r="H126" t="n">
        <x:f>IF($B126&lt;H$8,0,H$3+(H$4-H$3)*(POWER(H$5,$B126-H$8)-1)/(POWER(H$5,$C$5-H$8)-1))</x:f>
        <x:v>0.6119176813214074</x:v>
      </x:c>
      <x:c r="I126" t="n">
        <x:f>IF($B126&lt;I$8,0,I$3+(I$4-I$3)*(POWER(I$5,$B126-I$8)-1)/(POWER(I$5,$C$5-I$8)-1))</x:f>
        <x:v>0.42352547323404616</x:v>
      </x:c>
      <x:c r="J126" t="n">
        <x:f>IF($B126&lt;J$8,0,J$3+(J$4-J$3)*(POWER(J$5,$B126-J$8)-1)/(POWER(J$5,$C$5-J$8)-1))</x:f>
        <x:v>0.49550075367155033</x:v>
      </x:c>
      <x:c r="K126" t="n">
        <x:f>IF($B126&lt;K$8,0,K$3+(K$4-K$3)*(POWER(K$5,$B126-K$8)-1)/(POWER(K$5,$C$5-K$8)-1))</x:f>
        <x:v>0.17462440098111473</x:v>
      </x:c>
      <x:c r="L126" t="n">
        <x:f>IF($B126&lt;L$8,0,L$3+(L$4-L$3)*(POWER(L$5,$B126-L$8)-1)/(POWER(L$5,$C$5-L$8)-1))</x:f>
        <x:v>0.6101113637519281</x:v>
      </x:c>
      <x:c r="M126" t="n">
        <x:f>E126*'模块规划'!$F$10+G126*'模块规划'!$F$11+H126*'模块规划'!$F$13</x:f>
        <x:v>4602.654512415873</x:v>
      </x:c>
      <x:c r="N126" t="n">
        <x:f>I126*'模块规划'!$F$15+J126*'模块规划'!$F$17+K126*'模块规划'!$F$16+L126*'模块规划'!$F$18</x:f>
        <x:v>12441.514547234201</x:v>
      </x:c>
      <x:c r="O126" t="n">
        <x:f>1+O$9*SUMPRODUCT($H$10:$L$10,H126:L126)/SUM($H$10:$L$10)</x:f>
        <x:v>2.7415675184174253</x:v>
      </x:c>
      <x:c r="P126" t="n">
        <x:f>M126*O126+N126</x:f>
        <x:v>25060.00265697095</x:v>
      </x:c>
      <x:c r="Q126" t="n">
        <x:f>P126/(P126+'_曲线基线'!$L$2)</x:f>
        <x:v>0.5108031247407641</x:v>
      </x:c>
      <x:c r="R126" t="n">
        <x:f>E126*'模块规划'!$E$10+G126*'模块规划'!$E$11+H126*'模块规划'!$E$13</x:f>
        <x:v>6903.981768623809</x:v>
      </x:c>
      <x:c r="S126" t="n">
        <x:f>I126*'模块规划'!$E$15+J126*'模块规划'!$E$17+K126*'模块规划'!$E$16+L126*'模块规划'!$E$18</x:f>
        <x:v>18662.271820851303</x:v>
      </x:c>
      <x:c r="T126" t="n">
        <x:f>1+T$9*SUMPRODUCT($H$10:$L$10,H126:L126)/SUM($H$10:$L$10)</x:f>
        <x:v>2.7415675184174253</x:v>
      </x:c>
      <x:c r="U126" t="n">
        <x:f>R126*T126+S126</x:f>
        <x:v>37590.003985456424</x:v>
      </x:c>
      <x:c r="V126" t="n">
        <x:f>V$8+(V$9-V$8)*H126</x:f>
        <x:v>0.8835753043964222</x:v>
      </x:c>
      <x:c r="W126" t="n">
        <x:f>IF(B126&lt;$H$8,0,W$8+(W$9-W$8)*H126)</x:f>
        <x:v>0.244767072528563</x:v>
      </x:c>
      <x:c r="X126" t="n">
        <x:f>X$8+(X$9-X$8)*H126</x:f>
        <x:v>0.4432773623633871</x:v>
      </x:c>
      <x:c r="Y126" t="n">
        <x:f>Y$8+(Y$9-Y$8)*G126</x:f>
        <x:v>1</x:v>
      </x:c>
      <x:c r="Z126" t="n">
        <x:f>Z$8+(Z$9-Z$8)*H126</x:f>
        <x:v>1</x:v>
      </x:c>
      <x:c r="AA126" t="n">
        <x:f>AA$8+(AA$9-AA$8)*I126</x:f>
        <x:v>1</x:v>
      </x:c>
      <x:c r="AB126" t="n">
        <x:f>AB$8+(AB$9-AB$8)*J126</x:f>
        <x:v>1</x:v>
      </x:c>
      <x:c r="AC126" t="n">
        <x:f>AC$8+(AC$9-AC$8)*MAX(K126,L126)</x:f>
        <x:v>1</x:v>
      </x:c>
      <x:c r="AD126" t="n">
        <x:f>(V126*AE126+W126*AF126+X126*AG126)*PRODUCT(Y126:AC126)</x:f>
        <x:v>1.7299944825040947</x:v>
      </x:c>
      <x:c r="AE126" t="n">
        <x:f>1+AE$9*($H$10*H126+$I$10*I126+$J$10*J126+$K$10*K126+$L$10*L126)</x:f>
        <x:v>1</x:v>
      </x:c>
      <x:c r="AF126" t="n">
        <x:f>1+AF$9*($H$10*H126+$I$10*I126+$J$10*J126+$K$10*K126+$L$10*L126)</x:f>
        <x:v>1.1537091979817808</x:v>
      </x:c>
      <x:c r="AG126" t="n">
        <x:f>1+AG$9*($H$10*H126+$I$10*I126+$J$10*J126+$K$10*K126+$L$10*L126)</x:f>
        <x:v>1.2724068564232693</x:v>
      </x:c>
      <x:c r="AH126" t="n">
        <x:f>MIN(1,'_曲线基线'!$L$3+AH$9*($H$10*H126+$I$10*I126+$J$10*J126+$K$10*K126+$L$10*L126))</x:f>
        <x:v>0.3996884254085513</x:v>
      </x:c>
      <x:c r="AI126" t="n">
        <x:f>'_曲线基线'!$L$4+AI$9*($H$10*H126+$I$10*I126+$J$10*J126+$K$10*K126+$L$10*L126)</x:f>
        <x:v>2.974132042209536</x:v>
      </x:c>
      <x:c r="AJ126" t="n">
        <x:f>1+AJ$9*($H$10*H126+$I$10*I126+$J$10*J126+$K$10*K126+$L$10*L126)</x:f>
        <x:v>1.7992878295052601</x:v>
      </x:c>
      <x:c r="AK126" t="n">
        <x:f>(1+AH126*(AI126-1))*AJ126</x:f>
        <x:v>3.2189938096152337</x:v>
      </x:c>
      <x:c r="AL126" t="n">
        <x:f>U126*AD126*AK126*F126</x:f>
        <x:v>1046663.8765070315</x:v>
      </x:c>
      <x:c r="AM126" t="n">
        <x:f>IF($B126&lt;AM$8,0,AM$3+(AM$4-AM$3)*(POWER(AM$5,$B126-AM$8)-1)/(POWER(AM$5,$C$5-AM$8)-1))</x:f>
        <x:v>37.831409262825815</x:v>
      </x:c>
      <x:c r="AN126" t="n">
        <x:f>(((E126*'模块规划'!$D$10+G126*'模块规划'!$D$11+H126*'模块规划'!$D$13)*(1+'模块规划'!$G$14*H126)+(I126*'模块规划'!$D$15+J126*'模块规划'!$D$17+K126*'模块规划'!$D$16+L126*'模块规划'!$D$18))*(1+'模块规划'!$J$17*J126))*F126/(1-Q126)</x:f>
        <x:v>1595505.0572650204</x:v>
      </x:c>
      <x:c r="AO126" t="n">
        <x:f>AL126*AM126</x:f>
        <x:v>39596769.47275329</x:v>
      </x:c>
      <x:c r="AP126" t="n">
        <x:f>IF(AO126="","",INDEX('_曲线基线'!$A$3:$A$502,MIN(ROWS('_曲线基线'!$A$3:$A$502),COUNTIF('_曲线基线'!$E$3:$E$502,"&lt;"&amp;AO126)+1)))</x:f>
        <x:v>225</x:v>
      </x:c>
      <x:c r="AQ126" t="n">
        <x:f>IF(B126&lt;=2,1,IF(B126&lt;=6,2,IF(B126&lt;=9,3,IF(B126&lt;=19,4,5))))</x:f>
        <x:v>5</x:v>
      </x:c>
      <x:c r="AR126" t="n">
        <x:f>AN126*(1-Q126)/F126*$AS$3+U126*$AS$4+P126*$AS$5</x:f>
        <x:v>12201.097327937423</x:v>
      </x:c>
      <x:c r="AS126" t="n">
        <x:f>1+AH126*$AS$6+AI126*$AS$7+(AJ126-1)*$AS$8+($H$10*H126+$I$10*I126+$J$10*J126+$K$10*K126+$L$10*L126)*$AU$3*$AS$9+($H$10*H126+$I$10*I126+$J$10*J126+$K$10*K126+$L$10*L126)*$AU$4*$AS$10</x:f>
        <x:v>14.16587923148761</x:v>
      </x:c>
      <x:c r="AT126" t="n">
        <x:f>ROUND(AR126*AS126,0)</x:f>
        <x:v>172839</x:v>
      </x:c>
      <x:c r="AU126" t="n">
        <x:f>ROUND(AT126*F126,0)</x:f>
        <x:v>864195</x:v>
      </x:c>
    </x:row>
    <x:row r="127">
      <x:c r="A127" t="str">
        <x:f>IFERROR(XLOOKUP(B127,'_曲线基线'!$G$3:$G$107,'_曲线基线'!$J$3:$J$107,""),"")</x:f>
      </x:c>
      <x:c r="B127" t="n">
        <x:v>116</x:v>
      </x:c>
      <x:c r="C127" t="n">
        <x:f>C112+1</x:f>
        <x:v>9</x:v>
      </x:c>
      <x:c r="D127" t="n">
        <x:f>D112</x:f>
        <x:v>2</x:v>
      </x:c>
      <x:c r="E127" t="n">
        <x:f>IF($B127&lt;E$8,0,E$3+(E$4-E$3)*(POWER(E$5,$B127-E$8)-1)/(POWER(E$5,$C$5-E$8)-1))</x:f>
        <x:v>1</x:v>
      </x:c>
      <x:c r="F127" t="n">
        <x:f>1+IF(B127&lt;3,0,MIN(1,(B127-2)/4))+IF(B127&lt;7,0,MIN(1,(B127-6)/3))+IF(B127&lt;10,0,MIN(1,(B127-9)/5))+IF(B127&lt;20,0,MIN(1,(B127-19)/10))</x:f>
        <x:v>5</x:v>
      </x:c>
      <x:c r="G127" t="n">
        <x:f>IF($B127&lt;G$8,0,G$3+(G$4-G$3)*(POWER(G$5,$B127-G$8)-1)/(POWER(G$5,$C$5-G$8)-1))</x:f>
        <x:v>0.7529999185231697</x:v>
      </x:c>
      <x:c r="H127" t="n">
        <x:f>IF($B127&lt;H$8,0,H$3+(H$4-H$3)*(POWER(H$5,$B127-H$8)-1)/(POWER(H$5,$C$5-H$8)-1))</x:f>
        <x:v>0.6137458699344908</x:v>
      </x:c>
      <x:c r="I127" t="n">
        <x:f>IF($B127&lt;I$8,0,I$3+(I$4-I$3)*(POWER(I$5,$B127-I$8)-1)/(POWER(I$5,$C$5-I$8)-1))</x:f>
        <x:v>0.4282260551124333</x:v>
      </x:c>
      <x:c r="J127" t="n">
        <x:f>IF($B127&lt;J$8,0,J$3+(J$4-J$3)*(POWER(J$5,$B127-J$8)-1)/(POWER(J$5,$C$5-J$8)-1))</x:f>
        <x:v>0.4976696830898432</x:v>
      </x:c>
      <x:c r="K127" t="n">
        <x:f>IF($B127&lt;K$8,0,K$3+(K$4-K$3)*(POWER(K$5,$B127-K$8)-1)/(POWER(K$5,$C$5-K$8)-1))</x:f>
        <x:v>0.18449103789646604</x:v>
      </x:c>
      <x:c r="L127" t="n">
        <x:f>IF($B127&lt;L$8,0,L$3+(L$4-L$3)*(POWER(L$5,$B127-L$8)-1)/(POWER(L$5,$C$5-L$8)-1))</x:f>
        <x:v>0.6119770433082752</x:v>
      </x:c>
      <x:c r="M127" t="n">
        <x:f>E127*'模块规划'!$F$10+G127*'模块规划'!$F$11+H127*'模块规划'!$F$13</x:f>
        <x:v>4614.399608911215</x:v>
      </x:c>
      <x:c r="N127" t="n">
        <x:f>I127*'模块规划'!$F$15+J127*'模块规划'!$F$17+K127*'模块规划'!$F$16+L127*'模块规划'!$F$18</x:f>
        <x:v>12569.33671571807</x:v>
      </x:c>
      <x:c r="O127" t="n">
        <x:f>1+O$9*SUMPRODUCT($H$10:$L$10,H127:L127)/SUM($H$10:$L$10)</x:f>
        <x:v>2.7556734475602127</x:v>
      </x:c>
      <x:c r="P127" t="n">
        <x:f>M127*O127+N127</x:f>
        <x:v>25285.115194426937</x:v>
      </x:c>
      <x:c r="Q127" t="n">
        <x:f>P127/(P127+'_曲线基线'!$L$2)</x:f>
        <x:v>0.5130375590008994</x:v>
      </x:c>
      <x:c r="R127" t="n">
        <x:f>E127*'模块规划'!$E$10+G127*'模块规划'!$E$11+H127*'模块规划'!$E$13</x:f>
        <x:v>6921.599413366822</x:v>
      </x:c>
      <x:c r="S127" t="n">
        <x:f>I127*'模块规划'!$E$15+J127*'模块规划'!$E$17+K127*'模块规划'!$E$16+L127*'模块规划'!$E$18</x:f>
        <x:v>18854.005073577107</x:v>
      </x:c>
      <x:c r="T127" t="n">
        <x:f>1+T$9*SUMPRODUCT($H$10:$L$10,H127:L127)/SUM($H$10:$L$10)</x:f>
        <x:v>2.7556734475602127</x:v>
      </x:c>
      <x:c r="U127" t="n">
        <x:f>R127*T127+S127</x:f>
        <x:v>37927.672791640405</x:v>
      </x:c>
      <x:c r="V127" t="n">
        <x:f>V$8+(V$9-V$8)*H127</x:f>
        <x:v>0.8841237609803472</x:v>
      </x:c>
      <x:c r="W127" t="n">
        <x:f>IF(B127&lt;$H$8,0,W$8+(W$9-W$8)*H127)</x:f>
        <x:v>0.24549834797379633</x:v>
      </x:c>
      <x:c r="X127" t="n">
        <x:f>X$8+(X$9-X$8)*H127</x:f>
        <x:v>0.443780114231985</x:v>
      </x:c>
      <x:c r="Y127" t="n">
        <x:f>Y$8+(Y$9-Y$8)*G127</x:f>
        <x:v>1</x:v>
      </x:c>
      <x:c r="Z127" t="n">
        <x:f>Z$8+(Z$9-Z$8)*H127</x:f>
        <x:v>1</x:v>
      </x:c>
      <x:c r="AA127" t="n">
        <x:f>AA$8+(AA$9-AA$8)*I127</x:f>
        <x:v>1</x:v>
      </x:c>
      <x:c r="AB127" t="n">
        <x:f>AB$8+(AB$9-AB$8)*J127</x:f>
        <x:v>1</x:v>
      </x:c>
      <x:c r="AC127" t="n">
        <x:f>AC$8+(AC$9-AC$8)*MAX(K127,L127)</x:f>
        <x:v>1</x:v>
      </x:c>
      <x:c r="AD127" t="n">
        <x:f>(V127*AE127+W127*AF127+X127*AG127)*PRODUCT(Y127:AC127)</x:f>
        <x:v>1.7333111085022113</x:v>
      </x:c>
      <x:c r="AE127" t="n">
        <x:f>1+AE$9*($H$10*H127+$I$10*I127+$J$10*J127+$K$10*K127+$L$10*L127)</x:f>
        <x:v>1</x:v>
      </x:c>
      <x:c r="AF127" t="n">
        <x:f>1+AF$9*($H$10*H127+$I$10*I127+$J$10*J127+$K$10*K127+$L$10*L127)</x:f>
        <x:v>1.154954174723938</x:v>
      </x:c>
      <x:c r="AG127" t="n">
        <x:f>1+AG$9*($H$10*H127+$I$10*I127+$J$10*J127+$K$10*K127+$L$10*L127)</x:f>
        <x:v>1.27461323187187</x:v>
      </x:c>
      <x:c r="AH127" t="n">
        <x:f>MIN(1,'_曲线基线'!$L$3+AH$9*($H$10*H127+$I$10*I127+$J$10*J127+$K$10*K127+$L$10*L127))</x:f>
        <x:v>0.40252074749695843</x:v>
      </x:c>
      <x:c r="AI127" t="n">
        <x:f>'_曲线基线'!$L$4+AI$9*($H$10*H127+$I$10*I127+$J$10*J127+$K$10*K127+$L$10*L127)</x:f>
        <x:v>2.9820220823129557</x:v>
      </x:c>
      <x:c r="AJ127" t="n">
        <x:f>1+AJ$9*($H$10*H127+$I$10*I127+$J$10*J127+$K$10*K127+$L$10*L127)</x:f>
        <x:v>1.8057617085644764</x:v>
      </x:c>
      <x:c r="AK127" t="n">
        <x:f>(1+AH127*(AI127-1))*AJ127</x:f>
        <x:v>3.2464074467546737</x:v>
      </x:c>
      <x:c r="AL127" t="n">
        <x:f>U127*AD127*AK127*F127</x:f>
        <x:v>1067101.5387995571</x:v>
      </x:c>
      <x:c r="AM127" t="n">
        <x:f>IF($B127&lt;AM$8,0,AM$3+(AM$4-AM$3)*(POWER(AM$5,$B127-AM$8)-1)/(POWER(AM$5,$C$5-AM$8)-1))</x:f>
        <x:v>37.873147995375945</x:v>
      </x:c>
      <x:c r="AN127" t="n">
        <x:f>(((E127*'模块规划'!$D$10+G127*'模块规划'!$D$11+H127*'模块规划'!$D$13)*(1+'模块规划'!$G$14*H127)+(I127*'模块规划'!$D$15+J127*'模块规划'!$D$17+K127*'模块规划'!$D$16+L127*'模块规划'!$D$18))*(1+'模块规划'!$J$17*J127))*F127/(1-Q127)</x:f>
        <x:v>1618039.4291450782</x:v>
      </x:c>
      <x:c r="AO127" t="n">
        <x:f>AL127*AM127</x:f>
        <x:v>40414494.505049035</x:v>
      </x:c>
      <x:c r="AP127" t="n">
        <x:f>IF(AO127="","",INDEX('_曲线基线'!$A$3:$A$502,MIN(ROWS('_曲线基线'!$A$3:$A$502),COUNTIF('_曲线基线'!$E$3:$E$502,"&lt;"&amp;AO127)+1)))</x:f>
        <x:v>227</x:v>
      </x:c>
      <x:c r="AQ127" t="n">
        <x:f>IF(B127&lt;=2,1,IF(B127&lt;=6,2,IF(B127&lt;=9,3,IF(B127&lt;=19,4,5))))</x:f>
        <x:v>5</x:v>
      </x:c>
      <x:c r="AR127" t="n">
        <x:f>AN127*(1-Q127)/F127*$AS$3+U127*$AS$4+P127*$AS$5</x:f>
        <x:v>12313.081138623751</x:v>
      </x:c>
      <x:c r="AS127" t="n">
        <x:f>1+AH127*$AS$6+AI127*$AS$7+(AJ127-1)*$AS$8+($H$10*H127+$I$10*I127+$J$10*J127+$K$10*K127+$L$10*L127)*$AU$3*$AS$9+($H$10*H127+$I$10*I127+$J$10*J127+$K$10*K127+$L$10*L127)*$AU$4*$AS$10</x:f>
        <x:v>14.240268006436311</x:v>
      </x:c>
      <x:c r="AT127" t="n">
        <x:f>ROUND(AR127*AS127,0)</x:f>
        <x:v>175342</x:v>
      </x:c>
      <x:c r="AU127" t="n">
        <x:f>ROUND(AT127*F127,0)</x:f>
        <x:v>876710</x:v>
      </x:c>
    </x:row>
    <x:row r="128">
      <x:c r="A128" t="str">
        <x:f>IFERROR(XLOOKUP(B128,'_曲线基线'!$G$3:$G$107,'_曲线基线'!$J$3:$J$107,""),"")</x:f>
      </x:c>
      <x:c r="B128" t="n">
        <x:v>117</x:v>
      </x:c>
      <x:c r="C128" t="n">
        <x:f>C113+1</x:f>
        <x:v>9</x:v>
      </x:c>
      <x:c r="D128" t="n">
        <x:f>D113</x:f>
        <x:v>3</x:v>
      </x:c>
      <x:c r="E128" t="n">
        <x:f>IF($B128&lt;E$8,0,E$3+(E$4-E$3)*(POWER(E$5,$B128-E$8)-1)/(POWER(E$5,$C$5-E$8)-1))</x:f>
        <x:v>1</x:v>
      </x:c>
      <x:c r="F128" t="n">
        <x:f>1+IF(B128&lt;3,0,MIN(1,(B128-2)/4))+IF(B128&lt;7,0,MIN(1,(B128-6)/3))+IF(B128&lt;10,0,MIN(1,(B128-9)/5))+IF(B128&lt;20,0,MIN(1,(B128-19)/10))</x:f>
        <x:v>5</x:v>
      </x:c>
      <x:c r="G128" t="n">
        <x:f>IF($B128&lt;G$8,0,G$3+(G$4-G$3)*(POWER(G$5,$B128-G$8)-1)/(POWER(G$5,$C$5-G$8)-1))</x:f>
        <x:v>0.7554101101998181</x:v>
      </x:c>
      <x:c r="H128" t="n">
        <x:f>IF($B128&lt;H$8,0,H$3+(H$4-H$3)*(POWER(H$5,$B128-H$8)-1)/(POWER(H$5,$C$5-H$8)-1))</x:f>
        <x:v>0.6155374947753123</x:v>
      </x:c>
      <x:c r="I128" t="n">
        <x:f>IF($B128&lt;I$8,0,I$3+(I$4-I$3)*(POWER(I$5,$B128-I$8)-1)/(POWER(I$5,$C$5-I$8)-1))</x:f>
        <x:v>0.4328326253532529</x:v>
      </x:c>
      <x:c r="J128" t="n">
        <x:f>IF($B128&lt;J$8,0,J$3+(J$4-J$3)*(POWER(J$5,$B128-J$8)-1)/(POWER(J$5,$C$5-J$8)-1))</x:f>
        <x:v>0.49979523391977027</x:v>
      </x:c>
      <x:c r="K128" t="n">
        <x:f>IF($B128&lt;K$8,0,K$3+(K$4-K$3)*(POWER(K$5,$B128-K$8)-1)/(POWER(K$5,$C$5-K$8)-1))</x:f>
        <x:v>0.19416034207351024</x:v>
      </x:c>
      <x:c r="L128" t="n">
        <x:f>IF($B128&lt;L$8,0,L$3+(L$4-L$3)*(POWER(L$5,$B128-L$8)-1)/(POWER(L$5,$C$5-L$8)-1))</x:f>
        <x:v>0.6138054092734954</x:v>
      </x:c>
      <x:c r="M128" t="n">
        <x:f>E128*'模块规划'!$F$10+G128*'模块规划'!$F$11+H128*'模块规划'!$F$13</x:f>
        <x:v>4625.968528959127</x:v>
      </x:c>
      <x:c r="N128" t="n">
        <x:f>I128*'模块规划'!$F$15+J128*'模块规划'!$F$17+K128*'模块规划'!$F$16+L128*'模块规划'!$F$18</x:f>
        <x:v>12694.602440832265</x:v>
      </x:c>
      <x:c r="O128" t="n">
        <x:f>1+O$9*SUMPRODUCT($H$10:$L$10,H128:L128)/SUM($H$10:$L$10)</x:f>
        <x:v>2.769497258120145</x:v>
      </x:c>
      <x:c r="P128" t="n">
        <x:f>M128*O128+N128</x:f>
        <x:v>25506.20959793465</x:v>
      </x:c>
      <x:c r="Q128" t="n">
        <x:f>P128/(P128+'_曲线基线'!$L$2)</x:f>
        <x:v>0.5152123300305896</x:v>
      </x:c>
      <x:c r="R128" t="n">
        <x:f>E128*'模块规划'!$E$10+G128*'模块规划'!$E$11+H128*'模块规划'!$E$13</x:f>
        <x:v>6938.95279343869</x:v>
      </x:c>
      <x:c r="S128" t="n">
        <x:f>I128*'模块规划'!$E$15+J128*'模块规划'!$E$17+K128*'模块规划'!$E$16+L128*'模块规划'!$E$18</x:f>
        <x:v>19041.903661248398</x:v>
      </x:c>
      <x:c r="T128" t="n">
        <x:f>1+T$9*SUMPRODUCT($H$10:$L$10,H128:L128)/SUM($H$10:$L$10)</x:f>
        <x:v>2.769497258120145</x:v>
      </x:c>
      <x:c r="U128" t="n">
        <x:f>R128*T128+S128</x:f>
        <x:v>38259.31439690197</x:v>
      </x:c>
      <x:c r="V128" t="n">
        <x:f>V$8+(V$9-V$8)*H128</x:f>
        <x:v>0.8846612484325936</x:v>
      </x:c>
      <x:c r="W128" t="n">
        <x:f>IF(B128&lt;$H$8,0,W$8+(W$9-W$8)*H128)</x:f>
        <x:v>0.2462149979101249</x:v>
      </x:c>
      <x:c r="X128" t="n">
        <x:f>X$8+(X$9-X$8)*H128</x:f>
        <x:v>0.4442728110632109</x:v>
      </x:c>
      <x:c r="Y128" t="n">
        <x:f>Y$8+(Y$9-Y$8)*G128</x:f>
        <x:v>1</x:v>
      </x:c>
      <x:c r="Z128" t="n">
        <x:f>Z$8+(Z$9-Z$8)*H128</x:f>
        <x:v>1</x:v>
      </x:c>
      <x:c r="AA128" t="n">
        <x:f>AA$8+(AA$9-AA$8)*I128</x:f>
        <x:v>1</x:v>
      </x:c>
      <x:c r="AB128" t="n">
        <x:f>AB$8+(AB$9-AB$8)*J128</x:f>
        <x:v>1</x:v>
      </x:c>
      <x:c r="AC128" t="n">
        <x:f>AC$8+(AC$9-AC$8)*MAX(K128,L128)</x:f>
        <x:v>1</x:v>
      </x:c>
      <x:c r="AD128" t="n">
        <x:f>(V128*AE128+W128*AF128+X128*AG128)*PRODUCT(Y128:AC128)</x:f>
        <x:v>1.7365653209680212</x:v>
      </x:c>
      <x:c r="AE128" t="n">
        <x:f>1+AE$9*($H$10*H128+$I$10*I128+$J$10*J128+$K$10*K128+$L$10*L128)</x:f>
        <x:v>1</x:v>
      </x:c>
      <x:c r="AF128" t="n">
        <x:f>1+AF$9*($H$10*H128+$I$10*I128+$J$10*J128+$K$10*K128+$L$10*L128)</x:f>
        <x:v>1.156174251931252</x:v>
      </x:c>
      <x:c r="AG128" t="n">
        <x:f>1+AG$9*($H$10*H128+$I$10*I128+$J$10*J128+$K$10*K128+$L$10*L128)</x:f>
        <x:v>1.2767754798114983</x:v>
      </x:c>
      <x:c r="AH128" t="n">
        <x:f>MIN(1,'_曲线基线'!$L$3+AH$9*($H$10*H128+$I$10*I128+$J$10*J128+$K$10*K128+$L$10*L128))</x:f>
        <x:v>0.40529642314359743</x:v>
      </x:c>
      <x:c r="AI128" t="n">
        <x:f>'_曲线基线'!$L$4+AI$9*($H$10*H128+$I$10*I128+$J$10*J128+$K$10*K128+$L$10*L128)</x:f>
        <x:v>2.989754321614307</x:v>
      </x:c>
      <x:c r="AJ128" t="n">
        <x:f>1+AJ$9*($H$10*H128+$I$10*I128+$J$10*J128+$K$10*K128+$L$10*L128)</x:f>
        <x:v>1.8121061100425084</x:v>
      </x:c>
      <x:c r="AK128" t="n">
        <x:f>(1+AH128*(AI128-1))*AJ128</x:f>
        <x:v>3.2734615222444754</x:v>
      </x:c>
      <x:c r="AL128" t="n">
        <x:f>U128*AD128*AK128*F128</x:f>
        <x:v>1087440.6210793594</x:v>
      </x:c>
      <x:c r="AM128" t="n">
        <x:f>IF($B128&lt;AM$8,0,AM$3+(AM$4-AM$3)*(POWER(AM$5,$B128-AM$8)-1)/(POWER(AM$5,$C$5-AM$8)-1))</x:f>
        <x:v>37.91530411525157</x:v>
      </x:c>
      <x:c r="AN128" t="n">
        <x:f>(((E128*'模块规划'!$D$10+G128*'模块规划'!$D$11+H128*'模块规划'!$D$13)*(1+'模块规划'!$G$14*H128)+(I128*'模块规划'!$D$15+J128*'模块规划'!$D$17+K128*'模块规划'!$D$16+L128*'模块规划'!$D$18))*(1+'模块规划'!$J$17*J128))*F128/(1-Q128)</x:f>
        <x:v>1640324.6209630652</x:v>
      </x:c>
      <x:c r="AO128" t="n">
        <x:f>AL128*AM128</x:f>
        <x:v>41230641.855501965</x:v>
      </x:c>
      <x:c r="AP128" t="n">
        <x:f>IF(AO128="","",INDEX('_曲线基线'!$A$3:$A$502,MIN(ROWS('_曲线基线'!$A$3:$A$502),COUNTIF('_曲线基线'!$E$3:$E$502,"&lt;"&amp;AO128)+1)))</x:f>
        <x:v>228</x:v>
      </x:c>
      <x:c r="AQ128" t="n">
        <x:f>IF(B128&lt;=2,1,IF(B128&lt;=6,2,IF(B128&lt;=9,3,IF(B128&lt;=19,4,5))))</x:f>
        <x:v>5</x:v>
      </x:c>
      <x:c r="AR128" t="n">
        <x:f>AN128*(1-Q128)/F128*$AS$3+U128*$AS$4+P128*$AS$5</x:f>
        <x:v>12423.11778532124</x:v>
      </x:c>
      <x:c r="AS128" t="n">
        <x:f>1+AH128*$AS$6+AI128*$AS$7+(AJ128-1)*$AS$8+($H$10*H128+$I$10*I128+$J$10*J128+$K$10*K128+$L$10*L128)*$AU$3*$AS$9+($H$10*H128+$I$10*I128+$J$10*J128+$K$10*K128+$L$10*L128)*$AU$4*$AS$10</x:f>
        <x:v>14.313169005886042</x:v>
      </x:c>
      <x:c r="AT128" t="n">
        <x:f>ROUND(AR128*AS128,0)</x:f>
        <x:v>177814</x:v>
      </x:c>
      <x:c r="AU128" t="n">
        <x:f>ROUND(AT128*F128,0)</x:f>
        <x:v>889070</x:v>
      </x:c>
    </x:row>
    <x:row r="129">
      <x:c r="A129" t="str">
        <x:f>IFERROR(XLOOKUP(B129,'_曲线基线'!$G$3:$G$107,'_曲线基线'!$J$3:$J$107,""),"")</x:f>
      </x:c>
      <x:c r="B129" t="n">
        <x:v>118</x:v>
      </x:c>
      <x:c r="C129" t="n">
        <x:f>C114+1</x:f>
        <x:v>9</x:v>
      </x:c>
      <x:c r="D129" t="n">
        <x:f>D114</x:f>
        <x:v>4</x:v>
      </x:c>
      <x:c r="E129" t="n">
        <x:f>IF($B129&lt;E$8,0,E$3+(E$4-E$3)*(POWER(E$5,$B129-E$8)-1)/(POWER(E$5,$C$5-E$8)-1))</x:f>
        <x:v>1</x:v>
      </x:c>
      <x:c r="F129" t="n">
        <x:f>1+IF(B129&lt;3,0,MIN(1,(B129-2)/4))+IF(B129&lt;7,0,MIN(1,(B129-6)/3))+IF(B129&lt;10,0,MIN(1,(B129-9)/5))+IF(B129&lt;20,0,MIN(1,(B129-19)/10))</x:f>
        <x:v>5</x:v>
      </x:c>
      <x:c r="G129" t="n">
        <x:f>IF($B129&lt;G$8,0,G$3+(G$4-G$3)*(POWER(G$5,$B129-G$8)-1)/(POWER(G$5,$C$5-G$8)-1))</x:f>
        <x:v>0.7577841490013165</x:v>
      </x:c>
      <x:c r="H129" t="n">
        <x:f>IF($B129&lt;H$8,0,H$3+(H$4-H$3)*(POWER(H$5,$B129-H$8)-1)/(POWER(H$5,$C$5-H$8)-1))</x:f>
        <x:v>0.6172932871193173</x:v>
      </x:c>
      <x:c r="I129" t="n">
        <x:f>IF($B129&lt;I$8,0,I$3+(I$4-I$3)*(POWER(I$5,$B129-I$8)-1)/(POWER(I$5,$C$5-I$8)-1))</x:f>
        <x:v>0.43734706418925606</x:v>
      </x:c>
      <x:c r="J129" t="n">
        <x:f>IF($B129&lt;J$8,0,J$3+(J$4-J$3)*(POWER(J$5,$B129-J$8)-1)/(POWER(J$5,$C$5-J$8)-1))</x:f>
        <x:v>0.5018782737330988</x:v>
      </x:c>
      <x:c r="K129" t="n">
        <x:f>IF($B129&lt;K$8,0,K$3+(K$4-K$3)*(POWER(K$5,$B129-K$8)-1)/(POWER(K$5,$C$5-K$8)-1))</x:f>
        <x:v>0.20363626016701364</x:v>
      </x:c>
      <x:c r="L129" t="n">
        <x:f>IF($B129&lt;L$8,0,L$3+(L$4-L$3)*(POWER(L$5,$B129-L$8)-1)/(POWER(L$5,$C$5-L$8)-1))</x:f>
        <x:v>0.6155972079194112</x:v>
      </x:c>
      <x:c r="M129" t="n">
        <x:f>E129*'模块规划'!$F$10+G129*'模块规划'!$F$11+H129*'模块规划'!$F$13</x:f>
        <x:v>4637.363915206319</x:v>
      </x:c>
      <x:c r="N129" t="n">
        <x:f>I129*'模块规划'!$F$15+J129*'模块规划'!$F$17+K129*'模块规划'!$F$16+L129*'模块规划'!$F$18</x:f>
        <x:v>12817.362851444175</x:v>
      </x:c>
      <x:c r="O129" t="n">
        <x:f>1+O$9*SUMPRODUCT($H$10:$L$10,H129:L129)/SUM($H$10:$L$10)</x:f>
        <x:v>2.7830445924688783</x:v>
      </x:c>
      <x:c r="P129" t="n">
        <x:f>M129*O129+N129</x:f>
        <x:v>25723.353418969426</x:v>
      </x:c>
      <x:c r="Q129" t="n">
        <x:f>P129/(P129+'_曲线基线'!$L$2)</x:f>
        <x:v>0.5173294166671386</x:v>
      </x:c>
      <x:c r="R129" t="n">
        <x:f>E129*'模块规划'!$E$10+G129*'模块规划'!$E$11+H129*'模块规划'!$E$13</x:f>
        <x:v>6956.045872809479</x:v>
      </x:c>
      <x:c r="S129" t="n">
        <x:f>I129*'模块规划'!$E$15+J129*'模块规划'!$E$17+K129*'模块规划'!$E$16+L129*'模块规划'!$E$18</x:f>
        <x:v>19226.04427716626</x:v>
      </x:c>
      <x:c r="T129" t="n">
        <x:f>1+T$9*SUMPRODUCT($H$10:$L$10,H129:L129)/SUM($H$10:$L$10)</x:f>
        <x:v>2.7830445924688783</x:v>
      </x:c>
      <x:c r="U129" t="n">
        <x:f>R129*T129+S129</x:f>
        <x:v>38585.030128454135</x:v>
      </x:c>
      <x:c r="V129" t="n">
        <x:f>V$8+(V$9-V$8)*H129</x:f>
        <x:v>0.8851879861357952</x:v>
      </x:c>
      <x:c r="W129" t="n">
        <x:f>IF(B129&lt;$H$8,0,W$8+(W$9-W$8)*H129)</x:f>
        <x:v>0.24691731484772694</x:v>
      </x:c>
      <x:c r="X129" t="n">
        <x:f>X$8+(X$9-X$8)*H129</x:f>
        <x:v>0.4447556539578123</x:v>
      </x:c>
      <x:c r="Y129" t="n">
        <x:f>Y$8+(Y$9-Y$8)*G129</x:f>
        <x:v>1</x:v>
      </x:c>
      <x:c r="Z129" t="n">
        <x:f>Z$8+(Z$9-Z$8)*H129</x:f>
        <x:v>1</x:v>
      </x:c>
      <x:c r="AA129" t="n">
        <x:f>AA$8+(AA$9-AA$8)*I129</x:f>
        <x:v>1</x:v>
      </x:c>
      <x:c r="AB129" t="n">
        <x:f>AB$8+(AB$9-AB$8)*J129</x:f>
        <x:v>1</x:v>
      </x:c>
      <x:c r="AC129" t="n">
        <x:f>AC$8+(AC$9-AC$8)*MAX(K129,L129)</x:f>
        <x:v>1</x:v>
      </x:c>
      <x:c r="AD129" t="n">
        <x:f>(V129*AE129+W129*AF129+X129*AG129)*PRODUCT(Y129:AC129)</x:f>
        <x:v>1.7397582129802602</x:v>
      </x:c>
      <x:c r="AE129" t="n">
        <x:f>1+AE$9*($H$10*H129+$I$10*I129+$J$10*J129+$K$10*K129+$L$10*L129)</x:f>
        <x:v>1</x:v>
      </x:c>
      <x:c r="AF129" t="n">
        <x:f>1+AF$9*($H$10*H129+$I$10*I129+$J$10*J129+$K$10*K129+$L$10*L129)</x:f>
        <x:v>1.1573699275944194</x:v>
      </x:c>
      <x:c r="AG129" t="n">
        <x:f>1+AG$9*($H$10*H129+$I$10*I129+$J$10*J129+$K$10*K129+$L$10*L129)</x:f>
        <x:v>1.2788944827923343</x:v>
      </x:c>
      <x:c r="AH129" t="n">
        <x:f>MIN(1,'_曲线基线'!$L$3+AH$9*($H$10*H129+$I$10*I129+$J$10*J129+$K$10*K129+$L$10*L129))</x:f>
        <x:v>0.4080165852773036</x:v>
      </x:c>
      <x:c r="AI129" t="n">
        <x:f>'_曲线基线'!$L$4+AI$9*($H$10*H129+$I$10*I129+$J$10*J129+$K$10*K129+$L$10*L129)</x:f>
        <x:v>2.9973319161296317</x:v>
      </x:c>
      <x:c r="AJ129" t="n">
        <x:f>1+AJ$9*($H$10*H129+$I$10*I129+$J$10*J129+$K$10*K129+$L$10*L129)</x:f>
        <x:v>1.8183236234909796</x:v>
      </x:c>
      <x:c r="AK129" t="n">
        <x:f>(1+AH129*(AI129-1))*AJ129</x:f>
        <x:v>3.300156547108363</x:v>
      </x:c>
      <x:c r="AL129" t="n">
        <x:f>U129*AD129*AK129*F129</x:f>
        <x:v>1107674.8245162815</x:v>
      </x:c>
      <x:c r="AM129" t="n">
        <x:f>IF($B129&lt;AM$8,0,AM$3+(AM$4-AM$3)*(POWER(AM$5,$B129-AM$8)-1)/(POWER(AM$5,$C$5-AM$8)-1))</x:f>
        <x:v>37.95788179632596</x:v>
      </x:c>
      <x:c r="AN129" t="n">
        <x:f>(((E129*'模块规划'!$D$10+G129*'模块规划'!$D$11+H129*'模块规划'!$D$13)*(1+'模块规划'!$G$14*H129)+(I129*'模块规划'!$D$15+J129*'模块规划'!$D$17+K129*'模块规划'!$D$16+L129*'模块规划'!$D$18))*(1+'模块规划'!$J$17*J129))*F129/(1-Q129)</x:f>
        <x:v>1662359.1824158314</x:v>
      </x:c>
      <x:c r="AO129" t="n">
        <x:f>AL129*AM129</x:f>
        <x:v>42044990.05775511</x:v>
      </x:c>
      <x:c r="AP129" t="n">
        <x:f>IF(AO129="","",INDEX('_曲线基线'!$A$3:$A$502,MIN(ROWS('_曲线基线'!$A$3:$A$502),COUNTIF('_曲线基线'!$E$3:$E$502,"&lt;"&amp;AO129)+1)))</x:f>
        <x:v>230</x:v>
      </x:c>
      <x:c r="AQ129" t="n">
        <x:f>IF(B129&lt;=2,1,IF(B129&lt;=6,2,IF(B129&lt;=9,3,IF(B129&lt;=19,4,5))))</x:f>
        <x:v>5</x:v>
      </x:c>
      <x:c r="AR129" t="n">
        <x:f>AN129*(1-Q129)/F129*$AS$3+U129*$AS$4+P129*$AS$5</x:f>
        <x:v>12531.237283403152</x:v>
      </x:c>
      <x:c r="AS129" t="n">
        <x:f>1+AH129*$AS$6+AI129*$AS$7+(AJ129-1)*$AS$8+($H$10*H129+$I$10*I129+$J$10*J129+$K$10*K129+$L$10*L129)*$AU$3*$AS$9+($H$10*H129+$I$10*I129+$J$10*J129+$K$10*K129+$L$10*L129)*$AU$4*$AS$10</x:f>
        <x:v>14.384611985346774</x:v>
      </x:c>
      <x:c r="AT129" t="n">
        <x:f>ROUND(AR129*AS129,0)</x:f>
        <x:v>180257</x:v>
      </x:c>
      <x:c r="AU129" t="n">
        <x:f>ROUND(AT129*F129,0)</x:f>
        <x:v>901285</x:v>
      </x:c>
    </x:row>
    <x:row r="130">
      <x:c r="A130" t="str">
        <x:f>IFERROR(XLOOKUP(B130,'_曲线基线'!$G$3:$G$107,'_曲线基线'!$J$3:$J$107,""),"")</x:f>
      </x:c>
      <x:c r="B130" t="n">
        <x:v>119</x:v>
      </x:c>
      <x:c r="C130" t="n">
        <x:f>C115+1</x:f>
        <x:v>9</x:v>
      </x:c>
      <x:c r="D130" t="n">
        <x:f>D115</x:f>
        <x:v>5</x:v>
      </x:c>
      <x:c r="E130" t="n">
        <x:f>IF($B130&lt;E$8,0,E$3+(E$4-E$3)*(POWER(E$5,$B130-E$8)-1)/(POWER(E$5,$C$5-E$8)-1))</x:f>
        <x:v>1</x:v>
      </x:c>
      <x:c r="F130" t="n">
        <x:f>1+IF(B130&lt;3,0,MIN(1,(B130-2)/4))+IF(B130&lt;7,0,MIN(1,(B130-6)/3))+IF(B130&lt;10,0,MIN(1,(B130-9)/5))+IF(B130&lt;20,0,MIN(1,(B130-19)/10))</x:f>
        <x:v>5</x:v>
      </x:c>
      <x:c r="G130" t="n">
        <x:f>IF($B130&lt;G$8,0,G$3+(G$4-G$3)*(POWER(G$5,$B130-G$8)-1)/(POWER(G$5,$C$5-G$8)-1))</x:f>
        <x:v>0.7601225772207927</x:v>
      </x:c>
      <x:c r="H130" t="n">
        <x:f>IF($B130&lt;H$8,0,H$3+(H$4-H$3)*(POWER(H$5,$B130-H$8)-1)/(POWER(H$5,$C$5-H$8)-1))</x:f>
        <x:v>0.6190139636164425</x:v>
      </x:c>
      <x:c r="I130" t="n">
        <x:f>IF($B130&lt;I$8,0,I$3+(I$4-I$3)*(POWER(I$5,$B130-I$8)-1)/(POWER(I$5,$C$5-I$8)-1))</x:f>
        <x:v>0.4417712142485391</x:v>
      </x:c>
      <x:c r="J130" t="n">
        <x:f>IF($B130&lt;J$8,0,J$3+(J$4-J$3)*(POWER(J$5,$B130-J$8)-1)/(POWER(J$5,$C$5-J$8)-1))</x:f>
        <x:v>0.5039196527501607</x:v>
      </x:c>
      <x:c r="K130" t="n">
        <x:f>IF($B130&lt;K$8,0,K$3+(K$4-K$3)*(POWER(K$5,$B130-K$8)-1)/(POWER(K$5,$C$5-K$8)-1))</x:f>
        <x:v>0.2129226598986469</x:v>
      </x:c>
      <x:c r="L130" t="n">
        <x:f>IF($B130&lt;L$8,0,L$3+(L$4-L$3)*(POWER(L$5,$B130-L$8)-1)/(POWER(L$5,$C$5-L$8)-1))</x:f>
        <x:v>0.6173531705924087</x:v>
      </x:c>
      <x:c r="M130" t="n">
        <x:f>E130*'模块规划'!$F$10+G130*'模块规划'!$F$11+H130*'模块规划'!$F$13</x:f>
        <x:v>4648.588370659805</x:v>
      </x:c>
      <x:c r="N130" t="n">
        <x:f>I130*'模块规划'!$F$15+J130*'模块规划'!$F$17+K130*'模块规划'!$F$16+L130*'模块规划'!$F$18</x:f>
        <x:v>12937.668053843845</x:v>
      </x:c>
      <x:c r="O130" t="n">
        <x:f>1+O$9*SUMPRODUCT($H$10:$L$10,H130:L130)/SUM($H$10:$L$10)</x:f>
        <x:v>2.796320980130637</x:v>
      </x:c>
      <x:c r="P130" t="n">
        <x:f>M130*O130+N130</x:f>
        <x:v>25936.61324271115</x:v>
      </x:c>
      <x:c r="Q130" t="n">
        <x:f>P130/(P130+'_曲线基线'!$L$2)</x:f>
        <x:v>0.5193907147176609</x:v>
      </x:c>
      <x:c r="R130" t="n">
        <x:f>E130*'模块规划'!$E$10+G130*'模块规划'!$E$11+H130*'模块规划'!$E$13</x:f>
        <x:v>6972.882555989708</x:v>
      </x:c>
      <x:c r="S130" t="n">
        <x:f>I130*'模块规划'!$E$15+J130*'模块规划'!$E$17+K130*'模块规划'!$E$16+L130*'模块规划'!$E$18</x:f>
        <x:v>19406.502080765767</x:v>
      </x:c>
      <x:c r="T130" t="n">
        <x:f>1+T$9*SUMPRODUCT($H$10:$L$10,H130:L130)/SUM($H$10:$L$10)</x:f>
        <x:v>2.796320980130637</x:v>
      </x:c>
      <x:c r="U130" t="n">
        <x:f>R130*T130+S130</x:f>
        <x:v>38904.91986406673</x:v>
      </x:c>
      <x:c r="V130" t="n">
        <x:f>V$8+(V$9-V$8)*H130</x:f>
        <x:v>0.8857041890849328</x:v>
      </x:c>
      <x:c r="W130" t="n">
        <x:f>IF(B130&lt;$H$8,0,W$8+(W$9-W$8)*H130)</x:f>
        <x:v>0.247605585446577</x:v>
      </x:c>
      <x:c r="X130" t="n">
        <x:f>X$8+(X$9-X$8)*H130</x:f>
        <x:v>0.4452288399945217</x:v>
      </x:c>
      <x:c r="Y130" t="n">
        <x:f>Y$8+(Y$9-Y$8)*G130</x:f>
        <x:v>1</x:v>
      </x:c>
      <x:c r="Z130" t="n">
        <x:f>Z$8+(Z$9-Z$8)*H130</x:f>
        <x:v>1</x:v>
      </x:c>
      <x:c r="AA130" t="n">
        <x:f>AA$8+(AA$9-AA$8)*I130</x:f>
        <x:v>1</x:v>
      </x:c>
      <x:c r="AB130" t="n">
        <x:f>AB$8+(AB$9-AB$8)*J130</x:f>
        <x:v>1</x:v>
      </x:c>
      <x:c r="AC130" t="n">
        <x:f>AC$8+(AC$9-AC$8)*MAX(K130,L130)</x:f>
        <x:v>1</x:v>
      </x:c>
      <x:c r="AD130" t="n">
        <x:f>(V130*AE130+W130*AF130+X130*AG130)*PRODUCT(Y130:AC130)</x:f>
        <x:v>1.7428908619016876</x:v>
      </x:c>
      <x:c r="AE130" t="n">
        <x:f>1+AE$9*($H$10*H130+$I$10*I130+$J$10*J130+$K$10*K130+$L$10*L130)</x:f>
        <x:v>1</x:v>
      </x:c>
      <x:c r="AF130" t="n">
        <x:f>1+AF$9*($H$10*H130+$I$10*I130+$J$10*J130+$K$10*K130+$L$10*L130)</x:f>
        <x:v>1.1585416897443235</x:v>
      </x:c>
      <x:c r="AG130" t="n">
        <x:f>1+AG$9*($H$10*H130+$I$10*I130+$J$10*J130+$K$10*K130+$L$10*L130)</x:f>
        <x:v>1.2809711057135533</x:v>
      </x:c>
      <x:c r="AH130" t="n">
        <x:f>MIN(1,'_曲线基线'!$L$3+AH$9*($H$10*H130+$I$10*I130+$J$10*J130+$K$10*K130+$L$10*L130))</x:f>
        <x:v>0.41068234416833566</x:v>
      </x:c>
      <x:c r="AI130" t="n">
        <x:f>'_曲线基线'!$L$4+AI$9*($H$10*H130+$I$10*I130+$J$10*J130+$K$10*K130+$L$10*L130)</x:f>
        <x:v>3.0047579587546496</x:v>
      </x:c>
      <x:c r="AJ130" t="n">
        <x:f>1+AJ$9*($H$10*H130+$I$10*I130+$J$10*J130+$K$10*K130+$L$10*L130)</x:f>
        <x:v>1.8244167866704815</x:v>
      </x:c>
      <x:c r="AK130" t="n">
        <x:f>(1+AH130*(AI130-1))*AJ130</x:f>
        <x:v>3.326493240065835</x:v>
      </x:c>
      <x:c r="AL130" t="n">
        <x:f>U130*AD130*AK130*F130</x:f>
        <x:v>1127798.123211487</x:v>
      </x:c>
      <x:c r="AM130" t="n">
        <x:f>IF($B130&lt;AM$8,0,AM$3+(AM$4-AM$3)*(POWER(AM$5,$B130-AM$8)-1)/(POWER(AM$5,$C$5-AM$8)-1))</x:f>
        <x:v>38.000885254211084</x:v>
      </x:c>
      <x:c r="AN130" t="n">
        <x:f>(((E130*'模块规划'!$D$10+G130*'模块规划'!$D$11+H130*'模块规划'!$D$13)*(1+'模块规划'!$G$14*H130)+(I130*'模块规划'!$D$15+J130*'模块规划'!$D$17+K130*'模块规划'!$D$16+L130*'模块规划'!$D$18))*(1+'模块规划'!$J$17*J130))*F130/(1-Q130)</x:f>
        <x:v>1684141.8889342686</x:v>
      </x:c>
      <x:c r="AO130" t="n">
        <x:f>AL130*AM130</x:f>
        <x:v>42857327.07007433</x:v>
      </x:c>
      <x:c r="AP130" t="n">
        <x:f>IF(AO130="","",INDEX('_曲线基线'!$A$3:$A$502,MIN(ROWS('_曲线基线'!$A$3:$A$502),COUNTIF('_曲线基线'!$E$3:$E$502,"&lt;"&amp;AO130)+1)))</x:f>
        <x:v>231</x:v>
      </x:c>
      <x:c r="AQ130" t="n">
        <x:f>IF(B130&lt;=2,1,IF(B130&lt;=6,2,IF(B130&lt;=9,3,IF(B130&lt;=19,4,5))))</x:f>
        <x:v>5</x:v>
      </x:c>
      <x:c r="AR130" t="n">
        <x:f>AN130*(1-Q130)/F130*$AS$3+U130*$AS$4+P130*$AS$5</x:f>
        <x:v>12637.46935014183</x:v>
      </x:c>
      <x:c r="AS130" t="n">
        <x:f>1+AH130*$AS$6+AI130*$AS$7+(AJ130-1)*$AS$8+($H$10*H130+$I$10*I130+$J$10*J130+$K$10*K130+$L$10*L130)*$AU$3*$AS$9+($H$10*H130+$I$10*I130+$J$10*J130+$K$10*K130+$L$10*L130)*$AU$4*$AS$10</x:f>
        <x:v>14.454626105218294</x:v>
      </x:c>
      <x:c r="AT130" t="n">
        <x:f>ROUND(AR130*AS130,0)</x:f>
        <x:v>182670</x:v>
      </x:c>
      <x:c r="AU130" t="n">
        <x:f>ROUND(AT130*F130,0)</x:f>
        <x:v>913350</x:v>
      </x:c>
    </x:row>
    <x:row r="131">
      <x:c r="A131" t="str">
        <x:f>IFERROR(XLOOKUP(B131,'_曲线基线'!$G$3:$G$107,'_曲线基线'!$J$3:$J$107,""),"")</x:f>
      </x:c>
      <x:c r="B131" t="n">
        <x:v>120</x:v>
      </x:c>
      <x:c r="C131" t="n">
        <x:f>C116+1</x:f>
        <x:v>9</x:v>
      </x:c>
      <x:c r="D131" t="n">
        <x:f>D116</x:f>
        <x:v>6</x:v>
      </x:c>
      <x:c r="E131" t="n">
        <x:f>IF($B131&lt;E$8,0,E$3+(E$4-E$3)*(POWER(E$5,$B131-E$8)-1)/(POWER(E$5,$C$5-E$8)-1))</x:f>
        <x:v>1</x:v>
      </x:c>
      <x:c r="F131" t="n">
        <x:f>1+IF(B131&lt;3,0,MIN(1,(B131-2)/4))+IF(B131&lt;7,0,MIN(1,(B131-6)/3))+IF(B131&lt;10,0,MIN(1,(B131-9)/5))+IF(B131&lt;20,0,MIN(1,(B131-19)/10))</x:f>
        <x:v>5</x:v>
      </x:c>
      <x:c r="G131" t="n">
        <x:f>IF($B131&lt;G$8,0,G$3+(G$4-G$3)*(POWER(G$5,$B131-G$8)-1)/(POWER(G$5,$C$5-G$8)-1))</x:f>
        <x:v>0.7624259290169767</x:v>
      </x:c>
      <x:c r="H131" t="n">
        <x:f>IF($B131&lt;H$8,0,H$3+(H$4-H$3)*(POWER(H$5,$B131-H$8)-1)/(POWER(H$5,$C$5-H$8)-1))</x:f>
        <x:v>0.6207002265836249</x:v>
      </x:c>
      <x:c r="I131" t="n">
        <x:f>IF($B131&lt;I$8,0,I$3+(I$4-I$3)*(POWER(I$5,$B131-I$8)-1)/(POWER(I$5,$C$5-I$8)-1))</x:f>
        <x:v>0.4461068813066365</x:v>
      </x:c>
      <x:c r="J131" t="n">
        <x:f>IF($B131&lt;J$8,0,J$3+(J$4-J$3)*(POWER(J$5,$B131-J$8)-1)/(POWER(J$5,$C$5-J$8)-1))</x:f>
        <x:v>0.5059202041868813</x:v>
      </x:c>
      <x:c r="K131" t="n">
        <x:f>IF($B131&lt;K$8,0,K$3+(K$4-K$3)*(POWER(K$5,$B131-K$8)-1)/(POWER(K$5,$C$5-K$8)-1))</x:f>
        <x:v>0.22202333163564747</x:v>
      </x:c>
      <x:c r="L131" t="n">
        <x:f>IF($B131&lt;L$8,0,L$3+(L$4-L$3)*(POWER(L$5,$B131-L$8)-1)/(POWER(L$5,$C$5-L$8)-1))</x:f>
        <x:v>0.6190740140119462</x:v>
      </x:c>
      <x:c r="M131" t="n">
        <x:f>E131*'模块规划'!$F$10+G131*'模块规划'!$F$11+H131*'模块规划'!$F$13</x:f>
        <x:v>4659.644459281488</x:v>
      </x:c>
      <x:c r="N131" t="n">
        <x:f>I131*'模块规划'!$F$15+J131*'模块规划'!$F$17+K131*'模块规划'!$F$16+L131*'模块规划'!$F$18</x:f>
        <x:v>13055.567152195521</x:v>
      </x:c>
      <x:c r="O131" t="n">
        <x:f>1+O$9*SUMPRODUCT($H$10:$L$10,H131:L131)/SUM($H$10:$L$10)</x:f>
        <x:v>2.8093318400391603</x:v>
      </x:c>
      <x:c r="P131" t="n">
        <x:f>M131*O131+N131</x:f>
        <x:v>26146.05469491706</x:v>
      </x:c>
      <x:c r="Q131" t="n">
        <x:f>P131/(P131+'_曲线基线'!$L$2)</x:f>
        <x:v>0.5213980412614054</x:v>
      </x:c>
      <x:c r="R131" t="n">
        <x:f>E131*'模块规划'!$E$10+G131*'模块规划'!$E$11+H131*'模块规划'!$E$13</x:f>
        <x:v>6989.466688922233</x:v>
      </x:c>
      <x:c r="S131" t="n">
        <x:f>I131*'模块规划'!$E$15+J131*'模块规划'!$E$17+K131*'模块规划'!$E$16+L131*'模块规划'!$E$18</x:f>
        <x:v>19583.35072829328</x:v>
      </x:c>
      <x:c r="T131" t="n">
        <x:f>1+T$9*SUMPRODUCT($H$10:$L$10,H131:L131)/SUM($H$10:$L$10)</x:f>
        <x:v>2.8093318400391603</x:v>
      </x:c>
      <x:c r="U131" t="n">
        <x:f>R131*T131+S131</x:f>
        <x:v>39219.082042375594</x:v>
      </x:c>
      <x:c r="V131" t="n">
        <x:f>V$8+(V$9-V$8)*H131</x:f>
        <x:v>0.8862100679750875</x:v>
      </x:c>
      <x:c r="W131" t="n">
        <x:f>IF(B131&lt;$H$8,0,W$8+(W$9-W$8)*H131)</x:f>
        <x:v>0.24828009063344997</x:v>
      </x:c>
      <x:c r="X131" t="n">
        <x:f>X$8+(X$9-X$8)*H131</x:f>
        <x:v>0.4456925623104969</x:v>
      </x:c>
      <x:c r="Y131" t="n">
        <x:f>Y$8+(Y$9-Y$8)*G131</x:f>
        <x:v>1</x:v>
      </x:c>
      <x:c r="Z131" t="n">
        <x:f>Z$8+(Z$9-Z$8)*H131</x:f>
        <x:v>1</x:v>
      </x:c>
      <x:c r="AA131" t="n">
        <x:f>AA$8+(AA$9-AA$8)*I131</x:f>
        <x:v>1</x:v>
      </x:c>
      <x:c r="AB131" t="n">
        <x:f>AB$8+(AB$9-AB$8)*J131</x:f>
        <x:v>1</x:v>
      </x:c>
      <x:c r="AC131" t="n">
        <x:f>AC$8+(AC$9-AC$8)*MAX(K131,L131)</x:f>
        <x:v>1</x:v>
      </x:c>
      <x:c r="AD131" t="n">
        <x:f>(V131*AE131+W131*AF131+X131*AG131)*PRODUCT(Y131:AC131)</x:f>
        <x:v>1.7459643294500427</x:v>
      </x:c>
      <x:c r="AE131" t="n">
        <x:f>1+AE$9*($H$10*H131+$I$10*I131+$J$10*J131+$K$10*K131+$L$10*L131)</x:f>
        <x:v>1</x:v>
      </x:c>
      <x:c r="AF131" t="n">
        <x:f>1+AF$9*($H$10*H131+$I$10*I131+$J$10*J131+$K$10*K131+$L$10*L131)</x:f>
        <x:v>1.1596900166512296</x:v>
      </x:c>
      <x:c r="AG131" t="n">
        <x:f>1+AG$9*($H$10*H131+$I$10*I131+$J$10*J131+$K$10*K131+$L$10*L131)</x:f>
        <x:v>1.283006196176348</x:v>
      </x:c>
      <x:c r="AH131" t="n">
        <x:f>MIN(1,'_曲线基线'!$L$3+AH$9*($H$10*H131+$I$10*I131+$J$10*J131+$K$10*K131+$L$10*L131))</x:f>
        <x:v>0.41329478788154705</x:v>
      </x:c>
      <x:c r="AI131" t="n">
        <x:f>'_曲线基线'!$L$4+AI$9*($H$10*H131+$I$10*I131+$J$10*J131+$K$10*K131+$L$10*L131)</x:f>
        <x:v>3.0120354805271665</x:v>
      </x:c>
      <x:c r="AJ131" t="n">
        <x:f>1+AJ$9*($H$10*H131+$I$10*I131+$J$10*J131+$K$10*K131+$L$10*L131)</x:f>
        <x:v>1.8303880865863933</x:v>
      </x:c>
      <x:c r="AK131" t="n">
        <x:f>(1+AH131*(AI131-1))*AJ131</x:f>
        <x:v>3.352472517490388</x:v>
      </x:c>
      <x:c r="AL131" t="n">
        <x:f>U131*AD131*AK131*F131</x:f>
        <x:v>1147804.7608240375</x:v>
      </x:c>
      <x:c r="AM131" t="n">
        <x:f>IF($B131&lt;AM$8,0,AM$3+(AM$4-AM$3)*(POWER(AM$5,$B131-AM$8)-1)/(POWER(AM$5,$C$5-AM$8)-1))</x:f>
        <x:v>38.04431874667507</x:v>
      </x:c>
      <x:c r="AN131" t="n">
        <x:f>(((E131*'模块规划'!$D$10+G131*'模块规划'!$D$11+H131*'模块规划'!$D$13)*(1+'模块规划'!$G$14*H131)+(I131*'模块规划'!$D$15+J131*'模块规划'!$D$17+K131*'模块规划'!$D$16+L131*'模块规划'!$D$18))*(1+'模块规划'!$J$17*J131))*F131/(1-Q131)</x:f>
        <x:v>1705671.7320073142</x:v>
      </x:c>
      <x:c r="AO131" t="n">
        <x:f>AL131*AM131</x:f>
        <x:v>43667450.179740824</x:v>
      </x:c>
      <x:c r="AP131" t="n">
        <x:f>IF(AO131="","",INDEX('_曲线基线'!$A$3:$A$502,MIN(ROWS('_曲线基线'!$A$3:$A$502),COUNTIF('_曲线基线'!$E$3:$E$502,"&lt;"&amp;AO131)+1)))</x:f>
        <x:v>232</x:v>
      </x:c>
      <x:c r="AQ131" t="n">
        <x:f>IF(B131&lt;=2,1,IF(B131&lt;=6,2,IF(B131&lt;=9,3,IF(B131&lt;=19,4,5))))</x:f>
        <x:v>5</x:v>
      </x:c>
      <x:c r="AR131" t="n">
        <x:f>AN131*(1-Q131)/F131*$AS$3+U131*$AS$4+P131*$AS$5</x:f>
        <x:v>12741.843399897629</x:v>
      </x:c>
      <x:c r="AS131" t="n">
        <x:f>1+AH131*$AS$6+AI131*$AS$7+(AJ131-1)*$AS$8+($H$10*H131+$I$10*I131+$J$10*J131+$K$10*K131+$L$10*L131)*$AU$3*$AS$9+($H$10*H131+$I$10*I131+$J$10*J131+$K$10*K131+$L$10*L131)*$AU$4*$AS$10</x:f>
        <x:v>14.523239942692381</x:v>
      </x:c>
      <x:c r="AT131" t="n">
        <x:f>ROUND(AR131*AS131,0)</x:f>
        <x:v>185053</x:v>
      </x:c>
      <x:c r="AU131" t="n">
        <x:f>ROUND(AT131*F131,0)</x:f>
        <x:v>925265</x:v>
      </x:c>
    </x:row>
    <x:row r="132">
      <x:c r="A132" t="str">
        <x:f>IFERROR(XLOOKUP(B132,'_曲线基线'!$G$3:$G$107,'_曲线基线'!$J$3:$J$107,""),"")</x:f>
      </x:c>
      <x:c r="B132" t="n">
        <x:v>121</x:v>
      </x:c>
      <x:c r="C132" t="n">
        <x:f>C117+1</x:f>
        <x:v>9</x:v>
      </x:c>
      <x:c r="D132" t="n">
        <x:f>D117</x:f>
        <x:v>7</x:v>
      </x:c>
      <x:c r="E132" t="n">
        <x:f>IF($B132&lt;E$8,0,E$3+(E$4-E$3)*(POWER(E$5,$B132-E$8)-1)/(POWER(E$5,$C$5-E$8)-1))</x:f>
        <x:v>1</x:v>
      </x:c>
      <x:c r="F132" t="n">
        <x:f>1+IF(B132&lt;3,0,MIN(1,(B132-2)/4))+IF(B132&lt;7,0,MIN(1,(B132-6)/3))+IF(B132&lt;10,0,MIN(1,(B132-9)/5))+IF(B132&lt;20,0,MIN(1,(B132-19)/10))</x:f>
        <x:v>5</x:v>
      </x:c>
      <x:c r="G132" t="n">
        <x:f>IF($B132&lt;G$8,0,G$3+(G$4-G$3)*(POWER(G$5,$B132-G$8)-1)/(POWER(G$5,$C$5-G$8)-1))</x:f>
        <x:v>0.7646947305362178</x:v>
      </x:c>
      <x:c r="H132" t="n">
        <x:f>IF($B132&lt;H$8,0,H$3+(H$4-H$3)*(POWER(H$5,$B132-H$8)-1)/(POWER(H$5,$C$5-H$8)-1))</x:f>
        <x:v>0.6223527642914638</x:v>
      </x:c>
      <x:c r="I132" t="n">
        <x:f>IF($B132&lt;I$8,0,I$3+(I$4-I$3)*(POWER(I$5,$B132-I$8)-1)/(POWER(I$5,$C$5-I$8)-1))</x:f>
        <x:v>0.45035583502357196</x:v>
      </x:c>
      <x:c r="J132" t="n">
        <x:f>IF($B132&lt;J$8,0,J$3+(J$4-J$3)*(POWER(J$5,$B132-J$8)-1)/(POWER(J$5,$C$5-J$8)-1))</x:f>
        <x:v>0.5078807445948677</x:v>
      </x:c>
      <x:c r="K132" t="n">
        <x:f>IF($B132&lt;K$8,0,K$3+(K$4-K$3)*(POWER(K$5,$B132-K$8)-1)/(POWER(K$5,$C$5-K$8)-1))</x:f>
        <x:v>0.2309419899379081</x:v>
      </x:c>
      <x:c r="L132" t="n">
        <x:f>IF($B132&lt;L$8,0,L$3+(L$4-L$3)*(POWER(L$5,$B132-L$8)-1)/(POWER(L$5,$C$5-L$8)-1))</x:f>
        <x:v>0.620760440563093</x:v>
      </x:c>
      <x:c r="M132" t="n">
        <x:f>E132*'模块规划'!$F$10+G132*'模块规划'!$F$11+H132*'模块规划'!$F$13</x:f>
        <x:v>4670.534706573846</x:v>
      </x:c>
      <x:c r="N132" t="n">
        <x:f>I132*'模块规划'!$F$15+J132*'模块规划'!$F$17+K132*'模块规划'!$F$16+L132*'模块规划'!$F$18</x:f>
        <x:v>13171.108268580165</x:v>
      </x:c>
      <x:c r="O132" t="n">
        <x:f>1+O$9*SUMPRODUCT($H$10:$L$10,H132:L132)/SUM($H$10:$L$10)</x:f>
        <x:v>2.8220824827495132</x:v>
      </x:c>
      <x:c r="P132" t="n">
        <x:f>M132*O132+N132</x:f>
        <x:v>26351.742449075853</x:v>
      </x:c>
      <x:c r="Q132" t="n">
        <x:f>P132/(P132+'_曲线基线'!$L$2)</x:f>
        <x:v>0.5233531386868521</x:v>
      </x:c>
      <x:c r="R132" t="n">
        <x:f>E132*'模块规划'!$E$10+G132*'模块规划'!$E$11+H132*'模块规划'!$E$13</x:f>
        <x:v>7005.802059860768</x:v>
      </x:c>
      <x:c r="S132" t="n">
        <x:f>I132*'模块规划'!$E$15+J132*'模块规划'!$E$17+K132*'模块规划'!$E$16+L132*'模块规划'!$E$18</x:f>
        <x:v>19756.66240287025</x:v>
      </x:c>
      <x:c r="T132" t="n">
        <x:f>1+T$9*SUMPRODUCT($H$10:$L$10,H132:L132)/SUM($H$10:$L$10)</x:f>
        <x:v>2.8220824827495132</x:v>
      </x:c>
      <x:c r="U132" t="n">
        <x:f>R132*T132+S132</x:f>
        <x:v>39527.613673613785</x:v>
      </x:c>
      <x:c r="V132" t="n">
        <x:f>V$8+(V$9-V$8)*H132</x:f>
        <x:v>0.8867058292874391</x:v>
      </x:c>
      <x:c r="W132" t="n">
        <x:f>IF(B132&lt;$H$8,0,W$8+(W$9-W$8)*H132)</x:f>
        <x:v>0.24894110571658554</x:v>
      </x:c>
      <x:c r="X132" t="n">
        <x:f>X$8+(X$9-X$8)*H132</x:f>
        <x:v>0.44614701018015257</x:v>
      </x:c>
      <x:c r="Y132" t="n">
        <x:f>Y$8+(Y$9-Y$8)*G132</x:f>
        <x:v>1</x:v>
      </x:c>
      <x:c r="Z132" t="n">
        <x:f>Z$8+(Z$9-Z$8)*H132</x:f>
        <x:v>1</x:v>
      </x:c>
      <x:c r="AA132" t="n">
        <x:f>AA$8+(AA$9-AA$8)*I132</x:f>
        <x:v>1</x:v>
      </x:c>
      <x:c r="AB132" t="n">
        <x:f>AB$8+(AB$9-AB$8)*J132</x:f>
        <x:v>1</x:v>
      </x:c>
      <x:c r="AC132" t="n">
        <x:f>AC$8+(AC$9-AC$8)*MAX(K132,L132)</x:f>
        <x:v>1</x:v>
      </x:c>
      <x:c r="AD132" t="n">
        <x:f>(V132*AE132+W132*AF132+X132*AG132)*PRODUCT(Y132:AC132)</x:f>
        <x:v>1.7489796617772138</x:v>
      </x:c>
      <x:c r="AE132" t="n">
        <x:f>1+AE$9*($H$10*H132+$I$10*I132+$J$10*J132+$K$10*K132+$L$10*L132)</x:f>
        <x:v>1</x:v>
      </x:c>
      <x:c r="AF132" t="n">
        <x:f>1+AF$9*($H$10*H132+$I$10*I132+$J$10*J132+$K$10*K132+$L$10*L132)</x:f>
        <x:v>1.1608153770199976</x:v>
      </x:c>
      <x:c r="AG132" t="n">
        <x:f>1+AG$9*($H$10*H132+$I$10*I132+$J$10*J132+$K$10*K132+$L$10*L132)</x:f>
        <x:v>1.2850005848298869</x:v>
      </x:c>
      <x:c r="AH132" t="n">
        <x:f>MIN(1,'_曲线基线'!$L$3+AH$9*($H$10*H132+$I$10*I132+$J$10*J132+$K$10*K132+$L$10*L132))</x:f>
        <x:v>0.4158549827204943</x:v>
      </x:c>
      <x:c r="AI132" t="n">
        <x:f>'_曲线基线'!$L$4+AI$9*($H$10*H132+$I$10*I132+$J$10*J132+$K$10*K132+$L$10*L132)</x:f>
        <x:v>3.0191674518642344</x:v>
      </x:c>
      <x:c r="AJ132" t="n">
        <x:f>1+AJ$9*($H$10*H132+$I$10*I132+$J$10*J132+$K$10*K132+$L$10*L132)</x:f>
        <x:v>1.836239960503987</x:v>
      </x:c>
      <x:c r="AK132" t="n">
        <x:f>(1+AH132*(AI132-1))*AJ132</x:f>
        <x:v>3.378095483640521</x:v>
      </x:c>
      <x:c r="AL132" t="n">
        <x:f>U132*AD132*AK132*F132</x:f>
        <x:v>1167689.2468791942</x:v>
      </x:c>
      <x:c r="AM132" t="n">
        <x:f>IF($B132&lt;AM$8,0,AM$3+(AM$4-AM$3)*(POWER(AM$5,$B132-AM$8)-1)/(POWER(AM$5,$C$5-AM$8)-1))</x:f>
        <x:v>38.088186574063684</x:v>
      </x:c>
      <x:c r="AN132" t="n">
        <x:f>(((E132*'模块规划'!$D$10+G132*'模块规划'!$D$11+H132*'模块规划'!$D$13)*(1+'模块规划'!$G$14*H132)+(I132*'模块规划'!$D$15+J132*'模块规划'!$D$17+K132*'模块规划'!$D$16+L132*'模块规划'!$D$18))*(1+'模块规划'!$J$17*J132))*F132/(1-Q132)</x:f>
        <x:v>1726947.9097752497</x:v>
      </x:c>
      <x:c r="AO132" t="n">
        <x:f>AL132*AM132</x:f>
        <x:v>44475165.89566266</x:v>
      </x:c>
      <x:c r="AP132" t="n">
        <x:f>IF(AO132="","",INDEX('_曲线基线'!$A$3:$A$502,MIN(ROWS('_曲线基线'!$A$3:$A$502),COUNTIF('_曲线基线'!$E$3:$E$502,"&lt;"&amp;AO132)+1)))</x:f>
        <x:v>233</x:v>
      </x:c>
      <x:c r="AQ132" t="n">
        <x:f>IF(B132&lt;=2,1,IF(B132&lt;=6,2,IF(B132&lt;=9,3,IF(B132&lt;=19,4,5))))</x:f>
        <x:v>5</x:v>
      </x:c>
      <x:c r="AR132" t="n">
        <x:f>AN132*(1-Q132)/F132*$AS$3+U132*$AS$4+P132*$AS$5</x:f>
        <x:v>12844.3885397968</x:v>
      </x:c>
      <x:c r="AS132" t="n">
        <x:f>1+AH132*$AS$6+AI132*$AS$7+(AJ132-1)*$AS$8+($H$10*H132+$I$10*I132+$J$10*J132+$K$10*K132+$L$10*L132)*$AU$3*$AS$9+($H$10*H132+$I$10*I132+$J$10*J132+$K$10*K132+$L$10*L132)*$AU$4*$AS$10</x:f>
        <x:v>14.590481503416992</x:v>
      </x:c>
      <x:c r="AT132" t="n">
        <x:f>ROUND(AR132*AS132,0)</x:f>
        <x:v>187406</x:v>
      </x:c>
      <x:c r="AU132" t="n">
        <x:f>ROUND(AT132*F132,0)</x:f>
        <x:v>937030</x:v>
      </x:c>
    </x:row>
    <x:row r="133">
      <x:c r="A133" t="str">
        <x:f>IFERROR(XLOOKUP(B133,'_曲线基线'!$G$3:$G$107,'_曲线基线'!$J$3:$J$107,""),"")</x:f>
      </x:c>
      <x:c r="B133" t="n">
        <x:v>122</x:v>
      </x:c>
      <x:c r="C133" t="n">
        <x:f>C118+1</x:f>
        <x:v>9</x:v>
      </x:c>
      <x:c r="D133" t="n">
        <x:f>D118</x:f>
        <x:v>8</x:v>
      </x:c>
      <x:c r="E133" t="n">
        <x:f>IF($B133&lt;E$8,0,E$3+(E$4-E$3)*(POWER(E$5,$B133-E$8)-1)/(POWER(E$5,$C$5-E$8)-1))</x:f>
        <x:v>1</x:v>
      </x:c>
      <x:c r="F133" t="n">
        <x:f>1+IF(B133&lt;3,0,MIN(1,(B133-2)/4))+IF(B133&lt;7,0,MIN(1,(B133-6)/3))+IF(B133&lt;10,0,MIN(1,(B133-9)/5))+IF(B133&lt;20,0,MIN(1,(B133-19)/10))</x:f>
        <x:v>5</x:v>
      </x:c>
      <x:c r="G133" t="n">
        <x:f>IF($B133&lt;G$8,0,G$3+(G$4-G$3)*(POWER(G$5,$B133-G$8)-1)/(POWER(G$5,$C$5-G$8)-1))</x:f>
        <x:v>0.7669295000326705</x:v>
      </x:c>
      <x:c r="H133" t="n">
        <x:f>IF($B133&lt;H$8,0,H$3+(H$4-H$3)*(POWER(H$5,$B133-H$8)-1)/(POWER(H$5,$C$5-H$8)-1))</x:f>
        <x:v>0.6239722512451459</x:v>
      </x:c>
      <x:c r="I133" t="n">
        <x:f>IF($B133&lt;I$8,0,I$3+(I$4-I$3)*(POWER(I$5,$B133-I$8)-1)/(POWER(I$5,$C$5-I$8)-1))</x:f>
        <x:v>0.45451980966616873</x:v>
      </x:c>
      <x:c r="J133" t="n">
        <x:f>IF($B133&lt;J$8,0,J$3+(J$4-J$3)*(POWER(J$5,$B133-J$8)-1)/(POWER(J$5,$C$5-J$8)-1))</x:f>
        <x:v>0.5098020741946941</x:v>
      </x:c>
      <x:c r="K133" t="n">
        <x:f>IF($B133&lt;K$8,0,K$3+(K$4-K$3)*(POWER(K$5,$B133-K$8)-1)/(POWER(K$5,$C$5-K$8)-1))</x:f>
        <x:v>0.23968227507412346</x:v>
      </x:c>
      <x:c r="L133" t="n">
        <x:f>IF($B133&lt;L$8,0,L$3+(L$4-L$3)*(POWER(L$5,$B133-L$8)-1)/(POWER(L$5,$C$5-L$8)-1))</x:f>
        <x:v>0.6224131385832168</x:v>
      </x:c>
      <x:c r="M133" t="n">
        <x:f>E133*'模块规划'!$F$10+G133*'模块规划'!$F$11+H133*'模块规划'!$F$13</x:f>
        <x:v>4681.2616001568185</x:v>
      </x:c>
      <x:c r="N133" t="n">
        <x:f>I133*'模块规划'!$F$15+J133*'模块规划'!$F$17+K133*'模块规划'!$F$16+L133*'模块规划'!$F$18</x:f>
        <x:v>13284.338562637116</x:v>
      </x:c>
      <x:c r="O133" t="n">
        <x:f>1+O$9*SUMPRODUCT($H$10:$L$10,H133:L133)/SUM($H$10:$L$10)</x:f>
        <x:v>2.834578112605659</x:v>
      </x:c>
      <x:c r="P133" t="n">
        <x:f>M133*O133+N133</x:f>
        <x:v>26553.74023382298</x:v>
      </x:c>
      <x:c r="Q133" t="n">
        <x:f>P133/(P133+'_曲线基线'!$L$2)</x:f>
        <x:v>0.5252576784824557</x:v>
      </x:c>
      <x:c r="R133" t="n">
        <x:f>E133*'模块规划'!$E$10+G133*'模块规划'!$E$11+H133*'模块规划'!$E$13</x:f>
        <x:v>7021.892400235227</x:v>
      </x:c>
      <x:c r="S133" t="n">
        <x:f>I133*'模块规划'!$E$15+J133*'模块规划'!$E$17+K133*'模块规划'!$E$16+L133*'模块规划'!$E$18</x:f>
        <x:v>19926.507843955675</x:v>
      </x:c>
      <x:c r="T133" t="n">
        <x:f>1+T$9*SUMPRODUCT($H$10:$L$10,H133:L133)/SUM($H$10:$L$10)</x:f>
        <x:v>2.834578112605659</x:v>
      </x:c>
      <x:c r="U133" t="n">
        <x:f>R133*T133+S133</x:f>
        <x:v>39830.61035073447</x:v>
      </x:c>
      <x:c r="V133" t="n">
        <x:f>V$8+(V$9-V$8)*H133</x:f>
        <x:v>0.8871916753735437</x:v>
      </x:c>
      <x:c r="W133" t="n">
        <x:f>IF(B133&lt;$H$8,0,W$8+(W$9-W$8)*H133)</x:f>
        <x:v>0.24958890049805837</x:v>
      </x:c>
      <x:c r="X133" t="n">
        <x:f>X$8+(X$9-X$8)*H133</x:f>
        <x:v>0.4465923690924152</x:v>
      </x:c>
      <x:c r="Y133" t="n">
        <x:f>Y$8+(Y$9-Y$8)*G133</x:f>
        <x:v>1</x:v>
      </x:c>
      <x:c r="Z133" t="n">
        <x:f>Z$8+(Z$9-Z$8)*H133</x:f>
        <x:v>1</x:v>
      </x:c>
      <x:c r="AA133" t="n">
        <x:f>AA$8+(AA$9-AA$8)*I133</x:f>
        <x:v>1</x:v>
      </x:c>
      <x:c r="AB133" t="n">
        <x:f>AB$8+(AB$9-AB$8)*J133</x:f>
        <x:v>1</x:v>
      </x:c>
      <x:c r="AC133" t="n">
        <x:f>AC$8+(AC$9-AC$8)*MAX(K133,L133)</x:f>
        <x:v>1</x:v>
      </x:c>
      <x:c r="AD133" t="n">
        <x:f>(V133*AE133+W133*AF133+X133*AG133)*PRODUCT(Y133:AC133)</x:f>
        <x:v>1.7519378895560864</x:v>
      </x:c>
      <x:c r="AE133" t="n">
        <x:f>1+AE$9*($H$10*H133+$I$10*I133+$J$10*J133+$K$10*K133+$L$10*L133)</x:f>
        <x:v>1</x:v>
      </x:c>
      <x:c r="AF133" t="n">
        <x:f>1+AF$9*($H$10*H133+$I$10*I133+$J$10*J133+$K$10*K133+$L$10*L133)</x:f>
        <x:v>1.1619182301813904</x:v>
      </x:c>
      <x:c r="AG133" t="n">
        <x:f>1+AG$9*($H$10*H133+$I$10*I133+$J$10*J133+$K$10*K133+$L$10*L133)</x:f>
        <x:v>1.286955085710355</x:v>
      </x:c>
      <x:c r="AH133" t="n">
        <x:f>MIN(1,'_曲线基线'!$L$3+AH$9*($H$10*H133+$I$10*I133+$J$10*J133+$K$10*K133+$L$10*L133))</x:f>
        <x:v>0.4183639736626625</x:v>
      </x:c>
      <x:c r="AI133" t="n">
        <x:f>'_曲线基线'!$L$4+AI$9*($H$10*H133+$I$10*I133+$J$10*J133+$K$10*K133+$L$10*L133)</x:f>
        <x:v>3.02615678377456</x:v>
      </x:c>
      <x:c r="AJ133" t="n">
        <x:f>1+AJ$9*($H$10*H133+$I$10*I133+$J$10*J133+$K$10*K133+$L$10*L133)</x:f>
        <x:v>1.8419747969432287</x:v>
      </x:c>
      <x:c r="AK133" t="n">
        <x:f>(1+AH133*(AI133-1))*AJ133</x:f>
        <x:v>3.403363421164668</x:v>
      </x:c>
      <x:c r="AL133" t="n">
        <x:f>U133*AD133*AK133*F133</x:f>
        <x:v>1187446.352787768</x:v>
      </x:c>
      <x:c r="AM133" t="n">
        <x:f>IF($B133&lt;AM$8,0,AM$3+(AM$4-AM$3)*(POWER(AM$5,$B133-AM$8)-1)/(POWER(AM$5,$C$5-AM$8)-1))</x:f>
        <x:v>38.13249307972619</x:v>
      </x:c>
      <x:c r="AN133" t="n">
        <x:f>(((E133*'模块规划'!$D$10+G133*'模块规划'!$D$11+H133*'模块规划'!$D$13)*(1+'模块规划'!$G$14*H133)+(I133*'模块规划'!$D$15+J133*'模块规划'!$D$17+K133*'模块规划'!$D$16+L133*'模块规划'!$D$18))*(1+'模块规划'!$J$17*J133))*F133/(1-Q133)</x:f>
        <x:v>1747969.8178903102</x:v>
      </x:c>
      <x:c r="AO133" t="n">
        <x:f>AL133*AM133</x:f>
        <x:v>45280289.83022567</x:v>
      </x:c>
      <x:c r="AP133" t="n">
        <x:f>IF(AO133="","",INDEX('_曲线基线'!$A$3:$A$502,MIN(ROWS('_曲线基线'!$A$3:$A$502),COUNTIF('_曲线基线'!$E$3:$E$502,"&lt;"&amp;AO133)+1)))</x:f>
        <x:v>235</x:v>
      </x:c>
      <x:c r="AQ133" t="n">
        <x:f>IF(B133&lt;=2,1,IF(B133&lt;=6,2,IF(B133&lt;=9,3,IF(B133&lt;=19,4,5))))</x:f>
        <x:v>5</x:v>
      </x:c>
      <x:c r="AR133" t="n">
        <x:f>AN133*(1-Q133)/F133*$AS$3+U133*$AS$4+P133*$AS$5</x:f>
        <x:v>12945.133565873963</x:v>
      </x:c>
      <x:c r="AS133" t="n">
        <x:f>1+AH133*$AS$6+AI133*$AS$7+(AJ133-1)*$AS$8+($H$10*H133+$I$10*I133+$J$10*J133+$K$10*K133+$L$10*L133)*$AU$3*$AS$9+($H$10*H133+$I$10*I133+$J$10*J133+$K$10*K133+$L$10*L133)*$AU$4*$AS$10</x:f>
        <x:v>14.656378232927104</x:v>
      </x:c>
      <x:c r="AT133" t="n">
        <x:f>ROUND(AR133*AS133,0)</x:f>
        <x:v>189729</x:v>
      </x:c>
      <x:c r="AU133" t="n">
        <x:f>ROUND(AT133*F133,0)</x:f>
        <x:v>948645</x:v>
      </x:c>
    </x:row>
    <x:row r="134">
      <x:c r="A134" t="str">
        <x:f>IFERROR(XLOOKUP(B134,'_曲线基线'!$G$3:$G$107,'_曲线基线'!$J$3:$J$107,""),"")</x:f>
      </x:c>
      <x:c r="B134" t="n">
        <x:v>123</x:v>
      </x:c>
      <x:c r="C134" t="n">
        <x:f>C119+1</x:f>
        <x:v>9</x:v>
      </x:c>
      <x:c r="D134" t="n">
        <x:f>D119</x:f>
        <x:v>9</x:v>
      </x:c>
      <x:c r="E134" t="n">
        <x:f>IF($B134&lt;E$8,0,E$3+(E$4-E$3)*(POWER(E$5,$B134-E$8)-1)/(POWER(E$5,$C$5-E$8)-1))</x:f>
        <x:v>1</x:v>
      </x:c>
      <x:c r="F134" t="n">
        <x:f>1+IF(B134&lt;3,0,MIN(1,(B134-2)/4))+IF(B134&lt;7,0,MIN(1,(B134-6)/3))+IF(B134&lt;10,0,MIN(1,(B134-9)/5))+IF(B134&lt;20,0,MIN(1,(B134-19)/10))</x:f>
        <x:v>5</x:v>
      </x:c>
      <x:c r="G134" t="n">
        <x:f>IF($B134&lt;G$8,0,G$3+(G$4-G$3)*(POWER(G$5,$B134-G$8)-1)/(POWER(G$5,$C$5-G$8)-1))</x:f>
        <x:v>0.7691307479866761</x:v>
      </x:c>
      <x:c r="H134" t="n">
        <x:f>IF($B134&lt;H$8,0,H$3+(H$4-H$3)*(POWER(H$5,$B134-H$8)-1)/(POWER(H$5,$C$5-H$8)-1))</x:f>
        <x:v>0.6255593484597542</x:v>
      </x:c>
      <x:c r="I134" t="n">
        <x:f>IF($B134&lt;I$8,0,I$3+(I$4-I$3)*(POWER(I$5,$B134-I$8)-1)/(POWER(I$5,$C$5-I$8)-1))</x:f>
        <x:v>0.4586005048159135</x:v>
      </x:c>
      <x:c r="J134" t="n">
        <x:f>IF($B134&lt;J$8,0,J$3+(J$4-J$3)*(POWER(J$5,$B134-J$8)-1)/(POWER(J$5,$C$5-J$8)-1))</x:f>
        <x:v>0.5116849772025243</x:v>
      </x:c>
      <x:c r="K134" t="n">
        <x:f>IF($B134&lt;K$8,0,K$3+(K$4-K$3)*(POWER(K$5,$B134-K$8)-1)/(POWER(K$5,$C$5-K$8)-1))</x:f>
        <x:v>0.24824775450761452</x:v>
      </x:c>
      <x:c r="L134" t="n">
        <x:f>IF($B134&lt;L$8,0,L$3+(L$4-L$3)*(POWER(L$5,$B134-L$8)-1)/(POWER(L$5,$C$5-L$8)-1))</x:f>
        <x:v>0.6240327826429382</x:v>
      </x:c>
      <x:c r="M134" t="n">
        <x:f>E134*'模块规划'!$F$10+G134*'模块规划'!$F$11+H134*'模块规划'!$F$13</x:f>
        <x:v>4691.827590336045</x:v>
      </x:c>
      <x:c r="N134" t="n">
        <x:f>I134*'模块规划'!$F$15+J134*'模块规划'!$F$17+K134*'模块规划'!$F$16+L134*'模块规划'!$F$18</x:f>
        <x:v>13395.304250812927</x:v>
      </x:c>
      <x:c r="O134" t="n">
        <x:f>1+O$9*SUMPRODUCT($H$10:$L$10,H134:L134)/SUM($H$10:$L$10)</x:f>
        <x:v>2.8468238298646824</x:v>
      </x:c>
      <x:c r="P134" t="n">
        <x:f>M134*O134+N134</x:f>
        <x:v>26752.110840598172</x:v>
      </x:c>
      <x:c r="Q134" t="n">
        <x:f>P134/(P134+'_曲线基线'!$L$2)</x:f>
        <x:v>0.5271132647984039</x:v>
      </x:c>
      <x:c r="R134" t="n">
        <x:f>E134*'模块规划'!$E$10+G134*'模块规划'!$E$11+H134*'模块规划'!$E$13</x:f>
        <x:v>7037.741385504069</x:v>
      </x:c>
      <x:c r="S134" t="n">
        <x:f>I134*'模块规划'!$E$15+J134*'模块规划'!$E$17+K134*'模块规划'!$E$16+L134*'模块规划'!$E$18</x:f>
        <x:v>20092.956376219394</x:v>
      </x:c>
      <x:c r="T134" t="n">
        <x:f>1+T$9*SUMPRODUCT($H$10:$L$10,H134:L134)/SUM($H$10:$L$10)</x:f>
        <x:v>2.8468238298646824</x:v>
      </x:c>
      <x:c r="U134" t="n">
        <x:f>R134*T134+S134</x:f>
        <x:v>40128.16626089726</x:v>
      </x:c>
      <x:c r="V134" t="n">
        <x:f>V$8+(V$9-V$8)*H134</x:f>
        <x:v>0.8876678045379263</x:v>
      </x:c>
      <x:c r="W134" t="n">
        <x:f>IF(B134&lt;$H$8,0,W$8+(W$9-W$8)*H134)</x:f>
        <x:v>0.2502237393839017</x:v>
      </x:c>
      <x:c r="X134" t="n">
        <x:f>X$8+(X$9-X$8)*H134</x:f>
        <x:v>0.44702882082643247</x:v>
      </x:c>
      <x:c r="Y134" t="n">
        <x:f>Y$8+(Y$9-Y$8)*G134</x:f>
        <x:v>1</x:v>
      </x:c>
      <x:c r="Z134" t="n">
        <x:f>Z$8+(Z$9-Z$8)*H134</x:f>
        <x:v>1</x:v>
      </x:c>
      <x:c r="AA134" t="n">
        <x:f>AA$8+(AA$9-AA$8)*I134</x:f>
        <x:v>1</x:v>
      </x:c>
      <x:c r="AB134" t="n">
        <x:f>AB$8+(AB$9-AB$8)*J134</x:f>
        <x:v>1</x:v>
      </x:c>
      <x:c r="AC134" t="n">
        <x:f>AC$8+(AC$9-AC$8)*MAX(K134,L134)</x:f>
        <x:v>1</x:v>
      </x:c>
      <x:c r="AD134" t="n">
        <x:f>(V134*AE134+W134*AF134+X134*AG134)*PRODUCT(Y134:AC134)</x:f>
        <x:v>1.7548400280745353</x:v>
      </x:c>
      <x:c r="AE134" t="n">
        <x:f>1+AE$9*($H$10*H134+$I$10*I134+$J$10*J134+$K$10*K134+$L$10*L134)</x:f>
        <x:v>1</x:v>
      </x:c>
      <x:c r="AF134" t="n">
        <x:f>1+AF$9*($H$10*H134+$I$10*I134+$J$10*J134+$K$10*K134+$L$10*L134)</x:f>
        <x:v>1.162999026279555</x:v>
      </x:c>
      <x:c r="AG134" t="n">
        <x:f>1+AG$9*($H$10*H134+$I$10*I134+$J$10*J134+$K$10*K134+$L$10*L134)</x:f>
        <x:v>1.2888704965732138</x:v>
      </x:c>
      <x:c r="AH134" t="n">
        <x:f>MIN(1,'_曲线基线'!$L$3+AH$9*($H$10*H134+$I$10*I134+$J$10*J134+$K$10*K134+$L$10*L134))</x:f>
        <x:v>0.4208227847859874</x:v>
      </x:c>
      <x:c r="AI134" t="n">
        <x:f>'_曲线基线'!$L$4+AI$9*($H$10*H134+$I$10*I134+$J$10*J134+$K$10*K134+$L$10*L134)</x:f>
        <x:v>3.033006329046679</x:v>
      </x:c>
      <x:c r="AJ134" t="n">
        <x:f>1+AJ$9*($H$10*H134+$I$10*I134+$J$10*J134+$K$10*K134+$L$10*L134)</x:f>
        <x:v>1.8475949366536857</x:v>
      </x:c>
      <x:c r="AK134" t="n">
        <x:f>(1+AH134*(AI134-1))*AJ134</x:f>
        <x:v>3.428277781880421</x:v>
      </x:c>
      <x:c r="AL134" t="n">
        <x:f>U134*AD134*AK134*F134</x:f>
        <x:v>1207071.1076045586</x:v>
      </x:c>
      <x:c r="AM134" t="n">
        <x:f>IF($B134&lt;AM$8,0,AM$3+(AM$4-AM$3)*(POWER(AM$5,$B134-AM$8)-1)/(POWER(AM$5,$C$5-AM$8)-1))</x:f>
        <x:v>38.17724265044532</x:v>
      </x:c>
      <x:c r="AN134" t="n">
        <x:f>(((E134*'模块规划'!$D$10+G134*'模块规划'!$D$11+H134*'模块规划'!$D$13)*(1+'模块规划'!$G$14*H134)+(I134*'模块规划'!$D$15+J134*'模块规划'!$D$17+K134*'模块规划'!$D$16+L134*'模块规划'!$D$18))*(1+'模块规划'!$J$17*J134))*F134/(1-Q134)</x:f>
        <x:v>1768737.0406422317</x:v>
      </x:c>
      <x:c r="AO134" t="n">
        <x:f>AL134*AM134</x:f>
        <x:v>46082646.57136103</x:v>
      </x:c>
      <x:c r="AP134" t="n">
        <x:f>IF(AO134="","",INDEX('_曲线基线'!$A$3:$A$502,MIN(ROWS('_曲线基线'!$A$3:$A$502),COUNTIF('_曲线基线'!$E$3:$E$502,"&lt;"&amp;AO134)+1)))</x:f>
        <x:v>236</x:v>
      </x:c>
      <x:c r="AQ134" t="n">
        <x:f>IF(B134&lt;=2,1,IF(B134&lt;=6,2,IF(B134&lt;=9,3,IF(B134&lt;=19,4,5))))</x:f>
        <x:v>5</x:v>
      </x:c>
      <x:c r="AR134" t="n">
        <x:f>AN134*(1-Q134)/F134*$AS$3+U134*$AS$4+P134*$AS$5</x:f>
        <x:v>13044.106959656077</x:v>
      </x:c>
      <x:c r="AS134" t="n">
        <x:f>1+AH134*$AS$6+AI134*$AS$7+(AJ134-1)*$AS$8+($H$10*H134+$I$10*I134+$J$10*J134+$K$10*K134+$L$10*L134)*$AU$3*$AS$9+($H$10*H134+$I$10*I134+$J$10*J134+$K$10*K134+$L$10*L134)*$AU$4*$AS$10</x:f>
        <x:v>14.720957027847017</x:v>
      </x:c>
      <x:c r="AT134" t="n">
        <x:f>ROUND(AR134*AS134,0)</x:f>
        <x:v>192022</x:v>
      </x:c>
      <x:c r="AU134" t="n">
        <x:f>ROUND(AT134*F134,0)</x:f>
        <x:v>960110</x:v>
      </x:c>
    </x:row>
    <x:row r="135">
      <x:c r="A135" t="str">
        <x:f>IFERROR(XLOOKUP(B135,'_曲线基线'!$G$3:$G$107,'_曲线基线'!$J$3:$J$107,""),"")</x:f>
      </x:c>
      <x:c r="B135" t="n">
        <x:v>124</x:v>
      </x:c>
      <x:c r="C135" t="n">
        <x:f>C120+1</x:f>
        <x:v>9</x:v>
      </x:c>
      <x:c r="D135" t="n">
        <x:f>D120</x:f>
        <x:v>10</x:v>
      </x:c>
      <x:c r="E135" t="n">
        <x:f>IF($B135&lt;E$8,0,E$3+(E$4-E$3)*(POWER(E$5,$B135-E$8)-1)/(POWER(E$5,$C$5-E$8)-1))</x:f>
        <x:v>1</x:v>
      </x:c>
      <x:c r="F135" t="n">
        <x:f>1+IF(B135&lt;3,0,MIN(1,(B135-2)/4))+IF(B135&lt;7,0,MIN(1,(B135-6)/3))+IF(B135&lt;10,0,MIN(1,(B135-9)/5))+IF(B135&lt;20,0,MIN(1,(B135-19)/10))</x:f>
        <x:v>5</x:v>
      </x:c>
      <x:c r="G135" t="n">
        <x:f>IF($B135&lt;G$8,0,G$3+(G$4-G$3)*(POWER(G$5,$B135-G$8)-1)/(POWER(G$5,$C$5-G$8)-1))</x:f>
        <x:v>0.771298977221372</x:v>
      </x:c>
      <x:c r="H135" t="n">
        <x:f>IF($B135&lt;H$8,0,H$3+(H$4-H$3)*(POWER(H$5,$B135-H$8)-1)/(POWER(H$5,$C$5-H$8)-1))</x:f>
        <x:v>0.6271147037300705</x:v>
      </x:c>
      <x:c r="I135" t="n">
        <x:f>IF($B135&lt;I$8,0,I$3+(I$4-I$3)*(POWER(I$5,$B135-I$8)-1)/(POWER(I$5,$C$5-I$8)-1))</x:f>
        <x:v>0.4625995860626635</x:v>
      </x:c>
      <x:c r="J135" t="n">
        <x:f>IF($B135&lt;J$8,0,J$3+(J$4-J$3)*(POWER(J$5,$B135-J$8)-1)/(POWER(J$5,$C$5-J$8)-1))</x:f>
        <x:v>0.5135302221501976</x:v>
      </x:c>
      <x:c r="K135" t="n">
        <x:f>IF($B135&lt;K$8,0,K$3+(K$4-K$3)*(POWER(K$5,$B135-K$8)-1)/(POWER(K$5,$C$5-K$8)-1))</x:f>
        <x:v>0.2566419243524357</x:v>
      </x:c>
      <x:c r="L135" t="n">
        <x:f>IF($B135&lt;L$8,0,L$3+(L$4-L$3)*(POWER(L$5,$B135-L$8)-1)/(POWER(L$5,$C$5-L$8)-1))</x:f>
        <x:v>0.625620033821465</x:v>
      </x:c>
      <x:c r="M135" t="n">
        <x:f>E135*'模块规划'!$F$10+G135*'模块规划'!$F$11+H135*'模块规划'!$F$13</x:f>
        <x:v>4702.235090662585</x:v>
      </x:c>
      <x:c r="N135" t="n">
        <x:f>I135*'模块规划'!$F$15+J135*'模块规划'!$F$17+K135*'模块规划'!$F$16+L135*'模块规划'!$F$18</x:f>
        <x:v>13504.050625225223</x:v>
      </x:c>
      <x:c r="O135" t="n">
        <x:f>1+O$9*SUMPRODUCT($H$10:$L$10,H135:L135)/SUM($H$10:$L$10)</x:f>
        <x:v>2.8588246327785245</x:v>
      </x:c>
      <x:c r="P135" t="n">
        <x:f>M135*O135+N135</x:f>
        <x:v>26946.91613152698</x:v>
      </x:c>
      <x:c r="Q135" t="n">
        <x:f>P135/(P135+'_曲线基线'!$L$2)</x:f>
        <x:v>0.5289214377953622</x:v>
      </x:c>
      <x:c r="R135" t="n">
        <x:f>E135*'模块规划'!$E$10+G135*'模块规划'!$E$11+H135*'模块规划'!$E$13</x:f>
        <x:v>7053.352635993878</x:v>
      </x:c>
      <x:c r="S135" t="n">
        <x:f>I135*'模块规划'!$E$15+J135*'模块规划'!$E$17+K135*'模块规划'!$E$16+L135*'模块规划'!$E$18</x:f>
        <x:v>20256.075937837835</x:v>
      </x:c>
      <x:c r="T135" t="n">
        <x:f>1+T$9*SUMPRODUCT($H$10:$L$10,H135:L135)/SUM($H$10:$L$10)</x:f>
        <x:v>2.8588246327785245</x:v>
      </x:c>
      <x:c r="U135" t="n">
        <x:f>R135*T135+S135</x:f>
        <x:v>40420.37419729047</x:v>
      </x:c>
      <x:c r="V135" t="n">
        <x:f>V$8+(V$9-V$8)*H135</x:f>
        <x:v>0.8881344111190211</x:v>
      </x:c>
      <x:c r="W135" t="n">
        <x:f>IF(B135&lt;$H$8,0,W$8+(W$9-W$8)*H135)</x:f>
        <x:v>0.2508458814920282</x:v>
      </x:c>
      <x:c r="X135" t="n">
        <x:f>X$8+(X$9-X$8)*H135</x:f>
        <x:v>0.4474565435257694</x:v>
      </x:c>
      <x:c r="Y135" t="n">
        <x:f>Y$8+(Y$9-Y$8)*G135</x:f>
        <x:v>1</x:v>
      </x:c>
      <x:c r="Z135" t="n">
        <x:f>Z$8+(Z$9-Z$8)*H135</x:f>
        <x:v>1</x:v>
      </x:c>
      <x:c r="AA135" t="n">
        <x:f>AA$8+(AA$9-AA$8)*I135</x:f>
        <x:v>1</x:v>
      </x:c>
      <x:c r="AB135" t="n">
        <x:f>AB$8+(AB$9-AB$8)*J135</x:f>
        <x:v>1</x:v>
      </x:c>
      <x:c r="AC135" t="n">
        <x:f>AC$8+(AC$9-AC$8)*MAX(K135,L135)</x:f>
        <x:v>1</x:v>
      </x:c>
      <x:c r="AD135" t="n">
        <x:f>(V135*AE135+W135*AF135+X135*AG135)*PRODUCT(Y135:AC135)</x:f>
        <x:v>1.7576870773360809</x:v>
      </x:c>
      <x:c r="AE135" t="n">
        <x:f>1+AE$9*($H$10*H135+$I$10*I135+$J$10*J135+$K$10*K135+$L$10*L135)</x:f>
        <x:v>1</x:v>
      </x:c>
      <x:c r="AF135" t="n">
        <x:f>1+AF$9*($H$10*H135+$I$10*I135+$J$10*J135+$K$10*K135+$L$10*L135)</x:f>
        <x:v>1.1640582064557565</x:v>
      </x:c>
      <x:c r="AG135" t="n">
        <x:f>1+AG$9*($H$10*H135+$I$10*I135+$J$10*J135+$K$10*K135+$L$10*L135)</x:f>
        <x:v>1.290747599218815</x:v>
      </x:c>
      <x:c r="AH135" t="n">
        <x:f>MIN(1,'_曲线基线'!$L$3+AH$9*($H$10*H135+$I$10*I135+$J$10*J135+$K$10*K135+$L$10*L135))</x:f>
        <x:v>0.4232324196868457</x:v>
      </x:c>
      <x:c r="AI135" t="n">
        <x:f>'_曲线基线'!$L$4+AI$9*($H$10*H135+$I$10*I135+$J$10*J135+$K$10*K135+$L$10*L135)</x:f>
        <x:v>3.039718883413356</x:v>
      </x:c>
      <x:c r="AJ135" t="n">
        <x:f>1+AJ$9*($H$10*H135+$I$10*I135+$J$10*J135+$K$10*K135+$L$10*L135)</x:f>
        <x:v>1.8531026735699332</x:v>
      </x:c>
      <x:c r="AK135" t="n">
        <x:f>(1+AH135*(AI135-1))*AJ135</x:f>
        <x:v>3.4528401778275892</x:v>
      </x:c>
      <x:c r="AL135" t="n">
        <x:f>U135*AD135*AK135*F135</x:f>
        <x:v>1226558.79355257</x:v>
      </x:c>
      <x:c r="AM135" t="n">
        <x:f>IF($B135&lt;AM$8,0,AM$3+(AM$4-AM$3)*(POWER(AM$5,$B135-AM$8)-1)/(POWER(AM$5,$C$5-AM$8)-1))</x:f>
        <x:v>38.22243971687164</x:v>
      </x:c>
      <x:c r="AN135" t="n">
        <x:f>(((E135*'模块规划'!$D$10+G135*'模块规划'!$D$11+H135*'模块规划'!$D$13)*(1+'模块规划'!$G$14*H135)+(I135*'模块规划'!$D$15+J135*'模块规划'!$D$17+K135*'模块规划'!$D$16+L135*'模块规划'!$D$18))*(1+'模块规划'!$J$17*J135))*F135/(1-Q135)</x:f>
        <x:v>1789249.342345977</x:v>
      </x:c>
      <x:c r="AO135" t="n">
        <x:f>AL135*AM135</x:f>
        <x:v>46882069.54576191</x:v>
      </x:c>
      <x:c r="AP135" t="n">
        <x:f>IF(AO135="","",INDEX('_曲线基线'!$A$3:$A$502,MIN(ROWS('_曲线基线'!$A$3:$A$502),COUNTIF('_曲线基线'!$E$3:$E$502,"&lt;"&amp;AO135)+1)))</x:f>
        <x:v>237</x:v>
      </x:c>
      <x:c r="AQ135" t="n">
        <x:f>IF(B135&lt;=2,1,IF(B135&lt;=6,2,IF(B135&lt;=9,3,IF(B135&lt;=19,4,5))))</x:f>
        <x:v>5</x:v>
      </x:c>
      <x:c r="AR135" t="n">
        <x:f>AN135*(1-Q135)/F135*$AS$3+U135*$AS$4+P135*$AS$5</x:f>
        <x:v>13141.336885165714</x:v>
      </x:c>
      <x:c r="AS135" t="n">
        <x:f>1+AH135*$AS$6+AI135*$AS$7+(AJ135-1)*$AS$8+($H$10*H135+$I$10*I135+$J$10*J135+$K$10*K135+$L$10*L135)*$AU$3*$AS$9+($H$10*H135+$I$10*I135+$J$10*J135+$K$10*K135+$L$10*L135)*$AU$4*$AS$10</x:f>
        <x:v>14.784244246868528</x:v>
      </x:c>
      <x:c r="AT135" t="n">
        <x:f>ROUND(AR135*AS135,0)</x:f>
        <x:v>194285</x:v>
      </x:c>
      <x:c r="AU135" t="n">
        <x:f>ROUND(AT135*F135,0)</x:f>
        <x:v>971425</x:v>
      </x:c>
    </x:row>
    <x:row r="136">
      <x:c r="A136" t="str">
        <x:f>IFERROR(XLOOKUP(B136,'_曲线基线'!$G$3:$G$107,'_曲线基线'!$J$3:$J$107,""),"")</x:f>
      </x:c>
      <x:c r="B136" t="n">
        <x:v>125</x:v>
      </x:c>
      <x:c r="C136" t="n">
        <x:f>C121+1</x:f>
        <x:v>9</x:v>
      </x:c>
      <x:c r="D136" t="n">
        <x:f>D121</x:f>
        <x:v>11</x:v>
      </x:c>
      <x:c r="E136" t="n">
        <x:f>IF($B136&lt;E$8,0,E$3+(E$4-E$3)*(POWER(E$5,$B136-E$8)-1)/(POWER(E$5,$C$5-E$8)-1))</x:f>
        <x:v>1</x:v>
      </x:c>
      <x:c r="F136" t="n">
        <x:f>1+IF(B136&lt;3,0,MIN(1,(B136-2)/4))+IF(B136&lt;7,0,MIN(1,(B136-6)/3))+IF(B136&lt;10,0,MIN(1,(B136-9)/5))+IF(B136&lt;20,0,MIN(1,(B136-19)/10))</x:f>
        <x:v>5</x:v>
      </x:c>
      <x:c r="G136" t="n">
        <x:f>IF($B136&lt;G$8,0,G$3+(G$4-G$3)*(POWER(G$5,$B136-G$8)-1)/(POWER(G$5,$C$5-G$8)-1))</x:f>
        <x:v>0.7734346830175471</x:v>
      </x:c>
      <x:c r="H136" t="n">
        <x:f>IF($B136&lt;H$8,0,H$3+(H$4-H$3)*(POWER(H$5,$B136-H$8)-1)/(POWER(H$5,$C$5-H$8)-1))</x:f>
        <x:v>0.6286389518949804</x:v>
      </x:c>
      <x:c r="I136" t="n">
        <x:f>IF($B136&lt;I$8,0,I$3+(I$4-I$3)*(POWER(I$5,$B136-I$8)-1)/(POWER(I$5,$C$5-I$8)-1))</x:f>
        <x:v>0.4665186856844784</x:v>
      </x:c>
      <x:c r="J136" t="n">
        <x:f>IF($B136&lt;J$8,0,J$3+(J$4-J$3)*(POWER(J$5,$B136-J$8)-1)/(POWER(J$5,$C$5-J$8)-1))</x:f>
        <x:v>0.5153385621989176</x:v>
      </x:c>
      <x:c r="K136" t="n">
        <x:f>IF($B136&lt;K$8,0,K$3+(K$4-K$3)*(POWER(K$5,$B136-K$8)-1)/(POWER(K$5,$C$5-K$8)-1))</x:f>
        <x:v>0.2648682108003606</x:v>
      </x:c>
      <x:c r="L136" t="n">
        <x:f>IF($B136&lt;L$8,0,L$3+(L$4-L$3)*(POWER(L$5,$B136-L$8)-1)/(POWER(L$5,$C$5-L$8)-1))</x:f>
        <x:v>0.6271755399764214</x:v>
      </x:c>
      <x:c r="M136" t="n">
        <x:f>E136*'模块规划'!$F$10+G136*'模块规划'!$F$11+H136*'模块规划'!$F$13</x:f>
        <x:v>4712.486478484227</x:v>
      </x:c>
      <x:c r="N136" t="n">
        <x:f>I136*'模块规划'!$F$15+J136*'模块规划'!$F$17+K136*'模块规划'!$F$16+L136*'模块规划'!$F$18</x:f>
        <x:v>13610.622072149274</x:v>
      </x:c>
      <x:c r="O136" t="n">
        <x:f>1+O$9*SUMPRODUCT($H$10:$L$10,H136:L136)/SUM($H$10:$L$10)</x:f>
        <x:v>2.8705854196340903</x:v>
      </x:c>
      <x:c r="P136" t="n">
        <x:f>M136*O136+N136</x:f>
        <x:v>27138.217047508893</x:v>
      </x:c>
      <x:c r="Q136" t="n">
        <x:f>P136/(P136+'_曲线基线'!$L$2)</x:f>
        <x:v>0.5306836767949242</x:v>
      </x:c>
      <x:c r="R136" t="n">
        <x:f>E136*'模块规划'!$E$10+G136*'模块规划'!$E$11+H136*'模块规划'!$E$13</x:f>
        <x:v>7068.729717726339</x:v>
      </x:c>
      <x:c r="S136" t="n">
        <x:f>I136*'模块规划'!$E$15+J136*'模块规划'!$E$17+K136*'模块规划'!$E$16+L136*'模块规划'!$E$18</x:f>
        <x:v>20415.93310822391</x:v>
      </x:c>
      <x:c r="T136" t="n">
        <x:f>1+T$9*SUMPRODUCT($H$10:$L$10,H136:L136)/SUM($H$10:$L$10)</x:f>
        <x:v>2.8705854196340903</x:v>
      </x:c>
      <x:c r="U136" t="n">
        <x:f>R136*T136+S136</x:f>
        <x:v>40707.32557126334</x:v>
      </x:c>
      <x:c r="V136" t="n">
        <x:f>V$8+(V$9-V$8)*H136</x:f>
        <x:v>0.8885916855684941</x:v>
      </x:c>
      <x:c r="W136" t="n">
        <x:f>IF(B136&lt;$H$8,0,W$8+(W$9-W$8)*H136)</x:f>
        <x:v>0.2514555807579922</x:v>
      </x:c>
      <x:c r="X136" t="n">
        <x:f>X$8+(X$9-X$8)*H136</x:f>
        <x:v>0.4478757117711196</x:v>
      </x:c>
      <x:c r="Y136" t="n">
        <x:f>Y$8+(Y$9-Y$8)*G136</x:f>
        <x:v>1</x:v>
      </x:c>
      <x:c r="Z136" t="n">
        <x:f>Z$8+(Z$9-Z$8)*H136</x:f>
        <x:v>1</x:v>
      </x:c>
      <x:c r="AA136" t="n">
        <x:f>AA$8+(AA$9-AA$8)*I136</x:f>
        <x:v>1</x:v>
      </x:c>
      <x:c r="AB136" t="n">
        <x:f>AB$8+(AB$9-AB$8)*J136</x:f>
        <x:v>1</x:v>
      </x:c>
      <x:c r="AC136" t="n">
        <x:f>AC$8+(AC$9-AC$8)*MAX(K136,L136)</x:f>
        <x:v>1</x:v>
      </x:c>
      <x:c r="AD136" t="n">
        <x:f>(V136*AE136+W136*AF136+X136*AG136)*PRODUCT(Y136:AC136)</x:f>
        <x:v>1.7604800221667283</x:v>
      </x:c>
      <x:c r="AE136" t="n">
        <x:f>1+AE$9*($H$10*H136+$I$10*I136+$J$10*J136+$K$10*K136+$L$10*L136)</x:f>
        <x:v>1</x:v>
      </x:c>
      <x:c r="AF136" t="n">
        <x:f>1+AF$9*($H$10*H136+$I$10*I136+$J$10*J136+$K$10*K136+$L$10*L136)</x:f>
        <x:v>1.165096203028434</x:v>
      </x:c>
      <x:c r="AG136" t="n">
        <x:f>1+AG$9*($H$10*H136+$I$10*I136+$J$10*J136+$K$10*K136+$L$10*L136)</x:f>
        <x:v>1.2925871598115046</x:v>
      </x:c>
      <x:c r="AH136" t="n">
        <x:f>MIN(1,'_曲线基线'!$L$3+AH$9*($H$10*H136+$I$10*I136+$J$10*J136+$K$10*K136+$L$10*L136))</x:f>
        <x:v>0.425593861889687</x:v>
      </x:c>
      <x:c r="AI136" t="n">
        <x:f>'_曲线基线'!$L$4+AI$9*($H$10*H136+$I$10*I136+$J$10*J136+$K$10*K136+$L$10*L136)</x:f>
        <x:v>3.0462971866926996</x:v>
      </x:c>
      <x:c r="AJ136" t="n">
        <x:f>1+AJ$9*($H$10*H136+$I$10*I136+$J$10*J136+$K$10*K136+$L$10*L136)</x:f>
        <x:v>1.858500255747856</x:v>
      </x:c>
      <x:c r="AK136" t="n">
        <x:f>(1+AH136*(AI136-1))*AJ136</x:f>
        <x:v>3.477052372594007</x:v>
      </x:c>
      <x:c r="AL136" t="n">
        <x:f>U136*AD136*AK136*F136</x:f>
        <x:v>1245904.9413384204</x:v>
      </x:c>
      <x:c r="AM136" t="n">
        <x:f>IF($B136&lt;AM$8,0,AM$3+(AM$4-AM$3)*(POWER(AM$5,$B136-AM$8)-1)/(POWER(AM$5,$C$5-AM$8)-1))</x:f>
        <x:v>38.268088753962225</x:v>
      </x:c>
      <x:c r="AN136" t="n">
        <x:f>(((E136*'模块规划'!$D$10+G136*'模块规划'!$D$11+H136*'模块规划'!$D$13)*(1+'模块规划'!$G$14*H136)+(I136*'模块规划'!$D$15+J136*'模块规划'!$D$17+K136*'模块规划'!$D$16+L136*'模块规划'!$D$18))*(1+'模块规划'!$J$17*J136))*F136/(1-Q136)</x:f>
        <x:v>1809506.658988558</x:v>
      </x:c>
      <x:c r="AO136" t="n">
        <x:f>AL136*AM136</x:f>
        <x:v>47678400.87413877</x:v>
      </x:c>
      <x:c r="AP136" t="n">
        <x:f>IF(AO136="","",INDEX('_曲线基线'!$A$3:$A$502,MIN(ROWS('_曲线基线'!$A$3:$A$502),COUNTIF('_曲线基线'!$E$3:$E$502,"&lt;"&amp;AO136)+1)))</x:f>
        <x:v>238</x:v>
      </x:c>
      <x:c r="AQ136" t="n">
        <x:f>IF(B136&lt;=2,1,IF(B136&lt;=6,2,IF(B136&lt;=9,3,IF(B136&lt;=19,4,5))))</x:f>
        <x:v>5</x:v>
      </x:c>
      <x:c r="AR136" t="n">
        <x:f>AN136*(1-Q136)/F136*$AS$3+U136*$AS$4+P136*$AS$5</x:f>
        <x:v>13236.851186322332</x:v>
      </x:c>
      <x:c r="AS136" t="n">
        <x:f>1+AH136*$AS$6+AI136*$AS$7+(AJ136-1)*$AS$8+($H$10*H136+$I$10*I136+$J$10*J136+$K$10*K136+$L$10*L136)*$AU$3*$AS$9+($H$10*H136+$I$10*I136+$J$10*J136+$K$10*K136+$L$10*L136)*$AU$4*$AS$10</x:f>
        <x:v>14.846265721509614</x:v>
      </x:c>
      <x:c r="AT136" t="n">
        <x:f>ROUND(AR136*AS136,0)</x:f>
        <x:v>196518</x:v>
      </x:c>
      <x:c r="AU136" t="n">
        <x:f>ROUND(AT136*F136,0)</x:f>
        <x:v>982590</x:v>
      </x:c>
    </x:row>
    <x:row r="137">
      <x:c r="A137" t="str">
        <x:f>IFERROR(XLOOKUP(B137,'_曲线基线'!$G$3:$G$107,'_曲线基线'!$J$3:$J$107,""),"")</x:f>
      </x:c>
      <x:c r="B137" t="n">
        <x:v>126</x:v>
      </x:c>
      <x:c r="C137" t="n">
        <x:f>C122+1</x:f>
        <x:v>9</x:v>
      </x:c>
      <x:c r="D137" t="n">
        <x:f>D122</x:f>
        <x:v>12</x:v>
      </x:c>
      <x:c r="E137" t="n">
        <x:f>IF($B137&lt;E$8,0,E$3+(E$4-E$3)*(POWER(E$5,$B137-E$8)-1)/(POWER(E$5,$C$5-E$8)-1))</x:f>
        <x:v>1</x:v>
      </x:c>
      <x:c r="F137" t="n">
        <x:f>1+IF(B137&lt;3,0,MIN(1,(B137-2)/4))+IF(B137&lt;7,0,MIN(1,(B137-6)/3))+IF(B137&lt;10,0,MIN(1,(B137-9)/5))+IF(B137&lt;20,0,MIN(1,(B137-19)/10))</x:f>
        <x:v>5</x:v>
      </x:c>
      <x:c r="G137" t="n">
        <x:f>IF($B137&lt;G$8,0,G$3+(G$4-G$3)*(POWER(G$5,$B137-G$8)-1)/(POWER(G$5,$C$5-G$8)-1))</x:f>
        <x:v>0.7755383532267798</x:v>
      </x:c>
      <x:c r="H137" t="n">
        <x:f>IF($B137&lt;H$8,0,H$3+(H$4-H$3)*(POWER(H$5,$B137-H$8)-1)/(POWER(H$5,$C$5-H$8)-1))</x:f>
        <x:v>0.6301327150965923</x:v>
      </x:c>
      <x:c r="I137" t="n">
        <x:f>IF($B137&lt;I$8,0,I$3+(I$4-I$3)*(POWER(I$5,$B137-I$8)-1)/(POWER(I$5,$C$5-I$8)-1))</x:f>
        <x:v>0.470359403313857</x:v>
      </x:c>
      <x:c r="J137" t="n">
        <x:f>IF($B137&lt;J$8,0,J$3+(J$4-J$3)*(POWER(J$5,$B137-J$8)-1)/(POWER(J$5,$C$5-J$8)-1))</x:f>
        <x:v>0.5171107354466631</x:v>
      </x:c>
      <x:c r="K137" t="n">
        <x:f>IF($B137&lt;K$8,0,K$3+(K$4-K$3)*(POWER(K$5,$B137-K$8)-1)/(POWER(K$5,$C$5-K$8)-1))</x:f>
        <x:v>0.27292997151932696</x:v>
      </x:c>
      <x:c r="L137" t="n">
        <x:f>IF($B137&lt;L$8,0,L$3+(L$4-L$3)*(POWER(L$5,$B137-L$8)-1)/(POWER(L$5,$C$5-L$8)-1))</x:f>
        <x:v>0.6286999360082787</x:v>
      </x:c>
      <x:c r="M137" t="n">
        <x:f>E137*'模块规划'!$F$10+G137*'模块规划'!$F$11+H137*'模块规划'!$F$13</x:f>
        <x:v>4722.5840954885425</x:v>
      </x:c>
      <x:c r="N137" t="n">
        <x:f>I137*'模块规划'!$F$15+J137*'模块规划'!$F$17+K137*'模块规划'!$F$16+L137*'模块规划'!$F$18</x:f>
        <x:v>13715.062090134841</x:v>
      </x:c>
      <x:c r="O137" t="n">
        <x:f>1+O$9*SUMPRODUCT($H$10:$L$10,H137:L137)/SUM($H$10:$L$10)</x:f>
        <x:v>2.882110990752544</x:v>
      </x:c>
      <x:c r="P137" t="n">
        <x:f>M137*O137+N137</x:f>
        <x:v>27326.07361649553</x:v>
      </x:c>
      <x:c r="Q137" t="n">
        <x:f>P137/(P137+'_曲线基线'!$L$2)</x:f>
        <x:v>0.5324014032453339</x:v>
      </x:c>
      <x:c r="R137" t="n">
        <x:f>E137*'模块规划'!$E$10+G137*'模块规划'!$E$11+H137*'模块规划'!$E$13</x:f>
        <x:v>7083.876143232815</x:v>
      </x:c>
      <x:c r="S137" t="n">
        <x:f>I137*'模块规划'!$E$15+J137*'模块规划'!$E$17+K137*'模块规划'!$E$16+L137*'模块规划'!$E$18</x:f>
        <x:v>20572.593135202264</x:v>
      </x:c>
      <x:c r="T137" t="n">
        <x:f>1+T$9*SUMPRODUCT($H$10:$L$10,H137:L137)/SUM($H$10:$L$10)</x:f>
        <x:v>2.882110990752544</x:v>
      </x:c>
      <x:c r="U137" t="n">
        <x:f>R137*T137+S137</x:f>
        <x:v>40989.110424743296</x:v>
      </x:c>
      <x:c r="V137" t="n">
        <x:f>V$8+(V$9-V$8)*H137</x:f>
        <x:v>0.8890398145289777</x:v>
      </x:c>
      <x:c r="W137" t="n">
        <x:f>IF(B137&lt;$H$8,0,W$8+(W$9-W$8)*H137)</x:f>
        <x:v>0.2520530860386369</x:v>
      </x:c>
      <x:c r="X137" t="n">
        <x:f>X$8+(X$9-X$8)*H137</x:f>
        <x:v>0.44828649665156295</x:v>
      </x:c>
      <x:c r="Y137" t="n">
        <x:f>Y$8+(Y$9-Y$8)*G137</x:f>
        <x:v>1</x:v>
      </x:c>
      <x:c r="Z137" t="n">
        <x:f>Z$8+(Z$9-Z$8)*H137</x:f>
        <x:v>1</x:v>
      </x:c>
      <x:c r="AA137" t="n">
        <x:f>AA$8+(AA$9-AA$8)*I137</x:f>
        <x:v>1</x:v>
      </x:c>
      <x:c r="AB137" t="n">
        <x:f>AB$8+(AB$9-AB$8)*J137</x:f>
        <x:v>1</x:v>
      </x:c>
      <x:c r="AC137" t="n">
        <x:f>AC$8+(AC$9-AC$8)*MAX(K137,L137)</x:f>
        <x:v>1</x:v>
      </x:c>
      <x:c r="AD137" t="n">
        <x:f>(V137*AE137+W137*AF137+X137*AG137)*PRODUCT(Y137:AC137)</x:f>
        <x:v>1.7632198323275436</x:v>
      </x:c>
      <x:c r="AE137" t="n">
        <x:f>1+AE$9*($H$10*H137+$I$10*I137+$J$10*J137+$K$10*K137+$L$10*L137)</x:f>
        <x:v>1</x:v>
      </x:c>
      <x:c r="AF137" t="n">
        <x:f>1+AF$9*($H$10*H137+$I$10*I137+$J$10*J137+$K$10*K137+$L$10*L137)</x:f>
        <x:v>1.166113439669658</x:v>
      </x:c>
      <x:c r="AG137" t="n">
        <x:f>1+AG$9*($H$10*H137+$I$10*I137+$J$10*J137+$K$10*K137+$L$10*L137)</x:f>
        <x:v>1.2943899291923404</x:v>
      </x:c>
      <x:c r="AH137" t="n">
        <x:f>MIN(1,'_曲线基线'!$L$3+AH$9*($H$10*H137+$I$10*I137+$J$10*J137+$K$10*K137+$L$10*L137))</x:f>
        <x:v>0.42790807524847124</x:v>
      </x:c>
      <x:c r="AI137" t="n">
        <x:f>'_曲线基线'!$L$4+AI$9*($H$10*H137+$I$10*I137+$J$10*J137+$K$10*K137+$L$10*L137)</x:f>
        <x:v>3.0527439239064558</x:v>
      </x:c>
      <x:c r="AJ137" t="n">
        <x:f>1+AJ$9*($H$10*H137+$I$10*I137+$J$10*J137+$K$10*K137+$L$10*L137)</x:f>
        <x:v>1.8637898862822202</x:v>
      </x:c>
      <x:c r="AK137" t="n">
        <x:f>(1+AH137*(AI137-1))*AJ137</x:f>
        <x:v>3.5009162729123284</x:v>
      </x:c>
      <x:c r="AL137" t="n">
        <x:f>U137*AD137*AK137*F137</x:f>
        <x:v>1265105.3252830403</x:v>
      </x:c>
      <x:c r="AM137" t="n">
        <x:f>IF($B137&lt;AM$8,0,AM$3+(AM$4-AM$3)*(POWER(AM$5,$B137-AM$8)-1)/(POWER(AM$5,$C$5-AM$8)-1))</x:f>
        <x:v>38.31419428142372</x:v>
      </x:c>
      <x:c r="AN137" t="n">
        <x:f>(((E137*'模块规划'!$D$10+G137*'模块规划'!$D$11+H137*'模块规划'!$D$13)*(1+'模块规划'!$G$14*H137)+(I137*'模块规划'!$D$15+J137*'模块规划'!$D$17+K137*'模块规划'!$D$16+L137*'模块规划'!$D$18))*(1+'模块规划'!$J$17*J137))*F137/(1-Q137)</x:f>
        <x:v>1829509.090131558</x:v>
      </x:c>
      <x:c r="AO137" t="n">
        <x:f>AL137*AM137</x:f>
        <x:v>48471491.21935815</x:v>
      </x:c>
      <x:c r="AP137" t="n">
        <x:f>IF(AO137="","",INDEX('_曲线基线'!$A$3:$A$502,MIN(ROWS('_曲线基线'!$A$3:$A$502),COUNTIF('_曲线基线'!$E$3:$E$502,"&lt;"&amp;AO137)+1)))</x:f>
        <x:v>239</x:v>
      </x:c>
      <x:c r="AQ137" t="n">
        <x:f>IF(B137&lt;=2,1,IF(B137&lt;=6,2,IF(B137&lt;=9,3,IF(B137&lt;=19,4,5))))</x:f>
        <x:v>5</x:v>
      </x:c>
      <x:c r="AR137" t="n">
        <x:f>AN137*(1-Q137)/F137*$AS$3+U137*$AS$4+P137*$AS$5</x:f>
        <x:v>13330.677384721192</x:v>
      </x:c>
      <x:c r="AS137" t="n">
        <x:f>1+AH137*$AS$6+AI137*$AS$7+(AJ137-1)*$AS$8+($H$10*H137+$I$10*I137+$J$10*J137+$K$10*K137+$L$10*L137)*$AU$3*$AS$9+($H$10*H137+$I$10*I137+$J$10*J137+$K$10*K137+$L$10*L137)*$AU$4*$AS$10</x:f>
        <x:v>14.907046766657873</x:v>
      </x:c>
      <x:c r="AT137" t="n">
        <x:f>ROUND(AR137*AS137,0)</x:f>
        <x:v>198721</x:v>
      </x:c>
      <x:c r="AU137" t="n">
        <x:f>ROUND(AT137*F137,0)</x:f>
        <x:v>993605</x:v>
      </x:c>
    </x:row>
    <x:row r="138">
      <x:c r="A138" t="str">
        <x:f>IFERROR(XLOOKUP(B138,'_曲线基线'!$G$3:$G$107,'_曲线基线'!$J$3:$J$107,""),"")</x:f>
      </x:c>
      <x:c r="B138" t="n">
        <x:v>127</x:v>
      </x:c>
      <x:c r="C138" t="n">
        <x:f>C123+1</x:f>
        <x:v>9</x:v>
      </x:c>
      <x:c r="D138" t="n">
        <x:f>D123</x:f>
        <x:v>13</x:v>
      </x:c>
      <x:c r="E138" t="n">
        <x:f>IF($B138&lt;E$8,0,E$3+(E$4-E$3)*(POWER(E$5,$B138-E$8)-1)/(POWER(E$5,$C$5-E$8)-1))</x:f>
        <x:v>1</x:v>
      </x:c>
      <x:c r="F138" t="n">
        <x:f>1+IF(B138&lt;3,0,MIN(1,(B138-2)/4))+IF(B138&lt;7,0,MIN(1,(B138-6)/3))+IF(B138&lt;10,0,MIN(1,(B138-9)/5))+IF(B138&lt;20,0,MIN(1,(B138-19)/10))</x:f>
        <x:v>5</x:v>
      </x:c>
      <x:c r="G138" t="n">
        <x:f>IF($B138&lt;G$8,0,G$3+(G$4-G$3)*(POWER(G$5,$B138-G$8)-1)/(POWER(G$5,$C$5-G$8)-1))</x:f>
        <x:v>0.777610468382874</x:v>
      </x:c>
      <x:c r="H138" t="n">
        <x:f>IF($B138&lt;H$8,0,H$3+(H$4-H$3)*(POWER(H$5,$B138-H$8)-1)/(POWER(H$5,$C$5-H$8)-1))</x:f>
        <x:v>0.6315966030341718</x:v>
      </x:c>
      <x:c r="I138" t="n">
        <x:f>IF($B138&lt;I$8,0,I$3+(I$4-I$3)*(POWER(I$5,$B138-I$8)-1)/(POWER(I$5,$C$5-I$8)-1))</x:f>
        <x:v>0.4741233065906481</x:v>
      </x:c>
      <x:c r="J138" t="n">
        <x:f>IF($B138&lt;J$8,0,J$3+(J$4-J$3)*(POWER(J$5,$B138-J$8)-1)/(POWER(J$5,$C$5-J$8)-1))</x:f>
        <x:v>0.5188474652294537</x:v>
      </x:c>
      <x:c r="K138" t="n">
        <x:f>IF($B138&lt;K$8,0,K$3+(K$4-K$3)*(POWER(K$5,$B138-K$8)-1)/(POWER(K$5,$C$5-K$8)-1))</x:f>
        <x:v>0.280830497023914</x:v>
      </x:c>
      <x:c r="L138" t="n">
        <x:f>IF($B138&lt;L$8,0,L$3+(L$4-L$3)*(POWER(L$5,$B138-L$8)-1)/(POWER(L$5,$C$5-L$8)-1))</x:f>
        <x:v>0.6301938441194989</x:v>
      </x:c>
      <x:c r="M138" t="n">
        <x:f>E138*'模块规划'!$F$10+G138*'模块规划'!$F$11+H138*'模块规划'!$F$13</x:f>
        <x:v>4732.530248237796</x:v>
      </x:c>
      <x:c r="N138" t="n">
        <x:f>I138*'模块规划'!$F$15+J138*'模块规划'!$F$17+K138*'模块规划'!$F$16+L138*'模块规划'!$F$18</x:f>
        <x:v>13817.4133077607</x:v>
      </x:c>
      <x:c r="O138" t="n">
        <x:f>1+O$9*SUMPRODUCT($H$10:$L$10,H138:L138)/SUM($H$10:$L$10)</x:f>
        <x:v>2.89340605044863</x:v>
      </x:c>
      <x:c r="P138" t="n">
        <x:f>M138*O138+N138</x:f>
        <x:v>27510.544961943095</x:v>
      </x:c>
      <x:c r="Q138" t="n">
        <x:f>P138/(P138+'_曲线基线'!$L$2)</x:f>
        <x:v>0.5340759835149943</x:v>
      </x:c>
      <x:c r="R138" t="n">
        <x:f>E138*'模块规划'!$E$10+G138*'模块规划'!$E$11+H138*'模块规划'!$E$13</x:f>
        <x:v>7098.7953723566925</x:v>
      </x:c>
      <x:c r="S138" t="n">
        <x:f>I138*'模块规划'!$E$15+J138*'模块规划'!$E$17+K138*'模块规划'!$E$16+L138*'模块规划'!$E$18</x:f>
        <x:v>20726.11996164105</x:v>
      </x:c>
      <x:c r="T138" t="n">
        <x:f>1+T$9*SUMPRODUCT($H$10:$L$10,H138:L138)/SUM($H$10:$L$10)</x:f>
        <x:v>2.89340605044863</x:v>
      </x:c>
      <x:c r="U138" t="n">
        <x:f>R138*T138+S138</x:f>
        <x:v>41265.81744291464</x:v>
      </x:c>
      <x:c r="V138" t="n">
        <x:f>V$8+(V$9-V$8)*H138</x:f>
        <x:v>0.8894789809102515</x:v>
      </x:c>
      <x:c r="W138" t="n">
        <x:f>IF(B138&lt;$H$8,0,W$8+(W$9-W$8)*H138)</x:f>
        <x:v>0.2526386412136687</x:v>
      </x:c>
      <x:c r="X138" t="n">
        <x:f>X$8+(X$9-X$8)*H138</x:f>
        <x:v>0.44868906583439727</x:v>
      </x:c>
      <x:c r="Y138" t="n">
        <x:f>Y$8+(Y$9-Y$8)*G138</x:f>
        <x:v>1</x:v>
      </x:c>
      <x:c r="Z138" t="n">
        <x:f>Z$8+(Z$9-Z$8)*H138</x:f>
        <x:v>1</x:v>
      </x:c>
      <x:c r="AA138" t="n">
        <x:f>AA$8+(AA$9-AA$8)*I138</x:f>
        <x:v>1</x:v>
      </x:c>
      <x:c r="AB138" t="n">
        <x:f>AB$8+(AB$9-AB$8)*J138</x:f>
        <x:v>1</x:v>
      </x:c>
      <x:c r="AC138" t="n">
        <x:f>AC$8+(AC$9-AC$8)*MAX(K138,L138)</x:f>
        <x:v>1</x:v>
      </x:c>
      <x:c r="AD138" t="n">
        <x:f>(V138*AE138+W138*AF138+X138*AG138)*PRODUCT(Y138:AC138)</x:f>
        <x:v>1.765907462632543</x:v>
      </x:c>
      <x:c r="AE138" t="n">
        <x:f>1+AE$9*($H$10*H138+$I$10*I138+$J$10*J138+$K$10*K138+$L$10*L138)</x:f>
        <x:v>1</x:v>
      </x:c>
      <x:c r="AF138" t="n">
        <x:f>1+AF$9*($H$10*H138+$I$10*I138+$J$10*J138+$K$10*K138+$L$10*L138)</x:f>
        <x:v>1.1671103315780573</x:v>
      </x:c>
      <x:c r="AG138" t="n">
        <x:f>1+AG$9*($H$10*H138+$I$10*I138+$J$10*J138+$K$10*K138+$L$10*L138)</x:f>
        <x:v>1.2961566431855593</x:v>
      </x:c>
      <x:c r="AH138" t="n">
        <x:f>MIN(1,'_曲线基线'!$L$3+AH$9*($H$10*H138+$I$10*I138+$J$10*J138+$K$10*K138+$L$10*L138))</x:f>
        <x:v>0.43017600434008</x:v>
      </x:c>
      <x:c r="AI138" t="n">
        <x:f>'_曲线基线'!$L$4+AI$9*($H$10*H138+$I$10*I138+$J$10*J138+$K$10*K138+$L$10*L138)</x:f>
        <x:v>3.059061726375937</x:v>
      </x:c>
      <x:c r="AJ138" t="n">
        <x:f>1+AJ$9*($H$10*H138+$I$10*I138+$J$10*J138+$K$10*K138+$L$10*L138)</x:f>
        <x:v>1.8689737242058975</x:v>
      </x:c>
      <x:c r="AK138" t="n">
        <x:f>(1+AH138*(AI138-1))*AJ138</x:f>
        <x:v>3.524433920525579</x:v>
      </x:c>
      <x:c r="AL138" t="n">
        <x:f>U138*AD138*AK138*F138</x:f>
        <x:v>1284155.9582905504</x:v>
      </x:c>
      <x:c r="AM138" t="n">
        <x:f>IF($B138&lt;AM$8,0,AM$3+(AM$4-AM$3)*(POWER(AM$5,$B138-AM$8)-1)/(POWER(AM$5,$C$5-AM$8)-1))</x:f>
        <x:v>38.36076086415982</x:v>
      </x:c>
      <x:c r="AN138" t="n">
        <x:f>(((E138*'模块规划'!$D$10+G138*'模块规划'!$D$11+H138*'模块规划'!$D$13)*(1+'模块规划'!$G$14*H138)+(I138*'模块规划'!$D$15+J138*'模块规划'!$D$17+K138*'模块规划'!$D$16+L138*'模块规划'!$D$18))*(1+'模块规划'!$J$17*J138))*F138/(1-Q138)</x:f>
        <x:v>1849256.8910657316</x:v>
      </x:c>
      <x:c r="AO138" t="n">
        <x:f>AL138*AM138</x:f>
        <x:v>49261199.6282698</x:v>
      </x:c>
      <x:c r="AP138" t="n">
        <x:f>IF(AO138="","",INDEX('_曲线基线'!$A$3:$A$502,MIN(ROWS('_曲线基线'!$A$3:$A$502),COUNTIF('_曲线基线'!$E$3:$E$502,"&lt;"&amp;AO138)+1)))</x:f>
        <x:v>240</x:v>
      </x:c>
      <x:c r="AQ138" t="n">
        <x:f>IF(B138&lt;=2,1,IF(B138&lt;=6,2,IF(B138&lt;=9,3,IF(B138&lt;=19,4,5))))</x:f>
        <x:v>5</x:v>
      </x:c>
      <x:c r="AR138" t="n">
        <x:f>AN138*(1-Q138)/F138*$AS$3+U138*$AS$4+P138*$AS$5</x:f>
        <x:v>13422.842677770448</x:v>
      </x:c>
      <x:c r="AS138" t="n">
        <x:f>1+AH138*$AS$6+AI138*$AS$7+(AJ138-1)*$AS$8+($H$10*H138+$I$10*I138+$J$10*J138+$K$10*K138+$L$10*L138)*$AU$3*$AS$9+($H$10*H138+$I$10*I138+$J$10*J138+$K$10*K138+$L$10*L138)*$AU$4*$AS$10</x:f>
        <x:v>14.966612190903172</x:v>
      </x:c>
      <x:c r="AT138" t="n">
        <x:f>ROUND(AR138*AS138,0)</x:f>
        <x:v>200894</x:v>
      </x:c>
      <x:c r="AU138" t="n">
        <x:f>ROUND(AT138*F138,0)</x:f>
        <x:v>1004470</x:v>
      </x:c>
    </x:row>
    <x:row r="139">
      <x:c r="A139" t="str">
        <x:f>IFERROR(XLOOKUP(B139,'_曲线基线'!$G$3:$G$107,'_曲线基线'!$J$3:$J$107,""),"")</x:f>
      </x:c>
      <x:c r="B139" t="n">
        <x:v>128</x:v>
      </x:c>
      <x:c r="C139" t="n">
        <x:f>C124+1</x:f>
        <x:v>9</x:v>
      </x:c>
      <x:c r="D139" t="n">
        <x:f>D124</x:f>
        <x:v>14</x:v>
      </x:c>
      <x:c r="E139" t="n">
        <x:f>IF($B139&lt;E$8,0,E$3+(E$4-E$3)*(POWER(E$5,$B139-E$8)-1)/(POWER(E$5,$C$5-E$8)-1))</x:f>
        <x:v>1</x:v>
      </x:c>
      <x:c r="F139" t="n">
        <x:f>1+IF(B139&lt;3,0,MIN(1,(B139-2)/4))+IF(B139&lt;7,0,MIN(1,(B139-6)/3))+IF(B139&lt;10,0,MIN(1,(B139-9)/5))+IF(B139&lt;20,0,MIN(1,(B139-19)/10))</x:f>
        <x:v>5</x:v>
      </x:c>
      <x:c r="G139" t="n">
        <x:f>IF($B139&lt;G$8,0,G$3+(G$4-G$3)*(POWER(G$5,$B139-G$8)-1)/(POWER(G$5,$C$5-G$8)-1))</x:f>
        <x:v>0.7796515018116267</x:v>
      </x:c>
      <x:c r="H139" t="n">
        <x:f>IF($B139&lt;H$8,0,H$3+(H$4-H$3)*(POWER(H$5,$B139-H$8)-1)/(POWER(H$5,$C$5-H$8)-1))</x:f>
        <x:v>0.6330312132129997</x:v>
      </x:c>
      <x:c r="I139" t="n">
        <x:f>IF($B139&lt;I$8,0,I$3+(I$4-I$3)*(POWER(I$5,$B139-I$8)-1)/(POWER(I$5,$C$5-I$8)-1))</x:f>
        <x:v>0.4778119318019033</x:v>
      </x:c>
      <x:c r="J139" t="n">
        <x:f>IF($B139&lt;J$8,0,J$3+(J$4-J$3)*(POWER(J$5,$B139-J$8)-1)/(POWER(J$5,$C$5-J$8)-1))</x:f>
        <x:v>0.5205494604165886</x:v>
      </x:c>
      <x:c r="K139" t="n">
        <x:f>IF($B139&lt;K$8,0,K$3+(K$4-K$3)*(POWER(K$5,$B139-K$8)-1)/(POWER(K$5,$C$5-K$8)-1))</x:f>
        <x:v>0.28857301201840924</x:v>
      </x:c>
      <x:c r="L139" t="n">
        <x:f>IF($B139&lt;L$8,0,L$3+(L$4-L$3)*(POWER(L$5,$B139-L$8)-1)/(POWER(L$5,$C$5-L$8)-1))</x:f>
        <x:v>0.6316578740684946</x:v>
      </x:c>
      <x:c r="M139" t="n">
        <x:f>E139*'模块规划'!$F$10+G139*'模块规划'!$F$11+H139*'模块规划'!$F$13</x:f>
        <x:v>4742.327208695808</x:v>
      </x:c>
      <x:c r="N139" t="n">
        <x:f>I139*'模块规划'!$F$15+J139*'模块规划'!$F$17+K139*'模块规划'!$F$16+L139*'模块规划'!$F$18</x:f>
        <x:v>13917.71750103404</x:v>
      </x:c>
      <x:c r="O139" t="n">
        <x:f>1+O$9*SUMPRODUCT($H$10:$L$10,H139:L139)/SUM($H$10:$L$10)</x:f>
        <x:v>2.9044752089507933</x:v>
      </x:c>
      <x:c r="P139" t="n">
        <x:f>M139*O139+N139</x:f>
        <x:v>27691.689311423826</x:v>
      </x:c>
      <x:c r="Q139" t="n">
        <x:f>P139/(P139+'_曲线基线'!$L$2)</x:f>
        <x:v>0.5357087315253205</x:v>
      </x:c>
      <x:c r="R139" t="n">
        <x:f>E139*'模块规划'!$E$10+G139*'模块规划'!$E$11+H139*'模块规划'!$E$13</x:f>
        <x:v>7113.4908130437125</x:v>
      </x:c>
      <x:c r="S139" t="n">
        <x:f>I139*'模块规划'!$E$15+J139*'模块规划'!$E$17+K139*'模块规划'!$E$16+L139*'模块规划'!$E$18</x:f>
        <x:v>20876.57625155106</x:v>
      </x:c>
      <x:c r="T139" t="n">
        <x:f>1+T$9*SUMPRODUCT($H$10:$L$10,H139:L139)/SUM($H$10:$L$10)</x:f>
        <x:v>2.9044752089507933</x:v>
      </x:c>
      <x:c r="U139" t="n">
        <x:f>R139*T139+S139</x:f>
        <x:v>41537.53396713575</x:v>
      </x:c>
      <x:c r="V139" t="n">
        <x:f>V$8+(V$9-V$8)*H139</x:f>
        <x:v>0.8899093639638999</x:v>
      </x:c>
      <x:c r="W139" t="n">
        <x:f>IF(B139&lt;$H$8,0,W$8+(W$9-W$8)*H139)</x:f>
        <x:v>0.2532124852851999</x:v>
      </x:c>
      <x:c r="X139" t="n">
        <x:f>X$8+(X$9-X$8)*H139</x:f>
        <x:v>0.4490835836335749</x:v>
      </x:c>
      <x:c r="Y139" t="n">
        <x:f>Y$8+(Y$9-Y$8)*G139</x:f>
        <x:v>1</x:v>
      </x:c>
      <x:c r="Z139" t="n">
        <x:f>Z$8+(Z$9-Z$8)*H139</x:f>
        <x:v>1</x:v>
      </x:c>
      <x:c r="AA139" t="n">
        <x:f>AA$8+(AA$9-AA$8)*I139</x:f>
        <x:v>1</x:v>
      </x:c>
      <x:c r="AB139" t="n">
        <x:f>AB$8+(AB$9-AB$8)*J139</x:f>
        <x:v>1</x:v>
      </x:c>
      <x:c r="AC139" t="n">
        <x:f>AC$8+(AC$9-AC$8)*MAX(K139,L139)</x:f>
        <x:v>1</x:v>
      </x:c>
      <x:c r="AD139" t="n">
        <x:f>(V139*AE139+W139*AF139+X139*AG139)*PRODUCT(Y139:AC139)</x:f>
        <x:v>1.768543853071486</x:v>
      </x:c>
      <x:c r="AE139" t="n">
        <x:f>1+AE$9*($H$10*H139+$I$10*I139+$J$10*J139+$K$10*K139+$L$10*L139)</x:f>
        <x:v>1</x:v>
      </x:c>
      <x:c r="AF139" t="n">
        <x:f>1+AF$9*($H$10*H139+$I$10*I139+$J$10*J139+$K$10*K139+$L$10*L139)</x:f>
        <x:v>1.168087285648289</x:v>
      </x:c>
      <x:c r="AG139" t="n">
        <x:f>1+AG$9*($H$10*H139+$I$10*I139+$J$10*J139+$K$10*K139+$L$10*L139)</x:f>
        <x:v>1.297888022898914</x:v>
      </x:c>
      <x:c r="AH139" t="n">
        <x:f>MIN(1,'_曲线基线'!$L$3+AH$9*($H$10*H139+$I$10*I139+$J$10*J139+$K$10*K139+$L$10*L139))</x:f>
        <x:v>0.4323985748498566</x:v>
      </x:c>
      <x:c r="AI139" t="n">
        <x:f>'_曲线基线'!$L$4+AI$9*($H$10*H139+$I$10*I139+$J$10*J139+$K$10*K139+$L$10*L139)</x:f>
        <x:v>3.0652531727960293</x:v>
      </x:c>
      <x:c r="AJ139" t="n">
        <x:f>1+AJ$9*($H$10*H139+$I$10*I139+$J$10*J139+$K$10*K139+$L$10*L139)</x:f>
        <x:v>1.8740538853711008</x:v>
      </x:c>
      <x:c r="AK139" t="n">
        <x:f>(1+AH139*(AI139-1))*AJ139</x:f>
        <x:v>3.547607484318634</x:v>
      </x:c>
      <x:c r="AL139" t="n">
        <x:f>U139*AD139*AK139*F139</x:f>
        <x:v>1303053.0866769028</x:v>
      </x:c>
      <x:c r="AM139" t="n">
        <x:f>IF($B139&lt;AM$8,0,AM$3+(AM$4-AM$3)*(POWER(AM$5,$B139-AM$8)-1)/(POWER(AM$5,$C$5-AM$8)-1))</x:f>
        <x:v>38.40779311272329</x:v>
      </x:c>
      <x:c r="AN139" t="n">
        <x:f>(((E139*'模块规划'!$D$10+G139*'模块规划'!$D$11+H139*'模块规划'!$D$13)*(1+'模块规划'!$G$14*H139)+(I139*'模块规划'!$D$15+J139*'模块规划'!$D$17+K139*'模块规划'!$D$16+L139*'模块规划'!$D$18))*(1+'模块规划'!$J$17*J139))*F139/(1-Q139)</x:f>
        <x:v>1868750.4652137754</x:v>
      </x:c>
      <x:c r="AO139" t="n">
        <x:f>AL139*AM139</x:f>
        <x:v>50047393.36798197</x:v>
      </x:c>
      <x:c r="AP139" t="n">
        <x:f>IF(AO139="","",INDEX('_曲线基线'!$A$3:$A$502,MIN(ROWS('_曲线基线'!$A$3:$A$502),COUNTIF('_曲线基线'!$E$3:$E$502,"&lt;"&amp;AO139)+1)))</x:f>
        <x:v>242</x:v>
      </x:c>
      <x:c r="AQ139" t="n">
        <x:f>IF(B139&lt;=2,1,IF(B139&lt;=6,2,IF(B139&lt;=9,3,IF(B139&lt;=19,4,5))))</x:f>
        <x:v>5</x:v>
      </x:c>
      <x:c r="AR139" t="n">
        <x:f>AN139*(1-Q139)/F139*$AS$3+U139*$AS$4+P139*$AS$5</x:f>
        <x:v>13513.373937167657</x:v>
      </x:c>
      <x:c r="AS139" t="n">
        <x:f>1+AH139*$AS$6+AI139*$AS$7+(AJ139-1)*$AS$8+($H$10*H139+$I$10*I139+$J$10*J139+$K$10*K139+$L$10*L139)*$AU$3*$AS$9+($H$10*H139+$I$10*I139+$J$10*J139+$K$10*K139+$L$10*L139)*$AU$4*$AS$10</x:f>
        <x:v>15.024986306663562</x:v>
      </x:c>
      <x:c r="AT139" t="n">
        <x:f>ROUND(AR139*AS139,0)</x:f>
        <x:v>203038</x:v>
      </x:c>
      <x:c r="AU139" t="n">
        <x:f>ROUND(AT139*F139,0)</x:f>
        <x:v>1015190</x:v>
      </x:c>
    </x:row>
    <x:row r="140">
      <x:c r="A140" t="str">
        <x:f>IFERROR(XLOOKUP(B140,'_曲线基线'!$G$3:$G$107,'_曲线基线'!$J$3:$J$107,""),"")</x:f>
      </x:c>
      <x:c r="B140" t="n">
        <x:v>129</x:v>
      </x:c>
      <x:c r="C140" t="n">
        <x:f>C125+1</x:f>
        <x:v>9</x:v>
      </x:c>
      <x:c r="D140" t="n">
        <x:f>D125</x:f>
        <x:v>15</x:v>
      </x:c>
      <x:c r="E140" t="n">
        <x:f>IF($B140&lt;E$8,0,E$3+(E$4-E$3)*(POWER(E$5,$B140-E$8)-1)/(POWER(E$5,$C$5-E$8)-1))</x:f>
        <x:v>1</x:v>
      </x:c>
      <x:c r="F140" t="n">
        <x:f>1+IF(B140&lt;3,0,MIN(1,(B140-2)/4))+IF(B140&lt;7,0,MIN(1,(B140-6)/3))+IF(B140&lt;10,0,MIN(1,(B140-9)/5))+IF(B140&lt;20,0,MIN(1,(B140-19)/10))</x:f>
        <x:v>5</x:v>
      </x:c>
      <x:c r="G140" t="n">
        <x:f>IF($B140&lt;G$8,0,G$3+(G$4-G$3)*(POWER(G$5,$B140-G$8)-1)/(POWER(G$5,$C$5-G$8)-1))</x:f>
        <x:v>0.781661919738948</x:v>
      </x:c>
      <x:c r="H140" t="n">
        <x:f>IF($B140&lt;H$8,0,H$3+(H$4-H$3)*(POWER(H$5,$B140-H$8)-1)/(POWER(H$5,$C$5-H$8)-1))</x:f>
        <x:v>0.6344371311882511</x:v>
      </x:c>
      <x:c r="I140" t="n">
        <x:f>IF($B140&lt;I$8,0,I$3+(I$4-I$3)*(POWER(I$5,$B140-I$8)-1)/(POWER(I$5,$C$5-I$8)-1))</x:f>
        <x:v>0.4814267845089334</x:v>
      </x:c>
      <x:c r="J140" t="n">
        <x:f>IF($B140&lt;J$8,0,J$3+(J$4-J$3)*(POWER(J$5,$B140-J$8)-1)/(POWER(J$5,$C$5-J$8)-1))</x:f>
        <x:v>0.5222174156999807</x:v>
      </x:c>
      <x:c r="K140" t="n">
        <x:f>IF($B140&lt;K$8,0,K$3+(K$4-K$3)*(POWER(K$5,$B140-K$8)-1)/(POWER(K$5,$C$5-K$8)-1))</x:f>
        <x:v>0.29616067671301455</x:v>
      </x:c>
      <x:c r="L140" t="n">
        <x:f>IF($B140&lt;L$8,0,L$3+(L$4-L$3)*(POWER(L$5,$B140-L$8)-1)/(POWER(L$5,$C$5-L$8)-1))</x:f>
        <x:v>0.6330926234185105</x:v>
      </x:c>
      <x:c r="M140" t="n">
        <x:f>E140*'模块规划'!$F$10+G140*'模块规划'!$F$11+H140*'模块规划'!$F$13</x:f>
        <x:v>4751.97721474695</x:v>
      </x:c>
      <x:c r="N140" t="n">
        <x:f>I140*'模块规划'!$F$15+J140*'模块规划'!$F$17+K140*'模块规划'!$F$16+L140*'模块规划'!$F$18</x:f>
        <x:v>14016.015610441915</x:v>
      </x:c>
      <x:c r="O140" t="n">
        <x:f>1+O$9*SUMPRODUCT($H$10:$L$10,H140:L140)/SUM($H$10:$L$10)</x:f>
        <x:v>2.915322984282914</x:v>
      </x:c>
      <x:c r="P140" t="n">
        <x:f>M140*O140+N140</x:f>
        <x:v>27869.564005382403</x:v>
      </x:c>
      <x:c r="Q140" t="n">
        <x:f>P140/(P140+'_曲线基线'!$L$2)</x:f>
        <x:v>0.5373009112336173</x:v>
      </x:c>
      <x:c r="R140" t="n">
        <x:f>E140*'模块规划'!$E$10+G140*'模块规划'!$E$11+H140*'模块规划'!$E$13</x:f>
        <x:v>7127.965822120426</x:v>
      </x:c>
      <x:c r="S140" t="n">
        <x:f>I140*'模块规划'!$E$15+J140*'模块规划'!$E$17+K140*'模块规划'!$E$16+L140*'模块规划'!$E$18</x:f>
        <x:v>21024.023415662872</x:v>
      </x:c>
      <x:c r="T140" t="n">
        <x:f>1+T$9*SUMPRODUCT($H$10:$L$10,H140:L140)/SUM($H$10:$L$10)</x:f>
        <x:v>2.915322984282914</x:v>
      </x:c>
      <x:c r="U140" t="n">
        <x:f>R140*T140+S140</x:f>
        <x:v>41804.34600807361</x:v>
      </x:c>
      <x:c r="V140" t="n">
        <x:f>V$8+(V$9-V$8)*H140</x:f>
        <x:v>0.8903311393564753</x:v>
      </x:c>
      <x:c r="W140" t="n">
        <x:f>IF(B140&lt;$H$8,0,W$8+(W$9-W$8)*H140)</x:f>
        <x:v>0.25377485247530046</x:v>
      </x:c>
      <x:c r="X140" t="n">
        <x:f>X$8+(X$9-X$8)*H140</x:f>
        <x:v>0.4494702110767691</x:v>
      </x:c>
      <x:c r="Y140" t="n">
        <x:f>Y$8+(Y$9-Y$8)*G140</x:f>
        <x:v>1</x:v>
      </x:c>
      <x:c r="Z140" t="n">
        <x:f>Z$8+(Z$9-Z$8)*H140</x:f>
        <x:v>1</x:v>
      </x:c>
      <x:c r="AA140" t="n">
        <x:f>AA$8+(AA$9-AA$8)*I140</x:f>
        <x:v>1</x:v>
      </x:c>
      <x:c r="AB140" t="n">
        <x:f>AB$8+(AB$9-AB$8)*J140</x:f>
        <x:v>1</x:v>
      </x:c>
      <x:c r="AC140" t="n">
        <x:f>AC$8+(AC$9-AC$8)*MAX(K140,L140)</x:f>
        <x:v>1</x:v>
      </x:c>
      <x:c r="AD140" t="n">
        <x:f>(V140*AE140+W140*AF140+X140*AG140)*PRODUCT(Y140:AC140)</x:f>
        <x:v>1.7711299289371878</x:v>
      </x:c>
      <x:c r="AE140" t="n">
        <x:f>1+AE$9*($H$10*H140+$I$10*I140+$J$10*J140+$K$10*K140+$L$10*L140)</x:f>
        <x:v>1</x:v>
      </x:c>
      <x:c r="AF140" t="n">
        <x:f>1+AF$9*($H$10*H140+$I$10*I140+$J$10*J140+$K$10*K140+$L$10*L140)</x:f>
        <x:v>1.1690447006371156</x:v>
      </x:c>
      <x:c r="AG140" t="n">
        <x:f>1+AG$9*($H$10*H140+$I$10*I140+$J$10*J140+$K$10*K140+$L$10*L140)</x:f>
        <x:v>1.2995847750180016</x:v>
      </x:c>
      <x:c r="AH140" t="n">
        <x:f>MIN(1,'_曲线基线'!$L$3+AH$9*($H$10*H140+$I$10*I140+$J$10*J140+$K$10*K140+$L$10*L140))</x:f>
        <x:v>0.4345766939494376</x:v>
      </x:c>
      <x:c r="AI140" t="n">
        <x:f>'_曲线基线'!$L$4+AI$9*($H$10*H140+$I$10*I140+$J$10*J140+$K$10*K140+$L$10*L140)</x:f>
        <x:v>3.071320790287719</x:v>
      </x:c>
      <x:c r="AJ140" t="n">
        <x:f>1+AJ$9*($H$10*H140+$I$10*I140+$J$10*J140+$K$10*K140+$L$10*L140)</x:f>
        <x:v>1.8790324433130003</x:v>
      </x:c>
      <x:c r="AK140" t="n">
        <x:f>(1+AH140*(AI140-1))*AJ140</x:f>
        <x:v>3.570439252712471</x:v>
      </x:c>
      <x:c r="AL140" t="n">
        <x:f>U140*AD140*AK140*F140</x:f>
        <x:v>1321793.1848787405</x:v>
      </x:c>
      <x:c r="AM140" t="n">
        <x:f>IF($B140&lt;AM$8,0,AM$3+(AM$4-AM$3)*(POWER(AM$5,$B140-AM$8)-1)/(POWER(AM$5,$C$5-AM$8)-1))</x:f>
        <x:v>38.45529568377239</x:v>
      </x:c>
      <x:c r="AN140" t="n">
        <x:f>(((E140*'模块规划'!$D$10+G140*'模块规划'!$D$11+H140*'模块规划'!$D$13)*(1+'模块规划'!$G$14*H140)+(I140*'模块规划'!$D$15+J140*'模块规划'!$D$17+K140*'模块规划'!$D$16+L140*'模块规划'!$D$18))*(1+'模块规划'!$J$17*J140))*F140/(1-Q140)</x:f>
        <x:v>1887990.3567772005</x:v>
      </x:c>
      <x:c r="AO140" t="n">
        <x:f>AL140*AM140</x:f>
        <x:v>50829947.75730719</x:v>
      </x:c>
      <x:c r="AP140" t="n">
        <x:f>IF(AO140="","",INDEX('_曲线基线'!$A$3:$A$502,MIN(ROWS('_曲线基线'!$A$3:$A$502),COUNTIF('_曲线基线'!$E$3:$E$502,"&lt;"&amp;AO140)+1)))</x:f>
        <x:v>243</x:v>
      </x:c>
      <x:c r="AQ140" t="n">
        <x:f>IF(B140&lt;=2,1,IF(B140&lt;=6,2,IF(B140&lt;=9,3,IF(B140&lt;=19,4,5))))</x:f>
        <x:v>5</x:v>
      </x:c>
      <x:c r="AR140" t="n">
        <x:f>AN140*(1-Q140)/F140*$AS$3+U140*$AS$4+P140*$AS$5</x:f>
        <x:v>13602.29770769789</x:v>
      </x:c>
      <x:c r="AS140" t="n">
        <x:f>1+AH140*$AS$6+AI140*$AS$7+(AJ140-1)*$AS$8+($H$10*H140+$I$10*I140+$J$10*J140+$K$10*K140+$L$10*L140)*$AU$3*$AS$9+($H$10*H140+$I$10*I140+$J$10*J140+$K$10*K140+$L$10*L140)*$AU$4*$AS$10</x:f>
        <x:v>15.082192940108746</x:v>
      </x:c>
      <x:c r="AT140" t="n">
        <x:f>ROUND(AR140*AS140,0)</x:f>
        <x:v>205152</x:v>
      </x:c>
      <x:c r="AU140" t="n">
        <x:f>ROUND(AT140*F140,0)</x:f>
        <x:v>1025760</x:v>
      </x:c>
    </x:row>
    <x:row r="141">
      <x:c r="A141" t="str">
        <x:f>IFERROR(XLOOKUP(B141,'_曲线基线'!$G$3:$G$107,'_曲线基线'!$J$3:$J$107,""),"")</x:f>
      </x:c>
      <x:c r="B141" t="n">
        <x:v>130</x:v>
      </x:c>
      <x:c r="C141" t="n">
        <x:f>C126+1</x:f>
        <x:v>10</x:v>
      </x:c>
      <x:c r="D141" t="n">
        <x:f>D126</x:f>
        <x:v>1</x:v>
      </x:c>
      <x:c r="E141" t="n">
        <x:f>IF($B141&lt;E$8,0,E$3+(E$4-E$3)*(POWER(E$5,$B141-E$8)-1)/(POWER(E$5,$C$5-E$8)-1))</x:f>
        <x:v>1</x:v>
      </x:c>
      <x:c r="F141" t="n">
        <x:f>1+IF(B141&lt;3,0,MIN(1,(B141-2)/4))+IF(B141&lt;7,0,MIN(1,(B141-6)/3))+IF(B141&lt;10,0,MIN(1,(B141-9)/5))+IF(B141&lt;20,0,MIN(1,(B141-19)/10))</x:f>
        <x:v>5</x:v>
      </x:c>
      <x:c r="G141" t="n">
        <x:f>IF($B141&lt;G$8,0,G$3+(G$4-G$3)*(POWER(G$5,$B141-G$8)-1)/(POWER(G$5,$C$5-G$8)-1))</x:f>
        <x:v>0.7836421813973597</x:v>
      </x:c>
      <x:c r="H141" t="n">
        <x:f>IF($B141&lt;H$8,0,H$3+(H$4-H$3)*(POWER(H$5,$B141-H$8)-1)/(POWER(H$5,$C$5-H$8)-1))</x:f>
        <x:v>0.6358149308039974</x:v>
      </x:c>
      <x:c r="I141" t="n">
        <x:f>IF($B141&lt;I$8,0,I$3+(I$4-I$3)*(POWER(I$5,$B141-I$8)-1)/(POWER(I$5,$C$5-I$8)-1))</x:f>
        <x:v>0.48496934016182297</x:v>
      </x:c>
      <x:c r="J141" t="n">
        <x:f>IF($B141&lt;J$8,0,J$3+(J$4-J$3)*(POWER(J$5,$B141-J$8)-1)/(POWER(J$5,$C$5-J$8)-1))</x:f>
        <x:v>0.5238520118777049</x:v>
      </x:c>
      <x:c r="K141" t="n">
        <x:f>IF($B141&lt;K$8,0,K$3+(K$4-K$3)*(POWER(K$5,$B141-K$8)-1)/(POWER(K$5,$C$5-K$8)-1))</x:f>
        <x:v>0.3035965881137278</x:v>
      </x:c>
      <x:c r="L141" t="n">
        <x:f>IF($B141&lt;L$8,0,L$3+(L$4-L$3)*(POWER(L$5,$B141-L$8)-1)/(POWER(L$5,$C$5-L$8)-1))</x:f>
        <x:v>0.6344986777815259</x:v>
      </x:c>
      <x:c r="M141" t="n">
        <x:f>E141*'模块规划'!$F$10+G141*'模块规划'!$F$11+H141*'模块规划'!$F$13</x:f>
        <x:v>4761.482470707327</x:v>
      </x:c>
      <x:c r="N141" t="n">
        <x:f>I141*'模块规划'!$F$15+J141*'模块规划'!$F$17+K141*'模块规划'!$F$16+L141*'模块规划'!$F$18</x:f>
        <x:v>14112.34775766163</x:v>
      </x:c>
      <x:c r="O141" t="n">
        <x:f>1+O$9*SUMPRODUCT($H$10:$L$10,H141:L141)/SUM($H$10:$L$10)</x:f>
        <x:v>2.9259538041083917</x:v>
      </x:c>
      <x:c r="P141" t="n">
        <x:f>M141*O141+N141</x:f>
        <x:v>28044.225506023155</x:v>
      </x:c>
      <x:c r="Q141" t="n">
        <x:f>P141/(P141+'_曲线基线'!$L$2)</x:f>
        <x:v>0.5388537389758553</x:v>
      </x:c>
      <x:c r="R141" t="n">
        <x:f>E141*'模块规划'!$E$10+G141*'模块规划'!$E$11+H141*'模块规划'!$E$13</x:f>
        <x:v>7142.2237060609905</x:v>
      </x:c>
      <x:c r="S141" t="n">
        <x:f>I141*'模块规划'!$E$15+J141*'模块规划'!$E$17+K141*'模块规划'!$E$16+L141*'模块规划'!$E$18</x:f>
        <x:v>21168.52163649244</x:v>
      </x:c>
      <x:c r="T141" t="n">
        <x:f>1+T$9*SUMPRODUCT($H$10:$L$10,H141:L141)/SUM($H$10:$L$10)</x:f>
        <x:v>2.9259538041083917</x:v>
      </x:c>
      <x:c r="U141" t="n">
        <x:f>R141*T141+S141</x:f>
        <x:v>42066.33825903473</x:v>
      </x:c>
      <x:c r="V141" t="n">
        <x:f>V$8+(V$9-V$8)*H141</x:f>
        <x:v>0.8907444792411991</x:v>
      </x:c>
      <x:c r="W141" t="n">
        <x:f>IF(B141&lt;$H$8,0,W$8+(W$9-W$8)*H141)</x:f>
        <x:v>0.254325972321599</x:v>
      </x:c>
      <x:c r="X141" t="n">
        <x:f>X$8+(X$9-X$8)*H141</x:f>
        <x:v>0.44984910597109934</x:v>
      </x:c>
      <x:c r="Y141" t="n">
        <x:f>Y$8+(Y$9-Y$8)*G141</x:f>
        <x:v>1</x:v>
      </x:c>
      <x:c r="Z141" t="n">
        <x:f>Z$8+(Z$9-Z$8)*H141</x:f>
        <x:v>1</x:v>
      </x:c>
      <x:c r="AA141" t="n">
        <x:f>AA$8+(AA$9-AA$8)*I141</x:f>
        <x:v>1</x:v>
      </x:c>
      <x:c r="AB141" t="n">
        <x:f>AB$8+(AB$9-AB$8)*J141</x:f>
        <x:v>1</x:v>
      </x:c>
      <x:c r="AC141" t="n">
        <x:f>AC$8+(AC$9-AC$8)*MAX(K141,L141)</x:f>
        <x:v>1</x:v>
      </x:c>
      <x:c r="AD141" t="n">
        <x:f>(V141*AE141+W141*AF141+X141*AG141)*PRODUCT(Y141:AC141)</x:f>
        <x:v>1.773666600956986</x:v>
      </x:c>
      <x:c r="AE141" t="n">
        <x:f>1+AE$9*($H$10*H141+$I$10*I141+$J$10*J141+$K$10*K141+$L$10*L141)</x:f>
        <x:v>1</x:v>
      </x:c>
      <x:c r="AF141" t="n">
        <x:f>1+AF$9*($H$10*H141+$I$10*I141+$J$10*J141+$K$10*K141+$L$10*L141)</x:f>
        <x:v>1.169982967326166</x:v>
      </x:c>
      <x:c r="AG141" t="n">
        <x:f>1+AG$9*($H$10*H141+$I$10*I141+$J$10*J141+$K$10*K141+$L$10*L141)</x:f>
        <x:v>1.3012475920947075</x:v>
      </x:c>
      <x:c r="AH141" t="n">
        <x:f>MIN(1,'_曲线基线'!$L$3+AH$9*($H$10*H141+$I$10*I141+$J$10*J141+$K$10*K141+$L$10*L141))</x:f>
        <x:v>0.43671125066702693</x:v>
      </x:c>
      <x:c r="AI141" t="n">
        <x:f>'_曲线基线'!$L$4+AI$9*($H$10*H141+$I$10*I141+$J$10*J141+$K$10*K141+$L$10*L141)</x:f>
        <x:v>3.077267055429575</x:v>
      </x:c>
      <x:c r="AJ141" t="n">
        <x:f>1+AJ$9*($H$10*H141+$I$10*I141+$J$10*J141+$K$10*K141+$L$10*L141)</x:f>
        <x:v>1.8839114300960618</x:v>
      </x:c>
      <x:c r="AK141" t="n">
        <x:f>(1+AH141*(AI141-1))*AJ141</x:f>
        <x:v>3.5929316263175775</x:v>
      </x:c>
      <x:c r="AL141" t="n">
        <x:f>U141*AD141*AK141*F141</x:f>
        <x:v>1340372.9500616959</x:v>
      </x:c>
      <x:c r="AM141" t="n">
        <x:f>IF($B141&lt;AM$8,0,AM$3+(AM$4-AM$3)*(POWER(AM$5,$B141-AM$8)-1)/(POWER(AM$5,$C$5-AM$8)-1))</x:f>
        <x:v>38.503273280531985</x:v>
      </x:c>
      <x:c r="AN141" t="n">
        <x:f>(((E141*'模块规划'!$D$10+G141*'模块规划'!$D$11+H141*'模块规划'!$D$13)*(1+'模块规划'!$G$14*H141)+(I141*'模块规划'!$D$15+J141*'模块规划'!$D$17+K141*'模块规划'!$D$16+L141*'模块规划'!$D$18))*(1+'模块规划'!$J$17*J141))*F141/(1-Q141)</x:f>
        <x:v>1906977.243623045</x:v>
      </x:c>
      <x:c r="AO141" t="n">
        <x:f>AL141*AM141</x:f>
        <x:v>51608745.994058326</x:v>
      </x:c>
      <x:c r="AP141" t="n">
        <x:f>IF(AO141="","",INDEX('_曲线基线'!$A$3:$A$502,MIN(ROWS('_曲线基线'!$A$3:$A$502),COUNTIF('_曲线基线'!$E$3:$E$502,"&lt;"&amp;AO141)+1)))</x:f>
        <x:v>244</x:v>
      </x:c>
      <x:c r="AQ141" t="n">
        <x:f>IF(B141&lt;=2,1,IF(B141&lt;=6,2,IF(B141&lt;=9,3,IF(B141&lt;=19,4,5))))</x:f>
        <x:v>5</x:v>
      </x:c>
      <x:c r="AR141" t="n">
        <x:f>AN141*(1-Q141)/F141*$AS$3+U141*$AS$4+P141*$AS$5</x:f>
        <x:v>13689.640206336326</x:v>
      </x:c>
      <x:c r="AS141" t="n">
        <x:f>1+AH141*$AS$6+AI141*$AS$7+(AJ141-1)*$AS$8+($H$10*H141+$I$10*I141+$J$10*J141+$K$10*K141+$L$10*L141)*$AU$3*$AS$9+($H$10*H141+$I$10*I141+$J$10*J141+$K$10*K141+$L$10*L141)*$AU$4*$AS$10</x:f>
        <x:v>15.138255440885024</x:v>
      </x:c>
      <x:c r="AT141" t="n">
        <x:f>ROUND(AR141*AS141,0)</x:f>
        <x:v>207237</x:v>
      </x:c>
      <x:c r="AU141" t="n">
        <x:f>ROUND(AT141*F141,0)</x:f>
        <x:v>1036185</x:v>
      </x:c>
    </x:row>
    <x:row r="142">
      <x:c r="A142" t="str">
        <x:f>IFERROR(XLOOKUP(B142,'_曲线基线'!$G$3:$G$107,'_曲线基线'!$J$3:$J$107,""),"")</x:f>
      </x:c>
      <x:c r="B142" t="n">
        <x:v>131</x:v>
      </x:c>
      <x:c r="C142" t="n">
        <x:f>C127+1</x:f>
        <x:v>10</x:v>
      </x:c>
      <x:c r="D142" t="n">
        <x:f>D127</x:f>
        <x:v>2</x:v>
      </x:c>
      <x:c r="E142" t="n">
        <x:f>IF($B142&lt;E$8,0,E$3+(E$4-E$3)*(POWER(E$5,$B142-E$8)-1)/(POWER(E$5,$C$5-E$8)-1))</x:f>
        <x:v>1</x:v>
      </x:c>
      <x:c r="F142" t="n">
        <x:f>1+IF(B142&lt;3,0,MIN(1,(B142-2)/4))+IF(B142&lt;7,0,MIN(1,(B142-6)/3))+IF(B142&lt;10,0,MIN(1,(B142-9)/5))+IF(B142&lt;20,0,MIN(1,(B142-19)/10))</x:f>
        <x:v>5</x:v>
      </x:c>
      <x:c r="G142" t="n">
        <x:f>IF($B142&lt;G$8,0,G$3+(G$4-G$3)*(POWER(G$5,$B142-G$8)-1)/(POWER(G$5,$C$5-G$8)-1))</x:f>
        <x:v>0.7855927391308951</x:v>
      </x:c>
      <x:c r="H142" t="n">
        <x:f>IF($B142&lt;H$8,0,H$3+(H$4-H$3)*(POWER(H$5,$B142-H$8)-1)/(POWER(H$5,$C$5-H$8)-1))</x:f>
        <x:v>0.6371651744274287</x:v>
      </x:c>
      <x:c r="I142" t="n">
        <x:f>IF($B142&lt;I$8,0,I$3+(I$4-I$3)*(POWER(I$5,$B142-I$8)-1)/(POWER(I$5,$C$5-I$8)-1))</x:f>
        <x:v>0.4884410447016547</x:v>
      </x:c>
      <x:c r="J142" t="n">
        <x:f>IF($B142&lt;J$8,0,J$3+(J$4-J$3)*(POWER(J$5,$B142-J$8)-1)/(POWER(J$5,$C$5-J$8)-1))</x:f>
        <x:v>0.5254539161318748</x:v>
      </x:c>
      <x:c r="K142" t="n">
        <x:f>IF($B142&lt;K$8,0,K$3+(K$4-K$3)*(POWER(K$5,$B142-K$8)-1)/(POWER(K$5,$C$5-K$8)-1))</x:f>
        <x:v>0.3108837812864268</x:v>
      </x:c>
      <x:c r="L142" t="n">
        <x:f>IF($B142&lt;L$8,0,L$3+(L$4-L$3)*(POWER(L$5,$B142-L$8)-1)/(POWER(L$5,$C$5-L$8)-1))</x:f>
        <x:v>0.6358766110572811</x:v>
      </x:c>
      <x:c r="M142" t="n">
        <x:f>E142*'模块规划'!$F$10+G142*'模块规划'!$F$11+H142*'模块规划'!$F$13</x:f>
        <x:v>4770.845147828297</x:v>
      </x:c>
      <x:c r="N142" t="n">
        <x:f>I142*'模块规划'!$F$15+J142*'模块规划'!$F$17+K142*'模块规划'!$F$16+L142*'模块规划'!$F$18</x:f>
        <x:v>14206.75326193695</x:v>
      </x:c>
      <x:c r="O142" t="n">
        <x:f>1+O$9*SUMPRODUCT($H$10:$L$10,H142:L142)/SUM($H$10:$L$10)</x:f>
        <x:v>2.9363720075373596</x:v>
      </x:c>
      <x:c r="P142" t="n">
        <x:f>M142*O142+N142</x:f>
        <x:v>28215.729406315397</x:v>
      </x:c>
      <x:c r="Q142" t="n">
        <x:f>P142/(P142+'_曲线基线'!$L$2)</x:f>
        <x:v>0.5403683856784879</x:v>
      </x:c>
      <x:c r="R142" t="n">
        <x:f>E142*'模块规划'!$E$10+G142*'模块规划'!$E$11+H142*'模块规划'!$E$13</x:f>
        <x:v>7156.267721742445</x:v>
      </x:c>
      <x:c r="S142" t="n">
        <x:f>I142*'模块规划'!$E$15+J142*'模块规划'!$E$17+K142*'模块规划'!$E$16+L142*'模块规划'!$E$18</x:f>
        <x:v>21310.129892905425</x:v>
      </x:c>
      <x:c r="T142" t="n">
        <x:f>1+T$9*SUMPRODUCT($H$10:$L$10,H142:L142)/SUM($H$10:$L$10)</x:f>
        <x:v>2.9363720075373596</x:v>
      </x:c>
      <x:c r="U142" t="n">
        <x:f>R142*T142+S142</x:f>
        <x:v>42323.594109473095</x:v>
      </x:c>
      <x:c r="V142" t="n">
        <x:f>V$8+(V$9-V$8)*H142</x:f>
        <x:v>0.8911495523282286</x:v>
      </x:c>
      <x:c r="W142" t="n">
        <x:f>IF(B142&lt;$H$8,0,W$8+(W$9-W$8)*H142)</x:f>
        <x:v>0.2548660697709715</x:v>
      </x:c>
      <x:c r="X142" t="n">
        <x:f>X$8+(X$9-X$8)*H142</x:f>
        <x:v>0.45022042296754294</x:v>
      </x:c>
      <x:c r="Y142" t="n">
        <x:f>Y$8+(Y$9-Y$8)*G142</x:f>
        <x:v>1</x:v>
      </x:c>
      <x:c r="Z142" t="n">
        <x:f>Z$8+(Z$9-Z$8)*H142</x:f>
        <x:v>1</x:v>
      </x:c>
      <x:c r="AA142" t="n">
        <x:f>AA$8+(AA$9-AA$8)*I142</x:f>
        <x:v>1</x:v>
      </x:c>
      <x:c r="AB142" t="n">
        <x:f>AB$8+(AB$9-AB$8)*J142</x:f>
        <x:v>1</x:v>
      </x:c>
      <x:c r="AC142" t="n">
        <x:f>AC$8+(AC$9-AC$8)*MAX(K142,L142)</x:f>
        <x:v>1</x:v>
      </x:c>
      <x:c r="AD142" t="n">
        <x:f>(V142*AE142+W142*AF142+X142*AG142)*PRODUCT(Y142:AC142)</x:f>
        <x:v>1.77615476542801</x:v>
      </x:c>
      <x:c r="AE142" t="n">
        <x:f>1+AE$9*($H$10*H142+$I$10*I142+$J$10*J142+$K$10*K142+$L$10*L142)</x:f>
        <x:v>1</x:v>
      </x:c>
      <x:c r="AF142" t="n">
        <x:f>1+AF$9*($H$10*H142+$I$10*I142+$J$10*J142+$K$10*K142+$L$10*L142)</x:f>
        <x:v>1.170902468681435</x:v>
      </x:c>
      <x:c r="AG142" t="n">
        <x:f>1+AG$9*($H$10*H142+$I$10*I142+$J$10*J142+$K$10*K142+$L$10*L142)</x:f>
        <x:v>1.302877152829879</x:v>
      </x:c>
      <x:c r="AH142" t="n">
        <x:f>MIN(1,'_曲线基线'!$L$3+AH$9*($H$10*H142+$I$10*I142+$J$10*J142+$K$10*K142+$L$10*L142))</x:f>
        <x:v>0.43880311625026447</x:v>
      </x:c>
      <x:c r="AI142" t="n">
        <x:f>'_曲线基线'!$L$4+AI$9*($H$10*H142+$I$10*I142+$J$10*J142+$K$10*K142+$L$10*L142)</x:f>
        <x:v>3.083094395268594</x:v>
      </x:c>
      <x:c r="AJ142" t="n">
        <x:f>1+AJ$9*($H$10*H142+$I$10*I142+$J$10*J142+$K$10*K142+$L$10*L142)</x:f>
        <x:v>1.888692837143462</x:v>
      </x:c>
      <x:c r="AK142" t="n">
        <x:f>(1+AH142*(AI142-1))*AJ142</x:f>
        <x:v>3.6150871108425964</x:v>
      </x:c>
      <x:c r="AL142" t="n">
        <x:f>U142*AD142*AK142*F142</x:f>
        <x:v>1358789.2966462434</x:v>
      </x:c>
      <x:c r="AM142" t="n">
        <x:f>IF($B142&lt;AM$8,0,AM$3+(AM$4-AM$3)*(POWER(AM$5,$B142-AM$8)-1)/(POWER(AM$5,$C$5-AM$8)-1))</x:f>
        <x:v>38.55173065325917</x:v>
      </x:c>
      <x:c r="AN142" t="n">
        <x:f>(((E142*'模块规划'!$D$10+G142*'模块规划'!$D$11+H142*'模块规划'!$D$13)*(1+'模块规划'!$G$14*H142)+(I142*'模块规划'!$D$15+J142*'模块规划'!$D$17+K142*'模块规划'!$D$16+L142*'模块规划'!$D$18))*(1+'模块规划'!$J$17*J142))*F142/(1-Q142)</x:f>
        <x:v>1925711.9304060151</x:v>
      </x:c>
      <x:c r="AO142" t="n">
        <x:f>AL142*AM142</x:f>
        <x:v>52383678.97883745</x:v>
      </x:c>
      <x:c r="AP142" t="n">
        <x:f>IF(AO142="","",INDEX('_曲线基线'!$A$3:$A$502,MIN(ROWS('_曲线基线'!$A$3:$A$502),COUNTIF('_曲线基线'!$E$3:$E$502,"&lt;"&amp;AO142)+1)))</x:f>
        <x:v>245</x:v>
      </x:c>
      <x:c r="AQ142" t="n">
        <x:f>IF(B142&lt;=2,1,IF(B142&lt;=6,2,IF(B142&lt;=9,3,IF(B142&lt;=19,4,5))))</x:f>
        <x:v>5</x:v>
      </x:c>
      <x:c r="AR142" t="n">
        <x:f>AN142*(1-Q142)/F142*$AS$3+U142*$AS$4+P142*$AS$5</x:f>
        <x:v>13775.42732163889</x:v>
      </x:c>
      <x:c r="AS142" t="n">
        <x:f>1+AH142*$AS$6+AI142*$AS$7+(AJ142-1)*$AS$8+($H$10*H142+$I$10*I142+$J$10*J142+$K$10*K142+$L$10*L142)*$AU$3*$AS$9+($H$10*H142+$I$10*I142+$J$10*J142+$K$10*K142+$L$10*L142)*$AU$4*$AS$10</x:f>
        <x:v>15.193196691645777</x:v>
      </x:c>
      <x:c r="AT142" t="n">
        <x:f>ROUND(AR142*AS142,0)</x:f>
        <x:v>209293</x:v>
      </x:c>
      <x:c r="AU142" t="n">
        <x:f>ROUND(AT142*F142,0)</x:f>
        <x:v>1046465</x:v>
      </x:c>
    </x:row>
    <x:row r="143">
      <x:c r="A143" t="str">
        <x:f>IFERROR(XLOOKUP(B143,'_曲线基线'!$G$3:$G$107,'_曲线基线'!$J$3:$J$107,""),"")</x:f>
      </x:c>
      <x:c r="B143" t="n">
        <x:v>132</x:v>
      </x:c>
      <x:c r="C143" t="n">
        <x:f>C128+1</x:f>
        <x:v>10</x:v>
      </x:c>
      <x:c r="D143" t="n">
        <x:f>D128</x:f>
        <x:v>3</x:v>
      </x:c>
      <x:c r="E143" t="n">
        <x:f>IF($B143&lt;E$8,0,E$3+(E$4-E$3)*(POWER(E$5,$B143-E$8)-1)/(POWER(E$5,$C$5-E$8)-1))</x:f>
        <x:v>1</x:v>
      </x:c>
      <x:c r="F143" t="n">
        <x:f>1+IF(B143&lt;3,0,MIN(1,(B143-2)/4))+IF(B143&lt;7,0,MIN(1,(B143-6)/3))+IF(B143&lt;10,0,MIN(1,(B143-9)/5))+IF(B143&lt;20,0,MIN(1,(B143-19)/10))</x:f>
        <x:v>5</x:v>
      </x:c>
      <x:c r="G143" t="n">
        <x:f>IF($B143&lt;G$8,0,G$3+(G$4-G$3)*(POWER(G$5,$B143-G$8)-1)/(POWER(G$5,$C$5-G$8)-1))</x:f>
        <x:v>0.7875140384984276</x:v>
      </x:c>
      <x:c r="H143" t="n">
        <x:f>IF($B143&lt;H$8,0,H$3+(H$4-H$3)*(POWER(H$5,$B143-H$8)-1)/(POWER(H$5,$C$5-H$8)-1))</x:f>
        <x:v>0.6384884131783916</x:v>
      </x:c>
      <x:c r="I143" t="n">
        <x:f>IF($B143&lt;I$8,0,I$3+(I$4-I$3)*(POWER(I$5,$B143-I$8)-1)/(POWER(I$5,$C$5-I$8)-1))</x:f>
        <x:v>0.4918433151506898</x:v>
      </x:c>
      <x:c r="J143" t="n">
        <x:f>IF($B143&lt;J$8,0,J$3+(J$4-J$3)*(POWER(J$5,$B143-J$8)-1)/(POWER(J$5,$C$5-J$8)-1))</x:f>
        <x:v>0.5270237823009611</x:v>
      </x:c>
      <x:c r="K143" t="n">
        <x:f>IF($B143&lt;K$8,0,K$3+(K$4-K$3)*(POWER(K$5,$B143-K$8)-1)/(POWER(K$5,$C$5-K$8)-1))</x:f>
        <x:v>0.31802523059567184</x:v>
      </x:c>
      <x:c r="L143" t="n">
        <x:f>IF($B143&lt;L$8,0,L$3+(L$4-L$3)*(POWER(L$5,$B143-L$8)-1)/(POWER(L$5,$C$5-L$8)-1))</x:f>
        <x:v>0.637226985667521</x:v>
      </x:c>
      <x:c r="M143" t="n">
        <x:f>E143*'模块规划'!$F$10+G143*'模块规划'!$F$11+H143*'模块规划'!$F$13</x:f>
        <x:v>4780.067384792453</x:v>
      </x:c>
      <x:c r="N143" t="n">
        <x:f>I143*'模块规划'!$F$15+J143*'模块规划'!$F$17+K143*'模块规划'!$F$16+L143*'模块规划'!$F$18</x:f>
        <x:v>14299.270656126766</x:v>
      </x:c>
      <x:c r="O143" t="n">
        <x:f>1+O$9*SUMPRODUCT($H$10:$L$10,H143:L143)/SUM($H$10:$L$10)</x:f>
        <x:v>2.9465818468977494</x:v>
      </x:c>
      <x:c r="P143" t="n">
        <x:f>M143*O143+N143</x:f>
        <x:v>28384.130439104207</x:v>
      </x:c>
      <x:c r="Q143" t="n">
        <x:f>P143/(P143+'_曲线基线'!$L$2)</x:f>
        <x:v>0.5418459789477721</x:v>
      </x:c>
      <x:c r="R143" t="n">
        <x:f>E143*'模块规划'!$E$10+G143*'模块规划'!$E$11+H143*'模块规划'!$E$13</x:f>
        <x:v>7170.101077188679</x:v>
      </x:c>
      <x:c r="S143" t="n">
        <x:f>I143*'模块规划'!$E$15+J143*'模块规划'!$E$17+K143*'模块规划'!$E$16+L143*'模块规划'!$E$18</x:f>
        <x:v>21448.905984190147</x:v>
      </x:c>
      <x:c r="T143" t="n">
        <x:f>1+T$9*SUMPRODUCT($H$10:$L$10,H143:L143)/SUM($H$10:$L$10)</x:f>
        <x:v>2.9465818468977494</x:v>
      </x:c>
      <x:c r="U143" t="n">
        <x:f>R143*T143+S143</x:f>
        <x:v>42576.1956586563</x:v>
      </x:c>
      <x:c r="V143" t="n">
        <x:f>V$8+(V$9-V$8)*H143</x:f>
        <x:v>0.8915465239535174</x:v>
      </x:c>
      <x:c r="W143" t="n">
        <x:f>IF(B143&lt;$H$8,0,W$8+(W$9-W$8)*H143)</x:f>
        <x:v>0.25539536527135664</x:v>
      </x:c>
      <x:c r="X143" t="n">
        <x:f>X$8+(X$9-X$8)*H143</x:f>
        <x:v>0.4505843136240577</x:v>
      </x:c>
      <x:c r="Y143" t="n">
        <x:f>Y$8+(Y$9-Y$8)*G143</x:f>
        <x:v>1</x:v>
      </x:c>
      <x:c r="Z143" t="n">
        <x:f>Z$8+(Z$9-Z$8)*H143</x:f>
        <x:v>1</x:v>
      </x:c>
      <x:c r="AA143" t="n">
        <x:f>AA$8+(AA$9-AA$8)*I143</x:f>
        <x:v>1</x:v>
      </x:c>
      <x:c r="AB143" t="n">
        <x:f>AB$8+(AB$9-AB$8)*J143</x:f>
        <x:v>1</x:v>
      </x:c>
      <x:c r="AC143" t="n">
        <x:f>AC$8+(AC$9-AC$8)*MAX(K143,L143)</x:f>
        <x:v>1</x:v>
      </x:c>
      <x:c r="AD143" t="n">
        <x:f>(V143*AE143+W143*AF143+X143*AG143)*PRODUCT(Y143:AC143)</x:f>
        <x:v>1.7785953043559286</x:v>
      </x:c>
      <x:c r="AE143" t="n">
        <x:f>1+AE$9*($H$10*H143+$I$10*I143+$J$10*J143+$K$10*K143+$L$10*L143)</x:f>
        <x:v>1</x:v>
      </x:c>
      <x:c r="AF143" t="n">
        <x:f>1+AF$9*($H$10*H143+$I$10*I143+$J$10*J143+$K$10*K143+$L$10*L143)</x:f>
        <x:v>1.171803580009599</x:v>
      </x:c>
      <x:c r="AG143" t="n">
        <x:f>1+AG$9*($H$10*H143+$I$10*I143+$J$10*J143+$K$10*K143+$L$10*L143)</x:f>
        <x:v>1.3044741223503473</x:v>
      </x:c>
      <x:c r="AH143" t="n">
        <x:f>MIN(1,'_曲线基线'!$L$3+AH$9*($H$10*H143+$I$10*I143+$J$10*J143+$K$10*K143+$L$10*L143))</x:f>
        <x:v>0.4408531445218374</x:v>
      </x:c>
      <x:c r="AI143" t="n">
        <x:f>'_曲线基线'!$L$4+AI$9*($H$10*H143+$I$10*I143+$J$10*J143+$K$10*K143+$L$10*L143)</x:f>
        <x:v>3.0888051883108325</x:v>
      </x:c>
      <x:c r="AJ143" t="n">
        <x:f>1+AJ$9*($H$10*H143+$I$10*I143+$J$10*J143+$K$10*K143+$L$10*L143)</x:f>
        <x:v>1.893378616049914</x:v>
      </x:c>
      <x:c r="AK143" t="n">
        <x:f>(1+AH143*(AI143-1))*AJ143</x:f>
        <x:v>3.636908310253982</x:v>
      </x:c>
      <x:c r="AL143" t="n">
        <x:f>U143*AD143*AK143*F143</x:f>
        <x:v>1377039.350768102</x:v>
      </x:c>
      <x:c r="AM143" t="n">
        <x:f>IF($B143&lt;AM$8,0,AM$3+(AM$4-AM$3)*(POWER(AM$5,$B143-AM$8)-1)/(POWER(AM$5,$C$5-AM$8)-1))</x:f>
        <x:v>38.60067259971363</x:v>
      </x:c>
      <x:c r="AN143" t="n">
        <x:f>(((E143*'模块规划'!$D$10+G143*'模块规划'!$D$11+H143*'模块规划'!$D$13)*(1+'模块规划'!$G$14*H143)+(I143*'模块规划'!$D$15+J143*'模块规划'!$D$17+K143*'模块规划'!$D$16+L143*'模块规划'!$D$18))*(1+'模块规划'!$J$17*J143))*F143/(1-Q143)</x:f>
        <x:v>1944195.3419214953</x:v>
      </x:c>
      <x:c r="AO143" t="n">
        <x:f>AL143*AM143</x:f>
        <x:v>53154645.13592173</x:v>
      </x:c>
      <x:c r="AP143" t="n">
        <x:f>IF(AO143="","",INDEX('_曲线基线'!$A$3:$A$502,MIN(ROWS('_曲线基线'!$A$3:$A$502),COUNTIF('_曲线基线'!$E$3:$E$502,"&lt;"&amp;AO143)+1)))</x:f>
        <x:v>246</x:v>
      </x:c>
      <x:c r="AQ143" t="n">
        <x:f>IF(B143&lt;=2,1,IF(B143&lt;=6,2,IF(B143&lt;=9,3,IF(B143&lt;=19,4,5))))</x:f>
        <x:v>5</x:v>
      </x:c>
      <x:c r="AR143" t="n">
        <x:f>AN143*(1-Q143)/F143*$AS$3+U143*$AS$4+P143*$AS$5</x:f>
        <x:v>13859.684613405325</x:v>
      </x:c>
      <x:c r="AS143" t="n">
        <x:f>1+AH143*$AS$6+AI143*$AS$7+(AJ143-1)*$AS$8+($H$10*H143+$I$10*I143+$J$10*J143+$K$10*K143+$L$10*L143)*$AU$3*$AS$9+($H$10*H143+$I$10*I143+$J$10*J143+$K$10*K143+$L$10*L143)*$AU$4*$AS$10</x:f>
        <x:v>15.247039117391315</x:v>
      </x:c>
      <x:c r="AT143" t="n">
        <x:f>ROUND(AR143*AS143,0)</x:f>
        <x:v>211319</x:v>
      </x:c>
      <x:c r="AU143" t="n">
        <x:f>ROUND(AT143*F143,0)</x:f>
        <x:v>1056595</x:v>
      </x:c>
    </x:row>
    <x:row r="144">
      <x:c r="A144" t="str">
        <x:f>IFERROR(XLOOKUP(B144,'_曲线基线'!$G$3:$G$107,'_曲线基线'!$J$3:$J$107,""),"")</x:f>
      </x:c>
      <x:c r="B144" t="n">
        <x:v>133</x:v>
      </x:c>
      <x:c r="C144" t="n">
        <x:f>C129+1</x:f>
        <x:v>10</x:v>
      </x:c>
      <x:c r="D144" t="n">
        <x:f>D129</x:f>
        <x:v>4</x:v>
      </x:c>
      <x:c r="E144" t="n">
        <x:f>IF($B144&lt;E$8,0,E$3+(E$4-E$3)*(POWER(E$5,$B144-E$8)-1)/(POWER(E$5,$C$5-E$8)-1))</x:f>
        <x:v>1</x:v>
      </x:c>
      <x:c r="F144" t="n">
        <x:f>1+IF(B144&lt;3,0,MIN(1,(B144-2)/4))+IF(B144&lt;7,0,MIN(1,(B144-6)/3))+IF(B144&lt;10,0,MIN(1,(B144-9)/5))+IF(B144&lt;20,0,MIN(1,(B144-19)/10))</x:f>
        <x:v>5</x:v>
      </x:c>
      <x:c r="G144" t="n">
        <x:f>IF($B144&lt;G$8,0,G$3+(G$4-G$3)*(POWER(G$5,$B144-G$8)-1)/(POWER(G$5,$C$5-G$8)-1))</x:f>
        <x:v>0.789406518375447</x:v>
      </x:c>
      <x:c r="H144" t="n">
        <x:f>IF($B144&lt;H$8,0,H$3+(H$4-H$3)*(POWER(H$5,$B144-H$8)-1)/(POWER(H$5,$C$5-H$8)-1))</x:f>
        <x:v>0.639785187154335</x:v>
      </x:c>
      <x:c r="I144" t="n">
        <x:f>IF($B144&lt;I$8,0,I$3+(I$4-I$3)*(POWER(I$5,$B144-I$8)-1)/(POWER(I$5,$C$5-I$8)-1))</x:f>
        <x:v>0.4951775401907442</x:v>
      </x:c>
      <x:c r="J144" t="n">
        <x:f>IF($B144&lt;J$8,0,J$3+(J$4-J$3)*(POWER(J$5,$B144-J$8)-1)/(POWER(J$5,$C$5-J$8)-1))</x:f>
        <x:v>0.5285622511466659</x:v>
      </x:c>
      <x:c r="K144" t="n">
        <x:f>IF($B144&lt;K$8,0,K$3+(K$4-K$3)*(POWER(K$5,$B144-K$8)-1)/(POWER(K$5,$C$5-K$8)-1))</x:f>
        <x:v>0.3250238509187319</x:v>
      </x:c>
      <x:c r="L144" t="n">
        <x:f>IF($B144&lt;L$8,0,L$3+(L$4-L$3)*(POWER(L$5,$B144-L$8)-1)/(POWER(L$5,$C$5-L$8)-1))</x:f>
        <x:v>0.6385503527855564</x:v>
      </x:c>
      <x:c r="M144" t="n">
        <x:f>E144*'模块规划'!$F$10+G144*'模块规划'!$F$11+H144*'模块规划'!$F$13</x:f>
        <x:v>4789.151288202145</x:v>
      </x:c>
      <x:c r="N144" t="n">
        <x:f>I144*'模块规划'!$F$15+J144*'模块规划'!$F$17+K144*'模块规划'!$F$16+L144*'模块规划'!$F$18</x:f>
        <x:v>14389.937702432788</x:v>
      </x:c>
      <x:c r="O144" t="n">
        <x:f>1+O$9*SUMPRODUCT($H$10:$L$10,H144:L144)/SUM($H$10:$L$10)</x:f>
        <x:v>2.9565874894709303</x:v>
      </x:c>
      <x:c r="P144" t="n">
        <x:f>M144*O144+N144</x:f>
        <x:v>28549.48248631484</x:v>
      </x:c>
      <x:c r="Q144" t="n">
        <x:f>P144/(P144+'_曲线基线'!$L$2)</x:f>
        <x:v>0.543287605044442</x:v>
      </x:c>
      <x:c r="R144" t="n">
        <x:f>E144*'模块规划'!$E$10+G144*'模块规划'!$E$11+H144*'模块规划'!$E$13</x:f>
        <x:v>7183.726932303218</x:v>
      </x:c>
      <x:c r="S144" t="n">
        <x:f>I144*'模块规划'!$E$15+J144*'模块规划'!$E$17+K144*'模块规划'!$E$16+L144*'模块规划'!$E$18</x:f>
        <x:v>21584.90655364918</x:v>
      </x:c>
      <x:c r="T144" t="n">
        <x:f>1+T$9*SUMPRODUCT($H$10:$L$10,H144:L144)/SUM($H$10:$L$10)</x:f>
        <x:v>2.9565874894709303</x:v>
      </x:c>
      <x:c r="U144" t="n">
        <x:f>R144*T144+S144</x:f>
        <x:v>42824.22372947226</x:v>
      </x:c>
      <x:c r="V144" t="n">
        <x:f>V$8+(V$9-V$8)*H144</x:f>
        <x:v>0.8919355561463005</x:v>
      </x:c>
      <x:c r="W144" t="n">
        <x:f>IF(B144&lt;$H$8,0,W$8+(W$9-W$8)*H144)</x:f>
        <x:v>0.255914074861734</x:v>
      </x:c>
      <x:c r="X144" t="n">
        <x:f>X$8+(X$9-X$8)*H144</x:f>
        <x:v>0.45094092646744216</x:v>
      </x:c>
      <x:c r="Y144" t="n">
        <x:f>Y$8+(Y$9-Y$8)*G144</x:f>
        <x:v>1</x:v>
      </x:c>
      <x:c r="Z144" t="n">
        <x:f>Z$8+(Z$9-Z$8)*H144</x:f>
        <x:v>1</x:v>
      </x:c>
      <x:c r="AA144" t="n">
        <x:f>AA$8+(AA$9-AA$8)*I144</x:f>
        <x:v>1</x:v>
      </x:c>
      <x:c r="AB144" t="n">
        <x:f>AB$8+(AB$9-AB$8)*J144</x:f>
        <x:v>1</x:v>
      </x:c>
      <x:c r="AC144" t="n">
        <x:f>AC$8+(AC$9-AC$8)*MAX(K144,L144)</x:f>
        <x:v>1</x:v>
      </x:c>
      <x:c r="AD144" t="n">
        <x:f>(V144*AE144+W144*AF144+X144*AG144)*PRODUCT(Y144:AC144)</x:f>
        <x:v>1.7809890855968489</x:v>
      </x:c>
      <x:c r="AE144" t="n">
        <x:f>1+AE$9*($H$10*H144+$I$10*I144+$J$10*J144+$K$10*K144+$L$10*L144)</x:f>
        <x:v>1</x:v>
      </x:c>
      <x:c r="AF144" t="n">
        <x:f>1+AF$9*($H$10*H144+$I$10*I144+$J$10*J144+$K$10*K144+$L$10*L144)</x:f>
        <x:v>1.1726866691111997</x:v>
      </x:c>
      <x:c r="AG144" t="n">
        <x:f>1+AG$9*($H$10*H144+$I$10*I144+$J$10*J144+$K$10*K144+$L$10*L144)</x:f>
        <x:v>1.3060391524804063</x:v>
      </x:c>
      <x:c r="AH144" t="n">
        <x:f>MIN(1,'_曲线基线'!$L$3+AH$9*($H$10*H144+$I$10*I144+$J$10*J144+$K$10*K144+$L$10*L144))</x:f>
        <x:v>0.4428621722279788</x:v>
      </x:c>
      <x:c r="AI144" t="n">
        <x:f>'_曲线基线'!$L$4+AI$9*($H$10*H144+$I$10*I144+$J$10*J144+$K$10*K144+$L$10*L144)</x:f>
        <x:v>3.0944017654922265</x:v>
      </x:c>
      <x:c r="AJ144" t="n">
        <x:f>1+AJ$9*($H$10*H144+$I$10*I144+$J$10*J144+$K$10*K144+$L$10*L144)</x:f>
        <x:v>1.8979706793782374</x:v>
      </x:c>
      <x:c r="AK144" t="n">
        <x:f>(1+AH144*(AI144-1))*AJ144</x:f>
        <x:v>3.6583979201822006</x:v>
      </x:c>
      <x:c r="AL144" t="n">
        <x:f>U144*AD144*AK144*F144</x:f>
        <x:v>1395120.4446891127</x:v>
      </x:c>
      <x:c r="AM144" t="n">
        <x:f>IF($B144&lt;AM$8,0,AM$3+(AM$4-AM$3)*(POWER(AM$5,$B144-AM$8)-1)/(POWER(AM$5,$C$5-AM$8)-1))</x:f>
        <x:v>38.65010396563264</x:v>
      </x:c>
      <x:c r="AN144" t="n">
        <x:f>(((E144*'模块规划'!$D$10+G144*'模块规划'!$D$11+H144*'模块规划'!$D$13)*(1+'模块规划'!$G$14*H144)+(I144*'模块规划'!$D$15+J144*'模块规划'!$D$17+K144*'模块规划'!$D$16+L144*'模块规划'!$D$18))*(1+'模块规划'!$J$17*J144))*F144/(1-Q144)</x:f>
        <x:v>1962428.516684799</x:v>
      </x:c>
      <x:c r="AO144" t="n">
        <x:f>AL144*AM144</x:f>
        <x:v>53921550.23181385</x:v>
      </x:c>
      <x:c r="AP144" t="n">
        <x:f>IF(AO144="","",INDEX('_曲线基线'!$A$3:$A$502,MIN(ROWS('_曲线基线'!$A$3:$A$502),COUNTIF('_曲线基线'!$E$3:$E$502,"&lt;"&amp;AO144)+1)))</x:f>
        <x:v>247</x:v>
      </x:c>
      <x:c r="AQ144" t="n">
        <x:f>IF(B144&lt;=2,1,IF(B144&lt;=6,2,IF(B144&lt;=9,3,IF(B144&lt;=19,4,5))))</x:f>
        <x:v>5</x:v>
      </x:c>
      <x:c r="AR144" t="n">
        <x:f>AN144*(1-Q144)/F144*$AS$3+U144*$AS$4+P144*$AS$5</x:f>
        <x:v>13942.437312599639</x:v>
      </x:c>
      <x:c r="AS144" t="n">
        <x:f>1+AH144*$AS$6+AI144*$AS$7+(AJ144-1)*$AS$8+($H$10*H144+$I$10*I144+$J$10*J144+$K$10*K144+$L$10*L144)*$AU$3*$AS$9+($H$10*H144+$I$10*I144+$J$10*J144+$K$10*K144+$L$10*L144)*$AU$4*$AS$10</x:f>
        <x:v>15.299804694621947</x:v>
      </x:c>
      <x:c r="AT144" t="n">
        <x:f>ROUND(AR144*AS144,0)</x:f>
        <x:v>213317</x:v>
      </x:c>
      <x:c r="AU144" t="n">
        <x:f>ROUND(AT144*F144,0)</x:f>
        <x:v>1066585</x:v>
      </x:c>
    </x:row>
    <x:row r="145">
      <x:c r="A145" t="str">
        <x:f>IFERROR(XLOOKUP(B145,'_曲线基线'!$G$3:$G$107,'_曲线基线'!$J$3:$J$107,""),"")</x:f>
      </x:c>
      <x:c r="B145" t="n">
        <x:v>134</x:v>
      </x:c>
      <x:c r="C145" t="n">
        <x:f>C130+1</x:f>
        <x:v>10</x:v>
      </x:c>
      <x:c r="D145" t="n">
        <x:f>D130</x:f>
        <x:v>5</x:v>
      </x:c>
      <x:c r="E145" t="n">
        <x:f>IF($B145&lt;E$8,0,E$3+(E$4-E$3)*(POWER(E$5,$B145-E$8)-1)/(POWER(E$5,$C$5-E$8)-1))</x:f>
        <x:v>1</x:v>
      </x:c>
      <x:c r="F145" t="n">
        <x:f>1+IF(B145&lt;3,0,MIN(1,(B145-2)/4))+IF(B145&lt;7,0,MIN(1,(B145-6)/3))+IF(B145&lt;10,0,MIN(1,(B145-9)/5))+IF(B145&lt;20,0,MIN(1,(B145-19)/10))</x:f>
        <x:v>5</x:v>
      </x:c>
      <x:c r="G145" t="n">
        <x:f>IF($B145&lt;G$8,0,G$3+(G$4-G$3)*(POWER(G$5,$B145-G$8)-1)/(POWER(G$5,$C$5-G$8)-1))</x:f>
        <x:v>0.7912706110543111</x:v>
      </x:c>
      <x:c r="H145" t="n">
        <x:f>IF($B145&lt;H$8,0,H$3+(H$4-H$3)*(POWER(H$5,$B145-H$8)-1)/(POWER(H$5,$C$5-H$8)-1))</x:f>
        <x:v>0.6410560256507597</x:v>
      </x:c>
      <x:c r="I145" t="n">
        <x:f>IF($B145&lt;I$8,0,I$3+(I$4-I$3)*(POWER(I$5,$B145-I$8)-1)/(POWER(I$5,$C$5-I$8)-1))</x:f>
        <x:v>0.4984450807299975</x:v>
      </x:c>
      <x:c r="J145" t="n">
        <x:f>IF($B145&lt;J$8,0,J$3+(J$4-J$3)*(POWER(J$5,$B145-J$8)-1)/(POWER(J$5,$C$5-J$8)-1))</x:f>
        <x:v>0.5300699506154565</x:v>
      </x:c>
      <x:c r="K145" t="n">
        <x:f>IF($B145&lt;K$8,0,K$3+(K$4-K$3)*(POWER(K$5,$B145-K$8)-1)/(POWER(K$5,$C$5-K$8)-1))</x:f>
        <x:v>0.33188249883533083</x:v>
      </x:c>
      <x:c r="L145" t="n">
        <x:f>IF($B145&lt;L$8,0,L$3+(L$4-L$3)*(POWER(L$5,$B145-L$8)-1)/(POWER(L$5,$C$5-L$8)-1))</x:f>
        <x:v>0.6398472525612309</x:v>
      </x:c>
      <x:c r="M145" t="n">
        <x:f>E145*'模块规划'!$F$10+G145*'模块规划'!$F$11+H145*'模块规划'!$F$13</x:f>
        <x:v>4798.0989330606935</x:v>
      </x:c>
      <x:c r="N145" t="n">
        <x:f>I145*'模块规划'!$F$15+J145*'模块规划'!$F$17+K145*'模块规划'!$F$16+L145*'模块规划'!$F$18</x:f>
        <x:v>14478.791407812685</x:v>
      </x:c>
      <x:c r="O145" t="n">
        <x:f>1+O$9*SUMPRODUCT($H$10:$L$10,H145:L145)/SUM($H$10:$L$10)</x:f>
        <x:v>2.9663930191926475</x:v>
      </x:c>
      <x:c r="P145" t="n">
        <x:f>M145*O145+N145</x:f>
        <x:v>28711.838588239618</x:v>
      </x:c>
      <x:c r="Q145" t="n">
        <x:f>P145/(P145+'_曲线基线'!$L$2)</x:f>
        <x:v>0.544694310751009</x:v>
      </x:c>
      <x:c r="R145" t="n">
        <x:f>E145*'模块规划'!$E$10+G145*'模块规划'!$E$11+H145*'模块规划'!$E$13</x:f>
        <x:v>7197.148399591039</x:v>
      </x:c>
      <x:c r="S145" t="n">
        <x:f>I145*'模块规划'!$E$15+J145*'模块规划'!$E$17+K145*'模块规划'!$E$16+L145*'模块规划'!$E$18</x:f>
        <x:v>21718.187111719028</x:v>
      </x:c>
      <x:c r="T145" t="n">
        <x:f>1+T$9*SUMPRODUCT($H$10:$L$10,H145:L145)/SUM($H$10:$L$10)</x:f>
        <x:v>2.9663930191926475</x:v>
      </x:c>
      <x:c r="U145" t="n">
        <x:f>R145*T145+S145</x:f>
        <x:v>43067.75788235942</x:v>
      </x:c>
      <x:c r="V145" t="n">
        <x:f>V$8+(V$9-V$8)*H145</x:f>
        <x:v>0.8923168076952279</x:v>
      </x:c>
      <x:c r="W145" t="n">
        <x:f>IF(B145&lt;$H$8,0,W$8+(W$9-W$8)*H145)</x:f>
        <x:v>0.2564224102603039</x:v>
      </x:c>
      <x:c r="X145" t="n">
        <x:f>X$8+(X$9-X$8)*H145</x:f>
        <x:v>0.45129040705395895</x:v>
      </x:c>
      <x:c r="Y145" t="n">
        <x:f>Y$8+(Y$9-Y$8)*G145</x:f>
        <x:v>1</x:v>
      </x:c>
      <x:c r="Z145" t="n">
        <x:f>Z$8+(Z$9-Z$8)*H145</x:f>
        <x:v>1</x:v>
      </x:c>
      <x:c r="AA145" t="n">
        <x:f>AA$8+(AA$9-AA$8)*I145</x:f>
        <x:v>1</x:v>
      </x:c>
      <x:c r="AB145" t="n">
        <x:f>AB$8+(AB$9-AB$8)*J145</x:f>
        <x:v>1</x:v>
      </x:c>
      <x:c r="AC145" t="n">
        <x:f>AC$8+(AC$9-AC$8)*MAX(K145,L145)</x:f>
        <x:v>1</x:v>
      </x:c>
      <x:c r="AD145" t="n">
        <x:f>(V145*AE145+W145*AF145+X145*AG145)*PRODUCT(Y145:AC145)</x:f>
        <x:v>1.7833369630020852</x:v>
      </x:c>
      <x:c r="AE145" t="n">
        <x:f>1+AE$9*($H$10*H145+$I$10*I145+$J$10*J145+$K$10*K145+$L$10*L145)</x:f>
        <x:v>1</x:v>
      </x:c>
      <x:c r="AF145" t="n">
        <x:f>1+AF$9*($H$10*H145+$I$10*I145+$J$10*J145+$K$10*K145+$L$10*L145)</x:f>
        <x:v>1.1735520964307682</x:v>
      </x:c>
      <x:c r="AG145" t="n">
        <x:f>1+AG$9*($H$10*H145+$I$10*I145+$J$10*J145+$K$10*K145+$L$10*L145)</x:f>
        <x:v>1.3075728820078638</x:v>
      </x:c>
      <x:c r="AH145" t="n">
        <x:f>MIN(1,'_曲线基线'!$L$3+AH$9*($H$10*H145+$I$10*I145+$J$10*J145+$K$10*K145+$L$10*L145))</x:f>
        <x:v>0.4448310193799973</x:v>
      </x:c>
      <x:c r="AI145" t="n">
        <x:f>'_曲线基线'!$L$4+AI$9*($H$10*H145+$I$10*I145+$J$10*J145+$K$10*K145+$L$10*L145)</x:f>
        <x:v>3.0998864111299924</x:v>
      </x:c>
      <x:c r="AJ145" t="n">
        <x:f>1+AJ$9*($H$10*H145+$I$10*I145+$J$10*J145+$K$10*K145+$L$10*L145)</x:f>
        <x:v>1.9024709014399939</x:v>
      </x:c>
      <x:c r="AK145" t="n">
        <x:f>(1+AH145*(AI145-1))*AJ145</x:f>
        <x:v>3.679558721569765</x:v>
      </x:c>
      <x:c r="AL145" t="n">
        <x:f>U145*AD145*AK145*F145</x:f>
        <x:v>1413030.111173489</x:v>
      </x:c>
      <x:c r="AM145" t="n">
        <x:f>IF($B145&lt;AM$8,0,AM$3+(AM$4-AM$3)*(POWER(AM$5,$B145-AM$8)-1)/(POWER(AM$5,$C$5-AM$8)-1))</x:f>
        <x:v>38.70002964521083</x:v>
      </x:c>
      <x:c r="AN145" t="n">
        <x:f>(((E145*'模块规划'!$D$10+G145*'模块规划'!$D$11+H145*'模块规划'!$D$13)*(1+'模块规划'!$G$14*H145)+(I145*'模块规划'!$D$15+J145*'模块规划'!$D$17+K145*'模块规划'!$D$16+L145*'模块规划'!$D$18))*(1+'模块规划'!$J$17*J145))*F145/(1-Q145)</x:f>
        <x:v>1980412.6007319002</x:v>
      </x:c>
      <x:c r="AO145" t="n">
        <x:f>AL145*AM145</x:f>
        <x:v>54684307.19198958</x:v>
      </x:c>
      <x:c r="AP145" t="n">
        <x:f>IF(AO145="","",INDEX('_曲线基线'!$A$3:$A$502,MIN(ROWS('_曲线基线'!$A$3:$A$502),COUNTIF('_曲线基线'!$E$3:$E$502,"&lt;"&amp;AO145)+1)))</x:f>
        <x:v>248</x:v>
      </x:c>
      <x:c r="AQ145" t="n">
        <x:f>IF(B145&lt;=2,1,IF(B145&lt;=6,2,IF(B145&lt;=9,3,IF(B145&lt;=19,4,5))))</x:f>
        <x:v>5</x:v>
      </x:c>
      <x:c r="AR145" t="n">
        <x:f>AN145*(1-Q145)/F145*$AS$3+U145*$AS$4+P145*$AS$5</x:f>
        <x:v>14023.710321513634</x:v>
      </x:c>
      <x:c r="AS145" t="n">
        <x:f>1+AH145*$AS$6+AI145*$AS$7+(AJ145-1)*$AS$8+($H$10*H145+$I$10*I145+$J$10*J145+$K$10*K145+$L$10*L145)*$AU$3*$AS$9+($H$10*H145+$I$10*I145+$J$10*J145+$K$10*K145+$L$10*L145)*$AU$4*$AS$10</x:f>
        <x:v>15.351514960307961</x:v>
      </x:c>
      <x:c r="AT145" t="n">
        <x:f>ROUND(AR145*AS145,0)</x:f>
        <x:v>215285</x:v>
      </x:c>
      <x:c r="AU145" t="n">
        <x:f>ROUND(AT145*F145,0)</x:f>
        <x:v>1076425</x:v>
      </x:c>
    </x:row>
    <x:row r="146">
      <x:c r="A146" t="str">
        <x:f>IFERROR(XLOOKUP(B146,'_曲线基线'!$G$3:$G$107,'_曲线基线'!$J$3:$J$107,""),"")</x:f>
      </x:c>
      <x:c r="B146" t="n">
        <x:v>135</x:v>
      </x:c>
      <x:c r="C146" t="n">
        <x:f>C131+1</x:f>
        <x:v>10</x:v>
      </x:c>
      <x:c r="D146" t="n">
        <x:f>D131</x:f>
        <x:v>6</x:v>
      </x:c>
      <x:c r="E146" t="n">
        <x:f>IF($B146&lt;E$8,0,E$3+(E$4-E$3)*(POWER(E$5,$B146-E$8)-1)/(POWER(E$5,$C$5-E$8)-1))</x:f>
        <x:v>1</x:v>
      </x:c>
      <x:c r="F146" t="n">
        <x:f>1+IF(B146&lt;3,0,MIN(1,(B146-2)/4))+IF(B146&lt;7,0,MIN(1,(B146-6)/3))+IF(B146&lt;10,0,MIN(1,(B146-9)/5))+IF(B146&lt;20,0,MIN(1,(B146-19)/10))</x:f>
        <x:v>5</x:v>
      </x:c>
      <x:c r="G146" t="n">
        <x:f>IF($B146&lt;G$8,0,G$3+(G$4-G$3)*(POWER(G$5,$B146-G$8)-1)/(POWER(G$5,$C$5-G$8)-1))</x:f>
        <x:v>0.7931067423429924</x:v>
      </x:c>
      <x:c r="H146" t="n">
        <x:f>IF($B146&lt;H$8,0,H$3+(H$4-H$3)*(POWER(H$5,$B146-H$8)-1)/(POWER(H$5,$C$5-H$8)-1))</x:f>
        <x:v>0.6423014473772558</x:v>
      </x:c>
      <x:c r="I146" t="n">
        <x:f>IF($B146&lt;I$8,0,I$3+(I$4-I$3)*(POWER(I$5,$B146-I$8)-1)/(POWER(I$5,$C$5-I$8)-1))</x:f>
        <x:v>0.5016472704584658</x:v>
      </x:c>
      <x:c r="J146" t="n">
        <x:f>IF($B146&lt;J$8,0,J$3+(J$4-J$3)*(POWER(J$5,$B146-J$8)-1)/(POWER(J$5,$C$5-J$8)-1))</x:f>
        <x:v>0.5315474960948713</x:v>
      </x:c>
      <x:c r="K146" t="n">
        <x:f>IF($B146&lt;K$8,0,K$3+(K$4-K$3)*(POWER(K$5,$B146-K$8)-1)/(POWER(K$5,$C$5-K$8)-1))</x:f>
        <x:v>0.33860397379359775</x:v>
      </x:c>
      <x:c r="L146" t="n">
        <x:f>IF($B146&lt;L$8,0,L$3+(L$4-L$3)*(POWER(L$5,$B146-L$8)-1)/(POWER(L$5,$C$5-L$8)-1))</x:f>
        <x:v>0.641118214341392</x:v>
      </x:c>
      <x:c r="M146" t="n">
        <x:f>E146*'模块规划'!$F$10+G146*'模块规划'!$F$11+H146*'模块规划'!$F$13</x:f>
        <x:v>4806.912363246363</x:v>
      </x:c>
      <x:c r="N146" t="n">
        <x:f>I146*'模块规划'!$F$15+J146*'模块规划'!$F$17+K146*'模块规划'!$F$16+L146*'模块规划'!$F$18</x:f>
        <x:v>14565.868039084986</x:v>
      </x:c>
      <x:c r="O146" t="n">
        <x:f>1+O$9*SUMPRODUCT($H$10:$L$10,H146:L146)/SUM($H$10:$L$10)</x:f>
        <x:v>2.976002438319931</x:v>
      </x:c>
      <x:c r="P146" t="n">
        <x:f>M146*O146+N146</x:f>
        <x:v>28871.250952896386</x:v>
      </x:c>
      <x:c r="Q146" t="n">
        <x:f>P146/(P146+'_曲线基线'!$L$2)</x:f>
        <x:v>0.5460671051384451</x:v>
      </x:c>
      <x:c r="R146" t="n">
        <x:f>E146*'模块规划'!$E$10+G146*'模块规划'!$E$11+H146*'模块规划'!$E$13</x:f>
        <x:v>7210.368544869545</x:v>
      </x:c>
      <x:c r="S146" t="n">
        <x:f>I146*'模块规划'!$E$15+J146*'模块规划'!$E$17+K146*'模块规划'!$E$16+L146*'模块规划'!$E$18</x:f>
        <x:v>21848.80205862748</x:v>
      </x:c>
      <x:c r="T146" t="n">
        <x:f>1+T$9*SUMPRODUCT($H$10:$L$10,H146:L146)/SUM($H$10:$L$10)</x:f>
        <x:v>2.976002438319931</x:v>
      </x:c>
      <x:c r="U146" t="n">
        <x:f>R146*T146+S146</x:f>
        <x:v>43306.87642934458</x:v>
      </x:c>
      <x:c r="V146" t="n">
        <x:f>V$8+(V$9-V$8)*H146</x:f>
        <x:v>0.8926904342131767</x:v>
      </x:c>
      <x:c r="W146" t="n">
        <x:f>IF(B146&lt;$H$8,0,W$8+(W$9-W$8)*H146)</x:f>
        <x:v>0.2569205789509023</x:v>
      </x:c>
      <x:c r="X146" t="n">
        <x:f>X$8+(X$9-X$8)*H146</x:f>
        <x:v>0.4516328980287454</x:v>
      </x:c>
      <x:c r="Y146" t="n">
        <x:f>Y$8+(Y$9-Y$8)*G146</x:f>
        <x:v>1</x:v>
      </x:c>
      <x:c r="Z146" t="n">
        <x:f>Z$8+(Z$9-Z$8)*H146</x:f>
        <x:v>1</x:v>
      </x:c>
      <x:c r="AA146" t="n">
        <x:f>AA$8+(AA$9-AA$8)*I146</x:f>
        <x:v>1</x:v>
      </x:c>
      <x:c r="AB146" t="n">
        <x:f>AB$8+(AB$9-AB$8)*J146</x:f>
        <x:v>1</x:v>
      </x:c>
      <x:c r="AC146" t="n">
        <x:f>AC$8+(AC$9-AC$8)*MAX(K146,L146)</x:f>
        <x:v>1</x:v>
      </x:c>
      <x:c r="AD146" t="n">
        <x:f>(V146*AE146+W146*AF146+X146*AG146)*PRODUCT(Y146:AC146)</x:f>
        <x:v>1.7856397765655014</x:v>
      </x:c>
      <x:c r="AE146" t="n">
        <x:f>1+AE$9*($H$10*H146+$I$10*I146+$J$10*J146+$K$10*K146+$L$10*L146)</x:f>
        <x:v>1</x:v>
      </x:c>
      <x:c r="AF146" t="n">
        <x:f>1+AF$9*($H$10*H146+$I$10*I146+$J$10*J146+$K$10*K146+$L$10*L146)</x:f>
        <x:v>1.1744002152039454</x:v>
      </x:c>
      <x:c r="AG146" t="n">
        <x:f>1+AG$9*($H$10*H146+$I$10*I146+$J$10*J146+$K$10*K146+$L$10*L146)</x:f>
        <x:v>1.3090759369447724</x:v>
      </x:c>
      <x:c r="AH146" t="n">
        <x:f>MIN(1,'_曲线基线'!$L$3+AH$9*($H$10*H146+$I$10*I146+$J$10*J146+$K$10*K146+$L$10*L146))</x:f>
        <x:v>0.4467604895889755</x:v>
      </x:c>
      <x:c r="AI146" t="n">
        <x:f>'_曲线基线'!$L$4+AI$9*($H$10*H146+$I$10*I146+$J$10*J146+$K$10*K146+$L$10*L146)</x:f>
        <x:v>3.1052613638550035</x:v>
      </x:c>
      <x:c r="AJ146" t="n">
        <x:f>1+AJ$9*($H$10*H146+$I$10*I146+$J$10*J146+$K$10*K146+$L$10*L146)</x:f>
        <x:v>1.9068811190605155</x:v>
      </x:c>
      <x:c r="AK146" t="n">
        <x:f>(1+AH146*(AI146-1))*AJ146</x:f>
        <x:v>3.7003935745562497</x:v>
      </x:c>
      <x:c r="AL146" t="n">
        <x:f>U146*AD146*AK146*F146</x:f>
        <x:v>1430766.0778433436</x:v>
      </x:c>
      <x:c r="AM146" t="n">
        <x:f>IF($B146&lt;AM$8,0,AM$3+(AM$4-AM$3)*(POWER(AM$5,$B146-AM$8)-1)/(POWER(AM$5,$C$5-AM$8)-1))</x:f>
        <x:v>38.75045458158481</x:v>
      </x:c>
      <x:c r="AN146" t="n">
        <x:f>(((E146*'模块规划'!$D$10+G146*'模块规划'!$D$11+H146*'模块规划'!$D$13)*(1+'模块规划'!$G$14*H146)+(I146*'模块规划'!$D$15+J146*'模块规划'!$D$17+K146*'模块规划'!$D$16+L146*'模块规划'!$D$18))*(1+'模块规划'!$J$17*J146))*F146/(1-Q146)</x:f>
        <x:v>1998148.8416368417</x:v>
      </x:c>
      <x:c r="AO146" t="n">
        <x:f>AL146*AM146</x:f>
        <x:v>55442835.91634072</x:v>
      </x:c>
      <x:c r="AP146" t="n">
        <x:f>IF(AO146="","",INDEX('_曲线基线'!$A$3:$A$502,MIN(ROWS('_曲线基线'!$A$3:$A$502),COUNTIF('_曲线基线'!$E$3:$E$502,"&lt;"&amp;AO146)+1)))</x:f>
        <x:v>249</x:v>
      </x:c>
      <x:c r="AQ146" t="n">
        <x:f>IF(B146&lt;=2,1,IF(B146&lt;=6,2,IF(B146&lt;=9,3,IF(B146&lt;=19,4,5))))</x:f>
        <x:v>5</x:v>
      </x:c>
      <x:c r="AR146" t="n">
        <x:f>AN146*(1-Q146)/F146*$AS$3+U146*$AS$4+P146*$AS$5</x:f>
        <x:v>14103.52821415976</x:v>
      </x:c>
      <x:c r="AS146" t="n">
        <x:f>1+AH146*$AS$6+AI146*$AS$7+(AJ146-1)*$AS$8+($H$10*H146+$I$10*I146+$J$10*J146+$K$10*K146+$L$10*L146)*$AU$3*$AS$9+($H$10*H146+$I$10*I146+$J$10*J146+$K$10*K146+$L$10*L146)*$AU$4*$AS$10</x:f>
        <x:v>15.402191020680258</x:v>
      </x:c>
      <x:c r="AT146" t="n">
        <x:f>ROUND(AR146*AS146,0)</x:f>
        <x:v>217225</x:v>
      </x:c>
      <x:c r="AU146" t="n">
        <x:f>ROUND(AT146*F146,0)</x:f>
        <x:v>1086125</x:v>
      </x:c>
    </x:row>
    <x:row r="147">
      <x:c r="A147" t="str">
        <x:f>IFERROR(XLOOKUP(B147,'_曲线基线'!$G$3:$G$107,'_曲线基线'!$J$3:$J$107,""),"")</x:f>
      </x:c>
      <x:c r="B147" t="n">
        <x:v>136</x:v>
      </x:c>
      <x:c r="C147" t="n">
        <x:f>C132+1</x:f>
        <x:v>10</x:v>
      </x:c>
      <x:c r="D147" t="n">
        <x:f>D132</x:f>
        <x:v>7</x:v>
      </x:c>
      <x:c r="E147" t="n">
        <x:f>IF($B147&lt;E$8,0,E$3+(E$4-E$3)*(POWER(E$5,$B147-E$8)-1)/(POWER(E$5,$C$5-E$8)-1))</x:f>
        <x:v>1</x:v>
      </x:c>
      <x:c r="F147" t="n">
        <x:f>1+IF(B147&lt;3,0,MIN(1,(B147-2)/4))+IF(B147&lt;7,0,MIN(1,(B147-6)/3))+IF(B147&lt;10,0,MIN(1,(B147-9)/5))+IF(B147&lt;20,0,MIN(1,(B147-19)/10))</x:f>
        <x:v>5</x:v>
      </x:c>
      <x:c r="G147" t="n">
        <x:f>IF($B147&lt;G$8,0,G$3+(G$4-G$3)*(POWER(G$5,$B147-G$8)-1)/(POWER(G$5,$C$5-G$8)-1))</x:f>
        <x:v>0.7949153316623433</x:v>
      </x:c>
      <x:c r="H147" t="n">
        <x:f>IF($B147&lt;H$8,0,H$3+(H$4-H$3)*(POWER(H$5,$B147-H$8)-1)/(POWER(H$5,$C$5-H$8)-1))</x:f>
        <x:v>0.6435219606692221</x:v>
      </x:c>
      <x:c r="I147" t="n">
        <x:f>IF($B147&lt;I$8,0,I$3+(I$4-I$3)*(POWER(I$5,$B147-I$8)-1)/(POWER(I$5,$C$5-I$8)-1))</x:f>
        <x:v>0.5047854163923646</x:v>
      </x:c>
      <x:c r="J147" t="n">
        <x:f>IF($B147&lt;J$8,0,J$3+(J$4-J$3)*(POWER(J$5,$B147-J$8)-1)/(POWER(J$5,$C$5-J$8)-1))</x:f>
        <x:v>0.5329954906646976</x:v>
      </x:c>
      <x:c r="K147" t="n">
        <x:f>IF($B147&lt;K$8,0,K$3+(K$4-K$3)*(POWER(K$5,$B147-K$8)-1)/(POWER(K$5,$C$5-K$8)-1))</x:f>
        <x:v>0.3451910192526994</x:v>
      </x:c>
      <x:c r="L147" t="n">
        <x:f>IF($B147&lt;L$8,0,L$3+(L$4-L$3)*(POWER(L$5,$B147-L$8)-1)/(POWER(L$5,$C$5-L$8)-1))</x:f>
        <x:v>0.6423637568859498</x:v>
      </x:c>
      <x:c r="M147" t="n">
        <x:f>E147*'模块规划'!$F$10+G147*'模块规划'!$F$11+H147*'模块规划'!$F$13</x:f>
        <x:v>4815.593591979248</x:v>
      </x:c>
      <x:c r="N147" t="n">
        <x:f>I147*'模块规划'!$F$15+J147*'模块规划'!$F$17+K147*'模块规划'!$F$16+L147*'模块规划'!$F$18</x:f>
        <x:v>14651.203137731838</x:v>
      </x:c>
      <x:c r="O147" t="n">
        <x:f>1+O$9*SUMPRODUCT($H$10:$L$10,H147:L147)/SUM($H$10:$L$10)</x:f>
        <x:v>2.985419669064668</x:v>
      </x:c>
      <x:c r="P147" t="n">
        <x:f>M147*O147+N147</x:f>
        <x:v>29027.77096544846</x:v>
      </x:c>
      <x:c r="Q147" t="n">
        <x:f>P147/(P147+'_曲线基线'!$L$2)</x:f>
        <x:v>0.5474069612385218</x:v>
      </x:c>
      <x:c r="R147" t="n">
        <x:f>E147*'模块规划'!$E$10+G147*'模块规划'!$E$11+H147*'模块规划'!$E$13</x:f>
        <x:v>7223.390387968871</x:v>
      </x:c>
      <x:c r="S147" t="n">
        <x:f>I147*'模块规划'!$E$15+J147*'模块规划'!$E$17+K147*'模块规划'!$E$16+L147*'模块规划'!$E$18</x:f>
        <x:v>21976.80470659776</x:v>
      </x:c>
      <x:c r="T147" t="n">
        <x:f>1+T$9*SUMPRODUCT($H$10:$L$10,H147:L147)/SUM($H$10:$L$10)</x:f>
        <x:v>2.985419669064668</x:v>
      </x:c>
      <x:c r="U147" t="n">
        <x:f>R147*T147+S147</x:f>
        <x:v>43541.65644817269</x:v>
      </x:c>
      <x:c r="V147" t="n">
        <x:f>V$8+(V$9-V$8)*H147</x:f>
        <x:v>0.8930565882007666</x:v>
      </x:c>
      <x:c r="W147" t="n">
        <x:f>IF(B147&lt;$H$8,0,W$8+(W$9-W$8)*H147)</x:f>
        <x:v>0.2574087842676888</x:v>
      </x:c>
      <x:c r="X147" t="n">
        <x:f>X$8+(X$9-X$8)*H147</x:f>
        <x:v>0.4519685391840361</x:v>
      </x:c>
      <x:c r="Y147" t="n">
        <x:f>Y$8+(Y$9-Y$8)*G147</x:f>
        <x:v>1</x:v>
      </x:c>
      <x:c r="Z147" t="n">
        <x:f>Z$8+(Z$9-Z$8)*H147</x:f>
        <x:v>1</x:v>
      </x:c>
      <x:c r="AA147" t="n">
        <x:f>AA$8+(AA$9-AA$8)*I147</x:f>
        <x:v>1</x:v>
      </x:c>
      <x:c r="AB147" t="n">
        <x:f>AB$8+(AB$9-AB$8)*J147</x:f>
        <x:v>1</x:v>
      </x:c>
      <x:c r="AC147" t="n">
        <x:f>AC$8+(AC$9-AC$8)*MAX(K147,L147)</x:f>
        <x:v>1</x:v>
      </x:c>
      <x:c r="AD147" t="n">
        <x:f>(V147*AE147+W147*AF147+X147*AG147)*PRODUCT(Y147:AC147)</x:f>
        <x:v>1.7878983525731653</x:v>
      </x:c>
      <x:c r="AE147" t="n">
        <x:f>1+AE$9*($H$10*H147+$I$10*I147+$J$10*J147+$K$10*K147+$L$10*L147)</x:f>
        <x:v>1</x:v>
      </x:c>
      <x:c r="AF147" t="n">
        <x:f>1+AF$9*($H$10*H147+$I$10*I147+$J$10*J147+$K$10*K147+$L$10*L147)</x:f>
        <x:v>1.1752313716016591</x:v>
      </x:c>
      <x:c r="AG147" t="n">
        <x:f>1+AG$9*($H$10*H147+$I$10*I147+$J$10*J147+$K$10*K147+$L$10*L147)</x:f>
        <x:v>1.3105489307829428</x:v>
      </x:c>
      <x:c r="AH147" t="n">
        <x:f>MIN(1,'_曲线基线'!$L$3+AH$9*($H$10*H147+$I$10*I147+$J$10*J147+$K$10*K147+$L$10*L147))</x:f>
        <x:v>0.44865137039377406</x:v>
      </x:c>
      <x:c r="AI147" t="n">
        <x:f>'_曲线基线'!$L$4+AI$9*($H$10*H147+$I$10*I147+$J$10*J147+$K$10*K147+$L$10*L147)</x:f>
        <x:v>3.1105288175255135</x:v>
      </x:c>
      <x:c r="AJ147" t="n">
        <x:f>1+AJ$9*($H$10*H147+$I$10*I147+$J$10*J147+$K$10*K147+$L$10*L147)</x:f>
        <x:v>1.9112031323286267</x:v>
      </x:c>
      <x:c r="AK147" t="n">
        <x:f>(1+AH147*(AI147-1))*AJ147</x:f>
        <x:v>3.7209054125952155</x:v>
      </x:c>
      <x:c r="AL147" t="n">
        <x:f>U147*AD147*AK147*F147</x:f>
        <x:v>1448326.261526418</x:v>
      </x:c>
      <x:c r="AM147" t="n">
        <x:f>IF($B147&lt;AM$8,0,AM$3+(AM$4-AM$3)*(POWER(AM$5,$B147-AM$8)-1)/(POWER(AM$5,$C$5-AM$8)-1))</x:f>
        <x:v>38.80138376732253</x:v>
      </x:c>
      <x:c r="AN147" t="n">
        <x:f>(((E147*'模块规划'!$D$10+G147*'模块规划'!$D$11+H147*'模块规划'!$D$13)*(1+'模块规划'!$G$14*H147)+(I147*'模块规划'!$D$15+J147*'模块规划'!$D$17+K147*'模块规划'!$D$16+L147*'模块规划'!$D$18))*(1+'模块规划'!$J$17*J147))*F147/(1-Q147)</x:f>
        <x:v>2015638.5827409483</x:v>
      </x:c>
      <x:c r="AO147" t="n">
        <x:f>AL147*AM147</x:f>
        <x:v>56197063.093778074</x:v>
      </x:c>
      <x:c r="AP147" t="n">
        <x:f>IF(AO147="","",INDEX('_曲线基线'!$A$3:$A$502,MIN(ROWS('_曲线基线'!$A$3:$A$502),COUNTIF('_曲线基线'!$E$3:$E$502,"&lt;"&amp;AO147)+1)))</x:f>
        <x:v>250</x:v>
      </x:c>
      <x:c r="AQ147" t="n">
        <x:f>IF(B147&lt;=2,1,IF(B147&lt;=6,2,IF(B147&lt;=9,3,IF(B147&lt;=19,4,5))))</x:f>
        <x:v>5</x:v>
      </x:c>
      <x:c r="AR147" t="n">
        <x:f>AN147*(1-Q147)/F147*$AS$3+U147*$AS$4+P147*$AS$5</x:f>
        <x:v>14181.915236880166</x:v>
      </x:c>
      <x:c r="AS147" t="n">
        <x:f>1+AH147*$AS$6+AI147*$AS$7+(AJ147-1)*$AS$8+($H$10*H147+$I$10*I147+$J$10*J147+$K$10*K147+$L$10*L147)*$AU$3*$AS$9+($H$10*H147+$I$10*I147+$J$10*J147+$K$10*K147+$L$10*L147)*$AU$4*$AS$10</x:f>
        <x:v>15.451853559845107</x:v>
      </x:c>
      <x:c r="AT147" t="n">
        <x:f>ROUND(AR147*AS147,0)</x:f>
        <x:v>219137</x:v>
      </x:c>
      <x:c r="AU147" t="n">
        <x:f>ROUND(AT147*F147,0)</x:f>
        <x:v>1095685</x:v>
      </x:c>
    </x:row>
    <x:row r="148">
      <x:c r="A148" t="str">
        <x:f>IFERROR(XLOOKUP(B148,'_曲线基线'!$G$3:$G$107,'_曲线基线'!$J$3:$J$107,""),"")</x:f>
      </x:c>
      <x:c r="B148" t="n">
        <x:v>137</x:v>
      </x:c>
      <x:c r="C148" t="n">
        <x:f>C133+1</x:f>
        <x:v>10</x:v>
      </x:c>
      <x:c r="D148" t="n">
        <x:f>D133</x:f>
        <x:v>8</x:v>
      </x:c>
      <x:c r="E148" t="n">
        <x:f>IF($B148&lt;E$8,0,E$3+(E$4-E$3)*(POWER(E$5,$B148-E$8)-1)/(POWER(E$5,$C$5-E$8)-1))</x:f>
        <x:v>1</x:v>
      </x:c>
      <x:c r="F148" t="n">
        <x:f>1+IF(B148&lt;3,0,MIN(1,(B148-2)/4))+IF(B148&lt;7,0,MIN(1,(B148-6)/3))+IF(B148&lt;10,0,MIN(1,(B148-9)/5))+IF(B148&lt;20,0,MIN(1,(B148-19)/10))</x:f>
        <x:v>5</x:v>
      </x:c>
      <x:c r="G148" t="n">
        <x:f>IF($B148&lt;G$8,0,G$3+(G$4-G$3)*(POWER(G$5,$B148-G$8)-1)/(POWER(G$5,$C$5-G$8)-1))</x:f>
        <x:v>0.7966967921419039</x:v>
      </x:c>
      <x:c r="H148" t="n">
        <x:f>IF($B148&lt;H$8,0,H$3+(H$4-H$3)*(POWER(H$5,$B148-H$8)-1)/(POWER(H$5,$C$5-H$8)-1))</x:f>
        <x:v>0.644718063695349</x:v>
      </x:c>
      <x:c r="I148" t="n">
        <x:f>IF($B148&lt;I$8,0,I$3+(I$4-I$3)*(POWER(I$5,$B148-I$8)-1)/(POWER(I$5,$C$5-I$8)-1))</x:f>
        <x:v>0.5078607994075856</x:v>
      </x:c>
      <x:c r="J148" t="n">
        <x:f>IF($B148&lt;J$8,0,J$3+(J$4-J$3)*(POWER(J$5,$B148-J$8)-1)/(POWER(J$5,$C$5-J$8)-1))</x:f>
        <x:v>0.5344145253431276</x:v>
      </x:c>
      <x:c r="K148" t="n">
        <x:f>IF($B148&lt;K$8,0,K$3+(K$4-K$3)*(POWER(K$5,$B148-K$8)-1)/(POWER(K$5,$C$5-K$8)-1))</x:f>
        <x:v>0.35164632380261895</x:v>
      </x:c>
      <x:c r="L148" t="n">
        <x:f>IF($B148&lt;L$8,0,L$3+(L$4-L$3)*(POWER(L$5,$B148-L$8)-1)/(POWER(L$5,$C$5-L$8)-1))</x:f>
        <x:v>0.6435843885796165</x:v>
      </x:c>
      <x:c r="M148" t="n">
        <x:f>E148*'模块规划'!$F$10+G148*'模块规划'!$F$11+H148*'模块规划'!$F$13</x:f>
        <x:v>4824.144602281139</x:v>
      </x:c>
      <x:c r="N148" t="n">
        <x:f>I148*'模块规划'!$F$15+J148*'模块规划'!$F$17+K148*'模块规划'!$F$16+L148*'模块规划'!$F$18</x:f>
        <x:v>14734.831534405757</x:v>
      </x:c>
      <x:c r="O148" t="n">
        <x:f>1+O$9*SUMPRODUCT($H$10:$L$10,H148:L148)/SUM($H$10:$L$10)</x:f>
        <x:v>2.994648555194511</x:v>
      </x:c>
      <x:c r="P148" t="n">
        <x:f>M148*O148+N148</x:f>
        <x:v>29181.449197676367</x:v>
      </x:c>
      <x:c r="Q148" t="n">
        <x:f>P148/(P148+'_曲线基线'!$L$2)</x:f>
        <x:v>0.5487148176276359</x:v>
      </x:c>
      <x:c r="R148" t="n">
        <x:f>E148*'模块规划'!$E$10+G148*'模块规划'!$E$11+H148*'模块规划'!$E$13</x:f>
        <x:v>7236.216903421709</x:v>
      </x:c>
      <x:c r="S148" t="n">
        <x:f>I148*'模块规划'!$E$15+J148*'模块规划'!$E$17+K148*'模块规划'!$E$16+L148*'模块规划'!$E$18</x:f>
        <x:v>22102.247301608633</x:v>
      </x:c>
      <x:c r="T148" t="n">
        <x:f>1+T$9*SUMPRODUCT($H$10:$L$10,H148:L148)/SUM($H$10:$L$10)</x:f>
        <x:v>2.994648555194511</x:v>
      </x:c>
      <x:c r="U148" t="n">
        <x:f>R148*T148+S148</x:f>
        <x:v>43772.17379651455</x:v>
      </x:c>
      <x:c r="V148" t="n">
        <x:f>V$8+(V$9-V$8)*H148</x:f>
        <x:v>0.8934154191086047</x:v>
      </x:c>
      <x:c r="W148" t="n">
        <x:f>IF(B148&lt;$H$8,0,W$8+(W$9-W$8)*H148)</x:f>
        <x:v>0.25788722547813964</x:v>
      </x:c>
      <x:c r="X148" t="n">
        <x:f>X$8+(X$9-X$8)*H148</x:f>
        <x:v>0.452297467516221</x:v>
      </x:c>
      <x:c r="Y148" t="n">
        <x:f>Y$8+(Y$9-Y$8)*G148</x:f>
        <x:v>1</x:v>
      </x:c>
      <x:c r="Z148" t="n">
        <x:f>Z$8+(Z$9-Z$8)*H148</x:f>
        <x:v>1</x:v>
      </x:c>
      <x:c r="AA148" t="n">
        <x:f>AA$8+(AA$9-AA$8)*I148</x:f>
        <x:v>1</x:v>
      </x:c>
      <x:c r="AB148" t="n">
        <x:f>AB$8+(AB$9-AB$8)*J148</x:f>
        <x:v>1</x:v>
      </x:c>
      <x:c r="AC148" t="n">
        <x:f>AC$8+(AC$9-AC$8)*MAX(K148,L148)</x:f>
        <x:v>1</x:v>
      </x:c>
      <x:c r="AD148" t="n">
        <x:f>(V148*AE148+W148*AF148+X148*AG148)*PRODUCT(Y148:AC148)</x:f>
        <x:v>1.790113503755057</x:v>
      </x:c>
      <x:c r="AE148" t="n">
        <x:f>1+AE$9*($H$10*H148+$I$10*I148+$J$10*J148+$K$10*K148+$L$10*L148)</x:f>
        <x:v>1</x:v>
      </x:c>
      <x:c r="AF148" t="n">
        <x:f>1+AF$9*($H$10*H148+$I$10*I148+$J$10*J148+$K$10*K148+$L$10*L148)</x:f>
        <x:v>1.1760459048714185</x:v>
      </x:c>
      <x:c r="AG148" t="n">
        <x:f>1+AG$9*($H$10*H148+$I$10*I148+$J$10*J148+$K$10*K148+$L$10*L148)</x:f>
        <x:v>1.3119924647443497</x:v>
      </x:c>
      <x:c r="AH148" t="n">
        <x:f>MIN(1,'_曲线基线'!$L$3+AH$9*($H$10*H148+$I$10*I148+$J$10*J148+$K$10*K148+$L$10*L148))</x:f>
        <x:v>0.45050443358247677</x:v>
      </x:c>
      <x:c r="AI148" t="n">
        <x:f>'_曲线基线'!$L$4+AI$9*($H$10*H148+$I$10*I148+$J$10*J148+$K$10*K148+$L$10*L148)</x:f>
        <x:v>3.1156909221226137</x:v>
      </x:c>
      <x:c r="AJ148" t="n">
        <x:f>1+AJ$9*($H$10*H148+$I$10*I148+$J$10*J148+$K$10*K148+$L$10*L148)</x:f>
        <x:v>1.9154387053313755</x:v>
      </x:c>
      <x:c r="AK148" t="n">
        <x:f>(1+AH148*(AI148-1))*AJ148</x:f>
        <x:v>3.7410972367979247</x:v>
      </x:c>
      <x:c r="AL148" t="n">
        <x:f>U148*AD148*AK148*F148</x:f>
        <x:v>1465708.762608052</x:v>
      </x:c>
      <x:c r="AM148" t="n">
        <x:f>IF($B148&lt;AM$8,0,AM$3+(AM$4-AM$3)*(POWER(AM$5,$B148-AM$8)-1)/(POWER(AM$5,$C$5-AM$8)-1))</x:f>
        <x:v>38.85282224491762</x:v>
      </x:c>
      <x:c r="AN148" t="n">
        <x:f>(((E148*'模块规划'!$D$10+G148*'模块规划'!$D$11+H148*'模块规划'!$D$13)*(1+'模块规划'!$G$14*H148)+(I148*'模块规划'!$D$15+J148*'模块规划'!$D$17+K148*'模块规划'!$D$16+L148*'模块规划'!$D$18))*(1+'模块规划'!$J$17*J148))*F148/(1-Q148)</x:f>
        <x:v>2032883.257588951</x:v>
      </x:c>
      <x:c r="AO148" t="n">
        <x:f>AL148*AM148</x:f>
        <x:v>56946922.0164288</x:v>
      </x:c>
      <x:c r="AP148" t="n">
        <x:f>IF(AO148="","",INDEX('_曲线基线'!$A$3:$A$502,MIN(ROWS('_曲线基线'!$A$3:$A$502),COUNTIF('_曲线基线'!$E$3:$E$502,"&lt;"&amp;AO148)+1)))</x:f>
        <x:v>251</x:v>
      </x:c>
      <x:c r="AQ148" t="n">
        <x:f>IF(B148&lt;=2,1,IF(B148&lt;=6,2,IF(B148&lt;=9,3,IF(B148&lt;=19,4,5))))</x:f>
        <x:v>5</x:v>
      </x:c>
      <x:c r="AR148" t="n">
        <x:f>AN148*(1-Q148)/F148*$AS$3+U148*$AS$4+P148*$AS$5</x:f>
        <x:v>14258.895309159441</x:v>
      </x:c>
      <x:c r="AS148" t="n">
        <x:f>1+AH148*$AS$6+AI148*$AS$7+(AJ148-1)*$AS$8+($H$10*H148+$I$10*I148+$J$10*J148+$K$10*K148+$L$10*L148)*$AU$3*$AS$9+($H$10*H148+$I$10*I148+$J$10*J148+$K$10*K148+$L$10*L148)*$AU$4*$AS$10</x:f>
        <x:v>15.500522848226659</x:v>
      </x:c>
      <x:c r="AT148" t="n">
        <x:f>ROUND(AR148*AS148,0)</x:f>
        <x:v>221020</x:v>
      </x:c>
      <x:c r="AU148" t="n">
        <x:f>ROUND(AT148*F148,0)</x:f>
        <x:v>1105100</x:v>
      </x:c>
    </x:row>
    <x:row r="149">
      <x:c r="A149" t="str">
        <x:f>IFERROR(XLOOKUP(B149,'_曲线基线'!$G$3:$G$107,'_曲线基线'!$J$3:$J$107,""),"")</x:f>
      </x:c>
      <x:c r="B149" t="n">
        <x:v>138</x:v>
      </x:c>
      <x:c r="C149" t="n">
        <x:f>C134+1</x:f>
        <x:v>10</x:v>
      </x:c>
      <x:c r="D149" t="n">
        <x:f>D134</x:f>
        <x:v>9</x:v>
      </x:c>
      <x:c r="E149" t="n">
        <x:f>IF($B149&lt;E$8,0,E$3+(E$4-E$3)*(POWER(E$5,$B149-E$8)-1)/(POWER(E$5,$C$5-E$8)-1))</x:f>
        <x:v>1</x:v>
      </x:c>
      <x:c r="F149" t="n">
        <x:f>1+IF(B149&lt;3,0,MIN(1,(B149-2)/4))+IF(B149&lt;7,0,MIN(1,(B149-6)/3))+IF(B149&lt;10,0,MIN(1,(B149-9)/5))+IF(B149&lt;20,0,MIN(1,(B149-19)/10))</x:f>
        <x:v>5</x:v>
      </x:c>
      <x:c r="G149" t="n">
        <x:f>IF($B149&lt;G$8,0,G$3+(G$4-G$3)*(POWER(G$5,$B149-G$8)-1)/(POWER(G$5,$C$5-G$8)-1))</x:f>
        <x:v>0.7984515307142712</x:v>
      </x:c>
      <x:c r="H149" t="n">
        <x:f>IF($B149&lt;H$8,0,H$3+(H$4-H$3)*(POWER(H$5,$B149-H$8)-1)/(POWER(H$5,$C$5-H$8)-1))</x:f>
        <x:v>0.6458902446609533</x:v>
      </x:c>
      <x:c r="I149" t="n">
        <x:f>IF($B149&lt;I$8,0,I$3+(I$4-I$3)*(POWER(I$5,$B149-I$8)-1)/(POWER(I$5,$C$5-I$8)-1))</x:f>
        <x:v>0.510874674762502</x:v>
      </x:c>
      <x:c r="J149" t="n">
        <x:f>IF($B149&lt;J$8,0,J$3+(J$4-J$3)*(POWER(J$5,$B149-J$8)-1)/(POWER(J$5,$C$5-J$8)-1))</x:f>
        <x:v>0.535805179327989</x:v>
      </x:c>
      <x:c r="K149" t="n">
        <x:f>IF($B149&lt;K$8,0,K$3+(K$4-K$3)*(POWER(K$5,$B149-K$8)-1)/(POWER(K$5,$C$5-K$8)-1))</x:f>
        <x:v>0.35797252226154014</x:v>
      </x:c>
      <x:c r="L149" t="n">
        <x:f>IF($B149&lt;L$8,0,L$3+(L$4-L$3)*(POWER(L$5,$B149-L$8)-1)/(POWER(L$5,$C$5-L$8)-1))</x:f>
        <x:v>0.6447806076394099</x:v>
      </x:c>
      <x:c r="M149" t="n">
        <x:f>E149*'模块规划'!$F$10+G149*'模块规划'!$F$11+H149*'模块规划'!$F$13</x:f>
        <x:v>4832.567347428501</x:v>
      </x:c>
      <x:c r="N149" t="n">
        <x:f>I149*'模块规划'!$F$15+J149*'模块规划'!$F$17+K149*'模块规划'!$F$16+L149*'模块规划'!$F$18</x:f>
        <x:v>14816.787363146197</x:v>
      </x:c>
      <x:c r="O149" t="n">
        <x:f>1+O$9*SUMPRODUCT($H$10:$L$10,H149:L149)/SUM($H$10:$L$10)</x:f>
        <x:v>3.003692863601757</x:v>
      </x:c>
      <x:c r="P149" t="n">
        <x:f>M149*O149+N149</x:f>
        <x:v>29332.33541749206</x:v>
      </x:c>
      <x:c r="Q149" t="n">
        <x:f>P149/(P149+'_曲线基线'!$L$2)</x:f>
        <x:v>0.549991579927542</x:v>
      </x:c>
      <x:c r="R149" t="n">
        <x:f>E149*'模块规划'!$E$10+G149*'模块规划'!$E$11+H149*'模块规划'!$E$13</x:f>
        <x:v>7248.851021142753</x:v>
      </x:c>
      <x:c r="S149" t="n">
        <x:f>I149*'模块规划'!$E$15+J149*'模块规划'!$E$17+K149*'模块规划'!$E$16+L149*'模块规划'!$E$18</x:f>
        <x:v>22225.18104471929</x:v>
      </x:c>
      <x:c r="T149" t="n">
        <x:f>1+T$9*SUMPRODUCT($H$10:$L$10,H149:L149)/SUM($H$10:$L$10)</x:f>
        <x:v>3.003692863601757</x:v>
      </x:c>
      <x:c r="U149" t="n">
        <x:f>R149*T149+S149</x:f>
        <x:v>43998.50312623809</x:v>
      </x:c>
      <x:c r="V149" t="n">
        <x:f>V$8+(V$9-V$8)*H149</x:f>
        <x:v>0.893767073398286</x:v>
      </x:c>
      <x:c r="W149" t="n">
        <x:f>IF(B149&lt;$H$8,0,W$8+(W$9-W$8)*H149)</x:f>
        <x:v>0.25835609786438135</x:v>
      </x:c>
      <x:c r="X149" t="n">
        <x:f>X$8+(X$9-X$8)*H149</x:f>
        <x:v>0.4526198172817622</x:v>
      </x:c>
      <x:c r="Y149" t="n">
        <x:f>Y$8+(Y$9-Y$8)*G149</x:f>
        <x:v>1</x:v>
      </x:c>
      <x:c r="Z149" t="n">
        <x:f>Z$8+(Z$9-Z$8)*H149</x:f>
        <x:v>1</x:v>
      </x:c>
      <x:c r="AA149" t="n">
        <x:f>AA$8+(AA$9-AA$8)*I149</x:f>
        <x:v>1</x:v>
      </x:c>
      <x:c r="AB149" t="n">
        <x:f>AB$8+(AB$9-AB$8)*J149</x:f>
        <x:v>1</x:v>
      </x:c>
      <x:c r="AC149" t="n">
        <x:f>AC$8+(AC$9-AC$8)*MAX(K149,L149)</x:f>
        <x:v>1</x:v>
      </x:c>
      <x:c r="AD149" t="n">
        <x:f>(V149*AE149+W149*AF149+X149*AG149)*PRODUCT(Y149:AC149)</x:f>
        <x:v>1.792286029438595</x:v>
      </x:c>
      <x:c r="AE149" t="n">
        <x:f>1+AE$9*($H$10*H149+$I$10*I149+$J$10*J149+$K$10*K149+$L$10*L149)</x:f>
        <x:v>1</x:v>
      </x:c>
      <x:c r="AF149" t="n">
        <x:f>1+AF$9*($H$10*H149+$I$10*I149+$J$10*J149+$K$10*K149+$L$10*L149)</x:f>
        <x:v>1.1768441474757827</x:v>
      </x:c>
      <x:c r="AG149" t="n">
        <x:f>1+AG$9*($H$10*H149+$I$10*I149+$J$10*J149+$K$10*K149+$L$10*L149)</x:f>
        <x:v>1.3134071280265285</x:v>
      </x:c>
      <x:c r="AH149" t="n">
        <x:f>MIN(1,'_曲线基线'!$L$3+AH$9*($H$10*H149+$I$10*I149+$J$10*J149+$K$10*K149+$L$10*L149))</x:f>
        <x:v>0.4523204355074053</x:v>
      </x:c>
      <x:c r="AI149" t="n">
        <x:f>'_曲线基线'!$L$4+AI$9*($H$10*H149+$I$10*I149+$J$10*J149+$K$10*K149+$L$10*L149)</x:f>
        <x:v>3.1207497846277716</x:v>
      </x:c>
      <x:c r="AJ149" t="n">
        <x:f>1+AJ$9*($H$10*H149+$I$10*I149+$J$10*J149+$K$10*K149+$L$10*L149)</x:f>
        <x:v>1.9195895668740692</x:v>
      </x:c>
      <x:c r="AK149" t="n">
        <x:f>(1+AH149*(AI149-1))*AJ149</x:f>
        <x:v>3.7609721104985514</x:v>
      </x:c>
      <x:c r="AL149" t="n">
        <x:f>U149*AD149*AK149*F149</x:f>
        <x:v>1482911.859398518</x:v>
      </x:c>
      <x:c r="AM149" t="n">
        <x:f>IF($B149&lt;AM$8,0,AM$3+(AM$4-AM$3)*(POWER(AM$5,$B149-AM$8)-1)/(POWER(AM$5,$C$5-AM$8)-1))</x:f>
        <x:v>38.904775107288664</x:v>
      </x:c>
      <x:c r="AN149" t="n">
        <x:f>(((E149*'模块规划'!$D$10+G149*'模块规划'!$D$11+H149*'模块规划'!$D$13)*(1+'模块规划'!$G$14*H149)+(I149*'模块规划'!$D$15+J149*'模块规划'!$D$17+K149*'模块规划'!$D$16+L149*'模块规划'!$D$18))*(1+'模块规划'!$J$17*J149))*F149/(1-Q149)</x:f>
        <x:v>2049884.3845670621</x:v>
      </x:c>
      <x:c r="AO149" t="n">
        <x:f>AL149*AM149</x:f>
        <x:v>57692352.39383061</x:v>
      </x:c>
      <x:c r="AP149" t="n">
        <x:f>IF(AO149="","",INDEX('_曲线基线'!$A$3:$A$502,MIN(ROWS('_曲线基线'!$A$3:$A$502),COUNTIF('_曲线基线'!$E$3:$E$502,"&lt;"&amp;AO149)+1)))</x:f>
        <x:v>252</x:v>
      </x:c>
      <x:c r="AQ149" t="n">
        <x:f>IF(B149&lt;=2,1,IF(B149&lt;=6,2,IF(B149&lt;=9,3,IF(B149&lt;=19,4,5))))</x:f>
        <x:v>5</x:v>
      </x:c>
      <x:c r="AR149" t="n">
        <x:f>AN149*(1-Q149)/F149*$AS$3+U149*$AS$4+P149*$AS$5</x:f>
        <x:v>14334.492024628977</x:v>
      </x:c>
      <x:c r="AS149" t="n">
        <x:f>1+AH149*$AS$6+AI149*$AS$7+(AJ149-1)*$AS$8+($H$10*H149+$I$10*I149+$J$10*J149+$K$10*K149+$L$10*L149)*$AU$3*$AS$9+($H$10*H149+$I$10*I149+$J$10*J149+$K$10*K149+$L$10*L149)*$AU$4*$AS$10</x:f>
        <x:v>15.548218750840578</x:v>
      </x:c>
      <x:c r="AT149" t="n">
        <x:f>ROUND(AR149*AS149,0)</x:f>
        <x:v>222876</x:v>
      </x:c>
      <x:c r="AU149" t="n">
        <x:f>ROUND(AT149*F149,0)</x:f>
        <x:v>1114380</x:v>
      </x:c>
    </x:row>
    <x:row r="150">
      <x:c r="A150" t="str">
        <x:f>IFERROR(XLOOKUP(B150,'_曲线基线'!$G$3:$G$107,'_曲线基线'!$J$3:$J$107,""),"")</x:f>
      </x:c>
      <x:c r="B150" t="n">
        <x:v>139</x:v>
      </x:c>
      <x:c r="C150" t="n">
        <x:f>C135+1</x:f>
        <x:v>10</x:v>
      </x:c>
      <x:c r="D150" t="n">
        <x:f>D135</x:f>
        <x:v>10</x:v>
      </x:c>
      <x:c r="E150" t="n">
        <x:f>IF($B150&lt;E$8,0,E$3+(E$4-E$3)*(POWER(E$5,$B150-E$8)-1)/(POWER(E$5,$C$5-E$8)-1))</x:f>
        <x:v>1</x:v>
      </x:c>
      <x:c r="F150" t="n">
        <x:f>1+IF(B150&lt;3,0,MIN(1,(B150-2)/4))+IF(B150&lt;7,0,MIN(1,(B150-6)/3))+IF(B150&lt;10,0,MIN(1,(B150-9)/5))+IF(B150&lt;20,0,MIN(1,(B150-19)/10))</x:f>
        <x:v>5</x:v>
      </x:c>
      <x:c r="G150" t="n">
        <x:f>IF($B150&lt;G$8,0,G$3+(G$4-G$3)*(POWER(G$5,$B150-G$8)-1)/(POWER(G$5,$C$5-G$8)-1))</x:f>
        <x:v>0.800179948208053</x:v>
      </x:c>
      <x:c r="H150" t="n">
        <x:f>IF($B150&lt;H$8,0,H$3+(H$4-H$3)*(POWER(H$5,$B150-H$8)-1)/(POWER(H$5,$C$5-H$8)-1))</x:f>
        <x:v>0.6470389820072456</x:v>
      </x:c>
      <x:c r="I150" t="n">
        <x:f>IF($B150&lt;I$8,0,I$3+(I$4-I$3)*(POWER(I$5,$B150-I$8)-1)/(POWER(I$5,$C$5-I$8)-1))</x:f>
        <x:v>0.5138282726103202</x:v>
      </x:c>
      <x:c r="J150" t="n">
        <x:f>IF($B150&lt;J$8,0,J$3+(J$4-J$3)*(POWER(J$5,$B150-J$8)-1)/(POWER(J$5,$C$5-J$8)-1))</x:f>
        <x:v>0.5371680202331531</x:v>
      </x:c>
      <x:c r="K150" t="n">
        <x:f>IF($B150&lt;K$8,0,K$3+(K$4-K$3)*(POWER(K$5,$B150-K$8)-1)/(POWER(K$5,$C$5-K$8)-1))</x:f>
        <x:v>0.36417219675128276</x:v>
      </x:c>
      <x:c r="L150" t="n">
        <x:f>IF($B150&lt;L$8,0,L$3+(L$4-L$3)*(POWER(L$5,$B150-L$8)-1)/(POWER(L$5,$C$5-L$8)-1))</x:f>
        <x:v>0.6459529023180074</x:v>
      </x:c>
      <x:c r="M150" t="n">
        <x:f>E150*'模块规划'!$F$10+G150*'模块规划'!$F$11+H150*'模块规划'!$F$13</x:f>
        <x:v>4840.863751398654</x:v>
      </x:c>
      <x:c r="N150" t="n">
        <x:f>I150*'模块规划'!$F$15+J150*'模块规划'!$F$17+K150*'模块规划'!$F$16+L150*'模块规划'!$F$18</x:f>
        <x:v>14897.104075311825</x:v>
      </x:c>
      <x:c r="O150" t="n">
        <x:f>1+O$9*SUMPRODUCT($H$10:$L$10,H150:L150)/SUM($H$10:$L$10)</x:f>
        <x:v>3.0125562858408585</x:v>
      </x:c>
      <x:c r="P150" t="n">
        <x:f>M150*O150+N150</x:f>
        <x:v>29480.478598487</x:v>
      </x:c>
      <x:c r="Q150" t="n">
        <x:f>P150/(P150+'_曲线基线'!$L$2)</x:f>
        <x:v>0.5512381222280428</x:v>
      </x:c>
      <x:c r="R150" t="n">
        <x:f>E150*'模块规划'!$E$10+G150*'模块规划'!$E$11+H150*'模块规划'!$E$13</x:f>
        <x:v>7261.295627097982</x:v>
      </x:c>
      <x:c r="S150" t="n">
        <x:f>I150*'模块规划'!$E$15+J150*'模块规划'!$E$17+K150*'模块规划'!$E$16+L150*'模块规划'!$E$18</x:f>
        <x:v>22345.656112967743</x:v>
      </x:c>
      <x:c r="T150" t="n">
        <x:f>1+T$9*SUMPRODUCT($H$10:$L$10,H150:L150)/SUM($H$10:$L$10)</x:f>
        <x:v>3.0125562858408585</x:v>
      </x:c>
      <x:c r="U150" t="n">
        <x:f>R150*T150+S150</x:f>
        <x:v>44220.71789773051</x:v>
      </x:c>
      <x:c r="V150" t="n">
        <x:f>V$8+(V$9-V$8)*H150</x:f>
        <x:v>0.8941116946021737</x:v>
      </x:c>
      <x:c r="W150" t="n">
        <x:f>IF(B150&lt;$H$8,0,W$8+(W$9-W$8)*H150)</x:f>
        <x:v>0.2588155928028983</x:v>
      </x:c>
      <x:c r="X150" t="n">
        <x:f>X$8+(X$9-X$8)*H150</x:f>
        <x:v>0.45293572005199256</x:v>
      </x:c>
      <x:c r="Y150" t="n">
        <x:f>Y$8+(Y$9-Y$8)*G150</x:f>
        <x:v>1</x:v>
      </x:c>
      <x:c r="Z150" t="n">
        <x:f>Z$8+(Z$9-Z$8)*H150</x:f>
        <x:v>1</x:v>
      </x:c>
      <x:c r="AA150" t="n">
        <x:f>AA$8+(AA$9-AA$8)*I150</x:f>
        <x:v>1</x:v>
      </x:c>
      <x:c r="AB150" t="n">
        <x:f>AB$8+(AB$9-AB$8)*J150</x:f>
        <x:v>1</x:v>
      </x:c>
      <x:c r="AC150" t="n">
        <x:f>AC$8+(AC$9-AC$8)*MAX(K150,L150)</x:f>
        <x:v>1</x:v>
      </x:c>
      <x:c r="AD150" t="n">
        <x:f>(V150*AE150+W150*AF150+X150*AG150)*PRODUCT(Y150:AC150)</x:f>
        <x:v>1.7944167157037452</x:v>
      </x:c>
      <x:c r="AE150" t="n">
        <x:f>1+AE$9*($H$10*H150+$I$10*I150+$J$10*J150+$K$10*K150+$L$10*L150)</x:f>
        <x:v>1</x:v>
      </x:c>
      <x:c r="AF150" t="n">
        <x:f>1+AF$9*($H$10*H150+$I$10*I150+$J$10*J150+$K$10*K150+$L$10*L150)</x:f>
        <x:v>1.1776264252280597</x:v>
      </x:c>
      <x:c r="AG150" t="n">
        <x:f>1+AG$9*($H$10*H150+$I$10*I150+$J$10*J150+$K$10*K150+$L$10*L150)</x:f>
        <x:v>1.3147934980430638</x:v>
      </x:c>
      <x:c r="AH150" t="n">
        <x:f>MIN(1,'_曲线基线'!$L$3+AH$9*($H$10*H150+$I$10*I150+$J$10*J150+$K$10*K150+$L$10*L150))</x:f>
        <x:v>0.4541001173938354</x:v>
      </x:c>
      <x:c r="AI150" t="n">
        <x:f>'_曲线基线'!$L$4+AI$9*($H$10*H150+$I$10*I150+$J$10*J150+$K$10*K150+$L$10*L150)</x:f>
        <x:v>3.125707469882827</x:v>
      </x:c>
      <x:c r="AJ150" t="n">
        <x:f>1+AJ$9*($H$10*H150+$I$10*I150+$J$10*J150+$K$10*K150+$L$10*L150)</x:f>
        <x:v>1.9236574111859097</x:v>
      </x:c>
      <x:c r="AK150" t="n">
        <x:f>(1+AH150*(AI150-1))*AJ150</x:f>
        <x:v>3.7805331540355738</x:v>
      </x:c>
      <x:c r="AL150" t="n">
        <x:f>U150*AD150*AK150*F150</x:f>
        <x:v>1499934.0025260258</x:v>
      </x:c>
      <x:c r="AM150" t="n">
        <x:f>IF($B150&lt;AM$8,0,AM$3+(AM$4-AM$3)*(POWER(AM$5,$B150-AM$8)-1)/(POWER(AM$5,$C$5-AM$8)-1))</x:f>
        <x:v>38.95724749828342</x:v>
      </x:c>
      <x:c r="AN150" t="n">
        <x:f>(((E150*'模块规划'!$D$10+G150*'模块规划'!$D$11+H150*'模块规划'!$D$13)*(1+'模块规划'!$G$14*H150)+(I150*'模块规划'!$D$15+J150*'模块规划'!$D$17+K150*'模块规划'!$D$16+L150*'模块规划'!$D$18))*(1+'模块规划'!$J$17*J150))*F150/(1-Q150)</x:f>
        <x:v>2066643.5617380948</x:v>
      </x:c>
      <x:c r="AO150" t="n">
        <x:f>AL150*AM150</x:f>
        <x:v>58433300.167497255</x:v>
      </x:c>
      <x:c r="AP150" t="n">
        <x:f>IF(AO150="","",INDEX('_曲线基线'!$A$3:$A$502,MIN(ROWS('_曲线基线'!$A$3:$A$502),COUNTIF('_曲线基线'!$E$3:$E$502,"&lt;"&amp;AO150)+1)))</x:f>
        <x:v>253</x:v>
      </x:c>
      <x:c r="AQ150" t="n">
        <x:f>IF(B150&lt;=2,1,IF(B150&lt;=6,2,IF(B150&lt;=9,3,IF(B150&lt;=19,4,5))))</x:f>
        <x:v>5</x:v>
      </x:c>
      <x:c r="AR150" t="n">
        <x:f>AN150*(1-Q150)/F150*$AS$3+U150*$AS$4+P150*$AS$5</x:f>
        <x:v>14408.728652251579</x:v>
      </x:c>
      <x:c r="AS150" t="n">
        <x:f>1+AH150*$AS$6+AI150*$AS$7+(AJ150-1)*$AS$8+($H$10*H150+$I$10*I150+$J$10*J150+$K$10*K150+$L$10*L150)*$AU$3*$AS$9+($H$10*H150+$I$10*I150+$J$10*J150+$K$10*K150+$L$10*L150)*$AU$4*$AS$10</x:f>
        <x:v>15.594960735402221</x:v>
      </x:c>
      <x:c r="AT150" t="n">
        <x:f>ROUND(AR150*AS150,0)</x:f>
        <x:v>224704</x:v>
      </x:c>
      <x:c r="AU150" t="n">
        <x:f>ROUND(AT150*F150,0)</x:f>
        <x:v>1123520</x:v>
      </x:c>
    </x:row>
    <x:row r="151">
      <x:c r="A151" t="str">
        <x:f>IFERROR(XLOOKUP(B151,'_曲线基线'!$G$3:$G$107,'_曲线基线'!$J$3:$J$107,""),"")</x:f>
      </x:c>
      <x:c r="B151" t="n">
        <x:v>140</x:v>
      </x:c>
      <x:c r="C151" t="n">
        <x:f>C136+1</x:f>
        <x:v>10</x:v>
      </x:c>
      <x:c r="D151" t="n">
        <x:f>D136</x:f>
        <x:v>11</x:v>
      </x:c>
      <x:c r="E151" t="n">
        <x:f>IF($B151&lt;E$8,0,E$3+(E$4-E$3)*(POWER(E$5,$B151-E$8)-1)/(POWER(E$5,$C$5-E$8)-1))</x:f>
        <x:v>1</x:v>
      </x:c>
      <x:c r="F151" t="n">
        <x:f>1+IF(B151&lt;3,0,MIN(1,(B151-2)/4))+IF(B151&lt;7,0,MIN(1,(B151-6)/3))+IF(B151&lt;10,0,MIN(1,(B151-9)/5))+IF(B151&lt;20,0,MIN(1,(B151-19)/10))</x:f>
        <x:v>5</x:v>
      </x:c>
      <x:c r="G151" t="n">
        <x:f>IF($B151&lt;G$8,0,G$3+(G$4-G$3)*(POWER(G$5,$B151-G$8)-1)/(POWER(G$5,$C$5-G$8)-1))</x:f>
        <x:v>0.8018824394394282</x:v>
      </x:c>
      <x:c r="H151" t="n">
        <x:f>IF($B151&lt;H$8,0,H$3+(H$4-H$3)*(POWER(H$5,$B151-H$8)-1)/(POWER(H$5,$C$5-H$8)-1))</x:f>
        <x:v>0.6481647446066121</x:v>
      </x:c>
      <x:c r="I151" t="n">
        <x:f>IF($B151&lt;I$8,0,I$3+(I$4-I$3)*(POWER(I$5,$B151-I$8)-1)/(POWER(I$5,$C$5-I$8)-1))</x:f>
        <x:v>0.516722798501182</x:v>
      </x:c>
      <x:c r="J151" t="n">
        <x:f>IF($B151&lt;J$8,0,J$3+(J$4-J$3)*(POWER(J$5,$B151-J$8)-1)/(POWER(J$5,$C$5-J$8)-1))</x:f>
        <x:v>0.5385036043202138</x:v>
      </x:c>
      <x:c r="K151" t="n">
        <x:f>IF($B151&lt;K$8,0,K$3+(K$4-K$3)*(POWER(K$5,$B151-K$8)-1)/(POWER(K$5,$C$5-K$8)-1))</x:f>
        <x:v>0.37024787775123075</x:v>
      </x:c>
      <x:c r="L151" t="n">
        <x:f>IF($B151&lt;L$8,0,L$3+(L$4-L$3)*(POWER(L$5,$B151-L$8)-1)/(POWER(L$5,$C$5-L$8)-1))</x:f>
        <x:v>0.6471017511030329</x:v>
      </x:c>
      <x:c r="M151" t="n">
        <x:f>E151*'模块规划'!$F$10+G151*'模块规划'!$F$11+H151*'模块规划'!$F$13</x:f>
        <x:v>4849.035709309255</x:v>
      </x:c>
      <x:c r="N151" t="n">
        <x:f>I151*'模块规划'!$F$15+J151*'模块规划'!$F$17+K151*'模块规划'!$F$16+L151*'模块规划'!$F$18</x:f>
        <x:v>14975.814453234141</x:v>
      </x:c>
      <x:c r="O151" t="n">
        <x:f>1+O$9*SUMPRODUCT($H$10:$L$10,H151:L151)/SUM($H$10:$L$10)</x:f>
        <x:v>3.021242439635177</x:v>
      </x:c>
      <x:c r="P151" t="n">
        <x:f>M151*O151+N151</x:f>
        <x:v>29625.926929505727</x:v>
      </x:c>
      <x:c r="Q151" t="n">
        <x:f>P151/(P151+'_曲线基线'!$L$2)</x:f>
        <x:v>0.5524552884363315</x:v>
      </x:c>
      <x:c r="R151" t="n">
        <x:f>E151*'模块规划'!$E$10+G151*'模块规划'!$E$11+H151*'模块规划'!$E$13</x:f>
        <x:v>7273.553563963883</x:v>
      </x:c>
      <x:c r="S151" t="n">
        <x:f>I151*'模块规划'!$E$15+J151*'模块规划'!$E$17+K151*'模块规划'!$E$16+L151*'模块规划'!$E$18</x:f>
        <x:v>22463.721679851216</x:v>
      </x:c>
      <x:c r="T151" t="n">
        <x:f>1+T$9*SUMPRODUCT($H$10:$L$10,H151:L151)/SUM($H$10:$L$10)</x:f>
        <x:v>3.021242439635177</x:v>
      </x:c>
      <x:c r="U151" t="n">
        <x:f>R151*T151+S151</x:f>
        <x:v>44438.8903942586</x:v>
      </x:c>
      <x:c r="V151" t="n">
        <x:f>V$8+(V$9-V$8)*H151</x:f>
        <x:v>0.8944494233819836</x:v>
      </x:c>
      <x:c r="W151" t="n">
        <x:f>IF(B151&lt;$H$8,0,W$8+(W$9-W$8)*H151)</x:f>
        <x:v>0.25926589784264487</x:v>
      </x:c>
      <x:c r="X151" t="n">
        <x:f>X$8+(X$9-X$8)*H151</x:f>
        <x:v>0.45324530476681835</x:v>
      </x:c>
      <x:c r="Y151" t="n">
        <x:f>Y$8+(Y$9-Y$8)*G151</x:f>
        <x:v>1</x:v>
      </x:c>
      <x:c r="Z151" t="n">
        <x:f>Z$8+(Z$9-Z$8)*H151</x:f>
        <x:v>1</x:v>
      </x:c>
      <x:c r="AA151" t="n">
        <x:f>AA$8+(AA$9-AA$8)*I151</x:f>
        <x:v>1</x:v>
      </x:c>
      <x:c r="AB151" t="n">
        <x:f>AB$8+(AB$9-AB$8)*J151</x:f>
        <x:v>1</x:v>
      </x:c>
      <x:c r="AC151" t="n">
        <x:f>AC$8+(AC$9-AC$8)*MAX(K151,L151)</x:f>
        <x:v>1</x:v>
      </x:c>
      <x:c r="AD151" t="n">
        <x:f>(V151*AE151+W151*AF151+X151*AG151)*PRODUCT(Y151:AC151)</x:f>
        <x:v>1.7965063355395015</x:v>
      </x:c>
      <x:c r="AE151" t="n">
        <x:f>1+AE$9*($H$10*H151+$I$10*I151+$J$10*J151+$K$10*K151+$L$10*L151)</x:f>
        <x:v>1</x:v>
      </x:c>
      <x:c r="AF151" t="n">
        <x:f>1+AF$9*($H$10*H151+$I$10*I151+$J$10*J151+$K$10*K151+$L$10*L151)</x:f>
        <x:v>1.178393057425291</x:v>
      </x:c>
      <x:c r="AG151" t="n">
        <x:f>1+AG$9*($H$10*H151+$I$10*I151+$J$10*J151+$K$10*K151+$L$10*L151)</x:f>
        <x:v>1.3161521406592682</x:v>
      </x:c>
      <x:c r="AH151" t="n">
        <x:f>MIN(1,'_曲线基线'!$L$3+AH$9*($H$10*H151+$I$10*I151+$J$10*J151+$K$10*K151+$L$10*L151))</x:f>
        <x:v>0.45584420564253675</x:v>
      </x:c>
      <x:c r="AI151" t="n">
        <x:f>'_曲线基线'!$L$4+AI$9*($H$10*H151+$I$10*I151+$J$10*J151+$K$10*K151+$L$10*L151)</x:f>
        <x:v>3.130566001432781</x:v>
      </x:c>
      <x:c r="AJ151" t="n">
        <x:f>1+AJ$9*($H$10*H151+$I$10*I151+$J$10*J151+$K$10*K151+$L$10*L151)</x:f>
        <x:v>1.9276438986115125</x:v>
      </x:c>
      <x:c r="AK151" t="n">
        <x:f>(1+AH151*(AI151-1))*AJ151</x:f>
        <x:v>3.799783539743928</x:v>
      </x:c>
      <x:c r="AL151" t="n">
        <x:f>U151*AD151*AK151*F151</x:f>
        <x:v>1516773.8093648637</x:v>
      </x:c>
      <x:c r="AM151" t="n">
        <x:f>IF($B151&lt;AM$8,0,AM$3+(AM$4-AM$3)*(POWER(AM$5,$B151-AM$8)-1)/(POWER(AM$5,$C$5-AM$8)-1))</x:f>
        <x:v>39.01024461318812</x:v>
      </x:c>
      <x:c r="AN151" t="n">
        <x:f>(((E151*'模块规划'!$D$10+G151*'模块规划'!$D$11+H151*'模块规划'!$D$13)*(1+'模块规划'!$G$14*H151)+(I151*'模块规划'!$D$15+J151*'模块规划'!$D$17+K151*'模块规划'!$D$16+L151*'模块规划'!$D$18))*(1+'模块规划'!$J$17*J151))*F151/(1-Q151)</x:f>
        <x:v>2083162.4618686498</x:v>
      </x:c>
      <x:c r="AO151" t="n">
        <x:f>AL151*AM151</x:f>
        <x:v>59169717.3262005</x:v>
      </x:c>
      <x:c r="AP151" t="n">
        <x:f>IF(AO151="","",INDEX('_曲线基线'!$A$3:$A$502,MIN(ROWS('_曲线基线'!$A$3:$A$502),COUNTIF('_曲线基线'!$E$3:$E$502,"&lt;"&amp;AO151)+1)))</x:f>
        <x:v>254</x:v>
      </x:c>
      <x:c r="AQ151" t="n">
        <x:f>IF(B151&lt;=2,1,IF(B151&lt;=6,2,IF(B151&lt;=9,3,IF(B151&lt;=19,4,5))))</x:f>
        <x:v>5</x:v>
      </x:c>
      <x:c r="AR151" t="n">
        <x:f>AN151*(1-Q151)/F151*$AS$3+U151*$AS$4+P151*$AS$5</x:f>
        <x:v>14481.628137675318</x:v>
      </x:c>
      <x:c r="AS151" t="n">
        <x:f>1+AH151*$AS$6+AI151*$AS$7+(AJ151-1)*$AS$8+($H$10*H151+$I$10*I151+$J$10*J151+$K$10*K151+$L$10*L151)*$AU$3*$AS$9+($H$10*H151+$I$10*I151+$J$10*J151+$K$10*K151+$L$10*L151)*$AU$4*$AS$10</x:f>
        <x:v>15.64076788027263</x:v>
      </x:c>
      <x:c r="AT151" t="n">
        <x:f>ROUND(AR151*AS151,0)</x:f>
        <x:v>226504</x:v>
      </x:c>
      <x:c r="AU151" t="n">
        <x:f>ROUND(AT151*F151,0)</x:f>
        <x:v>1132520</x:v>
      </x:c>
    </x:row>
    <x:row r="152">
      <x:c r="A152" t="str">
        <x:f>IFERROR(XLOOKUP(B152,'_曲线基线'!$G$3:$G$107,'_曲线基线'!$J$3:$J$107,""),"")</x:f>
      </x:c>
      <x:c r="B152" t="n">
        <x:v>141</x:v>
      </x:c>
      <x:c r="C152" t="n">
        <x:f>C137+1</x:f>
        <x:v>10</x:v>
      </x:c>
      <x:c r="D152" t="n">
        <x:f>D137</x:f>
        <x:v>12</x:v>
      </x:c>
      <x:c r="E152" t="n">
        <x:f>IF($B152&lt;E$8,0,E$3+(E$4-E$3)*(POWER(E$5,$B152-E$8)-1)/(POWER(E$5,$C$5-E$8)-1))</x:f>
        <x:v>1</x:v>
      </x:c>
      <x:c r="F152" t="n">
        <x:f>1+IF(B152&lt;3,0,MIN(1,(B152-2)/4))+IF(B152&lt;7,0,MIN(1,(B152-6)/3))+IF(B152&lt;10,0,MIN(1,(B152-9)/5))+IF(B152&lt;20,0,MIN(1,(B152-19)/10))</x:f>
        <x:v>5</x:v>
      </x:c>
      <x:c r="G152" t="n">
        <x:f>IF($B152&lt;G$8,0,G$3+(G$4-G$3)*(POWER(G$5,$B152-G$8)-1)/(POWER(G$5,$C$5-G$8)-1))</x:f>
        <x:v>0.8035593933023325</x:v>
      </x:c>
      <x:c r="H152" t="n">
        <x:f>IF($B152&lt;H$8,0,H$3+(H$4-H$3)*(POWER(H$5,$B152-H$8)-1)/(POWER(H$5,$C$5-H$8)-1))</x:f>
        <x:v>0.6492679919539913</x:v>
      </x:c>
      <x:c r="I152" t="n">
        <x:f>IF($B152&lt;I$8,0,I$3+(I$4-I$3)*(POWER(I$5,$B152-I$8)-1)/(POWER(I$5,$C$5-I$8)-1))</x:f>
        <x:v>0.5195594338742264</x:v>
      </x:c>
      <x:c r="J152" t="n">
        <x:f>IF($B152&lt;J$8,0,J$3+(J$4-J$3)*(POWER(J$5,$B152-J$8)-1)/(POWER(J$5,$C$5-J$8)-1))</x:f>
        <x:v>0.5398124767255335</x:v>
      </x:c>
      <x:c r="K152" t="n">
        <x:f>IF($B152&lt;K$8,0,K$3+(K$4-K$3)*(POWER(K$5,$B152-K$8)-1)/(POWER(K$5,$C$5-K$8)-1))</x:f>
        <x:v>0.37620204513117966</x:v>
      </x:c>
      <x:c r="L152" t="n">
        <x:f>IF($B152&lt;L$8,0,L$3+(L$4-L$3)*(POWER(L$5,$B152-L$8)-1)/(POWER(L$5,$C$5-L$8)-1))</x:f>
        <x:v>0.648227622912358</x:v>
      </x:c>
      <x:c r="M152" t="n">
        <x:f>E152*'模块规划'!$F$10+G152*'模块规划'!$F$11+H152*'模块规划'!$F$13</x:f>
        <x:v>4857.085087851196</x:v>
      </x:c>
      <x:c r="N152" t="n">
        <x:f>I152*'模块规划'!$F$15+J152*'模块规划'!$F$17+K152*'模块规划'!$F$16+L152*'模块规划'!$F$18</x:f>
        <x:v>15052.950623598015</x:v>
      </x:c>
      <x:c r="O152" t="n">
        <x:f>1+O$9*SUMPRODUCT($H$10:$L$10,H152:L152)/SUM($H$10:$L$10)</x:f>
        <x:v>3.0297548703536092</x:v>
      </x:c>
      <x:c r="P152" t="n">
        <x:f>M152*O152+N152</x:f>
        <x:v>29768.727824237063</x:v>
      </x:c>
      <x:c r="Q152" t="n">
        <x:f>P152/(P152+'_曲线基线'!$L$2)</x:f>
        <x:v>0.5536438935573692</x:v>
      </x:c>
      <x:c r="R152" t="n">
        <x:f>E152*'模块规划'!$E$10+G152*'模块规划'!$E$11+H152*'模块规划'!$E$13</x:f>
        <x:v>7285.627631776794</x:v>
      </x:c>
      <x:c r="S152" t="n">
        <x:f>I152*'模块规划'!$E$15+J152*'模块规划'!$E$17+K152*'模块规划'!$E$16+L152*'模块规划'!$E$18</x:f>
        <x:v>22579.425935397023</x:v>
      </x:c>
      <x:c r="T152" t="n">
        <x:f>1+T$9*SUMPRODUCT($H$10:$L$10,H152:L152)/SUM($H$10:$L$10)</x:f>
        <x:v>3.0297548703536092</x:v>
      </x:c>
      <x:c r="U152" t="n">
        <x:f>R152*T152+S152</x:f>
        <x:v>44653.09173635559</x:v>
      </x:c>
      <x:c r="V152" t="n">
        <x:f>V$8+(V$9-V$8)*H152</x:f>
        <x:v>0.8947803975861974</x:v>
      </x:c>
      <x:c r="W152" t="n">
        <x:f>IF(B152&lt;$H$8,0,W$8+(W$9-W$8)*H152)</x:f>
        <x:v>0.25970719678159654</x:v>
      </x:c>
      <x:c r="X152" t="n">
        <x:f>X$8+(X$9-X$8)*H152</x:f>
        <x:v>0.45354869778734763</x:v>
      </x:c>
      <x:c r="Y152" t="n">
        <x:f>Y$8+(Y$9-Y$8)*G152</x:f>
        <x:v>1</x:v>
      </x:c>
      <x:c r="Z152" t="n">
        <x:f>Z$8+(Z$9-Z$8)*H152</x:f>
        <x:v>1</x:v>
      </x:c>
      <x:c r="AA152" t="n">
        <x:f>AA$8+(AA$9-AA$8)*I152</x:f>
        <x:v>1</x:v>
      </x:c>
      <x:c r="AB152" t="n">
        <x:f>AB$8+(AB$9-AB$8)*J152</x:f>
        <x:v>1</x:v>
      </x:c>
      <x:c r="AC152" t="n">
        <x:f>AC$8+(AC$9-AC$8)*MAX(K152,L152)</x:f>
        <x:v>1</x:v>
      </x:c>
      <x:c r="AD152" t="n">
        <x:f>(V152*AE152+W152*AF152+X152*AG152)*PRODUCT(Y152:AC152)</x:f>
        <x:v>1.7985556490015342</x:v>
      </x:c>
      <x:c r="AE152" t="n">
        <x:f>1+AE$9*($H$10*H152+$I$10*I152+$J$10*J152+$K$10*K152+$L$10*L152)</x:f>
        <x:v>1</x:v>
      </x:c>
      <x:c r="AF152" t="n">
        <x:f>1+AF$9*($H$10*H152+$I$10*I152+$J$10*J152+$K$10*K152+$L$10*L152)</x:f>
        <x:v>1.1791443569785778</x:v>
      </x:c>
      <x:c r="AG152" t="n">
        <x:f>1+AG$9*($H$10*H152+$I$10*I152+$J$10*J152+$K$10*K152+$L$10*L152)</x:f>
        <x:v>1.3174836104231487</x:v>
      </x:c>
      <x:c r="AH152" t="n">
        <x:f>MIN(1,'_曲线基线'!$L$3+AH$9*($H$10*H152+$I$10*I152+$J$10*J152+$K$10*K152+$L$10*L152))</x:f>
        <x:v>0.4575534121262641</x:v>
      </x:c>
      <x:c r="AI152" t="n">
        <x:f>'_曲线基线'!$L$4+AI$9*($H$10*H152+$I$10*I152+$J$10*J152+$K$10*K152+$L$10*L152)</x:f>
        <x:v>3.1353273623517355</x:v>
      </x:c>
      <x:c r="AJ152" t="n">
        <x:f>1+AJ$9*($H$10*H152+$I$10*I152+$J$10*J152+$K$10*K152+$L$10*L152)</x:f>
        <x:v>1.9315506562886038</x:v>
      </x:c>
      <x:c r="AK152" t="n">
        <x:f>(1+AH152*(AI152-1))*AJ152</x:f>
        <x:v>3.8187264871525337</x:v>
      </x:c>
      <x:c r="AL152" t="n">
        <x:f>U152*AD152*AK152*F152</x:f>
        <x:v>1533430.0585074327</x:v>
      </x:c>
      <x:c r="AM152" t="n">
        <x:f>IF($B152&lt;AM$8,0,AM$3+(AM$4-AM$3)*(POWER(AM$5,$B152-AM$8)-1)/(POWER(AM$5,$C$5-AM$8)-1))</x:f>
        <x:v>39.063771699241876</x:v>
      </x:c>
      <x:c r="AN152" t="n">
        <x:f>(((E152*'模块规划'!$D$10+G152*'模块规划'!$D$11+H152*'模块规划'!$D$13)*(1+'模块规划'!$G$14*H152)+(I152*'模块规划'!$D$15+J152*'模块规划'!$D$17+K152*'模块规划'!$D$16+L152*'模块规划'!$D$18))*(1+'模块规划'!$J$17*J152))*F152/(1-Q152)</x:f>
        <x:v>2099442.827643459</x:v>
      </x:c>
      <x:c r="AO152" t="n">
        <x:f>AL152*AM152</x:f>
        <x:v>59901561.722289465</x:v>
      </x:c>
      <x:c r="AP152" t="n">
        <x:f>IF(AO152="","",INDEX('_曲线基线'!$A$3:$A$502,MIN(ROWS('_曲线基线'!$A$3:$A$502),COUNTIF('_曲线基线'!$E$3:$E$502,"&lt;"&amp;AO152)+1)))</x:f>
        <x:v>254</x:v>
      </x:c>
      <x:c r="AQ152" t="n">
        <x:f>IF(B152&lt;=2,1,IF(B152&lt;=6,2,IF(B152&lt;=9,3,IF(B152&lt;=19,4,5))))</x:f>
        <x:v>5</x:v>
      </x:c>
      <x:c r="AR152" t="n">
        <x:f>AN152*(1-Q152)/F152*$AS$3+U152*$AS$4+P152*$AS$5</x:f>
        <x:v>14553.21310474617</x:v>
      </x:c>
      <x:c r="AS152" t="n">
        <x:f>1+AH152*$AS$6+AI152*$AS$7+(AJ152-1)*$AS$8+($H$10*H152+$I$10*I152+$J$10*J152+$K$10*K152+$L$10*L152)*$AU$3*$AS$9+($H$10*H152+$I$10*I152+$J$10*J152+$K$10*K152+$L$10*L152)*$AU$4*$AS$10</x:f>
        <x:v>15.68565888224563</x:v>
      </x:c>
      <x:c r="AT152" t="n">
        <x:f>ROUND(AR152*AS152,0)</x:f>
        <x:v>228277</x:v>
      </x:c>
      <x:c r="AU152" t="n">
        <x:f>ROUND(AT152*F152,0)</x:f>
        <x:v>1141385</x:v>
      </x:c>
    </x:row>
    <x:row r="153">
      <x:c r="A153" t="str">
        <x:f>IFERROR(XLOOKUP(B153,'_曲线基线'!$G$3:$G$107,'_曲线基线'!$J$3:$J$107,""),"")</x:f>
      </x:c>
      <x:c r="B153" t="n">
        <x:v>142</x:v>
      </x:c>
      <x:c r="C153" t="n">
        <x:f>C138+1</x:f>
        <x:v>10</x:v>
      </x:c>
      <x:c r="D153" t="n">
        <x:f>D138</x:f>
        <x:v>13</x:v>
      </x:c>
      <x:c r="E153" t="n">
        <x:f>IF($B153&lt;E$8,0,E$3+(E$4-E$3)*(POWER(E$5,$B153-E$8)-1)/(POWER(E$5,$C$5-E$8)-1))</x:f>
        <x:v>1</x:v>
      </x:c>
      <x:c r="F153" t="n">
        <x:f>1+IF(B153&lt;3,0,MIN(1,(B153-2)/4))+IF(B153&lt;7,0,MIN(1,(B153-6)/3))+IF(B153&lt;10,0,MIN(1,(B153-9)/5))+IF(B153&lt;20,0,MIN(1,(B153-19)/10))</x:f>
        <x:v>5</x:v>
      </x:c>
      <x:c r="G153" t="n">
        <x:f>IF($B153&lt;G$8,0,G$3+(G$4-G$3)*(POWER(G$5,$B153-G$8)-1)/(POWER(G$5,$C$5-G$8)-1))</x:f>
        <x:v>0.8052111928572933</x:v>
      </x:c>
      <x:c r="H153" t="n">
        <x:f>IF($B153&lt;H$8,0,H$3+(H$4-H$3)*(POWER(H$5,$B153-H$8)-1)/(POWER(H$5,$C$5-H$8)-1))</x:f>
        <x:v>0.6503491743544227</x:v>
      </x:c>
      <x:c r="I153" t="n">
        <x:f>IF($B153&lt;I$8,0,I$3+(I$4-I$3)*(POWER(I$5,$B153-I$8)-1)/(POWER(I$5,$C$5-I$8)-1))</x:f>
        <x:v>0.5223393365398101</x:v>
      </x:c>
      <x:c r="J153" t="n">
        <x:f>IF($B153&lt;J$8,0,J$3+(J$4-J$3)*(POWER(J$5,$B153-J$8)-1)/(POWER(J$5,$C$5-J$8)-1))</x:f>
        <x:v>0.5410951716827468</x:v>
      </x:c>
      <x:c r="K153" t="n">
        <x:f>IF($B153&lt;K$8,0,K$3+(K$4-K$3)*(POWER(K$5,$B153-K$8)-1)/(POWER(K$5,$C$5-K$8)-1))</x:f>
        <x:v>0.3820371291635296</x:v>
      </x:c>
      <x:c r="L153" t="n">
        <x:f>IF($B153&lt;L$8,0,L$3+(L$4-L$3)*(POWER(L$5,$B153-L$8)-1)/(POWER(L$5,$C$5-L$8)-1))</x:f>
        <x:v>0.6493309772854966</x:v>
      </x:c>
      <x:c r="M153" t="n">
        <x:f>E153*'模块规划'!$F$10+G153*'模块规划'!$F$11+H153*'模块规划'!$F$13</x:f>
        <x:v>4865.013725715007</x:v>
      </x:c>
      <x:c r="N153" t="n">
        <x:f>I153*'模块规划'!$F$15+J153*'模块规划'!$F$17+K153*'模块规划'!$F$16+L153*'模块规划'!$F$18</x:f>
        <x:v>15128.54407055461</x:v>
      </x:c>
      <x:c r="O153" t="n">
        <x:f>1+O$9*SUMPRODUCT($H$10:$L$10,H153:L153)/SUM($H$10:$L$10)</x:f>
        <x:v>3.038097052457674</x:v>
      </x:c>
      <x:c r="P153" t="n">
        <x:f>M153*O153+N153</x:f>
        <x:v>29908.927930815502</x:v>
      </x:c>
      <x:c r="Q153" t="n">
        <x:f>P153/(P153+'_曲线基线'!$L$2)</x:f>
        <x:v>0.5548047249093766</x:v>
      </x:c>
      <x:c r="R153" t="n">
        <x:f>E153*'模块规划'!$E$10+G153*'模块规划'!$E$11+H153*'模块规划'!$E$13</x:f>
        <x:v>7297.520588572512</x:v>
      </x:c>
      <x:c r="S153" t="n">
        <x:f>I153*'模块规划'!$E$15+J153*'模块规划'!$E$17+K153*'模块规划'!$E$16+L153*'模块规划'!$E$18</x:f>
        <x:v>22692.816105831913</x:v>
      </x:c>
      <x:c r="T153" t="n">
        <x:f>1+T$9*SUMPRODUCT($H$10:$L$10,H153:L153)/SUM($H$10:$L$10)</x:f>
        <x:v>3.038097052457674</x:v>
      </x:c>
      <x:c r="U153" t="n">
        <x:f>R153*T153+S153</x:f>
        <x:v>44863.39189622325</x:v>
      </x:c>
      <x:c r="V153" t="n">
        <x:f>V$8+(V$9-V$8)*H153</x:f>
        <x:v>0.8951047523063268</x:v>
      </x:c>
      <x:c r="W153" t="n">
        <x:f>IF(B153&lt;$H$8,0,W$8+(W$9-W$8)*H153)</x:f>
        <x:v>0.2601396697417691</x:v>
      </x:c>
      <x:c r="X153" t="n">
        <x:f>X$8+(X$9-X$8)*H153</x:f>
        <x:v>0.4538460229474663</x:v>
      </x:c>
      <x:c r="Y153" t="n">
        <x:f>Y$8+(Y$9-Y$8)*G153</x:f>
        <x:v>1</x:v>
      </x:c>
      <x:c r="Z153" t="n">
        <x:f>Z$8+(Z$9-Z$8)*H153</x:f>
        <x:v>1</x:v>
      </x:c>
      <x:c r="AA153" t="n">
        <x:f>AA$8+(AA$9-AA$8)*I153</x:f>
        <x:v>1</x:v>
      </x:c>
      <x:c r="AB153" t="n">
        <x:f>AB$8+(AB$9-AB$8)*J153</x:f>
        <x:v>1</x:v>
      </x:c>
      <x:c r="AC153" t="n">
        <x:f>AC$8+(AC$9-AC$8)*MAX(K153,L153)</x:f>
        <x:v>1</x:v>
      </x:c>
      <x:c r="AD153" t="n">
        <x:f>(V153*AE153+W153*AF153+X153*AG153)*PRODUCT(Y153:AC153)</x:f>
        <x:v>1.8005654033708072</x:v>
      </x:c>
      <x:c r="AE153" t="n">
        <x:f>1+AE$9*($H$10*H153+$I$10*I153+$J$10*J153+$K$10*K153+$L$10*L153)</x:f>
        <x:v>1</x:v>
      </x:c>
      <x:c r="AF153" t="n">
        <x:f>1+AF$9*($H$10*H153+$I$10*I153+$J$10*J153+$K$10*K153+$L$10*L153)</x:f>
        <x:v>1.179880630540799</x:v>
      </x:c>
      <x:c r="AG153" t="n">
        <x:f>1+AG$9*($H$10*H153+$I$10*I153+$J$10*J153+$K$10*K153+$L$10*L153)</x:f>
        <x:v>1.3187884507917516</x:v>
      </x:c>
      <x:c r="AH153" t="n">
        <x:f>MIN(1,'_曲线基线'!$L$3+AH$9*($H$10*H153+$I$10*I153+$J$10*J153+$K$10*K153+$L$10*L153))</x:f>
        <x:v>0.459228434480317</x:v>
      </x:c>
      <x:c r="AI153" t="n">
        <x:f>'_曲线基线'!$L$4+AI$9*($H$10*H153+$I$10*I153+$J$10*J153+$K$10*K153+$L$10*L153)</x:f>
        <x:v>3.1399934960523117</x:v>
      </x:c>
      <x:c r="AJ153" t="n">
        <x:f>1+AJ$9*($H$10*H153+$I$10*I153+$J$10*J153+$K$10*K153+$L$10*L153)</x:f>
        <x:v>1.9353792788121533</x:v>
      </x:c>
      <x:c r="AK153" t="n">
        <x:f>(1+AH153*(AI153-1))*AJ153</x:f>
        <x:v>3.8373652583816837</x:v>
      </x:c>
      <x:c r="AL153" t="n">
        <x:f>U153*AD153*AK153*F153</x:f>
        <x:v>1549901.684288108</x:v>
      </x:c>
      <x:c r="AM153" t="n">
        <x:f>IF($B153&lt;AM$8,0,AM$3+(AM$4-AM$3)*(POWER(AM$5,$B153-AM$8)-1)/(POWER(AM$5,$C$5-AM$8)-1))</x:f>
        <x:v>39.11783405615616</x:v>
      </x:c>
      <x:c r="AN153" t="n">
        <x:f>(((E153*'模块规划'!$D$10+G153*'模块规划'!$D$11+H153*'模块规划'!$D$13)*(1+'模块规划'!$G$14*H153)+(I153*'模块规划'!$D$15+J153*'模块规划'!$D$17+K153*'模块规划'!$D$16+L153*'模块规划'!$D$18))*(1+'模块规划'!$J$17*J153))*F153/(1-Q153)</x:f>
        <x:v>2115486.4670619434</x:v>
      </x:c>
      <x:c r="AO153" t="n">
        <x:f>AL153*AM153</x:f>
        <x:v>60628796.88933915</x:v>
      </x:c>
      <x:c r="AP153" t="n">
        <x:f>IF(AO153="","",INDEX('_曲线基线'!$A$3:$A$502,MIN(ROWS('_曲线基线'!$A$3:$A$502),COUNTIF('_曲线基线'!$E$3:$E$502,"&lt;"&amp;AO153)+1)))</x:f>
        <x:v>255</x:v>
      </x:c>
      <x:c r="AQ153" t="n">
        <x:f>IF(B153&lt;=2,1,IF(B153&lt;=6,2,IF(B153&lt;=9,3,IF(B153&lt;=19,4,5))))</x:f>
        <x:v>5</x:v>
      </x:c>
      <x:c r="AR153" t="n">
        <x:f>AN153*(1-Q153)/F153*$AS$3+U153*$AS$4+P153*$AS$5</x:f>
        <x:v>14623.505857169446</x:v>
      </x:c>
      <x:c r="AS153" t="n">
        <x:f>1+AH153*$AS$6+AI153*$AS$7+(AJ153-1)*$AS$8+($H$10*H153+$I$10*I153+$J$10*J153+$K$10*K153+$L$10*L153)*$AU$3*$AS$9+($H$10*H153+$I$10*I153+$J$10*J153+$K$10*K153+$L$10*L153)*$AU$4*$AS$10</x:f>
        <x:v>15.729652064179174</x:v>
      </x:c>
      <x:c r="AT153" t="n">
        <x:f>ROUND(AR153*AS153,0)</x:f>
        <x:v>230023</x:v>
      </x:c>
      <x:c r="AU153" t="n">
        <x:f>ROUND(AT153*F153,0)</x:f>
        <x:v>1150115</x:v>
      </x:c>
    </x:row>
    <x:row r="154">
      <x:c r="A154" t="str">
        <x:f>IFERROR(XLOOKUP(B154,'_曲线基线'!$G$3:$G$107,'_曲线基线'!$J$3:$J$107,""),"")</x:f>
      </x:c>
      <x:c r="B154" t="n">
        <x:v>143</x:v>
      </x:c>
      <x:c r="C154" t="n">
        <x:f>C139+1</x:f>
        <x:v>10</x:v>
      </x:c>
      <x:c r="D154" t="n">
        <x:f>D139</x:f>
        <x:v>14</x:v>
      </x:c>
      <x:c r="E154" t="n">
        <x:f>IF($B154&lt;E$8,0,E$3+(E$4-E$3)*(POWER(E$5,$B154-E$8)-1)/(POWER(E$5,$C$5-E$8)-1))</x:f>
        <x:v>1</x:v>
      </x:c>
      <x:c r="F154" t="n">
        <x:f>1+IF(B154&lt;3,0,MIN(1,(B154-2)/4))+IF(B154&lt;7,0,MIN(1,(B154-6)/3))+IF(B154&lt;10,0,MIN(1,(B154-9)/5))+IF(B154&lt;20,0,MIN(1,(B154-19)/10))</x:f>
        <x:v>5</x:v>
      </x:c>
      <x:c r="G154" t="n">
        <x:f>IF($B154&lt;G$8,0,G$3+(G$4-G$3)*(POWER(G$5,$B154-G$8)-1)/(POWER(G$5,$C$5-G$8)-1))</x:f>
        <x:v>0.8068382154189297</x:v>
      </x:c>
      <x:c r="H154" t="n">
        <x:f>IF($B154&lt;H$8,0,H$3+(H$4-H$3)*(POWER(H$5,$B154-H$8)-1)/(POWER(H$5,$C$5-H$8)-1))</x:f>
        <x:v>0.6514087331068457</x:v>
      </x:c>
      <x:c r="I154" t="n">
        <x:f>IF($B154&lt;I$8,0,I$3+(I$4-I$3)*(POWER(I$5,$B154-I$8)-1)/(POWER(I$5,$C$5-I$8)-1))</x:f>
        <x:v>0.5250636411520822</x:v>
      </x:c>
      <x:c r="J154" t="n">
        <x:f>IF($B154&lt;J$8,0,J$3+(J$4-J$3)*(POWER(J$5,$B154-J$8)-1)/(POWER(J$5,$C$5-J$8)-1))</x:f>
        <x:v>0.5423522127408157</x:v>
      </x:c>
      <x:c r="K154" t="n">
        <x:f>IF($B154&lt;K$8,0,K$3+(K$4-K$3)*(POWER(K$5,$B154-K$8)-1)/(POWER(K$5,$C$5-K$8)-1))</x:f>
        <x:v>0.3877555115152325</x:v>
      </x:c>
      <x:c r="L154" t="n">
        <x:f>IF($B154&lt;L$8,0,L$3+(L$4-L$3)*(POWER(L$5,$B154-L$8)-1)/(POWER(L$5,$C$5-L$8)-1))</x:f>
        <x:v>0.6504122645711723</x:v>
      </x:c>
      <x:c r="M154" t="n">
        <x:f>E154*'模块规划'!$F$10+G154*'模块规划'!$F$11+H154*'模块规划'!$F$13</x:f>
        <x:v>4872.823434010863</x:v>
      </x:c>
      <x:c r="N154" t="n">
        <x:f>I154*'模块规划'!$F$15+J154*'模块规划'!$F$17+K154*'模块规划'!$F$16+L154*'模块规划'!$F$18</x:f>
        <x:v>15202.62564857207</x:v>
      </x:c>
      <x:c r="O154" t="n">
        <x:f>1+O$9*SUMPRODUCT($H$10:$L$10,H154:L154)/SUM($H$10:$L$10)</x:f>
        <x:v>3.0462723909196563</x:v>
      </x:c>
      <x:c r="P154" t="n">
        <x:f>M154*O154+N154</x:f>
        <x:v>30046.573141425673</x:v>
      </x:c>
      <x:c r="Q154" t="n">
        <x:f>P154/(P154+'_曲线基线'!$L$2)</x:f>
        <x:v>0.5559385432782518</x:v>
      </x:c>
      <x:c r="R154" t="n">
        <x:f>E154*'模块规划'!$E$10+G154*'模块规划'!$E$11+H154*'模块规划'!$E$13</x:f>
        <x:v>7309.235151016294</x:v>
      </x:c>
      <x:c r="S154" t="n">
        <x:f>I154*'模块规划'!$E$15+J154*'模块规划'!$E$17+K154*'模块规划'!$E$16+L154*'模块规划'!$E$18</x:f>
        <x:v>22803.938472858106</x:v>
      </x:c>
      <x:c r="T154" t="n">
        <x:f>1+T$9*SUMPRODUCT($H$10:$L$10,H154:L154)/SUM($H$10:$L$10)</x:f>
        <x:v>3.0462723909196563</x:v>
      </x:c>
      <x:c r="U154" t="n">
        <x:f>R154*T154+S154</x:f>
        <x:v>45069.85971213851</x:v>
      </x:c>
      <x:c r="V154" t="n">
        <x:f>V$8+(V$9-V$8)*H154</x:f>
        <x:v>0.8954226199320536</x:v>
      </x:c>
      <x:c r="W154" t="n">
        <x:f>IF(B154&lt;$H$8,0,W$8+(W$9-W$8)*H154)</x:f>
        <x:v>0.26056349324273825</x:v>
      </x:c>
      <x:c r="X154" t="n">
        <x:f>X$8+(X$9-X$8)*H154</x:f>
        <x:v>0.4541374016043826</x:v>
      </x:c>
      <x:c r="Y154" t="n">
        <x:f>Y$8+(Y$9-Y$8)*G154</x:f>
        <x:v>1</x:v>
      </x:c>
      <x:c r="Z154" t="n">
        <x:f>Z$8+(Z$9-Z$8)*H154</x:f>
        <x:v>1</x:v>
      </x:c>
      <x:c r="AA154" t="n">
        <x:f>AA$8+(AA$9-AA$8)*I154</x:f>
        <x:v>1</x:v>
      </x:c>
      <x:c r="AB154" t="n">
        <x:f>AB$8+(AB$9-AB$8)*J154</x:f>
        <x:v>1</x:v>
      </x:c>
      <x:c r="AC154" t="n">
        <x:f>AC$8+(AC$9-AC$8)*MAX(K154,L154)</x:f>
        <x:v>1</x:v>
      </x:c>
      <x:c r="AD154" t="n">
        <x:f>(V154*AE154+W154*AF154+X154*AG154)*PRODUCT(Y154:AC154)</x:f>
        <x:v>1.8025363333129873</x:v>
      </x:c>
      <x:c r="AE154" t="n">
        <x:f>1+AE$9*($H$10*H154+$I$10*I154+$J$10*J154+$K$10*K154+$L$10*L154)</x:f>
        <x:v>1</x:v>
      </x:c>
      <x:c r="AF154" t="n">
        <x:f>1+AF$9*($H$10*H154+$I$10*I154+$J$10*J154+$K$10*K154+$L$10*L154)</x:f>
        <x:v>1.1806021786317755</x:v>
      </x:c>
      <x:c r="AG154" t="n">
        <x:f>1+AG$9*($H$10*H154+$I$10*I154+$J$10*J154+$K$10*K154+$L$10*L154)</x:f>
        <x:v>1.3200671943529825</x:v>
      </x:c>
      <x:c r="AH154" t="n">
        <x:f>MIN(1,'_曲线基线'!$L$3+AH$9*($H$10*H154+$I$10*I154+$J$10*J154+$K$10*K154+$L$10*L154))</x:f>
        <x:v>0.46086995638728884</x:v>
      </x:c>
      <x:c r="AI154" t="n">
        <x:f>'_曲线基线'!$L$4+AI$9*($H$10*H154+$I$10*I154+$J$10*J154+$K$10*K154+$L$10*L154)</x:f>
        <x:v>3.1445663070788763</x:v>
      </x:c>
      <x:c r="AJ154" t="n">
        <x:f>1+AJ$9*($H$10*H154+$I$10*I154+$J$10*J154+$K$10*K154+$L$10*L154)</x:f>
        <x:v>1.9391313288852317</x:v>
      </x:c>
      <x:c r="AK154" t="n">
        <x:f>(1+AH154*(AI154-1))*AJ154</x:f>
        <x:v>3.855703153734889</x:v>
      </x:c>
      <x:c r="AL154" t="n">
        <x:f>U154*AD154*AK154*F154</x:f>
        <x:v>1566187.7713662446</x:v>
      </x:c>
      <x:c r="AM154" t="n">
        <x:f>IF($B154&lt;AM$8,0,AM$3+(AM$4-AM$3)*(POWER(AM$5,$B154-AM$8)-1)/(POWER(AM$5,$C$5-AM$8)-1))</x:f>
        <x:v>39.17243703663959</x:v>
      </x:c>
      <x:c r="AN154" t="n">
        <x:f>(((E154*'模块规划'!$D$10+G154*'模块规划'!$D$11+H154*'模块规划'!$D$13)*(1+'模块规划'!$G$14*H154)+(I154*'模块规划'!$D$15+J154*'模块规划'!$D$17+K154*'模块规划'!$D$16+L154*'模块规划'!$D$18))*(1+'模块规划'!$J$17*J154))*F154/(1-Q154)</x:f>
        <x:v>2131295.2490121224</x:v>
      </x:c>
      <x:c r="AO154" t="n">
        <x:f>AL154*AM154</x:f>
        <x:v>61351391.86139911</x:v>
      </x:c>
      <x:c r="AP154" t="n">
        <x:f>IF(AO154="","",INDEX('_曲线基线'!$A$3:$A$502,MIN(ROWS('_曲线基线'!$A$3:$A$502),COUNTIF('_曲线基线'!$E$3:$E$502,"&lt;"&amp;AO154)+1)))</x:f>
        <x:v>256</x:v>
      </x:c>
      <x:c r="AQ154" t="n">
        <x:f>IF(B154&lt;=2,1,IF(B154&lt;=6,2,IF(B154&lt;=9,3,IF(B154&lt;=19,4,5))))</x:f>
        <x:v>5</x:v>
      </x:c>
      <x:c r="AR154" t="n">
        <x:f>AN154*(1-Q154)/F154*$AS$3+U154*$AS$4+P154*$AS$5</x:f>
        <x:v>14692.528380310487</x:v>
      </x:c>
      <x:c r="AS154" t="n">
        <x:f>1+AH154*$AS$6+AI154*$AS$7+(AJ154-1)*$AS$8+($H$10*H154+$I$10*I154+$J$10*J154+$K$10*K154+$L$10*L154)*$AU$3*$AS$9+($H$10*H154+$I$10*I154+$J$10*J154+$K$10*K154+$L$10*L154)*$AU$4*$AS$10</x:f>
        <x:v>15.772765382474045</x:v>
      </x:c>
      <x:c r="AT154" t="n">
        <x:f>ROUND(AR154*AS154,0)</x:f>
        <x:v>231742</x:v>
      </x:c>
      <x:c r="AU154" t="n">
        <x:f>ROUND(AT154*F154,0)</x:f>
        <x:v>1158710</x:v>
      </x:c>
    </x:row>
    <x:row r="155">
      <x:c r="A155" t="str">
        <x:f>IFERROR(XLOOKUP(B155,'_曲线基线'!$G$3:$G$107,'_曲线基线'!$J$3:$J$107,""),"")</x:f>
      </x:c>
      <x:c r="B155" t="n">
        <x:v>144</x:v>
      </x:c>
      <x:c r="C155" t="n">
        <x:f>C140+1</x:f>
        <x:v>10</x:v>
      </x:c>
      <x:c r="D155" t="n">
        <x:f>D140</x:f>
        <x:v>15</x:v>
      </x:c>
      <x:c r="E155" t="n">
        <x:f>IF($B155&lt;E$8,0,E$3+(E$4-E$3)*(POWER(E$5,$B155-E$8)-1)/(POWER(E$5,$C$5-E$8)-1))</x:f>
        <x:v>1</x:v>
      </x:c>
      <x:c r="F155" t="n">
        <x:f>1+IF(B155&lt;3,0,MIN(1,(B155-2)/4))+IF(B155&lt;7,0,MIN(1,(B155-6)/3))+IF(B155&lt;10,0,MIN(1,(B155-9)/5))+IF(B155&lt;20,0,MIN(1,(B155-19)/10))</x:f>
        <x:v>5</x:v>
      </x:c>
      <x:c r="G155" t="n">
        <x:f>IF($B155&lt;G$8,0,G$3+(G$4-G$3)*(POWER(G$5,$B155-G$8)-1)/(POWER(G$5,$C$5-G$8)-1))</x:f>
        <x:v>0.8084408326421417</x:v>
      </x:c>
      <x:c r="H155" t="n">
        <x:f>IF($B155&lt;H$8,0,H$3+(H$4-H$3)*(POWER(H$5,$B155-H$8)-1)/(POWER(H$5,$C$5-H$8)-1))</x:f>
        <x:v>0.6524471006842202</x:v>
      </x:c>
      <x:c r="I155" t="n">
        <x:f>IF($B155&lt;I$8,0,I$3+(I$4-I$3)*(POWER(I$5,$B155-I$8)-1)/(POWER(I$5,$C$5-I$8)-1))</x:f>
        <x:v>0.5277334596721086</x:v>
      </x:c>
      <x:c r="J155" t="n">
        <x:f>IF($B155&lt;J$8,0,J$3+(J$4-J$3)*(POWER(J$5,$B155-J$8)-1)/(POWER(J$5,$C$5-J$8)-1))</x:f>
        <x:v>0.5435841129777232</x:v>
      </x:c>
      <x:c r="K155" t="n">
        <x:f>IF($B155&lt;K$8,0,K$3+(K$4-K$3)*(POWER(K$5,$B155-K$8)-1)/(POWER(K$5,$C$5-K$8)-1))</x:f>
        <x:v>0.39335952621990145</x:v>
      </x:c>
      <x:c r="L155" t="n">
        <x:f>IF($B155&lt;L$8,0,L$3+(L$4-L$3)*(POWER(L$5,$B155-L$8)-1)/(POWER(L$5,$C$5-L$8)-1))</x:f>
        <x:v>0.6514719261111345</x:v>
      </x:c>
      <x:c r="M155" t="n">
        <x:f>E155*'模块规划'!$F$10+G155*'模块规划'!$F$11+H155*'模块规划'!$F$13</x:f>
        <x:v>4880.51599668228</x:v>
      </x:c>
      <x:c r="N155" t="n">
        <x:f>I155*'模块规划'!$F$15+J155*'模块规划'!$F$17+K155*'模块规划'!$F$16+L155*'模块规划'!$F$18</x:f>
        <x:v>15275.225595029182</x:v>
      </x:c>
      <x:c r="O155" t="n">
        <x:f>1+O$9*SUMPRODUCT($H$10:$L$10,H155:L155)/SUM($H$10:$L$10)</x:f>
        <x:v>3.0542842226123996</x:v>
      </x:c>
      <x:c r="P155" t="n">
        <x:f>M155*O155+N155</x:f>
        <x:v>30181.7086019033</x:v>
      </x:c>
      <x:c r="Q155" t="n">
        <x:f>P155/(P155+'_曲线基线'!$L$2)</x:f>
        <x:v>0.557046084014469</x:v>
      </x:c>
      <x:c r="R155" t="n">
        <x:f>E155*'模块规划'!$E$10+G155*'模块规划'!$E$11+H155*'模块规划'!$E$13</x:f>
        <x:v>7320.773995023421</x:v>
      </x:c>
      <x:c r="S155" t="n">
        <x:f>I155*'模块规划'!$E$15+J155*'模块规划'!$E$17+K155*'模块规划'!$E$16+L155*'模块规划'!$E$18</x:f>
        <x:v>22912.838392543774</x:v>
      </x:c>
      <x:c r="T155" t="n">
        <x:f>1+T$9*SUMPRODUCT($H$10:$L$10,H155:L155)/SUM($H$10:$L$10)</x:f>
        <x:v>3.0542842226123996</x:v>
      </x:c>
      <x:c r="U155" t="n">
        <x:f>R155*T155+S155</x:f>
        <x:v>45272.56290285496</x:v>
      </x:c>
      <x:c r="V155" t="n">
        <x:f>V$8+(V$9-V$8)*H155</x:f>
        <x:v>0.895734130205266</x:v>
      </x:c>
      <x:c r="W155" t="n">
        <x:f>IF(B155&lt;$H$8,0,W$8+(W$9-W$8)*H155)</x:f>
        <x:v>0.26097884027368806</x:v>
      </x:c>
      <x:c r="X155" t="n">
        <x:f>X$8+(X$9-X$8)*H155</x:f>
        <x:v>0.4544229526881606</x:v>
      </x:c>
      <x:c r="Y155" t="n">
        <x:f>Y$8+(Y$9-Y$8)*G155</x:f>
        <x:v>1</x:v>
      </x:c>
      <x:c r="Z155" t="n">
        <x:f>Z$8+(Z$9-Z$8)*H155</x:f>
        <x:v>1</x:v>
      </x:c>
      <x:c r="AA155" t="n">
        <x:f>AA$8+(AA$9-AA$8)*I155</x:f>
        <x:v>1</x:v>
      </x:c>
      <x:c r="AB155" t="n">
        <x:f>AB$8+(AB$9-AB$8)*J155</x:f>
        <x:v>1</x:v>
      </x:c>
      <x:c r="AC155" t="n">
        <x:f>AC$8+(AC$9-AC$8)*MAX(K155,L155)</x:f>
        <x:v>1</x:v>
      </x:c>
      <x:c r="AD155" t="n">
        <x:f>(V155*AE155+W155*AF155+X155*AG155)*PRODUCT(Y155:AC155)</x:f>
        <x:v>1.8044691610384684</x:v>
      </x:c>
      <x:c r="AE155" t="n">
        <x:f>1+AE$9*($H$10*H155+$I$10*I155+$J$10*J155+$K$10*K155+$L$10*L155)</x:f>
        <x:v>1</x:v>
      </x:c>
      <x:c r="AF155" t="n">
        <x:f>1+AF$9*($H$10*H155+$I$10*I155+$J$10*J155+$K$10*K155+$L$10*L155)</x:f>
        <x:v>1.1813092957609326</x:v>
      </x:c>
      <x:c r="AG155" t="n">
        <x:f>1+AG$9*($H$10*H155+$I$10*I155+$J$10*J155+$K$10*K155+$L$10*L155)</x:f>
        <x:v>1.3213203630429886</x:v>
      </x:c>
      <x:c r="AH155" t="n">
        <x:f>MIN(1,'_曲线基线'!$L$3+AH$9*($H$10*H155+$I$10*I155+$J$10*J155+$K$10*K155+$L$10*L155))</x:f>
        <x:v>0.46247864785612114</x:v>
      </x:c>
      <x:c r="AI155" t="n">
        <x:f>'_曲线基线'!$L$4+AI$9*($H$10*H155+$I$10*I155+$J$10*J155+$K$10*K155+$L$10*L155)</x:f>
        <x:v>3.149047661884909</x:v>
      </x:c>
      <x:c r="AJ155" t="n">
        <x:f>1+AJ$9*($H$10*H155+$I$10*I155+$J$10*J155+$K$10*K155+$L$10*L155)</x:f>
        <x:v>1.9428083379568486</x:v>
      </x:c>
      <x:c r="AK155" t="n">
        <x:f>(1+AH155*(AI155-1))*AJ155</x:f>
        <x:v>3.873743507479722</x:v>
      </x:c>
      <x:c r="AL155" t="n">
        <x:f>U155*AD155*AK155*F155</x:f>
        <x:v>1582287.549374949</x:v>
      </x:c>
      <x:c r="AM155" t="n">
        <x:f>IF($B155&lt;AM$8,0,AM$3+(AM$4-AM$3)*(POWER(AM$5,$B155-AM$8)-1)/(POWER(AM$5,$C$5-AM$8)-1))</x:f>
        <x:v>39.227586046927854</x:v>
      </x:c>
      <x:c r="AN155" t="n">
        <x:f>(((E155*'模块规划'!$D$10+G155*'模块规划'!$D$11+H155*'模块规划'!$D$13)*(1+'模块规划'!$G$14*H155)+(I155*'模块规划'!$D$15+J155*'模块规划'!$D$17+K155*'模块规划'!$D$16+L155*'模块规划'!$D$18))*(1+'模块规划'!$J$17*J155))*F155/(1-Q155)</x:f>
        <x:v>2146871.0990170217</x:v>
      </x:c>
      <x:c r="AO155" t="n">
        <x:f>AL155*AM155</x:f>
        <x:v>62069320.99408842</x:v>
      </x:c>
      <x:c r="AP155" t="n">
        <x:f>IF(AO155="","",INDEX('_曲线基线'!$A$3:$A$502,MIN(ROWS('_曲线基线'!$A$3:$A$502),COUNTIF('_曲线基线'!$E$3:$E$502,"&lt;"&amp;AO155)+1)))</x:f>
        <x:v>257</x:v>
      </x:c>
      <x:c r="AQ155" t="n">
        <x:f>IF(B155&lt;=2,1,IF(B155&lt;=6,2,IF(B155&lt;=9,3,IF(B155&lt;=19,4,5))))</x:f>
        <x:v>5</x:v>
      </x:c>
      <x:c r="AR155" t="n">
        <x:f>AN155*(1-Q155)/F155*$AS$3+U155*$AS$4+P155*$AS$5</x:f>
        <x:v>14760.302343125495</x:v>
      </x:c>
      <x:c r="AS155" t="n">
        <x:f>1+AH155*$AS$6+AI155*$AS$7+(AJ155-1)*$AS$8+($H$10*H155+$I$10*I155+$J$10*J155+$K$10*K155+$L$10*L155)*$AU$3*$AS$9+($H$10*H155+$I$10*I155+$J$10*J155+$K$10*K155+$L$10*L155)*$AU$4*$AS$10</x:f>
        <x:v>15.81501643440302</x:v>
      </x:c>
      <x:c r="AT155" t="n">
        <x:f>ROUND(AR155*AS155,0)</x:f>
        <x:v>233434</x:v>
      </x:c>
      <x:c r="AU155" t="n">
        <x:f>ROUND(AT155*F155,0)</x:f>
        <x:v>1167170</x:v>
      </x:c>
    </x:row>
    <x:row r="156">
      <x:c r="A156" t="str">
        <x:f>IFERROR(XLOOKUP(B156,'_曲线基线'!$G$3:$G$107,'_曲线基线'!$J$3:$J$107,""),"")</x:f>
      </x:c>
      <x:c r="B156" t="n">
        <x:v>145</x:v>
      </x:c>
      <x:c r="C156" t="n">
        <x:f>C141+1</x:f>
        <x:v>11</x:v>
      </x:c>
      <x:c r="D156" t="n">
        <x:f>D141</x:f>
        <x:v>1</x:v>
      </x:c>
      <x:c r="E156" t="n">
        <x:f>IF($B156&lt;E$8,0,E$3+(E$4-E$3)*(POWER(E$5,$B156-E$8)-1)/(POWER(E$5,$C$5-E$8)-1))</x:f>
        <x:v>1</x:v>
      </x:c>
      <x:c r="F156" t="n">
        <x:f>1+IF(B156&lt;3,0,MIN(1,(B156-2)/4))+IF(B156&lt;7,0,MIN(1,(B156-6)/3))+IF(B156&lt;10,0,MIN(1,(B156-9)/5))+IF(B156&lt;20,0,MIN(1,(B156-19)/10))</x:f>
        <x:v>5</x:v>
      </x:c>
      <x:c r="G156" t="n">
        <x:f>IF($B156&lt;G$8,0,G$3+(G$4-G$3)*(POWER(G$5,$B156-G$8)-1)/(POWER(G$5,$C$5-G$8)-1))</x:f>
        <x:v>0.8100194106070053</x:v>
      </x:c>
      <x:c r="H156" t="n">
        <x:f>IF($B156&lt;H$8,0,H$3+(H$4-H$3)*(POWER(H$5,$B156-H$8)-1)/(POWER(H$5,$C$5-H$8)-1))</x:f>
        <x:v>0.653464700910047</x:v>
      </x:c>
      <x:c r="I156" t="n">
        <x:f>IF($B156&lt;I$8,0,I$3+(I$4-I$3)*(POWER(I$5,$B156-I$8)-1)/(POWER(I$5,$C$5-I$8)-1))</x:f>
        <x:v>0.5303498818217347</x:v>
      </x:c>
      <x:c r="J156" t="n">
        <x:f>IF($B156&lt;J$8,0,J$3+(J$4-J$3)*(POWER(J$5,$B156-J$8)-1)/(POWER(J$5,$C$5-J$8)-1))</x:f>
        <x:v>0.5447913752098927</x:v>
      </x:c>
      <x:c r="K156" t="n">
        <x:f>IF($B156&lt;K$8,0,K$3+(K$4-K$3)*(POWER(K$5,$B156-K$8)-1)/(POWER(K$5,$C$5-K$8)-1))</x:f>
        <x:v>0.39885146063047694</x:v>
      </x:c>
      <x:c r="L156" t="n">
        <x:f>IF($B156&lt;L$8,0,L$3+(L$4-L$3)*(POWER(L$5,$B156-L$8)-1)/(POWER(L$5,$C$5-L$8)-1))</x:f>
        <x:v>0.6525103944202976</x:v>
      </x:c>
      <x:c r="M156" t="n">
        <x:f>E156*'模块规划'!$F$10+G156*'模块规划'!$F$11+H156*'模块规划'!$F$13</x:f>
        <x:v>4888.093170913626</x:v>
      </x:c>
      <x:c r="N156" t="n">
        <x:f>I156*'模块规划'!$F$15+J156*'模块规划'!$F$17+K156*'模块规划'!$F$16+L156*'模块规划'!$F$18</x:f>
        <x:v>15346.373542557154</x:v>
      </x:c>
      <x:c r="O156" t="n">
        <x:f>1+O$9*SUMPRODUCT($H$10:$L$10,H156:L156)/SUM($H$10:$L$10)</x:f>
        <x:v>3.0621358176712876</x:v>
      </x:c>
      <x:c r="P156" t="n">
        <x:f>M156*O156+N156</x:f>
        <x:v>30314.378721326186</x:v>
      </x:c>
      <x:c r="Q156" t="n">
        <x:f>P156/(P156+'_曲线基线'!$L$2)</x:f>
        <x:v>0.5581280580757788</x:v>
      </x:c>
      <x:c r="R156" t="n">
        <x:f>E156*'模块规划'!$E$10+G156*'模块规划'!$E$11+H156*'模块规划'!$E$13</x:f>
        <x:v>7332.139756370439</x:v>
      </x:c>
      <x:c r="S156" t="n">
        <x:f>I156*'模块规划'!$E$15+J156*'模块规划'!$E$17+K156*'模块规划'!$E$16+L156*'模块规划'!$E$18</x:f>
        <x:v>23019.560313835733</x:v>
      </x:c>
      <x:c r="T156" t="n">
        <x:f>1+T$9*SUMPRODUCT($H$10:$L$10,H156:L156)/SUM($H$10:$L$10)</x:f>
        <x:v>3.0621358176712876</x:v>
      </x:c>
      <x:c r="U156" t="n">
        <x:f>R156*T156+S156</x:f>
        <x:v>45471.56808198928</x:v>
      </x:c>
      <x:c r="V156" t="n">
        <x:f>V$8+(V$9-V$8)*H156</x:f>
        <x:v>0.896039410273014</x:v>
      </x:c>
      <x:c r="W156" t="n">
        <x:f>IF(B156&lt;$H$8,0,W$8+(W$9-W$8)*H156)</x:f>
        <x:v>0.26138588036401883</x:v>
      </x:c>
      <x:c r="X156" t="n">
        <x:f>X$8+(X$9-X$8)*H156</x:f>
        <x:v>0.454702792750263</x:v>
      </x:c>
      <x:c r="Y156" t="n">
        <x:f>Y$8+(Y$9-Y$8)*G156</x:f>
        <x:v>1</x:v>
      </x:c>
      <x:c r="Z156" t="n">
        <x:f>Z$8+(Z$9-Z$8)*H156</x:f>
        <x:v>1</x:v>
      </x:c>
      <x:c r="AA156" t="n">
        <x:f>AA$8+(AA$9-AA$8)*I156</x:f>
        <x:v>1</x:v>
      </x:c>
      <x:c r="AB156" t="n">
        <x:f>AB$8+(AB$9-AB$8)*J156</x:f>
        <x:v>1</x:v>
      </x:c>
      <x:c r="AC156" t="n">
        <x:f>AC$8+(AC$9-AC$8)*MAX(K156,L156)</x:f>
        <x:v>1</x:v>
      </x:c>
      <x:c r="AD156" t="n">
        <x:f>(V156*AE156+W156*AF156+X156*AG156)*PRODUCT(Y156:AC156)</x:f>
        <x:v>1.8063645964628519</x:v>
      </x:c>
      <x:c r="AE156" t="n">
        <x:f>1+AE$9*($H$10*H156+$I$10*I156+$J$10*J156+$K$10*K156+$L$10*L156)</x:f>
        <x:v>1</x:v>
      </x:c>
      <x:c r="AF156" t="n">
        <x:f>1+AF$9*($H$10*H156+$I$10*I156+$J$10*J156+$K$10*K156+$L$10*L156)</x:f>
        <x:v>1.1820022705475064</x:v>
      </x:c>
      <x:c r="AG156" t="n">
        <x:f>1+AG$9*($H$10*H156+$I$10*I156+$J$10*J156+$K$10*K156+$L$10*L156)</x:f>
        <x:v>1.3225484683591946</x:v>
      </x:c>
      <x:c r="AH156" t="n">
        <x:f>MIN(1,'_曲线基线'!$L$3+AH$9*($H$10*H156+$I$10*I156+$J$10*J156+$K$10*K156+$L$10*L156))</x:f>
        <x:v>0.46405516549557685</x:v>
      </x:c>
      <x:c r="AI156" t="n">
        <x:f>'_曲线基线'!$L$4+AI$9*($H$10*H156+$I$10*I156+$J$10*J156+$K$10*K156+$L$10*L156)</x:f>
        <x:v>3.1534393895948214</x:v>
      </x:c>
      <x:c r="AJ156" t="n">
        <x:f>1+AJ$9*($H$10*H156+$I$10*I156+$J$10*J156+$K$10*K156+$L$10*L156)</x:f>
        <x:v>1.946411806847033</x:v>
      </x:c>
      <x:c r="AK156" t="n">
        <x:f>(1+AH156*(AI156-1))*AJ156</x:f>
        <x:v>3.891489683812226</x:v>
      </x:c>
      <x:c r="AL156" t="n">
        <x:f>U156*AD156*AK156*F156</x:f>
        <x:v>1598200.3876415966</x:v>
      </x:c>
      <x:c r="AM156" t="n">
        <x:f>IF($B156&lt;AM$8,0,AM$3+(AM$4-AM$3)*(POWER(AM$5,$B156-AM$8)-1)/(POWER(AM$5,$C$5-AM$8)-1))</x:f>
        <x:v>39.283286547319</x:v>
      </x:c>
      <x:c r="AN156" t="n">
        <x:f>(((E156*'模块规划'!$D$10+G156*'模块规划'!$D$11+H156*'模块规划'!$D$13)*(1+'模块规划'!$G$14*H156)+(I156*'模块规划'!$D$15+J156*'模块规划'!$D$17+K156*'模块规划'!$D$16+L156*'模块规划'!$D$18))*(1+'模块规划'!$J$17*J156))*F156/(1-Q156)</x:f>
        <x:v>2162215.995148757</x:v>
      </x:c>
      <x:c r="AO156" t="n">
        <x:f>AL156*AM156</x:f>
        <x:v>62782563.787761144</x:v>
      </x:c>
      <x:c r="AP156" t="n">
        <x:f>IF(AO156="","",INDEX('_曲线基线'!$A$3:$A$502,MIN(ROWS('_曲线基线'!$A$3:$A$502),COUNTIF('_曲线基线'!$E$3:$E$502,"&lt;"&amp;AO156)+1)))</x:f>
        <x:v>258</x:v>
      </x:c>
      <x:c r="AQ156" t="n">
        <x:f>IF(B156&lt;=2,1,IF(B156&lt;=6,2,IF(B156&lt;=9,3,IF(B156&lt;=19,4,5))))</x:f>
        <x:v>5</x:v>
      </x:c>
      <x:c r="AR156" t="n">
        <x:f>AN156*(1-Q156)/F156*$AS$3+U156*$AS$4+P156*$AS$5</x:f>
        <x:v>14826.849100213818</x:v>
      </x:c>
      <x:c r="AS156" t="n">
        <x:f>1+AH156*$AS$6+AI156*$AS$7+(AJ156-1)*$AS$8+($H$10*H156+$I$10*I156+$J$10*J156+$K$10*K156+$L$10*L156)*$AU$3*$AS$9+($H$10*H156+$I$10*I156+$J$10*J156+$K$10*K156+$L$10*L156)*$AU$4*$AS$10</x:f>
        <x:v>15.856422465293411</x:v>
      </x:c>
      <x:c r="AT156" t="n">
        <x:f>ROUND(AR156*AS156,0)</x:f>
        <x:v>235101</x:v>
      </x:c>
      <x:c r="AU156" t="n">
        <x:f>ROUND(AT156*F156,0)</x:f>
        <x:v>1175505</x:v>
      </x:c>
    </x:row>
    <x:row r="157">
      <x:c r="A157" t="str">
        <x:f>IFERROR(XLOOKUP(B157,'_曲线基线'!$G$3:$G$107,'_曲线基线'!$J$3:$J$107,""),"")</x:f>
      </x:c>
      <x:c r="B157" t="n">
        <x:v>146</x:v>
      </x:c>
      <x:c r="C157" t="n">
        <x:f>C142+1</x:f>
        <x:v>11</x:v>
      </x:c>
      <x:c r="D157" t="n">
        <x:f>D142</x:f>
        <x:v>2</x:v>
      </x:c>
      <x:c r="E157" t="n">
        <x:f>IF($B157&lt;E$8,0,E$3+(E$4-E$3)*(POWER(E$5,$B157-E$8)-1)/(POWER(E$5,$C$5-E$8)-1))</x:f>
        <x:v>1</x:v>
      </x:c>
      <x:c r="F157" t="n">
        <x:f>1+IF(B157&lt;3,0,MIN(1,(B157-2)/4))+IF(B157&lt;7,0,MIN(1,(B157-6)/3))+IF(B157&lt;10,0,MIN(1,(B157-9)/5))+IF(B157&lt;20,0,MIN(1,(B157-19)/10))</x:f>
        <x:v>5</x:v>
      </x:c>
      <x:c r="G157" t="n">
        <x:f>IF($B157&lt;G$8,0,G$3+(G$4-G$3)*(POWER(G$5,$B157-G$8)-1)/(POWER(G$5,$C$5-G$8)-1))</x:f>
        <x:v>0.8115743099023962</x:v>
      </x:c>
      <x:c r="H157" t="n">
        <x:f>IF($B157&lt;H$8,0,H$3+(H$4-H$3)*(POWER(H$5,$B157-H$8)-1)/(POWER(H$5,$C$5-H$8)-1))</x:f>
        <x:v>0.6544619491313576</x:v>
      </x:c>
      <x:c r="I157" t="n">
        <x:f>IF($B157&lt;I$8,0,I$3+(I$4-I$3)*(POWER(I$5,$B157-I$8)-1)/(POWER(I$5,$C$5-I$8)-1))</x:f>
        <x:v>0.5329139755283683</x:v>
      </x:c>
      <x:c r="J157" t="n">
        <x:f>IF($B157&lt;J$8,0,J$3+(J$4-J$3)*(POWER(J$5,$B157-J$8)-1)/(POWER(J$5,$C$5-J$8)-1))</x:f>
        <x:v>0.5459744921974188</x:v>
      </x:c>
      <x:c r="K157" t="n">
        <x:f>IF($B157&lt;K$8,0,K$3+(K$4-K$3)*(POWER(K$5,$B157-K$8)-1)/(POWER(K$5,$C$5-K$8)-1))</x:f>
        <x:v>0.404233556352841</x:v>
      </x:c>
      <x:c r="L157" t="n">
        <x:f>IF($B157&lt;L$8,0,L$3+(L$4-L$3)*(POWER(L$5,$B157-L$8)-1)/(POWER(L$5,$C$5-L$8)-1))</x:f>
        <x:v>0.6535280933632773</x:v>
      </x:c>
      <x:c r="M157" t="n">
        <x:f>E157*'模块规划'!$F$10+G157*'模块规划'!$F$11+H157*'模块规划'!$F$13</x:f>
        <x:v>4895.556687531502</x:v>
      </x:c>
      <x:c r="N157" t="n">
        <x:f>I157*'模块规划'!$F$15+J157*'模块规划'!$F$17+K157*'模块规划'!$F$16+L157*'模块规划'!$F$18</x:f>
        <x:v>15416.098531134567</x:v>
      </x:c>
      <x:c r="O157" t="n">
        <x:f>1+O$9*SUMPRODUCT($H$10:$L$10,H157:L157)/SUM($H$10:$L$10)</x:f>
        <x:v>3.069830380828998</x:v>
      </x:c>
      <x:c r="P157" t="n">
        <x:f>M157*O157+N157</x:f>
        <x:v>30444.627181589345</x:v>
      </x:c>
      <x:c r="Q157" t="n">
        <x:f>P157/(P157+'_曲线基线'!$L$2)</x:f>
        <x:v>0.5591851530188146</x:v>
      </x:c>
      <x:c r="R157" t="n">
        <x:f>E157*'模块规划'!$E$10+G157*'模块规划'!$E$11+H157*'模块规划'!$E$13</x:f>
        <x:v>7343.3350312972525</x:v>
      </x:c>
      <x:c r="S157" t="n">
        <x:f>I157*'模块规划'!$E$15+J157*'模块规划'!$E$17+K157*'模块规划'!$E$16+L157*'模块规划'!$E$18</x:f>
        <x:v>23124.14779670185</x:v>
      </x:c>
      <x:c r="T157" t="n">
        <x:f>1+T$9*SUMPRODUCT($H$10:$L$10,H157:L157)/SUM($H$10:$L$10)</x:f>
        <x:v>3.069830380828998</x:v>
      </x:c>
      <x:c r="U157" t="n">
        <x:f>R157*T157+S157</x:f>
        <x:v>45666.94077238402</x:v>
      </x:c>
      <x:c r="V157" t="n">
        <x:f>V$8+(V$9-V$8)*H157</x:f>
        <x:v>0.8963385847394072</x:v>
      </x:c>
      <x:c r="W157" t="n">
        <x:f>IF(B157&lt;$H$8,0,W$8+(W$9-W$8)*H157)</x:f>
        <x:v>0.26178477965254304</x:v>
      </x:c>
      <x:c r="X157" t="n">
        <x:f>X$8+(X$9-X$8)*H157</x:f>
        <x:v>0.4549770360111234</x:v>
      </x:c>
      <x:c r="Y157" t="n">
        <x:f>Y$8+(Y$9-Y$8)*G157</x:f>
        <x:v>1</x:v>
      </x:c>
      <x:c r="Z157" t="n">
        <x:f>Z$8+(Z$9-Z$8)*H157</x:f>
        <x:v>1</x:v>
      </x:c>
      <x:c r="AA157" t="n">
        <x:f>AA$8+(AA$9-AA$8)*I157</x:f>
        <x:v>1</x:v>
      </x:c>
      <x:c r="AB157" t="n">
        <x:f>AB$8+(AB$9-AB$8)*J157</x:f>
        <x:v>1</x:v>
      </x:c>
      <x:c r="AC157" t="n">
        <x:f>AC$8+(AC$9-AC$8)*MAX(K157,L157)</x:f>
        <x:v>1</x:v>
      </x:c>
      <x:c r="AD157" t="n">
        <x:f>(V157*AE157+W157*AF157+X157*AG157)*PRODUCT(Y157:AC157)</x:f>
        <x:v>1.8082233373677243</x:v>
      </x:c>
      <x:c r="AE157" t="n">
        <x:f>1+AE$9*($H$10*H157+$I$10*I157+$J$10*J157+$K$10*K157+$L$10*L157)</x:f>
        <x:v>1</x:v>
      </x:c>
      <x:c r="AF157" t="n">
        <x:f>1+AF$9*($H$10*H157+$I$10*I157+$J$10*J157+$K$10*K157+$L$10*L157)</x:f>
        <x:v>1.182681385838349</x:v>
      </x:c>
      <x:c r="AG157" t="n">
        <x:f>1+AG$9*($H$10*H157+$I$10*I157+$J$10*J157+$K$10*K157+$L$10*L157)</x:f>
        <x:v>1.3237520115690764</x:v>
      </x:c>
      <x:c r="AH157" t="n">
        <x:f>MIN(1,'_曲线基线'!$L$3+AH$9*($H$10*H157+$I$10*I157+$J$10*J157+$K$10*K157+$L$10*L157))</x:f>
        <x:v>0.4656001527822434</x:v>
      </x:c>
      <x:c r="AI157" t="n">
        <x:f>'_曲线基线'!$L$4+AI$9*($H$10*H157+$I$10*I157+$J$10*J157+$K$10*K157+$L$10*L157)</x:f>
        <x:v>3.1577432827505354</x:v>
      </x:c>
      <x:c r="AJ157" t="n">
        <x:f>1+AJ$9*($H$10*H157+$I$10*I157+$J$10*J157+$K$10*K157+$L$10*L157)</x:f>
        <x:v>1.9499432063594138</x:v>
      </x:c>
      <x:c r="AK157" t="n">
        <x:f>(1+AH157*(AI157-1))*AJ157</x:f>
        <x:v>3.908945072999513</x:v>
      </x:c>
      <x:c r="AL157" t="n">
        <x:f>U157*AD157*AK157*F157</x:f>
        <x:v>1613925.7899855033</x:v>
      </x:c>
      <x:c r="AM157" t="n">
        <x:f>IF($B157&lt;AM$8,0,AM$3+(AM$4-AM$3)*(POWER(AM$5,$B157-AM$8)-1)/(POWER(AM$5,$C$5-AM$8)-1))</x:f>
        <x:v>39.33954405271406</x:v>
      </x:c>
      <x:c r="AN157" t="n">
        <x:f>(((E157*'模块规划'!$D$10+G157*'模块规划'!$D$11+H157*'模块规划'!$D$13)*(1+'模块规划'!$G$14*H157)+(I157*'模块规划'!$D$15+J157*'模块规划'!$D$17+K157*'模块规划'!$D$16+L157*'模块规划'!$D$18))*(1+'模块规划'!$J$17*J157))*F157/(1-Q157)</x:f>
        <x:v>2177331.964105547</x:v>
      </x:c>
      <x:c r="AO157" t="n">
        <x:f>AL157*AM157</x:f>
        <x:v>63491104.71294605</x:v>
      </x:c>
      <x:c r="AP157" t="n">
        <x:f>IF(AO157="","",INDEX('_曲线基线'!$A$3:$A$502,MIN(ROWS('_曲线基线'!$A$3:$A$502),COUNTIF('_曲线基线'!$E$3:$E$502,"&lt;"&amp;AO157)+1)))</x:f>
        <x:v>259</x:v>
      </x:c>
      <x:c r="AQ157" t="n">
        <x:f>IF(B157&lt;=2,1,IF(B157&lt;=6,2,IF(B157&lt;=9,3,IF(B157&lt;=19,4,5))))</x:f>
        <x:v>5</x:v>
      </x:c>
      <x:c r="AR157" t="n">
        <x:f>AN157*(1-Q157)/F157*$AS$3+U157*$AS$4+P157*$AS$5</x:f>
        <x:v>14892.189693983386</x:v>
      </x:c>
      <x:c r="AS157" t="n">
        <x:f>1+AH157*$AS$6+AI157*$AS$7+(AJ157-1)*$AS$8+($H$10*H157+$I$10*I157+$J$10*J157+$K$10*K157+$L$10*L157)*$AU$3*$AS$9+($H$10*H157+$I$10*I157+$J$10*J157+$K$10*K157+$L$10*L157)*$AU$4*$AS$10</x:f>
        <x:v>15.897000375565998</x:v>
      </x:c>
      <x:c r="AT157" t="n">
        <x:f>ROUND(AR157*AS157,0)</x:f>
        <x:v>236741</x:v>
      </x:c>
      <x:c r="AU157" t="n">
        <x:f>ROUND(AT157*F157,0)</x:f>
        <x:v>1183705</x:v>
      </x:c>
    </x:row>
    <x:row r="158">
      <x:c r="A158" t="str">
        <x:f>IFERROR(XLOOKUP(B158,'_曲线基线'!$G$3:$G$107,'_曲线基线'!$J$3:$J$107,""),"")</x:f>
      </x:c>
      <x:c r="B158" t="n">
        <x:v>147</x:v>
      </x:c>
      <x:c r="C158" t="n">
        <x:f>C143+1</x:f>
        <x:v>11</x:v>
      </x:c>
      <x:c r="D158" t="n">
        <x:f>D143</x:f>
        <x:v>3</x:v>
      </x:c>
      <x:c r="E158" t="n">
        <x:f>IF($B158&lt;E$8,0,E$3+(E$4-E$3)*(POWER(E$5,$B158-E$8)-1)/(POWER(E$5,$C$5-E$8)-1))</x:f>
        <x:v>1</x:v>
      </x:c>
      <x:c r="F158" t="n">
        <x:f>1+IF(B158&lt;3,0,MIN(1,(B158-2)/4))+IF(B158&lt;7,0,MIN(1,(B158-6)/3))+IF(B158&lt;10,0,MIN(1,(B158-9)/5))+IF(B158&lt;20,0,MIN(1,(B158-19)/10))</x:f>
        <x:v>5</x:v>
      </x:c>
      <x:c r="G158" t="n">
        <x:f>IF($B158&lt;G$8,0,G$3+(G$4-G$3)*(POWER(G$5,$B158-G$8)-1)/(POWER(G$5,$C$5-G$8)-1))</x:f>
        <x:v>0.8131058857083562</x:v>
      </x:c>
      <x:c r="H158" t="n">
        <x:f>IF($B158&lt;H$8,0,H$3+(H$4-H$3)*(POWER(H$5,$B158-H$8)-1)/(POWER(H$5,$C$5-H$8)-1))</x:f>
        <x:v>0.6554392523882417</x:v>
      </x:c>
      <x:c r="I158" t="n">
        <x:f>IF($B158&lt;I$8,0,I$3+(I$4-I$3)*(POWER(I$5,$B158-I$8)-1)/(POWER(I$5,$C$5-I$8)-1))</x:f>
        <x:v>0.5354267873608691</x:v>
      </x:c>
      <x:c r="J158" t="n">
        <x:f>IF($B158&lt;J$8,0,J$3+(J$4-J$3)*(POWER(J$5,$B158-J$8)-1)/(POWER(J$5,$C$5-J$8)-1))</x:f>
        <x:v>0.5471339468451942</x:v>
      </x:c>
      <x:c r="K158" t="n">
        <x:f>IF($B158&lt;K$8,0,K$3+(K$4-K$3)*(POWER(K$5,$B158-K$8)-1)/(POWER(K$5,$C$5-K$8)-1))</x:f>
        <x:v>0.4095080101607577</x:v>
      </x:c>
      <x:c r="L158" t="n">
        <x:f>IF($B158&lt;L$8,0,L$3+(L$4-L$3)*(POWER(L$5,$B158-L$8)-1)/(POWER(L$5,$C$5-L$8)-1))</x:f>
        <x:v>0.6545254383273975</x:v>
      </x:c>
      <x:c r="M158" t="n">
        <x:f>E158*'模块规划'!$F$10+G158*'模块规划'!$F$11+H158*'模块规划'!$F$13</x:f>
        <x:v>4902.908251400109</x:v>
      </x:c>
      <x:c r="N158" t="n">
        <x:f>I158*'模块规划'!$F$15+J158*'模块规划'!$F$17+K158*'模块规划'!$F$16+L158*'模块规划'!$F$18</x:f>
        <x:v>15484.429019940431</x:v>
      </x:c>
      <x:c r="O158" t="n">
        <x:f>1+O$9*SUMPRODUCT($H$10:$L$10,H158:L158)/SUM($H$10:$L$10)</x:f>
        <x:v>3.077371052723554</x:v>
      </x:c>
      <x:c r="P158" t="n">
        <x:f>M158*O158+N158</x:f>
        <x:v>30572.496946958585</x:v>
      </x:c>
      <x:c r="Q158" t="n">
        <x:f>P158/(P158+'_曲线基线'!$L$2)</x:f>
        <x:v>0.5602180339425067</x:v>
      </x:c>
      <x:c r="R158" t="n">
        <x:f>E158*'模块规划'!$E$10+G158*'模块规划'!$E$11+H158*'模块规划'!$E$13</x:f>
        <x:v>7354.362377100165</x:v>
      </x:c>
      <x:c r="S158" t="n">
        <x:f>I158*'模块规划'!$E$15+J158*'模块规划'!$E$17+K158*'模块规划'!$E$16+L158*'模块规划'!$E$18</x:f>
        <x:v>23226.64352991064</x:v>
      </x:c>
      <x:c r="T158" t="n">
        <x:f>1+T$9*SUMPRODUCT($H$10:$L$10,H158:L158)/SUM($H$10:$L$10)</x:f>
        <x:v>3.077371052723554</x:v>
      </x:c>
      <x:c r="U158" t="n">
        <x:f>R158*T158+S158</x:f>
        <x:v>45858.745420437874</x:v>
      </x:c>
      <x:c r="V158" t="n">
        <x:f>V$8+(V$9-V$8)*H158</x:f>
        <x:v>0.8966317757164726</x:v>
      </x:c>
      <x:c r="W158" t="n">
        <x:f>IF(B158&lt;$H$8,0,W$8+(W$9-W$8)*H158)</x:f>
        <x:v>0.2621757009552967</x:v>
      </x:c>
      <x:c r="X158" t="n">
        <x:f>X$8+(X$9-X$8)*H158</x:f>
        <x:v>0.4552457944067665</x:v>
      </x:c>
      <x:c r="Y158" t="n">
        <x:f>Y$8+(Y$9-Y$8)*G158</x:f>
        <x:v>1</x:v>
      </x:c>
      <x:c r="Z158" t="n">
        <x:f>Z$8+(Z$9-Z$8)*H158</x:f>
        <x:v>1</x:v>
      </x:c>
      <x:c r="AA158" t="n">
        <x:f>AA$8+(AA$9-AA$8)*I158</x:f>
        <x:v>1</x:v>
      </x:c>
      <x:c r="AB158" t="n">
        <x:f>AB$8+(AB$9-AB$8)*J158</x:f>
        <x:v>1</x:v>
      </x:c>
      <x:c r="AC158" t="n">
        <x:f>AC$8+(AC$9-AC$8)*MAX(K158,L158)</x:f>
        <x:v>1</x:v>
      </x:c>
      <x:c r="AD158" t="n">
        <x:f>(V158*AE158+W158*AF158+X158*AG158)*PRODUCT(Y158:AC158)</x:f>
        <x:v>1.8100460695615928</x:v>
      </x:c>
      <x:c r="AE158" t="n">
        <x:f>1+AE$9*($H$10*H158+$I$10*I158+$J$10*J158+$K$10*K158+$L$10*L158)</x:f>
        <x:v>1</x:v>
      </x:c>
      <x:c r="AF158" t="n">
        <x:f>1+AF$9*($H$10*H158+$I$10*I158+$J$10*J158+$K$10*K158+$L$10*L158)</x:f>
        <x:v>1.1833469188233745</x:v>
      </x:c>
      <x:c r="AG158" t="n">
        <x:f>1+AG$9*($H$10*H158+$I$10*I158+$J$10*J158+$K$10*K158+$L$10*L158)</x:f>
        <x:v>1.3249314839147608</x:v>
      </x:c>
      <x:c r="AH158" t="n">
        <x:f>MIN(1,'_曲线基线'!$L$3+AH$9*($H$10*H158+$I$10*I158+$J$10*J158+$K$10*K158+$L$10*L158))</x:f>
        <x:v>0.46711424032317667</x:v>
      </x:c>
      <x:c r="AI158" t="n">
        <x:f>'_曲线基线'!$L$4+AI$9*($H$10*H158+$I$10*I158+$J$10*J158+$K$10*K158+$L$10*L158)</x:f>
        <x:v>3.161961098043135</x:v>
      </x:c>
      <x:c r="AJ158" t="n">
        <x:f>1+AJ$9*($H$10*H158+$I$10*I158+$J$10*J158+$K$10*K158+$L$10*L158)</x:f>
        <x:v>1.9534039778815466</x:v>
      </x:c>
      <x:c r="AK158" t="n">
        <x:f>(1+AH158*(AI158-1))*AJ158</x:f>
        <x:v>3.92611308769522</x:v>
      </x:c>
      <x:c r="AL158" t="n">
        <x:f>U158*AD158*AK158*F158</x:f>
        <x:v>1629463.3895975845</x:v>
      </x:c>
      <x:c r="AM158" t="n">
        <x:f>IF($B158&lt;AM$8,0,AM$3+(AM$4-AM$3)*(POWER(AM$5,$B158-AM$8)-1)/(POWER(AM$5,$C$5-AM$8)-1))</x:f>
        <x:v>39.39636413316307</x:v>
      </x:c>
      <x:c r="AN158" t="n">
        <x:f>(((E158*'模块规划'!$D$10+G158*'模块规划'!$D$11+H158*'模块规划'!$D$13)*(1+'模块规划'!$G$14*H158)+(I158*'模块规划'!$D$15+J158*'模块规划'!$D$17+K158*'模块规划'!$D$16+L158*'模块规划'!$D$18))*(1+'模块规划'!$J$17*J158))*F158/(1-Q158)</x:f>
        <x:v>2192221.077446961</x:v>
      </x:c>
      <x:c r="AO158" t="n">
        <x:f>AL158*AM158</x:f>
        <x:v>64194933.0382446</x:v>
      </x:c>
      <x:c r="AP158" t="n">
        <x:f>IF(AO158="","",INDEX('_曲线基线'!$A$3:$A$502,MIN(ROWS('_曲线基线'!$A$3:$A$502),COUNTIF('_曲线基线'!$E$3:$E$502,"&lt;"&amp;AO158)+1)))</x:f>
        <x:v>259</x:v>
      </x:c>
      <x:c r="AQ158" t="n">
        <x:f>IF(B158&lt;=2,1,IF(B158&lt;=6,2,IF(B158&lt;=9,3,IF(B158&lt;=19,4,5))))</x:f>
        <x:v>5</x:v>
      </x:c>
      <x:c r="AR158" t="n">
        <x:f>AN158*(1-Q158)/F158*$AS$3+U158*$AS$4+P158*$AS$5</x:f>
        <x:v>14956.34485692138</x:v>
      </x:c>
      <x:c r="AS158" t="n">
        <x:f>1+AH158*$AS$6+AI158*$AS$7+(AJ158-1)*$AS$8+($H$10*H158+$I$10*I158+$J$10*J158+$K$10*K158+$L$10*L158)*$AU$3*$AS$9+($H$10*H158+$I$10*I158+$J$10*J158+$K$10*K158+$L$10*L158)*$AU$4*$AS$10</x:f>
        <x:v>15.93676672763313</x:v>
      </x:c>
      <x:c r="AT158" t="n">
        <x:f>ROUND(AR158*AS158,0)</x:f>
        <x:v>238356</x:v>
      </x:c>
      <x:c r="AU158" t="n">
        <x:f>ROUND(AT158*F158,0)</x:f>
        <x:v>1191780</x:v>
      </x:c>
    </x:row>
    <x:row r="159">
      <x:c r="A159" t="str">
        <x:f>IFERROR(XLOOKUP(B159,'_曲线基线'!$G$3:$G$107,'_曲线基线'!$J$3:$J$107,""),"")</x:f>
      </x:c>
      <x:c r="B159" t="n">
        <x:v>148</x:v>
      </x:c>
      <x:c r="C159" t="n">
        <x:f>C144+1</x:f>
        <x:v>11</x:v>
      </x:c>
      <x:c r="D159" t="n">
        <x:f>D144</x:f>
        <x:v>4</x:v>
      </x:c>
      <x:c r="E159" t="n">
        <x:f>IF($B159&lt;E$8,0,E$3+(E$4-E$3)*(POWER(E$5,$B159-E$8)-1)/(POWER(E$5,$C$5-E$8)-1))</x:f>
        <x:v>1</x:v>
      </x:c>
      <x:c r="F159" t="n">
        <x:f>1+IF(B159&lt;3,0,MIN(1,(B159-2)/4))+IF(B159&lt;7,0,MIN(1,(B159-6)/3))+IF(B159&lt;10,0,MIN(1,(B159-9)/5))+IF(B159&lt;20,0,MIN(1,(B159-19)/10))</x:f>
        <x:v>5</x:v>
      </x:c>
      <x:c r="G159" t="n">
        <x:f>IF($B159&lt;G$8,0,G$3+(G$4-G$3)*(POWER(G$5,$B159-G$8)-1)/(POWER(G$5,$C$5-G$8)-1))</x:f>
        <x:v>0.8146144878772266</x:v>
      </x:c>
      <x:c r="H159" t="n">
        <x:f>IF($B159&lt;H$8,0,H$3+(H$4-H$3)*(POWER(H$5,$B159-H$8)-1)/(POWER(H$5,$C$5-H$8)-1))</x:f>
        <x:v>0.6563970095799883</x:v>
      </x:c>
      <x:c r="I159" t="n">
        <x:f>IF($B159&lt;I$8,0,I$3+(I$4-I$3)*(POWER(I$5,$B159-I$8)-1)/(POWER(I$5,$C$5-I$8)-1))</x:f>
        <x:v>0.5378893429567199</x:v>
      </x:c>
      <x:c r="J159" t="n">
        <x:f>IF($B159&lt;J$8,0,J$3+(J$4-J$3)*(POWER(J$5,$B159-J$8)-1)/(POWER(J$5,$C$5-J$8)-1))</x:f>
        <x:v>0.5482702124000142</x:v>
      </x:c>
      <x:c r="K159" t="n">
        <x:f>IF($B159&lt;K$8,0,K$3+(K$4-K$3)*(POWER(K$5,$B159-K$8)-1)/(POWER(K$5,$C$5-K$8)-1))</x:f>
        <x:v>0.4146769748925161</x:v>
      </x:c>
      <x:c r="L159" t="n">
        <x:f>IF($B159&lt;L$8,0,L$3+(L$4-L$3)*(POWER(L$5,$B159-L$8)-1)/(POWER(L$5,$C$5-L$8)-1))</x:f>
        <x:v>0.6555028363922353</x:v>
      </x:c>
      <x:c r="M159" t="n">
        <x:f>E159*'模块规划'!$F$10+G159*'模块规划'!$F$11+H159*'模块规划'!$F$13</x:f>
        <x:v>4910.149541810688</x:v>
      </x:c>
      <x:c r="N159" t="n">
        <x:f>I159*'模块规划'!$F$15+J159*'模块规划'!$F$17+K159*'模块规划'!$F$16+L159*'模块规划'!$F$18</x:f>
        <x:v>15551.392898970173</x:v>
      </x:c>
      <x:c r="O159" t="n">
        <x:f>1+O$9*SUMPRODUCT($H$10:$L$10,H159:L159)/SUM($H$10:$L$10)</x:f>
        <x:v>3.084760911180219</x:v>
      </x:c>
      <x:c r="P159" t="n">
        <x:f>M159*O159+N159</x:f>
        <x:v>30698.030273597244</x:v>
      </x:c>
      <x:c r="Q159" t="n">
        <x:f>P159/(P159+'_曲线基线'!$L$2)</x:f>
        <x:v>0.5612273443860225</x:v>
      </x:c>
      <x:c r="R159" t="n">
        <x:f>E159*'模块规划'!$E$10+G159*'模块规划'!$E$11+H159*'模块规划'!$E$13</x:f>
        <x:v>7365.224312716031</x:v>
      </x:c>
      <x:c r="S159" t="n">
        <x:f>I159*'模块规划'!$E$15+J159*'模块规划'!$E$17+K159*'模块规划'!$E$16+L159*'模块规划'!$E$18</x:f>
        <x:v>23327.08934845526</x:v>
      </x:c>
      <x:c r="T159" t="n">
        <x:f>1+T$9*SUMPRODUCT($H$10:$L$10,H159:L159)/SUM($H$10:$L$10)</x:f>
        <x:v>3.084760911180219</x:v>
      </x:c>
      <x:c r="U159" t="n">
        <x:f>R159*T159+S159</x:f>
        <x:v>46047.04541039587</x:v>
      </x:c>
      <x:c r="V159" t="n">
        <x:f>V$8+(V$9-V$8)*H159</x:f>
        <x:v>0.8969191028739965</x:v>
      </x:c>
      <x:c r="W159" t="n">
        <x:f>IF(B159&lt;$H$8,0,W$8+(W$9-W$8)*H159)</x:f>
        <x:v>0.2625588038319953</x:v>
      </x:c>
      <x:c r="X159" t="n">
        <x:f>X$8+(X$9-X$8)*H159</x:f>
        <x:v>0.45550917763449683</x:v>
      </x:c>
      <x:c r="Y159" t="n">
        <x:f>Y$8+(Y$9-Y$8)*G159</x:f>
        <x:v>1</x:v>
      </x:c>
      <x:c r="Z159" t="n">
        <x:f>Z$8+(Z$9-Z$8)*H159</x:f>
        <x:v>1</x:v>
      </x:c>
      <x:c r="AA159" t="n">
        <x:f>AA$8+(AA$9-AA$8)*I159</x:f>
        <x:v>1</x:v>
      </x:c>
      <x:c r="AB159" t="n">
        <x:f>AB$8+(AB$9-AB$8)*J159</x:f>
        <x:v>1</x:v>
      </x:c>
      <x:c r="AC159" t="n">
        <x:f>AC$8+(AC$9-AC$8)*MAX(K159,L159)</x:f>
        <x:v>1</x:v>
      </x:c>
      <x:c r="AD159" t="n">
        <x:f>(V159*AE159+W159*AF159+X159*AG159)*PRODUCT(Y159:AC159)</x:f>
        <x:v>1.8118334670408358</x:v>
      </x:c>
      <x:c r="AE159" t="n">
        <x:f>1+AE$9*($H$10*H159+$I$10*I159+$J$10*J159+$K$10*K159+$L$10*L159)</x:f>
        <x:v>1</x:v>
      </x:c>
      <x:c r="AF159" t="n">
        <x:f>1+AF$9*($H$10*H159+$I$10*I159+$J$10*J159+$K$10*K159+$L$10*L159)</x:f>
        <x:v>1.1839991411486996</x:v>
      </x:c>
      <x:c r="AG159" t="n">
        <x:f>1+AG$9*($H$10*H159+$I$10*I159+$J$10*J159+$K$10*K159+$L$10*L159)</x:f>
        <x:v>1.3260873668135313</x:v>
      </x:c>
      <x:c r="AH159" t="n">
        <x:f>MIN(1,'_曲线基线'!$L$3+AH$9*($H$10*H159+$I$10*I159+$J$10*J159+$K$10*K159+$L$10*L159))</x:f>
        <x:v>0.4685980461132912</x:v>
      </x:c>
      <x:c r="AI159" t="n">
        <x:f>'_曲线基线'!$L$4+AI$9*($H$10*H159+$I$10*I159+$J$10*J159+$K$10*K159+$L$10*L159)</x:f>
        <x:v>3.166094557029883</x:v>
      </x:c>
      <x:c r="AJ159" t="n">
        <x:f>1+AJ$9*($H$10*H159+$I$10*I159+$J$10*J159+$K$10*K159+$L$10*L159)</x:f>
        <x:v>1.9567955339732372</x:v>
      </x:c>
      <x:c r="AK159" t="n">
        <x:f>(1+AH159*(AI159-1))*AJ159</x:f>
        <x:v>3.942997159422523</x:v>
      </x:c>
      <x:c r="AL159" t="n">
        <x:f>U159*AD159*AK159*F159</x:f>
        <x:v>1644812.9440063094</x:v>
      </x:c>
      <x:c r="AM159" t="n">
        <x:f>IF($B159&lt;AM$8,0,AM$3+(AM$4-AM$3)*(POWER(AM$5,$B159-AM$8)-1)/(POWER(AM$5,$C$5-AM$8)-1))</x:f>
        <x:v>39.45375241441657</x:v>
      </x:c>
      <x:c r="AN159" t="n">
        <x:f>(((E159*'模块规划'!$D$10+G159*'模块规划'!$D$11+H159*'模块规划'!$D$13)*(1+'模块规划'!$G$14*H159)+(I159*'模块规划'!$D$15+J159*'模块规划'!$D$17+K159*'模块规划'!$D$16+L159*'模块规划'!$D$18))*(1+'模块规划'!$J$17*J159))*F159/(1-Q159)</x:f>
        <x:v>2206885.447982753</x:v>
      </x:c>
      <x:c r="AO159" t="n">
        <x:f>AL159*AM159</x:f>
        <x:v>64894042.66085256</x:v>
      </x:c>
      <x:c r="AP159" t="n">
        <x:f>IF(AO159="","",INDEX('_曲线基线'!$A$3:$A$502,MIN(ROWS('_曲线基线'!$A$3:$A$502),COUNTIF('_曲线基线'!$E$3:$E$502,"&lt;"&amp;AO159)+1)))</x:f>
        <x:v>260</x:v>
      </x:c>
      <x:c r="AQ159" t="n">
        <x:f>IF(B159&lt;=2,1,IF(B159&lt;=6,2,IF(B159&lt;=9,3,IF(B159&lt;=19,4,5))))</x:f>
        <x:v>5</x:v>
      </x:c>
      <x:c r="AR159" t="n">
        <x:f>AN159*(1-Q159)/F159*$AS$3+U159*$AS$4+P159*$AS$5</x:f>
        <x:v>15019.335013962584</x:v>
      </x:c>
      <x:c r="AS159" t="n">
        <x:f>1+AH159*$AS$6+AI159*$AS$7+(AJ159-1)*$AS$8+($H$10*H159+$I$10*I159+$J$10*J159+$K$10*K159+$L$10*L159)*$AU$3*$AS$9+($H$10*H159+$I$10*I159+$J$10*J159+$K$10*K159+$L$10*L159)*$AU$4*$AS$10</x:f>
        <x:v>15.975737752658922</x:v>
      </x:c>
      <x:c r="AT159" t="n">
        <x:f>ROUND(AR159*AS159,0)</x:f>
        <x:v>239945</x:v>
      </x:c>
      <x:c r="AU159" t="n">
        <x:f>ROUND(AT159*F159,0)</x:f>
        <x:v>1199725</x:v>
      </x:c>
    </x:row>
    <x:row r="160">
      <x:c r="A160" t="str">
        <x:f>IFERROR(XLOOKUP(B160,'_曲线基线'!$G$3:$G$107,'_曲线基线'!$J$3:$J$107,""),"")</x:f>
      </x:c>
      <x:c r="B160" t="n">
        <x:v>149</x:v>
      </x:c>
      <x:c r="C160" t="n">
        <x:f>C145+1</x:f>
        <x:v>11</x:v>
      </x:c>
      <x:c r="D160" t="n">
        <x:f>D145</x:f>
        <x:v>5</x:v>
      </x:c>
      <x:c r="E160" t="n">
        <x:f>IF($B160&lt;E$8,0,E$3+(E$4-E$3)*(POWER(E$5,$B160-E$8)-1)/(POWER(E$5,$C$5-E$8)-1))</x:f>
        <x:v>1</x:v>
      </x:c>
      <x:c r="F160" t="n">
        <x:f>1+IF(B160&lt;3,0,MIN(1,(B160-2)/4))+IF(B160&lt;7,0,MIN(1,(B160-6)/3))+IF(B160&lt;10,0,MIN(1,(B160-9)/5))+IF(B160&lt;20,0,MIN(1,(B160-19)/10))</x:f>
        <x:v>5</x:v>
      </x:c>
      <x:c r="G160" t="n">
        <x:f>IF($B160&lt;G$8,0,G$3+(G$4-G$3)*(POWER(G$5,$B160-G$8)-1)/(POWER(G$5,$C$5-G$8)-1))</x:f>
        <x:v>0.8161004610135639</x:v>
      </x:c>
      <x:c r="H160" t="n">
        <x:f>IF($B160&lt;H$8,0,H$3+(H$4-H$3)*(POWER(H$5,$B160-H$8)-1)/(POWER(H$5,$C$5-H$8)-1))</x:f>
        <x:v>0.6573356116278998</x:v>
      </x:c>
      <x:c r="I160" t="n">
        <x:f>IF($B160&lt;I$8,0,I$3+(I$4-I$3)*(POWER(I$5,$B160-I$8)-1)/(POWER(I$5,$C$5-I$8)-1))</x:f>
        <x:v>0.5403026474406536</x:v>
      </x:c>
      <x:c r="J160" t="n">
        <x:f>IF($B160&lt;J$8,0,J$3+(J$4-J$3)*(POWER(J$5,$B160-J$8)-1)/(POWER(J$5,$C$5-J$8)-1))</x:f>
        <x:v>0.549383752643738</x:v>
      </x:c>
      <x:c r="K160" t="n">
        <x:f>IF($B160&lt;K$8,0,K$3+(K$4-K$3)*(POWER(K$5,$B160-K$8)-1)/(POWER(K$5,$C$5-K$8)-1))</x:f>
        <x:v>0.4197425603296393</x:v>
      </x:c>
      <x:c r="L160" t="n">
        <x:f>IF($B160&lt;L$8,0,L$3+(L$4-L$3)*(POWER(L$5,$B160-L$8)-1)/(POWER(L$5,$C$5-L$8)-1))</x:f>
        <x:v>0.6564606864957763</x:v>
      </x:c>
      <x:c r="M160" t="n">
        <x:f>E160*'模块规划'!$F$10+G160*'模块规划'!$F$11+H160*'模块规划'!$F$13</x:f>
        <x:v>4917.282212865107</x:v>
      </x:c>
      <x:c r="N160" t="n">
        <x:f>I160*'模块规划'!$F$15+J160*'模块规划'!$F$17+K160*'模块规划'!$F$16+L160*'模块规划'!$F$18</x:f>
        <x:v>15617.017500419326</x:v>
      </x:c>
      <x:c r="O160" t="n">
        <x:f>1+O$9*SUMPRODUCT($H$10:$L$10,H160:L160)/SUM($H$10:$L$10)</x:f>
        <x:v>3.0920029724677516</x:v>
      </x:c>
      <x:c r="P160" t="n">
        <x:f>M160*O160+N160</x:f>
        <x:v>30821.268719061038</x:v>
      </x:c>
      <x:c r="Q160" t="n">
        <x:f>P160/(P160+'_曲线基线'!$L$2)</x:f>
        <x:v>0.5622137071837716</x:v>
      </x:c>
      <x:c r="R160" t="n">
        <x:f>E160*'模块规划'!$E$10+G160*'模块规划'!$E$11+H160*'模块规划'!$E$13</x:f>
        <x:v>7375.92331929766</x:v>
      </x:c>
      <x:c r="S160" t="n">
        <x:f>I160*'模块规划'!$E$15+J160*'模块规划'!$E$17+K160*'模块规划'!$E$16+L160*'模块规划'!$E$18</x:f>
        <x:v>23425.526250628987</x:v>
      </x:c>
      <x:c r="T160" t="n">
        <x:f>1+T$9*SUMPRODUCT($H$10:$L$10,H160:L160)/SUM($H$10:$L$10)</x:f>
        <x:v>3.0920029724677516</x:v>
      </x:c>
      <x:c r="U160" t="n">
        <x:f>R160*T160+S160</x:f>
        <x:v>46231.90307859155</x:v>
      </x:c>
      <x:c r="V160" t="n">
        <x:f>V$8+(V$9-V$8)*H160</x:f>
        <x:v>0.8972006834883699</x:v>
      </x:c>
      <x:c r="W160" t="n">
        <x:f>IF(B160&lt;$H$8,0,W$8+(W$9-W$8)*H160)</x:f>
        <x:v>0.26293424465115994</x:v>
      </x:c>
      <x:c r="X160" t="n">
        <x:f>X$8+(X$9-X$8)*H160</x:f>
        <x:v>0.4557672931976725</x:v>
      </x:c>
      <x:c r="Y160" t="n">
        <x:f>Y$8+(Y$9-Y$8)*G160</x:f>
        <x:v>1</x:v>
      </x:c>
      <x:c r="Z160" t="n">
        <x:f>Z$8+(Z$9-Z$8)*H160</x:f>
        <x:v>1</x:v>
      </x:c>
      <x:c r="AA160" t="n">
        <x:f>AA$8+(AA$9-AA$8)*I160</x:f>
        <x:v>1</x:v>
      </x:c>
      <x:c r="AB160" t="n">
        <x:f>AB$8+(AB$9-AB$8)*J160</x:f>
        <x:v>1</x:v>
      </x:c>
      <x:c r="AC160" t="n">
        <x:f>AC$8+(AC$9-AC$8)*MAX(K160,L160)</x:f>
        <x:v>1</x:v>
      </x:c>
      <x:c r="AD160" t="n">
        <x:f>(V160*AE160+W160*AF160+X160*AG160)*PRODUCT(Y160:AC160)</x:f>
        <x:v>1.8135861921505483</x:v>
      </x:c>
      <x:c r="AE160" t="n">
        <x:f>1+AE$9*($H$10*H160+$I$10*I160+$J$10*J160+$K$10*K160+$L$10*L160)</x:f>
        <x:v>1</x:v>
      </x:c>
      <x:c r="AF160" t="n">
        <x:f>1+AF$9*($H$10*H160+$I$10*I160+$J$10*J160+$K$10*K160+$L$10*L160)</x:f>
        <x:v>1.1846383190275183</x:v>
      </x:c>
      <x:c r="AG160" t="n">
        <x:f>1+AG$9*($H$10*H160+$I$10*I160+$J$10*J160+$K$10*K160+$L$10*L160)</x:f>
        <x:v>1.3272201320543267</x:v>
      </x:c>
      <x:c r="AH160" t="n">
        <x:f>MIN(1,'_曲线基线'!$L$3+AH$9*($H$10*H160+$I$10*I160+$J$10*J160+$K$10*K160+$L$10*L160))</x:f>
        <x:v>0.4700521757876036</x:v>
      </x:c>
      <x:c r="AI160" t="n">
        <x:f>'_曲线基线'!$L$4+AI$9*($H$10*H160+$I$10*I160+$J$10*J160+$K$10*K160+$L$10*L160)</x:f>
        <x:v>3.170145346836896</x:v>
      </x:c>
      <x:c r="AJ160" t="n">
        <x:f>1+AJ$9*($H$10*H160+$I$10*I160+$J$10*J160+$K$10*K160+$L$10*L160)</x:f>
        <x:v>1.9601192589430942</x:v>
      </x:c>
      <x:c r="AK160" t="n">
        <x:f>(1+AH160*(AI160-1))*AJ160</x:f>
        <x:v>3.9596007352194817</x:v>
      </x:c>
      <x:c r="AL160" t="n">
        <x:f>U160*AD160*AK160*F160</x:f>
        <x:v>1659974.330133742</x:v>
      </x:c>
      <x:c r="AM160" t="n">
        <x:f>IF($B160&lt;AM$8,0,AM$3+(AM$4-AM$3)*(POWER(AM$5,$B160-AM$8)-1)/(POWER(AM$5,$C$5-AM$8)-1))</x:f>
        <x:v>39.511714578482604</x:v>
      </x:c>
      <x:c r="AN160" t="n">
        <x:f>(((E160*'模块规划'!$D$10+G160*'模块规划'!$D$11+H160*'模块规划'!$D$13)*(1+'模块规划'!$G$14*H160)+(I160*'模块规划'!$D$15+J160*'模块规划'!$D$17+K160*'模块规划'!$D$16+L160*'模块规划'!$D$18))*(1+'模块规划'!$J$17*J160))*F160/(1-Q160)</x:f>
        <x:v>2221327.226310717</x:v>
      </x:c>
      <x:c r="AO160" t="n">
        <x:f>AL160*AM160</x:f>
        <x:v>65588431.93985227</x:v>
      </x:c>
      <x:c r="AP160" t="n">
        <x:f>IF(AO160="","",INDEX('_曲线基线'!$A$3:$A$502,MIN(ROWS('_曲线基线'!$A$3:$A$502),COUNTIF('_曲线基线'!$E$3:$E$502,"&lt;"&amp;AO160)+1)))</x:f>
        <x:v>261</x:v>
      </x:c>
      <x:c r="AQ160" t="n">
        <x:f>IF(B160&lt;=2,1,IF(B160&lt;=6,2,IF(B160&lt;=9,3,IF(B160&lt;=19,4,5))))</x:f>
        <x:v>5</x:v>
      </x:c>
      <x:c r="AR160" t="n">
        <x:f>AN160*(1-Q160)/F160*$AS$3+U160*$AS$4+P160*$AS$5</x:f>
        <x:v>15081.180284948256</x:v>
      </x:c>
      <x:c r="AS160" t="n">
        <x:f>1+AH160*$AS$6+AI160*$AS$7+(AJ160-1)*$AS$8+($H$10*H160+$I$10*I160+$J$10*J160+$K$10*K160+$L$10*L160)*$AU$3*$AS$9+($H$10*H160+$I$10*I160+$J$10*J160+$K$10*K160+$L$10*L160)*$AU$4*$AS$10</x:f>
        <x:v>16.013929357184203</x:v>
      </x:c>
      <x:c r="AT160" t="n">
        <x:f>ROUND(AR160*AS160,0)</x:f>
        <x:v>241509</x:v>
      </x:c>
      <x:c r="AU160" t="n">
        <x:f>ROUND(AT160*F160,0)</x:f>
        <x:v>1207545</x:v>
      </x:c>
    </x:row>
    <x:row r="161">
      <x:c r="A161" t="str">
        <x:f>IFERROR(XLOOKUP(B161,'_曲线基线'!$G$3:$G$107,'_曲线基线'!$J$3:$J$107,""),"")</x:f>
      </x:c>
      <x:c r="B161" t="n">
        <x:v>150</x:v>
      </x:c>
      <x:c r="C161" t="n">
        <x:f>C146+1</x:f>
        <x:v>11</x:v>
      </x:c>
      <x:c r="D161" t="n">
        <x:f>D146</x:f>
        <x:v>6</x:v>
      </x:c>
      <x:c r="E161" t="n">
        <x:f>IF($B161&lt;E$8,0,E$3+(E$4-E$3)*(POWER(E$5,$B161-E$8)-1)/(POWER(E$5,$C$5-E$8)-1))</x:f>
        <x:v>1</x:v>
      </x:c>
      <x:c r="F161" t="n">
        <x:f>1+IF(B161&lt;3,0,MIN(1,(B161-2)/4))+IF(B161&lt;7,0,MIN(1,(B161-6)/3))+IF(B161&lt;10,0,MIN(1,(B161-9)/5))+IF(B161&lt;20,0,MIN(1,(B161-19)/10))</x:f>
        <x:v>5</x:v>
      </x:c>
      <x:c r="G161" t="n">
        <x:f>IF($B161&lt;G$8,0,G$3+(G$4-G$3)*(POWER(G$5,$B161-G$8)-1)/(POWER(G$5,$C$5-G$8)-1))</x:f>
        <x:v>0.8175641445528564</x:v>
      </x:c>
      <x:c r="H161" t="n">
        <x:f>IF($B161&lt;H$8,0,H$3+(H$4-H$3)*(POWER(H$5,$B161-H$8)-1)/(POWER(H$5,$C$5-H$8)-1))</x:f>
        <x:v>0.6582554416348531</x:v>
      </x:c>
      <x:c r="I161" t="n">
        <x:f>IF($B161&lt;I$8,0,I$3+(I$4-I$3)*(POWER(I$5,$B161-I$8)-1)/(POWER(I$5,$C$5-I$8)-1))</x:f>
        <x:v>0.5426676858349088</x:v>
      </x:c>
      <x:c r="J161" t="n">
        <x:f>IF($B161&lt;J$8,0,J$3+(J$4-J$3)*(POWER(J$5,$B161-J$8)-1)/(POWER(J$5,$C$5-J$8)-1))</x:f>
        <x:v>0.550475022082587</x:v>
      </x:c>
      <x:c r="K161" t="n">
        <x:f>IF($B161&lt;K$8,0,K$3+(K$4-K$3)*(POWER(K$5,$B161-K$8)-1)/(POWER(K$5,$C$5-K$8)-1))</x:f>
        <x:v>0.42470683405802</x:v>
      </x:c>
      <x:c r="L161" t="n">
        <x:f>IF($B161&lt;L$8,0,L$3+(L$4-L$3)*(POWER(L$5,$B161-L$8)-1)/(POWER(L$5,$C$5-L$8)-1))</x:f>
        <x:v>0.6573993795972464</x:v>
      </x:c>
      <x:c r="M161" t="n">
        <x:f>E161*'模块规划'!$F$10+G161*'模块规划'!$F$11+H161*'模块规划'!$F$13</x:f>
        <x:v>4924.307893853711</x:v>
      </x:c>
      <x:c r="N161" t="n">
        <x:f>I161*'模块规划'!$F$15+J161*'模块规划'!$F$17+K161*'模块规划'!$F$16+L161*'模块规划'!$F$18</x:f>
        <x:v>15681.329609839491</x:v>
      </x:c>
      <x:c r="O161" t="n">
        <x:f>1+O$9*SUMPRODUCT($H$10:$L$10,H161:L161)/SUM($H$10:$L$10)</x:f>
        <x:v>3.099100192529532</x:v>
      </x:c>
      <x:c r="P161" t="n">
        <x:f>M161*O161+N161</x:f>
        <x:v>30942.25315175622</x:v>
      </x:c>
      <x:c r="Q161" t="n">
        <x:f>P161/(P161+'_曲线基线'!$L$2)</x:f>
        <x:v>0.5631777252798589</x:v>
      </x:c>
      <x:c r="R161" t="n">
        <x:f>E161*'模块规划'!$E$10+G161*'模块规划'!$E$11+H161*'模块规划'!$E$13</x:f>
        <x:v>7386.4618407805665</x:v>
      </x:c>
      <x:c r="S161" t="n">
        <x:f>I161*'模块规划'!$E$15+J161*'模块规划'!$E$17+K161*'模块规划'!$E$16+L161*'模块规划'!$E$18</x:f>
        <x:v>23521.99441475924</x:v>
      </x:c>
      <x:c r="T161" t="n">
        <x:f>1+T$9*SUMPRODUCT($H$10:$L$10,H161:L161)/SUM($H$10:$L$10)</x:f>
        <x:v>3.099100192529532</x:v>
      </x:c>
      <x:c r="U161" t="n">
        <x:f>R161*T161+S161</x:f>
        <x:v>46413.37972763433</x:v>
      </x:c>
      <x:c r="V161" t="n">
        <x:f>V$8+(V$9-V$8)*H161</x:f>
        <x:v>0.897476632490456</x:v>
      </x:c>
      <x:c r="W161" t="n">
        <x:f>IF(B161&lt;$H$8,0,W$8+(W$9-W$8)*H161)</x:f>
        <x:v>0.26330217665394123</x:v>
      </x:c>
      <x:c r="X161" t="n">
        <x:f>X$8+(X$9-X$8)*H161</x:f>
        <x:v>0.4560202464495846</x:v>
      </x:c>
      <x:c r="Y161" t="n">
        <x:f>Y$8+(Y$9-Y$8)*G161</x:f>
        <x:v>1</x:v>
      </x:c>
      <x:c r="Z161" t="n">
        <x:f>Z$8+(Z$9-Z$8)*H161</x:f>
        <x:v>1</x:v>
      </x:c>
      <x:c r="AA161" t="n">
        <x:f>AA$8+(AA$9-AA$8)*I161</x:f>
        <x:v>1</x:v>
      </x:c>
      <x:c r="AB161" t="n">
        <x:f>AB$8+(AB$9-AB$8)*J161</x:f>
        <x:v>1</x:v>
      </x:c>
      <x:c r="AC161" t="n">
        <x:f>AC$8+(AC$9-AC$8)*MAX(K161,L161)</x:f>
        <x:v>1</x:v>
      </x:c>
      <x:c r="AD161" t="n">
        <x:f>(V161*AE161+W161*AF161+X161*AG161)*PRODUCT(Y161:AC161)</x:f>
        <x:v>1.8153048957451499</x:v>
      </x:c>
      <x:c r="AE161" t="n">
        <x:f>1+AE$9*($H$10*H161+$I$10*I161+$J$10*J161+$K$10*K161+$L$10*L161)</x:f>
        <x:v>1</x:v>
      </x:c>
      <x:c r="AF161" t="n">
        <x:f>1+AF$9*($H$10*H161+$I$10*I161+$J$10*J161+$K$10*K161+$L$10*L161)</x:f>
        <x:v>1.1852647133487604</x:v>
      </x:c>
      <x:c r="AG161" t="n">
        <x:f>1+AG$9*($H$10*H161+$I$10*I161+$J$10*J161+$K$10*K161+$L$10*L161)</x:f>
        <x:v>1.3283302419903058</x:v>
      </x:c>
      <x:c r="AH161" t="n">
        <x:f>MIN(1,'_曲线基线'!$L$3+AH$9*($H$10*H161+$I$10*I161+$J$10*J161+$K$10*K161+$L$10*L161))</x:f>
        <x:v>0.4714772228684296</x:v>
      </x:c>
      <x:c r="AI161" t="n">
        <x:f>'_曲线基线'!$L$4+AI$9*($H$10*H161+$I$10*I161+$J$10*J161+$K$10*K161+$L$10*L161)</x:f>
        <x:v>3.174115120847768</x:v>
      </x:c>
      <x:c r="AJ161" t="n">
        <x:f>1+AJ$9*($H$10*H161+$I$10*I161+$J$10*J161+$K$10*K161+$L$10*L161)</x:f>
        <x:v>1.9633765094135534</x:v>
      </x:c>
      <x:c r="AK161" t="n">
        <x:f>(1+AH161*(AI161-1))*AJ161</x:f>
        <x:v>3.97592727444159</x:v>
      </x:c>
      <x:c r="AL161" t="n">
        <x:f>U161*AD161*AK161*F161</x:f>
        <x:v>1674947.5394450151</x:v>
      </x:c>
      <x:c r="AM161" t="n">
        <x:f>IF($B161&lt;AM$8,0,AM$3+(AM$4-AM$3)*(POWER(AM$5,$B161-AM$8)-1)/(POWER(AM$5,$C$5-AM$8)-1))</x:f>
        <x:v>39.5702563641893</x:v>
      </x:c>
      <x:c r="AN161" t="n">
        <x:f>(((E161*'模块规划'!$D$10+G161*'模块规划'!$D$11+H161*'模块规划'!$D$13)*(1+'模块规划'!$G$14*H161)+(I161*'模块规划'!$D$15+J161*'模块规划'!$D$17+K161*'模块规划'!$D$16+L161*'模块规划'!$D$18))*(1+'模块规划'!$J$17*J161))*F161/(1-Q161)</x:f>
        <x:v>2235548.597499041</x:v>
      </x:c>
      <x:c r="AO161" t="n">
        <x:f>AL161*AM161</x:f>
        <x:v>66278103.53240731</x:v>
      </x:c>
      <x:c r="AP161" t="n">
        <x:f>IF(AO161="","",INDEX('_曲线基线'!$A$3:$A$502,MIN(ROWS('_曲线基线'!$A$3:$A$502),COUNTIF('_曲线基线'!$E$3:$E$502,"&lt;"&amp;AO161)+1)))</x:f>
        <x:v>262</x:v>
      </x:c>
      <x:c r="AQ161" t="n">
        <x:f>IF(B161&lt;=2,1,IF(B161&lt;=6,2,IF(B161&lt;=9,3,IF(B161&lt;=19,4,5))))</x:f>
        <x:v>5</x:v>
      </x:c>
      <x:c r="AR161" t="n">
        <x:f>AN161*(1-Q161)/F161*$AS$3+U161*$AS$4+P161*$AS$5</x:f>
        <x:v>15141.90048716858</x:v>
      </x:c>
      <x:c r="AS161" t="n">
        <x:f>1+AH161*$AS$6+AI161*$AS$7+(AJ161-1)*$AS$8+($H$10*H161+$I$10*I161+$J$10*J161+$K$10*K161+$L$10*L161)*$AU$3*$AS$9+($H$10*H161+$I$10*I161+$J$10*J161+$K$10*K161+$L$10*L161)*$AU$4*$AS$10</x:f>
        <x:v>16.051357129618967</x:v>
      </x:c>
      <x:c r="AT161" t="n">
        <x:f>ROUND(AR161*AS161,0)</x:f>
        <x:v>243048</x:v>
      </x:c>
      <x:c r="AU161" t="n">
        <x:f>ROUND(AT161*F161,0)</x:f>
        <x:v>1215240</x:v>
      </x:c>
    </x:row>
    <x:row r="162">
      <x:c r="A162" t="str">
        <x:f>IFERROR(XLOOKUP(B162,'_曲线基线'!$G$3:$G$107,'_曲线基线'!$J$3:$J$107,""),"")</x:f>
      </x:c>
      <x:c r="B162" t="n">
        <x:v>151</x:v>
      </x:c>
      <x:c r="C162" t="n">
        <x:f>C147+1</x:f>
        <x:v>11</x:v>
      </x:c>
      <x:c r="D162" t="n">
        <x:f>D147</x:f>
        <x:v>7</x:v>
      </x:c>
      <x:c r="E162" t="n">
        <x:f>IF($B162&lt;E$8,0,E$3+(E$4-E$3)*(POWER(E$5,$B162-E$8)-1)/(POWER(E$5,$C$5-E$8)-1))</x:f>
        <x:v>1</x:v>
      </x:c>
      <x:c r="F162" t="n">
        <x:f>1+IF(B162&lt;3,0,MIN(1,(B162-2)/4))+IF(B162&lt;7,0,MIN(1,(B162-6)/3))+IF(B162&lt;10,0,MIN(1,(B162-9)/5))+IF(B162&lt;20,0,MIN(1,(B162-19)/10))</x:f>
        <x:v>5</x:v>
      </x:c>
      <x:c r="G162" t="n">
        <x:f>IF($B162&lt;G$8,0,G$3+(G$4-G$3)*(POWER(G$5,$B162-G$8)-1)/(POWER(G$5,$C$5-G$8)-1))</x:f>
        <x:v>0.8190058728390595</x:v>
      </x:c>
      <x:c r="H162" t="n">
        <x:f>IF($B162&lt;H$8,0,H$3+(H$4-H$3)*(POWER(H$5,$B162-H$8)-1)/(POWER(H$5,$C$5-H$8)-1))</x:f>
        <x:v>0.6591568750416674</x:v>
      </x:c>
      <x:c r="I162" t="n">
        <x:f>IF($B162&lt;I$8,0,I$3+(I$4-I$3)*(POWER(I$5,$B162-I$8)-1)/(POWER(I$5,$C$5-I$8)-1))</x:f>
        <x:v>0.5449854234612788</x:v>
      </x:c>
      <x:c r="J162" t="n">
        <x:f>IF($B162&lt;J$8,0,J$3+(J$4-J$3)*(POWER(J$5,$B162-J$8)-1)/(POWER(J$5,$C$5-J$8)-1))</x:f>
        <x:v>0.5515444661326593</x:v>
      </x:c>
      <x:c r="K162" t="n">
        <x:f>IF($B162&lt;K$8,0,K$3+(K$4-K$3)*(POWER(K$5,$B162-K$8)-1)/(POWER(K$5,$C$5-K$8)-1))</x:f>
        <x:v>0.4295718223118333</x:v>
      </x:c>
      <x:c r="L162" t="n">
        <x:f>IF($B162&lt;L$8,0,L$3+(L$4-L$3)*(POWER(L$5,$B162-L$8)-1)/(POWER(L$5,$C$5-L$8)-1))</x:f>
        <x:v>0.658319298836687</x:v>
      </x:c>
      <x:c r="M162" t="n">
        <x:f>E162*'模块规划'!$F$10+G162*'模块规划'!$F$11+H162*'模块规划'!$F$13</x:f>
        <x:v>4931.228189627485</x:v>
      </x:c>
      <x:c r="N162" t="n">
        <x:f>I162*'模块规划'!$F$15+J162*'模块规划'!$F$17+K162*'模块规划'!$F$16+L162*'模块规划'!$F$18</x:f>
        <x:v>15744.355477071256</x:v>
      </x:c>
      <x:c r="O162" t="n">
        <x:f>1+O$9*SUMPRODUCT($H$10:$L$10,H162:L162)/SUM($H$10:$L$10)</x:f>
        <x:v>3.106055468190078</x:v>
      </x:c>
      <x:c r="P162" t="n">
        <x:f>M162*O162+N162</x:f>
        <x:v>31061.023760356766</x:v>
      </x:c>
      <x:c r="Q162" t="n">
        <x:f>P162/(P162+'_曲线基线'!$L$2)</x:f>
        <x:v>0.5641199825042176</x:v>
      </x:c>
      <x:c r="R162" t="n">
        <x:f>E162*'模块规划'!$E$10+G162*'模块规划'!$E$11+H162*'模块规划'!$E$13</x:f>
        <x:v>7396.842284441228</x:v>
      </x:c>
      <x:c r="S162" t="n">
        <x:f>I162*'模块规划'!$E$15+J162*'模块规划'!$E$17+K162*'模块规划'!$E$16+L162*'模块规划'!$E$18</x:f>
        <x:v>23616.533215606883</x:v>
      </x:c>
      <x:c r="T162" t="n">
        <x:f>1+T$9*SUMPRODUCT($H$10:$L$10,H162:L162)/SUM($H$10:$L$10)</x:f>
        <x:v>3.106055468190078</x:v>
      </x:c>
      <x:c r="U162" t="n">
        <x:f>R162*T162+S162</x:f>
        <x:v>46591.53564053515</x:v>
      </x:c>
      <x:c r="V162" t="n">
        <x:f>V$8+(V$9-V$8)*H162</x:f>
        <x:v>0.8977470625125002</x:v>
      </x:c>
      <x:c r="W162" t="n">
        <x:f>IF(B162&lt;$H$8,0,W$8+(W$9-W$8)*H162)</x:f>
        <x:v>0.263662750016667</x:v>
      </x:c>
      <x:c r="X162" t="n">
        <x:f>X$8+(X$9-X$8)*H162</x:f>
        <x:v>0.4562681406364586</x:v>
      </x:c>
      <x:c r="Y162" t="n">
        <x:f>Y$8+(Y$9-Y$8)*G162</x:f>
        <x:v>1</x:v>
      </x:c>
      <x:c r="Z162" t="n">
        <x:f>Z$8+(Z$9-Z$8)*H162</x:f>
        <x:v>1</x:v>
      </x:c>
      <x:c r="AA162" t="n">
        <x:f>AA$8+(AA$9-AA$8)*I162</x:f>
        <x:v>1</x:v>
      </x:c>
      <x:c r="AB162" t="n">
        <x:f>AB$8+(AB$9-AB$8)*J162</x:f>
        <x:v>1</x:v>
      </x:c>
      <x:c r="AC162" t="n">
        <x:f>AC$8+(AC$9-AC$8)*MAX(K162,L162)</x:f>
        <x:v>1</x:v>
      </x:c>
      <x:c r="AD162" t="n">
        <x:f>(V162*AE162+W162*AF162+X162*AG162)*PRODUCT(Y162:AC162)</x:f>
        <x:v>1.8169902173486552</x:v>
      </x:c>
      <x:c r="AE162" t="n">
        <x:f>1+AE$9*($H$10*H162+$I$10*I162+$J$10*J162+$K$10*K162+$L$10*L162)</x:f>
        <x:v>1</x:v>
      </x:c>
      <x:c r="AF162" t="n">
        <x:f>1+AF$9*($H$10*H162+$I$10*I162+$J$10*J162+$K$10*K162+$L$10*L162)</x:f>
        <x:v>1.1858785797835778</x:v>
      </x:c>
      <x:c r="AG162" t="n">
        <x:f>1+AG$9*($H$10*H162+$I$10*I162+$J$10*J162+$K$10*K162+$L$10*L162)</x:f>
        <x:v>1.3294181497275654</x:v>
      </x:c>
      <x:c r="AH162" t="n">
        <x:f>MIN(1,'_曲线基线'!$L$3+AH$9*($H$10*H162+$I$10*I162+$J$10*J162+$K$10*K162+$L$10*L162))</x:f>
        <x:v>0.4728737690076392</x:v>
      </x:c>
      <x:c r="AI162" t="n">
        <x:f>'_曲线基线'!$L$4+AI$9*($H$10*H162+$I$10*I162+$J$10*J162+$K$10*K162+$L$10*L162)</x:f>
        <x:v>3.1780054993784237</x:v>
      </x:c>
      <x:c r="AJ162" t="n">
        <x:f>1+AJ$9*($H$10*H162+$I$10*I162+$J$10*J162+$K$10*K162+$L$10*L162)</x:f>
        <x:v>1.9665686148746042</x:v>
      </x:c>
      <x:c r="AK162" t="n">
        <x:f>(1+AH162*(AI162-1))*AJ162</x:f>
        <x:v>3.9919802457164346</x:v>
      </x:c>
      <x:c r="AL162" t="n">
        <x:f>U162*AD162*AK162*F162</x:f>
        <x:v>1689732.6731941206</x:v>
      </x:c>
      <x:c r="AM162" t="n">
        <x:f>IF($B162&lt;AM$8,0,AM$3+(AM$4-AM$3)*(POWER(AM$5,$B162-AM$8)-1)/(POWER(AM$5,$C$5-AM$8)-1))</x:f>
        <x:v>39.62938356775306</x:v>
      </x:c>
      <x:c r="AN162" t="n">
        <x:f>(((E162*'模块规划'!$D$10+G162*'模块规划'!$D$11+H162*'模块规划'!$D$13)*(1+'模块规划'!$G$14*H162)+(I162*'模块规划'!$D$15+J162*'模块规划'!$D$17+K162*'模块规划'!$D$16+L162*'模块规划'!$D$18))*(1+'模块规划'!$J$17*J162))*F162/(1-Q162)</x:f>
        <x:v>2249551.777908765</x:v>
      </x:c>
      <x:c r="AO162" t="n">
        <x:f>AL162*AM162</x:f>
        <x:v>66963064.23297454</x:v>
      </x:c>
      <x:c r="AP162" t="n">
        <x:f>IF(AO162="","",INDEX('_曲线基线'!$A$3:$A$502,MIN(ROWS('_曲线基线'!$A$3:$A$502),COUNTIF('_曲线基线'!$E$3:$E$502,"&lt;"&amp;AO162)+1)))</x:f>
        <x:v>263</x:v>
      </x:c>
      <x:c r="AQ162" t="n">
        <x:f>IF(B162&lt;=2,1,IF(B162&lt;=6,2,IF(B162&lt;=9,3,IF(B162&lt;=19,4,5))))</x:f>
        <x:v>5</x:v>
      </x:c>
      <x:c r="AR162" t="n">
        <x:f>AN162*(1-Q162)/F162*$AS$3+U162*$AS$4+P162*$AS$5</x:f>
        <x:v>15201.515137982275</x:v>
      </x:c>
      <x:c r="AS162" t="n">
        <x:f>1+AH162*$AS$6+AI162*$AS$7+(AJ162-1)*$AS$8+($H$10*H162+$I$10*I162+$J$10*J162+$K$10*K162+$L$10*L162)*$AU$3*$AS$9+($H$10*H162+$I$10*I162+$J$10*J162+$K$10*K162+$L$10*L162)*$AU$4*$AS$10</x:f>
        <x:v>16.088036346605048</x:v>
      </x:c>
      <x:c r="AT162" t="n">
        <x:f>ROUND(AR162*AS162,0)</x:f>
        <x:v>244563</x:v>
      </x:c>
      <x:c r="AU162" t="n">
        <x:f>ROUND(AT162*F162,0)</x:f>
        <x:v>1222815</x:v>
      </x:c>
    </x:row>
    <x:row r="163">
      <x:c r="A163" t="str">
        <x:f>IFERROR(XLOOKUP(B163,'_曲线基线'!$G$3:$G$107,'_曲线基线'!$J$3:$J$107,""),"")</x:f>
      </x:c>
      <x:c r="B163" t="n">
        <x:v>152</x:v>
      </x:c>
      <x:c r="C163" t="n">
        <x:f>C148+1</x:f>
        <x:v>11</x:v>
      </x:c>
      <x:c r="D163" t="n">
        <x:f>D148</x:f>
        <x:v>8</x:v>
      </x:c>
      <x:c r="E163" t="n">
        <x:f>IF($B163&lt;E$8,0,E$3+(E$4-E$3)*(POWER(E$5,$B163-E$8)-1)/(POWER(E$5,$C$5-E$8)-1))</x:f>
        <x:v>1</x:v>
      </x:c>
      <x:c r="F163" t="n">
        <x:f>1+IF(B163&lt;3,0,MIN(1,(B163-2)/4))+IF(B163&lt;7,0,MIN(1,(B163-6)/3))+IF(B163&lt;10,0,MIN(1,(B163-9)/5))+IF(B163&lt;20,0,MIN(1,(B163-19)/10))</x:f>
        <x:v>5</x:v>
      </x:c>
      <x:c r="G163" t="n">
        <x:f>IF($B163&lt;G$8,0,G$3+(G$4-G$3)*(POWER(G$5,$B163-G$8)-1)/(POWER(G$5,$C$5-G$8)-1))</x:f>
        <x:v>0.8204259752009694</x:v>
      </x:c>
      <x:c r="H163" t="n">
        <x:f>IF($B163&lt;H$8,0,H$3+(H$4-H$3)*(POWER(H$5,$B163-H$8)-1)/(POWER(H$5,$C$5-H$8)-1))</x:f>
        <x:v>0.6600402797803454</x:v>
      </x:c>
      <x:c r="I163" t="n">
        <x:f>IF($B163&lt;I$8,0,I$3+(I$4-I$3)*(POWER(I$5,$B163-I$8)-1)/(POWER(I$5,$C$5-I$8)-1))</x:f>
        <x:v>0.5472568063351214</x:v>
      </x:c>
      <x:c r="J163" t="n">
        <x:f>IF($B163&lt;J$8,0,J$3+(J$4-J$3)*(POWER(J$5,$B163-J$8)-1)/(POWER(J$5,$C$5-J$8)-1))</x:f>
        <x:v>0.5525925213017299</x:v>
      </x:c>
      <x:c r="K163" t="n">
        <x:f>IF($B163&lt;K$8,0,K$3+(K$4-K$3)*(POWER(K$5,$B163-K$8)-1)/(POWER(K$5,$C$5-K$8)-1))</x:f>
        <x:v>0.43433951080057004</x:v>
      </x:c>
      <x:c r="L163" t="n">
        <x:f>IF($B163&lt;L$8,0,L$3+(L$4-L$3)*(POWER(L$5,$B163-L$8)-1)/(POWER(L$5,$C$5-L$8)-1))</x:f>
        <x:v>0.659220819691339</x:v>
      </x:c>
      <x:c r="M163" t="n">
        <x:f>E163*'模块规划'!$F$10+G163*'模块规划'!$F$11+H163*'模块规划'!$F$13</x:f>
        <x:v>4938.044680964653</x:v>
      </x:c>
      <x:c r="N163" t="n">
        <x:f>I163*'模块规划'!$F$15+J163*'模块规划'!$F$17+K163*'模块规划'!$F$16+L163*'模块规划'!$F$18</x:f>
        <x:v>15806.120826958386</x:v>
      </x:c>
      <x:c r="O163" t="n">
        <x:f>1+O$9*SUMPRODUCT($H$10:$L$10,H163:L163)/SUM($H$10:$L$10)</x:f>
        <x:v>3.112871638337412</x:v>
      </x:c>
      <x:c r="P163" t="n">
        <x:f>M163*O163+N163</x:f>
        <x:v>31177.620063176168</x:v>
      </x:c>
      <x:c r="Q163" t="n">
        <x:f>P163/(P163+'_曲线基线'!$L$2)</x:f>
        <x:v>0.5650410443125137</x:v>
      </x:c>
      <x:c r="R163" t="n">
        <x:f>E163*'模块规划'!$E$10+G163*'模块规划'!$E$11+H163*'模块规划'!$E$13</x:f>
        <x:v>7407.067021446979</x:v>
      </x:c>
      <x:c r="S163" t="n">
        <x:f>I163*'模块规划'!$E$15+J163*'模块规划'!$E$17+K163*'模块规划'!$E$16+L163*'模块规划'!$E$18</x:f>
        <x:v>23709.181240437578</x:v>
      </x:c>
      <x:c r="T163" t="n">
        <x:f>1+T$9*SUMPRODUCT($H$10:$L$10,H163:L163)/SUM($H$10:$L$10)</x:f>
        <x:v>3.112871638337412</x:v>
      </x:c>
      <x:c r="U163" t="n">
        <x:f>R163*T163+S163</x:f>
        <x:v>46766.43009476425</x:v>
      </x:c>
      <x:c r="V163" t="n">
        <x:f>V$8+(V$9-V$8)*H163</x:f>
        <x:v>0.8980120839341036</x:v>
      </x:c>
      <x:c r="W163" t="n">
        <x:f>IF(B163&lt;$H$8,0,W$8+(W$9-W$8)*H163)</x:f>
        <x:v>0.2640161119121382</x:v>
      </x:c>
      <x:c r="X163" t="n">
        <x:f>X$8+(X$9-X$8)*H163</x:f>
        <x:v>0.45651107693959503</x:v>
      </x:c>
      <x:c r="Y163" t="n">
        <x:f>Y$8+(Y$9-Y$8)*G163</x:f>
        <x:v>1</x:v>
      </x:c>
      <x:c r="Z163" t="n">
        <x:f>Z$8+(Z$9-Z$8)*H163</x:f>
        <x:v>1</x:v>
      </x:c>
      <x:c r="AA163" t="n">
        <x:f>AA$8+(AA$9-AA$8)*I163</x:f>
        <x:v>1</x:v>
      </x:c>
      <x:c r="AB163" t="n">
        <x:f>AB$8+(AB$9-AB$8)*J163</x:f>
        <x:v>1</x:v>
      </x:c>
      <x:c r="AC163" t="n">
        <x:f>AC$8+(AC$9-AC$8)*MAX(K163,L163)</x:f>
        <x:v>1</x:v>
      </x:c>
      <x:c r="AD163" t="n">
        <x:f>(V163*AE163+W163*AF163+X163*AG163)*PRODUCT(Y163:AC163)</x:f>
        <x:v>1.818642785314486</x:v>
      </x:c>
      <x:c r="AE163" t="n">
        <x:f>1+AE$9*($H$10*H163+$I$10*I163+$J$10*J163+$K$10*K163+$L$10*L163)</x:f>
        <x:v>1</x:v>
      </x:c>
      <x:c r="AF163" t="n">
        <x:f>1+AF$9*($H$10*H163+$I$10*I163+$J$10*J163+$K$10*K163+$L$10*L163)</x:f>
        <x:v>1.1864801688896989</x:v>
      </x:c>
      <x:c r="AG163" t="n">
        <x:f>1+AG$9*($H$10*H163+$I$10*I163+$J$10*J163+$K$10*K163+$L$10*L163)</x:f>
        <x:v>1.33048429931008</x:v>
      </x:c>
      <x:c r="AH163" t="n">
        <x:f>MIN(1,'_曲线基线'!$L$3+AH$9*($H$10*H163+$I$10*I163+$J$10*J163+$K$10*K163+$L$10*L163))</x:f>
        <x:v>0.47424238422406445</x:v>
      </x:c>
      <x:c r="AI163" t="n">
        <x:f>'_曲线基线'!$L$4+AI$9*($H$10*H163+$I$10*I163+$J$10*J163+$K$10*K163+$L$10*L163)</x:f>
        <x:v>3.1818180703384655</x:v>
      </x:c>
      <x:c r="AJ163" t="n">
        <x:f>1+AJ$9*($H$10*H163+$I$10*I163+$J$10*J163+$K$10*K163+$L$10*L163)</x:f>
        <x:v>1.9696968782264332</x:v>
      </x:c>
      <x:c r="AK163" t="n">
        <x:f>(1+AH163*(AI163-1))*AJ163</x:f>
        <x:v>4.007763124045445</x:v>
      </x:c>
      <x:c r="AL163" t="n">
        <x:f>U163*AD163*AK163*F163</x:f>
        <x:v>1704329.9377684642</x:v>
      </x:c>
      <x:c r="AM163" t="n">
        <x:f>IF($B163&lt;AM$8,0,AM$3+(AM$4-AM$3)*(POWER(AM$5,$B163-AM$8)-1)/(POWER(AM$5,$C$5-AM$8)-1))</x:f>
        <x:v>39.689102043352456</x:v>
      </x:c>
      <x:c r="AN163" t="n">
        <x:f>(((E163*'模块规划'!$D$10+G163*'模块规划'!$D$11+H163*'模块规划'!$D$13)*(1+'模块规划'!$G$14*H163)+(I163*'模块规划'!$D$15+J163*'模块规划'!$D$17+K163*'模块规划'!$D$16+L163*'模块规划'!$D$18))*(1+'模块规划'!$J$17*J163))*F163/(1-Q163)</x:f>
        <x:v>2263339.012151953</x:v>
      </x:c>
      <x:c r="AO163" t="n">
        <x:f>AL163*AM163</x:f>
        <x:v>67643324.81563312</x:v>
      </x:c>
      <x:c r="AP163" t="n">
        <x:f>IF(AO163="","",INDEX('_曲线基线'!$A$3:$A$502,MIN(ROWS('_曲线基线'!$A$3:$A$502),COUNTIF('_曲线基线'!$E$3:$E$502,"&lt;"&amp;AO163)+1)))</x:f>
        <x:v>263</x:v>
      </x:c>
      <x:c r="AQ163" t="n">
        <x:f>IF(B163&lt;=2,1,IF(B163&lt;=6,2,IF(B163&lt;=9,3,IF(B163&lt;=19,4,5))))</x:f>
        <x:v>5</x:v>
      </x:c>
      <x:c r="AR163" t="n">
        <x:f>AN163*(1-Q163)/F163*$AS$3+U163*$AS$4+P163*$AS$5</x:f>
        <x:v>15260.04345750701</x:v>
      </x:c>
      <x:c r="AS163" t="n">
        <x:f>1+AH163*$AS$6+AI163*$AS$7+(AJ163-1)*$AS$8+($H$10*H163+$I$10*I163+$J$10*J163+$K$10*K163+$L$10*L163)*$AU$3*$AS$9+($H$10*H163+$I$10*I163+$J$10*J163+$K$10*K163+$L$10*L163)*$AU$4*$AS$10</x:f>
        <x:v>16.1239819792514</x:v>
      </x:c>
      <x:c r="AT163" t="n">
        <x:f>ROUND(AR163*AS163,0)</x:f>
        <x:v>246053</x:v>
      </x:c>
      <x:c r="AU163" t="n">
        <x:f>ROUND(AT163*F163,0)</x:f>
        <x:v>1230265</x:v>
      </x:c>
    </x:row>
    <x:row r="164">
      <x:c r="A164" t="str">
        <x:f>IFERROR(XLOOKUP(B164,'_曲线基线'!$G$3:$G$107,'_曲线基线'!$J$3:$J$107,""),"")</x:f>
      </x:c>
      <x:c r="B164" t="n">
        <x:v>153</x:v>
      </x:c>
      <x:c r="C164" t="n">
        <x:f>C149+1</x:f>
        <x:v>11</x:v>
      </x:c>
      <x:c r="D164" t="n">
        <x:f>D149</x:f>
        <x:v>9</x:v>
      </x:c>
      <x:c r="E164" t="n">
        <x:f>IF($B164&lt;E$8,0,E$3+(E$4-E$3)*(POWER(E$5,$B164-E$8)-1)/(POWER(E$5,$C$5-E$8)-1))</x:f>
        <x:v>1</x:v>
      </x:c>
      <x:c r="F164" t="n">
        <x:f>1+IF(B164&lt;3,0,MIN(1,(B164-2)/4))+IF(B164&lt;7,0,MIN(1,(B164-6)/3))+IF(B164&lt;10,0,MIN(1,(B164-9)/5))+IF(B164&lt;20,0,MIN(1,(B164-19)/10))</x:f>
        <x:v>5</x:v>
      </x:c>
      <x:c r="G164" t="n">
        <x:f>IF($B164&lt;G$8,0,G$3+(G$4-G$3)*(POWER(G$5,$B164-G$8)-1)/(POWER(G$5,$C$5-G$8)-1))</x:f>
        <x:v>0.8218247760274506</x:v>
      </x:c>
      <x:c r="H164" t="n">
        <x:f>IF($B164&lt;H$8,0,H$3+(H$4-H$3)*(POWER(H$5,$B164-H$8)-1)/(POWER(H$5,$C$5-H$8)-1))</x:f>
        <x:v>0.66090601642425</x:v>
      </x:c>
      <x:c r="I164" t="n">
        <x:f>IF($B164&lt;I$8,0,I$3+(I$4-I$3)*(POWER(I$5,$B164-I$8)-1)/(POWER(I$5,$C$5-I$8)-1))</x:f>
        <x:v>0.5494827615514871</x:v>
      </x:c>
      <x:c r="J164" t="n">
        <x:f>IF($B164&lt;J$8,0,J$3+(J$4-J$3)*(POWER(J$5,$B164-J$8)-1)/(POWER(J$5,$C$5-J$8)-1))</x:f>
        <x:v>0.5536196153674191</x:v>
      </x:c>
      <x:c r="K164" t="n">
        <x:f>IF($B164&lt;K$8,0,K$3+(K$4-K$3)*(POWER(K$5,$B164-K$8)-1)/(POWER(K$5,$C$5-K$8)-1))</x:f>
        <x:v>0.43901184551953226</x:v>
      </x:c>
      <x:c r="L164" t="n">
        <x:f>IF($B164&lt;L$8,0,L$3+(L$4-L$3)*(POWER(L$5,$B164-L$8)-1)/(POWER(L$5,$C$5-L$8)-1))</x:f>
        <x:v>0.660104310128898</x:v>
      </x:c>
      <x:c r="M164" t="n">
        <x:f>E164*'模块规划'!$F$10+G164*'模块规划'!$F$11+H164*'模块规划'!$F$13</x:f>
        <x:v>4944.7589249317625</x:v>
      </x:c>
      <x:c r="N164" t="n">
        <x:f>I164*'模块规划'!$F$15+J164*'模块规划'!$F$17+K164*'模块规划'!$F$16+L164*'模块规划'!$F$18</x:f>
        <x:v>15866.65086984777</x:v>
      </x:c>
      <x:c r="O164" t="n">
        <x:f>1+O$9*SUMPRODUCT($H$10:$L$10,H164:L164)/SUM($H$10:$L$10)</x:f>
        <x:v>3.1195514850818</x:v>
      </x:c>
      <x:c r="P164" t="n">
        <x:f>M164*O164+N164</x:f>
        <x:v>31292.080917490137</x:v>
      </x:c>
      <x:c r="Q164" t="n">
        <x:f>P164/(P164+'_曲线基线'!$L$2)</x:f>
        <x:v>0.5659414584917846</x:v>
      </x:c>
      <x:c r="R164" t="n">
        <x:f>E164*'模块规划'!$E$10+G164*'模块规划'!$E$11+H164*'模块规划'!$E$13</x:f>
        <x:v>7417.138387397645</x:v>
      </x:c>
      <x:c r="S164" t="n">
        <x:f>I164*'模块规划'!$E$15+J164*'模块规划'!$E$17+K164*'模块规划'!$E$16+L164*'模块规划'!$E$18</x:f>
        <x:v>23799.976304771655</x:v>
      </x:c>
      <x:c r="T164" t="n">
        <x:f>1+T$9*SUMPRODUCT($H$10:$L$10,H164:L164)/SUM($H$10:$L$10)</x:f>
        <x:v>3.1195514850818</x:v>
      </x:c>
      <x:c r="U164" t="n">
        <x:f>R164*T164+S164</x:f>
        <x:v>46938.121376235205</x:v>
      </x:c>
      <x:c r="V164" t="n">
        <x:f>V$8+(V$9-V$8)*H164</x:f>
        <x:v>0.898271804927275</x:v>
      </x:c>
      <x:c r="W164" t="n">
        <x:f>IF(B164&lt;$H$8,0,W$8+(W$9-W$8)*H164)</x:f>
        <x:v>0.2643624065697</x:v>
      </x:c>
      <x:c r="X164" t="n">
        <x:f>X$8+(X$9-X$8)*H164</x:f>
        <x:v>0.45674915451666875</x:v>
      </x:c>
      <x:c r="Y164" t="n">
        <x:f>Y$8+(Y$9-Y$8)*G164</x:f>
        <x:v>1</x:v>
      </x:c>
      <x:c r="Z164" t="n">
        <x:f>Z$8+(Z$9-Z$8)*H164</x:f>
        <x:v>1</x:v>
      </x:c>
      <x:c r="AA164" t="n">
        <x:f>AA$8+(AA$9-AA$8)*I164</x:f>
        <x:v>1</x:v>
      </x:c>
      <x:c r="AB164" t="n">
        <x:f>AB$8+(AB$9-AB$8)*J164</x:f>
        <x:v>1</x:v>
      </x:c>
      <x:c r="AC164" t="n">
        <x:f>AC$8+(AC$9-AC$8)*MAX(K164,L164)</x:f>
        <x:v>1</x:v>
      </x:c>
      <x:c r="AD164" t="n">
        <x:f>(V164*AE164+W164*AF164+X164*AG164)*PRODUCT(Y164:AC164)</x:f>
        <x:v>1.8202632169847381</x:v>
      </x:c>
      <x:c r="AE164" t="n">
        <x:f>1+AE$9*($H$10*H164+$I$10*I164+$J$10*J164+$K$10*K164+$L$10*L164)</x:f>
        <x:v>1</x:v>
      </x:c>
      <x:c r="AF164" t="n">
        <x:f>1+AF$9*($H$10*H164+$I$10*I164+$J$10*J164+$K$10*K164+$L$10*L164)</x:f>
        <x:v>1.1870697262136976</x:v>
      </x:c>
      <x:c r="AG164" t="n">
        <x:f>1+AG$9*($H$10*H164+$I$10*I164+$J$10*J164+$K$10*K164+$L$10*L164)</x:f>
        <x:v>1.331529125900944</x:v>
      </x:c>
      <x:c r="AH164" t="n">
        <x:f>MIN(1,'_曲线基线'!$L$3+AH$9*($H$10*H164+$I$10*I164+$J$10*J164+$K$10*K164+$L$10*L164))</x:f>
        <x:v>0.4755836271361613</x:v>
      </x:c>
      <x:c r="AI164" t="n">
        <x:f>'_曲线基线'!$L$4+AI$9*($H$10*H164+$I$10*I164+$J$10*J164+$K$10*K164+$L$10*L164)</x:f>
        <x:v>3.1855543898793064</x:v>
      </x:c>
      <x:c r="AJ164" t="n">
        <x:f>1+AJ$9*($H$10*H164+$I$10*I164+$J$10*J164+$K$10*K164+$L$10*L164)</x:f>
        <x:v>1.972762576311226</x:v>
      </x:c>
      <x:c r="AK164" t="n">
        <x:f>(1+AH164*(AI164-1))*AJ164</x:f>
        <x:v>4.0232793880478965</x:v>
      </x:c>
      <x:c r="AL164" t="n">
        <x:f>U164*AD164*AK164*F164</x:f>
        <x:v>1718739.6401343169</x:v>
      </x:c>
      <x:c r="AM164" t="n">
        <x:f>IF($B164&lt;AM$8,0,AM$3+(AM$4-AM$3)*(POWER(AM$5,$B164-AM$8)-1)/(POWER(AM$5,$C$5-AM$8)-1))</x:f>
        <x:v>39.749417703707856</x:v>
      </x:c>
      <x:c r="AN164" t="n">
        <x:f>(((E164*'模块规划'!$D$10+G164*'模块规划'!$D$11+H164*'模块规划'!$D$13)*(1+'模块规划'!$G$14*H164)+(I164*'模块规划'!$D$15+J164*'模块规划'!$D$17+K164*'模块规划'!$D$16+L164*'模块规划'!$D$18))*(1+'模块规划'!$J$17*J164))*F164/(1-Q164)</x:f>
        <x:v>2276912.5701813246</x:v>
      </x:c>
      <x:c r="AO164" t="n">
        <x:f>AL164*AM164</x:f>
        <x:v>68318899.87961948</x:v>
      </x:c>
      <x:c r="AP164" t="n">
        <x:f>IF(AO164="","",INDEX('_曲线基线'!$A$3:$A$502,MIN(ROWS('_曲线基线'!$A$3:$A$502),COUNTIF('_曲线基线'!$E$3:$E$502,"&lt;"&amp;AO164)+1)))</x:f>
        <x:v>264</x:v>
      </x:c>
      <x:c r="AQ164" t="n">
        <x:f>IF(B164&lt;=2,1,IF(B164&lt;=6,2,IF(B164&lt;=9,3,IF(B164&lt;=19,4,5))))</x:f>
        <x:v>5</x:v>
      </x:c>
      <x:c r="AR164" t="n">
        <x:f>AN164*(1-Q164)/F164*$AS$3+U164*$AS$4+P164*$AS$5</x:f>
        <x:v>15317.50437137481</x:v>
      </x:c>
      <x:c r="AS164" t="n">
        <x:f>1+AH164*$AS$6+AI164*$AS$7+(AJ164-1)*$AS$8+($H$10*H164+$I$10*I164+$J$10*J164+$K$10*K164+$L$10*L164)*$AU$3*$AS$9+($H$10*H164+$I$10*I164+$J$10*J164+$K$10*K164+$L$10*L164)*$AU$4*$AS$10</x:f>
        <x:v>16.159208699244825</x:v>
      </x:c>
      <x:c r="AT164" t="n">
        <x:f>ROUND(AR164*AS164,0)</x:f>
        <x:v>247519</x:v>
      </x:c>
      <x:c r="AU164" t="n">
        <x:f>ROUND(AT164*F164,0)</x:f>
        <x:v>1237595</x:v>
      </x:c>
    </x:row>
    <x:row r="165">
      <x:c r="A165" t="str">
        <x:f>IFERROR(XLOOKUP(B165,'_曲线基线'!$G$3:$G$107,'_曲线基线'!$J$3:$J$107,""),"")</x:f>
      </x:c>
      <x:c r="B165" t="n">
        <x:v>154</x:v>
      </x:c>
      <x:c r="C165" t="n">
        <x:f>C150+1</x:f>
        <x:v>11</x:v>
      </x:c>
      <x:c r="D165" t="n">
        <x:f>D150</x:f>
        <x:v>10</x:v>
      </x:c>
      <x:c r="E165" t="n">
        <x:f>IF($B165&lt;E$8,0,E$3+(E$4-E$3)*(POWER(E$5,$B165-E$8)-1)/(POWER(E$5,$C$5-E$8)-1))</x:f>
        <x:v>1</x:v>
      </x:c>
      <x:c r="F165" t="n">
        <x:f>1+IF(B165&lt;3,0,MIN(1,(B165-2)/4))+IF(B165&lt;7,0,MIN(1,(B165-6)/3))+IF(B165&lt;10,0,MIN(1,(B165-9)/5))+IF(B165&lt;20,0,MIN(1,(B165-19)/10))</x:f>
        <x:v>5</x:v>
      </x:c>
      <x:c r="G165" t="n">
        <x:f>IF($B165&lt;G$8,0,G$3+(G$4-G$3)*(POWER(G$5,$B165-G$8)-1)/(POWER(G$5,$C$5-G$8)-1))</x:f>
        <x:v>0.8232025948415348</x:v>
      </x:c>
      <x:c r="H165" t="n">
        <x:f>IF($B165&lt;H$8,0,H$3+(H$4-H$3)*(POWER(H$5,$B165-H$8)-1)/(POWER(H$5,$C$5-H$8)-1))</x:f>
        <x:v>0.6617544383352763</x:v>
      </x:c>
      <x:c r="I165" t="n">
        <x:f>IF($B165&lt;I$8,0,I$3+(I$4-I$3)*(POWER(I$5,$B165-I$8)-1)/(POWER(I$5,$C$5-I$8)-1))</x:f>
        <x:v>0.5516641976635256</x:v>
      </x:c>
      <x:c r="J165" t="n">
        <x:f>IF($B165&lt;J$8,0,J$3+(J$4-J$3)*(POWER(J$5,$B165-J$8)-1)/(POWER(J$5,$C$5-J$8)-1))</x:f>
        <x:v>0.5546261675517947</x:v>
      </x:c>
      <x:c r="K165" t="n">
        <x:f>IF($B165&lt;K$8,0,K$3+(K$4-K$3)*(POWER(K$5,$B165-K$8)-1)/(POWER(K$5,$C$5-K$8)-1))</x:f>
        <x:v>0.44359073354411516</x:v>
      </x:c>
      <x:c r="L165" t="n">
        <x:f>IF($B165&lt;L$8,0,L$3+(L$4-L$3)*(POWER(L$5,$B165-L$8)-1)/(POWER(L$5,$C$5-L$8)-1))</x:f>
        <x:v>0.6609701307577057</x:v>
      </x:c>
      <x:c r="M165" t="n">
        <x:f>E165*'模块规划'!$F$10+G165*'模块规划'!$F$11+H165*'模块规划'!$F$13</x:f>
        <x:v>4951.372455239367</x:v>
      </x:c>
      <x:c r="N165" t="n">
        <x:f>I165*'模块规划'!$F$15+J165*'模块规划'!$F$17+K165*'模块规划'!$F$16+L165*'模块规划'!$F$18</x:f>
        <x:v>15925.970311879373</x:v>
      </x:c>
      <x:c r="O165" t="n">
        <x:f>1+O$9*SUMPRODUCT($H$10:$L$10,H165:L165)/SUM($H$10:$L$10)</x:f>
        <x:v>3.1260977348913004</x:v>
      </x:c>
      <x:c r="P165" t="n">
        <x:f>M165*O165+N165</x:f>
        <x:v>31404.444528806336</x:v>
      </x:c>
      <x:c r="Q165" t="n">
        <x:f>P165/(P165+'_曲线基线'!$L$2)</x:f>
        <x:v>0.5668217558336548</x:v>
      </x:c>
      <x:c r="R165" t="n">
        <x:f>E165*'模块规划'!$E$10+G165*'模块规划'!$E$11+H165*'模块规划'!$E$13</x:f>
        <x:v>7427.05868285905</x:v>
      </x:c>
      <x:c r="S165" t="n">
        <x:f>I165*'模块规划'!$E$15+J165*'模块规划'!$E$17+K165*'模块规划'!$E$16+L165*'模块规划'!$E$18</x:f>
        <x:v>23888.955467819054</x:v>
      </x:c>
      <x:c r="T165" t="n">
        <x:f>1+T$9*SUMPRODUCT($H$10:$L$10,H165:L165)/SUM($H$10:$L$10)</x:f>
        <x:v>3.1260977348913004</x:v>
      </x:c>
      <x:c r="U165" t="n">
        <x:f>R165*T165+S165</x:f>
        <x:v>47106.6667932095</x:v>
      </x:c>
      <x:c r="V165" t="n">
        <x:f>V$8+(V$9-V$8)*H165</x:f>
        <x:v>0.8985263315005829</x:v>
      </x:c>
      <x:c r="W165" t="n">
        <x:f>IF(B165&lt;$H$8,0,W$8+(W$9-W$8)*H165)</x:f>
        <x:v>0.2647017753341105</x:v>
      </x:c>
      <x:c r="X165" t="n">
        <x:f>X$8+(X$9-X$8)*H165</x:f>
        <x:v>0.456982470542201</x:v>
      </x:c>
      <x:c r="Y165" t="n">
        <x:f>Y$8+(Y$9-Y$8)*G165</x:f>
        <x:v>1</x:v>
      </x:c>
      <x:c r="Z165" t="n">
        <x:f>Z$8+(Z$9-Z$8)*H165</x:f>
        <x:v>1</x:v>
      </x:c>
      <x:c r="AA165" t="n">
        <x:f>AA$8+(AA$9-AA$8)*I165</x:f>
        <x:v>1</x:v>
      </x:c>
      <x:c r="AB165" t="n">
        <x:f>AB$8+(AB$9-AB$8)*J165</x:f>
        <x:v>1</x:v>
      </x:c>
      <x:c r="AC165" t="n">
        <x:f>AC$8+(AC$9-AC$8)*MAX(K165,L165)</x:f>
        <x:v>1</x:v>
      </x:c>
      <x:c r="AD165" t="n">
        <x:f>(V165*AE165+W165*AF165+X165*AG165)*PRODUCT(Y165:AC165)</x:f>
        <x:v>1.8218521188487988</x:v>
      </x:c>
      <x:c r="AE165" t="n">
        <x:f>1+AE$9*($H$10*H165+$I$10*I165+$J$10*J165+$K$10*K165+$L$10*L165)</x:f>
        <x:v>1</x:v>
      </x:c>
      <x:c r="AF165" t="n">
        <x:f>1+AF$9*($H$10*H165+$I$10*I165+$J$10*J165+$K$10*K165+$L$10*L165)</x:f>
        <x:v>1.1876474923912161</x:v>
      </x:c>
      <x:c r="AG165" t="n">
        <x:f>1+AG$9*($H$10*H165+$I$10*I165+$J$10*J165+$K$10*K165+$L$10*L165)</x:f>
        <x:v>1.3325530559599912</x:v>
      </x:c>
      <x:c r="AH165" t="n">
        <x:f>MIN(1,'_曲线基线'!$L$3+AH$9*($H$10*H165+$I$10*I165+$J$10*J165+$K$10*K165+$L$10*L165))</x:f>
        <x:v>0.4768980451900163</x:v>
      </x:c>
      <x:c r="AI165" t="n">
        <x:f>'_曲线基线'!$L$4+AI$9*($H$10*H165+$I$10*I165+$J$10*J165+$K$10*K165+$L$10*L165)</x:f>
        <x:v>3.189215983029331</x:v>
      </x:c>
      <x:c r="AJ165" t="n">
        <x:f>1+AJ$9*($H$10*H165+$I$10*I165+$J$10*J165+$K$10*K165+$L$10*L165)</x:f>
        <x:v>1.9757669604343229</x:v>
      </x:c>
      <x:c r="AK165" t="n">
        <x:f>(1+AH165*(AI165-1))*AJ165</x:f>
        <x:v>4.0385325173422695</x:v>
      </x:c>
      <x:c r="AL165" t="n">
        <x:f>U165*AD165*AK165*F165</x:f>
        <x:v>1732962.1833848187</x:v>
      </x:c>
      <x:c r="AM165" t="n">
        <x:f>IF($B165&lt;AM$8,0,AM$3+(AM$4-AM$3)*(POWER(AM$5,$B165-AM$8)-1)/(POWER(AM$5,$C$5-AM$8)-1))</x:f>
        <x:v>39.8103365206668</x:v>
      </x:c>
      <x:c r="AN165" t="n">
        <x:f>(((E165*'模块规划'!$D$10+G165*'模块规划'!$D$11+H165*'模块规划'!$D$13)*(1+'模块规划'!$G$14*H165)+(I165*'模块规划'!$D$15+J165*'模块规划'!$D$17+K165*'模块规划'!$D$16+L165*'模块规划'!$D$18))*(1+'模块规划'!$J$17*J165))*F165/(1-Q165)</x:f>
        <x:v>2290274.744507156</x:v>
      </x:c>
      <x:c r="AO165" t="n">
        <x:f>AL165*AM165</x:f>
        <x:v>68989807.69813913</x:v>
      </x:c>
      <x:c r="AP165" t="n">
        <x:f>IF(AO165="","",INDEX('_曲线基线'!$A$3:$A$502,MIN(ROWS('_曲线基线'!$A$3:$A$502),COUNTIF('_曲线基线'!$E$3:$E$502,"&lt;"&amp;AO165)+1)))</x:f>
        <x:v>265</x:v>
      </x:c>
      <x:c r="AQ165" t="n">
        <x:f>IF(B165&lt;=2,1,IF(B165&lt;=6,2,IF(B165&lt;=9,3,IF(B165&lt;=19,4,5))))</x:f>
        <x:v>5</x:v>
      </x:c>
      <x:c r="AR165" t="n">
        <x:f>AN165*(1-Q165)/F165*$AS$3+U165*$AS$4+P165*$AS$5</x:f>
        <x:v>15373.916513546708</x:v>
      </x:c>
      <x:c r="AS165" t="n">
        <x:f>1+AH165*$AS$6+AI165*$AS$7+(AJ165-1)*$AS$8+($H$10*H165+$I$10*I165+$J$10*J165+$K$10*K165+$L$10*L165)*$AU$3*$AS$9+($H$10*H165+$I$10*I165+$J$10*J165+$K$10*K165+$L$10*L165)*$AU$4*$AS$10</x:f>
        <x:v>16.193730884838384</x:v>
      </x:c>
      <x:c r="AT165" t="n">
        <x:f>ROUND(AR165*AS165,0)</x:f>
        <x:v>248961</x:v>
      </x:c>
      <x:c r="AU165" t="n">
        <x:f>ROUND(AT165*F165,0)</x:f>
        <x:v>1244805</x:v>
      </x:c>
    </x:row>
    <x:row r="166">
      <x:c r="A166" t="str">
        <x:f>IFERROR(XLOOKUP(B166,'_曲线基线'!$G$3:$G$107,'_曲线基线'!$J$3:$J$107,""),"")</x:f>
      </x:c>
      <x:c r="B166" t="n">
        <x:v>155</x:v>
      </x:c>
      <x:c r="C166" t="n">
        <x:f>C151+1</x:f>
        <x:v>11</x:v>
      </x:c>
      <x:c r="D166" t="n">
        <x:f>D151</x:f>
        <x:v>11</x:v>
      </x:c>
      <x:c r="E166" t="n">
        <x:f>IF($B166&lt;E$8,0,E$3+(E$4-E$3)*(POWER(E$5,$B166-E$8)-1)/(POWER(E$5,$C$5-E$8)-1))</x:f>
        <x:v>1</x:v>
      </x:c>
      <x:c r="F166" t="n">
        <x:f>1+IF(B166&lt;3,0,MIN(1,(B166-2)/4))+IF(B166&lt;7,0,MIN(1,(B166-6)/3))+IF(B166&lt;10,0,MIN(1,(B166-9)/5))+IF(B166&lt;20,0,MIN(1,(B166-19)/10))</x:f>
        <x:v>5</x:v>
      </x:c>
      <x:c r="G166" t="n">
        <x:f>IF($B166&lt;G$8,0,G$3+(G$4-G$3)*(POWER(G$5,$B166-G$8)-1)/(POWER(G$5,$C$5-G$8)-1))</x:f>
        <x:v>0.8245597463734076</x:v>
      </x:c>
      <x:c r="H166" t="n">
        <x:f>IF($B166&lt;H$8,0,H$3+(H$4-H$3)*(POWER(H$5,$B166-H$8)-1)/(POWER(H$5,$C$5-H$8)-1))</x:f>
        <x:v>0.662585891808082</x:v>
      </x:c>
      <x:c r="I166" t="n">
        <x:f>IF($B166&lt;I$8,0,I$3+(I$4-I$3)*(POWER(I$5,$B166-I$8)-1)/(POWER(I$5,$C$5-I$8)-1))</x:f>
        <x:v>0.5538020050533233</x:v>
      </x:c>
      <x:c r="J166" t="n">
        <x:f>IF($B166&lt;J$8,0,J$3+(J$4-J$3)*(POWER(J$5,$B166-J$8)-1)/(POWER(J$5,$C$5-J$8)-1))</x:f>
        <x:v>0.5556125886924826</x:v>
      </x:c>
      <x:c r="K166" t="n">
        <x:f>IF($B166&lt;K$8,0,K$3+(K$4-K$3)*(POWER(K$5,$B166-K$8)-1)/(POWER(K$5,$C$5-K$8)-1))</x:f>
        <x:v>0.44807804380820637</x:v>
      </x:c>
      <x:c r="L166" t="n">
        <x:f>IF($B166&lt;L$8,0,L$3+(L$4-L$3)*(POWER(L$5,$B166-L$8)-1)/(POWER(L$5,$C$5-L$8)-1))</x:f>
        <x:v>0.6618186349739373</x:v>
      </x:c>
      <x:c r="M166" t="n">
        <x:f>E166*'模块规划'!$F$10+G166*'模块规划'!$F$11+H166*'模块规划'!$F$13</x:f>
        <x:v>4957.886782592356</x:v>
      </x:c>
      <x:c r="N166" t="n">
        <x:f>I166*'模块规划'!$F$15+J166*'模块规划'!$F$17+K166*'模块规划'!$F$16+L166*'模块规划'!$F$18</x:f>
        <x:v>15984.103365070336</x:v>
      </x:c>
      <x:c r="O166" t="n">
        <x:f>1+O$9*SUMPRODUCT($H$10:$L$10,H166:L166)/SUM($H$10:$L$10)</x:f>
        <x:v>3.1325130597046105</x:v>
      </x:c>
      <x:c r="P166" t="n">
        <x:f>M166*O166+N166</x:f>
        <x:v>31514.748460077764</x:v>
      </x:c>
      <x:c r="Q166" t="n">
        <x:f>P166/(P166+'_曲线基线'!$L$2)</x:f>
        <x:v>0.5676824507768582</x:v>
      </x:c>
      <x:c r="R166" t="n">
        <x:f>E166*'模块规划'!$E$10+G166*'模块规划'!$E$11+H166*'模块规划'!$E$13</x:f>
        <x:v>7436.830173888535</x:v>
      </x:c>
      <x:c r="S166" t="n">
        <x:f>I166*'模块规划'!$E$15+J166*'模块规划'!$E$17+K166*'模块规划'!$E$16+L166*'模块规划'!$E$18</x:f>
        <x:v>23976.155047605505</x:v>
      </x:c>
      <x:c r="T166" t="n">
        <x:f>1+T$9*SUMPRODUCT($H$10:$L$10,H166:L166)/SUM($H$10:$L$10)</x:f>
        <x:v>3.1325130597046105</x:v>
      </x:c>
      <x:c r="U166" t="n">
        <x:f>R166*T166+S166</x:f>
        <x:v>47272.12269011665</x:v>
      </x:c>
      <x:c r="V166" t="n">
        <x:f>V$8+(V$9-V$8)*H166</x:f>
        <x:v>0.8987757675424246</x:v>
      </x:c>
      <x:c r="W166" t="n">
        <x:f>IF(B166&lt;$H$8,0,W$8+(W$9-W$8)*H166)</x:f>
        <x:v>0.26503435672323283</x:v>
      </x:c>
      <x:c r="X166" t="n">
        <x:f>X$8+(X$9-X$8)*H166</x:f>
        <x:v>0.4572111202472226</x:v>
      </x:c>
      <x:c r="Y166" t="n">
        <x:f>Y$8+(Y$9-Y$8)*G166</x:f>
        <x:v>1</x:v>
      </x:c>
      <x:c r="Z166" t="n">
        <x:f>Z$8+(Z$9-Z$8)*H166</x:f>
        <x:v>1</x:v>
      </x:c>
      <x:c r="AA166" t="n">
        <x:f>AA$8+(AA$9-AA$8)*I166</x:f>
        <x:v>1</x:v>
      </x:c>
      <x:c r="AB166" t="n">
        <x:f>AB$8+(AB$9-AB$8)*J166</x:f>
        <x:v>1</x:v>
      </x:c>
      <x:c r="AC166" t="n">
        <x:f>AC$8+(AC$9-AC$8)*MAX(K166,L166)</x:f>
        <x:v>1</x:v>
      </x:c>
      <x:c r="AD166" t="n">
        <x:f>(V166*AE166+W166*AF166+X166*AG166)*PRODUCT(Y166:AC166)</x:f>
        <x:v>1.8234100867012342</x:v>
      </x:c>
      <x:c r="AE166" t="n">
        <x:f>1+AE$9*($H$10*H166+$I$10*I166+$J$10*J166+$K$10*K166+$L$10*L166)</x:f>
        <x:v>1</x:v>
      </x:c>
      <x:c r="AF166" t="n">
        <x:f>1+AF$9*($H$10*H166+$I$10*I166+$J$10*J166+$K$10*K166+$L$10*L166)</x:f>
        <x:v>1.1882137032451843</x:v>
      </x:c>
      <x:c r="AG166" t="n">
        <x:f>1+AG$9*($H$10*H166+$I$10*I166+$J$10*J166+$K$10*K166+$L$10*L166)</x:f>
        <x:v>1.333556507417857</x:v>
      </x:c>
      <x:c r="AH166" t="n">
        <x:f>MIN(1,'_曲线基线'!$L$3+AH$9*($H$10*H166+$I$10*I166+$J$10*J166+$K$10*K166+$L$10*L166))</x:f>
        <x:v>0.47818617488279397</x:v>
      </x:c>
      <x:c r="AI166" t="n">
        <x:f>'_曲线基线'!$L$4+AI$9*($H$10*H166+$I$10*I166+$J$10*J166+$K$10*K166+$L$10*L166)</x:f>
        <x:v>3.1928043443163547</x:v>
      </x:c>
      <x:c r="AJ166" t="n">
        <x:f>1+AJ$9*($H$10*H166+$I$10*I166+$J$10*J166+$K$10*K166+$L$10*L166)</x:f>
        <x:v>1.9787112568749579</x:v>
      </x:c>
      <x:c r="AK166" t="n">
        <x:f>(1+AH166*(AI166-1))*AJ166</x:f>
        <x:v>4.053525990060287</x:v>
      </x:c>
      <x:c r="AL166" t="n">
        <x:f>U166*AD166*AK166*F166</x:f>
        <x:v>1746998.0623919528</x:v>
      </x:c>
      <x:c r="AM166" t="n">
        <x:f>IF($B166&lt;AM$8,0,AM$3+(AM$4-AM$3)*(POWER(AM$5,$B166-AM$8)-1)/(POWER(AM$5,$C$5-AM$8)-1))</x:f>
        <x:v>39.87186452579534</x:v>
      </x:c>
      <x:c r="AN166" t="n">
        <x:f>(((E166*'模块规划'!$D$10+G166*'模块规划'!$D$11+H166*'模块规划'!$D$13)*(1+'模块规划'!$G$14*H166)+(I166*'模块规划'!$D$15+J166*'模块规划'!$D$17+K166*'模块规划'!$D$16+L166*'模块规划'!$D$18))*(1+'模块规划'!$J$17*J166))*F166/(1-Q166)</x:f>
        <x:v>2303427.847537319</x:v>
      </x:c>
      <x:c r="AO166" t="n">
        <x:f>AL166*AM166</x:f>
        <x:v>69656070.0705189</x:v>
      </x:c>
      <x:c r="AP166" t="n">
        <x:f>IF(AO166="","",INDEX('_曲线基线'!$A$3:$A$502,MIN(ROWS('_曲线基线'!$A$3:$A$502),COUNTIF('_曲线基线'!$E$3:$E$502,"&lt;"&amp;AO166)+1)))</x:f>
        <x:v>265</x:v>
      </x:c>
      <x:c r="AQ166" t="n">
        <x:f>IF(B166&lt;=2,1,IF(B166&lt;=6,2,IF(B166&lt;=9,3,IF(B166&lt;=19,4,5))))</x:f>
        <x:v>5</x:v>
      </x:c>
      <x:c r="AR166" t="n">
        <x:f>AN166*(1-Q166)/F166*$AS$3+U166*$AS$4+P166*$AS$5</x:f>
        <x:v>15429.298229181353</x:v>
      </x:c>
      <x:c r="AS166" t="n">
        <x:f>1+AH166*$AS$6+AI166*$AS$7+(AJ166-1)*$AS$8+($H$10*H166+$I$10*I166+$J$10*J166+$K$10*K166+$L$10*L166)*$AU$3*$AS$9+($H$10*H166+$I$10*I166+$J$10*J166+$K$10*K166+$L$10*L166)*$AU$4*$AS$10</x:f>
        <x:v>16.22756262672007</x:v>
      </x:c>
      <x:c r="AT166" t="n">
        <x:f>ROUND(AR166*AS166,0)</x:f>
        <x:v>250380</x:v>
      </x:c>
      <x:c r="AU166" t="n">
        <x:f>ROUND(AT166*F166,0)</x:f>
        <x:v>1251900</x:v>
      </x:c>
    </x:row>
    <x:row r="167">
      <x:c r="A167" t="str">
        <x:f>IFERROR(XLOOKUP(B167,'_曲线基线'!$G$3:$G$107,'_曲线基线'!$J$3:$J$107,""),"")</x:f>
      </x:c>
      <x:c r="B167" t="n">
        <x:v>156</x:v>
      </x:c>
      <x:c r="C167" t="n">
        <x:f>C152+1</x:f>
        <x:v>11</x:v>
      </x:c>
      <x:c r="D167" t="n">
        <x:f>D152</x:f>
        <x:v>12</x:v>
      </x:c>
      <x:c r="E167" t="n">
        <x:f>IF($B167&lt;E$8,0,E$3+(E$4-E$3)*(POWER(E$5,$B167-E$8)-1)/(POWER(E$5,$C$5-E$8)-1))</x:f>
        <x:v>1</x:v>
      </x:c>
      <x:c r="F167" t="n">
        <x:f>1+IF(B167&lt;3,0,MIN(1,(B167-2)/4))+IF(B167&lt;7,0,MIN(1,(B167-6)/3))+IF(B167&lt;10,0,MIN(1,(B167-9)/5))+IF(B167&lt;20,0,MIN(1,(B167-19)/10))</x:f>
        <x:v>5</x:v>
      </x:c>
      <x:c r="G167" t="n">
        <x:f>IF($B167&lt;G$8,0,G$3+(G$4-G$3)*(POWER(G$5,$B167-G$8)-1)/(POWER(G$5,$C$5-G$8)-1))</x:f>
        <x:v>0.8258965406323022</x:v>
      </x:c>
      <x:c r="H167" t="n">
        <x:f>IF($B167&lt;H$8,0,H$3+(H$4-H$3)*(POWER(H$5,$B167-H$8)-1)/(POWER(H$5,$C$5-H$8)-1))</x:f>
        <x:v>0.6634007162114318</x:v>
      </x:c>
      <x:c r="I167" t="n">
        <x:f>IF($B167&lt;I$8,0,I$3+(I$4-I$3)*(POWER(I$5,$B167-I$8)-1)/(POWER(I$5,$C$5-I$8)-1))</x:f>
        <x:v>0.555897056295325</x:v>
      </x:c>
      <x:c r="J167" t="n">
        <x:f>IF($B167&lt;J$8,0,J$3+(J$4-J$3)*(POWER(J$5,$B167-J$8)-1)/(POWER(J$5,$C$5-J$8)-1))</x:f>
        <x:v>0.556579281410357</x:v>
      </x:c>
      <x:c r="K167" t="n">
        <x:f>IF($B167&lt;K$8,0,K$3+(K$4-K$3)*(POWER(K$5,$B167-K$8)-1)/(POWER(K$5,$C$5-K$8)-1))</x:f>
        <x:v>0.4524756078670158</x:v>
      </x:c>
      <x:c r="L167" t="n">
        <x:f>IF($B167&lt;L$8,0,L$3+(L$4-L$3)*(POWER(L$5,$B167-L$8)-1)/(POWER(L$5,$C$5-L$8)-1))</x:f>
        <x:v>0.6626501691058443</x:v>
      </x:c>
      <x:c r="M167" t="n">
        <x:f>E167*'模块规划'!$F$10+G167*'模块规划'!$F$11+H167*'模块规划'!$F$13</x:f>
        <x:v>4964.303395035051</x:v>
      </x:c>
      <x:c r="N167" t="n">
        <x:f>I167*'模块规划'!$F$15+J167*'模块规划'!$F$17+K167*'模块规划'!$F$16+L167*'模块规划'!$F$18</x:f>
        <x:v>16041.073757197486</x:v>
      </x:c>
      <x:c r="O167" t="n">
        <x:f>1+O$9*SUMPRODUCT($H$10:$L$10,H167:L167)/SUM($H$10:$L$10)</x:f>
        <x:v>3.1388000780216547</x:v>
      </x:c>
      <x:c r="P167" t="n">
        <x:f>M167*O167+N167</x:f>
        <x:v>31623.029640856672</x:v>
      </x:c>
      <x:c r="Q167" t="n">
        <x:f>P167/(P167+'_曲线基线'!$L$2)</x:f>
        <x:v>0.5685240420206934</x:v>
      </x:c>
      <x:c r="R167" t="n">
        <x:f>E167*'模块规划'!$E$10+G167*'模块规划'!$E$11+H167*'模块规划'!$E$13</x:f>
        <x:v>7446.455092552576</x:v>
      </x:c>
      <x:c r="S167" t="n">
        <x:f>I167*'模块规划'!$E$15+J167*'模块规划'!$E$17+K167*'模块规划'!$E$16+L167*'模块规划'!$E$18</x:f>
        <x:v>24061.61063579623</x:v>
      </x:c>
      <x:c r="T167" t="n">
        <x:f>1+T$9*SUMPRODUCT($H$10:$L$10,H167:L167)/SUM($H$10:$L$10)</x:f>
        <x:v>3.1388000780216547</x:v>
      </x:c>
      <x:c r="U167" t="n">
        <x:f>R167*T167+S167</x:f>
        <x:v>47434.544461285004</x:v>
      </x:c>
      <x:c r="V167" t="n">
        <x:f>V$8+(V$9-V$8)*H167</x:f>
        <x:v>0.8990202148634295</x:v>
      </x:c>
      <x:c r="W167" t="n">
        <x:f>IF(B167&lt;$H$8,0,W$8+(W$9-W$8)*H167)</x:f>
        <x:v>0.2653602864845727</x:v>
      </x:c>
      <x:c r="X167" t="n">
        <x:f>X$8+(X$9-X$8)*H167</x:f>
        <x:v>0.4574351969581438</x:v>
      </x:c>
      <x:c r="Y167" t="n">
        <x:f>Y$8+(Y$9-Y$8)*G167</x:f>
        <x:v>1</x:v>
      </x:c>
      <x:c r="Z167" t="n">
        <x:f>Z$8+(Z$9-Z$8)*H167</x:f>
        <x:v>1</x:v>
      </x:c>
      <x:c r="AA167" t="n">
        <x:f>AA$8+(AA$9-AA$8)*I167</x:f>
        <x:v>1</x:v>
      </x:c>
      <x:c r="AB167" t="n">
        <x:f>AB$8+(AB$9-AB$8)*J167</x:f>
        <x:v>1</x:v>
      </x:c>
      <x:c r="AC167" t="n">
        <x:f>AC$8+(AC$9-AC$8)*MAX(K167,L167)</x:f>
        <x:v>1</x:v>
      </x:c>
      <x:c r="AD167" t="n">
        <x:f>(V167*AE167+W167*AF167+X167*AG167)*PRODUCT(Y167:AC167)</x:f>
        <x:v>1.8249377057988614</x:v>
      </x:c>
      <x:c r="AE167" t="n">
        <x:f>1+AE$9*($H$10*H167+$I$10*I167+$J$10*J167+$K$10*K167+$L$10*L167)</x:f>
        <x:v>1</x:v>
      </x:c>
      <x:c r="AF167" t="n">
        <x:f>1+AF$9*($H$10*H167+$I$10*I167+$J$10*J167+$K$10*K167+$L$10*L167)</x:f>
        <x:v>1.1887685898820732</x:v>
      </x:c>
      <x:c r="AG167" t="n">
        <x:f>1+AG$9*($H$10*H167+$I$10*I167+$J$10*J167+$K$10*K167+$L$10*L167)</x:f>
        <x:v>1.3345398898465657</x:v>
      </x:c>
      <x:c r="AH167" t="n">
        <x:f>MIN(1,'_曲线基线'!$L$3+AH$9*($H$10*H167+$I$10*I167+$J$10*J167+$K$10*K167+$L$10*L167))</x:f>
        <x:v>0.4794485419817163</x:v>
      </x:c>
      <x:c r="AI167" t="n">
        <x:f>'_曲线基线'!$L$4+AI$9*($H$10*H167+$I$10*I167+$J$10*J167+$K$10*K167+$L$10*L167)</x:f>
        <x:v>3.1963209383776383</x:v>
      </x:c>
      <x:c r="AJ167" t="n">
        <x:f>1+AJ$9*($H$10*H167+$I$10*I167+$J$10*J167+$K$10*K167+$L$10*L167)</x:f>
        <x:v>1.9815966673867802</x:v>
      </x:c>
      <x:c r="AK167" t="n">
        <x:f>(1+AH167*(AI167-1))*AJ167</x:f>
        <x:v>4.06826328048901</x:v>
      </x:c>
      <x:c r="AL167" t="n">
        <x:f>U167*AD167*AK167*F167</x:f>
        <x:v>1760847.8595635393</x:v>
      </x:c>
      <x:c r="AM167" t="n">
        <x:f>IF($B167&lt;AM$8,0,AM$3+(AM$4-AM$3)*(POWER(AM$5,$B167-AM$8)-1)/(POWER(AM$5,$C$5-AM$8)-1))</x:f>
        <x:v>39.93400781097516</x:v>
      </x:c>
      <x:c r="AN167" t="n">
        <x:f>(((E167*'模块规划'!$D$10+G167*'模块规划'!$D$11+H167*'模块规划'!$D$13)*(1+'模块规划'!$G$14*H167)+(I167*'模块规划'!$D$15+J167*'模块规划'!$D$17+K167*'模块规划'!$D$16+L167*'模块规划'!$D$18))*(1+'模块规划'!$J$17*J167))*F167/(1-Q167)</x:f>
        <x:v>2316374.209036472</x:v>
      </x:c>
      <x:c r="AO167" t="n">
        <x:f>AL167*AM167</x:f>
        <x:v>70317712.17774928</x:v>
      </x:c>
      <x:c r="AP167" t="n">
        <x:f>IF(AO167="","",INDEX('_曲线基线'!$A$3:$A$502,MIN(ROWS('_曲线基线'!$A$3:$A$502),COUNTIF('_曲线基线'!$E$3:$E$502,"&lt;"&amp;AO167)+1)))</x:f>
        <x:v>266</x:v>
      </x:c>
      <x:c r="AQ167" t="n">
        <x:f>IF(B167&lt;=2,1,IF(B167&lt;=6,2,IF(B167&lt;=9,3,IF(B167&lt;=19,4,5))))</x:f>
        <x:v>5</x:v>
      </x:c>
      <x:c r="AR167" t="n">
        <x:f>AN167*(1-Q167)/F167*$AS$3+U167*$AS$4+P167*$AS$5</x:f>
        <x:v>15483.667577552424</x:v>
      </x:c>
      <x:c r="AS167" t="n">
        <x:f>1+AH167*$AS$6+AI167*$AS$7+(AJ167-1)*$AS$8+($H$10*H167+$I$10*I167+$J$10*J167+$K$10*K167+$L$10*L167)*$AU$3*$AS$9+($H$10*H167+$I$10*I167+$J$10*J167+$K$10*K167+$L$10*L167)*$AU$4*$AS$10</x:f>
        <x:v>16.26071773376412</x:v>
      </x:c>
      <x:c r="AT167" t="n">
        <x:f>ROUND(AR167*AS167,0)</x:f>
        <x:v>251776</x:v>
      </x:c>
      <x:c r="AU167" t="n">
        <x:f>ROUND(AT167*F167,0)</x:f>
        <x:v>1258880</x:v>
      </x:c>
    </x:row>
    <x:row r="168">
      <x:c r="A168" t="str">
        <x:f>IFERROR(XLOOKUP(B168,'_曲线基线'!$G$3:$G$107,'_曲线基线'!$J$3:$J$107,""),"")</x:f>
      </x:c>
      <x:c r="B168" t="n">
        <x:v>157</x:v>
      </x:c>
      <x:c r="C168" t="n">
        <x:f>C153+1</x:f>
        <x:v>11</x:v>
      </x:c>
      <x:c r="D168" t="n">
        <x:f>D153</x:f>
        <x:v>13</x:v>
      </x:c>
      <x:c r="E168" t="n">
        <x:f>IF($B168&lt;E$8,0,E$3+(E$4-E$3)*(POWER(E$5,$B168-E$8)-1)/(POWER(E$5,$C$5-E$8)-1))</x:f>
        <x:v>1</x:v>
      </x:c>
      <x:c r="F168" t="n">
        <x:f>1+IF(B168&lt;3,0,MIN(1,(B168-2)/4))+IF(B168&lt;7,0,MIN(1,(B168-6)/3))+IF(B168&lt;10,0,MIN(1,(B168-9)/5))+IF(B168&lt;20,0,MIN(1,(B168-19)/10))</x:f>
        <x:v>5</x:v>
      </x:c>
      <x:c r="G168" t="n">
        <x:f>IF($B168&lt;G$8,0,G$3+(G$4-G$3)*(POWER(G$5,$B168-G$8)-1)/(POWER(G$5,$C$5-G$8)-1))</x:f>
        <x:v>0.8272132829773137</x:v>
      </x:c>
      <x:c r="H168" t="n">
        <x:f>IF($B168&lt;H$8,0,H$3+(H$4-H$3)*(POWER(H$5,$B168-H$8)-1)/(POWER(H$5,$C$5-H$8)-1))</x:f>
        <x:v>0.6641992441267145</x:v>
      </x:c>
      <x:c r="I168" t="n">
        <x:f>IF($B168&lt;I$8,0,I$3+(I$4-I$3)*(POWER(I$5,$B168-I$8)-1)/(POWER(I$5,$C$5-I$8)-1))</x:f>
        <x:v>0.5579502065124867</x:v>
      </x:c>
      <x:c r="J168" t="n">
        <x:f>IF($B168&lt;J$8,0,J$3+(J$4-J$3)*(POWER(J$5,$B168-J$8)-1)/(POWER(J$5,$C$5-J$8)-1))</x:f>
        <x:v>0.5575266402738738</x:v>
      </x:c>
      <x:c r="K168" t="n">
        <x:f>IF($B168&lt;K$8,0,K$3+(K$4-K$3)*(POWER(K$5,$B168-K$8)-1)/(POWER(K$5,$C$5-K$8)-1))</x:f>
        <x:v>0.456785220644649</x:v>
      </x:c>
      <x:c r="L168" t="n">
        <x:f>IF($B168&lt;L$8,0,L$3+(L$4-L$3)*(POWER(L$5,$B168-L$8)-1)/(POWER(L$5,$C$5-L$8)-1))</x:f>
        <x:v>0.6634650725551131</x:v>
      </x:c>
      <x:c r="M168" t="n">
        <x:f>E168*'模块规划'!$F$10+G168*'模块规划'!$F$11+H168*'模块规划'!$F$13</x:f>
        <x:v>4970.623758291105</x:v>
      </x:c>
      <x:c r="N168" t="n">
        <x:f>I168*'模块规划'!$F$15+J168*'模块规划'!$F$17+K168*'模块规划'!$F$16+L168*'模块规划'!$F$18</x:f>
        <x:v>16096.904741482093</x:v>
      </x:c>
      <x:c r="O168" t="n">
        <x:f>1+O$9*SUMPRODUCT($H$10:$L$10,H168:L168)/SUM($H$10:$L$10)</x:f>
        <x:v>3.1449613559723577</x:v>
      </x:c>
      <x:c r="P168" t="n">
        <x:f>M168*O168+N168</x:f>
        <x:v>31729.324376385703</x:v>
      </x:c>
      <x:c r="Q168" t="n">
        <x:f>P168/(P168+'_曲线基线'!$L$2)</x:f>
        <x:v>0.5693470131109365</x:v>
      </x:c>
      <x:c r="R168" t="n">
        <x:f>E168*'模块规划'!$E$10+G168*'模块规划'!$E$11+H168*'模块规划'!$E$13</x:f>
        <x:v>7455.935637436658</x:v>
      </x:c>
      <x:c r="S168" t="n">
        <x:f>I168*'模块规划'!$E$15+J168*'模块规划'!$E$17+K168*'模块规划'!$E$16+L168*'模块规划'!$E$18</x:f>
        <x:v>24145.357112223137</x:v>
      </x:c>
      <x:c r="T168" t="n">
        <x:f>1+T$9*SUMPRODUCT($H$10:$L$10,H168:L168)/SUM($H$10:$L$10)</x:f>
        <x:v>3.1449613559723577</x:v>
      </x:c>
      <x:c r="U168" t="n">
        <x:f>R168*T168+S168</x:f>
        <x:v>47593.986564578554</x:v>
      </x:c>
      <x:c r="V168" t="n">
        <x:f>V$8+(V$9-V$8)*H168</x:f>
        <x:v>0.8992597732380143</x:v>
      </x:c>
      <x:c r="W168" t="n">
        <x:f>IF(B168&lt;$H$8,0,W$8+(W$9-W$8)*H168)</x:f>
        <x:v>0.26567969765068583</x:v>
      </x:c>
      <x:c r="X168" t="n">
        <x:f>X$8+(X$9-X$8)*H168</x:f>
        <x:v>0.4576547921348465</x:v>
      </x:c>
      <x:c r="Y168" t="n">
        <x:f>Y$8+(Y$9-Y$8)*G168</x:f>
        <x:v>1</x:v>
      </x:c>
      <x:c r="Z168" t="n">
        <x:f>Z$8+(Z$9-Z$8)*H168</x:f>
        <x:v>1</x:v>
      </x:c>
      <x:c r="AA168" t="n">
        <x:f>AA$8+(AA$9-AA$8)*I168</x:f>
        <x:v>1</x:v>
      </x:c>
      <x:c r="AB168" t="n">
        <x:f>AB$8+(AB$9-AB$8)*J168</x:f>
        <x:v>1</x:v>
      </x:c>
      <x:c r="AC168" t="n">
        <x:f>AC$8+(AC$9-AC$8)*MAX(K168,L168)</x:f>
        <x:v>1</x:v>
      </x:c>
      <x:c r="AD168" t="n">
        <x:f>(V168*AE168+W168*AF168+X168*AG168)*PRODUCT(Y168:AC168)</x:f>
        <x:v>1.8264355510169272</x:v>
      </x:c>
      <x:c r="AE168" t="n">
        <x:f>1+AE$9*($H$10*H168+$I$10*I168+$J$10*J168+$K$10*K168+$L$10*L168)</x:f>
        <x:v>1</x:v>
      </x:c>
      <x:c r="AF168" t="n">
        <x:f>1+AF$9*($H$10*H168+$I$10*I168+$J$10*J168+$K$10*K168+$L$10*L168)</x:f>
        <x:v>1.1893123787862243</x:v>
      </x:c>
      <x:c r="AG168" t="n">
        <x:f>1+AG$9*($H$10*H168+$I$10*I168+$J$10*J168+$K$10*K168+$L$10*L168)</x:f>
        <x:v>1.3355036046267004</x:v>
      </x:c>
      <x:c r="AH168" t="n">
        <x:f>MIN(1,'_曲线基线'!$L$3+AH$9*($H$10*H168+$I$10*I168+$J$10*J168+$K$10*K168+$L$10*L168))</x:f>
        <x:v>0.4806856617386601</x:v>
      </x:c>
      <x:c r="AI168" t="n">
        <x:f>'_曲线基线'!$L$4+AI$9*($H$10*H168+$I$10*I168+$J$10*J168+$K$10*K168+$L$10*L168)</x:f>
        <x:v>3.1997672005576963</x:v>
      </x:c>
      <x:c r="AJ168" t="n">
        <x:f>1+AJ$9*($H$10*H168+$I$10*I168+$J$10*J168+$K$10*K168+$L$10*L168)</x:f>
        <x:v>1.984424369688366</x:v>
      </x:c>
      <x:c r="AK168" t="n">
        <x:f>(1+AH168*(AI168-1))*AJ168</x:f>
        <x:v>4.082747856836432</x:v>
      </x:c>
      <x:c r="AL168" t="n">
        <x:f>U168*AD168*AK168*F168</x:f>
        <x:v>1774512.240705992</x:v>
      </x:c>
      <x:c r="AM168" t="n">
        <x:f>IF($B168&lt;AM$8,0,AM$3+(AM$4-AM$3)*(POWER(AM$5,$B168-AM$8)-1)/(POWER(AM$5,$C$5-AM$8)-1))</x:f>
        <x:v>39.996772529006776</x:v>
      </x:c>
      <x:c r="AN168" t="n">
        <x:f>(((E168*'模块规划'!$D$10+G168*'模块规划'!$D$11+H168*'模块规划'!$D$13)*(1+'模块规划'!$G$14*H168)+(I168*'模块规划'!$D$15+J168*'模块规划'!$D$17+K168*'模块规划'!$D$16+L168*'模块规划'!$D$18))*(1+'模块规划'!$J$17*J168))*F168/(1-Q168)</x:f>
        <x:v>2329116.1737004095</x:v>
      </x:c>
      <x:c r="AO168" t="n">
        <x:f>AL168*AM168</x:f>
        <x:v>70974762.44145568</x:v>
      </x:c>
      <x:c r="AP168" t="n">
        <x:f>IF(AO168="","",INDEX('_曲线基线'!$A$3:$A$502,MIN(ROWS('_曲线基线'!$A$3:$A$502),COUNTIF('_曲线基线'!$E$3:$E$502,"&lt;"&amp;AO168)+1)))</x:f>
        <x:v>267</x:v>
      </x:c>
      <x:c r="AQ168" t="n">
        <x:f>IF(B168&lt;=2,1,IF(B168&lt;=6,2,IF(B168&lt;=9,3,IF(B168&lt;=19,4,5))))</x:f>
        <x:v>5</x:v>
      </x:c>
      <x:c r="AR168" t="n">
        <x:f>AN168*(1-Q168)/F168*$AS$3+U168*$AS$4+P168*$AS$5</x:f>
        <x:v>15537.042335009959</x:v>
      </x:c>
      <x:c r="AS168" t="n">
        <x:f>1+AH168*$AS$6+AI168*$AS$7+(AJ168-1)*$AS$8+($H$10*H168+$I$10*I168+$J$10*J168+$K$10*K168+$L$10*L168)*$AU$3*$AS$9+($H$10*H168+$I$10*I168+$J$10*J168+$K$10*K168+$L$10*L168)*$AU$4*$AS$10</x:f>
        <x:v>16.293209738667297</x:v>
      </x:c>
      <x:c r="AT168" t="n">
        <x:f>ROUND(AR168*AS168,0)</x:f>
        <x:v>253148</x:v>
      </x:c>
      <x:c r="AU168" t="n">
        <x:f>ROUND(AT168*F168,0)</x:f>
        <x:v>1265740</x:v>
      </x:c>
    </x:row>
    <x:row r="169">
      <x:c r="A169" t="str">
        <x:f>IFERROR(XLOOKUP(B169,'_曲线基线'!$G$3:$G$107,'_曲线基线'!$J$3:$J$107,""),"")</x:f>
      </x:c>
      <x:c r="B169" t="n">
        <x:v>158</x:v>
      </x:c>
      <x:c r="C169" t="n">
        <x:f>C154+1</x:f>
        <x:v>11</x:v>
      </x:c>
      <x:c r="D169" t="n">
        <x:f>D154</x:f>
        <x:v>14</x:v>
      </x:c>
      <x:c r="E169" t="n">
        <x:f>IF($B169&lt;E$8,0,E$3+(E$4-E$3)*(POWER(E$5,$B169-E$8)-1)/(POWER(E$5,$C$5-E$8)-1))</x:f>
        <x:v>1</x:v>
      </x:c>
      <x:c r="F169" t="n">
        <x:f>1+IF(B169&lt;3,0,MIN(1,(B169-2)/4))+IF(B169&lt;7,0,MIN(1,(B169-6)/3))+IF(B169&lt;10,0,MIN(1,(B169-9)/5))+IF(B169&lt;20,0,MIN(1,(B169-19)/10))</x:f>
        <x:v>5</x:v>
      </x:c>
      <x:c r="G169" t="n">
        <x:f>IF($B169&lt;G$8,0,G$3+(G$4-G$3)*(POWER(G$5,$B169-G$8)-1)/(POWER(G$5,$C$5-G$8)-1))</x:f>
        <x:v>0.8285102741871496</x:v>
      </x:c>
      <x:c r="H169" t="n">
        <x:f>IF($B169&lt;H$8,0,H$3+(H$4-H$3)*(POWER(H$5,$B169-H$8)-1)/(POWER(H$5,$C$5-H$8)-1))</x:f>
        <x:v>0.6649818014836916</x:v>
      </x:c>
      <x:c r="I169" t="n">
        <x:f>IF($B169&lt;I$8,0,I$3+(I$4-I$3)*(POWER(I$5,$B169-I$8)-1)/(POWER(I$5,$C$5-I$8)-1))</x:f>
        <x:v>0.5599622937253051</x:v>
      </x:c>
      <x:c r="J169" t="n">
        <x:f>IF($B169&lt;J$8,0,J$3+(J$4-J$3)*(POWER(J$5,$B169-J$8)-1)/(POWER(J$5,$C$5-J$8)-1))</x:f>
        <x:v>0.55845505196012</x:v>
      </x:c>
      <x:c r="K169" t="n">
        <x:f>IF($B169&lt;K$8,0,K$3+(K$4-K$3)*(POWER(K$5,$B169-K$8)-1)/(POWER(K$5,$C$5-K$8)-1))</x:f>
        <x:v>0.46100864116672957</x:v>
      </x:c>
      <x:c r="L169" t="n">
        <x:f>IF($B169&lt;L$8,0,L$3+(L$4-L$3)*(POWER(L$5,$B169-L$8)-1)/(POWER(L$5,$C$5-L$8)-1))</x:f>
        <x:v>0.6642636779353965</x:v>
      </x:c>
      <x:c r="M169" t="n">
        <x:f>E169*'模块规划'!$F$10+G169*'模块规划'!$F$11+H169*'模块规划'!$F$13</x:f>
        <x:v>4976.849316098318</x:v>
      </x:c>
      <x:c r="N169" t="n">
        <x:f>I169*'模块规划'!$F$15+J169*'模块规划'!$F$17+K169*'模块规划'!$F$16+L169*'模块规划'!$F$18</x:f>
        <x:v>16151.619106081</x:v>
      </x:c>
      <x:c r="O169" t="n">
        <x:f>1+O$9*SUMPRODUCT($H$10:$L$10,H169:L169)/SUM($H$10:$L$10)</x:f>
        <x:v>3.1509994083640462</x:v>
      </x:c>
      <x:c r="P169" t="n">
        <x:f>M169*O169+N169</x:f>
        <x:v>31833.668356623806</x:v>
      </x:c>
      <x:c r="Q169" t="n">
        <x:f>P169/(P169+'_曲线基线'!$L$2)</x:f>
        <x:v>0.5701518329996533</x:v>
      </x:c>
      <x:c r="R169" t="n">
        <x:f>E169*'模块规划'!$E$10+G169*'模块规划'!$E$11+H169*'模块规划'!$E$13</x:f>
        <x:v>7465.273974147477</x:v>
      </x:c>
      <x:c r="S169" t="n">
        <x:f>I169*'模块规划'!$E$15+J169*'模块规划'!$E$17+K169*'模块规划'!$E$16+L169*'模块规划'!$E$18</x:f>
        <x:v>24227.4286591215</x:v>
      </x:c>
      <x:c r="T169" t="n">
        <x:f>1+T$9*SUMPRODUCT($H$10:$L$10,H169:L169)/SUM($H$10:$L$10)</x:f>
        <x:v>3.1509994083640462</x:v>
      </x:c>
      <x:c r="U169" t="n">
        <x:f>R169*T169+S169</x:f>
        <x:v>47750.50253493571</x:v>
      </x:c>
      <x:c r="V169" t="n">
        <x:f>V$8+(V$9-V$8)*H169</x:f>
        <x:v>0.8994945404451075</x:v>
      </x:c>
      <x:c r="W169" t="n">
        <x:f>IF(B169&lt;$H$8,0,W$8+(W$9-W$8)*H169)</x:f>
        <x:v>0.2659927205934766</x:v>
      </x:c>
      <x:c r="X169" t="n">
        <x:f>X$8+(X$9-X$8)*H169</x:f>
        <x:v>0.4578699954080152</x:v>
      </x:c>
      <x:c r="Y169" t="n">
        <x:f>Y$8+(Y$9-Y$8)*G169</x:f>
        <x:v>1</x:v>
      </x:c>
      <x:c r="Z169" t="n">
        <x:f>Z$8+(Z$9-Z$8)*H169</x:f>
        <x:v>1</x:v>
      </x:c>
      <x:c r="AA169" t="n">
        <x:f>AA$8+(AA$9-AA$8)*I169</x:f>
        <x:v>1</x:v>
      </x:c>
      <x:c r="AB169" t="n">
        <x:f>AB$8+(AB$9-AB$8)*J169</x:f>
        <x:v>1</x:v>
      </x:c>
      <x:c r="AC169" t="n">
        <x:f>AC$8+(AC$9-AC$8)*MAX(K169,L169)</x:f>
        <x:v>1</x:v>
      </x:c>
      <x:c r="AD169" t="n">
        <x:f>(V169*AE169+W169*AF169+X169*AG169)*PRODUCT(Y169:AC169)</x:f>
        <x:v>1.8279041870043284</x:v>
      </x:c>
      <x:c r="AE169" t="n">
        <x:f>1+AE$9*($H$10*H169+$I$10*I169+$J$10*J169+$K$10*K169+$L$10*L169)</x:f>
        <x:v>1</x:v>
      </x:c>
      <x:c r="AF169" t="n">
        <x:f>1+AF$9*($H$10*H169+$I$10*I169+$J$10*J169+$K$10*K169+$L$10*L169)</x:f>
        <x:v>1.1898452919122926</x:v>
      </x:c>
      <x:c r="AG169" t="n">
        <x:f>1+AG$9*($H$10*H169+$I$10*I169+$J$10*J169+$K$10*K169+$L$10*L169)</x:f>
        <x:v>1.3364480451112322</x:v>
      </x:c>
      <x:c r="AH169" t="n">
        <x:f>MIN(1,'_曲线基线'!$L$3+AH$9*($H$10*H169+$I$10*I169+$J$10*J169+$K$10*K169+$L$10*L169))</x:f>
        <x:v>0.481898039100465</x:v>
      </x:c>
      <x:c r="AI169" t="n">
        <x:f>'_曲线基线'!$L$4+AI$9*($H$10*H169+$I$10*I169+$J$10*J169+$K$10*K169+$L$10*L169)</x:f>
        <x:v>3.2031445374941523</x:v>
      </x:c>
      <x:c r="AJ169" t="n">
        <x:f>1+AJ$9*($H$10*H169+$I$10*I169+$J$10*J169+$K$10*K169+$L$10*L169)</x:f>
        <x:v>1.98719551794392</x:v>
      </x:c>
      <x:c r="AK169" t="n">
        <x:f>(1+AH169*(AI169-1))*AJ169</x:f>
        <x:v>4.09698317911618</x:v>
      </x:c>
      <x:c r="AL169" t="n">
        <x:f>U169*AD169*AK169*F169</x:f>
        <x:v>1787991.9509933495</x:v>
      </x:c>
      <x:c r="AM169" t="n">
        <x:f>IF($B169&lt;AM$8,0,AM$3+(AM$4-AM$3)*(POWER(AM$5,$B169-AM$8)-1)/(POWER(AM$5,$C$5-AM$8)-1))</x:f>
        <x:v>40.060164894218715</x:v>
      </x:c>
      <x:c r="AN169" t="n">
        <x:f>(((E169*'模块规划'!$D$10+G169*'模块规划'!$D$11+H169*'模块规划'!$D$13)*(1+'模块规划'!$G$14*H169)+(I169*'模块规划'!$D$15+J169*'模块规划'!$D$17+K169*'模块规划'!$D$16+L169*'模块规划'!$D$18))*(1+'模块规划'!$J$17*J169))*F169/(1-Q169)</x:f>
        <x:v>2341656.098841782</x:v>
      </x:c>
      <x:c r="AO169" t="n">
        <x:f>AL169*AM169</x:f>
        <x:v>71627252.38632941</x:v>
      </x:c>
      <x:c r="AP169" t="n">
        <x:f>IF(AO169="","",INDEX('_曲线基线'!$A$3:$A$502,MIN(ROWS('_曲线基线'!$A$3:$A$502),COUNTIF('_曲线基线'!$E$3:$E$502,"&lt;"&amp;AO169)+1)))</x:f>
        <x:v>268</x:v>
      </x:c>
      <x:c r="AQ169" t="n">
        <x:f>IF(B169&lt;=2,1,IF(B169&lt;=6,2,IF(B169&lt;=9,3,IF(B169&lt;=19,4,5))))</x:f>
        <x:v>5</x:v>
      </x:c>
      <x:c r="AR169" t="n">
        <x:f>AN169*(1-Q169)/F169*$AS$3+U169*$AS$4+P169*$AS$5</x:f>
        <x:v>15589.439997981077</x:v>
      </x:c>
      <x:c r="AS169" t="n">
        <x:f>1+AH169*$AS$6+AI169*$AS$7+(AJ169-1)*$AS$8+($H$10*H169+$I$10*I169+$J$10*J169+$K$10*K169+$L$10*L169)*$AU$3*$AS$9+($H$10*H169+$I$10*I169+$J$10*J169+$K$10*K169+$L$10*L169)*$AU$4*$AS$10</x:f>
        <x:v>16.3250519034724</x:v>
      </x:c>
      <x:c r="AT169" t="n">
        <x:f>ROUND(AR169*AS169,0)</x:f>
        <x:v>254498</x:v>
      </x:c>
      <x:c r="AU169" t="n">
        <x:f>ROUND(AT169*F169,0)</x:f>
        <x:v>1272490</x:v>
      </x:c>
    </x:row>
    <x:row r="170">
      <x:c r="A170" t="str">
        <x:f>IFERROR(XLOOKUP(B170,'_曲线基线'!$G$3:$G$107,'_曲线基线'!$J$3:$J$107,""),"")</x:f>
      </x:c>
      <x:c r="B170" t="n">
        <x:v>159</x:v>
      </x:c>
      <x:c r="C170" t="n">
        <x:f>C155+1</x:f>
        <x:v>11</x:v>
      </x:c>
      <x:c r="D170" t="n">
        <x:f>D155</x:f>
        <x:v>15</x:v>
      </x:c>
      <x:c r="E170" t="n">
        <x:f>IF($B170&lt;E$8,0,E$3+(E$4-E$3)*(POWER(E$5,$B170-E$8)-1)/(POWER(E$5,$C$5-E$8)-1))</x:f>
        <x:v>1</x:v>
      </x:c>
      <x:c r="F170" t="n">
        <x:f>1+IF(B170&lt;3,0,MIN(1,(B170-2)/4))+IF(B170&lt;7,0,MIN(1,(B170-6)/3))+IF(B170&lt;10,0,MIN(1,(B170-9)/5))+IF(B170&lt;20,0,MIN(1,(B170-19)/10))</x:f>
        <x:v>5</x:v>
      </x:c>
      <x:c r="G170" t="n">
        <x:f>IF($B170&lt;G$8,0,G$3+(G$4-G$3)*(POWER(G$5,$B170-G$8)-1)/(POWER(G$5,$C$5-G$8)-1))</x:f>
        <x:v>0.8297878105288382</x:v>
      </x:c>
      <x:c r="H170" t="n">
        <x:f>IF($B170&lt;H$8,0,H$3+(H$4-H$3)*(POWER(H$5,$B170-H$8)-1)/(POWER(H$5,$C$5-H$8)-1))</x:f>
        <x:v>0.6657487076935291</x:v>
      </x:c>
      <x:c r="I170" t="n">
        <x:f>IF($B170&lt;I$8,0,I$3+(I$4-I$3)*(POWER(I$5,$B170-I$8)-1)/(POWER(I$5,$C$5-I$8)-1))</x:f>
        <x:v>0.5619341391938673</x:v>
      </x:c>
      <x:c r="J170" t="n">
        <x:f>IF($B170&lt;J$8,0,J$3+(J$4-J$3)*(POWER(J$5,$B170-J$8)-1)/(POWER(J$5,$C$5-J$8)-1))</x:f>
        <x:v>0.5593648954126417</x:v>
      </x:c>
      <x:c r="K170" t="n">
        <x:f>IF($B170&lt;K$8,0,K$3+(K$4-K$3)*(POWER(K$5,$B170-K$8)-1)/(POWER(K$5,$C$5-K$8)-1))</x:f>
        <x:v>0.4651475932783685</x:v>
      </x:c>
      <x:c r="L170" t="n">
        <x:f>IF($B170&lt;L$8,0,L$3+(L$4-L$3)*(POWER(L$5,$B170-L$8)-1)/(POWER(L$5,$C$5-L$8)-1))</x:f>
        <x:v>0.6650463112080742</x:v>
      </x:c>
      <x:c r="M170" t="n">
        <x:f>E170*'模块规划'!$F$10+G170*'模块规划'!$F$11+H170*'模块规划'!$F$13</x:f>
        <x:v>4982.981490538423</x:v>
      </x:c>
      <x:c r="N170" t="n">
        <x:f>I170*'模块规划'!$F$15+J170*'模块规划'!$F$17+K170*'模块规划'!$F$16+L170*'模块规划'!$F$18</x:f>
        <x:v>16205.239183387937</x:v>
      </x:c>
      <x:c r="O170" t="n">
        <x:f>1+O$9*SUMPRODUCT($H$10:$L$10,H170:L170)/SUM($H$10:$L$10)</x:f>
        <x:v>3.1569166997079017</x:v>
      </x:c>
      <x:c r="P170" t="n">
        <x:f>M170*O170+N170</x:f>
        <x:v>31936.096665204055</x:v>
      </x:c>
      <x:c r="Q170" t="n">
        <x:f>P170/(P170+'_曲线基线'!$L$2)</x:f>
        <x:v>0.5709389565802581</x:v>
      </x:c>
      <x:c r="R170" t="n">
        <x:f>E170*'模块规划'!$E$10+G170*'模块规划'!$E$11+H170*'模块规划'!$E$13</x:f>
        <x:v>7474.472235807635</x:v>
      </x:c>
      <x:c r="S170" t="n">
        <x:f>I170*'模块规划'!$E$15+J170*'模块规划'!$E$17+K170*'模块规划'!$E$16+L170*'模块规划'!$E$18</x:f>
        <x:v>24307.858775081906</x:v>
      </x:c>
      <x:c r="T170" t="n">
        <x:f>1+T$9*SUMPRODUCT($H$10:$L$10,H170:L170)/SUM($H$10:$L$10)</x:f>
        <x:v>3.1569166997079017</x:v>
      </x:c>
      <x:c r="U170" t="n">
        <x:f>R170*T170+S170</x:f>
        <x:v>47904.144997806085</x:v>
      </x:c>
      <x:c r="V170" t="n">
        <x:f>V$8+(V$9-V$8)*H170</x:f>
        <x:v>0.8997246123080587</x:v>
      </x:c>
      <x:c r="W170" t="n">
        <x:f>IF(B170&lt;$H$8,0,W$8+(W$9-W$8)*H170)</x:f>
        <x:v>0.26629948307741164</x:v>
      </x:c>
      <x:c r="X170" t="n">
        <x:f>X$8+(X$9-X$8)*H170</x:f>
        <x:v>0.45808089461572055</x:v>
      </x:c>
      <x:c r="Y170" t="n">
        <x:f>Y$8+(Y$9-Y$8)*G170</x:f>
        <x:v>1</x:v>
      </x:c>
      <x:c r="Z170" t="n">
        <x:f>Z$8+(Z$9-Z$8)*H170</x:f>
        <x:v>1</x:v>
      </x:c>
      <x:c r="AA170" t="n">
        <x:f>AA$8+(AA$9-AA$8)*I170</x:f>
        <x:v>1</x:v>
      </x:c>
      <x:c r="AB170" t="n">
        <x:f>AB$8+(AB$9-AB$8)*J170</x:f>
        <x:v>1</x:v>
      </x:c>
      <x:c r="AC170" t="n">
        <x:f>AC$8+(AC$9-AC$8)*MAX(K170,L170)</x:f>
        <x:v>1</x:v>
      </x:c>
      <x:c r="AD170" t="n">
        <x:f>(V170*AE170+W170*AF170+X170*AG170)*PRODUCT(Y170:AC170)</x:f>
        <x:v>1.8293441683377998</x:v>
      </x:c>
      <x:c r="AE170" t="n">
        <x:f>1+AE$9*($H$10*H170+$I$10*I170+$J$10*J170+$K$10*K170+$L$10*L170)</x:f>
        <x:v>1</x:v>
      </x:c>
      <x:c r="AF170" t="n">
        <x:f>1+AF$9*($H$10*H170+$I$10*I170+$J$10*J170+$K$10*K170+$L$10*L170)</x:f>
        <x:v>1.1903675467758392</x:v>
      </x:c>
      <x:c r="AG170" t="n">
        <x:f>1+AG$9*($H$10*H170+$I$10*I170+$J$10*J170+$K$10*K170+$L$10*L170)</x:f>
        <x:v>1.3373735967860734</x:v>
      </x:c>
      <x:c r="AH170" t="n">
        <x:f>MIN(1,'_曲线基线'!$L$3+AH$9*($H$10*H170+$I$10*I170+$J$10*J170+$K$10*K170+$L$10*L170))</x:f>
        <x:v>0.48308616891503386</x:v>
      </x:c>
      <x:c r="AI170" t="n">
        <x:f>'_曲线基线'!$L$4+AI$9*($H$10*H170+$I$10*I170+$J$10*J170+$K$10*K170+$L$10*L170)</x:f>
        <x:v>3.2064543276918798</x:v>
      </x:c>
      <x:c r="AJ170" t="n">
        <x:f>1+AJ$9*($H$10*H170+$I$10*I170+$J$10*J170+$K$10*K170+$L$10*L170)</x:f>
        <x:v>1.989911243234363</x:v>
      </x:c>
      <x:c r="AK170" t="n">
        <x:f>(1+AH170*(AI170-1))*AJ170</x:f>
        <x:v>4.110972697146982</x:v>
      </x:c>
      <x:c r="AL170" t="n">
        <x:f>U170*AD170*AK170*F170</x:f>
        <x:v>1801287.8110428066</x:v>
      </x:c>
      <x:c r="AM170" t="n">
        <x:f>IF($B170&lt;AM$8,0,AM$3+(AM$4-AM$3)*(POWER(AM$5,$B170-AM$8)-1)/(POWER(AM$5,$C$5-AM$8)-1))</x:f>
        <x:v>40.12419118308277</x:v>
      </x:c>
      <x:c r="AN170" t="n">
        <x:f>(((E170*'模块规划'!$D$10+G170*'模块规划'!$D$11+H170*'模块规划'!$D$13)*(1+'模块规划'!$G$14*H170)+(I170*'模块规划'!$D$15+J170*'模块规划'!$D$17+K170*'模块规划'!$D$16+L170*'模块规划'!$D$18))*(1+'模块规划'!$J$17*J170))*F170/(1-Q170)</x:f>
        <x:v>2353996.352183374</x:v>
      </x:c>
      <x:c r="AO170" t="n">
        <x:f>AL170*AM170</x:f>
        <x:v>72275216.50603825</x:v>
      </x:c>
      <x:c r="AP170" t="n">
        <x:f>IF(AO170="","",INDEX('_曲线基线'!$A$3:$A$502,MIN(ROWS('_曲线基线'!$A$3:$A$502),COUNTIF('_曲线基线'!$E$3:$E$502,"&lt;"&amp;AO170)+1)))</x:f>
        <x:v>268</x:v>
      </x:c>
      <x:c r="AQ170" t="n">
        <x:f>IF(B170&lt;=2,1,IF(B170&lt;=6,2,IF(B170&lt;=9,3,IF(B170&lt;=19,4,5))))</x:f>
        <x:v>5</x:v>
      </x:c>
      <x:c r="AR170" t="n">
        <x:f>AN170*(1-Q170)/F170*$AS$3+U170*$AS$4+P170*$AS$5</x:f>
        <x:v>15640.877786005603</x:v>
      </x:c>
      <x:c r="AS170" t="n">
        <x:f>1+AH170*$AS$6+AI170*$AS$7+(AJ170-1)*$AS$8+($H$10*H170+$I$10*I170+$J$10*J170+$K$10*K170+$L$10*L170)*$AU$3*$AS$9+($H$10*H170+$I$10*I170+$J$10*J170+$K$10*K170+$L$10*L170)*$AU$4*$AS$10</x:f>
        <x:v>16.35625722498141</x:v>
      </x:c>
      <x:c r="AT170" t="n">
        <x:f>ROUND(AR170*AS170,0)</x:f>
        <x:v>255826</x:v>
      </x:c>
      <x:c r="AU170" t="n">
        <x:f>ROUND(AT170*F170,0)</x:f>
        <x:v>1279130</x:v>
      </x:c>
    </x:row>
    <x:row r="171">
      <x:c r="A171" t="str">
        <x:f>IFERROR(XLOOKUP(B171,'_曲线基线'!$G$3:$G$107,'_曲线基线'!$J$3:$J$107,""),"")</x:f>
      </x:c>
      <x:c r="B171" t="n">
        <x:v>160</x:v>
      </x:c>
      <x:c r="C171" t="n">
        <x:f>C156+1</x:f>
        <x:v>12</x:v>
      </x:c>
      <x:c r="D171" t="n">
        <x:f>D156</x:f>
        <x:v>1</x:v>
      </x:c>
      <x:c r="E171" t="n">
        <x:f>IF($B171&lt;E$8,0,E$3+(E$4-E$3)*(POWER(E$5,$B171-E$8)-1)/(POWER(E$5,$C$5-E$8)-1))</x:f>
        <x:v>1</x:v>
      </x:c>
      <x:c r="F171" t="n">
        <x:f>1+IF(B171&lt;3,0,MIN(1,(B171-2)/4))+IF(B171&lt;7,0,MIN(1,(B171-6)/3))+IF(B171&lt;10,0,MIN(1,(B171-9)/5))+IF(B171&lt;20,0,MIN(1,(B171-19)/10))</x:f>
        <x:v>5</x:v>
      </x:c>
      <x:c r="G171" t="n">
        <x:f>IF($B171&lt;G$8,0,G$3+(G$4-G$3)*(POWER(G$5,$B171-G$8)-1)/(POWER(G$5,$C$5-G$8)-1))</x:f>
        <x:v>0.8310461838254015</x:v>
      </x:c>
      <x:c r="H171" t="n">
        <x:f>IF($B171&lt;H$8,0,H$3+(H$4-H$3)*(POWER(H$5,$B171-H$8)-1)/(POWER(H$5,$C$5-H$8)-1))</x:f>
        <x:v>0.6665002757791699</x:v>
      </x:c>
      <x:c r="I171" t="n">
        <x:f>IF($B171&lt;I$8,0,I$3+(I$4-I$3)*(POWER(I$5,$B171-I$8)-1)/(POWER(I$5,$C$5-I$8)-1))</x:f>
        <x:v>0.5638665477530581</x:v>
      </x:c>
      <x:c r="J171" t="n">
        <x:f>IF($B171&lt;J$8,0,J$3+(J$4-J$3)*(POWER(J$5,$B171-J$8)-1)/(POWER(J$5,$C$5-J$8)-1))</x:f>
        <x:v>0.5602565419961127</x:v>
      </x:c>
      <x:c r="K171" t="n">
        <x:f>IF($B171&lt;K$8,0,K$3+(K$4-K$3)*(POWER(K$5,$B171-K$8)-1)/(POWER(K$5,$C$5-K$8)-1))</x:f>
        <x:v>0.4692037663477747</x:v>
      </x:c>
      <x:c r="L171" t="n">
        <x:f>IF($B171&lt;L$8,0,L$3+(L$4-L$3)*(POWER(L$5,$B171-L$8)-1)/(POWER(L$5,$C$5-L$8)-1))</x:f>
        <x:v>0.6658132918152985</x:v>
      </x:c>
      <x:c r="M171" t="n">
        <x:f>E171*'模块规划'!$F$10+G171*'模块规划'!$F$11+H171*'模块规划'!$F$13</x:f>
        <x:v>4989.021682361927</x:v>
      </x:c>
      <x:c r="N171" t="n">
        <x:f>I171*'模块规划'!$F$15+J171*'模块规划'!$F$17+K171*'模块规划'!$F$16+L171*'模块规划'!$F$18</x:f>
        <x:v>16257.786859148731</x:v>
      </x:c>
      <x:c r="O171" t="n">
        <x:f>1+O$9*SUMPRODUCT($H$10:$L$10,H171:L171)/SUM($H$10:$L$10)</x:f>
        <x:v>3.16271564522488</x:v>
      </x:c>
      <x:c r="P171" t="n">
        <x:f>M171*O171+N171</x:f>
        <x:v>32036.64378832095</x:v>
      </x:c>
      <x:c r="Q171" t="n">
        <x:f>P171/(P171+'_曲线基线'!$L$2)</x:f>
        <x:v>0.5717088251990917</x:v>
      </x:c>
      <x:c r="R171" t="n">
        <x:f>E171*'模块规划'!$E$10+G171*'模块规划'!$E$11+H171*'模块规划'!$E$13</x:f>
        <x:v>7483.532523542891</x:v>
      </x:c>
      <x:c r="S171" t="n">
        <x:f>I171*'模块规划'!$E$15+J171*'模块规划'!$E$17+K171*'模块规划'!$E$16+L171*'模块规划'!$E$18</x:f>
        <x:v>24386.680288723102</x:v>
      </x:c>
      <x:c r="T171" t="n">
        <x:f>1+T$9*SUMPRODUCT($H$10:$L$10,H171:L171)/SUM($H$10:$L$10)</x:f>
        <x:v>3.16271564522488</x:v>
      </x:c>
      <x:c r="U171" t="n">
        <x:f>R171*T171+S171</x:f>
        <x:v>48054.96568248143</x:v>
      </x:c>
      <x:c r="V171" t="n">
        <x:f>V$8+(V$9-V$8)*H171</x:f>
        <x:v>0.899950082733751</x:v>
      </x:c>
      <x:c r="W171" t="n">
        <x:f>IF(B171&lt;$H$8,0,W$8+(W$9-W$8)*H171)</x:f>
        <x:v>0.26660011031166797</x:v>
      </x:c>
      <x:c r="X171" t="n">
        <x:f>X$8+(X$9-X$8)*H171</x:f>
        <x:v>0.45828757583927177</x:v>
      </x:c>
      <x:c r="Y171" t="n">
        <x:f>Y$8+(Y$9-Y$8)*G171</x:f>
        <x:v>1</x:v>
      </x:c>
      <x:c r="Z171" t="n">
        <x:f>Z$8+(Z$9-Z$8)*H171</x:f>
        <x:v>1</x:v>
      </x:c>
      <x:c r="AA171" t="n">
        <x:f>AA$8+(AA$9-AA$8)*I171</x:f>
        <x:v>1</x:v>
      </x:c>
      <x:c r="AB171" t="n">
        <x:f>AB$8+(AB$9-AB$8)*J171</x:f>
        <x:v>1</x:v>
      </x:c>
      <x:c r="AC171" t="n">
        <x:f>AC$8+(AC$9-AC$8)*MAX(K171,L171)</x:f>
        <x:v>1</x:v>
      </x:c>
      <x:c r="AD171" t="n">
        <x:f>(V171*AE171+W171*AF171+X171*AG171)*PRODUCT(Y171:AC171)</x:f>
        <x:v>1.8307560396750135</x:v>
      </x:c>
      <x:c r="AE171" t="n">
        <x:f>1+AE$9*($H$10*H171+$I$10*I171+$J$10*J171+$K$10*K171+$L$10*L171)</x:f>
        <x:v>1</x:v>
      </x:c>
      <x:c r="AF171" t="n">
        <x:f>1+AF$9*($H$10*H171+$I$10*I171+$J$10*J171+$K$10*K171+$L$10*L171)</x:f>
        <x:v>1.1908793565421152</x:v>
      </x:c>
      <x:c r="AG171" t="n">
        <x:f>1+AG$9*($H$10*H171+$I$10*I171+$J$10*J171+$K$10*K171+$L$10*L171)</x:f>
        <x:v>1.3382806374274177</x:v>
      </x:c>
      <x:c r="AH171" t="n">
        <x:f>MIN(1,'_曲线基线'!$L$3+AH$9*($H$10*H171+$I$10*I171+$J$10*J171+$K$10*K171+$L$10*L171))</x:f>
        <x:v>0.4842505361333113</x:v>
      </x:c>
      <x:c r="AI171" t="n">
        <x:f>'_曲线基线'!$L$4+AI$9*($H$10*H171+$I$10*I171+$J$10*J171+$K$10*K171+$L$10*L171)</x:f>
        <x:v>3.209697922085653</x:v>
      </x:c>
      <x:c r="AJ171" t="n">
        <x:f>1+AJ$9*($H$10*H171+$I$10*I171+$J$10*J171+$K$10*K171+$L$10*L171)</x:f>
        <x:v>1.9925726540189974</x:v>
      </x:c>
      <x:c r="AK171" t="n">
        <x:f>(1+AH171*(AI171-1))*AJ171</x:f>
        <x:v>4.12471984866269</x:v>
      </x:c>
      <x:c r="AL171" t="n">
        <x:f>U171*AD171*AK171*F171</x:f>
        <x:v>1814400.71309673</x:v>
      </x:c>
      <x:c r="AM171" t="n">
        <x:f>IF($B171&lt;AM$8,0,AM$3+(AM$4-AM$3)*(POWER(AM$5,$B171-AM$8)-1)/(POWER(AM$5,$C$5-AM$8)-1))</x:f>
        <x:v>40.188857734835466</x:v>
      </x:c>
      <x:c r="AN171" t="n">
        <x:f>(((E171*'模块规划'!$D$10+G171*'模块规划'!$D$11+H171*'模块规划'!$D$13)*(1+'模块规划'!$G$14*H171)+(I171*'模块规划'!$D$15+J171*'模块规划'!$D$17+K171*'模块规划'!$D$16+L171*'模块规划'!$D$18))*(1+'模块规划'!$J$17*J171))*F171/(1-Q171)</x:f>
        <x:v>2366139.3097552676</x:v>
      </x:c>
      <x:c r="AO171" t="n">
        <x:f>AL171*AM171</x:f>
        <x:v>72918692.1326285</x:v>
      </x:c>
      <x:c r="AP171" t="n">
        <x:f>IF(AO171="","",INDEX('_曲线基线'!$A$3:$A$502,MIN(ROWS('_曲线基线'!$A$3:$A$502),COUNTIF('_曲线基线'!$E$3:$E$502,"&lt;"&amp;AO171)+1)))</x:f>
        <x:v>269</x:v>
      </x:c>
      <x:c r="AQ171" t="n">
        <x:f>IF(B171&lt;=2,1,IF(B171&lt;=6,2,IF(B171&lt;=9,3,IF(B171&lt;=19,4,5))))</x:f>
        <x:v>5</x:v>
      </x:c>
      <x:c r="AR171" t="n">
        <x:f>AN171*(1-Q171)/F171*$AS$3+U171*$AS$4+P171*$AS$5</x:f>
        <x:v>15691.372644802446</x:v>
      </x:c>
      <x:c r="AS171" t="n">
        <x:f>1+AH171*$AS$6+AI171*$AS$7+(AJ171-1)*$AS$8+($H$10*H171+$I$10*I171+$J$10*J171+$K$10*K171+$L$10*L171)*$AU$3*$AS$9+($H$10*H171+$I$10*I171+$J$10*J171+$K$10*K171+$L$10*L171)*$AU$4*$AS$10</x:f>
        <x:v>16.386838440060234</x:v>
      </x:c>
      <x:c r="AT171" t="n">
        <x:f>ROUND(AR171*AS171,0)</x:f>
        <x:v>257132</x:v>
      </x:c>
      <x:c r="AU171" t="n">
        <x:f>ROUND(AT171*F171,0)</x:f>
        <x:v>1285660</x:v>
      </x:c>
    </x:row>
    <x:row r="172">
      <x:c r="A172" t="str">
        <x:f>IFERROR(XLOOKUP(B172,'_曲线基线'!$G$3:$G$107,'_曲线基线'!$J$3:$J$107,""),"")</x:f>
      </x:c>
      <x:c r="B172" t="n">
        <x:v>161</x:v>
      </x:c>
      <x:c r="C172" t="n">
        <x:f>C157+1</x:f>
        <x:v>12</x:v>
      </x:c>
      <x:c r="D172" t="n">
        <x:f>D157</x:f>
        <x:v>2</x:v>
      </x:c>
      <x:c r="E172" t="n">
        <x:f>IF($B172&lt;E$8,0,E$3+(E$4-E$3)*(POWER(E$5,$B172-E$8)-1)/(POWER(E$5,$C$5-E$8)-1))</x:f>
        <x:v>1</x:v>
      </x:c>
      <x:c r="F172" t="n">
        <x:f>1+IF(B172&lt;3,0,MIN(1,(B172-2)/4))+IF(B172&lt;7,0,MIN(1,(B172-6)/3))+IF(B172&lt;10,0,MIN(1,(B172-9)/5))+IF(B172&lt;20,0,MIN(1,(B172-19)/10))</x:f>
        <x:v>5</x:v>
      </x:c>
      <x:c r="G172" t="n">
        <x:f>IF($B172&lt;G$8,0,G$3+(G$4-G$3)*(POWER(G$5,$B172-G$8)-1)/(POWER(G$5,$C$5-G$8)-1))</x:f>
        <x:v>0.8322856815225164</x:v>
      </x:c>
      <x:c r="H172" t="n">
        <x:f>IF($B172&lt;H$8,0,H$3+(H$4-H$3)*(POWER(H$5,$B172-H$8)-1)/(POWER(H$5,$C$5-H$8)-1))</x:f>
        <x:v>0.6672368125030979</x:v>
      </x:c>
      <x:c r="I172" t="n">
        <x:f>IF($B172&lt;I$8,0,I$3+(I$4-I$3)*(POWER(I$5,$B172-I$8)-1)/(POWER(I$5,$C$5-I$8)-1))</x:f>
        <x:v>0.5657603081410651</x:v>
      </x:c>
      <x:c r="J172" t="n">
        <x:f>IF($B172&lt;J$8,0,J$3+(J$4-J$3)*(POWER(J$5,$B172-J$8)-1)/(POWER(J$5,$C$5-J$8)-1))</x:f>
        <x:v>0.5611303556479142</x:v>
      </x:c>
      <x:c r="K172" t="n">
        <x:f>IF($B172&lt;K$8,0,K$3+(K$4-K$3)*(POWER(K$5,$B172-K$8)-1)/(POWER(K$5,$C$5-K$8)-1))</x:f>
        <x:v>0.47317881595579275</x:v>
      </x:c>
      <x:c r="L172" t="n">
        <x:f>IF($B172&lt;L$8,0,L$3+(L$4-L$3)*(POWER(L$5,$B172-L$8)-1)/(POWER(L$5,$C$5-L$8)-1))</x:f>
        <x:v>0.6665649328103782</x:v>
      </x:c>
      <x:c r="M172" t="n">
        <x:f>E172*'模块规划'!$F$10+G172*'模块规划'!$F$11+H172*'模块规划'!$F$13</x:f>
        <x:v>4994.971271308079</x:v>
      </x:c>
      <x:c r="N172" t="n">
        <x:f>I172*'模块规划'!$F$15+J172*'模块规划'!$F$17+K172*'模块规划'!$F$16+L172*'模块规划'!$F$18</x:f>
        <x:v>16309.283581394313</x:v>
      </x:c>
      <x:c r="O172" t="n">
        <x:f>1+O$9*SUMPRODUCT($H$10:$L$10,H172:L172)/SUM($H$10:$L$10)</x:f>
        <x:v>3.1683986118315186</x:v>
      </x:c>
      <x:c r="P172" t="n">
        <x:f>M172*O172+N172</x:f>
        <x:v>32135.343623545145</x:v>
      </x:c>
      <x:c r="Q172" t="n">
        <x:f>P172/(P172+'_曲线基线'!$L$2)</x:f>
        <x:v>0.5724618671447207</x:v>
      </x:c>
      <x:c r="R172" t="n">
        <x:f>E172*'模块规划'!$E$10+G172*'模块规划'!$E$11+H172*'模块规划'!$E$13</x:f>
        <x:v>7492.4569069621175</x:v>
      </x:c>
      <x:c r="S172" t="n">
        <x:f>I172*'模块规划'!$E$15+J172*'模块规划'!$E$17+K172*'模块规划'!$E$16+L172*'模块规划'!$E$18</x:f>
        <x:v>24463.92537209147</x:v>
      </x:c>
      <x:c r="T172" t="n">
        <x:f>1+T$9*SUMPRODUCT($H$10:$L$10,H172:L172)/SUM($H$10:$L$10)</x:f>
        <x:v>3.1683986118315186</x:v>
      </x:c>
      <x:c r="U172" t="n">
        <x:f>R172*T172+S172</x:f>
        <x:v>48203.01543531772</x:v>
      </x:c>
      <x:c r="V172" t="n">
        <x:f>V$8+(V$9-V$8)*H172</x:f>
        <x:v>0.9001710437509294</x:v>
      </x:c>
      <x:c r="W172" t="n">
        <x:f>IF(B172&lt;$H$8,0,W$8+(W$9-W$8)*H172)</x:f>
        <x:v>0.2668947250012392</x:v>
      </x:c>
      <x:c r="X172" t="n">
        <x:f>X$8+(X$9-X$8)*H172</x:f>
        <x:v>0.45849012343835194</x:v>
      </x:c>
      <x:c r="Y172" t="n">
        <x:f>Y$8+(Y$9-Y$8)*G172</x:f>
        <x:v>1</x:v>
      </x:c>
      <x:c r="Z172" t="n">
        <x:f>Z$8+(Z$9-Z$8)*H172</x:f>
        <x:v>1</x:v>
      </x:c>
      <x:c r="AA172" t="n">
        <x:f>AA$8+(AA$9-AA$8)*I172</x:f>
        <x:v>1</x:v>
      </x:c>
      <x:c r="AB172" t="n">
        <x:f>AB$8+(AB$9-AB$8)*J172</x:f>
        <x:v>1</x:v>
      </x:c>
      <x:c r="AC172" t="n">
        <x:f>AC$8+(AC$9-AC$8)*MAX(K172,L172)</x:f>
        <x:v>1</x:v>
      </x:c>
      <x:c r="AD172" t="n">
        <x:f>(V172*AE172+W172*AF172+X172*AG172)*PRODUCT(Y172:AC172)</x:f>
        <x:v>1.832140335906531</x:v>
      </x:c>
      <x:c r="AE172" t="n">
        <x:f>1+AE$9*($H$10*H172+$I$10*I172+$J$10*J172+$K$10*K172+$L$10*L172)</x:f>
        <x:v>1</x:v>
      </x:c>
      <x:c r="AF172" t="n">
        <x:f>1+AF$9*($H$10*H172+$I$10*I172+$J$10*J172+$K$10*K172+$L$10*L172)</x:f>
        <x:v>1.1913809301130653</x:v>
      </x:c>
      <x:c r="AG172" t="n">
        <x:f>1+AG$9*($H$10*H172+$I$10*I172+$J$10*J172+$K$10*K172+$L$10*L172)</x:f>
        <x:v>1.3391695372559351</x:v>
      </x:c>
      <x:c r="AH172" t="n">
        <x:f>MIN(1,'_曲线基线'!$L$3+AH$9*($H$10*H172+$I$10*I172+$J$10*J172+$K$10*K172+$L$10*L172))</x:f>
        <x:v>0.48539161600722325</x:v>
      </x:c>
      <x:c r="AI172" t="n">
        <x:f>'_曲线基线'!$L$4+AI$9*($H$10*H172+$I$10*I172+$J$10*J172+$K$10*K172+$L$10*L172)</x:f>
        <x:v>3.2128766445915504</x:v>
      </x:c>
      <x:c r="AJ172" t="n">
        <x:f>1+AJ$9*($H$10*H172+$I$10*I172+$J$10*J172+$K$10*K172+$L$10*L172)</x:f>
        <x:v>1.9951808365879389</x:v>
      </x:c>
      <x:c r="AK172" t="n">
        <x:f>(1+AH172*(AI172-1))*AJ172</x:f>
        <x:v>4.138228057528743</x:v>
      </x:c>
      <x:c r="AL172" t="n">
        <x:f>U172*AD172*AK172*F172</x:f>
        <x:v>1827331.6173109617</x:v>
      </x:c>
      <x:c r="AM172" t="n">
        <x:f>IF($B172&lt;AM$8,0,AM$3+(AM$4-AM$3)*(POWER(AM$5,$B172-AM$8)-1)/(POWER(AM$5,$C$5-AM$8)-1))</x:f>
        <x:v>40.25417095210569</x:v>
      </x:c>
      <x:c r="AN172" t="n">
        <x:f>(((E172*'模块规划'!$D$10+G172*'模块规划'!$D$11+H172*'模块规划'!$D$13)*(1+'模块规划'!$G$14*H172)+(I172*'模块规划'!$D$15+J172*'模块规划'!$D$17+K172*'模块规划'!$D$16+L172*'模块规划'!$D$18))*(1+'模块规划'!$J$17*J172))*F172/(1-Q172)</x:f>
        <x:v>2378087.3538923487</x:v>
      </x:c>
      <x:c r="AO172" t="n">
        <x:f>AL172*AM172</x:f>
        <x:v>73557719.30942322</x:v>
      </x:c>
      <x:c r="AP172" t="n">
        <x:f>IF(AO172="","",INDEX('_曲线基线'!$A$3:$A$502,MIN(ROWS('_曲线基线'!$A$3:$A$502),COUNTIF('_曲线基线'!$E$3:$E$502,"&lt;"&amp;AO172)+1)))</x:f>
        <x:v>270</x:v>
      </x:c>
      <x:c r="AQ172" t="n">
        <x:f>IF(B172&lt;=2,1,IF(B172&lt;=6,2,IF(B172&lt;=9,3,IF(B172&lt;=19,4,5))))</x:f>
        <x:v>5</x:v>
      </x:c>
      <x:c r="AR172" t="n">
        <x:f>AN172*(1-Q172)/F172*$AS$3+U172*$AS$4+P172*$AS$5</x:f>
        <x:v>15740.941249362862</x:v>
      </x:c>
      <x:c r="AS172" t="n">
        <x:f>1+AH172*$AS$6+AI172*$AS$7+(AJ172-1)*$AS$8+($H$10*H172+$I$10*I172+$J$10*J172+$K$10*K172+$L$10*L172)*$AU$3*$AS$9+($H$10*H172+$I$10*I172+$J$10*J172+$K$10*K172+$L$10*L172)*$AU$4*$AS$10</x:f>
        <x:v>16.416808030837483</x:v>
      </x:c>
      <x:c r="AT172" t="n">
        <x:f>ROUND(AR172*AS172,0)</x:f>
        <x:v>258416</x:v>
      </x:c>
      <x:c r="AU172" t="n">
        <x:f>ROUND(AT172*F172,0)</x:f>
        <x:v>1292080</x:v>
      </x:c>
    </x:row>
    <x:row r="173">
      <x:c r="A173" t="str">
        <x:f>IFERROR(XLOOKUP(B173,'_曲线基线'!$G$3:$G$107,'_曲线基线'!$J$3:$J$107,""),"")</x:f>
      </x:c>
      <x:c r="B173" t="n">
        <x:v>162</x:v>
      </x:c>
      <x:c r="C173" t="n">
        <x:f>C158+1</x:f>
        <x:v>12</x:v>
      </x:c>
      <x:c r="D173" t="n">
        <x:f>D158</x:f>
        <x:v>3</x:v>
      </x:c>
      <x:c r="E173" t="n">
        <x:f>IF($B173&lt;E$8,0,E$3+(E$4-E$3)*(POWER(E$5,$B173-E$8)-1)/(POWER(E$5,$C$5-E$8)-1))</x:f>
        <x:v>1</x:v>
      </x:c>
      <x:c r="F173" t="n">
        <x:f>1+IF(B173&lt;3,0,MIN(1,(B173-2)/4))+IF(B173&lt;7,0,MIN(1,(B173-6)/3))+IF(B173&lt;10,0,MIN(1,(B173-9)/5))+IF(B173&lt;20,0,MIN(1,(B173-19)/10))</x:f>
        <x:v>5</x:v>
      </x:c>
      <x:c r="G173" t="n">
        <x:f>IF($B173&lt;G$8,0,G$3+(G$4-G$3)*(POWER(G$5,$B173-G$8)-1)/(POWER(G$5,$C$5-G$8)-1))</x:f>
        <x:v>0.8335065867541745</x:v>
      </x:c>
      <x:c r="H173" t="n">
        <x:f>IF($B173&lt;H$8,0,H$3+(H$4-H$3)*(POWER(H$5,$B173-H$8)-1)/(POWER(H$5,$C$5-H$8)-1))</x:f>
        <x:v>0.6679586184925472</x:v>
      </x:c>
      <x:c r="I173" t="n">
        <x:f>IF($B173&lt;I$8,0,I$3+(I$4-I$3)*(POWER(I$5,$B173-I$8)-1)/(POWER(I$5,$C$5-I$8)-1))</x:f>
        <x:v>0.5676161933213121</x:v>
      </x:c>
      <x:c r="J173" t="n">
        <x:f>IF($B173&lt;J$8,0,J$3+(J$4-J$3)*(POWER(J$5,$B173-J$8)-1)/(POWER(J$5,$C$5-J$8)-1))</x:f>
        <x:v>0.5619866930266799</x:v>
      </x:c>
      <x:c r="K173" t="n">
        <x:f>IF($B173&lt;K$8,0,K$3+(K$4-K$3)*(POWER(K$5,$B173-K$8)-1)/(POWER(K$5,$C$5-K$8)-1))</x:f>
        <x:v>0.47707436457165037</x:v>
      </x:c>
      <x:c r="L173" t="n">
        <x:f>IF($B173&lt;L$8,0,L$3+(L$4-L$3)*(POWER(L$5,$B173-L$8)-1)/(POWER(L$5,$C$5-L$8)-1))</x:f>
        <x:v>0.6673015409855564</x:v>
      </x:c>
      <x:c r="M173" t="n">
        <x:f>E173*'模块规划'!$F$10+G173*'模块规划'!$F$11+H173*'模块规划'!$F$13</x:f>
        <x:v>5000.831616420038</x:v>
      </x:c>
      <x:c r="N173" t="n">
        <x:f>I173*'模块规划'!$F$15+J173*'模块规划'!$F$17+K173*'模块规划'!$F$16+L173*'模块规划'!$F$18</x:f>
        <x:v>16359.750369194979</x:v>
      </x:c>
      <x:c r="O173" t="n">
        <x:f>1+O$9*SUMPRODUCT($H$10:$L$10,H173:L173)/SUM($H$10:$L$10)</x:f>
        <x:v>3.173967919106024</x:v>
      </x:c>
      <x:c r="P173" t="n">
        <x:f>M173*O173+N173</x:f>
        <x:v>32232.229488563302</x:v>
      </x:c>
      <x:c r="Q173" t="n">
        <x:f>P173/(P173+'_曲线基线'!$L$2)</x:f>
        <x:v>0.5731984981160813</x:v>
      </x:c>
      <x:c r="R173" t="n">
        <x:f>E173*'模块规划'!$E$10+G173*'模块规划'!$E$11+H173*'模块规划'!$E$13</x:f>
        <x:v>7501.247424630057</x:v>
      </x:c>
      <x:c r="S173" t="n">
        <x:f>I173*'模块规划'!$E$15+J173*'模块规划'!$E$17+K173*'模块规划'!$E$16+L173*'模块规划'!$E$18</x:f>
        <x:v>24539.62555379247</x:v>
      </x:c>
      <x:c r="T173" t="n">
        <x:f>1+T$9*SUMPRODUCT($H$10:$L$10,H173:L173)/SUM($H$10:$L$10)</x:f>
        <x:v>3.173967919106024</x:v>
      </x:c>
      <x:c r="U173" t="n">
        <x:f>R173*T173+S173</x:f>
        <x:v>48348.34423284495</x:v>
      </x:c>
      <x:c r="V173" t="n">
        <x:f>V$8+(V$9-V$8)*H173</x:f>
        <x:v>0.9003875855477641</x:v>
      </x:c>
      <x:c r="W173" t="n">
        <x:f>IF(B173&lt;$H$8,0,W$8+(W$9-W$8)*H173)</x:f>
        <x:v>0.2671834473970189</x:v>
      </x:c>
      <x:c r="X173" t="n">
        <x:f>X$8+(X$9-X$8)*H173</x:f>
        <x:v>0.4586886200854505</x:v>
      </x:c>
      <x:c r="Y173" t="n">
        <x:f>Y$8+(Y$9-Y$8)*G173</x:f>
        <x:v>1</x:v>
      </x:c>
      <x:c r="Z173" t="n">
        <x:f>Z$8+(Z$9-Z$8)*H173</x:f>
        <x:v>1</x:v>
      </x:c>
      <x:c r="AA173" t="n">
        <x:f>AA$8+(AA$9-AA$8)*I173</x:f>
        <x:v>1</x:v>
      </x:c>
      <x:c r="AB173" t="n">
        <x:f>AB$8+(AB$9-AB$8)*J173</x:f>
        <x:v>1</x:v>
      </x:c>
      <x:c r="AC173" t="n">
        <x:f>AC$8+(AC$9-AC$8)*MAX(K173,L173)</x:f>
        <x:v>1</x:v>
      </x:c>
      <x:c r="AD173" t="n">
        <x:f>(V173*AE173+W173*AF173+X173*AG173)*PRODUCT(Y173:AC173)</x:f>
        <x:v>1.8334975823065516</x:v>
      </x:c>
      <x:c r="AE173" t="n">
        <x:f>1+AE$9*($H$10*H173+$I$10*I173+$J$10*J173+$K$10*K173+$L$10*L173)</x:f>
        <x:v>1</x:v>
      </x:c>
      <x:c r="AF173" t="n">
        <x:f>1+AF$9*($H$10*H173+$I$10*I173+$J$10*J173+$K$10*K173+$L$10*L173)</x:f>
        <x:v>1.1918724722125966</x:v>
      </x:c>
      <x:c r="AG173" t="n">
        <x:f>1+AG$9*($H$10*H173+$I$10*I173+$J$10*J173+$K$10*K173+$L$10*L173)</x:f>
        <x:v>1.3400406590878822</x:v>
      </x:c>
      <x:c r="AH173" t="n">
        <x:f>MIN(1,'_曲线基线'!$L$3+AH$9*($H$10*H173+$I$10*I173+$J$10*J173+$K$10*K173+$L$10*L173))</x:f>
        <x:v>0.48650987428365683</x:v>
      </x:c>
      <x:c r="AI173" t="n">
        <x:f>'_曲线基线'!$L$4+AI$9*($H$10*H173+$I$10*I173+$J$10*J173+$K$10*K173+$L$10*L173)</x:f>
        <x:v>3.21599179264733</x:v>
      </x:c>
      <x:c r="AJ173" t="n">
        <x:f>1+AJ$9*($H$10*H173+$I$10*I173+$J$10*J173+$K$10*K173+$L$10*L173)</x:f>
        <x:v>1.9977368555055013</x:v>
      </x:c>
      <x:c r="AK173" t="n">
        <x:f>(1+AH173*(AI173-1))*AJ173</x:f>
        <x:v>4.151500732061072</x:v>
      </x:c>
      <x:c r="AL173" t="n">
        <x:f>U173*AD173*AK173*F173</x:f>
        <x:v>1840081.5481489762</x:v>
      </x:c>
      <x:c r="AM173" t="n">
        <x:f>IF($B173&lt;AM$8,0,AM$3+(AM$4-AM$3)*(POWER(AM$5,$B173-AM$8)-1)/(POWER(AM$5,$C$5-AM$8)-1))</x:f>
        <x:v>40.32013730154861</x:v>
      </x:c>
      <x:c r="AN173" t="n">
        <x:f>(((E173*'模块规划'!$D$10+G173*'模块规划'!$D$11+H173*'模块规划'!$D$13)*(1+'模块规划'!$G$14*H173)+(I173*'模块规划'!$D$15+J173*'模块规划'!$D$17+K173*'模块规划'!$D$16+L173*'模块规划'!$D$18))*(1+'模块规划'!$J$17*J173))*F173/(1-Q173)</x:f>
        <x:v>2389842.871328593</x:v>
      </x:c>
      <x:c r="AO173" t="n">
        <x:f>AL173*AM173</x:f>
        <x:v>74192340.66741285</x:v>
      </x:c>
      <x:c r="AP173" t="n">
        <x:f>IF(AO173="","",INDEX('_曲线基线'!$A$3:$A$502,MIN(ROWS('_曲线基线'!$A$3:$A$502),COUNTIF('_曲线基线'!$E$3:$E$502,"&lt;"&amp;AO173)+1)))</x:f>
        <x:v>270</x:v>
      </x:c>
      <x:c r="AQ173" t="n">
        <x:f>IF(B173&lt;=2,1,IF(B173&lt;=6,2,IF(B173&lt;=9,3,IF(B173&lt;=19,4,5))))</x:f>
        <x:v>5</x:v>
      </x:c>
      <x:c r="AR173" t="n">
        <x:f>AN173*(1-Q173)/F173*$AS$3+U173*$AS$4+P173*$AS$5</x:f>
        <x:v>15789.60000706671</x:v>
      </x:c>
      <x:c r="AS173" t="n">
        <x:f>1+AH173*$AS$6+AI173*$AS$7+(AJ173-1)*$AS$8+($H$10*H173+$I$10*I173+$J$10*J173+$K$10*K173+$L$10*L173)*$AU$3*$AS$9+($H$10*H173+$I$10*I173+$J$10*J173+$K$10*K173+$L$10*L173)*$AU$4*$AS$10</x:f>
        <x:v>16.446178229799187</x:v>
      </x:c>
      <x:c r="AT173" t="n">
        <x:f>ROUND(AR173*AS173,0)</x:f>
        <x:v>259679</x:v>
      </x:c>
      <x:c r="AU173" t="n">
        <x:f>ROUND(AT173*F173,0)</x:f>
        <x:v>1298395</x:v>
      </x:c>
    </x:row>
    <x:row r="174">
      <x:c r="A174" t="str">
        <x:f>IFERROR(XLOOKUP(B174,'_曲线基线'!$G$3:$G$107,'_曲线基线'!$J$3:$J$107,""),"")</x:f>
      </x:c>
      <x:c r="B174" t="n">
        <x:v>163</x:v>
      </x:c>
      <x:c r="C174" t="n">
        <x:f>C159+1</x:f>
        <x:v>12</x:v>
      </x:c>
      <x:c r="D174" t="n">
        <x:f>D159</x:f>
        <x:v>4</x:v>
      </x:c>
      <x:c r="E174" t="n">
        <x:f>IF($B174&lt;E$8,0,E$3+(E$4-E$3)*(POWER(E$5,$B174-E$8)-1)/(POWER(E$5,$C$5-E$8)-1))</x:f>
        <x:v>1</x:v>
      </x:c>
      <x:c r="F174" t="n">
        <x:f>1+IF(B174&lt;3,0,MIN(1,(B174-2)/4))+IF(B174&lt;7,0,MIN(1,(B174-6)/3))+IF(B174&lt;10,0,MIN(1,(B174-9)/5))+IF(B174&lt;20,0,MIN(1,(B174-19)/10))</x:f>
        <x:v>5</x:v>
      </x:c>
      <x:c r="G174" t="n">
        <x:f>IF($B174&lt;G$8,0,G$3+(G$4-G$3)*(POWER(G$5,$B174-G$8)-1)/(POWER(G$5,$C$5-G$8)-1))</x:f>
        <x:v>0.8347091784073577</x:v>
      </x:c>
      <x:c r="H174" t="n">
        <x:f>IF($B174&lt;H$8,0,H$3+(H$4-H$3)*(POWER(H$5,$B174-H$8)-1)/(POWER(H$5,$C$5-H$8)-1))</x:f>
        <x:v>0.6686659883622077</x:v>
      </x:c>
      <x:c r="I174" t="n">
        <x:f>IF($B174&lt;I$8,0,I$3+(I$4-I$3)*(POWER(I$5,$B174-I$8)-1)/(POWER(I$5,$C$5-I$8)-1))</x:f>
        <x:v>0.569434960797954</x:v>
      </x:c>
      <x:c r="J174" t="n">
        <x:f>IF($B174&lt;J$8,0,J$3+(J$4-J$3)*(POWER(J$5,$B174-J$8)-1)/(POWER(J$5,$C$5-J$8)-1))</x:f>
        <x:v>0.5628259036578702</x:v>
      </x:c>
      <x:c r="K174" t="n">
        <x:f>IF($B174&lt;K$8,0,K$3+(K$4-K$3)*(POWER(K$5,$B174-K$8)-1)/(POWER(K$5,$C$5-K$8)-1))</x:f>
        <x:v>0.480892002215191</x:v>
      </x:c>
      <x:c r="L174" t="n">
        <x:f>IF($B174&lt;L$8,0,L$3+(L$4-L$3)*(POWER(L$5,$B174-L$8)-1)/(POWER(L$5,$C$5-L$8)-1))</x:f>
        <x:v>0.6680234169972309</x:v>
      </x:c>
      <x:c r="M174" t="n">
        <x:f>E174*'模块规划'!$F$10+G174*'模块规划'!$F$11+H174*'模块规划'!$F$13</x:f>
        <x:v>5006.604056355317</x:v>
      </x:c>
      <x:c r="N174" t="n">
        <x:f>I174*'模块规划'!$F$15+J174*'模块规划'!$F$17+K174*'模块规划'!$F$16+L174*'模块规划'!$F$18</x:f>
        <x:v>16409.207821239637</x:v>
      </x:c>
      <x:c r="O174" t="n">
        <x:f>1+O$9*SUMPRODUCT($H$10:$L$10,H174:L174)/SUM($H$10:$L$10)</x:f>
        <x:v>3.17942584023504</x:v>
      </x:c>
      <x:c r="P174" t="n">
        <x:f>M174*O174+N174</x:f>
        <x:v>32327.3341298413</x:v>
      </x:c>
      <x:c r="Q174" t="n">
        <x:f>P174/(P174+'_曲线基线'!$L$2)</x:f>
        <x:v>0.5739191216705356</x:v>
      </x:c>
      <x:c r="R174" t="n">
        <x:f>E174*'模块规划'!$E$10+G174*'模块规划'!$E$11+H174*'模块规划'!$E$13</x:f>
        <x:v>7509.906084532975</x:v>
      </x:c>
      <x:c r="S174" t="n">
        <x:f>I174*'模块规划'!$E$15+J174*'模块规划'!$E$17+K174*'模块规划'!$E$16+L174*'模块规划'!$E$18</x:f>
        <x:v>24613.811731859452</x:v>
      </x:c>
      <x:c r="T174" t="n">
        <x:f>1+T$9*SUMPRODUCT($H$10:$L$10,H174:L174)/SUM($H$10:$L$10)</x:f>
        <x:v>3.17942584023504</x:v>
      </x:c>
      <x:c r="U174" t="n">
        <x:f>R174*T174+S174</x:f>
        <x:v>48491.00119476195</x:v>
      </x:c>
      <x:c r="V174" t="n">
        <x:f>V$8+(V$9-V$8)*H174</x:f>
        <x:v>0.9005997965086623</x:v>
      </x:c>
      <x:c r="W174" t="n">
        <x:f>IF(B174&lt;$H$8,0,W$8+(W$9-W$8)*H174)</x:f>
        <x:v>0.2674663953448831</x:v>
      </x:c>
      <x:c r="X174" t="n">
        <x:f>X$8+(X$9-X$8)*H174</x:f>
        <x:v>0.4588831467996072</x:v>
      </x:c>
      <x:c r="Y174" t="n">
        <x:f>Y$8+(Y$9-Y$8)*G174</x:f>
        <x:v>1</x:v>
      </x:c>
      <x:c r="Z174" t="n">
        <x:f>Z$8+(Z$9-Z$8)*H174</x:f>
        <x:v>1</x:v>
      </x:c>
      <x:c r="AA174" t="n">
        <x:f>AA$8+(AA$9-AA$8)*I174</x:f>
        <x:v>1</x:v>
      </x:c>
      <x:c r="AB174" t="n">
        <x:f>AB$8+(AB$9-AB$8)*J174</x:f>
        <x:v>1</x:v>
      </x:c>
      <x:c r="AC174" t="n">
        <x:f>AC$8+(AC$9-AC$8)*MAX(K174,L174)</x:f>
        <x:v>1</x:v>
      </x:c>
      <x:c r="AD174" t="n">
        <x:f>(V174*AE174+W174*AF174+X174*AG174)*PRODUCT(Y174:AC174)</x:f>
        <x:v>1.8348282946824181</x:v>
      </x:c>
      <x:c r="AE174" t="n">
        <x:f>1+AE$9*($H$10*H174+$I$10*I174+$J$10*J174+$K$10*K174+$L$10*L174)</x:f>
        <x:v>1</x:v>
      </x:c>
      <x:c r="AF174" t="n">
        <x:f>1+AF$9*($H$10*H174+$I$10*I174+$J$10*J174+$K$10*K174+$L$10*L174)</x:f>
        <x:v>1.1923541834701372</x:v>
      </x:c>
      <x:c r="AG174" t="n">
        <x:f>1+AG$9*($H$10*H174+$I$10*I174+$J$10*J174+$K$10*K174+$L$10*L174)</x:f>
        <x:v>1.3408943584831903</x:v>
      </x:c>
      <x:c r="AH174" t="n">
        <x:f>MIN(1,'_曲线基线'!$L$3+AH$9*($H$10*H174+$I$10*I174+$J$10*J174+$K$10*K174+$L$10*L174))</x:f>
        <x:v>0.4876057673945618</x:v>
      </x:c>
      <x:c r="AI174" t="n">
        <x:f>'_曲线基线'!$L$4+AI$9*($H$10*H174+$I$10*I174+$J$10*J174+$K$10*K174+$L$10*L174)</x:f>
        <x:v>3.2190446377419937</x:v>
      </x:c>
      <x:c r="AJ174" t="n">
        <x:f>1+AJ$9*($H$10*H174+$I$10*I174+$J$10*J174+$K$10*K174+$L$10*L174)</x:f>
        <x:v>2.000241754044713</x:v>
      </x:c>
      <x:c r="AK174" t="n">
        <x:f>(1+AH174*(AI174-1))*AJ174</x:f>
        <x:v>4.164541263443532</x:v>
      </x:c>
      <x:c r="AL174" t="n">
        <x:f>U174*AD174*AK174*F174</x:f>
        <x:v>1852651.590881304</x:v>
      </x:c>
      <x:c r="AM174" t="n">
        <x:f>IF($B174&lt;AM$8,0,AM$3+(AM$4-AM$3)*(POWER(AM$5,$B174-AM$8)-1)/(POWER(AM$5,$C$5-AM$8)-1))</x:f>
        <x:v>40.38676331448597</x:v>
      </x:c>
      <x:c r="AN174" t="n">
        <x:f>(((E174*'模块规划'!$D$10+G174*'模块规划'!$D$11+H174*'模块规划'!$D$13)*(1+'模块规划'!$G$14*H174)+(I174*'模块规划'!$D$15+J174*'模块规划'!$D$17+K174*'模块规划'!$D$16+L174*'模块规划'!$D$18))*(1+'模块规划'!$J$17*J174))*F174/(1-Q174)</x:f>
        <x:v>2401408.251384769</x:v>
      </x:c>
      <x:c r="AO174" t="n">
        <x:f>AL174*AM174</x:f>
        <x:v>74822601.30512911</x:v>
      </x:c>
      <x:c r="AP174" t="n">
        <x:f>IF(AO174="","",INDEX('_曲线基线'!$A$3:$A$502,MIN(ROWS('_曲线基线'!$A$3:$A$502),COUNTIF('_曲线基线'!$E$3:$E$502,"&lt;"&amp;AO174)+1)))</x:f>
        <x:v>271</x:v>
      </x:c>
      <x:c r="AQ174" t="n">
        <x:f>IF(B174&lt;=2,1,IF(B174&lt;=6,2,IF(B174&lt;=9,3,IF(B174&lt;=19,4,5))))</x:f>
        <x:v>5</x:v>
      </x:c>
      <x:c r="AR174" t="n">
        <x:f>AN174*(1-Q174)/F174*$AS$3+U174*$AS$4+P174*$AS$5</x:f>
        <x:v>15837.365060818265</x:v>
      </x:c>
      <x:c r="AS174" t="n">
        <x:f>1+AH174*$AS$6+AI174*$AS$7+(AJ174-1)*$AS$8+($H$10*H174+$I$10*I174+$J$10*J174+$K$10*K174+$L$10*L174)*$AU$3*$AS$9+($H$10*H174+$I$10*I174+$J$10*J174+$K$10*K174+$L$10*L174)*$AU$4*$AS$10</x:f>
        <x:v>16.474961024781656</x:v>
      </x:c>
      <x:c r="AT174" t="n">
        <x:f>ROUND(AR174*AS174,0)</x:f>
        <x:v>260920</x:v>
      </x:c>
      <x:c r="AU174" t="n">
        <x:f>ROUND(AT174*F174,0)</x:f>
        <x:v>1304600</x:v>
      </x:c>
    </x:row>
    <x:row r="175">
      <x:c r="A175" t="str">
        <x:f>IFERROR(XLOOKUP(B175,'_曲线基线'!$G$3:$G$107,'_曲线基线'!$J$3:$J$107,""),"")</x:f>
      </x:c>
      <x:c r="B175" t="n">
        <x:v>164</x:v>
      </x:c>
      <x:c r="C175" t="n">
        <x:f>C160+1</x:f>
        <x:v>12</x:v>
      </x:c>
      <x:c r="D175" t="n">
        <x:f>D160</x:f>
        <x:v>5</x:v>
      </x:c>
      <x:c r="E175" t="n">
        <x:f>IF($B175&lt;E$8,0,E$3+(E$4-E$3)*(POWER(E$5,$B175-E$8)-1)/(POWER(E$5,$C$5-E$8)-1))</x:f>
        <x:v>1</x:v>
      </x:c>
      <x:c r="F175" t="n">
        <x:f>1+IF(B175&lt;3,0,MIN(1,(B175-2)/4))+IF(B175&lt;7,0,MIN(1,(B175-6)/3))+IF(B175&lt;10,0,MIN(1,(B175-9)/5))+IF(B175&lt;20,0,MIN(1,(B175-19)/10))</x:f>
        <x:v>5</x:v>
      </x:c>
      <x:c r="G175" t="n">
        <x:f>IF($B175&lt;G$8,0,G$3+(G$4-G$3)*(POWER(G$5,$B175-G$8)-1)/(POWER(G$5,$C$5-G$8)-1))</x:f>
        <x:v>0.8358937311857432</x:v>
      </x:c>
      <x:c r="H175" t="n">
        <x:f>IF($B175&lt;H$8,0,H$3+(H$4-H$3)*(POWER(H$5,$B175-H$8)-1)/(POWER(H$5,$C$5-H$8)-1))</x:f>
        <x:v>0.6693592108344748</x:v>
      </x:c>
      <x:c r="I175" t="n">
        <x:f>IF($B175&lt;I$8,0,I$3+(I$4-I$3)*(POWER(I$5,$B175-I$8)-1)/(POWER(I$5,$C$5-I$8)-1))</x:f>
        <x:v>0.5712173529250631</x:v>
      </x:c>
      <x:c r="J175" t="n">
        <x:f>IF($B175&lt;J$8,0,J$3+(J$4-J$3)*(POWER(J$5,$B175-J$8)-1)/(POWER(J$5,$C$5-J$8)-1))</x:f>
        <x:v>0.5636483300764367</x:v>
      </x:c>
      <x:c r="K175" t="n">
        <x:f>IF($B175&lt;K$8,0,K$3+(K$4-K$3)*(POWER(K$5,$B175-K$8)-1)/(POWER(K$5,$C$5-K$8)-1))</x:f>
        <x:v>0.4846332871058607</x:v>
      </x:c>
      <x:c r="L175" t="n">
        <x:f>IF($B175&lt;L$8,0,L$3+(L$4-L$3)*(POWER(L$5,$B175-L$8)-1)/(POWER(L$5,$C$5-L$8)-1))</x:f>
        <x:v>0.6687308554886721</x:v>
      </x:c>
      <x:c r="M175" t="n">
        <x:f>E175*'模块规划'!$F$10+G175*'模块规划'!$F$11+H175*'模块规划'!$F$13</x:f>
        <x:v>5012.289909691567</x:v>
      </x:c>
      <x:c r="N175" t="n">
        <x:f>I175*'模块规划'!$F$15+J175*'模块规划'!$F$17+K175*'模块规划'!$F$16+L175*'模块规划'!$F$18</x:f>
        <x:v>16457.676124243393</x:v>
      </x:c>
      <x:c r="O175" t="n">
        <x:f>1+O$9*SUMPRODUCT($H$10:$L$10,H175:L175)/SUM($H$10:$L$10)</x:f>
        <x:v>3.1847746029414754</x:v>
      </x:c>
      <x:c r="P175" t="n">
        <x:f>M175*O175+N175</x:f>
        <x:v>32420.689731208917</x:v>
      </x:c>
      <x:c r="Q175" t="n">
        <x:f>P175/(P175+'_曲线基线'!$L$2)</x:f>
        <x:v>0.5746241296528412</x:v>
      </x:c>
      <x:c r="R175" t="n">
        <x:f>E175*'模块规划'!$E$10+G175*'模块规划'!$E$11+H175*'模块规划'!$E$13</x:f>
        <x:v>7518.434864537351</x:v>
      </x:c>
      <x:c r="S175" t="n">
        <x:f>I175*'模块规划'!$E$15+J175*'模块规划'!$E$17+K175*'模块规划'!$E$16+L175*'模块规划'!$E$18</x:f>
        <x:v>24686.514186365097</x:v>
      </x:c>
      <x:c r="T175" t="n">
        <x:f>1+T$9*SUMPRODUCT($H$10:$L$10,H175:L175)/SUM($H$10:$L$10)</x:f>
        <x:v>3.1847746029414754</x:v>
      </x:c>
      <x:c r="U175" t="n">
        <x:f>R175*T175+S175</x:f>
        <x:v>48631.034596813384</x:v>
      </x:c>
      <x:c r="V175" t="n">
        <x:f>V$8+(V$9-V$8)*H175</x:f>
        <x:v>0.9008077632503424</x:v>
      </x:c>
      <x:c r="W175" t="n">
        <x:f>IF(B175&lt;$H$8,0,W$8+(W$9-W$8)*H175)</x:f>
        <x:v>0.2677436843337899</x:v>
      </x:c>
      <x:c r="X175" t="n">
        <x:f>X$8+(X$9-X$8)*H175</x:f>
        <x:v>0.45907378297948065</x:v>
      </x:c>
      <x:c r="Y175" t="n">
        <x:f>Y$8+(Y$9-Y$8)*G175</x:f>
        <x:v>1</x:v>
      </x:c>
      <x:c r="Z175" t="n">
        <x:f>Z$8+(Z$9-Z$8)*H175</x:f>
        <x:v>1</x:v>
      </x:c>
      <x:c r="AA175" t="n">
        <x:f>AA$8+(AA$9-AA$8)*I175</x:f>
        <x:v>1</x:v>
      </x:c>
      <x:c r="AB175" t="n">
        <x:f>AB$8+(AB$9-AB$8)*J175</x:f>
        <x:v>1</x:v>
      </x:c>
      <x:c r="AC175" t="n">
        <x:f>AC$8+(AC$9-AC$8)*MAX(K175,L175)</x:f>
        <x:v>1</x:v>
      </x:c>
      <x:c r="AD175" t="n">
        <x:f>(V175*AE175+W175*AF175+X175*AG175)*PRODUCT(Y175:AC175)</x:f>
        <x:v>1.8361329795228207</x:v>
      </x:c>
      <x:c r="AE175" t="n">
        <x:f>1+AE$9*($H$10*H175+$I$10*I175+$J$10*J175+$K$10*K175+$L$10*L175)</x:f>
        <x:v>1</x:v>
      </x:c>
      <x:c r="AF175" t="n">
        <x:f>1+AF$9*($H$10*H175+$I$10*I175+$J$10*J175+$K$10*K175+$L$10*L175)</x:f>
        <x:v>1.192826260502527</x:v>
      </x:c>
      <x:c r="AG175" t="n">
        <x:f>1+AG$9*($H$10*H175+$I$10*I175+$J$10*J175+$K$10*K175+$L$10*L175)</x:f>
        <x:v>1.3417309838905924</x:v>
      </x:c>
      <x:c r="AH175" t="n">
        <x:f>MIN(1,'_曲线基线'!$L$3+AH$9*($H$10*H175+$I$10*I175+$J$10*J175+$K$10*K175+$L$10*L175))</x:f>
        <x:v>0.4886797426432487</x:v>
      </x:c>
      <x:c r="AI175" t="n">
        <x:f>'_曲线基线'!$L$4+AI$9*($H$10*H175+$I$10*I175+$J$10*J175+$K$10*K175+$L$10*L175)</x:f>
        <x:v>3.2220364259347645</x:v>
      </x:c>
      <x:c r="AJ175" t="n">
        <x:f>1+AJ$9*($H$10*H175+$I$10*I175+$J$10*J175+$K$10*K175+$L$10*L175)</x:f>
        <x:v>2.00269655461314</x:v>
      </x:c>
      <x:c r="AK175" t="n">
        <x:f>(1+AH175*(AI175-1))*AJ175</x:f>
        <x:v>4.177353024240061</x:v>
      </x:c>
      <x:c r="AL175" t="n">
        <x:f>U175*AD175*AK175*F175</x:f>
        <x:v>1865042.888189417</x:v>
      </x:c>
      <x:c r="AM175" t="n">
        <x:f>IF($B175&lt;AM$8,0,AM$3+(AM$4-AM$3)*(POWER(AM$5,$B175-AM$8)-1)/(POWER(AM$5,$C$5-AM$8)-1))</x:f>
        <x:v>40.4540555875527</x:v>
      </x:c>
      <x:c r="AN175" t="n">
        <x:f>(((E175*'模块规划'!$D$10+G175*'模块规划'!$D$11+H175*'模块规划'!$D$13)*(1+'模块规划'!$G$14*H175)+(I175*'模块规划'!$D$15+J175*'模块规划'!$D$17+K175*'模块规划'!$D$16+L175*'模块规划'!$D$18))*(1+'模块规划'!$J$17*J175))*F175/(1-Q175)</x:f>
        <x:v>2412785.884246208</x:v>
      </x:c>
      <x:c r="AO175" t="n">
        <x:f>AL175*AM175</x:f>
        <x:v>75448548.67198452</x:v>
      </x:c>
      <x:c r="AP175" t="n">
        <x:f>IF(AO175="","",INDEX('_曲线基线'!$A$3:$A$502,MIN(ROWS('_曲线基线'!$A$3:$A$502),COUNTIF('_曲线基线'!$E$3:$E$502,"&lt;"&amp;AO175)+1)))</x:f>
        <x:v>271</x:v>
      </x:c>
      <x:c r="AQ175" t="n">
        <x:f>IF(B175&lt;=2,1,IF(B175&lt;=6,2,IF(B175&lt;=9,3,IF(B175&lt;=19,4,5))))</x:f>
        <x:v>5</x:v>
      </x:c>
      <x:c r="AR175" t="n">
        <x:f>AN175*(1-Q175)/F175*$AS$3+U175*$AS$4+P175*$AS$5</x:f>
        <x:v>15884.252292198094</x:v>
      </x:c>
      <x:c r="AS175" t="n">
        <x:f>1+AH175*$AS$6+AI175*$AS$7+(AJ175-1)*$AS$8+($H$10*H175+$I$10*I175+$J$10*J175+$K$10*K175+$L$10*L175)*$AU$3*$AS$9+($H$10*H175+$I$10*I175+$J$10*J175+$K$10*K175+$L$10*L175)*$AU$4*$AS$10</x:f>
        <x:v>16.50316816386448</x:v>
      </x:c>
      <x:c r="AT175" t="n">
        <x:f>ROUND(AR175*AS175,0)</x:f>
        <x:v>262140</x:v>
      </x:c>
      <x:c r="AU175" t="n">
        <x:f>ROUND(AT175*F175,0)</x:f>
        <x:v>1310700</x:v>
      </x:c>
    </x:row>
    <x:row r="176">
      <x:c r="A176" t="str">
        <x:f>IFERROR(XLOOKUP(B176,'_曲线基线'!$G$3:$G$107,'_曲线基线'!$J$3:$J$107,""),"")</x:f>
      </x:c>
      <x:c r="B176" t="n">
        <x:v>165</x:v>
      </x:c>
      <x:c r="C176" t="n">
        <x:f>C161+1</x:f>
        <x:v>12</x:v>
      </x:c>
      <x:c r="D176" t="n">
        <x:f>D161</x:f>
        <x:v>6</x:v>
      </x:c>
      <x:c r="E176" t="n">
        <x:f>IF($B176&lt;E$8,0,E$3+(E$4-E$3)*(POWER(E$5,$B176-E$8)-1)/(POWER(E$5,$C$5-E$8)-1))</x:f>
        <x:v>1</x:v>
      </x:c>
      <x:c r="F176" t="n">
        <x:f>1+IF(B176&lt;3,0,MIN(1,(B176-2)/4))+IF(B176&lt;7,0,MIN(1,(B176-6)/3))+IF(B176&lt;10,0,MIN(1,(B176-9)/5))+IF(B176&lt;20,0,MIN(1,(B176-19)/10))</x:f>
        <x:v>5</x:v>
      </x:c>
      <x:c r="G176" t="n">
        <x:f>IF($B176&lt;G$8,0,G$3+(G$4-G$3)*(POWER(G$5,$B176-G$8)-1)/(POWER(G$5,$C$5-G$8)-1))</x:f>
        <x:v>0.837060515672453</x:v>
      </x:c>
      <x:c r="H176" t="n">
        <x:f>IF($B176&lt;H$8,0,H$3+(H$4-H$3)*(POWER(H$5,$B176-H$8)-1)/(POWER(H$5,$C$5-H$8)-1))</x:f>
        <x:v>0.6700385688572967</x:v>
      </x:c>
      <x:c r="I176" t="n">
        <x:f>IF($B176&lt;I$8,0,I$3+(I$4-I$3)*(POWER(I$5,$B176-I$8)-1)/(POWER(I$5,$C$5-I$8)-1))</x:f>
        <x:v>0.57296409720963</x:v>
      </x:c>
      <x:c r="J176" t="n">
        <x:f>IF($B176&lt;J$8,0,J$3+(J$4-J$3)*(POWER(J$5,$B176-J$8)-1)/(POWER(J$5,$C$5-J$8)-1))</x:f>
        <x:v>0.5644543079666319</x:v>
      </x:c>
      <x:c r="K176" t="n">
        <x:f>IF($B176&lt;K$8,0,K$3+(K$4-K$3)*(POWER(K$5,$B176-K$8)-1)/(POWER(K$5,$C$5-K$8)-1))</x:f>
        <x:v>0.488299746298717</x:v>
      </x:c>
      <x:c r="L176" t="n">
        <x:f>IF($B176&lt;L$8,0,L$3+(L$4-L$3)*(POWER(L$5,$B176-L$8)-1)/(POWER(L$5,$C$5-L$8)-1))</x:f>
        <x:v>0.6694241452102843</x:v>
      </x:c>
      <x:c r="M176" t="n">
        <x:f>E176*'模块规划'!$F$10+G176*'模块规划'!$F$11+H176*'模块规划'!$F$13</x:f>
        <x:v>5017.890475227774</x:v>
      </x:c>
      <x:c r="N176" t="n">
        <x:f>I176*'模块规划'!$F$15+J176*'模块规划'!$F$17+K176*'模块规划'!$F$16+L176*'模块规划'!$F$18</x:f>
        <x:v>16505.17506118708</x:v>
      </x:c>
      <x:c r="O176" t="n">
        <x:f>1+O$9*SUMPRODUCT($H$10:$L$10,H176:L176)/SUM($H$10:$L$10)</x:f>
        <x:v>3.190016390393782</x:v>
      </x:c>
      <x:c r="P176" t="n">
        <x:f>M176*O176+N176</x:f>
        <x:v>32512.327922364522</x:v>
      </x:c>
      <x:c r="Q176" t="n">
        <x:f>P176/(P176+'_曲线基线'!$L$2)</x:f>
        <x:v>0.5753139026059817</x:v>
      </x:c>
      <x:c r="R176" t="n">
        <x:f>E176*'模块规划'!$E$10+G176*'模块规划'!$E$11+H176*'模块规划'!$E$13</x:f>
        <x:v>7526.835712841662</x:v>
      </x:c>
      <x:c r="S176" t="n">
        <x:f>I176*'模块规划'!$E$15+J176*'模块规划'!$E$17+K176*'模块规划'!$E$16+L176*'模块规划'!$E$18</x:f>
        <x:v>24757.76259178062</x:v>
      </x:c>
      <x:c r="T176" t="n">
        <x:f>1+T$9*SUMPRODUCT($H$10:$L$10,H176:L176)/SUM($H$10:$L$10)</x:f>
        <x:v>3.190016390393782</x:v>
      </x:c>
      <x:c r="U176" t="n">
        <x:f>R176*T176+S176</x:f>
        <x:v>48768.49188354679</x:v>
      </x:c>
      <x:c r="V176" t="n">
        <x:f>V$8+(V$9-V$8)*H176</x:f>
        <x:v>0.9010115706571891</x:v>
      </x:c>
      <x:c r="W176" t="n">
        <x:f>IF(B176&lt;$H$8,0,W$8+(W$9-W$8)*H176)</x:f>
        <x:v>0.2680154275429187</x:v>
      </x:c>
      <x:c r="X176" t="n">
        <x:f>X$8+(X$9-X$8)*H176</x:f>
        <x:v>0.4592606064357566</x:v>
      </x:c>
      <x:c r="Y176" t="n">
        <x:f>Y$8+(Y$9-Y$8)*G176</x:f>
        <x:v>1</x:v>
      </x:c>
      <x:c r="Z176" t="n">
        <x:f>Z$8+(Z$9-Z$8)*H176</x:f>
        <x:v>1</x:v>
      </x:c>
      <x:c r="AA176" t="n">
        <x:f>AA$8+(AA$9-AA$8)*I176</x:f>
        <x:v>1</x:v>
      </x:c>
      <x:c r="AB176" t="n">
        <x:f>AB$8+(AB$9-AB$8)*J176</x:f>
        <x:v>1</x:v>
      </x:c>
      <x:c r="AC176" t="n">
        <x:f>AC$8+(AC$9-AC$8)*MAX(K176,L176)</x:f>
        <x:v>1</x:v>
      </x:c>
      <x:c r="AD176" t="n">
        <x:f>(V176*AE176+W176*AF176+X176*AG176)*PRODUCT(Y176:AC176)</x:f>
        <x:v>1.8374121341446719</x:v>
      </x:c>
      <x:c r="AE176" t="n">
        <x:f>1+AE$9*($H$10*H176+$I$10*I176+$J$10*J176+$K$10*K176+$L$10*L176)</x:f>
        <x:v>1</x:v>
      </x:c>
      <x:c r="AF176" t="n">
        <x:f>1+AF$9*($H$10*H176+$I$10*I176+$J$10*J176+$K$10*K176+$L$10*L176)</x:f>
        <x:v>1.1932888959942691</x:v>
      </x:c>
      <x:c r="AG176" t="n">
        <x:f>1+AG$9*($H$10*H176+$I$10*I176+$J$10*J176+$K$10*K176+$L$10*L176)</x:f>
        <x:v>1.3425508767898462</x:v>
      </x:c>
      <x:c r="AH176" t="n">
        <x:f>MIN(1,'_曲线基线'!$L$3+AH$9*($H$10*H176+$I$10*I176+$J$10*J176+$K$10*K176+$L$10*L176))</x:f>
        <x:v>0.4897322383869619</x:v>
      </x:c>
      <x:c r="AI176" t="n">
        <x:f>'_曲线基线'!$L$4+AI$9*($H$10*H176+$I$10*I176+$J$10*J176+$K$10*K176+$L$10*L176)</x:f>
        <x:v>3.2249683783636796</x:v>
      </x:c>
      <x:c r="AJ176" t="n">
        <x:f>1+AJ$9*($H$10*H176+$I$10*I176+$J$10*J176+$K$10*K176+$L$10*L176)</x:f>
        <x:v>2.005102259170199</x:v>
      </x:c>
      <x:c r="AK176" t="n">
        <x:f>(1+AH176*(AI176-1))*AJ176</x:f>
        <x:v>4.189939366997894</x:v>
      </x:c>
      <x:c r="AL176" t="n">
        <x:f>U176*AD176*AK176*F176</x:f>
        <x:v>1877256.6368732078</x:v>
      </x:c>
      <x:c r="AM176" t="n">
        <x:f>IF($B176&lt;AM$8,0,AM$3+(AM$4-AM$3)*(POWER(AM$5,$B176-AM$8)-1)/(POWER(AM$5,$C$5-AM$8)-1))</x:f>
        <x:v>40.522020783350094</x:v>
      </x:c>
      <x:c r="AN176" t="n">
        <x:f>(((E176*'模块规划'!$D$10+G176*'模块规划'!$D$11+H176*'模块规划'!$D$13)*(1+'模块规划'!$G$14*H176)+(I176*'模块规划'!$D$15+J176*'模块规划'!$D$17+K176*'模块规划'!$D$16+L176*'模块规划'!$D$18))*(1+'模块规划'!$J$17*J176))*F176/(1-Q176)</x:f>
        <x:v>2423978.159327417</x:v>
      </x:c>
      <x:c r="AO176" t="n">
        <x:f>AL176*AM176</x:f>
        <x:v>76070232.45505802</x:v>
      </x:c>
      <x:c r="AP176" t="n">
        <x:f>IF(AO176="","",INDEX('_曲线基线'!$A$3:$A$502,MIN(ROWS('_曲线基线'!$A$3:$A$502),COUNTIF('_曲线基线'!$E$3:$E$502,"&lt;"&amp;AO176)+1)))</x:f>
        <x:v>272</x:v>
      </x:c>
      <x:c r="AQ176" t="n">
        <x:f>IF(B176&lt;=2,1,IF(B176&lt;=6,2,IF(B176&lt;=9,3,IF(B176&lt;=19,4,5))))</x:f>
        <x:v>5</x:v>
      </x:c>
      <x:c r="AR176" t="n">
        <x:f>AN176*(1-Q176)/F176*$AS$3+U176*$AS$4+P176*$AS$5</x:f>
        <x:v>15930.27732462794</x:v>
      </x:c>
      <x:c r="AS176" t="n">
        <x:f>1+AH176*$AS$6+AI176*$AS$7+(AJ176-1)*$AS$8+($H$10*H176+$I$10*I176+$J$10*J176+$K$10*K176+$L$10*L176)*$AU$3*$AS$9+($H$10*H176+$I$10*I176+$J$10*J176+$K$10*K176+$L$10*L176)*$AU$4*$AS$10</x:f>
        <x:v>16.530811160165648</x:v>
      </x:c>
      <x:c r="AT176" t="n">
        <x:f>ROUND(AR176*AS176,0)</x:f>
        <x:v>263340</x:v>
      </x:c>
      <x:c r="AU176" t="n">
        <x:f>ROUND(AT176*F176,0)</x:f>
        <x:v>1316700</x:v>
      </x:c>
    </x:row>
    <x:row r="177">
      <x:c r="A177" t="str">
        <x:f>IFERROR(XLOOKUP(B177,'_曲线基线'!$G$3:$G$107,'_曲线基线'!$J$3:$J$107,""),"")</x:f>
      </x:c>
      <x:c r="B177" t="n">
        <x:v>166</x:v>
      </x:c>
      <x:c r="C177" t="n">
        <x:f>C162+1</x:f>
        <x:v>12</x:v>
      </x:c>
      <x:c r="D177" t="n">
        <x:f>D162</x:f>
        <x:v>7</x:v>
      </x:c>
      <x:c r="E177" t="n">
        <x:f>IF($B177&lt;E$8,0,E$3+(E$4-E$3)*(POWER(E$5,$B177-E$8)-1)/(POWER(E$5,$C$5-E$8)-1))</x:f>
        <x:v>1</x:v>
      </x:c>
      <x:c r="F177" t="n">
        <x:f>1+IF(B177&lt;3,0,MIN(1,(B177-2)/4))+IF(B177&lt;7,0,MIN(1,(B177-6)/3))+IF(B177&lt;10,0,MIN(1,(B177-9)/5))+IF(B177&lt;20,0,MIN(1,(B177-19)/10))</x:f>
        <x:v>5</x:v>
      </x:c>
      <x:c r="G177" t="n">
        <x:f>IF($B177&lt;G$8,0,G$3+(G$4-G$3)*(POWER(G$5,$B177-G$8)-1)/(POWER(G$5,$C$5-G$8)-1))</x:f>
        <x:v>0.8382097983918619</x:v>
      </x:c>
      <x:c r="H177" t="n">
        <x:f>IF($B177&lt;H$8,0,H$3+(H$4-H$3)*(POWER(H$5,$B177-H$8)-1)/(POWER(H$5,$C$5-H$8)-1))</x:f>
        <x:v>0.6707043397196621</x:v>
      </x:c>
      <x:c r="I177" t="n">
        <x:f>IF($B177&lt;I$8,0,I$3+(I$4-I$3)*(POWER(I$5,$B177-I$8)-1)/(POWER(I$5,$C$5-I$8)-1))</x:f>
        <x:v>0.5746759066085056</x:v>
      </x:c>
      <x:c r="J177" t="n">
        <x:f>IF($B177&lt;J$8,0,J$3+(J$4-J$3)*(POWER(J$5,$B177-J$8)-1)/(POWER(J$5,$C$5-J$8)-1))</x:f>
        <x:v>0.5652441662990232</x:v>
      </x:c>
      <x:c r="K177" t="n">
        <x:f>IF($B177&lt;K$8,0,K$3+(K$4-K$3)*(POWER(K$5,$B177-K$8)-1)/(POWER(K$5,$C$5-K$8)-1))</x:f>
        <x:v>0.4918928763077162</x:v>
      </x:c>
      <x:c r="L177" t="n">
        <x:f>IF($B177&lt;L$8,0,L$3+(L$4-L$3)*(POWER(L$5,$B177-L$8)-1)/(POWER(L$5,$C$5-L$8)-1))</x:f>
        <x:v>0.6701035691374643</x:v>
      </x:c>
      <x:c r="M177" t="n">
        <x:f>E177*'模块规划'!$F$10+G177*'模块规划'!$F$11+H177*'模块规划'!$F$13</x:f>
        <x:v>5023.4070322809375</x:v>
      </x:c>
      <x:c r="N177" t="n">
        <x:f>I177*'模块规划'!$F$15+J177*'模块规划'!$F$17+K177*'模块规划'!$F$16+L177*'模块规划'!$F$18</x:f>
        <x:v>16551.724019391895</x:v>
      </x:c>
      <x:c r="O177" t="n">
        <x:f>1+O$9*SUMPRODUCT($H$10:$L$10,H177:L177)/SUM($H$10:$L$10)</x:f>
        <x:v>3.1951533420970426</x:v>
      </x:c>
      <x:c r="P177" t="n">
        <x:f>M177*O177+N177</x:f>
        <x:v>32602.279787298117</x:v>
      </x:c>
      <x:c r="Q177" t="n">
        <x:f>P177/(P177+'_曲线基线'!$L$2)</x:f>
        <x:v>0.5759888101647499</x:v>
      </x:c>
      <x:c r="R177" t="n">
        <x:f>E177*'模块规划'!$E$10+G177*'模块规划'!$E$11+H177*'模块规划'!$E$13</x:f>
        <x:v>7535.110548421406</x:v>
      </x:c>
      <x:c r="S177" t="n">
        <x:f>I177*'模块规划'!$E$15+J177*'模块规划'!$E$17+K177*'模块规划'!$E$16+L177*'模块规划'!$E$18</x:f>
        <x:v>24827.58602908784</x:v>
      </x:c>
      <x:c r="T177" t="n">
        <x:f>1+T$9*SUMPRODUCT($H$10:$L$10,H177:L177)/SUM($H$10:$L$10)</x:f>
        <x:v>3.1951533420970426</x:v>
      </x:c>
      <x:c r="U177" t="n">
        <x:f>R177*T177+S177</x:f>
        <x:v>48903.419680947176</x:v>
      </x:c>
      <x:c r="V177" t="n">
        <x:f>V$8+(V$9-V$8)*H177</x:f>
        <x:v>0.9012113019158986</x:v>
      </x:c>
      <x:c r="W177" t="n">
        <x:f>IF(B177&lt;$H$8,0,W$8+(W$9-W$8)*H177)</x:f>
        <x:v>0.26828173588786486</x:v>
      </x:c>
      <x:c r="X177" t="n">
        <x:f>X$8+(X$9-X$8)*H177</x:f>
        <x:v>0.45944369342290714</x:v>
      </x:c>
      <x:c r="Y177" t="n">
        <x:f>Y$8+(Y$9-Y$8)*G177</x:f>
        <x:v>1</x:v>
      </x:c>
      <x:c r="Z177" t="n">
        <x:f>Z$8+(Z$9-Z$8)*H177</x:f>
        <x:v>1</x:v>
      </x:c>
      <x:c r="AA177" t="n">
        <x:f>AA$8+(AA$9-AA$8)*I177</x:f>
        <x:v>1</x:v>
      </x:c>
      <x:c r="AB177" t="n">
        <x:f>AB$8+(AB$9-AB$8)*J177</x:f>
        <x:v>1</x:v>
      </x:c>
      <x:c r="AC177" t="n">
        <x:f>AC$8+(AC$9-AC$8)*MAX(K177,L177)</x:f>
        <x:v>1</x:v>
      </x:c>
      <x:c r="AD177" t="n">
        <x:f>(V177*AE177+W177*AF177+X177*AG177)*PRODUCT(Y177:AC177)</x:f>
        <x:v>1.8386662468386035</x:v>
      </x:c>
      <x:c r="AE177" t="n">
        <x:f>1+AE$9*($H$10*H177+$I$10*I177+$J$10*J177+$K$10*K177+$L$10*L177)</x:f>
        <x:v>1</x:v>
      </x:c>
      <x:c r="AF177" t="n">
        <x:f>1+AF$9*($H$10*H177+$I$10*I177+$J$10*J177+$K$10*K177+$L$10*L177)</x:f>
        <x:v>1.1937422787761764</x:v>
      </x:c>
      <x:c r="AG177" t="n">
        <x:f>1+AG$9*($H$10*H177+$I$10*I177+$J$10*J177+$K$10*K177+$L$10*L177)</x:f>
        <x:v>1.3433543718311152</x:v>
      </x:c>
      <x:c r="AH177" t="n">
        <x:f>MIN(1,'_曲线基线'!$L$3+AH$9*($H$10*H177+$I$10*I177+$J$10*J177+$K$10*K177+$L$10*L177))</x:f>
        <x:v>0.4907636842158008</x:v>
      </x:c>
      <x:c r="AI177" t="n">
        <x:f>'_曲线基线'!$L$4+AI$9*($H$10*H177+$I$10*I177+$J$10*J177+$K$10*K177+$L$10*L177)</x:f>
        <x:v>3.2278416917440165</x:v>
      </x:c>
      <x:c r="AJ177" t="n">
        <x:f>1+AJ$9*($H$10*H177+$I$10*I177+$J$10*J177+$K$10*K177+$L$10*L177)</x:f>
        <x:v>2.007459849636116</x:v>
      </x:c>
      <x:c r="AK177" t="n">
        <x:f>(1+AH177*(AI177-1))*AJ177</x:f>
        <x:v>4.202303622938223</x:v>
      </x:c>
      <x:c r="AL177" t="n">
        <x:f>U177*AD177*AK177*F177</x:f>
        <x:v>1889294.084660949</x:v>
      </x:c>
      <x:c r="AM177" t="n">
        <x:f>IF($B177&lt;AM$8,0,AM$3+(AM$4-AM$3)*(POWER(AM$5,$B177-AM$8)-1)/(POWER(AM$5,$C$5-AM$8)-1))</x:f>
        <x:v>40.590665631105466</x:v>
      </x:c>
      <x:c r="AN177" t="n">
        <x:f>(((E177*'模块规划'!$D$10+G177*'模块规划'!$D$11+H177*'模块规划'!$D$13)*(1+'模块规划'!$G$14*H177)+(I177*'模块规划'!$D$15+J177*'模块规划'!$D$17+K177*'模块规划'!$D$16+L177*'模块规划'!$D$18))*(1+'模块规划'!$J$17*J177))*F177/(1-Q177)</x:f>
        <x:v>2434987.4637203757</x:v>
      </x:c>
      <x:c r="AO177" t="n">
        <x:f>AL177*AM177</x:f>
        <x:v>76687704.46929803</x:v>
      </x:c>
      <x:c r="AP177" t="n">
        <x:f>IF(AO177="","",INDEX('_曲线基线'!$A$3:$A$502,MIN(ROWS('_曲线基线'!$A$3:$A$502),COUNTIF('_曲线基线'!$E$3:$E$502,"&lt;"&amp;AO177)+1)))</x:f>
        <x:v>273</x:v>
      </x:c>
      <x:c r="AQ177" t="n">
        <x:f>IF(B177&lt;=2,1,IF(B177&lt;=6,2,IF(B177&lt;=9,3,IF(B177&lt;=19,4,5))))</x:f>
        <x:v>5</x:v>
      </x:c>
      <x:c r="AR177" t="n">
        <x:f>AN177*(1-Q177)/F177*$AS$3+U177*$AS$4+P177*$AS$5</x:f>
        <x:v>15975.455526545402</x:v>
      </x:c>
      <x:c r="AS177" t="n">
        <x:f>1+AH177*$AS$6+AI177*$AS$7+(AJ177-1)*$AS$8+($H$10*H177+$I$10*I177+$J$10*J177+$K$10*K177+$L$10*L177)*$AU$3*$AS$9+($H$10*H177+$I$10*I177+$J$10*J177+$K$10*K177+$L$10*L177)*$AU$4*$AS$10</x:f>
        <x:v>16.557901296540788</x:v>
      </x:c>
      <x:c r="AT177" t="n">
        <x:f>ROUND(AR177*AS177,0)</x:f>
        <x:v>264520</x:v>
      </x:c>
      <x:c r="AU177" t="n">
        <x:f>ROUND(AT177*F177,0)</x:f>
        <x:v>1322600</x:v>
      </x:c>
    </x:row>
    <x:row r="178">
      <x:c r="A178" t="str">
        <x:f>IFERROR(XLOOKUP(B178,'_曲线基线'!$G$3:$G$107,'_曲线基线'!$J$3:$J$107,""),"")</x:f>
      </x:c>
      <x:c r="B178" t="n">
        <x:v>167</x:v>
      </x:c>
      <x:c r="C178" t="n">
        <x:f>C163+1</x:f>
        <x:v>12</x:v>
      </x:c>
      <x:c r="D178" t="n">
        <x:f>D163</x:f>
        <x:v>8</x:v>
      </x:c>
      <x:c r="E178" t="n">
        <x:f>IF($B178&lt;E$8,0,E$3+(E$4-E$3)*(POWER(E$5,$B178-E$8)-1)/(POWER(E$5,$C$5-E$8)-1))</x:f>
        <x:v>1</x:v>
      </x:c>
      <x:c r="F178" t="n">
        <x:f>1+IF(B178&lt;3,0,MIN(1,(B178-2)/4))+IF(B178&lt;7,0,MIN(1,(B178-6)/3))+IF(B178&lt;10,0,MIN(1,(B178-9)/5))+IF(B178&lt;20,0,MIN(1,(B178-19)/10))</x:f>
        <x:v>5</x:v>
      </x:c>
      <x:c r="G178" t="n">
        <x:f>IF($B178&lt;G$8,0,G$3+(G$4-G$3)*(POWER(G$5,$B178-G$8)-1)/(POWER(G$5,$C$5-G$8)-1))</x:f>
        <x:v>0.8393418418704798</x:v>
      </x:c>
      <x:c r="H178" t="n">
        <x:f>IF($B178&lt;H$8,0,H$3+(H$4-H$3)*(POWER(H$5,$B178-H$8)-1)/(POWER(H$5,$C$5-H$8)-1))</x:f>
        <x:v>0.6713567951647802</x:v>
      </x:c>
      <x:c r="I178" t="n">
        <x:f>IF($B178&lt;I$8,0,I$3+(I$4-I$3)*(POWER(I$5,$B178-I$8)-1)/(POWER(I$5,$C$5-I$8)-1))</x:f>
        <x:v>0.5763534798194038</x:v>
      </x:c>
      <x:c r="J178" t="n">
        <x:f>IF($B178&lt;J$8,0,J$3+(J$4-J$3)*(POWER(J$5,$B178-J$8)-1)/(POWER(J$5,$C$5-J$8)-1))</x:f>
        <x:v>0.5660182274647666</x:v>
      </x:c>
      <x:c r="K178" t="n">
        <x:f>IF($B178&lt;K$8,0,K$3+(K$4-K$3)*(POWER(K$5,$B178-K$8)-1)/(POWER(K$5,$C$5-K$8)-1))</x:f>
        <x:v>0.49541414371653547</x:v>
      </x:c>
      <x:c r="L178" t="n">
        <x:f>IF($B178&lt;L$8,0,L$3+(L$4-L$3)*(POWER(L$5,$B178-L$8)-1)/(POWER(L$5,$C$5-L$8)-1))</x:f>
        <x:v>0.6707694045861007</x:v>
      </x:c>
      <x:c r="M178" t="n">
        <x:f>E178*'模块规划'!$F$10+G178*'模块规划'!$F$11+H178*'模块规划'!$F$13</x:f>
        <x:v>5028.840840978302</x:v>
      </x:c>
      <x:c r="N178" t="n">
        <x:f>I178*'模块规划'!$F$15+J178*'模块规划'!$F$17+K178*'模块规划'!$F$16+L178*'模块规划'!$F$18</x:f>
        <x:v>16597.341998432614</x:v>
      </x:c>
      <x:c r="O178" t="n">
        <x:f>1+O$9*SUMPRODUCT($H$10:$L$10,H178:L178)/SUM($H$10:$L$10)</x:f>
        <x:v>3.200187554766238</x:v>
      </x:c>
      <x:c r="P178" t="n">
        <x:f>M178*O178+N178</x:f>
        <x:v>32690.575872631558</x:v>
      </x:c>
      <x:c r="Q178" t="n">
        <x:f>P178/(P178+'_曲线基线'!$L$2)</x:f>
        <x:v>0.5766492114329279</x:v>
      </x:c>
      <x:c r="R178" t="n">
        <x:f>E178*'模块规划'!$E$10+G178*'模块规划'!$E$11+H178*'模块规划'!$E$13</x:f>
        <x:v>7543.2612614674545</x:v>
      </x:c>
      <x:c r="S178" t="n">
        <x:f>I178*'模块规划'!$E$15+J178*'模块规划'!$E$17+K178*'模块规划'!$E$16+L178*'模块规划'!$E$18</x:f>
        <x:v>24896.01299764892</x:v>
      </x:c>
      <x:c r="T178" t="n">
        <x:f>1+T$9*SUMPRODUCT($H$10:$L$10,H178:L178)/SUM($H$10:$L$10)</x:f>
        <x:v>3.200187554766238</x:v>
      </x:c>
      <x:c r="U178" t="n">
        <x:f>R178*T178+S178</x:f>
        <x:v>49035.86380894734</x:v>
      </x:c>
      <x:c r="V178" t="n">
        <x:f>V$8+(V$9-V$8)*H178</x:f>
        <x:v>0.901407038549434</x:v>
      </x:c>
      <x:c r="W178" t="n">
        <x:f>IF(B178&lt;$H$8,0,W$8+(W$9-W$8)*H178)</x:f>
        <x:v>0.26854271806591207</x:v>
      </x:c>
      <x:c r="X178" t="n">
        <x:f>X$8+(X$9-X$8)*H178</x:f>
        <x:v>0.4596231186703146</x:v>
      </x:c>
      <x:c r="Y178" t="n">
        <x:f>Y$8+(Y$9-Y$8)*G178</x:f>
        <x:v>1</x:v>
      </x:c>
      <x:c r="Z178" t="n">
        <x:f>Z$8+(Z$9-Z$8)*H178</x:f>
        <x:v>1</x:v>
      </x:c>
      <x:c r="AA178" t="n">
        <x:f>AA$8+(AA$9-AA$8)*I178</x:f>
        <x:v>1</x:v>
      </x:c>
      <x:c r="AB178" t="n">
        <x:f>AB$8+(AB$9-AB$8)*J178</x:f>
        <x:v>1</x:v>
      </x:c>
      <x:c r="AC178" t="n">
        <x:f>AC$8+(AC$9-AC$8)*MAX(K178,L178)</x:f>
        <x:v>1</x:v>
      </x:c>
      <x:c r="AD178" t="n">
        <x:f>(V178*AE178+W178*AF178+X178*AG178)*PRODUCT(Y178:AC178)</x:f>
        <x:v>1.839895797013059</x:v>
      </x:c>
      <x:c r="AE178" t="n">
        <x:f>1+AE$9*($H$10*H178+$I$10*I178+$J$10*J178+$K$10*K178+$L$10*L178)</x:f>
        <x:v>1</x:v>
      </x:c>
      <x:c r="AF178" t="n">
        <x:f>1+AF$9*($H$10*H178+$I$10*I178+$J$10*J178+$K$10*K178+$L$10*L178)</x:f>
        <x:v>1.1941865939024454</x:v>
      </x:c>
      <x:c r="AG178" t="n">
        <x:f>1+AG$9*($H$10*H178+$I$10*I178+$J$10*J178+$K$10*K178+$L$10*L178)</x:f>
        <x:v>1.3441417969715588</x:v>
      </x:c>
      <x:c r="AH178" t="n">
        <x:f>MIN(1,'_曲线基线'!$L$3+AH$9*($H$10*H178+$I$10*I178+$J$10*J178+$K$10*K178+$L$10*L178))</x:f>
        <x:v>0.4917745011280629</x:v>
      </x:c>
      <x:c r="AI178" t="n">
        <x:f>'_曲线基线'!$L$4+AI$9*($H$10*H178+$I$10*I178+$J$10*J178+$K$10*K178+$L$10*L178)</x:f>
        <x:v>3.2306575388567467</x:v>
      </x:c>
      <x:c r="AJ178" t="n">
        <x:f>1+AJ$9*($H$10*H178+$I$10*I178+$J$10*J178+$K$10*K178+$L$10*L178)</x:f>
        <x:v>2.0097702882927155</x:v>
      </x:c>
      <x:c r="AK178" t="n">
        <x:f>(1+AH178*(AI178-1))*AJ178</x:f>
        <x:v>4.2144491007308265</x:v>
      </x:c>
      <x:c r="AL178" t="n">
        <x:f>U178*AD178*AK178*F178</x:f>
        <x:v>1901156.5271205772</x:v>
      </x:c>
      <x:c r="AM178" t="n">
        <x:f>IF($B178&lt;AM$8,0,AM$3+(AM$4-AM$3)*(POWER(AM$5,$B178-AM$8)-1)/(POWER(AM$5,$C$5-AM$8)-1))</x:f>
        <x:v>40.65999692733838</x:v>
      </x:c>
      <x:c r="AN178" t="n">
        <x:f>(((E178*'模块规划'!$D$10+G178*'模块规划'!$D$11+H178*'模块规划'!$D$13)*(1+'模块规划'!$G$14*H178)+(I178*'模块规划'!$D$15+J178*'模块规划'!$D$17+K178*'模块规划'!$D$16+L178*'模块规划'!$D$18))*(1+'模块规划'!$J$17*J178))*F178/(1-Q178)</x:f>
        <x:v>2445816.180723461</x:v>
      </x:c>
      <x:c r="AO178" t="n">
        <x:f>AL178*AM178</x:f>
        <x:v>77301018.55111198</x:v>
      </x:c>
      <x:c r="AP178" t="n">
        <x:f>IF(AO178="","",INDEX('_曲线基线'!$A$3:$A$502,MIN(ROWS('_曲线基线'!$A$3:$A$502),COUNTIF('_曲线基线'!$E$3:$E$502,"&lt;"&amp;AO178)+1)))</x:f>
        <x:v>273</x:v>
      </x:c>
      <x:c r="AQ178" t="n">
        <x:f>IF(B178&lt;=2,1,IF(B178&lt;=6,2,IF(B178&lt;=9,3,IF(B178&lt;=19,4,5))))</x:f>
        <x:v>5</x:v>
      </x:c>
      <x:c r="AR178" t="n">
        <x:f>AN178*(1-Q178)/F178*$AS$3+U178*$AS$4+P178*$AS$5</x:f>
        <x:v>16019.802014585755</x:v>
      </x:c>
      <x:c r="AS178" t="n">
        <x:f>1+AH178*$AS$6+AI178*$AS$7+(AJ178-1)*$AS$8+($H$10*H178+$I$10*I178+$J$10*J178+$K$10*K178+$L$10*L178)*$AU$3*$AS$9+($H$10*H178+$I$10*I178+$J$10*J178+$K$10*K178+$L$10*L178)*$AU$4*$AS$10</x:f>
        <x:v>16.584449630188427</x:v>
      </x:c>
      <x:c r="AT178" t="n">
        <x:f>ROUND(AR178*AS178,0)</x:f>
        <x:v>265680</x:v>
      </x:c>
      <x:c r="AU178" t="n">
        <x:f>ROUND(AT178*F178,0)</x:f>
        <x:v>1328400</x:v>
      </x:c>
    </x:row>
    <x:row r="179">
      <x:c r="A179" t="str">
        <x:f>IFERROR(XLOOKUP(B179,'_曲线基线'!$G$3:$G$107,'_曲线基线'!$J$3:$J$107,""),"")</x:f>
      </x:c>
      <x:c r="B179" t="n">
        <x:v>168</x:v>
      </x:c>
      <x:c r="C179" t="n">
        <x:f>C164+1</x:f>
        <x:v>12</x:v>
      </x:c>
      <x:c r="D179" t="n">
        <x:f>D164</x:f>
        <x:v>9</x:v>
      </x:c>
      <x:c r="E179" t="n">
        <x:f>IF($B179&lt;E$8,0,E$3+(E$4-E$3)*(POWER(E$5,$B179-E$8)-1)/(POWER(E$5,$C$5-E$8)-1))</x:f>
        <x:v>1</x:v>
      </x:c>
      <x:c r="F179" t="n">
        <x:f>1+IF(B179&lt;3,0,MIN(1,(B179-2)/4))+IF(B179&lt;7,0,MIN(1,(B179-6)/3))+IF(B179&lt;10,0,MIN(1,(B179-9)/5))+IF(B179&lt;20,0,MIN(1,(B179-19)/10))</x:f>
        <x:v>5</x:v>
      </x:c>
      <x:c r="G179" t="n">
        <x:f>IF($B179&lt;G$8,0,G$3+(G$4-G$3)*(POWER(G$5,$B179-G$8)-1)/(POWER(G$5,$C$5-G$8)-1))</x:f>
        <x:v>0.8404569046969185</x:v>
      </x:c>
      <x:c r="H179" t="n">
        <x:f>IF($B179&lt;H$8,0,H$3+(H$4-H$3)*(POWER(H$5,$B179-H$8)-1)/(POWER(H$5,$C$5-H$8)-1))</x:f>
        <x:v>0.671996201500996</x:v>
      </x:c>
      <x:c r="I179" t="n">
        <x:f>IF($B179&lt;I$8,0,I$3+(I$4-I$3)*(POWER(I$5,$B179-I$8)-1)/(POWER(I$5,$C$5-I$8)-1))</x:f>
        <x:v>0.5779975015660838</x:v>
      </x:c>
      <x:c r="J179" t="n">
        <x:f>IF($B179&lt;J$8,0,J$3+(J$4-J$3)*(POWER(J$5,$B179-J$8)-1)/(POWER(J$5,$C$5-J$8)-1))</x:f>
        <x:v>0.5667768074071952</x:v>
      </x:c>
      <x:c r="K179" t="n">
        <x:f>IF($B179&lt;K$8,0,K$3+(K$4-K$3)*(POWER(K$5,$B179-K$8)-1)/(POWER(K$5,$C$5-K$8)-1))</x:f>
        <x:v>0.49886498577717825</x:v>
      </x:c>
      <x:c r="L179" t="n">
        <x:f>IF($B179&lt;L$8,0,L$3+(L$4-L$3)*(POWER(L$5,$B179-L$8)-1)/(POWER(L$5,$C$5-L$8)-1))</x:f>
        <x:v>0.6714219233257643</x:v>
      </x:c>
      <x:c r="M179" t="n">
        <x:f>E179*'模块规划'!$F$10+G179*'模块规划'!$F$11+H179*'模块规划'!$F$13</x:f>
        <x:v>5034.1931425452085</x:v>
      </x:c>
      <x:c r="N179" t="n">
        <x:f>I179*'模块规划'!$F$15+J179*'模块规划'!$F$17+K179*'模块规划'!$F$16+L179*'模块规划'!$F$18</x:f>
        <x:v>16642.047617892513</x:v>
      </x:c>
      <x:c r="O179" t="n">
        <x:f>1+O$9*SUMPRODUCT($H$10:$L$10,H179:L179)/SUM($H$10:$L$10)</x:f>
        <x:v>3.205121083182049</x:v>
      </x:c>
      <x:c r="P179" t="n">
        <x:f>M179*O179+N179</x:f>
        <x:v>32777.24619587466</x:v>
      </x:c>
      <x:c r="Q179" t="n">
        <x:f>P179/(P179+'_曲线基线'!$L$2)</x:f>
        <x:v>0.5772954553448596</x:v>
      </x:c>
      <x:c r="R179" t="n">
        <x:f>E179*'模块规划'!$E$10+G179*'模块规划'!$E$11+H179*'模块规划'!$E$13</x:f>
        <x:v>7551.289713817813</x:v>
      </x:c>
      <x:c r="S179" t="n">
        <x:f>I179*'模块规划'!$E$15+J179*'模块规划'!$E$17+K179*'模块规划'!$E$16+L179*'模块规划'!$E$18</x:f>
        <x:v>24963.071426838767</x:v>
      </x:c>
      <x:c r="T179" t="n">
        <x:f>1+T$9*SUMPRODUCT($H$10:$L$10,H179:L179)/SUM($H$10:$L$10)</x:f>
        <x:v>3.205121083182049</x:v>
      </x:c>
      <x:c r="U179" t="n">
        <x:f>R179*T179+S179</x:f>
        <x:v>49165.86929381198</x:v>
      </x:c>
      <x:c r="V179" t="n">
        <x:f>V$8+(V$9-V$8)*H179</x:f>
        <x:v>0.9015988604502988</x:v>
      </x:c>
      <x:c r="W179" t="n">
        <x:f>IF(B179&lt;$H$8,0,W$8+(W$9-W$8)*H179)</x:f>
        <x:v>0.2687984806003984</x:v>
      </x:c>
      <x:c r="X179" t="n">
        <x:f>X$8+(X$9-X$8)*H179</x:f>
        <x:v>0.45979895541277394</x:v>
      </x:c>
      <x:c r="Y179" t="n">
        <x:f>Y$8+(Y$9-Y$8)*G179</x:f>
        <x:v>1</x:v>
      </x:c>
      <x:c r="Z179" t="n">
        <x:f>Z$8+(Z$9-Z$8)*H179</x:f>
        <x:v>1</x:v>
      </x:c>
      <x:c r="AA179" t="n">
        <x:f>AA$8+(AA$9-AA$8)*I179</x:f>
        <x:v>1</x:v>
      </x:c>
      <x:c r="AB179" t="n">
        <x:f>AB$8+(AB$9-AB$8)*J179</x:f>
        <x:v>1</x:v>
      </x:c>
      <x:c r="AC179" t="n">
        <x:f>AC$8+(AC$9-AC$8)*MAX(K179,L179)</x:f>
        <x:v>1</x:v>
      </x:c>
      <x:c r="AD179" t="n">
        <x:f>(V179*AE179+W179*AF179+X179*AG179)*PRODUCT(Y179:AC179)</x:f>
        <x:v>1.8411012553369455</x:v>
      </x:c>
      <x:c r="AE179" t="n">
        <x:f>1+AE$9*($H$10*H179+$I$10*I179+$J$10*J179+$K$10*K179+$L$10*L179)</x:f>
        <x:v>1</x:v>
      </x:c>
      <x:c r="AF179" t="n">
        <x:f>1+AF$9*($H$10*H179+$I$10*I179+$J$10*J179+$K$10*K179+$L$10*L179)</x:f>
        <x:v>1.1946220227261892</x:v>
      </x:c>
      <x:c r="AG179" t="n">
        <x:f>1+AG$9*($H$10*H179+$I$10*I179+$J$10*J179+$K$10*K179+$L$10*L179)</x:f>
        <x:v>1.3449134736091932</x:v>
      </x:c>
      <x:c r="AH179" t="n">
        <x:f>MIN(1,'_曲线基线'!$L$3+AH$9*($H$10*H179+$I$10*I179+$J$10*J179+$K$10*K179+$L$10*L179))</x:f>
        <x:v>0.49276510170207977</x:v>
      </x:c>
      <x:c r="AI179" t="n">
        <x:f>'_曲线基线'!$L$4+AI$9*($H$10*H179+$I$10*I179+$J$10*J179+$K$10*K179+$L$10*L179)</x:f>
        <x:v>3.2334170690272224</x:v>
      </x:c>
      <x:c r="AJ179" t="n">
        <x:f>1+AJ$9*($H$10*H179+$I$10*I179+$J$10*J179+$K$10*K179+$L$10*L179)</x:f>
        <x:v>2.0120345181761827</x:v>
      </x:c>
      <x:c r="AK179" t="n">
        <x:f>(1+AH179*(AI179-1))*AJ179</x:f>
        <x:v>4.226379085349275</x:v>
      </x:c>
      <x:c r="AL179" t="n">
        <x:f>U179*AD179*AK179*F179</x:f>
        <x:v>1912845.3046709807</x:v>
      </x:c>
      <x:c r="AM179" t="n">
        <x:f>IF($B179&lt;AM$8,0,AM$3+(AM$4-AM$3)*(POWER(AM$5,$B179-AM$8)-1)/(POWER(AM$5,$C$5-AM$8)-1))</x:f>
        <x:v>40.73002153653364</x:v>
      </x:c>
      <x:c r="AN179" t="n">
        <x:f>(((E179*'模块规划'!$D$10+G179*'模块规划'!$D$11+H179*'模块规划'!$D$13)*(1+'模块规划'!$G$14*H179)+(I179*'模块规划'!$D$15+J179*'模块规划'!$D$17+K179*'模块规划'!$D$16+L179*'模块规划'!$D$18))*(1+'模块规划'!$J$17*J179))*F179/(1-Q179)</x:f>
        <x:v>2456466.688448005</x:v>
      </x:c>
      <x:c r="AO179" t="n">
        <x:f>AL179*AM179</x:f>
        <x:v>77910230.45530629</x:v>
      </x:c>
      <x:c r="AP179" t="n">
        <x:f>IF(AO179="","",INDEX('_曲线基线'!$A$3:$A$502,MIN(ROWS('_曲线基线'!$A$3:$A$502),COUNTIF('_曲线基线'!$E$3:$E$502,"&lt;"&amp;AO179)+1)))</x:f>
        <x:v>274</x:v>
      </x:c>
      <x:c r="AQ179" t="n">
        <x:f>IF(B179&lt;=2,1,IF(B179&lt;=6,2,IF(B179&lt;=9,3,IF(B179&lt;=19,4,5))))</x:f>
        <x:v>5</x:v>
      </x:c>
      <x:c r="AR179" t="n">
        <x:f>AN179*(1-Q179)/F179*$AS$3+U179*$AS$4+P179*$AS$5</x:f>
        <x:v>16063.331656768005</x:v>
      </x:c>
      <x:c r="AS179" t="n">
        <x:f>1+AH179*$AS$6+AI179*$AS$7+(AJ179-1)*$AS$8+($H$10*H179+$I$10*I179+$J$10*J179+$K$10*K179+$L$10*L179)*$AU$3*$AS$9+($H$10*H179+$I$10*I179+$J$10*J179+$K$10*K179+$L$10*L179)*$AU$4*$AS$10</x:f>
        <x:v>16.610466997163112</x:v>
      </x:c>
      <x:c r="AT179" t="n">
        <x:f>ROUND(AR179*AS179,0)</x:f>
        <x:v>266819</x:v>
      </x:c>
      <x:c r="AU179" t="n">
        <x:f>ROUND(AT179*F179,0)</x:f>
        <x:v>1334095</x:v>
      </x:c>
    </x:row>
    <x:row r="180">
      <x:c r="A180" t="str">
        <x:f>IFERROR(XLOOKUP(B180,'_曲线基线'!$G$3:$G$107,'_曲线基线'!$J$3:$J$107,""),"")</x:f>
      </x:c>
      <x:c r="B180" t="n">
        <x:v>169</x:v>
      </x:c>
      <x:c r="C180" t="n">
        <x:f>C165+1</x:f>
        <x:v>12</x:v>
      </x:c>
      <x:c r="D180" t="n">
        <x:f>D165</x:f>
        <x:v>10</x:v>
      </x:c>
      <x:c r="E180" t="n">
        <x:f>IF($B180&lt;E$8,0,E$3+(E$4-E$3)*(POWER(E$5,$B180-E$8)-1)/(POWER(E$5,$C$5-E$8)-1))</x:f>
        <x:v>1</x:v>
      </x:c>
      <x:c r="F180" t="n">
        <x:f>1+IF(B180&lt;3,0,MIN(1,(B180-2)/4))+IF(B180&lt;7,0,MIN(1,(B180-6)/3))+IF(B180&lt;10,0,MIN(1,(B180-9)/5))+IF(B180&lt;20,0,MIN(1,(B180-19)/10))</x:f>
        <x:v>5</x:v>
      </x:c>
      <x:c r="G180" t="n">
        <x:f>IF($B180&lt;G$8,0,G$3+(G$4-G$3)*(POWER(G$5,$B180-G$8)-1)/(POWER(G$5,$C$5-G$8)-1))</x:f>
        <x:v>0.8415552415809606</x:v>
      </x:c>
      <x:c r="H180" t="n">
        <x:f>IF($B180&lt;H$8,0,H$3+(H$4-H$3)*(POWER(H$5,$B180-H$8)-1)/(POWER(H$5,$C$5-H$8)-1))</x:f>
        <x:v>0.6726228197104874</x:v>
      </x:c>
      <x:c r="I180" t="n">
        <x:f>IF($B180&lt;I$8,0,I$3+(I$4-I$3)*(POWER(I$5,$B180-I$8)-1)/(POWER(I$5,$C$5-I$8)-1))</x:f>
        <x:v>0.5796086428778304</x:v>
      </x:c>
      <x:c r="J180" t="n">
        <x:f>IF($B180&lt;J$8,0,J$3+(J$4-J$3)*(POWER(J$5,$B180-J$8)-1)/(POWER(J$5,$C$5-J$8)-1))</x:f>
        <x:v>0.5675202157507752</x:v>
      </x:c>
      <x:c r="K180" t="n">
        <x:f>IF($B180&lt;K$8,0,K$3+(K$4-K$3)*(POWER(K$5,$B180-K$8)-1)/(POWER(K$5,$C$5-K$8)-1))</x:f>
        <x:v>0.5022468109966083</x:v>
      </x:c>
      <x:c r="L180" t="n">
        <x:f>IF($B180&lt;L$8,0,L$3+(L$4-L$3)*(POWER(L$5,$B180-L$8)-1)/(POWER(L$5,$C$5-L$8)-1))</x:f>
        <x:v>0.6720613916906347</x:v>
      </x:c>
      <x:c r="M180" t="n">
        <x:f>E180*'模块规划'!$F$10+G180*'模块规划'!$F$11+H180*'模块规划'!$F$13</x:f>
        <x:v>5039.465159588612</x:v>
      </x:c>
      <x:c r="N180" t="n">
        <x:f>I180*'模块规划'!$F$15+J180*'模块规划'!$F$17+K180*'模块规划'!$F$16+L180*'模块规划'!$F$18</x:f>
        <x:v>16685.85912496322</x:v>
      </x:c>
      <x:c r="O180" t="n">
        <x:f>1+O$9*SUMPRODUCT($H$10:$L$10,H180:L180)/SUM($H$10:$L$10)</x:f>
        <x:v>3.2099559410295444</x:v>
      </x:c>
      <x:c r="P180" t="n">
        <x:f>M180*O180+N180</x:f>
        <x:v>32862.32025359609</x:v>
      </x:c>
      <x:c r="Q180" t="n">
        <x:f>P180/(P180+'_曲线基线'!$L$2)</x:f>
        <x:v>0.5779278810121683</x:v>
      </x:c>
      <x:c r="R180" t="n">
        <x:f>E180*'模块规划'!$E$10+G180*'模块规划'!$E$11+H180*'模块规划'!$E$13</x:f>
        <x:v>7559.197739382917</x:v>
      </x:c>
      <x:c r="S180" t="n">
        <x:f>I180*'模块规划'!$E$15+J180*'模块规划'!$E$17+K180*'模块规划'!$E$16+L180*'模块规划'!$E$18</x:f>
        <x:v>25028.788687444827</x:v>
      </x:c>
      <x:c r="T180" t="n">
        <x:f>1+T$9*SUMPRODUCT($H$10:$L$10,H180:L180)/SUM($H$10:$L$10)</x:f>
        <x:v>3.2099559410295444</x:v>
      </x:c>
      <x:c r="U180" t="n">
        <x:f>R180*T180+S180</x:f>
        <x:v>49293.48038039412</x:v>
      </x:c>
      <x:c r="V180" t="n">
        <x:f>V$8+(V$9-V$8)*H180</x:f>
        <x:v>0.9017868459131462</x:v>
      </x:c>
      <x:c r="W180" t="n">
        <x:f>IF(B180&lt;$H$8,0,W$8+(W$9-W$8)*H180)</x:f>
        <x:v>0.269049127884195</x:v>
      </x:c>
      <x:c r="X180" t="n">
        <x:f>X$8+(X$9-X$8)*H180</x:f>
        <x:v>0.4599712754203841</x:v>
      </x:c>
      <x:c r="Y180" t="n">
        <x:f>Y$8+(Y$9-Y$8)*G180</x:f>
        <x:v>1</x:v>
      </x:c>
      <x:c r="Z180" t="n">
        <x:f>Z$8+(Z$9-Z$8)*H180</x:f>
        <x:v>1</x:v>
      </x:c>
      <x:c r="AA180" t="n">
        <x:f>AA$8+(AA$9-AA$8)*I180</x:f>
        <x:v>1</x:v>
      </x:c>
      <x:c r="AB180" t="n">
        <x:f>AB$8+(AB$9-AB$8)*J180</x:f>
        <x:v>1</x:v>
      </x:c>
      <x:c r="AC180" t="n">
        <x:f>AC$8+(AC$9-AC$8)*MAX(K180,L180)</x:f>
        <x:v>1</x:v>
      </x:c>
      <x:c r="AD180" t="n">
        <x:f>(V180*AE180+W180*AF180+X180*AG180)*PRODUCT(Y180:AC180)</x:f>
        <x:v>1.8422830838808189</x:v>
      </x:c>
      <x:c r="AE180" t="n">
        <x:f>1+AE$9*($H$10*H180+$I$10*I180+$J$10*J180+$K$10*K180+$L$10*L180)</x:f>
        <x:v>1</x:v>
      </x:c>
      <x:c r="AF180" t="n">
        <x:f>1+AF$9*($H$10*H180+$I$10*I180+$J$10*J180+$K$10*K180+$L$10*L180)</x:f>
        <x:v>1.195048742973458</x:v>
      </x:c>
      <x:c r="AG180" t="n">
        <x:f>1+AG$9*($H$10*H180+$I$10*I180+$J$10*J180+$K$10*K180+$L$10*L180)</x:f>
        <x:v>1.3456697167140752</x:v>
      </x:c>
      <x:c r="AH180" t="n">
        <x:f>MIN(1,'_曲线基线'!$L$3+AH$9*($H$10*H180+$I$10*I180+$J$10*J180+$K$10*K180+$L$10*L180))</x:f>
        <x:v>0.4937358902646163</x:v>
      </x:c>
      <x:c r="AI180" t="n">
        <x:f>'_曲线基线'!$L$4+AI$9*($H$10*H180+$I$10*I180+$J$10*J180+$K$10*K180+$L$10*L180)</x:f>
        <x:v>3.236121408594288</x:v>
      </x:c>
      <x:c r="AJ180" t="n">
        <x:f>1+AJ$9*($H$10*H180+$I$10*I180+$J$10*J180+$K$10*K180+$L$10*L180)</x:f>
        <x:v>2.01425346346198</x:v>
      </x:c>
      <x:c r="AK180" t="n">
        <x:f>(1+AH180*(AI180-1))*AJ180</x:f>
        <x:v>4.238096837003445</x:v>
      </x:c>
      <x:c r="AL180" t="n">
        <x:f>U180*AD180*AK180*F180</x:f>
        <x:v>1924361.799691901</x:v>
      </x:c>
      <x:c r="AM180" t="n">
        <x:f>IF($B180&lt;AM$8,0,AM$3+(AM$4-AM$3)*(POWER(AM$5,$B180-AM$8)-1)/(POWER(AM$5,$C$5-AM$8)-1))</x:f>
        <x:v>40.800746391820844</x:v>
      </x:c>
      <x:c r="AN180" t="n">
        <x:f>(((E180*'模块规划'!$D$10+G180*'模块规划'!$D$11+H180*'模块规划'!$D$13)*(1+'模块规划'!$G$14*H180)+(I180*'模块规划'!$D$15+J180*'模块规划'!$D$17+K180*'模块规划'!$D$16+L180*'模块规划'!$D$18))*(1+'模块规划'!$J$17*J180))*F180/(1-Q180)</x:f>
        <x:v>2466941.3584996155</x:v>
      </x:c>
      <x:c r="AO180" t="n">
        <x:f>AL180*AM180</x:f>
        <x:v>78515397.7553372</x:v>
      </x:c>
      <x:c r="AP180" t="n">
        <x:f>IF(AO180="","",INDEX('_曲线基线'!$A$3:$A$502,MIN(ROWS('_曲线基线'!$A$3:$A$502),COUNTIF('_曲线基线'!$E$3:$E$502,"&lt;"&amp;AO180)+1)))</x:f>
        <x:v>274</x:v>
      </x:c>
      <x:c r="AQ180" t="n">
        <x:f>IF(B180&lt;=2,1,IF(B180&lt;=6,2,IF(B180&lt;=9,3,IF(B180&lt;=19,4,5))))</x:f>
        <x:v>5</x:v>
      </x:c>
      <x:c r="AR180" t="n">
        <x:f>AN180*(1-Q180)/F180*$AS$3+U180*$AS$4+P180*$AS$5</x:f>
        <x:v>16106.059075682744</x:v>
      </x:c>
      <x:c r="AS180" t="n">
        <x:f>1+AH180*$AS$6+AI180*$AS$7+(AJ180-1)*$AS$8+($H$10*H180+$I$10*I180+$J$10*J180+$K$10*K180+$L$10*L180)*$AU$3*$AS$9+($H$10*H180+$I$10*I180+$J$10*J180+$K$10*K180+$L$10*L180)*$AU$4*$AS$10</x:f>
        <x:v>16.635964016798304</x:v>
      </x:c>
      <x:c r="AT180" t="n">
        <x:f>ROUND(AR180*AS180,0)</x:f>
        <x:v>267940</x:v>
      </x:c>
      <x:c r="AU180" t="n">
        <x:f>ROUND(AT180*F180,0)</x:f>
        <x:v>1339700</x:v>
      </x:c>
    </x:row>
    <x:row r="181">
      <x:c r="A181" t="str">
        <x:f>IFERROR(XLOOKUP(B181,'_曲线基线'!$G$3:$G$107,'_曲线基线'!$J$3:$J$107,""),"")</x:f>
      </x:c>
      <x:c r="B181" t="n">
        <x:v>170</x:v>
      </x:c>
      <x:c r="C181" t="n">
        <x:f>C166+1</x:f>
        <x:v>12</x:v>
      </x:c>
      <x:c r="D181" t="n">
        <x:f>D166</x:f>
        <x:v>11</x:v>
      </x:c>
      <x:c r="E181" t="n">
        <x:f>IF($B181&lt;E$8,0,E$3+(E$4-E$3)*(POWER(E$5,$B181-E$8)-1)/(POWER(E$5,$C$5-E$8)-1))</x:f>
        <x:v>1</x:v>
      </x:c>
      <x:c r="F181" t="n">
        <x:f>1+IF(B181&lt;3,0,MIN(1,(B181-2)/4))+IF(B181&lt;7,0,MIN(1,(B181-6)/3))+IF(B181&lt;10,0,MIN(1,(B181-9)/5))+IF(B181&lt;20,0,MIN(1,(B181-19)/10))</x:f>
        <x:v>5</x:v>
      </x:c>
      <x:c r="G181" t="n">
        <x:f>IF($B181&lt;G$8,0,G$3+(G$4-G$3)*(POWER(G$5,$B181-G$8)-1)/(POWER(G$5,$C$5-G$8)-1))</x:f>
        <x:v>0.8426371034117419</x:v>
      </x:c>
      <x:c r="H181" t="n">
        <x:f>IF($B181&lt;H$8,0,H$3+(H$4-H$3)*(POWER(H$5,$B181-H$8)-1)/(POWER(H$5,$C$5-H$8)-1))</x:f>
        <x:v>0.673236905555789</x:v>
      </x:c>
      <x:c r="I181" t="n">
        <x:f>IF($B181&lt;I$8,0,I$3+(I$4-I$3)*(POWER(I$5,$B181-I$8)-1)/(POWER(I$5,$C$5-I$8)-1))</x:f>
        <x:v>0.5811875613633419</x:v>
      </x:c>
      <x:c r="J181" t="n">
        <x:f>IF($B181&lt;J$8,0,J$3+(J$4-J$3)*(POWER(J$5,$B181-J$8)-1)/(POWER(J$5,$C$5-J$8)-1))</x:f>
        <x:v>0.5682487559274836</x:v>
      </x:c>
      <x:c r="K181" t="n">
        <x:f>IF($B181&lt;K$8,0,K$3+(K$4-K$3)*(POWER(K$5,$B181-K$8)-1)/(POWER(K$5,$C$5-K$8)-1))</x:f>
        <x:v>0.5055609997116496</x:v>
      </x:c>
      <x:c r="L181" t="n">
        <x:f>IF($B181&lt;L$8,0,L$3+(L$4-L$3)*(POWER(L$5,$B181-L$8)-1)/(POWER(L$5,$C$5-L$8)-1))</x:f>
        <x:v>0.6726880706882077</x:v>
      </x:c>
      <x:c r="M181" t="n">
        <x:f>E181*'模块规划'!$F$10+G181*'模块规划'!$F$11+H181*'模块规划'!$F$13</x:f>
        <x:v>5044.658096376361</x:v>
      </x:c>
      <x:c r="N181" t="n">
        <x:f>I181*'模块规划'!$F$15+J181*'模块规划'!$F$17+K181*'模块规划'!$F$16+L181*'模块规划'!$F$18</x:f>
        <x:v>16728.794401892508</x:v>
      </x:c>
      <x:c r="O181" t="n">
        <x:f>1+O$9*SUMPRODUCT($H$10:$L$10,H181:L181)/SUM($H$10:$L$10)</x:f>
        <x:v>3.2146941017200894</x:v>
      </x:c>
      <x:c r="P181" t="n">
        <x:f>M181*O181+N181</x:f>
        <x:v>32945.82702950809</x:v>
      </x:c>
      <x:c r="Q181" t="n">
        <x:f>P181/(P181+'_曲线基线'!$L$2)</x:f>
        <x:v>0.5785468180563306</x:v>
      </x:c>
      <x:c r="R181" t="n">
        <x:f>E181*'模块规划'!$E$10+G181*'模块规划'!$E$11+H181*'模块规划'!$E$13</x:f>
        <x:v>7566.987144564542</x:v>
      </x:c>
      <x:c r="S181" t="n">
        <x:f>I181*'模块规划'!$E$15+J181*'模块规划'!$E$17+K181*'模块规划'!$E$16+L181*'模块规划'!$E$18</x:f>
        <x:v>25093.19160283876</x:v>
      </x:c>
      <x:c r="T181" t="n">
        <x:f>1+T$9*SUMPRODUCT($H$10:$L$10,H181:L181)/SUM($H$10:$L$10)</x:f>
        <x:v>3.2146941017200894</x:v>
      </x:c>
      <x:c r="U181" t="n">
        <x:f>R181*T181+S181</x:f>
        <x:v>49418.74054426214</x:v>
      </x:c>
      <x:c r="V181" t="n">
        <x:f>V$8+(V$9-V$8)*H181</x:f>
        <x:v>0.9019710716667366</x:v>
      </x:c>
      <x:c r="W181" t="n">
        <x:f>IF(B181&lt;$H$8,0,W$8+(W$9-W$8)*H181)</x:f>
        <x:v>0.2692947622223156</x:v>
      </x:c>
      <x:c r="X181" t="n">
        <x:f>X$8+(X$9-X$8)*H181</x:f>
        <x:v>0.460140149027842</x:v>
      </x:c>
      <x:c r="Y181" t="n">
        <x:f>Y$8+(Y$9-Y$8)*G181</x:f>
        <x:v>1</x:v>
      </x:c>
      <x:c r="Z181" t="n">
        <x:f>Z$8+(Z$9-Z$8)*H181</x:f>
        <x:v>1</x:v>
      </x:c>
      <x:c r="AA181" t="n">
        <x:f>AA$8+(AA$9-AA$8)*I181</x:f>
        <x:v>1</x:v>
      </x:c>
      <x:c r="AB181" t="n">
        <x:f>AB$8+(AB$9-AB$8)*J181</x:f>
        <x:v>1</x:v>
      </x:c>
      <x:c r="AC181" t="n">
        <x:f>AC$8+(AC$9-AC$8)*MAX(K181,L181)</x:f>
        <x:v>1</x:v>
      </x:c>
      <x:c r="AD181" t="n">
        <x:f>(V181*AE181+W181*AF181+X181*AG181)*PRODUCT(Y181:AC181)</x:f>
        <x:v>1.8434417362565751</x:v>
      </x:c>
      <x:c r="AE181" t="n">
        <x:f>1+AE$9*($H$10*H181+$I$10*I181+$J$10*J181+$K$10*K181+$L$10*L181)</x:f>
        <x:v>1</x:v>
      </x:c>
      <x:c r="AF181" t="n">
        <x:f>1+AF$9*($H$10*H181+$I$10*I181+$J$10*J181+$K$10*K181+$L$10*L181)</x:f>
        <x:v>1.1954669288157813</x:v>
      </x:c>
      <x:c r="AG181" t="n">
        <x:f>1+AG$9*($H$10*H181+$I$10*I181+$J$10*J181+$K$10*K181+$L$10*L181)</x:f>
        <x:v>1.3464108349568595</x:v>
      </x:c>
      <x:c r="AH181" t="n">
        <x:f>MIN(1,'_曲线基线'!$L$3+AH$9*($H$10*H181+$I$10*I181+$J$10*J181+$K$10*K181+$L$10*L181))</x:f>
        <x:v>0.49468726305590205</x:v>
      </x:c>
      <x:c r="AI181" t="n">
        <x:f>'_曲线基线'!$L$4+AI$9*($H$10*H181+$I$10*I181+$J$10*J181+$K$10*K181+$L$10*L181)</x:f>
        <x:v>3.238771661370013</x:v>
      </x:c>
      <x:c r="AJ181" t="n">
        <x:f>1+AJ$9*($H$10*H181+$I$10*I181+$J$10*J181+$K$10*K181+$L$10*L181)</x:f>
        <x:v>2.016428029842062</x:v>
      </x:c>
      <x:c r="AK181" t="n">
        <x:f>(1+AH181*(AI181-1))*AJ181</x:f>
        <x:v>4.249605590146148</x:v>
      </x:c>
      <x:c r="AL181" t="n">
        <x:f>U181*AD181*AK181*F181</x:f>
        <x:v>1935707.4337309415</x:v>
      </x:c>
      <x:c r="AM181" t="n">
        <x:f>IF($B181&lt;AM$8,0,AM$3+(AM$4-AM$3)*(POWER(AM$5,$B181-AM$8)-1)/(POWER(AM$5,$C$5-AM$8)-1))</x:f>
        <x:v>40.87217849566092</x:v>
      </x:c>
      <x:c r="AN181" t="n">
        <x:f>(((E181*'模块规划'!$D$10+G181*'模块规划'!$D$11+H181*'模块规划'!$D$13)*(1+'模块规划'!$G$14*H181)+(I181*'模块规划'!$D$15+J181*'模块规划'!$D$17+K181*'模块规划'!$D$16+L181*'模块规划'!$D$18))*(1+'模块规划'!$J$17*J181))*F181/(1-Q181)</x:f>
        <x:v>2477242.5547314105</x:v>
      </x:c>
      <x:c r="AO181" t="n">
        <x:f>AL181*AM181</x:f>
        <x:v>79116579.74682876</x:v>
      </x:c>
      <x:c r="AP181" t="n">
        <x:f>IF(AO181="","",INDEX('_曲线基线'!$A$3:$A$502,MIN(ROWS('_曲线基线'!$A$3:$A$502),COUNTIF('_曲线基线'!$E$3:$E$502,"&lt;"&amp;AO181)+1)))</x:f>
        <x:v>275</x:v>
      </x:c>
      <x:c r="AQ181" t="n">
        <x:f>IF(B181&lt;=2,1,IF(B181&lt;=6,2,IF(B181&lt;=9,3,IF(B181&lt;=19,4,5))))</x:f>
        <x:v>5</x:v>
      </x:c>
      <x:c r="AR181" t="n">
        <x:f>AN181*(1-Q181)/F181*$AS$3+U181*$AS$4+P181*$AS$5</x:f>
        <x:v>16147.998651679332</x:v>
      </x:c>
      <x:c r="AS181" t="n">
        <x:f>1+AH181*$AS$6+AI181*$AS$7+(AJ181-1)*$AS$8+($H$10*H181+$I$10*I181+$J$10*J181+$K$10*K181+$L$10*L181)*$AU$3*$AS$9+($H$10*H181+$I$10*I181+$J$10*J181+$K$10*K181+$L$10*L181)*$AU$4*$AS$10</x:f>
        <x:v>16.66095109604079</x:v>
      </x:c>
      <x:c r="AT181" t="n">
        <x:f>ROUND(AR181*AS181,0)</x:f>
        <x:v>269041</x:v>
      </x:c>
      <x:c r="AU181" t="n">
        <x:f>ROUND(AT181*F181,0)</x:f>
        <x:v>1345205</x:v>
      </x:c>
    </x:row>
    <x:row r="182">
      <x:c r="A182" t="str">
        <x:f>IFERROR(XLOOKUP(B182,'_曲线基线'!$G$3:$G$107,'_曲线基线'!$J$3:$J$107,""),"")</x:f>
      </x:c>
      <x:c r="B182" t="n">
        <x:v>171</x:v>
      </x:c>
      <x:c r="C182" t="n">
        <x:f>C167+1</x:f>
        <x:v>12</x:v>
      </x:c>
      <x:c r="D182" t="n">
        <x:f>D167</x:f>
        <x:v>12</x:v>
      </x:c>
      <x:c r="E182" t="n">
        <x:f>IF($B182&lt;E$8,0,E$3+(E$4-E$3)*(POWER(E$5,$B182-E$8)-1)/(POWER(E$5,$C$5-E$8)-1))</x:f>
        <x:v>1</x:v>
      </x:c>
      <x:c r="F182" t="n">
        <x:f>1+IF(B182&lt;3,0,MIN(1,(B182-2)/4))+IF(B182&lt;7,0,MIN(1,(B182-6)/3))+IF(B182&lt;10,0,MIN(1,(B182-9)/5))+IF(B182&lt;20,0,MIN(1,(B182-19)/10))</x:f>
        <x:v>5</x:v>
      </x:c>
      <x:c r="G182" t="n">
        <x:f>IF($B182&lt;G$8,0,G$3+(G$4-G$3)*(POWER(G$5,$B182-G$8)-1)/(POWER(G$5,$C$5-G$8)-1))</x:f>
        <x:v>0.8437027373150616</x:v>
      </x:c>
      <x:c r="H182" t="n">
        <x:f>IF($B182&lt;H$8,0,H$3+(H$4-H$3)*(POWER(H$5,$B182-H$8)-1)/(POWER(H$5,$C$5-H$8)-1))</x:f>
        <x:v>0.6738387096841846</x:v>
      </x:c>
      <x:c r="I182" t="n">
        <x:f>IF($B182&lt;I$8,0,I$3+(I$4-I$3)*(POWER(I$5,$B182-I$8)-1)/(POWER(I$5,$C$5-I$8)-1))</x:f>
        <x:v>0.5827349014791433</x:v>
      </x:c>
      <x:c r="J182" t="n">
        <x:f>IF($B182&lt;J$8,0,J$3+(J$4-J$3)*(POWER(J$5,$B182-J$8)-1)/(POWER(J$5,$C$5-J$8)-1))</x:f>
        <x:v>0.5689627253006577</x:v>
      </x:c>
      <x:c r="K182" t="n">
        <x:f>IF($B182&lt;K$8,0,K$3+(K$4-K$3)*(POWER(K$5,$B182-K$8)-1)/(POWER(K$5,$C$5-K$8)-1))</x:f>
        <x:v>0.5088089046523903</x:v>
      </x:c>
      <x:c r="L182" t="n">
        <x:f>IF($B182&lt;L$8,0,L$3+(L$4-L$3)*(POWER(L$5,$B182-L$8)-1)/(POWER(L$5,$C$5-L$8)-1))</x:f>
        <x:v>0.6733022161058293</x:v>
      </x:c>
      <x:c r="M182" t="n">
        <x:f>E182*'模块规划'!$F$10+G182*'模块规划'!$F$11+H182*'模块规划'!$F$13</x:f>
        <x:v>5049.773139112296</x:v>
      </x:c>
      <x:c r="N182" t="n">
        <x:f>I182*'模块规划'!$F$15+J182*'模块规划'!$F$17+K182*'模块规划'!$F$16+L182*'模块规划'!$F$18</x:f>
        <x:v>16770.870973283214</x:v>
      </x:c>
      <x:c r="O182" t="n">
        <x:f>1+O$9*SUMPRODUCT($H$10:$L$10,H182:L182)/SUM($H$10:$L$10)</x:f>
        <x:v>3.2193374991968238</x:v>
      </x:c>
      <x:c r="P182" t="n">
        <x:f>M182*O182+N182</x:f>
        <x:v>33027.79500246429</x:v>
      </x:c>
      <x:c r="Q182" t="n">
        <x:f>P182/(P182+'_曲线基线'!$L$2)</x:f>
        <x:v>0.5791525869277795</x:v>
      </x:c>
      <x:c r="R182" t="n">
        <x:f>E182*'模块规划'!$E$10+G182*'模块规划'!$E$11+H182*'模块规划'!$E$13</x:f>
        <x:v>7574.659708668443</x:v>
      </x:c>
      <x:c r="S182" t="n">
        <x:f>I182*'模块规划'!$E$15+J182*'模块规划'!$E$17+K182*'模块规划'!$E$16+L182*'模块规划'!$E$18</x:f>
        <x:v>25156.306459924817</x:v>
      </x:c>
      <x:c r="T182" t="n">
        <x:f>1+T$9*SUMPRODUCT($H$10:$L$10,H182:L182)/SUM($H$10:$L$10)</x:f>
        <x:v>3.2193374991968238</x:v>
      </x:c>
      <x:c r="U182" t="n">
        <x:f>R182*T182+S182</x:f>
        <x:v>49541.692503696424</x:v>
      </x:c>
      <x:c r="V182" t="n">
        <x:f>V$8+(V$9-V$8)*H182</x:f>
        <x:v>0.9021516129052554</x:v>
      </x:c>
      <x:c r="W182" t="n">
        <x:f>IF(B182&lt;$H$8,0,W$8+(W$9-W$8)*H182)</x:f>
        <x:v>0.2695354838736738</x:v>
      </x:c>
      <x:c r="X182" t="n">
        <x:f>X$8+(X$9-X$8)*H182</x:f>
        <x:v>0.46030564516315076</x:v>
      </x:c>
      <x:c r="Y182" t="n">
        <x:f>Y$8+(Y$9-Y$8)*G182</x:f>
        <x:v>1</x:v>
      </x:c>
      <x:c r="Z182" t="n">
        <x:f>Z$8+(Z$9-Z$8)*H182</x:f>
        <x:v>1</x:v>
      </x:c>
      <x:c r="AA182" t="n">
        <x:f>AA$8+(AA$9-AA$8)*I182</x:f>
        <x:v>1</x:v>
      </x:c>
      <x:c r="AB182" t="n">
        <x:f>AB$8+(AB$9-AB$8)*J182</x:f>
        <x:v>1</x:v>
      </x:c>
      <x:c r="AC182" t="n">
        <x:f>AC$8+(AC$9-AC$8)*MAX(K182,L182)</x:f>
        <x:v>1</x:v>
      </x:c>
      <x:c r="AD182" t="n">
        <x:f>(V182*AE182+W182*AF182+X182*AG182)*PRODUCT(Y182:AC182)</x:f>
        <x:v>1.8445776577556274</x:v>
      </x:c>
      <x:c r="AE182" t="n">
        <x:f>1+AE$9*($H$10*H182+$I$10*I182+$J$10*J182+$K$10*K182+$L$10*L182)</x:f>
        <x:v>1</x:v>
      </x:c>
      <x:c r="AF182" t="n">
        <x:f>1+AF$9*($H$10*H182+$I$10*I182+$J$10*J182+$K$10*K182+$L$10*L182)</x:f>
        <x:v>1.1958767509412582</x:v>
      </x:c>
      <x:c r="AG182" t="n">
        <x:f>1+AG$9*($H$10*H182+$I$10*I182+$J$10*J182+$K$10*K182+$L$10*L182)</x:f>
        <x:v>1.3471371308347884</x:v>
      </x:c>
      <x:c r="AH182" t="n">
        <x:f>MIN(1,'_曲线基线'!$L$3+AH$9*($H$10*H182+$I$10*I182+$J$10*J182+$K$10*K182+$L$10*L182))</x:f>
        <x:v>0.4956196083913622</x:v>
      </x:c>
      <x:c r="AI182" t="n">
        <x:f>'_曲线基线'!$L$4+AI$9*($H$10*H182+$I$10*I182+$J$10*J182+$K$10*K182+$L$10*L182)</x:f>
        <x:v>3.241368909090223</x:v>
      </x:c>
      <x:c r="AJ182" t="n">
        <x:f>1+AJ$9*($H$10*H182+$I$10*I182+$J$10*J182+$K$10*K182+$L$10*L182)</x:f>
        <x:v>2.0185591048945426</x:v>
      </x:c>
      <x:c r="AK182" t="n">
        <x:f>(1+AH182*(AI182-1))*AJ182</x:f>
        <x:v>4.260908552550784</x:v>
      </x:c>
      <x:c r="AL182" t="n">
        <x:f>U182*AD182*AK182*F182</x:f>
        <x:v>1946883.664806115</x:v>
      </x:c>
      <x:c r="AM182" t="n">
        <x:f>IF($B182&lt;AM$8,0,AM$3+(AM$4-AM$3)*(POWER(AM$5,$B182-AM$8)-1)/(POWER(AM$5,$C$5-AM$8)-1))</x:f>
        <x:v>40.9443249205394</x:v>
      </x:c>
      <x:c r="AN182" t="n">
        <x:f>(((E182*'模块规划'!$D$10+G182*'模块规划'!$D$11+H182*'模块规划'!$D$13)*(1+'模块规划'!$G$14*H182)+(I182*'模块规划'!$D$15+J182*'模块规划'!$D$17+K182*'模块规划'!$D$16+L182*'模块规划'!$D$18))*(1+'模块规划'!$J$17*J182))*F182/(1-Q182)</x:f>
        <x:v>2487372.632066473</x:v>
      </x:c>
      <x:c r="AO182" t="n">
        <x:f>AL182*AM182</x:f>
        <x:v>79713837.35431209</x:v>
      </x:c>
      <x:c r="AP182" t="n">
        <x:f>IF(AO182="","",INDEX('_曲线基线'!$A$3:$A$502,MIN(ROWS('_曲线基线'!$A$3:$A$502),COUNTIF('_曲线基线'!$E$3:$E$502,"&lt;"&amp;AO182)+1)))</x:f>
        <x:v>276</x:v>
      </x:c>
      <x:c r="AQ182" t="n">
        <x:f>IF(B182&lt;=2,1,IF(B182&lt;=6,2,IF(B182&lt;=9,3,IF(B182&lt;=19,4,5))))</x:f>
        <x:v>5</x:v>
      </x:c>
      <x:c r="AR182" t="n">
        <x:f>AN182*(1-Q182)/F182*$AS$3+U182*$AS$4+P182*$AS$5</x:f>
        <x:v>16189.16452605018</x:v>
      </x:c>
      <x:c r="AS182" t="n">
        <x:f>1+AH182*$AS$6+AI182*$AS$7+(AJ182-1)*$AS$8+($H$10*H182+$I$10*I182+$J$10*J182+$K$10*K182+$L$10*L182)*$AU$3*$AS$9+($H$10*H182+$I$10*I182+$J$10*J182+$K$10*K182+$L$10*L182)*$AU$4*$AS$10</x:f>
        <x:v>16.68543843369843</x:v>
      </x:c>
      <x:c r="AT182" t="n">
        <x:f>ROUND(AR182*AS182,0)</x:f>
        <x:v>270123</x:v>
      </x:c>
      <x:c r="AU182" t="n">
        <x:f>ROUND(AT182*F182,0)</x:f>
        <x:v>1350615</x:v>
      </x:c>
    </x:row>
    <x:row r="183">
      <x:c r="A183" t="str">
        <x:f>IFERROR(XLOOKUP(B183,'_曲线基线'!$G$3:$G$107,'_曲线基线'!$J$3:$J$107,""),"")</x:f>
      </x:c>
      <x:c r="B183" t="n">
        <x:v>172</x:v>
      </x:c>
      <x:c r="C183" t="n">
        <x:f>C168+1</x:f>
        <x:v>12</x:v>
      </x:c>
      <x:c r="D183" t="n">
        <x:f>D168</x:f>
        <x:v>13</x:v>
      </x:c>
      <x:c r="E183" t="n">
        <x:f>IF($B183&lt;E$8,0,E$3+(E$4-E$3)*(POWER(E$5,$B183-E$8)-1)/(POWER(E$5,$C$5-E$8)-1))</x:f>
        <x:v>1</x:v>
      </x:c>
      <x:c r="F183" t="n">
        <x:f>1+IF(B183&lt;3,0,MIN(1,(B183-2)/4))+IF(B183&lt;7,0,MIN(1,(B183-6)/3))+IF(B183&lt;10,0,MIN(1,(B183-9)/5))+IF(B183&lt;20,0,MIN(1,(B183-19)/10))</x:f>
        <x:v>5</x:v>
      </x:c>
      <x:c r="G183" t="n">
        <x:f>IF($B183&lt;G$8,0,G$3+(G$4-G$3)*(POWER(G$5,$B183-G$8)-1)/(POWER(G$5,$C$5-G$8)-1))</x:f>
        <x:v>0.8447523867098317</x:v>
      </x:c>
      <x:c r="H183" t="n">
        <x:f>IF($B183&lt;H$8,0,H$3+(H$4-H$3)*(POWER(H$5,$B183-H$8)-1)/(POWER(H$5,$C$5-H$8)-1))</x:f>
        <x:v>0.6744284777300124</x:v>
      </x:c>
      <x:c r="I183" t="n">
        <x:f>IF($B183&lt;I$8,0,I$3+(I$4-I$3)*(POWER(I$5,$B183-I$8)-1)/(POWER(I$5,$C$5-I$8)-1))</x:f>
        <x:v>0.5842512947926286</x:v>
      </x:c>
      <x:c r="J183" t="n">
        <x:f>IF($B183&lt;J$8,0,J$3+(J$4-J$3)*(POWER(J$5,$B183-J$8)-1)/(POWER(J$5,$C$5-J$8)-1))</x:f>
        <x:v>0.5696624152863684</x:v>
      </x:c>
      <x:c r="K183" t="n">
        <x:f>IF($B183&lt;K$8,0,K$3+(K$4-K$3)*(POWER(K$5,$B183-K$8)-1)/(POWER(K$5,$C$5-K$8)-1))</x:f>
        <x:v>0.5119918514943159</x:v>
      </x:c>
      <x:c r="L183" t="n">
        <x:f>IF($B183&lt;L$8,0,L$3+(L$4-L$3)*(POWER(L$5,$B183-L$8)-1)/(POWER(L$5,$C$5-L$8)-1))</x:f>
        <x:v>0.6739040786150984</x:v>
      </x:c>
      <x:c r="M183" t="n">
        <x:f>E183*'模块规划'!$F$10+G183*'模块规划'!$F$11+H183*'模块规划'!$F$13</x:f>
        <x:v>5054.811456207191</x:v>
      </x:c>
      <x:c r="N183" t="n">
        <x:f>I183*'模块规划'!$F$15+J183*'模块规划'!$F$17+K183*'模块规划'!$F$16+L183*'模块规划'!$F$18</x:f>
        <x:v>16812.1060132461</x:v>
      </x:c>
      <x:c r="O183" t="n">
        <x:f>1+O$9*SUMPRODUCT($H$10:$L$10,H183:L183)/SUM($H$10:$L$10)</x:f>
        <x:v>3.2238880287240232</x:v>
      </x:c>
      <x:c r="P183" t="n">
        <x:f>M183*O183+N183</x:f>
        <x:v>33108.25215436951</x:v>
      </x:c>
      <x:c r="Q183" t="n">
        <x:f>P183/(P183+'_曲线基线'!$L$2)</x:f>
        <x:v>0.5797454992121713</x:v>
      </x:c>
      <x:c r="R183" t="n">
        <x:f>E183*'模块规划'!$E$10+G183*'模块规划'!$E$11+H183*'模块规划'!$E$13</x:f>
        <x:v>7582.217184310788</x:v>
      </x:c>
      <x:c r="S183" t="n">
        <x:f>I183*'模块规划'!$E$15+J183*'模块规划'!$E$17+K183*'模块规划'!$E$16+L183*'模块规划'!$E$18</x:f>
        <x:v>25218.159019869152</x:v>
      </x:c>
      <x:c r="T183" t="n">
        <x:f>1+T$9*SUMPRODUCT($H$10:$L$10,H183:L183)/SUM($H$10:$L$10)</x:f>
        <x:v>3.2238880287240232</x:v>
      </x:c>
      <x:c r="U183" t="n">
        <x:f>R183*T183+S183</x:f>
        <x:v>49662.37823155428</x:v>
      </x:c>
      <x:c r="V183" t="n">
        <x:f>V$8+(V$9-V$8)*H183</x:f>
        <x:v>0.9023285433190037</x:v>
      </x:c>
      <x:c r="W183" t="n">
        <x:f>IF(B183&lt;$H$8,0,W$8+(W$9-W$8)*H183)</x:f>
        <x:v>0.26977139109200493</x:v>
      </x:c>
      <x:c r="X183" t="n">
        <x:f>X$8+(X$9-X$8)*H183</x:f>
        <x:v>0.4604678313757534</x:v>
      </x:c>
      <x:c r="Y183" t="n">
        <x:f>Y$8+(Y$9-Y$8)*G183</x:f>
        <x:v>1</x:v>
      </x:c>
      <x:c r="Z183" t="n">
        <x:f>Z$8+(Z$9-Z$8)*H183</x:f>
        <x:v>1</x:v>
      </x:c>
      <x:c r="AA183" t="n">
        <x:f>AA$8+(AA$9-AA$8)*I183</x:f>
        <x:v>1</x:v>
      </x:c>
      <x:c r="AB183" t="n">
        <x:f>AB$8+(AB$9-AB$8)*J183</x:f>
        <x:v>1</x:v>
      </x:c>
      <x:c r="AC183" t="n">
        <x:f>AC$8+(AC$9-AC$8)*MAX(K183,L183)</x:f>
        <x:v>1</x:v>
      </x:c>
      <x:c r="AD183" t="n">
        <x:f>(V183*AE183+W183*AF183+X183*AG183)*PRODUCT(Y183:AC183)</x:f>
        <x:v>1.8456912854855458</x:v>
      </x:c>
      <x:c r="AE183" t="n">
        <x:f>1+AE$9*($H$10*H183+$I$10*I183+$J$10*J183+$K$10*K183+$L$10*L183)</x:f>
        <x:v>1</x:v>
      </x:c>
      <x:c r="AF183" t="n">
        <x:f>1+AF$9*($H$10*H183+$I$10*I183+$J$10*J183+$K$10*K183+$L$10*L183)</x:f>
        <x:v>1.1962783766242258</x:v>
      </x:c>
      <x:c r="AG183" t="n">
        <x:f>1+AG$9*($H$10*H183+$I$10*I183+$J$10*J183+$K$10*K183+$L$10*L183)</x:f>
        <x:v>1.3478489007951582</x:v>
      </x:c>
      <x:c r="AH183" t="n">
        <x:f>MIN(1,'_曲线基线'!$L$3+AH$9*($H$10*H183+$I$10*I183+$J$10*J183+$K$10*K183+$L$10*L183))</x:f>
        <x:v>0.496533306820113</x:v>
      </x:c>
      <x:c r="AI183" t="n">
        <x:f>'_曲线基线'!$L$4+AI$9*($H$10*H183+$I$10*I183+$J$10*J183+$K$10*K183+$L$10*L183)</x:f>
        <x:v>3.243914211856029</x:v>
      </x:c>
      <x:c r="AJ183" t="n">
        <x:f>1+AJ$9*($H$10*H183+$I$10*I183+$J$10*J183+$K$10*K183+$L$10*L183)</x:f>
        <x:v>2.0206475584459724</x:v>
      </x:c>
      <x:c r="AK183" t="n">
        <x:f>(1+AH183*(AI183-1))*AJ183</x:f>
        <x:v>4.272008904457044</x:v>
      </x:c>
      <x:c r="AL183" t="n">
        <x:f>U183*AD183*AK183*F183</x:f>
        <x:v>1957891.9848022787</x:v>
      </x:c>
      <x:c r="AM183" t="n">
        <x:f>IF($B183&lt;AM$8,0,AM$3+(AM$4-AM$3)*(POWER(AM$5,$B183-AM$8)-1)/(POWER(AM$5,$C$5-AM$8)-1))</x:f>
        <x:v>41.01719280966666</x:v>
      </x:c>
      <x:c r="AN183" t="n">
        <x:f>(((E183*'模块规划'!$D$10+G183*'模块规划'!$D$11+H183*'模块规划'!$D$13)*(1+'模块规划'!$G$14*H183)+(I183*'模块规划'!$D$15+J183*'模块规划'!$D$17+K183*'模块规划'!$D$16+L183*'模块规划'!$D$18))*(1+'模块规划'!$J$17*J183))*F183/(1-Q183)</x:f>
        <x:v>2497333.9353868375</x:v>
      </x:c>
      <x:c r="AO183" t="n">
        <x:f>AL183*AM183</x:f>
        <x:v>80307233.04113601</x:v>
      </x:c>
      <x:c r="AP183" t="n">
        <x:f>IF(AO183="","",INDEX('_曲线基线'!$A$3:$A$502,MIN(ROWS('_曲线基线'!$A$3:$A$502),COUNTIF('_曲线基线'!$E$3:$E$502,"&lt;"&amp;AO183)+1)))</x:f>
        <x:v>276</x:v>
      </x:c>
      <x:c r="AQ183" t="n">
        <x:f>IF(B183&lt;=2,1,IF(B183&lt;=6,2,IF(B183&lt;=9,3,IF(B183&lt;=19,4,5))))</x:f>
        <x:v>5</x:v>
      </x:c>
      <x:c r="AR183" t="n">
        <x:f>AN183*(1-Q183)/F183*$AS$3+U183*$AS$4+P183*$AS$5</x:f>
        <x:v>16229.570604209848</x:v>
      </x:c>
      <x:c r="AS183" t="n">
        <x:f>1+AH183*$AS$6+AI183*$AS$7+(AJ183-1)*$AS$8+($H$10*H183+$I$10*I183+$J$10*J183+$K$10*K183+$L$10*L183)*$AU$3*$AS$9+($H$10*H183+$I$10*I183+$J$10*J183+$K$10*K183+$L$10*L183)*$AU$4*$AS$10</x:f>
        <x:v>16.709436024602912</x:v>
      </x:c>
      <x:c r="AT183" t="n">
        <x:f>ROUND(AR183*AS183,0)</x:f>
        <x:v>271187</x:v>
      </x:c>
      <x:c r="AU183" t="n">
        <x:f>ROUND(AT183*F183,0)</x:f>
        <x:v>1355935</x:v>
      </x:c>
    </x:row>
    <x:row r="184">
      <x:c r="A184" t="str">
        <x:f>IFERROR(XLOOKUP(B184,'_曲线基线'!$G$3:$G$107,'_曲线基线'!$J$3:$J$107,""),"")</x:f>
      </x:c>
      <x:c r="B184" t="n">
        <x:v>173</x:v>
      </x:c>
      <x:c r="C184" t="n">
        <x:f>C169+1</x:f>
        <x:v>12</x:v>
      </x:c>
      <x:c r="D184" t="n">
        <x:f>D169</x:f>
        <x:v>14</x:v>
      </x:c>
      <x:c r="E184" t="n">
        <x:f>IF($B184&lt;E$8,0,E$3+(E$4-E$3)*(POWER(E$5,$B184-E$8)-1)/(POWER(E$5,$C$5-E$8)-1))</x:f>
        <x:v>1</x:v>
      </x:c>
      <x:c r="F184" t="n">
        <x:f>1+IF(B184&lt;3,0,MIN(1,(B184-2)/4))+IF(B184&lt;7,0,MIN(1,(B184-6)/3))+IF(B184&lt;10,0,MIN(1,(B184-9)/5))+IF(B184&lt;20,0,MIN(1,(B184-19)/10))</x:f>
        <x:v>5</x:v>
      </x:c>
      <x:c r="G184" t="n">
        <x:f>IF($B184&lt;G$8,0,G$3+(G$4-G$3)*(POWER(G$5,$B184-G$8)-1)/(POWER(G$5,$C$5-G$8)-1))</x:f>
        <x:v>0.84578629136368</x:v>
      </x:c>
      <x:c r="H184" t="n">
        <x:f>IF($B184&lt;H$8,0,H$3+(H$4-H$3)*(POWER(H$5,$B184-H$8)-1)/(POWER(H$5,$C$5-H$8)-1))</x:f>
        <x:v>0.6750064504149234</x:v>
      </x:c>
      <x:c r="I184" t="n">
        <x:f>IF($B184&lt;I$8,0,I$3+(I$4-I$3)*(POWER(I$5,$B184-I$8)-1)/(POWER(I$5,$C$5-I$8)-1))</x:f>
        <x:v>0.5857373602398442</x:v>
      </x:c>
      <x:c r="J184" t="n">
        <x:f>IF($B184&lt;J$8,0,J$3+(J$4-J$3)*(POWER(J$5,$B184-J$8)-1)/(POWER(J$5,$C$5-J$8)-1))</x:f>
        <x:v>0.5703481114723651</x:v>
      </x:c>
      <x:c r="K184" t="n">
        <x:f>IF($B184&lt;K$8,0,K$3+(K$4-K$3)*(POWER(K$5,$B184-K$8)-1)/(POWER(K$5,$C$5-K$8)-1))</x:f>
        <x:v>0.5151111393994031</x:v>
      </x:c>
      <x:c r="L184" t="n">
        <x:f>IF($B184&lt;L$8,0,L$3+(L$4-L$3)*(POWER(L$5,$B184-L$8)-1)/(POWER(L$5,$C$5-L$8)-1))</x:f>
        <x:v>0.6744939038741822</x:v>
      </x:c>
      <x:c r="M184" t="n">
        <x:f>E184*'模块规划'!$F$10+G184*'模块规划'!$F$11+H184*'模块规划'!$F$13</x:f>
        <x:v>5059.774198545664</x:v>
      </x:c>
      <x:c r="N184" t="n">
        <x:f>I184*'模块规划'!$F$15+J184*'模块规划'!$F$17+K184*'模块规划'!$F$16+L184*'模块规划'!$F$18</x:f>
        <x:v>16852.516352409733</x:v>
      </x:c>
      <x:c r="O184" t="n">
        <x:f>1+O$9*SUMPRODUCT($H$10:$L$10,H184:L184)/SUM($H$10:$L$10)</x:f>
        <x:v>3.2283475476606793</x:v>
      </x:c>
      <x:c r="P184" t="n">
        <x:f>M184*O184+N184</x:f>
        <x:v>33187.22597800141</x:v>
      </x:c>
      <x:c r="Q184" t="n">
        <x:f>P184/(P184+'_曲线基线'!$L$2)</x:f>
        <x:v>0.580325857924421</x:v>
      </x:c>
      <x:c r="R184" t="n">
        <x:f>E184*'模块规划'!$E$10+G184*'模块规划'!$E$11+H184*'模块规划'!$E$13</x:f>
        <x:v>7589.661297818496</x:v>
      </x:c>
      <x:c r="S184" t="n">
        <x:f>I184*'模块规划'!$E$15+J184*'模块规划'!$E$17+K184*'模块规划'!$E$16+L184*'模块规划'!$E$18</x:f>
        <x:v>25278.774528614602</x:v>
      </x:c>
      <x:c r="T184" t="n">
        <x:f>1+T$9*SUMPRODUCT($H$10:$L$10,H184:L184)/SUM($H$10:$L$10)</x:f>
        <x:v>3.2283475476606793</x:v>
      </x:c>
      <x:c r="U184" t="n">
        <x:f>R184*T184+S184</x:f>
        <x:v>49780.83896700211</x:v>
      </x:c>
      <x:c r="V184" t="n">
        <x:f>V$8+(V$9-V$8)*H184</x:f>
        <x:v>0.902501935124477</x:v>
      </x:c>
      <x:c r="W184" t="n">
        <x:f>IF(B184&lt;$H$8,0,W$8+(W$9-W$8)*H184)</x:f>
        <x:v>0.27000258016596934</x:v>
      </x:c>
      <x:c r="X184" t="n">
        <x:f>X$8+(X$9-X$8)*H184</x:f>
        <x:v>0.460626773864104</x:v>
      </x:c>
      <x:c r="Y184" t="n">
        <x:f>Y$8+(Y$9-Y$8)*G184</x:f>
        <x:v>1</x:v>
      </x:c>
      <x:c r="Z184" t="n">
        <x:f>Z$8+(Z$9-Z$8)*H184</x:f>
        <x:v>1</x:v>
      </x:c>
      <x:c r="AA184" t="n">
        <x:f>AA$8+(AA$9-AA$8)*I184</x:f>
        <x:v>1</x:v>
      </x:c>
      <x:c r="AB184" t="n">
        <x:f>AB$8+(AB$9-AB$8)*J184</x:f>
        <x:v>1</x:v>
      </x:c>
      <x:c r="AC184" t="n">
        <x:f>AC$8+(AC$9-AC$8)*MAX(K184,L184)</x:f>
        <x:v>1</x:v>
      </x:c>
      <x:c r="AD184" t="n">
        <x:f>(V184*AE184+W184*AF184+X184*AG184)*PRODUCT(Y184:AC184)</x:f>
        <x:v>1.8467830485051435</x:v>
      </x:c>
      <x:c r="AE184" t="n">
        <x:f>1+AE$9*($H$10*H184+$I$10*I184+$J$10*J184+$K$10*K184+$L$10*L184)</x:f>
        <x:v>1</x:v>
      </x:c>
      <x:c r="AF184" t="n">
        <x:f>1+AF$9*($H$10*H184+$I$10*I184+$J$10*J184+$K$10*K184+$L$10*L184)</x:f>
        <x:v>1.1966719697935337</x:v>
      </x:c>
      <x:c r="AG184" t="n">
        <x:f>1+AG$9*($H$10*H184+$I$10*I184+$J$10*J184+$K$10*K184+$L$10*L184)</x:f>
        <x:v>1.348546435356321</x:v>
      </x:c>
      <x:c r="AH184" t="n">
        <x:f>MIN(1,'_曲线基线'!$L$3+AH$9*($H$10*H184+$I$10*I184+$J$10*J184+$K$10*K184+$L$10*L184))</x:f>
        <x:v>0.4974287312802889</x:v>
      </x:c>
      <x:c r="AI184" t="n">
        <x:f>'_曲线基线'!$L$4+AI$9*($H$10*H184+$I$10*I184+$J$10*J184+$K$10*K184+$L$10*L184)</x:f>
        <x:v>3.246408608566519</x:v>
      </x:c>
      <x:c r="AJ184" t="n">
        <x:f>1+AJ$9*($H$10*H184+$I$10*I184+$J$10*J184+$K$10*K184+$L$10*L184)</x:f>
        <x:v>2.0226942429263746</x:v>
      </x:c>
      <x:c r="AK184" t="n">
        <x:f>(1+AH184*(AI184-1))*AJ184</x:f>
        <x:v>4.28290979778176</x:v>
      </x:c>
      <x:c r="AL184" t="n">
        <x:f>U184*AD184*AK184*F184</x:f>
        <x:v>1968733.9169597512</x:v>
      </x:c>
      <x:c r="AM184" t="n">
        <x:f>IF($B184&lt;AM$8,0,AM$3+(AM$4-AM$3)*(POWER(AM$5,$B184-AM$8)-1)/(POWER(AM$5,$C$5-AM$8)-1))</x:f>
        <x:v>41.0907893776852</x:v>
      </x:c>
      <x:c r="AN184" t="n">
        <x:f>(((E184*'模块规划'!$D$10+G184*'模块规划'!$D$11+H184*'模块规划'!$D$13)*(1+'模块规划'!$G$14*H184)+(I184*'模块规划'!$D$15+J184*'模块规划'!$D$17+K184*'模块规划'!$D$16+L184*'模块规划'!$D$18))*(1+'模块规划'!$J$17*J184))*F184/(1-Q184)</x:f>
        <x:v>2507128.7984864637</x:v>
      </x:c>
      <x:c r="AO184" t="n">
        <x:f>AL184*AM184</x:f>
        <x:v>80896830.72249831</x:v>
      </x:c>
      <x:c r="AP184" t="n">
        <x:f>IF(AO184="","",INDEX('_曲线基线'!$A$3:$A$502,MIN(ROWS('_曲线基线'!$A$3:$A$502),COUNTIF('_曲线基线'!$E$3:$E$502,"&lt;"&amp;AO184)+1)))</x:f>
        <x:v>277</x:v>
      </x:c>
      <x:c r="AQ184" t="n">
        <x:f>IF(B184&lt;=2,1,IF(B184&lt;=6,2,IF(B184&lt;=9,3,IF(B184&lt;=19,4,5))))</x:f>
        <x:v>5</x:v>
      </x:c>
      <x:c r="AR184" t="n">
        <x:f>AN184*(1-Q184)/F184*$AS$3+U184*$AS$4+P184*$AS$5</x:f>
        <x:v>16269.230558867124</x:v>
      </x:c>
      <x:c r="AS184" t="n">
        <x:f>1+AH184*$AS$6+AI184*$AS$7+(AJ184-1)*$AS$8+($H$10*H184+$I$10*I184+$J$10*J184+$K$10*K184+$L$10*L184)*$AU$3*$AS$9+($H$10*H184+$I$10*I184+$J$10*J184+$K$10*K184+$L$10*L184)*$AU$4*$AS$10</x:f>
        <x:v>16.732953663689308</x:v>
      </x:c>
      <x:c r="AT184" t="n">
        <x:f>ROUND(AR184*AS184,0)</x:f>
        <x:v>272232</x:v>
      </x:c>
      <x:c r="AU184" t="n">
        <x:f>ROUND(AT184*F184,0)</x:f>
        <x:v>1361160</x:v>
      </x:c>
    </x:row>
    <x:row r="185">
      <x:c r="A185" t="str">
        <x:f>IFERROR(XLOOKUP(B185,'_曲线基线'!$G$3:$G$107,'_曲线基线'!$J$3:$J$107,""),"")</x:f>
      </x:c>
      <x:c r="B185" t="n">
        <x:v>174</x:v>
      </x:c>
      <x:c r="C185" t="n">
        <x:f>C170+1</x:f>
        <x:v>12</x:v>
      </x:c>
      <x:c r="D185" t="n">
        <x:f>D170</x:f>
        <x:v>15</x:v>
      </x:c>
      <x:c r="E185" t="n">
        <x:f>IF($B185&lt;E$8,0,E$3+(E$4-E$3)*(POWER(E$5,$B185-E$8)-1)/(POWER(E$5,$C$5-E$8)-1))</x:f>
        <x:v>1</x:v>
      </x:c>
      <x:c r="F185" t="n">
        <x:f>1+IF(B185&lt;3,0,MIN(1,(B185-2)/4))+IF(B185&lt;7,0,MIN(1,(B185-6)/3))+IF(B185&lt;10,0,MIN(1,(B185-9)/5))+IF(B185&lt;20,0,MIN(1,(B185-19)/10))</x:f>
        <x:v>5</x:v>
      </x:c>
      <x:c r="G185" t="n">
        <x:f>IF($B185&lt;G$8,0,G$3+(G$4-G$3)*(POWER(G$5,$B185-G$8)-1)/(POWER(G$5,$C$5-G$8)-1))</x:f>
        <x:v>0.8468046874477205</x:v>
      </x:c>
      <x:c r="H185" t="n">
        <x:f>IF($B185&lt;H$8,0,H$3+(H$4-H$3)*(POWER(H$5,$B185-H$8)-1)/(POWER(H$5,$C$5-H$8)-1))</x:f>
        <x:v>0.6755728636461362</x:v>
      </x:c>
      <x:c r="I185" t="n">
        <x:f>IF($B185&lt;I$8,0,I$3+(I$4-I$3)*(POWER(I$5,$B185-I$8)-1)/(POWER(I$5,$C$5-I$8)-1))</x:f>
        <x:v>0.5871937043781156</x:v>
      </x:c>
      <x:c r="J185" t="n">
        <x:f>IF($B185&lt;J$8,0,J$3+(J$4-J$3)*(POWER(J$5,$B185-J$8)-1)/(POWER(J$5,$C$5-J$8)-1))</x:f>
        <x:v>0.5710200937346416</x:v>
      </x:c>
      <x:c r="K185" t="n">
        <x:f>IF($B185&lt;K$8,0,K$3+(K$4-K$3)*(POWER(K$5,$B185-K$8)-1)/(POWER(K$5,$C$5-K$8)-1))</x:f>
        <x:v>0.5181680415463886</x:v>
      </x:c>
      <x:c r="L185" t="n">
        <x:f>IF($B185&lt;L$8,0,L$3+(L$4-L$3)*(POWER(L$5,$B185-L$8)-1)/(POWER(L$5,$C$5-L$8)-1))</x:f>
        <x:v>0.6750719326280842</x:v>
      </x:c>
      <x:c r="M185" t="n">
        <x:f>E185*'模块规划'!$F$10+G185*'模块规划'!$F$11+H185*'模块规划'!$F$13</x:f>
        <x:v>5064.662499749058</x:v>
      </x:c>
      <x:c r="N185" t="n">
        <x:f>I185*'模块规划'!$F$15+J185*'模块规划'!$F$17+K185*'模块规划'!$F$16+L185*'模块规划'!$F$18</x:f>
        <x:v>16892.11848479009</x:v>
      </x:c>
      <x:c r="O185" t="n">
        <x:f>1+O$9*SUMPRODUCT($H$10:$L$10,H185:L185)/SUM($H$10:$L$10)</x:f>
        <x:v>3.2327178762186017</x:v>
      </x:c>
      <x:c r="P185" t="n">
        <x:f>M185*O185+N185</x:f>
        <x:v>33264.74348474286</x:v>
      </x:c>
      <x:c r="Q185" t="n">
        <x:f>P185/(P185+'_曲线基线'!$L$2)</x:f>
        <x:v>0.5808939577910733</x:v>
      </x:c>
      <x:c r="R185" t="n">
        <x:f>E185*'模块规划'!$E$10+G185*'模块规划'!$E$11+H185*'模块规划'!$E$13</x:f>
        <x:v>7596.993749623588</x:v>
      </x:c>
      <x:c r="S185" t="n">
        <x:f>I185*'模块规划'!$E$15+J185*'模块规划'!$E$17+K185*'模块规划'!$E$16+L185*'模块规划'!$E$18</x:f>
        <x:v>25338.17772718514</x:v>
      </x:c>
      <x:c r="T185" t="n">
        <x:f>1+T$9*SUMPRODUCT($H$10:$L$10,H185:L185)/SUM($H$10:$L$10)</x:f>
        <x:v>3.2327178762186017</x:v>
      </x:c>
      <x:c r="U185" t="n">
        <x:f>R185*T185+S185</x:f>
        <x:v>49897.11522711429</x:v>
      </x:c>
      <x:c r="V185" t="n">
        <x:f>V$8+(V$9-V$8)*H185</x:f>
        <x:v>0.9026718590938408</x:v>
      </x:c>
      <x:c r="W185" t="n">
        <x:f>IF(B185&lt;$H$8,0,W$8+(W$9-W$8)*H185)</x:f>
        <x:v>0.2702291454584545</x:v>
      </x:c>
      <x:c r="X185" t="n">
        <x:f>X$8+(X$9-X$8)*H185</x:f>
        <x:v>0.4607825375026875</x:v>
      </x:c>
      <x:c r="Y185" t="n">
        <x:f>Y$8+(Y$9-Y$8)*G185</x:f>
        <x:v>1</x:v>
      </x:c>
      <x:c r="Z185" t="n">
        <x:f>Z$8+(Z$9-Z$8)*H185</x:f>
        <x:v>1</x:v>
      </x:c>
      <x:c r="AA185" t="n">
        <x:f>AA$8+(AA$9-AA$8)*I185</x:f>
        <x:v>1</x:v>
      </x:c>
      <x:c r="AB185" t="n">
        <x:f>AB$8+(AB$9-AB$8)*J185</x:f>
        <x:v>1</x:v>
      </x:c>
      <x:c r="AC185" t="n">
        <x:f>AC$8+(AC$9-AC$8)*MAX(K185,L185)</x:f>
        <x:v>1</x:v>
      </x:c>
      <x:c r="AD185" t="n">
        <x:f>(V185*AE185+W185*AF185+X185*AG185)*PRODUCT(Y185:AC185)</x:f>
        <x:v>1.8478533679579936</x:v>
      </x:c>
      <x:c r="AE185" t="n">
        <x:f>1+AE$9*($H$10*H185+$I$10*I185+$J$10*J185+$K$10*K185+$L$10*L185)</x:f>
        <x:v>1</x:v>
      </x:c>
      <x:c r="AF185" t="n">
        <x:f>1+AF$9*($H$10*H185+$I$10*I185+$J$10*J185+$K$10*K185+$L$10*L185)</x:f>
        <x:v>1.1970576910994557</x:v>
      </x:c>
      <x:c r="AG185" t="n">
        <x:f>1+AG$9*($H$10*H185+$I$10*I185+$J$10*J185+$K$10*K185+$L$10*L185)</x:f>
        <x:v>1.3492300192262603</x:v>
      </x:c>
      <x:c r="AH185" t="n">
        <x:f>MIN(1,'_曲线基线'!$L$3+AH$9*($H$10*H185+$I$10*I185+$J$10*J185+$K$10*K185+$L$10*L185))</x:f>
        <x:v>0.49830624725126127</x:v>
      </x:c>
      <x:c r="AI185" t="n">
        <x:f>'_曲线基线'!$L$4+AI$9*($H$10*H185+$I$10*I185+$J$10*J185+$K$10*K185+$L$10*L185)</x:f>
        <x:v>3.248853117342799</x:v>
      </x:c>
      <x:c r="AJ185" t="n">
        <x:f>1+AJ$9*($H$10*H185+$I$10*I185+$J$10*J185+$K$10*K185+$L$10*L185)</x:f>
        <x:v>2.024699993717169</x:v>
      </x:c>
      <x:c r="AK185" t="n">
        <x:f>(1+AH185*(AI185-1))*AJ185</x:f>
        <x:v>4.293614355392102</x:v>
      </x:c>
      <x:c r="AL185" t="n">
        <x:f>U185*AD185*AK185*F185</x:f>
        <x:v>1979411.0134533439</x:v>
      </x:c>
      <x:c r="AM185" t="n">
        <x:f>IF($B185&lt;AM$8,0,AM$3+(AM$4-AM$3)*(POWER(AM$5,$B185-AM$8)-1)/(POWER(AM$5,$C$5-AM$8)-1))</x:f>
        <x:v>41.16512191138392</x:v>
      </x:c>
      <x:c r="AN185" t="n">
        <x:f>(((E185*'模块规划'!$D$10+G185*'模块规划'!$D$11+H185*'模块规划'!$D$13)*(1+'模块规划'!$G$14*H185)+(I185*'模块规划'!$D$15+J185*'模块规划'!$D$17+K185*'模块规划'!$D$16+L185*'模块规划'!$D$18))*(1+'模块规划'!$J$17*J185))*F185/(1-Q185)</x:f>
        <x:v>2516759.543085682</x:v>
      </x:c>
      <x:c r="AO185" t="n">
        <x:f>AL185*AM185</x:f>
        <x:v>81482695.6815429</x:v>
      </x:c>
      <x:c r="AP185" t="n">
        <x:f>IF(AO185="","",INDEX('_曲线基线'!$A$3:$A$502,MIN(ROWS('_曲线基线'!$A$3:$A$502),COUNTIF('_曲线基线'!$E$3:$E$502,"&lt;"&amp;AO185)+1)))</x:f>
        <x:v>277</x:v>
      </x:c>
      <x:c r="AQ185" t="n">
        <x:f>IF(B185&lt;=2,1,IF(B185&lt;=6,2,IF(B185&lt;=9,3,IF(B185&lt;=19,4,5))))</x:f>
        <x:v>5</x:v>
      </x:c>
      <x:c r="AR185" t="n">
        <x:f>AN185*(1-Q185)/F185*$AS$3+U185*$AS$4+P185*$AS$5</x:f>
        <x:v>16308.157833187983</x:v>
      </x:c>
      <x:c r="AS185" t="n">
        <x:f>1+AH185*$AS$6+AI185*$AS$7+(AJ185-1)*$AS$8+($H$10*H185+$I$10*I185+$J$10*J185+$K$10*K185+$L$10*L185)*$AU$3*$AS$9+($H$10*H185+$I$10*I185+$J$10*J185+$K$10*K185+$L$10*L185)*$AU$4*$AS$10</x:f>
        <x:v>16.75600094999398</x:v>
      </x:c>
      <x:c r="AT185" t="n">
        <x:f>ROUND(AR185*AS185,0)</x:f>
        <x:v>273260</x:v>
      </x:c>
      <x:c r="AU185" t="n">
        <x:f>ROUND(AT185*F185,0)</x:f>
        <x:v>1366300</x:v>
      </x:c>
    </x:row>
    <x:row r="186">
      <x:c r="A186" t="str">
        <x:f>IFERROR(XLOOKUP(B186,'_曲线基线'!$G$3:$G$107,'_曲线基线'!$J$3:$J$107,""),"")</x:f>
      </x:c>
      <x:c r="B186" t="n">
        <x:v>175</x:v>
      </x:c>
      <x:c r="C186" t="n">
        <x:f>C171+1</x:f>
        <x:v>13</x:v>
      </x:c>
      <x:c r="D186" t="n">
        <x:f>D171</x:f>
        <x:v>1</x:v>
      </x:c>
      <x:c r="E186" t="n">
        <x:f>IF($B186&lt;E$8,0,E$3+(E$4-E$3)*(POWER(E$5,$B186-E$8)-1)/(POWER(E$5,$C$5-E$8)-1))</x:f>
        <x:v>1</x:v>
      </x:c>
      <x:c r="F186" t="n">
        <x:f>1+IF(B186&lt;3,0,MIN(1,(B186-2)/4))+IF(B186&lt;7,0,MIN(1,(B186-6)/3))+IF(B186&lt;10,0,MIN(1,(B186-9)/5))+IF(B186&lt;20,0,MIN(1,(B186-19)/10))</x:f>
        <x:v>5</x:v>
      </x:c>
      <x:c r="G186" t="n">
        <x:f>IF($B186&lt;G$8,0,G$3+(G$4-G$3)*(POWER(G$5,$B186-G$8)-1)/(POWER(G$5,$C$5-G$8)-1))</x:f>
        <x:v>0.8478078075905007</x:v>
      </x:c>
      <x:c r="H186" t="n">
        <x:f>IF($B186&lt;H$8,0,H$3+(H$4-H$3)*(POWER(H$5,$B186-H$8)-1)/(POWER(H$5,$C$5-H$8)-1))</x:f>
        <x:v>0.6761279486127248</x:v>
      </x:c>
      <x:c r="I186" t="n">
        <x:f>IF($B186&lt;I$8,0,I$3+(I$4-I$3)*(POWER(I$5,$B186-I$8)-1)/(POWER(I$5,$C$5-I$8)-1))</x:f>
        <x:v>0.5886209216336215</x:v>
      </x:c>
      <x:c r="J186" t="n">
        <x:f>IF($B186&lt;J$8,0,J$3+(J$4-J$3)*(POWER(J$5,$B186-J$8)-1)/(POWER(J$5,$C$5-J$8)-1))</x:f>
        <x:v>0.5716786363516726</x:v>
      </x:c>
      <x:c r="K186" t="n">
        <x:f>IF($B186&lt;K$8,0,K$3+(K$4-K$3)*(POWER(K$5,$B186-K$8)-1)/(POWER(K$5,$C$5-K$8)-1))</x:f>
        <x:v>0.5211638056504344</x:v>
      </x:c>
      <x:c r="L186" t="n">
        <x:f>IF($B186&lt;L$8,0,L$3+(L$4-L$3)*(POWER(L$5,$B186-L$8)-1)/(POWER(L$5,$C$5-L$8)-1))</x:f>
        <x:v>0.6756384008069082</x:v>
      </x:c>
      <x:c r="M186" t="n">
        <x:f>E186*'模块规划'!$F$10+G186*'模块规划'!$F$11+H186*'模块规划'!$F$13</x:f>
        <x:v>5069.477476434404</x:v>
      </x:c>
      <x:c r="N186" t="n">
        <x:f>I186*'模块规划'!$F$15+J186*'模块规划'!$F$17+K186*'模块规划'!$F$16+L186*'模块规划'!$F$18</x:f>
        <x:v>16930.928574522844</x:v>
      </x:c>
      <x:c r="O186" t="n">
        <x:f>1+O$9*SUMPRODUCT($H$10:$L$10,H186:L186)/SUM($H$10:$L$10)</x:f>
        <x:v>3.237000798205366</x:v>
      </x:c>
      <x:c r="P186" t="n">
        <x:f>M186*O186+N186</x:f>
        <x:v>33340.83121222514</x:v>
      </x:c>
      <x:c r="Q186" t="n">
        <x:f>P186/(P186+'_曲线基线'!$L$2)</x:f>
        <x:v>0.5814500855215512</x:v>
      </x:c>
      <x:c r="R186" t="n">
        <x:f>E186*'模块规划'!$E$10+G186*'模块规划'!$E$11+H186*'模块规划'!$E$13</x:f>
        <x:v>7604.216214651605</x:v>
      </x:c>
      <x:c r="S186" t="n">
        <x:f>I186*'模块规划'!$E$15+J186*'模块规划'!$E$17+K186*'模块规划'!$E$16+L186*'模块规划'!$E$18</x:f>
        <x:v>25396.392861784265</x:v>
      </x:c>
      <x:c r="T186" t="n">
        <x:f>1+T$9*SUMPRODUCT($H$10:$L$10,H186:L186)/SUM($H$10:$L$10)</x:f>
        <x:v>3.237000798205366</x:v>
      </x:c>
      <x:c r="U186" t="n">
        <x:f>R186*T186+S186</x:f>
        <x:v>50011.24681833769</x:v>
      </x:c>
      <x:c r="V186" t="n">
        <x:f>V$8+(V$9-V$8)*H186</x:f>
        <x:v>0.9028383845838175</x:v>
      </x:c>
      <x:c r="W186" t="n">
        <x:f>IF(B186&lt;$H$8,0,W$8+(W$9-W$8)*H186)</x:f>
        <x:v>0.27045117944508995</x:v>
      </x:c>
      <x:c r="X186" t="n">
        <x:f>X$8+(X$9-X$8)*H186</x:f>
        <x:v>0.46093518586849935</x:v>
      </x:c>
      <x:c r="Y186" t="n">
        <x:f>Y$8+(Y$9-Y$8)*G186</x:f>
        <x:v>1</x:v>
      </x:c>
      <x:c r="Z186" t="n">
        <x:f>Z$8+(Z$9-Z$8)*H186</x:f>
        <x:v>1</x:v>
      </x:c>
      <x:c r="AA186" t="n">
        <x:f>AA$8+(AA$9-AA$8)*I186</x:f>
        <x:v>1</x:v>
      </x:c>
      <x:c r="AB186" t="n">
        <x:f>AB$8+(AB$9-AB$8)*J186</x:f>
        <x:v>1</x:v>
      </x:c>
      <x:c r="AC186" t="n">
        <x:f>AC$8+(AC$9-AC$8)*MAX(K186,L186)</x:f>
        <x:v>1</x:v>
      </x:c>
      <x:c r="AD186" t="n">
        <x:f>(V186*AE186+W186*AF186+X186*AG186)*PRODUCT(Y186:AC186)</x:f>
        <x:v>1.848902657204362</x:v>
      </x:c>
      <x:c r="AE186" t="n">
        <x:f>1+AE$9*($H$10*H186+$I$10*I186+$J$10*J186+$K$10*K186+$L$10*L186)</x:f>
        <x:v>1</x:v>
      </x:c>
      <x:c r="AF186" t="n">
        <x:f>1+AF$9*($H$10*H186+$I$10*I186+$J$10*J186+$K$10*K186+$L$10*L186)</x:f>
        <x:v>1.1974356979792593</x:v>
      </x:c>
      <x:c r="AG186" t="n">
        <x:f>1+AG$9*($H$10*H186+$I$10*I186+$J$10*J186+$K$10*K186+$L$10*L186)</x:f>
        <x:v>1.349899931418801</x:v>
      </x:c>
      <x:c r="AH186" t="n">
        <x:f>MIN(1,'_曲线基线'!$L$3+AH$9*($H$10*H186+$I$10*I186+$J$10*J186+$K$10*K186+$L$10*L186))</x:f>
        <x:v>0.49916621290281415</x:v>
      </x:c>
      <x:c r="AI186" t="n">
        <x:f>'_曲线基线'!$L$4+AI$9*($H$10*H186+$I$10*I186+$J$10*J186+$K$10*K186+$L$10*L186)</x:f>
        <x:v>3.2512487359435536</x:v>
      </x:c>
      <x:c r="AJ186" t="n">
        <x:f>1+AJ$9*($H$10*H186+$I$10*I186+$J$10*J186+$K$10*K186+$L$10*L186)</x:f>
        <x:v>2.026665629492147</x:v>
      </x:c>
      <x:c r="AK186" t="n">
        <x:f>(1+AH186*(AI186-1))*AJ186</x:f>
        <x:v>4.304125670438408</x:v>
      </x:c>
      <x:c r="AL186" t="n">
        <x:f>U186*AD186*AK186*F186</x:f>
        <x:v>1989924.8530599999</x:v>
      </x:c>
      <x:c r="AM186" t="n">
        <x:f>IF($B186&lt;AM$8,0,AM$3+(AM$4-AM$3)*(POWER(AM$5,$B186-AM$8)-1)/(POWER(AM$5,$C$5-AM$8)-1))</x:f>
        <x:v>41.24019777041963</x:v>
      </x:c>
      <x:c r="AN186" t="n">
        <x:f>(((E186*'模块规划'!$D$10+G186*'模块规划'!$D$11+H186*'模块规划'!$D$13)*(1+'模块规划'!$G$14*H186)+(I186*'模块规划'!$D$15+J186*'模块规划'!$D$17+K186*'模块规划'!$D$16+L186*'模块规划'!$D$18))*(1+'模块规划'!$J$17*J186))*F186/(1-Q186)</x:f>
        <x:v>2526228.477904712</x:v>
      </x:c>
      <x:c r="AO186" t="n">
        <x:f>AL186*AM186</x:f>
        <x:v>82064894.4884676</x:v>
      </x:c>
      <x:c r="AP186" t="n">
        <x:f>IF(AO186="","",INDEX('_曲线基线'!$A$3:$A$502,MIN(ROWS('_曲线基线'!$A$3:$A$502),COUNTIF('_曲线基线'!$E$3:$E$502,"&lt;"&amp;AO186)+1)))</x:f>
        <x:v>278</x:v>
      </x:c>
      <x:c r="AQ186" t="n">
        <x:f>IF(B186&lt;=2,1,IF(B186&lt;=6,2,IF(B186&lt;=9,3,IF(B186&lt;=19,4,5))))</x:f>
        <x:v>5</x:v>
      </x:c>
      <x:c r="AR186" t="n">
        <x:f>AN186*(1-Q186)/F186*$AS$3+U186*$AS$4+P186*$AS$5</x:f>
        <x:v>16346.365643947775</x:v>
      </x:c>
      <x:c r="AS186" t="n">
        <x:f>1+AH186*$AS$6+AI186*$AS$7+(AJ186-1)*$AS$8+($H$10*H186+$I$10*I186+$J$10*J186+$K$10*K186+$L$10*L186)*$AU$3*$AS$9+($H$10*H186+$I$10*I186+$J$10*J186+$K$10*K186+$L$10*L186)*$AU$4*$AS$10</x:f>
        <x:v>16.778587290572553</x:v>
      </x:c>
      <x:c r="AT186" t="n">
        <x:f>ROUND(AR186*AS186,0)</x:f>
        <x:v>274269</x:v>
      </x:c>
      <x:c r="AU186" t="n">
        <x:f>ROUND(AT186*F186,0)</x:f>
        <x:v>1371345</x:v>
      </x:c>
    </x:row>
    <x:row r="187">
      <x:c r="A187" t="str">
        <x:f>IFERROR(XLOOKUP(B187,'_曲线基线'!$G$3:$G$107,'_曲线基线'!$J$3:$J$107,""),"")</x:f>
      </x:c>
      <x:c r="B187" t="n">
        <x:v>176</x:v>
      </x:c>
      <x:c r="C187" t="n">
        <x:f>C172+1</x:f>
        <x:v>13</x:v>
      </x:c>
      <x:c r="D187" t="n">
        <x:f>D172</x:f>
        <x:v>2</x:v>
      </x:c>
      <x:c r="E187" t="n">
        <x:f>IF($B187&lt;E$8,0,E$3+(E$4-E$3)*(POWER(E$5,$B187-E$8)-1)/(POWER(E$5,$C$5-E$8)-1))</x:f>
        <x:v>1</x:v>
      </x:c>
      <x:c r="F187" t="n">
        <x:f>1+IF(B187&lt;3,0,MIN(1,(B187-2)/4))+IF(B187&lt;7,0,MIN(1,(B187-6)/3))+IF(B187&lt;10,0,MIN(1,(B187-9)/5))+IF(B187&lt;20,0,MIN(1,(B187-19)/10))</x:f>
        <x:v>5</x:v>
      </x:c>
      <x:c r="G187" t="n">
        <x:f>IF($B187&lt;G$8,0,G$3+(G$4-G$3)*(POWER(G$5,$B187-G$8)-1)/(POWER(G$5,$C$5-G$8)-1))</x:f>
        <x:v>0.8487958809311389</x:v>
      </x:c>
      <x:c r="H187" t="n">
        <x:f>IF($B187&lt;H$8,0,H$3+(H$4-H$3)*(POWER(H$5,$B187-H$8)-1)/(POWER(H$5,$C$5-H$8)-1))</x:f>
        <x:v>0.6766719318799818</x:v>
      </x:c>
      <x:c r="I187" t="n">
        <x:f>IF($B187&lt;I$8,0,I$3+(I$4-I$3)*(POWER(I$5,$B187-I$8)-1)/(POWER(I$5,$C$5-I$8)-1))</x:f>
        <x:v>0.5900195945440172</x:v>
      </x:c>
      <x:c r="J187" t="n">
        <x:f>IF($B187&lt;J$8,0,J$3+(J$4-J$3)*(POWER(J$5,$B187-J$8)-1)/(POWER(J$5,$C$5-J$8)-1))</x:f>
        <x:v>0.5723240081163632</x:v>
      </x:c>
      <x:c r="K187" t="n">
        <x:f>IF($B187&lt;K$8,0,K$3+(K$4-K$3)*(POWER(K$5,$B187-K$8)-1)/(POWER(K$5,$C$5-K$8)-1))</x:f>
        <x:v>0.5240996544723993</x:v>
      </x:c>
      <x:c r="L187" t="n">
        <x:f>IF($B187&lt;L$8,0,L$3+(L$4-L$3)*(POWER(L$5,$B187-L$8)-1)/(POWER(L$5,$C$5-L$8)-1))</x:f>
        <x:v>0.6761935396221557</x:v>
      </x:c>
      <x:c r="M187" t="n">
        <x:f>E187*'模块规划'!$F$10+G187*'模块规划'!$F$11+H187*'模块规划'!$F$13</x:f>
        <x:v>5074.220228469467</x:v>
      </x:c>
      <x:c r="N187" t="n">
        <x:f>I187*'模块规划'!$F$15+J187*'模块规划'!$F$17+K187*'模块规划'!$F$16+L187*'模块规划'!$F$18</x:f>
        <x:v>16968.962462460942</x:v>
      </x:c>
      <x:c r="O187" t="n">
        <x:f>1+O$9*SUMPRODUCT($H$10:$L$10,H187:L187)/SUM($H$10:$L$10)</x:f>
        <x:v>3.2411980617523946</x:v>
      </x:c>
      <x:c r="P187" t="n">
        <x:f>M187*O187+N187</x:f>
        <x:v>33415.51523188097</x:v>
      </x:c>
      <x:c r="Q187" t="n">
        <x:f>P187/(P187+'_曲线基线'!$L$2)</x:f>
        <x:v>0.5819945200687918</x:v>
      </x:c>
      <x:c r="R187" t="n">
        <x:f>E187*'模块规划'!$E$10+G187*'模块规划'!$E$11+H187*'模块规划'!$E$13</x:f>
        <x:v>7611.3303427042</x:v>
      </x:c>
      <x:c r="S187" t="n">
        <x:f>I187*'模块规划'!$E$15+J187*'模块规划'!$E$17+K187*'模块规划'!$E$16+L187*'模块规划'!$E$18</x:f>
        <x:v>25453.443693691414</x:v>
      </x:c>
      <x:c r="T187" t="n">
        <x:f>1+T$9*SUMPRODUCT($H$10:$L$10,H187:L187)/SUM($H$10:$L$10)</x:f>
        <x:v>3.2411980617523946</x:v>
      </x:c>
      <x:c r="U187" t="n">
        <x:f>R187*T187+S187</x:f>
        <x:v>50123.272847821456</x:v>
      </x:c>
      <x:c r="V187" t="n">
        <x:f>V$8+(V$9-V$8)*H187</x:f>
        <x:v>0.9030015795639945</x:v>
      </x:c>
      <x:c r="W187" t="n">
        <x:f>IF(B187&lt;$H$8,0,W$8+(W$9-W$8)*H187)</x:f>
        <x:v>0.2706687727519927</x:v>
      </x:c>
      <x:c r="X187" t="n">
        <x:f>X$8+(X$9-X$8)*H187</x:f>
        <x:v>0.46108478126699504</x:v>
      </x:c>
      <x:c r="Y187" t="n">
        <x:f>Y$8+(Y$9-Y$8)*G187</x:f>
        <x:v>1</x:v>
      </x:c>
      <x:c r="Z187" t="n">
        <x:f>Z$8+(Z$9-Z$8)*H187</x:f>
        <x:v>1</x:v>
      </x:c>
      <x:c r="AA187" t="n">
        <x:f>AA$8+(AA$9-AA$8)*I187</x:f>
        <x:v>1</x:v>
      </x:c>
      <x:c r="AB187" t="n">
        <x:f>AB$8+(AB$9-AB$8)*J187</x:f>
        <x:v>1</x:v>
      </x:c>
      <x:c r="AC187" t="n">
        <x:f>AC$8+(AC$9-AC$8)*MAX(K187,L187)</x:f>
        <x:v>1</x:v>
      </x:c>
      <x:c r="AD187" t="n">
        <x:f>(V187*AE187+W187*AF187+X187*AG187)*PRODUCT(Y187:AC187)</x:f>
        <x:v>1.8499313219515492</x:v>
      </x:c>
      <x:c r="AE187" t="n">
        <x:f>1+AE$9*($H$10*H187+$I$10*I187+$J$10*J187+$K$10*K187+$L$10*L187)</x:f>
        <x:v>1</x:v>
      </x:c>
      <x:c r="AF187" t="n">
        <x:f>1+AF$9*($H$10*H187+$I$10*I187+$J$10*J187+$K$10*K187+$L$10*L187)</x:f>
        <x:v>1.1978061447214665</x:v>
      </x:c>
      <x:c r="AG187" t="n">
        <x:f>1+AG$9*($H$10*H187+$I$10*I187+$J$10*J187+$K$10*K187+$L$10*L187)</x:f>
        <x:v>1.3505564453674908</x:v>
      </x:c>
      <x:c r="AH187" t="n">
        <x:f>MIN(1,'_曲线基线'!$L$3+AH$9*($H$10*H187+$I$10*I187+$J$10*J187+$K$10*K187+$L$10*L187))</x:f>
        <x:v>0.500008979241336</x:v>
      </x:c>
      <x:c r="AI187" t="n">
        <x:f>'_曲线基线'!$L$4+AI$9*($H$10*H187+$I$10*I187+$J$10*J187+$K$10*K187+$L$10*L187)</x:f>
        <x:v>3.2535964421722934</x:v>
      </x:c>
      <x:c r="AJ187" t="n">
        <x:f>1+AJ$9*($H$10*H187+$I$10*I187+$J$10*J187+$K$10*K187+$L$10*L187)</x:f>
        <x:v>2.0285919525516256</x:v>
      </x:c>
      <x:c r="AK187" t="n">
        <x:f>(1+AH187*(AI187-1))*AJ187</x:f>
        <x:v>4.314446805744051</x:v>
      </x:c>
      <x:c r="AL187" t="n">
        <x:f>U187*AD187*AK187*F187</x:f>
        <x:v>2000277.0389132034</x:v>
      </x:c>
      <x:c r="AM187" t="n">
        <x:f>IF($B187&lt;AM$8,0,AM$3+(AM$4-AM$3)*(POWER(AM$5,$B187-AM$8)-1)/(POWER(AM$5,$C$5-AM$8)-1))</x:f>
        <x:v>41.31602438804569</x:v>
      </x:c>
      <x:c r="AN187" t="n">
        <x:f>(((E187*'模块规划'!$D$10+G187*'模块规划'!$D$11+H187*'模块规划'!$D$13)*(1+'模块规划'!$G$14*H187)+(I187*'模块规划'!$D$15+J187*'模块规划'!$D$17+K187*'模块规划'!$D$16+L187*'模块规划'!$D$18))*(1+'模块规划'!$J$17*J187))*F187/(1-Q187)</x:f>
        <x:v>2535537.89779388</x:v>
      </x:c>
      <x:c r="AO187" t="n">
        <x:f>AL187*AM187</x:f>
        <x:v>82643494.92258573</x:v>
      </x:c>
      <x:c r="AP187" t="n">
        <x:f>IF(AO187="","",INDEX('_曲线基线'!$A$3:$A$502,MIN(ROWS('_曲线基线'!$A$3:$A$502),COUNTIF('_曲线基线'!$E$3:$E$502,"&lt;"&amp;AO187)+1)))</x:f>
        <x:v>278</x:v>
      </x:c>
      <x:c r="AQ187" t="n">
        <x:f>IF(B187&lt;=2,1,IF(B187&lt;=6,2,IF(B187&lt;=9,3,IF(B187&lt;=19,4,5))))</x:f>
        <x:v>5</x:v>
      </x:c>
      <x:c r="AR187" t="n">
        <x:f>AN187*(1-Q187)/F187*$AS$3+U187*$AS$4+P187*$AS$5</x:f>
        <x:v>16383.866984670876</x:v>
      </x:c>
      <x:c r="AS187" t="n">
        <x:f>1+AH187*$AS$6+AI187*$AS$7+(AJ187-1)*$AS$8+($H$10*H187+$I$10*I187+$J$10*J187+$K$10*K187+$L$10*L187)*$AU$3*$AS$9+($H$10*H187+$I$10*I187+$J$10*J187+$K$10*K187+$L$10*L187)*$AU$4*$AS$10</x:f>
        <x:v>16.800721904339557</x:v>
      </x:c>
      <x:c r="AT187" t="n">
        <x:f>ROUND(AR187*AS187,0)</x:f>
        <x:v>275261</x:v>
      </x:c>
      <x:c r="AU187" t="n">
        <x:f>ROUND(AT187*F187,0)</x:f>
        <x:v>1376305</x:v>
      </x:c>
    </x:row>
    <x:row r="188">
      <x:c r="A188" t="str">
        <x:f>IFERROR(XLOOKUP(B188,'_曲线基线'!$G$3:$G$107,'_曲线基线'!$J$3:$J$107,""),"")</x:f>
      </x:c>
      <x:c r="B188" t="n">
        <x:v>177</x:v>
      </x:c>
      <x:c r="C188" t="n">
        <x:f>C173+1</x:f>
        <x:v>13</x:v>
      </x:c>
      <x:c r="D188" t="n">
        <x:f>D173</x:f>
        <x:v>3</x:v>
      </x:c>
      <x:c r="E188" t="n">
        <x:f>IF($B188&lt;E$8,0,E$3+(E$4-E$3)*(POWER(E$5,$B188-E$8)-1)/(POWER(E$5,$C$5-E$8)-1))</x:f>
        <x:v>1</x:v>
      </x:c>
      <x:c r="F188" t="n">
        <x:f>1+IF(B188&lt;3,0,MIN(1,(B188-2)/4))+IF(B188&lt;7,0,MIN(1,(B188-6)/3))+IF(B188&lt;10,0,MIN(1,(B188-9)/5))+IF(B188&lt;20,0,MIN(1,(B188-19)/10))</x:f>
        <x:v>5</x:v>
      </x:c>
      <x:c r="G188" t="n">
        <x:f>IF($B188&lt;G$8,0,G$3+(G$4-G$3)*(POWER(G$5,$B188-G$8)-1)/(POWER(G$5,$C$5-G$8)-1))</x:f>
        <x:v>0.8497691331716677</x:v>
      </x:c>
      <x:c r="H188" t="n">
        <x:f>IF($B188&lt;H$8,0,H$3+(H$4-H$3)*(POWER(H$5,$B188-H$8)-1)/(POWER(H$5,$C$5-H$8)-1))</x:f>
        <x:v>0.6772050354818935</x:v>
      </x:c>
      <x:c r="I188" t="n">
        <x:f>IF($B188&lt;I$8,0,I$3+(I$4-I$3)*(POWER(I$5,$B188-I$8)-1)/(POWER(I$5,$C$5-I$8)-1))</x:f>
        <x:v>0.591390293996205</x:v>
      </x:c>
      <x:c r="J188" t="n">
        <x:f>IF($B188&lt;J$8,0,J$3+(J$4-J$3)*(POWER(J$5,$B188-J$8)-1)/(POWER(J$5,$C$5-J$8)-1))</x:f>
        <x:v>0.5729564724457598</x:v>
      </x:c>
      <x:c r="K188" t="n">
        <x:f>IF($B188&lt;K$8,0,K$3+(K$4-K$3)*(POWER(K$5,$B188-K$8)-1)/(POWER(K$5,$C$5-K$8)-1))</x:f>
        <x:v>0.5269767863179248</x:v>
      </x:c>
      <x:c r="L188" t="n">
        <x:f>IF($B188&lt;L$8,0,L$3+(L$4-L$3)*(POWER(L$5,$B188-L$8)-1)/(POWER(L$5,$C$5-L$8)-1))</x:f>
        <x:v>0.6767375756610983</x:v>
      </x:c>
      <x:c r="M188" t="n">
        <x:f>E188*'模块规划'!$F$10+G188*'模块规划'!$F$11+H188*'模块规划'!$F$13</x:f>
        <x:v>5078.891839224005</x:v>
      </x:c>
      <x:c r="N188" t="n">
        <x:f>I188*'模块规划'!$F$15+J188*'模块规划'!$F$17+K188*'模块规划'!$F$16+L188*'模块规划'!$F$18</x:f>
        <x:v>17006.23567264028</x:v>
      </x:c>
      <x:c r="O188" t="n">
        <x:f>1+O$9*SUMPRODUCT($H$10:$L$10,H188:L188)/SUM($H$10:$L$10)</x:f>
        <x:v>3.245311380028483</x:v>
      </x:c>
      <x:c r="P188" t="n">
        <x:f>M188*O188+N188</x:f>
        <x:v>33488.821156407736</x:v>
      </x:c>
      <x:c r="Q188" t="n">
        <x:f>P188/(P188+'_曲线基线'!$L$2)</x:f>
        <x:v>0.5825275328797562</x:v>
      </x:c>
      <x:c r="R188" t="n">
        <x:f>E188*'模块规划'!$E$10+G188*'模块规划'!$E$11+H188*'模块规划'!$E$13</x:f>
        <x:v>7618.337758836007</x:v>
      </x:c>
      <x:c r="S188" t="n">
        <x:f>I188*'模块规划'!$E$15+J188*'模块规划'!$E$17+K188*'模块规划'!$E$16+L188*'模块规划'!$E$18</x:f>
        <x:v>25509.35350896042</x:v>
      </x:c>
      <x:c r="T188" t="n">
        <x:f>1+T$9*SUMPRODUCT($H$10:$L$10,H188:L188)/SUM($H$10:$L$10)</x:f>
        <x:v>3.245311380028483</x:v>
      </x:c>
      <x:c r="U188" t="n">
        <x:f>R188*T188+S188</x:f>
        <x:v>50233.2317346116</x:v>
      </x:c>
      <x:c r="V188" t="n">
        <x:f>V$8+(V$9-V$8)*H188</x:f>
        <x:v>0.9031615106445681</x:v>
      </x:c>
      <x:c r="W188" t="n">
        <x:f>IF(B188&lt;$H$8,0,W$8+(W$9-W$8)*H188)</x:f>
        <x:v>0.2708820141927574</x:v>
      </x:c>
      <x:c r="X188" t="n">
        <x:f>X$8+(X$9-X$8)*H188</x:f>
        <x:v>0.46123138475752073</x:v>
      </x:c>
      <x:c r="Y188" t="n">
        <x:f>Y$8+(Y$9-Y$8)*G188</x:f>
        <x:v>1</x:v>
      </x:c>
      <x:c r="Z188" t="n">
        <x:f>Z$8+(Z$9-Z$8)*H188</x:f>
        <x:v>1</x:v>
      </x:c>
      <x:c r="AA188" t="n">
        <x:f>AA$8+(AA$9-AA$8)*I188</x:f>
        <x:v>1</x:v>
      </x:c>
      <x:c r="AB188" t="n">
        <x:f>AB$8+(AB$9-AB$8)*J188</x:f>
        <x:v>1</x:v>
      </x:c>
      <x:c r="AC188" t="n">
        <x:f>AC$8+(AC$9-AC$8)*MAX(K188,L188)</x:f>
        <x:v>1</x:v>
      </x:c>
      <x:c r="AD188" t="n">
        <x:f>(V188*AE188+W188*AF188+X188*AG188)*PRODUCT(Y188:AC188)</x:f>
        <x:v>1.8509397603826234</x:v>
      </x:c>
      <x:c r="AE188" t="n">
        <x:f>1+AE$9*($H$10*H188+$I$10*I188+$J$10*J188+$K$10*K188+$L$10*L188)</x:f>
        <x:v>1</x:v>
      </x:c>
      <x:c r="AF188" t="n">
        <x:f>1+AF$9*($H$10*H188+$I$10*I188+$J$10*J188+$K$10*K188+$L$10*L188)</x:f>
        <x:v>1.1981691825288299</x:v>
      </x:c>
      <x:c r="AG188" t="n">
        <x:f>1+AG$9*($H$10*H188+$I$10*I188+$J$10*J188+$K$10*K188+$L$10*L188)</x:f>
        <x:v>1.3511998290372067</x:v>
      </x:c>
      <x:c r="AH188" t="n">
        <x:f>MIN(1,'_曲线基线'!$L$3+AH$9*($H$10*H188+$I$10*I188+$J$10*J188+$K$10*K188+$L$10*L188))</x:f>
        <x:v>0.5008348902530874</x:v>
      </x:c>
      <x:c r="AI188" t="n">
        <x:f>'_曲线基线'!$L$4+AI$9*($H$10*H188+$I$10*I188+$J$10*J188+$K$10*K188+$L$10*L188)</x:f>
        <x:v>3.255897194276458</x:v>
      </x:c>
      <x:c r="AJ188" t="n">
        <x:f>1+AJ$9*($H$10*H188+$I$10*I188+$J$10*J188+$K$10*K188+$L$10*L188)</x:f>
        <x:v>2.0304797491499142</x:v>
      </x:c>
      <x:c r="AK188" t="n">
        <x:f>(1+AH188*(AI188-1))*AJ188</x:f>
        <x:v>4.324580793249765</x:v>
      </x:c>
      <x:c r="AL188" t="n">
        <x:f>U188*AD188*AK188*F188</x:f>
        <x:v>2010469.196342252</x:v>
      </x:c>
      <x:c r="AM188" t="n">
        <x:f>IF($B188&lt;AM$8,0,AM$3+(AM$4-AM$3)*(POWER(AM$5,$B188-AM$8)-1)/(POWER(AM$5,$C$5-AM$8)-1))</x:f>
        <x:v>41.392609271848016</x:v>
      </x:c>
      <x:c r="AN188" t="n">
        <x:f>(((E188*'模块规划'!$D$10+G188*'模块规划'!$D$11+H188*'模块规划'!$D$13)*(1+'模块规划'!$G$14*H188)+(I188*'模块规划'!$D$15+J188*'模块规划'!$D$17+K188*'模块规划'!$D$16+L188*'模块规划'!$D$18))*(1+'模块规划'!$J$17*J188))*F188/(1-Q188)</x:f>
        <x:v>2544690.0829183026</x:v>
      </x:c>
      <x:c r="AO188" t="n">
        <x:f>AL188*AM188</x:f>
        <x:v>83218565.89728113</x:v>
      </x:c>
      <x:c r="AP188" t="n">
        <x:f>IF(AO188="","",INDEX('_曲线基线'!$A$3:$A$502,MIN(ROWS('_曲线基线'!$A$3:$A$502),COUNTIF('_曲线基线'!$E$3:$E$502,"&lt;"&amp;AO188)+1)))</x:f>
        <x:v>279</x:v>
      </x:c>
      <x:c r="AQ188" t="n">
        <x:f>IF(B188&lt;=2,1,IF(B188&lt;=6,2,IF(B188&lt;=9,3,IF(B188&lt;=19,4,5))))</x:f>
        <x:v>5</x:v>
      </x:c>
      <x:c r="AR188" t="n">
        <x:f>AN188*(1-Q188)/F188*$AS$3+U188*$AS$4+P188*$AS$5</x:f>
        <x:v>16420.67462875625</x:v>
      </x:c>
      <x:c r="AS188" t="n">
        <x:f>1+AH188*$AS$6+AI188*$AS$7+(AJ188-1)*$AS$8+($H$10*H188+$I$10*I188+$J$10*J188+$K$10*K188+$L$10*L188)*$AU$3*$AS$9+($H$10*H188+$I$10*I188+$J$10*J188+$K$10*K188+$L$10*L188)*$AU$4*$AS$10</x:f>
        <x:v>16.822413825831223</x:v>
      </x:c>
      <x:c r="AT188" t="n">
        <x:f>ROUND(AR188*AS188,0)</x:f>
        <x:v>276235</x:v>
      </x:c>
      <x:c r="AU188" t="n">
        <x:f>ROUND(AT188*F188,0)</x:f>
        <x:v>1381175</x:v>
      </x:c>
    </x:row>
    <x:row r="189">
      <x:c r="A189" t="str">
        <x:f>IFERROR(XLOOKUP(B189,'_曲线基线'!$G$3:$G$107,'_曲线基线'!$J$3:$J$107,""),"")</x:f>
      </x:c>
      <x:c r="B189" t="n">
        <x:v>178</x:v>
      </x:c>
      <x:c r="C189" t="n">
        <x:f>C174+1</x:f>
        <x:v>13</x:v>
      </x:c>
      <x:c r="D189" t="n">
        <x:f>D174</x:f>
        <x:v>4</x:v>
      </x:c>
      <x:c r="E189" t="n">
        <x:f>IF($B189&lt;E$8,0,E$3+(E$4-E$3)*(POWER(E$5,$B189-E$8)-1)/(POWER(E$5,$C$5-E$8)-1))</x:f>
        <x:v>1</x:v>
      </x:c>
      <x:c r="F189" t="n">
        <x:f>1+IF(B189&lt;3,0,MIN(1,(B189-2)/4))+IF(B189&lt;7,0,MIN(1,(B189-6)/3))+IF(B189&lt;10,0,MIN(1,(B189-9)/5))+IF(B189&lt;20,0,MIN(1,(B189-19)/10))</x:f>
        <x:v>5</x:v>
      </x:c>
      <x:c r="G189" t="n">
        <x:f>IF($B189&lt;G$8,0,G$3+(G$4-G$3)*(POWER(G$5,$B189-G$8)-1)/(POWER(G$5,$C$5-G$8)-1))</x:f>
        <x:v>0.8507277866285886</x:v>
      </x:c>
      <x:c r="H189" t="n">
        <x:f>IF($B189&lt;H$8,0,H$3+(H$4-H$3)*(POWER(H$5,$B189-H$8)-1)/(POWER(H$5,$C$5-H$8)-1))</x:f>
        <x:v>0.677727477011767</x:v>
      </x:c>
      <x:c r="I189" t="n">
        <x:f>IF($B189&lt;I$8,0,I$3+(I$4-I$3)*(POWER(I$5,$B189-I$8)-1)/(POWER(I$5,$C$5-I$8)-1))</x:f>
        <x:v>0.5927335794593491</x:v>
      </x:c>
      <x:c r="J189" t="n">
        <x:f>IF($B189&lt;J$8,0,J$3+(J$4-J$3)*(POWER(J$5,$B189-J$8)-1)/(POWER(J$5,$C$5-J$8)-1))</x:f>
        <x:v>0.5735762874885685</x:v>
      </x:c>
      <x:c r="K189" t="n">
        <x:f>IF($B189&lt;K$8,0,K$3+(K$4-K$3)*(POWER(K$5,$B189-K$8)-1)/(POWER(K$5,$C$5-K$8)-1))</x:f>
        <x:v>0.5297963755265398</x:v>
      </x:c>
      <x:c r="L189" t="n">
        <x:f>IF($B189&lt;L$8,0,L$3+(L$4-L$3)*(POWER(L$5,$B189-L$8)-1)/(POWER(L$5,$C$5-L$8)-1))</x:f>
        <x:v>0.6772707309792619</x:v>
      </x:c>
      <x:c r="M189" t="n">
        <x:f>E189*'模块规划'!$F$10+G189*'模块规划'!$F$11+H189*'模块规划'!$F$13</x:f>
        <x:v>5083.493375817225</x:v>
      </x:c>
      <x:c r="N189" t="n">
        <x:f>I189*'模块规划'!$F$15+J189*'模块规划'!$F$17+K189*'模块规划'!$F$16+L189*'模块规划'!$F$18</x:f>
        <x:v>17042.763418616025</x:v>
      </x:c>
      <x:c r="O189" t="n">
        <x:f>1+O$9*SUMPRODUCT($H$10:$L$10,H189:L189)/SUM($H$10:$L$10)</x:f>
        <x:v>3.24934243193905</x:v>
      </x:c>
      <x:c r="P189" t="n">
        <x:f>M189*O189+N189</x:f>
        <x:v>33560.774147140015</x:v>
      </x:c>
      <x:c r="Q189" t="n">
        <x:f>P189/(P189+'_曲线基线'!$L$2)</x:f>
        <x:v>0.58304938813627</x:v>
      </x:c>
      <x:c r="R189" t="n">
        <x:f>E189*'模块规划'!$E$10+G189*'模块规划'!$E$11+H189*'模块规划'!$E$13</x:f>
        <x:v>7625.240063725838</x:v>
      </x:c>
      <x:c r="S189" t="n">
        <x:f>I189*'模块规划'!$E$15+J189*'模块规划'!$E$17+K189*'模块规划'!$E$16+L189*'模块规划'!$E$18</x:f>
        <x:v>25564.14512792404</x:v>
      </x:c>
      <x:c r="T189" t="n">
        <x:f>1+T$9*SUMPRODUCT($H$10:$L$10,H189:L189)/SUM($H$10:$L$10)</x:f>
        <x:v>3.24934243193905</x:v>
      </x:c>
      <x:c r="U189" t="n">
        <x:f>R189*T189+S189</x:f>
        <x:v>50341.161220710026</x:v>
      </x:c>
      <x:c r="V189" t="n">
        <x:f>V$8+(V$9-V$8)*H189</x:f>
        <x:v>0.90331824310353</x:v>
      </x:c>
      <x:c r="W189" t="n">
        <x:f>IF(B189&lt;$H$8,0,W$8+(W$9-W$8)*H189)</x:f>
        <x:v>0.27109099080470683</x:v>
      </x:c>
      <x:c r="X189" t="n">
        <x:f>X$8+(X$9-X$8)*H189</x:f>
        <x:v>0.461375056178236</x:v>
      </x:c>
      <x:c r="Y189" t="n">
        <x:f>Y$8+(Y$9-Y$8)*G189</x:f>
        <x:v>1</x:v>
      </x:c>
      <x:c r="Z189" t="n">
        <x:f>Z$8+(Z$9-Z$8)*H189</x:f>
        <x:v>1</x:v>
      </x:c>
      <x:c r="AA189" t="n">
        <x:f>AA$8+(AA$9-AA$8)*I189</x:f>
        <x:v>1</x:v>
      </x:c>
      <x:c r="AB189" t="n">
        <x:f>AB$8+(AB$9-AB$8)*J189</x:f>
        <x:v>1</x:v>
      </x:c>
      <x:c r="AC189" t="n">
        <x:f>AC$8+(AC$9-AC$8)*MAX(K189,L189)</x:f>
        <x:v>1</x:v>
      </x:c>
      <x:c r="AD189" t="n">
        <x:f>(V189*AE189+W189*AF189+X189*AG189)*PRODUCT(Y189:AC189)</x:f>
        <x:v>1.8519283632835442</x:v>
      </x:c>
      <x:c r="AE189" t="n">
        <x:f>1+AE$9*($H$10*H189+$I$10*I189+$J$10*J189+$K$10*K189+$L$10*L189)</x:f>
        <x:v>1</x:v>
      </x:c>
      <x:c r="AF189" t="n">
        <x:f>1+AF$9*($H$10*H189+$I$10*I189+$J$10*J189+$K$10*K189+$L$10*L189)</x:f>
        <x:v>1.1985249595800458</x:v>
      </x:c>
      <x:c r="AG189" t="n">
        <x:f>1+AG$9*($H$10*H189+$I$10*I189+$J$10*J189+$K$10*K189+$L$10*L189)</x:f>
        <x:v>1.3518303450335285</x:v>
      </x:c>
      <x:c r="AH189" t="n">
        <x:f>MIN(1,'_曲线基线'!$L$3+AH$9*($H$10*H189+$I$10*I189+$J$10*J189+$K$10*K189+$L$10*L189))</x:f>
        <x:v>0.5016442830446038</x:v>
      </x:c>
      <x:c r="AI189" t="n">
        <x:f>'_曲线基线'!$L$4+AI$9*($H$10*H189+$I$10*I189+$J$10*J189+$K$10*K189+$L$10*L189)</x:f>
        <x:v>3.2581519313385394</x:v>
      </x:c>
      <x:c r="AJ189" t="n">
        <x:f>1+AJ$9*($H$10*H189+$I$10*I189+$J$10*J189+$K$10*K189+$L$10*L189)</x:f>
        <x:v>2.032329789816237</x:v>
      </x:c>
      <x:c r="AK189" t="n">
        <x:f>(1+AH189*(AI189-1))*AJ189</x:f>
        <x:v>4.334530633510045</x:v>
      </x:c>
      <x:c r="AL189" t="n">
        <x:f>U189*AD189*AK189*F189</x:f>
        <x:v>2020502.9707945313</x:v>
      </x:c>
      <x:c r="AM189" t="n">
        <x:f>IF($B189&lt;AM$8,0,AM$3+(AM$4-AM$3)*(POWER(AM$5,$B189-AM$8)-1)/(POWER(AM$5,$C$5-AM$8)-1))</x:f>
        <x:v>41.469960004488364</x:v>
      </x:c>
      <x:c r="AN189" t="n">
        <x:f>(((E189*'模块规划'!$D$10+G189*'模块规划'!$D$11+H189*'模块规划'!$D$13)*(1+'模块规划'!$G$14*H189)+(I189*'模块规划'!$D$15+J189*'模块规划'!$D$17+K189*'模块规划'!$D$16+L189*'模块规划'!$D$18))*(1+'模块规划'!$J$17*J189))*F189/(1-Q189)</x:f>
        <x:v>2553687.297994798</x:v>
      </x:c>
      <x:c r="AO189" t="n">
        <x:f>AL189*AM189</x:f>
        <x:v>83790177.38779913</x:v>
      </x:c>
      <x:c r="AP189" t="n">
        <x:f>IF(AO189="","",INDEX('_曲线基线'!$A$3:$A$502,MIN(ROWS('_曲线基线'!$A$3:$A$502),COUNTIF('_曲线基线'!$E$3:$E$502,"&lt;"&amp;AO189)+1)))</x:f>
        <x:v>279</x:v>
      </x:c>
      <x:c r="AQ189" t="n">
        <x:f>IF(B189&lt;=2,1,IF(B189&lt;=6,2,IF(B189&lt;=9,3,IF(B189&lt;=19,4,5))))</x:f>
        <x:v>5</x:v>
      </x:c>
      <x:c r="AR189" t="n">
        <x:f>AN189*(1-Q189)/F189*$AS$3+U189*$AS$4+P189*$AS$5</x:f>
        <x:v>16456.801132587403</x:v>
      </x:c>
      <x:c r="AS189" t="n">
        <x:f>1+AH189*$AS$6+AI189*$AS$7+(AJ189-1)*$AS$8+($H$10*H189+$I$10*I189+$J$10*J189+$K$10*K189+$L$10*L189)*$AU$3*$AS$9+($H$10*H189+$I$10*I189+$J$10*J189+$K$10*K189+$L$10*L189)*$AU$4*$AS$10</x:f>
        <x:v>16.84367190889305</x:v>
      </x:c>
      <x:c r="AT189" t="n">
        <x:f>ROUND(AR189*AS189,0)</x:f>
        <x:v>277193</x:v>
      </x:c>
      <x:c r="AU189" t="n">
        <x:f>ROUND(AT189*F189,0)</x:f>
        <x:v>1385965</x:v>
      </x:c>
    </x:row>
    <x:row r="190">
      <x:c r="A190" t="str">
        <x:f>IFERROR(XLOOKUP(B190,'_曲线基线'!$G$3:$G$107,'_曲线基线'!$J$3:$J$107,""),"")</x:f>
      </x:c>
      <x:c r="B190" t="n">
        <x:v>179</x:v>
      </x:c>
      <x:c r="C190" t="n">
        <x:f>C175+1</x:f>
        <x:v>13</x:v>
      </x:c>
      <x:c r="D190" t="n">
        <x:f>D175</x:f>
        <x:v>5</x:v>
      </x:c>
      <x:c r="E190" t="n">
        <x:f>IF($B190&lt;E$8,0,E$3+(E$4-E$3)*(POWER(E$5,$B190-E$8)-1)/(POWER(E$5,$C$5-E$8)-1))</x:f>
        <x:v>1</x:v>
      </x:c>
      <x:c r="F190" t="n">
        <x:f>1+IF(B190&lt;3,0,MIN(1,(B190-2)/4))+IF(B190&lt;7,0,MIN(1,(B190-6)/3))+IF(B190&lt;10,0,MIN(1,(B190-9)/5))+IF(B190&lt;20,0,MIN(1,(B190-19)/10))</x:f>
        <x:v>5</x:v>
      </x:c>
      <x:c r="G190" t="n">
        <x:f>IF($B190&lt;G$8,0,G$3+(G$4-G$3)*(POWER(G$5,$B190-G$8)-1)/(POWER(G$5,$C$5-G$8)-1))</x:f>
        <x:v>0.8516720602836556</x:v>
      </x:c>
      <x:c r="H190" t="n">
        <x:f>IF($B190&lt;H$8,0,H$3+(H$4-H$3)*(POWER(H$5,$B190-H$8)-1)/(POWER(H$5,$C$5-H$8)-1))</x:f>
        <x:v>0.678239469711043</x:v>
      </x:c>
      <x:c r="I190" t="n">
        <x:f>IF($B190&lt;I$8,0,I$3+(I$4-I$3)*(POWER(I$5,$B190-I$8)-1)/(POWER(I$5,$C$5-I$8)-1))</x:f>
        <x:v>0.5940499992132303</x:v>
      </x:c>
      <x:c r="J190" t="n">
        <x:f>IF($B190&lt;J$8,0,J$3+(J$4-J$3)*(POWER(J$5,$B190-J$8)-1)/(POWER(J$5,$C$5-J$8)-1))</x:f>
        <x:v>0.574183706230521</x:v>
      </x:c>
      <x:c r="K190" t="n">
        <x:f>IF($B190&lt;K$8,0,K$3+(K$4-K$3)*(POWER(K$5,$B190-K$8)-1)/(POWER(K$5,$C$5-K$8)-1))</x:f>
        <x:v>0.5325595729509826</x:v>
      </x:c>
      <x:c r="L190" t="n">
        <x:f>IF($B190&lt;L$8,0,L$3+(L$4-L$3)*(POWER(L$5,$B190-L$8)-1)/(POWER(L$5,$C$5-L$8)-1))</x:f>
        <x:v>0.6777932231910625</x:v>
      </x:c>
      <x:c r="M190" t="n">
        <x:f>E190*'模块规划'!$F$10+G190*'模块规划'!$F$11+H190*'模块规划'!$F$13</x:f>
        <x:v>5088.025889361546</x:v>
      </x:c>
      <x:c r="N190" t="n">
        <x:f>I190*'模块规划'!$F$15+J190*'模块规划'!$F$17+K190*'模块规划'!$F$16+L190*'模块规划'!$F$18</x:f>
        <x:v>17078.560609672262</x:v>
      </x:c>
      <x:c r="O190" t="n">
        <x:f>1+O$9*SUMPRODUCT($H$10:$L$10,H190:L190)/SUM($H$10:$L$10)</x:f>
        <x:v>3.253292862811405</x:v>
      </x:c>
      <x:c r="P190" t="n">
        <x:f>M190*O190+N190</x:f>
        <x:v>33631.398921331835</x:v>
      </x:c>
      <x:c r="Q190" t="n">
        <x:f>P190/(P190+'_曲线基线'!$L$2)</x:f>
        <x:v>0.5835603429866323</x:v>
      </x:c>
      <x:c r="R190" t="n">
        <x:f>E190*'模块规划'!$E$10+G190*'模块规划'!$E$11+H190*'模块规划'!$E$13</x:f>
        <x:v>7632.038834042321</x:v>
      </x:c>
      <x:c r="S190" t="n">
        <x:f>I190*'模块规划'!$E$15+J190*'模块规划'!$E$17+K190*'模块规划'!$E$16+L190*'模块规划'!$E$18</x:f>
        <x:v>25617.84091450839</x:v>
      </x:c>
      <x:c r="T190" t="n">
        <x:f>1+T$9*SUMPRODUCT($H$10:$L$10,H190:L190)/SUM($H$10:$L$10)</x:f>
        <x:v>3.253292862811405</x:v>
      </x:c>
      <x:c r="U190" t="n">
        <x:f>R190*T190+S190</x:f>
        <x:v>50447.09838199775</x:v>
      </x:c>
      <x:c r="V190" t="n">
        <x:f>V$8+(V$9-V$8)*H190</x:f>
        <x:v>0.9034718409133129</x:v>
      </x:c>
      <x:c r="W190" t="n">
        <x:f>IF(B190&lt;$H$8,0,W$8+(W$9-W$8)*H190)</x:f>
        <x:v>0.2712957878844172</x:v>
      </x:c>
      <x:c r="X190" t="n">
        <x:f>X$8+(X$9-X$8)*H190</x:f>
        <x:v>0.46151585417053687</x:v>
      </x:c>
      <x:c r="Y190" t="n">
        <x:f>Y$8+(Y$9-Y$8)*G190</x:f>
        <x:v>1</x:v>
      </x:c>
      <x:c r="Z190" t="n">
        <x:f>Z$8+(Z$9-Z$8)*H190</x:f>
        <x:v>1</x:v>
      </x:c>
      <x:c r="AA190" t="n">
        <x:f>AA$8+(AA$9-AA$8)*I190</x:f>
        <x:v>1</x:v>
      </x:c>
      <x:c r="AB190" t="n">
        <x:f>AB$8+(AB$9-AB$8)*J190</x:f>
        <x:v>1</x:v>
      </x:c>
      <x:c r="AC190" t="n">
        <x:f>AC$8+(AC$9-AC$8)*MAX(K190,L190)</x:f>
        <x:v>1</x:v>
      </x:c>
      <x:c r="AD190" t="n">
        <x:f>(V190*AE190+W190*AF190+X190*AG190)*PRODUCT(Y190:AC190)</x:f>
        <x:v>1.8528975141686719</x:v>
      </x:c>
      <x:c r="AE190" t="n">
        <x:f>1+AE$9*($H$10*H190+$I$10*I190+$J$10*J190+$K$10*K190+$L$10*L190)</x:f>
        <x:v>1</x:v>
      </x:c>
      <x:c r="AF190" t="n">
        <x:f>1+AF$9*($H$10*H190+$I$10*I190+$J$10*J190+$K$10*K190+$L$10*L190)</x:f>
        <x:v>1.1988736210902375</x:v>
      </x:c>
      <x:c r="AG190" t="n">
        <x:f>1+AG$9*($H$10*H190+$I$10*I190+$J$10*J190+$K$10*K190+$L$10*L190)</x:f>
        <x:v>1.3524482507099236</x:v>
      </x:c>
      <x:c r="AH190" t="n">
        <x:f>MIN(1,'_曲线基线'!$L$3+AH$9*($H$10*H190+$I$10*I190+$J$10*J190+$K$10*K190+$L$10*L190))</x:f>
        <x:v>0.5024374879802899</x:v>
      </x:c>
      <x:c r="AI190" t="n">
        <x:f>'_曲线基线'!$L$4+AI$9*($H$10*H190+$I$10*I190+$J$10*J190+$K$10*K190+$L$10*L190)</x:f>
        <x:v>3.260361573659379</x:v>
      </x:c>
      <x:c r="AJ190" t="n">
        <x:f>1+AJ$9*($H$10*H190+$I$10*I190+$J$10*J190+$K$10*K190+$L$10*L190)</x:f>
        <x:v>2.034142829669234</x:v>
      </x:c>
      <x:c r="AK190" t="n">
        <x:f>(1+AH190*(AI190-1))*AJ190</x:f>
        <x:v>4.344299295239203</x:v>
      </x:c>
      <x:c r="AL190" t="n">
        <x:f>U190*AD190*AK190*F190</x:f>
        <x:v>2030380.0258388314</x:v>
      </x:c>
      <x:c r="AM190" t="n">
        <x:f>IF($B190&lt;AM$8,0,AM$3+(AM$4-AM$3)*(POWER(AM$5,$B190-AM$8)-1)/(POWER(AM$5,$C$5-AM$8)-1))</x:f>
        <x:v>41.54808424445512</x:v>
      </x:c>
      <x:c r="AN190" t="n">
        <x:f>(((E190*'模块规划'!$D$10+G190*'模块规划'!$D$11+H190*'模块规划'!$D$13)*(1+'模块规划'!$G$14*H190)+(I190*'模块规划'!$D$15+J190*'模块规划'!$D$17+K190*'模块规划'!$D$16+L190*'模块规划'!$D$18))*(1+'模块规划'!$J$17*J190))*F190/(1-Q190)</x:f>
        <x:v>2562531.791578918</x:v>
      </x:c>
      <x:c r="AO190" t="n">
        <x:f>AL190*AM190</x:f>
        <x:v>84358400.36181073</x:v>
      </x:c>
      <x:c r="AP190" t="n">
        <x:f>IF(AO190="","",INDEX('_曲线基线'!$A$3:$A$502,MIN(ROWS('_曲线基线'!$A$3:$A$502),COUNTIF('_曲线基线'!$E$3:$E$502,"&lt;"&amp;AO190)+1)))</x:f>
        <x:v>280</x:v>
      </x:c>
      <x:c r="AQ190" t="n">
        <x:f>IF(B190&lt;=2,1,IF(B190&lt;=6,2,IF(B190&lt;=9,3,IF(B190&lt;=19,4,5))))</x:f>
        <x:v>5</x:v>
      </x:c>
      <x:c r="AR190" t="n">
        <x:f>AN190*(1-Q190)/F190*$AS$3+U190*$AS$4+P190*$AS$5</x:f>
        <x:v>16492.258838625403</x:v>
      </x:c>
      <x:c r="AS190" t="n">
        <x:f>1+AH190*$AS$6+AI190*$AS$7+(AJ190-1)*$AS$8+($H$10*H190+$I$10*I190+$J$10*J190+$K$10*K190+$L$10*L190)*$AU$3*$AS$9+($H$10*H190+$I$10*I190+$J$10*J190+$K$10*K190+$L$10*L190)*$AU$4*$AS$10</x:f>
        <x:v>16.864504830293644</x:v>
      </x:c>
      <x:c r="AT190" t="n">
        <x:f>ROUND(AR190*AS190,0)</x:f>
        <x:v>278134</x:v>
      </x:c>
      <x:c r="AU190" t="n">
        <x:f>ROUND(AT190*F190,0)</x:f>
        <x:v>1390670</x:v>
      </x:c>
    </x:row>
    <x:row r="191">
      <x:c r="A191" t="str">
        <x:f>IFERROR(XLOOKUP(B191,'_曲线基线'!$G$3:$G$107,'_曲线基线'!$J$3:$J$107,""),"")</x:f>
      </x:c>
      <x:c r="B191" t="n">
        <x:v>180</x:v>
      </x:c>
      <x:c r="C191" t="n">
        <x:f>C176+1</x:f>
        <x:v>13</x:v>
      </x:c>
      <x:c r="D191" t="n">
        <x:f>D176</x:f>
        <x:v>6</x:v>
      </x:c>
      <x:c r="E191" t="n">
        <x:f>IF($B191&lt;E$8,0,E$3+(E$4-E$3)*(POWER(E$5,$B191-E$8)-1)/(POWER(E$5,$C$5-E$8)-1))</x:f>
        <x:v>1</x:v>
      </x:c>
      <x:c r="F191" t="n">
        <x:f>1+IF(B191&lt;3,0,MIN(1,(B191-2)/4))+IF(B191&lt;7,0,MIN(1,(B191-6)/3))+IF(B191&lt;10,0,MIN(1,(B191-9)/5))+IF(B191&lt;20,0,MIN(1,(B191-19)/10))</x:f>
        <x:v>5</x:v>
      </x:c>
      <x:c r="G191" t="n">
        <x:f>IF($B191&lt;G$8,0,G$3+(G$4-G$3)*(POWER(G$5,$B191-G$8)-1)/(POWER(G$5,$C$5-G$8)-1))</x:f>
        <x:v>0.8526021698338966</x:v>
      </x:c>
      <x:c r="H191" t="n">
        <x:f>IF($B191&lt;H$8,0,H$3+(H$4-H$3)*(POWER(H$5,$B191-H$8)-1)/(POWER(H$5,$C$5-H$8)-1))</x:f>
        <x:v>0.6787412225563335</x:v>
      </x:c>
      <x:c r="I191" t="n">
        <x:f>IF($B191&lt;I$8,0,I$3+(I$4-I$3)*(POWER(I$5,$B191-I$8)-1)/(POWER(I$5,$C$5-I$8)-1))</x:f>
        <x:v>0.595340090572034</x:v>
      </x:c>
      <x:c r="J191" t="n">
        <x:f>IF($B191&lt;J$8,0,J$3+(J$4-J$3)*(POWER(J$5,$B191-J$8)-1)/(POWER(J$5,$C$5-J$8)-1))</x:f>
        <x:v>0.5747789765976344</x:v>
      </x:c>
      <x:c r="K191" t="n">
        <x:f>IF($B191&lt;K$8,0,K$3+(K$4-K$3)*(POWER(K$5,$B191-K$8)-1)/(POWER(K$5,$C$5-K$8)-1))</x:f>
        <x:v>0.5352675064269364</x:v>
      </x:c>
      <x:c r="L191" t="n">
        <x:f>IF($B191&lt;L$8,0,L$3+(L$4-L$3)*(POWER(L$5,$B191-L$8)-1)/(POWER(L$5,$C$5-L$8)-1))</x:f>
        <x:v>0.6783052655586269</x:v>
      </x:c>
      <x:c r="M191" t="n">
        <x:f>E191*'模块规划'!$F$10+G191*'模块规划'!$F$11+H191*'模块规划'!$F$13</x:f>
        <x:v>5092.490415202703</x:v>
      </x:c>
      <x:c r="N191" t="n">
        <x:f>I191*'模块规划'!$F$15+J191*'模块规划'!$F$17+K191*'模块规划'!$F$16+L191*'模块规划'!$F$18</x:f>
        <x:v>17113.64185690737</x:v>
      </x:c>
      <x:c r="O191" t="n">
        <x:f>1+O$9*SUMPRODUCT($H$10:$L$10,H191:L191)/SUM($H$10:$L$10)</x:f>
        <x:v>3.2571642850663127</x:v>
      </x:c>
      <x:c r="P191" t="n">
        <x:f>M191*O191+N191</x:f>
        <x:v>33700.719759348125</x:v>
      </x:c>
      <x:c r="Q191" t="n">
        <x:f>P191/(P191+'_曲线基线'!$L$2)</x:f>
        <x:v>0.5840606477684059</x:v>
      </x:c>
      <x:c r="R191" t="n">
        <x:f>E191*'模块规划'!$E$10+G191*'模块规划'!$E$11+H191*'模块规划'!$E$13</x:f>
        <x:v>7638.735622804055</x:v>
      </x:c>
      <x:c r="S191" t="n">
        <x:f>I191*'模块规划'!$E$15+J191*'模块规划'!$E$17+K191*'模块规划'!$E$16+L191*'模块规划'!$E$18</x:f>
        <x:v>25670.462785361055</x:v>
      </x:c>
      <x:c r="T191" t="n">
        <x:f>1+T$9*SUMPRODUCT($H$10:$L$10,H191:L191)/SUM($H$10:$L$10)</x:f>
        <x:v>3.2571642850663127</x:v>
      </x:c>
      <x:c r="U191" t="n">
        <x:f>R191*T191+S191</x:f>
        <x:v>50551.0796390222</x:v>
      </x:c>
      <x:c r="V191" t="n">
        <x:f>V$8+(V$9-V$8)*H191</x:f>
        <x:v>0.9036223667669</x:v>
      </x:c>
      <x:c r="W191" t="n">
        <x:f>IF(B191&lt;$H$8,0,W$8+(W$9-W$8)*H191)</x:f>
        <x:v>0.2714964890225334</x:v>
      </x:c>
      <x:c r="X191" t="n">
        <x:f>X$8+(X$9-X$8)*H191</x:f>
        <x:v>0.4616538362029917</x:v>
      </x:c>
      <x:c r="Y191" t="n">
        <x:f>Y$8+(Y$9-Y$8)*G191</x:f>
        <x:v>1</x:v>
      </x:c>
      <x:c r="Z191" t="n">
        <x:f>Z$8+(Z$9-Z$8)*H191</x:f>
        <x:v>1</x:v>
      </x:c>
      <x:c r="AA191" t="n">
        <x:f>AA$8+(AA$9-AA$8)*I191</x:f>
        <x:v>1</x:v>
      </x:c>
      <x:c r="AB191" t="n">
        <x:f>AB$8+(AB$9-AB$8)*J191</x:f>
        <x:v>1</x:v>
      </x:c>
      <x:c r="AC191" t="n">
        <x:f>AC$8+(AC$9-AC$8)*MAX(K191,L191)</x:f>
        <x:v>1</x:v>
      </x:c>
      <x:c r="AD191" t="n">
        <x:f>(V191*AE191+W191*AF191+X191*AG191)*PRODUCT(Y191:AC191)</x:f>
        <x:v>1.85384758940465</x:v>
      </x:c>
      <x:c r="AE191" t="n">
        <x:f>1+AE$9*($H$10*H191+$I$10*I191+$J$10*J191+$K$10*K191+$L$10*L191)</x:f>
        <x:v>1</x:v>
      </x:c>
      <x:c r="AF191" t="n">
        <x:f>1+AF$9*($H$10*H191+$I$10*I191+$J$10*J191+$K$10*K191+$L$10*L191)</x:f>
        <x:v>1.1992153093702254</x:v>
      </x:c>
      <x:c r="AG191" t="n">
        <x:f>1+AG$9*($H$10*H191+$I$10*I191+$J$10*J191+$K$10*K191+$L$10*L191)</x:f>
        <x:v>1.353053798272791</x:v>
      </x:c>
      <x:c r="AH191" t="n">
        <x:f>MIN(1,'_曲线基线'!$L$3+AH$9*($H$10*H191+$I$10*I191+$J$10*J191+$K$10*K191+$L$10*L191))</x:f>
        <x:v>0.5032148288172622</x:v>
      </x:c>
      <x:c r="AI191" t="n">
        <x:f>'_曲线基线'!$L$4+AI$9*($H$10*H191+$I$10*I191+$J$10*J191+$K$10*K191+$L$10*L191)</x:f>
        <x:v>3.262527023133802</x:v>
      </x:c>
      <x:c r="AJ191" t="n">
        <x:f>1+AJ$9*($H$10*H191+$I$10*I191+$J$10*J191+$K$10*K191+$L$10*L191)</x:f>
        <x:v>2.0359196087251705</x:v>
      </x:c>
      <x:c r="AK191" t="n">
        <x:f>(1+AH191*(AI191-1))*AJ191</x:f>
        <x:v>4.353889714904828</x:v>
      </x:c>
      <x:c r="AL191" t="n">
        <x:f>U191*AD191*AK191*F191</x:f>
        <x:v>2040102.0412477823</x:v>
      </x:c>
      <x:c r="AM191" t="n">
        <x:f>IF($B191&lt;AM$8,0,AM$3+(AM$4-AM$3)*(POWER(AM$5,$B191-AM$8)-1)/(POWER(AM$5,$C$5-AM$8)-1))</x:f>
        <x:v>41.626989726821535</x:v>
      </x:c>
      <x:c r="AN191" t="n">
        <x:f>(((E191*'模块规划'!$D$10+G191*'模块规划'!$D$11+H191*'模块规划'!$D$13)*(1+'模块规划'!$G$14*H191)+(I191*'模块规划'!$D$15+J191*'模块规划'!$D$17+K191*'模块规划'!$D$16+L191*'模块规划'!$D$18))*(1+'模块规划'!$J$17*J191))*F191/(1-Q191)</x:f>
        <x:v>2571225.7954000453</x:v>
      </x:c>
      <x:c r="AO191" t="n">
        <x:f>AL191*AM191</x:f>
        <x:v>84923306.71268907</x:v>
      </x:c>
      <x:c r="AP191" t="n">
        <x:f>IF(AO191="","",INDEX('_曲线基线'!$A$3:$A$502,MIN(ROWS('_曲线基线'!$A$3:$A$502),COUNTIF('_曲线基线'!$E$3:$E$502,"&lt;"&amp;AO191)+1)))</x:f>
        <x:v>280</x:v>
      </x:c>
      <x:c r="AQ191" t="n">
        <x:f>IF(B191&lt;=2,1,IF(B191&lt;=6,2,IF(B191&lt;=9,3,IF(B191&lt;=19,4,5))))</x:f>
        <x:v>5</x:v>
      </x:c>
      <x:c r="AR191" t="n">
        <x:f>AN191*(1-Q191)/F191*$AS$3+U191*$AS$4+P191*$AS$5</x:f>
        <x:v>16527.0598784836</x:v>
      </x:c>
      <x:c r="AS191" t="n">
        <x:f>1+AH191*$AS$6+AI191*$AS$7+(AJ191-1)*$AS$8+($H$10*H191+$I$10*I191+$J$10*J191+$K$10*K191+$L$10*L191)*$AU$3*$AS$9+($H$10*H191+$I$10*I191+$J$10*J191+$K$10*K191+$L$10*L191)*$AU$4*$AS$10</x:f>
        <x:v>16.88492109326622</x:v>
      </x:c>
      <x:c r="AT191" t="n">
        <x:f>ROUND(AR191*AS191,0)</x:f>
        <x:v>279058</x:v>
      </x:c>
      <x:c r="AU191" t="n">
        <x:f>ROUND(AT191*F191,0)</x:f>
        <x:v>1395290</x:v>
      </x:c>
    </x:row>
    <x:row r="192">
      <x:c r="A192" t="str">
        <x:f>IFERROR(XLOOKUP(B192,'_曲线基线'!$G$3:$G$107,'_曲线基线'!$J$3:$J$107,""),"")</x:f>
      </x:c>
      <x:c r="B192" t="n">
        <x:v>181</x:v>
      </x:c>
      <x:c r="C192" t="n">
        <x:f>C177+1</x:f>
        <x:v>13</x:v>
      </x:c>
      <x:c r="D192" t="n">
        <x:f>D177</x:f>
        <x:v>7</x:v>
      </x:c>
      <x:c r="E192" t="n">
        <x:f>IF($B192&lt;E$8,0,E$3+(E$4-E$3)*(POWER(E$5,$B192-E$8)-1)/(POWER(E$5,$C$5-E$8)-1))</x:f>
        <x:v>1</x:v>
      </x:c>
      <x:c r="F192" t="n">
        <x:f>1+IF(B192&lt;3,0,MIN(1,(B192-2)/4))+IF(B192&lt;7,0,MIN(1,(B192-6)/3))+IF(B192&lt;10,0,MIN(1,(B192-9)/5))+IF(B192&lt;20,0,MIN(1,(B192-19)/10))</x:f>
        <x:v>5</x:v>
      </x:c>
      <x:c r="G192" t="n">
        <x:f>IF($B192&lt;G$8,0,G$3+(G$4-G$3)*(POWER(G$5,$B192-G$8)-1)/(POWER(G$5,$C$5-G$8)-1))</x:f>
        <x:v>0.853518327740884</x:v>
      </x:c>
      <x:c r="H192" t="n">
        <x:f>IF($B192&lt;H$8,0,H$3+(H$4-H$3)*(POWER(H$5,$B192-H$8)-1)/(POWER(H$5,$C$5-H$8)-1))</x:f>
        <x:v>0.6792329403447182</x:v>
      </x:c>
      <x:c r="I192" t="n">
        <x:f>IF($B192&lt;I$8,0,I$3+(I$4-I$3)*(POWER(I$5,$B192-I$8)-1)/(POWER(I$5,$C$5-I$8)-1))</x:f>
        <x:v>0.5966043801036615</x:v>
      </x:c>
      <x:c r="J192" t="n">
        <x:f>IF($B192&lt;J$8,0,J$3+(J$4-J$3)*(POWER(J$5,$B192-J$8)-1)/(POWER(J$5,$C$5-J$8)-1))</x:f>
        <x:v>0.5753623415574056</x:v>
      </x:c>
      <x:c r="K192" t="n">
        <x:f>IF($B192&lt;K$8,0,K$3+(K$4-K$3)*(POWER(K$5,$B192-K$8)-1)/(POWER(K$5,$C$5-K$8)-1))</x:f>
        <x:v>0.5379212812333714</x:v>
      </x:c>
      <x:c r="L192" t="n">
        <x:f>IF($B192&lt;L$8,0,L$3+(L$4-L$3)*(POWER(L$5,$B192-L$8)-1)/(POWER(L$5,$C$5-L$8)-1))</x:f>
        <x:v>0.6788070670788401</x:v>
      </x:c>
      <x:c r="M192" t="n">
        <x:f>E192*'模块规划'!$F$10+G192*'模块规划'!$F$11+H192*'模块规划'!$F$13</x:f>
        <x:v>5096.887973156243</x:v>
      </x:c>
      <x:c r="N192" t="n">
        <x:f>I192*'模块规划'!$F$15+J192*'模块规划'!$F$17+K192*'模块规划'!$F$16+L192*'模块规划'!$F$18</x:f>
        <x:v>17148.021479197774</x:v>
      </x:c>
      <x:c r="O192" t="n">
        <x:f>1+O$9*SUMPRODUCT($H$10:$L$10,H192:L192)/SUM($H$10:$L$10)</x:f>
        <x:v>3.2609582788761227</x:v>
      </x:c>
      <x:c r="P192" t="n">
        <x:f>M192*O192+N192</x:f>
        <x:v>33768.760511765766</x:v>
      </x:c>
      <x:c r="Q192" t="n">
        <x:f>P192/(P192+'_曲线基线'!$L$2)</x:f>
        <x:v>0.5845505462227821</x:v>
      </x:c>
      <x:c r="R192" t="n">
        <x:f>E192*'模块规划'!$E$10+G192*'模块规划'!$E$11+H192*'模块规划'!$E$13</x:f>
        <x:v>7645.331959734364</x:v>
      </x:c>
      <x:c r="S192" t="n">
        <x:f>I192*'模块规划'!$E$15+J192*'模块规划'!$E$17+K192*'模块规划'!$E$16+L192*'模块规划'!$E$18</x:f>
        <x:v>25722.032218796663</x:v>
      </x:c>
      <x:c r="T192" t="n">
        <x:f>1+T$9*SUMPRODUCT($H$10:$L$10,H192:L192)/SUM($H$10:$L$10)</x:f>
        <x:v>3.2609582788761227</x:v>
      </x:c>
      <x:c r="U192" t="n">
        <x:f>R192*T192+S192</x:f>
        <x:v>50653.14076764865</x:v>
      </x:c>
      <x:c r="V192" t="n">
        <x:f>V$8+(V$9-V$8)*H192</x:f>
        <x:v>0.9037698821034155</x:v>
      </x:c>
      <x:c r="W192" t="n">
        <x:f>IF(B192&lt;$H$8,0,W$8+(W$9-W$8)*H192)</x:f>
        <x:v>0.2716931761378873</x:v>
      </x:c>
      <x:c r="X192" t="n">
        <x:f>X$8+(X$9-X$8)*H192</x:f>
        <x:v>0.4617890585947975</x:v>
      </x:c>
      <x:c r="Y192" t="n">
        <x:f>Y$8+(Y$9-Y$8)*G192</x:f>
        <x:v>1</x:v>
      </x:c>
      <x:c r="Z192" t="n">
        <x:f>Z$8+(Z$9-Z$8)*H192</x:f>
        <x:v>1</x:v>
      </x:c>
      <x:c r="AA192" t="n">
        <x:f>AA$8+(AA$9-AA$8)*I192</x:f>
        <x:v>1</x:v>
      </x:c>
      <x:c r="AB192" t="n">
        <x:f>AB$8+(AB$9-AB$8)*J192</x:f>
        <x:v>1</x:v>
      </x:c>
      <x:c r="AC192" t="n">
        <x:f>AC$8+(AC$9-AC$8)*MAX(K192,L192)</x:f>
        <x:v>1</x:v>
      </x:c>
      <x:c r="AD192" t="n">
        <x:f>(V192*AE192+W192*AF192+X192*AG192)*PRODUCT(Y192:AC192)</x:f>
        <x:v>1.8547789583326675</x:v>
      </x:c>
      <x:c r="AE192" t="n">
        <x:f>1+AE$9*($H$10*H192+$I$10*I192+$J$10*J192+$K$10*K192+$L$10*L192)</x:f>
        <x:v>1</x:v>
      </x:c>
      <x:c r="AF192" t="n">
        <x:f>1+AF$9*($H$10*H192+$I$10*I192+$J$10*J192+$K$10*K192+$L$10*L192)</x:f>
        <x:v>1.1995501638846133</x:v>
      </x:c>
      <x:c r="AG192" t="n">
        <x:f>1+AG$9*($H$10*H192+$I$10*I192+$J$10*J192+$K$10*K192+$L$10*L192)</x:f>
        <x:v>1.3536472348844009</x:v>
      </x:c>
      <x:c r="AH192" t="n">
        <x:f>MIN(1,'_曲线基线'!$L$3+AH$9*($H$10*H192+$I$10*I192+$J$10*J192+$K$10*K192+$L$10*L192))</x:f>
        <x:v>0.5039766228374951</x:v>
      </x:c>
      <x:c r="AI192" t="n">
        <x:f>'_曲线基线'!$L$4+AI$9*($H$10*H192+$I$10*I192+$J$10*J192+$K$10*K192+$L$10*L192)</x:f>
        <x:v>3.2646491636187362</x:v>
      </x:c>
      <x:c r="AJ192" t="n">
        <x:f>1+AJ$9*($H$10*H192+$I$10*I192+$J$10*J192+$K$10*K192+$L$10*L192)</x:f>
        <x:v>2.0376608521999886</x:v>
      </x:c>
      <x:c r="AK192" t="n">
        <x:f>(1+AH192*(AI192-1))*AJ192</x:f>
        <x:v>4.363304796366457</x:v>
      </x:c>
      <x:c r="AL192" t="n">
        <x:f>U192*AD192*AK192*F192</x:f>
        <x:v>2049670.7111574733</x:v>
      </x:c>
      <x:c r="AM192" t="n">
        <x:f>IF($B192&lt;AM$8,0,AM$3+(AM$4-AM$3)*(POWER(AM$5,$B192-AM$8)-1)/(POWER(AM$5,$C$5-AM$8)-1))</x:f>
        <x:v>41.70668426401162</x:v>
      </x:c>
      <x:c r="AN192" t="n">
        <x:f>(((E192*'模块规划'!$D$10+G192*'模块规划'!$D$11+H192*'模块规划'!$D$13)*(1+'模块规划'!$G$14*H192)+(I192*'模块规划'!$D$15+J192*'模块规划'!$D$17+K192*'模块规划'!$D$16+L192*'模块规划'!$D$18))*(1+'模块规划'!$J$17*J192))*F192/(1-Q192)</x:f>
        <x:v>2579771.523742541</x:v>
      </x:c>
      <x:c r="AO192" t="n">
        <x:f>AL192*AM192</x:f>
        <x:v>85484969.1954369</x:v>
      </x:c>
      <x:c r="AP192" t="n">
        <x:f>IF(AO192="","",INDEX('_曲线基线'!$A$3:$A$502,MIN(ROWS('_曲线基线'!$A$3:$A$502),COUNTIF('_曲线基线'!$E$3:$E$502,"&lt;"&amp;AO192)+1)))</x:f>
        <x:v>281</x:v>
      </x:c>
      <x:c r="AQ192" t="n">
        <x:f>IF(B192&lt;=2,1,IF(B192&lt;=6,2,IF(B192&lt;=9,3,IF(B192&lt;=19,4,5))))</x:f>
        <x:v>5</x:v>
      </x:c>
      <x:c r="AR192" t="n">
        <x:f>AN192*(1-Q192)/F192*$AS$3+U192*$AS$4+P192*$AS$5</x:f>
        <x:v>16561.21617598289</x:v>
      </x:c>
      <x:c r="AS192" t="n">
        <x:f>1+AH192*$AS$6+AI192*$AS$7+(AJ192-1)*$AS$8+($H$10*H192+$I$10*I192+$J$10*J192+$K$10*K192+$L$10*L192)*$AU$3*$AS$9+($H$10*H192+$I$10*I192+$J$10*J192+$K$10*K192+$L$10*L192)*$AU$4*$AS$10</x:f>
        <x:v>16.904929030979353</x:v>
      </x:c>
      <x:c r="AT192" t="n">
        <x:f>ROUND(AR192*AS192,0)</x:f>
        <x:v>279966</x:v>
      </x:c>
      <x:c r="AU192" t="n">
        <x:f>ROUND(AT192*F192,0)</x:f>
        <x:v>1399830</x:v>
      </x:c>
    </x:row>
    <x:row r="193">
      <x:c r="A193" t="str">
        <x:f>IFERROR(XLOOKUP(B193,'_曲线基线'!$G$3:$G$107,'_曲线基线'!$J$3:$J$107,""),"")</x:f>
      </x:c>
      <x:c r="B193" t="n">
        <x:v>182</x:v>
      </x:c>
      <x:c r="C193" t="n">
        <x:f>C178+1</x:f>
        <x:v>13</x:v>
      </x:c>
      <x:c r="D193" t="n">
        <x:f>D178</x:f>
        <x:v>8</x:v>
      </x:c>
      <x:c r="E193" t="n">
        <x:f>IF($B193&lt;E$8,0,E$3+(E$4-E$3)*(POWER(E$5,$B193-E$8)-1)/(POWER(E$5,$C$5-E$8)-1))</x:f>
        <x:v>1</x:v>
      </x:c>
      <x:c r="F193" t="n">
        <x:f>1+IF(B193&lt;3,0,MIN(1,(B193-2)/4))+IF(B193&lt;7,0,MIN(1,(B193-6)/3))+IF(B193&lt;10,0,MIN(1,(B193-9)/5))+IF(B193&lt;20,0,MIN(1,(B193-19)/10))</x:f>
        <x:v>5</x:v>
      </x:c>
      <x:c r="G193" t="n">
        <x:f>IF($B193&lt;G$8,0,G$3+(G$4-G$3)*(POWER(G$5,$B193-G$8)-1)/(POWER(G$5,$C$5-G$8)-1))</x:f>
        <x:v>0.8544207432792665</x:v>
      </x:c>
      <x:c r="H193" t="n">
        <x:f>IF($B193&lt;H$8,0,H$3+(H$4-H$3)*(POWER(H$5,$B193-H$8)-1)/(POWER(H$5,$C$5-H$8)-1))</x:f>
        <x:v>0.679714823777335</x:v>
      </x:c>
      <x:c r="I193" t="n">
        <x:f>IF($B193&lt;I$8,0,I$3+(I$4-I$3)*(POWER(I$5,$B193-I$8)-1)/(POWER(I$5,$C$5-I$8)-1))</x:f>
        <x:v>0.5978433838446564</x:v>
      </x:c>
      <x:c r="J193" t="n">
        <x:f>IF($B193&lt;J$8,0,J$3+(J$4-J$3)*(POWER(J$5,$B193-J$8)-1)/(POWER(J$5,$C$5-J$8)-1))</x:f>
        <x:v>0.5759340392179814</x:v>
      </x:c>
      <x:c r="K193" t="n">
        <x:f>IF($B193&lt;K$8,0,K$3+(K$4-K$3)*(POWER(K$5,$B193-K$8)-1)/(POWER(K$5,$C$5-K$8)-1))</x:f>
        <x:v>0.5405219805436774</x:v>
      </x:c>
      <x:c r="L193" t="n">
        <x:f>IF($B193&lt;L$8,0,L$3+(L$4-L$3)*(POWER(L$5,$B193-L$8)-1)/(POWER(L$5,$C$5-L$8)-1))</x:f>
        <x:v>0.6792988325686489</x:v>
      </x:c>
      <x:c r="M193" t="n">
        <x:f>E193*'模块规划'!$F$10+G193*'模块规划'!$F$11+H193*'模块规划'!$F$13</x:f>
        <x:v>5101.21956774048</x:v>
      </x:c>
      <x:c r="N193" t="n">
        <x:f>I193*'模块规划'!$F$15+J193*'模块规划'!$F$17+K193*'模块规划'!$F$16+L193*'模块规划'!$F$18</x:f>
        <x:v>17181.713509042376</x:v>
      </x:c>
      <x:c r="O193" t="n">
        <x:f>1+O$9*SUMPRODUCT($H$10:$L$10,H193:L193)/SUM($H$10:$L$10)</x:f>
        <x:v>3.264676392809737</x:v>
      </x:c>
      <x:c r="P193" t="n">
        <x:f>M193*O193+N193</x:f>
        <x:v>33835.54460638381</x:v>
      </x:c>
      <x:c r="Q193" t="n">
        <x:f>P193/(P193+'_曲线基线'!$L$2)</x:f>
        <x:v>0.5850302757008895</x:v>
      </x:c>
      <x:c r="R193" t="n">
        <x:f>E193*'模块规划'!$E$10+G193*'模块规划'!$E$11+H193*'模块规划'!$E$13</x:f>
        <x:v>7651.829351610719</x:v>
      </x:c>
      <x:c r="S193" t="n">
        <x:f>I193*'模块规划'!$E$15+J193*'模块规划'!$E$17+K193*'模块规划'!$E$16+L193*'模块规划'!$E$18</x:f>
        <x:v>25772.57026356356</x:v>
      </x:c>
      <x:c r="T193" t="n">
        <x:f>1+T$9*SUMPRODUCT($H$10:$L$10,H193:L193)/SUM($H$10:$L$10)</x:f>
        <x:v>3.264676392809737</x:v>
      </x:c>
      <x:c r="U193" t="n">
        <x:f>R193*T193+S193</x:f>
        <x:v>50753.31690957571</x:v>
      </x:c>
      <x:c r="V193" t="n">
        <x:f>V$8+(V$9-V$8)*H193</x:f>
        <x:v>0.9039144471332005</x:v>
      </x:c>
      <x:c r="W193" t="n">
        <x:f>IF(B193&lt;$H$8,0,W$8+(W$9-W$8)*H193)</x:f>
        <x:v>0.27188592951093404</x:v>
      </x:c>
      <x:c r="X193" t="n">
        <x:f>X$8+(X$9-X$8)*H193</x:f>
        <x:v>0.4619215765387672</x:v>
      </x:c>
      <x:c r="Y193" t="n">
        <x:f>Y$8+(Y$9-Y$8)*G193</x:f>
        <x:v>1</x:v>
      </x:c>
      <x:c r="Z193" t="n">
        <x:f>Z$8+(Z$9-Z$8)*H193</x:f>
        <x:v>1</x:v>
      </x:c>
      <x:c r="AA193" t="n">
        <x:f>AA$8+(AA$9-AA$8)*I193</x:f>
        <x:v>1</x:v>
      </x:c>
      <x:c r="AB193" t="n">
        <x:f>AB$8+(AB$9-AB$8)*J193</x:f>
        <x:v>1</x:v>
      </x:c>
      <x:c r="AC193" t="n">
        <x:f>AC$8+(AC$9-AC$8)*MAX(K193,L193)</x:f>
        <x:v>1</x:v>
      </x:c>
      <x:c r="AD193" t="n">
        <x:f>(V193*AE193+W193*AF193+X193*AG193)*PRODUCT(Y193:AC193)</x:f>
        <x:v>1.8556919833890912</x:v>
      </x:c>
      <x:c r="AE193" t="n">
        <x:f>1+AE$9*($H$10*H193+$I$10*I193+$J$10*J193+$K$10*K193+$L$10*L193)</x:f>
        <x:v>1</x:v>
      </x:c>
      <x:c r="AF193" t="n">
        <x:f>1+AF$9*($H$10*H193+$I$10*I193+$J$10*J193+$K$10*K193+$L$10*L193)</x:f>
        <x:v>1.1998783213087139</x:v>
      </x:c>
      <x:c r="AG193" t="n">
        <x:f>1+AG$9*($H$10*H193+$I$10*I193+$J$10*J193+$K$10*K193+$L$10*L193)</x:f>
        <x:v>1.3542288027637788</x:v>
      </x:c>
      <x:c r="AH193" t="n">
        <x:f>MIN(1,'_曲线基线'!$L$3+AH$9*($H$10*H193+$I$10*I193+$J$10*J193+$K$10*K193+$L$10*L193))</x:f>
        <x:v>0.5047231809773233</x:v>
      </x:c>
      <x:c r="AI193" t="n">
        <x:f>'_曲线基线'!$L$4+AI$9*($H$10*H193+$I$10*I193+$J$10*J193+$K$10*K193+$L$10*L193)</x:f>
        <x:v>3.2667288612939718</x:v>
      </x:c>
      <x:c r="AJ193" t="n">
        <x:f>1+AJ$9*($H$10*H193+$I$10*I193+$J$10*J193+$K$10*K193+$L$10*L193)</x:f>
        <x:v>2.0393672708053106</x:v>
      </x:c>
      <x:c r="AK193" t="n">
        <x:f>(1+AH193*(AI193-1))*AJ193</x:f>
        <x:v>4.372547410557306</x:v>
      </x:c>
      <x:c r="AL193" t="n">
        <x:f>U193*AD193*AK193*F193</x:f>
        <x:v>2059087.7423022876</x:v>
      </x:c>
      <x:c r="AM193" t="n">
        <x:f>IF($B193&lt;AM$8,0,AM$3+(AM$4-AM$3)*(POWER(AM$5,$B193-AM$8)-1)/(POWER(AM$5,$C$5-AM$8)-1))</x:f>
        <x:v>41.7871757465736</x:v>
      </x:c>
      <x:c r="AN193" t="n">
        <x:f>(((E193*'模块规划'!$D$10+G193*'模块规划'!$D$11+H193*'模块规划'!$D$13)*(1+'模块规划'!$G$14*H193)+(I193*'模块规划'!$D$15+J193*'模块规划'!$D$17+K193*'模块规划'!$D$16+L193*'模块规划'!$D$18))*(1+'模块规划'!$J$17*J193))*F193/(1-Q193)</x:f>
        <x:v>2588171.172871028</x:v>
      </x:c>
      <x:c r="AO193" t="n">
        <x:f>AL193*AM193</x:f>
        <x:v>86043461.36520115</x:v>
      </x:c>
      <x:c r="AP193" t="n">
        <x:f>IF(AO193="","",INDEX('_曲线基线'!$A$3:$A$502,MIN(ROWS('_曲线基线'!$A$3:$A$502),COUNTIF('_曲线基线'!$E$3:$E$502,"&lt;"&amp;AO193)+1)))</x:f>
        <x:v>281</x:v>
      </x:c>
      <x:c r="AQ193" t="n">
        <x:f>IF(B193&lt;=2,1,IF(B193&lt;=6,2,IF(B193&lt;=9,3,IF(B193&lt;=19,4,5))))</x:f>
        <x:v>5</x:v>
      </x:c>
      <x:c r="AR193" t="n">
        <x:f>AN193*(1-Q193)/F193*$AS$3+U193*$AS$4+P193*$AS$5</x:f>
        <x:v>16594.739450186316</x:v>
      </x:c>
      <x:c r="AS193" t="n">
        <x:f>1+AH193*$AS$6+AI193*$AS$7+(AJ193-1)*$AS$8+($H$10*H193+$I$10*I193+$J$10*J193+$K$10*K193+$L$10*L193)*$AU$3*$AS$9+($H$10*H193+$I$10*I193+$J$10*J193+$K$10*K193+$L$10*L193)*$AU$4*$AS$10</x:f>
        <x:v>16.92453680993822</x:v>
      </x:c>
      <x:c r="AT193" t="n">
        <x:f>ROUND(AR193*AS193,0)</x:f>
        <x:v>280858</x:v>
      </x:c>
      <x:c r="AU193" t="n">
        <x:f>ROUND(AT193*F193,0)</x:f>
        <x:v>1404290</x:v>
      </x:c>
    </x:row>
    <x:row r="194">
      <x:c r="A194" t="str">
        <x:f>IFERROR(XLOOKUP(B194,'_曲线基线'!$G$3:$G$107,'_曲线基线'!$J$3:$J$107,""),"")</x:f>
      </x:c>
      <x:c r="B194" t="n">
        <x:v>183</x:v>
      </x:c>
      <x:c r="C194" t="n">
        <x:f>C179+1</x:f>
        <x:v>13</x:v>
      </x:c>
      <x:c r="D194" t="n">
        <x:f>D179</x:f>
        <x:v>9</x:v>
      </x:c>
      <x:c r="E194" t="n">
        <x:f>IF($B194&lt;E$8,0,E$3+(E$4-E$3)*(POWER(E$5,$B194-E$8)-1)/(POWER(E$5,$C$5-E$8)-1))</x:f>
        <x:v>1</x:v>
      </x:c>
      <x:c r="F194" t="n">
        <x:f>1+IF(B194&lt;3,0,MIN(1,(B194-2)/4))+IF(B194&lt;7,0,MIN(1,(B194-6)/3))+IF(B194&lt;10,0,MIN(1,(B194-9)/5))+IF(B194&lt;20,0,MIN(1,(B194-19)/10))</x:f>
        <x:v>5</x:v>
      </x:c>
      <x:c r="G194" t="n">
        <x:f>IF($B194&lt;G$8,0,G$3+(G$4-G$3)*(POWER(G$5,$B194-G$8)-1)/(POWER(G$5,$C$5-G$8)-1))</x:f>
        <x:v>0.8553096225845733</x:v>
      </x:c>
      <x:c r="H194" t="n">
        <x:f>IF($B194&lt;H$8,0,H$3+(H$4-H$3)*(POWER(H$5,$B194-H$8)-1)/(POWER(H$5,$C$5-H$8)-1))</x:f>
        <x:v>0.6801870695412998</x:v>
      </x:c>
      <x:c r="I194" t="n">
        <x:f>IF($B194&lt;I$8,0,I$3+(I$4-I$3)*(POWER(I$5,$B194-I$8)-1)/(POWER(I$5,$C$5-I$8)-1))</x:f>
        <x:v>0.5990576075108314</x:v>
      </x:c>
      <x:c r="J194" t="n">
        <x:f>IF($B194&lt;J$8,0,J$3+(J$4-J$3)*(POWER(J$5,$B194-J$8)-1)/(POWER(J$5,$C$5-J$8)-1))</x:f>
        <x:v>0.5764943029253458</x:v>
      </x:c>
      <x:c r="K194" t="n">
        <x:f>IF($B194&lt;K$8,0,K$3+(K$4-K$3)*(POWER(K$5,$B194-K$8)-1)/(POWER(K$5,$C$5-K$8)-1))</x:f>
        <x:v>0.5430706658677774</x:v>
      </x:c>
      <x:c r="L194" t="n">
        <x:f>IF($B194&lt;L$8,0,L$3+(L$4-L$3)*(POWER(L$5,$B194-L$8)-1)/(POWER(L$5,$C$5-L$8)-1))</x:f>
        <x:v>0.6797807627486616</x:v>
      </x:c>
      <x:c r="M194" t="n">
        <x:f>E194*'模块规划'!$F$10+G194*'模块规划'!$F$11+H194*'模块规划'!$F$13</x:f>
        <x:v>5105.486188405952</x:v>
      </x:c>
      <x:c r="N194" t="n">
        <x:f>I194*'模块规划'!$F$15+J194*'模块规划'!$F$17+K194*'模块规划'!$F$16+L194*'模块规划'!$F$18</x:f>
        <x:v>17214.73169829008</x:v>
      </x:c>
      <x:c r="O194" t="n">
        <x:f>1+O$9*SUMPRODUCT($H$10:$L$10,H194:L194)/SUM($H$10:$L$10)</x:f>
        <x:v>3.268320144464678</x:v>
      </x:c>
      <x:c r="P194" t="n">
        <x:f>M194*O194+N194</x:f>
        <x:v>33901.095055143436</x:v>
      </x:c>
      <x:c r="Q194" t="n">
        <x:f>P194/(P194+'_曲线基线'!$L$2)</x:f>
        <x:v>0.5855000673624039</x:v>
      </x:c>
      <x:c r="R194" t="n">
        <x:f>E194*'模块规划'!$E$10+G194*'模块规划'!$E$11+H194*'模块规划'!$E$13</x:f>
        <x:v>7658.229282608928</x:v>
      </x:c>
      <x:c r="S194" t="n">
        <x:f>I194*'模块规划'!$E$15+J194*'模块规划'!$E$17+K194*'模块规划'!$E$16+L194*'模块规划'!$E$18</x:f>
        <x:v>25822.09754743512</x:v>
      </x:c>
      <x:c r="T194" t="n">
        <x:f>1+T$9*SUMPRODUCT($H$10:$L$10,H194:L194)/SUM($H$10:$L$10)</x:f>
        <x:v>3.268320144464678</x:v>
      </x:c>
      <x:c r="U194" t="n">
        <x:f>R194*T194+S194</x:f>
        <x:v>50851.64258271516</x:v>
      </x:c>
      <x:c r="V194" t="n">
        <x:f>V$8+(V$9-V$8)*H194</x:f>
        <x:v>0.90405612086239</x:v>
      </x:c>
      <x:c r="W194" t="n">
        <x:f>IF(B194&lt;$H$8,0,W$8+(W$9-W$8)*H194)</x:f>
        <x:v>0.2720748278165199</x:v>
      </x:c>
      <x:c r="X194" t="n">
        <x:f>X$8+(X$9-X$8)*H194</x:f>
        <x:v>0.46205144412385746</x:v>
      </x:c>
      <x:c r="Y194" t="n">
        <x:f>Y$8+(Y$9-Y$8)*G194</x:f>
        <x:v>1</x:v>
      </x:c>
      <x:c r="Z194" t="n">
        <x:f>Z$8+(Z$9-Z$8)*H194</x:f>
        <x:v>1</x:v>
      </x:c>
      <x:c r="AA194" t="n">
        <x:f>AA$8+(AA$9-AA$8)*I194</x:f>
        <x:v>1</x:v>
      </x:c>
      <x:c r="AB194" t="n">
        <x:f>AB$8+(AB$9-AB$8)*J194</x:f>
        <x:v>1</x:v>
      </x:c>
      <x:c r="AC194" t="n">
        <x:f>AC$8+(AC$9-AC$8)*MAX(K194,L194)</x:f>
        <x:v>1</x:v>
      </x:c>
      <x:c r="AD194" t="n">
        <x:f>(V194*AE194+W194*AF194+X194*AG194)*PRODUCT(Y194:AC194)</x:f>
        <x:v>1.8565870202244774</x:v>
      </x:c>
      <x:c r="AE194" t="n">
        <x:f>1+AE$9*($H$10*H194+$I$10*I194+$J$10*J194+$K$10*K194+$L$10*L194)</x:f>
        <x:v>1</x:v>
      </x:c>
      <x:c r="AF194" t="n">
        <x:f>1+AF$9*($H$10*H194+$I$10*I194+$J$10*J194+$K$10*K194+$L$10*L194)</x:f>
        <x:v>1.200199915584332</x:v>
      </x:c>
      <x:c r="AG194" t="n">
        <x:f>1+AG$9*($H$10*H194+$I$10*I194+$J$10*J194+$K$10*K194+$L$10*L194)</x:f>
        <x:v>1.354798739285569</x:v>
      </x:c>
      <x:c r="AH194" t="n">
        <x:f>MIN(1,'_曲线基线'!$L$3+AH$9*($H$10*H194+$I$10*I194+$J$10*J194+$K$10*K194+$L$10*L194))</x:f>
        <x:v>0.5054548079543549</x:v>
      </x:c>
      <x:c r="AI194" t="n">
        <x:f>'_曲线基线'!$L$4+AI$9*($H$10*H194+$I$10*I194+$J$10*J194+$K$10*K194+$L$10*L194)</x:f>
        <x:v>3.268766965015703</x:v>
      </x:c>
      <x:c r="AJ194" t="n">
        <x:f>1+AJ$9*($H$10*H194+$I$10*I194+$J$10*J194+$K$10*K194+$L$10*L194)</x:f>
        <x:v>2.0410395610385255</x:v>
      </x:c>
      <x:c r="AK194" t="n">
        <x:f>(1+AH194*(AI194-1))*AJ194</x:f>
        <x:v>4.38162039520705</x:v>
      </x:c>
      <x:c r="AL194" t="n">
        <x:f>U194*AD194*AK194*F194</x:f>
        <x:v>2068354.852323018</x:v>
      </x:c>
      <x:c r="AM194" t="n">
        <x:f>IF($B194&lt;AM$8,0,AM$3+(AM$4-AM$3)*(POWER(AM$5,$B194-AM$8)-1)/(POWER(AM$5,$C$5-AM$8)-1))</x:f>
        <x:v>41.868472143961206</x:v>
      </x:c>
      <x:c r="AN194" t="n">
        <x:f>(((E194*'模块规划'!$D$10+G194*'模块规划'!$D$11+H194*'模块规划'!$D$13)*(1+'模块规划'!$G$14*H194)+(I194*'模块规划'!$D$15+J194*'模块规划'!$D$17+K194*'模块规划'!$D$16+L194*'模块规划'!$D$18))*(1+'模块规划'!$J$17*J194))*F194/(1-Q194)</x:f>
        <x:v>2596426.92049795</x:v>
      </x:c>
      <x:c r="AO194" t="n">
        <x:f>AL194*AM194</x:f>
        <x:v>86598857.51831327</x:v>
      </x:c>
      <x:c r="AP194" t="n">
        <x:f>IF(AO194="","",INDEX('_曲线基线'!$A$3:$A$502,MIN(ROWS('_曲线基线'!$A$3:$A$502),COUNTIF('_曲线基线'!$E$3:$E$502,"&lt;"&amp;AO194)+1)))</x:f>
        <x:v>282</x:v>
      </x:c>
      <x:c r="AQ194" t="n">
        <x:f>IF(B194&lt;=2,1,IF(B194&lt;=6,2,IF(B194&lt;=9,3,IF(B194&lt;=19,4,5))))</x:f>
        <x:v>5</x:v>
      </x:c>
      <x:c r="AR194" t="n">
        <x:f>AN194*(1-Q194)/F194*$AS$3+U194*$AS$4+P194*$AS$5</x:f>
        <x:v>16627.641218412078</x:v>
      </x:c>
      <x:c r="AS194" t="n">
        <x:f>1+AH194*$AS$6+AI194*$AS$7+(AJ194-1)*$AS$8+($H$10*H194+$I$10*I194+$J$10*J194+$K$10*K194+$L$10*L194)*$AU$3*$AS$9+($H$10*H194+$I$10*I194+$J$10*J194+$K$10*K194+$L$10*L194)*$AU$4*$AS$10</x:f>
        <x:v>16.94375243331791</x:v>
      </x:c>
      <x:c r="AT194" t="n">
        <x:f>ROUND(AR194*AS194,0)</x:f>
        <x:v>281735</x:v>
      </x:c>
      <x:c r="AU194" t="n">
        <x:f>ROUND(AT194*F194,0)</x:f>
        <x:v>1408675</x:v>
      </x:c>
    </x:row>
    <x:row r="195">
      <x:c r="A195" t="str">
        <x:f>IFERROR(XLOOKUP(B195,'_曲线基线'!$G$3:$G$107,'_曲线基线'!$J$3:$J$107,""),"")</x:f>
      </x:c>
      <x:c r="B195" t="n">
        <x:v>184</x:v>
      </x:c>
      <x:c r="C195" t="n">
        <x:f>C180+1</x:f>
        <x:v>13</x:v>
      </x:c>
      <x:c r="D195" t="n">
        <x:f>D180</x:f>
        <x:v>10</x:v>
      </x:c>
      <x:c r="E195" t="n">
        <x:f>IF($B195&lt;E$8,0,E$3+(E$4-E$3)*(POWER(E$5,$B195-E$8)-1)/(POWER(E$5,$C$5-E$8)-1))</x:f>
        <x:v>1</x:v>
      </x:c>
      <x:c r="F195" t="n">
        <x:f>1+IF(B195&lt;3,0,MIN(1,(B195-2)/4))+IF(B195&lt;7,0,MIN(1,(B195-6)/3))+IF(B195&lt;10,0,MIN(1,(B195-9)/5))+IF(B195&lt;20,0,MIN(1,(B195-19)/10))</x:f>
        <x:v>5</x:v>
      </x:c>
      <x:c r="G195" t="n">
        <x:f>IF($B195&lt;G$8,0,G$3+(G$4-G$3)*(POWER(G$5,$B195-G$8)-1)/(POWER(G$5,$C$5-G$8)-1))</x:f>
        <x:v>0.8561851687003007</x:v>
      </x:c>
      <x:c r="H195" t="n">
        <x:f>IF($B195&lt;H$8,0,H$3+(H$4-H$3)*(POWER(H$5,$B195-H$8)-1)/(POWER(H$5,$C$5-H$8)-1))</x:f>
        <x:v>0.6806498703899851</x:v>
      </x:c>
      <x:c r="I195" t="n">
        <x:f>IF($B195&lt;I$8,0,I$3+(I$4-I$3)*(POWER(I$5,$B195-I$8)-1)/(POWER(I$5,$C$5-I$8)-1))</x:f>
        <x:v>0.6002475467036831</x:v>
      </x:c>
      <x:c r="J195" t="n">
        <x:f>IF($B195&lt;J$8,0,J$3+(J$4-J$3)*(POWER(J$5,$B195-J$8)-1)/(POWER(J$5,$C$5-J$8)-1))</x:f>
        <x:v>0.5770433613585627</x:v>
      </x:c>
      <x:c r="K195" t="n">
        <x:f>IF($B195&lt;K$8,0,K$3+(K$4-K$3)*(POWER(K$5,$B195-K$8)-1)/(POWER(K$5,$C$5-K$8)-1))</x:f>
        <x:v>0.5455683774853954</x:v>
      </x:c>
      <x:c r="L195" t="n">
        <x:f>IF($B195&lt;L$8,0,L$3+(L$4-L$3)*(POWER(L$5,$B195-L$8)-1)/(POWER(L$5,$C$5-L$8)-1))</x:f>
        <x:v>0.6802530543250742</x:v>
      </x:c>
      <x:c r="M195" t="n">
        <x:f>E195*'模块规划'!$F$10+G195*'模块规划'!$F$11+H195*'模块规划'!$F$13</x:f>
        <x:v>5109.688809761444</x:v>
      </x:c>
      <x:c r="N195" t="n">
        <x:f>I195*'模块规划'!$F$15+J195*'模块规划'!$F$17+K195*'模块规划'!$F$16+L195*'模块规划'!$F$18</x:f>
        <x:v>17247.089523752835</x:v>
      </x:c>
      <x:c r="O195" t="n">
        <x:f>1+O$9*SUMPRODUCT($H$10:$L$10,H195:L195)/SUM($H$10:$L$10)</x:f>
        <x:v>3.2718910210865206</x:v>
      </x:c>
      <x:c r="P195" t="n">
        <x:f>M195*O195+N195</x:f>
        <x:v>33965.43446095758</x:v>
      </x:c>
      <x:c r="Q195" t="n">
        <x:f>P195/(P195+'_曲线基线'!$L$2)</x:f>
        <x:v>0.5859601463667953</x:v>
      </x:c>
      <x:c r="R195" t="n">
        <x:f>E195*'模块规划'!$E$10+G195*'模块规划'!$E$11+H195*'模块规划'!$E$13</x:f>
        <x:v>7664.533214642165</x:v>
      </x:c>
      <x:c r="S195" t="n">
        <x:f>I195*'模块规划'!$E$15+J195*'模块规划'!$E$17+K195*'模块规划'!$E$16+L195*'模块规划'!$E$18</x:f>
        <x:v>25870.634285629254</x:v>
      </x:c>
      <x:c r="T195" t="n">
        <x:f>1+T$9*SUMPRODUCT($H$10:$L$10,H195:L195)/SUM($H$10:$L$10)</x:f>
        <x:v>3.2718910210865206</x:v>
      </x:c>
      <x:c r="U195" t="n">
        <x:f>R195*T195+S195</x:f>
        <x:v>50948.15169143636</x:v>
      </x:c>
      <x:c r="V195" t="n">
        <x:f>V$8+(V$9-V$8)*H195</x:f>
        <x:v>0.9041949611169955</x:v>
      </x:c>
      <x:c r="W195" t="n">
        <x:f>IF(B195&lt;$H$8,0,W$8+(W$9-W$8)*H195)</x:f>
        <x:v>0.2722599481559941</x:v>
      </x:c>
      <x:c r="X195" t="n">
        <x:f>X$8+(X$9-X$8)*H195</x:f>
        <x:v>0.46217871435724595</x:v>
      </x:c>
      <x:c r="Y195" t="n">
        <x:f>Y$8+(Y$9-Y$8)*G195</x:f>
        <x:v>1</x:v>
      </x:c>
      <x:c r="Z195" t="n">
        <x:f>Z$8+(Z$9-Z$8)*H195</x:f>
        <x:v>1</x:v>
      </x:c>
      <x:c r="AA195" t="n">
        <x:f>AA$8+(AA$9-AA$8)*I195</x:f>
        <x:v>1</x:v>
      </x:c>
      <x:c r="AB195" t="n">
        <x:f>AB$8+(AB$9-AB$8)*J195</x:f>
        <x:v>1</x:v>
      </x:c>
      <x:c r="AC195" t="n">
        <x:f>AC$8+(AC$9-AC$8)*MAX(K195,L195)</x:f>
        <x:v>1</x:v>
      </x:c>
      <x:c r="AD195" t="n">
        <x:f>(V195*AE195+W195*AF195+X195*AG195)*PRODUCT(Y195:AC195)</x:f>
        <x:v>1.8574644178209552</x:v>
      </x:c>
      <x:c r="AE195" t="n">
        <x:f>1+AE$9*($H$10*H195+$I$10*I195+$J$10*J195+$K$10*K195+$L$10*L195)</x:f>
        <x:v>1</x:v>
      </x:c>
      <x:c r="AF195" t="n">
        <x:f>1+AF$9*($H$10*H195+$I$10*I195+$J$10*J195+$K$10*K195+$L$10*L195)</x:f>
        <x:v>1.200515077974438</x:v>
      </x:c>
      <x:c r="AG195" t="n">
        <x:f>1+AG$9*($H$10*H195+$I$10*I195+$J$10*J195+$K$10*K195+$L$10*L195)</x:f>
        <x:v>1.3553572770769233</x:v>
      </x:c>
      <x:c r="AH195" t="n">
        <x:f>MIN(1,'_曲线基线'!$L$3+AH$9*($H$10*H195+$I$10*I195+$J$10*J195+$K$10*K195+$L$10*L195))</x:f>
        <x:v>0.506171802391846</x:v>
      </x:c>
      <x:c r="AI195" t="n">
        <x:f>'_曲线基线'!$L$4+AI$9*($H$10*H195+$I$10*I195+$J$10*J195+$K$10*K195+$L$10*L195)</x:f>
        <x:v>3.2707643066629997</x:v>
      </x:c>
      <x:c r="AJ195" t="n">
        <x:f>1+AJ$9*($H$10*H195+$I$10*I195+$J$10*J195+$K$10*K195+$L$10*L195)</x:f>
        <x:v>2.042678405467077</x:v>
      </x:c>
      <x:c r="AK195" t="n">
        <x:f>(1+AH195*(AI195-1))*AJ195</x:f>
        <x:v>4.390526554603649</x:v>
      </x:c>
      <x:c r="AL195" t="n">
        <x:f>U195*AD195*AK195*F195</x:f>
        <x:v>2077473.7681463172</x:v>
      </x:c>
      <x:c r="AM195" t="n">
        <x:f>IF($B195&lt;AM$8,0,AM$3+(AM$4-AM$3)*(POWER(AM$5,$B195-AM$8)-1)/(POWER(AM$5,$C$5-AM$8)-1))</x:f>
        <x:v>41.95058150532269</x:v>
      </x:c>
      <x:c r="AN195" t="n">
        <x:f>(((E195*'模块规划'!$D$10+G195*'模块规划'!$D$11+H195*'模块规划'!$D$13)*(1+'模块规划'!$G$14*H195)+(I195*'模块规划'!$D$15+J195*'模块规划'!$D$17+K195*'模块规划'!$D$16+L195*'模块规划'!$D$18))*(1+'模块规划'!$J$17*J195))*F195/(1-Q195)</x:f>
        <x:v>2604540.9252915992</x:v>
      </x:c>
      <x:c r="AO195" t="n">
        <x:f>AL195*AM195</x:f>
        <x:v>87151232.63579193</x:v>
      </x:c>
      <x:c r="AP195" t="n">
        <x:f>IF(AO195="","",INDEX('_曲线基线'!$A$3:$A$502,MIN(ROWS('_曲线基线'!$A$3:$A$502),COUNTIF('_曲线基线'!$E$3:$E$502,"&lt;"&amp;AO195)+1)))</x:f>
        <x:v>282</x:v>
      </x:c>
      <x:c r="AQ195" t="n">
        <x:f>IF(B195&lt;=2,1,IF(B195&lt;=6,2,IF(B195&lt;=9,3,IF(B195&lt;=19,4,5))))</x:f>
        <x:v>5</x:v>
      </x:c>
      <x:c r="AR195" t="n">
        <x:f>AN195*(1-Q195)/F195*$AS$3+U195*$AS$4+P195*$AS$5</x:f>
        <x:v>16659.932799223825</x:v>
      </x:c>
      <x:c r="AS195" t="n">
        <x:f>1+AH195*$AS$6+AI195*$AS$7+(AJ195-1)*$AS$8+($H$10*H195+$I$10*I195+$J$10*J195+$K$10*K195+$L$10*L195)*$AU$3*$AS$9+($H$10*H195+$I$10*I195+$J$10*J195+$K$10*K195+$L$10*L195)*$AU$4*$AS$10</x:f>
        <x:v>16.96258374423001</x:v>
      </x:c>
      <x:c r="AT195" t="n">
        <x:f>ROUND(AR195*AS195,0)</x:f>
        <x:v>282596</x:v>
      </x:c>
      <x:c r="AU195" t="n">
        <x:f>ROUND(AT195*F195,0)</x:f>
        <x:v>1412980</x:v>
      </x:c>
    </x:row>
    <x:row r="196">
      <x:c r="A196" t="str">
        <x:f>IFERROR(XLOOKUP(B196,'_曲线基线'!$G$3:$G$107,'_曲线基线'!$J$3:$J$107,""),"")</x:f>
      </x:c>
      <x:c r="B196" t="n">
        <x:v>185</x:v>
      </x:c>
      <x:c r="C196" t="n">
        <x:f>C181+1</x:f>
        <x:v>13</x:v>
      </x:c>
      <x:c r="D196" t="n">
        <x:f>D181</x:f>
        <x:v>11</x:v>
      </x:c>
      <x:c r="E196" t="n">
        <x:f>IF($B196&lt;E$8,0,E$3+(E$4-E$3)*(POWER(E$5,$B196-E$8)-1)/(POWER(E$5,$C$5-E$8)-1))</x:f>
        <x:v>1</x:v>
      </x:c>
      <x:c r="F196" t="n">
        <x:f>1+IF(B196&lt;3,0,MIN(1,(B196-2)/4))+IF(B196&lt;7,0,MIN(1,(B196-6)/3))+IF(B196&lt;10,0,MIN(1,(B196-9)/5))+IF(B196&lt;20,0,MIN(1,(B196-19)/10))</x:f>
        <x:v>5</x:v>
      </x:c>
      <x:c r="G196" t="n">
        <x:f>IF($B196&lt;G$8,0,G$3+(G$4-G$3)*(POWER(G$5,$B196-G$8)-1)/(POWER(G$5,$C$5-G$8)-1))</x:f>
        <x:v>0.857047581624292</x:v>
      </x:c>
      <x:c r="H196" t="n">
        <x:f>IF($B196&lt;H$8,0,H$3+(H$4-H$3)*(POWER(H$5,$B196-H$8)-1)/(POWER(H$5,$C$5-H$8)-1))</x:f>
        <x:v>0.6811034152216968</x:v>
      </x:c>
      <x:c r="I196" t="n">
        <x:f>IF($B196&lt;I$8,0,I$3+(I$4-I$3)*(POWER(I$5,$B196-I$8)-1)/(POWER(I$5,$C$5-I$8)-1))</x:f>
        <x:v>0.6014136871126775</x:v>
      </x:c>
      <x:c r="J196" t="n">
        <x:f>IF($B196&lt;J$8,0,J$3+(J$4-J$3)*(POWER(J$5,$B196-J$8)-1)/(POWER(J$5,$C$5-J$8)-1))</x:f>
        <x:v>0.5775814386231153</x:v>
      </x:c>
      <x:c r="K196" t="n">
        <x:f>IF($B196&lt;K$8,0,K$3+(K$4-K$3)*(POWER(K$5,$B196-K$8)-1)/(POWER(K$5,$C$5-K$8)-1))</x:f>
        <x:v>0.548016134870661</x:v>
      </x:c>
      <x:c r="L196" t="n">
        <x:f>IF($B196&lt;L$8,0,L$3+(L$4-L$3)*(POWER(L$5,$B196-L$8)-1)/(POWER(L$5,$C$5-L$8)-1))</x:f>
        <x:v>0.6807159000699583</x:v>
      </x:c>
      <x:c r="M196" t="n">
        <x:f>E196*'模块规划'!$F$10+G196*'模块规划'!$F$11+H196*'模块规划'!$F$13</x:f>
        <x:v>5113.828391796601</x:v>
      </x:c>
      <x:c r="N196" t="n">
        <x:f>I196*'模块规划'!$F$15+J196*'模块规划'!$F$17+K196*'模块规划'!$F$16+L196*'模块规划'!$F$18</x:f>
        <x:v>17278.80019270633</x:v>
      </x:c>
      <x:c r="O196" t="n">
        <x:f>1+O$9*SUMPRODUCT($H$10:$L$10,H196:L196)/SUM($H$10:$L$10)</x:f>
        <x:v>3.275390480175926</x:v>
      </x:c>
      <x:c r="P196" t="n">
        <x:f>M196*O196+N196</x:f>
        <x:v>34028.58502445028</x:v>
      </x:c>
      <x:c r="Q196" t="n">
        <x:f>P196/(P196+'_曲线基线'!$L$2)</x:f>
        <x:v>0.586410732057526</x:v>
      </x:c>
      <x:c r="R196" t="n">
        <x:f>E196*'模块规划'!$E$10+G196*'模块规划'!$E$11+H196*'模块规划'!$E$13</x:f>
        <x:v>7670.742587694902</x:v>
      </x:c>
      <x:c r="S196" t="n">
        <x:f>I196*'模块规划'!$E$15+J196*'模块规划'!$E$17+K196*'模块规划'!$E$16+L196*'模块规划'!$E$18</x:f>
        <x:v>25918.200289059496</x:v>
      </x:c>
      <x:c r="T196" t="n">
        <x:f>1+T$9*SUMPRODUCT($H$10:$L$10,H196:L196)/SUM($H$10:$L$10)</x:f>
        <x:v>3.275390480175926</x:v>
      </x:c>
      <x:c r="U196" t="n">
        <x:f>R196*T196+S196</x:f>
        <x:v>51042.87753667543</x:v>
      </x:c>
      <x:c r="V196" t="n">
        <x:f>V$8+(V$9-V$8)*H196</x:f>
        <x:v>0.904331024566509</x:v>
      </x:c>
      <x:c r="W196" t="n">
        <x:f>IF(B196&lt;$H$8,0,W$8+(W$9-W$8)*H196)</x:f>
        <x:v>0.27244136608867875</x:v>
      </x:c>
      <x:c r="X196" t="n">
        <x:f>X$8+(X$9-X$8)*H196</x:f>
        <x:v>0.46230343918596667</x:v>
      </x:c>
      <x:c r="Y196" t="n">
        <x:f>Y$8+(Y$9-Y$8)*G196</x:f>
        <x:v>1</x:v>
      </x:c>
      <x:c r="Z196" t="n">
        <x:f>Z$8+(Z$9-Z$8)*H196</x:f>
        <x:v>1</x:v>
      </x:c>
      <x:c r="AA196" t="n">
        <x:f>AA$8+(AA$9-AA$8)*I196</x:f>
        <x:v>1</x:v>
      </x:c>
      <x:c r="AB196" t="n">
        <x:f>AB$8+(AB$9-AB$8)*J196</x:f>
        <x:v>1</x:v>
      </x:c>
      <x:c r="AC196" t="n">
        <x:f>AC$8+(AC$9-AC$8)*MAX(K196,L196)</x:f>
        <x:v>1</x:v>
      </x:c>
      <x:c r="AD196" t="n">
        <x:f>(V196*AE196+W196*AF196+X196*AG196)*PRODUCT(Y196:AC196)</x:f>
        <x:v>1.85832451860799</x:v>
      </x:c>
      <x:c r="AE196" t="n">
        <x:f>1+AE$9*($H$10*H196+$I$10*I196+$J$10*J196+$K$10*K196+$L$10*L196)</x:f>
        <x:v>1</x:v>
      </x:c>
      <x:c r="AF196" t="n">
        <x:f>1+AF$9*($H$10*H196+$I$10*I196+$J$10*J196+$K$10*K196+$L$10*L196)</x:f>
        <x:v>1.2008239371167417</x:v>
      </x:c>
      <x:c r="AG196" t="n">
        <x:f>1+AG$9*($H$10*H196+$I$10*I196+$J$10*J196+$K$10*K196+$L$10*L196)</x:f>
        <x:v>1.3559046441124507</x:v>
      </x:c>
      <x:c r="AH196" t="n">
        <x:f>MIN(1,'_曲线基线'!$L$3+AH$9*($H$10*H196+$I$10*I196+$J$10*J196+$K$10*K196+$L$10*L196))</x:f>
        <x:v>0.5068744569405872</x:v>
      </x:c>
      <x:c r="AI196" t="n">
        <x:f>'_曲线基线'!$L$4+AI$9*($H$10*H196+$I$10*I196+$J$10*J196+$K$10*K196+$L$10*L196)</x:f>
        <x:v>3.2727217014773498</x:v>
      </x:c>
      <x:c r="AJ196" t="n">
        <x:f>1+AJ$9*($H$10*H196+$I$10*I196+$J$10*J196+$K$10*K196+$L$10*L196)</x:f>
        <x:v>2.044284473007057</x:v>
      </x:c>
      <x:c r="AK196" t="n">
        <x:f>(1+AH196*(AI196-1))*AJ196</x:f>
        <x:v>4.399268659392333</x:v>
      </x:c>
      <x:c r="AL196" t="n">
        <x:f>U196*AD196*AK196*F196</x:f>
        <x:v>2086446.224433534</x:v>
      </x:c>
      <x:c r="AM196" t="n">
        <x:f>IF($B196&lt;AM$8,0,AM$3+(AM$4-AM$3)*(POWER(AM$5,$B196-AM$8)-1)/(POWER(AM$5,$C$5-AM$8)-1))</x:f>
        <x:v>42.03351196029779</x:v>
      </x:c>
      <x:c r="AN196" t="n">
        <x:f>(((E196*'模块规划'!$D$10+G196*'模块规划'!$D$11+H196*'模块规划'!$D$13)*(1+'模块规划'!$G$14*H196)+(I196*'模块规划'!$D$15+J196*'模块规划'!$D$17+K196*'模块规划'!$D$16+L196*'模块规划'!$D$18))*(1+'模块规划'!$J$17*J196))*F196/(1-Q196)</x:f>
        <x:v>2612515.3264228553</x:v>
      </x:c>
      <x:c r="AO196" t="n">
        <x:f>AL196*AM196</x:f>
        <x:v>87700662.32924512</x:v>
      </x:c>
      <x:c r="AP196" t="n">
        <x:f>IF(AO196="","",INDEX('_曲线基线'!$A$3:$A$502,MIN(ROWS('_曲线基线'!$A$3:$A$502),COUNTIF('_曲线基线'!$E$3:$E$502,"&lt;"&amp;AO196)+1)))</x:f>
        <x:v>283</x:v>
      </x:c>
      <x:c r="AQ196" t="n">
        <x:f>IF(B196&lt;=2,1,IF(B196&lt;=6,2,IF(B196&lt;=9,3,IF(B196&lt;=19,4,5))))</x:f>
        <x:v>5</x:v>
      </x:c>
      <x:c r="AR196" t="n">
        <x:f>AN196*(1-Q196)/F196*$AS$3+U196*$AS$4+P196*$AS$5</x:f>
        <x:v>16691.625315397418</x:v>
      </x:c>
      <x:c r="AS196" t="n">
        <x:f>1+AH196*$AS$6+AI196*$AS$7+(AJ196-1)*$AS$8+($H$10*H196+$I$10*I196+$J$10*J196+$K$10*K196+$L$10*L196)*$AU$3*$AS$9+($H$10*H196+$I$10*I196+$J$10*J196+$K$10*K196+$L$10*L196)*$AU$4*$AS$10</x:f>
        <x:v>16.981038428923863</x:v>
      </x:c>
      <x:c r="AT196" t="n">
        <x:f>ROUND(AR196*AS196,0)</x:f>
        <x:v>283441</x:v>
      </x:c>
      <x:c r="AU196" t="n">
        <x:f>ROUND(AT196*F196,0)</x:f>
        <x:v>1417205</x:v>
      </x:c>
    </x:row>
    <x:row r="197">
      <x:c r="A197" t="str">
        <x:f>IFERROR(XLOOKUP(B197,'_曲线基线'!$G$3:$G$107,'_曲线基线'!$J$3:$J$107,""),"")</x:f>
      </x:c>
      <x:c r="B197" t="n">
        <x:v>186</x:v>
      </x:c>
      <x:c r="C197" t="n">
        <x:f>C182+1</x:f>
        <x:v>13</x:v>
      </x:c>
      <x:c r="D197" t="n">
        <x:f>D182</x:f>
        <x:v>12</x:v>
      </x:c>
      <x:c r="E197" t="n">
        <x:f>IF($B197&lt;E$8,0,E$3+(E$4-E$3)*(POWER(E$5,$B197-E$8)-1)/(POWER(E$5,$C$5-E$8)-1))</x:f>
        <x:v>1</x:v>
      </x:c>
      <x:c r="F197" t="n">
        <x:f>1+IF(B197&lt;3,0,MIN(1,(B197-2)/4))+IF(B197&lt;7,0,MIN(1,(B197-6)/3))+IF(B197&lt;10,0,MIN(1,(B197-9)/5))+IF(B197&lt;20,0,MIN(1,(B197-19)/10))</x:f>
        <x:v>5</x:v>
      </x:c>
      <x:c r="G197" t="n">
        <x:f>IF($B197&lt;G$8,0,G$3+(G$4-G$3)*(POWER(G$5,$B197-G$8)-1)/(POWER(G$5,$C$5-G$8)-1))</x:f>
        <x:v>0.8578970583544234</x:v>
      </x:c>
      <x:c r="H197" t="n">
        <x:f>IF($B197&lt;H$8,0,H$3+(H$4-H$3)*(POWER(H$5,$B197-H$8)-1)/(POWER(H$5,$C$5-H$8)-1))</x:f>
        <x:v>0.6815478891567742</x:v>
      </x:c>
      <x:c r="I197" t="n">
        <x:f>IF($B197&lt;I$8,0,I$3+(I$4-I$3)*(POWER(I$5,$B197-I$8)-1)/(POWER(I$5,$C$5-I$8)-1))</x:f>
        <x:v>0.6025565047134921</x:v>
      </x:c>
      <x:c r="J197" t="n">
        <x:f>IF($B197&lt;J$8,0,J$3+(J$4-J$3)*(POWER(J$5,$B197-J$8)-1)/(POWER(J$5,$C$5-J$8)-1))</x:f>
        <x:v>0.5781087543423769</x:v>
      </x:c>
      <x:c r="K197" t="n">
        <x:f>IF($B197&lt;K$8,0,K$3+(K$4-K$3)*(POWER(K$5,$B197-K$8)-1)/(POWER(K$5,$C$5-K$8)-1))</x:f>
        <x:v>0.5504149371082213</x:v>
      </x:c>
      <x:c r="L197" t="n">
        <x:f>IF($B197&lt;L$8,0,L$3+(L$4-L$3)*(POWER(L$5,$B197-L$8)-1)/(POWER(L$5,$C$5-L$8)-1))</x:f>
        <x:v>0.6811694888999449</x:v>
      </x:c>
      <x:c r="M197" t="n">
        <x:f>E197*'模块规划'!$F$10+G197*'模块规划'!$F$11+H197*'模块规划'!$F$13</x:f>
        <x:v>5117.9058801012325</x:v>
      </x:c>
      <x:c r="N197" t="n">
        <x:f>I197*'模块规划'!$F$15+J197*'模块规划'!$F$17+K197*'模块规划'!$F$16+L197*'模块规划'!$F$18</x:f>
        <x:v>17309.87664828076</x:v>
      </x:c>
      <x:c r="O197" t="n">
        <x:f>1+O$9*SUMPRODUCT($H$10:$L$10,H197:L197)/SUM($H$10:$L$10)</x:f>
        <x:v>3.2788199500835433</x:v>
      </x:c>
      <x:c r="P197" t="n">
        <x:f>M197*O197+N197</x:f>
        <x:v>34090.56855060655</x:v>
      </x:c>
      <x:c r="Q197" t="n">
        <x:f>P197/(P197+'_曲线基线'!$L$2)</x:f>
        <x:v>0.586852038139513</x:v>
      </x:c>
      <x:c r="R197" t="n">
        <x:f>E197*'模块规划'!$E$10+G197*'模块规划'!$E$11+H197*'模块规划'!$E$13</x:f>
        <x:v>7676.858820151849</x:v>
      </x:c>
      <x:c r="S197" t="n">
        <x:f>I197*'模块规划'!$E$15+J197*'模块规划'!$E$17+K197*'模块规划'!$E$16+L197*'模块规划'!$E$18</x:f>
        <x:v>25964.814972421136</x:v>
      </x:c>
      <x:c r="T197" t="n">
        <x:f>1+T$9*SUMPRODUCT($H$10:$L$10,H197:L197)/SUM($H$10:$L$10)</x:f>
        <x:v>3.2788199500835433</x:v>
      </x:c>
      <x:c r="U197" t="n">
        <x:f>R197*T197+S197</x:f>
        <x:v>51135.85282590983</x:v>
      </x:c>
      <x:c r="V197" t="n">
        <x:f>V$8+(V$9-V$8)*H197</x:f>
        <x:v>0.9044643667470322</x:v>
      </x:c>
      <x:c r="W197" t="n">
        <x:f>IF(B197&lt;$H$8,0,W$8+(W$9-W$8)*H197)</x:f>
        <x:v>0.2726191556627097</x:v>
      </x:c>
      <x:c r="X197" t="n">
        <x:f>X$8+(X$9-X$8)*H197</x:f>
        <x:v>0.4624256695181129</x:v>
      </x:c>
      <x:c r="Y197" t="n">
        <x:f>Y$8+(Y$9-Y$8)*G197</x:f>
        <x:v>1</x:v>
      </x:c>
      <x:c r="Z197" t="n">
        <x:f>Z$8+(Z$9-Z$8)*H197</x:f>
        <x:v>1</x:v>
      </x:c>
      <x:c r="AA197" t="n">
        <x:f>AA$8+(AA$9-AA$8)*I197</x:f>
        <x:v>1</x:v>
      </x:c>
      <x:c r="AB197" t="n">
        <x:f>AB$8+(AB$9-AB$8)*J197</x:f>
        <x:v>1</x:v>
      </x:c>
      <x:c r="AC197" t="n">
        <x:f>AC$8+(AC$9-AC$8)*MAX(K197,L197)</x:f>
        <x:v>1</x:v>
      </x:c>
      <x:c r="AD197" t="n">
        <x:f>(V197*AE197+W197*AF197+X197*AG197)*PRODUCT(Y197:AC197)</x:f>
        <x:v>1.8591676585765278</x:v>
      </x:c>
      <x:c r="AE197" t="n">
        <x:f>1+AE$9*($H$10*H197+$I$10*I197+$J$10*J197+$K$10*K197+$L$10*L197)</x:f>
        <x:v>1</x:v>
      </x:c>
      <x:c r="AF197" t="n">
        <x:f>1+AF$9*($H$10*H197+$I$10*I197+$J$10*J197+$K$10*K197+$L$10*L197)</x:f>
        <x:v>1.2011266190761996</x:v>
      </x:c>
      <x:c r="AG197" t="n">
        <x:f>1+AG$9*($H$10*H197+$I$10*I197+$J$10*J197+$K$10*K197+$L$10*L197)</x:f>
        <x:v>1.3564410638072675</x:v>
      </x:c>
      <x:c r="AH197" t="n">
        <x:f>MIN(1,'_曲线基线'!$L$3+AH$9*($H$10*H197+$I$10*I197+$J$10*J197+$K$10*K197+$L$10*L197))</x:f>
        <x:v>0.5075630583983535</x:v>
      </x:c>
      <x:c r="AI197" t="n">
        <x:f>'_曲线基线'!$L$4+AI$9*($H$10*H197+$I$10*I197+$J$10*J197+$K$10*K197+$L$10*L197)</x:f>
        <x:v>3.2746399483954134</x:v>
      </x:c>
      <x:c r="AJ197" t="n">
        <x:f>1+AJ$9*($H$10*H197+$I$10*I197+$J$10*J197+$K$10*K197+$L$10*L197)</x:f>
        <x:v>2.045858419196237</x:v>
      </x:c>
      <x:c r="AK197" t="n">
        <x:f>(1+AH197*(AI197-1))*AJ197</x:f>
        <x:v>4.407849446409929</x:v>
      </x:c>
      <x:c r="AL197" t="n">
        <x:f>U197*AD197*AK197*F197</x:f>
        <x:v>2095273.9620970332</x:v>
      </x:c>
      <x:c r="AM197" t="n">
        <x:f>IF($B197&lt;AM$8,0,AM$3+(AM$4-AM$3)*(POWER(AM$5,$B197-AM$8)-1)/(POWER(AM$5,$C$5-AM$8)-1))</x:f>
        <x:v>42.11727171982263</x:v>
      </x:c>
      <x:c r="AN197" t="n">
        <x:f>(((E197*'模块规划'!$D$10+G197*'模块规划'!$D$11+H197*'模块规划'!$D$13)*(1+'模块规划'!$G$14*H197)+(I197*'模块规划'!$D$15+J197*'模块规划'!$D$17+K197*'模块规划'!$D$16+L197*'模块规划'!$D$18))*(1+'模块规划'!$J$17*J197))*F197/(1-Q197)</x:f>
        <x:v>2620352.2431490063</x:v>
      </x:c>
      <x:c r="AO197" t="n">
        <x:f>AL197*AM197</x:f>
        <x:v>88247222.7891101</x:v>
      </x:c>
      <x:c r="AP197" t="n">
        <x:f>IF(AO197="","",INDEX('_曲线基线'!$A$3:$A$502,MIN(ROWS('_曲线基线'!$A$3:$A$502),COUNTIF('_曲线基线'!$E$3:$E$502,"&lt;"&amp;AO197)+1)))</x:f>
        <x:v>283</x:v>
      </x:c>
      <x:c r="AQ197" t="n">
        <x:f>IF(B197&lt;=2,1,IF(B197&lt;=6,2,IF(B197&lt;=9,3,IF(B197&lt;=19,4,5))))</x:f>
        <x:v>5</x:v>
      </x:c>
      <x:c r="AR197" t="n">
        <x:f>AN197*(1-Q197)/F197*$AS$3+U197*$AS$4+P197*$AS$5</x:f>
        <x:v>16722.729696863367</x:v>
      </x:c>
      <x:c r="AS197" t="n">
        <x:f>1+AH197*$AS$6+AI197*$AS$7+(AJ197-1)*$AS$8+($H$10*H197+$I$10*I197+$J$10*J197+$K$10*K197+$L$10*L197)*$AU$3*$AS$9+($H$10*H197+$I$10*I197+$J$10*J197+$K$10*K197+$L$10*L197)*$AU$4*$AS$10</x:f>
        <x:v>16.999124019923837</x:v>
      </x:c>
      <x:c r="AT197" t="n">
        <x:f>ROUND(AR197*AS197,0)</x:f>
        <x:v>284272</x:v>
      </x:c>
      <x:c r="AU197" t="n">
        <x:f>ROUND(AT197*F197,0)</x:f>
        <x:v>1421360</x:v>
      </x:c>
    </x:row>
    <x:row r="198">
      <x:c r="A198" t="str">
        <x:f>IFERROR(XLOOKUP(B198,'_曲线基线'!$G$3:$G$107,'_曲线基线'!$J$3:$J$107,""),"")</x:f>
      </x:c>
      <x:c r="B198" t="n">
        <x:v>187</x:v>
      </x:c>
      <x:c r="C198" t="n">
        <x:f>C183+1</x:f>
        <x:v>13</x:v>
      </x:c>
      <x:c r="D198" t="n">
        <x:f>D183</x:f>
        <x:v>13</x:v>
      </x:c>
      <x:c r="E198" t="n">
        <x:f>IF($B198&lt;E$8,0,E$3+(E$4-E$3)*(POWER(E$5,$B198-E$8)-1)/(POWER(E$5,$C$5-E$8)-1))</x:f>
        <x:v>1</x:v>
      </x:c>
      <x:c r="F198" t="n">
        <x:f>1+IF(B198&lt;3,0,MIN(1,(B198-2)/4))+IF(B198&lt;7,0,MIN(1,(B198-6)/3))+IF(B198&lt;10,0,MIN(1,(B198-9)/5))+IF(B198&lt;20,0,MIN(1,(B198-19)/10))</x:f>
        <x:v>5</x:v>
      </x:c>
      <x:c r="G198" t="n">
        <x:f>IF($B198&lt;G$8,0,G$3+(G$4-G$3)*(POWER(G$5,$B198-G$8)-1)/(POWER(G$5,$C$5-G$8)-1))</x:f>
        <x:v>0.8587337929336029</x:v>
      </x:c>
      <x:c r="H198" t="n">
        <x:f>IF($B198&lt;H$8,0,H$3+(H$4-H$3)*(POWER(H$5,$B198-H$8)-1)/(POWER(H$5,$C$5-H$8)-1))</x:f>
        <x:v>0.68198347361315</x:v>
      </x:c>
      <x:c r="I198" t="n">
        <x:f>IF($B198&lt;I$8,0,I$3+(I$4-I$3)*(POWER(I$5,$B198-I$8)-1)/(POWER(I$5,$C$5-I$8)-1))</x:f>
        <x:v>0.6036764659622905</x:v>
      </x:c>
      <x:c r="J198" t="n">
        <x:f>IF($B198&lt;J$8,0,J$3+(J$4-J$3)*(POWER(J$5,$B198-J$8)-1)/(POWER(J$5,$C$5-J$8)-1))</x:f>
        <x:v>0.5786255237472533</x:v>
      </x:c>
      <x:c r="K198" t="n">
        <x:f>IF($B198&lt;K$8,0,K$3+(K$4-K$3)*(POWER(K$5,$B198-K$8)-1)/(POWER(K$5,$C$5-K$8)-1))</x:f>
        <x:v>0.5527657633010304</x:v>
      </x:c>
      <x:c r="L198" t="n">
        <x:f>IF($B198&lt;L$8,0,L$3+(L$4-L$3)*(POWER(L$5,$B198-L$8)-1)/(POWER(L$5,$C$5-L$8)-1))</x:f>
        <x:v>0.6816140059533317</x:v>
      </x:c>
      <x:c r="M198" t="n">
        <x:f>E198*'模块规划'!$F$10+G198*'模块规划'!$F$11+H198*'模块规划'!$F$13</x:f>
        <x:v>5121.922206081294</x:v>
      </x:c>
      <x:c r="N198" t="n">
        <x:f>I198*'模块规划'!$F$15+J198*'模块规划'!$F$17+K198*'模块规划'!$F$16+L198*'模块规划'!$F$18</x:f>
        <x:v>17340.331574743697</x:v>
      </x:c>
      <x:c r="O198" t="n">
        <x:f>1+O$9*SUMPRODUCT($H$10:$L$10,H198:L198)/SUM($H$10:$L$10)</x:f>
        <x:v>3.2821808305930094</x:v>
      </x:c>
      <x:c r="P198" t="n">
        <x:f>M198*O198+N198</x:f>
        <x:v>34151.40645533238</x:v>
      </x:c>
      <x:c r="Q198" t="n">
        <x:f>P198/(P198+'_曲线基线'!$L$2)</x:f>
        <x:v>0.5872842728501325</x:v>
      </x:c>
      <x:c r="R198" t="n">
        <x:f>E198*'模块规划'!$E$10+G198*'模块规划'!$E$11+H198*'模块规划'!$E$13</x:f>
        <x:v>7682.88330912194</x:v>
      </x:c>
      <x:c r="S198" t="n">
        <x:f>I198*'模块规划'!$E$15+J198*'模块规划'!$E$17+K198*'模块规划'!$E$16+L198*'模块规划'!$E$18</x:f>
        <x:v>26010.497362115548</x:v>
      </x:c>
      <x:c r="T198" t="n">
        <x:f>1+T$9*SUMPRODUCT($H$10:$L$10,H198:L198)/SUM($H$10:$L$10)</x:f>
        <x:v>3.2821808305930094</x:v>
      </x:c>
      <x:c r="U198" t="n">
        <x:f>R198*T198+S198</x:f>
        <x:v>51227.10968299856</x:v>
      </x:c>
      <x:c r="V198" t="n">
        <x:f>V$8+(V$9-V$8)*H198</x:f>
        <x:v>0.904595042083945</x:v>
      </x:c>
      <x:c r="W198" t="n">
        <x:f>IF(B198&lt;$H$8,0,W$8+(W$9-W$8)*H198)</x:f>
        <x:v>0.27279338944526005</x:v>
      </x:c>
      <x:c r="X198" t="n">
        <x:f>X$8+(X$9-X$8)*H198</x:f>
        <x:v>0.4625454552436163</x:v>
      </x:c>
      <x:c r="Y198" t="n">
        <x:f>Y$8+(Y$9-Y$8)*G198</x:f>
        <x:v>1</x:v>
      </x:c>
      <x:c r="Z198" t="n">
        <x:f>Z$8+(Z$9-Z$8)*H198</x:f>
        <x:v>1</x:v>
      </x:c>
      <x:c r="AA198" t="n">
        <x:f>AA$8+(AA$9-AA$8)*I198</x:f>
        <x:v>1</x:v>
      </x:c>
      <x:c r="AB198" t="n">
        <x:f>AB$8+(AB$9-AB$8)*J198</x:f>
        <x:v>1</x:v>
      </x:c>
      <x:c r="AC198" t="n">
        <x:f>AC$8+(AC$9-AC$8)*MAX(K198,L198)</x:f>
        <x:v>1</x:v>
      </x:c>
      <x:c r="AD198" t="n">
        <x:f>(V198*AE198+W198*AF198+X198*AG198)*PRODUCT(Y198:AC198)</x:f>
        <x:v>1.8599941673915283</x:v>
      </x:c>
      <x:c r="AE198" t="n">
        <x:f>1+AE$9*($H$10*H198+$I$10*I198+$J$10*J198+$K$10*K198+$L$10*L198)</x:f>
        <x:v>1</x:v>
      </x:c>
      <x:c r="AF198" t="n">
        <x:f>1+AF$9*($H$10*H198+$I$10*I198+$J$10*J198+$K$10*K198+$L$10*L198)</x:f>
        <x:v>1.201423247396468</x:v>
      </x:c>
      <x:c r="AG198" t="n">
        <x:f>1+AG$9*($H$10*H198+$I$10*I198+$J$10*J198+$K$10*K198+$L$10*L198)</x:f>
        <x:v>1.356966755108188</x:v>
      </x:c>
      <x:c r="AH198" t="n">
        <x:f>MIN(1,'_曲线基线'!$L$3+AH$9*($H$10*H198+$I$10*I198+$J$10*J198+$K$10*K198+$L$10*L198))</x:f>
        <x:v>0.5082378878269647</x:v>
      </x:c>
      <x:c r="AI198" t="n">
        <x:f>'_曲线基线'!$L$4+AI$9*($H$10*H198+$I$10*I198+$J$10*J198+$K$10*K198+$L$10*L198)</x:f>
        <x:v>3.2765198303751157</x:v>
      </x:c>
      <x:c r="AJ198" t="n">
        <x:f>1+AJ$9*($H$10*H198+$I$10*I198+$J$10*J198+$K$10*K198+$L$10*L198)</x:f>
        <x:v>2.0474008864616335</x:v>
      </x:c>
      <x:c r="AK198" t="n">
        <x:f>(1+AH198*(AI198-1))*AJ198</x:f>
        <x:v>4.416271618552742</x:v>
      </x:c>
      <x:c r="AL198" t="n">
        <x:f>U198*AD198*AK198*F198</x:f>
        <x:v>2103958.7268820675</x:v>
      </x:c>
      <x:c r="AM198" t="n">
        <x:f>IF($B198&lt;AM$8,0,AM$3+(AM$4-AM$3)*(POWER(AM$5,$B198-AM$8)-1)/(POWER(AM$5,$C$5-AM$8)-1))</x:f>
        <x:v>42.20186907694273</x:v>
      </x:c>
      <x:c r="AN198" t="n">
        <x:f>(((E198*'模块规划'!$D$10+G198*'模块规划'!$D$11+H198*'模块规划'!$D$13)*(1+'模块规划'!$G$14*H198)+(I198*'模块规划'!$D$15+J198*'模块规划'!$D$17+K198*'模块规划'!$D$16+L198*'模块规划'!$D$18))*(1+'模块规划'!$J$17*J198))*F198/(1-Q198)</x:f>
        <x:v>2628053.7744329553</x:v>
      </x:c>
      <x:c r="AO198" t="n">
        <x:f>AL198*AM198</x:f>
        <x:v>88790990.73516811</x:v>
      </x:c>
      <x:c r="AP198" t="n">
        <x:f>IF(AO198="","",INDEX('_曲线基线'!$A$3:$A$502,MIN(ROWS('_曲线基线'!$A$3:$A$502),COUNTIF('_曲线基线'!$E$3:$E$502,"&lt;"&amp;AO198)+1)))</x:f>
        <x:v>284</x:v>
      </x:c>
      <x:c r="AQ198" t="n">
        <x:f>IF(B198&lt;=2,1,IF(B198&lt;=6,2,IF(B198&lt;=9,3,IF(B198&lt;=19,4,5))))</x:f>
        <x:v>5</x:v>
      </x:c>
      <x:c r="AR198" t="n">
        <x:f>AN198*(1-Q198)/F198*$AS$3+U198*$AS$4+P198*$AS$5</x:f>
        <x:v>16753.25668362402</x:v>
      </x:c>
      <x:c r="AS198" t="n">
        <x:f>1+AH198*$AS$6+AI198*$AS$7+(AJ198-1)*$AS$8+($H$10*H198+$I$10*I198+$J$10*J198+$K$10*K198+$L$10*L198)*$AU$3*$AS$9+($H$10*H198+$I$10*I198+$J$10*J198+$K$10*K198+$L$10*L198)*$AU$4*$AS$10</x:f>
        <x:v>17.016847899103816</x:v>
      </x:c>
      <x:c r="AT198" t="n">
        <x:f>ROUND(AR198*AS198,0)</x:f>
        <x:v>285088</x:v>
      </x:c>
      <x:c r="AU198" t="n">
        <x:f>ROUND(AT198*F198,0)</x:f>
        <x:v>1425440</x:v>
      </x:c>
    </x:row>
    <x:row r="199">
      <x:c r="A199" t="str">
        <x:f>IFERROR(XLOOKUP(B199,'_曲线基线'!$G$3:$G$107,'_曲线基线'!$J$3:$J$107,""),"")</x:f>
      </x:c>
      <x:c r="B199" t="n">
        <x:v>188</x:v>
      </x:c>
      <x:c r="C199" t="n">
        <x:f>C184+1</x:f>
        <x:v>13</x:v>
      </x:c>
      <x:c r="D199" t="n">
        <x:f>D184</x:f>
        <x:v>14</x:v>
      </x:c>
      <x:c r="E199" t="n">
        <x:f>IF($B199&lt;E$8,0,E$3+(E$4-E$3)*(POWER(E$5,$B199-E$8)-1)/(POWER(E$5,$C$5-E$8)-1))</x:f>
        <x:v>1</x:v>
      </x:c>
      <x:c r="F199" t="n">
        <x:f>1+IF(B199&lt;3,0,MIN(1,(B199-2)/4))+IF(B199&lt;7,0,MIN(1,(B199-6)/3))+IF(B199&lt;10,0,MIN(1,(B199-9)/5))+IF(B199&lt;20,0,MIN(1,(B199-19)/10))</x:f>
        <x:v>5</x:v>
      </x:c>
      <x:c r="G199" t="n">
        <x:f>IF($B199&lt;G$8,0,G$3+(G$4-G$3)*(POWER(G$5,$B199-G$8)-1)/(POWER(G$5,$C$5-G$8)-1))</x:f>
        <x:v>0.8595579764940947</x:v>
      </x:c>
      <x:c r="H199" t="n">
        <x:f>IF($B199&lt;H$8,0,H$3+(H$4-H$3)*(POWER(H$5,$B199-H$8)-1)/(POWER(H$5,$C$5-H$8)-1))</x:f>
        <x:v>0.6824103463803984</x:v>
      </x:c>
      <x:c r="I199" t="n">
        <x:f>IF($B199&lt;I$8,0,I$3+(I$4-I$3)*(POWER(I$5,$B199-I$8)-1)/(POWER(I$5,$C$5-I$8)-1))</x:f>
        <x:v>0.6047740279861129</x:v>
      </x:c>
      <x:c r="J199" t="n">
        <x:f>IF($B199&lt;J$8,0,J$3+(J$4-J$3)*(POWER(J$5,$B199-J$8)-1)/(POWER(J$5,$C$5-J$8)-1))</x:f>
        <x:v>0.579131957764032</x:v>
      </x:c>
      <x:c r="K199" t="n">
        <x:f>IF($B199&lt;K$8,0,K$3+(K$4-K$3)*(POWER(K$5,$B199-K$8)-1)/(POWER(K$5,$C$5-K$8)-1))</x:f>
        <x:v>0.5550695729699835</x:v>
      </x:c>
      <x:c r="L199" t="n">
        <x:f>IF($B199&lt;L$8,0,L$3+(L$4-L$3)*(POWER(L$5,$B199-L$8)-1)/(POWER(L$5,$C$5-L$8)-1))</x:f>
        <x:v>0.6820496326656508</x:v>
      </x:c>
      <x:c r="M199" t="n">
        <x:f>E199*'模块规划'!$F$10+G199*'模块规划'!$F$11+H199*'模块规划'!$F$13</x:f>
        <x:v>5125.878287171655</x:v>
      </x:c>
      <x:c r="N199" t="n">
        <x:f>I199*'模块规划'!$F$15+J199*'模块规划'!$F$17+K199*'模块规划'!$F$16+L199*'模块规划'!$F$18</x:f>
        <x:v>17370.17740267738</x:v>
      </x:c>
      <x:c r="O199" t="n">
        <x:f>1+O$9*SUMPRODUCT($H$10:$L$10,H199:L199)/SUM($H$10:$L$10)</x:f>
        <x:v>3.285474493492285</x:v>
      </x:c>
      <x:c r="P199" t="n">
        <x:f>M199*O199+N199</x:f>
        <x:v>34211.119771925776</x:v>
      </x:c>
      <x:c r="Q199" t="n">
        <x:f>P199/(P199+'_曲线基线'!$L$2)</x:f>
        <x:v>0.5877076391240494</x:v>
      </x:c>
      <x:c r="R199" t="n">
        <x:f>E199*'模块规划'!$E$10+G199*'模块规划'!$E$11+H199*'模块规划'!$E$13</x:f>
        <x:v>7688.817430757482</x:v>
      </x:c>
      <x:c r="S199" t="n">
        <x:f>I199*'模块规划'!$E$15+J199*'模块规划'!$E$17+K199*'模块规划'!$E$16+L199*'模块规划'!$E$18</x:f>
        <x:v>26055.266104016067</x:v>
      </x:c>
      <x:c r="T199" t="n">
        <x:f>1+T$9*SUMPRODUCT($H$10:$L$10,H199:L199)/SUM($H$10:$L$10)</x:f>
        <x:v>3.285474493492285</x:v>
      </x:c>
      <x:c r="U199" t="n">
        <x:f>R199*T199+S199</x:f>
        <x:v>51316.67965788866</x:v>
      </x:c>
      <x:c r="V199" t="n">
        <x:f>V$8+(V$9-V$8)*H199</x:f>
        <x:v>0.9047231039141195</x:v>
      </x:c>
      <x:c r="W199" t="n">
        <x:f>IF(B199&lt;$H$8,0,W$8+(W$9-W$8)*H199)</x:f>
        <x:v>0.2729641385521594</x:v>
      </x:c>
      <x:c r="X199" t="n">
        <x:f>X$8+(X$9-X$8)*H199</x:f>
        <x:v>0.4626628452546096</x:v>
      </x:c>
      <x:c r="Y199" t="n">
        <x:f>Y$8+(Y$9-Y$8)*G199</x:f>
        <x:v>1</x:v>
      </x:c>
      <x:c r="Z199" t="n">
        <x:f>Z$8+(Z$9-Z$8)*H199</x:f>
        <x:v>1</x:v>
      </x:c>
      <x:c r="AA199" t="n">
        <x:f>AA$8+(AA$9-AA$8)*I199</x:f>
        <x:v>1</x:v>
      </x:c>
      <x:c r="AB199" t="n">
        <x:f>AB$8+(AB$9-AB$8)*J199</x:f>
        <x:v>1</x:v>
      </x:c>
      <x:c r="AC199" t="n">
        <x:f>AC$8+(AC$9-AC$8)*MAX(K199,L199)</x:f>
        <x:v>1</x:v>
      </x:c>
      <x:c r="AD199" t="n">
        <x:f>(V199*AE199+W199*AF199+X199*AG199)*PRODUCT(Y199:AC199)</x:f>
        <x:v>1.860804368502887</x:v>
      </x:c>
      <x:c r="AE199" t="n">
        <x:f>1+AE$9*($H$10*H199+$I$10*I199+$J$10*J199+$K$10*K199+$L$10*L199)</x:f>
        <x:v>1</x:v>
      </x:c>
      <x:c r="AF199" t="n">
        <x:f>1+AF$9*($H$10*H199+$I$10*I199+$J$10*J199+$K$10*K199+$L$10*L199)</x:f>
        <x:v>1.2017139431503314</x:v>
      </x:c>
      <x:c r="AG199" t="n">
        <x:f>1+AG$9*($H$10*H199+$I$10*I199+$J$10*J199+$K$10*K199+$L$10*L199)</x:f>
        <x:v>1.35748193258309</x:v>
      </x:c>
      <x:c r="AH199" t="n">
        <x:f>MIN(1,'_曲线基线'!$L$3+AH$9*($H$10*H199+$I$10*I199+$J$10*J199+$K$10*K199+$L$10*L199))</x:f>
        <x:v>0.5088992206670034</x:v>
      </x:c>
      <x:c r="AI199" t="n">
        <x:f>'_曲线基线'!$L$4+AI$9*($H$10*H199+$I$10*I199+$J$10*J199+$K$10*K199+$L$10*L199)</x:f>
        <x:v>3.2783621147152235</x:v>
      </x:c>
      <x:c r="AJ199" t="n">
        <x:f>1+AJ$9*($H$10*H199+$I$10*I199+$J$10*J199+$K$10*K199+$L$10*L199)</x:f>
        <x:v>2.0489125043817222</x:v>
      </x:c>
      <x:c r="AK199" t="n">
        <x:f>(1+AH199*(AI199-1))*AJ199</x:f>
        <x:v>4.424537844676309</x:v>
      </x:c>
      <x:c r="AL199" t="n">
        <x:f>U199*AD199*AK199*F199</x:f>
        <x:v>2112502.26801231</x:v>
      </x:c>
      <x:c r="AM199" t="n">
        <x:f>IF($B199&lt;AM$8,0,AM$3+(AM$4-AM$3)*(POWER(AM$5,$B199-AM$8)-1)/(POWER(AM$5,$C$5-AM$8)-1))</x:f>
        <x:v>42.28731240763402</x:v>
      </x:c>
      <x:c r="AN199" t="n">
        <x:f>(((E199*'模块规划'!$D$10+G199*'模块规划'!$D$11+H199*'模块规划'!$D$13)*(1+'模块规划'!$G$14*H199)+(I199*'模块规划'!$D$15+J199*'模块规划'!$D$17+K199*'模块规划'!$D$16+L199*'模块规划'!$D$18))*(1+'模块规划'!$J$17*J199))*F199/(1-Q199)</x:f>
        <x:v>2635621.998596308</x:v>
      </x:c>
      <x:c r="AO199" t="n">
        <x:f>AL199*AM199</x:f>
        <x:v>89332043.36927196</x:v>
      </x:c>
      <x:c r="AP199" t="n">
        <x:f>IF(AO199="","",INDEX('_曲线基线'!$A$3:$A$502,MIN(ROWS('_曲线基线'!$A$3:$A$502),COUNTIF('_曲线基线'!$E$3:$E$502,"&lt;"&amp;AO199)+1)))</x:f>
        <x:v>284</x:v>
      </x:c>
      <x:c r="AQ199" t="n">
        <x:f>IF(B199&lt;=2,1,IF(B199&lt;=6,2,IF(B199&lt;=9,3,IF(B199&lt;=19,4,5))))</x:f>
        <x:v>5</x:v>
      </x:c>
      <x:c r="AR199" t="n">
        <x:f>AN199*(1-Q199)/F199*$AS$3+U199*$AS$4+P199*$AS$5</x:f>
        <x:v>16783.21682864491</x:v>
      </x:c>
      <x:c r="AS199" t="n">
        <x:f>1+AH199*$AS$6+AI199*$AS$7+(AJ199-1)*$AS$8+($H$10*H199+$I$10*I199+$J$10*J199+$K$10*K199+$L$10*L199)*$AU$3*$AS$9+($H$10*H199+$I$10*I199+$J$10*J199+$K$10*K199+$L$10*L199)*$AU$4*$AS$10</x:f>
        <x:v>17.034217300700192</x:v>
      </x:c>
      <x:c r="AT199" t="n">
        <x:f>ROUND(AR199*AS199,0)</x:f>
        <x:v>285889</x:v>
      </x:c>
      <x:c r="AU199" t="n">
        <x:f>ROUND(AT199*F199,0)</x:f>
        <x:v>1429445</x:v>
      </x:c>
    </x:row>
    <x:row r="200">
      <x:c r="A200" t="str">
        <x:f>IFERROR(XLOOKUP(B200,'_曲线基线'!$G$3:$G$107,'_曲线基线'!$J$3:$J$107,""),"")</x:f>
      </x:c>
      <x:c r="B200" t="n">
        <x:v>189</x:v>
      </x:c>
      <x:c r="C200" t="n">
        <x:f>C185+1</x:f>
        <x:v>13</x:v>
      </x:c>
      <x:c r="D200" t="n">
        <x:f>D185</x:f>
        <x:v>15</x:v>
      </x:c>
      <x:c r="E200" t="n">
        <x:f>IF($B200&lt;E$8,0,E$3+(E$4-E$3)*(POWER(E$5,$B200-E$8)-1)/(POWER(E$5,$C$5-E$8)-1))</x:f>
        <x:v>1</x:v>
      </x:c>
      <x:c r="F200" t="n">
        <x:f>1+IF(B200&lt;3,0,MIN(1,(B200-2)/4))+IF(B200&lt;7,0,MIN(1,(B200-6)/3))+IF(B200&lt;10,0,MIN(1,(B200-9)/5))+IF(B200&lt;20,0,MIN(1,(B200-19)/10))</x:f>
        <x:v>5</x:v>
      </x:c>
      <x:c r="G200" t="n">
        <x:f>IF($B200&lt;G$8,0,G$3+(G$4-G$3)*(POWER(G$5,$B200-G$8)-1)/(POWER(G$5,$C$5-G$8)-1))</x:f>
        <x:v>0.8603697973011791</x:v>
      </x:c>
      <x:c r="H200" t="n">
        <x:f>IF($B200&lt;H$8,0,H$3+(H$4-H$3)*(POWER(H$5,$B200-H$8)-1)/(POWER(H$5,$C$5-H$8)-1))</x:f>
        <x:v>0.6828286816923018</x:v>
      </x:c>
      <x:c r="I200" t="n">
        <x:f>IF($B200&lt;I$8,0,I$3+(I$4-I$3)*(POWER(I$5,$B200-I$8)-1)/(POWER(I$5,$C$5-I$8)-1))</x:f>
        <x:v>0.6058496387694589</x:v>
      </x:c>
      <x:c r="J200" t="n">
        <x:f>IF($B200&lt;J$8,0,J$3+(J$4-J$3)*(POWER(J$5,$B200-J$8)-1)/(POWER(J$5,$C$5-J$8)-1))</x:f>
        <x:v>0.5796282631004753</x:v>
      </x:c>
      <x:c r="K200" t="n">
        <x:f>IF($B200&lt;K$8,0,K$3+(K$4-K$3)*(POWER(K$5,$B200-K$8)-1)/(POWER(K$5,$C$5-K$8)-1))</x:f>
        <x:v>0.5573273064455572</x:v>
      </x:c>
      <x:c r="L200" t="n">
        <x:f>IF($B200&lt;L$8,0,L$3+(L$4-L$3)*(POWER(L$5,$B200-L$8)-1)/(POWER(L$5,$C$5-L$8)-1))</x:f>
        <x:v>0.6824765468437234</x:v>
      </x:c>
      <x:c r="M200" t="n">
        <x:f>E200*'模块规划'!$F$10+G200*'模块规划'!$F$11+H200*'模块规划'!$F$13</x:f>
        <x:v>5129.77502704566</x:v>
      </x:c>
      <x:c r="N200" t="n">
        <x:f>I200*'模块规划'!$F$15+J200*'模块规划'!$F$17+K200*'模块规划'!$F$16+L200*'模块规划'!$F$18</x:f>
        <x:v>17399.426314052384</x:v>
      </x:c>
      <x:c r="O200" t="n">
        <x:f>1+O$9*SUMPRODUCT($H$10:$L$10,H200:L200)/SUM($H$10:$L$10)</x:f>
        <x:v>3.2887022831335755</x:v>
      </x:c>
      <x:c r="P200" t="n">
        <x:f>M200*O200+N200</x:f>
        <x:v>34269.72915745905</x:v>
      </x:c>
      <x:c r="Q200" t="n">
        <x:f>P200/(P200+'_曲线基线'!$L$2)</x:f>
        <x:v>0.5881223347521295</x:v>
      </x:c>
      <x:c r="R200" t="n">
        <x:f>E200*'模块规划'!$E$10+G200*'模块规划'!$E$11+H200*'模块规划'!$E$13</x:f>
        <x:v>7694.66254056849</x:v>
      </x:c>
      <x:c r="S200" t="n">
        <x:f>I200*'模块规划'!$E$15+J200*'模块规划'!$E$17+K200*'模块规划'!$E$16+L200*'模块规划'!$E$18</x:f>
        <x:v>26099.139471078575</x:v>
      </x:c>
      <x:c r="T200" t="n">
        <x:f>1+T$9*SUMPRODUCT($H$10:$L$10,H200:L200)/SUM($H$10:$L$10)</x:f>
        <x:v>3.2887022831335755</x:v>
      </x:c>
      <x:c r="U200" t="n">
        <x:f>R200*T200+S200</x:f>
        <x:v>51404.593736188566</x:v>
      </x:c>
      <x:c r="V200" t="n">
        <x:f>V$8+(V$9-V$8)*H200</x:f>
        <x:v>0.9048486045076906</x:v>
      </x:c>
      <x:c r="W200" t="n">
        <x:f>IF(B200&lt;$H$8,0,W$8+(W$9-W$8)*H200)</x:f>
        <x:v>0.27313147267692073</x:v>
      </x:c>
      <x:c r="X200" t="n">
        <x:f>X$8+(X$9-X$8)*H200</x:f>
        <x:v>0.46277788746538306</x:v>
      </x:c>
      <x:c r="Y200" t="n">
        <x:f>Y$8+(Y$9-Y$8)*G200</x:f>
        <x:v>1</x:v>
      </x:c>
      <x:c r="Z200" t="n">
        <x:f>Z$8+(Z$9-Z$8)*H200</x:f>
        <x:v>1</x:v>
      </x:c>
      <x:c r="AA200" t="n">
        <x:f>AA$8+(AA$9-AA$8)*I200</x:f>
        <x:v>1</x:v>
      </x:c>
      <x:c r="AB200" t="n">
        <x:f>AB$8+(AB$9-AB$8)*J200</x:f>
        <x:v>1</x:v>
      </x:c>
      <x:c r="AC200" t="n">
        <x:f>AC$8+(AC$9-AC$8)*MAX(K200,L200)</x:f>
        <x:v>1</x:v>
      </x:c>
      <x:c r="AD200" t="n">
        <x:f>(V200*AE200+W200*AF200+X200*AG200)*PRODUCT(Y200:AC200)</x:f>
        <x:v>1.8615985792547594</x:v>
      </x:c>
      <x:c r="AE200" t="n">
        <x:f>1+AE$9*($H$10*H200+$I$10*I200+$J$10*J200+$K$10*K200+$L$10*L200)</x:f>
        <x:v>1</x:v>
      </x:c>
      <x:c r="AF200" t="n">
        <x:f>1+AF$9*($H$10*H200+$I$10*I200+$J$10*J200+$K$10*K200+$L$10*L200)</x:f>
        <x:v>1.2019988249891174</x:v>
      </x:c>
      <x:c r="AG200" t="n">
        <x:f>1+AG$9*($H$10*H200+$I$10*I200+$J$10*J200+$K$10*K200+$L$10*L200)</x:f>
        <x:v>1.3579868065084941</x:v>
      </x:c>
      <x:c r="AH200" t="n">
        <x:f>MIN(1,'_曲线基线'!$L$3+AH$9*($H$10*H200+$I$10*I200+$J$10*J200+$K$10*K200+$L$10*L200))</x:f>
        <x:v>0.5095473268502415</x:v>
      </x:c>
      <x:c r="AI200" t="n">
        <x:f>'_曲线基线'!$L$4+AI$9*($H$10*H200+$I$10*I200+$J$10*J200+$K$10*K200+$L$10*L200)</x:f>
        <x:v>3.28016755336853</x:v>
      </x:c>
      <x:c r="AJ200" t="n">
        <x:f>1+AJ$9*($H$10*H200+$I$10*I200+$J$10*J200+$K$10*K200+$L$10*L200)</x:f>
        <x:v>2.0503938899434093</x:v>
      </x:c>
      <x:c r="AK200" t="n">
        <x:f>(1+AH200*(AI200-1))*AJ200</x:f>
        <x:v>4.432650759525403</x:v>
      </x:c>
      <x:c r="AL200" t="n">
        <x:f>U200*AD200*AK200*F200</x:f>
        <x:v>2120906.3368971962</x:v>
      </x:c>
      <x:c r="AM200" t="n">
        <x:f>IF($B200&lt;AM$8,0,AM$3+(AM$4-AM$3)*(POWER(AM$5,$B200-AM$8)-1)/(POWER(AM$5,$C$5-AM$8)-1))</x:f>
        <x:v>42.37361017163223</x:v>
      </x:c>
      <x:c r="AN200" t="n">
        <x:f>(((E200*'模块规划'!$D$10+G200*'模块规划'!$D$11+H200*'模块规划'!$D$13)*(1+'模块规划'!$G$14*H200)+(I200*'模块规划'!$D$15+J200*'模块规划'!$D$17+K200*'模块规划'!$D$16+L200*'模块规划'!$D$18))*(1+'模块规划'!$J$17*J200))*F200/(1-Q200)</x:f>
        <x:v>2643058.973004798</x:v>
      </x:c>
      <x:c r="AO200" t="n">
        <x:f>AL200*AM200</x:f>
        <x:v>89870458.33022629</x:v>
      </x:c>
      <x:c r="AP200" t="n">
        <x:f>IF(AO200="","",INDEX('_曲线基线'!$A$3:$A$502,MIN(ROWS('_曲线基线'!$A$3:$A$502),COUNTIF('_曲线基线'!$E$3:$E$502,"&lt;"&amp;AO200)+1)))</x:f>
        <x:v>285</x:v>
      </x:c>
      <x:c r="AQ200" t="n">
        <x:f>IF(B200&lt;=2,1,IF(B200&lt;=6,2,IF(B200&lt;=9,3,IF(B200&lt;=19,4,5))))</x:f>
        <x:v>5</x:v>
      </x:c>
      <x:c r="AR200" t="n">
        <x:f>AN200*(1-Q200)/F200*$AS$3+U200*$AS$4+P200*$AS$5</x:f>
        <x:v>16812.62050071962</x:v>
      </x:c>
      <x:c r="AS200" t="n">
        <x:f>1+AH200*$AS$6+AI200*$AS$7+(AJ200-1)*$AS$8+($H$10*H200+$I$10*I200+$J$10*J200+$K$10*K200+$L$10*L200)*$AU$3*$AS$9+($H$10*H200+$I$10*I200+$J$10*J200+$K$10*K200+$L$10*L200)*$AU$4*$AS$10</x:f>
        <x:v>17.051239314264645</x:v>
      </x:c>
      <x:c r="AT200" t="n">
        <x:f>ROUND(AR200*AS200,0)</x:f>
        <x:v>286676</x:v>
      </x:c>
      <x:c r="AU200" t="n">
        <x:f>ROUND(AT200*F200,0)</x:f>
        <x:v>1433380</x:v>
      </x:c>
    </x:row>
    <x:row r="201">
      <x:c r="A201" t="str">
        <x:f>IFERROR(XLOOKUP(B201,'_曲线基线'!$G$3:$G$107,'_曲线基线'!$J$3:$J$107,""),"")</x:f>
      </x:c>
      <x:c r="B201" t="n">
        <x:v>190</x:v>
      </x:c>
      <x:c r="C201" t="n">
        <x:f>C186+1</x:f>
        <x:v>14</x:v>
      </x:c>
      <x:c r="D201" t="n">
        <x:f>D186</x:f>
        <x:v>1</x:v>
      </x:c>
      <x:c r="E201" t="n">
        <x:f>IF($B201&lt;E$8,0,E$3+(E$4-E$3)*(POWER(E$5,$B201-E$8)-1)/(POWER(E$5,$C$5-E$8)-1))</x:f>
        <x:v>1</x:v>
      </x:c>
      <x:c r="F201" t="n">
        <x:f>1+IF(B201&lt;3,0,MIN(1,(B201-2)/4))+IF(B201&lt;7,0,MIN(1,(B201-6)/3))+IF(B201&lt;10,0,MIN(1,(B201-9)/5))+IF(B201&lt;20,0,MIN(1,(B201-19)/10))</x:f>
        <x:v>5</x:v>
      </x:c>
      <x:c r="G201" t="n">
        <x:f>IF($B201&lt;G$8,0,G$3+(G$4-G$3)*(POWER(G$5,$B201-G$8)-1)/(POWER(G$5,$C$5-G$8)-1))</x:f>
        <x:v>0.8611694407961573</x:v>
      </x:c>
      <x:c r="H201" t="n">
        <x:f>IF($B201&lt;H$8,0,H$3+(H$4-H$3)*(POWER(H$5,$B201-H$8)-1)/(POWER(H$5,$C$5-H$8)-1))</x:f>
        <x:v>0.6832386502979672</x:v>
      </x:c>
      <x:c r="I201" t="n">
        <x:f>IF($B201&lt;I$8,0,I$3+(I$4-I$3)*(POWER(I$5,$B201-I$8)-1)/(POWER(I$5,$C$5-I$8)-1))</x:f>
        <x:v>0.6069037373371378</x:v>
      </x:c>
      <x:c r="J201" t="n">
        <x:f>IF($B201&lt;J$8,0,J$3+(J$4-J$3)*(POWER(J$5,$B201-J$8)-1)/(POWER(J$5,$C$5-J$8)-1))</x:f>
        <x:v>0.5801146423301896</x:v>
      </x:c>
      <x:c r="K201" t="n">
        <x:f>IF($B201&lt;K$8,0,K$3+(K$4-K$3)*(POWER(K$5,$B201-K$8)-1)/(POWER(K$5,$C$5-K$8)-1))</x:f>
        <x:v>0.5595398852516197</x:v>
      </x:c>
      <x:c r="L201" t="n">
        <x:f>IF($B201&lt;L$8,0,L$3+(L$4-L$3)*(POWER(L$5,$B201-L$8)-1)/(POWER(L$5,$C$5-L$8)-1))</x:f>
        <x:v>0.6828949227382346</x:v>
      </x:c>
      <x:c r="M201" t="n">
        <x:f>E201*'模块规划'!$F$10+G201*'模块规划'!$F$11+H201*'模块规划'!$F$13</x:f>
        <x:v>5133.613315821555</x:v>
      </x:c>
      <x:c r="N201" t="n">
        <x:f>I201*'模块规划'!$F$15+J201*'模块规划'!$F$17+K201*'模块规划'!$F$16+L201*'模块规划'!$F$18</x:f>
        <x:v>17428.09024719989</x:v>
      </x:c>
      <x:c r="O201" t="n">
        <x:f>1+O$9*SUMPRODUCT($H$10:$L$10,H201:L201)/SUM($H$10:$L$10)</x:f>
        <x:v>3.29186551698204</x:v>
      </x:c>
      <x:c r="P201" t="n">
        <x:f>M201*O201+N201</x:f>
        <x:v>34327.254899072694</x:v>
      </x:c>
      <x:c r="Q201" t="n">
        <x:f>P201/(P201+'_曲线基线'!$L$2)</x:f>
        <x:v>0.5885285525346821</x:v>
      </x:c>
      <x:c r="R201" t="n">
        <x:f>E201*'模块规划'!$E$10+G201*'模块规划'!$E$11+H201*'模块规划'!$E$13</x:f>
        <x:v>7700.419973732332</x:v>
      </x:c>
      <x:c r="S201" t="n">
        <x:f>I201*'模块规划'!$E$15+J201*'模块规划'!$E$17+K201*'模块规划'!$E$16+L201*'模块规划'!$E$18</x:f>
        <x:v>26142.13537079983</x:v>
      </x:c>
      <x:c r="T201" t="n">
        <x:f>1+T$9*SUMPRODUCT($H$10:$L$10,H201:L201)/SUM($H$10:$L$10)</x:f>
        <x:v>3.29186551698204</x:v>
      </x:c>
      <x:c r="U201" t="n">
        <x:f>R201*T201+S201</x:f>
        <x:v>51490.88234860904</x:v>
      </x:c>
      <x:c r="V201" t="n">
        <x:f>V$8+(V$9-V$8)*H201</x:f>
        <x:v>0.9049715950893902</x:v>
      </x:c>
      <x:c r="W201" t="n">
        <x:f>IF(B201&lt;$H$8,0,W$8+(W$9-W$8)*H201)</x:f>
        <x:v>0.2732954601191869</x:v>
      </x:c>
      <x:c r="X201" t="n">
        <x:f>X$8+(X$9-X$8)*H201</x:f>
        <x:v>0.462890628831941</x:v>
      </x:c>
      <x:c r="Y201" t="n">
        <x:f>Y$8+(Y$9-Y$8)*G201</x:f>
        <x:v>1</x:v>
      </x:c>
      <x:c r="Z201" t="n">
        <x:f>Z$8+(Z$9-Z$8)*H201</x:f>
        <x:v>1</x:v>
      </x:c>
      <x:c r="AA201" t="n">
        <x:f>AA$8+(AA$9-AA$8)*I201</x:f>
        <x:v>1</x:v>
      </x:c>
      <x:c r="AB201" t="n">
        <x:f>AB$8+(AB$9-AB$8)*J201</x:f>
        <x:v>1</x:v>
      </x:c>
      <x:c r="AC201" t="n">
        <x:f>AC$8+(AC$9-AC$8)*MAX(K201,L201)</x:f>
        <x:v>1</x:v>
      </x:c>
      <x:c r="AD201" t="n">
        <x:f>(V201*AE201+W201*AF201+X201*AG201)*PRODUCT(Y201:AC201)</x:f>
        <x:v>1.8623771109932905</x:v>
      </x:c>
      <x:c r="AE201" t="n">
        <x:f>1+AE$9*($H$10*H201+$I$10*I201+$J$10*J201+$K$10*K201+$L$10*L201)</x:f>
        <x:v>1</x:v>
      </x:c>
      <x:c r="AF201" t="n">
        <x:f>1+AF$9*($H$10*H201+$I$10*I201+$J$10*J201+$K$10*K201+$L$10*L201)</x:f>
        <x:v>1.2022780091911276</x:v>
      </x:c>
      <x:c r="AG201" t="n">
        <x:f>1+AG$9*($H$10*H201+$I$10*I201+$J$10*J201+$K$10*K201+$L$10*L201)</x:f>
        <x:v>1.35848158295539</x:v>
      </x:c>
      <x:c r="AH201" t="n">
        <x:f>MIN(1,'_曲线基线'!$L$3+AH$9*($H$10*H201+$I$10*I201+$J$10*J201+$K$10*K201+$L$10*L201))</x:f>
        <x:v>0.5101824709098147</x:v>
      </x:c>
      <x:c r="AI201" t="n">
        <x:f>'_曲线基线'!$L$4+AI$9*($H$10*H201+$I$10*I201+$J$10*J201+$K$10*K201+$L$10*L201)</x:f>
        <x:v>3.2819368832487696</x:v>
      </x:c>
      <x:c r="AJ201" t="n">
        <x:f>1+AJ$9*($H$10*H201+$I$10*I201+$J$10*J201+$K$10*K201+$L$10*L201)</x:f>
        <x:v>2.0518456477938622</x:v>
      </x:c>
      <x:c r="AK201" t="n">
        <x:f>(1+AH201*(AI201-1))*AJ201</x:f>
        <x:v>4.440612963692688</x:v>
      </x:c>
      <x:c r="AL201" t="n">
        <x:f>U201*AD201*AK201*F201</x:f>
        <x:v>2129172.6858991846</x:v>
      </x:c>
      <x:c r="AM201" t="n">
        <x:f>IF($B201&lt;AM$8,0,AM$3+(AM$4-AM$3)*(POWER(AM$5,$B201-AM$8)-1)/(POWER(AM$5,$C$5-AM$8)-1))</x:f>
        <x:v>42.46077091327042</x:v>
      </x:c>
      <x:c r="AN201" t="n">
        <x:f>(((E201*'模块规划'!$D$10+G201*'模块规划'!$D$11+H201*'模块规划'!$D$13)*(1+'模块规划'!$G$14*H201)+(I201*'模块规划'!$D$15+J201*'模块规划'!$D$17+K201*'模块规划'!$D$16+L201*'模块规划'!$D$18))*(1+'模块规划'!$J$17*J201))*F201/(1-Q201)</x:f>
        <x:v>2650366.733784599</x:v>
      </x:c>
      <x:c r="AO201" t="n">
        <x:f>AL201*AM201</x:f>
        <x:v>90406313.65075795</x:v>
      </x:c>
      <x:c r="AP201" t="n">
        <x:f>IF(AO201="","",INDEX('_曲线基线'!$A$3:$A$502,MIN(ROWS('_曲线基线'!$A$3:$A$502),COUNTIF('_曲线基线'!$E$3:$E$502,"&lt;"&amp;AO201)+1)))</x:f>
        <x:v>285</x:v>
      </x:c>
      <x:c r="AQ201" t="n">
        <x:f>IF(B201&lt;=2,1,IF(B201&lt;=6,2,IF(B201&lt;=9,3,IF(B201&lt;=19,4,5))))</x:f>
        <x:v>5</x:v>
      </x:c>
      <x:c r="AR201" t="n">
        <x:f>AN201*(1-Q201)/F201*$AS$3+U201*$AS$4+P201*$AS$5</x:f>
        <x:v>16841.477887307465</x:v>
      </x:c>
      <x:c r="AS201" t="n">
        <x:f>1+AH201*$AS$6+AI201*$AS$7+(AJ201-1)*$AS$8+($H$10*H201+$I$10*I201+$J$10*J201+$K$10*K201+$L$10*L201)*$AU$3*$AS$9+($H$10*H201+$I$10*I201+$J$10*J201+$K$10*K201+$L$10*L201)*$AU$4*$AS$10</x:f>
        <x:v>17.0679208875578</x:v>
      </x:c>
      <x:c r="AT201" t="n">
        <x:f>ROUND(AR201*AS201,0)</x:f>
        <x:v>287449</x:v>
      </x:c>
      <x:c r="AU201" t="n">
        <x:f>ROUND(AT201*F201,0)</x:f>
        <x:v>1437245</x:v>
      </x:c>
    </x:row>
    <x:row r="202">
      <x:c r="A202" t="str">
        <x:f>IFERROR(XLOOKUP(B202,'_曲线基线'!$G$3:$G$107,'_曲线基线'!$J$3:$J$107,""),"")</x:f>
      </x:c>
      <x:c r="B202" t="n">
        <x:v>191</x:v>
      </x:c>
      <x:c r="C202" t="n">
        <x:f>C187+1</x:f>
        <x:v>14</x:v>
      </x:c>
      <x:c r="D202" t="n">
        <x:f>D187</x:f>
        <x:v>2</x:v>
      </x:c>
      <x:c r="E202" t="n">
        <x:f>IF($B202&lt;E$8,0,E$3+(E$4-E$3)*(POWER(E$5,$B202-E$8)-1)/(POWER(E$5,$C$5-E$8)-1))</x:f>
        <x:v>1</x:v>
      </x:c>
      <x:c r="F202" t="n">
        <x:f>1+IF(B202&lt;3,0,MIN(1,(B202-2)/4))+IF(B202&lt;7,0,MIN(1,(B202-6)/3))+IF(B202&lt;10,0,MIN(1,(B202-9)/5))+IF(B202&lt;20,0,MIN(1,(B202-19)/10))</x:f>
        <x:v>5</x:v>
      </x:c>
      <x:c r="G202" t="n">
        <x:f>IF($B202&lt;G$8,0,G$3+(G$4-G$3)*(POWER(G$5,$B202-G$8)-1)/(POWER(G$5,$C$5-G$8)-1))</x:f>
        <x:v>0.8619570896387108</x:v>
      </x:c>
      <x:c r="H202" t="n">
        <x:f>IF($B202&lt;H$8,0,H$3+(H$4-H$3)*(POWER(H$5,$B202-H$8)-1)/(POWER(H$5,$C$5-H$8)-1))</x:f>
        <x:v>0.6836404195315191</x:v>
      </x:c>
      <x:c r="I202" t="n">
        <x:f>IF($B202&lt;I$8,0,I$3+(I$4-I$3)*(POWER(I$5,$B202-I$8)-1)/(POWER(I$5,$C$5-I$8)-1))</x:f>
        <x:v>0.6079367539334634</x:v>
      </x:c>
      <x:c r="J202" t="n">
        <x:f>IF($B202&lt;J$8,0,J$3+(J$4-J$3)*(POWER(J$5,$B202-J$8)-1)/(POWER(J$5,$C$5-J$8)-1))</x:f>
        <x:v>0.5805912939753098</x:v>
      </x:c>
      <x:c r="K202" t="n">
        <x:f>IF($B202&lt;K$8,0,K$3+(K$4-K$3)*(POWER(K$5,$B202-K$8)-1)/(POWER(K$5,$C$5-K$8)-1))</x:f>
        <x:v>0.5617082124815608</x:v>
      </x:c>
      <x:c r="L202" t="n">
        <x:f>IF($B202&lt;L$8,0,L$3+(L$4-L$3)*(POWER(L$5,$B202-L$8)-1)/(POWER(L$5,$C$5-L$8)-1))</x:f>
        <x:v>0.6833049311148556</x:v>
      </x:c>
      <x:c r="M202" t="n">
        <x:f>E202*'模块规划'!$F$10+G202*'模块规划'!$F$11+H202*'模块规划'!$F$13</x:f>
        <x:v>5137.394030265812</x:v>
      </x:c>
      <x:c r="N202" t="n">
        <x:f>I202*'模块规划'!$F$15+J202*'模块规划'!$F$17+K202*'模块规划'!$F$16+L202*'模块规划'!$F$18</x:f>
        <x:v>17456.18090168445</x:v>
      </x:c>
      <x:c r="O202" t="n">
        <x:f>1+O$9*SUMPRODUCT($H$10:$L$10,H202:L202)/SUM($H$10:$L$10)</x:f>
        <x:v>3.294965486153535</x:v>
      </x:c>
      <x:c r="P202" t="n">
        <x:f>M202*O202+N202</x:f>
        <x:v>34383.71692018151</x:v>
      </x:c>
      <x:c r="Q202" t="n">
        <x:f>P202/(P202+'_曲线基线'!$L$2)</x:f>
        <x:v>0.5889264804292733</x:v>
      </x:c>
      <x:c r="R202" t="n">
        <x:f>E202*'模块规划'!$E$10+G202*'模块规划'!$E$11+H202*'模块规划'!$E$13</x:f>
        <x:v>7706.091045398717</x:v>
      </x:c>
      <x:c r="S202" t="n">
        <x:f>I202*'模块规划'!$E$15+J202*'模块规划'!$E$17+K202*'模块规划'!$E$16+L202*'模块规划'!$E$18</x:f>
        <x:v>26184.271352526674</x:v>
      </x:c>
      <x:c r="T202" t="n">
        <x:f>1+T$9*SUMPRODUCT($H$10:$L$10,H202:L202)/SUM($H$10:$L$10)</x:f>
        <x:v>3.294965486153535</x:v>
      </x:c>
      <x:c r="U202" t="n">
        <x:f>R202*T202+S202</x:f>
        <x:v>51575.57538027226</x:v>
      </x:c>
      <x:c r="V202" t="n">
        <x:f>V$8+(V$9-V$8)*H202</x:f>
        <x:v>0.9050921258594558</x:v>
      </x:c>
      <x:c r="W202" t="n">
        <x:f>IF(B202&lt;$H$8,0,W$8+(W$9-W$8)*H202)</x:f>
        <x:v>0.2734561678126077</x:v>
      </x:c>
      <x:c r="X202" t="n">
        <x:f>X$8+(X$9-X$8)*H202</x:f>
        <x:v>0.4630011153711678</x:v>
      </x:c>
      <x:c r="Y202" t="n">
        <x:f>Y$8+(Y$9-Y$8)*G202</x:f>
        <x:v>1</x:v>
      </x:c>
      <x:c r="Z202" t="n">
        <x:f>Z$8+(Z$9-Z$8)*H202</x:f>
        <x:v>1</x:v>
      </x:c>
      <x:c r="AA202" t="n">
        <x:f>AA$8+(AA$9-AA$8)*I202</x:f>
        <x:v>1</x:v>
      </x:c>
      <x:c r="AB202" t="n">
        <x:f>AB$8+(AB$9-AB$8)*J202</x:f>
        <x:v>1</x:v>
      </x:c>
      <x:c r="AC202" t="n">
        <x:f>AC$8+(AC$9-AC$8)*MAX(K202,L202)</x:f>
        <x:v>1</x:v>
      </x:c>
      <x:c r="AD202" t="n">
        <x:f>(V202*AE202+W202*AF202+X202*AG202)*PRODUCT(Y202:AC202)</x:f>
        <x:v>1.86314026917276</x:v>
      </x:c>
      <x:c r="AE202" t="n">
        <x:f>1+AE$9*($H$10*H202+$I$10*I202+$J$10*J202+$K$10*K202+$L$10*L202)</x:f>
        <x:v>1</x:v>
      </x:c>
      <x:c r="AF202" t="n">
        <x:f>1+AF$9*($H$10*H202+$I$10*I202+$J$10*J202+$K$10*K202+$L$10*L202)</x:f>
        <x:v>1.2025516097090976</x:v>
      </x:c>
      <x:c r="AG202" t="n">
        <x:f>1+AG$9*($H$10*H202+$I$10*I202+$J$10*J202+$K$10*K202+$L$10*L202)</x:f>
        <x:v>1.3589664638733479</x:v>
      </x:c>
      <x:c r="AH202" t="n">
        <x:f>MIN(1,'_曲线基线'!$L$3+AH$9*($H$10*H202+$I$10*I202+$J$10*J202+$K$10*K202+$L$10*L202))</x:f>
        <x:v>0.5108049120881966</x:v>
      </x:c>
      <x:c r="AI202" t="n">
        <x:f>'_曲线基线'!$L$4+AI$9*($H$10*H202+$I$10*I202+$J$10*J202+$K$10*K202+$L$10*L202)</x:f>
        <x:v>3.283670826531405</x:v>
      </x:c>
      <x:c r="AJ202" t="n">
        <x:f>1+AJ$9*($H$10*H202+$I$10*I202+$J$10*J202+$K$10*K202+$L$10*L202)</x:f>
        <x:v>2.0532683704873067</x:v>
      </x:c>
      <x:c r="AK202" t="n">
        <x:f>(1+AH202*(AI202-1))*AJ202</x:f>
        <x:v>4.448427023604566</x:v>
      </x:c>
      <x:c r="AL202" t="n">
        <x:f>U202*AD202*AK202*F202</x:f>
        <x:v>2137303.0671591517</x:v>
      </x:c>
      <x:c r="AM202" t="n">
        <x:f>IF($B202&lt;AM$8,0,AM$3+(AM$4-AM$3)*(POWER(AM$5,$B202-AM$8)-1)/(POWER(AM$5,$C$5-AM$8)-1))</x:f>
        <x:v>42.548803262324995</x:v>
      </x:c>
      <x:c r="AN202" t="n">
        <x:f>(((E202*'模块规划'!$D$10+G202*'模块规划'!$D$11+H202*'模块规划'!$D$13)*(1+'模块规划'!$G$14*H202)+(I202*'模块规划'!$D$15+J202*'模块规划'!$D$17+K202*'模块规划'!$D$16+L202*'模块规划'!$D$18))*(1+'模块规划'!$J$17*J202))*F202/(1-Q202)</x:f>
        <x:v>2657547.2955681174</x:v>
      </x:c>
      <x:c r="AO202" t="n">
        <x:f>AL202*AM202</x:f>
        <x:v>90939687.71651854</x:v>
      </x:c>
      <x:c r="AP202" t="n">
        <x:f>IF(AO202="","",INDEX('_曲线基线'!$A$3:$A$502,MIN(ROWS('_曲线基线'!$A$3:$A$502),COUNTIF('_曲线基线'!$E$3:$E$502,"&lt;"&amp;AO202)+1)))</x:f>
        <x:v>286</x:v>
      </x:c>
      <x:c r="AQ202" t="n">
        <x:f>IF(B202&lt;=2,1,IF(B202&lt;=6,2,IF(B202&lt;=9,3,IF(B202&lt;=19,4,5))))</x:f>
        <x:v>5</x:v>
      </x:c>
      <x:c r="AR202" t="n">
        <x:f>AN202*(1-Q202)/F202*$AS$3+U202*$AS$4+P202*$AS$5</x:f>
        <x:v>16869.798997343565</x:v>
      </x:c>
      <x:c r="AS202" t="n">
        <x:f>1+AH202*$AS$6+AI202*$AS$7+(AJ202-1)*$AS$8+($H$10*H202+$I$10*I202+$J$10*J202+$K$10*K202+$L$10*L202)*$AU$3*$AS$9+($H$10*H202+$I$10*I202+$J$10*J202+$K$10*K202+$L$10*L202)*$AU$4*$AS$10</x:f>
        <x:v>17.084268829385103</x:v>
      </x:c>
      <x:c r="AT202" t="n">
        <x:f>ROUND(AR202*AS202,0)</x:f>
        <x:v>288208</x:v>
      </x:c>
      <x:c r="AU202" t="n">
        <x:f>ROUND(AT202*F202,0)</x:f>
        <x:v>1441040</x:v>
      </x:c>
    </x:row>
    <x:row r="203">
      <x:c r="A203" t="str">
        <x:f>IFERROR(XLOOKUP(B203,'_曲线基线'!$G$3:$G$107,'_曲线基线'!$J$3:$J$107,""),"")</x:f>
      </x:c>
      <x:c r="B203" t="n">
        <x:v>192</x:v>
      </x:c>
      <x:c r="C203" t="n">
        <x:f>C188+1</x:f>
        <x:v>14</x:v>
      </x:c>
      <x:c r="D203" t="n">
        <x:f>D188</x:f>
        <x:v>3</x:v>
      </x:c>
      <x:c r="E203" t="n">
        <x:f>IF($B203&lt;E$8,0,E$3+(E$4-E$3)*(POWER(E$5,$B203-E$8)-1)/(POWER(E$5,$C$5-E$8)-1))</x:f>
        <x:v>1</x:v>
      </x:c>
      <x:c r="F203" t="n">
        <x:f>1+IF(B203&lt;3,0,MIN(1,(B203-2)/4))+IF(B203&lt;7,0,MIN(1,(B203-6)/3))+IF(B203&lt;10,0,MIN(1,(B203-9)/5))+IF(B203&lt;20,0,MIN(1,(B203-19)/10))</x:f>
        <x:v>5</x:v>
      </x:c>
      <x:c r="G203" t="n">
        <x:f>IF($B203&lt;G$8,0,G$3+(G$4-G$3)*(POWER(G$5,$B203-G$8)-1)/(POWER(G$5,$C$5-G$8)-1))</x:f>
        <x:v>0.8627329237486261</x:v>
      </x:c>
      <x:c r="H203" t="n">
        <x:f>IF($B203&lt;H$8,0,H$3+(H$4-H$3)*(POWER(H$5,$B203-H$8)-1)/(POWER(H$5,$C$5-H$8)-1))</x:f>
        <x:v>0.6840341533804001</x:v>
      </x:c>
      <x:c r="I203" t="n">
        <x:f>IF($B203&lt;I$8,0,I$3+(I$4-I$3)*(POWER(I$5,$B203-I$8)-1)/(POWER(I$5,$C$5-I$8)-1))</x:f>
        <x:v>0.6089491101978621</x:v>
      </x:c>
      <x:c r="J203" t="n">
        <x:f>IF($B203&lt;J$8,0,J$3+(J$4-J$3)*(POWER(J$5,$B203-J$8)-1)/(POWER(J$5,$C$5-J$8)-1))</x:f>
        <x:v>0.5810584125875276</x:v>
      </x:c>
      <x:c r="K203" t="n">
        <x:f>IF($B203&lt;K$8,0,K$3+(K$4-K$3)*(POWER(K$5,$B203-K$8)-1)/(POWER(K$5,$C$5-K$8)-1))</x:f>
        <x:v>0.5638331731669032</x:v>
      </x:c>
      <x:c r="L203" t="n">
        <x:f>IF($B203&lt;L$8,0,L$3+(L$4-L$3)*(POWER(L$5,$B203-L$8)-1)/(POWER(L$5,$C$5-L$8)-1))</x:f>
        <x:v>0.6837067393239442</x:v>
      </x:c>
      <x:c r="M203" t="n">
        <x:f>E203*'模块规划'!$F$10+G203*'模块规划'!$F$11+H203*'模块规划'!$F$13</x:f>
        <x:v>5141.118033993405</x:v>
      </x:c>
      <x:c r="N203" t="n">
        <x:f>I203*'模块规划'!$F$15+J203*'模块规划'!$F$17+K203*'模块规划'!$F$16+L203*'模块规划'!$F$18</x:f>
        <x:v>17483.709743079315</x:v>
      </x:c>
      <x:c r="O203" t="n">
        <x:f>1+O$9*SUMPRODUCT($H$10:$L$10,H203:L203)/SUM($H$10:$L$10)</x:f>
        <x:v>3.2980034559416014</x:v>
      </x:c>
      <x:c r="P203" t="n">
        <x:f>M203*O203+N203</x:f>
        <x:v>34439.13478659326</x:v>
      </x:c>
      <x:c r="Q203" t="n">
        <x:f>P203/(P203+'_曲线基线'!$L$2)</x:f>
        <x:v>0.5893163016933316</x:v>
      </x:c>
      <x:c r="R203" t="n">
        <x:f>E203*'模块规划'!$E$10+G203*'模块规划'!$E$11+H203*'模块规划'!$E$13</x:f>
        <x:v>7711.677050990108</x:v>
      </x:c>
      <x:c r="S203" t="n">
        <x:f>I203*'模块规划'!$E$15+J203*'模块规划'!$E$17+K203*'模块规划'!$E$16+L203*'模块规划'!$E$18</x:f>
        <x:v>26225.56461461897</x:v>
      </x:c>
      <x:c r="T203" t="n">
        <x:f>1+T$9*SUMPRODUCT($H$10:$L$10,H203:L203)/SUM($H$10:$L$10)</x:f>
        <x:v>3.2980034559416014</x:v>
      </x:c>
      <x:c r="U203" t="n">
        <x:f>R203*T203+S203</x:f>
        <x:v>51658.70217988988</x:v>
      </x:c>
      <x:c r="V203" t="n">
        <x:f>V$8+(V$9-V$8)*H203</x:f>
        <x:v>0.90521024601412</x:v>
      </x:c>
      <x:c r="W203" t="n">
        <x:f>IF(B203&lt;$H$8,0,W$8+(W$9-W$8)*H203)</x:f>
        <x:v>0.27361366135216003</x:v>
      </x:c>
      <x:c r="X203" t="n">
        <x:f>X$8+(X$9-X$8)*H203</x:f>
        <x:v>0.46310939217961006</x:v>
      </x:c>
      <x:c r="Y203" t="n">
        <x:f>Y$8+(Y$9-Y$8)*G203</x:f>
        <x:v>1</x:v>
      </x:c>
      <x:c r="Z203" t="n">
        <x:f>Z$8+(Z$9-Z$8)*H203</x:f>
        <x:v>1</x:v>
      </x:c>
      <x:c r="AA203" t="n">
        <x:f>AA$8+(AA$9-AA$8)*I203</x:f>
        <x:v>1</x:v>
      </x:c>
      <x:c r="AB203" t="n">
        <x:f>AB$8+(AB$9-AB$8)*J203</x:f>
        <x:v>1</x:v>
      </x:c>
      <x:c r="AC203" t="n">
        <x:f>AC$8+(AC$9-AC$8)*MAX(K203,L203)</x:f>
        <x:v>1</x:v>
      </x:c>
      <x:c r="AD203" t="n">
        <x:f>(V203*AE203+W203*AF203+X203*AG203)*PRODUCT(Y203:AC203)</x:f>
        <x:v>1.8638883534601516</x:v>
      </x:c>
      <x:c r="AE203" t="n">
        <x:f>1+AE$9*($H$10*H203+$I$10*I203+$J$10*J203+$K$10*K203+$L$10*L203)</x:f>
        <x:v>1</x:v>
      </x:c>
      <x:c r="AF203" t="n">
        <x:f>1+AF$9*($H$10*H203+$I$10*I203+$J$10*J203+$K$10*K203+$L$10*L203)</x:f>
        <x:v>1.2028197382167083</x:v>
      </x:c>
      <x:c r="AG203" t="n">
        <x:f>1+AG$9*($H$10*H203+$I$10*I203+$J$10*J203+$K$10*K203+$L$10*L203)</x:f>
        <x:v>1.359441647172947</x:v>
      </x:c>
      <x:c r="AH203" t="n">
        <x:f>MIN(1,'_曲线基线'!$L$3+AH$9*($H$10*H203+$I$10*I203+$J$10*J203+$K$10*K203+$L$10*L203))</x:f>
        <x:v>0.511414904443011</x:v>
      </x:c>
      <x:c r="AI203" t="n">
        <x:f>'_曲线基线'!$L$4+AI$9*($H$10*H203+$I$10*I203+$J$10*J203+$K$10*K203+$L$10*L203)</x:f>
        <x:v>3.285370090948388</x:v>
      </x:c>
      <x:c r="AJ203" t="n">
        <x:f>1+AJ$9*($H$10*H203+$I$10*I203+$J$10*J203+$K$10*K203+$L$10*L203)</x:f>
        <x:v>2.0546626387268825</x:v>
      </x:c>
      <x:c r="AK203" t="n">
        <x:f>(1+AH203*(AI203-1))*AJ203</x:f>
        <x:v>4.4560954715327</x:v>
      </x:c>
      <x:c r="AL203" t="n">
        <x:f>U203*AD203*AK203*F203</x:f>
        <x:v>2145299.231478076</x:v>
      </x:c>
      <x:c r="AM203" t="n">
        <x:f>IF($B203&lt;AM$8,0,AM$3+(AM$4-AM$3)*(POWER(AM$5,$B203-AM$8)-1)/(POWER(AM$5,$C$5-AM$8)-1))</x:f>
        <x:v>42.637715934870116</x:v>
      </x:c>
      <x:c r="AN203" t="n">
        <x:f>(((E203*'模块规划'!$D$10+G203*'模块规划'!$D$11+H203*'模块规划'!$D$13)*(1+'模块规划'!$G$14*H203)+(I203*'模块规划'!$D$15+J203*'模块规划'!$D$17+K203*'模块规划'!$D$16+L203*'模块规划'!$D$18))*(1+'模块规划'!$J$17*J203))*F203/(1-Q203)</x:f>
        <x:v>2664602.651267903</x:v>
      </x:c>
      <x:c r="AO203" t="n">
        <x:f>AL203*AM203</x:f>
        <x:v>91470659.22705737</x:v>
      </x:c>
      <x:c r="AP203" t="n">
        <x:f>IF(AO203="","",INDEX('_曲线基线'!$A$3:$A$502,MIN(ROWS('_曲线基线'!$A$3:$A$502),COUNTIF('_曲线基线'!$E$3:$E$502,"&lt;"&amp;AO203)+1)))</x:f>
        <x:v>286</x:v>
      </x:c>
      <x:c r="AQ203" t="n">
        <x:f>IF(B203&lt;=2,1,IF(B203&lt;=6,2,IF(B203&lt;=9,3,IF(B203&lt;=19,4,5))))</x:f>
        <x:v>5</x:v>
      </x:c>
      <x:c r="AR203" t="n">
        <x:f>AN203*(1-Q203)/F203*$AS$3+U203*$AS$4+P203*$AS$5</x:f>
        <x:v>16897.593664020715</x:v>
      </x:c>
      <x:c r="AS203" t="n">
        <x:f>1+AH203*$AS$6+AI203*$AS$7+(AJ203-1)*$AS$8+($H$10*H203+$I$10*I203+$J$10*J203+$K$10*K203+$L$10*L203)*$AU$3*$AS$9+($H$10*H203+$I$10*I203+$J$10*J203+$K$10*K203+$L$10*L203)*$AU$4*$AS$10</x:f>
        <x:v>17.10028981237586</x:v>
      </x:c>
      <x:c r="AT203" t="n">
        <x:f>ROUND(AR203*AS203,0)</x:f>
        <x:v>288954</x:v>
      </x:c>
      <x:c r="AU203" t="n">
        <x:f>ROUND(AT203*F203,0)</x:f>
        <x:v>1444770</x:v>
      </x:c>
    </x:row>
    <x:row r="204">
      <x:c r="A204" t="str">
        <x:f>IFERROR(XLOOKUP(B204,'_曲线基线'!$G$3:$G$107,'_曲线基线'!$J$3:$J$107,""),"")</x:f>
      </x:c>
      <x:c r="B204" t="n">
        <x:v>193</x:v>
      </x:c>
      <x:c r="C204" t="n">
        <x:f>C189+1</x:f>
        <x:v>14</x:v>
      </x:c>
      <x:c r="D204" t="n">
        <x:f>D189</x:f>
        <x:v>4</x:v>
      </x:c>
      <x:c r="E204" t="n">
        <x:f>IF($B204&lt;E$8,0,E$3+(E$4-E$3)*(POWER(E$5,$B204-E$8)-1)/(POWER(E$5,$C$5-E$8)-1))</x:f>
        <x:v>1</x:v>
      </x:c>
      <x:c r="F204" t="n">
        <x:f>1+IF(B204&lt;3,0,MIN(1,(B204-2)/4))+IF(B204&lt;7,0,MIN(1,(B204-6)/3))+IF(B204&lt;10,0,MIN(1,(B204-9)/5))+IF(B204&lt;20,0,MIN(1,(B204-19)/10))</x:f>
        <x:v>5</x:v>
      </x:c>
      <x:c r="G204" t="n">
        <x:f>IF($B204&lt;G$8,0,G$3+(G$4-G$3)*(POWER(G$5,$B204-G$8)-1)/(POWER(G$5,$C$5-G$8)-1))</x:f>
        <x:v>0.8634971203468925</x:v>
      </x:c>
      <x:c r="H204" t="n">
        <x:f>IF($B204&lt;H$8,0,H$3+(H$4-H$3)*(POWER(H$5,$B204-H$8)-1)/(POWER(H$5,$C$5-H$8)-1))</x:f>
        <x:v>0.6844200125523036</x:v>
      </x:c>
      <x:c r="I204" t="n">
        <x:f>IF($B204&lt;I$8,0,I$3+(I$4-I$3)*(POWER(I$5,$B204-I$8)-1)/(POWER(I$5,$C$5-I$8)-1))</x:f>
        <x:v>0.6099412193369731</x:v>
      </x:c>
      <x:c r="J204" t="n">
        <x:f>IF($B204&lt;J$8,0,J$3+(J$4-J$3)*(POWER(J$5,$B204-J$8)-1)/(POWER(J$5,$C$5-J$8)-1))</x:f>
        <x:v>0.5815161888275009</x:v>
      </x:c>
      <x:c r="K204" t="n">
        <x:f>IF($B204&lt;K$8,0,K$3+(K$4-K$3)*(POWER(K$5,$B204-K$8)-1)/(POWER(K$5,$C$5-K$8)-1))</x:f>
        <x:v>0.5659156346385386</x:v>
      </x:c>
      <x:c r="L204" t="n">
        <x:f>IF($B204&lt;L$8,0,L$3+(L$4-L$3)*(POWER(L$5,$B204-L$8)-1)/(POWER(L$5,$C$5-L$8)-1))</x:f>
        <x:v>0.684100511368851</x:v>
      </x:c>
      <x:c r="M204" t="n">
        <x:f>E204*'模块规划'!$F$10+G204*'模块规划'!$F$11+H204*'模块规划'!$F$13</x:f>
        <x:v>5144.786177665084</x:v>
      </x:c>
      <x:c r="N204" t="n">
        <x:f>I204*'模块规划'!$F$15+J204*'模块规划'!$F$17+K204*'模块规划'!$F$16+L204*'模块规划'!$F$18</x:f>
        <x:v>17510.68800764628</x:v>
      </x:c>
      <x:c r="O204" t="n">
        <x:f>1+O$9*SUMPRODUCT($H$10:$L$10,H204:L204)/SUM($H$10:$L$10)</x:f>
        <x:v>3.3009806663339054</x:v>
      </x:c>
      <x:c r="P204" t="n">
        <x:f>M204*O204+N204</x:f>
        <x:v>34493.527712540636</x:v>
      </x:c>
      <x:c r="Q204" t="n">
        <x:f>P204/(P204+'_曲线基线'!$L$2)</x:f>
        <x:v>0.5896981950217621</x:v>
      </x:c>
      <x:c r="R204" t="n">
        <x:f>E204*'模块规划'!$E$10+G204*'模块规划'!$E$11+H204*'模块规划'!$E$13</x:f>
        <x:v>7717.1792664976265</x:v>
      </x:c>
      <x:c r="S204" t="n">
        <x:f>I204*'模块规划'!$E$15+J204*'模块规划'!$E$17+K204*'模块规划'!$E$16+L204*'模块规划'!$E$18</x:f>
        <x:v>26266.032011469422</x:v>
      </x:c>
      <x:c r="T204" t="n">
        <x:f>1+T$9*SUMPRODUCT($H$10:$L$10,H204:L204)/SUM($H$10:$L$10)</x:f>
        <x:v>3.3009806663339054</x:v>
      </x:c>
      <x:c r="U204" t="n">
        <x:f>R204*T204+S204</x:f>
        <x:v>51740.29156881096</x:v>
      </x:c>
      <x:c r="V204" t="n">
        <x:f>V$8+(V$9-V$8)*H204</x:f>
        <x:v>0.9053260037656911</x:v>
      </x:c>
      <x:c r="W204" t="n">
        <x:f>IF(B204&lt;$H$8,0,W$8+(W$9-W$8)*H204)</x:f>
        <x:v>0.2737680050209214</x:v>
      </x:c>
      <x:c r="X204" t="n">
        <x:f>X$8+(X$9-X$8)*H204</x:f>
        <x:v>0.4632155034518835</x:v>
      </x:c>
      <x:c r="Y204" t="n">
        <x:f>Y$8+(Y$9-Y$8)*G204</x:f>
        <x:v>1</x:v>
      </x:c>
      <x:c r="Z204" t="n">
        <x:f>Z$8+(Z$9-Z$8)*H204</x:f>
        <x:v>1</x:v>
      </x:c>
      <x:c r="AA204" t="n">
        <x:f>AA$8+(AA$9-AA$8)*I204</x:f>
        <x:v>1</x:v>
      </x:c>
      <x:c r="AB204" t="n">
        <x:f>AB$8+(AB$9-AB$8)*J204</x:f>
        <x:v>1</x:v>
      </x:c>
      <x:c r="AC204" t="n">
        <x:f>AC$8+(AC$9-AC$8)*MAX(K204,L204)</x:f>
        <x:v>1</x:v>
      </x:c>
      <x:c r="AD204" t="n">
        <x:f>(V204*AE204+W204*AF204+X204*AG204)*PRODUCT(Y204:AC204)</x:f>
        <x:v>1.8646216578381547</x:v>
      </x:c>
      <x:c r="AE204" t="n">
        <x:f>1+AE$9*($H$10*H204+$I$10*I204+$J$10*J204+$K$10*K204+$L$10*L204)</x:f>
        <x:v>1</x:v>
      </x:c>
      <x:c r="AF204" t="n">
        <x:f>1+AF$9*($H$10*H204+$I$10*I204+$J$10*J204+$K$10*K204+$L$10*L204)</x:f>
        <x:v>1.2030825041541666</x:v>
      </x:c>
      <x:c r="AG204" t="n">
        <x:f>1+AG$9*($H$10*H204+$I$10*I204+$J$10*J204+$K$10*K204+$L$10*L204)</x:f>
        <x:v>1.3599073268065538</x:v>
      </x:c>
      <x:c r="AH204" t="n">
        <x:f>MIN(1,'_曲线基线'!$L$3+AH$9*($H$10*H204+$I$10*I204+$J$10*J204+$K$10*K204+$L$10*L204))</x:f>
        <x:v>0.5120126969507287</x:v>
      </x:c>
      <x:c r="AI204" t="n">
        <x:f>'_曲线基线'!$L$4+AI$9*($H$10*H204+$I$10*I204+$J$10*J204+$K$10*K204+$L$10*L204)</x:f>
        <x:v>3.28703537007703</x:v>
      </x:c>
      <x:c r="AJ204" t="n">
        <x:f>1+AJ$9*($H$10*H204+$I$10*I204+$J$10*J204+$K$10*K204+$L$10*L204)</x:f>
        <x:v>2.056029021601666</x:v>
      </x:c>
      <x:c r="AK204" t="n">
        <x:f>(1+AH204*(AI204-1))*AJ204</x:f>
        <x:v>4.463620805629882</x:v>
      </x:c>
      <x:c r="AL204" t="n">
        <x:f>U204*AD204*AK204*F204</x:f>
        <x:v>2153162.9272532654</x:v>
      </x:c>
      <x:c r="AM204" t="n">
        <x:f>IF($B204&lt;AM$8,0,AM$3+(AM$4-AM$3)*(POWER(AM$5,$B204-AM$8)-1)/(POWER(AM$5,$C$5-AM$8)-1))</x:f>
        <x:v>42.72751773414068</x:v>
      </x:c>
      <x:c r="AN204" t="n">
        <x:f>(((E204*'模块规划'!$D$10+G204*'模块规划'!$D$11+H204*'模块规划'!$D$13)*(1+'模块规划'!$G$14*H204)+(I204*'模块规划'!$D$15+J204*'模块规划'!$D$17+K204*'模块规划'!$D$16+L204*'模块规划'!$D$18))*(1+'模块规划'!$J$17*J204))*F204/(1-Q204)</x:f>
        <x:v>2671534.7718773796</x:v>
      </x:c>
      <x:c r="AO204" t="n">
        <x:f>AL204*AM204</x:f>
        <x:v>91999307.15870817</x:v>
      </x:c>
      <x:c r="AP204" t="n">
        <x:f>IF(AO204="","",INDEX('_曲线基线'!$A$3:$A$502,MIN(ROWS('_曲线基线'!$A$3:$A$502),COUNTIF('_曲线基线'!$E$3:$E$502,"&lt;"&amp;AO204)+1)))</x:f>
        <x:v>287</x:v>
      </x:c>
      <x:c r="AQ204" t="n">
        <x:f>IF(B204&lt;=2,1,IF(B204&lt;=6,2,IF(B204&lt;=9,3,IF(B204&lt;=19,4,5))))</x:f>
        <x:v>5</x:v>
      </x:c>
      <x:c r="AR204" t="n">
        <x:f>AN204*(1-Q204)/F204*$AS$3+U204*$AS$4+P204*$AS$5</x:f>
        <x:v>16924.871547542672</x:v>
      </x:c>
      <x:c r="AS204" t="n">
        <x:f>1+AH204*$AS$6+AI204*$AS$7+(AJ204-1)*$AS$8+($H$10*H204+$I$10*I204+$J$10*J204+$K$10*K204+$L$10*L204)*$AU$3*$AS$9+($H$10*H204+$I$10*I204+$J$10*J204+$K$10*K204+$L$10*L204)*$AU$4*$AS$10</x:f>
        <x:v>17.115990375706794</x:v>
      </x:c>
      <x:c r="AT204" t="n">
        <x:f>ROUND(AR204*AS204,0)</x:f>
        <x:v>289686</x:v>
      </x:c>
      <x:c r="AU204" t="n">
        <x:f>ROUND(AT204*F204,0)</x:f>
        <x:v>1448430</x:v>
      </x:c>
    </x:row>
    <x:row r="205">
      <x:c r="A205" t="str">
        <x:f>IFERROR(XLOOKUP(B205,'_曲线基线'!$G$3:$G$107,'_曲线基线'!$J$3:$J$107,""),"")</x:f>
      </x:c>
      <x:c r="B205" t="n">
        <x:v>194</x:v>
      </x:c>
      <x:c r="C205" t="n">
        <x:f>C190+1</x:f>
        <x:v>14</x:v>
      </x:c>
      <x:c r="D205" t="n">
        <x:f>D190</x:f>
        <x:v>5</x:v>
      </x:c>
      <x:c r="E205" t="n">
        <x:f>IF($B205&lt;E$8,0,E$3+(E$4-E$3)*(POWER(E$5,$B205-E$8)-1)/(POWER(E$5,$C$5-E$8)-1))</x:f>
        <x:v>1</x:v>
      </x:c>
      <x:c r="F205" t="n">
        <x:f>1+IF(B205&lt;3,0,MIN(1,(B205-2)/4))+IF(B205&lt;7,0,MIN(1,(B205-6)/3))+IF(B205&lt;10,0,MIN(1,(B205-9)/5))+IF(B205&lt;20,0,MIN(1,(B205-19)/10))</x:f>
        <x:v>5</x:v>
      </x:c>
      <x:c r="G205" t="n">
        <x:f>IF($B205&lt;G$8,0,G$3+(G$4-G$3)*(POWER(G$5,$B205-G$8)-1)/(POWER(G$5,$C$5-G$8)-1))</x:f>
        <x:v>0.8642498539961848</x:v>
      </x:c>
      <x:c r="H205" t="n">
        <x:f>IF($B205&lt;H$8,0,H$3+(H$4-H$3)*(POWER(H$5,$B205-H$8)-1)/(POWER(H$5,$C$5-H$8)-1))</x:f>
        <x:v>0.6847981545407688</x:v>
      </x:c>
      <x:c r="I205" t="n">
        <x:f>IF($B205&lt;I$8,0,I$3+(I$4-I$3)*(POWER(I$5,$B205-I$8)-1)/(POWER(I$5,$C$5-I$8)-1))</x:f>
        <x:v>0.6109134862933019</x:v>
      </x:c>
      <x:c r="J205" t="n">
        <x:f>IF($B205&lt;J$8,0,J$3+(J$4-J$3)*(POWER(J$5,$B205-J$8)-1)/(POWER(J$5,$C$5-J$8)-1))</x:f>
        <x:v>0.5819648095426748</x:v>
      </x:c>
      <x:c r="K205" t="n">
        <x:f>IF($B205&lt;K$8,0,K$3+(K$4-K$3)*(POWER(K$5,$B205-K$8)-1)/(POWER(K$5,$C$5-K$8)-1))</x:f>
        <x:v>0.5679564468807413</x:v>
      </x:c>
      <x:c r="L205" t="n">
        <x:f>IF($B205&lt;L$8,0,L$3+(L$4-L$3)*(POWER(L$5,$B205-L$8)-1)/(POWER(L$5,$C$5-L$8)-1))</x:f>
        <x:v>0.6844864079728598</x:v>
      </x:c>
      <x:c r="M205" t="n">
        <x:f>E205*'模块规划'!$F$10+G205*'模块规划'!$F$11+H205*'模块规划'!$F$13</x:f>
        <x:v>5148.399299181687</x:v>
      </x:c>
      <x:c r="N205" t="n">
        <x:f>I205*'模块规划'!$F$15+J205*'模块规划'!$F$17+K205*'模块规划'!$F$16+L205*'模块规划'!$F$18</x:f>
        <x:v>17537.12670692191</x:v>
      </x:c>
      <x:c r="O205" t="n">
        <x:f>1+O$9*SUMPRODUCT($H$10:$L$10,H205:L205)/SUM($H$10:$L$10)</x:f>
        <x:v>3.3038983325183633</x:v>
      </x:c>
      <x:c r="P205" t="n">
        <x:f>M205*O205+N205</x:f>
        <x:v>34546.91456662699</x:v>
      </x:c>
      <x:c r="Q205" t="n">
        <x:f>P205/(P205+'_曲线基线'!$L$2)</x:f>
        <x:v>0.5900723346797763</x:v>
      </x:c>
      <x:c r="R205" t="n">
        <x:f>E205*'模块规划'!$E$10+G205*'模块规划'!$E$11+H205*'模块规划'!$E$13</x:f>
        <x:v>7722.598948772531</x:v>
      </x:c>
      <x:c r="S205" t="n">
        <x:f>I205*'模块规划'!$E$15+J205*'模块规划'!$E$17+K205*'模块规划'!$E$16+L205*'模块规划'!$E$18</x:f>
        <x:v>26305.69006038286</x:v>
      </x:c>
      <x:c r="T205" t="n">
        <x:f>1+T$9*SUMPRODUCT($H$10:$L$10,H205:L205)/SUM($H$10:$L$10)</x:f>
        <x:v>3.3038983325183633</x:v>
      </x:c>
      <x:c r="U205" t="n">
        <x:f>R205*T205+S205</x:f>
        <x:v>51820.37184994049</x:v>
      </x:c>
      <x:c r="V205" t="n">
        <x:f>V$8+(V$9-V$8)*H205</x:f>
        <x:v>0.9054394463622306</x:v>
      </x:c>
      <x:c r="W205" t="n">
        <x:f>IF(B205&lt;$H$8,0,W$8+(W$9-W$8)*H205)</x:f>
        <x:v>0.2739192618163075</x:v>
      </x:c>
      <x:c r="X205" t="n">
        <x:f>X$8+(X$9-X$8)*H205</x:f>
        <x:v>0.4633194924987114</x:v>
      </x:c>
      <x:c r="Y205" t="n">
        <x:f>Y$8+(Y$9-Y$8)*G205</x:f>
        <x:v>1</x:v>
      </x:c>
      <x:c r="Z205" t="n">
        <x:f>Z$8+(Z$9-Z$8)*H205</x:f>
        <x:v>1</x:v>
      </x:c>
      <x:c r="AA205" t="n">
        <x:f>AA$8+(AA$9-AA$8)*I205</x:f>
        <x:v>1</x:v>
      </x:c>
      <x:c r="AB205" t="n">
        <x:f>AB$8+(AB$9-AB$8)*J205</x:f>
        <x:v>1</x:v>
      </x:c>
      <x:c r="AC205" t="n">
        <x:f>AC$8+(AC$9-AC$8)*MAX(K205,L205)</x:f>
        <x:v>1</x:v>
      </x:c>
      <x:c r="AD205" t="n">
        <x:f>(V205*AE205+W205*AF205+X205*AG205)*PRODUCT(Y205:AC205)</x:f>
        <x:v>1.8653404707066126</x:v>
      </x:c>
      <x:c r="AE205" t="n">
        <x:f>1+AE$9*($H$10*H205+$I$10*I205+$J$10*J205+$K$10*K205+$L$10*L205)</x:f>
        <x:v>1</x:v>
      </x:c>
      <x:c r="AF205" t="n">
        <x:f>1+AF$9*($H$10*H205+$I$10*I205+$J$10*J205+$K$10*K205+$L$10*L205)</x:f>
        <x:v>1.2033400147728759</x:v>
      </x:c>
      <x:c r="AG205" t="n">
        <x:f>1+AG$9*($H$10*H205+$I$10*I205+$J$10*J205+$K$10*K205+$L$10*L205)</x:f>
        <x:v>1.3603636928474885</x:v>
      </x:c>
      <x:c r="AH205" t="n">
        <x:f>MIN(1,'_曲线基线'!$L$3+AH$9*($H$10*H205+$I$10*I205+$J$10*J205+$K$10*K205+$L$10*L205))</x:f>
        <x:v>0.5125985336082923</x:v>
      </x:c>
      <x:c r="AI205" t="n">
        <x:f>'_曲线基线'!$L$4+AI$9*($H$10*H205+$I$10*I205+$J$10*J205+$K$10*K205+$L$10*L205)</x:f>
        <x:v>3.2886673436231</x:v>
      </x:c>
      <x:c r="AJ205" t="n">
        <x:f>1+AJ$9*($H$10*H205+$I$10*I205+$J$10*J205+$K$10*K205+$L$10*L205)</x:f>
        <x:v>2.057368076818954</x:v>
      </x:c>
      <x:c r="AK205" t="n">
        <x:f>(1+AH205*(AI205-1))*AJ205</x:f>
        <x:v>4.471005489988885</x:v>
      </x:c>
      <x:c r="AL205" t="n">
        <x:f>U205*AD205*AK205*F205</x:f>
        <x:v>2160895.8994673816</x:v>
      </x:c>
      <x:c r="AM205" t="n">
        <x:f>IF($B205&lt;AM$8,0,AM$3+(AM$4-AM$3)*(POWER(AM$5,$B205-AM$8)-1)/(POWER(AM$5,$C$5-AM$8)-1))</x:f>
        <x:v>42.81821755140396</x:v>
      </x:c>
      <x:c r="AN205" t="n">
        <x:f>(((E205*'模块规划'!$D$10+G205*'模块规划'!$D$11+H205*'模块规划'!$D$13)*(1+'模块规划'!$G$14*H205)+(I205*'模块规划'!$D$15+J205*'模块规划'!$D$17+K205*'模块规划'!$D$16+L205*'模块规划'!$D$18))*(1+'模块规划'!$J$17*J205))*F205/(1-Q205)</x:f>
        <x:v>2678345.6062971363</x:v>
      </x:c>
      <x:c r="AO205" t="n">
        <x:f>AL205*AM205</x:f>
        <x:v>92525710.72933109</x:v>
      </x:c>
      <x:c r="AP205" t="n">
        <x:f>IF(AO205="","",INDEX('_曲线基线'!$A$3:$A$502,MIN(ROWS('_曲线基线'!$A$3:$A$502),COUNTIF('_曲线基线'!$E$3:$E$502,"&lt;"&amp;AO205)+1)))</x:f>
        <x:v>287</x:v>
      </x:c>
      <x:c r="AQ205" t="n">
        <x:f>IF(B205&lt;=2,1,IF(B205&lt;=6,2,IF(B205&lt;=9,3,IF(B205&lt;=19,4,5))))</x:f>
        <x:v>5</x:v>
      </x:c>
      <x:c r="AR205" t="n">
        <x:f>AN205*(1-Q205)/F205*$AS$3+U205*$AS$4+P205*$AS$5</x:f>
        <x:v>16951.64213784848</x:v>
      </x:c>
      <x:c r="AS205" t="n">
        <x:f>1+AH205*$AS$6+AI205*$AS$7+(AJ205-1)*$AS$8+($H$10*H205+$I$10*I205+$J$10*J205+$K$10*K205+$L$10*L205)*$AU$3*$AS$9+($H$10*H205+$I$10*I205+$J$10*J205+$K$10*K205+$L$10*L205)*$AU$4*$AS$10</x:f>
        <x:v>17.13137692777111</x:v>
      </x:c>
      <x:c r="AT205" t="n">
        <x:f>ROUND(AR205*AS205,0)</x:f>
        <x:v>290405</x:v>
      </x:c>
      <x:c r="AU205" t="n">
        <x:f>ROUND(AT205*F205,0)</x:f>
        <x:v>1452025</x:v>
      </x:c>
    </x:row>
    <x:row r="206">
      <x:c r="A206" t="str">
        <x:f>IFERROR(XLOOKUP(B206,'_曲线基线'!$G$3:$G$107,'_曲线基线'!$J$3:$J$107,""),"")</x:f>
      </x:c>
      <x:c r="B206" t="n">
        <x:v>195</x:v>
      </x:c>
      <x:c r="C206" t="n">
        <x:f>C191+1</x:f>
        <x:v>14</x:v>
      </x:c>
      <x:c r="D206" t="n">
        <x:f>D191</x:f>
        <x:v>6</x:v>
      </x:c>
      <x:c r="E206" t="n">
        <x:f>IF($B206&lt;E$8,0,E$3+(E$4-E$3)*(POWER(E$5,$B206-E$8)-1)/(POWER(E$5,$C$5-E$8)-1))</x:f>
        <x:v>1</x:v>
      </x:c>
      <x:c r="F206" t="n">
        <x:f>1+IF(B206&lt;3,0,MIN(1,(B206-2)/4))+IF(B206&lt;7,0,MIN(1,(B206-6)/3))+IF(B206&lt;10,0,MIN(1,(B206-9)/5))+IF(B206&lt;20,0,MIN(1,(B206-19)/10))</x:f>
        <x:v>5</x:v>
      </x:c>
      <x:c r="G206" t="n">
        <x:f>IF($B206&lt;G$8,0,G$3+(G$4-G$3)*(POWER(G$5,$B206-G$8)-1)/(POWER(G$5,$C$5-G$8)-1))</x:f>
        <x:v>0.8649912966407379</x:v>
      </x:c>
      <x:c r="H206" t="n">
        <x:f>IF($B206&lt;H$8,0,H$3+(H$4-H$3)*(POWER(H$5,$B206-H$8)-1)/(POWER(H$5,$C$5-H$8)-1))</x:f>
        <x:v>0.6851687336894647</x:v>
      </x:c>
      <x:c r="I206" t="n">
        <x:f>IF($B206&lt;I$8,0,I$3+(I$4-I$3)*(POWER(I$5,$B206-I$8)-1)/(POWER(I$5,$C$5-I$8)-1))</x:f>
        <x:v>0.6118663079105041</x:v>
      </x:c>
      <x:c r="J206" t="n">
        <x:f>IF($B206&lt;J$8,0,J$3+(J$4-J$3)*(POWER(J$5,$B206-J$8)-1)/(POWER(J$5,$C$5-J$8)-1))</x:f>
        <x:v>0.5824044578435451</x:v>
      </x:c>
      <x:c r="K206" t="n">
        <x:f>IF($B206&lt;K$8,0,K$3+(K$4-K$3)*(POWER(K$5,$B206-K$8)-1)/(POWER(K$5,$C$5-K$8)-1))</x:f>
        <x:v>0.5699564428781001</x:v>
      </x:c>
      <x:c r="L206" t="n">
        <x:f>IF($B206&lt;L$8,0,L$3+(L$4-L$3)*(POWER(L$5,$B206-L$8)-1)/(POWER(L$5,$C$5-L$8)-1))</x:f>
        <x:v>0.6848645866447882</x:v>
      </x:c>
      <x:c r="M206" t="n">
        <x:f>E206*'模块规划'!$F$10+G206*'模块规划'!$F$11+H206*'模块规划'!$F$13</x:f>
        <x:v>5151.958223875542</x:v>
      </x:c>
      <x:c r="N206" t="n">
        <x:f>I206*'模块规划'!$F$15+J206*'模块规划'!$F$17+K206*'模块规划'!$F$16+L206*'模块规划'!$F$18</x:f>
        <x:v>17563.036632212028</x:v>
      </x:c>
      <x:c r="O206" t="n">
        <x:f>1+O$9*SUMPRODUCT($H$10:$L$10,H206:L206)/SUM($H$10:$L$10)</x:f>
        <x:v>3.306757645379132</x:v>
      </x:c>
      <x:c r="P206" t="n">
        <x:f>M206*O206+N206</x:f>
        <x:v>34599.31387768637</x:v>
      </x:c>
      <x:c r="Q206" t="n">
        <x:f>P206/(P206+'_曲线基线'!$L$2)</x:f>
        <x:v>0.5904388906311274</x:v>
      </x:c>
      <x:c r="R206" t="n">
        <x:f>E206*'模块规划'!$E$10+G206*'模块规划'!$E$11+H206*'模块规划'!$E$13</x:f>
        <x:v>7727.937335813313</x:v>
      </x:c>
      <x:c r="S206" t="n">
        <x:f>I206*'模块规划'!$E$15+J206*'模块规划'!$E$17+K206*'模块规划'!$E$16+L206*'模块规划'!$E$18</x:f>
        <x:v>26344.554948318037</x:v>
      </x:c>
      <x:c r="T206" t="n">
        <x:f>1+T$9*SUMPRODUCT($H$10:$L$10,H206:L206)/SUM($H$10:$L$10)</x:f>
        <x:v>3.306757645379132</x:v>
      </x:c>
      <x:c r="U206" t="n">
        <x:f>R206*T206+S206</x:f>
        <x:v>51898.97081652955</x:v>
      </x:c>
      <x:c r="V206" t="n">
        <x:f>V$8+(V$9-V$8)*H206</x:f>
        <x:v>0.9055506201068394</x:v>
      </x:c>
      <x:c r="W206" t="n">
        <x:f>IF(B206&lt;$H$8,0,W$8+(W$9-W$8)*H206)</x:f>
        <x:v>0.2740674934757859</x:v>
      </x:c>
      <x:c r="X206" t="n">
        <x:f>X$8+(X$9-X$8)*H206</x:f>
        <x:v>0.46342140176460284</x:v>
      </x:c>
      <x:c r="Y206" t="n">
        <x:f>Y$8+(Y$9-Y$8)*G206</x:f>
        <x:v>1</x:v>
      </x:c>
      <x:c r="Z206" t="n">
        <x:f>Z$8+(Z$9-Z$8)*H206</x:f>
        <x:v>1</x:v>
      </x:c>
      <x:c r="AA206" t="n">
        <x:f>AA$8+(AA$9-AA$8)*I206</x:f>
        <x:v>1</x:v>
      </x:c>
      <x:c r="AB206" t="n">
        <x:f>AB$8+(AB$9-AB$8)*J206</x:f>
        <x:v>1</x:v>
      </x:c>
      <x:c r="AC206" t="n">
        <x:f>AC$8+(AC$9-AC$8)*MAX(K206,L206)</x:f>
        <x:v>1</x:v>
      </x:c>
      <x:c r="AD206" t="n">
        <x:f>(V206*AE206+W206*AF206+X206*AG206)*PRODUCT(Y206:AC206)</x:f>
        <x:v>1.8660450749824276</x:v>
      </x:c>
      <x:c r="AE206" t="n">
        <x:f>1+AE$9*($H$10*H206+$I$10*I206+$J$10*J206+$K$10*K206+$L$10*L206)</x:f>
        <x:v>1</x:v>
      </x:c>
      <x:c r="AF206" t="n">
        <x:f>1+AF$9*($H$10*H206+$I$10*I206+$J$10*J206+$K$10*K206+$L$10*L206)</x:f>
        <x:v>1.203592375179211</x:v>
      </x:c>
      <x:c r="AG206" t="n">
        <x:f>1+AG$9*($H$10*H206+$I$10*I206+$J$10*J206+$K$10*K206+$L$10*L206)</x:f>
        <x:v>1.3608109315676045</x:v>
      </x:c>
      <x:c r="AH206" t="n">
        <x:f>MIN(1,'_曲线基线'!$L$3+AH$9*($H$10*H206+$I$10*I206+$J$10*J206+$K$10*K206+$L$10*L206))</x:f>
        <x:v>0.5131726535327046</x:v>
      </x:c>
      <x:c r="AI206" t="n">
        <x:f>'_曲线基线'!$L$4+AI$9*($H$10*H206+$I$10*I206+$J$10*J206+$K$10*K206+$L$10*L206)</x:f>
        <x:v>3.2902666776982485</x:v>
      </x:c>
      <x:c r="AJ206" t="n">
        <x:f>1+AJ$9*($H$10*H206+$I$10*I206+$J$10*J206+$K$10*K206+$L$10*L206)</x:f>
        <x:v>2.0586803509318963</x:v>
      </x:c>
      <x:c r="AK206" t="n">
        <x:f>(1+AH206*(AI206-1))*AJ206</x:f>
        <x:v>4.478251954722991</x:v>
      </x:c>
      <x:c r="AL206" t="n">
        <x:f>U206*AD206*AK206*F206</x:f>
        <x:v>2168499.888728521</x:v>
      </x:c>
      <x:c r="AM206" t="n">
        <x:f>IF($B206&lt;AM$8,0,AM$3+(AM$4-AM$3)*(POWER(AM$5,$B206-AM$8)-1)/(POWER(AM$5,$C$5-AM$8)-1))</x:f>
        <x:v>42.90982436683987</x:v>
      </x:c>
      <x:c r="AN206" t="n">
        <x:f>(((E206*'模块规划'!$D$10+G206*'模块规划'!$D$11+H206*'模块规划'!$D$13)*(1+'模块规划'!$G$14*H206)+(I206*'模块规划'!$D$15+J206*'模块规划'!$D$17+K206*'模块规划'!$D$16+L206*'模块规划'!$D$18))*(1+'模块规划'!$J$17*J206))*F206/(1-Q206)</x:f>
        <x:v>2685037.0811855486</x:v>
      </x:c>
      <x:c r="AO206" t="n">
        <x:f>AL206*AM206</x:f>
        <x:v>93049949.36485264</x:v>
      </x:c>
      <x:c r="AP206" t="n">
        <x:f>IF(AO206="","",INDEX('_曲线基线'!$A$3:$A$502,MIN(ROWS('_曲线基线'!$A$3:$A$502),COUNTIF('_曲线基线'!$E$3:$E$502,"&lt;"&amp;AO206)+1)))</x:f>
        <x:v>288</x:v>
      </x:c>
      <x:c r="AQ206" t="n">
        <x:f>IF(B206&lt;=2,1,IF(B206&lt;=6,2,IF(B206&lt;=9,3,IF(B206&lt;=19,4,5))))</x:f>
        <x:v>5</x:v>
      </x:c>
      <x:c r="AR206" t="n">
        <x:f>AN206*(1-Q206)/F206*$AS$3+U206*$AS$4+P206*$AS$5</x:f>
        <x:v>16977.914757307386</x:v>
      </x:c>
      <x:c r="AS206" t="n">
        <x:f>1+AH206*$AS$6+AI206*$AS$7+(AJ206-1)*$AS$8+($H$10*H206+$I$10*I206+$J$10*J206+$K$10*K206+$L$10*L206)*$AU$3*$AS$9+($H$10*H206+$I$10*I206+$J$10*J206+$K$10*K206+$L$10*L206)*$AU$4*$AS$10</x:f>
        <x:v>17.146455748794143</x:v>
      </x:c>
      <x:c r="AT206" t="n">
        <x:f>ROUND(AR206*AS206,0)</x:f>
        <x:v>291111</x:v>
      </x:c>
      <x:c r="AU206" t="n">
        <x:f>ROUND(AT206*F206,0)</x:f>
        <x:v>1455555</x:v>
      </x:c>
    </x:row>
    <x:row r="207">
      <x:c r="A207" t="str">
        <x:f>IFERROR(XLOOKUP(B207,'_曲线基线'!$G$3:$G$107,'_曲线基线'!$J$3:$J$107,""),"")</x:f>
      </x:c>
      <x:c r="B207" t="n">
        <x:v>196</x:v>
      </x:c>
      <x:c r="C207" t="n">
        <x:f>C192+1</x:f>
        <x:v>14</x:v>
      </x:c>
      <x:c r="D207" t="n">
        <x:f>D192</x:f>
        <x:v>7</x:v>
      </x:c>
      <x:c r="E207" t="n">
        <x:f>IF($B207&lt;E$8,0,E$3+(E$4-E$3)*(POWER(E$5,$B207-E$8)-1)/(POWER(E$5,$C$5-E$8)-1))</x:f>
        <x:v>1</x:v>
      </x:c>
      <x:c r="F207" t="n">
        <x:f>1+IF(B207&lt;3,0,MIN(1,(B207-2)/4))+IF(B207&lt;7,0,MIN(1,(B207-6)/3))+IF(B207&lt;10,0,MIN(1,(B207-9)/5))+IF(B207&lt;20,0,MIN(1,(B207-19)/10))</x:f>
        <x:v>5</x:v>
      </x:c>
      <x:c r="G207" t="n">
        <x:f>IF($B207&lt;G$8,0,G$3+(G$4-G$3)*(POWER(G$5,$B207-G$8)-1)/(POWER(G$5,$C$5-G$8)-1))</x:f>
        <x:v>0.8657216176456227</x:v>
      </x:c>
      <x:c r="H207" t="n">
        <x:f>IF($B207&lt;H$8,0,H$3+(H$4-H$3)*(POWER(H$5,$B207-H$8)-1)/(POWER(H$5,$C$5-H$8)-1))</x:f>
        <x:v>0.6855319012551868</x:v>
      </x:c>
      <x:c r="I207" t="n">
        <x:f>IF($B207&lt;I$8,0,I$3+(I$4-I$3)*(POWER(I$5,$B207-I$8)-1)/(POWER(I$5,$C$5-I$8)-1))</x:f>
        <x:v>0.6128000730953621</x:v>
      </x:c>
      <x:c r="J207" t="n">
        <x:f>IF($B207&lt;J$8,0,J$3+(J$4-J$3)*(POWER(J$5,$B207-J$8)-1)/(POWER(J$5,$C$5-J$8)-1))</x:f>
        <x:v>0.5828353131783982</x:v>
      </x:c>
      <x:c r="K207" t="n">
        <x:f>IF($B207&lt;K$8,0,K$3+(K$4-K$3)*(POWER(K$5,$B207-K$8)-1)/(POWER(K$5,$C$5-K$8)-1))</x:f>
        <x:v>0.5719164389555116</x:v>
      </x:c>
      <x:c r="L207" t="n">
        <x:f>IF($B207&lt;L$8,0,L$3+(L$4-L$3)*(POWER(L$5,$B207-L$8)-1)/(POWER(L$5,$C$5-L$8)-1))</x:f>
        <x:v>0.6852352017432781</x:v>
      </x:c>
      <x:c r="M207" t="n">
        <x:f>E207*'模块规划'!$F$10+G207*'模块规划'!$F$11+H207*'模块规划'!$F$13</x:f>
        <x:v>5155.4637646989895</x:v>
      </x:c>
      <x:c r="N207" t="n">
        <x:f>I207*'模块规划'!$F$15+J207*'模块规划'!$F$17+K207*'模块规划'!$F$16+L207*'模块规划'!$F$18</x:f>
        <x:v>17588.428358996338</x:v>
      </x:c>
      <x:c r="O207" t="n">
        <x:f>1+O$9*SUMPRODUCT($H$10:$L$10,H207:L207)/SUM($H$10:$L$10)</x:f>
        <x:v>3.309559771982686</x:v>
      </x:c>
      <x:c r="P207" t="n">
        <x:f>M207*O207+N207</x:f>
        <x:v>34650.74384055853</x:v>
      </x:c>
      <x:c r="Q207" t="n">
        <x:f>P207/(P207+'_曲线基线'!$L$2)</x:f>
        <x:v>0.5907980286619422</x:v>
      </x:c>
      <x:c r="R207" t="n">
        <x:f>E207*'模块规划'!$E$10+G207*'模块规划'!$E$11+H207*'模块规划'!$E$13</x:f>
        <x:v>7733.195647048484</x:v>
      </x:c>
      <x:c r="S207" t="n">
        <x:f>I207*'模块规划'!$E$15+J207*'模块规划'!$E$17+K207*'模块规划'!$E$16+L207*'模块规划'!$E$18</x:f>
        <x:v>26382.642538494507</x:v>
      </x:c>
      <x:c r="T207" t="n">
        <x:f>1+T$9*SUMPRODUCT($H$10:$L$10,H207:L207)/SUM($H$10:$L$10)</x:f>
        <x:v>3.309559771982686</x:v>
      </x:c>
      <x:c r="U207" t="n">
        <x:f>R207*T207+S207</x:f>
        <x:v>51976.11576083778</x:v>
      </x:c>
      <x:c r="V207" t="n">
        <x:f>V$8+(V$9-V$8)*H207</x:f>
        <x:v>0.905659570376556</x:v>
      </x:c>
      <x:c r="W207" t="n">
        <x:f>IF(B207&lt;$H$8,0,W$8+(W$9-W$8)*H207)</x:f>
        <x:v>0.2742127605020747</x:v>
      </x:c>
      <x:c r="X207" t="n">
        <x:f>X$8+(X$9-X$8)*H207</x:f>
        <x:v>0.4635212728451764</x:v>
      </x:c>
      <x:c r="Y207" t="n">
        <x:f>Y$8+(Y$9-Y$8)*G207</x:f>
        <x:v>1</x:v>
      </x:c>
      <x:c r="Z207" t="n">
        <x:f>Z$8+(Z$9-Z$8)*H207</x:f>
        <x:v>1</x:v>
      </x:c>
      <x:c r="AA207" t="n">
        <x:f>AA$8+(AA$9-AA$8)*I207</x:f>
        <x:v>1</x:v>
      </x:c>
      <x:c r="AB207" t="n">
        <x:f>AB$8+(AB$9-AB$8)*J207</x:f>
        <x:v>1</x:v>
      </x:c>
      <x:c r="AC207" t="n">
        <x:f>AC$8+(AC$9-AC$8)*MAX(K207,L207)</x:f>
        <x:v>1</x:v>
      </x:c>
      <x:c r="AD207" t="n">
        <x:f>(V207*AE207+W207*AF207+X207*AG207)*PRODUCT(Y207:AC207)</x:f>
        <x:v>1.8667357481979292</x:v>
      </x:c>
      <x:c r="AE207" t="n">
        <x:f>1+AE$9*($H$10*H207+$I$10*I207+$J$10*J207+$K$10*K207+$L$10*L207)</x:f>
        <x:v>1</x:v>
      </x:c>
      <x:c r="AF207" t="n">
        <x:f>1+AF$9*($H$10*H207+$I$10*I207+$J$10*J207+$K$10*K207+$L$10*L207)</x:f>
        <x:v>1.2038396883774194</x:v>
      </x:c>
      <x:c r="AG207" t="n">
        <x:f>1+AG$9*($H$10*H207+$I$10*I207+$J$10*J207+$K$10*K207+$L$10*L207)</x:f>
        <x:v>1.3612492255133182</x:v>
      </x:c>
      <x:c r="AH207" t="n">
        <x:f>MIN(1,'_曲线基线'!$L$3+AH$9*($H$10*H207+$I$10*I207+$J$10*J207+$K$10*K207+$L$10*L207))</x:f>
        <x:v>0.5137352910586286</x:v>
      </x:c>
      <x:c r="AI207" t="n">
        <x:f>'_曲线基线'!$L$4+AI$9*($H$10*H207+$I$10*I207+$J$10*J207+$K$10*K207+$L$10*L207)</x:f>
        <x:v>3.291834025091894</x:v>
      </x:c>
      <x:c r="AJ207" t="n">
        <x:f>1+AJ$9*($H$10*H207+$I$10*I207+$J$10*J207+$K$10*K207+$L$10*L207)</x:f>
        <x:v>2.0599663795625798</x:v>
      </x:c>
      <x:c r="AK207" t="n">
        <x:f>(1+AH207*(AI207-1))*AJ207</x:f>
        <x:v>4.485362596066997</x:v>
      </x:c>
      <x:c r="AL207" t="n">
        <x:f>U207*AD207*AK207*F207</x:f>
        <x:v>2175976.630359686</x:v>
      </x:c>
      <x:c r="AM207" t="n">
        <x:f>IF($B207&lt;AM$8,0,AM$3+(AM$4-AM$3)*(POWER(AM$5,$B207-AM$8)-1)/(POWER(AM$5,$C$5-AM$8)-1))</x:f>
        <x:v>43.002347250430134</x:v>
      </x:c>
      <x:c r="AN207" t="n">
        <x:f>(((E207*'模块规划'!$D$10+G207*'模块规划'!$D$11+H207*'模块规划'!$D$13)*(1+'模块规划'!$G$14*H207)+(I207*'模块规划'!$D$15+J207*'模块规划'!$D$17+K207*'模块规划'!$D$16+L207*'模块规划'!$D$18))*(1+'模块规划'!$J$17*J207))*F207/(1-Q207)</x:f>
        <x:v>2691611.1008325755</x:v>
      </x:c>
      <x:c r="AO207" t="n">
        <x:f>AL207*AM207</x:f>
        <x:v>93572102.66754808</x:v>
      </x:c>
      <x:c r="AP207" t="n">
        <x:f>IF(AO207="","",INDEX('_曲线基线'!$A$3:$A$502,MIN(ROWS('_曲线基线'!$A$3:$A$502),COUNTIF('_曲线基线'!$E$3:$E$502,"&lt;"&amp;AO207)+1)))</x:f>
        <x:v>288</x:v>
      </x:c>
      <x:c r="AQ207" t="n">
        <x:f>IF(B207&lt;=2,1,IF(B207&lt;=6,2,IF(B207&lt;=9,3,IF(B207&lt;=19,4,5))))</x:f>
        <x:v>5</x:v>
      </x:c>
      <x:c r="AR207" t="n">
        <x:f>AN207*(1-Q207)/F207*$AS$3+U207*$AS$4+P207*$AS$5</x:f>
        <x:v>17003.698563384096</x:v>
      </x:c>
      <x:c r="AS207" t="n">
        <x:f>1+AH207*$AS$6+AI207*$AS$7+(AJ207-1)*$AS$8+($H$10*H207+$I$10*I207+$J$10*J207+$K$10*K207+$L$10*L207)*$AU$3*$AS$9+($H$10*H207+$I$10*I207+$J$10*J207+$K$10*K207+$L$10*L207)*$AU$4*$AS$10</x:f>
        <x:v>17.161232993396716</x:v>
      </x:c>
      <x:c r="AT207" t="n">
        <x:f>ROUND(AR207*AS207,0)</x:f>
        <x:v>291804</x:v>
      </x:c>
      <x:c r="AU207" t="n">
        <x:f>ROUND(AT207*F207,0)</x:f>
        <x:v>1459020</x:v>
      </x:c>
    </x:row>
    <x:row r="208">
      <x:c r="A208" t="str">
        <x:f>IFERROR(XLOOKUP(B208,'_曲线基线'!$G$3:$G$107,'_曲线基线'!$J$3:$J$107,""),"")</x:f>
      </x:c>
      <x:c r="B208" t="n">
        <x:v>197</x:v>
      </x:c>
      <x:c r="C208" t="n">
        <x:f>C193+1</x:f>
        <x:v>14</x:v>
      </x:c>
      <x:c r="D208" t="n">
        <x:f>D193</x:f>
        <x:v>8</x:v>
      </x:c>
      <x:c r="E208" t="n">
        <x:f>IF($B208&lt;E$8,0,E$3+(E$4-E$3)*(POWER(E$5,$B208-E$8)-1)/(POWER(E$5,$C$5-E$8)-1))</x:f>
        <x:v>1</x:v>
      </x:c>
      <x:c r="F208" t="n">
        <x:f>1+IF(B208&lt;3,0,MIN(1,(B208-2)/4))+IF(B208&lt;7,0,MIN(1,(B208-6)/3))+IF(B208&lt;10,0,MIN(1,(B208-9)/5))+IF(B208&lt;20,0,MIN(1,(B208-19)/10))</x:f>
        <x:v>5</x:v>
      </x:c>
      <x:c r="G208" t="n">
        <x:f>IF($B208&lt;G$8,0,G$3+(G$4-G$3)*(POWER(G$5,$B208-G$8)-1)/(POWER(G$5,$C$5-G$8)-1))</x:f>
        <x:v>0.8664409838354342</x:v>
      </x:c>
      <x:c r="H208" t="n">
        <x:f>IF($B208&lt;H$8,0,H$3+(H$4-H$3)*(POWER(H$5,$B208-H$8)-1)/(POWER(H$5,$C$5-H$8)-1))</x:f>
        <x:v>0.6858878054695944</x:v>
      </x:c>
      <x:c r="I208" t="n">
        <x:f>IF($B208&lt;I$8,0,I$3+(I$4-I$3)*(POWER(I$5,$B208-I$8)-1)/(POWER(I$5,$C$5-I$8)-1))</x:f>
        <x:v>0.6137151629765232</x:v>
      </x:c>
      <x:c r="J208" t="n">
        <x:f>IF($B208&lt;J$8,0,J$3+(J$4-J$3)*(POWER(J$5,$B208-J$8)-1)/(POWER(J$5,$C$5-J$8)-1))</x:f>
        <x:v>0.583257551406554</x:v>
      </x:c>
      <x:c r="K208" t="n">
        <x:f>IF($B208&lt;K$8,0,K$3+(K$4-K$3)*(POWER(K$5,$B208-K$8)-1)/(POWER(K$5,$C$5-K$8)-1))</x:f>
        <x:v>0.573837235111375</x:v>
      </x:c>
      <x:c r="L208" t="n">
        <x:f>IF($B208&lt;L$8,0,L$3+(L$4-L$3)*(POWER(L$5,$B208-L$8)-1)/(POWER(L$5,$C$5-L$8)-1))</x:f>
        <x:v>0.6855984045397983</x:v>
      </x:c>
      <x:c r="M208" t="n">
        <x:f>E208*'模块规划'!$F$10+G208*'模块规划'!$F$11+H208*'模块规划'!$F$13</x:f>
        <x:v>5158.916722410084</x:v>
      </x:c>
      <x:c r="N208" t="n">
        <x:f>I208*'模块规划'!$F$15+J208*'模块规划'!$F$17+K208*'模块规划'!$F$16+L208*'模块规划'!$F$18</x:f>
        <x:v>17613.312251244966</x:v>
      </x:c>
      <x:c r="O208" t="n">
        <x:f>1+O$9*SUMPRODUCT($H$10:$L$10,H208:L208)/SUM($H$10:$L$10)</x:f>
        <x:v>3.312305856054168</x:v>
      </x:c>
      <x:c r="P208" t="n">
        <x:f>M208*O208+N208</x:f>
        <x:v>34701.222321779656</x:v>
      </x:c>
      <x:c r="Q208" t="n">
        <x:f>P208/(P208+'_曲线基线'!$L$2)</x:f>
        <x:v>0.5911499105003238</x:v>
      </x:c>
      <x:c r="R208" t="n">
        <x:f>E208*'模块规划'!$E$10+G208*'模块规划'!$E$11+H208*'模块规划'!$E$13</x:f>
        <x:v>7738.375083615127</x:v>
      </x:c>
      <x:c r="S208" t="n">
        <x:f>I208*'模块规划'!$E$15+J208*'模块规划'!$E$17+K208*'模块规划'!$E$16+L208*'模块规划'!$E$18</x:f>
        <x:v>26419.96837686745</x:v>
      </x:c>
      <x:c r="T208" t="n">
        <x:f>1+T$9*SUMPRODUCT($H$10:$L$10,H208:L208)/SUM($H$10:$L$10)</x:f>
        <x:v>3.312305856054168</x:v>
      </x:c>
      <x:c r="U208" t="n">
        <x:f>R208*T208+S208</x:f>
        <x:v>52051.83348266949</x:v>
      </x:c>
      <x:c r="V208" t="n">
        <x:f>V$8+(V$9-V$8)*H208</x:f>
        <x:v>0.9057663416408783</x:v>
      </x:c>
      <x:c r="W208" t="n">
        <x:f>IF(B208&lt;$H$8,0,W$8+(W$9-W$8)*H208)</x:f>
        <x:v>0.27435512218783775</x:v>
      </x:c>
      <x:c r="X208" t="n">
        <x:f>X$8+(X$9-X$8)*H208</x:f>
        <x:v>0.4636191465041385</x:v>
      </x:c>
      <x:c r="Y208" t="n">
        <x:f>Y$8+(Y$9-Y$8)*G208</x:f>
        <x:v>1</x:v>
      </x:c>
      <x:c r="Z208" t="n">
        <x:f>Z$8+(Z$9-Z$8)*H208</x:f>
        <x:v>1</x:v>
      </x:c>
      <x:c r="AA208" t="n">
        <x:f>AA$8+(AA$9-AA$8)*I208</x:f>
        <x:v>1</x:v>
      </x:c>
      <x:c r="AB208" t="n">
        <x:f>AB$8+(AB$9-AB$8)*J208</x:f>
        <x:v>1</x:v>
      </x:c>
      <x:c r="AC208" t="n">
        <x:f>AC$8+(AC$9-AC$8)*MAX(K208,L208)</x:f>
        <x:v>1</x:v>
      </x:c>
      <x:c r="AD208" t="n">
        <x:f>(V208*AE208+W208*AF208+X208*AG208)*PRODUCT(Y208:AC208)</x:f>
        <x:v>1.8674127625977262</x:v>
      </x:c>
      <x:c r="AE208" t="n">
        <x:f>1+AE$9*($H$10*H208+$I$10*I208+$J$10*J208+$K$10*K208+$L$10*L208)</x:f>
        <x:v>1</x:v>
      </x:c>
      <x:c r="AF208" t="n">
        <x:f>1+AF$9*($H$10*H208+$I$10*I208+$J$10*J208+$K$10*K208+$L$10*L208)</x:f>
        <x:v>1.2040820553116636</x:v>
      </x:c>
      <x:c r="AG208" t="n">
        <x:f>1+AG$9*($H$10*H208+$I$10*I208+$J$10*J208+$K$10*K208+$L$10*L208)</x:f>
        <x:v>1.3616787535801178</x:v>
      </x:c>
      <x:c r="AH208" t="n">
        <x:f>MIN(1,'_曲线基线'!$L$3+AH$9*($H$10*H208+$I$10*I208+$J$10*J208+$K$10*K208+$L$10*L208))</x:f>
        <x:v>0.5142866758340342</x:v>
      </x:c>
      <x:c r="AI208" t="n">
        <x:f>'_曲线基线'!$L$4+AI$9*($H$10*H208+$I$10*I208+$J$10*J208+$K$10*K208+$L$10*L208)</x:f>
        <x:v>3.2933700255376666</x:v>
      </x:c>
      <x:c r="AJ208" t="n">
        <x:f>1+AJ$9*($H$10*H208+$I$10*I208+$J$10*J208+$K$10*K208+$L$10*L208)</x:f>
        <x:v>2.0612266876206498</x:v>
      </x:c>
      <x:c r="AK208" t="n">
        <x:f>(1+AH208*(AI208-1))*AJ208</x:f>
        <x:v>4.492339776497503</x:v>
      </x:c>
      <x:c r="AL208" t="n">
        <x:f>U208*AD208*AK208*F208</x:f>
        <x:v>2183327.8535359977</x:v>
      </x:c>
      <x:c r="AM208" t="n">
        <x:f>IF($B208&lt;AM$8,0,AM$3+(AM$4-AM$3)*(POWER(AM$5,$B208-AM$8)-1)/(POWER(AM$5,$C$5-AM$8)-1))</x:f>
        <x:v>43.09579536285631</x:v>
      </x:c>
      <x:c r="AN208" t="n">
        <x:f>(((E208*'模块规划'!$D$10+G208*'模块规划'!$D$11+H208*'模块规划'!$D$13)*(1+'模块规划'!$G$14*H208)+(I208*'模块规划'!$D$15+J208*'模块规划'!$D$17+K208*'模块规划'!$D$16+L208*'模块规划'!$D$18))*(1+'模块规划'!$J$17*J208))*F208/(1-Q208)</x:f>
        <x:v>2698069.5470556123</x:v>
      </x:c>
      <x:c r="AO208" t="n">
        <x:f>AL208*AM208</x:f>
        <x:v>94092250.38601166</x:v>
      </x:c>
      <x:c r="AP208" t="n">
        <x:f>IF(AO208="","",INDEX('_曲线基线'!$A$3:$A$502,MIN(ROWS('_曲线基线'!$A$3:$A$502),COUNTIF('_曲线基线'!$E$3:$E$502,"&lt;"&amp;AO208)+1)))</x:f>
        <x:v>288</x:v>
      </x:c>
      <x:c r="AQ208" t="n">
        <x:f>IF(B208&lt;=2,1,IF(B208&lt;=6,2,IF(B208&lt;=9,3,IF(B208&lt;=19,4,5))))</x:f>
        <x:v>5</x:v>
      </x:c>
      <x:c r="AR208" t="n">
        <x:f>AN208*(1-Q208)/F208*$AS$3+U208*$AS$4+P208*$AS$5</x:f>
        <x:v>17029.002551274127</x:v>
      </x:c>
      <x:c r="AS208" t="n">
        <x:f>1+AH208*$AS$6+AI208*$AS$7+(AJ208-1)*$AS$8+($H$10*H208+$I$10*I208+$J$10*J208+$K$10*K208+$L$10*L208)*$AU$3*$AS$9+($H$10*H208+$I$10*I208+$J$10*J208+$K$10*K208+$L$10*L208)*$AU$4*$AS$10</x:f>
        <x:v>17.175714693107235</x:v>
      </x:c>
      <x:c r="AT208" t="n">
        <x:f>ROUND(AR208*AS208,0)</x:f>
        <x:v>292485</x:v>
      </x:c>
      <x:c r="AU208" t="n">
        <x:f>ROUND(AT208*F208,0)</x:f>
        <x:v>1462425</x:v>
      </x:c>
    </x:row>
    <x:row r="209">
      <x:c r="A209" t="str">
        <x:f>IFERROR(XLOOKUP(B209,'_曲线基线'!$G$3:$G$107,'_曲线基线'!$J$3:$J$107,""),"")</x:f>
      </x:c>
      <x:c r="B209" t="n">
        <x:v>198</x:v>
      </x:c>
      <x:c r="C209" t="n">
        <x:f>C194+1</x:f>
        <x:v>14</x:v>
      </x:c>
      <x:c r="D209" t="n">
        <x:f>D194</x:f>
        <x:v>9</x:v>
      </x:c>
      <x:c r="E209" t="n">
        <x:f>IF($B209&lt;E$8,0,E$3+(E$4-E$3)*(POWER(E$5,$B209-E$8)-1)/(POWER(E$5,$C$5-E$8)-1))</x:f>
        <x:v>1</x:v>
      </x:c>
      <x:c r="F209" t="n">
        <x:f>1+IF(B209&lt;3,0,MIN(1,(B209-2)/4))+IF(B209&lt;7,0,MIN(1,(B209-6)/3))+IF(B209&lt;10,0,MIN(1,(B209-9)/5))+IF(B209&lt;20,0,MIN(1,(B209-19)/10))</x:f>
        <x:v>5</x:v>
      </x:c>
      <x:c r="G209" t="n">
        <x:f>IF($B209&lt;G$8,0,G$3+(G$4-G$3)*(POWER(G$5,$B209-G$8)-1)/(POWER(G$5,$C$5-G$8)-1))</x:f>
        <x:v>0.8671495595323985</x:v>
      </x:c>
      <x:c r="H209" t="n">
        <x:f>IF($B209&lt;H$8,0,H$3+(H$4-H$3)*(POWER(H$5,$B209-H$8)-1)/(POWER(H$5,$C$5-H$8)-1))</x:f>
        <x:v>0.686236591599714</x:v>
      </x:c>
      <x:c r="I209" t="n">
        <x:f>IF($B209&lt;I$8,0,I$3+(I$4-I$3)*(POWER(I$5,$B209-I$8)-1)/(POWER(I$5,$C$5-I$8)-1))</x:f>
        <x:v>0.614611951060061</x:v>
      </x:c>
      <x:c r="J209" t="n">
        <x:f>IF($B209&lt;J$8,0,J$3+(J$4-J$3)*(POWER(J$5,$B209-J$8)-1)/(POWER(J$5,$C$5-J$8)-1))</x:f>
        <x:v>0.5836713448701468</x:v>
      </x:c>
      <x:c r="K209" t="n">
        <x:f>IF($B209&lt;K$8,0,K$3+(K$4-K$3)*(POWER(K$5,$B209-K$8)-1)/(POWER(K$5,$C$5-K$8)-1))</x:f>
        <x:v>0.575719615344121</x:v>
      </x:c>
      <x:c r="L209" t="n">
        <x:f>IF($B209&lt;L$8,0,L$3+(L$4-L$3)*(POWER(L$5,$B209-L$8)-1)/(POWER(L$5,$C$5-L$8)-1))</x:f>
        <x:v>0.685954343280388</x:v>
      </x:c>
      <x:c r="M209" t="n">
        <x:f>E209*'模块规划'!$F$10+G209*'模块规划'!$F$11+H209*'模块规划'!$F$13</x:f>
        <x:v>5162.317885755513</x:v>
      </x:c>
      <x:c r="N209" t="n">
        <x:f>I209*'模块规划'!$F$15+J209*'模块规划'!$F$17+K209*'模块规划'!$F$16+L209*'模块规划'!$F$18</x:f>
        <x:v>17637.69846564862</x:v>
      </x:c>
      <x:c r="O209" t="n">
        <x:f>1+O$9*SUMPRODUCT($H$10:$L$10,H209:L209)/SUM($H$10:$L$10)</x:f>
        <x:v>3.314997018444221</x:v>
      </x:c>
      <x:c r="P209" t="n">
        <x:f>M209*O209+N209</x:f>
        <x:v>34750.76686518942</x:v>
      </x:c>
      <x:c r="Q209" t="n">
        <x:f>P209/(P209+'_曲线基线'!$L$2)</x:f>
        <x:v>0.5914946939318965</x:v>
      </x:c>
      <x:c r="R209" t="n">
        <x:f>E209*'模块规划'!$E$10+G209*'模块规划'!$E$11+H209*'模块规划'!$E$13</x:f>
        <x:v>7743.476828633269</x:v>
      </x:c>
      <x:c r="S209" t="n">
        <x:f>I209*'模块规划'!$E$15+J209*'模块规划'!$E$17+K209*'模块规划'!$E$16+L209*'模块规划'!$E$18</x:f>
        <x:v>26456.547698472932</x:v>
      </x:c>
      <x:c r="T209" t="n">
        <x:f>1+T$9*SUMPRODUCT($H$10:$L$10,H209:L209)/SUM($H$10:$L$10)</x:f>
        <x:v>3.314997018444221</x:v>
      </x:c>
      <x:c r="U209" t="n">
        <x:f>R209*T209+S209</x:f>
        <x:v>52126.15029778413</x:v>
      </x:c>
      <x:c r="V209" t="n">
        <x:f>V$8+(V$9-V$8)*H209</x:f>
        <x:v>0.9058709774799142</x:v>
      </x:c>
      <x:c r="W209" t="n">
        <x:f>IF(B209&lt;$H$8,0,W$8+(W$9-W$8)*H209)</x:f>
        <x:v>0.2744946366398856</x:v>
      </x:c>
      <x:c r="X209" t="n">
        <x:f>X$8+(X$9-X$8)*H209</x:f>
        <x:v>0.46371506268992135</x:v>
      </x:c>
      <x:c r="Y209" t="n">
        <x:f>Y$8+(Y$9-Y$8)*G209</x:f>
        <x:v>1</x:v>
      </x:c>
      <x:c r="Z209" t="n">
        <x:f>Z$8+(Z$9-Z$8)*H209</x:f>
        <x:v>1</x:v>
      </x:c>
      <x:c r="AA209" t="n">
        <x:f>AA$8+(AA$9-AA$8)*I209</x:f>
        <x:v>1</x:v>
      </x:c>
      <x:c r="AB209" t="n">
        <x:f>AB$8+(AB$9-AB$8)*J209</x:f>
        <x:v>1</x:v>
      </x:c>
      <x:c r="AC209" t="n">
        <x:f>AC$8+(AC$9-AC$8)*MAX(K209,L209)</x:f>
        <x:v>1</x:v>
      </x:c>
      <x:c r="AD209" t="n">
        <x:f>(V209*AE209+W209*AF209+X209*AG209)*PRODUCT(Y209:AC209)</x:f>
        <x:v>1.8680763852340465</x:v>
      </x:c>
      <x:c r="AE209" t="n">
        <x:f>1+AE$9*($H$10*H209+$I$10*I209+$J$10*J209+$K$10*K209+$L$10*L209)</x:f>
        <x:v>1</x:v>
      </x:c>
      <x:c r="AF209" t="n">
        <x:f>1+AF$9*($H$10*H209+$I$10*I209+$J$10*J209+$K$10*K209+$L$10*L209)</x:f>
        <x:v>1.2043195749072229</x:v>
      </x:c>
      <x:c r="AG209" t="n">
        <x:f>1+AG$9*($H$10*H209+$I$10*I209+$J$10*J209+$K$10*K209+$L$10*L209)</x:f>
        <x:v>1.3620996910855812</x:v>
      </x:c>
      <x:c r="AH209" t="n">
        <x:f>MIN(1,'_曲线基线'!$L$3+AH$9*($H$10*H209+$I$10*I209+$J$10*J209+$K$10*K209+$L$10*L209))</x:f>
        <x:v>0.5148270329139315</x:v>
      </x:c>
      <x:c r="AI209" t="n">
        <x:f>'_曲线基线'!$L$4+AI$9*($H$10*H209+$I$10*I209+$J$10*J209+$K$10*K209+$L$10*L209)</x:f>
        <x:v>3.2948753059745237</x:v>
      </x:c>
      <x:c r="AJ209" t="n">
        <x:f>1+AJ$9*($H$10*H209+$I$10*I209+$J$10*J209+$K$10*K209+$L$10*L209)</x:f>
        <x:v>2.062461789517558</x:v>
      </x:c>
      <x:c r="AK209" t="n">
        <x:f>(1+AH209*(AI209-1))*AJ209</x:f>
        <x:v>4.499185824871339</x:v>
      </x:c>
      <x:c r="AL209" t="n">
        <x:f>U209*AD209*AK209*F209</x:f>
        <x:v>2190555.2804680057</x:v>
      </x:c>
      <x:c r="AM209" t="n">
        <x:f>IF($B209&lt;AM$8,0,AM$3+(AM$4-AM$3)*(POWER(AM$5,$B209-AM$8)-1)/(POWER(AM$5,$C$5-AM$8)-1))</x:f>
        <x:v>43.190177956406735</x:v>
      </x:c>
      <x:c r="AN209" t="n">
        <x:f>(((E209*'模块规划'!$D$10+G209*'模块规划'!$D$11+H209*'模块规划'!$D$13)*(1+'模块规划'!$G$14*H209)+(I209*'模块规划'!$D$15+J209*'模块规划'!$D$17+K209*'模块规划'!$D$16+L209*'模块规划'!$D$18))*(1+'模块规划'!$J$17*J209))*F209/(1-Q209)</x:f>
        <x:v>2704414.279116301</x:v>
      </x:c>
      <x:c r="AO209" t="n">
        <x:f>AL209*AM209</x:f>
        <x:v>94610472.38675964</x:v>
      </x:c>
      <x:c r="AP209" t="n">
        <x:f>IF(AO209="","",INDEX('_曲线基线'!$A$3:$A$502,MIN(ROWS('_曲线基线'!$A$3:$A$502),COUNTIF('_曲线基线'!$E$3:$E$502,"&lt;"&amp;AO209)+1)))</x:f>
        <x:v>289</x:v>
      </x:c>
      <x:c r="AQ209" t="n">
        <x:f>IF(B209&lt;=2,1,IF(B209&lt;=6,2,IF(B209&lt;=9,3,IF(B209&lt;=19,4,5))))</x:f>
        <x:v>5</x:v>
      </x:c>
      <x:c r="AR209" t="n">
        <x:f>AN209*(1-Q209)/F209*$AS$3+U209*$AS$4+P209*$AS$5</x:f>
        <x:v>17053.835556508948</x:v>
      </x:c>
      <x:c r="AS209" t="n">
        <x:f>1+AH209*$AS$6+AI209*$AS$7+(AJ209-1)*$AS$8+($H$10*H209+$I$10*I209+$J$10*J209+$K$10*K209+$L$10*L209)*$AU$3*$AS$9+($H$10*H209+$I$10*I209+$J$10*J209+$K$10*K209+$L$10*L209)*$AU$4*$AS$10</x:f>
        <x:v>17.189906758823543</x:v>
      </x:c>
      <x:c r="AT209" t="n">
        <x:f>ROUND(AR209*AS209,0)</x:f>
        <x:v>293154</x:v>
      </x:c>
      <x:c r="AU209" t="n">
        <x:f>ROUND(AT209*F209,0)</x:f>
        <x:v>1465770</x:v>
      </x:c>
    </x:row>
    <x:row r="210">
      <x:c r="A210" t="str">
        <x:f>IFERROR(XLOOKUP(B210,'_曲线基线'!$G$3:$G$107,'_曲线基线'!$J$3:$J$107,""),"")</x:f>
      </x:c>
      <x:c r="B210" t="n">
        <x:v>199</x:v>
      </x:c>
      <x:c r="C210" t="n">
        <x:f>C195+1</x:f>
        <x:v>14</x:v>
      </x:c>
      <x:c r="D210" t="n">
        <x:f>D195</x:f>
        <x:v>10</x:v>
      </x:c>
      <x:c r="E210" t="n">
        <x:f>IF($B210&lt;E$8,0,E$3+(E$4-E$3)*(POWER(E$5,$B210-E$8)-1)/(POWER(E$5,$C$5-E$8)-1))</x:f>
        <x:v>1</x:v>
      </x:c>
      <x:c r="F210" t="n">
        <x:f>1+IF(B210&lt;3,0,MIN(1,(B210-2)/4))+IF(B210&lt;7,0,MIN(1,(B210-6)/3))+IF(B210&lt;10,0,MIN(1,(B210-9)/5))+IF(B210&lt;20,0,MIN(1,(B210-19)/10))</x:f>
        <x:v>5</x:v>
      </x:c>
      <x:c r="G210" t="n">
        <x:f>IF($B210&lt;G$8,0,G$3+(G$4-G$3)*(POWER(G$5,$B210-G$8)-1)/(POWER(G$5,$C$5-G$8)-1))</x:f>
        <x:v>0.8678475065939084</x:v>
      </x:c>
      <x:c r="H210" t="n">
        <x:f>IF($B210&lt;H$8,0,H$3+(H$4-H$3)*(POWER(H$5,$B210-H$8)-1)/(POWER(H$5,$C$5-H$8)-1))</x:f>
        <x:v>0.6865784020072311</x:v>
      </x:c>
      <x:c r="I210" t="n">
        <x:f>IF($B210&lt;I$8,0,I$3+(I$4-I$3)*(POWER(I$5,$B210-I$8)-1)/(POWER(I$5,$C$5-I$8)-1))</x:f>
        <x:v>0.6154908033819279</x:v>
      </x:c>
      <x:c r="J210" t="n">
        <x:f>IF($B210&lt;J$8,0,J$3+(J$4-J$3)*(POWER(J$5,$B210-J$8)-1)/(POWER(J$5,$C$5-J$8)-1))</x:f>
        <x:v>0.5840768624644679</x:v>
      </x:c>
      <x:c r="K210" t="n">
        <x:f>IF($B210&lt;K$8,0,K$3+(K$4-K$3)*(POWER(K$5,$B210-K$8)-1)/(POWER(K$5,$C$5-K$8)-1))</x:f>
        <x:v>0.5775643479722121</x:v>
      </x:c>
      <x:c r="L210" t="n">
        <x:f>IF($B210&lt;L$8,0,L$3+(L$4-L$3)*(POWER(L$5,$B210-L$8)-1)/(POWER(L$5,$C$5-L$8)-1))</x:f>
        <x:v>0.6863031632461659</x:v>
      </x:c>
      <x:c r="M210" t="n">
        <x:f>E210*'模块规划'!$F$10+G210*'模块规划'!$F$11+H210*'模块规划'!$F$13</x:f>
        <x:v>5165.66803165076</x:v>
      </x:c>
      <x:c r="N210" t="n">
        <x:f>I210*'模块规划'!$F$15+J210*'模块规划'!$F$17+K210*'模块规划'!$F$16+L210*'模块规划'!$F$18</x:f>
        <x:v>17661.596955764206</x:v>
      </x:c>
      <x:c r="O210" t="n">
        <x:f>1+O$9*SUMPRODUCT($H$10:$L$10,H210:L210)/SUM($H$10:$L$10)</x:f>
        <x:v>3.317634357586473</x:v>
      </x:c>
      <x:c r="P210" t="n">
        <x:f>M210*O210+N210</x:f>
        <x:v>34799.39469745486</x:v>
      </x:c>
      <x:c r="Q210" t="n">
        <x:f>P210/(P210+'_曲线基线'!$L$2)</x:f>
        <x:v>0.5918325329114511</x:v>
      </x:c>
      <x:c r="R210" t="n">
        <x:f>E210*'模块规划'!$E$10+G210*'模块规划'!$E$11+H210*'模块规划'!$E$13</x:f>
        <x:v>7748.50204747614</x:v>
      </x:c>
      <x:c r="S210" t="n">
        <x:f>I210*'模块规划'!$E$15+J210*'模块规划'!$E$17+K210*'模块规划'!$E$16+L210*'模块规划'!$E$18</x:f>
        <x:v>26492.395433646307</x:v>
      </x:c>
      <x:c r="T210" t="n">
        <x:f>1+T$9*SUMPRODUCT($H$10:$L$10,H210:L210)/SUM($H$10:$L$10)</x:f>
        <x:v>3.317634357586473</x:v>
      </x:c>
      <x:c r="U210" t="n">
        <x:f>R210*T210+S210</x:f>
        <x:v>52199.09204618228</x:v>
      </x:c>
      <x:c r="V210" t="n">
        <x:f>V$8+(V$9-V$8)*H210</x:f>
        <x:v>0.9059735206021693</x:v>
      </x:c>
      <x:c r="W210" t="n">
        <x:f>IF(B210&lt;$H$8,0,W$8+(W$9-W$8)*H210)</x:f>
        <x:v>0.27463136080289247</x:v>
      </x:c>
      <x:c r="X210" t="n">
        <x:f>X$8+(X$9-X$8)*H210</x:f>
        <x:v>0.46380906055198856</x:v>
      </x:c>
      <x:c r="Y210" t="n">
        <x:f>Y$8+(Y$9-Y$8)*G210</x:f>
        <x:v>1</x:v>
      </x:c>
      <x:c r="Z210" t="n">
        <x:f>Z$8+(Z$9-Z$8)*H210</x:f>
        <x:v>1</x:v>
      </x:c>
      <x:c r="AA210" t="n">
        <x:f>AA$8+(AA$9-AA$8)*I210</x:f>
        <x:v>1</x:v>
      </x:c>
      <x:c r="AB210" t="n">
        <x:f>AB$8+(AB$9-AB$8)*J210</x:f>
        <x:v>1</x:v>
      </x:c>
      <x:c r="AC210" t="n">
        <x:f>AC$8+(AC$9-AC$8)*MAX(K210,L210)</x:f>
        <x:v>1</x:v>
      </x:c>
      <x:c r="AD210" t="n">
        <x:f>(V210*AE210+W210*AF210+X210*AG210)*PRODUCT(Y210:AC210)</x:f>
        <x:v>1.8687268780605901</x:v>
      </x:c>
      <x:c r="AE210" t="n">
        <x:f>1+AE$9*($H$10*H210+$I$10*I210+$J$10*J210+$K$10*K210+$L$10*L210)</x:f>
        <x:v>1</x:v>
      </x:c>
      <x:c r="AF210" t="n">
        <x:f>1+AF$9*($H$10*H210+$I$10*I210+$J$10*J210+$K$10*K210+$L$10*L210)</x:f>
        <x:v>1.204552344110871</x:v>
      </x:c>
      <x:c r="AG210" t="n">
        <x:f>1+AG$9*($H$10*H210+$I$10*I210+$J$10*J210+$K$10*K210+$L$10*L210)</x:f>
        <x:v>1.3625122098409355</x:v>
      </x:c>
      <x:c r="AH210" t="n">
        <x:f>MIN(1,'_曲线基线'!$L$3+AH$9*($H$10*H210+$I$10*I210+$J$10*J210+$K$10*K210+$L$10*L210))</x:f>
        <x:v>0.5153565828522312</x:v>
      </x:c>
      <x:c r="AI210" t="n">
        <x:f>'_曲线基线'!$L$4+AI$9*($H$10*H210+$I$10*I210+$J$10*J210+$K$10*K210+$L$10*L210)</x:f>
        <x:v>3.296350480802644</x:v>
      </x:c>
      <x:c r="AJ210" t="n">
        <x:f>1+AJ$9*($H$10*H210+$I$10*I210+$J$10*J210+$K$10*K210+$L$10*L210)</x:f>
        <x:v>2.063672189376528</x:v>
      </x:c>
      <x:c r="AK210" t="n">
        <x:f>(1+AH210*(AI210-1))*AJ210</x:f>
        <x:v>4.5059030365810635</x:v>
      </x:c>
      <x:c r="AL210" t="n">
        <x:f>U210*AD210*AK210*F210</x:f>
        <x:v>2197660.625629543</x:v>
      </x:c>
      <x:c r="AM210" t="n">
        <x:f>IF($B210&lt;AM$8,0,AM$3+(AM$4-AM$3)*(POWER(AM$5,$B210-AM$8)-1)/(POWER(AM$5,$C$5-AM$8)-1))</x:f>
        <x:v>43.28550437589267</x:v>
      </x:c>
      <x:c r="AN210" t="n">
        <x:f>(((E210*'模块规划'!$D$10+G210*'模块规划'!$D$11+H210*'模块规划'!$D$13)*(1+'模块规划'!$G$14*H210)+(I210*'模块规划'!$D$15+J210*'模块规划'!$D$17+K210*'模块规划'!$D$16+L210*'模块规划'!$D$18))*(1+'模块规划'!$J$17*J210))*F210/(1-Q210)</x:f>
        <x:v>2710647.1336572566</x:v>
      </x:c>
      <x:c r="AO210" t="n">
        <x:f>AL210*AM210</x:f>
        <x:v>95126848.6274146</x:v>
      </x:c>
      <x:c r="AP210" t="n">
        <x:f>IF(AO210="","",INDEX('_曲线基线'!$A$3:$A$502,MIN(ROWS('_曲线基线'!$A$3:$A$502),COUNTIF('_曲线基线'!$E$3:$E$502,"&lt;"&amp;AO210)+1)))</x:f>
        <x:v>289</x:v>
      </x:c>
      <x:c r="AQ210" t="n">
        <x:f>IF(B210&lt;=2,1,IF(B210&lt;=6,2,IF(B210&lt;=9,3,IF(B210&lt;=19,4,5))))</x:f>
        <x:v>5</x:v>
      </x:c>
      <x:c r="AR210" t="n">
        <x:f>AN210*(1-Q210)/F210*$AS$3+U210*$AS$4+P210*$AS$5</x:f>
        <x:v>17078.206257530765</x:v>
      </x:c>
      <x:c r="AS210" t="n">
        <x:f>1+AH210*$AS$6+AI210*$AS$7+(AJ210-1)*$AS$8+($H$10*H210+$I$10*I210+$J$10*J210+$K$10*K210+$L$10*L210)*$AU$3*$AS$9+($H$10*H210+$I$10*I210+$J$10*J210+$K$10*K210+$L$10*L210)*$AU$4*$AS$10</x:f>
        <x:v>17.203814983225527</x:v>
      </x:c>
      <x:c r="AT210" t="n">
        <x:f>ROUND(AR210*AS210,0)</x:f>
        <x:v>293810</x:v>
      </x:c>
      <x:c r="AU210" t="n">
        <x:f>ROUND(AT210*F210,0)</x:f>
        <x:v>1469050</x:v>
      </x:c>
    </x:row>
    <x:row r="211">
      <x:c r="A211" t="str">
        <x:f>IFERROR(XLOOKUP(B211,'_曲线基线'!$G$3:$G$107,'_曲线基线'!$J$3:$J$107,""),"")</x:f>
      </x:c>
      <x:c r="B211" t="n">
        <x:v>200</x:v>
      </x:c>
      <x:c r="C211" t="n">
        <x:f>C196+1</x:f>
        <x:v>14</x:v>
      </x:c>
      <x:c r="D211" t="n">
        <x:f>D196</x:f>
        <x:v>11</x:v>
      </x:c>
      <x:c r="E211" t="n">
        <x:f>IF($B211&lt;E$8,0,E$3+(E$4-E$3)*(POWER(E$5,$B211-E$8)-1)/(POWER(E$5,$C$5-E$8)-1))</x:f>
        <x:v>1</x:v>
      </x:c>
      <x:c r="F211" t="n">
        <x:f>1+IF(B211&lt;3,0,MIN(1,(B211-2)/4))+IF(B211&lt;7,0,MIN(1,(B211-6)/3))+IF(B211&lt;10,0,MIN(1,(B211-9)/5))+IF(B211&lt;20,0,MIN(1,(B211-19)/10))</x:f>
        <x:v>5</x:v>
      </x:c>
      <x:c r="G211" t="n">
        <x:f>IF($B211&lt;G$8,0,G$3+(G$4-G$3)*(POWER(G$5,$B211-G$8)-1)/(POWER(G$5,$C$5-G$8)-1))</x:f>
        <x:v>0.8685349844494955</x:v>
      </x:c>
      <x:c r="H211" t="n">
        <x:f>IF($B211&lt;H$8,0,H$3+(H$4-H$3)*(POWER(H$5,$B211-H$8)-1)/(POWER(H$5,$C$5-H$8)-1))</x:f>
        <x:v>0.6869133762065976</x:v>
      </x:c>
      <x:c r="I211" t="n">
        <x:f>IF($B211&lt;I$8,0,I$3+(I$4-I$3)*(POWER(I$5,$B211-I$8)-1)/(POWER(I$5,$C$5-I$8)-1))</x:f>
        <x:v>0.6163520786573574</x:v>
      </x:c>
      <x:c r="J211" t="n">
        <x:f>IF($B211&lt;J$8,0,J$3+(J$4-J$3)*(POWER(J$5,$B211-J$8)-1)/(POWER(J$5,$C$5-J$8)-1))</x:f>
        <x:v>0.5844742697069024</x:v>
      </x:c>
      <x:c r="K211" t="n">
        <x:f>IF($B211&lt;K$8,0,K$3+(K$4-K$3)*(POWER(K$5,$B211-K$8)-1)/(POWER(K$5,$C$5-K$8)-1))</x:f>
        <x:v>0.5793721859477414</x:v>
      </x:c>
      <x:c r="L211" t="n">
        <x:f>IF($B211&lt;L$8,0,L$3+(L$4-L$3)*(POWER(L$5,$B211-L$8)-1)/(POWER(L$5,$C$5-L$8)-1))</x:f>
        <x:v>0.6866450068126284</x:v>
      </x:c>
      <x:c r="M211" t="n">
        <x:f>E211*'模块规划'!$F$10+G211*'模块规划'!$F$11+H211*'模块规划'!$F$13</x:f>
        <x:v>5168.967925357579</x:v>
      </x:c>
      <x:c r="N211" t="n">
        <x:f>I211*'模块规划'!$F$15+J211*'模块规划'!$F$17+K211*'模块规划'!$F$16+L211*'模块规划'!$F$18</x:f>
        <x:v>17685.017476077475</x:v>
      </x:c>
      <x:c r="O211" t="n">
        <x:f>1+O$9*SUMPRODUCT($H$10:$L$10,H211:L211)/SUM($H$10:$L$10)</x:f>
        <x:v>3.3202189499458794</x:v>
      </x:c>
      <x:c r="P211" t="n">
        <x:f>M211*O211+N211</x:f>
        <x:v>34847.12273351215</x:v>
      </x:c>
      <x:c r="Q211" t="n">
        <x:f>P211/(P211+'_曲线基线'!$L$2)</x:f>
        <x:v>0.5921635776708497</x:v>
      </x:c>
      <x:c r="R211" t="n">
        <x:f>E211*'模块规划'!$E$10+G211*'模块规划'!$E$11+H211*'模块规划'!$E$13</x:f>
        <x:v>7753.451888036368</x:v>
      </x:c>
      <x:c r="S211" t="n">
        <x:f>I211*'模块规划'!$E$15+J211*'模块规划'!$E$17+K211*'模块规划'!$E$16+L211*'模块规划'!$E$18</x:f>
        <x:v>26527.52621411621</x:v>
      </x:c>
      <x:c r="T211" t="n">
        <x:f>1+T$9*SUMPRODUCT($H$10:$L$10,H211:L211)/SUM($H$10:$L$10)</x:f>
        <x:v>3.3202189499458794</x:v>
      </x:c>
      <x:c r="U211" t="n">
        <x:f>R211*T211+S211</x:f>
        <x:v>52270.68410026821</x:v>
      </x:c>
      <x:c r="V211" t="n">
        <x:f>V$8+(V$9-V$8)*H211</x:f>
        <x:v>0.9060740128619793</x:v>
      </x:c>
      <x:c r="W211" t="n">
        <x:f>IF(B211&lt;$H$8,0,W$8+(W$9-W$8)*H211)</x:f>
        <x:v>0.27476535048263906</x:v>
      </x:c>
      <x:c r="X211" t="n">
        <x:f>X$8+(X$9-X$8)*H211</x:f>
        <x:v>0.4639011784568144</x:v>
      </x:c>
      <x:c r="Y211" t="n">
        <x:f>Y$8+(Y$9-Y$8)*G211</x:f>
        <x:v>1</x:v>
      </x:c>
      <x:c r="Z211" t="n">
        <x:f>Z$8+(Z$9-Z$8)*H211</x:f>
        <x:v>1</x:v>
      </x:c>
      <x:c r="AA211" t="n">
        <x:f>AA$8+(AA$9-AA$8)*I211</x:f>
        <x:v>1</x:v>
      </x:c>
      <x:c r="AB211" t="n">
        <x:f>AB$8+(AB$9-AB$8)*J211</x:f>
        <x:v>1</x:v>
      </x:c>
      <x:c r="AC211" t="n">
        <x:f>AC$8+(AC$9-AC$8)*MAX(K211,L211)</x:f>
        <x:v>1</x:v>
      </x:c>
      <x:c r="AD211" t="n">
        <x:f>(V211*AE211+W211*AF211+X211*AG211)*PRODUCT(Y211:AC211)</x:f>
        <x:v>1.8693644980248905</x:v>
      </x:c>
      <x:c r="AE211" t="n">
        <x:f>1+AE$9*($H$10*H211+$I$10*I211+$J$10*J211+$K$10*K211+$L$10*L211)</x:f>
        <x:v>1</x:v>
      </x:c>
      <x:c r="AF211" t="n">
        <x:f>1+AF$9*($H$10*H211+$I$10*I211+$J$10*J211+$K$10*K211+$L$10*L211)</x:f>
        <x:v>1.2047804579304462</x:v>
      </x:c>
      <x:c r="AG211" t="n">
        <x:f>1+AG$9*($H$10*H211+$I$10*I211+$J$10*J211+$K$10*K211+$L$10*L211)</x:f>
        <x:v>1.3629164782211824</x:v>
      </x:c>
      <x:c r="AH211" t="n">
        <x:f>MIN(1,'_曲线基线'!$L$3+AH$9*($H$10*H211+$I$10*I211+$J$10*J211+$K$10*K211+$L$10*L211))</x:f>
        <x:v>0.5158755417917645</x:v>
      </x:c>
      <x:c r="AI211" t="n">
        <x:f>'_曲线基线'!$L$4+AI$9*($H$10*H211+$I$10*I211+$J$10*J211+$K$10*K211+$L$10*L211)</x:f>
        <x:v>3.297796152134201</x:v>
      </x:c>
      <x:c r="AJ211" t="n">
        <x:f>1+AJ$9*($H$10*H211+$I$10*I211+$J$10*J211+$K$10*K211+$L$10*L211)</x:f>
        <x:v>2.064858381238319</x:v>
      </x:c>
      <x:c r="AK211" t="n">
        <x:f>(1+AH211*(AI211-1))*AJ211</x:f>
        <x:v>4.512493673726462</x:v>
      </x:c>
      <x:c r="AL211" t="n">
        <x:f>U211*AD211*AK211*F211</x:f>
        <x:v>2204645.5950285294</x:v>
      </x:c>
      <x:c r="AM211" t="n">
        <x:f>IF($B211&lt;AM$8,0,AM$3+(AM$4-AM$3)*(POWER(AM$5,$B211-AM$8)-1)/(POWER(AM$5,$C$5-AM$8)-1))</x:f>
        <x:v>43.38178405957347</x:v>
      </x:c>
      <x:c r="AN211" t="n">
        <x:f>(((E211*'模块规划'!$D$10+G211*'模块规划'!$D$11+H211*'模块规划'!$D$13)*(1+'模块规划'!$G$14*H211)+(I211*'模块规划'!$D$15+J211*'模块规划'!$D$17+K211*'模块规划'!$D$16+L211*'模块规划'!$D$18))*(1+'模块规划'!$J$17*J211))*F211/(1-Q211)</x:f>
        <x:v>2716769.9246577257</x:v>
      </x:c>
      <x:c r="AO211" t="n">
        <x:f>AL211*AM211</x:f>
        <x:v>95641459.13141753</x:v>
      </x:c>
      <x:c r="AP211" t="n">
        <x:f>IF(AO211="","",INDEX('_曲线基线'!$A$3:$A$502,MIN(ROWS('_曲线基线'!$A$3:$A$502),COUNTIF('_曲线基线'!$E$3:$E$502,"&lt;"&amp;AO211)+1)))</x:f>
        <x:v>290</x:v>
      </x:c>
      <x:c r="AQ211" t="n">
        <x:f>IF(B211&lt;=2,1,IF(B211&lt;=6,2,IF(B211&lt;=9,3,IF(B211&lt;=19,4,5))))</x:f>
        <x:v>5</x:v>
      </x:c>
      <x:c r="AR211" t="n">
        <x:f>AN211*(1-Q211)/F211*$AS$3+U211*$AS$4+P211*$AS$5</x:f>
        <x:v>17102.123178236696</x:v>
      </x:c>
      <x:c r="AS211" t="n">
        <x:f>1+AH211*$AS$6+AI211*$AS$7+(AJ211-1)*$AS$8+($H$10*H211+$I$10*I211+$J$10*J211+$K$10*K211+$L$10*L211)*$AU$3*$AS$9+($H$10*H211+$I$10*I211+$J$10*J211+$K$10*K211+$L$10*L211)*$AU$4*$AS$10</x:f>
        <x:v>17.21744504313947</x:v>
      </x:c>
      <x:c r="AT211" t="n">
        <x:f>ROUND(AR211*AS211,0)</x:f>
        <x:v>294455</x:v>
      </x:c>
      <x:c r="AU211" t="n">
        <x:f>ROUND(AT211*F211,0)</x:f>
        <x:v>1472275</x:v>
      </x:c>
    </x:row>
    <x:row r="212">
      <x:c r="A212" t="str">
        <x:f>IFERROR(XLOOKUP(B212,'_曲线基线'!$G$3:$G$107,'_曲线基线'!$J$3:$J$107,""),"")</x:f>
      </x:c>
      <x:c r="B212" t="n">
        <x:v>201</x:v>
      </x:c>
      <x:c r="C212" t="n">
        <x:f>C197+1</x:f>
        <x:v>14</x:v>
      </x:c>
      <x:c r="D212" t="n">
        <x:f>D197</x:f>
        <x:v>12</x:v>
      </x:c>
      <x:c r="E212" t="n">
        <x:f>IF($B212&lt;E$8,0,E$3+(E$4-E$3)*(POWER(E$5,$B212-E$8)-1)/(POWER(E$5,$C$5-E$8)-1))</x:f>
        <x:v>1</x:v>
      </x:c>
      <x:c r="F212" t="n">
        <x:f>1+IF(B212&lt;3,0,MIN(1,(B212-2)/4))+IF(B212&lt;7,0,MIN(1,(B212-6)/3))+IF(B212&lt;10,0,MIN(1,(B212-9)/5))+IF(B212&lt;20,0,MIN(1,(B212-19)/10))</x:f>
        <x:v>5</x:v>
      </x:c>
      <x:c r="G212" t="n">
        <x:f>IF($B212&lt;G$8,0,G$3+(G$4-G$3)*(POWER(G$5,$B212-G$8)-1)/(POWER(G$5,$C$5-G$8)-1))</x:f>
        <x:v>0.869212150137249</x:v>
      </x:c>
      <x:c r="H212" t="n">
        <x:f>IF($B212&lt;H$8,0,H$3+(H$4-H$3)*(POWER(H$5,$B212-H$8)-1)/(POWER(H$5,$C$5-H$8)-1))</x:f>
        <x:v>0.6872416509219771</x:v>
      </x:c>
      <x:c r="I212" t="n">
        <x:f>IF($B212&lt;I$8,0,I$3+(I$4-I$3)*(POWER(I$5,$B212-I$8)-1)/(POWER(I$5,$C$5-I$8)-1))</x:f>
        <x:v>0.6171961284272784</x:v>
      </x:c>
      <x:c r="J212" t="n">
        <x:f>IF($B212&lt;J$8,0,J$3+(J$4-J$3)*(POWER(J$5,$B212-J$8)-1)/(POWER(J$5,$C$5-J$8)-1))</x:f>
        <x:v>0.5848637288044882</x:v>
      </x:c>
      <x:c r="K212" t="n">
        <x:f>IF($B212&lt;K$8,0,K$3+(K$4-K$3)*(POWER(K$5,$B212-K$8)-1)/(POWER(K$5,$C$5-K$8)-1))</x:f>
        <x:v>0.5811438671637601</x:v>
      </x:c>
      <x:c r="L212" t="n">
        <x:f>IF($B212&lt;L$8,0,L$3+(L$4-L$3)*(POWER(L$5,$B212-L$8)-1)/(POWER(L$5,$C$5-L$8)-1))</x:f>
        <x:v>0.6869800135077614</x:v>
      </x:c>
      <x:c r="M212" t="n">
        <x:f>E212*'模块规划'!$F$10+G212*'模块规划'!$F$11+H212*'模块规划'!$F$13</x:f>
        <x:v>5172.218320658795</x:v>
      </x:c>
      <x:c r="N212" t="n">
        <x:f>I212*'模块规划'!$F$15+J212*'模块规划'!$F$17+K212*'模块规划'!$F$16+L212*'模块规划'!$F$18</x:f>
        <x:v>17707.96958598448</x:v>
      </x:c>
      <x:c r="O212" t="n">
        <x:f>1+O$9*SUMPRODUCT($H$10:$L$10,H212:L212)/SUM($H$10:$L$10)</x:f>
        <x:v>3.322751850458098</x:v>
      </x:c>
      <x:c r="P212" t="n">
        <x:f>M212*O212+N212</x:f>
        <x:v>34893.96758192677</x:v>
      </x:c>
      <x:c r="Q212" t="n">
        <x:f>P212/(P212+'_曲线基线'!$L$2)</x:f>
        <x:v>0.5924879748233322</x:v>
      </x:c>
      <x:c r="R212" t="n">
        <x:f>E212*'模块规划'!$E$10+G212*'模块规划'!$E$11+H212*'模块规划'!$E$13</x:f>
        <x:v>7758.327480988192</x:v>
      </x:c>
      <x:c r="S212" t="n">
        <x:f>I212*'模块规划'!$E$15+J212*'模块规划'!$E$17+K212*'模块规划'!$E$16+L212*'模块规划'!$E$18</x:f>
        <x:v>26561.954378976716</x:v>
      </x:c>
      <x:c r="T212" t="n">
        <x:f>1+T$9*SUMPRODUCT($H$10:$L$10,H212:L212)/SUM($H$10:$L$10)</x:f>
        <x:v>3.322751850458098</x:v>
      </x:c>
      <x:c r="U212" t="n">
        <x:f>R212*T212+S212</x:f>
        <x:v>52340.951372890144</x:v>
      </x:c>
      <x:c r="V212" t="n">
        <x:f>V$8+(V$9-V$8)*H212</x:f>
        <x:v>0.906172495276593</x:v>
      </x:c>
      <x:c r="W212" t="n">
        <x:f>IF(B212&lt;$H$8,0,W$8+(W$9-W$8)*H212)</x:f>
        <x:v>0.27489666036879085</x:v>
      </x:c>
      <x:c r="X212" t="n">
        <x:f>X$8+(X$9-X$8)*H212</x:f>
        <x:v>0.46399145400354375</x:v>
      </x:c>
      <x:c r="Y212" t="n">
        <x:f>Y$8+(Y$9-Y$8)*G212</x:f>
        <x:v>1</x:v>
      </x:c>
      <x:c r="Z212" t="n">
        <x:f>Z$8+(Z$9-Z$8)*H212</x:f>
        <x:v>1</x:v>
      </x:c>
      <x:c r="AA212" t="n">
        <x:f>AA$8+(AA$9-AA$8)*I212</x:f>
        <x:v>1</x:v>
      </x:c>
      <x:c r="AB212" t="n">
        <x:f>AB$8+(AB$9-AB$8)*J212</x:f>
        <x:v>1</x:v>
      </x:c>
      <x:c r="AC212" t="n">
        <x:f>AC$8+(AC$9-AC$8)*MAX(K212,L212)</x:f>
        <x:v>1</x:v>
      </x:c>
      <x:c r="AD212" t="n">
        <x:f>(V212*AE212+W212*AF212+X212*AG212)*PRODUCT(Y212:AC212)</x:f>
        <x:v>1.8699894971592195</x:v>
      </x:c>
      <x:c r="AE212" t="n">
        <x:f>1+AE$9*($H$10*H212+$I$10*I212+$J$10*J212+$K$10*K212+$L$10*L212)</x:f>
        <x:v>1</x:v>
      </x:c>
      <x:c r="AF212" t="n">
        <x:f>1+AF$9*($H$10*H212+$I$10*I212+$J$10*J212+$K$10*K212+$L$10*L212)</x:f>
        <x:v>1.2050040094736298</x:v>
      </x:c>
      <x:c r="AG212" t="n">
        <x:f>1+AG$9*($H$10*H212+$I$10*I212+$J$10*J212+$K$10*K212+$L$10*L212)</x:f>
        <x:v>1.3633126612338247</x:v>
      </x:c>
      <x:c r="AH212" t="n">
        <x:f>MIN(1,'_曲线基线'!$L$3+AH$9*($H$10*H212+$I$10*I212+$J$10*J212+$K$10*K212+$L$10*L212))</x:f>
        <x:v>0.5163841215525075</x:v>
      </x:c>
      <x:c r="AI212" t="n">
        <x:f>'_曲线基线'!$L$4+AI$9*($H$10*H212+$I$10*I212+$J$10*J212+$K$10*K212+$L$10*L212)</x:f>
        <x:v>3.299212910039128</x:v>
      </x:c>
      <x:c r="AJ212" t="n">
        <x:f>1+AJ$9*($H$10*H212+$I$10*I212+$J$10*J212+$K$10*K212+$L$10*L212)</x:f>
        <x:v>2.066020849262874</x:v>
      </x:c>
      <x:c r="AK212" t="n">
        <x:f>(1+AH212*(AI212-1))*AJ212</x:f>
        <x:v>4.518959965301081</x:v>
      </x:c>
      <x:c r="AL212" t="n">
        <x:f>U212*AD212*AK212*F212</x:f>
        <x:v>2211511.8855192508</x:v>
      </x:c>
      <x:c r="AM212" t="n">
        <x:f>IF($B212&lt;AM$8,0,AM$3+(AM$4-AM$3)*(POWER(AM$5,$B212-AM$8)-1)/(POWER(AM$5,$C$5-AM$8)-1))</x:f>
        <x:v>43.47902654009107</x:v>
      </x:c>
      <x:c r="AN212" t="n">
        <x:f>(((E212*'模块规划'!$D$10+G212*'模块规划'!$D$11+H212*'模块规划'!$D$13)*(1+'模块规划'!$G$14*H212)+(I212*'模块规划'!$D$15+J212*'模块规划'!$D$17+K212*'模块规划'!$D$16+L212*'模块规划'!$D$18))*(1+'模块规划'!$J$17*J212))*F212/(1-Q212)</x:f>
        <x:v>2722784.443407188</x:v>
      </x:c>
      <x:c r="AO212" t="n">
        <x:f>AL212*AM212</x:f>
        <x:v>96154383.96421835</x:v>
      </x:c>
      <x:c r="AP212" t="n">
        <x:f>IF(AO212="","",INDEX('_曲线基线'!$A$3:$A$502,MIN(ROWS('_曲线基线'!$A$3:$A$502),COUNTIF('_曲线基线'!$E$3:$E$502,"&lt;"&amp;AO212)+1)))</x:f>
        <x:v>290</x:v>
      </x:c>
      <x:c r="AQ212" t="n">
        <x:f>IF(B212&lt;=2,1,IF(B212&lt;=6,2,IF(B212&lt;=9,3,IF(B212&lt;=19,4,5))))</x:f>
        <x:v>5</x:v>
      </x:c>
      <x:c r="AR212" t="n">
        <x:f>AN212*(1-Q212)/F212*$AS$3+U212*$AS$4+P212*$AS$5</x:f>
        <x:v>17125.59469049237</x:v>
      </x:c>
      <x:c r="AS212" t="n">
        <x:f>1+AH212*$AS$6+AI212*$AS$7+(AJ212-1)*$AS$8+($H$10*H212+$I$10*I212+$J$10*J212+$K$10*K212+$L$10*L212)*$AU$3*$AS$9+($H$10*H212+$I$10*I212+$J$10*J212+$K$10*K212+$L$10*L212)*$AU$4*$AS$10</x:f>
        <x:v>17.230802501855138</x:v>
      </x:c>
      <x:c r="AT212" t="n">
        <x:f>ROUND(AR212*AS212,0)</x:f>
        <x:v>295088</x:v>
      </x:c>
      <x:c r="AU212" t="n">
        <x:f>ROUND(AT212*F212,0)</x:f>
        <x:v>1475440</x:v>
      </x:c>
    </x:row>
    <x:row r="213">
      <x:c r="A213" t="str">
        <x:f>IFERROR(XLOOKUP(B213,'_曲线基线'!$G$3:$G$107,'_曲线基线'!$J$3:$J$107,""),"")</x:f>
      </x:c>
      <x:c r="B213" t="n">
        <x:v>202</x:v>
      </x:c>
      <x:c r="C213" t="n">
        <x:f>C198+1</x:f>
        <x:v>14</x:v>
      </x:c>
      <x:c r="D213" t="n">
        <x:f>D198</x:f>
        <x:v>13</x:v>
      </x:c>
      <x:c r="E213" t="n">
        <x:f>IF($B213&lt;E$8,0,E$3+(E$4-E$3)*(POWER(E$5,$B213-E$8)-1)/(POWER(E$5,$C$5-E$8)-1))</x:f>
        <x:v>1</x:v>
      </x:c>
      <x:c r="F213" t="n">
        <x:f>1+IF(B213&lt;3,0,MIN(1,(B213-2)/4))+IF(B213&lt;7,0,MIN(1,(B213-6)/3))+IF(B213&lt;10,0,MIN(1,(B213-9)/5))+IF(B213&lt;20,0,MIN(1,(B213-19)/10))</x:f>
        <x:v>5</x:v>
      </x:c>
      <x:c r="G213" t="n">
        <x:f>IF($B213&lt;G$8,0,G$3+(G$4-G$3)*(POWER(G$5,$B213-G$8)-1)/(POWER(G$5,$C$5-G$8)-1))</x:f>
        <x:v>0.8698791583396862</x:v>
      </x:c>
      <x:c r="H213" t="n">
        <x:f>IF($B213&lt;H$8,0,H$3+(H$4-H$3)*(POWER(H$5,$B213-H$8)-1)/(POWER(H$5,$C$5-H$8)-1))</x:f>
        <x:v>0.6875633601430489</x:v>
      </x:c>
      <x:c r="I213" t="n">
        <x:f>IF($B213&lt;I$8,0,I$3+(I$4-I$3)*(POWER(I$5,$B213-I$8)-1)/(POWER(I$5,$C$5-I$8)-1))</x:f>
        <x:v>0.618023297201801</x:v>
      </x:c>
      <x:c r="J213" t="n">
        <x:f>IF($B213&lt;J$8,0,J$3+(J$4-J$3)*(POWER(J$5,$B213-J$8)-1)/(POWER(J$5,$C$5-J$8)-1))</x:f>
        <x:v>0.5852453987201224</x:v>
      </x:c>
      <x:c r="K213" t="n">
        <x:f>IF($B213&lt;K$8,0,K$3+(K$4-K$3)*(POWER(K$5,$B213-K$8)-1)/(POWER(K$5,$C$5-K$8)-1))</x:f>
        <x:v>0.5828801147554585</x:v>
      </x:c>
      <x:c r="L213" t="n">
        <x:f>IF($B213&lt;L$8,0,L$3+(L$4-L$3)*(POWER(L$5,$B213-L$8)-1)/(POWER(L$5,$C$5-L$8)-1))</x:f>
        <x:v>0.6873083200689919</x:v>
      </x:c>
      <x:c r="M213" t="n">
        <x:f>E213*'模块规划'!$F$10+G213*'模块规划'!$F$11+H213*'模块规划'!$F$13</x:f>
        <x:v>5175.419960030494</x:v>
      </x:c>
      <x:c r="N213" t="n">
        <x:f>I213*'模块规划'!$F$15+J213*'模块规划'!$F$17+K213*'模块规划'!$F$16+L213*'模块规划'!$F$18</x:f>
        <x:v>17730.462653693343</x:v>
      </x:c>
      <x:c r="O213" t="n">
        <x:f>1+O$9*SUMPRODUCT($H$10:$L$10,H213:L213)/SUM($H$10:$L$10)</x:f>
        <x:v>3.325234092960072</x:v>
      </x:c>
      <x:c r="P213" t="n">
        <x:f>M213*O213+N213</x:f>
        <x:v>34939.94555017279</x:v>
      </x:c>
      <x:c r="Q213" t="n">
        <x:f>P213/(P213+'_曲线基线'!$L$2)</x:f>
        <x:v>0.5928058674643679</x:v>
      </x:c>
      <x:c r="R213" t="n">
        <x:f>E213*'模块规划'!$E$10+G213*'模块规划'!$E$11+H213*'模块规划'!$E$13</x:f>
        <x:v>7763.129940045741</x:v>
      </x:c>
      <x:c r="S213" t="n">
        <x:f>I213*'模块规划'!$E$15+J213*'模块规划'!$E$17+K213*'模块规划'!$E$16+L213*'模块规划'!$E$18</x:f>
        <x:v>26595.693980540014</x:v>
      </x:c>
      <x:c r="T213" t="n">
        <x:f>1+T$9*SUMPRODUCT($H$10:$L$10,H213:L213)/SUM($H$10:$L$10)</x:f>
        <x:v>3.325234092960072</x:v>
      </x:c>
      <x:c r="U213" t="n">
        <x:f>R213*T213+S213</x:f>
        <x:v>52409.91832525919</x:v>
      </x:c>
      <x:c r="V213" t="n">
        <x:f>V$8+(V$9-V$8)*H213</x:f>
        <x:v>0.9062690080429147</x:v>
      </x:c>
      <x:c r="W213" t="n">
        <x:f>IF(B213&lt;$H$8,0,W$8+(W$9-W$8)*H213)</x:f>
        <x:v>0.27502534405721957</x:v>
      </x:c>
      <x:c r="X213" t="n">
        <x:f>X$8+(X$9-X$8)*H213</x:f>
        <x:v>0.4640799240393385</x:v>
      </x:c>
      <x:c r="Y213" t="n">
        <x:f>Y$8+(Y$9-Y$8)*G213</x:f>
        <x:v>1</x:v>
      </x:c>
      <x:c r="Z213" t="n">
        <x:f>Z$8+(Z$9-Z$8)*H213</x:f>
        <x:v>1</x:v>
      </x:c>
      <x:c r="AA213" t="n">
        <x:f>AA$8+(AA$9-AA$8)*I213</x:f>
        <x:v>1</x:v>
      </x:c>
      <x:c r="AB213" t="n">
        <x:f>AB$8+(AB$9-AB$8)*J213</x:f>
        <x:v>1</x:v>
      </x:c>
      <x:c r="AC213" t="n">
        <x:f>AC$8+(AC$9-AC$8)*MAX(K213,L213)</x:f>
        <x:v>1</x:v>
      </x:c>
      <x:c r="AD213" t="n">
        <x:f>(V213*AE213+W213*AF213+X213*AG213)*PRODUCT(Y213:AC213)</x:f>
        <x:v>1.870602122670032</x:v>
      </x:c>
      <x:c r="AE213" t="n">
        <x:f>1+AE$9*($H$10*H213+$I$10*I213+$J$10*J213+$K$10*K213+$L$10*L213)</x:f>
        <x:v>1</x:v>
      </x:c>
      <x:c r="AF213" t="n">
        <x:f>1+AF$9*($H$10*H213+$I$10*I213+$J$10*J213+$K$10*K213+$L$10*L213)</x:f>
        <x:v>1.20522308998595</x:v>
      </x:c>
      <x:c r="AG213" t="n">
        <x:f>1+AG$9*($H$10*H213+$I$10*I213+$J$10*J213+$K$10*K213+$L$10*L213)</x:f>
        <x:v>1.3637009205862138</x:v>
      </x:c>
      <x:c r="AH213" t="n">
        <x:f>MIN(1,'_曲线基线'!$L$3+AH$9*($H$10*H213+$I$10*I213+$J$10*J213+$K$10*K213+$L$10*L213))</x:f>
        <x:v>0.5168825297180354</x:v>
      </x:c>
      <x:c r="AI213" t="n">
        <x:f>'_曲线基线'!$L$4+AI$9*($H$10*H213+$I$10*I213+$J$10*J213+$K$10*K213+$L$10*L213)</x:f>
        <x:v>3.3006013327859556</x:v>
      </x:c>
      <x:c r="AJ213" t="n">
        <x:f>1+AJ$9*($H$10*H213+$I$10*I213+$J$10*J213+$K$10*K213+$L$10*L213)</x:f>
        <x:v>2.067160067926938</x:v>
      </x:c>
      <x:c r="AK213" t="n">
        <x:f>(1+AH213*(AI213-1))*AJ213</x:f>
        <x:v>4.525304107392807</x:v>
      </x:c>
      <x:c r="AL213" t="n">
        <x:f>U213*AD213*AK213*F213</x:f>
        <x:v>2218261.184154591</x:v>
      </x:c>
      <x:c r="AM213" t="n">
        <x:f>IF($B213&lt;AM$8,0,AM$3+(AM$4-AM$3)*(POWER(AM$5,$B213-AM$8)-1)/(POWER(AM$5,$C$5-AM$8)-1))</x:f>
        <x:v>43.57724144541385</x:v>
      </x:c>
      <x:c r="AN213" t="n">
        <x:f>(((E213*'模块规划'!$D$10+G213*'模块规划'!$D$11+H213*'模块规划'!$D$13)*(1+'模块规划'!$G$14*H213)+(I213*'模块规划'!$D$15+J213*'模块规划'!$D$17+K213*'模块规划'!$D$16+L213*'模块规划'!$D$18))*(1+'模块规划'!$J$17*J213))*F213/(1-Q213)</x:f>
        <x:v>2728692.4584959857</x:v>
      </x:c>
      <x:c r="AO213" t="n">
        <x:f>AL213*AM213</x:f>
        <x:v>96665703.21089424</x:v>
      </x:c>
      <x:c r="AP213" t="n">
        <x:f>IF(AO213="","",INDEX('_曲线基线'!$A$3:$A$502,MIN(ROWS('_曲线基线'!$A$3:$A$502),COUNTIF('_曲线基线'!$E$3:$E$502,"&lt;"&amp;AO213)+1)))</x:f>
        <x:v>290</x:v>
      </x:c>
      <x:c r="AQ213" t="n">
        <x:f>IF(B213&lt;=2,1,IF(B213&lt;=6,2,IF(B213&lt;=9,3,IF(B213&lt;=19,4,5))))</x:f>
        <x:v>5</x:v>
      </x:c>
      <x:c r="AR213" t="n">
        <x:f>AN213*(1-Q213)/F213*$AS$3+U213*$AS$4+P213*$AS$5</x:f>
        <x:v>17148.629016614606</x:v>
      </x:c>
      <x:c r="AS213" t="n">
        <x:f>1+AH213*$AS$6+AI213*$AS$7+(AJ213-1)*$AS$8+($H$10*H213+$I$10*I213+$J$10*J213+$K$10*K213+$L$10*L213)*$AU$3*$AS$9+($H$10*H213+$I$10*I213+$J$10*J213+$K$10*K213+$L$10*L213)*$AU$4*$AS$10</x:f>
        <x:v>17.24389281139649</x:v>
      </x:c>
      <x:c r="AT213" t="n">
        <x:f>ROUND(AR213*AS213,0)</x:f>
        <x:v>295709</x:v>
      </x:c>
      <x:c r="AU213" t="n">
        <x:f>ROUND(AT213*F213,0)</x:f>
        <x:v>1478545</x:v>
      </x:c>
    </x:row>
    <x:row r="214">
      <x:c r="A214" t="str">
        <x:f>IFERROR(XLOOKUP(B214,'_曲线基线'!$G$3:$G$107,'_曲线基线'!$J$3:$J$107,""),"")</x:f>
      </x:c>
      <x:c r="B214" t="n">
        <x:v>203</x:v>
      </x:c>
      <x:c r="C214" t="n">
        <x:f>C199+1</x:f>
        <x:v>14</x:v>
      </x:c>
      <x:c r="D214" t="n">
        <x:f>D199</x:f>
        <x:v>14</x:v>
      </x:c>
      <x:c r="E214" t="n">
        <x:f>IF($B214&lt;E$8,0,E$3+(E$4-E$3)*(POWER(E$5,$B214-E$8)-1)/(POWER(E$5,$C$5-E$8)-1))</x:f>
        <x:v>1</x:v>
      </x:c>
      <x:c r="F214" t="n">
        <x:f>1+IF(B214&lt;3,0,MIN(1,(B214-2)/4))+IF(B214&lt;7,0,MIN(1,(B214-6)/3))+IF(B214&lt;10,0,MIN(1,(B214-9)/5))+IF(B214&lt;20,0,MIN(1,(B214-19)/10))</x:f>
        <x:v>5</x:v>
      </x:c>
      <x:c r="G214" t="n">
        <x:f>IF($B214&lt;G$8,0,G$3+(G$4-G$3)*(POWER(G$5,$B214-G$8)-1)/(POWER(G$5,$C$5-G$8)-1))</x:f>
        <x:v>0.8705361614190866</x:v>
      </x:c>
      <x:c r="H214" t="n">
        <x:f>IF($B214&lt;H$8,0,H$3+(H$4-H$3)*(POWER(H$5,$B214-H$8)-1)/(POWER(H$5,$C$5-H$8)-1))</x:f>
        <x:v>0.6878786351796992</x:v>
      </x:c>
      <x:c r="I214" t="n">
        <x:f>IF($B214&lt;I$8,0,I$3+(I$4-I$3)*(POWER(I$5,$B214-I$8)-1)/(POWER(I$5,$C$5-I$8)-1))</x:f>
        <x:v>0.6188339226008333</x:v>
      </x:c>
      <x:c r="J214" t="n">
        <x:f>IF($B214&lt;J$8,0,J$3+(J$4-J$3)*(POWER(J$5,$B214-J$8)-1)/(POWER(J$5,$C$5-J$8)-1))</x:f>
        <x:v>0.5856194352374439</x:v>
      </x:c>
      <x:c r="K214" t="n">
        <x:f>IF($B214&lt;K$8,0,K$3+(K$4-K$3)*(POWER(K$5,$B214-K$8)-1)/(POWER(K$5,$C$5-K$8)-1))</x:f>
        <x:v>0.5845816373953229</x:v>
      </x:c>
      <x:c r="L214" t="n">
        <x:f>IF($B214&lt;L$8,0,L$3+(L$4-L$3)*(POWER(L$5,$B214-L$8)-1)/(POWER(L$5,$C$5-L$8)-1))</x:f>
        <x:v>0.6876300604989977</x:v>
      </x:c>
      <x:c r="M214" t="n">
        <x:f>E214*'模块规划'!$F$10+G214*'模块规划'!$F$11+H214*'模块规划'!$F$13</x:f>
        <x:v>5178.573574811616</x:v>
      </x:c>
      <x:c r="N214" t="n">
        <x:f>I214*'模块规划'!$F$15+J214*'模块规划'!$F$17+K214*'模块规划'!$F$16+L214*'模块规划'!$F$18</x:f>
        <x:v>17752.50586004803</x:v>
      </x:c>
      <x:c r="O214" t="n">
        <x:f>1+O$9*SUMPRODUCT($H$10:$L$10,H214:L214)/SUM($H$10:$L$10)</x:f>
        <x:v>3.3276666906120065</x:v>
      </x:c>
      <x:c r="P214" t="n">
        <x:f>M214*O214+N214</x:f>
        <x:v>34985.07264983219</x:v>
      </x:c>
      <x:c r="Q214" t="n">
        <x:f>P214/(P214+'_曲线基线'!$L$2)</x:f>
        <x:v>0.5931173952691863</x:v>
      </x:c>
      <x:c r="R214" t="n">
        <x:f>E214*'模块规划'!$E$10+G214*'模块规划'!$E$11+H214*'模块规划'!$E$13</x:f>
        <x:v>7767.860362217424</x:v>
      </x:c>
      <x:c r="S214" t="n">
        <x:f>I214*'模块规划'!$E$15+J214*'模块规划'!$E$17+K214*'模块规划'!$E$16+L214*'模块规划'!$E$18</x:f>
        <x:v>26628.758790072046</x:v>
      </x:c>
      <x:c r="T214" t="n">
        <x:f>1+T$9*SUMPRODUCT($H$10:$L$10,H214:L214)/SUM($H$10:$L$10)</x:f>
        <x:v>3.3276666906120065</x:v>
      </x:c>
      <x:c r="U214" t="n">
        <x:f>R214*T214+S214</x:f>
        <x:v>52477.608974748284</x:v>
      </x:c>
      <x:c r="V214" t="n">
        <x:f>V$8+(V$9-V$8)*H214</x:f>
        <x:v>0.9063635905539098</x:v>
      </x:c>
      <x:c r="W214" t="n">
        <x:f>IF(B214&lt;$H$8,0,W$8+(W$9-W$8)*H214)</x:f>
        <x:v>0.2751514540718797</x:v>
      </x:c>
      <x:c r="X214" t="n">
        <x:f>X$8+(X$9-X$8)*H214</x:f>
        <x:v>0.46416662467441727</x:v>
      </x:c>
      <x:c r="Y214" t="n">
        <x:f>Y$8+(Y$9-Y$8)*G214</x:f>
        <x:v>1</x:v>
      </x:c>
      <x:c r="Z214" t="n">
        <x:f>Z$8+(Z$9-Z$8)*H214</x:f>
        <x:v>1</x:v>
      </x:c>
      <x:c r="AA214" t="n">
        <x:f>AA$8+(AA$9-AA$8)*I214</x:f>
        <x:v>1</x:v>
      </x:c>
      <x:c r="AB214" t="n">
        <x:f>AB$8+(AB$9-AB$8)*J214</x:f>
        <x:v>1</x:v>
      </x:c>
      <x:c r="AC214" t="n">
        <x:f>AC$8+(AC$9-AC$8)*MAX(K214,L214)</x:f>
        <x:v>1</x:v>
      </x:c>
      <x:c r="AD214" t="n">
        <x:f>(V214*AE214+W214*AF214+X214*AG214)*PRODUCT(Y214:AC214)</x:f>
        <x:v>1.8712026170259743</x:v>
      </x:c>
      <x:c r="AE214" t="n">
        <x:f>1+AE$9*($H$10*H214+$I$10*I214+$J$10*J214+$K$10*K214+$L$10*L214)</x:f>
        <x:v>1</x:v>
      </x:c>
      <x:c r="AF214" t="n">
        <x:f>1+AF$9*($H$10*H214+$I$10*I214+$J$10*J214+$K$10*K214+$L$10*L214)</x:f>
        <x:v>1.2054377888880234</x:v>
      </x:c>
      <x:c r="AG214" t="n">
        <x:f>1+AG$9*($H$10*H214+$I$10*I214+$J$10*J214+$K$10*K214+$L$10*L214)</x:f>
        <x:v>1.3640814147515554</x:v>
      </x:c>
      <x:c r="AH214" t="n">
        <x:f>MIN(1,'_曲线基线'!$L$3+AH$9*($H$10*H214+$I$10*I214+$J$10*J214+$K$10*K214+$L$10*L214))</x:f>
        <x:v>0.5173709697202528</x:v>
      </x:c>
      <x:c r="AI214" t="n">
        <x:f>'_曲线基线'!$L$4+AI$9*($H$10*H214+$I$10*I214+$J$10*J214+$K$10*K214+$L$10*L214)</x:f>
        <x:v>3.3019619870778474</x:v>
      </x:c>
      <x:c r="AJ214" t="n">
        <x:f>1+AJ$9*($H$10*H214+$I$10*I214+$J$10*J214+$K$10*K214+$L$10*L214)</x:f>
        <x:v>2.0682765022177207</x:v>
      </x:c>
      <x:c r="AK214" t="n">
        <x:f>(1+AH214*(AI214-1))*AJ214</x:f>
        <x:v>4.531528263397608</x:v>
      </x:c>
      <x:c r="AL214" t="n">
        <x:f>U214*AD214*AK214*F214</x:f>
        <x:v>2224895.1675767875</x:v>
      </x:c>
      <x:c r="AM214" t="n">
        <x:f>IF($B214&lt;AM$8,0,AM$3+(AM$4-AM$3)*(POWER(AM$5,$B214-AM$8)-1)/(POWER(AM$5,$C$5-AM$8)-1))</x:f>
        <x:v>43.67643849978985</x:v>
      </x:c>
      <x:c r="AN214" t="n">
        <x:f>(((E214*'模块规划'!$D$10+G214*'模块规划'!$D$11+H214*'模块规划'!$D$13)*(1+'模块规划'!$G$14*H214)+(I214*'模块规划'!$D$15+J214*'模块规划'!$D$17+K214*'模块规划'!$D$16+L214*'模块规划'!$D$18))*(1+'模块规划'!$J$17*J214))*F214/(1-Q214)</x:f>
        <x:v>2734495.715822094</x:v>
      </x:c>
      <x:c r="AO214" t="n">
        <x:f>AL214*AM214</x:f>
        <x:v>97175496.9551472</x:v>
      </x:c>
      <x:c r="AP214" t="n">
        <x:f>IF(AO214="","",INDEX('_曲线基线'!$A$3:$A$502,MIN(ROWS('_曲线基线'!$A$3:$A$502),COUNTIF('_曲线基线'!$E$3:$E$502,"&lt;"&amp;AO214)+1)))</x:f>
        <x:v>291</x:v>
      </x:c>
      <x:c r="AQ214" t="n">
        <x:f>IF(B214&lt;=2,1,IF(B214&lt;=6,2,IF(B214&lt;=9,3,IF(B214&lt;=19,4,5))))</x:f>
        <x:v>5</x:v>
      </x:c>
      <x:c r="AR214" t="n">
        <x:f>AN214*(1-Q214)/F214*$AS$3+U214*$AS$4+P214*$AS$5</x:f>
        <x:v>17171.234231823324</x:v>
      </x:c>
      <x:c r="AS214" t="n">
        <x:f>1+AH214*$AS$6+AI214*$AS$7+(AJ214-1)*$AS$8+($H$10*H214+$I$10*I214+$J$10*J214+$K$10*K214+$L$10*L214)*$AU$3*$AS$9+($H$10*H214+$I$10*I214+$J$10*J214+$K$10*K214+$L$10*L214)*$AU$4*$AS$10</x:f>
        <x:v>17.25672131474701</x:v>
      </x:c>
      <x:c r="AT214" t="n">
        <x:f>ROUND(AR214*AS214,0)</x:f>
        <x:v>296319</x:v>
      </x:c>
      <x:c r="AU214" t="n">
        <x:f>ROUND(AT214*F214,0)</x:f>
        <x:v>1481595</x:v>
      </x:c>
    </x:row>
    <x:row r="215">
      <x:c r="A215" t="str">
        <x:f>IFERROR(XLOOKUP(B215,'_曲线基线'!$G$3:$G$107,'_曲线基线'!$J$3:$J$107,""),"")</x:f>
      </x:c>
      <x:c r="B215" t="n">
        <x:v>204</x:v>
      </x:c>
      <x:c r="C215" t="n">
        <x:f>C200+1</x:f>
        <x:v>14</x:v>
      </x:c>
      <x:c r="D215" t="n">
        <x:f>D200</x:f>
        <x:v>15</x:v>
      </x:c>
      <x:c r="E215" t="n">
        <x:f>IF($B215&lt;E$8,0,E$3+(E$4-E$3)*(POWER(E$5,$B215-E$8)-1)/(POWER(E$5,$C$5-E$8)-1))</x:f>
        <x:v>1</x:v>
      </x:c>
      <x:c r="F215" t="n">
        <x:f>1+IF(B215&lt;3,0,MIN(1,(B215-2)/4))+IF(B215&lt;7,0,MIN(1,(B215-6)/3))+IF(B215&lt;10,0,MIN(1,(B215-9)/5))+IF(B215&lt;20,0,MIN(1,(B215-19)/10))</x:f>
        <x:v>5</x:v>
      </x:c>
      <x:c r="G215" t="n">
        <x:f>IF($B215&lt;G$8,0,G$3+(G$4-G$3)*(POWER(G$5,$B215-G$8)-1)/(POWER(G$5,$C$5-G$8)-1))</x:f>
        <x:v>0.8711833094522963</x:v>
      </x:c>
      <x:c r="H215" t="n">
        <x:f>IF($B215&lt;H$8,0,H$3+(H$4-H$3)*(POWER(H$5,$B215-H$8)-1)/(POWER(H$5,$C$5-H$8)-1))</x:f>
        <x:v>0.6881876047156167</x:v>
      </x:c>
      <x:c r="I215" t="n">
        <x:f>IF($B215&lt;I$8,0,I$3+(I$4-I$3)*(POWER(I$5,$B215-I$8)-1)/(POWER(I$5,$C$5-I$8)-1))</x:f>
        <x:v>0.6196283354918848</x:v>
      </x:c>
      <x:c r="J215" t="n">
        <x:f>IF($B215&lt;J$8,0,J$3+(J$4-J$3)*(POWER(J$5,$B215-J$8)-1)/(POWER(J$5,$C$5-J$8)-1))</x:f>
        <x:v>0.5859859910244188</x:v>
      </x:c>
      <x:c r="K215" t="n">
        <x:f>IF($B215&lt;K$8,0,K$3+(K$4-K$3)*(POWER(K$5,$B215-K$8)-1)/(POWER(K$5,$C$5-K$8)-1))</x:f>
        <x:v>0.5862491295823898</x:v>
      </x:c>
      <x:c r="L215" t="n">
        <x:f>IF($B215&lt;L$8,0,L$3+(L$4-L$3)*(POWER(L$5,$B215-L$8)-1)/(POWER(L$5,$C$5-L$8)-1))</x:f>
        <x:v>0.6879453661204034</x:v>
      </x:c>
      <x:c r="M215" t="n">
        <x:f>E215*'模块规划'!$F$10+G215*'模块规划'!$F$11+H215*'模块规划'!$F$13</x:f>
        <x:v>5181.6798853710225</x:v>
      </x:c>
      <x:c r="N215" t="n">
        <x:f>I215*'模块规划'!$F$15+J215*'模块规划'!$F$17+K215*'模块规划'!$F$16+L215*'模块规划'!$F$18</x:f>
        <x:v>17774.108202275624</x:v>
      </x:c>
      <x:c r="O215" t="n">
        <x:f>1+O$9*SUMPRODUCT($H$10:$L$10,H215:L215)/SUM($H$10:$L$10)</x:f>
        <x:v>3.330050636310902</x:v>
      </x:c>
      <x:c r="P215" t="n">
        <x:f>M215*O215+N215</x:f>
        <x:v>35029.3646017148</x:v>
      </x:c>
      <x:c r="Q215" t="n">
        <x:f>P215/(P215+'_曲线基线'!$L$2)</x:f>
        <x:v>0.5934226945871139</x:v>
      </x:c>
      <x:c r="R215" t="n">
        <x:f>E215*'模块规划'!$E$10+G215*'模块规划'!$E$11+H215*'模块规划'!$E$13</x:f>
        <x:v>7772.519828056533</x:v>
      </x:c>
      <x:c r="S215" t="n">
        <x:f>I215*'模块规划'!$E$15+J215*'模块规划'!$E$17+K215*'模块规划'!$E$16+L215*'模块规划'!$E$18</x:f>
        <x:v>26661.162303413435</x:v>
      </x:c>
      <x:c r="T215" t="n">
        <x:f>1+T$9*SUMPRODUCT($H$10:$L$10,H215:L215)/SUM($H$10:$L$10)</x:f>
        <x:v>3.330050636310902</x:v>
      </x:c>
      <x:c r="U215" t="n">
        <x:f>R215*T215+S215</x:f>
        <x:v>52544.0469025722</x:v>
      </x:c>
      <x:c r="V215" t="n">
        <x:f>V$8+(V$9-V$8)*H215</x:f>
        <x:v>0.906456281414685</x:v>
      </x:c>
      <x:c r="W215" t="n">
        <x:f>IF(B215&lt;$H$8,0,W$8+(W$9-W$8)*H215)</x:f>
        <x:v>0.2752750418862467</x:v>
      </x:c>
      <x:c r="X215" t="n">
        <x:f>X$8+(X$9-X$8)*H215</x:f>
        <x:v>0.4642515912967946</x:v>
      </x:c>
      <x:c r="Y215" t="n">
        <x:f>Y$8+(Y$9-Y$8)*G215</x:f>
        <x:v>1</x:v>
      </x:c>
      <x:c r="Z215" t="n">
        <x:f>Z$8+(Z$9-Z$8)*H215</x:f>
        <x:v>1</x:v>
      </x:c>
      <x:c r="AA215" t="n">
        <x:f>AA$8+(AA$9-AA$8)*I215</x:f>
        <x:v>1</x:v>
      </x:c>
      <x:c r="AB215" t="n">
        <x:f>AB$8+(AB$9-AB$8)*J215</x:f>
        <x:v>1</x:v>
      </x:c>
      <x:c r="AC215" t="n">
        <x:f>AC$8+(AC$9-AC$8)*MAX(K215,L215)</x:f>
        <x:v>1</x:v>
      </x:c>
      <x:c r="AD215" t="n">
        <x:f>(V215*AE215+W215*AF215+X215*AG215)*PRODUCT(Y215:AC215)</x:f>
        <x:v>1.871791218044473</x:v>
      </x:c>
      <x:c r="AE215" t="n">
        <x:f>1+AE$9*($H$10*H215+$I$10*I215+$J$10*J215+$K$10*K215+$L$10*L215)</x:f>
        <x:v>1</x:v>
      </x:c>
      <x:c r="AF215" t="n">
        <x:f>1+AF$9*($H$10*H215+$I$10*I215+$J$10*J215+$K$10*K215+$L$10*L215)</x:f>
        <x:v>1.2056481938120556</x:v>
      </x:c>
      <x:c r="AG215" t="n">
        <x:f>1+AG$9*($H$10*H215+$I$10*I215+$J$10*J215+$K$10*K215+$L$10*L215)</x:f>
        <x:v>1.3644542990335902</x:v>
      </x:c>
      <x:c r="AH215" t="n">
        <x:f>MIN(1,'_曲线基线'!$L$3+AH$9*($H$10*H215+$I$10*I215+$J$10*J215+$K$10*K215+$L$10*L215))</x:f>
        <x:v>0.5178496409224258</x:v>
      </x:c>
      <x:c r="AI215" t="n">
        <x:f>'_曲线基线'!$L$4+AI$9*($H$10*H215+$I$10*I215+$J$10*J215+$K$10*K215+$L$10*L215)</x:f>
        <x:v>3.3032954282839</x:v>
      </x:c>
      <x:c r="AJ215" t="n">
        <x:f>1+AJ$9*($H$10*H215+$I$10*I215+$J$10*J215+$K$10*K215+$L$10*L215)</x:f>
        <x:v>2.0693706078226874</x:v>
      </x:c>
      <x:c r="AK215" t="n">
        <x:f>(1+AH215*(AI215-1))*AJ215</x:f>
        <x:v>4.53763456424553</x:v>
      </x:c>
      <x:c r="AL215" t="n">
        <x:f>U215*AD215*AK215*F215</x:f>
        <x:v>2231415.501445301</x:v>
      </x:c>
      <x:c r="AM215" t="n">
        <x:f>IF($B215&lt;AM$8,0,AM$3+(AM$4-AM$3)*(POWER(AM$5,$B215-AM$8)-1)/(POWER(AM$5,$C$5-AM$8)-1))</x:f>
        <x:v>43.776627524709625</x:v>
      </x:c>
      <x:c r="AN215" t="n">
        <x:f>(((E215*'模块规划'!$D$10+G215*'模块规划'!$D$11+H215*'模块规划'!$D$13)*(1+'模块规划'!$G$14*H215)+(I215*'模块规划'!$D$15+J215*'模块规划'!$D$17+K215*'模块规划'!$D$16+L215*'模块规划'!$D$18))*(1+'模块规划'!$J$17*J215))*F215/(1-Q215)</x:f>
        <x:v>2740195.9386131633</x:v>
      </x:c>
      <x:c r="AO215" t="n">
        <x:f>AL215*AM215</x:f>
        <x:v>97683845.25963409</x:v>
      </x:c>
      <x:c r="AP215" t="n">
        <x:f>IF(AO215="","",INDEX('_曲线基线'!$A$3:$A$502,MIN(ROWS('_曲线基线'!$A$3:$A$502),COUNTIF('_曲线基线'!$E$3:$E$502,"&lt;"&amp;AO215)+1)))</x:f>
        <x:v>291</x:v>
      </x:c>
      <x:c r="AQ215" t="n">
        <x:f>IF(B215&lt;=2,1,IF(B215&lt;=6,2,IF(B215&lt;=9,3,IF(B215&lt;=19,4,5))))</x:f>
        <x:v>5</x:v>
      </x:c>
      <x:c r="AR215" t="n">
        <x:f>AN215*(1-Q215)/F215*$AS$3+U215*$AS$4+P215*$AS$5</x:f>
        <x:v>17193.418266662484</x:v>
      </x:c>
      <x:c r="AS215" t="n">
        <x:f>1+AH215*$AS$6+AI215*$AS$7+(AJ215-1)*$AS$8+($H$10*H215+$I$10*I215+$J$10*J215+$K$10*K215+$L$10*L215)*$AU$3*$AS$9+($H$10*H215+$I$10*I215+$J$10*J215+$K$10*K215+$L$10*L215)*$AU$4*$AS$10</x:f>
        <x:v>17.26929324803052</x:v>
      </x:c>
      <x:c r="AT215" t="n">
        <x:f>ROUND(AR215*AS215,0)</x:f>
        <x:v>296918</x:v>
      </x:c>
      <x:c r="AU215" t="n">
        <x:f>ROUND(AT215*F215,0)</x:f>
        <x:v>1484590</x:v>
      </x:c>
    </x:row>
    <x:row r="216">
      <x:c r="A216" t="str">
        <x:f>IFERROR(XLOOKUP(B216,'_曲线基线'!$G$3:$G$107,'_曲线基线'!$J$3:$J$107,""),"")</x:f>
      </x:c>
      <x:c r="B216" t="n">
        <x:v>205</x:v>
      </x:c>
      <x:c r="C216" t="n">
        <x:f>C201+1</x:f>
        <x:v>15</x:v>
      </x:c>
      <x:c r="D216" t="n">
        <x:f>D201</x:f>
        <x:v>1</x:v>
      </x:c>
      <x:c r="E216" t="n">
        <x:f>IF($B216&lt;E$8,0,E$3+(E$4-E$3)*(POWER(E$5,$B216-E$8)-1)/(POWER(E$5,$C$5-E$8)-1))</x:f>
        <x:v>1</x:v>
      </x:c>
      <x:c r="F216" t="n">
        <x:f>1+IF(B216&lt;3,0,MIN(1,(B216-2)/4))+IF(B216&lt;7,0,MIN(1,(B216-6)/3))+IF(B216&lt;10,0,MIN(1,(B216-9)/5))+IF(B216&lt;20,0,MIN(1,(B216-19)/10))</x:f>
        <x:v>5</x:v>
      </x:c>
      <x:c r="G216" t="n">
        <x:f>IF($B216&lt;G$8,0,G$3+(G$4-G$3)*(POWER(G$5,$B216-G$8)-1)/(POWER(G$5,$C$5-G$8)-1))</x:f>
        <x:v>0.8718207502650076</x:v>
      </x:c>
      <x:c r="H216" t="n">
        <x:f>IF($B216&lt;H$8,0,H$3+(H$4-H$3)*(POWER(H$5,$B216-H$8)-1)/(POWER(H$5,$C$5-H$8)-1))</x:f>
        <x:v>0.6884903948608156</x:v>
      </x:c>
      <x:c r="I216" t="n">
        <x:f>IF($B216&lt;I$8,0,I$3+(I$4-I$3)*(POWER(I$5,$B216-I$8)-1)/(POWER(I$5,$C$5-I$8)-1))</x:f>
        <x:v>0.6204068601251153</x:v>
      </x:c>
      <x:c r="J216" t="n">
        <x:f>IF($B216&lt;J$8,0,J$3+(J$4-J$3)*(POWER(J$5,$B216-J$8)-1)/(POWER(J$5,$C$5-J$8)-1))</x:f>
        <x:v>0.5863452156956543</x:v>
      </x:c>
      <x:c r="K216" t="n">
        <x:f>IF($B216&lt;K$8,0,K$3+(K$4-K$3)*(POWER(K$5,$B216-K$8)-1)/(POWER(K$5,$C$5-K$8)-1))</x:f>
        <x:v>0.5878832719257157</x:v>
      </x:c>
      <x:c r="L216" t="n">
        <x:f>IF($B216&lt;L$8,0,L$3+(L$4-L$3)*(POWER(L$5,$B216-L$8)-1)/(POWER(L$5,$C$5-L$8)-1))</x:f>
        <x:v>0.6882543656293811</x:v>
      </x:c>
      <x:c r="M216" t="n">
        <x:f>E216*'模块规划'!$F$10+G216*'模块规划'!$F$11+H216*'模块规划'!$F$13</x:f>
        <x:v>5184.739601272036</x:v>
      </x:c>
      <x:c r="N216" t="n">
        <x:f>I216*'模块规划'!$F$15+J216*'模块规划'!$F$17+K216*'模块规划'!$F$16+L216*'模块规划'!$F$18</x:f>
        <x:v>17795.278497658666</x:v>
      </x:c>
      <x:c r="O216" t="n">
        <x:f>1+O$9*SUMPRODUCT($H$10:$L$10,H216:L216)/SUM($H$10:$L$10)</x:f>
        <x:v>3.332386903095821</x:v>
      </x:c>
      <x:c r="P216" t="n">
        <x:f>M216*O216+N216</x:f>
        <x:v>35072.83684089985</x:v>
      </x:c>
      <x:c r="Q216" t="n">
        <x:f>P216/(P216+'_曲线基线'!$L$2)</x:f>
        <x:v>0.5937218985328416</x:v>
      </x:c>
      <x:c r="R216" t="n">
        <x:f>E216*'模块规划'!$E$10+G216*'模块规划'!$E$11+H216*'模块规划'!$E$13</x:f>
        <x:v>7777.109401908055</x:v>
      </x:c>
      <x:c r="S216" t="n">
        <x:f>I216*'模块规划'!$E$15+J216*'模块规划'!$E$17+K216*'模块规划'!$E$16+L216*'模块规划'!$E$18</x:f>
        <x:v>26692.917746487998</x:v>
      </x:c>
      <x:c r="T216" t="n">
        <x:f>1+T$9*SUMPRODUCT($H$10:$L$10,H216:L216)/SUM($H$10:$L$10)</x:f>
        <x:v>3.332386903095821</x:v>
      </x:c>
      <x:c r="U216" t="n">
        <x:f>R216*T216+S216</x:f>
        <x:v>52609.25526134977</x:v>
      </x:c>
      <x:c r="V216" t="n">
        <x:f>V$8+(V$9-V$8)*H216</x:f>
        <x:v>0.9065471184582446</x:v>
      </x:c>
      <x:c r="W216" t="n">
        <x:f>IF(B216&lt;$H$8,0,W$8+(W$9-W$8)*H216)</x:f>
        <x:v>0.27539615794432626</x:v>
      </x:c>
      <x:c r="X216" t="n">
        <x:f>X$8+(X$9-X$8)*H216</x:f>
        <x:v>0.46433485858672435</x:v>
      </x:c>
      <x:c r="Y216" t="n">
        <x:f>Y$8+(Y$9-Y$8)*G216</x:f>
        <x:v>1</x:v>
      </x:c>
      <x:c r="Z216" t="n">
        <x:f>Z$8+(Z$9-Z$8)*H216</x:f>
        <x:v>1</x:v>
      </x:c>
      <x:c r="AA216" t="n">
        <x:f>AA$8+(AA$9-AA$8)*I216</x:f>
        <x:v>1</x:v>
      </x:c>
      <x:c r="AB216" t="n">
        <x:f>AB$8+(AB$9-AB$8)*J216</x:f>
        <x:v>1</x:v>
      </x:c>
      <x:c r="AC216" t="n">
        <x:f>AC$8+(AC$9-AC$8)*MAX(K216,L216)</x:f>
        <x:v>1</x:v>
      </x:c>
      <x:c r="AD216" t="n">
        <x:f>(V216*AE216+W216*AF216+X216*AG216)*PRODUCT(Y216:AC216)</x:f>
        <x:v>1.872368158976909</x:v>
      </x:c>
      <x:c r="AE216" t="n">
        <x:f>1+AE$9*($H$10*H216+$I$10*I216+$J$10*J216+$K$10*K216+$L$10*L216)</x:f>
        <x:v>1</x:v>
      </x:c>
      <x:c r="AF216" t="n">
        <x:f>1+AF$9*($H$10*H216+$I$10*I216+$J$10*J216+$K$10*K216+$L$10*L216)</x:f>
        <x:v>1.2058543906376071</x:v>
      </x:c>
      <x:c r="AG216" t="n">
        <x:f>1+AG$9*($H$10*H216+$I$10*I216+$J$10*J216+$K$10*K216+$L$10*L216)</x:f>
        <x:v>1.364819725629984</x:v>
      </x:c>
      <x:c r="AH216" t="n">
        <x:f>MIN(1,'_曲线基线'!$L$3+AH$9*($H$10*H216+$I$10*I216+$J$10*J216+$K$10*K216+$L$10*L216))</x:f>
        <x:v>0.5183187387005556</x:v>
      </x:c>
      <x:c r="AI216" t="n">
        <x:f>'_曲线基线'!$L$4+AI$9*($H$10*H216+$I$10*I216+$J$10*J216+$K$10*K216+$L$10*L216)</x:f>
        <x:v>3.3046022006658333</x:v>
      </x:c>
      <x:c r="AJ216" t="n">
        <x:f>1+AJ$9*($H$10*H216+$I$10*I216+$J$10*J216+$K$10*K216+$L$10*L216)</x:f>
        <x:v>2.070442831315556</x:v>
      </x:c>
      <x:c r="AK216" t="n">
        <x:f>(1+AH216*(AI216-1))*AJ216</x:f>
        <x:v>4.543625108638134</x:v>
      </x:c>
      <x:c r="AL216" t="n">
        <x:f>U216*AD216*AK216*F216</x:f>
        <x:v>2237823.8399003996</x:v>
      </x:c>
      <x:c r="AM216" t="n">
        <x:f>IF($B216&lt;AM$8,0,AM$3+(AM$4-AM$3)*(POWER(AM$5,$B216-AM$8)-1)/(POWER(AM$5,$C$5-AM$8)-1))</x:f>
        <x:v>43.87781843987859</x:v>
      </x:c>
      <x:c r="AN216" t="n">
        <x:f>(((E216*'模块规划'!$D$10+G216*'模块规划'!$D$11+H216*'模块规划'!$D$13)*(1+'模块规划'!$G$14*H216)+(I216*'模块规划'!$D$15+J216*'模块规划'!$D$17+K216*'模块规划'!$D$16+L216*'模块规划'!$D$18))*(1+'模块规划'!$J$17*J216))*F216/(1-Q216)</x:f>
        <x:v>2745794.8274630285</x:v>
      </x:c>
      <x:c r="AO216" t="n">
        <x:f>AL216*AM216</x:f>
        <x:v>98190828.14758167</x:v>
      </x:c>
      <x:c r="AP216" t="n">
        <x:f>IF(AO216="","",INDEX('_曲线基线'!$A$3:$A$502,MIN(ROWS('_曲线基线'!$A$3:$A$502),COUNTIF('_曲线基线'!$E$3:$E$502,"&lt;"&amp;AO216)+1)))</x:f>
        <x:v>292</x:v>
      </x:c>
      <x:c r="AQ216" t="n">
        <x:f>IF(B216&lt;=2,1,IF(B216&lt;=6,2,IF(B216&lt;=9,3,IF(B216&lt;=19,4,5))))</x:f>
        <x:v>5</x:v>
      </x:c>
      <x:c r="AR216" t="n">
        <x:f>AN216*(1-Q216)/F216*$AS$3+U216*$AS$4+P216*$AS$5</x:f>
        <x:v>17215.18890939009</x:v>
      </x:c>
      <x:c r="AS216" t="n">
        <x:f>1+AH216*$AS$6+AI216*$AS$7+(AJ216-1)*$AS$8+($H$10*H216+$I$10*I216+$J$10*J216+$K$10*K216+$L$10*L216)*$AU$3*$AS$9+($H$10*H216+$I$10*I216+$J$10*J216+$K$10*K216+$L$10*L216)*$AU$4*$AS$10</x:f>
        <x:v>17.28161374264837</x:v>
      </x:c>
      <x:c r="AT216" t="n">
        <x:f>ROUND(AR216*AS216,0)</x:f>
        <x:v>297506</x:v>
      </x:c>
      <x:c r="AU216" t="n">
        <x:f>ROUND(AT216*F216,0)</x:f>
        <x:v>1487530</x:v>
      </x:c>
    </x:row>
    <x:row r="217">
      <x:c r="A217" t="str">
        <x:f>IFERROR(XLOOKUP(B217,'_曲线基线'!$G$3:$G$107,'_曲线基线'!$J$3:$J$107,""),"")</x:f>
      </x:c>
      <x:c r="B217" t="n">
        <x:v>206</x:v>
      </x:c>
      <x:c r="C217" t="n">
        <x:f>C202+1</x:f>
        <x:v>15</x:v>
      </x:c>
      <x:c r="D217" t="n">
        <x:f>D202</x:f>
        <x:v>2</x:v>
      </x:c>
      <x:c r="E217" t="n">
        <x:f>IF($B217&lt;E$8,0,E$3+(E$4-E$3)*(POWER(E$5,$B217-E$8)-1)/(POWER(E$5,$C$5-E$8)-1))</x:f>
        <x:v>1</x:v>
      </x:c>
      <x:c r="F217" t="n">
        <x:f>1+IF(B217&lt;3,0,MIN(1,(B217-2)/4))+IF(B217&lt;7,0,MIN(1,(B217-6)/3))+IF(B217&lt;10,0,MIN(1,(B217-9)/5))+IF(B217&lt;20,0,MIN(1,(B217-19)/10))</x:f>
        <x:v>5</x:v>
      </x:c>
      <x:c r="G217" t="n">
        <x:f>IF($B217&lt;G$8,0,G$3+(G$4-G$3)*(POWER(G$5,$B217-G$8)-1)/(POWER(G$5,$C$5-G$8)-1))</x:f>
        <x:v>0.8724486294655283</x:v>
      </x:c>
      <x:c r="H217" t="n">
        <x:f>IF($B217&lt;H$8,0,H$3+(H$4-H$3)*(POWER(H$5,$B217-H$8)-1)/(POWER(H$5,$C$5-H$8)-1))</x:f>
        <x:v>0.6887871292031107</x:v>
      </x:c>
      <x:c r="I217" t="n">
        <x:f>IF($B217&lt;I$8,0,I$3+(I$4-I$3)*(POWER(I$5,$B217-I$8)-1)/(POWER(I$5,$C$5-I$8)-1))</x:f>
        <x:v>0.6211698142656812</x:v>
      </x:c>
      <x:c r="J217" t="n">
        <x:f>IF($B217&lt;J$8,0,J$3+(J$4-J$3)*(POWER(J$5,$B217-J$8)-1)/(POWER(J$5,$C$5-J$8)-1))</x:f>
        <x:v>0.5866972558734651</x:v>
      </x:c>
      <x:c r="K217" t="n">
        <x:f>IF($B217&lt;K$8,0,K$3+(K$4-K$3)*(POWER(K$5,$B217-K$8)-1)/(POWER(K$5,$C$5-K$8)-1))</x:f>
        <x:v>0.5894847314221748</x:v>
      </x:c>
      <x:c r="L217" t="n">
        <x:f>IF($B217&lt;L$8,0,L$3+(L$4-L$3)*(POWER(L$5,$B217-L$8)-1)/(POWER(L$5,$C$5-L$8)-1))</x:f>
        <x:v>0.6885571851481791</x:v>
      </x:c>
      <x:c r="M217" t="n">
        <x:f>E217*'模块规划'!$F$10+G217*'模块规划'!$F$11+H217*'模块规划'!$F$13</x:f>
        <x:v>5187.753421434536</x:v>
      </x:c>
      <x:c r="N217" t="n">
        <x:f>I217*'模块规划'!$F$15+J217*'模块规划'!$F$17+K217*'模块规划'!$F$16+L217*'模块规划'!$F$18</x:f>
        <x:v>17816.025387134046</x:v>
      </x:c>
      <x:c r="O217" t="n">
        <x:f>1+O$9*SUMPRODUCT($H$10:$L$10,H217:L217)/SUM($H$10:$L$10)</x:f>
        <x:v>3.3346764445450403</x:v>
      </x:c>
      <x:c r="P217" t="n">
        <x:f>M217*O217+N217</x:f>
        <x:v>35115.50452169973</x:v>
      </x:c>
      <x:c r="Q217" t="n">
        <x:f>P217/(P217+'_曲线基线'!$L$2)</x:f>
        <x:v>0.5940151370747375</x:v>
      </x:c>
      <x:c r="R217" t="n">
        <x:f>E217*'模块规划'!$E$10+G217*'模块规划'!$E$11+H217*'模块规划'!$E$13</x:f>
        <x:v>7781.630132151803</x:v>
      </x:c>
      <x:c r="S217" t="n">
        <x:f>I217*'模块规划'!$E$15+J217*'模块规划'!$E$17+K217*'模块规划'!$E$16+L217*'模块规划'!$E$18</x:f>
        <x:v>26724.038080701066</x:v>
      </x:c>
      <x:c r="T217" t="n">
        <x:f>1+T$9*SUMPRODUCT($H$10:$L$10,H217:L217)/SUM($H$10:$L$10)</x:f>
        <x:v>3.3346764445450403</x:v>
      </x:c>
      <x:c r="U217" t="n">
        <x:f>R217*T217+S217</x:f>
        <x:v>52673.25678254959</x:v>
      </x:c>
      <x:c r="V217" t="n">
        <x:f>V$8+(V$9-V$8)*H217</x:f>
        <x:v>0.9066361387609332</x:v>
      </x:c>
      <x:c r="W217" t="n">
        <x:f>IF(B217&lt;$H$8,0,W$8+(W$9-W$8)*H217)</x:f>
        <x:v>0.2755148516812443</x:v>
      </x:c>
      <x:c r="X217" t="n">
        <x:f>X$8+(X$9-X$8)*H217</x:f>
        <x:v>0.4644164605308555</x:v>
      </x:c>
      <x:c r="Y217" t="n">
        <x:f>Y$8+(Y$9-Y$8)*G217</x:f>
        <x:v>1</x:v>
      </x:c>
      <x:c r="Z217" t="n">
        <x:f>Z$8+(Z$9-Z$8)*H217</x:f>
        <x:v>1</x:v>
      </x:c>
      <x:c r="AA217" t="n">
        <x:f>AA$8+(AA$9-AA$8)*I217</x:f>
        <x:v>1</x:v>
      </x:c>
      <x:c r="AB217" t="n">
        <x:f>AB$8+(AB$9-AB$8)*J217</x:f>
        <x:v>1</x:v>
      </x:c>
      <x:c r="AC217" t="n">
        <x:f>AC$8+(AC$9-AC$8)*MAX(K217,L217)</x:f>
        <x:v>1</x:v>
      </x:c>
      <x:c r="AD217" t="n">
        <x:f>(V217*AE217+W217*AF217+X217*AG217)*PRODUCT(Y217:AC217)</x:f>
        <x:v>1.8729336685924056</x:v>
      </x:c>
      <x:c r="AE217" t="n">
        <x:f>1+AE$9*($H$10*H217+$I$10*I217+$J$10*J217+$K$10*K217+$L$10*L217)</x:f>
        <x:v>1</x:v>
      </x:c>
      <x:c r="AF217" t="n">
        <x:f>1+AF$9*($H$10*H217+$I$10*I217+$J$10*J217+$K$10*K217+$L$10*L217)</x:f>
        <x:v>1.2060564635266475</x:v>
      </x:c>
      <x:c r="AG217" t="n">
        <x:f>1+AG$9*($H$10*H217+$I$10*I217+$J$10*J217+$K$10*K217+$L$10*L217)</x:f>
        <x:v>1.3651778436944502</x:v>
      </x:c>
      <x:c r="AH217" t="n">
        <x:f>MIN(1,'_曲线基线'!$L$3+AH$9*($H$10*H217+$I$10*I217+$J$10*J217+$K$10*K217+$L$10*L217))</x:f>
        <x:v>0.5187784545231224</x:v>
      </x:c>
      <x:c r="AI217" t="n">
        <x:f>'_曲线基线'!$L$4+AI$9*($H$10*H217+$I$10*I217+$J$10*J217+$K$10*K217+$L$10*L217)</x:f>
        <x:v>3.305882837600127</x:v>
      </x:c>
      <x:c r="AJ217" t="n">
        <x:f>1+AJ$9*($H$10*H217+$I$10*I217+$J$10*J217+$K$10*K217+$L$10*L217)</x:f>
        <x:v>2.0714936103385657</x:v>
      </x:c>
      <x:c r="AK217" t="n">
        <x:f>(1+AH217*(AI217-1))*AJ217</x:f>
        <x:v>4.549501963296539</x:v>
      </x:c>
      <x:c r="AL217" t="n">
        <x:f>U217*AD217*AK217*F217</x:f>
        <x:v>2244121.8250611243</x:v>
      </x:c>
      <x:c r="AM217" t="n">
        <x:f>IF($B217&lt;AM$8,0,AM$3+(AM$4-AM$3)*(POWER(AM$5,$B217-AM$8)-1)/(POWER(AM$5,$C$5-AM$8)-1))</x:f>
        <x:v>43.980021264199245</x:v>
      </x:c>
      <x:c r="AN217" t="n">
        <x:f>(((E217*'模块规划'!$D$10+G217*'模块规划'!$D$11+H217*'模块规划'!$D$13)*(1+'模块规划'!$G$14*H217)+(I217*'模块规划'!$D$15+J217*'模块规划'!$D$17+K217*'模块规划'!$D$16+L217*'模块规划'!$D$18))*(1+'模块规划'!$J$17*J217))*F217/(1-Q217)</x:f>
        <x:v>2751294.0603818665</x:v>
      </x:c>
      <x:c r="AO217" t="n">
        <x:f>AL217*AM217</x:f>
        <x:v>98696525.58564186</x:v>
      </x:c>
      <x:c r="AP217" t="n">
        <x:f>IF(AO217="","",INDEX('_曲线基线'!$A$3:$A$502,MIN(ROWS('_曲线基线'!$A$3:$A$502),COUNTIF('_曲线基线'!$E$3:$E$502,"&lt;"&amp;AO217)+1)))</x:f>
        <x:v>292</x:v>
      </x:c>
      <x:c r="AQ217" t="n">
        <x:f>IF(B217&lt;=2,1,IF(B217&lt;=6,2,IF(B217&lt;=9,3,IF(B217&lt;=19,4,5))))</x:f>
        <x:v>5</x:v>
      </x:c>
      <x:c r="AR217" t="n">
        <x:f>AN217*(1-Q217)/F217*$AS$3+U217*$AS$4+P217*$AS$5</x:f>
        <x:v>17236.553808337245</x:v>
      </x:c>
      <x:c r="AS217" t="n">
        <x:f>1+AH217*$AS$6+AI217*$AS$7+(AJ217-1)*$AS$8+($H$10*H217+$I$10*I217+$J$10*J217+$K$10*K217+$L$10*L217)*$AU$3*$AS$9+($H$10*H217+$I$10*I217+$J$10*J217+$K$10*K217+$L$10*L217)*$AU$4*$AS$10</x:f>
        <x:v>17.293687827373855</x:v>
      </x:c>
      <x:c r="AT217" t="n">
        <x:f>ROUND(AR217*AS217,0)</x:f>
        <x:v>298084</x:v>
      </x:c>
      <x:c r="AU217" t="n">
        <x:f>ROUND(AT217*F217,0)</x:f>
        <x:v>1490420</x:v>
      </x:c>
    </x:row>
    <x:row r="218">
      <x:c r="A218" t="str">
        <x:f>IFERROR(XLOOKUP(B218,'_曲线基线'!$G$3:$G$107,'_曲线基线'!$J$3:$J$107,""),"")</x:f>
      </x:c>
      <x:c r="B218" t="n">
        <x:v>207</x:v>
      </x:c>
      <x:c r="C218" t="n">
        <x:f>C203+1</x:f>
        <x:v>15</x:v>
      </x:c>
      <x:c r="D218" t="n">
        <x:f>D203</x:f>
        <x:v>3</x:v>
      </x:c>
      <x:c r="E218" t="n">
        <x:f>IF($B218&lt;E$8,0,E$3+(E$4-E$3)*(POWER(E$5,$B218-E$8)-1)/(POWER(E$5,$C$5-E$8)-1))</x:f>
        <x:v>1</x:v>
      </x:c>
      <x:c r="F218" t="n">
        <x:f>1+IF(B218&lt;3,0,MIN(1,(B218-2)/4))+IF(B218&lt;7,0,MIN(1,(B218-6)/3))+IF(B218&lt;10,0,MIN(1,(B218-9)/5))+IF(B218&lt;20,0,MIN(1,(B218-19)/10))</x:f>
        <x:v>5</x:v>
      </x:c>
      <x:c r="G218" t="n">
        <x:f>IF($B218&lt;G$8,0,G$3+(G$4-G$3)*(POWER(G$5,$B218-G$8)-1)/(POWER(G$5,$C$5-G$8)-1))</x:f>
        <x:v>0.8730670904780412</x:v>
      </x:c>
      <x:c r="H218" t="n">
        <x:f>IF($B218&lt;H$8,0,H$3+(H$4-H$3)*(POWER(H$5,$B218-H$8)-1)/(POWER(H$5,$C$5-H$8)-1))</x:f>
        <x:v>0.6890779288585598</x:v>
      </x:c>
      <x:c r="I218" t="n">
        <x:f>IF($B218&lt;I$8,0,I$3+(I$4-I$3)*(POWER(I$5,$B218-I$8)-1)/(POWER(I$5,$C$5-I$8)-1))</x:f>
        <x:v>0.6219175093234357</x:v>
      </x:c>
      <x:c r="J218" t="n">
        <x:f>IF($B218&lt;J$8,0,J$3+(J$4-J$3)*(POWER(J$5,$B218-J$8)-1)/(POWER(J$5,$C$5-J$8)-1))</x:f>
        <x:v>0.5870422552477197</x:v>
      </x:c>
      <x:c r="K218" t="n">
        <x:f>IF($B218&lt;K$8,0,K$3+(K$4-K$3)*(POWER(K$5,$B218-K$8)-1)/(POWER(K$5,$C$5-K$8)-1))</x:f>
        <x:v>0.591054161728705</x:v>
      </x:c>
      <x:c r="L218" t="n">
        <x:f>IF($B218&lt;L$8,0,L$3+(L$4-L$3)*(POWER(L$5,$B218-L$8)-1)/(POWER(L$5,$C$5-L$8)-1))</x:f>
        <x:v>0.6888539482766013</x:v>
      </x:c>
      <x:c r="M218" t="n">
        <x:f>E218*'模块规划'!$F$10+G218*'模块规划'!$F$11+H218*'模块规划'!$F$13</x:f>
        <x:v>5190.7220342945975</x:v>
      </x:c>
      <x:c r="N218" t="n">
        <x:f>I218*'模块规划'!$F$15+J218*'模块规划'!$F$17+K218*'模块规划'!$F$16+L218*'模块规划'!$F$18</x:f>
        <x:v>17836.357338819922</x:v>
      </x:c>
      <x:c r="O218" t="n">
        <x:f>1+O$9*SUMPRODUCT($H$10:$L$10,H218:L218)/SUM($H$10:$L$10)</x:f>
        <x:v>3.336920195165276</x:v>
      </x:c>
      <x:c r="P218" t="n">
        <x:f>M218*O218+N218</x:f>
        <x:v>35157.38252254695</x:v>
      </x:c>
      <x:c r="Q218" t="n">
        <x:f>P218/(P218+'_曲线基线'!$L$2)</x:f>
        <x:v>0.5943025371203203</x:v>
      </x:c>
      <x:c r="R218" t="n">
        <x:f>E218*'模块规划'!$E$10+G218*'模块规划'!$E$11+H218*'模块规划'!$E$13</x:f>
        <x:v>7786.083051441897</x:v>
      </x:c>
      <x:c r="S218" t="n">
        <x:f>I218*'模块规划'!$E$15+J218*'模块规划'!$E$17+K218*'模块规划'!$E$16+L218*'模块规划'!$E$18</x:f>
        <x:v>26754.53600822988</x:v>
      </x:c>
      <x:c r="T218" t="n">
        <x:f>1+T$9*SUMPRODUCT($H$10:$L$10,H218:L218)/SUM($H$10:$L$10)</x:f>
        <x:v>3.336920195165276</x:v>
      </x:c>
      <x:c r="U218" t="n">
        <x:f>R218*T218+S218</x:f>
        <x:v>52736.07378382042</x:v>
      </x:c>
      <x:c r="V218" t="n">
        <x:f>V$8+(V$9-V$8)*H218</x:f>
        <x:v>0.9067233786575679</x:v>
      </x:c>
      <x:c r="W218" t="n">
        <x:f>IF(B218&lt;$H$8,0,W$8+(W$9-W$8)*H218)</x:f>
        <x:v>0.2756311715434239</x:v>
      </x:c>
      <x:c r="X218" t="n">
        <x:f>X$8+(X$9-X$8)*H218</x:f>
        <x:v>0.464496430436104</x:v>
      </x:c>
      <x:c r="Y218" t="n">
        <x:f>Y$8+(Y$9-Y$8)*G218</x:f>
        <x:v>1</x:v>
      </x:c>
      <x:c r="Z218" t="n">
        <x:f>Z$8+(Z$9-Z$8)*H218</x:f>
        <x:v>1</x:v>
      </x:c>
      <x:c r="AA218" t="n">
        <x:f>AA$8+(AA$9-AA$8)*I218</x:f>
        <x:v>1</x:v>
      </x:c>
      <x:c r="AB218" t="n">
        <x:f>AB$8+(AB$9-AB$8)*J218</x:f>
        <x:v>1</x:v>
      </x:c>
      <x:c r="AC218" t="n">
        <x:f>AC$8+(AC$9-AC$8)*MAX(K218,L218)</x:f>
        <x:v>1</x:v>
      </x:c>
      <x:c r="AD218" t="n">
        <x:f>(V218*AE218+W218*AF218+X218*AG218)*PRODUCT(Y218:AC218)</x:f>
        <x:v>1.8734879712602335</x:v>
      </x:c>
      <x:c r="AE218" t="n">
        <x:f>1+AE$9*($H$10*H218+$I$10*I218+$J$10*J218+$K$10*K218+$L$10*L218)</x:f>
        <x:v>1</x:v>
      </x:c>
      <x:c r="AF218" t="n">
        <x:f>1+AF$9*($H$10*H218+$I$10*I218+$J$10*J218+$K$10*K218+$L$10*L218)</x:f>
        <x:v>1.206254494957907</x:v>
      </x:c>
      <x:c r="AG218" t="n">
        <x:f>1+AG$9*($H$10*H218+$I$10*I218+$J$10*J218+$K$10*K218+$L$10*L218)</x:f>
        <x:v>1.365528799397627</x:v>
      </x:c>
      <x:c r="AH218" t="n">
        <x:f>MIN(1,'_曲线基线'!$L$3+AH$9*($H$10*H218+$I$10*I218+$J$10*J218+$K$10*K218+$L$10*L218))</x:f>
        <x:v>0.5192289760292382</x:v>
      </x:c>
      <x:c r="AI218" t="n">
        <x:f>'_曲线基线'!$L$4+AI$9*($H$10*H218+$I$10*I218+$J$10*J218+$K$10*K218+$L$10*L218)</x:f>
        <x:v>3.307137861795735</x:v>
      </x:c>
      <x:c r="AJ218" t="n">
        <x:f>1+AJ$9*($H$10*H218+$I$10*I218+$J$10*J218+$K$10*K218+$L$10*L218)</x:f>
        <x:v>2.0725233737811157</x:v>
      </x:c>
      <x:c r="AK218" t="n">
        <x:f>(1+AH218*(AI218-1))*AJ218</x:f>
        <x:v>4.555267163219376</x:v>
      </x:c>
      <x:c r="AL218" t="n">
        <x:f>U218*AD218*AK218*F218</x:f>
        <x:v>2250311.0865563457</x:v>
      </x:c>
      <x:c r="AM218" t="n">
        <x:f>IF($B218&lt;AM$8,0,AM$3+(AM$4-AM$3)*(POWER(AM$5,$B218-AM$8)-1)/(POWER(AM$5,$C$5-AM$8)-1))</x:f>
        <x:v>44.08324611676311</x:v>
      </x:c>
      <x:c r="AN218" t="n">
        <x:f>(((E218*'模块规划'!$D$10+G218*'模块规划'!$D$11+H218*'模块规划'!$D$13)*(1+'模块规划'!$G$14*H218)+(I218*'模块规划'!$D$15+J218*'模块规划'!$D$17+K218*'模块规划'!$D$16+L218*'模块规划'!$D$18))*(1+'模块规划'!$J$17*J218))*F218/(1-Q218)</x:f>
        <x:v>2756695.292859277</x:v>
      </x:c>
      <x:c r="AO218" t="n">
        <x:f>AL218*AM218</x:f>
        <x:v>99201017.467944</x:v>
      </x:c>
      <x:c r="AP218" t="n">
        <x:f>IF(AO218="","",INDEX('_曲线基线'!$A$3:$A$502,MIN(ROWS('_曲线基线'!$A$3:$A$502),COUNTIF('_曲线基线'!$E$3:$E$502,"&lt;"&amp;AO218)+1)))</x:f>
        <x:v>293</x:v>
      </x:c>
      <x:c r="AQ218" t="n">
        <x:f>IF(B218&lt;=2,1,IF(B218&lt;=6,2,IF(B218&lt;=9,3,IF(B218&lt;=19,4,5))))</x:f>
        <x:v>5</x:v>
      </x:c>
      <x:c r="AR218" t="n">
        <x:f>AN218*(1-Q218)/F218*$AS$3+U218*$AS$4+P218*$AS$5</x:f>
        <x:v>17257.52047423627</x:v>
      </x:c>
      <x:c r="AS218" t="n">
        <x:f>1+AH218*$AS$6+AI218*$AS$7+(AJ218-1)*$AS$8+($H$10*H218+$I$10*I218+$J$10*J218+$K$10*K218+$L$10*L218)*$AU$3*$AS$9+($H$10*H218+$I$10*I218+$J$10*J218+$K$10*K218+$L$10*L218)*$AU$4*$AS$10</x:f>
        <x:v>17.305520430404833</x:v>
      </x:c>
      <x:c r="AT218" t="n">
        <x:f>ROUND(AR218*AS218,0)</x:f>
        <x:v>298650</x:v>
      </x:c>
      <x:c r="AU218" t="n">
        <x:f>ROUND(AT218*F218,0)</x:f>
        <x:v>1493250</x:v>
      </x:c>
    </x:row>
    <x:row r="219">
      <x:c r="A219" t="str">
        <x:f>IFERROR(XLOOKUP(B219,'_曲线基线'!$G$3:$G$107,'_曲线基线'!$J$3:$J$107,""),"")</x:f>
      </x:c>
      <x:c r="B219" t="n">
        <x:v>208</x:v>
      </x:c>
      <x:c r="C219" t="n">
        <x:f>C204+1</x:f>
        <x:v>15</x:v>
      </x:c>
      <x:c r="D219" t="n">
        <x:f>D204</x:f>
        <x:v>4</x:v>
      </x:c>
      <x:c r="E219" t="n">
        <x:f>IF($B219&lt;E$8,0,E$3+(E$4-E$3)*(POWER(E$5,$B219-E$8)-1)/(POWER(E$5,$C$5-E$8)-1))</x:f>
        <x:v>1</x:v>
      </x:c>
      <x:c r="F219" t="n">
        <x:f>1+IF(B219&lt;3,0,MIN(1,(B219-2)/4))+IF(B219&lt;7,0,MIN(1,(B219-6)/3))+IF(B219&lt;10,0,MIN(1,(B219-9)/5))+IF(B219&lt;20,0,MIN(1,(B219-19)/10))</x:f>
        <x:v>5</x:v>
      </x:c>
      <x:c r="G219" t="n">
        <x:f>IF($B219&lt;G$8,0,G$3+(G$4-G$3)*(POWER(G$5,$B219-G$8)-1)/(POWER(G$5,$C$5-G$8)-1))</x:f>
        <x:v>0.8736762745753666</x:v>
      </x:c>
      <x:c r="H219" t="n">
        <x:f>IF($B219&lt;H$8,0,H$3+(H$4-H$3)*(POWER(H$5,$B219-H$8)-1)/(POWER(H$5,$C$5-H$8)-1))</x:f>
        <x:v>0.6893629125209001</x:v>
      </x:c>
      <x:c r="I219" t="n">
        <x:f>IF($B219&lt;I$8,0,I$3+(I$4-I$3)*(POWER(I$5,$B219-I$8)-1)/(POWER(I$5,$C$5-I$8)-1))</x:f>
        <x:v>0.6226502504800352</x:v>
      </x:c>
      <x:c r="J219" t="n">
        <x:f>IF($B219&lt;J$8,0,J$3+(J$4-J$3)*(POWER(J$5,$B219-J$8)-1)/(POWER(J$5,$C$5-J$8)-1))</x:f>
        <x:v>0.5873803546344892</x:v>
      </x:c>
      <x:c r="K219" t="n">
        <x:f>IF($B219&lt;K$8,0,K$3+(K$4-K$3)*(POWER(K$5,$B219-K$8)-1)/(POWER(K$5,$C$5-K$8)-1))</x:f>
        <x:v>0.5925922034291043</x:v>
      </x:c>
      <x:c r="L219" t="n">
        <x:f>IF($B219&lt;L$8,0,L$3+(L$4-L$3)*(POWER(L$5,$B219-L$8)-1)/(POWER(L$5,$C$5-L$8)-1))</x:f>
        <x:v>0.689144776142455</x:v>
      </x:c>
      <x:c r="M219" t="n">
        <x:f>E219*'模块规划'!$F$10+G219*'模块规划'!$F$11+H219*'模块规划'!$F$13</x:f>
        <x:v>5193.64611796176</x:v>
      </x:c>
      <x:c r="N219" t="n">
        <x:f>I219*'模块规划'!$F$15+J219*'模块规划'!$F$17+K219*'模块规划'!$F$16+L219*'模块规划'!$F$18</x:f>
        <x:v>17856.282651472076</x:v>
      </x:c>
      <x:c r="O219" t="n">
        <x:f>1+O$9*SUMPRODUCT($H$10:$L$10,H219:L219)/SUM($H$10:$L$10)</x:f>
        <x:v>3.3391190707731067</x:v>
      </x:c>
      <x:c r="P219" t="n">
        <x:f>M219*O219+N219</x:f>
        <x:v>35198.4854508049</x:v>
      </x:c>
      <x:c r="Q219" t="n">
        <x:f>P219/(P219+'_曲线基线'!$L$2)</x:f>
        <x:v>0.5945842225989976</x:v>
      </x:c>
      <x:c r="R219" t="n">
        <x:f>E219*'模块规划'!$E$10+G219*'模块规划'!$E$11+H219*'模块规划'!$E$13</x:f>
        <x:v>7790.469176942639</x:v>
      </x:c>
      <x:c r="S219" t="n">
        <x:f>I219*'模块规划'!$E$15+J219*'模块规划'!$E$17+K219*'模块规划'!$E$16+L219*'模块规划'!$E$18</x:f>
        <x:v>26784.423977208113</x:v>
      </x:c>
      <x:c r="T219" t="n">
        <x:f>1+T$9*SUMPRODUCT($H$10:$L$10,H219:L219)/SUM($H$10:$L$10)</x:f>
        <x:v>3.3391190707731067</x:v>
      </x:c>
      <x:c r="U219" t="n">
        <x:f>R219*T219+S219</x:f>
        <x:v>52797.72817620735</x:v>
      </x:c>
      <x:c r="V219" t="n">
        <x:f>V$8+(V$9-V$8)*H219</x:f>
        <x:v>0.9068088737562701</x:v>
      </x:c>
      <x:c r="W219" t="n">
        <x:f>IF(B219&lt;$H$8,0,W$8+(W$9-W$8)*H219)</x:f>
        <x:v>0.27574516500836005</x:v>
      </x:c>
      <x:c r="X219" t="n">
        <x:f>X$8+(X$9-X$8)*H219</x:f>
        <x:v>0.46457480094324755</x:v>
      </x:c>
      <x:c r="Y219" t="n">
        <x:f>Y$8+(Y$9-Y$8)*G219</x:f>
        <x:v>1</x:v>
      </x:c>
      <x:c r="Z219" t="n">
        <x:f>Z$8+(Z$9-Z$8)*H219</x:f>
        <x:v>1</x:v>
      </x:c>
      <x:c r="AA219" t="n">
        <x:f>AA$8+(AA$9-AA$8)*I219</x:f>
        <x:v>1</x:v>
      </x:c>
      <x:c r="AB219" t="n">
        <x:f>AB$8+(AB$9-AB$8)*J219</x:f>
        <x:v>1</x:v>
      </x:c>
      <x:c r="AC219" t="n">
        <x:f>AC$8+(AC$9-AC$8)*MAX(K219,L219)</x:f>
        <x:v>1</x:v>
      </x:c>
      <x:c r="AD219" t="n">
        <x:f>(V219*AE219+W219*AF219+X219*AG219)*PRODUCT(Y219:AC219)</x:f>
        <x:v>1.8740312870308586</x:v>
      </x:c>
      <x:c r="AE219" t="n">
        <x:f>1+AE$9*($H$10*H219+$I$10*I219+$J$10*J219+$K$10*K219+$L$10*L219)</x:f>
        <x:v>1</x:v>
      </x:c>
      <x:c r="AF219" t="n">
        <x:f>1+AF$9*($H$10*H219+$I$10*I219+$J$10*J219+$K$10*K219+$L$10*L219)</x:f>
        <x:v>1.2064485657605415</x:v>
      </x:c>
      <x:c r="AG219" t="n">
        <x:f>1+AG$9*($H$10*H219+$I$10*I219+$J$10*J219+$K$10*K219+$L$10*L219)</x:f>
        <x:v>1.3658727359867404</x:v>
      </x:c>
      <x:c r="AH219" t="n">
        <x:f>MIN(1,'_曲线基线'!$L$3+AH$9*($H$10*H219+$I$10*I219+$J$10*J219+$K$10*K219+$L$10*L219))</x:f>
        <x:v>0.5196704871052316</x:v>
      </x:c>
      <x:c r="AI219" t="n">
        <x:f>'_曲线基线'!$L$4+AI$9*($H$10*H219+$I$10*I219+$J$10*J219+$K$10*K219+$L$10*L219)</x:f>
        <x:v>3.3083677855074307</x:v>
      </x:c>
      <x:c r="AJ219" t="n">
        <x:f>1+AJ$9*($H$10*H219+$I$10*I219+$J$10*J219+$K$10*K219+$L$10*L219)</x:f>
        <x:v>2.0735325419548154</x:v>
      </x:c>
      <x:c r="AK219" t="n">
        <x:f>(1+AH219*(AI219-1))*AJ219</x:f>
        <x:v>4.560922711949816</x:v>
      </x:c>
      <x:c r="AL219" t="n">
        <x:f>U219*AD219*AK219*F219</x:f>
        <x:v>2256393.2410875945</x:v>
      </x:c>
      <x:c r="AM219" t="n">
        <x:f>IF($B219&lt;AM$8,0,AM$3+(AM$4-AM$3)*(POWER(AM$5,$B219-AM$8)-1)/(POWER(AM$5,$C$5-AM$8)-1))</x:f>
        <x:v>44.18750321785261</x:v>
      </x:c>
      <x:c r="AN219" t="n">
        <x:f>(((E219*'模块规划'!$D$10+G219*'模块规划'!$D$11+H219*'模块规划'!$D$13)*(1+'模块规划'!$G$14*H219)+(I219*'模块规划'!$D$15+J219*'模块规划'!$D$17+K219*'模块规划'!$D$16+L219*'模块规划'!$D$18))*(1+'模块规划'!$J$17*J219))*F219/(1-Q219)</x:f>
        <x:v>2762000.1579395346</x:v>
      </x:c>
      <x:c r="AO219" t="n">
        <x:f>AL219*AM219</x:f>
        <x:v>99704383.60129896</x:v>
      </x:c>
      <x:c r="AP219" t="n">
        <x:f>IF(AO219="","",INDEX('_曲线基线'!$A$3:$A$502,MIN(ROWS('_曲线基线'!$A$3:$A$502),COUNTIF('_曲线基线'!$E$3:$E$502,"&lt;"&amp;AO219)+1)))</x:f>
        <x:v>293</x:v>
      </x:c>
      <x:c r="AQ219" t="n">
        <x:f>IF(B219&lt;=2,1,IF(B219&lt;=6,2,IF(B219&lt;=9,3,IF(B219&lt;=19,4,5))))</x:f>
        <x:v>5</x:v>
      </x:c>
      <x:c r="AR219" t="n">
        <x:f>AN219*(1-Q219)/F219*$AS$3+U219*$AS$4+P219*$AS$5</x:f>
        <x:v>17278.096282517956</x:v>
      </x:c>
      <x:c r="AS219" t="n">
        <x:f>1+AH219*$AS$6+AI219*$AS$7+(AJ219-1)*$AS$8+($H$10*H219+$I$10*I219+$J$10*J219+$K$10*K219+$L$10*L219)*$AU$3*$AS$9+($H$10*H219+$I$10*I219+$J$10*J219+$K$10*K219+$L$10*L219)*$AU$4*$AS$10</x:f>
        <x:v>17.317116381375193</x:v>
      </x:c>
      <x:c r="AT219" t="n">
        <x:f>ROUND(AR219*AS219,0)</x:f>
        <x:v>299207</x:v>
      </x:c>
      <x:c r="AU219" t="n">
        <x:f>ROUND(AT219*F219,0)</x:f>
        <x:v>1496035</x:v>
      </x:c>
    </x:row>
    <x:row r="220">
      <x:c r="A220" t="str">
        <x:f>IFERROR(XLOOKUP(B220,'_曲线基线'!$G$3:$G$107,'_曲线基线'!$J$3:$J$107,""),"")</x:f>
      </x:c>
      <x:c r="B220" t="n">
        <x:v>209</x:v>
      </x:c>
      <x:c r="C220" t="n">
        <x:f>C205+1</x:f>
        <x:v>15</x:v>
      </x:c>
      <x:c r="D220" t="n">
        <x:f>D205</x:f>
        <x:v>5</x:v>
      </x:c>
      <x:c r="E220" t="n">
        <x:f>IF($B220&lt;E$8,0,E$3+(E$4-E$3)*(POWER(E$5,$B220-E$8)-1)/(POWER(E$5,$C$5-E$8)-1))</x:f>
        <x:v>1</x:v>
      </x:c>
      <x:c r="F220" t="n">
        <x:f>1+IF(B220&lt;3,0,MIN(1,(B220-2)/4))+IF(B220&lt;7,0,MIN(1,(B220-6)/3))+IF(B220&lt;10,0,MIN(1,(B220-9)/5))+IF(B220&lt;20,0,MIN(1,(B220-19)/10))</x:f>
        <x:v>5</x:v>
      </x:c>
      <x:c r="G220" t="n">
        <x:f>IF($B220&lt;G$8,0,G$3+(G$4-G$3)*(POWER(G$5,$B220-G$8)-1)/(POWER(G$5,$C$5-G$8)-1))</x:f>
        <x:v>0.8742763209112319</x:v>
      </x:c>
      <x:c r="H220" t="n">
        <x:f>IF($B220&lt;H$8,0,H$3+(H$4-H$3)*(POWER(H$5,$B220-H$8)-1)/(POWER(H$5,$C$5-H$8)-1))</x:f>
        <x:v>0.6896421965099934</x:v>
      </x:c>
      <x:c r="I220" t="n">
        <x:f>IF($B220&lt;I$8,0,I$3+(I$4-I$3)*(POWER(I$5,$B220-I$8)-1)/(POWER(I$5,$C$5-I$8)-1))</x:f>
        <x:v>0.6233683368135028</x:v>
      </x:c>
      <x:c r="J220" t="n">
        <x:f>IF($B220&lt;J$8,0,J$3+(J$4-J$3)*(POWER(J$5,$B220-J$8)-1)/(POWER(J$5,$C$5-J$8)-1))</x:f>
        <x:v>0.5877116920335234</x:v>
      </x:c>
      <x:c r="K220" t="n">
        <x:f>IF($B220&lt;K$8,0,K$3+(K$4-K$3)*(POWER(K$5,$B220-K$8)-1)/(POWER(K$5,$C$5-K$8)-1))</x:f>
        <x:v>0.5940994842954959</x:v>
      </x:c>
      <x:c r="L220" t="n">
        <x:f>IF($B220&lt;L$8,0,L$3+(L$4-L$3)*(POWER(L$5,$B220-L$8)-1)/(POWER(L$5,$C$5-L$8)-1))</x:f>
        <x:v>0.6894297874509916</x:v>
      </x:c>
      <x:c r="M220" t="n">
        <x:f>E220*'模块规划'!$F$10+G220*'模块规划'!$F$11+H220*'模块规划'!$F$13</x:f>
        <x:v>5196.526340373913</x:v>
      </x:c>
      <x:c r="N220" t="n">
        <x:f>I220*'模块规划'!$F$15+J220*'模块规划'!$F$17+K220*'模块规划'!$F$16+L220*'模块规划'!$F$18</x:f>
        <x:v>17875.80945787119</x:v>
      </x:c>
      <x:c r="O220" t="n">
        <x:f>1+O$9*SUMPRODUCT($H$10:$L$10,H220:L220)/SUM($H$10:$L$10)</x:f>
        <x:v>3.341273968868781</x:v>
      </x:c>
      <x:c r="P220" t="n">
        <x:f>M220*O220+N220</x:f>
        <x:v>35238.827647503495</x:v>
      </x:c>
      <x:c r="Q220" t="n">
        <x:f>P220/(P220+'_曲线基线'!$L$2)</x:f>
        <x:v>0.5948603145421728</x:v>
      </x:c>
      <x:c r="R220" t="n">
        <x:f>E220*'模块规划'!$E$10+G220*'模块规划'!$E$11+H220*'模块规划'!$E$13</x:f>
        <x:v>7794.7895105608695</x:v>
      </x:c>
      <x:c r="S220" t="n">
        <x:f>I220*'模块规划'!$E$15+J220*'模块规划'!$E$17+K220*'模块规划'!$E$16+L220*'模块规划'!$E$18</x:f>
        <x:v>26813.71418680678</x:v>
      </x:c>
      <x:c r="T220" t="n">
        <x:f>1+T$9*SUMPRODUCT($H$10:$L$10,H220:L220)/SUM($H$10:$L$10)</x:f>
        <x:v>3.341273968868781</x:v>
      </x:c>
      <x:c r="U220" t="n">
        <x:f>R220*T220+S220</x:f>
        <x:v>52858.24147125524</x:v>
      </x:c>
      <x:c r="V220" t="n">
        <x:f>V$8+(V$9-V$8)*H220</x:f>
        <x:v>0.906892658952998</x:v>
      </x:c>
      <x:c r="W220" t="n">
        <x:f>IF(B220&lt;$H$8,0,W$8+(W$9-W$8)*H220)</x:f>
        <x:v>0.2758568786039974</x:v>
      </x:c>
      <x:c r="X220" t="n">
        <x:f>X$8+(X$9-X$8)*H220</x:f>
        <x:v>0.4646516040402482</x:v>
      </x:c>
      <x:c r="Y220" t="n">
        <x:f>Y$8+(Y$9-Y$8)*G220</x:f>
        <x:v>1</x:v>
      </x:c>
      <x:c r="Z220" t="n">
        <x:f>Z$8+(Z$9-Z$8)*H220</x:f>
        <x:v>1</x:v>
      </x:c>
      <x:c r="AA220" t="n">
        <x:f>AA$8+(AA$9-AA$8)*I220</x:f>
        <x:v>1</x:v>
      </x:c>
      <x:c r="AB220" t="n">
        <x:f>AB$8+(AB$9-AB$8)*J220</x:f>
        <x:v>1</x:v>
      </x:c>
      <x:c r="AC220" t="n">
        <x:f>AC$8+(AC$9-AC$8)*MAX(K220,L220)</x:f>
        <x:v>1</x:v>
      </x:c>
      <x:c r="AD220" t="n">
        <x:f>(V220*AE220+W220*AF220+X220*AG220)*PRODUCT(Y220:AC220)</x:f>
        <x:v>1.874563831715641</x:v>
      </x:c>
      <x:c r="AE220" t="n">
        <x:f>1+AE$9*($H$10*H220+$I$10*I220+$J$10*J220+$K$10*K220+$L$10*L220)</x:f>
        <x:v>1</x:v>
      </x:c>
      <x:c r="AF220" t="n">
        <x:f>1+AF$9*($H$10*H220+$I$10*I220+$J$10*J220+$K$10*K220+$L$10*L220)</x:f>
        <x:v>1.2066387551471234</x:v>
      </x:c>
      <x:c r="AG220" t="n">
        <x:f>1+AG$9*($H$10*H220+$I$10*I220+$J$10*J220+$K$10*K220+$L$10*L220)</x:f>
        <x:v>1.3662097938440714</x:v>
      </x:c>
      <x:c r="AH220" t="n">
        <x:f>MIN(1,'_曲线基线'!$L$3+AH$9*($H$10*H220+$I$10*I220+$J$10*J220+$K$10*K220+$L$10*L220))</x:f>
        <x:v>0.5201031679597051</x:v>
      </x:c>
      <x:c r="AI220" t="n">
        <x:f>'_曲线基线'!$L$4+AI$9*($H$10*H220+$I$10*I220+$J$10*J220+$K$10*K220+$L$10*L220)</x:f>
        <x:v>3.3095731107448927</x:v>
      </x:c>
      <x:c r="AJ220" t="n">
        <x:f>1+AJ$9*($H$10*H220+$I$10*I220+$J$10*J220+$K$10*K220+$L$10*L220)</x:f>
        <x:v>2.0745215267650403</x:v>
      </x:c>
      <x:c r="AK220" t="n">
        <x:f>(1+AH220*(AI220-1))*AJ220</x:f>
        <x:v>4.566470581851057</x:v>
      </x:c>
      <x:c r="AL220" t="n">
        <x:f>U220*AD220*AK220*F220</x:f>
        <x:v>2262369.8920224626</x:v>
      </x:c>
      <x:c r="AM220" t="n">
        <x:f>IF($B220&lt;AM$8,0,AM$3+(AM$4-AM$3)*(POWER(AM$5,$B220-AM$8)-1)/(POWER(AM$5,$C$5-AM$8)-1))</x:f>
        <x:v>44.292802889952995</x:v>
      </x:c>
      <x:c r="AN220" t="n">
        <x:f>(((E220*'模块规划'!$D$10+G220*'模块规划'!$D$11+H220*'模块规划'!$D$13)*(1+'模块规划'!$G$14*H220)+(I220*'模块规划'!$D$15+J220*'模块规划'!$D$17+K220*'模块规划'!$D$16+L220*'模块规划'!$D$18))*(1+'模块规划'!$J$17*J220))*F220/(1-Q220)</x:f>
        <x:v>2767210.266308319</x:v>
      </x:c>
      <x:c r="AO220" t="n">
        <x:f>AL220*AM220</x:f>
        <x:v>100206703.69151518</x:v>
      </x:c>
      <x:c r="AP220" t="n">
        <x:f>IF(AO220="","",INDEX('_曲线基线'!$A$3:$A$502,MIN(ROWS('_曲线基线'!$A$3:$A$502),COUNTIF('_曲线基线'!$E$3:$E$502,"&lt;"&amp;AO220)+1)))</x:f>
        <x:v>293</x:v>
      </x:c>
      <x:c r="AQ220" t="n">
        <x:f>IF(B220&lt;=2,1,IF(B220&lt;=6,2,IF(B220&lt;=9,3,IF(B220&lt;=19,4,5))))</x:f>
        <x:v>5</x:v>
      </x:c>
      <x:c r="AR220" t="n">
        <x:f>AN220*(1-Q220)/F220*$AS$3+U220*$AS$4+P220*$AS$5</x:f>
        <x:v>17298.288475577985</x:v>
      </x:c>
      <x:c r="AS220" t="n">
        <x:f>1+AH220*$AS$6+AI220*$AS$7+(AJ220-1)*$AS$8+($H$10*H220+$I$10*I220+$J$10*J220+$K$10*K220+$L$10*L220)*$AU$3*$AS$9+($H$10*H220+$I$10*I220+$J$10*J220+$K$10*K220+$L$10*L220)*$AU$4*$AS$10</x:f>
        <x:v>17.328480413326144</x:v>
      </x:c>
      <x:c r="AT220" t="n">
        <x:f>ROUND(AR220*AS220,0)</x:f>
        <x:v>299753</x:v>
      </x:c>
      <x:c r="AU220" t="n">
        <x:f>ROUND(AT220*F220,0)</x:f>
        <x:v>1498765</x:v>
      </x:c>
    </x:row>
    <x:row r="221">
      <x:c r="A221" t="str">
        <x:f>IFERROR(XLOOKUP(B221,'_曲线基线'!$G$3:$G$107,'_曲线基线'!$J$3:$J$107,""),"")</x:f>
      </x:c>
      <x:c r="B221" t="n">
        <x:v>210</x:v>
      </x:c>
      <x:c r="C221" t="n">
        <x:f>C206+1</x:f>
        <x:v>15</x:v>
      </x:c>
      <x:c r="D221" t="n">
        <x:f>D206</x:f>
        <x:v>6</x:v>
      </x:c>
      <x:c r="E221" t="n">
        <x:f>IF($B221&lt;E$8,0,E$3+(E$4-E$3)*(POWER(E$5,$B221-E$8)-1)/(POWER(E$5,$C$5-E$8)-1))</x:f>
        <x:v>1</x:v>
      </x:c>
      <x:c r="F221" t="n">
        <x:f>1+IF(B221&lt;3,0,MIN(1,(B221-2)/4))+IF(B221&lt;7,0,MIN(1,(B221-6)/3))+IF(B221&lt;10,0,MIN(1,(B221-9)/5))+IF(B221&lt;20,0,MIN(1,(B221-19)/10))</x:f>
        <x:v>5</x:v>
      </x:c>
      <x:c r="G221" t="n">
        <x:f>IF($B221&lt;G$8,0,G$3+(G$4-G$3)*(POWER(G$5,$B221-G$8)-1)/(POWER(G$5,$C$5-G$8)-1))</x:f>
        <x:v>0.8748673665520592</x:v>
      </x:c>
      <x:c r="H221" t="n">
        <x:f>IF($B221&lt;H$8,0,H$3+(H$4-H$3)*(POWER(H$5,$B221-H$8)-1)/(POWER(H$5,$C$5-H$8)-1))</x:f>
        <x:v>0.6899158948193049</x:v>
      </x:c>
      <x:c r="I221" t="n">
        <x:f>IF($B221&lt;I$8,0,I$3+(I$4-I$3)*(POWER(I$5,$B221-I$8)-1)/(POWER(I$5,$C$5-I$8)-1))</x:f>
        <x:v>0.6240720614203009</x:v>
      </x:c>
      <x:c r="J221" t="n">
        <x:f>IF($B221&lt;J$8,0,J$3+(J$4-J$3)*(POWER(J$5,$B221-J$8)-1)/(POWER(J$5,$C$5-J$8)-1))</x:f>
        <x:v>0.5880364026845768</x:v>
      </x:c>
      <x:c r="K221" t="n">
        <x:f>IF($B221&lt;K$8,0,K$3+(K$4-K$3)*(POWER(K$5,$B221-K$8)-1)/(POWER(K$5,$C$5-K$8)-1))</x:f>
        <x:v>0.5955766195445594</x:v>
      </x:c>
      <x:c r="L221" t="n">
        <x:f>IF($B221&lt;L$8,0,L$3+(L$4-L$3)*(POWER(L$5,$B221-L$8)-1)/(POWER(L$5,$C$5-L$8)-1))</x:f>
        <x:v>0.6897090985333574</x:v>
      </x:c>
      <x:c r="M221" t="n">
        <x:f>E221*'模块规划'!$F$10+G221*'模块规划'!$F$11+H221*'模块规划'!$F$13</x:f>
        <x:v>5199.363359449884</x:v>
      </x:c>
      <x:c r="N221" t="n">
        <x:f>I221*'模块规划'!$F$15+J221*'模块规划'!$F$17+K221*'模块规划'!$F$16+L221*'模块规划'!$F$18</x:f>
        <x:v>17894.94572814232</x:v>
      </x:c>
      <x:c r="O221" t="n">
        <x:f>1+O$9*SUMPRODUCT($H$10:$L$10,H221:L221)/SUM($H$10:$L$10)</x:f>
        <x:v>3.3433857690025413</x:v>
      </x:c>
      <x:c r="P221" t="n">
        <x:f>M221*O221+N221</x:f>
        <x:v>35278.42319200031</x:v>
      </x:c>
      <x:c r="Q221" t="n">
        <x:f>P221/(P221+'_曲线基线'!$L$2)</x:f>
        <x:v>0.5951309311608203</x:v>
      </x:c>
      <x:c r="R221" t="n">
        <x:f>E221*'模块规划'!$E$10+G221*'模块规划'!$E$11+H221*'模块规划'!$E$13</x:f>
        <x:v>7799.045039174826</x:v>
      </x:c>
      <x:c r="S221" t="n">
        <x:f>I221*'模块规划'!$E$15+J221*'模块规划'!$E$17+K221*'模块规划'!$E$16+L221*'模块规划'!$E$18</x:f>
        <x:v>26842.41859221348</x:v>
      </x:c>
      <x:c r="T221" t="n">
        <x:f>1+T$9*SUMPRODUCT($H$10:$L$10,H221:L221)/SUM($H$10:$L$10)</x:f>
        <x:v>3.3433857690025413</x:v>
      </x:c>
      <x:c r="U221" t="n">
        <x:f>R221*T221+S221</x:f>
        <x:v>52917.63478800046</x:v>
      </x:c>
      <x:c r="V221" t="n">
        <x:f>V$8+(V$9-V$8)*H221</x:f>
        <x:v>0.9069747684457915</x:v>
      </x:c>
      <x:c r="W221" t="n">
        <x:f>IF(B221&lt;$H$8,0,W$8+(W$9-W$8)*H221)</x:f>
        <x:v>0.275966357927722</x:v>
      </x:c>
      <x:c r="X221" t="n">
        <x:f>X$8+(X$9-X$8)*H221</x:f>
        <x:v>0.46472687107530886</x:v>
      </x:c>
      <x:c r="Y221" t="n">
        <x:f>Y$8+(Y$9-Y$8)*G221</x:f>
        <x:v>1</x:v>
      </x:c>
      <x:c r="Z221" t="n">
        <x:f>Z$8+(Z$9-Z$8)*H221</x:f>
        <x:v>1</x:v>
      </x:c>
      <x:c r="AA221" t="n">
        <x:f>AA$8+(AA$9-AA$8)*I221</x:f>
        <x:v>1</x:v>
      </x:c>
      <x:c r="AB221" t="n">
        <x:f>AB$8+(AB$9-AB$8)*J221</x:f>
        <x:v>1</x:v>
      </x:c>
      <x:c r="AC221" t="n">
        <x:f>AC$8+(AC$9-AC$8)*MAX(K221,L221)</x:f>
        <x:v>1</x:v>
      </x:c>
      <x:c r="AD221" t="n">
        <x:f>(V221*AE221+W221*AF221+X221*AG221)*PRODUCT(Y221:AC221)</x:f>
        <x:v>1.875085816965207</x:v>
      </x:c>
      <x:c r="AE221" t="n">
        <x:f>1+AE$9*($H$10*H221+$I$10*I221+$J$10*J221+$K$10*K221+$L$10*L221)</x:f>
        <x:v>1</x:v>
      </x:c>
      <x:c r="AF221" t="n">
        <x:f>1+AF$9*($H$10*H221+$I$10*I221+$J$10*J221+$K$10*K221+$L$10*L221)</x:f>
        <x:v>1.2068251407459734</x:v>
      </x:c>
      <x:c r="AG221" t="n">
        <x:f>1+AG$9*($H$10*H221+$I$10*I221+$J$10*J221+$K$10*K221+$L$10*L221)</x:f>
        <x:v>1.3665401105442558</x:v>
      </x:c>
      <x:c r="AH221" t="n">
        <x:f>MIN(1,'_曲线基线'!$L$3+AH$9*($H$10*H221+$I$10*I221+$J$10*J221+$K$10*K221+$L$10*L221))</x:f>
        <x:v>0.5205271951970891</x:v>
      </x:c>
      <x:c r="AI221" t="n">
        <x:f>'_曲线基线'!$L$4+AI$9*($H$10*H221+$I$10*I221+$J$10*J221+$K$10*K221+$L$10*L221)</x:f>
        <x:v>3.3107543294776054</x:v>
      </x:c>
      <x:c r="AJ221" t="n">
        <x:f>1+AJ$9*($H$10*H221+$I$10*I221+$J$10*J221+$K$10*K221+$L$10*L221)</x:f>
        <x:v>2.0754907318790607</x:v>
      </x:c>
      <x:c r="AK221" t="n">
        <x:f>(1+AH221*(AI221-1))*AJ221</x:f>
        <x:v>4.57191271438957</x:v>
      </x:c>
      <x:c r="AL221" t="n">
        <x:f>U221*AD221*AK221*F221</x:f>
        <x:v>2268242.6290173577</x:v>
      </x:c>
      <x:c r="AM221" t="n">
        <x:f>IF($B221&lt;AM$8,0,AM$3+(AM$4-AM$3)*(POWER(AM$5,$B221-AM$8)-1)/(POWER(AM$5,$C$5-AM$8)-1))</x:f>
        <x:v>44.399155558774396</x:v>
      </x:c>
      <x:c r="AN221" t="n">
        <x:f>(((E221*'模块规划'!$D$10+G221*'模块规划'!$D$11+H221*'模块规划'!$D$13)*(1+'模块规划'!$G$14*H221)+(I221*'模块规划'!$D$15+J221*'模块规划'!$D$17+K221*'模块规划'!$D$16+L221*'模块规划'!$D$18))*(1+'模块规划'!$J$17*J221))*F221/(1-Q221)</x:f>
        <x:v>2772327.20639026</x:v>
      </x:c>
      <x:c r="AO221" t="n">
        <x:f>AL221*AM221</x:f>
        <x:v>100708057.33078507</x:v>
      </x:c>
      <x:c r="AP221" t="n">
        <x:f>IF(AO221="","",INDEX('_曲线基线'!$A$3:$A$502,MIN(ROWS('_曲线基线'!$A$3:$A$502),COUNTIF('_曲线基线'!$E$3:$E$502,"&lt;"&amp;AO221)+1)))</x:f>
        <x:v>294</x:v>
      </x:c>
      <x:c r="AQ221" t="n">
        <x:f>IF(B221&lt;=2,1,IF(B221&lt;=6,2,IF(B221&lt;=9,3,IF(B221&lt;=19,4,5))))</x:f>
        <x:v>5</x:v>
      </x:c>
      <x:c r="AR221" t="n">
        <x:f>AN221*(1-Q221)/F221*$AS$3+U221*$AS$4+P221*$AS$5</x:f>
        <x:v>17318.104165012588</x:v>
      </x:c>
      <x:c r="AS221" t="n">
        <x:f>1+AH221*$AS$6+AI221*$AS$7+(AJ221-1)*$AS$8+($H$10*H221+$I$10*I221+$J$10*J221+$K$10*K221+$L$10*L221)*$AU$3*$AS$9+($H$10*H221+$I$10*I221+$J$10*J221+$K$10*K221+$L$10*L221)*$AU$4*$AS$10</x:f>
        <x:v>17.339617164638074</x:v>
      </x:c>
      <x:c r="AT221" t="n">
        <x:f>ROUND(AR221*AS221,0)</x:f>
        <x:v>300289</x:v>
      </x:c>
      <x:c r="AU221" t="n">
        <x:f>ROUND(AT221*F221,0)</x:f>
        <x:v>1501445</x:v>
      </x:c>
    </x:row>
    <x:row r="222">
      <x:c r="A222" t="str">
        <x:f>IFERROR(XLOOKUP(B222,'_曲线基线'!$G$3:$G$107,'_曲线基线'!$J$3:$J$107,""),"")</x:f>
      </x:c>
      <x:c r="B222" t="n">
        <x:v>211</x:v>
      </x:c>
      <x:c r="C222" t="n">
        <x:f>C207+1</x:f>
        <x:v>15</x:v>
      </x:c>
      <x:c r="D222" t="n">
        <x:f>D207</x:f>
        <x:v>7</x:v>
      </x:c>
      <x:c r="E222" t="n">
        <x:f>IF($B222&lt;E$8,0,E$3+(E$4-E$3)*(POWER(E$5,$B222-E$8)-1)/(POWER(E$5,$C$5-E$8)-1))</x:f>
        <x:v>1</x:v>
      </x:c>
      <x:c r="F222" t="n">
        <x:f>1+IF(B222&lt;3,0,MIN(1,(B222-2)/4))+IF(B222&lt;7,0,MIN(1,(B222-6)/3))+IF(B222&lt;10,0,MIN(1,(B222-9)/5))+IF(B222&lt;20,0,MIN(1,(B222-19)/10))</x:f>
        <x:v>5</x:v>
      </x:c>
      <x:c r="G222" t="n">
        <x:f>IF($B222&lt;G$8,0,G$3+(G$4-G$3)*(POWER(G$5,$B222-G$8)-1)/(POWER(G$5,$C$5-G$8)-1))</x:f>
        <x:v>0.8754495465082742</x:v>
      </x:c>
      <x:c r="H222" t="n">
        <x:f>IF($B222&lt;H$8,0,H$3+(H$4-H$3)*(POWER(H$5,$B222-H$8)-1)/(POWER(H$5,$C$5-H$8)-1))</x:f>
        <x:v>0.6901841191624302</x:v>
      </x:c>
      <x:c r="I222" t="n">
        <x:f>IF($B222&lt;I$8,0,I$3+(I$4-I$3)*(POWER(I$5,$B222-I$8)-1)/(POWER(I$5,$C$5-I$8)-1))</x:f>
        <x:v>0.6247617115349631</x:v>
      </x:c>
      <x:c r="J222" t="n">
        <x:f>IF($B222&lt;J$8,0,J$3+(J$4-J$3)*(POWER(J$5,$B222-J$8)-1)/(POWER(J$5,$C$5-J$8)-1))</x:f>
        <x:v>0.5883546191226091</x:v>
      </x:c>
      <x:c r="K222" t="n">
        <x:f>IF($B222&lt;K$8,0,K$3+(K$4-K$3)*(POWER(K$5,$B222-K$8)-1)/(POWER(K$5,$C$5-K$8)-1))</x:f>
        <x:v>0.5970242120886419</x:v>
      </x:c>
      <x:c r="L222" t="n">
        <x:f>IF($B222&lt;L$8,0,L$3+(L$4-L$3)*(POWER(L$5,$B222-L$8)-1)/(POWER(L$5,$C$5-L$8)-1))</x:f>
        <x:v>0.689982823394076</x:v>
      </x:c>
      <x:c r="M222" t="n">
        <x:f>E222*'模块规划'!$F$10+G222*'模块规划'!$F$11+H222*'模块规划'!$F$13</x:f>
        <x:v>5202.157823239716</x:v>
      </x:c>
      <x:c r="N222" t="n">
        <x:f>I222*'模块规划'!$F$15+J222*'模块规划'!$F$17+K222*'模块规划'!$F$16+L222*'模块规划'!$F$18</x:f>
        <x:v>17913.699273008027</x:v>
      </x:c>
      <x:c r="O222" t="n">
        <x:f>1+O$9*SUMPRODUCT($H$10:$L$10,H222:L222)/SUM($H$10:$L$10)</x:f>
        <x:v>3.3454553331336268</x:v>
      </x:c>
      <x:c r="P222" t="n">
        <x:f>M222*O222+N222</x:f>
        <x:v>35317.285906568155</x:v>
      </x:c>
      <x:c r="Q222" t="n">
        <x:f>P222/(P222+'_曲线基线'!$L$2)</x:f>
        <x:v>0.5953961879206193</x:v>
      </x:c>
      <x:c r="R222" t="n">
        <x:f>E222*'模块规划'!$E$10+G222*'模块规划'!$E$11+H222*'模块规划'!$E$13</x:f>
        <x:v>7803.236734859574</x:v>
      </x:c>
      <x:c r="S222" t="n">
        <x:f>I222*'模块规划'!$E$15+J222*'模块规划'!$E$17+K222*'模块规划'!$E$16+L222*'模块规划'!$E$18</x:f>
        <x:v>26870.54890951204</x:v>
      </x:c>
      <x:c r="T222" t="n">
        <x:f>1+T$9*SUMPRODUCT($H$10:$L$10,H222:L222)/SUM($H$10:$L$10)</x:f>
        <x:v>3.3454553331336268</x:v>
      </x:c>
      <x:c r="U222" t="n">
        <x:f>R222*T222+S222</x:f>
        <x:v>52975.928859852225</x:v>
      </x:c>
      <x:c r="V222" t="n">
        <x:f>V$8+(V$9-V$8)*H222</x:f>
        <x:v>0.907055235748729</x:v>
      </x:c>
      <x:c r="W222" t="n">
        <x:f>IF(B222&lt;$H$8,0,W$8+(W$9-W$8)*H222)</x:f>
        <x:v>0.27607364766497205</x:v>
      </x:c>
      <x:c r="X222" t="n">
        <x:f>X$8+(X$9-X$8)*H222</x:f>
        <x:v>0.4648006327696683</x:v>
      </x:c>
      <x:c r="Y222" t="n">
        <x:f>Y$8+(Y$9-Y$8)*G222</x:f>
        <x:v>1</x:v>
      </x:c>
      <x:c r="Z222" t="n">
        <x:f>Z$8+(Z$9-Z$8)*H222</x:f>
        <x:v>1</x:v>
      </x:c>
      <x:c r="AA222" t="n">
        <x:f>AA$8+(AA$9-AA$8)*I222</x:f>
        <x:v>1</x:v>
      </x:c>
      <x:c r="AB222" t="n">
        <x:f>AB$8+(AB$9-AB$8)*J222</x:f>
        <x:v>1</x:v>
      </x:c>
      <x:c r="AC222" t="n">
        <x:f>AC$8+(AC$9-AC$8)*MAX(K222,L222)</x:f>
        <x:v>1</x:v>
      </x:c>
      <x:c r="AD222" t="n">
        <x:f>(V222*AE222+W222*AF222+X222*AG222)*PRODUCT(Y222:AC222)</x:f>
        <x:v>1.8755974503465045</x:v>
      </x:c>
      <x:c r="AE222" t="n">
        <x:f>1+AE$9*($H$10*H222+$I$10*I222+$J$10*J222+$K$10*K222+$L$10*L222)</x:f>
        <x:v>1</x:v>
      </x:c>
      <x:c r="AF222" t="n">
        <x:f>1+AF$9*($H$10*H222+$I$10*I222+$J$10*J222+$K$10*K222+$L$10*L222)</x:f>
        <x:v>1.2070077986328465</x:v>
      </x:c>
      <x:c r="AG222" t="n">
        <x:f>1+AG$9*($H$10*H222+$I$10*I222+$J$10*J222+$K$10*K222+$L$10*L222)</x:f>
        <x:v>1.3668638209104365</x:v>
      </x:c>
      <x:c r="AH222" t="n">
        <x:f>MIN(1,'_曲线基线'!$L$3+AH$9*($H$10*H222+$I$10*I222+$J$10*J222+$K$10*K222+$L$10*L222))</x:f>
        <x:v>0.5209427418897254</x:v>
      </x:c>
      <x:c r="AI222" t="n">
        <x:f>'_曲线基线'!$L$4+AI$9*($H$10*H222+$I$10*I222+$J$10*J222+$K$10*K222+$L$10*L222)</x:f>
        <x:v>3.311911923835664</x:v>
      </x:c>
      <x:c r="AJ222" t="n">
        <x:f>1+AJ$9*($H$10*H222+$I$10*I222+$J$10*J222+$K$10*K222+$L$10*L222)</x:f>
        <x:v>2.0764405528908014</x:v>
      </x:c>
      <x:c r="AK222" t="n">
        <x:f>(1+AH222*(AI222-1))*AJ222</x:f>
        <x:v>4.577251020425471</x:v>
      </x:c>
      <x:c r="AL222" t="n">
        <x:f>U222*AD222*AK222*F222</x:f>
        <x:v>2274013.027668434</x:v>
      </x:c>
      <x:c r="AM222" t="n">
        <x:f>IF($B222&lt;AM$8,0,AM$3+(AM$4-AM$3)*(POWER(AM$5,$B222-AM$8)-1)/(POWER(AM$5,$C$5-AM$8)-1))</x:f>
        <x:v>44.50657175428401</x:v>
      </x:c>
      <x:c r="AN222" t="n">
        <x:f>(((E222*'模块规划'!$D$10+G222*'模块规划'!$D$11+H222*'模块规划'!$D$13)*(1+'模块规划'!$G$14*H222)+(I222*'模块规划'!$D$15+J222*'模块规划'!$D$17+K222*'模块规划'!$D$16+L222*'模块规划'!$D$18))*(1+'模块规划'!$J$17*J222))*F222/(1-Q222)</x:f>
        <x:v>2777352.5444566454</x:v>
      </x:c>
      <x:c r="AO222" t="n">
        <x:f>AL222*AM222</x:f>
        <x:v>101208523.98610179</x:v>
      </x:c>
      <x:c r="AP222" t="n">
        <x:f>IF(AO222="","",INDEX('_曲线基线'!$A$3:$A$502,MIN(ROWS('_曲线基线'!$A$3:$A$502),COUNTIF('_曲线基线'!$E$3:$E$502,"&lt;"&amp;AO222)+1)))</x:f>
        <x:v>294</x:v>
      </x:c>
      <x:c r="AQ222" t="n">
        <x:f>IF(B222&lt;=2,1,IF(B222&lt;=6,2,IF(B222&lt;=9,3,IF(B222&lt;=19,4,5))))</x:f>
        <x:v>5</x:v>
      </x:c>
      <x:c r="AR222" t="n">
        <x:f>AN222*(1-Q222)/F222*$AS$3+U222*$AS$4+P222*$AS$5</x:f>
        <x:v>17337.5503338236</x:v>
      </x:c>
      <x:c r="AS222" t="n">
        <x:f>1+AH222*$AS$6+AI222*$AS$7+(AJ222-1)*$AS$8+($H$10*H222+$I$10*I222+$J$10*J222+$K$10*K222+$L$10*L222)*$AU$3*$AS$9+($H$10*H222+$I$10*I222+$J$10*J222+$K$10*K222+$L$10*L222)*$AU$4*$AS$10</x:f>
        <x:v>17.350531180923767</x:v>
      </x:c>
      <x:c r="AT222" t="n">
        <x:f>ROUND(AR222*AS222,0)</x:f>
        <x:v>300816</x:v>
      </x:c>
      <x:c r="AU222" t="n">
        <x:f>ROUND(AT222*F222,0)</x:f>
        <x:v>1504080</x:v>
      </x:c>
    </x:row>
    <x:row r="223">
      <x:c r="A223" t="str">
        <x:f>IFERROR(XLOOKUP(B223,'_曲线基线'!$G$3:$G$107,'_曲线基线'!$J$3:$J$107,""),"")</x:f>
      </x:c>
      <x:c r="B223" t="n">
        <x:v>212</x:v>
      </x:c>
      <x:c r="C223" t="n">
        <x:f>C208+1</x:f>
        <x:v>15</x:v>
      </x:c>
      <x:c r="D223" t="n">
        <x:f>D208</x:f>
        <x:v>8</x:v>
      </x:c>
      <x:c r="E223" t="n">
        <x:f>IF($B223&lt;E$8,0,E$3+(E$4-E$3)*(POWER(E$5,$B223-E$8)-1)/(POWER(E$5,$C$5-E$8)-1))</x:f>
        <x:v>1</x:v>
      </x:c>
      <x:c r="F223" t="n">
        <x:f>1+IF(B223&lt;3,0,MIN(1,(B223-2)/4))+IF(B223&lt;7,0,MIN(1,(B223-6)/3))+IF(B223&lt;10,0,MIN(1,(B223-9)/5))+IF(B223&lt;20,0,MIN(1,(B223-19)/10))</x:f>
        <x:v>5</x:v>
      </x:c>
      <x:c r="G223" t="n">
        <x:f>IF($B223&lt;G$8,0,G$3+(G$4-G$3)*(POWER(G$5,$B223-G$8)-1)/(POWER(G$5,$C$5-G$8)-1))</x:f>
        <x:v>0.8760229937651459</x:v>
      </x:c>
      <x:c r="H223" t="n">
        <x:f>IF($B223&lt;H$8,0,H$3+(H$4-H$3)*(POWER(H$5,$B223-H$8)-1)/(POWER(H$5,$C$5-H$8)-1))</x:f>
        <x:v>0.6904469790186929</x:v>
      </x:c>
      <x:c r="I223" t="n">
        <x:f>IF($B223&lt;I$8,0,I$3+(I$4-I$3)*(POWER(I$5,$B223-I$8)-1)/(POWER(I$5,$C$5-I$8)-1))</x:f>
        <x:v>0.625437568647332</x:v>
      </x:c>
      <x:c r="J223" t="n">
        <x:f>IF($B223&lt;J$8,0,J$3+(J$4-J$3)*(POWER(J$5,$B223-J$8)-1)/(POWER(J$5,$C$5-J$8)-1))</x:f>
        <x:v>0.5886664712318809</x:v>
      </x:c>
      <x:c r="K223" t="n">
        <x:f>IF($B223&lt;K$8,0,K$3+(K$4-K$3)*(POWER(K$5,$B223-K$8)-1)/(POWER(K$5,$C$5-K$8)-1))</x:f>
        <x:v>0.5984428527818425</x:v>
      </x:c>
      <x:c r="L223" t="n">
        <x:f>IF($B223&lt;L$8,0,L$3+(L$4-L$3)*(POWER(L$5,$B223-L$8)-1)/(POWER(L$5,$C$5-L$8)-1))</x:f>
        <x:v>0.6902510737575801</x:v>
      </x:c>
      <x:c r="M223" t="n">
        <x:f>E223*'模块规划'!$F$10+G223*'模块规划'!$F$11+H223*'模块规划'!$F$13</x:f>
        <x:v>5204.9103700727</x:v>
      </x:c>
      <x:c r="N223" t="n">
        <x:f>I223*'模块规划'!$F$15+J223*'模块规划'!$F$17+K223*'模块规划'!$F$16+L223*'模块规划'!$F$18</x:f>
        <x:v>17932.077746976418</x:v>
      </x:c>
      <x:c r="O223" t="n">
        <x:f>1+O$9*SUMPRODUCT($H$10:$L$10,H223:L223)/SUM($H$10:$L$10)</x:f>
        <x:v>3.3474835059820904</x:v>
      </x:c>
      <x:c r="P223" t="n">
        <x:f>M223*O223+N223</x:f>
        <x:v>35355.42936090992</x:v>
      </x:c>
      <x:c r="Q223" t="n">
        <x:f>P223/(P223+'_曲线基线'!$L$2)</x:f>
        <x:v>0.5956561976147403</x:v>
      </x:c>
      <x:c r="R223" t="n">
        <x:f>E223*'模块规划'!$E$10+G223*'模块规划'!$E$11+H223*'模块规划'!$E$13</x:f>
        <x:v>7807.365555109051</x:v>
      </x:c>
      <x:c r="S223" t="n">
        <x:f>I223*'模块规划'!$E$15+J223*'模块规划'!$E$17+K223*'模块规划'!$E$16+L223*'模块规划'!$E$18</x:f>
        <x:v>26898.11662046463</x:v>
      </x:c>
      <x:c r="T223" t="n">
        <x:f>1+T$9*SUMPRODUCT($H$10:$L$10,H223:L223)/SUM($H$10:$L$10)</x:f>
        <x:v>3.3474835059820904</x:v>
      </x:c>
      <x:c r="U223" t="n">
        <x:f>R223*T223+S223</x:f>
        <x:v>53033.14404136488</x:v>
      </x:c>
      <x:c r="V223" t="n">
        <x:f>V$8+(V$9-V$8)*H223</x:f>
        <x:v>0.9071340937056078</x:v>
      </x:c>
      <x:c r="W223" t="n">
        <x:f>IF(B223&lt;$H$8,0,W$8+(W$9-W$8)*H223)</x:f>
        <x:v>0.27617879160747716</x:v>
      </x:c>
      <x:c r="X223" t="n">
        <x:f>X$8+(X$9-X$8)*H223</x:f>
        <x:v>0.4648729192301406</x:v>
      </x:c>
      <x:c r="Y223" t="n">
        <x:f>Y$8+(Y$9-Y$8)*G223</x:f>
        <x:v>1</x:v>
      </x:c>
      <x:c r="Z223" t="n">
        <x:f>Z$8+(Z$9-Z$8)*H223</x:f>
        <x:v>1</x:v>
      </x:c>
      <x:c r="AA223" t="n">
        <x:f>AA$8+(AA$9-AA$8)*I223</x:f>
        <x:v>1</x:v>
      </x:c>
      <x:c r="AB223" t="n">
        <x:f>AB$8+(AB$9-AB$8)*J223</x:f>
        <x:v>1</x:v>
      </x:c>
      <x:c r="AC223" t="n">
        <x:f>AC$8+(AC$9-AC$8)*MAX(K223,L223)</x:f>
        <x:v>1</x:v>
      </x:c>
      <x:c r="AD223" t="n">
        <x:f>(V223*AE223+W223*AF223+X223*AG223)*PRODUCT(Y223:AC223)</x:f>
        <x:v>1.876098935418565</x:v>
      </x:c>
      <x:c r="AE223" t="n">
        <x:f>1+AE$9*($H$10*H223+$I$10*I223+$J$10*J223+$K$10*K223+$L$10*L223)</x:f>
        <x:v>1</x:v>
      </x:c>
      <x:c r="AF223" t="n">
        <x:f>1+AF$9*($H$10*H223+$I$10*I223+$J$10*J223+$K$10*K223+$L$10*L223)</x:f>
        <x:v>1.2071868033619821</x:v>
      </x:c>
      <x:c r="AG223" t="n">
        <x:f>1+AG$9*($H$10*H223+$I$10*I223+$J$10*J223+$K$10*K223+$L$10*L223)</x:f>
        <x:v>1.3671810570692935</x:v>
      </x:c>
      <x:c r="AH223" t="n">
        <x:f>MIN(1,'_曲线基线'!$L$3+AH$9*($H$10*H223+$I$10*I223+$J$10*J223+$K$10*K223+$L$10*L223))</x:f>
        <x:v>0.5213499776485091</x:v>
      </x:c>
      <x:c r="AI223" t="n">
        <x:f>'_曲线基线'!$L$4+AI$9*($H$10*H223+$I$10*I223+$J$10*J223+$K$10*K223+$L$10*L223)</x:f>
        <x:v>3.313046366306561</x:v>
      </x:c>
      <x:c r="AJ223" t="n">
        <x:f>1+AJ$9*($H$10*H223+$I$10*I223+$J$10*J223+$K$10*K223+$L$10*L223)</x:f>
        <x:v>2.0773713774823066</x:v>
      </x:c>
      <x:c r="AK223" t="n">
        <x:f>(1+AH223*(AI223-1))*AJ223</x:f>
        <x:v>4.58248738050939</x:v>
      </x:c>
      <x:c r="AL223" t="n">
        <x:f>U223*AD223*AK223*F223</x:f>
        <x:v>2279682.6491895644</x:v>
      </x:c>
      <x:c r="AM223" t="n">
        <x:f>IF($B223&lt;AM$8,0,AM$3+(AM$4-AM$3)*(POWER(AM$5,$B223-AM$8)-1)/(POWER(AM$5,$C$5-AM$8)-1))</x:f>
        <x:v>44.61506211174872</x:v>
      </x:c>
      <x:c r="AN223" t="n">
        <x:f>(((E223*'模块规划'!$D$10+G223*'模块规划'!$D$11+H223*'模块规划'!$D$13)*(1+'模块规划'!$G$14*H223)+(I223*'模块规划'!$D$15+J223*'模块规划'!$D$17+K223*'模块规划'!$D$16+L223*'模块规划'!$D$18))*(1+'模块规划'!$J$17*J223))*F223/(1-Q223)</x:f>
        <x:v>2782287.824742678</x:v>
      </x:c>
      <x:c r="AO223" t="n">
        <x:f>AL223*AM223</x:f>
        <x:v>101708182.98866828</x:v>
      </x:c>
      <x:c r="AP223" t="n">
        <x:f>IF(AO223="","",INDEX('_曲线基线'!$A$3:$A$502,MIN(ROWS('_曲线基线'!$A$3:$A$502),COUNTIF('_曲线基线'!$E$3:$E$502,"&lt;"&amp;AO223)+1)))</x:f>
        <x:v>294</x:v>
      </x:c>
      <x:c r="AQ223" t="n">
        <x:f>IF(B223&lt;=2,1,IF(B223&lt;=6,2,IF(B223&lt;=9,3,IF(B223&lt;=19,4,5))))</x:f>
        <x:v>5</x:v>
      </x:c>
      <x:c r="AR223" t="n">
        <x:f>AN223*(1-Q223)/F223*$AS$3+U223*$AS$4+P223*$AS$5</x:f>
        <x:v>17356.63383859298</x:v>
      </x:c>
      <x:c r="AS223" t="n">
        <x:f>1+AH223*$AS$6+AI223*$AS$7+(AJ223-1)*$AS$8+($H$10*H223+$I$10*I223+$J$10*J223+$K$10*K223+$L$10*L223)*$AU$3*$AS$9+($H$10*H223+$I$10*I223+$J$10*J223+$K$10*K223+$L$10*L223)*$AU$4*$AS$10</x:f>
        <x:v>17.361226916883748</x:v>
      </x:c>
      <x:c r="AT223" t="n">
        <x:f>ROUND(AR223*AS223,0)</x:f>
        <x:v>301332</x:v>
      </x:c>
      <x:c r="AU223" t="n">
        <x:f>ROUND(AT223*F223,0)</x:f>
        <x:v>1506660</x:v>
      </x:c>
    </x:row>
    <x:row r="224">
      <x:c r="A224" t="str">
        <x:f>IFERROR(XLOOKUP(B224,'_曲线基线'!$G$3:$G$107,'_曲线基线'!$J$3:$J$107,""),"")</x:f>
      </x:c>
      <x:c r="B224" t="n">
        <x:v>213</x:v>
      </x:c>
      <x:c r="C224" t="n">
        <x:f>C209+1</x:f>
        <x:v>15</x:v>
      </x:c>
      <x:c r="D224" t="n">
        <x:f>D209</x:f>
        <x:v>9</x:v>
      </x:c>
      <x:c r="E224" t="n">
        <x:f>IF($B224&lt;E$8,0,E$3+(E$4-E$3)*(POWER(E$5,$B224-E$8)-1)/(POWER(E$5,$C$5-E$8)-1))</x:f>
        <x:v>1</x:v>
      </x:c>
      <x:c r="F224" t="n">
        <x:f>1+IF(B224&lt;3,0,MIN(1,(B224-2)/4))+IF(B224&lt;7,0,MIN(1,(B224-6)/3))+IF(B224&lt;10,0,MIN(1,(B224-9)/5))+IF(B224&lt;20,0,MIN(1,(B224-19)/10))</x:f>
        <x:v>5</x:v>
      </x:c>
      <x:c r="G224" t="n">
        <x:f>IF($B224&lt;G$8,0,G$3+(G$4-G$3)*(POWER(G$5,$B224-G$8)-1)/(POWER(G$5,$C$5-G$8)-1))</x:f>
        <x:v>0.8765878393131645</x:v>
      </x:c>
      <x:c r="H224" t="n">
        <x:f>IF($B224&lt;H$8,0,H$3+(H$4-H$3)*(POWER(H$5,$B224-H$8)-1)/(POWER(H$5,$C$5-H$8)-1))</x:f>
        <x:v>0.6907045816778304</x:v>
      </x:c>
      <x:c r="I224" t="n">
        <x:f>IF($B224&lt;I$8,0,I$3+(I$4-I$3)*(POWER(I$5,$B224-I$8)-1)/(POWER(I$5,$C$5-I$8)-1))</x:f>
        <x:v>0.6260999086174536</x:v>
      </x:c>
      <x:c r="J224" t="n">
        <x:f>IF($B224&lt;J$8,0,J$3+(J$4-J$3)*(POWER(J$5,$B224-J$8)-1)/(POWER(J$5,$C$5-J$8)-1))</x:f>
        <x:v>0.5889720862989671</x:v>
      </x:c>
      <x:c r="K224" t="n">
        <x:f>IF($B224&lt;K$8,0,K$3+(K$4-K$3)*(POWER(K$5,$B224-K$8)-1)/(POWER(K$5,$C$5-K$8)-1))</x:f>
        <x:v>0.5998331206611792</x:v>
      </x:c>
      <x:c r="L224" t="n">
        <x:f>IF($B224&lt;L$8,0,L$3+(L$4-L$3)*(POWER(L$5,$B224-L$8)-1)/(POWER(L$5,$C$5-L$8)-1))</x:f>
        <x:v>0.6905139591138143</x:v>
      </x:c>
      <x:c r="M224" t="n">
        <x:f>E224*'模块规划'!$F$10+G224*'模块规划'!$F$11+H224*'模块规划'!$F$13</x:f>
        <x:v>5207.621628703189</x:v>
      </x:c>
      <x:c r="N224" t="n">
        <x:f>I224*'模块规划'!$F$15+J224*'模块规划'!$F$17+K224*'模块规划'!$F$16+L224*'模块规划'!$F$18</x:f>
        <x:v>17950.08865146545</x:v>
      </x:c>
      <x:c r="O224" t="n">
        <x:f>1+O$9*SUMPRODUCT($H$10:$L$10,H224:L224)/SUM($H$10:$L$10)</x:f>
        <x:v>3.3494711153735848</x:v>
      </x:c>
      <x:c r="P224" t="n">
        <x:f>M224*O224+N224</x:f>
        <x:v>35392.866876601525</x:v>
      </x:c>
      <x:c r="Q224" t="n">
        <x:f>P224/(P224+'_曲线基线'!$L$2)</x:f>
        <x:v>0.5959110704343679</x:v>
      </x:c>
      <x:c r="R224" t="n">
        <x:f>E224*'模块规划'!$E$10+G224*'模块规划'!$E$11+H224*'模块规划'!$E$13</x:f>
        <x:v>7811.432443054785</x:v>
      </x:c>
      <x:c r="S224" t="n">
        <x:f>I224*'模块规划'!$E$15+J224*'模块规划'!$E$17+K224*'模块规划'!$E$16+L224*'模块规划'!$E$18</x:f>
        <x:v>26925.13297719817</x:v>
      </x:c>
      <x:c r="T224" t="n">
        <x:f>1+T$9*SUMPRODUCT($H$10:$L$10,H224:L224)/SUM($H$10:$L$10)</x:f>
        <x:v>3.3494711153735848</x:v>
      </x:c>
      <x:c r="U224" t="n">
        <x:f>R224*T224+S224</x:f>
        <x:v>53089.300314902284</x:v>
      </x:c>
      <x:c r="V224" t="n">
        <x:f>V$8+(V$9-V$8)*H224</x:f>
        <x:v>0.9072113745033491</x:v>
      </x:c>
      <x:c r="W224" t="n">
        <x:f>IF(B224&lt;$H$8,0,W$8+(W$9-W$8)*H224)</x:f>
        <x:v>0.2762818326711322</x:v>
      </x:c>
      <x:c r="X224" t="n">
        <x:f>X$8+(X$9-X$8)*H224</x:f>
        <x:v>0.4649437599614034</x:v>
      </x:c>
      <x:c r="Y224" t="n">
        <x:f>Y$8+(Y$9-Y$8)*G224</x:f>
        <x:v>1</x:v>
      </x:c>
      <x:c r="Z224" t="n">
        <x:f>Z$8+(Z$9-Z$8)*H224</x:f>
        <x:v>1</x:v>
      </x:c>
      <x:c r="AA224" t="n">
        <x:f>AA$8+(AA$9-AA$8)*I224</x:f>
        <x:v>1</x:v>
      </x:c>
      <x:c r="AB224" t="n">
        <x:f>AB$8+(AB$9-AB$8)*J224</x:f>
        <x:v>1</x:v>
      </x:c>
      <x:c r="AC224" t="n">
        <x:f>AC$8+(AC$9-AC$8)*MAX(K224,L224)</x:f>
        <x:v>1</x:v>
      </x:c>
      <x:c r="AD224" t="n">
        <x:f>(V224*AE224+W224*AF224+X224*AG224)*PRODUCT(Y224:AC224)</x:f>
        <x:v>1.8765904718069815</x:v>
      </x:c>
      <x:c r="AE224" t="n">
        <x:f>1+AE$9*($H$10*H224+$I$10*I224+$J$10*J224+$K$10*K224+$L$10*L224)</x:f>
        <x:v>1</x:v>
      </x:c>
      <x:c r="AF224" t="n">
        <x:f>1+AF$9*($H$10*H224+$I$10*I224+$J$10*J224+$K$10*K224+$L$10*L224)</x:f>
        <x:v>1.2073622279965353</x:v>
      </x:c>
      <x:c r="AG224" t="n">
        <x:f>1+AG$9*($H$10*H224+$I$10*I224+$J$10*J224+$K$10*K224+$L$10*L224)</x:f>
        <x:v>1.3674919485049735</x:v>
      </x:c>
      <x:c r="AH224" t="n">
        <x:f>MIN(1,'_曲线基线'!$L$3+AH$9*($H$10*H224+$I$10*I224+$J$10*J224+$K$10*K224+$L$10*L224))</x:f>
        <x:v>0.521749068692117</x:v>
      </x:c>
      <x:c r="AI224" t="n">
        <x:f>'_曲线基线'!$L$4+AI$9*($H$10*H224+$I$10*I224+$J$10*J224+$K$10*K224+$L$10*L224)</x:f>
        <x:v>3.3141581199280403</x:v>
      </x:c>
      <x:c r="AJ224" t="n">
        <x:f>1+AJ$9*($H$10*H224+$I$10*I224+$J$10*J224+$K$10*K224+$L$10*L224)</x:f>
        <x:v>2.078283585581982</x:v>
      </x:c>
      <x:c r="AK224" t="n">
        <x:f>(1+AH224*(AI224-1))*AJ224</x:f>
        <x:v>4.587623645185303</x:v>
      </x:c>
      <x:c r="AL224" t="n">
        <x:f>U224*AD224*AK224*F224</x:f>
        <x:v>2285253.0401162505</x:v>
      </x:c>
      <x:c r="AM224" t="n">
        <x:f>IF($B224&lt;AM$8,0,AM$3+(AM$4-AM$3)*(POWER(AM$5,$B224-AM$8)-1)/(POWER(AM$5,$C$5-AM$8)-1))</x:f>
        <x:v>44.724637372788074</x:v>
      </x:c>
      <x:c r="AN224" t="n">
        <x:f>(((E224*'模块规划'!$D$10+G224*'模块规划'!$D$11+H224*'模块规划'!$D$13)*(1+'模块规划'!$G$14*H224)+(I224*'模块规划'!$D$15+J224*'模块规划'!$D$17+K224*'模块规划'!$D$16+L224*'模块规划'!$D$18))*(1+'模块规划'!$J$17*J224))*F224/(1-Q224)</x:f>
        <x:v>2787134.5695737</x:v>
      </x:c>
      <x:c r="AO224" t="n">
        <x:f>AL224*AM224</x:f>
        <x:v>102207113.52426082</x:v>
      </x:c>
      <x:c r="AP224" t="n">
        <x:f>IF(AO224="","",INDEX('_曲线基线'!$A$3:$A$502,MIN(ROWS('_曲线基线'!$A$3:$A$502),COUNTIF('_曲线基线'!$E$3:$E$502,"&lt;"&amp;AO224)+1)))</x:f>
        <x:v>295</x:v>
      </x:c>
      <x:c r="AQ224" t="n">
        <x:f>IF(B224&lt;=2,1,IF(B224&lt;=6,2,IF(B224&lt;=9,3,IF(B224&lt;=19,4,5))))</x:f>
        <x:v>5</x:v>
      </x:c>
      <x:c r="AR224" t="n">
        <x:f>AN224*(1-Q224)/F224*$AS$3+U224*$AS$4+P224*$AS$5</x:f>
        <x:v>17375.361411626887</x:v>
      </x:c>
      <x:c r="AS224" t="n">
        <x:f>1+AH224*$AS$6+AI224*$AS$7+(AJ224-1)*$AS$8+($H$10*H224+$I$10*I224+$J$10*J224+$K$10*K224+$L$10*L224)*$AU$3*$AS$9+($H$10*H224+$I$10*I224+$J$10*J224+$K$10*K224+$L$10*L224)*$AU$4*$AS$10</x:f>
        <x:v>17.371708738124525</x:v>
      </x:c>
      <x:c r="AT224" t="n">
        <x:f>ROUND(AR224*AS224,0)</x:f>
        <x:v>301840</x:v>
      </x:c>
      <x:c r="AU224" t="n">
        <x:f>ROUND(AT224*F224,0)</x:f>
        <x:v>1509200</x:v>
      </x:c>
    </x:row>
    <x:row r="225">
      <x:c r="A225" t="str">
        <x:f>IFERROR(XLOOKUP(B225,'_曲线基线'!$G$3:$G$107,'_曲线基线'!$J$3:$J$107,""),"")</x:f>
      </x:c>
      <x:c r="B225" t="n">
        <x:v>214</x:v>
      </x:c>
      <x:c r="C225" t="n">
        <x:f>C210+1</x:f>
        <x:v>15</x:v>
      </x:c>
      <x:c r="D225" t="n">
        <x:f>D210</x:f>
        <x:v>10</x:v>
      </x:c>
      <x:c r="E225" t="n">
        <x:f>IF($B225&lt;E$8,0,E$3+(E$4-E$3)*(POWER(E$5,$B225-E$8)-1)/(POWER(E$5,$C$5-E$8)-1))</x:f>
        <x:v>1</x:v>
      </x:c>
      <x:c r="F225" t="n">
        <x:f>1+IF(B225&lt;3,0,MIN(1,(B225-2)/4))+IF(B225&lt;7,0,MIN(1,(B225-6)/3))+IF(B225&lt;10,0,MIN(1,(B225-9)/5))+IF(B225&lt;20,0,MIN(1,(B225-19)/10))</x:f>
        <x:v>5</x:v>
      </x:c>
      <x:c r="G225" t="n">
        <x:f>IF($B225&lt;G$8,0,G$3+(G$4-G$3)*(POWER(G$5,$B225-G$8)-1)/(POWER(G$5,$C$5-G$8)-1))</x:f>
        <x:v>0.8771442121779629</x:v>
      </x:c>
      <x:c r="H225" t="n">
        <x:f>IF($B225&lt;H$8,0,H$3+(H$4-H$3)*(POWER(H$5,$B225-H$8)-1)/(POWER(H$5,$C$5-H$8)-1))</x:f>
        <x:v>0.6909570322837851</x:v>
      </x:c>
      <x:c r="I225" t="n">
        <x:f>IF($B225&lt;I$8,0,I$3+(I$4-I$3)*(POWER(I$5,$B225-I$8)-1)/(POWER(I$5,$C$5-I$8)-1))</x:f>
        <x:v>0.6267490017881726</x:v>
      </x:c>
      <x:c r="J225" t="n">
        <x:f>IF($B225&lt;J$8,0,J$3+(J$4-J$3)*(POWER(J$5,$B225-J$8)-1)/(POWER(J$5,$C$5-J$8)-1))</x:f>
        <x:v>0.5892715890647117</x:v>
      </x:c>
      <x:c r="K225" t="n">
        <x:f>IF($B225&lt;K$8,0,K$3+(K$4-K$3)*(POWER(K$5,$B225-K$8)-1)/(POWER(K$5,$C$5-K$8)-1))</x:f>
        <x:v>0.6011955831829292</x:v>
      </x:c>
      <x:c r="L225" t="n">
        <x:f>IF($B225&lt;L$8,0,L$3+(L$4-L$3)*(POWER(L$5,$B225-L$8)-1)/(POWER(L$5,$C$5-L$8)-1))</x:f>
        <x:v>0.6907715867629237</x:v>
      </x:c>
      <x:c r="M225" t="n">
        <x:f>E225*'模块规划'!$F$10+G225*'模块规划'!$F$11+H225*'模块规划'!$F$13</x:f>
        <x:v>5210.292218454222</x:v>
      </x:c>
      <x:c r="N225" t="n">
        <x:f>I225*'模块规划'!$F$15+J225*'模块规划'!$F$17+K225*'模块规划'!$F$16+L225*'模块规划'!$F$18</x:f>
        <x:v>17967.739337864692</x:v>
      </x:c>
      <x:c r="O225" t="n">
        <x:f>1+O$9*SUMPRODUCT($H$10:$L$10,H225:L225)/SUM($H$10:$L$10)</x:f>
        <x:v>3.3514189725772487</x:v>
      </x:c>
      <x:c r="P225" t="n">
        <x:f>M225*O225+N225</x:f>
        <x:v>35429.61153146377</x:v>
      </x:c>
      <x:c r="Q225" t="n">
        <x:f>P225/(P225+'_曲线基线'!$L$2)</x:f>
        <x:v>0.596160914037042</x:v>
      </x:c>
      <x:c r="R225" t="n">
        <x:f>E225*'模块规划'!$E$10+G225*'模块规划'!$E$11+H225*'模块规划'!$E$13</x:f>
        <x:v>7815.438327681333</x:v>
      </x:c>
      <x:c r="S225" t="n">
        <x:f>I225*'模块规划'!$E$15+J225*'模块规划'!$E$17+K225*'模块规划'!$E$16+L225*'模块规划'!$E$18</x:f>
        <x:v>26951.609006797036</x:v>
      </x:c>
      <x:c r="T225" t="n">
        <x:f>1+T$9*SUMPRODUCT($H$10:$L$10,H225:L225)/SUM($H$10:$L$10)</x:f>
        <x:v>3.3514189725772487</x:v>
      </x:c>
      <x:c r="U225" t="n">
        <x:f>R225*T225+S225</x:f>
        <x:v>53144.41729719566</x:v>
      </x:c>
      <x:c r="V225" t="n">
        <x:f>V$8+(V$9-V$8)*H225</x:f>
        <x:v>0.9072871096851356</x:v>
      </x:c>
      <x:c r="W225" t="n">
        <x:f>IF(B225&lt;$H$8,0,W$8+(W$9-W$8)*H225)</x:f>
        <x:v>0.2763828129135141</x:v>
      </x:c>
      <x:c r="X225" t="n">
        <x:f>X$8+(X$9-X$8)*H225</x:f>
        <x:v>0.4650131838780409</x:v>
      </x:c>
      <x:c r="Y225" t="n">
        <x:f>Y$8+(Y$9-Y$8)*G225</x:f>
        <x:v>1</x:v>
      </x:c>
      <x:c r="Z225" t="n">
        <x:f>Z$8+(Z$9-Z$8)*H225</x:f>
        <x:v>1</x:v>
      </x:c>
      <x:c r="AA225" t="n">
        <x:f>AA$8+(AA$9-AA$8)*I225</x:f>
        <x:v>1</x:v>
      </x:c>
      <x:c r="AB225" t="n">
        <x:f>AB$8+(AB$9-AB$8)*J225</x:f>
        <x:v>1</x:v>
      </x:c>
      <x:c r="AC225" t="n">
        <x:f>AC$8+(AC$9-AC$8)*MAX(K225,L225)</x:f>
        <x:v>1</x:v>
      </x:c>
      <x:c r="AD225" t="n">
        <x:f>(V225*AE225+W225*AF225+X225*AG225)*PRODUCT(Y225:AC225)</x:f>
        <x:v>1.8770722552771213</x:v>
      </x:c>
      <x:c r="AE225" t="n">
        <x:f>1+AE$9*($H$10*H225+$I$10*I225+$J$10*J225+$K$10*K225+$L$10*L225)</x:f>
        <x:v>1</x:v>
      </x:c>
      <x:c r="AF225" t="n">
        <x:f>1+AF$9*($H$10*H225+$I$10*I225+$J$10*J225+$K$10*K225+$L$10*L225)</x:f>
        <x:v>1.207534144138397</x:v>
      </x:c>
      <x:c r="AG225" t="n">
        <x:f>1+AG$9*($H$10*H225+$I$10*I225+$J$10*J225+$K$10*K225+$L$10*L225)</x:f>
        <x:v>1.3677966221119398</x:v>
      </x:c>
      <x:c r="AH225" t="n">
        <x:f>MIN(1,'_曲线基线'!$L$3+AH$9*($H$10*H225+$I$10*I225+$J$10*J225+$K$10*K225+$L$10*L225))</x:f>
        <x:v>0.5221401779148528</x:v>
      </x:c>
      <x:c r="AI225" t="n">
        <x:f>'_曲线基线'!$L$4+AI$9*($H$10*H225+$I$10*I225+$J$10*J225+$K$10*K225+$L$10*L225)</x:f>
        <x:v>3.31524763847709</x:v>
      </x:c>
      <x:c r="AJ225" t="n">
        <x:f>1+AJ$9*($H$10*H225+$I$10*I225+$J$10*J225+$K$10*K225+$L$10*L225)</x:f>
        <x:v>2.0791775495196636</x:v>
      </x:c>
      <x:c r="AK225" t="n">
        <x:f>(1+AH225*(AI225-1))*AJ225</x:f>
        <x:v>4.592661635298724</x:v>
      </x:c>
      <x:c r="AL225" t="n">
        <x:f>U225*AD225*AK225*F225</x:f>
        <x:v>2290725.732034395</x:v>
      </x:c>
      <x:c r="AM225" t="n">
        <x:f>IF($B225&lt;AM$8,0,AM$3+(AM$4-AM$3)*(POWER(AM$5,$B225-AM$8)-1)/(POWER(AM$5,$C$5-AM$8)-1))</x:f>
        <x:v>44.83530838643782</x:v>
      </x:c>
      <x:c r="AN225" t="n">
        <x:f>(((E225*'模块规划'!$D$10+G225*'模块规划'!$D$11+H225*'模块规划'!$D$13)*(1+'模块规划'!$G$14*H225)+(I225*'模块规划'!$D$15+J225*'模块规划'!$D$17+K225*'模块规划'!$D$16+L225*'模块规划'!$D$18))*(1+'模块规划'!$J$17*J225))*F225/(1-Q225)</x:f>
        <x:v>2791894.2794997958</x:v>
      </x:c>
      <x:c r="AO225" t="n">
        <x:f>AL225*AM225</x:f>
        <x:v>102705394.62451063</x:v>
      </x:c>
      <x:c r="AP225" t="n">
        <x:f>IF(AO225="","",INDEX('_曲线基线'!$A$3:$A$502,MIN(ROWS('_曲线基线'!$A$3:$A$502),COUNTIF('_曲线基线'!$E$3:$E$502,"&lt;"&amp;AO225)+1)))</x:f>
        <x:v>295</x:v>
      </x:c>
      <x:c r="AQ225" t="n">
        <x:f>IF(B225&lt;=2,1,IF(B225&lt;=6,2,IF(B225&lt;=9,3,IF(B225&lt;=19,4,5))))</x:f>
        <x:v>5</x:v>
      </x:c>
      <x:c r="AR225" t="n">
        <x:f>AN225*(1-Q225)/F225*$AS$3+U225*$AS$4+P225*$AS$5</x:f>
        <x:v>17393.739663069584</x:v>
      </x:c>
      <x:c r="AS225" t="n">
        <x:f>1+AH225*$AS$6+AI225*$AS$7+(AJ225-1)*$AS$8+($H$10*H225+$I$10*I225+$J$10*J225+$K$10*K225+$L$10*L225)*$AU$3*$AS$9+($H$10*H225+$I$10*I225+$J$10*J225+$K$10*K225+$L$10*L225)*$AU$4*$AS$10</x:f>
        <x:v>17.38198092294049</x:v>
      </x:c>
      <x:c r="AT225" t="n">
        <x:f>ROUND(AR225*AS225,0)</x:f>
        <x:v>302338</x:v>
      </x:c>
      <x:c r="AU225" t="n">
        <x:f>ROUND(AT225*F225,0)</x:f>
        <x:v>1511690</x:v>
      </x:c>
    </x:row>
    <x:row r="226">
      <x:c r="A226" t="str">
        <x:f>IFERROR(XLOOKUP(B226,'_曲线基线'!$G$3:$G$107,'_曲线基线'!$J$3:$J$107,""),"")</x:f>
      </x:c>
      <x:c r="B226" t="n">
        <x:v>215</x:v>
      </x:c>
      <x:c r="C226" t="n">
        <x:f>C211+1</x:f>
        <x:v>15</x:v>
      </x:c>
      <x:c r="D226" t="n">
        <x:f>D211</x:f>
        <x:v>11</x:v>
      </x:c>
      <x:c r="E226" t="n">
        <x:f>IF($B226&lt;E$8,0,E$3+(E$4-E$3)*(POWER(E$5,$B226-E$8)-1)/(POWER(E$5,$C$5-E$8)-1))</x:f>
        <x:v>1</x:v>
      </x:c>
      <x:c r="F226" t="n">
        <x:f>1+IF(B226&lt;3,0,MIN(1,(B226-2)/4))+IF(B226&lt;7,0,MIN(1,(B226-6)/3))+IF(B226&lt;10,0,MIN(1,(B226-9)/5))+IF(B226&lt;20,0,MIN(1,(B226-19)/10))</x:f>
        <x:v>5</x:v>
      </x:c>
      <x:c r="G226" t="n">
        <x:f>IF($B226&lt;G$8,0,G$3+(G$4-G$3)*(POWER(G$5,$B226-G$8)-1)/(POWER(G$5,$C$5-G$8)-1))</x:f>
        <x:v>0.8776922394497892</x:v>
      </x:c>
      <x:c r="H226" t="n">
        <x:f>IF($B226&lt;H$8,0,H$3+(H$4-H$3)*(POWER(H$5,$B226-H$8)-1)/(POWER(H$5,$C$5-H$8)-1))</x:f>
        <x:v>0.6912044338776209</x:v>
      </x:c>
      <x:c r="I226" t="n">
        <x:f>IF($B226&lt;I$8,0,I$3+(I$4-I$3)*(POWER(I$5,$B226-I$8)-1)/(POWER(I$5,$C$5-I$8)-1))</x:f>
        <x:v>0.6273851130954774</x:v>
      </x:c>
      <x:c r="J226" t="n">
        <x:f>IF($B226&lt;J$8,0,J$3+(J$4-J$3)*(POWER(J$5,$B226-J$8)-1)/(POWER(J$5,$C$5-J$8)-1))</x:f>
        <x:v>0.5895651017751413</x:v>
      </x:c>
      <x:c r="K226" t="n">
        <x:f>IF($B226&lt;K$8,0,K$3+(K$4-K$3)*(POWER(K$5,$B226-K$8)-1)/(POWER(K$5,$C$5-K$8)-1))</x:f>
        <x:v>0.6025307964542441</x:v>
      </x:c>
      <x:c r="L226" t="n">
        <x:f>IF($B226&lt;L$8,0,L$3+(L$4-L$3)*(POWER(L$5,$B226-L$8)-1)/(POWER(L$5,$C$5-L$8)-1))</x:f>
        <x:v>0.6910240618590509</x:v>
      </x:c>
      <x:c r="M226" t="n">
        <x:f>E226*'模块规划'!$F$10+G226*'模块规划'!$F$11+H226*'模块规划'!$F$13</x:f>
        <x:v>5212.922749358989</x:v>
      </x:c>
      <x:c r="N226" t="n">
        <x:f>I226*'模块规划'!$F$15+J226*'模块规划'!$F$17+K226*'模块规划'!$F$16+L226*'模块规划'!$F$18</x:f>
        <x:v>17985.03701053595</x:v>
      </x:c>
      <x:c r="O226" t="n">
        <x:f>1+O$9*SUMPRODUCT($H$10:$L$10,H226:L226)/SUM($H$10:$L$10)</x:f>
        <x:v>3.3533278726368394</x:v>
      </x:c>
      <x:c r="P226" t="n">
        <x:f>M226*O226+N226</x:f>
        <x:v>35465.67616386411</x:v>
      </x:c>
      <x:c r="Q226" t="n">
        <x:f>P226/(P226+'_曲线基线'!$L$2)</x:f>
        <x:v>0.5964058336128997</x:v>
      </x:c>
      <x:c r="R226" t="n">
        <x:f>E226*'模块规划'!$E$10+G226*'模块规划'!$E$11+H226*'模块规划'!$E$13</x:f>
        <x:v>7819.384124038483</x:v>
      </x:c>
      <x:c r="S226" t="n">
        <x:f>I226*'模块规划'!$E$15+J226*'模块规划'!$E$17+K226*'模块规划'!$E$16+L226*'模块规划'!$E$18</x:f>
        <x:v>26977.555515803928</x:v>
      </x:c>
      <x:c r="T226" t="n">
        <x:f>1+T$9*SUMPRODUCT($H$10:$L$10,H226:L226)/SUM($H$10:$L$10)</x:f>
        <x:v>3.3533278726368394</x:v>
      </x:c>
      <x:c r="U226" t="n">
        <x:f>R226*T226+S226</x:f>
        <x:v>53198.51424579617</x:v>
      </x:c>
      <x:c r="V226" t="n">
        <x:f>V$8+(V$9-V$8)*H226</x:f>
        <x:v>0.9073613301632862</x:v>
      </x:c>
      <x:c r="W226" t="n">
        <x:f>IF(B226&lt;$H$8,0,W$8+(W$9-W$8)*H226)</x:f>
        <x:v>0.27648177355104836</x:v>
      </x:c>
      <x:c r="X226" t="n">
        <x:f>X$8+(X$9-X$8)*H226</x:f>
        <x:v>0.4650812193163458</x:v>
      </x:c>
      <x:c r="Y226" t="n">
        <x:f>Y$8+(Y$9-Y$8)*G226</x:f>
        <x:v>1</x:v>
      </x:c>
      <x:c r="Z226" t="n">
        <x:f>Z$8+(Z$9-Z$8)*H226</x:f>
        <x:v>1</x:v>
      </x:c>
      <x:c r="AA226" t="n">
        <x:f>AA$8+(AA$9-AA$8)*I226</x:f>
        <x:v>1</x:v>
      </x:c>
      <x:c r="AB226" t="n">
        <x:f>AB$8+(AB$9-AB$8)*J226</x:f>
        <x:v>1</x:v>
      </x:c>
      <x:c r="AC226" t="n">
        <x:f>AC$8+(AC$9-AC$8)*MAX(K226,L226)</x:f>
        <x:v>1</x:v>
      </x:c>
      <x:c r="AD226" t="n">
        <x:f>(V226*AE226+W226*AF226+X226*AG226)*PRODUCT(Y226:AC226)</x:f>
        <x:v>1.8775444778060946</x:v>
      </x:c>
      <x:c r="AE226" t="n">
        <x:f>1+AE$9*($H$10*H226+$I$10*I226+$J$10*J226+$K$10*K226+$L$10*L226)</x:f>
        <x:v>1</x:v>
      </x:c>
      <x:c r="AF226" t="n">
        <x:f>1+AF$9*($H$10*H226+$I$10*I226+$J$10*J226+$K$10*K226+$L$10*L226)</x:f>
        <x:v>1.2077026219574216</x:v>
      </x:c>
      <x:c r="AG226" t="n">
        <x:f>1+AG$9*($H$10*H226+$I$10*I226+$J$10*J226+$K$10*K226+$L$10*L226)</x:f>
        <x:v>1.3680952022467667</x:v>
      </x:c>
      <x:c r="AH226" t="n">
        <x:f>MIN(1,'_曲线基线'!$L$3+AH$9*($H$10*H226+$I$10*I226+$J$10*J226+$K$10*K226+$L$10*L226))</x:f>
        <x:v>0.5225234649531337</x:v>
      </x:c>
      <x:c r="AI226" t="n">
        <x:f>'_曲线基线'!$L$4+AI$9*($H$10*H226+$I$10*I226+$J$10*J226+$K$10*K226+$L$10*L226)</x:f>
        <x:v>3.316315366655158</x:v>
      </x:c>
      <x:c r="AJ226" t="n">
        <x:f>1+AJ$9*($H$10*H226+$I$10*I226+$J$10*J226+$K$10*K226+$L$10*L226)</x:f>
        <x:v>2.080053634178592</x:v>
      </x:c>
      <x:c r="AK226" t="n">
        <x:f>(1+AH226*(AI226-1))*AJ226</x:f>
        <x:v>4.597603142309766</x:v>
      </x:c>
      <x:c r="AL226" t="n">
        <x:f>U226*AD226*AK226*F226</x:f>
        <x:v>2296102.2413329035</x:v>
      </x:c>
      <x:c r="AM226" t="n">
        <x:f>IF($B226&lt;AM$8,0,AM$3+(AM$4-AM$3)*(POWER(AM$5,$B226-AM$8)-1)/(POWER(AM$5,$C$5-AM$8)-1))</x:f>
        <x:v>44.94708611022407</x:v>
      </x:c>
      <x:c r="AN226" t="n">
        <x:f>(((E226*'模块规划'!$D$10+G226*'模块规划'!$D$11+H226*'模块规划'!$D$13)*(1+'模块规划'!$G$14*H226)+(I226*'模块规划'!$D$15+J226*'模块规划'!$D$17+K226*'模块规划'!$D$16+L226*'模块规划'!$D$18))*(1+'模块规划'!$J$17*J226))*F226/(1-Q226)</x:f>
        <x:v>2796568.4334382657</x:v>
      </x:c>
      <x:c r="AO226" t="n">
        <x:f>AL226*AM226</x:f>
        <x:v>103203105.15906851</x:v>
      </x:c>
      <x:c r="AP226" t="n">
        <x:f>IF(AO226="","",INDEX('_曲线基线'!$A$3:$A$502,MIN(ROWS('_曲线基线'!$A$3:$A$502),COUNTIF('_曲线基线'!$E$3:$E$502,"&lt;"&amp;AO226)+1)))</x:f>
        <x:v>296</x:v>
      </x:c>
      <x:c r="AQ226" t="n">
        <x:f>IF(B226&lt;=2,1,IF(B226&lt;=6,2,IF(B226&lt;=9,3,IF(B226&lt;=19,4,5))))</x:f>
        <x:v>5</x:v>
      </x:c>
      <x:c r="AR226" t="n">
        <x:f>AN226*(1-Q226)/F226*$AS$3+U226*$AS$4+P226*$AS$5</x:f>
        <x:v>17411.77508298721</x:v>
      </x:c>
      <x:c r="AS226" t="n">
        <x:f>1+AH226*$AS$6+AI226*$AS$7+(AJ226-1)*$AS$8+($H$10*H226+$I$10*I226+$J$10*J226+$K$10*K226+$L$10*L226)*$AU$3*$AS$9+($H$10*H226+$I$10*I226+$J$10*J226+$K$10*K226+$L$10*L226)*$AU$4*$AS$10</x:f>
        <x:v>17.39204766406013</x:v>
      </x:c>
      <x:c r="AT226" t="n">
        <x:f>ROUND(AR226*AS226,0)</x:f>
        <x:v>302826</x:v>
      </x:c>
      <x:c r="AU226" t="n">
        <x:f>ROUND(AT226*F226,0)</x:f>
        <x:v>1514130</x:v>
      </x:c>
    </x:row>
    <x:row r="227">
      <x:c r="A227" t="str">
        <x:f>IFERROR(XLOOKUP(B227,'_曲线基线'!$G$3:$G$107,'_曲线基线'!$J$3:$J$107,""),"")</x:f>
      </x:c>
      <x:c r="B227" t="n">
        <x:v>216</x:v>
      </x:c>
      <x:c r="C227" t="n">
        <x:f>C212+1</x:f>
        <x:v>15</x:v>
      </x:c>
      <x:c r="D227" t="n">
        <x:f>D212</x:f>
        <x:v>12</x:v>
      </x:c>
      <x:c r="E227" t="n">
        <x:f>IF($B227&lt;E$8,0,E$3+(E$4-E$3)*(POWER(E$5,$B227-E$8)-1)/(POWER(E$5,$C$5-E$8)-1))</x:f>
        <x:v>1</x:v>
      </x:c>
      <x:c r="F227" t="n">
        <x:f>1+IF(B227&lt;3,0,MIN(1,(B227-2)/4))+IF(B227&lt;7,0,MIN(1,(B227-6)/3))+IF(B227&lt;10,0,MIN(1,(B227-9)/5))+IF(B227&lt;20,0,MIN(1,(B227-19)/10))</x:f>
        <x:v>5</x:v>
      </x:c>
      <x:c r="G227" t="n">
        <x:f>IF($B227&lt;G$8,0,G$3+(G$4-G$3)*(POWER(G$5,$B227-G$8)-1)/(POWER(G$5,$C$5-G$8)-1))</x:f>
        <x:v>0.8782320463125383</x:v>
      </x:c>
      <x:c r="H227" t="n">
        <x:f>IF($B227&lt;H$8,0,H$3+(H$4-H$3)*(POWER(H$5,$B227-H$8)-1)/(POWER(H$5,$C$5-H$8)-1))</x:f>
        <x:v>0.6914468874395796</x:v>
      </x:c>
      <x:c r="I227" t="n">
        <x:f>IF($B227&lt;I$8,0,I$3+(I$4-I$3)*(POWER(I$5,$B227-I$8)-1)/(POWER(I$5,$C$5-I$8)-1))</x:f>
        <x:v>0.628008502176636</x:v>
      </x:c>
      <x:c r="J227" t="n">
        <x:f>IF($B227&lt;J$8,0,J$3+(J$4-J$3)*(POWER(J$5,$B227-J$8)-1)/(POWER(J$5,$C$5-J$8)-1))</x:f>
        <x:v>0.5898527442313624</x:v>
      </x:c>
      <x:c r="K227" t="n">
        <x:f>IF($B227&lt;K$8,0,K$3+(K$4-K$3)*(POWER(K$5,$B227-K$8)-1)/(POWER(K$5,$C$5-K$8)-1))</x:f>
        <x:v>0.6038393054601329</x:v>
      </x:c>
      <x:c r="L227" t="n">
        <x:f>IF($B227&lt;L$8,0,L$3+(L$4-L$3)*(POWER(L$5,$B227-L$8)-1)/(POWER(L$5,$C$5-L$8)-1))</x:f>
        <x:v>0.6912714874532556</x:v>
      </x:c>
      <x:c r="M227" t="n">
        <x:f>E227*'模块规划'!$F$10+G227*'模块规划'!$F$11+H227*'模块规划'!$F$13</x:f>
        <x:v>5215.513822300184</x:v>
      </x:c>
      <x:c r="N227" t="n">
        <x:f>I227*'模块规划'!$F$15+J227*'模块规划'!$F$17+K227*'模块规划'!$F$16+L227*'模块规划'!$F$18</x:f>
        <x:v>18001.988729753786</x:v>
      </x:c>
      <x:c r="O227" t="n">
        <x:f>1+O$9*SUMPRODUCT($H$10:$L$10,H227:L227)/SUM($H$10:$L$10)</x:f>
        <x:v>3.3551985946952394</x:v>
      </x:c>
      <x:c r="P227" t="n">
        <x:f>M227*O227+N227</x:f>
        <x:v>35501.07337694896</x:v>
      </x:c>
      <x:c r="Q227" t="n">
        <x:f>P227/(P227+'_曲线基线'!$L$2)</x:f>
        <x:v>0.5966459319488894</x:v>
      </x:c>
      <x:c r="R227" t="n">
        <x:f>E227*'模块规划'!$E$10+G227*'模块规划'!$E$11+H227*'模块规划'!$E$13</x:f>
        <x:v>7823.270733450276</x:v>
      </x:c>
      <x:c r="S227" t="n">
        <x:f>I227*'模块规划'!$E$15+J227*'模块规划'!$E$17+K227*'模块规划'!$E$16+L227*'模块规划'!$E$18</x:f>
        <x:v>27002.983094630683</x:v>
      </x:c>
      <x:c r="T227" t="n">
        <x:f>1+T$9*SUMPRODUCT($H$10:$L$10,H227:L227)/SUM($H$10:$L$10)</x:f>
        <x:v>3.3551985946952394</x:v>
      </x:c>
      <x:c r="U227" t="n">
        <x:f>R227*T227+S227</x:f>
        <x:v>53251.61006542345</x:v>
      </x:c>
      <x:c r="V227" t="n">
        <x:f>V$8+(V$9-V$8)*H227</x:f>
        <x:v>0.9074340662318738</x:v>
      </x:c>
      <x:c r="W227" t="n">
        <x:f>IF(B227&lt;$H$8,0,W$8+(W$9-W$8)*H227)</x:f>
        <x:v>0.27657875497583184</x:v>
      </x:c>
      <x:c r="X227" t="n">
        <x:f>X$8+(X$9-X$8)*H227</x:f>
        <x:v>0.4651478940458844</x:v>
      </x:c>
      <x:c r="Y227" t="n">
        <x:f>Y$8+(Y$9-Y$8)*G227</x:f>
        <x:v>1</x:v>
      </x:c>
      <x:c r="Z227" t="n">
        <x:f>Z$8+(Z$9-Z$8)*H227</x:f>
        <x:v>1</x:v>
      </x:c>
      <x:c r="AA227" t="n">
        <x:f>AA$8+(AA$9-AA$8)*I227</x:f>
        <x:v>1</x:v>
      </x:c>
      <x:c r="AB227" t="n">
        <x:f>AB$8+(AB$9-AB$8)*J227</x:f>
        <x:v>1</x:v>
      </x:c>
      <x:c r="AC227" t="n">
        <x:f>AC$8+(AC$9-AC$8)*MAX(K227,L227)</x:f>
        <x:v>1</x:v>
      </x:c>
      <x:c r="AD227" t="n">
        <x:f>(V227*AE227+W227*AF227+X227*AG227)*PRODUCT(Y227:AC227)</x:f>
        <x:v>1.8780073276534859</x:v>
      </x:c>
      <x:c r="AE227" t="n">
        <x:f>1+AE$9*($H$10*H227+$I$10*I227+$J$10*J227+$K$10*K227+$L$10*L227)</x:f>
        <x:v>1</x:v>
      </x:c>
      <x:c r="AF227" t="n">
        <x:f>1+AF$9*($H$10*H227+$I$10*I227+$J$10*J227+$K$10*K227+$L$10*L227)</x:f>
        <x:v>1.2078677302200658</x:v>
      </x:c>
      <x:c r="AG227" t="n">
        <x:f>1+AG$9*($H$10*H227+$I$10*I227+$J$10*J227+$K$10*K227+$L$10*L227)</x:f>
        <x:v>1.3683878107788972</x:v>
      </x:c>
      <x:c r="AH227" t="n">
        <x:f>MIN(1,'_曲线基线'!$L$3+AH$9*($H$10*H227+$I$10*I227+$J$10*J227+$K$10*K227+$L$10*L227))</x:f>
        <x:v>0.5228990862506493</x:v>
      </x:c>
      <x:c r="AI227" t="n">
        <x:f>'_曲线基线'!$L$4+AI$9*($H$10*H227+$I$10*I227+$J$10*J227+$K$10*K227+$L$10*L227)</x:f>
        <x:v>3.317361740269666</x:v>
      </x:c>
      <x:c r="AJ227" t="n">
        <x:f>1+AJ$9*($H$10*H227+$I$10*I227+$J$10*J227+$K$10*K227+$L$10*L227)</x:f>
        <x:v>2.0809121971443414</x:v>
      </x:c>
      <x:c r="AK227" t="n">
        <x:f>(1+AH227*(AI227-1))*AJ227</x:f>
        <x:v>4.602449928610546</x:v>
      </x:c>
      <x:c r="AL227" t="n">
        <x:f>U227*AD227*AK227*F227</x:f>
        <x:v>2301384.0689790905</x:v>
      </x:c>
      <x:c r="AM227" t="n">
        <x:f>IF($B227&lt;AM$8,0,AM$3+(AM$4-AM$3)*(POWER(AM$5,$B227-AM$8)-1)/(POWER(AM$5,$C$5-AM$8)-1))</x:f>
        <x:v>45.059981611248176</x:v>
      </x:c>
      <x:c r="AN227" t="n">
        <x:f>(((E227*'模块规划'!$D$10+G227*'模块规划'!$D$11+H227*'模块规划'!$D$13)*(1+'模块规划'!$G$14*H227)+(I227*'模块规划'!$D$15+J227*'模块规划'!$D$17+K227*'模块规划'!$D$16+L227*'模块规划'!$D$18))*(1+'模块规划'!$J$17*J227))*F227/(1-Q227)</x:f>
        <x:v>2801158.488823413</x:v>
      </x:c>
      <x:c r="AO227" t="n">
        <x:f>AL227*AM227</x:f>
        <x:v>103700323.82861732</x:v>
      </x:c>
      <x:c r="AP227" t="n">
        <x:f>IF(AO227="","",INDEX('_曲线基线'!$A$3:$A$502,MIN(ROWS('_曲线基线'!$A$3:$A$502),COUNTIF('_曲线基线'!$E$3:$E$502,"&lt;"&amp;AO227)+1)))</x:f>
        <x:v>296</x:v>
      </x:c>
      <x:c r="AQ227" t="n">
        <x:f>IF(B227&lt;=2,1,IF(B227&lt;=6,2,IF(B227&lt;=9,3,IF(B227&lt;=19,4,5))))</x:f>
        <x:v>5</x:v>
      </x:c>
      <x:c r="AR227" t="n">
        <x:f>AN227*(1-Q227)/F227*$AS$3+U227*$AS$4+P227*$AS$5</x:f>
        <x:v>17429.47404342164</x:v>
      </x:c>
      <x:c r="AS227" t="n">
        <x:f>1+AH227*$AS$6+AI227*$AS$7+(AJ227-1)*$AS$8+($H$10*H227+$I$10*I227+$J$10*J227+$K$10*K227+$L$10*L227)*$AU$3*$AS$9+($H$10*H227+$I$10*I227+$J$10*J227+$K$10*K227+$L$10*L227)*$AU$4*$AS$10</x:f>
        <x:v>17.401913070357384</x:v>
      </x:c>
      <x:c r="AT227" t="n">
        <x:f>ROUND(AR227*AS227,0)</x:f>
        <x:v>303306</x:v>
      </x:c>
      <x:c r="AU227" t="n">
        <x:f>ROUND(AT227*F227,0)</x:f>
        <x:v>1516530</x:v>
      </x:c>
    </x:row>
    <x:row r="228">
      <x:c r="A228" t="str">
        <x:f>IFERROR(XLOOKUP(B228,'_曲线基线'!$G$3:$G$107,'_曲线基线'!$J$3:$J$107,""),"")</x:f>
      </x:c>
      <x:c r="B228" t="n">
        <x:v>217</x:v>
      </x:c>
      <x:c r="C228" t="n">
        <x:f>C213+1</x:f>
        <x:v>15</x:v>
      </x:c>
      <x:c r="D228" t="n">
        <x:f>D213</x:f>
        <x:v>13</x:v>
      </x:c>
      <x:c r="E228" t="n">
        <x:f>IF($B228&lt;E$8,0,E$3+(E$4-E$3)*(POWER(E$5,$B228-E$8)-1)/(POWER(E$5,$C$5-E$8)-1))</x:f>
        <x:v>1</x:v>
      </x:c>
      <x:c r="F228" t="n">
        <x:f>1+IF(B228&lt;3,0,MIN(1,(B228-2)/4))+IF(B228&lt;7,0,MIN(1,(B228-6)/3))+IF(B228&lt;10,0,MIN(1,(B228-9)/5))+IF(B228&lt;20,0,MIN(1,(B228-19)/10))</x:f>
        <x:v>5</x:v>
      </x:c>
      <x:c r="G228" t="n">
        <x:f>IF($B228&lt;G$8,0,G$3+(G$4-G$3)*(POWER(G$5,$B228-G$8)-1)/(POWER(G$5,$C$5-G$8)-1))</x:f>
        <x:v>0.8787637560723461</x:v>
      </x:c>
      <x:c r="H228" t="n">
        <x:f>IF($B228&lt;H$8,0,H$3+(H$4-H$3)*(POWER(H$5,$B228-H$8)-1)/(POWER(H$5,$C$5-H$8)-1))</x:f>
        <x:v>0.6916844919302996</x:v>
      </x:c>
      <x:c r="I228" t="n">
        <x:f>IF($B228&lt;I$8,0,I$3+(I$4-I$3)*(POWER(I$5,$B228-I$8)-1)/(POWER(I$5,$C$5-I$8)-1))</x:f>
        <x:v>0.6286194234761714</x:v>
      </x:c>
      <x:c r="J228" t="n">
        <x:f>IF($B228&lt;J$8,0,J$3+(J$4-J$3)*(POWER(J$5,$B228-J$8)-1)/(POWER(J$5,$C$5-J$8)-1))</x:f>
        <x:v>0.5901346338384591</x:v>
      </x:c>
      <x:c r="K228" t="n">
        <x:f>IF($B228&lt;K$8,0,K$3+(K$4-K$3)*(POWER(K$5,$B228-K$8)-1)/(POWER(K$5,$C$5-K$8)-1))</x:f>
        <x:v>0.6051216442859036</x:v>
      </x:c>
      <x:c r="L228" t="n">
        <x:f>IF($B228&lt;L$8,0,L$3+(L$4-L$3)*(POWER(L$5,$B228-L$8)-1)/(POWER(L$5,$C$5-L$8)-1))</x:f>
        <x:v>0.691513964535576</x:v>
      </x:c>
      <x:c r="M228" t="n">
        <x:f>E228*'模块规划'!$F$10+G228*'模块规划'!$F$11+H228*'模块规划'!$F$13</x:f>
        <x:v>5218.066029147261</x:v>
      </x:c>
      <x:c r="N228" t="n">
        <x:f>I228*'模块规划'!$F$15+J228*'模块规划'!$F$17+K228*'模块规划'!$F$16+L228*'模块规划'!$F$18</x:f>
        <x:v>18018.601414587265</x:v>
      </x:c>
      <x:c r="O228" t="n">
        <x:f>1+O$9*SUMPRODUCT($H$10:$L$10,H228:L228)/SUM($H$10:$L$10)</x:f>
        <x:v>3.357031902312471</x:v>
      </x:c>
      <x:c r="P228" t="n">
        <x:f>M228*O228+N228</x:f>
        <x:v>35535.81554280758</x:v>
      </x:c>
      <x:c r="Q228" t="n">
        <x:f>P228/(P228+'_曲线基线'!$L$2)</x:f>
        <x:v>0.5968813094910329</x:v>
      </x:c>
      <x:c r="R228" t="n">
        <x:f>E228*'模块规划'!$E$10+G228*'模块规划'!$E$11+H228*'模块规划'!$E$13</x:f>
        <x:v>7827.099043720892</x:v>
      </x:c>
      <x:c r="S228" t="n">
        <x:f>I228*'模块规划'!$E$15+J228*'模块规划'!$E$17+K228*'模块规划'!$E$16+L228*'模块规划'!$E$18</x:f>
        <x:v>27027.902121880896</x:v>
      </x:c>
      <x:c r="T228" t="n">
        <x:f>1+T$9*SUMPRODUCT($H$10:$L$10,H228:L228)/SUM($H$10:$L$10)</x:f>
        <x:v>3.357031902312471</x:v>
      </x:c>
      <x:c r="U228" t="n">
        <x:f>R228*T228+S228</x:f>
        <x:v>53303.72331421137</x:v>
      </x:c>
      <x:c r="V228" t="n">
        <x:f>V$8+(V$9-V$8)*H228</x:f>
        <x:v>0.9075053475790898</x:v>
      </x:c>
      <x:c r="W228" t="n">
        <x:f>IF(B228&lt;$H$8,0,W$8+(W$9-W$8)*H228)</x:f>
        <x:v>0.27667379677211984</x:v>
      </x:c>
      <x:c r="X228" t="n">
        <x:f>X$8+(X$9-X$8)*H228</x:f>
        <x:v>0.4652132352808324</x:v>
      </x:c>
      <x:c r="Y228" t="n">
        <x:f>Y$8+(Y$9-Y$8)*G228</x:f>
        <x:v>1</x:v>
      </x:c>
      <x:c r="Z228" t="n">
        <x:f>Z$8+(Z$9-Z$8)*H228</x:f>
        <x:v>1</x:v>
      </x:c>
      <x:c r="AA228" t="n">
        <x:f>AA$8+(AA$9-AA$8)*I228</x:f>
        <x:v>1</x:v>
      </x:c>
      <x:c r="AB228" t="n">
        <x:f>AB$8+(AB$9-AB$8)*J228</x:f>
        <x:v>1</x:v>
      </x:c>
      <x:c r="AC228" t="n">
        <x:f>AC$8+(AC$9-AC$8)*MAX(K228,L228)</x:f>
        <x:v>1</x:v>
      </x:c>
      <x:c r="AD228" t="n">
        <x:f>(V228*AE228+W228*AF228+X228*AG228)*PRODUCT(Y228:AC228)</x:f>
        <x:v>1.878460989430876</x:v>
      </x:c>
      <x:c r="AE228" t="n">
        <x:f>1+AE$9*($H$10*H228+$I$10*I228+$J$10*J228+$K$10*K228+$L$10*L228)</x:f>
        <x:v>1</x:v>
      </x:c>
      <x:c r="AF228" t="n">
        <x:f>1+AF$9*($H$10*H228+$I$10*I228+$J$10*J228+$K$10*K228+$L$10*L228)</x:f>
        <x:v>1.2080295363174571</x:v>
      </x:c>
      <x:c r="AG228" t="n">
        <x:f>1+AG$9*($H$10*H228+$I$10*I228+$J$10*J228+$K$10*K228+$L$10*L228)</x:f>
        <x:v>1.3686745671403853</x:v>
      </x:c>
      <x:c r="AH228" t="n">
        <x:f>MIN(1,'_曲线基线'!$L$3+AH$9*($H$10*H228+$I$10*I228+$J$10*J228+$K$10*K228+$L$10*L228))</x:f>
        <x:v>0.5232671951222144</x:v>
      </x:c>
      <x:c r="AI228" t="n">
        <x:f>'_曲线基线'!$L$4+AI$9*($H$10*H228+$I$10*I228+$J$10*J228+$K$10*K228+$L$10*L228)</x:f>
        <x:v>3.3183871864118832</x:v>
      </x:c>
      <x:c r="AJ228" t="n">
        <x:f>1+AJ$9*($H$10*H228+$I$10*I228+$J$10*J228+$K$10*K228+$L$10*L228)</x:f>
        <x:v>2.081753588850776</x:v>
      </x:c>
      <x:c r="AK228" t="n">
        <x:f>(1+AH228*(AI228-1))*AJ228</x:f>
        <x:v>4.6072037278464695</x:v>
      </x:c>
      <x:c r="AL228" t="n">
        <x:f>U228*AD228*AK228*F228</x:f>
        <x:v>2306572.70031593</x:v>
      </x:c>
      <x:c r="AM228" t="n">
        <x:f>IF($B228&lt;AM$8,0,AM$3+(AM$4-AM$3)*(POWER(AM$5,$B228-AM$8)-1)/(POWER(AM$5,$C$5-AM$8)-1))</x:f>
        <x:v>45.174006067282534</x:v>
      </x:c>
      <x:c r="AN228" t="n">
        <x:f>(((E228*'模块规划'!$D$10+G228*'模块规划'!$D$11+H228*'模块规划'!$D$13)*(1+'模块规划'!$G$14*H228)+(I228*'模块规划'!$D$15+J228*'模块规划'!$D$17+K228*'模块规划'!$D$16+L228*'模块规划'!$D$18))*(1+'模块规划'!$J$17*J228))*F228/(1-Q228)</x:f>
        <x:v>2805665.8817631803</x:v>
      </x:c>
      <x:c r="AO228" t="n">
        <x:f>AL228*AM228</x:f>
        <x:v>104197129.15870008</x:v>
      </x:c>
      <x:c r="AP228" t="n">
        <x:f>IF(AO228="","",INDEX('_曲线基线'!$A$3:$A$502,MIN(ROWS('_曲线基线'!$A$3:$A$502),COUNTIF('_曲线基线'!$E$3:$E$502,"&lt;"&amp;AO228)+1)))</x:f>
        <x:v>296</x:v>
      </x:c>
      <x:c r="AQ228" t="n">
        <x:f>IF(B228&lt;=2,1,IF(B228&lt;=6,2,IF(B228&lt;=9,3,IF(B228&lt;=19,4,5))))</x:f>
        <x:v>5</x:v>
      </x:c>
      <x:c r="AR228" t="n">
        <x:f>AN228*(1-Q228)/F228*$AS$3+U228*$AS$4+P228*$AS$5</x:f>
        <x:v>17446.842800414634</x:v>
      </x:c>
      <x:c r="AS228" t="n">
        <x:f>1+AH228*$AS$6+AI228*$AS$7+(AJ228-1)*$AS$8+($H$10*H228+$I$10*I228+$J$10*J228+$K$10*K228+$L$10*L228)*$AU$3*$AS$9+($H$10*H228+$I$10*I228+$J$10*J228+$K$10*K228+$L$10*L228)*$AU$4*$AS$10</x:f>
        <x:v>17.41158116852869</x:v>
      </x:c>
      <x:c r="AT228" t="n">
        <x:f>ROUND(AR228*AS228,0)</x:f>
        <x:v>303777</x:v>
      </x:c>
      <x:c r="AU228" t="n">
        <x:f>ROUND(AT228*F228,0)</x:f>
        <x:v>1518885</x:v>
      </x:c>
    </x:row>
    <x:row r="229">
      <x:c r="A229" t="str">
        <x:f>IFERROR(XLOOKUP(B229,'_曲线基线'!$G$3:$G$107,'_曲线基线'!$J$3:$J$107,""),"")</x:f>
      </x:c>
      <x:c r="B229" t="n">
        <x:v>218</x:v>
      </x:c>
      <x:c r="C229" t="n">
        <x:f>C214+1</x:f>
        <x:v>15</x:v>
      </x:c>
      <x:c r="D229" t="n">
        <x:f>D214</x:f>
        <x:v>14</x:v>
      </x:c>
      <x:c r="E229" t="n">
        <x:f>IF($B229&lt;E$8,0,E$3+(E$4-E$3)*(POWER(E$5,$B229-E$8)-1)/(POWER(E$5,$C$5-E$8)-1))</x:f>
        <x:v>1</x:v>
      </x:c>
      <x:c r="F229" t="n">
        <x:f>1+IF(B229&lt;3,0,MIN(1,(B229-2)/4))+IF(B229&lt;7,0,MIN(1,(B229-6)/3))+IF(B229&lt;10,0,MIN(1,(B229-9)/5))+IF(B229&lt;20,0,MIN(1,(B229-19)/10))</x:f>
        <x:v>5</x:v>
      </x:c>
      <x:c r="G229" t="n">
        <x:f>IF($B229&lt;G$8,0,G$3+(G$4-G$3)*(POWER(G$5,$B229-G$8)-1)/(POWER(G$5,$C$5-G$8)-1))</x:f>
        <x:v>0.8792874901857567</x:v>
      </x:c>
      <x:c r="H229" t="n">
        <x:f>IF($B229&lt;H$8,0,H$3+(H$4-H$3)*(POWER(H$5,$B229-H$8)-1)/(POWER(H$5,$C$5-H$8)-1))</x:f>
        <x:v>0.6919173443312048</x:v>
      </x:c>
      <x:c r="I229" t="n">
        <x:f>IF($B229&lt;I$8,0,I$3+(I$4-I$3)*(POWER(I$5,$B229-I$8)-1)/(POWER(I$5,$C$5-I$8)-1))</x:f>
        <x:v>0.6292181263497162</x:v>
      </x:c>
      <x:c r="J229" t="n">
        <x:f>IF($B229&lt;J$8,0,J$3+(J$4-J$3)*(POWER(J$5,$B229-J$8)-1)/(POWER(J$5,$C$5-J$8)-1))</x:f>
        <x:v>0.5904108856534137</x:v>
      </x:c>
      <x:c r="K229" t="n">
        <x:f>IF($B229&lt;K$8,0,K$3+(K$4-K$3)*(POWER(K$5,$B229-K$8)-1)/(POWER(K$5,$C$5-K$8)-1))</x:f>
        <x:v>0.6063783363351591</x:v>
      </x:c>
      <x:c r="L229" t="n">
        <x:f>IF($B229&lt;L$8,0,L$3+(L$4-L$3)*(POWER(L$5,$B229-L$8)-1)/(POWER(L$5,$C$5-L$8)-1))</x:f>
        <x:v>0.6917515920762504</x:v>
      </x:c>
      <x:c r="M229" t="n">
        <x:f>E229*'模块规划'!$F$10+G229*'模块规划'!$F$11+H229*'模块规划'!$F$13</x:f>
        <x:v>5220.579952891632</x:v>
      </x:c>
      <x:c r="N229" t="n">
        <x:f>I229*'模块规划'!$F$15+J229*'模块规划'!$F$17+K229*'模块规划'!$F$16+L229*'模块规划'!$F$18</x:f>
        <x:v>18034.88184572407</x:v>
      </x:c>
      <x:c r="O229" t="n">
        <x:f>1+O$9*SUMPRODUCT($H$10:$L$10,H229:L229)/SUM($H$10:$L$10)</x:f>
        <x:v>3.3588285437773573</x:v>
      </x:c>
      <x:c r="P229" t="n">
        <x:f>M229*O229+N229</x:f>
        <x:v>35569.91480656834</x:v>
      </x:c>
      <x:c r="Q229" t="n">
        <x:f>P229/(P229+'_曲线基线'!$L$2)</x:f>
        <x:v>0.5971120644048044</x:v>
      </x:c>
      <x:c r="R229" t="n">
        <x:f>E229*'模块规划'!$E$10+G229*'模块规划'!$E$11+H229*'模块规划'!$E$13</x:f>
        <x:v>7830.869929337448</x:v>
      </x:c>
      <x:c r="S229" t="n">
        <x:f>I229*'模块规划'!$E$15+J229*'模块规划'!$E$17+K229*'模块规划'!$E$16+L229*'模块规划'!$E$18</x:f>
        <x:v>27052.322768586113</x:v>
      </x:c>
      <x:c r="T229" t="n">
        <x:f>1+T$9*SUMPRODUCT($H$10:$L$10,H229:L229)/SUM($H$10:$L$10)</x:f>
        <x:v>3.3588285437773573</x:v>
      </x:c>
      <x:c r="U229" t="n">
        <x:f>R229*T229+S229</x:f>
        <x:v>53354.87220985251</x:v>
      </x:c>
      <x:c r="V229" t="n">
        <x:f>V$8+(V$9-V$8)*H229</x:f>
        <x:v>0.9075752032993614</x:v>
      </x:c>
      <x:c r="W229" t="n">
        <x:f>IF(B229&lt;$H$8,0,W$8+(W$9-W$8)*H229)</x:f>
        <x:v>0.2767669377324819</x:v>
      </x:c>
      <x:c r="X229" t="n">
        <x:f>X$8+(X$9-X$8)*H229</x:f>
        <x:v>0.46527726969108135</x:v>
      </x:c>
      <x:c r="Y229" t="n">
        <x:f>Y$8+(Y$9-Y$8)*G229</x:f>
        <x:v>1</x:v>
      </x:c>
      <x:c r="Z229" t="n">
        <x:f>Z$8+(Z$9-Z$8)*H229</x:f>
        <x:v>1</x:v>
      </x:c>
      <x:c r="AA229" t="n">
        <x:f>AA$8+(AA$9-AA$8)*I229</x:f>
        <x:v>1</x:v>
      </x:c>
      <x:c r="AB229" t="n">
        <x:f>AB$8+(AB$9-AB$8)*J229</x:f>
        <x:v>1</x:v>
      </x:c>
      <x:c r="AC229" t="n">
        <x:f>AC$8+(AC$9-AC$8)*MAX(K229,L229)</x:f>
        <x:v>1</x:v>
      </x:c>
      <x:c r="AD229" t="n">
        <x:f>(V229*AE229+W229*AF229+X229*AG229)*PRODUCT(Y229:AC229)</x:f>
        <x:v>1.8789056441701555</x:v>
      </x:c>
      <x:c r="AE229" t="n">
        <x:f>1+AE$9*($H$10*H229+$I$10*I229+$J$10*J229+$K$10*K229+$L$10*L229)</x:f>
        <x:v>1</x:v>
      </x:c>
      <x:c r="AF229" t="n">
        <x:f>1+AF$9*($H$10*H229+$I$10*I229+$J$10*J229+$K$10*K229+$L$10*L229)</x:f>
        <x:v>1.2081881062929005</x:v>
      </x:c>
      <x:c r="AG229" t="n">
        <x:f>1+AG$9*($H$10*H229+$I$10*I229+$J$10*J229+$K$10*K229+$L$10*L229)</x:f>
        <x:v>1.3689555883746432</x:v>
      </x:c>
      <x:c r="AH229" t="n">
        <x:f>MIN(1,'_曲线基线'!$L$3+AH$9*($H$10*H229+$I$10*I229+$J$10*J229+$K$10*K229+$L$10*L229))</x:f>
        <x:v>0.5236279418163482</x:v>
      </x:c>
      <x:c r="AI229" t="n">
        <x:f>'_曲线基线'!$L$4+AI$9*($H$10*H229+$I$10*I229+$J$10*J229+$K$10*K229+$L$10*L229)</x:f>
        <x:v>3.319392123631256</x:v>
      </x:c>
      <x:c r="AJ229" t="n">
        <x:f>1+AJ$9*($H$10*H229+$I$10*I229+$J$10*J229+$K$10*K229+$L$10*L229)</x:f>
        <x:v>2.082578152723082</x:v>
      </x:c>
      <x:c r="AK229" t="n">
        <x:f>(1+AH229*(AI229-1))*AJ229</x:f>
        <x:v>4.611866245240948</x:v>
      </x:c>
      <x:c r="AL229" t="n">
        <x:f>U229*AD229*AK229*F229</x:f>
        <x:v>2311669.6048801932</x:v>
      </x:c>
      <x:c r="AM229" t="n">
        <x:f>IF($B229&lt;AM$8,0,AM$3+(AM$4-AM$3)*(POWER(AM$5,$B229-AM$8)-1)/(POWER(AM$5,$C$5-AM$8)-1))</x:f>
        <x:v>45.28917076787722</x:v>
      </x:c>
      <x:c r="AN229" t="n">
        <x:f>(((E229*'模块规划'!$D$10+G229*'模块规划'!$D$11+H229*'模块规划'!$D$13)*(1+'模块规划'!$G$14*H229)+(I229*'模块规划'!$D$15+J229*'模块规划'!$D$17+K229*'模块规划'!$D$16+L229*'模块规划'!$D$18))*(1+'模块规划'!$J$17*J229))*F229/(1-Q229)</x:f>
        <x:v>2810092.0272021424</x:v>
      </x:c>
      <x:c r="AO229" t="n">
        <x:f>AL229*AM229</x:f>
        <x:v>104693599.49433035</x:v>
      </x:c>
      <x:c r="AP229" t="n">
        <x:f>IF(AO229="","",INDEX('_曲线基线'!$A$3:$A$502,MIN(ROWS('_曲线基线'!$A$3:$A$502),COUNTIF('_曲线基线'!$E$3:$E$502,"&lt;"&amp;AO229)+1)))</x:f>
        <x:v>297</x:v>
      </x:c>
      <x:c r="AQ229" t="n">
        <x:f>IF(B229&lt;=2,1,IF(B229&lt;=6,2,IF(B229&lt;=9,3,IF(B229&lt;=19,4,5))))</x:f>
        <x:v>5</x:v>
      </x:c>
      <x:c r="AR229" t="n">
        <x:f>AN229*(1-Q229)/F229*$AS$3+U229*$AS$4+P229*$AS$5</x:f>
        <x:v>17463.88749600244</x:v>
      </x:c>
      <x:c r="AS229" t="n">
        <x:f>1+AH229*$AS$6+AI229*$AS$7+(AJ229-1)*$AS$8+($H$10*H229+$I$10*I229+$J$10*J229+$K$10*K229+$L$10*L229)*$AU$3*$AS$9+($H$10*H229+$I$10*I229+$J$10*J229+$K$10*K229+$L$10*L229)*$AU$4*$AS$10</x:f>
        <x:v>17.421055904736573</x:v>
      </x:c>
      <x:c r="AT229" t="n">
        <x:f>ROUND(AR229*AS229,0)</x:f>
        <x:v>304239</x:v>
      </x:c>
      <x:c r="AU229" t="n">
        <x:f>ROUND(AT229*F229,0)</x:f>
        <x:v>1521195</x:v>
      </x:c>
    </x:row>
    <x:row r="230">
      <x:c r="A230" t="str">
        <x:f>IFERROR(XLOOKUP(B230,'_曲线基线'!$G$3:$G$107,'_曲线基线'!$J$3:$J$107,""),"")</x:f>
      </x:c>
      <x:c r="B230" t="n">
        <x:v>219</x:v>
      </x:c>
      <x:c r="C230" t="n">
        <x:f>C215+1</x:f>
        <x:v>15</x:v>
      </x:c>
      <x:c r="D230" t="n">
        <x:f>D215</x:f>
        <x:v>15</x:v>
      </x:c>
      <x:c r="E230" t="n">
        <x:f>IF($B230&lt;E$8,0,E$3+(E$4-E$3)*(POWER(E$5,$B230-E$8)-1)/(POWER(E$5,$C$5-E$8)-1))</x:f>
        <x:v>1</x:v>
      </x:c>
      <x:c r="F230" t="n">
        <x:f>1+IF(B230&lt;3,0,MIN(1,(B230-2)/4))+IF(B230&lt;7,0,MIN(1,(B230-6)/3))+IF(B230&lt;10,0,MIN(1,(B230-9)/5))+IF(B230&lt;20,0,MIN(1,(B230-19)/10))</x:f>
        <x:v>5</x:v>
      </x:c>
      <x:c r="G230" t="n">
        <x:f>IF($B230&lt;G$8,0,G$3+(G$4-G$3)*(POWER(G$5,$B230-G$8)-1)/(POWER(G$5,$C$5-G$8)-1))</x:f>
        <x:v>0.8798033682874662</x:v>
      </x:c>
      <x:c r="H230" t="n">
        <x:f>IF($B230&lt;H$8,0,H$3+(H$4-H$3)*(POWER(H$5,$B230-H$8)-1)/(POWER(H$5,$C$5-H$8)-1))</x:f>
        <x:v>0.692145539684092</x:v>
      </x:c>
      <x:c r="I230" t="n">
        <x:f>IF($B230&lt;I$8,0,I$3+(I$4-I$3)*(POWER(I$5,$B230-I$8)-1)/(POWER(I$5,$C$5-I$8)-1))</x:f>
        <x:v>0.6298048551657901</x:v>
      </x:c>
      <x:c r="J230" t="n">
        <x:f>IF($B230&lt;J$8,0,J$3+(J$4-J$3)*(POWER(J$5,$B230-J$8)-1)/(POWER(J$5,$C$5-J$8)-1))</x:f>
        <x:v>0.5906816124320694</x:v>
      </x:c>
      <x:c r="K230" t="n">
        <x:f>IF($B230&lt;K$8,0,K$3+(K$4-K$3)*(POWER(K$5,$B230-K$8)-1)/(POWER(K$5,$C$5-K$8)-1))</x:f>
        <x:v>0.6076098945434294</x:v>
      </x:c>
      <x:c r="L230" t="n">
        <x:f>IF($B230&lt;L$8,0,L$3+(L$4-L$3)*(POWER(L$5,$B230-L$8)-1)/(POWER(L$5,$C$5-L$8)-1))</x:f>
        <x:v>0.6919844670661109</x:v>
      </x:c>
      <x:c r="M230" t="n">
        <x:f>E230*'模块规划'!$F$10+G230*'模块规划'!$F$11+H230*'模块规划'!$F$13</x:f>
        <x:v>5223.056167779838</x:v>
      </x:c>
      <x:c r="N230" t="n">
        <x:f>I230*'模块规划'!$F$15+J230*'模块规划'!$F$17+K230*'模块规划'!$F$16+L230*'模块规划'!$F$18</x:f>
        <x:v>18050.836668238146</x:v>
      </x:c>
      <x:c r="O230" t="n">
        <x:f>1+O$9*SUMPRODUCT($H$10:$L$10,H230:L230)/SUM($H$10:$L$10)</x:f>
        <x:v>3.360589252412946</x:v>
      </x:c>
      <x:c r="P230" t="n">
        <x:f>M230*O230+N230</x:f>
        <x:v>35603.38309042822</x:v>
      </x:c>
      <x:c r="Q230" t="n">
        <x:f>P230/(P230+'_曲线基线'!$L$2)</x:f>
        <x:v>0.5973382926336913</x:v>
      </x:c>
      <x:c r="R230" t="n">
        <x:f>E230*'模块规划'!$E$10+G230*'模块规划'!$E$11+H230*'模块规划'!$E$13</x:f>
        <x:v>7834.584251669757</x:v>
      </x:c>
      <x:c r="S230" t="n">
        <x:f>I230*'模块规划'!$E$15+J230*'模块规划'!$E$17+K230*'模块规划'!$E$16+L230*'模块规划'!$E$18</x:f>
        <x:v>27076.25500235722</x:v>
      </x:c>
      <x:c r="T230" t="n">
        <x:f>1+T$9*SUMPRODUCT($H$10:$L$10,H230:L230)/SUM($H$10:$L$10)</x:f>
        <x:v>3.360589252412946</x:v>
      </x:c>
      <x:c r="U230" t="n">
        <x:f>R230*T230+S230</x:f>
        <x:v>53405.074635642326</x:v>
      </x:c>
      <x:c r="V230" t="n">
        <x:f>V$8+(V$9-V$8)*H230</x:f>
        <x:v>0.9076436619052276</x:v>
      </x:c>
      <x:c r="W230" t="n">
        <x:f>IF(B230&lt;$H$8,0,W$8+(W$9-W$8)*H230)</x:f>
        <x:v>0.2768582158736368</x:v>
      </x:c>
      <x:c r="X230" t="n">
        <x:f>X$8+(X$9-X$8)*H230</x:f>
        <x:v>0.4653400234131253</x:v>
      </x:c>
      <x:c r="Y230" t="n">
        <x:f>Y$8+(Y$9-Y$8)*G230</x:f>
        <x:v>1</x:v>
      </x:c>
      <x:c r="Z230" t="n">
        <x:f>Z$8+(Z$9-Z$8)*H230</x:f>
        <x:v>1</x:v>
      </x:c>
      <x:c r="AA230" t="n">
        <x:f>AA$8+(AA$9-AA$8)*I230</x:f>
        <x:v>1</x:v>
      </x:c>
      <x:c r="AB230" t="n">
        <x:f>AB$8+(AB$9-AB$8)*J230</x:f>
        <x:v>1</x:v>
      </x:c>
      <x:c r="AC230" t="n">
        <x:f>AC$8+(AC$9-AC$8)*MAX(K230,L230)</x:f>
        <x:v>1</x:v>
      </x:c>
      <x:c r="AD230" t="n">
        <x:f>(V230*AE230+W230*AF230+X230*AG230)*PRODUCT(Y230:AC230)</x:f>
        <x:v>1.8793414693906703</x:v>
      </x:c>
      <x:c r="AE230" t="n">
        <x:f>1+AE$9*($H$10*H230+$I$10*I230+$J$10*J230+$K$10*K230+$L$10*L230)</x:f>
        <x:v>1</x:v>
      </x:c>
      <x:c r="AF230" t="n">
        <x:f>1+AF$9*($H$10*H230+$I$10*I230+$J$10*J230+$K$10*K230+$L$10*L230)</x:f>
        <x:v>1.2083435048688351</x:v>
      </x:c>
      <x:c r="AG230" t="n">
        <x:f>1+AG$9*($H$10*H230+$I$10*I230+$J$10*J230+$K$10*K230+$L$10*L230)</x:f>
        <x:v>1.3692309891842163</x:v>
      </x:c>
      <x:c r="AH230" t="n">
        <x:f>MIN(1,'_曲线基线'!$L$3+AH$9*($H$10*H230+$I$10*I230+$J$10*J230+$K$10*K230+$L$10*L230))</x:f>
        <x:v>0.5239814735765994</x:v>
      </x:c>
      <x:c r="AI230" t="n">
        <x:f>'_曲线基线'!$L$4+AI$9*($H$10*H230+$I$10*I230+$J$10*J230+$K$10*K230+$L$10*L230)</x:f>
        <x:v>3.3203769621062413</x:v>
      </x:c>
      <x:c r="AJ230" t="n">
        <x:f>1+AJ$9*($H$10*H230+$I$10*I230+$J$10*J230+$K$10*K230+$L$10*L230)</x:f>
        <x:v>2.0833862253179416</x:v>
      </x:c>
      <x:c r="AK230" t="n">
        <x:f>(1+AH230*(AI230-1))*AJ230</x:f>
        <x:v>4.616439157923089</x:v>
      </x:c>
      <x:c r="AL230" t="n">
        <x:f>U230*AD230*AK230*F230</x:f>
        <x:v>2316676.2362405667</x:v>
      </x:c>
      <x:c r="AM230" t="n">
        <x:f>IF($B230&lt;AM$8,0,AM$3+(AM$4-AM$3)*(POWER(AM$5,$B230-AM$8)-1)/(POWER(AM$5,$C$5-AM$8)-1))</x:f>
        <x:v>45.40548711547787</x:v>
      </x:c>
      <x:c r="AN230" t="n">
        <x:f>(((E230*'模块规划'!$D$10+G230*'模块规划'!$D$11+H230*'模块规划'!$D$13)*(1+'模块规划'!$G$14*H230)+(I230*'模块规划'!$D$15+J230*'模块规划'!$D$17+K230*'模块规划'!$D$16+L230*'模块规划'!$D$18))*(1+'模块规划'!$J$17*J230))*F230/(1-Q230)</x:f>
        <x:v>2814438.3190904055</x:v>
      </x:c>
      <x:c r="AO230" t="n">
        <x:f>AL230*AM230</x:f>
        <x:v>105189812.99535482</x:v>
      </x:c>
      <x:c r="AP230" t="n">
        <x:f>IF(AO230="","",INDEX('_曲线基线'!$A$3:$A$502,MIN(ROWS('_曲线基线'!$A$3:$A$502),COUNTIF('_曲线基线'!$E$3:$E$502,"&lt;"&amp;AO230)+1)))</x:f>
        <x:v>297</x:v>
      </x:c>
      <x:c r="AQ230" t="n">
        <x:f>IF(B230&lt;=2,1,IF(B230&lt;=6,2,IF(B230&lt;=9,3,IF(B230&lt;=19,4,5))))</x:f>
        <x:v>5</x:v>
      </x:c>
      <x:c r="AR230" t="n">
        <x:f>AN230*(1-Q230)/F230*$AS$3+U230*$AS$4+P230*$AS$5</x:f>
        <x:v>17480.614160181107</x:v>
      </x:c>
      <x:c r="AS230" t="n">
        <x:f>1+AH230*$AS$6+AI230*$AS$7+(AJ230-1)*$AS$8+($H$10*H230+$I$10*I230+$J$10*J230+$K$10*K230+$L$10*L230)*$AU$3*$AS$9+($H$10*H230+$I$10*I230+$J$10*J230+$K$10*K230+$L$10*L230)*$AU$4*$AS$10</x:f>
        <x:v>17.430341146220293</x:v>
      </x:c>
      <x:c r="AT230" t="n">
        <x:f>ROUND(AR230*AS230,0)</x:f>
        <x:v>304693</x:v>
      </x:c>
      <x:c r="AU230" t="n">
        <x:f>ROUND(AT230*F230,0)</x:f>
        <x:v>1523465</x:v>
      </x:c>
    </x:row>
    <x:row r="231">
      <x:c r="A231" t="str">
        <x:f>IFERROR(XLOOKUP(B231,'_曲线基线'!$G$3:$G$107,'_曲线基线'!$J$3:$J$107,""),"")</x:f>
      </x:c>
      <x:c r="B231" t="n">
        <x:v>220</x:v>
      </x:c>
      <x:c r="C231" t="n">
        <x:f>C216+1</x:f>
        <x:v>16</x:v>
      </x:c>
      <x:c r="D231" t="n">
        <x:f>D216</x:f>
        <x:v>1</x:v>
      </x:c>
      <x:c r="E231" t="n">
        <x:f>IF($B231&lt;E$8,0,E$3+(E$4-E$3)*(POWER(E$5,$B231-E$8)-1)/(POWER(E$5,$C$5-E$8)-1))</x:f>
        <x:v>1</x:v>
      </x:c>
      <x:c r="F231" t="n">
        <x:f>1+IF(B231&lt;3,0,MIN(1,(B231-2)/4))+IF(B231&lt;7,0,MIN(1,(B231-6)/3))+IF(B231&lt;10,0,MIN(1,(B231-9)/5))+IF(B231&lt;20,0,MIN(1,(B231-19)/10))</x:f>
        <x:v>5</x:v>
      </x:c>
      <x:c r="G231" t="n">
        <x:f>IF($B231&lt;G$8,0,G$3+(G$4-G$3)*(POWER(G$5,$B231-G$8)-1)/(POWER(G$5,$C$5-G$8)-1))</x:f>
        <x:v>0.88031150821765</x:v>
      </x:c>
      <x:c r="H231" t="n">
        <x:f>IF($B231&lt;H$8,0,H$3+(H$4-H$3)*(POWER(H$5,$B231-H$8)-1)/(POWER(H$5,$C$5-H$8)-1))</x:f>
        <x:v>0.6923691711299216</x:v>
      </x:c>
      <x:c r="I231" t="n">
        <x:f>IF($B231&lt;I$8,0,I$3+(I$4-I$3)*(POWER(I$5,$B231-I$8)-1)/(POWER(I$5,$C$5-I$8)-1))</x:f>
        <x:v>0.6303798494055425</x:v>
      </x:c>
      <x:c r="J231" t="n">
        <x:f>IF($B231&lt;J$8,0,J$3+(J$4-J$3)*(POWER(J$5,$B231-J$8)-1)/(POWER(J$5,$C$5-J$8)-1))</x:f>
        <x:v>0.5909469246751519</x:v>
      </x:c>
      <x:c r="K231" t="n">
        <x:f>IF($B231&lt;K$8,0,K$3+(K$4-K$3)*(POWER(K$5,$B231-K$8)-1)/(POWER(K$5,$C$5-K$8)-1))</x:f>
        <x:v>0.6088168215875345</x:v>
      </x:c>
      <x:c r="L231" t="n">
        <x:f>IF($B231&lt;L$8,0,L$3+(L$4-L$3)*(POWER(L$5,$B231-L$8)-1)/(POWER(L$5,$C$5-L$8)-1))</x:f>
        <x:v>0.6922126845561744</x:v>
      </x:c>
      <x:c r="M231" t="n">
        <x:f>E231*'模块规划'!$F$10+G231*'模块规划'!$F$11+H231*'模块规划'!$F$13</x:f>
        <x:v>5225.49523944472</x:v>
      </x:c>
      <x:c r="N231" t="n">
        <x:f>I231*'模块规划'!$F$15+J231*'模块规划'!$F$17+K231*'模块规划'!$F$16+L231*'模块规划'!$F$18</x:f>
        <x:v>18066.472394301938</x:v>
      </x:c>
      <x:c r="O231" t="n">
        <x:f>1+O$9*SUMPRODUCT($H$10:$L$10,H231:L231)/SUM($H$10:$L$10)</x:f>
        <x:v>3.3623147468758234</x:v>
      </x:c>
      <x:c r="P231" t="n">
        <x:f>M231*O231+N231</x:f>
        <x:v>35636.23209761633</x:v>
      </x:c>
      <x:c r="Q231" t="n">
        <x:f>P231/(P231+'_曲线基线'!$L$2)</x:f>
        <x:v>0.5975600879560048</x:v>
      </x:c>
      <x:c r="R231" t="n">
        <x:f>E231*'模块规划'!$E$10+G231*'模块规划'!$E$11+H231*'模块规划'!$E$13</x:f>
        <x:v>7838.2428591670805</x:v>
      </x:c>
      <x:c r="S231" t="n">
        <x:f>I231*'模块规划'!$E$15+J231*'模块规划'!$E$17+K231*'模块规划'!$E$16+L231*'模块规划'!$E$18</x:f>
        <x:v>27099.708591452905</x:v>
      </x:c>
      <x:c r="T231" t="n">
        <x:f>1+T$9*SUMPRODUCT($H$10:$L$10,H231:L231)/SUM($H$10:$L$10)</x:f>
        <x:v>3.3623147468758234</x:v>
      </x:c>
      <x:c r="U231" t="n">
        <x:f>R231*T231+S231</x:f>
        <x:v>53454.3481464245</x:v>
      </x:c>
      <x:c r="V231" t="n">
        <x:f>V$8+(V$9-V$8)*H231</x:f>
        <x:v>0.9077107513389765</x:v>
      </x:c>
      <x:c r="W231" t="n">
        <x:f>IF(B231&lt;$H$8,0,W$8+(W$9-W$8)*H231)</x:f>
        <x:v>0.27694766845196866</x:v>
      </x:c>
      <x:c r="X231" t="n">
        <x:f>X$8+(X$9-X$8)*H231</x:f>
        <x:v>0.4654015220607285</x:v>
      </x:c>
      <x:c r="Y231" t="n">
        <x:f>Y$8+(Y$9-Y$8)*G231</x:f>
        <x:v>1</x:v>
      </x:c>
      <x:c r="Z231" t="n">
        <x:f>Z$8+(Z$9-Z$8)*H231</x:f>
        <x:v>1</x:v>
      </x:c>
      <x:c r="AA231" t="n">
        <x:f>AA$8+(AA$9-AA$8)*I231</x:f>
        <x:v>1</x:v>
      </x:c>
      <x:c r="AB231" t="n">
        <x:f>AB$8+(AB$9-AB$8)*J231</x:f>
        <x:v>1</x:v>
      </x:c>
      <x:c r="AC231" t="n">
        <x:f>AC$8+(AC$9-AC$8)*MAX(K231,L231)</x:f>
        <x:v>1</x:v>
      </x:c>
      <x:c r="AD231" t="n">
        <x:f>(V231*AE231+W231*AF231+X231*AG231)*PRODUCT(Y231:AC231)</x:f>
        <x:v>1.8797686391651847</x:v>
      </x:c>
      <x:c r="AE231" t="n">
        <x:f>1+AE$9*($H$10*H231+$I$10*I231+$J$10*J231+$K$10*K231+$L$10*L231)</x:f>
        <x:v>1</x:v>
      </x:c>
      <x:c r="AF231" t="n">
        <x:f>1+AF$9*($H$10*H231+$I$10*I231+$J$10*J231+$K$10*K231+$L$10*L231)</x:f>
        <x:v>1.208495795473251</x:v>
      </x:c>
      <x:c r="AG231" t="n">
        <x:f>1+AG$9*($H$10*H231+$I$10*I231+$J$10*J231+$K$10*K231+$L$10*L231)</x:f>
        <x:v>1.3695008819775976</x:v>
      </x:c>
      <x:c r="AH231" t="n">
        <x:f>MIN(1,'_曲线基线'!$L$3+AH$9*($H$10*H231+$I$10*I231+$J$10*J231+$K$10*K231+$L$10*L231))</x:f>
        <x:v>0.5243279347016455</x:v>
      </x:c>
      <x:c r="AI231" t="n">
        <x:f>'_曲线基线'!$L$4+AI$9*($H$10*H231+$I$10*I231+$J$10*J231+$K$10*K231+$L$10*L231)</x:f>
        <x:v>3.321342103811727</x:v>
      </x:c>
      <x:c r="AJ231" t="n">
        <x:f>1+AJ$9*($H$10*H231+$I$10*I231+$J$10*J231+$K$10*K231+$L$10*L231)</x:f>
        <x:v>2.0841781364609044</x:v>
      </x:c>
      <x:c r="AK231" t="n">
        <x:f>(1+AH231*(AI231-1))*AJ231</x:f>
        <x:v>4.620924115257976</x:v>
      </x:c>
      <x:c r="AL231" t="n">
        <x:f>U231*AD231*AK231*F231</x:f>
        <x:v>2321594.031854842</x:v>
      </x:c>
      <x:c r="AM231" t="n">
        <x:f>IF($B231&lt;AM$8,0,AM$3+(AM$4-AM$3)*(POWER(AM$5,$B231-AM$8)-1)/(POWER(AM$5,$C$5-AM$8)-1))</x:f>
        <x:v>45.52296662655451</x:v>
      </x:c>
      <x:c r="AN231" t="n">
        <x:f>(((E231*'模块规划'!$D$10+G231*'模块规划'!$D$11+H231*'模块规划'!$D$13)*(1+'模块规划'!$G$14*H231)+(I231*'模块规划'!$D$15+J231*'模块规划'!$D$17+K231*'模块规划'!$D$16+L231*'模块规划'!$D$18))*(1+'模块规划'!$J$17*J231))*F231/(1-Q231)</x:f>
        <x:v>2818706.130557966</x:v>
      </x:c>
      <x:c r="AO231" t="n">
        <x:f>AL231*AM231</x:f>
        <x:v>105685847.6325361</x:v>
      </x:c>
      <x:c r="AP231" t="n">
        <x:f>IF(AO231="","",INDEX('_曲线基线'!$A$3:$A$502,MIN(ROWS('_曲线基线'!$A$3:$A$502),COUNTIF('_曲线基线'!$E$3:$E$502,"&lt;"&amp;AO231)+1)))</x:f>
        <x:v>298</x:v>
      </x:c>
      <x:c r="AQ231" t="n">
        <x:f>IF(B231&lt;=2,1,IF(B231&lt;=6,2,IF(B231&lt;=9,3,IF(B231&lt;=19,4,5))))</x:f>
        <x:v>5</x:v>
      </x:c>
      <x:c r="AR231" t="n">
        <x:f>AN231*(1-Q231)/F231*$AS$3+U231*$AS$4+P231*$AS$5</x:f>
        <x:v>17497.028712842606</x:v>
      </x:c>
      <x:c r="AS231" t="n">
        <x:f>1+AH231*$AS$6+AI231*$AS$7+(AJ231-1)*$AS$8+($H$10*H231+$I$10*I231+$J$10*J231+$K$10*K231+$L$10*L231)*$AU$3*$AS$9+($H$10*H231+$I$10*I231+$J$10*J231+$K$10*K231+$L$10*L231)*$AU$4*$AS$10</x:f>
        <x:v>17.439440682874345</x:v>
      </x:c>
      <x:c r="AT231" t="n">
        <x:f>ROUND(AR231*AS231,0)</x:f>
        <x:v>305138</x:v>
      </x:c>
      <x:c r="AU231" t="n">
        <x:f>ROUND(AT231*F231,0)</x:f>
        <x:v>1525690</x:v>
      </x:c>
    </x:row>
    <x:row r="232">
      <x:c r="A232" t="str">
        <x:f>IFERROR(XLOOKUP(B232,'_曲线基线'!$G$3:$G$107,'_曲线基线'!$J$3:$J$107,""),"")</x:f>
      </x:c>
      <x:c r="B232" t="n">
        <x:v>221</x:v>
      </x:c>
      <x:c r="C232" t="n">
        <x:f>C217+1</x:f>
        <x:v>16</x:v>
      </x:c>
      <x:c r="D232" t="n">
        <x:f>D217</x:f>
        <x:v>2</x:v>
      </x:c>
      <x:c r="E232" t="n">
        <x:f>IF($B232&lt;E$8,0,E$3+(E$4-E$3)*(POWER(E$5,$B232-E$8)-1)/(POWER(E$5,$C$5-E$8)-1))</x:f>
        <x:v>1</x:v>
      </x:c>
      <x:c r="F232" t="n">
        <x:f>1+IF(B232&lt;3,0,MIN(1,(B232-2)/4))+IF(B232&lt;7,0,MIN(1,(B232-6)/3))+IF(B232&lt;10,0,MIN(1,(B232-9)/5))+IF(B232&lt;20,0,MIN(1,(B232-19)/10))</x:f>
        <x:v>5</x:v>
      </x:c>
      <x:c r="G232" t="n">
        <x:f>IF($B232&lt;G$8,0,G$3+(G$4-G$3)*(POWER(G$5,$B232-G$8)-1)/(POWER(G$5,$C$5-G$8)-1))</x:f>
        <x:v>0.8808120260488812</x:v>
      </x:c>
      <x:c r="H232" t="n">
        <x:f>IF($B232&lt;H$8,0,H$3+(H$4-H$3)*(POWER(H$5,$B232-H$8)-1)/(POWER(H$5,$C$5-H$8)-1))</x:f>
        <x:v>0.6925883299468345</x:v>
      </x:c>
      <x:c r="I232" t="n">
        <x:f>IF($B232&lt;I$8,0,I$3+(I$4-I$3)*(POWER(I$5,$B232-I$8)-1)/(POWER(I$5,$C$5-I$8)-1))</x:f>
        <x:v>0.6309433437604998</x:v>
      </x:c>
      <x:c r="J232" t="n">
        <x:f>IF($B232&lt;J$8,0,J$3+(J$4-J$3)*(POWER(J$5,$B232-J$8)-1)/(POWER(J$5,$C$5-J$8)-1))</x:f>
        <x:v>0.5912069306733727</x:v>
      </x:c>
      <x:c r="K232" t="n">
        <x:f>IF($B232&lt;K$8,0,K$3+(K$4-K$3)*(POWER(K$5,$B232-K$8)-1)/(POWER(K$5,$C$5-K$8)-1))</x:f>
        <x:v>0.6099996100907572</x:v>
      </x:c>
      <x:c r="L232" t="n">
        <x:f>IF($B232&lt;L$8,0,L$3+(L$4-L$3)*(POWER(L$5,$B232-L$8)-1)/(POWER(L$5,$C$5-L$8)-1))</x:f>
        <x:v>0.6924363376964366</x:v>
      </x:c>
      <x:c r="M232" t="n">
        <x:f>E232*'模块规划'!$F$10+G232*'模块规划'!$F$11+H232*'模块规划'!$F$13</x:f>
        <x:v>5227.89772503463</x:v>
      </x:c>
      <x:c r="N232" t="n">
        <x:f>I232*'模块规划'!$F$15+J232*'模块规划'!$F$17+K232*'模块规划'!$F$16+L232*'模块规划'!$F$18</x:f>
        <x:v>18081.795405844452</x:v>
      </x:c>
      <x:c r="O232" t="n">
        <x:f>1+O$9*SUMPRODUCT($H$10:$L$10,H232:L232)/SUM($H$10:$L$10)</x:f>
        <x:v>3.364005731449443</x:v>
      </x:c>
      <x:c r="P232" t="n">
        <x:f>M232*O232+N232</x:f>
        <x:v>35668.47331629245</x:v>
      </x:c>
      <x:c r="Q232" t="n">
        <x:f>P232/(P232+'_曲线基线'!$L$2)</x:f>
        <x:v>0.597777542039997</x:v>
      </x:c>
      <x:c r="R232" t="n">
        <x:f>E232*'模块规划'!$E$10+G232*'模块规划'!$E$11+H232*'模块规划'!$E$13</x:f>
        <x:v>7841.846587551945</x:v>
      </x:c>
      <x:c r="S232" t="n">
        <x:f>I232*'模块规划'!$E$15+J232*'模块规划'!$E$17+K232*'模块规划'!$E$16+L232*'模块规划'!$E$18</x:f>
        <x:v>27122.693108766674</x:v>
      </x:c>
      <x:c r="T232" t="n">
        <x:f>1+T$9*SUMPRODUCT($H$10:$L$10,H232:L232)/SUM($H$10:$L$10)</x:f>
        <x:v>3.364005731449443</x:v>
      </x:c>
      <x:c r="U232" t="n">
        <x:f>R232*T232+S232</x:f>
        <x:v>53502.70997443867</x:v>
      </x:c>
      <x:c r="V232" t="n">
        <x:f>V$8+(V$9-V$8)*H232</x:f>
        <x:v>0.9077764989840503</x:v>
      </x:c>
      <x:c r="W232" t="n">
        <x:f>IF(B232&lt;$H$8,0,W$8+(W$9-W$8)*H232)</x:f>
        <x:v>0.2770353319787338</x:v>
      </x:c>
      <x:c r="X232" t="n">
        <x:f>X$8+(X$9-X$8)*H232</x:f>
        <x:v>0.4654617907353795</x:v>
      </x:c>
      <x:c r="Y232" t="n">
        <x:f>Y$8+(Y$9-Y$8)*G232</x:f>
        <x:v>1</x:v>
      </x:c>
      <x:c r="Z232" t="n">
        <x:f>Z$8+(Z$9-Z$8)*H232</x:f>
        <x:v>1</x:v>
      </x:c>
      <x:c r="AA232" t="n">
        <x:f>AA$8+(AA$9-AA$8)*I232</x:f>
        <x:v>1</x:v>
      </x:c>
      <x:c r="AB232" t="n">
        <x:f>AB$8+(AB$9-AB$8)*J232</x:f>
        <x:v>1</x:v>
      </x:c>
      <x:c r="AC232" t="n">
        <x:f>AC$8+(AC$9-AC$8)*MAX(K232,L232)</x:f>
        <x:v>1</x:v>
      </x:c>
      <x:c r="AD232" t="n">
        <x:f>(V232*AE232+W232*AF232+X232*AG232)*PRODUCT(Y232:AC232)</x:f>
        <x:v>1.8801873241847047</x:v>
      </x:c>
      <x:c r="AE232" t="n">
        <x:f>1+AE$9*($H$10*H232+$I$10*I232+$J$10*J232+$K$10*K232+$L$10*L232)</x:f>
        <x:v>1</x:v>
      </x:c>
      <x:c r="AF232" t="n">
        <x:f>1+AF$9*($H$10*H232+$I$10*I232+$J$10*J232+$K$10*K232+$L$10*L232)</x:f>
        <x:v>1.2086450402655786</x:v>
      </x:c>
      <x:c r="AG232" t="n">
        <x:f>1+AG$9*($H$10*H232+$I$10*I232+$J$10*J232+$K$10*K232+$L$10*L232)</x:f>
        <x:v>1.3697653769151115</x:v>
      </x:c>
      <x:c r="AH232" t="n">
        <x:f>MIN(1,'_曲线基线'!$L$3+AH$9*($H$10*H232+$I$10*I232+$J$10*J232+$K$10*K232+$L$10*L232))</x:f>
        <x:v>0.5246674666041907</x:v>
      </x:c>
      <x:c r="AI232" t="n">
        <x:f>'_曲线基线'!$L$4+AI$9*($H$10*H232+$I$10*I232+$J$10*J232+$K$10*K232+$L$10*L232)</x:f>
        <x:v>3.3222879426831025</x:v>
      </x:c>
      <x:c r="AJ232" t="n">
        <x:f>1+AJ$9*($H$10*H232+$I$10*I232+$J$10*J232+$K$10*K232+$L$10*L232)</x:f>
        <x:v>2.0849542093810074</x:v>
      </x:c>
      <x:c r="AK232" t="n">
        <x:f>(1+AH232*(AI232-1))*AJ232</x:f>
        <x:v>4.625322739179138</x:v>
      </x:c>
      <x:c r="AL232" t="n">
        <x:f>U232*AD232*AK232*F232</x:f>
        <x:v>2326424.4129453436</x:v>
      </x:c>
      <x:c r="AM232" t="n">
        <x:f>IF($B232&lt;AM$8,0,AM$3+(AM$4-AM$3)*(POWER(AM$5,$B232-AM$8)-1)/(POWER(AM$5,$C$5-AM$8)-1))</x:f>
        <x:v>45.64162093274193</x:v>
      </x:c>
      <x:c r="AN232" t="n">
        <x:f>(((E232*'模块规划'!$D$10+G232*'模块规划'!$D$11+H232*'模块规划'!$D$13)*(1+'模块规划'!$G$14*H232)+(I232*'模块规划'!$D$15+J232*'模块规划'!$D$17+K232*'模块规划'!$D$16+L232*'模块规划'!$D$18))*(1+'模块规划'!$J$17*J232))*F232/(1-Q232)</x:f>
        <x:v>2822896.8140941476</x:v>
      </x:c>
      <x:c r="AO232" t="n">
        <x:f>AL232*AM232</x:f>
        <x:v>106181781.18432805</x:v>
      </x:c>
      <x:c r="AP232" t="n">
        <x:f>IF(AO232="","",INDEX('_曲线基线'!$A$3:$A$502,MIN(ROWS('_曲线基线'!$A$3:$A$502),COUNTIF('_曲线基线'!$E$3:$E$502,"&lt;"&amp;AO232)+1)))</x:f>
        <x:v>298</x:v>
      </x:c>
      <x:c r="AQ232" t="n">
        <x:f>IF(B232&lt;=2,1,IF(B232&lt;=6,2,IF(B232&lt;=9,3,IF(B232&lt;=19,4,5))))</x:f>
        <x:v>5</x:v>
      </x:c>
      <x:c r="AR232" t="n">
        <x:f>AN232*(1-Q232)/F232*$AS$3+U232*$AS$4+P232*$AS$5</x:f>
        <x:v>17513.13696568219</x:v>
      </x:c>
      <x:c r="AS232" t="n">
        <x:f>1+AH232*$AS$6+AI232*$AS$7+(AJ232-1)*$AS$8+($H$10*H232+$I$10*I232+$J$10*J232+$K$10*K232+$L$10*L232)*$AU$3*$AS$9+($H$10*H232+$I$10*I232+$J$10*J232+$K$10*K232+$L$10*L232)*$AU$4*$AS$10</x:f>
        <x:v>17.448358228795307</x:v>
      </x:c>
      <x:c r="AT232" t="n">
        <x:f>ROUND(AR232*AS232,0)</x:f>
        <x:v>305575</x:v>
      </x:c>
      <x:c r="AU232" t="n">
        <x:f>ROUND(AT232*F232,0)</x:f>
        <x:v>1527875</x:v>
      </x:c>
    </x:row>
    <x:row r="233">
      <x:c r="A233" t="str">
        <x:f>IFERROR(XLOOKUP(B233,'_曲线基线'!$G$3:$G$107,'_曲线基线'!$J$3:$J$107,""),"")</x:f>
      </x:c>
      <x:c r="B233" t="n">
        <x:v>222</x:v>
      </x:c>
      <x:c r="C233" t="n">
        <x:f>C218+1</x:f>
        <x:v>16</x:v>
      </x:c>
      <x:c r="D233" t="n">
        <x:f>D218</x:f>
        <x:v>3</x:v>
      </x:c>
      <x:c r="E233" t="n">
        <x:f>IF($B233&lt;E$8,0,E$3+(E$4-E$3)*(POWER(E$5,$B233-E$8)-1)/(POWER(E$5,$C$5-E$8)-1))</x:f>
        <x:v>1</x:v>
      </x:c>
      <x:c r="F233" t="n">
        <x:f>1+IF(B233&lt;3,0,MIN(1,(B233-2)/4))+IF(B233&lt;7,0,MIN(1,(B233-6)/3))+IF(B233&lt;10,0,MIN(1,(B233-9)/5))+IF(B233&lt;20,0,MIN(1,(B233-19)/10))</x:f>
        <x:v>5</x:v>
      </x:c>
      <x:c r="G233" t="n">
        <x:f>IF($B233&lt;G$8,0,G$3+(G$4-G$3)*(POWER(G$5,$B233-G$8)-1)/(POWER(G$5,$C$5-G$8)-1))</x:f>
        <x:v>0.8813050361126438</x:v>
      </x:c>
      <x:c r="H233" t="n">
        <x:f>IF($B233&lt;H$8,0,H$3+(H$4-H$3)*(POWER(H$5,$B233-H$8)-1)/(POWER(H$5,$C$5-H$8)-1))</x:f>
        <x:v>0.6928031055874092</x:v>
      </x:c>
      <x:c r="I233" t="n">
        <x:f>IF($B233&lt;I$8,0,I$3+(I$4-I$3)*(POWER(I$5,$B233-I$8)-1)/(POWER(I$5,$C$5-I$8)-1))</x:f>
        <x:v>0.6314955682283581</x:v>
      </x:c>
      <x:c r="J233" t="n">
        <x:f>IF($B233&lt;J$8,0,J$3+(J$4-J$3)*(POWER(J$5,$B233-J$8)-1)/(POWER(J$5,$C$5-J$8)-1))</x:f>
        <x:v>0.5914617365516293</x:v>
      </x:c>
      <x:c r="K233" t="n">
        <x:f>IF($B233&lt;K$8,0,K$3+(K$4-K$3)*(POWER(K$5,$B233-K$8)-1)/(POWER(K$5,$C$5-K$8)-1))</x:f>
        <x:v>0.6111587428239156</x:v>
      </x:c>
      <x:c r="L233" t="n">
        <x:f>IF($B233&lt;L$8,0,L$3+(L$4-L$3)*(POWER(L$5,$B233-L$8)-1)/(POWER(L$5,$C$5-L$8)-1))</x:f>
        <x:v>0.6926555177738937</x:v>
      </x:c>
      <x:c r="M233" t="n">
        <x:f>E233*'模块规划'!$F$10+G233*'模块规划'!$F$11+H233*'模块规划'!$F$13</x:f>
        <x:v>5230.26417334069</x:v>
      </x:c>
      <x:c r="N233" t="n">
        <x:f>I233*'模块规划'!$F$15+J233*'模块规划'!$F$17+K233*'模块规划'!$F$16+L233*'模块规划'!$F$18</x:f>
        <x:v>18096.81195715612</x:v>
      </x:c>
      <x:c r="O233" t="n">
        <x:f>1+O$9*SUMPRODUCT($H$10:$L$10,H233:L233)/SUM($H$10:$L$10)</x:f>
        <x:v>3.365662896331591</x:v>
      </x:c>
      <x:c r="P233" t="n">
        <x:f>M233*O233+N233</x:f>
        <x:v>35700.1180233813</x:v>
      </x:c>
      <x:c r="Q233" t="n">
        <x:f>P233/(P233+'_曲线基线'!$L$2)</x:f>
        <x:v>0.5979907444973476</x:v>
      </x:c>
      <x:c r="R233" t="n">
        <x:f>E233*'模块规划'!$E$10+G233*'模块规划'!$E$11+H233*'模块规划'!$E$13</x:f>
        <x:v>7845.396260011035</x:v>
      </x:c>
      <x:c r="S233" t="n">
        <x:f>I233*'模块规划'!$E$15+J233*'模块规划'!$E$17+K233*'模块规划'!$E$16+L233*'模块规划'!$E$18</x:f>
        <x:v>27145.21793573418</x:v>
      </x:c>
      <x:c r="T233" t="n">
        <x:f>1+T$9*SUMPRODUCT($H$10:$L$10,H233:L233)/SUM($H$10:$L$10)</x:f>
        <x:v>3.365662896331591</x:v>
      </x:c>
      <x:c r="U233" t="n">
        <x:f>R233*T233+S233</x:f>
        <x:v>53550.17703507196</x:v>
      </x:c>
      <x:c r="V233" t="n">
        <x:f>V$8+(V$9-V$8)*H233</x:f>
        <x:v>0.9078409316762228</x:v>
      </x:c>
      <x:c r="W233" t="n">
        <x:f>IF(B233&lt;$H$8,0,W$8+(W$9-W$8)*H233)</x:f>
        <x:v>0.2771212422349637</x:v>
      </x:c>
      <x:c r="X233" t="n">
        <x:f>X$8+(X$9-X$8)*H233</x:f>
        <x:v>0.46552085403653753</x:v>
      </x:c>
      <x:c r="Y233" t="n">
        <x:f>Y$8+(Y$9-Y$8)*G233</x:f>
        <x:v>1</x:v>
      </x:c>
      <x:c r="Z233" t="n">
        <x:f>Z$8+(Z$9-Z$8)*H233</x:f>
        <x:v>1</x:v>
      </x:c>
      <x:c r="AA233" t="n">
        <x:f>AA$8+(AA$9-AA$8)*I233</x:f>
        <x:v>1</x:v>
      </x:c>
      <x:c r="AB233" t="n">
        <x:f>AB$8+(AB$9-AB$8)*J233</x:f>
        <x:v>1</x:v>
      </x:c>
      <x:c r="AC233" t="n">
        <x:f>AC$8+(AC$9-AC$8)*MAX(K233,L233)</x:f>
        <x:v>1</x:v>
      </x:c>
      <x:c r="AD233" t="n">
        <x:f>(V233*AE233+W233*AF233+X233*AG233)*PRODUCT(Y233:AC233)</x:f>
        <x:v>1.8805976918221678</x:v>
      </x:c>
      <x:c r="AE233" t="n">
        <x:f>1+AE$9*($H$10*H233+$I$10*I233+$J$10*J233+$K$10*K233+$L$10*L233)</x:f>
        <x:v>1</x:v>
      </x:c>
      <x:c r="AF233" t="n">
        <x:f>1+AF$9*($H$10*H233+$I$10*I233+$J$10*J233+$K$10*K233+$L$10*L233)</x:f>
        <x:v>1.2087913001620596</x:v>
      </x:c>
      <x:c r="AG233" t="n">
        <x:f>1+AG$9*($H$10*H233+$I$10*I233+$J$10*J233+$K$10*K233+$L$10*L233)</x:f>
        <x:v>1.3700245819538752</x:v>
      </x:c>
      <x:c r="AH233" t="n">
        <x:f>MIN(1,'_曲线基线'!$L$3+AH$9*($H$10*H233+$I$10*I233+$J$10*J233+$K$10*K233+$L$10*L233))</x:f>
        <x:v>0.5250002078686851</x:v>
      </x:c>
      <x:c r="AI233" t="n">
        <x:f>'_曲线基线'!$L$4+AI$9*($H$10*H233+$I$10*I233+$J$10*J233+$K$10*K233+$L$10*L233)</x:f>
        <x:v>3.323214864777051</x:v>
      </x:c>
      <x:c r="AJ233" t="n">
        <x:f>1+AJ$9*($H$10*H233+$I$10*I233+$J$10*J233+$K$10*K233+$L$10*L233)</x:f>
        <x:v>2.085714760842709</x:v>
      </x:c>
      <x:c r="AK233" t="n">
        <x:f>(1+AH233*(AI233-1))*AJ233</x:f>
        <x:v>4.629636624522844</x:v>
      </x:c>
      <x:c r="AL233" t="n">
        <x:f>U233*AD233*AK233*F233</x:f>
        <x:v>2331168.7843917627</x:v>
      </x:c>
      <x:c r="AM233" t="n">
        <x:f>IF($B233&lt;AM$8,0,AM$3+(AM$4-AM$3)*(POWER(AM$5,$B233-AM$8)-1)/(POWER(AM$5,$C$5-AM$8)-1))</x:f>
        <x:v>45.761461781991216</x:v>
      </x:c>
      <x:c r="AN233" t="n">
        <x:f>(((E233*'模块规划'!$D$10+G233*'模块规划'!$D$11+H233*'模块规划'!$D$13)*(1+'模块规划'!$G$14*H233)+(I233*'模块规划'!$D$15+J233*'模块规划'!$D$17+K233*'模块规划'!$D$16+L233*'模块规划'!$D$18))*(1+'模块规划'!$J$17*J233))*F233/(1-Q233)</x:f>
        <x:v>2827011.701731677</x:v>
      </x:c>
      <x:c r="AO233" t="n">
        <x:f>AL233*AM233</x:f>
        <x:v>106677691.23431456</x:v>
      </x:c>
      <x:c r="AP233" t="n">
        <x:f>IF(AO233="","",INDEX('_曲线基线'!$A$3:$A$502,MIN(ROWS('_曲线基线'!$A$3:$A$502),COUNTIF('_曲线基线'!$E$3:$E$502,"&lt;"&amp;AO233)+1)))</x:f>
        <x:v>298</x:v>
      </x:c>
      <x:c r="AQ233" t="n">
        <x:f>IF(B233&lt;=2,1,IF(B233&lt;=6,2,IF(B233&lt;=9,3,IF(B233&lt;=19,4,5))))</x:f>
        <x:v>5</x:v>
      </x:c>
      <x:c r="AR233" t="n">
        <x:f>AN233*(1-Q233)/F233*$AS$3+U233*$AS$4+P233*$AS$5</x:f>
        <x:v>17528.94462407702</x:v>
      </x:c>
      <x:c r="AS233" t="n">
        <x:f>1+AH233*$AS$6+AI233*$AS$7+(AJ233-1)*$AS$8+($H$10*H233+$I$10*I233+$J$10*J233+$K$10*K233+$L$10*L233)*$AU$3*$AS$9+($H$10*H233+$I$10*I233+$J$10*J233+$K$10*K233+$L$10*L233)*$AU$4*$AS$10</x:f>
        <x:v>17.45709742379786</x:v>
      </x:c>
      <x:c r="AT233" t="n">
        <x:f>ROUND(AR233*AS233,0)</x:f>
        <x:v>306004</x:v>
      </x:c>
      <x:c r="AU233" t="n">
        <x:f>ROUND(AT233*F233,0)</x:f>
        <x:v>1530020</x:v>
      </x:c>
    </x:row>
    <x:row r="234">
      <x:c r="A234" t="str">
        <x:f>IFERROR(XLOOKUP(B234,'_曲线基线'!$G$3:$G$107,'_曲线基线'!$J$3:$J$107,""),"")</x:f>
      </x:c>
      <x:c r="B234" t="n">
        <x:v>223</x:v>
      </x:c>
      <x:c r="C234" t="n">
        <x:f>C219+1</x:f>
        <x:v>16</x:v>
      </x:c>
      <x:c r="D234" t="n">
        <x:f>D219</x:f>
        <x:v>4</x:v>
      </x:c>
      <x:c r="E234" t="n">
        <x:f>IF($B234&lt;E$8,0,E$3+(E$4-E$3)*(POWER(E$5,$B234-E$8)-1)/(POWER(E$5,$C$5-E$8)-1))</x:f>
        <x:v>1</x:v>
      </x:c>
      <x:c r="F234" t="n">
        <x:f>1+IF(B234&lt;3,0,MIN(1,(B234-2)/4))+IF(B234&lt;7,0,MIN(1,(B234-6)/3))+IF(B234&lt;10,0,MIN(1,(B234-9)/5))+IF(B234&lt;20,0,MIN(1,(B234-19)/10))</x:f>
        <x:v>5</x:v>
      </x:c>
      <x:c r="G234" t="n">
        <x:f>IF($B234&lt;G$8,0,G$3+(G$4-G$3)*(POWER(G$5,$B234-G$8)-1)/(POWER(G$5,$C$5-G$8)-1))</x:f>
        <x:v>0.8817906510254501</x:v>
      </x:c>
      <x:c r="H234" t="n">
        <x:f>IF($B234&lt;H$8,0,H$3+(H$4-H$3)*(POWER(H$5,$B234-H$8)-1)/(POWER(H$5,$C$5-H$8)-1))</x:f>
        <x:v>0.6930135857151724</x:v>
      </x:c>
      <x:c r="I234" t="n">
        <x:f>IF($B234&lt;I$8,0,I$3+(I$4-I$3)*(POWER(I$5,$B234-I$8)-1)/(POWER(I$5,$C$5-I$8)-1))</x:f>
        <x:v>0.6320367482068591</x:v>
      </x:c>
      <x:c r="J234" t="n">
        <x:f>IF($B234&lt;J$8,0,J$3+(J$4-J$3)*(POWER(J$5,$B234-J$8)-1)/(POWER(J$5,$C$5-J$8)-1))</x:f>
        <x:v>0.5917114463123205</x:v>
      </x:c>
      <x:c r="K234" t="n">
        <x:f>IF($B234&lt;K$8,0,K$3+(K$4-K$3)*(POWER(K$5,$B234-K$8)-1)/(POWER(K$5,$C$5-K$8)-1))</x:f>
        <x:v>0.6122946929024109</x:v>
      </x:c>
      <x:c r="L234" t="n">
        <x:f>IF($B234&lt;L$8,0,L$3+(L$4-L$3)*(POWER(L$5,$B234-L$8)-1)/(POWER(L$5,$C$5-L$8)-1))</x:f>
        <x:v>0.6928703142498014</x:v>
      </x:c>
      <x:c r="M234" t="n">
        <x:f>E234*'模块规划'!$F$10+G234*'模块规划'!$F$11+H234*'模块规划'!$F$13</x:f>
        <x:v>5232.595124922161</x:v>
      </x:c>
      <x:c r="N234" t="n">
        <x:f>I234*'模块规划'!$F$15+J234*'模块规划'!$F$17+K234*'模块规划'!$F$16+L234*'模块规划'!$F$18</x:f>
        <x:v>18111.528177441553</x:v>
      </x:c>
      <x:c r="O234" t="n">
        <x:f>1+O$9*SUMPRODUCT($H$10:$L$10,H234:L234)/SUM($H$10:$L$10)</x:f>
        <x:v>3.367286917916095</x:v>
      </x:c>
      <x:c r="P234" t="n">
        <x:f>M234*O234+N234</x:f>
        <x:v>35731.177288343475</x:v>
      </x:c>
      <x:c r="Q234" t="n">
        <x:f>P234/(P234+'_曲线基线'!$L$2)</x:f>
        <x:v>0.5981997829350738</x:v>
      </x:c>
      <x:c r="R234" t="n">
        <x:f>E234*'模块规划'!$E$10+G234*'模块规划'!$E$11+H234*'模块规划'!$E$13</x:f>
        <x:v>7848.892687383241</x:v>
      </x:c>
      <x:c r="S234" t="n">
        <x:f>I234*'模块规划'!$E$15+J234*'模块规划'!$E$17+K234*'模块规划'!$E$16+L234*'模块规划'!$E$18</x:f>
        <x:v>27167.292266162327</x:v>
      </x:c>
      <x:c r="T234" t="n">
        <x:f>1+T$9*SUMPRODUCT($H$10:$L$10,H234:L234)/SUM($H$10:$L$10)</x:f>
        <x:v>3.367286917916095</x:v>
      </x:c>
      <x:c r="U234" t="n">
        <x:f>R234*T234+S234</x:f>
        <x:v>53596.76593251522</x:v>
      </x:c>
      <x:c r="V234" t="n">
        <x:f>V$8+(V$9-V$8)*H234</x:f>
        <x:v>0.9079040757145517</x:v>
      </x:c>
      <x:c r="W234" t="n">
        <x:f>IF(B234&lt;$H$8,0,W$8+(W$9-W$8)*H234)</x:f>
        <x:v>0.277205434286069</x:v>
      </x:c>
      <x:c r="X234" t="n">
        <x:f>X$8+(X$9-X$8)*H234</x:f>
        <x:v>0.46557873607167244</x:v>
      </x:c>
      <x:c r="Y234" t="n">
        <x:f>Y$8+(Y$9-Y$8)*G234</x:f>
        <x:v>1</x:v>
      </x:c>
      <x:c r="Z234" t="n">
        <x:f>Z$8+(Z$9-Z$8)*H234</x:f>
        <x:v>1</x:v>
      </x:c>
      <x:c r="AA234" t="n">
        <x:f>AA$8+(AA$9-AA$8)*I234</x:f>
        <x:v>1</x:v>
      </x:c>
      <x:c r="AB234" t="n">
        <x:f>AB$8+(AB$9-AB$8)*J234</x:f>
        <x:v>1</x:v>
      </x:c>
      <x:c r="AC234" t="n">
        <x:f>AC$8+(AC$9-AC$8)*MAX(K234,L234)</x:f>
        <x:v>1</x:v>
      </x:c>
      <x:c r="AD234" t="n">
        <x:f>(V234*AE234+W234*AF234+X234*AG234)*PRODUCT(Y234:AC234)</x:f>
        <x:v>1.8809999061950085</x:v>
      </x:c>
      <x:c r="AE234" t="n">
        <x:f>1+AE$9*($H$10*H234+$I$10*I234+$J$10*J234+$K$10*K234+$L$10*L234)</x:f>
        <x:v>1</x:v>
      </x:c>
      <x:c r="AF234" t="n">
        <x:f>1+AF$9*($H$10*H234+$I$10*I234+$J$10*J234+$K$10*K234+$L$10*L234)</x:f>
        <x:v>1.208934634860611</x:v>
      </x:c>
      <x:c r="AG234" t="n">
        <x:f>1+AG$9*($H$10*H234+$I$10*I234+$J$10*J234+$K$10*K234+$L$10*L234)</x:f>
        <x:v>1.3702786028918634</x:v>
      </x:c>
      <x:c r="AH234" t="n">
        <x:f>MIN(1,'_曲线基线'!$L$3+AH$9*($H$10*H234+$I$10*I234+$J$10*J234+$K$10*K234+$L$10*L234))</x:f>
        <x:v>0.5253262943078896</x:v>
      </x:c>
      <x:c r="AI234" t="n">
        <x:f>'_曲线基线'!$L$4+AI$9*($H$10*H234+$I$10*I234+$J$10*J234+$K$10*K234+$L$10*L234)</x:f>
        <x:v>3.324123248429121</x:v>
      </x:c>
      <x:c r="AJ234" t="n">
        <x:f>1+AJ$9*($H$10*H234+$I$10*I234+$J$10*J234+$K$10*K234+$L$10*L234)</x:f>
        <x:v>2.0864601012751764</x:v>
      </x:c>
      <x:c r="AK234" t="n">
        <x:f>(1+AH234*(AI234-1))*AJ234</x:f>
        <x:v>4.633867339363844</x:v>
      </x:c>
      <x:c r="AL234" t="n">
        <x:f>U234*AD234*AK234*F234</x:f>
        <x:v>2335828.534640554</x:v>
      </x:c>
      <x:c r="AM234" t="n">
        <x:f>IF($B234&lt;AM$8,0,AM$3+(AM$4-AM$3)*(POWER(AM$5,$B234-AM$8)-1)/(POWER(AM$5,$C$5-AM$8)-1))</x:f>
        <x:v>45.882501039733</x:v>
      </x:c>
      <x:c r="AN234" t="n">
        <x:f>(((E234*'模块规划'!$D$10+G234*'模块规划'!$D$11+H234*'模块规划'!$D$13)*(1+'模块规划'!$G$14*H234)+(I234*'模块规划'!$D$15+J234*'模块规划'!$D$17+K234*'模块规划'!$D$16+L234*'模块规划'!$D$18))*(1+'模块规划'!$J$17*J234))*F234/(1-Q234)</x:f>
        <x:v>2831052.1052350444</x:v>
      </x:c>
      <x:c r="AO234" t="n">
        <x:f>AL234*AM234</x:f>
        <x:v>107173655.16928323</x:v>
      </x:c>
      <x:c r="AP234" t="n">
        <x:f>IF(AO234="","",INDEX('_曲线基线'!$A$3:$A$502,MIN(ROWS('_曲线基线'!$A$3:$A$502),COUNTIF('_曲线基线'!$E$3:$E$502,"&lt;"&amp;AO234)+1)))</x:f>
        <x:v>299</x:v>
      </x:c>
      <x:c r="AQ234" t="n">
        <x:f>IF(B234&lt;=2,1,IF(B234&lt;=6,2,IF(B234&lt;=9,3,IF(B234&lt;=19,4,5))))</x:f>
        <x:v>5</x:v>
      </x:c>
      <x:c r="AR234" t="n">
        <x:f>AN234*(1-Q234)/F234*$AS$3+U234*$AS$4+P234*$AS$5</x:f>
        <x:v>17544.457288936384</x:v>
      </x:c>
      <x:c r="AS234" t="n">
        <x:f>1+AH234*$AS$6+AI234*$AS$7+(AJ234-1)*$AS$8+($H$10*H234+$I$10*I234+$J$10*J234+$K$10*K234+$L$10*L234)*$AU$3*$AS$9+($H$10*H234+$I$10*I234+$J$10*J234+$K$10*K234+$L$10*L234)*$AU$4*$AS$10</x:f>
        <x:v>17.46566183490036</x:v>
      </x:c>
      <x:c r="AT234" t="n">
        <x:f>ROUND(AR234*AS234,0)</x:f>
        <x:v>306426</x:v>
      </x:c>
      <x:c r="AU234" t="n">
        <x:f>ROUND(AT234*F234,0)</x:f>
        <x:v>1532130</x:v>
      </x:c>
    </x:row>
    <x:row r="235">
      <x:c r="A235" t="str">
        <x:f>IFERROR(XLOOKUP(B235,'_曲线基线'!$G$3:$G$107,'_曲线基线'!$J$3:$J$107,""),"")</x:f>
      </x:c>
      <x:c r="B235" t="n">
        <x:v>224</x:v>
      </x:c>
      <x:c r="C235" t="n">
        <x:f>C220+1</x:f>
        <x:v>16</x:v>
      </x:c>
      <x:c r="D235" t="n">
        <x:f>D220</x:f>
        <x:v>5</x:v>
      </x:c>
      <x:c r="E235" t="n">
        <x:f>IF($B235&lt;E$8,0,E$3+(E$4-E$3)*(POWER(E$5,$B235-E$8)-1)/(POWER(E$5,$C$5-E$8)-1))</x:f>
        <x:v>1</x:v>
      </x:c>
      <x:c r="F235" t="n">
        <x:f>1+IF(B235&lt;3,0,MIN(1,(B235-2)/4))+IF(B235&lt;7,0,MIN(1,(B235-6)/3))+IF(B235&lt;10,0,MIN(1,(B235-9)/5))+IF(B235&lt;20,0,MIN(1,(B235-19)/10))</x:f>
        <x:v>5</x:v>
      </x:c>
      <x:c r="G235" t="n">
        <x:f>IF($B235&lt;G$8,0,G$3+(G$4-G$3)*(POWER(G$5,$B235-G$8)-1)/(POWER(G$5,$C$5-G$8)-1))</x:f>
        <x:v>0.882268981714564</x:v>
      </x:c>
      <x:c r="H235" t="n">
        <x:f>IF($B235&lt;H$8,0,H$3+(H$4-H$3)*(POWER(H$5,$B235-H$8)-1)/(POWER(H$5,$C$5-H$8)-1))</x:f>
        <x:v>0.6932198562403802</x:v>
      </x:c>
      <x:c r="I235" t="n">
        <x:f>IF($B235&lt;I$8,0,I$3+(I$4-I$3)*(POWER(I$5,$B235-I$8)-1)/(POWER(I$5,$C$5-I$8)-1))</x:f>
        <x:v>0.6325671045857901</x:v>
      </x:c>
      <x:c r="J235" t="n">
        <x:f>IF($B235&lt;J$8,0,J$3+(J$4-J$3)*(POWER(J$5,$B235-J$8)-1)/(POWER(J$5,$C$5-J$8)-1))</x:f>
        <x:v>0.5919561618777981</x:v>
      </x:c>
      <x:c r="K235" t="n">
        <x:f>IF($B235&lt;K$8,0,K$3+(K$4-K$3)*(POWER(K$5,$B235-K$8)-1)/(POWER(K$5,$C$5-K$8)-1))</x:f>
        <x:v>0.6134079239793363</x:v>
      </x:c>
      <x:c r="L235" t="n">
        <x:f>IF($B235&lt;L$8,0,L$3+(L$4-L$3)*(POWER(L$5,$B235-L$8)-1)/(POWER(L$5,$C$5-L$8)-1))</x:f>
        <x:v>0.6930808147961911</x:v>
      </x:c>
      <x:c r="M235" t="n">
        <x:f>E235*'模块规划'!$F$10+G235*'模块规划'!$F$11+H235*'模块规划'!$F$13</x:f>
        <x:v>5234.891112229908</x:v>
      </x:c>
      <x:c r="N235" t="n">
        <x:f>I235*'模块规划'!$F$15+J235*'模块规划'!$F$17+K235*'模块规划'!$F$16+L235*'模块规划'!$F$18</x:f>
        <x:v>18125.950073321277</x:v>
      </x:c>
      <x:c r="O235" t="n">
        <x:f>1+O$9*SUMPRODUCT($H$10:$L$10,H235:L235)/SUM($H$10:$L$10)</x:f>
        <x:v>3.3688784590689096</x:v>
      </x:c>
      <x:c r="P235" t="n">
        <x:f>M235*O235+N235</x:f>
        <x:v>35761.6619768839</x:v>
      </x:c>
      <x:c r="Q235" t="n">
        <x:f>P235/(P235+'_曲线基线'!$L$2)</x:f>
        <x:v>0.5984047430059205</x:v>
      </x:c>
      <x:c r="R235" t="n">
        <x:f>E235*'模块规划'!$E$10+G235*'模块规划'!$E$11+H235*'模块规划'!$E$13</x:f>
        <x:v>7852.336668344861</x:v>
      </x:c>
      <x:c r="S235" t="n">
        <x:f>I235*'模块规划'!$E$15+J235*'模块规划'!$E$17+K235*'模块规划'!$E$16+L235*'模块规划'!$E$18</x:f>
        <x:v>27188.925109981912</x:v>
      </x:c>
      <x:c r="T235" t="n">
        <x:f>1+T$9*SUMPRODUCT($H$10:$L$10,H235:L235)/SUM($H$10:$L$10)</x:f>
        <x:v>3.3688784590689096</x:v>
      </x:c>
      <x:c r="U235" t="n">
        <x:f>R235*T235+S235</x:f>
        <x:v>53642.492965325844</x:v>
      </x:c>
      <x:c r="V235" t="n">
        <x:f>V$8+(V$9-V$8)*H235</x:f>
        <x:v>0.907965956872114</x:v>
      </x:c>
      <x:c r="W235" t="n">
        <x:f>IF(B235&lt;$H$8,0,W$8+(W$9-W$8)*H235)</x:f>
        <x:v>0.2772879424961521</x:v>
      </x:c>
      <x:c r="X235" t="n">
        <x:f>X$8+(X$9-X$8)*H235</x:f>
        <x:v>0.4656354604661046</x:v>
      </x:c>
      <x:c r="Y235" t="n">
        <x:f>Y$8+(Y$9-Y$8)*G235</x:f>
        <x:v>1</x:v>
      </x:c>
      <x:c r="Z235" t="n">
        <x:f>Z$8+(Z$9-Z$8)*H235</x:f>
        <x:v>1</x:v>
      </x:c>
      <x:c r="AA235" t="n">
        <x:f>AA$8+(AA$9-AA$8)*I235</x:f>
        <x:v>1</x:v>
      </x:c>
      <x:c r="AB235" t="n">
        <x:f>AB$8+(AB$9-AB$8)*J235</x:f>
        <x:v>1</x:v>
      </x:c>
      <x:c r="AC235" t="n">
        <x:f>AC$8+(AC$9-AC$8)*MAX(K235,L235)</x:f>
        <x:v>1</x:v>
      </x:c>
      <x:c r="AD235" t="n">
        <x:f>(V235*AE235+W235*AF235+X235*AG235)*PRODUCT(Y235:AC235)</x:f>
        <x:v>1.881394128226629</x:v>
      </x:c>
      <x:c r="AE235" t="n">
        <x:f>1+AE$9*($H$10*H235+$I$10*I235+$J$10*J235+$K$10*K235+$L$10*L235)</x:f>
        <x:v>1</x:v>
      </x:c>
      <x:c r="AF235" t="n">
        <x:f>1+AF$9*($H$10*H235+$I$10*I235+$J$10*J235+$K$10*K235+$L$10*L235)</x:f>
        <x:v>1.2090751028651914</x:v>
      </x:c>
      <x:c r="AG235" t="n">
        <x:f>1+AG$9*($H$10*H235+$I$10*I235+$J$10*J235+$K$10*K235+$L$10*L235)</x:f>
        <x:v>1.370527543411092</x:v>
      </x:c>
      <x:c r="AH235" t="n">
        <x:f>MIN(1,'_曲线基线'!$L$3+AH$9*($H$10*H235+$I$10*I235+$J$10*J235+$K$10*K235+$L$10*L235))</x:f>
        <x:v>0.5256458590183098</x:v>
      </x:c>
      <x:c r="AI235" t="n">
        <x:f>'_曲线基线'!$L$4+AI$9*($H$10*H235+$I$10*I235+$J$10*J235+$K$10*K235+$L$10*L235)</x:f>
        <x:v>3.325013464408149</x:v>
      </x:c>
      <x:c r="AJ235" t="n">
        <x:f>1+AJ$9*($H$10*H235+$I$10*I235+$J$10*J235+$K$10*K235+$L$10*L235)</x:f>
        <x:v>2.087190534898994</x:v>
      </x:c>
      <x:c r="AK235" t="n">
        <x:f>(1+AH235*(AI235-1))*AJ235</x:f>
        <x:v>4.638016425352277</x:v>
      </x:c>
      <x:c r="AL235" t="n">
        <x:f>U235*AD235*AK235*F235</x:f>
        <x:v>2340405.0356301926</x:v>
      </x:c>
      <x:c r="AM235" t="n">
        <x:f>IF($B235&lt;AM$8,0,AM$3+(AM$4-AM$3)*(POWER(AM$5,$B235-AM$8)-1)/(POWER(AM$5,$C$5-AM$8)-1))</x:f>
        <x:v>46.00475069005219</x:v>
      </x:c>
      <x:c r="AN235" t="n">
        <x:f>(((E235*'模块规划'!$D$10+G235*'模块规划'!$D$11+H235*'模块规划'!$D$13)*(1+'模块规划'!$G$14*H235)+(I235*'模块规划'!$D$15+J235*'模块规划'!$D$17+K235*'模块规划'!$D$16+L235*'模块规划'!$D$18))*(1+'模块规划'!$J$17*J235))*F235/(1-Q235)</x:f>
        <x:v>2835019.3162927832</x:v>
      </x:c>
      <x:c r="AO235" t="n">
        <x:f>AL235*AM235</x:f>
        <x:v>107669750.17790973</x:v>
      </x:c>
      <x:c r="AP235" t="n">
        <x:f>IF(AO235="","",INDEX('_曲线基线'!$A$3:$A$502,MIN(ROWS('_曲线基线'!$A$3:$A$502),COUNTIF('_曲线基线'!$E$3:$E$502,"&lt;"&amp;AO235)+1)))</x:f>
        <x:v>299</x:v>
      </x:c>
      <x:c r="AQ235" t="n">
        <x:f>IF(B235&lt;=2,1,IF(B235&lt;=6,2,IF(B235&lt;=9,3,IF(B235&lt;=19,4,5))))</x:f>
        <x:v>5</x:v>
      </x:c>
      <x:c r="AR235" t="n">
        <x:f>AN235*(1-Q235)/F235*$AS$3+U235*$AS$4+P235*$AS$5</x:f>
        <x:v>17559.680458523846</x:v>
      </x:c>
      <x:c r="AS235" t="n">
        <x:f>1+AH235*$AS$6+AI235*$AS$7+(AJ235-1)*$AS$8+($H$10*H235+$I$10*I235+$J$10*J235+$K$10*K235+$L$10*L235)*$AU$3*$AS$9+($H$10*H235+$I$10*I235+$J$10*J235+$K$10*K235+$L$10*L235)*$AU$4*$AS$10</x:f>
        <x:v>17.4740549577808</x:v>
      </x:c>
      <x:c r="AT235" t="n">
        <x:f>ROUND(AR235*AS235,0)</x:f>
        <x:v>306839</x:v>
      </x:c>
      <x:c r="AU235" t="n">
        <x:f>ROUND(AT235*F235,0)</x:f>
        <x:v>1534195</x:v>
      </x:c>
    </x:row>
    <x:row r="236">
      <x:c r="A236" t="str">
        <x:f>IFERROR(XLOOKUP(B236,'_曲线基线'!$G$3:$G$107,'_曲线基线'!$J$3:$J$107,""),"")</x:f>
      </x:c>
      <x:c r="B236" t="n">
        <x:v>225</x:v>
      </x:c>
      <x:c r="C236" t="n">
        <x:f>C221+1</x:f>
        <x:v>16</x:v>
      </x:c>
      <x:c r="D236" t="n">
        <x:f>D221</x:f>
        <x:v>6</x:v>
      </x:c>
      <x:c r="E236" t="n">
        <x:f>IF($B236&lt;E$8,0,E$3+(E$4-E$3)*(POWER(E$5,$B236-E$8)-1)/(POWER(E$5,$C$5-E$8)-1))</x:f>
        <x:v>1</x:v>
      </x:c>
      <x:c r="F236" t="n">
        <x:f>1+IF(B236&lt;3,0,MIN(1,(B236-2)/4))+IF(B236&lt;7,0,MIN(1,(B236-6)/3))+IF(B236&lt;10,0,MIN(1,(B236-9)/5))+IF(B236&lt;20,0,MIN(1,(B236-19)/10))</x:f>
        <x:v>5</x:v>
      </x:c>
      <x:c r="G236" t="n">
        <x:f>IF($B236&lt;G$8,0,G$3+(G$4-G$3)*(POWER(G$5,$B236-G$8)-1)/(POWER(G$5,$C$5-G$8)-1))</x:f>
        <x:v>0.8827401374433413</x:v>
      </x:c>
      <x:c r="H236" t="n">
        <x:f>IF($B236&lt;H$8,0,H$3+(H$4-H$3)*(POWER(H$5,$B236-H$8)-1)/(POWER(H$5,$C$5-H$8)-1))</x:f>
        <x:v>0.693422001355084</x:v>
      </x:c>
      <x:c r="I236" t="n">
        <x:f>IF($B236&lt;I$8,0,I$3+(I$4-I$3)*(POWER(I$5,$B236-I$8)-1)/(POWER(I$5,$C$5-I$8)-1))</x:f>
        <x:v>0.6330868538371425</x:v>
      </x:c>
      <x:c r="J236" t="n">
        <x:f>IF($B236&lt;J$8,0,J$3+(J$4-J$3)*(POWER(J$5,$B236-J$8)-1)/(POWER(J$5,$C$5-J$8)-1))</x:f>
        <x:v>0.592195983131966</x:v>
      </x:c>
      <x:c r="K236" t="n">
        <x:f>IF($B236&lt;K$8,0,K$3+(K$4-K$3)*(POWER(K$5,$B236-K$8)-1)/(POWER(K$5,$C$5-K$8)-1))</x:f>
        <x:v>0.614498890434723</x:v>
      </x:c>
      <x:c r="L236" t="n">
        <x:f>IF($B236&lt;L$8,0,L$3+(L$4-L$3)*(POWER(L$5,$B236-L$8)-1)/(POWER(L$5,$C$5-L$8)-1))</x:f>
        <x:v>0.6932871053316529</x:v>
      </x:c>
      <x:c r="M236" t="n">
        <x:f>E236*'模块规划'!$F$10+G236*'模块规划'!$F$11+H236*'模块规划'!$F$13</x:f>
        <x:v>5237.152659728038</x:v>
      </x:c>
      <x:c r="N236" t="n">
        <x:f>I236*'模块规划'!$F$15+J236*'模块规划'!$F$17+K236*'模块规划'!$F$16+L236*'模块规划'!$F$18</x:f>
        <x:v>18140.083531283402</x:v>
      </x:c>
      <x:c r="O236" t="n">
        <x:f>1+O$9*SUMPRODUCT($H$10:$L$10,H236:L236)/SUM($H$10:$L$10)</x:f>
        <x:v>3.3704381693986676</x:v>
      </x:c>
      <x:c r="P236" t="n">
        <x:f>M236*O236+N236</x:f>
        <x:v>35791.58275459854</x:v>
      </x:c>
      <x:c r="Q236" t="n">
        <x:f>P236/(P236+'_曲线基线'!$L$2)</x:f>
        <x:v>0.5986057084572799</x:v>
      </x:c>
      <x:c r="R236" t="n">
        <x:f>E236*'模块规划'!$E$10+G236*'模块规划'!$E$11+H236*'模块规划'!$E$13</x:f>
        <x:v>7855.728989592058</x:v>
      </x:c>
      <x:c r="S236" t="n">
        <x:f>I236*'模块规划'!$E$15+J236*'模块规划'!$E$17+K236*'模块规划'!$E$16+L236*'模块规划'!$E$18</x:f>
        <x:v>27210.125296925104</x:v>
      </x:c>
      <x:c r="T236" t="n">
        <x:f>1+T$9*SUMPRODUCT($H$10:$L$10,H236:L236)/SUM($H$10:$L$10)</x:f>
        <x:v>3.3704381693986676</x:v>
      </x:c>
      <x:c r="U236" t="n">
        <x:f>R236*T236+S236</x:f>
        <x:v>53687.3741318978</x:v>
      </x:c>
      <x:c r="V236" t="n">
        <x:f>V$8+(V$9-V$8)*H236</x:f>
        <x:v>0.9080266004065252</x:v>
      </x:c>
      <x:c r="W236" t="n">
        <x:f>IF(B236&lt;$H$8,0,W$8+(W$9-W$8)*H236)</x:f>
        <x:v>0.2773688005420336</x:v>
      </x:c>
      <x:c r="X236" t="n">
        <x:f>X$8+(X$9-X$8)*H236</x:f>
        <x:v>0.46569105037264813</x:v>
      </x:c>
      <x:c r="Y236" t="n">
        <x:f>Y$8+(Y$9-Y$8)*G236</x:f>
        <x:v>1</x:v>
      </x:c>
      <x:c r="Z236" t="n">
        <x:f>Z$8+(Z$9-Z$8)*H236</x:f>
        <x:v>1</x:v>
      </x:c>
      <x:c r="AA236" t="n">
        <x:f>AA$8+(AA$9-AA$8)*I236</x:f>
        <x:v>1</x:v>
      </x:c>
      <x:c r="AB236" t="n">
        <x:f>AB$8+(AB$9-AB$8)*J236</x:f>
        <x:v>1</x:v>
      </x:c>
      <x:c r="AC236" t="n">
        <x:f>AC$8+(AC$9-AC$8)*MAX(K236,L236)</x:f>
        <x:v>1</x:v>
      </x:c>
      <x:c r="AD236" t="n">
        <x:f>(V236*AE236+W236*AF236+X236*AG236)*PRODUCT(Y236:AC236)</x:f>
        <x:v>1.881780515706784</x:v>
      </x:c>
      <x:c r="AE236" t="n">
        <x:f>1+AE$9*($H$10*H236+$I$10*I236+$J$10*J236+$K$10*K236+$L$10*L236)</x:f>
        <x:v>1</x:v>
      </x:c>
      <x:c r="AF236" t="n">
        <x:f>1+AF$9*($H$10*H236+$I$10*I236+$J$10*J236+$K$10*K236+$L$10*L236)</x:f>
        <x:v>1.2092127615096802</x:v>
      </x:c>
      <x:c r="AG236" t="n">
        <x:f>1+AG$9*($H$10*H236+$I$10*I236+$J$10*J236+$K$10*K236+$L$10*L236)</x:f>
        <x:v>1.370771505119936</x:v>
      </x:c>
      <x:c r="AH236" t="n">
        <x:f>MIN(1,'_曲线基线'!$L$3+AH$9*($H$10*H236+$I$10*I236+$J$10*J236+$K$10*K236+$L$10*L236))</x:f>
        <x:v>0.5259590324345218</x:v>
      </x:c>
      <x:c r="AI236" t="n">
        <x:f>'_曲线基线'!$L$4+AI$9*($H$10*H236+$I$10*I236+$J$10*J236+$K$10*K236+$L$10*L236)</x:f>
        <x:v>3.3258858760675967</x:v>
      </x:c>
      <x:c r="AJ236" t="n">
        <x:f>1+AJ$9*($H$10*H236+$I$10*I236+$J$10*J236+$K$10*K236+$L$10*L236)</x:f>
        <x:v>2.0879063598503356</x:v>
      </x:c>
      <x:c r="AK236" t="n">
        <x:f>(1+AH236*(AI236-1))*AJ236</x:f>
        <x:v>4.642085398051385</x:v>
      </x:c>
      <x:c r="AL236" t="n">
        <x:f>U236*AD236*AK236*F236</x:f>
        <x:v>2344899.642731477</x:v>
      </x:c>
      <x:c r="AM236" t="n">
        <x:f>IF($B236&lt;AM$8,0,AM$3+(AM$4-AM$3)*(POWER(AM$5,$B236-AM$8)-1)/(POWER(AM$5,$C$5-AM$8)-1))</x:f>
        <x:v>46.128222836874585</x:v>
      </x:c>
      <x:c r="AN236" t="n">
        <x:f>(((E236*'模块规划'!$D$10+G236*'模块规划'!$D$11+H236*'模块规划'!$D$13)*(1+'模块规划'!$G$14*H236)+(I236*'模块规划'!$D$15+J236*'模块规划'!$D$17+K236*'模块规划'!$D$16+L236*'模块规划'!$D$18))*(1+'模块规划'!$J$17*J236))*F236/(1-Q236)</x:f>
        <x:v>2838914.6067133187</x:v>
      </x:c>
      <x:c r="AO236" t="n">
        <x:f>AL236*AM236</x:f>
        <x:v>108166053.25002517</x:v>
      </x:c>
      <x:c r="AP236" t="n">
        <x:f>IF(AO236="","",INDEX('_曲线基线'!$A$3:$A$502,MIN(ROWS('_曲线基线'!$A$3:$A$502),COUNTIF('_曲线基线'!$E$3:$E$502,"&lt;"&amp;AO236)+1)))</x:f>
        <x:v>299</x:v>
      </x:c>
      <x:c r="AQ236" t="n">
        <x:f>IF(B236&lt;=2,1,IF(B236&lt;=6,2,IF(B236&lt;=9,3,IF(B236&lt;=19,4,5))))</x:f>
        <x:v>5</x:v>
      </x:c>
      <x:c r="AR236" t="n">
        <x:f>AN236*(1-Q236)/F236*$AS$3+U236*$AS$4+P236*$AS$5</x:f>
        <x:v>17574.619530251395</x:v>
      </x:c>
      <x:c r="AS236" t="n">
        <x:f>1+AH236*$AS$6+AI236*$AS$7+(AJ236-1)*$AS$8+($H$10*H236+$I$10*I236+$J$10*J236+$K$10*K236+$L$10*L236)*$AU$3*$AS$9+($H$10*H236+$I$10*I236+$J$10*J236+$K$10*K236+$L$10*L236)*$AU$4*$AS$10</x:f>
        <x:v>17.48228021820364</x:v>
      </x:c>
      <x:c r="AT236" t="n">
        <x:f>ROUND(AR236*AS236,0)</x:f>
        <x:v>307244</x:v>
      </x:c>
      <x:c r="AU236" t="n">
        <x:f>ROUND(AT236*F236,0)</x:f>
        <x:v>1536220</x:v>
      </x:c>
    </x:row>
    <x:row r="237">
      <x:c r="A237" t="str">
        <x:f>IFERROR(XLOOKUP(B237,'_曲线基线'!$G$3:$G$107,'_曲线基线'!$J$3:$J$107,""),"")</x:f>
      </x:c>
      <x:c r="B237" t="n">
        <x:v>226</x:v>
      </x:c>
      <x:c r="C237" t="n">
        <x:f>C222+1</x:f>
        <x:v>16</x:v>
      </x:c>
      <x:c r="D237" t="n">
        <x:f>D222</x:f>
        <x:v>7</x:v>
      </x:c>
      <x:c r="E237" t="n">
        <x:f>IF($B237&lt;E$8,0,E$3+(E$4-E$3)*(POWER(E$5,$B237-E$8)-1)/(POWER(E$5,$C$5-E$8)-1))</x:f>
        <x:v>1</x:v>
      </x:c>
      <x:c r="F237" t="n">
        <x:f>1+IF(B237&lt;3,0,MIN(1,(B237-2)/4))+IF(B237&lt;7,0,MIN(1,(B237-6)/3))+IF(B237&lt;10,0,MIN(1,(B237-9)/5))+IF(B237&lt;20,0,MIN(1,(B237-19)/10))</x:f>
        <x:v>5</x:v>
      </x:c>
      <x:c r="G237" t="n">
        <x:f>IF($B237&lt;G$8,0,G$3+(G$4-G$3)*(POWER(G$5,$B237-G$8)-1)/(POWER(G$5,$C$5-G$8)-1))</x:f>
        <x:v>0.8832042258361872</x:v>
      </x:c>
      <x:c r="H237" t="n">
        <x:f>IF($B237&lt;H$8,0,H$3+(H$4-H$3)*(POWER(H$5,$B237-H$8)-1)/(POWER(H$5,$C$5-H$8)-1))</x:f>
        <x:v>0.6936201035674936</x:v>
      </x:c>
      <x:c r="I237" t="n">
        <x:f>IF($B237&lt;I$8,0,I$3+(I$4-I$3)*(POWER(I$5,$B237-I$8)-1)/(POWER(I$5,$C$5-I$8)-1))</x:f>
        <x:v>0.6335962081034678</x:v>
      </x:c>
      <x:c r="J237" t="n">
        <x:f>IF($B237&lt;J$8,0,J$3+(J$4-J$3)*(POWER(J$5,$B237-J$8)-1)/(POWER(J$5,$C$5-J$8)-1))</x:f>
        <x:v>0.5924310079610505</x:v>
      </x:c>
      <x:c r="K237" t="n">
        <x:f>IF($B237&lt;K$8,0,K$3+(K$4-K$3)*(POWER(K$5,$B237-K$8)-1)/(POWER(K$5,$C$5-K$8)-1))</x:f>
        <x:v>0.6155680375610021</x:v>
      </x:c>
      <x:c r="L237" t="n">
        <x:f>IF($B237&lt;L$8,0,L$3+(L$4-L$3)*(POWER(L$5,$B237-L$8)-1)/(POWER(L$5,$C$5-L$8)-1))</x:f>
        <x:v>0.6934892700564056</x:v>
      </x:c>
      <x:c r="M237" t="n">
        <x:f>E237*'模块规划'!$F$10+G237*'模块规划'!$F$11+H237*'模块规划'!$F$13</x:f>
        <x:v>5239.380284013699</x:v>
      </x:c>
      <x:c r="N237" t="n">
        <x:f>I237*'模块规划'!$F$15+J237*'模块规划'!$F$17+K237*'模块规划'!$F$16+L237*'模块规划'!$F$18</x:f>
        <x:v>18153.93432008629</x:v>
      </x:c>
      <x:c r="O237" t="n">
        <x:f>1+O$9*SUMPRODUCT($H$10:$L$10,H237:L237)/SUM($H$10:$L$10)</x:f>
        <x:v>3.37196668552183</x:v>
      </x:c>
      <x:c r="P237" t="n">
        <x:f>M237*O237+N237</x:f>
        <x:v>35820.950090560385</x:v>
      </x:c>
      <x:c r="Q237" t="n">
        <x:f>P237/(P237+'_曲线基线'!$L$2)</x:f>
        <x:v>0.5988027611786937</x:v>
      </x:c>
      <x:c r="R237" t="n">
        <x:f>E237*'模块规划'!$E$10+G237*'模块规划'!$E$11+H237*'模块规划'!$E$13</x:f>
        <x:v>7859.0704260205475</x:v>
      </x:c>
      <x:c r="S237" t="n">
        <x:f>I237*'模块规划'!$E$15+J237*'模块规划'!$E$17+K237*'模块规划'!$E$16+L237*'模块规划'!$E$18</x:f>
        <x:v>27230.901480129432</x:v>
      </x:c>
      <x:c r="T237" t="n">
        <x:f>1+T$9*SUMPRODUCT($H$10:$L$10,H237:L237)/SUM($H$10:$L$10)</x:f>
        <x:v>3.37196668552183</x:v>
      </x:c>
      <x:c r="U237" t="n">
        <x:f>R237*T237+S237</x:f>
        <x:v>53731.425135840575</x:v>
      </x:c>
      <x:c r="V237" t="n">
        <x:f>V$8+(V$9-V$8)*H237</x:f>
        <x:v>0.9080860310702481</x:v>
      </x:c>
      <x:c r="W237" t="n">
        <x:f>IF(B237&lt;$H$8,0,W$8+(W$9-W$8)*H237)</x:f>
        <x:v>0.27744804142699747</x:v>
      </x:c>
      <x:c r="X237" t="n">
        <x:f>X$8+(X$9-X$8)*H237</x:f>
        <x:v>0.46574552848106077</x:v>
      </x:c>
      <x:c r="Y237" t="n">
        <x:f>Y$8+(Y$9-Y$8)*G237</x:f>
        <x:v>1</x:v>
      </x:c>
      <x:c r="Z237" t="n">
        <x:f>Z$8+(Z$9-Z$8)*H237</x:f>
        <x:v>1</x:v>
      </x:c>
      <x:c r="AA237" t="n">
        <x:f>AA$8+(AA$9-AA$8)*I237</x:f>
        <x:v>1</x:v>
      </x:c>
      <x:c r="AB237" t="n">
        <x:f>AB$8+(AB$9-AB$8)*J237</x:f>
        <x:v>1</x:v>
      </x:c>
      <x:c r="AC237" t="n">
        <x:f>AC$8+(AC$9-AC$8)*MAX(K237,L237)</x:f>
        <x:v>1</x:v>
      </x:c>
      <x:c r="AD237" t="n">
        <x:f>(V237*AE237+W237*AF237+X237*AG237)*PRODUCT(Y237:AC237)</x:f>
        <x:v>1.8821592233508908</x:v>
      </x:c>
      <x:c r="AE237" t="n">
        <x:f>1+AE$9*($H$10*H237+$I$10*I237+$J$10*J237+$K$10*K237+$L$10*L237)</x:f>
        <x:v>1</x:v>
      </x:c>
      <x:c r="AF237" t="n">
        <x:f>1+AF$9*($H$10*H237+$I$10*I237+$J$10*J237+$K$10*K237+$L$10*L237)</x:f>
        <x:v>1.209347666981279</x:v>
      </x:c>
      <x:c r="AG237" t="n">
        <x:f>1+AG$9*($H$10*H237+$I$10*I237+$J$10*J237+$K$10*K237+$L$10*L237)</x:f>
        <x:v>1.371010587594603</x:v>
      </x:c>
      <x:c r="AH237" t="n">
        <x:f>MIN(1,'_曲线基线'!$L$3+AH$9*($H$10*H237+$I$10*I237+$J$10*J237+$K$10*K237+$L$10*L237))</x:f>
        <x:v>0.5262659423824094</x:v>
      </x:c>
      <x:c r="AI237" t="n">
        <x:f>'_曲线基线'!$L$4+AI$9*($H$10*H237+$I$10*I237+$J$10*J237+$K$10*K237+$L$10*L237)</x:f>
        <x:v>3.326740839493855</x:v>
      </x:c>
      <x:c r="AJ237" t="n">
        <x:f>1+AJ$9*($H$10*H237+$I$10*I237+$J$10*J237+$K$10*K237+$L$10*L237)</x:f>
        <x:v>2.0886078683026503</x:v>
      </x:c>
      <x:c r="AK237" t="n">
        <x:f>(1+AH237*(AI237-1))*AJ237</x:f>
        <x:v>4.646075747275743</x:v>
      </x:c>
      <x:c r="AL237" t="n">
        <x:f>U237*AD237*AK237*F237</x:f>
        <x:v>2349313.6947021796</x:v>
      </x:c>
      <x:c r="AM237" t="n">
        <x:f>IF($B237&lt;AM$8,0,AM$3+(AM$4-AM$3)*(POWER(AM$5,$B237-AM$8)-1)/(POWER(AM$5,$C$5-AM$8)-1))</x:f>
        <x:v>46.2529297051652</x:v>
      </x:c>
      <x:c r="AN237" t="n">
        <x:f>(((E237*'模块规划'!$D$10+G237*'模块规划'!$D$11+H237*'模块规划'!$D$13)*(1+'模块规划'!$G$14*H237)+(I237*'模块规划'!$D$15+J237*'模块规划'!$D$17+K237*'模块规划'!$D$16+L237*'模块规划'!$D$18))*(1+'模块规划'!$J$17*J237))*F237/(1-Q237)</x:f>
        <x:v>2842739.228624063</x:v>
      </x:c>
      <x:c r="AO237" t="n">
        <x:f>AL237*AM237</x:f>
        <x:v>108662641.17644185</x:v>
      </x:c>
      <x:c r="AP237" t="n">
        <x:f>IF(AO237="","",INDEX('_曲线基线'!$A$3:$A$502,MIN(ROWS('_曲线基线'!$A$3:$A$502),COUNTIF('_曲线基线'!$E$3:$E$502,"&lt;"&amp;AO237)+1)))</x:f>
        <x:v>300</x:v>
      </x:c>
      <x:c r="AQ237" t="n">
        <x:f>IF(B237&lt;=2,1,IF(B237&lt;=6,2,IF(B237&lt;=9,3,IF(B237&lt;=19,4,5))))</x:f>
        <x:v>5</x:v>
      </x:c>
      <x:c r="AR237" t="n">
        <x:f>AN237*(1-Q237)/F237*$AS$3+U237*$AS$4+P237*$AS$5</x:f>
        <x:v>17589.27980244602</x:v>
      </x:c>
      <x:c r="AS237" t="n">
        <x:f>1+AH237*$AS$6+AI237*$AS$7+(AJ237-1)*$AS$8+($H$10*H237+$I$10*I237+$J$10*J237+$K$10*K237+$L$10*L237)*$AU$3*$AS$9+($H$10*H237+$I$10*I237+$J$10*J237+$K$10*K237+$L$10*L237)*$AU$4*$AS$10</x:f>
        <x:v>17.49034097341802</x:v>
      </x:c>
      <x:c r="AT237" t="n">
        <x:f>ROUND(AR237*AS237,0)</x:f>
        <x:v>307643</x:v>
      </x:c>
      <x:c r="AU237" t="n">
        <x:f>ROUND(AT237*F237,0)</x:f>
        <x:v>1538215</x:v>
      </x:c>
    </x:row>
    <x:row r="238">
      <x:c r="A238" t="str">
        <x:f>IFERROR(XLOOKUP(B238,'_曲线基线'!$G$3:$G$107,'_曲线基线'!$J$3:$J$107,""),"")</x:f>
      </x:c>
      <x:c r="B238" t="n">
        <x:v>227</x:v>
      </x:c>
      <x:c r="C238" t="n">
        <x:f>C223+1</x:f>
        <x:v>16</x:v>
      </x:c>
      <x:c r="D238" t="n">
        <x:f>D223</x:f>
        <x:v>8</x:v>
      </x:c>
      <x:c r="E238" t="n">
        <x:f>IF($B238&lt;E$8,0,E$3+(E$4-E$3)*(POWER(E$5,$B238-E$8)-1)/(POWER(E$5,$C$5-E$8)-1))</x:f>
        <x:v>1</x:v>
      </x:c>
      <x:c r="F238" t="n">
        <x:f>1+IF(B238&lt;3,0,MIN(1,(B238-2)/4))+IF(B238&lt;7,0,MIN(1,(B238-6)/3))+IF(B238&lt;10,0,MIN(1,(B238-9)/5))+IF(B238&lt;20,0,MIN(1,(B238-19)/10))</x:f>
        <x:v>5</x:v>
      </x:c>
      <x:c r="G238" t="n">
        <x:f>IF($B238&lt;G$8,0,G$3+(G$4-G$3)*(POWER(G$5,$B238-G$8)-1)/(POWER(G$5,$C$5-G$8)-1))</x:f>
        <x:v>0.8836613529031402</x:v>
      </x:c>
      <x:c r="H238" t="n">
        <x:f>IF($B238&lt;H$8,0,H$3+(H$4-H$3)*(POWER(H$5,$B238-H$8)-1)/(POWER(H$5,$C$5-H$8)-1))</x:f>
        <x:v>0.6938142437356551</x:v>
      </x:c>
      <x:c r="I238" t="n">
        <x:f>IF($B238&lt;I$8,0,I$3+(I$4-I$3)*(POWER(I$5,$B238-I$8)-1)/(POWER(I$5,$C$5-I$8)-1))</x:f>
        <x:v>0.6340953752844666</x:v>
      </x:c>
      <x:c r="J238" t="n">
        <x:f>IF($B238&lt;J$8,0,J$3+(J$4-J$3)*(POWER(J$5,$B238-J$8)-1)/(POWER(J$5,$C$5-J$8)-1))</x:f>
        <x:v>0.5926613322935533</x:v>
      </x:c>
      <x:c r="K238" t="n">
        <x:f>IF($B238&lt;K$8,0,K$3+(K$4-K$3)*(POWER(K$5,$B238-K$8)-1)/(POWER(K$5,$C$5-K$8)-1))</x:f>
        <x:v>0.6166158017447557</x:v>
      </x:c>
      <x:c r="L238" t="n">
        <x:f>IF($B238&lt;L$8,0,L$3+(L$4-L$3)*(POWER(L$5,$B238-L$8)-1)/(POWER(L$5,$C$5-L$8)-1))</x:f>
        <x:v>0.6936873914866631</x:v>
      </x:c>
      <x:c r="M238" t="n">
        <x:f>E238*'模块规划'!$F$10+G238*'模块规划'!$F$11+H238*'模块规划'!$F$13</x:f>
        <x:v>5241.5744939350725</x:v>
      </x:c>
      <x:c r="N238" t="n">
        <x:f>I238*'模块规划'!$F$15+J238*'模块规划'!$F$17+K238*'模块规划'!$F$16+L238*'模块规划'!$F$18</x:f>
        <x:v>18167.508093113116</x:v>
      </x:c>
      <x:c r="O238" t="n">
        <x:f>1+O$9*SUMPRODUCT($H$10:$L$10,H238:L238)/SUM($H$10:$L$10)</x:f>
        <x:v>3.3734646313225296</x:v>
      </x:c>
      <x:c r="P238" t="n">
        <x:f>M238*O238+N238</x:f>
        <x:v>35849.77426084537</x:v>
      </x:c>
      <x:c r="Q238" t="n">
        <x:f>P238/(P238+'_曲线基线'!$L$2)</x:f>
        <x:v>0.5989959812479834</x:v>
      </x:c>
      <x:c r="R238" t="n">
        <x:f>E238*'模块规划'!$E$10+G238*'模块规划'!$E$11+H238*'模块规划'!$E$13</x:f>
        <x:v>7862.361740902609</x:v>
      </x:c>
      <x:c r="S238" t="n">
        <x:f>I238*'模块规划'!$E$15+J238*'模块规划'!$E$17+K238*'模块规划'!$E$16+L238*'模块规划'!$E$18</x:f>
        <x:v>27251.26213966967</x:v>
      </x:c>
      <x:c r="T238" t="n">
        <x:f>1+T$9*SUMPRODUCT($H$10:$L$10,H238:L238)/SUM($H$10:$L$10)</x:f>
        <x:v>3.3734646313225296</x:v>
      </x:c>
      <x:c r="U238" t="n">
        <x:f>R238*T238+S238</x:f>
        <x:v>53774.66139126805</x:v>
      </x:c>
      <x:c r="V238" t="n">
        <x:f>V$8+(V$9-V$8)*H238</x:f>
        <x:v>0.9081442731206966</x:v>
      </x:c>
      <x:c r="W238" t="n">
        <x:f>IF(B238&lt;$H$8,0,W$8+(W$9-W$8)*H238)</x:f>
        <x:v>0.2775256974942621</x:v>
      </x:c>
      <x:c r="X238" t="n">
        <x:f>X$8+(X$9-X$8)*H238</x:f>
        <x:v>0.4657989170273052</x:v>
      </x:c>
      <x:c r="Y238" t="n">
        <x:f>Y$8+(Y$9-Y$8)*G238</x:f>
        <x:v>1</x:v>
      </x:c>
      <x:c r="Z238" t="n">
        <x:f>Z$8+(Z$9-Z$8)*H238</x:f>
        <x:v>1</x:v>
      </x:c>
      <x:c r="AA238" t="n">
        <x:f>AA$8+(AA$9-AA$8)*I238</x:f>
        <x:v>1</x:v>
      </x:c>
      <x:c r="AB238" t="n">
        <x:f>AB$8+(AB$9-AB$8)*J238</x:f>
        <x:v>1</x:v>
      </x:c>
      <x:c r="AC238" t="n">
        <x:f>AC$8+(AC$9-AC$8)*MAX(K238,L238)</x:f>
        <x:v>1</x:v>
      </x:c>
      <x:c r="AD238" t="n">
        <x:f>(V238*AE238+W238*AF238+X238*AG238)*PRODUCT(Y238:AC238)</x:f>
        <x:v>1.8825304028582939</x:v>
      </x:c>
      <x:c r="AE238" t="n">
        <x:f>1+AE$9*($H$10*H238+$I$10*I238+$J$10*J238+$K$10*K238+$L$10*L238)</x:f>
        <x:v>1</x:v>
      </x:c>
      <x:c r="AF238" t="n">
        <x:f>1+AF$9*($H$10*H238+$I$10*I238+$J$10*J238+$K$10*K238+$L$10*L238)</x:f>
        <x:v>1.209479874343446</x:v>
      </x:c>
      <x:c r="AG238" t="n">
        <x:f>1+AG$9*($H$10*H238+$I$10*I238+$J$10*J238+$K$10*K238+$L$10*L238)</x:f>
        <x:v>1.3712448884197768</x:v>
      </x:c>
      <x:c r="AH238" t="n">
        <x:f>MIN(1,'_曲线基线'!$L$3+AH$9*($H$10*H238+$I$10*I238+$J$10*J238+$K$10*K238+$L$10*L238))</x:f>
        <x:v>0.5265667141313394</x:v>
      </x:c>
      <x:c r="AI238" t="n">
        <x:f>'_曲线基线'!$L$4+AI$9*($H$10*H238+$I$10*I238+$J$10*J238+$K$10*K238+$L$10*L238)</x:f>
        <x:v>3.3275787036515885</x:v>
      </x:c>
      <x:c r="AJ238" t="n">
        <x:f>1+AJ$9*($H$10*H238+$I$10*I238+$J$10*J238+$K$10*K238+$L$10*L238)</x:f>
        <x:v>2.089295346585919</x:v>
      </x:c>
      <x:c r="AK238" t="n">
        <x:f>(1+AH238*(AI238-1))*AJ238</x:f>
        <x:v>4.649988937429745</x:v>
      </x:c>
      <x:c r="AL238" t="n">
        <x:f>U238*AD238*AK238*F238</x:f>
        <x:v>2353648.5136553585</x:v>
      </x:c>
      <x:c r="AM238" t="n">
        <x:f>IF($B238&lt;AM$8,0,AM$3+(AM$4-AM$3)*(POWER(AM$5,$B238-AM$8)-1)/(POWER(AM$5,$C$5-AM$8)-1))</x:f>
        <x:v>46.37888364213872</x:v>
      </x:c>
      <x:c r="AN238" t="n">
        <x:f>(((E238*'模块规划'!$D$10+G238*'模块规划'!$D$11+H238*'模块规划'!$D$13)*(1+'模块规划'!$G$14*H238)+(I238*'模块规划'!$D$15+J238*'模块规划'!$D$17+K238*'模块规划'!$D$16+L238*'模块规划'!$D$18))*(1+'模块规划'!$J$17*J238))*F238/(1-Q238)</x:f>
        <x:v>2846494.4146734257</x:v>
      </x:c>
      <x:c r="AO238" t="n">
        <x:f>AL238*AM238</x:f>
        <x:v>109159590.5493146</x:v>
      </x:c>
      <x:c r="AP238" t="n">
        <x:f>IF(AO238="","",INDEX('_曲线基线'!$A$3:$A$502,MIN(ROWS('_曲线基线'!$A$3:$A$502),COUNTIF('_曲线基线'!$E$3:$E$502,"&lt;"&amp;AO238)+1)))</x:f>
        <x:v>300</x:v>
      </x:c>
      <x:c r="AQ238" t="n">
        <x:f>IF(B238&lt;=2,1,IF(B238&lt;=6,2,IF(B238&lt;=9,3,IF(B238&lt;=19,4,5))))</x:f>
        <x:v>5</x:v>
      </x:c>
      <x:c r="AR238" t="n">
        <x:f>AN238*(1-Q238)/F238*$AS$3+U238*$AS$4+P238*$AS$5</x:f>
        <x:v>17603.66647608889</x:v>
      </x:c>
      <x:c r="AS238" t="n">
        <x:f>1+AH238*$AS$6+AI238*$AS$7+(AJ238-1)*$AS$8+($H$10*H238+$I$10*I238+$J$10*J238+$K$10*K238+$L$10*L238)*$AU$3*$AS$9+($H$10*H238+$I$10*I238+$J$10*J238+$K$10*K238+$L$10*L238)*$AU$4*$AS$10</x:f>
        <x:v>17.498240513528117</x:v>
      </x:c>
      <x:c r="AT238" t="n">
        <x:f>ROUND(AR238*AS238,0)</x:f>
        <x:v>308033</x:v>
      </x:c>
      <x:c r="AU238" t="n">
        <x:f>ROUND(AT238*F238,0)</x:f>
        <x:v>1540165</x:v>
      </x:c>
    </x:row>
    <x:row r="239">
      <x:c r="A239" t="str">
        <x:f>IFERROR(XLOOKUP(B239,'_曲线基线'!$G$3:$G$107,'_曲线基线'!$J$3:$J$107,""),"")</x:f>
      </x:c>
      <x:c r="B239" t="n">
        <x:v>228</x:v>
      </x:c>
      <x:c r="C239" t="n">
        <x:f>C224+1</x:f>
        <x:v>16</x:v>
      </x:c>
      <x:c r="D239" t="n">
        <x:f>D224</x:f>
        <x:v>9</x:v>
      </x:c>
      <x:c r="E239" t="n">
        <x:f>IF($B239&lt;E$8,0,E$3+(E$4-E$3)*(POWER(E$5,$B239-E$8)-1)/(POWER(E$5,$C$5-E$8)-1))</x:f>
        <x:v>1</x:v>
      </x:c>
      <x:c r="F239" t="n">
        <x:f>1+IF(B239&lt;3,0,MIN(1,(B239-2)/4))+IF(B239&lt;7,0,MIN(1,(B239-6)/3))+IF(B239&lt;10,0,MIN(1,(B239-9)/5))+IF(B239&lt;20,0,MIN(1,(B239-19)/10))</x:f>
        <x:v>5</x:v>
      </x:c>
      <x:c r="G239" t="n">
        <x:f>IF($B239&lt;G$8,0,G$3+(G$4-G$3)*(POWER(G$5,$B239-G$8)-1)/(POWER(G$5,$C$5-G$8)-1))</x:f>
        <x:v>0.884111623064089</x:v>
      </x:c>
      <x:c r="H239" t="n">
        <x:f>IF($B239&lt;H$8,0,H$3+(H$4-H$3)*(POWER(H$5,$B239-H$8)-1)/(POWER(H$5,$C$5-H$8)-1))</x:f>
        <x:v>0.6940045011004533</x:v>
      </x:c>
      <x:c r="I239" t="n">
        <x:f>IF($B239&lt;I$8,0,I$3+(I$4-I$3)*(POWER(I$5,$B239-I$8)-1)/(POWER(I$5,$C$5-I$8)-1))</x:f>
        <x:v>0.6345845591218455</x:v>
      </x:c>
      <x:c r="J239" t="n">
        <x:f>IF($B239&lt;J$8,0,J$3+(J$4-J$3)*(POWER(J$5,$B239-J$8)-1)/(POWER(J$5,$C$5-J$8)-1))</x:f>
        <x:v>0.5928870501394062</x:v>
      </x:c>
      <x:c r="K239" t="n">
        <x:f>IF($B239&lt;K$8,0,K$3+(K$4-K$3)*(POWER(K$5,$B239-K$8)-1)/(POWER(K$5,$C$5-K$8)-1))</x:f>
        <x:v>0.617642610644834</x:v>
      </x:c>
      <x:c r="L239" t="n">
        <x:f>IF($B239&lt;L$8,0,L$3+(L$4-L$3)*(POWER(L$5,$B239-L$8)-1)/(POWER(L$5,$C$5-L$8)-1))</x:f>
        <x:v>0.6938815504883156</x:v>
      </x:c>
      <x:c r="M239" t="n">
        <x:f>E239*'模块规划'!$F$10+G239*'模块规划'!$F$11+H239*'模块规划'!$F$13</x:f>
        <x:v>5243.735790707627</x:v>
      </x:c>
      <x:c r="N239" t="n">
        <x:f>I239*'模块规划'!$F$15+J239*'模块规划'!$F$17+K239*'模块规划'!$F$16+L239*'模块规划'!$F$18</x:f>
        <x:v>18180.81039067941</x:v>
      </x:c>
      <x:c r="O239" t="n">
        <x:f>1+O$9*SUMPRODUCT($H$10:$L$10,H239:L239)/SUM($H$10:$L$10)</x:f>
        <x:v>3.374932618207215</x:v>
      </x:c>
      <x:c r="P239" t="n">
        <x:f>M239*O239+N239</x:f>
        <x:v>35878.065351999176</x:v>
      </x:c>
      <x:c r="Q239" t="n">
        <x:f>P239/(P239+'_曲线基线'!$L$2)</x:f>
        <x:v>0.5991854469760569</x:v>
      </x:c>
      <x:c r="R239" t="n">
        <x:f>E239*'模块规划'!$E$10+G239*'模块规划'!$E$11+H239*'模块规划'!$E$13</x:f>
        <x:v>7865.60368606144</x:v>
      </x:c>
      <x:c r="S239" t="n">
        <x:f>I239*'模块规划'!$E$15+J239*'模块规划'!$E$17+K239*'模块规划'!$E$16+L239*'模块规划'!$E$18</x:f>
        <x:v>27271.21558601911</x:v>
      </x:c>
      <x:c r="T239" t="n">
        <x:f>1+T$9*SUMPRODUCT($H$10:$L$10,H239:L239)/SUM($H$10:$L$10)</x:f>
        <x:v>3.374932618207215</x:v>
      </x:c>
      <x:c r="U239" t="n">
        <x:f>R239*T239+S239</x:f>
        <x:v>53817.09802799877</x:v>
      </x:c>
      <x:c r="V239" t="n">
        <x:f>V$8+(V$9-V$8)*H239</x:f>
        <x:v>0.908201350330136</x:v>
      </x:c>
      <x:c r="W239" t="n">
        <x:f>IF(B239&lt;$H$8,0,W$8+(W$9-W$8)*H239)</x:f>
        <x:v>0.27760180044018135</x:v>
      </x:c>
      <x:c r="X239" t="n">
        <x:f>X$8+(X$9-X$8)*H239</x:f>
        <x:v>0.4658512378026247</x:v>
      </x:c>
      <x:c r="Y239" t="n">
        <x:f>Y$8+(Y$9-Y$8)*G239</x:f>
        <x:v>1</x:v>
      </x:c>
      <x:c r="Z239" t="n">
        <x:f>Z$8+(Z$9-Z$8)*H239</x:f>
        <x:v>1</x:v>
      </x:c>
      <x:c r="AA239" t="n">
        <x:f>AA$8+(AA$9-AA$8)*I239</x:f>
        <x:v>1</x:v>
      </x:c>
      <x:c r="AB239" t="n">
        <x:f>AB$8+(AB$9-AB$8)*J239</x:f>
        <x:v>1</x:v>
      </x:c>
      <x:c r="AC239" t="n">
        <x:f>AC$8+(AC$9-AC$8)*MAX(K239,L239)</x:f>
        <x:v>1</x:v>
      </x:c>
      <x:c r="AD239" t="n">
        <x:f>(V239*AE239+W239*AF239+X239*AG239)*PRODUCT(Y239:AC239)</x:f>
        <x:v>1.8828942029694864</x:v>
      </x:c>
      <x:c r="AE239" t="n">
        <x:f>1+AE$9*($H$10*H239+$I$10*I239+$J$10*J239+$K$10*K239+$L$10*L239)</x:f>
        <x:v>1</x:v>
      </x:c>
      <x:c r="AF239" t="n">
        <x:f>1+AF$9*($H$10*H239+$I$10*I239+$J$10*J239+$K$10*K239+$L$10*L239)</x:f>
        <x:v>1.2096094375583697</x:v>
      </x:c>
      <x:c r="AG239" t="n">
        <x:f>1+AG$9*($H$10*H239+$I$10*I239+$J$10*J239+$K$10*K239+$L$10*L239)</x:f>
        <x:v>1.371474503228447</x:v>
      </x:c>
      <x:c r="AH239" t="n">
        <x:f>MIN(1,'_曲线基线'!$L$3+AH$9*($H$10*H239+$I$10*I239+$J$10*J239+$K$10*K239+$L$10*L239))</x:f>
        <x:v>0.5268614704452906</x:v>
      </x:c>
      <x:c r="AI239" t="n">
        <x:f>'_曲线基线'!$L$4+AI$9*($H$10*H239+$I$10*I239+$J$10*J239+$K$10*K239+$L$10*L239)</x:f>
        <x:v>3.328399810526167</x:v>
      </x:c>
      <x:c r="AJ239" t="n">
        <x:f>1+AJ$9*($H$10*H239+$I$10*I239+$J$10*J239+$K$10*K239+$L$10*L239)</x:f>
        <x:v>2.0899690753035216</x:v>
      </x:c>
      <x:c r="AK239" t="n">
        <x:f>(1+AH239*(AI239-1))*AJ239</x:f>
        <x:v>4.653826407846045</x:v>
      </x:c>
      <x:c r="AL239" t="n">
        <x:f>U239*AD239*AK239*F239</x:f>
        <x:v>2357905.4050406353</x:v>
      </x:c>
      <x:c r="AM239" t="n">
        <x:f>IF($B239&lt;AM$8,0,AM$3+(AM$4-AM$3)*(POWER(AM$5,$B239-AM$8)-1)/(POWER(AM$5,$C$5-AM$8)-1))</x:f>
        <x:v>46.506097118481975</x:v>
      </x:c>
      <x:c r="AN239" t="n">
        <x:f>(((E239*'模块规划'!$D$10+G239*'模块规划'!$D$11+H239*'模块规划'!$D$13)*(1+'模块规划'!$G$14*H239)+(I239*'模块规划'!$D$15+J239*'模块规划'!$D$17+K239*'模块规划'!$D$16+L239*'模块规划'!$D$18))*(1+'模块规划'!$J$17*J239))*F239/(1-Q239)</x:f>
        <x:v>2850181.3782354705</x:v>
      </x:c>
      <x:c r="AO239" t="n">
        <x:f>AL239*AM239</x:f>
        <x:v>109656977.76301336</x:v>
      </x:c>
      <x:c r="AP239" t="n">
        <x:f>IF(AO239="","",INDEX('_曲线基线'!$A$3:$A$502,MIN(ROWS('_曲线基线'!$A$3:$A$502),COUNTIF('_曲线基线'!$E$3:$E$502,"&lt;"&amp;AO239)+1)))</x:f>
        <x:v>300</x:v>
      </x:c>
      <x:c r="AQ239" t="n">
        <x:f>IF(B239&lt;=2,1,IF(B239&lt;=6,2,IF(B239&lt;=9,3,IF(B239&lt;=19,4,5))))</x:f>
        <x:v>5</x:v>
      </x:c>
      <x:c r="AR239" t="n">
        <x:f>AN239*(1-Q239)/F239*$AS$3+U239*$AS$4+P239*$AS$5</x:f>
        <x:v>17617.784656527452</x:v>
      </x:c>
      <x:c r="AS239" t="n">
        <x:f>1+AH239*$AS$6+AI239*$AS$7+(AJ239-1)*$AS$8+($H$10*H239+$I$10*I239+$J$10*J239+$K$10*K239+$L$10*L239)*$AU$3*$AS$9+($H$10*H239+$I$10*I239+$J$10*J239+$K$10*K239+$L$10*L239)*$AU$4*$AS$10</x:f>
        <x:v>17.505982062836008</x:v>
      </x:c>
      <x:c r="AT239" t="n">
        <x:f>ROUND(AR239*AS239,0)</x:f>
        <x:v>308417</x:v>
      </x:c>
      <x:c r="AU239" t="n">
        <x:f>ROUND(AT239*F239,0)</x:f>
        <x:v>1542085</x:v>
      </x:c>
    </x:row>
    <x:row r="240">
      <x:c r="A240" t="str">
        <x:f>IFERROR(XLOOKUP(B240,'_曲线基线'!$G$3:$G$107,'_曲线基线'!$J$3:$J$107,""),"")</x:f>
      </x:c>
      <x:c r="B240" t="n">
        <x:v>229</x:v>
      </x:c>
      <x:c r="C240" t="n">
        <x:f>C225+1</x:f>
        <x:v>16</x:v>
      </x:c>
      <x:c r="D240" t="n">
        <x:f>D225</x:f>
        <x:v>10</x:v>
      </x:c>
      <x:c r="E240" t="n">
        <x:f>IF($B240&lt;E$8,0,E$3+(E$4-E$3)*(POWER(E$5,$B240-E$8)-1)/(POWER(E$5,$C$5-E$8)-1))</x:f>
        <x:v>1</x:v>
      </x:c>
      <x:c r="F240" t="n">
        <x:f>1+IF(B240&lt;3,0,MIN(1,(B240-2)/4))+IF(B240&lt;7,0,MIN(1,(B240-6)/3))+IF(B240&lt;10,0,MIN(1,(B240-9)/5))+IF(B240&lt;20,0,MIN(1,(B240-19)/10))</x:f>
        <x:v>5</x:v>
      </x:c>
      <x:c r="G240" t="n">
        <x:f>IF($B240&lt;G$8,0,G$3+(G$4-G$3)*(POWER(G$5,$B240-G$8)-1)/(POWER(G$5,$C$5-G$8)-1))</x:f>
        <x:v>0.8845551391726233</x:v>
      </x:c>
      <x:c r="H240" t="n">
        <x:f>IF($B240&lt;H$8,0,H$3+(H$4-H$3)*(POWER(H$5,$B240-H$8)-1)/(POWER(H$5,$C$5-H$8)-1))</x:f>
        <x:v>0.6941909533179557</x:v>
      </x:c>
      <x:c r="I240" t="n">
        <x:f>IF($B240&lt;I$8,0,I$3+(I$4-I$3)*(POWER(I$5,$B240-I$8)-1)/(POWER(I$5,$C$5-I$8)-1))</x:f>
        <x:v>0.6350639592824768</x:v>
      </x:c>
      <x:c r="J240" t="n">
        <x:f>IF($B240&lt;J$8,0,J$3+(J$4-J$3)*(POWER(J$5,$B240-J$8)-1)/(POWER(J$5,$C$5-J$8)-1))</x:f>
        <x:v>0.593108253628342</x:v>
      </x:c>
      <x:c r="K240" t="n">
        <x:f>IF($B240&lt;K$8,0,K$3+(K$4-K$3)*(POWER(K$5,$B240-K$8)-1)/(POWER(K$5,$C$5-K$8)-1))</x:f>
        <x:v>0.6186488833669109</x:v>
      </x:c>
      <x:c r="L240" t="n">
        <x:f>IF($B240&lt;L$8,0,L$3+(L$4-L$3)*(POWER(L$5,$B240-L$8)-1)/(POWER(L$5,$C$5-L$8)-1))</x:f>
        <x:v>0.6940718263099349</x:v>
      </x:c>
      <x:c r="M240" t="n">
        <x:f>E240*'模块规划'!$F$10+G240*'模块规划'!$F$11+H240*'模块规划'!$F$13</x:f>
        <x:v>5245.864668028592</x:v>
      </x:c>
      <x:c r="N240" t="n">
        <x:f>I240*'模块规划'!$F$15+J240*'模块规划'!$F$17+K240*'模块规划'!$F$16+L240*'模块规划'!$F$18</x:f>
        <x:v>18193.846642294375</x:v>
      </x:c>
      <x:c r="O240" t="n">
        <x:f>1+O$9*SUMPRODUCT($H$10:$L$10,H240:L240)/SUM($H$10:$L$10)</x:f>
        <x:v>3.3763712453542074</x:v>
      </x:c>
      <x:c r="P240" t="n">
        <x:f>M240*O240+N240</x:f>
        <x:v>35905.83326444571</x:v>
      </x:c>
      <x:c r="Q240" t="n">
        <x:f>P240/(P240+'_曲线基线'!$L$2)</x:f>
        <x:v>0.5993712349504356</x:v>
      </x:c>
      <x:c r="R240" t="n">
        <x:f>E240*'模块规划'!$E$10+G240*'模块规划'!$E$11+H240*'模块规划'!$E$13</x:f>
        <x:v>7868.7970020428875</x:v>
      </x:c>
      <x:c r="S240" t="n">
        <x:f>I240*'模块规划'!$E$15+J240*'模块规划'!$E$17+K240*'模块规划'!$E$16+L240*'模块规划'!$E$18</x:f>
        <x:v>27290.76996344156</x:v>
      </x:c>
      <x:c r="T240" t="n">
        <x:f>1+T$9*SUMPRODUCT($H$10:$L$10,H240:L240)/SUM($H$10:$L$10)</x:f>
        <x:v>3.3763712453542074</x:v>
      </x:c>
      <x:c r="U240" t="n">
        <x:f>R240*T240+S240</x:f>
        <x:v>53858.74989666855</x:v>
      </x:c>
      <x:c r="V240" t="n">
        <x:f>V$8+(V$9-V$8)*H240</x:f>
        <x:v>0.9082572859953867</x:v>
      </x:c>
      <x:c r="W240" t="n">
        <x:f>IF(B240&lt;$H$8,0,W$8+(W$9-W$8)*H240)</x:f>
        <x:v>0.27767638132718225</x:v>
      </x:c>
      <x:c r="X240" t="n">
        <x:f>X$8+(X$9-X$8)*H240</x:f>
        <x:v>0.46590251216243783</x:v>
      </x:c>
      <x:c r="Y240" t="n">
        <x:f>Y$8+(Y$9-Y$8)*G240</x:f>
        <x:v>1</x:v>
      </x:c>
      <x:c r="Z240" t="n">
        <x:f>Z$8+(Z$9-Z$8)*H240</x:f>
        <x:v>1</x:v>
      </x:c>
      <x:c r="AA240" t="n">
        <x:f>AA$8+(AA$9-AA$8)*I240</x:f>
        <x:v>1</x:v>
      </x:c>
      <x:c r="AB240" t="n">
        <x:f>AB$8+(AB$9-AB$8)*J240</x:f>
        <x:v>1</x:v>
      </x:c>
      <x:c r="AC240" t="n">
        <x:f>AC$8+(AC$9-AC$8)*MAX(K240,L240)</x:f>
        <x:v>1</x:v>
      </x:c>
      <x:c r="AD240" t="n">
        <x:f>(V240*AE240+W240*AF240+X240*AG240)*PRODUCT(Y240:AC240)</x:f>
        <x:v>1.8832507695223129</x:v>
      </x:c>
      <x:c r="AE240" t="n">
        <x:f>1+AE$9*($H$10*H240+$I$10*I240+$J$10*J240+$K$10*K240+$L$10*L240)</x:f>
        <x:v>1</x:v>
      </x:c>
      <x:c r="AF240" t="n">
        <x:f>1+AF$9*($H$10*H240+$I$10*I240+$J$10*J240+$K$10*K240+$L$10*L240)</x:f>
        <x:v>1.209736409508995</x:v>
      </x:c>
      <x:c r="AG240" t="n">
        <x:f>1+AG$9*($H$10*H240+$I$10*I240+$J$10*J240+$K$10*K240+$L$10*L240)</x:f>
        <x:v>1.371699525740944</x:v>
      </x:c>
      <x:c r="AH240" t="n">
        <x:f>MIN(1,'_曲线基线'!$L$3+AH$9*($H$10*H240+$I$10*I240+$J$10*J240+$K$10*K240+$L$10*L240))</x:f>
        <x:v>0.5271503316329631</x:v>
      </x:c>
      <x:c r="AI240" t="n">
        <x:f>'_曲线基线'!$L$4+AI$9*($H$10*H240+$I$10*I240+$J$10*J240+$K$10*K240+$L$10*L240)</x:f>
        <x:v>3.3292044952632542</x:v>
      </x:c>
      <x:c r="AJ240" t="n">
        <x:f>1+AJ$9*($H$10*H240+$I$10*I240+$J$10*J240+$K$10*K240+$L$10*L240)</x:f>
        <x:v>2.090629329446773</x:v>
      </x:c>
      <x:c r="AK240" t="n">
        <x:f>(1+AH240*(AI240-1))*AJ240</x:f>
        <x:v>4.657589573123752</x:v>
      </x:c>
      <x:c r="AL240" t="n">
        <x:f>U240*AD240*AK240*F240</x:f>
        <x:v>2362085.6576378113</x:v>
      </x:c>
      <x:c r="AM240" t="n">
        <x:f>IF($B240&lt;AM$8,0,AM$3+(AM$4-AM$3)*(POWER(AM$5,$B240-AM$8)-1)/(POWER(AM$5,$C$5-AM$8)-1))</x:f>
        <x:v>46.634582729588665</x:v>
      </x:c>
      <x:c r="AN240" t="n">
        <x:f>(((E240*'模块规划'!$D$10+G240*'模块规划'!$D$11+H240*'模块规划'!$D$13)*(1+'模块规划'!$G$14*H240)+(I240*'模块规划'!$D$15+J240*'模块规划'!$D$17+K240*'模块规划'!$D$16+L240*'模块规划'!$D$18))*(1+'模块规划'!$J$17*J240))*F240/(1-Q240)</x:f>
        <x:v>2853801.3136168933</x:v>
      </x:c>
      <x:c r="AO240" t="n">
        <x:f>AL240*AM240</x:f>
        <x:v>110154879.01548536</x:v>
      </x:c>
      <x:c r="AP240" t="n">
        <x:f>IF(AO240="","",INDEX('_曲线基线'!$A$3:$A$502,MIN(ROWS('_曲线基线'!$A$3:$A$502),COUNTIF('_曲线基线'!$E$3:$E$502,"&lt;"&amp;AO240)+1)))</x:f>
        <x:v>301</x:v>
      </x:c>
      <x:c r="AQ240" t="n">
        <x:f>IF(B240&lt;=2,1,IF(B240&lt;=6,2,IF(B240&lt;=9,3,IF(B240&lt;=19,4,5))))</x:f>
        <x:v>5</x:v>
      </x:c>
      <x:c r="AR240" t="n">
        <x:f>AN240*(1-Q240)/F240*$AS$3+U240*$AS$4+P240*$AS$5</x:f>
        <x:v>17631.639355160674</x:v>
      </x:c>
      <x:c r="AS240" t="n">
        <x:f>1+AH240*$AS$6+AI240*$AS$7+(AJ240-1)*$AS$8+($H$10*H240+$I$10*I240+$J$10*J240+$K$10*K240+$L$10*L240)*$AU$3*$AS$9+($H$10*H240+$I$10*I240+$J$10*J240+$K$10*K240+$L$10*L240)*$AU$4*$AS$10</x:f>
        <x:v>17.51356878115774</x:v>
      </x:c>
      <x:c r="AT240" t="n">
        <x:f>ROUND(AR240*AS240,0)</x:f>
        <x:v>308793</x:v>
      </x:c>
      <x:c r="AU240" t="n">
        <x:f>ROUND(AT240*F240,0)</x:f>
        <x:v>1543965</x:v>
      </x:c>
    </x:row>
    <x:row r="241">
      <x:c r="A241" t="str">
        <x:f>IFERROR(XLOOKUP(B241,'_曲线基线'!$G$3:$G$107,'_曲线基线'!$J$3:$J$107,""),"")</x:f>
      </x:c>
      <x:c r="B241" t="n">
        <x:v>230</x:v>
      </x:c>
      <x:c r="C241" t="n">
        <x:f>C226+1</x:f>
        <x:v>16</x:v>
      </x:c>
      <x:c r="D241" t="n">
        <x:f>D226</x:f>
        <x:v>11</x:v>
      </x:c>
      <x:c r="E241" t="n">
        <x:f>IF($B241&lt;E$8,0,E$3+(E$4-E$3)*(POWER(E$5,$B241-E$8)-1)/(POWER(E$5,$C$5-E$8)-1))</x:f>
        <x:v>1</x:v>
      </x:c>
      <x:c r="F241" t="n">
        <x:f>1+IF(B241&lt;3,0,MIN(1,(B241-2)/4))+IF(B241&lt;7,0,MIN(1,(B241-6)/3))+IF(B241&lt;10,0,MIN(1,(B241-9)/5))+IF(B241&lt;20,0,MIN(1,(B241-19)/10))</x:f>
        <x:v>5</x:v>
      </x:c>
      <x:c r="G241" t="n">
        <x:f>IF($B241&lt;G$8,0,G$3+(G$4-G$3)*(POWER(G$5,$B241-G$8)-1)/(POWER(G$5,$C$5-G$8)-1))</x:f>
        <x:v>0.8849920025395299</x:v>
      </x:c>
      <x:c r="H241" t="n">
        <x:f>IF($B241&lt;H$8,0,H$3+(H$4-H$3)*(POWER(H$5,$B241-H$8)-1)/(POWER(H$5,$C$5-H$8)-1))</x:f>
        <x:v>0.6943736764911079</x:v>
      </x:c>
      <x:c r="I241" t="n">
        <x:f>IF($B241&lt;I$8,0,I$3+(I$4-I$3)*(POWER(I$5,$B241-I$8)-1)/(POWER(I$5,$C$5-I$8)-1))</x:f>
        <x:v>0.6355337714398954</x:v>
      </x:c>
      <x:c r="J241" t="n">
        <x:f>IF($B241&lt;J$8,0,J$3+(J$4-J$3)*(POWER(J$5,$B241-J$8)-1)/(POWER(J$5,$C$5-J$8)-1))</x:f>
        <x:v>0.5933250330474991</x:v>
      </x:c>
      <x:c r="K241" t="n">
        <x:f>IF($B241&lt;K$8,0,K$3+(K$4-K$3)*(POWER(K$5,$B241-K$8)-1)/(POWER(K$5,$C$5-K$8)-1))</x:f>
        <x:v>0.6196350306345463</x:v>
      </x:c>
      <x:c r="L241" t="n">
        <x:f>IF($B241&lt;L$8,0,L$3+(L$4-L$3)*(POWER(L$5,$B241-L$8)-1)/(POWER(L$5,$C$5-L$8)-1))</x:f>
        <x:v>0.694258296615122</x:v>
      </x:c>
      <x:c r="M241" t="n">
        <x:f>E241*'模块规划'!$F$10+G241*'模块规划'!$F$11+H241*'模块规划'!$F$13</x:f>
        <x:v>5247.961612189743</x:v>
      </x:c>
      <x:c r="N241" t="n">
        <x:f>I241*'模块规划'!$F$15+J241*'模块规划'!$F$17+K241*'模块规划'!$F$16+L241*'模块规划'!$F$18</x:f>
        <x:v>18206.622168877042</x:v>
      </x:c>
      <x:c r="O241" t="n">
        <x:f>1+O$9*SUMPRODUCT($H$10:$L$10,H241:L241)/SUM($H$10:$L$10)</x:f>
        <x:v>3.377781099958259</x:v>
      </x:c>
      <x:c r="P241" t="n">
        <x:f>M241*O241+N241</x:f>
        <x:v>35933.08771583803</x:v>
      </x:c>
      <x:c r="Q241" t="n">
        <x:f>P241/(P241+'_曲线基线'!$L$2)</x:f>
        <x:v>0.5995534200775423</x:v>
      </x:c>
      <x:c r="R241" t="n">
        <x:f>E241*'模块规划'!$E$10+G241*'模块规划'!$E$11+H241*'模块规划'!$E$13</x:f>
        <x:v>7871.942418284615</x:v>
      </x:c>
      <x:c r="S241" t="n">
        <x:f>I241*'模块规划'!$E$15+J241*'模块规划'!$E$17+K241*'模块规划'!$E$16+L241*'模块规划'!$E$18</x:f>
        <x:v>27309.93325331556</x:v>
      </x:c>
      <x:c r="T241" t="n">
        <x:f>1+T$9*SUMPRODUCT($H$10:$L$10,H241:L241)/SUM($H$10:$L$10)</x:f>
        <x:v>3.377781099958259</x:v>
      </x:c>
      <x:c r="U241" t="n">
        <x:f>R241*T241+S241</x:f>
        <x:v>53899.63157375705</x:v>
      </x:c>
      <x:c r="V241" t="n">
        <x:f>V$8+(V$9-V$8)*H241</x:f>
        <x:v>0.9083121029473323</x:v>
      </x:c>
      <x:c r="W241" t="n">
        <x:f>IF(B241&lt;$H$8,0,W$8+(W$9-W$8)*H241)</x:f>
        <x:v>0.27774947059644317</x:v>
      </x:c>
      <x:c r="X241" t="n">
        <x:f>X$8+(X$9-X$8)*H241</x:f>
        <x:v>0.46595276103505473</x:v>
      </x:c>
      <x:c r="Y241" t="n">
        <x:f>Y$8+(Y$9-Y$8)*G241</x:f>
        <x:v>1</x:v>
      </x:c>
      <x:c r="Z241" t="n">
        <x:f>Z$8+(Z$9-Z$8)*H241</x:f>
        <x:v>1</x:v>
      </x:c>
      <x:c r="AA241" t="n">
        <x:f>AA$8+(AA$9-AA$8)*I241</x:f>
        <x:v>1</x:v>
      </x:c>
      <x:c r="AB241" t="n">
        <x:f>AB$8+(AB$9-AB$8)*J241</x:f>
        <x:v>1</x:v>
      </x:c>
      <x:c r="AC241" t="n">
        <x:f>AC$8+(AC$9-AC$8)*MAX(K241,L241)</x:f>
        <x:v>1</x:v>
      </x:c>
      <x:c r="AD241" t="n">
        <x:f>(V241*AE241+W241*AF241+X241*AG241)*PRODUCT(Y241:AC241)</x:f>
        <x:v>1.8836002455071639</x:v>
      </x:c>
      <x:c r="AE241" t="n">
        <x:f>1+AE$9*($H$10*H241+$I$10*I241+$J$10*J241+$K$10*K241+$L$10*L241)</x:f>
        <x:v>1</x:v>
      </x:c>
      <x:c r="AF241" t="n">
        <x:f>1+AF$9*($H$10*H241+$I$10*I241+$J$10*J241+$K$10*K241+$L$10*L241)</x:f>
        <x:v>1.2098608420206076</x:v>
      </x:c>
      <x:c r="AG241" t="n">
        <x:f>1+AG$9*($H$10*H241+$I$10*I241+$J$10*J241+$K$10*K241+$L$10*L241)</x:f>
        <x:v>1.3719200478031908</x:v>
      </x:c>
      <x:c r="AH241" t="n">
        <x:f>MIN(1,'_曲线基线'!$L$3+AH$9*($H$10*H241+$I$10*I241+$J$10*J241+$K$10*K241+$L$10*L241))</x:f>
        <x:v>0.5274334155968818</x:v>
      </x:c>
      <x:c r="AI241" t="n">
        <x:f>'_曲线基线'!$L$4+AI$9*($H$10*H241+$I$10*I241+$J$10*J241+$K$10*K241+$L$10*L241)</x:f>
        <x:v>3.3299930863055995</x:v>
      </x:c>
      <x:c r="AJ241" t="n">
        <x:f>1+AJ$9*($H$10*H241+$I$10*I241+$J$10*J241+$K$10*K241+$L$10*L241)</x:f>
        <x:v>2.0912763785071586</x:v>
      </x:c>
      <x:c r="AK241" t="n">
        <x:f>(1+AH241*(AI241-1))*AJ241</x:f>
        <x:v>4.661279823466055</x:v>
      </x:c>
      <x:c r="AL241" t="n">
        <x:f>U241*AD241*AK241*F241</x:f>
        <x:v>2366190.54356217</x:v>
      </x:c>
      <x:c r="AM241" t="n">
        <x:f>IF($B241&lt;AM$8,0,AM$3+(AM$4-AM$3)*(POWER(AM$5,$B241-AM$8)-1)/(POWER(AM$5,$C$5-AM$8)-1))</x:f>
        <x:v>46.76435319680642</x:v>
      </x:c>
      <x:c r="AN241" t="n">
        <x:f>(((E241*'模块规划'!$D$10+G241*'模块规划'!$D$11+H241*'模块规划'!$D$13)*(1+'模块规划'!$G$14*H241)+(I241*'模块规划'!$D$15+J241*'模块规划'!$D$17+K241*'模块规划'!$D$16+L241*'模块规划'!$D$18))*(1+'模块规划'!$J$17*J241))*F241/(1-Q241)</x:f>
        <x:v>2857355.396266084</x:v>
      </x:c>
      <x:c r="AO241" t="n">
        <x:f>AL241*AM241</x:f>
        <x:v>110653370.31008469</x:v>
      </x:c>
      <x:c r="AP241" t="n">
        <x:f>IF(AO241="","",INDEX('_曲线基线'!$A$3:$A$502,MIN(ROWS('_曲线基线'!$A$3:$A$502),COUNTIF('_曲线基线'!$E$3:$E$502,"&lt;"&amp;AO241)+1)))</x:f>
        <x:v>301</x:v>
      </x:c>
      <x:c r="AQ241" t="n">
        <x:f>IF(B241&lt;=2,1,IF(B241&lt;=6,2,IF(B241&lt;=9,3,IF(B241&lt;=19,4,5))))</x:f>
        <x:v>5</x:v>
      </x:c>
      <x:c r="AR241" t="n">
        <x:f>AN241*(1-Q241)/F241*$AS$3+U241*$AS$4+P241*$AS$5</x:f>
        <x:v>17645.235491097803</x:v>
      </x:c>
      <x:c r="AS241" t="n">
        <x:f>1+AH241*$AS$6+AI241*$AS$7+(AJ241-1)*$AS$8+($H$10*H241+$I$10*I241+$J$10*J241+$K$10*K241+$L$10*L241)*$AU$3*$AS$9+($H$10*H241+$I$10*I241+$J$10*J241+$K$10*K241+$L$10*L241)*$AU$4*$AS$10</x:f>
        <x:v>17.52100376511304</x:v>
      </x:c>
      <x:c r="AT241" t="n">
        <x:f>ROUND(AR241*AS241,0)</x:f>
        <x:v>309162</x:v>
      </x:c>
      <x:c r="AU241" t="n">
        <x:f>ROUND(AT241*F241,0)</x:f>
        <x:v>1545810</x:v>
      </x:c>
    </x:row>
    <x:row r="242">
      <x:c r="A242" t="str">
        <x:f>IFERROR(XLOOKUP(B242,'_曲线基线'!$G$3:$G$107,'_曲线基线'!$J$3:$J$107,""),"")</x:f>
      </x:c>
      <x:c r="B242" t="n">
        <x:v>231</x:v>
      </x:c>
      <x:c r="C242" t="n">
        <x:f>C227+1</x:f>
        <x:v>16</x:v>
      </x:c>
      <x:c r="D242" t="n">
        <x:f>D227</x:f>
        <x:v>12</x:v>
      </x:c>
      <x:c r="E242" t="n">
        <x:f>IF($B242&lt;E$8,0,E$3+(E$4-E$3)*(POWER(E$5,$B242-E$8)-1)/(POWER(E$5,$C$5-E$8)-1))</x:f>
        <x:v>1</x:v>
      </x:c>
      <x:c r="F242" t="n">
        <x:f>1+IF(B242&lt;3,0,MIN(1,(B242-2)/4))+IF(B242&lt;7,0,MIN(1,(B242-6)/3))+IF(B242&lt;10,0,MIN(1,(B242-9)/5))+IF(B242&lt;20,0,MIN(1,(B242-19)/10))</x:f>
        <x:v>5</x:v>
      </x:c>
      <x:c r="G242" t="n">
        <x:f>IF($B242&lt;G$8,0,G$3+(G$4-G$3)*(POWER(G$5,$B242-G$8)-1)/(POWER(G$5,$C$5-G$8)-1))</x:f>
        <x:v>0.8854223129559328</x:v>
      </x:c>
      <x:c r="H242" t="n">
        <x:f>IF($B242&lt;H$8,0,H$3+(H$4-H$3)*(POWER(H$5,$B242-H$8)-1)/(POWER(H$5,$C$5-H$8)-1))</x:f>
        <x:v>0.6945527452007971</x:v>
      </x:c>
      <x:c r="I242" t="n">
        <x:f>IF($B242&lt;I$8,0,I$3+(I$4-I$3)*(POWER(I$5,$B242-I$8)-1)/(POWER(I$5,$C$5-I$8)-1))</x:f>
        <x:v>0.6359941873541657</x:v>
      </x:c>
      <x:c r="J242" t="n">
        <x:f>IF($B242&lt;J$8,0,J$3+(J$4-J$3)*(POWER(J$5,$B242-J$8)-1)/(POWER(J$5,$C$5-J$8)-1))</x:f>
        <x:v>0.5935374768782731</x:v>
      </x:c>
      <x:c r="K242" t="n">
        <x:f>IF($B242&lt;K$8,0,K$3+(K$4-K$3)*(POWER(K$5,$B242-K$8)-1)/(POWER(K$5,$C$5-K$8)-1))</x:f>
        <x:v>0.6206014549568288</x:v>
      </x:c>
      <x:c r="L242" t="n">
        <x:f>IF($B242&lt;L$8,0,L$3+(L$4-L$3)*(POWER(L$5,$B242-L$8)-1)/(POWER(L$5,$C$5-L$8)-1))</x:f>
        <x:v>0.6944410375142053</x:v>
      </x:c>
      <x:c r="M242" t="n">
        <x:f>E242*'模块规划'!$F$10+G242*'模块规划'!$F$11+H242*'模块规划'!$F$13</x:f>
        <x:v>5250.027102188477</x:v>
      </x:c>
      <x:c r="N242" t="n">
        <x:f>I242*'模块规划'!$F$15+J242*'模块规划'!$F$17+K242*'模块规划'!$F$16+L242*'模块规划'!$F$18</x:f>
        <x:v>18219.142184928056</x:v>
      </x:c>
      <x:c r="O242" t="n">
        <x:f>1+O$9*SUMPRODUCT($H$10:$L$10,H242:L242)/SUM($H$10:$L$10)</x:f>
        <x:v>3.3791627574702305</x:v>
      </x:c>
      <x:c r="P242" t="n">
        <x:f>M242*O242+N242</x:f>
        <x:v>35959.838244352715</x:v>
      </x:c>
      <x:c r="Q242" t="n">
        <x:f>P242/(P242+'_曲线基线'!$L$2)</x:f>
        <x:v>0.5997320756237959</x:v>
      </x:c>
      <x:c r="R242" t="n">
        <x:f>E242*'模块规划'!$E$10+G242*'模块规划'!$E$11+H242*'模块规划'!$E$13</x:f>
        <x:v>7875.0406532827155</x:v>
      </x:c>
      <x:c r="S242" t="n">
        <x:f>I242*'模块规划'!$E$15+J242*'模块规划'!$E$17+K242*'模块规划'!$E$16+L242*'模块规划'!$E$18</x:f>
        <x:v>27328.713277392082</x:v>
      </x:c>
      <x:c r="T242" t="n">
        <x:f>1+T$9*SUMPRODUCT($H$10:$L$10,H242:L242)/SUM($H$10:$L$10)</x:f>
        <x:v>3.3791627574702305</x:v>
      </x:c>
      <x:c r="U242" t="n">
        <x:f>R242*T242+S242</x:f>
        <x:v>53939.75736652907</x:v>
      </x:c>
      <x:c r="V242" t="n">
        <x:f>V$8+(V$9-V$8)*H242</x:f>
        <x:v>0.9083658235602391</x:v>
      </x:c>
      <x:c r="W242" t="n">
        <x:f>IF(B242&lt;$H$8,0,W$8+(W$9-W$8)*H242)</x:f>
        <x:v>0.27782109808031885</x:v>
      </x:c>
      <x:c r="X242" t="n">
        <x:f>X$8+(X$9-X$8)*H242</x:f>
        <x:v>0.46600200493021926</x:v>
      </x:c>
      <x:c r="Y242" t="n">
        <x:f>Y$8+(Y$9-Y$8)*G242</x:f>
        <x:v>1</x:v>
      </x:c>
      <x:c r="Z242" t="n">
        <x:f>Z$8+(Z$9-Z$8)*H242</x:f>
        <x:v>1</x:v>
      </x:c>
      <x:c r="AA242" t="n">
        <x:f>AA$8+(AA$9-AA$8)*I242</x:f>
        <x:v>1</x:v>
      </x:c>
      <x:c r="AB242" t="n">
        <x:f>AB$8+(AB$9-AB$8)*J242</x:f>
        <x:v>1</x:v>
      </x:c>
      <x:c r="AC242" t="n">
        <x:f>AC$8+(AC$9-AC$8)*MAX(K242,L242)</x:f>
        <x:v>1</x:v>
      </x:c>
      <x:c r="AD242" t="n">
        <x:f>(V242*AE242+W242*AF242+X242*AG242)*PRODUCT(Y242:AC242)</x:f>
        <x:v>1.8839427711211811</x:v>
      </x:c>
      <x:c r="AE242" t="n">
        <x:f>1+AE$9*($H$10*H242+$I$10*I242+$J$10*J242+$K$10*K242+$L$10*L242)</x:f>
        <x:v>1</x:v>
      </x:c>
      <x:c r="AF242" t="n">
        <x:f>1+AF$9*($H$10*H242+$I$10*I242+$J$10*J242+$K$10*K242+$L$10*L242)</x:f>
        <x:v>1.209982785881988</x:v>
      </x:c>
      <x:c r="AG242" t="n">
        <x:f>1+AG$9*($H$10*H242+$I$10*I242+$J$10*J242+$K$10*K242+$L$10*L242)</x:f>
        <x:v>1.372136159424193</x:v>
      </x:c>
      <x:c r="AH242" t="n">
        <x:f>MIN(1,'_曲线基线'!$L$3+AH$9*($H$10*H242+$I$10*I242+$J$10*J242+$K$10*K242+$L$10*L242))</x:f>
        <x:v>0.5277108378815225</x:v>
      </x:c>
      <x:c r="AI242" t="n">
        <x:f>'_曲线基线'!$L$4+AI$9*($H$10*H242+$I$10*I242+$J$10*J242+$K$10*K242+$L$10*L242)</x:f>
        <x:v>3.330765905527098</x:v>
      </x:c>
      <x:c r="AJ242" t="n">
        <x:f>1+AJ$9*($H$10*H242+$I$10*I242+$J$10*J242+$K$10*K242+$L$10*L242)</x:f>
        <x:v>2.091910486586337</x:v>
      </x:c>
      <x:c r="AK242" t="n">
        <x:f>(1+AH242*(AI242-1))*AJ242</x:f>
        <x:v>4.664898525017169</x:v>
      </x:c>
      <x:c r="AL242" t="n">
        <x:f>U242*AD242*AK242*F242</x:f>
        <x:v>2370221.318280893</x:v>
      </x:c>
      <x:c r="AM242" t="n">
        <x:f>IF($B242&lt;AM$8,0,AM$3+(AM$4-AM$3)*(POWER(AM$5,$B242-AM$8)-1)/(POWER(AM$5,$C$5-AM$8)-1))</x:f>
        <x:v>46.895421368696354</x:v>
      </x:c>
      <x:c r="AN242" t="n">
        <x:f>(((E242*'模块规划'!$D$10+G242*'模块规划'!$D$11+H242*'模块规划'!$D$13)*(1+'模块规划'!$G$14*H242)+(I242*'模块规划'!$D$15+J242*'模块规划'!$D$17+K242*'模块规划'!$D$16+L242*'模块规划'!$D$18))*(1+'模块规划'!$J$17*J242))*F242/(1-Q242)</x:f>
        <x:v>2860844.782984002</x:v>
      </x:c>
      <x:c r="AO242" t="n">
        <x:f>AL242*AM242</x:f>
        <x:v>111152527.45784943</x:v>
      </x:c>
      <x:c r="AP242" t="n">
        <x:f>IF(AO242="","",INDEX('_曲线基线'!$A$3:$A$502,MIN(ROWS('_曲线基线'!$A$3:$A$502),COUNTIF('_曲线基线'!$E$3:$E$502,"&lt;"&amp;AO242)+1)))</x:f>
        <x:v>302</x:v>
      </x:c>
      <x:c r="AQ242" t="n">
        <x:f>IF(B242&lt;=2,1,IF(B242&lt;=6,2,IF(B242&lt;=9,3,IF(B242&lt;=19,4,5))))</x:f>
        <x:v>5</x:v>
      </x:c>
      <x:c r="AR242" t="n">
        <x:f>AN242*(1-Q242)/F242*$AS$3+U242*$AS$4+P242*$AS$5</x:f>
        <x:v>17658.577892790807</x:v>
      </x:c>
      <x:c r="AS242" t="n">
        <x:f>1+AH242*$AS$6+AI242*$AS$7+(AJ242-1)*$AS$8+($H$10*H242+$I$10*I242+$J$10*J242+$K$10*K242+$L$10*L242)*$AU$3*$AS$9+($H$10*H242+$I$10*I242+$J$10*J242+$K$10*K242+$L$10*L242)*$AU$4*$AS$10</x:f>
        <x:v>17.528290049389234</x:v>
      </x:c>
      <x:c r="AT242" t="n">
        <x:f>ROUND(AR242*AS242,0)</x:f>
        <x:v>309525</x:v>
      </x:c>
      <x:c r="AU242" t="n">
        <x:f>ROUND(AT242*F242,0)</x:f>
        <x:v>1547625</x:v>
      </x:c>
    </x:row>
    <x:row r="243">
      <x:c r="A243" t="str">
        <x:f>IFERROR(XLOOKUP(B243,'_曲线基线'!$G$3:$G$107,'_曲线基线'!$J$3:$J$107,""),"")</x:f>
      </x:c>
      <x:c r="B243" t="n">
        <x:v>232</x:v>
      </x:c>
      <x:c r="C243" t="n">
        <x:f>C228+1</x:f>
        <x:v>16</x:v>
      </x:c>
      <x:c r="D243" t="n">
        <x:f>D228</x:f>
        <x:v>13</x:v>
      </x:c>
      <x:c r="E243" t="n">
        <x:f>IF($B243&lt;E$8,0,E$3+(E$4-E$3)*(POWER(E$5,$B243-E$8)-1)/(POWER(E$5,$C$5-E$8)-1))</x:f>
        <x:v>1</x:v>
      </x:c>
      <x:c r="F243" t="n">
        <x:f>1+IF(B243&lt;3,0,MIN(1,(B243-2)/4))+IF(B243&lt;7,0,MIN(1,(B243-6)/3))+IF(B243&lt;10,0,MIN(1,(B243-9)/5))+IF(B243&lt;20,0,MIN(1,(B243-19)/10))</x:f>
        <x:v>5</x:v>
      </x:c>
      <x:c r="G243" t="n">
        <x:f>IF($B243&lt;G$8,0,G$3+(G$4-G$3)*(POWER(G$5,$B243-G$8)-1)/(POWER(G$5,$C$5-G$8)-1))</x:f>
        <x:v>0.8858461687160897</x:v>
      </x:c>
      <x:c r="H243" t="n">
        <x:f>IF($B243&lt;H$8,0,H$3+(H$4-H$3)*(POWER(H$5,$B243-H$8)-1)/(POWER(H$5,$C$5-H$8)-1))</x:f>
        <x:v>0.6947282325362926</x:v>
      </x:c>
      <x:c r="I243" t="n">
        <x:f>IF($B243&lt;I$8,0,I$3+(I$4-I$3)*(POWER(I$5,$B243-I$8)-1)/(POWER(I$5,$C$5-I$8)-1))</x:f>
        <x:v>0.6364453949501505</x:v>
      </x:c>
      <x:c r="J243" t="n">
        <x:f>IF($B243&lt;J$8,0,J$3+(J$4-J$3)*(POWER(J$5,$B243-J$8)-1)/(POWER(J$5,$C$5-J$8)-1))</x:f>
        <x:v>0.5937456718324314</x:v>
      </x:c>
      <x:c r="K243" t="n">
        <x:f>IF($B243&lt;K$8,0,K$3+(K$4-K$3)*(POWER(K$5,$B243-K$8)-1)/(POWER(K$5,$C$5-K$8)-1))</x:f>
        <x:v>0.6215485507926658</x:v>
      </x:c>
      <x:c r="L243" t="n">
        <x:f>IF($B243&lt;L$8,0,L$3+(L$4-L$3)*(POWER(L$5,$B243-L$8)-1)/(POWER(L$5,$C$5-L$8)-1))</x:f>
        <x:v>0.6946201235953069</x:v>
      </x:c>
      <x:c r="M243" t="n">
        <x:f>E243*'模块规划'!$F$10+G243*'模块规划'!$F$11+H243*'模块规划'!$F$13</x:f>
        <x:v>5252.06160983723</x:v>
      </x:c>
      <x:c r="N243" t="n">
        <x:f>I243*'模块规划'!$F$15+J243*'模块规划'!$F$17+K243*'模块规划'!$F$16+L243*'模块规划'!$F$18</x:f>
        <x:v>18231.411800658047</x:v>
      </x:c>
      <x:c r="O243" t="n">
        <x:f>1+O$9*SUMPRODUCT($H$10:$L$10,H243:L243)/SUM($H$10:$L$10)</x:f>
        <x:v>3.380516781831962</x:v>
      </x:c>
      <x:c r="P243" t="n">
        <x:f>M243*O243+N243</x:f>
        <x:v>35986.0942119282</x:v>
      </x:c>
      <x:c r="Q243" t="n">
        <x:f>P243/(P243+'_曲线基线'!$L$2)</x:f>
        <x:v>0.599907273255547</x:v>
      </x:c>
      <x:c r="R243" t="n">
        <x:f>E243*'模块规划'!$E$10+G243*'模块规划'!$E$11+H243*'模块规划'!$E$13</x:f>
        <x:v>7878.092414755845</x:v>
      </x:c>
      <x:c r="S243" t="n">
        <x:f>I243*'模块规划'!$E$15+J243*'模块规划'!$E$17+K243*'模块规划'!$E$16+L243*'模块规划'!$E$18</x:f>
        <x:v>27347.11770098707</x:v>
      </x:c>
      <x:c r="T243" t="n">
        <x:f>1+T$9*SUMPRODUCT($H$10:$L$10,H243:L243)/SUM($H$10:$L$10)</x:f>
        <x:v>3.380516781831962</x:v>
      </x:c>
      <x:c r="U243" t="n">
        <x:f>R243*T243+S243</x:f>
        <x:v>53979.14131789229</x:v>
      </x:c>
      <x:c r="V243" t="n">
        <x:f>V$8+(V$9-V$8)*H243</x:f>
        <x:v>0.9084184697608877</x:v>
      </x:c>
      <x:c r="W243" t="n">
        <x:f>IF(B243&lt;$H$8,0,W$8+(W$9-W$8)*H243)</x:f>
        <x:v>0.27789129301451704</x:v>
      </x:c>
      <x:c r="X243" t="n">
        <x:f>X$8+(X$9-X$8)*H243</x:f>
        <x:v>0.4660502639474805</x:v>
      </x:c>
      <x:c r="Y243" t="n">
        <x:f>Y$8+(Y$9-Y$8)*G243</x:f>
        <x:v>1</x:v>
      </x:c>
      <x:c r="Z243" t="n">
        <x:f>Z$8+(Z$9-Z$8)*H243</x:f>
        <x:v>1</x:v>
      </x:c>
      <x:c r="AA243" t="n">
        <x:f>AA$8+(AA$9-AA$8)*I243</x:f>
        <x:v>1</x:v>
      </x:c>
      <x:c r="AB243" t="n">
        <x:f>AB$8+(AB$9-AB$8)*J243</x:f>
        <x:v>1</x:v>
      </x:c>
      <x:c r="AC243" t="n">
        <x:f>AC$8+(AC$9-AC$8)*MAX(K243,L243)</x:f>
        <x:v>1</x:v>
      </x:c>
      <x:c r="AD243" t="n">
        <x:f>(V243*AE243+W243*AF243+X243*AG243)*PRODUCT(Y243:AC243)</x:f>
        <x:v>1.8842784838214859</x:v>
      </x:c>
      <x:c r="AE243" t="n">
        <x:f>1+AE$9*($H$10*H243+$I$10*I243+$J$10*J243+$K$10*K243+$L$10*L243)</x:f>
        <x:v>1</x:v>
      </x:c>
      <x:c r="AF243" t="n">
        <x:f>1+AF$9*($H$10*H243+$I$10*I243+$J$10*J243+$K$10*K243+$L$10*L243)</x:f>
        <x:v>1.210102290866141</x:v>
      </x:c>
      <x:c r="AG243" t="n">
        <x:f>1+AG$9*($H$10*H243+$I$10*I243+$J$10*J243+$K$10*K243+$L$10*L243)</x:f>
        <x:v>1.3723479488127748</x:v>
      </x:c>
      <x:c r="AH243" t="n">
        <x:f>MIN(1,'_曲线基线'!$L$3+AH$9*($H$10*H243+$I$10*I243+$J$10*J243+$K$10*K243+$L$10*L243))</x:f>
        <x:v>0.5279827117204702</x:v>
      </x:c>
      <x:c r="AI243" t="n">
        <x:f>'_曲线基线'!$L$4+AI$9*($H$10*H243+$I$10*I243+$J$10*J243+$K$10*K243+$L$10*L243)</x:f>
        <x:v>3.331523268364167</x:v>
      </x:c>
      <x:c r="AJ243" t="n">
        <x:f>1+AJ$9*($H$10*H243+$I$10*I243+$J$10*J243+$K$10*K243+$L$10*L243)</x:f>
        <x:v>2.092531912503932</x:v>
      </x:c>
      <x:c r="AK243" t="n">
        <x:f>(1+AH243*(AI243-1))*AJ243</x:f>
        <x:v>4.668447020198284</x:v>
      </x:c>
      <x:c r="AL243" t="n">
        <x:f>U243*AD243*AK243*F243</x:f>
        <x:v>2374179.2206399804</x:v>
      </x:c>
      <x:c r="AM243" t="n">
        <x:f>IF($B243&lt;AM$8,0,AM$3+(AM$4-AM$3)*(POWER(AM$5,$B243-AM$8)-1)/(POWER(AM$5,$C$5-AM$8)-1))</x:f>
        <x:v>47.02780022230518</x:v>
      </x:c>
      <x:c r="AN243" t="n">
        <x:f>(((E243*'模块规划'!$D$10+G243*'模块规划'!$D$11+H243*'模块规划'!$D$13)*(1+'模块规划'!$G$14*H243)+(I243*'模块规划'!$D$15+J243*'模块规划'!$D$17+K243*'模块规划'!$D$16+L243*'模块规划'!$D$18))*(1+'模块规划'!$J$17*J243))*F243/(1-Q243)</x:f>
        <x:v>2864270.612136603</x:v>
      </x:c>
      <x:c r="AO243" t="n">
        <x:f>AL243*AM243</x:f>
        <x:v>111652426.08020522</x:v>
      </x:c>
      <x:c r="AP243" t="n">
        <x:f>IF(AO243="","",INDEX('_曲线基线'!$A$3:$A$502,MIN(ROWS('_曲线基线'!$A$3:$A$502),COUNTIF('_曲线基线'!$E$3:$E$502,"&lt;"&amp;AO243)+1)))</x:f>
        <x:v>302</x:v>
      </x:c>
      <x:c r="AQ243" t="n">
        <x:f>IF(B243&lt;=2,1,IF(B243&lt;=6,2,IF(B243&lt;=9,3,IF(B243&lt;=19,4,5))))</x:f>
        <x:v>5</x:v>
      </x:c>
      <x:c r="AR243" t="n">
        <x:f>AN243*(1-Q243)/F243*$AS$3+U243*$AS$4+P243*$AS$5</x:f>
        <x:v>17671.67129964088</x:v>
      </x:c>
      <x:c r="AS243" t="n">
        <x:f>1+AH243*$AS$6+AI243*$AS$7+(AJ243-1)*$AS$8+($H$10*H243+$I$10*I243+$J$10*J243+$K$10*K243+$L$10*L243)*$AU$3*$AS$9+($H$10*H243+$I$10*I243+$J$10*J243+$K$10*K243+$L$10*L243)*$AU$4*$AS$10</x:f>
        <x:v>17.535430607979908</x:v>
      </x:c>
      <x:c r="AT243" t="n">
        <x:f>ROUND(AR243*AS243,0)</x:f>
        <x:v>309880</x:v>
      </x:c>
      <x:c r="AU243" t="n">
        <x:f>ROUND(AT243*F243,0)</x:f>
        <x:v>1549400</x:v>
      </x:c>
    </x:row>
    <x:row r="244">
      <x:c r="A244" t="str">
        <x:f>IFERROR(XLOOKUP(B244,'_曲线基线'!$G$3:$G$107,'_曲线基线'!$J$3:$J$107,""),"")</x:f>
      </x:c>
      <x:c r="B244" t="n">
        <x:v>233</x:v>
      </x:c>
      <x:c r="C244" t="n">
        <x:f>C229+1</x:f>
        <x:v>16</x:v>
      </x:c>
      <x:c r="D244" t="n">
        <x:f>D229</x:f>
        <x:v>14</x:v>
      </x:c>
      <x:c r="E244" t="n">
        <x:f>IF($B244&lt;E$8,0,E$3+(E$4-E$3)*(POWER(E$5,$B244-E$8)-1)/(POWER(E$5,$C$5-E$8)-1))</x:f>
        <x:v>1</x:v>
      </x:c>
      <x:c r="F244" t="n">
        <x:f>1+IF(B244&lt;3,0,MIN(1,(B244-2)/4))+IF(B244&lt;7,0,MIN(1,(B244-6)/3))+IF(B244&lt;10,0,MIN(1,(B244-9)/5))+IF(B244&lt;20,0,MIN(1,(B244-19)/10))</x:f>
        <x:v>5</x:v>
      </x:c>
      <x:c r="G244" t="n">
        <x:f>IF($B244&lt;G$8,0,G$3+(G$4-G$3)*(POWER(G$5,$B244-G$8)-1)/(POWER(G$5,$C$5-G$8)-1))</x:f>
        <x:v>0.8862636666398441</x:v>
      </x:c>
      <x:c r="H244" t="n">
        <x:f>IF($B244&lt;H$8,0,H$3+(H$4-H$3)*(POWER(H$5,$B244-H$8)-1)/(POWER(H$5,$C$5-H$8)-1))</x:f>
        <x:v>0.6949002101250781</x:v>
      </x:c>
      <x:c r="I244" t="n">
        <x:f>IF($B244&lt;I$8,0,I$3+(I$4-I$3)*(POWER(I$5,$B244-I$8)-1)/(POWER(I$5,$C$5-I$8)-1))</x:f>
        <x:v>0.6368875783942158</x:v>
      </x:c>
      <x:c r="J244" t="n">
        <x:f>IF($B244&lt;J$8,0,J$3+(J$4-J$3)*(POWER(J$5,$B244-J$8)-1)/(POWER(J$5,$C$5-J$8)-1))</x:f>
        <x:v>0.5939497028875067</x:v>
      </x:c>
      <x:c r="K244" t="n">
        <x:f>IF($B244&lt;K$8,0,K$3+(K$4-K$3)*(POWER(K$5,$B244-K$8)-1)/(POWER(K$5,$C$5-K$8)-1))</x:f>
        <x:v>0.6224767047117861</x:v>
      </x:c>
      <x:c r="L244" t="n">
        <x:f>IF($B244&lt;L$8,0,L$3+(L$4-L$3)*(POWER(L$5,$B244-L$8)-1)/(POWER(L$5,$C$5-L$8)-1))</x:f>
        <x:v>0.6947956279547863</x:v>
      </x:c>
      <x:c r="M244" t="n">
        <x:f>E244*'模块规划'!$F$10+G244*'模块规划'!$F$11+H244*'模块规划'!$F$13</x:f>
        <x:v>5254.065599871252</x:v>
      </x:c>
      <x:c r="N244" t="n">
        <x:f>I244*'模块规划'!$F$15+J244*'模块规划'!$F$17+K244*'模块规划'!$F$16+L244*'模块规划'!$F$18</x:f>
        <x:v>18243.43602407344</x:v>
      </x:c>
      <x:c r="O244" t="n">
        <x:f>1+O$9*SUMPRODUCT($H$10:$L$10,H244:L244)/SUM($H$10:$L$10)</x:f>
        <x:v>3.381843725706459</x:v>
      </x:c>
      <x:c r="P244" t="n">
        <x:f>M244*O244+N244</x:f>
        <x:v>36011.864807448175</x:v>
      </x:c>
      <x:c r="Q244" t="n">
        <x:f>P244/(P244+'_曲线基线'!$L$2)</x:f>
        <x:v>0.6000790830778963</x:v>
      </x:c>
      <x:c r="R244" t="n">
        <x:f>E244*'模块规划'!$E$10+G244*'模块规划'!$E$11+H244*'模块规划'!$E$13</x:f>
        <x:v>7881.098399806878</x:v>
      </x:c>
      <x:c r="S244" t="n">
        <x:f>I244*'模块规划'!$E$15+J244*'模块规划'!$E$17+K244*'模块规划'!$E$16+L244*'模块规划'!$E$18</x:f>
        <x:v>27365.154036110165</x:v>
      </x:c>
      <x:c r="T244" t="n">
        <x:f>1+T$9*SUMPRODUCT($H$10:$L$10,H244:L244)/SUM($H$10:$L$10)</x:f>
        <x:v>3.381843725706459</x:v>
      </x:c>
      <x:c r="U244" t="n">
        <x:f>R244*T244+S244</x:f>
        <x:v>54017.79721117226</x:v>
      </x:c>
      <x:c r="V244" t="n">
        <x:f>V$8+(V$9-V$8)*H244</x:f>
        <x:v>0.9084700630375234</x:v>
      </x:c>
      <x:c r="W244" t="n">
        <x:f>IF(B244&lt;$H$8,0,W$8+(W$9-W$8)*H244)</x:f>
        <x:v>0.27796008405003125</x:v>
      </x:c>
      <x:c r="X244" t="n">
        <x:f>X$8+(X$9-X$8)*H244</x:f>
        <x:v>0.46609755778439654</x:v>
      </x:c>
      <x:c r="Y244" t="n">
        <x:f>Y$8+(Y$9-Y$8)*G244</x:f>
        <x:v>1</x:v>
      </x:c>
      <x:c r="Z244" t="n">
        <x:f>Z$8+(Z$9-Z$8)*H244</x:f>
        <x:v>1</x:v>
      </x:c>
      <x:c r="AA244" t="n">
        <x:f>AA$8+(AA$9-AA$8)*I244</x:f>
        <x:v>1</x:v>
      </x:c>
      <x:c r="AB244" t="n">
        <x:f>AB$8+(AB$9-AB$8)*J244</x:f>
        <x:v>1</x:v>
      </x:c>
      <x:c r="AC244" t="n">
        <x:f>AC$8+(AC$9-AC$8)*MAX(K244,L244)</x:f>
        <x:v>1</x:v>
      </x:c>
      <x:c r="AD244" t="n">
        <x:f>(V244*AE244+W244*AF244+X244*AG244)*PRODUCT(Y244:AC244)</x:f>
        <x:v>1.8846075183774493</x:v>
      </x:c>
      <x:c r="AE244" t="n">
        <x:f>1+AE$9*($H$10*H244+$I$10*I244+$J$10*J244+$K$10*K244+$L$10*L244)</x:f>
        <x:v>1</x:v>
      </x:c>
      <x:c r="AF244" t="n">
        <x:f>1+AF$9*($H$10*H244+$I$10*I244+$J$10*J244+$K$10*K244+$L$10*L244)</x:f>
        <x:v>1.2102194057506108</x:v>
      </x:c>
      <x:c r="AG244" t="n">
        <x:f>1+AG$9*($H$10*H244+$I$10*I244+$J$10*J244+$K$10*K244+$L$10*L244)</x:f>
        <x:v>1.3725555024135851</x:v>
      </x:c>
      <x:c r="AH244" t="n">
        <x:f>MIN(1,'_曲线基线'!$L$3+AH$9*($H$10*H244+$I$10*I244+$J$10*J244+$K$10*K244+$L$10*L244))</x:f>
        <x:v>0.5282491480826389</x:v>
      </x:c>
      <x:c r="AI244" t="n">
        <x:f>'_曲线基线'!$L$4+AI$9*($H$10*H244+$I$10*I244+$J$10*J244+$K$10*K244+$L$10*L244)</x:f>
        <x:v>3.332265483944494</x:v>
      </x:c>
      <x:c r="AJ244" t="n">
        <x:f>1+AJ$9*($H$10*H244+$I$10*I244+$J$10*J244+$K$10*K244+$L$10*L244)</x:f>
        <x:v>2.093140909903175</x:v>
      </x:c>
      <x:c r="AK244" t="n">
        <x:f>(1+AH244*(AI244-1))*AJ244</x:f>
        <x:v>4.67192662804238</x:v>
      </x:c>
      <x:c r="AL244" t="n">
        <x:f>U244*AD244*AK244*F244</x:f>
        <x:v>2378065.472901138</x:v>
      </x:c>
      <x:c r="AM244" t="n">
        <x:f>IF($B244&lt;AM$8,0,AM$3+(AM$4-AM$3)*(POWER(AM$5,$B244-AM$8)-1)/(POWER(AM$5,$C$5-AM$8)-1))</x:f>
        <x:v>47.16150286445011</x:v>
      </x:c>
      <x:c r="AN244" t="n">
        <x:f>(((E244*'模块规划'!$D$10+G244*'模块规划'!$D$11+H244*'模块规划'!$D$13)*(1+'模块规划'!$G$14*H244)+(I244*'模块规划'!$D$15+J244*'模块规划'!$D$17+K244*'模块规划'!$D$16+L244*'模块规划'!$D$18))*(1+'模块规划'!$J$17*J244))*F244/(1-Q244)</x:f>
        <x:v>2867634.0038686125</x:v>
      </x:c>
      <x:c r="AO244" t="n">
        <x:f>AL244*AM244</x:f>
        <x:v>112153141.61207692</x:v>
      </x:c>
      <x:c r="AP244" t="n">
        <x:f>IF(AO244="","",INDEX('_曲线基线'!$A$3:$A$502,MIN(ROWS('_曲线基线'!$A$3:$A$502),COUNTIF('_曲线基线'!$E$3:$E$502,"&lt;"&amp;AO244)+1)))</x:f>
        <x:v>302</x:v>
      </x:c>
      <x:c r="AQ244" t="n">
        <x:f>IF(B244&lt;=2,1,IF(B244&lt;=6,2,IF(B244&lt;=9,3,IF(B244&lt;=19,4,5))))</x:f>
        <x:v>5</x:v>
      </x:c>
      <x:c r="AR244" t="n">
        <x:f>AN244*(1-Q244)/F244*$AS$3+U244*$AS$4+P244*$AS$5</x:f>
        <x:v>17684.520363579286</x:v>
      </x:c>
      <x:c r="AS244" t="n">
        <x:f>1+AH244*$AS$6+AI244*$AS$7+(AJ244-1)*$AS$8+($H$10*H244+$I$10*I244+$J$10*J244+$K$10*K244+$L$10*L244)*$AU$3*$AS$9+($H$10*H244+$I$10*I244+$J$10*J244+$K$10*K244+$L$10*L244)*$AU$4*$AS$10</x:f>
        <x:v>17.542428355398762</x:v>
      </x:c>
      <x:c r="AT244" t="n">
        <x:f>ROUND(AR244*AS244,0)</x:f>
        <x:v>310229</x:v>
      </x:c>
      <x:c r="AU244" t="n">
        <x:f>ROUND(AT244*F244,0)</x:f>
        <x:v>1551145</x:v>
      </x:c>
    </x:row>
    <x:row r="245">
      <x:c r="A245" t="str">
        <x:f>IFERROR(XLOOKUP(B245,'_曲线基线'!$G$3:$G$107,'_曲线基线'!$J$3:$J$107,""),"")</x:f>
      </x:c>
      <x:c r="B245" t="n">
        <x:v>234</x:v>
      </x:c>
      <x:c r="C245" t="n">
        <x:f>C230+1</x:f>
        <x:v>16</x:v>
      </x:c>
      <x:c r="D245" t="n">
        <x:f>D230</x:f>
        <x:v>15</x:v>
      </x:c>
      <x:c r="E245" t="n">
        <x:f>IF($B245&lt;E$8,0,E$3+(E$4-E$3)*(POWER(E$5,$B245-E$8)-1)/(POWER(E$5,$C$5-E$8)-1))</x:f>
        <x:v>1</x:v>
      </x:c>
      <x:c r="F245" t="n">
        <x:f>1+IF(B245&lt;3,0,MIN(1,(B245-2)/4))+IF(B245&lt;7,0,MIN(1,(B245-6)/3))+IF(B245&lt;10,0,MIN(1,(B245-9)/5))+IF(B245&lt;20,0,MIN(1,(B245-19)/10))</x:f>
        <x:v>5</x:v>
      </x:c>
      <x:c r="G245" t="n">
        <x:f>IF($B245&lt;G$8,0,G$3+(G$4-G$3)*(POWER(G$5,$B245-G$8)-1)/(POWER(G$5,$C$5-G$8)-1))</x:f>
        <x:v>0.8866749020947423</x:v>
      </x:c>
      <x:c r="H245" t="n">
        <x:f>IF($B245&lt;H$8,0,H$3+(H$4-H$3)*(POWER(H$5,$B245-H$8)-1)/(POWER(H$5,$C$5-H$8)-1))</x:f>
        <x:v>0.6950687481620879</x:v>
      </x:c>
      <x:c r="I245" t="n">
        <x:f>IF($B245&lt;I$8,0,I$3+(I$4-I$3)*(POWER(I$5,$B245-I$8)-1)/(POWER(I$5,$C$5-I$8)-1))</x:f>
        <x:v>0.6373209181693996</x:v>
      </x:c>
      <x:c r="J245" t="n">
        <x:f>IF($B245&lt;J$8,0,J$3+(J$4-J$3)*(POWER(J$5,$B245-J$8)-1)/(POWER(J$5,$C$5-J$8)-1))</x:f>
        <x:v>0.5941496533214804</x:v>
      </x:c>
      <x:c r="K245" t="n">
        <x:f>IF($B245&lt;K$8,0,K$3+(K$4-K$3)*(POWER(K$5,$B245-K$8)-1)/(POWER(K$5,$C$5-K$8)-1))</x:f>
        <x:v>0.6233862955525239</x:v>
      </x:c>
      <x:c r="L245" t="n">
        <x:f>IF($B245&lt;L$8,0,L$3+(L$4-L$3)*(POWER(L$5,$B245-L$8)-1)/(POWER(L$5,$C$5-L$8)-1))</x:f>
        <x:v>0.6949676222270764</x:v>
      </x:c>
      <x:c r="M245" t="n">
        <x:f>E245*'模块规划'!$F$10+G245*'模块规划'!$F$11+H245*'模块规划'!$F$13</x:f>
        <x:v>5256.039530054763</x:v>
      </x:c>
      <x:c r="N245" t="n">
        <x:f>I245*'模块规划'!$F$15+J245*'模块规划'!$F$17+K245*'模块规划'!$F$16+L245*'模块规划'!$F$18</x:f>
        <x:v>18255.219763020526</x:v>
      </x:c>
      <x:c r="O245" t="n">
        <x:f>1+O$9*SUMPRODUCT($H$10:$L$10,H245:L245)/SUM($H$10:$L$10)</x:f>
        <x:v>3.3831441307034655</x:v>
      </x:c>
      <x:c r="P245" t="n">
        <x:f>M245*O245+N245</x:f>
        <x:v>36037.1590498707</x:v>
      </x:c>
      <x:c r="Q245" t="n">
        <x:f>P245/(P245+'_曲线基线'!$L$2)</x:f>
        <x:v>0.6002475736724306</x:v>
      </x:c>
      <x:c r="R245" t="n">
        <x:f>E245*'模块规划'!$E$10+G245*'模块规划'!$E$11+H245*'模块规划'!$E$13</x:f>
        <x:v>7884.059295082145</x:v>
      </x:c>
      <x:c r="S245" t="n">
        <x:f>I245*'模块规划'!$E$15+J245*'模块规划'!$E$17+K245*'模块规划'!$E$16+L245*'模块规划'!$E$18</x:f>
        <x:v>27382.829644530786</x:v>
      </x:c>
      <x:c r="T245" t="n">
        <x:f>1+T$9*SUMPRODUCT($H$10:$L$10,H245:L245)/SUM($H$10:$L$10)</x:f>
        <x:v>3.3831441307034655</x:v>
      </x:c>
      <x:c r="U245" t="n">
        <x:f>R245*T245+S245</x:f>
        <x:v>54055.73857480605</x:v>
      </x:c>
      <x:c r="V245" t="n">
        <x:f>V$8+(V$9-V$8)*H245</x:f>
        <x:v>0.9085206244486264</x:v>
      </x:c>
      <x:c r="W245" t="n">
        <x:f>IF(B245&lt;$H$8,0,W$8+(W$9-W$8)*H245)</x:f>
        <x:v>0.27802749926483517</x:v>
      </x:c>
      <x:c r="X245" t="n">
        <x:f>X$8+(X$9-X$8)*H245</x:f>
        <x:v>0.4661439057445742</x:v>
      </x:c>
      <x:c r="Y245" t="n">
        <x:f>Y$8+(Y$9-Y$8)*G245</x:f>
        <x:v>1</x:v>
      </x:c>
      <x:c r="Z245" t="n">
        <x:f>Z$8+(Z$9-Z$8)*H245</x:f>
        <x:v>1</x:v>
      </x:c>
      <x:c r="AA245" t="n">
        <x:f>AA$8+(AA$9-AA$8)*I245</x:f>
        <x:v>1</x:v>
      </x:c>
      <x:c r="AB245" t="n">
        <x:f>AB$8+(AB$9-AB$8)*J245</x:f>
        <x:v>1</x:v>
      </x:c>
      <x:c r="AC245" t="n">
        <x:f>AC$8+(AC$9-AC$8)*MAX(K245,L245)</x:f>
        <x:v>1</x:v>
      </x:c>
      <x:c r="AD245" t="n">
        <x:f>(V245*AE245+W245*AF245+X245*AG245)*PRODUCT(Y245:AC245)</x:f>
        <x:v>1.8849300069220156</x:v>
      </x:c>
      <x:c r="AE245" t="n">
        <x:f>1+AE$9*($H$10*H245+$I$10*I245+$J$10*J245+$K$10*K245+$L$10*L245)</x:f>
        <x:v>1</x:v>
      </x:c>
      <x:c r="AF245" t="n">
        <x:f>1+AF$9*($H$10*H245+$I$10*I245+$J$10*J245+$K$10*K245+$L$10*L245)</x:f>
        <x:v>1.210334178337391</x:v>
      </x:c>
      <x:c r="AG245" t="n">
        <x:f>1+AG$9*($H$10*H245+$I$10*I245+$J$10*J245+$K$10*K245+$L$10*L245)</x:f>
        <x:v>1.3727589049423792</x:v>
      </x:c>
      <x:c r="AH245" t="n">
        <x:f>MIN(1,'_曲线基线'!$L$3+AH$9*($H$10*H245+$I$10*I245+$J$10*J245+$K$10*K245+$L$10*L245))</x:f>
        <x:v>0.5285102557175642</x:v>
      </x:c>
      <x:c r="AI245" t="n">
        <x:f>'_曲线基线'!$L$4+AI$9*($H$10*H245+$I$10*I245+$J$10*J245+$K$10*K245+$L$10*L245)</x:f>
        <x:v>3.3329928552132144</x:v>
      </x:c>
      <x:c r="AJ245" t="n">
        <x:f>1+AJ$9*($H$10*H245+$I$10*I245+$J$10*J245+$K$10*K245+$L$10*L245)</x:f>
        <x:v>2.0937377273544326</x:v>
      </x:c>
      <x:c r="AK245" t="n">
        <x:f>(1+AH245*(AI245-1))*AJ245</x:f>
        <x:v>4.675338644527709</x:v>
      </x:c>
      <x:c r="AL245" t="n">
        <x:f>U245*AD245*AK245*F245</x:f>
        <x:v>2381881.28078808</x:v>
      </x:c>
      <x:c r="AM245" t="n">
        <x:f>IF($B245&lt;AM$8,0,AM$3+(AM$4-AM$3)*(POWER(AM$5,$B245-AM$8)-1)/(POWER(AM$5,$C$5-AM$8)-1))</x:f>
        <x:v>47.29654253301648</x:v>
      </x:c>
      <x:c r="AN245" t="n">
        <x:f>(((E245*'模块规划'!$D$10+G245*'模块规划'!$D$11+H245*'模块规划'!$D$13)*(1+'模块规划'!$G$14*H245)+(I245*'模块规划'!$D$15+J245*'模块规划'!$D$17+K245*'模块规划'!$D$16+L245*'模块规划'!$D$18))*(1+'模块规划'!$J$17*J245))*F245/(1-Q245)</x:f>
        <x:v>2870936.0603184006</x:v>
      </x:c>
      <x:c r="AO245" t="n">
        <x:f>AL245*AM245</x:f>
        <x:v>112654749.30538918</x:v>
      </x:c>
      <x:c r="AP245" t="n">
        <x:f>IF(AO245="","",INDEX('_曲线基线'!$A$3:$A$502,MIN(ROWS('_曲线基线'!$A$3:$A$502),COUNTIF('_曲线基线'!$E$3:$E$502,"&lt;"&amp;AO245)+1)))</x:f>
        <x:v>303</x:v>
      </x:c>
      <x:c r="AQ245" t="n">
        <x:f>IF(B245&lt;=2,1,IF(B245&lt;=6,2,IF(B245&lt;=9,3,IF(B245&lt;=19,4,5))))</x:f>
        <x:v>5</x:v>
      </x:c>
      <x:c r="AR245" t="n">
        <x:f>AN245*(1-Q245)/F245*$AS$3+U245*$AS$4+P245*$AS$5</x:f>
        <x:v>17697.129650622774</x:v>
      </x:c>
      <x:c r="AS245" t="n">
        <x:f>1+AH245*$AS$6+AI245*$AS$7+(AJ245-1)*$AS$8+($H$10*H245+$I$10*I245+$J$10*J245+$K$10*K245+$L$10*L245)*$AU$3*$AS$9+($H$10*H245+$I$10*I245+$J$10*J245+$K$10*K245+$L$10*L245)*$AU$4*$AS$10</x:f>
        <x:v>17.54928614786924</x:v>
      </x:c>
      <x:c r="AT245" t="n">
        <x:f>ROUND(AR245*AS245,0)</x:f>
        <x:v>310572</x:v>
      </x:c>
      <x:c r="AU245" t="n">
        <x:f>ROUND(AT245*F245,0)</x:f>
        <x:v>1552860</x:v>
      </x:c>
    </x:row>
    <x:row r="246">
      <x:c r="A246" t="str">
        <x:f>IFERROR(XLOOKUP(B246,'_曲线基线'!$G$3:$G$107,'_曲线基线'!$J$3:$J$107,""),"")</x:f>
      </x:c>
      <x:c r="B246" t="n">
        <x:v>235</x:v>
      </x:c>
      <x:c r="C246" t="n">
        <x:f>C231+1</x:f>
        <x:v>17</x:v>
      </x:c>
      <x:c r="D246" t="n">
        <x:f>D231</x:f>
        <x:v>1</x:v>
      </x:c>
      <x:c r="E246" t="n">
        <x:f>IF($B246&lt;E$8,0,E$3+(E$4-E$3)*(POWER(E$5,$B246-E$8)-1)/(POWER(E$5,$C$5-E$8)-1))</x:f>
        <x:v>1</x:v>
      </x:c>
      <x:c r="F246" t="n">
        <x:f>1+IF(B246&lt;3,0,MIN(1,(B246-2)/4))+IF(B246&lt;7,0,MIN(1,(B246-6)/3))+IF(B246&lt;10,0,MIN(1,(B246-9)/5))+IF(B246&lt;20,0,MIN(1,(B246-19)/10))</x:f>
        <x:v>5</x:v>
      </x:c>
      <x:c r="G246" t="n">
        <x:f>IF($B246&lt;G$8,0,G$3+(G$4-G$3)*(POWER(G$5,$B246-G$8)-1)/(POWER(G$5,$C$5-G$8)-1))</x:f>
        <x:v>0.887079969017817</x:v>
      </x:c>
      <x:c r="H246" t="n">
        <x:f>IF($B246&lt;H$8,0,H$3+(H$4-H$3)*(POWER(H$5,$B246-H$8)-1)/(POWER(H$5,$C$5-H$8)-1))</x:f>
        <x:v>0.6952339154383574</x:v>
      </x:c>
      <x:c r="I246" t="n">
        <x:f>IF($B246&lt;I$8,0,I$3+(I$4-I$3)*(POWER(I$5,$B246-I$8)-1)/(POWER(I$5,$C$5-I$8)-1))</x:f>
        <x:v>0.6377455911490799</x:v>
      </x:c>
      <x:c r="J246" t="n">
        <x:f>IF($B246&lt;J$8,0,J$3+(J$4-J$3)*(POWER(J$5,$B246-J$8)-1)/(POWER(J$5,$C$5-J$8)-1))</x:f>
        <x:v>0.5943456047467747</x:v>
      </x:c>
      <x:c r="K246" t="n">
        <x:f>IF($B246&lt;K$8,0,K$3+(K$4-K$3)*(POWER(K$5,$B246-K$8)-1)/(POWER(K$5,$C$5-K$8)-1))</x:f>
        <x:v>0.6242776945764469</x:v>
      </x:c>
      <x:c r="L246" t="n">
        <x:f>IF($B246&lt;L$8,0,L$3+(L$4-L$3)*(POWER(L$5,$B246-L$8)-1)/(POWER(L$5,$C$5-L$8)-1))</x:f>
        <x:v>0.6951361766139206</x:v>
      </x:c>
      <x:c r="M246" t="n">
        <x:f>E246*'模块规划'!$F$10+G246*'模块规划'!$F$11+H246*'模块规划'!$F$13</x:f>
        <x:v>5257.983851285522</x:v>
      </x:c>
      <x:c r="N246" t="n">
        <x:f>I246*'模块规划'!$F$15+J246*'模块规划'!$F$17+K246*'模块规划'!$F$16+L246*'模块规划'!$F$18</x:f>
        <x:v>18266.76782718867</x:v>
      </x:c>
      <x:c r="O246" t="n">
        <x:f>1+O$9*SUMPRODUCT($H$10:$L$10,H246:L246)/SUM($H$10:$L$10)</x:f>
        <x:v>3.3844185276005323</x:v>
      </x:c>
      <x:c r="P246" t="n">
        <x:f>M246*O246+N246</x:f>
        <x:v>36061.98579130379</x:v>
      </x:c>
      <x:c r="Q246" t="n">
        <x:f>P246/(P246+'_曲线基线'!$L$2)</x:f>
        <x:v>0.6004128121339123</x:v>
      </x:c>
      <x:c r="R246" t="n">
        <x:f>E246*'模块规划'!$E$10+G246*'模块规划'!$E$11+H246*'模块规划'!$E$13</x:f>
        <x:v>7886.975776928282</x:v>
      </x:c>
      <x:c r="S246" t="n">
        <x:f>I246*'模块规划'!$E$15+J246*'模块规划'!$E$17+K246*'模块规划'!$E$16+L246*'模块规划'!$E$18</x:f>
        <x:v>27400.151740783007</x:v>
      </x:c>
      <x:c r="T246" t="n">
        <x:f>1+T$9*SUMPRODUCT($H$10:$L$10,H246:L246)/SUM($H$10:$L$10)</x:f>
        <x:v>3.3844185276005323</x:v>
      </x:c>
      <x:c r="U246" t="n">
        <x:f>R246*T246+S246</x:f>
        <x:v>54092.978686955685</x:v>
      </x:c>
      <x:c r="V246" t="n">
        <x:f>V$8+(V$9-V$8)*H246</x:f>
        <x:v>0.9085701746315072</x:v>
      </x:c>
      <x:c r="W246" t="n">
        <x:f>IF(B246&lt;$H$8,0,W$8+(W$9-W$8)*H246)</x:f>
        <x:v>0.278093566175343</x:v>
      </x:c>
      <x:c r="X246" t="n">
        <x:f>X$8+(X$9-X$8)*H246</x:f>
        <x:v>0.46618932674554836</x:v>
      </x:c>
      <x:c r="Y246" t="n">
        <x:f>Y$8+(Y$9-Y$8)*G246</x:f>
        <x:v>1</x:v>
      </x:c>
      <x:c r="Z246" t="n">
        <x:f>Z$8+(Z$9-Z$8)*H246</x:f>
        <x:v>1</x:v>
      </x:c>
      <x:c r="AA246" t="n">
        <x:f>AA$8+(AA$9-AA$8)*I246</x:f>
        <x:v>1</x:v>
      </x:c>
      <x:c r="AB246" t="n">
        <x:f>AB$8+(AB$9-AB$8)*J246</x:f>
        <x:v>1</x:v>
      </x:c>
      <x:c r="AC246" t="n">
        <x:f>AC$8+(AC$9-AC$8)*MAX(K246,L246)</x:f>
        <x:v>1</x:v>
      </x:c>
      <x:c r="AD246" t="n">
        <x:f>(V246*AE246+W246*AF246+X246*AG246)*PRODUCT(Y246:AC246)</x:f>
        <x:v>1.8852460790020955</x:v>
      </x:c>
      <x:c r="AE246" t="n">
        <x:f>1+AE$9*($H$10*H246+$I$10*I246+$J$10*J246+$K$10*K246+$L$10*L246)</x:f>
        <x:v>1</x:v>
      </x:c>
      <x:c r="AF246" t="n">
        <x:f>1+AF$9*($H$10*H246+$I$10*I246+$J$10*J246+$K$10*K246+$L$10*L246)</x:f>
        <x:v>1.2104466554724358</x:v>
      </x:c>
      <x:c r="AG246" t="n">
        <x:f>1+AG$9*($H$10*H246+$I$10*I246+$J$10*J246+$K$10*K246+$L$10*L246)</x:f>
        <x:v>1.3729582394205975</x:v>
      </x:c>
      <x:c r="AH246" t="n">
        <x:f>MIN(1,'_曲线基线'!$L$3+AH$9*($H$10*H246+$I$10*I246+$J$10*J246+$K$10*K246+$L$10*L246))</x:f>
        <x:v>0.528766141199791</x:v>
      </x:c>
      <x:c r="AI246" t="n">
        <x:f>'_曲线基线'!$L$4+AI$9*($H$10*H246+$I$10*I246+$J$10*J246+$K$10*K246+$L$10*L246)</x:f>
        <x:v>3.3337056790565605</x:v>
      </x:c>
      <x:c r="AJ246" t="n">
        <x:f>1+AJ$9*($H$10*H246+$I$10*I246+$J$10*J246+$K$10*K246+$L$10*L246)</x:f>
        <x:v>2.0943226084566655</x:v>
      </x:c>
      <x:c r="AK246" t="n">
        <x:f>(1+AH246*(AI246-1))*AJ246</x:f>
        <x:v>4.678684342909761</x:v>
      </x:c>
      <x:c r="AL246" t="n">
        <x:f>U246*AD246*AK246*F246</x:f>
        <x:v>2385627.83354173</x:v>
      </x:c>
      <x:c r="AM246" t="n">
        <x:f>IF($B246&lt;AM$8,0,AM$3+(AM$4-AM$3)*(POWER(AM$5,$B246-AM$8)-1)/(POWER(AM$5,$C$5-AM$8)-1))</x:f>
        <x:v>47.43293259826851</x:v>
      </x:c>
      <x:c r="AN246" t="n">
        <x:f>(((E246*'模块规划'!$D$10+G246*'模块规划'!$D$11+H246*'模块规划'!$D$13)*(1+'模块规划'!$G$14*H246)+(I246*'模块规划'!$D$15+J246*'模块规划'!$D$17+K246*'模块规划'!$D$16+L246*'模块规划'!$D$18))*(1+'模块规划'!$J$17*J246))*F246/(1-Q246)</x:f>
        <x:v>2874177.8658337523</x:v>
      </x:c>
      <x:c r="AO246" t="n">
        <x:f>AL246*AM246</x:f>
        <x:v>113157324.2329382</x:v>
      </x:c>
      <x:c r="AP246" t="n">
        <x:f>IF(AO246="","",INDEX('_曲线基线'!$A$3:$A$502,MIN(ROWS('_曲线基线'!$A$3:$A$502),COUNTIF('_曲线基线'!$E$3:$E$502,"&lt;"&amp;AO246)+1)))</x:f>
        <x:v>303</x:v>
      </x:c>
      <x:c r="AQ246" t="n">
        <x:f>IF(B246&lt;=2,1,IF(B246&lt;=6,2,IF(B246&lt;=9,3,IF(B246&lt;=19,4,5))))</x:f>
        <x:v>5</x:v>
      </x:c>
      <x:c r="AR246" t="n">
        <x:f>AN246*(1-Q246)/F246*$AS$3+U246*$AS$4+P246*$AS$5</x:f>
        <x:v>17709.503642403914</x:v>
      </x:c>
      <x:c r="AS246" t="n">
        <x:f>1+AH246*$AS$6+AI246*$AS$7+(AJ246-1)*$AS$8+($H$10*H246+$I$10*I246+$J$10*J246+$K$10*K246+$L$10*L246)*$AU$3*$AS$9+($H$10*H246+$I$10*I246+$J$10*J246+$K$10*K246+$L$10*L246)*$AU$4*$AS$10</x:f>
        <x:v>17.556006784490307</x:v>
      </x:c>
      <x:c r="AT246" t="n">
        <x:f>ROUND(AR246*AS246,0)</x:f>
        <x:v>310908</x:v>
      </x:c>
      <x:c r="AU246" t="n">
        <x:f>ROUND(AT246*F246,0)</x:f>
        <x:v>1554540</x:v>
      </x:c>
    </x:row>
    <x:row r="247">
      <x:c r="A247" t="str">
        <x:f>IFERROR(XLOOKUP(B247,'_曲线基线'!$G$3:$G$107,'_曲线基线'!$J$3:$J$107,""),"")</x:f>
      </x:c>
      <x:c r="B247" t="n">
        <x:v>236</x:v>
      </x:c>
      <x:c r="C247" t="n">
        <x:f>C232+1</x:f>
        <x:v>17</x:v>
      </x:c>
      <x:c r="D247" t="n">
        <x:f>D232</x:f>
        <x:v>2</x:v>
      </x:c>
      <x:c r="E247" t="n">
        <x:f>IF($B247&lt;E$8,0,E$3+(E$4-E$3)*(POWER(E$5,$B247-E$8)-1)/(POWER(E$5,$C$5-E$8)-1))</x:f>
        <x:v>1</x:v>
      </x:c>
      <x:c r="F247" t="n">
        <x:f>1+IF(B247&lt;3,0,MIN(1,(B247-2)/4))+IF(B247&lt;7,0,MIN(1,(B247-6)/3))+IF(B247&lt;10,0,MIN(1,(B247-9)/5))+IF(B247&lt;20,0,MIN(1,(B247-19)/10))</x:f>
        <x:v>5</x:v>
      </x:c>
      <x:c r="G247" t="n">
        <x:f>IF($B247&lt;G$8,0,G$3+(G$4-G$3)*(POWER(G$5,$B247-G$8)-1)/(POWER(G$5,$C$5-G$8)-1))</x:f>
        <x:v>0.8874789599370456</x:v>
      </x:c>
      <x:c r="H247" t="n">
        <x:f>IF($B247&lt;H$8,0,H$3+(H$4-H$3)*(POWER(H$5,$B247-H$8)-1)/(POWER(H$5,$C$5-H$8)-1))</x:f>
        <x:v>0.6953957793691017</x:v>
      </x:c>
      <x:c r="I247" t="n">
        <x:f>IF($B247&lt;I$8,0,I$3+(I$4-I$3)*(POWER(I$5,$B247-I$8)-1)/(POWER(I$5,$C$5-I$8)-1))</x:f>
        <x:v>0.6381617706691665</x:v>
      </x:c>
      <x:c r="J247" t="n">
        <x:f>IF($B247&lt;J$8,0,J$3+(J$4-J$3)*(POWER(J$5,$B247-J$8)-1)/(POWER(J$5,$C$5-J$8)-1))</x:f>
        <x:v>0.5945376371435632</x:v>
      </x:c>
      <x:c r="K247" t="n">
        <x:f>IF($B247&lt;K$8,0,K$3+(K$4-K$3)*(POWER(K$5,$B247-K$8)-1)/(POWER(K$5,$C$5-K$8)-1))</x:f>
        <x:v>0.6251512656198914</x:v>
      </x:c>
      <x:c r="L247" t="n">
        <x:f>IF($B247&lt;L$8,0,L$3+(L$4-L$3)*(POWER(L$5,$B247-L$8)-1)/(POWER(L$5,$C$5-L$8)-1))</x:f>
        <x:v>0.6953013599130278</x:v>
      </x:c>
      <x:c r="M247" t="n">
        <x:f>E247*'模块规划'!$F$10+G247*'模块规划'!$F$11+H247*'模块规划'!$F$13</x:f>
        <x:v>5259.899007697819</x:v>
      </x:c>
      <x:c r="N247" t="n">
        <x:f>I247*'模块规划'!$F$15+J247*'模块规划'!$F$17+K247*'模块规划'!$F$16+L247*'模块规划'!$F$18</x:f>
        <x:v>18278.084930073448</x:v>
      </x:c>
      <x:c r="O247" t="n">
        <x:f>1+O$9*SUMPRODUCT($H$10:$L$10,H247:L247)/SUM($H$10:$L$10)</x:f>
        <x:v>3.385667436559658</x:v>
      </x:c>
      <x:c r="P247" t="n">
        <x:f>M247*O247+N247</x:f>
        <x:v>36086.35372002841</x:v>
      </x:c>
      <x:c r="Q247" t="n">
        <x:f>P247/(P247+'_曲线基线'!$L$2)</x:f>
        <x:v>0.6005748641059551</x:v>
      </x:c>
      <x:c r="R247" t="n">
        <x:f>E247*'模块规划'!$E$10+G247*'模块规划'!$E$11+H247*'模块规划'!$E$13</x:f>
        <x:v>7889.848511546728</x:v>
      </x:c>
      <x:c r="S247" t="n">
        <x:f>I247*'模块规划'!$E$15+J247*'模块规划'!$E$17+K247*'模块规划'!$E$16+L247*'模块规划'!$E$18</x:f>
        <x:v>27417.127395110176</x:v>
      </x:c>
      <x:c r="T247" t="n">
        <x:f>1+T$9*SUMPRODUCT($H$10:$L$10,H247:L247)/SUM($H$10:$L$10)</x:f>
        <x:v>3.385667436559658</x:v>
      </x:c>
      <x:c r="U247" t="n">
        <x:f>R247*T247+S247</x:f>
        <x:v>54129.53058004262</x:v>
      </x:c>
      <x:c r="V247" t="n">
        <x:f>V$8+(V$9-V$8)*H247</x:f>
        <x:v>0.9086187338107306</x:v>
      </x:c>
      <x:c r="W247" t="n">
        <x:f>IF(B247&lt;$H$8,0,W$8+(W$9-W$8)*H247)</x:f>
        <x:v>0.27815831174764066</x:v>
      </x:c>
      <x:c r="X247" t="n">
        <x:f>X$8+(X$9-X$8)*H247</x:f>
        <x:v>0.466233839326503</x:v>
      </x:c>
      <x:c r="Y247" t="n">
        <x:f>Y$8+(Y$9-Y$8)*G247</x:f>
        <x:v>1</x:v>
      </x:c>
      <x:c r="Z247" t="n">
        <x:f>Z$8+(Z$9-Z$8)*H247</x:f>
        <x:v>1</x:v>
      </x:c>
      <x:c r="AA247" t="n">
        <x:f>AA$8+(AA$9-AA$8)*I247</x:f>
        <x:v>1</x:v>
      </x:c>
      <x:c r="AB247" t="n">
        <x:f>AB$8+(AB$9-AB$8)*J247</x:f>
        <x:v>1</x:v>
      </x:c>
      <x:c r="AC247" t="n">
        <x:f>AC$8+(AC$9-AC$8)*MAX(K247,L247)</x:f>
        <x:v>1</x:v>
      </x:c>
      <x:c r="AD247" t="n">
        <x:f>(V247*AE247+W247*AF247+X247*AG247)*PRODUCT(Y247:AC247)</x:f>
        <x:v>1.885555861628045</x:v>
      </x:c>
      <x:c r="AE247" t="n">
        <x:f>1+AE$9*($H$10*H247+$I$10*I247+$J$10*J247+$K$10*K247+$L$10*L247)</x:f>
        <x:v>1</x:v>
      </x:c>
      <x:c r="AF247" t="n">
        <x:f>1+AF$9*($H$10*H247+$I$10*I247+$J$10*J247+$K$10*K247+$L$10*L247)</x:f>
        <x:v>1.2105568830647797</x:v>
      </x:c>
      <x:c r="AG247" t="n">
        <x:f>1+AG$9*($H$10*H247+$I$10*I247+$J$10*J247+$K$10*K247+$L$10*L247)</x:f>
        <x:v>1.3731535872092513</x:v>
      </x:c>
      <x:c r="AH247" t="n">
        <x:f>MIN(1,'_曲线基线'!$L$3+AH$9*($H$10*H247+$I$10*I247+$J$10*J247+$K$10*K247+$L$10*L247))</x:f>
        <x:v>0.5290169089723733</x:v>
      </x:c>
      <x:c r="AI247" t="n">
        <x:f>'_曲线基线'!$L$4+AI$9*($H$10*H247+$I$10*I247+$J$10*J247+$K$10*K247+$L$10*L247)</x:f>
        <x:v>3.33440424642304</x:v>
      </x:c>
      <x:c r="AJ247" t="n">
        <x:f>1+AJ$9*($H$10*H247+$I$10*I247+$J$10*J247+$K$10*K247+$L$10*L247)</x:f>
        <x:v>2.094895791936853</x:v>
      </x:c>
      <x:c r="AK247" t="n">
        <x:f>(1+AH247*(AI247-1))*AJ247</x:f>
        <x:v>4.681964974051538</x:v>
      </x:c>
      <x:c r="AL247" t="n">
        <x:f>U247*AD247*AK247*F247</x:f>
        <x:v>2389306.3039838276</x:v>
      </x:c>
      <x:c r="AM247" t="n">
        <x:f>IF($B247&lt;AM$8,0,AM$3+(AM$4-AM$3)*(POWER(AM$5,$B247-AM$8)-1)/(POWER(AM$5,$C$5-AM$8)-1))</x:f>
        <x:v>47.57068656417306</x:v>
      </x:c>
      <x:c r="AN247" t="n">
        <x:f>(((E247*'模块规划'!$D$10+G247*'模块规划'!$D$11+H247*'模块规划'!$D$13)*(1+'模块规划'!$G$14*H247)+(I247*'模块规划'!$D$15+J247*'模块规划'!$D$17+K247*'模块规划'!$D$16+L247*'模块规划'!$D$18))*(1+'模块规划'!$J$17*J247))*F247/(1-Q247)</x:f>
        <x:v>2877360.4871883397</x:v>
      </x:c>
      <x:c r="AO247" t="n">
        <x:f>AL247*AM247</x:f>
        <x:v>113660941.29261746</x:v>
      </x:c>
      <x:c r="AP247" t="n">
        <x:f>IF(AO247="","",INDEX('_曲线基线'!$A$3:$A$502,MIN(ROWS('_曲线基线'!$A$3:$A$502),COUNTIF('_曲线基线'!$E$3:$E$502,"&lt;"&amp;AO247)+1)))</x:f>
        <x:v>303</x:v>
      </x:c>
      <x:c r="AQ247" t="n">
        <x:f>IF(B247&lt;=2,1,IF(B247&lt;=6,2,IF(B247&lt;=9,3,IF(B247&lt;=19,4,5))))</x:f>
        <x:v>5</x:v>
      </x:c>
      <x:c r="AR247" t="n">
        <x:f>AN247*(1-Q247)/F247*$AS$3+U247*$AS$4+P247*$AS$5</x:f>
        <x:v>17721.646737676674</x:v>
      </x:c>
      <x:c r="AS247" t="n">
        <x:f>1+AH247*$AS$6+AI247*$AS$7+(AJ247-1)*$AS$8+($H$10*H247+$I$10*I247+$J$10*J247+$K$10*K247+$L$10*L247)*$AU$3*$AS$9+($H$10*H247+$I$10*I247+$J$10*J247+$K$10*K247+$L$10*L247)*$AU$4*$AS$10</x:f>
        <x:v>17.562593008378958</x:v>
      </x:c>
      <x:c r="AT247" t="n">
        <x:f>ROUND(AR247*AS247,0)</x:f>
        <x:v>311238</x:v>
      </x:c>
      <x:c r="AU247" t="n">
        <x:f>ROUND(AT247*F247,0)</x:f>
        <x:v>1556190</x:v>
      </x:c>
    </x:row>
    <x:row r="248">
      <x:c r="A248" t="str">
        <x:f>IFERROR(XLOOKUP(B248,'_曲线基线'!$G$3:$G$107,'_曲线基线'!$J$3:$J$107,""),"")</x:f>
      </x:c>
      <x:c r="B248" t="n">
        <x:v>237</x:v>
      </x:c>
      <x:c r="C248" t="n">
        <x:f>C233+1</x:f>
        <x:v>17</x:v>
      </x:c>
      <x:c r="D248" t="n">
        <x:f>D233</x:f>
        <x:v>3</x:v>
      </x:c>
      <x:c r="E248" t="n">
        <x:f>IF($B248&lt;E$8,0,E$3+(E$4-E$3)*(POWER(E$5,$B248-E$8)-1)/(POWER(E$5,$C$5-E$8)-1))</x:f>
        <x:v>1</x:v>
      </x:c>
      <x:c r="F248" t="n">
        <x:f>1+IF(B248&lt;3,0,MIN(1,(B248-2)/4))+IF(B248&lt;7,0,MIN(1,(B248-6)/3))+IF(B248&lt;10,0,MIN(1,(B248-9)/5))+IF(B248&lt;20,0,MIN(1,(B248-19)/10))</x:f>
        <x:v>5</x:v>
      </x:c>
      <x:c r="G248" t="n">
        <x:f>IF($B248&lt;G$8,0,G$3+(G$4-G$3)*(POWER(G$5,$B248-G$8)-1)/(POWER(G$5,$C$5-G$8)-1))</x:f>
        <x:v>0.8878719659924857</x:v>
      </x:c>
      <x:c r="H248" t="n">
        <x:f>IF($B248&lt;H$8,0,H$3+(H$4-H$3)*(POWER(H$5,$B248-H$8)-1)/(POWER(H$5,$C$5-H$8)-1))</x:f>
        <x:v>0.695554406021231</x:v>
      </x:c>
      <x:c r="I248" t="n">
        <x:f>IF($B248&lt;I$8,0,I$3+(I$4-I$3)*(POWER(I$5,$B248-I$8)-1)/(POWER(I$5,$C$5-I$8)-1))</x:f>
        <x:v>0.6385696265988513</x:v>
      </x:c>
      <x:c r="J248" t="n">
        <x:f>IF($B248&lt;J$8,0,J$3+(J$4-J$3)*(POWER(J$5,$B248-J$8)-1)/(POWER(J$5,$C$5-J$8)-1))</x:f>
        <x:v>0.5947258288924157</x:v>
      </x:c>
      <x:c r="K248" t="n">
        <x:f>IF($B248&lt;K$8,0,K$3+(K$4-K$3)*(POWER(K$5,$B248-K$8)-1)/(POWER(K$5,$C$5-K$8)-1))</x:f>
        <x:v>0.6260073652424673</x:v>
      </x:c>
      <x:c r="L248" t="n">
        <x:f>IF($B248&lt;L$8,0,L$3+(L$4-L$3)*(POWER(L$5,$B248-L$8)-1)/(POWER(L$5,$C$5-L$8)-1))</x:f>
        <x:v>0.695463239546153</x:v>
      </x:c>
      <x:c r="M248" t="n">
        <x:f>E248*'模块规划'!$F$10+G248*'模块规划'!$F$11+H248*'模块规划'!$F$13</x:f>
        <x:v>5261.785436763932</x:v>
      </x:c>
      <x:c r="N248" t="n">
        <x:f>I248*'模块规划'!$F$15+J248*'模块规划'!$F$17+K248*'模块规划'!$F$16+L248*'模块规划'!$F$18</x:f>
        <x:v>18289.175690900534</x:v>
      </x:c>
      <x:c r="O248" t="n">
        <x:f>1+O$9*SUMPRODUCT($H$10:$L$10,H248:L248)/SUM($H$10:$L$10)</x:f>
        <x:v>3.386891367339601</x:v>
      </x:c>
      <x:c r="P248" t="n">
        <x:f>M248*O248+N248</x:f>
        <x:v>36110.271363469525</x:v>
      </x:c>
      <x:c r="Q248" t="n">
        <x:f>P248/(P248+'_曲线基线'!$L$2)</x:f>
        <x:v>0.6007337938157208</x:v>
      </x:c>
      <x:c r="R248" t="n">
        <x:f>E248*'模块规划'!$E$10+G248*'模块规划'!$E$11+H248*'模块规划'!$E$13</x:f>
        <x:v>7892.678155145897</x:v>
      </x:c>
      <x:c r="S248" t="n">
        <x:f>I248*'模块规划'!$E$15+J248*'模块规划'!$E$17+K248*'模块规划'!$E$16+L248*'模块规划'!$E$18</x:f>
        <x:v>27433.7635363508</x:v>
      </x:c>
      <x:c r="T248" t="n">
        <x:f>1+T$9*SUMPRODUCT($H$10:$L$10,H248:L248)/SUM($H$10:$L$10)</x:f>
        <x:v>3.386891367339601</x:v>
      </x:c>
      <x:c r="U248" t="n">
        <x:f>R248*T248+S248</x:f>
        <x:v>54165.40704520429</x:v>
      </x:c>
      <x:c r="V248" t="n">
        <x:f>V$8+(V$9-V$8)*H248</x:f>
        <x:v>0.9086663218063693</x:v>
      </x:c>
      <x:c r="W248" t="n">
        <x:f>IF(B248&lt;$H$8,0,W$8+(W$9-W$8)*H248)</x:f>
        <x:v>0.2782217624084924</x:v>
      </x:c>
      <x:c r="X248" t="n">
        <x:f>X$8+(X$9-X$8)*H248</x:f>
        <x:v>0.46627746165583855</x:v>
      </x:c>
      <x:c r="Y248" t="n">
        <x:f>Y$8+(Y$9-Y$8)*G248</x:f>
        <x:v>1</x:v>
      </x:c>
      <x:c r="Z248" t="n">
        <x:f>Z$8+(Z$9-Z$8)*H248</x:f>
        <x:v>1</x:v>
      </x:c>
      <x:c r="AA248" t="n">
        <x:f>AA$8+(AA$9-AA$8)*I248</x:f>
        <x:v>1</x:v>
      </x:c>
      <x:c r="AB248" t="n">
        <x:f>AB$8+(AB$9-AB$8)*J248</x:f>
        <x:v>1</x:v>
      </x:c>
      <x:c r="AC248" t="n">
        <x:f>AC$8+(AC$9-AC$8)*MAX(K248,L248)</x:f>
        <x:v>1</x:v>
      </x:c>
      <x:c r="AD248" t="n">
        <x:f>(V248*AE248+W248*AF248+X248*AG248)*PRODUCT(Y248:AC248)</x:f>
        <x:v>1.8858594793222432</x:v>
      </x:c>
      <x:c r="AE248" t="n">
        <x:f>1+AE$9*($H$10*H248+$I$10*I248+$J$10*J248+$K$10*K248+$L$10*L248)</x:f>
        <x:v>1</x:v>
      </x:c>
      <x:c r="AF248" t="n">
        <x:f>1+AF$9*($H$10*H248+$I$10*I248+$J$10*J248+$K$10*K248+$L$10*L248)</x:f>
        <x:v>1.2106649061052768</x:v>
      </x:c>
      <x:c r="AG248" t="n">
        <x:f>1+AG$9*($H$10*H248+$I$10*I248+$J$10*J248+$K$10*K248+$L$10*L248)</x:f>
        <x:v>1.3733450280421322</x:v>
      </x:c>
      <x:c r="AH248" t="n">
        <x:f>MIN(1,'_曲线基线'!$L$3+AH$9*($H$10*H248+$I$10*I248+$J$10*J248+$K$10*K248+$L$10*L248))</x:f>
        <x:v>0.529262661389504</x:v>
      </x:c>
      <x:c r="AI248" t="n">
        <x:f>'_曲线基线'!$L$4+AI$9*($H$10*H248+$I$10*I248+$J$10*J248+$K$10*K248+$L$10*L248)</x:f>
        <x:v>3.3350888424421896</x:v>
      </x:c>
      <x:c r="AJ248" t="n">
        <x:f>1+AJ$9*($H$10*H248+$I$10*I248+$J$10*J248+$K$10*K248+$L$10*L248)</x:f>
        <x:v>2.095457511747438</x:v>
      </x:c>
      <x:c r="AK248" t="n">
        <x:f>(1+AH248*(AI248-1))*AJ248</x:f>
        <x:v>4.685181766752029</x:v>
      </x:c>
      <x:c r="AL248" t="n">
        <x:f>U248*AD248*AK248*F248</x:f>
        <x:v>2392917.848588458</x:v>
      </x:c>
      <x:c r="AM248" t="n">
        <x:f>IF($B248&lt;AM$8,0,AM$3+(AM$4-AM$3)*(POWER(AM$5,$B248-AM$8)-1)/(POWER(AM$5,$C$5-AM$8)-1))</x:f>
        <x:v>47.70981806973666</x:v>
      </x:c>
      <x:c r="AN248" t="n">
        <x:f>(((E248*'模块规划'!$D$10+G248*'模块规划'!$D$11+H248*'模块规划'!$D$13)*(1+'模块规划'!$G$14*H248)+(I248*'模块规划'!$D$15+J248*'模块规划'!$D$17+K248*'模块规划'!$D$16+L248*'模块规划'!$D$18))*(1+'模块规划'!$J$17*J248))*F248/(1-Q248)</x:f>
        <x:v>2880484.9737987034</x:v>
      </x:c>
      <x:c r="AO248" t="n">
        <x:f>AL248*AM248</x:f>
        <x:v>114165675.21198098</x:v>
      </x:c>
      <x:c r="AP248" t="n">
        <x:f>IF(AO248="","",INDEX('_曲线基线'!$A$3:$A$502,MIN(ROWS('_曲线基线'!$A$3:$A$502),COUNTIF('_曲线基线'!$E$3:$E$502,"&lt;"&amp;AO248)+1)))</x:f>
        <x:v>304</x:v>
      </x:c>
      <x:c r="AQ248" t="n">
        <x:f>IF(B248&lt;=2,1,IF(B248&lt;=6,2,IF(B248&lt;=9,3,IF(B248&lt;=19,4,5))))</x:f>
        <x:v>5</x:v>
      </x:c>
      <x:c r="AR248" t="n">
        <x:f>AN248*(1-Q248)/F248*$AS$3+U248*$AS$4+P248*$AS$5</x:f>
        <x:v>17733.563253797445</x:v>
      </x:c>
      <x:c r="AS248" t="n">
        <x:f>1+AH248*$AS$6+AI248*$AS$7+(AJ248-1)*$AS$8+($H$10*H248+$I$10*I248+$J$10*J248+$K$10*K248+$L$10*L248)*$AU$3*$AS$9+($H$10*H248+$I$10*I248+$J$10*J248+$K$10*K248+$L$10*L248)*$AU$4*$AS$10</x:f>
        <x:v>17.569047507789833</x:v>
      </x:c>
      <x:c r="AT248" t="n">
        <x:f>ROUND(AR248*AS248,0)</x:f>
        <x:v>311562</x:v>
      </x:c>
      <x:c r="AU248" t="n">
        <x:f>ROUND(AT248*F248,0)</x:f>
        <x:v>1557810</x:v>
      </x:c>
    </x:row>
    <x:row r="249">
      <x:c r="A249" t="str">
        <x:f>IFERROR(XLOOKUP(B249,'_曲线基线'!$G$3:$G$107,'_曲线基线'!$J$3:$J$107,""),"")</x:f>
      </x:c>
      <x:c r="B249" t="n">
        <x:v>238</x:v>
      </x:c>
      <x:c r="C249" t="n">
        <x:f>C234+1</x:f>
        <x:v>17</x:v>
      </x:c>
      <x:c r="D249" t="n">
        <x:f>D234</x:f>
        <x:v>4</x:v>
      </x:c>
      <x:c r="E249" t="n">
        <x:f>IF($B249&lt;E$8,0,E$3+(E$4-E$3)*(POWER(E$5,$B249-E$8)-1)/(POWER(E$5,$C$5-E$8)-1))</x:f>
        <x:v>1</x:v>
      </x:c>
      <x:c r="F249" t="n">
        <x:f>1+IF(B249&lt;3,0,MIN(1,(B249-2)/4))+IF(B249&lt;7,0,MIN(1,(B249-6)/3))+IF(B249&lt;10,0,MIN(1,(B249-9)/5))+IF(B249&lt;20,0,MIN(1,(B249-19)/10))</x:f>
        <x:v>5</x:v>
      </x:c>
      <x:c r="G249" t="n">
        <x:f>IF($B249&lt;G$8,0,G$3+(G$4-G$3)*(POWER(G$5,$B249-G$8)-1)/(POWER(G$5,$C$5-G$8)-1))</x:f>
        <x:v>0.8882590769570943</x:v>
      </x:c>
      <x:c r="H249" t="n">
        <x:f>IF($B249&lt;H$8,0,H$3+(H$4-H$3)*(POWER(H$5,$B249-H$8)-1)/(POWER(H$5,$C$5-H$8)-1))</x:f>
        <x:v>0.6957098601403177</x:v>
      </x:c>
      <x:c r="I249" t="n">
        <x:f>IF($B249&lt;I$8,0,I$3+(I$4-I$3)*(POWER(I$5,$B249-I$8)-1)/(POWER(I$5,$C$5-I$8)-1))</x:f>
        <x:v>0.6389693254099424</x:v>
      </x:c>
      <x:c r="J249" t="n">
        <x:f>IF($B249&lt;J$8,0,J$3+(J$4-J$3)*(POWER(J$5,$B249-J$8)-1)/(POWER(J$5,$C$5-J$8)-1))</x:f>
        <x:v>0.5949102568062913</x:v>
      </x:c>
      <x:c r="K249" t="n">
        <x:f>IF($B249&lt;K$8,0,K$3+(K$4-K$3)*(POWER(K$5,$B249-K$8)-1)/(POWER(K$5,$C$5-K$8)-1))</x:f>
        <x:v>0.6268463428725913</x:v>
      </x:c>
      <x:c r="L249" t="n">
        <x:f>IF($B249&lt;L$8,0,L$3+(L$4-L$3)*(POWER(L$5,$B249-L$8)-1)/(POWER(L$5,$C$5-L$8)-1))</x:f>
        <x:v>0.6956218815866155</x:v>
      </x:c>
      <x:c r="M249" t="n">
        <x:f>E249*'模块规划'!$F$10+G249*'模块规划'!$F$11+H249*'模块规划'!$F$13</x:f>
        <x:v>5263.643569394052</x:v>
      </x:c>
      <x:c r="N249" t="n">
        <x:f>I249*'模块规划'!$F$15+J249*'模块规划'!$F$17+K249*'模块规划'!$F$16+L249*'模块规划'!$F$18</x:f>
        <x:v>18300.044636511077</x:v>
      </x:c>
      <x:c r="O249" t="n">
        <x:f>1+O$9*SUMPRODUCT($H$10:$L$10,H249:L249)/SUM($H$10:$L$10)</x:f>
        <x:v>3.388090819503945</x:v>
      </x:c>
      <x:c r="P249" t="n">
        <x:f>M249*O249+N249</x:f>
        <x:v>36133.74709111604</x:v>
      </x:c>
      <x:c r="Q249" t="n">
        <x:f>P249/(P249+'_曲线基线'!$L$2)</x:f>
        <x:v>0.6008896641076658</x:v>
      </x:c>
      <x:c r="R249" t="n">
        <x:f>E249*'模块规划'!$E$10+G249*'模块规划'!$E$11+H249*'模块规划'!$E$13</x:f>
        <x:v>7895.465354091079</x:v>
      </x:c>
      <x:c r="S249" t="n">
        <x:f>I249*'模块规划'!$E$15+J249*'模块规划'!$E$17+K249*'模块规划'!$E$16+L249*'模块规划'!$E$18</x:f>
        <x:v>27450.066954766615</x:v>
      </x:c>
      <x:c r="T249" t="n">
        <x:f>1+T$9*SUMPRODUCT($H$10:$L$10,H249:L249)/SUM($H$10:$L$10)</x:f>
        <x:v>3.388090819503945</x:v>
      </x:c>
      <x:c r="U249" t="n">
        <x:f>R249*T249+S249</x:f>
        <x:v>54200.620636674066</x:v>
      </x:c>
      <x:c r="V249" t="n">
        <x:f>V$8+(V$9-V$8)*H249</x:f>
        <x:v>0.9087129580420953</x:v>
      </x:c>
      <x:c r="W249" t="n">
        <x:f>IF(B249&lt;$H$8,0,W$8+(W$9-W$8)*H249)</x:f>
        <x:v>0.27828394405612705</x:v>
      </x:c>
      <x:c r="X249" t="n">
        <x:f>X$8+(X$9-X$8)*H249</x:f>
        <x:v>0.4663202115385874</x:v>
      </x:c>
      <x:c r="Y249" t="n">
        <x:f>Y$8+(Y$9-Y$8)*G249</x:f>
        <x:v>1</x:v>
      </x:c>
      <x:c r="Z249" t="n">
        <x:f>Z$8+(Z$9-Z$8)*H249</x:f>
        <x:v>1</x:v>
      </x:c>
      <x:c r="AA249" t="n">
        <x:f>AA$8+(AA$9-AA$8)*I249</x:f>
        <x:v>1</x:v>
      </x:c>
      <x:c r="AB249" t="n">
        <x:f>AB$8+(AB$9-AB$8)*J249</x:f>
        <x:v>1</x:v>
      </x:c>
      <x:c r="AC249" t="n">
        <x:f>AC$8+(AC$9-AC$8)*MAX(K249,L249)</x:f>
        <x:v>1</x:v>
      </x:c>
      <x:c r="AD249" t="n">
        <x:f>(V249*AE249+W249*AF249+X249*AG249)*PRODUCT(Y249:AC249)</x:f>
        <x:v>1.886157054166782</x:v>
      </x:c>
      <x:c r="AE249" t="n">
        <x:f>1+AE$9*($H$10*H249+$I$10*I249+$J$10*J249+$K$10*K249+$L$10*L249)</x:f>
        <x:v>1</x:v>
      </x:c>
      <x:c r="AF249" t="n">
        <x:f>1+AF$9*($H$10*H249+$I$10*I249+$J$10*J249+$K$10*K249+$L$10*L249)</x:f>
        <x:v>1.2107707686849638</x:v>
      </x:c>
      <x:c r="AG249" t="n">
        <x:f>1+AG$9*($H$10*H249+$I$10*I249+$J$10*J249+$K$10*K249+$L$10*L249)</x:f>
        <x:v>1.3735326400583552</x:v>
      </x:c>
      <x:c r="AH249" t="n">
        <x:f>MIN(1,'_曲线基线'!$L$3+AH$9*($H$10*H249+$I$10*I249+$J$10*J249+$K$10*K249+$L$10*L249))</x:f>
        <x:v>0.5295034987582921</x:v>
      </x:c>
      <x:c r="AI249" t="n">
        <x:f>'_曲线基线'!$L$4+AI$9*($H$10*H249+$I$10*I249+$J$10*J249+$K$10*K249+$L$10*L249)</x:f>
        <x:v>3.3357597465409565</x:v>
      </x:c>
      <x:c r="AJ249" t="n">
        <x:f>1+AJ$9*($H$10*H249+$I$10*I249+$J$10*J249+$K$10*K249+$L$10*L249)</x:f>
        <x:v>2.09600799716181</x:v>
      </x:c>
      <x:c r="AK249" t="n">
        <x:f>(1+AH249*(AI249-1))*AJ249</x:f>
        <x:v>4.68833592807267</x:v>
      </x:c>
      <x:c r="AL249" t="n">
        <x:f>U249*AD249*AK249*F249</x:f>
        <x:v>2396463.607561036</x:v>
      </x:c>
      <x:c r="AM249" t="n">
        <x:f>IF($B249&lt;AM$8,0,AM$3+(AM$4-AM$3)*(POWER(AM$5,$B249-AM$8)-1)/(POWER(AM$5,$C$5-AM$8)-1))</x:f>
        <x:v>47.850340890355895</x:v>
      </x:c>
      <x:c r="AN249" t="n">
        <x:f>(((E249*'模块规划'!$D$10+G249*'模块规划'!$D$11+H249*'模块规划'!$D$13)*(1+'模块规划'!$G$14*H249)+(I249*'模块规划'!$D$15+J249*'模块规划'!$D$17+K249*'模块规划'!$D$16+L249*'模块规划'!$D$18))*(1+'模块规划'!$J$17*J249))*F249/(1-Q249)</x:f>
        <x:v>2883552.3579415525</x:v>
      </x:c>
      <x:c r="AO249" t="n">
        <x:f>AL249*AM249</x:f>
        <x:v>114671600.55312765</x:v>
      </x:c>
      <x:c r="AP249" t="n">
        <x:f>IF(AO249="","",INDEX('_曲线基线'!$A$3:$A$502,MIN(ROWS('_曲线基线'!$A$3:$A$502),COUNTIF('_曲线基线'!$E$3:$E$502,"&lt;"&amp;AO249)+1)))</x:f>
        <x:v>304</x:v>
      </x:c>
      <x:c r="AQ249" t="n">
        <x:f>IF(B249&lt;=2,1,IF(B249&lt;=6,2,IF(B249&lt;=9,3,IF(B249&lt;=19,4,5))))</x:f>
        <x:v>5</x:v>
      </x:c>
      <x:c r="AR249" t="n">
        <x:f>AN249*(1-Q249)/F249*$AS$3+U249*$AS$4+P249*$AS$5</x:f>
        <x:v>17745.257428181925</x:v>
      </x:c>
      <x:c r="AS249" t="n">
        <x:f>1+AH249*$AS$6+AI249*$AS$7+(AJ249-1)*$AS$8+($H$10*H249+$I$10*I249+$J$10*J249+$K$10*K249+$L$10*L249)*$AU$3*$AS$9+($H$10*H249+$I$10*I249+$J$10*J249+$K$10*K249+$L$10*L249)*$AU$4*$AS$10</x:f>
        <x:v>17.57537291721249</x:v>
      </x:c>
      <x:c r="AT249" t="n">
        <x:f>ROUND(AR249*AS249,0)</x:f>
        <x:v>311880</x:v>
      </x:c>
      <x:c r="AU249" t="n">
        <x:f>ROUND(AT249*F249,0)</x:f>
        <x:v>1559400</x:v>
      </x:c>
    </x:row>
    <x:row r="250">
      <x:c r="A250" t="str">
        <x:f>IFERROR(XLOOKUP(B250,'_曲线基线'!$G$3:$G$107,'_曲线基线'!$J$3:$J$107,""),"")</x:f>
      </x:c>
      <x:c r="B250" t="n">
        <x:v>239</x:v>
      </x:c>
      <x:c r="C250" t="n">
        <x:f>C235+1</x:f>
        <x:v>17</x:v>
      </x:c>
      <x:c r="D250" t="n">
        <x:f>D235</x:f>
        <x:v>5</x:v>
      </x:c>
      <x:c r="E250" t="n">
        <x:f>IF($B250&lt;E$8,0,E$3+(E$4-E$3)*(POWER(E$5,$B250-E$8)-1)/(POWER(E$5,$C$5-E$8)-1))</x:f>
        <x:v>1</x:v>
      </x:c>
      <x:c r="F250" t="n">
        <x:f>1+IF(B250&lt;3,0,MIN(1,(B250-2)/4))+IF(B250&lt;7,0,MIN(1,(B250-6)/3))+IF(B250&lt;10,0,MIN(1,(B250-9)/5))+IF(B250&lt;20,0,MIN(1,(B250-19)/10))</x:f>
        <x:v>5</x:v>
      </x:c>
      <x:c r="G250" t="n">
        <x:f>IF($B250&lt;G$8,0,G$3+(G$4-G$3)*(POWER(G$5,$B250-G$8)-1)/(POWER(G$5,$C$5-G$8)-1))</x:f>
        <x:v>0.8886403812572338</x:v>
      </x:c>
      <x:c r="H250" t="n">
        <x:f>IF($B250&lt;H$8,0,H$3+(H$4-H$3)*(POWER(H$5,$B250-H$8)-1)/(POWER(H$5,$C$5-H$8)-1))</x:f>
        <x:v>0.6958622051770227</x:v>
      </x:c>
      <x:c r="I250" t="n">
        <x:f>IF($B250&lt;I$8,0,I$3+(I$4-I$3)*(POWER(I$5,$B250-I$8)-1)/(POWER(I$5,$C$5-I$8)-1))</x:f>
        <x:v>0.6393610302448117</x:v>
      </x:c>
      <x:c r="J250" t="n">
        <x:f>IF($B250&lt;J$8,0,J$3+(J$4-J$3)*(POWER(J$5,$B250-J$8)-1)/(POWER(J$5,$C$5-J$8)-1))</x:f>
        <x:v>0.5950909961618894</x:v>
      </x:c>
      <x:c r="K250" t="n">
        <x:f>IF($B250&lt;K$8,0,K$3+(K$4-K$3)*(POWER(K$5,$B250-K$8)-1)/(POWER(K$5,$C$5-K$8)-1))</x:f>
        <x:v>0.6276685409501132</x:v>
      </x:c>
      <x:c r="L250" t="n">
        <x:f>IF($B250&lt;L$8,0,L$3+(L$4-L$3)*(POWER(L$5,$B250-L$8)-1)/(POWER(L$5,$C$5-L$8)-1))</x:f>
        <x:v>0.6957773507862689</x:v>
      </x:c>
      <x:c r="M250" t="n">
        <x:f>E250*'模块规划'!$F$10+G250*'模块规划'!$F$11+H250*'模块规划'!$F$13</x:f>
        <x:v>5265.473830034722</x:v>
      </x:c>
      <x:c r="N250" t="n">
        <x:f>I250*'模块规划'!$F$15+J250*'模块规划'!$F$17+K250*'模块规划'!$F$16+L250*'模块规划'!$F$18</x:f>
        <x:v>18310.69620320941</x:v>
      </x:c>
      <x:c r="O250" t="n">
        <x:f>1+O$9*SUMPRODUCT($H$10:$L$10,H250:L250)/SUM($H$10:$L$10)</x:f>
        <x:v>3.389266282625002</x:v>
      </x:c>
      <x:c r="P250" t="n">
        <x:f>M250*O250+N250</x:f>
        <x:v>36156.78911739042</x:v>
      </x:c>
      <x:c r="Q250" t="n">
        <x:f>P250/(P250+'_曲线基线'!$L$2)</x:f>
        <x:v>0.6010425364763698</x:v>
      </x:c>
      <x:c r="R250" t="n">
        <x:f>E250*'模块规划'!$E$10+G250*'模块规划'!$E$11+H250*'模块规划'!$E$13</x:f>
        <x:v>7898.210745052083</x:v>
      </x:c>
      <x:c r="S250" t="n">
        <x:f>I250*'模块规划'!$E$15+J250*'模块规划'!$E$17+K250*'模块规划'!$E$16+L250*'模块规划'!$E$18</x:f>
        <x:v>27466.044304814117</x:v>
      </x:c>
      <x:c r="T250" t="n">
        <x:f>1+T$9*SUMPRODUCT($H$10:$L$10,H250:L250)/SUM($H$10:$L$10)</x:f>
        <x:v>3.389266282625002</x:v>
      </x:c>
      <x:c r="U250" t="n">
        <x:f>R250*T250+S250</x:f>
        <x:v>54235.18367608564</x:v>
      </x:c>
      <x:c r="V250" t="n">
        <x:f>V$8+(V$9-V$8)*H250</x:f>
        <x:v>0.9087586615531068</x:v>
      </x:c>
      <x:c r="W250" t="n">
        <x:f>IF(B250&lt;$H$8,0,W$8+(W$9-W$8)*H250)</x:f>
        <x:v>0.2783448820708091</x:v>
      </x:c>
      <x:c r="X250" t="n">
        <x:f>X$8+(X$9-X$8)*H250</x:f>
        <x:v>0.46636210642368126</x:v>
      </x:c>
      <x:c r="Y250" t="n">
        <x:f>Y$8+(Y$9-Y$8)*G250</x:f>
        <x:v>1</x:v>
      </x:c>
      <x:c r="Z250" t="n">
        <x:f>Z$8+(Z$9-Z$8)*H250</x:f>
        <x:v>1</x:v>
      </x:c>
      <x:c r="AA250" t="n">
        <x:f>AA$8+(AA$9-AA$8)*I250</x:f>
        <x:v>1</x:v>
      </x:c>
      <x:c r="AB250" t="n">
        <x:f>AB$8+(AB$9-AB$8)*J250</x:f>
        <x:v>1</x:v>
      </x:c>
      <x:c r="AC250" t="n">
        <x:f>AC$8+(AC$9-AC$8)*MAX(K250,L250)</x:f>
        <x:v>1</x:v>
      </x:c>
      <x:c r="AD250" t="n">
        <x:f>(V250*AE250+W250*AF250+X250*AG250)*PRODUCT(Y250:AC250)</x:f>
        <x:v>1.8864487058502888</x:v>
      </x:c>
      <x:c r="AE250" t="n">
        <x:f>1+AE$9*($H$10*H250+$I$10*I250+$J$10*J250+$K$10*K250+$L$10*L250)</x:f>
        <x:v>1</x:v>
      </x:c>
      <x:c r="AF250" t="n">
        <x:f>1+AF$9*($H$10*H250+$I$10*I250+$J$10*J250+$K$10*K250+$L$10*L250)</x:f>
        <x:v>1.210874514013057</x:v>
      </x:c>
      <x:c r="AG250" t="n">
        <x:f>1+AG$9*($H$10*H250+$I$10*I250+$J$10*J250+$K$10*K250+$L$10*L250)</x:f>
        <x:v>1.373716499834254</x:v>
      </x:c>
      <x:c r="AH250" t="n">
        <x:f>MIN(1,'_曲线基线'!$L$3+AH$9*($H$10*H250+$I$10*I250+$J$10*J250+$K$10*K250+$L$10*L250))</x:f>
        <x:v>0.5297395193797042</x:v>
      </x:c>
      <x:c r="AI250" t="n">
        <x:f>'_曲线基线'!$L$4+AI$9*($H$10*H250+$I$10*I250+$J$10*J250+$K$10*K250+$L$10*L250)</x:f>
        <x:v>3.3364172325577472</x:v>
      </x:c>
      <x:c r="AJ250" t="n">
        <x:f>1+AJ$9*($H$10*H250+$I$10*I250+$J$10*J250+$K$10*K250+$L$10*L250)</x:f>
        <x:v>2.0965474728678952</x:v>
      </x:c>
      <x:c r="AK250" t="n">
        <x:f>(1+AH250*(AI250-1))*AJ250</x:f>
        <x:v>4.6914286436617285</x:v>
      </x:c>
      <x:c r="AL250" t="n">
        <x:f>U250*AD250*AK250*F250</x:f>
        <x:v>2399944.704924325</x:v>
      </x:c>
      <x:c r="AM250" t="n">
        <x:f>IF($B250&lt;AM$8,0,AM$3+(AM$4-AM$3)*(POWER(AM$5,$B250-AM$8)-1)/(POWER(AM$5,$C$5-AM$8)-1))</x:f>
        <x:v>47.99226893918132</x:v>
      </x:c>
      <x:c r="AN250" t="n">
        <x:f>(((E250*'模块规划'!$D$10+G250*'模块规划'!$D$11+H250*'模块规划'!$D$13)*(1+'模块规划'!$G$14*H250)+(I250*'模块规划'!$D$15+J250*'模块规划'!$D$17+K250*'模块规划'!$D$16+L250*'模块规划'!$D$18))*(1+'模块规划'!$J$17*J250))*F250/(1-Q250)</x:f>
        <x:v>2886563.654971229</x:v>
      </x:c>
      <x:c r="AO250" t="n">
        <x:f>AL250*AM250</x:f>
        <x:v>115178791.71789236</x:v>
      </x:c>
      <x:c r="AP250" t="n">
        <x:f>IF(AO250="","",INDEX('_曲线基线'!$A$3:$A$502,MIN(ROWS('_曲线基线'!$A$3:$A$502),COUNTIF('_曲线基线'!$E$3:$E$502,"&lt;"&amp;AO250)+1)))</x:f>
        <x:v>304</x:v>
      </x:c>
      <x:c r="AQ250" t="n">
        <x:f>IF(B250&lt;=2,1,IF(B250&lt;=6,2,IF(B250&lt;=9,3,IF(B250&lt;=19,4,5))))</x:f>
        <x:v>5</x:v>
      </x:c>
      <x:c r="AR250" t="n">
        <x:f>AN250*(1-Q250)/F250*$AS$3+U250*$AS$4+P250*$AS$5</x:f>
        <x:v>17756.733419738048</x:v>
      </x:c>
      <x:c r="AS250" t="n">
        <x:f>1+AH250*$AS$6+AI250*$AS$7+(AJ250-1)*$AS$8+($H$10*H250+$I$10*I250+$J$10*J250+$K$10*K250+$L$10*L250)*$AU$3*$AS$9+($H$10*H250+$I$10*I250+$J$10*J250+$K$10*K250+$L$10*L250)*$AU$4*$AS$10</x:f>
        <x:v>17.58157181844669</x:v>
      </x:c>
      <x:c r="AT250" t="n">
        <x:f>ROUND(AR250*AS250,0)</x:f>
        <x:v>312191</x:v>
      </x:c>
      <x:c r="AU250" t="n">
        <x:f>ROUND(AT250*F250,0)</x:f>
        <x:v>1560955</x:v>
      </x:c>
    </x:row>
    <x:row r="251">
      <x:c r="A251" t="str">
        <x:f>IFERROR(XLOOKUP(B251,'_曲线基线'!$G$3:$G$107,'_曲线基线'!$J$3:$J$107,""),"")</x:f>
      </x:c>
      <x:c r="B251" t="n">
        <x:v>240</x:v>
      </x:c>
      <x:c r="C251" t="n">
        <x:f>C236+1</x:f>
        <x:v>17</x:v>
      </x:c>
      <x:c r="D251" t="n">
        <x:f>D236</x:f>
        <x:v>6</x:v>
      </x:c>
      <x:c r="E251" t="n">
        <x:f>IF($B251&lt;E$8,0,E$3+(E$4-E$3)*(POWER(E$5,$B251-E$8)-1)/(POWER(E$5,$C$5-E$8)-1))</x:f>
        <x:v>1</x:v>
      </x:c>
      <x:c r="F251" t="n">
        <x:f>1+IF(B251&lt;3,0,MIN(1,(B251-2)/4))+IF(B251&lt;7,0,MIN(1,(B251-6)/3))+IF(B251&lt;10,0,MIN(1,(B251-9)/5))+IF(B251&lt;20,0,MIN(1,(B251-19)/10))</x:f>
        <x:v>5</x:v>
      </x:c>
      <x:c r="G251" t="n">
        <x:f>IF($B251&lt;G$8,0,G$3+(G$4-G$3)*(POWER(G$5,$B251-G$8)-1)/(POWER(G$5,$C$5-G$8)-1))</x:f>
        <x:v>0.8890159659928711</x:v>
      </x:c>
      <x:c r="H251" t="n">
        <x:f>IF($B251&lt;H$8,0,H$3+(H$4-H$3)*(POWER(H$5,$B251-H$8)-1)/(POWER(H$5,$C$5-H$8)-1))</x:f>
        <x:v>0.6960115033129936</x:v>
      </x:c>
      <x:c r="I251" t="n">
        <x:f>IF($B251&lt;I$8,0,I$3+(I$4-I$3)*(POWER(I$5,$B251-I$8)-1)/(POWER(I$5,$C$5-I$8)-1))</x:f>
        <x:v>0.6397449009829838</x:v>
      </x:c>
      <x:c r="J251" t="n">
        <x:f>IF($B251&lt;J$8,0,J$3+(J$4-J$3)*(POWER(J$5,$B251-J$8)-1)/(POWER(J$5,$C$5-J$8)-1))</x:f>
        <x:v>0.5952681207303755</x:v>
      </x:c>
      <x:c r="K251" t="n">
        <x:f>IF($B251&lt;K$8,0,K$3+(K$4-K$3)*(POWER(K$5,$B251-K$8)-1)/(POWER(K$5,$C$5-K$8)-1))</x:f>
        <x:v>0.6284742950660844</x:v>
      </x:c>
      <x:c r="L251" t="n">
        <x:f>IF($B251&lt;L$8,0,L$3+(L$4-L$3)*(POWER(L$5,$B251-L$8)-1)/(POWER(L$5,$C$5-L$8)-1))</x:f>
        <x:v>0.6959297106019292</x:v>
      </x:c>
      <x:c r="M251" t="n">
        <x:f>E251*'模块规划'!$F$10+G251*'模块规划'!$F$11+H251*'模块规划'!$F$13</x:f>
        <x:v>5267.276636765781</x:v>
      </x:c>
      <x:c r="N251" t="n">
        <x:f>I251*'模块规划'!$F$15+J251*'模块规划'!$F$17+K251*'模块规划'!$F$16+L251*'模块规划'!$F$18</x:f>
        <x:v>18321.13473857378</x:v>
      </x:c>
      <x:c r="O251" t="n">
        <x:f>1+O$9*SUMPRODUCT($H$10:$L$10,H251:L251)/SUM($H$10:$L$10)</x:f>
        <x:v>3.3904182364836384</x:v>
      </x:c>
      <x:c r="P251" t="n">
        <x:f>M251*O251+N251</x:f>
        <x:v>36179.40550446869</x:v>
      </x:c>
      <x:c r="Q251" t="n">
        <x:f>P251/(P251+'_曲线基线'!$L$2)</x:f>
        <x:v>0.6011924710984748</x:v>
      </x:c>
      <x:c r="R251" t="n">
        <x:f>E251*'模块规划'!$E$10+G251*'模块规划'!$E$11+H251*'模块规划'!$E$13</x:f>
        <x:v>7900.914955148673</x:v>
      </x:c>
      <x:c r="S251" t="n">
        <x:f>I251*'模块规划'!$E$15+J251*'模块规划'!$E$17+K251*'模块规划'!$E$16+L251*'模块规划'!$E$18</x:f>
        <x:v>27481.702107860663</x:v>
      </x:c>
      <x:c r="T251" t="n">
        <x:f>1+T$9*SUMPRODUCT($H$10:$L$10,H251:L251)/SUM($H$10:$L$10)</x:f>
        <x:v>3.3904182364836384</x:v>
      </x:c>
      <x:c r="U251" t="n">
        <x:f>R251*T251+S251</x:f>
        <x:v>54269.10825670303</x:v>
      </x:c>
      <x:c r="V251" t="n">
        <x:f>V$8+(V$9-V$8)*H251</x:f>
        <x:v>0.908803450993898</x:v>
      </x:c>
      <x:c r="W251" t="n">
        <x:f>IF(B251&lt;$H$8,0,W$8+(W$9-W$8)*H251)</x:f>
        <x:v>0.27840460132519745</x:v>
      </x:c>
      <x:c r="X251" t="n">
        <x:f>X$8+(X$9-X$8)*H251</x:f>
        <x:v>0.46640316341107324</x:v>
      </x:c>
      <x:c r="Y251" t="n">
        <x:f>Y$8+(Y$9-Y$8)*G251</x:f>
        <x:v>1</x:v>
      </x:c>
      <x:c r="Z251" t="n">
        <x:f>Z$8+(Z$9-Z$8)*H251</x:f>
        <x:v>1</x:v>
      </x:c>
      <x:c r="AA251" t="n">
        <x:f>AA$8+(AA$9-AA$8)*I251</x:f>
        <x:v>1</x:v>
      </x:c>
      <x:c r="AB251" t="n">
        <x:f>AB$8+(AB$9-AB$8)*J251</x:f>
        <x:v>1</x:v>
      </x:c>
      <x:c r="AC251" t="n">
        <x:f>AC$8+(AC$9-AC$8)*MAX(K251,L251)</x:f>
        <x:v>1</x:v>
      </x:c>
      <x:c r="AD251" t="n">
        <x:f>(V251*AE251+W251*AF251+X251*AG251)*PRODUCT(Y251:AC251)</x:f>
        <x:v>1.886734551713883</x:v>
      </x:c>
      <x:c r="AE251" t="n">
        <x:f>1+AE$9*($H$10*H251+$I$10*I251+$J$10*J251+$K$10*K251+$L$10*L251)</x:f>
        <x:v>1</x:v>
      </x:c>
      <x:c r="AF251" t="n">
        <x:f>1+AF$9*($H$10*H251+$I$10*I251+$J$10*J251+$K$10*K251+$L$10*L251)</x:f>
        <x:v>1.2109761844345885</x:v>
      </x:c>
      <x:c r="AG251" t="n">
        <x:f>1+AG$9*($H$10*H251+$I$10*I251+$J$10*J251+$K$10*K251+$L$10*L251)</x:f>
        <x:v>1.3738966824146348</x:v>
      </x:c>
      <x:c r="AH251" t="n">
        <x:f>MIN(1,'_曲线基线'!$L$3+AH$9*($H$10*H251+$I$10*I251+$J$10*J251+$K$10*K251+$L$10*L251))</x:f>
        <x:v>0.5299708195886883</x:v>
      </x:c>
      <x:c r="AI251" t="n">
        <x:f>'_曲线基线'!$L$4+AI$9*($H$10*H251+$I$10*I251+$J$10*J251+$K$10*K251+$L$10*L251)</x:f>
        <x:v>3.337061568854203</x:v>
      </x:c>
      <x:c r="AJ251" t="n">
        <x:f>1+AJ$9*($H$10*H251+$I$10*I251+$J$10*J251+$K$10*K251+$L$10*L251)</x:f>
        <x:v>2.097076159059859</x:v>
      </x:c>
      <x:c r="AK251" t="n">
        <x:f>(1+AH251*(AI251-1))*AJ251</x:f>
        <x:v>4.69446107807644</x:v>
      </x:c>
      <x:c r="AL251" t="n">
        <x:f>U251*AD251*AK251*F251</x:f>
        <x:v>2403362.248611034</x:v>
      </x:c>
      <x:c r="AM251" t="n">
        <x:f>IF($B251&lt;AM$8,0,AM$3+(AM$4-AM$3)*(POWER(AM$5,$B251-AM$8)-1)/(POWER(AM$5,$C$5-AM$8)-1))</x:f>
        <x:v>48.135616268495</x:v>
      </x:c>
      <x:c r="AN251" t="n">
        <x:f>(((E251*'模块规划'!$D$10+G251*'模块规划'!$D$11+H251*'模块规划'!$D$13)*(1+'模块规划'!$G$14*H251)+(I251*'模块规划'!$D$15+J251*'模块规划'!$D$17+K251*'模块规划'!$D$16+L251*'模块规划'!$D$18))*(1+'模块规划'!$J$17*J251))*F251/(1-Q251)</x:f>
        <x:v>2889519.8635371565</x:v>
      </x:c>
      <x:c r="AO251" t="n">
        <x:f>AL251*AM251</x:f>
        <x:v>115687322.95332801</x:v>
      </x:c>
      <x:c r="AP251" t="n">
        <x:f>IF(AO251="","",INDEX('_曲线基线'!$A$3:$A$502,MIN(ROWS('_曲线基线'!$A$3:$A$502),COUNTIF('_曲线基线'!$E$3:$E$502,"&lt;"&amp;AO251)+1)))</x:f>
        <x:v>305</x:v>
      </x:c>
      <x:c r="AQ251" t="n">
        <x:f>IF(B251&lt;=2,1,IF(B251&lt;=6,2,IF(B251&lt;=9,3,IF(B251&lt;=19,4,5))))</x:f>
        <x:v>5</x:v>
      </x:c>
      <x:c r="AR251" t="n">
        <x:f>AN251*(1-Q251)/F251*$AS$3+U251*$AS$4+P251*$AS$5</x:f>
        <x:v>17767.99531027536</x:v>
      </x:c>
      <x:c r="AS251" t="n">
        <x:f>1+AH251*$AS$6+AI251*$AS$7+(AJ251-1)*$AS$8+($H$10*H251+$I$10*I251+$J$10*J251+$K$10*K251+$L$10*L251)*$AU$3*$AS$9+($H$10*H251+$I$10*I251+$J$10*J251+$K$10*K251+$L$10*L251)*$AU$4*$AS$10</x:f>
        <x:v>17.587646741656215</x:v>
      </x:c>
      <x:c r="AT251" t="n">
        <x:f>ROUND(AR251*AS251,0)</x:f>
        <x:v>312497</x:v>
      </x:c>
      <x:c r="AU251" t="n">
        <x:f>ROUND(AT251*F251,0)</x:f>
        <x:v>1562485</x:v>
      </x:c>
    </x:row>
    <x:row r="252">
      <x:c r="A252" t="str">
        <x:f>IFERROR(XLOOKUP(B252,'_曲线基线'!$G$3:$G$107,'_曲线基线'!$J$3:$J$107,""),"")</x:f>
      </x:c>
      <x:c r="B252" t="n">
        <x:v>241</x:v>
      </x:c>
      <x:c r="C252" t="n">
        <x:f>C237+1</x:f>
        <x:v>17</x:v>
      </x:c>
      <x:c r="D252" t="n">
        <x:f>D237</x:f>
        <x:v>7</x:v>
      </x:c>
      <x:c r="E252" t="n">
        <x:f>IF($B252&lt;E$8,0,E$3+(E$4-E$3)*(POWER(E$5,$B252-E$8)-1)/(POWER(E$5,$C$5-E$8)-1))</x:f>
        <x:v>1</x:v>
      </x:c>
      <x:c r="F252" t="n">
        <x:f>1+IF(B252&lt;3,0,MIN(1,(B252-2)/4))+IF(B252&lt;7,0,MIN(1,(B252-6)/3))+IF(B252&lt;10,0,MIN(1,(B252-9)/5))+IF(B252&lt;20,0,MIN(1,(B252-19)/10))</x:f>
        <x:v>5</x:v>
      </x:c>
      <x:c r="G252" t="n">
        <x:f>IF($B252&lt;G$8,0,G$3+(G$4-G$3)*(POWER(G$5,$B252-G$8)-1)/(POWER(G$5,$C$5-G$8)-1))</x:f>
        <x:v>0.8893859169574738</x:v>
      </x:c>
      <x:c r="H252" t="n">
        <x:f>IF($B252&lt;H$8,0,H$3+(H$4-H$3)*(POWER(H$5,$B252-H$8)-1)/(POWER(H$5,$C$5-H$8)-1))</x:f>
        <x:v>0.6961578154862451</x:v>
      </x:c>
      <x:c r="I252" t="n">
        <x:f>IF($B252&lt;I$8,0,I$3+(I$4-I$3)*(POWER(I$5,$B252-I$8)-1)/(POWER(I$5,$C$5-I$8)-1))</x:f>
        <x:v>0.6401210943063922</x:v>
      </x:c>
      <x:c r="J252" t="n">
        <x:f>IF($B252&lt;J$8,0,J$3+(J$4-J$3)*(POWER(J$5,$B252-J$8)-1)/(POWER(J$5,$C$5-J$8)-1))</x:f>
        <x:v>0.5954417028074919</x:v>
      </x:c>
      <x:c r="K252" t="n">
        <x:f>IF($B252&lt;K$8,0,K$3+(K$4-K$3)*(POWER(K$5,$B252-K$8)-1)/(POWER(K$5,$C$5-K$8)-1))</x:f>
        <x:v>0.6292639340997362</x:v>
      </x:c>
      <x:c r="L252" t="n">
        <x:f>IF($B252&lt;L$8,0,L$3+(L$4-L$3)*(POWER(L$5,$B252-L$8)-1)/(POWER(L$5,$C$5-L$8)-1))</x:f>
        <x:v>0.6960790232212763</x:v>
      </x:c>
      <x:c r="M252" t="n">
        <x:f>E252*'模块规划'!$F$10+G252*'模块规划'!$F$11+H252*'模块规划'!$F$13</x:f>
        <x:v>5269.052401395875</x:v>
      </x:c>
      <x:c r="N252" t="n">
        <x:f>I252*'模块规划'!$F$15+J252*'模块规划'!$F$17+K252*'模块规划'!$F$16+L252*'模块规划'!$F$18</x:f>
        <x:v>18331.364503230856</x:v>
      </x:c>
      <x:c r="O252" t="n">
        <x:f>1+O$9*SUMPRODUCT($H$10:$L$10,H252:L252)/SUM($H$10:$L$10)</x:f>
        <x:v>3.391547151265102</x:v>
      </x:c>
      <x:c r="P252" t="n">
        <x:f>M252*O252+N252</x:f>
        <x:v>36201.60416505158</x:v>
      </x:c>
      <x:c r="Q252" t="n">
        <x:f>P252/(P252+'_曲线基线'!$L$2)</x:f>
        <x:v>0.6013395268637617</x:v>
      </x:c>
      <x:c r="R252" t="n">
        <x:f>E252*'模块规划'!$E$10+G252*'模块规划'!$E$11+H252*'模块规划'!$E$13</x:f>
        <x:v>7903.578602093811</x:v>
      </x:c>
      <x:c r="S252" t="n">
        <x:f>I252*'模块规划'!$E$15+J252*'模块规划'!$E$17+K252*'模块规划'!$E$16+L252*'模块规划'!$E$18</x:f>
        <x:v>27497.046754846284</x:v>
      </x:c>
      <x:c r="T252" t="n">
        <x:f>1+T$9*SUMPRODUCT($H$10:$L$10,H252:L252)/SUM($H$10:$L$10)</x:f>
        <x:v>3.391547151265102</x:v>
      </x:c>
      <x:c r="U252" t="n">
        <x:f>R252*T252+S252</x:f>
        <x:v>54302.40624757737</x:v>
      </x:c>
      <x:c r="V252" t="n">
        <x:f>V$8+(V$9-V$8)*H252</x:f>
        <x:v>0.9088473446458736</x:v>
      </x:c>
      <x:c r="W252" t="n">
        <x:f>IF(B252&lt;$H$8,0,W$8+(W$9-W$8)*H252)</x:f>
        <x:v>0.27846312619449803</x:v>
      </x:c>
      <x:c r="X252" t="n">
        <x:f>X$8+(X$9-X$8)*H252</x:f>
        <x:v>0.4664433992587175</x:v>
      </x:c>
      <x:c r="Y252" t="n">
        <x:f>Y$8+(Y$9-Y$8)*G252</x:f>
        <x:v>1</x:v>
      </x:c>
      <x:c r="Z252" t="n">
        <x:f>Z$8+(Z$9-Z$8)*H252</x:f>
        <x:v>1</x:v>
      </x:c>
      <x:c r="AA252" t="n">
        <x:f>AA$8+(AA$9-AA$8)*I252</x:f>
        <x:v>1</x:v>
      </x:c>
      <x:c r="AB252" t="n">
        <x:f>AB$8+(AB$9-AB$8)*J252</x:f>
        <x:v>1</x:v>
      </x:c>
      <x:c r="AC252" t="n">
        <x:f>AC$8+(AC$9-AC$8)*MAX(K252,L252)</x:f>
        <x:v>1</x:v>
      </x:c>
      <x:c r="AD252" t="n">
        <x:f>(V252*AE252+W252*AF252+X252*AG252)*PRODUCT(Y252:AC252)</x:f>
        <x:v>1.8870147067962981</x:v>
      </x:c>
      <x:c r="AE252" t="n">
        <x:f>1+AE$9*($H$10*H252+$I$10*I252+$J$10*J252+$K$10*K252+$L$10*L252)</x:f>
        <x:v>1</x:v>
      </x:c>
      <x:c r="AF252" t="n">
        <x:f>1+AF$9*($H$10*H252+$I$10*I252+$J$10*J252+$K$10*K252+$L$10*L252)</x:f>
        <x:v>1.2110758214476893</x:v>
      </x:c>
      <x:c r="AG252" t="n">
        <x:f>1+AG$9*($H$10*H252+$I$10*I252+$J$10*J252+$K$10*K252+$L$10*L252)</x:f>
        <x:v>1.374073261343408</x:v>
      </x:c>
      <x:c r="AH252" t="n">
        <x:f>MIN(1,'_曲线基线'!$L$3+AH$9*($H$10*H252+$I$10*I252+$J$10*J252+$K$10*K252+$L$10*L252))</x:f>
        <x:v>0.5301974937934927</x:v>
      </x:c>
      <x:c r="AI252" t="n">
        <x:f>'_曲线基线'!$L$4+AI$9*($H$10*H252+$I$10*I252+$J$10*J252+$K$10*K252+$L$10*L252)</x:f>
        <x:v>3.33769301842473</x:v>
      </x:c>
      <x:c r="AJ252" t="n">
        <x:f>1+AJ$9*($H$10*H252+$I$10*I252+$J$10*J252+$K$10*K252+$L$10*L252)</x:f>
        <x:v>2.097594271527983</x:v>
      </x:c>
      <x:c r="AK252" t="n">
        <x:f>(1+AH252*(AI252-1))*AJ252</x:f>
        <x:v>4.697434375102773</x:v>
      </x:c>
      <x:c r="AL252" t="n">
        <x:f>U252*AD252*AK252*F252</x:f>
        <x:v>2406717.3305626055</x:v>
      </x:c>
      <x:c r="AM252" t="n">
        <x:f>IF($B252&lt;AM$8,0,AM$3+(AM$4-AM$3)*(POWER(AM$5,$B252-AM$8)-1)/(POWER(AM$5,$C$5-AM$8)-1))</x:f>
        <x:v>48.280397071101824</x:v>
      </x:c>
      <x:c r="AN252" t="n">
        <x:f>(((E252*'模块规划'!$D$10+G252*'模块规划'!$D$11+H252*'模块规划'!$D$13)*(1+'模块规划'!$G$14*H252)+(I252*'模块规划'!$D$15+J252*'模块规划'!$D$17+K252*'模块规划'!$D$16+L252*'模块规划'!$D$18))*(1+'模块规划'!$J$17*J252))*F252/(1-Q252)</x:f>
        <x:v>2892421.96580114</x:v>
      </x:c>
      <x:c r="AO252" t="n">
        <x:f>AL252*AM252</x:f>
        <x:v>116197268.35746482</x:v>
      </x:c>
      <x:c r="AP252" t="n">
        <x:f>IF(AO252="","",INDEX('_曲线基线'!$A$3:$A$502,MIN(ROWS('_曲线基线'!$A$3:$A$502),COUNTIF('_曲线基线'!$E$3:$E$502,"&lt;"&amp;AO252)+1)))</x:f>
        <x:v>305</x:v>
      </x:c>
      <x:c r="AQ252" t="n">
        <x:f>IF(B252&lt;=2,1,IF(B252&lt;=6,2,IF(B252&lt;=9,3,IF(B252&lt;=19,4,5))))</x:f>
        <x:v>5</x:v>
      </x:c>
      <x:c r="AR252" t="n">
        <x:f>AN252*(1-Q252)/F252*$AS$3+U252*$AS$4+P252*$AS$5</x:f>
        <x:v>17779.04710589106</x:v>
      </x:c>
      <x:c r="AS252" t="n">
        <x:f>1+AH252*$AS$6+AI252*$AS$7+(AJ252-1)*$AS$8+($H$10*H252+$I$10*I252+$J$10*J252+$K$10*K252+$L$10*L252)*$AU$3*$AS$9+($H$10*H252+$I$10*I252+$J$10*J252+$K$10*K252+$L$10*L252)*$AU$4*$AS$10</x:f>
        <x:v>17.593600166401544</x:v>
      </x:c>
      <x:c r="AT252" t="n">
        <x:f>ROUND(AR252*AS252,0)</x:f>
        <x:v>312797</x:v>
      </x:c>
      <x:c r="AU252" t="n">
        <x:f>ROUND(AT252*F252,0)</x:f>
        <x:v>1563985</x:v>
      </x:c>
    </x:row>
    <x:row r="253">
      <x:c r="A253" t="str">
        <x:f>IFERROR(XLOOKUP(B253,'_曲线基线'!$G$3:$G$107,'_曲线基线'!$J$3:$J$107,""),"")</x:f>
      </x:c>
      <x:c r="B253" t="n">
        <x:v>242</x:v>
      </x:c>
      <x:c r="C253" t="n">
        <x:f>C238+1</x:f>
        <x:v>17</x:v>
      </x:c>
      <x:c r="D253" t="n">
        <x:f>D238</x:f>
        <x:v>8</x:v>
      </x:c>
      <x:c r="E253" t="n">
        <x:f>IF($B253&lt;E$8,0,E$3+(E$4-E$3)*(POWER(E$5,$B253-E$8)-1)/(POWER(E$5,$C$5-E$8)-1))</x:f>
        <x:v>1</x:v>
      </x:c>
      <x:c r="F253" t="n">
        <x:f>1+IF(B253&lt;3,0,MIN(1,(B253-2)/4))+IF(B253&lt;7,0,MIN(1,(B253-6)/3))+IF(B253&lt;10,0,MIN(1,(B253-9)/5))+IF(B253&lt;20,0,MIN(1,(B253-19)/10))</x:f>
        <x:v>5</x:v>
      </x:c>
      <x:c r="G253" t="n">
        <x:f>IF($B253&lt;G$8,0,G$3+(G$4-G$3)*(POWER(G$5,$B253-G$8)-1)/(POWER(G$5,$C$5-G$8)-1))</x:f>
        <x:v>0.8897503186576076</x:v>
      </x:c>
      <x:c r="H253" t="n">
        <x:f>IF($B253&lt;H$8,0,H$3+(H$4-H$3)*(POWER(H$5,$B253-H$8)-1)/(POWER(H$5,$C$5-H$8)-1))</x:f>
        <x:v>0.6963012014160316</x:v>
      </x:c>
      <x:c r="I253" t="n">
        <x:f>IF($B253&lt;I$8,0,I$3+(I$4-I$3)*(POWER(I$5,$B253-I$8)-1)/(POWER(I$5,$C$5-I$8)-1))</x:f>
        <x:v>0.6404897637633326</x:v>
      </x:c>
      <x:c r="J253" t="n">
        <x:f>IF($B253&lt;J$8,0,J$3+(J$4-J$3)*(POWER(J$5,$B253-J$8)-1)/(POWER(J$5,$C$5-J$8)-1))</x:f>
        <x:v>0.5956118132430659</x:v>
      </x:c>
      <x:c r="K253" t="n">
        <x:f>IF($B253&lt;K$8,0,K$3+(K$4-K$3)*(POWER(K$5,$B253-K$8)-1)/(POWER(K$5,$C$5-K$8)-1))</x:f>
        <x:v>0.6300377803527151</x:v>
      </x:c>
      <x:c r="L253" t="n">
        <x:f>IF($B253&lt;L$8,0,L$3+(L$4-L$3)*(POWER(L$5,$B253-L$8)-1)/(POWER(L$5,$C$5-L$8)-1))</x:f>
        <x:v>0.6962253495882366</x:v>
      </x:c>
      <x:c r="M253" t="n">
        <x:f>E253*'模块规划'!$F$10+G253*'模块规划'!$F$11+H253*'模块规划'!$F$13</x:f>
        <x:v>5270.8015295565165</x:v>
      </x:c>
      <x:c r="N253" t="n">
        <x:f>I253*'模块规划'!$F$15+J253*'模块规划'!$F$17+K253*'模块规划'!$F$16+L253*'模块规划'!$F$18</x:f>
        <x:v>18341.389672594793</x:v>
      </x:c>
      <x:c r="O253" t="n">
        <x:f>1+O$9*SUMPRODUCT($H$10:$L$10,H253:L253)/SUM($H$10:$L$10)</x:f>
        <x:v>3.392653487750936</x:v>
      </x:c>
      <x:c r="P253" t="n">
        <x:f>M253*O253+N253</x:f>
        <x:v>36223.39286508768</x:v>
      </x:c>
      <x:c r="Q253" t="n">
        <x:f>P253/(P253+'_曲线基线'!$L$2)</x:f>
        <x:v>0.6014837614053935</x:v>
      </x:c>
      <x:c r="R253" t="n">
        <x:f>E253*'模块规划'!$E$10+G253*'模块规划'!$E$11+H253*'模块规划'!$E$13</x:f>
        <x:v>7906.202294334775</x:v>
      </x:c>
      <x:c r="S253" t="n">
        <x:f>I253*'模块规划'!$E$15+J253*'模块规划'!$E$17+K253*'模块规划'!$E$16+L253*'模块规划'!$E$18</x:f>
        <x:v>27512.08450889219</x:v>
      </x:c>
      <x:c r="T253" t="n">
        <x:f>1+T$9*SUMPRODUCT($H$10:$L$10,H253:L253)/SUM($H$10:$L$10)</x:f>
        <x:v>3.392653487750936</x:v>
      </x:c>
      <x:c r="U253" t="n">
        <x:f>R253*T253+S253</x:f>
        <x:v>54335.08929763151</x:v>
      </x:c>
      <x:c r="V253" t="n">
        <x:f>V$8+(V$9-V$8)*H253</x:f>
        <x:v>0.9088903604248095</x:v>
      </x:c>
      <x:c r="W253" t="n">
        <x:f>IF(B253&lt;$H$8,0,W$8+(W$9-W$8)*H253)</x:f>
        <x:v>0.27852048056641265</x:v>
      </x:c>
      <x:c r="X253" t="n">
        <x:f>X$8+(X$9-X$8)*H253</x:f>
        <x:v>0.46648283038940874</x:v>
      </x:c>
      <x:c r="Y253" t="n">
        <x:f>Y$8+(Y$9-Y$8)*G253</x:f>
        <x:v>1</x:v>
      </x:c>
      <x:c r="Z253" t="n">
        <x:f>Z$8+(Z$9-Z$8)*H253</x:f>
        <x:v>1</x:v>
      </x:c>
      <x:c r="AA253" t="n">
        <x:f>AA$8+(AA$9-AA$8)*I253</x:f>
        <x:v>1</x:v>
      </x:c>
      <x:c r="AB253" t="n">
        <x:f>AB$8+(AB$9-AB$8)*J253</x:f>
        <x:v>1</x:v>
      </x:c>
      <x:c r="AC253" t="n">
        <x:f>AC$8+(AC$9-AC$8)*MAX(K253,L253)</x:f>
        <x:v>1</x:v>
      </x:c>
      <x:c r="AD253" t="n">
        <x:f>(V253*AE253+W253*AF253+X253*AG253)*PRODUCT(Y253:AC253)</x:f>
        <x:v>1.8872892838781687</x:v>
      </x:c>
      <x:c r="AE253" t="n">
        <x:f>1+AE$9*($H$10*H253+$I$10*I253+$J$10*J253+$K$10*K253+$L$10*L253)</x:f>
        <x:v>1</x:v>
      </x:c>
      <x:c r="AF253" t="n">
        <x:f>1+AF$9*($H$10*H253+$I$10*I253+$J$10*J253+$K$10*K253+$L$10*L253)</x:f>
        <x:v>1.2111734657205282</x:v>
      </x:c>
      <x:c r="AG253" t="n">
        <x:f>1+AG$9*($H$10*H253+$I$10*I253+$J$10*J253+$K$10*K253+$L$10*L253)</x:f>
        <x:v>1.3742463086936054</x:v>
      </x:c>
      <x:c r="AH253" t="n">
        <x:f>MIN(1,'_曲线基线'!$L$3+AH$9*($H$10*H253+$I$10*I253+$J$10*J253+$K$10*K253+$L$10*L253))</x:f>
        <x:v>0.5304196345142009</x:v>
      </x:c>
      <x:c r="AI253" t="n">
        <x:f>'_曲线基线'!$L$4+AI$9*($H$10*H253+$I$10*I253+$J$10*J253+$K$10*K253+$L$10*L253)</x:f>
        <x:v>3.3383118390038455</x:v>
      </x:c>
      <x:c r="AJ253" t="n">
        <x:f>1+AJ$9*($H$10*H253+$I$10*I253+$J$10*J253+$K$10*K253+$L$10*L253)</x:f>
        <x:v>2.098102021746745</x:v>
      </x:c>
      <x:c r="AK253" t="n">
        <x:f>(1+AH253*(AI253-1))*AJ253</x:f>
        <x:v>4.700349658072777</x:v>
      </x:c>
      <x:c r="AL253" t="n">
        <x:f>U253*AD253*AK253*F253</x:f>
        <x:v>2410011.026833806</x:v>
      </x:c>
      <x:c r="AM253" t="n">
        <x:f>IF($B253&lt;AM$8,0,AM$3+(AM$4-AM$3)*(POWER(AM$5,$B253-AM$8)-1)/(POWER(AM$5,$C$5-AM$8)-1))</x:f>
        <x:v>48.42662568173471</x:v>
      </x:c>
      <x:c r="AN253" t="n">
        <x:f>(((E253*'模块规划'!$D$10+G253*'模块规划'!$D$11+H253*'模块规划'!$D$13)*(1+'模块规划'!$G$14*H253)+(I253*'模块规划'!$D$15+J253*'模块规划'!$D$17+K253*'模块规划'!$D$16+L253*'模块规划'!$D$18))*(1+'模块规划'!$J$17*J253))*F253/(1-Q253)</x:f>
        <x:v>2895270.9276543623</x:v>
      </x:c>
      <x:c r="AO253" t="n">
        <x:f>AL253*AM253</x:f>
        <x:v>116708701.88533385</x:v>
      </x:c>
      <x:c r="AP253" t="n">
        <x:f>IF(AO253="","",INDEX('_曲线基线'!$A$3:$A$502,MIN(ROWS('_曲线基线'!$A$3:$A$502),COUNTIF('_曲线基线'!$E$3:$E$502,"&lt;"&amp;AO253)+1)))</x:f>
        <x:v>305</x:v>
      </x:c>
      <x:c r="AQ253" t="n">
        <x:f>IF(B253&lt;=2,1,IF(B253&lt;=6,2,IF(B253&lt;=9,3,IF(B253&lt;=19,4,5))))</x:f>
        <x:v>5</x:v>
      </x:c>
      <x:c r="AR253" t="n">
        <x:f>AN253*(1-Q253)/F253*$AS$3+U253*$AS$4+P253*$AS$5</x:f>
        <x:v>17789.892738333103</x:v>
      </x:c>
      <x:c r="AS253" t="n">
        <x:f>1+AH253*$AS$6+AI253*$AS$7+(AJ253-1)*$AS$8+($H$10*H253+$I$10*I253+$J$10*J253+$K$10*K253+$L$10*L253)*$AU$3*$AS$9+($H$10*H253+$I$10*I253+$J$10*J253+$K$10*K253+$L$10*L253)*$AU$4*$AS$10</x:f>
        <x:v>17.59943452265197</x:v>
      </x:c>
      <x:c r="AT253" t="n">
        <x:f>ROUND(AR253*AS253,0)</x:f>
        <x:v>313092</x:v>
      </x:c>
      <x:c r="AU253" t="n">
        <x:f>ROUND(AT253*F253,0)</x:f>
        <x:v>1565460</x:v>
      </x:c>
    </x:row>
    <x:row r="254">
      <x:c r="A254" t="str">
        <x:f>IFERROR(XLOOKUP(B254,'_曲线基线'!$G$3:$G$107,'_曲线基线'!$J$3:$J$107,""),"")</x:f>
      </x:c>
      <x:c r="B254" t="n">
        <x:v>243</x:v>
      </x:c>
      <x:c r="C254" t="n">
        <x:f>C239+1</x:f>
        <x:v>17</x:v>
      </x:c>
      <x:c r="D254" t="n">
        <x:f>D239</x:f>
        <x:v>9</x:v>
      </x:c>
      <x:c r="E254" t="n">
        <x:f>IF($B254&lt;E$8,0,E$3+(E$4-E$3)*(POWER(E$5,$B254-E$8)-1)/(POWER(E$5,$C$5-E$8)-1))</x:f>
        <x:v>1</x:v>
      </x:c>
      <x:c r="F254" t="n">
        <x:f>1+IF(B254&lt;3,0,MIN(1,(B254-2)/4))+IF(B254&lt;7,0,MIN(1,(B254-6)/3))+IF(B254&lt;10,0,MIN(1,(B254-9)/5))+IF(B254&lt;20,0,MIN(1,(B254-19)/10))</x:f>
        <x:v>5</x:v>
      </x:c>
      <x:c r="G254" t="n">
        <x:f>IF($B254&lt;G$8,0,G$3+(G$4-G$3)*(POWER(G$5,$B254-G$8)-1)/(POWER(G$5,$C$5-G$8)-1))</x:f>
        <x:v>0.8901092543322393</x:v>
      </x:c>
      <x:c r="H254" t="n">
        <x:f>IF($B254&lt;H$8,0,H$3+(H$4-H$3)*(POWER(H$5,$B254-H$8)-1)/(POWER(H$5,$C$5-H$8)-1))</x:f>
        <x:v>0.6964417196272223</x:v>
      </x:c>
      <x:c r="I254" t="n">
        <x:f>IF($B254&lt;I$8,0,I$3+(I$4-I$3)*(POWER(I$5,$B254-I$8)-1)/(POWER(I$5,$C$5-I$8)-1))</x:f>
        <x:v>0.6408510598311342</x:v>
      </x:c>
      <x:c r="J254" t="n">
        <x:f>IF($B254&lt;J$8,0,J$3+(J$4-J$3)*(POWER(J$5,$B254-J$8)-1)/(POWER(J$5,$C$5-J$8)-1))</x:f>
        <x:v>0.5957785214699285</x:v>
      </x:c>
      <x:c r="K254" t="n">
        <x:f>IF($B254&lt;K$8,0,K$3+(K$4-K$3)*(POWER(K$5,$B254-K$8)-1)/(POWER(K$5,$C$5-K$8)-1))</x:f>
        <x:v>0.6307961496806342</x:v>
      </x:c>
      <x:c r="L254" t="n">
        <x:f>IF($B254&lt;L$8,0,L$3+(L$4-L$3)*(POWER(L$5,$B254-L$8)-1)/(POWER(L$5,$C$5-L$8)-1))</x:f>
        <x:v>0.6963687494278575</x:v>
      </x:c>
      <x:c r="M254" t="n">
        <x:f>E254*'模块规划'!$F$10+G254*'模块规划'!$F$11+H254*'模块规划'!$F$13</x:f>
        <x:v>5272.524420794749</x:v>
      </x:c>
      <x:c r="N254" t="n">
        <x:f>I254*'模块规划'!$F$15+J254*'模块规划'!$F$17+K254*'模块规划'!$F$16+L254*'模块规划'!$F$18</x:f>
        <x:v>18351.214338571448</x:v>
      </x:c>
      <x:c r="O254" t="n">
        <x:f>1+O$9*SUMPRODUCT($H$10:$L$10,H254:L254)/SUM($H$10:$L$10)</x:f>
        <x:v>3.393737697507053</x:v>
      </x:c>
      <x:c r="P254" t="n">
        <x:f>M254*O254+N254</x:f>
        <x:v>36244.77922644913</x:v>
      </x:c>
      <x:c r="Q254" t="n">
        <x:f>P254/(P254+'_曲线基线'!$L$2)</x:f>
        <x:v>0.6016252311293502</x:v>
      </x:c>
      <x:c r="R254" t="n">
        <x:f>E254*'模块规划'!$E$10+G254*'模块规划'!$E$11+H254*'模块规划'!$E$13</x:f>
        <x:v>7908.786631192123</x:v>
      </x:c>
      <x:c r="S254" t="n">
        <x:f>I254*'模块规划'!$E$15+J254*'模块规划'!$E$17+K254*'模块规划'!$E$16+L254*'模块规划'!$E$18</x:f>
        <x:v>27526.821507857177</x:v>
      </x:c>
      <x:c r="T254" t="n">
        <x:f>1+T$9*SUMPRODUCT($H$10:$L$10,H254:L254)/SUM($H$10:$L$10)</x:f>
        <x:v>3.393737697507053</x:v>
      </x:c>
      <x:c r="U254" t="n">
        <x:f>R254*T254+S254</x:f>
        <x:v>54367.16883967369</x:v>
      </x:c>
      <x:c r="V254" t="n">
        <x:f>V$8+(V$9-V$8)*H254</x:f>
        <x:v>0.9089325158881667</x:v>
      </x:c>
      <x:c r="W254" t="n">
        <x:f>IF(B254&lt;$H$8,0,W$8+(W$9-W$8)*H254)</x:f>
        <x:v>0.27857668785088896</x:v>
      </x:c>
      <x:c r="X254" t="n">
        <x:f>X$8+(X$9-X$8)*H254</x:f>
        <x:v>0.4665214728974862</x:v>
      </x:c>
      <x:c r="Y254" t="n">
        <x:f>Y$8+(Y$9-Y$8)*G254</x:f>
        <x:v>1</x:v>
      </x:c>
      <x:c r="Z254" t="n">
        <x:f>Z$8+(Z$9-Z$8)*H254</x:f>
        <x:v>1</x:v>
      </x:c>
      <x:c r="AA254" t="n">
        <x:f>AA$8+(AA$9-AA$8)*I254</x:f>
        <x:v>1</x:v>
      </x:c>
      <x:c r="AB254" t="n">
        <x:f>AB$8+(AB$9-AB$8)*J254</x:f>
        <x:v>1</x:v>
      </x:c>
      <x:c r="AC254" t="n">
        <x:f>AC$8+(AC$9-AC$8)*MAX(K254,L254)</x:f>
        <x:v>1</x:v>
      </x:c>
      <x:c r="AD254" t="n">
        <x:f>(V254*AE254+W254*AF254+X254*AG254)*PRODUCT(Y254:AC254)</x:f>
        <x:v>1.8875583935255018</x:v>
      </x:c>
      <x:c r="AE254" t="n">
        <x:f>1+AE$9*($H$10*H254+$I$10*I254+$J$10*J254+$K$10*K254+$L$10*L254)</x:f>
        <x:v>1</x:v>
      </x:c>
      <x:c r="AF254" t="n">
        <x:f>1+AF$9*($H$10*H254+$I$10*I254+$J$10*J254+$K$10*K254+$L$10*L254)</x:f>
        <x:v>1.2112691571079102</x:v>
      </x:c>
      <x:c r="AG254" t="n">
        <x:f>1+AG$9*($H$10*H254+$I$10*I254+$J$10*J254+$K$10*K254+$L$10*L254)</x:f>
        <x:v>1.374415895096799</x:v>
      </x:c>
      <x:c r="AH254" t="n">
        <x:f>MIN(1,'_曲线基线'!$L$3+AH$9*($H$10*H254+$I$10*I254+$J$10*J254+$K$10*K254+$L$10*L254))</x:f>
        <x:v>0.530637332420495</x:v>
      </x:c>
      <x:c r="AI254" t="n">
        <x:f>'_曲线基线'!$L$4+AI$9*($H$10*H254+$I$10*I254+$J$10*J254+$K$10*K254+$L$10*L254)</x:f>
        <x:v>3.3389182831713793</x:v>
      </x:c>
      <x:c r="AJ254" t="n">
        <x:f>1+AJ$9*($H$10*H254+$I$10*I254+$J$10*J254+$K$10*K254+$L$10*L254)</x:f>
        <x:v>2.0985996169611316</x:v>
      </x:c>
      <x:c r="AK254" t="n">
        <x:f>(1+AH254*(AI254-1))*AJ254</x:f>
        <x:v>4.7032080301793275</x:v>
      </x:c>
      <x:c r="AL254" t="n">
        <x:f>U254*AD254*AK254*F254</x:f>
        <x:v>2413244.3977027275</x:v>
      </x:c>
      <x:c r="AM254" t="n">
        <x:f>IF($B254&lt;AM$8,0,AM$3+(AM$4-AM$3)*(POWER(AM$5,$B254-AM$8)-1)/(POWER(AM$5,$C$5-AM$8)-1))</x:f>
        <x:v>48.574316578473926</x:v>
      </x:c>
      <x:c r="AN254" t="n">
        <x:f>(((E254*'模块规划'!$D$10+G254*'模块规划'!$D$11+H254*'模块规划'!$D$13)*(1+'模块规划'!$G$14*H254)+(I254*'模块规划'!$D$15+J254*'模块规划'!$D$17+K254*'模块规划'!$D$16+L254*'模块规划'!$D$18))*(1+'模块规划'!$J$17*J254))*F254/(1-Q254)</x:f>
        <x:v>2898067.6989339273</x:v>
      </x:c>
      <x:c r="AO254" t="n">
        <x:f>AL254*AM254</x:f>
        <x:v>117221697.35524093</x:v>
      </x:c>
      <x:c r="AP254" t="n">
        <x:f>IF(AO254="","",INDEX('_曲线基线'!$A$3:$A$502,MIN(ROWS('_曲线基线'!$A$3:$A$502),COUNTIF('_曲线基线'!$E$3:$E$502,"&lt;"&amp;AO254)+1)))</x:f>
        <x:v>306</x:v>
      </x:c>
      <x:c r="AQ254" t="n">
        <x:f>IF(B254&lt;=2,1,IF(B254&lt;=6,2,IF(B254&lt;=9,3,IF(B254&lt;=19,4,5))))</x:f>
        <x:v>5</x:v>
      </x:c>
      <x:c r="AR254" t="n">
        <x:f>AN254*(1-Q254)/F254*$AS$3+U254*$AS$4+P254*$AS$5</x:f>
        <x:v>17800.536066340534</x:v>
      </x:c>
      <x:c r="AS254" t="n">
        <x:f>1+AH254*$AS$6+AI254*$AS$7+(AJ254-1)*$AS$8+($H$10*H254+$I$10*I254+$J$10*J254+$K$10*K254+$L$10*L254)*$AU$3*$AS$9+($H$10*H254+$I$10*I254+$J$10*J254+$K$10*K254+$L$10*L254)*$AU$4*$AS$10</x:f>
        <x:v>17.605152191777382</x:v>
      </x:c>
      <x:c r="AT254" t="n">
        <x:f>ROUND(AR254*AS254,0)</x:f>
        <x:v>313381</x:v>
      </x:c>
      <x:c r="AU254" t="n">
        <x:f>ROUND(AT254*F254,0)</x:f>
        <x:v>1566905</x:v>
      </x:c>
    </x:row>
    <x:row r="255">
      <x:c r="A255" t="str">
        <x:f>IFERROR(XLOOKUP(B255,'_曲线基线'!$G$3:$G$107,'_曲线基线'!$J$3:$J$107,""),"")</x:f>
      </x:c>
      <x:c r="B255" t="n">
        <x:v>244</x:v>
      </x:c>
      <x:c r="C255" t="n">
        <x:f>C240+1</x:f>
        <x:v>17</x:v>
      </x:c>
      <x:c r="D255" t="n">
        <x:f>D240</x:f>
        <x:v>10</x:v>
      </x:c>
      <x:c r="E255" t="n">
        <x:f>IF($B255&lt;E$8,0,E$3+(E$4-E$3)*(POWER(E$5,$B255-E$8)-1)/(POWER(E$5,$C$5-E$8)-1))</x:f>
        <x:v>1</x:v>
      </x:c>
      <x:c r="F255" t="n">
        <x:f>1+IF(B255&lt;3,0,MIN(1,(B255-2)/4))+IF(B255&lt;7,0,MIN(1,(B255-6)/3))+IF(B255&lt;10,0,MIN(1,(B255-9)/5))+IF(B255&lt;20,0,MIN(1,(B255-19)/10))</x:f>
        <x:v>5</x:v>
      </x:c>
      <x:c r="G255" t="n">
        <x:f>IF($B255&lt;G$8,0,G$3+(G$4-G$3)*(POWER(G$5,$B255-G$8)-1)/(POWER(G$5,$C$5-G$8)-1))</x:f>
        <x:v>0.8904628059717515</x:v>
      </x:c>
      <x:c r="H255" t="n">
        <x:f>IF($B255&lt;H$8,0,H$3+(H$4-H$3)*(POWER(H$5,$B255-H$8)-1)/(POWER(H$5,$C$5-H$8)-1))</x:f>
        <x:v>0.6965794274741892</x:v>
      </x:c>
      <x:c r="I255" t="n">
        <x:f>IF($B255&lt;I$8,0,I$3+(I$4-I$3)*(POWER(I$5,$B255-I$8)-1)/(POWER(I$5,$C$5-I$8)-1))</x:f>
        <x:v>0.6412051299775796</x:v>
      </x:c>
      <x:c r="J255" t="n">
        <x:f>IF($B255&lt;J$8,0,J$3+(J$4-J$3)*(POWER(J$5,$B255-J$8)-1)/(POWER(J$5,$C$5-J$8)-1))</x:f>
        <x:v>0.5959418955322539</x:v>
      </x:c>
      <x:c r="K255" t="n">
        <x:f>IF($B255&lt;K$8,0,K$3+(K$4-K$3)*(POWER(K$5,$B255-K$8)-1)/(POWER(K$5,$C$5-K$8)-1))</x:f>
        <x:v>0.6315393516219951</x:v>
      </x:c>
      <x:c r="L255" t="n">
        <x:f>IF($B255&lt;L$8,0,L$3+(L$4-L$3)*(POWER(L$5,$B255-L$8)-1)/(POWER(L$5,$C$5-L$8)-1))</x:f>
        <x:v>0.6965092812706861</x:v>
      </x:c>
      <x:c r="M255" t="n">
        <x:f>E255*'模块规划'!$F$10+G255*'模块规划'!$F$11+H255*'模块规划'!$F$13</x:f>
        <x:v>5274.221468664407</x:v>
      </x:c>
      <x:c r="N255" t="n">
        <x:f>I255*'模块规划'!$F$15+J255*'模块规划'!$F$17+K255*'模块规划'!$F$16+L255*'模块规划'!$F$18</x:f>
        <x:v>18360.842511228577</x:v>
      </x:c>
      <x:c r="O255" t="n">
        <x:f>1+O$9*SUMPRODUCT($H$10:$L$10,H255:L255)/SUM($H$10:$L$10)</x:f>
        <x:v>3.3948002230680485</x:v>
      </x:c>
      <x:c r="P255" t="n">
        <x:f>M255*O255+N255</x:f>
        <x:v>36265.7707295608</x:v>
      </x:c>
      <x:c r="Q255" t="n">
        <x:f>P255/(P255+'_曲线基线'!$L$2)</x:f>
        <x:v>0.6017639912430784</x:v>
      </x:c>
      <x:c r="R255" t="n">
        <x:f>E255*'模块规划'!$E$10+G255*'模块规划'!$E$11+H255*'模块规划'!$E$13</x:f>
        <x:v>7911.332202996611</x:v>
      </x:c>
      <x:c r="S255" t="n">
        <x:f>I255*'模块规划'!$E$15+J255*'模块规划'!$E$17+K255*'模块规划'!$E$16+L255*'模块规划'!$E$18</x:f>
        <x:v>27541.263766842865</x:v>
      </x:c>
      <x:c r="T255" t="n">
        <x:f>1+T$9*SUMPRODUCT($H$10:$L$10,H255:L255)/SUM($H$10:$L$10)</x:f>
        <x:v>3.3948002230680485</x:v>
      </x:c>
      <x:c r="U255" t="n">
        <x:f>R255*T255+S255</x:f>
        <x:v>54398.6560943412</x:v>
      </x:c>
      <x:c r="V255" t="n">
        <x:f>V$8+(V$9-V$8)*H255</x:f>
        <x:v>0.9089738282422568</x:v>
      </x:c>
      <x:c r="W255" t="n">
        <x:f>IF(B255&lt;$H$8,0,W$8+(W$9-W$8)*H255)</x:f>
        <x:v>0.2786317709896757</x:v>
      </x:c>
      <x:c r="X255" t="n">
        <x:f>X$8+(X$9-X$8)*H255</x:f>
        <x:v>0.4665593425554021</x:v>
      </x:c>
      <x:c r="Y255" t="n">
        <x:f>Y$8+(Y$9-Y$8)*G255</x:f>
        <x:v>1</x:v>
      </x:c>
      <x:c r="Z255" t="n">
        <x:f>Z$8+(Z$9-Z$8)*H255</x:f>
        <x:v>1</x:v>
      </x:c>
      <x:c r="AA255" t="n">
        <x:f>AA$8+(AA$9-AA$8)*I255</x:f>
        <x:v>1</x:v>
      </x:c>
      <x:c r="AB255" t="n">
        <x:f>AB$8+(AB$9-AB$8)*J255</x:f>
        <x:v>1</x:v>
      </x:c>
      <x:c r="AC255" t="n">
        <x:f>AC$8+(AC$9-AC$8)*MAX(K255,L255)</x:f>
        <x:v>1</x:v>
      </x:c>
      <x:c r="AD255" t="n">
        <x:f>(V255*AE255+W255*AF255+X255*AG255)*PRODUCT(Y255:AC255)</x:f>
        <x:v>1.8878221441323475</x:v>
      </x:c>
      <x:c r="AE255" t="n">
        <x:f>1+AE$9*($H$10*H255+$I$10*I255+$J$10*J255+$K$10*K255+$L$10*L255)</x:f>
        <x:v>1</x:v>
      </x:c>
      <x:c r="AF255" t="n">
        <x:f>1+AF$9*($H$10*H255+$I$10*I255+$J$10*J255+$K$10*K255+$L$10*L255)</x:f>
        <x:v>1.2113629346675445</x:v>
      </x:c>
      <x:c r="AG255" t="n">
        <x:f>1+AG$9*($H$10*H255+$I$10*I255+$J$10*J255+$K$10*K255+$L$10*L255)</x:f>
        <x:v>1.374582089771929</x:v>
      </x:c>
      <x:c r="AH255" t="n">
        <x:f>MIN(1,'_曲线基线'!$L$3+AH$9*($H$10*H255+$I$10*I255+$J$10*J255+$K$10*K255+$L$10*L255))</x:f>
        <x:v>0.5308506763686633</x:v>
      </x:c>
      <x:c r="AI255" t="n">
        <x:f>'_曲线基线'!$L$4+AI$9*($H$10*H255+$I$10*I255+$J$10*J255+$K$10*K255+$L$10*L255)</x:f>
        <x:v>3.339512598455562</x:v>
      </x:c>
      <x:c r="AJ255" t="n">
        <x:f>1+AJ$9*($H$10*H255+$I$10*I255+$J$10*J255+$K$10*K255+$L$10*L255)</x:f>
        <x:v>2.0990872602712303</x:v>
      </x:c>
      <x:c r="AK255" t="n">
        <x:f>(1+AH255*(AI255-1))*AJ255</x:f>
        <x:v>4.706010574788237</x:v>
      </x:c>
      <x:c r="AL255" t="n">
        <x:f>U255*AD255*AK255*F255</x:f>
        <x:v>2416418.48778584</x:v>
      </x:c>
      <x:c r="AM255" t="n">
        <x:f>IF($B255&lt;AM$8,0,AM$3+(AM$4-AM$3)*(POWER(AM$5,$B255-AM$8)-1)/(POWER(AM$5,$C$5-AM$8)-1))</x:f>
        <x:v>48.72348438418054</x:v>
      </x:c>
      <x:c r="AN255" t="n">
        <x:f>(((E255*'模块规划'!$D$10+G255*'模块规划'!$D$11+H255*'模块规划'!$D$13)*(1+'模块规划'!$G$14*H255)+(I255*'模块规划'!$D$15+J255*'模块规划'!$D$17+K255*'模块规划'!$D$16+L255*'模块规划'!$D$18))*(1+'模块规划'!$J$17*J255))*F255/(1-Q255)</x:f>
        <x:v>2900813.2136388477</x:v>
      </x:c>
      <x:c r="AO255" t="n">
        <x:f>AL255*AM255</x:f>
        <x:v>117736328.45527852</x:v>
      </x:c>
      <x:c r="AP255" t="n">
        <x:f>IF(AO255="","",INDEX('_曲线基线'!$A$3:$A$502,MIN(ROWS('_曲线基线'!$A$3:$A$502),COUNTIF('_曲线基线'!$E$3:$E$502,"&lt;"&amp;AO255)+1)))</x:f>
        <x:v>306</x:v>
      </x:c>
      <x:c r="AQ255" t="n">
        <x:f>IF(B255&lt;=2,1,IF(B255&lt;=6,2,IF(B255&lt;=9,3,IF(B255&lt;=19,4,5))))</x:f>
        <x:v>5</x:v>
      </x:c>
      <x:c r="AR255" t="n">
        <x:f>AN255*(1-Q255)/F255*$AS$3+U255*$AS$4+P255*$AS$5</x:f>
        <x:v>17810.980876961483</x:v>
      </x:c>
      <x:c r="AS255" t="n">
        <x:f>1+AH255*$AS$6+AI255*$AS$7+(AJ255-1)*$AS$8+($H$10*H255+$I$10*I255+$J$10*J255+$K$10*K255+$L$10*L255)*$AU$3*$AS$9+($H$10*H255+$I$10*I255+$J$10*J255+$K$10*K255+$L$10*L255)*$AU$4*$AS$10</x:f>
        <x:v>17.61075550752029</x:v>
      </x:c>
      <x:c r="AT255" t="n">
        <x:f>ROUND(AR255*AS255,0)</x:f>
        <x:v>313665</x:v>
      </x:c>
      <x:c r="AU255" t="n">
        <x:f>ROUND(AT255*F255,0)</x:f>
        <x:v>1568325</x:v>
      </x:c>
    </x:row>
    <x:row r="256">
      <x:c r="A256" t="str">
        <x:f>IFERROR(XLOOKUP(B256,'_曲线基线'!$G$3:$G$107,'_曲线基线'!$J$3:$J$107,""),"")</x:f>
      </x:c>
      <x:c r="B256" t="n">
        <x:v>245</x:v>
      </x:c>
      <x:c r="C256" t="n">
        <x:f>C241+1</x:f>
        <x:v>17</x:v>
      </x:c>
      <x:c r="D256" t="n">
        <x:f>D241</x:f>
        <x:v>11</x:v>
      </x:c>
      <x:c r="E256" t="n">
        <x:f>IF($B256&lt;E$8,0,E$3+(E$4-E$3)*(POWER(E$5,$B256-E$8)-1)/(POWER(E$5,$C$5-E$8)-1))</x:f>
        <x:v>1</x:v>
      </x:c>
      <x:c r="F256" t="n">
        <x:f>1+IF(B256&lt;3,0,MIN(1,(B256-2)/4))+IF(B256&lt;7,0,MIN(1,(B256-6)/3))+IF(B256&lt;10,0,MIN(1,(B256-9)/5))+IF(B256&lt;20,0,MIN(1,(B256-19)/10))</x:f>
        <x:v>5</x:v>
      </x:c>
      <x:c r="G256" t="n">
        <x:f>IF($B256&lt;G$8,0,G$3+(G$4-G$3)*(POWER(G$5,$B256-G$8)-1)/(POWER(G$5,$C$5-G$8)-1))</x:f>
        <x:v>0.8908110543366712</x:v>
      </x:c>
      <x:c r="H256" t="n">
        <x:f>IF($B256&lt;H$8,0,H$3+(H$4-H$3)*(POWER(H$5,$B256-H$8)-1)/(POWER(H$5,$C$5-H$8)-1))</x:f>
        <x:v>0.6967143811642167</x:v>
      </x:c>
      <x:c r="I256" t="n">
        <x:f>IF($B256&lt;I$8,0,I$3+(I$4-I$3)*(POWER(I$5,$B256-I$8)-1)/(POWER(I$5,$C$5-I$8)-1))</x:f>
        <x:v>0.6415521187210962</x:v>
      </x:c>
      <x:c r="J256" t="n">
        <x:f>IF($B256&lt;J$8,0,J$3+(J$4-J$3)*(POWER(J$5,$B256-J$8)-1)/(POWER(J$5,$C$5-J$8)-1))</x:f>
        <x:v>0.5961020021133326</x:v>
      </x:c>
      <x:c r="K256" t="n">
        <x:f>IF($B256&lt;K$8,0,K$3+(K$4-K$3)*(POWER(K$5,$B256-K$8)-1)/(POWER(K$5,$C$5-K$8)-1))</x:f>
        <x:v>0.6322676895245288</x:v>
      </x:c>
      <x:c r="L256" t="n">
        <x:f>IF($B256&lt;L$8,0,L$3+(L$4-L$3)*(POWER(L$5,$B256-L$8)-1)/(POWER(L$5,$C$5-L$8)-1))</x:f>
        <x:v>0.696647002476658</x:v>
      </x:c>
      <x:c r="M256" t="n">
        <x:f>E256*'模块规划'!$F$10+G256*'模块规划'!$F$11+H256*'模块规划'!$F$13</x:f>
        <x:v>5275.893060816022</x:v>
      </x:c>
      <x:c r="N256" t="n">
        <x:f>I256*'模块规划'!$F$15+J256*'模块规划'!$F$17+K256*'模块规划'!$F$16+L256*'模块规划'!$F$18</x:f>
        <x:v>18370.278120432562</x:v>
      </x:c>
      <x:c r="O256" t="n">
        <x:f>1+O$9*SUMPRODUCT($H$10:$L$10,H256:L256)/SUM($H$10:$L$10)</x:f>
        <x:v>3.3958414981178233</x:v>
      </x:c>
      <x:c r="P256" t="n">
        <x:f>M256*O256+N256</x:f>
        <x:v>36286.374715983475</x:v>
      </x:c>
      <x:c r="Q256" t="n">
        <x:f>P256/(P256+'_曲线基线'!$L$2)</x:f>
        <x:v>0.6019000957833847</x:v>
      </x:c>
      <x:c r="R256" t="n">
        <x:f>E256*'模块规划'!$E$10+G256*'模块规划'!$E$11+H256*'模块规划'!$E$13</x:f>
        <x:v>7913.839591224032</x:v>
      </x:c>
      <x:c r="S256" t="n">
        <x:f>I256*'模块规划'!$E$15+J256*'模块规划'!$E$17+K256*'模块规划'!$E$16+L256*'模块规划'!$E$18</x:f>
        <x:v>27555.417180648838</x:v>
      </x:c>
      <x:c r="T256" t="n">
        <x:f>1+T$9*SUMPRODUCT($H$10:$L$10,H256:L256)/SUM($H$10:$L$10)</x:f>
        <x:v>3.3958414981178233</x:v>
      </x:c>
      <x:c r="U256" t="n">
        <x:f>R256*T256+S256</x:f>
        <x:v>54429.5620739752</x:v>
      </x:c>
      <x:c r="V256" t="n">
        <x:f>V$8+(V$9-V$8)*H256</x:f>
        <x:v>0.909014314349265</x:v>
      </x:c>
      <x:c r="W256" t="n">
        <x:f>IF(B256&lt;$H$8,0,W$8+(W$9-W$8)*H256)</x:f>
        <x:v>0.27868575246568666</x:v>
      </x:c>
      <x:c r="X256" t="n">
        <x:f>X$8+(X$9-X$8)*H256</x:f>
        <x:v>0.46659645482015966</x:v>
      </x:c>
      <x:c r="Y256" t="n">
        <x:f>Y$8+(Y$9-Y$8)*G256</x:f>
        <x:v>1</x:v>
      </x:c>
      <x:c r="Z256" t="n">
        <x:f>Z$8+(Z$9-Z$8)*H256</x:f>
        <x:v>1</x:v>
      </x:c>
      <x:c r="AA256" t="n">
        <x:f>AA$8+(AA$9-AA$8)*I256</x:f>
        <x:v>1</x:v>
      </x:c>
      <x:c r="AB256" t="n">
        <x:f>AB$8+(AB$9-AB$8)*J256</x:f>
        <x:v>1</x:v>
      </x:c>
      <x:c r="AC256" t="n">
        <x:f>AC$8+(AC$9-AC$8)*MAX(K256,L256)</x:f>
        <x:v>1</x:v>
      </x:c>
      <x:c r="AD256" t="n">
        <x:f>(V256*AE256+W256*AF256+X256*AG256)*PRODUCT(Y256:AC256)</x:f>
        <x:v>1.8880806419626772</x:v>
      </x:c>
      <x:c r="AE256" t="n">
        <x:f>1+AE$9*($H$10*H256+$I$10*I256+$J$10*J256+$K$10*K256+$L$10*L256)</x:f>
        <x:v>1</x:v>
      </x:c>
      <x:c r="AF256" t="n">
        <x:f>1+AF$9*($H$10*H256+$I$10*I256+$J$10*J256+$K$10*K256+$L$10*L256)</x:f>
        <x:v>1.211454836675986</x:v>
      </x:c>
      <x:c r="AG256" t="n">
        <x:f>1+AG$9*($H$10*H256+$I$10*I256+$J$10*J256+$K$10*K256+$L$10*L256)</x:f>
        <x:v>1.3747449605535562</x:v>
      </x:c>
      <x:c r="AH256" t="n">
        <x:f>MIN(1,'_曲线基线'!$L$3+AH$9*($H$10*H256+$I$10*I256+$J$10*J256+$K$10*K256+$L$10*L256))</x:f>
        <x:v>0.531059753437868</x:v>
      </x:c>
      <x:c r="AI256" t="n">
        <x:f>'_曲线基线'!$L$4+AI$9*($H$10*H256+$I$10*I256+$J$10*J256+$K$10*K256+$L$10*L256)</x:f>
        <x:v>3.340095027434061</x:v>
      </x:c>
      <x:c r="AJ256" t="n">
        <x:f>1+AJ$9*($H$10*H256+$I$10*I256+$J$10*J256+$K$10*K256+$L$10*L256)</x:f>
        <x:v>2.099565150715127</x:v>
      </x:c>
      <x:c r="AK256" t="n">
        <x:f>(1+AH256*(AI256-1))*AJ256</x:f>
        <x:v>4.708758355747632</x:v>
      </x:c>
      <x:c r="AL256" t="n">
        <x:f>U256*AD256*AK256*F256</x:f>
        <x:v>2419534.326157774</x:v>
      </x:c>
      <x:c r="AM256" t="n">
        <x:f>IF($B256&lt;AM$8,0,AM$3+(AM$4-AM$3)*(POWER(AM$5,$B256-AM$8)-1)/(POWER(AM$5,$C$5-AM$8)-1))</x:f>
        <x:v>48.87414386794421</x:v>
      </x:c>
      <x:c r="AN256" t="n">
        <x:f>(((E256*'模块规划'!$D$10+G256*'模块规划'!$D$11+H256*'模块规划'!$D$13)*(1+'模块规划'!$G$14*H256)+(I256*'模块规划'!$D$15+J256*'模块规划'!$D$17+K256*'模块规划'!$D$16+L256*'模块规划'!$D$18))*(1+'模块规划'!$J$17*J256))*F256/(1-Q256)</x:f>
        <x:v>2903508.3901453433</x:v>
      </x:c>
      <x:c r="AO256" t="n">
        <x:f>AL256*AM256</x:f>
        <x:v>118252668.75006449</x:v>
      </x:c>
      <x:c r="AP256" t="n">
        <x:f>IF(AO256="","",INDEX('_曲线基线'!$A$3:$A$502,MIN(ROWS('_曲线基线'!$A$3:$A$502),COUNTIF('_曲线基线'!$E$3:$E$502,"&lt;"&amp;AO256)+1)))</x:f>
        <x:v>306</x:v>
      </x:c>
      <x:c r="AQ256" t="n">
        <x:f>IF(B256&lt;=2,1,IF(B256&lt;=6,2,IF(B256&lt;=9,3,IF(B256&lt;=19,4,5))))</x:f>
        <x:v>5</x:v>
      </x:c>
      <x:c r="AR256" t="n">
        <x:f>AN256*(1-Q256)/F256*$AS$3+U256*$AS$4+P256*$AS$5</x:f>
        <x:v>17821.230886849044</x:v>
      </x:c>
      <x:c r="AS256" t="n">
        <x:f>1+AH256*$AS$6+AI256*$AS$7+(AJ256-1)*$AS$8+($H$10*H256+$I$10*I256+$J$10*J256+$K$10*K256+$L$10*L256)*$AU$3*$AS$9+($H$10*H256+$I$10*I256+$J$10*J256+$K$10*K256+$L$10*L256)*$AU$4*$AS$10</x:f>
        <x:v>17.616246756948335</x:v>
      </x:c>
      <x:c r="AT256" t="n">
        <x:f>ROUND(AR256*AS256,0)</x:f>
        <x:v>313943</x:v>
      </x:c>
      <x:c r="AU256" t="n">
        <x:f>ROUND(AT256*F256,0)</x:f>
        <x:v>1569715</x:v>
      </x:c>
    </x:row>
    <x:row r="257">
      <x:c r="A257" t="str">
        <x:f>IFERROR(XLOOKUP(B257,'_曲线基线'!$G$3:$G$107,'_曲线基线'!$J$3:$J$107,""),"")</x:f>
      </x:c>
      <x:c r="B257" t="n">
        <x:v>246</x:v>
      </x:c>
      <x:c r="C257" t="n">
        <x:f>C242+1</x:f>
        <x:v>17</x:v>
      </x:c>
      <x:c r="D257" t="n">
        <x:f>D242</x:f>
        <x:v>12</x:v>
      </x:c>
      <x:c r="E257" t="n">
        <x:f>IF($B257&lt;E$8,0,E$3+(E$4-E$3)*(POWER(E$5,$B257-E$8)-1)/(POWER(E$5,$C$5-E$8)-1))</x:f>
        <x:v>1</x:v>
      </x:c>
      <x:c r="F257" t="n">
        <x:f>1+IF(B257&lt;3,0,MIN(1,(B257-2)/4))+IF(B257&lt;7,0,MIN(1,(B257-6)/3))+IF(B257&lt;10,0,MIN(1,(B257-9)/5))+IF(B257&lt;20,0,MIN(1,(B257-19)/10))</x:f>
        <x:v>5</x:v>
      </x:c>
      <x:c r="G257" t="n">
        <x:f>IF($B257&lt;G$8,0,G$3+(G$4-G$3)*(POWER(G$5,$B257-G$8)-1)/(POWER(G$5,$C$5-G$8)-1))</x:f>
        <x:v>0.8911540789761169</x:v>
      </x:c>
      <x:c r="H257" t="n">
        <x:f>IF($B257&lt;H$8,0,H$3+(H$4-H$3)*(POWER(H$5,$B257-H$8)-1)/(POWER(H$5,$C$5-H$8)-1))</x:f>
        <x:v>0.6968466357804437</x:v>
      </x:c>
      <x:c r="I257" t="n">
        <x:f>IF($B257&lt;I$8,0,I$3+(I$4-I$3)*(POWER(I$5,$B257-I$8)-1)/(POWER(I$5,$C$5-I$8)-1))</x:f>
        <x:v>0.6418921676897424</x:v>
      </x:c>
      <x:c r="J257" t="n">
        <x:f>IF($B257&lt;J$8,0,J$3+(J$4-J$3)*(POWER(J$5,$B257-J$8)-1)/(POWER(J$5,$C$5-J$8)-1))</x:f>
        <x:v>0.5962589065627899</x:v>
      </x:c>
      <x:c r="K257" t="n">
        <x:f>IF($B257&lt;K$8,0,K$3+(K$4-K$3)*(POWER(K$5,$B257-K$8)-1)/(POWER(K$5,$C$5-K$8)-1))</x:f>
        <x:v>0.6329814606690118</x:v>
      </x:c>
      <x:c r="L257" t="n">
        <x:f>IF($B257&lt;L$8,0,L$3+(L$4-L$3)*(POWER(L$5,$B257-L$8)-1)/(POWER(L$5,$C$5-L$8)-1))</x:f>
        <x:v>0.6967819692585105</x:v>
      </x:c>
      <x:c r="M257" t="n">
        <x:f>E257*'模块规划'!$F$10+G257*'模块规划'!$F$11+H257*'模块规划'!$F$13</x:f>
        <x:v>5277.539579085361</x:v>
      </x:c>
      <x:c r="N257" t="n">
        <x:f>I257*'模块规划'!$F$15+J257*'模块规划'!$F$17+K257*'模块规划'!$F$16+L257*'模块规划'!$F$18</x:f>
        <x:v>18379.525017452463</x:v>
      </x:c>
      <x:c r="O257" t="n">
        <x:f>1+O$9*SUMPRODUCT($H$10:$L$10,H257:L257)/SUM($H$10:$L$10)</x:f>
        <x:v>3.3968619476666024</x:v>
      </x:c>
      <x:c r="P257" t="n">
        <x:f>M257*O257+N257</x:f>
        <x:v>36306.59839095194</x:v>
      </x:c>
      <x:c r="Q257" t="n">
        <x:f>P257/(P257+'_曲线基线'!$L$2)</x:f>
        <x:v>0.6020335976435901</x:v>
      </x:c>
      <x:c r="R257" t="n">
        <x:f>E257*'模块规划'!$E$10+G257*'模块规划'!$E$11+H257*'模块规划'!$E$13</x:f>
        <x:v>7916.309368628042</x:v>
      </x:c>
      <x:c r="S257" t="n">
        <x:f>I257*'模块规划'!$E$15+J257*'模块规划'!$E$17+K257*'模块规划'!$E$16+L257*'模块规划'!$E$18</x:f>
        <x:v>27569.28752617869</x:v>
      </x:c>
      <x:c r="T257" t="n">
        <x:f>1+T$9*SUMPRODUCT($H$10:$L$10,H257:L257)/SUM($H$10:$L$10)</x:f>
        <x:v>3.3968619476666024</x:v>
      </x:c>
      <x:c r="U257" t="n">
        <x:f>R257*T257+S257</x:f>
        <x:v>54459.89758642791</x:v>
      </x:c>
      <x:c r="V257" t="n">
        <x:f>V$8+(V$9-V$8)*H257</x:f>
        <x:v>0.9090539907341331</x:v>
      </x:c>
      <x:c r="W257" t="n">
        <x:f>IF(B257&lt;$H$8,0,W$8+(W$9-W$8)*H257)</x:f>
        <x:v>0.2787386543121775</x:v>
      </x:c>
      <x:c r="X257" t="n">
        <x:f>X$8+(X$9-X$8)*H257</x:f>
        <x:v>0.4666328248396221</x:v>
      </x:c>
      <x:c r="Y257" t="n">
        <x:f>Y$8+(Y$9-Y$8)*G257</x:f>
        <x:v>1</x:v>
      </x:c>
      <x:c r="Z257" t="n">
        <x:f>Z$8+(Z$9-Z$8)*H257</x:f>
        <x:v>1</x:v>
      </x:c>
      <x:c r="AA257" t="n">
        <x:f>AA$8+(AA$9-AA$8)*I257</x:f>
        <x:v>1</x:v>
      </x:c>
      <x:c r="AB257" t="n">
        <x:f>AB$8+(AB$9-AB$8)*J257</x:f>
        <x:v>1</x:v>
      </x:c>
      <x:c r="AC257" t="n">
        <x:f>AC$8+(AC$9-AC$8)*MAX(K257,L257)</x:f>
        <x:v>1</x:v>
      </x:c>
      <x:c r="AD257" t="n">
        <x:f>(V257*AE257+W257*AF257+X257*AG257)*PRODUCT(Y257:AC257)</x:f>
        <x:v>1.8883339911914918</x:v>
      </x:c>
      <x:c r="AE257" t="n">
        <x:f>1+AE$9*($H$10*H257+$I$10*I257+$J$10*J257+$K$10*K257+$L$10*L257)</x:f>
        <x:v>1</x:v>
      </x:c>
      <x:c r="AF257" t="n">
        <x:f>1+AF$9*($H$10*H257+$I$10*I257+$J$10*J257+$K$10*K257+$L$10*L257)</x:f>
        <x:v>1.2115449006442591</x:v>
      </x:c>
      <x:c r="AG257" t="n">
        <x:f>1+AG$9*($H$10*H257+$I$10*I257+$J$10*J257+$K$10*K257+$L$10*L257)</x:f>
        <x:v>1.374904573919551</x:v>
      </x:c>
      <x:c r="AH257" t="n">
        <x:f>MIN(1,'_曲线基线'!$L$3+AH$9*($H$10*H257+$I$10*I257+$J$10*J257+$K$10*K257+$L$10*L257))</x:f>
        <x:v>0.5312646489656888</x:v>
      </x:c>
      <x:c r="AI257" t="n">
        <x:f>'_曲线基线'!$L$4+AI$9*($H$10*H257+$I$10*I257+$J$10*J257+$K$10*K257+$L$10*L257)</x:f>
        <x:v>3.3406658078329903</x:v>
      </x:c>
      <x:c r="AJ257" t="n">
        <x:f>1+AJ$9*($H$10*H257+$I$10*I257+$J$10*J257+$K$10*K257+$L$10*L257)</x:f>
        <x:v>2.100033483350146</x:v>
      </x:c>
      <x:c r="AK257" t="n">
        <x:f>(1+AH257*(AI257-1))*AJ257</x:f>
        <x:v>4.711452417694501</x:v>
      </x:c>
      <x:c r="AL257" t="n">
        <x:f>U257*AD257*AK257*F257</x:f>
        <x:v>2422592.9264754704</x:v>
      </x:c>
      <x:c r="AM257" t="n">
        <x:f>IF($B257&lt;AM$8,0,AM$3+(AM$4-AM$3)*(POWER(AM$5,$B257-AM$8)-1)/(POWER(AM$5,$C$5-AM$8)-1))</x:f>
        <x:v>49.02630994654552</x:v>
      </x:c>
      <x:c r="AN257" t="n">
        <x:f>(((E257*'模块规划'!$D$10+G257*'模块规划'!$D$11+H257*'模块规划'!$D$13)*(1+'模块规划'!$G$14*H257)+(I257*'模块规划'!$D$15+J257*'模块规划'!$D$17+K257*'模块规划'!$D$16+L257*'模块规划'!$D$18))*(1+'模块规划'!$J$17*J257))*F257/(1-Q257)</x:f>
        <x:v>2906154.131421319</x:v>
      </x:c>
      <x:c r="AO257" t="n">
        <x:f>AL257*AM257</x:f>
        <x:v>118770791.68769516</x:v>
      </x:c>
      <x:c r="AP257" t="n">
        <x:f>IF(AO257="","",INDEX('_曲线基线'!$A$3:$A$502,MIN(ROWS('_曲线基线'!$A$3:$A$502),COUNTIF('_曲线基线'!$E$3:$E$502,"&lt;"&amp;AO257)+1)))</x:f>
        <x:v>307</x:v>
      </x:c>
      <x:c r="AQ257" t="n">
        <x:f>IF(B257&lt;=2,1,IF(B257&lt;=6,2,IF(B257&lt;=9,3,IF(B257&lt;=19,4,5))))</x:f>
        <x:v>5</x:v>
      </x:c>
      <x:c r="AR257" t="n">
        <x:f>AN257*(1-Q257)/F257*$AS$3+U257*$AS$4+P257*$AS$5</x:f>
        <x:v>17831.28974353534</x:v>
      </x:c>
      <x:c r="AS257" t="n">
        <x:f>1+AH257*$AS$6+AI257*$AS$7+(AJ257-1)*$AS$8+($H$10*H257+$I$10*I257+$J$10*J257+$K$10*K257+$L$10*L257)*$AU$3*$AS$9+($H$10*H257+$I$10*I257+$J$10*J257+$K$10*K257+$L$10*L257)*$AU$4*$AS$10</x:f>
        <x:v>17.621628181387823</x:v>
      </x:c>
      <x:c r="AT257" t="n">
        <x:f>ROUND(AR257*AS257,0)</x:f>
        <x:v>314216</x:v>
      </x:c>
      <x:c r="AU257" t="n">
        <x:f>ROUND(AT257*F257,0)</x:f>
        <x:v>1571080</x:v>
      </x:c>
    </x:row>
    <x:row r="258">
      <x:c r="A258" t="str">
        <x:f>IFERROR(XLOOKUP(B258,'_曲线基线'!$G$3:$G$107,'_曲线基线'!$J$3:$J$107,""),"")</x:f>
      </x:c>
      <x:c r="B258" t="n">
        <x:v>247</x:v>
      </x:c>
      <x:c r="C258" t="n">
        <x:f>C243+1</x:f>
        <x:v>17</x:v>
      </x:c>
      <x:c r="D258" t="n">
        <x:f>D243</x:f>
        <x:v>13</x:v>
      </x:c>
      <x:c r="E258" t="n">
        <x:f>IF($B258&lt;E$8,0,E$3+(E$4-E$3)*(POWER(E$5,$B258-E$8)-1)/(POWER(E$5,$C$5-E$8)-1))</x:f>
        <x:v>1</x:v>
      </x:c>
      <x:c r="F258" t="n">
        <x:f>1+IF(B258&lt;3,0,MIN(1,(B258-2)/4))+IF(B258&lt;7,0,MIN(1,(B258-6)/3))+IF(B258&lt;10,0,MIN(1,(B258-9)/5))+IF(B258&lt;20,0,MIN(1,(B258-19)/10))</x:f>
        <x:v>5</x:v>
      </x:c>
      <x:c r="G258" t="n">
        <x:f>IF($B258&lt;G$8,0,G$3+(G$4-G$3)*(POWER(G$5,$B258-G$8)-1)/(POWER(G$5,$C$5-G$8)-1))</x:f>
        <x:v>0.8914919582459709</x:v>
      </x:c>
      <x:c r="H258" t="n">
        <x:f>IF($B258&lt;H$8,0,H$3+(H$4-H$3)*(POWER(H$5,$B258-H$8)-1)/(POWER(H$5,$C$5-H$8)-1))</x:f>
        <x:v>0.6969762453043462</x:v>
      </x:c>
      <x:c r="I258" t="n">
        <x:f>IF($B258&lt;I$8,0,I$3+(I$4-I$3)*(POWER(I$5,$B258-I$8)-1)/(POWER(I$5,$C$5-I$8)-1))</x:f>
        <x:v>0.6422254156790158</x:v>
      </x:c>
      <x:c r="J258" t="n">
        <x:f>IF($B258&lt;J$8,0,J$3+(J$4-J$3)*(POWER(J$5,$B258-J$8)-1)/(POWER(J$5,$C$5-J$8)-1))</x:f>
        <x:v>0.596412672923258</x:v>
      </x:c>
      <x:c r="K258" t="n">
        <x:f>IF($B258&lt;K$8,0,K$3+(K$4-K$3)*(POWER(K$5,$B258-K$8)-1)/(POWER(K$5,$C$5-K$8)-1))</x:f>
        <x:v>0.6336809563906051</x:v>
      </x:c>
      <x:c r="L258" t="n">
        <x:f>IF($B258&lt;L$8,0,L$3+(L$4-L$3)*(POWER(L$5,$B258-L$8)-1)/(POWER(L$5,$C$5-L$8)-1))</x:f>
        <x:v>0.696914236704726</x:v>
      </x:c>
      <x:c r="M258" t="n">
        <x:f>E258*'模块规划'!$F$10+G258*'模块规划'!$F$11+H258*'模块规划'!$F$13</x:f>
        <x:v>5279.16139958066</x:v>
      </x:c>
      <x:c r="N258" t="n">
        <x:f>I258*'模块规划'!$F$15+J258*'模块规划'!$F$17+K258*'模块规划'!$F$16+L258*'模块规划'!$F$18</x:f>
        <x:v>18388.586976531966</x:v>
      </x:c>
      <x:c r="O258" t="n">
        <x:f>1+O$9*SUMPRODUCT($H$10:$L$10,H258:L258)/SUM($H$10:$L$10)</x:f>
        <x:v>3.3978619882244074</x:v>
      </x:c>
      <x:c r="P258" t="n">
        <x:f>M258*O258+N258</x:f>
        <x:v>36326.448825868654</x:v>
      </x:c>
      <x:c r="Q258" t="n">
        <x:f>P258/(P258+'_曲线基线'!$L$2)</x:f>
        <x:v>0.6021645485999744</x:v>
      </x:c>
      <x:c r="R258" t="n">
        <x:f>E258*'模块规划'!$E$10+G258*'模块规划'!$E$11+H258*'模块规划'!$E$13</x:f>
        <x:v>7918.742099370991</x:v>
      </x:c>
      <x:c r="S258" t="n">
        <x:f>I258*'模块规划'!$E$15+J258*'模块规划'!$E$17+K258*'模块规划'!$E$16+L258*'模块规划'!$E$18</x:f>
        <x:v>27582.88046479795</x:v>
      </x:c>
      <x:c r="T258" t="n">
        <x:f>1+T$9*SUMPRODUCT($H$10:$L$10,H258:L258)/SUM($H$10:$L$10)</x:f>
        <x:v>3.3978619882244074</x:v>
      </x:c>
      <x:c r="U258" t="n">
        <x:f>R258*T258+S258</x:f>
        <x:v>54489.67323880298</x:v>
      </x:c>
      <x:c r="V258" t="n">
        <x:f>V$8+(V$9-V$8)*H258</x:f>
        <x:v>0.9090928735913039</x:v>
      </x:c>
      <x:c r="W258" t="n">
        <x:f>IF(B258&lt;$H$8,0,W$8+(W$9-W$8)*H258)</x:f>
        <x:v>0.2787904981217385</x:v>
      </x:c>
      <x:c r="X258" t="n">
        <x:f>X$8+(X$9-X$8)*H258</x:f>
        <x:v>0.4666684674586953</x:v>
      </x:c>
      <x:c r="Y258" t="n">
        <x:f>Y$8+(Y$9-Y$8)*G258</x:f>
        <x:v>1</x:v>
      </x:c>
      <x:c r="Z258" t="n">
        <x:f>Z$8+(Z$9-Z$8)*H258</x:f>
        <x:v>1</x:v>
      </x:c>
      <x:c r="AA258" t="n">
        <x:f>AA$8+(AA$9-AA$8)*I258</x:f>
        <x:v>1</x:v>
      </x:c>
      <x:c r="AB258" t="n">
        <x:f>AB$8+(AB$9-AB$8)*J258</x:f>
        <x:v>1</x:v>
      </x:c>
      <x:c r="AC258" t="n">
        <x:f>AC$8+(AC$9-AC$8)*MAX(K258,L258)</x:f>
        <x:v>1</x:v>
      </x:c>
      <x:c r="AD258" t="n">
        <x:f>(V258*AE258+W258*AF258+X258*AG258)*PRODUCT(Y258:AC258)</x:f>
        <x:v>1.8885822939451593</x:v>
      </x:c>
      <x:c r="AE258" t="n">
        <x:f>1+AE$9*($H$10*H258+$I$10*I258+$J$10*J258+$K$10*K258+$L$10*L258)</x:f>
        <x:v>1</x:v>
      </x:c>
      <x:c r="AF258" t="n">
        <x:f>1+AF$9*($H$10*H258+$I$10*I258+$J$10*J258+$K$10*K258+$L$10*L258)</x:f>
        <x:v>1.2116331633331665</x:v>
      </x:c>
      <x:c r="AG258" t="n">
        <x:f>1+AG$9*($H$10*H258+$I$10*I258+$J$10*J258+$K$10*K258+$L$10*L258)</x:f>
        <x:v>1.3750609950182258</x:v>
      </x:c>
      <x:c r="AH258" t="n">
        <x:f>MIN(1,'_曲线基线'!$L$3+AH$9*($H$10*H258+$I$10*I258+$J$10*J258+$K$10*K258+$L$10*L258))</x:f>
        <x:v>0.5314654465829532</x:v>
      </x:c>
      <x:c r="AI258" t="n">
        <x:f>'_曲线基线'!$L$4+AI$9*($H$10*H258+$I$10*I258+$J$10*J258+$K$10*K258+$L$10*L258)</x:f>
        <x:v>3.3412251726239415</x:v>
      </x:c>
      <x:c r="AJ258" t="n">
        <x:f>1+AJ$9*($H$10*H258+$I$10*I258+$J$10*J258+$K$10*K258+$L$10*L258)</x:f>
        <x:v>2.1004924493324646</x:v>
      </x:c>
      <x:c r="AK258" t="n">
        <x:f>(1+AH258*(AI258-1))*AJ258</x:f>
        <x:v>4.714093786358348</x:v>
      </x:c>
      <x:c r="AL258" t="n">
        <x:f>U258*AD258*AK258*F258</x:f>
        <x:v>2425595.287106397</x:v>
      </x:c>
      <x:c r="AM258" t="n">
        <x:f>IF($B258&lt;AM$8,0,AM$3+(AM$4-AM$3)*(POWER(AM$5,$B258-AM$8)-1)/(POWER(AM$5,$C$5-AM$8)-1))</x:f>
        <x:v>49.17999768593285</x:v>
      </x:c>
      <x:c r="AN258" t="n">
        <x:f>(((E258*'模块规划'!$D$10+G258*'模块规划'!$D$11+H258*'模块规划'!$D$13)*(1+'模块规划'!$G$14*H258)+(I258*'模块规划'!$D$15+J258*'模块规划'!$D$17+K258*'模块规划'!$D$16+L258*'模块规划'!$D$18))*(1+'模块规划'!$J$17*J258))*F258/(1-Q258)</x:f>
        <x:v>2908751.3252399554</x:v>
      </x:c>
      <x:c r="AO258" t="n">
        <x:f>AL258*AM258</x:f>
        <x:v>119290770.60690223</x:v>
      </x:c>
      <x:c r="AP258" t="n">
        <x:f>IF(AO258="","",INDEX('_曲线基线'!$A$3:$A$502,MIN(ROWS('_曲线基线'!$A$3:$A$502),COUNTIF('_曲线基线'!$E$3:$E$502,"&lt;"&amp;AO258)+1)))</x:f>
        <x:v>307</x:v>
      </x:c>
      <x:c r="AQ258" t="n">
        <x:f>IF(B258&lt;=2,1,IF(B258&lt;=6,2,IF(B258&lt;=9,3,IF(B258&lt;=19,4,5))))</x:f>
        <x:v>5</x:v>
      </x:c>
      <x:c r="AR258" t="n">
        <x:f>AN258*(1-Q258)/F258*$AS$3+U258*$AS$4+P258*$AS$5</x:f>
        <x:v>17841.16102668416</x:v>
      </x:c>
      <x:c r="AS258" t="n">
        <x:f>1+AH258*$AS$6+AI258*$AS$7+(AJ258-1)*$AS$8+($H$10*H258+$I$10*I258+$J$10*J258+$K$10*K258+$L$10*L258)*$AU$3*$AS$9+($H$10*H258+$I$10*I258+$J$10*J258+$K$10*K258+$L$10*L258)*$AU$4*$AS$10</x:f>
        <x:v>17.626901977338523</x:v>
      </x:c>
      <x:c r="AT258" t="n">
        <x:f>ROUND(AR258*AS258,0)</x:f>
        <x:v>314484</x:v>
      </x:c>
      <x:c r="AU258" t="n">
        <x:f>ROUND(AT258*F258,0)</x:f>
        <x:v>1572420</x:v>
      </x:c>
    </x:row>
    <x:row r="259">
      <x:c r="A259" t="str">
        <x:f>IFERROR(XLOOKUP(B259,'_曲线基线'!$G$3:$G$107,'_曲线基线'!$J$3:$J$107,""),"")</x:f>
      </x:c>
      <x:c r="B259" t="n">
        <x:v>248</x:v>
      </x:c>
      <x:c r="C259" t="n">
        <x:f>C244+1</x:f>
        <x:v>17</x:v>
      </x:c>
      <x:c r="D259" t="n">
        <x:f>D244</x:f>
        <x:v>14</x:v>
      </x:c>
      <x:c r="E259" t="n">
        <x:f>IF($B259&lt;E$8,0,E$3+(E$4-E$3)*(POWER(E$5,$B259-E$8)-1)/(POWER(E$5,$C$5-E$8)-1))</x:f>
        <x:v>1</x:v>
      </x:c>
      <x:c r="F259" t="n">
        <x:f>1+IF(B259&lt;3,0,MIN(1,(B259-2)/4))+IF(B259&lt;7,0,MIN(1,(B259-6)/3))+IF(B259&lt;10,0,MIN(1,(B259-9)/5))+IF(B259&lt;20,0,MIN(1,(B259-19)/10))</x:f>
        <x:v>5</x:v>
      </x:c>
      <x:c r="G259" t="n">
        <x:f>IF($B259&lt;G$8,0,G$3+(G$4-G$3)*(POWER(G$5,$B259-G$8)-1)/(POWER(G$5,$C$5-G$8)-1))</x:f>
        <x:v>0.8918247693267772</x:v>
      </x:c>
      <x:c r="H259" t="n">
        <x:f>IF($B259&lt;H$8,0,H$3+(H$4-H$3)*(POWER(H$5,$B259-H$8)-1)/(POWER(H$5,$C$5-H$8)-1))</x:f>
        <x:v>0.6971032626377707</x:v>
      </x:c>
      <x:c r="I259" t="n">
        <x:f>IF($B259&lt;I$8,0,I$3+(I$4-I$3)*(POWER(I$5,$B259-I$8)-1)/(POWER(I$5,$C$5-I$8)-1))</x:f>
        <x:v>0.6425519987085038</x:v>
      </x:c>
      <x:c r="J259" t="n">
        <x:f>IF($B259&lt;J$8,0,J$3+(J$4-J$3)*(POWER(J$5,$B259-J$8)-1)/(POWER(J$5,$C$5-J$8)-1))</x:f>
        <x:v>0.5965633639565168</x:v>
      </x:c>
      <x:c r="K259" t="n">
        <x:f>IF($B259&lt;K$8,0,K$3+(K$4-K$3)*(POWER(K$5,$B259-K$8)-1)/(POWER(K$5,$C$5-K$8)-1))</x:f>
        <x:v>0.6343664621977665</x:v>
      </x:c>
      <x:c r="L259" t="n">
        <x:f>IF($B259&lt;L$8,0,L$3+(L$4-L$3)*(POWER(L$5,$B259-L$8)-1)/(POWER(L$5,$C$5-L$8)-1))</x:f>
        <x:v>0.6970438588020171</x:v>
      </x:c>
      <x:c r="M259" t="n">
        <x:f>E259*'模块规划'!$F$10+G259*'模块规划'!$F$11+H259*'模块规划'!$F$13</x:f>
        <x:v>5280.758892768531</x:v>
      </x:c>
      <x:c r="N259" t="n">
        <x:f>I259*'模块规划'!$F$15+J259*'模块规划'!$F$17+K259*'模块规划'!$F$16+L259*'模块规划'!$F$18</x:f>
        <x:v>18397.467696429885</x:v>
      </x:c>
      <x:c r="O259" t="n">
        <x:f>1+O$9*SUMPRODUCT($H$10:$L$10,H259:L259)/SUM($H$10:$L$10)</x:f>
        <x:v>3.3988420279710554</x:v>
      </x:c>
      <x:c r="P259" t="n">
        <x:f>M259*O259+N259</x:f>
        <x:v>36345.93296075346</x:v>
      </x:c>
      <x:c r="Q259" t="n">
        <x:f>P259/(P259+'_曲线基线'!$L$2)</x:f>
        <x:v>0.6022929993375258</x:v>
      </x:c>
      <x:c r="R259" t="n">
        <x:f>E259*'模块规划'!$E$10+G259*'模块规划'!$E$11+H259*'模块规划'!$E$13</x:f>
        <x:v>7921.138339152796</x:v>
      </x:c>
      <x:c r="S259" t="n">
        <x:f>I259*'模块规划'!$E$15+J259*'模块规划'!$E$17+K259*'模块规划'!$E$16+L259*'模块规划'!$E$18</x:f>
        <x:v>27596.20154464482</x:v>
      </x:c>
      <x:c r="T259" t="n">
        <x:f>1+T$9*SUMPRODUCT($H$10:$L$10,H259:L259)/SUM($H$10:$L$10)</x:f>
        <x:v>3.3988420279710554</x:v>
      </x:c>
      <x:c r="U259" t="n">
        <x:f>R259*T259+S259</x:f>
        <x:v>54518.89944113018</x:v>
      </x:c>
      <x:c r="V259" t="n">
        <x:f>V$8+(V$9-V$8)*H259</x:f>
        <x:v>0.9091309787913312</x:v>
      </x:c>
      <x:c r="W259" t="n">
        <x:f>IF(B259&lt;$H$8,0,W$8+(W$9-W$8)*H259)</x:f>
        <x:v>0.2788413050551083</x:v>
      </x:c>
      <x:c r="X259" t="n">
        <x:f>X$8+(X$9-X$8)*H259</x:f>
        <x:v>0.466703397225387</x:v>
      </x:c>
      <x:c r="Y259" t="n">
        <x:f>Y$8+(Y$9-Y$8)*G259</x:f>
        <x:v>1</x:v>
      </x:c>
      <x:c r="Z259" t="n">
        <x:f>Z$8+(Z$9-Z$8)*H259</x:f>
        <x:v>1</x:v>
      </x:c>
      <x:c r="AA259" t="n">
        <x:f>AA$8+(AA$9-AA$8)*I259</x:f>
        <x:v>1</x:v>
      </x:c>
      <x:c r="AB259" t="n">
        <x:f>AB$8+(AB$9-AB$8)*J259</x:f>
        <x:v>1</x:v>
      </x:c>
      <x:c r="AC259" t="n">
        <x:f>AC$8+(AC$9-AC$8)*MAX(K259,L259)</x:f>
        <x:v>1</x:v>
      </x:c>
      <x:c r="AD259" t="n">
        <x:f>(V259*AE259+W259*AF259+X259*AG259)*PRODUCT(Y259:AC259)</x:f>
        <x:v>1.888825650341009</x:v>
      </x:c>
      <x:c r="AE259" t="n">
        <x:f>1+AE$9*($H$10*H259+$I$10*I259+$J$10*J259+$K$10*K259+$L$10*L259)</x:f>
        <x:v>1</x:v>
      </x:c>
      <x:c r="AF259" t="n">
        <x:f>1+AF$9*($H$10*H259+$I$10*I259+$J$10*J259+$K$10*K259+$L$10*L259)</x:f>
        <x:v>1.2117196607682956</x:v>
      </x:c>
      <x:c r="AG259" t="n">
        <x:f>1+AG$9*($H$10*H259+$I$10*I259+$J$10*J259+$K$10*K259+$L$10*L259)</x:f>
        <x:v>1.375214287694927</x:v>
      </x:c>
      <x:c r="AH259" t="n">
        <x:f>MIN(1,'_曲线基线'!$L$3+AH$9*($H$10*H259+$I$10*I259+$J$10*J259+$K$10*K259+$L$10*L259))</x:f>
        <x:v>0.5316622282478723</x:v>
      </x:c>
      <x:c r="AI259" t="n">
        <x:f>'_曲线基线'!$L$4+AI$9*($H$10*H259+$I$10*I259+$J$10*J259+$K$10*K259+$L$10*L259)</x:f>
        <x:v>3.341773350119073</x:v>
      </x:c>
      <x:c r="AJ259" t="n">
        <x:f>1+AJ$9*($H$10*H259+$I$10*I259+$J$10*J259+$K$10*K259+$L$10*L259)</x:f>
        <x:v>2.100942235995137</x:v>
      </x:c>
      <x:c r="AK259" t="n">
        <x:f>(1+AH259*(AI259-1))*AJ259</x:f>
        <x:v>4.716683468861907</x:v>
      </x:c>
      <x:c r="AL259" t="n">
        <x:f>U259*AD259*AK259*F259</x:f>
        <x:v>2428542.3912605285</x:v>
      </x:c>
      <x:c r="AM259" t="n">
        <x:f>IF($B259&lt;AM$8,0,AM$3+(AM$4-AM$3)*(POWER(AM$5,$B259-AM$8)-1)/(POWER(AM$5,$C$5-AM$8)-1))</x:f>
        <x:v>49.335222302714044</x:v>
      </x:c>
      <x:c r="AN259" t="n">
        <x:f>(((E259*'模块规划'!$D$10+G259*'模块规划'!$D$11+H259*'模块规划'!$D$13)*(1+'模块规划'!$G$14*H259)+(I259*'模块规划'!$D$15+J259*'模块规划'!$D$17+K259*'模块规划'!$D$16+L259*'模块规划'!$D$18))*(1+'模块规划'!$J$17*J259))*F259/(1-Q259)</x:f>
        <x:v>2911300.8443922577</x:v>
      </x:c>
      <x:c r="AO259" t="n">
        <x:f>AL259*AM259</x:f>
        <x:v>119812678.74440292</x:v>
      </x:c>
      <x:c r="AP259" t="n">
        <x:f>IF(AO259="","",INDEX('_曲线基线'!$A$3:$A$502,MIN(ROWS('_曲线基线'!$A$3:$A$502),COUNTIF('_曲线基线'!$E$3:$E$502,"&lt;"&amp;AO259)+1)))</x:f>
        <x:v>308</x:v>
      </x:c>
      <x:c r="AQ259" t="n">
        <x:f>IF(B259&lt;=2,1,IF(B259&lt;=6,2,IF(B259&lt;=9,3,IF(B259&lt;=19,4,5))))</x:f>
        <x:v>5</x:v>
      </x:c>
      <x:c r="AR259" t="n">
        <x:f>AN259*(1-Q259)/F259*$AS$3+U259*$AS$4+P259*$AS$5</x:f>
        <x:v>17850.84824932228</x:v>
      </x:c>
      <x:c r="AS259" t="n">
        <x:f>1+AH259*$AS$6+AI259*$AS$7+(AJ259-1)*$AS$8+($H$10*H259+$I$10*I259+$J$10*J259+$K$10*K259+$L$10*L259)*$AU$3*$AS$9+($H$10*H259+$I$10*I259+$J$10*J259+$K$10*K259+$L$10*L259)*$AU$4*$AS$10</x:f>
        <x:v>17.632070297370205</x:v>
      </x:c>
      <x:c r="AT259" t="n">
        <x:f>ROUND(AR259*AS259,0)</x:f>
        <x:v>314747</x:v>
      </x:c>
      <x:c r="AU259" t="n">
        <x:f>ROUND(AT259*F259,0)</x:f>
        <x:v>1573735</x:v>
      </x:c>
    </x:row>
    <x:row r="260">
      <x:c r="A260" t="str">
        <x:f>IFERROR(XLOOKUP(B260,'_曲线基线'!$G$3:$G$107,'_曲线基线'!$J$3:$J$107,""),"")</x:f>
      </x:c>
      <x:c r="B260" t="n">
        <x:v>249</x:v>
      </x:c>
      <x:c r="C260" t="n">
        <x:f>C245+1</x:f>
        <x:v>17</x:v>
      </x:c>
      <x:c r="D260" t="n">
        <x:f>D245</x:f>
        <x:v>15</x:v>
      </x:c>
      <x:c r="E260" t="n">
        <x:f>IF($B260&lt;E$8,0,E$3+(E$4-E$3)*(POWER(E$5,$B260-E$8)-1)/(POWER(E$5,$C$5-E$8)-1))</x:f>
        <x:v>1</x:v>
      </x:c>
      <x:c r="F260" t="n">
        <x:f>1+IF(B260&lt;3,0,MIN(1,(B260-2)/4))+IF(B260&lt;7,0,MIN(1,(B260-6)/3))+IF(B260&lt;10,0,MIN(1,(B260-9)/5))+IF(B260&lt;20,0,MIN(1,(B260-19)/10))</x:f>
        <x:v>5</x:v>
      </x:c>
      <x:c r="G260" t="n">
        <x:f>IF($B260&lt;G$8,0,G$3+(G$4-G$3)*(POWER(G$5,$B260-G$8)-1)/(POWER(G$5,$C$5-G$8)-1))</x:f>
        <x:v>0.8921525882413714</x:v>
      </x:c>
      <x:c r="H260" t="n">
        <x:f>IF($B260&lt;H$8,0,H$3+(H$4-H$3)*(POWER(H$5,$B260-H$8)-1)/(POWER(H$5,$C$5-H$8)-1))</x:f>
        <x:v>0.6972277396245267</x:v>
      </x:c>
      <x:c r="I260" t="n">
        <x:f>IF($B260&lt;I$8,0,I$3+(I$4-I$3)*(POWER(I$5,$B260-I$8)-1)/(POWER(I$5,$C$5-I$8)-1))</x:f>
        <x:v>0.6428720500774019</x:v>
      </x:c>
      <x:c r="J260" t="n">
        <x:f>IF($B260&lt;J$8,0,J$3+(J$4-J$3)*(POWER(J$5,$B260-J$8)-1)/(POWER(J$5,$C$5-J$8)-1))</x:f>
        <x:v>0.5967110411691103</x:v>
      </x:c>
      <x:c r="K260" t="n">
        <x:f>IF($B260&lt;K$8,0,K$3+(K$4-K$3)*(POWER(K$5,$B260-K$8)-1)/(POWER(K$5,$C$5-K$8)-1))</x:f>
        <x:v>0.6350382578887848</x:v>
      </x:c>
      <x:c r="L260" t="n">
        <x:f>IF($B260&lt;L$8,0,L$3+(L$4-L$3)*(POWER(L$5,$B260-L$8)-1)/(POWER(L$5,$C$5-L$8)-1))</x:f>
        <x:v>0.6971708884573626</x:v>
      </x:c>
      <x:c r="M260" t="n">
        <x:f>E260*'模块规划'!$F$10+G260*'模块规划'!$F$11+H260*'模块规划'!$F$13</x:f>
        <x:v>5282.332423558583</x:v>
      </x:c>
      <x:c r="N260" t="n">
        <x:f>I260*'模块规划'!$F$15+J260*'模块规划'!$F$17+K260*'模块规划'!$F$16+L260*'模块规划'!$F$18</x:f>
        <x:v>18406.170801929842</x:v>
      </x:c>
      <x:c r="O260" t="n">
        <x:f>1+O$9*SUMPRODUCT($H$10:$L$10,H260:L260)/SUM($H$10:$L$10)</x:f>
        <x:v>3.3998024669227704</x:v>
      </x:c>
      <x:c r="P260" t="n">
        <x:f>M260*O260+N260</x:f>
        <x:v>36365.05760665045</x:v>
      </x:c>
      <x:c r="Q260" t="n">
        <x:f>P260/(P260+'_曲线基线'!$L$2)</x:f>
        <x:v>0.6024189994750223</x:v>
      </x:c>
      <x:c r="R260" t="n">
        <x:f>E260*'模块规划'!$E$10+G260*'模块规划'!$E$11+H260*'模块规划'!$E$13</x:f>
        <x:v>7923.4986353378745</x:v>
      </x:c>
      <x:c r="S260" t="n">
        <x:f>I260*'模块规划'!$E$15+J260*'模块规划'!$E$17+K260*'模块规划'!$E$16+L260*'模块规划'!$E$18</x:f>
        <x:v>27609.256202894758</x:v>
      </x:c>
      <x:c r="T260" t="n">
        <x:f>1+T$9*SUMPRODUCT($H$10:$L$10,H260:L260)/SUM($H$10:$L$10)</x:f>
        <x:v>3.3998024669227704</x:v>
      </x:c>
      <x:c r="U260" t="n">
        <x:f>R260*T260+S260</x:f>
        <x:v>54547.58640997567</x:v>
      </x:c>
      <x:c r="V260" t="n">
        <x:f>V$8+(V$9-V$8)*H260</x:f>
        <x:v>0.909168321887358</x:v>
      </x:c>
      <x:c r="W260" t="n">
        <x:f>IF(B260&lt;$H$8,0,W$8+(W$9-W$8)*H260)</x:f>
        <x:v>0.2788910958498107</x:v>
      </x:c>
      <x:c r="X260" t="n">
        <x:f>X$8+(X$9-X$8)*H260</x:f>
        <x:v>0.4667376283967449</x:v>
      </x:c>
      <x:c r="Y260" t="n">
        <x:f>Y$8+(Y$9-Y$8)*G260</x:f>
        <x:v>1</x:v>
      </x:c>
      <x:c r="Z260" t="n">
        <x:f>Z$8+(Z$9-Z$8)*H260</x:f>
        <x:v>1</x:v>
      </x:c>
      <x:c r="AA260" t="n">
        <x:f>AA$8+(AA$9-AA$8)*I260</x:f>
        <x:v>1</x:v>
      </x:c>
      <x:c r="AB260" t="n">
        <x:f>AB$8+(AB$9-AB$8)*J260</x:f>
        <x:v>1</x:v>
      </x:c>
      <x:c r="AC260" t="n">
        <x:f>AC$8+(AC$9-AC$8)*MAX(K260,L260)</x:f>
        <x:v>1</x:v>
      </x:c>
      <x:c r="AD260" t="n">
        <x:f>(V260*AE260+W260*AF260+X260*AG260)*PRODUCT(Y260:AC260)</x:f>
        <x:v>1.8890641585261867</x:v>
      </x:c>
      <x:c r="AE260" t="n">
        <x:f>1+AE$9*($H$10*H260+$I$10*I260+$J$10*J260+$K$10*K260+$L$10*L260)</x:f>
        <x:v>1</x:v>
      </x:c>
      <x:c r="AF260" t="n">
        <x:f>1+AF$9*($H$10*H260+$I$10*I260+$J$10*J260+$K$10*K260+$L$10*L260)</x:f>
        <x:v>1.2118044282547225</x:v>
      </x:c>
      <x:c r="AG260" t="n">
        <x:f>1+AG$9*($H$10*H260+$I$10*I260+$J$10*J260+$K$10*K260+$L$10*L260)</x:f>
        <x:v>1.3753645145180944</x:v>
      </x:c>
      <x:c r="AH260" t="n">
        <x:f>MIN(1,'_曲线基线'!$L$3+AH$9*($H$10*H260+$I$10*I260+$J$10*J260+$K$10*K260+$L$10*L260))</x:f>
        <x:v>0.5318550742794931</x:v>
      </x:c>
      <x:c r="AI260" t="n">
        <x:f>'_曲线基线'!$L$4+AI$9*($H$10*H260+$I$10*I260+$J$10*J260+$K$10*K260+$L$10*L260)</x:f>
        <x:v>3.3423105640643023</x:v>
      </x:c>
      <x:c r="AJ260" t="n">
        <x:f>1+AJ$9*($H$10*H260+$I$10*I260+$J$10*J260+$K$10*K260+$L$10*L260)</x:f>
        <x:v>2.1013830269245557</x:v>
      </x:c>
      <x:c r="AK260" t="n">
        <x:f>(1+AH260*(AI260-1))*AJ260</x:f>
        <x:v>4.719222454018827</x:v>
      </x:c>
      <x:c r="AL260" t="n">
        <x:f>U260*AD260*AK260*F260</x:f>
        <x:v>2431435.2071257983</x:v>
      </x:c>
      <x:c r="AM260" t="n">
        <x:f>IF($B260&lt;AM$8,0,AM$3+(AM$4-AM$3)*(POWER(AM$5,$B260-AM$8)-1)/(POWER(AM$5,$C$5-AM$8)-1))</x:f>
        <x:v>49.491999165663046</x:v>
      </x:c>
      <x:c r="AN260" t="n">
        <x:f>(((E260*'模块规划'!$D$10+G260*'模块规划'!$D$11+H260*'模块规划'!$D$13)*(1+'模块规划'!$G$14*H260)+(I260*'模块规划'!$D$15+J260*'模块规划'!$D$17+K260*'模块规划'!$D$16+L260*'模块规划'!$D$18))*(1+'模块规划'!$J$17*J260))*F260/(1-Q260)</x:f>
        <x:v>2913803.5468985206</x:v>
      </x:c>
      <x:c r="AO260" t="n">
        <x:f>AL260*AM260</x:f>
        <x:v>120336589.24243377</x:v>
      </x:c>
      <x:c r="AP260" t="n">
        <x:f>IF(AO260="","",INDEX('_曲线基线'!$A$3:$A$502,MIN(ROWS('_曲线基线'!$A$3:$A$502),COUNTIF('_曲线基线'!$E$3:$E$502,"&lt;"&amp;AO260)+1)))</x:f>
        <x:v>308</x:v>
      </x:c>
      <x:c r="AQ260" t="n">
        <x:f>IF(B260&lt;=2,1,IF(B260&lt;=6,2,IF(B260&lt;=9,3,IF(B260&lt;=19,4,5))))</x:f>
        <x:v>5</x:v>
      </x:c>
      <x:c r="AR260" t="n">
        <x:f>AN260*(1-Q260)/F260*$AS$3+U260*$AS$4+P260*$AS$5</x:f>
        <x:v>17860.354859049992</x:v>
      </x:c>
      <x:c r="AS260" t="n">
        <x:f>1+AH260*$AS$6+AI260*$AS$7+(AJ260-1)*$AS$8+($H$10*H260+$I$10*I260+$J$10*J260+$K$10*K260+$L$10*L260)*$AU$3*$AS$9+($H$10*H260+$I$10*I260+$J$10*J260+$K$10*K260+$L$10*L260)*$AU$4*$AS$10</x:f>
        <x:v>17.637135251001258</x:v>
      </x:c>
      <x:c r="AT260" t="n">
        <x:f>ROUND(AR260*AS260,0)</x:f>
        <x:v>315005</x:v>
      </x:c>
      <x:c r="AU260" t="n">
        <x:f>ROUND(AT260*F260,0)</x:f>
        <x:v>1575025</x:v>
      </x:c>
    </x:row>
    <x:row r="261">
      <x:c r="A261" t="str">
        <x:f>IFERROR(XLOOKUP(B261,'_曲线基线'!$G$3:$G$107,'_曲线基线'!$J$3:$J$107,""),"")</x:f>
      </x:c>
      <x:c r="B261" t="n">
        <x:v>250</x:v>
      </x:c>
      <x:c r="C261" t="n">
        <x:f>C246+1</x:f>
        <x:v>18</x:v>
      </x:c>
      <x:c r="D261" t="n">
        <x:f>D246</x:f>
        <x:v>1</x:v>
      </x:c>
      <x:c r="E261" t="n">
        <x:f>IF($B261&lt;E$8,0,E$3+(E$4-E$3)*(POWER(E$5,$B261-E$8)-1)/(POWER(E$5,$C$5-E$8)-1))</x:f>
        <x:v>1</x:v>
      </x:c>
      <x:c r="F261" t="n">
        <x:f>1+IF(B261&lt;3,0,MIN(1,(B261-2)/4))+IF(B261&lt;7,0,MIN(1,(B261-6)/3))+IF(B261&lt;10,0,MIN(1,(B261-9)/5))+IF(B261&lt;20,0,MIN(1,(B261-19)/10))</x:f>
        <x:v>5</x:v>
      </x:c>
      <x:c r="G261" t="n">
        <x:f>IF($B261&lt;G$8,0,G$3+(G$4-G$3)*(POWER(G$5,$B261-G$8)-1)/(POWER(G$5,$C$5-G$8)-1))</x:f>
        <x:v>0.8924754898722467</x:v>
      </x:c>
      <x:c r="H261" t="n">
        <x:f>IF($B261&lt;H$8,0,H$3+(H$4-H$3)*(POWER(H$5,$B261-H$8)-1)/(POWER(H$5,$C$5-H$8)-1))</x:f>
        <x:v>0.6973497270715474</x:v>
      </x:c>
      <x:c r="I261" t="n">
        <x:f>IF($B261&lt;I$8,0,I$3+(I$4-I$3)*(POWER(I$5,$B261-I$8)-1)/(POWER(I$5,$C$5-I$8)-1))</x:f>
        <x:v>0.643185700418922</x:v>
      </x:c>
      <x:c r="J261" t="n">
        <x:f>IF($B261&lt;J$8,0,J$3+(J$4-J$3)*(POWER(J$5,$B261-J$8)-1)/(POWER(J$5,$C$5-J$8)-1))</x:f>
        <x:v>0.5968557648374521</x:v>
      </x:c>
      <x:c r="K261" t="n">
        <x:f>IF($B261&lt;K$8,0,K$3+(K$4-K$3)*(POWER(K$5,$B261-K$8)-1)/(POWER(K$5,$C$5-K$8)-1))</x:f>
        <x:v>0.6356966176659826</x:v>
      </x:c>
      <x:c r="L261" t="n">
        <x:f>IF($B261&lt;L$8,0,L$3+(L$4-L$3)*(POWER(L$5,$B261-L$8)-1)/(POWER(L$5,$C$5-L$8)-1))</x:f>
        <x:v>0.697295377519601</x:v>
      </x:c>
      <x:c r="M261" t="n">
        <x:f>E261*'模块规划'!$F$10+G261*'模块规划'!$F$11+H261*'模块规划'!$F$13</x:f>
        <x:v>5283.882351386784</x:v>
      </x:c>
      <x:c r="N261" t="n">
        <x:f>I261*'模块规划'!$F$15+J261*'模块规划'!$F$17+K261*'模块规划'!$F$16+L261*'模块规划'!$F$18</x:f>
        <x:v>18414.699845319796</x:v>
      </x:c>
      <x:c r="O261" t="n">
        <x:f>1+O$9*SUMPRODUCT($H$10:$L$10,H261:L261)/SUM($H$10:$L$10)</x:f>
        <x:v>3.4007436970954514</x:v>
      </x:c>
      <x:c r="P261" t="n">
        <x:f>M261*O261+N261</x:f>
        <x:v>36383.82944799229</x:v>
      </x:c>
      <x:c r="Q261" t="n">
        <x:f>P261/(P261+'_曲线基线'!$L$2)</x:f>
        <x:v>0.6025425975894615</x:v>
      </x:c>
      <x:c r="R261" t="n">
        <x:f>E261*'模块规划'!$E$10+G261*'模块规划'!$E$11+H261*'模块规划'!$E$13</x:f>
        <x:v>7925.823527080176</x:v>
      </x:c>
      <x:c r="S261" t="n">
        <x:f>I261*'模块规划'!$E$15+J261*'模块规划'!$E$17+K261*'模块规划'!$E$16+L261*'模块规划'!$E$18</x:f>
        <x:v>27622.049767979697</x:v>
      </x:c>
      <x:c r="T261" t="n">
        <x:f>1+T$9*SUMPRODUCT($H$10:$L$10,H261:L261)/SUM($H$10:$L$10)</x:f>
        <x:v>3.4007436970954514</x:v>
      </x:c>
      <x:c r="U261" t="n">
        <x:f>R261*T261+S261</x:f>
        <x:v>54575.744171988445</x:v>
      </x:c>
      <x:c r="V261" t="n">
        <x:f>V$8+(V$9-V$8)*H261</x:f>
        <x:v>0.9092049181214642</x:v>
      </x:c>
      <x:c r="W261" t="n">
        <x:f>IF(B261&lt;$H$8,0,W$8+(W$9-W$8)*H261)</x:f>
        <x:v>0.278939890828619</x:v>
      </x:c>
      <x:c r="X261" t="n">
        <x:f>X$8+(X$9-X$8)*H261</x:f>
        <x:v>0.46677117494467557</x:v>
      </x:c>
      <x:c r="Y261" t="n">
        <x:f>Y$8+(Y$9-Y$8)*G261</x:f>
        <x:v>1</x:v>
      </x:c>
      <x:c r="Z261" t="n">
        <x:f>Z$8+(Z$9-Z$8)*H261</x:f>
        <x:v>1</x:v>
      </x:c>
      <x:c r="AA261" t="n">
        <x:f>AA$8+(AA$9-AA$8)*I261</x:f>
        <x:v>1</x:v>
      </x:c>
      <x:c r="AB261" t="n">
        <x:f>AB$8+(AB$9-AB$8)*J261</x:f>
        <x:v>1</x:v>
      </x:c>
      <x:c r="AC261" t="n">
        <x:f>AC$8+(AC$9-AC$8)*MAX(K261,L261)</x:f>
        <x:v>1</x:v>
      </x:c>
      <x:c r="AD261" t="n">
        <x:f>(V261*AE261+W261*AF261+X261*AG261)*PRODUCT(Y261:AC261)</x:f>
        <x:v>1.8892979147157822</x:v>
      </x:c>
      <x:c r="AE261" t="n">
        <x:f>1+AE$9*($H$10*H261+$I$10*I261+$J$10*J261+$K$10*K261+$L$10*L261)</x:f>
        <x:v>1</x:v>
      </x:c>
      <x:c r="AF261" t="n">
        <x:f>1+AF$9*($H$10*H261+$I$10*I261+$J$10*J261+$K$10*K261+$L$10*L261)</x:f>
        <x:v>1.2118875003914207</x:v>
      </x:c>
      <x:c r="AG261" t="n">
        <x:f>1+AG$9*($H$10*H261+$I$10*I261+$J$10*J261+$K$10*K261+$L$10*L261)</x:f>
        <x:v>1.3755117368047982</x:v>
      </x:c>
      <x:c r="AH261" t="n">
        <x:f>MIN(1,'_曲线基线'!$L$3+AH$9*($H$10*H261+$I$10*I261+$J$10*J261+$K$10*K261+$L$10*L261))</x:f>
        <x:v>0.5320440633904814</x:v>
      </x:c>
      <x:c r="AI261" t="n">
        <x:f>'_曲线基线'!$L$4+AI$9*($H$10*H261+$I$10*I261+$J$10*J261+$K$10*K261+$L$10*L261)</x:f>
        <x:v>3.3428370337306266</x:v>
      </x:c>
      <x:c r="AJ261" t="n">
        <x:f>1+AJ$9*($H$10*H261+$I$10*I261+$J$10*J261+$K$10*K261+$L$10*L261)</x:f>
        <x:v>2.1018150020353863</x:v>
      </x:c>
      <x:c r="AK261" t="n">
        <x:f>(1+AH261*(AI261-1))*AJ261</x:f>
        <x:v>4.7217117126282915</x:v>
      </x:c>
      <x:c r="AL261" t="n">
        <x:f>U261*AD261*AK261*F261</x:f>
        <x:v>2434274.688006735</x:v>
      </x:c>
      <x:c r="AM261" t="n">
        <x:f>IF($B261&lt;AM$8,0,AM$3+(AM$4-AM$3)*(POWER(AM$5,$B261-AM$8)-1)/(POWER(AM$5,$C$5-AM$8)-1))</x:f>
        <x:v>49.65034379724155</x:v>
      </x:c>
      <x:c r="AN261" t="n">
        <x:f>(((E261*'模块规划'!$D$10+G261*'模块规划'!$D$11+H261*'模块规划'!$D$13)*(1+'模块规划'!$G$14*H261)+(I261*'模块规划'!$D$15+J261*'模块规划'!$D$17+K261*'模块规划'!$D$16+L261*'模块规划'!$D$18))*(1+'模块规划'!$J$17*J261))*F261/(1-Q261)</x:f>
        <x:v>2916260.276218582</x:v>
      </x:c>
      <x:c r="AO261" t="n">
        <x:f>AL261*AM261</x:f>
        <x:v>120862575.15645729</x:v>
      </x:c>
      <x:c r="AP261" t="n">
        <x:f>IF(AO261="","",INDEX('_曲线基线'!$A$3:$A$502,MIN(ROWS('_曲线基线'!$A$3:$A$502),COUNTIF('_曲线基线'!$E$3:$E$502,"&lt;"&amp;AO261)+1)))</x:f>
        <x:v>308</x:v>
      </x:c>
      <x:c r="AQ261" t="n">
        <x:f>IF(B261&lt;=2,1,IF(B261&lt;=6,2,IF(B261&lt;=9,3,IF(B261&lt;=19,4,5))))</x:f>
        <x:v>5</x:v>
      </x:c>
      <x:c r="AR261" t="n">
        <x:f>AN261*(1-Q261)/F261*$AS$3+U261*$AS$4+P261*$AS$5</x:f>
        <x:v>17869.68423923095</x:v>
      </x:c>
      <x:c r="AS261" t="n">
        <x:f>1+AH261*$AS$6+AI261*$AS$7+(AJ261-1)*$AS$8+($H$10*H261+$I$10*I261+$J$10*J261+$K$10*K261+$L$10*L261)*$AU$3*$AS$9+($H$10*H261+$I$10*I261+$J$10*J261+$K$10*K261+$L$10*L261)*$AU$4*$AS$10</x:f>
        <x:v>17.64209890555969</x:v>
      </x:c>
      <x:c r="AT261" t="n">
        <x:f>ROUND(AR261*AS261,0)</x:f>
        <x:v>315259</x:v>
      </x:c>
      <x:c r="AU261" t="n">
        <x:f>ROUND(AT261*F261,0)</x:f>
        <x:v>1576295</x:v>
      </x:c>
    </x:row>
    <x:row r="262">
      <x:c r="A262" t="str">
        <x:f>IFERROR(XLOOKUP(B262,'_曲线基线'!$G$3:$G$107,'_曲线基线'!$J$3:$J$107,""),"")</x:f>
      </x:c>
      <x:c r="B262" t="n">
        <x:v>251</x:v>
      </x:c>
      <x:c r="C262" t="n">
        <x:f>C247+1</x:f>
        <x:v>18</x:v>
      </x:c>
      <x:c r="D262" t="n">
        <x:f>D247</x:f>
        <x:v>2</x:v>
      </x:c>
      <x:c r="E262" t="n">
        <x:f>IF($B262&lt;E$8,0,E$3+(E$4-E$3)*(POWER(E$5,$B262-E$8)-1)/(POWER(E$5,$C$5-E$8)-1))</x:f>
        <x:v>1</x:v>
      </x:c>
      <x:c r="F262" t="n">
        <x:f>1+IF(B262&lt;3,0,MIN(1,(B262-2)/4))+IF(B262&lt;7,0,MIN(1,(B262-6)/3))+IF(B262&lt;10,0,MIN(1,(B262-9)/5))+IF(B262&lt;20,0,MIN(1,(B262-19)/10))</x:f>
        <x:v>5</x:v>
      </x:c>
      <x:c r="G262" t="n">
        <x:f>IF($B262&lt;G$8,0,G$3+(G$4-G$3)*(POWER(G$5,$B262-G$8)-1)/(POWER(G$5,$C$5-G$8)-1))</x:f>
        <x:v>0.8927935479786588</x:v>
      </x:c>
      <x:c r="H262" t="n">
        <x:f>IF($B262&lt;H$8,0,H$3+(H$4-H$3)*(POWER(H$5,$B262-H$8)-1)/(POWER(H$5,$C$5-H$8)-1))</x:f>
        <x:v>0.6974692747696278</x:v>
      </x:c>
      <x:c r="I262" t="n">
        <x:f>IF($B262&lt;I$8,0,I$3+(I$4-I$3)*(POWER(I$5,$B262-I$8)-1)/(POWER(I$5,$C$5-I$8)-1))</x:f>
        <x:v>0.6434930777536118</x:v>
      </x:c>
      <x:c r="J262" t="n">
        <x:f>IF($B262&lt;J$8,0,J$3+(J$4-J$3)*(POWER(J$5,$B262-J$8)-1)/(POWER(J$5,$C$5-J$8)-1))</x:f>
        <x:v>0.5969975940324269</x:v>
      </x:c>
      <x:c r="K262" t="n">
        <x:f>IF($B262&lt;K$8,0,K$3+(K$4-K$3)*(POWER(K$5,$B262-K$8)-1)/(POWER(K$5,$C$5-K$8)-1))</x:f>
        <x:v>0.6363418102476365</x:v>
      </x:c>
      <x:c r="L262" t="n">
        <x:f>IF($B262&lt;L$8,0,L$3+(L$4-L$3)*(POWER(L$5,$B262-L$8)-1)/(POWER(L$5,$C$5-L$8)-1))</x:f>
        <x:v>0.6974173768005947</x:v>
      </x:c>
      <x:c r="M262" t="n">
        <x:f>E262*'模块规划'!$F$10+G262*'模块规划'!$F$11+H262*'模块规划'!$F$13</x:f>
        <x:v>5285.409030297563</x:v>
      </x:c>
      <x:c r="N262" t="n">
        <x:f>I262*'模块规划'!$F$15+J262*'模块规划'!$F$17+K262*'模块规划'!$F$16+L262*'模块规划'!$F$18</x:f>
        <x:v>18423.058307841955</x:v>
      </x:c>
      <x:c r="O262" t="n">
        <x:f>1+O$9*SUMPRODUCT($H$10:$L$10,H262:L262)/SUM($H$10:$L$10)</x:f>
        <x:v>3.4016661026646786</x:v>
      </x:c>
      <x:c r="P262" t="n">
        <x:f>M262*O262+N262</x:f>
        <x:v>36402.25504492296</x:v>
      </x:c>
      <x:c r="Q262" t="n">
        <x:f>P262/(P262+'_曲线基线'!$L$2)</x:f>
        <x:v>0.6026638412398596</x:v>
      </x:c>
      <x:c r="R262" t="n">
        <x:f>E262*'模块规划'!$E$10+G262*'模块规划'!$E$11+H262*'模块规划'!$E$13</x:f>
        <x:v>7928.113545446344</x:v>
      </x:c>
      <x:c r="S262" t="n">
        <x:f>I262*'模块规划'!$E$15+J262*'模块规划'!$E$17+K262*'模块规划'!$E$16+L262*'模块规划'!$E$18</x:f>
        <x:v>27634.587461762934</x:v>
      </x:c>
      <x:c r="T262" t="n">
        <x:f>1+T$9*SUMPRODUCT($H$10:$L$10,H262:L262)/SUM($H$10:$L$10)</x:f>
        <x:v>3.4016661026646786</x:v>
      </x:c>
      <x:c r="U262" t="n">
        <x:f>R262*T262+S262</x:f>
        <x:v>54603.38256738445</x:v>
      </x:c>
      <x:c r="V262" t="n">
        <x:f>V$8+(V$9-V$8)*H262</x:f>
        <x:v>0.9092407824308884</x:v>
      </x:c>
      <x:c r="W262" t="n">
        <x:f>IF(B262&lt;$H$8,0,W$8+(W$9-W$8)*H262)</x:f>
        <x:v>0.27898770990785116</x:v>
      </x:c>
      <x:c r="X262" t="n">
        <x:f>X$8+(X$9-X$8)*H262</x:f>
        <x:v>0.4668040505616477</x:v>
      </x:c>
      <x:c r="Y262" t="n">
        <x:f>Y$8+(Y$9-Y$8)*G262</x:f>
        <x:v>1</x:v>
      </x:c>
      <x:c r="Z262" t="n">
        <x:f>Z$8+(Z$9-Z$8)*H262</x:f>
        <x:v>1</x:v>
      </x:c>
      <x:c r="AA262" t="n">
        <x:f>AA$8+(AA$9-AA$8)*I262</x:f>
        <x:v>1</x:v>
      </x:c>
      <x:c r="AB262" t="n">
        <x:f>AB$8+(AB$9-AB$8)*J262</x:f>
        <x:v>1</x:v>
      </x:c>
      <x:c r="AC262" t="n">
        <x:f>AC$8+(AC$9-AC$8)*MAX(K262,L262)</x:f>
        <x:v>1</x:v>
      </x:c>
      <x:c r="AD262" t="n">
        <x:f>(V262*AE262+W262*AF262+X262*AG262)*PRODUCT(Y262:AC262)</x:f>
        <x:v>1.88952701323025</x:v>
      </x:c>
      <x:c r="AE262" t="n">
        <x:f>1+AE$9*($H$10*H262+$I$10*I262+$J$10*J262+$K$10*K262+$L$10*L262)</x:f>
        <x:v>1</x:v>
      </x:c>
      <x:c r="AF262" t="n">
        <x:f>1+AF$9*($H$10*H262+$I$10*I262+$J$10*J262+$K$10*K262+$L$10*L262)</x:f>
        <x:v>1.2119689110853848</x:v>
      </x:c>
      <x:c r="AG262" t="n">
        <x:f>1+AG$9*($H$10*H262+$I$10*I262+$J$10*J262+$K$10*K262+$L$10*L262)</x:f>
        <x:v>1.3756560146457681</x:v>
      </x:c>
      <x:c r="AH262" t="n">
        <x:f>MIN(1,'_曲线基线'!$L$3+AH$9*($H$10*H262+$I$10*I262+$J$10*J262+$K$10*K262+$L$10*L262))</x:f>
        <x:v>0.5322292727192498</x:v>
      </x:c>
      <x:c r="AI262" t="n">
        <x:f>'_曲线基线'!$L$4+AI$9*($H$10*H262+$I$10*I262+$J$10*J262+$K$10*K262+$L$10*L262)</x:f>
        <x:v>3.3433529740036247</x:v>
      </x:c>
      <x:c r="AJ262" t="n">
        <x:f>1+AJ$9*($H$10*H262+$I$10*I262+$J$10*J262+$K$10*K262+$L$10*L262)</x:f>
        <x:v>2.1022383376439997</x:v>
      </x:c>
      <x:c r="AK262" t="n">
        <x:f>(1+AH262*(AI262-1))*AJ262</x:f>
        <x:v>4.724152197766513</x:v>
      </x:c>
      <x:c r="AL262" t="n">
        <x:f>U262*AD262*AK262*F262</x:f>
        <x:v>2437061.772466032</x:v>
      </x:c>
      <x:c r="AM262" t="n">
        <x:f>IF($B262&lt;AM$8,0,AM$3+(AM$4-AM$3)*(POWER(AM$5,$B262-AM$8)-1)/(POWER(AM$5,$C$5-AM$8)-1))</x:f>
        <x:v>49.81027187513583</x:v>
      </x:c>
      <x:c r="AN262" t="n">
        <x:f>(((E262*'模块规划'!$D$10+G262*'模块规划'!$D$11+H262*'模块规划'!$D$13)*(1+'模块规划'!$G$14*H262)+(I262*'模块规划'!$D$15+J262*'模块规划'!$D$17+K262*'模块规划'!$D$16+L262*'模块规划'!$D$18))*(1+'模块规划'!$J$17*J262))*F262/(1-Q262)</x:f>
        <x:v>2918671.861460797</x:v>
      </x:c>
      <x:c r="AO262" t="n">
        <x:f>AL262*AM262</x:f>
        <x:v>121390709.46303347</x:v>
      </x:c>
      <x:c r="AP262" t="n">
        <x:f>IF(AO262="","",INDEX('_曲线基线'!$A$3:$A$502,MIN(ROWS('_曲线基线'!$A$3:$A$502),COUNTIF('_曲线基线'!$E$3:$E$502,"&lt;"&amp;AO262)+1)))</x:f>
        <x:v>309</x:v>
      </x:c>
      <x:c r="AQ262" t="n">
        <x:f>IF(B262&lt;=2,1,IF(B262&lt;=6,2,IF(B262&lt;=9,3,IF(B262&lt;=19,4,5))))</x:f>
        <x:v>5</x:v>
      </x:c>
      <x:c r="AR262" t="n">
        <x:f>AN262*(1-Q262)/F262*$AS$3+U262*$AS$4+P262*$AS$5</x:f>
        <x:v>17878.839710161737</x:v>
      </x:c>
      <x:c r="AS262" t="n">
        <x:f>1+AH262*$AS$6+AI262*$AS$7+(AJ262-1)*$AS$8+($H$10*H262+$I$10*I262+$J$10*J262+$K$10*K262+$L$10*L262)*$AU$3*$AS$9+($H$10*H262+$I$10*I262+$J$10*J262+$K$10*K262+$L$10*L262)*$AU$4*$AS$10</x:f>
        <x:v>17.64696328702695</x:v>
      </x:c>
      <x:c r="AT262" t="n">
        <x:f>ROUND(AR262*AS262,0)</x:f>
        <x:v>315507</x:v>
      </x:c>
      <x:c r="AU262" t="n">
        <x:f>ROUND(AT262*F262,0)</x:f>
        <x:v>1577535</x:v>
      </x:c>
    </x:row>
    <x:row r="263">
      <x:c r="A263" t="str">
        <x:f>IFERROR(XLOOKUP(B263,'_曲线基线'!$G$3:$G$107,'_曲线基线'!$J$3:$J$107,""),"")</x:f>
      </x:c>
      <x:c r="B263" t="n">
        <x:v>252</x:v>
      </x:c>
      <x:c r="C263" t="n">
        <x:f>C248+1</x:f>
        <x:v>18</x:v>
      </x:c>
      <x:c r="D263" t="n">
        <x:f>D248</x:f>
        <x:v>3</x:v>
      </x:c>
      <x:c r="E263" t="n">
        <x:f>IF($B263&lt;E$8,0,E$3+(E$4-E$3)*(POWER(E$5,$B263-E$8)-1)/(POWER(E$5,$C$5-E$8)-1))</x:f>
        <x:v>1</x:v>
      </x:c>
      <x:c r="F263" t="n">
        <x:f>1+IF(B263&lt;3,0,MIN(1,(B263-2)/4))+IF(B263&lt;7,0,MIN(1,(B263-6)/3))+IF(B263&lt;10,0,MIN(1,(B263-9)/5))+IF(B263&lt;20,0,MIN(1,(B263-19)/10))</x:f>
        <x:v>5</x:v>
      </x:c>
      <x:c r="G263" t="n">
        <x:f>IF($B263&lt;G$8,0,G$3+(G$4-G$3)*(POWER(G$5,$B263-G$8)-1)/(POWER(G$5,$C$5-G$8)-1))</x:f>
        <x:v>0.8931068352134748</x:v>
      </x:c>
      <x:c r="H263" t="n">
        <x:f>IF($B263&lt;H$8,0,H$3+(H$4-H$3)*(POWER(H$5,$B263-H$8)-1)/(POWER(H$5,$C$5-H$8)-1))</x:f>
        <x:v>0.6975864315137467</x:v>
      </x:c>
      <x:c r="I263" t="n">
        <x:f>IF($B263&lt;I$8,0,I$3+(I$4-I$3)*(POWER(I$5,$B263-I$8)-1)/(POWER(I$5,$C$5-I$8)-1))</x:f>
        <x:v>0.6437943075416076</x:v>
      </x:c>
      <x:c r="J263" t="n">
        <x:f>IF($B263&lt;J$8,0,J$3+(J$4-J$3)*(POWER(J$5,$B263-J$8)-1)/(POWER(J$5,$C$5-J$8)-1))</x:f>
        <x:v>0.5971365866435022</x:v>
      </x:c>
      <x:c r="K263" t="n">
        <x:f>IF($B263&lt;K$8,0,K$3+(K$4-K$3)*(POWER(K$5,$B263-K$8)-1)/(POWER(K$5,$C$5-K$8)-1))</x:f>
        <x:v>0.6369740989776572</x:v>
      </x:c>
      <x:c r="L263" t="n">
        <x:f>IF($B263&lt;L$8,0,L$3+(L$4-L$3)*(POWER(L$5,$B263-L$8)-1)/(POWER(L$5,$C$5-L$8)-1))</x:f>
        <x:v>0.6975369360959685</x:v>
      </x:c>
      <x:c r="M263" t="n">
        <x:f>E263*'模块规划'!$F$10+G263*'模块规划'!$F$11+H263*'模块规划'!$F$13</x:f>
        <x:v>5286.912809024679</x:v>
      </x:c>
      <x:c r="N263" t="n">
        <x:f>I263*'模块规划'!$F$15+J263*'模块规划'!$F$17+K263*'模块规划'!$F$16+L263*'模块规划'!$F$18</x:f>
        <x:v>18431.249601113668</x:v>
      </x:c>
      <x:c r="O263" t="n">
        <x:f>1+O$9*SUMPRODUCT($H$10:$L$10,H263:L263)/SUM($H$10:$L$10)</x:f>
        <x:v>3.402570060122521</x:v>
      </x:c>
      <x:c r="P263" t="n">
        <x:f>M263*O263+N263</x:f>
        <x:v>36420.34083557929</x:v>
      </x:c>
      <x:c r="Q263" t="n">
        <x:f>P263/(P263+'_曲线基线'!$L$2)</x:f>
        <x:v>0.6027827769904388</x:v>
      </x:c>
      <x:c r="R263" t="n">
        <x:f>E263*'模块规划'!$E$10+G263*'模块规划'!$E$11+H263*'模块规划'!$E$13</x:f>
        <x:v>7930.369213537018</x:v>
      </x:c>
      <x:c r="S263" t="n">
        <x:f>I263*'模块规划'!$E$15+J263*'模块规划'!$E$17+K263*'模块规划'!$E$16+L263*'模块规划'!$E$18</x:f>
        <x:v>27646.874401670502</x:v>
      </x:c>
      <x:c r="T263" t="n">
        <x:f>1+T$9*SUMPRODUCT($H$10:$L$10,H263:L263)/SUM($H$10:$L$10)</x:f>
        <x:v>3.402570060122521</x:v>
      </x:c>
      <x:c r="U263" t="n">
        <x:f>R263*T263+S263</x:f>
        <x:v>54630.511253368946</x:v>
      </x:c>
      <x:c r="V263" t="n">
        <x:f>V$8+(V$9-V$8)*H263</x:f>
        <x:v>0.9092759294541239</x:v>
      </x:c>
      <x:c r="W263" t="n">
        <x:f>IF(B263&lt;$H$8,0,W$8+(W$9-W$8)*H263)</x:f>
        <x:v>0.2790345726054987</x:v>
      </x:c>
      <x:c r="X263" t="n">
        <x:f>X$8+(X$9-X$8)*H263</x:f>
        <x:v>0.46683626866628036</x:v>
      </x:c>
      <x:c r="Y263" t="n">
        <x:f>Y$8+(Y$9-Y$8)*G263</x:f>
        <x:v>1</x:v>
      </x:c>
      <x:c r="Z263" t="n">
        <x:f>Z$8+(Z$9-Z$8)*H263</x:f>
        <x:v>1</x:v>
      </x:c>
      <x:c r="AA263" t="n">
        <x:f>AA$8+(AA$9-AA$8)*I263</x:f>
        <x:v>1</x:v>
      </x:c>
      <x:c r="AB263" t="n">
        <x:f>AB$8+(AB$9-AB$8)*J263</x:f>
        <x:v>1</x:v>
      </x:c>
      <x:c r="AC263" t="n">
        <x:f>AC$8+(AC$9-AC$8)*MAX(K263,L263)</x:f>
        <x:v>1</x:v>
      </x:c>
      <x:c r="AD263" t="n">
        <x:f>(V263*AE263+W263*AF263+X263*AG263)*PRODUCT(Y263:AC263)</x:f>
        <x:v>1.8897515465321253</x:v>
      </x:c>
      <x:c r="AE263" t="n">
        <x:f>1+AE$9*($H$10*H263+$I$10*I263+$J$10*J263+$K$10*K263+$L$10*L263)</x:f>
        <x:v>1</x:v>
      </x:c>
      <x:c r="AF263" t="n">
        <x:f>1+AF$9*($H$10*H263+$I$10*I263+$J$10*J263+$K$10*K263+$L$10*L263)</x:f>
        <x:v>1.2120486935654697</x:v>
      </x:c>
      <x:c r="AG263" t="n">
        <x:f>1+AG$9*($H$10*H263+$I$10*I263+$J$10*J263+$K$10*K263+$L$10*L263)</x:f>
        <x:v>1.3757974069299186</x:v>
      </x:c>
      <x:c r="AH263" t="n">
        <x:f>MIN(1,'_曲线基线'!$L$3+AH$9*($H$10*H263+$I$10*I263+$J$10*J263+$K$10*K263+$L$10*L263))</x:f>
        <x:v>0.532410777861443</x:v>
      </x:c>
      <x:c r="AI263" t="n">
        <x:f>'_曲线基线'!$L$4+AI$9*($H$10*H263+$I$10*I263+$J$10*J263+$K$10*K263+$L$10*L263)</x:f>
        <x:v>3.343858595471162</x:v>
      </x:c>
      <x:c r="AJ263" t="n">
        <x:f>1+AJ$9*($H$10*H263+$I$10*I263+$J$10*J263+$K$10*K263+$L$10*L263)</x:f>
        <x:v>2.102653206540441</x:v>
      </x:c>
      <x:c r="AK263" t="n">
        <x:f>(1+AH263*(AI263-1))*AJ263</x:f>
        <x:v>4.726544845075074</x:v>
      </x:c>
      <x:c r="AL263" t="n">
        <x:f>U263*AD263*AK263*F263</x:f>
        <x:v>2439797.3844687873</x:v>
      </x:c>
      <x:c r="AM263" t="n">
        <x:f>IF($B263&lt;AM$8,0,AM$3+(AM$4-AM$3)*(POWER(AM$5,$B263-AM$8)-1)/(POWER(AM$5,$C$5-AM$8)-1))</x:f>
        <x:v>49.971799233809065</x:v>
      </x:c>
      <x:c r="AN263" t="n">
        <x:f>(((E263*'模块规划'!$D$10+G263*'模块规划'!$D$11+H263*'模块规划'!$D$13)*(1+'模块规划'!$G$14*H263)+(I263*'模块规划'!$D$15+J263*'模块规划'!$D$17+K263*'模块规划'!$D$16+L263*'模块规划'!$D$18))*(1+'模块规划'!$J$17*J263))*F263/(1-Q263)</x:f>
        <x:v>2921039.1175896702</x:v>
      </x:c>
      <x:c r="AO263" t="n">
        <x:f>AL263*AM263</x:f>
        <x:v>121921065.06784672</x:v>
      </x:c>
      <x:c r="AP263" t="n">
        <x:f>IF(AO263="","",INDEX('_曲线基线'!$A$3:$A$502,MIN(ROWS('_曲线基线'!$A$3:$A$502),COUNTIF('_曲线基线'!$E$3:$E$502,"&lt;"&amp;AO263)+1)))</x:f>
        <x:v>309</x:v>
      </x:c>
      <x:c r="AQ263" t="n">
        <x:f>IF(B263&lt;=2,1,IF(B263&lt;=6,2,IF(B263&lt;=9,3,IF(B263&lt;=19,4,5))))</x:f>
        <x:v>5</x:v>
      </x:c>
      <x:c r="AR263" t="n">
        <x:f>AN263*(1-Q263)/F263*$AS$3+U263*$AS$4+P263*$AS$5</x:f>
        <x:v>17887.824530221395</x:v>
      </x:c>
      <x:c r="AS263" t="n">
        <x:f>1+AH263*$AS$6+AI263*$AS$7+(AJ263-1)*$AS$8+($H$10*H263+$I$10*I263+$J$10*J263+$K$10*K263+$L$10*L263)*$AU$3*$AS$9+($H$10*H263+$I$10*I263+$J$10*J263+$K$10*K263+$L$10*L263)*$AU$4*$AS$10</x:f>
        <x:v>17.651730380864862</x:v>
      </x:c>
      <x:c r="AT263" t="n">
        <x:f>ROUND(AR263*AS263,0)</x:f>
        <x:v>315751</x:v>
      </x:c>
      <x:c r="AU263" t="n">
        <x:f>ROUND(AT263*F263,0)</x:f>
        <x:v>1578755</x:v>
      </x:c>
    </x:row>
    <x:row r="264">
      <x:c r="A264" t="str">
        <x:f>IFERROR(XLOOKUP(B264,'_曲线基线'!$G$3:$G$107,'_曲线基线'!$J$3:$J$107,""),"")</x:f>
      </x:c>
      <x:c r="B264" t="n">
        <x:v>253</x:v>
      </x:c>
      <x:c r="C264" t="n">
        <x:f>C249+1</x:f>
        <x:v>18</x:v>
      </x:c>
      <x:c r="D264" t="n">
        <x:f>D249</x:f>
        <x:v>4</x:v>
      </x:c>
      <x:c r="E264" t="n">
        <x:f>IF($B264&lt;E$8,0,E$3+(E$4-E$3)*(POWER(E$5,$B264-E$8)-1)/(POWER(E$5,$C$5-E$8)-1))</x:f>
        <x:v>1</x:v>
      </x:c>
      <x:c r="F264" t="n">
        <x:f>1+IF(B264&lt;3,0,MIN(1,(B264-2)/4))+IF(B264&lt;7,0,MIN(1,(B264-6)/3))+IF(B264&lt;10,0,MIN(1,(B264-9)/5))+IF(B264&lt;20,0,MIN(1,(B264-19)/10))</x:f>
        <x:v>5</x:v>
      </x:c>
      <x:c r="G264" t="n">
        <x:f>IF($B264&lt;G$8,0,G$3+(G$4-G$3)*(POWER(G$5,$B264-G$8)-1)/(POWER(G$5,$C$5-G$8)-1))</x:f>
        <x:v>0.8934154231397685</x:v>
      </x:c>
      <x:c r="H264" t="n">
        <x:f>IF($B264&lt;H$8,0,H$3+(H$4-H$3)*(POWER(H$5,$B264-H$8)-1)/(POWER(H$5,$C$5-H$8)-1))</x:f>
        <x:v>0.697701245122983</x:v>
      </x:c>
      <x:c r="I264" t="n">
        <x:f>IF($B264&lt;I$8,0,I$3+(I$4-I$3)*(POWER(I$5,$B264-I$8)-1)/(POWER(I$5,$C$5-I$8)-1))</x:f>
        <x:v>0.6440895127338437</x:v>
      </x:c>
      <x:c r="J264" t="n">
        <x:f>IF($B264&lt;J$8,0,J$3+(J$4-J$3)*(POWER(J$5,$B264-J$8)-1)/(POWER(J$5,$C$5-J$8)-1))</x:f>
        <x:v>0.5972727994023561</x:v>
      </x:c>
      <x:c r="K264" t="n">
        <x:f>IF($B264&lt;K$8,0,K$3+(K$4-K$3)*(POWER(K$5,$B264-K$8)-1)/(POWER(K$5,$C$5-K$8)-1))</x:f>
        <x:v>0.6375937419330776</x:v>
      </x:c>
      <x:c r="L264" t="n">
        <x:f>IF($B264&lt;L$8,0,L$3+(L$4-L$3)*(POWER(L$5,$B264-L$8)-1)/(POWER(L$5,$C$5-L$8)-1))</x:f>
        <x:v>0.6976541042054348</x:v>
      </x:c>
      <x:c r="M264" t="n">
        <x:f>E264*'模块规划'!$F$10+G264*'模块规划'!$F$11+H264*'模块规划'!$F$13</x:f>
        <x:v>5288.394031070889</x:v>
      </x:c>
      <x:c r="N264" t="n">
        <x:f>I264*'模块规划'!$F$15+J264*'模块规划'!$F$17+K264*'模块规划'!$F$16+L264*'模块规划'!$F$18</x:f>
        <x:v>18439.27706851995</x:v>
      </x:c>
      <x:c r="O264" t="n">
        <x:f>1+O$9*SUMPRODUCT($H$10:$L$10,H264:L264)/SUM($H$10:$L$10)</x:f>
        <x:v>3.4034559384312066</x:v>
      </x:c>
      <x:c r="P264" t="n">
        <x:f>M264*O264+N264</x:f>
        <x:v>36438.09313833231</x:v>
      </x:c>
      <x:c r="Q264" t="n">
        <x:f>P264/(P264+'_曲线基线'!$L$2)</x:f>
        <x:v>0.6028994504332199</x:v>
      </x:c>
      <x:c r="R264" t="n">
        <x:f>E264*'模块规划'!$E$10+G264*'模块规划'!$E$11+H264*'模块规划'!$E$13</x:f>
        <x:v>7932.591046606333</x:v>
      </x:c>
      <x:c r="S264" t="n">
        <x:f>I264*'模块规划'!$E$15+J264*'模块规划'!$E$17+K264*'模块规划'!$E$16+L264*'模块规划'!$E$18</x:f>
        <x:v>27658.915602779925</x:v>
      </x:c>
      <x:c r="T264" t="n">
        <x:f>1+T$9*SUMPRODUCT($H$10:$L$10,H264:L264)/SUM($H$10:$L$10)</x:f>
        <x:v>3.4034559384312066</x:v>
      </x:c>
      <x:c r="U264" t="n">
        <x:f>R264*T264+S264</x:f>
        <x:v>54657.13970749847</x:v>
      </x:c>
      <x:c r="V264" t="n">
        <x:f>V$8+(V$9-V$8)*H264</x:f>
        <x:v>0.9093103735368949</x:v>
      </x:c>
      <x:c r="W264" t="n">
        <x:f>IF(B264&lt;$H$8,0,W$8+(W$9-W$8)*H264)</x:f>
        <x:v>0.2790804980491932</x:v>
      </x:c>
      <x:c r="X264" t="n">
        <x:f>X$8+(X$9-X$8)*H264</x:f>
        <x:v>0.4668678424088204</x:v>
      </x:c>
      <x:c r="Y264" t="n">
        <x:f>Y$8+(Y$9-Y$8)*G264</x:f>
        <x:v>1</x:v>
      </x:c>
      <x:c r="Z264" t="n">
        <x:f>Z$8+(Z$9-Z$8)*H264</x:f>
        <x:v>1</x:v>
      </x:c>
      <x:c r="AA264" t="n">
        <x:f>AA$8+(AA$9-AA$8)*I264</x:f>
        <x:v>1</x:v>
      </x:c>
      <x:c r="AB264" t="n">
        <x:f>AB$8+(AB$9-AB$8)*J264</x:f>
        <x:v>1</x:v>
      </x:c>
      <x:c r="AC264" t="n">
        <x:f>AC$8+(AC$9-AC$8)*MAX(K264,L264)</x:f>
        <x:v>1</x:v>
      </x:c>
      <x:c r="AD264" t="n">
        <x:f>(V264*AE264+W264*AF264+X264*AG264)*PRODUCT(Y264:AC264)</x:f>
        <x:v>1.889971605262055</x:v>
      </x:c>
      <x:c r="AE264" t="n">
        <x:f>1+AE$9*($H$10*H264+$I$10*I264+$J$10*J264+$K$10*K264+$L$10*L264)</x:f>
        <x:v>1</x:v>
      </x:c>
      <x:c r="AF264" t="n">
        <x:f>1+AF$9*($H$10*H264+$I$10*I264+$J$10*J264+$K$10*K264+$L$10*L264)</x:f>
        <x:v>1.2121268803959528</x:v>
      </x:c>
      <x:c r="AG264" t="n">
        <x:f>1+AG$9*($H$10*H264+$I$10*I264+$J$10*J264+$K$10*K264+$L$10*L264)</x:f>
        <x:v>1.3759359713683859</x:v>
      </x:c>
      <x:c r="AH264" t="n">
        <x:f>MIN(1,'_曲线基线'!$L$3+AH$9*($H$10*H264+$I$10*I264+$J$10*J264+$K$10*K264+$L$10*L264))</x:f>
        <x:v>0.5325886529007922</x:v>
      </x:c>
      <x:c r="AI264" t="n">
        <x:f>'_曲线基线'!$L$4+AI$9*($H$10*H264+$I$10*I264+$J$10*J264+$K$10*K264+$L$10*L264)</x:f>
        <x:v>3.3443541045093497</x:v>
      </x:c>
      <x:c r="AJ264" t="n">
        <x:f>1+AJ$9*($H$10*H264+$I$10*I264+$J$10*J264+$K$10*K264+$L$10*L264)</x:f>
        <x:v>2.1030597780589537</x:v>
      </x:c>
      <x:c r="AK264" t="n">
        <x:f>(1+AH264*(AI264-1))*AJ264</x:f>
        <x:v>4.72889057304606</x:v>
      </x:c>
      <x:c r="AL264" t="n">
        <x:f>U264*AD264*AK264*F264</x:f>
        <x:v>2442482.433529171</x:v>
      </x:c>
      <x:c r="AM264" t="n">
        <x:f>IF($B264&lt;AM$8,0,AM$3+(AM$4-AM$3)*(POWER(AM$5,$B264-AM$8)-1)/(POWER(AM$5,$C$5-AM$8)-1))</x:f>
        <x:v>50.13494186606902</x:v>
      </x:c>
      <x:c r="AN264" t="n">
        <x:f>(((E264*'模块规划'!$D$10+G264*'模块规划'!$D$11+H264*'模块规划'!$D$13)*(1+'模块规划'!$G$14*H264)+(I264*'模块规划'!$D$15+J264*'模块规划'!$D$17+K264*'模块规划'!$D$16+L264*'模块规划'!$D$18))*(1+'模块规划'!$J$17*J264))*F264/(1-Q264)</x:f>
        <x:v>2923362.8456320264</x:v>
      </x:c>
      <x:c r="AO264" t="n">
        <x:f>AL264*AM264</x:f>
        <x:v>122453714.81387979</x:v>
      </x:c>
      <x:c r="AP264" t="n">
        <x:f>IF(AO264="","",INDEX('_曲线基线'!$A$3:$A$502,MIN(ROWS('_曲线基线'!$A$3:$A$502),COUNTIF('_曲线基线'!$E$3:$E$502,"&lt;"&amp;AO264)+1)))</x:f>
        <x:v>309</x:v>
      </x:c>
      <x:c r="AQ264" t="n">
        <x:f>IF(B264&lt;=2,1,IF(B264&lt;=6,2,IF(B264&lt;=9,3,IF(B264&lt;=19,4,5))))</x:f>
        <x:v>5</x:v>
      </x:c>
      <x:c r="AR264" t="n">
        <x:f>AN264*(1-Q264)/F264*$AS$3+U264*$AS$4+P264*$AS$5</x:f>
        <x:v>17896.641897001195</x:v>
      </x:c>
      <x:c r="AS264" t="n">
        <x:f>1+AH264*$AS$6+AI264*$AS$7+(AJ264-1)*$AS$8+($H$10*H264+$I$10*I264+$J$10*J264+$K$10*K264+$L$10*L264)*$AU$3*$AS$9+($H$10*H264+$I$10*I264+$J$10*J264+$K$10*K264+$L$10*L264)*$AU$4*$AS$10</x:f>
        <x:v>17.656402132826017</x:v>
      </x:c>
      <x:c r="AT264" t="n">
        <x:f>ROUND(AR264*AS264,0)</x:f>
        <x:v>315990</x:v>
      </x:c>
      <x:c r="AU264" t="n">
        <x:f>ROUND(AT264*F264,0)</x:f>
        <x:v>1579950</x:v>
      </x:c>
    </x:row>
    <x:row r="265">
      <x:c r="A265" t="str">
        <x:f>IFERROR(XLOOKUP(B265,'_曲线基线'!$G$3:$G$107,'_曲线基线'!$J$3:$J$107,""),"")</x:f>
      </x:c>
      <x:c r="B265" t="n">
        <x:v>254</x:v>
      </x:c>
      <x:c r="C265" t="n">
        <x:f>C250+1</x:f>
        <x:v>18</x:v>
      </x:c>
      <x:c r="D265" t="n">
        <x:f>D250</x:f>
        <x:v>5</x:v>
      </x:c>
      <x:c r="E265" t="n">
        <x:f>IF($B265&lt;E$8,0,E$3+(E$4-E$3)*(POWER(E$5,$B265-E$8)-1)/(POWER(E$5,$C$5-E$8)-1))</x:f>
        <x:v>1</x:v>
      </x:c>
      <x:c r="F265" t="n">
        <x:f>1+IF(B265&lt;3,0,MIN(1,(B265-2)/4))+IF(B265&lt;7,0,MIN(1,(B265-6)/3))+IF(B265&lt;10,0,MIN(1,(B265-9)/5))+IF(B265&lt;20,0,MIN(1,(B265-19)/10))</x:f>
        <x:v>5</x:v>
      </x:c>
      <x:c r="G265" t="n">
        <x:f>IF($B265&lt;G$8,0,G$3+(G$4-G$3)*(POWER(G$5,$B265-G$8)-1)/(POWER(G$5,$C$5-G$8)-1))</x:f>
        <x:v>0.8937193822471678</x:v>
      </x:c>
      <x:c r="H265" t="n">
        <x:f>IF($B265&lt;H$8,0,H$3+(H$4-H$3)*(POWER(H$5,$B265-H$8)-1)/(POWER(H$5,$C$5-H$8)-1))</x:f>
        <x:v>0.6978137624600347</x:v>
      </x:c>
      <x:c r="I265" t="n">
        <x:f>IF($B265&lt;I$8,0,I$3+(I$4-I$3)*(POWER(I$5,$B265-I$8)-1)/(POWER(I$5,$C$5-I$8)-1))</x:f>
        <x:v>0.644378813822235</x:v>
      </x:c>
      <x:c r="J265" t="n">
        <x:f>IF($B265&lt;J$8,0,J$3+(J$4-J$3)*(POWER(J$5,$B265-J$8)-1)/(POWER(J$5,$C$5-J$8)-1))</x:f>
        <x:v>0.5974062879060328</x:v>
      </x:c>
      <x:c r="K265" t="n">
        <x:f>IF($B265&lt;K$8,0,K$3+(K$4-K$3)*(POWER(K$5,$B265-K$8)-1)/(POWER(K$5,$C$5-K$8)-1))</x:f>
        <x:v>0.6382009920293896</x:v>
      </x:c>
      <x:c r="L265" t="n">
        <x:f>IF($B265&lt;L$8,0,L$3+(L$4-L$3)*(POWER(L$5,$B265-L$8)-1)/(POWER(L$5,$C$5-L$8)-1))</x:f>
        <x:v>0.6977689289527117</x:v>
      </x:c>
      <x:c r="M265" t="n">
        <x:f>E265*'模块规划'!$F$10+G265*'模块规划'!$F$11+H265*'模块规划'!$F$13</x:f>
        <x:v>5289.853034786405</x:v>
      </x:c>
      <x:c r="N265" t="n">
        <x:f>I265*'模块规划'!$F$15+J265*'模块规划'!$F$17+K265*'模块规划'!$F$16+L265*'模块规划'!$F$18</x:f>
        <x:v>18447.143986578103</x:v>
      </x:c>
      <x:c r="O265" t="n">
        <x:f>1+O$9*SUMPRODUCT($H$10:$L$10,H265:L265)/SUM($H$10:$L$10)</x:f>
        <x:v>3.404324099173719</x:v>
      </x:c>
      <x:c r="P265" t="n">
        <x:f>M265*O265+N265</x:f>
        <x:v>36455.5181539887</x:v>
      </x:c>
      <x:c r="Q265" t="n">
        <x:f>P265/(P265+'_曲线基线'!$L$2)</x:f>
        <x:v>0.6030139062100398</x:v>
      </x:c>
      <x:c r="R265" t="n">
        <x:f>E265*'模块规划'!$E$10+G265*'模块规划'!$E$11+H265*'模块规划'!$E$13</x:f>
        <x:v>7934.779552179609</x:v>
      </x:c>
      <x:c r="S265" t="n">
        <x:f>I265*'模块规划'!$E$15+J265*'模块规划'!$E$17+K265*'模块规划'!$E$16+L265*'模块规划'!$E$18</x:f>
        <x:v>27670.71597986716</x:v>
      </x:c>
      <x:c r="T265" t="n">
        <x:f>1+T$9*SUMPRODUCT($H$10:$L$10,H265:L265)/SUM($H$10:$L$10)</x:f>
        <x:v>3.404324099173719</x:v>
      </x:c>
      <x:c r="U265" t="n">
        <x:f>R265*T265+S265</x:f>
        <x:v>54683.27723098305</x:v>
      </x:c>
      <x:c r="V265" t="n">
        <x:f>V$8+(V$9-V$8)*H265</x:f>
        <x:v>0.9093441287380104</x:v>
      </x:c>
      <x:c r="W265" t="n">
        <x:f>IF(B265&lt;$H$8,0,W$8+(W$9-W$8)*H265)</x:f>
        <x:v>0.2791255049840139</x:v>
      </x:c>
      <x:c r="X265" t="n">
        <x:f>X$8+(X$9-X$8)*H265</x:f>
        <x:v>0.4668987846765096</x:v>
      </x:c>
      <x:c r="Y265" t="n">
        <x:f>Y$8+(Y$9-Y$8)*G265</x:f>
        <x:v>1</x:v>
      </x:c>
      <x:c r="Z265" t="n">
        <x:f>Z$8+(Z$9-Z$8)*H265</x:f>
        <x:v>1</x:v>
      </x:c>
      <x:c r="AA265" t="n">
        <x:f>AA$8+(AA$9-AA$8)*I265</x:f>
        <x:v>1</x:v>
      </x:c>
      <x:c r="AB265" t="n">
        <x:f>AB$8+(AB$9-AB$8)*J265</x:f>
        <x:v>1</x:v>
      </x:c>
      <x:c r="AC265" t="n">
        <x:f>AC$8+(AC$9-AC$8)*MAX(K265,L265)</x:f>
        <x:v>1</x:v>
      </x:c>
      <x:c r="AD265" t="n">
        <x:f>(V265*AE265+W265*AF265+X265*AG265)*PRODUCT(Y265:AC265)</x:f>
        <x:v>1.8901872782741527</x:v>
      </x:c>
      <x:c r="AE265" t="n">
        <x:f>1+AE$9*($H$10*H265+$I$10*I265+$J$10*J265+$K$10*K265+$L$10*L265)</x:f>
        <x:v>1</x:v>
      </x:c>
      <x:c r="AF265" t="n">
        <x:f>1+AF$9*($H$10*H265+$I$10*I265+$J$10*J265+$K$10*K265+$L$10*L265)</x:f>
        <x:v>1.2122035034898264</x:v>
      </x:c>
      <x:c r="AG265" t="n">
        <x:f>1+AG$9*($H$10*H265+$I$10*I265+$J$10*J265+$K$10*K265+$L$10*L265)</x:f>
        <x:v>1.376071764518084</x:v>
      </x:c>
      <x:c r="AH265" t="n">
        <x:f>MIN(1,'_曲线基线'!$L$3+AH$9*($H$10*H265+$I$10*I265+$J$10*J265+$K$10*K265+$L$10*L265))</x:f>
        <x:v>0.5327629704393545</x:v>
      </x:c>
      <x:c r="AI265" t="n">
        <x:f>'_曲线基线'!$L$4+AI$9*($H$10*H265+$I$10*I265+$J$10*J265+$K$10*K265+$L$10*L265)</x:f>
        <x:v>3.344839703366773</x:v>
      </x:c>
      <x:c r="AJ265" t="n">
        <x:f>1+AJ$9*($H$10*H265+$I$10*I265+$J$10*J265+$K$10*K265+$L$10*L265)</x:f>
        <x:v>2.1034582181470958</x:v>
      </x:c>
      <x:c r="AK265" t="n">
        <x:f>(1+AH265*(AI265-1))*AJ265</x:f>
        <x:v>4.731190283303952</x:v>
      </x:c>
      <x:c r="AL265" t="n">
        <x:f>U265*AD265*AK265*F265</x:f>
        <x:v>2445117.8148592957</x:v>
      </x:c>
      <x:c r="AM265" t="n">
        <x:f>IF($B265&lt;AM$8,0,AM$3+(AM$4-AM$3)*(POWER(AM$5,$B265-AM$8)-1)/(POWER(AM$5,$C$5-AM$8)-1))</x:f>
        <x:v>50.29971592465158</x:v>
      </x:c>
      <x:c r="AN265" t="n">
        <x:f>(((E265*'模块规划'!$D$10+G265*'模块规划'!$D$11+H265*'模块规划'!$D$13)*(1+'模块规划'!$G$14*H265)+(I265*'模块规划'!$D$15+J265*'模块规划'!$D$17+K265*'模块规划'!$D$16+L265*'模块规划'!$D$18))*(1+'模块规划'!$J$17*J265))*F265/(1-Q265)</x:f>
        <x:v>2925643.832881711</x:v>
      </x:c>
      <x:c r="AO265" t="n">
        <x:f>AL265*AM265</x:f>
        <x:v>122988731.4897274</x:v>
      </x:c>
      <x:c r="AP265" t="n">
        <x:f>IF(AO265="","",INDEX('_曲线基线'!$A$3:$A$502,MIN(ROWS('_曲线基线'!$A$3:$A$502),COUNTIF('_曲线基线'!$E$3:$E$502,"&lt;"&amp;AO265)+1)))</x:f>
        <x:v>310</x:v>
      </x:c>
      <x:c r="AQ265" t="n">
        <x:f>IF(B265&lt;=2,1,IF(B265&lt;=6,2,IF(B265&lt;=9,3,IF(B265&lt;=19,4,5))))</x:f>
        <x:v>5</x:v>
      </x:c>
      <x:c r="AR265" t="n">
        <x:f>AN265*(1-Q265)/F265*$AS$3+U265*$AS$4+P265*$AS$5</x:f>
        <x:v>17905.294948414994</x:v>
      </x:c>
      <x:c r="AS265" t="n">
        <x:f>1+AH265*$AS$6+AI265*$AS$7+(AJ265-1)*$AS$8+($H$10*H265+$I$10*I265+$J$10*J265+$K$10*K265+$L$10*L265)*$AU$3*$AS$9+($H$10*H265+$I$10*I265+$J$10*J265+$K$10*K265+$L$10*L265)*$AU$4*$AS$10</x:f>
        <x:v>17.660980449747953</x:v>
      </x:c>
      <x:c r="AT265" t="n">
        <x:f>ROUND(AR265*AS265,0)</x:f>
        <x:v>316225</x:v>
      </x:c>
      <x:c r="AU265" t="n">
        <x:f>ROUND(AT265*F265,0)</x:f>
        <x:v>1581125</x:v>
      </x:c>
    </x:row>
    <x:row r="266">
      <x:c r="A266" t="str">
        <x:f>IFERROR(XLOOKUP(B266,'_曲线基线'!$G$3:$G$107,'_曲线基线'!$J$3:$J$107,""),"")</x:f>
      </x:c>
      <x:c r="B266" t="n">
        <x:v>255</x:v>
      </x:c>
      <x:c r="C266" t="n">
        <x:f>C251+1</x:f>
        <x:v>18</x:v>
      </x:c>
      <x:c r="D266" t="n">
        <x:f>D251</x:f>
        <x:v>6</x:v>
      </x:c>
      <x:c r="E266" t="n">
        <x:f>IF($B266&lt;E$8,0,E$3+(E$4-E$3)*(POWER(E$5,$B266-E$8)-1)/(POWER(E$5,$C$5-E$8)-1))</x:f>
        <x:v>1</x:v>
      </x:c>
      <x:c r="F266" t="n">
        <x:f>1+IF(B266&lt;3,0,MIN(1,(B266-2)/4))+IF(B266&lt;7,0,MIN(1,(B266-6)/3))+IF(B266&lt;10,0,MIN(1,(B266-9)/5))+IF(B266&lt;20,0,MIN(1,(B266-19)/10))</x:f>
        <x:v>5</x:v>
      </x:c>
      <x:c r="G266" t="n">
        <x:f>IF($B266&lt;G$8,0,G$3+(G$4-G$3)*(POWER(G$5,$B266-G$8)-1)/(POWER(G$5,$C$5-G$8)-1))</x:f>
        <x:v>0.894018781967956</x:v>
      </x:c>
      <x:c r="H266" t="n">
        <x:f>IF($B266&lt;H$8,0,H$3+(H$4-H$3)*(POWER(H$5,$B266-H$8)-1)/(POWER(H$5,$C$5-H$8)-1))</x:f>
        <x:v>0.6979240294503454</x:v>
      </x:c>
      <x:c r="I266" t="n">
        <x:f>IF($B266&lt;I$8,0,I$3+(I$4-I$3)*(POWER(I$5,$B266-I$8)-1)/(POWER(I$5,$C$5-I$8)-1))</x:f>
        <x:v>0.6446623288888585</x:v>
      </x:c>
      <x:c r="J266" t="n">
        <x:f>IF($B266&lt;J$8,0,J$3+(J$4-J$3)*(POWER(J$5,$B266-J$8)-1)/(POWER(J$5,$C$5-J$8)-1))</x:f>
        <x:v>0.597537106639636</x:v>
      </x:c>
      <x:c r="K266" t="n">
        <x:f>IF($B266&lt;K$8,0,K$3+(K$4-K$3)*(POWER(K$5,$B266-K$8)-1)/(POWER(K$5,$C$5-K$8)-1))</x:f>
        <x:v>0.6387960971237754</x:v>
      </x:c>
      <x:c r="L266" t="n">
        <x:f>IF($B266&lt;L$8,0,L$3+(L$4-L$3)*(POWER(L$5,$B266-L$8)-1)/(POWER(L$5,$C$5-L$8)-1))</x:f>
        <x:v>0.6978814572050432</x:v>
      </x:c>
      <x:c r="M266" t="n">
        <x:f>E266*'模块规划'!$F$10+G266*'模块规划'!$F$11+H266*'模块规划'!$F$13</x:f>
        <x:v>5291.290153446189</x:v>
      </x:c>
      <x:c r="N266" t="n">
        <x:f>I266*'模块规划'!$F$15+J266*'模块规划'!$F$17+K266*'模块规划'!$F$16+L266*'模块规划'!$F$18</x:f>
        <x:v>18454.853566275095</x:v>
      </x:c>
      <x:c r="O266" t="n">
        <x:f>1+O$9*SUMPRODUCT($H$10:$L$10,H266:L266)/SUM($H$10:$L$10)</x:f>
        <x:v>3.40517489670138</x:v>
      </x:c>
      <x:c r="P266" t="n">
        <x:f>M266*O266+N266</x:f>
        <x:v>36472.62196795325</x:v>
      </x:c>
      <x:c r="Q266" t="n">
        <x:f>P266/(P266+'_曲线基线'!$L$2)</x:f>
        <x:v>0.603126188034008</x:v>
      </x:c>
      <x:c r="R266" t="n">
        <x:f>E266*'模块规划'!$E$10+G266*'模块规划'!$E$11+H266*'模块规划'!$E$13</x:f>
        <x:v>7936.935230169283</x:v>
      </x:c>
      <x:c r="S266" t="n">
        <x:f>I266*'模块规划'!$E$15+J266*'模块规划'!$E$17+K266*'模块规划'!$E$16+L266*'模块规划'!$E$18</x:f>
        <x:v>27682.28034941265</x:v>
      </x:c>
      <x:c r="T266" t="n">
        <x:f>1+T$9*SUMPRODUCT($H$10:$L$10,H266:L266)/SUM($H$10:$L$10)</x:f>
        <x:v>3.40517489670138</x:v>
      </x:c>
      <x:c r="U266" t="n">
        <x:f>R266*T266+S266</x:f>
        <x:v>54708.93295192988</x:v>
      </x:c>
      <x:c r="V266" t="n">
        <x:f>V$8+(V$9-V$8)*H266</x:f>
        <x:v>0.9093772088351035</x:v>
      </x:c>
      <x:c r="W266" t="n">
        <x:f>IF(B266&lt;$H$8,0,W$8+(W$9-W$8)*H266)</x:f>
        <x:v>0.27916961178013816</x:v>
      </x:c>
      <x:c r="X266" t="n">
        <x:f>X$8+(X$9-X$8)*H266</x:f>
        <x:v>0.466929108098845</x:v>
      </x:c>
      <x:c r="Y266" t="n">
        <x:f>Y$8+(Y$9-Y$8)*G266</x:f>
        <x:v>1</x:v>
      </x:c>
      <x:c r="Z266" t="n">
        <x:f>Z$8+(Z$9-Z$8)*H266</x:f>
        <x:v>1</x:v>
      </x:c>
      <x:c r="AA266" t="n">
        <x:f>AA$8+(AA$9-AA$8)*I266</x:f>
        <x:v>1</x:v>
      </x:c>
      <x:c r="AB266" t="n">
        <x:f>AB$8+(AB$9-AB$8)*J266</x:f>
        <x:v>1</x:v>
      </x:c>
      <x:c r="AC266" t="n">
        <x:f>AC$8+(AC$9-AC$8)*MAX(K266,L266)</x:f>
        <x:v>1</x:v>
      </x:c>
      <x:c r="AD266" t="n">
        <x:f>(V266*AE266+W266*AF266+X266*AG266)*PRODUCT(Y266:AC266)</x:f>
        <x:v>1.8903986526706862</x:v>
      </x:c>
      <x:c r="AE266" t="n">
        <x:f>1+AE$9*($H$10*H266+$I$10*I266+$J$10*J266+$K$10*K266+$L$10*L266)</x:f>
        <x:v>1</x:v>
      </x:c>
      <x:c r="AF266" t="n">
        <x:f>1+AF$9*($H$10*H266+$I$10*I266+$J$10*J266+$K$10*K266+$L$10*L266)</x:f>
        <x:v>1.2122785941218224</x:v>
      </x:c>
      <x:c r="AG266" t="n">
        <x:f>1+AG$9*($H$10*H266+$I$10*I266+$J$10*J266+$K$10*K266+$L$10*L266)</x:f>
        <x:v>1.376204841804788</x:v>
      </x:c>
      <x:c r="AH266" t="n">
        <x:f>MIN(1,'_曲线基线'!$L$3+AH$9*($H$10*H266+$I$10*I266+$J$10*J266+$K$10*K266+$L$10*L266))</x:f>
        <x:v>0.5329338016271454</x:v>
      </x:c>
      <x:c r="AI266" t="n">
        <x:f>'_曲线基线'!$L$4+AI$9*($H$10*H266+$I$10*I266+$J$10*J266+$K$10*K266+$L$10*L266)</x:f>
        <x:v>3.345315590247048</x:v>
      </x:c>
      <x:c r="AJ266" t="n">
        <x:f>1+AJ$9*($H$10*H266+$I$10*I266+$J$10*J266+$K$10*K266+$L$10*L266)</x:f>
        <x:v>2.1038486894334754</x:v>
      </x:c>
      <x:c r="AK266" t="n">
        <x:f>(1+AH266*(AI266-1))*AJ266</x:f>
        <x:v>4.733444860884253</x:v>
      </x:c>
      <x:c r="AL266" t="n">
        <x:f>U266*AD266*AK266*F266</x:f>
        <x:v>2447704.409520047</x:v>
      </x:c>
      <x:c r="AM266" t="n">
        <x:f>IF($B266&lt;AM$8,0,AM$3+(AM$4-AM$3)*(POWER(AM$5,$B266-AM$8)-1)/(POWER(AM$5,$C$5-AM$8)-1))</x:f>
        <x:v>50.46613772381996</x:v>
      </x:c>
      <x:c r="AN266" t="n">
        <x:f>(((E266*'模块规划'!$D$10+G266*'模块规划'!$D$11+H266*'模块规划'!$D$13)*(1+'模块规划'!$G$14*H266)+(I266*'模块规划'!$D$15+J266*'模块规划'!$D$17+K266*'模块规划'!$D$16+L266*'模块规划'!$D$18))*(1+'模块规划'!$J$17*J266))*F266/(1-Q266)</x:f>
        <x:v>2927882.8531027175</x:v>
      </x:c>
      <x:c r="AO266" t="n">
        <x:f>AL266*AM266</x:f>
        <x:v>123526187.8380401</x:v>
      </x:c>
      <x:c r="AP266" t="n">
        <x:f>IF(AO266="","",INDEX('_曲线基线'!$A$3:$A$502,MIN(ROWS('_曲线基线'!$A$3:$A$502),COUNTIF('_曲线基线'!$E$3:$E$502,"&lt;"&amp;AO266)+1)))</x:f>
        <x:v>310</x:v>
      </x:c>
      <x:c r="AQ266" t="n">
        <x:f>IF(B266&lt;=2,1,IF(B266&lt;=6,2,IF(B266&lt;=9,3,IF(B266&lt;=19,4,5))))</x:f>
        <x:v>5</x:v>
      </x:c>
      <x:c r="AR266" t="n">
        <x:f>AN266*(1-Q266)/F266*$AS$3+U266*$AS$4+P266*$AS$5</x:f>
        <x:v>17913.786763790416</x:v>
      </x:c>
      <x:c r="AS266" t="n">
        <x:f>1+AH266*$AS$6+AI266*$AS$7+(AJ266-1)*$AS$8+($H$10*H266+$I$10*I266+$J$10*J266+$K$10*K266+$L$10*L266)*$AU$3*$AS$9+($H$10*H266+$I$10*I266+$J$10*J266+$K$10*K266+$L$10*L266)*$AU$4*$AS$10</x:f>
        <x:v>17.66546720033144</x:v>
      </x:c>
      <x:c r="AT266" t="n">
        <x:f>ROUND(AR266*AS266,0)</x:f>
        <x:v>316455</x:v>
      </x:c>
      <x:c r="AU266" t="n">
        <x:f>ROUND(AT266*F266,0)</x:f>
        <x:v>1582275</x:v>
      </x:c>
    </x:row>
    <x:row r="267">
      <x:c r="A267" t="str">
        <x:f>IFERROR(XLOOKUP(B267,'_曲线基线'!$G$3:$G$107,'_曲线基线'!$J$3:$J$107,""),"")</x:f>
      </x:c>
      <x:c r="B267" t="n">
        <x:v>256</x:v>
      </x:c>
      <x:c r="C267" t="n">
        <x:f>C252+1</x:f>
        <x:v>18</x:v>
      </x:c>
      <x:c r="D267" t="n">
        <x:f>D252</x:f>
        <x:v>7</x:v>
      </x:c>
      <x:c r="E267" t="n">
        <x:f>IF($B267&lt;E$8,0,E$3+(E$4-E$3)*(POWER(E$5,$B267-E$8)-1)/(POWER(E$5,$C$5-E$8)-1))</x:f>
        <x:v>1</x:v>
      </x:c>
      <x:c r="F267" t="n">
        <x:f>1+IF(B267&lt;3,0,MIN(1,(B267-2)/4))+IF(B267&lt;7,0,MIN(1,(B267-6)/3))+IF(B267&lt;10,0,MIN(1,(B267-9)/5))+IF(B267&lt;20,0,MIN(1,(B267-19)/10))</x:f>
        <x:v>5</x:v>
      </x:c>
      <x:c r="G267" t="n">
        <x:f>IF($B267&lt;G$8,0,G$3+(G$4-G$3)*(POWER(G$5,$B267-G$8)-1)/(POWER(G$5,$C$5-G$8)-1))</x:f>
        <x:v>0.8943136906929327</x:v>
      </x:c>
      <x:c r="H267" t="n">
        <x:f>IF($B267&lt;H$8,0,H$3+(H$4-H$3)*(POWER(H$5,$B267-H$8)-1)/(POWER(H$5,$C$5-H$8)-1))</x:f>
        <x:v>0.6980320911008498</x:v>
      </x:c>
      <x:c r="I267" t="n">
        <x:f>IF($B267&lt;I$8,0,I$3+(I$4-I$3)*(POWER(I$5,$B267-I$8)-1)/(POWER(I$5,$C$5-I$8)-1))</x:f>
        <x:v>0.6449401736541496</x:v>
      </x:c>
      <x:c r="J267" t="n">
        <x:f>IF($B267&lt;J$8,0,J$3+(J$4-J$3)*(POWER(J$5,$B267-J$8)-1)/(POWER(J$5,$C$5-J$8)-1))</x:f>
        <x:v>0.5976653089985672</x:v>
      </x:c>
      <x:c r="K267" t="n">
        <x:f>IF($B267&lt;K$8,0,K$3+(K$4-K$3)*(POWER(K$5,$B267-K$8)-1)/(POWER(K$5,$C$5-K$8)-1))</x:f>
        <x:v>0.6393793001162734</x:v>
      </x:c>
      <x:c r="L267" t="n">
        <x:f>IF($B267&lt;L$8,0,L$3+(L$4-L$3)*(POWER(L$5,$B267-L$8)-1)/(POWER(L$5,$C$5-L$8)-1))</x:f>
        <x:v>0.6979917348923281</x:v>
      </x:c>
      <x:c r="M267" t="n">
        <x:f>E267*'模块规划'!$F$10+G267*'模块规划'!$F$11+H267*'模块规划'!$F$13</x:f>
        <x:v>5292.705715326077</x:v>
      </x:c>
      <x:c r="N267" t="n">
        <x:f>I267*'模块规划'!$F$15+J267*'模块规划'!$F$17+K267*'模块规划'!$F$16+L267*'模块规划'!$F$18</x:f>
        <x:v>18462.408954378152</x:v>
      </x:c>
      <x:c r="O267" t="n">
        <x:f>1+O$9*SUMPRODUCT($H$10:$L$10,H267:L267)/SUM($H$10:$L$10)</x:f>
        <x:v>3.4060086782784893</x:v>
      </x:c>
      <x:c r="P267" t="n">
        <x:f>M267*O267+N267</x:f>
        <x:v>36489.41055235293</x:v>
      </x:c>
      <x:c r="Q267" t="n">
        <x:f>P267/(P267+'_曲线基线'!$L$2)</x:f>
        <x:v>0.6032363387104217</x:v>
      </x:c>
      <x:c r="R267" t="n">
        <x:f>E267*'模块规划'!$E$10+G267*'模块规划'!$E$11+H267*'模块规划'!$E$13</x:f>
        <x:v>7939.058572989115</x:v>
      </x:c>
      <x:c r="S267" t="n">
        <x:f>I267*'模块规划'!$E$15+J267*'模块规划'!$E$17+K267*'模块规划'!$E$16+L267*'模块规划'!$E$18</x:f>
        <x:v>27693.613431567228</x:v>
      </x:c>
      <x:c r="T267" t="n">
        <x:f>1+T$9*SUMPRODUCT($H$10:$L$10,H267:L267)/SUM($H$10:$L$10)</x:f>
        <x:v>3.4060086782784893</x:v>
      </x:c>
      <x:c r="U267" t="n">
        <x:f>R267*T267+S267</x:f>
        <x:v>54734.11582852939</x:v>
      </x:c>
      <x:c r="V267" t="n">
        <x:f>V$8+(V$9-V$8)*H267</x:f>
        <x:v>0.909409627330255</x:v>
      </x:c>
      <x:c r="W267" t="n">
        <x:f>IF(B267&lt;$H$8,0,W$8+(W$9-W$8)*H267)</x:f>
        <x:v>0.27921283644033995</x:v>
      </x:c>
      <x:c r="X267" t="n">
        <x:f>X$8+(X$9-X$8)*H267</x:f>
        <x:v>0.4669588250527338</x:v>
      </x:c>
      <x:c r="Y267" t="n">
        <x:f>Y$8+(Y$9-Y$8)*G267</x:f>
        <x:v>1</x:v>
      </x:c>
      <x:c r="Z267" t="n">
        <x:f>Z$8+(Z$9-Z$8)*H267</x:f>
        <x:v>1</x:v>
      </x:c>
      <x:c r="AA267" t="n">
        <x:f>AA$8+(AA$9-AA$8)*I267</x:f>
        <x:v>1</x:v>
      </x:c>
      <x:c r="AB267" t="n">
        <x:f>AB$8+(AB$9-AB$8)*J267</x:f>
        <x:v>1</x:v>
      </x:c>
      <x:c r="AC267" t="n">
        <x:f>AC$8+(AC$9-AC$8)*MAX(K267,L267)</x:f>
        <x:v>1</x:v>
      </x:c>
      <x:c r="AD267" t="n">
        <x:f>(V267*AE267+W267*AF267+X267*AG267)*PRODUCT(Y267:AC267)</x:f>
        <x:v>1.8906058138361184</x:v>
      </x:c>
      <x:c r="AE267" t="n">
        <x:f>1+AE$9*($H$10*H267+$I$10*I267+$J$10*J267+$K$10*K267+$L$10*L267)</x:f>
        <x:v>1</x:v>
      </x:c>
      <x:c r="AF267" t="n">
        <x:f>1+AF$9*($H$10*H267+$I$10*I267+$J$10*J267+$K$10*K267+$L$10*L267)</x:f>
        <x:v>1.2123521829411785</x:v>
      </x:c>
      <x:c r="AG267" t="n">
        <x:f>1+AG$9*($H$10*H267+$I$10*I267+$J$10*J267+$K$10*K267+$L$10*L267)</x:f>
        <x:v>1.3763352575457581</x:v>
      </x:c>
      <x:c r="AH267" t="n">
        <x:f>MIN(1,'_曲线基线'!$L$3+AH$9*($H$10*H267+$I$10*I267+$J$10*J267+$K$10*K267+$L$10*L267))</x:f>
        <x:v>0.5331012161911807</x:v>
      </x:c>
      <x:c r="AI267" t="n">
        <x:f>'_曲线基线'!$L$4+AI$9*($H$10*H267+$I$10*I267+$J$10*J267+$K$10*K267+$L$10*L267)</x:f>
        <x:v>3.3457819593897176</x:v>
      </x:c>
      <x:c r="AJ267" t="n">
        <x:f>1+AJ$9*($H$10*H267+$I$10*I267+$J$10*J267+$K$10*K267+$L$10*L267)</x:f>
        <x:v>2.1042313512941275</x:v>
      </x:c>
      <x:c r="AK267" t="n">
        <x:f>(1+AH267*(AI267-1))*AJ267</x:f>
        <x:v>4.7356551745088415</x:v>
      </x:c>
      <x:c r="AL267" t="n">
        <x:f>U267*AD267*AK267*F267</x:f>
        <x:v>2450243.0845737113</x:v>
      </x:c>
      <x:c r="AM267" t="n">
        <x:f>IF($B267&lt;AM$8,0,AM$3+(AM$4-AM$3)*(POWER(AM$5,$B267-AM$8)-1)/(POWER(AM$5,$C$5-AM$8)-1))</x:f>
        <x:v>50.63422374098003</x:v>
      </x:c>
      <x:c r="AN267" t="n">
        <x:f>(((E267*'模块规划'!$D$10+G267*'模块规划'!$D$11+H267*'模块规划'!$D$13)*(1+'模块规划'!$G$14*H267)+(I267*'模块规划'!$D$15+J267*'模块规划'!$D$17+K267*'模块规划'!$D$16+L267*'模块规划'!$D$18))*(1+'模块规划'!$J$17*J267))*F267/(1-Q267)</x:f>
        <x:v>2930080.666730692</x:v>
      </x:c>
      <x:c r="AO267" t="n">
        <x:f>AL267*AM267</x:f>
        <x:v>124066156.56409436</x:v>
      </x:c>
      <x:c r="AP267" t="n">
        <x:f>IF(AO267="","",INDEX('_曲线基线'!$A$3:$A$502,MIN(ROWS('_曲线基线'!$A$3:$A$502),COUNTIF('_曲线基线'!$E$3:$E$502,"&lt;"&amp;AO267)+1)))</x:f>
        <x:v>310</x:v>
      </x:c>
      <x:c r="AQ267" t="n">
        <x:f>IF(B267&lt;=2,1,IF(B267&lt;=6,2,IF(B267&lt;=9,3,IF(B267&lt;=19,4,5))))</x:f>
        <x:v>5</x:v>
      </x:c>
      <x:c r="AR267" t="n">
        <x:f>AN267*(1-Q267)/F267*$AS$3+U267*$AS$4+P267*$AS$5</x:f>
        <x:v>17922.120364941147</x:v>
      </x:c>
      <x:c r="AS267" t="n">
        <x:f>1+AH267*$AS$6+AI267*$AS$7+(AJ267-1)*$AS$8+($H$10*H267+$I$10*I267+$J$10*J267+$K$10*K267+$L$10*L267)*$AU$3*$AS$9+($H$10*H267+$I$10*I267+$J$10*J267+$K$10*K267+$L$10*L267)*$AU$4*$AS$10</x:f>
        <x:v>17.669864215903274</x:v>
      </x:c>
      <x:c r="AT267" t="n">
        <x:f>ROUND(AR267*AS267,0)</x:f>
        <x:v>316681</x:v>
      </x:c>
      <x:c r="AU267" t="n">
        <x:f>ROUND(AT267*F267,0)</x:f>
        <x:v>1583405</x:v>
      </x:c>
    </x:row>
    <x:row r="268">
      <x:c r="A268" t="str">
        <x:f>IFERROR(XLOOKUP(B268,'_曲线基线'!$G$3:$G$107,'_曲线基线'!$J$3:$J$107,""),"")</x:f>
      </x:c>
      <x:c r="B268" t="n">
        <x:v>257</x:v>
      </x:c>
      <x:c r="C268" t="n">
        <x:f>C253+1</x:f>
        <x:v>18</x:v>
      </x:c>
      <x:c r="D268" t="n">
        <x:f>D253</x:f>
        <x:v>8</x:v>
      </x:c>
      <x:c r="E268" t="n">
        <x:f>IF($B268&lt;E$8,0,E$3+(E$4-E$3)*(POWER(E$5,$B268-E$8)-1)/(POWER(E$5,$C$5-E$8)-1))</x:f>
        <x:v>1</x:v>
      </x:c>
      <x:c r="F268" t="n">
        <x:f>1+IF(B268&lt;3,0,MIN(1,(B268-2)/4))+IF(B268&lt;7,0,MIN(1,(B268-6)/3))+IF(B268&lt;10,0,MIN(1,(B268-9)/5))+IF(B268&lt;20,0,MIN(1,(B268-19)/10))</x:f>
        <x:v>5</x:v>
      </x:c>
      <x:c r="G268" t="n">
        <x:f>IF($B268&lt;G$8,0,G$3+(G$4-G$3)*(POWER(G$5,$B268-G$8)-1)/(POWER(G$5,$C$5-G$8)-1))</x:f>
        <x:v>0.8946041757870346</x:v>
      </x:c>
      <x:c r="H268" t="n">
        <x:f>IF($B268&lt;H$8,0,H$3+(H$4-H$3)*(POWER(H$5,$B268-H$8)-1)/(POWER(H$5,$C$5-H$8)-1))</x:f>
        <x:v>0.6981379915183442</x:v>
      </x:c>
      <x:c r="I268" t="n">
        <x:f>IF($B268&lt;I$8,0,I$3+(I$4-I$3)*(POWER(I$5,$B268-I$8)-1)/(POWER(I$5,$C$5-I$8)-1))</x:f>
        <x:v>0.6452124615241348</x:v>
      </x:c>
      <x:c r="J268" t="n">
        <x:f>IF($B268&lt;J$8,0,J$3+(J$4-J$3)*(POWER(J$5,$B268-J$8)-1)/(POWER(J$5,$C$5-J$8)-1))</x:f>
        <x:v>0.5977909473103197</x:v>
      </x:c>
      <x:c r="K268" t="n">
        <x:f>IF($B268&lt;K$8,0,K$3+(K$4-K$3)*(POWER(K$5,$B268-K$8)-1)/(POWER(K$5,$C$5-K$8)-1))</x:f>
        <x:v>0.6399508390489214</x:v>
      </x:c>
      <x:c r="L268" t="n">
        <x:f>IF($B268&lt;L$8,0,L$3+(L$4-L$3)*(POWER(L$5,$B268-L$8)-1)/(POWER(L$5,$C$5-L$8)-1))</x:f>
        <x:v>0.6980998070258673</x:v>
      </x:c>
      <x:c r="M268" t="n">
        <x:f>E268*'模块规划'!$F$10+G268*'模块规划'!$F$11+H268*'模块规划'!$F$13</x:f>
        <x:v>5294.100043777766</x:v>
      </x:c>
      <x:c r="N268" t="n">
        <x:f>I268*'模块规划'!$F$15+J268*'模块规划'!$F$17+K268*'模块规划'!$F$16+L268*'模块规划'!$F$18</x:f>
        <x:v>18469.813234719142</x:v>
      </x:c>
      <x:c r="O268" t="n">
        <x:f>1+O$9*SUMPRODUCT($H$10:$L$10,H268:L268)/SUM($H$10:$L$10)</x:f>
        <x:v>3.406825784224055</x:v>
      </x:c>
      <x:c r="P268" t="n">
        <x:f>M268*O268+N268</x:f>
        <x:v>36505.88976812293</x:v>
      </x:c>
      <x:c r="Q268" t="n">
        <x:f>P268/(P268+'_曲线基线'!$L$2)</x:f>
        <x:v>0.6033444001571526</x:v>
      </x:c>
      <x:c r="R268" t="n">
        <x:f>E268*'模块规划'!$E$10+G268*'模块规划'!$E$11+H268*'模块规划'!$E$13</x:f>
        <x:v>7941.1500656666485</x:v>
      </x:c>
      <x:c r="S268" t="n">
        <x:f>I268*'模块规划'!$E$15+J268*'模块规划'!$E$17+K268*'模块规划'!$E$16+L268*'模块规划'!$E$18</x:f>
        <x:v>27704.71985207871</x:v>
      </x:c>
      <x:c r="T268" t="n">
        <x:f>1+T$9*SUMPRODUCT($H$10:$L$10,H268:L268)/SUM($H$10:$L$10)</x:f>
        <x:v>3.406825784224055</x:v>
      </x:c>
      <x:c r="U268" t="n">
        <x:f>R268*T268+S268</x:f>
        <x:v>54758.83465218439</x:v>
      </x:c>
      <x:c r="V268" t="n">
        <x:f>V$8+(V$9-V$8)*H268</x:f>
        <x:v>0.9094413974555032</x:v>
      </x:c>
      <x:c r="W268" t="n">
        <x:f>IF(B268&lt;$H$8,0,W$8+(W$9-W$8)*H268)</x:f>
        <x:v>0.2792551966073377</x:v>
      </x:c>
      <x:c r="X268" t="n">
        <x:f>X$8+(X$9-X$8)*H268</x:f>
        <x:v>0.4669879476675447</x:v>
      </x:c>
      <x:c r="Y268" t="n">
        <x:f>Y$8+(Y$9-Y$8)*G268</x:f>
        <x:v>1</x:v>
      </x:c>
      <x:c r="Z268" t="n">
        <x:f>Z$8+(Z$9-Z$8)*H268</x:f>
        <x:v>1</x:v>
      </x:c>
      <x:c r="AA268" t="n">
        <x:f>AA$8+(AA$9-AA$8)*I268</x:f>
        <x:v>1</x:v>
      </x:c>
      <x:c r="AB268" t="n">
        <x:f>AB$8+(AB$9-AB$8)*J268</x:f>
        <x:v>1</x:v>
      </x:c>
      <x:c r="AC268" t="n">
        <x:f>AC$8+(AC$9-AC$8)*MAX(K268,L268)</x:f>
        <x:v>1</x:v>
      </x:c>
      <x:c r="AD268" t="n">
        <x:f>(V268*AE268+W268*AF268+X268*AG268)*PRODUCT(Y268:AC268)</x:f>
        <x:v>1.8908088454705</x:v>
      </x:c>
      <x:c r="AE268" t="n">
        <x:f>1+AE$9*($H$10*H268+$I$10*I268+$J$10*J268+$K$10*K268+$L$10*L268)</x:f>
        <x:v>1</x:v>
      </x:c>
      <x:c r="AF268" t="n">
        <x:f>1+AF$9*($H$10*H268+$I$10*I268+$J$10*J268+$K$10*K268+$L$10*L268)</x:f>
        <x:v>1.2124242999841475</x:v>
      </x:c>
      <x:c r="AG268" t="n">
        <x:f>1+AG$9*($H$10*H268+$I$10*I268+$J$10*J268+$K$10*K268+$L$10*L268)</x:f>
        <x:v>1.3764630649719087</x:v>
      </x:c>
      <x:c r="AH268" t="n">
        <x:f>MIN(1,'_曲线基线'!$L$3+AH$9*($H$10*H268+$I$10*I268+$J$10*J268+$K$10*K268+$L$10*L268))</x:f>
        <x:v>0.5332652824639351</x:v>
      </x:c>
      <x:c r="AI268" t="n">
        <x:f>'_曲线基线'!$L$4+AI$9*($H$10*H268+$I$10*I268+$J$10*J268+$K$10*K268+$L$10*L268)</x:f>
        <x:v>3.3462390011495335</x:v>
      </x:c>
      <x:c r="AJ268" t="n">
        <x:f>1+AJ$9*($H$10*H268+$I$10*I268+$J$10*J268+$K$10*K268+$L$10*L268)</x:f>
        <x:v>2.1046063599175664</x:v>
      </x:c>
      <x:c r="AK268" t="n">
        <x:f>(1+AH268*(AI268-1))*AJ268</x:f>
        <x:v>4.737822076857973</x:v>
      </x:c>
      <x:c r="AL268" t="n">
        <x:f>U268*AD268*AK268*F268</x:f>
        <x:v>2452734.6932381266</x:v>
      </x:c>
      <x:c r="AM268" t="n">
        <x:f>IF($B268&lt;AM$8,0,AM$3+(AM$4-AM$3)*(POWER(AM$5,$B268-AM$8)-1)/(POWER(AM$5,$C$5-AM$8)-1))</x:f>
        <x:v>50.8039906183117</x:v>
      </x:c>
      <x:c r="AN268" t="n">
        <x:f>(((E268*'模块规划'!$D$10+G268*'模块规划'!$D$11+H268*'模块规划'!$D$13)*(1+'模块规划'!$G$14*H268)+(I268*'模块规划'!$D$15+J268*'模块规划'!$D$17+K268*'模块规划'!$D$16+L268*'模块规划'!$D$18))*(1+'模块规划'!$J$17*J268))*F268/(1-Q268)</x:f>
        <x:v>2932238.0210727695</x:v>
      </x:c>
      <x:c r="AO268" t="n">
        <x:f>AL268*AM268</x:f>
        <x:v>124608710.34447742</x:v>
      </x:c>
      <x:c r="AP268" t="n">
        <x:f>IF(AO268="","",INDEX('_曲线基线'!$A$3:$A$502,MIN(ROWS('_曲线基线'!$A$3:$A$502),COUNTIF('_曲线基线'!$E$3:$E$502,"&lt;"&amp;AO268)+1)))</x:f>
        <x:v>311</x:v>
      </x:c>
      <x:c r="AQ268" t="n">
        <x:f>IF(B268&lt;=2,1,IF(B268&lt;=6,2,IF(B268&lt;=9,3,IF(B268&lt;=19,4,5))))</x:f>
        <x:v>5</x:v>
      </x:c>
      <x:c r="AR268" t="n">
        <x:f>AN268*(1-Q268)/F268*$AS$3+U268*$AS$4+P268*$AS$5</x:f>
        <x:v>17930.298717220616</x:v>
      </x:c>
      <x:c r="AS268" t="n">
        <x:f>1+AH268*$AS$6+AI268*$AS$7+(AJ268-1)*$AS$8+($H$10*H268+$I$10*I268+$J$10*J268+$K$10*K268+$L$10*L268)*$AU$3*$AS$9+($H$10*H268+$I$10*I268+$J$10*J268+$K$10*K268+$L$10*L268)*$AU$4*$AS$10</x:f>
        <x:v>17.67417329116366</x:v>
      </x:c>
      <x:c r="AT268" t="n">
        <x:f>ROUND(AR268*AS268,0)</x:f>
        <x:v>316903</x:v>
      </x:c>
      <x:c r="AU268" t="n">
        <x:f>ROUND(AT268*F268,0)</x:f>
        <x:v>1584515</x:v>
      </x:c>
    </x:row>
    <x:row r="269">
      <x:c r="A269" t="str">
        <x:f>IFERROR(XLOOKUP(B269,'_曲线基线'!$G$3:$G$107,'_曲线基线'!$J$3:$J$107,""),"")</x:f>
      </x:c>
      <x:c r="B269" t="n">
        <x:v>258</x:v>
      </x:c>
      <x:c r="C269" t="n">
        <x:f>C254+1</x:f>
        <x:v>18</x:v>
      </x:c>
      <x:c r="D269" t="n">
        <x:f>D254</x:f>
        <x:v>9</x:v>
      </x:c>
      <x:c r="E269" t="n">
        <x:f>IF($B269&lt;E$8,0,E$3+(E$4-E$3)*(POWER(E$5,$B269-E$8)-1)/(POWER(E$5,$C$5-E$8)-1))</x:f>
        <x:v>1</x:v>
      </x:c>
      <x:c r="F269" t="n">
        <x:f>1+IF(B269&lt;3,0,MIN(1,(B269-2)/4))+IF(B269&lt;7,0,MIN(1,(B269-6)/3))+IF(B269&lt;10,0,MIN(1,(B269-9)/5))+IF(B269&lt;20,0,MIN(1,(B269-19)/10))</x:f>
        <x:v>5</x:v>
      </x:c>
      <x:c r="G269" t="n">
        <x:f>IF($B269&lt;G$8,0,G$3+(G$4-G$3)*(POWER(G$5,$B269-G$8)-1)/(POWER(G$5,$C$5-G$8)-1))</x:f>
        <x:v>0.8948903036047249</x:v>
      </x:c>
      <x:c r="H269" t="n">
        <x:f>IF($B269&lt;H$8,0,H$3+(H$4-H$3)*(POWER(H$5,$B269-H$8)-1)/(POWER(H$5,$C$5-H$8)-1))</x:f>
        <x:v>0.6982417739274887</x:v>
      </x:c>
      <x:c r="I269" t="n">
        <x:f>IF($B269&lt;I$8,0,I$3+(I$4-I$3)*(POWER(I$5,$B269-I$8)-1)/(POWER(I$5,$C$5-I$8)-1))</x:f>
        <x:v>0.6454793036367202</x:v>
      </x:c>
      <x:c r="J269" t="n">
        <x:f>IF($B269&lt;J$8,0,J$3+(J$4-J$3)*(POWER(J$5,$B269-J$8)-1)/(POWER(J$5,$C$5-J$8)-1))</x:f>
        <x:v>0.5979140728558372</x:v>
      </x:c>
      <x:c r="K269" t="n">
        <x:f>IF($B269&lt;K$8,0,K$3+(K$4-K$3)*(POWER(K$5,$B269-K$8)-1)/(POWER(K$5,$C$5-K$8)-1))</x:f>
        <x:v>0.6405109472029166</x:v>
      </x:c>
      <x:c r="L269" t="n">
        <x:f>IF($B269&lt;L$8,0,L$3+(L$4-L$3)*(POWER(L$5,$B269-L$8)-1)/(POWER(L$5,$C$5-L$8)-1))</x:f>
        <x:v>0.6982057177167357</x:v>
      </x:c>
      <x:c r="M269" t="n">
        <x:f>E269*'模块规划'!$F$10+G269*'模块规划'!$F$11+H269*'模块规划'!$F$13</x:f>
        <x:v>5295.473457302679</x:v>
      </x:c>
      <x:c r="N269" t="n">
        <x:f>I269*'模块规划'!$F$15+J269*'模块规划'!$F$17+K269*'模块规划'!$F$16+L269*'模块规划'!$F$18</x:f>
        <x:v>18477.06942945331</x:v>
      </x:c>
      <x:c r="O269" t="n">
        <x:f>1+O$9*SUMPRODUCT($H$10:$L$10,H269:L269)/SUM($H$10:$L$10)</x:f>
        <x:v>3.40762654805071</x:v>
      </x:c>
      <x:c r="P269" t="n">
        <x:f>M269*O269+N269</x:f>
        <x:v>36522.065367055795</x:v>
      </x:c>
      <x:c r="Q269" t="n">
        <x:f>P269/(P269+'_曲线基线'!$L$2)</x:f>
        <x:v>0.6034504134245225</x:v>
      </x:c>
      <x:c r="R269" t="n">
        <x:f>E269*'模块规划'!$E$10+G269*'模块规划'!$E$11+H269*'模块规划'!$E$13</x:f>
        <x:v>7943.210185954019</x:v>
      </x:c>
      <x:c r="S269" t="n">
        <x:f>I269*'模块规划'!$E$15+J269*'模块规划'!$E$17+K269*'模块规划'!$E$16+L269*'模块规划'!$E$18</x:f>
        <x:v>27715.604144179968</x:v>
      </x:c>
      <x:c r="T269" t="n">
        <x:f>1+T$9*SUMPRODUCT($H$10:$L$10,H269:L269)/SUM($H$10:$L$10)</x:f>
        <x:v>3.40762654805071</x:v>
      </x:c>
      <x:c r="U269" t="n">
        <x:f>R269*T269+S269</x:f>
        <x:v>54783.0980505837</x:v>
      </x:c>
      <x:c r="V269" t="n">
        <x:f>V$8+(V$9-V$8)*H269</x:f>
        <x:v>0.9094725321782466</x:v>
      </x:c>
      <x:c r="W269" t="n">
        <x:f>IF(B269&lt;$H$8,0,W$8+(W$9-W$8)*H269)</x:f>
        <x:v>0.27929670957099545</x:v>
      </x:c>
      <x:c r="X269" t="n">
        <x:f>X$8+(X$9-X$8)*H269</x:f>
        <x:v>0.46701648783005945</x:v>
      </x:c>
      <x:c r="Y269" t="n">
        <x:f>Y$8+(Y$9-Y$8)*G269</x:f>
        <x:v>1</x:v>
      </x:c>
      <x:c r="Z269" t="n">
        <x:f>Z$8+(Z$9-Z$8)*H269</x:f>
        <x:v>1</x:v>
      </x:c>
      <x:c r="AA269" t="n">
        <x:f>AA$8+(AA$9-AA$8)*I269</x:f>
        <x:v>1</x:v>
      </x:c>
      <x:c r="AB269" t="n">
        <x:f>AB$8+(AB$9-AB$8)*J269</x:f>
        <x:v>1</x:v>
      </x:c>
      <x:c r="AC269" t="n">
        <x:f>AC$8+(AC$9-AC$8)*MAX(K269,L269)</x:f>
        <x:v>1</x:v>
      </x:c>
      <x:c r="AD269" t="n">
        <x:f>(V269*AE269+W269*AF269+X269*AG269)*PRODUCT(Y269:AC269)</x:f>
        <x:v>1.8910078296222395</x:v>
      </x:c>
      <x:c r="AE269" t="n">
        <x:f>1+AE$9*($H$10*H269+$I$10*I269+$J$10*J269+$K$10*K269+$L$10*L269)</x:f>
        <x:v>1</x:v>
      </x:c>
      <x:c r="AF269" t="n">
        <x:f>1+AF$9*($H$10*H269+$I$10*I269+$J$10*J269+$K$10*K269+$L$10*L269)</x:f>
        <x:v>1.2124949746862572</x:v>
      </x:c>
      <x:c r="AG269" t="n">
        <x:f>1+AG$9*($H$10*H269+$I$10*I269+$J$10*J269+$K$10*K269+$L$10*L269)</x:f>
        <x:v>1.3765883162495365</x:v>
      </x:c>
      <x:c r="AH269" t="n">
        <x:f>MIN(1,'_曲线基线'!$L$3+AH$9*($H$10*H269+$I$10*I269+$J$10*J269+$K$10*K269+$L$10*L269))</x:f>
        <x:v>0.5334260674112346</x:v>
      </x:c>
      <x:c r="AI269" t="n">
        <x:f>'_曲线基线'!$L$4+AI$9*($H$10*H269+$I$10*I269+$J$10*J269+$K$10*K269+$L$10*L269)</x:f>
        <x:v>3.346686902074153</x:v>
      </x:c>
      <x:c r="AJ269" t="n">
        <x:f>1+AJ$9*($H$10*H269+$I$10*I269+$J$10*J269+$K$10*K269+$L$10*L269)</x:f>
        <x:v>2.1049738683685364</x:v>
      </x:c>
      <x:c r="AK269" t="n">
        <x:f>(1+AH269*(AI269-1))*AJ269</x:f>
        <x:v>4.739946404838993</x:v>
      </x:c>
      <x:c r="AL269" t="n">
        <x:f>U269*AD269*AK269*F269</x:f>
        <x:v>2455180.0750422496</x:v>
      </x:c>
      <x:c r="AM269" t="n">
        <x:f>IF($B269&lt;AM$8,0,AM$3+(AM$4-AM$3)*(POWER(AM$5,$B269-AM$8)-1)/(POWER(AM$5,$C$5-AM$8)-1))</x:f>
        <x:v>50.97545516441669</x:v>
      </x:c>
      <x:c r="AN269" t="n">
        <x:f>(((E269*'模块规划'!$D$10+G269*'模块规划'!$D$11+H269*'模块规划'!$D$13)*(1+'模块规划'!$G$14*H269)+(I269*'模块规划'!$D$15+J269*'模块规划'!$D$17+K269*'模块规划'!$D$16+L269*'模块规划'!$D$18))*(1+'模块规划'!$J$17*J269))*F269/(1-Q269)</x:f>
        <x:v>2934355.6505056885</x:v>
      </x:c>
      <x:c r="AO269" t="n">
        <x:f>AL269*AM269</x:f>
        <x:v>125153921.83588539</x:v>
      </x:c>
      <x:c r="AP269" t="n">
        <x:f>IF(AO269="","",INDEX('_曲线基线'!$A$3:$A$502,MIN(ROWS('_曲线基线'!$A$3:$A$502),COUNTIF('_曲线基线'!$E$3:$E$502,"&lt;"&amp;AO269)+1)))</x:f>
        <x:v>311</x:v>
      </x:c>
      <x:c r="AQ269" t="n">
        <x:f>IF(B269&lt;=2,1,IF(B269&lt;=6,2,IF(B269&lt;=9,3,IF(B269&lt;=19,4,5))))</x:f>
        <x:v>5</x:v>
      </x:c>
      <x:c r="AR269" t="n">
        <x:f>AN269*(1-Q269)/F269*$AS$3+U269*$AS$4+P269*$AS$5</x:f>
        <x:v>17938.324730557422</x:v>
      </x:c>
      <x:c r="AS269" t="n">
        <x:f>1+AH269*$AS$6+AI269*$AS$7+(AJ269-1)*$AS$8+($H$10*H269+$I$10*I269+$J$10*J269+$K$10*K269+$L$10*L269)*$AU$3*$AS$9+($H$10*H269+$I$10*I269+$J$10*J269+$K$10*K269+$L$10*L269)*$AU$4*$AS$10</x:f>
        <x:v>17.678396184918842</x:v>
      </x:c>
      <x:c r="AT269" t="n">
        <x:f>ROUND(AR269*AS269,0)</x:f>
        <x:v>317121</x:v>
      </x:c>
      <x:c r="AU269" t="n">
        <x:f>ROUND(AT269*F269,0)</x:f>
        <x:v>1585605</x:v>
      </x:c>
    </x:row>
    <x:row r="270">
      <x:c r="A270" t="str">
        <x:f>IFERROR(XLOOKUP(B270,'_曲线基线'!$G$3:$G$107,'_曲线基线'!$J$3:$J$107,""),"")</x:f>
      </x:c>
      <x:c r="B270" t="n">
        <x:v>259</x:v>
      </x:c>
      <x:c r="C270" t="n">
        <x:f>C255+1</x:f>
        <x:v>18</x:v>
      </x:c>
      <x:c r="D270" t="n">
        <x:f>D255</x:f>
        <x:v>10</x:v>
      </x:c>
      <x:c r="E270" t="n">
        <x:f>IF($B270&lt;E$8,0,E$3+(E$4-E$3)*(POWER(E$5,$B270-E$8)-1)/(POWER(E$5,$C$5-E$8)-1))</x:f>
        <x:v>1</x:v>
      </x:c>
      <x:c r="F270" t="n">
        <x:f>1+IF(B270&lt;3,0,MIN(1,(B270-2)/4))+IF(B270&lt;7,0,MIN(1,(B270-6)/3))+IF(B270&lt;10,0,MIN(1,(B270-9)/5))+IF(B270&lt;20,0,MIN(1,(B270-19)/10))</x:f>
        <x:v>5</x:v>
      </x:c>
      <x:c r="G270" t="n">
        <x:f>IF($B270&lt;G$8,0,G$3+(G$4-G$3)*(POWER(G$5,$B270-G$8)-1)/(POWER(G$5,$C$5-G$8)-1))</x:f>
        <x:v>0.8951721395051497</x:v>
      </x:c>
      <x:c r="H270" t="n">
        <x:f>IF($B270&lt;H$8,0,H$3+(H$4-H$3)*(POWER(H$5,$B270-H$8)-1)/(POWER(H$5,$C$5-H$8)-1))</x:f>
        <x:v>0.6983434806884503</x:v>
      </x:c>
      <x:c r="I270" t="n">
        <x:f>IF($B270&lt;I$8,0,I$3+(I$4-I$3)*(POWER(I$5,$B270-I$8)-1)/(POWER(I$5,$C$5-I$8)-1))</x:f>
        <x:v>0.6457408089070541</x:v>
      </x:c>
      <x:c r="J270" t="n">
        <x:f>IF($B270&lt;J$8,0,J$3+(J$4-J$3)*(POWER(J$5,$B270-J$8)-1)/(POWER(J$5,$C$5-J$8)-1))</x:f>
        <x:v>0.5980347358904444</x:v>
      </x:c>
      <x:c r="K270" t="n">
        <x:f>IF($B270&lt;K$8,0,K$3+(K$4-K$3)*(POWER(K$5,$B270-K$8)-1)/(POWER(K$5,$C$5-K$8)-1))</x:f>
        <x:v>0.6410598531938319</x:v>
      </x:c>
      <x:c r="L270" t="n">
        <x:f>IF($B270&lt;L$8,0,L$3+(L$4-L$3)*(POWER(L$5,$B270-L$8)-1)/(POWER(L$5,$C$5-L$8)-1))</x:f>
        <x:v>0.6983095101937866</x:v>
      </x:c>
      <x:c r="M270" t="n">
        <x:f>E270*'模块规划'!$F$10+G270*'模块规划'!$F$11+H270*'模块规划'!$F$13</x:f>
        <x:v>5296.826269624718</x:v>
      </x:c>
      <x:c r="N270" t="n">
        <x:f>I270*'模块规划'!$F$15+J270*'模块规划'!$F$17+K270*'模块规划'!$F$16+L270*'模块规划'!$F$18</x:f>
        <x:v>18484.1805002928</x:v>
      </x:c>
      <x:c r="O270" t="n">
        <x:f>1+O$9*SUMPRODUCT($H$10:$L$10,H270:L270)/SUM($H$10:$L$10)</x:f>
        <x:v>3.4084112966008324</x:v>
      </x:c>
      <x:c r="P270" t="n">
        <x:f>M270*O270+N270</x:f>
        <x:v>36537.94299381373</x:v>
      </x:c>
      <x:c r="Q270" t="n">
        <x:f>P270/(P270+'_曲线基线'!$L$2)</x:f>
        <x:v>0.6035544187146809</x:v>
      </x:c>
      <x:c r="R270" t="n">
        <x:f>E270*'模块规划'!$E$10+G270*'模块规划'!$E$11+H270*'模块规划'!$E$13</x:f>
        <x:v>7945.2394044370785</x:v>
      </x:c>
      <x:c r="S270" t="n">
        <x:f>I270*'模块规划'!$E$15+J270*'模块规划'!$E$17+K270*'模块规划'!$E$16+L270*'模块规划'!$E$18</x:f>
        <x:v>27726.270750439202</x:v>
      </x:c>
      <x:c r="T270" t="n">
        <x:f>1+T$9*SUMPRODUCT($H$10:$L$10,H270:L270)/SUM($H$10:$L$10)</x:f>
        <x:v>3.4084112966008324</x:v>
      </x:c>
      <x:c r="U270" t="n">
        <x:f>R270*T270+S270</x:f>
        <x:v>54806.91449072061</x:v>
      </x:c>
      <x:c r="V270" t="n">
        <x:f>V$8+(V$9-V$8)*H270</x:f>
        <x:v>0.909503044206535</x:v>
      </x:c>
      <x:c r="W270" t="n">
        <x:f>IF(B270&lt;$H$8,0,W$8+(W$9-W$8)*H270)</x:f>
        <x:v>0.2793373922753801</x:v>
      </x:c>
      <x:c r="X270" t="n">
        <x:f>X$8+(X$9-X$8)*H270</x:f>
        <x:v>0.46704445718932386</x:v>
      </x:c>
      <x:c r="Y270" t="n">
        <x:f>Y$8+(Y$9-Y$8)*G270</x:f>
        <x:v>1</x:v>
      </x:c>
      <x:c r="Z270" t="n">
        <x:f>Z$8+(Z$9-Z$8)*H270</x:f>
        <x:v>1</x:v>
      </x:c>
      <x:c r="AA270" t="n">
        <x:f>AA$8+(AA$9-AA$8)*I270</x:f>
        <x:v>1</x:v>
      </x:c>
      <x:c r="AB270" t="n">
        <x:f>AB$8+(AB$9-AB$8)*J270</x:f>
        <x:v>1</x:v>
      </x:c>
      <x:c r="AC270" t="n">
        <x:f>AC$8+(AC$9-AC$8)*MAX(K270,L270)</x:f>
        <x:v>1</x:v>
      </x:c>
      <x:c r="AD270" t="n">
        <x:f>(V270*AE270+W270*AF270+X270*AG270)*PRODUCT(Y270:AC270)</x:f>
        <x:v>1.891202846720247</x:v>
      </x:c>
      <x:c r="AE270" t="n">
        <x:f>1+AE$9*($H$10*H270+$I$10*I270+$J$10*J270+$K$10*K270+$L$10*L270)</x:f>
        <x:v>1</x:v>
      </x:c>
      <x:c r="AF270" t="n">
        <x:f>1+AF$9*($H$10*H270+$I$10*I270+$J$10*J270+$K$10*K270+$L$10*L270)</x:f>
        <x:v>1.2125642358943247</x:v>
      </x:c>
      <x:c r="AG270" t="n">
        <x:f>1+AG$9*($H$10*H270+$I$10*I270+$J$10*J270+$K$10*K270+$L$10*L270)</x:f>
        <x:v>1.3767110625016117</x:v>
      </x:c>
      <x:c r="AH270" t="n">
        <x:f>MIN(1,'_曲线基线'!$L$3+AH$9*($H$10*H270+$I$10*I270+$J$10*J270+$K$10*K270+$L$10*L270))</x:f>
        <x:v>0.5335836366595881</x:v>
      </x:c>
      <x:c r="AI270" t="n">
        <x:f>'_曲线基线'!$L$4+AI$9*($H$10*H270+$I$10*I270+$J$10*J270+$K$10*K270+$L$10*L270)</x:f>
        <x:v>3.347125844980281</x:v>
      </x:c>
      <x:c r="AJ270" t="n">
        <x:f>1+AJ$9*($H$10*H270+$I$10*I270+$J$10*J270+$K$10*K270+$L$10*L270)</x:f>
        <x:v>2.105334026650487</x:v>
      </x:c>
      <x:c r="AK270" t="n">
        <x:f>(1+AH270*(AI270-1))*AJ270</x:f>
        <x:v>4.742028979851666</x:v>
      </x:c>
      <x:c r="AL270" t="n">
        <x:f>U270*AD270*AK270*F270</x:f>
        <x:v>2457580.05598287</x:v>
      </x:c>
      <x:c r="AM270" t="n">
        <x:f>IF($B270&lt;AM$8,0,AM$3+(AM$4-AM$3)*(POWER(AM$5,$B270-AM$8)-1)/(POWER(AM$5,$C$5-AM$8)-1))</x:f>
        <x:v>51.14863435598272</x:v>
      </x:c>
      <x:c r="AN270" t="n">
        <x:f>(((E270*'模块规划'!$D$10+G270*'模块规划'!$D$11+H270*'模块规划'!$D$13)*(1+'模块规划'!$G$14*H270)+(I270*'模块规划'!$D$15+J270*'模块规划'!$D$17+K270*'模块规划'!$D$16+L270*'模块规划'!$D$18))*(1+'模块规划'!$J$17*J270))*F270/(1-Q270)</x:f>
        <x:v>2936434.276672123</x:v>
      </x:c>
      <x:c r="AO270" t="n">
        <x:f>AL270*AM270</x:f>
        <x:v>125701863.68402337</x:v>
      </x:c>
      <x:c r="AP270" t="n">
        <x:f>IF(AO270="","",INDEX('_曲线基线'!$A$3:$A$502,MIN(ROWS('_曲线基线'!$A$3:$A$502),COUNTIF('_曲线基线'!$E$3:$E$502,"&lt;"&amp;AO270)+1)))</x:f>
        <x:v>311</x:v>
      </x:c>
      <x:c r="AQ270" t="n">
        <x:f>IF(B270&lt;=2,1,IF(B270&lt;=6,2,IF(B270&lt;=9,3,IF(B270&lt;=19,4,5))))</x:f>
        <x:v>5</x:v>
      </x:c>
      <x:c r="AR270" t="n">
        <x:f>AN270*(1-Q270)/F270*$AS$3+U270*$AS$4+P270*$AS$5</x:f>
        <x:v>17946.20126047261</x:v>
      </x:c>
      <x:c r="AS270" t="n">
        <x:f>1+AH270*$AS$6+AI270*$AS$7+(AJ270-1)*$AS$8+($H$10*H270+$I$10*I270+$J$10*J270+$K$10*K270+$L$10*L270)*$AU$3*$AS$9+($H$10*H270+$I$10*I270+$J$10*J270+$K$10*K270+$L$10*L270)*$AU$4*$AS$10</x:f>
        <x:v>17.68253462079892</x:v>
      </x:c>
      <x:c r="AT270" t="n">
        <x:f>ROUND(AR270*AS270,0)</x:f>
        <x:v>317334</x:v>
      </x:c>
      <x:c r="AU270" t="n">
        <x:f>ROUND(AT270*F270,0)</x:f>
        <x:v>1586670</x:v>
      </x:c>
    </x:row>
    <x:row r="271">
      <x:c r="A271" t="str">
        <x:f>IFERROR(XLOOKUP(B271,'_曲线基线'!$G$3:$G$107,'_曲线基线'!$J$3:$J$107,""),"")</x:f>
      </x:c>
      <x:c r="B271" t="n">
        <x:v>260</x:v>
      </x:c>
      <x:c r="C271" t="n">
        <x:f>C256+1</x:f>
        <x:v>18</x:v>
      </x:c>
      <x:c r="D271" t="n">
        <x:f>D256</x:f>
        <x:v>11</x:v>
      </x:c>
      <x:c r="E271" t="n">
        <x:f>IF($B271&lt;E$8,0,E$3+(E$4-E$3)*(POWER(E$5,$B271-E$8)-1)/(POWER(E$5,$C$5-E$8)-1))</x:f>
        <x:v>1</x:v>
      </x:c>
      <x:c r="F271" t="n">
        <x:f>1+IF(B271&lt;3,0,MIN(1,(B271-2)/4))+IF(B271&lt;7,0,MIN(1,(B271-6)/3))+IF(B271&lt;10,0,MIN(1,(B271-9)/5))+IF(B271&lt;20,0,MIN(1,(B271-19)/10))</x:f>
        <x:v>5</x:v>
      </x:c>
      <x:c r="G271" t="n">
        <x:f>IF($B271&lt;G$8,0,G$3+(G$4-G$3)*(POWER(G$5,$B271-G$8)-1)/(POWER(G$5,$C$5-G$8)-1))</x:f>
        <x:v>0.8954497478670683</x:v>
      </x:c>
      <x:c r="H271" t="n">
        <x:f>IF($B271&lt;H$8,0,H$3+(H$4-H$3)*(POWER(H$5,$B271-H$8)-1)/(POWER(H$5,$C$5-H$8)-1))</x:f>
        <x:v>0.6984431533141926</x:v>
      </x:c>
      <x:c r="I271" t="n">
        <x:f>IF($B271&lt;I$8,0,I$3+(I$4-I$3)*(POWER(I$5,$B271-I$8)-1)/(POWER(I$5,$C$5-I$8)-1))</x:f>
        <x:v>0.6459970840719812</x:v>
      </x:c>
      <x:c r="J271" t="n">
        <x:f>IF($B271&lt;J$8,0,J$3+(J$4-J$3)*(POWER(J$5,$B271-J$8)-1)/(POWER(J$5,$C$5-J$8)-1))</x:f>
        <x:v>0.5981529856643595</x:v>
      </x:c>
      <x:c r="K271" t="n">
        <x:f>IF($B271&lt;K$8,0,K$3+(K$4-K$3)*(POWER(K$5,$B271-K$8)-1)/(POWER(K$5,$C$5-K$8)-1))</x:f>
        <x:v>0.6415977810649287</x:v>
      </x:c>
      <x:c r="L271" t="n">
        <x:f>IF($B271&lt;L$8,0,L$3+(L$4-L$3)*(POWER(L$5,$B271-L$8)-1)/(POWER(L$5,$C$5-L$8)-1))</x:f>
        <x:v>0.6984112268212965</x:v>
      </x:c>
      <x:c r="M271" t="n">
        <x:f>E271*'模块规划'!$F$10+G271*'模块规划'!$F$11+H271*'模块规划'!$F$13</x:f>
        <x:v>5298.158789761928</x:v>
      </x:c>
      <x:c r="N271" t="n">
        <x:f>I271*'模块规划'!$F$15+J271*'模块规划'!$F$17+K271*'模块规划'!$F$16+L271*'模块规划'!$F$18</x:f>
        <x:v>18491.1493497155</x:v>
      </x:c>
      <x:c r="O271" t="n">
        <x:f>1+O$9*SUMPRODUCT($H$10:$L$10,H271:L271)/SUM($H$10:$L$10)</x:f>
        <x:v>3.4091803501799522</x:v>
      </x:c>
      <x:c r="P271" t="n">
        <x:f>M271*O271+N271</x:f>
        <x:v>36553.52818790506</x:v>
      </x:c>
      <x:c r="Q271" t="n">
        <x:f>P271/(P271+'_曲线基线'!$L$2)</x:f>
        <x:v>0.6036564554005005</x:v>
      </x:c>
      <x:c r="R271" t="n">
        <x:f>E271*'模块规划'!$E$10+G271*'模块规划'!$E$11+H271*'模块规划'!$E$13</x:f>
        <x:v>7947.238184642892</x:v>
      </x:c>
      <x:c r="S271" t="n">
        <x:f>I271*'模块规划'!$E$15+J271*'模块规划'!$E$17+K271*'模块规划'!$E$16+L271*'模块规划'!$E$18</x:f>
        <x:v>27736.724024573246</x:v>
      </x:c>
      <x:c r="T271" t="n">
        <x:f>1+T$9*SUMPRODUCT($H$10:$L$10,H271:L271)/SUM($H$10:$L$10)</x:f>
        <x:v>3.4091803501799522</x:v>
      </x:c>
      <x:c r="U271" t="n">
        <x:f>R271*T271+S271</x:f>
        <x:v>54830.29228185759</x:v>
      </x:c>
      <x:c r="V271" t="n">
        <x:f>V$8+(V$9-V$8)*H271</x:f>
        <x:v>0.9095329459942578</x:v>
      </x:c>
      <x:c r="W271" t="n">
        <x:f>IF(B271&lt;$H$8,0,W$8+(W$9-W$8)*H271)</x:f>
        <x:v>0.27937726132567703</x:v>
      </x:c>
      <x:c r="X271" t="n">
        <x:f>X$8+(X$9-X$8)*H271</x:f>
        <x:v>0.46707186716140303</x:v>
      </x:c>
      <x:c r="Y271" t="n">
        <x:f>Y$8+(Y$9-Y$8)*G271</x:f>
        <x:v>1</x:v>
      </x:c>
      <x:c r="Z271" t="n">
        <x:f>Z$8+(Z$9-Z$8)*H271</x:f>
        <x:v>1</x:v>
      </x:c>
      <x:c r="AA271" t="n">
        <x:f>AA$8+(AA$9-AA$8)*I271</x:f>
        <x:v>1</x:v>
      </x:c>
      <x:c r="AB271" t="n">
        <x:f>AB$8+(AB$9-AB$8)*J271</x:f>
        <x:v>1</x:v>
      </x:c>
      <x:c r="AC271" t="n">
        <x:f>AC$8+(AC$9-AC$8)*MAX(K271,L271)</x:f>
        <x:v>1</x:v>
      </x:c>
      <x:c r="AD271" t="n">
        <x:f>(V271*AE271+W271*AF271+X271*AG271)*PRODUCT(Y271:AC271)</x:f>
        <x:v>1.8913939756054776</x:v>
      </x:c>
      <x:c r="AE271" t="n">
        <x:f>1+AE$9*($H$10*H271+$I$10*I271+$J$10*J271+$K$10*K271+$L$10*L271)</x:f>
        <x:v>1</x:v>
      </x:c>
      <x:c r="AF271" t="n">
        <x:f>1+AF$9*($H$10*H271+$I$10*I271+$J$10*J271+$K$10*K271+$L$10*L271)</x:f>
        <x:v>1.2126321118782308</x:v>
      </x:c>
      <x:c r="AG271" t="n">
        <x:f>1+AG$9*($H$10*H271+$I$10*I271+$J$10*J271+$K$10*K271+$L$10*L271)</x:f>
        <x:v>1.3768313538286452</x:v>
      </x:c>
      <x:c r="AH271" t="n">
        <x:f>MIN(1,'_曲线基线'!$L$3+AH$9*($H$10*H271+$I$10*I271+$J$10*J271+$K$10*K271+$L$10*L271))</x:f>
        <x:v>0.5337380545229745</x:v>
      </x:c>
      <x:c r="AI271" t="n">
        <x:f>'_曲线基线'!$L$4+AI$9*($H$10*H271+$I$10*I271+$J$10*J271+$K$10*K271+$L$10*L271)</x:f>
        <x:v>3.347556009028286</x:v>
      </x:c>
      <x:c r="AJ271" t="n">
        <x:f>1+AJ$9*($H$10*H271+$I$10*I271+$J$10*J271+$K$10*K271+$L$10*L271)</x:f>
        <x:v>2.105686981766799</x:v>
      </x:c>
      <x:c r="AK271" t="n">
        <x:f>(1+AH271*(AI271-1))*AJ271</x:f>
        <x:v>4.744070608050172</x:v>
      </x:c>
      <x:c r="AL271" t="n">
        <x:f>U271*AD271*AK271*F271</x:f>
        <x:v>2459935.4486823776</x:v>
      </x:c>
      <x:c r="AM271" t="n">
        <x:f>IF($B271&lt;AM$8,0,AM$3+(AM$4-AM$3)*(POWER(AM$5,$B271-AM$8)-1)/(POWER(AM$5,$C$5-AM$8)-1))</x:f>
        <x:v>51.32354533946442</x:v>
      </x:c>
      <x:c r="AN271" t="n">
        <x:f>(((E271*'模块规划'!$D$10+G271*'模块规划'!$D$11+H271*'模块规划'!$D$13)*(1+'模块规划'!$G$14*H271)+(I271*'模块规划'!$D$15+J271*'模块规划'!$D$17+K271*'模块规划'!$D$16+L271*'模块规划'!$D$18))*(1+'模块规划'!$J$17*J271))*F271/(1-Q271)</x:f>
        <x:v>2938474.6086752266</x:v>
      </x:c>
      <x:c r="AO271" t="n">
        <x:f>AL271*AM271</x:f>
        <x:v>126252608.53260575</x:v>
      </x:c>
      <x:c r="AP271" t="n">
        <x:f>IF(AO271="","",INDEX('_曲线基线'!$A$3:$A$502,MIN(ROWS('_曲线基线'!$A$3:$A$502),COUNTIF('_曲线基线'!$E$3:$E$502,"&lt;"&amp;AO271)+1)))</x:f>
        <x:v>312</x:v>
      </x:c>
      <x:c r="AQ271" t="n">
        <x:f>IF(B271&lt;=2,1,IF(B271&lt;=6,2,IF(B271&lt;=9,3,IF(B271&lt;=19,4,5))))</x:f>
        <x:v>5</x:v>
      </x:c>
      <x:c r="AR271" t="n">
        <x:f>AN271*(1-Q271)/F271*$AS$3+U271*$AS$4+P271*$AS$5</x:f>
        <x:v>17953.931109079316</x:v>
      </x:c>
      <x:c r="AS271" t="n">
        <x:f>1+AH271*$AS$6+AI271*$AS$7+(AJ271-1)*$AS$8+($H$10*H271+$I$10*I271+$J$10*J271+$K$10*K271+$L$10*L271)*$AU$3*$AS$9+($H$10*H271+$I$10*I271+$J$10*J271+$K$10*K271+$L$10*L271)*$AU$4*$AS$10</x:f>
        <x:v>17.686590287961398</x:v>
      </x:c>
      <x:c r="AT271" t="n">
        <x:f>ROUND(AR271*AS271,0)</x:f>
        <x:v>317544</x:v>
      </x:c>
      <x:c r="AU271" t="n">
        <x:f>ROUND(AT271*F271,0)</x:f>
        <x:v>1587720</x:v>
      </x:c>
    </x:row>
    <x:row r="272">
      <x:c r="A272" t="str">
        <x:f>IFERROR(XLOOKUP(B272,'_曲线基线'!$G$3:$G$107,'_曲线基线'!$J$3:$J$107,""),"")</x:f>
      </x:c>
      <x:c r="B272" t="n">
        <x:v>261</x:v>
      </x:c>
      <x:c r="C272" t="n">
        <x:f>C257+1</x:f>
        <x:v>18</x:v>
      </x:c>
      <x:c r="D272" t="n">
        <x:f>D257</x:f>
        <x:v>12</x:v>
      </x:c>
      <x:c r="E272" t="n">
        <x:f>IF($B272&lt;E$8,0,E$3+(E$4-E$3)*(POWER(E$5,$B272-E$8)-1)/(POWER(E$5,$C$5-E$8)-1))</x:f>
        <x:v>1</x:v>
      </x:c>
      <x:c r="F272" t="n">
        <x:f>1+IF(B272&lt;3,0,MIN(1,(B272-2)/4))+IF(B272&lt;7,0,MIN(1,(B272-6)/3))+IF(B272&lt;10,0,MIN(1,(B272-9)/5))+IF(B272&lt;20,0,MIN(1,(B272-19)/10))</x:f>
        <x:v>5</x:v>
      </x:c>
      <x:c r="G272" t="n">
        <x:f>IF($B272&lt;G$8,0,G$3+(G$4-G$3)*(POWER(G$5,$B272-G$8)-1)/(POWER(G$5,$C$5-G$8)-1))</x:f>
        <x:v>0.8957231921035583</x:v>
      </x:c>
      <x:c r="H272" t="n">
        <x:f>IF($B272&lt;H$8,0,H$3+(H$4-H$3)*(POWER(H$5,$B272-H$8)-1)/(POWER(H$5,$C$5-H$8)-1))</x:f>
        <x:v>0.69854083248742</x:v>
      </x:c>
      <x:c r="I272" t="n">
        <x:f>IF($B272&lt;I$8,0,I$3+(I$4-I$3)*(POWER(I$5,$B272-I$8)-1)/(POWER(I$5,$C$5-I$8)-1))</x:f>
        <x:v>0.6462482337336097</x:v>
      </x:c>
      <x:c r="J272" t="n">
        <x:f>IF($B272&lt;J$8,0,J$3+(J$4-J$3)*(POWER(J$5,$B272-J$8)-1)/(POWER(J$5,$C$5-J$8)-1))</x:f>
        <x:v>0.5982688704427961</x:v>
      </x:c>
      <x:c r="K272" t="n">
        <x:f>IF($B272&lt;K$8,0,K$3+(K$4-K$3)*(POWER(K$5,$B272-K$8)-1)/(POWER(K$5,$C$5-K$8)-1))</x:f>
        <x:v>0.6421249503786037</x:v>
      </x:c>
      <x:c r="L272" t="n">
        <x:f>IF($B272&lt;L$8,0,L$3+(L$4-L$3)*(POWER(L$5,$B272-L$8)-1)/(POWER(L$5,$C$5-L$8)-1))</x:f>
        <x:v>0.6985109091162562</x:v>
      </x:c>
      <x:c r="M272" t="n">
        <x:f>E272*'模块规划'!$F$10+G272*'模块规划'!$F$11+H272*'模块规划'!$F$13</x:f>
        <x:v>5299.47132209708</x:v>
      </x:c>
      <x:c r="N272" t="n">
        <x:f>I272*'模块规划'!$F$15+J272*'模块规划'!$F$17+K272*'模块规划'!$F$16+L272*'模块规划'!$F$18</x:f>
        <x:v>18497.978822149744</x:v>
      </x:c>
      <x:c r="O272" t="n">
        <x:f>1+O$9*SUMPRODUCT($H$10:$L$10,H272:L272)/SUM($H$10:$L$10)</x:f>
        <x:v>3.4099340226874886</x:v>
      </x:c>
      <x:c r="P272" t="n">
        <x:f>M272*O272+N272</x:f>
        <x:v>36568.82638562522</x:v>
      </x:c>
      <x:c r="Q272" t="n">
        <x:f>P272/(P272+'_曲线基线'!$L$2)</x:f>
        <x:v>0.6037565620440037</x:v>
      </x:c>
      <x:c r="R272" t="n">
        <x:f>E272*'模块规划'!$E$10+G272*'模块规划'!$E$11+H272*'模块规划'!$E$13</x:f>
        <x:v>7949.20698314562</x:v>
      </x:c>
      <x:c r="S272" t="n">
        <x:f>I272*'模块规划'!$E$15+J272*'模块规划'!$E$17+K272*'模块规划'!$E$16+L272*'模块规划'!$E$18</x:f>
        <x:v>27746.968233224616</x:v>
      </x:c>
      <x:c r="T272" t="n">
        <x:f>1+T$9*SUMPRODUCT($H$10:$L$10,H272:L272)/SUM($H$10:$L$10)</x:f>
        <x:v>3.4099340226874886</x:v>
      </x:c>
      <x:c r="U272" t="n">
        <x:f>R272*T272+S272</x:f>
        <x:v>54853.23957843783</x:v>
      </x:c>
      <x:c r="V272" t="n">
        <x:f>V$8+(V$9-V$8)*H272</x:f>
        <x:v>0.909562249746226</x:v>
      </x:c>
      <x:c r="W272" t="n">
        <x:f>IF(B272&lt;$H$8,0,W$8+(W$9-W$8)*H272)</x:f>
        <x:v>0.27941633299496804</x:v>
      </x:c>
      <x:c r="X272" t="n">
        <x:f>X$8+(X$9-X$8)*H272</x:f>
        <x:v>0.4670987289340406</x:v>
      </x:c>
      <x:c r="Y272" t="n">
        <x:f>Y$8+(Y$9-Y$8)*G272</x:f>
        <x:v>1</x:v>
      </x:c>
      <x:c r="Z272" t="n">
        <x:f>Z$8+(Z$9-Z$8)*H272</x:f>
        <x:v>1</x:v>
      </x:c>
      <x:c r="AA272" t="n">
        <x:f>AA$8+(AA$9-AA$8)*I272</x:f>
        <x:v>1</x:v>
      </x:c>
      <x:c r="AB272" t="n">
        <x:f>AB$8+(AB$9-AB$8)*J272</x:f>
        <x:v>1</x:v>
      </x:c>
      <x:c r="AC272" t="n">
        <x:f>AC$8+(AC$9-AC$8)*MAX(K272,L272)</x:f>
        <x:v>1</x:v>
      </x:c>
      <x:c r="AD272" t="n">
        <x:f>(V272*AE272+W272*AF272+X272*AG272)*PRODUCT(Y272:AC272)</x:f>
        <x:v>1.8915812935618708</x:v>
      </x:c>
      <x:c r="AE272" t="n">
        <x:f>1+AE$9*($H$10*H272+$I$10*I272+$J$10*J272+$K$10*K272+$L$10*L272)</x:f>
        <x:v>1</x:v>
      </x:c>
      <x:c r="AF272" t="n">
        <x:f>1+AF$9*($H$10*H272+$I$10*I272+$J$10*J272+$K$10*K272+$L$10*L272)</x:f>
        <x:v>1.2126986303424587</x:v>
      </x:c>
      <x:c r="AG272" t="n">
        <x:f>1+AG$9*($H$10*H272+$I$10*I272+$J$10*J272+$K$10*K272+$L$10*L272)</x:f>
        <x:v>1.376949239329138</x:v>
      </x:c>
      <x:c r="AH272" t="n">
        <x:f>MIN(1,'_曲线基线'!$L$3+AH$9*($H$10*H272+$I$10*I272+$J$10*J272+$K$10*K272+$L$10*L272))</x:f>
        <x:v>0.533889384029093</x:v>
      </x:c>
      <x:c r="AI272" t="n">
        <x:f>'_曲线基线'!$L$4+AI$9*($H$10*H272+$I$10*I272+$J$10*J272+$K$10*K272+$L$10*L272)</x:f>
        <x:v>3.3479775697953307</x:v>
      </x:c>
      <x:c r="AJ272" t="n">
        <x:f>1+AJ$9*($H$10*H272+$I$10*I272+$J$10*J272+$K$10*K272+$L$10*L272)</x:f>
        <x:v>2.106032877780784</x:v>
      </x:c>
      <x:c r="AK272" t="n">
        <x:f>(1+AH272*(AI272-1))*AJ272</x:f>
        <x:v>4.746072080601715</x:v>
      </x:c>
      <x:c r="AL272" t="n">
        <x:f>U272*AD272*AK272*F272</x:f>
        <x:v>2462247.0525473473</x:v>
      </x:c>
      <x:c r="AM272" t="n">
        <x:f>IF($B272&lt;AM$8,0,AM$3+(AM$4-AM$3)*(POWER(AM$5,$B272-AM$8)-1)/(POWER(AM$5,$C$5-AM$8)-1))</x:f>
        <x:v>51.50020543278093</x:v>
      </x:c>
      <x:c r="AN272" t="n">
        <x:f>(((E272*'模块规划'!$D$10+G272*'模块规划'!$D$11+H272*'模块规划'!$D$13)*(1+'模块规划'!$G$14*H272)+(I272*'模块规划'!$D$15+J272*'模块规划'!$D$17+K272*'模块规划'!$D$16+L272*'模块规划'!$D$18))*(1+'模块规划'!$J$17*J272))*F272/(1-Q272)</x:f>
        <x:v>2940477.343271296</x:v>
      </x:c>
      <x:c r="AO272" t="n">
        <x:f>AL272*AM272</x:f>
        <x:v>126806229.03244773</x:v>
      </x:c>
      <x:c r="AP272" t="n">
        <x:f>IF(AO272="","",INDEX('_曲线基线'!$A$3:$A$502,MIN(ROWS('_曲线基线'!$A$3:$A$502),COUNTIF('_曲线基线'!$E$3:$E$502,"&lt;"&amp;AO272)+1)))</x:f>
        <x:v>312</x:v>
      </x:c>
      <x:c r="AQ272" t="n">
        <x:f>IF(B272&lt;=2,1,IF(B272&lt;=6,2,IF(B272&lt;=9,3,IF(B272&lt;=19,4,5))))</x:f>
        <x:v>5</x:v>
      </x:c>
      <x:c r="AR272" t="n">
        <x:f>AN272*(1-Q272)/F272*$AS$3+U272*$AS$4+P272*$AS$5</x:f>
        <x:v>17961.51702606476</x:v>
      </x:c>
      <x:c r="AS272" t="n">
        <x:f>1+AH272*$AS$6+AI272*$AS$7+(AJ272-1)*$AS$8+($H$10*H272+$I$10*I272+$J$10*J272+$K$10*K272+$L$10*L272)*$AU$3*$AS$9+($H$10*H272+$I$10*I272+$J$10*J272+$K$10*K272+$L$10*L272)*$AU$4*$AS$10</x:f>
        <x:v>17.69056484178062</x:v>
      </x:c>
      <x:c r="AT272" t="n">
        <x:f>ROUND(AR272*AS272,0)</x:f>
        <x:v>317749</x:v>
      </x:c>
      <x:c r="AU272" t="n">
        <x:f>ROUND(AT272*F272,0)</x:f>
        <x:v>1588745</x:v>
      </x:c>
    </x:row>
    <x:row r="273">
      <x:c r="A273" t="str">
        <x:f>IFERROR(XLOOKUP(B273,'_曲线基线'!$G$3:$G$107,'_曲线基线'!$J$3:$J$107,""),"")</x:f>
      </x:c>
      <x:c r="B273" t="n">
        <x:v>262</x:v>
      </x:c>
      <x:c r="C273" t="n">
        <x:f>C258+1</x:f>
        <x:v>18</x:v>
      </x:c>
      <x:c r="D273" t="n">
        <x:f>D258</x:f>
        <x:v>13</x:v>
      </x:c>
      <x:c r="E273" t="n">
        <x:f>IF($B273&lt;E$8,0,E$3+(E$4-E$3)*(POWER(E$5,$B273-E$8)-1)/(POWER(E$5,$C$5-E$8)-1))</x:f>
        <x:v>1</x:v>
      </x:c>
      <x:c r="F273" t="n">
        <x:f>1+IF(B273&lt;3,0,MIN(1,(B273-2)/4))+IF(B273&lt;7,0,MIN(1,(B273-6)/3))+IF(B273&lt;10,0,MIN(1,(B273-9)/5))+IF(B273&lt;20,0,MIN(1,(B273-19)/10))</x:f>
        <x:v>5</x:v>
      </x:c>
      <x:c r="G273" t="n">
        <x:f>IF($B273&lt;G$8,0,G$3+(G$4-G$3)*(POWER(G$5,$B273-G$8)-1)/(POWER(G$5,$C$5-G$8)-1))</x:f>
        <x:v>0.8959925346765006</x:v>
      </x:c>
      <x:c r="H273" t="n">
        <x:f>IF($B273&lt;H$8,0,H$3+(H$4-H$3)*(POWER(H$5,$B273-H$8)-1)/(POWER(H$5,$C$5-H$8)-1))</x:f>
        <x:v>0.6986365580771831</x:v>
      </x:c>
      <x:c r="I273" t="n">
        <x:f>IF($B273&lt;I$8,0,I$3+(I$4-I$3)*(POWER(I$5,$B273-I$8)-1)/(POWER(I$5,$C$5-I$8)-1))</x:f>
        <x:v>0.6464943604020057</x:v>
      </x:c>
      <x:c r="J273" t="n">
        <x:f>IF($B273&lt;J$8,0,J$3+(J$4-J$3)*(POWER(J$5,$B273-J$8)-1)/(POWER(J$5,$C$5-J$8)-1))</x:f>
        <x:v>0.5983824375256641</x:v>
      </x:c>
      <x:c r="K273" t="n">
        <x:f>IF($B273&lt;K$8,0,K$3+(K$4-K$3)*(POWER(K$5,$B273-K$8)-1)/(POWER(K$5,$C$5-K$8)-1))</x:f>
        <x:v>0.6426415763060052</x:v>
      </x:c>
      <x:c r="L273" t="n">
        <x:f>IF($B273&lt;L$8,0,L$3+(L$4-L$3)*(POWER(L$5,$B273-L$8)-1)/(POWER(L$5,$C$5-L$8)-1))</x:f>
        <x:v>0.6986085977653168</x:v>
      </x:c>
      <x:c r="M273" t="n">
        <x:f>E273*'模块规划'!$F$10+G273*'模块规划'!$F$11+H273*'模块规划'!$F$13</x:f>
        <x:v>5300.764166447203</x:v>
      </x:c>
      <x:c r="N273" t="n">
        <x:f>I273*'模块规划'!$F$15+J273*'模块规划'!$F$17+K273*'模块规划'!$F$16+L273*'模块规划'!$F$18</x:f>
        <x:v>18504.6717051353</x:v>
      </x:c>
      <x:c r="O273" t="n">
        <x:f>1+O$9*SUMPRODUCT($H$10:$L$10,H273:L273)/SUM($H$10:$L$10)</x:f>
        <x:v>3.410672621744875</x:v>
      </x:c>
      <x:c r="P273" t="n">
        <x:f>M273*O273+N273</x:f>
        <x:v>36583.84292196307</x:v>
      </x:c>
      <x:c r="Q273" t="n">
        <x:f>P273/(P273+'_曲线基线'!$L$2)</x:f>
        <x:v>0.6038547764143328</x:v>
      </x:c>
      <x:c r="R273" t="n">
        <x:f>E273*'模块规划'!$E$10+G273*'模块规划'!$E$11+H273*'模块规划'!$E$13</x:f>
        <x:v>7951.1462496708045</x:v>
      </x:c>
      <x:c r="S273" t="n">
        <x:f>I273*'模块规划'!$E$15+J273*'模块规划'!$E$17+K273*'模块规划'!$E$16+L273*'模块规划'!$E$18</x:f>
        <x:v>27757.007557702953</x:v>
      </x:c>
      <x:c r="T273" t="n">
        <x:f>1+T$9*SUMPRODUCT($H$10:$L$10,H273:L273)/SUM($H$10:$L$10)</x:f>
        <x:v>3.410672621744875</x:v>
      </x:c>
      <x:c r="U273" t="n">
        <x:f>R273*T273+S273</x:f>
        <x:v>54875.7643829446</x:v>
      </x:c>
      <x:c r="V273" t="n">
        <x:f>V$8+(V$9-V$8)*H273</x:f>
        <x:v>0.9095909674231549</x:v>
      </x:c>
      <x:c r="W273" t="n">
        <x:f>IF(B273&lt;$H$8,0,W$8+(W$9-W$8)*H273)</x:f>
        <x:v>0.2794546232308732</x:v>
      </x:c>
      <x:c r="X273" t="n">
        <x:f>X$8+(X$9-X$8)*H273</x:f>
        <x:v>0.46712505347122535</x:v>
      </x:c>
      <x:c r="Y273" t="n">
        <x:f>Y$8+(Y$9-Y$8)*G273</x:f>
        <x:v>1</x:v>
      </x:c>
      <x:c r="Z273" t="n">
        <x:f>Z$8+(Z$9-Z$8)*H273</x:f>
        <x:v>1</x:v>
      </x:c>
      <x:c r="AA273" t="n">
        <x:f>AA$8+(AA$9-AA$8)*I273</x:f>
        <x:v>1</x:v>
      </x:c>
      <x:c r="AB273" t="n">
        <x:f>AB$8+(AB$9-AB$8)*J273</x:f>
        <x:v>1</x:v>
      </x:c>
      <x:c r="AC273" t="n">
        <x:f>AC$8+(AC$9-AC$8)*MAX(K273,L273)</x:f>
        <x:v>1</x:v>
      </x:c>
      <x:c r="AD273" t="n">
        <x:f>(V273*AE273+W273*AF273+X273*AG273)*PRODUCT(Y273:AC273)</x:f>
        <x:v>1.8917648763467076</x:v>
      </x:c>
      <x:c r="AE273" t="n">
        <x:f>1+AE$9*($H$10*H273+$I$10*I273+$J$10*J273+$K$10*K273+$L$10*L273)</x:f>
        <x:v>1</x:v>
      </x:c>
      <x:c r="AF273" t="n">
        <x:f>1+AF$9*($H$10*H273+$I$10*I273+$J$10*J273+$K$10*K273+$L$10*L273)</x:f>
        <x:v>1.212763818437402</x:v>
      </x:c>
      <x:c r="AG273" t="n">
        <x:f>1+AG$9*($H$10*H273+$I$10*I273+$J$10*J273+$K$10*K273+$L$10*L273)</x:f>
        <x:v>1.377064767119621</x:v>
      </x:c>
      <x:c r="AH273" t="n">
        <x:f>MIN(1,'_曲线基线'!$L$3+AH$9*($H$10*H273+$I$10*I273+$J$10*J273+$K$10*K273+$L$10*L273))</x:f>
        <x:v>0.5340376869450894</x:v>
      </x:c>
      <x:c r="AI273" t="n">
        <x:f>'_曲线基线'!$L$4+AI$9*($H$10*H273+$I$10*I273+$J$10*J273+$K$10*K273+$L$10*L273)</x:f>
        <x:v>3.3483906993470347</x:v>
      </x:c>
      <x:c r="AJ273" t="n">
        <x:f>1+AJ$9*($H$10*H273+$I$10*I273+$J$10*J273+$K$10*K273+$L$10*L273)</x:f>
        <x:v>2.1063718558744897</x:v>
      </x:c>
      <x:c r="AK273" t="n">
        <x:f>(1+AH273*(AI273-1))*AJ273</x:f>
        <x:v>4.7480341739418</x:v>
      </x:c>
      <x:c r="AL273" t="n">
        <x:f>U273*AD273*AK273*F273</x:f>
        <x:v>2464515.6539278524</x:v>
      </x:c>
      <x:c r="AM273" t="n">
        <x:f>IF($B273&lt;AM$8,0,AM$3+(AM$4-AM$3)*(POWER(AM$5,$B273-AM$8)-1)/(POWER(AM$5,$C$5-AM$8)-1))</x:f>
        <x:v>51.67863212703061</x:v>
      </x:c>
      <x:c r="AN273" t="n">
        <x:f>(((E273*'模块规划'!$D$10+G273*'模块规划'!$D$11+H273*'模块规划'!$D$13)*(1+'模块规划'!$G$14*H273)+(I273*'模块规划'!$D$15+J273*'模块规划'!$D$17+K273*'模块规划'!$D$16+L273*'模块规划'!$D$18))*(1+'模块规划'!$J$17*J273))*F273/(1-Q273)</x:f>
        <x:v>2942443.1650605784</x:v>
      </x:c>
      <x:c r="AO273" t="n">
        <x:f>AL273*AM273</x:f>
        <x:v>127362797.85064577</x:v>
      </x:c>
      <x:c r="AP273" t="n">
        <x:f>IF(AO273="","",INDEX('_曲线基线'!$A$3:$A$502,MIN(ROWS('_曲线基线'!$A$3:$A$502),COUNTIF('_曲线基线'!$E$3:$E$502,"&lt;"&amp;AO273)+1)))</x:f>
        <x:v>313</x:v>
      </x:c>
      <x:c r="AQ273" t="n">
        <x:f>IF(B273&lt;=2,1,IF(B273&lt;=6,2,IF(B273&lt;=9,3,IF(B273&lt;=19,4,5))))</x:f>
        <x:v>5</x:v>
      </x:c>
      <x:c r="AR273" t="n">
        <x:f>AN273*(1-Q273)/F273*$AS$3+U273*$AS$4+P273*$AS$5</x:f>
        <x:v>17968.961709655166</x:v>
      </x:c>
      <x:c r="AS273" t="n">
        <x:f>1+AH273*$AS$6+AI273*$AS$7+(AJ273-1)*$AS$8+($H$10*H273+$I$10*I273+$J$10*J273+$K$10*K273+$L$10*L273)*$AU$3*$AS$9+($H$10*H273+$I$10*I273+$J$10*J273+$K$10*K273+$L$10*L273)*$AU$4*$AS$10</x:f>
        <x:v>17.694459904523466</x:v>
      </x:c>
      <x:c r="AT273" t="n">
        <x:f>ROUND(AR273*AS273,0)</x:f>
        <x:v>317951</x:v>
      </x:c>
      <x:c r="AU273" t="n">
        <x:f>ROUND(AT273*F273,0)</x:f>
        <x:v>1589755</x:v>
      </x:c>
    </x:row>
    <x:row r="274">
      <x:c r="A274" t="str">
        <x:f>IFERROR(XLOOKUP(B274,'_曲线基线'!$G$3:$G$107,'_曲线基线'!$J$3:$J$107,""),"")</x:f>
      </x:c>
      <x:c r="B274" t="n">
        <x:v>263</x:v>
      </x:c>
      <x:c r="C274" t="n">
        <x:f>C259+1</x:f>
        <x:v>18</x:v>
      </x:c>
      <x:c r="D274" t="n">
        <x:f>D259</x:f>
        <x:v>14</x:v>
      </x:c>
      <x:c r="E274" t="n">
        <x:f>IF($B274&lt;E$8,0,E$3+(E$4-E$3)*(POWER(E$5,$B274-E$8)-1)/(POWER(E$5,$C$5-E$8)-1))</x:f>
        <x:v>1</x:v>
      </x:c>
      <x:c r="F274" t="n">
        <x:f>1+IF(B274&lt;3,0,MIN(1,(B274-2)/4))+IF(B274&lt;7,0,MIN(1,(B274-6)/3))+IF(B274&lt;10,0,MIN(1,(B274-9)/5))+IF(B274&lt;20,0,MIN(1,(B274-19)/10))</x:f>
        <x:v>5</x:v>
      </x:c>
      <x:c r="G274" t="n">
        <x:f>IF($B274&lt;G$8,0,G$3+(G$4-G$3)*(POWER(G$5,$B274-G$8)-1)/(POWER(G$5,$C$5-G$8)-1))</x:f>
        <x:v>0.896257837110849</x:v>
      </x:c>
      <x:c r="H274" t="n">
        <x:f>IF($B274&lt;H$8,0,H$3+(H$4-H$3)*(POWER(H$5,$B274-H$8)-1)/(POWER(H$5,$C$5-H$8)-1))</x:f>
        <x:v>0.6987303691551507</x:v>
      </x:c>
      <x:c r="I274" t="n">
        <x:f>IF($B274&lt;I$8,0,I$3+(I$4-I$3)*(POWER(I$5,$B274-I$8)-1)/(POWER(I$5,$C$5-I$8)-1))</x:f>
        <x:v>0.6467355645370337</x:v>
      </x:c>
      <x:c r="J274" t="n">
        <x:f>IF($B274&lt;J$8,0,J$3+(J$4-J$3)*(POWER(J$5,$B274-J$8)-1)/(POWER(J$5,$C$5-J$8)-1))</x:f>
        <x:v>0.5984937332668747</x:v>
      </x:c>
      <x:c r="K274" t="n">
        <x:f>IF($B274&lt;K$8,0,K$3+(K$4-K$3)*(POWER(K$5,$B274-K$8)-1)/(POWER(K$5,$C$5-K$8)-1))</x:f>
        <x:v>0.6431478697148585</x:v>
      </x:c>
      <x:c r="L274" t="n">
        <x:f>IF($B274&lt;L$8,0,L$3+(L$4-L$3)*(POWER(L$5,$B274-L$8)-1)/(POWER(L$5,$C$5-L$8)-1))</x:f>
        <x:v>0.6987043326413962</x:v>
      </x:c>
      <x:c r="M274" t="n">
        <x:f>E274*'模块规划'!$F$10+G274*'模块规划'!$F$11+H274*'模块规划'!$F$13</x:f>
        <x:v>5302.037618132075</x:v>
      </x:c>
      <x:c r="N274" t="n">
        <x:f>I274*'模块规划'!$F$15+J274*'模块规划'!$F$17+K274*'模块规划'!$F$16+L274*'模块规划'!$F$18</x:f>
        <x:v>18511.23073046115</x:v>
      </x:c>
      <x:c r="O274" t="n">
        <x:f>1+O$9*SUMPRODUCT($H$10:$L$10,H274:L274)/SUM($H$10:$L$10)</x:f>
        <x:v>3.411396448821114</x:v>
      </x:c>
      <x:c r="P274" t="n">
        <x:f>M274*O274+N274</x:f>
        <x:v>36598.58303247287</x:v>
      </x:c>
      <x:c r="Q274" t="n">
        <x:f>P274/(P274+'_曲线基线'!$L$2)</x:f>
        <x:v>0.6039511355052781</x:v>
      </x:c>
      <x:c r="R274" t="n">
        <x:f>E274*'模块规划'!$E$10+G274*'模块规划'!$E$11+H274*'模块规划'!$E$13</x:f>
        <x:v>7953.056427198113</x:v>
      </x:c>
      <x:c r="S274" t="n">
        <x:f>I274*'模块规划'!$E$15+J274*'模块规划'!$E$17+K274*'模块规划'!$E$16+L274*'模块规划'!$E$18</x:f>
        <x:v>27766.846095691722</x:v>
      </x:c>
      <x:c r="T274" t="n">
        <x:f>1+T$9*SUMPRODUCT($H$10:$L$10,H274:L274)/SUM($H$10:$L$10)</x:f>
        <x:v>3.411396448821114</x:v>
      </x:c>
      <x:c r="U274" t="n">
        <x:f>R274*T274+S274</x:f>
        <x:v>54897.8745487093</x:v>
      </x:c>
      <x:c r="V274" t="n">
        <x:f>V$8+(V$9-V$8)*H274</x:f>
        <x:v>0.9096191107465452</x:v>
      </x:c>
      <x:c r="W274" t="n">
        <x:f>IF(B274&lt;$H$8,0,W$8+(W$9-W$8)*H274)</x:f>
        <x:v>0.2794921476620603</x:v>
      </x:c>
      <x:c r="X274" t="n">
        <x:f>X$8+(X$9-X$8)*H274</x:f>
        <x:v>0.4671508515176665</x:v>
      </x:c>
      <x:c r="Y274" t="n">
        <x:f>Y$8+(Y$9-Y$8)*G274</x:f>
        <x:v>1</x:v>
      </x:c>
      <x:c r="Z274" t="n">
        <x:f>Z$8+(Z$9-Z$8)*H274</x:f>
        <x:v>1</x:v>
      </x:c>
      <x:c r="AA274" t="n">
        <x:f>AA$8+(AA$9-AA$8)*I274</x:f>
        <x:v>1</x:v>
      </x:c>
      <x:c r="AB274" t="n">
        <x:f>AB$8+(AB$9-AB$8)*J274</x:f>
        <x:v>1</x:v>
      </x:c>
      <x:c r="AC274" t="n">
        <x:f>AC$8+(AC$9-AC$8)*MAX(K274,L274)</x:f>
        <x:v>1</x:v>
      </x:c>
      <x:c r="AD274" t="n">
        <x:f>(V274*AE274+W274*AF274+X274*AG274)*PRODUCT(Y274:AC274)</x:f>
        <x:v>1.8919447982203925</x:v>
      </x:c>
      <x:c r="AE274" t="n">
        <x:f>1+AE$9*($H$10*H274+$I$10*I274+$J$10*J274+$K$10*K274+$L$10*L274)</x:f>
        <x:v>1</x:v>
      </x:c>
      <x:c r="AF274" t="n">
        <x:f>1+AF$9*($H$10*H274+$I$10*I274+$J$10*J274+$K$10*K274+$L$10*L274)</x:f>
        <x:v>1.2128277027704466</x:v>
      </x:c>
      <x:c r="AG274" t="n">
        <x:f>1+AG$9*($H$10*H274+$I$10*I274+$J$10*J274+$K$10*K274+$L$10*L274)</x:f>
        <x:v>1.3771779843542946</x:v>
      </x:c>
      <x:c r="AH274" t="n">
        <x:f>MIN(1,'_曲线基线'!$L$3+AH$9*($H$10*H274+$I$10*I274+$J$10*J274+$K$10*K274+$L$10*L274))</x:f>
        <x:v>0.5341830238027657</x:v>
      </x:c>
      <x:c r="AI274" t="n">
        <x:f>'_曲线基线'!$L$4+AI$9*($H$10*H274+$I$10*I274+$J$10*J274+$K$10*K274+$L$10*L274)</x:f>
        <x:v>3.3487955663077047</x:v>
      </x:c>
      <x:c r="AJ274" t="n">
        <x:f>1+AJ$9*($H$10*H274+$I$10*I274+$J$10*J274+$K$10*K274+$L$10*L274)</x:f>
        <x:v>2.106704054406322</x:v>
      </x:c>
      <x:c r="AK274" t="n">
        <x:f>(1+AH274*(AI274-1))*AJ274</x:f>
        <x:v>4.749957650026081</x:v>
      </x:c>
      <x:c r="AL274" t="n">
        <x:f>U274*AD274*AK274*F274</x:f>
        <x:v>2466742.026277289</x:v>
      </x:c>
      <x:c r="AM274" t="n">
        <x:f>IF($B274&lt;AM$8,0,AM$3+(AM$4-AM$3)*(POWER(AM$5,$B274-AM$8)-1)/(POWER(AM$5,$C$5-AM$8)-1))</x:f>
        <x:v>51.858843088222784</x:v>
      </x:c>
      <x:c r="AN274" t="n">
        <x:f>(((E274*'模块规划'!$D$10+G274*'模块规划'!$D$11+H274*'模块规划'!$D$13)*(1+'模块规划'!$G$14*H274)+(I274*'模块规划'!$D$15+J274*'模块规划'!$D$17+K274*'模块规划'!$D$16+L274*'模块规划'!$D$18))*(1+'模块规划'!$J$17*J274))*F274/(1-Q274)</x:f>
        <x:v>2944372.746676143</x:v>
      </x:c>
      <x:c r="AO274" t="n">
        <x:f>AL274*AM274</x:f>
        <x:v>127922387.67983864</x:v>
      </x:c>
      <x:c r="AP274" t="n">
        <x:f>IF(AO274="","",INDEX('_曲线基线'!$A$3:$A$502,MIN(ROWS('_曲线基线'!$A$3:$A$502),COUNTIF('_曲线基线'!$E$3:$E$502,"&lt;"&amp;AO274)+1)))</x:f>
        <x:v>313</x:v>
      </x:c>
      <x:c r="AQ274" t="n">
        <x:f>IF(B274&lt;=2,1,IF(B274&lt;=6,2,IF(B274&lt;=9,3,IF(B274&lt;=19,4,5))))</x:f>
        <x:v>5</x:v>
      </x:c>
      <x:c r="AR274" t="n">
        <x:f>AN274*(1-Q274)/F274*$AS$3+U274*$AS$4+P274*$AS$5</x:f>
        <x:v>17976.26780756361</x:v>
      </x:c>
      <x:c r="AS274" t="n">
        <x:f>1+AH274*$AS$6+AI274*$AS$7+(AJ274-1)*$AS$8+($H$10*H274+$I$10*I274+$J$10*J274+$K$10*K274+$L$10*L274)*$AU$3*$AS$9+($H$10*H274+$I$10*I274+$J$10*J274+$K$10*K274+$L$10*L274)*$AU$4*$AS$10</x:f>
        <x:v>17.69827706601145</x:v>
      </x:c>
      <x:c r="AT274" t="n">
        <x:f>ROUND(AR274*AS274,0)</x:f>
        <x:v>318149</x:v>
      </x:c>
      <x:c r="AU274" t="n">
        <x:f>ROUND(AT274*F274,0)</x:f>
        <x:v>1590745</x:v>
      </x:c>
    </x:row>
    <x:row r="275">
      <x:c r="A275" t="str">
        <x:f>IFERROR(XLOOKUP(B275,'_曲线基线'!$G$3:$G$107,'_曲线基线'!$J$3:$J$107,""),"")</x:f>
      </x:c>
      <x:c r="B275" t="n">
        <x:v>264</x:v>
      </x:c>
      <x:c r="C275" t="n">
        <x:f>C260+1</x:f>
        <x:v>18</x:v>
      </x:c>
      <x:c r="D275" t="n">
        <x:f>D260</x:f>
        <x:v>15</x:v>
      </x:c>
      <x:c r="E275" t="n">
        <x:f>IF($B275&lt;E$8,0,E$3+(E$4-E$3)*(POWER(E$5,$B275-E$8)-1)/(POWER(E$5,$C$5-E$8)-1))</x:f>
        <x:v>1</x:v>
      </x:c>
      <x:c r="F275" t="n">
        <x:f>1+IF(B275&lt;3,0,MIN(1,(B275-2)/4))+IF(B275&lt;7,0,MIN(1,(B275-6)/3))+IF(B275&lt;10,0,MIN(1,(B275-9)/5))+IF(B275&lt;20,0,MIN(1,(B275-19)/10))</x:f>
        <x:v>5</x:v>
      </x:c>
      <x:c r="G275" t="n">
        <x:f>IF($B275&lt;G$8,0,G$3+(G$4-G$3)*(POWER(G$5,$B275-G$8)-1)/(POWER(G$5,$C$5-G$8)-1))</x:f>
        <x:v>0.8965191600086821</x:v>
      </x:c>
      <x:c r="H275" t="n">
        <x:f>IF($B275&lt;H$8,0,H$3+(H$4-H$3)*(POWER(H$5,$B275-H$8)-1)/(POWER(H$5,$C$5-H$8)-1))</x:f>
        <x:v>0.6988223040115591</x:v>
      </x:c>
      <x:c r="I275" t="n">
        <x:f>IF($B275&lt;I$8,0,I$3+(I$4-I$3)*(POWER(I$5,$B275-I$8)-1)/(POWER(I$5,$C$5-I$8)-1))</x:f>
        <x:v>0.6469719445893614</x:v>
      </x:c>
      <x:c r="J275" t="n">
        <x:f>IF($B275&lt;J$8,0,J$3+(J$4-J$3)*(POWER(J$5,$B275-J$8)-1)/(POWER(J$5,$C$5-J$8)-1))</x:f>
        <x:v>0.5986028030932612</x:v>
      </x:c>
      <x:c r="K275" t="n">
        <x:f>IF($B275&lt;K$8,0,K$3+(K$4-K$3)*(POWER(K$5,$B275-K$8)-1)/(POWER(K$5,$C$5-K$8)-1))</x:f>
        <x:v>0.643644037255535</x:v>
      </x:c>
      <x:c r="L275" t="n">
        <x:f>IF($B275&lt;L$8,0,L$3+(L$4-L$3)*(POWER(L$5,$B275-L$8)-1)/(POWER(L$5,$C$5-L$8)-1))</x:f>
        <x:v>0.6987981528199539</x:v>
      </x:c>
      <x:c r="M275" t="n">
        <x:f>E275*'模块规划'!$F$10+G275*'模块规划'!$F$11+H275*'模块规划'!$F$13</x:f>
        <x:v>5303.291968041674</x:v>
      </x:c>
      <x:c r="N275" t="n">
        <x:f>I275*'模块规划'!$F$15+J275*'模块规划'!$F$17+K275*'模块规划'!$F$16+L275*'模块规划'!$F$18</x:f>
        <x:v>18517.658575280482</x:v>
      </x:c>
      <x:c r="O275" t="n">
        <x:f>1+O$9*SUMPRODUCT($H$10:$L$10,H275:L275)/SUM($H$10:$L$10)</x:f>
        <x:v>3.412105799355828</x:v>
      </x:c>
      <x:c r="P275" t="n">
        <x:f>M275*O275+N275</x:f>
        <x:v>36613.05185511266</x:v>
      </x:c>
      <x:c r="Q275" t="n">
        <x:f>P275/(P275+'_曲线基线'!$L$2)</x:f>
        <x:v>0.604045675552375</x:v>
      </x:c>
      <x:c r="R275" t="n">
        <x:f>E275*'模块规划'!$E$10+G275*'模块规划'!$E$11+H275*'模块规划'!$E$13</x:f>
        <x:v>7954.937952062512</x:v>
      </x:c>
      <x:c r="S275" t="n">
        <x:f>I275*'模块规划'!$E$15+J275*'模块规划'!$E$17+K275*'模块规划'!$E$16+L275*'模块规划'!$E$18</x:f>
        <x:v>27776.487862920723</x:v>
      </x:c>
      <x:c r="T275" t="n">
        <x:f>1+T$9*SUMPRODUCT($H$10:$L$10,H275:L275)/SUM($H$10:$L$10)</x:f>
        <x:v>3.412105799355828</x:v>
      </x:c>
      <x:c r="U275" t="n">
        <x:f>R275*T275+S275</x:f>
        <x:v>54919.577782668995</x:v>
      </x:c>
      <x:c r="V275" t="n">
        <x:f>V$8+(V$9-V$8)*H275</x:f>
        <x:v>0.9096466912034677</x:v>
      </x:c>
      <x:c r="W275" t="n">
        <x:f>IF(B275&lt;$H$8,0,W$8+(W$9-W$8)*H275)</x:f>
        <x:v>0.27952892160462367</x:v>
      </x:c>
      <x:c r="X275" t="n">
        <x:f>X$8+(X$9-X$8)*H275</x:f>
        <x:v>0.4671761336031788</x:v>
      </x:c>
      <x:c r="Y275" t="n">
        <x:f>Y$8+(Y$9-Y$8)*G275</x:f>
        <x:v>1</x:v>
      </x:c>
      <x:c r="Z275" t="n">
        <x:f>Z$8+(Z$9-Z$8)*H275</x:f>
        <x:v>1</x:v>
      </x:c>
      <x:c r="AA275" t="n">
        <x:f>AA$8+(AA$9-AA$8)*I275</x:f>
        <x:v>1</x:v>
      </x:c>
      <x:c r="AB275" t="n">
        <x:f>AB$8+(AB$9-AB$8)*J275</x:f>
        <x:v>1</x:v>
      </x:c>
      <x:c r="AC275" t="n">
        <x:f>AC$8+(AC$9-AC$8)*MAX(K275,L275)</x:f>
        <x:v>1</x:v>
      </x:c>
      <x:c r="AD275" t="n">
        <x:f>(V275*AE275+W275*AF275+X275*AG275)*PRODUCT(Y275:AC275)</x:f>
        <x:v>1.8921211319756641</x:v>
      </x:c>
      <x:c r="AE275" t="n">
        <x:f>1+AE$9*($H$10*H275+$I$10*I275+$J$10*J275+$K$10*K275+$L$10*L275)</x:f>
        <x:v>1</x:v>
      </x:c>
      <x:c r="AF275" t="n">
        <x:f>1+AF$9*($H$10*H275+$I$10*I275+$J$10*J275+$K$10*K275+$L$10*L275)</x:f>
        <x:v>1.2128903094168304</x:v>
      </x:c>
      <x:c r="AG275" t="n">
        <x:f>1+AG$9*($H$10*H275+$I$10*I275+$J$10*J275+$K$10*K275+$L$10*L275)</x:f>
        <x:v>1.3772889372442745</x:v>
      </x:c>
      <x:c r="AH275" t="n">
        <x:f>MIN(1,'_曲线基线'!$L$3+AH$9*($H$10*H275+$I$10*I275+$J$10*J275+$K$10*K275+$L$10*L275))</x:f>
        <x:v>0.5343254539232886</x:v>
      </x:c>
      <x:c r="AI275" t="n">
        <x:f>'_曲线基线'!$L$4+AI$9*($H$10*H275+$I$10*I275+$J$10*J275+$K$10*K275+$L$10*L275)</x:f>
        <x:v>3.3491923359291613</x:v>
      </x:c>
      <x:c r="AJ275" t="n">
        <x:f>1+AJ$9*($H$10*H275+$I$10*I275+$J$10*J275+$K$10*K275+$L$10*L275)</x:f>
        <x:v>2.107029608967517</x:v>
      </x:c>
      <x:c r="AK275" t="n">
        <x:f>(1+AH275*(AI275-1))*AJ275</x:f>
        <x:v>4.751843256578881</x:v>
      </x:c>
      <x:c r="AL275" t="n">
        <x:f>U275*AD275*AK275*F275</x:f>
        <x:v>2468926.930312618</x:v>
      </x:c>
      <x:c r="AM275" t="n">
        <x:f>IF($B275&lt;AM$8,0,AM$3+(AM$4-AM$3)*(POWER(AM$5,$B275-AM$8)-1)/(POWER(AM$5,$C$5-AM$8)-1))</x:f>
        <x:v>52.04085615902688</x:v>
      </x:c>
      <x:c r="AN275" t="n">
        <x:f>(((E275*'模块规划'!$D$10+G275*'模块规划'!$D$11+H275*'模块规划'!$D$13)*(1+'模块规划'!$G$14*H275)+(I275*'模块规划'!$D$15+J275*'模块规划'!$D$17+K275*'模块规划'!$D$16+L275*'模块规划'!$D$18))*(1+'模块规划'!$J$17*J275))*F275/(1-Q275)</x:f>
        <x:v>2946266.7489708103</x:v>
      </x:c>
      <x:c r="AO275" t="n">
        <x:f>AL275*AM275</x:f>
        <x:v>128485071.24754675</x:v>
      </x:c>
      <x:c r="AP275" t="n">
        <x:f>IF(AO275="","",INDEX('_曲线基线'!$A$3:$A$502,MIN(ROWS('_曲线基线'!$A$3:$A$502),COUNTIF('_曲线基线'!$E$3:$E$502,"&lt;"&amp;AO275)+1)))</x:f>
        <x:v>313</x:v>
      </x:c>
      <x:c r="AQ275" t="n">
        <x:f>IF(B275&lt;=2,1,IF(B275&lt;=6,2,IF(B275&lt;=9,3,IF(B275&lt;=19,4,5))))</x:f>
        <x:v>5</x:v>
      </x:c>
      <x:c r="AR275" t="n">
        <x:f>AN275*(1-Q275)/F275*$AS$3+U275*$AS$4+P275*$AS$5</x:f>
        <x:v>17983.437917921226</x:v>
      </x:c>
      <x:c r="AS275" t="n">
        <x:f>1+AH275*$AS$6+AI275*$AS$7+(AJ275-1)*$AS$8+($H$10*H275+$I$10*I275+$J$10*J275+$K$10*K275+$L$10*L275)*$AU$3*$AS$9+($H$10*H275+$I$10*I275+$J$10*J275+$K$10*K275+$L$10*L275)*$AU$4*$AS$10</x:f>
        <x:v>17.70201788426968</x:v>
      </x:c>
      <x:c r="AT275" t="n">
        <x:f>ROUND(AR275*AS275,0)</x:f>
        <x:v>318343</x:v>
      </x:c>
      <x:c r="AU275" t="n">
        <x:f>ROUND(AT275*F275,0)</x:f>
        <x:v>1591715</x:v>
      </x:c>
    </x:row>
    <x:row r="276">
      <x:c r="A276" t="str">
        <x:f>IFERROR(XLOOKUP(B276,'_曲线基线'!$G$3:$G$107,'_曲线基线'!$J$3:$J$107,""),"")</x:f>
      </x:c>
      <x:c r="B276" t="n">
        <x:v>265</x:v>
      </x:c>
      <x:c r="C276" t="n">
        <x:f>C261+1</x:f>
        <x:v>19</x:v>
      </x:c>
      <x:c r="D276" t="n">
        <x:f>D261</x:f>
        <x:v>1</x:v>
      </x:c>
      <x:c r="E276" t="n">
        <x:f>IF($B276&lt;E$8,0,E$3+(E$4-E$3)*(POWER(E$5,$B276-E$8)-1)/(POWER(E$5,$C$5-E$8)-1))</x:f>
        <x:v>1</x:v>
      </x:c>
      <x:c r="F276" t="n">
        <x:f>1+IF(B276&lt;3,0,MIN(1,(B276-2)/4))+IF(B276&lt;7,0,MIN(1,(B276-6)/3))+IF(B276&lt;10,0,MIN(1,(B276-9)/5))+IF(B276&lt;20,0,MIN(1,(B276-19)/10))</x:f>
        <x:v>5</x:v>
      </x:c>
      <x:c r="G276" t="n">
        <x:f>IF($B276&lt;G$8,0,G$3+(G$4-G$3)*(POWER(G$5,$B276-G$8)-1)/(POWER(G$5,$C$5-G$8)-1))</x:f>
        <x:v>0.8967765630630478</x:v>
      </x:c>
      <x:c r="H276" t="n">
        <x:f>IF($B276&lt;H$8,0,H$3+(H$4-H$3)*(POWER(H$5,$B276-H$8)-1)/(POWER(H$5,$C$5-H$8)-1))</x:f>
        <x:v>0.6989124001708392</x:v>
      </x:c>
      <x:c r="I276" t="n">
        <x:f>IF($B276&lt;I$8,0,I$3+(I$4-I$3)*(POWER(I$5,$B276-I$8)-1)/(POWER(I$5,$C$5-I$8)-1))</x:f>
        <x:v>0.6472035970406423</x:v>
      </x:c>
      <x:c r="J276" t="n">
        <x:f>IF($B276&lt;J$8,0,J$3+(J$4-J$3)*(POWER(J$5,$B276-J$8)-1)/(POWER(J$5,$C$5-J$8)-1))</x:f>
        <x:v>0.5987096915231198</x:v>
      </x:c>
      <x:c r="K276" t="n">
        <x:f>IF($B276&lt;K$8,0,K$3+(K$4-K$3)*(POWER(K$5,$B276-K$8)-1)/(POWER(K$5,$C$5-K$8)-1))</x:f>
        <x:v>0.6441302814453979</x:v>
      </x:c>
      <x:c r="L276" t="n">
        <x:f>IF($B276&lt;L$8,0,L$3+(L$4-L$3)*(POWER(L$5,$B276-L$8)-1)/(POWER(L$5,$C$5-L$8)-1))</x:f>
        <x:v>0.6988900965949406</x:v>
      </x:c>
      <x:c r="M276" t="n">
        <x:f>E276*'模块规划'!$F$10+G276*'模块规划'!$F$11+H276*'模块规划'!$F$13</x:f>
        <x:v>5304.527502702629</x:v>
      </x:c>
      <x:c r="N276" t="n">
        <x:f>I276*'模块规划'!$F$15+J276*'模块规划'!$F$17+K276*'模块规划'!$F$16+L276*'模块规划'!$F$18</x:f>
        <x:v>18523.957863203428</x:v>
      </x:c>
      <x:c r="O276" t="n">
        <x:f>1+O$9*SUMPRODUCT($H$10:$L$10,H276:L276)/SUM($H$10:$L$10)</x:f>
        <x:v>3.4128009628798472</x:v>
      </x:c>
      <x:c r="P276" t="n">
        <x:f>M276*O276+N276</x:f>
        <x:v>36627.254432049594</x:v>
      </x:c>
      <x:c r="Q276" t="n">
        <x:f>P276/(P276+'_曲线基线'!$L$2)</x:f>
        <x:v>0.6041384320495834</x:v>
      </x:c>
      <x:c r="R276" t="n">
        <x:f>E276*'模块规划'!$E$10+G276*'模块规划'!$E$11+H276*'模块规划'!$E$13</x:f>
        <x:v>7956.791254053944</x:v>
      </x:c>
      <x:c r="S276" t="n">
        <x:f>I276*'模块规划'!$E$15+J276*'模块规划'!$E$17+K276*'模块规划'!$E$16+L276*'模块规划'!$E$18</x:f>
        <x:v>27785.936794805137</x:v>
      </x:c>
      <x:c r="T276" t="n">
        <x:f>1+T$9*SUMPRODUCT($H$10:$L$10,H276:L276)/SUM($H$10:$L$10)</x:f>
        <x:v>3.4128009628798472</x:v>
      </x:c>
      <x:c r="U276" t="n">
        <x:f>R276*T276+S276</x:f>
        <x:v>54940.881648074384</x:v>
      </x:c>
      <x:c r="V276" t="n">
        <x:f>V$8+(V$9-V$8)*H276</x:f>
        <x:v>0.9096737200512517</x:v>
      </x:c>
      <x:c r="W276" t="n">
        <x:f>IF(B276&lt;$H$8,0,W$8+(W$9-W$8)*H276)</x:f>
        <x:v>0.2795649600683357</x:v>
      </x:c>
      <x:c r="X276" t="n">
        <x:f>X$8+(X$9-X$8)*H276</x:f>
        <x:v>0.46720091004698083</x:v>
      </x:c>
      <x:c r="Y276" t="n">
        <x:f>Y$8+(Y$9-Y$8)*G276</x:f>
        <x:v>1</x:v>
      </x:c>
      <x:c r="Z276" t="n">
        <x:f>Z$8+(Z$9-Z$8)*H276</x:f>
        <x:v>1</x:v>
      </x:c>
      <x:c r="AA276" t="n">
        <x:f>AA$8+(AA$9-AA$8)*I276</x:f>
        <x:v>1</x:v>
      </x:c>
      <x:c r="AB276" t="n">
        <x:f>AB$8+(AB$9-AB$8)*J276</x:f>
        <x:v>1</x:v>
      </x:c>
      <x:c r="AC276" t="n">
        <x:f>AC$8+(AC$9-AC$8)*MAX(K276,L276)</x:f>
        <x:v>1</x:v>
      </x:c>
      <x:c r="AD276" t="n">
        <x:f>(V276*AE276+W276*AF276+X276*AG276)*PRODUCT(Y276:AC276)</x:f>
        <x:v>1.892293948966255</x:v>
      </x:c>
      <x:c r="AE276" t="n">
        <x:f>1+AE$9*($H$10*H276+$I$10*I276+$J$10*J276+$K$10*K276+$L$10*L276)</x:f>
        <x:v>1</x:v>
      </x:c>
      <x:c r="AF276" t="n">
        <x:f>1+AF$9*($H$10*H276+$I$10*I276+$J$10*J276+$K$10*K276+$L$10*L276)</x:f>
        <x:v>1.2129516639302862</x:v>
      </x:c>
      <x:c r="AG276" t="n">
        <x:f>1+AG$9*($H$10*H276+$I$10*I276+$J$10*J276+$K$10*K276+$L$10*L276)</x:f>
        <x:v>1.3773976710764546</x:v>
      </x:c>
      <x:c r="AH276" t="n">
        <x:f>MIN(1,'_曲线基线'!$L$3+AH$9*($H$10*H276+$I$10*I276+$J$10*J276+$K$10*K276+$L$10*L276))</x:f>
        <x:v>0.5344650354414009</x:v>
      </x:c>
      <x:c r="AI276" t="n">
        <x:f>'_曲线基线'!$L$4+AI$9*($H$10*H276+$I$10*I276+$J$10*J276+$K$10*K276+$L$10*L276)</x:f>
        <x:v>3.349581170158188</x:v>
      </x:c>
      <x:c r="AJ276" t="n">
        <x:f>1+AJ$9*($H$10*H276+$I$10*I276+$J$10*J276+$K$10*K276+$L$10*L276)</x:f>
        <x:v>2.107348652437488</x:v>
      </x:c>
      <x:c r="AK276" t="n">
        <x:f>(1+AH276*(AI276-1))*AJ276</x:f>
        <x:v>4.7536917273383255</x:v>
      </x:c>
      <x:c r="AL276" t="n">
        <x:f>U276*AD276*AK276*F276</x:f>
        <x:v>2471071.1141748717</x:v>
      </x:c>
      <x:c r="AM276" t="n">
        <x:f>IF($B276&lt;AM$8,0,AM$3+(AM$4-AM$3)*(POWER(AM$5,$B276-AM$8)-1)/(POWER(AM$5,$C$5-AM$8)-1))</x:f>
        <x:v>52.22468936053902</x:v>
      </x:c>
      <x:c r="AN276" t="n">
        <x:f>(((E276*'模块规划'!$D$10+G276*'模块规划'!$D$11+H276*'模块规划'!$D$13)*(1+'模块规划'!$G$14*H276)+(I276*'模块规划'!$D$15+J276*'模块规划'!$D$17+K276*'模块规划'!$D$16+L276*'模块规划'!$D$18))*(1+'模块规划'!$J$17*J276))*F276/(1-Q276)</x:f>
        <x:v>2948125.821202112</x:v>
      </x:c>
      <x:c r="AO276" t="n">
        <x:f>AL276*AM276</x:f>
        <x:v>129050921.32558371</x:v>
      </x:c>
      <x:c r="AP276" t="n">
        <x:f>IF(AO276="","",INDEX('_曲线基线'!$A$3:$A$502,MIN(ROWS('_曲线基线'!$A$3:$A$502),COUNTIF('_曲线基线'!$E$3:$E$502,"&lt;"&amp;AO276)+1)))</x:f>
        <x:v>314</x:v>
      </x:c>
      <x:c r="AQ276" t="n">
        <x:f>IF(B276&lt;=2,1,IF(B276&lt;=6,2,IF(B276&lt;=9,3,IF(B276&lt;=19,4,5))))</x:f>
        <x:v>5</x:v>
      </x:c>
      <x:c r="AR276" t="n">
        <x:f>AN276*(1-Q276)/F276*$AS$3+U276*$AS$4+P276*$AS$5</x:f>
        <x:v>17990.474590191945</x:v>
      </x:c>
      <x:c r="AS276" t="n">
        <x:f>1+AH276*$AS$6+AI276*$AS$7+(AJ276-1)*$AS$8+($H$10*H276+$I$10*I276+$J$10*J276+$K$10*K276+$L$10*L276)*$AU$3*$AS$9+($H$10*H276+$I$10*I276+$J$10*J276+$K$10*K276+$L$10*L276)*$AU$4*$AS$10</x:f>
        <x:v>17.705683886162735</x:v>
      </x:c>
      <x:c r="AT276" t="n">
        <x:f>ROUND(AR276*AS276,0)</x:f>
        <x:v>318534</x:v>
      </x:c>
      <x:c r="AU276" t="n">
        <x:f>ROUND(AT276*F276,0)</x:f>
        <x:v>1592670</x:v>
      </x:c>
    </x:row>
    <x:row r="277">
      <x:c r="A277" t="str">
        <x:f>IFERROR(XLOOKUP(B277,'_曲线基线'!$G$3:$G$107,'_曲线基线'!$J$3:$J$107,""),"")</x:f>
      </x:c>
      <x:c r="B277" t="n">
        <x:v>266</x:v>
      </x:c>
      <x:c r="C277" t="n">
        <x:f>C262+1</x:f>
        <x:v>19</x:v>
      </x:c>
      <x:c r="D277" t="n">
        <x:f>D262</x:f>
        <x:v>2</x:v>
      </x:c>
      <x:c r="E277" t="n">
        <x:f>IF($B277&lt;E$8,0,E$3+(E$4-E$3)*(POWER(E$5,$B277-E$8)-1)/(POWER(E$5,$C$5-E$8)-1))</x:f>
        <x:v>1</x:v>
      </x:c>
      <x:c r="F277" t="n">
        <x:f>1+IF(B277&lt;3,0,MIN(1,(B277-2)/4))+IF(B277&lt;7,0,MIN(1,(B277-6)/3))+IF(B277&lt;10,0,MIN(1,(B277-9)/5))+IF(B277&lt;20,0,MIN(1,(B277-19)/10))</x:f>
        <x:v>5</x:v>
      </x:c>
      <x:c r="G277" t="n">
        <x:f>IF($B277&lt;G$8,0,G$3+(G$4-G$3)*(POWER(G$5,$B277-G$8)-1)/(POWER(G$5,$C$5-G$8)-1))</x:f>
        <x:v>0.8970301050715979</x:v>
      </x:c>
      <x:c r="H277" t="n">
        <x:f>IF($B277&lt;H$8,0,H$3+(H$4-H$3)*(POWER(H$5,$B277-H$8)-1)/(POWER(H$5,$C$5-H$8)-1))</x:f>
        <x:v>0.6990006944069338</x:v>
      </x:c>
      <x:c r="I277" t="n">
        <x:f>IF($B277&lt;I$8,0,I$3+(I$4-I$3)*(POWER(I$5,$B277-I$8)-1)/(POWER(I$5,$C$5-I$8)-1))</x:f>
        <x:v>0.6474306164428976</x:v>
      </x:c>
      <x:c r="J277" t="n">
        <x:f>IF($B277&lt;J$8,0,J$3+(J$4-J$3)*(POWER(J$5,$B277-J$8)-1)/(POWER(J$5,$C$5-J$8)-1))</x:f>
        <x:v>0.5988144421843812</x:v>
      </x:c>
      <x:c r="K277" t="n">
        <x:f>IF($B277&lt;K$8,0,K$3+(K$4-K$3)*(POWER(K$5,$B277-K$8)-1)/(POWER(K$5,$C$5-K$8)-1))</x:f>
        <x:v>0.6446068007514634</x:v>
      </x:c>
      <x:c r="L277" t="n">
        <x:f>IF($B277&lt;L$8,0,L$3+(L$4-L$3)*(POWER(L$5,$B277-L$8)-1)/(POWER(L$5,$C$5-L$8)-1))</x:f>
        <x:v>0.6989802014944274</x:v>
      </x:c>
      <x:c r="M277" t="n">
        <x:f>E277*'模块规划'!$F$10+G277*'模块规划'!$F$11+H277*'模块规划'!$F$13</x:f>
        <x:v>5305.74450434367</x:v>
      </x:c>
      <x:c r="N277" t="n">
        <x:f>I277*'模块规划'!$F$15+J277*'模块规划'!$F$17+K277*'模块规划'!$F$16+L277*'模块规划'!$F$18</x:f>
        <x:v>18530.13116536791</x:v>
      </x:c>
      <x:c r="O277" t="n">
        <x:f>1+O$9*SUMPRODUCT($H$10:$L$10,H277:L277)/SUM($H$10:$L$10)</x:f>
        <x:v>3.4134822231333866</x:v>
      </x:c>
      <x:c r="P277" t="n">
        <x:f>M277*O277+N277</x:f>
        <x:v>36641.195711432694</x:v>
      </x:c>
      <x:c r="Q277" t="n">
        <x:f>P277/(P277+'_曲线基线'!$L$2)</x:f>
        <x:v>0.6042294397655606</x:v>
      </x:c>
      <x:c r="R277" t="n">
        <x:f>E277*'模块规划'!$E$10+G277*'模块规划'!$E$11+H277*'模块规划'!$E$13</x:f>
        <x:v>7958.616756515505</x:v>
      </x:c>
      <x:c r="S277" t="n">
        <x:f>I277*'模块规划'!$E$15+J277*'模块规划'!$E$17+K277*'模块规划'!$E$16+L277*'模块规划'!$E$18</x:f>
        <x:v>27795.196748051865</x:v>
      </x:c>
      <x:c r="T277" t="n">
        <x:f>1+T$9*SUMPRODUCT($H$10:$L$10,H277:L277)/SUM($H$10:$L$10)</x:f>
        <x:v>3.4134822231333866</x:v>
      </x:c>
      <x:c r="U277" t="n">
        <x:f>R277*T277+S277</x:f>
        <x:v>54961.793567149034</x:v>
      </x:c>
      <x:c r="V277" t="n">
        <x:f>V$8+(V$9-V$8)*H277</x:f>
        <x:v>0.9097002083220801</x:v>
      </x:c>
      <x:c r="W277" t="n">
        <x:f>IF(B277&lt;$H$8,0,W$8+(W$9-W$8)*H277)</x:f>
        <x:v>0.2796002777627735</x:v>
      </x:c>
      <x:c r="X277" t="n">
        <x:f>X$8+(X$9-X$8)*H277</x:f>
        <x:v>0.46722519096190684</x:v>
      </x:c>
      <x:c r="Y277" t="n">
        <x:f>Y$8+(Y$9-Y$8)*G277</x:f>
        <x:v>1</x:v>
      </x:c>
      <x:c r="Z277" t="n">
        <x:f>Z$8+(Z$9-Z$8)*H277</x:f>
        <x:v>1</x:v>
      </x:c>
      <x:c r="AA277" t="n">
        <x:f>AA$8+(AA$9-AA$8)*I277</x:f>
        <x:v>1</x:v>
      </x:c>
      <x:c r="AB277" t="n">
        <x:f>AB$8+(AB$9-AB$8)*J277</x:f>
        <x:v>1</x:v>
      </x:c>
      <x:c r="AC277" t="n">
        <x:f>AC$8+(AC$9-AC$8)*MAX(K277,L277)</x:f>
        <x:v>1</x:v>
      </x:c>
      <x:c r="AD277" t="n">
        <x:f>(V277*AE277+W277*AF277+X277*AG277)*PRODUCT(Y277:AC277)</x:f>
        <x:v>1.8924633191350073</x:v>
      </x:c>
      <x:c r="AE277" t="n">
        <x:f>1+AE$9*($H$10*H277+$I$10*I277+$J$10*J277+$K$10*K277+$L$10*L277)</x:f>
        <x:v>1</x:v>
      </x:c>
      <x:c r="AF277" t="n">
        <x:f>1+AF$9*($H$10*H277+$I$10*I277+$J$10*J277+$K$10*K277+$L$10*L277)</x:f>
        <x:v>1.2130117913534733</x:v>
      </x:c>
      <x:c r="AG277" t="n">
        <x:f>1+AG$9*($H$10*H277+$I$10*I277+$J$10*J277+$K$10*K277+$L$10*L277)</x:f>
        <x:v>1.3775042302319913</x:v>
      </x:c>
      <x:c r="AH277" t="n">
        <x:f>MIN(1,'_曲线基线'!$L$3+AH$9*($H$10*H277+$I$10*I277+$J$10*J277+$K$10*K277+$L$10*L277))</x:f>
        <x:v>0.5346018253291509</x:v>
      </x:c>
      <x:c r="AI277" t="n">
        <x:f>'_曲线基线'!$L$4+AI$9*($H$10*H277+$I$10*I277+$J$10*J277+$K$10*K277+$L$10*L277)</x:f>
        <x:v>3.349962227702635</x:v>
      </x:c>
      <x:c r="AJ277" t="n">
        <x:f>1+AJ$9*($H$10*H277+$I$10*I277+$J$10*J277+$K$10*K277+$L$10*L277)</x:f>
        <x:v>2.1076613150380594</x:v>
      </x:c>
      <x:c r="AK277" t="n">
        <x:f>(1+AH277*(AI277-1))*AJ277</x:f>
        <x:v>4.755503782298126</x:v>
      </x:c>
      <x:c r="AL277" t="n">
        <x:f>U277*AD277*AK277*F277</x:f>
        <x:v>2473175.3135898123</x:v>
      </x:c>
      <x:c r="AM277" t="n">
        <x:f>IF($B277&lt;AM$8,0,AM$3+(AM$4-AM$3)*(POWER(AM$5,$B277-AM$8)-1)/(POWER(AM$5,$C$5-AM$8)-1))</x:f>
        <x:v>52.41036089406627</x:v>
      </x:c>
      <x:c r="AN277" t="n">
        <x:f>(((E277*'模块规划'!$D$10+G277*'模块规划'!$D$11+H277*'模块规划'!$D$13)*(1+'模块规划'!$G$14*H277)+(I277*'模块规划'!$D$15+J277*'模块规划'!$D$17+K277*'模块规划'!$D$16+L277*'模块规划'!$D$18))*(1+'模块规划'!$J$17*J277))*F277/(1-Q277)</x:f>
        <x:v>2949950.6012152615</x:v>
      </x:c>
      <x:c r="AO277" t="n">
        <x:f>AL277*AM277</x:f>
        <x:v>129620010.73953758</x:v>
      </x:c>
      <x:c r="AP277" t="n">
        <x:f>IF(AO277="","",INDEX('_曲线基线'!$A$3:$A$502,MIN(ROWS('_曲线基线'!$A$3:$A$502),COUNTIF('_曲线基线'!$E$3:$E$502,"&lt;"&amp;AO277)+1)))</x:f>
        <x:v>314</x:v>
      </x:c>
      <x:c r="AQ277" t="n">
        <x:f>IF(B277&lt;=2,1,IF(B277&lt;=6,2,IF(B277&lt;=9,3,IF(B277&lt;=19,4,5))))</x:f>
        <x:v>5</x:v>
      </x:c>
      <x:c r="AR277" t="n">
        <x:f>AN277*(1-Q277)/F277*$AS$3+U277*$AS$4+P277*$AS$5</x:f>
        <x:v>17997.380326071117</x:v>
      </x:c>
      <x:c r="AS277" t="n">
        <x:f>1+AH277*$AS$6+AI277*$AS$7+(AJ277-1)*$AS$8+($H$10*H277+$I$10*I277+$J$10*J277+$K$10*K277+$L$10*L277)*$AU$3*$AS$9+($H$10*H277+$I$10*I277+$J$10*J277+$K$10*K277+$L$10*L277)*$AU$4*$AS$10</x:f>
        <x:v>17.709276568017934</x:v>
      </x:c>
      <x:c r="AT277" t="n">
        <x:f>ROUND(AR277*AS277,0)</x:f>
        <x:v>318721</x:v>
      </x:c>
      <x:c r="AU277" t="n">
        <x:f>ROUND(AT277*F277,0)</x:f>
        <x:v>1593605</x:v>
      </x:c>
    </x:row>
    <x:row r="278">
      <x:c r="A278" t="str">
        <x:f>IFERROR(XLOOKUP(B278,'_曲线基线'!$G$3:$G$107,'_曲线基线'!$J$3:$J$107,""),"")</x:f>
      </x:c>
      <x:c r="B278" t="n">
        <x:v>267</x:v>
      </x:c>
      <x:c r="C278" t="n">
        <x:f>C263+1</x:f>
        <x:v>19</x:v>
      </x:c>
      <x:c r="D278" t="n">
        <x:f>D263</x:f>
        <x:v>3</x:v>
      </x:c>
      <x:c r="E278" t="n">
        <x:f>IF($B278&lt;E$8,0,E$3+(E$4-E$3)*(POWER(E$5,$B278-E$8)-1)/(POWER(E$5,$C$5-E$8)-1))</x:f>
        <x:v>1</x:v>
      </x:c>
      <x:c r="F278" t="n">
        <x:f>1+IF(B278&lt;3,0,MIN(1,(B278-2)/4))+IF(B278&lt;7,0,MIN(1,(B278-6)/3))+IF(B278&lt;10,0,MIN(1,(B278-9)/5))+IF(B278&lt;20,0,MIN(1,(B278-19)/10))</x:f>
        <x:v>5</x:v>
      </x:c>
      <x:c r="G278" t="n">
        <x:f>IF($B278&lt;G$8,0,G$3+(G$4-G$3)*(POWER(G$5,$B278-G$8)-1)/(POWER(G$5,$C$5-G$8)-1))</x:f>
        <x:v>0.8972798439500197</x:v>
      </x:c>
      <x:c r="H278" t="n">
        <x:f>IF($B278&lt;H$8,0,H$3+(H$4-H$3)*(POWER(H$5,$B278-H$8)-1)/(POWER(H$5,$C$5-H$8)-1))</x:f>
        <x:v>0.6990872227583065</x:v>
      </x:c>
      <x:c r="I278" t="n">
        <x:f>IF($B278&lt;I$8,0,I$3+(I$4-I$3)*(POWER(I$5,$B278-I$8)-1)/(POWER(I$5,$C$5-I$8)-1))</x:f>
        <x:v>0.6476530954571079</x:v>
      </x:c>
      <x:c r="J278" t="n">
        <x:f>IF($B278&lt;J$8,0,J$3+(J$4-J$3)*(POWER(J$5,$B278-J$8)-1)/(POWER(J$5,$C$5-J$8)-1))</x:f>
        <x:v>0.5989170978324176</x:v>
      </x:c>
      <x:c r="K278" t="n">
        <x:f>IF($B278&lt;K$8,0,K$3+(K$4-K$3)*(POWER(K$5,$B278-K$8)-1)/(POWER(K$5,$C$5-K$8)-1))</x:f>
        <x:v>0.6450737896714076</x:v>
      </x:c>
      <x:c r="L278" t="n">
        <x:f>IF($B278&lt;L$8,0,L$3+(L$4-L$3)*(POWER(L$5,$B278-L$8)-1)/(POWER(L$5,$C$5-L$8)-1))</x:f>
        <x:v>0.6990685042959246</x:v>
      </x:c>
      <x:c r="M278" t="n">
        <x:f>E278*'模块规划'!$F$10+G278*'模块规划'!$F$11+H278*'模块规划'!$F$13</x:f>
        <x:v>5306.943250960095</x:v>
      </x:c>
      <x:c r="N278" t="n">
        <x:f>I278*'模块规划'!$F$15+J278*'模块规划'!$F$17+K278*'模块规划'!$F$16+L278*'模块规划'!$F$18</x:f>
        <x:v>18536.18100148911</x:v>
      </x:c>
      <x:c r="O278" t="n">
        <x:f>1+O$9*SUMPRODUCT($H$10:$L$10,H278:L278)/SUM($H$10:$L$10)</x:f>
        <x:v>3.414149858181855</x:v>
      </x:c>
      <x:c r="P278" t="n">
        <x:f>M278*O278+N278</x:f>
        <x:v>36654.88054913367</x:v>
      </x:c>
      <x:c r="Q278" t="n">
        <x:f>P278/(P278+'_曲线基线'!$L$2)</x:f>
        <x:v>0.604318732759539</x:v>
      </x:c>
      <x:c r="R278" t="n">
        <x:f>E278*'模块规划'!$E$10+G278*'模块规划'!$E$11+H278*'模块规划'!$E$13</x:f>
        <x:v>7960.414876440142</x:v>
      </x:c>
      <x:c r="S278" t="n">
        <x:f>I278*'模块规划'!$E$15+J278*'模块规划'!$E$17+K278*'模块规划'!$E$16+L278*'模块规划'!$E$18</x:f>
        <x:v>27804.27150223366</x:v>
      </x:c>
      <x:c r="T278" t="n">
        <x:f>1+T$9*SUMPRODUCT($H$10:$L$10,H278:L278)/SUM($H$10:$L$10)</x:f>
        <x:v>3.414149858181855</x:v>
      </x:c>
      <x:c r="U278" t="n">
        <x:f>R278*T278+S278</x:f>
        <x:v>54982.3208237005</x:v>
      </x:c>
      <x:c r="V278" t="n">
        <x:f>V$8+(V$9-V$8)*H278</x:f>
        <x:v>0.909726166827492</x:v>
      </x:c>
      <x:c r="W278" t="n">
        <x:f>IF(B278&lt;$H$8,0,W$8+(W$9-W$8)*H278)</x:f>
        <x:v>0.2796348891033226</x:v>
      </x:c>
      <x:c r="X278" t="n">
        <x:f>X$8+(X$9-X$8)*H278</x:f>
        <x:v>0.4672489862585343</x:v>
      </x:c>
      <x:c r="Y278" t="n">
        <x:f>Y$8+(Y$9-Y$8)*G278</x:f>
        <x:v>1</x:v>
      </x:c>
      <x:c r="Z278" t="n">
        <x:f>Z$8+(Z$9-Z$8)*H278</x:f>
        <x:v>1</x:v>
      </x:c>
      <x:c r="AA278" t="n">
        <x:f>AA$8+(AA$9-AA$8)*I278</x:f>
        <x:v>1</x:v>
      </x:c>
      <x:c r="AB278" t="n">
        <x:f>AB$8+(AB$9-AB$8)*J278</x:f>
        <x:v>1</x:v>
      </x:c>
      <x:c r="AC278" t="n">
        <x:f>AC$8+(AC$9-AC$8)*MAX(K278,L278)</x:f>
        <x:v>1</x:v>
      </x:c>
      <x:c r="AD278" t="n">
        <x:f>(V278*AE278+W278*AF278+X278*AG278)*PRODUCT(Y278:AC278)</x:f>
        <x:v>1.8926293110414454</x:v>
      </x:c>
      <x:c r="AE278" t="n">
        <x:f>1+AE$9*($H$10*H278+$I$10*I278+$J$10*J278+$K$10*K278+$L$10*L278)</x:f>
        <x:v>1</x:v>
      </x:c>
      <x:c r="AF278" t="n">
        <x:f>1+AF$9*($H$10*H278+$I$10*I278+$J$10*J278+$K$10*K278+$L$10*L278)</x:f>
        <x:v>1.2130707162281962</x:v>
      </x:c>
      <x:c r="AG278" t="n">
        <x:f>1+AG$9*($H$10*H278+$I$10*I278+$J$10*J278+$K$10*K278+$L$10*L278)</x:f>
        <x:v>1.3776086582044174</x:v>
      </x:c>
      <x:c r="AH278" t="n">
        <x:f>MIN(1,'_曲线基线'!$L$3+AH$9*($H$10*H278+$I$10*I278+$J$10*J278+$K$10*K278+$L$10*L278))</x:f>
        <x:v>0.534735879419146</x:v>
      </x:c>
      <x:c r="AI278" t="n">
        <x:f>'_曲线基线'!$L$4+AI$9*($H$10*H278+$I$10*I278+$J$10*J278+$K$10*K278+$L$10*L278)</x:f>
        <x:v>3.3503356640961925</x:v>
      </x:c>
      <x:c r="AJ278" t="n">
        <x:f>1+AJ$9*($H$10*H278+$I$10*I278+$J$10*J278+$K$10*K278+$L$10*L278)</x:f>
        <x:v>2.1079677243866195</x:v>
      </x:c>
      <x:c r="AK278" t="n">
        <x:f>(1+AH278*(AI278-1))*AJ278</x:f>
        <x:v>4.757280127945982</x:v>
      </x:c>
      <x:c r="AL278" t="n">
        <x:f>U278*AD278*AK278*F278</x:f>
        <x:v>2475240.2520285794</x:v>
      </x:c>
      <x:c r="AM278" t="n">
        <x:f>IF($B278&lt;AM$8,0,AM$3+(AM$4-AM$3)*(POWER(AM$5,$B278-AM$8)-1)/(POWER(AM$5,$C$5-AM$8)-1))</x:f>
        <x:v>52.59788914292881</x:v>
      </x:c>
      <x:c r="AN278" t="n">
        <x:f>(((E278*'模块规划'!$D$10+G278*'模块规划'!$D$11+H278*'模块规划'!$D$13)*(1+'模块规划'!$G$14*H278)+(I278*'模块规划'!$D$15+J278*'模块规划'!$D$17+K278*'模块规划'!$D$16+L278*'模块规划'!$D$18))*(1+'模块规划'!$J$17*J278))*F278/(1-Q278)</x:f>
        <x:v>2951741.7156240977</x:v>
      </x:c>
      <x:c r="AO278" t="n">
        <x:f>AL278*AM278</x:f>
        <x:v>130192412.37831438</x:v>
      </x:c>
      <x:c r="AP278" t="n">
        <x:f>IF(AO278="","",INDEX('_曲线基线'!$A$3:$A$502,MIN(ROWS('_曲线基线'!$A$3:$A$502),COUNTIF('_曲线基线'!$E$3:$E$502,"&lt;"&amp;AO278)+1)))</x:f>
        <x:v>314</x:v>
      </x:c>
      <x:c r="AQ278" t="n">
        <x:f>IF(B278&lt;=2,1,IF(B278&lt;=6,2,IF(B278&lt;=9,3,IF(B278&lt;=19,4,5))))</x:f>
        <x:v>5</x:v>
      </x:c>
      <x:c r="AR278" t="n">
        <x:f>AN278*(1-Q278)/F278*$AS$3+U278*$AS$4+P278*$AS$5</x:f>
        <x:v>18004.157580368155</x:v>
      </x:c>
      <x:c r="AS278" t="n">
        <x:f>1+AH278*$AS$6+AI278*$AS$7+(AJ278-1)*$AS$8+($H$10*H278+$I$10*I278+$J$10*J278+$K$10*K278+$L$10*L278)*$AU$3*$AS$9+($H$10*H278+$I$10*I278+$J$10*J278+$K$10*K278+$L$10*L278)*$AU$4*$AS$10</x:f>
        <x:v>17.712797396236027</x:v>
      </x:c>
      <x:c r="AT278" t="n">
        <x:f>ROUND(AR278*AS278,0)</x:f>
        <x:v>318904</x:v>
      </x:c>
      <x:c r="AU278" t="n">
        <x:f>ROUND(AT278*F278,0)</x:f>
        <x:v>1594520</x:v>
      </x:c>
    </x:row>
    <x:row r="279">
      <x:c r="A279" t="str">
        <x:f>IFERROR(XLOOKUP(B279,'_曲线基线'!$G$3:$G$107,'_曲线基线'!$J$3:$J$107,""),"")</x:f>
      </x:c>
      <x:c r="B279" t="n">
        <x:v>268</x:v>
      </x:c>
      <x:c r="C279" t="n">
        <x:f>C264+1</x:f>
        <x:v>19</x:v>
      </x:c>
      <x:c r="D279" t="n">
        <x:f>D264</x:f>
        <x:v>4</x:v>
      </x:c>
      <x:c r="E279" t="n">
        <x:f>IF($B279&lt;E$8,0,E$3+(E$4-E$3)*(POWER(E$5,$B279-E$8)-1)/(POWER(E$5,$C$5-E$8)-1))</x:f>
        <x:v>1</x:v>
      </x:c>
      <x:c r="F279" t="n">
        <x:f>1+IF(B279&lt;3,0,MIN(1,(B279-2)/4))+IF(B279&lt;7,0,MIN(1,(B279-6)/3))+IF(B279&lt;10,0,MIN(1,(B279-9)/5))+IF(B279&lt;20,0,MIN(1,(B279-19)/10))</x:f>
        <x:v>5</x:v>
      </x:c>
      <x:c r="G279" t="n">
        <x:f>IF($B279&lt;G$8,0,G$3+(G$4-G$3)*(POWER(G$5,$B279-G$8)-1)/(POWER(G$5,$C$5-G$8)-1))</x:f>
        <x:v>0.8975258367452653</x:v>
      </x:c>
      <x:c r="H279" t="n">
        <x:f>IF($B279&lt;H$8,0,H$3+(H$4-H$3)*(POWER(H$5,$B279-H$8)-1)/(POWER(H$5,$C$5-H$8)-1))</x:f>
        <x:v>0.6991720205426517</x:v>
      </x:c>
      <x:c r="I279" t="n">
        <x:f>IF($B279&lt;I$8,0,I$3+(I$4-I$3)*(POWER(I$5,$B279-I$8)-1)/(POWER(I$5,$C$5-I$8)-1))</x:f>
        <x:v>0.6478711248910339</x:v>
      </x:c>
      <x:c r="J279" t="n">
        <x:f>IF($B279&lt;J$8,0,J$3+(J$4-J$3)*(POWER(J$5,$B279-J$8)-1)/(POWER(J$5,$C$5-J$8)-1))</x:f>
        <x:v>0.5990177003674931</x:v>
      </x:c>
      <x:c r="K279" t="n">
        <x:f>IF($B279&lt;K$8,0,K$3+(K$4-K$3)*(POWER(K$5,$B279-K$8)-1)/(POWER(K$5,$C$5-K$8)-1))</x:f>
        <x:v>0.645531438812953</x:v>
      </x:c>
      <x:c r="L279" t="n">
        <x:f>IF($B279&lt;L$8,0,L$3+(L$4-L$3)*(POWER(L$5,$B279-L$8)-1)/(POWER(L$5,$C$5-L$8)-1))</x:f>
        <x:v>0.6991550410413917</x:v>
      </x:c>
      <x:c r="M279" t="n">
        <x:f>E279*'模块规划'!$F$10+G279*'模块规划'!$F$11+H279*'模块规划'!$F$13</x:f>
        <x:v>5308.124016377274</x:v>
      </x:c>
      <x:c r="N279" t="n">
        <x:f>I279*'模块规划'!$F$15+J279*'模块规划'!$F$17+K279*'模块规划'!$F$16+L279*'模块规划'!$F$18</x:f>
        <x:v>18542.10984088788</x:v>
      </x:c>
      <x:c r="O279" t="n">
        <x:f>1+O$9*SUMPRODUCT($H$10:$L$10,H279:L279)/SUM($H$10:$L$10)</x:f>
        <x:v>3.4148041405293545</x:v>
      </x:c>
      <x:c r="P279" t="n">
        <x:f>M279*O279+N279</x:f>
        <x:v>36668.3137104563</x:v>
      </x:c>
      <x:c r="Q279" t="n">
        <x:f>P279/(P279+'_曲线基线'!$L$2)</x:f>
        <x:v>0.6044063443968188</x:v>
      </x:c>
      <x:c r="R279" t="n">
        <x:f>E279*'模块规划'!$E$10+G279*'模块规划'!$E$11+H279*'模块规划'!$E$13</x:f>
        <x:v>7962.18602456591</x:v>
      </x:c>
      <x:c r="S279" t="n">
        <x:f>I279*'模块规划'!$E$15+J279*'模块规划'!$E$17+K279*'模块规划'!$E$16+L279*'模块规划'!$E$18</x:f>
        <x:v>27813.16476133182</x:v>
      </x:c>
      <x:c r="T279" t="n">
        <x:f>1+T$9*SUMPRODUCT($H$10:$L$10,H279:L279)/SUM($H$10:$L$10)</x:f>
        <x:v>3.4148041405293545</x:v>
      </x:c>
      <x:c r="U279" t="n">
        <x:f>R279*T279+S279</x:f>
        <x:v>55002.470565684445</x:v>
      </x:c>
      <x:c r="V279" t="n">
        <x:f>V$8+(V$9-V$8)*H279</x:f>
        <x:v>0.9097516061627955</x:v>
      </x:c>
      <x:c r="W279" t="n">
        <x:f>IF(B279&lt;$H$8,0,W$8+(W$9-W$8)*H279)</x:f>
        <x:v>0.2796688082170607</x:v>
      </x:c>
      <x:c r="X279" t="n">
        <x:f>X$8+(X$9-X$8)*H279</x:f>
        <x:v>0.4672723056492293</x:v>
      </x:c>
      <x:c r="Y279" t="n">
        <x:f>Y$8+(Y$9-Y$8)*G279</x:f>
        <x:v>1</x:v>
      </x:c>
      <x:c r="Z279" t="n">
        <x:f>Z$8+(Z$9-Z$8)*H279</x:f>
        <x:v>1</x:v>
      </x:c>
      <x:c r="AA279" t="n">
        <x:f>AA$8+(AA$9-AA$8)*I279</x:f>
        <x:v>1</x:v>
      </x:c>
      <x:c r="AB279" t="n">
        <x:f>AB$8+(AB$9-AB$8)*J279</x:f>
        <x:v>1</x:v>
      </x:c>
      <x:c r="AC279" t="n">
        <x:f>AC$8+(AC$9-AC$8)*MAX(K279,L279)</x:f>
        <x:v>1</x:v>
      </x:c>
      <x:c r="AD279" t="n">
        <x:f>(V279*AE279+W279*AF279+X279*AG279)*PRODUCT(Y279:AC279)</x:f>
        <x:v>1.8927919918888296</x:v>
      </x:c>
      <x:c r="AE279" t="n">
        <x:f>1+AE$9*($H$10*H279+$I$10*I279+$J$10*J279+$K$10*K279+$L$10*L279)</x:f>
        <x:v>1</x:v>
      </x:c>
      <x:c r="AF279" t="n">
        <x:f>1+AF$9*($H$10*H279+$I$10*I279+$J$10*J279+$K$10*K279+$L$10*L279)</x:f>
        <x:v>1.213128462605425</x:v>
      </x:c>
      <x:c r="AG279" t="n">
        <x:f>1+AG$9*($H$10*H279+$I$10*I279+$J$10*J279+$K$10*K279+$L$10*L279)</x:f>
        <x:v>1.377710997617395</x:v>
      </x:c>
      <x:c r="AH279" t="n">
        <x:f>MIN(1,'_曲线基线'!$L$3+AH$9*($H$10*H279+$I$10*I279+$J$10*J279+$K$10*K279+$L$10*L279))</x:f>
        <x:v>0.5348672524273413</x:v>
      </x:c>
      <x:c r="AI279" t="n">
        <x:f>'_曲线基线'!$L$4+AI$9*($H$10*H279+$I$10*I279+$J$10*J279+$K$10*K279+$L$10*L279)</x:f>
        <x:v>3.350701631761879</x:v>
      </x:c>
      <x:c r="AJ279" t="n">
        <x:f>1+AJ$9*($H$10*H279+$I$10*I279+$J$10*J279+$K$10*K279+$L$10*L279)</x:f>
        <x:v>2.108268005548209</x:v>
      </x:c>
      <x:c r="AK279" t="n">
        <x:f>(1+AH279*(AI279-1))*AJ279</x:f>
        <x:v>4.759021457498664</x:v>
      </x:c>
      <x:c r="AL279" t="n">
        <x:f>U279*AD279*AK279*F279</x:f>
        <x:v>2477266.6408682712</x:v>
      </x:c>
      <x:c r="AM279" t="n">
        <x:f>IF($B279&lt;AM$8,0,AM$3+(AM$4-AM$3)*(POWER(AM$5,$B279-AM$8)-1)/(POWER(AM$5,$C$5-AM$8)-1))</x:f>
        <x:v>52.78729267427997</x:v>
      </x:c>
      <x:c r="AN279" t="n">
        <x:f>(((E279*'模块规划'!$D$10+G279*'模块规划'!$D$11+H279*'模块规划'!$D$13)*(1+'模块规划'!$G$14*H279)+(I279*'模块规划'!$D$15+J279*'模块规划'!$D$17+K279*'模块规划'!$D$16+L279*'模块规划'!$D$18))*(1+'模块规划'!$J$17*J279))*F279/(1-Q279)</x:f>
        <x:v>2953499.779990003</x:v>
      </x:c>
      <x:c r="AO279" t="n">
        <x:f>AL279*AM279</x:f>
        <x:v>130768199.20374385</x:v>
      </x:c>
      <x:c r="AP279" t="n">
        <x:f>IF(AO279="","",INDEX('_曲线基线'!$A$3:$A$502,MIN(ROWS('_曲线基线'!$A$3:$A$502),COUNTIF('_曲线基线'!$E$3:$E$502,"&lt;"&amp;AO279)+1)))</x:f>
        <x:v>315</x:v>
      </x:c>
      <x:c r="AQ279" t="n">
        <x:f>IF(B279&lt;=2,1,IF(B279&lt;=6,2,IF(B279&lt;=9,3,IF(B279&lt;=19,4,5))))</x:f>
        <x:v>5</x:v>
      </x:c>
      <x:c r="AR279" t="n">
        <x:f>AN279*(1-Q279)/F279*$AS$3+U279*$AS$4+P279*$AS$5</x:f>
        <x:v>18010.808761873508</x:v>
      </x:c>
      <x:c r="AS279" t="n">
        <x:f>1+AH279*$AS$6+AI279*$AS$7+(AJ279-1)*$AS$8+($H$10*H279+$I$10*I279+$J$10*J279+$K$10*K279+$L$10*L279)*$AU$3*$AS$9+($H$10*H279+$I$10*I279+$J$10*J279+$K$10*K279+$L$10*L279)*$AU$4*$AS$10</x:f>
        <x:v>17.716247807889765</x:v>
      </x:c>
      <x:c r="AT279" t="n">
        <x:f>ROUND(AR279*AS279,0)</x:f>
        <x:v>319084</x:v>
      </x:c>
      <x:c r="AU279" t="n">
        <x:f>ROUND(AT279*F279,0)</x:f>
        <x:v>1595420</x:v>
      </x:c>
    </x:row>
    <x:row r="280">
      <x:c r="A280" t="str">
        <x:f>IFERROR(XLOOKUP(B280,'_曲线基线'!$G$3:$G$107,'_曲线基线'!$J$3:$J$107,""),"")</x:f>
      </x:c>
      <x:c r="B280" t="n">
        <x:v>269</x:v>
      </x:c>
      <x:c r="C280" t="n">
        <x:f>C265+1</x:f>
        <x:v>19</x:v>
      </x:c>
      <x:c r="D280" t="n">
        <x:f>D265</x:f>
        <x:v>5</x:v>
      </x:c>
      <x:c r="E280" t="n">
        <x:f>IF($B280&lt;E$8,0,E$3+(E$4-E$3)*(POWER(E$5,$B280-E$8)-1)/(POWER(E$5,$C$5-E$8)-1))</x:f>
        <x:v>1</x:v>
      </x:c>
      <x:c r="F280" t="n">
        <x:f>1+IF(B280&lt;3,0,MIN(1,(B280-2)/4))+IF(B280&lt;7,0,MIN(1,(B280-6)/3))+IF(B280&lt;10,0,MIN(1,(B280-9)/5))+IF(B280&lt;20,0,MIN(1,(B280-19)/10))</x:f>
        <x:v>5</x:v>
      </x:c>
      <x:c r="G280" t="n">
        <x:f>IF($B280&lt;G$8,0,G$3+(G$4-G$3)*(POWER(G$5,$B280-G$8)-1)/(POWER(G$5,$C$5-G$8)-1))</x:f>
        <x:v>0.8977681396485822</x:v>
      </x:c>
      <x:c r="H280" t="n">
        <x:f>IF($B280&lt;H$8,0,H$3+(H$4-H$3)*(POWER(H$5,$B280-H$8)-1)/(POWER(H$5,$C$5-H$8)-1))</x:f>
        <x:v>0.69925512237131</x:v>
      </x:c>
      <x:c r="I280" t="n">
        <x:f>IF($B280&lt;I$8,0,I$3+(I$4-I$3)*(POWER(I$5,$B280-I$8)-1)/(POWER(I$5,$C$5-I$8)-1))</x:f>
        <x:v>0.6480847937362814</x:v>
      </x:c>
      <x:c r="J280" t="n">
        <x:f>IF($B280&lt;J$8,0,J$3+(J$4-J$3)*(POWER(J$5,$B280-J$8)-1)/(POWER(J$5,$C$5-J$8)-1))</x:f>
        <x:v>0.5991162908518671</x:v>
      </x:c>
      <x:c r="K280" t="n">
        <x:f>IF($B280&lt;K$8,0,K$3+(K$4-K$3)*(POWER(K$5,$B280-K$8)-1)/(POWER(K$5,$C$5-K$8)-1))</x:f>
        <x:v>0.6459799349716675</x:v>
      </x:c>
      <x:c r="L280" t="n">
        <x:f>IF($B280&lt;L$8,0,L$3+(L$4-L$3)*(POWER(L$5,$B280-L$8)-1)/(POWER(L$5,$C$5-L$8)-1))</x:f>
        <x:v>0.6992398470519496</x:v>
      </x:c>
      <x:c r="M280" t="n">
        <x:f>E280*'模块规划'!$F$10+G280*'模块规划'!$F$11+H280*'模块规划'!$F$13</x:f>
        <x:v>5309.287070313194</x:v>
      </x:c>
      <x:c r="N280" t="n">
        <x:f>I280*'模块规划'!$F$15+J280*'模块规划'!$F$17+K280*'模块规划'!$F$16+L280*'模块规划'!$F$18</x:f>
        <x:v>18547.920103498676</x:v>
      </x:c>
      <x:c r="O280" t="n">
        <x:f>1+O$9*SUMPRODUCT($H$10:$L$10,H280:L280)/SUM($H$10:$L$10)</x:f>
        <x:v>3.415445337229903</x:v>
      </x:c>
      <x:c r="P280" t="n">
        <x:f>M280*O280+N280</x:f>
        <x:v>36681.499871814885</x:v>
      </x:c>
      <x:c r="Q280" t="n">
        <x:f>P280/(P280+'_曲线基线'!$L$2)</x:f>
        <x:v>0.6044923073638885</x:v>
      </x:c>
      <x:c r="R280" t="n">
        <x:f>E280*'模块规划'!$E$10+G280*'模块规划'!$E$11+H280*'模块规划'!$E$13</x:f>
        <x:v>7963.930605469792</x:v>
      </x:c>
      <x:c r="S280" t="n">
        <x:f>I280*'模块规划'!$E$15+J280*'模块规划'!$E$17+K280*'模块规划'!$E$16+L280*'模块规划'!$E$18</x:f>
        <x:v>27821.880155248014</x:v>
      </x:c>
      <x:c r="T280" t="n">
        <x:f>1+T$9*SUMPRODUCT($H$10:$L$10,H280:L280)/SUM($H$10:$L$10)</x:f>
        <x:v>3.415445337229903</x:v>
      </x:c>
      <x:c r="U280" t="n">
        <x:f>R280*T280+S280</x:f>
        <x:v>55022.249807722335</x:v>
      </x:c>
      <x:c r="V280" t="n">
        <x:f>V$8+(V$9-V$8)*H280</x:f>
        <x:v>0.909776536711393</x:v>
      </x:c>
      <x:c r="W280" t="n">
        <x:f>IF(B280&lt;$H$8,0,W$8+(W$9-W$8)*H280)</x:f>
        <x:v>0.279702048948524</x:v>
      </x:c>
      <x:c r="X280" t="n">
        <x:f>X$8+(X$9-X$8)*H280</x:f>
        <x:v>0.4672951586521103</x:v>
      </x:c>
      <x:c r="Y280" t="n">
        <x:f>Y$8+(Y$9-Y$8)*G280</x:f>
        <x:v>1</x:v>
      </x:c>
      <x:c r="Z280" t="n">
        <x:f>Z$8+(Z$9-Z$8)*H280</x:f>
        <x:v>1</x:v>
      </x:c>
      <x:c r="AA280" t="n">
        <x:f>AA$8+(AA$9-AA$8)*I280</x:f>
        <x:v>1</x:v>
      </x:c>
      <x:c r="AB280" t="n">
        <x:f>AB$8+(AB$9-AB$8)*J280</x:f>
        <x:v>1</x:v>
      </x:c>
      <x:c r="AC280" t="n">
        <x:f>AC$8+(AC$9-AC$8)*MAX(K280,L280)</x:f>
        <x:v>1</x:v>
      </x:c>
      <x:c r="AD280" t="n">
        <x:f>(V280*AE280+W280*AF280+X280*AG280)*PRODUCT(Y280:AC280)</x:f>
        <x:v>1.89295142755069</x:v>
      </x:c>
      <x:c r="AE280" t="n">
        <x:f>1+AE$9*($H$10*H280+$I$10*I280+$J$10*J280+$K$10*K280+$L$10*L280)</x:f>
        <x:v>1</x:v>
      </x:c>
      <x:c r="AF280" t="n">
        <x:f>1+AF$9*($H$10*H280+$I$10*I280+$J$10*J280+$K$10*K280+$L$10*L280)</x:f>
        <x:v>1.213185054055109</x:v>
      </x:c>
      <x:c r="AG280" t="n">
        <x:f>1+AG$9*($H$10*H280+$I$10*I280+$J$10*J280+$K$10*K280+$L$10*L280)</x:f>
        <x:v>1.377811290242113</x:v>
      </x:c>
      <x:c r="AH280" t="n">
        <x:f>MIN(1,'_曲线基线'!$L$3+AH$9*($H$10*H280+$I$10*I280+$J$10*J280+$K$10*K280+$L$10*L280))</x:f>
        <x:v>0.5349959979753726</x:v>
      </x:c>
      <x:c r="AI280" t="n">
        <x:f>'_曲线基线'!$L$4+AI$9*($H$10*H280+$I$10*I280+$J$10*J280+$K$10*K280+$L$10*L280)</x:f>
        <x:v>3.351060280074252</x:v>
      </x:c>
      <x:c r="AJ280" t="n">
        <x:f>1+AJ$9*($H$10*H280+$I$10*I280+$J$10*J280+$K$10*K280+$L$10*L280)</x:f>
        <x:v>2.1085622810865656</x:v>
      </x:c>
      <x:c r="AK280" t="n">
        <x:f>(1+AH280*(AI280-1))*AJ280</x:f>
        <x:v>4.760728451133737</x:v>
      </x:c>
      <x:c r="AL280" t="n">
        <x:f>U280*AD280*AK280*F280</x:f>
        <x:v>2479255.179552302</x:v>
      </x:c>
      <x:c r="AM280" t="n">
        <x:f>IF($B280&lt;AM$8,0,AM$3+(AM$4-AM$3)*(POWER(AM$5,$B280-AM$8)-1)/(POWER(AM$5,$C$5-AM$8)-1))</x:f>
        <x:v>52.978590240944634</x:v>
      </x:c>
      <x:c r="AN280" t="n">
        <x:f>(((E280*'模块规划'!$D$10+G280*'模块规划'!$D$11+H280*'模块规划'!$D$13)*(1+'模块规划'!$G$14*H280)+(I280*'模块规划'!$D$15+J280*'模块规划'!$D$17+K280*'模块规划'!$D$16+L280*'模块规划'!$D$18))*(1+'模块规划'!$J$17*J280))*F280/(1-Q280)</x:f>
        <x:v>2955225.398998774</x:v>
      </x:c>
      <x:c r="AO280" t="n">
        <x:f>AL280*AM280</x:f>
        <x:v>131347444.26024103</x:v>
      </x:c>
      <x:c r="AP280" t="n">
        <x:f>IF(AO280="","",INDEX('_曲线基线'!$A$3:$A$502,MIN(ROWS('_曲线基线'!$A$3:$A$502),COUNTIF('_曲线基线'!$E$3:$E$502,"&lt;"&amp;AO280)+1)))</x:f>
        <x:v>315</x:v>
      </x:c>
      <x:c r="AQ280" t="n">
        <x:f>IF(B280&lt;=2,1,IF(B280&lt;=6,2,IF(B280&lt;=9,3,IF(B280&lt;=19,4,5))))</x:f>
        <x:v>5</x:v>
      </x:c>
      <x:c r="AR280" t="n">
        <x:f>AN280*(1-Q280)/F280*$AS$3+U280*$AS$4+P280*$AS$5</x:f>
        <x:v>18017.33623421029</x:v>
      </x:c>
      <x:c r="AS280" t="n">
        <x:f>1+AH280*$AS$6+AI280*$AS$7+(AJ280-1)*$AS$8+($H$10*H280+$I$10*I280+$J$10*J280+$K$10*K280+$L$10*L280)*$AU$3*$AS$9+($H$10*H280+$I$10*I280+$J$10*J280+$K$10*K280+$L$10*L280)*$AU$4*$AS$10</x:f>
        <x:v>17.71962921131042</x:v>
      </x:c>
      <x:c r="AT280" t="n">
        <x:f>ROUND(AR280*AS280,0)</x:f>
        <x:v>319261</x:v>
      </x:c>
      <x:c r="AU280" t="n">
        <x:f>ROUND(AT280*F280,0)</x:f>
        <x:v>1596305</x:v>
      </x:c>
    </x:row>
    <x:row r="281">
      <x:c r="A281" t="str">
        <x:f>IFERROR(XLOOKUP(B281,'_曲线基线'!$G$3:$G$107,'_曲线基线'!$J$3:$J$107,""),"")</x:f>
      </x:c>
      <x:c r="B281" t="n">
        <x:v>270</x:v>
      </x:c>
      <x:c r="C281" t="n">
        <x:f>C266+1</x:f>
        <x:v>19</x:v>
      </x:c>
      <x:c r="D281" t="n">
        <x:f>D266</x:f>
        <x:v>6</x:v>
      </x:c>
      <x:c r="E281" t="n">
        <x:f>IF($B281&lt;E$8,0,E$3+(E$4-E$3)*(POWER(E$5,$B281-E$8)-1)/(POWER(E$5,$C$5-E$8)-1))</x:f>
        <x:v>1</x:v>
      </x:c>
      <x:c r="F281" t="n">
        <x:f>1+IF(B281&lt;3,0,MIN(1,(B281-2)/4))+IF(B281&lt;7,0,MIN(1,(B281-6)/3))+IF(B281&lt;10,0,MIN(1,(B281-9)/5))+IF(B281&lt;20,0,MIN(1,(B281-19)/10))</x:f>
        <x:v>5</x:v>
      </x:c>
      <x:c r="G281" t="n">
        <x:f>IF($B281&lt;G$8,0,G$3+(G$4-G$3)*(POWER(G$5,$B281-G$8)-1)/(POWER(G$5,$C$5-G$8)-1))</x:f>
        <x:v>0.8980068080083492</x:v>
      </x:c>
      <x:c r="H281" t="n">
        <x:f>IF($B281&lt;H$8,0,H$3+(H$4-H$3)*(POWER(H$5,$B281-H$8)-1)/(POWER(H$5,$C$5-H$8)-1))</x:f>
        <x:v>0.6993365621633951</x:v>
      </x:c>
      <x:c r="I281" t="n">
        <x:f>IF($B281&lt;I$8,0,I$3+(I$4-I$3)*(POWER(I$5,$B281-I$8)-1)/(POWER(I$5,$C$5-I$8)-1))</x:f>
        <x:v>0.648294189204624</x:v>
      </x:c>
      <x:c r="J281" t="n">
        <x:f>IF($B281&lt;J$8,0,J$3+(J$4-J$3)*(POWER(J$5,$B281-J$8)-1)/(POWER(J$5,$C$5-J$8)-1))</x:f>
        <x:v>0.5992129095265537</x:v>
      </x:c>
      <x:c r="K281" t="n">
        <x:f>IF($B281&lt;K$8,0,K$3+(K$4-K$3)*(POWER(K$5,$B281-K$8)-1)/(POWER(K$5,$C$5-K$8)-1))</x:f>
        <x:v>0.6464194612072076</x:v>
      </x:c>
      <x:c r="L281" t="n">
        <x:f>IF($B281&lt;L$8,0,L$3+(L$4-L$3)*(POWER(L$5,$B281-L$8)-1)/(POWER(L$5,$C$5-L$8)-1))</x:f>
        <x:v>0.6993229569422963</x:v>
      </x:c>
      <x:c r="M281" t="n">
        <x:f>E281*'模块规划'!$F$10+G281*'模块规划'!$F$11+H281*'模块规划'!$F$13</x:f>
        <x:v>5310.432678440076</x:v>
      </x:c>
      <x:c r="N281" t="n">
        <x:f>I281*'模块规划'!$F$15+J281*'模块规划'!$F$17+K281*'模块规划'!$F$16+L281*'模块规划'!$F$18</x:f>
        <x:v>18553.614160857258</x:v>
      </x:c>
      <x:c r="O281" t="n">
        <x:f>1+O$9*SUMPRODUCT($H$10:$L$10,H281:L281)/SUM($H$10:$L$10)</x:f>
        <x:v>3.4160737099964416</x:v>
      </x:c>
      <x:c r="P281" t="n">
        <x:f>M281*O281+N281</x:f>
        <x:v>36694.44362238239</x:v>
      </x:c>
      <x:c r="Q281" t="n">
        <x:f>P281/(P281+'_曲线基线'!$L$2)</x:f>
        <x:v>0.6045766536831803</x:v>
      </x:c>
      <x:c r="R281" t="n">
        <x:f>E281*'模块规划'!$E$10+G281*'模块规划'!$E$11+H281*'模块规划'!$E$13</x:f>
        <x:v>7965.649017660115</x:v>
      </x:c>
      <x:c r="S281" t="n">
        <x:f>I281*'模块规划'!$E$15+J281*'模块规划'!$E$17+K281*'模块规划'!$E$16+L281*'模块规划'!$E$18</x:f>
        <x:v>27830.421241285887</x:v>
      </x:c>
      <x:c r="T281" t="n">
        <x:f>1+T$9*SUMPRODUCT($H$10:$L$10,H281:L281)/SUM($H$10:$L$10)</x:f>
        <x:v>3.4160737099964416</x:v>
      </x:c>
      <x:c r="U281" t="n">
        <x:f>R281*T281+S281</x:f>
        <x:v>55041.66543357358</x:v>
      </x:c>
      <x:c r="V281" t="n">
        <x:f>V$8+(V$9-V$8)*H281</x:f>
        <x:v>0.9098009686490185</x:v>
      </x:c>
      <x:c r="W281" t="n">
        <x:f>IF(B281&lt;$H$8,0,W$8+(W$9-W$8)*H281)</x:f>
        <x:v>0.27973462486535805</x:v>
      </x:c>
      <x:c r="X281" t="n">
        <x:f>X$8+(X$9-X$8)*H281</x:f>
        <x:v>0.46731755459493374</x:v>
      </x:c>
      <x:c r="Y281" t="n">
        <x:f>Y$8+(Y$9-Y$8)*G281</x:f>
        <x:v>1</x:v>
      </x:c>
      <x:c r="Z281" t="n">
        <x:f>Z$8+(Z$9-Z$8)*H281</x:f>
        <x:v>1</x:v>
      </x:c>
      <x:c r="AA281" t="n">
        <x:f>AA$8+(AA$9-AA$8)*I281</x:f>
        <x:v>1</x:v>
      </x:c>
      <x:c r="AB281" t="n">
        <x:f>AB$8+(AB$9-AB$8)*J281</x:f>
        <x:v>1</x:v>
      </x:c>
      <x:c r="AC281" t="n">
        <x:f>AC$8+(AC$9-AC$8)*MAX(K281,L281)</x:f>
        <x:v>1</x:v>
      </x:c>
      <x:c r="AD281" t="n">
        <x:f>(V281*AE281+W281*AF281+X281*AG281)*PRODUCT(Y281:AC281)</x:f>
        <x:v>1.8931076825968518</x:v>
      </x:c>
      <x:c r="AE281" t="n">
        <x:f>1+AE$9*($H$10*H281+$I$10*I281+$J$10*J281+$K$10*K281+$L$10*L281)</x:f>
        <x:v>1</x:v>
      </x:c>
      <x:c r="AF281" t="n">
        <x:f>1+AF$9*($H$10*H281+$I$10*I281+$J$10*J281+$K$10*K281+$L$10*L281)</x:f>
        <x:v>1.2132405136757995</x:v>
      </x:c>
      <x:c r="AG281" t="n">
        <x:f>1+AG$9*($H$10*H281+$I$10*I281+$J$10*J281+$K$10*K281+$L$10*L281)</x:f>
        <x:v>1.3779095770143364</x:v>
      </x:c>
      <x:c r="AH281" t="n">
        <x:f>MIN(1,'_曲线基线'!$L$3+AH$9*($H$10*H281+$I$10*I281+$J$10*J281+$K$10*K281+$L$10*L281))</x:f>
        <x:v>0.5351221686124432</x:v>
      </x:c>
      <x:c r="AI281" t="n">
        <x:f>'_曲线基线'!$L$4+AI$9*($H$10*H281+$I$10*I281+$J$10*J281+$K$10*K281+$L$10*L281)</x:f>
        <x:v>3.3514117554203775</x:v>
      </x:c>
      <x:c r="AJ281" t="n">
        <x:f>1+AJ$9*($H$10*H281+$I$10*I281+$J$10*J281+$K$10*K281+$L$10*L281)</x:f>
        <x:v>2.108850671114156</x:v>
      </x:c>
      <x:c r="AK281" t="n">
        <x:f>(1+AH281*(AI281-1))*AJ281</x:f>
        <x:v>4.762401776218001</x:v>
      </x:c>
      <x:c r="AL281" t="n">
        <x:f>U281*AD281*AK281*F281</x:f>
        <x:v>2481206.555750467</x:v>
      </x:c>
      <x:c r="AM281" t="n">
        <x:f>IF($B281&lt;AM$8,0,AM$3+(AM$4-AM$3)*(POWER(AM$5,$B281-AM$8)-1)/(POWER(AM$5,$C$5-AM$8)-1))</x:f>
        <x:v>53.17180078327594</x:v>
      </x:c>
      <x:c r="AN281" t="n">
        <x:f>(((E281*'模块规划'!$D$10+G281*'模块规划'!$D$11+H281*'模块规划'!$D$13)*(1+'模块规划'!$G$14*H281)+(I281*'模块规划'!$D$15+J281*'模块规划'!$D$17+K281*'模块规划'!$D$16+L281*'模块规划'!$D$18))*(1+'模块规划'!$J$17*J281))*F281/(1-Q281)</x:f>
        <x:v>2956919.166635431</x:v>
      </x:c>
      <x:c r="AO281" t="n">
        <x:f>AL281*AM281</x:f>
        <x:v>131930220.68452208</x:v>
      </x:c>
      <x:c r="AP281" t="n">
        <x:f>IF(AO281="","",INDEX('_曲线基线'!$A$3:$A$502,MIN(ROWS('_曲线基线'!$A$3:$A$502),COUNTIF('_曲线基线'!$E$3:$E$502,"&lt;"&amp;AO281)+1)))</x:f>
        <x:v>315</x:v>
      </x:c>
      <x:c r="AQ281" t="n">
        <x:f>IF(B281&lt;=2,1,IF(B281&lt;=6,2,IF(B281&lt;=9,3,IF(B281&lt;=19,4,5))))</x:f>
        <x:v>5</x:v>
      </x:c>
      <x:c r="AR281" t="n">
        <x:f>AN281*(1-Q281)/F281*$AS$3+U281*$AS$4+P281*$AS$5</x:f>
        <x:v>18023.742316670658</x:v>
      </x:c>
      <x:c r="AS281" t="n">
        <x:f>1+AH281*$AS$6+AI281*$AS$7+(AJ281-1)*$AS$8+($H$10*H281+$I$10*I281+$J$10*J281+$K$10*K281+$L$10*L281)*$AU$3*$AS$9+($H$10*H281+$I$10*I281+$J$10*J281+$K$10*K281+$L$10*L281)*$AU$4*$AS$10</x:f>
        <x:v>17.722942986662673</x:v>
      </x:c>
      <x:c r="AT281" t="n">
        <x:f>ROUND(AR281*AS281,0)</x:f>
        <x:v>319434</x:v>
      </x:c>
      <x:c r="AU281" t="n">
        <x:f>ROUND(AT281*F281,0)</x:f>
        <x:v>1597170</x:v>
      </x:c>
    </x:row>
    <x:row r="282">
      <x:c r="A282" t="str">
        <x:f>IFERROR(XLOOKUP(B282,'_曲线基线'!$G$3:$G$107,'_曲线基线'!$J$3:$J$107,""),"")</x:f>
      </x:c>
      <x:c r="B282" t="n">
        <x:v>271</x:v>
      </x:c>
      <x:c r="C282" t="n">
        <x:f>C267+1</x:f>
        <x:v>19</x:v>
      </x:c>
      <x:c r="D282" t="n">
        <x:f>D267</x:f>
        <x:v>7</x:v>
      </x:c>
      <x:c r="E282" t="n">
        <x:f>IF($B282&lt;E$8,0,E$3+(E$4-E$3)*(POWER(E$5,$B282-E$8)-1)/(POWER(E$5,$C$5-E$8)-1))</x:f>
        <x:v>1</x:v>
      </x:c>
      <x:c r="F282" t="n">
        <x:f>1+IF(B282&lt;3,0,MIN(1,(B282-2)/4))+IF(B282&lt;7,0,MIN(1,(B282-6)/3))+IF(B282&lt;10,0,MIN(1,(B282-9)/5))+IF(B282&lt;20,0,MIN(1,(B282-19)/10))</x:f>
        <x:v>5</x:v>
      </x:c>
      <x:c r="G282" t="n">
        <x:f>IF($B282&lt;G$8,0,G$3+(G$4-G$3)*(POWER(G$5,$B282-G$8)-1)/(POWER(G$5,$C$5-G$8)-1))</x:f>
        <x:v>0.8982418963427198</x:v>
      </x:c>
      <x:c r="H282" t="n">
        <x:f>IF($B282&lt;H$8,0,H$3+(H$4-H$3)*(POWER(H$5,$B282-H$8)-1)/(POWER(H$5,$C$5-H$8)-1))</x:f>
        <x:v>0.6994163731596386</x:v>
      </x:c>
      <x:c r="I282" t="n">
        <x:f>IF($B282&lt;I$8,0,I$3+(I$4-I$3)*(POWER(I$5,$B282-I$8)-1)/(POWER(I$5,$C$5-I$8)-1))</x:f>
        <x:v>0.6484993967635997</x:v>
      </x:c>
      <x:c r="J282" t="n">
        <x:f>IF($B282&lt;J$8,0,J$3+(J$4-J$3)*(POWER(J$5,$B282-J$8)-1)/(POWER(J$5,$C$5-J$8)-1))</x:f>
        <x:v>0.5993075958277465</x:v>
      </x:c>
      <x:c r="K282" t="n">
        <x:f>IF($B282&lt;K$8,0,K$3+(K$4-K$3)*(POWER(K$5,$B282-K$8)-1)/(POWER(K$5,$C$5-K$8)-1))</x:f>
        <x:v>0.6468501969180371</x:v>
      </x:c>
      <x:c r="L282" t="n">
        <x:f>IF($B282&lt;L$8,0,L$3+(L$4-L$3)*(POWER(L$5,$B282-L$8)-1)/(POWER(L$5,$C$5-L$8)-1))</x:f>
        <x:v>0.6994044046348361</x:v>
      </x:c>
      <x:c r="M282" t="n">
        <x:f>E282*'模块规划'!$F$10+G282*'模块规划'!$F$11+H282*'模块规划'!$F$13</x:f>
        <x:v>5311.5611024450545</x:v>
      </x:c>
      <x:c r="N282" t="n">
        <x:f>I282*'模块规划'!$F$15+J282*'模块规划'!$F$17+K282*'模块规划'!$F$16+L282*'模块规划'!$F$18</x:f>
        <x:v>18559.194337068668</x:v>
      </x:c>
      <x:c r="O282" t="n">
        <x:f>1+O$9*SUMPRODUCT($H$10:$L$10,H282:L282)/SUM($H$10:$L$10)</x:f>
        <x:v>3.416689515307649</x:v>
      </x:c>
      <x:c r="P282" t="n">
        <x:f>M282*O282+N282</x:f>
        <x:v>36707.14946570862</x:v>
      </x:c>
      <x:c r="Q282" t="n">
        <x:f>P282/(P282+'_曲线基线'!$L$2)</x:f>
        <x:v>0.6046594147274733</x:v>
      </x:c>
      <x:c r="R282" t="n">
        <x:f>E282*'模块规划'!$E$10+G282*'模块规划'!$E$11+H282*'模块规划'!$E$13</x:f>
        <x:v>7967.341653667582</x:v>
      </x:c>
      <x:c r="S282" t="n">
        <x:f>I282*'模块规划'!$E$15+J282*'模块规划'!$E$17+K282*'模块规划'!$E$16+L282*'模块规划'!$E$18</x:f>
        <x:v>27838.791505602996</x:v>
      </x:c>
      <x:c r="T282" t="n">
        <x:f>1+T$9*SUMPRODUCT($H$10:$L$10,H282:L282)/SUM($H$10:$L$10)</x:f>
        <x:v>3.416689515307649</x:v>
      </x:c>
      <x:c r="U282" t="n">
        <x:f>R282*T282+S282</x:f>
        <x:v>55060.72419856293</x:v>
      </x:c>
      <x:c r="V282" t="n">
        <x:f>V$8+(V$9-V$8)*H282</x:f>
        <x:v>0.9098249119478916</x:v>
      </x:c>
      <x:c r="W282" t="n">
        <x:f>IF(B282&lt;$H$8,0,W$8+(W$9-W$8)*H282)</x:f>
        <x:v>0.2797665492638554</x:v>
      </x:c>
      <x:c r="X282" t="n">
        <x:f>X$8+(X$9-X$8)*H282</x:f>
        <x:v>0.46733950261890067</x:v>
      </x:c>
      <x:c r="Y282" t="n">
        <x:f>Y$8+(Y$9-Y$8)*G282</x:f>
        <x:v>1</x:v>
      </x:c>
      <x:c r="Z282" t="n">
        <x:f>Z$8+(Z$9-Z$8)*H282</x:f>
        <x:v>1</x:v>
      </x:c>
      <x:c r="AA282" t="n">
        <x:f>AA$8+(AA$9-AA$8)*I282</x:f>
        <x:v>1</x:v>
      </x:c>
      <x:c r="AB282" t="n">
        <x:f>AB$8+(AB$9-AB$8)*J282</x:f>
        <x:v>1</x:v>
      </x:c>
      <x:c r="AC282" t="n">
        <x:f>AC$8+(AC$9-AC$8)*MAX(K282,L282)</x:f>
        <x:v>1</x:v>
      </x:c>
      <x:c r="AD282" t="n">
        <x:f>(V282*AE282+W282*AF282+X282*AG282)*PRODUCT(Y282:AC282)</x:f>
        <x:v>1.8932608203189671</x:v>
      </x:c>
      <x:c r="AE282" t="n">
        <x:f>1+AE$9*($H$10*H282+$I$10*I282+$J$10*J282+$K$10*K282+$L$10*L282)</x:f>
        <x:v>1</x:v>
      </x:c>
      <x:c r="AF282" t="n">
        <x:f>1+AF$9*($H$10*H282+$I$10*I282+$J$10*J282+$K$10*K282+$L$10*L282)</x:f>
        <x:v>1.213294864104076</x:v>
      </x:c>
      <x:c r="AG282" t="n">
        <x:f>1+AG$9*($H$10*H282+$I$10*I282+$J$10*J282+$K$10*K282+$L$10*L282)</x:f>
        <x:v>1.3780058980511154</x:v>
      </x:c>
      <x:c r="AH282" t="n">
        <x:f>MIN(1,'_曲线基线'!$L$3+AH$9*($H$10*H282+$I$10*I282+$J$10*J282+$K$10*K282+$L$10*L282))</x:f>
        <x:v>0.5352458158367724</x:v>
      </x:c>
      <x:c r="AI282" t="n">
        <x:f>'_曲线基线'!$L$4+AI$9*($H$10*H282+$I$10*I282+$J$10*J282+$K$10*K282+$L$10*L282)</x:f>
        <x:v>3.3517562012595805</x:v>
      </x:c>
      <x:c r="AJ282" t="n">
        <x:f>1+AJ$9*($H$10*H282+$I$10*I282+$J$10*J282+$K$10*K282+$L$10*L282)</x:f>
        <x:v>2.1091332933411944</x:v>
      </x:c>
      <x:c r="AK282" t="n">
        <x:f>(1+AH282*(AI282-1))*AJ282</x:f>
        <x:v>4.764042087532577</x:v>
      </x:c>
      <x:c r="AL282" t="n">
        <x:f>U282*AD282*AK282*F282</x:f>
        <x:v>2483121.4455185863</x:v>
      </x:c>
      <x:c r="AM282" t="n">
        <x:f>IF($B282&lt;AM$8,0,AM$3+(AM$4-AM$3)*(POWER(AM$5,$B282-AM$8)-1)/(POWER(AM$5,$C$5-AM$8)-1))</x:f>
        <x:v>53.36694343103058</x:v>
      </x:c>
      <x:c r="AN282" t="n">
        <x:f>(((E282*'模块规划'!$D$10+G282*'模块规划'!$D$11+H282*'模块规划'!$D$13)*(1+'模块规划'!$G$14*H282)+(I282*'模块规划'!$D$15+J282*'模块规划'!$D$17+K282*'模块规划'!$D$16+L282*'模块规划'!$D$18))*(1+'模块规划'!$J$17*J282))*F282/(1-Q282)</x:f>
        <x:v>2958581.6663569515</x:v>
      </x:c>
      <x:c r="AO282" t="n">
        <x:f>AL282*AM282</x:f>
        <x:v>132516601.71536927</x:v>
      </x:c>
      <x:c r="AP282" t="n">
        <x:f>IF(AO282="","",INDEX('_曲线基线'!$A$3:$A$502,MIN(ROWS('_曲线基线'!$A$3:$A$502),COUNTIF('_曲线基线'!$E$3:$E$502,"&lt;"&amp;AO282)+1)))</x:f>
        <x:v>316</x:v>
      </x:c>
      <x:c r="AQ282" t="n">
        <x:f>IF(B282&lt;=2,1,IF(B282&lt;=6,2,IF(B282&lt;=9,3,IF(B282&lt;=19,4,5))))</x:f>
        <x:v>5</x:v>
      </x:c>
      <x:c r="AR282" t="n">
        <x:f>AN282*(1-Q282)/F282*$AS$3+U282*$AS$4+P282*$AS$5</x:f>
        <x:v>18030.029285037333</x:v>
      </x:c>
      <x:c r="AS282" t="n">
        <x:f>1+AH282*$AS$6+AI282*$AS$7+(AJ282-1)*$AS$8+($H$10*H282+$I$10*I282+$J$10*J282+$K$10*K282+$L$10*L282)*$AU$3*$AS$9+($H$10*H282+$I$10*I282+$J$10*J282+$K$10*K282+$L$10*L282)*$AU$4*$AS$10</x:f>
        <x:v>17.72619048650787</x:v>
      </x:c>
      <x:c r="AT282" t="n">
        <x:f>ROUND(AR282*AS282,0)</x:f>
        <x:v>319604</x:v>
      </x:c>
      <x:c r="AU282" t="n">
        <x:f>ROUND(AT282*F282,0)</x:f>
        <x:v>1598020</x:v>
      </x:c>
    </x:row>
    <x:row r="283">
      <x:c r="A283" t="str">
        <x:f>IFERROR(XLOOKUP(B283,'_曲线基线'!$G$3:$G$107,'_曲线基线'!$J$3:$J$107,""),"")</x:f>
      </x:c>
      <x:c r="B283" t="n">
        <x:v>272</x:v>
      </x:c>
      <x:c r="C283" t="n">
        <x:f>C268+1</x:f>
        <x:v>19</x:v>
      </x:c>
      <x:c r="D283" t="n">
        <x:f>D268</x:f>
        <x:v>8</x:v>
      </x:c>
      <x:c r="E283" t="n">
        <x:f>IF($B283&lt;E$8,0,E$3+(E$4-E$3)*(POWER(E$5,$B283-E$8)-1)/(POWER(E$5,$C$5-E$8)-1))</x:f>
        <x:v>1</x:v>
      </x:c>
      <x:c r="F283" t="n">
        <x:f>1+IF(B283&lt;3,0,MIN(1,(B283-2)/4))+IF(B283&lt;7,0,MIN(1,(B283-6)/3))+IF(B283&lt;10,0,MIN(1,(B283-9)/5))+IF(B283&lt;20,0,MIN(1,(B283-19)/10))</x:f>
        <x:v>5</x:v>
      </x:c>
      <x:c r="G283" t="n">
        <x:f>IF($B283&lt;G$8,0,G$3+(G$4-G$3)*(POWER(G$5,$B283-G$8)-1)/(POWER(G$5,$C$5-G$8)-1))</x:f>
        <x:v>0.8984734583520749</x:v>
      </x:c>
      <x:c r="H283" t="n">
        <x:f>IF($B283&lt;H$8,0,H$3+(H$4-H$3)*(POWER(H$5,$B283-H$8)-1)/(POWER(H$5,$C$5-H$8)-1))</x:f>
        <x:v>0.6994945879359572</x:v>
      </x:c>
      <x:c r="I283" t="n">
        <x:f>IF($B283&lt;I$8,0,I$3+(I$4-I$3)*(POWER(I$5,$B283-I$8)-1)/(POWER(I$5,$C$5-I$8)-1))</x:f>
        <x:v>0.6487005001713958</x:v>
      </x:c>
      <x:c r="J283" t="n">
        <x:f>IF($B283&lt;J$8,0,J$3+(J$4-J$3)*(POWER(J$5,$B283-J$8)-1)/(POWER(J$5,$C$5-J$8)-1))</x:f>
        <x:v>0.5994003884029154</x:v>
      </x:c>
      <x:c r="K283" t="n">
        <x:f>IF($B283&lt;K$8,0,K$3+(K$4-K$3)*(POWER(K$5,$B283-K$8)-1)/(POWER(K$5,$C$5-K$8)-1))</x:f>
        <x:v>0.6472723179146499</x:v>
      </x:c>
      <x:c r="L283" t="n">
        <x:f>IF($B283&lt;L$8,0,L$3+(L$4-L$3)*(POWER(L$5,$B283-L$8)-1)/(POWER(L$5,$C$5-L$8)-1))</x:f>
        <x:v>0.699484223373525</x:v>
      </x:c>
      <x:c r="M283" t="n">
        <x:f>E283*'模块规划'!$F$10+G283*'模块规划'!$F$11+H283*'模块规划'!$F$13</x:f>
        <x:v>5312.67260008996</x:v>
      </x:c>
      <x:c r="N283" t="n">
        <x:f>I283*'模块规划'!$F$15+J283*'模块规划'!$F$17+K283*'模块规划'!$F$16+L283*'模块规划'!$F$18</x:f>
        <x:v>18564.662909755847</x:v>
      </x:c>
      <x:c r="O283" t="n">
        <x:f>1+O$9*SUMPRODUCT($H$10:$L$10,H283:L283)/SUM($H$10:$L$10)</x:f>
        <x:v>3.417293004512632</x:v>
      </x:c>
      <x:c r="P283" t="n">
        <x:f>M283*O283+N283</x:f>
        <x:v>36719.62182130921</x:v>
      </x:c>
      <x:c r="Q283" t="n">
        <x:f>P283/(P283+'_曲线基线'!$L$2)</x:f>
        <x:v>0.6047406212339528</x:v>
      </x:c>
      <x:c r="R283" t="n">
        <x:f>E283*'模块规划'!$E$10+G283*'模块规划'!$E$11+H283*'模块规划'!$E$13</x:f>
        <x:v>7969.00890013494</x:v>
      </x:c>
      <x:c r="S283" t="n">
        <x:f>I283*'模块规划'!$E$15+J283*'模块规划'!$E$17+K283*'模块规划'!$E$16+L283*'模块规划'!$E$18</x:f>
        <x:v>27846.994364633767</x:v>
      </x:c>
      <x:c r="T283" t="n">
        <x:f>1+T$9*SUMPRODUCT($H$10:$L$10,H283:L283)/SUM($H$10:$L$10)</x:f>
        <x:v>3.417293004512632</x:v>
      </x:c>
      <x:c r="U283" t="n">
        <x:f>R283*T283+S283</x:f>
        <x:v>55079.432731963796</x:v>
      </x:c>
      <x:c r="V283" t="n">
        <x:f>V$8+(V$9-V$8)*H283</x:f>
        <x:v>0.9098483763807872</x:v>
      </x:c>
      <x:c r="W283" t="n">
        <x:f>IF(B283&lt;$H$8,0,W$8+(W$9-W$8)*H283)</x:f>
        <x:v>0.2797978351743829</x:v>
      </x:c>
      <x:c r="X283" t="n">
        <x:f>X$8+(X$9-X$8)*H283</x:f>
        <x:v>0.4673610116823883</x:v>
      </x:c>
      <x:c r="Y283" t="n">
        <x:f>Y$8+(Y$9-Y$8)*G283</x:f>
        <x:v>1</x:v>
      </x:c>
      <x:c r="Z283" t="n">
        <x:f>Z$8+(Z$9-Z$8)*H283</x:f>
        <x:v>1</x:v>
      </x:c>
      <x:c r="AA283" t="n">
        <x:f>AA$8+(AA$9-AA$8)*I283</x:f>
        <x:v>1</x:v>
      </x:c>
      <x:c r="AB283" t="n">
        <x:f>AB$8+(AB$9-AB$8)*J283</x:f>
        <x:v>1</x:v>
      </x:c>
      <x:c r="AC283" t="n">
        <x:f>AC$8+(AC$9-AC$8)*MAX(K283,L283)</x:f>
        <x:v>1</x:v>
      </x:c>
      <x:c r="AD283" t="n">
        <x:f>(V283*AE283+W283*AF283+X283*AG283)*PRODUCT(Y283:AC283)</x:f>
        <x:v>1.8934109027555526</x:v>
      </x:c>
      <x:c r="AE283" t="n">
        <x:f>1+AE$9*($H$10*H283+$I$10*I283+$J$10*J283+$K$10*K283+$L$10*L283)</x:f>
        <x:v>1</x:v>
      </x:c>
      <x:c r="AF283" t="n">
        <x:f>1+AF$9*($H$10*H283+$I$10*I283+$J$10*J283+$K$10*K283+$L$10*L283)</x:f>
        <x:v>1.2133481275237872</x:v>
      </x:c>
      <x:c r="AG283" t="n">
        <x:f>1+AG$9*($H$10*H283+$I$10*I283+$J$10*J283+$K$10*K283+$L$10*L283)</x:f>
        <x:v>1.3781002926671588</x:v>
      </x:c>
      <x:c r="AH283" t="n">
        <x:f>MIN(1,'_曲线基线'!$L$3+AH$9*($H$10*H283+$I$10*I283+$J$10*J283+$K$10*K283+$L$10*L283))</x:f>
        <x:v>0.5353669901166151</x:v>
      </x:c>
      <x:c r="AI283" t="n">
        <x:f>'_曲线基线'!$L$4+AI$9*($H$10*H283+$I$10*I283+$J$10*J283+$K$10*K283+$L$10*L283)</x:f>
        <x:v>3.3520937581819994</x:v>
      </x:c>
      <x:c r="AJ283" t="n">
        <x:f>1+AJ$9*($H$10*H283+$I$10*I283+$J$10*J283+$K$10*K283+$L$10*L283)</x:f>
        <x:v>2.109410263123692</x:v>
      </x:c>
      <x:c r="AK283" t="n">
        <x:f>(1+AH283*(AI283-1))*AJ283</x:f>
        <x:v>4.765650027494752</x:v>
      </x:c>
      <x:c r="AL283" t="n">
        <x:f>U283*AD283*AK283*F283</x:f>
        <x:v>2485000.5134576736</x:v>
      </x:c>
      <x:c r="AM283" t="n">
        <x:f>IF($B283&lt;AM$8,0,AM$3+(AM$4-AM$3)*(POWER(AM$5,$B283-AM$8)-1)/(POWER(AM$5,$C$5-AM$8)-1))</x:f>
        <x:v>53.564037505262746</x:v>
      </x:c>
      <x:c r="AN283" t="n">
        <x:f>(((E283*'模块规划'!$D$10+G283*'模块规划'!$D$11+H283*'模块规划'!$D$13)*(1+'模块规划'!$G$14*H283)+(I283*'模块规划'!$D$15+J283*'模块规划'!$D$17+K283*'模块规划'!$D$16+L283*'模块规划'!$D$18))*(1+'模块规划'!$J$17*J283))*F283/(1-Q283)</x:f>
        <x:v>2960213.47126293</x:v>
      </x:c>
      <x:c r="AO283" t="n">
        <x:f>AL283*AM283</x:f>
        <x:v>133106660.703444</x:v>
      </x:c>
      <x:c r="AP283" t="n">
        <x:f>IF(AO283="","",INDEX('_曲线基线'!$A$3:$A$502,MIN(ROWS('_曲线基线'!$A$3:$A$502),COUNTIF('_曲线基线'!$E$3:$E$502,"&lt;"&amp;AO283)+1)))</x:f>
        <x:v>316</x:v>
      </x:c>
      <x:c r="AQ283" t="n">
        <x:f>IF(B283&lt;=2,1,IF(B283&lt;=6,2,IF(B283&lt;=9,3,IF(B283&lt;=19,4,5))))</x:f>
        <x:v>5</x:v>
      </x:c>
      <x:c r="AR283" t="n">
        <x:f>AN283*(1-Q283)/F283*$AS$3+U283*$AS$4+P283*$AS$5</x:f>
        <x:v>18036.19937239038</x:v>
      </x:c>
      <x:c r="AS283" t="n">
        <x:f>1+AH283*$AS$6+AI283*$AS$7+(AJ283-1)*$AS$8+($H$10*H283+$I$10*I283+$J$10*J283+$K$10*K283+$L$10*L283)*$AU$3*$AS$9+($H$10*H283+$I$10*I283+$J$10*J283+$K$10*K283+$L$10*L283)*$AU$4*$AS$10</x:f>
        <x:v>17.729373036356165</x:v>
      </x:c>
      <x:c r="AT283" t="n">
        <x:f>ROUND(AR283*AS283,0)</x:f>
        <x:v>319771</x:v>
      </x:c>
      <x:c r="AU283" t="n">
        <x:f>ROUND(AT283*F283,0)</x:f>
        <x:v>1598855</x:v>
      </x:c>
    </x:row>
    <x:row r="284">
      <x:c r="A284" t="str">
        <x:f>IFERROR(XLOOKUP(B284,'_曲线基线'!$G$3:$G$107,'_曲线基线'!$J$3:$J$107,""),"")</x:f>
      </x:c>
      <x:c r="B284" t="n">
        <x:v>273</x:v>
      </x:c>
      <x:c r="C284" t="n">
        <x:f>C269+1</x:f>
        <x:v>19</x:v>
      </x:c>
      <x:c r="D284" t="n">
        <x:f>D269</x:f>
        <x:v>9</x:v>
      </x:c>
      <x:c r="E284" t="n">
        <x:f>IF($B284&lt;E$8,0,E$3+(E$4-E$3)*(POWER(E$5,$B284-E$8)-1)/(POWER(E$5,$C$5-E$8)-1))</x:f>
        <x:v>1</x:v>
      </x:c>
      <x:c r="F284" t="n">
        <x:f>1+IF(B284&lt;3,0,MIN(1,(B284-2)/4))+IF(B284&lt;7,0,MIN(1,(B284-6)/3))+IF(B284&lt;10,0,MIN(1,(B284-9)/5))+IF(B284&lt;20,0,MIN(1,(B284-19)/10))</x:f>
        <x:v>5</x:v>
      </x:c>
      <x:c r="G284" t="n">
        <x:f>IF($B284&lt;G$8,0,G$3+(G$4-G$3)*(POWER(G$5,$B284-G$8)-1)/(POWER(G$5,$C$5-G$8)-1))</x:f>
        <x:v>0.8987015469312897</x:v>
      </x:c>
      <x:c r="H284" t="n">
        <x:f>IF($B284&lt;H$8,0,H$3+(H$4-H$3)*(POWER(H$5,$B284-H$8)-1)/(POWER(H$5,$C$5-H$8)-1))</x:f>
        <x:v>0.6995712384167495</x:v>
      </x:c>
      <x:c r="I284" t="n">
        <x:f>IF($B284&lt;I$8,0,I$3+(I$4-I$3)*(POWER(I$5,$B284-I$8)-1)/(POWER(I$5,$C$5-I$8)-1))</x:f>
        <x:v>0.6488975815110362</x:v>
      </x:c>
      <x:c r="J284" t="n">
        <x:f>IF($B284&lt;J$8,0,J$3+(J$4-J$3)*(POWER(J$5,$B284-J$8)-1)/(POWER(J$5,$C$5-J$8)-1))</x:f>
        <x:v>0.5994913251265811</x:v>
      </x:c>
      <x:c r="K284" t="n">
        <x:f>IF($B284&lt;K$8,0,K$3+(K$4-K$3)*(POWER(K$5,$B284-K$8)-1)/(POWER(K$5,$C$5-K$8)-1))</x:f>
        <x:v>0.6476859964913304</x:v>
      </x:c>
      <x:c r="L284" t="n">
        <x:f>IF($B284&lt;L$8,0,L$3+(L$4-L$3)*(POWER(L$5,$B284-L$8)-1)/(POWER(L$5,$C$5-L$8)-1))</x:f>
        <x:v>0.6995624457374402</x:v>
      </x:c>
      <x:c r="M284" t="n">
        <x:f>E284*'模块规划'!$F$10+G284*'模块规划'!$F$11+H284*'模块规划'!$F$13</x:f>
        <x:v>5313.767425270191</x:v>
      </x:c>
      <x:c r="N284" t="n">
        <x:f>I284*'模块规划'!$F$15+J284*'模块规划'!$F$17+K284*'模块规划'!$F$16+L284*'模块规划'!$F$18</x:f>
        <x:v>18570.022110989285</x:v>
      </x:c>
      <x:c r="O284" t="n">
        <x:f>1+O$9*SUMPRODUCT($H$10:$L$10,H284:L284)/SUM($H$10:$L$10)</x:f>
        <x:v>3.4178844239335153</x:v>
      </x:c>
      <x:c r="P284" t="n">
        <x:f>M284*O284+N284</x:f>
        <x:v>36731.86502622557</x:v>
      </x:c>
      <x:c r="Q284" t="n">
        <x:f>P284/(P284+'_曲线基线'!$L$2)</x:f>
        <x:v>0.6048203033179339</x:v>
      </x:c>
      <x:c r="R284" t="n">
        <x:f>E284*'模块规划'!$E$10+G284*'模块规划'!$E$11+H284*'模块规划'!$E$13</x:f>
        <x:v>7970.651137905285</x:v>
      </x:c>
      <x:c r="S284" t="n">
        <x:f>I284*'模块规划'!$E$15+J284*'模块规划'!$E$17+K284*'模块规划'!$E$16+L284*'模块规划'!$E$18</x:f>
        <x:v>27855.033166483925</x:v>
      </x:c>
      <x:c r="T284" t="n">
        <x:f>1+T$9*SUMPRODUCT($H$10:$L$10,H284:L284)/SUM($H$10:$L$10)</x:f>
        <x:v>3.4178844239335153</x:v>
      </x:c>
      <x:c r="U284" t="n">
        <x:f>R284*T284+S284</x:f>
        <x:v>55097.79753933835</x:v>
      </x:c>
      <x:c r="V284" t="n">
        <x:f>V$8+(V$9-V$8)*H284</x:f>
        <x:v>0.9098713715250248</x:v>
      </x:c>
      <x:c r="W284" t="n">
        <x:f>IF(B284&lt;$H$8,0,W$8+(W$9-W$8)*H284)</x:f>
        <x:v>0.2798284953666998</x:v>
      </x:c>
      <x:c r="X284" t="n">
        <x:f>X$8+(X$9-X$8)*H284</x:f>
        <x:v>0.4673820905646061</x:v>
      </x:c>
      <x:c r="Y284" t="n">
        <x:f>Y$8+(Y$9-Y$8)*G284</x:f>
        <x:v>1</x:v>
      </x:c>
      <x:c r="Z284" t="n">
        <x:f>Z$8+(Z$9-Z$8)*H284</x:f>
        <x:v>1</x:v>
      </x:c>
      <x:c r="AA284" t="n">
        <x:f>AA$8+(AA$9-AA$8)*I284</x:f>
        <x:v>1</x:v>
      </x:c>
      <x:c r="AB284" t="n">
        <x:f>AB$8+(AB$9-AB$8)*J284</x:f>
        <x:v>1</x:v>
      </x:c>
      <x:c r="AC284" t="n">
        <x:f>AC$8+(AC$9-AC$8)*MAX(K284,L284)</x:f>
        <x:v>1</x:v>
      </x:c>
      <x:c r="AD284" t="n">
        <x:f>(V284*AE284+W284*AF284+X284*AG284)*PRODUCT(Y284:AC284)</x:f>
        <x:v>1.8935579907165496</x:v>
      </x:c>
      <x:c r="AE284" t="n">
        <x:f>1+AE$9*($H$10*H284+$I$10*I284+$J$10*J284+$K$10*K284+$L$10*L284)</x:f>
        <x:v>1</x:v>
      </x:c>
      <x:c r="AF284" t="n">
        <x:f>1+AF$9*($H$10*H284+$I$10*I284+$J$10*J284+$K$10*K284+$L$10*L284)</x:f>
        <x:v>1.213400325675104</x:v>
      </x:c>
      <x:c r="AG284" t="n">
        <x:f>1+AG$9*($H$10*H284+$I$10*I284+$J$10*J284+$K$10*K284+$L$10*L284)</x:f>
        <x:v>1.3781927993908816</x:v>
      </x:c>
      <x:c r="AH284" t="n">
        <x:f>MIN(1,'_曲线基线'!$L$3+AH$9*($H$10*H284+$I$10*I284+$J$10*J284+$K$10*K284+$L$10*L284))</x:f>
        <x:v>0.535485740910861</x:v>
      </x:c>
      <x:c r="AI284" t="n">
        <x:f>'_曲线基线'!$L$4+AI$9*($H$10*H284+$I$10*I284+$J$10*J284+$K$10*K284+$L$10*L284)</x:f>
        <x:v>3.35242456396597</x:v>
      </x:c>
      <x:c r="AJ284" t="n">
        <x:f>1+AJ$9*($H$10*H284+$I$10*I284+$J$10*J284+$K$10*K284+$L$10*L284)</x:f>
        <x:v>2.10968169351054</x:v>
      </x:c>
      <x:c r="AK284" t="n">
        <x:f>(1+AH284*(AI284-1))*AJ284</x:f>
        <x:v>4.7672262263765255</x:v>
      </x:c>
      <x:c r="AL284" t="n">
        <x:f>U284*AD284*AK284*F284</x:f>
        <x:v>2486844.4128725063</x:v>
      </x:c>
      <x:c r="AM284" t="n">
        <x:f>IF($B284&lt;AM$8,0,AM$3+(AM$4-AM$3)*(POWER(AM$5,$B284-AM$8)-1)/(POWER(AM$5,$C$5-AM$8)-1))</x:f>
        <x:v>53.76310252023725</x:v>
      </x:c>
      <x:c r="AN284" t="n">
        <x:f>(((E284*'模块规划'!$D$10+G284*'模块规划'!$D$11+H284*'模块规划'!$D$13)*(1+'模块规划'!$G$14*H284)+(I284*'模块规划'!$D$15+J284*'模块规划'!$D$17+K284*'模块规划'!$D$16+L284*'模块规划'!$D$18))*(1+'模块规划'!$J$17*J284))*F284/(1-Q284)</x:f>
        <x:v>2961815.1442641444</x:v>
      </x:c>
      <x:c r="AO284" t="n">
        <x:f>AL284*AM284</x:f>
        <x:v>133700471.12114376</x:v>
      </x:c>
      <x:c r="AP284" t="n">
        <x:f>IF(AO284="","",INDEX('_曲线基线'!$A$3:$A$502,MIN(ROWS('_曲线基线'!$A$3:$A$502),COUNTIF('_曲线基线'!$E$3:$E$502,"&lt;"&amp;AO284)+1)))</x:f>
        <x:v>316</x:v>
      </x:c>
      <x:c r="AQ284" t="n">
        <x:f>IF(B284&lt;=2,1,IF(B284&lt;=6,2,IF(B284&lt;=9,3,IF(B284&lt;=19,4,5))))</x:f>
        <x:v>5</x:v>
      </x:c>
      <x:c r="AR284" t="n">
        <x:f>AN284*(1-Q284)/F284*$AS$3+U284*$AS$4+P284*$AS$5</x:f>
        <x:v>18042.2547698996</x:v>
      </x:c>
      <x:c r="AS284" t="n">
        <x:f>1+AH284*$AS$6+AI284*$AS$7+(AJ284-1)*$AS$8+($H$10*H284+$I$10*I284+$J$10*J284+$K$10*K284+$L$10*L284)*$AU$3*$AS$9+($H$10*H284+$I$10*I284+$J$10*J284+$K$10*K284+$L$10*L284)*$AU$4*$AS$10</x:f>
        <x:v>17.7324919352075</x:v>
      </x:c>
      <x:c r="AT284" t="n">
        <x:f>ROUND(AR284*AS284,0)</x:f>
        <x:v>319934</x:v>
      </x:c>
      <x:c r="AU284" t="n">
        <x:f>ROUND(AT284*F284,0)</x:f>
        <x:v>1599670</x:v>
      </x:c>
    </x:row>
    <x:row r="285">
      <x:c r="A285" t="str">
        <x:f>IFERROR(XLOOKUP(B285,'_曲线基线'!$G$3:$G$107,'_曲线基线'!$J$3:$J$107,""),"")</x:f>
      </x:c>
      <x:c r="B285" t="n">
        <x:v>274</x:v>
      </x:c>
      <x:c r="C285" t="n">
        <x:f>C270+1</x:f>
        <x:v>19</x:v>
      </x:c>
      <x:c r="D285" t="n">
        <x:f>D270</x:f>
        <x:v>10</x:v>
      </x:c>
      <x:c r="E285" t="n">
        <x:f>IF($B285&lt;E$8,0,E$3+(E$4-E$3)*(POWER(E$5,$B285-E$8)-1)/(POWER(E$5,$C$5-E$8)-1))</x:f>
        <x:v>1</x:v>
      </x:c>
      <x:c r="F285" t="n">
        <x:f>1+IF(B285&lt;3,0,MIN(1,(B285-2)/4))+IF(B285&lt;7,0,MIN(1,(B285-6)/3))+IF(B285&lt;10,0,MIN(1,(B285-9)/5))+IF(B285&lt;20,0,MIN(1,(B285-19)/10))</x:f>
        <x:v>5</x:v>
      </x:c>
      <x:c r="G285" t="n">
        <x:f>IF($B285&lt;G$8,0,G$3+(G$4-G$3)*(POWER(G$5,$B285-G$8)-1)/(POWER(G$5,$C$5-G$8)-1))</x:f>
        <x:v>0.8989262141818161</x:v>
      </x:c>
      <x:c r="H285" t="n">
        <x:f>IF($B285&lt;H$8,0,H$3+(H$4-H$3)*(POWER(H$5,$B285-H$8)-1)/(POWER(H$5,$C$5-H$8)-1))</x:f>
        <x:v>0.6996463558879259</x:v>
      </x:c>
      <x:c r="I285" t="n">
        <x:f>IF($B285&lt;I$8,0,I$3+(I$4-I$3)*(POWER(I$5,$B285-I$8)-1)/(POWER(I$5,$C$5-I$8)-1))</x:f>
        <x:v>0.6490907212238836</x:v>
      </x:c>
      <x:c r="J285" t="n">
        <x:f>IF($B285&lt;J$8,0,J$3+(J$4-J$3)*(POWER(J$5,$B285-J$8)-1)/(POWER(J$5,$C$5-J$8)-1))</x:f>
        <x:v>0.5995804431157733</x:v>
      </x:c>
      <x:c r="K285" t="n">
        <x:f>IF($B285&lt;K$8,0,K$3+(K$4-K$3)*(POWER(K$5,$B285-K$8)-1)/(POWER(K$5,$C$5-K$8)-1))</x:f>
        <x:v>0.6480914014964773</x:v>
      </x:c>
      <x:c r="L285" t="n">
        <x:f>IF($B285&lt;L$8,0,L$3+(L$4-L$3)*(POWER(L$5,$B285-L$8)-1)/(POWER(L$5,$C$5-L$8)-1))</x:f>
        <x:v>0.6996391036540772</x:v>
      </x:c>
      <x:c r="M285" t="n">
        <x:f>E285*'模块规划'!$F$10+G285*'模块规划'!$F$11+H285*'模块规划'!$F$13</x:f>
        <x:v>5314.845828072717</x:v>
      </x:c>
      <x:c r="N285" t="n">
        <x:f>I285*'模块规划'!$F$15+J285*'模块规划'!$F$17+K285*'模块规划'!$F$16+L285*'模块规划'!$F$18</x:f>
        <x:v>18575.27412819805</x:v>
      </x:c>
      <x:c r="O285" t="n">
        <x:f>1+O$9*SUMPRODUCT($H$10:$L$10,H285:L285)/SUM($H$10:$L$10)</x:f>
        <x:v>3.418464014965981</x:v>
      </x:c>
      <x:c r="P285" t="n">
        <x:f>M285*O285+N285</x:f>
        <x:v>36743.883336556704</x:v>
      </x:c>
      <x:c r="Q285" t="n">
        <x:f>P285/(P285+'_曲线基线'!$L$2)</x:f>
        <x:v>0.6048984904862612</x:v>
      </x:c>
      <x:c r="R285" t="n">
        <x:f>E285*'模块规划'!$E$10+G285*'模块规划'!$E$11+H285*'模块规划'!$E$13</x:f>
        <x:v>7972.268742109076</x:v>
      </x:c>
      <x:c r="S285" t="n">
        <x:f>I285*'模块规划'!$E$15+J285*'模块规划'!$E$17+K285*'模块规划'!$E$16+L285*'模块规划'!$E$18</x:f>
        <x:v>27862.911192297077</x:v>
      </x:c>
      <x:c r="T285" t="n">
        <x:f>1+T$9*SUMPRODUCT($H$10:$L$10,H285:L285)/SUM($H$10:$L$10)</x:f>
        <x:v>3.418464014965981</x:v>
      </x:c>
      <x:c r="U285" t="n">
        <x:f>R285*T285+S285</x:f>
        <x:v>55115.82500483506</x:v>
      </x:c>
      <x:c r="V285" t="n">
        <x:f>V$8+(V$9-V$8)*H285</x:f>
        <x:v>0.9098939067663778</x:v>
      </x:c>
      <x:c r="W285" t="n">
        <x:f>IF(B285&lt;$H$8,0,W$8+(W$9-W$8)*H285)</x:f>
        <x:v>0.2798585423551704</x:v>
      </x:c>
      <x:c r="X285" t="n">
        <x:f>X$8+(X$9-X$8)*H285</x:f>
        <x:v>0.4674027478691797</x:v>
      </x:c>
      <x:c r="Y285" t="n">
        <x:f>Y$8+(Y$9-Y$8)*G285</x:f>
        <x:v>1</x:v>
      </x:c>
      <x:c r="Z285" t="n">
        <x:f>Z$8+(Z$9-Z$8)*H285</x:f>
        <x:v>1</x:v>
      </x:c>
      <x:c r="AA285" t="n">
        <x:f>AA$8+(AA$9-AA$8)*I285</x:f>
        <x:v>1</x:v>
      </x:c>
      <x:c r="AB285" t="n">
        <x:f>AB$8+(AB$9-AB$8)*J285</x:f>
        <x:v>1</x:v>
      </x:c>
      <x:c r="AC285" t="n">
        <x:f>AC$8+(AC$9-AC$8)*MAX(K285,L285)</x:f>
        <x:v>1</x:v>
      </x:c>
      <x:c r="AD285" t="n">
        <x:f>(V285*AE285+W285*AF285+X285*AG285)*PRODUCT(Y285:AC285)</x:f>
        <x:v>1.8937021438074142</x:v>
      </x:c>
      <x:c r="AE285" t="n">
        <x:f>1+AE$9*($H$10*H285+$I$10*I285+$J$10*J285+$K$10*K285+$L$10*L285)</x:f>
        <x:v>1</x:v>
      </x:c>
      <x:c r="AF285" t="n">
        <x:f>1+AF$9*($H$10*H285+$I$10*I285+$J$10*J285+$K$10*K285+$L$10*L285)</x:f>
        <x:v>1.2134514798633944</x:v>
      </x:c>
      <x:c r="AG285" t="n">
        <x:f>1+AG$9*($H$10*H285+$I$10*I285+$J$10*J285+$K$10*K285+$L$10*L285)</x:f>
        <x:v>1.3782834559801298</x:v>
      </x:c>
      <x:c r="AH285" t="n">
        <x:f>MIN(1,'_曲线基线'!$L$3+AH$9*($H$10*H285+$I$10*I285+$J$10*J285+$K$10*K285+$L$10*L285))</x:f>
        <x:v>0.5356021166892219</x:v>
      </x:c>
      <x:c r="AI285" t="n">
        <x:f>'_曲线基线'!$L$4+AI$9*($H$10*H285+$I$10*I285+$J$10*J285+$K$10*K285+$L$10*L285)</x:f>
        <x:v>3.352748753634261</x:v>
      </x:c>
      <x:c r="AJ285" t="n">
        <x:f>1+AJ$9*($H$10*H285+$I$10*I285+$J$10*J285+$K$10*K285+$L$10*L285)</x:f>
        <x:v>2.10994769528965</x:v>
      </x:c>
      <x:c r="AK285" t="n">
        <x:f>(1+AH285*(AI285-1))*AJ285</x:f>
        <x:v>4.768771302519915</x:v>
      </x:c>
      <x:c r="AL285" t="n">
        <x:f>U285*AD285*AK285*F285</x:f>
        <x:v>2488653.785929542</x:v>
      </x:c>
      <x:c r="AM285" t="n">
        <x:f>IF($B285&lt;AM$8,0,AM$3+(AM$4-AM$3)*(POWER(AM$5,$B285-AM$8)-1)/(POWER(AM$5,$C$5-AM$8)-1))</x:f>
        <x:v>53.964158185361484</x:v>
      </x:c>
      <x:c r="AN285" t="n">
        <x:f>(((E285*'模块规划'!$D$10+G285*'模块规划'!$D$11+H285*'模块规划'!$D$13)*(1+'模块规划'!$G$14*H285)+(I285*'模块规划'!$D$15+J285*'模块规划'!$D$17+K285*'模块规划'!$D$16+L285*'模块规划'!$D$18))*(1+'模块规划'!$J$17*J285))*F285/(1-Q285)</x:f>
        <x:v>2963387.238249036</x:v>
      </x:c>
      <x:c r="AO285" t="n">
        <x:f>AL285*AM285</x:f>
        <x:v>134298106.57250053</x:v>
      </x:c>
      <x:c r="AP285" t="n">
        <x:f>IF(AO285="","",INDEX('_曲线基线'!$A$3:$A$502,MIN(ROWS('_曲线基线'!$A$3:$A$502),COUNTIF('_曲线基线'!$E$3:$E$502,"&lt;"&amp;AO285)+1)))</x:f>
        <x:v>317</x:v>
      </x:c>
      <x:c r="AQ285" t="n">
        <x:f>IF(B285&lt;=2,1,IF(B285&lt;=6,2,IF(B285&lt;=9,3,IF(B285&lt;=19,4,5))))</x:f>
        <x:v>5</x:v>
      </x:c>
      <x:c r="AR285" t="n">
        <x:f>AN285*(1-Q285)/F285*$AS$3+U285*$AS$4+P285*$AS$5</x:f>
        <x:v>18048.197627602673</x:v>
      </x:c>
      <x:c r="AS285" t="n">
        <x:f>1+AH285*$AS$6+AI285*$AS$7+(AJ285-1)*$AS$8+($H$10*H285+$I$10*I285+$J$10*J285+$K$10*K285+$L$10*L285)*$AU$3*$AS$9+($H$10*H285+$I$10*I285+$J$10*J285+$K$10*K285+$L$10*L285)*$AU$4*$AS$10</x:f>
        <x:v>17.7355484560818</x:v>
      </x:c>
      <x:c r="AT285" t="n">
        <x:f>ROUND(AR285*AS285,0)</x:f>
        <x:v>320095</x:v>
      </x:c>
      <x:c r="AU285" t="n">
        <x:f>ROUND(AT285*F285,0)</x:f>
        <x:v>1600475</x:v>
      </x:c>
    </x:row>
    <x:row r="286">
      <x:c r="A286" t="str">
        <x:f>IFERROR(XLOOKUP(B286,'_曲线基线'!$G$3:$G$107,'_曲线基线'!$J$3:$J$107,""),"")</x:f>
      </x:c>
      <x:c r="B286" t="n">
        <x:v>275</x:v>
      </x:c>
      <x:c r="C286" t="n">
        <x:f>C271+1</x:f>
        <x:v>19</x:v>
      </x:c>
      <x:c r="D286" t="n">
        <x:f>D271</x:f>
        <x:v>11</x:v>
      </x:c>
      <x:c r="E286" t="n">
        <x:f>IF($B286&lt;E$8,0,E$3+(E$4-E$3)*(POWER(E$5,$B286-E$8)-1)/(POWER(E$5,$C$5-E$8)-1))</x:f>
        <x:v>1</x:v>
      </x:c>
      <x:c r="F286" t="n">
        <x:f>1+IF(B286&lt;3,0,MIN(1,(B286-2)/4))+IF(B286&lt;7,0,MIN(1,(B286-6)/3))+IF(B286&lt;10,0,MIN(1,(B286-9)/5))+IF(B286&lt;20,0,MIN(1,(B286-19)/10))</x:f>
        <x:v>5</x:v>
      </x:c>
      <x:c r="G286" t="n">
        <x:f>IF($B286&lt;G$8,0,G$3+(G$4-G$3)*(POWER(G$5,$B286-G$8)-1)/(POWER(G$5,$C$5-G$8)-1))</x:f>
        <x:v>0.8991475114235846</x:v>
      </x:c>
      <x:c r="H286" t="n">
        <x:f>IF($B286&lt;H$8,0,H$3+(H$4-H$3)*(POWER(H$5,$B286-H$8)-1)/(POWER(H$5,$C$5-H$8)-1))</x:f>
        <x:v>0.6997199710096786</x:v>
      </x:c>
      <x:c r="I286" t="n">
        <x:f>IF($B286&lt;I$8,0,I$3+(I$4-I$3)*(POWER(I$5,$B286-I$8)-1)/(POWER(I$5,$C$5-I$8)-1))</x:f>
        <x:v>0.6492799981424742</x:v>
      </x:c>
      <x:c r="J286" t="n">
        <x:f>IF($B286&lt;J$8,0,J$3+(J$4-J$3)*(POWER(J$5,$B286-J$8)-1)/(POWER(J$5,$C$5-J$8)-1))</x:f>
        <x:v>0.5996677787451818</x:v>
      </x:c>
      <x:c r="K286" t="n">
        <x:f>IF($B286&lt;K$8,0,K$3+(K$4-K$3)*(POWER(K$5,$B286-K$8)-1)/(POWER(K$5,$C$5-K$8)-1))</x:f>
        <x:v>0.6484886984015212</x:v>
      </x:c>
      <x:c r="L286" t="n">
        <x:f>IF($B286&lt;L$8,0,L$3+(L$4-L$3)*(POWER(L$5,$B286-L$8)-1)/(POWER(L$5,$C$5-L$8)-1))</x:f>
        <x:v>0.6997142284123814</x:v>
      </x:c>
      <x:c r="M286" t="n">
        <x:f>E286*'模块规划'!$F$10+G286*'模块规划'!$F$11+H286*'模块规划'!$F$13</x:f>
        <x:v>5315.908054833206</x:v>
      </x:c>
      <x:c r="N286" t="n">
        <x:f>I286*'模块规划'!$F$15+J286*'模块规划'!$F$17+K286*'模块规划'!$F$16+L286*'模块规划'!$F$18</x:f>
        <x:v>18580.421105062647</x:v>
      </x:c>
      <x:c r="O286" t="n">
        <x:f>1+O$9*SUMPRODUCT($H$10:$L$10,H286:L286)/SUM($H$10:$L$10)</x:f>
        <x:v>3.4190320141777972</x:v>
      </x:c>
      <x:c r="P286" t="n">
        <x:f>M286*O286+N286</x:f>
        <x:v>36755.680928963004</x:v>
      </x:c>
      <x:c r="Q286" t="n">
        <x:f>P286/(P286+'_曲线基线'!$L$2)</x:f>
        <x:v>0.6049752116503908</x:v>
      </x:c>
      <x:c r="R286" t="n">
        <x:f>E286*'模块规划'!$E$10+G286*'模块规划'!$E$11+H286*'模块规划'!$E$13</x:f>
        <x:v>7973.86208224981</x:v>
      </x:c>
      <x:c r="S286" t="n">
        <x:f>I286*'模块规划'!$E$15+J286*'模块规划'!$E$17+K286*'模块规划'!$E$16+L286*'模块规划'!$E$18</x:f>
        <x:v>27870.631657593967</x:v>
      </x:c>
      <x:c r="T286" t="n">
        <x:f>1+T$9*SUMPRODUCT($H$10:$L$10,H286:L286)/SUM($H$10:$L$10)</x:f>
        <x:v>3.4190320141777972</x:v>
      </x:c>
      <x:c r="U286" t="n">
        <x:f>R286*T286+S286</x:f>
        <x:v>55133.5213934445</x:v>
      </x:c>
      <x:c r="V286" t="n">
        <x:f>V$8+(V$9-V$8)*H286</x:f>
        <x:v>0.9099159913029036</x:v>
      </x:c>
      <x:c r="W286" t="n">
        <x:f>IF(B286&lt;$H$8,0,W$8+(W$9-W$8)*H286)</x:f>
        <x:v>0.27988798840387147</x:v>
      </x:c>
      <x:c r="X286" t="n">
        <x:f>X$8+(X$9-X$8)*H286</x:f>
        <x:v>0.4674229920276617</x:v>
      </x:c>
      <x:c r="Y286" t="n">
        <x:f>Y$8+(Y$9-Y$8)*G286</x:f>
        <x:v>1</x:v>
      </x:c>
      <x:c r="Z286" t="n">
        <x:f>Z$8+(Z$9-Z$8)*H286</x:f>
        <x:v>1</x:v>
      </x:c>
      <x:c r="AA286" t="n">
        <x:f>AA$8+(AA$9-AA$8)*I286</x:f>
        <x:v>1</x:v>
      </x:c>
      <x:c r="AB286" t="n">
        <x:f>AB$8+(AB$9-AB$8)*J286</x:f>
        <x:v>1</x:v>
      </x:c>
      <x:c r="AC286" t="n">
        <x:f>AC$8+(AC$9-AC$8)*MAX(K286,L286)</x:f>
        <x:v>1</x:v>
      </x:c>
      <x:c r="AD286" t="n">
        <x:f>(V286*AE286+W286*AF286+X286*AG286)*PRODUCT(Y286:AC286)</x:f>
        <x:v>1.8938434204527397</x:v>
      </x:c>
      <x:c r="AE286" t="n">
        <x:f>1+AE$9*($H$10*H286+$I$10*I286+$J$10*J286+$K$10*K286+$L$10*L286)</x:f>
        <x:v>1</x:v>
      </x:c>
      <x:c r="AF286" t="n">
        <x:f>1+AF$9*($H$10*H286+$I$10*I286+$J$10*J286+$K$10*K286+$L$10*L286)</x:f>
        <x:v>1.213501610967919</x:v>
      </x:c>
      <x:c r="AG286" t="n">
        <x:f>1+AG$9*($H$10*H286+$I$10*I286+$J$10*J286+$K$10*K286+$L$10*L286)</x:f>
        <x:v>1.3783722994375929</x:v>
      </x:c>
      <x:c r="AH286" t="n">
        <x:f>MIN(1,'_曲线基线'!$L$3+AH$9*($H$10*H286+$I$10*I286+$J$10*J286+$K$10*K286+$L$10*L286))</x:f>
        <x:v>0.5357161649520156</x:v>
      </x:c>
      <x:c r="AI286" t="n">
        <x:f>'_曲线基线'!$L$4+AI$9*($H$10*H286+$I$10*I286+$J$10*J286+$K$10*K286+$L$10*L286)</x:f>
        <x:v>3.3530664595091864</x:v>
      </x:c>
      <x:c r="AJ286" t="n">
        <x:f>1+AJ$9*($H$10*H286+$I$10*I286+$J$10*J286+$K$10*K286+$L$10*L286)</x:f>
        <x:v>2.1102083770331785</x:v>
      </x:c>
      <x:c r="AK286" t="n">
        <x:f>(1+AH286*(AI286-1))*AJ286</x:f>
        <x:v>4.770285862549046</x:v>
      </x:c>
      <x:c r="AL286" t="n">
        <x:f>U286*AD286*AK286*F286</x:f>
        <x:v>2490429.263814099</x:v>
      </x:c>
      <x:c r="AM286" t="n">
        <x:f>IF($B286&lt;AM$8,0,AM$3+(AM$4-AM$3)*(POWER(AM$5,$B286-AM$8)-1)/(POWER(AM$5,$C$5-AM$8)-1))</x:f>
        <x:v>54.16722440713697</x:v>
      </x:c>
      <x:c r="AN286" t="n">
        <x:f>(((E286*'模块规划'!$D$10+G286*'模块规划'!$D$11+H286*'模块规划'!$D$13)*(1+'模块规划'!$G$14*H286)+(I286*'模块规划'!$D$15+J286*'模块规划'!$D$17+K286*'模块规划'!$D$16+L286*'模块规划'!$D$18))*(1+'模块规划'!$J$17*J286))*F286/(1-Q286)</x:f>
        <x:v>2964930.2962480867</x:v>
      </x:c>
      <x:c r="AO286" t="n">
        <x:f>AL286*AM286</x:f>
        <x:v>134899640.80311924</x:v>
      </x:c>
      <x:c r="AP286" t="n">
        <x:f>IF(AO286="","",INDEX('_曲线基线'!$A$3:$A$502,MIN(ROWS('_曲线基线'!$A$3:$A$502),COUNTIF('_曲线基线'!$E$3:$E$502,"&lt;"&amp;AO286)+1)))</x:f>
        <x:v>317</x:v>
      </x:c>
      <x:c r="AQ286" t="n">
        <x:f>IF(B286&lt;=2,1,IF(B286&lt;=6,2,IF(B286&lt;=9,3,IF(B286&lt;=19,4,5))))</x:f>
        <x:v>5</x:v>
      </x:c>
      <x:c r="AR286" t="n">
        <x:f>AN286*(1-Q286)/F286*$AS$3+U286*$AS$4+P286*$AS$5</x:f>
        <x:v>18054.030055169365</x:v>
      </x:c>
      <x:c r="AS286" t="n">
        <x:f>1+AH286*$AS$6+AI286*$AS$7+(AJ286-1)*$AS$8+($H$10*H286+$I$10*I286+$J$10*J286+$K$10*K286+$L$10*L286)*$AU$3*$AS$9+($H$10*H286+$I$10*I286+$J$10*J286+$K$10*K286+$L$10*L286)*$AU$4*$AS$10</x:f>
        <x:v>17.738543846538622</x:v>
      </x:c>
      <x:c r="AT286" t="n">
        <x:f>ROUND(AR286*AS286,0)</x:f>
        <x:v>320252</x:v>
      </x:c>
      <x:c r="AU286" t="n">
        <x:f>ROUND(AT286*F286,0)</x:f>
        <x:v>1601260</x:v>
      </x:c>
    </x:row>
    <x:row r="287">
      <x:c r="A287" t="str">
        <x:f>IFERROR(XLOOKUP(B287,'_曲线基线'!$G$3:$G$107,'_曲线基线'!$J$3:$J$107,""),"")</x:f>
      </x:c>
      <x:c r="B287" t="n">
        <x:v>276</x:v>
      </x:c>
      <x:c r="C287" t="n">
        <x:f>C272+1</x:f>
        <x:v>19</x:v>
      </x:c>
      <x:c r="D287" t="n">
        <x:f>D272</x:f>
        <x:v>12</x:v>
      </x:c>
      <x:c r="E287" t="n">
        <x:f>IF($B287&lt;E$8,0,E$3+(E$4-E$3)*(POWER(E$5,$B287-E$8)-1)/(POWER(E$5,$C$5-E$8)-1))</x:f>
        <x:v>1</x:v>
      </x:c>
      <x:c r="F287" t="n">
        <x:f>1+IF(B287&lt;3,0,MIN(1,(B287-2)/4))+IF(B287&lt;7,0,MIN(1,(B287-6)/3))+IF(B287&lt;10,0,MIN(1,(B287-9)/5))+IF(B287&lt;20,0,MIN(1,(B287-19)/10))</x:f>
        <x:v>5</x:v>
      </x:c>
      <x:c r="G287" t="n">
        <x:f>IF($B287&lt;G$8,0,G$3+(G$4-G$3)*(POWER(G$5,$B287-G$8)-1)/(POWER(G$5,$C$5-G$8)-1))</x:f>
        <x:v>0.8993654892067268</x:v>
      </x:c>
      <x:c r="H287" t="n">
        <x:f>IF($B287&lt;H$8,0,H$3+(H$4-H$3)*(POWER(H$5,$B287-H$8)-1)/(POWER(H$5,$C$5-H$8)-1))</x:f>
        <x:v>0.6997921138289964</x:v>
      </x:c>
      <x:c r="I287" t="n">
        <x:f>IF($B287&lt;I$8,0,I$3+(I$4-I$3)*(POWER(I$5,$B287-I$8)-1)/(POWER(I$5,$C$5-I$8)-1))</x:f>
        <x:v>0.6494654895226928</x:v>
      </x:c>
      <x:c r="J287" t="n">
        <x:f>IF($B287&lt;J$8,0,J$3+(J$4-J$3)*(POWER(J$5,$B287-J$8)-1)/(POWER(J$5,$C$5-J$8)-1))</x:f>
        <x:v>0.599753367662002</x:v>
      </x:c>
      <x:c r="K287" t="n">
        <x:f>IF($B287&lt;K$8,0,K$3+(K$4-K$3)*(POWER(K$5,$B287-K$8)-1)/(POWER(K$5,$C$5-K$8)-1))</x:f>
        <x:v>0.6488780493684644</x:v>
      </x:c>
      <x:c r="L287" t="n">
        <x:f>IF($B287&lt;L$8,0,L$3+(L$4-L$3)*(POWER(L$5,$B287-L$8)-1)/(POWER(L$5,$C$5-L$8)-1))</x:f>
        <x:v>0.6997878506755194</x:v>
      </x:c>
      <x:c r="M287" t="n">
        <x:f>E287*'模块规划'!$F$10+G287*'模块规划'!$F$11+H287*'模块规划'!$F$13</x:f>
        <x:v>5316.954348192288</x:v>
      </x:c>
      <x:c r="N287" t="n">
        <x:f>I287*'模块规划'!$F$15+J287*'模块规划'!$F$17+K287*'模块规划'!$F$16+L287*'模块规划'!$F$18</x:f>
        <x:v>18585.46514238995</x:v>
      </x:c>
      <x:c r="O287" t="n">
        <x:f>1+O$9*SUMPRODUCT($H$10:$L$10,H287:L287)/SUM($H$10:$L$10)</x:f>
        <x:v>3.419588653405378</x:v>
      </x:c>
      <x:c r="P287" t="n">
        <x:f>M287*O287+N287</x:f>
        <x:v>36767.26190214268</x:v>
      </x:c>
      <x:c r="Q287" t="n">
        <x:f>P287/(P287+'_曲线基线'!$L$2)</x:f>
        <x:v>0.6050504951391639</x:v>
      </x:c>
      <x:c r="R287" t="n">
        <x:f>E287*'模块规划'!$E$10+G287*'模块规划'!$E$11+H287*'模块规划'!$E$13</x:f>
        <x:v>7975.4315222884325</x:v>
      </x:c>
      <x:c r="S287" t="n">
        <x:f>I287*'模块规划'!$E$15+J287*'模块规划'!$E$17+K287*'模块规划'!$E$16+L287*'模块规划'!$E$18</x:f>
        <x:v>27878.19771358492</x:v>
      </x:c>
      <x:c r="T287" t="n">
        <x:f>1+T$9*SUMPRODUCT($H$10:$L$10,H287:L287)/SUM($H$10:$L$10)</x:f>
        <x:v>3.419588653405378</x:v>
      </x:c>
      <x:c r="U287" t="n">
        <x:f>R287*T287+S287</x:f>
        <x:v>55150.89285321403</x:v>
      </x:c>
      <x:c r="V287" t="n">
        <x:f>V$8+(V$9-V$8)*H287</x:f>
        <x:v>0.9099376341486989</x:v>
      </x:c>
      <x:c r="W287" t="n">
        <x:f>IF(B287&lt;$H$8,0,W$8+(W$9-W$8)*H287)</x:f>
        <x:v>0.27991684553159857</x:v>
      </x:c>
      <x:c r="X287" t="n">
        <x:f>X$8+(X$9-X$8)*H287</x:f>
        <x:v>0.46744283130297404</x:v>
      </x:c>
      <x:c r="Y287" t="n">
        <x:f>Y$8+(Y$9-Y$8)*G287</x:f>
        <x:v>1</x:v>
      </x:c>
      <x:c r="Z287" t="n">
        <x:f>Z$8+(Z$9-Z$8)*H287</x:f>
        <x:v>1</x:v>
      </x:c>
      <x:c r="AA287" t="n">
        <x:f>AA$8+(AA$9-AA$8)*I287</x:f>
        <x:v>1</x:v>
      </x:c>
      <x:c r="AB287" t="n">
        <x:f>AB$8+(AB$9-AB$8)*J287</x:f>
        <x:v>1</x:v>
      </x:c>
      <x:c r="AC287" t="n">
        <x:f>AC$8+(AC$9-AC$8)*MAX(K287,L287)</x:f>
        <x:v>1</x:v>
      </x:c>
      <x:c r="AD287" t="n">
        <x:f>(V287*AE287+W287*AF287+X287*AG287)*PRODUCT(Y287:AC287)</x:f>
        <x:v>1.893981877919433</x:v>
      </x:c>
      <x:c r="AE287" t="n">
        <x:f>1+AE$9*($H$10*H287+$I$10*I287+$J$10*J287+$K$10*K287+$L$10*L287)</x:f>
        <x:v>1</x:v>
      </x:c>
      <x:c r="AF287" t="n">
        <x:f>1+AF$9*($H$10*H287+$I$10*I287+$J$10*J287+$K$10*K287+$L$10*L287)</x:f>
        <x:v>1.2135507394503533</x:v>
      </x:c>
      <x:c r="AG287" t="n">
        <x:f>1+AG$9*($H$10*H287+$I$10*I287+$J$10*J287+$K$10*K287+$L$10*L287)</x:f>
        <x:v>1.3784593660259068</x:v>
      </x:c>
      <x:c r="AH287" t="n">
        <x:f>MIN(1,'_曲线基线'!$L$3+AH$9*($H$10*H287+$I$10*I287+$J$10*J287+$K$10*K287+$L$10*L287))</x:f>
        <x:v>0.5358279322495534</x:v>
      </x:c>
      <x:c r="AI287" t="n">
        <x:f>'_曲线基线'!$L$4+AI$9*($H$10*H287+$I$10*I287+$J$10*J287+$K$10*K287+$L$10*L287)</x:f>
        <x:v>3.353377811266613</x:v>
      </x:c>
      <x:c r="AJ287" t="n">
        <x:f>1+AJ$9*($H$10*H287+$I$10*I287+$J$10*J287+$K$10*K287+$L$10*L287)</x:f>
        <x:v>2.1104638451418367</x:v>
      </x:c>
      <x:c r="AK287" t="n">
        <x:f>(1+AH287*(AI287-1))*AJ287</x:f>
        <x:v>4.77177050157901</x:v>
      </x:c>
      <x:c r="AL287" t="n">
        <x:f>U287*AD287*AK287*F287</x:f>
        <x:v>2492171.4668867188</x:v>
      </x:c>
      <x:c r="AM287" t="n">
        <x:f>IF($B287&lt;AM$8,0,AM$3+(AM$4-AM$3)*(POWER(AM$5,$B287-AM$8)-1)/(POWER(AM$5,$C$5-AM$8)-1))</x:f>
        <x:v>54.372321291130206</x:v>
      </x:c>
      <x:c r="AN287" t="n">
        <x:f>(((E287*'模块规划'!$D$10+G287*'模块规划'!$D$11+H287*'模块规划'!$D$13)*(1+'模块规划'!$G$14*H287)+(I287*'模块规划'!$D$15+J287*'模块规划'!$D$17+K287*'模块规划'!$D$16+L287*'模块规划'!$D$18))*(1+'模块规划'!$J$17*J287))*F287/(1-Q287)</x:f>
        <x:v>2966444.85159611</x:v>
      </x:c>
      <x:c r="AO287" t="n">
        <x:f>AL287*AM287</x:f>
        <x:v>135505147.71015194</x:v>
      </x:c>
      <x:c r="AP287" t="n">
        <x:f>IF(AO287="","",INDEX('_曲线基线'!$A$3:$A$502,MIN(ROWS('_曲线基线'!$A$3:$A$502),COUNTIF('_曲线基线'!$E$3:$E$502,"&lt;"&amp;AO287)+1)))</x:f>
        <x:v>318</x:v>
      </x:c>
      <x:c r="AQ287" t="n">
        <x:f>IF(B287&lt;=2,1,IF(B287&lt;=6,2,IF(B287&lt;=9,3,IF(B287&lt;=19,4,5))))</x:f>
        <x:v>5</x:v>
      </x:c>
      <x:c r="AR287" t="n">
        <x:f>AN287*(1-Q287)/F287*$AS$3+U287*$AS$4+P287*$AS$5</x:f>
        <x:v>18059.754122651964</x:v>
      </x:c>
      <x:c r="AS287" t="n">
        <x:f>1+AH287*$AS$6+AI287*$AS$7+(AJ287-1)*$AS$8+($H$10*H287+$I$10*I287+$J$10*J287+$K$10*K287+$L$10*L287)*$AU$3*$AS$9+($H$10*H287+$I$10*I287+$J$10*J287+$K$10*K287+$L$10*L287)*$AU$4*$AS$10</x:f>
        <x:v>17.741479329186305</x:v>
      </x:c>
      <x:c r="AT287" t="n">
        <x:f>ROUND(AR287*AS287,0)</x:f>
        <x:v>320407</x:v>
      </x:c>
      <x:c r="AU287" t="n">
        <x:f>ROUND(AT287*F287,0)</x:f>
        <x:v>1602035</x:v>
      </x:c>
    </x:row>
    <x:row r="288">
      <x:c r="A288" t="str">
        <x:f>IFERROR(XLOOKUP(B288,'_曲线基线'!$G$3:$G$107,'_曲线基线'!$J$3:$J$107,""),"")</x:f>
      </x:c>
      <x:c r="B288" t="n">
        <x:v>277</x:v>
      </x:c>
      <x:c r="C288" t="n">
        <x:f>C273+1</x:f>
        <x:v>19</x:v>
      </x:c>
      <x:c r="D288" t="n">
        <x:f>D273</x:f>
        <x:v>13</x:v>
      </x:c>
      <x:c r="E288" t="n">
        <x:f>IF($B288&lt;E$8,0,E$3+(E$4-E$3)*(POWER(E$5,$B288-E$8)-1)/(POWER(E$5,$C$5-E$8)-1))</x:f>
        <x:v>1</x:v>
      </x:c>
      <x:c r="F288" t="n">
        <x:f>1+IF(B288&lt;3,0,MIN(1,(B288-2)/4))+IF(B288&lt;7,0,MIN(1,(B288-6)/3))+IF(B288&lt;10,0,MIN(1,(B288-9)/5))+IF(B288&lt;20,0,MIN(1,(B288-19)/10))</x:f>
        <x:v>5</x:v>
      </x:c>
      <x:c r="G288" t="n">
        <x:f>IF($B288&lt;G$8,0,G$3+(G$4-G$3)*(POWER(G$5,$B288-G$8)-1)/(POWER(G$5,$C$5-G$8)-1))</x:f>
        <x:v>0.8995801973231217</x:v>
      </x:c>
      <x:c r="H288" t="n">
        <x:f>IF($B288&lt;H$8,0,H$3+(H$4-H$3)*(POWER(H$5,$B288-H$8)-1)/(POWER(H$5,$C$5-H$8)-1))</x:f>
        <x:v>0.6998628137919278</x:v>
      </x:c>
      <x:c r="I288" t="n">
        <x:f>IF($B288&lt;I$8,0,I$3+(I$4-I$3)*(POWER(I$5,$B288-I$8)-1)/(POWER(I$5,$C$5-I$8)-1))</x:f>
        <x:v>0.6496472710753072</x:v>
      </x:c>
      <x:c r="J288" t="n">
        <x:f>IF($B288&lt;J$8,0,J$3+(J$4-J$3)*(POWER(J$5,$B288-J$8)-1)/(POWER(J$5,$C$5-J$8)-1))</x:f>
        <x:v>0.5998372448004858</x:v>
      </x:c>
      <x:c r="K288" t="n">
        <x:f>IF($B288&lt;K$8,0,K$3+(K$4-K$3)*(POWER(K$5,$B288-K$8)-1)/(POWER(K$5,$C$5-K$8)-1))</x:f>
        <x:v>0.6492596133160686</x:v>
      </x:c>
      <x:c r="L288" t="n">
        <x:f>IF($B288&lt;L$8,0,L$3+(L$4-L$3)*(POWER(L$5,$B288-L$8)-1)/(POWER(L$5,$C$5-L$8)-1))</x:f>
        <x:v>0.6998600004933947</x:v>
      </x:c>
      <x:c r="M288" t="n">
        <x:f>E288*'模块规划'!$F$10+G288*'模块规划'!$F$11+H288*'模块规划'!$F$13</x:f>
        <x:v>5317.984947150984</x:v>
      </x:c>
      <x:c r="N288" t="n">
        <x:f>I288*'模块规划'!$F$15+J288*'模块规划'!$F$17+K288*'模块规划'!$F$16+L288*'模块规划'!$F$18</x:f>
        <x:v>18590.408298970702</x:v>
      </x:c>
      <x:c r="O288" t="n">
        <x:f>1+O$9*SUMPRODUCT($H$10:$L$10,H288:L288)/SUM($H$10:$L$10)</x:f>
        <x:v>3.420134159848406</x:v>
      </x:c>
      <x:c r="P288" t="n">
        <x:f>M288*O288+N288</x:f>
        <x:v>36778.6302782814</x:v>
      </x:c>
      <x:c r="Q288" t="n">
        <x:f>P288/(P288+'_曲线基线'!$L$2)</x:f>
        <x:v>0.6051243687112813</x:v>
      </x:c>
      <x:c r="R288" t="n">
        <x:f>E288*'模块规划'!$E$10+G288*'模块规划'!$E$11+H288*'模块规划'!$E$13</x:f>
        <x:v>7976.977420726476</x:v>
      </x:c>
      <x:c r="S288" t="n">
        <x:f>I288*'模块规划'!$E$15+J288*'模块规划'!$E$17+K288*'模块规划'!$E$16+L288*'模块规划'!$E$18</x:f>
        <x:v>27885.612448456057</x:v>
      </x:c>
      <x:c r="T288" t="n">
        <x:f>1+T$9*SUMPRODUCT($H$10:$L$10,H288:L288)/SUM($H$10:$L$10)</x:f>
        <x:v>3.420134159848406</x:v>
      </x:c>
      <x:c r="U288" t="n">
        <x:f>R288*T288+S288</x:f>
        <x:v>55167.94541742211</x:v>
      </x:c>
      <x:c r="V288" t="n">
        <x:f>V$8+(V$9-V$8)*H288</x:f>
        <x:v>0.9099588441375783</x:v>
      </x:c>
      <x:c r="W288" t="n">
        <x:f>IF(B288&lt;$H$8,0,W$8+(W$9-W$8)*H288)</x:f>
        <x:v>0.27994512551677114</x:v>
      </x:c>
      <x:c r="X288" t="n">
        <x:f>X$8+(X$9-X$8)*H288</x:f>
        <x:v>0.46746227379278016</x:v>
      </x:c>
      <x:c r="Y288" t="n">
        <x:f>Y$8+(Y$9-Y$8)*G288</x:f>
        <x:v>1</x:v>
      </x:c>
      <x:c r="Z288" t="n">
        <x:f>Z$8+(Z$9-Z$8)*H288</x:f>
        <x:v>1</x:v>
      </x:c>
      <x:c r="AA288" t="n">
        <x:f>AA$8+(AA$9-AA$8)*I288</x:f>
        <x:v>1</x:v>
      </x:c>
      <x:c r="AB288" t="n">
        <x:f>AB$8+(AB$9-AB$8)*J288</x:f>
        <x:v>1</x:v>
      </x:c>
      <x:c r="AC288" t="n">
        <x:f>AC$8+(AC$9-AC$8)*MAX(K288,L288)</x:f>
        <x:v>1</x:v>
      </x:c>
      <x:c r="AD288" t="n">
        <x:f>(V288*AE288+W288*AF288+X288*AG288)*PRODUCT(Y288:AC288)</x:f>
        <x:v>1.8941175723394381</x:v>
      </x:c>
      <x:c r="AE288" t="n">
        <x:f>1+AE$9*($H$10*H288+$I$10*I288+$J$10*J288+$K$10*K288+$L$10*L288)</x:f>
        <x:v>1</x:v>
      </x:c>
      <x:c r="AF288" t="n">
        <x:f>1+AF$9*($H$10*H288+$I$10*I288+$J$10*J288+$K$10*K288+$L$10*L288)</x:f>
        <x:v>1.2135988853631388</x:v>
      </x:c>
      <x:c r="AG288" t="n">
        <x:f>1+AG$9*($H$10*H288+$I$10*I288+$J$10*J288+$K$10*K288+$L$10*L288)</x:f>
        <x:v>1.3785446912824546</x:v>
      </x:c>
      <x:c r="AH288" t="n">
        <x:f>MIN(1,'_曲线基线'!$L$3+AH$9*($H$10*H288+$I$10*I288+$J$10*J288+$K$10*K288+$L$10*L288))</x:f>
        <x:v>0.5359374642011404</x:v>
      </x:c>
      <x:c r="AI288" t="n">
        <x:f>'_曲线基线'!$L$4+AI$9*($H$10*H288+$I$10*I288+$J$10*J288+$K$10*K288+$L$10*L288)</x:f>
        <x:v>3.353682935988891</x:v>
      </x:c>
      <x:c r="AJ288" t="n">
        <x:f>1+AJ$9*($H$10*H288+$I$10*I288+$J$10*J288+$K$10*K288+$L$10*L288)</x:f>
        <x:v>2.110714203888321</x:v>
      </x:c>
      <x:c r="AK288" t="n">
        <x:f>(1+AH288*(AI288-1))*AJ288</x:f>
        <x:v>4.773225803421574</x:v>
      </x:c>
      <x:c r="AL288" t="n">
        <x:f>U288*AD288*AK288*F288</x:f>
        <x:v>2493881.0048386566</x:v>
      </x:c>
      <x:c r="AM288" t="n">
        <x:f>IF($B288&lt;AM$8,0,AM$3+(AM$4-AM$3)*(POWER(AM$5,$B288-AM$8)-1)/(POWER(AM$5,$C$5-AM$8)-1))</x:f>
        <x:v>54.57946914396338</x:v>
      </x:c>
      <x:c r="AN288" t="n">
        <x:f>(((E288*'模块规划'!$D$10+G288*'模块规划'!$D$11+H288*'模块规划'!$D$13)*(1+'模块规划'!$G$14*H288)+(I288*'模块规划'!$D$15+J288*'模块规划'!$D$17+K288*'模块规划'!$D$16+L288*'模块规划'!$D$18))*(1+'模块规划'!$J$17*J288))*F288/(1-Q288)</x:f>
        <x:v>2967931.4280924383</x:v>
      </x:c>
      <x:c r="AO288" t="n">
        <x:f>AL288*AM288</x:f>
        <x:v>136114701.35230786</x:v>
      </x:c>
      <x:c r="AP288" t="n">
        <x:f>IF(AO288="","",INDEX('_曲线基线'!$A$3:$A$502,MIN(ROWS('_曲线基线'!$A$3:$A$502),COUNTIF('_曲线基线'!$E$3:$E$502,"&lt;"&amp;AO288)+1)))</x:f>
        <x:v>318</x:v>
      </x:c>
      <x:c r="AQ288" t="n">
        <x:f>IF(B288&lt;=2,1,IF(B288&lt;=6,2,IF(B288&lt;=9,3,IF(B288&lt;=19,4,5))))</x:f>
        <x:v>5</x:v>
      </x:c>
      <x:c r="AR288" t="n">
        <x:f>AN288*(1-Q288)/F288*$AS$3+U288*$AS$4+P288*$AS$5</x:f>
        <x:v>18065.3718612222</x:v>
      </x:c>
      <x:c r="AS288" t="n">
        <x:f>1+AH288*$AS$6+AI288*$AS$7+(AJ288-1)*$AS$8+($H$10*H288+$I$10*I288+$J$10*J288+$K$10*K288+$L$10*L288)*$AU$3*$AS$9+($H$10*H288+$I$10*I288+$J$10*J288+$K$10*K288+$L$10*L288)*$AU$4*$AS$10</x:f>
        <x:v>17.744356102181026</x:v>
      </x:c>
      <x:c r="AT288" t="n">
        <x:f>ROUND(AR288*AS288,0)</x:f>
        <x:v>320558</x:v>
      </x:c>
      <x:c r="AU288" t="n">
        <x:f>ROUND(AT288*F288,0)</x:f>
        <x:v>1602790</x:v>
      </x:c>
    </x:row>
    <x:row r="289">
      <x:c r="A289" t="str">
        <x:f>IFERROR(XLOOKUP(B289,'_曲线基线'!$G$3:$G$107,'_曲线基线'!$J$3:$J$107,""),"")</x:f>
      </x:c>
      <x:c r="B289" t="n">
        <x:v>278</x:v>
      </x:c>
      <x:c r="C289" t="n">
        <x:f>C274+1</x:f>
        <x:v>19</x:v>
      </x:c>
      <x:c r="D289" t="n">
        <x:f>D274</x:f>
        <x:v>14</x:v>
      </x:c>
      <x:c r="E289" t="n">
        <x:f>IF($B289&lt;E$8,0,E$3+(E$4-E$3)*(POWER(E$5,$B289-E$8)-1)/(POWER(E$5,$C$5-E$8)-1))</x:f>
        <x:v>1</x:v>
      </x:c>
      <x:c r="F289" t="n">
        <x:f>1+IF(B289&lt;3,0,MIN(1,(B289-2)/4))+IF(B289&lt;7,0,MIN(1,(B289-6)/3))+IF(B289&lt;10,0,MIN(1,(B289-9)/5))+IF(B289&lt;20,0,MIN(1,(B289-19)/10))</x:f>
        <x:v>5</x:v>
      </x:c>
      <x:c r="G289" t="n">
        <x:f>IF($B289&lt;G$8,0,G$3+(G$4-G$3)*(POWER(G$5,$B289-G$8)-1)/(POWER(G$5,$C$5-G$8)-1))</x:f>
        <x:v>0.8997916848177707</x:v>
      </x:c>
      <x:c r="H289" t="n">
        <x:f>IF($B289&lt;H$8,0,H$3+(H$4-H$3)*(POWER(H$5,$B289-H$8)-1)/(POWER(H$5,$C$5-H$8)-1))</x:f>
        <x:v>0.6999320997556007</x:v>
      </x:c>
      <x:c r="I289" t="n">
        <x:f>IF($B289&lt;I$8,0,I$3+(I$4-I$3)*(POWER(I$5,$B289-I$8)-1)/(POWER(I$5,$C$5-I$8)-1))</x:f>
        <x:v>0.6498254169968692</x:v>
      </x:c>
      <x:c r="J289" t="n">
        <x:f>IF($B289&lt;J$8,0,J$3+(J$4-J$3)*(POWER(J$5,$B289-J$8)-1)/(POWER(J$5,$C$5-J$8)-1))</x:f>
        <x:v>0.5999194443962</x:v>
      </x:c>
      <x:c r="K289" t="n">
        <x:f>IF($B289&lt;K$8,0,K$3+(K$4-K$3)*(POWER(K$5,$B289-K$8)-1)/(POWER(K$5,$C$5-K$8)-1))</x:f>
        <x:v>0.6496335459847208</x:v>
      </x:c>
      <x:c r="L289" t="n">
        <x:f>IF($B289&lt;L$8,0,L$3+(L$4-L$3)*(POWER(L$5,$B289-L$8)-1)/(POWER(L$5,$C$5-L$8)-1))</x:f>
        <x:v>0.6999307073149126</x:v>
      </x:c>
      <x:c r="M289" t="n">
        <x:f>E289*'模块规划'!$F$10+G289*'模块规划'!$F$11+H289*'模块规划'!$F$13</x:f>
        <x:v>5319.0000871253</x:v>
      </x:c>
      <x:c r="N289" t="n">
        <x:f>I289*'模块规划'!$F$15+J289*'模块规划'!$F$17+K289*'模块规划'!$F$16+L289*'模块规划'!$F$18</x:f>
        <x:v>18595.25259241984</x:v>
      </x:c>
      <x:c r="O289" t="n">
        <x:f>1+O$9*SUMPRODUCT($H$10:$L$10,H289:L289)/SUM($H$10:$L$10)</x:f>
        <x:v>3.4206687561625744</x:v>
      </x:c>
      <x:c r="P289" t="n">
        <x:f>M289*O289+N289</x:f>
        <x:v>36789.79000447536</x:v>
      </x:c>
      <x:c r="Q289" t="n">
        <x:f>P289/(P289+'_曲线基线'!$L$2)</x:f>
        <x:v>0.6051968595674847</x:v>
      </x:c>
      <x:c r="R289" t="n">
        <x:f>E289*'模块规划'!$E$10+G289*'模块规划'!$E$11+H289*'模块规划'!$E$13</x:f>
        <x:v>7978.500130687949</x:v>
      </x:c>
      <x:c r="S289" t="n">
        <x:f>I289*'模块规划'!$E$15+J289*'模块规划'!$E$17+K289*'模块规划'!$E$16+L289*'模块规划'!$E$18</x:f>
        <x:v>27892.878888629766</x:v>
      </x:c>
      <x:c r="T289" t="n">
        <x:f>1+T$9*SUMPRODUCT($H$10:$L$10,H289:L289)/SUM($H$10:$L$10)</x:f>
        <x:v>3.4206687561625744</x:v>
      </x:c>
      <x:c r="U289" t="n">
        <x:f>R289*T289+S289</x:f>
        <x:v>55184.68500671305</x:v>
      </x:c>
      <x:c r="V289" t="n">
        <x:f>V$8+(V$9-V$8)*H289</x:f>
        <x:v>0.9099796299266802</x:v>
      </x:c>
      <x:c r="W289" t="n">
        <x:f>IF(B289&lt;$H$8,0,W$8+(W$9-W$8)*H289)</x:f>
        <x:v>0.27997283990224026</x:v>
      </x:c>
      <x:c r="X289" t="n">
        <x:f>X$8+(X$9-X$8)*H289</x:f>
        <x:v>0.46748132743279025</x:v>
      </x:c>
      <x:c r="Y289" t="n">
        <x:f>Y$8+(Y$9-Y$8)*G289</x:f>
        <x:v>1</x:v>
      </x:c>
      <x:c r="Z289" t="n">
        <x:f>Z$8+(Z$9-Z$8)*H289</x:f>
        <x:v>1</x:v>
      </x:c>
      <x:c r="AA289" t="n">
        <x:f>AA$8+(AA$9-AA$8)*I289</x:f>
        <x:v>1</x:v>
      </x:c>
      <x:c r="AB289" t="n">
        <x:f>AB$8+(AB$9-AB$8)*J289</x:f>
        <x:v>1</x:v>
      </x:c>
      <x:c r="AC289" t="n">
        <x:f>AC$8+(AC$9-AC$8)*MAX(K289,L289)</x:f>
        <x:v>1</x:v>
      </x:c>
      <x:c r="AD289" t="n">
        <x:f>(V289*AE289+W289*AF289+X289*AG289)*PRODUCT(Y289:AC289)</x:f>
        <x:v>1.8942505587320235</x:v>
      </x:c>
      <x:c r="AE289" t="n">
        <x:f>1+AE$9*($H$10*H289+$I$10*I289+$J$10*J289+$K$10*K289+$L$10*L289)</x:f>
        <x:v>1</x:v>
      </x:c>
      <x:c r="AF289" t="n">
        <x:f>1+AF$9*($H$10*H289+$I$10*I289+$J$10*J289+$K$10*K289+$L$10*L289)</x:f>
        <x:v>1.2136460683576686</x:v>
      </x:c>
      <x:c r="AG289" t="n">
        <x:f>1+AG$9*($H$10*H289+$I$10*I289+$J$10*J289+$K$10*K289+$L$10*L289)</x:f>
        <x:v>1.3786283100338712</x:v>
      </x:c>
      <x:c r="AH289" t="n">
        <x:f>MIN(1,'_曲线基线'!$L$3+AH$9*($H$10*H289+$I$10*I289+$J$10*J289+$K$10*K289+$L$10*L289))</x:f>
        <x:v>0.5360448055136957</x:v>
      </x:c>
      <x:c r="AI289" t="n">
        <x:f>'_曲线基线'!$L$4+AI$9*($H$10*H289+$I$10*I289+$J$10*J289+$K$10*K289+$L$10*L289)</x:f>
        <x:v>3.353981958216724</x:v>
      </x:c>
      <x:c r="AJ289" t="n">
        <x:f>1+AJ$9*($H$10*H289+$I$10*I289+$J$10*J289+$K$10*K289+$L$10*L289)</x:f>
        <x:v>2.110959555459876</x:v>
      </x:c>
      <x:c r="AK289" t="n">
        <x:f>(1+AH289*(AI289-1))*AJ289</x:f>
        <x:v>4.774652340787709</x:v>
      </x:c>
      <x:c r="AL289" t="n">
        <x:f>U289*AD289*AK289*F289</x:f>
        <x:v>2495558.476846435</x:v>
      </x:c>
      <x:c r="AM289" t="n">
        <x:f>IF($B289&lt;AM$8,0,AM$3+(AM$4-AM$3)*(POWER(AM$5,$B289-AM$8)-1)/(POWER(AM$5,$C$5-AM$8)-1))</x:f>
        <x:v>54.78868847532488</x:v>
      </x:c>
      <x:c r="AN289" t="n">
        <x:f>(((E289*'模块规划'!$D$10+G289*'模块规划'!$D$11+H289*'模块规划'!$D$13)*(1+'模块规划'!$G$14*H289)+(I289*'模块规划'!$D$15+J289*'模块规划'!$D$17+K289*'模块规划'!$D$16+L289*'模块规划'!$D$18))*(1+'模块规划'!$J$17*J289))*F289/(1-Q289)</x:f>
        <x:v>2969390.540159013</x:v>
      </x:c>
      <x:c r="AO289" t="n">
        <x:f>AL289*AM289</x:f>
        <x:v>136728375.9598956</x:v>
      </x:c>
      <x:c r="AP289" t="n">
        <x:f>IF(AO289="","",INDEX('_曲线基线'!$A$3:$A$502,MIN(ROWS('_曲线基线'!$A$3:$A$502),COUNTIF('_曲线基线'!$E$3:$E$502,"&lt;"&amp;AO289)+1)))</x:f>
        <x:v>318</x:v>
      </x:c>
      <x:c r="AQ289" t="n">
        <x:f>IF(B289&lt;=2,1,IF(B289&lt;=6,2,IF(B289&lt;=9,3,IF(B289&lt;=19,4,5))))</x:f>
        <x:v>5</x:v>
      </x:c>
      <x:c r="AR289" t="n">
        <x:f>AN289*(1-Q289)/F289*$AS$3+U289*$AS$4+P289*$AS$5</x:f>
        <x:v>18070.885263894896</x:v>
      </x:c>
      <x:c r="AS289" t="n">
        <x:f>1+AH289*$AS$6+AI289*$AS$7+(AJ289-1)*$AS$8+($H$10*H289+$I$10*I289+$J$10*J289+$K$10*K289+$L$10*L289)*$AU$3*$AS$9+($H$10*H289+$I$10*I289+$J$10*J289+$K$10*K289+$L$10*L289)*$AU$4*$AS$10</x:f>
        <x:v>17.747175339715863</x:v>
      </x:c>
      <x:c r="AT289" t="n">
        <x:f>ROUND(AR289*AS289,0)</x:f>
        <x:v>320707</x:v>
      </x:c>
      <x:c r="AU289" t="n">
        <x:f>ROUND(AT289*F289,0)</x:f>
        <x:v>1603535</x:v>
      </x:c>
    </x:row>
    <x:row r="290">
      <x:c r="A290" t="str">
        <x:f>IFERROR(XLOOKUP(B290,'_曲线基线'!$G$3:$G$107,'_曲线基线'!$J$3:$J$107,""),"")</x:f>
      </x:c>
      <x:c r="B290" t="n">
        <x:v>279</x:v>
      </x:c>
      <x:c r="C290" t="n">
        <x:f>C275+1</x:f>
        <x:v>19</x:v>
      </x:c>
      <x:c r="D290" t="n">
        <x:f>D275</x:f>
        <x:v>15</x:v>
      </x:c>
      <x:c r="E290" t="n">
        <x:f>IF($B290&lt;E$8,0,E$3+(E$4-E$3)*(POWER(E$5,$B290-E$8)-1)/(POWER(E$5,$C$5-E$8)-1))</x:f>
        <x:v>1</x:v>
      </x:c>
      <x:c r="F290" t="n">
        <x:f>1+IF(B290&lt;3,0,MIN(1,(B290-2)/4))+IF(B290&lt;7,0,MIN(1,(B290-6)/3))+IF(B290&lt;10,0,MIN(1,(B290-9)/5))+IF(B290&lt;20,0,MIN(1,(B290-19)/10))</x:f>
        <x:v>5</x:v>
      </x:c>
      <x:c r="G290" t="n">
        <x:f>IF($B290&lt;G$8,0,G$3+(G$4-G$3)*(POWER(G$5,$B290-G$8)-1)/(POWER(G$5,$C$5-G$8)-1))</x:f>
        <x:v>0.9</x:v>
      </x:c>
      <x:c r="H290" t="n">
        <x:f>IF($B290&lt;H$8,0,H$3+(H$4-H$3)*(POWER(H$5,$B290-H$8)-1)/(POWER(H$5,$C$5-H$8)-1))</x:f>
        <x:v>0.7</x:v>
      </x:c>
      <x:c r="I290" t="n">
        <x:f>IF($B290&lt;I$8,0,I$3+(I$4-I$3)*(POWER(I$5,$B290-I$8)-1)/(POWER(I$5,$C$5-I$8)-1))</x:f>
        <x:v>0.65</x:v>
      </x:c>
      <x:c r="J290" t="n">
        <x:f>IF($B290&lt;J$8,0,J$3+(J$4-J$3)*(POWER(J$5,$B290-J$8)-1)/(POWER(J$5,$C$5-J$8)-1))</x:f>
        <x:v>0.6</x:v>
      </x:c>
      <x:c r="K290" t="n">
        <x:f>IF($B290&lt;K$8,0,K$3+(K$4-K$3)*(POWER(K$5,$B290-K$8)-1)/(POWER(K$5,$C$5-K$8)-1))</x:f>
        <x:v>0.65</x:v>
      </x:c>
      <x:c r="L290" t="n">
        <x:f>IF($B290&lt;L$8,0,L$3+(L$4-L$3)*(POWER(L$5,$B290-L$8)-1)/(POWER(L$5,$C$5-L$8)-1))</x:f>
        <x:v>0.7</x:v>
      </x:c>
      <x:c r="M290" t="n">
        <x:f>E290*'模块规划'!$F$10+G290*'模块规划'!$F$11+H290*'模块规划'!$F$13</x:f>
        <x:v>5320</x:v>
      </x:c>
      <x:c r="N290" t="n">
        <x:f>I290*'模块规划'!$F$15+J290*'模块规划'!$F$17+K290*'模块规划'!$F$16+L290*'模块规划'!$F$18</x:f>
        <x:v>18600</x:v>
      </x:c>
      <x:c r="O290" t="n">
        <x:f>1+O$9*SUMPRODUCT($H$10:$L$10,H290:L290)/SUM($H$10:$L$10)</x:f>
        <x:v>3.4211926605504592</x:v>
      </x:c>
      <x:c r="P290" t="n">
        <x:f>M290*O290+N290</x:f>
        <x:v>36800.744954128444</x:v>
      </x:c>
      <x:c r="Q290" t="n">
        <x:f>P290/(P290+'_曲线基线'!$L$2)</x:f>
        <x:v>0.6052679943624544</x:v>
      </x:c>
      <x:c r="R290" t="n">
        <x:f>E290*'模块规划'!$E$10+G290*'模块规划'!$E$11+H290*'模块规划'!$E$13</x:f>
        <x:v>7980</x:v>
      </x:c>
      <x:c r="S290" t="n">
        <x:f>I290*'模块规划'!$E$15+J290*'模块规划'!$E$17+K290*'模块规划'!$E$16+L290*'模块规划'!$E$18</x:f>
        <x:v>27900</x:v>
      </x:c>
      <x:c r="T290" t="n">
        <x:f>1+T$9*SUMPRODUCT($H$10:$L$10,H290:L290)/SUM($H$10:$L$10)</x:f>
        <x:v>3.4211926605504592</x:v>
      </x:c>
      <x:c r="U290" t="n">
        <x:f>R290*T290+S290</x:f>
        <x:v>55201.117431192666</x:v>
      </x:c>
      <x:c r="V290" t="n">
        <x:f>V$8+(V$9-V$8)*H290</x:f>
        <x:v>0.9099999999999999</x:v>
      </x:c>
      <x:c r="W290" t="n">
        <x:f>IF(B290&lt;$H$8,0,W$8+(W$9-W$8)*H290)</x:f>
        <x:v>0.27999999999999997</x:v>
      </x:c>
      <x:c r="X290" t="n">
        <x:f>X$8+(X$9-X$8)*H290</x:f>
        <x:v>0.4675</x:v>
      </x:c>
      <x:c r="Y290" t="n">
        <x:f>Y$8+(Y$9-Y$8)*G290</x:f>
        <x:v>1</x:v>
      </x:c>
      <x:c r="Z290" t="n">
        <x:f>Z$8+(Z$9-Z$8)*H290</x:f>
        <x:v>1</x:v>
      </x:c>
      <x:c r="AA290" t="n">
        <x:f>AA$8+(AA$9-AA$8)*I290</x:f>
        <x:v>1</x:v>
      </x:c>
      <x:c r="AB290" t="n">
        <x:f>AB$8+(AB$9-AB$8)*J290</x:f>
        <x:v>1</x:v>
      </x:c>
      <x:c r="AC290" t="n">
        <x:f>AC$8+(AC$9-AC$8)*MAX(K290,L290)</x:f>
        <x:v>1</x:v>
      </x:c>
      <x:c r="AD290" t="n">
        <x:f>(V290*AE290+W290*AF290+X290*AG290)*PRODUCT(Y290:AC290)</x:f>
        <x:v>1.8943808910256426</x:v>
      </x:c>
      <x:c r="AE290" t="n">
        <x:f>1+AE$9*($H$10*H290+$I$10*I290+$J$10*J290+$K$10*K290+$L$10*L290)</x:f>
        <x:v>1</x:v>
      </x:c>
      <x:c r="AF290" t="n">
        <x:f>1+AF$9*($H$10*H290+$I$10*I290+$J$10*J290+$K$10*K290+$L$10*L290)</x:f>
        <x:v>1.2136923076923078</x:v>
      </x:c>
      <x:c r="AG290" t="n">
        <x:f>1+AG$9*($H$10*H290+$I$10*I290+$J$10*J290+$K$10*K290+$L$10*L290)</x:f>
        <x:v>1.3787102564102596</x:v>
      </x:c>
      <x:c r="AH290" t="n">
        <x:f>MIN(1,'_曲线基线'!$L$3+AH$9*($H$10*H290+$I$10*I290+$J$10*J290+$K$10*K290+$L$10*L290))</x:f>
        <x:v>0.53615</x:v>
      </x:c>
      <x:c r="AI290" t="n">
        <x:f>'_曲线基线'!$L$4+AI$9*($H$10*H290+$I$10*I290+$J$10*J290+$K$10*K290+$L$10*L290)</x:f>
        <x:v>3.354275</x:v>
      </x:c>
      <x:c r="AJ290" t="n">
        <x:f>1+AJ$9*($H$10*H290+$I$10*I290+$J$10*J290+$K$10*K290+$L$10*L290)</x:f>
        <x:v>2.1112</x:v>
      </x:c>
      <x:c r="AK290" t="n">
        <x:f>(1+AH290*(AI290-1))*AJ290</x:f>
        <x:v>4.776050675487001</x:v>
      </x:c>
      <x:c r="AL290" t="n">
        <x:f>U290*AD290*AK290*F290</x:f>
        <x:v>2497204.4717253875</x:v>
      </x:c>
      <x:c r="AM290" t="n">
        <x:f>IF($B290&lt;AM$8,0,AM$3+(AM$4-AM$3)*(POWER(AM$5,$B290-AM$8)-1)/(POWER(AM$5,$C$5-AM$8)-1))</x:f>
        <x:v>55</x:v>
      </x:c>
      <x:c r="AN290" t="n">
        <x:f>(((E290*'模块规划'!$D$10+G290*'模块规划'!$D$11+H290*'模块规划'!$D$13)*(1+'模块规划'!$G$14*H290)+(I290*'模块规划'!$D$15+J290*'模块规划'!$D$17+K290*'模块规划'!$D$16+L290*'模块规划'!$D$18))*(1+'模块规划'!$J$17*J290))*F290/(1-Q290)</x:f>
        <x:v>2970822.6929963916</x:v>
      </x:c>
      <x:c r="AO290" t="n">
        <x:f>AL290*AM290</x:f>
        <x:v>137346245.9448963</x:v>
      </x:c>
      <x:c r="AP290" t="n">
        <x:f>IF(AO290="","",INDEX('_曲线基线'!$A$3:$A$502,MIN(ROWS('_曲线基线'!$A$3:$A$502),COUNTIF('_曲线基线'!$E$3:$E$502,"&lt;"&amp;AO290)+1)))</x:f>
        <x:v>319</x:v>
      </x:c>
      <x:c r="AQ290" t="n">
        <x:f>IF(B290&lt;=2,1,IF(B290&lt;=6,2,IF(B290&lt;=9,3,IF(B290&lt;=19,4,5))))</x:f>
        <x:v>5</x:v>
      </x:c>
      <x:c r="AR290" t="n">
        <x:f>AN290*(1-Q290)/F290*$AS$3+U290*$AS$4+P290*$AS$5</x:f>
        <x:v>18076.296286238532</x:v>
      </x:c>
      <x:c r="AS290" t="n">
        <x:f>1+AH290*$AS$6+AI290*$AS$7+(AJ290-1)*$AS$8+($H$10*H290+$I$10*I290+$J$10*J290+$K$10*K290+$L$10*L290)*$AU$3*$AS$9+($H$10*H290+$I$10*I290+$J$10*J290+$K$10*K290+$L$10*L290)*$AU$4*$AS$10</x:f>
        <x:v>17.7499381925</x:v>
      </x:c>
      <x:c r="AT290" t="n">
        <x:f>ROUND(AR290*AS290,0)</x:f>
        <x:v>320853</x:v>
      </x:c>
      <x:c r="AU290" t="n">
        <x:f>ROUND(AT290*F290,0)</x:f>
        <x:v>1604265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2" hidden="0" customWidth="1"/>
  </x:cols>
  <x:sheetData>
    <x:row r="1" ht="32" customHeight="1">
      <x:c r="A1" s="94" t="str">
        <x:v>项目</x:v>
      </x:c>
      <x:c r="B1" s="94" t="str">
        <x:v>当前口径</x:v>
      </x:c>
    </x:row>
    <x:row r="2">
      <x:c r="A2" t="str">
        <x:v>玩家曲线</x:v>
      </x:c>
      <x:c r="B2" t="str">
        <x:v>主线调参 → 玩家战力_节点 → 玩家战力曲线</x:v>
      </x:c>
    </x:row>
    <x:row r="3">
      <x:c r="A3" t="str">
        <x:v>批准版本</x:v>
      </x:c>
      <x:c r="B3" t="str">
        <x:v>第1～2章节点不变，第3～7章成长放缓</x:v>
      </x:c>
    </x:row>
    <x:row r="4">
      <x:c r="A4" t="str">
        <x:v>怪物反查</x:v>
      </x:c>
      <x:c r="B4" t="str">
        <x:v>战斗公式.xlsx / 怪物标准模型 AZ、AO、AD</x:v>
      </x:c>
    </x:row>
    <x:row r="5">
      <x:c r="A5" t="str">
        <x:v>调前对比</x:v>
      </x:c>
      <x:c r="B5" t="str">
        <x:v>调前玩家曲线保留旧版本；不用于当前产出</x:v>
      </x:c>
    </x:row>
    <x:row r="6">
      <x:c r="A6" t="str">
        <x:v>生效范围</x:v>
      </x:c>
      <x:c r="B6" t="str">
        <x:v>仅四份源表；未更新SVN工程配置</x:v>
      </x:c>
    </x:row>
    <x:row r="7">
      <x:c r="A7" t="str">
        <x:v>后续使用</x:v>
      </x:c>
      <x:c r="B7" t="str">
        <x:v>修改主线调参后，须重新同步其余源表缓存；Excel文件之间不是实时链接</x:v>
      </x:c>
    </x:row>
  </x:sheetData>
  <x:pageMargins left="0.7" right="0.7" top="0.75" bottom="0.75" header="0.3" footer="0.3"/>
</x:worksheet>
</file>