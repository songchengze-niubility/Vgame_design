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b58c25f6a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e462ed3fa1c740bc"/>
    <x:sheet xmlns:r="http://schemas.openxmlformats.org/officeDocument/2006/relationships" name="数值汇总" sheetId="2" r:id="Rd1af39efb1fa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222222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007A3D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A651"/>
      </x:patternFill>
    </x:fill>
    <x:fill>
      <x:patternFill patternType="solid">
        <x:fgColor rgb="FFFFFBE6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FFBE6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FFBE6"/>
      </x:patternFill>
    </x:fill>
    <x:fill>
      <x:patternFill patternType="solid">
        <x:fgColor rgb="FF00A651"/>
      </x:patternFill>
    </x:fill>
    <x:fill>
      <x:patternFill patternType="solid">
        <x:fgColor rgb="FFFFFFFF"/>
      </x:patternFill>
    </x:fill>
    <x:fill>
      <x:patternFill patternType="solid">
        <x:fgColor rgb="FFFFFBE6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1" fillId="14" borderId="1" xfId="0" applyNumberFormat="1" applyFont="1" applyFill="1" applyBorder="1" applyAlignment="1">
      <x:alignment vertical="center" wrapText="1"/>
    </x:xf>
    <x:xf numFmtId="0" fontId="1" fillId="1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629e300fe4c76" /><Relationship Type="http://schemas.openxmlformats.org/officeDocument/2006/relationships/theme" Target="/xl/theme/theme1.xml" Id="Rfbe5ad0b29a14cc4" /><Relationship Type="http://schemas.openxmlformats.org/officeDocument/2006/relationships/sharedStrings" Target="/xl/sharedStrings.xml" Id="Rfd14c744b95348aa" /><Relationship Type="http://schemas.openxmlformats.org/officeDocument/2006/relationships/worksheet" Target="/xl/worksheets/sheet1.xml" Id="Re462ed3fa1c740bc" /><Relationship Type="http://schemas.openxmlformats.org/officeDocument/2006/relationships/worksheet" Target="/xl/worksheets/sheet2.xml" Id="Rd1af39efb1fa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6" hidden="0" customWidth="1"/>
    <x:col min="3" max="3" width="15" hidden="0" customWidth="1"/>
    <x:col min="4" max="4" width="18" hidden="0" customWidth="1"/>
    <x:col min="5" max="5" width="28" hidden="0" customWidth="1"/>
    <x:col min="6" max="6" width="42" hidden="0" customWidth="1"/>
  </x:cols>
  <x:sheetData>
    <x:row r="1" ht="30" customHeight="1">
      <x:c r="A1" s="6" t="str">
        <x:v>文件</x:v>
      </x:c>
      <x:c r="B1" s="6" t="str">
        <x:v>正式目标</x:v>
      </x:c>
      <x:c r="C1" s="6" t="str">
        <x:v>有效数据行</x:v>
      </x:c>
      <x:c r="D1" s="6" t="str">
        <x:v>状态</x:v>
      </x:c>
      <x:c r="E1" s="6" t="str">
        <x:v>落表方式</x:v>
      </x:c>
      <x:c r="F1" s="6" t="str">
        <x:v>说明</x:v>
      </x:c>
    </x:row>
    <x:row r="2" ht="30" customHeight="1">
      <x:c r="A2" s="7" t="str">
        <x:v>RoguelikeLevel.xlsx</x:v>
      </x:c>
      <x:c r="B2" s="7" t="str">
        <x:v>Rogue/RoguelikeLevel.xlsx</x:v>
      </x:c>
      <x:c r="C2" s="7" t="n">
        <x:v>5</x:v>
      </x:c>
      <x:c r="D2" s="7" t="str">
        <x:v>VALUE_READY</x:v>
      </x:c>
      <x:c r="E2" s="7" t="str">
        <x:v>按Id覆盖</x:v>
      </x:c>
      <x:c r="F2" s="7" t="str">
        <x:v>顺序解锁；首通Drop引用</x:v>
      </x:c>
    </x:row>
    <x:row r="3" ht="30" customHeight="1">
      <x:c r="A3" s="8" t="str">
        <x:v>RougelikeCombatReward.xlsx</x:v>
      </x:c>
      <x:c r="B3" s="8" t="str">
        <x:v>Rogue/RougelikeCombatReward.xlsx</x:v>
      </x:c>
      <x:c r="C3" s="8" t="n">
        <x:v>5</x:v>
      </x:c>
      <x:c r="D3" s="8" t="str">
        <x:v>VALUE_READY</x:v>
      </x:c>
      <x:c r="E3" s="8" t="str">
        <x:v>替换Id1—5并删除Id6</x:v>
      </x:c>
      <x:c r="F3" s="8" t="str">
        <x:v>单局积分；代币为0</x:v>
      </x:c>
    </x:row>
    <x:row r="4" ht="30" customHeight="1">
      <x:c r="A4" s="7" t="str">
        <x:v>RoguelikeWeeklyScoreReward.xlsx</x:v>
      </x:c>
      <x:c r="B4" s="7" t="str">
        <x:v>Rogue/RoguelikeWeeklyScoreReward.xlsx</x:v>
      </x:c>
      <x:c r="C4" s="7" t="n">
        <x:v>7</x:v>
      </x:c>
      <x:c r="D4" s="7" t="str">
        <x:v>VALUE_READY</x:v>
      </x:c>
      <x:c r="E4" s="7" t="str">
        <x:v>替换并扩展</x:v>
      </x:c>
      <x:c r="F4" s="7" t="str">
        <x:v>1000—5000七档；每档仅两项奖励：收容凭证 + 元晶/收容物经验</x:v>
      </x:c>
    </x:row>
    <x:row r="5" ht="30" customHeight="1">
      <x:c r="A5" s="8" t="str">
        <x:v>Drop_dungeon.xlsx</x:v>
      </x:c>
      <x:c r="B5" s="8" t="str">
        <x:v>Drop/Drop_dungeon.xlsx</x:v>
      </x:c>
      <x:c r="C5" s="8" t="n">
        <x:v>10</x:v>
      </x:c>
      <x:c r="D5" s="8" t="str">
        <x:v>VALUE_READY</x:v>
      </x:c>
      <x:c r="E5" s="8" t="str">
        <x:v>按DropId追加</x:v>
      </x:c>
      <x:c r="F5" s="8" t="str">
        <x:v>五个首通包，每包2个固定奖励项</x:v>
      </x:c>
    </x:row>
    <x:row r="6" ht="30" customHeight="1">
      <x:c r="A6" s="7" t="str">
        <x:v>globals_conf.xlsx</x:v>
      </x:c>
      <x:c r="B6" s="7" t="str">
        <x:v>globals_conf/globals_conf.xlsx</x:v>
      </x:c>
      <x:c r="C6" s="7" t="n">
        <x:v>1</x:v>
      </x:c>
      <x:c r="D6" s="7" t="str">
        <x:v>VALUE_READY</x:v>
      </x:c>
      <x:c r="E6" s="7" t="str">
        <x:v>按参数名覆盖</x:v>
      </x:c>
      <x:c r="F6" s="7" t="str">
        <x:v>RougeScoreWeekLimit=5000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40" hidden="0" customWidth="1"/>
    <x:col min="5" max="5" width="20" hidden="0" customWidth="1"/>
    <x:col min="6" max="6" width="16" hidden="0" customWidth="1"/>
    <x:col min="7" max="7" width="14" hidden="0" customWidth="1"/>
    <x:col min="8" max="8" width="12" hidden="0" customWidth="1"/>
  </x:cols>
  <x:sheetData>
    <x:row r="1" ht="36" customHeight="1">
      <x:c r="A1" s="11" t="str">
        <x:v>肉鸽最终配置 · 已确认口径与自动校验</x:v>
      </x:c>
      <x:c r="B1" s="11"/>
      <x:c r="C1" s="11"/>
      <x:c r="D1" s="11"/>
      <x:c r="E1" s="11"/>
      <x:c r="F1" s="11"/>
      <x:c r="G1" s="11"/>
      <x:c r="H1" s="11"/>
    </x:row>
    <x:row r="2" ht="28" customHeight="1"/>
    <x:row r="3" ht="28" customHeight="1">
      <x:c r="A3" s="13" t="str">
        <x:v>参数</x:v>
      </x:c>
      <x:c r="B3" s="13" t="str">
        <x:v>数值</x:v>
      </x:c>
      <x:c r="C3" s="13" t="str">
        <x:v>单位/状态</x:v>
      </x:c>
      <x:c r="D3" s="13" t="str">
        <x:v>说明</x:v>
      </x:c>
    </x:row>
    <x:row r="4" ht="28" customHeight="1">
      <x:c r="A4" s="4" t="str">
        <x:v>内容周期</x:v>
      </x:c>
      <x:c r="B4" s="4" t="n">
        <x:v>7</x:v>
      </x:c>
      <x:c r="C4" s="4" t="str">
        <x:v>天</x:v>
      </x:c>
      <x:c r="D4" s="4" t="str">
        <x:v>肉鸽每期7天，与系统每周刷新边界一致</x:v>
      </x:c>
    </x:row>
    <x:row r="5" ht="28" customHeight="1">
      <x:c r="A5" s="4" t="str">
        <x:v>积分重置周期</x:v>
      </x:c>
      <x:c r="B5" s="4" t="n">
        <x:v>7</x:v>
      </x:c>
      <x:c r="C5" s="4" t="str">
        <x:v>天</x:v>
      </x:c>
      <x:c r="D5" s="4" t="str">
        <x:v>每期结束时清空积分与积分奖励领取状态</x:v>
      </x:c>
    </x:row>
    <x:row r="6" ht="28" customHeight="1">
      <x:c r="A6" s="4" t="str">
        <x:v>周积分上限</x:v>
      </x:c>
      <x:c r="B6" s="4" t="n">
        <x:v>5000</x:v>
      </x:c>
      <x:c r="C6" s="4" t="str">
        <x:v>分</x:v>
      </x:c>
      <x:c r="D6" s="4" t="str">
        <x:v>与最高档奖励要求一致</x:v>
      </x:c>
    </x:row>
    <x:row r="7" ht="28" customHeight="1">
      <x:c r="A7" s="4" t="str">
        <x:v>首通收容凭证总量</x:v>
      </x:c>
      <x:c r="B7" s="4" t="n">
        <x:f>SUM(F11:F15)</x:f>
        <x:v>60</x:v>
      </x:c>
      <x:c r="C7" s="4" t="str">
        <x:v>张</x:v>
      </x:c>
      <x:c r="D7" s="4" t="str">
        <x:v>自动汇总</x:v>
      </x:c>
    </x:row>
    <x:row r="8" ht="28" customHeight="1">
      <x:c r="A8" s="4" t="str">
        <x:v>首通元晶总量</x:v>
      </x:c>
      <x:c r="B8" s="4" t="n">
        <x:f>SUM(G11:G15)</x:f>
        <x:v>1500</x:v>
      </x:c>
      <x:c r="C8" s="4" t="str">
        <x:v>个</x:v>
      </x:c>
      <x:c r="D8" s="4" t="str">
        <x:v>自动汇总</x:v>
      </x:c>
    </x:row>
    <x:row r="9" ht="28" customHeight="1"/>
    <x:row r="10" ht="28" customHeight="1">
      <x:c r="A10" s="13" t="str">
        <x:v>难度</x:v>
      </x:c>
      <x:c r="B10" s="13" t="str">
        <x:v>单局积分</x:v>
      </x:c>
      <x:c r="C10" s="13" t="str">
        <x:v>达到5000分局数</x:v>
      </x:c>
      <x:c r="D10" s="13" t="str">
        <x:v>前置难度</x:v>
      </x:c>
      <x:c r="E10" s="13" t="str">
        <x:v>首通DropId</x:v>
      </x:c>
      <x:c r="F10" s="13" t="str">
        <x:v>收容凭证</x:v>
      </x:c>
      <x:c r="G10" s="13" t="str">
        <x:v>元晶</x:v>
      </x:c>
      <x:c r="H10" s="13" t="str">
        <x:v>代币</x:v>
      </x:c>
    </x:row>
    <x:row r="11" ht="28" customHeight="1">
      <x:c r="A11" s="4" t="n">
        <x:v>1</x:v>
      </x:c>
      <x:c r="B11" s="4" t="n">
        <x:v>1800</x:v>
      </x:c>
      <x:c r="C11" s="4" t="n">
        <x:f>ROUNDUP($B$6/B11,0)</x:f>
        <x:v>3</x:v>
      </x:c>
      <x:c r="D11" s="4" t="str">
        <x:v>无</x:v>
      </x:c>
      <x:c r="E11" s="4" t="n">
        <x:v>29001001</x:v>
      </x:c>
      <x:c r="F11" s="4" t="n">
        <x:v>10</x:v>
      </x:c>
      <x:c r="G11" s="4" t="n">
        <x:v>100</x:v>
      </x:c>
      <x:c r="H11" s="4" t="n">
        <x:v>0</x:v>
      </x:c>
    </x:row>
    <x:row r="12" ht="28" customHeight="1">
      <x:c r="A12" s="4" t="n">
        <x:v>2</x:v>
      </x:c>
      <x:c r="B12" s="4" t="n">
        <x:v>2400</x:v>
      </x:c>
      <x:c r="C12" s="4" t="n">
        <x:f>ROUNDUP($B$6/B12,0)</x:f>
        <x:v>3</x:v>
      </x:c>
      <x:c r="D12" s="4" t="n">
        <x:v>1</x:v>
      </x:c>
      <x:c r="E12" s="4" t="n">
        <x:v>29001002</x:v>
      </x:c>
      <x:c r="F12" s="4" t="n">
        <x:v>10</x:v>
      </x:c>
      <x:c r="G12" s="4" t="n">
        <x:v>200</x:v>
      </x:c>
      <x:c r="H12" s="4" t="n">
        <x:v>0</x:v>
      </x:c>
    </x:row>
    <x:row r="13" ht="28" customHeight="1">
      <x:c r="A13" s="4" t="n">
        <x:v>3</x:v>
      </x:c>
      <x:c r="B13" s="4" t="n">
        <x:v>3000</x:v>
      </x:c>
      <x:c r="C13" s="4" t="n">
        <x:f>ROUNDUP($B$6/B13,0)</x:f>
        <x:v>2</x:v>
      </x:c>
      <x:c r="D13" s="4" t="n">
        <x:v>2</x:v>
      </x:c>
      <x:c r="E13" s="4" t="n">
        <x:v>29001003</x:v>
      </x:c>
      <x:c r="F13" s="4" t="n">
        <x:v>10</x:v>
      </x:c>
      <x:c r="G13" s="4" t="n">
        <x:v>300</x:v>
      </x:c>
      <x:c r="H13" s="4" t="n">
        <x:v>0</x:v>
      </x:c>
    </x:row>
    <x:row r="14" ht="28" customHeight="1">
      <x:c r="A14" s="4" t="n">
        <x:v>4</x:v>
      </x:c>
      <x:c r="B14" s="4" t="n">
        <x:v>4000</x:v>
      </x:c>
      <x:c r="C14" s="4" t="n">
        <x:f>ROUNDUP($B$6/B14,0)</x:f>
        <x:v>2</x:v>
      </x:c>
      <x:c r="D14" s="4" t="n">
        <x:v>3</x:v>
      </x:c>
      <x:c r="E14" s="4" t="n">
        <x:v>29001004</x:v>
      </x:c>
      <x:c r="F14" s="4" t="n">
        <x:v>15</x:v>
      </x:c>
      <x:c r="G14" s="4" t="n">
        <x:v>400</x:v>
      </x:c>
      <x:c r="H14" s="4" t="n">
        <x:v>0</x:v>
      </x:c>
    </x:row>
    <x:row r="15" ht="28" customHeight="1">
      <x:c r="A15" s="4" t="n">
        <x:v>5</x:v>
      </x:c>
      <x:c r="B15" s="4" t="n">
        <x:v>5000</x:v>
      </x:c>
      <x:c r="C15" s="4" t="n">
        <x:f>ROUNDUP($B$6/B15,0)</x:f>
        <x:v>1</x:v>
      </x:c>
      <x:c r="D15" s="4" t="n">
        <x:v>4</x:v>
      </x:c>
      <x:c r="E15" s="4" t="n">
        <x:v>29001005</x:v>
      </x:c>
      <x:c r="F15" s="4" t="n">
        <x:v>15</x:v>
      </x:c>
      <x:c r="G15" s="4" t="n">
        <x:v>500</x:v>
      </x:c>
      <x:c r="H15" s="4" t="n">
        <x:v>0</x:v>
      </x:c>
    </x:row>
    <x:row r="16" ht="28" customHeight="1">
      <x:c r="A16" s="14" t="str">
        <x:v>校验</x:v>
      </x:c>
      <x:c r="B16" s="14"/>
      <x:c r="C16" s="14"/>
      <x:c r="D16" s="14"/>
      <x:c r="E16" s="14"/>
      <x:c r="F16" s="14" t="n">
        <x:f>SUM(F11:F15)</x:f>
        <x:v>60</x:v>
      </x:c>
      <x:c r="G16" s="14" t="n">
        <x:f>SUM(G11:G15)</x:f>
        <x:v>1500</x:v>
      </x:c>
      <x:c r="H16" s="14" t="n">
        <x:f>SUM(H11:H15)</x:f>
        <x:v>0</x:v>
      </x:c>
    </x:row>
    <x:row r="17" ht="28" customHeight="1"/>
    <x:row r="18" ht="27" customHeight="1">
      <x:c r="A18" s="25" t="str">
        <x:v>周积分档位</x:v>
      </x:c>
      <x:c r="B18" s="25" t="str">
        <x:v>奖励1</x:v>
      </x:c>
      <x:c r="C18" s="25" t="str">
        <x:v>奖励2</x:v>
      </x:c>
      <x:c r="D18" s="25" t="str">
        <x:v>校验说明</x:v>
      </x:c>
    </x:row>
    <x:row r="19" ht="27" customHeight="1">
      <x:c r="A19" s="26" t="n">
        <x:v>1000</x:v>
      </x:c>
      <x:c r="B19" s="26" t="str">
        <x:v>收容凭证×5</x:v>
      </x:c>
      <x:c r="C19" s="26" t="str">
        <x:v>泛黄档案×20（经验20000）</x:v>
      </x:c>
      <x:c r="D19" s="26" t="str">
        <x:v>基础参与档</x:v>
      </x:c>
    </x:row>
    <x:row r="20" ht="27" customHeight="1">
      <x:c r="A20" s="26" t="n">
        <x:v>1500</x:v>
      </x:c>
      <x:c r="B20" s="26" t="str">
        <x:v>收容凭证×5</x:v>
      </x:c>
      <x:c r="C20" s="26" t="str">
        <x:v>泛黄档案×20（经验20000）</x:v>
      </x:c>
      <x:c r="D20" s="26" t="str">
        <x:v>难度1单局可触达</x:v>
      </x:c>
    </x:row>
    <x:row r="21" ht="27" customHeight="1">
      <x:c r="A21" s="26" t="n">
        <x:v>2000</x:v>
      </x:c>
      <x:c r="B21" s="26" t="str">
        <x:v>收容凭证×8</x:v>
      </x:c>
      <x:c r="C21" s="26" t="str">
        <x:v>元晶×100</x:v>
      </x:c>
      <x:c r="D21" s="26" t="str">
        <x:v>元晶档</x:v>
      </x:c>
    </x:row>
    <x:row r="22" ht="27" customHeight="1">
      <x:c r="A22" s="26" t="n">
        <x:v>2500</x:v>
      </x:c>
      <x:c r="B22" s="26" t="str">
        <x:v>收容凭证×8</x:v>
      </x:c>
      <x:c r="C22" s="26" t="str">
        <x:v>录像带×10（经验40000）</x:v>
      </x:c>
      <x:c r="D22" s="26" t="str">
        <x:v>中段过渡档</x:v>
      </x:c>
    </x:row>
    <x:row r="23" ht="27" customHeight="1">
      <x:c r="A23" s="26" t="n">
        <x:v>3000</x:v>
      </x:c>
      <x:c r="B23" s="26" t="str">
        <x:v>收容凭证×8</x:v>
      </x:c>
      <x:c r="C23" s="26" t="str">
        <x:v>录像带×30（经验120000）</x:v>
      </x:c>
      <x:c r="D23" s="26" t="str">
        <x:v>普通玩家约1—2局触达</x:v>
      </x:c>
    </x:row>
    <x:row r="24" ht="27" customHeight="1">
      <x:c r="A24" s="26" t="n">
        <x:v>4000</x:v>
      </x:c>
      <x:c r="B24" s="26" t="str">
        <x:v>收容凭证×12</x:v>
      </x:c>
      <x:c r="C24" s="26" t="str">
        <x:v>元晶×200</x:v>
      </x:c>
      <x:c r="D24" s="26" t="str">
        <x:v>元晶档</x:v>
      </x:c>
    </x:row>
    <x:row r="25" ht="27" customHeight="1">
      <x:c r="A25" s="26" t="n">
        <x:v>5000</x:v>
      </x:c>
      <x:c r="B25" s="26" t="str">
        <x:v>收容凭证×14</x:v>
      </x:c>
      <x:c r="C25" s="26" t="str">
        <x:v>元晶×300</x:v>
      </x:c>
      <x:c r="D25" s="26" t="str">
        <x:v>等于周积分上限</x:v>
      </x:c>
    </x:row>
    <x:row r="26" ht="27" customHeight="1">
      <x:c r="A26" s="27" t="str">
        <x:v>合计</x:v>
      </x:c>
      <x:c r="B26" s="27" t="str">
        <x:v>收容凭证×60</x:v>
      </x:c>
      <x:c r="C26" s="27" t="str">
        <x:v>元晶×600；收容物经验×200000</x:v>
      </x:c>
      <x:c r="D26" s="27" t="str">
        <x:v>每期重置</x:v>
      </x:c>
    </x:row>
  </x:sheetData>
  <x:mergeCells>
    <x:mergeCell ref="A1:H1"/>
  </x:mergeCells>
  <x:pageMargins left="0.7" right="0.7" top="0.75" bottom="0.75" header="0.3" footer="0.3"/>
</x:worksheet>
</file>