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配置清单" sheetId="1" state="visible" r:id="rId1"/>
    <sheet name="任务总览" sheetId="2" state="visible" r:id="rId2"/>
    <sheet name="新增任务类型" sheetId="3" state="visible" r:id="rId3"/>
    <sheet name="数值校验" sheetId="4" state="visible" r:id="rId4"/>
    <sheet name="落地说明" sheetId="5" state="visible" r:id="rId5"/>
    <sheet name="钥匙来源核对" sheetId="6" state="visible" r:id="rId6"/>
    <sheet name="章节任务落点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0"/>
    </font>
    <font>
      <name val="Microsoft YaHei"/>
      <sz val="11"/>
    </font>
    <font>
      <name val="Microsoft YaHe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1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" fontId="3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.25" customWidth="1" min="1" max="1"/>
    <col width="34.13000106811523" customWidth="1" min="2" max="2"/>
    <col width="42" customWidth="1" min="3" max="3"/>
    <col width="18.8799991607666" customWidth="1" min="4" max="4"/>
  </cols>
  <sheetData>
    <row r="1" ht="25" customHeight="1">
      <c r="A1" s="12" t="inlineStr">
        <is>
          <t>文件</t>
        </is>
      </c>
      <c r="B1" s="12" t="inlineStr">
        <is>
          <t>来源</t>
        </is>
      </c>
      <c r="C1" s="12" t="inlineStr">
        <is>
          <t>本次配置</t>
        </is>
      </c>
      <c r="D1" s="12" t="inlineStr">
        <is>
          <t>状态</t>
        </is>
      </c>
    </row>
    <row r="2" ht="42" customHeight="1">
      <c r="A2" s="13" t="inlineStr">
        <is>
          <t>__enums__.xlsx</t>
        </is>
      </c>
      <c r="B2" s="13" t="inlineStr">
        <is>
          <t>Datas/__enums__.xlsx</t>
        </is>
      </c>
      <c r="C2" s="13" t="inlineStr">
        <is>
          <t>已对齐Datas正式TargetType枚举；七日任务使用正式枚举及既有类型</t>
        </is>
      </c>
      <c r="D2" s="13" t="inlineStr">
        <is>
          <t>枚举一致；程序监听需联调</t>
        </is>
      </c>
    </row>
    <row r="3" ht="90" customHeight="1">
      <c r="A3" s="13" t="inlineStr">
        <is>
          <t>TaskTarget.xlsx</t>
        </is>
      </c>
      <c r="B3" s="13" t="inlineStr">
        <is>
          <t>Datas/task/TaskTarget.xlsx</t>
        </is>
      </c>
      <c r="C3" s="13" t="inlineStr">
        <is>
          <t>每日10、每周33、章节当前挂载69条任务目标、七日70；章节玩家等级10/20/25/30/33/36/38。未挂载旧记录不计入章节数量。</t>
        </is>
      </c>
      <c r="D3" s="13" t="inlineStr">
        <is>
          <t>已配置</t>
        </is>
      </c>
    </row>
    <row r="4" ht="90" customHeight="1">
      <c r="A4" s="13" t="inlineStr">
        <is>
          <t>Task.xlsx</t>
        </is>
      </c>
      <c r="B4" s="13" t="inlineStr">
        <is>
          <t>Datas/task/Task.xlsx</t>
        </is>
      </c>
      <c r="C4" s="13" t="inlineStr">
        <is>
          <t>保留四套任务本体及引用；撤回误改的9条日周UnlockId及备注。章节任务实际落点见“章节任务落点”。</t>
        </is>
      </c>
      <c r="D4" s="13" t="inlineStr">
        <is>
          <t>已配置</t>
        </is>
      </c>
    </row>
    <row r="5" ht="25" customHeight="1">
      <c r="A5" s="13" t="inlineStr">
        <is>
          <t>DailyTask.xlsx</t>
        </is>
      </c>
      <c r="B5" s="13" t="inlineStr">
        <is>
          <t>Datas/task/DailyTask.xlsx</t>
        </is>
      </c>
      <c r="C5" s="13" t="inlineStr">
        <is>
          <t>每日10条任务池</t>
        </is>
      </c>
      <c r="D5" s="13" t="inlineStr">
        <is>
          <t>已配置</t>
        </is>
      </c>
    </row>
    <row r="6" ht="42" customHeight="1">
      <c r="A6" s="13" t="inlineStr">
        <is>
          <t>DailyActiveReward.xlsx</t>
        </is>
      </c>
      <c r="B6" s="13" t="inlineStr">
        <is>
          <t>Datas/task/DailyActiveReward.xlsx</t>
        </is>
      </c>
      <c r="C6" s="13" t="inlineStr">
        <is>
          <t>日活20/40/60/80/100节点</t>
        </is>
      </c>
      <c r="D6" s="13" t="inlineStr">
        <is>
          <t>已配置</t>
        </is>
      </c>
    </row>
    <row r="7" ht="25" customHeight="1">
      <c r="A7" s="13" t="inlineStr">
        <is>
          <t>WeeklyTask.xlsx</t>
        </is>
      </c>
      <c r="B7" s="13" t="inlineStr">
        <is>
          <t>Datas/task/WeeklyTask.xlsx</t>
        </is>
      </c>
      <c r="C7" s="13" t="inlineStr">
        <is>
          <t>11组×3档周常</t>
        </is>
      </c>
      <c r="D7" s="13" t="inlineStr">
        <is>
          <t>已配置</t>
        </is>
      </c>
    </row>
    <row r="8" ht="25" customHeight="1">
      <c r="A8" s="13" t="inlineStr">
        <is>
          <t>WeeklyReward.xlsx</t>
        </is>
      </c>
      <c r="B8" s="13" t="inlineStr">
        <is>
          <t>Datas/task/WeeklyReward.xlsx</t>
        </is>
      </c>
      <c r="C8" s="13" t="inlineStr">
        <is>
          <t>周活10/20/30/40/50/60节点</t>
        </is>
      </c>
      <c r="D8" s="13" t="inlineStr">
        <is>
          <t>已配置</t>
        </is>
      </c>
    </row>
    <row r="9" ht="25" customHeight="1">
      <c r="A9" s="13" t="inlineStr">
        <is>
          <t>Jottings.xlsx</t>
        </is>
      </c>
      <c r="B9" s="13" t="inlineStr">
        <is>
          <t>Datas/task/Jottings.xlsx</t>
        </is>
      </c>
      <c r="C9" s="13" t="inlineStr">
        <is>
          <t>7章章节任务索引与章节奖励</t>
        </is>
      </c>
      <c r="D9" s="13" t="inlineStr">
        <is>
          <t>已配置</t>
        </is>
      </c>
    </row>
    <row r="10" ht="90" customHeight="1">
      <c r="A10" s="13" t="inlineStr">
        <is>
          <t>JottingsTask.xlsx</t>
        </is>
      </c>
      <c r="B10" s="13" t="inlineStr">
        <is>
          <t>Datas/task/JottingsTask.xlsx</t>
        </is>
      </c>
      <c r="C10" s="13" t="inlineStr">
        <is>
          <t>7章共56组目标；主线分步展开后69条任务。第二章组35已挂载1327映射装备任务。</t>
        </is>
      </c>
      <c r="D10" s="13" t="inlineStr">
        <is>
          <t>已配置</t>
        </is>
      </c>
    </row>
    <row r="11" ht="42" customHeight="1">
      <c r="A11" s="13" t="inlineStr">
        <is>
          <t>FourteenDayActivity.xlsx</t>
        </is>
      </c>
      <c r="B11" s="13" t="inlineStr">
        <is>
          <t>Datas/Activity/FourteenDayActivity.xlsx</t>
        </is>
      </c>
      <c r="C11" s="13" t="inlineStr">
        <is>
          <t>7天×10条任务索引</t>
        </is>
      </c>
      <c r="D11" s="13" t="inlineStr">
        <is>
          <t>已配置</t>
        </is>
      </c>
    </row>
    <row r="12" ht="42" customHeight="1">
      <c r="A12" s="13" t="inlineStr">
        <is>
          <t>ActiveReward.xlsx</t>
        </is>
      </c>
      <c r="B12" s="13" t="inlineStr">
        <is>
          <t>Datas/Activity/ActiveReward.xlsx</t>
        </is>
      </c>
      <c r="C12" s="13" t="inlineStr">
        <is>
          <t>七日100~700积分节点</t>
        </is>
      </c>
      <c r="D12" s="13" t="inlineStr">
        <is>
          <t>已配置</t>
        </is>
      </c>
    </row>
    <row r="13" ht="42" customHeight="1">
      <c r="A13" s="13" t="inlineStr">
        <is>
          <t>Drop_other.xlsx</t>
        </is>
      </c>
      <c r="B13" s="13" t="inlineStr">
        <is>
          <t>Datas/Drop/Drop_other.xlsx</t>
        </is>
      </c>
      <c r="C13" s="13" t="inlineStr">
        <is>
          <t>日活80分钥匙3；周活20/40分钥匙4/6；章节任务奖励保留</t>
        </is>
      </c>
      <c r="D13" s="13" t="inlineStr">
        <is>
          <t>已配置</t>
        </is>
      </c>
    </row>
    <row r="14" ht="42" customHeight="1">
      <c r="A14" s="13" t="inlineStr">
        <is>
          <t>Drop_TimeLimitedActivity.xlsx</t>
        </is>
      </c>
      <c r="B14" s="13" t="inlineStr">
        <is>
          <t>Datas/Drop/Drop_TimeLimitedActivity.xlsx</t>
        </is>
      </c>
      <c r="C14" s="13" t="inlineStr">
        <is>
          <t>七日70条任务及7档里程碑奖励；本轮重配70条单项奖励</t>
        </is>
      </c>
      <c r="D14" s="13" t="inlineStr">
        <is>
          <t>已配置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.25" customWidth="1" min="1" max="1"/>
    <col width="26.25" customWidth="1" min="2" max="2"/>
    <col width="33.88000106811523" customWidth="1" min="3" max="3"/>
    <col width="42" customWidth="1" min="4" max="4"/>
  </cols>
  <sheetData>
    <row r="1" ht="25" customHeight="1">
      <c r="A1" s="12" t="inlineStr">
        <is>
          <t>模块</t>
        </is>
      </c>
      <c r="B1" s="12" t="inlineStr">
        <is>
          <t>任务规模</t>
        </is>
      </c>
      <c r="C1" s="12" t="inlineStr">
        <is>
          <t>完成/满档口径</t>
        </is>
      </c>
      <c r="D1" s="12" t="inlineStr">
        <is>
          <t>关键总量</t>
        </is>
      </c>
    </row>
    <row r="2" ht="25" customHeight="1">
      <c r="A2" s="13" t="inlineStr">
        <is>
          <t>每日任务</t>
        </is>
      </c>
      <c r="B2" s="13" t="inlineStr">
        <is>
          <t>10条</t>
        </is>
      </c>
      <c r="C2" s="13" t="inlineStr">
        <is>
          <t>130日活，100满档</t>
        </is>
      </c>
      <c r="D2" s="13" t="inlineStr">
        <is>
          <t>每日：元晶100、行旅帧片1500、映射之匙3、周活6</t>
        </is>
      </c>
    </row>
    <row r="3" ht="25" customHeight="1">
      <c r="A3" s="13" t="inlineStr">
        <is>
          <t>每周任务</t>
        </is>
      </c>
      <c r="B3" s="13" t="inlineStr">
        <is>
          <t>11组×3档=33条</t>
        </is>
      </c>
      <c r="C3" s="13" t="inlineStr">
        <is>
          <t>每组1/2/4分，周任务77分；周节点60满档</t>
        </is>
      </c>
      <c r="D3" s="13" t="inlineStr">
        <is>
          <t>周节点：元晶600、映射之匙10</t>
        </is>
      </c>
    </row>
    <row r="4" ht="150" customHeight="1">
      <c r="A4" s="13" t="inlineStr">
        <is>
          <t>章节任务</t>
        </is>
      </c>
      <c r="B4" s="13" t="inlineStr">
        <is>
          <t>7章；每章5/6/7/8/10/10/10种目标</t>
        </is>
      </c>
      <c r="C4" s="13" t="inlineStr">
        <is>
          <t>5/6/7/8/10/10/10组；玩家等级10/20/25/30/33/36/38。舱室按1个Lv2、2个Lv2、1个Lv3、2个Lv3、1个Lv4递进。第二至七章映射任务各奖3把钥匙。</t>
        </is>
      </c>
      <c r="D4" s="13" t="inlineStr">
        <is>
          <t>主线每分步元晶30；章节映射任务共18把钥匙（一次性）。其余任务奖励及章节完成奖励保留。</t>
        </is>
      </c>
    </row>
    <row r="5" ht="42" customHeight="1">
      <c r="A5" s="13" t="inlineStr">
        <is>
          <t>七日任务</t>
        </is>
      </c>
      <c r="B5" s="13" t="inlineStr">
        <is>
          <t>7天×10条=70条</t>
        </is>
      </c>
      <c r="C5" s="13" t="inlineStr">
        <is>
          <t>每条挑战积分10；100~700七档</t>
        </is>
      </c>
      <c r="D5" s="13" t="inlineStr">
        <is>
          <t>任务直接奖励：挑战积分700、映射之匙8；里程碑元晶3500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.5" customWidth="1" min="1" max="1"/>
    <col width="37.88000106811523" customWidth="1" min="2" max="2"/>
    <col width="42" customWidth="1" min="3" max="3"/>
    <col width="8.25" customWidth="1" min="4" max="4"/>
    <col width="30.6299991607666" customWidth="1" min="5" max="5"/>
  </cols>
  <sheetData>
    <row r="1" ht="25" customHeight="1">
      <c r="A1" s="12" t="inlineStr">
        <is>
          <t>值</t>
        </is>
      </c>
      <c r="B1" s="12" t="inlineStr">
        <is>
          <t>枚举别名</t>
        </is>
      </c>
      <c r="C1" s="12" t="inlineStr">
        <is>
          <t>参数顺序</t>
        </is>
      </c>
      <c r="D1" s="12" t="inlineStr">
        <is>
          <t>使用范围</t>
        </is>
      </c>
      <c r="E1" s="12" t="inlineStr">
        <is>
          <t>程序状态</t>
        </is>
      </c>
    </row>
    <row r="2" ht="65" customHeight="1">
      <c r="A2" s="13" t="n">
        <v>73</v>
      </c>
      <c r="B2" s="13" t="inlineStr">
        <is>
          <t>Target_TTT_Trade_CompleteTimes</t>
        </is>
      </c>
      <c r="C2" s="13" t="inlineStr">
        <is>
          <t>完成跑商X次（0，次数）</t>
        </is>
      </c>
      <c r="D2" s="13" t="inlineStr">
        <is>
          <t>跑商</t>
        </is>
      </c>
      <c r="E2" s="13" t="inlineStr">
        <is>
          <t>正式枚举已配置；监听需联调</t>
        </is>
      </c>
    </row>
    <row r="3" ht="65" customHeight="1">
      <c r="A3" s="13" t="n">
        <v>74</v>
      </c>
      <c r="B3" s="13" t="inlineStr">
        <is>
          <t>Target_TTT_Trade_Level</t>
        </is>
      </c>
      <c r="C3" s="13" t="inlineStr">
        <is>
          <t>行商达到X级（0，等级）</t>
        </is>
      </c>
      <c r="D3" s="13" t="inlineStr">
        <is>
          <t>跑商</t>
        </is>
      </c>
      <c r="E3" s="13" t="inlineStr">
        <is>
          <t>正式枚举已配置；监听需联调</t>
        </is>
      </c>
    </row>
    <row r="4" ht="65" customHeight="1">
      <c r="A4" s="13" t="n">
        <v>75</v>
      </c>
      <c r="B4" s="13" t="inlineStr">
        <is>
          <t>Target_TTT_Roguelike_ChallengeTimes</t>
        </is>
      </c>
      <c r="C4" s="13" t="inlineStr">
        <is>
          <t>挑战肉鸽X次（0，次数）</t>
        </is>
      </c>
      <c r="D4" s="13" t="inlineStr">
        <is>
          <t>肉鸽</t>
        </is>
      </c>
      <c r="E4" s="13" t="inlineStr">
        <is>
          <t>正式枚举已配置；监听需联调</t>
        </is>
      </c>
    </row>
    <row r="5" ht="65" customHeight="1">
      <c r="A5" s="13" t="n">
        <v>76</v>
      </c>
      <c r="B5" s="13" t="inlineStr">
        <is>
          <t>Target_TTT_Roguelike_MaxPassLevel</t>
        </is>
      </c>
      <c r="C5" s="13" t="inlineStr">
        <is>
          <t>历史最高通关肉鸽关卡（0，关卡序号）</t>
        </is>
      </c>
      <c r="D5" s="13" t="inlineStr">
        <is>
          <t>肉鸽</t>
        </is>
      </c>
      <c r="E5" s="13" t="inlineStr">
        <is>
          <t>正式枚举已配置；监听需联调</t>
        </is>
      </c>
    </row>
    <row r="6" ht="65" customHeight="1">
      <c r="A6" s="13" t="n">
        <v>77</v>
      </c>
      <c r="B6" s="13" t="inlineStr">
        <is>
          <t>Target_TTT_Roguelike_AccumulateScore</t>
        </is>
      </c>
      <c r="C6" s="13" t="inlineStr">
        <is>
          <t>累计获得X肉鸽积分（0，积分）</t>
        </is>
      </c>
      <c r="D6" s="13" t="inlineStr">
        <is>
          <t>肉鸽</t>
        </is>
      </c>
      <c r="E6" s="13" t="inlineStr">
        <is>
          <t>正式枚举已配置；监听需联调</t>
        </is>
      </c>
    </row>
    <row r="7" ht="65" customHeight="1">
      <c r="A7" s="13" t="n">
        <v>78</v>
      </c>
      <c r="B7" s="13" t="inlineStr">
        <is>
          <t>Target_TTT_Rv_Level</t>
        </is>
      </c>
      <c r="C7" s="13" t="inlineStr">
        <is>
          <t>房车达到X级（0，等级）</t>
        </is>
      </c>
      <c r="D7" s="13" t="inlineStr">
        <is>
          <t>房车等级</t>
        </is>
      </c>
      <c r="E7" s="13" t="inlineStr">
        <is>
          <t>正式枚举已配置；监听需联调</t>
        </is>
      </c>
    </row>
    <row r="8" ht="65" customHeight="1">
      <c r="A8" s="13" t="n">
        <v>79</v>
      </c>
      <c r="B8" s="13" t="inlineStr">
        <is>
          <t>Target_TTT_RvGuide_ProfessionNodeActivateNum</t>
        </is>
      </c>
      <c r="C8" s="13" t="inlineStr">
        <is>
          <t>激活指定职业指南X个节点（职业ID，节点数）</t>
        </is>
      </c>
      <c r="D8" s="13" t="inlineStr">
        <is>
          <t>职业指南</t>
        </is>
      </c>
      <c r="E8" s="13" t="inlineStr">
        <is>
          <t>正式枚举已配置；监听需联调</t>
        </is>
      </c>
    </row>
    <row r="9" ht="65" customHeight="1">
      <c r="A9" s="13" t="n">
        <v>80</v>
      </c>
      <c r="B9" s="13" t="inlineStr">
        <is>
          <t>Target_TTT_ExclusiveWeapon_NumAtStar</t>
        </is>
      </c>
      <c r="C9" s="13" t="inlineStr">
        <is>
          <t>X件收容物达到Y星（星级Y，数量X）</t>
        </is>
      </c>
      <c r="D9" s="13" t="inlineStr">
        <is>
          <t>收容物</t>
        </is>
      </c>
      <c r="E9" s="13" t="inlineStr">
        <is>
          <t>正式枚举已配置；监听需联调</t>
        </is>
      </c>
    </row>
    <row r="10" ht="65" customHeight="1">
      <c r="A10" s="13" t="n">
        <v>81</v>
      </c>
      <c r="B10" s="13" t="inlineStr">
        <is>
          <t>Target_TTT_SpecialEquipmentGem_EquipNum</t>
        </is>
      </c>
      <c r="C10" s="13" t="inlineStr">
        <is>
          <t>累计镶嵌X颗宝石（0，数量）</t>
        </is>
      </c>
      <c r="D10" s="13" t="inlineStr">
        <is>
          <t>宝石</t>
        </is>
      </c>
      <c r="E10" s="13" t="inlineStr">
        <is>
          <t>正式枚举已配置；监听需联调</t>
        </is>
      </c>
    </row>
    <row r="11" ht="65" customHeight="1">
      <c r="A11" s="13" t="n">
        <v>82</v>
      </c>
      <c r="B11" s="13" t="inlineStr">
        <is>
          <t>Target_TTT_SpecialEquipmentGem_NumAtLevel</t>
        </is>
      </c>
      <c r="C11" s="13" t="inlineStr">
        <is>
          <t>X颗宝石达到Y级（等级Y，数量X）</t>
        </is>
      </c>
      <c r="D11" s="13" t="inlineStr">
        <is>
          <t>宝石</t>
        </is>
      </c>
      <c r="E11" s="13" t="inlineStr">
        <is>
          <t>正式枚举已配置；监听需联调</t>
        </is>
      </c>
    </row>
    <row r="12" ht="65" customHeight="1">
      <c r="A12" s="13" t="n">
        <v>83</v>
      </c>
      <c r="B12" s="13" t="inlineStr">
        <is>
          <t>Target_TTT_StrategyCard_CraftTimes</t>
        </is>
      </c>
      <c r="C12" s="13" t="inlineStr">
        <is>
          <t>累计邮票合成X次（0，次数）</t>
        </is>
      </c>
      <c r="D12" s="13" t="inlineStr">
        <is>
          <t>邮票合成</t>
        </is>
      </c>
      <c r="E12" s="13" t="inlineStr">
        <is>
          <t>正式枚举已配置；监听需联调</t>
        </is>
      </c>
    </row>
    <row r="13" ht="65" customHeight="1">
      <c r="A13" s="13" t="n">
        <v>84</v>
      </c>
      <c r="B13" s="13" t="inlineStr">
        <is>
          <t>Target_TTT_RvCabin_LevelUp_Num</t>
        </is>
      </c>
      <c r="C13" s="13" t="inlineStr">
        <is>
          <t>X个舱室达到Y级（等级Y，数量X）</t>
        </is>
      </c>
      <c r="D13" s="13" t="inlineStr">
        <is>
          <t>舱室</t>
        </is>
      </c>
      <c r="E13" s="13" t="inlineStr">
        <is>
          <t>正式枚举已配置；监听需联调</t>
        </is>
      </c>
    </row>
    <row r="14" ht="25" customHeight="1">
      <c r="A14" s="13" t="n"/>
      <c r="B14" s="13" t="n"/>
      <c r="C14" s="13" t="n"/>
      <c r="D14" s="13" t="n"/>
      <c r="E14" s="13" t="n"/>
    </row>
    <row r="15" ht="25" customHeight="1">
      <c r="A15" s="13" t="n"/>
      <c r="B15" s="13" t="n"/>
      <c r="C15" s="13" t="n"/>
      <c r="D15" s="13" t="n"/>
      <c r="E15" s="13" t="n"/>
    </row>
    <row r="16" ht="25" customHeight="1">
      <c r="A16" s="13" t="n"/>
      <c r="B16" s="13" t="n"/>
      <c r="C16" s="13" t="n"/>
      <c r="D16" s="13" t="n"/>
      <c r="E16" s="1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.25" customWidth="1" min="1" max="1"/>
    <col width="3.880000114440918" customWidth="1" min="2" max="2"/>
    <col width="3.880000114440918" customWidth="1" min="3" max="3"/>
    <col width="3.880000114440918" customWidth="1" min="4" max="4"/>
  </cols>
  <sheetData>
    <row r="1" ht="25" customHeight="1">
      <c r="A1" s="12" t="inlineStr">
        <is>
          <t>校验项</t>
        </is>
      </c>
      <c r="B1" s="12" t="inlineStr">
        <is>
          <t>结果</t>
        </is>
      </c>
      <c r="C1" s="12" t="inlineStr">
        <is>
          <t>期望</t>
        </is>
      </c>
      <c r="D1" s="12" t="inlineStr">
        <is>
          <t>结论</t>
        </is>
      </c>
    </row>
    <row r="2" ht="25" customHeight="1">
      <c r="A2" s="13" t="inlineStr">
        <is>
          <t>每日任务条数</t>
        </is>
      </c>
      <c r="B2" s="13" t="n">
        <v>10</v>
      </c>
      <c r="C2" s="13" t="n">
        <v>10</v>
      </c>
      <c r="D2" s="13" t="inlineStr">
        <is>
          <t>通过</t>
        </is>
      </c>
    </row>
    <row r="3" ht="25" customHeight="1">
      <c r="A3" s="13" t="inlineStr">
        <is>
          <t>每日活跃总分</t>
        </is>
      </c>
      <c r="B3" s="13" t="n">
        <v>130</v>
      </c>
      <c r="C3" s="13" t="n">
        <v>130</v>
      </c>
      <c r="D3" s="13" t="inlineStr">
        <is>
          <t>通过</t>
        </is>
      </c>
    </row>
    <row r="4" ht="25" customHeight="1">
      <c r="A4" s="13" t="inlineStr">
        <is>
          <t>周常任务条数</t>
        </is>
      </c>
      <c r="B4" s="13" t="n">
        <v>33</v>
      </c>
      <c r="C4" s="13" t="n">
        <v>33</v>
      </c>
      <c r="D4" s="13" t="inlineStr">
        <is>
          <t>通过</t>
        </is>
      </c>
    </row>
    <row r="5" ht="25" customHeight="1">
      <c r="A5" s="13" t="inlineStr">
        <is>
          <t>周常任务总分</t>
        </is>
      </c>
      <c r="B5" s="13" t="n">
        <v>77</v>
      </c>
      <c r="C5" s="13" t="n">
        <v>77</v>
      </c>
      <c r="D5" s="13" t="inlineStr">
        <is>
          <t>通过</t>
        </is>
      </c>
    </row>
    <row r="6" ht="25" customHeight="1">
      <c r="A6" s="13" t="inlineStr">
        <is>
          <t>章节目标类型总数</t>
        </is>
      </c>
      <c r="B6" s="13" t="n">
        <v>56</v>
      </c>
      <c r="C6" s="13" t="n">
        <v>56</v>
      </c>
      <c r="D6" s="13" t="inlineStr">
        <is>
          <t>通过</t>
        </is>
      </c>
    </row>
    <row r="7" ht="25" customHeight="1">
      <c r="A7" s="13" t="inlineStr">
        <is>
          <t>章节Task行数（含主线分步）</t>
        </is>
      </c>
      <c r="B7" s="13" t="n">
        <v>69</v>
      </c>
      <c r="C7" s="13" t="n">
        <v>69</v>
      </c>
      <c r="D7" s="13" t="inlineStr">
        <is>
          <t>通过</t>
        </is>
      </c>
    </row>
    <row r="8" ht="25" customHeight="1">
      <c r="A8" s="13" t="inlineStr">
        <is>
          <t>七日任务条数</t>
        </is>
      </c>
      <c r="B8" s="13" t="n">
        <v>70</v>
      </c>
      <c r="C8" s="13" t="n">
        <v>70</v>
      </c>
      <c r="D8" s="13" t="inlineStr">
        <is>
          <t>通过</t>
        </is>
      </c>
    </row>
    <row r="9" ht="25" customHeight="1">
      <c r="A9" s="13" t="inlineStr">
        <is>
          <t>七日挑战积分</t>
        </is>
      </c>
      <c r="B9" s="13" t="n">
        <v>700</v>
      </c>
      <c r="C9" s="13" t="n">
        <v>700</v>
      </c>
      <c r="D9" s="13" t="inlineStr">
        <is>
          <t>通过</t>
        </is>
      </c>
    </row>
    <row r="10" ht="25" customHeight="1">
      <c r="A10" s="13" t="inlineStr">
        <is>
          <t>常驻任务映射之匙/周</t>
        </is>
      </c>
      <c r="B10" s="13">
        <f>'钥匙来源核对'!D2+'钥匙来源核对'!D3</f>
        <v/>
      </c>
      <c r="C10" s="13" t="n">
        <v>31</v>
      </c>
      <c r="D10" s="13" t="inlineStr">
        <is>
          <t>通过</t>
        </is>
      </c>
    </row>
    <row r="11" ht="25" customHeight="1">
      <c r="A11" s="11" t="inlineStr">
        <is>
          <t>七日可直接配置任务数</t>
        </is>
      </c>
      <c r="B11" s="11" t="n">
        <v>70</v>
      </c>
      <c r="C11" s="11" t="n">
        <v>70</v>
      </c>
      <c r="D11" s="11" t="inlineStr">
        <is>
          <t>通过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.25" customWidth="1" min="1" max="1"/>
    <col width="34.63000106811523" customWidth="1" min="2" max="2"/>
    <col width="42" customWidth="1" min="3" max="3"/>
  </cols>
  <sheetData>
    <row r="1" ht="25" customHeight="1">
      <c r="A1" s="12" t="inlineStr">
        <is>
          <t>级别</t>
        </is>
      </c>
      <c r="B1" s="12" t="inlineStr">
        <is>
          <t>事项</t>
        </is>
      </c>
      <c r="C1" s="12" t="inlineStr">
        <is>
          <t>处理</t>
        </is>
      </c>
    </row>
    <row r="2" ht="125" customHeight="1">
      <c r="A2" s="13" t="inlineStr">
        <is>
          <t>联调门禁</t>
        </is>
      </c>
      <c r="B2" s="13" t="inlineStr">
        <is>
          <t>正式TargetType 73~84已配置</t>
        </is>
      </c>
      <c r="C2" s="13" t="inlineStr">
        <is>
          <t>枚举已与Datas一致；事件监听、初始化回溯与周期清零仍需程序联调</t>
        </is>
      </c>
    </row>
    <row r="3" ht="125" customHeight="1">
      <c r="A3" s="13" t="inlineStr">
        <is>
          <t>已关闭</t>
        </is>
      </c>
      <c r="B3" s="13" t="inlineStr">
        <is>
          <t>5107改为任意卡池累计抽卡10次</t>
        </is>
      </c>
      <c r="C3" s="13" t="inlineStr">
        <is>
          <t>使用正式Target_TTT_DrawCard_AnyGachaTimes，参数0,10</t>
        </is>
      </c>
    </row>
    <row r="4" ht="125" customHeight="1">
      <c r="A4" s="13" t="inlineStr">
        <is>
          <t>语义联调</t>
        </is>
      </c>
      <c r="B4" s="13" t="inlineStr">
        <is>
          <t>无限之旅本周最高分</t>
        </is>
      </c>
      <c r="C4" s="13" t="inlineStr">
        <is>
          <t>暂复用Target_TTT_InfiniteChallenge_Score；确认统计周期和最高分语义后再合SVN</t>
        </is>
      </c>
    </row>
    <row r="5" ht="125" customHeight="1">
      <c r="A5" s="13" t="inlineStr">
        <is>
          <t>开放门禁</t>
        </is>
      </c>
      <c r="B5" s="13" t="inlineStr">
        <is>
          <t>未解锁任务隐藏</t>
        </is>
      </c>
      <c r="C5" s="13" t="inlineStr">
        <is>
          <t>撤回本轮擅自同步：竞技场任务UnlockId恢复4112，映射日周任务恢复4314，9条新增备注清空。其余解锁不动。</t>
        </is>
      </c>
    </row>
    <row r="6" ht="125" customHeight="1">
      <c r="A6" s="13" t="inlineStr">
        <is>
          <t>范围说明</t>
        </is>
      </c>
      <c r="B6" s="13" t="inlineStr">
        <is>
          <t>本次仅写06_最终配置</t>
        </is>
      </c>
      <c r="C6" s="13" t="inlineStr">
        <is>
          <t>未修改D:/Vgame SVN工程</t>
        </is>
      </c>
    </row>
    <row r="7" ht="125" customHeight="1">
      <c r="A7" s="11" t="inlineStr">
        <is>
          <t>统计联调</t>
        </is>
      </c>
      <c r="B7" s="11" t="inlineStr">
        <is>
          <t>资源副本日周任务1107/12041~12043</t>
        </is>
      </c>
      <c r="C7" s="11" t="inlineStr">
        <is>
          <t>现有Target_TTT_Type_LevelClearNum参数0,N；未找到参数0仅统计资源副本的运行证据。需验证资源类型过滤、挑战/通关差别，不能算作语义已通过。</t>
        </is>
      </c>
    </row>
    <row r="8" ht="125" customHeight="1">
      <c r="A8" s="11" t="inlineStr">
        <is>
          <t>注册核对</t>
        </is>
      </c>
      <c r="B8" s="11" t="inlineStr">
        <is>
          <t>DailyTask.xlsx</t>
        </is>
      </c>
      <c r="C8" s="11" t="inlineStr">
        <is>
          <t>当前__tables__.xlsx无DailyTask输入，可能由TaskType枚举入池；交接时确认任务池消费入口，不擅自注册新表。</t>
        </is>
      </c>
    </row>
    <row r="9" ht="125" customHeight="1">
      <c r="A9" s="11" t="inlineStr">
        <is>
          <t>本次核对</t>
        </is>
      </c>
      <c r="B9" s="11" t="inlineStr">
        <is>
          <t>新增任务已存在06</t>
        </is>
      </c>
      <c r="C9" s="11" t="inlineStr">
        <is>
          <t>已从Jottings逐层核对56组、69条章节任务：前两章舱室及第二章映射任务均已在06；本轮未新增或覆盖章节任务。</t>
        </is>
      </c>
    </row>
    <row r="10" ht="125" customHeight="1">
      <c r="A10" s="11" t="inlineStr">
        <is>
          <t>本次来源</t>
        </is>
      </c>
      <c r="B10" s="11" t="inlineStr">
        <is>
          <t>映射之匙与新增任务落06-2026-08-27</t>
        </is>
      </c>
      <c r="C10" s="11" t="inlineStr">
        <is>
          <t>章节要求按8月26日用户确认；本轮纠偏见03_沉淀MD/经济/映射之匙与任务落06-2026-08-27.md。仅06，SVN未改。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1.25" customWidth="1" min="2" max="2"/>
    <col width="11.25" customWidth="1" min="3" max="3"/>
    <col width="11.25" customWidth="1" min="4" max="4"/>
    <col width="11.25" customWidth="1" min="5" max="5"/>
    <col width="45" customWidth="1" min="6" max="6"/>
  </cols>
  <sheetData>
    <row r="1" ht="32" customHeight="1">
      <c r="A1" s="9" t="inlineStr">
        <is>
          <t>来源</t>
        </is>
      </c>
      <c r="B1" s="9" t="inlineStr">
        <is>
          <t>单次数量</t>
        </is>
      </c>
      <c r="C1" s="9" t="inlineStr">
        <is>
          <t>周期内次数</t>
        </is>
      </c>
      <c r="D1" s="9" t="inlineStr">
        <is>
          <t>周期总量</t>
        </is>
      </c>
      <c r="E1" s="9" t="inlineStr">
        <is>
          <t>周期</t>
        </is>
      </c>
      <c r="F1" s="9" t="inlineStr">
        <is>
          <t>依据</t>
        </is>
      </c>
    </row>
    <row r="2" ht="30" customHeight="1">
      <c r="A2" s="7" t="inlineStr">
        <is>
          <t>每日80活跃</t>
        </is>
      </c>
      <c r="B2" s="16" t="n">
        <v>3</v>
      </c>
      <c r="C2" s="16" t="n">
        <v>7</v>
      </c>
      <c r="D2" s="16">
        <f>B2*C2</f>
        <v/>
      </c>
      <c r="E2" s="7" t="inlineStr">
        <is>
          <t>周</t>
        </is>
      </c>
      <c r="F2" s="7" t="inlineStr">
        <is>
          <t>DailyActiveReward→1010204</t>
        </is>
      </c>
    </row>
    <row r="3" ht="30" customHeight="1">
      <c r="A3" s="7" t="inlineStr">
        <is>
          <t>每周20/40活跃</t>
        </is>
      </c>
      <c r="B3" s="16" t="n">
        <v>10</v>
      </c>
      <c r="C3" s="16" t="n">
        <v>1</v>
      </c>
      <c r="D3" s="16">
        <f>B3*C3</f>
        <v/>
      </c>
      <c r="E3" s="7" t="inlineStr">
        <is>
          <t>周</t>
        </is>
      </c>
      <c r="F3" s="7" t="inlineStr">
        <is>
          <t>1020202×4＋1020204×6</t>
        </is>
      </c>
    </row>
    <row r="4" ht="30" customHeight="1">
      <c r="A4" s="7" t="inlineStr">
        <is>
          <t>神经漫游</t>
        </is>
      </c>
      <c r="B4" s="16" t="n">
        <v>2</v>
      </c>
      <c r="C4" s="16" t="n">
        <v>5</v>
      </c>
      <c r="D4" s="16">
        <f>B4*C4</f>
        <v/>
      </c>
      <c r="E4" s="7" t="inlineStr">
        <is>
          <t>周</t>
        </is>
      </c>
      <c r="F4" s="7" t="inlineStr">
        <is>
          <t>2/4/6/8/10千分；四难度互斥</t>
        </is>
      </c>
    </row>
    <row r="5" ht="30" customHeight="1">
      <c r="A5" s="7" t="inlineStr">
        <is>
          <t>每月签到</t>
        </is>
      </c>
      <c r="B5" s="16" t="n">
        <v>2</v>
      </c>
      <c r="C5" s="16" t="n">
        <v>4</v>
      </c>
      <c r="D5" s="16">
        <f>B5*C5</f>
        <v/>
      </c>
      <c r="E5" s="7" t="inlineStr">
        <is>
          <t>月</t>
        </is>
      </c>
      <c r="F5" s="7" t="inlineStr">
        <is>
          <t>每月5/12/19/26日</t>
        </is>
      </c>
    </row>
    <row r="6" ht="30" customHeight="1">
      <c r="A6" s="7" t="inlineStr">
        <is>
          <t>第二章36星</t>
        </is>
      </c>
      <c r="B6" s="16" t="n">
        <v>5</v>
      </c>
      <c r="C6" s="16" t="n">
        <v>1</v>
      </c>
      <c r="D6" s="16">
        <f>B6*C6</f>
        <v/>
      </c>
      <c r="E6" s="7" t="inlineStr">
        <is>
          <t>一次性</t>
        </is>
      </c>
      <c r="F6" s="7" t="inlineStr">
        <is>
          <t>ChapterStarReward.Id12→11000012</t>
        </is>
      </c>
    </row>
    <row r="7" ht="30" customHeight="1">
      <c r="A7" s="7" t="inlineStr">
        <is>
          <t>七日任务</t>
        </is>
      </c>
      <c r="B7" s="16" t="n">
        <v>8</v>
      </c>
      <c r="C7" s="16" t="n">
        <v>1</v>
      </c>
      <c r="D7" s="16">
        <f>B7*C7</f>
        <v/>
      </c>
      <c r="E7" s="7" t="inlineStr">
        <is>
          <t>一次性</t>
        </is>
      </c>
      <c r="F7" s="7" t="inlineStr">
        <is>
          <t>保持原70任务包，合计8把</t>
        </is>
      </c>
    </row>
    <row r="8" ht="30" customHeight="1">
      <c r="A8" s="7" t="inlineStr">
        <is>
          <t>每周常驻合计</t>
        </is>
      </c>
      <c r="B8" s="16" t="n"/>
      <c r="C8" s="16" t="n"/>
      <c r="D8" s="16">
        <f>SUM(D2:D4)</f>
        <v/>
      </c>
      <c r="E8" s="7" t="inlineStr">
        <is>
          <t>周</t>
        </is>
      </c>
      <c r="F8" s="7" t="inlineStr">
        <is>
          <t>不合并月签、一次性或首通返还</t>
        </is>
      </c>
    </row>
    <row r="9" ht="45" customHeight="1">
      <c r="A9" t="inlineStr">
        <is>
          <t>章节映射装备任务</t>
        </is>
      </c>
      <c r="B9" t="n">
        <v>3</v>
      </c>
      <c r="C9" t="n">
        <v>6</v>
      </c>
      <c r="D9">
        <f>B9*C9</f>
        <v/>
      </c>
      <c r="E9" t="inlineStr">
        <is>
          <t>一次性</t>
        </is>
      </c>
      <c r="F9" t="inlineStr">
        <is>
          <t>第二至七章各1条；不并入每周产出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.63000011444092" customWidth="1" min="1" max="1"/>
    <col width="6.25" customWidth="1" min="2" max="2"/>
    <col width="8.130000114440918" customWidth="1" min="3" max="3"/>
    <col width="10" customWidth="1" min="4" max="4"/>
    <col width="10.63000011444092" customWidth="1" min="5" max="5"/>
    <col width="40.63000106811523" customWidth="1" min="6" max="6"/>
    <col width="13.13000011444092" customWidth="1" min="7" max="7"/>
    <col width="20" customWidth="1" min="8" max="8"/>
    <col width="20.6299991607666" customWidth="1" min="9" max="9"/>
  </cols>
  <sheetData>
    <row r="1" ht="30" customHeight="1">
      <c r="A1" s="15" t="inlineStr">
        <is>
          <t>类别</t>
        </is>
      </c>
      <c r="B1" s="15" t="inlineStr">
        <is>
          <t>章节</t>
        </is>
      </c>
      <c r="C1" s="15" t="inlineStr">
        <is>
          <t>组ID</t>
        </is>
      </c>
      <c r="D1" s="15" t="inlineStr">
        <is>
          <t>TaskId</t>
        </is>
      </c>
      <c r="E1" s="15" t="inlineStr">
        <is>
          <t>TargetId</t>
        </is>
      </c>
      <c r="F1" s="15" t="inlineStr">
        <is>
          <t>任务目标 / ParamList</t>
        </is>
      </c>
      <c r="G1" s="15" t="inlineStr">
        <is>
          <t>DropId</t>
        </is>
      </c>
      <c r="H1" s="15" t="inlineStr">
        <is>
          <t>实际奖励</t>
        </is>
      </c>
      <c r="I1" s="15" t="inlineStr">
        <is>
          <t>本轮处理</t>
        </is>
      </c>
    </row>
    <row r="2" ht="48" customHeight="1">
      <c r="A2" s="7" t="inlineStr">
        <is>
          <t>映射装备</t>
        </is>
      </c>
      <c r="B2" s="16" t="n">
        <v>2</v>
      </c>
      <c r="C2" s="16" t="n">
        <v>35</v>
      </c>
      <c r="D2" s="16" t="n">
        <v>1327</v>
      </c>
      <c r="E2" s="16" t="n">
        <v>1327</v>
      </c>
      <c r="F2" s="7" t="inlineStr">
        <is>
          <t>收集4件5级的映射装备
参数：5,4</t>
        </is>
      </c>
      <c r="G2" s="16" t="n">
        <v>1030307</v>
      </c>
      <c r="H2" s="7" t="inlineStr">
        <is>
          <t>映射之匙×3；行旅帧片(4)×100</t>
        </is>
      </c>
      <c r="I2" s="7" t="inlineStr">
        <is>
          <t>已在06，核对保留</t>
        </is>
      </c>
    </row>
    <row r="3" ht="48" customHeight="1">
      <c r="A3" s="7" t="inlineStr">
        <is>
          <t>映射装备</t>
        </is>
      </c>
      <c r="B3" s="16" t="n">
        <v>3</v>
      </c>
      <c r="C3" s="16" t="n">
        <v>47</v>
      </c>
      <c r="D3" s="16" t="n">
        <v>1339</v>
      </c>
      <c r="E3" s="16" t="n">
        <v>1339</v>
      </c>
      <c r="F3" s="7" t="inlineStr">
        <is>
          <t>收集4件10级的映射装备
参数：10,4</t>
        </is>
      </c>
      <c r="G3" s="16" t="n">
        <v>1030407</v>
      </c>
      <c r="H3" s="7" t="inlineStr">
        <is>
          <t>映射之匙×3；行旅帧片(4)×200</t>
        </is>
      </c>
      <c r="I3" s="7" t="inlineStr">
        <is>
          <t>已在06，核对保留</t>
        </is>
      </c>
    </row>
    <row r="4" ht="48" customHeight="1">
      <c r="A4" s="7" t="inlineStr">
        <is>
          <t>映射装备</t>
        </is>
      </c>
      <c r="B4" s="16" t="n">
        <v>4</v>
      </c>
      <c r="C4" s="16" t="n">
        <v>57</v>
      </c>
      <c r="D4" s="16" t="n">
        <v>1349</v>
      </c>
      <c r="E4" s="16" t="n">
        <v>1349</v>
      </c>
      <c r="F4" s="7" t="inlineStr">
        <is>
          <t>收集8件15级的映射装备
参数：15,8</t>
        </is>
      </c>
      <c r="G4" s="16" t="n">
        <v>1030507</v>
      </c>
      <c r="H4" s="7" t="inlineStr">
        <is>
          <t>映射之匙×3；行旅帧片(4)×200</t>
        </is>
      </c>
      <c r="I4" s="7" t="inlineStr">
        <is>
          <t>已在06，核对保留</t>
        </is>
      </c>
    </row>
    <row r="5" ht="48" customHeight="1">
      <c r="A5" s="7" t="inlineStr">
        <is>
          <t>映射装备</t>
        </is>
      </c>
      <c r="B5" s="16" t="n">
        <v>5</v>
      </c>
      <c r="C5" s="16" t="n">
        <v>67</v>
      </c>
      <c r="D5" s="16" t="n">
        <v>1381</v>
      </c>
      <c r="E5" s="16" t="n">
        <v>1381</v>
      </c>
      <c r="F5" s="7" t="inlineStr">
        <is>
          <t>收集8件25级的映射装备
参数：25,8</t>
        </is>
      </c>
      <c r="G5" s="16" t="n">
        <v>1030607</v>
      </c>
      <c r="H5" s="7" t="inlineStr">
        <is>
          <t>映射之匙×3；行旅帧片(4)×200</t>
        </is>
      </c>
      <c r="I5" s="7" t="inlineStr">
        <is>
          <t>已在06，核对保留</t>
        </is>
      </c>
    </row>
    <row r="6" ht="48" customHeight="1">
      <c r="A6" s="7" t="inlineStr">
        <is>
          <t>映射装备</t>
        </is>
      </c>
      <c r="B6" s="16" t="n">
        <v>6</v>
      </c>
      <c r="C6" s="16" t="n">
        <v>77</v>
      </c>
      <c r="D6" s="16" t="n">
        <v>1384</v>
      </c>
      <c r="E6" s="16" t="n">
        <v>1384</v>
      </c>
      <c r="F6" s="7" t="inlineStr">
        <is>
          <t>收集8件35级的映射装备
参数：35,8</t>
        </is>
      </c>
      <c r="G6" s="16" t="n">
        <v>1030707</v>
      </c>
      <c r="H6" s="7" t="inlineStr">
        <is>
          <t>映射之匙×3；行旅帧片(4)×300</t>
        </is>
      </c>
      <c r="I6" s="7" t="inlineStr">
        <is>
          <t>已在06，核对保留</t>
        </is>
      </c>
    </row>
    <row r="7" ht="48" customHeight="1">
      <c r="A7" s="7" t="inlineStr">
        <is>
          <t>映射装备</t>
        </is>
      </c>
      <c r="B7" s="16" t="n">
        <v>7</v>
      </c>
      <c r="C7" s="16" t="n">
        <v>87</v>
      </c>
      <c r="D7" s="16" t="n">
        <v>1388</v>
      </c>
      <c r="E7" s="16" t="n">
        <v>1388</v>
      </c>
      <c r="F7" s="7" t="inlineStr">
        <is>
          <t>收集8件45级的映射装备
参数：45,8</t>
        </is>
      </c>
      <c r="G7" s="16" t="n">
        <v>1030807</v>
      </c>
      <c r="H7" s="7" t="inlineStr">
        <is>
          <t>映射之匙×3；行旅帧片(4)×300</t>
        </is>
      </c>
      <c r="I7" s="7" t="inlineStr">
        <is>
          <t>已在06，核对保留</t>
        </is>
      </c>
    </row>
    <row r="8" ht="48" customHeight="1">
      <c r="A8" s="7" t="inlineStr">
        <is>
          <t>舱室</t>
        </is>
      </c>
      <c r="B8" s="16" t="n">
        <v>1</v>
      </c>
      <c r="C8" s="16" t="n">
        <v>24</v>
      </c>
      <c r="D8" s="16" t="n">
        <v>1315</v>
      </c>
      <c r="E8" s="16" t="n">
        <v>1315</v>
      </c>
      <c r="F8" s="7" t="inlineStr">
        <is>
          <t>1个舱室达到2级
参数：2,1</t>
        </is>
      </c>
      <c r="G8" s="16" t="n">
        <v>1030205</v>
      </c>
      <c r="H8" s="7" t="inlineStr">
        <is>
          <t>道具3028×2；行旅帧片(4)×100</t>
        </is>
      </c>
      <c r="I8" s="7" t="inlineStr">
        <is>
          <t>已在06，核对保留</t>
        </is>
      </c>
    </row>
    <row r="9" ht="48" customHeight="1">
      <c r="A9" s="7" t="inlineStr">
        <is>
          <t>舱室</t>
        </is>
      </c>
      <c r="B9" s="16" t="n">
        <v>2</v>
      </c>
      <c r="C9" s="16" t="n">
        <v>36</v>
      </c>
      <c r="D9" s="16" t="n">
        <v>1328</v>
      </c>
      <c r="E9" s="16" t="n">
        <v>1328</v>
      </c>
      <c r="F9" s="7" t="inlineStr">
        <is>
          <t>2个舱室达到2级
参数：2,2</t>
        </is>
      </c>
      <c r="G9" s="16" t="n">
        <v>1030304</v>
      </c>
      <c r="H9" s="7" t="inlineStr">
        <is>
          <t>道具3028×3；行旅帧片(4)×100</t>
        </is>
      </c>
      <c r="I9" s="7" t="inlineStr">
        <is>
          <t>已在06，核对保留</t>
        </is>
      </c>
    </row>
    <row r="10" ht="48" customHeight="1">
      <c r="A10" s="7" t="inlineStr">
        <is>
          <t>舱室</t>
        </is>
      </c>
      <c r="B10" s="16" t="n">
        <v>3</v>
      </c>
      <c r="C10" s="16" t="n">
        <v>46</v>
      </c>
      <c r="D10" s="16" t="n">
        <v>1338</v>
      </c>
      <c r="E10" s="16" t="n">
        <v>1338</v>
      </c>
      <c r="F10" s="7" t="inlineStr">
        <is>
          <t>1个舱室达到3级
参数：3,1</t>
        </is>
      </c>
      <c r="G10" s="16" t="n">
        <v>1030405</v>
      </c>
      <c r="H10" s="7" t="inlineStr">
        <is>
          <t>道具3028×4；行旅帧片(4)×200</t>
        </is>
      </c>
      <c r="I10" s="7" t="inlineStr">
        <is>
          <t>已在06，核对保留</t>
        </is>
      </c>
    </row>
    <row r="11" ht="48" customHeight="1">
      <c r="A11" s="7" t="inlineStr">
        <is>
          <t>舱室</t>
        </is>
      </c>
      <c r="B11" s="16" t="n">
        <v>4</v>
      </c>
      <c r="C11" s="16" t="n">
        <v>56</v>
      </c>
      <c r="D11" s="16" t="n">
        <v>1348</v>
      </c>
      <c r="E11" s="16" t="n">
        <v>1348</v>
      </c>
      <c r="F11" s="7" t="inlineStr">
        <is>
          <t>2个舱室达到3级
参数：3,2</t>
        </is>
      </c>
      <c r="G11" s="16" t="n">
        <v>1030509</v>
      </c>
      <c r="H11" s="7" t="inlineStr">
        <is>
          <t>道具3028×5；行旅帧片(4)×200</t>
        </is>
      </c>
      <c r="I11" s="7" t="inlineStr">
        <is>
          <t>已在06，核对保留</t>
        </is>
      </c>
    </row>
    <row r="12" ht="48" customHeight="1">
      <c r="A12" s="7" t="inlineStr">
        <is>
          <t>舱室</t>
        </is>
      </c>
      <c r="B12" s="16" t="n">
        <v>5</v>
      </c>
      <c r="C12" s="16" t="n">
        <v>26</v>
      </c>
      <c r="D12" s="16" t="n">
        <v>1401</v>
      </c>
      <c r="E12" s="16" t="n">
        <v>1401</v>
      </c>
      <c r="F12" s="7" t="inlineStr">
        <is>
          <t>1个舱室达到4级
参数：4,1</t>
        </is>
      </c>
      <c r="G12" s="16" t="n">
        <v>1030610</v>
      </c>
      <c r="H12" s="7" t="inlineStr">
        <is>
          <t>道具3029×4；行旅帧片(4)×200</t>
        </is>
      </c>
      <c r="I12" s="7" t="inlineStr">
        <is>
          <t>已在06，核对保留</t>
        </is>
      </c>
    </row>
    <row r="13" ht="48" customHeight="1">
      <c r="A13" s="7" t="inlineStr">
        <is>
          <t>玩家等级</t>
        </is>
      </c>
      <c r="B13" s="16" t="n">
        <v>1</v>
      </c>
      <c r="C13" s="16" t="n">
        <v>22</v>
      </c>
      <c r="D13" s="16" t="n">
        <v>1313</v>
      </c>
      <c r="E13" s="16" t="n">
        <v>1313</v>
      </c>
      <c r="F13" s="7" t="inlineStr">
        <is>
          <t>玩家等级达到10级
参数：10,1</t>
        </is>
      </c>
      <c r="G13" s="16" t="n">
        <v>1030202</v>
      </c>
      <c r="H13" s="7" t="inlineStr">
        <is>
          <t>道具1×20000；行旅帧片(4)×100</t>
        </is>
      </c>
      <c r="I13" s="7" t="inlineStr">
        <is>
          <t>已在06，核对保留</t>
        </is>
      </c>
    </row>
    <row r="14" ht="48" customHeight="1">
      <c r="A14" s="7" t="inlineStr">
        <is>
          <t>玩家等级</t>
        </is>
      </c>
      <c r="B14" s="16" t="n">
        <v>2</v>
      </c>
      <c r="C14" s="16" t="n">
        <v>32</v>
      </c>
      <c r="D14" s="16" t="n">
        <v>1324</v>
      </c>
      <c r="E14" s="16" t="n">
        <v>1324</v>
      </c>
      <c r="F14" s="7" t="inlineStr">
        <is>
          <t>玩家等级达到20级
参数：20,1</t>
        </is>
      </c>
      <c r="G14" s="16" t="n">
        <v>1030301</v>
      </c>
      <c r="H14" s="7" t="inlineStr">
        <is>
          <t>道具1×25000；行旅帧片(4)×100</t>
        </is>
      </c>
      <c r="I14" s="7" t="inlineStr">
        <is>
          <t>已在06，核对保留</t>
        </is>
      </c>
    </row>
    <row r="15" ht="48" customHeight="1">
      <c r="A15" s="7" t="inlineStr">
        <is>
          <t>玩家等级</t>
        </is>
      </c>
      <c r="B15" s="16" t="n">
        <v>3</v>
      </c>
      <c r="C15" s="16" t="n">
        <v>42</v>
      </c>
      <c r="D15" s="16" t="n">
        <v>1334</v>
      </c>
      <c r="E15" s="16" t="n">
        <v>1334</v>
      </c>
      <c r="F15" s="7" t="inlineStr">
        <is>
          <t>玩家等级达到25级
参数：25,1</t>
        </is>
      </c>
      <c r="G15" s="16" t="n">
        <v>1030401</v>
      </c>
      <c r="H15" s="7" t="inlineStr">
        <is>
          <t>道具1×30000；行旅帧片(4)×200</t>
        </is>
      </c>
      <c r="I15" s="7" t="inlineStr">
        <is>
          <t>已在06，核对保留</t>
        </is>
      </c>
    </row>
    <row r="16" ht="48" customHeight="1">
      <c r="A16" s="7" t="inlineStr">
        <is>
          <t>玩家等级</t>
        </is>
      </c>
      <c r="B16" s="16" t="n">
        <v>4</v>
      </c>
      <c r="C16" s="16" t="n">
        <v>52</v>
      </c>
      <c r="D16" s="16" t="n">
        <v>1344</v>
      </c>
      <c r="E16" s="16" t="n">
        <v>1344</v>
      </c>
      <c r="F16" s="7" t="inlineStr">
        <is>
          <t>玩家等级达到30级
参数：30,1</t>
        </is>
      </c>
      <c r="G16" s="16" t="n">
        <v>1030501</v>
      </c>
      <c r="H16" s="7" t="inlineStr">
        <is>
          <t>道具1×35000；行旅帧片(4)×200</t>
        </is>
      </c>
      <c r="I16" s="7" t="inlineStr">
        <is>
          <t>已在06，核对保留</t>
        </is>
      </c>
    </row>
    <row r="17" ht="48" customHeight="1">
      <c r="A17" s="7" t="inlineStr">
        <is>
          <t>玩家等级</t>
        </is>
      </c>
      <c r="B17" s="16" t="n">
        <v>5</v>
      </c>
      <c r="C17" s="16" t="n">
        <v>62</v>
      </c>
      <c r="D17" s="16" t="n">
        <v>1354</v>
      </c>
      <c r="E17" s="16" t="n">
        <v>1354</v>
      </c>
      <c r="F17" s="7" t="inlineStr">
        <is>
          <t>玩家等级达到33级
参数：33,1</t>
        </is>
      </c>
      <c r="G17" s="16" t="n">
        <v>1030601</v>
      </c>
      <c r="H17" s="7" t="inlineStr">
        <is>
          <t>道具1×40000；行旅帧片(4)×200</t>
        </is>
      </c>
      <c r="I17" s="7" t="inlineStr">
        <is>
          <t>已在06，核对保留</t>
        </is>
      </c>
    </row>
    <row r="18" ht="48" customHeight="1">
      <c r="A18" s="7" t="inlineStr">
        <is>
          <t>玩家等级</t>
        </is>
      </c>
      <c r="B18" s="16" t="n">
        <v>6</v>
      </c>
      <c r="C18" s="16" t="n">
        <v>72</v>
      </c>
      <c r="D18" s="16" t="n">
        <v>1364</v>
      </c>
      <c r="E18" s="16" t="n">
        <v>1364</v>
      </c>
      <c r="F18" s="7" t="inlineStr">
        <is>
          <t>玩家等级达到36级
参数：36,1</t>
        </is>
      </c>
      <c r="G18" s="16" t="n">
        <v>1030701</v>
      </c>
      <c r="H18" s="7" t="inlineStr">
        <is>
          <t>道具1×45000；行旅帧片(4)×300</t>
        </is>
      </c>
      <c r="I18" s="7" t="inlineStr">
        <is>
          <t>已在06，核对保留</t>
        </is>
      </c>
    </row>
    <row r="19" ht="48" customHeight="1">
      <c r="A19" s="7" t="inlineStr">
        <is>
          <t>玩家等级</t>
        </is>
      </c>
      <c r="B19" s="16" t="n">
        <v>7</v>
      </c>
      <c r="C19" s="16" t="n">
        <v>82</v>
      </c>
      <c r="D19" s="16" t="n">
        <v>1374</v>
      </c>
      <c r="E19" s="16" t="n">
        <v>1374</v>
      </c>
      <c r="F19" s="7" t="inlineStr">
        <is>
          <t>玩家等级达到38级
参数：38,1</t>
        </is>
      </c>
      <c r="G19" s="16" t="n">
        <v>1030801</v>
      </c>
      <c r="H19" s="7" t="inlineStr">
        <is>
          <t>道具1×50000；行旅帧片(4)×300</t>
        </is>
      </c>
      <c r="I19" s="7" t="inlineStr">
        <is>
          <t>已在06，核对保留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2026-09-03T03:41:56Z</dcterms:created>
  <dcterms:modified xsi:type="dcterms:W3CDTF">2026-09-03T03:52:05Z</dcterms:modified>
</cp:coreProperties>
</file>