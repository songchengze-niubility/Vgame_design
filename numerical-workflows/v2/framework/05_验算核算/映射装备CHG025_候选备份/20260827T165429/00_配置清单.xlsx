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4dced3395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080b97d1006c47d6"/>
    <x:sheet xmlns:r="http://schemas.openxmlformats.org/officeDocument/2006/relationships" name="CHG019概率展示" sheetId="2" r:id="R915eea011b104762"/>
    <x:sheet xmlns:r="http://schemas.openxmlformats.org/officeDocument/2006/relationships" name="CHG023稀有词条" sheetId="3" r:id="R09e4ef6151064ded"/>
    <x:sheet xmlns:r="http://schemas.openxmlformats.org/officeDocument/2006/relationships" name="CHG024具名技能" sheetId="4" r:id="R50d9def44f9b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%"/>
    <x:numFmt numFmtId="201" formatCode="0%"/>
    <x:numFmt numFmtId="202" formatCode="0"/>
  </x:numFmts>
  <x:fonts count="5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2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202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abd5132c54550" /><Relationship Type="http://schemas.openxmlformats.org/officeDocument/2006/relationships/theme" Target="/xl/theme/theme1.xml" Id="R0064fd929180431a" /><Relationship Type="http://schemas.openxmlformats.org/officeDocument/2006/relationships/sharedStrings" Target="/xl/sharedStrings.xml" Id="Rf9991fc090104bdd" /><Relationship Type="http://schemas.openxmlformats.org/officeDocument/2006/relationships/worksheet" Target="/xl/worksheets/sheet1.xml" Id="R080b97d1006c47d6" /><Relationship Type="http://schemas.openxmlformats.org/officeDocument/2006/relationships/worksheet" Target="/xl/worksheets/sheet2.xml" Id="R915eea011b104762" /><Relationship Type="http://schemas.openxmlformats.org/officeDocument/2006/relationships/worksheet" Target="/xl/worksheets/sheet3.xml" Id="R09e4ef6151064ded" /><Relationship Type="http://schemas.openxmlformats.org/officeDocument/2006/relationships/worksheet" Target="/xl/worksheets/sheet4.xml" Id="R50d9def44f9b43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32" customWidth="1"/>
    <x:col min="4" max="4" width="28" customWidth="1"/>
    <x:col min="5" max="5" width="12" customWidth="1"/>
    <x:col min="6" max="6" width="90" customWidth="1"/>
    <x:col min="7" max="7" width="6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镜像文件</x:t>
        </x:is>
      </x:c>
      <x:c r="C1" s="1" t="inlineStr">
        <x:is>
          <x:t xml:space="preserve">配置页签</x:t>
        </x:is>
      </x:c>
      <x:c r="D1" s="1" t="inlineStr">
        <x:is>
          <x:t xml:space="preserve">状态</x:t>
        </x:is>
      </x:c>
      <x:c r="E1" s="1" t="inlineStr">
        <x:is>
          <x:t xml:space="preserve">数据行数</x:t>
        </x:is>
      </x:c>
      <x:c r="F1" s="1" t="inlineStr">
        <x:is>
          <x:t xml:space="preserve">正式配置路径</x:t>
        </x:is>
      </x:c>
      <x:c r="G1" s="1" t="inlineStr">
        <x:is>
          <x:t xml:space="preserve">说明</x:t>
        </x:is>
      </x:c>
    </x:row>
    <x:row r="2" ht="110" customHeight="1">
      <x:c r="A2" s="2" t="n">
        <x:v>1</x:v>
      </x:c>
      <x:c r="B2" s="2" t="inlineStr">
        <x:is>
          <x:t xml:space="preserve">Items.xlsx</x:t>
        </x:is>
      </x:c>
      <x:c r="C2" s="2" t="inlineStr">
        <x:is>
          <x:t xml:space="preserve">items</x:t>
        </x:is>
      </x:c>
      <x:c r="D2" s="2" t="str">
        <x:v>CHG-022：候选，按字段导入</x:v>
      </x:c>
      <x:c r="E2" s="2" t="n">
        <x:v>323</x:v>
      </x:c>
      <x:c r="F2" s="2" t="inlineStr">
        <x:is>
          <x:t xml:space="preserve">D:\Vgame\Config\GameConfig\Datas\items\Items.xlsx</x:t>
        </x:is>
      </x:c>
      <x:c r="G2" s="2" t="str">
        <x:v>CHG-022：4375为第三层实际可发放专用箱，蓝色外观，ParaList=4375，开启固定1件10级金装。其他首通展示4373～4374、4376～4402仍为占位；普通预览4403～4447仅展示。</x:v>
      </x:c>
    </x:row>
    <x:row r="3" ht="110" customHeight="1">
      <x:c r="A3" s="2" t="n">
        <x:v>2</x:v>
      </x:c>
      <x:c r="B3" s="2" t="inlineStr">
        <x:is>
          <x:t xml:space="preserve">Drop_dungeon.xlsx</x:t>
        </x:is>
      </x:c>
      <x:c r="C3" s="2" t="inlineStr">
        <x:is>
          <x:t xml:space="preserve">Drop</x:t>
        </x:is>
      </x:c>
      <x:c r="D3" s="2" t="str">
        <x:v>CHG-022：候选，按字段导入</x:v>
      </x:c>
      <x:c r="E3" s="2" t="n">
        <x:v>695</x:v>
      </x:c>
      <x:c r="F3" s="2" t="inlineStr">
        <x:is>
          <x:t xml:space="preserve">D:\Vgame\Config\GameConfig\Datas\Drop\Drop_dungeon.xlsx</x:t>
        </x:is>
      </x:c>
      <x:c r="G3" s="2" t="str">
        <x:v>CHG-022：仅第三层首通20000012的箱由4212改4375×1，固定开出10级金装；钥匙25×1及其他Drop不变。常规Drop不能引用4375。SVN未修改。</x:v>
      </x:c>
    </x:row>
    <x:row r="4">
      <x:c r="A4" s="2" t="n">
        <x:v>3</x:v>
      </x:c>
      <x:c r="B4" s="2" t="inlineStr">
        <x:is>
          <x:t xml:space="preserve">EquipmentLevel.xlsx</x:t>
        </x:is>
      </x:c>
      <x:c r="C4" s="2" t="inlineStr">
        <x:is>
          <x:t xml:space="preserve">EquipmentLevel</x:t>
        </x:is>
      </x:c>
      <x:c r="D4" s="2" t="inlineStr">
        <x:is>
          <x:t xml:space="preserve">可粘贴</x:t>
        </x:is>
      </x:c>
      <x:c r="E4" s="2" t="n">
        <x:v>150</x:v>
      </x:c>
      <x:c r="F4" s="2" t="inlineStr">
        <x:is>
          <x:t xml:space="preserve">D:\Vgame\Config\GameConfig\Datas\level\EquipmentLevel.xlsx</x:t>
        </x:is>
      </x:c>
      <x:c r="G4" s="2" t="inlineStr">
        <x:is>
          <x:t xml:space="preserve"/>
        </x:is>
      </x:c>
    </x:row>
    <x:row r="5" ht="110" customHeight="1">
      <x:c r="A5" s="2" t="n">
        <x:v>4</x:v>
      </x:c>
      <x:c r="B5" s="2" t="inlineStr">
        <x:is>
          <x:t xml:space="preserve">UIlevel.xlsx</x:t>
        </x:is>
      </x:c>
      <x:c r="C5" s="2" t="inlineStr">
        <x:is>
          <x:t xml:space="preserve">level</x:t>
        </x:is>
      </x:c>
      <x:c r="D5" s="2" t="str">
        <x:v>CHG-022：候选，按字段导入</x:v>
      </x:c>
      <x:c r="E5" s="2" t="n">
        <x:v>150</x:v>
      </x:c>
      <x:c r="F5" s="2" t="inlineStr">
        <x:is>
          <x:t xml:space="preserve">D:\Vgame\Config\GameConfig\Datas\level\UIlevel.xlsx</x:t>
        </x:is>
      </x:c>
      <x:c r="G5" s="2" t="str">
        <x:v>CHG-022：第三层五变体FirstReward保持25,1;4375,1，现与实际Drop和开箱链对齐；Reward及所有UI数据不变。正式表多Power列，按字段导入；SVN仍有旧首通与常规预览道具缺失，不能声称已同步正式。</x:v>
      </x:c>
    </x:row>
    <x:row r="6">
      <x:c r="A6" s="2" t="n">
        <x:v>5</x:v>
      </x:c>
      <x:c r="B6" s="2" t="inlineStr">
        <x:is>
          <x:t xml:space="preserve">ItemAccess.xlsx</x:t>
        </x:is>
      </x:c>
      <x:c r="C6" s="2" t="inlineStr">
        <x:is>
          <x:t xml:space="preserve">ItemAccess</x:t>
        </x:is>
      </x:c>
      <x:c r="D6" s="2" t="inlineStr">
        <x:is>
          <x:t xml:space="preserve">需按建议列替换</x:t>
        </x:is>
      </x:c>
      <x:c r="E6" s="2" t="n">
        <x:v>1</x:v>
      </x:c>
      <x:c r="F6" s="2" t="inlineStr">
        <x:is>
          <x:t xml:space="preserve">D:\Vgame\Config\GameConfig\Datas\items\ItemAccess.xlsx</x:t>
        </x:is>
      </x:c>
      <x:c r="G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PortableExp.xlsx</x:t>
        </x:is>
      </x:c>
      <x:c r="C7" s="2" t="inlineStr">
        <x:is>
          <x:t xml:space="preserve">PortableExp</x:t>
        </x:is>
      </x:c>
      <x:c r="D7" s="2" t="inlineStr">
        <x:is>
          <x:t xml:space="preserve">可粘贴</x:t>
        </x:is>
      </x:c>
      <x:c r="E7" s="2" t="n">
        <x:v>60</x:v>
      </x:c>
      <x:c r="F7" s="2" t="inlineStr">
        <x:is>
          <x:t xml:space="preserve">D:\Vgame\Config\GameConfig\Datas\SpecialEquipment\Portable\PortableExp.xlsx</x:t>
        </x:is>
      </x:c>
      <x:c r="G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PortableLvUp.xlsx</x:t>
        </x:is>
      </x:c>
      <x:c r="C8" s="2" t="inlineStr">
        <x:is>
          <x:t xml:space="preserve">PortableLvUp</x:t>
        </x:is>
      </x:c>
      <x:c r="D8" s="2" t="inlineStr">
        <x:is>
          <x:t xml:space="preserve">可粘贴</x:t>
        </x:is>
      </x:c>
      <x:c r="E8" s="2" t="n">
        <x:v>59</x:v>
      </x:c>
      <x:c r="F8" s="2" t="inlineStr">
        <x:is>
          <x:t xml:space="preserve">D:\Vgame\Config\GameConfig\Datas\SpecialEquipment\Portable\PortableLvUp.xlsx</x:t>
        </x:is>
      </x:c>
      <x:c r="G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SpecialEquipmentMain.xlsx</x:t>
        </x:is>
      </x:c>
      <x:c r="C9" s="2" t="inlineStr">
        <x:is>
          <x:t xml:space="preserve">SpecialEquipment</x:t>
        </x:is>
      </x:c>
      <x:c r="D9" s="2" t="inlineStr">
        <x:is>
          <x:t xml:space="preserve">可粘贴：190条主属性参数</x:t>
        </x:is>
      </x:c>
      <x:c r="E9" s="2" t="n">
        <x:v>190</x:v>
      </x:c>
      <x:c r="F9" s="2" t="inlineStr">
        <x:is>
          <x:t xml:space="preserve">D:\Vgame\Config\GameConfig\Datas\SpecialEquipment\SpecialEquipmentMain.xlsx</x:t>
        </x:is>
      </x:c>
      <x:c r="G9" s="2" t="inlineStr">
        <x:is>
          <x:t xml:space="preserve">主属性数值不变；480件装备引用171个在用Main ID，完整保留190条Main兼容定义。</x:t>
        </x:is>
      </x:c>
    </x:row>
    <x:row r="10" ht="150" customHeight="1">
      <x:c r="A10" s="2" t="n">
        <x:v>9</x:v>
      </x:c>
      <x:c r="B10" s="2" t="inlineStr">
        <x:is>
          <x:t xml:space="preserve">SpecialEquipmentEffect.xlsx</x:t>
        </x:is>
      </x:c>
      <x:c r="C10" s="2" t="inlineStr">
        <x:is>
          <x:t xml:space="preserve">SpecialEquipment</x:t>
        </x:is>
      </x:c>
      <x:c r="D10" s="2" t="str">
        <x:v>CHG-024：红装具名技能绑定，06候选</x:v>
      </x:c>
      <x:c r="E10" s="2" t="n">
        <x:v>939</x:v>
      </x:c>
      <x:c r="F10" s="2" t="inlineStr">
        <x:is>
          <x:t xml:space="preserve">D:\Vgame\Config\GameConfig\Datas\SpecialEquipment\SpecialEquipmentEffect.xlsx</x:t>
        </x:is>
      </x:c>
      <x:c r="G10" s="2" t="str">
        <x:v>CHG-018：保留246条历史定义；600条新Effect已预乘等级与品质系数，直接存最终副属性值。
CHG-023：追加72条增伤技能效果定义，EffectId与SkillId同号（31101～32206，按12类×6档保留技能编号间隔）。每条SkillList仅绑定一个技能；ParameterLimit=1、Score=150沿用既有纯技能效果模板3101，不改原有846条。
CHG-024：追加21条具名技能Effect，Id与SkillId同号30101～30802（保留Skill编号间隔）。ParameterLimit=1、Score=150沿用3101；SkillList仅1个技能。原918条不变，当前939条；只用于红装FixEffect。</x:v>
      </x:c>
    </x:row>
    <x:row r="11">
      <x:c r="A11" s="2" t="n">
        <x:v>10</x:v>
      </x:c>
      <x:c r="B11" s="2" t="inlineStr">
        <x:is>
          <x:t xml:space="preserve">SpecialEquipmentSubAttrCoef.xlsx</x:t>
        </x:is>
      </x:c>
      <x:c r="C11" s="2" t="inlineStr">
        <x:is>
          <x:t xml:space="preserve">SpecialEquipmentSubAttrCoef</x:t>
        </x:is>
      </x:c>
      <x:c r="D11" s="2" t="inlineStr">
        <x:is>
          <x:t xml:space="preserve">可粘贴：12档副属性公共倍率</x:t>
        </x:is>
      </x:c>
      <x:c r="E11" s="2" t="n">
        <x:v>12</x:v>
      </x:c>
      <x:c r="F11" s="2" t="inlineStr">
        <x:is>
          <x:t xml:space="preserve">D:\Vgame\Config\GameConfig\Datas\SpecialEquipment\SpecialEquipmentSubAttrCoef.xlsx</x:t>
        </x:is>
      </x:c>
      <x:c r="G11" s="2" t="inlineStr">
        <x:is>
          <x:t xml:space="preserve">双曲线已预乘进Effect，12档SubAttrCoef统一1.00。</x:t>
        </x:is>
      </x:c>
    </x:row>
    <x:row r="12">
      <x:c r="A12" s="2" t="n">
        <x:v>11</x:v>
      </x:c>
      <x:c r="B12" s="2" t="inlineStr">
        <x:is>
          <x:t xml:space="preserve">SpecialEquipmentQuality.xlsx</x:t>
        </x:is>
      </x:c>
      <x:c r="C12" s="2" t="inlineStr">
        <x:is>
          <x:t xml:space="preserve">SpecialEquipment</x:t>
        </x:is>
      </x:c>
      <x:c r="D12" s="2" t="inlineStr">
        <x:is>
          <x:t xml:space="preserve">可粘贴：品质系数与副属性条数</x:t>
        </x:is>
      </x:c>
      <x:c r="E12" s="2" t="n">
        <x:v>5</x:v>
      </x:c>
      <x:c r="F12" s="2" t="inlineStr">
        <x:is>
          <x:t xml:space="preserve">D:\Vgame\Config\GameConfig\Datas\SpecialEquipment\SpecialEquipmentQuality.xlsx</x:t>
        </x:is>
      </x:c>
      <x:c r="G12" s="2" t="inlineStr">
        <x:is>
          <x:t xml:space="preserve">副属性品质系数0.35/0.50/0.65/0.85/1.00；已预乘进新Effect，字段保留作参数门槛/评分。</x:t>
        </x:is>
      </x:c>
    </x:row>
    <x:row r="13" ht="150" customHeight="1">
      <x:c r="A13" s="2" t="n">
        <x:v>12</x:v>
      </x:c>
      <x:c r="B13" s="2" t="inlineStr">
        <x:is>
          <x:t xml:space="preserve">SpecialEquipment.xlsx</x:t>
        </x:is>
      </x:c>
      <x:c r="C13" s="2" t="inlineStr">
        <x:is>
          <x:t xml:space="preserve">SpecialEquipment</x:t>
        </x:is>
      </x:c>
      <x:c r="D13" s="2" t="str">
        <x:v>CHG-024：红装具名技能绑定，06候选</x:v>
      </x:c>
      <x:c r="E13" s="2" t="n">
        <x:v>480</x:v>
      </x:c>
      <x:c r="F13" s="2" t="inlineStr">
        <x:is>
          <x:t xml:space="preserve">D:\Vgame\Config\GameConfig\Datas\SpecialEquipment\SpecialEquipment.xlsx</x:t>
        </x:is>
      </x:c>
      <x:c r="G13" s="2" t="str">
        <x:v>CHG-017：按当前正式80001~80480重基；Effect改指向5001~5060品质等级池；Attribute2List清空。
CHG-023：金/红192条装备仅修改RareEffect；5～20、25～40、45～60级分别对应金1/2/3与红1/2/3，池6001～6006。绿蓝紫、普通Effect、SpecialEffect、FixEffect及刷新数量保持不变。
CHG-024：仅红装FixEffect按名称绑定21种具名技能，共22件（35/55级白色针织劳保手套均30602）。10个红装占位名称按正式Id同步；三组别名已确认；虚空突袭之刃不绑定。RareEffect六档、原SpecialEffect、属性值及非红装备不变。</x:v>
      </x:c>
    </x:row>
    <x:row r="14" ht="120" customHeight="1">
      <x:c r="A14" s="2" t="n">
        <x:v>13</x:v>
      </x:c>
      <x:c r="B14" s="2" t="inlineStr">
        <x:is>
          <x:t xml:space="preserve">SpecialEquipmentEffectDrop.xlsx</x:t>
        </x:is>
      </x:c>
      <x:c r="C14" s="2" t="inlineStr">
        <x:is>
          <x:t xml:space="preserve">SpecialEquipment</x:t>
        </x:is>
      </x:c>
      <x:c r="D14" s="2" t="str">
        <x:v>CHG-023：稀有词条六档，06候选</x:v>
      </x:c>
      <x:c r="E14" s="2" t="n">
        <x:v>259</x:v>
      </x:c>
      <x:c r="F14" s="2" t="inlineStr">
        <x:is>
          <x:t xml:space="preserve">D:\Vgame\Config\GameConfig\Datas\SpecialEquipment\SpecialEquipmentEffectDrop.xlsx</x:t>
        </x:is>
      </x:c>
      <x:c r="G14" s="2" t="str">
        <x:v>保留193条历史池，新增5001~5060；旧池退出新装备引用。
CHG-023：追加6001～6006共6个稀有词条池，每池12个同档增伤Effect，权重均为100；金1/2/3为6%/12%/18%，红1/2/3为15%/20%/25%。原253池不改。</x:v>
      </x:c>
    </x:row>
    <x:row r="15">
      <x:c r="A15" s="2" t="n">
        <x:v>14</x:v>
      </x:c>
      <x:c r="B15" s="2" t="inlineStr">
        <x:is>
          <x:t xml:space="preserve">PortableRange.xlsx</x:t>
        </x:is>
      </x:c>
      <x:c r="C15" s="2" t="inlineStr">
        <x:is>
          <x:t xml:space="preserve">PortableRange</x:t>
        </x:is>
      </x:c>
      <x:c r="D15" s="2" t="inlineStr">
        <x:is>
          <x:t xml:space="preserve">可粘贴：8个已确认合成区间</x:t>
        </x:is>
      </x:c>
      <x:c r="E15" s="2" t="n">
        <x:v>8</x:v>
      </x:c>
      <x:c r="F15" s="2" t="inlineStr">
        <x:is>
          <x:t xml:space="preserve">D:\Vgame\Config\GameConfig\Datas\SpecialEquipment\Portable\PortableRange.xlsx</x:t>
        </x:is>
      </x:c>
      <x:c r="G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Unlock.xlsx</x:t>
        </x:is>
      </x:c>
      <x:c r="C16" s="2" t="inlineStr">
        <x:is>
          <x:t xml:space="preserve">Unlock</x:t>
        </x:is>
      </x:c>
      <x:c r="D16" s="2" t="inlineStr">
        <x:is>
          <x:t xml:space="preserve">可粘贴：新增8条合成档条件+1条打造条件</x:t>
        </x:is>
      </x:c>
      <x:c r="E16" s="2" t="n">
        <x:v>9</x:v>
      </x:c>
      <x:c r="F16" s="2" t="inlineStr">
        <x:is>
          <x:t xml:space="preserve">D:\Vgame\Config\GameConfig\Datas\unlock\Unlock.xlsx</x:t>
        </x:is>
      </x:c>
      <x:c r="G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SystemOpen.xlsx</x:t>
        </x:is>
      </x:c>
      <x:c r="C17" s="2" t="inlineStr">
        <x:is>
          <x:t xml:space="preserve">SystemOpen</x:t>
        </x:is>
      </x:c>
      <x:c r="D17" s="2" t="inlineStr">
        <x:is>
          <x:t xml:space="preserve">可粘贴：打造通关第6层开启</x:t>
        </x:is>
      </x:c>
      <x:c r="E17" s="2" t="n">
        <x:v>1</x:v>
      </x:c>
      <x:c r="F17" s="2" t="inlineStr">
        <x:is>
          <x:t xml:space="preserve">D:\Vgame\Config\GameConfig\Datas\system_open\SystemOpen.xlsx</x:t>
        </x:is>
      </x:c>
      <x:c r="G17" s="2" t="inlineStr">
        <x:is>
          <x:t xml:space="preserve"/>
        </x:is>
      </x:c>
    </x:row>
    <x:row r="18">
      <x:c r="A18" s="2" t="n">
        <x:v>17</x:v>
      </x:c>
      <x:c r="B18" s="2" t="inlineStr">
        <x:is>
          <x:t xml:space="preserve">PortableCompoundProb.xlsx</x:t>
        </x:is>
      </x:c>
      <x:c r="C18" s="2" t="inlineStr">
        <x:is>
          <x:t xml:space="preserve">PortableCompoundProb</x:t>
        </x:is>
      </x:c>
      <x:c r="D18" s="2" t="inlineStr">
        <x:is>
          <x:t xml:space="preserve">可粘贴：完整正式Schema</x:t>
        </x:is>
      </x:c>
      <x:c r="E18" s="2" t="n">
        <x:v>300</x:v>
      </x:c>
      <x:c r="F18" s="2" t="inlineStr">
        <x:is>
          <x:t xml:space="preserve">D:\Vgame\Config\GameConfig\Datas\SpecialEquipment\Portable\PortableCompoundProb.xlsx</x:t>
        </x:is>
      </x:c>
      <x:c r="G18" s="2" t="inlineStr">
        <x:is>
          <x:t xml:space="preserve"/>
        </x:is>
      </x:c>
    </x:row>
    <x:row r="19">
      <x:c r="A19" s="2" t="n">
        <x:v>18</x:v>
      </x:c>
      <x:c r="B19" s="2" t="inlineStr">
        <x:is>
          <x:t xml:space="preserve">PortableCraftProb.xlsx</x:t>
        </x:is>
      </x:c>
      <x:c r="C19" s="2" t="inlineStr">
        <x:is>
          <x:t xml:space="preserve">PortableCompoundProb</x:t>
        </x:is>
      </x:c>
      <x:c r="D19" s="2" t="inlineStr">
        <x:is>
          <x:t xml:space="preserve">可粘贴：完整正式Schema</x:t>
        </x:is>
      </x:c>
      <x:c r="E19" s="2" t="n">
        <x:v>180</x:v>
      </x:c>
      <x:c r="F19" s="2" t="inlineStr">
        <x:is>
          <x:t xml:space="preserve">D:\Vgame\Config\GameConfig\Datas\SpecialEquipment\Portable\PortableCraftProb.xlsx</x:t>
        </x:is>
      </x:c>
      <x:c r="G19" s="2" t="inlineStr">
        <x:is>
          <x:t xml:space="preserve"/>
        </x:is>
      </x:c>
    </x:row>
    <x:row r="20">
      <x:c r="A20" s="2" t="n">
        <x:v>19</x:v>
      </x:c>
      <x:c r="B20" s="2" t="inlineStr">
        <x:is>
          <x:t xml:space="preserve">SpecialEquipmentGenerate.xlsx</x:t>
        </x:is>
      </x:c>
      <x:c r="C20" s="2" t="inlineStr">
        <x:is>
          <x:t xml:space="preserve">SpecialEquipment</x:t>
        </x:is>
      </x:c>
      <x:c r="D20" s="2" t="str">
        <x:v>CHG-022：候选，按字段导入</x:v>
      </x:c>
      <x:c r="E20" s="2" t="n">
        <x:v>279</x:v>
      </x:c>
      <x:c r="F20" s="2" t="inlineStr">
        <x:is>
          <x:t xml:space="preserve">D:\Vgame\Config\GameConfig\Datas\SpecialEquipment\SpecialEquipmentGenerate.xlsx</x:t>
        </x:is>
      </x:c>
      <x:c r="G20" s="2" t="str">
        <x:v>CHG-022：追加4375：GradeList=10,1000，QualityList=Orange,1000，GenerateMin/Max=1，保留其他278条。按Id和字段导入；正式表已增加FirstQualityList，候选仍为原11列，禁止整行盲贴。</x:v>
      </x:c>
    </x:row>
    <x:row r="21">
      <x:c r="A21" s="2" t="n">
        <x:v>20</x:v>
      </x:c>
      <x:c r="B21" s="2" t="inlineStr">
        <x:is>
          <x:t xml:space="preserve">PortableEquipCompound.xlsx</x:t>
        </x:is>
      </x:c>
      <x:c r="C21" s="2" t="inlineStr">
        <x:is>
          <x:t xml:space="preserve">PortableEquipCompound</x:t>
        </x:is>
      </x:c>
      <x:c r="D21" s="2" t="inlineStr">
        <x:is>
          <x:t xml:space="preserve">可粘贴：40行完整合成配置</x:t>
        </x:is>
      </x:c>
      <x:c r="E21" s="2" t="n">
        <x:v>40</x:v>
      </x:c>
      <x:c r="F21" s="2" t="inlineStr">
        <x:is>
          <x:t xml:space="preserve">D:\Vgame\Config\GameConfig\Datas\SpecialEquipment\Portable\PortableEquipCompound.xlsx</x:t>
        </x:is>
      </x:c>
      <x:c r="G21" s="2" t="inlineStr">
        <x:is>
          <x:t xml:space="preserve"/>
        </x:is>
      </x:c>
    </x:row>
    <x:row r="22">
      <x:c r="A22" s="2" t="n">
        <x:v>21</x:v>
      </x:c>
      <x:c r="B22" s="2" t="inlineStr">
        <x:is>
          <x:t xml:space="preserve">PortableEquipCraft.xlsx</x:t>
        </x:is>
      </x:c>
      <x:c r="C22" s="2" t="inlineStr">
        <x:is>
          <x:t xml:space="preserve">PortableEquipCraft</x:t>
        </x:is>
      </x:c>
      <x:c r="D22" s="2" t="inlineStr">
        <x:is>
          <x:t xml:space="preserve">可粘贴：360行完整打造配置</x:t>
        </x:is>
      </x:c>
      <x:c r="E22" s="2" t="n">
        <x:v>360</x:v>
      </x:c>
      <x:c r="F22" s="2" t="inlineStr">
        <x:is>
          <x:t xml:space="preserve">D:\Vgame\Config\GameConfig\Datas\SpecialEquipment\Portable\PortableEquipCraft.xlsx</x:t>
        </x:is>
      </x:c>
      <x:c r="G2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48" hidden="0" customWidth="1"/>
    <x:col min="13" max="13" width="12" hidden="0" customWidth="1"/>
  </x:cols>
  <x:sheetData>
    <x:row r="1" ht="32" customHeight="1">
      <x:c r="A1" s="10" t="str">
        <x:v>CHG-019｜30层常规掉落与展示（06候选，未落正式）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1" t="str">
        <x:v>参数</x:v>
      </x:c>
      <x:c r="B2" s="11" t="str">
        <x:v>起始层</x:v>
      </x:c>
      <x:c r="C2" s="11" t="str">
        <x:v>起始概率</x:v>
      </x:c>
      <x:c r="D2" s="11" t="str">
        <x:v>终止层</x:v>
      </x:c>
      <x:c r="E2" s="11" t="str">
        <x:v>终止概率</x:v>
      </x:c>
      <x:c r="F2" s="11" t="str">
        <x:v>每层增量</x:v>
      </x:c>
      <x:c r="G2" s="11" t="str">
        <x:v>口径</x:v>
      </x:c>
      <x:c r="H2" s="11"/>
      <x:c r="I2" s="11"/>
      <x:c r="J2" s="11"/>
      <x:c r="K2" s="11"/>
      <x:c r="L2" s="11"/>
      <x:c r="M2" s="11"/>
    </x:row>
    <x:row r="3" ht="24" customHeight="1">
      <x:c r="A3" s="11" t="str">
        <x:v>金箱</x:v>
      </x:c>
      <x:c r="B3" s="11" t="n">
        <x:v>10</x:v>
      </x:c>
      <x:c r="C3" s="12" t="n">
        <x:v>0.01</x:v>
      </x:c>
      <x:c r="D3" s="11" t="n">
        <x:v>30</x:v>
      </x:c>
      <x:c r="E3" s="12" t="n">
        <x:v>0.06</x:v>
      </x:c>
      <x:c r="F3" s="12" t="n">
        <x:f>(E3-C3)/(D3-B3)</x:f>
        <x:v>0.0024999999999999996</x:v>
      </x:c>
      <x:c r="G3" s="11" t="str">
        <x:v>单个已掉落箱</x:v>
      </x:c>
      <x:c r="H3" s="11"/>
      <x:c r="I3" s="11"/>
      <x:c r="J3" s="11"/>
      <x:c r="K3" s="11"/>
      <x:c r="L3" s="11"/>
      <x:c r="M3" s="11"/>
    </x:row>
    <x:row r="4" ht="24" customHeight="1">
      <x:c r="A4" s="11" t="str">
        <x:v>红箱</x:v>
      </x:c>
      <x:c r="B4" s="11" t="n">
        <x:v>20</x:v>
      </x:c>
      <x:c r="C4" s="12" t="n">
        <x:v>0.003</x:v>
      </x:c>
      <x:c r="D4" s="11" t="n">
        <x:v>30</x:v>
      </x:c>
      <x:c r="E4" s="12" t="n">
        <x:v>0.015</x:v>
      </x:c>
      <x:c r="F4" s="12" t="n">
        <x:f>(E4-C4)/(D4-B4)</x:f>
        <x:v>0.0012000000000000001</x:v>
      </x:c>
      <x:c r="G4" s="11" t="str">
        <x:v>单个已掉落箱</x:v>
      </x:c>
      <x:c r="H4" s="11"/>
      <x:c r="I4" s="11"/>
      <x:c r="J4" s="11"/>
      <x:c r="K4" s="11"/>
      <x:c r="L4" s="11"/>
      <x:c r="M4" s="11"/>
    </x:row>
    <x:row r="5" ht="24" customHeight="1">
      <x:c r="A5" s="11" t="str">
        <x:v>金主材</x:v>
      </x:c>
      <x:c r="B5" s="11" t="n">
        <x:v>10</x:v>
      </x:c>
      <x:c r="C5" s="12" t="n">
        <x:v>0.015</x:v>
      </x:c>
      <x:c r="D5" s="11" t="n">
        <x:v>30</x:v>
      </x:c>
      <x:c r="E5" s="12" t="n">
        <x:v>0.08</x:v>
      </x:c>
      <x:c r="F5" s="12" t="n">
        <x:f>(E5-C5)/(D5-B5)</x:f>
        <x:v>0.0032500000000000003</x:v>
      </x:c>
      <x:c r="G5" s="11" t="str">
        <x:v>已命中主材内</x:v>
      </x:c>
      <x:c r="H5" s="11"/>
      <x:c r="I5" s="11"/>
      <x:c r="J5" s="11"/>
      <x:c r="K5" s="11"/>
      <x:c r="L5" s="11"/>
      <x:c r="M5" s="11"/>
    </x:row>
    <x:row r="6" ht="24" customHeight="1">
      <x:c r="A6" s="11" t="str">
        <x:v>红主材</x:v>
      </x:c>
      <x:c r="B6" s="11" t="n">
        <x:v>20</x:v>
      </x:c>
      <x:c r="C6" s="12" t="n">
        <x:v>0.005</x:v>
      </x:c>
      <x:c r="D6" s="11" t="n">
        <x:v>30</x:v>
      </x:c>
      <x:c r="E6" s="12" t="n">
        <x:v>0.015</x:v>
      </x:c>
      <x:c r="F6" s="12" t="n">
        <x:f>(E6-C6)/(D6-B6)</x:f>
        <x:v>0.0009999999999999998</x:v>
      </x:c>
      <x:c r="G6" s="11" t="str">
        <x:v>已命中主材内</x:v>
      </x:c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40" customHeight="1">
      <x:c r="A8" s="10" t="str">
        <x:v>层</x:v>
      </x:c>
      <x:c r="B8" s="10" t="str">
        <x:v>绿箱</x:v>
      </x:c>
      <x:c r="C8" s="10" t="str">
        <x:v>蓝箱</x:v>
      </x:c>
      <x:c r="D8" s="10" t="str">
        <x:v>紫箱</x:v>
      </x:c>
      <x:c r="E8" s="10" t="str">
        <x:v>金箱</x:v>
      </x:c>
      <x:c r="F8" s="10" t="str">
        <x:v>红箱</x:v>
      </x:c>
      <x:c r="G8" s="10" t="str">
        <x:v>主材总掉率</x:v>
      </x:c>
      <x:c r="H8" s="10" t="str">
        <x:v>主材内紫</x:v>
      </x:c>
      <x:c r="I8" s="10" t="str">
        <x:v>主材内金</x:v>
      </x:c>
      <x:c r="J8" s="10" t="str">
        <x:v>主材内红</x:v>
      </x:c>
      <x:c r="K8" s="10" t="str">
        <x:v>可能等级（降序）</x:v>
      </x:c>
      <x:c r="L8" s="10" t="str">
        <x:v>宝箱展示（品质降序）</x:v>
      </x:c>
      <x:c r="M8" s="10" t="str">
        <x:v>主材档位</x:v>
      </x:c>
    </x:row>
    <x:row r="9" ht="48" customHeight="1">
      <x:c r="A9" s="11" t="n">
        <x:v>1</x:v>
      </x:c>
      <x:c r="B9" s="12" t="n">
        <x:v>0.515</x:v>
      </x:c>
      <x:c r="C9" s="12" t="n">
        <x:v>0.3</x:v>
      </x:c>
      <x:c r="D9" s="12" t="n">
        <x:f>1-B9-C9-E9-F9</x:f>
        <x:v>0.185</x:v>
      </x:c>
      <x:c r="E9" s="12" t="n">
        <x:f>IF(A9&lt;$B$3,0,$C$3+(A9-$B$3)*$F$3)</x:f>
        <x:v>0</x:v>
      </x:c>
      <x:c r="F9" s="12" t="n">
        <x:f>IF(A9&lt;$B$4,0,$C$4+(A9-$B$4)*$F$4)</x:f>
        <x:v>0</x:v>
      </x:c>
      <x:c r="G9" s="12" t="n">
        <x:v>0</x:v>
      </x:c>
      <x:c r="H9" s="12" t="n">
        <x:f>1-I9-J9</x:f>
        <x:v>1</x:v>
      </x:c>
      <x:c r="I9" s="12" t="n">
        <x:f>IF(A9&lt;$B$5,0,$C$5+(A9-$B$5)*$F$5)</x:f>
        <x:v>0</x:v>
      </x:c>
      <x:c r="J9" s="12" t="n">
        <x:f>IF(A9&lt;$B$6,0,$C$6+(A9-$B$6)*$F$6)</x:f>
        <x:v>0</x:v>
      </x:c>
      <x:c r="K9" s="11" t="str">
        <x:v>10/5</x:v>
      </x:c>
      <x:c r="L9" s="11" t="str">
        <x:v>10级紫色 → 5级蓝色 → 5级绿色</x:v>
      </x:c>
      <x:c r="M9" s="11" t="n">
        <x:v>10</x:v>
      </x:c>
    </x:row>
    <x:row r="10" ht="48" customHeight="1">
      <x:c r="A10" s="11" t="n">
        <x:v>2</x:v>
      </x:c>
      <x:c r="B10" s="12" t="n">
        <x:v>0.5093</x:v>
      </x:c>
      <x:c r="C10" s="12" t="n">
        <x:v>0.2993</x:v>
      </x:c>
      <x:c r="D10" s="12" t="n">
        <x:f>1-B10-C10-E10-F10</x:f>
        <x:v>0.19140000000000001</x:v>
      </x:c>
      <x:c r="E10" s="12" t="n">
        <x:f>IF(A10&lt;$B$3,0,$C$3+(A10-$B$3)*$F$3)</x:f>
        <x:v>0</x:v>
      </x:c>
      <x:c r="F10" s="12" t="n">
        <x:f>IF(A10&lt;$B$4,0,$C$4+(A10-$B$4)*$F$4)</x:f>
        <x:v>0</x:v>
      </x:c>
      <x:c r="G10" s="12" t="n">
        <x:v>0</x:v>
      </x:c>
      <x:c r="H10" s="12" t="n">
        <x:f>1-I10-J10</x:f>
        <x:v>1</x:v>
      </x:c>
      <x:c r="I10" s="12" t="n">
        <x:f>IF(A10&lt;$B$5,0,$C$5+(A10-$B$5)*$F$5)</x:f>
        <x:v>0</x:v>
      </x:c>
      <x:c r="J10" s="12" t="n">
        <x:f>IF(A10&lt;$B$6,0,$C$6+(A10-$B$6)*$F$6)</x:f>
        <x:v>0</x:v>
      </x:c>
      <x:c r="K10" s="11" t="str">
        <x:v>10/5</x:v>
      </x:c>
      <x:c r="L10" s="11" t="str">
        <x:v>10级紫色 → 5级蓝色 → 5级绿色</x:v>
      </x:c>
      <x:c r="M10" s="11" t="n">
        <x:v>10</x:v>
      </x:c>
    </x:row>
    <x:row r="11" ht="48" customHeight="1">
      <x:c r="A11" s="11" t="n">
        <x:v>3</x:v>
      </x:c>
      <x:c r="B11" s="12" t="n">
        <x:v>0.5036</x:v>
      </x:c>
      <x:c r="C11" s="12" t="n">
        <x:v>0.2986</x:v>
      </x:c>
      <x:c r="D11" s="12" t="n">
        <x:f>1-B11-C11-E11-F11</x:f>
        <x:v>0.19779999999999998</x:v>
      </x:c>
      <x:c r="E11" s="12" t="n">
        <x:f>IF(A11&lt;$B$3,0,$C$3+(A11-$B$3)*$F$3)</x:f>
        <x:v>0</x:v>
      </x:c>
      <x:c r="F11" s="12" t="n">
        <x:f>IF(A11&lt;$B$4,0,$C$4+(A11-$B$4)*$F$4)</x:f>
        <x:v>0</x:v>
      </x:c>
      <x:c r="G11" s="12" t="n">
        <x:v>0</x:v>
      </x:c>
      <x:c r="H11" s="12" t="n">
        <x:f>1-I11-J11</x:f>
        <x:v>1</x:v>
      </x:c>
      <x:c r="I11" s="12" t="n">
        <x:f>IF(A11&lt;$B$5,0,$C$5+(A11-$B$5)*$F$5)</x:f>
        <x:v>0</x:v>
      </x:c>
      <x:c r="J11" s="12" t="n">
        <x:f>IF(A11&lt;$B$6,0,$C$6+(A11-$B$6)*$F$6)</x:f>
        <x:v>0</x:v>
      </x:c>
      <x:c r="K11" s="11" t="str">
        <x:v>10/5</x:v>
      </x:c>
      <x:c r="L11" s="11" t="str">
        <x:v>10级紫色 → 5级蓝色 → 5级绿色</x:v>
      </x:c>
      <x:c r="M11" s="11" t="n">
        <x:v>10</x:v>
      </x:c>
    </x:row>
    <x:row r="12" ht="48" customHeight="1">
      <x:c r="A12" s="11" t="n">
        <x:v>4</x:v>
      </x:c>
      <x:c r="B12" s="12" t="n">
        <x:v>0.498</x:v>
      </x:c>
      <x:c r="C12" s="12" t="n">
        <x:v>0.2979</x:v>
      </x:c>
      <x:c r="D12" s="12" t="n">
        <x:f>1-B12-C12-E12-F12</x:f>
        <x:v>0.2041</x:v>
      </x:c>
      <x:c r="E12" s="12" t="n">
        <x:f>IF(A12&lt;$B$3,0,$C$3+(A12-$B$3)*$F$3)</x:f>
        <x:v>0</x:v>
      </x:c>
      <x:c r="F12" s="12" t="n">
        <x:f>IF(A12&lt;$B$4,0,$C$4+(A12-$B$4)*$F$4)</x:f>
        <x:v>0</x:v>
      </x:c>
      <x:c r="G12" s="12" t="n">
        <x:v>0</x:v>
      </x:c>
      <x:c r="H12" s="12" t="n">
        <x:f>1-I12-J12</x:f>
        <x:v>1</x:v>
      </x:c>
      <x:c r="I12" s="12" t="n">
        <x:f>IF(A12&lt;$B$5,0,$C$5+(A12-$B$5)*$F$5)</x:f>
        <x:v>0</x:v>
      </x:c>
      <x:c r="J12" s="12" t="n">
        <x:f>IF(A12&lt;$B$6,0,$C$6+(A12-$B$6)*$F$6)</x:f>
        <x:v>0</x:v>
      </x:c>
      <x:c r="K12" s="11" t="str">
        <x:v>10/5</x:v>
      </x:c>
      <x:c r="L12" s="11" t="str">
        <x:v>10级紫色 → 5级蓝色 → 5级绿色</x:v>
      </x:c>
      <x:c r="M12" s="11" t="n">
        <x:v>10</x:v>
      </x:c>
    </x:row>
    <x:row r="13" ht="48" customHeight="1">
      <x:c r="A13" s="11" t="n">
        <x:v>5</x:v>
      </x:c>
      <x:c r="B13" s="12" t="n">
        <x:v>0.4923</x:v>
      </x:c>
      <x:c r="C13" s="12" t="n">
        <x:v>0.2972</x:v>
      </x:c>
      <x:c r="D13" s="12" t="n">
        <x:f>1-B13-C13-E13-F13</x:f>
        <x:v>0.21050000000000002</x:v>
      </x:c>
      <x:c r="E13" s="12" t="n">
        <x:f>IF(A13&lt;$B$3,0,$C$3+(A13-$B$3)*$F$3)</x:f>
        <x:v>0</x:v>
      </x:c>
      <x:c r="F13" s="12" t="n">
        <x:f>IF(A13&lt;$B$4,0,$C$4+(A13-$B$4)*$F$4)</x:f>
        <x:v>0</x:v>
      </x:c>
      <x:c r="G13" s="12" t="n">
        <x:v>0</x:v>
      </x:c>
      <x:c r="H13" s="12" t="n">
        <x:f>1-I13-J13</x:f>
        <x:v>1</x:v>
      </x:c>
      <x:c r="I13" s="12" t="n">
        <x:f>IF(A13&lt;$B$5,0,$C$5+(A13-$B$5)*$F$5)</x:f>
        <x:v>0</x:v>
      </x:c>
      <x:c r="J13" s="12" t="n">
        <x:f>IF(A13&lt;$B$6,0,$C$6+(A13-$B$6)*$F$6)</x:f>
        <x:v>0</x:v>
      </x:c>
      <x:c r="K13" s="11" t="str">
        <x:v>15/10/5</x:v>
      </x:c>
      <x:c r="L13" s="11" t="str">
        <x:v>15级紫色 → 10级蓝色 → 5级绿色</x:v>
      </x:c>
      <x:c r="M13" s="11" t="n">
        <x:v>10</x:v>
      </x:c>
    </x:row>
    <x:row r="14" ht="48" customHeight="1">
      <x:c r="A14" s="11" t="n">
        <x:v>6</x:v>
      </x:c>
      <x:c r="B14" s="12" t="n">
        <x:v>0.4865</x:v>
      </x:c>
      <x:c r="C14" s="12" t="n">
        <x:v>0.2966</x:v>
      </x:c>
      <x:c r="D14" s="12" t="n">
        <x:f>1-B14-C14-E14-F14</x:f>
        <x:v>0.2169000000000001</x:v>
      </x:c>
      <x:c r="E14" s="12" t="n">
        <x:f>IF(A14&lt;$B$3,0,$C$3+(A14-$B$3)*$F$3)</x:f>
        <x:v>0</x:v>
      </x:c>
      <x:c r="F14" s="12" t="n">
        <x:f>IF(A14&lt;$B$4,0,$C$4+(A14-$B$4)*$F$4)</x:f>
        <x:v>0</x:v>
      </x:c>
      <x:c r="G14" s="12" t="n">
        <x:v>0.2</x:v>
      </x:c>
      <x:c r="H14" s="12" t="n">
        <x:f>1-I14-J14</x:f>
        <x:v>1</x:v>
      </x:c>
      <x:c r="I14" s="12" t="n">
        <x:f>IF(A14&lt;$B$5,0,$C$5+(A14-$B$5)*$F$5)</x:f>
        <x:v>0</x:v>
      </x:c>
      <x:c r="J14" s="12" t="n">
        <x:f>IF(A14&lt;$B$6,0,$C$6+(A14-$B$6)*$F$6)</x:f>
        <x:v>0</x:v>
      </x:c>
      <x:c r="K14" s="11" t="str">
        <x:v>15/10/5</x:v>
      </x:c>
      <x:c r="L14" s="11" t="str">
        <x:v>15级紫色 → 10级蓝色 → 5级绿色</x:v>
      </x:c>
      <x:c r="M14" s="11" t="n">
        <x:v>10</x:v>
      </x:c>
    </x:row>
    <x:row r="15" ht="48" customHeight="1">
      <x:c r="A15" s="11" t="n">
        <x:v>7</x:v>
      </x:c>
      <x:c r="B15" s="12" t="n">
        <x:v>0.4808</x:v>
      </x:c>
      <x:c r="C15" s="12" t="n">
        <x:v>0.2959</x:v>
      </x:c>
      <x:c r="D15" s="12" t="n">
        <x:f>1-B15-C15-E15-F15</x:f>
        <x:v>0.2233</x:v>
      </x:c>
      <x:c r="E15" s="12" t="n">
        <x:f>IF(A15&lt;$B$3,0,$C$3+(A15-$B$3)*$F$3)</x:f>
        <x:v>0</x:v>
      </x:c>
      <x:c r="F15" s="12" t="n">
        <x:f>IF(A15&lt;$B$4,0,$C$4+(A15-$B$4)*$F$4)</x:f>
        <x:v>0</x:v>
      </x:c>
      <x:c r="G15" s="12" t="n">
        <x:v>0.21</x:v>
      </x:c>
      <x:c r="H15" s="12" t="n">
        <x:f>1-I15-J15</x:f>
        <x:v>1</x:v>
      </x:c>
      <x:c r="I15" s="12" t="n">
        <x:f>IF(A15&lt;$B$5,0,$C$5+(A15-$B$5)*$F$5)</x:f>
        <x:v>0</x:v>
      </x:c>
      <x:c r="J15" s="12" t="n">
        <x:f>IF(A15&lt;$B$6,0,$C$6+(A15-$B$6)*$F$6)</x:f>
        <x:v>0</x:v>
      </x:c>
      <x:c r="K15" s="11" t="str">
        <x:v>15/10/5</x:v>
      </x:c>
      <x:c r="L15" s="11" t="str">
        <x:v>15级紫色 → 10级蓝色 → 5级绿色</x:v>
      </x:c>
      <x:c r="M15" s="11" t="n">
        <x:v>10</x:v>
      </x:c>
    </x:row>
    <x:row r="16" ht="48" customHeight="1">
      <x:c r="A16" s="11" t="n">
        <x:v>8</x:v>
      </x:c>
      <x:c r="B16" s="12" t="n">
        <x:v>0.4751</x:v>
      </x:c>
      <x:c r="C16" s="12" t="n">
        <x:v>0.2952</x:v>
      </x:c>
      <x:c r="D16" s="12" t="n">
        <x:f>1-B16-C16-E16-F16</x:f>
        <x:v>0.2296999999999999</x:v>
      </x:c>
      <x:c r="E16" s="12" t="n">
        <x:f>IF(A16&lt;$B$3,0,$C$3+(A16-$B$3)*$F$3)</x:f>
        <x:v>0</x:v>
      </x:c>
      <x:c r="F16" s="12" t="n">
        <x:f>IF(A16&lt;$B$4,0,$C$4+(A16-$B$4)*$F$4)</x:f>
        <x:v>0</x:v>
      </x:c>
      <x:c r="G16" s="12" t="n">
        <x:v>0.22</x:v>
      </x:c>
      <x:c r="H16" s="12" t="n">
        <x:f>1-I16-J16</x:f>
        <x:v>1</x:v>
      </x:c>
      <x:c r="I16" s="12" t="n">
        <x:f>IF(A16&lt;$B$5,0,$C$5+(A16-$B$5)*$F$5)</x:f>
        <x:v>0</x:v>
      </x:c>
      <x:c r="J16" s="12" t="n">
        <x:f>IF(A16&lt;$B$6,0,$C$6+(A16-$B$6)*$F$6)</x:f>
        <x:v>0</x:v>
      </x:c>
      <x:c r="K16" s="11" t="str">
        <x:v>20/15/10</x:v>
      </x:c>
      <x:c r="L16" s="11" t="str">
        <x:v>20级紫色 → 15级蓝色 → 10级绿色</x:v>
      </x:c>
      <x:c r="M16" s="11" t="n">
        <x:v>10</x:v>
      </x:c>
    </x:row>
    <x:row r="17" ht="48" customHeight="1">
      <x:c r="A17" s="11" t="n">
        <x:v>9</x:v>
      </x:c>
      <x:c r="B17" s="12" t="n">
        <x:v>0.4695</x:v>
      </x:c>
      <x:c r="C17" s="12" t="n">
        <x:v>0.2945</x:v>
      </x:c>
      <x:c r="D17" s="12" t="n">
        <x:f>1-B17-C17-E17-F17</x:f>
        <x:v>0.236</x:v>
      </x:c>
      <x:c r="E17" s="12" t="n">
        <x:f>IF(A17&lt;$B$3,0,$C$3+(A17-$B$3)*$F$3)</x:f>
        <x:v>0</x:v>
      </x:c>
      <x:c r="F17" s="12" t="n">
        <x:f>IF(A17&lt;$B$4,0,$C$4+(A17-$B$4)*$F$4)</x:f>
        <x:v>0</x:v>
      </x:c>
      <x:c r="G17" s="12" t="n">
        <x:v>0.23</x:v>
      </x:c>
      <x:c r="H17" s="12" t="n">
        <x:f>1-I17-J17</x:f>
        <x:v>1</x:v>
      </x:c>
      <x:c r="I17" s="12" t="n">
        <x:f>IF(A17&lt;$B$5,0,$C$5+(A17-$B$5)*$F$5)</x:f>
        <x:v>0</x:v>
      </x:c>
      <x:c r="J17" s="12" t="n">
        <x:f>IF(A17&lt;$B$6,0,$C$6+(A17-$B$6)*$F$6)</x:f>
        <x:v>0</x:v>
      </x:c>
      <x:c r="K17" s="11" t="str">
        <x:v>20/15/10</x:v>
      </x:c>
      <x:c r="L17" s="11" t="str">
        <x:v>20级紫色 → 15级蓝色 → 10级绿色</x:v>
      </x:c>
      <x:c r="M17" s="11" t="n">
        <x:v>20</x:v>
      </x:c>
    </x:row>
    <x:row r="18" ht="48" customHeight="1">
      <x:c r="A18" s="11" t="n">
        <x:v>10</x:v>
      </x:c>
      <x:c r="B18" s="12" t="n">
        <x:v>0.4538</x:v>
      </x:c>
      <x:c r="C18" s="12" t="n">
        <x:v>0.2938</x:v>
      </x:c>
      <x:c r="D18" s="12" t="n">
        <x:f>1-B18-C18-E18-F18</x:f>
        <x:v>0.2424</x:v>
      </x:c>
      <x:c r="E18" s="12" t="n">
        <x:f>IF(A18&lt;$B$3,0,$C$3+(A18-$B$3)*$F$3)</x:f>
        <x:v>0.01</x:v>
      </x:c>
      <x:c r="F18" s="12" t="n">
        <x:f>IF(A18&lt;$B$4,0,$C$4+(A18-$B$4)*$F$4)</x:f>
        <x:v>0</x:v>
      </x:c>
      <x:c r="G18" s="12" t="n">
        <x:v>0.24</x:v>
      </x:c>
      <x:c r="H18" s="12" t="n">
        <x:f>1-I18-J18</x:f>
        <x:v>0.985</x:v>
      </x:c>
      <x:c r="I18" s="12" t="n">
        <x:f>IF(A18&lt;$B$5,0,$C$5+(A18-$B$5)*$F$5)</x:f>
        <x:v>0.015</x:v>
      </x:c>
      <x:c r="J18" s="12" t="n">
        <x:f>IF(A18&lt;$B$6,0,$C$6+(A18-$B$6)*$F$6)</x:f>
        <x:v>0</x:v>
      </x:c>
      <x:c r="K18" s="11" t="str">
        <x:v>25/20/15</x:v>
      </x:c>
      <x:c r="L18" s="11" t="str">
        <x:v>25级金色 → 20级紫色 → 15级蓝色 → 15级绿色</x:v>
      </x:c>
      <x:c r="M18" s="11" t="n">
        <x:v>30</x:v>
      </x:c>
    </x:row>
    <x:row r="19" ht="48" customHeight="1">
      <x:c r="A19" s="11" t="n">
        <x:v>11</x:v>
      </x:c>
      <x:c r="B19" s="12" t="n">
        <x:v>0.4391</x:v>
      </x:c>
      <x:c r="C19" s="12" t="n">
        <x:v>0.2931</x:v>
      </x:c>
      <x:c r="D19" s="12" t="n">
        <x:f>1-B19-C19-E19-F19</x:f>
        <x:v>0.2552999999999999</x:v>
      </x:c>
      <x:c r="E19" s="12" t="n">
        <x:f>IF(A19&lt;$B$3,0,$C$3+(A19-$B$3)*$F$3)</x:f>
        <x:v>0.0125</x:v>
      </x:c>
      <x:c r="F19" s="12" t="n">
        <x:f>IF(A19&lt;$B$4,0,$C$4+(A19-$B$4)*$F$4)</x:f>
        <x:v>0</x:v>
      </x:c>
      <x:c r="G19" s="12" t="n">
        <x:v>0.25</x:v>
      </x:c>
      <x:c r="H19" s="12" t="n">
        <x:f>1-I19-J19</x:f>
        <x:v>0.98175</x:v>
      </x:c>
      <x:c r="I19" s="12" t="n">
        <x:f>IF(A19&lt;$B$5,0,$C$5+(A19-$B$5)*$F$5)</x:f>
        <x:v>0.01825</x:v>
      </x:c>
      <x:c r="J19" s="12" t="n">
        <x:f>IF(A19&lt;$B$6,0,$C$6+(A19-$B$6)*$F$6)</x:f>
        <x:v>0</x:v>
      </x:c>
      <x:c r="K19" s="11" t="str">
        <x:v>25/20/15</x:v>
      </x:c>
      <x:c r="L19" s="11" t="str">
        <x:v>25级金色 → 20级紫色 → 15级蓝色 → 15级绿色</x:v>
      </x:c>
      <x:c r="M19" s="11" t="n">
        <x:v>30</x:v>
      </x:c>
    </x:row>
    <x:row r="20" ht="48" customHeight="1">
      <x:c r="A20" s="11" t="n">
        <x:v>12</x:v>
      </x:c>
      <x:c r="B20" s="12" t="n">
        <x:v>0.4244</x:v>
      </x:c>
      <x:c r="C20" s="12" t="n">
        <x:v>0.2924</x:v>
      </x:c>
      <x:c r="D20" s="12" t="n">
        <x:f>1-B20-C20-E20-F20</x:f>
        <x:v>0.2682</x:v>
      </x:c>
      <x:c r="E20" s="12" t="n">
        <x:f>IF(A20&lt;$B$3,0,$C$3+(A20-$B$3)*$F$3)</x:f>
        <x:v>0.015</x:v>
      </x:c>
      <x:c r="F20" s="12" t="n">
        <x:f>IF(A20&lt;$B$4,0,$C$4+(A20-$B$4)*$F$4)</x:f>
        <x:v>0</x:v>
      </x:c>
      <x:c r="G20" s="12" t="n">
        <x:v>0.26</x:v>
      </x:c>
      <x:c r="H20" s="12" t="n">
        <x:f>1-I20-J20</x:f>
        <x:v>0.9785</x:v>
      </x:c>
      <x:c r="I20" s="12" t="n">
        <x:f>IF(A20&lt;$B$5,0,$C$5+(A20-$B$5)*$F$5)</x:f>
        <x:v>0.0215</x:v>
      </x:c>
      <x:c r="J20" s="12" t="n">
        <x:f>IF(A20&lt;$B$6,0,$C$6+(A20-$B$6)*$F$6)</x:f>
        <x:v>0</x:v>
      </x:c>
      <x:c r="K20" s="11" t="str">
        <x:v>30/25/20</x:v>
      </x:c>
      <x:c r="L20" s="11" t="str">
        <x:v>30级金色 → 25级紫色 → 20级蓝色 → 20级绿色</x:v>
      </x:c>
      <x:c r="M20" s="11" t="n">
        <x:v>30</x:v>
      </x:c>
    </x:row>
    <x:row r="21" ht="48" customHeight="1">
      <x:c r="A21" s="11" t="n">
        <x:v>13</x:v>
      </x:c>
      <x:c r="B21" s="12" t="n">
        <x:v>0.4097</x:v>
      </x:c>
      <x:c r="C21" s="12" t="n">
        <x:v>0.2917</x:v>
      </x:c>
      <x:c r="D21" s="12" t="n">
        <x:f>1-B21-C21-E21-F21</x:f>
        <x:v>0.2811</x:v>
      </x:c>
      <x:c r="E21" s="12" t="n">
        <x:f>IF(A21&lt;$B$3,0,$C$3+(A21-$B$3)*$F$3)</x:f>
        <x:v>0.017499999999999998</x:v>
      </x:c>
      <x:c r="F21" s="12" t="n">
        <x:f>IF(A21&lt;$B$4,0,$C$4+(A21-$B$4)*$F$4)</x:f>
        <x:v>0</x:v>
      </x:c>
      <x:c r="G21" s="12" t="n">
        <x:v>0.27</x:v>
      </x:c>
      <x:c r="H21" s="12" t="n">
        <x:f>1-I21-J21</x:f>
        <x:v>0.97525</x:v>
      </x:c>
      <x:c r="I21" s="12" t="n">
        <x:f>IF(A21&lt;$B$5,0,$C$5+(A21-$B$5)*$F$5)</x:f>
        <x:v>0.02475</x:v>
      </x:c>
      <x:c r="J21" s="12" t="n">
        <x:f>IF(A21&lt;$B$6,0,$C$6+(A21-$B$6)*$F$6)</x:f>
        <x:v>0</x:v>
      </x:c>
      <x:c r="K21" s="11" t="str">
        <x:v>30/25/20</x:v>
      </x:c>
      <x:c r="L21" s="11" t="str">
        <x:v>30级金色 → 25级紫色 → 20级蓝色 → 20级绿色</x:v>
      </x:c>
      <x:c r="M21" s="11" t="n">
        <x:v>30</x:v>
      </x:c>
    </x:row>
    <x:row r="22" ht="48" customHeight="1">
      <x:c r="A22" s="11" t="n">
        <x:v>14</x:v>
      </x:c>
      <x:c r="B22" s="12" t="n">
        <x:v>0.3951</x:v>
      </x:c>
      <x:c r="C22" s="12" t="n">
        <x:v>0.291</x:v>
      </x:c>
      <x:c r="D22" s="12" t="n">
        <x:f>1-B22-C22-E22-F22</x:f>
        <x:v>0.2939</x:v>
      </x:c>
      <x:c r="E22" s="12" t="n">
        <x:f>IF(A22&lt;$B$3,0,$C$3+(A22-$B$3)*$F$3)</x:f>
        <x:v>0.019999999999999997</x:v>
      </x:c>
      <x:c r="F22" s="12" t="n">
        <x:f>IF(A22&lt;$B$4,0,$C$4+(A22-$B$4)*$F$4)</x:f>
        <x:v>0</x:v>
      </x:c>
      <x:c r="G22" s="12" t="n">
        <x:v>0.28</x:v>
      </x:c>
      <x:c r="H22" s="12" t="n">
        <x:f>1-I22-J22</x:f>
        <x:v>0.972</x:v>
      </x:c>
      <x:c r="I22" s="12" t="n">
        <x:f>IF(A22&lt;$B$5,0,$C$5+(A22-$B$5)*$F$5)</x:f>
        <x:v>0.028</x:v>
      </x:c>
      <x:c r="J22" s="12" t="n">
        <x:f>IF(A22&lt;$B$6,0,$C$6+(A22-$B$6)*$F$6)</x:f>
        <x:v>0</x:v>
      </x:c>
      <x:c r="K22" s="11" t="str">
        <x:v>35/30/25</x:v>
      </x:c>
      <x:c r="L22" s="11" t="str">
        <x:v>35级金色 → 30级紫色 → 25级蓝色 → 25级绿色</x:v>
      </x:c>
      <x:c r="M22" s="11" t="n">
        <x:v>30</x:v>
      </x:c>
    </x:row>
    <x:row r="23" ht="48" customHeight="1">
      <x:c r="A23" s="11" t="n">
        <x:v>15</x:v>
      </x:c>
      <x:c r="B23" s="12" t="n">
        <x:v>0.3804</x:v>
      </x:c>
      <x:c r="C23" s="12" t="n">
        <x:v>0.2903</x:v>
      </x:c>
      <x:c r="D23" s="12" t="n">
        <x:f>1-B23-C23-E23-F23</x:f>
        <x:v>0.3067999999999999</x:v>
      </x:c>
      <x:c r="E23" s="12" t="n">
        <x:f>IF(A23&lt;$B$3,0,$C$3+(A23-$B$3)*$F$3)</x:f>
        <x:v>0.0225</x:v>
      </x:c>
      <x:c r="F23" s="12" t="n">
        <x:f>IF(A23&lt;$B$4,0,$C$4+(A23-$B$4)*$F$4)</x:f>
        <x:v>0</x:v>
      </x:c>
      <x:c r="G23" s="12" t="n">
        <x:v>0.29</x:v>
      </x:c>
      <x:c r="H23" s="12" t="n">
        <x:f>1-I23-J23</x:f>
        <x:v>0.96875</x:v>
      </x:c>
      <x:c r="I23" s="12" t="n">
        <x:f>IF(A23&lt;$B$5,0,$C$5+(A23-$B$5)*$F$5)</x:f>
        <x:v>0.03125</x:v>
      </x:c>
      <x:c r="J23" s="12" t="n">
        <x:f>IF(A23&lt;$B$6,0,$C$6+(A23-$B$6)*$F$6)</x:f>
        <x:v>0</x:v>
      </x:c>
      <x:c r="K23" s="11" t="str">
        <x:v>35/30/25</x:v>
      </x:c>
      <x:c r="L23" s="11" t="str">
        <x:v>35级金色 → 30级紫色 → 25级蓝色 → 25级绿色</x:v>
      </x:c>
      <x:c r="M23" s="11" t="n">
        <x:v>30</x:v>
      </x:c>
    </x:row>
    <x:row r="24" ht="48" customHeight="1">
      <x:c r="A24" s="11" t="n">
        <x:v>16</x:v>
      </x:c>
      <x:c r="B24" s="12" t="n">
        <x:v>0.3656</x:v>
      </x:c>
      <x:c r="C24" s="12" t="n">
        <x:v>0.2897</x:v>
      </x:c>
      <x:c r="D24" s="12" t="n">
        <x:f>1-B24-C24-E24-F24</x:f>
        <x:v>0.31970000000000004</x:v>
      </x:c>
      <x:c r="E24" s="12" t="n">
        <x:f>IF(A24&lt;$B$3,0,$C$3+(A24-$B$3)*$F$3)</x:f>
        <x:v>0.024999999999999998</x:v>
      </x:c>
      <x:c r="F24" s="12" t="n">
        <x:f>IF(A24&lt;$B$4,0,$C$4+(A24-$B$4)*$F$4)</x:f>
        <x:v>0</x:v>
      </x:c>
      <x:c r="G24" s="12" t="n">
        <x:v>0.3</x:v>
      </x:c>
      <x:c r="H24" s="12" t="n">
        <x:f>1-I24-J24</x:f>
        <x:v>0.9655</x:v>
      </x:c>
      <x:c r="I24" s="12" t="n">
        <x:f>IF(A24&lt;$B$5,0,$C$5+(A24-$B$5)*$F$5)</x:f>
        <x:v>0.0345</x:v>
      </x:c>
      <x:c r="J24" s="12" t="n">
        <x:f>IF(A24&lt;$B$6,0,$C$6+(A24-$B$6)*$F$6)</x:f>
        <x:v>0</x:v>
      </x:c>
      <x:c r="K24" s="11" t="str">
        <x:v>40/35/30</x:v>
      </x:c>
      <x:c r="L24" s="11" t="str">
        <x:v>40级金色 → 35级紫色 → 30级蓝色 → 30级绿色</x:v>
      </x:c>
      <x:c r="M24" s="11" t="n">
        <x:v>40</x:v>
      </x:c>
    </x:row>
    <x:row r="25" ht="48" customHeight="1">
      <x:c r="A25" s="11" t="n">
        <x:v>17</x:v>
      </x:c>
      <x:c r="B25" s="12" t="n">
        <x:v>0.3509</x:v>
      </x:c>
      <x:c r="C25" s="12" t="n">
        <x:v>0.289</x:v>
      </x:c>
      <x:c r="D25" s="12" t="n">
        <x:f>1-B25-C25-E25-F25</x:f>
        <x:v>0.3326</x:v>
      </x:c>
      <x:c r="E25" s="12" t="n">
        <x:f>IF(A25&lt;$B$3,0,$C$3+(A25-$B$3)*$F$3)</x:f>
        <x:v>0.027499999999999997</x:v>
      </x:c>
      <x:c r="F25" s="12" t="n">
        <x:f>IF(A25&lt;$B$4,0,$C$4+(A25-$B$4)*$F$4)</x:f>
        <x:v>0</x:v>
      </x:c>
      <x:c r="G25" s="12" t="n">
        <x:v>0.31</x:v>
      </x:c>
      <x:c r="H25" s="12" t="n">
        <x:f>1-I25-J25</x:f>
        <x:v>0.96225</x:v>
      </x:c>
      <x:c r="I25" s="12" t="n">
        <x:f>IF(A25&lt;$B$5,0,$C$5+(A25-$B$5)*$F$5)</x:f>
        <x:v>0.037750000000000006</x:v>
      </x:c>
      <x:c r="J25" s="12" t="n">
        <x:f>IF(A25&lt;$B$6,0,$C$6+(A25-$B$6)*$F$6)</x:f>
        <x:v>0</x:v>
      </x:c>
      <x:c r="K25" s="11" t="str">
        <x:v>40/35/30</x:v>
      </x:c>
      <x:c r="L25" s="11" t="str">
        <x:v>40级金色 → 35级紫色 → 30级蓝色 → 30级绿色</x:v>
      </x:c>
      <x:c r="M25" s="11" t="n">
        <x:v>40</x:v>
      </x:c>
    </x:row>
    <x:row r="26" ht="48" customHeight="1">
      <x:c r="A26" s="11" t="n">
        <x:v>18</x:v>
      </x:c>
      <x:c r="B26" s="12" t="n">
        <x:v>0.3363</x:v>
      </x:c>
      <x:c r="C26" s="12" t="n">
        <x:v>0.2883</x:v>
      </x:c>
      <x:c r="D26" s="12" t="n">
        <x:f>1-B26-C26-E26-F26</x:f>
        <x:v>0.34539999999999993</x:v>
      </x:c>
      <x:c r="E26" s="12" t="n">
        <x:f>IF(A26&lt;$B$3,0,$C$3+(A26-$B$3)*$F$3)</x:f>
        <x:v>0.03</x:v>
      </x:c>
      <x:c r="F26" s="12" t="n">
        <x:f>IF(A26&lt;$B$4,0,$C$4+(A26-$B$4)*$F$4)</x:f>
        <x:v>0</x:v>
      </x:c>
      <x:c r="G26" s="12" t="n">
        <x:v>0.32</x:v>
      </x:c>
      <x:c r="H26" s="12" t="n">
        <x:f>1-I26-J26</x:f>
        <x:v>0.959</x:v>
      </x:c>
      <x:c r="I26" s="12" t="n">
        <x:f>IF(A26&lt;$B$5,0,$C$5+(A26-$B$5)*$F$5)</x:f>
        <x:v>0.041</x:v>
      </x:c>
      <x:c r="J26" s="12" t="n">
        <x:f>IF(A26&lt;$B$6,0,$C$6+(A26-$B$6)*$F$6)</x:f>
        <x:v>0</x:v>
      </x:c>
      <x:c r="K26" s="11" t="str">
        <x:v>45/40/35</x:v>
      </x:c>
      <x:c r="L26" s="11" t="str">
        <x:v>45级金色 → 40级紫色 → 35级蓝色 → 35级绿色</x:v>
      </x:c>
      <x:c r="M26" s="11" t="n">
        <x:v>40</x:v>
      </x:c>
    </x:row>
    <x:row r="27" ht="48" customHeight="1">
      <x:c r="A27" s="11" t="n">
        <x:v>19</x:v>
      </x:c>
      <x:c r="B27" s="12" t="n">
        <x:v>0.3216</x:v>
      </x:c>
      <x:c r="C27" s="12" t="n">
        <x:v>0.2876</x:v>
      </x:c>
      <x:c r="D27" s="12" t="n">
        <x:f>1-B27-C27-E27-F27</x:f>
        <x:v>0.3583</x:v>
      </x:c>
      <x:c r="E27" s="12" t="n">
        <x:f>IF(A27&lt;$B$3,0,$C$3+(A27-$B$3)*$F$3)</x:f>
        <x:v>0.032499999999999994</x:v>
      </x:c>
      <x:c r="F27" s="12" t="n">
        <x:f>IF(A27&lt;$B$4,0,$C$4+(A27-$B$4)*$F$4)</x:f>
        <x:v>0</x:v>
      </x:c>
      <x:c r="G27" s="12" t="n">
        <x:v>0.33</x:v>
      </x:c>
      <x:c r="H27" s="12" t="n">
        <x:f>1-I27-J27</x:f>
        <x:v>0.95575</x:v>
      </x:c>
      <x:c r="I27" s="12" t="n">
        <x:f>IF(A27&lt;$B$5,0,$C$5+(A27-$B$5)*$F$5)</x:f>
        <x:v>0.04425</x:v>
      </x:c>
      <x:c r="J27" s="12" t="n">
        <x:f>IF(A27&lt;$B$6,0,$C$6+(A27-$B$6)*$F$6)</x:f>
        <x:v>0</x:v>
      </x:c>
      <x:c r="K27" s="11" t="str">
        <x:v>45/40/35</x:v>
      </x:c>
      <x:c r="L27" s="11" t="str">
        <x:v>45级金色 → 40级紫色 → 35级蓝色 → 35级绿色</x:v>
      </x:c>
      <x:c r="M27" s="11" t="n">
        <x:v>40</x:v>
      </x:c>
    </x:row>
    <x:row r="28" ht="48" customHeight="1">
      <x:c r="A28" s="11" t="n">
        <x:v>20</x:v>
      </x:c>
      <x:c r="B28" s="12" t="n">
        <x:v>0.3019</x:v>
      </x:c>
      <x:c r="C28" s="12" t="n">
        <x:v>0.2869</x:v>
      </x:c>
      <x:c r="D28" s="12" t="n">
        <x:f>1-B28-C28-E28-F28</x:f>
        <x:v>0.3732</x:v>
      </x:c>
      <x:c r="E28" s="12" t="n">
        <x:f>IF(A28&lt;$B$3,0,$C$3+(A28-$B$3)*$F$3)</x:f>
        <x:v>0.034999999999999996</x:v>
      </x:c>
      <x:c r="F28" s="12" t="n">
        <x:f>IF(A28&lt;$B$4,0,$C$4+(A28-$B$4)*$F$4)</x:f>
        <x:v>0.003</x:v>
      </x:c>
      <x:c r="G28" s="12" t="n">
        <x:v>0.34</x:v>
      </x:c>
      <x:c r="H28" s="12" t="n">
        <x:f>1-I28-J28</x:f>
        <x:v>0.9475</x:v>
      </x:c>
      <x:c r="I28" s="12" t="n">
        <x:f>IF(A28&lt;$B$5,0,$C$5+(A28-$B$5)*$F$5)</x:f>
        <x:v>0.0475</x:v>
      </x:c>
      <x:c r="J28" s="12" t="n">
        <x:f>IF(A28&lt;$B$6,0,$C$6+(A28-$B$6)*$F$6)</x:f>
        <x:v>0.005</x:v>
      </x:c>
      <x:c r="K28" s="11" t="str">
        <x:v>50/45/40</x:v>
      </x:c>
      <x:c r="L28" s="11" t="str">
        <x:v>50级红色 → 45级金色 → 45级紫色 → 40级蓝色 → 40级绿色</x:v>
      </x:c>
      <x:c r="M28" s="11" t="n">
        <x:v>40</x:v>
      </x:c>
    </x:row>
    <x:row r="29" ht="48" customHeight="1">
      <x:c r="A29" s="11" t="n">
        <x:v>21</x:v>
      </x:c>
      <x:c r="B29" s="12" t="n">
        <x:v>0.2837</x:v>
      </x:c>
      <x:c r="C29" s="12" t="n">
        <x:v>0.2862</x:v>
      </x:c>
      <x:c r="D29" s="12" t="n">
        <x:f>1-B29-C29-E29-F29</x:f>
        <x:v>0.38839999999999997</x:v>
      </x:c>
      <x:c r="E29" s="12" t="n">
        <x:f>IF(A29&lt;$B$3,0,$C$3+(A29-$B$3)*$F$3)</x:f>
        <x:v>0.0375</x:v>
      </x:c>
      <x:c r="F29" s="12" t="n">
        <x:f>IF(A29&lt;$B$4,0,$C$4+(A29-$B$4)*$F$4)</x:f>
        <x:v>0.004200000000000001</x:v>
      </x:c>
      <x:c r="G29" s="12" t="n">
        <x:v>0.35</x:v>
      </x:c>
      <x:c r="H29" s="12" t="n">
        <x:f>1-I29-J29</x:f>
        <x:v>0.94325</x:v>
      </x:c>
      <x:c r="I29" s="12" t="n">
        <x:f>IF(A29&lt;$B$5,0,$C$5+(A29-$B$5)*$F$5)</x:f>
        <x:v>0.05075</x:v>
      </x:c>
      <x:c r="J29" s="12" t="n">
        <x:f>IF(A29&lt;$B$6,0,$C$6+(A29-$B$6)*$F$6)</x:f>
        <x:v>0.006</x:v>
      </x:c>
      <x:c r="K29" s="11" t="str">
        <x:v>50/45/40</x:v>
      </x:c>
      <x:c r="L29" s="11" t="str">
        <x:v>50级红色 → 45级金色 → 45级紫色 → 40级蓝色 → 40级绿色</x:v>
      </x:c>
      <x:c r="M29" s="11" t="n">
        <x:v>40</x:v>
      </x:c>
    </x:row>
    <x:row r="30" ht="48" customHeight="1">
      <x:c r="A30" s="11" t="n">
        <x:v>22</x:v>
      </x:c>
      <x:c r="B30" s="12" t="n">
        <x:v>0.2655</x:v>
      </x:c>
      <x:c r="C30" s="12" t="n">
        <x:v>0.2855</x:v>
      </x:c>
      <x:c r="D30" s="12" t="n">
        <x:f>1-B30-C30-E30-F30</x:f>
        <x:v>0.40359999999999996</x:v>
      </x:c>
      <x:c r="E30" s="12" t="n">
        <x:f>IF(A30&lt;$B$3,0,$C$3+(A30-$B$3)*$F$3)</x:f>
        <x:v>0.039999999999999994</x:v>
      </x:c>
      <x:c r="F30" s="12" t="n">
        <x:f>IF(A30&lt;$B$4,0,$C$4+(A30-$B$4)*$F$4)</x:f>
        <x:v>0.0054</x:v>
      </x:c>
      <x:c r="G30" s="12" t="n">
        <x:v>0.36</x:v>
      </x:c>
      <x:c r="H30" s="12" t="n">
        <x:f>1-I30-J30</x:f>
        <x:v>0.939</x:v>
      </x:c>
      <x:c r="I30" s="12" t="n">
        <x:f>IF(A30&lt;$B$5,0,$C$5+(A30-$B$5)*$F$5)</x:f>
        <x:v>0.054000000000000006</x:v>
      </x:c>
      <x:c r="J30" s="12" t="n">
        <x:f>IF(A30&lt;$B$6,0,$C$6+(A30-$B$6)*$F$6)</x:f>
        <x:v>0.006999999999999999</x:v>
      </x:c>
      <x:c r="K30" s="11" t="str">
        <x:v>55/50/45</x:v>
      </x:c>
      <x:c r="L30" s="11" t="str">
        <x:v>55级红色 → 50级金色 → 50级紫色 → 45级蓝色 → 45级绿色</x:v>
      </x:c>
      <x:c r="M30" s="11" t="n">
        <x:v>45</x:v>
      </x:c>
    </x:row>
    <x:row r="31" ht="48" customHeight="1">
      <x:c r="A31" s="11" t="n">
        <x:v>23</x:v>
      </x:c>
      <x:c r="B31" s="12" t="n">
        <x:v>0.2474</x:v>
      </x:c>
      <x:c r="C31" s="12" t="n">
        <x:v>0.2848</x:v>
      </x:c>
      <x:c r="D31" s="12" t="n">
        <x:f>1-B31-C31-E31-F31</x:f>
        <x:v>0.41869999999999996</x:v>
      </x:c>
      <x:c r="E31" s="12" t="n">
        <x:f>IF(A31&lt;$B$3,0,$C$3+(A31-$B$3)*$F$3)</x:f>
        <x:v>0.042499999999999996</x:v>
      </x:c>
      <x:c r="F31" s="12" t="n">
        <x:f>IF(A31&lt;$B$4,0,$C$4+(A31-$B$4)*$F$4)</x:f>
        <x:v>0.0066</x:v>
      </x:c>
      <x:c r="G31" s="12" t="n">
        <x:v>0.37</x:v>
      </x:c>
      <x:c r="H31" s="12" t="n">
        <x:f>1-I31-J31</x:f>
        <x:v>0.93475</x:v>
      </x:c>
      <x:c r="I31" s="12" t="n">
        <x:f>IF(A31&lt;$B$5,0,$C$5+(A31-$B$5)*$F$5)</x:f>
        <x:v>0.05725</x:v>
      </x:c>
      <x:c r="J31" s="12" t="n">
        <x:f>IF(A31&lt;$B$6,0,$C$6+(A31-$B$6)*$F$6)</x:f>
        <x:v>0.008</x:v>
      </x:c>
      <x:c r="K31" s="11" t="str">
        <x:v>55/50/45</x:v>
      </x:c>
      <x:c r="L31" s="11" t="str">
        <x:v>55级红色 → 50级金色 → 50级紫色 → 45级蓝色 → 45级绿色</x:v>
      </x:c>
      <x:c r="M31" s="11" t="n">
        <x:v>45</x:v>
      </x:c>
    </x:row>
    <x:row r="32" ht="48" customHeight="1">
      <x:c r="A32" s="11" t="n">
        <x:v>24</x:v>
      </x:c>
      <x:c r="B32" s="12" t="n">
        <x:v>0.2292</x:v>
      </x:c>
      <x:c r="C32" s="12" t="n">
        <x:v>0.2841</x:v>
      </x:c>
      <x:c r="D32" s="12" t="n">
        <x:f>1-B32-C32-E32-F32</x:f>
        <x:v>0.43390000000000006</x:v>
      </x:c>
      <x:c r="E32" s="12" t="n">
        <x:f>IF(A32&lt;$B$3,0,$C$3+(A32-$B$3)*$F$3)</x:f>
        <x:v>0.045</x:v>
      </x:c>
      <x:c r="F32" s="12" t="n">
        <x:f>IF(A32&lt;$B$4,0,$C$4+(A32-$B$4)*$F$4)</x:f>
        <x:v>0.0078000000000000005</x:v>
      </x:c>
      <x:c r="G32" s="12" t="n">
        <x:v>0.38</x:v>
      </x:c>
      <x:c r="H32" s="12" t="n">
        <x:f>1-I32-J32</x:f>
        <x:v>0.9305</x:v>
      </x:c>
      <x:c r="I32" s="12" t="n">
        <x:f>IF(A32&lt;$B$5,0,$C$5+(A32-$B$5)*$F$5)</x:f>
        <x:v>0.060500000000000005</x:v>
      </x:c>
      <x:c r="J32" s="12" t="n">
        <x:f>IF(A32&lt;$B$6,0,$C$6+(A32-$B$6)*$F$6)</x:f>
        <x:v>0.009</x:v>
      </x:c>
      <x:c r="K32" s="11" t="str">
        <x:v>60/55/50</x:v>
      </x:c>
      <x:c r="L32" s="11" t="str">
        <x:v>60级红色 → 55级金色 → 55级紫色 → 50级蓝色 → 50级绿色</x:v>
      </x:c>
      <x:c r="M32" s="11" t="n">
        <x:v>45</x:v>
      </x:c>
    </x:row>
    <x:row r="33" ht="48" customHeight="1">
      <x:c r="A33" s="11" t="n">
        <x:v>25</x:v>
      </x:c>
      <x:c r="B33" s="12" t="n">
        <x:v>0.211</x:v>
      </x:c>
      <x:c r="C33" s="12" t="n">
        <x:v>0.2834</x:v>
      </x:c>
      <x:c r="D33" s="12" t="n">
        <x:f>1-B33-C33-E33-F33</x:f>
        <x:v>0.44910000000000005</x:v>
      </x:c>
      <x:c r="E33" s="12" t="n">
        <x:f>IF(A33&lt;$B$3,0,$C$3+(A33-$B$3)*$F$3)</x:f>
        <x:v>0.047499999999999994</x:v>
      </x:c>
      <x:c r="F33" s="12" t="n">
        <x:f>IF(A33&lt;$B$4,0,$C$4+(A33-$B$4)*$F$4)</x:f>
        <x:v>0.009000000000000001</x:v>
      </x:c>
      <x:c r="G33" s="12" t="n">
        <x:v>0.39</x:v>
      </x:c>
      <x:c r="H33" s="12" t="n">
        <x:f>1-I33-J33</x:f>
        <x:v>0.92625</x:v>
      </x:c>
      <x:c r="I33" s="12" t="n">
        <x:f>IF(A33&lt;$B$5,0,$C$5+(A33-$B$5)*$F$5)</x:f>
        <x:v>0.06375</x:v>
      </x:c>
      <x:c r="J33" s="12" t="n">
        <x:f>IF(A33&lt;$B$6,0,$C$6+(A33-$B$6)*$F$6)</x:f>
        <x:v>0.009999999999999998</x:v>
      </x:c>
      <x:c r="K33" s="11" t="str">
        <x:v>60/55/50</x:v>
      </x:c>
      <x:c r="L33" s="11" t="str">
        <x:v>60级红色 → 55级金色 → 55级紫色 → 50级蓝色 → 50级绿色</x:v>
      </x:c>
      <x:c r="M33" s="11" t="n">
        <x:v>50</x:v>
      </x:c>
    </x:row>
    <x:row r="34" ht="48" customHeight="1">
      <x:c r="A34" s="11" t="n">
        <x:v>26</x:v>
      </x:c>
      <x:c r="B34" s="12" t="n">
        <x:v>0.1927</x:v>
      </x:c>
      <x:c r="C34" s="12" t="n">
        <x:v>0.2828</x:v>
      </x:c>
      <x:c r="D34" s="12" t="n">
        <x:f>1-B34-C34-E34-F34</x:f>
        <x:v>0.4643</x:v>
      </x:c>
      <x:c r="E34" s="12" t="n">
        <x:f>IF(A34&lt;$B$3,0,$C$3+(A34-$B$3)*$F$3)</x:f>
        <x:v>0.049999999999999996</x:v>
      </x:c>
      <x:c r="F34" s="12" t="n">
        <x:f>IF(A34&lt;$B$4,0,$C$4+(A34-$B$4)*$F$4)</x:f>
        <x:v>0.0102</x:v>
      </x:c>
      <x:c r="G34" s="12" t="n">
        <x:v>0.4</x:v>
      </x:c>
      <x:c r="H34" s="12" t="n">
        <x:f>1-I34-J34</x:f>
        <x:v>0.922</x:v>
      </x:c>
      <x:c r="I34" s="12" t="n">
        <x:f>IF(A34&lt;$B$5,0,$C$5+(A34-$B$5)*$F$5)</x:f>
        <x:v>0.067</x:v>
      </x:c>
      <x:c r="J34" s="12" t="n">
        <x:f>IF(A34&lt;$B$6,0,$C$6+(A34-$B$6)*$F$6)</x:f>
        <x:v>0.011</x:v>
      </x:c>
      <x:c r="K34" s="11" t="str">
        <x:v>60/55/50</x:v>
      </x:c>
      <x:c r="L34" s="11" t="str">
        <x:v>60级红色 → 55级金色 → 55级紫色 → 50级蓝色 → 50级绿色</x:v>
      </x:c>
      <x:c r="M34" s="11" t="n">
        <x:v>50</x:v>
      </x:c>
    </x:row>
    <x:row r="35" ht="48" customHeight="1">
      <x:c r="A35" s="11" t="n">
        <x:v>27</x:v>
      </x:c>
      <x:c r="B35" s="12" t="n">
        <x:v>0.1745</x:v>
      </x:c>
      <x:c r="C35" s="12" t="n">
        <x:v>0.2821</x:v>
      </x:c>
      <x:c r="D35" s="12" t="n">
        <x:f>1-B35-C35-E35-F35</x:f>
        <x:v>0.4795</x:v>
      </x:c>
      <x:c r="E35" s="12" t="n">
        <x:f>IF(A35&lt;$B$3,0,$C$3+(A35-$B$3)*$F$3)</x:f>
        <x:v>0.0525</x:v>
      </x:c>
      <x:c r="F35" s="12" t="n">
        <x:f>IF(A35&lt;$B$4,0,$C$4+(A35-$B$4)*$F$4)</x:f>
        <x:v>0.0114</x:v>
      </x:c>
      <x:c r="G35" s="12" t="n">
        <x:v>0.41</x:v>
      </x:c>
      <x:c r="H35" s="12" t="n">
        <x:f>1-I35-J35</x:f>
        <x:v>0.91775</x:v>
      </x:c>
      <x:c r="I35" s="12" t="n">
        <x:f>IF(A35&lt;$B$5,0,$C$5+(A35-$B$5)*$F$5)</x:f>
        <x:v>0.07025</x:v>
      </x:c>
      <x:c r="J35" s="12" t="n">
        <x:f>IF(A35&lt;$B$6,0,$C$6+(A35-$B$6)*$F$6)</x:f>
        <x:v>0.011999999999999999</x:v>
      </x:c>
      <x:c r="K35" s="11" t="str">
        <x:v>60/55</x:v>
      </x:c>
      <x:c r="L35" s="11" t="str">
        <x:v>60级红色 → 60级金色 → 55级紫色 → 55级蓝色 → 55级绿色</x:v>
      </x:c>
      <x:c r="M35" s="11" t="n">
        <x:v>55</x:v>
      </x:c>
    </x:row>
    <x:row r="36" ht="48" customHeight="1">
      <x:c r="A36" s="11" t="n">
        <x:v>28</x:v>
      </x:c>
      <x:c r="B36" s="12" t="n">
        <x:v>0.1564</x:v>
      </x:c>
      <x:c r="C36" s="12" t="n">
        <x:v>0.2814</x:v>
      </x:c>
      <x:c r="D36" s="12" t="n">
        <x:f>1-B36-C36-E36-F36</x:f>
        <x:v>0.4946000000000001</x:v>
      </x:c>
      <x:c r="E36" s="12" t="n">
        <x:f>IF(A36&lt;$B$3,0,$C$3+(A36-$B$3)*$F$3)</x:f>
        <x:v>0.05499999999999999</x:v>
      </x:c>
      <x:c r="F36" s="12" t="n">
        <x:f>IF(A36&lt;$B$4,0,$C$4+(A36-$B$4)*$F$4)</x:f>
        <x:v>0.0126</x:v>
      </x:c>
      <x:c r="G36" s="12" t="n">
        <x:v>0.42</x:v>
      </x:c>
      <x:c r="H36" s="12" t="n">
        <x:f>1-I36-J36</x:f>
        <x:v>0.9135</x:v>
      </x:c>
      <x:c r="I36" s="12" t="n">
        <x:f>IF(A36&lt;$B$5,0,$C$5+(A36-$B$5)*$F$5)</x:f>
        <x:v>0.07350000000000001</x:v>
      </x:c>
      <x:c r="J36" s="12" t="n">
        <x:f>IF(A36&lt;$B$6,0,$C$6+(A36-$B$6)*$F$6)</x:f>
        <x:v>0.012999999999999998</x:v>
      </x:c>
      <x:c r="K36" s="11" t="str">
        <x:v>60/55</x:v>
      </x:c>
      <x:c r="L36" s="11" t="str">
        <x:v>60级红色 → 60级金色 → 55级紫色 → 55级蓝色 → 55级绿色</x:v>
      </x:c>
      <x:c r="M36" s="11" t="n">
        <x:v>55</x:v>
      </x:c>
    </x:row>
    <x:row r="37" ht="48" customHeight="1">
      <x:c r="A37" s="11" t="n">
        <x:v>29</x:v>
      </x:c>
      <x:c r="B37" s="12" t="n">
        <x:v>0.1382</x:v>
      </x:c>
      <x:c r="C37" s="12" t="n">
        <x:v>0.2807</x:v>
      </x:c>
      <x:c r="D37" s="12" t="n">
        <x:f>1-B37-C37-E37-F37</x:f>
        <x:v>0.5097999999999999</x:v>
      </x:c>
      <x:c r="E37" s="12" t="n">
        <x:f>IF(A37&lt;$B$3,0,$C$3+(A37-$B$3)*$F$3)</x:f>
        <x:v>0.057499999999999996</x:v>
      </x:c>
      <x:c r="F37" s="12" t="n">
        <x:f>IF(A37&lt;$B$4,0,$C$4+(A37-$B$4)*$F$4)</x:f>
        <x:v>0.0138</x:v>
      </x:c>
      <x:c r="G37" s="12" t="n">
        <x:v>0.43</x:v>
      </x:c>
      <x:c r="H37" s="12" t="n">
        <x:f>1-I37-J37</x:f>
        <x:v>0.90925</x:v>
      </x:c>
      <x:c r="I37" s="12" t="n">
        <x:f>IF(A37&lt;$B$5,0,$C$5+(A37-$B$5)*$F$5)</x:f>
        <x:v>0.07675000000000001</x:v>
      </x:c>
      <x:c r="J37" s="12" t="n">
        <x:f>IF(A37&lt;$B$6,0,$C$6+(A37-$B$6)*$F$6)</x:f>
        <x:v>0.013999999999999999</x:v>
      </x:c>
      <x:c r="K37" s="11" t="str">
        <x:v>60/55</x:v>
      </x:c>
      <x:c r="L37" s="11" t="str">
        <x:v>60级红色 → 60级金色 → 55级紫色 → 55级蓝色 → 55级绿色</x:v>
      </x:c>
      <x:c r="M37" s="11" t="n">
        <x:v>60</x:v>
      </x:c>
    </x:row>
    <x:row r="38" ht="48" customHeight="1">
      <x:c r="A38" s="11" t="n">
        <x:v>30</x:v>
      </x:c>
      <x:c r="B38" s="12" t="n">
        <x:v>0.12</x:v>
      </x:c>
      <x:c r="C38" s="12" t="n">
        <x:v>0.28</x:v>
      </x:c>
      <x:c r="D38" s="12" t="n">
        <x:f>1-B38-C38-E38-F38</x:f>
        <x:v>0.525</x:v>
      </x:c>
      <x:c r="E38" s="12" t="n">
        <x:f>IF(A38&lt;$B$3,0,$C$3+(A38-$B$3)*$F$3)</x:f>
        <x:v>0.05999999999999999</x:v>
      </x:c>
      <x:c r="F38" s="12" t="n">
        <x:f>IF(A38&lt;$B$4,0,$C$4+(A38-$B$4)*$F$4)</x:f>
        <x:v>0.015</x:v>
      </x:c>
      <x:c r="G38" s="12" t="n">
        <x:v>0.45</x:v>
      </x:c>
      <x:c r="H38" s="12" t="n">
        <x:f>1-I38-J38</x:f>
        <x:v>0.905</x:v>
      </x:c>
      <x:c r="I38" s="12" t="n">
        <x:f>IF(A38&lt;$B$5,0,$C$5+(A38-$B$5)*$F$5)</x:f>
        <x:v>0.08</x:v>
      </x:c>
      <x:c r="J38" s="12" t="n">
        <x:f>IF(A38&lt;$B$6,0,$C$6+(A38-$B$6)*$F$6)</x:f>
        <x:v>0.015</x:v>
      </x:c>
      <x:c r="K38" s="11" t="str">
        <x:v>60/55</x:v>
      </x:c>
      <x:c r="L38" s="11" t="str">
        <x:v>60级红色 → 60级金色 → 55级紫色 → 55级蓝色 → 55级绿色</x:v>
      </x:c>
      <x:c r="M38" s="11" t="n">
        <x:v>60</x:v>
      </x:c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 ht="32" customHeight="1">
      <x:c r="A40" s="11" t="str">
        <x:v>CHG-019常规概率与展示规则保持不变。CHG-022仅第三层首通实际箱改为4375：蓝色外观，固定开出1件10级金装，返还钥匙1。首通预览4375×1不是普通蓝箱概率。正式45个预览道具缺失与旧首通尚未同步；只交付06候选。</x:v>
      </x:c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 ht="3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 ht="3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</x:sheetData>
  <x:mergeCells>
    <x:mergeCell ref="A1:M1"/>
    <x:mergeCell ref="A40:M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18" t="str">
        <x:v>CHG-023｜稀有词条六档映射（仅06候选）</x:v>
      </x:c>
      <x:c r="B1" s="18"/>
      <x:c r="C1" s="18"/>
      <x:c r="D1" s="18"/>
      <x:c r="E1" s="18"/>
      <x:c r="F1" s="18"/>
      <x:c r="G1" s="18"/>
    </x:row>
    <x:row r="2" ht="24" customHeight="1">
      <x:c r="A2" s="11"/>
      <x:c r="B2" s="11"/>
      <x:c r="C2" s="11"/>
      <x:c r="D2" s="11"/>
      <x:c r="E2" s="11"/>
      <x:c r="F2" s="11"/>
      <x:c r="G2" s="11"/>
    </x:row>
    <x:row r="3" ht="30" customHeight="1">
      <x:c r="A3" s="18" t="str">
        <x:v>档位</x:v>
      </x:c>
      <x:c r="B3" s="18" t="str">
        <x:v>品质</x:v>
      </x:c>
      <x:c r="C3" s="18" t="str">
        <x:v>最低等级</x:v>
      </x:c>
      <x:c r="D3" s="18" t="str">
        <x:v>最高等级</x:v>
      </x:c>
      <x:c r="E3" s="18" t="str">
        <x:v>RareEffect池ID</x:v>
      </x:c>
      <x:c r="F3" s="18" t="str">
        <x:v>增伤</x:v>
      </x:c>
      <x:c r="G3" s="18" t="str">
        <x:v>装备条数</x:v>
      </x:c>
    </x:row>
    <x:row r="4" ht="24" customHeight="1">
      <x:c r="A4" s="11" t="str">
        <x:v>金1</x:v>
      </x:c>
      <x:c r="B4" s="11" t="str">
        <x:v>Orange</x:v>
      </x:c>
      <x:c r="C4" s="11" t="n">
        <x:v>5</x:v>
      </x:c>
      <x:c r="D4" s="11" t="n">
        <x:v>20</x:v>
      </x:c>
      <x:c r="E4" s="11" t="n">
        <x:v>6001</x:v>
      </x:c>
      <x:c r="F4" s="16" t="n">
        <x:v>0.06</x:v>
      </x:c>
      <x:c r="G4" s="11" t="n">
        <x:v>32</x:v>
      </x:c>
    </x:row>
    <x:row r="5" ht="24" customHeight="1">
      <x:c r="A5" s="11" t="str">
        <x:v>金2</x:v>
      </x:c>
      <x:c r="B5" s="11" t="str">
        <x:v>Orange</x:v>
      </x:c>
      <x:c r="C5" s="11" t="n">
        <x:v>25</x:v>
      </x:c>
      <x:c r="D5" s="11" t="n">
        <x:v>40</x:v>
      </x:c>
      <x:c r="E5" s="11" t="n">
        <x:v>6002</x:v>
      </x:c>
      <x:c r="F5" s="16" t="n">
        <x:v>0.12</x:v>
      </x:c>
      <x:c r="G5" s="11" t="n">
        <x:v>32</x:v>
      </x:c>
    </x:row>
    <x:row r="6" ht="24" customHeight="1">
      <x:c r="A6" s="11" t="str">
        <x:v>金3</x:v>
      </x:c>
      <x:c r="B6" s="11" t="str">
        <x:v>Orange</x:v>
      </x:c>
      <x:c r="C6" s="11" t="n">
        <x:v>45</x:v>
      </x:c>
      <x:c r="D6" s="11" t="n">
        <x:v>60</x:v>
      </x:c>
      <x:c r="E6" s="11" t="n">
        <x:v>6003</x:v>
      </x:c>
      <x:c r="F6" s="16" t="n">
        <x:v>0.18</x:v>
      </x:c>
      <x:c r="G6" s="11" t="n">
        <x:v>32</x:v>
      </x:c>
    </x:row>
    <x:row r="7" ht="24" customHeight="1">
      <x:c r="A7" s="11" t="str">
        <x:v>红1</x:v>
      </x:c>
      <x:c r="B7" s="11" t="str">
        <x:v>Red</x:v>
      </x:c>
      <x:c r="C7" s="11" t="n">
        <x:v>5</x:v>
      </x:c>
      <x:c r="D7" s="11" t="n">
        <x:v>20</x:v>
      </x:c>
      <x:c r="E7" s="11" t="n">
        <x:v>6004</x:v>
      </x:c>
      <x:c r="F7" s="16" t="n">
        <x:v>0.15</x:v>
      </x:c>
      <x:c r="G7" s="11" t="n">
        <x:v>32</x:v>
      </x:c>
    </x:row>
    <x:row r="8" ht="24" customHeight="1">
      <x:c r="A8" s="11" t="str">
        <x:v>红2</x:v>
      </x:c>
      <x:c r="B8" s="11" t="str">
        <x:v>Red</x:v>
      </x:c>
      <x:c r="C8" s="11" t="n">
        <x:v>25</x:v>
      </x:c>
      <x:c r="D8" s="11" t="n">
        <x:v>40</x:v>
      </x:c>
      <x:c r="E8" s="11" t="n">
        <x:v>6005</x:v>
      </x:c>
      <x:c r="F8" s="16" t="n">
        <x:v>0.2</x:v>
      </x:c>
      <x:c r="G8" s="11" t="n">
        <x:v>32</x:v>
      </x:c>
    </x:row>
    <x:row r="9" ht="24" customHeight="1">
      <x:c r="A9" s="11" t="str">
        <x:v>红3</x:v>
      </x:c>
      <x:c r="B9" s="11" t="str">
        <x:v>Red</x:v>
      </x:c>
      <x:c r="C9" s="11" t="n">
        <x:v>45</x:v>
      </x:c>
      <x:c r="D9" s="11" t="n">
        <x:v>60</x:v>
      </x:c>
      <x:c r="E9" s="11" t="n">
        <x:v>6006</x:v>
      </x:c>
      <x:c r="F9" s="16" t="n">
        <x:v>0.25</x:v>
      </x:c>
      <x:c r="G9" s="11" t="n">
        <x:v>32</x:v>
      </x:c>
    </x:row>
    <x:row r="10" ht="24" customHeight="1">
      <x:c r="A10" s="11"/>
      <x:c r="B10" s="11"/>
      <x:c r="C10" s="11"/>
      <x:c r="D10" s="11"/>
      <x:c r="E10" s="11"/>
      <x:c r="F10" s="11"/>
      <x:c r="G10" s="11"/>
    </x:row>
    <x:row r="11" ht="24" customHeight="1">
      <x:c r="A11" s="11"/>
      <x:c r="B11" s="11"/>
      <x:c r="C11" s="11"/>
      <x:c r="D11" s="11"/>
      <x:c r="E11" s="11"/>
      <x:c r="F11" s="11"/>
      <x:c r="G11" s="11"/>
    </x:row>
    <x:row r="12" ht="30" customHeight="1">
      <x:c r="A12" s="18" t="str">
        <x:v>技能类别</x:v>
      </x:c>
      <x:c r="B12" s="18" t="str">
        <x:v>金1</x:v>
      </x:c>
      <x:c r="C12" s="18" t="str">
        <x:v>金2</x:v>
      </x:c>
      <x:c r="D12" s="18" t="str">
        <x:v>金3</x:v>
      </x:c>
      <x:c r="E12" s="18" t="str">
        <x:v>红1</x:v>
      </x:c>
      <x:c r="F12" s="18" t="str">
        <x:v>红2</x:v>
      </x:c>
      <x:c r="G12" s="18" t="str">
        <x:v>红3</x:v>
      </x:c>
    </x:row>
    <x:row r="13" ht="24" customHeight="1">
      <x:c r="A13" s="11" t="str">
        <x:v>战士</x:v>
      </x:c>
      <x:c r="B13" s="11" t="n">
        <x:v>31101</x:v>
      </x:c>
      <x:c r="C13" s="11" t="n">
        <x:v>31102</x:v>
      </x:c>
      <x:c r="D13" s="11" t="n">
        <x:v>31103</x:v>
      </x:c>
      <x:c r="E13" s="11" t="n">
        <x:v>31104</x:v>
      </x:c>
      <x:c r="F13" s="11" t="n">
        <x:v>31105</x:v>
      </x:c>
      <x:c r="G13" s="11" t="n">
        <x:v>31106</x:v>
      </x:c>
    </x:row>
    <x:row r="14" ht="24" customHeight="1">
      <x:c r="A14" s="11" t="str">
        <x:v>学者</x:v>
      </x:c>
      <x:c r="B14" s="11" t="n">
        <x:v>31201</x:v>
      </x:c>
      <x:c r="C14" s="11" t="n">
        <x:v>31202</x:v>
      </x:c>
      <x:c r="D14" s="11" t="n">
        <x:v>31203</x:v>
      </x:c>
      <x:c r="E14" s="11" t="n">
        <x:v>31204</x:v>
      </x:c>
      <x:c r="F14" s="11" t="n">
        <x:v>31205</x:v>
      </x:c>
      <x:c r="G14" s="11" t="n">
        <x:v>31206</x:v>
      </x:c>
    </x:row>
    <x:row r="15" ht="24" customHeight="1">
      <x:c r="A15" s="11" t="str">
        <x:v>佣兵</x:v>
      </x:c>
      <x:c r="B15" s="11" t="n">
        <x:v>31301</x:v>
      </x:c>
      <x:c r="C15" s="11" t="n">
        <x:v>31302</x:v>
      </x:c>
      <x:c r="D15" s="11" t="n">
        <x:v>31303</x:v>
      </x:c>
      <x:c r="E15" s="11" t="n">
        <x:v>31304</x:v>
      </x:c>
      <x:c r="F15" s="11" t="n">
        <x:v>31305</x:v>
      </x:c>
      <x:c r="G15" s="11" t="n">
        <x:v>31306</x:v>
      </x:c>
    </x:row>
    <x:row r="16" ht="24" customHeight="1">
      <x:c r="A16" s="11" t="str">
        <x:v>元能者</x:v>
      </x:c>
      <x:c r="B16" s="11" t="n">
        <x:v>31401</x:v>
      </x:c>
      <x:c r="C16" s="11" t="n">
        <x:v>31402</x:v>
      </x:c>
      <x:c r="D16" s="11" t="n">
        <x:v>31403</x:v>
      </x:c>
      <x:c r="E16" s="11" t="n">
        <x:v>31404</x:v>
      </x:c>
      <x:c r="F16" s="11" t="n">
        <x:v>31405</x:v>
      </x:c>
      <x:c r="G16" s="11" t="n">
        <x:v>31406</x:v>
      </x:c>
    </x:row>
    <x:row r="17" ht="24" customHeight="1">
      <x:c r="A17" s="11" t="str">
        <x:v>旅行家</x:v>
      </x:c>
      <x:c r="B17" s="11" t="n">
        <x:v>31501</x:v>
      </x:c>
      <x:c r="C17" s="11" t="n">
        <x:v>31502</x:v>
      </x:c>
      <x:c r="D17" s="11" t="n">
        <x:v>31503</x:v>
      </x:c>
      <x:c r="E17" s="11" t="n">
        <x:v>31504</x:v>
      </x:c>
      <x:c r="F17" s="11" t="n">
        <x:v>31505</x:v>
      </x:c>
      <x:c r="G17" s="11" t="n">
        <x:v>31506</x:v>
      </x:c>
    </x:row>
    <x:row r="18" ht="24" customHeight="1">
      <x:c r="A18" s="11" t="str">
        <x:v>暗影</x:v>
      </x:c>
      <x:c r="B18" s="11" t="n">
        <x:v>31601</x:v>
      </x:c>
      <x:c r="C18" s="11" t="n">
        <x:v>31602</x:v>
      </x:c>
      <x:c r="D18" s="11" t="n">
        <x:v>31603</x:v>
      </x:c>
      <x:c r="E18" s="11" t="n">
        <x:v>31604</x:v>
      </x:c>
      <x:c r="F18" s="11" t="n">
        <x:v>31605</x:v>
      </x:c>
      <x:c r="G18" s="11" t="n">
        <x:v>31606</x:v>
      </x:c>
    </x:row>
    <x:row r="19" ht="24" customHeight="1">
      <x:c r="A19" s="11" t="str">
        <x:v>火焰</x:v>
      </x:c>
      <x:c r="B19" s="11" t="n">
        <x:v>31701</x:v>
      </x:c>
      <x:c r="C19" s="11" t="n">
        <x:v>31702</x:v>
      </x:c>
      <x:c r="D19" s="11" t="n">
        <x:v>31703</x:v>
      </x:c>
      <x:c r="E19" s="11" t="n">
        <x:v>31704</x:v>
      </x:c>
      <x:c r="F19" s="11" t="n">
        <x:v>31705</x:v>
      </x:c>
      <x:c r="G19" s="11" t="n">
        <x:v>31706</x:v>
      </x:c>
    </x:row>
    <x:row r="20" ht="24" customHeight="1">
      <x:c r="A20" s="11" t="str">
        <x:v>物理</x:v>
      </x:c>
      <x:c r="B20" s="11" t="n">
        <x:v>31801</x:v>
      </x:c>
      <x:c r="C20" s="11" t="n">
        <x:v>31802</x:v>
      </x:c>
      <x:c r="D20" s="11" t="n">
        <x:v>31803</x:v>
      </x:c>
      <x:c r="E20" s="11" t="n">
        <x:v>31804</x:v>
      </x:c>
      <x:c r="F20" s="11" t="n">
        <x:v>31805</x:v>
      </x:c>
      <x:c r="G20" s="11" t="n">
        <x:v>31806</x:v>
      </x:c>
    </x:row>
    <x:row r="21" ht="24" customHeight="1">
      <x:c r="A21" s="11" t="str">
        <x:v>冰霜</x:v>
      </x:c>
      <x:c r="B21" s="11" t="n">
        <x:v>31901</x:v>
      </x:c>
      <x:c r="C21" s="11" t="n">
        <x:v>31902</x:v>
      </x:c>
      <x:c r="D21" s="11" t="n">
        <x:v>31903</x:v>
      </x:c>
      <x:c r="E21" s="11" t="n">
        <x:v>31904</x:v>
      </x:c>
      <x:c r="F21" s="11" t="n">
        <x:v>31905</x:v>
      </x:c>
      <x:c r="G21" s="11" t="n">
        <x:v>31906</x:v>
      </x:c>
    </x:row>
    <x:row r="22" ht="24" customHeight="1">
      <x:c r="A22" s="11" t="str">
        <x:v>毒素</x:v>
      </x:c>
      <x:c r="B22" s="11" t="n">
        <x:v>32001</x:v>
      </x:c>
      <x:c r="C22" s="11" t="n">
        <x:v>32002</x:v>
      </x:c>
      <x:c r="D22" s="11" t="n">
        <x:v>32003</x:v>
      </x:c>
      <x:c r="E22" s="11" t="n">
        <x:v>32004</x:v>
      </x:c>
      <x:c r="F22" s="11" t="n">
        <x:v>32005</x:v>
      </x:c>
      <x:c r="G22" s="11" t="n">
        <x:v>32006</x:v>
      </x:c>
    </x:row>
    <x:row r="23" ht="24" customHeight="1">
      <x:c r="A23" s="11" t="str">
        <x:v>神圣</x:v>
      </x:c>
      <x:c r="B23" s="11" t="n">
        <x:v>32101</x:v>
      </x:c>
      <x:c r="C23" s="11" t="n">
        <x:v>32102</x:v>
      </x:c>
      <x:c r="D23" s="11" t="n">
        <x:v>32103</x:v>
      </x:c>
      <x:c r="E23" s="11" t="n">
        <x:v>32104</x:v>
      </x:c>
      <x:c r="F23" s="11" t="n">
        <x:v>32105</x:v>
      </x:c>
      <x:c r="G23" s="11" t="n">
        <x:v>32106</x:v>
      </x:c>
    </x:row>
    <x:row r="24" ht="24" customHeight="1">
      <x:c r="A24" s="11" t="str">
        <x:v>闪电</x:v>
      </x:c>
      <x:c r="B24" s="11" t="n">
        <x:v>32201</x:v>
      </x:c>
      <x:c r="C24" s="11" t="n">
        <x:v>32202</x:v>
      </x:c>
      <x:c r="D24" s="11" t="n">
        <x:v>32203</x:v>
      </x:c>
      <x:c r="E24" s="11" t="n">
        <x:v>32204</x:v>
      </x:c>
      <x:c r="F24" s="11" t="n">
        <x:v>32205</x:v>
      </x:c>
      <x:c r="G24" s="11" t="n">
        <x:v>32206</x:v>
      </x:c>
    </x:row>
    <x:row r="25" ht="24" customHeight="1">
      <x:c r="A25" s="11"/>
      <x:c r="B25" s="11"/>
      <x:c r="C25" s="11"/>
      <x:c r="D25" s="11"/>
      <x:c r="E25" s="11"/>
      <x:c r="F25" s="11"/>
      <x:c r="G25" s="11"/>
    </x:row>
    <x:row r="26" ht="24" customHeight="1">
      <x:c r="A26" s="11"/>
      <x:c r="B26" s="11"/>
      <x:c r="C26" s="11"/>
      <x:c r="D26" s="11"/>
      <x:c r="E26" s="11"/>
      <x:c r="F26" s="11"/>
      <x:c r="G26" s="11"/>
    </x:row>
    <x:row r="27" ht="24" customHeight="1">
      <x:c r="A27" s="11" t="str">
        <x:v>引用：SpecialEquipment.RareEffect → EffectDrop.Id → EffectList中的EffectId → Effect.SkillList → Skill.SkillId。每池12条等权100；普通属性、特殊技能、稀有词条刷新数量不变。技能ID来自用户新设计，已核对本机Skill表72条均存在；未执行正式导表或运行时测试。</x:v>
      </x:c>
      <x:c r="B27" s="11"/>
      <x:c r="C27" s="11"/>
      <x:c r="D27" s="11"/>
      <x:c r="E27" s="11"/>
      <x:c r="F27" s="11"/>
      <x:c r="G27" s="11"/>
    </x:row>
    <x:row r="28" ht="24" customHeight="1">
      <x:c r="A28" s="11"/>
      <x:c r="B28" s="11"/>
      <x:c r="C28" s="11"/>
      <x:c r="D28" s="11"/>
      <x:c r="E28" s="11"/>
      <x:c r="F28" s="11"/>
      <x:c r="G28" s="11"/>
    </x:row>
    <x:row r="29" ht="24" customHeight="1">
      <x:c r="A29" s="11"/>
      <x:c r="B29" s="11"/>
      <x:c r="C29" s="11"/>
      <x:c r="D29" s="11"/>
      <x:c r="E29" s="11"/>
      <x:c r="F29" s="11"/>
      <x:c r="G29" s="11"/>
    </x:row>
  </x:sheetData>
  <x:mergeCells>
    <x:mergeCell ref="A1:G1"/>
    <x:mergeCell ref="A27:G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8" hidden="0" customWidth="1"/>
    <x:col min="4" max="4" width="13" hidden="0" customWidth="1"/>
    <x:col min="5" max="5" width="25" hidden="0" customWidth="1"/>
    <x:col min="6" max="6" width="20" hidden="0" customWidth="1"/>
    <x:col min="7" max="7" width="13" hidden="0" customWidth="1"/>
    <x:col min="8" max="8" width="11" hidden="0" customWidth="1"/>
  </x:cols>
  <x:sheetData>
    <x:row r="1" ht="34" customHeight="1">
      <x:c r="A1" s="21" t="str">
        <x:v>CHG-024｜红装具名技能绑定（仅06候选）</x:v>
      </x:c>
      <x:c r="B1" s="21"/>
      <x:c r="C1" s="21"/>
      <x:c r="D1" s="21"/>
      <x:c r="E1" s="21"/>
      <x:c r="F1" s="21"/>
      <x:c r="G1" s="21"/>
      <x:c r="H1" s="21"/>
    </x:row>
    <x:row r="2" ht="26" customHeight="1">
      <x:c r="A2" s="11"/>
      <x:c r="B2" s="11"/>
      <x:c r="C2" s="11"/>
      <x:c r="D2" s="11"/>
      <x:c r="E2" s="11"/>
      <x:c r="F2" s="11"/>
      <x:c r="G2" s="11"/>
      <x:c r="H2" s="11"/>
    </x:row>
    <x:row r="3" ht="34" customHeight="1">
      <x:c r="A3" s="21" t="str">
        <x:v>装备ID</x:v>
      </x:c>
      <x:c r="B3" s="21" t="str">
        <x:v>正式装备名称</x:v>
      </x:c>
      <x:c r="C3" s="21" t="str">
        <x:v>等级</x:v>
      </x:c>
      <x:c r="D3" s="21" t="str">
        <x:v>部位</x:v>
      </x:c>
      <x:c r="E3" s="21" t="str">
        <x:v>设计技能名称</x:v>
      </x:c>
      <x:c r="F3" s="21" t="str">
        <x:v>FixEffect / SkillId</x:v>
      </x:c>
      <x:c r="G3" s="21" t="str">
        <x:v>绑定字段</x:v>
      </x:c>
      <x:c r="H3" s="21" t="str">
        <x:v>设计源行</x:v>
      </x:c>
    </x:row>
    <x:row r="4" ht="26" customHeight="1">
      <x:c r="A4" s="22" t="n">
        <x:v>80387</x:v>
      </x:c>
      <x:c r="B4" s="23" t="str">
        <x:v>猎魔人手弩</x:v>
      </x:c>
      <x:c r="C4" s="22" t="n">
        <x:v>15</x:v>
      </x:c>
      <x:c r="D4" s="23" t="str">
        <x:v>Weapon</x:v>
      </x:c>
      <x:c r="E4" s="23" t="str">
        <x:v>猎魔人手弩</x:v>
      </x:c>
      <x:c r="F4" s="22" t="n">
        <x:v>30104</x:v>
      </x:c>
      <x:c r="G4" s="23" t="str">
        <x:v>FixEffect</x:v>
      </x:c>
      <x:c r="H4" s="23" t="n">
        <x:v>102</x:v>
      </x:c>
    </x:row>
    <x:row r="5" ht="26" customHeight="1">
      <x:c r="A5" s="24" t="n">
        <x:v>80394</x:v>
      </x:c>
      <x:c r="B5" s="25" t="str">
        <x:v>怒涛咆哮之锤</x:v>
      </x:c>
      <x:c r="C5" s="24" t="n">
        <x:v>50</x:v>
      </x:c>
      <x:c r="D5" s="25" t="str">
        <x:v>Weapon</x:v>
      </x:c>
      <x:c r="E5" s="25" t="str">
        <x:v>怒涛咆哮之锤</x:v>
      </x:c>
      <x:c r="F5" s="24" t="n">
        <x:v>30103</x:v>
      </x:c>
      <x:c r="G5" s="25" t="str">
        <x:v>FixEffect</x:v>
      </x:c>
      <x:c r="H5" s="25" t="n">
        <x:v>101</x:v>
      </x:c>
    </x:row>
    <x:row r="6" ht="26" customHeight="1">
      <x:c r="A6" s="24" t="n">
        <x:v>80395</x:v>
      </x:c>
      <x:c r="B6" s="25" t="str">
        <x:v>霜狼斩魄刀</x:v>
      </x:c>
      <x:c r="C6" s="24" t="n">
        <x:v>55</x:v>
      </x:c>
      <x:c r="D6" s="25" t="str">
        <x:v>Weapon</x:v>
      </x:c>
      <x:c r="E6" s="25" t="str">
        <x:v>霜狼斩魄刀</x:v>
      </x:c>
      <x:c r="F6" s="24" t="n">
        <x:v>30102</x:v>
      </x:c>
      <x:c r="G6" s="25" t="str">
        <x:v>FixEffect</x:v>
      </x:c>
      <x:c r="H6" s="25" t="n">
        <x:v>100</x:v>
      </x:c>
    </x:row>
    <x:row r="7" ht="26" customHeight="1">
      <x:c r="A7" s="24" t="n">
        <x:v>80396</x:v>
      </x:c>
      <x:c r="B7" s="25" t="str">
        <x:v>千湖守望之剑</x:v>
      </x:c>
      <x:c r="C7" s="24" t="n">
        <x:v>60</x:v>
      </x:c>
      <x:c r="D7" s="25" t="str">
        <x:v>Weapon</x:v>
      </x:c>
      <x:c r="E7" s="25" t="str">
        <x:v>祝福之剑</x:v>
      </x:c>
      <x:c r="F7" s="24" t="n">
        <x:v>30101</x:v>
      </x:c>
      <x:c r="G7" s="25" t="str">
        <x:v>FixEffect</x:v>
      </x:c>
      <x:c r="H7" s="25" t="n">
        <x:v>99</x:v>
      </x:c>
    </x:row>
    <x:row r="8" ht="26" customHeight="1">
      <x:c r="A8" s="24" t="n">
        <x:v>80398</x:v>
      </x:c>
      <x:c r="B8" s="25" t="str">
        <x:v>银质驱魔项链</x:v>
      </x:c>
      <x:c r="C8" s="24" t="n">
        <x:v>10</x:v>
      </x:c>
      <x:c r="D8" s="25" t="str">
        <x:v>Device</x:v>
      </x:c>
      <x:c r="E8" s="25" t="str">
        <x:v>银质驱魔项链</x:v>
      </x:c>
      <x:c r="F8" s="24" t="n">
        <x:v>30203</x:v>
      </x:c>
      <x:c r="G8" s="25" t="str">
        <x:v>FixEffect</x:v>
      </x:c>
      <x:c r="H8" s="25" t="n">
        <x:v>107</x:v>
      </x:c>
    </x:row>
    <x:row r="9" ht="26" customHeight="1">
      <x:c r="A9" s="24" t="n">
        <x:v>80407</x:v>
      </x:c>
      <x:c r="B9" s="25" t="str">
        <x:v>神圣禁言吊坠</x:v>
      </x:c>
      <x:c r="C9" s="24" t="n">
        <x:v>55</x:v>
      </x:c>
      <x:c r="D9" s="25" t="str">
        <x:v>Device</x:v>
      </x:c>
      <x:c r="E9" s="25" t="str">
        <x:v>神圣祷言</x:v>
      </x:c>
      <x:c r="F9" s="24" t="n">
        <x:v>30202</x:v>
      </x:c>
      <x:c r="G9" s="25" t="str">
        <x:v>FixEffect</x:v>
      </x:c>
      <x:c r="H9" s="25" t="n">
        <x:v>106</x:v>
      </x:c>
    </x:row>
    <x:row r="10" ht="26" customHeight="1">
      <x:c r="A10" s="24" t="n">
        <x:v>80408</x:v>
      </x:c>
      <x:c r="B10" s="25" t="str">
        <x:v>千湖指挥官项链</x:v>
      </x:c>
      <x:c r="C10" s="24" t="n">
        <x:v>60</x:v>
      </x:c>
      <x:c r="D10" s="25" t="str">
        <x:v>Device</x:v>
      </x:c>
      <x:c r="E10" s="25" t="str">
        <x:v>千湖指挥官吊坠</x:v>
      </x:c>
      <x:c r="F10" s="24" t="n">
        <x:v>30201</x:v>
      </x:c>
      <x:c r="G10" s="25" t="str">
        <x:v>FixEffect</x:v>
      </x:c>
      <x:c r="H10" s="25" t="n">
        <x:v>105</x:v>
      </x:c>
    </x:row>
    <x:row r="11" ht="26" customHeight="1">
      <x:c r="A11" s="24" t="n">
        <x:v>80413</x:v>
      </x:c>
      <x:c r="B11" s="25" t="str">
        <x:v>四叶草幸运指环</x:v>
      </x:c>
      <x:c r="C11" s="24" t="n">
        <x:v>25</x:v>
      </x:c>
      <x:c r="D11" s="25" t="str">
        <x:v>Decoration</x:v>
      </x:c>
      <x:c r="E11" s="25" t="str">
        <x:v>四叶草幸运指环</x:v>
      </x:c>
      <x:c r="F11" s="24" t="n">
        <x:v>30303</x:v>
      </x:c>
      <x:c r="G11" s="25" t="str">
        <x:v>FixEffect</x:v>
      </x:c>
      <x:c r="H11" s="25" t="n">
        <x:v>112</x:v>
      </x:c>
    </x:row>
    <x:row r="12" ht="26" customHeight="1">
      <x:c r="A12" s="24" t="n">
        <x:v>80419</x:v>
      </x:c>
      <x:c r="B12" s="25" t="str">
        <x:v>金绵羊指环</x:v>
      </x:c>
      <x:c r="C12" s="24" t="n">
        <x:v>55</x:v>
      </x:c>
      <x:c r="D12" s="25" t="str">
        <x:v>Decoration</x:v>
      </x:c>
      <x:c r="E12" s="25" t="str">
        <x:v>金绵羊指环</x:v>
      </x:c>
      <x:c r="F12" s="24" t="n">
        <x:v>30302</x:v>
      </x:c>
      <x:c r="G12" s="25" t="str">
        <x:v>FixEffect</x:v>
      </x:c>
      <x:c r="H12" s="25" t="n">
        <x:v>111</x:v>
      </x:c>
    </x:row>
    <x:row r="13" ht="26" customHeight="1">
      <x:c r="A13" s="24" t="n">
        <x:v>80420</x:v>
      </x:c>
      <x:c r="B13" s="25" t="str">
        <x:v>冒险家的决心</x:v>
      </x:c>
      <x:c r="C13" s="24" t="n">
        <x:v>60</x:v>
      </x:c>
      <x:c r="D13" s="25" t="str">
        <x:v>Decoration</x:v>
      </x:c>
      <x:c r="E13" s="25" t="str">
        <x:v>冒险家的决心</x:v>
      </x:c>
      <x:c r="F13" s="24" t="n">
        <x:v>30301</x:v>
      </x:c>
      <x:c r="G13" s="25" t="str">
        <x:v>FixEffect</x:v>
      </x:c>
      <x:c r="H13" s="25" t="n">
        <x:v>110</x:v>
      </x:c>
    </x:row>
    <x:row r="14" ht="26" customHeight="1">
      <x:c r="A14" s="24" t="n">
        <x:v>80424</x:v>
      </x:c>
      <x:c r="B14" s="25" t="str">
        <x:v>智慧之冠</x:v>
      </x:c>
      <x:c r="C14" s="24" t="n">
        <x:v>20</x:v>
      </x:c>
      <x:c r="D14" s="25" t="str">
        <x:v>Head</x:v>
      </x:c>
      <x:c r="E14" s="25" t="str">
        <x:v>智慧之冠</x:v>
      </x:c>
      <x:c r="F14" s="24" t="n">
        <x:v>30402</x:v>
      </x:c>
      <x:c r="G14" s="25" t="str">
        <x:v>FixEffect</x:v>
      </x:c>
      <x:c r="H14" s="25" t="n">
        <x:v>116</x:v>
      </x:c>
    </x:row>
    <x:row r="15" ht="26" customHeight="1">
      <x:c r="A15" s="24" t="n">
        <x:v>80432</x:v>
      </x:c>
      <x:c r="B15" s="25" t="str">
        <x:v>霜狼意志战盔</x:v>
      </x:c>
      <x:c r="C15" s="24" t="n">
        <x:v>60</x:v>
      </x:c>
      <x:c r="D15" s="25" t="str">
        <x:v>Head</x:v>
      </x:c>
      <x:c r="E15" s="25" t="str">
        <x:v>霜狼意志战盔</x:v>
      </x:c>
      <x:c r="F15" s="24" t="n">
        <x:v>30401</x:v>
      </x:c>
      <x:c r="G15" s="25" t="str">
        <x:v>FixEffect</x:v>
      </x:c>
      <x:c r="H15" s="25" t="n">
        <x:v>115</x:v>
      </x:c>
    </x:row>
    <x:row r="16" ht="26" customHeight="1">
      <x:c r="A16" s="24" t="n">
        <x:v>80438</x:v>
      </x:c>
      <x:c r="B16" s="25" t="str">
        <x:v>不可侵犯铠甲</x:v>
      </x:c>
      <x:c r="C16" s="24" t="n">
        <x:v>30</x:v>
      </x:c>
      <x:c r="D16" s="25" t="str">
        <x:v>Armour</x:v>
      </x:c>
      <x:c r="E16" s="25" t="str">
        <x:v>不可侵犯铠甲</x:v>
      </x:c>
      <x:c r="F16" s="24" t="n">
        <x:v>30502</x:v>
      </x:c>
      <x:c r="G16" s="25" t="str">
        <x:v>FixEffect</x:v>
      </x:c>
      <x:c r="H16" s="25" t="n">
        <x:v>120</x:v>
      </x:c>
    </x:row>
    <x:row r="17" ht="26" customHeight="1">
      <x:c r="A17" s="24" t="n">
        <x:v>80442</x:v>
      </x:c>
      <x:c r="B17" s="25" t="str">
        <x:v>神圣遗迹长袍</x:v>
      </x:c>
      <x:c r="C17" s="24" t="n">
        <x:v>50</x:v>
      </x:c>
      <x:c r="D17" s="25" t="str">
        <x:v>Armour</x:v>
      </x:c>
      <x:c r="E17" s="25" t="str">
        <x:v>神圣遗迹长袍</x:v>
      </x:c>
      <x:c r="F17" s="24" t="n">
        <x:v>30503</x:v>
      </x:c>
      <x:c r="G17" s="25" t="str">
        <x:v>FixEffect</x:v>
      </x:c>
      <x:c r="H17" s="25" t="n">
        <x:v>121</x:v>
      </x:c>
    </x:row>
    <x:row r="18" ht="26" customHeight="1">
      <x:c r="A18" s="24" t="n">
        <x:v>80444</x:v>
      </x:c>
      <x:c r="B18" s="25" t="str">
        <x:v>神圣庇护铠甲</x:v>
      </x:c>
      <x:c r="C18" s="24" t="n">
        <x:v>60</x:v>
      </x:c>
      <x:c r="D18" s="25" t="str">
        <x:v>Armour</x:v>
      </x:c>
      <x:c r="E18" s="25" t="str">
        <x:v>神圣庇护铠甲</x:v>
      </x:c>
      <x:c r="F18" s="24" t="n">
        <x:v>30501</x:v>
      </x:c>
      <x:c r="G18" s="25" t="str">
        <x:v>FixEffect</x:v>
      </x:c>
      <x:c r="H18" s="25" t="n">
        <x:v>119</x:v>
      </x:c>
    </x:row>
    <x:row r="19" ht="26" customHeight="1">
      <x:c r="A19" s="24" t="n">
        <x:v>80451</x:v>
      </x:c>
      <x:c r="B19" s="25" t="str">
        <x:v>白色针织劳保手套</x:v>
      </x:c>
      <x:c r="C19" s="24" t="n">
        <x:v>35</x:v>
      </x:c>
      <x:c r="D19" s="25" t="str">
        <x:v>Glove</x:v>
      </x:c>
      <x:c r="E19" s="25" t="str">
        <x:v>白色针织劳保手套</x:v>
      </x:c>
      <x:c r="F19" s="24" t="n">
        <x:v>30602</x:v>
      </x:c>
      <x:c r="G19" s="25" t="str">
        <x:v>FixEffect</x:v>
      </x:c>
      <x:c r="H19" s="25" t="n">
        <x:v>125</x:v>
      </x:c>
    </x:row>
    <x:row r="20" ht="26" customHeight="1">
      <x:c r="A20" s="24" t="n">
        <x:v>80455</x:v>
      </x:c>
      <x:c r="B20" s="25" t="str">
        <x:v>白色针织劳保手套</x:v>
      </x:c>
      <x:c r="C20" s="24" t="n">
        <x:v>55</x:v>
      </x:c>
      <x:c r="D20" s="25" t="str">
        <x:v>Glove</x:v>
      </x:c>
      <x:c r="E20" s="25" t="str">
        <x:v>白色针织劳保手套</x:v>
      </x:c>
      <x:c r="F20" s="24" t="n">
        <x:v>30602</x:v>
      </x:c>
      <x:c r="G20" s="25" t="str">
        <x:v>FixEffect</x:v>
      </x:c>
      <x:c r="H20" s="25" t="n">
        <x:v>125</x:v>
      </x:c>
    </x:row>
    <x:row r="21" ht="26" customHeight="1">
      <x:c r="A21" s="24" t="n">
        <x:v>80456</x:v>
      </x:c>
      <x:c r="B21" s="25" t="str">
        <x:v>不灭之握</x:v>
      </x:c>
      <x:c r="C21" s="24" t="n">
        <x:v>60</x:v>
      </x:c>
      <x:c r="D21" s="25" t="str">
        <x:v>Glove</x:v>
      </x:c>
      <x:c r="E21" s="25" t="str">
        <x:v>不灭之握</x:v>
      </x:c>
      <x:c r="F21" s="24" t="n">
        <x:v>30601</x:v>
      </x:c>
      <x:c r="G21" s="25" t="str">
        <x:v>FixEffect</x:v>
      </x:c>
      <x:c r="H21" s="25" t="n">
        <x:v>124</x:v>
      </x:c>
    </x:row>
    <x:row r="22" ht="26" customHeight="1">
      <x:c r="A22" s="24" t="n">
        <x:v>80464</x:v>
      </x:c>
      <x:c r="B22" s="25" t="str">
        <x:v>寻觅者长靴</x:v>
      </x:c>
      <x:c r="C22" s="24" t="n">
        <x:v>40</x:v>
      </x:c>
      <x:c r="D22" s="25" t="str">
        <x:v>Shoe</x:v>
      </x:c>
      <x:c r="E22" s="25" t="str">
        <x:v>寻觅者长靴</x:v>
      </x:c>
      <x:c r="F22" s="24" t="n">
        <x:v>30702</x:v>
      </x:c>
      <x:c r="G22" s="25" t="str">
        <x:v>FixEffect</x:v>
      </x:c>
      <x:c r="H22" s="25" t="n">
        <x:v>129</x:v>
      </x:c>
    </x:row>
    <x:row r="23" ht="26" customHeight="1">
      <x:c r="A23" s="24" t="n">
        <x:v>80468</x:v>
      </x:c>
      <x:c r="B23" s="25" t="str">
        <x:v>踏云剑履</x:v>
      </x:c>
      <x:c r="C23" s="24" t="n">
        <x:v>60</x:v>
      </x:c>
      <x:c r="D23" s="25" t="str">
        <x:v>Shoe</x:v>
      </x:c>
      <x:c r="E23" s="25" t="str">
        <x:v>踏云剑履</x:v>
      </x:c>
      <x:c r="F23" s="24" t="n">
        <x:v>30701</x:v>
      </x:c>
      <x:c r="G23" s="25" t="str">
        <x:v>FixEffect</x:v>
      </x:c>
      <x:c r="H23" s="25" t="n">
        <x:v>128</x:v>
      </x:c>
    </x:row>
    <x:row r="24" ht="26" customHeight="1">
      <x:c r="A24" s="24" t="n">
        <x:v>80469</x:v>
      </x:c>
      <x:c r="B24" s="25" t="str">
        <x:v>精铁腰带</x:v>
      </x:c>
      <x:c r="C24" s="24" t="n">
        <x:v>5</x:v>
      </x:c>
      <x:c r="D24" s="25" t="str">
        <x:v>Belt</x:v>
      </x:c>
      <x:c r="E24" s="25" t="str">
        <x:v>精铁腰带</x:v>
      </x:c>
      <x:c r="F24" s="24" t="n">
        <x:v>30802</x:v>
      </x:c>
      <x:c r="G24" s="25" t="str">
        <x:v>FixEffect</x:v>
      </x:c>
      <x:c r="H24" s="25" t="n">
        <x:v>133</x:v>
      </x:c>
    </x:row>
    <x:row r="25" ht="26" customHeight="1">
      <x:c r="A25" s="26" t="n">
        <x:v>80480</x:v>
      </x:c>
      <x:c r="B25" s="27" t="str">
        <x:v>遗迹征服者腰带</x:v>
      </x:c>
      <x:c r="C25" s="26" t="n">
        <x:v>60</x:v>
      </x:c>
      <x:c r="D25" s="27" t="str">
        <x:v>Belt</x:v>
      </x:c>
      <x:c r="E25" s="27" t="str">
        <x:v>遗迹征服者腰带</x:v>
      </x:c>
      <x:c r="F25" s="26" t="n">
        <x:v>30801</x:v>
      </x:c>
      <x:c r="G25" s="27" t="str">
        <x:v>FixEffect</x:v>
      </x:c>
      <x:c r="H25" s="27" t="n">
        <x:v>132</x:v>
      </x:c>
    </x:row>
    <x:row r="26" ht="26" customHeight="1">
      <x:c r="A26" s="11"/>
      <x:c r="B26" s="11"/>
      <x:c r="C26" s="11"/>
      <x:c r="D26" s="11"/>
      <x:c r="E26" s="11"/>
      <x:c r="F26" s="11"/>
      <x:c r="G26" s="11"/>
      <x:c r="H26" s="11"/>
    </x:row>
    <x:row r="27" ht="26" customHeight="1">
      <x:c r="A27" s="11" t="str">
        <x:v>名称按正式Id核对；三组别名获用户确认；两件同名手套共用30602。80393虚空突袭之刃无技能设计，暂不绑定。固定绑定不等于技能100%触发。金红六档RareEffect及原SpecialEffect随机池均不改。</x:v>
      </x:c>
      <x:c r="B27" s="11"/>
      <x:c r="C27" s="11"/>
      <x:c r="D27" s="11"/>
      <x:c r="E27" s="11"/>
      <x:c r="F27" s="11"/>
      <x:c r="G27" s="11"/>
      <x:c r="H27" s="11"/>
    </x:row>
    <x:row r="28" ht="26" customHeight="1">
      <x:c r="A28" s="11"/>
      <x:c r="B28" s="11"/>
      <x:c r="C28" s="11"/>
      <x:c r="D28" s="11"/>
      <x:c r="E28" s="11"/>
      <x:c r="F28" s="11"/>
      <x:c r="G28" s="11"/>
      <x:c r="H28" s="11"/>
    </x:row>
    <x:row r="29" ht="26" customHeight="1">
      <x:c r="A29" s="11"/>
      <x:c r="B29" s="11"/>
      <x:c r="C29" s="11"/>
      <x:c r="D29" s="11"/>
      <x:c r="E29" s="11"/>
      <x:c r="F29" s="11"/>
      <x:c r="G29" s="11"/>
      <x:c r="H29" s="11"/>
    </x:row>
    <x:row r="30" ht="26" customHeight="1">
      <x:c r="A30" s="11"/>
      <x:c r="B30" s="11"/>
      <x:c r="C30" s="11"/>
      <x:c r="D30" s="11"/>
      <x:c r="E30" s="11"/>
      <x:c r="F30" s="11"/>
      <x:c r="G30" s="11"/>
      <x:c r="H30" s="11"/>
    </x:row>
    <x:row r="31" ht="26" customHeight="1">
      <x:c r="A31" s="11" t="str">
        <x:v>来源：用户《映射装备.xlsx》“映射装备包装、技能”C99:E133；本机正式SpecialEquipment、Skill。链路：FixEffect → Effect.Id → SkillList → SkillId。仅配置绑定；未写正式Datas、未做运行时验收。</x:v>
      </x:c>
      <x:c r="B31" s="11"/>
      <x:c r="C31" s="11"/>
      <x:c r="D31" s="11"/>
      <x:c r="E31" s="11"/>
      <x:c r="F31" s="11"/>
      <x:c r="G31" s="11"/>
      <x:c r="H31" s="11"/>
    </x:row>
    <x:row r="32" ht="26" customHeight="1">
      <x:c r="A32" s="11"/>
      <x:c r="B32" s="11"/>
      <x:c r="C32" s="11"/>
      <x:c r="D32" s="11"/>
      <x:c r="E32" s="11"/>
      <x:c r="F32" s="11"/>
      <x:c r="G32" s="11"/>
      <x:c r="H32" s="11"/>
    </x:row>
    <x:row r="33" ht="26" customHeight="1">
      <x:c r="A33" s="11"/>
      <x:c r="B33" s="11"/>
      <x:c r="C33" s="11"/>
      <x:c r="D33" s="11"/>
      <x:c r="E33" s="11"/>
      <x:c r="F33" s="11"/>
      <x:c r="G33" s="11"/>
      <x:c r="H33" s="11"/>
    </x:row>
  </x:sheetData>
  <x:mergeCells>
    <x:mergeCell ref="A1:H1"/>
    <x:mergeCell ref="A27:H29"/>
    <x:mergeCell ref="A31:H33"/>
  </x:mergeCells>
  <x:pageMargins left="0.7" right="0.7" top="0.75" bottom="0.75" header="0.3" footer="0.3"/>
</x:worksheet>
</file>