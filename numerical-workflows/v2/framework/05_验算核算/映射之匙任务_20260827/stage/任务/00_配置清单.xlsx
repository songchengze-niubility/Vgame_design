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bcbda32e3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18cba3c997124459"/>
    <x:sheet xmlns:r="http://schemas.openxmlformats.org/officeDocument/2006/relationships" name="任务总览" sheetId="2" r:id="R60f801217da94ffa"/>
    <x:sheet xmlns:r="http://schemas.openxmlformats.org/officeDocument/2006/relationships" name="新增任务类型" sheetId="3" r:id="R2328c0cedf604434"/>
    <x:sheet xmlns:r="http://schemas.openxmlformats.org/officeDocument/2006/relationships" name="数值校验" sheetId="4" r:id="R112505a3a3c2490a"/>
    <x:sheet xmlns:r="http://schemas.openxmlformats.org/officeDocument/2006/relationships" name="落地说明" sheetId="5" r:id="Rd88b200348624d84"/>
    <x:sheet xmlns:r="http://schemas.openxmlformats.org/officeDocument/2006/relationships" name="钥匙来源核对" sheetId="6" r:id="R668e5bf328864e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sz val="11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2" borderId="0" xfId="0" applyAlignment="1">
      <x:alignment vertical="center" wrapText="1"/>
    </x:xf>
    <x:xf numFmtId="0" fontId="2" fillId="2" borderId="0" xfId="0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560f63cfc49c8" /><Relationship Type="http://schemas.openxmlformats.org/officeDocument/2006/relationships/theme" Target="/xl/theme/theme1.xml" Id="R1652d6c95294401d" /><Relationship Type="http://schemas.openxmlformats.org/officeDocument/2006/relationships/sharedStrings" Target="/xl/sharedStrings.xml" Id="R4057280c79ff4eed" /><Relationship Type="http://schemas.openxmlformats.org/officeDocument/2006/relationships/worksheet" Target="/xl/worksheets/sheet1.xml" Id="R18cba3c997124459" /><Relationship Type="http://schemas.openxmlformats.org/officeDocument/2006/relationships/worksheet" Target="/xl/worksheets/sheet2.xml" Id="R60f801217da94ffa" /><Relationship Type="http://schemas.openxmlformats.org/officeDocument/2006/relationships/worksheet" Target="/xl/worksheets/sheet3.xml" Id="R2328c0cedf604434" /><Relationship Type="http://schemas.openxmlformats.org/officeDocument/2006/relationships/worksheet" Target="/xl/worksheets/sheet4.xml" Id="R112505a3a3c2490a" /><Relationship Type="http://schemas.openxmlformats.org/officeDocument/2006/relationships/worksheet" Target="/xl/worksheets/sheet5.xml" Id="Rd88b200348624d84" /><Relationship Type="http://schemas.openxmlformats.org/officeDocument/2006/relationships/worksheet" Target="/xl/worksheets/sheet6.xml" Id="R668e5bf328864e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.25" customWidth="1"/>
    <x:col min="2" max="2" width="34.130001068115234" customWidth="1"/>
    <x:col min="3" max="3" width="42" customWidth="1"/>
    <x:col min="4" max="4" width="18.8799991607666" customWidth="1"/>
  </x:cols>
  <x:sheetData>
    <x:row r="1" ht="25" customHeight="1">
      <x:c r="A1" s="12" t="inlineStr">
        <x:is>
          <x:t xml:space="preserve">文件</x:t>
        </x:is>
      </x:c>
      <x:c r="B1" s="12" t="inlineStr">
        <x:is>
          <x:t xml:space="preserve">来源</x:t>
        </x:is>
      </x:c>
      <x:c r="C1" s="12" t="inlineStr">
        <x:is>
          <x:t xml:space="preserve">本次配置</x:t>
        </x:is>
      </x:c>
      <x:c r="D1" s="12" t="inlineStr">
        <x:is>
          <x:t xml:space="preserve">状态</x:t>
        </x:is>
      </x:c>
    </x:row>
    <x:row r="2" ht="42" customHeight="1">
      <x:c r="A2" s="13" t="inlineStr">
        <x:is>
          <x:t xml:space="preserve">__enums__.xlsx</x:t>
        </x:is>
      </x:c>
      <x:c r="B2" s="13" t="inlineStr">
        <x:is>
          <x:t xml:space="preserve">Datas/__enums__.xlsx</x:t>
        </x:is>
      </x:c>
      <x:c r="C2" s="13" t="inlineStr">
        <x:is>
          <x:t xml:space="preserve">已对齐Datas正式TargetType枚举；七日任务使用正式枚举及既有类型</x:t>
        </x:is>
      </x:c>
      <x:c r="D2" s="13" t="inlineStr">
        <x:is>
          <x:t xml:space="preserve">枚举一致；程序监听需联调</x:t>
        </x:is>
      </x:c>
    </x:row>
    <x:row r="3" ht="63" customHeight="1">
      <x:c r="A3" s="13" t="inlineStr">
        <x:is>
          <x:t xml:space="preserve">TaskTarget.xlsx</x:t>
        </x:is>
      </x:c>
      <x:c r="B3" s="13" t="inlineStr">
        <x:is>
          <x:t xml:space="preserve">Datas/task/TaskTarget.xlsx</x:t>
        </x:is>
      </x:c>
      <x:c r="C3" s="13" t="inlineStr">
        <x:is>
          <x:t xml:space="preserve">写入每日10、每周33、章节68行任务目标、七日70条正式可配置目标；章节玩家等级10/20/25/30/33/36/38</x:t>
        </x:is>
      </x:c>
      <x:c r="D3" s="13" t="inlineStr">
        <x:is>
          <x:t xml:space="preserve">已配置</x:t>
        </x:is>
      </x:c>
    </x:row>
    <x:row r="4" ht="42" customHeight="1">
      <x:c r="A4" s="13" t="inlineStr">
        <x:is>
          <x:t xml:space="preserve">Task.xlsx</x:t>
        </x:is>
      </x:c>
      <x:c r="B4" s="13" t="inlineStr">
        <x:is>
          <x:t xml:space="preserve">Datas/task/Task.xlsx</x:t>
        </x:is>
      </x:c>
      <x:c r="C4" s="13" t="str">
        <x:v>保留四套任务本体及引用；按每日每周任务MD修正9条任务UnlockId为123/140</x:v>
      </x:c>
      <x:c r="D4" s="13" t="inlineStr">
        <x:is>
          <x:t xml:space="preserve">已配置</x:t>
        </x:is>
      </x:c>
    </x:row>
    <x:row r="5" ht="25" customHeight="1">
      <x:c r="A5" s="13" t="inlineStr">
        <x:is>
          <x:t xml:space="preserve">DailyTask.xlsx</x:t>
        </x:is>
      </x:c>
      <x:c r="B5" s="13" t="inlineStr">
        <x:is>
          <x:t xml:space="preserve">Datas/task/DailyTask.xlsx</x:t>
        </x:is>
      </x:c>
      <x:c r="C5" s="13" t="inlineStr">
        <x:is>
          <x:t xml:space="preserve">每日10条任务池</x:t>
        </x:is>
      </x:c>
      <x:c r="D5" s="13" t="inlineStr">
        <x:is>
          <x:t xml:space="preserve">已配置</x:t>
        </x:is>
      </x:c>
    </x:row>
    <x:row r="6" ht="42" customHeight="1">
      <x:c r="A6" s="13" t="inlineStr">
        <x:is>
          <x:t xml:space="preserve">DailyActiveReward.xlsx</x:t>
        </x:is>
      </x:c>
      <x:c r="B6" s="13" t="inlineStr">
        <x:is>
          <x:t xml:space="preserve">Datas/task/DailyActiveReward.xlsx</x:t>
        </x:is>
      </x:c>
      <x:c r="C6" s="13" t="inlineStr">
        <x:is>
          <x:t xml:space="preserve">日活20/40/60/80/100节点</x:t>
        </x:is>
      </x:c>
      <x:c r="D6" s="13" t="inlineStr">
        <x:is>
          <x:t xml:space="preserve">已配置</x:t>
        </x:is>
      </x:c>
    </x:row>
    <x:row r="7" ht="25" customHeight="1">
      <x:c r="A7" s="13" t="inlineStr">
        <x:is>
          <x:t xml:space="preserve">WeeklyTask.xlsx</x:t>
        </x:is>
      </x:c>
      <x:c r="B7" s="13" t="inlineStr">
        <x:is>
          <x:t xml:space="preserve">Datas/task/WeeklyTask.xlsx</x:t>
        </x:is>
      </x:c>
      <x:c r="C7" s="13" t="inlineStr">
        <x:is>
          <x:t xml:space="preserve">11组×3档周常</x:t>
        </x:is>
      </x:c>
      <x:c r="D7" s="13" t="inlineStr">
        <x:is>
          <x:t xml:space="preserve">已配置</x:t>
        </x:is>
      </x:c>
    </x:row>
    <x:row r="8" ht="25" customHeight="1">
      <x:c r="A8" s="13" t="inlineStr">
        <x:is>
          <x:t xml:space="preserve">WeeklyReward.xlsx</x:t>
        </x:is>
      </x:c>
      <x:c r="B8" s="13" t="inlineStr">
        <x:is>
          <x:t xml:space="preserve">Datas/task/WeeklyReward.xlsx</x:t>
        </x:is>
      </x:c>
      <x:c r="C8" s="13" t="inlineStr">
        <x:is>
          <x:t xml:space="preserve">周活10/20/30/40/50/60节点</x:t>
        </x:is>
      </x:c>
      <x:c r="D8" s="13" t="inlineStr">
        <x:is>
          <x:t xml:space="preserve">已配置</x:t>
        </x:is>
      </x:c>
    </x:row>
    <x:row r="9" ht="25" customHeight="1">
      <x:c r="A9" s="13" t="inlineStr">
        <x:is>
          <x:t xml:space="preserve">Jottings.xlsx</x:t>
        </x:is>
      </x:c>
      <x:c r="B9" s="13" t="inlineStr">
        <x:is>
          <x:t xml:space="preserve">Datas/task/Jottings.xlsx</x:t>
        </x:is>
      </x:c>
      <x:c r="C9" s="13" t="inlineStr">
        <x:is>
          <x:t xml:space="preserve">7章章节任务索引与章节奖励</x:t>
        </x:is>
      </x:c>
      <x:c r="D9" s="13" t="inlineStr">
        <x:is>
          <x:t xml:space="preserve">已配置</x:t>
        </x:is>
      </x:c>
    </x:row>
    <x:row r="10" ht="25" customHeight="1">
      <x:c r="A10" s="13" t="inlineStr">
        <x:is>
          <x:t xml:space="preserve">JottingsTask.xlsx</x:t>
        </x:is>
      </x:c>
      <x:c r="B10" s="13" t="inlineStr">
        <x:is>
          <x:t xml:space="preserve">Datas/task/JottingsTask.xlsx</x:t>
        </x:is>
      </x:c>
      <x:c r="C10" s="13" t="inlineStr">
        <x:is>
          <x:t xml:space="preserve">7章共55个任务类型组，主线组内有序</x:t>
        </x:is>
      </x:c>
      <x:c r="D10" s="13" t="inlineStr">
        <x:is>
          <x:t xml:space="preserve">已配置</x:t>
        </x:is>
      </x:c>
    </x:row>
    <x:row r="11" ht="42" customHeight="1">
      <x:c r="A11" s="13" t="inlineStr">
        <x:is>
          <x:t xml:space="preserve">FourteenDayActivity.xlsx</x:t>
        </x:is>
      </x:c>
      <x:c r="B11" s="13" t="inlineStr">
        <x:is>
          <x:t xml:space="preserve">Datas/Activity/FourteenDayActivity.xlsx</x:t>
        </x:is>
      </x:c>
      <x:c r="C11" s="13" t="inlineStr">
        <x:is>
          <x:t xml:space="preserve">7天×10条任务索引</x:t>
        </x:is>
      </x:c>
      <x:c r="D11" s="13" t="inlineStr">
        <x:is>
          <x:t xml:space="preserve">已配置</x:t>
        </x:is>
      </x:c>
    </x:row>
    <x:row r="12" ht="42" customHeight="1">
      <x:c r="A12" s="13" t="inlineStr">
        <x:is>
          <x:t xml:space="preserve">ActiveReward.xlsx</x:t>
        </x:is>
      </x:c>
      <x:c r="B12" s="13" t="inlineStr">
        <x:is>
          <x:t xml:space="preserve">Datas/Activity/ActiveReward.xlsx</x:t>
        </x:is>
      </x:c>
      <x:c r="C12" s="13" t="inlineStr">
        <x:is>
          <x:t xml:space="preserve">七日100~700积分节点</x:t>
        </x:is>
      </x:c>
      <x:c r="D12" s="13" t="inlineStr">
        <x:is>
          <x:t xml:space="preserve">已配置</x:t>
        </x:is>
      </x:c>
    </x:row>
    <x:row r="13" ht="42" customHeight="1">
      <x:c r="A13" s="13" t="inlineStr">
        <x:is>
          <x:t xml:space="preserve">Drop_other.xlsx</x:t>
        </x:is>
      </x:c>
      <x:c r="B13" s="13" t="inlineStr">
        <x:is>
          <x:t xml:space="preserve">Datas/Drop/Drop_other.xlsx</x:t>
        </x:is>
      </x:c>
      <x:c r="C13" s="13" t="str">
        <x:v>日活80分钥匙3；周活20/40分钥匙4/6；章节任务奖励保留</x:v>
      </x:c>
      <x:c r="D13" s="13" t="inlineStr">
        <x:is>
          <x:t xml:space="preserve">已配置</x:t>
        </x:is>
      </x:c>
    </x:row>
    <x:row r="14" ht="42" customHeight="1">
      <x:c r="A14" s="13" t="inlineStr">
        <x:is>
          <x:t xml:space="preserve">Drop_TimeLimitedActivity.xlsx</x:t>
        </x:is>
      </x:c>
      <x:c r="B14" s="13" t="inlineStr">
        <x:is>
          <x:t xml:space="preserve">Datas/Drop/Drop_TimeLimitedActivity.xlsx</x:t>
        </x:is>
      </x:c>
      <x:c r="C14" s="13" t="inlineStr">
        <x:is>
          <x:t xml:space="preserve">七日70条任务及7档里程碑奖励；本轮重配70条单项奖励</x:t>
        </x:is>
      </x:c>
      <x:c r="D14" s="13" t="inlineStr">
        <x:is>
          <x:t xml:space="preserve">已配置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7.25" customWidth="1"/>
    <x:col min="2" max="2" width="26.25" customWidth="1"/>
    <x:col min="3" max="3" width="33.880001068115234" customWidth="1"/>
    <x:col min="4" max="4" width="42" customWidth="1"/>
  </x:cols>
  <x:sheetData>
    <x:row r="1" ht="25" customHeight="1">
      <x:c r="A1" s="12" t="inlineStr">
        <x:is>
          <x:t xml:space="preserve">模块</x:t>
        </x:is>
      </x:c>
      <x:c r="B1" s="12" t="inlineStr">
        <x:is>
          <x:t xml:space="preserve">任务规模</x:t>
        </x:is>
      </x:c>
      <x:c r="C1" s="12" t="inlineStr">
        <x:is>
          <x:t xml:space="preserve">完成/满档口径</x:t>
        </x:is>
      </x:c>
      <x:c r="D1" s="12" t="inlineStr">
        <x:is>
          <x:t xml:space="preserve">关键总量</x:t>
        </x:is>
      </x:c>
    </x:row>
    <x:row r="2" ht="25" customHeight="1">
      <x:c r="A2" s="13" t="inlineStr">
        <x:is>
          <x:t xml:space="preserve">每日任务</x:t>
        </x:is>
      </x:c>
      <x:c r="B2" s="13" t="inlineStr">
        <x:is>
          <x:t xml:space="preserve">10条</x:t>
        </x:is>
      </x:c>
      <x:c r="C2" s="13" t="inlineStr">
        <x:is>
          <x:t xml:space="preserve">130日活，100满档</x:t>
        </x:is>
      </x:c>
      <x:c r="D2" s="13" t="str">
        <x:v>每日：元晶100、行旅帧片1500、映射之匙3、周活6</x:v>
      </x:c>
    </x:row>
    <x:row r="3" ht="25" customHeight="1">
      <x:c r="A3" s="13" t="inlineStr">
        <x:is>
          <x:t xml:space="preserve">每周任务</x:t>
        </x:is>
      </x:c>
      <x:c r="B3" s="13" t="inlineStr">
        <x:is>
          <x:t xml:space="preserve">11组×3档=33条</x:t>
        </x:is>
      </x:c>
      <x:c r="C3" s="13" t="inlineStr">
        <x:is>
          <x:t xml:space="preserve">每组1/2/4分，周任务77分；周节点60满档</x:t>
        </x:is>
      </x:c>
      <x:c r="D3" s="13" t="str">
        <x:v>周节点：元晶600、映射之匙10</x:v>
      </x:c>
    </x:row>
    <x:row r="4" ht="150" customHeight="1">
      <x:c r="A4" s="13" t="inlineStr">
        <x:is>
          <x:t xml:space="preserve">章节任务</x:t>
        </x:is>
      </x:c>
      <x:c r="B4" s="13" t="inlineStr">
        <x:is>
          <x:t xml:space="preserve">7章；每章5/6/7/8/10/10/10种目标</x:t>
        </x:is>
      </x:c>
      <x:c r="C4" s="13" t="inlineStr">
        <x:is>
          <x:t xml:space="preserve">主线按关卡顺序完成；舱室目标按1个Lv2、2个Lv2、1个Lv3、2个Lv3、1个Lv4递进；映射装备目标从第二章4件5级起递进；玩家等级10/20/25/30/33/36/38；章节奖励均为元晶</x:t>
        </x:is>
      </x:c>
      <x:c r="D4" s="13" t="inlineStr">
        <x:is>
          <x:t xml:space="preserve">主线每个检查点元晶30；章节奖励含旅券/限时旅券及系统稀有材料</x:t>
        </x:is>
      </x:c>
    </x:row>
    <x:row r="5" ht="42" customHeight="1">
      <x:c r="A5" s="13" t="inlineStr">
        <x:is>
          <x:t xml:space="preserve">七日任务</x:t>
        </x:is>
      </x:c>
      <x:c r="B5" s="13" t="inlineStr">
        <x:is>
          <x:t xml:space="preserve">7天×10条=70条</x:t>
        </x:is>
      </x:c>
      <x:c r="C5" s="13" t="inlineStr">
        <x:is>
          <x:t xml:space="preserve">每条挑战积分10；100~700七档</x:t>
        </x:is>
      </x:c>
      <x:c r="D5" s="13" t="inlineStr">
        <x:is>
          <x:t xml:space="preserve">任务直接奖励：挑战积分700、映射之匙8；里程碑元晶3500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.5" customWidth="1"/>
    <x:col min="2" max="2" width="37.880001068115234" customWidth="1"/>
    <x:col min="3" max="3" width="42" customWidth="1"/>
    <x:col min="4" max="4" width="8.25" customWidth="1"/>
    <x:col min="5" max="5" width="30.6299991607666" customWidth="1"/>
  </x:cols>
  <x:sheetData>
    <x:row r="1" ht="25" customHeight="1">
      <x:c r="A1" s="12" t="inlineStr">
        <x:is>
          <x:t xml:space="preserve">值</x:t>
        </x:is>
      </x:c>
      <x:c r="B1" s="12" t="inlineStr">
        <x:is>
          <x:t xml:space="preserve">枚举别名</x:t>
        </x:is>
      </x:c>
      <x:c r="C1" s="12" t="inlineStr">
        <x:is>
          <x:t xml:space="preserve">参数顺序</x:t>
        </x:is>
      </x:c>
      <x:c r="D1" s="12" t="inlineStr">
        <x:is>
          <x:t xml:space="preserve">使用范围</x:t>
        </x:is>
      </x:c>
      <x:c r="E1" s="12" t="inlineStr">
        <x:is>
          <x:t xml:space="preserve">程序状态</x:t>
        </x:is>
      </x:c>
    </x:row>
    <x:row r="2" ht="65" customHeight="1">
      <x:c r="A2" s="13" t="n">
        <x:v>73</x:v>
      </x:c>
      <x:c r="B2" s="13" t="inlineStr">
        <x:is>
          <x:t xml:space="preserve">Target_TTT_Trade_CompleteTimes</x:t>
        </x:is>
      </x:c>
      <x:c r="C2" s="13" t="inlineStr">
        <x:is>
          <x:t xml:space="preserve">完成跑商X次（0，次数）</x:t>
        </x:is>
      </x:c>
      <x:c r="D2" s="13" t="inlineStr">
        <x:is>
          <x:t xml:space="preserve">跑商</x:t>
        </x:is>
      </x:c>
      <x:c r="E2" s="13" t="inlineStr">
        <x:is>
          <x:t xml:space="preserve">正式枚举已配置；监听需联调</x:t>
        </x:is>
      </x:c>
    </x:row>
    <x:row r="3" ht="65" customHeight="1">
      <x:c r="A3" s="13" t="n">
        <x:v>74</x:v>
      </x:c>
      <x:c r="B3" s="13" t="inlineStr">
        <x:is>
          <x:t xml:space="preserve">Target_TTT_Trade_Level</x:t>
        </x:is>
      </x:c>
      <x:c r="C3" s="13" t="inlineStr">
        <x:is>
          <x:t xml:space="preserve">行商达到X级（0，等级）</x:t>
        </x:is>
      </x:c>
      <x:c r="D3" s="13" t="inlineStr">
        <x:is>
          <x:t xml:space="preserve">跑商</x:t>
        </x:is>
      </x:c>
      <x:c r="E3" s="13" t="inlineStr">
        <x:is>
          <x:t xml:space="preserve">正式枚举已配置；监听需联调</x:t>
        </x:is>
      </x:c>
    </x:row>
    <x:row r="4" ht="65" customHeight="1">
      <x:c r="A4" s="13" t="n">
        <x:v>75</x:v>
      </x:c>
      <x:c r="B4" s="13" t="inlineStr">
        <x:is>
          <x:t xml:space="preserve">Target_TTT_Roguelike_ChallengeTimes</x:t>
        </x:is>
      </x:c>
      <x:c r="C4" s="13" t="inlineStr">
        <x:is>
          <x:t xml:space="preserve">挑战肉鸽X次（0，次数）</x:t>
        </x:is>
      </x:c>
      <x:c r="D4" s="13" t="inlineStr">
        <x:is>
          <x:t xml:space="preserve">肉鸽</x:t>
        </x:is>
      </x:c>
      <x:c r="E4" s="13" t="inlineStr">
        <x:is>
          <x:t xml:space="preserve">正式枚举已配置；监听需联调</x:t>
        </x:is>
      </x:c>
    </x:row>
    <x:row r="5" ht="65" customHeight="1">
      <x:c r="A5" s="13" t="n">
        <x:v>76</x:v>
      </x:c>
      <x:c r="B5" s="13" t="inlineStr">
        <x:is>
          <x:t xml:space="preserve">Target_TTT_Roguelike_MaxPassLevel</x:t>
        </x:is>
      </x:c>
      <x:c r="C5" s="13" t="inlineStr">
        <x:is>
          <x:t xml:space="preserve">历史最高通关肉鸽关卡（0，关卡序号）</x:t>
        </x:is>
      </x:c>
      <x:c r="D5" s="13" t="inlineStr">
        <x:is>
          <x:t xml:space="preserve">肉鸽</x:t>
        </x:is>
      </x:c>
      <x:c r="E5" s="13" t="inlineStr">
        <x:is>
          <x:t xml:space="preserve">正式枚举已配置；监听需联调</x:t>
        </x:is>
      </x:c>
    </x:row>
    <x:row r="6" ht="65" customHeight="1">
      <x:c r="A6" s="13" t="n">
        <x:v>77</x:v>
      </x:c>
      <x:c r="B6" s="13" t="inlineStr">
        <x:is>
          <x:t xml:space="preserve">Target_TTT_Roguelike_AccumulateScore</x:t>
        </x:is>
      </x:c>
      <x:c r="C6" s="13" t="inlineStr">
        <x:is>
          <x:t xml:space="preserve">累计获得X肉鸽积分（0，积分）</x:t>
        </x:is>
      </x:c>
      <x:c r="D6" s="13" t="inlineStr">
        <x:is>
          <x:t xml:space="preserve">肉鸽</x:t>
        </x:is>
      </x:c>
      <x:c r="E6" s="13" t="inlineStr">
        <x:is>
          <x:t xml:space="preserve">正式枚举已配置；监听需联调</x:t>
        </x:is>
      </x:c>
    </x:row>
    <x:row r="7" ht="65" customHeight="1">
      <x:c r="A7" s="13" t="n">
        <x:v>78</x:v>
      </x:c>
      <x:c r="B7" s="13" t="inlineStr">
        <x:is>
          <x:t xml:space="preserve">Target_TTT_Rv_Level</x:t>
        </x:is>
      </x:c>
      <x:c r="C7" s="13" t="inlineStr">
        <x:is>
          <x:t xml:space="preserve">房车达到X级（0，等级）</x:t>
        </x:is>
      </x:c>
      <x:c r="D7" s="13" t="inlineStr">
        <x:is>
          <x:t xml:space="preserve">房车等级</x:t>
        </x:is>
      </x:c>
      <x:c r="E7" s="13" t="inlineStr">
        <x:is>
          <x:t xml:space="preserve">正式枚举已配置；监听需联调</x:t>
        </x:is>
      </x:c>
    </x:row>
    <x:row r="8" ht="65" customHeight="1">
      <x:c r="A8" s="13" t="n">
        <x:v>79</x:v>
      </x:c>
      <x:c r="B8" s="13" t="inlineStr">
        <x:is>
          <x:t xml:space="preserve">Target_TTT_RvGuide_ProfessionNodeActivateNum</x:t>
        </x:is>
      </x:c>
      <x:c r="C8" s="13" t="inlineStr">
        <x:is>
          <x:t xml:space="preserve">激活指定职业指南X个节点（职业ID，节点数）</x:t>
        </x:is>
      </x:c>
      <x:c r="D8" s="13" t="inlineStr">
        <x:is>
          <x:t xml:space="preserve">职业指南</x:t>
        </x:is>
      </x:c>
      <x:c r="E8" s="13" t="inlineStr">
        <x:is>
          <x:t xml:space="preserve">正式枚举已配置；监听需联调</x:t>
        </x:is>
      </x:c>
    </x:row>
    <x:row r="9" ht="65" customHeight="1">
      <x:c r="A9" s="13" t="n">
        <x:v>80</x:v>
      </x:c>
      <x:c r="B9" s="13" t="inlineStr">
        <x:is>
          <x:t xml:space="preserve">Target_TTT_ExclusiveWeapon_NumAtStar</x:t>
        </x:is>
      </x:c>
      <x:c r="C9" s="13" t="inlineStr">
        <x:is>
          <x:t xml:space="preserve">X件收容物达到Y星（星级Y，数量X）</x:t>
        </x:is>
      </x:c>
      <x:c r="D9" s="13" t="inlineStr">
        <x:is>
          <x:t xml:space="preserve">收容物</x:t>
        </x:is>
      </x:c>
      <x:c r="E9" s="13" t="inlineStr">
        <x:is>
          <x:t xml:space="preserve">正式枚举已配置；监听需联调</x:t>
        </x:is>
      </x:c>
    </x:row>
    <x:row r="10" ht="65" customHeight="1">
      <x:c r="A10" s="13" t="n">
        <x:v>81</x:v>
      </x:c>
      <x:c r="B10" s="13" t="inlineStr">
        <x:is>
          <x:t xml:space="preserve">Target_TTT_SpecialEquipmentGem_EquipNum</x:t>
        </x:is>
      </x:c>
      <x:c r="C10" s="13" t="inlineStr">
        <x:is>
          <x:t xml:space="preserve">累计镶嵌X颗宝石（0，数量）</x:t>
        </x:is>
      </x:c>
      <x:c r="D10" s="13" t="inlineStr">
        <x:is>
          <x:t xml:space="preserve">宝石</x:t>
        </x:is>
      </x:c>
      <x:c r="E10" s="13" t="inlineStr">
        <x:is>
          <x:t xml:space="preserve">正式枚举已配置；监听需联调</x:t>
        </x:is>
      </x:c>
    </x:row>
    <x:row r="11" ht="65" customHeight="1">
      <x:c r="A11" s="13" t="n">
        <x:v>82</x:v>
      </x:c>
      <x:c r="B11" s="13" t="inlineStr">
        <x:is>
          <x:t xml:space="preserve">Target_TTT_SpecialEquipmentGem_NumAtLevel</x:t>
        </x:is>
      </x:c>
      <x:c r="C11" s="13" t="inlineStr">
        <x:is>
          <x:t xml:space="preserve">X颗宝石达到Y级（等级Y，数量X）</x:t>
        </x:is>
      </x:c>
      <x:c r="D11" s="13" t="inlineStr">
        <x:is>
          <x:t xml:space="preserve">宝石</x:t>
        </x:is>
      </x:c>
      <x:c r="E11" s="13" t="inlineStr">
        <x:is>
          <x:t xml:space="preserve">正式枚举已配置；监听需联调</x:t>
        </x:is>
      </x:c>
    </x:row>
    <x:row r="12" ht="65" customHeight="1">
      <x:c r="A12" s="13" t="n">
        <x:v>83</x:v>
      </x:c>
      <x:c r="B12" s="13" t="inlineStr">
        <x:is>
          <x:t xml:space="preserve">Target_TTT_StrategyCard_CraftTimes</x:t>
        </x:is>
      </x:c>
      <x:c r="C12" s="13" t="inlineStr">
        <x:is>
          <x:t xml:space="preserve">累计邮票合成X次（0，次数）</x:t>
        </x:is>
      </x:c>
      <x:c r="D12" s="13" t="inlineStr">
        <x:is>
          <x:t xml:space="preserve">邮票合成</x:t>
        </x:is>
      </x:c>
      <x:c r="E12" s="13" t="inlineStr">
        <x:is>
          <x:t xml:space="preserve">正式枚举已配置；监听需联调</x:t>
        </x:is>
      </x:c>
    </x:row>
    <x:row r="13" ht="65" customHeight="1">
      <x:c r="A13" s="13" t="n">
        <x:v>84</x:v>
      </x:c>
      <x:c r="B13" s="13" t="inlineStr">
        <x:is>
          <x:t xml:space="preserve">Target_TTT_RvCabin_LevelUp_Num</x:t>
        </x:is>
      </x:c>
      <x:c r="C13" s="13" t="inlineStr">
        <x:is>
          <x:t xml:space="preserve">X个舱室达到Y级（等级Y，数量X）</x:t>
        </x:is>
      </x:c>
      <x:c r="D13" s="13" t="inlineStr">
        <x:is>
          <x:t xml:space="preserve">舱室</x:t>
        </x:is>
      </x:c>
      <x:c r="E13" s="13" t="inlineStr">
        <x:is>
          <x:t xml:space="preserve">正式枚举已配置；监听需联调</x:t>
        </x:is>
      </x:c>
    </x:row>
    <x:row r="14" ht="25" customHeight="1">
      <x:c r="A14" s="13" t="n"/>
      <x:c r="B14" s="13" t="n"/>
      <x:c r="C14" s="13" t="n"/>
      <x:c r="D14" s="13" t="n"/>
      <x:c r="E14" s="13" t="n"/>
    </x:row>
    <x:row r="15" ht="25" customHeight="1">
      <x:c r="A15" s="13" t="n"/>
      <x:c r="B15" s="13" t="n"/>
      <x:c r="C15" s="13" t="n"/>
      <x:c r="D15" s="13" t="n"/>
      <x:c r="E15" s="13" t="n"/>
    </x:row>
    <x:row r="16" ht="25" customHeight="1">
      <x:c r="A16" s="13" t="n"/>
      <x:c r="B16" s="13" t="n"/>
      <x:c r="C16" s="13" t="n"/>
      <x:c r="D16" s="13" t="n"/>
      <x:c r="E16" s="13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.25" customWidth="1"/>
    <x:col min="2" max="2" width="3.880000114440918" customWidth="1"/>
    <x:col min="3" max="3" width="3.880000114440918" customWidth="1"/>
    <x:col min="4" max="4" width="3.880000114440918" customWidth="1"/>
  </x:cols>
  <x:sheetData>
    <x:row r="1" ht="25" customHeight="1">
      <x:c r="A1" s="12" t="inlineStr">
        <x:is>
          <x:t xml:space="preserve">校验项</x:t>
        </x:is>
      </x:c>
      <x:c r="B1" s="12" t="inlineStr">
        <x:is>
          <x:t xml:space="preserve">结果</x:t>
        </x:is>
      </x:c>
      <x:c r="C1" s="12" t="inlineStr">
        <x:is>
          <x:t xml:space="preserve">期望</x:t>
        </x:is>
      </x:c>
      <x:c r="D1" s="12" t="inlineStr">
        <x:is>
          <x:t xml:space="preserve">结论</x:t>
        </x:is>
      </x:c>
    </x:row>
    <x:row r="2" ht="25" customHeight="1">
      <x:c r="A2" s="13" t="inlineStr">
        <x:is>
          <x:t xml:space="preserve">每日任务条数</x:t>
        </x:is>
      </x:c>
      <x:c r="B2" s="13" t="n">
        <x:v>10</x:v>
      </x:c>
      <x:c r="C2" s="13" t="n">
        <x:v>10</x:v>
      </x:c>
      <x:c r="D2" s="13" t="inlineStr">
        <x:is>
          <x:t xml:space="preserve">通过</x:t>
        </x:is>
      </x:c>
    </x:row>
    <x:row r="3" ht="25" customHeight="1">
      <x:c r="A3" s="13" t="inlineStr">
        <x:is>
          <x:t xml:space="preserve">每日活跃总分</x:t>
        </x:is>
      </x:c>
      <x:c r="B3" s="13" t="n">
        <x:v>130</x:v>
      </x:c>
      <x:c r="C3" s="13" t="n">
        <x:v>130</x:v>
      </x:c>
      <x:c r="D3" s="13" t="inlineStr">
        <x:is>
          <x:t xml:space="preserve">通过</x:t>
        </x:is>
      </x:c>
    </x:row>
    <x:row r="4" ht="25" customHeight="1">
      <x:c r="A4" s="13" t="inlineStr">
        <x:is>
          <x:t xml:space="preserve">周常任务条数</x:t>
        </x:is>
      </x:c>
      <x:c r="B4" s="13" t="n">
        <x:v>33</x:v>
      </x:c>
      <x:c r="C4" s="13" t="n">
        <x:v>33</x:v>
      </x:c>
      <x:c r="D4" s="13" t="inlineStr">
        <x:is>
          <x:t xml:space="preserve">通过</x:t>
        </x:is>
      </x:c>
    </x:row>
    <x:row r="5" ht="25" customHeight="1">
      <x:c r="A5" s="13" t="inlineStr">
        <x:is>
          <x:t xml:space="preserve">周常任务总分</x:t>
        </x:is>
      </x:c>
      <x:c r="B5" s="13" t="n">
        <x:v>77</x:v>
      </x:c>
      <x:c r="C5" s="13" t="n">
        <x:v>77</x:v>
      </x:c>
      <x:c r="D5" s="13" t="inlineStr">
        <x:is>
          <x:t xml:space="preserve">通过</x:t>
        </x:is>
      </x:c>
    </x:row>
    <x:row r="6" ht="25" customHeight="1">
      <x:c r="A6" s="13" t="inlineStr">
        <x:is>
          <x:t xml:space="preserve">章节目标类型总数</x:t>
        </x:is>
      </x:c>
      <x:c r="B6" s="13" t="n">
        <x:v>55</x:v>
      </x:c>
      <x:c r="C6" s="13" t="n">
        <x:v>55</x:v>
      </x:c>
      <x:c r="D6" s="13" t="inlineStr">
        <x:is>
          <x:t xml:space="preserve">通过</x:t>
        </x:is>
      </x:c>
    </x:row>
    <x:row r="7" ht="25" customHeight="1">
      <x:c r="A7" s="13" t="inlineStr">
        <x:is>
          <x:t xml:space="preserve">章节Task行数（含主线分步）</x:t>
        </x:is>
      </x:c>
      <x:c r="B7" s="13" t="n">
        <x:v>68</x:v>
      </x:c>
      <x:c r="C7" s="13" t="n">
        <x:v>68</x:v>
      </x:c>
      <x:c r="D7" s="13" t="inlineStr">
        <x:is>
          <x:t xml:space="preserve">通过</x:t>
        </x:is>
      </x:c>
    </x:row>
    <x:row r="8" ht="25" customHeight="1">
      <x:c r="A8" s="13" t="inlineStr">
        <x:is>
          <x:t xml:space="preserve">七日任务条数</x:t>
        </x:is>
      </x:c>
      <x:c r="B8" s="13" t="n">
        <x:v>70</x:v>
      </x:c>
      <x:c r="C8" s="13" t="n">
        <x:v>70</x:v>
      </x:c>
      <x:c r="D8" s="13" t="inlineStr">
        <x:is>
          <x:t xml:space="preserve">通过</x:t>
        </x:is>
      </x:c>
    </x:row>
    <x:row r="9" ht="25" customHeight="1">
      <x:c r="A9" s="13" t="inlineStr">
        <x:is>
          <x:t xml:space="preserve">七日挑战积分</x:t>
        </x:is>
      </x:c>
      <x:c r="B9" s="13" t="n">
        <x:v>700</x:v>
      </x:c>
      <x:c r="C9" s="13" t="n">
        <x:v>700</x:v>
      </x:c>
      <x:c r="D9" s="13" t="inlineStr">
        <x:is>
          <x:t xml:space="preserve">通过</x:t>
        </x:is>
      </x:c>
    </x:row>
    <x:row r="10" ht="25" customHeight="1">
      <x:c r="A10" s="13" t="str">
        <x:v>常驻任务映射之匙/周</x:v>
      </x:c>
      <x:c r="B10" s="13" t="n">
        <x:f>'钥匙来源核对'!D2+'钥匙来源核对'!D3</x:f>
        <x:v>31</x:v>
      </x:c>
      <x:c r="C10" s="13" t="n">
        <x:v>31</x:v>
      </x:c>
      <x:c r="D10" s="13" t="inlineStr">
        <x:is>
          <x:t xml:space="preserve">通过</x:t>
        </x:is>
      </x:c>
    </x:row>
    <x:row r="11" ht="25" customHeight="1">
      <x:c r="A11" s="11" t="inlineStr">
        <x:is>
          <x:t xml:space="preserve">七日可直接配置任务数</x:t>
        </x:is>
      </x:c>
      <x:c r="B11" s="11" t="n">
        <x:v>70</x:v>
      </x:c>
      <x:c r="C11" s="11" t="n">
        <x:v>70</x:v>
      </x:c>
      <x:c r="D11" s="11" t="inlineStr">
        <x:is>
          <x:t xml:space="preserve">通过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7.25" customWidth="1"/>
    <x:col min="2" max="2" width="34.630001068115234" customWidth="1"/>
    <x:col min="3" max="3" width="42" customWidth="1"/>
  </x:cols>
  <x:sheetData>
    <x:row r="1" ht="25" customHeight="1">
      <x:c r="A1" s="12" t="inlineStr">
        <x:is>
          <x:t xml:space="preserve">级别</x:t>
        </x:is>
      </x:c>
      <x:c r="B1" s="12" t="inlineStr">
        <x:is>
          <x:t xml:space="preserve">事项</x:t>
        </x:is>
      </x:c>
      <x:c r="C1" s="12" t="inlineStr">
        <x:is>
          <x:t xml:space="preserve">处理</x:t>
        </x:is>
      </x:c>
    </x:row>
    <x:row r="2" ht="125" customHeight="1">
      <x:c r="A2" s="13" t="inlineStr">
        <x:is>
          <x:t xml:space="preserve">联调门禁</x:t>
        </x:is>
      </x:c>
      <x:c r="B2" s="13" t="inlineStr">
        <x:is>
          <x:t xml:space="preserve">正式TargetType 73~84已配置</x:t>
        </x:is>
      </x:c>
      <x:c r="C2" s="13" t="inlineStr">
        <x:is>
          <x:t xml:space="preserve">枚举已与Datas一致；事件监听、初始化回溯与周期清零仍需程序联调</x:t>
        </x:is>
      </x:c>
    </x:row>
    <x:row r="3" ht="125" customHeight="1">
      <x:c r="A3" s="13" t="inlineStr">
        <x:is>
          <x:t xml:space="preserve">已关闭</x:t>
        </x:is>
      </x:c>
      <x:c r="B3" s="13" t="inlineStr">
        <x:is>
          <x:t xml:space="preserve">5107改为任意卡池累计抽卡10次</x:t>
        </x:is>
      </x:c>
      <x:c r="C3" s="13" t="inlineStr">
        <x:is>
          <x:t xml:space="preserve">使用正式Target_TTT_DrawCard_AnyGachaTimes，参数0,10</x:t>
        </x:is>
      </x:c>
    </x:row>
    <x:row r="4" ht="125" customHeight="1">
      <x:c r="A4" s="13" t="inlineStr">
        <x:is>
          <x:t xml:space="preserve">语义联调</x:t>
        </x:is>
      </x:c>
      <x:c r="B4" s="13" t="inlineStr">
        <x:is>
          <x:t xml:space="preserve">无限之旅本周最高分</x:t>
        </x:is>
      </x:c>
      <x:c r="C4" s="13" t="inlineStr">
        <x:is>
          <x:t xml:space="preserve">暂复用Target_TTT_InfiniteChallenge_Score；确认统计周期和最高分语义后再合SVN</x:t>
        </x:is>
      </x:c>
    </x:row>
    <x:row r="5" ht="125" customHeight="1">
      <x:c r="A5" s="13" t="inlineStr">
        <x:is>
          <x:t xml:space="preserve">开放门禁</x:t>
        </x:is>
      </x:c>
      <x:c r="B5" s="13" t="inlineStr">
        <x:is>
          <x:t xml:space="preserve">未解锁任务隐藏</x:t>
        </x:is>
      </x:c>
      <x:c r="C5" s="13" t="str">
        <x:v>按2026-08-26任务MD：竞技场任务Unlock=123（2-8），映射任务Unlock=140（3-10）；其余保留。次日/次周刷新入池需联调。</x:v>
      </x:c>
    </x:row>
    <x:row r="6" ht="125" customHeight="1">
      <x:c r="A6" s="13" t="inlineStr">
        <x:is>
          <x:t xml:space="preserve">范围说明</x:t>
        </x:is>
      </x:c>
      <x:c r="B6" s="13" t="inlineStr">
        <x:is>
          <x:t xml:space="preserve">本次仅写06_最终配置</x:t>
        </x:is>
      </x:c>
      <x:c r="C6" s="13" t="inlineStr">
        <x:is>
          <x:t xml:space="preserve">未修改D:/Vgame SVN工程</x:t>
        </x:is>
      </x:c>
    </x:row>
    <x:row r="7" ht="125" customHeight="1">
      <x:c r="A7" s="11" t="str">
        <x:v>统计联调</x:v>
      </x:c>
      <x:c r="B7" s="11" t="str">
        <x:v>资源副本日周任务1107/12041~12043</x:v>
      </x:c>
      <x:c r="C7" s="11" t="str">
        <x:v>现有Target_TTT_Type_LevelClearNum参数0,N；未找到参数0仅统计资源副本的运行证据。需验证资源类型过滤、挑战/通关差别，不能算作语义已通过。</x:v>
      </x:c>
    </x:row>
    <x:row r="8" ht="125" customHeight="1">
      <x:c r="A8" s="11" t="str">
        <x:v>注册核对</x:v>
      </x:c>
      <x:c r="B8" s="11" t="str">
        <x:v>DailyTask.xlsx</x:v>
      </x:c>
      <x:c r="C8" s="11" t="str">
        <x:v>当前__tables__.xlsx无DailyTask输入，可能由TaskType枚举入池；交接时确认任务池消费入口，不擅自注册新表。</x:v>
      </x:c>
    </x:row>
    <x:row r="9" ht="125" customHeight="1">
      <x:c r="A9" s="11" t="str">
        <x:v>本次核对</x:v>
      </x:c>
      <x:c r="B9" s="11" t="str">
        <x:v>新增任务已存在06</x:v>
      </x:c>
      <x:c r="C9" s="11" t="str">
        <x:v>日常10、周常33、章节68、七日70；只补钥匙和9条日周任务开放条件，章节及七日数据保留。</x:v>
      </x:c>
    </x:row>
    <x:row r="10" ht="125" customHeight="1">
      <x:c r="A10" s="11" t="str">
        <x:v>本次来源</x:v>
      </x:c>
      <x:c r="B10" s="11" t="str">
        <x:v>映射之匙与新增任务落06-2026-08-27</x:v>
      </x:c>
      <x:c r="C10" s="11" t="str">
        <x:v>参见03_沉淀MD/经济/映射之匙与任务落06-2026-08-27.md；只更新候选，未导出SVN。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45" hidden="0" customWidth="1"/>
  </x:cols>
  <x:sheetData>
    <x:row r="1" ht="32" customHeight="1">
      <x:c r="A1" s="9" t="str">
        <x:v>来源</x:v>
      </x:c>
      <x:c r="B1" s="9" t="str">
        <x:v>单次数量</x:v>
      </x:c>
      <x:c r="C1" s="9" t="str">
        <x:v>周期内次数</x:v>
      </x:c>
      <x:c r="D1" s="9" t="str">
        <x:v>周期总量</x:v>
      </x:c>
      <x:c r="E1" s="9" t="str">
        <x:v>周期</x:v>
      </x:c>
      <x:c r="F1" s="9" t="str">
        <x:v>依据</x:v>
      </x:c>
    </x:row>
    <x:row r="2" ht="30" customHeight="1">
      <x:c r="A2" s="7" t="str">
        <x:v>每日80活跃</x:v>
      </x:c>
      <x:c r="B2" s="10" t="n">
        <x:v>3</x:v>
      </x:c>
      <x:c r="C2" s="10" t="n">
        <x:v>7</x:v>
      </x:c>
      <x:c r="D2" s="10" t="n">
        <x:f>B2*C2</x:f>
        <x:v>21</x:v>
      </x:c>
      <x:c r="E2" s="7" t="str">
        <x:v>周</x:v>
      </x:c>
      <x:c r="F2" s="7" t="str">
        <x:v>DailyActiveReward→1010204</x:v>
      </x:c>
    </x:row>
    <x:row r="3" ht="30" customHeight="1">
      <x:c r="A3" s="7" t="str">
        <x:v>每周20/40活跃</x:v>
      </x:c>
      <x:c r="B3" s="10" t="n">
        <x:v>10</x:v>
      </x:c>
      <x:c r="C3" s="10" t="n">
        <x:v>1</x:v>
      </x:c>
      <x:c r="D3" s="10" t="n">
        <x:f>B3*C3</x:f>
        <x:v>10</x:v>
      </x:c>
      <x:c r="E3" s="7" t="str">
        <x:v>周</x:v>
      </x:c>
      <x:c r="F3" s="7" t="str">
        <x:v>1020202×4＋1020204×6</x:v>
      </x:c>
    </x:row>
    <x:row r="4" ht="30" customHeight="1">
      <x:c r="A4" s="7" t="str">
        <x:v>神经漫游</x:v>
      </x:c>
      <x:c r="B4" s="10" t="n">
        <x:v>2</x:v>
      </x:c>
      <x:c r="C4" s="10" t="n">
        <x:v>5</x:v>
      </x:c>
      <x:c r="D4" s="10" t="n">
        <x:f>B4*C4</x:f>
        <x:v>10</x:v>
      </x:c>
      <x:c r="E4" s="7" t="str">
        <x:v>周</x:v>
      </x:c>
      <x:c r="F4" s="7" t="str">
        <x:v>2/4/6/8/10千分；四难度互斥</x:v>
      </x:c>
    </x:row>
    <x:row r="5" ht="30" customHeight="1">
      <x:c r="A5" s="7" t="str">
        <x:v>每月签到</x:v>
      </x:c>
      <x:c r="B5" s="10" t="n">
        <x:v>2</x:v>
      </x:c>
      <x:c r="C5" s="10" t="n">
        <x:v>4</x:v>
      </x:c>
      <x:c r="D5" s="10" t="n">
        <x:f>B5*C5</x:f>
        <x:v>8</x:v>
      </x:c>
      <x:c r="E5" s="7" t="str">
        <x:v>月</x:v>
      </x:c>
      <x:c r="F5" s="7" t="str">
        <x:v>每月5/12/19/26日</x:v>
      </x:c>
    </x:row>
    <x:row r="6" ht="30" customHeight="1">
      <x:c r="A6" s="7" t="str">
        <x:v>第二章36星</x:v>
      </x:c>
      <x:c r="B6" s="10" t="n">
        <x:v>5</x:v>
      </x:c>
      <x:c r="C6" s="10" t="n">
        <x:v>1</x:v>
      </x:c>
      <x:c r="D6" s="10" t="n">
        <x:f>B6*C6</x:f>
        <x:v>5</x:v>
      </x:c>
      <x:c r="E6" s="7" t="str">
        <x:v>一次性</x:v>
      </x:c>
      <x:c r="F6" s="7" t="str">
        <x:v>ChapterStarReward.Id12→11000012</x:v>
      </x:c>
    </x:row>
    <x:row r="7" ht="30" customHeight="1">
      <x:c r="A7" s="7" t="str">
        <x:v>七日任务</x:v>
      </x:c>
      <x:c r="B7" s="10" t="n">
        <x:v>8</x:v>
      </x:c>
      <x:c r="C7" s="10" t="n">
        <x:v>1</x:v>
      </x:c>
      <x:c r="D7" s="10" t="n">
        <x:f>B7*C7</x:f>
        <x:v>8</x:v>
      </x:c>
      <x:c r="E7" s="7" t="str">
        <x:v>一次性</x:v>
      </x:c>
      <x:c r="F7" s="7" t="str">
        <x:v>保持原70任务包，合计8把</x:v>
      </x:c>
    </x:row>
    <x:row r="8" ht="30" customHeight="1">
      <x:c r="A8" s="7" t="str">
        <x:v>每周常驻合计</x:v>
      </x:c>
      <x:c r="B8" s="10"/>
      <x:c r="C8" s="10"/>
      <x:c r="D8" s="10" t="n">
        <x:f>SUM(D2:D4)</x:f>
        <x:v>41</x:v>
      </x:c>
      <x:c r="E8" s="7" t="str">
        <x:v>周</x:v>
      </x:c>
      <x:c r="F8" s="7" t="str">
        <x:v>不合并月签、一次性或首通返还</x:v>
      </x:c>
    </x:row>
  </x:sheetData>
  <x:pageMargins left="0.7" right="0.7" top="0.75" bottom="0.75" header="0.3" footer="0.3"/>
</x:worksheet>
</file>