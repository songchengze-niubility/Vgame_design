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总览" sheetId="1" state="visible" r:id="rId1"/>
    <sheet name="合成8档" sheetId="2" state="visible" r:id="rId2"/>
    <sheet name="制作8档" sheetId="3" state="visible" r:id="rId3"/>
    <sheet name="制作材料" sheetId="4" state="visible" r:id="rId4"/>
  </sheets>
  <definedNames>
    <definedName name="_xlnm._FilterDatabase" localSheetId="1" hidden="1">'合成8档'!$A$3:$L$11</definedName>
    <definedName name="_xlnm._FilterDatabase" localSheetId="2" hidden="1">'制作8档'!$A$3:$I$11</definedName>
    <definedName name="_xlnm._FilterDatabase" localSheetId="3" hidden="1">'制作材料'!$A$3:$F$11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000000"/>
      <sz val="10"/>
    </font>
    <font>
      <name val="Microsoft YaHei"/>
      <color rgb="00000000"/>
      <sz val="10"/>
    </font>
    <font>
      <name val="Microsoft YaHei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Vgame 数值框架</author>
  </authors>
  <commentList>
    <comment ref="A1" authorId="0" shapeId="0">
      <text>
        <t>参数权威：03_沉淀MD/参数基线/养成参数基线.md
稳定来源：养成/映射装备_合成8档!A1
本工作簿由 gen_mapping_crafting_8_tiers.py 独立生成，不读取 04_数值文档。</t>
      </text>
    </comment>
  </commentList>
</comments>
</file>

<file path=xl/comments/comment2.xml><?xml version="1.0" encoding="utf-8"?>
<comments xmlns="http://schemas.openxmlformats.org/spreadsheetml/2006/main">
  <authors>
    <author>Vgame 数值框架</author>
  </authors>
  <commentList>
    <comment ref="A1" authorId="0" shapeId="0">
      <text>
        <t>参数权威：03_沉淀MD/参数基线/养成参数基线.md
稳定来源：养成/映射装备_制作8档!A1
本工作簿由 gen_mapping_crafting_8_tiers.py 独立生成，不读取 04_数值文档。</t>
      </text>
    </comment>
  </commentList>
</comments>
</file>

<file path=xl/comments/comment3.xml><?xml version="1.0" encoding="utf-8"?>
<comments xmlns="http://schemas.openxmlformats.org/spreadsheetml/2006/main">
  <authors>
    <author>Vgame 数值框架</author>
  </authors>
  <commentList>
    <comment ref="A1" authorId="0" shapeId="0">
      <text>
        <t>参数权威：03_沉淀MD/参数基线/养成参数基线.md
稳定来源：养成/映射装备_制作材料!A1
本工作簿由 gen_mapping_crafting_8_tiers.py 独立生成，不读取 04_数值文档。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28" customHeight="1">
      <c r="A1" s="1" t="inlineStr">
        <is>
          <t>口径总览</t>
        </is>
      </c>
      <c r="B1" s="1" t="n"/>
    </row>
    <row r="2"/>
    <row r="3" ht="22" customHeight="1">
      <c r="A3" s="2" t="inlineStr">
        <is>
          <t>项</t>
        </is>
      </c>
      <c r="B3" s="2" t="inlineStr">
        <is>
          <t>内容</t>
        </is>
      </c>
    </row>
    <row r="4" ht="22" customHeight="1">
      <c r="A4" s="3" t="inlineStr">
        <is>
          <t>档位</t>
        </is>
      </c>
      <c r="B4" s="3" t="inlineStr">
        <is>
          <t>8 档：10 / 20 / 30 / 40 / 45 / 50 / 55 / 60</t>
        </is>
      </c>
    </row>
    <row r="5" ht="28" customHeight="1">
      <c r="A5" s="3" t="inlineStr">
        <is>
          <t>合成</t>
        </is>
      </c>
      <c r="B5" s="3" t="inlineStr">
        <is>
          <t>9 件同品质装备 -&gt; 1 件同品质随机部位装备；产物等级按档内等级池随机</t>
        </is>
      </c>
    </row>
    <row r="6" ht="28" customHeight="1">
      <c r="A6" s="3" t="inlineStr">
        <is>
          <t>制作</t>
        </is>
      </c>
      <c r="B6" s="3" t="inlineStr">
        <is>
          <t>指定部位、档内等级可选、品质随机；制作结果等级不随机</t>
        </is>
      </c>
    </row>
    <row r="7" ht="28" customHeight="1">
      <c r="A7" s="3" t="inlineStr">
        <is>
          <t>材料</t>
        </is>
      </c>
      <c r="B7" s="3" t="inlineStr">
        <is>
          <t>8 档 * 3 部位大类 = 24 种制作材料</t>
        </is>
      </c>
    </row>
    <row r="8" ht="28" customHeight="1">
      <c r="A8" s="3" t="inlineStr">
        <is>
          <t>正式配置</t>
        </is>
      </c>
      <c r="B8" s="3" t="inlineStr">
        <is>
          <t>未修改真实配置；后续需要确认表结构承接等级池和可制作等级</t>
        </is>
      </c>
    </row>
    <row r="9" ht="28" customHeight="1">
      <c r="A9" s="3" t="inlineStr">
        <is>
          <t>参数权威</t>
        </is>
      </c>
      <c r="B9" s="3" t="inlineStr">
        <is>
          <t>03_沉淀MD/参数基线/养成参数基线.md</t>
        </is>
      </c>
    </row>
    <row r="10" ht="28" customHeight="1">
      <c r="A10" s="3" t="inlineStr">
        <is>
          <t>参数页</t>
        </is>
      </c>
      <c r="B10" s="3" t="inlineStr">
        <is>
          <t>养成/映射装备_合成8档；养成/映射装备_制作8档；养成/映射装备_制作材料</t>
        </is>
      </c>
    </row>
    <row r="11" ht="28" customHeight="1">
      <c r="A11" s="3" t="inlineStr">
        <is>
          <t>生成器</t>
        </is>
      </c>
      <c r="B11" s="3" t="inlineStr">
        <is>
          <t>养成/scripts/gen_mapping_crafting_8_tiers.py</t>
        </is>
      </c>
    </row>
    <row r="12" ht="28" customHeight="1">
      <c r="A12" s="3" t="inlineStr">
        <is>
          <t>运行边界</t>
        </is>
      </c>
      <c r="B12" s="3" t="inlineStr">
        <is>
          <t>仅读取上述 MD 参数页；不读取或复制 04_数值文档，也不依赖旧参数 Excel</t>
        </is>
      </c>
    </row>
    <row r="13" ht="28" customHeight="1">
      <c r="A13" s="3" t="inlineStr">
        <is>
          <t>维护规则</t>
        </is>
      </c>
      <c r="B13" s="3" t="inlineStr">
        <is>
          <t>先同步 MD 参数/公式，再运行本生成器；经对照评审后才升级正式终稿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8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0" customWidth="1" min="12" max="12"/>
  </cols>
  <sheetData>
    <row r="1" ht="28" customHeight="1">
      <c r="A1" s="1" t="inlineStr">
        <is>
          <t>映射装备_合成8档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 ht="24" customHeight="1">
      <c r="A3" s="2" t="inlineStr">
        <is>
          <t>合成档</t>
        </is>
      </c>
      <c r="B3" s="2" t="inlineStr">
        <is>
          <t>角色等级要求</t>
        </is>
      </c>
      <c r="C3" s="2" t="inlineStr">
        <is>
          <t>产物等级池</t>
        </is>
      </c>
      <c r="D3" s="2" t="inlineStr">
        <is>
          <t>等级权重</t>
        </is>
      </c>
      <c r="E3" s="2" t="inlineStr">
        <is>
          <t>投入装备等级下限</t>
        </is>
      </c>
      <c r="F3" s="2" t="inlineStr">
        <is>
          <t>基础金币</t>
        </is>
      </c>
      <c r="G3" s="2" t="inlineStr">
        <is>
          <t>绿</t>
        </is>
      </c>
      <c r="H3" s="2" t="inlineStr">
        <is>
          <t>蓝</t>
        </is>
      </c>
      <c r="I3" s="2" t="inlineStr">
        <is>
          <t>紫</t>
        </is>
      </c>
      <c r="J3" s="2" t="inlineStr">
        <is>
          <t>金</t>
        </is>
      </c>
      <c r="K3" s="2" t="inlineStr">
        <is>
          <t>红</t>
        </is>
      </c>
      <c r="L3" s="2" t="inlineStr">
        <is>
          <t>说明</t>
        </is>
      </c>
    </row>
    <row r="4" ht="24" customHeight="1">
      <c r="A4" s="4" t="n">
        <v>1</v>
      </c>
      <c r="B4" s="4" t="n">
        <v>10</v>
      </c>
      <c r="C4" s="4" t="inlineStr">
        <is>
          <t>10</t>
        </is>
      </c>
      <c r="D4" s="4" t="inlineStr">
        <is>
          <t>100%</t>
        </is>
      </c>
      <c r="E4" s="4" t="n">
        <v>10</v>
      </c>
      <c r="F4" s="5" t="n">
        <v>200</v>
      </c>
      <c r="G4" s="6">
        <f>F4*0.5</f>
        <v/>
      </c>
      <c r="H4" s="6">
        <f>F4*0.7</f>
        <v/>
      </c>
      <c r="I4" s="6">
        <f>F4*1</f>
        <v/>
      </c>
      <c r="J4" s="6">
        <f>F4*1.4</f>
        <v/>
      </c>
      <c r="K4" s="6">
        <f>F4*2</f>
        <v/>
      </c>
      <c r="L4" s="4" t="inlineStr">
        <is>
          <t>金币按计费档等级定价</t>
        </is>
      </c>
    </row>
    <row r="5" ht="24" customHeight="1">
      <c r="A5" s="4" t="n">
        <v>2</v>
      </c>
      <c r="B5" s="4" t="n">
        <v>20</v>
      </c>
      <c r="C5" s="4" t="inlineStr">
        <is>
          <t>15 / 20</t>
        </is>
      </c>
      <c r="D5" s="4" t="inlineStr">
        <is>
          <t>70% / 30%</t>
        </is>
      </c>
      <c r="E5" s="4" t="n">
        <v>10</v>
      </c>
      <c r="F5" s="5" t="n">
        <v>700</v>
      </c>
      <c r="G5" s="6">
        <f>F5*0.5</f>
        <v/>
      </c>
      <c r="H5" s="6">
        <f>F5*0.7</f>
        <v/>
      </c>
      <c r="I5" s="6">
        <f>F5*1</f>
        <v/>
      </c>
      <c r="J5" s="6">
        <f>F5*1.4</f>
        <v/>
      </c>
      <c r="K5" s="6">
        <f>F5*2</f>
        <v/>
      </c>
      <c r="L5" s="4" t="inlineStr">
        <is>
          <t>金币按计费档等级定价</t>
        </is>
      </c>
    </row>
    <row r="6" ht="24" customHeight="1">
      <c r="A6" s="4" t="n">
        <v>3</v>
      </c>
      <c r="B6" s="4" t="n">
        <v>30</v>
      </c>
      <c r="C6" s="4" t="inlineStr">
        <is>
          <t>25 / 30</t>
        </is>
      </c>
      <c r="D6" s="4" t="inlineStr">
        <is>
          <t>70% / 30%</t>
        </is>
      </c>
      <c r="E6" s="4" t="n">
        <v>20</v>
      </c>
      <c r="F6" s="5" t="n">
        <v>2000</v>
      </c>
      <c r="G6" s="6">
        <f>F6*0.5</f>
        <v/>
      </c>
      <c r="H6" s="6">
        <f>F6*0.7</f>
        <v/>
      </c>
      <c r="I6" s="6">
        <f>F6*1</f>
        <v/>
      </c>
      <c r="J6" s="6">
        <f>F6*1.4</f>
        <v/>
      </c>
      <c r="K6" s="6">
        <f>F6*2</f>
        <v/>
      </c>
      <c r="L6" s="4" t="inlineStr">
        <is>
          <t>金币按计费档等级定价</t>
        </is>
      </c>
    </row>
    <row r="7" ht="24" customHeight="1">
      <c r="A7" s="4" t="n">
        <v>4</v>
      </c>
      <c r="B7" s="4" t="n">
        <v>40</v>
      </c>
      <c r="C7" s="4" t="inlineStr">
        <is>
          <t>35 / 40</t>
        </is>
      </c>
      <c r="D7" s="4" t="inlineStr">
        <is>
          <t>70% / 30%</t>
        </is>
      </c>
      <c r="E7" s="4" t="n">
        <v>30</v>
      </c>
      <c r="F7" s="5" t="n">
        <v>5000</v>
      </c>
      <c r="G7" s="6">
        <f>F7*0.5</f>
        <v/>
      </c>
      <c r="H7" s="6">
        <f>F7*0.7</f>
        <v/>
      </c>
      <c r="I7" s="6">
        <f>F7*1</f>
        <v/>
      </c>
      <c r="J7" s="6">
        <f>F7*1.4</f>
        <v/>
      </c>
      <c r="K7" s="6">
        <f>F7*2</f>
        <v/>
      </c>
      <c r="L7" s="4" t="inlineStr">
        <is>
          <t>金币按计费档等级定价</t>
        </is>
      </c>
    </row>
    <row r="8" ht="24" customHeight="1">
      <c r="A8" s="4" t="n">
        <v>5</v>
      </c>
      <c r="B8" s="4" t="n">
        <v>45</v>
      </c>
      <c r="C8" s="4" t="inlineStr">
        <is>
          <t>40 / 45</t>
        </is>
      </c>
      <c r="D8" s="4" t="inlineStr">
        <is>
          <t>65% / 35%</t>
        </is>
      </c>
      <c r="E8" s="4" t="n">
        <v>40</v>
      </c>
      <c r="F8" s="5" t="n">
        <v>7600</v>
      </c>
      <c r="G8" s="6">
        <f>F8*0.5</f>
        <v/>
      </c>
      <c r="H8" s="6">
        <f>F8*0.7</f>
        <v/>
      </c>
      <c r="I8" s="6">
        <f>F8*1</f>
        <v/>
      </c>
      <c r="J8" s="6">
        <f>F8*1.4</f>
        <v/>
      </c>
      <c r="K8" s="6">
        <f>F8*2</f>
        <v/>
      </c>
      <c r="L8" s="4" t="inlineStr">
        <is>
          <t>金币按计费档等级定价</t>
        </is>
      </c>
    </row>
    <row r="9" ht="24" customHeight="1">
      <c r="A9" s="4" t="n">
        <v>6</v>
      </c>
      <c r="B9" s="4" t="n">
        <v>50</v>
      </c>
      <c r="C9" s="4" t="inlineStr">
        <is>
          <t>45 / 50</t>
        </is>
      </c>
      <c r="D9" s="4" t="inlineStr">
        <is>
          <t>65% / 35%</t>
        </is>
      </c>
      <c r="E9" s="4" t="n">
        <v>45</v>
      </c>
      <c r="F9" s="5" t="n">
        <v>11000</v>
      </c>
      <c r="G9" s="6">
        <f>F9*0.5</f>
        <v/>
      </c>
      <c r="H9" s="6">
        <f>F9*0.7</f>
        <v/>
      </c>
      <c r="I9" s="6">
        <f>F9*1</f>
        <v/>
      </c>
      <c r="J9" s="6">
        <f>F9*1.4</f>
        <v/>
      </c>
      <c r="K9" s="6">
        <f>F9*2</f>
        <v/>
      </c>
      <c r="L9" s="4" t="inlineStr">
        <is>
          <t>金币按计费档等级定价</t>
        </is>
      </c>
    </row>
    <row r="10" ht="24" customHeight="1">
      <c r="A10" s="4" t="n">
        <v>7</v>
      </c>
      <c r="B10" s="4" t="n">
        <v>55</v>
      </c>
      <c r="C10" s="4" t="inlineStr">
        <is>
          <t>50 / 55</t>
        </is>
      </c>
      <c r="D10" s="4" t="inlineStr">
        <is>
          <t>65% / 35%</t>
        </is>
      </c>
      <c r="E10" s="4" t="n">
        <v>50</v>
      </c>
      <c r="F10" s="5" t="n">
        <v>15000</v>
      </c>
      <c r="G10" s="6">
        <f>F10*0.5</f>
        <v/>
      </c>
      <c r="H10" s="6">
        <f>F10*0.7</f>
        <v/>
      </c>
      <c r="I10" s="6">
        <f>F10*1</f>
        <v/>
      </c>
      <c r="J10" s="6">
        <f>F10*1.4</f>
        <v/>
      </c>
      <c r="K10" s="6">
        <f>F10*2</f>
        <v/>
      </c>
      <c r="L10" s="4" t="inlineStr">
        <is>
          <t>金币按计费档等级定价</t>
        </is>
      </c>
    </row>
    <row r="11" ht="24" customHeight="1">
      <c r="A11" s="4" t="n">
        <v>8</v>
      </c>
      <c r="B11" s="4" t="n">
        <v>60</v>
      </c>
      <c r="C11" s="4" t="inlineStr">
        <is>
          <t>55 / 60</t>
        </is>
      </c>
      <c r="D11" s="4" t="inlineStr">
        <is>
          <t>65% / 35%</t>
        </is>
      </c>
      <c r="E11" s="4" t="n">
        <v>55</v>
      </c>
      <c r="F11" s="5" t="n">
        <v>20000</v>
      </c>
      <c r="G11" s="6">
        <f>F11*0.5</f>
        <v/>
      </c>
      <c r="H11" s="6">
        <f>F11*0.7</f>
        <v/>
      </c>
      <c r="I11" s="6">
        <f>F11*1</f>
        <v/>
      </c>
      <c r="J11" s="6">
        <f>F11*1.4</f>
        <v/>
      </c>
      <c r="K11" s="6">
        <f>F11*2</f>
        <v/>
      </c>
      <c r="L11" s="4" t="inlineStr">
        <is>
          <t>金币按计费档等级定价</t>
        </is>
      </c>
    </row>
    <row r="12" ht="24" customHeight="1"/>
    <row r="13" ht="46" customHeight="1">
      <c r="A13" s="7" t="inlineStr">
        <is>
          <t>口径</t>
        </is>
      </c>
      <c r="B13" s="7" t="inlineStr">
        <is>
          <t>8 档开放；合成产物等级按等级池随机，首档固定，前中期高位 30%，后期高位 35%。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</sheetData>
  <autoFilter ref="A3:L1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8" customWidth="1" min="5" max="5"/>
    <col width="18" customWidth="1" min="6" max="6"/>
    <col width="18" customWidth="1" min="7" max="7"/>
    <col width="12" customWidth="1" min="8" max="8"/>
    <col width="22" customWidth="1" min="9" max="9"/>
  </cols>
  <sheetData>
    <row r="1" ht="28" customHeight="1">
      <c r="A1" s="1" t="inlineStr">
        <is>
          <t>映射装备_制作8档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 ht="24" customHeight="1">
      <c r="A3" s="2" t="inlineStr">
        <is>
          <t>制作档</t>
        </is>
      </c>
      <c r="B3" s="2" t="inlineStr">
        <is>
          <t>角色等级要求</t>
        </is>
      </c>
      <c r="C3" s="2" t="inlineStr">
        <is>
          <t>可制作等级</t>
        </is>
      </c>
      <c r="D3" s="2" t="inlineStr">
        <is>
          <t>金币消耗</t>
        </is>
      </c>
      <c r="E3" s="2" t="inlineStr">
        <is>
          <t>武器材料</t>
        </is>
      </c>
      <c r="F3" s="2" t="inlineStr">
        <is>
          <t>防具材料</t>
        </is>
      </c>
      <c r="G3" s="2" t="inlineStr">
        <is>
          <t>首饰材料</t>
        </is>
      </c>
      <c r="H3" s="2" t="inlineStr">
        <is>
          <t>单次消耗</t>
        </is>
      </c>
      <c r="I3" s="2" t="inlineStr">
        <is>
          <t>制作等级口径</t>
        </is>
      </c>
    </row>
    <row r="4" ht="24" customHeight="1">
      <c r="A4" s="4" t="n">
        <v>1</v>
      </c>
      <c r="B4" s="4" t="n">
        <v>10</v>
      </c>
      <c r="C4" s="4" t="inlineStr">
        <is>
          <t>10</t>
        </is>
      </c>
      <c r="D4" s="4" t="n">
        <v>500</v>
      </c>
      <c r="E4" s="4" t="inlineStr">
        <is>
          <t>I阶武器胚料</t>
        </is>
      </c>
      <c r="F4" s="4" t="inlineStr">
        <is>
          <t>I阶防具胚料</t>
        </is>
      </c>
      <c r="G4" s="4" t="inlineStr">
        <is>
          <t>I阶首饰胚料</t>
        </is>
      </c>
      <c r="H4" s="4" t="n">
        <v>1</v>
      </c>
      <c r="I4" s="4" t="inlineStr">
        <is>
          <t>玩家选择，结果不随机</t>
        </is>
      </c>
    </row>
    <row r="5" ht="24" customHeight="1">
      <c r="A5" s="4" t="n">
        <v>2</v>
      </c>
      <c r="B5" s="4" t="n">
        <v>20</v>
      </c>
      <c r="C5" s="4" t="inlineStr">
        <is>
          <t>15 / 20</t>
        </is>
      </c>
      <c r="D5" s="4" t="n">
        <v>1200</v>
      </c>
      <c r="E5" s="4" t="inlineStr">
        <is>
          <t>II阶武器胚料</t>
        </is>
      </c>
      <c r="F5" s="4" t="inlineStr">
        <is>
          <t>II阶防具胚料</t>
        </is>
      </c>
      <c r="G5" s="4" t="inlineStr">
        <is>
          <t>II阶首饰胚料</t>
        </is>
      </c>
      <c r="H5" s="4" t="n">
        <v>1</v>
      </c>
      <c r="I5" s="4" t="inlineStr">
        <is>
          <t>玩家选择，结果不随机</t>
        </is>
      </c>
    </row>
    <row r="6" ht="24" customHeight="1">
      <c r="A6" s="4" t="n">
        <v>3</v>
      </c>
      <c r="B6" s="4" t="n">
        <v>30</v>
      </c>
      <c r="C6" s="4" t="inlineStr">
        <is>
          <t>25 / 30</t>
        </is>
      </c>
      <c r="D6" s="4" t="n">
        <v>2800</v>
      </c>
      <c r="E6" s="4" t="inlineStr">
        <is>
          <t>III阶武器胚料</t>
        </is>
      </c>
      <c r="F6" s="4" t="inlineStr">
        <is>
          <t>III阶防具胚料</t>
        </is>
      </c>
      <c r="G6" s="4" t="inlineStr">
        <is>
          <t>III阶首饰胚料</t>
        </is>
      </c>
      <c r="H6" s="4" t="n">
        <v>1</v>
      </c>
      <c r="I6" s="4" t="inlineStr">
        <is>
          <t>玩家选择，结果不随机</t>
        </is>
      </c>
    </row>
    <row r="7" ht="24" customHeight="1">
      <c r="A7" s="4" t="n">
        <v>4</v>
      </c>
      <c r="B7" s="4" t="n">
        <v>40</v>
      </c>
      <c r="C7" s="4" t="inlineStr">
        <is>
          <t>35 / 40</t>
        </is>
      </c>
      <c r="D7" s="4" t="n">
        <v>6200</v>
      </c>
      <c r="E7" s="4" t="inlineStr">
        <is>
          <t>IV阶武器胚料</t>
        </is>
      </c>
      <c r="F7" s="4" t="inlineStr">
        <is>
          <t>IV阶防具胚料</t>
        </is>
      </c>
      <c r="G7" s="4" t="inlineStr">
        <is>
          <t>IV阶首饰胚料</t>
        </is>
      </c>
      <c r="H7" s="4" t="n">
        <v>1</v>
      </c>
      <c r="I7" s="4" t="inlineStr">
        <is>
          <t>玩家选择，结果不随机</t>
        </is>
      </c>
    </row>
    <row r="8" ht="24" customHeight="1">
      <c r="A8" s="4" t="n">
        <v>5</v>
      </c>
      <c r="B8" s="4" t="n">
        <v>45</v>
      </c>
      <c r="C8" s="4" t="inlineStr">
        <is>
          <t>40 / 45</t>
        </is>
      </c>
      <c r="D8" s="4" t="n">
        <v>9000</v>
      </c>
      <c r="E8" s="4" t="inlineStr">
        <is>
          <t>V阶武器胚料</t>
        </is>
      </c>
      <c r="F8" s="4" t="inlineStr">
        <is>
          <t>V阶防具胚料</t>
        </is>
      </c>
      <c r="G8" s="4" t="inlineStr">
        <is>
          <t>V阶首饰胚料</t>
        </is>
      </c>
      <c r="H8" s="4" t="n">
        <v>1</v>
      </c>
      <c r="I8" s="4" t="inlineStr">
        <is>
          <t>玩家选择，结果不随机</t>
        </is>
      </c>
    </row>
    <row r="9" ht="24" customHeight="1">
      <c r="A9" s="4" t="n">
        <v>6</v>
      </c>
      <c r="B9" s="4" t="n">
        <v>50</v>
      </c>
      <c r="C9" s="4" t="inlineStr">
        <is>
          <t>45 / 50</t>
        </is>
      </c>
      <c r="D9" s="4" t="n">
        <v>13000</v>
      </c>
      <c r="E9" s="4" t="inlineStr">
        <is>
          <t>VI阶武器胚料</t>
        </is>
      </c>
      <c r="F9" s="4" t="inlineStr">
        <is>
          <t>VI阶防具胚料</t>
        </is>
      </c>
      <c r="G9" s="4" t="inlineStr">
        <is>
          <t>VI阶首饰胚料</t>
        </is>
      </c>
      <c r="H9" s="4" t="n">
        <v>1</v>
      </c>
      <c r="I9" s="4" t="inlineStr">
        <is>
          <t>玩家选择，结果不随机</t>
        </is>
      </c>
    </row>
    <row r="10" ht="24" customHeight="1">
      <c r="A10" s="4" t="n">
        <v>7</v>
      </c>
      <c r="B10" s="4" t="n">
        <v>55</v>
      </c>
      <c r="C10" s="4" t="inlineStr">
        <is>
          <t>50 / 55</t>
        </is>
      </c>
      <c r="D10" s="4" t="n">
        <v>18000</v>
      </c>
      <c r="E10" s="4" t="inlineStr">
        <is>
          <t>VII阶武器胚料</t>
        </is>
      </c>
      <c r="F10" s="4" t="inlineStr">
        <is>
          <t>VII阶防具胚料</t>
        </is>
      </c>
      <c r="G10" s="4" t="inlineStr">
        <is>
          <t>VII阶首饰胚料</t>
        </is>
      </c>
      <c r="H10" s="4" t="n">
        <v>1</v>
      </c>
      <c r="I10" s="4" t="inlineStr">
        <is>
          <t>玩家选择，结果不随机</t>
        </is>
      </c>
    </row>
    <row r="11" ht="24" customHeight="1">
      <c r="A11" s="4" t="n">
        <v>8</v>
      </c>
      <c r="B11" s="4" t="n">
        <v>60</v>
      </c>
      <c r="C11" s="4" t="inlineStr">
        <is>
          <t>55 / 60</t>
        </is>
      </c>
      <c r="D11" s="4" t="n">
        <v>24000</v>
      </c>
      <c r="E11" s="4" t="inlineStr">
        <is>
          <t>VIII阶武器胚料</t>
        </is>
      </c>
      <c r="F11" s="4" t="inlineStr">
        <is>
          <t>VIII阶防具胚料</t>
        </is>
      </c>
      <c r="G11" s="4" t="inlineStr">
        <is>
          <t>VIII阶首饰胚料</t>
        </is>
      </c>
      <c r="H11" s="4" t="n">
        <v>1</v>
      </c>
      <c r="I11" s="4" t="inlineStr">
        <is>
          <t>玩家选择，结果不随机</t>
        </is>
      </c>
    </row>
    <row r="12" ht="24" customHeight="1"/>
    <row r="13" ht="24" customHeight="1">
      <c r="A13" s="8" t="inlineStr">
        <is>
          <t>制作品质权重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4" customHeight="1">
      <c r="A14" s="2" t="inlineStr">
        <is>
          <t>绿</t>
        </is>
      </c>
      <c r="B14" s="2" t="inlineStr">
        <is>
          <t>蓝</t>
        </is>
      </c>
      <c r="C14" s="2" t="inlineStr">
        <is>
          <t>紫</t>
        </is>
      </c>
      <c r="D14" s="2" t="inlineStr">
        <is>
          <t>金</t>
        </is>
      </c>
      <c r="E14" s="2" t="inlineStr">
        <is>
          <t>红</t>
        </is>
      </c>
    </row>
    <row r="15" ht="24" customHeight="1">
      <c r="A15" s="9" t="n">
        <v>0.1</v>
      </c>
      <c r="B15" s="9" t="n">
        <v>0.15</v>
      </c>
      <c r="C15" s="9" t="n">
        <v>0.5</v>
      </c>
      <c r="D15" s="9" t="n">
        <v>0.2</v>
      </c>
      <c r="E15" s="9" t="n">
        <v>0.05</v>
      </c>
    </row>
  </sheetData>
  <autoFilter ref="A3:I1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22" customWidth="1" min="4" max="4"/>
    <col width="18" customWidth="1" min="5" max="5"/>
    <col width="20" customWidth="1" min="6" max="6"/>
  </cols>
  <sheetData>
    <row r="1" ht="28" customHeight="1">
      <c r="A1" s="1" t="inlineStr">
        <is>
          <t>制作材料</t>
        </is>
      </c>
      <c r="B1" s="1" t="n"/>
      <c r="C1" s="1" t="n"/>
      <c r="D1" s="1" t="n"/>
      <c r="E1" s="1" t="n"/>
      <c r="F1" s="1" t="n"/>
    </row>
    <row r="3" ht="24" customHeight="1">
      <c r="A3" s="2" t="inlineStr">
        <is>
          <t>材料档</t>
        </is>
      </c>
      <c r="B3" s="2" t="inlineStr">
        <is>
          <t>武器材料</t>
        </is>
      </c>
      <c r="C3" s="2" t="inlineStr">
        <is>
          <t>防具材料</t>
        </is>
      </c>
      <c r="D3" s="2" t="inlineStr">
        <is>
          <t>首饰材料</t>
        </is>
      </c>
      <c r="E3" s="2" t="inlineStr">
        <is>
          <t>对应制作等级</t>
        </is>
      </c>
      <c r="F3" s="2" t="inlineStr">
        <is>
          <t>说明</t>
        </is>
      </c>
    </row>
    <row r="4" ht="24" customHeight="1">
      <c r="A4" s="4" t="inlineStr">
        <is>
          <t>I</t>
        </is>
      </c>
      <c r="B4" s="4" t="inlineStr">
        <is>
          <t>I阶武器胚料</t>
        </is>
      </c>
      <c r="C4" s="4" t="inlineStr">
        <is>
          <t>I阶防具胚料</t>
        </is>
      </c>
      <c r="D4" s="4" t="inlineStr">
        <is>
          <t>I阶首饰胚料</t>
        </is>
      </c>
      <c r="E4" s="4" t="inlineStr">
        <is>
          <t>10</t>
        </is>
      </c>
      <c r="F4" s="4" t="inlineStr">
        <is>
          <t>制作消耗 x1</t>
        </is>
      </c>
    </row>
    <row r="5" ht="24" customHeight="1">
      <c r="A5" s="4" t="inlineStr">
        <is>
          <t>II</t>
        </is>
      </c>
      <c r="B5" s="4" t="inlineStr">
        <is>
          <t>II阶武器胚料</t>
        </is>
      </c>
      <c r="C5" s="4" t="inlineStr">
        <is>
          <t>II阶防具胚料</t>
        </is>
      </c>
      <c r="D5" s="4" t="inlineStr">
        <is>
          <t>II阶首饰胚料</t>
        </is>
      </c>
      <c r="E5" s="4" t="inlineStr">
        <is>
          <t>15 / 20</t>
        </is>
      </c>
      <c r="F5" s="4" t="inlineStr">
        <is>
          <t>制作消耗 x1</t>
        </is>
      </c>
    </row>
    <row r="6" ht="24" customHeight="1">
      <c r="A6" s="4" t="inlineStr">
        <is>
          <t>III</t>
        </is>
      </c>
      <c r="B6" s="4" t="inlineStr">
        <is>
          <t>III阶武器胚料</t>
        </is>
      </c>
      <c r="C6" s="4" t="inlineStr">
        <is>
          <t>III阶防具胚料</t>
        </is>
      </c>
      <c r="D6" s="4" t="inlineStr">
        <is>
          <t>III阶首饰胚料</t>
        </is>
      </c>
      <c r="E6" s="4" t="inlineStr">
        <is>
          <t>25 / 30</t>
        </is>
      </c>
      <c r="F6" s="4" t="inlineStr">
        <is>
          <t>制作消耗 x1</t>
        </is>
      </c>
    </row>
    <row r="7" ht="24" customHeight="1">
      <c r="A7" s="4" t="inlineStr">
        <is>
          <t>IV</t>
        </is>
      </c>
      <c r="B7" s="4" t="inlineStr">
        <is>
          <t>IV阶武器胚料</t>
        </is>
      </c>
      <c r="C7" s="4" t="inlineStr">
        <is>
          <t>IV阶防具胚料</t>
        </is>
      </c>
      <c r="D7" s="4" t="inlineStr">
        <is>
          <t>IV阶首饰胚料</t>
        </is>
      </c>
      <c r="E7" s="4" t="inlineStr">
        <is>
          <t>35 / 40</t>
        </is>
      </c>
      <c r="F7" s="4" t="inlineStr">
        <is>
          <t>制作消耗 x1</t>
        </is>
      </c>
    </row>
    <row r="8" ht="24" customHeight="1">
      <c r="A8" s="4" t="inlineStr">
        <is>
          <t>V</t>
        </is>
      </c>
      <c r="B8" s="4" t="inlineStr">
        <is>
          <t>V阶武器胚料</t>
        </is>
      </c>
      <c r="C8" s="4" t="inlineStr">
        <is>
          <t>V阶防具胚料</t>
        </is>
      </c>
      <c r="D8" s="4" t="inlineStr">
        <is>
          <t>V阶首饰胚料</t>
        </is>
      </c>
      <c r="E8" s="4" t="inlineStr">
        <is>
          <t>40 / 45</t>
        </is>
      </c>
      <c r="F8" s="4" t="inlineStr">
        <is>
          <t>制作消耗 x1</t>
        </is>
      </c>
    </row>
    <row r="9" ht="24" customHeight="1">
      <c r="A9" s="4" t="inlineStr">
        <is>
          <t>VI</t>
        </is>
      </c>
      <c r="B9" s="4" t="inlineStr">
        <is>
          <t>VI阶武器胚料</t>
        </is>
      </c>
      <c r="C9" s="4" t="inlineStr">
        <is>
          <t>VI阶防具胚料</t>
        </is>
      </c>
      <c r="D9" s="4" t="inlineStr">
        <is>
          <t>VI阶首饰胚料</t>
        </is>
      </c>
      <c r="E9" s="4" t="inlineStr">
        <is>
          <t>45 / 50</t>
        </is>
      </c>
      <c r="F9" s="4" t="inlineStr">
        <is>
          <t>制作消耗 x1</t>
        </is>
      </c>
    </row>
    <row r="10" ht="24" customHeight="1">
      <c r="A10" s="4" t="inlineStr">
        <is>
          <t>VII</t>
        </is>
      </c>
      <c r="B10" s="4" t="inlineStr">
        <is>
          <t>VII阶武器胚料</t>
        </is>
      </c>
      <c r="C10" s="4" t="inlineStr">
        <is>
          <t>VII阶防具胚料</t>
        </is>
      </c>
      <c r="D10" s="4" t="inlineStr">
        <is>
          <t>VII阶首饰胚料</t>
        </is>
      </c>
      <c r="E10" s="4" t="inlineStr">
        <is>
          <t>50 / 55</t>
        </is>
      </c>
      <c r="F10" s="4" t="inlineStr">
        <is>
          <t>制作消耗 x1</t>
        </is>
      </c>
    </row>
    <row r="11" ht="24" customHeight="1">
      <c r="A11" s="4" t="inlineStr">
        <is>
          <t>VIII</t>
        </is>
      </c>
      <c r="B11" s="4" t="inlineStr">
        <is>
          <t>VIII阶武器胚料</t>
        </is>
      </c>
      <c r="C11" s="4" t="inlineStr">
        <is>
          <t>VIII阶防具胚料</t>
        </is>
      </c>
      <c r="D11" s="4" t="inlineStr">
        <is>
          <t>VIII阶首饰胚料</t>
        </is>
      </c>
      <c r="E11" s="4" t="inlineStr">
        <is>
          <t>55 / 60</t>
        </is>
      </c>
      <c r="F11" s="4" t="inlineStr">
        <is>
          <t>制作消耗 x1</t>
        </is>
      </c>
    </row>
    <row r="12" ht="24" customHeight="1"/>
    <row r="13" ht="24" customHeight="1">
      <c r="A13" s="8" t="inlineStr">
        <is>
          <t>副本层</t>
        </is>
      </c>
      <c r="B13" s="8" t="inlineStr">
        <is>
          <t>材料档位权重</t>
        </is>
      </c>
      <c r="C13" s="8" t="n"/>
      <c r="D13" s="8" t="n"/>
      <c r="E13" s="8" t="n"/>
      <c r="F13" s="8" t="n"/>
    </row>
    <row r="14" ht="24" customHeight="1">
      <c r="A14" s="4" t="inlineStr">
        <is>
          <t>1-4</t>
        </is>
      </c>
      <c r="B14" s="4" t="inlineStr">
        <is>
          <t>I阶 80% / II阶 20%</t>
        </is>
      </c>
    </row>
    <row r="15" ht="24" customHeight="1">
      <c r="A15" s="4" t="inlineStr">
        <is>
          <t>5-7</t>
        </is>
      </c>
      <c r="B15" s="4" t="inlineStr">
        <is>
          <t>I阶 20% / II阶 65% / III阶 15%</t>
        </is>
      </c>
    </row>
    <row r="16" ht="24" customHeight="1">
      <c r="A16" s="4" t="inlineStr">
        <is>
          <t>8-10</t>
        </is>
      </c>
      <c r="B16" s="4" t="inlineStr">
        <is>
          <t>II阶 20% / III阶 65% / IV阶 15%</t>
        </is>
      </c>
    </row>
    <row r="17" ht="24" customHeight="1">
      <c r="A17" s="4" t="inlineStr">
        <is>
          <t>11-13</t>
        </is>
      </c>
      <c r="B17" s="4" t="inlineStr">
        <is>
          <t>III阶 20% / IV阶 65% / V阶 15%</t>
        </is>
      </c>
    </row>
    <row r="18" ht="24" customHeight="1">
      <c r="A18" s="4" t="inlineStr">
        <is>
          <t>14-16</t>
        </is>
      </c>
      <c r="B18" s="4" t="inlineStr">
        <is>
          <t>IV阶 20% / V阶 65% / VI阶 15%</t>
        </is>
      </c>
    </row>
    <row r="19" ht="24" customHeight="1">
      <c r="A19" s="4" t="inlineStr">
        <is>
          <t>17-19</t>
        </is>
      </c>
      <c r="B19" s="4" t="inlineStr">
        <is>
          <t>V阶 20% / VI阶 65% / VII阶 15%</t>
        </is>
      </c>
    </row>
    <row r="20" ht="24" customHeight="1">
      <c r="A20" s="4" t="inlineStr">
        <is>
          <t>20-24</t>
        </is>
      </c>
      <c r="B20" s="4" t="inlineStr">
        <is>
          <t>VI阶 20% / VII阶 65% / VIII阶 15%</t>
        </is>
      </c>
    </row>
    <row r="21" ht="24" customHeight="1">
      <c r="A21" s="4" t="inlineStr">
        <is>
          <t>25-30</t>
        </is>
      </c>
      <c r="B21" s="4" t="inlineStr">
        <is>
          <t>VII阶 20% / VIII阶 80%</t>
        </is>
      </c>
    </row>
    <row r="22" ht="24" customHeight="1"/>
    <row r="23" ht="24" customHeight="1">
      <c r="A23" s="8" t="inlineStr">
        <is>
          <t>材料类型</t>
        </is>
      </c>
      <c r="B23" s="8" t="inlineStr">
        <is>
          <t>掉落权重</t>
        </is>
      </c>
      <c r="C23" s="8" t="inlineStr">
        <is>
          <t>对应部位</t>
        </is>
      </c>
      <c r="D23" s="8" t="n"/>
      <c r="E23" s="8" t="n"/>
      <c r="F23" s="8" t="n"/>
    </row>
    <row r="24" ht="24" customHeight="1">
      <c r="A24" s="4" t="inlineStr">
        <is>
          <t>武器胚料</t>
        </is>
      </c>
      <c r="B24" s="9" t="n">
        <v>0.2</v>
      </c>
      <c r="C24" s="4" t="inlineStr">
        <is>
          <t>武器</t>
        </is>
      </c>
    </row>
    <row r="25" ht="24" customHeight="1">
      <c r="A25" s="4" t="inlineStr">
        <is>
          <t>防具胚料</t>
        </is>
      </c>
      <c r="B25" s="9" t="n">
        <v>0.55</v>
      </c>
      <c r="C25" s="4" t="inlineStr">
        <is>
          <t>头部 / 护甲 / 手套 / 腰带 / 鞋子</t>
        </is>
      </c>
    </row>
    <row r="26" ht="24" customHeight="1">
      <c r="A26" s="4" t="inlineStr">
        <is>
          <t>首饰胚料</t>
        </is>
      </c>
      <c r="B26" s="9" t="n">
        <v>0.25</v>
      </c>
      <c r="C26" s="4" t="inlineStr">
        <is>
          <t>装置 / 饰品</t>
        </is>
      </c>
    </row>
  </sheetData>
  <autoFilter ref="A3:F1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Vgame 数值框架</dc:creator>
  <dc:title>映射装备合成制作 8 档</dc:title>
  <dc:subject>由养成参数基线 MD 独立生成</dc:subject>
  <dcterms:created xsi:type="dcterms:W3CDTF">2026-08-25T03:30:35Z</dcterms:created>
  <dcterms:modified xsi:type="dcterms:W3CDTF">2026-08-25T03:30:35Z</dcterms:modified>
</cp:coreProperties>
</file>