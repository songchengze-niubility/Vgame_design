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901" firstSheet="0" activeTab="0" autoFilterDateGrouping="1"/>
  </bookViews>
  <sheets>
    <sheet name="战斗属性" sheetId="1" state="visible" r:id="rId1"/>
    <sheet name="战斗公式" sheetId="2" state="visible" r:id="rId2"/>
    <sheet name="标准模型" sheetId="3" state="visible" r:id="rId3"/>
    <sheet name="技能系数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%"/>
    <numFmt numFmtId="165" formatCode="0.0%"/>
    <numFmt numFmtId="166" formatCode="0.0_ "/>
    <numFmt numFmtId="167" formatCode="0.00_ "/>
  </numFmts>
  <fonts count="44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b val="1"/>
      <color theme="0"/>
      <sz val="11"/>
    </font>
    <font>
      <name val="Calibri"/>
      <charset val="134"/>
      <color rgb="FF000000"/>
      <sz val="9"/>
    </font>
    <font>
      <name val="微软雅黑"/>
      <charset val="134"/>
      <color rgb="FFFF0000"/>
      <sz val="10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theme="0"/>
      <sz val="14"/>
    </font>
    <font>
      <name val="微软雅黑"/>
      <charset val="134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000000"/>
      <sz val="11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6"/>
    </font>
    <font>
      <name val="Microsoft YaHei"/>
      <charset val="134"/>
      <b val="1"/>
      <color rgb="FFFFFFFF"/>
      <sz val="10"/>
    </font>
    <font>
      <name val="Microsoft YaHei"/>
      <charset val="134"/>
      <color rgb="FF0000FF"/>
      <sz val="10"/>
    </font>
    <font>
      <name val="Microsoft YaHei"/>
      <charset val="134"/>
      <b val="1"/>
      <color theme="1"/>
      <sz val="10"/>
    </font>
    <font>
      <name val="Microsoft YaHei"/>
      <charset val="134"/>
      <color rgb="FF000000"/>
      <sz val="10"/>
    </font>
    <font>
      <name val="微软雅黑"/>
      <charset val="134"/>
      <b val="1"/>
      <color theme="1"/>
      <sz val="16"/>
    </font>
    <font>
      <name val="微软雅黑"/>
      <charset val="134"/>
      <color rgb="FF000000"/>
      <sz val="11"/>
    </font>
    <font>
      <name val="微软雅黑"/>
      <charset val="134"/>
      <b val="1"/>
      <color rgb="FF000000"/>
      <sz val="18"/>
    </font>
    <font>
      <name val="微软雅黑"/>
      <charset val="134"/>
      <b val="1"/>
      <color rgb="FF000000"/>
      <sz val="14"/>
    </font>
    <font>
      <name val="微软雅黑"/>
      <charset val="134"/>
      <color theme="1"/>
      <sz val="10"/>
    </font>
    <font>
      <name val="微软雅黑"/>
      <charset val="134"/>
      <b val="1"/>
      <color theme="1"/>
      <sz val="14"/>
    </font>
    <font>
      <name val="微软雅黑"/>
      <charset val="134"/>
      <sz val="10"/>
    </font>
    <font>
      <name val="微软雅黑"/>
      <charset val="134"/>
      <b val="1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A63C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rgb="FFDEE0E3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0" fillId="18" borderId="17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18" applyAlignment="1">
      <alignment vertical="center"/>
    </xf>
    <xf numFmtId="0" fontId="31" fillId="0" borderId="18" applyAlignment="1">
      <alignment vertical="center"/>
    </xf>
    <xf numFmtId="0" fontId="32" fillId="0" borderId="19" applyAlignment="1">
      <alignment vertical="center"/>
    </xf>
    <xf numFmtId="0" fontId="32" fillId="0" borderId="0" applyAlignment="1">
      <alignment vertical="center"/>
    </xf>
    <xf numFmtId="0" fontId="33" fillId="19" borderId="20" applyAlignment="1">
      <alignment vertical="center"/>
    </xf>
    <xf numFmtId="0" fontId="34" fillId="20" borderId="21" applyAlignment="1">
      <alignment vertical="center"/>
    </xf>
    <xf numFmtId="0" fontId="35" fillId="20" borderId="20" applyAlignment="1">
      <alignment vertical="center"/>
    </xf>
    <xf numFmtId="0" fontId="36" fillId="21" borderId="22" applyAlignment="1">
      <alignment vertical="center"/>
    </xf>
    <xf numFmtId="0" fontId="37" fillId="0" borderId="23" applyAlignment="1">
      <alignment vertical="center"/>
    </xf>
    <xf numFmtId="0" fontId="38" fillId="0" borderId="24" applyAlignment="1">
      <alignment vertical="center"/>
    </xf>
    <xf numFmtId="0" fontId="39" fillId="22" borderId="0" applyAlignment="1">
      <alignment vertical="center"/>
    </xf>
    <xf numFmtId="0" fontId="40" fillId="23" borderId="0" applyAlignment="1">
      <alignment vertical="center"/>
    </xf>
    <xf numFmtId="0" fontId="41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42" fillId="4" borderId="0" applyAlignment="1">
      <alignment vertical="center"/>
    </xf>
    <xf numFmtId="0" fontId="43" fillId="37" borderId="0" applyAlignment="1">
      <alignment vertical="center"/>
    </xf>
    <xf numFmtId="0" fontId="43" fillId="38" borderId="0" applyAlignment="1">
      <alignment vertical="center"/>
    </xf>
    <xf numFmtId="0" fontId="42" fillId="39" borderId="0" applyAlignment="1">
      <alignment vertical="center"/>
    </xf>
    <xf numFmtId="0" fontId="42" fillId="40" borderId="0" applyAlignment="1">
      <alignment vertical="center"/>
    </xf>
    <xf numFmtId="0" fontId="43" fillId="41" borderId="0" applyAlignment="1">
      <alignment vertical="center"/>
    </xf>
    <xf numFmtId="0" fontId="43" fillId="42" borderId="0" applyAlignment="1">
      <alignment vertical="center"/>
    </xf>
    <xf numFmtId="0" fontId="42" fillId="43" borderId="0" applyAlignment="1">
      <alignment vertical="center"/>
    </xf>
    <xf numFmtId="0" fontId="42" fillId="44" borderId="0" applyAlignment="1">
      <alignment vertical="center"/>
    </xf>
    <xf numFmtId="0" fontId="43" fillId="45" borderId="0" applyAlignment="1">
      <alignment vertical="center"/>
    </xf>
    <xf numFmtId="0" fontId="43" fillId="46" borderId="0" applyAlignment="1">
      <alignment vertical="center"/>
    </xf>
    <xf numFmtId="0" fontId="42" fillId="47" borderId="0" applyAlignment="1">
      <alignment vertical="center"/>
    </xf>
  </cellStyleXfs>
  <cellXfs count="13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0" fontId="1" fillId="0" borderId="0" applyAlignment="1" pivotButton="0" quotePrefix="0" xfId="3">
      <alignment horizontal="center" vertical="center"/>
    </xf>
    <xf numFmtId="9" fontId="1" fillId="0" borderId="0" applyAlignment="1" pivotButton="0" quotePrefix="0" xfId="0">
      <alignment vertical="center"/>
    </xf>
    <xf numFmtId="9" fontId="1" fillId="0" borderId="0" applyAlignment="1" pivotButton="0" quotePrefix="0" xfId="0">
      <alignment horizontal="center" vertical="center"/>
    </xf>
    <xf numFmtId="9" fontId="1" fillId="6" borderId="0" applyAlignment="1" pivotButton="0" quotePrefix="0" xfId="3">
      <alignment horizontal="center" vertical="center"/>
    </xf>
    <xf numFmtId="9" fontId="1" fillId="0" borderId="0" applyAlignment="1" pivotButton="0" quotePrefix="0" xfId="3">
      <alignment vertical="center"/>
    </xf>
    <xf numFmtId="10" fontId="1" fillId="2" borderId="0" applyAlignment="1" pivotButton="0" quotePrefix="0" xfId="3">
      <alignment horizontal="center" vertical="center"/>
    </xf>
    <xf numFmtId="10" fontId="0" fillId="0" borderId="0" applyAlignment="1" pivotButton="0" quotePrefix="0" xfId="3">
      <alignment vertical="center"/>
    </xf>
    <xf numFmtId="0" fontId="10" fillId="6" borderId="2" pivotButton="0" quotePrefix="0" xfId="0"/>
    <xf numFmtId="9" fontId="1" fillId="0" borderId="0" applyAlignment="1" pivotButton="0" quotePrefix="0" xfId="3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1" fillId="0" borderId="0" applyAlignment="1" pivotButton="0" quotePrefix="0" xfId="3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1" fillId="0" borderId="0" applyAlignment="1" pivotButton="0" quotePrefix="0" xfId="3">
      <alignment horizontal="center"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8" borderId="0" applyAlignment="1" pivotButton="0" quotePrefix="0" xfId="0">
      <alignment horizontal="center" vertical="center"/>
    </xf>
    <xf numFmtId="0" fontId="13" fillId="8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vertical="center" wrapText="1"/>
    </xf>
    <xf numFmtId="2" fontId="14" fillId="9" borderId="5" applyAlignment="1" pivotButton="0" quotePrefix="0" xfId="0">
      <alignment vertical="center" wrapText="1"/>
    </xf>
    <xf numFmtId="0" fontId="11" fillId="10" borderId="5" applyAlignment="1" pivotButton="0" quotePrefix="0" xfId="0">
      <alignment vertical="center" wrapText="1"/>
    </xf>
    <xf numFmtId="0" fontId="14" fillId="9" borderId="5" applyAlignment="1" pivotButton="0" quotePrefix="0" xfId="0">
      <alignment vertical="center" wrapText="1"/>
    </xf>
    <xf numFmtId="0" fontId="15" fillId="11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2" fontId="16" fillId="10" borderId="5" applyAlignment="1" pivotButton="0" quotePrefix="0" xfId="0">
      <alignment vertical="center" wrapText="1"/>
    </xf>
    <xf numFmtId="2" fontId="14" fillId="12" borderId="5" applyAlignment="1" pivotButton="0" quotePrefix="0" xfId="0">
      <alignment vertical="center" wrapText="1"/>
    </xf>
    <xf numFmtId="2" fontId="16" fillId="6" borderId="5" applyAlignment="1" pivotButton="0" quotePrefix="0" xfId="0">
      <alignment vertical="center" wrapText="1"/>
    </xf>
    <xf numFmtId="165" fontId="16" fillId="10" borderId="5" applyAlignment="1" pivotButton="0" quotePrefix="0" xfId="0">
      <alignment vertical="center" wrapText="1"/>
    </xf>
    <xf numFmtId="9" fontId="1" fillId="2" borderId="0" applyAlignment="1" pivotButton="0" quotePrefix="0" xfId="3">
      <alignment vertical="center"/>
    </xf>
    <xf numFmtId="0" fontId="1" fillId="6" borderId="8" applyAlignment="1" pivotButton="0" quotePrefix="0" xfId="0">
      <alignment vertical="center"/>
    </xf>
    <xf numFmtId="165" fontId="1" fillId="0" borderId="0" applyAlignment="1" pivotButton="0" quotePrefix="0" xfId="3">
      <alignment vertical="center"/>
    </xf>
    <xf numFmtId="0" fontId="1" fillId="13" borderId="8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9" fontId="1" fillId="0" borderId="10" applyAlignment="1" pivotButton="0" quotePrefix="0" xfId="0">
      <alignment vertical="center"/>
    </xf>
    <xf numFmtId="0" fontId="1" fillId="14" borderId="8" applyAlignment="1" pivotButton="0" quotePrefix="0" xfId="0">
      <alignment vertical="center"/>
    </xf>
    <xf numFmtId="0" fontId="1" fillId="5" borderId="8" applyAlignment="1" pivotButton="0" quotePrefix="0" xfId="0">
      <alignment horizontal="right" vertical="center"/>
    </xf>
    <xf numFmtId="0" fontId="1" fillId="2" borderId="4" applyAlignment="1" pivotButton="0" quotePrefix="0" xfId="0">
      <alignment vertical="center"/>
    </xf>
    <xf numFmtId="9" fontId="1" fillId="6" borderId="0" applyAlignment="1" pivotButton="0" quotePrefix="0" xfId="0">
      <alignment vertical="center"/>
    </xf>
    <xf numFmtId="165" fontId="1" fillId="2" borderId="0" applyAlignment="1" pivotButton="0" quotePrefix="0" xfId="3">
      <alignment vertical="center"/>
    </xf>
    <xf numFmtId="0" fontId="1" fillId="0" borderId="11" applyAlignment="1" pivotButton="0" quotePrefix="0" xfId="0">
      <alignment vertical="center"/>
    </xf>
    <xf numFmtId="165" fontId="1" fillId="6" borderId="12" applyAlignment="1" pivotButton="0" quotePrefix="0" xfId="0">
      <alignment vertical="center"/>
    </xf>
    <xf numFmtId="0" fontId="1" fillId="2" borderId="12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0" fillId="0" borderId="13" applyAlignment="1" pivotButton="0" quotePrefix="0" xfId="0">
      <alignment horizontal="left"/>
    </xf>
    <xf numFmtId="9" fontId="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9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6" fontId="1" fillId="6" borderId="0" applyAlignment="1" pivotButton="0" quotePrefix="0" xfId="0">
      <alignment vertical="center"/>
    </xf>
    <xf numFmtId="167" fontId="1" fillId="6" borderId="0" applyAlignment="1" pivotButton="0" quotePrefix="0" xfId="0">
      <alignment vertical="center"/>
    </xf>
    <xf numFmtId="165" fontId="1" fillId="6" borderId="0" applyAlignment="1" pivotButton="0" quotePrefix="0" xfId="3">
      <alignment vertical="center"/>
    </xf>
    <xf numFmtId="0" fontId="18" fillId="0" borderId="13" pivotButton="0" quotePrefix="0" xfId="0"/>
    <xf numFmtId="9" fontId="18" fillId="2" borderId="13" applyAlignment="1" pivotButton="0" quotePrefix="0" xfId="0">
      <alignment horizontal="right"/>
    </xf>
    <xf numFmtId="9" fontId="0" fillId="0" borderId="0" applyAlignment="1" pivotButton="0" quotePrefix="0" xfId="3">
      <alignment vertical="center"/>
    </xf>
    <xf numFmtId="164" fontId="1" fillId="2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13" pivotButton="0" quotePrefix="0" xfId="0"/>
    <xf numFmtId="0" fontId="1" fillId="0" borderId="0" pivotButton="0" quotePrefix="0" xfId="0"/>
    <xf numFmtId="0" fontId="6" fillId="0" borderId="13" pivotButton="0" quotePrefix="0" xfId="0"/>
    <xf numFmtId="0" fontId="6" fillId="0" borderId="0" pivotButton="0" quotePrefix="0" xfId="0"/>
    <xf numFmtId="9" fontId="1" fillId="0" borderId="0" applyAlignment="1" pivotButton="0" quotePrefix="0" xfId="3">
      <alignment horizontal="left" vertical="center"/>
    </xf>
    <xf numFmtId="9" fontId="1" fillId="16" borderId="0" applyAlignment="1" pivotButton="0" quotePrefix="0" xfId="3">
      <alignment horizontal="left" vertical="center"/>
    </xf>
    <xf numFmtId="9" fontId="6" fillId="0" borderId="0" applyAlignment="1" pivotButton="0" quotePrefix="0" xfId="3">
      <alignment horizontal="center" vertical="center"/>
    </xf>
    <xf numFmtId="0" fontId="1" fillId="0" borderId="13" applyAlignment="1" pivotButton="0" quotePrefix="0" xfId="0">
      <alignment vertical="center"/>
    </xf>
    <xf numFmtId="0" fontId="19" fillId="0" borderId="13" applyAlignment="1" pivotButton="0" quotePrefix="0" xfId="0">
      <alignment horizontal="left"/>
    </xf>
    <xf numFmtId="0" fontId="20" fillId="6" borderId="13" pivotButton="0" quotePrefix="0" xfId="0"/>
    <xf numFmtId="0" fontId="20" fillId="0" borderId="13" pivotButton="0" quotePrefix="0" xfId="0"/>
    <xf numFmtId="0" fontId="10" fillId="0" borderId="13" pivotButton="0" quotePrefix="0" xfId="0"/>
    <xf numFmtId="0" fontId="21" fillId="0" borderId="13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10" fillId="0" borderId="0" pivotButton="0" quotePrefix="0" xfId="0"/>
    <xf numFmtId="9" fontId="1" fillId="2" borderId="0" applyAlignment="1" pivotButton="0" quotePrefix="0" xfId="0">
      <alignment horizontal="left" vertical="center"/>
    </xf>
    <xf numFmtId="0" fontId="10" fillId="0" borderId="13" applyAlignment="1" pivotButton="0" quotePrefix="0" xfId="0">
      <alignment vertical="center"/>
    </xf>
    <xf numFmtId="0" fontId="22" fillId="6" borderId="13" applyAlignment="1" pivotButton="0" quotePrefix="0" xfId="0">
      <alignment vertical="center"/>
    </xf>
    <xf numFmtId="0" fontId="7" fillId="3" borderId="13" applyAlignment="1" pivotButton="0" quotePrefix="0" xfId="0">
      <alignment horizontal="center"/>
    </xf>
    <xf numFmtId="0" fontId="18" fillId="17" borderId="14" applyAlignment="1" pivotButton="0" quotePrefix="0" xfId="0">
      <alignment horizontal="center" vertical="center"/>
    </xf>
    <xf numFmtId="0" fontId="10" fillId="17" borderId="2" pivotButton="0" quotePrefix="0" xfId="0"/>
    <xf numFmtId="0" fontId="18" fillId="17" borderId="13" pivotButton="0" quotePrefix="0" xfId="0"/>
    <xf numFmtId="0" fontId="18" fillId="17" borderId="13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0" fillId="0" borderId="2" pivotButton="0" quotePrefix="0" xfId="0"/>
    <xf numFmtId="0" fontId="18" fillId="0" borderId="13" applyAlignment="1" pivotButton="0" quotePrefix="0" xfId="0">
      <alignment vertical="center"/>
    </xf>
    <xf numFmtId="0" fontId="18" fillId="17" borderId="13" applyAlignment="1" pivotButton="0" quotePrefix="0" xfId="0">
      <alignment horizontal="right"/>
    </xf>
    <xf numFmtId="9" fontId="18" fillId="17" borderId="13" pivotButton="0" quotePrefix="0" xfId="0"/>
    <xf numFmtId="0" fontId="5" fillId="17" borderId="2" pivotButton="0" quotePrefix="0" xfId="0"/>
    <xf numFmtId="0" fontId="5" fillId="0" borderId="0" applyAlignment="1" pivotButton="0" quotePrefix="0" xfId="0">
      <alignment vertical="center"/>
    </xf>
    <xf numFmtId="0" fontId="5" fillId="0" borderId="2" pivotButton="0" quotePrefix="0" xfId="0"/>
    <xf numFmtId="0" fontId="18" fillId="0" borderId="13" applyAlignment="1" pivotButton="0" quotePrefix="0" xfId="0">
      <alignment wrapText="1"/>
    </xf>
    <xf numFmtId="0" fontId="23" fillId="17" borderId="13" applyAlignment="1" pivotButton="0" quotePrefix="0" xfId="0">
      <alignment vertical="center"/>
    </xf>
    <xf numFmtId="0" fontId="21" fillId="17" borderId="13" applyAlignment="1" pivotButton="0" quotePrefix="0" xfId="0">
      <alignment vertical="center"/>
    </xf>
    <xf numFmtId="0" fontId="24" fillId="17" borderId="2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8" fillId="17" borderId="8" applyAlignment="1" pivotButton="0" quotePrefix="0" xfId="0">
      <alignment horizontal="center" vertical="center"/>
    </xf>
    <xf numFmtId="0" fontId="10" fillId="17" borderId="13" pivotButton="0" quotePrefix="0" xfId="0"/>
    <xf numFmtId="0" fontId="0" fillId="0" borderId="0" pivotButton="0" quotePrefix="0" xfId="0"/>
    <xf numFmtId="166" fontId="1" fillId="6" borderId="0" applyAlignment="1" pivotButton="0" quotePrefix="0" xfId="0">
      <alignment vertical="center"/>
    </xf>
    <xf numFmtId="167" fontId="1" fillId="6" borderId="0" applyAlignment="1" pivotButton="0" quotePrefix="0" xfId="0">
      <alignment vertical="center"/>
    </xf>
    <xf numFmtId="165" fontId="1" fillId="6" borderId="0" applyAlignment="1" pivotButton="0" quotePrefix="0" xfId="3">
      <alignment vertical="center"/>
    </xf>
    <xf numFmtId="164" fontId="1" fillId="2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3">
      <alignment vertical="center"/>
    </xf>
    <xf numFmtId="165" fontId="1" fillId="2" borderId="0" applyAlignment="1" pivotButton="0" quotePrefix="0" xfId="3">
      <alignment vertical="center"/>
    </xf>
    <xf numFmtId="165" fontId="1" fillId="6" borderId="12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4"/>
  <sheetViews>
    <sheetView topLeftCell="A67" workbookViewId="0">
      <selection activeCell="A70" sqref="$A1:$XFD1048576"/>
    </sheetView>
  </sheetViews>
  <sheetFormatPr baseColWidth="8" defaultColWidth="9" defaultRowHeight="16.5"/>
  <cols>
    <col width="9" customWidth="1" style="1" min="1" max="1"/>
    <col width="14.2583333333333" customWidth="1" style="1" min="2" max="2"/>
    <col width="13.75" customWidth="1" style="1" min="3" max="3"/>
    <col width="57" customWidth="1" style="1" min="4" max="4"/>
    <col width="11.25" customWidth="1" style="1" min="5" max="5"/>
    <col width="11.75" customWidth="1" style="1" min="6" max="6"/>
    <col width="19.875" customWidth="1" style="1" min="7" max="7"/>
    <col width="111.75" customWidth="1" style="1" min="8" max="8"/>
    <col width="9" customWidth="1" style="1" min="9" max="16384"/>
  </cols>
  <sheetData>
    <row r="2" ht="18.75" customHeight="1" s="124">
      <c r="B2" s="103" t="inlineStr">
        <is>
          <t>属性类别</t>
        </is>
      </c>
      <c r="C2" s="103" t="inlineStr">
        <is>
          <t>具体属性</t>
        </is>
      </c>
      <c r="D2" s="103" t="inlineStr">
        <is>
          <t>属性说明</t>
        </is>
      </c>
      <c r="E2" s="103" t="inlineStr">
        <is>
          <t>数据类型</t>
        </is>
      </c>
      <c r="F2" s="103" t="inlineStr">
        <is>
          <t>默认值</t>
        </is>
      </c>
      <c r="G2" s="103" t="inlineStr">
        <is>
          <t>展示位置</t>
        </is>
      </c>
      <c r="H2" s="103" t="inlineStr">
        <is>
          <t>备注</t>
        </is>
      </c>
    </row>
    <row r="3">
      <c r="B3" s="104" t="inlineStr">
        <is>
          <t>基础属性</t>
        </is>
      </c>
      <c r="C3" s="105" t="inlineStr">
        <is>
          <t>生命</t>
        </is>
      </c>
      <c r="D3" s="106" t="inlineStr">
        <is>
          <t>角色生命值，生命值为0角色死亡</t>
        </is>
      </c>
      <c r="E3" s="106" t="inlineStr">
        <is>
          <t>int</t>
        </is>
      </c>
      <c r="F3" s="106" t="n">
        <v>0</v>
      </c>
      <c r="G3" s="107" t="inlineStr">
        <is>
          <t>基础属性</t>
        </is>
      </c>
      <c r="H3" s="106" t="inlineStr">
        <is>
          <t>分为裸体属性和额外属性，裸体属性只包含角色基础、角色升级、角色能效</t>
        </is>
      </c>
    </row>
    <row r="4">
      <c r="B4" s="108" t="n"/>
      <c r="C4" s="105" t="inlineStr">
        <is>
          <t>攻击</t>
        </is>
      </c>
      <c r="D4" s="106" t="inlineStr">
        <is>
          <t>影响战斗中角色物理伤害</t>
        </is>
      </c>
      <c r="E4" s="106" t="inlineStr">
        <is>
          <t>int</t>
        </is>
      </c>
      <c r="F4" s="106" t="n">
        <v>0</v>
      </c>
      <c r="G4" s="107" t="inlineStr">
        <is>
          <t>基础属性</t>
        </is>
      </c>
      <c r="H4" s="106" t="inlineStr">
        <is>
          <t>分为裸体属性和额外属性，裸体属性只包含角色基础、角色升级、角色能效</t>
        </is>
      </c>
    </row>
    <row r="5">
      <c r="B5" s="108" t="n"/>
      <c r="C5" s="105" t="inlineStr">
        <is>
          <t>攻击</t>
        </is>
      </c>
      <c r="D5" s="106" t="inlineStr">
        <is>
          <t>影响战斗中角色魔法伤害</t>
        </is>
      </c>
      <c r="E5" s="106" t="inlineStr">
        <is>
          <t>int</t>
        </is>
      </c>
      <c r="F5" s="106" t="n">
        <v>0</v>
      </c>
      <c r="G5" s="107" t="inlineStr">
        <is>
          <t>基础属性</t>
        </is>
      </c>
      <c r="H5" s="106" t="inlineStr">
        <is>
          <t>分为裸体属性和额外属性，裸体属性只包含角色基础、角色升级、角色能效</t>
        </is>
      </c>
    </row>
    <row r="6">
      <c r="B6" s="108" t="n"/>
      <c r="C6" s="105" t="inlineStr">
        <is>
          <t>防御力</t>
        </is>
      </c>
      <c r="D6" s="106" t="inlineStr">
        <is>
          <t>影响战斗中减伤效果</t>
        </is>
      </c>
      <c r="E6" s="106" t="inlineStr">
        <is>
          <t>int</t>
        </is>
      </c>
      <c r="F6" s="106" t="n">
        <v>0</v>
      </c>
      <c r="G6" s="107" t="inlineStr">
        <is>
          <t>基础属性</t>
        </is>
      </c>
      <c r="H6" s="106" t="inlineStr">
        <is>
          <t>分为裸体属性和额外属性，裸体属性只包含角色基础、角色升级、角色能效</t>
        </is>
      </c>
    </row>
    <row r="7">
      <c r="B7" s="109" t="n"/>
    </row>
    <row r="8">
      <c r="B8" s="104" t="inlineStr">
        <is>
          <t>战斗属性</t>
        </is>
      </c>
      <c r="C8" s="105" t="inlineStr">
        <is>
          <t>能量上限</t>
        </is>
      </c>
      <c r="D8" s="106" t="inlineStr">
        <is>
          <t>能量值上限，能量达到上限角色即可释放必杀技</t>
        </is>
      </c>
      <c r="E8" s="106" t="inlineStr">
        <is>
          <t>int</t>
        </is>
      </c>
      <c r="F8" s="106" t="n">
        <v>100</v>
      </c>
      <c r="G8" s="106" t="inlineStr">
        <is>
          <t>建议展示在必杀技能中</t>
        </is>
      </c>
      <c r="H8" s="106" t="inlineStr">
        <is>
          <t>达到该值时，角色可以释放必杀，建议配置在角色表</t>
        </is>
      </c>
    </row>
    <row r="9">
      <c r="B9" s="108" t="n"/>
      <c r="C9" s="110" t="inlineStr">
        <is>
          <t>能量初始值</t>
        </is>
      </c>
      <c r="D9" s="106" t="inlineStr">
        <is>
          <t>角色进入战斗时初始的能量值</t>
        </is>
      </c>
      <c r="E9" s="106" t="inlineStr">
        <is>
          <t>int</t>
        </is>
      </c>
      <c r="F9" s="106" t="n">
        <v>0</v>
      </c>
      <c r="G9" s="106" t="inlineStr">
        <is>
          <t>建议展示在必杀技能中</t>
        </is>
      </c>
      <c r="H9" s="106" t="inlineStr">
        <is>
          <t>角色进入战斗时初始的能量值，建议配置在角色表</t>
        </is>
      </c>
    </row>
    <row r="10">
      <c r="B10" s="108" t="n"/>
      <c r="C10" s="105" t="inlineStr">
        <is>
          <t>能量回复速度</t>
        </is>
      </c>
      <c r="D10" s="111" t="inlineStr">
        <is>
          <t>角色每秒获取的能量值</t>
        </is>
      </c>
      <c r="E10" s="106" t="inlineStr">
        <is>
          <t>float</t>
        </is>
      </c>
      <c r="F10" s="112" t="n">
        <v>2.5</v>
      </c>
      <c r="G10" s="106" t="inlineStr">
        <is>
          <t>进阶属性</t>
        </is>
      </c>
      <c r="H10" s="106" t="inlineStr">
        <is>
          <t>每秒能量的回复值</t>
        </is>
      </c>
    </row>
    <row r="11">
      <c r="B11" s="108" t="n"/>
      <c r="C11" s="105" t="inlineStr">
        <is>
          <t>暴击</t>
        </is>
      </c>
      <c r="D11" s="106" t="inlineStr">
        <is>
          <t>影响战斗中造成暴击的概率</t>
        </is>
      </c>
      <c r="E11" s="106" t="inlineStr">
        <is>
          <t>float</t>
        </is>
      </c>
      <c r="F11" s="113" t="n">
        <v>0.05</v>
      </c>
      <c r="G11" s="106" t="inlineStr">
        <is>
          <t>进阶属性</t>
        </is>
      </c>
      <c r="H11" s="106" t="n"/>
    </row>
    <row r="12">
      <c r="B12" s="108" t="n"/>
      <c r="C12" s="105" t="inlineStr">
        <is>
          <t>暴击伤害</t>
        </is>
      </c>
      <c r="D12" s="106" t="inlineStr">
        <is>
          <t>影响战斗中造成暴击的伤害倍数</t>
        </is>
      </c>
      <c r="E12" s="106" t="inlineStr">
        <is>
          <t>float</t>
        </is>
      </c>
      <c r="F12" s="113" t="n">
        <v>2</v>
      </c>
      <c r="G12" s="106" t="inlineStr">
        <is>
          <t>进阶属性</t>
        </is>
      </c>
      <c r="H12" s="106" t="n"/>
    </row>
    <row r="13">
      <c r="B13" s="108" t="n"/>
      <c r="C13" s="114" t="inlineStr">
        <is>
          <t>闪避</t>
        </is>
      </c>
      <c r="D13" s="106" t="inlineStr">
        <is>
          <t>降低战斗中受到伤害的概率</t>
        </is>
      </c>
      <c r="E13" s="106" t="inlineStr">
        <is>
          <t>float</t>
        </is>
      </c>
      <c r="F13" s="113" t="n">
        <v>0</v>
      </c>
      <c r="G13" s="106" t="inlineStr">
        <is>
          <t>进阶属性</t>
        </is>
      </c>
      <c r="H13" s="115" t="inlineStr">
        <is>
          <t>暂时只在角色技能和被动中投放</t>
        </is>
      </c>
    </row>
    <row r="14">
      <c r="B14" s="108" t="n"/>
      <c r="C14" s="114" t="inlineStr">
        <is>
          <t>命中</t>
        </is>
      </c>
      <c r="D14" s="106" t="inlineStr">
        <is>
          <t>影响战斗中造成伤害的概率</t>
        </is>
      </c>
      <c r="E14" s="106" t="inlineStr">
        <is>
          <t>float</t>
        </is>
      </c>
      <c r="F14" s="113" t="n">
        <v>1</v>
      </c>
      <c r="G14" s="106" t="inlineStr">
        <is>
          <t>进阶属性</t>
        </is>
      </c>
      <c r="H14" s="115" t="inlineStr">
        <is>
          <t>暂时只在角色技能和被动中投放</t>
        </is>
      </c>
    </row>
    <row r="15">
      <c r="B15" s="108" t="n"/>
      <c r="C15" s="105" t="inlineStr">
        <is>
          <t>效果命中</t>
        </is>
      </c>
      <c r="D15" s="106" t="inlineStr">
        <is>
          <t>提高战斗中负面效果命中概率，暂时不使用，可以忽略</t>
        </is>
      </c>
      <c r="E15" s="106" t="inlineStr">
        <is>
          <t>float</t>
        </is>
      </c>
      <c r="F15" s="113" t="n">
        <v>0</v>
      </c>
      <c r="G15" s="106" t="inlineStr">
        <is>
          <t>进阶属性</t>
        </is>
      </c>
      <c r="H15" s="106" t="n"/>
    </row>
    <row r="16">
      <c r="B16" s="108" t="n"/>
      <c r="C16" s="105" t="inlineStr">
        <is>
          <t>效果抵抗</t>
        </is>
      </c>
      <c r="D16" s="106" t="inlineStr">
        <is>
          <t>降低战斗中负面效果命中概率，暂时不使用，可以忽略</t>
        </is>
      </c>
      <c r="E16" s="106" t="inlineStr">
        <is>
          <t>float</t>
        </is>
      </c>
      <c r="F16" s="113" t="n">
        <v>0</v>
      </c>
      <c r="G16" s="106" t="inlineStr">
        <is>
          <t>进阶属性</t>
        </is>
      </c>
      <c r="H16" s="106" t="n"/>
    </row>
    <row r="17">
      <c r="B17" s="108" t="n"/>
      <c r="C17" s="105" t="inlineStr">
        <is>
          <t>无视防御</t>
        </is>
      </c>
      <c r="D17" s="106" t="inlineStr">
        <is>
          <t>降低战斗中对方的防御效果</t>
        </is>
      </c>
      <c r="E17" s="106" t="inlineStr">
        <is>
          <t>float</t>
        </is>
      </c>
      <c r="F17" s="113" t="n">
        <v>0</v>
      </c>
      <c r="G17" s="106" t="inlineStr">
        <is>
          <t>面板不显示</t>
        </is>
      </c>
      <c r="H17" s="106" t="inlineStr">
        <is>
          <t>最多100%</t>
        </is>
      </c>
    </row>
    <row r="18" ht="49.5" customHeight="1" s="124">
      <c r="B18" s="108" t="n"/>
      <c r="C18" s="116" t="inlineStr">
        <is>
          <t>普攻攻击速度</t>
        </is>
      </c>
      <c r="D18" s="80" t="inlineStr">
        <is>
          <t>影响战斗中角色每秒发射的普攻，例如3点攻速代表1秒发射3次普攻</t>
        </is>
      </c>
      <c r="E18" s="80" t="inlineStr">
        <is>
          <t>float</t>
        </is>
      </c>
      <c r="F18" s="80" t="inlineStr">
        <is>
          <t>每个角色不同</t>
        </is>
      </c>
      <c r="G18" s="106" t="inlineStr">
        <is>
          <t>进阶属性</t>
        </is>
      </c>
      <c r="H18" s="117" t="inlineStr">
        <is>
          <t>英雄普攻1秒进行打X个子弹，计算方式为x*(1+攻速加成%)=最终攻速
例如该角色1s释放2次普攻，攻击速度加成为100%，则该角色显示的攻速为4
另外建议每个角色的攻击速度单独配置在角色表中</t>
        </is>
      </c>
    </row>
    <row r="19">
      <c r="B19" s="108" t="n"/>
      <c r="C19" s="31" t="inlineStr">
        <is>
          <t>伤害加成</t>
        </is>
      </c>
      <c r="D19" s="106" t="inlineStr">
        <is>
          <t>增加战斗中造成的伤害（所有的伤害加成属于同一乘区）</t>
        </is>
      </c>
      <c r="E19" s="106" t="inlineStr">
        <is>
          <t>float</t>
        </is>
      </c>
      <c r="F19" s="106" t="n">
        <v>0</v>
      </c>
      <c r="G19" s="118" t="inlineStr">
        <is>
          <t>面板不显示</t>
        </is>
      </c>
      <c r="H19" s="115" t="inlineStr">
        <is>
          <t>暂时只在角色技能和被动中投放</t>
        </is>
      </c>
    </row>
    <row r="20">
      <c r="B20" s="108" t="n"/>
      <c r="C20" s="31" t="inlineStr">
        <is>
          <t>物理伤害加成</t>
        </is>
      </c>
      <c r="D20" s="106" t="inlineStr">
        <is>
          <t>增加战斗中造成的物理伤害</t>
        </is>
      </c>
      <c r="E20" s="106" t="inlineStr">
        <is>
          <t>float</t>
        </is>
      </c>
      <c r="F20" s="106" t="n">
        <v>0</v>
      </c>
      <c r="G20" s="118" t="inlineStr">
        <is>
          <t>面板不显示</t>
        </is>
      </c>
      <c r="H20" s="115" t="inlineStr">
        <is>
          <t>暂时只在角色技能和被动中投放</t>
        </is>
      </c>
    </row>
    <row r="21">
      <c r="B21" s="108" t="n"/>
      <c r="C21" s="31" t="inlineStr">
        <is>
          <t>魔法伤害加成</t>
        </is>
      </c>
      <c r="D21" s="106" t="inlineStr">
        <is>
          <t>增加战斗中造成的魔法伤害</t>
        </is>
      </c>
      <c r="E21" s="106" t="inlineStr">
        <is>
          <t>float</t>
        </is>
      </c>
      <c r="F21" s="106" t="n">
        <v>0</v>
      </c>
      <c r="G21" s="118" t="inlineStr">
        <is>
          <t>面板不显示</t>
        </is>
      </c>
      <c r="H21" s="115" t="inlineStr">
        <is>
          <t>暂时只在角色技能和被动中投放</t>
        </is>
      </c>
    </row>
    <row r="22">
      <c r="B22" s="108" t="n"/>
      <c r="C22" s="31" t="inlineStr">
        <is>
          <t>普攻伤害加成</t>
        </is>
      </c>
      <c r="D22" s="106" t="inlineStr">
        <is>
          <t>增加战斗中普攻造成的伤害</t>
        </is>
      </c>
      <c r="E22" s="106" t="inlineStr">
        <is>
          <t>float</t>
        </is>
      </c>
      <c r="F22" s="106" t="n">
        <v>0</v>
      </c>
      <c r="G22" s="118" t="inlineStr">
        <is>
          <t>面板显示</t>
        </is>
      </c>
      <c r="H22" s="115" t="n"/>
    </row>
    <row r="23">
      <c r="B23" s="108" t="n"/>
      <c r="C23" s="31" t="inlineStr">
        <is>
          <t>技能伤害加成</t>
        </is>
      </c>
      <c r="D23" s="106" t="inlineStr">
        <is>
          <t>增加战斗中技能造成的伤害</t>
        </is>
      </c>
      <c r="E23" s="106" t="inlineStr">
        <is>
          <t>float</t>
        </is>
      </c>
      <c r="F23" s="106" t="n">
        <v>0</v>
      </c>
      <c r="G23" s="118" t="inlineStr">
        <is>
          <t>面板显示</t>
        </is>
      </c>
      <c r="H23" s="115" t="n"/>
    </row>
    <row r="24">
      <c r="B24" s="108" t="n"/>
      <c r="C24" s="31" t="inlineStr">
        <is>
          <t>必杀伤害加成</t>
        </is>
      </c>
      <c r="D24" s="106" t="inlineStr">
        <is>
          <t>增加战斗中必杀造成的伤害</t>
        </is>
      </c>
      <c r="E24" s="106" t="inlineStr">
        <is>
          <t>float</t>
        </is>
      </c>
      <c r="F24" s="106" t="n">
        <v>0</v>
      </c>
      <c r="G24" s="118" t="inlineStr">
        <is>
          <t>面板显示</t>
        </is>
      </c>
      <c r="H24" s="115" t="n"/>
    </row>
    <row r="25">
      <c r="B25" s="108" t="n"/>
      <c r="C25" s="31" t="inlineStr">
        <is>
          <t>单体伤害加成</t>
        </is>
      </c>
      <c r="D25" s="106" t="inlineStr">
        <is>
          <t>增加战斗中穿单体果造成的伤害</t>
        </is>
      </c>
      <c r="E25" s="106" t="inlineStr">
        <is>
          <t>float</t>
        </is>
      </c>
      <c r="F25" s="106" t="n">
        <v>0</v>
      </c>
      <c r="G25" s="118" t="inlineStr">
        <is>
          <t>面板显示</t>
        </is>
      </c>
    </row>
    <row r="26">
      <c r="B26" s="108" t="n"/>
      <c r="C26" s="31" t="inlineStr">
        <is>
          <t>穿透伤害加成</t>
        </is>
      </c>
      <c r="D26" s="106" t="inlineStr">
        <is>
          <t>增加战斗中穿透效果造成的伤害</t>
        </is>
      </c>
      <c r="E26" s="106" t="inlineStr">
        <is>
          <t>float</t>
        </is>
      </c>
      <c r="F26" s="106" t="n">
        <v>0</v>
      </c>
      <c r="G26" s="118" t="inlineStr">
        <is>
          <t>面板显示</t>
        </is>
      </c>
    </row>
    <row r="27">
      <c r="B27" s="108" t="n"/>
      <c r="C27" s="31" t="inlineStr">
        <is>
          <t>范围伤害加成</t>
        </is>
      </c>
      <c r="D27" s="106" t="inlineStr">
        <is>
          <t>增加战斗中范围效果造成的伤害</t>
        </is>
      </c>
      <c r="E27" s="106" t="inlineStr">
        <is>
          <t>float</t>
        </is>
      </c>
      <c r="F27" s="106" t="n">
        <v>0</v>
      </c>
      <c r="G27" s="118" t="inlineStr">
        <is>
          <t>面板显示</t>
        </is>
      </c>
    </row>
    <row r="28">
      <c r="B28" s="108" t="n"/>
      <c r="C28" s="31" t="inlineStr">
        <is>
          <t>持续伤害加成</t>
        </is>
      </c>
      <c r="D28" s="106" t="inlineStr">
        <is>
          <t>增加战斗中持续效果造成的伤害（包括流血、灼烧、中毒）</t>
        </is>
      </c>
      <c r="E28" s="106" t="inlineStr">
        <is>
          <t>float</t>
        </is>
      </c>
      <c r="F28" s="106" t="n">
        <v>0</v>
      </c>
      <c r="G28" s="118" t="inlineStr">
        <is>
          <t>面板显示</t>
        </is>
      </c>
    </row>
    <row r="29">
      <c r="B29" s="108" t="n"/>
      <c r="C29" s="31" t="inlineStr">
        <is>
          <t>流血伤害加成</t>
        </is>
      </c>
      <c r="D29" s="106" t="inlineStr">
        <is>
          <t>增加战斗中流血效果造成的伤害</t>
        </is>
      </c>
      <c r="E29" s="106" t="inlineStr">
        <is>
          <t>float</t>
        </is>
      </c>
      <c r="F29" s="106" t="n">
        <v>0</v>
      </c>
      <c r="G29" s="119" t="inlineStr">
        <is>
          <t>面板不显示</t>
        </is>
      </c>
    </row>
    <row r="30">
      <c r="B30" s="108" t="n"/>
      <c r="C30" s="31" t="inlineStr">
        <is>
          <t>灼烧伤害加成</t>
        </is>
      </c>
      <c r="D30" s="106" t="inlineStr">
        <is>
          <t>增加战斗中持续效果造成的伤害</t>
        </is>
      </c>
      <c r="E30" s="106" t="inlineStr">
        <is>
          <t>float</t>
        </is>
      </c>
      <c r="F30" s="106" t="n">
        <v>0</v>
      </c>
      <c r="G30" s="119" t="inlineStr">
        <is>
          <t>面板不显示</t>
        </is>
      </c>
    </row>
    <row r="31">
      <c r="B31" s="108" t="n"/>
      <c r="C31" s="31" t="inlineStr">
        <is>
          <t>中毒伤害加成</t>
        </is>
      </c>
      <c r="D31" s="106" t="inlineStr">
        <is>
          <t>增加战斗中持续效果造成的伤害</t>
        </is>
      </c>
      <c r="E31" s="106" t="inlineStr">
        <is>
          <t>float</t>
        </is>
      </c>
      <c r="F31" s="106" t="n">
        <v>0</v>
      </c>
      <c r="G31" s="119" t="inlineStr">
        <is>
          <t>面板不显示</t>
        </is>
      </c>
    </row>
    <row r="32">
      <c r="B32" s="108" t="n"/>
      <c r="C32" s="105" t="inlineStr">
        <is>
          <t>伤害减免</t>
        </is>
      </c>
      <c r="D32" s="106" t="inlineStr">
        <is>
          <t>减免战斗中造成的伤害</t>
        </is>
      </c>
      <c r="E32" s="106" t="inlineStr">
        <is>
          <t>float</t>
        </is>
      </c>
      <c r="F32" s="106" t="n">
        <v>0</v>
      </c>
      <c r="G32" s="119" t="inlineStr">
        <is>
          <t>面板不显示</t>
        </is>
      </c>
    </row>
    <row r="33">
      <c r="B33" s="108" t="n"/>
      <c r="C33" s="120" t="inlineStr">
        <is>
          <t>治疗加成</t>
        </is>
      </c>
      <c r="D33" s="119" t="inlineStr">
        <is>
          <t>治疗时，调整治疗值</t>
        </is>
      </c>
      <c r="E33" s="106" t="inlineStr">
        <is>
          <t>float</t>
        </is>
      </c>
      <c r="F33" s="119" t="n">
        <v>0</v>
      </c>
      <c r="G33" s="119" t="inlineStr">
        <is>
          <t>面板不显示</t>
        </is>
      </c>
    </row>
    <row r="34">
      <c r="B34" s="108" t="n"/>
      <c r="C34" s="105" t="inlineStr">
        <is>
          <t>受到伤害增加</t>
        </is>
      </c>
      <c r="D34" s="106" t="inlineStr">
        <is>
          <t>增加战斗中受到的伤害</t>
        </is>
      </c>
      <c r="E34" s="106" t="inlineStr">
        <is>
          <t>float</t>
        </is>
      </c>
      <c r="F34" s="119" t="n">
        <v>0</v>
      </c>
      <c r="G34" s="119" t="inlineStr">
        <is>
          <t>面板不显示</t>
        </is>
      </c>
    </row>
    <row r="35">
      <c r="B35" s="108" t="n"/>
      <c r="C35" s="120" t="inlineStr">
        <is>
          <t>受治疗加成</t>
        </is>
      </c>
      <c r="D35" s="119" t="inlineStr">
        <is>
          <t>受到治疗时，调整治疗值</t>
        </is>
      </c>
      <c r="E35" s="106" t="inlineStr">
        <is>
          <t>float</t>
        </is>
      </c>
      <c r="F35" s="119" t="n">
        <v>0</v>
      </c>
      <c r="G35" s="119" t="inlineStr">
        <is>
          <t>面板不显示</t>
        </is>
      </c>
    </row>
    <row r="36">
      <c r="B36" s="108" t="n"/>
      <c r="C36" s="120" t="inlineStr">
        <is>
          <t>施加护盾加成</t>
        </is>
      </c>
      <c r="D36" s="1" t="inlineStr">
        <is>
          <t>战斗中释放护盾时，数值加成</t>
        </is>
      </c>
      <c r="E36" s="106" t="inlineStr">
        <is>
          <t>float</t>
        </is>
      </c>
      <c r="F36" s="119" t="n">
        <v>0</v>
      </c>
      <c r="G36" s="119" t="inlineStr">
        <is>
          <t>面板不显示</t>
        </is>
      </c>
      <c r="H36" s="115" t="inlineStr">
        <is>
          <t>暂时只在角色技能和被动中投放</t>
        </is>
      </c>
    </row>
    <row r="37">
      <c r="B37" s="108" t="n"/>
      <c r="C37" s="120" t="inlineStr">
        <is>
          <t>受到护盾加成</t>
        </is>
      </c>
      <c r="D37" s="1" t="inlineStr">
        <is>
          <t>战斗中受到护盾时，数值加成</t>
        </is>
      </c>
      <c r="E37" s="106" t="inlineStr">
        <is>
          <t>float</t>
        </is>
      </c>
      <c r="F37" s="119" t="n">
        <v>0</v>
      </c>
      <c r="G37" s="119" t="inlineStr">
        <is>
          <t>面板不显示</t>
        </is>
      </c>
      <c r="H37" s="115" t="inlineStr">
        <is>
          <t>暂时只在角色技能和被动中投放</t>
        </is>
      </c>
    </row>
    <row r="38">
      <c r="B38" s="108" t="n"/>
      <c r="C38" s="120" t="inlineStr">
        <is>
          <t>释放盾牌加成</t>
        </is>
      </c>
      <c r="D38" s="1" t="inlineStr">
        <is>
          <t>战斗中释放护盾时，盾牌生命数值加成</t>
        </is>
      </c>
      <c r="E38" s="106" t="inlineStr">
        <is>
          <t>float</t>
        </is>
      </c>
      <c r="F38" s="119" t="n">
        <v>0</v>
      </c>
      <c r="G38" s="119" t="inlineStr">
        <is>
          <t>面板不显示</t>
        </is>
      </c>
      <c r="H38" s="115" t="inlineStr">
        <is>
          <t>暂时只在角色技能和被动中投放</t>
        </is>
      </c>
    </row>
    <row r="39">
      <c r="B39" s="108" t="n"/>
      <c r="C39" s="16" t="inlineStr">
        <is>
          <t>格挡</t>
        </is>
      </c>
      <c r="D39" s="106" t="inlineStr">
        <is>
          <t>受到伤害时，触发格挡的概率</t>
        </is>
      </c>
      <c r="E39" s="106" t="inlineStr">
        <is>
          <t>float</t>
        </is>
      </c>
      <c r="F39" s="119" t="n">
        <v>0</v>
      </c>
      <c r="G39" s="119" t="inlineStr">
        <is>
          <t>面板不显示</t>
        </is>
      </c>
      <c r="H39" s="115" t="inlineStr">
        <is>
          <t>暂时只在角色技能和被动中投放</t>
        </is>
      </c>
    </row>
    <row r="40">
      <c r="B40" s="108" t="n"/>
      <c r="C40" s="16" t="inlineStr">
        <is>
          <t>格挡强度</t>
        </is>
      </c>
      <c r="D40" s="1" t="inlineStr">
        <is>
          <t>触发格挡时，受到的最终伤害</t>
        </is>
      </c>
      <c r="E40" s="106" t="inlineStr">
        <is>
          <t>float</t>
        </is>
      </c>
      <c r="F40" s="119" t="n">
        <v>0</v>
      </c>
      <c r="G40" s="119" t="inlineStr">
        <is>
          <t>面板不显示</t>
        </is>
      </c>
      <c r="H40" s="115" t="inlineStr">
        <is>
          <t>暂时只在角色技能和被动中投放</t>
        </is>
      </c>
    </row>
    <row r="41">
      <c r="B41" s="108" t="n"/>
      <c r="C41" s="16" t="inlineStr">
        <is>
          <t>破击</t>
        </is>
      </c>
      <c r="D41" s="1" t="inlineStr">
        <is>
          <t>降低敌方触发格挡的概率</t>
        </is>
      </c>
      <c r="E41" s="106" t="inlineStr">
        <is>
          <t>float</t>
        </is>
      </c>
      <c r="F41" s="119" t="n">
        <v>0</v>
      </c>
      <c r="G41" s="119" t="inlineStr">
        <is>
          <t>面板不显示</t>
        </is>
      </c>
      <c r="H41" s="115" t="inlineStr">
        <is>
          <t>暂时只在角色技能和被动中投放</t>
        </is>
      </c>
    </row>
    <row r="42" ht="33" customHeight="1" s="124">
      <c r="B42" s="108" t="n"/>
      <c r="C42" s="16" t="inlineStr">
        <is>
          <t>冷却缩减</t>
        </is>
      </c>
      <c r="D42" s="1" t="inlineStr">
        <is>
          <t>释放技能的冷却缩减</t>
        </is>
      </c>
      <c r="E42" s="106" t="inlineStr">
        <is>
          <t>float</t>
        </is>
      </c>
      <c r="F42" s="119" t="n">
        <v>0</v>
      </c>
      <c r="G42" s="119" t="inlineStr">
        <is>
          <t>面板不显示</t>
        </is>
      </c>
      <c r="H42" s="121" t="inlineStr">
        <is>
          <t>角色技能释放的技能间隔缩减，最高上限为75%，可拉出来配置
例如一个角色的技能间隔为5s，获得20%的技能冷却缩减，则技能间隔变为4s</t>
        </is>
      </c>
    </row>
    <row r="43">
      <c r="B43" s="108" t="n"/>
      <c r="C43" s="105" t="inlineStr">
        <is>
          <t>玩法伤害加成</t>
        </is>
      </c>
      <c r="D43" s="106" t="inlineStr">
        <is>
          <t>增加战斗中造成的伤害</t>
        </is>
      </c>
      <c r="E43" s="106" t="inlineStr">
        <is>
          <t>float</t>
        </is>
      </c>
      <c r="F43" s="106" t="n">
        <v>0</v>
      </c>
      <c r="G43" s="118" t="inlineStr">
        <is>
          <t>面板不显示</t>
        </is>
      </c>
      <c r="H43" s="8" t="inlineStr">
        <is>
          <t>玩法中才会投放，和伤害加成和减免不是一个乘区</t>
        </is>
      </c>
    </row>
    <row r="44">
      <c r="B44" s="109" t="n"/>
      <c r="C44" s="105" t="inlineStr">
        <is>
          <t>玩法伤害减免</t>
        </is>
      </c>
      <c r="D44" s="106" t="inlineStr">
        <is>
          <t>减免战斗中造成的伤害</t>
        </is>
      </c>
      <c r="E44" s="106" t="inlineStr">
        <is>
          <t>float</t>
        </is>
      </c>
      <c r="F44" s="106" t="n">
        <v>0</v>
      </c>
      <c r="G44" s="119" t="inlineStr">
        <is>
          <t>面板不显示</t>
        </is>
      </c>
    </row>
    <row r="45">
      <c r="B45" s="122" t="inlineStr">
        <is>
          <t>百分比加成属性</t>
        </is>
      </c>
      <c r="C45" s="105" t="inlineStr">
        <is>
          <t>生命%</t>
        </is>
      </c>
      <c r="D45" s="1" t="inlineStr">
        <is>
          <t>加成角色基础生命的百分比</t>
        </is>
      </c>
      <c r="E45" s="106" t="inlineStr">
        <is>
          <t>float</t>
        </is>
      </c>
      <c r="F45" s="106" t="n">
        <v>0</v>
      </c>
      <c r="G45" s="119" t="inlineStr">
        <is>
          <t>面板不显示</t>
        </is>
      </c>
      <c r="H45" s="1" t="inlineStr">
        <is>
          <t>只计算角色裸体属性，后端需要计算完传给前端</t>
        </is>
      </c>
    </row>
    <row r="46">
      <c r="B46" s="108" t="n"/>
      <c r="C46" s="105" t="inlineStr">
        <is>
          <t>攻击%</t>
        </is>
      </c>
      <c r="D46" s="1" t="inlineStr">
        <is>
          <t>加成角色攻击的百分比</t>
        </is>
      </c>
      <c r="E46" s="106" t="inlineStr">
        <is>
          <t>float</t>
        </is>
      </c>
      <c r="F46" s="106" t="n">
        <v>0</v>
      </c>
      <c r="G46" s="119" t="inlineStr">
        <is>
          <t>面板不显示</t>
        </is>
      </c>
      <c r="H46" s="1" t="inlineStr">
        <is>
          <t>只计算角色裸体属性，后端需要计算完传给前端</t>
        </is>
      </c>
    </row>
    <row r="47">
      <c r="B47" s="108" t="n"/>
      <c r="C47" s="105" t="inlineStr">
        <is>
          <t>攻击%</t>
        </is>
      </c>
      <c r="D47" s="1" t="inlineStr">
        <is>
          <t>加成角色攻击的百分比</t>
        </is>
      </c>
      <c r="E47" s="106" t="inlineStr">
        <is>
          <t>float</t>
        </is>
      </c>
      <c r="F47" s="106" t="n">
        <v>0</v>
      </c>
      <c r="G47" s="119" t="inlineStr">
        <is>
          <t>面板不显示</t>
        </is>
      </c>
      <c r="H47" s="1" t="inlineStr">
        <is>
          <t>只计算角色裸体属性，后端需要计算完传给前端</t>
        </is>
      </c>
    </row>
    <row r="48">
      <c r="B48" s="108" t="n"/>
      <c r="C48" s="105" t="inlineStr">
        <is>
          <t>防御力%</t>
        </is>
      </c>
      <c r="D48" s="1" t="inlineStr">
        <is>
          <t>加成角色防御的百分比</t>
        </is>
      </c>
      <c r="E48" s="106" t="inlineStr">
        <is>
          <t>float</t>
        </is>
      </c>
      <c r="F48" s="106" t="n">
        <v>0</v>
      </c>
      <c r="G48" s="119" t="inlineStr">
        <is>
          <t>面板不显示</t>
        </is>
      </c>
      <c r="H48" s="1" t="inlineStr">
        <is>
          <t>只计算角色裸体属性，后端需要计算完传给前端</t>
        </is>
      </c>
    </row>
    <row r="49">
      <c r="B49" s="108" t="n"/>
      <c r="C49" s="105" t="inlineStr">
        <is>
          <t>攻击速度%</t>
        </is>
      </c>
      <c r="D49" s="1" t="inlineStr">
        <is>
          <t>加成角色基础攻速的百分比</t>
        </is>
      </c>
      <c r="E49" s="106" t="inlineStr">
        <is>
          <t>float</t>
        </is>
      </c>
      <c r="F49" s="106" t="n">
        <v>0</v>
      </c>
      <c r="G49" s="119" t="inlineStr">
        <is>
          <t>面板不显示</t>
        </is>
      </c>
      <c r="H49" s="1" t="inlineStr">
        <is>
          <t>后端只需要将这个值传给前端，战斗中前端自己计算</t>
        </is>
      </c>
    </row>
    <row r="50">
      <c r="B50" s="109" t="n"/>
      <c r="C50" s="105" t="inlineStr">
        <is>
          <t>能量回复%</t>
        </is>
      </c>
      <c r="D50" s="1" t="inlineStr">
        <is>
          <t>加成角色基础能量回复速度的百分比</t>
        </is>
      </c>
      <c r="E50" s="106" t="inlineStr">
        <is>
          <t>float</t>
        </is>
      </c>
      <c r="F50" s="106" t="n">
        <v>0</v>
      </c>
      <c r="G50" s="119" t="inlineStr">
        <is>
          <t>面板不显示</t>
        </is>
      </c>
      <c r="H50" s="1" t="inlineStr">
        <is>
          <t>后端只需要将这个值传给前端，战斗中前端自己计算</t>
        </is>
      </c>
    </row>
    <row r="51">
      <c r="B51" s="122" t="inlineStr">
        <is>
          <t>等级属性</t>
        </is>
      </c>
      <c r="C51" s="105" t="inlineStr">
        <is>
          <t>暴击等级</t>
        </is>
      </c>
      <c r="D51" s="1" t="inlineStr">
        <is>
          <t>加成角色暴击几率的等级，通关一套公式转化为加成的暴击几率</t>
        </is>
      </c>
      <c r="E51" s="106" t="inlineStr">
        <is>
          <t>float</t>
        </is>
      </c>
      <c r="F51" s="106" t="n">
        <v>0</v>
      </c>
      <c r="G51" s="118" t="inlineStr">
        <is>
          <t>面板显示</t>
        </is>
      </c>
      <c r="H51" s="1" t="inlineStr">
        <is>
          <t>后端需要计算完传给前端</t>
        </is>
      </c>
    </row>
    <row r="52">
      <c r="B52" s="108" t="n"/>
      <c r="C52" s="105" t="inlineStr">
        <is>
          <t>暴击伤害等级</t>
        </is>
      </c>
      <c r="D52" s="1" t="inlineStr">
        <is>
          <t>加成角色暴击伤害的等级，通关一套公式转化为加成的暴击伤害</t>
        </is>
      </c>
      <c r="E52" s="106" t="inlineStr">
        <is>
          <t>float</t>
        </is>
      </c>
      <c r="F52" s="106" t="n">
        <v>0</v>
      </c>
      <c r="G52" s="118" t="inlineStr">
        <is>
          <t>面板显示</t>
        </is>
      </c>
      <c r="H52" s="1" t="inlineStr">
        <is>
          <t>后端需要计算完传给前端</t>
        </is>
      </c>
    </row>
    <row r="53">
      <c r="B53" s="108" t="n"/>
      <c r="C53" s="105" t="inlineStr">
        <is>
          <t>能量回复等级</t>
        </is>
      </c>
      <c r="D53" s="1" t="inlineStr">
        <is>
          <t>加成角色能量回复%的等级，通关一套公式转化为加成的能量回复%</t>
        </is>
      </c>
      <c r="E53" s="106" t="inlineStr">
        <is>
          <t>float</t>
        </is>
      </c>
      <c r="F53" s="106" t="n">
        <v>0</v>
      </c>
      <c r="G53" s="118" t="inlineStr">
        <is>
          <t>面板显示</t>
        </is>
      </c>
      <c r="H53" s="1" t="inlineStr">
        <is>
          <t>后端需要计算完传给前端</t>
        </is>
      </c>
    </row>
    <row r="54">
      <c r="B54" s="108" t="n"/>
      <c r="C54" s="105" t="inlineStr">
        <is>
          <t>技能冷却等级</t>
        </is>
      </c>
      <c r="D54" s="1" t="inlineStr">
        <is>
          <t>加成角色技能冷却的等级，通关一套公式转化为加成的技能冷却</t>
        </is>
      </c>
      <c r="E54" s="106" t="inlineStr">
        <is>
          <t>float</t>
        </is>
      </c>
      <c r="F54" s="106" t="n">
        <v>0</v>
      </c>
      <c r="G54" s="118" t="inlineStr">
        <is>
          <t>面板显示</t>
        </is>
      </c>
      <c r="H54" s="1" t="inlineStr">
        <is>
          <t>后端需要计算完传给前端</t>
        </is>
      </c>
    </row>
    <row r="55">
      <c r="B55" s="108" t="n"/>
      <c r="C55" s="105" t="inlineStr">
        <is>
          <t>格挡等级</t>
        </is>
      </c>
      <c r="D55" s="1" t="inlineStr">
        <is>
          <t>加成格挡率的等级，通关一套公式转化为加成的格挡率</t>
        </is>
      </c>
      <c r="E55" s="106" t="inlineStr">
        <is>
          <t>float</t>
        </is>
      </c>
      <c r="F55" s="106" t="n">
        <v>0</v>
      </c>
      <c r="G55" s="118" t="inlineStr">
        <is>
          <t>面板显示</t>
        </is>
      </c>
      <c r="H55" s="1" t="inlineStr">
        <is>
          <t>后端需要计算完传给前端</t>
        </is>
      </c>
    </row>
    <row r="56">
      <c r="B56" s="109" t="n"/>
      <c r="C56" s="105" t="n"/>
      <c r="E56" s="106" t="n"/>
      <c r="F56" s="106" t="n"/>
      <c r="G56" s="118" t="n"/>
    </row>
    <row r="59" ht="24.75" customHeight="1" s="124">
      <c r="B59" s="93" t="inlineStr">
        <is>
          <t>战斗内属性计算逻辑</t>
        </is>
      </c>
    </row>
    <row r="60">
      <c r="B60" s="80" t="inlineStr">
        <is>
          <t>游戏中不同系统模块的同一种属性的加成方式用加法,比如模块A提供10%暴击，B模块提供20%暴击，则合并计算为10%+20%=30%暴击，其他数值以此类推</t>
        </is>
      </c>
    </row>
    <row r="61">
      <c r="B61" s="80" t="inlineStr">
        <is>
          <t>战斗外成长系统得到各属性初始值，进入战斗后，初始属性可被buff修改</t>
        </is>
      </c>
    </row>
    <row r="63">
      <c r="B63" s="96" t="inlineStr">
        <is>
          <t>buff对int属性的修改：</t>
        </is>
      </c>
    </row>
    <row r="64">
      <c r="B64" s="16" t="inlineStr">
        <is>
          <t>最终属性=进入战斗时初始属性数值 * （1 + 所有buff乘法计算数值和） + 所有buff加法计算数值和 ，其中buff的数值是根据单位buff情况实时变化的</t>
        </is>
      </c>
    </row>
    <row r="65">
      <c r="B65" s="16" t="inlineStr">
        <is>
          <t>另外，战斗内外的百分比属性需要分开计算</t>
        </is>
      </c>
    </row>
    <row r="67">
      <c r="B67" s="1" t="inlineStr">
        <is>
          <t>例如：角色在外部养成有1000点攻击和50%的攻击加成，局内又吃到了1000点的固定攻击buff和20%的攻击加成buff</t>
        </is>
      </c>
    </row>
    <row r="68">
      <c r="B68" s="1" t="inlineStr">
        <is>
          <t>进入战斗时初始攻击=1000*1.5=1500</t>
        </is>
      </c>
    </row>
    <row r="69">
      <c r="B69" s="1" t="inlineStr">
        <is>
          <t>最终攻击=1500*1.2+1000=2800</t>
        </is>
      </c>
    </row>
    <row r="71">
      <c r="B71" s="96" t="inlineStr">
        <is>
          <t>buff对float属性的修改：</t>
        </is>
      </c>
    </row>
    <row r="72">
      <c r="B72" s="1" t="inlineStr">
        <is>
          <t>最终属性=进入战斗时初始属性数值+所有buff属性之和</t>
        </is>
      </c>
    </row>
    <row r="73">
      <c r="B73" s="1" t="inlineStr">
        <is>
          <t>例如：角色在外部养成有50%暴击几率，局内又吃到了20%暴击加成buff</t>
        </is>
      </c>
    </row>
    <row r="74">
      <c r="B74" s="1" t="inlineStr">
        <is>
          <t>最终暴击率=50%+20%=70%</t>
        </is>
      </c>
    </row>
    <row r="76" ht="24.75" customHeight="1" s="124">
      <c r="B76" s="93" t="inlineStr">
        <is>
          <t>等级属性计算</t>
        </is>
      </c>
    </row>
    <row r="78">
      <c r="B78" s="1" t="inlineStr">
        <is>
          <t>计算公式</t>
        </is>
      </c>
    </row>
    <row r="79">
      <c r="B79" s="1" t="inlineStr">
        <is>
          <t>加成属性</t>
        </is>
      </c>
      <c r="C79" s="1" t="inlineStr">
        <is>
          <t>=</t>
        </is>
      </c>
      <c r="D79" s="1" t="inlineStr">
        <is>
          <t>等级属性/转化参数</t>
        </is>
      </c>
    </row>
    <row r="81">
      <c r="B81" s="8" t="inlineStr">
        <is>
          <t>例如</t>
        </is>
      </c>
      <c r="C81" s="1" t="inlineStr">
        <is>
          <t>一个角色的暴击等级为100，转化参数为5000，由暴击等级提供的暴击几率为2%</t>
        </is>
      </c>
    </row>
    <row r="82">
      <c r="B82" s="4" t="n"/>
      <c r="C82" s="4" t="n"/>
      <c r="D82" s="4" t="n"/>
    </row>
    <row r="84" ht="24.75" customHeight="1" s="124">
      <c r="B84" s="93" t="inlineStr">
        <is>
          <t>面板属性计算</t>
        </is>
      </c>
    </row>
    <row r="85">
      <c r="B85" s="97" t="inlineStr">
        <is>
          <t>【生命】</t>
        </is>
      </c>
    </row>
    <row r="86">
      <c r="B86" s="97" t="inlineStr">
        <is>
          <t>英雄裸体生命=[英雄初始生命+英雄等级生命+英雄星盘生命+英雄突破生命]*当前品阶系数，面板显示四舍五入</t>
        </is>
      </c>
    </row>
    <row r="87">
      <c r="B87" s="97" t="inlineStr">
        <is>
          <t>面板生命=英雄裸体生命*（1+装备百分比生命+宝石百分比生命+天赋百分比生命+……+各来源百分比生命）+装备生命+宝石生命+天赋生命+……+各来源生命</t>
        </is>
      </c>
    </row>
    <row r="88">
      <c r="B88" s="97" t="n"/>
    </row>
    <row r="89">
      <c r="B89" s="97" t="inlineStr">
        <is>
          <t>【攻击】——统一攻击算法</t>
        </is>
      </c>
    </row>
    <row r="90">
      <c r="B90" s="97" t="inlineStr">
        <is>
          <t>英雄裸体攻击=[英雄初始攻击+英雄等级攻击+英雄星盘攻击+英雄突破攻击]*当前品阶系数，面板显示四舍五入</t>
        </is>
      </c>
    </row>
    <row r="91">
      <c r="B91" s="97" t="inlineStr">
        <is>
          <t>面板攻击=英雄裸体攻击*（1+装备百分比攻击+宝石百分比攻击+天赋百分比攻击+……+各来源百分比攻击）+装备攻击+宝石攻击+天赋攻击+……+各来源攻击</t>
        </is>
      </c>
    </row>
    <row r="92">
      <c r="B92" s="97" t="n"/>
    </row>
    <row r="93">
      <c r="B93" s="97" t="inlineStr">
        <is>
          <t>【防御】</t>
        </is>
      </c>
    </row>
    <row r="94">
      <c r="B94" s="97" t="inlineStr">
        <is>
          <t>英雄裸体防御=[英雄初始防御+英雄等级防御+英雄星盘防御+英雄突破防御]*当前品阶系数，面板显示四舍五入</t>
        </is>
      </c>
    </row>
    <row r="95">
      <c r="B95" s="97" t="inlineStr">
        <is>
          <t>面板防御=英雄裸体防御*（1+装备百分比防御+宝石百分比防御+天赋百分比防御+……+各来源百分比防御）+装备防御+宝石防御+天赋防御+……+各来源防御</t>
        </is>
      </c>
    </row>
    <row r="96">
      <c r="B96" s="97" t="n"/>
    </row>
    <row r="97">
      <c r="B97" s="97" t="inlineStr">
        <is>
          <t>【能量回复速度】</t>
        </is>
      </c>
    </row>
    <row r="98">
      <c r="B98" s="97" t="inlineStr">
        <is>
          <t>角色基础能量回复速度，角色最终能量回复速度=角色基础能量回复速度*（1+能量回复速度%）</t>
        </is>
      </c>
    </row>
    <row r="99">
      <c r="B99" s="97" t="n"/>
    </row>
    <row r="100">
      <c r="B100" s="97" t="inlineStr">
        <is>
          <t>【能量回复速度%】</t>
        </is>
      </c>
    </row>
    <row r="101">
      <c r="B101" s="97" t="inlineStr">
        <is>
          <t>装备能量回复速度%+宝石能量回复速度%+天赋能量回复速度%+……+各来源能量回复速度%</t>
        </is>
      </c>
    </row>
    <row r="102">
      <c r="B102" s="97" t="n"/>
    </row>
    <row r="103">
      <c r="B103" s="97" t="inlineStr">
        <is>
          <t>【暴击】</t>
        </is>
      </c>
    </row>
    <row r="104">
      <c r="B104" s="97" t="inlineStr">
        <is>
          <t>面板暴击=英雄基础暴击+装备暴击+宝石暴击+天赋暴击+……+各来源暴击</t>
        </is>
      </c>
    </row>
    <row r="105">
      <c r="B105" s="123" t="n"/>
    </row>
    <row r="106">
      <c r="B106" s="97" t="inlineStr">
        <is>
          <t>【暴击伤害】</t>
        </is>
      </c>
    </row>
    <row r="107">
      <c r="B107" s="97" t="inlineStr">
        <is>
          <t>面板暴击伤害=英雄基础暴击伤害+装备暴击伤害+宝石暴击伤害+天赋暴击伤害+……+各来源暴击伤害</t>
        </is>
      </c>
    </row>
    <row r="108">
      <c r="B108" s="97" t="n"/>
    </row>
    <row r="109">
      <c r="B109" s="97" t="inlineStr">
        <is>
          <t>【闪避】</t>
        </is>
      </c>
    </row>
    <row r="110">
      <c r="B110" s="97" t="inlineStr">
        <is>
          <t>面板闪避=英雄基础闪避+装备闪避+宝石闪避+天赋闪避+……+各来源闪避</t>
        </is>
      </c>
    </row>
    <row r="111">
      <c r="B111" s="97" t="n"/>
    </row>
    <row r="112">
      <c r="B112" s="97" t="inlineStr">
        <is>
          <t>【命中】</t>
        </is>
      </c>
    </row>
    <row r="113">
      <c r="B113" s="97" t="inlineStr">
        <is>
          <t>面板命中=英雄基础命中+装备命中+宝石命中+天赋命中+……+各来源命中</t>
        </is>
      </c>
    </row>
    <row r="114">
      <c r="B114" s="97" t="n"/>
    </row>
    <row r="115">
      <c r="B115" s="97" t="inlineStr">
        <is>
          <t>【效果命中】</t>
        </is>
      </c>
    </row>
    <row r="116">
      <c r="B116" s="97" t="inlineStr">
        <is>
          <t>面板效果命中=英雄基础效果命中+装备效果命中+宝石效果命中+天赋效果命中+……+各来源效果命中</t>
        </is>
      </c>
    </row>
    <row r="117">
      <c r="B117" s="97" t="n"/>
    </row>
    <row r="118">
      <c r="B118" s="97" t="inlineStr">
        <is>
          <t>【效果抵抗】</t>
        </is>
      </c>
    </row>
    <row r="119">
      <c r="B119" s="97" t="inlineStr">
        <is>
          <t>面板效果抵抗=英雄基础效果抵抗+装备效果抵抗+宝石效果抵抗+天赋效果抵抗+……+各来源效果抵抗</t>
        </is>
      </c>
    </row>
    <row r="120">
      <c r="B120" s="97" t="n"/>
    </row>
    <row r="121">
      <c r="B121" s="97" t="inlineStr">
        <is>
          <t>【无视防御】</t>
        </is>
      </c>
    </row>
    <row r="122">
      <c r="B122" s="97" t="inlineStr">
        <is>
          <t>面板无视防御=英雄基础无视防御+装备无视防御+宝石无视防御+天赋无视防御+……+各来源无视防御</t>
        </is>
      </c>
    </row>
    <row r="123">
      <c r="B123" s="97" t="n"/>
    </row>
    <row r="124">
      <c r="B124" s="97" t="inlineStr">
        <is>
          <t>【攻击速度】</t>
        </is>
      </c>
    </row>
    <row r="125">
      <c r="B125" s="97" t="inlineStr">
        <is>
          <t>角色基础攻击速度</t>
        </is>
      </c>
    </row>
    <row r="126">
      <c r="B126" s="97" t="n"/>
    </row>
    <row r="127">
      <c r="B127" s="97" t="n"/>
    </row>
    <row r="128">
      <c r="B128" s="97" t="inlineStr">
        <is>
          <t>【攻击速度%】</t>
        </is>
      </c>
    </row>
    <row r="129">
      <c r="B129" s="97" t="inlineStr">
        <is>
          <t>装备攻击速度%+宝石攻击速度%+天赋攻击速度%+……+各来源攻击速度%</t>
        </is>
      </c>
    </row>
    <row r="130">
      <c r="B130" s="97" t="n"/>
    </row>
    <row r="131">
      <c r="B131" s="97" t="inlineStr">
        <is>
          <t>【伤害加成】</t>
        </is>
      </c>
      <c r="C131" s="1" t="inlineStr">
        <is>
          <t>所有伤害加成和这个同理</t>
        </is>
      </c>
    </row>
    <row r="132">
      <c r="B132" s="97" t="inlineStr">
        <is>
          <t>面板伤害加成=英雄基础伤害加成+装备伤害加成+宝石伤害加成+天赋伤害加成+……+各来源伤害加成</t>
        </is>
      </c>
    </row>
    <row r="133">
      <c r="B133" s="97" t="n"/>
    </row>
    <row r="134">
      <c r="B134" s="97" t="inlineStr">
        <is>
          <t>【伤害减免】</t>
        </is>
      </c>
    </row>
    <row r="135">
      <c r="B135" s="97" t="inlineStr">
        <is>
          <t>面板伤害减免=英雄基础伤害减免+装备伤害减免+宝石伤害减免+天赋伤害减免+……+各来源伤害减免</t>
        </is>
      </c>
    </row>
    <row r="137">
      <c r="B137" s="97" t="inlineStr">
        <is>
          <t>【治疗加成】</t>
        </is>
      </c>
    </row>
    <row r="138">
      <c r="B138" s="97" t="inlineStr">
        <is>
          <t>面板治疗加成=英雄基础治疗加成+装备治疗加成+宝石治疗加成+天赋治疗加成+……+各来源治疗加成</t>
        </is>
      </c>
    </row>
    <row r="140">
      <c r="B140" s="97" t="inlineStr">
        <is>
          <t>【受到伤害增加】</t>
        </is>
      </c>
    </row>
    <row r="141">
      <c r="B141" s="97" t="inlineStr">
        <is>
          <t>面板受到伤害增加=英雄基础受到伤害增加+装备受到伤害增加+宝石受到伤害增加+天赋受到伤害增加+……+各来源受到伤害增加</t>
        </is>
      </c>
    </row>
    <row r="143">
      <c r="B143" s="97" t="inlineStr">
        <is>
          <t>【受治疗加成】</t>
        </is>
      </c>
    </row>
    <row r="144">
      <c r="B144" s="97" t="inlineStr">
        <is>
          <t>面板受治疗加成=英雄基础受治疗加成+装备受治疗加成+宝石受治疗加成+天赋受治疗加成+……+各来源受治疗加成</t>
        </is>
      </c>
    </row>
    <row r="146">
      <c r="B146" s="97" t="inlineStr">
        <is>
          <t>【施加护盾加成】</t>
        </is>
      </c>
    </row>
    <row r="147">
      <c r="B147" s="97" t="inlineStr">
        <is>
          <t>面板施加护盾加成=英雄基础施加护盾加成+装备施加护盾加成+宝石施加护盾加成+天赋施加护盾加成+……+各来源施加护盾加成</t>
        </is>
      </c>
    </row>
    <row r="149">
      <c r="B149" s="97" t="inlineStr">
        <is>
          <t>【受到护盾加成】</t>
        </is>
      </c>
    </row>
    <row r="150">
      <c r="B150" s="97" t="inlineStr">
        <is>
          <t>面板受到护盾加成=英雄基础受到护盾加成+装备受到护盾加成+宝石受到护盾加成+天赋受到护盾加成+……+各来源受到护盾加成</t>
        </is>
      </c>
    </row>
    <row r="152">
      <c r="B152" s="97" t="inlineStr">
        <is>
          <t>【施加盾牌加成】</t>
        </is>
      </c>
    </row>
    <row r="153">
      <c r="B153" s="97" t="inlineStr">
        <is>
          <t>面板施加盾牌加成=英雄基础施加盾牌加成+装备施加盾牌加成+宝石施加盾牌加成+天赋施加盾牌加成+……+各来源施加盾牌加成</t>
        </is>
      </c>
    </row>
    <row r="155">
      <c r="B155" s="97" t="inlineStr">
        <is>
          <t>【格挡】</t>
        </is>
      </c>
    </row>
    <row r="156">
      <c r="B156" s="97" t="inlineStr">
        <is>
          <t>面板格挡=英雄基础格挡+装备格挡+宝石格挡+天赋格挡+……+各来源格挡</t>
        </is>
      </c>
    </row>
    <row r="158">
      <c r="B158" s="97" t="inlineStr">
        <is>
          <t>【格挡强度】</t>
        </is>
      </c>
    </row>
    <row r="159">
      <c r="B159" s="97" t="inlineStr">
        <is>
          <t>面板格挡强度=英雄基础格挡强度+装备格挡强度+宝石格挡强度+天赋格挡强度+……+各来源格挡强度</t>
        </is>
      </c>
    </row>
    <row r="161">
      <c r="B161" s="97" t="inlineStr">
        <is>
          <t>【破击】</t>
        </is>
      </c>
    </row>
    <row r="162">
      <c r="B162" s="97" t="inlineStr">
        <is>
          <t>面板破击=英雄基础破击+装备破击+宝石破击+天赋破击+……+各来源破击</t>
        </is>
      </c>
    </row>
    <row r="164">
      <c r="B164" s="97" t="inlineStr">
        <is>
          <t>【技能冷却缩减】</t>
        </is>
      </c>
    </row>
    <row r="165">
      <c r="B165" s="97" t="inlineStr">
        <is>
          <t>面板技能冷却缩减=英雄基础技能冷却缩减+装备技能冷却缩减+宝石技能冷却缩减+天赋技能冷却缩减+……+各来源技能冷却缩减</t>
        </is>
      </c>
    </row>
    <row r="167">
      <c r="B167" s="97" t="inlineStr">
        <is>
          <t>【玩法伤害加成】</t>
        </is>
      </c>
    </row>
    <row r="168">
      <c r="B168" s="97" t="inlineStr">
        <is>
          <t>面板玩法伤害加成=英雄基础玩法伤害加成+装备玩法伤害加成+宝石玩法伤害加成+天赋玩法伤害加成+……+各来源玩法伤害加成</t>
        </is>
      </c>
    </row>
    <row r="170">
      <c r="B170" s="97" t="inlineStr">
        <is>
          <t>【玩法伤害减免】</t>
        </is>
      </c>
    </row>
    <row r="171">
      <c r="B171" s="97" t="inlineStr">
        <is>
          <t>面板玩法伤害减免=英雄基础玩法伤害减免+装备玩法伤害减免+宝石玩法伤害减免+天赋玩法伤害减免+……+各来源玩法伤害减免</t>
        </is>
      </c>
    </row>
    <row r="173">
      <c r="B173" s="97" t="inlineStr">
        <is>
          <t>【冷却缩减】</t>
        </is>
      </c>
    </row>
    <row r="174">
      <c r="B174" s="97" t="inlineStr">
        <is>
          <t>面板冷却缩减=英雄基础冷却缩减+装备冷却缩减+宝石冷却缩减+天赋冷却缩减+……+各来源冷却缩减</t>
        </is>
      </c>
    </row>
  </sheetData>
  <mergeCells count="5">
    <mergeCell ref="B51:B56"/>
    <mergeCell ref="H43:H44"/>
    <mergeCell ref="B8:B44"/>
    <mergeCell ref="B45:B50"/>
    <mergeCell ref="B3:B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O86"/>
  <sheetViews>
    <sheetView topLeftCell="A49" workbookViewId="0">
      <selection activeCell="A49" sqref="$A1:$XFD1048576"/>
    </sheetView>
  </sheetViews>
  <sheetFormatPr baseColWidth="8" defaultColWidth="9" defaultRowHeight="16.5"/>
  <cols>
    <col width="10.5" customWidth="1" style="1" min="1" max="1"/>
    <col width="11.75" customWidth="1" style="1" min="2" max="2"/>
    <col width="9" customWidth="1" style="1" min="3" max="16384"/>
  </cols>
  <sheetData>
    <row r="3" ht="24.75" customHeight="1" s="124">
      <c r="B3" s="93" t="inlineStr">
        <is>
          <t>战斗计算规则</t>
        </is>
      </c>
    </row>
    <row r="5" ht="21" customFormat="1" customHeight="1" s="12">
      <c r="B5" s="94" t="inlineStr">
        <is>
          <t>攻击行为</t>
        </is>
      </c>
    </row>
    <row r="7" ht="21" customHeight="1" s="124">
      <c r="B7" s="95" t="inlineStr">
        <is>
          <t>流程1</t>
        </is>
      </c>
      <c r="C7" s="80" t="inlineStr">
        <is>
          <t>每次攻击先判定是否命中</t>
        </is>
      </c>
    </row>
    <row r="9">
      <c r="A9" s="12" t="n"/>
      <c r="B9" s="96" t="inlineStr">
        <is>
          <t>命中概率为=（攻击者命中 - 受击者闪避）， 如果数值大于等于1则必然命中，数值小于等于X则取最小命中概率X，在0-1之间随机，X为10%</t>
        </is>
      </c>
    </row>
    <row r="10">
      <c r="B10" s="80" t="inlineStr">
        <is>
          <t>技能未命中的情况默认不触发后续机制，除非有特殊说明</t>
        </is>
      </c>
    </row>
    <row r="11">
      <c r="B11" s="80" t="n"/>
    </row>
    <row r="12">
      <c r="B12" s="80" t="n"/>
    </row>
    <row r="13" ht="21" customHeight="1" s="124">
      <c r="B13" s="95" t="inlineStr">
        <is>
          <t>流程2</t>
        </is>
      </c>
      <c r="C13" s="80" t="inlineStr">
        <is>
          <t>进行伤害类型的判断</t>
        </is>
      </c>
    </row>
    <row r="15">
      <c r="B15" s="96" t="inlineStr">
        <is>
          <t>真实伤害</t>
        </is>
      </c>
    </row>
    <row r="16">
      <c r="B16" s="80" t="inlineStr">
        <is>
          <t>不进行伤害公式计算，不受护盾影响，直接扣除给定数值的生命（百分比or固定值）</t>
        </is>
      </c>
    </row>
    <row r="17">
      <c r="B17" s="96" t="n"/>
    </row>
    <row r="18">
      <c r="B18" s="96" t="inlineStr">
        <is>
          <t>物理伤害or魔法伤害</t>
        </is>
      </c>
    </row>
    <row r="19">
      <c r="B19" s="1" t="inlineStr">
        <is>
          <t>走以下伤害数值的计算</t>
        </is>
      </c>
    </row>
    <row r="21" ht="21" customHeight="1" s="124">
      <c r="B21" s="95" t="inlineStr">
        <is>
          <t>流程3</t>
        </is>
      </c>
      <c r="C21" s="80" t="inlineStr">
        <is>
          <t>计算初步伤害数值</t>
        </is>
      </c>
    </row>
    <row r="22">
      <c r="B22" s="97" t="n"/>
    </row>
    <row r="24">
      <c r="B24" s="80" t="inlineStr">
        <is>
          <t>伤害基数=带入伤害公式的数值，在子弹或攻击组件中计算得出</t>
        </is>
      </c>
    </row>
    <row r="25">
      <c r="B25" s="80" t="inlineStr">
        <is>
          <t>物理伤害/魔法伤害取决于伤害组件的配置，公式相同，作为逻辑标签使用</t>
        </is>
      </c>
    </row>
    <row r="26">
      <c r="A26" s="12" t="n"/>
      <c r="B26" s="96" t="inlineStr">
        <is>
          <t>伤害=伤害基数*[（1-(受击者 防御*（1 - 攻击者 无视防御）/【(受击者 防御 *（1- 攻击者 无视防御）+X)】，X为常数根据需求调整（可配置在全局表中），最低伤害保底：伤害基数 * 5%</t>
        </is>
      </c>
    </row>
    <row r="27">
      <c r="B27" s="96" t="n"/>
      <c r="L27" s="22" t="inlineStr">
        <is>
          <t>X的值为</t>
        </is>
      </c>
      <c r="M27" s="74" t="n">
        <v>24000</v>
      </c>
    </row>
    <row r="28" ht="21" customHeight="1" s="124">
      <c r="B28" s="95" t="inlineStr">
        <is>
          <t>流程4</t>
        </is>
      </c>
      <c r="C28" s="80" t="inlineStr">
        <is>
          <t>判断是否暴击</t>
        </is>
      </c>
    </row>
    <row r="30">
      <c r="B30" s="80" t="inlineStr">
        <is>
          <t>由攻击者 暴击率 属性决定 ，数值大于等于1必暴击，数值小于等于0必不暴击</t>
        </is>
      </c>
    </row>
    <row r="31">
      <c r="B31" s="80" t="inlineStr">
        <is>
          <t>命中后判定暴击</t>
        </is>
      </c>
    </row>
    <row r="32">
      <c r="B32" s="80" t="inlineStr">
        <is>
          <t>如果勾选必定暴击，则判断为暴击，如果没勾选，则进行随机</t>
        </is>
      </c>
    </row>
    <row r="33">
      <c r="B33" s="98" t="inlineStr">
        <is>
          <t>如果暴击</t>
        </is>
      </c>
    </row>
    <row r="34">
      <c r="B34" s="96" t="inlineStr">
        <is>
          <t>暴击伤害 = 伤害 * 攻击者暴击伤害</t>
        </is>
      </c>
    </row>
    <row r="35">
      <c r="B35" s="99" t="n"/>
    </row>
    <row r="36">
      <c r="B36" s="99" t="n"/>
    </row>
    <row r="37" ht="21" customHeight="1" s="124">
      <c r="B37" s="95" t="inlineStr">
        <is>
          <t>流程5</t>
        </is>
      </c>
      <c r="C37" s="80" t="inlineStr">
        <is>
          <t>判断是否格挡</t>
        </is>
      </c>
      <c r="E37" s="1" t="inlineStr">
        <is>
          <t>如果既格挡又暴击，则在表现上只显示格挡</t>
        </is>
      </c>
    </row>
    <row r="39">
      <c r="B39" s="80" t="inlineStr">
        <is>
          <t>由攻击者 破击率 属性决定和防御者格挡率决定是否触发格挡</t>
        </is>
      </c>
    </row>
    <row r="40">
      <c r="B40" s="1" t="inlineStr">
        <is>
          <t>格挡概率=受击者格挡率-攻击者破击率，最低为0，最高为1</t>
        </is>
      </c>
    </row>
    <row r="41">
      <c r="B41" s="96" t="inlineStr">
        <is>
          <t>如果格挡</t>
        </is>
      </c>
    </row>
    <row r="42">
      <c r="B42" s="96" t="inlineStr">
        <is>
          <t>格挡后伤害=计算暴击后的伤害*(1-基础格挡伤害X-格挡强度）</t>
        </is>
      </c>
    </row>
    <row r="43">
      <c r="D43" s="22" t="inlineStr">
        <is>
          <t>X</t>
        </is>
      </c>
      <c r="E43" s="100" t="n">
        <v>0.5</v>
      </c>
    </row>
    <row r="44">
      <c r="D44" s="1" t="inlineStr">
        <is>
          <t>格挡强度∈【0,1】</t>
        </is>
      </c>
    </row>
    <row r="45">
      <c r="B45" s="99" t="inlineStr">
        <is>
          <t>举例</t>
        </is>
      </c>
    </row>
    <row r="46">
      <c r="B46" s="99" t="inlineStr">
        <is>
          <t>受击者的格挡强度为20%，受击者计算完暴击后，应该受到的伤害为1000，此时触发了格挡</t>
        </is>
      </c>
      <c r="M46" s="25" t="n"/>
      <c r="O46" s="25" t="n"/>
    </row>
    <row r="47">
      <c r="B47" s="99" t="inlineStr">
        <is>
          <t>触发格挡后，受到的伤害为1000*（1-50-20%）=300</t>
        </is>
      </c>
    </row>
    <row r="48">
      <c r="B48" s="99" t="n"/>
    </row>
    <row r="49">
      <c r="B49" s="99" t="n"/>
    </row>
    <row r="50">
      <c r="B50" s="99" t="n"/>
    </row>
    <row r="51">
      <c r="B51" s="99" t="n"/>
    </row>
    <row r="53" ht="21" customHeight="1" s="124">
      <c r="B53" s="95" t="inlineStr">
        <is>
          <t>流程6</t>
        </is>
      </c>
      <c r="C53" s="1" t="inlineStr">
        <is>
          <t>计算最终伤害</t>
        </is>
      </c>
    </row>
    <row r="54">
      <c r="B54" s="96" t="inlineStr">
        <is>
          <t>最终伤害 =</t>
        </is>
      </c>
    </row>
    <row r="55">
      <c r="B55" s="16" t="inlineStr">
        <is>
          <t>计算完暴击、格挡后伤害 *（1+ 攻击者 伤害加成）*（1 - 受击者 伤害减免）*（1 + 受击者受到伤害增加）*（1+ 攻击者 玩法伤害加成）*（1 - 受击者 玩法伤害减免）</t>
        </is>
      </c>
    </row>
    <row r="56">
      <c r="B56" s="16" t="n"/>
    </row>
    <row r="58">
      <c r="A58" s="12" t="n"/>
      <c r="B58" s="101" t="inlineStr">
        <is>
          <t>所有类型的伤害加成的乘区相同</t>
        </is>
      </c>
    </row>
    <row r="59">
      <c r="B59" s="1" t="inlineStr">
        <is>
          <t>例如：A角色拥有10%伤害增加，20%单体伤害增加，30%群体伤害增加，40%技能伤害增加，50%必杀伤害增加，60%的物理伤害增加和70%的魔法伤害增加</t>
        </is>
      </c>
    </row>
    <row r="60">
      <c r="B60" s="1" t="inlineStr">
        <is>
          <t>那么他放单体物理技能时的伤害增加值为10%+20%+40%+60%=130%</t>
        </is>
      </c>
    </row>
    <row r="61">
      <c r="B61" s="1" t="inlineStr">
        <is>
          <t>那么他放群体魔法必杀时的伤害增加值为10%+30%+50%+70%=160%</t>
        </is>
      </c>
    </row>
    <row r="63">
      <c r="B63" s="101" t="inlineStr">
        <is>
          <t>公式中 受击者 伤害减免属性 计算结果 最大不超过X%，X为75</t>
        </is>
      </c>
    </row>
    <row r="64">
      <c r="B64" s="96" t="inlineStr">
        <is>
          <t>最终伤害数值保底为X,X为1</t>
        </is>
      </c>
    </row>
    <row r="65">
      <c r="B65" s="96" t="inlineStr">
        <is>
          <t>物理伤害或魔法伤害可被护盾吸收，优先扣除护盾值，再扣除生命</t>
        </is>
      </c>
    </row>
    <row r="67">
      <c r="B67" s="99" t="n"/>
    </row>
    <row r="70" ht="21" customFormat="1" customHeight="1" s="12">
      <c r="B70" s="102" t="inlineStr">
        <is>
          <t>加血行为</t>
        </is>
      </c>
    </row>
    <row r="72">
      <c r="B72" s="80" t="inlineStr">
        <is>
          <t>治疗or恢复 的标签 取决于治疗组件的配置，公式相同，作为逻辑标签使用</t>
        </is>
      </c>
    </row>
    <row r="73">
      <c r="B73" s="101" t="inlineStr">
        <is>
          <t>加血数值 = 加血基数 * （ 1 + 治疗者 治疗加成 + 被治疗者 受治疗加成） 计算结果保底为 1</t>
        </is>
      </c>
    </row>
    <row r="74">
      <c r="B74" s="97" t="n"/>
    </row>
    <row r="75">
      <c r="B75" s="97" t="inlineStr">
        <is>
          <t>如果是治疗标签，则要判定是否暴击，恢复标签不会暴击</t>
        </is>
      </c>
      <c r="L75" s="1" t="inlineStr">
        <is>
          <t>设计预期治疗可以投固定值，恢复则是百分比</t>
        </is>
      </c>
    </row>
    <row r="76">
      <c r="B76" s="96" t="inlineStr">
        <is>
          <t>由治疗者 暴击率 属性决定 ，数值大于等于1必暴击，数值小于等于0必不暴击，在0-1之间随机</t>
        </is>
      </c>
    </row>
    <row r="77">
      <c r="B77" s="96" t="inlineStr">
        <is>
          <t>如果暴击 加血数值 = 加血数值 * 治疗者 暴击伤害 计算结果保底为 1</t>
        </is>
      </c>
    </row>
    <row r="80" ht="21" customFormat="1" customHeight="1" s="12">
      <c r="B80" s="102" t="inlineStr">
        <is>
          <t>护盾行为</t>
        </is>
      </c>
    </row>
    <row r="82">
      <c r="B82" s="1" t="inlineStr">
        <is>
          <t>释放盾牌or加护盾</t>
        </is>
      </c>
      <c r="D82" s="16" t="inlineStr">
        <is>
          <t>均不用判定是否暴击</t>
        </is>
      </c>
    </row>
    <row r="84">
      <c r="B84" s="16" t="inlineStr">
        <is>
          <t>护盾数值=护盾基数*（ 1 + 护盾释放者 施加护盾加成 + 护盾受到者 受到护盾加成）</t>
        </is>
      </c>
    </row>
    <row r="86">
      <c r="B86" s="16" t="inlineStr">
        <is>
          <t>盾牌血量数值=盾牌血量基数*（ 1 + 盾牌释放者 释放盾牌加成）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T131"/>
  <sheetViews>
    <sheetView topLeftCell="A103" zoomScale="85" zoomScaleNormal="85" workbookViewId="0">
      <selection activeCell="J109" sqref="J109"/>
    </sheetView>
  </sheetViews>
  <sheetFormatPr baseColWidth="8" defaultColWidth="9" defaultRowHeight="16.5"/>
  <cols>
    <col width="18.125" customWidth="1" style="1" min="1" max="1"/>
    <col width="22.375" customWidth="1" style="1" min="2" max="2"/>
    <col width="11" customWidth="1" style="1" min="3" max="3"/>
    <col width="12.25" customWidth="1" style="1" min="4" max="4"/>
    <col width="14.125" customWidth="1" style="1" min="5" max="5"/>
    <col width="10.375" customWidth="1" style="1" min="6" max="6"/>
    <col width="17.5" customWidth="1" style="1" min="7" max="7"/>
    <col width="12.875" customWidth="1" style="1" min="8" max="8"/>
    <col width="24.25" customWidth="1" style="1" min="9" max="9"/>
    <col width="17.875" customWidth="1" style="1" min="10" max="10"/>
    <col width="14.125" customWidth="1" style="1" min="11" max="11"/>
    <col width="9" customWidth="1" style="1" min="12" max="12"/>
    <col width="10.375" customWidth="1" style="1" min="13" max="13"/>
    <col width="14.125" customWidth="1" style="1" min="14" max="14"/>
    <col width="12.875" customWidth="1" style="1" min="15" max="15"/>
    <col width="15.25" customWidth="1" style="1" min="16" max="16"/>
    <col width="14.125" customWidth="1" style="1" min="17" max="17"/>
    <col width="10.25" customWidth="1" style="1" min="18" max="18"/>
    <col width="12.875" customWidth="1" style="1" min="19" max="19"/>
    <col width="9" customWidth="1" style="1" min="20" max="16384"/>
  </cols>
  <sheetData>
    <row r="2" ht="22.5" customHeight="1" s="124">
      <c r="C2" s="69" t="inlineStr">
        <is>
          <t>战斗节奏</t>
        </is>
      </c>
    </row>
    <row r="3">
      <c r="C3" s="1" t="inlineStr">
        <is>
          <t>整场战斗时间</t>
        </is>
      </c>
    </row>
    <row r="5">
      <c r="C5" s="1" t="inlineStr">
        <is>
          <t>前期</t>
        </is>
      </c>
      <c r="D5" s="1" t="inlineStr">
        <is>
          <t>中期</t>
        </is>
      </c>
      <c r="E5" s="1" t="inlineStr">
        <is>
          <t>后期</t>
        </is>
      </c>
    </row>
    <row r="6">
      <c r="B6" s="1" t="inlineStr">
        <is>
          <t>总体战斗时长（秒）</t>
        </is>
      </c>
      <c r="C6" s="70" t="n">
        <v>60</v>
      </c>
      <c r="D6" s="70" t="n">
        <v>120</v>
      </c>
      <c r="E6" s="70" t="n">
        <v>150</v>
      </c>
    </row>
    <row r="7">
      <c r="B7" s="1" t="inlineStr">
        <is>
          <t>boss战时长占比</t>
        </is>
      </c>
      <c r="C7" s="71" t="n">
        <v>0.5</v>
      </c>
      <c r="D7" s="71" t="n">
        <v>0.75</v>
      </c>
      <c r="E7" s="71" t="n">
        <v>0.8</v>
      </c>
    </row>
    <row r="9">
      <c r="B9" s="1" t="inlineStr">
        <is>
          <t>boss战时长（秒）</t>
        </is>
      </c>
      <c r="C9" s="72">
        <f>C6*C7</f>
        <v/>
      </c>
      <c r="D9" s="72">
        <f>D6*D7</f>
        <v/>
      </c>
      <c r="E9" s="72">
        <f>E6*E7</f>
        <v/>
      </c>
    </row>
    <row r="11">
      <c r="C11" s="1" t="inlineStr">
        <is>
          <t>在标准模型下预估整场boss战的时长和节奏,以3人放普攻、5人放必杀</t>
        </is>
      </c>
    </row>
    <row r="12">
      <c r="C12" s="1" t="inlineStr">
        <is>
          <t>考虑主要的是pve体验，玩家的生命值和防御主要决定有效生命值，实际表现为挨怪物多少下打会死，攻击力主要表现为打怪物的时间</t>
        </is>
      </c>
    </row>
    <row r="13">
      <c r="C13" s="1" t="inlineStr">
        <is>
          <t>理论上怪攻击击和同等级的玩家应该相同，所以玩家的攻防血比应该就是怪攻击击自己多少下会死</t>
        </is>
      </c>
    </row>
    <row r="14">
      <c r="C14" s="1" t="inlineStr">
        <is>
          <t>假设怪物的dps系数为</t>
        </is>
      </c>
    </row>
    <row r="15">
      <c r="C15" s="73" t="n">
        <v>1</v>
      </c>
      <c r="D15" s="1" t="inlineStr">
        <is>
          <t>攻击力/s</t>
        </is>
      </c>
    </row>
    <row r="17">
      <c r="C17" s="1" t="inlineStr">
        <is>
          <t>实际血攻防投放比例比</t>
        </is>
      </c>
    </row>
    <row r="18">
      <c r="C18" s="1" t="inlineStr">
        <is>
          <t>生命</t>
        </is>
      </c>
      <c r="D18" s="1" t="inlineStr">
        <is>
          <t>攻击</t>
        </is>
      </c>
      <c r="E18" s="1" t="inlineStr">
        <is>
          <t>防御</t>
        </is>
      </c>
    </row>
    <row r="19">
      <c r="C19" s="8" t="n">
        <v>10</v>
      </c>
      <c r="D19" s="8" t="n">
        <v>3</v>
      </c>
      <c r="E19" s="8" t="n">
        <v>2</v>
      </c>
    </row>
    <row r="21">
      <c r="C21" s="1" t="inlineStr">
        <is>
          <t>基础属性组成</t>
        </is>
      </c>
    </row>
    <row r="22">
      <c r="B22" s="11" t="inlineStr">
        <is>
          <t>裸体属性</t>
        </is>
      </c>
      <c r="C22" s="1" t="n">
        <v>1</v>
      </c>
      <c r="D22" s="1" t="inlineStr">
        <is>
          <t>初始属性</t>
        </is>
      </c>
    </row>
    <row r="23">
      <c r="C23" s="1" t="n">
        <v>2</v>
      </c>
      <c r="D23" s="1" t="inlineStr">
        <is>
          <t>升级属性</t>
        </is>
      </c>
    </row>
    <row r="24">
      <c r="C24" s="1" t="n">
        <v>3</v>
      </c>
      <c r="D24" s="1" t="inlineStr">
        <is>
          <t>升阶属性</t>
        </is>
      </c>
    </row>
    <row r="25">
      <c r="C25" s="1" t="n">
        <v>4</v>
      </c>
      <c r="D25" s="1" t="inlineStr">
        <is>
          <t>星盘属性的固定值</t>
        </is>
      </c>
    </row>
    <row r="27">
      <c r="C27" s="1" t="n">
        <v>5</v>
      </c>
      <c r="D27" s="1" t="inlineStr">
        <is>
          <t>专武属性</t>
        </is>
      </c>
    </row>
    <row r="28">
      <c r="C28" s="1" t="n">
        <v>6</v>
      </c>
      <c r="D28" s="1" t="inlineStr">
        <is>
          <t>旅券</t>
        </is>
      </c>
    </row>
    <row r="29">
      <c r="C29" s="1" t="n">
        <v>7</v>
      </c>
      <c r="D29" s="1" t="inlineStr">
        <is>
          <t>主角装备属性</t>
        </is>
      </c>
    </row>
    <row r="31">
      <c r="B31" s="16" t="inlineStr">
        <is>
          <t>角色基础属性拍定</t>
        </is>
      </c>
      <c r="C31" s="23" t="inlineStr">
        <is>
          <t>生命</t>
        </is>
      </c>
      <c r="D31" s="23" t="inlineStr">
        <is>
          <t>攻击</t>
        </is>
      </c>
      <c r="E31" s="23" t="inlineStr">
        <is>
          <t>防御</t>
        </is>
      </c>
    </row>
    <row r="32">
      <c r="C32" s="74" t="n">
        <v>5000</v>
      </c>
      <c r="D32" s="74" t="n">
        <v>1500</v>
      </c>
      <c r="E32" s="74" t="n">
        <v>1000</v>
      </c>
    </row>
    <row r="33">
      <c r="C33" s="1" t="n">
        <v>10</v>
      </c>
      <c r="D33" s="1" t="n">
        <v>3</v>
      </c>
      <c r="E33" s="1" t="n">
        <v>2</v>
      </c>
    </row>
    <row r="36">
      <c r="B36" s="16" t="inlineStr">
        <is>
          <t>角色基础属性投放预计</t>
        </is>
      </c>
    </row>
    <row r="37">
      <c r="C37" s="75" t="inlineStr">
        <is>
          <t>裸体属性</t>
        </is>
      </c>
      <c r="G37" s="11" t="inlineStr">
        <is>
          <t>额外属性</t>
        </is>
      </c>
    </row>
    <row r="38">
      <c r="C38" s="1" t="inlineStr">
        <is>
          <t>初始属性</t>
        </is>
      </c>
      <c r="D38" s="1" t="inlineStr">
        <is>
          <t>升级属性</t>
        </is>
      </c>
      <c r="E38" s="1" t="inlineStr">
        <is>
          <t>升阶属性</t>
        </is>
      </c>
      <c r="F38" s="1" t="inlineStr">
        <is>
          <t>星盘属性</t>
        </is>
      </c>
      <c r="G38" s="1" t="inlineStr">
        <is>
          <t>专武属性</t>
        </is>
      </c>
      <c r="H38" s="1" t="inlineStr">
        <is>
          <t>旅券</t>
        </is>
      </c>
      <c r="I38" s="1" t="inlineStr">
        <is>
          <t>主角装备属性</t>
        </is>
      </c>
      <c r="M38" s="21" t="inlineStr">
        <is>
          <t>裸体总和</t>
        </is>
      </c>
      <c r="N38" s="21" t="inlineStr">
        <is>
          <t>额外总和</t>
        </is>
      </c>
    </row>
    <row r="39">
      <c r="B39" s="1" t="inlineStr">
        <is>
          <t>基础属性投放系数</t>
        </is>
      </c>
      <c r="C39" s="76" t="n">
        <v>1</v>
      </c>
      <c r="D39" s="76" t="n">
        <v>4.2</v>
      </c>
      <c r="E39" s="76" t="n">
        <v>1.5</v>
      </c>
      <c r="F39" s="76" t="n">
        <v>1.2</v>
      </c>
      <c r="G39" s="76" t="n">
        <v>4</v>
      </c>
      <c r="H39" s="76" t="n">
        <v>6</v>
      </c>
      <c r="I39" s="76" t="n">
        <v>10</v>
      </c>
      <c r="M39" s="21">
        <f>SUM(C39:F39)</f>
        <v/>
      </c>
      <c r="N39" s="21">
        <f>SUM(G39:I39)</f>
        <v/>
      </c>
    </row>
    <row r="42">
      <c r="B42" s="1" t="inlineStr">
        <is>
          <t>初始标准人属性</t>
        </is>
      </c>
      <c r="C42" s="23" t="inlineStr">
        <is>
          <t>生命</t>
        </is>
      </c>
      <c r="D42" s="23" t="inlineStr">
        <is>
          <t>攻击</t>
        </is>
      </c>
      <c r="E42" s="23" t="inlineStr">
        <is>
          <t>防御</t>
        </is>
      </c>
    </row>
    <row r="43">
      <c r="C43" s="1">
        <f>C32</f>
        <v/>
      </c>
      <c r="D43" s="1">
        <f>D32</f>
        <v/>
      </c>
      <c r="E43" s="1">
        <f>E32</f>
        <v/>
      </c>
      <c r="G43" s="1" t="inlineStr">
        <is>
          <t>减伤率</t>
        </is>
      </c>
      <c r="H43" s="16">
        <f>ROUND(E43/(E43+战斗公式!$M$27),2)</f>
        <v/>
      </c>
      <c r="I43" s="1" t="inlineStr">
        <is>
          <t>eHP</t>
        </is>
      </c>
      <c r="J43" s="1">
        <f>ROUND(C43/(1-H43),0)</f>
        <v/>
      </c>
    </row>
    <row r="44">
      <c r="I44" s="1" t="inlineStr">
        <is>
          <t>ttk</t>
        </is>
      </c>
      <c r="J44" s="125">
        <f>J43/(D43*$C$15)</f>
        <v/>
      </c>
      <c r="K44" s="1" t="inlineStr">
        <is>
          <t>秒</t>
        </is>
      </c>
    </row>
    <row r="46">
      <c r="A46" s="1" t="inlineStr">
        <is>
          <t>中期</t>
        </is>
      </c>
      <c r="B46" s="1" t="inlineStr">
        <is>
          <t>无百分比标准人属性</t>
        </is>
      </c>
    </row>
    <row r="48">
      <c r="B48" s="1" t="inlineStr">
        <is>
          <t>裸体属性</t>
        </is>
      </c>
      <c r="C48" s="23" t="inlineStr">
        <is>
          <t>生命</t>
        </is>
      </c>
      <c r="D48" s="23" t="inlineStr">
        <is>
          <t>攻击</t>
        </is>
      </c>
      <c r="E48" s="23" t="inlineStr">
        <is>
          <t>防御</t>
        </is>
      </c>
    </row>
    <row r="49">
      <c r="C49" s="1">
        <f>C$32*$M$39</f>
        <v/>
      </c>
      <c r="D49" s="1">
        <f>D$32*$M$39</f>
        <v/>
      </c>
      <c r="E49" s="1">
        <f>E$32*$M$39</f>
        <v/>
      </c>
    </row>
    <row r="51">
      <c r="B51" s="1" t="inlineStr">
        <is>
          <t>额外基础属性</t>
        </is>
      </c>
      <c r="C51" s="23" t="inlineStr">
        <is>
          <t>生命</t>
        </is>
      </c>
      <c r="D51" s="23" t="inlineStr">
        <is>
          <t>攻击</t>
        </is>
      </c>
      <c r="E51" s="23" t="inlineStr">
        <is>
          <t>防御</t>
        </is>
      </c>
    </row>
    <row r="52">
      <c r="C52" s="1">
        <f>$N$39*C$32</f>
        <v/>
      </c>
      <c r="D52" s="1">
        <f>$N$39*D$32</f>
        <v/>
      </c>
      <c r="E52" s="1">
        <f>$N$39*E$32</f>
        <v/>
      </c>
    </row>
    <row r="54">
      <c r="B54" s="1" t="inlineStr">
        <is>
          <t>总基础属性</t>
        </is>
      </c>
      <c r="C54" s="23" t="inlineStr">
        <is>
          <t>生命</t>
        </is>
      </c>
      <c r="D54" s="23" t="inlineStr">
        <is>
          <t>攻击</t>
        </is>
      </c>
      <c r="E54" s="23" t="inlineStr">
        <is>
          <t>防御</t>
        </is>
      </c>
    </row>
    <row r="55">
      <c r="C55" s="1">
        <f>C49+C52</f>
        <v/>
      </c>
      <c r="D55" s="1">
        <f>D49+D52</f>
        <v/>
      </c>
      <c r="E55" s="1">
        <f>E49+E52</f>
        <v/>
      </c>
      <c r="G55" s="1" t="inlineStr">
        <is>
          <t>减伤率</t>
        </is>
      </c>
      <c r="H55" s="16">
        <f>ROUND(E55/(E55+战斗公式!$M$27),2)</f>
        <v/>
      </c>
      <c r="I55" s="1" t="inlineStr">
        <is>
          <t>eHP</t>
        </is>
      </c>
      <c r="J55" s="1">
        <f>ROUND(C55/(1-H55),0)</f>
        <v/>
      </c>
    </row>
    <row r="56">
      <c r="I56" s="1" t="inlineStr">
        <is>
          <t>ttk</t>
        </is>
      </c>
      <c r="J56" s="125">
        <f>J55/(D55*$C$15)</f>
        <v/>
      </c>
      <c r="K56" s="1" t="inlineStr">
        <is>
          <t>秒</t>
        </is>
      </c>
    </row>
    <row r="63">
      <c r="A63" s="1" t="inlineStr">
        <is>
          <t>后期</t>
        </is>
      </c>
      <c r="C63" s="1" t="inlineStr">
        <is>
          <t>基础属性</t>
        </is>
      </c>
      <c r="I63" s="1" t="inlineStr">
        <is>
          <t>攻防百分比投放</t>
        </is>
      </c>
      <c r="J63" s="1" t="n">
        <v>1</v>
      </c>
      <c r="L63" s="1" t="inlineStr">
        <is>
          <t>基础属性</t>
        </is>
      </c>
    </row>
    <row r="64">
      <c r="B64" s="1" t="inlineStr">
        <is>
          <t>有百分比标准人属性</t>
        </is>
      </c>
      <c r="C64" s="23" t="inlineStr">
        <is>
          <t>生命</t>
        </is>
      </c>
      <c r="D64" s="23" t="inlineStr">
        <is>
          <t>攻击</t>
        </is>
      </c>
      <c r="E64" s="23" t="inlineStr">
        <is>
          <t>防御</t>
        </is>
      </c>
      <c r="G64" s="23" t="inlineStr">
        <is>
          <t>暴击率</t>
        </is>
      </c>
      <c r="H64" s="23" t="inlineStr">
        <is>
          <t>暴击伤害</t>
        </is>
      </c>
      <c r="I64" s="23" t="inlineStr">
        <is>
          <t>攻击力百分比</t>
        </is>
      </c>
      <c r="J64" s="23" t="inlineStr">
        <is>
          <t>防御力百分比</t>
        </is>
      </c>
      <c r="L64" s="23" t="inlineStr">
        <is>
          <t>生命</t>
        </is>
      </c>
      <c r="M64" s="23" t="inlineStr">
        <is>
          <t>攻击</t>
        </is>
      </c>
      <c r="N64" s="23" t="inlineStr">
        <is>
          <t>防御</t>
        </is>
      </c>
    </row>
    <row r="65">
      <c r="C65" s="1">
        <f>C55</f>
        <v/>
      </c>
      <c r="D65" s="1">
        <f>D49*(1+I65)+D52</f>
        <v/>
      </c>
      <c r="E65" s="1">
        <f>E49*(1+J65)+E52</f>
        <v/>
      </c>
      <c r="G65" s="73" t="n">
        <v>0.7</v>
      </c>
      <c r="H65" s="73" t="n">
        <v>1.95</v>
      </c>
      <c r="I65" s="73" t="n">
        <v>3.6</v>
      </c>
      <c r="J65" s="73">
        <f>I65*J63</f>
        <v/>
      </c>
      <c r="L65" s="1">
        <f>C65</f>
        <v/>
      </c>
      <c r="M65" s="1">
        <f>D65</f>
        <v/>
      </c>
      <c r="N65" s="1">
        <f>E65</f>
        <v/>
      </c>
      <c r="P65" s="1" t="inlineStr">
        <is>
          <t>减伤率</t>
        </is>
      </c>
      <c r="Q65" s="16">
        <f>ROUND(N65/(N65+战斗公式!$M$27),2)</f>
        <v/>
      </c>
      <c r="R65" s="1" t="inlineStr">
        <is>
          <t>eHP</t>
        </is>
      </c>
      <c r="S65" s="1">
        <f>ROUND(L65/(1-Q65),0)</f>
        <v/>
      </c>
    </row>
    <row r="66">
      <c r="R66" s="1" t="inlineStr">
        <is>
          <t>ttk</t>
        </is>
      </c>
      <c r="S66" s="126">
        <f>S65/(M65*$C$15)</f>
        <v/>
      </c>
      <c r="T66" s="1" t="inlineStr">
        <is>
          <t>秒</t>
        </is>
      </c>
    </row>
    <row r="67">
      <c r="C67" s="1" t="inlineStr">
        <is>
          <t>攻击提升</t>
        </is>
      </c>
      <c r="D67" s="127">
        <f>D65/D55-1</f>
        <v/>
      </c>
      <c r="I67" s="1" t="inlineStr">
        <is>
          <t>总投放攻击力百分比等价</t>
        </is>
      </c>
    </row>
    <row r="68">
      <c r="I68" s="28">
        <f>I65*3</f>
        <v/>
      </c>
    </row>
    <row r="70">
      <c r="I70" s="1" t="inlineStr">
        <is>
          <t>实际必杀释放速度</t>
        </is>
      </c>
      <c r="J70" s="1">
        <f>H76/J77</f>
        <v/>
      </c>
      <c r="K70" s="1" t="inlineStr">
        <is>
          <t>s</t>
        </is>
      </c>
    </row>
    <row r="71">
      <c r="G71" s="0" t="n"/>
      <c r="I71" s="1" t="inlineStr">
        <is>
          <t>怪物伤害</t>
        </is>
      </c>
      <c r="J71" s="1">
        <f>J70*100</f>
        <v/>
      </c>
      <c r="K71" s="1" t="inlineStr">
        <is>
          <t>%攻击力</t>
        </is>
      </c>
    </row>
    <row r="72">
      <c r="I72" s="1" t="inlineStr">
        <is>
          <t>玩家吃到伤害比例</t>
        </is>
      </c>
      <c r="J72" s="25" t="n">
        <v>0.2</v>
      </c>
    </row>
    <row r="73">
      <c r="B73" s="16" t="inlineStr">
        <is>
          <t>BOSS战斗系数组成</t>
        </is>
      </c>
      <c r="I73" s="1" t="inlineStr">
        <is>
          <t>单必杀范围内玩家吃到伤害</t>
        </is>
      </c>
      <c r="J73" s="1">
        <f>J71*J72</f>
        <v/>
      </c>
      <c r="K73" s="1" t="inlineStr">
        <is>
          <t>%攻击力</t>
        </is>
      </c>
    </row>
    <row r="74">
      <c r="I74" s="1" t="inlineStr">
        <is>
          <t>标准必杀回血系数</t>
        </is>
      </c>
      <c r="J74" s="1">
        <f>J73*G116</f>
        <v/>
      </c>
      <c r="K74" s="1" t="inlineStr">
        <is>
          <t>%攻击力</t>
        </is>
      </c>
    </row>
    <row r="75">
      <c r="I75" s="1">
        <f>J74/M77/100</f>
        <v/>
      </c>
      <c r="L75" s="1">
        <f>H77/J77</f>
        <v/>
      </c>
      <c r="M75" s="1" t="inlineStr">
        <is>
          <t>秒伤害系数</t>
        </is>
      </c>
    </row>
    <row r="76">
      <c r="B76" s="80" t="inlineStr">
        <is>
          <t>普攻</t>
        </is>
      </c>
      <c r="C76" s="81" t="n">
        <v>1</v>
      </c>
      <c r="D76" s="1" t="inlineStr">
        <is>
          <t>/s</t>
        </is>
      </c>
      <c r="G76" s="1" t="inlineStr">
        <is>
          <t>boss对战能量上限</t>
        </is>
      </c>
      <c r="H76" s="1" t="n">
        <v>750</v>
      </c>
      <c r="L76" s="80" t="inlineStr">
        <is>
          <t>普攻伤害</t>
        </is>
      </c>
      <c r="M76" s="28">
        <f>H77/J77*C76</f>
        <v/>
      </c>
      <c r="N76" s="82">
        <f>M76/$M$79</f>
        <v/>
      </c>
    </row>
    <row r="77">
      <c r="B77" s="1" t="inlineStr">
        <is>
          <t>必杀</t>
        </is>
      </c>
      <c r="C77" s="81" t="n">
        <v>0.55</v>
      </c>
      <c r="D77" s="1" t="inlineStr">
        <is>
          <t>/s</t>
        </is>
      </c>
      <c r="G77" s="1" t="inlineStr">
        <is>
          <t>必杀能量上限</t>
        </is>
      </c>
      <c r="H77" s="1" t="n">
        <v>1000</v>
      </c>
      <c r="I77" s="1" t="inlineStr">
        <is>
          <t>必杀回复速度</t>
        </is>
      </c>
      <c r="J77" s="1" t="n">
        <v>25</v>
      </c>
      <c r="K77" s="1" t="inlineStr">
        <is>
          <t>/s</t>
        </is>
      </c>
      <c r="L77" s="16" t="inlineStr">
        <is>
          <t>必杀系数</t>
        </is>
      </c>
      <c r="M77" s="28">
        <f>L75*J77/H76*H82</f>
        <v/>
      </c>
      <c r="N77" s="82">
        <f>M77/$M$79</f>
        <v/>
      </c>
    </row>
    <row r="78">
      <c r="B78" s="1" t="inlineStr">
        <is>
          <t>技能</t>
        </is>
      </c>
      <c r="C78" s="81" t="n">
        <v>0.4</v>
      </c>
      <c r="D78" s="1" t="inlineStr">
        <is>
          <t>/s</t>
        </is>
      </c>
      <c r="G78" s="1" t="inlineStr">
        <is>
          <t>技能释放间隔</t>
        </is>
      </c>
      <c r="H78" s="1" t="n">
        <v>10</v>
      </c>
      <c r="I78" s="1" t="inlineStr">
        <is>
          <t>s</t>
        </is>
      </c>
      <c r="L78" s="80" t="inlineStr">
        <is>
          <t>技能伤害</t>
        </is>
      </c>
      <c r="M78" s="28">
        <f>L75/H78*H79</f>
        <v/>
      </c>
      <c r="N78" s="82">
        <f>M78/$M$79</f>
        <v/>
      </c>
      <c r="P78" s="16" t="inlineStr">
        <is>
          <t>以攻击百分比为基准为定价</t>
        </is>
      </c>
      <c r="R78" s="4" t="inlineStr">
        <is>
          <t>美化</t>
        </is>
      </c>
    </row>
    <row r="79">
      <c r="B79" s="1" t="inlineStr">
        <is>
          <t>总和</t>
        </is>
      </c>
      <c r="C79" s="81">
        <f>C78+C77+C76</f>
        <v/>
      </c>
      <c r="D79" s="1" t="inlineStr">
        <is>
          <t>/s</t>
        </is>
      </c>
      <c r="G79" s="1" t="inlineStr">
        <is>
          <t>技能系数</t>
        </is>
      </c>
      <c r="H79" s="28">
        <f>H78*C78</f>
        <v/>
      </c>
      <c r="M79" s="28">
        <f>SUM(M76:M78)</f>
        <v/>
      </c>
      <c r="P79" s="1" t="inlineStr">
        <is>
          <t>攻击百分比</t>
        </is>
      </c>
      <c r="Q79" s="128" t="n">
        <v>0.01</v>
      </c>
      <c r="R79" s="29" t="n">
        <v>0.01</v>
      </c>
    </row>
    <row r="80">
      <c r="G80" s="1" t="inlineStr">
        <is>
          <t>技能数量</t>
        </is>
      </c>
      <c r="H80" s="1" t="n">
        <v>2</v>
      </c>
      <c r="P80" s="1" t="inlineStr">
        <is>
          <t>防御百分比</t>
        </is>
      </c>
      <c r="Q80" s="129">
        <f>J63*Q79</f>
        <v/>
      </c>
      <c r="R80" s="29" t="n">
        <v>0.01</v>
      </c>
    </row>
    <row r="81">
      <c r="G81" s="1" t="inlineStr">
        <is>
          <t>单个技能系数</t>
        </is>
      </c>
      <c r="H81" s="28">
        <f>H79/H80</f>
        <v/>
      </c>
      <c r="P81" s="1" t="inlineStr">
        <is>
          <t>生命百分比</t>
        </is>
      </c>
      <c r="Q81" s="129">
        <f>Q79</f>
        <v/>
      </c>
      <c r="R81" s="29" t="n">
        <v>0.01</v>
      </c>
    </row>
    <row r="82">
      <c r="A82" s="1" t="inlineStr">
        <is>
          <t>提升比例</t>
        </is>
      </c>
      <c r="B82" s="85" t="inlineStr">
        <is>
          <t>天赋</t>
        </is>
      </c>
      <c r="C82" s="73" t="n">
        <v>0.5</v>
      </c>
      <c r="D82" s="1">
        <f>1+C82</f>
        <v/>
      </c>
      <c r="G82" s="16" t="inlineStr">
        <is>
          <t>必杀系数</t>
        </is>
      </c>
      <c r="H82" s="28">
        <f>H76/J77*C77</f>
        <v/>
      </c>
      <c r="P82" s="1" t="inlineStr">
        <is>
          <t>普攻速度百分比</t>
        </is>
      </c>
      <c r="Q82" s="129">
        <f>C99/I65*Q79</f>
        <v/>
      </c>
      <c r="R82" s="29" t="n">
        <v>0</v>
      </c>
    </row>
    <row r="83">
      <c r="B83" s="85" t="inlineStr">
        <is>
          <t>专武技能/天赋</t>
        </is>
      </c>
      <c r="C83" s="73" t="n">
        <v>0</v>
      </c>
      <c r="D83" s="1">
        <f>1+C83</f>
        <v/>
      </c>
      <c r="P83" s="1" t="inlineStr">
        <is>
          <t>必杀回复速度</t>
        </is>
      </c>
      <c r="Q83" s="129">
        <f>C101/I65*Q79</f>
        <v/>
      </c>
      <c r="R83" s="29" t="n">
        <v>0.0033</v>
      </c>
    </row>
    <row r="84">
      <c r="B84" s="85" t="inlineStr">
        <is>
          <t>旅券技能</t>
        </is>
      </c>
      <c r="C84" s="73" t="n">
        <v>0</v>
      </c>
      <c r="D84" s="1">
        <f>1+C84</f>
        <v/>
      </c>
      <c r="G84" s="1" t="inlineStr">
        <is>
          <t>技能拆分系数</t>
        </is>
      </c>
      <c r="H84" s="1" t="n">
        <v>0.5</v>
      </c>
      <c r="J84" s="1">
        <f>J77*1.8</f>
        <v/>
      </c>
      <c r="P84" s="1" t="inlineStr">
        <is>
          <t>暴击率</t>
        </is>
      </c>
      <c r="Q84" s="129">
        <f>(G65-0.05)/I65*Q79</f>
        <v/>
      </c>
      <c r="R84" s="29" t="n">
        <v>0.0018</v>
      </c>
    </row>
    <row r="85">
      <c r="B85" s="85" t="inlineStr">
        <is>
          <t>主角装备技能</t>
        </is>
      </c>
      <c r="C85" s="73" t="n">
        <v>0</v>
      </c>
      <c r="D85" s="1">
        <f>1+C85</f>
        <v/>
      </c>
      <c r="P85" s="1" t="inlineStr">
        <is>
          <t>暴击伤害</t>
        </is>
      </c>
      <c r="Q85" s="129">
        <f>Q84*3</f>
        <v/>
      </c>
      <c r="R85" s="29" t="n">
        <v>0.0054</v>
      </c>
    </row>
    <row r="86">
      <c r="B86" s="85" t="inlineStr">
        <is>
          <t>星盘天赋</t>
        </is>
      </c>
      <c r="C86" s="73" t="n">
        <v>0.2</v>
      </c>
      <c r="D86" s="1">
        <f>1+C86</f>
        <v/>
      </c>
      <c r="P86" s="1" t="inlineStr">
        <is>
          <t>各种伤害增加</t>
        </is>
      </c>
      <c r="Q86" s="129">
        <f>C105/I65*Q79</f>
        <v/>
      </c>
      <c r="R86" s="29" t="n">
        <v>0.0033</v>
      </c>
    </row>
    <row r="87">
      <c r="B87" s="86" t="n"/>
      <c r="C87" s="25" t="n"/>
      <c r="P87" s="31" t="inlineStr">
        <is>
          <t>普攻伤害加成</t>
        </is>
      </c>
      <c r="R87" s="29" t="n">
        <v>0.008999999999999999</v>
      </c>
    </row>
    <row r="88">
      <c r="B88" s="86" t="n"/>
      <c r="C88" s="25" t="n"/>
      <c r="P88" s="31" t="inlineStr">
        <is>
          <t>技能伤害加成</t>
        </is>
      </c>
      <c r="R88" s="29" t="n">
        <v>0.012</v>
      </c>
    </row>
    <row r="89">
      <c r="B89" s="87" t="inlineStr">
        <is>
          <t>总提升比例</t>
        </is>
      </c>
      <c r="C89" s="25">
        <f>PRODUCT(D82:D86)</f>
        <v/>
      </c>
      <c r="P89" s="31" t="inlineStr">
        <is>
          <t>必杀伤害加成</t>
        </is>
      </c>
      <c r="R89" s="29" t="n">
        <v>0.012</v>
      </c>
    </row>
    <row r="90">
      <c r="B90" s="87" t="inlineStr">
        <is>
          <t>无天赋总提升比例</t>
        </is>
      </c>
      <c r="C90" s="25">
        <f>PRODUCT(D83:D86)</f>
        <v/>
      </c>
      <c r="P90" s="8" t="inlineStr">
        <is>
          <t>治疗率</t>
        </is>
      </c>
      <c r="R90" s="29" t="n">
        <v>0.005</v>
      </c>
    </row>
    <row r="91">
      <c r="B91" s="88" t="n"/>
      <c r="C91" s="25" t="n"/>
      <c r="P91" s="8" t="inlineStr">
        <is>
          <t>冷却缩减</t>
        </is>
      </c>
      <c r="Q91" s="129">
        <f>Q79*C103/I65</f>
        <v/>
      </c>
      <c r="R91" s="29" t="n">
        <v>0.0025</v>
      </c>
    </row>
    <row r="92">
      <c r="B92" s="87" t="inlineStr">
        <is>
          <t>普攻量级总和</t>
        </is>
      </c>
      <c r="C92" s="25">
        <f>C89*C76</f>
        <v/>
      </c>
      <c r="P92" s="31" t="inlineStr">
        <is>
          <t>物理伤害加成</t>
        </is>
      </c>
      <c r="R92" s="29" t="n">
        <v>0.0042</v>
      </c>
    </row>
    <row r="93">
      <c r="B93" s="87" t="inlineStr">
        <is>
          <t>必杀量级总和</t>
        </is>
      </c>
      <c r="C93" s="25">
        <f>C77*C89</f>
        <v/>
      </c>
      <c r="P93" s="31" t="inlineStr">
        <is>
          <t>魔法伤害加成</t>
        </is>
      </c>
      <c r="R93" s="29" t="n">
        <v>0.0042</v>
      </c>
    </row>
    <row r="94">
      <c r="B94" s="87" t="inlineStr">
        <is>
          <t>技能量级总和</t>
        </is>
      </c>
      <c r="C94" s="25">
        <f>C78*C89</f>
        <v/>
      </c>
      <c r="P94" s="1" t="inlineStr">
        <is>
          <t>暴击等级</t>
        </is>
      </c>
      <c r="Q94" s="1" t="n">
        <v>50000</v>
      </c>
      <c r="R94" s="4">
        <f>R84*Q94</f>
        <v/>
      </c>
      <c r="S94" s="4" t="n">
        <v>9</v>
      </c>
    </row>
    <row r="95">
      <c r="B95" s="87" t="inlineStr">
        <is>
          <t>伤害量级总和</t>
        </is>
      </c>
      <c r="C95" s="25">
        <f>C79*D82*D83*D84*D86*D85</f>
        <v/>
      </c>
      <c r="D95" s="1" t="inlineStr">
        <is>
          <t>/s</t>
        </is>
      </c>
      <c r="P95" s="1" t="inlineStr">
        <is>
          <t>暴击伤害等级</t>
        </is>
      </c>
      <c r="Q95" s="1" t="n">
        <v>20371</v>
      </c>
      <c r="R95" s="4">
        <f>R85*Q95</f>
        <v/>
      </c>
      <c r="S95" s="4" t="n">
        <v>11</v>
      </c>
    </row>
    <row r="96">
      <c r="J96" s="16" t="n"/>
      <c r="P96" s="1" t="inlineStr">
        <is>
          <t>能量回复等级</t>
        </is>
      </c>
      <c r="Q96" s="1" t="n">
        <v>27273</v>
      </c>
      <c r="R96" s="4">
        <f>R83*Q96</f>
        <v/>
      </c>
      <c r="S96" s="4" t="n">
        <v>9</v>
      </c>
    </row>
    <row r="97">
      <c r="B97" s="1" t="inlineStr">
        <is>
          <t>后期属性投放值</t>
        </is>
      </c>
      <c r="P97" s="1" t="inlineStr">
        <is>
          <t>技能冷却等级</t>
        </is>
      </c>
      <c r="Q97" s="1" t="n">
        <v>52000</v>
      </c>
      <c r="R97" s="4">
        <f>R91*Q97</f>
        <v/>
      </c>
      <c r="S97" s="4" t="n">
        <v>13</v>
      </c>
    </row>
    <row r="98">
      <c r="P98" s="1" t="inlineStr">
        <is>
          <t>攻击百分比</t>
        </is>
      </c>
      <c r="R98" s="29">
        <f>R79</f>
        <v/>
      </c>
    </row>
    <row r="99">
      <c r="B99" s="1" t="inlineStr">
        <is>
          <t>普攻速度提升</t>
        </is>
      </c>
      <c r="C99" s="73" t="n">
        <v>0</v>
      </c>
      <c r="E99" s="1">
        <f>_xlfn.CONCAT(L75,"秒伤害")</f>
        <v/>
      </c>
      <c r="F99" s="28">
        <f>(1+C99)*M76+M77+M78</f>
        <v/>
      </c>
      <c r="G99" s="1" t="inlineStr">
        <is>
          <t>提升比例</t>
        </is>
      </c>
      <c r="H99" s="28">
        <f>F99/M79-1</f>
        <v/>
      </c>
      <c r="P99" s="1" t="inlineStr">
        <is>
          <t>攻击百分比</t>
        </is>
      </c>
      <c r="R99" s="29">
        <f>R79</f>
        <v/>
      </c>
    </row>
    <row r="100">
      <c r="P100" s="1" t="inlineStr">
        <is>
          <t>格挡率</t>
        </is>
      </c>
      <c r="R100" s="29">
        <f>1/30000%</f>
        <v/>
      </c>
    </row>
    <row r="101">
      <c r="A101" s="1">
        <f>(1+C101)*J77</f>
        <v/>
      </c>
      <c r="B101" s="1" t="inlineStr">
        <is>
          <t>必杀回复速度</t>
        </is>
      </c>
      <c r="C101" s="73" t="n">
        <v>1.2</v>
      </c>
      <c r="E101" s="1">
        <f>_xlfn.CONCAT(L75,"秒伤害")</f>
        <v/>
      </c>
      <c r="F101" s="28">
        <f>L75/(H76/J77/(1+C101))*M77+M76+M78</f>
        <v/>
      </c>
      <c r="G101" s="1" t="inlineStr">
        <is>
          <t>提升比例</t>
        </is>
      </c>
      <c r="H101" s="28">
        <f>F101/M79-1</f>
        <v/>
      </c>
      <c r="P101" s="1" t="inlineStr">
        <is>
          <t>格挡等级</t>
        </is>
      </c>
      <c r="Q101" s="1" t="n">
        <v>30000</v>
      </c>
      <c r="R101" s="5">
        <f>R100*Q101</f>
        <v/>
      </c>
    </row>
    <row r="102">
      <c r="A102" s="1">
        <f>100/A101</f>
        <v/>
      </c>
    </row>
    <row r="103">
      <c r="B103" s="1" t="inlineStr">
        <is>
          <t>冷却缩减</t>
        </is>
      </c>
      <c r="C103" s="73" t="n">
        <v>0.6</v>
      </c>
      <c r="E103" s="1">
        <f>_xlfn.CONCAT(L77,"秒伤害")</f>
        <v/>
      </c>
      <c r="F103" s="28">
        <f>M76+M77+M78*1/(1-C103)</f>
        <v/>
      </c>
      <c r="G103" s="1" t="inlineStr">
        <is>
          <t>提升比例</t>
        </is>
      </c>
      <c r="H103" s="28">
        <f>F103/M79-1</f>
        <v/>
      </c>
    </row>
    <row r="105">
      <c r="B105" s="1" t="inlineStr">
        <is>
          <t>增伤乘区预计投放值</t>
        </is>
      </c>
      <c r="C105" s="73" t="n">
        <v>1.6</v>
      </c>
    </row>
    <row r="108">
      <c r="B108" s="1" t="inlineStr">
        <is>
          <t>后期输出标准人相对于无百分比标准人提升值</t>
        </is>
      </c>
      <c r="J108" s="1" t="n">
        <v>5</v>
      </c>
    </row>
    <row r="109">
      <c r="B109" s="1" t="inlineStr">
        <is>
          <t>暴击乘区</t>
        </is>
      </c>
      <c r="C109" s="1" t="inlineStr">
        <is>
          <t>攻击力乘区</t>
        </is>
      </c>
      <c r="D109" s="1" t="inlineStr">
        <is>
          <t>普攻乘区</t>
        </is>
      </c>
      <c r="E109" s="1" t="inlineStr">
        <is>
          <t>必杀乘区</t>
        </is>
      </c>
      <c r="F109" s="1" t="inlineStr">
        <is>
          <t>增伤乘区</t>
        </is>
      </c>
      <c r="G109" s="1" t="inlineStr">
        <is>
          <t>技能乘区</t>
        </is>
      </c>
      <c r="I109" s="4" t="inlineStr">
        <is>
          <t>MAX单体每秒伤害</t>
        </is>
      </c>
      <c r="J109" s="4" t="inlineStr">
        <is>
          <t>5人每秒伤害</t>
        </is>
      </c>
    </row>
    <row r="110">
      <c r="B110" s="89">
        <f>1+G65*(H65+战斗属性!F12-1)</f>
        <v/>
      </c>
      <c r="C110" s="90">
        <f>1</f>
        <v/>
      </c>
      <c r="D110" s="89">
        <f>H99+1</f>
        <v/>
      </c>
      <c r="E110" s="89">
        <f>H101+1</f>
        <v/>
      </c>
      <c r="F110" s="89">
        <f>C105+1</f>
        <v/>
      </c>
      <c r="G110" s="89">
        <f>1+H103</f>
        <v/>
      </c>
      <c r="H110" s="91">
        <f>PRODUCT(B110:G110)</f>
        <v/>
      </c>
      <c r="I110" s="4">
        <f>C95*H110*D65</f>
        <v/>
      </c>
      <c r="J110" s="4">
        <f>I110*J108</f>
        <v/>
      </c>
    </row>
    <row r="113">
      <c r="B113" s="1" t="inlineStr">
        <is>
          <t>后期标准boss属性</t>
        </is>
      </c>
    </row>
    <row r="114">
      <c r="B114" s="1" t="inlineStr">
        <is>
          <t>基础属性</t>
        </is>
      </c>
    </row>
    <row r="115">
      <c r="A115" s="1" t="inlineStr">
        <is>
          <t>生命值放大倍率</t>
        </is>
      </c>
      <c r="B115" s="23" t="inlineStr">
        <is>
          <t>生命</t>
        </is>
      </c>
      <c r="C115" s="23" t="inlineStr">
        <is>
          <t>攻击</t>
        </is>
      </c>
      <c r="D115" s="23" t="inlineStr">
        <is>
          <t>防御</t>
        </is>
      </c>
    </row>
    <row r="116">
      <c r="A116" s="4" t="n">
        <v>500</v>
      </c>
      <c r="B116" s="1">
        <f>A116*C65</f>
        <v/>
      </c>
      <c r="C116" s="1">
        <f>D65</f>
        <v/>
      </c>
      <c r="D116" s="1">
        <f>E65</f>
        <v/>
      </c>
      <c r="F116" s="1" t="inlineStr">
        <is>
          <t>减伤率</t>
        </is>
      </c>
      <c r="G116" s="16">
        <f>ROUND(D116/(D116+战斗公式!$M$27),2)</f>
        <v/>
      </c>
      <c r="H116" s="1" t="inlineStr">
        <is>
          <t>eHP</t>
        </is>
      </c>
      <c r="I116" s="1">
        <f>ROUND(B116/(1-G116),0)</f>
        <v/>
      </c>
    </row>
    <row r="117">
      <c r="H117" s="1" t="inlineStr">
        <is>
          <t>ttk</t>
        </is>
      </c>
      <c r="I117" s="126">
        <f>I116/(C116*C95*H110)</f>
        <v/>
      </c>
      <c r="J117" s="1" t="inlineStr">
        <is>
          <t>秒</t>
        </is>
      </c>
    </row>
    <row r="119">
      <c r="B119" s="1" t="inlineStr">
        <is>
          <t>中期标准boss属性</t>
        </is>
      </c>
    </row>
    <row r="120">
      <c r="B120" s="1" t="inlineStr">
        <is>
          <t>基础属性</t>
        </is>
      </c>
      <c r="M120" s="1">
        <f>2.8*0.25*4032*0.43</f>
        <v/>
      </c>
      <c r="O120" s="1">
        <f>1495/534</f>
        <v/>
      </c>
    </row>
    <row r="121">
      <c r="A121" s="1" t="inlineStr">
        <is>
          <t>生命值放大倍率</t>
        </is>
      </c>
      <c r="B121" s="23" t="inlineStr">
        <is>
          <t>生命</t>
        </is>
      </c>
      <c r="C121" s="23" t="inlineStr">
        <is>
          <t>攻击</t>
        </is>
      </c>
      <c r="D121" s="23" t="inlineStr">
        <is>
          <t>防御</t>
        </is>
      </c>
    </row>
    <row r="122">
      <c r="A122" s="4" t="n">
        <v>15</v>
      </c>
      <c r="B122" s="1">
        <f>C49*A122</f>
        <v/>
      </c>
      <c r="C122" s="1">
        <f>D49</f>
        <v/>
      </c>
      <c r="D122" s="1">
        <f>E49</f>
        <v/>
      </c>
      <c r="F122" s="1" t="inlineStr">
        <is>
          <t>减伤率</t>
        </is>
      </c>
      <c r="G122" s="16">
        <f>ROUND(D122/(D122+战斗公式!$M$27),2)</f>
        <v/>
      </c>
      <c r="H122" s="1" t="inlineStr">
        <is>
          <t>eHP</t>
        </is>
      </c>
      <c r="I122" s="1">
        <f>ROUND(B122/(1-G122),0)</f>
        <v/>
      </c>
    </row>
    <row r="123">
      <c r="H123" s="1" t="inlineStr">
        <is>
          <t>ttk</t>
        </is>
      </c>
      <c r="I123" s="126">
        <f>I122/(C122*$C$15)</f>
        <v/>
      </c>
      <c r="J123" s="1" t="inlineStr">
        <is>
          <t>秒</t>
        </is>
      </c>
    </row>
    <row r="128">
      <c r="B128" s="92" t="inlineStr">
        <is>
          <t>英雄职业规划</t>
        </is>
      </c>
      <c r="C128" s="92" t="inlineStr">
        <is>
          <t>职业</t>
        </is>
      </c>
      <c r="D128" s="92" t="inlineStr">
        <is>
          <t>生命</t>
        </is>
      </c>
      <c r="E128" s="92" t="inlineStr">
        <is>
          <t>攻击</t>
        </is>
      </c>
      <c r="F128" s="92" t="inlineStr">
        <is>
          <t>防御</t>
        </is>
      </c>
    </row>
    <row r="129">
      <c r="B129" s="92" t="n"/>
      <c r="C129" s="92" t="inlineStr">
        <is>
          <t>坦克</t>
        </is>
      </c>
      <c r="D129" s="92" t="n">
        <v>1.2</v>
      </c>
      <c r="E129" s="92" t="n">
        <v>0.8</v>
      </c>
      <c r="F129" s="92" t="n">
        <v>1</v>
      </c>
    </row>
    <row r="130">
      <c r="B130" s="92" t="n"/>
      <c r="C130" s="92" t="inlineStr">
        <is>
          <t>输出</t>
        </is>
      </c>
      <c r="D130" s="92" t="n">
        <v>1</v>
      </c>
      <c r="E130" s="92" t="n">
        <v>1.2</v>
      </c>
      <c r="F130" s="92" t="n">
        <v>0.8</v>
      </c>
    </row>
    <row r="131">
      <c r="B131" s="92" t="n"/>
      <c r="C131" s="92" t="inlineStr">
        <is>
          <t>辅助</t>
        </is>
      </c>
      <c r="D131" s="92" t="n">
        <v>1</v>
      </c>
      <c r="E131" s="92" t="n">
        <v>0.8</v>
      </c>
      <c r="F131" s="92" t="n">
        <v>1.2</v>
      </c>
    </row>
  </sheetData>
  <mergeCells count="3">
    <mergeCell ref="B22:B25"/>
    <mergeCell ref="C37:F37"/>
    <mergeCell ref="G37:I37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U92"/>
  <sheetViews>
    <sheetView tabSelected="1" workbookViewId="0">
      <selection activeCell="K28" sqref="K28"/>
    </sheetView>
  </sheetViews>
  <sheetFormatPr baseColWidth="8" defaultColWidth="9" defaultRowHeight="16.5"/>
  <cols>
    <col width="9" customWidth="1" style="1" min="1" max="1"/>
    <col width="25.375" customWidth="1" style="1" min="2" max="2"/>
    <col width="16.875" customWidth="1" style="1" min="3" max="3"/>
    <col width="14.125" customWidth="1" style="1" min="4" max="4"/>
    <col width="9" customWidth="1" style="1" min="5" max="5"/>
    <col width="14.875" customWidth="1" style="1" min="6" max="6"/>
    <col width="12.75" customWidth="1" style="1" min="7" max="7"/>
    <col width="9" customWidth="1" style="1" min="8" max="11"/>
    <col width="14.125" customWidth="1" style="1" min="12" max="12"/>
    <col width="9" customWidth="1" style="1" min="13" max="13"/>
    <col width="15" customWidth="1" style="1" min="14" max="14"/>
    <col width="9" customWidth="1" style="1" min="15" max="18"/>
    <col width="14.125" customWidth="1" style="1" min="19" max="19"/>
    <col width="9" customWidth="1" style="1" min="20" max="16384"/>
  </cols>
  <sheetData>
    <row r="2">
      <c r="B2" s="1" t="inlineStr">
        <is>
          <t>技能系数</t>
        </is>
      </c>
      <c r="C2" s="54" t="n">
        <v>16.5</v>
      </c>
      <c r="G2" s="1" t="inlineStr">
        <is>
          <t>技能系数计算</t>
        </is>
      </c>
      <c r="J2" s="1" t="inlineStr">
        <is>
          <t>拆分系数</t>
        </is>
      </c>
      <c r="N2" s="1" t="inlineStr">
        <is>
          <t>品质系数</t>
        </is>
      </c>
      <c r="Q2" s="1" t="inlineStr">
        <is>
          <t>攻血比</t>
        </is>
      </c>
    </row>
    <row r="3">
      <c r="B3" s="1" t="inlineStr">
        <is>
          <t>技能当前品质</t>
        </is>
      </c>
      <c r="C3" s="55" t="inlineStr">
        <is>
          <t>R</t>
        </is>
      </c>
      <c r="J3" s="4" t="n"/>
      <c r="K3" s="4" t="n"/>
      <c r="L3" s="28" t="n"/>
      <c r="S3" s="28" t="n"/>
    </row>
    <row r="4">
      <c r="B4" s="1" t="inlineStr">
        <is>
          <t>单体伤害</t>
        </is>
      </c>
      <c r="C4" s="25" t="n"/>
      <c r="G4" s="1" t="inlineStr">
        <is>
          <t>基础技能系数</t>
        </is>
      </c>
      <c r="H4" s="1">
        <f>标准模型!H81</f>
        <v/>
      </c>
      <c r="J4" s="4" t="n">
        <v>1</v>
      </c>
      <c r="K4" s="4" t="n">
        <v>0.7</v>
      </c>
      <c r="L4" s="130">
        <f>$L$7/$K$7*K4</f>
        <v/>
      </c>
      <c r="N4" s="57" t="inlineStr">
        <is>
          <t>R</t>
        </is>
      </c>
      <c r="O4" s="58" t="n">
        <v>0.9</v>
      </c>
      <c r="Q4" s="1" t="inlineStr">
        <is>
          <t>血量</t>
        </is>
      </c>
      <c r="R4" s="1" t="n">
        <v>12</v>
      </c>
      <c r="S4" s="28">
        <f>$S$5*$R$5/R4</f>
        <v/>
      </c>
    </row>
    <row r="5">
      <c r="B5" s="59" t="inlineStr">
        <is>
          <t>单体系数</t>
        </is>
      </c>
      <c r="C5" s="60" t="n">
        <v>1</v>
      </c>
      <c r="G5" s="1" t="inlineStr">
        <is>
          <t>基础冷却时间</t>
        </is>
      </c>
      <c r="H5" s="1">
        <f>标准模型!H78</f>
        <v/>
      </c>
      <c r="J5" s="4" t="n">
        <v>2</v>
      </c>
      <c r="K5" s="4" t="n">
        <v>0.8</v>
      </c>
      <c r="L5" s="130">
        <f>$L$7/$K$7*K5</f>
        <v/>
      </c>
      <c r="N5" s="61" t="inlineStr">
        <is>
          <t>SR</t>
        </is>
      </c>
      <c r="O5" s="58" t="n">
        <v>0.95</v>
      </c>
      <c r="Q5" s="1" t="inlineStr">
        <is>
          <t>攻击</t>
        </is>
      </c>
      <c r="R5" s="1" t="n">
        <v>3</v>
      </c>
      <c r="S5" s="54" t="n">
        <v>12</v>
      </c>
    </row>
    <row r="6">
      <c r="B6" s="37" t="inlineStr">
        <is>
          <t>品质系数</t>
        </is>
      </c>
      <c r="C6" s="62">
        <f>$C$3</f>
        <v/>
      </c>
      <c r="D6" s="1">
        <f>VLOOKUP(C6,$N$4:$O$6,2,0)</f>
        <v/>
      </c>
      <c r="G6" s="1" t="inlineStr">
        <is>
          <t>实际冷却时间</t>
        </is>
      </c>
      <c r="H6" s="2" t="n">
        <v>12</v>
      </c>
      <c r="J6" s="4" t="n">
        <v>3</v>
      </c>
      <c r="K6" s="4" t="n">
        <v>0.9</v>
      </c>
      <c r="L6" s="130">
        <f>$L$7/$K$7*K6</f>
        <v/>
      </c>
      <c r="N6" s="55" t="inlineStr">
        <is>
          <t>SSR</t>
        </is>
      </c>
      <c r="O6" s="58" t="n">
        <v>1</v>
      </c>
      <c r="Q6" s="1" t="inlineStr">
        <is>
          <t>防御</t>
        </is>
      </c>
      <c r="R6" s="1" t="n">
        <v>2</v>
      </c>
      <c r="S6" s="28">
        <f>$S$5*$R$5/R6</f>
        <v/>
      </c>
    </row>
    <row r="7">
      <c r="B7" s="37" t="inlineStr">
        <is>
          <t>攻速</t>
        </is>
      </c>
      <c r="C7" s="63" t="n">
        <v>7</v>
      </c>
      <c r="G7" s="1" t="inlineStr">
        <is>
          <t>最终技能系数</t>
        </is>
      </c>
      <c r="H7" s="64">
        <f>H4*H6/H5</f>
        <v/>
      </c>
      <c r="J7" s="4" t="n">
        <v>4</v>
      </c>
      <c r="K7" s="4" t="n">
        <v>1</v>
      </c>
      <c r="L7" s="131" t="n">
        <v>6.8</v>
      </c>
    </row>
    <row r="8">
      <c r="B8" s="66" t="inlineStr">
        <is>
          <t>伤害系数</t>
        </is>
      </c>
      <c r="C8" s="132">
        <f>C5/C7*D6*C2</f>
        <v/>
      </c>
      <c r="G8" s="1" t="inlineStr">
        <is>
          <t>普攻基础系数</t>
        </is>
      </c>
      <c r="H8" s="64">
        <f>100%</f>
        <v/>
      </c>
    </row>
    <row r="9">
      <c r="C9" s="25" t="n"/>
      <c r="G9" s="1" t="inlineStr">
        <is>
          <t>必杀基础系数</t>
        </is>
      </c>
      <c r="H9" s="64">
        <f>标准模型!H82</f>
        <v/>
      </c>
    </row>
    <row r="10">
      <c r="B10" s="1" t="inlineStr">
        <is>
          <t>穿透子弹</t>
        </is>
      </c>
    </row>
    <row r="11">
      <c r="B11" s="59" t="inlineStr">
        <is>
          <t>穿透子弹系数</t>
        </is>
      </c>
      <c r="C11" s="60" t="n">
        <v>0.7</v>
      </c>
    </row>
    <row r="12">
      <c r="B12" s="37" t="inlineStr">
        <is>
          <t>品质系数</t>
        </is>
      </c>
      <c r="C12" s="62">
        <f>$C$3</f>
        <v/>
      </c>
      <c r="D12" s="1">
        <f>VLOOKUP(C12,$N$4:$O$6,2,0)</f>
        <v/>
      </c>
    </row>
    <row r="13">
      <c r="B13" s="37" t="inlineStr">
        <is>
          <t>攻速</t>
        </is>
      </c>
      <c r="C13" s="63" t="n">
        <v>1</v>
      </c>
    </row>
    <row r="14">
      <c r="B14" s="66" t="inlineStr">
        <is>
          <t>伤害系数</t>
        </is>
      </c>
      <c r="C14" s="132">
        <f>C11/C13*D12*C2</f>
        <v/>
      </c>
    </row>
    <row r="16">
      <c r="B16" s="1" t="inlineStr">
        <is>
          <t>跟踪子弹</t>
        </is>
      </c>
      <c r="N16" s="1" t="inlineStr">
        <is>
          <t>普攻、必杀系数</t>
        </is>
      </c>
      <c r="O16" s="1" t="n">
        <v>0.5</v>
      </c>
      <c r="P16" s="1" t="n">
        <v>0.65</v>
      </c>
      <c r="Q16" s="1" t="n">
        <v>0.8</v>
      </c>
      <c r="R16" s="1" t="n">
        <v>1</v>
      </c>
    </row>
    <row r="17">
      <c r="B17" s="59" t="inlineStr">
        <is>
          <t>跟踪子弹系数</t>
        </is>
      </c>
      <c r="C17" s="60" t="n">
        <v>0.93</v>
      </c>
    </row>
    <row r="18">
      <c r="B18" s="37" t="inlineStr">
        <is>
          <t>品质系数</t>
        </is>
      </c>
      <c r="C18" s="62">
        <f>$C$3</f>
        <v/>
      </c>
      <c r="D18" s="1">
        <f>VLOOKUP(C18,$N$4:$O$6,2,0)</f>
        <v/>
      </c>
      <c r="N18" s="1" t="inlineStr">
        <is>
          <t>技能系数</t>
        </is>
      </c>
      <c r="O18" s="1" t="n">
        <v>0.5</v>
      </c>
      <c r="P18" s="1" t="n">
        <v>0.75</v>
      </c>
      <c r="Q18" s="1" t="n">
        <v>1</v>
      </c>
    </row>
    <row r="19">
      <c r="B19" s="37" t="inlineStr">
        <is>
          <t>攻速</t>
        </is>
      </c>
      <c r="C19" s="63" t="n">
        <v>1</v>
      </c>
      <c r="T19" s="1" t="inlineStr">
        <is>
          <t>%/</t>
        </is>
      </c>
      <c r="U19" s="1" t="inlineStr">
        <is>
          <t>%</t>
        </is>
      </c>
    </row>
    <row r="20">
      <c r="B20" s="66" t="inlineStr">
        <is>
          <t>伤害系数</t>
        </is>
      </c>
      <c r="C20" s="132">
        <f>C17/C19*D18*C2</f>
        <v/>
      </c>
      <c r="O20" s="1">
        <f>MROUND($R$20*O16,5)</f>
        <v/>
      </c>
      <c r="P20" s="1">
        <f>MROUND($R$20*P16,5)</f>
        <v/>
      </c>
      <c r="Q20" s="1">
        <f>MROUND($R$20*Q16,5)</f>
        <v/>
      </c>
      <c r="R20" s="2" t="n">
        <v>40</v>
      </c>
      <c r="T20" s="1">
        <f>_xlfn.CONCAT(O20,$T$19,P20,$T$19,Q20,$T$19,R20,$U$19)</f>
        <v/>
      </c>
    </row>
    <row r="22">
      <c r="C22" s="25" t="n"/>
      <c r="O22" s="1">
        <f>MROUND(O18*$R$20,5)</f>
        <v/>
      </c>
      <c r="P22" s="1">
        <f>MROUND(P18*$R$20,5)</f>
        <v/>
      </c>
      <c r="Q22" s="1">
        <f>MROUND(Q18*$R$20,5)</f>
        <v/>
      </c>
      <c r="T22" s="1">
        <f>_xlfn.CONCAT(O22,$T$19,P22,$T$19,Q22,$U$19)</f>
        <v/>
      </c>
    </row>
    <row r="23">
      <c r="B23" s="1" t="inlineStr">
        <is>
          <t>AOE子弹</t>
        </is>
      </c>
      <c r="C23" s="25" t="n"/>
    </row>
    <row r="24">
      <c r="B24" s="59" t="inlineStr">
        <is>
          <t>AOE系数</t>
        </is>
      </c>
      <c r="C24" s="60" t="n">
        <v>0.75</v>
      </c>
    </row>
    <row r="25">
      <c r="B25" s="37" t="inlineStr">
        <is>
          <t>品质系数</t>
        </is>
      </c>
      <c r="C25" s="62">
        <f>$C$3</f>
        <v/>
      </c>
      <c r="D25" s="1">
        <f>VLOOKUP(C25,$N$4:$O$6,2,0)</f>
        <v/>
      </c>
    </row>
    <row r="26">
      <c r="B26" s="37" t="inlineStr">
        <is>
          <t>标准范围半径</t>
        </is>
      </c>
      <c r="C26" s="38" t="n">
        <v>1</v>
      </c>
    </row>
    <row r="27">
      <c r="B27" s="37" t="inlineStr">
        <is>
          <t>实际范围半径（标准倍数）</t>
        </is>
      </c>
      <c r="C27" s="63" t="n">
        <v>1</v>
      </c>
    </row>
    <row r="28">
      <c r="B28" s="37" t="inlineStr">
        <is>
          <t>衰减系数</t>
        </is>
      </c>
      <c r="C28" s="38" t="n">
        <v>1.2</v>
      </c>
    </row>
    <row r="29">
      <c r="B29" s="37" t="inlineStr">
        <is>
          <t>攻速</t>
        </is>
      </c>
      <c r="C29" s="63" t="n">
        <v>1</v>
      </c>
    </row>
    <row r="30">
      <c r="B30" s="66" t="inlineStr">
        <is>
          <t>伤害系数</t>
        </is>
      </c>
      <c r="C30" s="132">
        <f>POWER(C26,C28)/POWER(C27,C28)*C24*D25*C2/C29</f>
        <v/>
      </c>
    </row>
    <row r="32">
      <c r="B32" s="1" t="inlineStr">
        <is>
          <t>DOT</t>
        </is>
      </c>
      <c r="C32" s="25" t="n"/>
    </row>
    <row r="33">
      <c r="B33" s="59" t="inlineStr">
        <is>
          <t>DOT系数</t>
        </is>
      </c>
      <c r="C33" s="60" t="n">
        <v>1.2</v>
      </c>
    </row>
    <row r="34">
      <c r="B34" s="37" t="inlineStr">
        <is>
          <t>品质系数</t>
        </is>
      </c>
      <c r="C34" s="62">
        <f>$C$3</f>
        <v/>
      </c>
      <c r="D34" s="1">
        <f>VLOOKUP(C34,$N$4:$O$6,2,0)</f>
        <v/>
      </c>
    </row>
    <row r="35">
      <c r="B35" s="37" t="inlineStr">
        <is>
          <t>DOT持续时间</t>
        </is>
      </c>
      <c r="C35" s="63" t="n">
        <v>5</v>
      </c>
    </row>
    <row r="36">
      <c r="B36" s="37" t="inlineStr">
        <is>
          <t>DOT标准持续时间</t>
        </is>
      </c>
      <c r="C36" s="38" t="n">
        <v>5</v>
      </c>
    </row>
    <row r="37">
      <c r="B37" s="37" t="inlineStr">
        <is>
          <t>DOT持续系数</t>
        </is>
      </c>
      <c r="C37" s="38" t="n">
        <v>1.39</v>
      </c>
      <c r="D37" s="1">
        <f>POWER(C35,C37)/POWER(C36,C37)/C35*C36</f>
        <v/>
      </c>
    </row>
    <row r="38">
      <c r="B38" s="37" t="inlineStr">
        <is>
          <t>DOT标准最大层数</t>
        </is>
      </c>
      <c r="C38" s="38" t="n">
        <v>5</v>
      </c>
    </row>
    <row r="39">
      <c r="B39" s="37" t="inlineStr">
        <is>
          <t>DOT最大层数</t>
        </is>
      </c>
      <c r="C39" s="63" t="n">
        <v>2</v>
      </c>
    </row>
    <row r="40">
      <c r="B40" s="37" t="inlineStr">
        <is>
          <t>DOT最大层数系数</t>
        </is>
      </c>
      <c r="C40" s="38" t="n">
        <v>1.21</v>
      </c>
      <c r="D40" s="1">
        <f>POWER(C38,C40)/POWER(C39,C40)*C39/C38</f>
        <v/>
      </c>
    </row>
    <row r="41">
      <c r="B41" s="66" t="inlineStr">
        <is>
          <t>DOT单层系数</t>
        </is>
      </c>
      <c r="C41" s="132">
        <f>C33/C35*D37*D40*D34*C2</f>
        <v/>
      </c>
    </row>
    <row r="44">
      <c r="B44" s="1" t="inlineStr">
        <is>
          <t>回血</t>
        </is>
      </c>
    </row>
    <row r="45">
      <c r="B45" s="59" t="inlineStr">
        <is>
          <t>回血系数</t>
        </is>
      </c>
      <c r="C45" s="60">
        <f>标准模型!I75</f>
        <v/>
      </c>
    </row>
    <row r="46">
      <c r="B46" s="37" t="inlineStr">
        <is>
          <t>品质系数</t>
        </is>
      </c>
      <c r="C46" s="62">
        <f>$C$3</f>
        <v/>
      </c>
      <c r="D46" s="1">
        <f>VLOOKUP(C46,$N$4:$O$6,2,0)</f>
        <v/>
      </c>
    </row>
    <row r="47">
      <c r="B47" s="37" t="inlineStr">
        <is>
          <t>回血人数</t>
        </is>
      </c>
      <c r="C47" s="63" t="n">
        <v>5</v>
      </c>
    </row>
    <row r="48">
      <c r="B48" s="37" t="inlineStr">
        <is>
          <t>标准回血人数</t>
        </is>
      </c>
      <c r="C48" s="38" t="n">
        <v>1</v>
      </c>
    </row>
    <row r="49">
      <c r="B49" s="37" t="inlineStr">
        <is>
          <t>人数衰减系数</t>
        </is>
      </c>
      <c r="C49" s="38" t="n">
        <v>1.35</v>
      </c>
      <c r="D49" s="1">
        <f>POWER(C47,C49)/POWER(C48,C49)*C48/C47</f>
        <v/>
      </c>
    </row>
    <row r="50">
      <c r="B50" s="66" t="inlineStr">
        <is>
          <t>最终回血系数</t>
        </is>
      </c>
      <c r="C50" s="132">
        <f>C45/C47*C48*D49*D46*C2</f>
        <v/>
      </c>
    </row>
    <row r="51">
      <c r="C51" s="25" t="n"/>
    </row>
    <row r="52">
      <c r="C52" s="25" t="n"/>
    </row>
    <row r="53">
      <c r="B53" s="1" t="inlineStr">
        <is>
          <t>护盾</t>
        </is>
      </c>
    </row>
    <row r="54">
      <c r="B54" s="59" t="inlineStr">
        <is>
          <t>护盾系数</t>
        </is>
      </c>
      <c r="C54" s="60">
        <f>C45*1.25</f>
        <v/>
      </c>
    </row>
    <row r="55">
      <c r="B55" s="37" t="inlineStr">
        <is>
          <t>品质系数</t>
        </is>
      </c>
      <c r="C55" s="62">
        <f>$C$3</f>
        <v/>
      </c>
      <c r="D55" s="1">
        <f>VLOOKUP(C55,$N$4:$O$6,2,0)</f>
        <v/>
      </c>
    </row>
    <row r="56">
      <c r="B56" s="37" t="inlineStr">
        <is>
          <t>护盾人数</t>
        </is>
      </c>
      <c r="C56" s="63" t="n">
        <v>1</v>
      </c>
    </row>
    <row r="57">
      <c r="B57" s="37" t="inlineStr">
        <is>
          <t>标准护盾人数</t>
        </is>
      </c>
      <c r="C57" s="38" t="n">
        <v>1</v>
      </c>
    </row>
    <row r="58">
      <c r="B58" s="37" t="inlineStr">
        <is>
          <t>人数衰减系数</t>
        </is>
      </c>
      <c r="C58" s="38" t="n">
        <v>1.56</v>
      </c>
      <c r="D58" s="1">
        <f>POWER(C56,C58)/POWER(C57,C58)*C57/C56</f>
        <v/>
      </c>
    </row>
    <row r="59">
      <c r="B59" s="37" t="inlineStr">
        <is>
          <t>护盾持续时间</t>
        </is>
      </c>
      <c r="C59" s="63" t="n">
        <v>4</v>
      </c>
    </row>
    <row r="60">
      <c r="B60" s="37" t="inlineStr">
        <is>
          <t>护盾持续上限</t>
        </is>
      </c>
      <c r="C60" s="38" t="n">
        <v>20</v>
      </c>
    </row>
    <row r="61">
      <c r="B61" s="37" t="inlineStr">
        <is>
          <t>护盾持续下限</t>
        </is>
      </c>
      <c r="C61" s="38" t="n">
        <v>2</v>
      </c>
    </row>
    <row r="62">
      <c r="B62" s="37" t="inlineStr">
        <is>
          <t>最终持续时间</t>
        </is>
      </c>
      <c r="C62" s="38">
        <f t="array" ref="C62">_xlfn.IFS(C59&gt;=C60,C60,C59&lt;=C61,C61,AND(C59&lt;C60,C59&gt;C61),C59)</f>
        <v/>
      </c>
    </row>
    <row r="63">
      <c r="B63" s="37" t="inlineStr">
        <is>
          <t>标准护盾持续时间</t>
        </is>
      </c>
      <c r="C63" s="38" t="n">
        <v>5</v>
      </c>
    </row>
    <row r="64">
      <c r="B64" s="37" t="inlineStr">
        <is>
          <t>时间衰减系数</t>
        </is>
      </c>
      <c r="C64" s="38" t="n">
        <v>0.35</v>
      </c>
      <c r="D64" s="1">
        <f>POWER(C62,C64)/POWER(C63,C64)*C63/C62</f>
        <v/>
      </c>
    </row>
    <row r="65">
      <c r="B65" s="66" t="inlineStr">
        <is>
          <t>最终护盾系数</t>
        </is>
      </c>
      <c r="C65" s="132">
        <f>C54*D55/C56*D58*D64*C2</f>
        <v/>
      </c>
    </row>
    <row r="67">
      <c r="B67" s="1" t="inlineStr">
        <is>
          <t>眩晕</t>
        </is>
      </c>
    </row>
    <row r="68">
      <c r="B68" s="59" t="inlineStr">
        <is>
          <t>控制系数</t>
        </is>
      </c>
      <c r="C68" s="60" t="n">
        <v>0.6</v>
      </c>
    </row>
    <row r="69">
      <c r="B69" s="37" t="inlineStr">
        <is>
          <t>品质系数</t>
        </is>
      </c>
      <c r="C69" s="62">
        <f>$C$3</f>
        <v/>
      </c>
      <c r="D69" s="1">
        <f>VLOOKUP(C69,$N$4:$O$6,2,0)</f>
        <v/>
      </c>
    </row>
    <row r="70">
      <c r="B70" s="37" t="inlineStr">
        <is>
          <t>标准控制秒数</t>
        </is>
      </c>
      <c r="C70" s="38" t="n">
        <v>1</v>
      </c>
    </row>
    <row r="71">
      <c r="B71" s="37" t="inlineStr">
        <is>
          <t>控制人数</t>
        </is>
      </c>
      <c r="C71" s="63" t="n">
        <v>1</v>
      </c>
    </row>
    <row r="72">
      <c r="B72" s="37" t="inlineStr">
        <is>
          <t>标准控制人数</t>
        </is>
      </c>
      <c r="C72" s="38" t="n">
        <v>1</v>
      </c>
    </row>
    <row r="73">
      <c r="B73" s="37" t="inlineStr">
        <is>
          <t>控制人数系数</t>
        </is>
      </c>
      <c r="C73" s="38" t="n">
        <v>0.35</v>
      </c>
      <c r="D73" s="1">
        <f>POWER(C71,C73)/POWER(C72,C73)*C72/C71</f>
        <v/>
      </c>
    </row>
    <row r="74">
      <c r="B74" s="66" t="inlineStr">
        <is>
          <t>实际控制秒数</t>
        </is>
      </c>
      <c r="C74" s="68">
        <f>$C$2*C70*C68*D73*D69</f>
        <v/>
      </c>
    </row>
    <row r="76">
      <c r="B76" s="1" t="inlineStr">
        <is>
          <t>冰冻</t>
        </is>
      </c>
    </row>
    <row r="77">
      <c r="B77" s="59" t="inlineStr">
        <is>
          <t>控制系数</t>
        </is>
      </c>
      <c r="C77" s="60" t="n">
        <v>1.4</v>
      </c>
    </row>
    <row r="78">
      <c r="B78" s="37" t="inlineStr">
        <is>
          <t>品质系数</t>
        </is>
      </c>
      <c r="C78" s="62">
        <f>$C$3</f>
        <v/>
      </c>
      <c r="D78" s="1">
        <f>VLOOKUP(C78,$N$4:$O$6,2,0)</f>
        <v/>
      </c>
    </row>
    <row r="79">
      <c r="B79" s="37" t="inlineStr">
        <is>
          <t>标准控制秒数</t>
        </is>
      </c>
      <c r="C79" s="38" t="n">
        <v>1</v>
      </c>
    </row>
    <row r="80">
      <c r="B80" s="37" t="inlineStr">
        <is>
          <t>控制人数</t>
        </is>
      </c>
      <c r="C80" s="63" t="n">
        <v>1</v>
      </c>
    </row>
    <row r="81">
      <c r="B81" s="37" t="inlineStr">
        <is>
          <t>标准控制人数</t>
        </is>
      </c>
      <c r="C81" s="38" t="n">
        <v>1</v>
      </c>
    </row>
    <row r="82">
      <c r="B82" s="37" t="inlineStr">
        <is>
          <t>控制人数系数</t>
        </is>
      </c>
      <c r="C82" s="38" t="n">
        <v>0.35</v>
      </c>
      <c r="D82" s="1">
        <f>POWER(C80,C82)/POWER(C81,C82)*C81/C80</f>
        <v/>
      </c>
    </row>
    <row r="83">
      <c r="B83" s="66" t="inlineStr">
        <is>
          <t>实际控制秒数</t>
        </is>
      </c>
      <c r="C83" s="68">
        <f>$C$2*C79*C77*D82*D78</f>
        <v/>
      </c>
    </row>
    <row r="85">
      <c r="B85" s="1" t="inlineStr">
        <is>
          <t>沉默</t>
        </is>
      </c>
    </row>
    <row r="86">
      <c r="B86" s="59" t="inlineStr">
        <is>
          <t>控制系数</t>
        </is>
      </c>
      <c r="C86" s="60" t="n">
        <v>2</v>
      </c>
    </row>
    <row r="87">
      <c r="B87" s="37" t="inlineStr">
        <is>
          <t>品质系数</t>
        </is>
      </c>
      <c r="C87" s="62">
        <f>$C$3</f>
        <v/>
      </c>
      <c r="D87" s="1">
        <f>VLOOKUP(C87,$N$4:$O$6,2,0)</f>
        <v/>
      </c>
    </row>
    <row r="88">
      <c r="B88" s="37" t="inlineStr">
        <is>
          <t>标准控制秒数</t>
        </is>
      </c>
      <c r="C88" s="38" t="n">
        <v>1</v>
      </c>
    </row>
    <row r="89">
      <c r="B89" s="37" t="inlineStr">
        <is>
          <t>控制人数</t>
        </is>
      </c>
      <c r="C89" s="63" t="n">
        <v>2</v>
      </c>
    </row>
    <row r="90">
      <c r="B90" s="37" t="inlineStr">
        <is>
          <t>标准控制人数</t>
        </is>
      </c>
      <c r="C90" s="38" t="n">
        <v>1</v>
      </c>
    </row>
    <row r="91">
      <c r="B91" s="37" t="inlineStr">
        <is>
          <t>控制人数系数</t>
        </is>
      </c>
      <c r="C91" s="38" t="n">
        <v>0.35</v>
      </c>
      <c r="D91" s="1">
        <f>POWER(C89,C91)/POWER(C90,C91)*C90/C89</f>
        <v/>
      </c>
    </row>
    <row r="92">
      <c r="B92" s="66" t="inlineStr">
        <is>
          <t>实际控制秒数</t>
        </is>
      </c>
      <c r="C92" s="68">
        <f>$C$2*C88*C86*D91*D87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2026-08-25T03:30:28Z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6B519694E96044C08193E91BB0979711_12</vt:lpwstr>
  </property>
  <property name="CalculationRule" fmtid="{D5CDD505-2E9C-101B-9397-08002B2CF9AE}" pid="4">
    <vt:i4>0</vt:i4>
  </property>
  <property name="KSOReadingLayout" fmtid="{D5CDD505-2E9C-101B-9397-08002B2CF9AE}" pid="5">
    <vt:bool>0</vt:bool>
  </property>
</Properties>
</file>