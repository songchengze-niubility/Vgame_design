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943" firstSheet="0" activeTab="0" autoFilterDateGrouping="1"/>
  </bookViews>
  <sheets>
    <sheet name="道具定价" sheetId="1" state="visible" r:id="rId1"/>
    <sheet name="角色、专武、旅券掉落池" sheetId="2" state="visible" r:id="rId2"/>
    <sheet name="讨论页-玩法定位和产出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_ "/>
    <numFmt numFmtId="166" formatCode="0.0"/>
    <numFmt numFmtId="167" formatCode="0.000_ "/>
    <numFmt numFmtId="168" formatCode="0.000%"/>
  </numFmts>
  <fonts count="79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theme="1"/>
      <sz val="16"/>
    </font>
    <font>
      <name val="微软雅黑"/>
      <charset val="134"/>
      <color theme="1"/>
      <sz val="10"/>
    </font>
    <font>
      <name val="Calibri"/>
      <charset val="134"/>
      <color rgb="FF000000"/>
      <sz val="9"/>
    </font>
    <font>
      <name val="微软雅黑"/>
      <charset val="134"/>
      <sz val="12"/>
    </font>
    <font>
      <name val="微软雅黑"/>
      <charset val="134"/>
      <b val="1"/>
      <color theme="0"/>
      <sz val="11"/>
    </font>
    <font>
      <name val="微软雅黑"/>
      <charset val="134"/>
      <color rgb="FF000000"/>
      <sz val="10"/>
    </font>
    <font>
      <name val="宋体"/>
      <charset val="134"/>
      <color rgb="FF373C43"/>
      <sz val="10"/>
      <scheme val="minor"/>
    </font>
    <font>
      <name val="宋体"/>
      <charset val="134"/>
      <color rgb="FF1F2329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00000"/>
      <sz val="10"/>
      <scheme val="minor"/>
    </font>
    <font>
      <name val="宋体"/>
      <charset val="134"/>
      <color rgb="FF1F2329"/>
      <sz val="11"/>
      <scheme val="minor"/>
    </font>
    <font>
      <name val="微软雅黑"/>
      <charset val="134"/>
      <b val="1"/>
      <color theme="1"/>
      <sz val="11"/>
    </font>
    <font>
      <name val="宋体"/>
      <charset val="134"/>
      <color rgb="FFF54A45"/>
      <sz val="11"/>
      <scheme val="minor"/>
    </font>
    <font>
      <name val="宋体"/>
      <charset val="134"/>
      <color rgb="FFD83931"/>
      <sz val="11"/>
      <scheme val="minor"/>
    </font>
    <font>
      <name val="Arial"/>
      <charset val="134"/>
      <b val="1"/>
      <color rgb="FFFFFFFF"/>
      <sz val="15"/>
    </font>
    <font>
      <name val="Arial"/>
      <charset val="134"/>
      <color rgb="FF1F2937"/>
      <sz val="11"/>
    </font>
    <font>
      <name val="Arial"/>
      <charset val="134"/>
      <b val="1"/>
      <color rgb="FF1F2937"/>
      <sz val="11"/>
    </font>
    <font>
      <name val="Arial"/>
      <charset val="134"/>
      <b val="1"/>
      <color rgb="FFFFFFFF"/>
      <sz val="11"/>
    </font>
    <font>
      <name val="宋体"/>
      <charset val="134"/>
      <color rgb="FF1F2937"/>
      <sz val="11"/>
    </font>
    <font>
      <name val="Microsoft YaHei"/>
      <charset val="134"/>
      <b val="1"/>
      <color rgb="FFFFFFFF"/>
      <sz val="11"/>
    </font>
    <font>
      <name val="Microsoft YaHei"/>
      <charset val="134"/>
      <b val="1"/>
      <color rgb="FFFFFFFF"/>
      <sz val="12"/>
    </font>
    <font>
      <name val="Microsoft YaHei"/>
      <charset val="134"/>
      <b val="1"/>
      <color rgb="FF1F4E78"/>
      <sz val="11"/>
    </font>
    <font>
      <name val="Microsoft YaHei"/>
      <charset val="134"/>
      <sz val="11"/>
    </font>
    <font>
      <name val="Microsoft YaHei"/>
      <charset val="134"/>
      <color rgb="FF000000"/>
      <sz val="11"/>
    </font>
    <font>
      <name val="Microsoft YaHei"/>
      <charset val="134"/>
      <color rgb="FF666666"/>
      <sz val="11"/>
    </font>
    <font>
      <name val="宋体"/>
      <charset val="134"/>
      <b val="1"/>
      <color theme="1"/>
      <sz val="10"/>
      <scheme val="minor"/>
    </font>
    <font>
      <name val="微软雅黑"/>
      <charset val="134"/>
      <sz val="11"/>
    </font>
    <font>
      <name val="微软雅黑"/>
      <charset val="134"/>
      <color rgb="FF1F2329"/>
      <sz val="11"/>
    </font>
    <font>
      <name val="Segoe UI"/>
      <charset val="134"/>
      <color rgb="FF171717"/>
      <sz val="9.75"/>
    </font>
    <font>
      <name val="微软雅黑"/>
      <charset val="134"/>
      <color rgb="FFFF0000"/>
      <sz val="11"/>
    </font>
    <font>
      <name val="微软雅黑"/>
      <charset val="134"/>
      <b val="1"/>
      <sz val="16"/>
    </font>
    <font>
      <name val="微软雅黑"/>
      <charset val="134"/>
      <b val="1"/>
      <sz val="10"/>
    </font>
    <font>
      <name val="微软雅黑"/>
      <charset val="134"/>
      <b val="1"/>
      <color rgb="FF1F1F1F"/>
      <sz val="10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sz val="11"/>
      <scheme val="minor"/>
    </font>
    <font>
      <name val="Microsoft YaHei"/>
      <charset val="134"/>
      <b val="1"/>
      <color rgb="FFFFFFFF"/>
      <sz val="13"/>
    </font>
    <font>
      <name val="Microsoft YaHei"/>
      <charset val="134"/>
      <color rgb="FF008000"/>
      <sz val="11"/>
    </font>
    <font>
      <name val="Microsoft YaHei"/>
      <charset val="134"/>
      <b val="1"/>
      <sz val="11"/>
    </font>
    <font>
      <name val="微软雅黑"/>
      <charset val="134"/>
      <color rgb="FFFF0000"/>
      <sz val="10"/>
    </font>
    <font>
      <name val="Noto Sans SC"/>
      <charset val="134"/>
      <sz val="12"/>
    </font>
    <font>
      <name val="微软雅黑"/>
      <charset val="134"/>
      <color rgb="FF000000"/>
      <sz val="11"/>
    </font>
    <font>
      <name val="微软雅黑"/>
      <charset val="134"/>
      <sz val="10"/>
    </font>
    <font>
      <name val="等线"/>
      <charset val="134"/>
      <color theme="1"/>
      <sz val="11"/>
    </font>
    <font>
      <name val="Microsoft YaHei"/>
      <charset val="134"/>
      <b val="1"/>
      <color rgb="FFFFFFFF"/>
      <sz val="16"/>
    </font>
    <font>
      <name val="Microsoft YaHei"/>
      <charset val="134"/>
      <color rgb="FF000000"/>
      <sz val="10"/>
    </font>
    <font>
      <name val="Microsoft YaHei"/>
      <charset val="134"/>
      <i val="1"/>
      <color rgb="FF555555"/>
      <sz val="10"/>
    </font>
    <font>
      <name val="Microsoft YaHei"/>
      <charset val="134"/>
      <b val="1"/>
      <color rgb="FFFFFFFF"/>
      <sz val="10"/>
    </font>
    <font>
      <name val="微软雅黑"/>
      <charset val="134"/>
      <b val="1"/>
      <color rgb="FF000000"/>
      <sz val="11"/>
    </font>
    <font>
      <name val="微软雅黑"/>
      <charset val="134"/>
      <b val="1"/>
      <color rgb="FFFFFFFF"/>
      <sz val="11"/>
    </font>
    <font>
      <name val="Microsoft YaHei"/>
      <charset val="134"/>
      <i val="1"/>
      <color rgb="FF666666"/>
      <sz val="9"/>
    </font>
    <font>
      <name val="微软雅黑"/>
      <charset val="134"/>
      <b val="1"/>
      <sz val="11"/>
    </font>
    <font>
      <name val="微软雅黑"/>
      <charset val="134"/>
      <color theme="0"/>
      <sz val="11"/>
    </font>
    <font>
      <name val="Segoe UI"/>
      <charset val="134"/>
      <color rgb="FF0F1115"/>
      <sz val="12"/>
    </font>
    <font>
      <name val="Microsoft YaHei"/>
      <charset val="134"/>
      <b val="1"/>
      <color rgb="FFFFFFFF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73">
    <fill>
      <patternFill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DEC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EFFAF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6" tint="0.79970702230903"/>
        <bgColor rgb="FFDBEEF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EFB54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7E719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DEE0E3"/>
      </right>
      <top style="thin">
        <color rgb="FFDEE0E3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66666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666666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medium">
        <color rgb="FF666666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1F2329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0" fillId="0" borderId="0" applyAlignment="1">
      <alignment vertical="center"/>
    </xf>
    <xf numFmtId="0" fontId="61" fillId="0" borderId="0" applyAlignment="1">
      <alignment vertical="center"/>
    </xf>
    <xf numFmtId="0" fontId="0" fillId="42" borderId="36" applyAlignment="1">
      <alignment vertical="center"/>
    </xf>
    <xf numFmtId="0" fontId="62" fillId="0" borderId="0" applyAlignment="1">
      <alignment vertical="center"/>
    </xf>
    <xf numFmtId="0" fontId="63" fillId="0" borderId="0" applyAlignment="1">
      <alignment vertical="center"/>
    </xf>
    <xf numFmtId="0" fontId="64" fillId="0" borderId="0" applyAlignment="1">
      <alignment vertical="center"/>
    </xf>
    <xf numFmtId="0" fontId="65" fillId="0" borderId="37" applyAlignment="1">
      <alignment vertical="center"/>
    </xf>
    <xf numFmtId="0" fontId="66" fillId="0" borderId="37" applyAlignment="1">
      <alignment vertical="center"/>
    </xf>
    <xf numFmtId="0" fontId="67" fillId="0" borderId="38" applyAlignment="1">
      <alignment vertical="center"/>
    </xf>
    <xf numFmtId="0" fontId="67" fillId="0" borderId="0" applyAlignment="1">
      <alignment vertical="center"/>
    </xf>
    <xf numFmtId="0" fontId="68" fillId="43" borderId="39" applyAlignment="1">
      <alignment vertical="center"/>
    </xf>
    <xf numFmtId="0" fontId="69" fillId="44" borderId="40" applyAlignment="1">
      <alignment vertical="center"/>
    </xf>
    <xf numFmtId="0" fontId="70" fillId="44" borderId="39" applyAlignment="1">
      <alignment vertical="center"/>
    </xf>
    <xf numFmtId="0" fontId="71" fillId="45" borderId="41" applyAlignment="1">
      <alignment vertical="center"/>
    </xf>
    <xf numFmtId="0" fontId="72" fillId="0" borderId="42" applyAlignment="1">
      <alignment vertical="center"/>
    </xf>
    <xf numFmtId="0" fontId="73" fillId="0" borderId="43" applyAlignment="1">
      <alignment vertical="center"/>
    </xf>
    <xf numFmtId="0" fontId="74" fillId="46" borderId="0" applyAlignment="1">
      <alignment vertical="center"/>
    </xf>
    <xf numFmtId="0" fontId="75" fillId="47" borderId="0" applyAlignment="1">
      <alignment vertical="center"/>
    </xf>
    <xf numFmtId="0" fontId="76" fillId="48" borderId="0" applyAlignment="1">
      <alignment vertical="center"/>
    </xf>
    <xf numFmtId="0" fontId="77" fillId="49" borderId="0" applyAlignment="1">
      <alignment vertical="center"/>
    </xf>
    <xf numFmtId="0" fontId="78" fillId="50" borderId="0" applyAlignment="1">
      <alignment vertical="center"/>
    </xf>
    <xf numFmtId="0" fontId="78" fillId="51" borderId="0" applyAlignment="1">
      <alignment vertical="center"/>
    </xf>
    <xf numFmtId="0" fontId="77" fillId="52" borderId="0" applyAlignment="1">
      <alignment vertical="center"/>
    </xf>
    <xf numFmtId="0" fontId="77" fillId="53" borderId="0" applyAlignment="1">
      <alignment vertical="center"/>
    </xf>
    <xf numFmtId="0" fontId="78" fillId="54" borderId="0" applyAlignment="1">
      <alignment vertical="center"/>
    </xf>
    <xf numFmtId="0" fontId="78" fillId="55" borderId="0" applyAlignment="1">
      <alignment vertical="center"/>
    </xf>
    <xf numFmtId="0" fontId="77" fillId="56" borderId="0" applyAlignment="1">
      <alignment vertical="center"/>
    </xf>
    <xf numFmtId="0" fontId="77" fillId="57" borderId="0" applyAlignment="1">
      <alignment vertical="center"/>
    </xf>
    <xf numFmtId="0" fontId="78" fillId="58" borderId="0" applyAlignment="1">
      <alignment vertical="center"/>
    </xf>
    <xf numFmtId="0" fontId="78" fillId="59" borderId="0" applyAlignment="1">
      <alignment vertical="center"/>
    </xf>
    <xf numFmtId="0" fontId="77" fillId="60" borderId="0" applyAlignment="1">
      <alignment vertical="center"/>
    </xf>
    <xf numFmtId="0" fontId="77" fillId="61" borderId="0" applyAlignment="1">
      <alignment vertical="center"/>
    </xf>
    <xf numFmtId="0" fontId="78" fillId="62" borderId="0" applyAlignment="1">
      <alignment vertical="center"/>
    </xf>
    <xf numFmtId="0" fontId="78" fillId="63" borderId="0" applyAlignment="1">
      <alignment vertical="center"/>
    </xf>
    <xf numFmtId="0" fontId="77" fillId="64" borderId="0" applyAlignment="1">
      <alignment vertical="center"/>
    </xf>
    <xf numFmtId="0" fontId="77" fillId="65" borderId="0" applyAlignment="1">
      <alignment vertical="center"/>
    </xf>
    <xf numFmtId="0" fontId="78" fillId="66" borderId="0" applyAlignment="1">
      <alignment vertical="center"/>
    </xf>
    <xf numFmtId="0" fontId="78" fillId="67" borderId="0" applyAlignment="1">
      <alignment vertical="center"/>
    </xf>
    <xf numFmtId="0" fontId="77" fillId="68" borderId="0" applyAlignment="1">
      <alignment vertical="center"/>
    </xf>
    <xf numFmtId="0" fontId="77" fillId="69" borderId="0" applyAlignment="1">
      <alignment vertical="center"/>
    </xf>
    <xf numFmtId="0" fontId="78" fillId="70" borderId="0" applyAlignment="1">
      <alignment vertical="center"/>
    </xf>
    <xf numFmtId="0" fontId="78" fillId="71" borderId="0" applyAlignment="1">
      <alignment vertical="center"/>
    </xf>
    <xf numFmtId="0" fontId="77" fillId="72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0" fillId="0" borderId="12" pivotButton="0" quotePrefix="0" xfId="0"/>
    <xf numFmtId="0" fontId="9" fillId="7" borderId="6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15" pivotButton="0" quotePrefix="0" xfId="0"/>
    <xf numFmtId="0" fontId="12" fillId="2" borderId="16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11" fillId="2" borderId="17" applyAlignment="1" pivotButton="0" quotePrefix="0" xfId="0">
      <alignment horizontal="center"/>
    </xf>
    <xf numFmtId="0" fontId="9" fillId="2" borderId="17" applyAlignment="1" pivotButton="0" quotePrefix="0" xfId="0">
      <alignment horizontal="center"/>
    </xf>
    <xf numFmtId="0" fontId="0" fillId="0" borderId="18" pivotButton="0" quotePrefix="0" xfId="0"/>
    <xf numFmtId="0" fontId="12" fillId="2" borderId="19" applyAlignment="1" pivotButton="0" quotePrefix="0" xfId="0">
      <alignment horizontal="center" vertical="center"/>
    </xf>
    <xf numFmtId="0" fontId="9" fillId="2" borderId="20" applyAlignment="1" pivotButton="0" quotePrefix="0" xfId="0">
      <alignment horizontal="center" vertical="center"/>
    </xf>
    <xf numFmtId="0" fontId="9" fillId="2" borderId="20" applyAlignment="1" pivotButton="0" quotePrefix="0" xfId="0">
      <alignment horizontal="center"/>
    </xf>
    <xf numFmtId="0" fontId="10" fillId="2" borderId="20" applyAlignment="1" pivotButton="0" quotePrefix="0" xfId="0">
      <alignment horizontal="center" vertical="center"/>
    </xf>
    <xf numFmtId="0" fontId="13" fillId="2" borderId="20" applyAlignment="1" pivotButton="0" quotePrefix="0" xfId="0">
      <alignment horizontal="center"/>
    </xf>
    <xf numFmtId="0" fontId="1" fillId="2" borderId="21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10" fillId="6" borderId="13" applyAlignment="1" pivotButton="0" quotePrefix="0" xfId="0">
      <alignment horizontal="center" vertical="center"/>
    </xf>
    <xf numFmtId="0" fontId="9" fillId="6" borderId="14" applyAlignment="1" pivotButton="0" quotePrefix="0" xfId="0">
      <alignment horizontal="center" vertical="center"/>
    </xf>
    <xf numFmtId="0" fontId="9" fillId="7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2" fillId="6" borderId="16" applyAlignment="1" pivotButton="0" quotePrefix="0" xfId="0">
      <alignment horizontal="center" vertical="center"/>
    </xf>
    <xf numFmtId="0" fontId="9" fillId="6" borderId="17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/>
    </xf>
    <xf numFmtId="0" fontId="9" fillId="7" borderId="17" applyAlignment="1" pivotButton="0" quotePrefix="0" xfId="0">
      <alignment horizontal="center" vertical="center"/>
    </xf>
    <xf numFmtId="0" fontId="9" fillId="7" borderId="17" applyAlignment="1" pivotButton="0" quotePrefix="0" xfId="0">
      <alignment horizontal="center"/>
    </xf>
    <xf numFmtId="0" fontId="12" fillId="6" borderId="19" applyAlignment="1" pivotButton="0" quotePrefix="0" xfId="0">
      <alignment horizontal="center" vertical="center"/>
    </xf>
    <xf numFmtId="0" fontId="9" fillId="6" borderId="20" applyAlignment="1" pivotButton="0" quotePrefix="0" xfId="0">
      <alignment horizontal="center" vertical="center"/>
    </xf>
    <xf numFmtId="0" fontId="9" fillId="7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 vertical="center"/>
    </xf>
    <xf numFmtId="0" fontId="0" fillId="0" borderId="22" pivotButton="0" quotePrefix="0" xfId="0"/>
    <xf numFmtId="0" fontId="10" fillId="6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/>
    </xf>
    <xf numFmtId="0" fontId="0" fillId="0" borderId="23" pivotButton="0" quotePrefix="0" xfId="0"/>
    <xf numFmtId="0" fontId="10" fillId="6" borderId="20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13" fillId="0" borderId="20" applyAlignment="1" pivotButton="0" quotePrefix="0" xfId="0">
      <alignment horizontal="center"/>
    </xf>
    <xf numFmtId="0" fontId="10" fillId="6" borderId="19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center"/>
    </xf>
    <xf numFmtId="0" fontId="17" fillId="9" borderId="0" applyAlignment="1" pivotButton="0" quotePrefix="0" xfId="0">
      <alignment horizontal="center"/>
    </xf>
    <xf numFmtId="0" fontId="18" fillId="0" borderId="0" applyAlignment="1" pivotButton="0" quotePrefix="0" xfId="0">
      <alignment wrapText="1"/>
    </xf>
    <xf numFmtId="0" fontId="19" fillId="1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left" vertical="center" wrapText="1"/>
    </xf>
    <xf numFmtId="0" fontId="19" fillId="11" borderId="24" applyAlignment="1" pivotButton="0" quotePrefix="0" xfId="0">
      <alignment horizontal="center" vertical="center"/>
    </xf>
    <xf numFmtId="0" fontId="20" fillId="9" borderId="24" applyAlignment="1" pivotButton="0" quotePrefix="0" xfId="0">
      <alignment horizontal="center" vertical="center"/>
    </xf>
    <xf numFmtId="0" fontId="20" fillId="9" borderId="24" applyAlignment="1" pivotButton="0" quotePrefix="0" xfId="0">
      <alignment horizontal="left" vertical="center" wrapText="1"/>
    </xf>
    <xf numFmtId="0" fontId="18" fillId="0" borderId="24" applyAlignment="1" pivotButton="0" quotePrefix="0" xfId="0">
      <alignment horizontal="center" vertical="center"/>
    </xf>
    <xf numFmtId="0" fontId="18" fillId="0" borderId="24" applyAlignment="1" pivotButton="0" quotePrefix="0" xfId="0">
      <alignment horizontal="left" vertical="center" wrapText="1"/>
    </xf>
    <xf numFmtId="0" fontId="21" fillId="0" borderId="24" applyAlignment="1" pivotButton="0" quotePrefix="0" xfId="0">
      <alignment horizontal="center" vertical="center"/>
    </xf>
    <xf numFmtId="0" fontId="21" fillId="0" borderId="24" applyAlignment="1" pivotButton="0" quotePrefix="0" xfId="0">
      <alignment horizontal="left" vertical="center" wrapText="1"/>
    </xf>
    <xf numFmtId="0" fontId="22" fillId="9" borderId="24" applyAlignment="1" pivotButton="0" quotePrefix="0" xfId="0">
      <alignment horizontal="center" vertical="center"/>
    </xf>
    <xf numFmtId="0" fontId="23" fillId="12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24" fillId="10" borderId="24" applyAlignment="1" pivotButton="0" quotePrefix="0" xfId="0">
      <alignment horizontal="center" vertical="center" wrapText="1"/>
    </xf>
    <xf numFmtId="0" fontId="25" fillId="0" borderId="24" applyAlignment="1" pivotButton="0" quotePrefix="0" xfId="0">
      <alignment horizontal="center" vertical="center" wrapText="1"/>
    </xf>
    <xf numFmtId="0" fontId="26" fillId="0" borderId="24" applyAlignment="1" pivotButton="0" quotePrefix="0" xfId="0">
      <alignment horizontal="center" vertical="center"/>
    </xf>
    <xf numFmtId="0" fontId="26" fillId="0" borderId="24" applyAlignment="1" pivotButton="0" quotePrefix="0" xfId="0">
      <alignment horizontal="left" vertical="center" wrapText="1"/>
    </xf>
    <xf numFmtId="0" fontId="22" fillId="13" borderId="24" applyAlignment="1" pivotButton="0" quotePrefix="0" xfId="0">
      <alignment horizontal="center" vertical="center"/>
    </xf>
    <xf numFmtId="0" fontId="27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center" vertical="center" wrapText="1"/>
    </xf>
    <xf numFmtId="0" fontId="26" fillId="14" borderId="24" applyAlignment="1" pivotButton="0" quotePrefix="0" xfId="0">
      <alignment horizontal="center" vertical="center"/>
    </xf>
    <xf numFmtId="0" fontId="26" fillId="14" borderId="24" applyAlignment="1" pivotButton="0" quotePrefix="0" xfId="0">
      <alignment horizontal="left" vertical="center" wrapText="1"/>
    </xf>
    <xf numFmtId="0" fontId="26" fillId="11" borderId="24" applyAlignment="1" pivotButton="0" quotePrefix="0" xfId="0">
      <alignment horizontal="left" vertical="center" wrapText="1"/>
    </xf>
    <xf numFmtId="164" fontId="26" fillId="11" borderId="24" applyAlignment="1" pivotButton="0" quotePrefix="0" xfId="0">
      <alignment horizontal="left" vertical="center" wrapText="1"/>
    </xf>
    <xf numFmtId="0" fontId="29" fillId="0" borderId="4" applyAlignment="1" pivotButton="0" quotePrefix="0" xfId="0">
      <alignment horizontal="center" vertical="center" wrapText="1"/>
    </xf>
    <xf numFmtId="0" fontId="30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6" fillId="3" borderId="24" applyAlignment="1" pivotButton="0" quotePrefix="0" xfId="0">
      <alignment horizontal="center" vertical="center"/>
    </xf>
    <xf numFmtId="0" fontId="1" fillId="15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/>
    </xf>
    <xf numFmtId="0" fontId="29" fillId="0" borderId="4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9" fontId="30" fillId="0" borderId="4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/>
    </xf>
    <xf numFmtId="1" fontId="1" fillId="0" borderId="6" applyAlignment="1" pivotButton="0" quotePrefix="0" xfId="0">
      <alignment horizontal="center" vertical="center"/>
    </xf>
    <xf numFmtId="1" fontId="1" fillId="0" borderId="7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30" fillId="3" borderId="4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/>
    </xf>
    <xf numFmtId="0" fontId="29" fillId="0" borderId="21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9" fontId="30" fillId="3" borderId="4" applyAlignment="1" pivotButton="0" quotePrefix="0" xfId="0">
      <alignment horizontal="center" vertical="center"/>
    </xf>
    <xf numFmtId="1" fontId="1" fillId="3" borderId="11" applyAlignment="1" pivotButton="0" quotePrefix="0" xfId="0">
      <alignment horizontal="center" vertical="center"/>
    </xf>
    <xf numFmtId="1" fontId="1" fillId="3" borderId="6" applyAlignment="1" pivotButton="0" quotePrefix="0" xfId="0">
      <alignment horizontal="center" vertical="center"/>
    </xf>
    <xf numFmtId="0" fontId="32" fillId="15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4" fillId="16" borderId="0" applyAlignment="1" pivotButton="0" quotePrefix="0" xfId="0">
      <alignment horizontal="center" vertical="center"/>
    </xf>
    <xf numFmtId="0" fontId="34" fillId="17" borderId="29" applyAlignment="1" pivotButton="0" quotePrefix="0" xfId="0">
      <alignment horizontal="center" vertical="center"/>
    </xf>
    <xf numFmtId="0" fontId="35" fillId="18" borderId="30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 wrapText="1"/>
    </xf>
    <xf numFmtId="0" fontId="36" fillId="0" borderId="29" applyAlignment="1" pivotButton="0" quotePrefix="0" xfId="0">
      <alignment vertical="center" wrapText="1"/>
    </xf>
    <xf numFmtId="3" fontId="36" fillId="0" borderId="29" applyAlignment="1" pivotButton="0" quotePrefix="0" xfId="0">
      <alignment horizontal="left" vertical="center" wrapText="1"/>
    </xf>
    <xf numFmtId="0" fontId="35" fillId="19" borderId="30" applyAlignment="1" pivotButton="0" quotePrefix="0" xfId="0">
      <alignment horizontal="left" vertical="center"/>
    </xf>
    <xf numFmtId="0" fontId="37" fillId="3" borderId="29" applyAlignment="1" pivotButton="0" quotePrefix="0" xfId="0">
      <alignment vertical="center" wrapText="1"/>
    </xf>
    <xf numFmtId="0" fontId="35" fillId="20" borderId="30" applyAlignment="1" pivotButton="0" quotePrefix="0" xfId="0">
      <alignment horizontal="left" vertical="center"/>
    </xf>
    <xf numFmtId="0" fontId="38" fillId="0" borderId="29" applyAlignment="1" pivotButton="0" quotePrefix="0" xfId="0">
      <alignment vertical="center" wrapText="1"/>
    </xf>
    <xf numFmtId="0" fontId="39" fillId="3" borderId="29" applyAlignment="1" pivotButton="0" quotePrefix="0" xfId="0">
      <alignment vertical="center" wrapText="1"/>
    </xf>
    <xf numFmtId="0" fontId="36" fillId="0" borderId="29" applyAlignment="1" pivotButton="0" quotePrefix="0" xfId="0">
      <alignment horizontal="center" vertical="center"/>
    </xf>
    <xf numFmtId="0" fontId="35" fillId="21" borderId="30" applyAlignment="1" pivotButton="0" quotePrefix="0" xfId="0">
      <alignment horizontal="left" vertical="center"/>
    </xf>
    <xf numFmtId="0" fontId="35" fillId="22" borderId="30" applyAlignment="1" pivotButton="0" quotePrefix="0" xfId="0">
      <alignment horizontal="left" vertical="center"/>
    </xf>
    <xf numFmtId="0" fontId="40" fillId="3" borderId="29" applyAlignment="1" pivotButton="0" quotePrefix="0" xfId="0">
      <alignment vertical="center" wrapText="1"/>
    </xf>
    <xf numFmtId="0" fontId="38" fillId="0" borderId="29" applyAlignment="1" pivotButton="0" quotePrefix="0" xfId="0">
      <alignment horizontal="center" vertical="center"/>
    </xf>
    <xf numFmtId="0" fontId="35" fillId="23" borderId="30" applyAlignment="1" pivotButton="0" quotePrefix="0" xfId="0">
      <alignment horizontal="left" vertical="center"/>
    </xf>
    <xf numFmtId="0" fontId="35" fillId="24" borderId="3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34" fillId="0" borderId="29" applyAlignment="1" pivotButton="0" quotePrefix="0" xfId="0">
      <alignment horizontal="center" vertical="center"/>
    </xf>
    <xf numFmtId="0" fontId="41" fillId="9" borderId="0" applyAlignment="1" pivotButton="0" quotePrefix="0" xfId="0">
      <alignment horizontal="center" vertical="center"/>
    </xf>
    <xf numFmtId="0" fontId="26" fillId="0" borderId="24" applyAlignment="1" pivotButton="0" quotePrefix="0" xfId="0">
      <alignment horizontal="center" vertical="center" wrapText="1"/>
    </xf>
    <xf numFmtId="0" fontId="26" fillId="14" borderId="24" applyAlignment="1" pivotButton="0" quotePrefix="0" xfId="0">
      <alignment horizontal="center" vertical="center" wrapText="1"/>
    </xf>
    <xf numFmtId="0" fontId="42" fillId="11" borderId="24" applyAlignment="1" pivotButton="0" quotePrefix="0" xfId="0">
      <alignment horizontal="center" vertical="center" wrapText="1"/>
    </xf>
    <xf numFmtId="0" fontId="43" fillId="25" borderId="24" applyAlignment="1" pivotButton="0" quotePrefix="0" xfId="0">
      <alignment horizontal="center" vertical="center" wrapText="1"/>
    </xf>
    <xf numFmtId="0" fontId="22" fillId="9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44" fillId="0" borderId="4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vertical="center"/>
    </xf>
    <xf numFmtId="0" fontId="46" fillId="27" borderId="4" applyAlignment="1" pivotButton="0" quotePrefix="0" xfId="0">
      <alignment horizontal="center" vertical="center"/>
    </xf>
    <xf numFmtId="0" fontId="47" fillId="3" borderId="6" applyAlignment="1" pivotButton="0" quotePrefix="0" xfId="0">
      <alignment horizontal="center" vertical="center" wrapText="1"/>
    </xf>
    <xf numFmtId="0" fontId="45" fillId="28" borderId="0" applyAlignment="1" pivotButton="0" quotePrefix="0" xfId="0">
      <alignment horizontal="center" vertical="center"/>
    </xf>
    <xf numFmtId="0" fontId="5" fillId="29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left"/>
    </xf>
    <xf numFmtId="0" fontId="49" fillId="9" borderId="32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50" fillId="10" borderId="32" applyAlignment="1" pivotButton="0" quotePrefix="0" xfId="0">
      <alignment horizontal="left" vertical="center" wrapText="1"/>
    </xf>
    <xf numFmtId="0" fontId="22" fillId="30" borderId="32" applyAlignment="1" pivotButton="0" quotePrefix="0" xfId="0">
      <alignment horizontal="center" vertical="center" wrapText="1"/>
    </xf>
    <xf numFmtId="0" fontId="50" fillId="31" borderId="32" applyAlignment="1" pivotButton="0" quotePrefix="0" xfId="0">
      <alignment horizontal="left" vertical="center" wrapText="1"/>
    </xf>
    <xf numFmtId="1" fontId="50" fillId="31" borderId="32" applyAlignment="1" pivotButton="0" quotePrefix="0" xfId="0">
      <alignment horizontal="center" vertical="center" wrapText="1"/>
    </xf>
    <xf numFmtId="0" fontId="51" fillId="31" borderId="32" applyAlignment="1" pivotButton="0" quotePrefix="0" xfId="0">
      <alignment horizontal="left" vertical="center" wrapText="1"/>
    </xf>
    <xf numFmtId="0" fontId="52" fillId="32" borderId="32" applyAlignment="1" pivotButton="0" quotePrefix="0" xfId="0">
      <alignment horizontal="center" vertical="center" wrapText="1"/>
    </xf>
    <xf numFmtId="0" fontId="50" fillId="31" borderId="32" applyAlignment="1" pivotButton="0" quotePrefix="0" xfId="0">
      <alignment horizontal="center" vertical="center" wrapText="1"/>
    </xf>
    <xf numFmtId="10" fontId="50" fillId="31" borderId="32" applyAlignment="1" pivotButton="0" quotePrefix="0" xfId="0">
      <alignment horizontal="center" vertical="center" wrapText="1"/>
    </xf>
    <xf numFmtId="9" fontId="50" fillId="31" borderId="32" applyAlignment="1" pivotButton="0" quotePrefix="0" xfId="0">
      <alignment horizontal="center" vertical="center" wrapText="1"/>
    </xf>
    <xf numFmtId="1" fontId="50" fillId="14" borderId="3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0" fontId="5" fillId="3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34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 wrapText="1"/>
    </xf>
    <xf numFmtId="0" fontId="53" fillId="17" borderId="0" applyAlignment="1" pivotButton="0" quotePrefix="0" xfId="0">
      <alignment horizontal="center" vertical="center" wrapText="1"/>
    </xf>
    <xf numFmtId="0" fontId="54" fillId="35" borderId="0" applyAlignment="1" pivotButton="0" quotePrefix="0" xfId="0">
      <alignment horizontal="center" vertical="center" wrapText="1"/>
    </xf>
    <xf numFmtId="49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9" fontId="1" fillId="4" borderId="0" applyAlignment="1" pivotButton="0" quotePrefix="0" xfId="0">
      <alignment horizontal="center" vertical="center"/>
    </xf>
    <xf numFmtId="9" fontId="1" fillId="3" borderId="0" applyAlignment="1" pivotButton="0" quotePrefix="0" xfId="3">
      <alignment vertical="center"/>
    </xf>
    <xf numFmtId="0" fontId="55" fillId="31" borderId="32" applyAlignment="1" pivotButton="0" quotePrefix="0" xfId="0">
      <alignment horizontal="left" vertical="center" wrapText="1"/>
    </xf>
    <xf numFmtId="166" fontId="50" fillId="14" borderId="32" applyAlignment="1" pivotButton="0" quotePrefix="0" xfId="0">
      <alignment horizontal="center" vertical="center" wrapText="1"/>
    </xf>
    <xf numFmtId="166" fontId="50" fillId="31" borderId="32" applyAlignment="1" pivotButton="0" quotePrefix="0" xfId="0">
      <alignment horizontal="center" vertical="center" wrapText="1"/>
    </xf>
    <xf numFmtId="1" fontId="50" fillId="31" borderId="32" applyAlignment="1" pivotButton="0" quotePrefix="0" xfId="0">
      <alignment horizontal="left" vertical="center" wrapText="1"/>
    </xf>
    <xf numFmtId="1" fontId="50" fillId="14" borderId="32" applyAlignment="1" pivotButton="0" quotePrefix="0" xfId="0">
      <alignment horizontal="left" vertical="center" wrapText="1"/>
    </xf>
    <xf numFmtId="0" fontId="50" fillId="14" borderId="32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1" fillId="36" borderId="0" applyAlignment="1" pivotButton="0" quotePrefix="0" xfId="0">
      <alignment horizontal="center" vertical="center"/>
    </xf>
    <xf numFmtId="0" fontId="1" fillId="36" borderId="0" applyAlignment="1" pivotButton="0" quotePrefix="0" xfId="0">
      <alignment vertical="center"/>
    </xf>
    <xf numFmtId="0" fontId="46" fillId="37" borderId="17" applyAlignment="1" pivotButton="0" quotePrefix="0" xfId="0">
      <alignment horizontal="center" vertical="center"/>
    </xf>
    <xf numFmtId="0" fontId="46" fillId="38" borderId="17" applyAlignment="1" pivotButton="0" quotePrefix="0" xfId="0">
      <alignment horizontal="center" vertical="center"/>
    </xf>
    <xf numFmtId="0" fontId="46" fillId="39" borderId="17" applyAlignment="1" pivotButton="0" quotePrefix="0" xfId="0">
      <alignment horizontal="center" vertical="center"/>
    </xf>
    <xf numFmtId="20" fontId="1" fillId="4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35" pivotButton="0" quotePrefix="0" xfId="0"/>
    <xf numFmtId="0" fontId="32" fillId="0" borderId="0" applyAlignment="1" pivotButton="0" quotePrefix="0" xfId="0">
      <alignment vertical="center"/>
    </xf>
    <xf numFmtId="0" fontId="46" fillId="34" borderId="17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1" fillId="0" borderId="17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" fillId="34" borderId="0" applyAlignment="1" pivotButton="0" quotePrefix="0" xfId="0">
      <alignment horizontal="center" vertical="center"/>
    </xf>
    <xf numFmtId="0" fontId="1" fillId="40" borderId="0" applyAlignment="1" pivotButton="0" quotePrefix="0" xfId="0">
      <alignment horizontal="center" vertical="center"/>
    </xf>
    <xf numFmtId="0" fontId="1" fillId="41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0" fontId="3" fillId="0" borderId="4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168" fontId="1" fillId="0" borderId="0" applyAlignment="1" pivotButton="0" quotePrefix="0" xfId="3">
      <alignment horizontal="center" vertical="center"/>
    </xf>
    <xf numFmtId="0" fontId="57" fillId="5" borderId="0" applyAlignment="1" pivotButton="0" quotePrefix="0" xfId="0">
      <alignment vertical="center"/>
    </xf>
    <xf numFmtId="0" fontId="5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59" fillId="9" borderId="0" pivotButton="0" quotePrefix="0" xfId="0"/>
    <xf numFmtId="0" fontId="27" fillId="0" borderId="0" pivotButton="0" quotePrefix="0" xfId="0"/>
    <xf numFmtId="0" fontId="22" fillId="9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left" vertical="center"/>
    </xf>
    <xf numFmtId="0" fontId="43" fillId="14" borderId="24" pivotButton="0" quotePrefix="0" xfId="0"/>
    <xf numFmtId="0" fontId="42" fillId="25" borderId="24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topLeftCell="A121" workbookViewId="0">
      <selection activeCell="K136" sqref="K136"/>
    </sheetView>
  </sheetViews>
  <sheetFormatPr baseColWidth="8" defaultColWidth="9" defaultRowHeight="16.5"/>
  <cols>
    <col width="12.875" customWidth="1" style="3" min="1" max="2"/>
    <col width="19.125" customWidth="1" style="3" min="3" max="3"/>
    <col width="16.375" customWidth="1" style="3" min="4" max="4"/>
    <col width="13.75" customWidth="1" style="3" min="5" max="5"/>
    <col width="14.375" customWidth="1" style="3" min="6" max="6"/>
    <col width="9" customWidth="1" style="3" min="7" max="16384"/>
  </cols>
  <sheetData>
    <row r="1"/>
    <row r="2">
      <c r="B2" s="253" t="inlineStr">
        <is>
          <t>道具备注</t>
        </is>
      </c>
      <c r="C2" s="253" t="inlineStr">
        <is>
          <t>道具</t>
        </is>
      </c>
      <c r="D2" s="253" t="inlineStr">
        <is>
          <t>道具id</t>
        </is>
      </c>
      <c r="E2" s="253" t="inlineStr">
        <is>
          <t>道具定价(rmb)</t>
        </is>
      </c>
      <c r="F2" s="253" t="inlineStr">
        <is>
          <t>道具定价(钻石)</t>
        </is>
      </c>
    </row>
    <row r="3">
      <c r="A3" s="16" t="inlineStr">
        <is>
          <t>外观道具</t>
        </is>
      </c>
      <c r="C3" s="3" t="inlineStr">
        <is>
          <t>无</t>
        </is>
      </c>
      <c r="D3" s="3" t="n">
        <v>0</v>
      </c>
      <c r="E3" s="3" t="n">
        <v>0</v>
      </c>
      <c r="F3" s="3" t="n">
        <v>0</v>
      </c>
    </row>
    <row r="4">
      <c r="C4" s="3" t="inlineStr">
        <is>
          <t>头像框</t>
        </is>
      </c>
      <c r="D4" s="3" t="n">
        <v>0</v>
      </c>
      <c r="E4" s="3" t="n">
        <v>0</v>
      </c>
      <c r="F4" s="3" t="n">
        <v>0</v>
      </c>
    </row>
    <row r="5">
      <c r="C5" s="3" t="inlineStr">
        <is>
          <t>头像</t>
        </is>
      </c>
      <c r="D5" s="3" t="n">
        <v>0</v>
      </c>
      <c r="E5" s="3" t="n">
        <v>0</v>
      </c>
      <c r="F5" s="3" t="n">
        <v>0</v>
      </c>
    </row>
    <row r="6">
      <c r="C6" s="3" t="inlineStr">
        <is>
          <t>时装</t>
        </is>
      </c>
      <c r="D6" s="3" t="n">
        <v>0</v>
      </c>
      <c r="E6" s="3" t="n">
        <v>68</v>
      </c>
      <c r="F6" s="3">
        <f>E6*10</f>
        <v/>
      </c>
    </row>
    <row r="7"/>
    <row r="8"/>
    <row r="9">
      <c r="A9" s="16" t="inlineStr">
        <is>
          <t>通用资源</t>
        </is>
      </c>
      <c r="C9" s="3" t="inlineStr">
        <is>
          <t>体力</t>
        </is>
      </c>
      <c r="D9" s="3" t="n">
        <v>3</v>
      </c>
      <c r="E9" s="3" t="n">
        <v>0.4</v>
      </c>
      <c r="F9" s="3">
        <f>E9*10</f>
        <v/>
      </c>
      <c r="H9" s="3" t="inlineStr">
        <is>
          <t>体力回复6分钟/1点，一天240点</t>
        </is>
      </c>
    </row>
    <row r="10">
      <c r="C10" s="3" t="inlineStr">
        <is>
          <t>钻石</t>
        </is>
      </c>
      <c r="D10" s="3" t="n">
        <v>2</v>
      </c>
      <c r="E10" s="3" t="n">
        <v>0.1</v>
      </c>
      <c r="F10" s="3">
        <f>E10*10</f>
        <v/>
      </c>
    </row>
    <row r="11">
      <c r="C11" s="3" t="inlineStr">
        <is>
          <t>金币</t>
        </is>
      </c>
      <c r="D11" s="3" t="n">
        <v>1</v>
      </c>
      <c r="E11" s="3" t="n">
        <v>0.0001</v>
      </c>
      <c r="F11" s="3">
        <f>E11*10</f>
        <v/>
      </c>
    </row>
    <row r="12">
      <c r="C12" s="3" t="inlineStr">
        <is>
          <t>玩家经验</t>
        </is>
      </c>
      <c r="D12" s="3" t="n">
        <v>4</v>
      </c>
      <c r="E12" s="3" t="n">
        <v>0.04</v>
      </c>
      <c r="F12" s="3">
        <f>E12*10</f>
        <v/>
      </c>
    </row>
    <row r="13">
      <c r="C13" s="3" t="inlineStr">
        <is>
          <t>角色抽卡券普通</t>
        </is>
      </c>
      <c r="D13" s="3" t="n">
        <v>106</v>
      </c>
      <c r="E13" s="3" t="n">
        <v>15</v>
      </c>
      <c r="F13" s="3">
        <f>E13*10</f>
        <v/>
      </c>
    </row>
    <row r="14">
      <c r="C14" s="3" t="inlineStr">
        <is>
          <t>专武抽卡券普通</t>
        </is>
      </c>
      <c r="D14" s="3" t="n">
        <v>107</v>
      </c>
      <c r="E14" s="3" t="n">
        <v>15</v>
      </c>
      <c r="F14" s="3">
        <f>E14*10</f>
        <v/>
      </c>
    </row>
    <row r="15">
      <c r="C15" s="3" t="inlineStr">
        <is>
          <t>抽卡大代币</t>
        </is>
      </c>
      <c r="D15" s="3" t="n">
        <v>21</v>
      </c>
      <c r="E15" s="3" t="n">
        <v>1.5</v>
      </c>
      <c r="F15" s="3">
        <f>E15*10</f>
        <v/>
      </c>
    </row>
    <row r="16">
      <c r="C16" s="3" t="inlineStr">
        <is>
          <t>抽卡小代币</t>
        </is>
      </c>
      <c r="D16" s="3" t="n">
        <v>22</v>
      </c>
      <c r="E16" s="3" t="n">
        <v>0.15</v>
      </c>
      <c r="F16" s="3">
        <f>E16*10</f>
        <v/>
      </c>
    </row>
    <row r="17">
      <c r="C17" s="3" t="inlineStr">
        <is>
          <t>爬塔代币</t>
        </is>
      </c>
      <c r="D17" s="3" t="n">
        <v>27</v>
      </c>
      <c r="E17" s="3" t="n">
        <v>0.1</v>
      </c>
      <c r="F17" s="3">
        <f>E17*10</f>
        <v/>
      </c>
    </row>
    <row r="18">
      <c r="C18" s="3" t="inlineStr">
        <is>
          <t>体力药</t>
        </is>
      </c>
      <c r="D18" s="3" t="n">
        <v>105</v>
      </c>
      <c r="E18" s="3">
        <f>E9*60</f>
        <v/>
      </c>
      <c r="F18" s="3">
        <f>F9*60</f>
        <v/>
      </c>
    </row>
    <row r="19">
      <c r="C19" s="3" t="inlineStr">
        <is>
          <t>竞技场代币</t>
        </is>
      </c>
      <c r="D19" s="3" t="n">
        <v>19</v>
      </c>
      <c r="E19" s="3" t="n">
        <v>1</v>
      </c>
      <c r="F19" s="3">
        <f>E19*10</f>
        <v/>
      </c>
    </row>
    <row r="20">
      <c r="C20" s="3" t="inlineStr">
        <is>
          <t>角色抽卡券限时</t>
        </is>
      </c>
      <c r="D20" s="3" t="n">
        <v>111</v>
      </c>
      <c r="E20" s="3" t="n">
        <v>15</v>
      </c>
      <c r="F20" s="3">
        <f>E20*10</f>
        <v/>
      </c>
    </row>
    <row r="21">
      <c r="C21" s="3" t="inlineStr">
        <is>
          <t>专武抽卡券限时</t>
        </is>
      </c>
      <c r="D21" s="3" t="n">
        <v>112</v>
      </c>
      <c r="E21" s="3" t="n">
        <v>15</v>
      </c>
      <c r="F21" s="3">
        <f>E21*10</f>
        <v/>
      </c>
    </row>
    <row r="22" ht="17.25" customHeight="1" s="14">
      <c r="A22" s="16" t="inlineStr">
        <is>
          <t>公会</t>
        </is>
      </c>
      <c r="C22" s="104" t="inlineStr">
        <is>
          <t>公会个人代币</t>
        </is>
      </c>
      <c r="D22" s="171" t="n">
        <v>15</v>
      </c>
      <c r="E22" s="3" t="n">
        <v>0.1</v>
      </c>
      <c r="F22" s="3">
        <f>E22*10</f>
        <v/>
      </c>
    </row>
    <row r="23" ht="17.25" customHeight="1" s="14">
      <c r="C23" s="104" t="inlineStr">
        <is>
          <t>公会集体代币</t>
        </is>
      </c>
      <c r="D23" s="171" t="n">
        <v>14</v>
      </c>
      <c r="E23" s="3" t="n">
        <v>0.1</v>
      </c>
      <c r="F23" s="3">
        <f>E23*10</f>
        <v/>
      </c>
    </row>
    <row r="24">
      <c r="A24" s="16" t="n"/>
    </row>
    <row r="25">
      <c r="A25" s="16" t="inlineStr">
        <is>
          <t>角色升级升阶</t>
        </is>
      </c>
      <c r="C25" s="3" t="inlineStr">
        <is>
          <t>角色经验</t>
        </is>
      </c>
      <c r="E25" s="3" t="n">
        <v>0.0001</v>
      </c>
      <c r="F25" s="3">
        <f>E25*10</f>
        <v/>
      </c>
    </row>
    <row r="26">
      <c r="C26" s="3" t="inlineStr">
        <is>
          <t>角色经验低500</t>
        </is>
      </c>
      <c r="D26" s="3" t="n">
        <v>100</v>
      </c>
      <c r="E26" s="3">
        <f>E25*500</f>
        <v/>
      </c>
      <c r="F26" s="3">
        <f>E26*10</f>
        <v/>
      </c>
    </row>
    <row r="27">
      <c r="C27" s="3" t="inlineStr">
        <is>
          <t>角色经验中2000</t>
        </is>
      </c>
      <c r="D27" s="3" t="n">
        <v>101</v>
      </c>
      <c r="E27" s="3">
        <f>E25*2000</f>
        <v/>
      </c>
      <c r="F27" s="3">
        <f>E27*10</f>
        <v/>
      </c>
    </row>
    <row r="28">
      <c r="C28" s="3" t="inlineStr">
        <is>
          <t>角色经验高10000</t>
        </is>
      </c>
      <c r="D28" s="3" t="n">
        <v>102</v>
      </c>
      <c r="E28" s="3">
        <f>E25*10000</f>
        <v/>
      </c>
      <c r="F28" s="3">
        <f>E28*10</f>
        <v/>
      </c>
    </row>
    <row r="29">
      <c r="B29" s="104" t="n"/>
    </row>
    <row r="30">
      <c r="B30" s="104" t="n"/>
      <c r="C30" s="3" t="inlineStr">
        <is>
          <t>角色万能升阶材料</t>
        </is>
      </c>
      <c r="E30" s="3">
        <f>E31</f>
        <v/>
      </c>
      <c r="F30" s="3">
        <f>E30*10</f>
        <v/>
      </c>
    </row>
    <row r="31">
      <c r="B31" s="104" t="inlineStr">
        <is>
          <t>可能根据职业
分成多个类型</t>
        </is>
      </c>
      <c r="C31" s="3" t="inlineStr">
        <is>
          <t>角色升阶材料低</t>
        </is>
      </c>
      <c r="E31" s="3" t="n">
        <v>0.4</v>
      </c>
      <c r="F31" s="3">
        <f>E31*10</f>
        <v/>
      </c>
    </row>
    <row r="32">
      <c r="C32" s="3" t="inlineStr">
        <is>
          <t>角色升阶材料中</t>
        </is>
      </c>
      <c r="E32" s="3">
        <f>E31*3</f>
        <v/>
      </c>
      <c r="F32" s="3">
        <f>E32*10</f>
        <v/>
      </c>
    </row>
    <row r="33">
      <c r="C33" s="3" t="inlineStr">
        <is>
          <t>角色升阶材料高</t>
        </is>
      </c>
      <c r="E33" s="3">
        <f>E32*3</f>
        <v/>
      </c>
      <c r="F33" s="3">
        <f>E33*10</f>
        <v/>
      </c>
    </row>
    <row r="34">
      <c r="B34" s="104" t="n"/>
      <c r="C34" s="3" t="inlineStr">
        <is>
          <t>角色升阶材料低攻击</t>
        </is>
      </c>
      <c r="D34" s="3" t="n">
        <v>1001</v>
      </c>
      <c r="E34" s="3">
        <f>E31</f>
        <v/>
      </c>
      <c r="F34" s="3">
        <f>E34*10</f>
        <v/>
      </c>
    </row>
    <row r="35">
      <c r="C35" s="3" t="inlineStr">
        <is>
          <t>角色升阶材料中攻击</t>
        </is>
      </c>
      <c r="D35" s="3" t="n">
        <v>1004</v>
      </c>
      <c r="E35" s="3">
        <f>E32</f>
        <v/>
      </c>
      <c r="F35" s="3">
        <f>E35*10</f>
        <v/>
      </c>
    </row>
    <row r="36">
      <c r="C36" s="3" t="inlineStr">
        <is>
          <t>角色升阶材料高攻击</t>
        </is>
      </c>
      <c r="D36" s="3" t="n">
        <v>1007</v>
      </c>
      <c r="E36" s="3">
        <f>E33</f>
        <v/>
      </c>
      <c r="F36" s="3">
        <f>E36*10</f>
        <v/>
      </c>
    </row>
    <row r="37">
      <c r="B37" s="104" t="n"/>
      <c r="C37" s="3" t="inlineStr">
        <is>
          <t>角色升阶材料低防御</t>
        </is>
      </c>
      <c r="D37" s="3" t="n">
        <v>1002</v>
      </c>
      <c r="E37" s="3">
        <f>E34</f>
        <v/>
      </c>
      <c r="F37" s="3">
        <f>E37*10</f>
        <v/>
      </c>
    </row>
    <row r="38">
      <c r="C38" s="3" t="inlineStr">
        <is>
          <t>角色升阶材料中防御</t>
        </is>
      </c>
      <c r="D38" s="3" t="n">
        <v>1005</v>
      </c>
      <c r="E38" s="3">
        <f>E35</f>
        <v/>
      </c>
      <c r="F38" s="3">
        <f>E38*10</f>
        <v/>
      </c>
    </row>
    <row r="39">
      <c r="C39" s="3" t="inlineStr">
        <is>
          <t>角色升阶材料高防御</t>
        </is>
      </c>
      <c r="D39" s="3" t="n">
        <v>1008</v>
      </c>
      <c r="E39" s="3">
        <f>E36</f>
        <v/>
      </c>
      <c r="F39" s="3">
        <f>E39*10</f>
        <v/>
      </c>
    </row>
    <row r="40">
      <c r="B40" s="104" t="n"/>
      <c r="C40" s="3" t="inlineStr">
        <is>
          <t>角色升阶材料低辅助</t>
        </is>
      </c>
      <c r="D40" s="3" t="n">
        <v>1003</v>
      </c>
      <c r="E40" s="3">
        <f>E37</f>
        <v/>
      </c>
      <c r="F40" s="3">
        <f>E40*10</f>
        <v/>
      </c>
    </row>
    <row r="41">
      <c r="C41" s="3" t="inlineStr">
        <is>
          <t>角色升阶材料中辅助</t>
        </is>
      </c>
      <c r="D41" s="3" t="n">
        <v>1006</v>
      </c>
      <c r="E41" s="3">
        <f>E38</f>
        <v/>
      </c>
      <c r="F41" s="3">
        <f>E41*10</f>
        <v/>
      </c>
    </row>
    <row r="42">
      <c r="C42" s="3" t="inlineStr">
        <is>
          <t>角色升阶材料高辅助</t>
        </is>
      </c>
      <c r="D42" s="3" t="n">
        <v>1009</v>
      </c>
      <c r="E42" s="3">
        <f>E39</f>
        <v/>
      </c>
      <c r="F42" s="3">
        <f>E42*10</f>
        <v/>
      </c>
    </row>
    <row r="43">
      <c r="C43" s="3" t="inlineStr">
        <is>
          <t>SSR角色</t>
        </is>
      </c>
      <c r="E43" s="3" t="n">
        <v>750</v>
      </c>
      <c r="F43" s="3">
        <f>E43*10</f>
        <v/>
      </c>
    </row>
    <row r="44">
      <c r="C44" s="3" t="inlineStr">
        <is>
          <t>SR角色</t>
        </is>
      </c>
      <c r="E44" s="3" t="n">
        <v>50</v>
      </c>
      <c r="F44" s="3">
        <f>E44*10</f>
        <v/>
      </c>
    </row>
    <row r="45">
      <c r="C45" s="3" t="inlineStr">
        <is>
          <t>R角色</t>
        </is>
      </c>
      <c r="E45" s="3" t="n">
        <v>9</v>
      </c>
      <c r="F45" s="3">
        <f>E45*10</f>
        <v/>
      </c>
    </row>
    <row r="46">
      <c r="A46" s="16" t="inlineStr">
        <is>
          <t>星盘</t>
        </is>
      </c>
      <c r="C46" s="3" t="inlineStr">
        <is>
          <t>星盘低级道具自选</t>
        </is>
      </c>
      <c r="E46" s="3">
        <f>E50</f>
        <v/>
      </c>
      <c r="F46" s="3">
        <f>E46*10</f>
        <v/>
      </c>
    </row>
    <row r="47">
      <c r="B47" s="104" t="n"/>
      <c r="C47" s="3" t="inlineStr">
        <is>
          <t>星盘中级道具自选</t>
        </is>
      </c>
      <c r="E47" s="3">
        <f>E51</f>
        <v/>
      </c>
      <c r="F47" s="3">
        <f>E47*10</f>
        <v/>
      </c>
    </row>
    <row r="48">
      <c r="B48" s="104" t="n"/>
      <c r="C48" s="3" t="inlineStr">
        <is>
          <t>星盘高级道具自选</t>
        </is>
      </c>
      <c r="E48" s="3">
        <f>E52</f>
        <v/>
      </c>
      <c r="F48" s="3">
        <f>E48*10</f>
        <v/>
      </c>
    </row>
    <row r="49">
      <c r="B49" s="104" t="n"/>
      <c r="C49" s="3" t="inlineStr">
        <is>
          <t>星盘顶级道具自选</t>
        </is>
      </c>
      <c r="E49" s="3">
        <f>E53</f>
        <v/>
      </c>
      <c r="F49" s="3">
        <f>E49*10</f>
        <v/>
      </c>
    </row>
    <row r="50">
      <c r="B50" s="259" t="n"/>
      <c r="C50" s="3" t="inlineStr">
        <is>
          <t>星盘低级道具</t>
        </is>
      </c>
      <c r="E50" s="3" t="n">
        <v>1</v>
      </c>
      <c r="F50" s="3">
        <f>E50*10</f>
        <v/>
      </c>
    </row>
    <row r="51">
      <c r="B51" s="259" t="n"/>
      <c r="C51" s="3" t="inlineStr">
        <is>
          <t>星盘中级道具</t>
        </is>
      </c>
      <c r="E51" s="3" t="n">
        <v>1.5</v>
      </c>
      <c r="F51" s="3">
        <f>E51*10</f>
        <v/>
      </c>
    </row>
    <row r="52">
      <c r="B52" s="259" t="n"/>
      <c r="C52" s="3" t="inlineStr">
        <is>
          <t>星盘高级道具</t>
        </is>
      </c>
      <c r="E52" s="3" t="n">
        <v>2</v>
      </c>
      <c r="F52" s="3">
        <f>E52*10</f>
        <v/>
      </c>
    </row>
    <row r="53">
      <c r="B53" s="259" t="n"/>
      <c r="C53" s="3" t="inlineStr">
        <is>
          <t>星盘顶级道具</t>
        </is>
      </c>
      <c r="E53" s="3" t="n">
        <v>2.5</v>
      </c>
      <c r="F53" s="3">
        <f>E53*10</f>
        <v/>
      </c>
    </row>
    <row r="54">
      <c r="B54" s="259" t="n"/>
      <c r="C54" s="3" t="inlineStr">
        <is>
          <t>星盘低级道具攻击1</t>
        </is>
      </c>
      <c r="D54" s="3" t="n">
        <v>1019</v>
      </c>
      <c r="E54" s="3">
        <f>E50</f>
        <v/>
      </c>
      <c r="F54" s="3">
        <f>E54*10</f>
        <v/>
      </c>
    </row>
    <row r="55">
      <c r="B55" s="259" t="n"/>
      <c r="C55" s="3" t="inlineStr">
        <is>
          <t>星盘中级道具攻击1</t>
        </is>
      </c>
      <c r="D55" s="3" t="n">
        <v>1025</v>
      </c>
      <c r="E55" s="3">
        <f>E51</f>
        <v/>
      </c>
      <c r="F55" s="3">
        <f>E55*10</f>
        <v/>
      </c>
    </row>
    <row r="56">
      <c r="B56" s="259" t="n"/>
      <c r="C56" s="3" t="inlineStr">
        <is>
          <t>星盘高级道具攻击1</t>
        </is>
      </c>
      <c r="D56" s="3" t="n">
        <v>1031</v>
      </c>
      <c r="E56" s="3">
        <f>E52</f>
        <v/>
      </c>
      <c r="F56" s="3">
        <f>E56*10</f>
        <v/>
      </c>
    </row>
    <row r="57">
      <c r="B57" s="259" t="n"/>
      <c r="C57" s="3" t="inlineStr">
        <is>
          <t>星盘顶级道具攻击1</t>
        </is>
      </c>
      <c r="D57" s="3" t="n">
        <v>1037</v>
      </c>
      <c r="E57" s="3">
        <f>E53</f>
        <v/>
      </c>
      <c r="F57" s="3">
        <f>E57*10</f>
        <v/>
      </c>
    </row>
    <row r="58">
      <c r="B58" s="259" t="n"/>
      <c r="C58" s="3" t="inlineStr">
        <is>
          <t>星盘低级道具攻击2</t>
        </is>
      </c>
      <c r="D58" s="3" t="n">
        <v>1022</v>
      </c>
      <c r="E58" s="3">
        <f>E54</f>
        <v/>
      </c>
      <c r="F58" s="3">
        <f>E58*10</f>
        <v/>
      </c>
    </row>
    <row r="59">
      <c r="B59" s="259" t="n"/>
      <c r="C59" s="3" t="inlineStr">
        <is>
          <t>星盘中级道具攻击2</t>
        </is>
      </c>
      <c r="D59" s="3" t="n">
        <v>1028</v>
      </c>
      <c r="E59" s="3">
        <f>E55</f>
        <v/>
      </c>
      <c r="F59" s="3">
        <f>E59*10</f>
        <v/>
      </c>
    </row>
    <row r="60">
      <c r="B60" s="259" t="n"/>
      <c r="C60" s="3" t="inlineStr">
        <is>
          <t>星盘高级道具攻击2</t>
        </is>
      </c>
      <c r="D60" s="3" t="n">
        <v>1034</v>
      </c>
      <c r="E60" s="3">
        <f>E56</f>
        <v/>
      </c>
      <c r="F60" s="3">
        <f>E60*10</f>
        <v/>
      </c>
    </row>
    <row r="61">
      <c r="B61" s="259" t="n"/>
      <c r="C61" s="3" t="inlineStr">
        <is>
          <t>星盘顶级道具攻击2</t>
        </is>
      </c>
      <c r="D61" s="3" t="n">
        <v>1040</v>
      </c>
      <c r="E61" s="3">
        <f>E57</f>
        <v/>
      </c>
      <c r="F61" s="3">
        <f>E61*10</f>
        <v/>
      </c>
    </row>
    <row r="62">
      <c r="B62" s="259" t="n"/>
      <c r="C62" s="3" t="inlineStr">
        <is>
          <t>星盘低级道具防御1</t>
        </is>
      </c>
      <c r="D62" s="3" t="n">
        <v>1020</v>
      </c>
      <c r="E62" s="3">
        <f>E58</f>
        <v/>
      </c>
      <c r="F62" s="3">
        <f>E62*10</f>
        <v/>
      </c>
    </row>
    <row r="63">
      <c r="B63" s="259" t="n"/>
      <c r="C63" s="3" t="inlineStr">
        <is>
          <t>星盘中级道具防御1</t>
        </is>
      </c>
      <c r="D63" s="3" t="n">
        <v>1026</v>
      </c>
      <c r="E63" s="3">
        <f>E59</f>
        <v/>
      </c>
      <c r="F63" s="3">
        <f>E63*10</f>
        <v/>
      </c>
    </row>
    <row r="64">
      <c r="B64" s="259" t="n"/>
      <c r="C64" s="3" t="inlineStr">
        <is>
          <t>星盘高级道具防御1</t>
        </is>
      </c>
      <c r="D64" s="3" t="n">
        <v>1032</v>
      </c>
      <c r="E64" s="3">
        <f>E60</f>
        <v/>
      </c>
      <c r="F64" s="3">
        <f>E64*10</f>
        <v/>
      </c>
    </row>
    <row r="65">
      <c r="B65" s="259" t="n"/>
      <c r="C65" s="3" t="inlineStr">
        <is>
          <t>星盘顶级道具防御1</t>
        </is>
      </c>
      <c r="D65" s="3" t="n">
        <v>1038</v>
      </c>
      <c r="E65" s="3">
        <f>E61</f>
        <v/>
      </c>
      <c r="F65" s="3">
        <f>E65*10</f>
        <v/>
      </c>
    </row>
    <row r="66">
      <c r="B66" s="259" t="n"/>
      <c r="C66" s="3" t="inlineStr">
        <is>
          <t>星盘低级道具防御2</t>
        </is>
      </c>
      <c r="D66" s="3" t="n">
        <v>1023</v>
      </c>
      <c r="E66" s="3">
        <f>E62</f>
        <v/>
      </c>
      <c r="F66" s="3">
        <f>E66*10</f>
        <v/>
      </c>
    </row>
    <row r="67">
      <c r="B67" s="259" t="n"/>
      <c r="C67" s="3" t="inlineStr">
        <is>
          <t>星盘中级道具防御2</t>
        </is>
      </c>
      <c r="D67" s="3" t="n">
        <v>1029</v>
      </c>
      <c r="E67" s="3">
        <f>E63</f>
        <v/>
      </c>
      <c r="F67" s="3">
        <f>E67*10</f>
        <v/>
      </c>
    </row>
    <row r="68">
      <c r="B68" s="259" t="n"/>
      <c r="C68" s="3" t="inlineStr">
        <is>
          <t>星盘高级道具防御2</t>
        </is>
      </c>
      <c r="D68" s="3" t="n">
        <v>1035</v>
      </c>
      <c r="E68" s="3">
        <f>E64</f>
        <v/>
      </c>
      <c r="F68" s="3">
        <f>E68*10</f>
        <v/>
      </c>
    </row>
    <row r="69">
      <c r="B69" s="259" t="n"/>
      <c r="C69" s="3" t="inlineStr">
        <is>
          <t>星盘顶级道具防御2</t>
        </is>
      </c>
      <c r="D69" s="3" t="n">
        <v>1041</v>
      </c>
      <c r="E69" s="3">
        <f>E65</f>
        <v/>
      </c>
      <c r="F69" s="3">
        <f>E69*10</f>
        <v/>
      </c>
    </row>
    <row r="70">
      <c r="B70" s="259" t="n"/>
      <c r="C70" s="3" t="inlineStr">
        <is>
          <t>星盘低级道具辅助1</t>
        </is>
      </c>
      <c r="D70" s="3" t="n">
        <v>1021</v>
      </c>
      <c r="E70" s="3">
        <f>E66</f>
        <v/>
      </c>
      <c r="F70" s="3">
        <f>E70*10</f>
        <v/>
      </c>
    </row>
    <row r="71">
      <c r="B71" s="259" t="n"/>
      <c r="C71" s="3" t="inlineStr">
        <is>
          <t>星盘中级道具辅助1</t>
        </is>
      </c>
      <c r="D71" s="3" t="n">
        <v>1027</v>
      </c>
      <c r="E71" s="3">
        <f>E67</f>
        <v/>
      </c>
      <c r="F71" s="3">
        <f>E71*10</f>
        <v/>
      </c>
    </row>
    <row r="72">
      <c r="B72" s="259" t="n"/>
      <c r="C72" s="3" t="inlineStr">
        <is>
          <t>星盘高级道具辅助1</t>
        </is>
      </c>
      <c r="D72" s="3" t="n">
        <v>1033</v>
      </c>
      <c r="E72" s="3">
        <f>E68</f>
        <v/>
      </c>
      <c r="F72" s="3">
        <f>E72*10</f>
        <v/>
      </c>
    </row>
    <row r="73">
      <c r="B73" s="259" t="n"/>
      <c r="C73" s="3" t="inlineStr">
        <is>
          <t>星盘顶级道具辅助1</t>
        </is>
      </c>
      <c r="D73" s="3" t="n">
        <v>1039</v>
      </c>
      <c r="E73" s="3">
        <f>E69</f>
        <v/>
      </c>
      <c r="F73" s="3">
        <f>E73*10</f>
        <v/>
      </c>
    </row>
    <row r="74">
      <c r="B74" s="259" t="n"/>
      <c r="C74" s="3" t="inlineStr">
        <is>
          <t>星盘低级道具辅助2</t>
        </is>
      </c>
      <c r="D74" s="3" t="n">
        <v>1024</v>
      </c>
      <c r="E74" s="3">
        <f>E70</f>
        <v/>
      </c>
      <c r="F74" s="3">
        <f>E74*10</f>
        <v/>
      </c>
    </row>
    <row r="75">
      <c r="B75" s="259" t="n"/>
      <c r="C75" s="3" t="inlineStr">
        <is>
          <t>星盘中级道具辅助2</t>
        </is>
      </c>
      <c r="D75" s="3" t="n">
        <v>1030</v>
      </c>
      <c r="E75" s="3">
        <f>E71</f>
        <v/>
      </c>
      <c r="F75" s="3">
        <f>E75*10</f>
        <v/>
      </c>
    </row>
    <row r="76">
      <c r="B76" s="259" t="n"/>
      <c r="C76" s="3" t="inlineStr">
        <is>
          <t>星盘高级道具辅助2</t>
        </is>
      </c>
      <c r="D76" s="3" t="n">
        <v>1036</v>
      </c>
      <c r="E76" s="3">
        <f>E72</f>
        <v/>
      </c>
      <c r="F76" s="3">
        <f>E76*10</f>
        <v/>
      </c>
    </row>
    <row r="77">
      <c r="B77" s="259" t="n"/>
      <c r="C77" s="3" t="inlineStr">
        <is>
          <t>星盘顶级道具辅助2</t>
        </is>
      </c>
      <c r="D77" s="3" t="n">
        <v>1042</v>
      </c>
      <c r="E77" s="3">
        <f>E73</f>
        <v/>
      </c>
      <c r="F77" s="3">
        <f>E77*10</f>
        <v/>
      </c>
    </row>
    <row r="78">
      <c r="B78" s="259" t="n"/>
      <c r="C78" s="3" t="inlineStr">
        <is>
          <t>额外星盘点</t>
        </is>
      </c>
      <c r="D78" s="3" t="n">
        <v>103</v>
      </c>
      <c r="E78" s="3" t="n">
        <v>50</v>
      </c>
      <c r="F78" s="3">
        <f>E78*10</f>
        <v/>
      </c>
    </row>
    <row r="79">
      <c r="A79" s="16" t="inlineStr">
        <is>
          <t>专武</t>
        </is>
      </c>
      <c r="C79" s="3" t="inlineStr">
        <is>
          <t>专武经验</t>
        </is>
      </c>
      <c r="E79" s="3" t="n">
        <v>5e-05</v>
      </c>
      <c r="F79" s="3">
        <f>E79*10</f>
        <v/>
      </c>
    </row>
    <row r="80" ht="17.25" customHeight="1" s="14">
      <c r="C80" s="3" t="inlineStr">
        <is>
          <t>专武经验低1000</t>
        </is>
      </c>
      <c r="D80" s="171" t="n">
        <v>108</v>
      </c>
      <c r="E80" s="3">
        <f>E79*1000</f>
        <v/>
      </c>
      <c r="F80" s="3">
        <f>E80*10</f>
        <v/>
      </c>
    </row>
    <row r="81" ht="17.25" customHeight="1" s="14">
      <c r="C81" s="3" t="inlineStr">
        <is>
          <t>专武经验中4000</t>
        </is>
      </c>
      <c r="D81" s="171" t="n">
        <v>109</v>
      </c>
      <c r="E81" s="3">
        <f>E79*4000</f>
        <v/>
      </c>
      <c r="F81" s="3">
        <f>E81*10</f>
        <v/>
      </c>
    </row>
    <row r="82" ht="17.25" customHeight="1" s="14">
      <c r="C82" s="3" t="inlineStr">
        <is>
          <t>专武经验高20000</t>
        </is>
      </c>
      <c r="D82" s="171" t="n">
        <v>110</v>
      </c>
      <c r="E82" s="3">
        <f>E79*20000</f>
        <v/>
      </c>
      <c r="F82" s="3">
        <f>E82*10</f>
        <v/>
      </c>
    </row>
    <row r="83"/>
    <row r="84">
      <c r="C84" s="3" t="inlineStr">
        <is>
          <t>专武万能突破材料</t>
        </is>
      </c>
      <c r="E84" s="3">
        <f>E85</f>
        <v/>
      </c>
      <c r="F84" s="3">
        <f>E84*10</f>
        <v/>
      </c>
    </row>
    <row r="85">
      <c r="B85" s="104" t="inlineStr">
        <is>
          <t>可能根据职业
分成多个类型</t>
        </is>
      </c>
      <c r="C85" s="3" t="inlineStr">
        <is>
          <t>专武突破材料低</t>
        </is>
      </c>
      <c r="E85" s="3" t="n">
        <v>0.4</v>
      </c>
      <c r="F85" s="3">
        <f>E85*10</f>
        <v/>
      </c>
    </row>
    <row r="86">
      <c r="C86" s="3" t="inlineStr">
        <is>
          <t>专武突破材料中</t>
        </is>
      </c>
      <c r="E86" s="3">
        <f>E85*3</f>
        <v/>
      </c>
      <c r="F86" s="3">
        <f>E86*10</f>
        <v/>
      </c>
    </row>
    <row r="87">
      <c r="C87" s="3" t="inlineStr">
        <is>
          <t>专武突破材料高</t>
        </is>
      </c>
      <c r="E87" s="3">
        <f>E86*3</f>
        <v/>
      </c>
      <c r="F87" s="3">
        <f>E87*10</f>
        <v/>
      </c>
    </row>
    <row r="88">
      <c r="B88" s="104" t="n"/>
      <c r="C88" s="3" t="inlineStr">
        <is>
          <t>专武突破材料低攻击</t>
        </is>
      </c>
      <c r="D88" s="3" t="n">
        <v>1010</v>
      </c>
      <c r="E88" s="3" t="n">
        <v>0.4</v>
      </c>
      <c r="F88" s="3">
        <f>E88*10</f>
        <v/>
      </c>
    </row>
    <row r="89">
      <c r="C89" s="3" t="inlineStr">
        <is>
          <t>专武突破材料中攻击</t>
        </is>
      </c>
      <c r="D89" s="3" t="n">
        <v>1013</v>
      </c>
      <c r="E89" s="3">
        <f>E88*3</f>
        <v/>
      </c>
      <c r="F89" s="3">
        <f>E89*10</f>
        <v/>
      </c>
    </row>
    <row r="90">
      <c r="C90" s="3" t="inlineStr">
        <is>
          <t>专武突破材料高攻击</t>
        </is>
      </c>
      <c r="D90" s="3" t="n">
        <v>1016</v>
      </c>
      <c r="E90" s="3">
        <f>E89*3</f>
        <v/>
      </c>
      <c r="F90" s="3">
        <f>E90*10</f>
        <v/>
      </c>
    </row>
    <row r="91">
      <c r="B91" s="104" t="n"/>
      <c r="C91" s="3" t="inlineStr">
        <is>
          <t>专武突破材料低防御</t>
        </is>
      </c>
      <c r="D91" s="3" t="n">
        <v>1011</v>
      </c>
      <c r="E91" s="3" t="n">
        <v>0.4</v>
      </c>
      <c r="F91" s="3">
        <f>E91*10</f>
        <v/>
      </c>
    </row>
    <row r="92">
      <c r="C92" s="3" t="inlineStr">
        <is>
          <t>专武突破材料中防御</t>
        </is>
      </c>
      <c r="D92" s="3" t="n">
        <v>1014</v>
      </c>
      <c r="E92" s="3">
        <f>E91*3</f>
        <v/>
      </c>
      <c r="F92" s="3">
        <f>E92*10</f>
        <v/>
      </c>
    </row>
    <row r="93">
      <c r="C93" s="3" t="inlineStr">
        <is>
          <t>专武突破材料高防御</t>
        </is>
      </c>
      <c r="D93" s="3" t="n">
        <v>1017</v>
      </c>
      <c r="E93" s="3">
        <f>E92*3</f>
        <v/>
      </c>
      <c r="F93" s="3">
        <f>E93*10</f>
        <v/>
      </c>
    </row>
    <row r="94">
      <c r="B94" s="104" t="n"/>
      <c r="C94" s="3" t="inlineStr">
        <is>
          <t>专武突破材料低辅助</t>
        </is>
      </c>
      <c r="D94" s="3" t="n">
        <v>1012</v>
      </c>
      <c r="E94" s="3" t="n">
        <v>0.4</v>
      </c>
      <c r="F94" s="3">
        <f>E94*10</f>
        <v/>
      </c>
    </row>
    <row r="95">
      <c r="C95" s="3" t="inlineStr">
        <is>
          <t>专武突破材料中辅助</t>
        </is>
      </c>
      <c r="D95" s="3" t="n">
        <v>1015</v>
      </c>
      <c r="E95" s="3">
        <f>E94*3</f>
        <v/>
      </c>
      <c r="F95" s="3">
        <f>E95*10</f>
        <v/>
      </c>
    </row>
    <row r="96">
      <c r="C96" s="3" t="inlineStr">
        <is>
          <t>专武突破材料高辅助</t>
        </is>
      </c>
      <c r="D96" s="3" t="n">
        <v>1018</v>
      </c>
      <c r="E96" s="3">
        <f>E95*3</f>
        <v/>
      </c>
      <c r="F96" s="3">
        <f>E96*10</f>
        <v/>
      </c>
    </row>
    <row r="97">
      <c r="C97" s="3" t="inlineStr">
        <is>
          <t>SSR专武</t>
        </is>
      </c>
      <c r="E97" s="3" t="n">
        <v>500</v>
      </c>
      <c r="F97" s="3">
        <f>E97*10</f>
        <v/>
      </c>
    </row>
    <row r="98">
      <c r="C98" s="3" t="inlineStr">
        <is>
          <t>SR专武</t>
        </is>
      </c>
      <c r="E98" s="3" t="n">
        <v>50</v>
      </c>
      <c r="F98" s="3">
        <f>E98*10</f>
        <v/>
      </c>
    </row>
    <row r="99">
      <c r="C99" s="3" t="inlineStr">
        <is>
          <t>R专武</t>
        </is>
      </c>
      <c r="E99" s="3" t="n">
        <v>13</v>
      </c>
      <c r="F99" s="3">
        <f>E99*10</f>
        <v/>
      </c>
    </row>
    <row r="100">
      <c r="A100" s="230" t="inlineStr">
        <is>
          <t>共鸣（已经废弃）</t>
        </is>
      </c>
      <c r="B100" s="231" t="n"/>
      <c r="C100" s="231" t="inlineStr">
        <is>
          <t>装备经验</t>
        </is>
      </c>
      <c r="D100" s="231" t="n"/>
      <c r="E100" s="231" t="n">
        <v>0.001</v>
      </c>
      <c r="F100" s="231">
        <f>E100*10</f>
        <v/>
      </c>
    </row>
    <row r="101">
      <c r="B101" s="231" t="n"/>
      <c r="C101" s="231" t="inlineStr">
        <is>
          <t>SSR装备</t>
        </is>
      </c>
      <c r="D101" s="231" t="n"/>
      <c r="E101" s="231" t="n">
        <v>150</v>
      </c>
      <c r="F101" s="231">
        <f>E101*10</f>
        <v/>
      </c>
    </row>
    <row r="102">
      <c r="B102" s="231" t="n"/>
      <c r="C102" s="231" t="inlineStr">
        <is>
          <t>SSR装备随机</t>
        </is>
      </c>
      <c r="D102" s="231" t="n"/>
      <c r="E102" s="231" t="n">
        <v>150</v>
      </c>
      <c r="F102" s="231">
        <f>E102*10</f>
        <v/>
      </c>
    </row>
    <row r="103">
      <c r="B103" s="231" t="n"/>
      <c r="C103" s="231" t="inlineStr">
        <is>
          <t>SSR装备自选</t>
        </is>
      </c>
      <c r="D103" s="231" t="n"/>
      <c r="E103" s="231" t="n">
        <v>200</v>
      </c>
      <c r="F103" s="231">
        <f>E103*10</f>
        <v/>
      </c>
    </row>
    <row r="104">
      <c r="B104" s="231" t="n"/>
      <c r="C104" s="231" t="inlineStr">
        <is>
          <t>SR装备</t>
        </is>
      </c>
      <c r="D104" s="231" t="n"/>
      <c r="E104" s="231" t="n">
        <v>30</v>
      </c>
      <c r="F104" s="231">
        <f>E104*10</f>
        <v/>
      </c>
    </row>
    <row r="105">
      <c r="B105" s="231" t="n"/>
      <c r="C105" s="231" t="inlineStr">
        <is>
          <t>R装备</t>
        </is>
      </c>
      <c r="D105" s="231" t="n"/>
      <c r="E105" s="231" t="n">
        <v>5</v>
      </c>
      <c r="F105" s="231">
        <f>E105*10</f>
        <v/>
      </c>
    </row>
    <row r="106">
      <c r="B106" s="231" t="n"/>
      <c r="C106" s="231" t="inlineStr">
        <is>
          <t>SSR装备突破材料</t>
        </is>
      </c>
      <c r="D106" s="231" t="n"/>
      <c r="E106" s="231">
        <f>E101*1.5</f>
        <v/>
      </c>
      <c r="F106" s="231">
        <f>E106*10</f>
        <v/>
      </c>
    </row>
    <row r="107">
      <c r="B107" s="231" t="n"/>
      <c r="C107" s="231" t="inlineStr">
        <is>
          <t>SR装备突破材料</t>
        </is>
      </c>
      <c r="D107" s="231" t="n"/>
      <c r="E107" s="231">
        <f>E104*1.5</f>
        <v/>
      </c>
      <c r="F107" s="231">
        <f>E107*10</f>
        <v/>
      </c>
    </row>
    <row r="108">
      <c r="B108" s="231" t="n"/>
      <c r="C108" s="231" t="inlineStr">
        <is>
          <t>R装备突破材料</t>
        </is>
      </c>
      <c r="D108" s="231" t="n"/>
      <c r="E108" s="231">
        <f>E105*1.5</f>
        <v/>
      </c>
      <c r="F108" s="231">
        <f>E108*10</f>
        <v/>
      </c>
    </row>
    <row r="109">
      <c r="B109" s="231" t="n"/>
      <c r="C109" s="231" t="inlineStr">
        <is>
          <t>收容物高级材料</t>
        </is>
      </c>
      <c r="D109" s="231" t="n"/>
      <c r="E109" s="231" t="n">
        <v>4</v>
      </c>
      <c r="F109" s="231">
        <f>E109*10</f>
        <v/>
      </c>
    </row>
    <row r="110">
      <c r="B110" s="231" t="n"/>
      <c r="C110" s="231" t="inlineStr">
        <is>
          <t>收容物低级材料</t>
        </is>
      </c>
      <c r="D110" s="231" t="n"/>
      <c r="E110" s="231" t="n">
        <v>1</v>
      </c>
      <c r="F110" s="231">
        <f>E110*10</f>
        <v/>
      </c>
    </row>
    <row r="111">
      <c r="A111" s="16" t="inlineStr">
        <is>
          <t>旅券</t>
        </is>
      </c>
      <c r="C111" s="3" t="inlineStr">
        <is>
          <t>旅券经验</t>
        </is>
      </c>
      <c r="D111" s="3" t="n">
        <v>6</v>
      </c>
      <c r="E111" s="3" t="n">
        <v>0.001</v>
      </c>
      <c r="F111" s="3">
        <f>E111*10</f>
        <v/>
      </c>
    </row>
    <row r="112">
      <c r="C112" s="3" t="inlineStr">
        <is>
          <t>红旅券</t>
        </is>
      </c>
      <c r="E112" s="3" t="n">
        <v>5</v>
      </c>
      <c r="F112" s="3">
        <f>E112*10</f>
        <v/>
      </c>
    </row>
    <row r="113">
      <c r="C113" s="3" t="inlineStr">
        <is>
          <t>金旅券</t>
        </is>
      </c>
      <c r="E113" s="3" t="n">
        <v>1</v>
      </c>
      <c r="F113" s="3">
        <f>E113*10</f>
        <v/>
      </c>
    </row>
    <row r="114">
      <c r="C114" s="3" t="inlineStr">
        <is>
          <t>紫旅券</t>
        </is>
      </c>
      <c r="E114" s="3" t="n">
        <v>0.5</v>
      </c>
      <c r="F114" s="3">
        <f>E114*10</f>
        <v/>
      </c>
    </row>
    <row r="115">
      <c r="C115" s="3" t="inlineStr">
        <is>
          <t>蓝旅券</t>
        </is>
      </c>
      <c r="E115" s="3" t="n">
        <v>0.2</v>
      </c>
      <c r="F115" s="3">
        <f>E115*10</f>
        <v/>
      </c>
    </row>
    <row r="116"/>
    <row r="117"/>
    <row r="118"/>
    <row r="119"/>
    <row r="120"/>
    <row r="121"/>
    <row r="122">
      <c r="A122" s="16" t="inlineStr">
        <is>
          <t>主角装备</t>
        </is>
      </c>
      <c r="C122" s="3" t="inlineStr">
        <is>
          <t>主角装备蓝色</t>
        </is>
      </c>
      <c r="E122" s="3" t="n">
        <v>0.2</v>
      </c>
      <c r="F122" s="3">
        <f>E122*10</f>
        <v/>
      </c>
    </row>
    <row r="123">
      <c r="C123" s="3" t="inlineStr">
        <is>
          <t>主角装备紫色</t>
        </is>
      </c>
      <c r="E123" s="3" t="n">
        <v>0.8</v>
      </c>
      <c r="F123" s="3">
        <f>E123*10</f>
        <v/>
      </c>
    </row>
    <row r="124">
      <c r="C124" s="3" t="inlineStr">
        <is>
          <t>主角装备金色</t>
        </is>
      </c>
      <c r="E124" s="3" t="n">
        <v>2</v>
      </c>
      <c r="F124" s="3">
        <f>E124*10</f>
        <v/>
      </c>
    </row>
    <row r="125">
      <c r="C125" s="3" t="inlineStr">
        <is>
          <t>主角装备红色</t>
        </is>
      </c>
      <c r="E125" s="3" t="n">
        <v>100</v>
      </c>
      <c r="F125" s="3">
        <f>E125*10</f>
        <v/>
      </c>
    </row>
    <row r="126" ht="17.25" customHeight="1" s="14">
      <c r="C126" s="3" t="inlineStr">
        <is>
          <t>蓝色装备打孔器</t>
        </is>
      </c>
      <c r="D126" s="171" t="n">
        <v>1066</v>
      </c>
      <c r="E126" s="3" t="n">
        <v>5</v>
      </c>
      <c r="F126" s="3">
        <f>E126*10</f>
        <v/>
      </c>
    </row>
    <row r="127" ht="17.25" customHeight="1" s="14">
      <c r="C127" s="3" t="inlineStr">
        <is>
          <t>紫色装备打孔器</t>
        </is>
      </c>
      <c r="D127" s="171" t="n">
        <v>1067</v>
      </c>
      <c r="E127" s="3" t="n">
        <v>15</v>
      </c>
      <c r="F127" s="3">
        <f>E127*10</f>
        <v/>
      </c>
    </row>
    <row r="128" ht="17.25" customHeight="1" s="14">
      <c r="C128" s="3" t="inlineStr">
        <is>
          <t>金色装备打孔器</t>
        </is>
      </c>
      <c r="D128" s="171" t="n">
        <v>1068</v>
      </c>
      <c r="E128" s="3" t="n">
        <v>50</v>
      </c>
      <c r="F128" s="3">
        <f>E128*10</f>
        <v/>
      </c>
    </row>
    <row r="129" ht="17.25" customHeight="1" s="14">
      <c r="C129" s="3" t="inlineStr">
        <is>
          <t>红色装备打孔器</t>
        </is>
      </c>
      <c r="D129" s="171" t="n">
        <v>1069</v>
      </c>
      <c r="E129" s="3" t="n">
        <v>300</v>
      </c>
      <c r="F129" s="3">
        <f>E129*10</f>
        <v/>
      </c>
    </row>
    <row r="130" ht="17.25" customHeight="1" s="14">
      <c r="C130" s="3" t="inlineStr">
        <is>
          <t>蓝色鉴定道具</t>
        </is>
      </c>
      <c r="D130" s="171" t="n">
        <v>1070</v>
      </c>
      <c r="E130" s="3" t="n">
        <v>0.5</v>
      </c>
      <c r="F130" s="3">
        <f>E130*10</f>
        <v/>
      </c>
    </row>
    <row r="131" ht="17.25" customHeight="1" s="14">
      <c r="C131" s="3" t="inlineStr">
        <is>
          <t>紫色鉴定道具</t>
        </is>
      </c>
      <c r="D131" s="171" t="n">
        <v>1071</v>
      </c>
      <c r="E131" s="3" t="n">
        <v>1.5</v>
      </c>
      <c r="F131" s="3">
        <f>E131*10</f>
        <v/>
      </c>
    </row>
    <row r="132" ht="17.25" customHeight="1" s="14">
      <c r="C132" s="3" t="inlineStr">
        <is>
          <t>金色鉴定道具</t>
        </is>
      </c>
      <c r="D132" s="171" t="n">
        <v>1072</v>
      </c>
      <c r="E132" s="3" t="n">
        <v>5</v>
      </c>
      <c r="F132" s="3">
        <f>E132*10</f>
        <v/>
      </c>
    </row>
    <row r="133" ht="17.25" customHeight="1" s="14">
      <c r="C133" s="3" t="inlineStr">
        <is>
          <t>红色鉴定道具</t>
        </is>
      </c>
      <c r="D133" s="171" t="n">
        <v>1073</v>
      </c>
      <c r="E133" s="3" t="n">
        <v>0</v>
      </c>
      <c r="F133" s="3">
        <f>E133*10</f>
        <v/>
      </c>
    </row>
    <row r="134">
      <c r="C134" s="3" t="inlineStr">
        <is>
          <t>1级宝石</t>
        </is>
      </c>
      <c r="E134" s="3" t="n">
        <v>1</v>
      </c>
      <c r="F134" s="3">
        <f>E134*10</f>
        <v/>
      </c>
    </row>
    <row r="135">
      <c r="C135" s="3" t="inlineStr">
        <is>
          <t>2级宝石</t>
        </is>
      </c>
      <c r="E135" s="3" t="n">
        <v>3</v>
      </c>
      <c r="F135" s="3">
        <f>E135*10</f>
        <v/>
      </c>
    </row>
    <row r="136">
      <c r="C136" s="3" t="inlineStr">
        <is>
          <t>3级宝石</t>
        </is>
      </c>
      <c r="E136" s="3" t="n">
        <v>9</v>
      </c>
      <c r="F136" s="3">
        <f>E136*10</f>
        <v/>
      </c>
    </row>
    <row r="137">
      <c r="C137" s="3" t="inlineStr">
        <is>
          <t>4级宝石</t>
        </is>
      </c>
      <c r="E137" s="3" t="n">
        <v>27</v>
      </c>
      <c r="F137" s="3">
        <f>E137*10</f>
        <v/>
      </c>
    </row>
    <row r="138">
      <c r="C138" s="3" t="inlineStr">
        <is>
          <t>5级宝石</t>
        </is>
      </c>
      <c r="E138" s="3" t="n">
        <v>81</v>
      </c>
      <c r="F138" s="3">
        <f>E138*10</f>
        <v/>
      </c>
    </row>
    <row r="139">
      <c r="C139" s="3" t="inlineStr">
        <is>
          <t>6级宝石</t>
        </is>
      </c>
      <c r="E139" s="3" t="n">
        <v>243</v>
      </c>
      <c r="F139" s="3">
        <f>E139*10</f>
        <v/>
      </c>
    </row>
    <row r="140">
      <c r="C140" s="3" t="inlineStr">
        <is>
          <t>7级宝石</t>
        </is>
      </c>
      <c r="E140" s="3" t="n">
        <v>729</v>
      </c>
      <c r="F140" s="3">
        <f>E140*10</f>
        <v/>
      </c>
    </row>
    <row r="141">
      <c r="C141" s="231" t="inlineStr">
        <is>
          <t>1级铭文</t>
        </is>
      </c>
      <c r="D141" s="231" t="n"/>
      <c r="E141" s="231" t="n">
        <v>10</v>
      </c>
      <c r="F141" s="231">
        <f>E141*10</f>
        <v/>
      </c>
    </row>
    <row r="142">
      <c r="C142" s="231" t="inlineStr">
        <is>
          <t>2级铭文</t>
        </is>
      </c>
      <c r="D142" s="231" t="n"/>
      <c r="E142" s="231" t="n">
        <v>25</v>
      </c>
      <c r="F142" s="231">
        <f>E142*10</f>
        <v/>
      </c>
    </row>
    <row r="143">
      <c r="C143" s="231" t="inlineStr">
        <is>
          <t>3级铭文</t>
        </is>
      </c>
      <c r="D143" s="231" t="n"/>
      <c r="E143" s="231" t="n">
        <v>100</v>
      </c>
      <c r="F143" s="231">
        <f>E143*10</f>
        <v/>
      </c>
    </row>
    <row r="144">
      <c r="C144" s="3" t="inlineStr">
        <is>
          <t>主角装备经验</t>
        </is>
      </c>
      <c r="D144" s="3" t="n">
        <v>13</v>
      </c>
      <c r="E144" s="3" t="n">
        <v>0.001</v>
      </c>
      <c r="F144" s="3">
        <f>E144*10</f>
        <v/>
      </c>
    </row>
    <row r="145">
      <c r="C145" s="3" t="inlineStr">
        <is>
          <t>史诗装备兑换材料</t>
        </is>
      </c>
      <c r="E145" s="3" t="n">
        <v>0.2</v>
      </c>
      <c r="F145" s="3">
        <f>E145*10</f>
        <v/>
      </c>
    </row>
    <row r="146" ht="15" customHeight="1" s="14">
      <c r="C146" s="3" t="inlineStr">
        <is>
          <t>传说装备兑换材料</t>
        </is>
      </c>
      <c r="E146" s="3" t="n">
        <v>1</v>
      </c>
      <c r="F146" s="3">
        <f>E146*10</f>
        <v/>
      </c>
    </row>
    <row r="147">
      <c r="C147" s="3" t="inlineStr">
        <is>
          <t>映射之匙</t>
        </is>
      </c>
      <c r="E147" s="3">
        <f>E9*15</f>
        <v/>
      </c>
      <c r="F147" s="3">
        <f>E147*10</f>
        <v/>
      </c>
    </row>
    <row r="148">
      <c r="A148" s="16" t="inlineStr">
        <is>
          <t>PVP炮台</t>
        </is>
      </c>
      <c r="C148" s="3" t="inlineStr">
        <is>
          <t>S炮台</t>
        </is>
      </c>
      <c r="E148" s="3" t="n">
        <v>600</v>
      </c>
      <c r="F148" s="3">
        <f>E148*10</f>
        <v/>
      </c>
    </row>
    <row r="149">
      <c r="C149" s="3" t="inlineStr">
        <is>
          <t>A炮台</t>
        </is>
      </c>
      <c r="E149" s="3" t="n">
        <v>100</v>
      </c>
      <c r="F149" s="3">
        <f>E149*10</f>
        <v/>
      </c>
    </row>
    <row r="150">
      <c r="C150" s="3" t="inlineStr">
        <is>
          <t>B炮台</t>
        </is>
      </c>
      <c r="E150" s="3" t="n">
        <v>50</v>
      </c>
      <c r="F150" s="3">
        <f>E150*10</f>
        <v/>
      </c>
    </row>
    <row r="151">
      <c r="C151" s="3" t="inlineStr">
        <is>
          <t>炮台升级小材料</t>
        </is>
      </c>
      <c r="E151" s="3" t="n">
        <v>0.1</v>
      </c>
      <c r="F151" s="3">
        <f>E151*10</f>
        <v/>
      </c>
    </row>
    <row r="152">
      <c r="C152" s="3" t="inlineStr">
        <is>
          <t>炮台升级大材料</t>
        </is>
      </c>
      <c r="E152" s="3" t="n">
        <v>100</v>
      </c>
      <c r="F152" s="3">
        <f>E152*10</f>
        <v/>
      </c>
    </row>
    <row r="153"/>
    <row r="154"/>
    <row r="155"/>
    <row r="156"/>
    <row r="157"/>
    <row r="158"/>
  </sheetData>
  <mergeCells count="18">
    <mergeCell ref="B31:B33"/>
    <mergeCell ref="A122:A147"/>
    <mergeCell ref="B91:B93"/>
    <mergeCell ref="A22:A23"/>
    <mergeCell ref="A3:A8"/>
    <mergeCell ref="A9:A21"/>
    <mergeCell ref="A25:A45"/>
    <mergeCell ref="A79:A99"/>
    <mergeCell ref="A148:A158"/>
    <mergeCell ref="B34:B36"/>
    <mergeCell ref="A46:A78"/>
    <mergeCell ref="B40:B42"/>
    <mergeCell ref="B94:B96"/>
    <mergeCell ref="A100:A110"/>
    <mergeCell ref="B85:B87"/>
    <mergeCell ref="A111:A121"/>
    <mergeCell ref="B88:B90"/>
    <mergeCell ref="B37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selection activeCell="N19" sqref="N19:R579"/>
    </sheetView>
  </sheetViews>
  <sheetFormatPr baseColWidth="8" defaultColWidth="9" defaultRowHeight="13.5"/>
  <cols>
    <col width="11.5" customWidth="1" style="14" min="7" max="7"/>
    <col width="15" customWidth="1" style="14" min="10" max="10"/>
    <col width="20.375" customWidth="1" style="14" min="11" max="11"/>
    <col width="12.875" customWidth="1" style="14" min="12" max="12"/>
    <col width="10.75" customWidth="1" style="14" min="15" max="15"/>
  </cols>
  <sheetData>
    <row r="1"/>
    <row r="2">
      <c r="B2" s="180" t="inlineStr">
        <is>
          <t>角色掉落池</t>
        </is>
      </c>
      <c r="F2" s="180" t="inlineStr">
        <is>
          <t>专武掉落池</t>
        </is>
      </c>
      <c r="J2" s="180" t="inlineStr">
        <is>
          <t>映射装备掉落池</t>
        </is>
      </c>
      <c r="N2" s="180" t="inlineStr">
        <is>
          <t>旅券掉落池</t>
        </is>
      </c>
    </row>
    <row r="3" ht="15" customHeight="1" s="14">
      <c r="B3" s="19" t="inlineStr">
        <is>
          <t>武将名称</t>
        </is>
      </c>
      <c r="C3" s="19" t="inlineStr">
        <is>
          <t>稀有度</t>
        </is>
      </c>
      <c r="D3" s="19" t="inlineStr">
        <is>
          <t>武将id</t>
        </is>
      </c>
      <c r="F3" s="19" t="inlineStr">
        <is>
          <t>武将id</t>
        </is>
      </c>
      <c r="G3" s="19" t="inlineStr">
        <is>
          <t>武将名称</t>
        </is>
      </c>
      <c r="H3" s="19" t="inlineStr">
        <is>
          <t>稀有度</t>
        </is>
      </c>
      <c r="J3" s="19" t="inlineStr">
        <is>
          <t>映射装备id</t>
        </is>
      </c>
      <c r="K3" s="19" t="inlineStr">
        <is>
          <t>映射装备名称</t>
        </is>
      </c>
      <c r="L3" s="19" t="inlineStr">
        <is>
          <t>映射装备品质</t>
        </is>
      </c>
      <c r="N3" s="19" t="inlineStr">
        <is>
          <t>旅券id</t>
        </is>
      </c>
      <c r="O3" s="19" t="inlineStr">
        <is>
          <t>旅券套装id</t>
        </is>
      </c>
      <c r="P3" s="19" t="inlineStr">
        <is>
          <t>旅券名称</t>
        </is>
      </c>
      <c r="Q3" s="19" t="inlineStr">
        <is>
          <t>旅券部位</t>
        </is>
      </c>
      <c r="R3" s="19" t="inlineStr">
        <is>
          <t>旅券品质</t>
        </is>
      </c>
    </row>
    <row r="4" ht="17.25" customHeight="1" s="14">
      <c r="B4" s="104" t="inlineStr">
        <is>
          <t>塔拉夏</t>
        </is>
      </c>
      <c r="C4" s="232" t="inlineStr">
        <is>
          <t>S</t>
        </is>
      </c>
      <c r="D4" s="180" t="n">
        <v>1003</v>
      </c>
      <c r="F4" s="208" t="n">
        <v>52001</v>
      </c>
      <c r="G4" s="254" t="inlineStr">
        <is>
          <t>秩序崩解杖</t>
        </is>
      </c>
      <c r="H4" s="232" t="inlineStr">
        <is>
          <t>S</t>
        </is>
      </c>
      <c r="J4" s="171" t="n">
        <v>80001</v>
      </c>
      <c r="K4" s="171" t="inlineStr">
        <is>
          <t>初级魂息喷射器</t>
        </is>
      </c>
      <c r="L4" s="255" t="inlineStr">
        <is>
          <t>蓝</t>
        </is>
      </c>
      <c r="N4" s="256" t="n">
        <v>60001</v>
      </c>
      <c r="O4" s="256" t="n">
        <v>1</v>
      </c>
      <c r="P4" s="256" t="inlineStr">
        <is>
          <t>追逐天性</t>
        </is>
      </c>
      <c r="Q4" s="256" t="n">
        <v>1</v>
      </c>
      <c r="R4" s="256" t="inlineStr">
        <is>
          <t>蓝</t>
        </is>
      </c>
    </row>
    <row r="5" ht="17.25" customHeight="1" s="14">
      <c r="B5" s="16" t="inlineStr">
        <is>
          <t>陈单单</t>
        </is>
      </c>
      <c r="C5" s="232" t="inlineStr">
        <is>
          <t>S</t>
        </is>
      </c>
      <c r="D5" s="180" t="n">
        <v>1005</v>
      </c>
      <c r="F5" s="208" t="n">
        <v>52002</v>
      </c>
      <c r="G5" s="254" t="inlineStr">
        <is>
          <t>热寂宣告者</t>
        </is>
      </c>
      <c r="H5" s="232" t="inlineStr">
        <is>
          <t>S</t>
        </is>
      </c>
      <c r="J5" s="171" t="n">
        <v>80002</v>
      </c>
      <c r="K5" s="171" t="inlineStr">
        <is>
          <t>中级魂息喷射器</t>
        </is>
      </c>
      <c r="L5" s="255" t="inlineStr">
        <is>
          <t>紫</t>
        </is>
      </c>
      <c r="N5" s="256" t="n">
        <v>60002</v>
      </c>
      <c r="O5" s="256" t="n">
        <v>1</v>
      </c>
      <c r="P5" s="256" t="inlineStr">
        <is>
          <t>追逐天性</t>
        </is>
      </c>
      <c r="Q5" s="256" t="n">
        <v>2</v>
      </c>
      <c r="R5" s="256" t="inlineStr">
        <is>
          <t>蓝</t>
        </is>
      </c>
    </row>
    <row r="6" ht="17.25" customHeight="1" s="14">
      <c r="B6" s="16" t="inlineStr">
        <is>
          <t>莉莉娅</t>
        </is>
      </c>
      <c r="C6" s="232" t="inlineStr">
        <is>
          <t>S</t>
        </is>
      </c>
      <c r="D6" s="180" t="n">
        <v>1006</v>
      </c>
      <c r="F6" s="208" t="n">
        <v>52003</v>
      </c>
      <c r="G6" s="254" t="inlineStr">
        <is>
          <t>永恒观测甲</t>
        </is>
      </c>
      <c r="H6" s="232" t="inlineStr">
        <is>
          <t>S</t>
        </is>
      </c>
      <c r="J6" s="171" t="n">
        <v>80003</v>
      </c>
      <c r="K6" s="171" t="inlineStr">
        <is>
          <t>高级魂息喷射器</t>
        </is>
      </c>
      <c r="L6" s="255" t="inlineStr">
        <is>
          <t>金</t>
        </is>
      </c>
      <c r="N6" s="256" t="n">
        <v>60003</v>
      </c>
      <c r="O6" s="256" t="n">
        <v>1</v>
      </c>
      <c r="P6" s="256" t="inlineStr">
        <is>
          <t>追逐天性</t>
        </is>
      </c>
      <c r="Q6" s="256" t="n">
        <v>3</v>
      </c>
      <c r="R6" s="256" t="inlineStr">
        <is>
          <t>蓝</t>
        </is>
      </c>
    </row>
    <row r="7" ht="17.25" customHeight="1" s="14">
      <c r="B7" s="16" t="inlineStr">
        <is>
          <t>萨萨莉安</t>
        </is>
      </c>
      <c r="C7" s="232" t="inlineStr">
        <is>
          <t>S</t>
        </is>
      </c>
      <c r="D7" s="180" t="n">
        <v>1007</v>
      </c>
      <c r="F7" s="208" t="n">
        <v>52004</v>
      </c>
      <c r="G7" s="254" t="inlineStr">
        <is>
          <t>纯净界域盾</t>
        </is>
      </c>
      <c r="H7" s="232" t="inlineStr">
        <is>
          <t>S</t>
        </is>
      </c>
      <c r="J7" s="171" t="n">
        <v>80004</v>
      </c>
      <c r="K7" s="171" t="inlineStr">
        <is>
          <t>初级纳米逆变器</t>
        </is>
      </c>
      <c r="L7" s="255" t="inlineStr">
        <is>
          <t>蓝</t>
        </is>
      </c>
      <c r="N7" s="256" t="n">
        <v>60004</v>
      </c>
      <c r="O7" s="256" t="n">
        <v>1</v>
      </c>
      <c r="P7" s="256" t="inlineStr">
        <is>
          <t>追逐天性</t>
        </is>
      </c>
      <c r="Q7" s="256" t="n">
        <v>4</v>
      </c>
      <c r="R7" s="256" t="inlineStr">
        <is>
          <t>蓝</t>
        </is>
      </c>
    </row>
    <row r="8" ht="17.25" customHeight="1" s="14">
      <c r="B8" s="16" t="inlineStr">
        <is>
          <t>伊戈尔</t>
        </is>
      </c>
      <c r="C8" s="232" t="inlineStr">
        <is>
          <t>S</t>
        </is>
      </c>
      <c r="D8" s="180" t="n">
        <v>1017</v>
      </c>
      <c r="F8" s="208" t="n">
        <v>52005</v>
      </c>
      <c r="G8" s="254" t="inlineStr">
        <is>
          <t>命运纺锤</t>
        </is>
      </c>
      <c r="H8" s="232" t="inlineStr">
        <is>
          <t>S</t>
        </is>
      </c>
      <c r="J8" s="171" t="n">
        <v>80005</v>
      </c>
      <c r="K8" s="171" t="inlineStr">
        <is>
          <t>中级纳米逆变器</t>
        </is>
      </c>
      <c r="L8" s="255" t="inlineStr">
        <is>
          <t>紫</t>
        </is>
      </c>
      <c r="N8" s="256" t="n">
        <v>60005</v>
      </c>
      <c r="O8" s="256" t="n">
        <v>1</v>
      </c>
      <c r="P8" s="256" t="inlineStr">
        <is>
          <t>追逐天性</t>
        </is>
      </c>
      <c r="Q8" s="256" t="n">
        <v>5</v>
      </c>
      <c r="R8" s="256" t="inlineStr">
        <is>
          <t>蓝</t>
        </is>
      </c>
    </row>
    <row r="9" ht="17.25" customHeight="1" s="14">
      <c r="B9" s="16" t="inlineStr">
        <is>
          <t>约瑟夫</t>
        </is>
      </c>
      <c r="C9" s="232" t="inlineStr">
        <is>
          <t>S</t>
        </is>
      </c>
      <c r="D9" s="180" t="n">
        <v>1009</v>
      </c>
      <c r="F9" s="208" t="n">
        <v>52006</v>
      </c>
      <c r="G9" s="254" t="inlineStr">
        <is>
          <t>时光重逢契</t>
        </is>
      </c>
      <c r="H9" s="232" t="inlineStr">
        <is>
          <t>S</t>
        </is>
      </c>
      <c r="J9" s="171" t="n">
        <v>80006</v>
      </c>
      <c r="K9" s="171" t="inlineStr">
        <is>
          <t>高级纳米逆变器</t>
        </is>
      </c>
      <c r="L9" s="255" t="inlineStr">
        <is>
          <t>金</t>
        </is>
      </c>
      <c r="N9" s="256" t="n">
        <v>60006</v>
      </c>
      <c r="O9" s="256" t="n">
        <v>1</v>
      </c>
      <c r="P9" s="256" t="inlineStr">
        <is>
          <t>追逐天性</t>
        </is>
      </c>
      <c r="Q9" s="256" t="n">
        <v>6</v>
      </c>
      <c r="R9" s="256" t="inlineStr">
        <is>
          <t>蓝</t>
        </is>
      </c>
    </row>
    <row r="10" ht="17.25" customHeight="1" s="14">
      <c r="B10" s="16" t="inlineStr">
        <is>
          <t>夏提拉</t>
        </is>
      </c>
      <c r="C10" s="232" t="inlineStr">
        <is>
          <t>S</t>
        </is>
      </c>
      <c r="D10" s="180" t="n">
        <v>1013</v>
      </c>
      <c r="F10" s="208" t="n">
        <v>52007</v>
      </c>
      <c r="G10" s="254" t="inlineStr">
        <is>
          <t>虚空裂界刃</t>
        </is>
      </c>
      <c r="H10" s="234" t="inlineStr">
        <is>
          <t>A</t>
        </is>
      </c>
      <c r="J10" s="171" t="n">
        <v>80007</v>
      </c>
      <c r="K10" s="171" t="inlineStr">
        <is>
          <t>初级风暴射线切割器</t>
        </is>
      </c>
      <c r="L10" s="255" t="inlineStr">
        <is>
          <t>蓝</t>
        </is>
      </c>
      <c r="N10" s="256" t="n">
        <v>60007</v>
      </c>
      <c r="O10" s="256" t="n">
        <v>1</v>
      </c>
      <c r="P10" s="256" t="inlineStr">
        <is>
          <t>追逐天性</t>
        </is>
      </c>
      <c r="Q10" s="256" t="n">
        <v>1</v>
      </c>
      <c r="R10" s="256" t="inlineStr">
        <is>
          <t>紫</t>
        </is>
      </c>
    </row>
    <row r="11" ht="17.25" customHeight="1" s="14">
      <c r="B11" s="16" t="inlineStr">
        <is>
          <t>雷诺</t>
        </is>
      </c>
      <c r="C11" s="232" t="inlineStr">
        <is>
          <t>S</t>
        </is>
      </c>
      <c r="D11" s="180" t="n">
        <v>1016</v>
      </c>
      <c r="F11" s="208" t="n">
        <v>52008</v>
      </c>
      <c r="G11" s="254" t="inlineStr">
        <is>
          <t>永寂追猎弓</t>
        </is>
      </c>
      <c r="H11" s="234" t="inlineStr">
        <is>
          <t>A</t>
        </is>
      </c>
      <c r="J11" s="171" t="n">
        <v>80008</v>
      </c>
      <c r="K11" s="171" t="inlineStr">
        <is>
          <t>中级风暴射线切割器</t>
        </is>
      </c>
      <c r="L11" s="255" t="inlineStr">
        <is>
          <t>紫</t>
        </is>
      </c>
      <c r="N11" s="256" t="n">
        <v>60008</v>
      </c>
      <c r="O11" s="256" t="n">
        <v>1</v>
      </c>
      <c r="P11" s="256" t="inlineStr">
        <is>
          <t>追逐天性</t>
        </is>
      </c>
      <c r="Q11" s="256" t="n">
        <v>2</v>
      </c>
      <c r="R11" s="256" t="inlineStr">
        <is>
          <t>紫</t>
        </is>
      </c>
    </row>
    <row r="12" ht="17.25" customHeight="1" s="14">
      <c r="B12" s="16" t="inlineStr">
        <is>
          <t>瞳</t>
        </is>
      </c>
      <c r="C12" s="232" t="inlineStr">
        <is>
          <t>S</t>
        </is>
      </c>
      <c r="D12" s="180" t="n">
        <v>1032</v>
      </c>
      <c r="F12" s="208" t="n">
        <v>52009</v>
      </c>
      <c r="G12" s="254" t="inlineStr">
        <is>
          <t>偏折棱光盾</t>
        </is>
      </c>
      <c r="H12" s="234" t="inlineStr">
        <is>
          <t>A</t>
        </is>
      </c>
      <c r="J12" s="257" t="n">
        <v>80009</v>
      </c>
      <c r="K12" s="257" t="inlineStr">
        <is>
          <t>高级风暴射线切割器</t>
        </is>
      </c>
      <c r="L12" s="258" t="inlineStr">
        <is>
          <t>金</t>
        </is>
      </c>
      <c r="N12" s="256" t="n">
        <v>60009</v>
      </c>
      <c r="O12" s="256" t="n">
        <v>1</v>
      </c>
      <c r="P12" s="256" t="inlineStr">
        <is>
          <t>追逐天性</t>
        </is>
      </c>
      <c r="Q12" s="256" t="n">
        <v>3</v>
      </c>
      <c r="R12" s="256" t="inlineStr">
        <is>
          <t>紫</t>
        </is>
      </c>
    </row>
    <row r="13" ht="17.25" customHeight="1" s="14">
      <c r="B13" s="16" t="inlineStr">
        <is>
          <t>美第奇</t>
        </is>
      </c>
      <c r="C13" s="232" t="inlineStr">
        <is>
          <t>S</t>
        </is>
      </c>
      <c r="D13" s="180" t="n">
        <v>1033</v>
      </c>
      <c r="F13" s="208" t="n">
        <v>52010</v>
      </c>
      <c r="G13" s="254" t="inlineStr">
        <is>
          <t>归航引路铠</t>
        </is>
      </c>
      <c r="H13" s="234" t="inlineStr">
        <is>
          <t>A</t>
        </is>
      </c>
      <c r="J13" s="171" t="n">
        <v>80010</v>
      </c>
      <c r="K13" s="171" t="inlineStr">
        <is>
          <t>初级旋转机枪</t>
        </is>
      </c>
      <c r="L13" s="255" t="inlineStr">
        <is>
          <t>蓝</t>
        </is>
      </c>
      <c r="N13" s="256" t="n">
        <v>60010</v>
      </c>
      <c r="O13" s="256" t="n">
        <v>1</v>
      </c>
      <c r="P13" s="256" t="inlineStr">
        <is>
          <t>追逐天性</t>
        </is>
      </c>
      <c r="Q13" s="256" t="n">
        <v>4</v>
      </c>
      <c r="R13" s="256" t="inlineStr">
        <is>
          <t>紫</t>
        </is>
      </c>
    </row>
    <row r="14" ht="17.25" customHeight="1" s="14">
      <c r="B14" s="16" t="inlineStr">
        <is>
          <t>零号</t>
        </is>
      </c>
      <c r="C14" s="232" t="inlineStr">
        <is>
          <t>S</t>
        </is>
      </c>
      <c r="D14" s="180" t="n">
        <v>1034</v>
      </c>
      <c r="F14" s="208" t="n">
        <v>52011</v>
      </c>
      <c r="G14" s="254" t="inlineStr">
        <is>
          <t>群星导引图</t>
        </is>
      </c>
      <c r="H14" s="234" t="inlineStr">
        <is>
          <t>A</t>
        </is>
      </c>
      <c r="J14" s="171" t="n">
        <v>80011</v>
      </c>
      <c r="K14" s="171" t="inlineStr">
        <is>
          <t>中级旋转机枪</t>
        </is>
      </c>
      <c r="L14" s="255" t="inlineStr">
        <is>
          <t>紫</t>
        </is>
      </c>
      <c r="N14" s="256" t="n">
        <v>60011</v>
      </c>
      <c r="O14" s="256" t="n">
        <v>1</v>
      </c>
      <c r="P14" s="256" t="inlineStr">
        <is>
          <t>追逐天性</t>
        </is>
      </c>
      <c r="Q14" s="256" t="n">
        <v>5</v>
      </c>
      <c r="R14" s="256" t="inlineStr">
        <is>
          <t>紫</t>
        </is>
      </c>
    </row>
    <row r="15" ht="17.25" customHeight="1" s="14">
      <c r="B15" s="16" t="inlineStr">
        <is>
          <t>薇莱特</t>
        </is>
      </c>
      <c r="C15" s="232" t="inlineStr">
        <is>
          <t>S</t>
        </is>
      </c>
      <c r="D15" s="180" t="n">
        <v>1028</v>
      </c>
      <c r="F15" s="208" t="n">
        <v>52012</v>
      </c>
      <c r="G15" s="254" t="inlineStr">
        <is>
          <t>灵脉同调仪</t>
        </is>
      </c>
      <c r="H15" s="234" t="inlineStr">
        <is>
          <t>A</t>
        </is>
      </c>
      <c r="J15" s="171" t="n">
        <v>80012</v>
      </c>
      <c r="K15" s="171" t="inlineStr">
        <is>
          <t>高级旋转机枪</t>
        </is>
      </c>
      <c r="L15" s="255" t="inlineStr">
        <is>
          <t>金</t>
        </is>
      </c>
      <c r="N15" s="256" t="n">
        <v>60012</v>
      </c>
      <c r="O15" s="256" t="n">
        <v>1</v>
      </c>
      <c r="P15" s="256" t="inlineStr">
        <is>
          <t>追逐天性</t>
        </is>
      </c>
      <c r="Q15" s="256" t="n">
        <v>6</v>
      </c>
      <c r="R15" s="256" t="inlineStr">
        <is>
          <t>紫</t>
        </is>
      </c>
    </row>
    <row r="16" ht="17.25" customHeight="1" s="14">
      <c r="B16" s="16" t="inlineStr">
        <is>
          <t>维达尔</t>
        </is>
      </c>
      <c r="C16" s="232" t="inlineStr">
        <is>
          <t>S</t>
        </is>
      </c>
      <c r="D16" s="180" t="n">
        <v>1025</v>
      </c>
      <c r="F16" s="208" t="n">
        <v>52013</v>
      </c>
      <c r="G16" s="208" t="inlineStr">
        <is>
          <t>碎星直剑</t>
        </is>
      </c>
      <c r="H16" s="233" t="inlineStr">
        <is>
          <t>B</t>
        </is>
      </c>
      <c r="J16" s="171" t="n">
        <v>80013</v>
      </c>
      <c r="K16" s="171" t="inlineStr">
        <is>
          <t>初级聚变融炮</t>
        </is>
      </c>
      <c r="L16" s="255" t="inlineStr">
        <is>
          <t>蓝</t>
        </is>
      </c>
      <c r="N16" s="256" t="n">
        <v>60013</v>
      </c>
      <c r="O16" s="256" t="n">
        <v>1</v>
      </c>
      <c r="P16" s="256" t="inlineStr">
        <is>
          <t>追逐天性</t>
        </is>
      </c>
      <c r="Q16" s="256" t="n">
        <v>1</v>
      </c>
      <c r="R16" s="256" t="inlineStr">
        <is>
          <t>金</t>
        </is>
      </c>
    </row>
    <row r="17" ht="17.25" customHeight="1" s="14">
      <c r="B17" s="16" t="inlineStr">
        <is>
          <t>德洛丽丝</t>
        </is>
      </c>
      <c r="C17" s="232" t="inlineStr">
        <is>
          <t>S</t>
        </is>
      </c>
      <c r="D17" s="180" t="n">
        <v>1010</v>
      </c>
      <c r="F17" s="208" t="n">
        <v>52014</v>
      </c>
      <c r="G17" s="208" t="inlineStr">
        <is>
          <t>彗尾斩刀</t>
        </is>
      </c>
      <c r="H17" s="233" t="inlineStr">
        <is>
          <t>B</t>
        </is>
      </c>
      <c r="J17" s="171" t="n">
        <v>80014</v>
      </c>
      <c r="K17" s="171" t="inlineStr">
        <is>
          <t>中级聚变融炮</t>
        </is>
      </c>
      <c r="L17" s="255" t="inlineStr">
        <is>
          <t>紫</t>
        </is>
      </c>
      <c r="N17" s="256" t="n">
        <v>60014</v>
      </c>
      <c r="O17" s="256" t="n">
        <v>1</v>
      </c>
      <c r="P17" s="256" t="inlineStr">
        <is>
          <t>追逐天性</t>
        </is>
      </c>
      <c r="Q17" s="256" t="n">
        <v>2</v>
      </c>
      <c r="R17" s="256" t="inlineStr">
        <is>
          <t>金</t>
        </is>
      </c>
    </row>
    <row r="18" ht="17.25" customHeight="1" s="14">
      <c r="B18" s="16" t="inlineStr">
        <is>
          <t>主角</t>
        </is>
      </c>
      <c r="C18" s="234" t="inlineStr">
        <is>
          <t>A</t>
        </is>
      </c>
      <c r="D18" s="180" t="n">
        <v>1001</v>
      </c>
      <c r="F18" s="208" t="n">
        <v>52015</v>
      </c>
      <c r="G18" s="254" t="inlineStr">
        <is>
          <t>戍卫者壁垒</t>
        </is>
      </c>
      <c r="H18" s="233" t="inlineStr">
        <is>
          <t>B</t>
        </is>
      </c>
      <c r="J18" s="171" t="n">
        <v>80015</v>
      </c>
      <c r="K18" s="171" t="inlineStr">
        <is>
          <t>高级聚变融炮</t>
        </is>
      </c>
      <c r="L18" s="255" t="inlineStr">
        <is>
          <t>金</t>
        </is>
      </c>
      <c r="N18" s="256" t="n">
        <v>60015</v>
      </c>
      <c r="O18" s="256" t="n">
        <v>1</v>
      </c>
      <c r="P18" s="256" t="inlineStr">
        <is>
          <t>追逐天性测试测试</t>
        </is>
      </c>
      <c r="Q18" s="256" t="n">
        <v>3</v>
      </c>
      <c r="R18" s="256" t="inlineStr">
        <is>
          <t>金</t>
        </is>
      </c>
    </row>
    <row r="19" ht="17.25" customHeight="1" s="14">
      <c r="B19" s="16" t="inlineStr">
        <is>
          <t>大暑</t>
        </is>
      </c>
      <c r="C19" s="234" t="inlineStr">
        <is>
          <t>A</t>
        </is>
      </c>
      <c r="D19" s="180" t="n">
        <v>1002</v>
      </c>
      <c r="F19" s="208" t="n">
        <v>52016</v>
      </c>
      <c r="G19" s="254" t="inlineStr">
        <is>
          <t>不动岩心甲</t>
        </is>
      </c>
      <c r="H19" s="233" t="inlineStr">
        <is>
          <t>B</t>
        </is>
      </c>
      <c r="J19" s="171" t="n">
        <v>80016</v>
      </c>
      <c r="K19" s="171" t="inlineStr">
        <is>
          <t>初级赤红脉冲手炮</t>
        </is>
      </c>
      <c r="L19" s="255" t="inlineStr">
        <is>
          <t>蓝</t>
        </is>
      </c>
      <c r="N19" s="256" t="n">
        <v>60016</v>
      </c>
      <c r="O19" s="256" t="n">
        <v>1</v>
      </c>
      <c r="P19" s="256" t="inlineStr">
        <is>
          <t>追逐天性</t>
        </is>
      </c>
      <c r="Q19" s="256" t="n">
        <v>4</v>
      </c>
      <c r="R19" s="256" t="inlineStr">
        <is>
          <t>金</t>
        </is>
      </c>
    </row>
    <row r="20" ht="17.25" customHeight="1" s="14">
      <c r="B20" s="16" t="inlineStr">
        <is>
          <t>阿芭</t>
        </is>
      </c>
      <c r="C20" s="234" t="inlineStr">
        <is>
          <t>A</t>
        </is>
      </c>
      <c r="D20" s="180" t="n">
        <v>1004</v>
      </c>
      <c r="F20" s="208" t="n">
        <v>52017</v>
      </c>
      <c r="G20" s="254" t="inlineStr">
        <is>
          <t>共鸣启明杖</t>
        </is>
      </c>
      <c r="H20" s="233" t="inlineStr">
        <is>
          <t>B</t>
        </is>
      </c>
      <c r="J20" s="171" t="n">
        <v>80017</v>
      </c>
      <c r="K20" s="171" t="inlineStr">
        <is>
          <t>中级赤红脉冲手炮</t>
        </is>
      </c>
      <c r="L20" s="255" t="inlineStr">
        <is>
          <t>紫</t>
        </is>
      </c>
      <c r="N20" s="256" t="n">
        <v>60017</v>
      </c>
      <c r="O20" s="256" t="n">
        <v>1</v>
      </c>
      <c r="P20" s="256" t="inlineStr">
        <is>
          <t>追逐天性</t>
        </is>
      </c>
      <c r="Q20" s="256" t="n">
        <v>5</v>
      </c>
      <c r="R20" s="256" t="inlineStr">
        <is>
          <t>金</t>
        </is>
      </c>
    </row>
    <row r="21" ht="17.25" customHeight="1" s="14">
      <c r="B21" s="16" t="inlineStr">
        <is>
          <t>陈双双</t>
        </is>
      </c>
      <c r="C21" s="234" t="inlineStr">
        <is>
          <t>A</t>
        </is>
      </c>
      <c r="D21" s="180" t="n">
        <v>1011</v>
      </c>
      <c r="F21" s="208" t="n">
        <v>52018</v>
      </c>
      <c r="G21" s="254" t="inlineStr">
        <is>
          <t>潮汐调和铃</t>
        </is>
      </c>
      <c r="H21" s="233" t="inlineStr">
        <is>
          <t>B</t>
        </is>
      </c>
      <c r="J21" s="257" t="n">
        <v>80018</v>
      </c>
      <c r="K21" s="257" t="inlineStr">
        <is>
          <t>高级赤红脉冲手炮</t>
        </is>
      </c>
      <c r="L21" s="258" t="inlineStr">
        <is>
          <t>金</t>
        </is>
      </c>
      <c r="N21" s="256" t="n">
        <v>60018</v>
      </c>
      <c r="O21" s="256" t="n">
        <v>1</v>
      </c>
      <c r="P21" s="256" t="inlineStr">
        <is>
          <t>追逐天性</t>
        </is>
      </c>
      <c r="Q21" s="256" t="n">
        <v>6</v>
      </c>
      <c r="R21" s="256" t="inlineStr">
        <is>
          <t>金</t>
        </is>
      </c>
    </row>
    <row r="22" ht="17.25" customHeight="1" s="14">
      <c r="B22" s="16" t="inlineStr">
        <is>
          <t>克莉丝汀</t>
        </is>
      </c>
      <c r="C22" s="234" t="inlineStr">
        <is>
          <t>A</t>
        </is>
      </c>
      <c r="D22" s="180" t="n">
        <v>1014</v>
      </c>
      <c r="J22" s="171" t="n">
        <v>80019</v>
      </c>
      <c r="K22" s="171" t="inlineStr">
        <is>
          <t>初级圣光调和杖</t>
        </is>
      </c>
      <c r="L22" s="255" t="inlineStr">
        <is>
          <t>蓝</t>
        </is>
      </c>
      <c r="N22" s="256" t="n">
        <v>60019</v>
      </c>
      <c r="O22" s="256" t="n">
        <v>1</v>
      </c>
      <c r="P22" s="256" t="inlineStr">
        <is>
          <t>追逐天性</t>
        </is>
      </c>
      <c r="Q22" s="256" t="n">
        <v>1</v>
      </c>
      <c r="R22" s="256" t="inlineStr">
        <is>
          <t>红</t>
        </is>
      </c>
    </row>
    <row r="23" ht="17.25" customHeight="1" s="14">
      <c r="B23" s="16" t="inlineStr">
        <is>
          <t>阿莱克西娅</t>
        </is>
      </c>
      <c r="C23" s="234" t="inlineStr">
        <is>
          <t>A</t>
        </is>
      </c>
      <c r="D23" s="180" t="n">
        <v>1015</v>
      </c>
      <c r="J23" s="171" t="n">
        <v>80020</v>
      </c>
      <c r="K23" s="171" t="inlineStr">
        <is>
          <t>中级圣光调和杖</t>
        </is>
      </c>
      <c r="L23" s="255" t="inlineStr">
        <is>
          <t>紫</t>
        </is>
      </c>
      <c r="N23" s="256" t="n">
        <v>60020</v>
      </c>
      <c r="O23" s="256" t="n">
        <v>1</v>
      </c>
      <c r="P23" s="256" t="inlineStr">
        <is>
          <t>追逐天性</t>
        </is>
      </c>
      <c r="Q23" s="256" t="n">
        <v>2</v>
      </c>
      <c r="R23" s="256" t="inlineStr">
        <is>
          <t>红</t>
        </is>
      </c>
    </row>
    <row r="24" ht="17.25" customHeight="1" s="14">
      <c r="B24" s="16" t="inlineStr">
        <is>
          <t>艾德琳</t>
        </is>
      </c>
      <c r="C24" s="234" t="inlineStr">
        <is>
          <t>A</t>
        </is>
      </c>
      <c r="D24" s="180" t="n">
        <v>1012</v>
      </c>
      <c r="J24" s="171" t="n">
        <v>80021</v>
      </c>
      <c r="K24" s="171" t="inlineStr">
        <is>
          <t>高级圣光调和杖</t>
        </is>
      </c>
      <c r="L24" s="255" t="inlineStr">
        <is>
          <t>金</t>
        </is>
      </c>
      <c r="N24" s="256" t="n">
        <v>60021</v>
      </c>
      <c r="O24" s="256" t="n">
        <v>1</v>
      </c>
      <c r="P24" s="256" t="inlineStr">
        <is>
          <t>追逐天性</t>
        </is>
      </c>
      <c r="Q24" s="256" t="n">
        <v>3</v>
      </c>
      <c r="R24" s="256" t="inlineStr">
        <is>
          <t>红</t>
        </is>
      </c>
    </row>
    <row r="25" ht="17.25" customHeight="1" s="14">
      <c r="B25" s="16" t="inlineStr">
        <is>
          <t>薇</t>
        </is>
      </c>
      <c r="C25" s="234" t="inlineStr">
        <is>
          <t>A</t>
        </is>
      </c>
      <c r="D25" s="180" t="n">
        <v>1008</v>
      </c>
      <c r="J25" s="171" t="n">
        <v>80022</v>
      </c>
      <c r="K25" s="171" t="inlineStr">
        <is>
          <t>初级灾厄刻印权杖</t>
        </is>
      </c>
      <c r="L25" s="255" t="inlineStr">
        <is>
          <t>蓝</t>
        </is>
      </c>
      <c r="N25" s="256" t="n">
        <v>60022</v>
      </c>
      <c r="O25" s="256" t="n">
        <v>1</v>
      </c>
      <c r="P25" s="256" t="inlineStr">
        <is>
          <t>追逐天性</t>
        </is>
      </c>
      <c r="Q25" s="256" t="n">
        <v>4</v>
      </c>
      <c r="R25" s="256" t="inlineStr">
        <is>
          <t>红</t>
        </is>
      </c>
    </row>
    <row r="26" ht="17.25" customHeight="1" s="14">
      <c r="B26" s="16" t="inlineStr">
        <is>
          <t>埃莉诺</t>
        </is>
      </c>
      <c r="C26" s="234" t="inlineStr">
        <is>
          <t>A</t>
        </is>
      </c>
      <c r="D26" s="180" t="n">
        <v>1018</v>
      </c>
      <c r="J26" s="171" t="n">
        <v>80023</v>
      </c>
      <c r="K26" s="171" t="inlineStr">
        <is>
          <t>中级灾厄刻印权杖</t>
        </is>
      </c>
      <c r="L26" s="255" t="inlineStr">
        <is>
          <t>紫</t>
        </is>
      </c>
      <c r="N26" s="256" t="n">
        <v>60023</v>
      </c>
      <c r="O26" s="256" t="n">
        <v>1</v>
      </c>
      <c r="P26" s="256" t="inlineStr">
        <is>
          <t>追逐天性</t>
        </is>
      </c>
      <c r="Q26" s="256" t="n">
        <v>5</v>
      </c>
      <c r="R26" s="256" t="inlineStr">
        <is>
          <t>红</t>
        </is>
      </c>
    </row>
    <row r="27" ht="17.25" customHeight="1" s="14">
      <c r="B27" s="16" t="inlineStr">
        <is>
          <t>乔一</t>
        </is>
      </c>
      <c r="C27" s="234" t="inlineStr">
        <is>
          <t>A</t>
        </is>
      </c>
      <c r="D27" s="180" t="n">
        <v>1026</v>
      </c>
      <c r="J27" s="171" t="n">
        <v>80024</v>
      </c>
      <c r="K27" s="171" t="inlineStr">
        <is>
          <t>高级灾厄刻印权杖</t>
        </is>
      </c>
      <c r="L27" s="255" t="inlineStr">
        <is>
          <t>金</t>
        </is>
      </c>
      <c r="N27" s="256" t="n">
        <v>60024</v>
      </c>
      <c r="O27" s="256" t="n">
        <v>1</v>
      </c>
      <c r="P27" s="256" t="inlineStr">
        <is>
          <t>追逐天性</t>
        </is>
      </c>
      <c r="Q27" s="256" t="n">
        <v>6</v>
      </c>
      <c r="R27" s="256" t="inlineStr">
        <is>
          <t>红</t>
        </is>
      </c>
    </row>
    <row r="28" ht="17.25" customHeight="1" s="14">
      <c r="B28" s="16" t="inlineStr">
        <is>
          <t>塞拉菲娜</t>
        </is>
      </c>
      <c r="C28" s="234" t="inlineStr">
        <is>
          <t>A</t>
        </is>
      </c>
      <c r="D28" s="180" t="n">
        <v>1028</v>
      </c>
      <c r="J28" s="171" t="n">
        <v>80025</v>
      </c>
      <c r="K28" s="171" t="inlineStr">
        <is>
          <t>初级虚空回响法杖</t>
        </is>
      </c>
      <c r="L28" s="255" t="inlineStr">
        <is>
          <t>蓝</t>
        </is>
      </c>
      <c r="N28" s="256" t="n">
        <v>60025</v>
      </c>
      <c r="O28" s="256" t="n">
        <v>2</v>
      </c>
      <c r="P28" s="256" t="inlineStr">
        <is>
          <t>翡冷翠郊野牧场</t>
        </is>
      </c>
      <c r="Q28" s="256" t="n">
        <v>1</v>
      </c>
      <c r="R28" s="256" t="inlineStr">
        <is>
          <t>蓝</t>
        </is>
      </c>
    </row>
    <row r="29" ht="17.25" customHeight="1" s="14">
      <c r="B29" s="16" t="inlineStr">
        <is>
          <t>桑塔</t>
        </is>
      </c>
      <c r="C29" s="234" t="inlineStr">
        <is>
          <t>A</t>
        </is>
      </c>
      <c r="D29" s="180" t="n">
        <v>1031</v>
      </c>
      <c r="J29" s="171" t="n">
        <v>80026</v>
      </c>
      <c r="K29" s="171" t="inlineStr">
        <is>
          <t>中级虚空回响法杖</t>
        </is>
      </c>
      <c r="L29" s="255" t="inlineStr">
        <is>
          <t>紫</t>
        </is>
      </c>
      <c r="N29" s="256" t="n">
        <v>60026</v>
      </c>
      <c r="O29" s="256" t="n">
        <v>2</v>
      </c>
      <c r="P29" s="256" t="inlineStr">
        <is>
          <t>翡冷翠郊野牧场</t>
        </is>
      </c>
      <c r="Q29" s="256" t="n">
        <v>2</v>
      </c>
      <c r="R29" s="256" t="inlineStr">
        <is>
          <t>蓝</t>
        </is>
      </c>
    </row>
    <row r="30" ht="17.25" customHeight="1" s="14">
      <c r="B30" s="16" t="inlineStr">
        <is>
          <t>卡斯帕</t>
        </is>
      </c>
      <c r="C30" s="233" t="inlineStr">
        <is>
          <t>B</t>
        </is>
      </c>
      <c r="D30" s="180" t="n">
        <v>1020</v>
      </c>
      <c r="J30" s="257" t="n">
        <v>80027</v>
      </c>
      <c r="K30" s="257" t="inlineStr">
        <is>
          <t>高级虚空回响法杖</t>
        </is>
      </c>
      <c r="L30" s="258" t="inlineStr">
        <is>
          <t>金</t>
        </is>
      </c>
      <c r="N30" s="256" t="n">
        <v>60027</v>
      </c>
      <c r="O30" s="256" t="n">
        <v>2</v>
      </c>
      <c r="P30" s="256" t="inlineStr">
        <is>
          <t>翡冷翠郊野牧场</t>
        </is>
      </c>
      <c r="Q30" s="256" t="n">
        <v>3</v>
      </c>
      <c r="R30" s="256" t="inlineStr">
        <is>
          <t>蓝</t>
        </is>
      </c>
    </row>
    <row r="31" ht="17.25" customHeight="1" s="14">
      <c r="B31" s="16" t="inlineStr">
        <is>
          <t>梅梅</t>
        </is>
      </c>
      <c r="C31" s="233" t="inlineStr">
        <is>
          <t>B</t>
        </is>
      </c>
      <c r="D31" s="180" t="n">
        <v>1021</v>
      </c>
      <c r="J31" s="171" t="n">
        <v>80028</v>
      </c>
      <c r="K31" s="171" t="inlineStr">
        <is>
          <t>初级隔热战术头盔</t>
        </is>
      </c>
      <c r="L31" s="255" t="inlineStr">
        <is>
          <t>蓝</t>
        </is>
      </c>
      <c r="N31" s="256" t="n">
        <v>60028</v>
      </c>
      <c r="O31" s="256" t="n">
        <v>2</v>
      </c>
      <c r="P31" s="256" t="inlineStr">
        <is>
          <t>翡冷翠郊野牧场</t>
        </is>
      </c>
      <c r="Q31" s="256" t="n">
        <v>4</v>
      </c>
      <c r="R31" s="256" t="inlineStr">
        <is>
          <t>蓝</t>
        </is>
      </c>
    </row>
    <row r="32" ht="17.25" customHeight="1" s="14">
      <c r="B32" s="16" t="inlineStr">
        <is>
          <t>马克</t>
        </is>
      </c>
      <c r="C32" s="233" t="inlineStr">
        <is>
          <t>B</t>
        </is>
      </c>
      <c r="D32" s="180" t="n">
        <v>1023</v>
      </c>
      <c r="J32" s="171" t="n">
        <v>80029</v>
      </c>
      <c r="K32" s="171" t="inlineStr">
        <is>
          <t>中级隔热战术头盔</t>
        </is>
      </c>
      <c r="L32" s="255" t="inlineStr">
        <is>
          <t>紫</t>
        </is>
      </c>
      <c r="N32" s="256" t="n">
        <v>60029</v>
      </c>
      <c r="O32" s="256" t="n">
        <v>2</v>
      </c>
      <c r="P32" s="256" t="inlineStr">
        <is>
          <t>翡冷翠郊野牧场</t>
        </is>
      </c>
      <c r="Q32" s="256" t="n">
        <v>5</v>
      </c>
      <c r="R32" s="256" t="inlineStr">
        <is>
          <t>蓝</t>
        </is>
      </c>
    </row>
    <row r="33" ht="17.25" customHeight="1" s="14">
      <c r="B33" s="16" t="inlineStr">
        <is>
          <t>卡薇</t>
        </is>
      </c>
      <c r="C33" s="233" t="inlineStr">
        <is>
          <t>B</t>
        </is>
      </c>
      <c r="D33" s="180" t="n">
        <v>1024</v>
      </c>
      <c r="J33" s="171" t="n">
        <v>80030</v>
      </c>
      <c r="K33" s="171" t="inlineStr">
        <is>
          <t>高级隔热战术头盔</t>
        </is>
      </c>
      <c r="L33" s="255" t="inlineStr">
        <is>
          <t>金</t>
        </is>
      </c>
      <c r="N33" s="256" t="n">
        <v>60030</v>
      </c>
      <c r="O33" s="256" t="n">
        <v>2</v>
      </c>
      <c r="P33" s="256" t="inlineStr">
        <is>
          <t>翡冷翠郊野牧场</t>
        </is>
      </c>
      <c r="Q33" s="256" t="n">
        <v>6</v>
      </c>
      <c r="R33" s="256" t="inlineStr">
        <is>
          <t>蓝</t>
        </is>
      </c>
    </row>
    <row r="34" ht="17.25" customHeight="1" s="14">
      <c r="B34" s="16" t="inlineStr">
        <is>
          <t>凯兰</t>
        </is>
      </c>
      <c r="C34" s="233" t="inlineStr">
        <is>
          <t>B</t>
        </is>
      </c>
      <c r="D34" s="180" t="n">
        <v>1029</v>
      </c>
      <c r="J34" s="171" t="n">
        <v>80031</v>
      </c>
      <c r="K34" s="171" t="inlineStr">
        <is>
          <t>初级聚合动力盔</t>
        </is>
      </c>
      <c r="L34" s="255" t="inlineStr">
        <is>
          <t>蓝</t>
        </is>
      </c>
      <c r="N34" s="256" t="n">
        <v>60031</v>
      </c>
      <c r="O34" s="256" t="n">
        <v>2</v>
      </c>
      <c r="P34" s="256" t="inlineStr">
        <is>
          <t>翡冷翠郊野牧场</t>
        </is>
      </c>
      <c r="Q34" s="256" t="n">
        <v>1</v>
      </c>
      <c r="R34" s="256" t="inlineStr">
        <is>
          <t>紫</t>
        </is>
      </c>
    </row>
    <row r="35" ht="17.25" customHeight="1" s="14">
      <c r="B35" s="16" t="inlineStr">
        <is>
          <t>莫莉</t>
        </is>
      </c>
      <c r="C35" s="233" t="inlineStr">
        <is>
          <t>B</t>
        </is>
      </c>
      <c r="D35" s="180" t="n">
        <v>1030</v>
      </c>
      <c r="J35" s="171" t="n">
        <v>80032</v>
      </c>
      <c r="K35" s="171" t="inlineStr">
        <is>
          <t>中级聚合动力盔</t>
        </is>
      </c>
      <c r="L35" s="255" t="inlineStr">
        <is>
          <t>紫</t>
        </is>
      </c>
      <c r="N35" s="256" t="n">
        <v>60032</v>
      </c>
      <c r="O35" s="256" t="n">
        <v>2</v>
      </c>
      <c r="P35" s="256" t="inlineStr">
        <is>
          <t>翡冷翠郊野牧场</t>
        </is>
      </c>
      <c r="Q35" s="256" t="n">
        <v>2</v>
      </c>
      <c r="R35" s="256" t="inlineStr">
        <is>
          <t>紫</t>
        </is>
      </c>
    </row>
    <row r="36" ht="17.25" customHeight="1" s="14">
      <c r="B36" s="16" t="inlineStr">
        <is>
          <t>桑尼</t>
        </is>
      </c>
      <c r="C36" s="233" t="inlineStr">
        <is>
          <t>B</t>
        </is>
      </c>
      <c r="D36" s="180" t="n">
        <v>1019</v>
      </c>
      <c r="J36" s="171" t="n">
        <v>80033</v>
      </c>
      <c r="K36" s="171" t="inlineStr">
        <is>
          <t>高级聚合动力盔</t>
        </is>
      </c>
      <c r="L36" s="255" t="inlineStr">
        <is>
          <t>金</t>
        </is>
      </c>
      <c r="N36" s="256" t="n">
        <v>60033</v>
      </c>
      <c r="O36" s="256" t="n">
        <v>2</v>
      </c>
      <c r="P36" s="256" t="inlineStr">
        <is>
          <t>翡冷翠郊野牧场</t>
        </is>
      </c>
      <c r="Q36" s="256" t="n">
        <v>3</v>
      </c>
      <c r="R36" s="256" t="inlineStr">
        <is>
          <t>紫</t>
        </is>
      </c>
    </row>
    <row r="37" ht="17.25" customHeight="1" s="14">
      <c r="B37" s="16" t="inlineStr">
        <is>
          <t>梅林</t>
        </is>
      </c>
      <c r="C37" s="233" t="inlineStr">
        <is>
          <t>B</t>
        </is>
      </c>
      <c r="D37" s="180" t="n">
        <v>1022</v>
      </c>
      <c r="J37" s="171" t="n">
        <v>80034</v>
      </c>
      <c r="K37" s="171" t="inlineStr">
        <is>
          <t>初级共生头铠</t>
        </is>
      </c>
      <c r="L37" s="255" t="inlineStr">
        <is>
          <t>蓝</t>
        </is>
      </c>
      <c r="N37" s="256" t="n">
        <v>60034</v>
      </c>
      <c r="O37" s="256" t="n">
        <v>2</v>
      </c>
      <c r="P37" s="256" t="inlineStr">
        <is>
          <t>翡冷翠郊野牧场</t>
        </is>
      </c>
      <c r="Q37" s="256" t="n">
        <v>4</v>
      </c>
      <c r="R37" s="256" t="inlineStr">
        <is>
          <t>紫</t>
        </is>
      </c>
    </row>
    <row r="38" ht="17.25" customHeight="1" s="14">
      <c r="J38" s="171" t="n">
        <v>80035</v>
      </c>
      <c r="K38" s="171" t="inlineStr">
        <is>
          <t>中级共生头铠</t>
        </is>
      </c>
      <c r="L38" s="255" t="inlineStr">
        <is>
          <t>紫</t>
        </is>
      </c>
      <c r="N38" s="256" t="n">
        <v>60035</v>
      </c>
      <c r="O38" s="256" t="n">
        <v>2</v>
      </c>
      <c r="P38" s="256" t="inlineStr">
        <is>
          <t>翡冷翠郊野牧场</t>
        </is>
      </c>
      <c r="Q38" s="256" t="n">
        <v>5</v>
      </c>
      <c r="R38" s="256" t="inlineStr">
        <is>
          <t>紫</t>
        </is>
      </c>
    </row>
    <row r="39" ht="17.25" customHeight="1" s="14">
      <c r="J39" s="171" t="n">
        <v>80036</v>
      </c>
      <c r="K39" s="171" t="inlineStr">
        <is>
          <t>高级共生头铠</t>
        </is>
      </c>
      <c r="L39" s="255" t="inlineStr">
        <is>
          <t>金</t>
        </is>
      </c>
      <c r="N39" s="256" t="n">
        <v>60036</v>
      </c>
      <c r="O39" s="256" t="n">
        <v>2</v>
      </c>
      <c r="P39" s="256" t="inlineStr">
        <is>
          <t>翡冷翠郊野牧场</t>
        </is>
      </c>
      <c r="Q39" s="256" t="n">
        <v>6</v>
      </c>
      <c r="R39" s="256" t="inlineStr">
        <is>
          <t>紫</t>
        </is>
      </c>
    </row>
    <row r="40" ht="17.25" customHeight="1" s="14">
      <c r="J40" s="171" t="n">
        <v>80037</v>
      </c>
      <c r="K40" s="171" t="inlineStr">
        <is>
          <t>初级神经链接盔</t>
        </is>
      </c>
      <c r="L40" s="255" t="inlineStr">
        <is>
          <t>蓝</t>
        </is>
      </c>
      <c r="N40" s="256" t="n">
        <v>60037</v>
      </c>
      <c r="O40" s="256" t="n">
        <v>2</v>
      </c>
      <c r="P40" s="256" t="inlineStr">
        <is>
          <t>翡冷翠郊野牧场</t>
        </is>
      </c>
      <c r="Q40" s="256" t="n">
        <v>1</v>
      </c>
      <c r="R40" s="256" t="inlineStr">
        <is>
          <t>金</t>
        </is>
      </c>
    </row>
    <row r="41" ht="17.25" customHeight="1" s="14">
      <c r="J41" s="171" t="n">
        <v>80038</v>
      </c>
      <c r="K41" s="171" t="inlineStr">
        <is>
          <t>中级神经链接盔</t>
        </is>
      </c>
      <c r="L41" s="255" t="inlineStr">
        <is>
          <t>紫</t>
        </is>
      </c>
      <c r="N41" s="256" t="n">
        <v>60038</v>
      </c>
      <c r="O41" s="256" t="n">
        <v>2</v>
      </c>
      <c r="P41" s="256" t="inlineStr">
        <is>
          <t>翡冷翠郊野牧场</t>
        </is>
      </c>
      <c r="Q41" s="256" t="n">
        <v>2</v>
      </c>
      <c r="R41" s="256" t="inlineStr">
        <is>
          <t>金</t>
        </is>
      </c>
    </row>
    <row r="42" ht="17.25" customHeight="1" s="14">
      <c r="J42" s="171" t="n">
        <v>80039</v>
      </c>
      <c r="K42" s="171" t="inlineStr">
        <is>
          <t>高级神经链接盔</t>
        </is>
      </c>
      <c r="L42" s="255" t="inlineStr">
        <is>
          <t>金</t>
        </is>
      </c>
      <c r="N42" s="256" t="n">
        <v>60039</v>
      </c>
      <c r="O42" s="256" t="n">
        <v>2</v>
      </c>
      <c r="P42" s="256" t="inlineStr">
        <is>
          <t>翡冷翠郊野牧场</t>
        </is>
      </c>
      <c r="Q42" s="256" t="n">
        <v>3</v>
      </c>
      <c r="R42" s="256" t="inlineStr">
        <is>
          <t>金</t>
        </is>
      </c>
    </row>
    <row r="43" ht="17.25" customHeight="1" s="14">
      <c r="J43" s="171" t="n">
        <v>80040</v>
      </c>
      <c r="K43" s="171" t="inlineStr">
        <is>
          <t>初级修士法帽</t>
        </is>
      </c>
      <c r="L43" s="255" t="inlineStr">
        <is>
          <t>蓝</t>
        </is>
      </c>
      <c r="N43" s="256" t="n">
        <v>60040</v>
      </c>
      <c r="O43" s="256" t="n">
        <v>2</v>
      </c>
      <c r="P43" s="256" t="inlineStr">
        <is>
          <t>翡冷翠郊野牧场</t>
        </is>
      </c>
      <c r="Q43" s="256" t="n">
        <v>4</v>
      </c>
      <c r="R43" s="256" t="inlineStr">
        <is>
          <t>金</t>
        </is>
      </c>
    </row>
    <row r="44" ht="17.25" customHeight="1" s="14">
      <c r="J44" s="171" t="n">
        <v>80041</v>
      </c>
      <c r="K44" s="171" t="inlineStr">
        <is>
          <t>中级修士法帽</t>
        </is>
      </c>
      <c r="L44" s="255" t="inlineStr">
        <is>
          <t>紫</t>
        </is>
      </c>
      <c r="N44" s="256" t="n">
        <v>60041</v>
      </c>
      <c r="O44" s="256" t="n">
        <v>2</v>
      </c>
      <c r="P44" s="256" t="inlineStr">
        <is>
          <t>翡冷翠郊野牧场</t>
        </is>
      </c>
      <c r="Q44" s="256" t="n">
        <v>5</v>
      </c>
      <c r="R44" s="256" t="inlineStr">
        <is>
          <t>金</t>
        </is>
      </c>
    </row>
    <row r="45" ht="17.25" customHeight="1" s="14">
      <c r="J45" s="171" t="n">
        <v>80042</v>
      </c>
      <c r="K45" s="171" t="inlineStr">
        <is>
          <t>高级修士法帽</t>
        </is>
      </c>
      <c r="L45" s="255" t="inlineStr">
        <is>
          <t>金</t>
        </is>
      </c>
      <c r="N45" s="256" t="n">
        <v>60042</v>
      </c>
      <c r="O45" s="256" t="n">
        <v>2</v>
      </c>
      <c r="P45" s="256" t="inlineStr">
        <is>
          <t>翡冷翠郊野牧场</t>
        </is>
      </c>
      <c r="Q45" s="256" t="n">
        <v>6</v>
      </c>
      <c r="R45" s="256" t="inlineStr">
        <is>
          <t>金</t>
        </is>
      </c>
    </row>
    <row r="46" ht="17.25" customHeight="1" s="14">
      <c r="J46" s="171" t="n">
        <v>80043</v>
      </c>
      <c r="K46" s="171" t="inlineStr">
        <is>
          <t>初级祷言法帽</t>
        </is>
      </c>
      <c r="L46" s="255" t="inlineStr">
        <is>
          <t>蓝</t>
        </is>
      </c>
      <c r="N46" s="256" t="n">
        <v>60043</v>
      </c>
      <c r="O46" s="256" t="n">
        <v>2</v>
      </c>
      <c r="P46" s="256" t="inlineStr">
        <is>
          <t>翡冷翠郊野牧场</t>
        </is>
      </c>
      <c r="Q46" s="256" t="n">
        <v>1</v>
      </c>
      <c r="R46" s="256" t="inlineStr">
        <is>
          <t>红</t>
        </is>
      </c>
    </row>
    <row r="47" ht="17.25" customHeight="1" s="14">
      <c r="J47" s="171" t="n">
        <v>80044</v>
      </c>
      <c r="K47" s="171" t="inlineStr">
        <is>
          <t>中级祷言法帽</t>
        </is>
      </c>
      <c r="L47" s="255" t="inlineStr">
        <is>
          <t>紫</t>
        </is>
      </c>
      <c r="N47" s="256" t="n">
        <v>60044</v>
      </c>
      <c r="O47" s="256" t="n">
        <v>2</v>
      </c>
      <c r="P47" s="256" t="inlineStr">
        <is>
          <t>翡冷翠郊野牧场</t>
        </is>
      </c>
      <c r="Q47" s="256" t="n">
        <v>2</v>
      </c>
      <c r="R47" s="256" t="inlineStr">
        <is>
          <t>红</t>
        </is>
      </c>
    </row>
    <row r="48" ht="17.25" customHeight="1" s="14">
      <c r="J48" s="257" t="n">
        <v>80045</v>
      </c>
      <c r="K48" s="257" t="inlineStr">
        <is>
          <t>高级祷言法帽</t>
        </is>
      </c>
      <c r="L48" s="255" t="inlineStr">
        <is>
          <t>金</t>
        </is>
      </c>
      <c r="N48" s="256" t="n">
        <v>60045</v>
      </c>
      <c r="O48" s="256" t="n">
        <v>2</v>
      </c>
      <c r="P48" s="256" t="inlineStr">
        <is>
          <t>翡冷翠郊野牧场</t>
        </is>
      </c>
      <c r="Q48" s="256" t="n">
        <v>3</v>
      </c>
      <c r="R48" s="256" t="inlineStr">
        <is>
          <t>红</t>
        </is>
      </c>
    </row>
    <row r="49" ht="17.25" customHeight="1" s="14">
      <c r="J49" s="171" t="n">
        <v>80046</v>
      </c>
      <c r="K49" s="171" t="inlineStr">
        <is>
          <t>初级动力装甲</t>
        </is>
      </c>
      <c r="L49" s="255" t="inlineStr">
        <is>
          <t>蓝</t>
        </is>
      </c>
      <c r="N49" s="256" t="n">
        <v>60046</v>
      </c>
      <c r="O49" s="256" t="n">
        <v>2</v>
      </c>
      <c r="P49" s="256" t="inlineStr">
        <is>
          <t>翡冷翠郊野牧场</t>
        </is>
      </c>
      <c r="Q49" s="256" t="n">
        <v>4</v>
      </c>
      <c r="R49" s="256" t="inlineStr">
        <is>
          <t>红</t>
        </is>
      </c>
    </row>
    <row r="50" ht="17.25" customHeight="1" s="14">
      <c r="J50" s="171" t="n">
        <v>80047</v>
      </c>
      <c r="K50" s="171" t="inlineStr">
        <is>
          <t>中级动力装甲</t>
        </is>
      </c>
      <c r="L50" s="255" t="inlineStr">
        <is>
          <t>紫</t>
        </is>
      </c>
      <c r="N50" s="256" t="n">
        <v>60047</v>
      </c>
      <c r="O50" s="256" t="n">
        <v>2</v>
      </c>
      <c r="P50" s="256" t="inlineStr">
        <is>
          <t>翡冷翠郊野牧场</t>
        </is>
      </c>
      <c r="Q50" s="256" t="n">
        <v>5</v>
      </c>
      <c r="R50" s="256" t="inlineStr">
        <is>
          <t>红</t>
        </is>
      </c>
    </row>
    <row r="51" ht="17.25" customHeight="1" s="14">
      <c r="J51" s="171" t="n">
        <v>80048</v>
      </c>
      <c r="K51" s="171" t="inlineStr">
        <is>
          <t>高级动力装甲</t>
        </is>
      </c>
      <c r="L51" s="255" t="inlineStr">
        <is>
          <t>金</t>
        </is>
      </c>
      <c r="N51" s="256" t="n">
        <v>60048</v>
      </c>
      <c r="O51" s="256" t="n">
        <v>2</v>
      </c>
      <c r="P51" s="256" t="inlineStr">
        <is>
          <t>翡冷翠郊野牧场</t>
        </is>
      </c>
      <c r="Q51" s="256" t="n">
        <v>6</v>
      </c>
      <c r="R51" s="256" t="inlineStr">
        <is>
          <t>红</t>
        </is>
      </c>
    </row>
    <row r="52" ht="17.25" customHeight="1" s="14">
      <c r="J52" s="171" t="n">
        <v>80049</v>
      </c>
      <c r="K52" s="171" t="inlineStr">
        <is>
          <t>初级纳米外骨骼</t>
        </is>
      </c>
      <c r="L52" s="255" t="inlineStr">
        <is>
          <t>蓝</t>
        </is>
      </c>
      <c r="N52" s="256" t="n">
        <v>60049</v>
      </c>
      <c r="O52" s="256" t="n">
        <v>3</v>
      </c>
      <c r="P52" s="256" t="inlineStr">
        <is>
          <t>纯白审判</t>
        </is>
      </c>
      <c r="Q52" s="256" t="n">
        <v>1</v>
      </c>
      <c r="R52" s="256" t="inlineStr">
        <is>
          <t>蓝</t>
        </is>
      </c>
    </row>
    <row r="53" ht="17.25" customHeight="1" s="14">
      <c r="J53" s="171" t="n">
        <v>80050</v>
      </c>
      <c r="K53" s="171" t="inlineStr">
        <is>
          <t>中级纳米外骨骼</t>
        </is>
      </c>
      <c r="L53" s="255" t="inlineStr">
        <is>
          <t>紫</t>
        </is>
      </c>
      <c r="N53" s="256" t="n">
        <v>60050</v>
      </c>
      <c r="O53" s="256" t="n">
        <v>3</v>
      </c>
      <c r="P53" s="256" t="inlineStr">
        <is>
          <t>纯白审判</t>
        </is>
      </c>
      <c r="Q53" s="256" t="n">
        <v>2</v>
      </c>
      <c r="R53" s="256" t="inlineStr">
        <is>
          <t>蓝</t>
        </is>
      </c>
    </row>
    <row r="54" ht="17.25" customHeight="1" s="14">
      <c r="J54" s="171" t="n">
        <v>80051</v>
      </c>
      <c r="K54" s="171" t="inlineStr">
        <is>
          <t>高级纳米外骨骼</t>
        </is>
      </c>
      <c r="L54" s="255" t="inlineStr">
        <is>
          <t>金</t>
        </is>
      </c>
      <c r="N54" s="256" t="n">
        <v>60051</v>
      </c>
      <c r="O54" s="256" t="n">
        <v>3</v>
      </c>
      <c r="P54" s="256" t="inlineStr">
        <is>
          <t>纯白审判</t>
        </is>
      </c>
      <c r="Q54" s="256" t="n">
        <v>3</v>
      </c>
      <c r="R54" s="256" t="inlineStr">
        <is>
          <t>蓝</t>
        </is>
      </c>
    </row>
    <row r="55" ht="17.25" customHeight="1" s="14">
      <c r="J55" s="171" t="n">
        <v>80052</v>
      </c>
      <c r="K55" s="171" t="inlineStr">
        <is>
          <t>初级突击生化服</t>
        </is>
      </c>
      <c r="L55" s="255" t="inlineStr">
        <is>
          <t>蓝</t>
        </is>
      </c>
      <c r="N55" s="256" t="n">
        <v>60052</v>
      </c>
      <c r="O55" s="256" t="n">
        <v>3</v>
      </c>
      <c r="P55" s="256" t="inlineStr">
        <is>
          <t>纯白审判</t>
        </is>
      </c>
      <c r="Q55" s="256" t="n">
        <v>4</v>
      </c>
      <c r="R55" s="256" t="inlineStr">
        <is>
          <t>蓝</t>
        </is>
      </c>
    </row>
    <row r="56" ht="17.25" customHeight="1" s="14">
      <c r="J56" s="171" t="n">
        <v>80053</v>
      </c>
      <c r="K56" s="171" t="inlineStr">
        <is>
          <t>中级突击生化服</t>
        </is>
      </c>
      <c r="L56" s="255" t="inlineStr">
        <is>
          <t>紫</t>
        </is>
      </c>
      <c r="N56" s="256" t="n">
        <v>60053</v>
      </c>
      <c r="O56" s="256" t="n">
        <v>3</v>
      </c>
      <c r="P56" s="256" t="inlineStr">
        <is>
          <t>纯白审判</t>
        </is>
      </c>
      <c r="Q56" s="256" t="n">
        <v>5</v>
      </c>
      <c r="R56" s="256" t="inlineStr">
        <is>
          <t>蓝</t>
        </is>
      </c>
    </row>
    <row r="57" ht="17.25" customHeight="1" s="14">
      <c r="J57" s="171" t="n">
        <v>80054</v>
      </c>
      <c r="K57" s="171" t="inlineStr">
        <is>
          <t>高级突击生化服</t>
        </is>
      </c>
      <c r="L57" s="255" t="inlineStr">
        <is>
          <t>金</t>
        </is>
      </c>
      <c r="N57" s="256" t="n">
        <v>60054</v>
      </c>
      <c r="O57" s="256" t="n">
        <v>3</v>
      </c>
      <c r="P57" s="256" t="inlineStr">
        <is>
          <t>纯白审判</t>
        </is>
      </c>
      <c r="Q57" s="256" t="n">
        <v>6</v>
      </c>
      <c r="R57" s="256" t="inlineStr">
        <is>
          <t>蓝</t>
        </is>
      </c>
    </row>
    <row r="58" ht="17.25" customHeight="1" s="14">
      <c r="J58" s="171" t="n">
        <v>80055</v>
      </c>
      <c r="K58" s="171" t="inlineStr">
        <is>
          <t>初级陆战动力盔甲</t>
        </is>
      </c>
      <c r="L58" s="255" t="inlineStr">
        <is>
          <t>蓝</t>
        </is>
      </c>
      <c r="N58" s="256" t="n">
        <v>60055</v>
      </c>
      <c r="O58" s="256" t="n">
        <v>3</v>
      </c>
      <c r="P58" s="256" t="inlineStr">
        <is>
          <t>纯白审判</t>
        </is>
      </c>
      <c r="Q58" s="256" t="n">
        <v>1</v>
      </c>
      <c r="R58" s="256" t="inlineStr">
        <is>
          <t>紫</t>
        </is>
      </c>
    </row>
    <row r="59" ht="17.25" customHeight="1" s="14">
      <c r="J59" s="171" t="n">
        <v>80056</v>
      </c>
      <c r="K59" s="171" t="inlineStr">
        <is>
          <t>中级陆战动力盔甲</t>
        </is>
      </c>
      <c r="L59" s="255" t="inlineStr">
        <is>
          <t>紫</t>
        </is>
      </c>
      <c r="N59" s="256" t="n">
        <v>60056</v>
      </c>
      <c r="O59" s="256" t="n">
        <v>3</v>
      </c>
      <c r="P59" s="256" t="inlineStr">
        <is>
          <t>纯白审判</t>
        </is>
      </c>
      <c r="Q59" s="256" t="n">
        <v>2</v>
      </c>
      <c r="R59" s="256" t="inlineStr">
        <is>
          <t>紫</t>
        </is>
      </c>
    </row>
    <row r="60" ht="17.25" customHeight="1" s="14">
      <c r="J60" s="171" t="n">
        <v>80057</v>
      </c>
      <c r="K60" s="171" t="inlineStr">
        <is>
          <t>高级陆战动力盔甲</t>
        </is>
      </c>
      <c r="L60" s="255" t="inlineStr">
        <is>
          <t>金</t>
        </is>
      </c>
      <c r="N60" s="256" t="n">
        <v>60057</v>
      </c>
      <c r="O60" s="256" t="n">
        <v>3</v>
      </c>
      <c r="P60" s="256" t="inlineStr">
        <is>
          <t>纯白审判</t>
        </is>
      </c>
      <c r="Q60" s="256" t="n">
        <v>3</v>
      </c>
      <c r="R60" s="256" t="inlineStr">
        <is>
          <t>紫</t>
        </is>
      </c>
    </row>
    <row r="61" ht="17.25" customHeight="1" s="14">
      <c r="J61" s="171" t="n">
        <v>80058</v>
      </c>
      <c r="K61" s="171" t="inlineStr">
        <is>
          <t>初级苍龙法袍</t>
        </is>
      </c>
      <c r="L61" s="255" t="inlineStr">
        <is>
          <t>蓝</t>
        </is>
      </c>
      <c r="N61" s="256" t="n">
        <v>60058</v>
      </c>
      <c r="O61" s="256" t="n">
        <v>3</v>
      </c>
      <c r="P61" s="256" t="inlineStr">
        <is>
          <t>纯白审判</t>
        </is>
      </c>
      <c r="Q61" s="256" t="n">
        <v>4</v>
      </c>
      <c r="R61" s="256" t="inlineStr">
        <is>
          <t>紫</t>
        </is>
      </c>
    </row>
    <row r="62" ht="17.25" customHeight="1" s="14">
      <c r="J62" s="171" t="n">
        <v>80059</v>
      </c>
      <c r="K62" s="171" t="inlineStr">
        <is>
          <t>中级苍龙法袍</t>
        </is>
      </c>
      <c r="L62" s="255" t="inlineStr">
        <is>
          <t>紫</t>
        </is>
      </c>
      <c r="N62" s="256" t="n">
        <v>60059</v>
      </c>
      <c r="O62" s="256" t="n">
        <v>3</v>
      </c>
      <c r="P62" s="256" t="inlineStr">
        <is>
          <t>纯白审判</t>
        </is>
      </c>
      <c r="Q62" s="256" t="n">
        <v>5</v>
      </c>
      <c r="R62" s="256" t="inlineStr">
        <is>
          <t>紫</t>
        </is>
      </c>
    </row>
    <row r="63" ht="17.25" customHeight="1" s="14">
      <c r="J63" s="171" t="n">
        <v>80060</v>
      </c>
      <c r="K63" s="171" t="inlineStr">
        <is>
          <t>高级苍龙法袍</t>
        </is>
      </c>
      <c r="L63" s="255" t="inlineStr">
        <is>
          <t>金</t>
        </is>
      </c>
      <c r="N63" s="256" t="n">
        <v>60060</v>
      </c>
      <c r="O63" s="256" t="n">
        <v>3</v>
      </c>
      <c r="P63" s="256" t="inlineStr">
        <is>
          <t>纯白审判</t>
        </is>
      </c>
      <c r="Q63" s="256" t="n">
        <v>6</v>
      </c>
      <c r="R63" s="256" t="inlineStr">
        <is>
          <t>紫</t>
        </is>
      </c>
    </row>
    <row r="64" ht="17.25" customHeight="1" s="14">
      <c r="J64" s="171" t="n">
        <v>80061</v>
      </c>
      <c r="K64" s="171" t="inlineStr">
        <is>
          <t>初级奥金暗影法袍</t>
        </is>
      </c>
      <c r="L64" s="255" t="inlineStr">
        <is>
          <t>蓝</t>
        </is>
      </c>
      <c r="N64" s="256" t="n">
        <v>60061</v>
      </c>
      <c r="O64" s="256" t="n">
        <v>3</v>
      </c>
      <c r="P64" s="256" t="inlineStr">
        <is>
          <t>纯白审判</t>
        </is>
      </c>
      <c r="Q64" s="256" t="n">
        <v>1</v>
      </c>
      <c r="R64" s="256" t="inlineStr">
        <is>
          <t>金</t>
        </is>
      </c>
    </row>
    <row r="65" ht="17.25" customHeight="1" s="14">
      <c r="J65" s="171" t="n">
        <v>80062</v>
      </c>
      <c r="K65" s="171" t="inlineStr">
        <is>
          <t>中级奥金暗影法袍</t>
        </is>
      </c>
      <c r="L65" s="255" t="inlineStr">
        <is>
          <t>紫</t>
        </is>
      </c>
      <c r="N65" s="256" t="n">
        <v>60062</v>
      </c>
      <c r="O65" s="256" t="n">
        <v>3</v>
      </c>
      <c r="P65" s="256" t="inlineStr">
        <is>
          <t>纯白审判</t>
        </is>
      </c>
      <c r="Q65" s="256" t="n">
        <v>2</v>
      </c>
      <c r="R65" s="256" t="inlineStr">
        <is>
          <t>金</t>
        </is>
      </c>
    </row>
    <row r="66" ht="17.25" customHeight="1" s="14">
      <c r="J66" s="257" t="n">
        <v>80063</v>
      </c>
      <c r="K66" s="257" t="inlineStr">
        <is>
          <t>高级奥金暗影法袍</t>
        </is>
      </c>
      <c r="L66" s="258" t="inlineStr">
        <is>
          <t>金</t>
        </is>
      </c>
      <c r="N66" s="256" t="n">
        <v>60063</v>
      </c>
      <c r="O66" s="256" t="n">
        <v>3</v>
      </c>
      <c r="P66" s="256" t="inlineStr">
        <is>
          <t>纯白审判</t>
        </is>
      </c>
      <c r="Q66" s="256" t="n">
        <v>3</v>
      </c>
      <c r="R66" s="256" t="inlineStr">
        <is>
          <t>金</t>
        </is>
      </c>
    </row>
    <row r="67" ht="17.25" customHeight="1" s="14">
      <c r="J67" s="171" t="n">
        <v>80064</v>
      </c>
      <c r="K67" s="171" t="inlineStr">
        <is>
          <t>初级重力操控护手</t>
        </is>
      </c>
      <c r="L67" s="255" t="inlineStr">
        <is>
          <t>蓝</t>
        </is>
      </c>
      <c r="N67" s="256" t="n">
        <v>60064</v>
      </c>
      <c r="O67" s="256" t="n">
        <v>3</v>
      </c>
      <c r="P67" s="256" t="inlineStr">
        <is>
          <t>纯白审判</t>
        </is>
      </c>
      <c r="Q67" s="256" t="n">
        <v>4</v>
      </c>
      <c r="R67" s="256" t="inlineStr">
        <is>
          <t>金</t>
        </is>
      </c>
    </row>
    <row r="68" ht="17.25" customHeight="1" s="14">
      <c r="J68" s="171" t="n">
        <v>80065</v>
      </c>
      <c r="K68" s="171" t="inlineStr">
        <is>
          <t>中级重力操控护手</t>
        </is>
      </c>
      <c r="L68" s="255" t="inlineStr">
        <is>
          <t>紫</t>
        </is>
      </c>
      <c r="N68" s="256" t="n">
        <v>60065</v>
      </c>
      <c r="O68" s="256" t="n">
        <v>3</v>
      </c>
      <c r="P68" s="256" t="inlineStr">
        <is>
          <t>纯白审判</t>
        </is>
      </c>
      <c r="Q68" s="256" t="n">
        <v>5</v>
      </c>
      <c r="R68" s="256" t="inlineStr">
        <is>
          <t>金</t>
        </is>
      </c>
    </row>
    <row r="69" ht="17.25" customHeight="1" s="14">
      <c r="J69" s="171" t="n">
        <v>80066</v>
      </c>
      <c r="K69" s="171" t="inlineStr">
        <is>
          <t>高级重力操控护手</t>
        </is>
      </c>
      <c r="L69" s="255" t="inlineStr">
        <is>
          <t>金</t>
        </is>
      </c>
      <c r="N69" s="256" t="n">
        <v>60066</v>
      </c>
      <c r="O69" s="256" t="n">
        <v>3</v>
      </c>
      <c r="P69" s="256" t="inlineStr">
        <is>
          <t>纯白审判</t>
        </is>
      </c>
      <c r="Q69" s="256" t="n">
        <v>6</v>
      </c>
      <c r="R69" s="256" t="inlineStr">
        <is>
          <t>金</t>
        </is>
      </c>
    </row>
    <row r="70" ht="17.25" customHeight="1" s="14">
      <c r="J70" s="171" t="n">
        <v>80067</v>
      </c>
      <c r="K70" s="171" t="inlineStr">
        <is>
          <t>初级神经织网手甲</t>
        </is>
      </c>
      <c r="L70" s="255" t="inlineStr">
        <is>
          <t>蓝</t>
        </is>
      </c>
      <c r="N70" s="256" t="n">
        <v>60067</v>
      </c>
      <c r="O70" s="256" t="n">
        <v>3</v>
      </c>
      <c r="P70" s="256" t="inlineStr">
        <is>
          <t>纯白审判</t>
        </is>
      </c>
      <c r="Q70" s="256" t="n">
        <v>1</v>
      </c>
      <c r="R70" s="256" t="inlineStr">
        <is>
          <t>红</t>
        </is>
      </c>
    </row>
    <row r="71" ht="17.25" customHeight="1" s="14">
      <c r="J71" s="171" t="n">
        <v>80068</v>
      </c>
      <c r="K71" s="171" t="inlineStr">
        <is>
          <t>中级神经织网手甲</t>
        </is>
      </c>
      <c r="L71" s="255" t="inlineStr">
        <is>
          <t>紫</t>
        </is>
      </c>
      <c r="N71" s="256" t="n">
        <v>60068</v>
      </c>
      <c r="O71" s="256" t="n">
        <v>3</v>
      </c>
      <c r="P71" s="256" t="inlineStr">
        <is>
          <t>纯白审判</t>
        </is>
      </c>
      <c r="Q71" s="256" t="n">
        <v>2</v>
      </c>
      <c r="R71" s="256" t="inlineStr">
        <is>
          <t>红</t>
        </is>
      </c>
    </row>
    <row r="72" ht="17.25" customHeight="1" s="14">
      <c r="J72" s="171" t="n">
        <v>80069</v>
      </c>
      <c r="K72" s="171" t="inlineStr">
        <is>
          <t>高级神经织网手甲</t>
        </is>
      </c>
      <c r="L72" s="255" t="inlineStr">
        <is>
          <t>金</t>
        </is>
      </c>
      <c r="N72" s="256" t="n">
        <v>60069</v>
      </c>
      <c r="O72" s="256" t="n">
        <v>3</v>
      </c>
      <c r="P72" s="256" t="inlineStr">
        <is>
          <t>纯白审判</t>
        </is>
      </c>
      <c r="Q72" s="256" t="n">
        <v>3</v>
      </c>
      <c r="R72" s="256" t="inlineStr">
        <is>
          <t>红</t>
        </is>
      </c>
    </row>
    <row r="73" ht="17.25" customHeight="1" s="14">
      <c r="J73" s="171" t="n">
        <v>80070</v>
      </c>
      <c r="K73" s="171" t="inlineStr">
        <is>
          <t>初级传感晶钛义体</t>
        </is>
      </c>
      <c r="L73" s="255" t="inlineStr">
        <is>
          <t>蓝</t>
        </is>
      </c>
      <c r="N73" s="256" t="n">
        <v>60070</v>
      </c>
      <c r="O73" s="256" t="n">
        <v>3</v>
      </c>
      <c r="P73" s="256" t="inlineStr">
        <is>
          <t>纯白审判</t>
        </is>
      </c>
      <c r="Q73" s="256" t="n">
        <v>4</v>
      </c>
      <c r="R73" s="256" t="inlineStr">
        <is>
          <t>红</t>
        </is>
      </c>
    </row>
    <row r="74" ht="17.25" customHeight="1" s="14">
      <c r="J74" s="171" t="n">
        <v>80071</v>
      </c>
      <c r="K74" s="171" t="inlineStr">
        <is>
          <t>中级传感晶钛义体</t>
        </is>
      </c>
      <c r="L74" s="255" t="inlineStr">
        <is>
          <t>紫</t>
        </is>
      </c>
      <c r="N74" s="256" t="n">
        <v>60071</v>
      </c>
      <c r="O74" s="256" t="n">
        <v>3</v>
      </c>
      <c r="P74" s="256" t="inlineStr">
        <is>
          <t>纯白审判</t>
        </is>
      </c>
      <c r="Q74" s="256" t="n">
        <v>5</v>
      </c>
      <c r="R74" s="256" t="inlineStr">
        <is>
          <t>红</t>
        </is>
      </c>
    </row>
    <row r="75" ht="17.25" customHeight="1" s="14">
      <c r="J75" s="171" t="n">
        <v>80072</v>
      </c>
      <c r="K75" s="171" t="inlineStr">
        <is>
          <t>高级传感晶钛义体</t>
        </is>
      </c>
      <c r="L75" s="255" t="inlineStr">
        <is>
          <t>金</t>
        </is>
      </c>
      <c r="N75" s="256" t="n">
        <v>60072</v>
      </c>
      <c r="O75" s="256" t="n">
        <v>3</v>
      </c>
      <c r="P75" s="256" t="inlineStr">
        <is>
          <t>纯白审判</t>
        </is>
      </c>
      <c r="Q75" s="256" t="n">
        <v>6</v>
      </c>
      <c r="R75" s="256" t="inlineStr">
        <is>
          <t>红</t>
        </is>
      </c>
    </row>
    <row r="76" ht="17.25" customHeight="1" s="14">
      <c r="J76" s="171" t="n">
        <v>80073</v>
      </c>
      <c r="K76" s="171" t="inlineStr">
        <is>
          <t>初级液压力场手甲</t>
        </is>
      </c>
      <c r="L76" s="255" t="inlineStr">
        <is>
          <t>蓝</t>
        </is>
      </c>
      <c r="N76" s="256" t="n">
        <v>60073</v>
      </c>
      <c r="O76" s="256" t="n">
        <v>4</v>
      </c>
      <c r="P76" s="256" t="inlineStr">
        <is>
          <t>使徒的渴盼</t>
        </is>
      </c>
      <c r="Q76" s="256" t="n">
        <v>1</v>
      </c>
      <c r="R76" s="256" t="inlineStr">
        <is>
          <t>蓝</t>
        </is>
      </c>
    </row>
    <row r="77" ht="17.25" customHeight="1" s="14">
      <c r="J77" s="171" t="n">
        <v>80074</v>
      </c>
      <c r="K77" s="171" t="inlineStr">
        <is>
          <t>中级液压力场手甲</t>
        </is>
      </c>
      <c r="L77" s="255" t="inlineStr">
        <is>
          <t>紫</t>
        </is>
      </c>
      <c r="N77" s="256" t="n">
        <v>60074</v>
      </c>
      <c r="O77" s="256" t="n">
        <v>4</v>
      </c>
      <c r="P77" s="256" t="inlineStr">
        <is>
          <t>使徒的渴盼</t>
        </is>
      </c>
      <c r="Q77" s="256" t="n">
        <v>2</v>
      </c>
      <c r="R77" s="256" t="inlineStr">
        <is>
          <t>蓝</t>
        </is>
      </c>
    </row>
    <row r="78" ht="17.25" customHeight="1" s="14">
      <c r="J78" s="171" t="n">
        <v>80075</v>
      </c>
      <c r="K78" s="171" t="inlineStr">
        <is>
          <t>高级液压力场手甲</t>
        </is>
      </c>
      <c r="L78" s="255" t="inlineStr">
        <is>
          <t>金</t>
        </is>
      </c>
      <c r="N78" s="256" t="n">
        <v>60075</v>
      </c>
      <c r="O78" s="256" t="n">
        <v>4</v>
      </c>
      <c r="P78" s="256" t="inlineStr">
        <is>
          <t>使徒的渴盼</t>
        </is>
      </c>
      <c r="Q78" s="256" t="n">
        <v>3</v>
      </c>
      <c r="R78" s="256" t="inlineStr">
        <is>
          <t>蓝</t>
        </is>
      </c>
    </row>
    <row r="79" ht="17.25" customHeight="1" s="14">
      <c r="J79" s="171" t="n">
        <v>80076</v>
      </c>
      <c r="K79" s="171" t="inlineStr">
        <is>
          <t>初级圣祷言手套</t>
        </is>
      </c>
      <c r="L79" s="255" t="inlineStr">
        <is>
          <t>蓝</t>
        </is>
      </c>
      <c r="N79" s="256" t="n">
        <v>60076</v>
      </c>
      <c r="O79" s="256" t="n">
        <v>4</v>
      </c>
      <c r="P79" s="256" t="inlineStr">
        <is>
          <t>使徒的渴盼</t>
        </is>
      </c>
      <c r="Q79" s="256" t="n">
        <v>4</v>
      </c>
      <c r="R79" s="256" t="inlineStr">
        <is>
          <t>蓝</t>
        </is>
      </c>
    </row>
    <row r="80" ht="17.25" customHeight="1" s="14">
      <c r="J80" s="171" t="n">
        <v>80077</v>
      </c>
      <c r="K80" s="171" t="inlineStr">
        <is>
          <t>中级圣祷言手套</t>
        </is>
      </c>
      <c r="L80" s="255" t="inlineStr">
        <is>
          <t>紫</t>
        </is>
      </c>
      <c r="N80" s="256" t="n">
        <v>60077</v>
      </c>
      <c r="O80" s="256" t="n">
        <v>4</v>
      </c>
      <c r="P80" s="256" t="inlineStr">
        <is>
          <t>使徒的渴盼</t>
        </is>
      </c>
      <c r="Q80" s="256" t="n">
        <v>5</v>
      </c>
      <c r="R80" s="256" t="inlineStr">
        <is>
          <t>蓝</t>
        </is>
      </c>
    </row>
    <row r="81" ht="17.25" customHeight="1" s="14">
      <c r="J81" s="171" t="n">
        <v>80078</v>
      </c>
      <c r="K81" s="171" t="inlineStr">
        <is>
          <t>高级圣祷言手套</t>
        </is>
      </c>
      <c r="L81" s="255" t="inlineStr">
        <is>
          <t>金</t>
        </is>
      </c>
      <c r="N81" s="256" t="n">
        <v>60078</v>
      </c>
      <c r="O81" s="256" t="n">
        <v>4</v>
      </c>
      <c r="P81" s="256" t="inlineStr">
        <is>
          <t>使徒的渴盼</t>
        </is>
      </c>
      <c r="Q81" s="256" t="n">
        <v>6</v>
      </c>
      <c r="R81" s="256" t="inlineStr">
        <is>
          <t>蓝</t>
        </is>
      </c>
    </row>
    <row r="82" ht="17.25" customHeight="1" s="14">
      <c r="J82" s="171" t="n">
        <v>80079</v>
      </c>
      <c r="K82" s="171" t="inlineStr">
        <is>
          <t>初级秘银神恩护手</t>
        </is>
      </c>
      <c r="L82" s="255" t="inlineStr">
        <is>
          <t>蓝</t>
        </is>
      </c>
      <c r="N82" s="256" t="n">
        <v>60079</v>
      </c>
      <c r="O82" s="256" t="n">
        <v>4</v>
      </c>
      <c r="P82" s="256" t="inlineStr">
        <is>
          <t>使徒的渴盼</t>
        </is>
      </c>
      <c r="Q82" s="256" t="n">
        <v>1</v>
      </c>
      <c r="R82" s="256" t="inlineStr">
        <is>
          <t>紫</t>
        </is>
      </c>
    </row>
    <row r="83" ht="17.25" customHeight="1" s="14">
      <c r="J83" s="171" t="n">
        <v>80080</v>
      </c>
      <c r="K83" s="171" t="inlineStr">
        <is>
          <t>中级秘银神恩护手</t>
        </is>
      </c>
      <c r="L83" s="255" t="inlineStr">
        <is>
          <t>紫</t>
        </is>
      </c>
      <c r="N83" s="256" t="n">
        <v>60080</v>
      </c>
      <c r="O83" s="256" t="n">
        <v>4</v>
      </c>
      <c r="P83" s="256" t="inlineStr">
        <is>
          <t>使徒的渴盼</t>
        </is>
      </c>
      <c r="Q83" s="256" t="n">
        <v>2</v>
      </c>
      <c r="R83" s="256" t="inlineStr">
        <is>
          <t>紫</t>
        </is>
      </c>
    </row>
    <row r="84" ht="17.25" customHeight="1" s="14">
      <c r="J84" s="257" t="n">
        <v>80081</v>
      </c>
      <c r="K84" s="257" t="inlineStr">
        <is>
          <t>高级秘银神恩护手</t>
        </is>
      </c>
      <c r="L84" s="258" t="inlineStr">
        <is>
          <t>金</t>
        </is>
      </c>
      <c r="N84" s="256" t="n">
        <v>60081</v>
      </c>
      <c r="O84" s="256" t="n">
        <v>4</v>
      </c>
      <c r="P84" s="256" t="inlineStr">
        <is>
          <t>使徒的渴盼</t>
        </is>
      </c>
      <c r="Q84" s="256" t="n">
        <v>3</v>
      </c>
      <c r="R84" s="256" t="inlineStr">
        <is>
          <t>紫</t>
        </is>
      </c>
    </row>
    <row r="85" ht="17.25" customHeight="1" s="14">
      <c r="J85" s="171" t="n">
        <v>80082</v>
      </c>
      <c r="K85" s="171" t="inlineStr">
        <is>
          <t>初级皮质弹药带</t>
        </is>
      </c>
      <c r="L85" s="255" t="inlineStr">
        <is>
          <t>蓝</t>
        </is>
      </c>
      <c r="N85" s="256" t="n">
        <v>60082</v>
      </c>
      <c r="O85" s="256" t="n">
        <v>4</v>
      </c>
      <c r="P85" s="256" t="inlineStr">
        <is>
          <t>使徒的渴盼</t>
        </is>
      </c>
      <c r="Q85" s="256" t="n">
        <v>4</v>
      </c>
      <c r="R85" s="256" t="inlineStr">
        <is>
          <t>紫</t>
        </is>
      </c>
    </row>
    <row r="86" ht="17.25" customHeight="1" s="14">
      <c r="J86" s="171" t="n">
        <v>80083</v>
      </c>
      <c r="K86" s="171" t="inlineStr">
        <is>
          <t>中级皮质弹药带</t>
        </is>
      </c>
      <c r="L86" s="255" t="inlineStr">
        <is>
          <t>紫</t>
        </is>
      </c>
      <c r="N86" s="256" t="n">
        <v>60083</v>
      </c>
      <c r="O86" s="256" t="n">
        <v>4</v>
      </c>
      <c r="P86" s="256" t="inlineStr">
        <is>
          <t>使徒的渴盼</t>
        </is>
      </c>
      <c r="Q86" s="256" t="n">
        <v>5</v>
      </c>
      <c r="R86" s="256" t="inlineStr">
        <is>
          <t>紫</t>
        </is>
      </c>
    </row>
    <row r="87" ht="17.25" customHeight="1" s="14">
      <c r="J87" s="171" t="n">
        <v>80084</v>
      </c>
      <c r="K87" s="171" t="inlineStr">
        <is>
          <t>高级皮质弹药带</t>
        </is>
      </c>
      <c r="L87" s="255" t="inlineStr">
        <is>
          <t>金</t>
        </is>
      </c>
      <c r="N87" s="256" t="n">
        <v>60084</v>
      </c>
      <c r="O87" s="256" t="n">
        <v>4</v>
      </c>
      <c r="P87" s="256" t="inlineStr">
        <is>
          <t>使徒的渴盼</t>
        </is>
      </c>
      <c r="Q87" s="256" t="n">
        <v>6</v>
      </c>
      <c r="R87" s="256" t="inlineStr">
        <is>
          <t>紫</t>
        </is>
      </c>
    </row>
    <row r="88" ht="17.25" customHeight="1" s="14">
      <c r="J88" s="171" t="n">
        <v>80085</v>
      </c>
      <c r="K88" s="171" t="inlineStr">
        <is>
          <t>初级旅行者腰带</t>
        </is>
      </c>
      <c r="L88" s="255" t="inlineStr">
        <is>
          <t>蓝</t>
        </is>
      </c>
      <c r="N88" s="256" t="n">
        <v>60085</v>
      </c>
      <c r="O88" s="256" t="n">
        <v>4</v>
      </c>
      <c r="P88" s="256" t="inlineStr">
        <is>
          <t>使徒的渴盼</t>
        </is>
      </c>
      <c r="Q88" s="256" t="n">
        <v>1</v>
      </c>
      <c r="R88" s="256" t="inlineStr">
        <is>
          <t>金</t>
        </is>
      </c>
    </row>
    <row r="89" ht="17.25" customHeight="1" s="14">
      <c r="J89" s="171" t="n">
        <v>80086</v>
      </c>
      <c r="K89" s="171" t="inlineStr">
        <is>
          <t>中级旅行者腰带</t>
        </is>
      </c>
      <c r="L89" s="255" t="inlineStr">
        <is>
          <t>紫</t>
        </is>
      </c>
      <c r="N89" s="256" t="n">
        <v>60086</v>
      </c>
      <c r="O89" s="256" t="n">
        <v>4</v>
      </c>
      <c r="P89" s="256" t="inlineStr">
        <is>
          <t>使徒的渴盼</t>
        </is>
      </c>
      <c r="Q89" s="256" t="n">
        <v>2</v>
      </c>
      <c r="R89" s="256" t="inlineStr">
        <is>
          <t>金</t>
        </is>
      </c>
    </row>
    <row r="90" ht="17.25" customHeight="1" s="14">
      <c r="J90" s="171" t="n">
        <v>80087</v>
      </c>
      <c r="K90" s="171" t="inlineStr">
        <is>
          <t>高级旅行者腰带</t>
        </is>
      </c>
      <c r="L90" s="255" t="inlineStr">
        <is>
          <t>金</t>
        </is>
      </c>
      <c r="N90" s="256" t="n">
        <v>60087</v>
      </c>
      <c r="O90" s="256" t="n">
        <v>4</v>
      </c>
      <c r="P90" s="256" t="inlineStr">
        <is>
          <t>使徒的渴盼</t>
        </is>
      </c>
      <c r="Q90" s="256" t="n">
        <v>3</v>
      </c>
      <c r="R90" s="256" t="inlineStr">
        <is>
          <t>金</t>
        </is>
      </c>
    </row>
    <row r="91" ht="17.25" customHeight="1" s="14">
      <c r="J91" s="171" t="n">
        <v>80088</v>
      </c>
      <c r="K91" s="171" t="inlineStr">
        <is>
          <t>初级体征监测带</t>
        </is>
      </c>
      <c r="L91" s="255" t="inlineStr">
        <is>
          <t>蓝</t>
        </is>
      </c>
      <c r="N91" s="256" t="n">
        <v>60088</v>
      </c>
      <c r="O91" s="256" t="n">
        <v>4</v>
      </c>
      <c r="P91" s="256" t="inlineStr">
        <is>
          <t>使徒的渴盼</t>
        </is>
      </c>
      <c r="Q91" s="256" t="n">
        <v>4</v>
      </c>
      <c r="R91" s="256" t="inlineStr">
        <is>
          <t>金</t>
        </is>
      </c>
    </row>
    <row r="92" ht="17.25" customHeight="1" s="14">
      <c r="J92" s="171" t="n">
        <v>80089</v>
      </c>
      <c r="K92" s="171" t="inlineStr">
        <is>
          <t>中级体征监测带</t>
        </is>
      </c>
      <c r="L92" s="255" t="inlineStr">
        <is>
          <t>紫</t>
        </is>
      </c>
      <c r="N92" s="256" t="n">
        <v>60089</v>
      </c>
      <c r="O92" s="256" t="n">
        <v>4</v>
      </c>
      <c r="P92" s="256" t="inlineStr">
        <is>
          <t>使徒的渴盼</t>
        </is>
      </c>
      <c r="Q92" s="256" t="n">
        <v>5</v>
      </c>
      <c r="R92" s="256" t="inlineStr">
        <is>
          <t>金</t>
        </is>
      </c>
    </row>
    <row r="93" ht="17.25" customHeight="1" s="14">
      <c r="J93" s="171" t="n">
        <v>80090</v>
      </c>
      <c r="K93" s="171" t="inlineStr">
        <is>
          <t>高级体征监测带</t>
        </is>
      </c>
      <c r="L93" s="255" t="inlineStr">
        <is>
          <t>金</t>
        </is>
      </c>
      <c r="N93" s="256" t="n">
        <v>60090</v>
      </c>
      <c r="O93" s="256" t="n">
        <v>4</v>
      </c>
      <c r="P93" s="256" t="inlineStr">
        <is>
          <t>使徒的渴盼</t>
        </is>
      </c>
      <c r="Q93" s="256" t="n">
        <v>6</v>
      </c>
      <c r="R93" s="256" t="inlineStr">
        <is>
          <t>金</t>
        </is>
      </c>
    </row>
    <row r="94" ht="17.25" customHeight="1" s="14">
      <c r="J94" s="171" t="n">
        <v>80091</v>
      </c>
      <c r="K94" s="171" t="inlineStr">
        <is>
          <t>初级压力调节带</t>
        </is>
      </c>
      <c r="L94" s="255" t="inlineStr">
        <is>
          <t>蓝</t>
        </is>
      </c>
      <c r="N94" s="256" t="n">
        <v>60091</v>
      </c>
      <c r="O94" s="256" t="n">
        <v>4</v>
      </c>
      <c r="P94" s="256" t="inlineStr">
        <is>
          <t>使徒的渴盼</t>
        </is>
      </c>
      <c r="Q94" s="256" t="n">
        <v>1</v>
      </c>
      <c r="R94" s="256" t="inlineStr">
        <is>
          <t>红</t>
        </is>
      </c>
    </row>
    <row r="95" ht="17.25" customHeight="1" s="14">
      <c r="J95" s="171" t="n">
        <v>80092</v>
      </c>
      <c r="K95" s="171" t="inlineStr">
        <is>
          <t>中级压力调节带</t>
        </is>
      </c>
      <c r="L95" s="255" t="inlineStr">
        <is>
          <t>紫</t>
        </is>
      </c>
      <c r="N95" s="256" t="n">
        <v>60092</v>
      </c>
      <c r="O95" s="256" t="n">
        <v>4</v>
      </c>
      <c r="P95" s="256" t="inlineStr">
        <is>
          <t>使徒的渴盼</t>
        </is>
      </c>
      <c r="Q95" s="256" t="n">
        <v>2</v>
      </c>
      <c r="R95" s="256" t="inlineStr">
        <is>
          <t>红</t>
        </is>
      </c>
    </row>
    <row r="96" ht="17.25" customHeight="1" s="14">
      <c r="J96" s="171" t="n">
        <v>80093</v>
      </c>
      <c r="K96" s="171" t="inlineStr">
        <is>
          <t>高级压力调节带</t>
        </is>
      </c>
      <c r="L96" s="255" t="inlineStr">
        <is>
          <t>金</t>
        </is>
      </c>
      <c r="N96" s="256" t="n">
        <v>60093</v>
      </c>
      <c r="O96" s="256" t="n">
        <v>4</v>
      </c>
      <c r="P96" s="256" t="inlineStr">
        <is>
          <t>使徒的渴盼</t>
        </is>
      </c>
      <c r="Q96" s="256" t="n">
        <v>3</v>
      </c>
      <c r="R96" s="256" t="inlineStr">
        <is>
          <t>红</t>
        </is>
      </c>
    </row>
    <row r="97" ht="17.25" customHeight="1" s="14">
      <c r="J97" s="171" t="n">
        <v>80094</v>
      </c>
      <c r="K97" s="171" t="inlineStr">
        <is>
          <t>初级灵能增幅带</t>
        </is>
      </c>
      <c r="L97" s="255" t="inlineStr">
        <is>
          <t>蓝</t>
        </is>
      </c>
      <c r="N97" s="256" t="n">
        <v>60094</v>
      </c>
      <c r="O97" s="256" t="n">
        <v>4</v>
      </c>
      <c r="P97" s="256" t="inlineStr">
        <is>
          <t>使徒的渴盼</t>
        </is>
      </c>
      <c r="Q97" s="256" t="n">
        <v>4</v>
      </c>
      <c r="R97" s="256" t="inlineStr">
        <is>
          <t>红</t>
        </is>
      </c>
    </row>
    <row r="98" ht="17.25" customHeight="1" s="14">
      <c r="J98" s="171" t="n">
        <v>80095</v>
      </c>
      <c r="K98" s="171" t="inlineStr">
        <is>
          <t>中级灵能增幅带</t>
        </is>
      </c>
      <c r="L98" s="255" t="inlineStr">
        <is>
          <t>紫</t>
        </is>
      </c>
      <c r="N98" s="256" t="n">
        <v>60095</v>
      </c>
      <c r="O98" s="256" t="n">
        <v>4</v>
      </c>
      <c r="P98" s="256" t="inlineStr">
        <is>
          <t>使徒的渴盼</t>
        </is>
      </c>
      <c r="Q98" s="256" t="n">
        <v>5</v>
      </c>
      <c r="R98" s="256" t="inlineStr">
        <is>
          <t>红</t>
        </is>
      </c>
    </row>
    <row r="99" ht="17.25" customHeight="1" s="14">
      <c r="J99" s="171" t="n">
        <v>80096</v>
      </c>
      <c r="K99" s="171" t="inlineStr">
        <is>
          <t>高级灵能增幅带</t>
        </is>
      </c>
      <c r="L99" s="255" t="inlineStr">
        <is>
          <t>金</t>
        </is>
      </c>
      <c r="N99" s="256" t="n">
        <v>60096</v>
      </c>
      <c r="O99" s="256" t="n">
        <v>4</v>
      </c>
      <c r="P99" s="256" t="inlineStr">
        <is>
          <t>使徒的渴盼</t>
        </is>
      </c>
      <c r="Q99" s="256" t="n">
        <v>6</v>
      </c>
      <c r="R99" s="256" t="inlineStr">
        <is>
          <t>红</t>
        </is>
      </c>
    </row>
    <row r="100" ht="17.25" customHeight="1" s="14">
      <c r="J100" s="171" t="n">
        <v>80097</v>
      </c>
      <c r="K100" s="171" t="inlineStr">
        <is>
          <t>初级流火之心</t>
        </is>
      </c>
      <c r="L100" s="255" t="inlineStr">
        <is>
          <t>蓝</t>
        </is>
      </c>
      <c r="N100" s="256" t="n">
        <v>60097</v>
      </c>
      <c r="O100" s="256" t="n">
        <v>5</v>
      </c>
      <c r="P100" s="256" t="inlineStr">
        <is>
          <t>蔷薇宣告</t>
        </is>
      </c>
      <c r="Q100" s="256" t="n">
        <v>1</v>
      </c>
      <c r="R100" s="256" t="inlineStr">
        <is>
          <t>蓝</t>
        </is>
      </c>
    </row>
    <row r="101" ht="17.25" customHeight="1" s="14">
      <c r="J101" s="171" t="n">
        <v>80098</v>
      </c>
      <c r="K101" s="171" t="inlineStr">
        <is>
          <t>中级流火之心</t>
        </is>
      </c>
      <c r="L101" s="255" t="inlineStr">
        <is>
          <t>紫</t>
        </is>
      </c>
      <c r="N101" s="256" t="n">
        <v>60098</v>
      </c>
      <c r="O101" s="256" t="n">
        <v>5</v>
      </c>
      <c r="P101" s="256" t="inlineStr">
        <is>
          <t>蔷薇宣告</t>
        </is>
      </c>
      <c r="Q101" s="256" t="n">
        <v>2</v>
      </c>
      <c r="R101" s="256" t="inlineStr">
        <is>
          <t>蓝</t>
        </is>
      </c>
    </row>
    <row r="102" ht="17.25" customHeight="1" s="14">
      <c r="J102" s="257" t="n">
        <v>80099</v>
      </c>
      <c r="K102" s="257" t="inlineStr">
        <is>
          <t>高级流火之心</t>
        </is>
      </c>
      <c r="L102" s="258" t="inlineStr">
        <is>
          <t>金</t>
        </is>
      </c>
      <c r="N102" s="256" t="n">
        <v>60099</v>
      </c>
      <c r="O102" s="256" t="n">
        <v>5</v>
      </c>
      <c r="P102" s="256" t="inlineStr">
        <is>
          <t>蔷薇宣告</t>
        </is>
      </c>
      <c r="Q102" s="256" t="n">
        <v>3</v>
      </c>
      <c r="R102" s="256" t="inlineStr">
        <is>
          <t>蓝</t>
        </is>
      </c>
    </row>
    <row r="103" ht="17.25" customHeight="1" s="14">
      <c r="J103" s="171" t="n">
        <v>80100</v>
      </c>
      <c r="K103" s="171" t="inlineStr">
        <is>
          <t>初级潜行军靴</t>
        </is>
      </c>
      <c r="L103" s="255" t="inlineStr">
        <is>
          <t>蓝</t>
        </is>
      </c>
      <c r="N103" s="256" t="n">
        <v>60100</v>
      </c>
      <c r="O103" s="256" t="n">
        <v>5</v>
      </c>
      <c r="P103" s="256" t="inlineStr">
        <is>
          <t>蔷薇宣告</t>
        </is>
      </c>
      <c r="Q103" s="256" t="n">
        <v>4</v>
      </c>
      <c r="R103" s="256" t="inlineStr">
        <is>
          <t>蓝</t>
        </is>
      </c>
    </row>
    <row r="104" ht="17.25" customHeight="1" s="14">
      <c r="J104" s="171" t="n">
        <v>80101</v>
      </c>
      <c r="K104" s="171" t="inlineStr">
        <is>
          <t>中级潜行军靴</t>
        </is>
      </c>
      <c r="L104" s="255" t="inlineStr">
        <is>
          <t>紫</t>
        </is>
      </c>
      <c r="N104" s="256" t="n">
        <v>60101</v>
      </c>
      <c r="O104" s="256" t="n">
        <v>5</v>
      </c>
      <c r="P104" s="256" t="inlineStr">
        <is>
          <t>蔷薇宣告</t>
        </is>
      </c>
      <c r="Q104" s="256" t="n">
        <v>5</v>
      </c>
      <c r="R104" s="256" t="inlineStr">
        <is>
          <t>蓝</t>
        </is>
      </c>
    </row>
    <row r="105" ht="17.25" customHeight="1" s="14">
      <c r="J105" s="171" t="n">
        <v>80102</v>
      </c>
      <c r="K105" s="171" t="inlineStr">
        <is>
          <t>高级潜行军靴</t>
        </is>
      </c>
      <c r="L105" s="255" t="inlineStr">
        <is>
          <t>金</t>
        </is>
      </c>
      <c r="N105" s="256" t="n">
        <v>60102</v>
      </c>
      <c r="O105" s="256" t="n">
        <v>5</v>
      </c>
      <c r="P105" s="256" t="inlineStr">
        <is>
          <t>蔷薇宣告</t>
        </is>
      </c>
      <c r="Q105" s="256" t="n">
        <v>6</v>
      </c>
      <c r="R105" s="256" t="inlineStr">
        <is>
          <t>蓝</t>
        </is>
      </c>
    </row>
    <row r="106" ht="17.25" customHeight="1" s="14">
      <c r="J106" s="171" t="n">
        <v>80103</v>
      </c>
      <c r="K106" s="171" t="inlineStr">
        <is>
          <t>初级匿踪之靴</t>
        </is>
      </c>
      <c r="L106" s="255" t="inlineStr">
        <is>
          <t>蓝</t>
        </is>
      </c>
      <c r="N106" s="256" t="n">
        <v>60103</v>
      </c>
      <c r="O106" s="256" t="n">
        <v>5</v>
      </c>
      <c r="P106" s="256" t="inlineStr">
        <is>
          <t>蔷薇宣告</t>
        </is>
      </c>
      <c r="Q106" s="256" t="n">
        <v>1</v>
      </c>
      <c r="R106" s="256" t="inlineStr">
        <is>
          <t>紫</t>
        </is>
      </c>
    </row>
    <row r="107" ht="17.25" customHeight="1" s="14">
      <c r="J107" s="171" t="n">
        <v>80104</v>
      </c>
      <c r="K107" s="171" t="inlineStr">
        <is>
          <t>中级匿踪之靴</t>
        </is>
      </c>
      <c r="L107" s="255" t="inlineStr">
        <is>
          <t>紫</t>
        </is>
      </c>
      <c r="N107" s="256" t="n">
        <v>60104</v>
      </c>
      <c r="O107" s="256" t="n">
        <v>5</v>
      </c>
      <c r="P107" s="256" t="inlineStr">
        <is>
          <t>蔷薇宣告</t>
        </is>
      </c>
      <c r="Q107" s="256" t="n">
        <v>2</v>
      </c>
      <c r="R107" s="256" t="inlineStr">
        <is>
          <t>紫</t>
        </is>
      </c>
    </row>
    <row r="108" ht="17.25" customHeight="1" s="14">
      <c r="J108" s="171" t="n">
        <v>80105</v>
      </c>
      <c r="K108" s="171" t="inlineStr">
        <is>
          <t>高级匿踪之靴</t>
        </is>
      </c>
      <c r="L108" s="255" t="inlineStr">
        <is>
          <t>金</t>
        </is>
      </c>
      <c r="N108" s="256" t="n">
        <v>60105</v>
      </c>
      <c r="O108" s="256" t="n">
        <v>5</v>
      </c>
      <c r="P108" s="256" t="inlineStr">
        <is>
          <t>蔷薇宣告</t>
        </is>
      </c>
      <c r="Q108" s="256" t="n">
        <v>3</v>
      </c>
      <c r="R108" s="256" t="inlineStr">
        <is>
          <t>紫</t>
        </is>
      </c>
    </row>
    <row r="109" ht="17.25" customHeight="1" s="14">
      <c r="J109" s="171" t="n">
        <v>80106</v>
      </c>
      <c r="K109" s="171" t="inlineStr">
        <is>
          <t>初级外骨骼力靴</t>
        </is>
      </c>
      <c r="L109" s="255" t="inlineStr">
        <is>
          <t>蓝</t>
        </is>
      </c>
      <c r="N109" s="256" t="n">
        <v>60106</v>
      </c>
      <c r="O109" s="256" t="n">
        <v>5</v>
      </c>
      <c r="P109" s="256" t="inlineStr">
        <is>
          <t>蔷薇宣告</t>
        </is>
      </c>
      <c r="Q109" s="256" t="n">
        <v>4</v>
      </c>
      <c r="R109" s="256" t="inlineStr">
        <is>
          <t>紫</t>
        </is>
      </c>
    </row>
    <row r="110" ht="17.25" customHeight="1" s="14">
      <c r="J110" s="171" t="n">
        <v>80107</v>
      </c>
      <c r="K110" s="171" t="inlineStr">
        <is>
          <t>中级外骨骼力靴</t>
        </is>
      </c>
      <c r="L110" s="255" t="inlineStr">
        <is>
          <t>紫</t>
        </is>
      </c>
      <c r="N110" s="256" t="n">
        <v>60107</v>
      </c>
      <c r="O110" s="256" t="n">
        <v>5</v>
      </c>
      <c r="P110" s="256" t="inlineStr">
        <is>
          <t>蔷薇宣告</t>
        </is>
      </c>
      <c r="Q110" s="256" t="n">
        <v>5</v>
      </c>
      <c r="R110" s="256" t="inlineStr">
        <is>
          <t>紫</t>
        </is>
      </c>
    </row>
    <row r="111" ht="17.25" customHeight="1" s="14">
      <c r="J111" s="171" t="n">
        <v>80108</v>
      </c>
      <c r="K111" s="171" t="inlineStr">
        <is>
          <t>高级外骨骼力靴</t>
        </is>
      </c>
      <c r="L111" s="255" t="inlineStr">
        <is>
          <t>金</t>
        </is>
      </c>
      <c r="N111" s="256" t="n">
        <v>60108</v>
      </c>
      <c r="O111" s="256" t="n">
        <v>5</v>
      </c>
      <c r="P111" s="256" t="inlineStr">
        <is>
          <t>蔷薇宣告</t>
        </is>
      </c>
      <c r="Q111" s="256" t="n">
        <v>6</v>
      </c>
      <c r="R111" s="256" t="inlineStr">
        <is>
          <t>紫</t>
        </is>
      </c>
    </row>
    <row r="112" ht="17.25" customHeight="1" s="14">
      <c r="J112" s="171" t="n">
        <v>80109</v>
      </c>
      <c r="K112" s="171" t="inlineStr">
        <is>
          <t>初级时序漫游者</t>
        </is>
      </c>
      <c r="L112" s="255" t="inlineStr">
        <is>
          <t>蓝</t>
        </is>
      </c>
      <c r="N112" s="256" t="n">
        <v>60109</v>
      </c>
      <c r="O112" s="256" t="n">
        <v>5</v>
      </c>
      <c r="P112" s="256" t="inlineStr">
        <is>
          <t>蔷薇宣告</t>
        </is>
      </c>
      <c r="Q112" s="256" t="n">
        <v>1</v>
      </c>
      <c r="R112" s="256" t="inlineStr">
        <is>
          <t>金</t>
        </is>
      </c>
    </row>
    <row r="113" ht="17.25" customHeight="1" s="14">
      <c r="J113" s="171" t="n">
        <v>80110</v>
      </c>
      <c r="K113" s="171" t="inlineStr">
        <is>
          <t>中级时序漫游者</t>
        </is>
      </c>
      <c r="L113" s="255" t="inlineStr">
        <is>
          <t>紫</t>
        </is>
      </c>
      <c r="N113" s="256" t="n">
        <v>60110</v>
      </c>
      <c r="O113" s="256" t="n">
        <v>5</v>
      </c>
      <c r="P113" s="256" t="inlineStr">
        <is>
          <t>蔷薇宣告</t>
        </is>
      </c>
      <c r="Q113" s="256" t="n">
        <v>2</v>
      </c>
      <c r="R113" s="256" t="inlineStr">
        <is>
          <t>金</t>
        </is>
      </c>
    </row>
    <row r="114" ht="17.25" customHeight="1" s="14">
      <c r="J114" s="171" t="n">
        <v>80111</v>
      </c>
      <c r="K114" s="171" t="inlineStr">
        <is>
          <t>高级时序漫游者</t>
        </is>
      </c>
      <c r="L114" s="255" t="inlineStr">
        <is>
          <t>金</t>
        </is>
      </c>
      <c r="N114" s="256" t="n">
        <v>60111</v>
      </c>
      <c r="O114" s="256" t="n">
        <v>5</v>
      </c>
      <c r="P114" s="256" t="inlineStr">
        <is>
          <t>蔷薇宣告</t>
        </is>
      </c>
      <c r="Q114" s="256" t="n">
        <v>3</v>
      </c>
      <c r="R114" s="256" t="inlineStr">
        <is>
          <t>金</t>
        </is>
      </c>
    </row>
    <row r="115" ht="17.25" customHeight="1" s="14">
      <c r="J115" s="171" t="n">
        <v>80112</v>
      </c>
      <c r="K115" s="171" t="inlineStr">
        <is>
          <t>初级超维感知靴</t>
        </is>
      </c>
      <c r="L115" s="255" t="inlineStr">
        <is>
          <t>蓝</t>
        </is>
      </c>
      <c r="N115" s="256" t="n">
        <v>60112</v>
      </c>
      <c r="O115" s="256" t="n">
        <v>5</v>
      </c>
      <c r="P115" s="256" t="inlineStr">
        <is>
          <t>蔷薇宣告</t>
        </is>
      </c>
      <c r="Q115" s="256" t="n">
        <v>4</v>
      </c>
      <c r="R115" s="256" t="inlineStr">
        <is>
          <t>金</t>
        </is>
      </c>
    </row>
    <row r="116" ht="17.25" customHeight="1" s="14">
      <c r="J116" s="171" t="n">
        <v>80113</v>
      </c>
      <c r="K116" s="171" t="inlineStr">
        <is>
          <t>中级超维感知靴</t>
        </is>
      </c>
      <c r="L116" s="255" t="inlineStr">
        <is>
          <t>紫</t>
        </is>
      </c>
      <c r="N116" s="256" t="n">
        <v>60113</v>
      </c>
      <c r="O116" s="256" t="n">
        <v>5</v>
      </c>
      <c r="P116" s="256" t="inlineStr">
        <is>
          <t>蔷薇宣告</t>
        </is>
      </c>
      <c r="Q116" s="256" t="n">
        <v>5</v>
      </c>
      <c r="R116" s="256" t="inlineStr">
        <is>
          <t>金</t>
        </is>
      </c>
    </row>
    <row r="117" ht="17.25" customHeight="1" s="14">
      <c r="J117" s="171" t="n">
        <v>80114</v>
      </c>
      <c r="K117" s="171" t="inlineStr">
        <is>
          <t>高级超维感知靴</t>
        </is>
      </c>
      <c r="L117" s="255" t="inlineStr">
        <is>
          <t>金</t>
        </is>
      </c>
      <c r="N117" s="256" t="n">
        <v>60114</v>
      </c>
      <c r="O117" s="256" t="n">
        <v>5</v>
      </c>
      <c r="P117" s="256" t="inlineStr">
        <is>
          <t>蔷薇宣告</t>
        </is>
      </c>
      <c r="Q117" s="256" t="n">
        <v>6</v>
      </c>
      <c r="R117" s="256" t="inlineStr">
        <is>
          <t>金</t>
        </is>
      </c>
    </row>
    <row r="118" ht="17.25" customHeight="1" s="14">
      <c r="J118" s="171" t="n">
        <v>80115</v>
      </c>
      <c r="K118" s="171" t="inlineStr">
        <is>
          <t>初级虚空跃迁靴</t>
        </is>
      </c>
      <c r="L118" s="255" t="inlineStr">
        <is>
          <t>蓝</t>
        </is>
      </c>
      <c r="N118" s="256" t="n">
        <v>60115</v>
      </c>
      <c r="O118" s="256" t="n">
        <v>5</v>
      </c>
      <c r="P118" s="256" t="inlineStr">
        <is>
          <t>蔷薇宣告</t>
        </is>
      </c>
      <c r="Q118" s="256" t="n">
        <v>1</v>
      </c>
      <c r="R118" s="256" t="inlineStr">
        <is>
          <t>红</t>
        </is>
      </c>
    </row>
    <row r="119" ht="17.25" customHeight="1" s="14">
      <c r="J119" s="171" t="n">
        <v>80116</v>
      </c>
      <c r="K119" s="171" t="inlineStr">
        <is>
          <t>中级虚空跃迁靴</t>
        </is>
      </c>
      <c r="L119" s="255" t="inlineStr">
        <is>
          <t>紫</t>
        </is>
      </c>
      <c r="N119" s="256" t="n">
        <v>60116</v>
      </c>
      <c r="O119" s="256" t="n">
        <v>5</v>
      </c>
      <c r="P119" s="256" t="inlineStr">
        <is>
          <t>蔷薇宣告</t>
        </is>
      </c>
      <c r="Q119" s="256" t="n">
        <v>2</v>
      </c>
      <c r="R119" s="256" t="inlineStr">
        <is>
          <t>红</t>
        </is>
      </c>
    </row>
    <row r="120" ht="17.25" customHeight="1" s="14">
      <c r="J120" s="257" t="n">
        <v>80117</v>
      </c>
      <c r="K120" s="257" t="inlineStr">
        <is>
          <t>高级虚空跃迁靴</t>
        </is>
      </c>
      <c r="L120" s="258" t="inlineStr">
        <is>
          <t>金</t>
        </is>
      </c>
      <c r="N120" s="256" t="n">
        <v>60117</v>
      </c>
      <c r="O120" s="256" t="n">
        <v>5</v>
      </c>
      <c r="P120" s="256" t="inlineStr">
        <is>
          <t>蔷薇宣告</t>
        </is>
      </c>
      <c r="Q120" s="256" t="n">
        <v>3</v>
      </c>
      <c r="R120" s="256" t="inlineStr">
        <is>
          <t>红</t>
        </is>
      </c>
    </row>
    <row r="121" ht="17.25" customHeight="1" s="14">
      <c r="J121" s="171" t="n">
        <v>80118</v>
      </c>
      <c r="K121" s="171" t="inlineStr">
        <is>
          <t>初级力场飞行器</t>
        </is>
      </c>
      <c r="L121" s="255" t="inlineStr">
        <is>
          <t>蓝</t>
        </is>
      </c>
      <c r="N121" s="256" t="n">
        <v>60118</v>
      </c>
      <c r="O121" s="256" t="n">
        <v>5</v>
      </c>
      <c r="P121" s="256" t="inlineStr">
        <is>
          <t>蔷薇宣告</t>
        </is>
      </c>
      <c r="Q121" s="256" t="n">
        <v>4</v>
      </c>
      <c r="R121" s="256" t="inlineStr">
        <is>
          <t>红</t>
        </is>
      </c>
    </row>
    <row r="122" ht="17.25" customHeight="1" s="14">
      <c r="J122" s="171" t="n">
        <v>80119</v>
      </c>
      <c r="K122" s="171" t="inlineStr">
        <is>
          <t>中级力场飞行器</t>
        </is>
      </c>
      <c r="L122" s="255" t="inlineStr">
        <is>
          <t>紫</t>
        </is>
      </c>
      <c r="N122" s="256" t="n">
        <v>60119</v>
      </c>
      <c r="O122" s="256" t="n">
        <v>5</v>
      </c>
      <c r="P122" s="256" t="inlineStr">
        <is>
          <t>蔷薇宣告</t>
        </is>
      </c>
      <c r="Q122" s="256" t="n">
        <v>5</v>
      </c>
      <c r="R122" s="256" t="inlineStr">
        <is>
          <t>红</t>
        </is>
      </c>
    </row>
    <row r="123" ht="17.25" customHeight="1" s="14">
      <c r="J123" s="171" t="n">
        <v>80120</v>
      </c>
      <c r="K123" s="171" t="inlineStr">
        <is>
          <t>高级力场飞行器</t>
        </is>
      </c>
      <c r="L123" s="255" t="inlineStr">
        <is>
          <t>金</t>
        </is>
      </c>
      <c r="N123" s="256" t="n">
        <v>60120</v>
      </c>
      <c r="O123" s="256" t="n">
        <v>5</v>
      </c>
      <c r="P123" s="256" t="inlineStr">
        <is>
          <t>蔷薇宣告</t>
        </is>
      </c>
      <c r="Q123" s="256" t="n">
        <v>6</v>
      </c>
      <c r="R123" s="256" t="inlineStr">
        <is>
          <t>红</t>
        </is>
      </c>
    </row>
    <row r="124" ht="17.25" customHeight="1" s="14">
      <c r="J124" s="171" t="n">
        <v>80121</v>
      </c>
      <c r="K124" s="171" t="inlineStr">
        <is>
          <t>初级纳米探测器</t>
        </is>
      </c>
      <c r="L124" s="255" t="inlineStr">
        <is>
          <t>蓝</t>
        </is>
      </c>
      <c r="N124" s="256" t="n">
        <v>60121</v>
      </c>
      <c r="O124" s="256" t="n">
        <v>6</v>
      </c>
      <c r="P124" s="256" t="inlineStr">
        <is>
          <t>南方群岛的浪潮</t>
        </is>
      </c>
      <c r="Q124" s="256" t="n">
        <v>1</v>
      </c>
      <c r="R124" s="256" t="inlineStr">
        <is>
          <t>蓝</t>
        </is>
      </c>
    </row>
    <row r="125" ht="17.25" customHeight="1" s="14">
      <c r="J125" s="171" t="n">
        <v>80122</v>
      </c>
      <c r="K125" s="171" t="inlineStr">
        <is>
          <t>中级纳米探测器</t>
        </is>
      </c>
      <c r="L125" s="255" t="inlineStr">
        <is>
          <t>紫</t>
        </is>
      </c>
      <c r="N125" s="256" t="n">
        <v>60122</v>
      </c>
      <c r="O125" s="256" t="n">
        <v>6</v>
      </c>
      <c r="P125" s="256" t="inlineStr">
        <is>
          <t>南方群岛的浪潮</t>
        </is>
      </c>
      <c r="Q125" s="256" t="n">
        <v>2</v>
      </c>
      <c r="R125" s="256" t="inlineStr">
        <is>
          <t>蓝</t>
        </is>
      </c>
    </row>
    <row r="126" ht="17.25" customHeight="1" s="14">
      <c r="J126" s="171" t="n">
        <v>80123</v>
      </c>
      <c r="K126" s="171" t="inlineStr">
        <is>
          <t>高级纳米探测器</t>
        </is>
      </c>
      <c r="L126" s="255" t="inlineStr">
        <is>
          <t>金</t>
        </is>
      </c>
      <c r="N126" s="256" t="n">
        <v>60123</v>
      </c>
      <c r="O126" s="256" t="n">
        <v>6</v>
      </c>
      <c r="P126" s="256" t="inlineStr">
        <is>
          <t>南方群岛的浪潮</t>
        </is>
      </c>
      <c r="Q126" s="256" t="n">
        <v>3</v>
      </c>
      <c r="R126" s="256" t="inlineStr">
        <is>
          <t>蓝</t>
        </is>
      </c>
    </row>
    <row r="127" ht="17.25" customHeight="1" s="14">
      <c r="J127" s="171" t="n">
        <v>80124</v>
      </c>
      <c r="K127" s="171" t="inlineStr">
        <is>
          <t>初级量子浮游单元</t>
        </is>
      </c>
      <c r="L127" s="255" t="inlineStr">
        <is>
          <t>蓝</t>
        </is>
      </c>
      <c r="N127" s="256" t="n">
        <v>60124</v>
      </c>
      <c r="O127" s="256" t="n">
        <v>6</v>
      </c>
      <c r="P127" s="256" t="inlineStr">
        <is>
          <t>南方群岛的浪潮</t>
        </is>
      </c>
      <c r="Q127" s="256" t="n">
        <v>4</v>
      </c>
      <c r="R127" s="256" t="inlineStr">
        <is>
          <t>蓝</t>
        </is>
      </c>
    </row>
    <row r="128" ht="17.25" customHeight="1" s="14">
      <c r="J128" s="171" t="n">
        <v>80125</v>
      </c>
      <c r="K128" s="171" t="inlineStr">
        <is>
          <t>中级量子浮游单元</t>
        </is>
      </c>
      <c r="L128" s="255" t="inlineStr">
        <is>
          <t>紫</t>
        </is>
      </c>
      <c r="N128" s="256" t="n">
        <v>60125</v>
      </c>
      <c r="O128" s="256" t="n">
        <v>6</v>
      </c>
      <c r="P128" s="256" t="inlineStr">
        <is>
          <t>南方群岛的浪潮</t>
        </is>
      </c>
      <c r="Q128" s="256" t="n">
        <v>5</v>
      </c>
      <c r="R128" s="256" t="inlineStr">
        <is>
          <t>蓝</t>
        </is>
      </c>
    </row>
    <row r="129" ht="17.25" customHeight="1" s="14">
      <c r="J129" s="171" t="n">
        <v>80126</v>
      </c>
      <c r="K129" s="171" t="inlineStr">
        <is>
          <t>高级量子浮游单元</t>
        </is>
      </c>
      <c r="L129" s="255" t="inlineStr">
        <is>
          <t>金</t>
        </is>
      </c>
      <c r="N129" s="256" t="n">
        <v>60126</v>
      </c>
      <c r="O129" s="256" t="n">
        <v>6</v>
      </c>
      <c r="P129" s="256" t="inlineStr">
        <is>
          <t>南方群岛的浪潮</t>
        </is>
      </c>
      <c r="Q129" s="256" t="n">
        <v>6</v>
      </c>
      <c r="R129" s="256" t="inlineStr">
        <is>
          <t>蓝</t>
        </is>
      </c>
    </row>
    <row r="130" ht="17.25" customHeight="1" s="14">
      <c r="J130" s="171" t="n">
        <v>80127</v>
      </c>
      <c r="K130" s="171" t="inlineStr">
        <is>
          <t>初级漂浮灵匣</t>
        </is>
      </c>
      <c r="L130" s="255" t="inlineStr">
        <is>
          <t>蓝</t>
        </is>
      </c>
      <c r="N130" s="256" t="n">
        <v>60127</v>
      </c>
      <c r="O130" s="256" t="n">
        <v>6</v>
      </c>
      <c r="P130" s="256" t="inlineStr">
        <is>
          <t>南方群岛的浪潮</t>
        </is>
      </c>
      <c r="Q130" s="256" t="n">
        <v>1</v>
      </c>
      <c r="R130" s="256" t="inlineStr">
        <is>
          <t>紫</t>
        </is>
      </c>
    </row>
    <row r="131" ht="17.25" customHeight="1" s="14">
      <c r="J131" s="171" t="n">
        <v>80128</v>
      </c>
      <c r="K131" s="171" t="inlineStr">
        <is>
          <t>中级漂浮灵匣</t>
        </is>
      </c>
      <c r="L131" s="255" t="inlineStr">
        <is>
          <t>紫</t>
        </is>
      </c>
      <c r="N131" s="256" t="n">
        <v>60128</v>
      </c>
      <c r="O131" s="256" t="n">
        <v>6</v>
      </c>
      <c r="P131" s="256" t="inlineStr">
        <is>
          <t>南方群岛的浪潮</t>
        </is>
      </c>
      <c r="Q131" s="256" t="n">
        <v>2</v>
      </c>
      <c r="R131" s="256" t="inlineStr">
        <is>
          <t>紫</t>
        </is>
      </c>
    </row>
    <row r="132" ht="17.25" customHeight="1" s="14">
      <c r="J132" s="171" t="n">
        <v>80129</v>
      </c>
      <c r="K132" s="171" t="inlineStr">
        <is>
          <t>高级漂浮灵匣</t>
        </is>
      </c>
      <c r="L132" s="255" t="inlineStr">
        <is>
          <t>金</t>
        </is>
      </c>
      <c r="N132" s="256" t="n">
        <v>60129</v>
      </c>
      <c r="O132" s="256" t="n">
        <v>6</v>
      </c>
      <c r="P132" s="256" t="inlineStr">
        <is>
          <t>南方群岛的浪潮</t>
        </is>
      </c>
      <c r="Q132" s="256" t="n">
        <v>3</v>
      </c>
      <c r="R132" s="256" t="inlineStr">
        <is>
          <t>紫</t>
        </is>
      </c>
    </row>
    <row r="133" ht="17.25" customHeight="1" s="14">
      <c r="J133" s="171" t="n">
        <v>80130</v>
      </c>
      <c r="K133" s="171" t="inlineStr">
        <is>
          <t>初级全息干扰仪</t>
        </is>
      </c>
      <c r="L133" s="255" t="inlineStr">
        <is>
          <t>蓝</t>
        </is>
      </c>
      <c r="N133" s="256" t="n">
        <v>60130</v>
      </c>
      <c r="O133" s="256" t="n">
        <v>6</v>
      </c>
      <c r="P133" s="256" t="inlineStr">
        <is>
          <t>南方群岛的浪潮</t>
        </is>
      </c>
      <c r="Q133" s="256" t="n">
        <v>4</v>
      </c>
      <c r="R133" s="256" t="inlineStr">
        <is>
          <t>紫</t>
        </is>
      </c>
    </row>
    <row r="134" ht="17.25" customHeight="1" s="14">
      <c r="J134" s="171" t="n">
        <v>80131</v>
      </c>
      <c r="K134" s="171" t="inlineStr">
        <is>
          <t>中级全息干扰仪</t>
        </is>
      </c>
      <c r="L134" s="255" t="inlineStr">
        <is>
          <t>紫</t>
        </is>
      </c>
      <c r="N134" s="256" t="n">
        <v>60131</v>
      </c>
      <c r="O134" s="256" t="n">
        <v>6</v>
      </c>
      <c r="P134" s="256" t="inlineStr">
        <is>
          <t>南方群岛的浪潮</t>
        </is>
      </c>
      <c r="Q134" s="256" t="n">
        <v>5</v>
      </c>
      <c r="R134" s="256" t="inlineStr">
        <is>
          <t>紫</t>
        </is>
      </c>
    </row>
    <row r="135" ht="17.25" customHeight="1" s="14">
      <c r="J135" s="171" t="n">
        <v>80132</v>
      </c>
      <c r="K135" s="171" t="inlineStr">
        <is>
          <t>高级全息干扰仪</t>
        </is>
      </c>
      <c r="L135" s="255" t="inlineStr">
        <is>
          <t>金</t>
        </is>
      </c>
      <c r="N135" s="256" t="n">
        <v>60132</v>
      </c>
      <c r="O135" s="256" t="n">
        <v>6</v>
      </c>
      <c r="P135" s="256" t="inlineStr">
        <is>
          <t>南方群岛的浪潮</t>
        </is>
      </c>
      <c r="Q135" s="256" t="n">
        <v>6</v>
      </c>
      <c r="R135" s="256" t="inlineStr">
        <is>
          <t>紫</t>
        </is>
      </c>
    </row>
    <row r="136" ht="17.25" customHeight="1" s="14">
      <c r="J136" s="171" t="n">
        <v>80133</v>
      </c>
      <c r="K136" s="171" t="inlineStr">
        <is>
          <t>初级蜂群无人机</t>
        </is>
      </c>
      <c r="L136" s="255" t="inlineStr">
        <is>
          <t>蓝</t>
        </is>
      </c>
      <c r="N136" s="256" t="n">
        <v>60133</v>
      </c>
      <c r="O136" s="256" t="n">
        <v>6</v>
      </c>
      <c r="P136" s="256" t="inlineStr">
        <is>
          <t>南方群岛的浪潮</t>
        </is>
      </c>
      <c r="Q136" s="256" t="n">
        <v>1</v>
      </c>
      <c r="R136" s="256" t="inlineStr">
        <is>
          <t>金</t>
        </is>
      </c>
    </row>
    <row r="137" ht="17.25" customHeight="1" s="14">
      <c r="J137" s="171" t="n">
        <v>80134</v>
      </c>
      <c r="K137" s="171" t="inlineStr">
        <is>
          <t>中级蜂群无人机</t>
        </is>
      </c>
      <c r="L137" s="255" t="inlineStr">
        <is>
          <t>紫</t>
        </is>
      </c>
      <c r="N137" s="256" t="n">
        <v>60134</v>
      </c>
      <c r="O137" s="256" t="n">
        <v>6</v>
      </c>
      <c r="P137" s="256" t="inlineStr">
        <is>
          <t>南方群岛的浪潮</t>
        </is>
      </c>
      <c r="Q137" s="256" t="n">
        <v>2</v>
      </c>
      <c r="R137" s="256" t="inlineStr">
        <is>
          <t>金</t>
        </is>
      </c>
    </row>
    <row r="138" ht="17.25" customHeight="1" s="14">
      <c r="J138" s="257" t="n">
        <v>80135</v>
      </c>
      <c r="K138" s="257" t="inlineStr">
        <is>
          <t>高级蜂群无人机</t>
        </is>
      </c>
      <c r="L138" s="258" t="inlineStr">
        <is>
          <t>金</t>
        </is>
      </c>
      <c r="N138" s="256" t="n">
        <v>60135</v>
      </c>
      <c r="O138" s="256" t="n">
        <v>6</v>
      </c>
      <c r="P138" s="256" t="inlineStr">
        <is>
          <t>南方群岛的浪潮</t>
        </is>
      </c>
      <c r="Q138" s="256" t="n">
        <v>3</v>
      </c>
      <c r="R138" s="256" t="inlineStr">
        <is>
          <t>金</t>
        </is>
      </c>
    </row>
    <row r="139" ht="17.25" customHeight="1" s="14">
      <c r="J139" s="171" t="n">
        <v>80136</v>
      </c>
      <c r="K139" s="171" t="inlineStr">
        <is>
          <t>初级能量校准指环</t>
        </is>
      </c>
      <c r="L139" s="255" t="inlineStr">
        <is>
          <t>蓝</t>
        </is>
      </c>
      <c r="N139" s="256" t="n">
        <v>60136</v>
      </c>
      <c r="O139" s="256" t="n">
        <v>6</v>
      </c>
      <c r="P139" s="256" t="inlineStr">
        <is>
          <t>南方群岛的浪潮</t>
        </is>
      </c>
      <c r="Q139" s="256" t="n">
        <v>4</v>
      </c>
      <c r="R139" s="256" t="inlineStr">
        <is>
          <t>金</t>
        </is>
      </c>
    </row>
    <row r="140" ht="17.25" customHeight="1" s="14">
      <c r="J140" s="171" t="n">
        <v>80137</v>
      </c>
      <c r="K140" s="171" t="inlineStr">
        <is>
          <t>中级能量校准指环</t>
        </is>
      </c>
      <c r="L140" s="255" t="inlineStr">
        <is>
          <t>紫</t>
        </is>
      </c>
      <c r="N140" s="256" t="n">
        <v>60137</v>
      </c>
      <c r="O140" s="256" t="n">
        <v>6</v>
      </c>
      <c r="P140" s="256" t="inlineStr">
        <is>
          <t>南方群岛的浪潮</t>
        </is>
      </c>
      <c r="Q140" s="256" t="n">
        <v>5</v>
      </c>
      <c r="R140" s="256" t="inlineStr">
        <is>
          <t>金</t>
        </is>
      </c>
    </row>
    <row r="141" ht="17.25" customHeight="1" s="14">
      <c r="J141" s="171" t="n">
        <v>80138</v>
      </c>
      <c r="K141" s="171" t="inlineStr">
        <is>
          <t>高级能量校准指环</t>
        </is>
      </c>
      <c r="L141" s="255" t="inlineStr">
        <is>
          <t>金</t>
        </is>
      </c>
      <c r="N141" s="256" t="n">
        <v>60138</v>
      </c>
      <c r="O141" s="256" t="n">
        <v>6</v>
      </c>
      <c r="P141" s="256" t="inlineStr">
        <is>
          <t>南方群岛的浪潮</t>
        </is>
      </c>
      <c r="Q141" s="256" t="n">
        <v>6</v>
      </c>
      <c r="R141" s="256" t="inlineStr">
        <is>
          <t>金</t>
        </is>
      </c>
    </row>
    <row r="142" ht="17.25" customHeight="1" s="14">
      <c r="J142" s="171" t="n">
        <v>80139</v>
      </c>
      <c r="K142" s="171" t="inlineStr">
        <is>
          <t>初级信号干扰手环</t>
        </is>
      </c>
      <c r="L142" s="255" t="inlineStr">
        <is>
          <t>蓝</t>
        </is>
      </c>
      <c r="N142" s="256" t="n">
        <v>60139</v>
      </c>
      <c r="O142" s="256" t="n">
        <v>6</v>
      </c>
      <c r="P142" s="256" t="inlineStr">
        <is>
          <t>南方群岛的浪潮</t>
        </is>
      </c>
      <c r="Q142" s="256" t="n">
        <v>1</v>
      </c>
      <c r="R142" s="256" t="inlineStr">
        <is>
          <t>红</t>
        </is>
      </c>
    </row>
    <row r="143" ht="17.25" customHeight="1" s="14">
      <c r="J143" s="171" t="n">
        <v>80140</v>
      </c>
      <c r="K143" s="171" t="inlineStr">
        <is>
          <t>中级信号干扰手环</t>
        </is>
      </c>
      <c r="L143" s="255" t="inlineStr">
        <is>
          <t>紫</t>
        </is>
      </c>
      <c r="N143" s="256" t="n">
        <v>60140</v>
      </c>
      <c r="O143" s="256" t="n">
        <v>6</v>
      </c>
      <c r="P143" s="256" t="inlineStr">
        <is>
          <t>南方群岛的浪潮</t>
        </is>
      </c>
      <c r="Q143" s="256" t="n">
        <v>2</v>
      </c>
      <c r="R143" s="256" t="inlineStr">
        <is>
          <t>红</t>
        </is>
      </c>
    </row>
    <row r="144" ht="17.25" customHeight="1" s="14">
      <c r="J144" s="171" t="n">
        <v>80141</v>
      </c>
      <c r="K144" s="171" t="inlineStr">
        <is>
          <t>高级信号干扰手环</t>
        </is>
      </c>
      <c r="L144" s="255" t="inlineStr">
        <is>
          <t>金</t>
        </is>
      </c>
      <c r="N144" s="256" t="n">
        <v>60141</v>
      </c>
      <c r="O144" s="256" t="n">
        <v>6</v>
      </c>
      <c r="P144" s="256" t="inlineStr">
        <is>
          <t>南方群岛的浪潮</t>
        </is>
      </c>
      <c r="Q144" s="256" t="n">
        <v>3</v>
      </c>
      <c r="R144" s="256" t="inlineStr">
        <is>
          <t>红</t>
        </is>
      </c>
    </row>
    <row r="145" ht="17.25" customHeight="1" s="14">
      <c r="J145" s="171" t="n">
        <v>80142</v>
      </c>
      <c r="K145" s="171" t="inlineStr">
        <is>
          <t>初级圣痕魔导链</t>
        </is>
      </c>
      <c r="L145" s="255" t="inlineStr">
        <is>
          <t>蓝</t>
        </is>
      </c>
      <c r="N145" s="256" t="n">
        <v>60142</v>
      </c>
      <c r="O145" s="256" t="n">
        <v>6</v>
      </c>
      <c r="P145" s="256" t="inlineStr">
        <is>
          <t>南方群岛的浪潮</t>
        </is>
      </c>
      <c r="Q145" s="256" t="n">
        <v>4</v>
      </c>
      <c r="R145" s="256" t="inlineStr">
        <is>
          <t>红</t>
        </is>
      </c>
    </row>
    <row r="146" ht="17.25" customHeight="1" s="14">
      <c r="J146" s="171" t="n">
        <v>80143</v>
      </c>
      <c r="K146" s="171" t="inlineStr">
        <is>
          <t>中级圣痕魔导链</t>
        </is>
      </c>
      <c r="L146" s="255" t="inlineStr">
        <is>
          <t>紫</t>
        </is>
      </c>
      <c r="N146" s="256" t="n">
        <v>60143</v>
      </c>
      <c r="O146" s="256" t="n">
        <v>6</v>
      </c>
      <c r="P146" s="256" t="inlineStr">
        <is>
          <t>南方群岛的浪潮</t>
        </is>
      </c>
      <c r="Q146" s="256" t="n">
        <v>5</v>
      </c>
      <c r="R146" s="256" t="inlineStr">
        <is>
          <t>红</t>
        </is>
      </c>
    </row>
    <row r="147" ht="17.25" customHeight="1" s="14">
      <c r="J147" s="171" t="n">
        <v>80144</v>
      </c>
      <c r="K147" s="171" t="inlineStr">
        <is>
          <t>高级圣痕魔导链</t>
        </is>
      </c>
      <c r="L147" s="255" t="inlineStr">
        <is>
          <t>金</t>
        </is>
      </c>
      <c r="N147" s="256" t="n">
        <v>60144</v>
      </c>
      <c r="O147" s="256" t="n">
        <v>6</v>
      </c>
      <c r="P147" s="256" t="inlineStr">
        <is>
          <t>南方群岛的浪潮</t>
        </is>
      </c>
      <c r="Q147" s="256" t="n">
        <v>6</v>
      </c>
      <c r="R147" s="256" t="inlineStr">
        <is>
          <t>红</t>
        </is>
      </c>
    </row>
    <row r="148" ht="17.25" customHeight="1" s="14">
      <c r="J148" s="171" t="n">
        <v>80145</v>
      </c>
      <c r="K148" s="171" t="inlineStr">
        <is>
          <t>初级神经介入戒指</t>
        </is>
      </c>
      <c r="L148" s="255" t="inlineStr">
        <is>
          <t>蓝</t>
        </is>
      </c>
      <c r="N148" s="256" t="n">
        <v>60145</v>
      </c>
      <c r="O148" s="256" t="n">
        <v>7</v>
      </c>
      <c r="P148" s="256" t="inlineStr">
        <is>
          <t>索尔斯特的晨光</t>
        </is>
      </c>
      <c r="Q148" s="256" t="n">
        <v>1</v>
      </c>
      <c r="R148" s="256" t="inlineStr">
        <is>
          <t>蓝</t>
        </is>
      </c>
    </row>
    <row r="149" ht="17.25" customHeight="1" s="14">
      <c r="J149" s="171" t="n">
        <v>80146</v>
      </c>
      <c r="K149" s="171" t="inlineStr">
        <is>
          <t>中级神经介入戒指</t>
        </is>
      </c>
      <c r="L149" s="255" t="inlineStr">
        <is>
          <t>紫</t>
        </is>
      </c>
      <c r="N149" s="256" t="n">
        <v>60146</v>
      </c>
      <c r="O149" s="256" t="n">
        <v>7</v>
      </c>
      <c r="P149" s="256" t="inlineStr">
        <is>
          <t>索尔斯特的晨光</t>
        </is>
      </c>
      <c r="Q149" s="256" t="n">
        <v>2</v>
      </c>
      <c r="R149" s="256" t="inlineStr">
        <is>
          <t>蓝</t>
        </is>
      </c>
    </row>
    <row r="150" ht="17.25" customHeight="1" s="14">
      <c r="J150" s="171" t="n">
        <v>80147</v>
      </c>
      <c r="K150" s="171" t="inlineStr">
        <is>
          <t>高级神经介入戒指</t>
        </is>
      </c>
      <c r="L150" s="255" t="inlineStr">
        <is>
          <t>金</t>
        </is>
      </c>
      <c r="N150" s="256" t="n">
        <v>60147</v>
      </c>
      <c r="O150" s="256" t="n">
        <v>7</v>
      </c>
      <c r="P150" s="256" t="inlineStr">
        <is>
          <t>索尔斯特的晨光</t>
        </is>
      </c>
      <c r="Q150" s="256" t="n">
        <v>3</v>
      </c>
      <c r="R150" s="256" t="inlineStr">
        <is>
          <t>蓝</t>
        </is>
      </c>
    </row>
    <row r="151" ht="17.25" customHeight="1" s="14">
      <c r="J151" s="171" t="n">
        <v>80148</v>
      </c>
      <c r="K151" s="171" t="inlineStr">
        <is>
          <t>初级共生感知环</t>
        </is>
      </c>
      <c r="L151" s="255" t="inlineStr">
        <is>
          <t>蓝</t>
        </is>
      </c>
      <c r="N151" s="256" t="n">
        <v>60148</v>
      </c>
      <c r="O151" s="256" t="n">
        <v>7</v>
      </c>
      <c r="P151" s="256" t="inlineStr">
        <is>
          <t>索尔斯特的晨光</t>
        </is>
      </c>
      <c r="Q151" s="256" t="n">
        <v>4</v>
      </c>
      <c r="R151" s="256" t="inlineStr">
        <is>
          <t>蓝</t>
        </is>
      </c>
    </row>
    <row r="152" ht="17.25" customHeight="1" s="14">
      <c r="J152" s="171" t="n">
        <v>80149</v>
      </c>
      <c r="K152" s="171" t="inlineStr">
        <is>
          <t>中级共生感知环</t>
        </is>
      </c>
      <c r="L152" s="255" t="inlineStr">
        <is>
          <t>紫</t>
        </is>
      </c>
      <c r="N152" s="256" t="n">
        <v>60149</v>
      </c>
      <c r="O152" s="256" t="n">
        <v>7</v>
      </c>
      <c r="P152" s="256" t="inlineStr">
        <is>
          <t>索尔斯特的晨光</t>
        </is>
      </c>
      <c r="Q152" s="256" t="n">
        <v>5</v>
      </c>
      <c r="R152" s="256" t="inlineStr">
        <is>
          <t>蓝</t>
        </is>
      </c>
    </row>
    <row r="153" ht="17.25" customHeight="1" s="14">
      <c r="J153" s="171" t="n">
        <v>80150</v>
      </c>
      <c r="K153" s="171" t="inlineStr">
        <is>
          <t>高级共生感知环</t>
        </is>
      </c>
      <c r="L153" s="255" t="inlineStr">
        <is>
          <t>金</t>
        </is>
      </c>
      <c r="N153" s="256" t="n">
        <v>60150</v>
      </c>
      <c r="O153" s="256" t="n">
        <v>7</v>
      </c>
      <c r="P153" s="256" t="inlineStr">
        <is>
          <t>索尔斯特的晨光</t>
        </is>
      </c>
      <c r="Q153" s="256" t="n">
        <v>6</v>
      </c>
      <c r="R153" s="256" t="inlineStr">
        <is>
          <t>蓝</t>
        </is>
      </c>
    </row>
    <row r="154" ht="17.25" customHeight="1" s="14">
      <c r="J154" s="171" t="n">
        <v>80151</v>
      </c>
      <c r="K154" s="171" t="inlineStr">
        <is>
          <t>初级魔焰契约指环</t>
        </is>
      </c>
      <c r="L154" s="255" t="inlineStr">
        <is>
          <t>蓝</t>
        </is>
      </c>
      <c r="N154" s="256" t="n">
        <v>60151</v>
      </c>
      <c r="O154" s="256" t="n">
        <v>7</v>
      </c>
      <c r="P154" s="256" t="inlineStr">
        <is>
          <t>索尔斯特的晨光</t>
        </is>
      </c>
      <c r="Q154" s="256" t="n">
        <v>1</v>
      </c>
      <c r="R154" s="256" t="inlineStr">
        <is>
          <t>紫</t>
        </is>
      </c>
    </row>
    <row r="155" ht="17.25" customHeight="1" s="14">
      <c r="J155" s="171" t="n">
        <v>80152</v>
      </c>
      <c r="K155" s="171" t="inlineStr">
        <is>
          <t>中级魔焰契约指环</t>
        </is>
      </c>
      <c r="L155" s="255" t="inlineStr">
        <is>
          <t>紫</t>
        </is>
      </c>
      <c r="N155" s="256" t="n">
        <v>60152</v>
      </c>
      <c r="O155" s="256" t="n">
        <v>7</v>
      </c>
      <c r="P155" s="256" t="inlineStr">
        <is>
          <t>索尔斯特的晨光</t>
        </is>
      </c>
      <c r="Q155" s="256" t="n">
        <v>2</v>
      </c>
      <c r="R155" s="256" t="inlineStr">
        <is>
          <t>紫</t>
        </is>
      </c>
    </row>
    <row r="156" ht="17.25" customHeight="1" s="14">
      <c r="J156" s="257" t="n">
        <v>80153</v>
      </c>
      <c r="K156" s="257" t="inlineStr">
        <is>
          <t>高级魔焰契约指环</t>
        </is>
      </c>
      <c r="L156" s="258" t="inlineStr">
        <is>
          <t>金</t>
        </is>
      </c>
      <c r="N156" s="256" t="n">
        <v>60153</v>
      </c>
      <c r="O156" s="256" t="n">
        <v>7</v>
      </c>
      <c r="P156" s="256" t="inlineStr">
        <is>
          <t>索尔斯特的晨光</t>
        </is>
      </c>
      <c r="Q156" s="256" t="n">
        <v>3</v>
      </c>
      <c r="R156" s="256" t="inlineStr">
        <is>
          <t>紫</t>
        </is>
      </c>
    </row>
    <row r="157" ht="17.25" customHeight="1" s="14">
      <c r="J157" s="171" t="n">
        <v>80154</v>
      </c>
      <c r="K157" s="171" t="inlineStr">
        <is>
          <t>暗物质时空炮</t>
        </is>
      </c>
      <c r="L157" s="255" t="inlineStr">
        <is>
          <t>红</t>
        </is>
      </c>
      <c r="N157" s="256" t="n">
        <v>60154</v>
      </c>
      <c r="O157" s="256" t="n">
        <v>7</v>
      </c>
      <c r="P157" s="256" t="inlineStr">
        <is>
          <t>索尔斯特的晨光</t>
        </is>
      </c>
      <c r="Q157" s="256" t="n">
        <v>4</v>
      </c>
      <c r="R157" s="256" t="inlineStr">
        <is>
          <t>紫</t>
        </is>
      </c>
    </row>
    <row r="158" ht="17.25" customHeight="1" s="14">
      <c r="J158" s="171" t="n">
        <v>80155</v>
      </c>
      <c r="K158" s="171" t="inlineStr">
        <is>
          <t>轨道跃迁炮</t>
        </is>
      </c>
      <c r="L158" s="255" t="inlineStr">
        <is>
          <t>红</t>
        </is>
      </c>
      <c r="N158" s="256" t="n">
        <v>60155</v>
      </c>
      <c r="O158" s="256" t="n">
        <v>7</v>
      </c>
      <c r="P158" s="256" t="inlineStr">
        <is>
          <t>索尔斯特的晨光</t>
        </is>
      </c>
      <c r="Q158" s="256" t="n">
        <v>5</v>
      </c>
      <c r="R158" s="256" t="inlineStr">
        <is>
          <t>紫</t>
        </is>
      </c>
    </row>
    <row r="159" ht="17.25" customHeight="1" s="14">
      <c r="J159" s="257" t="n">
        <v>80156</v>
      </c>
      <c r="K159" s="257" t="inlineStr">
        <is>
          <t>虚空裂隙激射炮</t>
        </is>
      </c>
      <c r="L159" s="258" t="inlineStr">
        <is>
          <t>红</t>
        </is>
      </c>
      <c r="N159" s="256" t="n">
        <v>60156</v>
      </c>
      <c r="O159" s="256" t="n">
        <v>7</v>
      </c>
      <c r="P159" s="256" t="inlineStr">
        <is>
          <t>索尔斯特的晨光</t>
        </is>
      </c>
      <c r="Q159" s="256" t="n">
        <v>6</v>
      </c>
      <c r="R159" s="256" t="inlineStr">
        <is>
          <t>紫</t>
        </is>
      </c>
    </row>
    <row r="160" ht="17.25" customHeight="1" s="14">
      <c r="J160" s="171" t="n">
        <v>80157</v>
      </c>
      <c r="K160" s="171" t="inlineStr">
        <is>
          <t>零号脉冲枪</t>
        </is>
      </c>
      <c r="L160" s="255" t="inlineStr">
        <is>
          <t>红</t>
        </is>
      </c>
      <c r="N160" s="256" t="n">
        <v>60157</v>
      </c>
      <c r="O160" s="256" t="n">
        <v>7</v>
      </c>
      <c r="P160" s="256" t="inlineStr">
        <is>
          <t>索尔斯特的晨光</t>
        </is>
      </c>
      <c r="Q160" s="256" t="n">
        <v>1</v>
      </c>
      <c r="R160" s="256" t="inlineStr">
        <is>
          <t>金</t>
        </is>
      </c>
    </row>
    <row r="161" ht="17.25" customHeight="1" s="14">
      <c r="J161" s="171" t="n">
        <v>80158</v>
      </c>
      <c r="K161" s="171" t="inlineStr">
        <is>
          <t>天机动能枪</t>
        </is>
      </c>
      <c r="L161" s="255" t="inlineStr">
        <is>
          <t>红</t>
        </is>
      </c>
      <c r="N161" s="256" t="n">
        <v>60158</v>
      </c>
      <c r="O161" s="256" t="n">
        <v>7</v>
      </c>
      <c r="P161" s="256" t="inlineStr">
        <is>
          <t>索尔斯特的晨光</t>
        </is>
      </c>
      <c r="Q161" s="256" t="n">
        <v>2</v>
      </c>
      <c r="R161" s="256" t="inlineStr">
        <is>
          <t>金</t>
        </is>
      </c>
    </row>
    <row r="162" ht="17.25" customHeight="1" s="14">
      <c r="J162" s="257" t="n">
        <v>80159</v>
      </c>
      <c r="K162" s="257" t="inlineStr">
        <is>
          <t>不朽骸枪</t>
        </is>
      </c>
      <c r="L162" s="258" t="inlineStr">
        <is>
          <t>红</t>
        </is>
      </c>
      <c r="N162" s="256" t="n">
        <v>60159</v>
      </c>
      <c r="O162" s="256" t="n">
        <v>7</v>
      </c>
      <c r="P162" s="256" t="inlineStr">
        <is>
          <t>索尔斯特的晨光</t>
        </is>
      </c>
      <c r="Q162" s="256" t="n">
        <v>3</v>
      </c>
      <c r="R162" s="256" t="inlineStr">
        <is>
          <t>金</t>
        </is>
      </c>
    </row>
    <row r="163" ht="17.25" customHeight="1" s="14">
      <c r="J163" s="171" t="n">
        <v>80160</v>
      </c>
      <c r="K163" s="171" t="inlineStr">
        <is>
          <t>时痕圣音法杖</t>
        </is>
      </c>
      <c r="L163" s="255" t="inlineStr">
        <is>
          <t>红</t>
        </is>
      </c>
      <c r="N163" s="256" t="n">
        <v>60160</v>
      </c>
      <c r="O163" s="256" t="n">
        <v>7</v>
      </c>
      <c r="P163" s="256" t="inlineStr">
        <is>
          <t>索尔斯特的晨光</t>
        </is>
      </c>
      <c r="Q163" s="256" t="n">
        <v>4</v>
      </c>
      <c r="R163" s="256" t="inlineStr">
        <is>
          <t>金</t>
        </is>
      </c>
    </row>
    <row r="164" ht="17.25" customHeight="1" s="14">
      <c r="J164" s="171" t="n">
        <v>80161</v>
      </c>
      <c r="K164" s="171" t="inlineStr">
        <is>
          <t>永夜残响权杖</t>
        </is>
      </c>
      <c r="L164" s="255" t="inlineStr">
        <is>
          <t>红</t>
        </is>
      </c>
      <c r="N164" s="256" t="n">
        <v>60161</v>
      </c>
      <c r="O164" s="256" t="n">
        <v>7</v>
      </c>
      <c r="P164" s="256" t="inlineStr">
        <is>
          <t>索尔斯特的晨光</t>
        </is>
      </c>
      <c r="Q164" s="256" t="n">
        <v>5</v>
      </c>
      <c r="R164" s="256" t="inlineStr">
        <is>
          <t>金</t>
        </is>
      </c>
    </row>
    <row r="165" ht="17.25" customHeight="1" s="14">
      <c r="J165" s="257" t="n">
        <v>80162</v>
      </c>
      <c r="K165" s="257" t="inlineStr">
        <is>
          <t>悼亡者咒缚杖</t>
        </is>
      </c>
      <c r="L165" s="258" t="inlineStr">
        <is>
          <t>红</t>
        </is>
      </c>
      <c r="N165" s="256" t="n">
        <v>60162</v>
      </c>
      <c r="O165" s="256" t="n">
        <v>7</v>
      </c>
      <c r="P165" s="256" t="inlineStr">
        <is>
          <t>索尔斯特的晨光</t>
        </is>
      </c>
      <c r="Q165" s="256" t="n">
        <v>6</v>
      </c>
      <c r="R165" s="256" t="inlineStr">
        <is>
          <t>金</t>
        </is>
      </c>
    </row>
    <row r="166" ht="17.25" customHeight="1" s="14">
      <c r="J166" s="171" t="n">
        <v>80163</v>
      </c>
      <c r="K166" s="171" t="inlineStr">
        <is>
          <t>活体交感护盔</t>
        </is>
      </c>
      <c r="L166" s="255" t="inlineStr">
        <is>
          <t>红</t>
        </is>
      </c>
      <c r="N166" s="256" t="n">
        <v>60163</v>
      </c>
      <c r="O166" s="256" t="n">
        <v>7</v>
      </c>
      <c r="P166" s="256" t="inlineStr">
        <is>
          <t>索尔斯特的晨光</t>
        </is>
      </c>
      <c r="Q166" s="256" t="n">
        <v>1</v>
      </c>
      <c r="R166" s="256" t="inlineStr">
        <is>
          <t>红</t>
        </is>
      </c>
    </row>
    <row r="167" ht="17.25" customHeight="1" s="14">
      <c r="J167" s="171" t="n">
        <v>80164</v>
      </c>
      <c r="K167" s="171" t="inlineStr">
        <is>
          <t>同感幻觉终端</t>
        </is>
      </c>
      <c r="L167" s="255" t="inlineStr">
        <is>
          <t>红</t>
        </is>
      </c>
      <c r="N167" s="256" t="n">
        <v>60164</v>
      </c>
      <c r="O167" s="256" t="n">
        <v>7</v>
      </c>
      <c r="P167" s="256" t="inlineStr">
        <is>
          <t>索尔斯特的晨光</t>
        </is>
      </c>
      <c r="Q167" s="256" t="n">
        <v>2</v>
      </c>
      <c r="R167" s="256" t="inlineStr">
        <is>
          <t>红</t>
        </is>
      </c>
    </row>
    <row r="168" ht="17.25" customHeight="1" s="14">
      <c r="J168" s="171" t="n">
        <v>80165</v>
      </c>
      <c r="K168" s="171" t="inlineStr">
        <is>
          <t>末日支配帽</t>
        </is>
      </c>
      <c r="L168" s="255" t="inlineStr">
        <is>
          <t>红</t>
        </is>
      </c>
      <c r="N168" s="256" t="n">
        <v>60165</v>
      </c>
      <c r="O168" s="256" t="n">
        <v>7</v>
      </c>
      <c r="P168" s="256" t="inlineStr">
        <is>
          <t>索尔斯特的晨光</t>
        </is>
      </c>
      <c r="Q168" s="256" t="n">
        <v>3</v>
      </c>
      <c r="R168" s="256" t="inlineStr">
        <is>
          <t>红</t>
        </is>
      </c>
    </row>
    <row r="169" ht="17.25" customHeight="1" s="14">
      <c r="J169" s="257" t="n">
        <v>80166</v>
      </c>
      <c r="K169" s="257" t="inlineStr">
        <is>
          <t>灵能使徒法帽</t>
        </is>
      </c>
      <c r="L169" s="258" t="inlineStr">
        <is>
          <t>红</t>
        </is>
      </c>
      <c r="N169" s="256" t="n">
        <v>60166</v>
      </c>
      <c r="O169" s="256" t="n">
        <v>7</v>
      </c>
      <c r="P169" s="256" t="inlineStr">
        <is>
          <t>索尔斯特的晨光</t>
        </is>
      </c>
      <c r="Q169" s="256" t="n">
        <v>4</v>
      </c>
      <c r="R169" s="256" t="inlineStr">
        <is>
          <t>红</t>
        </is>
      </c>
    </row>
    <row r="170" ht="17.25" customHeight="1" s="14">
      <c r="J170" s="171" t="n">
        <v>80167</v>
      </c>
      <c r="K170" s="171" t="inlineStr">
        <is>
          <t>液态聚合盔甲</t>
        </is>
      </c>
      <c r="L170" s="255" t="inlineStr">
        <is>
          <t>红</t>
        </is>
      </c>
      <c r="N170" s="256" t="n">
        <v>60167</v>
      </c>
      <c r="O170" s="256" t="n">
        <v>7</v>
      </c>
      <c r="P170" s="256" t="inlineStr">
        <is>
          <t>索尔斯特的晨光</t>
        </is>
      </c>
      <c r="Q170" s="256" t="n">
        <v>5</v>
      </c>
      <c r="R170" s="256" t="inlineStr">
        <is>
          <t>红</t>
        </is>
      </c>
    </row>
    <row r="171" ht="17.25" customHeight="1" s="14">
      <c r="J171" s="171" t="n">
        <v>80168</v>
      </c>
      <c r="K171" s="171" t="inlineStr">
        <is>
          <t>重型殖装战甲</t>
        </is>
      </c>
      <c r="L171" s="255" t="inlineStr">
        <is>
          <t>红</t>
        </is>
      </c>
      <c r="N171" s="256" t="n">
        <v>60168</v>
      </c>
      <c r="O171" s="256" t="n">
        <v>7</v>
      </c>
      <c r="P171" s="256" t="inlineStr">
        <is>
          <t>索尔斯特的晨光</t>
        </is>
      </c>
      <c r="Q171" s="256" t="n">
        <v>6</v>
      </c>
      <c r="R171" s="256" t="inlineStr">
        <is>
          <t>红</t>
        </is>
      </c>
    </row>
    <row r="172" ht="17.25" customHeight="1" s="14">
      <c r="J172" s="171" t="n">
        <v>80169</v>
      </c>
      <c r="K172" s="171" t="inlineStr">
        <is>
          <t>英灵不朽战铠</t>
        </is>
      </c>
      <c r="L172" s="255" t="inlineStr">
        <is>
          <t>红</t>
        </is>
      </c>
      <c r="N172" s="256" t="n">
        <v>60169</v>
      </c>
      <c r="O172" s="256" t="n">
        <v>8</v>
      </c>
      <c r="P172" s="256" t="inlineStr">
        <is>
          <t>星之辉</t>
        </is>
      </c>
      <c r="Q172" s="256" t="n">
        <v>1</v>
      </c>
      <c r="R172" s="256" t="inlineStr">
        <is>
          <t>蓝</t>
        </is>
      </c>
    </row>
    <row r="173" ht="17.25" customHeight="1" s="14">
      <c r="J173" s="257" t="n">
        <v>80170</v>
      </c>
      <c r="K173" s="257" t="inlineStr">
        <is>
          <t>天罚灼痕法袍</t>
        </is>
      </c>
      <c r="L173" s="258" t="inlineStr">
        <is>
          <t>红</t>
        </is>
      </c>
      <c r="N173" s="256" t="n">
        <v>60170</v>
      </c>
      <c r="O173" s="256" t="n">
        <v>8</v>
      </c>
      <c r="P173" s="256" t="inlineStr">
        <is>
          <t>星之辉</t>
        </is>
      </c>
      <c r="Q173" s="256" t="n">
        <v>2</v>
      </c>
      <c r="R173" s="256" t="inlineStr">
        <is>
          <t>蓝</t>
        </is>
      </c>
    </row>
    <row r="174" ht="17.25" customHeight="1" s="14">
      <c r="J174" s="171" t="n">
        <v>80171</v>
      </c>
      <c r="K174" s="171" t="inlineStr">
        <is>
          <t>神经蔓生手甲</t>
        </is>
      </c>
      <c r="L174" s="255" t="inlineStr">
        <is>
          <t>红</t>
        </is>
      </c>
      <c r="N174" s="256" t="n">
        <v>60171</v>
      </c>
      <c r="O174" s="256" t="n">
        <v>8</v>
      </c>
      <c r="P174" s="256" t="inlineStr">
        <is>
          <t>星之辉</t>
        </is>
      </c>
      <c r="Q174" s="256" t="n">
        <v>3</v>
      </c>
      <c r="R174" s="256" t="inlineStr">
        <is>
          <t>蓝</t>
        </is>
      </c>
    </row>
    <row r="175" ht="17.25" customHeight="1" s="14">
      <c r="J175" s="171" t="n">
        <v>80172</v>
      </c>
      <c r="K175" s="171" t="inlineStr">
        <is>
          <t>微仿生晶体手甲</t>
        </is>
      </c>
      <c r="L175" s="255" t="inlineStr">
        <is>
          <t>红</t>
        </is>
      </c>
      <c r="N175" s="256" t="n">
        <v>60172</v>
      </c>
      <c r="O175" s="256" t="n">
        <v>8</v>
      </c>
      <c r="P175" s="256" t="inlineStr">
        <is>
          <t>星之辉</t>
        </is>
      </c>
      <c r="Q175" s="256" t="n">
        <v>4</v>
      </c>
      <c r="R175" s="256" t="inlineStr">
        <is>
          <t>蓝</t>
        </is>
      </c>
    </row>
    <row r="176" ht="17.25" customHeight="1" s="14">
      <c r="J176" s="171" t="n">
        <v>80173</v>
      </c>
      <c r="K176" s="171" t="inlineStr">
        <is>
          <t>混沌核心护手</t>
        </is>
      </c>
      <c r="L176" s="255" t="inlineStr">
        <is>
          <t>红</t>
        </is>
      </c>
      <c r="N176" s="256" t="n">
        <v>60173</v>
      </c>
      <c r="O176" s="256" t="n">
        <v>8</v>
      </c>
      <c r="P176" s="256" t="inlineStr">
        <is>
          <t>星之辉</t>
        </is>
      </c>
      <c r="Q176" s="256" t="n">
        <v>5</v>
      </c>
      <c r="R176" s="256" t="inlineStr">
        <is>
          <t>蓝</t>
        </is>
      </c>
    </row>
    <row r="177" ht="17.25" customHeight="1" s="14">
      <c r="J177" s="257" t="n">
        <v>80174</v>
      </c>
      <c r="K177" s="257" t="inlineStr">
        <is>
          <t>秘银神恩护手</t>
        </is>
      </c>
      <c r="L177" s="258" t="inlineStr">
        <is>
          <t>红</t>
        </is>
      </c>
      <c r="N177" s="256" t="n">
        <v>60174</v>
      </c>
      <c r="O177" s="256" t="n">
        <v>8</v>
      </c>
      <c r="P177" s="256" t="inlineStr">
        <is>
          <t>星之辉</t>
        </is>
      </c>
      <c r="Q177" s="256" t="n">
        <v>6</v>
      </c>
      <c r="R177" s="256" t="inlineStr">
        <is>
          <t>蓝</t>
        </is>
      </c>
    </row>
    <row r="178" ht="17.25" customHeight="1" s="14">
      <c r="J178" s="171" t="n">
        <v>80175</v>
      </c>
      <c r="K178" s="171" t="inlineStr">
        <is>
          <t>感官同步腰带</t>
        </is>
      </c>
      <c r="L178" s="255" t="inlineStr">
        <is>
          <t>红</t>
        </is>
      </c>
      <c r="N178" s="256" t="n">
        <v>60175</v>
      </c>
      <c r="O178" s="256" t="n">
        <v>8</v>
      </c>
      <c r="P178" s="256" t="inlineStr">
        <is>
          <t>星之辉</t>
        </is>
      </c>
      <c r="Q178" s="256" t="n">
        <v>1</v>
      </c>
      <c r="R178" s="256" t="inlineStr">
        <is>
          <t>紫</t>
        </is>
      </c>
    </row>
    <row r="179" ht="17.25" customHeight="1" s="14">
      <c r="J179" s="171" t="n">
        <v>80176</v>
      </c>
      <c r="K179" s="171" t="inlineStr">
        <is>
          <t>生命序列腰带</t>
        </is>
      </c>
      <c r="L179" s="255" t="inlineStr">
        <is>
          <t>红</t>
        </is>
      </c>
      <c r="N179" s="256" t="n">
        <v>60176</v>
      </c>
      <c r="O179" s="256" t="n">
        <v>8</v>
      </c>
      <c r="P179" s="256" t="inlineStr">
        <is>
          <t>星之辉</t>
        </is>
      </c>
      <c r="Q179" s="256" t="n">
        <v>2</v>
      </c>
      <c r="R179" s="256" t="inlineStr">
        <is>
          <t>紫</t>
        </is>
      </c>
    </row>
    <row r="180" ht="17.25" customHeight="1" s="14">
      <c r="J180" s="171" t="n">
        <v>80177</v>
      </c>
      <c r="K180" s="171" t="inlineStr">
        <is>
          <t>亡骸星链</t>
        </is>
      </c>
      <c r="L180" s="255" t="inlineStr">
        <is>
          <t>红</t>
        </is>
      </c>
      <c r="N180" s="256" t="n">
        <v>60177</v>
      </c>
      <c r="O180" s="256" t="n">
        <v>8</v>
      </c>
      <c r="P180" s="256" t="inlineStr">
        <is>
          <t>星之辉</t>
        </is>
      </c>
      <c r="Q180" s="256" t="n">
        <v>3</v>
      </c>
      <c r="R180" s="256" t="inlineStr">
        <is>
          <t>紫</t>
        </is>
      </c>
    </row>
    <row r="181" ht="17.25" customHeight="1" s="14">
      <c r="J181" s="257" t="n">
        <v>80178</v>
      </c>
      <c r="K181" s="257" t="inlineStr">
        <is>
          <t>缚神锁链</t>
        </is>
      </c>
      <c r="L181" s="258" t="inlineStr">
        <is>
          <t>红</t>
        </is>
      </c>
      <c r="N181" s="256" t="n">
        <v>60178</v>
      </c>
      <c r="O181" s="256" t="n">
        <v>8</v>
      </c>
      <c r="P181" s="256" t="inlineStr">
        <is>
          <t>星之辉</t>
        </is>
      </c>
      <c r="Q181" s="256" t="n">
        <v>4</v>
      </c>
      <c r="R181" s="256" t="inlineStr">
        <is>
          <t>紫</t>
        </is>
      </c>
    </row>
    <row r="182" ht="17.25" customHeight="1" s="14">
      <c r="J182" s="171" t="n">
        <v>80179</v>
      </c>
      <c r="K182" s="171" t="inlineStr">
        <is>
          <t>EMP脉冲战靴</t>
        </is>
      </c>
      <c r="L182" s="255" t="inlineStr">
        <is>
          <t>红</t>
        </is>
      </c>
      <c r="N182" s="256" t="n">
        <v>60179</v>
      </c>
      <c r="O182" s="256" t="n">
        <v>8</v>
      </c>
      <c r="P182" s="256" t="inlineStr">
        <is>
          <t>星之辉</t>
        </is>
      </c>
      <c r="Q182" s="256" t="n">
        <v>5</v>
      </c>
      <c r="R182" s="256" t="inlineStr">
        <is>
          <t>紫</t>
        </is>
      </c>
    </row>
    <row r="183" ht="17.25" customHeight="1" s="14">
      <c r="J183" s="171" t="n">
        <v>80180</v>
      </c>
      <c r="K183" s="171" t="inlineStr">
        <is>
          <t>雷霆涡流战靴</t>
        </is>
      </c>
      <c r="L183" s="255" t="inlineStr">
        <is>
          <t>红</t>
        </is>
      </c>
      <c r="N183" s="256" t="n">
        <v>60180</v>
      </c>
      <c r="O183" s="256" t="n">
        <v>8</v>
      </c>
      <c r="P183" s="256" t="inlineStr">
        <is>
          <t>星之辉</t>
        </is>
      </c>
      <c r="Q183" s="256" t="n">
        <v>6</v>
      </c>
      <c r="R183" s="256" t="inlineStr">
        <is>
          <t>紫</t>
        </is>
      </c>
    </row>
    <row r="184" ht="17.25" customHeight="1" s="14">
      <c r="J184" s="171" t="n">
        <v>80181</v>
      </c>
      <c r="K184" s="171" t="inlineStr">
        <is>
          <t>源晶悬行靴</t>
        </is>
      </c>
      <c r="L184" s="255" t="inlineStr">
        <is>
          <t>红</t>
        </is>
      </c>
      <c r="N184" s="256" t="n">
        <v>60181</v>
      </c>
      <c r="O184" s="256" t="n">
        <v>8</v>
      </c>
      <c r="P184" s="256" t="inlineStr">
        <is>
          <t>星之辉</t>
        </is>
      </c>
      <c r="Q184" s="256" t="n">
        <v>1</v>
      </c>
      <c r="R184" s="256" t="inlineStr">
        <is>
          <t>金</t>
        </is>
      </c>
    </row>
    <row r="185" ht="17.25" customHeight="1" s="14">
      <c r="J185" s="257" t="n">
        <v>80182</v>
      </c>
      <c r="K185" s="257" t="inlineStr">
        <is>
          <t>遗忘祷言靴</t>
        </is>
      </c>
      <c r="L185" s="258" t="inlineStr">
        <is>
          <t>红</t>
        </is>
      </c>
      <c r="N185" s="256" t="n">
        <v>60182</v>
      </c>
      <c r="O185" s="256" t="n">
        <v>8</v>
      </c>
      <c r="P185" s="256" t="inlineStr">
        <is>
          <t>星之辉</t>
        </is>
      </c>
      <c r="Q185" s="256" t="n">
        <v>2</v>
      </c>
      <c r="R185" s="256" t="inlineStr">
        <is>
          <t>金</t>
        </is>
      </c>
    </row>
    <row r="186" ht="17.25" customHeight="1" s="14">
      <c r="J186" s="171" t="n">
        <v>80183</v>
      </c>
      <c r="K186" s="171" t="inlineStr">
        <is>
          <t>虚空稳定锚</t>
        </is>
      </c>
      <c r="L186" s="255" t="inlineStr">
        <is>
          <t>红</t>
        </is>
      </c>
      <c r="N186" s="256" t="n">
        <v>60183</v>
      </c>
      <c r="O186" s="256" t="n">
        <v>8</v>
      </c>
      <c r="P186" s="256" t="inlineStr">
        <is>
          <t>星之辉</t>
        </is>
      </c>
      <c r="Q186" s="256" t="n">
        <v>3</v>
      </c>
      <c r="R186" s="256" t="inlineStr">
        <is>
          <t>金</t>
        </is>
      </c>
    </row>
    <row r="187" ht="17.25" customHeight="1" s="14">
      <c r="J187" s="171" t="n">
        <v>80184</v>
      </c>
      <c r="K187" s="171" t="inlineStr">
        <is>
          <t>图灵原型机</t>
        </is>
      </c>
      <c r="L187" s="255" t="inlineStr">
        <is>
          <t>红</t>
        </is>
      </c>
      <c r="N187" s="256" t="n">
        <v>60184</v>
      </c>
      <c r="O187" s="256" t="n">
        <v>8</v>
      </c>
      <c r="P187" s="256" t="inlineStr">
        <is>
          <t>星之辉</t>
        </is>
      </c>
      <c r="Q187" s="256" t="n">
        <v>4</v>
      </c>
      <c r="R187" s="256" t="inlineStr">
        <is>
          <t>金</t>
        </is>
      </c>
    </row>
    <row r="188" ht="17.25" customHeight="1" s="14">
      <c r="J188" s="171" t="n">
        <v>80185</v>
      </c>
      <c r="K188" s="171" t="inlineStr">
        <is>
          <t>光环阵列</t>
        </is>
      </c>
      <c r="L188" s="255" t="inlineStr">
        <is>
          <t>红</t>
        </is>
      </c>
      <c r="N188" s="256" t="n">
        <v>60185</v>
      </c>
      <c r="O188" s="256" t="n">
        <v>8</v>
      </c>
      <c r="P188" s="256" t="inlineStr">
        <is>
          <t>星之辉</t>
        </is>
      </c>
      <c r="Q188" s="256" t="n">
        <v>5</v>
      </c>
      <c r="R188" s="256" t="inlineStr">
        <is>
          <t>金</t>
        </is>
      </c>
    </row>
    <row r="189" ht="17.25" customHeight="1" s="14">
      <c r="J189" s="257" t="n">
        <v>80186</v>
      </c>
      <c r="K189" s="257" t="inlineStr">
        <is>
          <t>全知之眼</t>
        </is>
      </c>
      <c r="L189" s="258" t="inlineStr">
        <is>
          <t>红</t>
        </is>
      </c>
      <c r="N189" s="256" t="n">
        <v>60186</v>
      </c>
      <c r="O189" s="256" t="n">
        <v>8</v>
      </c>
      <c r="P189" s="256" t="inlineStr">
        <is>
          <t>星之辉</t>
        </is>
      </c>
      <c r="Q189" s="256" t="n">
        <v>6</v>
      </c>
      <c r="R189" s="256" t="inlineStr">
        <is>
          <t>金</t>
        </is>
      </c>
    </row>
    <row r="190" ht="17.25" customHeight="1" s="14">
      <c r="J190" s="171" t="n">
        <v>80187</v>
      </c>
      <c r="K190" s="171" t="inlineStr">
        <is>
          <t>记忆终端指环</t>
        </is>
      </c>
      <c r="L190" s="255" t="inlineStr">
        <is>
          <t>红</t>
        </is>
      </c>
      <c r="N190" s="256" t="n">
        <v>60187</v>
      </c>
      <c r="O190" s="256" t="n">
        <v>8</v>
      </c>
      <c r="P190" s="256" t="inlineStr">
        <is>
          <t>星之辉</t>
        </is>
      </c>
      <c r="Q190" s="256" t="n">
        <v>1</v>
      </c>
      <c r="R190" s="256" t="inlineStr">
        <is>
          <t>红</t>
        </is>
      </c>
    </row>
    <row r="191" ht="17.25" customHeight="1" s="14">
      <c r="J191" s="171" t="n">
        <v>80188</v>
      </c>
      <c r="K191" s="171" t="inlineStr">
        <is>
          <t>影像强化手环</t>
        </is>
      </c>
      <c r="L191" s="255" t="inlineStr">
        <is>
          <t>红</t>
        </is>
      </c>
      <c r="N191" s="256" t="n">
        <v>60188</v>
      </c>
      <c r="O191" s="256" t="n">
        <v>8</v>
      </c>
      <c r="P191" s="256" t="inlineStr">
        <is>
          <t>星之辉</t>
        </is>
      </c>
      <c r="Q191" s="256" t="n">
        <v>2</v>
      </c>
      <c r="R191" s="256" t="inlineStr">
        <is>
          <t>红</t>
        </is>
      </c>
    </row>
    <row r="192" ht="17.25" customHeight="1" s="14">
      <c r="J192" s="171" t="n">
        <v>80189</v>
      </c>
      <c r="K192" s="171" t="inlineStr">
        <is>
          <t>白银赞美诗</t>
        </is>
      </c>
      <c r="L192" s="255" t="inlineStr">
        <is>
          <t>红</t>
        </is>
      </c>
      <c r="N192" s="256" t="n">
        <v>60189</v>
      </c>
      <c r="O192" s="256" t="n">
        <v>8</v>
      </c>
      <c r="P192" s="256" t="inlineStr">
        <is>
          <t>星之辉</t>
        </is>
      </c>
      <c r="Q192" s="256" t="n">
        <v>3</v>
      </c>
      <c r="R192" s="256" t="inlineStr">
        <is>
          <t>红</t>
        </is>
      </c>
    </row>
    <row r="193" ht="17.25" customHeight="1" s="14">
      <c r="J193" s="171" t="n">
        <v>80190</v>
      </c>
      <c r="K193" s="171" t="inlineStr">
        <is>
          <t>不灭辉光坠</t>
        </is>
      </c>
      <c r="L193" s="255" t="inlineStr">
        <is>
          <t>红</t>
        </is>
      </c>
      <c r="N193" s="256" t="n">
        <v>60190</v>
      </c>
      <c r="O193" s="256" t="n">
        <v>8</v>
      </c>
      <c r="P193" s="256" t="inlineStr">
        <is>
          <t>星之辉</t>
        </is>
      </c>
      <c r="Q193" s="256" t="n">
        <v>4</v>
      </c>
      <c r="R193" s="256" t="inlineStr">
        <is>
          <t>红</t>
        </is>
      </c>
    </row>
    <row r="194" ht="16.5" customHeight="1" s="14">
      <c r="N194" s="256" t="n">
        <v>60191</v>
      </c>
      <c r="O194" s="256" t="n">
        <v>8</v>
      </c>
      <c r="P194" s="256" t="inlineStr">
        <is>
          <t>星之辉</t>
        </is>
      </c>
      <c r="Q194" s="256" t="n">
        <v>5</v>
      </c>
      <c r="R194" s="256" t="inlineStr">
        <is>
          <t>红</t>
        </is>
      </c>
    </row>
    <row r="195" ht="16.5" customHeight="1" s="14">
      <c r="N195" s="256" t="n">
        <v>60192</v>
      </c>
      <c r="O195" s="256" t="n">
        <v>8</v>
      </c>
      <c r="P195" s="256" t="inlineStr">
        <is>
          <t>星之辉</t>
        </is>
      </c>
      <c r="Q195" s="256" t="n">
        <v>6</v>
      </c>
      <c r="R195" s="256" t="inlineStr">
        <is>
          <t>红</t>
        </is>
      </c>
    </row>
    <row r="196" ht="16.5" customHeight="1" s="14">
      <c r="N196" s="256" t="n">
        <v>60193</v>
      </c>
      <c r="O196" s="256" t="n">
        <v>9</v>
      </c>
      <c r="P196" s="256" t="inlineStr">
        <is>
          <t>边域回声</t>
        </is>
      </c>
      <c r="Q196" s="256" t="n">
        <v>1</v>
      </c>
      <c r="R196" s="256" t="inlineStr">
        <is>
          <t>蓝</t>
        </is>
      </c>
    </row>
    <row r="197" ht="16.5" customHeight="1" s="14">
      <c r="N197" s="256" t="n">
        <v>60194</v>
      </c>
      <c r="O197" s="256" t="n">
        <v>9</v>
      </c>
      <c r="P197" s="256" t="inlineStr">
        <is>
          <t>边域回声</t>
        </is>
      </c>
      <c r="Q197" s="256" t="n">
        <v>2</v>
      </c>
      <c r="R197" s="256" t="inlineStr">
        <is>
          <t>蓝</t>
        </is>
      </c>
    </row>
    <row r="198" ht="16.5" customHeight="1" s="14">
      <c r="N198" s="256" t="n">
        <v>60195</v>
      </c>
      <c r="O198" s="256" t="n">
        <v>9</v>
      </c>
      <c r="P198" s="256" t="inlineStr">
        <is>
          <t>边域回声</t>
        </is>
      </c>
      <c r="Q198" s="256" t="n">
        <v>3</v>
      </c>
      <c r="R198" s="256" t="inlineStr">
        <is>
          <t>蓝</t>
        </is>
      </c>
    </row>
    <row r="199" ht="16.5" customHeight="1" s="14">
      <c r="N199" s="256" t="n">
        <v>60196</v>
      </c>
      <c r="O199" s="256" t="n">
        <v>9</v>
      </c>
      <c r="P199" s="256" t="inlineStr">
        <is>
          <t>边域回声</t>
        </is>
      </c>
      <c r="Q199" s="256" t="n">
        <v>4</v>
      </c>
      <c r="R199" s="256" t="inlineStr">
        <is>
          <t>蓝</t>
        </is>
      </c>
    </row>
    <row r="200" ht="16.5" customHeight="1" s="14">
      <c r="N200" s="256" t="n">
        <v>60197</v>
      </c>
      <c r="O200" s="256" t="n">
        <v>9</v>
      </c>
      <c r="P200" s="256" t="inlineStr">
        <is>
          <t>边域回声</t>
        </is>
      </c>
      <c r="Q200" s="256" t="n">
        <v>5</v>
      </c>
      <c r="R200" s="256" t="inlineStr">
        <is>
          <t>蓝</t>
        </is>
      </c>
    </row>
    <row r="201" ht="16.5" customHeight="1" s="14">
      <c r="N201" s="256" t="n">
        <v>60198</v>
      </c>
      <c r="O201" s="256" t="n">
        <v>9</v>
      </c>
      <c r="P201" s="256" t="inlineStr">
        <is>
          <t>边域回声</t>
        </is>
      </c>
      <c r="Q201" s="256" t="n">
        <v>6</v>
      </c>
      <c r="R201" s="256" t="inlineStr">
        <is>
          <t>蓝</t>
        </is>
      </c>
    </row>
    <row r="202" ht="16.5" customHeight="1" s="14">
      <c r="N202" s="256" t="n">
        <v>60199</v>
      </c>
      <c r="O202" s="256" t="n">
        <v>9</v>
      </c>
      <c r="P202" s="256" t="inlineStr">
        <is>
          <t>边域回声</t>
        </is>
      </c>
      <c r="Q202" s="256" t="n">
        <v>1</v>
      </c>
      <c r="R202" s="256" t="inlineStr">
        <is>
          <t>紫</t>
        </is>
      </c>
    </row>
    <row r="203" ht="16.5" customHeight="1" s="14">
      <c r="N203" s="256" t="n">
        <v>60200</v>
      </c>
      <c r="O203" s="256" t="n">
        <v>9</v>
      </c>
      <c r="P203" s="256" t="inlineStr">
        <is>
          <t>边域回声</t>
        </is>
      </c>
      <c r="Q203" s="256" t="n">
        <v>2</v>
      </c>
      <c r="R203" s="256" t="inlineStr">
        <is>
          <t>紫</t>
        </is>
      </c>
    </row>
    <row r="204" ht="16.5" customHeight="1" s="14">
      <c r="N204" s="256" t="n">
        <v>60201</v>
      </c>
      <c r="O204" s="256" t="n">
        <v>9</v>
      </c>
      <c r="P204" s="256" t="inlineStr">
        <is>
          <t>边域回声</t>
        </is>
      </c>
      <c r="Q204" s="256" t="n">
        <v>3</v>
      </c>
      <c r="R204" s="256" t="inlineStr">
        <is>
          <t>紫</t>
        </is>
      </c>
    </row>
    <row r="205" ht="16.5" customHeight="1" s="14">
      <c r="N205" s="256" t="n">
        <v>60202</v>
      </c>
      <c r="O205" s="256" t="n">
        <v>9</v>
      </c>
      <c r="P205" s="256" t="inlineStr">
        <is>
          <t>边域回声</t>
        </is>
      </c>
      <c r="Q205" s="256" t="n">
        <v>4</v>
      </c>
      <c r="R205" s="256" t="inlineStr">
        <is>
          <t>紫</t>
        </is>
      </c>
    </row>
    <row r="206" ht="16.5" customHeight="1" s="14">
      <c r="N206" s="256" t="n">
        <v>60203</v>
      </c>
      <c r="O206" s="256" t="n">
        <v>9</v>
      </c>
      <c r="P206" s="256" t="inlineStr">
        <is>
          <t>边域回声</t>
        </is>
      </c>
      <c r="Q206" s="256" t="n">
        <v>5</v>
      </c>
      <c r="R206" s="256" t="inlineStr">
        <is>
          <t>紫</t>
        </is>
      </c>
    </row>
    <row r="207" ht="16.5" customHeight="1" s="14">
      <c r="N207" s="256" t="n">
        <v>60204</v>
      </c>
      <c r="O207" s="256" t="n">
        <v>9</v>
      </c>
      <c r="P207" s="256" t="inlineStr">
        <is>
          <t>边域回声</t>
        </is>
      </c>
      <c r="Q207" s="256" t="n">
        <v>6</v>
      </c>
      <c r="R207" s="256" t="inlineStr">
        <is>
          <t>紫</t>
        </is>
      </c>
    </row>
    <row r="208" ht="16.5" customHeight="1" s="14">
      <c r="N208" s="256" t="n">
        <v>60205</v>
      </c>
      <c r="O208" s="256" t="n">
        <v>9</v>
      </c>
      <c r="P208" s="256" t="inlineStr">
        <is>
          <t>边域回声</t>
        </is>
      </c>
      <c r="Q208" s="256" t="n">
        <v>1</v>
      </c>
      <c r="R208" s="256" t="inlineStr">
        <is>
          <t>金</t>
        </is>
      </c>
    </row>
    <row r="209" ht="16.5" customHeight="1" s="14">
      <c r="N209" s="256" t="n">
        <v>60206</v>
      </c>
      <c r="O209" s="256" t="n">
        <v>9</v>
      </c>
      <c r="P209" s="256" t="inlineStr">
        <is>
          <t>边域回声</t>
        </is>
      </c>
      <c r="Q209" s="256" t="n">
        <v>2</v>
      </c>
      <c r="R209" s="256" t="inlineStr">
        <is>
          <t>金</t>
        </is>
      </c>
    </row>
    <row r="210" ht="16.5" customHeight="1" s="14">
      <c r="N210" s="256" t="n">
        <v>60207</v>
      </c>
      <c r="O210" s="256" t="n">
        <v>9</v>
      </c>
      <c r="P210" s="256" t="inlineStr">
        <is>
          <t>边域回声</t>
        </is>
      </c>
      <c r="Q210" s="256" t="n">
        <v>3</v>
      </c>
      <c r="R210" s="256" t="inlineStr">
        <is>
          <t>金</t>
        </is>
      </c>
    </row>
    <row r="211" ht="16.5" customHeight="1" s="14">
      <c r="N211" s="256" t="n">
        <v>60208</v>
      </c>
      <c r="O211" s="256" t="n">
        <v>9</v>
      </c>
      <c r="P211" s="256" t="inlineStr">
        <is>
          <t>边域回声</t>
        </is>
      </c>
      <c r="Q211" s="256" t="n">
        <v>4</v>
      </c>
      <c r="R211" s="256" t="inlineStr">
        <is>
          <t>金</t>
        </is>
      </c>
    </row>
    <row r="212" ht="16.5" customHeight="1" s="14">
      <c r="N212" s="256" t="n">
        <v>60209</v>
      </c>
      <c r="O212" s="256" t="n">
        <v>9</v>
      </c>
      <c r="P212" s="256" t="inlineStr">
        <is>
          <t>边域回声</t>
        </is>
      </c>
      <c r="Q212" s="256" t="n">
        <v>5</v>
      </c>
      <c r="R212" s="256" t="inlineStr">
        <is>
          <t>金</t>
        </is>
      </c>
    </row>
    <row r="213" ht="16.5" customHeight="1" s="14">
      <c r="N213" s="256" t="n">
        <v>60210</v>
      </c>
      <c r="O213" s="256" t="n">
        <v>9</v>
      </c>
      <c r="P213" s="256" t="inlineStr">
        <is>
          <t>边域回声</t>
        </is>
      </c>
      <c r="Q213" s="256" t="n">
        <v>6</v>
      </c>
      <c r="R213" s="256" t="inlineStr">
        <is>
          <t>金</t>
        </is>
      </c>
    </row>
    <row r="214" ht="16.5" customHeight="1" s="14">
      <c r="N214" s="256" t="n">
        <v>60211</v>
      </c>
      <c r="O214" s="256" t="n">
        <v>9</v>
      </c>
      <c r="P214" s="256" t="inlineStr">
        <is>
          <t>边域回声</t>
        </is>
      </c>
      <c r="Q214" s="256" t="n">
        <v>1</v>
      </c>
      <c r="R214" s="256" t="inlineStr">
        <is>
          <t>红</t>
        </is>
      </c>
    </row>
    <row r="215" ht="16.5" customHeight="1" s="14">
      <c r="N215" s="256" t="n">
        <v>60212</v>
      </c>
      <c r="O215" s="256" t="n">
        <v>9</v>
      </c>
      <c r="P215" s="256" t="inlineStr">
        <is>
          <t>边域回声</t>
        </is>
      </c>
      <c r="Q215" s="256" t="n">
        <v>2</v>
      </c>
      <c r="R215" s="256" t="inlineStr">
        <is>
          <t>红</t>
        </is>
      </c>
    </row>
    <row r="216" ht="16.5" customHeight="1" s="14">
      <c r="N216" s="256" t="n">
        <v>60213</v>
      </c>
      <c r="O216" s="256" t="n">
        <v>9</v>
      </c>
      <c r="P216" s="256" t="inlineStr">
        <is>
          <t>边域回声</t>
        </is>
      </c>
      <c r="Q216" s="256" t="n">
        <v>3</v>
      </c>
      <c r="R216" s="256" t="inlineStr">
        <is>
          <t>红</t>
        </is>
      </c>
    </row>
    <row r="217" ht="16.5" customHeight="1" s="14">
      <c r="N217" s="256" t="n">
        <v>60214</v>
      </c>
      <c r="O217" s="256" t="n">
        <v>9</v>
      </c>
      <c r="P217" s="256" t="inlineStr">
        <is>
          <t>边域回声</t>
        </is>
      </c>
      <c r="Q217" s="256" t="n">
        <v>4</v>
      </c>
      <c r="R217" s="256" t="inlineStr">
        <is>
          <t>红</t>
        </is>
      </c>
    </row>
    <row r="218" ht="16.5" customHeight="1" s="14">
      <c r="N218" s="256" t="n">
        <v>60215</v>
      </c>
      <c r="O218" s="256" t="n">
        <v>9</v>
      </c>
      <c r="P218" s="256" t="inlineStr">
        <is>
          <t>边域回声</t>
        </is>
      </c>
      <c r="Q218" s="256" t="n">
        <v>5</v>
      </c>
      <c r="R218" s="256" t="inlineStr">
        <is>
          <t>红</t>
        </is>
      </c>
    </row>
    <row r="219" ht="16.5" customHeight="1" s="14">
      <c r="N219" s="256" t="n">
        <v>60216</v>
      </c>
      <c r="O219" s="256" t="n">
        <v>9</v>
      </c>
      <c r="P219" s="256" t="inlineStr">
        <is>
          <t>边域回声</t>
        </is>
      </c>
      <c r="Q219" s="256" t="n">
        <v>6</v>
      </c>
      <c r="R219" s="256" t="inlineStr">
        <is>
          <t>红</t>
        </is>
      </c>
    </row>
    <row r="220" ht="16.5" customHeight="1" s="14">
      <c r="N220" s="256" t="n">
        <v>60217</v>
      </c>
      <c r="O220" s="256" t="n">
        <v>10</v>
      </c>
      <c r="P220" s="256" t="inlineStr">
        <is>
          <t>赤子之心</t>
        </is>
      </c>
      <c r="Q220" s="256" t="n">
        <v>1</v>
      </c>
      <c r="R220" s="256" t="inlineStr">
        <is>
          <t>蓝</t>
        </is>
      </c>
    </row>
    <row r="221" ht="16.5" customHeight="1" s="14">
      <c r="N221" s="256" t="n">
        <v>60218</v>
      </c>
      <c r="O221" s="256" t="n">
        <v>10</v>
      </c>
      <c r="P221" s="256" t="inlineStr">
        <is>
          <t>赤子之心</t>
        </is>
      </c>
      <c r="Q221" s="256" t="n">
        <v>2</v>
      </c>
      <c r="R221" s="256" t="inlineStr">
        <is>
          <t>蓝</t>
        </is>
      </c>
    </row>
    <row r="222" ht="16.5" customHeight="1" s="14">
      <c r="N222" s="256" t="n">
        <v>60219</v>
      </c>
      <c r="O222" s="256" t="n">
        <v>10</v>
      </c>
      <c r="P222" s="256" t="inlineStr">
        <is>
          <t>赤子之心</t>
        </is>
      </c>
      <c r="Q222" s="256" t="n">
        <v>3</v>
      </c>
      <c r="R222" s="256" t="inlineStr">
        <is>
          <t>蓝</t>
        </is>
      </c>
    </row>
    <row r="223" ht="16.5" customHeight="1" s="14">
      <c r="N223" s="256" t="n">
        <v>60220</v>
      </c>
      <c r="O223" s="256" t="n">
        <v>10</v>
      </c>
      <c r="P223" s="256" t="inlineStr">
        <is>
          <t>赤子之心</t>
        </is>
      </c>
      <c r="Q223" s="256" t="n">
        <v>4</v>
      </c>
      <c r="R223" s="256" t="inlineStr">
        <is>
          <t>蓝</t>
        </is>
      </c>
    </row>
    <row r="224" ht="16.5" customHeight="1" s="14">
      <c r="N224" s="256" t="n">
        <v>60221</v>
      </c>
      <c r="O224" s="256" t="n">
        <v>10</v>
      </c>
      <c r="P224" s="256" t="inlineStr">
        <is>
          <t>赤子之心</t>
        </is>
      </c>
      <c r="Q224" s="256" t="n">
        <v>5</v>
      </c>
      <c r="R224" s="256" t="inlineStr">
        <is>
          <t>蓝</t>
        </is>
      </c>
    </row>
    <row r="225" ht="16.5" customHeight="1" s="14">
      <c r="N225" s="256" t="n">
        <v>60222</v>
      </c>
      <c r="O225" s="256" t="n">
        <v>10</v>
      </c>
      <c r="P225" s="256" t="inlineStr">
        <is>
          <t>赤子之心</t>
        </is>
      </c>
      <c r="Q225" s="256" t="n">
        <v>6</v>
      </c>
      <c r="R225" s="256" t="inlineStr">
        <is>
          <t>蓝</t>
        </is>
      </c>
    </row>
    <row r="226" ht="16.5" customHeight="1" s="14">
      <c r="N226" s="256" t="n">
        <v>60223</v>
      </c>
      <c r="O226" s="256" t="n">
        <v>10</v>
      </c>
      <c r="P226" s="256" t="inlineStr">
        <is>
          <t>赤子之心</t>
        </is>
      </c>
      <c r="Q226" s="256" t="n">
        <v>1</v>
      </c>
      <c r="R226" s="256" t="inlineStr">
        <is>
          <t>紫</t>
        </is>
      </c>
    </row>
    <row r="227" ht="16.5" customHeight="1" s="14">
      <c r="N227" s="256" t="n">
        <v>60224</v>
      </c>
      <c r="O227" s="256" t="n">
        <v>10</v>
      </c>
      <c r="P227" s="256" t="inlineStr">
        <is>
          <t>赤子之心</t>
        </is>
      </c>
      <c r="Q227" s="256" t="n">
        <v>2</v>
      </c>
      <c r="R227" s="256" t="inlineStr">
        <is>
          <t>紫</t>
        </is>
      </c>
    </row>
    <row r="228" ht="16.5" customHeight="1" s="14">
      <c r="N228" s="256" t="n">
        <v>60225</v>
      </c>
      <c r="O228" s="256" t="n">
        <v>10</v>
      </c>
      <c r="P228" s="256" t="inlineStr">
        <is>
          <t>赤子之心</t>
        </is>
      </c>
      <c r="Q228" s="256" t="n">
        <v>3</v>
      </c>
      <c r="R228" s="256" t="inlineStr">
        <is>
          <t>紫</t>
        </is>
      </c>
    </row>
    <row r="229" ht="16.5" customHeight="1" s="14">
      <c r="N229" s="256" t="n">
        <v>60226</v>
      </c>
      <c r="O229" s="256" t="n">
        <v>10</v>
      </c>
      <c r="P229" s="256" t="inlineStr">
        <is>
          <t>赤子之心</t>
        </is>
      </c>
      <c r="Q229" s="256" t="n">
        <v>4</v>
      </c>
      <c r="R229" s="256" t="inlineStr">
        <is>
          <t>紫</t>
        </is>
      </c>
    </row>
    <row r="230" ht="16.5" customHeight="1" s="14">
      <c r="N230" s="256" t="n">
        <v>60227</v>
      </c>
      <c r="O230" s="256" t="n">
        <v>10</v>
      </c>
      <c r="P230" s="256" t="inlineStr">
        <is>
          <t>赤子之心</t>
        </is>
      </c>
      <c r="Q230" s="256" t="n">
        <v>5</v>
      </c>
      <c r="R230" s="256" t="inlineStr">
        <is>
          <t>紫</t>
        </is>
      </c>
    </row>
    <row r="231" ht="16.5" customHeight="1" s="14">
      <c r="N231" s="256" t="n">
        <v>60228</v>
      </c>
      <c r="O231" s="256" t="n">
        <v>10</v>
      </c>
      <c r="P231" s="256" t="inlineStr">
        <is>
          <t>赤子之心</t>
        </is>
      </c>
      <c r="Q231" s="256" t="n">
        <v>6</v>
      </c>
      <c r="R231" s="256" t="inlineStr">
        <is>
          <t>紫</t>
        </is>
      </c>
    </row>
    <row r="232" ht="16.5" customHeight="1" s="14">
      <c r="N232" s="256" t="n">
        <v>60229</v>
      </c>
      <c r="O232" s="256" t="n">
        <v>10</v>
      </c>
      <c r="P232" s="256" t="inlineStr">
        <is>
          <t>赤子之心</t>
        </is>
      </c>
      <c r="Q232" s="256" t="n">
        <v>1</v>
      </c>
      <c r="R232" s="256" t="inlineStr">
        <is>
          <t>金</t>
        </is>
      </c>
    </row>
    <row r="233" ht="16.5" customHeight="1" s="14">
      <c r="N233" s="256" t="n">
        <v>60230</v>
      </c>
      <c r="O233" s="256" t="n">
        <v>10</v>
      </c>
      <c r="P233" s="256" t="inlineStr">
        <is>
          <t>赤子之心</t>
        </is>
      </c>
      <c r="Q233" s="256" t="n">
        <v>2</v>
      </c>
      <c r="R233" s="256" t="inlineStr">
        <is>
          <t>金</t>
        </is>
      </c>
    </row>
    <row r="234" ht="16.5" customHeight="1" s="14">
      <c r="N234" s="256" t="n">
        <v>60231</v>
      </c>
      <c r="O234" s="256" t="n">
        <v>10</v>
      </c>
      <c r="P234" s="256" t="inlineStr">
        <is>
          <t>赤子之心</t>
        </is>
      </c>
      <c r="Q234" s="256" t="n">
        <v>3</v>
      </c>
      <c r="R234" s="256" t="inlineStr">
        <is>
          <t>金</t>
        </is>
      </c>
    </row>
    <row r="235" ht="16.5" customHeight="1" s="14">
      <c r="N235" s="256" t="n">
        <v>60232</v>
      </c>
      <c r="O235" s="256" t="n">
        <v>10</v>
      </c>
      <c r="P235" s="256" t="inlineStr">
        <is>
          <t>赤子之心</t>
        </is>
      </c>
      <c r="Q235" s="256" t="n">
        <v>4</v>
      </c>
      <c r="R235" s="256" t="inlineStr">
        <is>
          <t>金</t>
        </is>
      </c>
    </row>
    <row r="236" ht="16.5" customHeight="1" s="14">
      <c r="N236" s="256" t="n">
        <v>60233</v>
      </c>
      <c r="O236" s="256" t="n">
        <v>10</v>
      </c>
      <c r="P236" s="256" t="inlineStr">
        <is>
          <t>赤子之心</t>
        </is>
      </c>
      <c r="Q236" s="256" t="n">
        <v>5</v>
      </c>
      <c r="R236" s="256" t="inlineStr">
        <is>
          <t>金</t>
        </is>
      </c>
    </row>
    <row r="237" ht="16.5" customHeight="1" s="14">
      <c r="N237" s="256" t="n">
        <v>60234</v>
      </c>
      <c r="O237" s="256" t="n">
        <v>10</v>
      </c>
      <c r="P237" s="256" t="inlineStr">
        <is>
          <t>赤子之心</t>
        </is>
      </c>
      <c r="Q237" s="256" t="n">
        <v>6</v>
      </c>
      <c r="R237" s="256" t="inlineStr">
        <is>
          <t>金</t>
        </is>
      </c>
    </row>
    <row r="238" ht="16.5" customHeight="1" s="14">
      <c r="N238" s="256" t="n">
        <v>60235</v>
      </c>
      <c r="O238" s="256" t="n">
        <v>10</v>
      </c>
      <c r="P238" s="256" t="inlineStr">
        <is>
          <t>赤子之心</t>
        </is>
      </c>
      <c r="Q238" s="256" t="n">
        <v>1</v>
      </c>
      <c r="R238" s="256" t="inlineStr">
        <is>
          <t>红</t>
        </is>
      </c>
    </row>
    <row r="239" ht="16.5" customHeight="1" s="14">
      <c r="N239" s="256" t="n">
        <v>60236</v>
      </c>
      <c r="O239" s="256" t="n">
        <v>10</v>
      </c>
      <c r="P239" s="256" t="inlineStr">
        <is>
          <t>赤子之心</t>
        </is>
      </c>
      <c r="Q239" s="256" t="n">
        <v>2</v>
      </c>
      <c r="R239" s="256" t="inlineStr">
        <is>
          <t>红</t>
        </is>
      </c>
    </row>
    <row r="240" ht="16.5" customHeight="1" s="14">
      <c r="N240" s="256" t="n">
        <v>60237</v>
      </c>
      <c r="O240" s="256" t="n">
        <v>10</v>
      </c>
      <c r="P240" s="256" t="inlineStr">
        <is>
          <t>赤子之心</t>
        </is>
      </c>
      <c r="Q240" s="256" t="n">
        <v>3</v>
      </c>
      <c r="R240" s="256" t="inlineStr">
        <is>
          <t>红</t>
        </is>
      </c>
    </row>
    <row r="241" ht="16.5" customHeight="1" s="14">
      <c r="N241" s="256" t="n">
        <v>60238</v>
      </c>
      <c r="O241" s="256" t="n">
        <v>10</v>
      </c>
      <c r="P241" s="256" t="inlineStr">
        <is>
          <t>赤子之心</t>
        </is>
      </c>
      <c r="Q241" s="256" t="n">
        <v>4</v>
      </c>
      <c r="R241" s="256" t="inlineStr">
        <is>
          <t>红</t>
        </is>
      </c>
    </row>
    <row r="242" ht="16.5" customHeight="1" s="14">
      <c r="N242" s="256" t="n">
        <v>60239</v>
      </c>
      <c r="O242" s="256" t="n">
        <v>10</v>
      </c>
      <c r="P242" s="256" t="inlineStr">
        <is>
          <t>赤子之心</t>
        </is>
      </c>
      <c r="Q242" s="256" t="n">
        <v>5</v>
      </c>
      <c r="R242" s="256" t="inlineStr">
        <is>
          <t>红</t>
        </is>
      </c>
    </row>
    <row r="243" ht="16.5" customHeight="1" s="14">
      <c r="N243" s="256" t="n">
        <v>60240</v>
      </c>
      <c r="O243" s="256" t="n">
        <v>10</v>
      </c>
      <c r="P243" s="256" t="inlineStr">
        <is>
          <t>赤子之心</t>
        </is>
      </c>
      <c r="Q243" s="256" t="n">
        <v>6</v>
      </c>
      <c r="R243" s="256" t="inlineStr">
        <is>
          <t>红</t>
        </is>
      </c>
    </row>
    <row r="244" ht="16.5" customHeight="1" s="14">
      <c r="N244" s="256" t="n">
        <v>60241</v>
      </c>
      <c r="O244" s="256" t="n">
        <v>11</v>
      </c>
      <c r="P244" s="256" t="inlineStr">
        <is>
          <t>丰厚回报</t>
        </is>
      </c>
      <c r="Q244" s="256" t="n">
        <v>1</v>
      </c>
      <c r="R244" s="256" t="inlineStr">
        <is>
          <t>蓝</t>
        </is>
      </c>
    </row>
    <row r="245" ht="16.5" customHeight="1" s="14">
      <c r="N245" s="256" t="n">
        <v>60242</v>
      </c>
      <c r="O245" s="256" t="n">
        <v>11</v>
      </c>
      <c r="P245" s="256" t="inlineStr">
        <is>
          <t>丰厚回报</t>
        </is>
      </c>
      <c r="Q245" s="256" t="n">
        <v>2</v>
      </c>
      <c r="R245" s="256" t="inlineStr">
        <is>
          <t>蓝</t>
        </is>
      </c>
    </row>
    <row r="246" ht="16.5" customHeight="1" s="14">
      <c r="N246" s="256" t="n">
        <v>60243</v>
      </c>
      <c r="O246" s="256" t="n">
        <v>11</v>
      </c>
      <c r="P246" s="256" t="inlineStr">
        <is>
          <t>丰厚回报</t>
        </is>
      </c>
      <c r="Q246" s="256" t="n">
        <v>3</v>
      </c>
      <c r="R246" s="256" t="inlineStr">
        <is>
          <t>蓝</t>
        </is>
      </c>
    </row>
    <row r="247" ht="16.5" customHeight="1" s="14">
      <c r="N247" s="256" t="n">
        <v>60244</v>
      </c>
      <c r="O247" s="256" t="n">
        <v>11</v>
      </c>
      <c r="P247" s="256" t="inlineStr">
        <is>
          <t>丰厚回报</t>
        </is>
      </c>
      <c r="Q247" s="256" t="n">
        <v>4</v>
      </c>
      <c r="R247" s="256" t="inlineStr">
        <is>
          <t>蓝</t>
        </is>
      </c>
    </row>
    <row r="248" ht="16.5" customHeight="1" s="14">
      <c r="N248" s="256" t="n">
        <v>60245</v>
      </c>
      <c r="O248" s="256" t="n">
        <v>11</v>
      </c>
      <c r="P248" s="256" t="inlineStr">
        <is>
          <t>丰厚回报</t>
        </is>
      </c>
      <c r="Q248" s="256" t="n">
        <v>5</v>
      </c>
      <c r="R248" s="256" t="inlineStr">
        <is>
          <t>蓝</t>
        </is>
      </c>
    </row>
    <row r="249" ht="16.5" customHeight="1" s="14">
      <c r="N249" s="256" t="n">
        <v>60246</v>
      </c>
      <c r="O249" s="256" t="n">
        <v>11</v>
      </c>
      <c r="P249" s="256" t="inlineStr">
        <is>
          <t>丰厚回报</t>
        </is>
      </c>
      <c r="Q249" s="256" t="n">
        <v>6</v>
      </c>
      <c r="R249" s="256" t="inlineStr">
        <is>
          <t>蓝</t>
        </is>
      </c>
    </row>
    <row r="250" ht="16.5" customHeight="1" s="14">
      <c r="N250" s="256" t="n">
        <v>60247</v>
      </c>
      <c r="O250" s="256" t="n">
        <v>11</v>
      </c>
      <c r="P250" s="256" t="inlineStr">
        <is>
          <t>丰厚回报</t>
        </is>
      </c>
      <c r="Q250" s="256" t="n">
        <v>1</v>
      </c>
      <c r="R250" s="256" t="inlineStr">
        <is>
          <t>紫</t>
        </is>
      </c>
    </row>
    <row r="251" ht="16.5" customHeight="1" s="14">
      <c r="N251" s="256" t="n">
        <v>60248</v>
      </c>
      <c r="O251" s="256" t="n">
        <v>11</v>
      </c>
      <c r="P251" s="256" t="inlineStr">
        <is>
          <t>丰厚回报</t>
        </is>
      </c>
      <c r="Q251" s="256" t="n">
        <v>2</v>
      </c>
      <c r="R251" s="256" t="inlineStr">
        <is>
          <t>紫</t>
        </is>
      </c>
    </row>
    <row r="252" ht="16.5" customHeight="1" s="14">
      <c r="N252" s="256" t="n">
        <v>60249</v>
      </c>
      <c r="O252" s="256" t="n">
        <v>11</v>
      </c>
      <c r="P252" s="256" t="inlineStr">
        <is>
          <t>丰厚回报</t>
        </is>
      </c>
      <c r="Q252" s="256" t="n">
        <v>3</v>
      </c>
      <c r="R252" s="256" t="inlineStr">
        <is>
          <t>紫</t>
        </is>
      </c>
    </row>
    <row r="253" ht="16.5" customHeight="1" s="14">
      <c r="N253" s="256" t="n">
        <v>60250</v>
      </c>
      <c r="O253" s="256" t="n">
        <v>11</v>
      </c>
      <c r="P253" s="256" t="inlineStr">
        <is>
          <t>丰厚回报</t>
        </is>
      </c>
      <c r="Q253" s="256" t="n">
        <v>4</v>
      </c>
      <c r="R253" s="256" t="inlineStr">
        <is>
          <t>紫</t>
        </is>
      </c>
    </row>
    <row r="254" ht="16.5" customHeight="1" s="14">
      <c r="N254" s="256" t="n">
        <v>60251</v>
      </c>
      <c r="O254" s="256" t="n">
        <v>11</v>
      </c>
      <c r="P254" s="256" t="inlineStr">
        <is>
          <t>丰厚回报</t>
        </is>
      </c>
      <c r="Q254" s="256" t="n">
        <v>5</v>
      </c>
      <c r="R254" s="256" t="inlineStr">
        <is>
          <t>紫</t>
        </is>
      </c>
    </row>
    <row r="255" ht="16.5" customHeight="1" s="14">
      <c r="N255" s="256" t="n">
        <v>60252</v>
      </c>
      <c r="O255" s="256" t="n">
        <v>11</v>
      </c>
      <c r="P255" s="256" t="inlineStr">
        <is>
          <t>丰厚回报</t>
        </is>
      </c>
      <c r="Q255" s="256" t="n">
        <v>6</v>
      </c>
      <c r="R255" s="256" t="inlineStr">
        <is>
          <t>紫</t>
        </is>
      </c>
    </row>
    <row r="256" ht="16.5" customHeight="1" s="14">
      <c r="N256" s="256" t="n">
        <v>60253</v>
      </c>
      <c r="O256" s="256" t="n">
        <v>11</v>
      </c>
      <c r="P256" s="256" t="inlineStr">
        <is>
          <t>丰厚回报</t>
        </is>
      </c>
      <c r="Q256" s="256" t="n">
        <v>1</v>
      </c>
      <c r="R256" s="256" t="inlineStr">
        <is>
          <t>金</t>
        </is>
      </c>
    </row>
    <row r="257" ht="16.5" customHeight="1" s="14">
      <c r="N257" s="256" t="n">
        <v>60254</v>
      </c>
      <c r="O257" s="256" t="n">
        <v>11</v>
      </c>
      <c r="P257" s="256" t="inlineStr">
        <is>
          <t>丰厚回报</t>
        </is>
      </c>
      <c r="Q257" s="256" t="n">
        <v>2</v>
      </c>
      <c r="R257" s="256" t="inlineStr">
        <is>
          <t>金</t>
        </is>
      </c>
    </row>
    <row r="258" ht="16.5" customHeight="1" s="14">
      <c r="N258" s="256" t="n">
        <v>60255</v>
      </c>
      <c r="O258" s="256" t="n">
        <v>11</v>
      </c>
      <c r="P258" s="256" t="inlineStr">
        <is>
          <t>丰厚回报</t>
        </is>
      </c>
      <c r="Q258" s="256" t="n">
        <v>3</v>
      </c>
      <c r="R258" s="256" t="inlineStr">
        <is>
          <t>金</t>
        </is>
      </c>
    </row>
    <row r="259" ht="16.5" customHeight="1" s="14">
      <c r="N259" s="256" t="n">
        <v>60256</v>
      </c>
      <c r="O259" s="256" t="n">
        <v>11</v>
      </c>
      <c r="P259" s="256" t="inlineStr">
        <is>
          <t>丰厚回报</t>
        </is>
      </c>
      <c r="Q259" s="256" t="n">
        <v>4</v>
      </c>
      <c r="R259" s="256" t="inlineStr">
        <is>
          <t>金</t>
        </is>
      </c>
    </row>
    <row r="260" ht="16.5" customHeight="1" s="14">
      <c r="N260" s="256" t="n">
        <v>60257</v>
      </c>
      <c r="O260" s="256" t="n">
        <v>11</v>
      </c>
      <c r="P260" s="256" t="inlineStr">
        <is>
          <t>丰厚回报</t>
        </is>
      </c>
      <c r="Q260" s="256" t="n">
        <v>5</v>
      </c>
      <c r="R260" s="256" t="inlineStr">
        <is>
          <t>金</t>
        </is>
      </c>
    </row>
    <row r="261" ht="16.5" customHeight="1" s="14">
      <c r="N261" s="256" t="n">
        <v>60258</v>
      </c>
      <c r="O261" s="256" t="n">
        <v>11</v>
      </c>
      <c r="P261" s="256" t="inlineStr">
        <is>
          <t>丰厚回报</t>
        </is>
      </c>
      <c r="Q261" s="256" t="n">
        <v>6</v>
      </c>
      <c r="R261" s="256" t="inlineStr">
        <is>
          <t>金</t>
        </is>
      </c>
    </row>
    <row r="262" ht="16.5" customHeight="1" s="14">
      <c r="N262" s="256" t="n">
        <v>60259</v>
      </c>
      <c r="O262" s="256" t="n">
        <v>11</v>
      </c>
      <c r="P262" s="256" t="inlineStr">
        <is>
          <t>丰厚回报</t>
        </is>
      </c>
      <c r="Q262" s="256" t="n">
        <v>1</v>
      </c>
      <c r="R262" s="256" t="inlineStr">
        <is>
          <t>红</t>
        </is>
      </c>
    </row>
    <row r="263" ht="16.5" customHeight="1" s="14">
      <c r="N263" s="256" t="n">
        <v>60260</v>
      </c>
      <c r="O263" s="256" t="n">
        <v>11</v>
      </c>
      <c r="P263" s="256" t="inlineStr">
        <is>
          <t>丰厚回报</t>
        </is>
      </c>
      <c r="Q263" s="256" t="n">
        <v>2</v>
      </c>
      <c r="R263" s="256" t="inlineStr">
        <is>
          <t>红</t>
        </is>
      </c>
    </row>
    <row r="264" ht="16.5" customHeight="1" s="14">
      <c r="N264" s="256" t="n">
        <v>60261</v>
      </c>
      <c r="O264" s="256" t="n">
        <v>11</v>
      </c>
      <c r="P264" s="256" t="inlineStr">
        <is>
          <t>丰厚回报</t>
        </is>
      </c>
      <c r="Q264" s="256" t="n">
        <v>3</v>
      </c>
      <c r="R264" s="256" t="inlineStr">
        <is>
          <t>红</t>
        </is>
      </c>
    </row>
    <row r="265" ht="16.5" customHeight="1" s="14">
      <c r="N265" s="256" t="n">
        <v>60262</v>
      </c>
      <c r="O265" s="256" t="n">
        <v>11</v>
      </c>
      <c r="P265" s="256" t="inlineStr">
        <is>
          <t>丰厚回报</t>
        </is>
      </c>
      <c r="Q265" s="256" t="n">
        <v>4</v>
      </c>
      <c r="R265" s="256" t="inlineStr">
        <is>
          <t>红</t>
        </is>
      </c>
    </row>
    <row r="266" ht="16.5" customHeight="1" s="14">
      <c r="N266" s="256" t="n">
        <v>60263</v>
      </c>
      <c r="O266" s="256" t="n">
        <v>11</v>
      </c>
      <c r="P266" s="256" t="inlineStr">
        <is>
          <t>丰厚回报</t>
        </is>
      </c>
      <c r="Q266" s="256" t="n">
        <v>5</v>
      </c>
      <c r="R266" s="256" t="inlineStr">
        <is>
          <t>红</t>
        </is>
      </c>
    </row>
    <row r="267" ht="16.5" customHeight="1" s="14">
      <c r="N267" s="256" t="n">
        <v>60264</v>
      </c>
      <c r="O267" s="256" t="n">
        <v>11</v>
      </c>
      <c r="P267" s="256" t="inlineStr">
        <is>
          <t>丰厚回报</t>
        </is>
      </c>
      <c r="Q267" s="256" t="n">
        <v>6</v>
      </c>
      <c r="R267" s="256" t="inlineStr">
        <is>
          <t>红</t>
        </is>
      </c>
    </row>
    <row r="268" ht="16.5" customHeight="1" s="14">
      <c r="N268" s="256" t="n">
        <v>60265</v>
      </c>
      <c r="O268" s="256" t="n">
        <v>12</v>
      </c>
      <c r="P268" s="256" t="inlineStr">
        <is>
          <t>金羊毛储值计划</t>
        </is>
      </c>
      <c r="Q268" s="256" t="n">
        <v>1</v>
      </c>
      <c r="R268" s="256" t="inlineStr">
        <is>
          <t>蓝</t>
        </is>
      </c>
    </row>
    <row r="269" ht="16.5" customHeight="1" s="14">
      <c r="N269" s="256" t="n">
        <v>60266</v>
      </c>
      <c r="O269" s="256" t="n">
        <v>12</v>
      </c>
      <c r="P269" s="256" t="inlineStr">
        <is>
          <t>金羊毛储值计划</t>
        </is>
      </c>
      <c r="Q269" s="256" t="n">
        <v>2</v>
      </c>
      <c r="R269" s="256" t="inlineStr">
        <is>
          <t>蓝</t>
        </is>
      </c>
    </row>
    <row r="270" ht="16.5" customHeight="1" s="14">
      <c r="N270" s="256" t="n">
        <v>60267</v>
      </c>
      <c r="O270" s="256" t="n">
        <v>12</v>
      </c>
      <c r="P270" s="256" t="inlineStr">
        <is>
          <t>金羊毛储值计划</t>
        </is>
      </c>
      <c r="Q270" s="256" t="n">
        <v>3</v>
      </c>
      <c r="R270" s="256" t="inlineStr">
        <is>
          <t>蓝</t>
        </is>
      </c>
    </row>
    <row r="271" ht="16.5" customHeight="1" s="14">
      <c r="N271" s="256" t="n">
        <v>60268</v>
      </c>
      <c r="O271" s="256" t="n">
        <v>12</v>
      </c>
      <c r="P271" s="256" t="inlineStr">
        <is>
          <t>金羊毛储值计划</t>
        </is>
      </c>
      <c r="Q271" s="256" t="n">
        <v>4</v>
      </c>
      <c r="R271" s="256" t="inlineStr">
        <is>
          <t>蓝</t>
        </is>
      </c>
    </row>
    <row r="272" ht="16.5" customHeight="1" s="14">
      <c r="N272" s="256" t="n">
        <v>60269</v>
      </c>
      <c r="O272" s="256" t="n">
        <v>12</v>
      </c>
      <c r="P272" s="256" t="inlineStr">
        <is>
          <t>金羊毛储值计划</t>
        </is>
      </c>
      <c r="Q272" s="256" t="n">
        <v>5</v>
      </c>
      <c r="R272" s="256" t="inlineStr">
        <is>
          <t>蓝</t>
        </is>
      </c>
    </row>
    <row r="273" ht="16.5" customHeight="1" s="14">
      <c r="N273" s="256" t="n">
        <v>60270</v>
      </c>
      <c r="O273" s="256" t="n">
        <v>12</v>
      </c>
      <c r="P273" s="256" t="inlineStr">
        <is>
          <t>金羊毛储值计划</t>
        </is>
      </c>
      <c r="Q273" s="256" t="n">
        <v>6</v>
      </c>
      <c r="R273" s="256" t="inlineStr">
        <is>
          <t>蓝</t>
        </is>
      </c>
    </row>
    <row r="274" ht="16.5" customHeight="1" s="14">
      <c r="N274" s="256" t="n">
        <v>60271</v>
      </c>
      <c r="O274" s="256" t="n">
        <v>12</v>
      </c>
      <c r="P274" s="256" t="inlineStr">
        <is>
          <t>金羊毛储值计划</t>
        </is>
      </c>
      <c r="Q274" s="256" t="n">
        <v>1</v>
      </c>
      <c r="R274" s="256" t="inlineStr">
        <is>
          <t>紫</t>
        </is>
      </c>
    </row>
    <row r="275" ht="16.5" customHeight="1" s="14">
      <c r="N275" s="256" t="n">
        <v>60272</v>
      </c>
      <c r="O275" s="256" t="n">
        <v>12</v>
      </c>
      <c r="P275" s="256" t="inlineStr">
        <is>
          <t>金羊毛储值计划</t>
        </is>
      </c>
      <c r="Q275" s="256" t="n">
        <v>2</v>
      </c>
      <c r="R275" s="256" t="inlineStr">
        <is>
          <t>紫</t>
        </is>
      </c>
    </row>
    <row r="276" ht="16.5" customHeight="1" s="14">
      <c r="N276" s="256" t="n">
        <v>60273</v>
      </c>
      <c r="O276" s="256" t="n">
        <v>12</v>
      </c>
      <c r="P276" s="256" t="inlineStr">
        <is>
          <t>金羊毛储值计划</t>
        </is>
      </c>
      <c r="Q276" s="256" t="n">
        <v>3</v>
      </c>
      <c r="R276" s="256" t="inlineStr">
        <is>
          <t>紫</t>
        </is>
      </c>
    </row>
    <row r="277" ht="16.5" customHeight="1" s="14">
      <c r="N277" s="256" t="n">
        <v>60274</v>
      </c>
      <c r="O277" s="256" t="n">
        <v>12</v>
      </c>
      <c r="P277" s="256" t="inlineStr">
        <is>
          <t>金羊毛储值计划</t>
        </is>
      </c>
      <c r="Q277" s="256" t="n">
        <v>4</v>
      </c>
      <c r="R277" s="256" t="inlineStr">
        <is>
          <t>紫</t>
        </is>
      </c>
    </row>
    <row r="278" ht="16.5" customHeight="1" s="14">
      <c r="N278" s="256" t="n">
        <v>60275</v>
      </c>
      <c r="O278" s="256" t="n">
        <v>12</v>
      </c>
      <c r="P278" s="256" t="inlineStr">
        <is>
          <t>金羊毛储值计划</t>
        </is>
      </c>
      <c r="Q278" s="256" t="n">
        <v>5</v>
      </c>
      <c r="R278" s="256" t="inlineStr">
        <is>
          <t>紫</t>
        </is>
      </c>
    </row>
    <row r="279" ht="16.5" customHeight="1" s="14">
      <c r="N279" s="256" t="n">
        <v>60276</v>
      </c>
      <c r="O279" s="256" t="n">
        <v>12</v>
      </c>
      <c r="P279" s="256" t="inlineStr">
        <is>
          <t>金羊毛储值计划</t>
        </is>
      </c>
      <c r="Q279" s="256" t="n">
        <v>6</v>
      </c>
      <c r="R279" s="256" t="inlineStr">
        <is>
          <t>紫</t>
        </is>
      </c>
    </row>
    <row r="280" ht="16.5" customHeight="1" s="14">
      <c r="N280" s="256" t="n">
        <v>60277</v>
      </c>
      <c r="O280" s="256" t="n">
        <v>12</v>
      </c>
      <c r="P280" s="256" t="inlineStr">
        <is>
          <t>金羊毛储值计划</t>
        </is>
      </c>
      <c r="Q280" s="256" t="n">
        <v>1</v>
      </c>
      <c r="R280" s="256" t="inlineStr">
        <is>
          <t>金</t>
        </is>
      </c>
    </row>
    <row r="281" ht="16.5" customHeight="1" s="14">
      <c r="N281" s="256" t="n">
        <v>60278</v>
      </c>
      <c r="O281" s="256" t="n">
        <v>12</v>
      </c>
      <c r="P281" s="256" t="inlineStr">
        <is>
          <t>金羊毛储值计划</t>
        </is>
      </c>
      <c r="Q281" s="256" t="n">
        <v>2</v>
      </c>
      <c r="R281" s="256" t="inlineStr">
        <is>
          <t>金</t>
        </is>
      </c>
    </row>
    <row r="282" ht="16.5" customHeight="1" s="14">
      <c r="N282" s="256" t="n">
        <v>60279</v>
      </c>
      <c r="O282" s="256" t="n">
        <v>12</v>
      </c>
      <c r="P282" s="256" t="inlineStr">
        <is>
          <t>金羊毛储值计划</t>
        </is>
      </c>
      <c r="Q282" s="256" t="n">
        <v>3</v>
      </c>
      <c r="R282" s="256" t="inlineStr">
        <is>
          <t>金</t>
        </is>
      </c>
    </row>
    <row r="283" ht="16.5" customHeight="1" s="14">
      <c r="N283" s="256" t="n">
        <v>60280</v>
      </c>
      <c r="O283" s="256" t="n">
        <v>12</v>
      </c>
      <c r="P283" s="256" t="inlineStr">
        <is>
          <t>金羊毛储值计划</t>
        </is>
      </c>
      <c r="Q283" s="256" t="n">
        <v>4</v>
      </c>
      <c r="R283" s="256" t="inlineStr">
        <is>
          <t>金</t>
        </is>
      </c>
    </row>
    <row r="284" ht="16.5" customHeight="1" s="14">
      <c r="N284" s="256" t="n">
        <v>60281</v>
      </c>
      <c r="O284" s="256" t="n">
        <v>12</v>
      </c>
      <c r="P284" s="256" t="inlineStr">
        <is>
          <t>金羊毛储值计划</t>
        </is>
      </c>
      <c r="Q284" s="256" t="n">
        <v>5</v>
      </c>
      <c r="R284" s="256" t="inlineStr">
        <is>
          <t>金</t>
        </is>
      </c>
    </row>
    <row r="285" ht="16.5" customHeight="1" s="14">
      <c r="N285" s="256" t="n">
        <v>60282</v>
      </c>
      <c r="O285" s="256" t="n">
        <v>12</v>
      </c>
      <c r="P285" s="256" t="inlineStr">
        <is>
          <t>金羊毛储值计划</t>
        </is>
      </c>
      <c r="Q285" s="256" t="n">
        <v>6</v>
      </c>
      <c r="R285" s="256" t="inlineStr">
        <is>
          <t>金</t>
        </is>
      </c>
    </row>
    <row r="286" ht="16.5" customHeight="1" s="14">
      <c r="N286" s="256" t="n">
        <v>60283</v>
      </c>
      <c r="O286" s="256" t="n">
        <v>12</v>
      </c>
      <c r="P286" s="256" t="inlineStr">
        <is>
          <t>金羊毛储值计划</t>
        </is>
      </c>
      <c r="Q286" s="256" t="n">
        <v>1</v>
      </c>
      <c r="R286" s="256" t="inlineStr">
        <is>
          <t>红</t>
        </is>
      </c>
    </row>
    <row r="287" ht="16.5" customHeight="1" s="14">
      <c r="N287" s="256" t="n">
        <v>60284</v>
      </c>
      <c r="O287" s="256" t="n">
        <v>12</v>
      </c>
      <c r="P287" s="256" t="inlineStr">
        <is>
          <t>金羊毛储值计划</t>
        </is>
      </c>
      <c r="Q287" s="256" t="n">
        <v>2</v>
      </c>
      <c r="R287" s="256" t="inlineStr">
        <is>
          <t>红</t>
        </is>
      </c>
    </row>
    <row r="288" ht="16.5" customHeight="1" s="14">
      <c r="N288" s="256" t="n">
        <v>60285</v>
      </c>
      <c r="O288" s="256" t="n">
        <v>12</v>
      </c>
      <c r="P288" s="256" t="inlineStr">
        <is>
          <t>金羊毛储值计划</t>
        </is>
      </c>
      <c r="Q288" s="256" t="n">
        <v>3</v>
      </c>
      <c r="R288" s="256" t="inlineStr">
        <is>
          <t>红</t>
        </is>
      </c>
    </row>
    <row r="289" ht="16.5" customHeight="1" s="14">
      <c r="N289" s="256" t="n">
        <v>60286</v>
      </c>
      <c r="O289" s="256" t="n">
        <v>12</v>
      </c>
      <c r="P289" s="256" t="inlineStr">
        <is>
          <t>金羊毛储值计划</t>
        </is>
      </c>
      <c r="Q289" s="256" t="n">
        <v>4</v>
      </c>
      <c r="R289" s="256" t="inlineStr">
        <is>
          <t>红</t>
        </is>
      </c>
    </row>
    <row r="290" ht="16.5" customHeight="1" s="14">
      <c r="N290" s="256" t="n">
        <v>60287</v>
      </c>
      <c r="O290" s="256" t="n">
        <v>12</v>
      </c>
      <c r="P290" s="256" t="inlineStr">
        <is>
          <t>金羊毛储值计划</t>
        </is>
      </c>
      <c r="Q290" s="256" t="n">
        <v>5</v>
      </c>
      <c r="R290" s="256" t="inlineStr">
        <is>
          <t>红</t>
        </is>
      </c>
    </row>
    <row r="291" ht="16.5" customHeight="1" s="14">
      <c r="N291" s="256" t="n">
        <v>60288</v>
      </c>
      <c r="O291" s="256" t="n">
        <v>12</v>
      </c>
      <c r="P291" s="256" t="inlineStr">
        <is>
          <t>金羊毛储值计划</t>
        </is>
      </c>
      <c r="Q291" s="256" t="n">
        <v>6</v>
      </c>
      <c r="R291" s="256" t="inlineStr">
        <is>
          <t>红</t>
        </is>
      </c>
    </row>
    <row r="292" ht="16.5" customHeight="1" s="14">
      <c r="N292" s="256" t="n">
        <v>60289</v>
      </c>
      <c r="O292" s="256" t="n">
        <v>13</v>
      </c>
      <c r="P292" s="256" t="inlineStr">
        <is>
          <t>铁十字的锋锐</t>
        </is>
      </c>
      <c r="Q292" s="256" t="n">
        <v>1</v>
      </c>
      <c r="R292" s="256" t="inlineStr">
        <is>
          <t>蓝</t>
        </is>
      </c>
    </row>
    <row r="293" ht="16.5" customHeight="1" s="14">
      <c r="N293" s="256" t="n">
        <v>60290</v>
      </c>
      <c r="O293" s="256" t="n">
        <v>13</v>
      </c>
      <c r="P293" s="256" t="inlineStr">
        <is>
          <t>铁十字的锋锐</t>
        </is>
      </c>
      <c r="Q293" s="256" t="n">
        <v>2</v>
      </c>
      <c r="R293" s="256" t="inlineStr">
        <is>
          <t>蓝</t>
        </is>
      </c>
    </row>
    <row r="294" ht="16.5" customHeight="1" s="14">
      <c r="N294" s="256" t="n">
        <v>60291</v>
      </c>
      <c r="O294" s="256" t="n">
        <v>13</v>
      </c>
      <c r="P294" s="256" t="inlineStr">
        <is>
          <t>铁十字的锋锐</t>
        </is>
      </c>
      <c r="Q294" s="256" t="n">
        <v>3</v>
      </c>
      <c r="R294" s="256" t="inlineStr">
        <is>
          <t>蓝</t>
        </is>
      </c>
    </row>
    <row r="295" ht="16.5" customHeight="1" s="14">
      <c r="N295" s="256" t="n">
        <v>60292</v>
      </c>
      <c r="O295" s="256" t="n">
        <v>13</v>
      </c>
      <c r="P295" s="256" t="inlineStr">
        <is>
          <t>铁十字的锋锐</t>
        </is>
      </c>
      <c r="Q295" s="256" t="n">
        <v>4</v>
      </c>
      <c r="R295" s="256" t="inlineStr">
        <is>
          <t>蓝</t>
        </is>
      </c>
    </row>
    <row r="296" ht="16.5" customHeight="1" s="14">
      <c r="N296" s="256" t="n">
        <v>60293</v>
      </c>
      <c r="O296" s="256" t="n">
        <v>13</v>
      </c>
      <c r="P296" s="256" t="inlineStr">
        <is>
          <t>铁十字的锋锐</t>
        </is>
      </c>
      <c r="Q296" s="256" t="n">
        <v>5</v>
      </c>
      <c r="R296" s="256" t="inlineStr">
        <is>
          <t>蓝</t>
        </is>
      </c>
    </row>
    <row r="297" ht="16.5" customHeight="1" s="14">
      <c r="N297" s="256" t="n">
        <v>60294</v>
      </c>
      <c r="O297" s="256" t="n">
        <v>13</v>
      </c>
      <c r="P297" s="256" t="inlineStr">
        <is>
          <t>铁十字的锋锐</t>
        </is>
      </c>
      <c r="Q297" s="256" t="n">
        <v>6</v>
      </c>
      <c r="R297" s="256" t="inlineStr">
        <is>
          <t>蓝</t>
        </is>
      </c>
    </row>
    <row r="298" ht="16.5" customHeight="1" s="14">
      <c r="N298" s="256" t="n">
        <v>60295</v>
      </c>
      <c r="O298" s="256" t="n">
        <v>13</v>
      </c>
      <c r="P298" s="256" t="inlineStr">
        <is>
          <t>铁十字的锋锐</t>
        </is>
      </c>
      <c r="Q298" s="256" t="n">
        <v>1</v>
      </c>
      <c r="R298" s="256" t="inlineStr">
        <is>
          <t>紫</t>
        </is>
      </c>
    </row>
    <row r="299" ht="16.5" customHeight="1" s="14">
      <c r="N299" s="256" t="n">
        <v>60296</v>
      </c>
      <c r="O299" s="256" t="n">
        <v>13</v>
      </c>
      <c r="P299" s="256" t="inlineStr">
        <is>
          <t>铁十字的锋锐</t>
        </is>
      </c>
      <c r="Q299" s="256" t="n">
        <v>2</v>
      </c>
      <c r="R299" s="256" t="inlineStr">
        <is>
          <t>紫</t>
        </is>
      </c>
    </row>
    <row r="300" ht="16.5" customHeight="1" s="14">
      <c r="N300" s="256" t="n">
        <v>60297</v>
      </c>
      <c r="O300" s="256" t="n">
        <v>13</v>
      </c>
      <c r="P300" s="256" t="inlineStr">
        <is>
          <t>铁十字的锋锐</t>
        </is>
      </c>
      <c r="Q300" s="256" t="n">
        <v>3</v>
      </c>
      <c r="R300" s="256" t="inlineStr">
        <is>
          <t>紫</t>
        </is>
      </c>
    </row>
    <row r="301" ht="16.5" customHeight="1" s="14">
      <c r="N301" s="256" t="n">
        <v>60298</v>
      </c>
      <c r="O301" s="256" t="n">
        <v>13</v>
      </c>
      <c r="P301" s="256" t="inlineStr">
        <is>
          <t>铁十字的锋锐</t>
        </is>
      </c>
      <c r="Q301" s="256" t="n">
        <v>4</v>
      </c>
      <c r="R301" s="256" t="inlineStr">
        <is>
          <t>紫</t>
        </is>
      </c>
    </row>
    <row r="302" ht="16.5" customHeight="1" s="14">
      <c r="N302" s="256" t="n">
        <v>60299</v>
      </c>
      <c r="O302" s="256" t="n">
        <v>13</v>
      </c>
      <c r="P302" s="256" t="inlineStr">
        <is>
          <t>铁十字的锋锐</t>
        </is>
      </c>
      <c r="Q302" s="256" t="n">
        <v>5</v>
      </c>
      <c r="R302" s="256" t="inlineStr">
        <is>
          <t>紫</t>
        </is>
      </c>
    </row>
    <row r="303" ht="16.5" customHeight="1" s="14">
      <c r="N303" s="256" t="n">
        <v>60300</v>
      </c>
      <c r="O303" s="256" t="n">
        <v>13</v>
      </c>
      <c r="P303" s="256" t="inlineStr">
        <is>
          <t>铁十字的锋锐</t>
        </is>
      </c>
      <c r="Q303" s="256" t="n">
        <v>6</v>
      </c>
      <c r="R303" s="256" t="inlineStr">
        <is>
          <t>紫</t>
        </is>
      </c>
    </row>
    <row r="304" ht="16.5" customHeight="1" s="14">
      <c r="N304" s="256" t="n">
        <v>60301</v>
      </c>
      <c r="O304" s="256" t="n">
        <v>13</v>
      </c>
      <c r="P304" s="256" t="inlineStr">
        <is>
          <t>铁十字的锋锐</t>
        </is>
      </c>
      <c r="Q304" s="256" t="n">
        <v>1</v>
      </c>
      <c r="R304" s="256" t="inlineStr">
        <is>
          <t>金</t>
        </is>
      </c>
    </row>
    <row r="305" ht="16.5" customHeight="1" s="14">
      <c r="N305" s="256" t="n">
        <v>60302</v>
      </c>
      <c r="O305" s="256" t="n">
        <v>13</v>
      </c>
      <c r="P305" s="256" t="inlineStr">
        <is>
          <t>铁十字的锋锐</t>
        </is>
      </c>
      <c r="Q305" s="256" t="n">
        <v>2</v>
      </c>
      <c r="R305" s="256" t="inlineStr">
        <is>
          <t>金</t>
        </is>
      </c>
    </row>
    <row r="306" ht="16.5" customHeight="1" s="14">
      <c r="N306" s="256" t="n">
        <v>60303</v>
      </c>
      <c r="O306" s="256" t="n">
        <v>13</v>
      </c>
      <c r="P306" s="256" t="inlineStr">
        <is>
          <t>铁十字的锋锐</t>
        </is>
      </c>
      <c r="Q306" s="256" t="n">
        <v>3</v>
      </c>
      <c r="R306" s="256" t="inlineStr">
        <is>
          <t>金</t>
        </is>
      </c>
    </row>
    <row r="307" ht="16.5" customHeight="1" s="14">
      <c r="N307" s="256" t="n">
        <v>60304</v>
      </c>
      <c r="O307" s="256" t="n">
        <v>13</v>
      </c>
      <c r="P307" s="256" t="inlineStr">
        <is>
          <t>铁十字的锋锐</t>
        </is>
      </c>
      <c r="Q307" s="256" t="n">
        <v>4</v>
      </c>
      <c r="R307" s="256" t="inlineStr">
        <is>
          <t>金</t>
        </is>
      </c>
    </row>
    <row r="308" ht="16.5" customHeight="1" s="14">
      <c r="N308" s="256" t="n">
        <v>60305</v>
      </c>
      <c r="O308" s="256" t="n">
        <v>13</v>
      </c>
      <c r="P308" s="256" t="inlineStr">
        <is>
          <t>铁十字的锋锐</t>
        </is>
      </c>
      <c r="Q308" s="256" t="n">
        <v>5</v>
      </c>
      <c r="R308" s="256" t="inlineStr">
        <is>
          <t>金</t>
        </is>
      </c>
    </row>
    <row r="309" ht="16.5" customHeight="1" s="14">
      <c r="N309" s="256" t="n">
        <v>60306</v>
      </c>
      <c r="O309" s="256" t="n">
        <v>13</v>
      </c>
      <c r="P309" s="256" t="inlineStr">
        <is>
          <t>铁十字的锋锐</t>
        </is>
      </c>
      <c r="Q309" s="256" t="n">
        <v>6</v>
      </c>
      <c r="R309" s="256" t="inlineStr">
        <is>
          <t>金</t>
        </is>
      </c>
    </row>
    <row r="310" ht="16.5" customHeight="1" s="14">
      <c r="N310" s="256" t="n">
        <v>60307</v>
      </c>
      <c r="O310" s="256" t="n">
        <v>13</v>
      </c>
      <c r="P310" s="256" t="inlineStr">
        <is>
          <t>铁十字的锋锐</t>
        </is>
      </c>
      <c r="Q310" s="256" t="n">
        <v>1</v>
      </c>
      <c r="R310" s="256" t="inlineStr">
        <is>
          <t>红</t>
        </is>
      </c>
    </row>
    <row r="311" ht="16.5" customHeight="1" s="14">
      <c r="N311" s="256" t="n">
        <v>60308</v>
      </c>
      <c r="O311" s="256" t="n">
        <v>13</v>
      </c>
      <c r="P311" s="256" t="inlineStr">
        <is>
          <t>铁十字的锋锐</t>
        </is>
      </c>
      <c r="Q311" s="256" t="n">
        <v>2</v>
      </c>
      <c r="R311" s="256" t="inlineStr">
        <is>
          <t>红</t>
        </is>
      </c>
    </row>
    <row r="312" ht="16.5" customHeight="1" s="14">
      <c r="N312" s="256" t="n">
        <v>60309</v>
      </c>
      <c r="O312" s="256" t="n">
        <v>13</v>
      </c>
      <c r="P312" s="256" t="inlineStr">
        <is>
          <t>铁十字的锋锐</t>
        </is>
      </c>
      <c r="Q312" s="256" t="n">
        <v>3</v>
      </c>
      <c r="R312" s="256" t="inlineStr">
        <is>
          <t>红</t>
        </is>
      </c>
    </row>
    <row r="313" ht="16.5" customHeight="1" s="14">
      <c r="N313" s="256" t="n">
        <v>60310</v>
      </c>
      <c r="O313" s="256" t="n">
        <v>13</v>
      </c>
      <c r="P313" s="256" t="inlineStr">
        <is>
          <t>铁十字的锋锐</t>
        </is>
      </c>
      <c r="Q313" s="256" t="n">
        <v>4</v>
      </c>
      <c r="R313" s="256" t="inlineStr">
        <is>
          <t>红</t>
        </is>
      </c>
    </row>
    <row r="314" ht="16.5" customHeight="1" s="14">
      <c r="N314" s="256" t="n">
        <v>60311</v>
      </c>
      <c r="O314" s="256" t="n">
        <v>13</v>
      </c>
      <c r="P314" s="256" t="inlineStr">
        <is>
          <t>铁十字的锋锐</t>
        </is>
      </c>
      <c r="Q314" s="256" t="n">
        <v>5</v>
      </c>
      <c r="R314" s="256" t="inlineStr">
        <is>
          <t>红</t>
        </is>
      </c>
    </row>
    <row r="315" ht="16.5" customHeight="1" s="14">
      <c r="N315" s="256" t="n">
        <v>60312</v>
      </c>
      <c r="O315" s="256" t="n">
        <v>13</v>
      </c>
      <c r="P315" s="256" t="inlineStr">
        <is>
          <t>铁十字的锋锐</t>
        </is>
      </c>
      <c r="Q315" s="256" t="n">
        <v>6</v>
      </c>
      <c r="R315" s="256" t="inlineStr">
        <is>
          <t>红</t>
        </is>
      </c>
    </row>
    <row r="316" ht="16.5" customHeight="1" s="14">
      <c r="N316" s="256" t="n">
        <v>60313</v>
      </c>
      <c r="O316" s="256" t="n">
        <v>14</v>
      </c>
      <c r="P316" s="256" t="inlineStr">
        <is>
          <t>元能宣泄</t>
        </is>
      </c>
      <c r="Q316" s="256" t="n">
        <v>1</v>
      </c>
      <c r="R316" s="256" t="inlineStr">
        <is>
          <t>蓝</t>
        </is>
      </c>
    </row>
    <row r="317" ht="16.5" customHeight="1" s="14">
      <c r="N317" s="256" t="n">
        <v>60314</v>
      </c>
      <c r="O317" s="256" t="n">
        <v>14</v>
      </c>
      <c r="P317" s="256" t="inlineStr">
        <is>
          <t>元能宣泄</t>
        </is>
      </c>
      <c r="Q317" s="256" t="n">
        <v>2</v>
      </c>
      <c r="R317" s="256" t="inlineStr">
        <is>
          <t>蓝</t>
        </is>
      </c>
    </row>
    <row r="318" ht="16.5" customHeight="1" s="14">
      <c r="N318" s="256" t="n">
        <v>60315</v>
      </c>
      <c r="O318" s="256" t="n">
        <v>14</v>
      </c>
      <c r="P318" s="256" t="inlineStr">
        <is>
          <t>元能宣泄</t>
        </is>
      </c>
      <c r="Q318" s="256" t="n">
        <v>3</v>
      </c>
      <c r="R318" s="256" t="inlineStr">
        <is>
          <t>蓝</t>
        </is>
      </c>
    </row>
    <row r="319" ht="16.5" customHeight="1" s="14">
      <c r="N319" s="256" t="n">
        <v>60316</v>
      </c>
      <c r="O319" s="256" t="n">
        <v>14</v>
      </c>
      <c r="P319" s="256" t="inlineStr">
        <is>
          <t>元能宣泄</t>
        </is>
      </c>
      <c r="Q319" s="256" t="n">
        <v>4</v>
      </c>
      <c r="R319" s="256" t="inlineStr">
        <is>
          <t>蓝</t>
        </is>
      </c>
    </row>
    <row r="320" ht="16.5" customHeight="1" s="14">
      <c r="N320" s="256" t="n">
        <v>60317</v>
      </c>
      <c r="O320" s="256" t="n">
        <v>14</v>
      </c>
      <c r="P320" s="256" t="inlineStr">
        <is>
          <t>元能宣泄</t>
        </is>
      </c>
      <c r="Q320" s="256" t="n">
        <v>5</v>
      </c>
      <c r="R320" s="256" t="inlineStr">
        <is>
          <t>蓝</t>
        </is>
      </c>
    </row>
    <row r="321" ht="16.5" customHeight="1" s="14">
      <c r="N321" s="256" t="n">
        <v>60318</v>
      </c>
      <c r="O321" s="256" t="n">
        <v>14</v>
      </c>
      <c r="P321" s="256" t="inlineStr">
        <is>
          <t>元能宣泄</t>
        </is>
      </c>
      <c r="Q321" s="256" t="n">
        <v>6</v>
      </c>
      <c r="R321" s="256" t="inlineStr">
        <is>
          <t>蓝</t>
        </is>
      </c>
    </row>
    <row r="322" ht="16.5" customHeight="1" s="14">
      <c r="N322" s="256" t="n">
        <v>60319</v>
      </c>
      <c r="O322" s="256" t="n">
        <v>14</v>
      </c>
      <c r="P322" s="256" t="inlineStr">
        <is>
          <t>元能宣泄</t>
        </is>
      </c>
      <c r="Q322" s="256" t="n">
        <v>1</v>
      </c>
      <c r="R322" s="256" t="inlineStr">
        <is>
          <t>紫</t>
        </is>
      </c>
    </row>
    <row r="323" ht="16.5" customHeight="1" s="14">
      <c r="N323" s="256" t="n">
        <v>60320</v>
      </c>
      <c r="O323" s="256" t="n">
        <v>14</v>
      </c>
      <c r="P323" s="256" t="inlineStr">
        <is>
          <t>元能宣泄</t>
        </is>
      </c>
      <c r="Q323" s="256" t="n">
        <v>2</v>
      </c>
      <c r="R323" s="256" t="inlineStr">
        <is>
          <t>紫</t>
        </is>
      </c>
    </row>
    <row r="324" ht="16.5" customHeight="1" s="14">
      <c r="N324" s="256" t="n">
        <v>60321</v>
      </c>
      <c r="O324" s="256" t="n">
        <v>14</v>
      </c>
      <c r="P324" s="256" t="inlineStr">
        <is>
          <t>元能宣泄</t>
        </is>
      </c>
      <c r="Q324" s="256" t="n">
        <v>3</v>
      </c>
      <c r="R324" s="256" t="inlineStr">
        <is>
          <t>紫</t>
        </is>
      </c>
    </row>
    <row r="325" ht="16.5" customHeight="1" s="14">
      <c r="N325" s="256" t="n">
        <v>60322</v>
      </c>
      <c r="O325" s="256" t="n">
        <v>14</v>
      </c>
      <c r="P325" s="256" t="inlineStr">
        <is>
          <t>元能宣泄</t>
        </is>
      </c>
      <c r="Q325" s="256" t="n">
        <v>4</v>
      </c>
      <c r="R325" s="256" t="inlineStr">
        <is>
          <t>紫</t>
        </is>
      </c>
    </row>
    <row r="326" ht="16.5" customHeight="1" s="14">
      <c r="N326" s="256" t="n">
        <v>60323</v>
      </c>
      <c r="O326" s="256" t="n">
        <v>14</v>
      </c>
      <c r="P326" s="256" t="inlineStr">
        <is>
          <t>元能宣泄</t>
        </is>
      </c>
      <c r="Q326" s="256" t="n">
        <v>5</v>
      </c>
      <c r="R326" s="256" t="inlineStr">
        <is>
          <t>紫</t>
        </is>
      </c>
    </row>
    <row r="327" ht="16.5" customHeight="1" s="14">
      <c r="N327" s="256" t="n">
        <v>60324</v>
      </c>
      <c r="O327" s="256" t="n">
        <v>14</v>
      </c>
      <c r="P327" s="256" t="inlineStr">
        <is>
          <t>元能宣泄</t>
        </is>
      </c>
      <c r="Q327" s="256" t="n">
        <v>6</v>
      </c>
      <c r="R327" s="256" t="inlineStr">
        <is>
          <t>紫</t>
        </is>
      </c>
    </row>
    <row r="328" ht="16.5" customHeight="1" s="14">
      <c r="N328" s="256" t="n">
        <v>60325</v>
      </c>
      <c r="O328" s="256" t="n">
        <v>14</v>
      </c>
      <c r="P328" s="256" t="inlineStr">
        <is>
          <t>元能宣泄</t>
        </is>
      </c>
      <c r="Q328" s="256" t="n">
        <v>1</v>
      </c>
      <c r="R328" s="256" t="inlineStr">
        <is>
          <t>金</t>
        </is>
      </c>
    </row>
    <row r="329" ht="16.5" customHeight="1" s="14">
      <c r="N329" s="256" t="n">
        <v>60326</v>
      </c>
      <c r="O329" s="256" t="n">
        <v>14</v>
      </c>
      <c r="P329" s="256" t="inlineStr">
        <is>
          <t>元能宣泄</t>
        </is>
      </c>
      <c r="Q329" s="256" t="n">
        <v>2</v>
      </c>
      <c r="R329" s="256" t="inlineStr">
        <is>
          <t>金</t>
        </is>
      </c>
    </row>
    <row r="330" ht="16.5" customHeight="1" s="14">
      <c r="N330" s="256" t="n">
        <v>60327</v>
      </c>
      <c r="O330" s="256" t="n">
        <v>14</v>
      </c>
      <c r="P330" s="256" t="inlineStr">
        <is>
          <t>元能宣泄</t>
        </is>
      </c>
      <c r="Q330" s="256" t="n">
        <v>3</v>
      </c>
      <c r="R330" s="256" t="inlineStr">
        <is>
          <t>金</t>
        </is>
      </c>
    </row>
    <row r="331" ht="16.5" customHeight="1" s="14">
      <c r="N331" s="256" t="n">
        <v>60328</v>
      </c>
      <c r="O331" s="256" t="n">
        <v>14</v>
      </c>
      <c r="P331" s="256" t="inlineStr">
        <is>
          <t>元能宣泄</t>
        </is>
      </c>
      <c r="Q331" s="256" t="n">
        <v>4</v>
      </c>
      <c r="R331" s="256" t="inlineStr">
        <is>
          <t>金</t>
        </is>
      </c>
    </row>
    <row r="332" ht="16.5" customHeight="1" s="14">
      <c r="N332" s="256" t="n">
        <v>60329</v>
      </c>
      <c r="O332" s="256" t="n">
        <v>14</v>
      </c>
      <c r="P332" s="256" t="inlineStr">
        <is>
          <t>元能宣泄</t>
        </is>
      </c>
      <c r="Q332" s="256" t="n">
        <v>5</v>
      </c>
      <c r="R332" s="256" t="inlineStr">
        <is>
          <t>金</t>
        </is>
      </c>
    </row>
    <row r="333" ht="16.5" customHeight="1" s="14">
      <c r="N333" s="256" t="n">
        <v>60330</v>
      </c>
      <c r="O333" s="256" t="n">
        <v>14</v>
      </c>
      <c r="P333" s="256" t="inlineStr">
        <is>
          <t>元能宣泄</t>
        </is>
      </c>
      <c r="Q333" s="256" t="n">
        <v>6</v>
      </c>
      <c r="R333" s="256" t="inlineStr">
        <is>
          <t>金</t>
        </is>
      </c>
    </row>
    <row r="334" ht="16.5" customHeight="1" s="14">
      <c r="N334" s="256" t="n">
        <v>60331</v>
      </c>
      <c r="O334" s="256" t="n">
        <v>14</v>
      </c>
      <c r="P334" s="256" t="inlineStr">
        <is>
          <t>元能宣泄</t>
        </is>
      </c>
      <c r="Q334" s="256" t="n">
        <v>1</v>
      </c>
      <c r="R334" s="256" t="inlineStr">
        <is>
          <t>红</t>
        </is>
      </c>
    </row>
    <row r="335" ht="16.5" customHeight="1" s="14">
      <c r="N335" s="256" t="n">
        <v>60332</v>
      </c>
      <c r="O335" s="256" t="n">
        <v>14</v>
      </c>
      <c r="P335" s="256" t="inlineStr">
        <is>
          <t>元能宣泄</t>
        </is>
      </c>
      <c r="Q335" s="256" t="n">
        <v>2</v>
      </c>
      <c r="R335" s="256" t="inlineStr">
        <is>
          <t>红</t>
        </is>
      </c>
    </row>
    <row r="336" ht="16.5" customHeight="1" s="14">
      <c r="N336" s="256" t="n">
        <v>60333</v>
      </c>
      <c r="O336" s="256" t="n">
        <v>14</v>
      </c>
      <c r="P336" s="256" t="inlineStr">
        <is>
          <t>元能宣泄</t>
        </is>
      </c>
      <c r="Q336" s="256" t="n">
        <v>3</v>
      </c>
      <c r="R336" s="256" t="inlineStr">
        <is>
          <t>红</t>
        </is>
      </c>
    </row>
    <row r="337" ht="16.5" customHeight="1" s="14">
      <c r="N337" s="256" t="n">
        <v>60334</v>
      </c>
      <c r="O337" s="256" t="n">
        <v>14</v>
      </c>
      <c r="P337" s="256" t="inlineStr">
        <is>
          <t>元能宣泄</t>
        </is>
      </c>
      <c r="Q337" s="256" t="n">
        <v>4</v>
      </c>
      <c r="R337" s="256" t="inlineStr">
        <is>
          <t>红</t>
        </is>
      </c>
    </row>
    <row r="338" ht="16.5" customHeight="1" s="14">
      <c r="N338" s="256" t="n">
        <v>60335</v>
      </c>
      <c r="O338" s="256" t="n">
        <v>14</v>
      </c>
      <c r="P338" s="256" t="inlineStr">
        <is>
          <t>元能宣泄</t>
        </is>
      </c>
      <c r="Q338" s="256" t="n">
        <v>5</v>
      </c>
      <c r="R338" s="256" t="inlineStr">
        <is>
          <t>红</t>
        </is>
      </c>
    </row>
    <row r="339" ht="16.5" customHeight="1" s="14">
      <c r="N339" s="256" t="n">
        <v>60336</v>
      </c>
      <c r="O339" s="256" t="n">
        <v>14</v>
      </c>
      <c r="P339" s="256" t="inlineStr">
        <is>
          <t>元能宣泄</t>
        </is>
      </c>
      <c r="Q339" s="256" t="n">
        <v>6</v>
      </c>
      <c r="R339" s="256" t="inlineStr">
        <is>
          <t>红</t>
        </is>
      </c>
    </row>
    <row r="340" ht="16.5" customHeight="1" s="14">
      <c r="N340" s="256" t="n">
        <v>60337</v>
      </c>
      <c r="O340" s="256" t="n">
        <v>15</v>
      </c>
      <c r="P340" s="256" t="inlineStr">
        <is>
          <t>千湖未尽之旅</t>
        </is>
      </c>
      <c r="Q340" s="256" t="n">
        <v>1</v>
      </c>
      <c r="R340" s="256" t="inlineStr">
        <is>
          <t>蓝</t>
        </is>
      </c>
    </row>
    <row r="341" ht="16.5" customHeight="1" s="14">
      <c r="N341" s="256" t="n">
        <v>60338</v>
      </c>
      <c r="O341" s="256" t="n">
        <v>15</v>
      </c>
      <c r="P341" s="256" t="inlineStr">
        <is>
          <t>千湖未尽之旅</t>
        </is>
      </c>
      <c r="Q341" s="256" t="n">
        <v>2</v>
      </c>
      <c r="R341" s="256" t="inlineStr">
        <is>
          <t>蓝</t>
        </is>
      </c>
    </row>
    <row r="342" ht="16.5" customHeight="1" s="14">
      <c r="N342" s="256" t="n">
        <v>60339</v>
      </c>
      <c r="O342" s="256" t="n">
        <v>15</v>
      </c>
      <c r="P342" s="256" t="inlineStr">
        <is>
          <t>千湖未尽之旅</t>
        </is>
      </c>
      <c r="Q342" s="256" t="n">
        <v>3</v>
      </c>
      <c r="R342" s="256" t="inlineStr">
        <is>
          <t>蓝</t>
        </is>
      </c>
    </row>
    <row r="343" ht="16.5" customHeight="1" s="14">
      <c r="N343" s="256" t="n">
        <v>60340</v>
      </c>
      <c r="O343" s="256" t="n">
        <v>15</v>
      </c>
      <c r="P343" s="256" t="inlineStr">
        <is>
          <t>千湖未尽之旅</t>
        </is>
      </c>
      <c r="Q343" s="256" t="n">
        <v>4</v>
      </c>
      <c r="R343" s="256" t="inlineStr">
        <is>
          <t>蓝</t>
        </is>
      </c>
    </row>
    <row r="344" ht="16.5" customHeight="1" s="14">
      <c r="N344" s="256" t="n">
        <v>60341</v>
      </c>
      <c r="O344" s="256" t="n">
        <v>15</v>
      </c>
      <c r="P344" s="256" t="inlineStr">
        <is>
          <t>千湖未尽之旅</t>
        </is>
      </c>
      <c r="Q344" s="256" t="n">
        <v>5</v>
      </c>
      <c r="R344" s="256" t="inlineStr">
        <is>
          <t>蓝</t>
        </is>
      </c>
    </row>
    <row r="345" ht="16.5" customHeight="1" s="14">
      <c r="N345" s="256" t="n">
        <v>60342</v>
      </c>
      <c r="O345" s="256" t="n">
        <v>15</v>
      </c>
      <c r="P345" s="256" t="inlineStr">
        <is>
          <t>千湖未尽之旅</t>
        </is>
      </c>
      <c r="Q345" s="256" t="n">
        <v>6</v>
      </c>
      <c r="R345" s="256" t="inlineStr">
        <is>
          <t>蓝</t>
        </is>
      </c>
    </row>
    <row r="346" ht="16.5" customHeight="1" s="14">
      <c r="N346" s="256" t="n">
        <v>60343</v>
      </c>
      <c r="O346" s="256" t="n">
        <v>15</v>
      </c>
      <c r="P346" s="256" t="inlineStr">
        <is>
          <t>千湖未尽之旅</t>
        </is>
      </c>
      <c r="Q346" s="256" t="n">
        <v>1</v>
      </c>
      <c r="R346" s="256" t="inlineStr">
        <is>
          <t>紫</t>
        </is>
      </c>
    </row>
    <row r="347" ht="16.5" customHeight="1" s="14">
      <c r="N347" s="256" t="n">
        <v>60344</v>
      </c>
      <c r="O347" s="256" t="n">
        <v>15</v>
      </c>
      <c r="P347" s="256" t="inlineStr">
        <is>
          <t>千湖未尽之旅</t>
        </is>
      </c>
      <c r="Q347" s="256" t="n">
        <v>2</v>
      </c>
      <c r="R347" s="256" t="inlineStr">
        <is>
          <t>紫</t>
        </is>
      </c>
    </row>
    <row r="348" ht="16.5" customHeight="1" s="14">
      <c r="N348" s="256" t="n">
        <v>60345</v>
      </c>
      <c r="O348" s="256" t="n">
        <v>15</v>
      </c>
      <c r="P348" s="256" t="inlineStr">
        <is>
          <t>千湖未尽之旅</t>
        </is>
      </c>
      <c r="Q348" s="256" t="n">
        <v>3</v>
      </c>
      <c r="R348" s="256" t="inlineStr">
        <is>
          <t>紫</t>
        </is>
      </c>
    </row>
    <row r="349" ht="16.5" customHeight="1" s="14">
      <c r="N349" s="256" t="n">
        <v>60346</v>
      </c>
      <c r="O349" s="256" t="n">
        <v>15</v>
      </c>
      <c r="P349" s="256" t="inlineStr">
        <is>
          <t>千湖未尽之旅</t>
        </is>
      </c>
      <c r="Q349" s="256" t="n">
        <v>4</v>
      </c>
      <c r="R349" s="256" t="inlineStr">
        <is>
          <t>紫</t>
        </is>
      </c>
    </row>
    <row r="350" ht="16.5" customHeight="1" s="14">
      <c r="N350" s="256" t="n">
        <v>60347</v>
      </c>
      <c r="O350" s="256" t="n">
        <v>15</v>
      </c>
      <c r="P350" s="256" t="inlineStr">
        <is>
          <t>千湖未尽之旅</t>
        </is>
      </c>
      <c r="Q350" s="256" t="n">
        <v>5</v>
      </c>
      <c r="R350" s="256" t="inlineStr">
        <is>
          <t>紫</t>
        </is>
      </c>
    </row>
    <row r="351" ht="16.5" customHeight="1" s="14">
      <c r="N351" s="256" t="n">
        <v>60348</v>
      </c>
      <c r="O351" s="256" t="n">
        <v>15</v>
      </c>
      <c r="P351" s="256" t="inlineStr">
        <is>
          <t>千湖未尽之旅</t>
        </is>
      </c>
      <c r="Q351" s="256" t="n">
        <v>6</v>
      </c>
      <c r="R351" s="256" t="inlineStr">
        <is>
          <t>紫</t>
        </is>
      </c>
    </row>
    <row r="352" ht="16.5" customHeight="1" s="14">
      <c r="N352" s="256" t="n">
        <v>60349</v>
      </c>
      <c r="O352" s="256" t="n">
        <v>15</v>
      </c>
      <c r="P352" s="256" t="inlineStr">
        <is>
          <t>千湖未尽之旅</t>
        </is>
      </c>
      <c r="Q352" s="256" t="n">
        <v>1</v>
      </c>
      <c r="R352" s="256" t="inlineStr">
        <is>
          <t>金</t>
        </is>
      </c>
    </row>
    <row r="353" ht="16.5" customHeight="1" s="14">
      <c r="N353" s="256" t="n">
        <v>60350</v>
      </c>
      <c r="O353" s="256" t="n">
        <v>15</v>
      </c>
      <c r="P353" s="256" t="inlineStr">
        <is>
          <t>千湖未尽之旅</t>
        </is>
      </c>
      <c r="Q353" s="256" t="n">
        <v>2</v>
      </c>
      <c r="R353" s="256" t="inlineStr">
        <is>
          <t>金</t>
        </is>
      </c>
    </row>
    <row r="354" ht="16.5" customHeight="1" s="14">
      <c r="N354" s="256" t="n">
        <v>60351</v>
      </c>
      <c r="O354" s="256" t="n">
        <v>15</v>
      </c>
      <c r="P354" s="256" t="inlineStr">
        <is>
          <t>千湖未尽之旅</t>
        </is>
      </c>
      <c r="Q354" s="256" t="n">
        <v>3</v>
      </c>
      <c r="R354" s="256" t="inlineStr">
        <is>
          <t>金</t>
        </is>
      </c>
    </row>
    <row r="355" ht="16.5" customHeight="1" s="14">
      <c r="N355" s="256" t="n">
        <v>60352</v>
      </c>
      <c r="O355" s="256" t="n">
        <v>15</v>
      </c>
      <c r="P355" s="256" t="inlineStr">
        <is>
          <t>千湖未尽之旅</t>
        </is>
      </c>
      <c r="Q355" s="256" t="n">
        <v>4</v>
      </c>
      <c r="R355" s="256" t="inlineStr">
        <is>
          <t>金</t>
        </is>
      </c>
    </row>
    <row r="356" ht="16.5" customHeight="1" s="14">
      <c r="N356" s="256" t="n">
        <v>60353</v>
      </c>
      <c r="O356" s="256" t="n">
        <v>15</v>
      </c>
      <c r="P356" s="256" t="inlineStr">
        <is>
          <t>千湖未尽之旅</t>
        </is>
      </c>
      <c r="Q356" s="256" t="n">
        <v>5</v>
      </c>
      <c r="R356" s="256" t="inlineStr">
        <is>
          <t>金</t>
        </is>
      </c>
    </row>
    <row r="357" ht="16.5" customHeight="1" s="14">
      <c r="N357" s="256" t="n">
        <v>60354</v>
      </c>
      <c r="O357" s="256" t="n">
        <v>15</v>
      </c>
      <c r="P357" s="256" t="inlineStr">
        <is>
          <t>千湖未尽之旅</t>
        </is>
      </c>
      <c r="Q357" s="256" t="n">
        <v>6</v>
      </c>
      <c r="R357" s="256" t="inlineStr">
        <is>
          <t>金</t>
        </is>
      </c>
    </row>
    <row r="358" ht="16.5" customHeight="1" s="14">
      <c r="N358" s="256" t="n">
        <v>60355</v>
      </c>
      <c r="O358" s="256" t="n">
        <v>15</v>
      </c>
      <c r="P358" s="256" t="inlineStr">
        <is>
          <t>千湖未尽之旅</t>
        </is>
      </c>
      <c r="Q358" s="256" t="n">
        <v>1</v>
      </c>
      <c r="R358" s="256" t="inlineStr">
        <is>
          <t>红</t>
        </is>
      </c>
    </row>
    <row r="359" ht="16.5" customHeight="1" s="14">
      <c r="N359" s="256" t="n">
        <v>60356</v>
      </c>
      <c r="O359" s="256" t="n">
        <v>15</v>
      </c>
      <c r="P359" s="256" t="inlineStr">
        <is>
          <t>千湖未尽之旅</t>
        </is>
      </c>
      <c r="Q359" s="256" t="n">
        <v>2</v>
      </c>
      <c r="R359" s="256" t="inlineStr">
        <is>
          <t>红</t>
        </is>
      </c>
    </row>
    <row r="360" ht="16.5" customHeight="1" s="14">
      <c r="N360" s="256" t="n">
        <v>60357</v>
      </c>
      <c r="O360" s="256" t="n">
        <v>15</v>
      </c>
      <c r="P360" s="256" t="inlineStr">
        <is>
          <t>千湖未尽之旅</t>
        </is>
      </c>
      <c r="Q360" s="256" t="n">
        <v>3</v>
      </c>
      <c r="R360" s="256" t="inlineStr">
        <is>
          <t>红</t>
        </is>
      </c>
    </row>
    <row r="361" ht="16.5" customHeight="1" s="14">
      <c r="N361" s="256" t="n">
        <v>60358</v>
      </c>
      <c r="O361" s="256" t="n">
        <v>15</v>
      </c>
      <c r="P361" s="256" t="inlineStr">
        <is>
          <t>千湖未尽之旅</t>
        </is>
      </c>
      <c r="Q361" s="256" t="n">
        <v>4</v>
      </c>
      <c r="R361" s="256" t="inlineStr">
        <is>
          <t>红</t>
        </is>
      </c>
    </row>
    <row r="362" ht="16.5" customHeight="1" s="14">
      <c r="N362" s="256" t="n">
        <v>60359</v>
      </c>
      <c r="O362" s="256" t="n">
        <v>15</v>
      </c>
      <c r="P362" s="256" t="inlineStr">
        <is>
          <t>千湖未尽之旅</t>
        </is>
      </c>
      <c r="Q362" s="256" t="n">
        <v>5</v>
      </c>
      <c r="R362" s="256" t="inlineStr">
        <is>
          <t>红</t>
        </is>
      </c>
    </row>
    <row r="363" ht="16.5" customHeight="1" s="14">
      <c r="N363" s="256" t="n">
        <v>60360</v>
      </c>
      <c r="O363" s="256" t="n">
        <v>15</v>
      </c>
      <c r="P363" s="256" t="inlineStr">
        <is>
          <t>千湖未尽之旅</t>
        </is>
      </c>
      <c r="Q363" s="256" t="n">
        <v>6</v>
      </c>
      <c r="R363" s="256" t="inlineStr">
        <is>
          <t>红</t>
        </is>
      </c>
    </row>
    <row r="364" ht="16.5" customHeight="1" s="14">
      <c r="N364" s="256" t="n">
        <v>60361</v>
      </c>
      <c r="O364" s="256" t="n">
        <v>16</v>
      </c>
      <c r="P364" s="256" t="inlineStr">
        <is>
          <t>风墟低语</t>
        </is>
      </c>
      <c r="Q364" s="256" t="n">
        <v>1</v>
      </c>
      <c r="R364" s="256" t="inlineStr">
        <is>
          <t>蓝</t>
        </is>
      </c>
    </row>
    <row r="365" ht="16.5" customHeight="1" s="14">
      <c r="N365" s="256" t="n">
        <v>60362</v>
      </c>
      <c r="O365" s="256" t="n">
        <v>16</v>
      </c>
      <c r="P365" s="256" t="inlineStr">
        <is>
          <t>风墟低语</t>
        </is>
      </c>
      <c r="Q365" s="256" t="n">
        <v>2</v>
      </c>
      <c r="R365" s="256" t="inlineStr">
        <is>
          <t>蓝</t>
        </is>
      </c>
    </row>
    <row r="366" ht="16.5" customHeight="1" s="14">
      <c r="N366" s="256" t="n">
        <v>60363</v>
      </c>
      <c r="O366" s="256" t="n">
        <v>16</v>
      </c>
      <c r="P366" s="256" t="inlineStr">
        <is>
          <t>风墟低语</t>
        </is>
      </c>
      <c r="Q366" s="256" t="n">
        <v>3</v>
      </c>
      <c r="R366" s="256" t="inlineStr">
        <is>
          <t>蓝</t>
        </is>
      </c>
    </row>
    <row r="367" ht="16.5" customHeight="1" s="14">
      <c r="N367" s="256" t="n">
        <v>60364</v>
      </c>
      <c r="O367" s="256" t="n">
        <v>16</v>
      </c>
      <c r="P367" s="256" t="inlineStr">
        <is>
          <t>风墟低语</t>
        </is>
      </c>
      <c r="Q367" s="256" t="n">
        <v>4</v>
      </c>
      <c r="R367" s="256" t="inlineStr">
        <is>
          <t>蓝</t>
        </is>
      </c>
    </row>
    <row r="368" ht="16.5" customHeight="1" s="14">
      <c r="N368" s="256" t="n">
        <v>60365</v>
      </c>
      <c r="O368" s="256" t="n">
        <v>16</v>
      </c>
      <c r="P368" s="256" t="inlineStr">
        <is>
          <t>风墟低语</t>
        </is>
      </c>
      <c r="Q368" s="256" t="n">
        <v>5</v>
      </c>
      <c r="R368" s="256" t="inlineStr">
        <is>
          <t>蓝</t>
        </is>
      </c>
    </row>
    <row r="369" ht="16.5" customHeight="1" s="14">
      <c r="N369" s="256" t="n">
        <v>60366</v>
      </c>
      <c r="O369" s="256" t="n">
        <v>16</v>
      </c>
      <c r="P369" s="256" t="inlineStr">
        <is>
          <t>风墟低语</t>
        </is>
      </c>
      <c r="Q369" s="256" t="n">
        <v>6</v>
      </c>
      <c r="R369" s="256" t="inlineStr">
        <is>
          <t>蓝</t>
        </is>
      </c>
    </row>
    <row r="370" ht="16.5" customHeight="1" s="14">
      <c r="N370" s="256" t="n">
        <v>60367</v>
      </c>
      <c r="O370" s="256" t="n">
        <v>16</v>
      </c>
      <c r="P370" s="256" t="inlineStr">
        <is>
          <t>风墟低语</t>
        </is>
      </c>
      <c r="Q370" s="256" t="n">
        <v>1</v>
      </c>
      <c r="R370" s="256" t="inlineStr">
        <is>
          <t>紫</t>
        </is>
      </c>
    </row>
    <row r="371" ht="16.5" customHeight="1" s="14">
      <c r="N371" s="256" t="n">
        <v>60368</v>
      </c>
      <c r="O371" s="256" t="n">
        <v>16</v>
      </c>
      <c r="P371" s="256" t="inlineStr">
        <is>
          <t>风墟低语</t>
        </is>
      </c>
      <c r="Q371" s="256" t="n">
        <v>2</v>
      </c>
      <c r="R371" s="256" t="inlineStr">
        <is>
          <t>紫</t>
        </is>
      </c>
    </row>
    <row r="372" ht="16.5" customHeight="1" s="14">
      <c r="N372" s="256" t="n">
        <v>60369</v>
      </c>
      <c r="O372" s="256" t="n">
        <v>16</v>
      </c>
      <c r="P372" s="256" t="inlineStr">
        <is>
          <t>风墟低语</t>
        </is>
      </c>
      <c r="Q372" s="256" t="n">
        <v>3</v>
      </c>
      <c r="R372" s="256" t="inlineStr">
        <is>
          <t>紫</t>
        </is>
      </c>
    </row>
    <row r="373" ht="16.5" customHeight="1" s="14">
      <c r="N373" s="256" t="n">
        <v>60370</v>
      </c>
      <c r="O373" s="256" t="n">
        <v>16</v>
      </c>
      <c r="P373" s="256" t="inlineStr">
        <is>
          <t>风墟低语</t>
        </is>
      </c>
      <c r="Q373" s="256" t="n">
        <v>4</v>
      </c>
      <c r="R373" s="256" t="inlineStr">
        <is>
          <t>紫</t>
        </is>
      </c>
    </row>
    <row r="374" ht="16.5" customHeight="1" s="14">
      <c r="N374" s="256" t="n">
        <v>60371</v>
      </c>
      <c r="O374" s="256" t="n">
        <v>16</v>
      </c>
      <c r="P374" s="256" t="inlineStr">
        <is>
          <t>风墟低语</t>
        </is>
      </c>
      <c r="Q374" s="256" t="n">
        <v>5</v>
      </c>
      <c r="R374" s="256" t="inlineStr">
        <is>
          <t>紫</t>
        </is>
      </c>
    </row>
    <row r="375" ht="16.5" customHeight="1" s="14">
      <c r="N375" s="256" t="n">
        <v>60372</v>
      </c>
      <c r="O375" s="256" t="n">
        <v>16</v>
      </c>
      <c r="P375" s="256" t="inlineStr">
        <is>
          <t>风墟低语</t>
        </is>
      </c>
      <c r="Q375" s="256" t="n">
        <v>6</v>
      </c>
      <c r="R375" s="256" t="inlineStr">
        <is>
          <t>紫</t>
        </is>
      </c>
    </row>
    <row r="376" ht="16.5" customHeight="1" s="14">
      <c r="N376" s="256" t="n">
        <v>60373</v>
      </c>
      <c r="O376" s="256" t="n">
        <v>16</v>
      </c>
      <c r="P376" s="256" t="inlineStr">
        <is>
          <t>风墟低语</t>
        </is>
      </c>
      <c r="Q376" s="256" t="n">
        <v>1</v>
      </c>
      <c r="R376" s="256" t="inlineStr">
        <is>
          <t>金</t>
        </is>
      </c>
    </row>
    <row r="377" ht="16.5" customHeight="1" s="14">
      <c r="N377" s="256" t="n">
        <v>60374</v>
      </c>
      <c r="O377" s="256" t="n">
        <v>16</v>
      </c>
      <c r="P377" s="256" t="inlineStr">
        <is>
          <t>风墟低语</t>
        </is>
      </c>
      <c r="Q377" s="256" t="n">
        <v>2</v>
      </c>
      <c r="R377" s="256" t="inlineStr">
        <is>
          <t>金</t>
        </is>
      </c>
    </row>
    <row r="378" ht="16.5" customHeight="1" s="14">
      <c r="N378" s="256" t="n">
        <v>60375</v>
      </c>
      <c r="O378" s="256" t="n">
        <v>16</v>
      </c>
      <c r="P378" s="256" t="inlineStr">
        <is>
          <t>风墟低语</t>
        </is>
      </c>
      <c r="Q378" s="256" t="n">
        <v>3</v>
      </c>
      <c r="R378" s="256" t="inlineStr">
        <is>
          <t>金</t>
        </is>
      </c>
    </row>
    <row r="379" ht="16.5" customHeight="1" s="14">
      <c r="N379" s="256" t="n">
        <v>60376</v>
      </c>
      <c r="O379" s="256" t="n">
        <v>16</v>
      </c>
      <c r="P379" s="256" t="inlineStr">
        <is>
          <t>风墟低语</t>
        </is>
      </c>
      <c r="Q379" s="256" t="n">
        <v>4</v>
      </c>
      <c r="R379" s="256" t="inlineStr">
        <is>
          <t>金</t>
        </is>
      </c>
    </row>
    <row r="380" ht="16.5" customHeight="1" s="14">
      <c r="N380" s="256" t="n">
        <v>60377</v>
      </c>
      <c r="O380" s="256" t="n">
        <v>16</v>
      </c>
      <c r="P380" s="256" t="inlineStr">
        <is>
          <t>风墟低语</t>
        </is>
      </c>
      <c r="Q380" s="256" t="n">
        <v>5</v>
      </c>
      <c r="R380" s="256" t="inlineStr">
        <is>
          <t>金</t>
        </is>
      </c>
    </row>
    <row r="381" ht="16.5" customHeight="1" s="14">
      <c r="N381" s="256" t="n">
        <v>60378</v>
      </c>
      <c r="O381" s="256" t="n">
        <v>16</v>
      </c>
      <c r="P381" s="256" t="inlineStr">
        <is>
          <t>风墟低语</t>
        </is>
      </c>
      <c r="Q381" s="256" t="n">
        <v>6</v>
      </c>
      <c r="R381" s="256" t="inlineStr">
        <is>
          <t>金</t>
        </is>
      </c>
    </row>
    <row r="382" ht="16.5" customHeight="1" s="14">
      <c r="N382" s="256" t="n">
        <v>60379</v>
      </c>
      <c r="O382" s="256" t="n">
        <v>16</v>
      </c>
      <c r="P382" s="256" t="inlineStr">
        <is>
          <t>风墟低语</t>
        </is>
      </c>
      <c r="Q382" s="256" t="n">
        <v>1</v>
      </c>
      <c r="R382" s="256" t="inlineStr">
        <is>
          <t>红</t>
        </is>
      </c>
    </row>
    <row r="383" ht="16.5" customHeight="1" s="14">
      <c r="N383" s="256" t="n">
        <v>60380</v>
      </c>
      <c r="O383" s="256" t="n">
        <v>16</v>
      </c>
      <c r="P383" s="256" t="inlineStr">
        <is>
          <t>风墟低语</t>
        </is>
      </c>
      <c r="Q383" s="256" t="n">
        <v>2</v>
      </c>
      <c r="R383" s="256" t="inlineStr">
        <is>
          <t>红</t>
        </is>
      </c>
    </row>
    <row r="384" ht="16.5" customHeight="1" s="14">
      <c r="N384" s="256" t="n">
        <v>60381</v>
      </c>
      <c r="O384" s="256" t="n">
        <v>16</v>
      </c>
      <c r="P384" s="256" t="inlineStr">
        <is>
          <t>风墟低语</t>
        </is>
      </c>
      <c r="Q384" s="256" t="n">
        <v>3</v>
      </c>
      <c r="R384" s="256" t="inlineStr">
        <is>
          <t>红</t>
        </is>
      </c>
    </row>
    <row r="385" ht="16.5" customHeight="1" s="14">
      <c r="N385" s="256" t="n">
        <v>60382</v>
      </c>
      <c r="O385" s="256" t="n">
        <v>16</v>
      </c>
      <c r="P385" s="256" t="inlineStr">
        <is>
          <t>风墟低语</t>
        </is>
      </c>
      <c r="Q385" s="256" t="n">
        <v>4</v>
      </c>
      <c r="R385" s="256" t="inlineStr">
        <is>
          <t>红</t>
        </is>
      </c>
    </row>
    <row r="386" ht="16.5" customHeight="1" s="14">
      <c r="N386" s="256" t="n">
        <v>60383</v>
      </c>
      <c r="O386" s="256" t="n">
        <v>16</v>
      </c>
      <c r="P386" s="256" t="inlineStr">
        <is>
          <t>风墟低语</t>
        </is>
      </c>
      <c r="Q386" s="256" t="n">
        <v>5</v>
      </c>
      <c r="R386" s="256" t="inlineStr">
        <is>
          <t>红</t>
        </is>
      </c>
    </row>
    <row r="387" ht="16.5" customHeight="1" s="14">
      <c r="N387" s="256" t="n">
        <v>60384</v>
      </c>
      <c r="O387" s="256" t="n">
        <v>16</v>
      </c>
      <c r="P387" s="256" t="inlineStr">
        <is>
          <t>风墟低语</t>
        </is>
      </c>
      <c r="Q387" s="256" t="n">
        <v>6</v>
      </c>
      <c r="R387" s="256" t="inlineStr">
        <is>
          <t>红</t>
        </is>
      </c>
    </row>
    <row r="388" ht="16.5" customHeight="1" s="14">
      <c r="N388" s="256" t="n">
        <v>60385</v>
      </c>
      <c r="O388" s="256" t="n">
        <v>17</v>
      </c>
      <c r="P388" s="256" t="inlineStr">
        <is>
          <t>大祭司之镜</t>
        </is>
      </c>
      <c r="Q388" s="256" t="n">
        <v>1</v>
      </c>
      <c r="R388" s="256" t="inlineStr">
        <is>
          <t>蓝</t>
        </is>
      </c>
    </row>
    <row r="389" ht="16.5" customHeight="1" s="14">
      <c r="N389" s="256" t="n">
        <v>60386</v>
      </c>
      <c r="O389" s="256" t="n">
        <v>17</v>
      </c>
      <c r="P389" s="256" t="inlineStr">
        <is>
          <t>大祭司之镜</t>
        </is>
      </c>
      <c r="Q389" s="256" t="n">
        <v>2</v>
      </c>
      <c r="R389" s="256" t="inlineStr">
        <is>
          <t>蓝</t>
        </is>
      </c>
    </row>
    <row r="390" ht="16.5" customHeight="1" s="14">
      <c r="N390" s="256" t="n">
        <v>60387</v>
      </c>
      <c r="O390" s="256" t="n">
        <v>17</v>
      </c>
      <c r="P390" s="256" t="inlineStr">
        <is>
          <t>大祭司之镜</t>
        </is>
      </c>
      <c r="Q390" s="256" t="n">
        <v>3</v>
      </c>
      <c r="R390" s="256" t="inlineStr">
        <is>
          <t>蓝</t>
        </is>
      </c>
    </row>
    <row r="391" ht="16.5" customHeight="1" s="14">
      <c r="N391" s="256" t="n">
        <v>60388</v>
      </c>
      <c r="O391" s="256" t="n">
        <v>17</v>
      </c>
      <c r="P391" s="256" t="inlineStr">
        <is>
          <t>大祭司之镜</t>
        </is>
      </c>
      <c r="Q391" s="256" t="n">
        <v>4</v>
      </c>
      <c r="R391" s="256" t="inlineStr">
        <is>
          <t>蓝</t>
        </is>
      </c>
    </row>
    <row r="392" ht="16.5" customHeight="1" s="14">
      <c r="N392" s="256" t="n">
        <v>60389</v>
      </c>
      <c r="O392" s="256" t="n">
        <v>17</v>
      </c>
      <c r="P392" s="256" t="inlineStr">
        <is>
          <t>大祭司之镜</t>
        </is>
      </c>
      <c r="Q392" s="256" t="n">
        <v>5</v>
      </c>
      <c r="R392" s="256" t="inlineStr">
        <is>
          <t>蓝</t>
        </is>
      </c>
    </row>
    <row r="393" ht="16.5" customHeight="1" s="14">
      <c r="N393" s="256" t="n">
        <v>60390</v>
      </c>
      <c r="O393" s="256" t="n">
        <v>17</v>
      </c>
      <c r="P393" s="256" t="inlineStr">
        <is>
          <t>大祭司之镜</t>
        </is>
      </c>
      <c r="Q393" s="256" t="n">
        <v>6</v>
      </c>
      <c r="R393" s="256" t="inlineStr">
        <is>
          <t>蓝</t>
        </is>
      </c>
    </row>
    <row r="394" ht="16.5" customHeight="1" s="14">
      <c r="N394" s="256" t="n">
        <v>60391</v>
      </c>
      <c r="O394" s="256" t="n">
        <v>17</v>
      </c>
      <c r="P394" s="256" t="inlineStr">
        <is>
          <t>大祭司之镜</t>
        </is>
      </c>
      <c r="Q394" s="256" t="n">
        <v>1</v>
      </c>
      <c r="R394" s="256" t="inlineStr">
        <is>
          <t>紫</t>
        </is>
      </c>
    </row>
    <row r="395" ht="16.5" customHeight="1" s="14">
      <c r="N395" s="256" t="n">
        <v>60392</v>
      </c>
      <c r="O395" s="256" t="n">
        <v>17</v>
      </c>
      <c r="P395" s="256" t="inlineStr">
        <is>
          <t>大祭司之镜</t>
        </is>
      </c>
      <c r="Q395" s="256" t="n">
        <v>2</v>
      </c>
      <c r="R395" s="256" t="inlineStr">
        <is>
          <t>紫</t>
        </is>
      </c>
    </row>
    <row r="396" ht="16.5" customHeight="1" s="14">
      <c r="N396" s="256" t="n">
        <v>60393</v>
      </c>
      <c r="O396" s="256" t="n">
        <v>17</v>
      </c>
      <c r="P396" s="256" t="inlineStr">
        <is>
          <t>大祭司之镜</t>
        </is>
      </c>
      <c r="Q396" s="256" t="n">
        <v>3</v>
      </c>
      <c r="R396" s="256" t="inlineStr">
        <is>
          <t>紫</t>
        </is>
      </c>
    </row>
    <row r="397" ht="16.5" customHeight="1" s="14">
      <c r="N397" s="256" t="n">
        <v>60394</v>
      </c>
      <c r="O397" s="256" t="n">
        <v>17</v>
      </c>
      <c r="P397" s="256" t="inlineStr">
        <is>
          <t>大祭司之镜</t>
        </is>
      </c>
      <c r="Q397" s="256" t="n">
        <v>4</v>
      </c>
      <c r="R397" s="256" t="inlineStr">
        <is>
          <t>紫</t>
        </is>
      </c>
    </row>
    <row r="398" ht="16.5" customHeight="1" s="14">
      <c r="N398" s="256" t="n">
        <v>60395</v>
      </c>
      <c r="O398" s="256" t="n">
        <v>17</v>
      </c>
      <c r="P398" s="256" t="inlineStr">
        <is>
          <t>大祭司之镜</t>
        </is>
      </c>
      <c r="Q398" s="256" t="n">
        <v>5</v>
      </c>
      <c r="R398" s="256" t="inlineStr">
        <is>
          <t>紫</t>
        </is>
      </c>
    </row>
    <row r="399" ht="16.5" customHeight="1" s="14">
      <c r="N399" s="256" t="n">
        <v>60396</v>
      </c>
      <c r="O399" s="256" t="n">
        <v>17</v>
      </c>
      <c r="P399" s="256" t="inlineStr">
        <is>
          <t>大祭司之镜</t>
        </is>
      </c>
      <c r="Q399" s="256" t="n">
        <v>6</v>
      </c>
      <c r="R399" s="256" t="inlineStr">
        <is>
          <t>紫</t>
        </is>
      </c>
    </row>
    <row r="400" ht="16.5" customHeight="1" s="14">
      <c r="N400" s="256" t="n">
        <v>60397</v>
      </c>
      <c r="O400" s="256" t="n">
        <v>17</v>
      </c>
      <c r="P400" s="256" t="inlineStr">
        <is>
          <t>大祭司之镜</t>
        </is>
      </c>
      <c r="Q400" s="256" t="n">
        <v>1</v>
      </c>
      <c r="R400" s="256" t="inlineStr">
        <is>
          <t>金</t>
        </is>
      </c>
    </row>
    <row r="401" ht="16.5" customHeight="1" s="14">
      <c r="N401" s="256" t="n">
        <v>60398</v>
      </c>
      <c r="O401" s="256" t="n">
        <v>17</v>
      </c>
      <c r="P401" s="256" t="inlineStr">
        <is>
          <t>大祭司之镜</t>
        </is>
      </c>
      <c r="Q401" s="256" t="n">
        <v>2</v>
      </c>
      <c r="R401" s="256" t="inlineStr">
        <is>
          <t>金</t>
        </is>
      </c>
    </row>
    <row r="402" ht="16.5" customHeight="1" s="14">
      <c r="N402" s="256" t="n">
        <v>60399</v>
      </c>
      <c r="O402" s="256" t="n">
        <v>17</v>
      </c>
      <c r="P402" s="256" t="inlineStr">
        <is>
          <t>大祭司之镜</t>
        </is>
      </c>
      <c r="Q402" s="256" t="n">
        <v>3</v>
      </c>
      <c r="R402" s="256" t="inlineStr">
        <is>
          <t>金</t>
        </is>
      </c>
    </row>
    <row r="403" ht="16.5" customHeight="1" s="14">
      <c r="N403" s="256" t="n">
        <v>60400</v>
      </c>
      <c r="O403" s="256" t="n">
        <v>17</v>
      </c>
      <c r="P403" s="256" t="inlineStr">
        <is>
          <t>大祭司之镜</t>
        </is>
      </c>
      <c r="Q403" s="256" t="n">
        <v>4</v>
      </c>
      <c r="R403" s="256" t="inlineStr">
        <is>
          <t>金</t>
        </is>
      </c>
    </row>
    <row r="404" ht="16.5" customHeight="1" s="14">
      <c r="N404" s="256" t="n">
        <v>60401</v>
      </c>
      <c r="O404" s="256" t="n">
        <v>17</v>
      </c>
      <c r="P404" s="256" t="inlineStr">
        <is>
          <t>大祭司之镜</t>
        </is>
      </c>
      <c r="Q404" s="256" t="n">
        <v>5</v>
      </c>
      <c r="R404" s="256" t="inlineStr">
        <is>
          <t>金</t>
        </is>
      </c>
    </row>
    <row r="405" ht="16.5" customHeight="1" s="14">
      <c r="N405" s="256" t="n">
        <v>60402</v>
      </c>
      <c r="O405" s="256" t="n">
        <v>17</v>
      </c>
      <c r="P405" s="256" t="inlineStr">
        <is>
          <t>大祭司之镜</t>
        </is>
      </c>
      <c r="Q405" s="256" t="n">
        <v>6</v>
      </c>
      <c r="R405" s="256" t="inlineStr">
        <is>
          <t>金</t>
        </is>
      </c>
    </row>
    <row r="406" ht="16.5" customHeight="1" s="14">
      <c r="N406" s="256" t="n">
        <v>60403</v>
      </c>
      <c r="O406" s="256" t="n">
        <v>17</v>
      </c>
      <c r="P406" s="256" t="inlineStr">
        <is>
          <t>大祭司之镜</t>
        </is>
      </c>
      <c r="Q406" s="256" t="n">
        <v>1</v>
      </c>
      <c r="R406" s="256" t="inlineStr">
        <is>
          <t>红</t>
        </is>
      </c>
    </row>
    <row r="407" ht="16.5" customHeight="1" s="14">
      <c r="N407" s="256" t="n">
        <v>60404</v>
      </c>
      <c r="O407" s="256" t="n">
        <v>17</v>
      </c>
      <c r="P407" s="256" t="inlineStr">
        <is>
          <t>大祭司之镜</t>
        </is>
      </c>
      <c r="Q407" s="256" t="n">
        <v>2</v>
      </c>
      <c r="R407" s="256" t="inlineStr">
        <is>
          <t>红</t>
        </is>
      </c>
    </row>
    <row r="408" ht="16.5" customHeight="1" s="14">
      <c r="N408" s="256" t="n">
        <v>60405</v>
      </c>
      <c r="O408" s="256" t="n">
        <v>17</v>
      </c>
      <c r="P408" s="256" t="inlineStr">
        <is>
          <t>大祭司之镜</t>
        </is>
      </c>
      <c r="Q408" s="256" t="n">
        <v>3</v>
      </c>
      <c r="R408" s="256" t="inlineStr">
        <is>
          <t>红</t>
        </is>
      </c>
    </row>
    <row r="409" ht="16.5" customHeight="1" s="14">
      <c r="N409" s="256" t="n">
        <v>60406</v>
      </c>
      <c r="O409" s="256" t="n">
        <v>17</v>
      </c>
      <c r="P409" s="256" t="inlineStr">
        <is>
          <t>大祭司之镜</t>
        </is>
      </c>
      <c r="Q409" s="256" t="n">
        <v>4</v>
      </c>
      <c r="R409" s="256" t="inlineStr">
        <is>
          <t>红</t>
        </is>
      </c>
    </row>
    <row r="410" ht="16.5" customHeight="1" s="14">
      <c r="N410" s="256" t="n">
        <v>60407</v>
      </c>
      <c r="O410" s="256" t="n">
        <v>17</v>
      </c>
      <c r="P410" s="256" t="inlineStr">
        <is>
          <t>大祭司之镜</t>
        </is>
      </c>
      <c r="Q410" s="256" t="n">
        <v>5</v>
      </c>
      <c r="R410" s="256" t="inlineStr">
        <is>
          <t>红</t>
        </is>
      </c>
    </row>
    <row r="411" ht="16.5" customHeight="1" s="14">
      <c r="N411" s="256" t="n">
        <v>60408</v>
      </c>
      <c r="O411" s="256" t="n">
        <v>17</v>
      </c>
      <c r="P411" s="256" t="inlineStr">
        <is>
          <t>大祭司之镜</t>
        </is>
      </c>
      <c r="Q411" s="256" t="n">
        <v>6</v>
      </c>
      <c r="R411" s="256" t="inlineStr">
        <is>
          <t>红</t>
        </is>
      </c>
    </row>
    <row r="412" ht="16.5" customHeight="1" s="14">
      <c r="N412" s="256" t="n">
        <v>60409</v>
      </c>
      <c r="O412" s="256" t="n">
        <v>18</v>
      </c>
      <c r="P412" s="256" t="inlineStr">
        <is>
          <t>神圣默颂</t>
        </is>
      </c>
      <c r="Q412" s="256" t="n">
        <v>1</v>
      </c>
      <c r="R412" s="256" t="inlineStr">
        <is>
          <t>蓝</t>
        </is>
      </c>
    </row>
    <row r="413" ht="16.5" customHeight="1" s="14">
      <c r="N413" s="256" t="n">
        <v>60410</v>
      </c>
      <c r="O413" s="256" t="n">
        <v>18</v>
      </c>
      <c r="P413" s="256" t="inlineStr">
        <is>
          <t>神圣默颂</t>
        </is>
      </c>
      <c r="Q413" s="256" t="n">
        <v>2</v>
      </c>
      <c r="R413" s="256" t="inlineStr">
        <is>
          <t>蓝</t>
        </is>
      </c>
    </row>
    <row r="414" ht="16.5" customHeight="1" s="14">
      <c r="N414" s="256" t="n">
        <v>60411</v>
      </c>
      <c r="O414" s="256" t="n">
        <v>18</v>
      </c>
      <c r="P414" s="256" t="inlineStr">
        <is>
          <t>神圣默颂</t>
        </is>
      </c>
      <c r="Q414" s="256" t="n">
        <v>3</v>
      </c>
      <c r="R414" s="256" t="inlineStr">
        <is>
          <t>蓝</t>
        </is>
      </c>
    </row>
    <row r="415" ht="16.5" customHeight="1" s="14">
      <c r="N415" s="256" t="n">
        <v>60412</v>
      </c>
      <c r="O415" s="256" t="n">
        <v>18</v>
      </c>
      <c r="P415" s="256" t="inlineStr">
        <is>
          <t>神圣默颂</t>
        </is>
      </c>
      <c r="Q415" s="256" t="n">
        <v>4</v>
      </c>
      <c r="R415" s="256" t="inlineStr">
        <is>
          <t>蓝</t>
        </is>
      </c>
    </row>
    <row r="416" ht="16.5" customHeight="1" s="14">
      <c r="N416" s="256" t="n">
        <v>60413</v>
      </c>
      <c r="O416" s="256" t="n">
        <v>18</v>
      </c>
      <c r="P416" s="256" t="inlineStr">
        <is>
          <t>神圣默颂</t>
        </is>
      </c>
      <c r="Q416" s="256" t="n">
        <v>5</v>
      </c>
      <c r="R416" s="256" t="inlineStr">
        <is>
          <t>蓝</t>
        </is>
      </c>
    </row>
    <row r="417" ht="16.5" customHeight="1" s="14">
      <c r="N417" s="256" t="n">
        <v>60414</v>
      </c>
      <c r="O417" s="256" t="n">
        <v>18</v>
      </c>
      <c r="P417" s="256" t="inlineStr">
        <is>
          <t>神圣默颂</t>
        </is>
      </c>
      <c r="Q417" s="256" t="n">
        <v>6</v>
      </c>
      <c r="R417" s="256" t="inlineStr">
        <is>
          <t>蓝</t>
        </is>
      </c>
    </row>
    <row r="418" ht="16.5" customHeight="1" s="14">
      <c r="N418" s="256" t="n">
        <v>60415</v>
      </c>
      <c r="O418" s="256" t="n">
        <v>18</v>
      </c>
      <c r="P418" s="256" t="inlineStr">
        <is>
          <t>神圣默颂</t>
        </is>
      </c>
      <c r="Q418" s="256" t="n">
        <v>1</v>
      </c>
      <c r="R418" s="256" t="inlineStr">
        <is>
          <t>紫</t>
        </is>
      </c>
    </row>
    <row r="419" ht="16.5" customHeight="1" s="14">
      <c r="N419" s="256" t="n">
        <v>60416</v>
      </c>
      <c r="O419" s="256" t="n">
        <v>18</v>
      </c>
      <c r="P419" s="256" t="inlineStr">
        <is>
          <t>神圣默颂</t>
        </is>
      </c>
      <c r="Q419" s="256" t="n">
        <v>2</v>
      </c>
      <c r="R419" s="256" t="inlineStr">
        <is>
          <t>紫</t>
        </is>
      </c>
    </row>
    <row r="420" ht="16.5" customHeight="1" s="14">
      <c r="N420" s="256" t="n">
        <v>60417</v>
      </c>
      <c r="O420" s="256" t="n">
        <v>18</v>
      </c>
      <c r="P420" s="256" t="inlineStr">
        <is>
          <t>神圣默颂</t>
        </is>
      </c>
      <c r="Q420" s="256" t="n">
        <v>3</v>
      </c>
      <c r="R420" s="256" t="inlineStr">
        <is>
          <t>紫</t>
        </is>
      </c>
    </row>
    <row r="421" ht="16.5" customHeight="1" s="14">
      <c r="N421" s="256" t="n">
        <v>60418</v>
      </c>
      <c r="O421" s="256" t="n">
        <v>18</v>
      </c>
      <c r="P421" s="256" t="inlineStr">
        <is>
          <t>神圣默颂</t>
        </is>
      </c>
      <c r="Q421" s="256" t="n">
        <v>4</v>
      </c>
      <c r="R421" s="256" t="inlineStr">
        <is>
          <t>紫</t>
        </is>
      </c>
    </row>
    <row r="422" ht="16.5" customHeight="1" s="14">
      <c r="N422" s="256" t="n">
        <v>60419</v>
      </c>
      <c r="O422" s="256" t="n">
        <v>18</v>
      </c>
      <c r="P422" s="256" t="inlineStr">
        <is>
          <t>神圣默颂</t>
        </is>
      </c>
      <c r="Q422" s="256" t="n">
        <v>5</v>
      </c>
      <c r="R422" s="256" t="inlineStr">
        <is>
          <t>紫</t>
        </is>
      </c>
    </row>
    <row r="423" ht="16.5" customHeight="1" s="14">
      <c r="N423" s="256" t="n">
        <v>60420</v>
      </c>
      <c r="O423" s="256" t="n">
        <v>18</v>
      </c>
      <c r="P423" s="256" t="inlineStr">
        <is>
          <t>神圣默颂</t>
        </is>
      </c>
      <c r="Q423" s="256" t="n">
        <v>6</v>
      </c>
      <c r="R423" s="256" t="inlineStr">
        <is>
          <t>紫</t>
        </is>
      </c>
    </row>
    <row r="424" ht="16.5" customHeight="1" s="14">
      <c r="N424" s="256" t="n">
        <v>60421</v>
      </c>
      <c r="O424" s="256" t="n">
        <v>18</v>
      </c>
      <c r="P424" s="256" t="inlineStr">
        <is>
          <t>神圣默颂</t>
        </is>
      </c>
      <c r="Q424" s="256" t="n">
        <v>1</v>
      </c>
      <c r="R424" s="256" t="inlineStr">
        <is>
          <t>金</t>
        </is>
      </c>
    </row>
    <row r="425" ht="16.5" customHeight="1" s="14">
      <c r="N425" s="256" t="n">
        <v>60422</v>
      </c>
      <c r="O425" s="256" t="n">
        <v>18</v>
      </c>
      <c r="P425" s="256" t="inlineStr">
        <is>
          <t>神圣默颂</t>
        </is>
      </c>
      <c r="Q425" s="256" t="n">
        <v>2</v>
      </c>
      <c r="R425" s="256" t="inlineStr">
        <is>
          <t>金</t>
        </is>
      </c>
    </row>
    <row r="426" ht="16.5" customHeight="1" s="14">
      <c r="N426" s="256" t="n">
        <v>60423</v>
      </c>
      <c r="O426" s="256" t="n">
        <v>18</v>
      </c>
      <c r="P426" s="256" t="inlineStr">
        <is>
          <t>神圣默颂</t>
        </is>
      </c>
      <c r="Q426" s="256" t="n">
        <v>3</v>
      </c>
      <c r="R426" s="256" t="inlineStr">
        <is>
          <t>金</t>
        </is>
      </c>
    </row>
    <row r="427" ht="16.5" customHeight="1" s="14">
      <c r="N427" s="256" t="n">
        <v>60424</v>
      </c>
      <c r="O427" s="256" t="n">
        <v>18</v>
      </c>
      <c r="P427" s="256" t="inlineStr">
        <is>
          <t>神圣默颂</t>
        </is>
      </c>
      <c r="Q427" s="256" t="n">
        <v>4</v>
      </c>
      <c r="R427" s="256" t="inlineStr">
        <is>
          <t>金</t>
        </is>
      </c>
    </row>
    <row r="428" ht="16.5" customHeight="1" s="14">
      <c r="N428" s="256" t="n">
        <v>60425</v>
      </c>
      <c r="O428" s="256" t="n">
        <v>18</v>
      </c>
      <c r="P428" s="256" t="inlineStr">
        <is>
          <t>神圣默颂</t>
        </is>
      </c>
      <c r="Q428" s="256" t="n">
        <v>5</v>
      </c>
      <c r="R428" s="256" t="inlineStr">
        <is>
          <t>金</t>
        </is>
      </c>
    </row>
    <row r="429" ht="16.5" customHeight="1" s="14">
      <c r="N429" s="256" t="n">
        <v>60426</v>
      </c>
      <c r="O429" s="256" t="n">
        <v>18</v>
      </c>
      <c r="P429" s="256" t="inlineStr">
        <is>
          <t>神圣默颂</t>
        </is>
      </c>
      <c r="Q429" s="256" t="n">
        <v>6</v>
      </c>
      <c r="R429" s="256" t="inlineStr">
        <is>
          <t>金</t>
        </is>
      </c>
    </row>
    <row r="430" ht="16.5" customHeight="1" s="14">
      <c r="N430" s="256" t="n">
        <v>60427</v>
      </c>
      <c r="O430" s="256" t="n">
        <v>18</v>
      </c>
      <c r="P430" s="256" t="inlineStr">
        <is>
          <t>神圣默颂</t>
        </is>
      </c>
      <c r="Q430" s="256" t="n">
        <v>1</v>
      </c>
      <c r="R430" s="256" t="inlineStr">
        <is>
          <t>红</t>
        </is>
      </c>
    </row>
    <row r="431" ht="16.5" customHeight="1" s="14">
      <c r="N431" s="256" t="n">
        <v>60428</v>
      </c>
      <c r="O431" s="256" t="n">
        <v>18</v>
      </c>
      <c r="P431" s="256" t="inlineStr">
        <is>
          <t>神圣默颂</t>
        </is>
      </c>
      <c r="Q431" s="256" t="n">
        <v>2</v>
      </c>
      <c r="R431" s="256" t="inlineStr">
        <is>
          <t>红</t>
        </is>
      </c>
    </row>
    <row r="432" ht="16.5" customHeight="1" s="14">
      <c r="N432" s="256" t="n">
        <v>60429</v>
      </c>
      <c r="O432" s="256" t="n">
        <v>18</v>
      </c>
      <c r="P432" s="256" t="inlineStr">
        <is>
          <t>神圣默颂</t>
        </is>
      </c>
      <c r="Q432" s="256" t="n">
        <v>3</v>
      </c>
      <c r="R432" s="256" t="inlineStr">
        <is>
          <t>红</t>
        </is>
      </c>
    </row>
    <row r="433" ht="16.5" customHeight="1" s="14">
      <c r="N433" s="256" t="n">
        <v>60430</v>
      </c>
      <c r="O433" s="256" t="n">
        <v>18</v>
      </c>
      <c r="P433" s="256" t="inlineStr">
        <is>
          <t>神圣默颂</t>
        </is>
      </c>
      <c r="Q433" s="256" t="n">
        <v>4</v>
      </c>
      <c r="R433" s="256" t="inlineStr">
        <is>
          <t>红</t>
        </is>
      </c>
    </row>
    <row r="434" ht="16.5" customHeight="1" s="14">
      <c r="N434" s="256" t="n">
        <v>60431</v>
      </c>
      <c r="O434" s="256" t="n">
        <v>18</v>
      </c>
      <c r="P434" s="256" t="inlineStr">
        <is>
          <t>神圣默颂</t>
        </is>
      </c>
      <c r="Q434" s="256" t="n">
        <v>5</v>
      </c>
      <c r="R434" s="256" t="inlineStr">
        <is>
          <t>红</t>
        </is>
      </c>
    </row>
    <row r="435" ht="16.5" customHeight="1" s="14">
      <c r="N435" s="256" t="n">
        <v>60432</v>
      </c>
      <c r="O435" s="256" t="n">
        <v>18</v>
      </c>
      <c r="P435" s="256" t="inlineStr">
        <is>
          <t>神圣默颂</t>
        </is>
      </c>
      <c r="Q435" s="256" t="n">
        <v>6</v>
      </c>
      <c r="R435" s="256" t="inlineStr">
        <is>
          <t>红</t>
        </is>
      </c>
    </row>
    <row r="436" ht="16.5" customHeight="1" s="14">
      <c r="N436" s="256" t="n">
        <v>60433</v>
      </c>
      <c r="O436" s="256" t="n">
        <v>19</v>
      </c>
      <c r="P436" s="256" t="inlineStr">
        <is>
          <t>且待众神垂怜</t>
        </is>
      </c>
      <c r="Q436" s="256" t="n">
        <v>1</v>
      </c>
      <c r="R436" s="256" t="inlineStr">
        <is>
          <t>蓝</t>
        </is>
      </c>
    </row>
    <row r="437" ht="16.5" customHeight="1" s="14">
      <c r="N437" s="256" t="n">
        <v>60434</v>
      </c>
      <c r="O437" s="256" t="n">
        <v>19</v>
      </c>
      <c r="P437" s="256" t="inlineStr">
        <is>
          <t>且待众神垂怜</t>
        </is>
      </c>
      <c r="Q437" s="256" t="n">
        <v>2</v>
      </c>
      <c r="R437" s="256" t="inlineStr">
        <is>
          <t>蓝</t>
        </is>
      </c>
    </row>
    <row r="438" ht="16.5" customHeight="1" s="14">
      <c r="N438" s="256" t="n">
        <v>60435</v>
      </c>
      <c r="O438" s="256" t="n">
        <v>19</v>
      </c>
      <c r="P438" s="256" t="inlineStr">
        <is>
          <t>且待众神垂怜</t>
        </is>
      </c>
      <c r="Q438" s="256" t="n">
        <v>3</v>
      </c>
      <c r="R438" s="256" t="inlineStr">
        <is>
          <t>蓝</t>
        </is>
      </c>
    </row>
    <row r="439" ht="16.5" customHeight="1" s="14">
      <c r="N439" s="256" t="n">
        <v>60436</v>
      </c>
      <c r="O439" s="256" t="n">
        <v>19</v>
      </c>
      <c r="P439" s="256" t="inlineStr">
        <is>
          <t>且待众神垂怜</t>
        </is>
      </c>
      <c r="Q439" s="256" t="n">
        <v>4</v>
      </c>
      <c r="R439" s="256" t="inlineStr">
        <is>
          <t>蓝</t>
        </is>
      </c>
    </row>
    <row r="440" ht="16.5" customHeight="1" s="14">
      <c r="N440" s="256" t="n">
        <v>60437</v>
      </c>
      <c r="O440" s="256" t="n">
        <v>19</v>
      </c>
      <c r="P440" s="256" t="inlineStr">
        <is>
          <t>且待众神垂怜</t>
        </is>
      </c>
      <c r="Q440" s="256" t="n">
        <v>5</v>
      </c>
      <c r="R440" s="256" t="inlineStr">
        <is>
          <t>蓝</t>
        </is>
      </c>
    </row>
    <row r="441" ht="16.5" customHeight="1" s="14">
      <c r="N441" s="256" t="n">
        <v>60438</v>
      </c>
      <c r="O441" s="256" t="n">
        <v>19</v>
      </c>
      <c r="P441" s="256" t="inlineStr">
        <is>
          <t>且待众神垂怜</t>
        </is>
      </c>
      <c r="Q441" s="256" t="n">
        <v>6</v>
      </c>
      <c r="R441" s="256" t="inlineStr">
        <is>
          <t>蓝</t>
        </is>
      </c>
    </row>
    <row r="442" ht="16.5" customHeight="1" s="14">
      <c r="N442" s="256" t="n">
        <v>60439</v>
      </c>
      <c r="O442" s="256" t="n">
        <v>19</v>
      </c>
      <c r="P442" s="256" t="inlineStr">
        <is>
          <t>且待众神垂怜</t>
        </is>
      </c>
      <c r="Q442" s="256" t="n">
        <v>1</v>
      </c>
      <c r="R442" s="256" t="inlineStr">
        <is>
          <t>紫</t>
        </is>
      </c>
    </row>
    <row r="443" ht="16.5" customHeight="1" s="14">
      <c r="N443" s="256" t="n">
        <v>60440</v>
      </c>
      <c r="O443" s="256" t="n">
        <v>19</v>
      </c>
      <c r="P443" s="256" t="inlineStr">
        <is>
          <t>且待众神垂怜</t>
        </is>
      </c>
      <c r="Q443" s="256" t="n">
        <v>2</v>
      </c>
      <c r="R443" s="256" t="inlineStr">
        <is>
          <t>紫</t>
        </is>
      </c>
    </row>
    <row r="444" ht="16.5" customHeight="1" s="14">
      <c r="N444" s="256" t="n">
        <v>60441</v>
      </c>
      <c r="O444" s="256" t="n">
        <v>19</v>
      </c>
      <c r="P444" s="256" t="inlineStr">
        <is>
          <t>且待众神垂怜</t>
        </is>
      </c>
      <c r="Q444" s="256" t="n">
        <v>3</v>
      </c>
      <c r="R444" s="256" t="inlineStr">
        <is>
          <t>紫</t>
        </is>
      </c>
    </row>
    <row r="445" ht="16.5" customHeight="1" s="14">
      <c r="N445" s="256" t="n">
        <v>60442</v>
      </c>
      <c r="O445" s="256" t="n">
        <v>19</v>
      </c>
      <c r="P445" s="256" t="inlineStr">
        <is>
          <t>且待众神垂怜</t>
        </is>
      </c>
      <c r="Q445" s="256" t="n">
        <v>4</v>
      </c>
      <c r="R445" s="256" t="inlineStr">
        <is>
          <t>紫</t>
        </is>
      </c>
    </row>
    <row r="446" ht="16.5" customHeight="1" s="14">
      <c r="N446" s="256" t="n">
        <v>60443</v>
      </c>
      <c r="O446" s="256" t="n">
        <v>19</v>
      </c>
      <c r="P446" s="256" t="inlineStr">
        <is>
          <t>且待众神垂怜</t>
        </is>
      </c>
      <c r="Q446" s="256" t="n">
        <v>5</v>
      </c>
      <c r="R446" s="256" t="inlineStr">
        <is>
          <t>紫</t>
        </is>
      </c>
    </row>
    <row r="447" ht="16.5" customHeight="1" s="14">
      <c r="N447" s="256" t="n">
        <v>60444</v>
      </c>
      <c r="O447" s="256" t="n">
        <v>19</v>
      </c>
      <c r="P447" s="256" t="inlineStr">
        <is>
          <t>且待众神垂怜</t>
        </is>
      </c>
      <c r="Q447" s="256" t="n">
        <v>6</v>
      </c>
      <c r="R447" s="256" t="inlineStr">
        <is>
          <t>紫</t>
        </is>
      </c>
    </row>
    <row r="448" ht="16.5" customHeight="1" s="14">
      <c r="N448" s="256" t="n">
        <v>60445</v>
      </c>
      <c r="O448" s="256" t="n">
        <v>19</v>
      </c>
      <c r="P448" s="256" t="inlineStr">
        <is>
          <t>且待众神垂怜</t>
        </is>
      </c>
      <c r="Q448" s="256" t="n">
        <v>1</v>
      </c>
      <c r="R448" s="256" t="inlineStr">
        <is>
          <t>金</t>
        </is>
      </c>
    </row>
    <row r="449" ht="16.5" customHeight="1" s="14">
      <c r="N449" s="256" t="n">
        <v>60446</v>
      </c>
      <c r="O449" s="256" t="n">
        <v>19</v>
      </c>
      <c r="P449" s="256" t="inlineStr">
        <is>
          <t>且待众神垂怜</t>
        </is>
      </c>
      <c r="Q449" s="256" t="n">
        <v>2</v>
      </c>
      <c r="R449" s="256" t="inlineStr">
        <is>
          <t>金</t>
        </is>
      </c>
    </row>
    <row r="450" ht="16.5" customHeight="1" s="14">
      <c r="N450" s="256" t="n">
        <v>60447</v>
      </c>
      <c r="O450" s="256" t="n">
        <v>19</v>
      </c>
      <c r="P450" s="256" t="inlineStr">
        <is>
          <t>且待众神垂怜</t>
        </is>
      </c>
      <c r="Q450" s="256" t="n">
        <v>3</v>
      </c>
      <c r="R450" s="256" t="inlineStr">
        <is>
          <t>金</t>
        </is>
      </c>
    </row>
    <row r="451" ht="16.5" customHeight="1" s="14">
      <c r="N451" s="256" t="n">
        <v>60448</v>
      </c>
      <c r="O451" s="256" t="n">
        <v>19</v>
      </c>
      <c r="P451" s="256" t="inlineStr">
        <is>
          <t>且待众神垂怜</t>
        </is>
      </c>
      <c r="Q451" s="256" t="n">
        <v>4</v>
      </c>
      <c r="R451" s="256" t="inlineStr">
        <is>
          <t>金</t>
        </is>
      </c>
    </row>
    <row r="452" ht="16.5" customHeight="1" s="14">
      <c r="N452" s="256" t="n">
        <v>60449</v>
      </c>
      <c r="O452" s="256" t="n">
        <v>19</v>
      </c>
      <c r="P452" s="256" t="inlineStr">
        <is>
          <t>且待众神垂怜</t>
        </is>
      </c>
      <c r="Q452" s="256" t="n">
        <v>5</v>
      </c>
      <c r="R452" s="256" t="inlineStr">
        <is>
          <t>金</t>
        </is>
      </c>
    </row>
    <row r="453" ht="16.5" customHeight="1" s="14">
      <c r="N453" s="256" t="n">
        <v>60450</v>
      </c>
      <c r="O453" s="256" t="n">
        <v>19</v>
      </c>
      <c r="P453" s="256" t="inlineStr">
        <is>
          <t>且待众神垂怜</t>
        </is>
      </c>
      <c r="Q453" s="256" t="n">
        <v>6</v>
      </c>
      <c r="R453" s="256" t="inlineStr">
        <is>
          <t>金</t>
        </is>
      </c>
    </row>
    <row r="454" ht="16.5" customHeight="1" s="14">
      <c r="N454" s="256" t="n">
        <v>60451</v>
      </c>
      <c r="O454" s="256" t="n">
        <v>19</v>
      </c>
      <c r="P454" s="256" t="inlineStr">
        <is>
          <t>且待众神垂怜</t>
        </is>
      </c>
      <c r="Q454" s="256" t="n">
        <v>1</v>
      </c>
      <c r="R454" s="256" t="inlineStr">
        <is>
          <t>红</t>
        </is>
      </c>
    </row>
    <row r="455" ht="16.5" customHeight="1" s="14">
      <c r="N455" s="256" t="n">
        <v>60452</v>
      </c>
      <c r="O455" s="256" t="n">
        <v>19</v>
      </c>
      <c r="P455" s="256" t="inlineStr">
        <is>
          <t>且待众神垂怜</t>
        </is>
      </c>
      <c r="Q455" s="256" t="n">
        <v>2</v>
      </c>
      <c r="R455" s="256" t="inlineStr">
        <is>
          <t>红</t>
        </is>
      </c>
    </row>
    <row r="456" ht="16.5" customHeight="1" s="14">
      <c r="N456" s="256" t="n">
        <v>60453</v>
      </c>
      <c r="O456" s="256" t="n">
        <v>19</v>
      </c>
      <c r="P456" s="256" t="inlineStr">
        <is>
          <t>且待众神垂怜</t>
        </is>
      </c>
      <c r="Q456" s="256" t="n">
        <v>3</v>
      </c>
      <c r="R456" s="256" t="inlineStr">
        <is>
          <t>红</t>
        </is>
      </c>
    </row>
    <row r="457" ht="16.5" customHeight="1" s="14">
      <c r="N457" s="256" t="n">
        <v>60454</v>
      </c>
      <c r="O457" s="256" t="n">
        <v>19</v>
      </c>
      <c r="P457" s="256" t="inlineStr">
        <is>
          <t>且待众神垂怜</t>
        </is>
      </c>
      <c r="Q457" s="256" t="n">
        <v>4</v>
      </c>
      <c r="R457" s="256" t="inlineStr">
        <is>
          <t>红</t>
        </is>
      </c>
    </row>
    <row r="458" ht="16.5" customHeight="1" s="14">
      <c r="N458" s="256" t="n">
        <v>60455</v>
      </c>
      <c r="O458" s="256" t="n">
        <v>19</v>
      </c>
      <c r="P458" s="256" t="inlineStr">
        <is>
          <t>且待众神垂怜</t>
        </is>
      </c>
      <c r="Q458" s="256" t="n">
        <v>5</v>
      </c>
      <c r="R458" s="256" t="inlineStr">
        <is>
          <t>红</t>
        </is>
      </c>
    </row>
    <row r="459" ht="16.5" customHeight="1" s="14">
      <c r="N459" s="256" t="n">
        <v>60456</v>
      </c>
      <c r="O459" s="256" t="n">
        <v>19</v>
      </c>
      <c r="P459" s="256" t="inlineStr">
        <is>
          <t>且待众神垂怜</t>
        </is>
      </c>
      <c r="Q459" s="256" t="n">
        <v>6</v>
      </c>
      <c r="R459" s="256" t="inlineStr">
        <is>
          <t>红</t>
        </is>
      </c>
    </row>
    <row r="460" ht="16.5" customHeight="1" s="14">
      <c r="N460" s="256" t="n">
        <v>60457</v>
      </c>
      <c r="O460" s="256" t="n">
        <v>20</v>
      </c>
      <c r="P460" s="256" t="inlineStr">
        <is>
          <t>废墟虫蜕</t>
        </is>
      </c>
      <c r="Q460" s="256" t="n">
        <v>1</v>
      </c>
      <c r="R460" s="256" t="inlineStr">
        <is>
          <t>蓝</t>
        </is>
      </c>
    </row>
    <row r="461" ht="16.5" customHeight="1" s="14">
      <c r="N461" s="256" t="n">
        <v>60458</v>
      </c>
      <c r="O461" s="256" t="n">
        <v>20</v>
      </c>
      <c r="P461" s="256" t="inlineStr">
        <is>
          <t>废墟虫蜕</t>
        </is>
      </c>
      <c r="Q461" s="256" t="n">
        <v>2</v>
      </c>
      <c r="R461" s="256" t="inlineStr">
        <is>
          <t>蓝</t>
        </is>
      </c>
    </row>
    <row r="462" ht="16.5" customHeight="1" s="14">
      <c r="N462" s="256" t="n">
        <v>60459</v>
      </c>
      <c r="O462" s="256" t="n">
        <v>20</v>
      </c>
      <c r="P462" s="256" t="inlineStr">
        <is>
          <t>废墟虫蜕</t>
        </is>
      </c>
      <c r="Q462" s="256" t="n">
        <v>3</v>
      </c>
      <c r="R462" s="256" t="inlineStr">
        <is>
          <t>蓝</t>
        </is>
      </c>
    </row>
    <row r="463" ht="16.5" customHeight="1" s="14">
      <c r="N463" s="256" t="n">
        <v>60460</v>
      </c>
      <c r="O463" s="256" t="n">
        <v>20</v>
      </c>
      <c r="P463" s="256" t="inlineStr">
        <is>
          <t>废墟虫蜕</t>
        </is>
      </c>
      <c r="Q463" s="256" t="n">
        <v>4</v>
      </c>
      <c r="R463" s="256" t="inlineStr">
        <is>
          <t>蓝</t>
        </is>
      </c>
    </row>
    <row r="464" ht="16.5" customHeight="1" s="14">
      <c r="N464" s="256" t="n">
        <v>60461</v>
      </c>
      <c r="O464" s="256" t="n">
        <v>20</v>
      </c>
      <c r="P464" s="256" t="inlineStr">
        <is>
          <t>废墟虫蜕</t>
        </is>
      </c>
      <c r="Q464" s="256" t="n">
        <v>5</v>
      </c>
      <c r="R464" s="256" t="inlineStr">
        <is>
          <t>蓝</t>
        </is>
      </c>
    </row>
    <row r="465" ht="16.5" customHeight="1" s="14">
      <c r="N465" s="256" t="n">
        <v>60462</v>
      </c>
      <c r="O465" s="256" t="n">
        <v>20</v>
      </c>
      <c r="P465" s="256" t="inlineStr">
        <is>
          <t>废墟虫蜕</t>
        </is>
      </c>
      <c r="Q465" s="256" t="n">
        <v>6</v>
      </c>
      <c r="R465" s="256" t="inlineStr">
        <is>
          <t>蓝</t>
        </is>
      </c>
    </row>
    <row r="466" ht="16.5" customHeight="1" s="14">
      <c r="N466" s="256" t="n">
        <v>60463</v>
      </c>
      <c r="O466" s="256" t="n">
        <v>20</v>
      </c>
      <c r="P466" s="256" t="inlineStr">
        <is>
          <t>废墟虫蜕</t>
        </is>
      </c>
      <c r="Q466" s="256" t="n">
        <v>1</v>
      </c>
      <c r="R466" s="256" t="inlineStr">
        <is>
          <t>紫</t>
        </is>
      </c>
    </row>
    <row r="467" ht="16.5" customHeight="1" s="14">
      <c r="N467" s="256" t="n">
        <v>60464</v>
      </c>
      <c r="O467" s="256" t="n">
        <v>20</v>
      </c>
      <c r="P467" s="256" t="inlineStr">
        <is>
          <t>废墟虫蜕</t>
        </is>
      </c>
      <c r="Q467" s="256" t="n">
        <v>2</v>
      </c>
      <c r="R467" s="256" t="inlineStr">
        <is>
          <t>紫</t>
        </is>
      </c>
    </row>
    <row r="468" ht="16.5" customHeight="1" s="14">
      <c r="N468" s="256" t="n">
        <v>60465</v>
      </c>
      <c r="O468" s="256" t="n">
        <v>20</v>
      </c>
      <c r="P468" s="256" t="inlineStr">
        <is>
          <t>废墟虫蜕</t>
        </is>
      </c>
      <c r="Q468" s="256" t="n">
        <v>3</v>
      </c>
      <c r="R468" s="256" t="inlineStr">
        <is>
          <t>紫</t>
        </is>
      </c>
    </row>
    <row r="469" ht="16.5" customHeight="1" s="14">
      <c r="N469" s="256" t="n">
        <v>60466</v>
      </c>
      <c r="O469" s="256" t="n">
        <v>20</v>
      </c>
      <c r="P469" s="256" t="inlineStr">
        <is>
          <t>废墟虫蜕</t>
        </is>
      </c>
      <c r="Q469" s="256" t="n">
        <v>4</v>
      </c>
      <c r="R469" s="256" t="inlineStr">
        <is>
          <t>紫</t>
        </is>
      </c>
    </row>
    <row r="470" ht="16.5" customHeight="1" s="14">
      <c r="N470" s="256" t="n">
        <v>60467</v>
      </c>
      <c r="O470" s="256" t="n">
        <v>20</v>
      </c>
      <c r="P470" s="256" t="inlineStr">
        <is>
          <t>废墟虫蜕</t>
        </is>
      </c>
      <c r="Q470" s="256" t="n">
        <v>5</v>
      </c>
      <c r="R470" s="256" t="inlineStr">
        <is>
          <t>紫</t>
        </is>
      </c>
    </row>
    <row r="471" ht="16.5" customHeight="1" s="14">
      <c r="N471" s="256" t="n">
        <v>60468</v>
      </c>
      <c r="O471" s="256" t="n">
        <v>20</v>
      </c>
      <c r="P471" s="256" t="inlineStr">
        <is>
          <t>废墟虫蜕</t>
        </is>
      </c>
      <c r="Q471" s="256" t="n">
        <v>6</v>
      </c>
      <c r="R471" s="256" t="inlineStr">
        <is>
          <t>紫</t>
        </is>
      </c>
    </row>
    <row r="472" ht="16.5" customHeight="1" s="14">
      <c r="N472" s="256" t="n">
        <v>60469</v>
      </c>
      <c r="O472" s="256" t="n">
        <v>20</v>
      </c>
      <c r="P472" s="256" t="inlineStr">
        <is>
          <t>废墟虫蜕</t>
        </is>
      </c>
      <c r="Q472" s="256" t="n">
        <v>1</v>
      </c>
      <c r="R472" s="256" t="inlineStr">
        <is>
          <t>金</t>
        </is>
      </c>
    </row>
    <row r="473" ht="16.5" customHeight="1" s="14">
      <c r="N473" s="256" t="n">
        <v>60470</v>
      </c>
      <c r="O473" s="256" t="n">
        <v>20</v>
      </c>
      <c r="P473" s="256" t="inlineStr">
        <is>
          <t>废墟虫蜕</t>
        </is>
      </c>
      <c r="Q473" s="256" t="n">
        <v>2</v>
      </c>
      <c r="R473" s="256" t="inlineStr">
        <is>
          <t>金</t>
        </is>
      </c>
    </row>
    <row r="474" ht="16.5" customHeight="1" s="14">
      <c r="N474" s="256" t="n">
        <v>60471</v>
      </c>
      <c r="O474" s="256" t="n">
        <v>20</v>
      </c>
      <c r="P474" s="256" t="inlineStr">
        <is>
          <t>废墟虫蜕</t>
        </is>
      </c>
      <c r="Q474" s="256" t="n">
        <v>3</v>
      </c>
      <c r="R474" s="256" t="inlineStr">
        <is>
          <t>金</t>
        </is>
      </c>
    </row>
    <row r="475" ht="16.5" customHeight="1" s="14">
      <c r="N475" s="256" t="n">
        <v>60472</v>
      </c>
      <c r="O475" s="256" t="n">
        <v>20</v>
      </c>
      <c r="P475" s="256" t="inlineStr">
        <is>
          <t>废墟虫蜕</t>
        </is>
      </c>
      <c r="Q475" s="256" t="n">
        <v>4</v>
      </c>
      <c r="R475" s="256" t="inlineStr">
        <is>
          <t>金</t>
        </is>
      </c>
    </row>
    <row r="476" ht="16.5" customHeight="1" s="14">
      <c r="N476" s="256" t="n">
        <v>60473</v>
      </c>
      <c r="O476" s="256" t="n">
        <v>20</v>
      </c>
      <c r="P476" s="256" t="inlineStr">
        <is>
          <t>废墟虫蜕</t>
        </is>
      </c>
      <c r="Q476" s="256" t="n">
        <v>5</v>
      </c>
      <c r="R476" s="256" t="inlineStr">
        <is>
          <t>金</t>
        </is>
      </c>
    </row>
    <row r="477" ht="16.5" customHeight="1" s="14">
      <c r="N477" s="256" t="n">
        <v>60474</v>
      </c>
      <c r="O477" s="256" t="n">
        <v>20</v>
      </c>
      <c r="P477" s="256" t="inlineStr">
        <is>
          <t>废墟虫蜕</t>
        </is>
      </c>
      <c r="Q477" s="256" t="n">
        <v>6</v>
      </c>
      <c r="R477" s="256" t="inlineStr">
        <is>
          <t>金</t>
        </is>
      </c>
    </row>
    <row r="478" ht="16.5" customHeight="1" s="14">
      <c r="N478" s="256" t="n">
        <v>60475</v>
      </c>
      <c r="O478" s="256" t="n">
        <v>20</v>
      </c>
      <c r="P478" s="256" t="inlineStr">
        <is>
          <t>废墟虫蜕</t>
        </is>
      </c>
      <c r="Q478" s="256" t="n">
        <v>1</v>
      </c>
      <c r="R478" s="256" t="inlineStr">
        <is>
          <t>红</t>
        </is>
      </c>
    </row>
    <row r="479" ht="16.5" customHeight="1" s="14">
      <c r="N479" s="256" t="n">
        <v>60476</v>
      </c>
      <c r="O479" s="256" t="n">
        <v>20</v>
      </c>
      <c r="P479" s="256" t="inlineStr">
        <is>
          <t>废墟虫蜕</t>
        </is>
      </c>
      <c r="Q479" s="256" t="n">
        <v>2</v>
      </c>
      <c r="R479" s="256" t="inlineStr">
        <is>
          <t>红</t>
        </is>
      </c>
    </row>
    <row r="480" ht="16.5" customHeight="1" s="14">
      <c r="N480" s="256" t="n">
        <v>60477</v>
      </c>
      <c r="O480" s="256" t="n">
        <v>20</v>
      </c>
      <c r="P480" s="256" t="inlineStr">
        <is>
          <t>废墟虫蜕</t>
        </is>
      </c>
      <c r="Q480" s="256" t="n">
        <v>3</v>
      </c>
      <c r="R480" s="256" t="inlineStr">
        <is>
          <t>红</t>
        </is>
      </c>
    </row>
    <row r="481" ht="16.5" customHeight="1" s="14">
      <c r="N481" s="256" t="n">
        <v>60478</v>
      </c>
      <c r="O481" s="256" t="n">
        <v>20</v>
      </c>
      <c r="P481" s="256" t="inlineStr">
        <is>
          <t>废墟虫蜕</t>
        </is>
      </c>
      <c r="Q481" s="256" t="n">
        <v>4</v>
      </c>
      <c r="R481" s="256" t="inlineStr">
        <is>
          <t>红</t>
        </is>
      </c>
    </row>
    <row r="482" ht="16.5" customHeight="1" s="14">
      <c r="N482" s="256" t="n">
        <v>60479</v>
      </c>
      <c r="O482" s="256" t="n">
        <v>20</v>
      </c>
      <c r="P482" s="256" t="inlineStr">
        <is>
          <t>废墟虫蜕</t>
        </is>
      </c>
      <c r="Q482" s="256" t="n">
        <v>5</v>
      </c>
      <c r="R482" s="256" t="inlineStr">
        <is>
          <t>红</t>
        </is>
      </c>
    </row>
    <row r="483" ht="16.5" customHeight="1" s="14">
      <c r="N483" s="256" t="n">
        <v>60480</v>
      </c>
      <c r="O483" s="256" t="n">
        <v>20</v>
      </c>
      <c r="P483" s="256" t="inlineStr">
        <is>
          <t>废墟虫蜕</t>
        </is>
      </c>
      <c r="Q483" s="256" t="n">
        <v>6</v>
      </c>
      <c r="R483" s="256" t="inlineStr">
        <is>
          <t>红</t>
        </is>
      </c>
    </row>
    <row r="484" ht="16.5" customHeight="1" s="14">
      <c r="N484" s="256" t="n">
        <v>60481</v>
      </c>
      <c r="O484" s="256" t="n">
        <v>21</v>
      </c>
      <c r="P484" s="256" t="inlineStr">
        <is>
          <t>无成本融资</t>
        </is>
      </c>
      <c r="Q484" s="256" t="n">
        <v>1</v>
      </c>
      <c r="R484" s="256" t="inlineStr">
        <is>
          <t>蓝</t>
        </is>
      </c>
    </row>
    <row r="485" ht="16.5" customHeight="1" s="14">
      <c r="N485" s="256" t="n">
        <v>60482</v>
      </c>
      <c r="O485" s="256" t="n">
        <v>21</v>
      </c>
      <c r="P485" s="256" t="inlineStr">
        <is>
          <t>无成本融资</t>
        </is>
      </c>
      <c r="Q485" s="256" t="n">
        <v>2</v>
      </c>
      <c r="R485" s="256" t="inlineStr">
        <is>
          <t>蓝</t>
        </is>
      </c>
    </row>
    <row r="486" ht="16.5" customHeight="1" s="14">
      <c r="N486" s="256" t="n">
        <v>60483</v>
      </c>
      <c r="O486" s="256" t="n">
        <v>21</v>
      </c>
      <c r="P486" s="256" t="inlineStr">
        <is>
          <t>无成本融资</t>
        </is>
      </c>
      <c r="Q486" s="256" t="n">
        <v>3</v>
      </c>
      <c r="R486" s="256" t="inlineStr">
        <is>
          <t>蓝</t>
        </is>
      </c>
    </row>
    <row r="487" ht="16.5" customHeight="1" s="14">
      <c r="N487" s="256" t="n">
        <v>60484</v>
      </c>
      <c r="O487" s="256" t="n">
        <v>21</v>
      </c>
      <c r="P487" s="256" t="inlineStr">
        <is>
          <t>无成本融资</t>
        </is>
      </c>
      <c r="Q487" s="256" t="n">
        <v>4</v>
      </c>
      <c r="R487" s="256" t="inlineStr">
        <is>
          <t>蓝</t>
        </is>
      </c>
    </row>
    <row r="488" ht="16.5" customHeight="1" s="14">
      <c r="N488" s="256" t="n">
        <v>60485</v>
      </c>
      <c r="O488" s="256" t="n">
        <v>21</v>
      </c>
      <c r="P488" s="256" t="inlineStr">
        <is>
          <t>无成本融资</t>
        </is>
      </c>
      <c r="Q488" s="256" t="n">
        <v>5</v>
      </c>
      <c r="R488" s="256" t="inlineStr">
        <is>
          <t>蓝</t>
        </is>
      </c>
    </row>
    <row r="489" ht="16.5" customHeight="1" s="14">
      <c r="N489" s="256" t="n">
        <v>60486</v>
      </c>
      <c r="O489" s="256" t="n">
        <v>21</v>
      </c>
      <c r="P489" s="256" t="inlineStr">
        <is>
          <t>无成本融资</t>
        </is>
      </c>
      <c r="Q489" s="256" t="n">
        <v>6</v>
      </c>
      <c r="R489" s="256" t="inlineStr">
        <is>
          <t>蓝</t>
        </is>
      </c>
    </row>
    <row r="490" ht="16.5" customHeight="1" s="14">
      <c r="N490" s="256" t="n">
        <v>60487</v>
      </c>
      <c r="O490" s="256" t="n">
        <v>21</v>
      </c>
      <c r="P490" s="256" t="inlineStr">
        <is>
          <t>无成本融资</t>
        </is>
      </c>
      <c r="Q490" s="256" t="n">
        <v>1</v>
      </c>
      <c r="R490" s="256" t="inlineStr">
        <is>
          <t>紫</t>
        </is>
      </c>
    </row>
    <row r="491" ht="16.5" customHeight="1" s="14">
      <c r="N491" s="256" t="n">
        <v>60488</v>
      </c>
      <c r="O491" s="256" t="n">
        <v>21</v>
      </c>
      <c r="P491" s="256" t="inlineStr">
        <is>
          <t>无成本融资</t>
        </is>
      </c>
      <c r="Q491" s="256" t="n">
        <v>2</v>
      </c>
      <c r="R491" s="256" t="inlineStr">
        <is>
          <t>紫</t>
        </is>
      </c>
    </row>
    <row r="492" ht="16.5" customHeight="1" s="14">
      <c r="N492" s="256" t="n">
        <v>60489</v>
      </c>
      <c r="O492" s="256" t="n">
        <v>21</v>
      </c>
      <c r="P492" s="256" t="inlineStr">
        <is>
          <t>无成本融资</t>
        </is>
      </c>
      <c r="Q492" s="256" t="n">
        <v>3</v>
      </c>
      <c r="R492" s="256" t="inlineStr">
        <is>
          <t>紫</t>
        </is>
      </c>
    </row>
    <row r="493" ht="16.5" customHeight="1" s="14">
      <c r="N493" s="256" t="n">
        <v>60490</v>
      </c>
      <c r="O493" s="256" t="n">
        <v>21</v>
      </c>
      <c r="P493" s="256" t="inlineStr">
        <is>
          <t>无成本融资</t>
        </is>
      </c>
      <c r="Q493" s="256" t="n">
        <v>4</v>
      </c>
      <c r="R493" s="256" t="inlineStr">
        <is>
          <t>紫</t>
        </is>
      </c>
    </row>
    <row r="494" ht="16.5" customHeight="1" s="14">
      <c r="N494" s="256" t="n">
        <v>60491</v>
      </c>
      <c r="O494" s="256" t="n">
        <v>21</v>
      </c>
      <c r="P494" s="256" t="inlineStr">
        <is>
          <t>无成本融资</t>
        </is>
      </c>
      <c r="Q494" s="256" t="n">
        <v>5</v>
      </c>
      <c r="R494" s="256" t="inlineStr">
        <is>
          <t>紫</t>
        </is>
      </c>
    </row>
    <row r="495" ht="16.5" customHeight="1" s="14">
      <c r="N495" s="256" t="n">
        <v>60492</v>
      </c>
      <c r="O495" s="256" t="n">
        <v>21</v>
      </c>
      <c r="P495" s="256" t="inlineStr">
        <is>
          <t>无成本融资</t>
        </is>
      </c>
      <c r="Q495" s="256" t="n">
        <v>6</v>
      </c>
      <c r="R495" s="256" t="inlineStr">
        <is>
          <t>紫</t>
        </is>
      </c>
    </row>
    <row r="496" ht="16.5" customHeight="1" s="14">
      <c r="N496" s="256" t="n">
        <v>60493</v>
      </c>
      <c r="O496" s="256" t="n">
        <v>21</v>
      </c>
      <c r="P496" s="256" t="inlineStr">
        <is>
          <t>无成本融资</t>
        </is>
      </c>
      <c r="Q496" s="256" t="n">
        <v>1</v>
      </c>
      <c r="R496" s="256" t="inlineStr">
        <is>
          <t>金</t>
        </is>
      </c>
    </row>
    <row r="497" ht="16.5" customHeight="1" s="14">
      <c r="N497" s="256" t="n">
        <v>60494</v>
      </c>
      <c r="O497" s="256" t="n">
        <v>21</v>
      </c>
      <c r="P497" s="256" t="inlineStr">
        <is>
          <t>无成本融资</t>
        </is>
      </c>
      <c r="Q497" s="256" t="n">
        <v>2</v>
      </c>
      <c r="R497" s="256" t="inlineStr">
        <is>
          <t>金</t>
        </is>
      </c>
    </row>
    <row r="498" ht="16.5" customHeight="1" s="14">
      <c r="N498" s="256" t="n">
        <v>60495</v>
      </c>
      <c r="O498" s="256" t="n">
        <v>21</v>
      </c>
      <c r="P498" s="256" t="inlineStr">
        <is>
          <t>无成本融资</t>
        </is>
      </c>
      <c r="Q498" s="256" t="n">
        <v>3</v>
      </c>
      <c r="R498" s="256" t="inlineStr">
        <is>
          <t>金</t>
        </is>
      </c>
    </row>
    <row r="499" ht="16.5" customHeight="1" s="14">
      <c r="N499" s="256" t="n">
        <v>60496</v>
      </c>
      <c r="O499" s="256" t="n">
        <v>21</v>
      </c>
      <c r="P499" s="256" t="inlineStr">
        <is>
          <t>无成本融资</t>
        </is>
      </c>
      <c r="Q499" s="256" t="n">
        <v>4</v>
      </c>
      <c r="R499" s="256" t="inlineStr">
        <is>
          <t>金</t>
        </is>
      </c>
    </row>
    <row r="500" ht="16.5" customHeight="1" s="14">
      <c r="N500" s="256" t="n">
        <v>60497</v>
      </c>
      <c r="O500" s="256" t="n">
        <v>21</v>
      </c>
      <c r="P500" s="256" t="inlineStr">
        <is>
          <t>无成本融资</t>
        </is>
      </c>
      <c r="Q500" s="256" t="n">
        <v>5</v>
      </c>
      <c r="R500" s="256" t="inlineStr">
        <is>
          <t>金</t>
        </is>
      </c>
    </row>
    <row r="501" ht="16.5" customHeight="1" s="14">
      <c r="N501" s="256" t="n">
        <v>60498</v>
      </c>
      <c r="O501" s="256" t="n">
        <v>21</v>
      </c>
      <c r="P501" s="256" t="inlineStr">
        <is>
          <t>无成本融资</t>
        </is>
      </c>
      <c r="Q501" s="256" t="n">
        <v>6</v>
      </c>
      <c r="R501" s="256" t="inlineStr">
        <is>
          <t>金</t>
        </is>
      </c>
    </row>
    <row r="502" ht="16.5" customHeight="1" s="14">
      <c r="N502" s="256" t="n">
        <v>60499</v>
      </c>
      <c r="O502" s="256" t="n">
        <v>21</v>
      </c>
      <c r="P502" s="256" t="inlineStr">
        <is>
          <t>无成本融资</t>
        </is>
      </c>
      <c r="Q502" s="256" t="n">
        <v>1</v>
      </c>
      <c r="R502" s="256" t="inlineStr">
        <is>
          <t>红</t>
        </is>
      </c>
    </row>
    <row r="503" ht="16.5" customHeight="1" s="14">
      <c r="N503" s="256" t="n">
        <v>60500</v>
      </c>
      <c r="O503" s="256" t="n">
        <v>21</v>
      </c>
      <c r="P503" s="256" t="inlineStr">
        <is>
          <t>无成本融资</t>
        </is>
      </c>
      <c r="Q503" s="256" t="n">
        <v>2</v>
      </c>
      <c r="R503" s="256" t="inlineStr">
        <is>
          <t>红</t>
        </is>
      </c>
    </row>
    <row r="504" ht="16.5" customHeight="1" s="14">
      <c r="N504" s="256" t="n">
        <v>60501</v>
      </c>
      <c r="O504" s="256" t="n">
        <v>21</v>
      </c>
      <c r="P504" s="256" t="inlineStr">
        <is>
          <t>无成本融资</t>
        </is>
      </c>
      <c r="Q504" s="256" t="n">
        <v>3</v>
      </c>
      <c r="R504" s="256" t="inlineStr">
        <is>
          <t>红</t>
        </is>
      </c>
    </row>
    <row r="505" ht="16.5" customHeight="1" s="14">
      <c r="N505" s="256" t="n">
        <v>60502</v>
      </c>
      <c r="O505" s="256" t="n">
        <v>21</v>
      </c>
      <c r="P505" s="256" t="inlineStr">
        <is>
          <t>无成本融资</t>
        </is>
      </c>
      <c r="Q505" s="256" t="n">
        <v>4</v>
      </c>
      <c r="R505" s="256" t="inlineStr">
        <is>
          <t>红</t>
        </is>
      </c>
    </row>
    <row r="506" ht="16.5" customHeight="1" s="14">
      <c r="N506" s="256" t="n">
        <v>60503</v>
      </c>
      <c r="O506" s="256" t="n">
        <v>21</v>
      </c>
      <c r="P506" s="256" t="inlineStr">
        <is>
          <t>无成本融资</t>
        </is>
      </c>
      <c r="Q506" s="256" t="n">
        <v>5</v>
      </c>
      <c r="R506" s="256" t="inlineStr">
        <is>
          <t>红</t>
        </is>
      </c>
    </row>
    <row r="507" ht="16.5" customHeight="1" s="14">
      <c r="N507" s="256" t="n">
        <v>60504</v>
      </c>
      <c r="O507" s="256" t="n">
        <v>21</v>
      </c>
      <c r="P507" s="256" t="inlineStr">
        <is>
          <t>无成本融资</t>
        </is>
      </c>
      <c r="Q507" s="256" t="n">
        <v>6</v>
      </c>
      <c r="R507" s="256" t="inlineStr">
        <is>
          <t>红</t>
        </is>
      </c>
    </row>
    <row r="508" ht="16.5" customHeight="1" s="14">
      <c r="N508" s="256" t="n">
        <v>60505</v>
      </c>
      <c r="O508" s="256" t="n">
        <v>22</v>
      </c>
      <c r="P508" s="256" t="inlineStr">
        <is>
          <t>涌动的愤怒</t>
        </is>
      </c>
      <c r="Q508" s="256" t="n">
        <v>1</v>
      </c>
      <c r="R508" s="256" t="inlineStr">
        <is>
          <t>蓝</t>
        </is>
      </c>
    </row>
    <row r="509" ht="16.5" customHeight="1" s="14">
      <c r="N509" s="256" t="n">
        <v>60506</v>
      </c>
      <c r="O509" s="256" t="n">
        <v>22</v>
      </c>
      <c r="P509" s="256" t="inlineStr">
        <is>
          <t>涌动的愤怒</t>
        </is>
      </c>
      <c r="Q509" s="256" t="n">
        <v>2</v>
      </c>
      <c r="R509" s="256" t="inlineStr">
        <is>
          <t>蓝</t>
        </is>
      </c>
    </row>
    <row r="510" ht="16.5" customHeight="1" s="14">
      <c r="N510" s="256" t="n">
        <v>60507</v>
      </c>
      <c r="O510" s="256" t="n">
        <v>22</v>
      </c>
      <c r="P510" s="256" t="inlineStr">
        <is>
          <t>涌动的愤怒</t>
        </is>
      </c>
      <c r="Q510" s="256" t="n">
        <v>3</v>
      </c>
      <c r="R510" s="256" t="inlineStr">
        <is>
          <t>蓝</t>
        </is>
      </c>
    </row>
    <row r="511" ht="16.5" customHeight="1" s="14">
      <c r="N511" s="256" t="n">
        <v>60508</v>
      </c>
      <c r="O511" s="256" t="n">
        <v>22</v>
      </c>
      <c r="P511" s="256" t="inlineStr">
        <is>
          <t>涌动的愤怒</t>
        </is>
      </c>
      <c r="Q511" s="256" t="n">
        <v>4</v>
      </c>
      <c r="R511" s="256" t="inlineStr">
        <is>
          <t>蓝</t>
        </is>
      </c>
    </row>
    <row r="512" ht="16.5" customHeight="1" s="14">
      <c r="N512" s="256" t="n">
        <v>60509</v>
      </c>
      <c r="O512" s="256" t="n">
        <v>22</v>
      </c>
      <c r="P512" s="256" t="inlineStr">
        <is>
          <t>涌动的愤怒</t>
        </is>
      </c>
      <c r="Q512" s="256" t="n">
        <v>5</v>
      </c>
      <c r="R512" s="256" t="inlineStr">
        <is>
          <t>蓝</t>
        </is>
      </c>
    </row>
    <row r="513" ht="16.5" customHeight="1" s="14">
      <c r="N513" s="256" t="n">
        <v>60510</v>
      </c>
      <c r="O513" s="256" t="n">
        <v>22</v>
      </c>
      <c r="P513" s="256" t="inlineStr">
        <is>
          <t>涌动的愤怒</t>
        </is>
      </c>
      <c r="Q513" s="256" t="n">
        <v>6</v>
      </c>
      <c r="R513" s="256" t="inlineStr">
        <is>
          <t>蓝</t>
        </is>
      </c>
    </row>
    <row r="514" ht="16.5" customHeight="1" s="14">
      <c r="N514" s="256" t="n">
        <v>60511</v>
      </c>
      <c r="O514" s="256" t="n">
        <v>22</v>
      </c>
      <c r="P514" s="256" t="inlineStr">
        <is>
          <t>涌动的愤怒</t>
        </is>
      </c>
      <c r="Q514" s="256" t="n">
        <v>1</v>
      </c>
      <c r="R514" s="256" t="inlineStr">
        <is>
          <t>紫</t>
        </is>
      </c>
    </row>
    <row r="515" ht="16.5" customHeight="1" s="14">
      <c r="N515" s="256" t="n">
        <v>60512</v>
      </c>
      <c r="O515" s="256" t="n">
        <v>22</v>
      </c>
      <c r="P515" s="256" t="inlineStr">
        <is>
          <t>涌动的愤怒</t>
        </is>
      </c>
      <c r="Q515" s="256" t="n">
        <v>2</v>
      </c>
      <c r="R515" s="256" t="inlineStr">
        <is>
          <t>紫</t>
        </is>
      </c>
    </row>
    <row r="516" ht="16.5" customHeight="1" s="14">
      <c r="N516" s="256" t="n">
        <v>60513</v>
      </c>
      <c r="O516" s="256" t="n">
        <v>22</v>
      </c>
      <c r="P516" s="256" t="inlineStr">
        <is>
          <t>涌动的愤怒</t>
        </is>
      </c>
      <c r="Q516" s="256" t="n">
        <v>3</v>
      </c>
      <c r="R516" s="256" t="inlineStr">
        <is>
          <t>紫</t>
        </is>
      </c>
    </row>
    <row r="517" ht="16.5" customHeight="1" s="14">
      <c r="N517" s="256" t="n">
        <v>60514</v>
      </c>
      <c r="O517" s="256" t="n">
        <v>22</v>
      </c>
      <c r="P517" s="256" t="inlineStr">
        <is>
          <t>涌动的愤怒</t>
        </is>
      </c>
      <c r="Q517" s="256" t="n">
        <v>4</v>
      </c>
      <c r="R517" s="256" t="inlineStr">
        <is>
          <t>紫</t>
        </is>
      </c>
    </row>
    <row r="518" ht="16.5" customHeight="1" s="14">
      <c r="N518" s="256" t="n">
        <v>60515</v>
      </c>
      <c r="O518" s="256" t="n">
        <v>22</v>
      </c>
      <c r="P518" s="256" t="inlineStr">
        <is>
          <t>涌动的愤怒</t>
        </is>
      </c>
      <c r="Q518" s="256" t="n">
        <v>5</v>
      </c>
      <c r="R518" s="256" t="inlineStr">
        <is>
          <t>紫</t>
        </is>
      </c>
    </row>
    <row r="519" ht="16.5" customHeight="1" s="14">
      <c r="N519" s="256" t="n">
        <v>60516</v>
      </c>
      <c r="O519" s="256" t="n">
        <v>22</v>
      </c>
      <c r="P519" s="256" t="inlineStr">
        <is>
          <t>涌动的愤怒</t>
        </is>
      </c>
      <c r="Q519" s="256" t="n">
        <v>6</v>
      </c>
      <c r="R519" s="256" t="inlineStr">
        <is>
          <t>紫</t>
        </is>
      </c>
    </row>
    <row r="520" ht="16.5" customHeight="1" s="14">
      <c r="N520" s="256" t="n">
        <v>60517</v>
      </c>
      <c r="O520" s="256" t="n">
        <v>22</v>
      </c>
      <c r="P520" s="256" t="inlineStr">
        <is>
          <t>涌动的愤怒</t>
        </is>
      </c>
      <c r="Q520" s="256" t="n">
        <v>1</v>
      </c>
      <c r="R520" s="256" t="inlineStr">
        <is>
          <t>金</t>
        </is>
      </c>
    </row>
    <row r="521" ht="16.5" customHeight="1" s="14">
      <c r="N521" s="256" t="n">
        <v>60518</v>
      </c>
      <c r="O521" s="256" t="n">
        <v>22</v>
      </c>
      <c r="P521" s="256" t="inlineStr">
        <is>
          <t>涌动的愤怒</t>
        </is>
      </c>
      <c r="Q521" s="256" t="n">
        <v>2</v>
      </c>
      <c r="R521" s="256" t="inlineStr">
        <is>
          <t>金</t>
        </is>
      </c>
    </row>
    <row r="522" ht="16.5" customHeight="1" s="14">
      <c r="N522" s="256" t="n">
        <v>60519</v>
      </c>
      <c r="O522" s="256" t="n">
        <v>22</v>
      </c>
      <c r="P522" s="256" t="inlineStr">
        <is>
          <t>涌动的愤怒</t>
        </is>
      </c>
      <c r="Q522" s="256" t="n">
        <v>3</v>
      </c>
      <c r="R522" s="256" t="inlineStr">
        <is>
          <t>金</t>
        </is>
      </c>
    </row>
    <row r="523" ht="16.5" customHeight="1" s="14">
      <c r="N523" s="256" t="n">
        <v>60520</v>
      </c>
      <c r="O523" s="256" t="n">
        <v>22</v>
      </c>
      <c r="P523" s="256" t="inlineStr">
        <is>
          <t>涌动的愤怒</t>
        </is>
      </c>
      <c r="Q523" s="256" t="n">
        <v>4</v>
      </c>
      <c r="R523" s="256" t="inlineStr">
        <is>
          <t>金</t>
        </is>
      </c>
    </row>
    <row r="524" ht="16.5" customHeight="1" s="14">
      <c r="N524" s="256" t="n">
        <v>60521</v>
      </c>
      <c r="O524" s="256" t="n">
        <v>22</v>
      </c>
      <c r="P524" s="256" t="inlineStr">
        <is>
          <t>涌动的愤怒</t>
        </is>
      </c>
      <c r="Q524" s="256" t="n">
        <v>5</v>
      </c>
      <c r="R524" s="256" t="inlineStr">
        <is>
          <t>金</t>
        </is>
      </c>
    </row>
    <row r="525" ht="16.5" customHeight="1" s="14">
      <c r="N525" s="256" t="n">
        <v>60522</v>
      </c>
      <c r="O525" s="256" t="n">
        <v>22</v>
      </c>
      <c r="P525" s="256" t="inlineStr">
        <is>
          <t>涌动的愤怒</t>
        </is>
      </c>
      <c r="Q525" s="256" t="n">
        <v>6</v>
      </c>
      <c r="R525" s="256" t="inlineStr">
        <is>
          <t>金</t>
        </is>
      </c>
    </row>
    <row r="526" ht="16.5" customHeight="1" s="14">
      <c r="N526" s="256" t="n">
        <v>60523</v>
      </c>
      <c r="O526" s="256" t="n">
        <v>22</v>
      </c>
      <c r="P526" s="256" t="inlineStr">
        <is>
          <t>涌动的愤怒</t>
        </is>
      </c>
      <c r="Q526" s="256" t="n">
        <v>1</v>
      </c>
      <c r="R526" s="256" t="inlineStr">
        <is>
          <t>红</t>
        </is>
      </c>
    </row>
    <row r="527" ht="16.5" customHeight="1" s="14">
      <c r="N527" s="256" t="n">
        <v>60524</v>
      </c>
      <c r="O527" s="256" t="n">
        <v>22</v>
      </c>
      <c r="P527" s="256" t="inlineStr">
        <is>
          <t>涌动的愤怒</t>
        </is>
      </c>
      <c r="Q527" s="256" t="n">
        <v>2</v>
      </c>
      <c r="R527" s="256" t="inlineStr">
        <is>
          <t>红</t>
        </is>
      </c>
    </row>
    <row r="528" ht="16.5" customHeight="1" s="14">
      <c r="N528" s="256" t="n">
        <v>60525</v>
      </c>
      <c r="O528" s="256" t="n">
        <v>22</v>
      </c>
      <c r="P528" s="256" t="inlineStr">
        <is>
          <t>涌动的愤怒</t>
        </is>
      </c>
      <c r="Q528" s="256" t="n">
        <v>3</v>
      </c>
      <c r="R528" s="256" t="inlineStr">
        <is>
          <t>红</t>
        </is>
      </c>
    </row>
    <row r="529" ht="16.5" customHeight="1" s="14">
      <c r="N529" s="256" t="n">
        <v>60526</v>
      </c>
      <c r="O529" s="256" t="n">
        <v>22</v>
      </c>
      <c r="P529" s="256" t="inlineStr">
        <is>
          <t>涌动的愤怒</t>
        </is>
      </c>
      <c r="Q529" s="256" t="n">
        <v>4</v>
      </c>
      <c r="R529" s="256" t="inlineStr">
        <is>
          <t>红</t>
        </is>
      </c>
    </row>
    <row r="530" ht="16.5" customHeight="1" s="14">
      <c r="N530" s="256" t="n">
        <v>60527</v>
      </c>
      <c r="O530" s="256" t="n">
        <v>22</v>
      </c>
      <c r="P530" s="256" t="inlineStr">
        <is>
          <t>涌动的愤怒</t>
        </is>
      </c>
      <c r="Q530" s="256" t="n">
        <v>5</v>
      </c>
      <c r="R530" s="256" t="inlineStr">
        <is>
          <t>红</t>
        </is>
      </c>
    </row>
    <row r="531" ht="16.5" customHeight="1" s="14">
      <c r="N531" s="256" t="n">
        <v>60528</v>
      </c>
      <c r="O531" s="256" t="n">
        <v>22</v>
      </c>
      <c r="P531" s="256" t="inlineStr">
        <is>
          <t>涌动的愤怒</t>
        </is>
      </c>
      <c r="Q531" s="256" t="n">
        <v>6</v>
      </c>
      <c r="R531" s="256" t="inlineStr">
        <is>
          <t>红</t>
        </is>
      </c>
    </row>
    <row r="532" ht="16.5" customHeight="1" s="14">
      <c r="N532" s="256" t="n">
        <v>60529</v>
      </c>
      <c r="O532" s="256" t="n">
        <v>23</v>
      </c>
      <c r="P532" s="256" t="inlineStr">
        <is>
          <t>铁十字勋章</t>
        </is>
      </c>
      <c r="Q532" s="256" t="n">
        <v>1</v>
      </c>
      <c r="R532" s="256" t="inlineStr">
        <is>
          <t>蓝</t>
        </is>
      </c>
    </row>
    <row r="533" ht="16.5" customHeight="1" s="14">
      <c r="N533" s="256" t="n">
        <v>60530</v>
      </c>
      <c r="O533" s="256" t="n">
        <v>23</v>
      </c>
      <c r="P533" s="256" t="inlineStr">
        <is>
          <t>铁十字勋章</t>
        </is>
      </c>
      <c r="Q533" s="256" t="n">
        <v>2</v>
      </c>
      <c r="R533" s="256" t="inlineStr">
        <is>
          <t>蓝</t>
        </is>
      </c>
    </row>
    <row r="534" ht="16.5" customHeight="1" s="14">
      <c r="N534" s="256" t="n">
        <v>60531</v>
      </c>
      <c r="O534" s="256" t="n">
        <v>23</v>
      </c>
      <c r="P534" s="256" t="inlineStr">
        <is>
          <t>铁十字勋章</t>
        </is>
      </c>
      <c r="Q534" s="256" t="n">
        <v>3</v>
      </c>
      <c r="R534" s="256" t="inlineStr">
        <is>
          <t>蓝</t>
        </is>
      </c>
    </row>
    <row r="535" ht="16.5" customHeight="1" s="14">
      <c r="N535" s="256" t="n">
        <v>60532</v>
      </c>
      <c r="O535" s="256" t="n">
        <v>23</v>
      </c>
      <c r="P535" s="256" t="inlineStr">
        <is>
          <t>铁十字勋章</t>
        </is>
      </c>
      <c r="Q535" s="256" t="n">
        <v>4</v>
      </c>
      <c r="R535" s="256" t="inlineStr">
        <is>
          <t>蓝</t>
        </is>
      </c>
    </row>
    <row r="536" ht="16.5" customHeight="1" s="14">
      <c r="N536" s="256" t="n">
        <v>60533</v>
      </c>
      <c r="O536" s="256" t="n">
        <v>23</v>
      </c>
      <c r="P536" s="256" t="inlineStr">
        <is>
          <t>铁十字勋章</t>
        </is>
      </c>
      <c r="Q536" s="256" t="n">
        <v>5</v>
      </c>
      <c r="R536" s="256" t="inlineStr">
        <is>
          <t>蓝</t>
        </is>
      </c>
    </row>
    <row r="537" ht="16.5" customHeight="1" s="14">
      <c r="N537" s="256" t="n">
        <v>60534</v>
      </c>
      <c r="O537" s="256" t="n">
        <v>23</v>
      </c>
      <c r="P537" s="256" t="inlineStr">
        <is>
          <t>铁十字勋章</t>
        </is>
      </c>
      <c r="Q537" s="256" t="n">
        <v>6</v>
      </c>
      <c r="R537" s="256" t="inlineStr">
        <is>
          <t>蓝</t>
        </is>
      </c>
    </row>
    <row r="538" ht="16.5" customHeight="1" s="14">
      <c r="N538" s="256" t="n">
        <v>60535</v>
      </c>
      <c r="O538" s="256" t="n">
        <v>23</v>
      </c>
      <c r="P538" s="256" t="inlineStr">
        <is>
          <t>铁十字勋章</t>
        </is>
      </c>
      <c r="Q538" s="256" t="n">
        <v>1</v>
      </c>
      <c r="R538" s="256" t="inlineStr">
        <is>
          <t>紫</t>
        </is>
      </c>
    </row>
    <row r="539" ht="16.5" customHeight="1" s="14">
      <c r="N539" s="256" t="n">
        <v>60536</v>
      </c>
      <c r="O539" s="256" t="n">
        <v>23</v>
      </c>
      <c r="P539" s="256" t="inlineStr">
        <is>
          <t>铁十字勋章</t>
        </is>
      </c>
      <c r="Q539" s="256" t="n">
        <v>2</v>
      </c>
      <c r="R539" s="256" t="inlineStr">
        <is>
          <t>紫</t>
        </is>
      </c>
    </row>
    <row r="540" ht="16.5" customHeight="1" s="14">
      <c r="N540" s="256" t="n">
        <v>60537</v>
      </c>
      <c r="O540" s="256" t="n">
        <v>23</v>
      </c>
      <c r="P540" s="256" t="inlineStr">
        <is>
          <t>铁十字勋章</t>
        </is>
      </c>
      <c r="Q540" s="256" t="n">
        <v>3</v>
      </c>
      <c r="R540" s="256" t="inlineStr">
        <is>
          <t>紫</t>
        </is>
      </c>
    </row>
    <row r="541" ht="16.5" customHeight="1" s="14">
      <c r="N541" s="256" t="n">
        <v>60538</v>
      </c>
      <c r="O541" s="256" t="n">
        <v>23</v>
      </c>
      <c r="P541" s="256" t="inlineStr">
        <is>
          <t>铁十字勋章</t>
        </is>
      </c>
      <c r="Q541" s="256" t="n">
        <v>4</v>
      </c>
      <c r="R541" s="256" t="inlineStr">
        <is>
          <t>紫</t>
        </is>
      </c>
    </row>
    <row r="542" ht="16.5" customHeight="1" s="14">
      <c r="N542" s="256" t="n">
        <v>60539</v>
      </c>
      <c r="O542" s="256" t="n">
        <v>23</v>
      </c>
      <c r="P542" s="256" t="inlineStr">
        <is>
          <t>铁十字勋章</t>
        </is>
      </c>
      <c r="Q542" s="256" t="n">
        <v>5</v>
      </c>
      <c r="R542" s="256" t="inlineStr">
        <is>
          <t>紫</t>
        </is>
      </c>
    </row>
    <row r="543" ht="16.5" customHeight="1" s="14">
      <c r="N543" s="256" t="n">
        <v>60540</v>
      </c>
      <c r="O543" s="256" t="n">
        <v>23</v>
      </c>
      <c r="P543" s="256" t="inlineStr">
        <is>
          <t>铁十字勋章</t>
        </is>
      </c>
      <c r="Q543" s="256" t="n">
        <v>6</v>
      </c>
      <c r="R543" s="256" t="inlineStr">
        <is>
          <t>紫</t>
        </is>
      </c>
    </row>
    <row r="544" ht="16.5" customHeight="1" s="14">
      <c r="N544" s="256" t="n">
        <v>60541</v>
      </c>
      <c r="O544" s="256" t="n">
        <v>23</v>
      </c>
      <c r="P544" s="256" t="inlineStr">
        <is>
          <t>铁十字勋章</t>
        </is>
      </c>
      <c r="Q544" s="256" t="n">
        <v>1</v>
      </c>
      <c r="R544" s="256" t="inlineStr">
        <is>
          <t>金</t>
        </is>
      </c>
    </row>
    <row r="545" ht="16.5" customHeight="1" s="14">
      <c r="N545" s="256" t="n">
        <v>60542</v>
      </c>
      <c r="O545" s="256" t="n">
        <v>23</v>
      </c>
      <c r="P545" s="256" t="inlineStr">
        <is>
          <t>铁十字勋章</t>
        </is>
      </c>
      <c r="Q545" s="256" t="n">
        <v>2</v>
      </c>
      <c r="R545" s="256" t="inlineStr">
        <is>
          <t>金</t>
        </is>
      </c>
    </row>
    <row r="546" ht="16.5" customHeight="1" s="14">
      <c r="N546" s="256" t="n">
        <v>60543</v>
      </c>
      <c r="O546" s="256" t="n">
        <v>23</v>
      </c>
      <c r="P546" s="256" t="inlineStr">
        <is>
          <t>铁十字勋章</t>
        </is>
      </c>
      <c r="Q546" s="256" t="n">
        <v>3</v>
      </c>
      <c r="R546" s="256" t="inlineStr">
        <is>
          <t>金</t>
        </is>
      </c>
    </row>
    <row r="547" ht="16.5" customHeight="1" s="14">
      <c r="N547" s="256" t="n">
        <v>60544</v>
      </c>
      <c r="O547" s="256" t="n">
        <v>23</v>
      </c>
      <c r="P547" s="256" t="inlineStr">
        <is>
          <t>铁十字勋章</t>
        </is>
      </c>
      <c r="Q547" s="256" t="n">
        <v>4</v>
      </c>
      <c r="R547" s="256" t="inlineStr">
        <is>
          <t>金</t>
        </is>
      </c>
    </row>
    <row r="548" ht="16.5" customHeight="1" s="14">
      <c r="N548" s="256" t="n">
        <v>60545</v>
      </c>
      <c r="O548" s="256" t="n">
        <v>23</v>
      </c>
      <c r="P548" s="256" t="inlineStr">
        <is>
          <t>铁十字勋章</t>
        </is>
      </c>
      <c r="Q548" s="256" t="n">
        <v>5</v>
      </c>
      <c r="R548" s="256" t="inlineStr">
        <is>
          <t>金</t>
        </is>
      </c>
    </row>
    <row r="549" ht="16.5" customHeight="1" s="14">
      <c r="N549" s="256" t="n">
        <v>60546</v>
      </c>
      <c r="O549" s="256" t="n">
        <v>23</v>
      </c>
      <c r="P549" s="256" t="inlineStr">
        <is>
          <t>铁十字勋章</t>
        </is>
      </c>
      <c r="Q549" s="256" t="n">
        <v>6</v>
      </c>
      <c r="R549" s="256" t="inlineStr">
        <is>
          <t>金</t>
        </is>
      </c>
    </row>
    <row r="550" ht="16.5" customHeight="1" s="14">
      <c r="N550" s="256" t="n">
        <v>60547</v>
      </c>
      <c r="O550" s="256" t="n">
        <v>23</v>
      </c>
      <c r="P550" s="256" t="inlineStr">
        <is>
          <t>铁十字勋章</t>
        </is>
      </c>
      <c r="Q550" s="256" t="n">
        <v>1</v>
      </c>
      <c r="R550" s="256" t="inlineStr">
        <is>
          <t>红</t>
        </is>
      </c>
    </row>
    <row r="551" ht="16.5" customHeight="1" s="14">
      <c r="N551" s="256" t="n">
        <v>60548</v>
      </c>
      <c r="O551" s="256" t="n">
        <v>23</v>
      </c>
      <c r="P551" s="256" t="inlineStr">
        <is>
          <t>铁十字勋章</t>
        </is>
      </c>
      <c r="Q551" s="256" t="n">
        <v>2</v>
      </c>
      <c r="R551" s="256" t="inlineStr">
        <is>
          <t>红</t>
        </is>
      </c>
    </row>
    <row r="552" ht="16.5" customHeight="1" s="14">
      <c r="N552" s="256" t="n">
        <v>60549</v>
      </c>
      <c r="O552" s="256" t="n">
        <v>23</v>
      </c>
      <c r="P552" s="256" t="inlineStr">
        <is>
          <t>铁十字勋章</t>
        </is>
      </c>
      <c r="Q552" s="256" t="n">
        <v>3</v>
      </c>
      <c r="R552" s="256" t="inlineStr">
        <is>
          <t>红</t>
        </is>
      </c>
    </row>
    <row r="553" ht="16.5" customHeight="1" s="14">
      <c r="N553" s="256" t="n">
        <v>60550</v>
      </c>
      <c r="O553" s="256" t="n">
        <v>23</v>
      </c>
      <c r="P553" s="256" t="inlineStr">
        <is>
          <t>铁十字勋章</t>
        </is>
      </c>
      <c r="Q553" s="256" t="n">
        <v>4</v>
      </c>
      <c r="R553" s="256" t="inlineStr">
        <is>
          <t>红</t>
        </is>
      </c>
    </row>
    <row r="554" ht="16.5" customHeight="1" s="14">
      <c r="N554" s="256" t="n">
        <v>60551</v>
      </c>
      <c r="O554" s="256" t="n">
        <v>23</v>
      </c>
      <c r="P554" s="256" t="inlineStr">
        <is>
          <t>铁十字勋章</t>
        </is>
      </c>
      <c r="Q554" s="256" t="n">
        <v>5</v>
      </c>
      <c r="R554" s="256" t="inlineStr">
        <is>
          <t>红</t>
        </is>
      </c>
    </row>
    <row r="555" ht="16.5" customHeight="1" s="14">
      <c r="N555" s="256" t="n">
        <v>60552</v>
      </c>
      <c r="O555" s="256" t="n">
        <v>23</v>
      </c>
      <c r="P555" s="256" t="inlineStr">
        <is>
          <t>铁十字勋章</t>
        </is>
      </c>
      <c r="Q555" s="256" t="n">
        <v>6</v>
      </c>
      <c r="R555" s="256" t="inlineStr">
        <is>
          <t>红</t>
        </is>
      </c>
    </row>
    <row r="556" ht="16.5" customHeight="1" s="14">
      <c r="N556" s="256" t="n">
        <v>60553</v>
      </c>
      <c r="O556" s="256" t="n">
        <v>24</v>
      </c>
      <c r="P556" s="256" t="inlineStr">
        <is>
          <t>易碎琉璃</t>
        </is>
      </c>
      <c r="Q556" s="256" t="n">
        <v>1</v>
      </c>
      <c r="R556" s="256" t="inlineStr">
        <is>
          <t>蓝</t>
        </is>
      </c>
    </row>
    <row r="557" ht="16.5" customHeight="1" s="14">
      <c r="N557" s="256" t="n">
        <v>60554</v>
      </c>
      <c r="O557" s="256" t="n">
        <v>24</v>
      </c>
      <c r="P557" s="256" t="inlineStr">
        <is>
          <t>易碎琉璃</t>
        </is>
      </c>
      <c r="Q557" s="256" t="n">
        <v>2</v>
      </c>
      <c r="R557" s="256" t="inlineStr">
        <is>
          <t>蓝</t>
        </is>
      </c>
    </row>
    <row r="558" ht="16.5" customHeight="1" s="14">
      <c r="N558" s="256" t="n">
        <v>60555</v>
      </c>
      <c r="O558" s="256" t="n">
        <v>24</v>
      </c>
      <c r="P558" s="256" t="inlineStr">
        <is>
          <t>易碎琉璃</t>
        </is>
      </c>
      <c r="Q558" s="256" t="n">
        <v>3</v>
      </c>
      <c r="R558" s="256" t="inlineStr">
        <is>
          <t>蓝</t>
        </is>
      </c>
    </row>
    <row r="559" ht="16.5" customHeight="1" s="14">
      <c r="N559" s="256" t="n">
        <v>60556</v>
      </c>
      <c r="O559" s="256" t="n">
        <v>24</v>
      </c>
      <c r="P559" s="256" t="inlineStr">
        <is>
          <t>易碎琉璃</t>
        </is>
      </c>
      <c r="Q559" s="256" t="n">
        <v>4</v>
      </c>
      <c r="R559" s="256" t="inlineStr">
        <is>
          <t>蓝</t>
        </is>
      </c>
    </row>
    <row r="560" ht="16.5" customHeight="1" s="14">
      <c r="N560" s="256" t="n">
        <v>60557</v>
      </c>
      <c r="O560" s="256" t="n">
        <v>24</v>
      </c>
      <c r="P560" s="256" t="inlineStr">
        <is>
          <t>易碎琉璃</t>
        </is>
      </c>
      <c r="Q560" s="256" t="n">
        <v>5</v>
      </c>
      <c r="R560" s="256" t="inlineStr">
        <is>
          <t>蓝</t>
        </is>
      </c>
    </row>
    <row r="561" ht="16.5" customHeight="1" s="14">
      <c r="N561" s="256" t="n">
        <v>60558</v>
      </c>
      <c r="O561" s="256" t="n">
        <v>24</v>
      </c>
      <c r="P561" s="256" t="inlineStr">
        <is>
          <t>易碎琉璃</t>
        </is>
      </c>
      <c r="Q561" s="256" t="n">
        <v>6</v>
      </c>
      <c r="R561" s="256" t="inlineStr">
        <is>
          <t>蓝</t>
        </is>
      </c>
    </row>
    <row r="562" ht="16.5" customHeight="1" s="14">
      <c r="N562" s="256" t="n">
        <v>60559</v>
      </c>
      <c r="O562" s="256" t="n">
        <v>24</v>
      </c>
      <c r="P562" s="256" t="inlineStr">
        <is>
          <t>易碎琉璃</t>
        </is>
      </c>
      <c r="Q562" s="256" t="n">
        <v>1</v>
      </c>
      <c r="R562" s="256" t="inlineStr">
        <is>
          <t>紫</t>
        </is>
      </c>
    </row>
    <row r="563" ht="16.5" customHeight="1" s="14">
      <c r="N563" s="256" t="n">
        <v>60560</v>
      </c>
      <c r="O563" s="256" t="n">
        <v>24</v>
      </c>
      <c r="P563" s="256" t="inlineStr">
        <is>
          <t>易碎琉璃</t>
        </is>
      </c>
      <c r="Q563" s="256" t="n">
        <v>2</v>
      </c>
      <c r="R563" s="256" t="inlineStr">
        <is>
          <t>紫</t>
        </is>
      </c>
    </row>
    <row r="564" ht="16.5" customHeight="1" s="14">
      <c r="N564" s="256" t="n">
        <v>60561</v>
      </c>
      <c r="O564" s="256" t="n">
        <v>24</v>
      </c>
      <c r="P564" s="256" t="inlineStr">
        <is>
          <t>易碎琉璃</t>
        </is>
      </c>
      <c r="Q564" s="256" t="n">
        <v>3</v>
      </c>
      <c r="R564" s="256" t="inlineStr">
        <is>
          <t>紫</t>
        </is>
      </c>
    </row>
    <row r="565" ht="16.5" customHeight="1" s="14">
      <c r="N565" s="256" t="n">
        <v>60562</v>
      </c>
      <c r="O565" s="256" t="n">
        <v>24</v>
      </c>
      <c r="P565" s="256" t="inlineStr">
        <is>
          <t>易碎琉璃</t>
        </is>
      </c>
      <c r="Q565" s="256" t="n">
        <v>4</v>
      </c>
      <c r="R565" s="256" t="inlineStr">
        <is>
          <t>紫</t>
        </is>
      </c>
    </row>
    <row r="566" ht="16.5" customHeight="1" s="14">
      <c r="N566" s="256" t="n">
        <v>60563</v>
      </c>
      <c r="O566" s="256" t="n">
        <v>24</v>
      </c>
      <c r="P566" s="256" t="inlineStr">
        <is>
          <t>易碎琉璃</t>
        </is>
      </c>
      <c r="Q566" s="256" t="n">
        <v>5</v>
      </c>
      <c r="R566" s="256" t="inlineStr">
        <is>
          <t>紫</t>
        </is>
      </c>
    </row>
    <row r="567" ht="16.5" customHeight="1" s="14">
      <c r="N567" s="256" t="n">
        <v>60564</v>
      </c>
      <c r="O567" s="256" t="n">
        <v>24</v>
      </c>
      <c r="P567" s="256" t="inlineStr">
        <is>
          <t>易碎琉璃</t>
        </is>
      </c>
      <c r="Q567" s="256" t="n">
        <v>6</v>
      </c>
      <c r="R567" s="256" t="inlineStr">
        <is>
          <t>紫</t>
        </is>
      </c>
    </row>
    <row r="568" ht="16.5" customHeight="1" s="14">
      <c r="N568" s="256" t="n">
        <v>60565</v>
      </c>
      <c r="O568" s="256" t="n">
        <v>24</v>
      </c>
      <c r="P568" s="256" t="inlineStr">
        <is>
          <t>易碎琉璃</t>
        </is>
      </c>
      <c r="Q568" s="256" t="n">
        <v>1</v>
      </c>
      <c r="R568" s="256" t="inlineStr">
        <is>
          <t>金</t>
        </is>
      </c>
    </row>
    <row r="569" ht="16.5" customHeight="1" s="14">
      <c r="N569" s="256" t="n">
        <v>60566</v>
      </c>
      <c r="O569" s="256" t="n">
        <v>24</v>
      </c>
      <c r="P569" s="256" t="inlineStr">
        <is>
          <t>易碎琉璃</t>
        </is>
      </c>
      <c r="Q569" s="256" t="n">
        <v>2</v>
      </c>
      <c r="R569" s="256" t="inlineStr">
        <is>
          <t>金</t>
        </is>
      </c>
    </row>
    <row r="570" ht="16.5" customHeight="1" s="14">
      <c r="N570" s="256" t="n">
        <v>60567</v>
      </c>
      <c r="O570" s="256" t="n">
        <v>24</v>
      </c>
      <c r="P570" s="256" t="inlineStr">
        <is>
          <t>易碎琉璃</t>
        </is>
      </c>
      <c r="Q570" s="256" t="n">
        <v>3</v>
      </c>
      <c r="R570" s="256" t="inlineStr">
        <is>
          <t>金</t>
        </is>
      </c>
    </row>
    <row r="571" ht="16.5" customHeight="1" s="14">
      <c r="N571" s="256" t="n">
        <v>60568</v>
      </c>
      <c r="O571" s="256" t="n">
        <v>24</v>
      </c>
      <c r="P571" s="256" t="inlineStr">
        <is>
          <t>易碎琉璃</t>
        </is>
      </c>
      <c r="Q571" s="256" t="n">
        <v>4</v>
      </c>
      <c r="R571" s="256" t="inlineStr">
        <is>
          <t>金</t>
        </is>
      </c>
    </row>
    <row r="572" ht="16.5" customHeight="1" s="14">
      <c r="N572" s="256" t="n">
        <v>60569</v>
      </c>
      <c r="O572" s="256" t="n">
        <v>24</v>
      </c>
      <c r="P572" s="256" t="inlineStr">
        <is>
          <t>易碎琉璃</t>
        </is>
      </c>
      <c r="Q572" s="256" t="n">
        <v>5</v>
      </c>
      <c r="R572" s="256" t="inlineStr">
        <is>
          <t>金</t>
        </is>
      </c>
    </row>
    <row r="573" ht="16.5" customHeight="1" s="14">
      <c r="N573" s="256" t="n">
        <v>60570</v>
      </c>
      <c r="O573" s="256" t="n">
        <v>24</v>
      </c>
      <c r="P573" s="256" t="inlineStr">
        <is>
          <t>易碎琉璃</t>
        </is>
      </c>
      <c r="Q573" s="256" t="n">
        <v>6</v>
      </c>
      <c r="R573" s="256" t="inlineStr">
        <is>
          <t>金</t>
        </is>
      </c>
    </row>
    <row r="574" ht="16.5" customHeight="1" s="14">
      <c r="N574" s="256" t="n">
        <v>60571</v>
      </c>
      <c r="O574" s="256" t="n">
        <v>24</v>
      </c>
      <c r="P574" s="256" t="inlineStr">
        <is>
          <t>易碎琉璃</t>
        </is>
      </c>
      <c r="Q574" s="256" t="n">
        <v>1</v>
      </c>
      <c r="R574" s="256" t="inlineStr">
        <is>
          <t>红</t>
        </is>
      </c>
    </row>
    <row r="575" ht="16.5" customHeight="1" s="14">
      <c r="N575" s="256" t="n">
        <v>60572</v>
      </c>
      <c r="O575" s="256" t="n">
        <v>24</v>
      </c>
      <c r="P575" s="256" t="inlineStr">
        <is>
          <t>易碎琉璃</t>
        </is>
      </c>
      <c r="Q575" s="256" t="n">
        <v>2</v>
      </c>
      <c r="R575" s="256" t="inlineStr">
        <is>
          <t>红</t>
        </is>
      </c>
    </row>
    <row r="576" ht="16.5" customHeight="1" s="14">
      <c r="N576" s="256" t="n">
        <v>60573</v>
      </c>
      <c r="O576" s="256" t="n">
        <v>24</v>
      </c>
      <c r="P576" s="256" t="inlineStr">
        <is>
          <t>易碎琉璃</t>
        </is>
      </c>
      <c r="Q576" s="256" t="n">
        <v>3</v>
      </c>
      <c r="R576" s="256" t="inlineStr">
        <is>
          <t>红</t>
        </is>
      </c>
    </row>
    <row r="577" ht="16.5" customHeight="1" s="14">
      <c r="N577" s="256" t="n">
        <v>60574</v>
      </c>
      <c r="O577" s="256" t="n">
        <v>24</v>
      </c>
      <c r="P577" s="256" t="inlineStr">
        <is>
          <t>易碎琉璃</t>
        </is>
      </c>
      <c r="Q577" s="256" t="n">
        <v>4</v>
      </c>
      <c r="R577" s="256" t="inlineStr">
        <is>
          <t>红</t>
        </is>
      </c>
    </row>
    <row r="578" ht="16.5" customHeight="1" s="14">
      <c r="N578" s="256" t="n">
        <v>60575</v>
      </c>
      <c r="O578" s="256" t="n">
        <v>24</v>
      </c>
      <c r="P578" s="256" t="inlineStr">
        <is>
          <t>易碎琉璃</t>
        </is>
      </c>
      <c r="Q578" s="256" t="n">
        <v>5</v>
      </c>
      <c r="R578" s="256" t="inlineStr">
        <is>
          <t>红</t>
        </is>
      </c>
    </row>
    <row r="579" ht="16.5" customHeight="1" s="14">
      <c r="N579" s="256" t="n">
        <v>60576</v>
      </c>
      <c r="O579" s="256" t="n">
        <v>24</v>
      </c>
      <c r="P579" s="256" t="inlineStr">
        <is>
          <t>易碎琉璃</t>
        </is>
      </c>
      <c r="Q579" s="256" t="n">
        <v>6</v>
      </c>
      <c r="R579" s="256" t="inlineStr">
        <is>
          <t>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11"/>
  <sheetViews>
    <sheetView workbookViewId="0">
      <selection activeCell="E25" sqref="E25"/>
    </sheetView>
  </sheetViews>
  <sheetFormatPr baseColWidth="8" defaultColWidth="9" defaultRowHeight="16.5"/>
  <cols>
    <col width="9" customWidth="1" style="16" min="1" max="1"/>
    <col width="14.25" customWidth="1" style="16" min="2" max="2"/>
    <col width="67.25" customWidth="1" style="16" min="3" max="3"/>
    <col width="20.125" customWidth="1" style="16" min="4" max="4"/>
    <col width="62.875" customWidth="1" style="16" min="5" max="5"/>
    <col width="52.5" customWidth="1" style="16" min="6" max="6"/>
    <col width="9" customWidth="1" style="16" min="7" max="16384"/>
  </cols>
  <sheetData>
    <row r="1"/>
    <row r="2">
      <c r="B2" s="19" t="inlineStr">
        <is>
          <t>玩法</t>
        </is>
      </c>
      <c r="C2" s="19" t="inlineStr">
        <is>
          <t>玩法定位</t>
        </is>
      </c>
      <c r="D2" s="19" t="inlineStr">
        <is>
          <t>玩法预计开启时间</t>
        </is>
      </c>
      <c r="E2" s="19" t="inlineStr">
        <is>
          <t>预计产出</t>
        </is>
      </c>
      <c r="F2" s="19" t="inlineStr">
        <is>
          <t>一次性产出</t>
        </is>
      </c>
    </row>
    <row r="3">
      <c r="B3" s="16" t="inlineStr">
        <is>
          <t>主线</t>
        </is>
      </c>
      <c r="C3" s="16" t="inlineStr">
        <is>
          <t>游戏主轴、承载游戏引导和表现</t>
        </is>
      </c>
      <c r="D3" s="16" t="inlineStr">
        <is>
          <t>默认开启</t>
        </is>
      </c>
      <c r="E3" s="16" t="inlineStr">
        <is>
          <t>经验、角色专武突破材料、角色星盘材料</t>
        </is>
      </c>
      <c r="F3" s="16" t="inlineStr">
        <is>
          <t>钻石、抽卡券、前期养成材料（金币经验等）、特殊产出</t>
        </is>
      </c>
    </row>
    <row r="4">
      <c r="B4" s="16" t="inlineStr">
        <is>
          <t>资源副本</t>
        </is>
      </c>
      <c r="C4" s="16" t="inlineStr">
        <is>
          <t>普通玩法，目前有金币、经验和专武经验</t>
        </is>
      </c>
      <c r="D4" s="16" t="inlineStr">
        <is>
          <t>第1天前期，随主线</t>
        </is>
      </c>
      <c r="E4" s="16" t="inlineStr">
        <is>
          <t>金币、经验和专武经验</t>
        </is>
      </c>
      <c r="F4" s="16" t="inlineStr">
        <is>
          <t>钻石或养成材料</t>
        </is>
      </c>
    </row>
    <row r="5">
      <c r="B5" s="16" t="inlineStr">
        <is>
          <t>爬塔</t>
        </is>
      </c>
      <c r="C5" s="16" t="inlineStr">
        <is>
          <t>周本（或者双周本），前期核心数值dps验证</t>
        </is>
      </c>
      <c r="D5" s="16" t="inlineStr">
        <is>
          <t>第1天中期</t>
        </is>
      </c>
      <c r="E5" s="16" t="inlineStr">
        <is>
          <t>钻石、养成材料、稀有养成材料、成就性奖励（不含装备、收容物）</t>
        </is>
      </c>
      <c r="F5" s="16" t="inlineStr">
        <is>
          <t>钻石、前期一次性资源</t>
        </is>
      </c>
    </row>
    <row r="6">
      <c r="B6" s="16" t="inlineStr">
        <is>
          <t>BOSS挑战</t>
        </is>
      </c>
      <c r="C6" s="16" t="inlineStr">
        <is>
          <t>一次性挑战、数值验证</t>
        </is>
      </c>
      <c r="D6" s="16" t="inlineStr">
        <is>
          <t>第1天中后期</t>
        </is>
      </c>
      <c r="F6" s="16" t="inlineStr">
        <is>
          <t>钻石、抽卡券、养成资源、稀有养成材料、映射装备、收容物</t>
        </is>
      </c>
    </row>
    <row r="7">
      <c r="B7" s="16" t="inlineStr">
        <is>
          <t>映射装备副本</t>
        </is>
      </c>
      <c r="C7" s="16" t="inlineStr">
        <is>
          <t>类似dnf深渊，高频高爽，数值验证较缓</t>
        </is>
      </c>
      <c r="D7" s="16" t="inlineStr">
        <is>
          <t>第1天后期</t>
        </is>
      </c>
      <c r="E7" s="16" t="inlineStr">
        <is>
          <t>映射装备、映射装备经验、映射装备代币、宝石、铭文</t>
        </is>
      </c>
      <c r="F7" s="16" t="inlineStr">
        <is>
          <t>钻石、映射装备、铭文、宝石</t>
        </is>
      </c>
    </row>
    <row r="8">
      <c r="B8" s="16" t="inlineStr">
        <is>
          <t>收容物副本</t>
        </is>
      </c>
      <c r="C8" s="16" t="inlineStr">
        <is>
          <t>组队玩法，单体boss，强社交</t>
        </is>
      </c>
      <c r="D8" s="16" t="inlineStr">
        <is>
          <t>第2天中期</t>
        </is>
      </c>
      <c r="E8" s="16" t="inlineStr">
        <is>
          <t>收容物、收容物经验</t>
        </is>
      </c>
      <c r="F8" s="16" t="inlineStr">
        <is>
          <t>收容物、收容物经验</t>
        </is>
      </c>
    </row>
    <row r="9">
      <c r="B9" s="16" t="inlineStr">
        <is>
          <t>无限挑战</t>
        </is>
      </c>
      <c r="C9" s="16" t="inlineStr">
        <is>
          <t>综合数值验证，续航需求高</t>
        </is>
      </c>
      <c r="D9" s="16" t="inlineStr">
        <is>
          <t>第2天后期</t>
        </is>
      </c>
      <c r="E9" s="16" t="inlineStr">
        <is>
          <t>钻石、养成材料、稀有养成材料、宝石、成就性奖励</t>
        </is>
      </c>
      <c r="F9" s="16" t="inlineStr">
        <is>
          <t>钻石、稀有养成材料、宝石</t>
        </is>
      </c>
    </row>
    <row r="10">
      <c r="B10" s="16" t="inlineStr">
        <is>
          <t>世界boss</t>
        </is>
      </c>
      <c r="C10" s="16" t="inlineStr">
        <is>
          <t>单体boss打桩</t>
        </is>
      </c>
      <c r="D10" s="16" t="inlineStr">
        <is>
          <t>第3天</t>
        </is>
      </c>
      <c r="E10" s="16" t="inlineStr">
        <is>
          <t>常规材料、偏收容物</t>
        </is>
      </c>
    </row>
    <row r="11">
      <c r="B11" s="16" t="inlineStr">
        <is>
          <t>大秘境</t>
        </is>
      </c>
      <c r="C11" s="16" t="inlineStr">
        <is>
          <t>多环境核心验证，box练度要求较高</t>
        </is>
      </c>
      <c r="D11" s="16" t="inlineStr">
        <is>
          <t>第4-5天</t>
        </is>
      </c>
      <c r="E11" s="16" t="inlineStr">
        <is>
          <t>收容物+映射装备、宝石、铭文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2026-08-25T03:30:30Z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A8184B6F0BD04126944BA58B622AD03F_12</vt:lpwstr>
  </property>
  <property name="CalculationRule" fmtid="{D5CDD505-2E9C-101B-9397-08002B2CF9AE}" pid="4">
    <vt:i4>0</vt:i4>
  </property>
  <property name="KSOReadingLayout" fmtid="{D5CDD505-2E9C-101B-9397-08002B2CF9AE}" pid="5">
    <vt:bool>0</vt:bool>
  </property>
</Properties>
</file>